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 Dashboard" sheetId="1" state="visible" r:id="rId1"/>
    <sheet xmlns:r="http://schemas.openxmlformats.org/officeDocument/2006/relationships" name="Threat Intelligence" sheetId="2" state="visible" r:id="rId2"/>
    <sheet xmlns:r="http://schemas.openxmlformats.org/officeDocument/2006/relationships" name="PowerBI_Export" sheetId="3" state="visible" r:id="rId3"/>
  </sheets>
  <definedNames>
    <definedName name="_xlnm._FilterDatabase" localSheetId="1" hidden="1">'Threat Intelligence'!$A$1:$AD$2007</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Calibri"/>
      <family val="2"/>
      <b val="1"/>
      <color theme="1"/>
      <sz val="11"/>
      <scheme val="minor"/>
    </font>
    <font>
      <name val="Calibri"/>
      <family val="2"/>
      <color theme="10"/>
      <sz val="11"/>
      <u val="single"/>
    </font>
    <font>
      <b val="1"/>
      <color rgb="00E94560"/>
      <sz val="10"/>
    </font>
    <font>
      <color rgb="00D0D0D0"/>
      <sz val="9"/>
    </font>
    <font>
      <b val="1"/>
      <color rgb="00E94560"/>
      <sz val="14"/>
    </font>
    <font>
      <i val="1"/>
      <color rgb="00888888"/>
      <sz val="10"/>
    </font>
    <font>
      <b val="1"/>
      <color rgb="00FFFFFF"/>
      <sz val="10"/>
    </font>
    <font>
      <b val="1"/>
      <color rgb="00FF4444"/>
      <sz val="10"/>
    </font>
    <font>
      <color rgb="00FFFFFF"/>
      <sz val="10"/>
    </font>
    <font>
      <b val="1"/>
      <color rgb="00FFAA00"/>
      <sz val="10"/>
    </font>
    <font>
      <b val="1"/>
      <color rgb="00FFAA44"/>
      <sz val="10"/>
    </font>
    <font>
      <b val="1"/>
      <color rgb="00FFFFFF"/>
      <sz val="9"/>
    </font>
    <font>
      <color rgb="00FFFFFF"/>
      <sz val="9"/>
    </font>
    <font>
      <color rgb="00CCCCCC"/>
      <sz val="9"/>
    </font>
    <font>
      <b val="1"/>
      <color rgb="00E94560"/>
      <sz val="12"/>
    </font>
    <font>
      <b val="1"/>
      <color rgb="00FFFFFF"/>
      <sz val="14"/>
    </font>
    <font>
      <i val="1"/>
      <color rgb="00AAAAAA"/>
      <sz val="8"/>
    </font>
  </fonts>
  <fills count="41">
    <fill>
      <patternFill/>
    </fill>
    <fill>
      <patternFill patternType="gray125"/>
    </fill>
    <fill>
      <patternFill patternType="solid">
        <fgColor rgb="001A1A2E"/>
      </patternFill>
    </fill>
    <fill>
      <patternFill patternType="solid">
        <fgColor rgb="008B4000"/>
      </patternFill>
    </fill>
    <fill>
      <patternFill patternType="solid">
        <fgColor rgb="004A4000"/>
      </patternFill>
    </fill>
    <fill>
      <patternFill patternType="solid">
        <fgColor rgb="008B0000"/>
      </patternFill>
    </fill>
    <fill>
      <patternFill patternType="solid">
        <fgColor rgb="001A3A1A"/>
      </patternFill>
    </fill>
    <fill>
      <patternFill patternType="solid">
        <fgColor rgb="000F0F1A"/>
      </patternFill>
    </fill>
    <fill>
      <patternFill patternType="solid">
        <fgColor rgb="00E94560"/>
      </patternFill>
    </fill>
    <fill>
      <patternFill patternType="solid">
        <fgColor rgb="00935116"/>
      </patternFill>
    </fill>
    <fill>
      <patternFill patternType="solid">
        <fgColor rgb="006E2F1A"/>
      </patternFill>
    </fill>
    <fill>
      <patternFill patternType="solid">
        <fgColor rgb="00117A65"/>
      </patternFill>
    </fill>
    <fill>
      <patternFill patternType="solid">
        <fgColor rgb="000D3B6E"/>
      </patternFill>
    </fill>
    <fill>
      <patternFill patternType="solid">
        <fgColor rgb="007B241C"/>
      </patternFill>
    </fill>
    <fill>
      <patternFill patternType="solid">
        <fgColor rgb="00641E16"/>
      </patternFill>
    </fill>
    <fill>
      <patternFill patternType="solid">
        <fgColor rgb="002C3E50"/>
      </patternFill>
    </fill>
    <fill>
      <patternFill patternType="solid">
        <fgColor rgb="000E6655"/>
      </patternFill>
    </fill>
    <fill>
      <patternFill patternType="solid">
        <fgColor rgb="001B4F72"/>
      </patternFill>
    </fill>
    <fill>
      <patternFill patternType="solid">
        <fgColor rgb="007D3C98"/>
      </patternFill>
    </fill>
    <fill>
      <patternFill patternType="solid">
        <fgColor rgb="00C0392B"/>
      </patternFill>
    </fill>
    <fill>
      <patternFill patternType="solid">
        <fgColor rgb="000F4C81"/>
      </patternFill>
    </fill>
    <fill>
      <patternFill patternType="solid">
        <fgColor rgb="002E4057"/>
      </patternFill>
    </fill>
    <fill>
      <patternFill patternType="solid">
        <fgColor rgb="001E8449"/>
      </patternFill>
    </fill>
    <fill>
      <patternFill patternType="solid">
        <fgColor rgb="006C3483"/>
      </patternFill>
    </fill>
    <fill>
      <patternFill patternType="solid">
        <fgColor rgb="00148F77"/>
      </patternFill>
    </fill>
    <fill>
      <patternFill patternType="solid">
        <fgColor rgb="0021618C"/>
      </patternFill>
    </fill>
    <fill>
      <patternFill patternType="solid">
        <fgColor rgb="00784212"/>
      </patternFill>
    </fill>
    <fill>
      <patternFill patternType="solid">
        <fgColor rgb="005B2C6F"/>
      </patternFill>
    </fill>
    <fill>
      <patternFill patternType="solid">
        <fgColor rgb="00283747"/>
      </patternFill>
    </fill>
    <fill>
      <patternFill patternType="solid">
        <fgColor rgb="004A235A"/>
      </patternFill>
    </fill>
    <fill>
      <patternFill patternType="solid">
        <fgColor rgb="001F618D"/>
      </patternFill>
    </fill>
    <fill>
      <patternFill patternType="solid">
        <fgColor rgb="00154360"/>
      </patternFill>
    </fill>
    <fill>
      <patternFill patternType="solid">
        <fgColor rgb="000B3D91"/>
      </patternFill>
    </fill>
    <fill>
      <patternFill patternType="solid">
        <fgColor rgb="00E67E22"/>
      </patternFill>
    </fill>
    <fill>
      <patternFill patternType="solid">
        <fgColor rgb="00F1C40F"/>
      </patternFill>
    </fill>
    <fill>
      <patternFill patternType="solid">
        <fgColor rgb="0027AE60"/>
      </patternFill>
    </fill>
    <fill>
      <patternFill patternType="solid">
        <fgColor rgb="003498DB"/>
      </patternFill>
    </fill>
    <fill>
      <patternFill patternType="solid">
        <fgColor rgb="00111122"/>
      </patternFill>
    </fill>
    <fill>
      <patternFill patternType="solid">
        <fgColor rgb="001A5276"/>
      </patternFill>
    </fill>
    <fill>
      <patternFill patternType="solid">
        <fgColor rgb="007D6608"/>
      </patternFill>
    </fill>
    <fill>
      <patternFill patternType="solid">
        <fgColor rgb="001F497D"/>
      </patternFill>
    </fill>
  </fills>
  <borders count="8">
    <border>
      <left/>
      <right/>
      <top/>
      <bottom/>
      <diagonal/>
    </border>
    <border>
      <left style="thin">
        <color auto="1"/>
      </left>
      <right style="thin">
        <color auto="1"/>
      </right>
      <top style="thin">
        <color auto="1"/>
      </top>
      <bottom style="thin">
        <color auto="1"/>
      </bottom>
      <diagonal/>
    </border>
    <border>
      <bottom style="thin">
        <color rgb="00E94560"/>
      </bottom>
    </border>
    <border>
      <right style="thin">
        <color rgb="00333333"/>
      </right>
      <bottom style="medium">
        <color rgb="00FFFFFF"/>
      </bottom>
    </border>
    <border>
      <right style="thin">
        <color rgb="001A1A2E"/>
      </right>
      <bottom style="thin">
        <color rgb="001A1A2E"/>
      </bottom>
    </border>
    <border>
      <top style="medium">
        <color rgb="00FFFFFF"/>
      </top>
    </border>
    <border>
      <left style="medium">
        <color rgb="000A0A14"/>
      </left>
      <right style="medium">
        <color rgb="000A0A14"/>
      </right>
      <top style="medium">
        <color rgb="000A0A14"/>
      </top>
      <bottom style="medium">
        <color rgb="000A0A14"/>
      </bottom>
    </border>
    <border>
      <left style="thin">
        <color rgb="000A0A14"/>
      </left>
      <right style="thin">
        <color rgb="000A0A14"/>
      </right>
      <top style="thin">
        <color rgb="000A0A14"/>
      </top>
      <bottom style="thin">
        <color rgb="000A0A14"/>
      </bottom>
    </border>
  </borders>
  <cellStyleXfs count="2">
    <xf numFmtId="0" fontId="0" fillId="0" borderId="0"/>
    <xf numFmtId="0" fontId="2" fillId="0" borderId="0" applyAlignment="1" applyProtection="1">
      <alignment vertical="top"/>
      <protection locked="0" hidden="0"/>
    </xf>
  </cellStyleXfs>
  <cellXfs count="198">
    <xf numFmtId="0" fontId="0" fillId="0" borderId="0" pivotButton="0" quotePrefix="0" xfId="0"/>
    <xf numFmtId="0" fontId="1" fillId="0" borderId="1" applyAlignment="1" pivotButton="0" quotePrefix="0" xfId="0">
      <alignment horizontal="center" vertical="top"/>
    </xf>
    <xf numFmtId="0" fontId="2" fillId="0" borderId="0" pivotButton="0" quotePrefix="0" xfId="1"/>
    <xf numFmtId="0" fontId="5" fillId="2" borderId="0" applyAlignment="1" pivotButton="0" quotePrefix="0" xfId="0">
      <alignment horizontal="center" vertical="center"/>
    </xf>
    <xf numFmtId="0" fontId="6" fillId="7" borderId="0" applyAlignment="1" pivotButton="0" quotePrefix="0" xfId="0">
      <alignment horizontal="center"/>
    </xf>
    <xf numFmtId="0" fontId="12" fillId="8" borderId="0" applyAlignment="1" pivotButton="0" quotePrefix="0" xfId="0">
      <alignment horizontal="center" vertical="center"/>
    </xf>
    <xf numFmtId="0" fontId="7" fillId="8" borderId="3" applyAlignment="1" pivotButton="0" quotePrefix="0" xfId="0">
      <alignment horizontal="center"/>
    </xf>
    <xf numFmtId="0" fontId="12" fillId="19" borderId="0" applyAlignment="1" pivotButton="0" quotePrefix="0" xfId="0">
      <alignment horizontal="center" vertical="center"/>
    </xf>
    <xf numFmtId="0" fontId="13" fillId="2" borderId="0" applyAlignment="1" pivotButton="0" quotePrefix="0" xfId="0">
      <alignment horizontal="center"/>
    </xf>
    <xf numFmtId="0" fontId="7" fillId="9" borderId="4" applyAlignment="1" pivotButton="0" quotePrefix="0" xfId="0">
      <alignment horizontal="left" vertical="center"/>
    </xf>
    <xf numFmtId="0" fontId="7" fillId="9" borderId="4" applyAlignment="1" pivotButton="0" quotePrefix="0" xfId="0">
      <alignment horizontal="center" vertical="center"/>
    </xf>
    <xf numFmtId="0" fontId="8" fillId="9" borderId="4" applyAlignment="1" pivotButton="0" quotePrefix="0" xfId="0">
      <alignment horizontal="center" vertical="center"/>
    </xf>
    <xf numFmtId="0" fontId="9" fillId="9" borderId="4" applyAlignment="1" pivotButton="0" quotePrefix="0" xfId="0">
      <alignment horizontal="center" vertical="center"/>
    </xf>
    <xf numFmtId="0" fontId="10" fillId="9" borderId="4" applyAlignment="1" pivotButton="0" quotePrefix="0" xfId="0">
      <alignment horizontal="center" vertical="center"/>
    </xf>
    <xf numFmtId="0" fontId="11" fillId="9" borderId="4" applyAlignment="1" pivotButton="0" quotePrefix="0" xfId="0">
      <alignment horizontal="center" vertical="center"/>
    </xf>
    <xf numFmtId="0" fontId="12" fillId="33" borderId="0" applyAlignment="1" pivotButton="0" quotePrefix="0" xfId="0">
      <alignment horizontal="center" vertical="center"/>
    </xf>
    <xf numFmtId="0" fontId="7" fillId="10" borderId="4" applyAlignment="1" pivotButton="0" quotePrefix="0" xfId="0">
      <alignment horizontal="left" vertical="center"/>
    </xf>
    <xf numFmtId="0" fontId="7" fillId="10" borderId="4" applyAlignment="1" pivotButton="0" quotePrefix="0" xfId="0">
      <alignment horizontal="center" vertical="center"/>
    </xf>
    <xf numFmtId="0" fontId="8" fillId="10" borderId="4" applyAlignment="1" pivotButton="0" quotePrefix="0" xfId="0">
      <alignment horizontal="center" vertical="center"/>
    </xf>
    <xf numFmtId="0" fontId="9" fillId="10" borderId="4" applyAlignment="1" pivotButton="0" quotePrefix="0" xfId="0">
      <alignment horizontal="center" vertical="center"/>
    </xf>
    <xf numFmtId="0" fontId="10" fillId="10" borderId="4" applyAlignment="1" pivotButton="0" quotePrefix="0" xfId="0">
      <alignment horizontal="center" vertical="center"/>
    </xf>
    <xf numFmtId="0" fontId="11" fillId="10" borderId="4" applyAlignment="1" pivotButton="0" quotePrefix="0" xfId="0">
      <alignment horizontal="center" vertical="center"/>
    </xf>
    <xf numFmtId="0" fontId="12" fillId="34" borderId="0" applyAlignment="1" pivotButton="0" quotePrefix="0" xfId="0">
      <alignment horizontal="center" vertical="center"/>
    </xf>
    <xf numFmtId="0" fontId="7" fillId="11" borderId="4" applyAlignment="1" pivotButton="0" quotePrefix="0" xfId="0">
      <alignment horizontal="left" vertical="center"/>
    </xf>
    <xf numFmtId="0" fontId="7" fillId="11" borderId="4" applyAlignment="1" pivotButton="0" quotePrefix="0" xfId="0">
      <alignment horizontal="center" vertical="center"/>
    </xf>
    <xf numFmtId="0" fontId="8" fillId="11" borderId="4" applyAlignment="1" pivotButton="0" quotePrefix="0" xfId="0">
      <alignment horizontal="center" vertical="center"/>
    </xf>
    <xf numFmtId="0" fontId="9" fillId="11" borderId="4" applyAlignment="1" pivotButton="0" quotePrefix="0" xfId="0">
      <alignment horizontal="center" vertical="center"/>
    </xf>
    <xf numFmtId="0" fontId="10" fillId="11" borderId="4" applyAlignment="1" pivotButton="0" quotePrefix="0" xfId="0">
      <alignment horizontal="center" vertical="center"/>
    </xf>
    <xf numFmtId="0" fontId="11" fillId="11" borderId="4" applyAlignment="1" pivotButton="0" quotePrefix="0" xfId="0">
      <alignment horizontal="center" vertical="center"/>
    </xf>
    <xf numFmtId="0" fontId="12" fillId="35" borderId="0" applyAlignment="1" pivotButton="0" quotePrefix="0" xfId="0">
      <alignment horizontal="center" vertical="center"/>
    </xf>
    <xf numFmtId="0" fontId="7" fillId="5" borderId="4" applyAlignment="1" pivotButton="0" quotePrefix="0" xfId="0">
      <alignment horizontal="left" vertical="center"/>
    </xf>
    <xf numFmtId="0" fontId="7" fillId="5" borderId="4" applyAlignment="1" pivotButton="0" quotePrefix="0" xfId="0">
      <alignment horizontal="center" vertical="center"/>
    </xf>
    <xf numFmtId="0" fontId="8" fillId="5" borderId="4" applyAlignment="1" pivotButton="0" quotePrefix="0" xfId="0">
      <alignment horizontal="center" vertical="center"/>
    </xf>
    <xf numFmtId="0" fontId="9" fillId="5" borderId="4" applyAlignment="1" pivotButton="0" quotePrefix="0" xfId="0">
      <alignment horizontal="center" vertical="center"/>
    </xf>
    <xf numFmtId="0" fontId="10" fillId="5" borderId="4" applyAlignment="1" pivotButton="0" quotePrefix="0" xfId="0">
      <alignment horizontal="center" vertical="center"/>
    </xf>
    <xf numFmtId="0" fontId="11" fillId="5" borderId="4" applyAlignment="1" pivotButton="0" quotePrefix="0" xfId="0">
      <alignment horizontal="center" vertical="center"/>
    </xf>
    <xf numFmtId="0" fontId="7" fillId="12" borderId="4" applyAlignment="1" pivotButton="0" quotePrefix="0" xfId="0">
      <alignment horizontal="left" vertical="center"/>
    </xf>
    <xf numFmtId="0" fontId="7" fillId="12" borderId="4" applyAlignment="1" pivotButton="0" quotePrefix="0" xfId="0">
      <alignment horizontal="center" vertical="center"/>
    </xf>
    <xf numFmtId="0" fontId="8" fillId="12" borderId="4" applyAlignment="1" pivotButton="0" quotePrefix="0" xfId="0">
      <alignment horizontal="center" vertical="center"/>
    </xf>
    <xf numFmtId="0" fontId="9" fillId="12" borderId="4" applyAlignment="1" pivotButton="0" quotePrefix="0" xfId="0">
      <alignment horizontal="center" vertical="center"/>
    </xf>
    <xf numFmtId="0" fontId="10" fillId="12" borderId="4" applyAlignment="1" pivotButton="0" quotePrefix="0" xfId="0">
      <alignment horizontal="center" vertical="center"/>
    </xf>
    <xf numFmtId="0" fontId="11" fillId="12" borderId="4" applyAlignment="1" pivotButton="0" quotePrefix="0" xfId="0">
      <alignment horizontal="center" vertical="center"/>
    </xf>
    <xf numFmtId="0" fontId="12" fillId="8" borderId="0" applyAlignment="1" pivotButton="0" quotePrefix="0" xfId="0">
      <alignment horizontal="center"/>
    </xf>
    <xf numFmtId="0" fontId="12" fillId="33" borderId="0" applyAlignment="1" pivotButton="0" quotePrefix="0" xfId="0">
      <alignment horizontal="center"/>
    </xf>
    <xf numFmtId="0" fontId="7" fillId="13" borderId="4" applyAlignment="1" pivotButton="0" quotePrefix="0" xfId="0">
      <alignment horizontal="left" vertical="center"/>
    </xf>
    <xf numFmtId="0" fontId="7" fillId="13" borderId="4" applyAlignment="1" pivotButton="0" quotePrefix="0" xfId="0">
      <alignment horizontal="center" vertical="center"/>
    </xf>
    <xf numFmtId="0" fontId="8" fillId="13" borderId="4" applyAlignment="1" pivotButton="0" quotePrefix="0" xfId="0">
      <alignment horizontal="center" vertical="center"/>
    </xf>
    <xf numFmtId="0" fontId="9" fillId="13" borderId="4" applyAlignment="1" pivotButton="0" quotePrefix="0" xfId="0">
      <alignment horizontal="center" vertical="center"/>
    </xf>
    <xf numFmtId="0" fontId="10" fillId="13" borderId="4" applyAlignment="1" pivotButton="0" quotePrefix="0" xfId="0">
      <alignment horizontal="center" vertical="center"/>
    </xf>
    <xf numFmtId="0" fontId="11" fillId="13" borderId="4" applyAlignment="1" pivotButton="0" quotePrefix="0" xfId="0">
      <alignment horizontal="center" vertical="center"/>
    </xf>
    <xf numFmtId="0" fontId="12" fillId="36" borderId="0" applyAlignment="1" pivotButton="0" quotePrefix="0" xfId="0">
      <alignment horizontal="center"/>
    </xf>
    <xf numFmtId="0" fontId="7" fillId="14" borderId="4" applyAlignment="1" pivotButton="0" quotePrefix="0" xfId="0">
      <alignment horizontal="left" vertical="center"/>
    </xf>
    <xf numFmtId="0" fontId="7" fillId="14" borderId="4" applyAlignment="1" pivotButton="0" quotePrefix="0" xfId="0">
      <alignment horizontal="center" vertical="center"/>
    </xf>
    <xf numFmtId="0" fontId="8" fillId="14" borderId="4" applyAlignment="1" pivotButton="0" quotePrefix="0" xfId="0">
      <alignment horizontal="center" vertical="center"/>
    </xf>
    <xf numFmtId="0" fontId="9" fillId="14" borderId="4" applyAlignment="1" pivotButton="0" quotePrefix="0" xfId="0">
      <alignment horizontal="center" vertical="center"/>
    </xf>
    <xf numFmtId="0" fontId="10" fillId="14" borderId="4" applyAlignment="1" pivotButton="0" quotePrefix="0" xfId="0">
      <alignment horizontal="center" vertical="center"/>
    </xf>
    <xf numFmtId="0" fontId="11" fillId="14" borderId="4" applyAlignment="1" pivotButton="0" quotePrefix="0" xfId="0">
      <alignment horizontal="center" vertical="center"/>
    </xf>
    <xf numFmtId="0" fontId="12" fillId="35" borderId="0" applyAlignment="1" pivotButton="0" quotePrefix="0" xfId="0">
      <alignment horizontal="center"/>
    </xf>
    <xf numFmtId="0" fontId="7" fillId="15" borderId="4" applyAlignment="1" pivotButton="0" quotePrefix="0" xfId="0">
      <alignment horizontal="left" vertical="center"/>
    </xf>
    <xf numFmtId="0" fontId="7" fillId="15" borderId="4" applyAlignment="1" pivotButton="0" quotePrefix="0" xfId="0">
      <alignment horizontal="center" vertical="center"/>
    </xf>
    <xf numFmtId="0" fontId="8" fillId="15" borderId="4" applyAlignment="1" pivotButton="0" quotePrefix="0" xfId="0">
      <alignment horizontal="center" vertical="center"/>
    </xf>
    <xf numFmtId="0" fontId="9" fillId="15" borderId="4" applyAlignment="1" pivotButton="0" quotePrefix="0" xfId="0">
      <alignment horizontal="center" vertical="center"/>
    </xf>
    <xf numFmtId="0" fontId="10" fillId="15" borderId="4" applyAlignment="1" pivotButton="0" quotePrefix="0" xfId="0">
      <alignment horizontal="center" vertical="center"/>
    </xf>
    <xf numFmtId="0" fontId="11" fillId="15" borderId="4" applyAlignment="1" pivotButton="0" quotePrefix="0" xfId="0">
      <alignment horizontal="center" vertical="center"/>
    </xf>
    <xf numFmtId="0" fontId="7" fillId="16" borderId="4" applyAlignment="1" pivotButton="0" quotePrefix="0" xfId="0">
      <alignment horizontal="left" vertical="center"/>
    </xf>
    <xf numFmtId="0" fontId="7" fillId="16" borderId="4" applyAlignment="1" pivotButton="0" quotePrefix="0" xfId="0">
      <alignment horizontal="center" vertical="center"/>
    </xf>
    <xf numFmtId="0" fontId="8" fillId="16" borderId="4" applyAlignment="1" pivotButton="0" quotePrefix="0" xfId="0">
      <alignment horizontal="center" vertical="center"/>
    </xf>
    <xf numFmtId="0" fontId="9" fillId="16" borderId="4" applyAlignment="1" pivotButton="0" quotePrefix="0" xfId="0">
      <alignment horizontal="center" vertical="center"/>
    </xf>
    <xf numFmtId="0" fontId="10" fillId="16" borderId="4" applyAlignment="1" pivotButton="0" quotePrefix="0" xfId="0">
      <alignment horizontal="center" vertical="center"/>
    </xf>
    <xf numFmtId="0" fontId="11" fillId="16" borderId="4" applyAlignment="1" pivotButton="0" quotePrefix="0" xfId="0">
      <alignment horizontal="center" vertical="center"/>
    </xf>
    <xf numFmtId="0" fontId="14" fillId="37" borderId="0" applyAlignment="1" pivotButton="0" quotePrefix="0" xfId="0">
      <alignment horizontal="left"/>
    </xf>
    <xf numFmtId="0" fontId="14" fillId="37" borderId="0" applyAlignment="1" pivotButton="0" quotePrefix="0" xfId="0">
      <alignment horizontal="center"/>
    </xf>
    <xf numFmtId="0" fontId="7" fillId="17" borderId="4" applyAlignment="1" pivotButton="0" quotePrefix="0" xfId="0">
      <alignment horizontal="left" vertical="center"/>
    </xf>
    <xf numFmtId="0" fontId="7" fillId="17" borderId="4" applyAlignment="1" pivotButton="0" quotePrefix="0" xfId="0">
      <alignment horizontal="center" vertical="center"/>
    </xf>
    <xf numFmtId="0" fontId="8" fillId="17" borderId="4" applyAlignment="1" pivotButton="0" quotePrefix="0" xfId="0">
      <alignment horizontal="center" vertical="center"/>
    </xf>
    <xf numFmtId="0" fontId="9" fillId="17" borderId="4" applyAlignment="1" pivotButton="0" quotePrefix="0" xfId="0">
      <alignment horizontal="center" vertical="center"/>
    </xf>
    <xf numFmtId="0" fontId="10" fillId="17" borderId="4" applyAlignment="1" pivotButton="0" quotePrefix="0" xfId="0">
      <alignment horizontal="center" vertical="center"/>
    </xf>
    <xf numFmtId="0" fontId="11" fillId="17" borderId="4" applyAlignment="1" pivotButton="0" quotePrefix="0" xfId="0">
      <alignment horizontal="center" vertical="center"/>
    </xf>
    <xf numFmtId="0" fontId="7" fillId="18" borderId="4" applyAlignment="1" pivotButton="0" quotePrefix="0" xfId="0">
      <alignment horizontal="left" vertical="center"/>
    </xf>
    <xf numFmtId="0" fontId="7" fillId="18" borderId="4" applyAlignment="1" pivotButton="0" quotePrefix="0" xfId="0">
      <alignment horizontal="center" vertical="center"/>
    </xf>
    <xf numFmtId="0" fontId="8" fillId="18" borderId="4" applyAlignment="1" pivotButton="0" quotePrefix="0" xfId="0">
      <alignment horizontal="center" vertical="center"/>
    </xf>
    <xf numFmtId="0" fontId="9" fillId="18" borderId="4" applyAlignment="1" pivotButton="0" quotePrefix="0" xfId="0">
      <alignment horizontal="center" vertical="center"/>
    </xf>
    <xf numFmtId="0" fontId="10" fillId="18" borderId="4" applyAlignment="1" pivotButton="0" quotePrefix="0" xfId="0">
      <alignment horizontal="center" vertical="center"/>
    </xf>
    <xf numFmtId="0" fontId="11" fillId="18" borderId="4" applyAlignment="1" pivotButton="0" quotePrefix="0" xfId="0">
      <alignment horizontal="center" vertical="center"/>
    </xf>
    <xf numFmtId="0" fontId="7" fillId="19" borderId="4" applyAlignment="1" pivotButton="0" quotePrefix="0" xfId="0">
      <alignment horizontal="left" vertical="center"/>
    </xf>
    <xf numFmtId="0" fontId="7" fillId="19" borderId="4" applyAlignment="1" pivotButton="0" quotePrefix="0" xfId="0">
      <alignment horizontal="center" vertical="center"/>
    </xf>
    <xf numFmtId="0" fontId="8" fillId="19" borderId="4" applyAlignment="1" pivotButton="0" quotePrefix="0" xfId="0">
      <alignment horizontal="center" vertical="center"/>
    </xf>
    <xf numFmtId="0" fontId="9" fillId="19" borderId="4" applyAlignment="1" pivotButton="0" quotePrefix="0" xfId="0">
      <alignment horizontal="center" vertical="center"/>
    </xf>
    <xf numFmtId="0" fontId="10" fillId="19" borderId="4" applyAlignment="1" pivotButton="0" quotePrefix="0" xfId="0">
      <alignment horizontal="center" vertical="center"/>
    </xf>
    <xf numFmtId="0" fontId="11" fillId="19" borderId="4" applyAlignment="1" pivotButton="0" quotePrefix="0" xfId="0">
      <alignment horizontal="center" vertical="center"/>
    </xf>
    <xf numFmtId="0" fontId="7" fillId="20" borderId="4" applyAlignment="1" pivotButton="0" quotePrefix="0" xfId="0">
      <alignment horizontal="left" vertical="center"/>
    </xf>
    <xf numFmtId="0" fontId="7" fillId="20" borderId="4" applyAlignment="1" pivotButton="0" quotePrefix="0" xfId="0">
      <alignment horizontal="center" vertical="center"/>
    </xf>
    <xf numFmtId="0" fontId="8" fillId="20" borderId="4" applyAlignment="1" pivotButton="0" quotePrefix="0" xfId="0">
      <alignment horizontal="center" vertical="center"/>
    </xf>
    <xf numFmtId="0" fontId="9" fillId="20" borderId="4" applyAlignment="1" pivotButton="0" quotePrefix="0" xfId="0">
      <alignment horizontal="center" vertical="center"/>
    </xf>
    <xf numFmtId="0" fontId="10" fillId="20" borderId="4" applyAlignment="1" pivotButton="0" quotePrefix="0" xfId="0">
      <alignment horizontal="center" vertical="center"/>
    </xf>
    <xf numFmtId="0" fontId="11" fillId="20" borderId="4" applyAlignment="1" pivotButton="0" quotePrefix="0" xfId="0">
      <alignment horizontal="center" vertical="center"/>
    </xf>
    <xf numFmtId="0" fontId="7" fillId="21" borderId="4" applyAlignment="1" pivotButton="0" quotePrefix="0" xfId="0">
      <alignment horizontal="left" vertical="center"/>
    </xf>
    <xf numFmtId="0" fontId="7" fillId="21" borderId="4" applyAlignment="1" pivotButton="0" quotePrefix="0" xfId="0">
      <alignment horizontal="center" vertical="center"/>
    </xf>
    <xf numFmtId="0" fontId="8" fillId="21" borderId="4" applyAlignment="1" pivotButton="0" quotePrefix="0" xfId="0">
      <alignment horizontal="center" vertical="center"/>
    </xf>
    <xf numFmtId="0" fontId="9" fillId="21" borderId="4" applyAlignment="1" pivotButton="0" quotePrefix="0" xfId="0">
      <alignment horizontal="center" vertical="center"/>
    </xf>
    <xf numFmtId="0" fontId="10" fillId="21" borderId="4" applyAlignment="1" pivotButton="0" quotePrefix="0" xfId="0">
      <alignment horizontal="center" vertical="center"/>
    </xf>
    <xf numFmtId="0" fontId="11" fillId="21" borderId="4" applyAlignment="1" pivotButton="0" quotePrefix="0" xfId="0">
      <alignment horizontal="center" vertical="center"/>
    </xf>
    <xf numFmtId="0" fontId="7" fillId="22" borderId="4" applyAlignment="1" pivotButton="0" quotePrefix="0" xfId="0">
      <alignment horizontal="left" vertical="center"/>
    </xf>
    <xf numFmtId="0" fontId="7" fillId="22" borderId="4" applyAlignment="1" pivotButton="0" quotePrefix="0" xfId="0">
      <alignment horizontal="center" vertical="center"/>
    </xf>
    <xf numFmtId="0" fontId="8" fillId="22" borderId="4" applyAlignment="1" pivotButton="0" quotePrefix="0" xfId="0">
      <alignment horizontal="center" vertical="center"/>
    </xf>
    <xf numFmtId="0" fontId="9" fillId="22" borderId="4" applyAlignment="1" pivotButton="0" quotePrefix="0" xfId="0">
      <alignment horizontal="center" vertical="center"/>
    </xf>
    <xf numFmtId="0" fontId="10" fillId="22" borderId="4" applyAlignment="1" pivotButton="0" quotePrefix="0" xfId="0">
      <alignment horizontal="center" vertical="center"/>
    </xf>
    <xf numFmtId="0" fontId="11" fillId="22" borderId="4" applyAlignment="1" pivotButton="0" quotePrefix="0" xfId="0">
      <alignment horizontal="center" vertical="center"/>
    </xf>
    <xf numFmtId="0" fontId="7" fillId="23" borderId="4" applyAlignment="1" pivotButton="0" quotePrefix="0" xfId="0">
      <alignment horizontal="left" vertical="center"/>
    </xf>
    <xf numFmtId="0" fontId="7" fillId="23" borderId="4" applyAlignment="1" pivotButton="0" quotePrefix="0" xfId="0">
      <alignment horizontal="center" vertical="center"/>
    </xf>
    <xf numFmtId="0" fontId="8" fillId="23" borderId="4" applyAlignment="1" pivotButton="0" quotePrefix="0" xfId="0">
      <alignment horizontal="center" vertical="center"/>
    </xf>
    <xf numFmtId="0" fontId="9" fillId="23" borderId="4" applyAlignment="1" pivotButton="0" quotePrefix="0" xfId="0">
      <alignment horizontal="center" vertical="center"/>
    </xf>
    <xf numFmtId="0" fontId="10" fillId="23" borderId="4" applyAlignment="1" pivotButton="0" quotePrefix="0" xfId="0">
      <alignment horizontal="center" vertical="center"/>
    </xf>
    <xf numFmtId="0" fontId="11" fillId="23" borderId="4" applyAlignment="1" pivotButton="0" quotePrefix="0" xfId="0">
      <alignment horizontal="center" vertical="center"/>
    </xf>
    <xf numFmtId="0" fontId="7" fillId="24" borderId="4" applyAlignment="1" pivotButton="0" quotePrefix="0" xfId="0">
      <alignment horizontal="left" vertical="center"/>
    </xf>
    <xf numFmtId="0" fontId="7" fillId="24" borderId="4" applyAlignment="1" pivotButton="0" quotePrefix="0" xfId="0">
      <alignment horizontal="center" vertical="center"/>
    </xf>
    <xf numFmtId="0" fontId="8" fillId="24" borderId="4" applyAlignment="1" pivotButton="0" quotePrefix="0" xfId="0">
      <alignment horizontal="center" vertical="center"/>
    </xf>
    <xf numFmtId="0" fontId="9" fillId="24" borderId="4" applyAlignment="1" pivotButton="0" quotePrefix="0" xfId="0">
      <alignment horizontal="center" vertical="center"/>
    </xf>
    <xf numFmtId="0" fontId="10" fillId="24" borderId="4" applyAlignment="1" pivotButton="0" quotePrefix="0" xfId="0">
      <alignment horizontal="center" vertical="center"/>
    </xf>
    <xf numFmtId="0" fontId="11" fillId="24" borderId="4" applyAlignment="1" pivotButton="0" quotePrefix="0" xfId="0">
      <alignment horizontal="center" vertical="center"/>
    </xf>
    <xf numFmtId="0" fontId="7" fillId="25" borderId="4" applyAlignment="1" pivotButton="0" quotePrefix="0" xfId="0">
      <alignment horizontal="left" vertical="center"/>
    </xf>
    <xf numFmtId="0" fontId="7" fillId="25" borderId="4" applyAlignment="1" pivotButton="0" quotePrefix="0" xfId="0">
      <alignment horizontal="center" vertical="center"/>
    </xf>
    <xf numFmtId="0" fontId="8" fillId="25" borderId="4" applyAlignment="1" pivotButton="0" quotePrefix="0" xfId="0">
      <alignment horizontal="center" vertical="center"/>
    </xf>
    <xf numFmtId="0" fontId="9" fillId="25" borderId="4" applyAlignment="1" pivotButton="0" quotePrefix="0" xfId="0">
      <alignment horizontal="center" vertical="center"/>
    </xf>
    <xf numFmtId="0" fontId="10" fillId="25" borderId="4" applyAlignment="1" pivotButton="0" quotePrefix="0" xfId="0">
      <alignment horizontal="center" vertical="center"/>
    </xf>
    <xf numFmtId="0" fontId="11" fillId="25" borderId="4" applyAlignment="1" pivotButton="0" quotePrefix="0" xfId="0">
      <alignment horizontal="center" vertical="center"/>
    </xf>
    <xf numFmtId="0" fontId="7" fillId="26" borderId="4" applyAlignment="1" pivotButton="0" quotePrefix="0" xfId="0">
      <alignment horizontal="left" vertical="center"/>
    </xf>
    <xf numFmtId="0" fontId="7" fillId="26" borderId="4" applyAlignment="1" pivotButton="0" quotePrefix="0" xfId="0">
      <alignment horizontal="center" vertical="center"/>
    </xf>
    <xf numFmtId="0" fontId="8" fillId="26" borderId="4" applyAlignment="1" pivotButton="0" quotePrefix="0" xfId="0">
      <alignment horizontal="center" vertical="center"/>
    </xf>
    <xf numFmtId="0" fontId="9" fillId="26" borderId="4" applyAlignment="1" pivotButton="0" quotePrefix="0" xfId="0">
      <alignment horizontal="center" vertical="center"/>
    </xf>
    <xf numFmtId="0" fontId="10" fillId="26" borderId="4" applyAlignment="1" pivotButton="0" quotePrefix="0" xfId="0">
      <alignment horizontal="center" vertical="center"/>
    </xf>
    <xf numFmtId="0" fontId="11" fillId="26" borderId="4" applyAlignment="1" pivotButton="0" quotePrefix="0" xfId="0">
      <alignment horizontal="center" vertical="center"/>
    </xf>
    <xf numFmtId="0" fontId="7" fillId="27" borderId="4" applyAlignment="1" pivotButton="0" quotePrefix="0" xfId="0">
      <alignment horizontal="left" vertical="center"/>
    </xf>
    <xf numFmtId="0" fontId="7" fillId="27" borderId="4" applyAlignment="1" pivotButton="0" quotePrefix="0" xfId="0">
      <alignment horizontal="center" vertical="center"/>
    </xf>
    <xf numFmtId="0" fontId="8" fillId="27" borderId="4" applyAlignment="1" pivotButton="0" quotePrefix="0" xfId="0">
      <alignment horizontal="center" vertical="center"/>
    </xf>
    <xf numFmtId="0" fontId="9" fillId="27" borderId="4" applyAlignment="1" pivotButton="0" quotePrefix="0" xfId="0">
      <alignment horizontal="center" vertical="center"/>
    </xf>
    <xf numFmtId="0" fontId="10" fillId="27" borderId="4" applyAlignment="1" pivotButton="0" quotePrefix="0" xfId="0">
      <alignment horizontal="center" vertical="center"/>
    </xf>
    <xf numFmtId="0" fontId="11" fillId="27" borderId="4" applyAlignment="1" pivotButton="0" quotePrefix="0" xfId="0">
      <alignment horizontal="center" vertical="center"/>
    </xf>
    <xf numFmtId="0" fontId="7" fillId="28" borderId="4" applyAlignment="1" pivotButton="0" quotePrefix="0" xfId="0">
      <alignment horizontal="left" vertical="center"/>
    </xf>
    <xf numFmtId="0" fontId="7" fillId="28" borderId="4" applyAlignment="1" pivotButton="0" quotePrefix="0" xfId="0">
      <alignment horizontal="center" vertical="center"/>
    </xf>
    <xf numFmtId="0" fontId="8" fillId="28" borderId="4" applyAlignment="1" pivotButton="0" quotePrefix="0" xfId="0">
      <alignment horizontal="center" vertical="center"/>
    </xf>
    <xf numFmtId="0" fontId="9" fillId="28" borderId="4" applyAlignment="1" pivotButton="0" quotePrefix="0" xfId="0">
      <alignment horizontal="center" vertical="center"/>
    </xf>
    <xf numFmtId="0" fontId="10" fillId="28" borderId="4" applyAlignment="1" pivotButton="0" quotePrefix="0" xfId="0">
      <alignment horizontal="center" vertical="center"/>
    </xf>
    <xf numFmtId="0" fontId="11" fillId="28" borderId="4" applyAlignment="1" pivotButton="0" quotePrefix="0" xfId="0">
      <alignment horizontal="center" vertical="center"/>
    </xf>
    <xf numFmtId="0" fontId="7" fillId="29" borderId="4" applyAlignment="1" pivotButton="0" quotePrefix="0" xfId="0">
      <alignment horizontal="left" vertical="center"/>
    </xf>
    <xf numFmtId="0" fontId="7" fillId="29" borderId="4" applyAlignment="1" pivotButton="0" quotePrefix="0" xfId="0">
      <alignment horizontal="center" vertical="center"/>
    </xf>
    <xf numFmtId="0" fontId="8" fillId="29" borderId="4" applyAlignment="1" pivotButton="0" quotePrefix="0" xfId="0">
      <alignment horizontal="center" vertical="center"/>
    </xf>
    <xf numFmtId="0" fontId="9" fillId="29" borderId="4" applyAlignment="1" pivotButton="0" quotePrefix="0" xfId="0">
      <alignment horizontal="center" vertical="center"/>
    </xf>
    <xf numFmtId="0" fontId="10" fillId="29" borderId="4" applyAlignment="1" pivotButton="0" quotePrefix="0" xfId="0">
      <alignment horizontal="center" vertical="center"/>
    </xf>
    <xf numFmtId="0" fontId="11" fillId="29" borderId="4" applyAlignment="1" pivotButton="0" quotePrefix="0" xfId="0">
      <alignment horizontal="center" vertical="center"/>
    </xf>
    <xf numFmtId="0" fontId="7" fillId="30" borderId="4" applyAlignment="1" pivotButton="0" quotePrefix="0" xfId="0">
      <alignment horizontal="left" vertical="center"/>
    </xf>
    <xf numFmtId="0" fontId="7" fillId="30" borderId="4" applyAlignment="1" pivotButton="0" quotePrefix="0" xfId="0">
      <alignment horizontal="center" vertical="center"/>
    </xf>
    <xf numFmtId="0" fontId="8" fillId="30" borderId="4" applyAlignment="1" pivotButton="0" quotePrefix="0" xfId="0">
      <alignment horizontal="center" vertical="center"/>
    </xf>
    <xf numFmtId="0" fontId="9" fillId="30" borderId="4" applyAlignment="1" pivotButton="0" quotePrefix="0" xfId="0">
      <alignment horizontal="center" vertical="center"/>
    </xf>
    <xf numFmtId="0" fontId="10" fillId="30" borderId="4" applyAlignment="1" pivotButton="0" quotePrefix="0" xfId="0">
      <alignment horizontal="center" vertical="center"/>
    </xf>
    <xf numFmtId="0" fontId="11" fillId="30" borderId="4" applyAlignment="1" pivotButton="0" quotePrefix="0" xfId="0">
      <alignment horizontal="center" vertical="center"/>
    </xf>
    <xf numFmtId="0" fontId="7" fillId="31" borderId="4" applyAlignment="1" pivotButton="0" quotePrefix="0" xfId="0">
      <alignment horizontal="left" vertical="center"/>
    </xf>
    <xf numFmtId="0" fontId="7" fillId="31" borderId="4" applyAlignment="1" pivotButton="0" quotePrefix="0" xfId="0">
      <alignment horizontal="center" vertical="center"/>
    </xf>
    <xf numFmtId="0" fontId="8" fillId="31" borderId="4" applyAlignment="1" pivotButton="0" quotePrefix="0" xfId="0">
      <alignment horizontal="center" vertical="center"/>
    </xf>
    <xf numFmtId="0" fontId="9" fillId="31" borderId="4" applyAlignment="1" pivotButton="0" quotePrefix="0" xfId="0">
      <alignment horizontal="center" vertical="center"/>
    </xf>
    <xf numFmtId="0" fontId="10" fillId="31" borderId="4" applyAlignment="1" pivotButton="0" quotePrefix="0" xfId="0">
      <alignment horizontal="center" vertical="center"/>
    </xf>
    <xf numFmtId="0" fontId="11" fillId="31" borderId="4" applyAlignment="1" pivotButton="0" quotePrefix="0" xfId="0">
      <alignment horizontal="center" vertical="center"/>
    </xf>
    <xf numFmtId="0" fontId="7" fillId="32" borderId="4" applyAlignment="1" pivotButton="0" quotePrefix="0" xfId="0">
      <alignment horizontal="left" vertical="center"/>
    </xf>
    <xf numFmtId="0" fontId="7" fillId="32" borderId="4" applyAlignment="1" pivotButton="0" quotePrefix="0" xfId="0">
      <alignment horizontal="center" vertical="center"/>
    </xf>
    <xf numFmtId="0" fontId="8" fillId="32" borderId="4" applyAlignment="1" pivotButton="0" quotePrefix="0" xfId="0">
      <alignment horizontal="center" vertical="center"/>
    </xf>
    <xf numFmtId="0" fontId="9" fillId="32" borderId="4" applyAlignment="1" pivotButton="0" quotePrefix="0" xfId="0">
      <alignment horizontal="center" vertical="center"/>
    </xf>
    <xf numFmtId="0" fontId="10" fillId="32" borderId="4" applyAlignment="1" pivotButton="0" quotePrefix="0" xfId="0">
      <alignment horizontal="center" vertical="center"/>
    </xf>
    <xf numFmtId="0" fontId="11" fillId="32" borderId="4" applyAlignment="1" pivotButton="0" quotePrefix="0" xfId="0">
      <alignment horizontal="center" vertical="center"/>
    </xf>
    <xf numFmtId="0" fontId="7" fillId="8" borderId="5" applyAlignment="1" pivotButton="0" quotePrefix="0" xfId="0">
      <alignment horizontal="left" vertical="center"/>
    </xf>
    <xf numFmtId="0" fontId="7" fillId="8" borderId="5" applyAlignment="1" pivotButton="0" quotePrefix="0" xfId="0">
      <alignment horizontal="center" vertical="center"/>
    </xf>
    <xf numFmtId="0" fontId="15" fillId="2" borderId="0" applyAlignment="1" pivotButton="0" quotePrefix="0" xfId="0">
      <alignment horizontal="center"/>
    </xf>
    <xf numFmtId="0" fontId="12" fillId="8" borderId="0" applyAlignment="1" pivotButton="0" quotePrefix="0" xfId="0">
      <alignment horizontal="center" vertical="center" wrapText="1"/>
    </xf>
    <xf numFmtId="0" fontId="7" fillId="15" borderId="0" applyAlignment="1" pivotButton="0" quotePrefix="0" xfId="0">
      <alignment horizontal="center" vertical="center" wrapText="1"/>
    </xf>
    <xf numFmtId="0" fontId="12" fillId="15" borderId="0" applyAlignment="1" pivotButton="0" quotePrefix="0" xfId="0">
      <alignment horizontal="center"/>
    </xf>
    <xf numFmtId="0" fontId="12" fillId="15" borderId="0" applyAlignment="1" pivotButton="0" quotePrefix="0" xfId="0">
      <alignment horizontal="center" vertical="center" wrapText="1"/>
    </xf>
    <xf numFmtId="1" fontId="16" fillId="38" borderId="6" applyAlignment="1" pivotButton="0" quotePrefix="0" xfId="0">
      <alignment horizontal="center" vertical="center"/>
    </xf>
    <xf numFmtId="1" fontId="16" fillId="39" borderId="6" applyAlignment="1" pivotButton="0" quotePrefix="0" xfId="0">
      <alignment horizontal="center" vertical="center"/>
    </xf>
    <xf numFmtId="0" fontId="12" fillId="38" borderId="7" applyAlignment="1" pivotButton="0" quotePrefix="0" xfId="0">
      <alignment horizontal="center" vertical="center" wrapText="1"/>
    </xf>
    <xf numFmtId="0" fontId="12" fillId="39" borderId="7" applyAlignment="1" pivotButton="0" quotePrefix="0" xfId="0">
      <alignment horizontal="center" vertical="center" wrapText="1"/>
    </xf>
    <xf numFmtId="0" fontId="12" fillId="39" borderId="0" applyAlignment="1" pivotButton="0" quotePrefix="0" xfId="0">
      <alignment horizontal="center"/>
    </xf>
    <xf numFmtId="1" fontId="16" fillId="26" borderId="6" applyAlignment="1" pivotButton="0" quotePrefix="0" xfId="0">
      <alignment horizontal="center" vertical="center"/>
    </xf>
    <xf numFmtId="0" fontId="12" fillId="26" borderId="7" applyAlignment="1" pivotButton="0" quotePrefix="0" xfId="0">
      <alignment horizontal="center" vertical="center" wrapText="1"/>
    </xf>
    <xf numFmtId="0" fontId="12" fillId="26" borderId="0" applyAlignment="1" pivotButton="0" quotePrefix="0" xfId="0">
      <alignment horizontal="center"/>
    </xf>
    <xf numFmtId="1" fontId="16" fillId="13" borderId="6" applyAlignment="1" pivotButton="0" quotePrefix="0" xfId="0">
      <alignment horizontal="center" vertical="center"/>
    </xf>
    <xf numFmtId="0" fontId="12" fillId="13" borderId="7" applyAlignment="1" pivotButton="0" quotePrefix="0" xfId="0">
      <alignment horizontal="center" vertical="center" wrapText="1"/>
    </xf>
    <xf numFmtId="0" fontId="12" fillId="13" borderId="0" applyAlignment="1" pivotButton="0" quotePrefix="0" xfId="0">
      <alignment horizontal="center"/>
    </xf>
    <xf numFmtId="0" fontId="12" fillId="38" borderId="0" applyAlignment="1" pivotButton="0" quotePrefix="0" xfId="0">
      <alignment horizontal="center"/>
    </xf>
    <xf numFmtId="0" fontId="17" fillId="37" borderId="0" applyAlignment="1" pivotButton="0" quotePrefix="0" xfId="0">
      <alignment horizontal="center"/>
    </xf>
    <xf numFmtId="0" fontId="3" fillId="2" borderId="2" applyAlignment="1" pivotButton="0" quotePrefix="0" xfId="0">
      <alignment horizontal="center" vertical="center"/>
    </xf>
    <xf numFmtId="0" fontId="4" fillId="3" borderId="0" applyAlignment="1" pivotButton="0" quotePrefix="0" xfId="0">
      <alignment vertical="top"/>
    </xf>
    <xf numFmtId="0" fontId="4" fillId="3" borderId="0" applyAlignment="1" pivotButton="0" quotePrefix="0" xfId="1">
      <alignment vertical="top"/>
    </xf>
    <xf numFmtId="0" fontId="4" fillId="4" borderId="0" applyAlignment="1" pivotButton="0" quotePrefix="0" xfId="0">
      <alignment vertical="top"/>
    </xf>
    <xf numFmtId="0" fontId="4" fillId="4" borderId="0" applyAlignment="1" pivotButton="0" quotePrefix="0" xfId="1">
      <alignment vertical="top"/>
    </xf>
    <xf numFmtId="0" fontId="4" fillId="5" borderId="0" applyAlignment="1" pivotButton="0" quotePrefix="0" xfId="0">
      <alignment vertical="top"/>
    </xf>
    <xf numFmtId="0" fontId="4" fillId="5" borderId="0" applyAlignment="1" pivotButton="0" quotePrefix="0" xfId="1">
      <alignment vertical="top"/>
    </xf>
    <xf numFmtId="0" fontId="4" fillId="6" borderId="0" applyAlignment="1" pivotButton="0" quotePrefix="0" xfId="0">
      <alignment vertical="top"/>
    </xf>
    <xf numFmtId="0" fontId="4" fillId="6" borderId="0" applyAlignment="1" pivotButton="0" quotePrefix="0" xfId="1">
      <alignment vertical="top"/>
    </xf>
    <xf numFmtId="0" fontId="7" fillId="40" borderId="0" applyAlignment="1" pivotButton="0" quotePrefix="0" xfId="0">
      <alignment horizontal="center"/>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Threats by Risk Level</a:t>
            </a:r>
          </a:p>
        </rich>
      </tx>
    </title>
    <plotArea>
      <barChart>
        <barDir val="col"/>
        <grouping val="clustered"/>
        <ser>
          <idx val="0"/>
          <order val="0"/>
          <tx>
            <strRef>
              <f>'📊 Dashboard'!K2</f>
            </strRef>
          </tx>
          <spPr>
            <a:ln xmlns:a="http://schemas.openxmlformats.org/drawingml/2006/main">
              <a:prstDash val="solid"/>
            </a:ln>
          </spPr>
          <dPt>
            <idx val="0"/>
            <spPr>
              <a:solidFill xmlns:a="http://schemas.openxmlformats.org/drawingml/2006/main">
                <a:srgbClr val="C0392B"/>
              </a:solidFill>
              <a:ln xmlns:a="http://schemas.openxmlformats.org/drawingml/2006/main">
                <a:solidFill>
                  <a:srgbClr val="C0392B"/>
                </a:solidFill>
                <a:prstDash val="solid"/>
              </a:ln>
            </spPr>
          </dPt>
          <dPt>
            <idx val="1"/>
            <spPr>
              <a:solidFill xmlns:a="http://schemas.openxmlformats.org/drawingml/2006/main">
                <a:srgbClr val="E67E22"/>
              </a:solidFill>
              <a:ln xmlns:a="http://schemas.openxmlformats.org/drawingml/2006/main">
                <a:solidFill>
                  <a:srgbClr val="E67E22"/>
                </a:solidFill>
                <a:prstDash val="solid"/>
              </a:ln>
            </spPr>
          </dPt>
          <dPt>
            <idx val="2"/>
            <spPr>
              <a:solidFill xmlns:a="http://schemas.openxmlformats.org/drawingml/2006/main">
                <a:srgbClr val="F1C40F"/>
              </a:solidFill>
              <a:ln xmlns:a="http://schemas.openxmlformats.org/drawingml/2006/main">
                <a:solidFill>
                  <a:srgbClr val="F1C40F"/>
                </a:solidFill>
                <a:prstDash val="solid"/>
              </a:ln>
            </spPr>
          </dPt>
          <dPt>
            <idx val="3"/>
            <spPr>
              <a:solidFill xmlns:a="http://schemas.openxmlformats.org/drawingml/2006/main">
                <a:srgbClr val="27AE60"/>
              </a:solidFill>
              <a:ln xmlns:a="http://schemas.openxmlformats.org/drawingml/2006/main">
                <a:solidFill>
                  <a:srgbClr val="27AE60"/>
                </a:solidFill>
                <a:prstDash val="solid"/>
              </a:ln>
            </spPr>
          </dPt>
          <dLbls>
            <dLblPos val="outEnd"/>
            <showVal val="1"/>
          </dLbls>
          <cat>
            <numRef>
              <f>'📊 Dashboard'!$J$3:$J$6</f>
            </numRef>
          </cat>
          <val>
            <numRef>
              <f>'📊 Dashboard'!$K$3:$K$6</f>
            </numRef>
          </val>
        </ser>
        <gapWidth val="150"/>
        <overlap val="0"/>
        <axId val="10"/>
        <axId val="100"/>
      </barChart>
      <catAx>
        <axId val="10"/>
        <scaling>
          <orientation val="minMax"/>
        </scaling>
        <axPos val="l"/>
        <title>
          <tx>
            <rich>
              <a:bodyPr xmlns:a="http://schemas.openxmlformats.org/drawingml/2006/main"/>
              <a:p xmlns:a="http://schemas.openxmlformats.org/drawingml/2006/main">
                <a:pPr>
                  <a:defRPr/>
                </a:pPr>
                <a:r>
                  <a:t>Risk Level</a:t>
                </a:r>
              </a:p>
            </rich>
          </tx>
        </title>
        <majorTickMark val="none"/>
        <minorTickMark val="none"/>
        <crossAx val="100"/>
        <lblOffset val="100"/>
      </catAx>
      <valAx>
        <axId val="100"/>
        <scaling>
          <orientation val="minMax"/>
        </scaling>
        <axPos val="l"/>
        <title>
          <tx>
            <rich>
              <a:bodyPr xmlns:a="http://schemas.openxmlformats.org/drawingml/2006/main"/>
              <a:p xmlns:a="http://schemas.openxmlformats.org/drawingml/2006/main">
                <a:pPr>
                  <a:defRPr/>
                </a:pPr>
                <a:r>
                  <a:t>Count</a:t>
                </a:r>
              </a:p>
            </rich>
          </tx>
        </title>
        <numFmt formatCode="0" sourceLinked="0"/>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Threats by Priority</a:t>
            </a:r>
          </a:p>
        </rich>
      </tx>
    </title>
    <plotArea>
      <barChart>
        <barDir val="col"/>
        <grouping val="clustered"/>
        <ser>
          <idx val="0"/>
          <order val="0"/>
          <tx>
            <strRef>
              <f>'📊 Dashboard'!K7</f>
            </strRef>
          </tx>
          <spPr>
            <a:ln xmlns:a="http://schemas.openxmlformats.org/drawingml/2006/main">
              <a:prstDash val="solid"/>
            </a:ln>
          </spPr>
          <dPt>
            <idx val="0"/>
            <spPr>
              <a:solidFill xmlns:a="http://schemas.openxmlformats.org/drawingml/2006/main">
                <a:srgbClr val="E94560"/>
              </a:solidFill>
              <a:ln xmlns:a="http://schemas.openxmlformats.org/drawingml/2006/main">
                <a:solidFill>
                  <a:srgbClr val="E94560"/>
                </a:solidFill>
                <a:prstDash val="solid"/>
              </a:ln>
            </spPr>
          </dPt>
          <dPt>
            <idx val="1"/>
            <spPr>
              <a:solidFill xmlns:a="http://schemas.openxmlformats.org/drawingml/2006/main">
                <a:srgbClr val="E67E22"/>
              </a:solidFill>
              <a:ln xmlns:a="http://schemas.openxmlformats.org/drawingml/2006/main">
                <a:solidFill>
                  <a:srgbClr val="E67E22"/>
                </a:solidFill>
                <a:prstDash val="solid"/>
              </a:ln>
            </spPr>
          </dPt>
          <dPt>
            <idx val="2"/>
            <spPr>
              <a:solidFill xmlns:a="http://schemas.openxmlformats.org/drawingml/2006/main">
                <a:srgbClr val="3498DB"/>
              </a:solidFill>
              <a:ln xmlns:a="http://schemas.openxmlformats.org/drawingml/2006/main">
                <a:solidFill>
                  <a:srgbClr val="3498DB"/>
                </a:solidFill>
                <a:prstDash val="solid"/>
              </a:ln>
            </spPr>
          </dPt>
          <dPt>
            <idx val="3"/>
            <spPr>
              <a:solidFill xmlns:a="http://schemas.openxmlformats.org/drawingml/2006/main">
                <a:srgbClr val="27AE60"/>
              </a:solidFill>
              <a:ln xmlns:a="http://schemas.openxmlformats.org/drawingml/2006/main">
                <a:solidFill>
                  <a:srgbClr val="27AE60"/>
                </a:solidFill>
                <a:prstDash val="solid"/>
              </a:ln>
            </spPr>
          </dPt>
          <dLbls>
            <dLblPos val="ctr"/>
            <showVal val="1"/>
          </dLbls>
          <cat>
            <numRef>
              <f>'📊 Dashboard'!$J$8:$J$11</f>
            </numRef>
          </cat>
          <val>
            <numRef>
              <f>'📊 Dashboard'!$K$8:$K$11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title>
          <tx>
            <rich>
              <a:bodyPr xmlns:a="http://schemas.openxmlformats.org/drawingml/2006/main"/>
              <a:p xmlns:a="http://schemas.openxmlformats.org/drawingml/2006/main">
                <a:pPr>
                  <a:defRPr/>
                </a:pPr>
                <a:r>
                  <a:t>Count</a:t>
                </a:r>
              </a:p>
            </rich>
          </tx>
        </title>
        <numFmt formatCode="0" sourceLinked="0"/>
        <majorTickMark val="none"/>
        <minorTickMark val="none"/>
        <crossAx val="10"/>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Threat Type Distribution (Top 8)</a:t>
            </a:r>
          </a:p>
        </rich>
      </tx>
    </title>
    <plotArea>
      <doughnutChart>
        <varyColors val="1"/>
        <ser>
          <idx val="0"/>
          <order val="0"/>
          <tx>
            <strRef>
              <f>'📊 Dashboard'!K12</f>
            </strRef>
          </tx>
          <spPr>
            <a:ln xmlns:a="http://schemas.openxmlformats.org/drawingml/2006/main">
              <a:prstDash val="solid"/>
            </a:ln>
          </spPr>
          <dPt>
            <idx val="0"/>
            <spPr>
              <a:solidFill xmlns:a="http://schemas.openxmlformats.org/drawingml/2006/main">
                <a:srgbClr val="E94560"/>
              </a:solidFill>
              <a:ln xmlns:a="http://schemas.openxmlformats.org/drawingml/2006/main">
                <a:solidFill>
                  <a:srgbClr val="1A1A2E"/>
                </a:solidFill>
                <a:prstDash val="solid"/>
              </a:ln>
            </spPr>
          </dPt>
          <dPt>
            <idx val="1"/>
            <spPr>
              <a:solidFill xmlns:a="http://schemas.openxmlformats.org/drawingml/2006/main">
                <a:srgbClr val="3498DB"/>
              </a:solidFill>
              <a:ln xmlns:a="http://schemas.openxmlformats.org/drawingml/2006/main">
                <a:solidFill>
                  <a:srgbClr val="1A1A2E"/>
                </a:solidFill>
                <a:prstDash val="solid"/>
              </a:ln>
            </spPr>
          </dPt>
          <dPt>
            <idx val="2"/>
            <spPr>
              <a:solidFill xmlns:a="http://schemas.openxmlformats.org/drawingml/2006/main">
                <a:srgbClr val="E67E22"/>
              </a:solidFill>
              <a:ln xmlns:a="http://schemas.openxmlformats.org/drawingml/2006/main">
                <a:solidFill>
                  <a:srgbClr val="1A1A2E"/>
                </a:solidFill>
                <a:prstDash val="solid"/>
              </a:ln>
            </spPr>
          </dPt>
          <dPt>
            <idx val="3"/>
            <spPr>
              <a:solidFill xmlns:a="http://schemas.openxmlformats.org/drawingml/2006/main">
                <a:srgbClr val="9B59B6"/>
              </a:solidFill>
              <a:ln xmlns:a="http://schemas.openxmlformats.org/drawingml/2006/main">
                <a:solidFill>
                  <a:srgbClr val="1A1A2E"/>
                </a:solidFill>
                <a:prstDash val="solid"/>
              </a:ln>
            </spPr>
          </dPt>
          <dPt>
            <idx val="4"/>
            <spPr>
              <a:solidFill xmlns:a="http://schemas.openxmlformats.org/drawingml/2006/main">
                <a:srgbClr val="1ABC9C"/>
              </a:solidFill>
              <a:ln xmlns:a="http://schemas.openxmlformats.org/drawingml/2006/main">
                <a:solidFill>
                  <a:srgbClr val="1A1A2E"/>
                </a:solidFill>
                <a:prstDash val="solid"/>
              </a:ln>
            </spPr>
          </dPt>
          <dPt>
            <idx val="5"/>
            <spPr>
              <a:solidFill xmlns:a="http://schemas.openxmlformats.org/drawingml/2006/main">
                <a:srgbClr val="F39C12"/>
              </a:solidFill>
              <a:ln xmlns:a="http://schemas.openxmlformats.org/drawingml/2006/main">
                <a:solidFill>
                  <a:srgbClr val="1A1A2E"/>
                </a:solidFill>
                <a:prstDash val="solid"/>
              </a:ln>
            </spPr>
          </dPt>
          <dPt>
            <idx val="6"/>
            <spPr>
              <a:solidFill xmlns:a="http://schemas.openxmlformats.org/drawingml/2006/main">
                <a:srgbClr val="2ECC71"/>
              </a:solidFill>
              <a:ln xmlns:a="http://schemas.openxmlformats.org/drawingml/2006/main">
                <a:solidFill>
                  <a:srgbClr val="1A1A2E"/>
                </a:solidFill>
                <a:prstDash val="solid"/>
              </a:ln>
            </spPr>
          </dPt>
          <dPt>
            <idx val="7"/>
            <spPr>
              <a:solidFill xmlns:a="http://schemas.openxmlformats.org/drawingml/2006/main">
                <a:srgbClr val="E74C3C"/>
              </a:solidFill>
              <a:ln xmlns:a="http://schemas.openxmlformats.org/drawingml/2006/main">
                <a:solidFill>
                  <a:srgbClr val="1A1A2E"/>
                </a:solidFill>
                <a:prstDash val="solid"/>
              </a:ln>
            </spPr>
          </dPt>
          <dLbls>
            <showVal val="0"/>
            <showPercent val="1"/>
          </dLbls>
          <cat>
            <numRef>
              <f>'📊 Dashboard'!$J$13:$J$20</f>
            </numRef>
          </cat>
          <val>
            <numRef>
              <f>'📊 Dashboard'!$K$13:$K$20</f>
            </numRef>
          </val>
        </ser>
        <firstSliceAng val="0"/>
        <holeSize val="40"/>
      </doughnut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12</col>
      <colOff>0</colOff>
      <row>1</row>
      <rowOff>0</rowOff>
    </from>
    <ext cx="504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12</col>
      <colOff>0</colOff>
      <row>12</row>
      <rowOff>0</rowOff>
    </from>
    <ext cx="504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21</col>
      <colOff>0</colOff>
      <row>1</row>
      <rowOff>0</rowOff>
    </from>
    <ext cx="5760000" cy="64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hyperlink" Target="https://nvd.nist.gov/vuln/detail/CVE-2025-12062" TargetMode="External" Id="rId1"/><Relationship Type="http://schemas.openxmlformats.org/officeDocument/2006/relationships/hyperlink" Target="https://nvd.nist.gov/vuln/detail/CVE-2025-12062" TargetMode="External" Id="rId2"/><Relationship Type="http://schemas.openxmlformats.org/officeDocument/2006/relationships/hyperlink" Target="https://nvd.nist.gov/vuln/detail/CVE-2026-26220" TargetMode="External" Id="rId3"/><Relationship Type="http://schemas.openxmlformats.org/officeDocument/2006/relationships/hyperlink" Target="https://nvd.nist.gov/vuln/detail/CVE-2026-26220" TargetMode="External" Id="rId4"/><Relationship Type="http://schemas.openxmlformats.org/officeDocument/2006/relationships/hyperlink" Target="https://nvd.nist.gov/vuln/detail/CVE-2026-2002" TargetMode="External" Id="rId5"/><Relationship Type="http://schemas.openxmlformats.org/officeDocument/2006/relationships/hyperlink" Target="https://nvd.nist.gov/vuln/detail/CVE-2026-2002" TargetMode="External" Id="rId6"/><Relationship Type="http://schemas.openxmlformats.org/officeDocument/2006/relationships/hyperlink" Target="https://nvd.nist.gov/vuln/detail/CVE-2026-2592" TargetMode="External" Id="rId7"/><Relationship Type="http://schemas.openxmlformats.org/officeDocument/2006/relationships/hyperlink" Target="https://nvd.nist.gov/vuln/detail/CVE-2026-2592" TargetMode="External" Id="rId8"/><Relationship Type="http://schemas.openxmlformats.org/officeDocument/2006/relationships/hyperlink" Target="https://nvd.nist.gov/vuln/detail/CVE-2026-1657" TargetMode="External" Id="rId9"/><Relationship Type="http://schemas.openxmlformats.org/officeDocument/2006/relationships/hyperlink" Target="https://nvd.nist.gov/vuln/detail/CVE-2026-1657" TargetMode="External" Id="rId10"/><Relationship Type="http://schemas.openxmlformats.org/officeDocument/2006/relationships/hyperlink" Target="https://nvd.nist.gov/vuln/detail/CVE-2026-0829" TargetMode="External" Id="rId11"/><Relationship Type="http://schemas.openxmlformats.org/officeDocument/2006/relationships/hyperlink" Target="https://nvd.nist.gov/vuln/detail/CVE-2026-0829" TargetMode="External" Id="rId12"/><Relationship Type="http://schemas.openxmlformats.org/officeDocument/2006/relationships/hyperlink" Target="https://nvd.nist.gov/vuln/detail/CVE-2026-1216" TargetMode="External" Id="rId13"/><Relationship Type="http://schemas.openxmlformats.org/officeDocument/2006/relationships/hyperlink" Target="https://nvd.nist.gov/vuln/detail/CVE-2026-1216" TargetMode="External" Id="rId14"/><Relationship Type="http://schemas.openxmlformats.org/officeDocument/2006/relationships/hyperlink" Target="https://nvd.nist.gov/vuln/detail/CVE-2026-25903" TargetMode="External" Id="rId15"/><Relationship Type="http://schemas.openxmlformats.org/officeDocument/2006/relationships/hyperlink" Target="https://nvd.nist.gov/vuln/detail/CVE-2026-25903" TargetMode="External" Id="rId16"/><Relationship Type="http://schemas.openxmlformats.org/officeDocument/2006/relationships/hyperlink" Target="https://nvd.nist.gov/vuln/detail/CVE-2025-7631" TargetMode="External" Id="rId17"/><Relationship Type="http://schemas.openxmlformats.org/officeDocument/2006/relationships/hyperlink" Target="https://nvd.nist.gov/vuln/detail/CVE-2025-7631" TargetMode="External" Id="rId18"/><Relationship Type="http://schemas.openxmlformats.org/officeDocument/2006/relationships/hyperlink" Target="https://nvd.nist.gov/vuln/detail/CVE-2025-8303" TargetMode="External" Id="rId19"/><Relationship Type="http://schemas.openxmlformats.org/officeDocument/2006/relationships/hyperlink" Target="https://nvd.nist.gov/vuln/detail/CVE-2025-8303" TargetMode="External" Id="rId20"/><Relationship Type="http://schemas.openxmlformats.org/officeDocument/2006/relationships/hyperlink" Target="https://nvd.nist.gov/vuln/detail/CVE-2026-2247" TargetMode="External" Id="rId21"/><Relationship Type="http://schemas.openxmlformats.org/officeDocument/2006/relationships/hyperlink" Target="https://nvd.nist.gov/vuln/detail/CVE-2026-2247" TargetMode="External" Id="rId22"/><Relationship Type="http://schemas.openxmlformats.org/officeDocument/2006/relationships/hyperlink" Target="https://nvd.nist.gov/vuln/detail/CVE-2026-2608" TargetMode="External" Id="rId23"/><Relationship Type="http://schemas.openxmlformats.org/officeDocument/2006/relationships/hyperlink" Target="https://nvd.nist.gov/vuln/detail/CVE-2026-2608" TargetMode="External" Id="rId24"/><Relationship Type="http://schemas.openxmlformats.org/officeDocument/2006/relationships/hyperlink" Target="https://nvd.nist.gov/vuln/detail/CVE-2026-2615" TargetMode="External" Id="rId25"/><Relationship Type="http://schemas.openxmlformats.org/officeDocument/2006/relationships/hyperlink" Target="https://nvd.nist.gov/vuln/detail/CVE-2026-2615" TargetMode="External" Id="rId26"/><Relationship Type="http://schemas.openxmlformats.org/officeDocument/2006/relationships/hyperlink" Target="https://nvd.nist.gov/vuln/detail/CVE-2025-7706" TargetMode="External" Id="rId27"/><Relationship Type="http://schemas.openxmlformats.org/officeDocument/2006/relationships/hyperlink" Target="https://nvd.nist.gov/vuln/detail/CVE-2025-7706" TargetMode="External" Id="rId28"/><Relationship Type="http://schemas.openxmlformats.org/officeDocument/2006/relationships/hyperlink" Target="https://nvd.nist.gov/vuln/detail/CVE-2026-23861" TargetMode="External" Id="rId29"/><Relationship Type="http://schemas.openxmlformats.org/officeDocument/2006/relationships/hyperlink" Target="https://nvd.nist.gov/vuln/detail/CVE-2026-23861" TargetMode="External" Id="rId30"/><Relationship Type="http://schemas.openxmlformats.org/officeDocument/2006/relationships/hyperlink" Target="https://nvd.nist.gov/vuln/detail/CVE-2026-25087" TargetMode="External" Id="rId31"/><Relationship Type="http://schemas.openxmlformats.org/officeDocument/2006/relationships/hyperlink" Target="https://nvd.nist.gov/vuln/detail/CVE-2026-25087" TargetMode="External" Id="rId32"/><Relationship Type="http://schemas.openxmlformats.org/officeDocument/2006/relationships/hyperlink" Target="https://nvd.nist.gov/vuln/detail/CVE-2022-41650" TargetMode="External" Id="rId33"/><Relationship Type="http://schemas.openxmlformats.org/officeDocument/2006/relationships/hyperlink" Target="https://nvd.nist.gov/vuln/detail/CVE-2022-41650" TargetMode="External" Id="rId34"/><Relationship Type="http://schemas.openxmlformats.org/officeDocument/2006/relationships/hyperlink" Target="https://nvd.nist.gov/vuln/detail/CVE-2024-31118" TargetMode="External" Id="rId35"/><Relationship Type="http://schemas.openxmlformats.org/officeDocument/2006/relationships/hyperlink" Target="https://nvd.nist.gov/vuln/detail/CVE-2024-31118" TargetMode="External" Id="rId36"/><Relationship Type="http://schemas.openxmlformats.org/officeDocument/2006/relationships/hyperlink" Target="https://nvd.nist.gov/vuln/detail/CVE-2025-70829" TargetMode="External" Id="rId37"/><Relationship Type="http://schemas.openxmlformats.org/officeDocument/2006/relationships/hyperlink" Target="https://nvd.nist.gov/vuln/detail/CVE-2025-70829" TargetMode="External" Id="rId38"/><Relationship Type="http://schemas.openxmlformats.org/officeDocument/2006/relationships/hyperlink" Target="https://nvd.nist.gov/vuln/detail/CVE-2026-22208" TargetMode="External" Id="rId39"/><Relationship Type="http://schemas.openxmlformats.org/officeDocument/2006/relationships/hyperlink" Target="https://nvd.nist.gov/vuln/detail/CVE-2026-22208" TargetMode="External" Id="rId40"/><Relationship Type="http://schemas.openxmlformats.org/officeDocument/2006/relationships/hyperlink" Target="https://nvd.nist.gov/vuln/detail/CVE-2026-2616" TargetMode="External" Id="rId41"/><Relationship Type="http://schemas.openxmlformats.org/officeDocument/2006/relationships/hyperlink" Target="https://nvd.nist.gov/vuln/detail/CVE-2026-2616" TargetMode="External" Id="rId42"/><Relationship Type="http://schemas.openxmlformats.org/officeDocument/2006/relationships/hyperlink" Target="https://nvd.nist.gov/vuln/detail/CVE-2025-65753" TargetMode="External" Id="rId43"/><Relationship Type="http://schemas.openxmlformats.org/officeDocument/2006/relationships/hyperlink" Target="https://nvd.nist.gov/vuln/detail/CVE-2025-65753" TargetMode="External" Id="rId44"/><Relationship Type="http://schemas.openxmlformats.org/officeDocument/2006/relationships/hyperlink" Target="https://nvd.nist.gov/vuln/detail/CVE-2025-70397" TargetMode="External" Id="rId45"/><Relationship Type="http://schemas.openxmlformats.org/officeDocument/2006/relationships/hyperlink" Target="https://nvd.nist.gov/vuln/detail/CVE-2025-70397" TargetMode="External" Id="rId46"/><Relationship Type="http://schemas.openxmlformats.org/officeDocument/2006/relationships/hyperlink" Target="https://nvd.nist.gov/vuln/detail/CVE-2025-70828" TargetMode="External" Id="rId47"/><Relationship Type="http://schemas.openxmlformats.org/officeDocument/2006/relationships/hyperlink" Target="https://nvd.nist.gov/vuln/detail/CVE-2025-70828" TargetMode="External" Id="rId48"/><Relationship Type="http://schemas.openxmlformats.org/officeDocument/2006/relationships/hyperlink" Target="https://nvd.nist.gov/vuln/detail/CVE-2025-70830" TargetMode="External" Id="rId49"/><Relationship Type="http://schemas.openxmlformats.org/officeDocument/2006/relationships/hyperlink" Target="https://nvd.nist.gov/vuln/detail/CVE-2025-70830" TargetMode="External" Id="rId50"/><Relationship Type="http://schemas.openxmlformats.org/officeDocument/2006/relationships/hyperlink" Target="https://nvd.nist.gov/vuln/detail/CVE-2026-2617" TargetMode="External" Id="rId51"/><Relationship Type="http://schemas.openxmlformats.org/officeDocument/2006/relationships/hyperlink" Target="https://nvd.nist.gov/vuln/detail/CVE-2026-2617" TargetMode="External" Id="rId52"/><Relationship Type="http://schemas.openxmlformats.org/officeDocument/2006/relationships/hyperlink" Target="https://nvd.nist.gov/vuln/detail/CVE-2024-55271" TargetMode="External" Id="rId53"/><Relationship Type="http://schemas.openxmlformats.org/officeDocument/2006/relationships/hyperlink" Target="https://nvd.nist.gov/vuln/detail/CVE-2024-55271" TargetMode="External" Id="rId54"/><Relationship Type="http://schemas.openxmlformats.org/officeDocument/2006/relationships/hyperlink" Target="https://nvd.nist.gov/vuln/detail/CVE-2025-67905" TargetMode="External" Id="rId55"/><Relationship Type="http://schemas.openxmlformats.org/officeDocument/2006/relationships/hyperlink" Target="https://nvd.nist.gov/vuln/detail/CVE-2025-67905" TargetMode="External" Id="rId56"/><Relationship Type="http://schemas.openxmlformats.org/officeDocument/2006/relationships/hyperlink" Target="https://nvd.nist.gov/vuln/detail/CVE-2026-23647" TargetMode="External" Id="rId57"/><Relationship Type="http://schemas.openxmlformats.org/officeDocument/2006/relationships/hyperlink" Target="https://nvd.nist.gov/vuln/detail/CVE-2026-23647" TargetMode="External" Id="rId58"/><Relationship Type="http://schemas.openxmlformats.org/officeDocument/2006/relationships/hyperlink" Target="https://nvd.nist.gov/vuln/detail/CVE-2026-23648" TargetMode="External" Id="rId59"/><Relationship Type="http://schemas.openxmlformats.org/officeDocument/2006/relationships/hyperlink" Target="https://nvd.nist.gov/vuln/detail/CVE-2026-23648" TargetMode="External" Id="rId60"/><Relationship Type="http://schemas.openxmlformats.org/officeDocument/2006/relationships/hyperlink" Target="https://nvd.nist.gov/vuln/detail/CVE-2026-2618" TargetMode="External" Id="rId61"/><Relationship Type="http://schemas.openxmlformats.org/officeDocument/2006/relationships/hyperlink" Target="https://gist.github.com/raghav20232023/8e8e559f80e2d596cb6154747f69a081" TargetMode="External" Id="rId62"/><Relationship Type="http://schemas.openxmlformats.org/officeDocument/2006/relationships/hyperlink" Target="https://gist.github.com/raghav20232023/8e8e559f80e2d596cb6154747f69a081" TargetMode="External" Id="rId63"/><Relationship Type="http://schemas.openxmlformats.org/officeDocument/2006/relationships/hyperlink" Target="https://nvd.nist.gov/vuln/detail/CVE-2026-2618" TargetMode="External" Id="rId64"/><Relationship Type="http://schemas.openxmlformats.org/officeDocument/2006/relationships/hyperlink" Target="https://nvd.nist.gov/vuln/detail/CVE-2024-55270" TargetMode="External" Id="rId65"/><Relationship Type="http://schemas.openxmlformats.org/officeDocument/2006/relationships/hyperlink" Target="https://nvd.nist.gov/vuln/detail/CVE-2024-55270" TargetMode="External" Id="rId66"/><Relationship Type="http://schemas.openxmlformats.org/officeDocument/2006/relationships/hyperlink" Target="https://nvd.nist.gov/vuln/detail/CVE-2025-13867" TargetMode="External" Id="rId67"/><Relationship Type="http://schemas.openxmlformats.org/officeDocument/2006/relationships/hyperlink" Target="https://www.ibm.com/support/pages/node/7259963" TargetMode="External" Id="rId68"/><Relationship Type="http://schemas.openxmlformats.org/officeDocument/2006/relationships/hyperlink" Target="https://nvd.nist.gov/vuln/detail/CVE-2025-13867" TargetMode="External" Id="rId69"/><Relationship Type="http://schemas.openxmlformats.org/officeDocument/2006/relationships/hyperlink" Target="https://nvd.nist.gov/vuln/detail/CVE-2025-14689" TargetMode="External" Id="rId70"/><Relationship Type="http://schemas.openxmlformats.org/officeDocument/2006/relationships/hyperlink" Target="https://www.ibm.com/support/pages/node/7259964" TargetMode="External" Id="rId71"/><Relationship Type="http://schemas.openxmlformats.org/officeDocument/2006/relationships/hyperlink" Target="https://nvd.nist.gov/vuln/detail/CVE-2025-14689" TargetMode="External" Id="rId72"/><Relationship Type="http://schemas.openxmlformats.org/officeDocument/2006/relationships/hyperlink" Target="https://nvd.nist.gov/vuln/detail/CVE-2025-36247" TargetMode="External" Id="rId73"/><Relationship Type="http://schemas.openxmlformats.org/officeDocument/2006/relationships/hyperlink" Target="https://www.ibm.com/support/pages/node/7259961" TargetMode="External" Id="rId74"/><Relationship Type="http://schemas.openxmlformats.org/officeDocument/2006/relationships/hyperlink" Target="https://nvd.nist.gov/vuln/detail/CVE-2025-36247" TargetMode="External" Id="rId75"/><Relationship Type="http://schemas.openxmlformats.org/officeDocument/2006/relationships/hyperlink" Target="https://nvd.nist.gov/vuln/detail/CVE-2025-36425" TargetMode="External" Id="rId76"/><Relationship Type="http://schemas.openxmlformats.org/officeDocument/2006/relationships/hyperlink" Target="https://www.ibm.com/support/pages/node/7259962" TargetMode="External" Id="rId77"/><Relationship Type="http://schemas.openxmlformats.org/officeDocument/2006/relationships/hyperlink" Target="https://nvd.nist.gov/vuln/detail/CVE-2025-36425" TargetMode="External" Id="rId78"/><Relationship Type="http://schemas.openxmlformats.org/officeDocument/2006/relationships/hyperlink" Target="https://nvd.nist.gov/vuln/detail/CVE-2026-1452" TargetMode="External" Id="rId79"/><Relationship Type="http://schemas.openxmlformats.org/officeDocument/2006/relationships/hyperlink" Target="https://nvd.nist.gov/vuln/detail/CVE-2026-1452" TargetMode="External" Id="rId80"/><Relationship Type="http://schemas.openxmlformats.org/officeDocument/2006/relationships/hyperlink" Target="https://nvd.nist.gov/vuln/detail/CVE-2024-43178" TargetMode="External" Id="rId81"/><Relationship Type="http://schemas.openxmlformats.org/officeDocument/2006/relationships/hyperlink" Target="https://www.ibm.com/support/pages/node/7260162" TargetMode="External" Id="rId82"/><Relationship Type="http://schemas.openxmlformats.org/officeDocument/2006/relationships/hyperlink" Target="https://nvd.nist.gov/vuln/detail/CVE-2024-43178" TargetMode="External" Id="rId83"/><Relationship Type="http://schemas.openxmlformats.org/officeDocument/2006/relationships/hyperlink" Target="https://nvd.nist.gov/vuln/detail/CVE-2025-12755" TargetMode="External" Id="rId84"/><Relationship Type="http://schemas.openxmlformats.org/officeDocument/2006/relationships/hyperlink" Target="https://nvd.nist.gov/vuln/detail/CVE-2025-12755" TargetMode="External" Id="rId85"/><Relationship Type="http://schemas.openxmlformats.org/officeDocument/2006/relationships/hyperlink" Target="https://nvd.nist.gov/vuln/detail/CVE-2025-36018" TargetMode="External" Id="rId86"/><Relationship Type="http://schemas.openxmlformats.org/officeDocument/2006/relationships/hyperlink" Target="https://www.ibm.com/support/pages/node/7260162" TargetMode="External" Id="rId87"/><Relationship Type="http://schemas.openxmlformats.org/officeDocument/2006/relationships/hyperlink" Target="https://nvd.nist.gov/vuln/detail/CVE-2025-36018" TargetMode="External" Id="rId88"/><Relationship Type="http://schemas.openxmlformats.org/officeDocument/2006/relationships/hyperlink" Target="https://nvd.nist.gov/vuln/detail/CVE-2025-36019" TargetMode="External" Id="rId89"/><Relationship Type="http://schemas.openxmlformats.org/officeDocument/2006/relationships/hyperlink" Target="https://www.ibm.com/support/pages/node/7260162" TargetMode="External" Id="rId90"/><Relationship Type="http://schemas.openxmlformats.org/officeDocument/2006/relationships/hyperlink" Target="https://nvd.nist.gov/vuln/detail/CVE-2025-36019" TargetMode="External" Id="rId91"/><Relationship Type="http://schemas.openxmlformats.org/officeDocument/2006/relationships/hyperlink" Target="https://nvd.nist.gov/vuln/detail/CVE-2025-59793" TargetMode="External" Id="rId92"/><Relationship Type="http://schemas.openxmlformats.org/officeDocument/2006/relationships/hyperlink" Target="https://nvd.nist.gov/vuln/detail/CVE-2025-59793" TargetMode="External" Id="rId93"/><Relationship Type="http://schemas.openxmlformats.org/officeDocument/2006/relationships/hyperlink" Target="https://nvd.nist.gov/vuln/detail/CVE-2025-66614" TargetMode="External" Id="rId94"/><Relationship Type="http://schemas.openxmlformats.org/officeDocument/2006/relationships/hyperlink" Target="https://nvd.nist.gov/vuln/detail/CVE-2025-66614" TargetMode="External" Id="rId95"/><Relationship Type="http://schemas.openxmlformats.org/officeDocument/2006/relationships/hyperlink" Target="https://nvd.nist.gov/vuln/detail/CVE-2026-24733" TargetMode="External" Id="rId96"/><Relationship Type="http://schemas.openxmlformats.org/officeDocument/2006/relationships/hyperlink" Target="https://nvd.nist.gov/vuln/detail/CVE-2026-24733" TargetMode="External" Id="rId97"/><Relationship Type="http://schemas.openxmlformats.org/officeDocument/2006/relationships/hyperlink" Target="https://nvd.nist.gov/vuln/detail/CVE-2026-24734" TargetMode="External" Id="rId98"/><Relationship Type="http://schemas.openxmlformats.org/officeDocument/2006/relationships/hyperlink" Target="https://nvd.nist.gov/vuln/detail/CVE-2026-24734" TargetMode="External" Id="rId99"/><Relationship Type="http://schemas.openxmlformats.org/officeDocument/2006/relationships/hyperlink" Target="https://nvd.nist.gov/vuln/detail/CVE-2026-26731" TargetMode="External" Id="rId100"/><Relationship Type="http://schemas.openxmlformats.org/officeDocument/2006/relationships/hyperlink" Target="https://nvd.nist.gov/vuln/detail/CVE-2026-26731" TargetMode="External" Id="rId101"/><Relationship Type="http://schemas.openxmlformats.org/officeDocument/2006/relationships/hyperlink" Target="https://nvd.nist.gov/vuln/detail/CVE-2026-26732" TargetMode="External" Id="rId102"/><Relationship Type="http://schemas.openxmlformats.org/officeDocument/2006/relationships/hyperlink" Target="https://nvd.nist.gov/vuln/detail/CVE-2026-26732" TargetMode="External" Id="rId103"/><Relationship Type="http://schemas.openxmlformats.org/officeDocument/2006/relationships/hyperlink" Target="https://nvd.nist.gov/vuln/detail/CVE-2026-26736" TargetMode="External" Id="rId104"/><Relationship Type="http://schemas.openxmlformats.org/officeDocument/2006/relationships/hyperlink" Target="https://nvd.nist.gov/vuln/detail/CVE-2026-26736" TargetMode="External" Id="rId105"/><Relationship Type="http://schemas.openxmlformats.org/officeDocument/2006/relationships/hyperlink" Target="https://nvd.nist.gov/vuln/detail/CVE-2026-2630" TargetMode="External" Id="rId106"/><Relationship Type="http://schemas.openxmlformats.org/officeDocument/2006/relationships/hyperlink" Target="https://nvd.nist.gov/vuln/detail/CVE-2026-2630" TargetMode="External" Id="rId107"/><Relationship Type="http://schemas.openxmlformats.org/officeDocument/2006/relationships/hyperlink" Target="https://nvd.nist.gov/vuln/detail/CVE-2023-38265" TargetMode="External" Id="rId108"/><Relationship Type="http://schemas.openxmlformats.org/officeDocument/2006/relationships/hyperlink" Target="https://www.ibm.com/support/pages/node/7259955" TargetMode="External" Id="rId109"/><Relationship Type="http://schemas.openxmlformats.org/officeDocument/2006/relationships/hyperlink" Target="https://nvd.nist.gov/vuln/detail/CVE-2023-38265" TargetMode="External" Id="rId110"/><Relationship Type="http://schemas.openxmlformats.org/officeDocument/2006/relationships/hyperlink" Target="https://nvd.nist.gov/vuln/detail/CVE-2025-13108" TargetMode="External" Id="rId111"/><Relationship Type="http://schemas.openxmlformats.org/officeDocument/2006/relationships/hyperlink" Target="https://www.ibm.com/support/pages/node/7260043" TargetMode="External" Id="rId112"/><Relationship Type="http://schemas.openxmlformats.org/officeDocument/2006/relationships/hyperlink" Target="https://nvd.nist.gov/vuln/detail/CVE-2025-13108" TargetMode="External" Id="rId113"/><Relationship Type="http://schemas.openxmlformats.org/officeDocument/2006/relationships/hyperlink" Target="https://nvd.nist.gov/vuln/detail/CVE-2025-27898" TargetMode="External" Id="rId114"/><Relationship Type="http://schemas.openxmlformats.org/officeDocument/2006/relationships/hyperlink" Target="https://nvd.nist.gov/vuln/detail/CVE-2025-27898" TargetMode="External" Id="rId115"/><Relationship Type="http://schemas.openxmlformats.org/officeDocument/2006/relationships/hyperlink" Target="https://nvd.nist.gov/vuln/detail/CVE-2025-27899" TargetMode="External" Id="rId116"/><Relationship Type="http://schemas.openxmlformats.org/officeDocument/2006/relationships/hyperlink" Target="https://nvd.nist.gov/vuln/detail/CVE-2025-27899" TargetMode="External" Id="rId117"/><Relationship Type="http://schemas.openxmlformats.org/officeDocument/2006/relationships/hyperlink" Target="https://nvd.nist.gov/vuln/detail/CVE-2025-27900" TargetMode="External" Id="rId118"/><Relationship Type="http://schemas.openxmlformats.org/officeDocument/2006/relationships/hyperlink" Target="https://nvd.nist.gov/vuln/detail/CVE-2025-27900" TargetMode="External" Id="rId119"/><Relationship Type="http://schemas.openxmlformats.org/officeDocument/2006/relationships/hyperlink" Target="https://nvd.nist.gov/vuln/detail/CVE-2025-27901" TargetMode="External" Id="rId120"/><Relationship Type="http://schemas.openxmlformats.org/officeDocument/2006/relationships/hyperlink" Target="https://nvd.nist.gov/vuln/detail/CVE-2025-27901" TargetMode="External" Id="rId121"/><Relationship Type="http://schemas.openxmlformats.org/officeDocument/2006/relationships/hyperlink" Target="https://nvd.nist.gov/vuln/detail/CVE-2025-27903" TargetMode="External" Id="rId122"/><Relationship Type="http://schemas.openxmlformats.org/officeDocument/2006/relationships/hyperlink" Target="https://nvd.nist.gov/vuln/detail/CVE-2025-27903" TargetMode="External" Id="rId123"/><Relationship Type="http://schemas.openxmlformats.org/officeDocument/2006/relationships/hyperlink" Target="https://nvd.nist.gov/vuln/detail/CVE-2025-27904" TargetMode="External" Id="rId124"/><Relationship Type="http://schemas.openxmlformats.org/officeDocument/2006/relationships/hyperlink" Target="https://nvd.nist.gov/vuln/detail/CVE-2025-27904" TargetMode="External" Id="rId125"/><Relationship Type="http://schemas.openxmlformats.org/officeDocument/2006/relationships/hyperlink" Target="https://nvd.nist.gov/vuln/detail/CVE-2025-32355" TargetMode="External" Id="rId126"/><Relationship Type="http://schemas.openxmlformats.org/officeDocument/2006/relationships/hyperlink" Target="https://nvd.nist.gov/vuln/detail/CVE-2025-32355" TargetMode="External" Id="rId127"/><Relationship Type="http://schemas.openxmlformats.org/officeDocument/2006/relationships/hyperlink" Target="https://nvd.nist.gov/vuln/detail/CVE-2025-33089" TargetMode="External" Id="rId128"/><Relationship Type="http://schemas.openxmlformats.org/officeDocument/2006/relationships/hyperlink" Target="https://www.ibm.com/support/pages/node/7260162" TargetMode="External" Id="rId129"/><Relationship Type="http://schemas.openxmlformats.org/officeDocument/2006/relationships/hyperlink" Target="https://nvd.nist.gov/vuln/detail/CVE-2025-33089" TargetMode="External" Id="rId130"/><Relationship Type="http://schemas.openxmlformats.org/officeDocument/2006/relationships/hyperlink" Target="https://nvd.nist.gov/vuln/detail/CVE-2025-33101" TargetMode="External" Id="rId131"/><Relationship Type="http://schemas.openxmlformats.org/officeDocument/2006/relationships/hyperlink" Target="https://www.ibm.com/support/pages/node/7260162" TargetMode="External" Id="rId132"/><Relationship Type="http://schemas.openxmlformats.org/officeDocument/2006/relationships/hyperlink" Target="https://nvd.nist.gov/vuln/detail/CVE-2025-33101" TargetMode="External" Id="rId133"/><Relationship Type="http://schemas.openxmlformats.org/officeDocument/2006/relationships/hyperlink" Target="https://nvd.nist.gov/vuln/detail/CVE-2025-33124" TargetMode="External" Id="rId134"/><Relationship Type="http://schemas.openxmlformats.org/officeDocument/2006/relationships/hyperlink" Target="https://www.ibm.com/support/pages/node/7260043" TargetMode="External" Id="rId135"/><Relationship Type="http://schemas.openxmlformats.org/officeDocument/2006/relationships/hyperlink" Target="https://nvd.nist.gov/vuln/detail/CVE-2025-33124" TargetMode="External" Id="rId136"/><Relationship Type="http://schemas.openxmlformats.org/officeDocument/2006/relationships/hyperlink" Target="https://nvd.nist.gov/vuln/detail/CVE-2025-33130" TargetMode="External" Id="rId137"/><Relationship Type="http://schemas.openxmlformats.org/officeDocument/2006/relationships/hyperlink" Target="https://www.ibm.com/support/pages/node/7260043" TargetMode="External" Id="rId138"/><Relationship Type="http://schemas.openxmlformats.org/officeDocument/2006/relationships/hyperlink" Target="https://nvd.nist.gov/vuln/detail/CVE-2025-33130" TargetMode="External" Id="rId139"/><Relationship Type="http://schemas.openxmlformats.org/officeDocument/2006/relationships/hyperlink" Target="https://nvd.nist.gov/vuln/detail/CVE-2025-36243" TargetMode="External" Id="rId140"/><Relationship Type="http://schemas.openxmlformats.org/officeDocument/2006/relationships/hyperlink" Target="https://www.ibm.com/support/pages/node/7260162" TargetMode="External" Id="rId141"/><Relationship Type="http://schemas.openxmlformats.org/officeDocument/2006/relationships/hyperlink" Target="https://nvd.nist.gov/vuln/detail/CVE-2025-36243" TargetMode="External" Id="rId142"/><Relationship Type="http://schemas.openxmlformats.org/officeDocument/2006/relationships/hyperlink" Target="https://nvd.nist.gov/vuln/detail/CVE-2025-36597" TargetMode="External" Id="rId143"/><Relationship Type="http://schemas.openxmlformats.org/officeDocument/2006/relationships/hyperlink" Target="https://nvd.nist.gov/vuln/detail/CVE-2025-36597" TargetMode="External" Id="rId144"/><Relationship Type="http://schemas.openxmlformats.org/officeDocument/2006/relationships/hyperlink" Target="https://nvd.nist.gov/vuln/detail/CVE-2025-36598" TargetMode="External" Id="rId145"/><Relationship Type="http://schemas.openxmlformats.org/officeDocument/2006/relationships/hyperlink" Target="https://nvd.nist.gov/vuln/detail/CVE-2025-36598" TargetMode="External" Id="rId146"/><Relationship Type="http://schemas.openxmlformats.org/officeDocument/2006/relationships/hyperlink" Target="https://nvd.nist.gov/vuln/detail/CVE-2025-67102" TargetMode="External" Id="rId147"/><Relationship Type="http://schemas.openxmlformats.org/officeDocument/2006/relationships/hyperlink" Target="https://nvd.nist.gov/vuln/detail/CVE-2025-67102" TargetMode="External" Id="rId148"/><Relationship Type="http://schemas.openxmlformats.org/officeDocument/2006/relationships/hyperlink" Target="https://nvd.nist.gov/vuln/detail/CVE-2025-70846" TargetMode="External" Id="rId149"/><Relationship Type="http://schemas.openxmlformats.org/officeDocument/2006/relationships/hyperlink" Target="https://nvd.nist.gov/vuln/detail/CVE-2025-70846" TargetMode="External" Id="rId150"/><Relationship Type="http://schemas.openxmlformats.org/officeDocument/2006/relationships/hyperlink" Target="https://nvd.nist.gov/vuln/detail/CVE-2026-0102" TargetMode="External" Id="rId151"/><Relationship Type="http://schemas.openxmlformats.org/officeDocument/2006/relationships/hyperlink" Target="https://msrc.microsoft.com/update-guide/vulnerability/CVE-2026-0102" TargetMode="External" Id="rId152"/><Relationship Type="http://schemas.openxmlformats.org/officeDocument/2006/relationships/hyperlink" Target="https://nvd.nist.gov/vuln/detail/CVE-2026-0102" TargetMode="External" Id="rId153"/><Relationship Type="http://schemas.openxmlformats.org/officeDocument/2006/relationships/hyperlink" Target="https://nvd.nist.gov/vuln/detail/CVE-2026-22284" TargetMode="External" Id="rId154"/><Relationship Type="http://schemas.openxmlformats.org/officeDocument/2006/relationships/hyperlink" Target="https://nvd.nist.gov/vuln/detail/CVE-2026-22284" TargetMode="External" Id="rId155"/><Relationship Type="http://schemas.openxmlformats.org/officeDocument/2006/relationships/hyperlink" Target="https://nvd.nist.gov/vuln/detail/CVE-2026-22762" TargetMode="External" Id="rId156"/><Relationship Type="http://schemas.openxmlformats.org/officeDocument/2006/relationships/hyperlink" Target="https://nvd.nist.gov/vuln/detail/CVE-2026-22762" TargetMode="External" Id="rId157"/><Relationship Type="http://schemas.openxmlformats.org/officeDocument/2006/relationships/hyperlink" Target="https://nvd.nist.gov/vuln/detail/CVE-2026-22769" TargetMode="External" Id="rId158"/><Relationship Type="http://schemas.openxmlformats.org/officeDocument/2006/relationships/hyperlink" Target="https://www.dell.com/support/kbdoc/en-us/000426773/dsa-2026-079" TargetMode="External" Id="rId159"/><Relationship Type="http://schemas.openxmlformats.org/officeDocument/2006/relationships/hyperlink" Target="https://nvd.nist.gov/vuln/detail/CVE-2026-22769" TargetMode="External" Id="rId160"/><Relationship Type="http://schemas.openxmlformats.org/officeDocument/2006/relationships/hyperlink" Target="https://nvd.nist.gov/vuln/detail/CVE-2026-26357" TargetMode="External" Id="rId161"/><Relationship Type="http://schemas.openxmlformats.org/officeDocument/2006/relationships/hyperlink" Target="https://nvd.nist.gov/vuln/detail/CVE-2026-26357" TargetMode="External" Id="rId162"/><Relationship Type="http://schemas.openxmlformats.org/officeDocument/2006/relationships/hyperlink" Target="https://nvd.nist.gov/vuln/detail/CVE-2026-2620" TargetMode="External" Id="rId163"/><Relationship Type="http://schemas.openxmlformats.org/officeDocument/2006/relationships/hyperlink" Target="https://nvd.nist.gov/vuln/detail/CVE-2026-2620" TargetMode="External" Id="rId164"/><Relationship Type="http://schemas.openxmlformats.org/officeDocument/2006/relationships/hyperlink" Target="https://nvd.nist.gov/vuln/detail/CVE-2025-13691" TargetMode="External" Id="rId165"/><Relationship Type="http://schemas.openxmlformats.org/officeDocument/2006/relationships/hyperlink" Target="https://www.ibm.com/support/pages/node/7259956" TargetMode="External" Id="rId166"/><Relationship Type="http://schemas.openxmlformats.org/officeDocument/2006/relationships/hyperlink" Target="https://nvd.nist.gov/vuln/detail/CVE-2025-13691" TargetMode="External" Id="rId167"/><Relationship Type="http://schemas.openxmlformats.org/officeDocument/2006/relationships/hyperlink" Target="https://nvd.nist.gov/vuln/detail/CVE-2025-14289" TargetMode="External" Id="rId168"/><Relationship Type="http://schemas.openxmlformats.org/officeDocument/2006/relationships/hyperlink" Target="https://www.ibm.com/support/pages/node/7260932" TargetMode="External" Id="rId169"/><Relationship Type="http://schemas.openxmlformats.org/officeDocument/2006/relationships/hyperlink" Target="https://nvd.nist.gov/vuln/detail/CVE-2025-14289" TargetMode="External" Id="rId170"/><Relationship Type="http://schemas.openxmlformats.org/officeDocument/2006/relationships/hyperlink" Target="https://nvd.nist.gov/vuln/detail/CVE-2025-36376" TargetMode="External" Id="rId171"/><Relationship Type="http://schemas.openxmlformats.org/officeDocument/2006/relationships/hyperlink" Target="https://www.ibm.com/support/pages/node/7260390" TargetMode="External" Id="rId172"/><Relationship Type="http://schemas.openxmlformats.org/officeDocument/2006/relationships/hyperlink" Target="https://nvd.nist.gov/vuln/detail/CVE-2025-36376" TargetMode="External" Id="rId173"/><Relationship Type="http://schemas.openxmlformats.org/officeDocument/2006/relationships/hyperlink" Target="https://nvd.nist.gov/vuln/detail/CVE-2025-36377" TargetMode="External" Id="rId174"/><Relationship Type="http://schemas.openxmlformats.org/officeDocument/2006/relationships/hyperlink" Target="https://www.ibm.com/support/pages/node/7260390" TargetMode="External" Id="rId175"/><Relationship Type="http://schemas.openxmlformats.org/officeDocument/2006/relationships/hyperlink" Target="https://nvd.nist.gov/vuln/detail/CVE-2025-36377" TargetMode="External" Id="rId176"/><Relationship Type="http://schemas.openxmlformats.org/officeDocument/2006/relationships/hyperlink" Target="https://nvd.nist.gov/vuln/detail/CVE-2025-36379" TargetMode="External" Id="rId177"/><Relationship Type="http://schemas.openxmlformats.org/officeDocument/2006/relationships/hyperlink" Target="https://www.ibm.com/support/pages/node/7260390" TargetMode="External" Id="rId178"/><Relationship Type="http://schemas.openxmlformats.org/officeDocument/2006/relationships/hyperlink" Target="https://nvd.nist.gov/vuln/detail/CVE-2025-36379" TargetMode="External" Id="rId179"/><Relationship Type="http://schemas.openxmlformats.org/officeDocument/2006/relationships/hyperlink" Target="https://nvd.nist.gov/vuln/detail/CVE-2026-23595" TargetMode="External" Id="rId180"/><Relationship Type="http://schemas.openxmlformats.org/officeDocument/2006/relationships/hyperlink" Target="https://nvd.nist.gov/vuln/detail/CVE-2026-23595" TargetMode="External" Id="rId181"/><Relationship Type="http://schemas.openxmlformats.org/officeDocument/2006/relationships/hyperlink" Target="https://nvd.nist.gov/vuln/detail/CVE-2026-23596" TargetMode="External" Id="rId182"/><Relationship Type="http://schemas.openxmlformats.org/officeDocument/2006/relationships/hyperlink" Target="https://nvd.nist.gov/vuln/detail/CVE-2026-23596" TargetMode="External" Id="rId183"/><Relationship Type="http://schemas.openxmlformats.org/officeDocument/2006/relationships/hyperlink" Target="https://nvd.nist.gov/vuln/detail/CVE-2026-23597" TargetMode="External" Id="rId184"/><Relationship Type="http://schemas.openxmlformats.org/officeDocument/2006/relationships/hyperlink" Target="https://nvd.nist.gov/vuln/detail/CVE-2026-23597" TargetMode="External" Id="rId185"/><Relationship Type="http://schemas.openxmlformats.org/officeDocument/2006/relationships/hyperlink" Target="https://nvd.nist.gov/vuln/detail/CVE-2026-23598" TargetMode="External" Id="rId186"/><Relationship Type="http://schemas.openxmlformats.org/officeDocument/2006/relationships/hyperlink" Target="https://nvd.nist.gov/vuln/detail/CVE-2026-23598" TargetMode="External" Id="rId187"/><Relationship Type="http://schemas.openxmlformats.org/officeDocument/2006/relationships/hyperlink" Target="https://nvd.nist.gov/vuln/detail/CVE-2026-2621" TargetMode="External" Id="rId188"/><Relationship Type="http://schemas.openxmlformats.org/officeDocument/2006/relationships/hyperlink" Target="https://nvd.nist.gov/vuln/detail/CVE-2026-2621" TargetMode="External" Id="rId189"/><Relationship Type="http://schemas.openxmlformats.org/officeDocument/2006/relationships/hyperlink" Target="https://nvd.nist.gov/vuln/detail/CVE-2026-2622" TargetMode="External" Id="rId190"/><Relationship Type="http://schemas.openxmlformats.org/officeDocument/2006/relationships/hyperlink" Target="https://nvd.nist.gov/vuln/detail/CVE-2026-2622" TargetMode="External" Id="rId191"/><Relationship Type="http://schemas.openxmlformats.org/officeDocument/2006/relationships/hyperlink" Target="https://nvd.nist.gov/vuln/detail/CVE-2023-38005" TargetMode="External" Id="rId192"/><Relationship Type="http://schemas.openxmlformats.org/officeDocument/2006/relationships/hyperlink" Target="https://www.ibm.com/support/pages/node/7259955" TargetMode="External" Id="rId193"/><Relationship Type="http://schemas.openxmlformats.org/officeDocument/2006/relationships/hyperlink" Target="https://nvd.nist.gov/vuln/detail/CVE-2023-38005" TargetMode="External" Id="rId194"/><Relationship Type="http://schemas.openxmlformats.org/officeDocument/2006/relationships/hyperlink" Target="https://nvd.nist.gov/vuln/detail/CVE-2025-33088" TargetMode="External" Id="rId195"/><Relationship Type="http://schemas.openxmlformats.org/officeDocument/2006/relationships/hyperlink" Target="https://www.ibm.com/support/pages/node/7260161" TargetMode="External" Id="rId196"/><Relationship Type="http://schemas.openxmlformats.org/officeDocument/2006/relationships/hyperlink" Target="https://nvd.nist.gov/vuln/detail/CVE-2025-33088" TargetMode="External" Id="rId197"/><Relationship Type="http://schemas.openxmlformats.org/officeDocument/2006/relationships/hyperlink" Target="https://nvd.nist.gov/vuln/detail/CVE-2025-33135" TargetMode="External" Id="rId198"/><Relationship Type="http://schemas.openxmlformats.org/officeDocument/2006/relationships/hyperlink" Target="https://nvd.nist.gov/vuln/detail/CVE-2025-33135" TargetMode="External" Id="rId199"/><Relationship Type="http://schemas.openxmlformats.org/officeDocument/2006/relationships/hyperlink" Target="https://nvd.nist.gov/vuln/detail/CVE-2025-36183" TargetMode="External" Id="rId200"/><Relationship Type="http://schemas.openxmlformats.org/officeDocument/2006/relationships/hyperlink" Target="https://www.ibm.com/support/pages/node/7260118" TargetMode="External" Id="rId201"/><Relationship Type="http://schemas.openxmlformats.org/officeDocument/2006/relationships/hyperlink" Target="https://nvd.nist.gov/vuln/detail/CVE-2025-36183" TargetMode="External" Id="rId202"/><Relationship Type="http://schemas.openxmlformats.org/officeDocument/2006/relationships/hyperlink" Target="https://nvd.nist.gov/vuln/detail/CVE-2025-36348" TargetMode="External" Id="rId203"/><Relationship Type="http://schemas.openxmlformats.org/officeDocument/2006/relationships/hyperlink" Target="https://www.ibm.com/support/pages/node/7259769" TargetMode="External" Id="rId204"/><Relationship Type="http://schemas.openxmlformats.org/officeDocument/2006/relationships/hyperlink" Target="https://nvd.nist.gov/vuln/detail/CVE-2025-36348" TargetMode="External" Id="rId205"/><Relationship Type="http://schemas.openxmlformats.org/officeDocument/2006/relationships/hyperlink" Target="https://nvd.nist.gov/vuln/detail/CVE-2026-2623" TargetMode="External" Id="rId206"/><Relationship Type="http://schemas.openxmlformats.org/officeDocument/2006/relationships/hyperlink" Target="https://nvd.nist.gov/vuln/detail/CVE-2026-2623" TargetMode="External" Id="rId207"/><Relationship Type="http://schemas.openxmlformats.org/officeDocument/2006/relationships/hyperlink" Target="https://nvd.nist.gov/vuln/detail/CVE-2026-2627" TargetMode="External" Id="rId208"/><Relationship Type="http://schemas.openxmlformats.org/officeDocument/2006/relationships/hyperlink" Target="https://nvd.nist.gov/vuln/detail/CVE-2026-2627" TargetMode="External" Id="rId209"/><Relationship Type="http://schemas.openxmlformats.org/officeDocument/2006/relationships/hyperlink" Target="https://nvd.nist.gov/vuln/detail/CVE-2026-2629" TargetMode="External" Id="rId210"/><Relationship Type="http://schemas.openxmlformats.org/officeDocument/2006/relationships/hyperlink" Target="https://nvd.nist.gov/vuln/detail/CVE-2026-2629" TargetMode="External" Id="rId211"/><Relationship Type="http://schemas.openxmlformats.org/officeDocument/2006/relationships/hyperlink" Target="https://nvd.nist.gov/vuln/detail/CVE-2025-13333" TargetMode="External" Id="rId212"/><Relationship Type="http://schemas.openxmlformats.org/officeDocument/2006/relationships/hyperlink" Target="https://www.ibm.com/support/pages/node/7260217" TargetMode="External" Id="rId213"/><Relationship Type="http://schemas.openxmlformats.org/officeDocument/2006/relationships/hyperlink" Target="https://nvd.nist.gov/vuln/detail/CVE-2025-13333" TargetMode="External" Id="rId214"/><Relationship Type="http://schemas.openxmlformats.org/officeDocument/2006/relationships/hyperlink" Target="https://nvd.nist.gov/vuln/detail/CVE-2025-13689" TargetMode="External" Id="rId215"/><Relationship Type="http://schemas.openxmlformats.org/officeDocument/2006/relationships/hyperlink" Target="https://www.ibm.com/support/pages/node/7259958" TargetMode="External" Id="rId216"/><Relationship Type="http://schemas.openxmlformats.org/officeDocument/2006/relationships/hyperlink" Target="https://nvd.nist.gov/vuln/detail/CVE-2025-13689" TargetMode="External" Id="rId217"/><Relationship Type="http://schemas.openxmlformats.org/officeDocument/2006/relationships/hyperlink" Target="https://nvd.nist.gov/vuln/detail/CVE-2025-62183" TargetMode="External" Id="rId218"/><Relationship Type="http://schemas.openxmlformats.org/officeDocument/2006/relationships/hyperlink" Target="https://nvd.nist.gov/vuln/detail/CVE-2025-62183" TargetMode="External" Id="rId219"/><Relationship Type="http://schemas.openxmlformats.org/officeDocument/2006/relationships/hyperlink" Target="https://nvd.nist.gov/vuln/detail/CVE-2026-1670" TargetMode="External" Id="rId220"/><Relationship Type="http://schemas.openxmlformats.org/officeDocument/2006/relationships/hyperlink" Target="https://nvd.nist.gov/vuln/detail/CVE-2026-1670" TargetMode="External" Id="rId221"/><Relationship Type="http://schemas.openxmlformats.org/officeDocument/2006/relationships/hyperlink" Target="https://nvd.nist.gov/vuln/detail/CVE-2026-26119" TargetMode="External" Id="rId222"/><Relationship Type="http://schemas.openxmlformats.org/officeDocument/2006/relationships/hyperlink" Target="https://msrc.microsoft.com/update-guide/vulnerability/CVE-2026-26119" TargetMode="External" Id="rId223"/><Relationship Type="http://schemas.openxmlformats.org/officeDocument/2006/relationships/hyperlink" Target="https://nvd.nist.gov/vuln/detail/CVE-2026-26119" TargetMode="External" Id="rId224"/><Relationship Type="http://schemas.openxmlformats.org/officeDocument/2006/relationships/hyperlink" Target="https://nvd.nist.gov/vuln/detail/CVE-2026-2570" TargetMode="External" Id="rId225"/><Relationship Type="http://schemas.openxmlformats.org/officeDocument/2006/relationships/hyperlink" Target="https://nvd.nist.gov/vuln/detail/CVE-2026-2570" TargetMode="External" Id="rId226"/><Relationship Type="http://schemas.openxmlformats.org/officeDocument/2006/relationships/hyperlink" Target="https://nvd.nist.gov/vuln/detail/CVE-2026-1344" TargetMode="External" Id="rId227"/><Relationship Type="http://schemas.openxmlformats.org/officeDocument/2006/relationships/hyperlink" Target="https://nvd.nist.gov/vuln/detail/CVE-2026-1344" TargetMode="External" Id="rId228"/><Relationship Type="http://schemas.openxmlformats.org/officeDocument/2006/relationships/hyperlink" Target="https://nvd.nist.gov/vuln/detail/CVE-2026-22048" TargetMode="External" Id="rId229"/><Relationship Type="http://schemas.openxmlformats.org/officeDocument/2006/relationships/hyperlink" Target="https://nvd.nist.gov/vuln/detail/CVE-2026-22048" TargetMode="External" Id="rId230"/><Relationship Type="http://schemas.openxmlformats.org/officeDocument/2006/relationships/hyperlink" Target="https://nvd.nist.gov/vuln/detail/CVE-2026-23599" TargetMode="External" Id="rId231"/><Relationship Type="http://schemas.openxmlformats.org/officeDocument/2006/relationships/hyperlink" Target="https://nvd.nist.gov/vuln/detail/CVE-2026-23599" TargetMode="External" Id="rId232"/><Relationship Type="http://schemas.openxmlformats.org/officeDocument/2006/relationships/hyperlink" Target="https://nvd.nist.gov/vuln/detail/CVE-2026-27031" TargetMode="External" Id="rId233"/><Relationship Type="http://schemas.openxmlformats.org/officeDocument/2006/relationships/hyperlink" Target="https://nvd.nist.gov/vuln/detail/CVE-2026-27031" TargetMode="External" Id="rId234"/><Relationship Type="http://schemas.openxmlformats.org/officeDocument/2006/relationships/hyperlink" Target="https://nvd.nist.gov/vuln/detail/CVE-2026-27032" TargetMode="External" Id="rId235"/><Relationship Type="http://schemas.openxmlformats.org/officeDocument/2006/relationships/hyperlink" Target="https://nvd.nist.gov/vuln/detail/CVE-2026-27032" TargetMode="External" Id="rId236"/><Relationship Type="http://schemas.openxmlformats.org/officeDocument/2006/relationships/hyperlink" Target="https://nvd.nist.gov/vuln/detail/CVE-2026-27033" TargetMode="External" Id="rId237"/><Relationship Type="http://schemas.openxmlformats.org/officeDocument/2006/relationships/hyperlink" Target="https://nvd.nist.gov/vuln/detail/CVE-2026-27033" TargetMode="External" Id="rId238"/><Relationship Type="http://schemas.openxmlformats.org/officeDocument/2006/relationships/hyperlink" Target="https://nvd.nist.gov/vuln/detail/CVE-2026-27034" TargetMode="External" Id="rId239"/><Relationship Type="http://schemas.openxmlformats.org/officeDocument/2006/relationships/hyperlink" Target="https://nvd.nist.gov/vuln/detail/CVE-2026-27034" TargetMode="External" Id="rId240"/><Relationship Type="http://schemas.openxmlformats.org/officeDocument/2006/relationships/hyperlink" Target="https://nvd.nist.gov/vuln/detail/CVE-2026-27035" TargetMode="External" Id="rId241"/><Relationship Type="http://schemas.openxmlformats.org/officeDocument/2006/relationships/hyperlink" Target="https://nvd.nist.gov/vuln/detail/CVE-2026-27035" TargetMode="External" Id="rId242"/><Relationship Type="http://schemas.openxmlformats.org/officeDocument/2006/relationships/hyperlink" Target="https://nvd.nist.gov/vuln/detail/CVE-2026-27036" TargetMode="External" Id="rId243"/><Relationship Type="http://schemas.openxmlformats.org/officeDocument/2006/relationships/hyperlink" Target="https://nvd.nist.gov/vuln/detail/CVE-2026-27036" TargetMode="External" Id="rId244"/><Relationship Type="http://schemas.openxmlformats.org/officeDocument/2006/relationships/hyperlink" Target="https://nvd.nist.gov/vuln/detail/CVE-2026-27037" TargetMode="External" Id="rId245"/><Relationship Type="http://schemas.openxmlformats.org/officeDocument/2006/relationships/hyperlink" Target="https://nvd.nist.gov/vuln/detail/CVE-2026-27037" TargetMode="External" Id="rId246"/><Relationship Type="http://schemas.openxmlformats.org/officeDocument/2006/relationships/hyperlink" Target="https://nvd.nist.gov/vuln/detail/CVE-2026-27038" TargetMode="External" Id="rId247"/><Relationship Type="http://schemas.openxmlformats.org/officeDocument/2006/relationships/hyperlink" Target="https://nvd.nist.gov/vuln/detail/CVE-2026-27038" TargetMode="External" Id="rId248"/><Relationship Type="http://schemas.openxmlformats.org/officeDocument/2006/relationships/hyperlink" Target="https://nvd.nist.gov/vuln/detail/CVE-2026-27171" TargetMode="External" Id="rId249"/><Relationship Type="http://schemas.openxmlformats.org/officeDocument/2006/relationships/hyperlink" Target="https://nvd.nist.gov/vuln/detail/CVE-2026-27171" TargetMode="External" Id="rId250"/><Relationship Type="http://schemas.openxmlformats.org/officeDocument/2006/relationships/hyperlink" Target="https://nvd.nist.gov/vuln/detail/CVE-2025-12037" TargetMode="External" Id="rId251"/><Relationship Type="http://schemas.openxmlformats.org/officeDocument/2006/relationships/hyperlink" Target="https://nvd.nist.gov/vuln/detail/CVE-2025-12037" TargetMode="External" Id="rId252"/><Relationship Type="http://schemas.openxmlformats.org/officeDocument/2006/relationships/hyperlink" Target="https://nvd.nist.gov/vuln/detail/CVE-2025-12071" TargetMode="External" Id="rId253"/><Relationship Type="http://schemas.openxmlformats.org/officeDocument/2006/relationships/hyperlink" Target="https://nvd.nist.gov/vuln/detail/CVE-2025-12071" TargetMode="External" Id="rId254"/><Relationship Type="http://schemas.openxmlformats.org/officeDocument/2006/relationships/hyperlink" Target="https://nvd.nist.gov/vuln/detail/CVE-2025-12074" TargetMode="External" Id="rId255"/><Relationship Type="http://schemas.openxmlformats.org/officeDocument/2006/relationships/hyperlink" Target="https://nvd.nist.gov/vuln/detail/CVE-2025-12074" TargetMode="External" Id="rId256"/><Relationship Type="http://schemas.openxmlformats.org/officeDocument/2006/relationships/hyperlink" Target="https://nvd.nist.gov/vuln/detail/CVE-2025-12075" TargetMode="External" Id="rId257"/><Relationship Type="http://schemas.openxmlformats.org/officeDocument/2006/relationships/hyperlink" Target="https://nvd.nist.gov/vuln/detail/CVE-2025-12075" TargetMode="External" Id="rId258"/><Relationship Type="http://schemas.openxmlformats.org/officeDocument/2006/relationships/hyperlink" Target="https://nvd.nist.gov/vuln/detail/CVE-2025-13959" TargetMode="External" Id="rId259"/><Relationship Type="http://schemas.openxmlformats.org/officeDocument/2006/relationships/hyperlink" Target="https://nvd.nist.gov/vuln/detail/CVE-2025-13959" TargetMode="External" Id="rId260"/><Relationship Type="http://schemas.openxmlformats.org/officeDocument/2006/relationships/hyperlink" Target="https://nvd.nist.gov/vuln/detail/CVE-2025-6460" TargetMode="External" Id="rId261"/><Relationship Type="http://schemas.openxmlformats.org/officeDocument/2006/relationships/hyperlink" Target="https://nvd.nist.gov/vuln/detail/CVE-2025-6460" TargetMode="External" Id="rId262"/><Relationship Type="http://schemas.openxmlformats.org/officeDocument/2006/relationships/hyperlink" Target="https://nvd.nist.gov/vuln/detail/CVE-2026-1277" TargetMode="External" Id="rId263"/><Relationship Type="http://schemas.openxmlformats.org/officeDocument/2006/relationships/hyperlink" Target="https://nvd.nist.gov/vuln/detail/CVE-2026-1277" TargetMode="External" Id="rId264"/><Relationship Type="http://schemas.openxmlformats.org/officeDocument/2006/relationships/hyperlink" Target="https://nvd.nist.gov/vuln/detail/CVE-2026-1296" TargetMode="External" Id="rId265"/><Relationship Type="http://schemas.openxmlformats.org/officeDocument/2006/relationships/hyperlink" Target="https://nvd.nist.gov/vuln/detail/CVE-2026-1296" TargetMode="External" Id="rId266"/><Relationship Type="http://schemas.openxmlformats.org/officeDocument/2006/relationships/hyperlink" Target="https://nvd.nist.gov/vuln/detail/CVE-2026-1714" TargetMode="External" Id="rId267"/><Relationship Type="http://schemas.openxmlformats.org/officeDocument/2006/relationships/hyperlink" Target="https://nvd.nist.gov/vuln/detail/CVE-2026-1714" TargetMode="External" Id="rId268"/><Relationship Type="http://schemas.openxmlformats.org/officeDocument/2006/relationships/hyperlink" Target="https://nvd.nist.gov/vuln/detail/CVE-2026-1925" TargetMode="External" Id="rId269"/><Relationship Type="http://schemas.openxmlformats.org/officeDocument/2006/relationships/hyperlink" Target="https://nvd.nist.gov/vuln/detail/CVE-2026-1925" TargetMode="External" Id="rId270"/><Relationship Type="http://schemas.openxmlformats.org/officeDocument/2006/relationships/hyperlink" Target="https://nvd.nist.gov/vuln/detail/CVE-2026-1931" TargetMode="External" Id="rId271"/><Relationship Type="http://schemas.openxmlformats.org/officeDocument/2006/relationships/hyperlink" Target="https://nvd.nist.gov/vuln/detail/CVE-2026-1931" TargetMode="External" Id="rId272"/><Relationship Type="http://schemas.openxmlformats.org/officeDocument/2006/relationships/hyperlink" Target="https://nvd.nist.gov/vuln/detail/CVE-2026-2576" TargetMode="External" Id="rId273"/><Relationship Type="http://schemas.openxmlformats.org/officeDocument/2006/relationships/hyperlink" Target="https://nvd.nist.gov/vuln/detail/CVE-2026-2576" TargetMode="External" Id="rId274"/><Relationship Type="http://schemas.openxmlformats.org/officeDocument/2006/relationships/hyperlink" Target="https://nvd.nist.gov/vuln/detail/CVE-2025-11737" TargetMode="External" Id="rId275"/><Relationship Type="http://schemas.openxmlformats.org/officeDocument/2006/relationships/hyperlink" Target="https://nvd.nist.gov/vuln/detail/CVE-2025-11737" TargetMode="External" Id="rId276"/><Relationship Type="http://schemas.openxmlformats.org/officeDocument/2006/relationships/hyperlink" Target="https://nvd.nist.gov/vuln/detail/CVE-2025-12122" TargetMode="External" Id="rId277"/><Relationship Type="http://schemas.openxmlformats.org/officeDocument/2006/relationships/hyperlink" Target="https://nvd.nist.gov/vuln/detail/CVE-2025-12122" TargetMode="External" Id="rId278"/><Relationship Type="http://schemas.openxmlformats.org/officeDocument/2006/relationships/hyperlink" Target="https://nvd.nist.gov/vuln/detail/CVE-2025-12356" TargetMode="External" Id="rId279"/><Relationship Type="http://schemas.openxmlformats.org/officeDocument/2006/relationships/hyperlink" Target="https://nvd.nist.gov/vuln/detail/CVE-2025-12356" TargetMode="External" Id="rId280"/><Relationship Type="http://schemas.openxmlformats.org/officeDocument/2006/relationships/hyperlink" Target="https://nvd.nist.gov/vuln/detail/CVE-2026-1072" TargetMode="External" Id="rId281"/><Relationship Type="http://schemas.openxmlformats.org/officeDocument/2006/relationships/hyperlink" Target="https://nvd.nist.gov/vuln/detail/CVE-2026-1072" TargetMode="External" Id="rId282"/><Relationship Type="http://schemas.openxmlformats.org/officeDocument/2006/relationships/hyperlink" Target="https://nvd.nist.gov/vuln/detail/CVE-2026-1304" TargetMode="External" Id="rId283"/><Relationship Type="http://schemas.openxmlformats.org/officeDocument/2006/relationships/hyperlink" Target="https://nvd.nist.gov/vuln/detail/CVE-2026-1304" TargetMode="External" Id="rId284"/><Relationship Type="http://schemas.openxmlformats.org/officeDocument/2006/relationships/hyperlink" Target="https://nvd.nist.gov/vuln/detail/CVE-2026-1368" TargetMode="External" Id="rId285"/><Relationship Type="http://schemas.openxmlformats.org/officeDocument/2006/relationships/hyperlink" Target="https://nvd.nist.gov/vuln/detail/CVE-2026-1368" TargetMode="External" Id="rId286"/><Relationship Type="http://schemas.openxmlformats.org/officeDocument/2006/relationships/hyperlink" Target="https://nvd.nist.gov/vuln/detail/CVE-2026-1639" TargetMode="External" Id="rId287"/><Relationship Type="http://schemas.openxmlformats.org/officeDocument/2006/relationships/hyperlink" Target="https://nvd.nist.gov/vuln/detail/CVE-2026-1639" TargetMode="External" Id="rId288"/><Relationship Type="http://schemas.openxmlformats.org/officeDocument/2006/relationships/hyperlink" Target="https://nvd.nist.gov/vuln/detail/CVE-2026-1906" TargetMode="External" Id="rId289"/><Relationship Type="http://schemas.openxmlformats.org/officeDocument/2006/relationships/hyperlink" Target="https://nvd.nist.gov/vuln/detail/CVE-2026-1906" TargetMode="External" Id="rId290"/><Relationship Type="http://schemas.openxmlformats.org/officeDocument/2006/relationships/hyperlink" Target="https://nvd.nist.gov/vuln/detail/CVE-2026-2023" TargetMode="External" Id="rId291"/><Relationship Type="http://schemas.openxmlformats.org/officeDocument/2006/relationships/hyperlink" Target="https://nvd.nist.gov/vuln/detail/CVE-2026-2023" TargetMode="External" Id="rId292"/><Relationship Type="http://schemas.openxmlformats.org/officeDocument/2006/relationships/hyperlink" Target="https://nvd.nist.gov/vuln/detail/CVE-2026-2641" TargetMode="External" Id="rId293"/><Relationship Type="http://schemas.openxmlformats.org/officeDocument/2006/relationships/hyperlink" Target="https://nvd.nist.gov/vuln/detail/CVE-2026-2641" TargetMode="External" Id="rId294"/><Relationship Type="http://schemas.openxmlformats.org/officeDocument/2006/relationships/hyperlink" Target="http://www.zerodayinitiative.com/advisories/ZDI-26-123/" TargetMode="External" Id="rId295"/><Relationship Type="http://schemas.openxmlformats.org/officeDocument/2006/relationships/hyperlink" Target="https://nvd.nist.gov/vuln/detail/CVE-2026-1640" TargetMode="External" Id="rId296"/><Relationship Type="http://schemas.openxmlformats.org/officeDocument/2006/relationships/hyperlink" Target="https://nvd.nist.gov/vuln/detail/CVE-2026-1640" TargetMode="External" Id="rId297"/><Relationship Type="http://schemas.openxmlformats.org/officeDocument/2006/relationships/hyperlink" Target="https://nvd.nist.gov/vuln/detail/CVE-2026-1666" TargetMode="External" Id="rId298"/><Relationship Type="http://schemas.openxmlformats.org/officeDocument/2006/relationships/hyperlink" Target="https://nvd.nist.gov/vuln/detail/CVE-2026-1666" TargetMode="External" Id="rId299"/><Relationship Type="http://schemas.openxmlformats.org/officeDocument/2006/relationships/hyperlink" Target="https://nvd.nist.gov/vuln/detail/CVE-2026-1807" TargetMode="External" Id="rId300"/><Relationship Type="http://schemas.openxmlformats.org/officeDocument/2006/relationships/hyperlink" Target="https://nvd.nist.gov/vuln/detail/CVE-2026-1807" TargetMode="External" Id="rId301"/><Relationship Type="http://schemas.openxmlformats.org/officeDocument/2006/relationships/hyperlink" Target="https://nvd.nist.gov/vuln/detail/CVE-2026-1857" TargetMode="External" Id="rId302"/><Relationship Type="http://schemas.openxmlformats.org/officeDocument/2006/relationships/hyperlink" Target="https://nvd.nist.gov/vuln/detail/CVE-2026-1857" TargetMode="External" Id="rId303"/><Relationship Type="http://schemas.openxmlformats.org/officeDocument/2006/relationships/hyperlink" Target="https://nvd.nist.gov/vuln/detail/CVE-2026-1937" TargetMode="External" Id="rId304"/><Relationship Type="http://schemas.openxmlformats.org/officeDocument/2006/relationships/hyperlink" Target="https://nvd.nist.gov/vuln/detail/CVE-2026-1937" TargetMode="External" Id="rId305"/><Relationship Type="http://schemas.openxmlformats.org/officeDocument/2006/relationships/hyperlink" Target="https://nvd.nist.gov/vuln/detail/CVE-2026-2019" TargetMode="External" Id="rId306"/><Relationship Type="http://schemas.openxmlformats.org/officeDocument/2006/relationships/hyperlink" Target="https://nvd.nist.gov/vuln/detail/CVE-2026-2019" TargetMode="External" Id="rId307"/><Relationship Type="http://schemas.openxmlformats.org/officeDocument/2006/relationships/hyperlink" Target="https://nvd.nist.gov/vuln/detail/CVE-2026-2281" TargetMode="External" Id="rId308"/><Relationship Type="http://schemas.openxmlformats.org/officeDocument/2006/relationships/hyperlink" Target="https://nvd.nist.gov/vuln/detail/CVE-2026-2281" TargetMode="External" Id="rId309"/><Relationship Type="http://schemas.openxmlformats.org/officeDocument/2006/relationships/hyperlink" Target="https://nvd.nist.gov/vuln/detail/CVE-2026-2296" TargetMode="External" Id="rId310"/><Relationship Type="http://schemas.openxmlformats.org/officeDocument/2006/relationships/hyperlink" Target="https://nvd.nist.gov/vuln/detail/CVE-2026-2296" TargetMode="External" Id="rId311"/><Relationship Type="http://schemas.openxmlformats.org/officeDocument/2006/relationships/hyperlink" Target="https://nvd.nist.gov/vuln/detail/CVE-2026-2633" TargetMode="External" Id="rId312"/><Relationship Type="http://schemas.openxmlformats.org/officeDocument/2006/relationships/hyperlink" Target="https://nvd.nist.gov/vuln/detail/CVE-2026-2633" TargetMode="External" Id="rId313"/><Relationship Type="http://schemas.openxmlformats.org/officeDocument/2006/relationships/hyperlink" Target="https://nvd.nist.gov/vuln/detail/CVE-2026-2642" TargetMode="External" Id="rId314"/><Relationship Type="http://schemas.openxmlformats.org/officeDocument/2006/relationships/hyperlink" Target="https://nvd.nist.gov/vuln/detail/CVE-2026-2642" TargetMode="External" Id="rId315"/><Relationship Type="http://schemas.openxmlformats.org/officeDocument/2006/relationships/hyperlink" Target="https://nvd.nist.gov/vuln/detail/CVE-2026-2644" TargetMode="External" Id="rId316"/><Relationship Type="http://schemas.openxmlformats.org/officeDocument/2006/relationships/hyperlink" Target="https://github.com/niklasso/minisat/%20|%20https://github.com/niklasso/minisat/issues/55" TargetMode="External" Id="rId317"/><Relationship Type="http://schemas.openxmlformats.org/officeDocument/2006/relationships/hyperlink" Target="https://nvd.nist.gov/vuln/detail/CVE-2026-2644" TargetMode="External" Id="rId318"/><Relationship Type="http://schemas.openxmlformats.org/officeDocument/2006/relationships/hyperlink" Target="https://nvd.nist.gov/vuln/detail/CVE-2026-1655" TargetMode="External" Id="rId319"/><Relationship Type="http://schemas.openxmlformats.org/officeDocument/2006/relationships/hyperlink" Target="https://nvd.nist.gov/vuln/detail/CVE-2026-1655" TargetMode="External" Id="rId320"/><Relationship Type="http://schemas.openxmlformats.org/officeDocument/2006/relationships/hyperlink" Target="https://nvd.nist.gov/vuln/detail/CVE-2026-1831" TargetMode="External" Id="rId321"/><Relationship Type="http://schemas.openxmlformats.org/officeDocument/2006/relationships/hyperlink" Target="https://nvd.nist.gov/vuln/detail/CVE-2026-1831" TargetMode="External" Id="rId322"/><Relationship Type="http://schemas.openxmlformats.org/officeDocument/2006/relationships/hyperlink" Target="https://nvd.nist.gov/vuln/detail/CVE-2026-1860" TargetMode="External" Id="rId323"/><Relationship Type="http://schemas.openxmlformats.org/officeDocument/2006/relationships/hyperlink" Target="https://nvd.nist.gov/vuln/detail/CVE-2026-1860" TargetMode="External" Id="rId324"/><Relationship Type="http://schemas.openxmlformats.org/officeDocument/2006/relationships/hyperlink" Target="https://nvd.nist.gov/vuln/detail/CVE-2026-1938" TargetMode="External" Id="rId325"/><Relationship Type="http://schemas.openxmlformats.org/officeDocument/2006/relationships/hyperlink" Target="https://nvd.nist.gov/vuln/detail/CVE-2026-1938" TargetMode="External" Id="rId326"/><Relationship Type="http://schemas.openxmlformats.org/officeDocument/2006/relationships/hyperlink" Target="https://nvd.nist.gov/vuln/detail/CVE-2026-1943" TargetMode="External" Id="rId327"/><Relationship Type="http://schemas.openxmlformats.org/officeDocument/2006/relationships/hyperlink" Target="https://nvd.nist.gov/vuln/detail/CVE-2026-1943" TargetMode="External" Id="rId328"/><Relationship Type="http://schemas.openxmlformats.org/officeDocument/2006/relationships/hyperlink" Target="https://nvd.nist.gov/vuln/detail/CVE-2026-25421" TargetMode="External" Id="rId329"/><Relationship Type="http://schemas.openxmlformats.org/officeDocument/2006/relationships/hyperlink" Target="https://nvd.nist.gov/vuln/detail/CVE-2026-25421" TargetMode="External" Id="rId330"/><Relationship Type="http://schemas.openxmlformats.org/officeDocument/2006/relationships/hyperlink" Target="https://nvd.nist.gov/vuln/detail/CVE-2026-2112" TargetMode="External" Id="rId331"/><Relationship Type="http://schemas.openxmlformats.org/officeDocument/2006/relationships/hyperlink" Target="https://nvd.nist.gov/vuln/detail/CVE-2026-2112" TargetMode="External" Id="rId332"/><Relationship Type="http://schemas.openxmlformats.org/officeDocument/2006/relationships/hyperlink" Target="https://nvd.nist.gov/vuln/detail/CVE-2026-2419" TargetMode="External" Id="rId333"/><Relationship Type="http://schemas.openxmlformats.org/officeDocument/2006/relationships/hyperlink" Target="https://nvd.nist.gov/vuln/detail/CVE-2026-2419" TargetMode="External" Id="rId334"/><Relationship Type="http://schemas.openxmlformats.org/officeDocument/2006/relationships/hyperlink" Target="https://nvd.nist.gov/vuln/detail/CVE-2026-1649" TargetMode="External" Id="rId335"/><Relationship Type="http://schemas.openxmlformats.org/officeDocument/2006/relationships/hyperlink" Target="https://nvd.nist.gov/vuln/detail/CVE-2026-1649" TargetMode="External" Id="rId336"/><Relationship Type="http://schemas.openxmlformats.org/officeDocument/2006/relationships/hyperlink" Target="https://nvd.nist.gov/vuln/detail/CVE-2026-1656" TargetMode="External" Id="rId337"/><Relationship Type="http://schemas.openxmlformats.org/officeDocument/2006/relationships/hyperlink" Target="https://nvd.nist.gov/vuln/detail/CVE-2026-1656" TargetMode="External" Id="rId338"/><Relationship Type="http://schemas.openxmlformats.org/officeDocument/2006/relationships/hyperlink" Target="https://nvd.nist.gov/vuln/detail/CVE-2026-1941" TargetMode="External" Id="rId339"/><Relationship Type="http://schemas.openxmlformats.org/officeDocument/2006/relationships/hyperlink" Target="https://nvd.nist.gov/vuln/detail/CVE-2026-1941" TargetMode="External" Id="rId340"/><Relationship Type="http://schemas.openxmlformats.org/officeDocument/2006/relationships/hyperlink" Target="https://nvd.nist.gov/vuln/detail/CVE-2026-2127" TargetMode="External" Id="rId341"/><Relationship Type="http://schemas.openxmlformats.org/officeDocument/2006/relationships/hyperlink" Target="https://nvd.nist.gov/vuln/detail/CVE-2026-2127" TargetMode="External" Id="rId342"/><Relationship Type="http://schemas.openxmlformats.org/officeDocument/2006/relationships/hyperlink" Target="https://nvd.nist.gov/vuln/detail/CVE-2026-2495" TargetMode="External" Id="rId343"/><Relationship Type="http://schemas.openxmlformats.org/officeDocument/2006/relationships/hyperlink" Target="https://nvd.nist.gov/vuln/detail/CVE-2026-2495" TargetMode="External" Id="rId344"/><Relationship Type="http://schemas.openxmlformats.org/officeDocument/2006/relationships/hyperlink" Target="https://nvd.nist.gov/vuln/detail/CVE-2025-11185" TargetMode="External" Id="rId345"/><Relationship Type="http://schemas.openxmlformats.org/officeDocument/2006/relationships/hyperlink" Target="https://nvd.nist.gov/vuln/detail/CVE-2025-11185" TargetMode="External" Id="rId346"/><Relationship Type="http://schemas.openxmlformats.org/officeDocument/2006/relationships/hyperlink" Target="https://nvd.nist.gov/vuln/detail/CVE-2025-13727" TargetMode="External" Id="rId347"/><Relationship Type="http://schemas.openxmlformats.org/officeDocument/2006/relationships/hyperlink" Target="https://nvd.nist.gov/vuln/detail/CVE-2025-13727" TargetMode="External" Id="rId348"/><Relationship Type="http://schemas.openxmlformats.org/officeDocument/2006/relationships/hyperlink" Target="https://nvd.nist.gov/vuln/detail/CVE-2026-2126" TargetMode="External" Id="rId349"/><Relationship Type="http://schemas.openxmlformats.org/officeDocument/2006/relationships/hyperlink" Target="https://nvd.nist.gov/vuln/detail/CVE-2026-2126" TargetMode="External" Id="rId350"/><Relationship Type="http://schemas.openxmlformats.org/officeDocument/2006/relationships/hyperlink" Target="https://nvd.nist.gov/vuln/detail/CVE-2025-14444" TargetMode="External" Id="rId351"/><Relationship Type="http://schemas.openxmlformats.org/officeDocument/2006/relationships/hyperlink" Target="https://nvd.nist.gov/vuln/detail/CVE-2025-14444" TargetMode="External" Id="rId352"/><Relationship Type="http://schemas.openxmlformats.org/officeDocument/2006/relationships/hyperlink" Target="https://nvd.nist.gov/vuln/detail/CVE-2026-1942" TargetMode="External" Id="rId353"/><Relationship Type="http://schemas.openxmlformats.org/officeDocument/2006/relationships/hyperlink" Target="https://nvd.nist.gov/vuln/detail/CVE-2026-1942" TargetMode="External" Id="rId354"/><Relationship Type="http://schemas.openxmlformats.org/officeDocument/2006/relationships/hyperlink" Target="https://nvd.nist.gov/vuln/detail/CVE-2026-2426" TargetMode="External" Id="rId355"/><Relationship Type="http://schemas.openxmlformats.org/officeDocument/2006/relationships/hyperlink" Target="https://nvd.nist.gov/vuln/detail/CVE-2026-2426" TargetMode="External" Id="rId356"/><Relationship Type="http://schemas.openxmlformats.org/officeDocument/2006/relationships/hyperlink" Target="https://nvd.nist.gov/vuln/detail/CVE-2026-2653" TargetMode="External" Id="rId357"/><Relationship Type="http://schemas.openxmlformats.org/officeDocument/2006/relationships/hyperlink" Target="https://nvd.nist.gov/vuln/detail/CVE-2026-2653" TargetMode="External" Id="rId358"/><Relationship Type="http://schemas.openxmlformats.org/officeDocument/2006/relationships/hyperlink" Target="https://nvd.nist.gov/vuln/detail/CVE-2025-14799" TargetMode="External" Id="rId359"/><Relationship Type="http://schemas.openxmlformats.org/officeDocument/2006/relationships/hyperlink" Target="https://nvd.nist.gov/vuln/detail/CVE-2025-14799" TargetMode="External" Id="rId360"/><Relationship Type="http://schemas.openxmlformats.org/officeDocument/2006/relationships/hyperlink" Target="https://nvd.nist.gov/vuln/detail/CVE-2025-7630" TargetMode="External" Id="rId361"/><Relationship Type="http://schemas.openxmlformats.org/officeDocument/2006/relationships/hyperlink" Target="https://nvd.nist.gov/vuln/detail/CVE-2025-7630" TargetMode="External" Id="rId362"/><Relationship Type="http://schemas.openxmlformats.org/officeDocument/2006/relationships/hyperlink" Target="https://nvd.nist.gov/vuln/detail/CVE-2025-8781" TargetMode="External" Id="rId363"/><Relationship Type="http://schemas.openxmlformats.org/officeDocument/2006/relationships/hyperlink" Target="https://nvd.nist.gov/vuln/detail/CVE-2025-8781" TargetMode="External" Id="rId364"/><Relationship Type="http://schemas.openxmlformats.org/officeDocument/2006/relationships/hyperlink" Target="https://nvd.nist.gov/vuln/detail/CVE-2026-1317" TargetMode="External" Id="rId365"/><Relationship Type="http://schemas.openxmlformats.org/officeDocument/2006/relationships/hyperlink" Target="https://nvd.nist.gov/vuln/detail/CVE-2026-1317" TargetMode="External" Id="rId366"/><Relationship Type="http://schemas.openxmlformats.org/officeDocument/2006/relationships/hyperlink" Target="https://nvd.nist.gov/vuln/detail/CVE-2026-1582" TargetMode="External" Id="rId367"/><Relationship Type="http://schemas.openxmlformats.org/officeDocument/2006/relationships/hyperlink" Target="https://nvd.nist.gov/vuln/detail/CVE-2026-1582" TargetMode="External" Id="rId368"/><Relationship Type="http://schemas.openxmlformats.org/officeDocument/2006/relationships/hyperlink" Target="https://nvd.nist.gov/vuln/detail/CVE-2026-2386" TargetMode="External" Id="rId369"/><Relationship Type="http://schemas.openxmlformats.org/officeDocument/2006/relationships/hyperlink" Target="https://nvd.nist.gov/vuln/detail/CVE-2026-2386" TargetMode="External" Id="rId370"/><Relationship Type="http://schemas.openxmlformats.org/officeDocument/2006/relationships/hyperlink" Target="https://nvd.nist.gov/vuln/detail/CVE-2025-14340" TargetMode="External" Id="rId371"/><Relationship Type="http://schemas.openxmlformats.org/officeDocument/2006/relationships/hyperlink" Target="https://nvd.nist.gov/vuln/detail/CVE-2025-14340" TargetMode="External" Id="rId372"/><Relationship Type="http://schemas.openxmlformats.org/officeDocument/2006/relationships/hyperlink" Target="https://nvd.nist.gov/vuln/detail/CVE-2025-33236" TargetMode="External" Id="rId373"/><Relationship Type="http://schemas.openxmlformats.org/officeDocument/2006/relationships/hyperlink" Target="https://nvidia.custhelp.com/app/answers/detail/a_id/5762" TargetMode="External" Id="rId374"/><Relationship Type="http://schemas.openxmlformats.org/officeDocument/2006/relationships/hyperlink" Target="https://nvd.nist.gov/vuln/detail/CVE-2025-33236" TargetMode="External" Id="rId375"/><Relationship Type="http://schemas.openxmlformats.org/officeDocument/2006/relationships/hyperlink" Target="https://nvd.nist.gov/vuln/detail/CVE-2025-33239" TargetMode="External" Id="rId376"/><Relationship Type="http://schemas.openxmlformats.org/officeDocument/2006/relationships/hyperlink" Target="https://nvd.nist.gov/vuln/detail/CVE-2025-33239" TargetMode="External" Id="rId377"/><Relationship Type="http://schemas.openxmlformats.org/officeDocument/2006/relationships/hyperlink" Target="https://nvd.nist.gov/vuln/detail/CVE-2025-33240" TargetMode="External" Id="rId378"/><Relationship Type="http://schemas.openxmlformats.org/officeDocument/2006/relationships/hyperlink" Target="https://nvd.nist.gov/vuln/detail/CVE-2025-33240" TargetMode="External" Id="rId379"/><Relationship Type="http://schemas.openxmlformats.org/officeDocument/2006/relationships/hyperlink" Target="https://nvd.nist.gov/vuln/detail/CVE-2025-33241" TargetMode="External" Id="rId380"/><Relationship Type="http://schemas.openxmlformats.org/officeDocument/2006/relationships/hyperlink" Target="https://nvidia.custhelp.com/app/answers/detail/a_id/5762" TargetMode="External" Id="rId381"/><Relationship Type="http://schemas.openxmlformats.org/officeDocument/2006/relationships/hyperlink" Target="https://nvd.nist.gov/vuln/detail/CVE-2025-33241" TargetMode="External" Id="rId382"/><Relationship Type="http://schemas.openxmlformats.org/officeDocument/2006/relationships/hyperlink" Target="https://nvd.nist.gov/vuln/detail/CVE-2025-33243" TargetMode="External" Id="rId383"/><Relationship Type="http://schemas.openxmlformats.org/officeDocument/2006/relationships/hyperlink" Target="https://nvidia.custhelp.com/app/answers/detail/a_id/5762" TargetMode="External" Id="rId384"/><Relationship Type="http://schemas.openxmlformats.org/officeDocument/2006/relationships/hyperlink" Target="https://nvd.nist.gov/vuln/detail/CVE-2025-33243" TargetMode="External" Id="rId385"/><Relationship Type="http://schemas.openxmlformats.org/officeDocument/2006/relationships/hyperlink" Target="https://nvd.nist.gov/vuln/detail/CVE-2025-33245" TargetMode="External" Id="rId386"/><Relationship Type="http://schemas.openxmlformats.org/officeDocument/2006/relationships/hyperlink" Target="https://nvidia.custhelp.com/app/answers/detail/a_id/5762" TargetMode="External" Id="rId387"/><Relationship Type="http://schemas.openxmlformats.org/officeDocument/2006/relationships/hyperlink" Target="https://nvd.nist.gov/vuln/detail/CVE-2025-33245" TargetMode="External" Id="rId388"/><Relationship Type="http://schemas.openxmlformats.org/officeDocument/2006/relationships/hyperlink" Target="https://nvd.nist.gov/vuln/detail/CVE-2025-33246" TargetMode="External" Id="rId389"/><Relationship Type="http://schemas.openxmlformats.org/officeDocument/2006/relationships/hyperlink" Target="https://nvidia.custhelp.com/app/answers/detail/a_id/5762" TargetMode="External" Id="rId390"/><Relationship Type="http://schemas.openxmlformats.org/officeDocument/2006/relationships/hyperlink" Target="https://nvd.nist.gov/vuln/detail/CVE-2025-33246" TargetMode="External" Id="rId391"/><Relationship Type="http://schemas.openxmlformats.org/officeDocument/2006/relationships/hyperlink" Target="https://nvd.nist.gov/vuln/detail/CVE-2025-33249" TargetMode="External" Id="rId392"/><Relationship Type="http://schemas.openxmlformats.org/officeDocument/2006/relationships/hyperlink" Target="https://nvidia.custhelp.com/app/answers/detail/a_id/5762" TargetMode="External" Id="rId393"/><Relationship Type="http://schemas.openxmlformats.org/officeDocument/2006/relationships/hyperlink" Target="https://nvd.nist.gov/vuln/detail/CVE-2025-33249" TargetMode="External" Id="rId394"/><Relationship Type="http://schemas.openxmlformats.org/officeDocument/2006/relationships/hyperlink" Target="https://nvd.nist.gov/vuln/detail/CVE-2025-33250" TargetMode="External" Id="rId395"/><Relationship Type="http://schemas.openxmlformats.org/officeDocument/2006/relationships/hyperlink" Target="https://nvidia.custhelp.com/app/answers/detail/a_id/5762" TargetMode="External" Id="rId396"/><Relationship Type="http://schemas.openxmlformats.org/officeDocument/2006/relationships/hyperlink" Target="https://nvd.nist.gov/vuln/detail/CVE-2025-33250" TargetMode="External" Id="rId397"/><Relationship Type="http://schemas.openxmlformats.org/officeDocument/2006/relationships/hyperlink" Target="https://nvd.nist.gov/vuln/detail/CVE-2025-33251" TargetMode="External" Id="rId398"/><Relationship Type="http://schemas.openxmlformats.org/officeDocument/2006/relationships/hyperlink" Target="https://nvidia.custhelp.com/app/answers/detail/a_id/5762" TargetMode="External" Id="rId399"/><Relationship Type="http://schemas.openxmlformats.org/officeDocument/2006/relationships/hyperlink" Target="https://nvd.nist.gov/vuln/detail/CVE-2025-33251" TargetMode="External" Id="rId400"/><Relationship Type="http://schemas.openxmlformats.org/officeDocument/2006/relationships/hyperlink" Target="https://nvd.nist.gov/vuln/detail/CVE-2025-33252" TargetMode="External" Id="rId401"/><Relationship Type="http://schemas.openxmlformats.org/officeDocument/2006/relationships/hyperlink" Target="https://nvidia.custhelp.com/app/answers/detail/a_id/5762" TargetMode="External" Id="rId402"/><Relationship Type="http://schemas.openxmlformats.org/officeDocument/2006/relationships/hyperlink" Target="https://nvd.nist.gov/vuln/detail/CVE-2025-33252" TargetMode="External" Id="rId403"/><Relationship Type="http://schemas.openxmlformats.org/officeDocument/2006/relationships/hyperlink" Target="https://nvd.nist.gov/vuln/detail/CVE-2025-33253" TargetMode="External" Id="rId404"/><Relationship Type="http://schemas.openxmlformats.org/officeDocument/2006/relationships/hyperlink" Target="https://nvidia.custhelp.com/app/answers/detail/a_id/5762" TargetMode="External" Id="rId405"/><Relationship Type="http://schemas.openxmlformats.org/officeDocument/2006/relationships/hyperlink" Target="https://nvd.nist.gov/vuln/detail/CVE-2025-33253" TargetMode="External" Id="rId406"/><Relationship Type="http://schemas.openxmlformats.org/officeDocument/2006/relationships/hyperlink" Target="https://nvd.nist.gov/vuln/detail/CVE-2025-59920" TargetMode="External" Id="rId407"/><Relationship Type="http://schemas.openxmlformats.org/officeDocument/2006/relationships/hyperlink" Target="https://nvd.nist.gov/vuln/detail/CVE-2025-59920" TargetMode="External" Id="rId408"/><Relationship Type="http://schemas.openxmlformats.org/officeDocument/2006/relationships/hyperlink" Target="https://nvd.nist.gov/vuln/detail/CVE-2025-60035" TargetMode="External" Id="rId409"/><Relationship Type="http://schemas.openxmlformats.org/officeDocument/2006/relationships/hyperlink" Target="https://nvd.nist.gov/vuln/detail/CVE-2025-60035" TargetMode="External" Id="rId410"/><Relationship Type="http://schemas.openxmlformats.org/officeDocument/2006/relationships/hyperlink" Target="http://www.zerodayinitiative.com/advisories/ZDI-26-109/" TargetMode="External" Id="rId411"/><Relationship Type="http://schemas.openxmlformats.org/officeDocument/2006/relationships/hyperlink" Target="https://nvd.nist.gov/vuln/detail/CVE-2025-60036" TargetMode="External" Id="rId412"/><Relationship Type="http://schemas.openxmlformats.org/officeDocument/2006/relationships/hyperlink" Target="https://nvd.nist.gov/vuln/detail/CVE-2025-60036" TargetMode="External" Id="rId413"/><Relationship Type="http://schemas.openxmlformats.org/officeDocument/2006/relationships/hyperlink" Target="http://www.zerodayinitiative.com/advisories/ZDI-26-108/" TargetMode="External" Id="rId414"/><Relationship Type="http://schemas.openxmlformats.org/officeDocument/2006/relationships/hyperlink" Target="https://nvd.nist.gov/vuln/detail/CVE-2025-60037" TargetMode="External" Id="rId415"/><Relationship Type="http://schemas.openxmlformats.org/officeDocument/2006/relationships/hyperlink" Target="https://nvd.nist.gov/vuln/detail/CVE-2025-60037" TargetMode="External" Id="rId416"/><Relationship Type="http://schemas.openxmlformats.org/officeDocument/2006/relationships/hyperlink" Target="http://www.zerodayinitiative.com/advisories/ZDI-26-110/" TargetMode="External" Id="rId417"/><Relationship Type="http://schemas.openxmlformats.org/officeDocument/2006/relationships/hyperlink" Target="https://nvd.nist.gov/vuln/detail/CVE-2025-60038" TargetMode="External" Id="rId418"/><Relationship Type="http://schemas.openxmlformats.org/officeDocument/2006/relationships/hyperlink" Target="https://nvd.nist.gov/vuln/detail/CVE-2025-60038" TargetMode="External" Id="rId419"/><Relationship Type="http://schemas.openxmlformats.org/officeDocument/2006/relationships/hyperlink" Target="http://www.zerodayinitiative.com/advisories/ZDI-26-110/" TargetMode="External" Id="rId420"/><Relationship Type="http://schemas.openxmlformats.org/officeDocument/2006/relationships/hyperlink" Target="https://nvd.nist.gov/vuln/detail/CVE-2025-8308" TargetMode="External" Id="rId421"/><Relationship Type="http://schemas.openxmlformats.org/officeDocument/2006/relationships/hyperlink" Target="https://nvd.nist.gov/vuln/detail/CVE-2025-8308" TargetMode="External" Id="rId422"/><Relationship Type="http://schemas.openxmlformats.org/officeDocument/2006/relationships/hyperlink" Target="https://nvd.nist.gov/vuln/detail/CVE-2026-1435" TargetMode="External" Id="rId423"/><Relationship Type="http://schemas.openxmlformats.org/officeDocument/2006/relationships/hyperlink" Target="https://nvd.nist.gov/vuln/detail/CVE-2026-1435" TargetMode="External" Id="rId424"/><Relationship Type="http://schemas.openxmlformats.org/officeDocument/2006/relationships/hyperlink" Target="https://nvd.nist.gov/vuln/detail/CVE-2026-1436" TargetMode="External" Id="rId425"/><Relationship Type="http://schemas.openxmlformats.org/officeDocument/2006/relationships/hyperlink" Target="https://nvd.nist.gov/vuln/detail/CVE-2026-1436" TargetMode="External" Id="rId426"/><Relationship Type="http://schemas.openxmlformats.org/officeDocument/2006/relationships/hyperlink" Target="https://nvd.nist.gov/vuln/detail/CVE-2026-1437" TargetMode="External" Id="rId427"/><Relationship Type="http://schemas.openxmlformats.org/officeDocument/2006/relationships/hyperlink" Target="https://nvd.nist.gov/vuln/detail/CVE-2026-1437" TargetMode="External" Id="rId428"/><Relationship Type="http://schemas.openxmlformats.org/officeDocument/2006/relationships/hyperlink" Target="https://nvd.nist.gov/vuln/detail/CVE-2026-1438" TargetMode="External" Id="rId429"/><Relationship Type="http://schemas.openxmlformats.org/officeDocument/2006/relationships/hyperlink" Target="https://nvd.nist.gov/vuln/detail/CVE-2026-1438" TargetMode="External" Id="rId430"/><Relationship Type="http://schemas.openxmlformats.org/officeDocument/2006/relationships/hyperlink" Target="https://nvd.nist.gov/vuln/detail/CVE-2026-1439" TargetMode="External" Id="rId431"/><Relationship Type="http://schemas.openxmlformats.org/officeDocument/2006/relationships/hyperlink" Target="https://nvd.nist.gov/vuln/detail/CVE-2026-1439" TargetMode="External" Id="rId432"/><Relationship Type="http://schemas.openxmlformats.org/officeDocument/2006/relationships/hyperlink" Target="https://nvd.nist.gov/vuln/detail/CVE-2026-1440" TargetMode="External" Id="rId433"/><Relationship Type="http://schemas.openxmlformats.org/officeDocument/2006/relationships/hyperlink" Target="https://nvd.nist.gov/vuln/detail/CVE-2026-1440" TargetMode="External" Id="rId434"/><Relationship Type="http://schemas.openxmlformats.org/officeDocument/2006/relationships/hyperlink" Target="https://nvd.nist.gov/vuln/detail/CVE-2026-1441" TargetMode="External" Id="rId435"/><Relationship Type="http://schemas.openxmlformats.org/officeDocument/2006/relationships/hyperlink" Target="https://nvd.nist.gov/vuln/detail/CVE-2026-1441" TargetMode="External" Id="rId436"/><Relationship Type="http://schemas.openxmlformats.org/officeDocument/2006/relationships/hyperlink" Target="https://nvd.nist.gov/vuln/detail/CVE-2026-2464" TargetMode="External" Id="rId437"/><Relationship Type="http://schemas.openxmlformats.org/officeDocument/2006/relationships/hyperlink" Target="https://nvd.nist.gov/vuln/detail/CVE-2026-2464" TargetMode="External" Id="rId438"/><Relationship Type="http://schemas.openxmlformats.org/officeDocument/2006/relationships/hyperlink" Target="https://nvd.nist.gov/vuln/detail/CVE-2026-2654" TargetMode="External" Id="rId439"/><Relationship Type="http://schemas.openxmlformats.org/officeDocument/2006/relationships/hyperlink" Target="https://nvd.nist.gov/vuln/detail/CVE-2026-2654" TargetMode="External" Id="rId440"/><Relationship Type="http://schemas.openxmlformats.org/officeDocument/2006/relationships/hyperlink" Target="https://nvd.nist.gov/vuln/detail/CVE-2026-2655" TargetMode="External" Id="rId441"/><Relationship Type="http://schemas.openxmlformats.org/officeDocument/2006/relationships/hyperlink" Target="https://github.com/ChaiScript/ChaiScript/issues/632%20|%20https://github.com/ChaiScript/ChaiScript/issues/632" TargetMode="External" Id="rId442"/><Relationship Type="http://schemas.openxmlformats.org/officeDocument/2006/relationships/hyperlink" Target="https://nvd.nist.gov/vuln/detail/CVE-2026-2655" TargetMode="External" Id="rId443"/><Relationship Type="http://schemas.openxmlformats.org/officeDocument/2006/relationships/hyperlink" Target="https://nvd.nist.gov/vuln/detail/CVE-2025-61982" TargetMode="External" Id="rId444"/><Relationship Type="http://schemas.openxmlformats.org/officeDocument/2006/relationships/hyperlink" Target="https://nvd.nist.gov/vuln/detail/CVE-2025-61982" TargetMode="External" Id="rId445"/><Relationship Type="http://schemas.openxmlformats.org/officeDocument/2006/relationships/hyperlink" Target="https://nvd.nist.gov/vuln/detail/CVE-2025-71225" TargetMode="External" Id="rId446"/><Relationship Type="http://schemas.openxmlformats.org/officeDocument/2006/relationships/hyperlink" Target="https://nvd.nist.gov/vuln/detail/CVE-2025-71225" TargetMode="External" Id="rId447"/><Relationship Type="http://schemas.openxmlformats.org/officeDocument/2006/relationships/hyperlink" Target="https://nvd.nist.gov/vuln/detail/CVE-2025-71226" TargetMode="External" Id="rId448"/><Relationship Type="http://schemas.openxmlformats.org/officeDocument/2006/relationships/hyperlink" Target="https://nvd.nist.gov/vuln/detail/CVE-2025-71226" TargetMode="External" Id="rId449"/><Relationship Type="http://schemas.openxmlformats.org/officeDocument/2006/relationships/hyperlink" Target="https://nvd.nist.gov/vuln/detail/CVE-2025-71227" TargetMode="External" Id="rId450"/><Relationship Type="http://schemas.openxmlformats.org/officeDocument/2006/relationships/hyperlink" Target="https://nvd.nist.gov/vuln/detail/CVE-2025-71227" TargetMode="External" Id="rId451"/><Relationship Type="http://schemas.openxmlformats.org/officeDocument/2006/relationships/hyperlink" Target="http://www.zerodayinitiative.com/advisories/ZDI-26-123/" TargetMode="External" Id="rId452"/><Relationship Type="http://schemas.openxmlformats.org/officeDocument/2006/relationships/hyperlink" Target="https://nvd.nist.gov/vuln/detail/CVE-2025-71228" TargetMode="External" Id="rId453"/><Relationship Type="http://schemas.openxmlformats.org/officeDocument/2006/relationships/hyperlink" Target="https://nvd.nist.gov/vuln/detail/CVE-2025-71228" TargetMode="External" Id="rId454"/><Relationship Type="http://schemas.openxmlformats.org/officeDocument/2006/relationships/hyperlink" Target="https://nvd.nist.gov/vuln/detail/CVE-2026-1404" TargetMode="External" Id="rId455"/><Relationship Type="http://schemas.openxmlformats.org/officeDocument/2006/relationships/hyperlink" Target="https://nvd.nist.gov/vuln/detail/CVE-2026-1404" TargetMode="External" Id="rId456"/><Relationship Type="http://schemas.openxmlformats.org/officeDocument/2006/relationships/hyperlink" Target="https://nvd.nist.gov/vuln/detail/CVE-2026-1426" TargetMode="External" Id="rId457"/><Relationship Type="http://schemas.openxmlformats.org/officeDocument/2006/relationships/hyperlink" Target="https://nvd.nist.gov/vuln/detail/CVE-2026-1426" TargetMode="External" Id="rId458"/><Relationship Type="http://schemas.openxmlformats.org/officeDocument/2006/relationships/hyperlink" Target="https://nvd.nist.gov/vuln/detail/CVE-2026-23211" TargetMode="External" Id="rId459"/><Relationship Type="http://schemas.openxmlformats.org/officeDocument/2006/relationships/hyperlink" Target="https://nvd.nist.gov/vuln/detail/CVE-2026-23211" TargetMode="External" Id="rId460"/><Relationship Type="http://schemas.openxmlformats.org/officeDocument/2006/relationships/hyperlink" Target="https://nvd.nist.gov/vuln/detail/CVE-2026-23212" TargetMode="External" Id="rId461"/><Relationship Type="http://schemas.openxmlformats.org/officeDocument/2006/relationships/hyperlink" Target="https://nvd.nist.gov/vuln/detail/CVE-2026-23212" TargetMode="External" Id="rId462"/><Relationship Type="http://schemas.openxmlformats.org/officeDocument/2006/relationships/hyperlink" Target="https://nvd.nist.gov/vuln/detail/CVE-2026-23213" TargetMode="External" Id="rId463"/><Relationship Type="http://schemas.openxmlformats.org/officeDocument/2006/relationships/hyperlink" Target="https://nvd.nist.gov/vuln/detail/CVE-2026-23213" TargetMode="External" Id="rId464"/><Relationship Type="http://schemas.openxmlformats.org/officeDocument/2006/relationships/hyperlink" Target="https://nvd.nist.gov/vuln/detail/CVE-2026-23214" TargetMode="External" Id="rId465"/><Relationship Type="http://schemas.openxmlformats.org/officeDocument/2006/relationships/hyperlink" Target="https://nvd.nist.gov/vuln/detail/CVE-2026-23214" TargetMode="External" Id="rId466"/><Relationship Type="http://schemas.openxmlformats.org/officeDocument/2006/relationships/hyperlink" Target="https://nvd.nist.gov/vuln/detail/CVE-2026-23215" TargetMode="External" Id="rId467"/><Relationship Type="http://schemas.openxmlformats.org/officeDocument/2006/relationships/hyperlink" Target="https://nvd.nist.gov/vuln/detail/CVE-2026-23215" TargetMode="External" Id="rId468"/><Relationship Type="http://schemas.openxmlformats.org/officeDocument/2006/relationships/hyperlink" Target="http://www.zerodayinitiative.com/advisories/ZDI-26-123/" TargetMode="External" Id="rId469"/><Relationship Type="http://schemas.openxmlformats.org/officeDocument/2006/relationships/hyperlink" Target="https://nvd.nist.gov/vuln/detail/CVE-2026-23216" TargetMode="External" Id="rId470"/><Relationship Type="http://schemas.openxmlformats.org/officeDocument/2006/relationships/hyperlink" Target="https://nvd.nist.gov/vuln/detail/CVE-2026-23216" TargetMode="External" Id="rId471"/><Relationship Type="http://schemas.openxmlformats.org/officeDocument/2006/relationships/hyperlink" Target="https://nvd.nist.gov/vuln/detail/CVE-2026-23217" TargetMode="External" Id="rId472"/><Relationship Type="http://schemas.openxmlformats.org/officeDocument/2006/relationships/hyperlink" Target="https://nvd.nist.gov/vuln/detail/CVE-2026-23217" TargetMode="External" Id="rId473"/><Relationship Type="http://schemas.openxmlformats.org/officeDocument/2006/relationships/hyperlink" Target="https://nvd.nist.gov/vuln/detail/CVE-2026-23218" TargetMode="External" Id="rId474"/><Relationship Type="http://schemas.openxmlformats.org/officeDocument/2006/relationships/hyperlink" Target="https://nvd.nist.gov/vuln/detail/CVE-2026-23218" TargetMode="External" Id="rId475"/><Relationship Type="http://schemas.openxmlformats.org/officeDocument/2006/relationships/hyperlink" Target="https://nvd.nist.gov/vuln/detail/CVE-2026-23219" TargetMode="External" Id="rId476"/><Relationship Type="http://schemas.openxmlformats.org/officeDocument/2006/relationships/hyperlink" Target="https://nvd.nist.gov/vuln/detail/CVE-2026-23219" TargetMode="External" Id="rId477"/><Relationship Type="http://schemas.openxmlformats.org/officeDocument/2006/relationships/hyperlink" Target="https://nvd.nist.gov/vuln/detail/CVE-2026-27099" TargetMode="External" Id="rId478"/><Relationship Type="http://schemas.openxmlformats.org/officeDocument/2006/relationships/hyperlink" Target="https://www.jenkins.io/security/advisory/2026-02-18/" TargetMode="External" Id="rId479"/><Relationship Type="http://schemas.openxmlformats.org/officeDocument/2006/relationships/hyperlink" Target="https://nvd.nist.gov/vuln/detail/CVE-2026-27099" TargetMode="External" Id="rId480"/><Relationship Type="http://schemas.openxmlformats.org/officeDocument/2006/relationships/hyperlink" Target="https://nvd.nist.gov/vuln/detail/CVE-2026-27100" TargetMode="External" Id="rId481"/><Relationship Type="http://schemas.openxmlformats.org/officeDocument/2006/relationships/hyperlink" Target="https://www.jenkins.io/security/advisory/2026-02-18/" TargetMode="External" Id="rId482"/><Relationship Type="http://schemas.openxmlformats.org/officeDocument/2006/relationships/hyperlink" Target="https://nvd.nist.gov/vuln/detail/CVE-2026-27100" TargetMode="External" Id="rId483"/><Relationship Type="http://schemas.openxmlformats.org/officeDocument/2006/relationships/hyperlink" Target="https://nvd.nist.gov/vuln/detail/CVE-2026-2329" TargetMode="External" Id="rId484"/><Relationship Type="http://schemas.openxmlformats.org/officeDocument/2006/relationships/hyperlink" Target="https://github.com/rapid7/metasploit-framework/pull/20983%20|%20https://psirt.grandstream.com/" TargetMode="External" Id="rId485"/><Relationship Type="http://schemas.openxmlformats.org/officeDocument/2006/relationships/hyperlink" Target="https://nvd.nist.gov/vuln/detail/CVE-2026-2329" TargetMode="External" Id="rId486"/><Relationship Type="http://schemas.openxmlformats.org/officeDocument/2006/relationships/hyperlink" Target="https://nvd.nist.gov/vuln/detail/CVE-2026-2656" TargetMode="External" Id="rId487"/><Relationship Type="http://schemas.openxmlformats.org/officeDocument/2006/relationships/hyperlink" Target="https://github.com/ChaiScript/ChaiScript/issues/636%20|%20https://github.com/ChaiScript/ChaiScript/issues/636" TargetMode="External" Id="rId488"/><Relationship Type="http://schemas.openxmlformats.org/officeDocument/2006/relationships/hyperlink" Target="https://nvd.nist.gov/vuln/detail/CVE-2026-2656" TargetMode="External" Id="rId489"/><Relationship Type="http://schemas.openxmlformats.org/officeDocument/2006/relationships/hyperlink" Target="https://nvd.nist.gov/vuln/detail/CVE-2025-15579" TargetMode="External" Id="rId490"/><Relationship Type="http://schemas.openxmlformats.org/officeDocument/2006/relationships/hyperlink" Target="https://nvd.nist.gov/vuln/detail/CVE-2025-15579" TargetMode="External" Id="rId491"/><Relationship Type="http://schemas.openxmlformats.org/officeDocument/2006/relationships/hyperlink" Target="https://nvd.nist.gov/vuln/detail/CVE-2025-65519" TargetMode="External" Id="rId492"/><Relationship Type="http://schemas.openxmlformats.org/officeDocument/2006/relationships/hyperlink" Target="https://nvd.nist.gov/vuln/detail/CVE-2025-65519" TargetMode="External" Id="rId493"/><Relationship Type="http://schemas.openxmlformats.org/officeDocument/2006/relationships/hyperlink" Target="https://nvd.nist.gov/vuln/detail/CVE-2025-65791" TargetMode="External" Id="rId494"/><Relationship Type="http://schemas.openxmlformats.org/officeDocument/2006/relationships/hyperlink" Target="https://nvd.nist.gov/vuln/detail/CVE-2025-65791" TargetMode="External" Id="rId495"/><Relationship Type="http://schemas.openxmlformats.org/officeDocument/2006/relationships/hyperlink" Target="https://nvd.nist.gov/vuln/detail/CVE-2025-70998" TargetMode="External" Id="rId496"/><Relationship Type="http://schemas.openxmlformats.org/officeDocument/2006/relationships/hyperlink" Target="https://nvd.nist.gov/vuln/detail/CVE-2025-70998" TargetMode="External" Id="rId497"/><Relationship Type="http://schemas.openxmlformats.org/officeDocument/2006/relationships/hyperlink" Target="https://nvd.nist.gov/vuln/detail/CVE-2025-71229" TargetMode="External" Id="rId498"/><Relationship Type="http://schemas.openxmlformats.org/officeDocument/2006/relationships/hyperlink" Target="https://nvd.nist.gov/vuln/detail/CVE-2025-71229" TargetMode="External" Id="rId499"/><Relationship Type="http://schemas.openxmlformats.org/officeDocument/2006/relationships/hyperlink" Target="https://nvd.nist.gov/vuln/detail/CVE-2025-71230" TargetMode="External" Id="rId500"/><Relationship Type="http://schemas.openxmlformats.org/officeDocument/2006/relationships/hyperlink" Target="https://nvd.nist.gov/vuln/detail/CVE-2025-71230" TargetMode="External" Id="rId501"/><Relationship Type="http://schemas.openxmlformats.org/officeDocument/2006/relationships/hyperlink" Target="https://nvd.nist.gov/vuln/detail/CVE-2025-71231" TargetMode="External" Id="rId502"/><Relationship Type="http://schemas.openxmlformats.org/officeDocument/2006/relationships/hyperlink" Target="https://nvd.nist.gov/vuln/detail/CVE-2025-71231" TargetMode="External" Id="rId503"/><Relationship Type="http://schemas.openxmlformats.org/officeDocument/2006/relationships/hyperlink" Target="https://nvd.nist.gov/vuln/detail/CVE-2025-71232" TargetMode="External" Id="rId504"/><Relationship Type="http://schemas.openxmlformats.org/officeDocument/2006/relationships/hyperlink" Target="https://nvd.nist.gov/vuln/detail/CVE-2025-71232" TargetMode="External" Id="rId505"/><Relationship Type="http://schemas.openxmlformats.org/officeDocument/2006/relationships/hyperlink" Target="http://www.zerodayinitiative.com/advisories/ZDI-26-123/" TargetMode="External" Id="rId506"/><Relationship Type="http://schemas.openxmlformats.org/officeDocument/2006/relationships/hyperlink" Target="https://nvd.nist.gov/vuln/detail/CVE-2025-71233" TargetMode="External" Id="rId507"/><Relationship Type="http://schemas.openxmlformats.org/officeDocument/2006/relationships/hyperlink" Target="https://nvd.nist.gov/vuln/detail/CVE-2025-71233" TargetMode="External" Id="rId508"/><Relationship Type="http://schemas.openxmlformats.org/officeDocument/2006/relationships/hyperlink" Target="https://nvd.nist.gov/vuln/detail/CVE-2025-71234" TargetMode="External" Id="rId509"/><Relationship Type="http://schemas.openxmlformats.org/officeDocument/2006/relationships/hyperlink" Target="https://nvd.nist.gov/vuln/detail/CVE-2025-71234" TargetMode="External" Id="rId510"/><Relationship Type="http://schemas.openxmlformats.org/officeDocument/2006/relationships/hyperlink" Target="https://nvd.nist.gov/vuln/detail/CVE-2025-71235" TargetMode="External" Id="rId511"/><Relationship Type="http://schemas.openxmlformats.org/officeDocument/2006/relationships/hyperlink" Target="https://nvd.nist.gov/vuln/detail/CVE-2025-71235" TargetMode="External" Id="rId512"/><Relationship Type="http://schemas.openxmlformats.org/officeDocument/2006/relationships/hyperlink" Target="http://www.zerodayinitiative.com/advisories/ZDI-26-123/" TargetMode="External" Id="rId513"/><Relationship Type="http://schemas.openxmlformats.org/officeDocument/2006/relationships/hyperlink" Target="https://nvd.nist.gov/vuln/detail/CVE-2025-71236" TargetMode="External" Id="rId514"/><Relationship Type="http://schemas.openxmlformats.org/officeDocument/2006/relationships/hyperlink" Target="https://nvd.nist.gov/vuln/detail/CVE-2025-71236" TargetMode="External" Id="rId515"/><Relationship Type="http://schemas.openxmlformats.org/officeDocument/2006/relationships/hyperlink" Target="https://nvd.nist.gov/vuln/detail/CVE-2025-71237" TargetMode="External" Id="rId516"/><Relationship Type="http://schemas.openxmlformats.org/officeDocument/2006/relationships/hyperlink" Target="https://nvd.nist.gov/vuln/detail/CVE-2025-71237" TargetMode="External" Id="rId517"/><Relationship Type="http://schemas.openxmlformats.org/officeDocument/2006/relationships/hyperlink" Target="https://nvd.nist.gov/vuln/detail/CVE-2026-23220" TargetMode="External" Id="rId518"/><Relationship Type="http://schemas.openxmlformats.org/officeDocument/2006/relationships/hyperlink" Target="https://nvd.nist.gov/vuln/detail/CVE-2026-23220" TargetMode="External" Id="rId519"/><Relationship Type="http://schemas.openxmlformats.org/officeDocument/2006/relationships/hyperlink" Target="https://nvd.nist.gov/vuln/detail/CVE-2026-23221" TargetMode="External" Id="rId520"/><Relationship Type="http://schemas.openxmlformats.org/officeDocument/2006/relationships/hyperlink" Target="https://nvd.nist.gov/vuln/detail/CVE-2026-23221" TargetMode="External" Id="rId521"/><Relationship Type="http://schemas.openxmlformats.org/officeDocument/2006/relationships/hyperlink" Target="https://nvd.nist.gov/vuln/detail/CVE-2026-23222" TargetMode="External" Id="rId522"/><Relationship Type="http://schemas.openxmlformats.org/officeDocument/2006/relationships/hyperlink" Target="https://nvd.nist.gov/vuln/detail/CVE-2026-23222" TargetMode="External" Id="rId523"/><Relationship Type="http://schemas.openxmlformats.org/officeDocument/2006/relationships/hyperlink" Target="https://nvd.nist.gov/vuln/detail/CVE-2026-23223" TargetMode="External" Id="rId524"/><Relationship Type="http://schemas.openxmlformats.org/officeDocument/2006/relationships/hyperlink" Target="https://nvd.nist.gov/vuln/detail/CVE-2026-23223" TargetMode="External" Id="rId525"/><Relationship Type="http://schemas.openxmlformats.org/officeDocument/2006/relationships/hyperlink" Target="https://nvd.nist.gov/vuln/detail/CVE-2026-23224" TargetMode="External" Id="rId526"/><Relationship Type="http://schemas.openxmlformats.org/officeDocument/2006/relationships/hyperlink" Target="https://nvd.nist.gov/vuln/detail/CVE-2026-23224" TargetMode="External" Id="rId527"/><Relationship Type="http://schemas.openxmlformats.org/officeDocument/2006/relationships/hyperlink" Target="https://nvd.nist.gov/vuln/detail/CVE-2026-23225" TargetMode="External" Id="rId528"/><Relationship Type="http://schemas.openxmlformats.org/officeDocument/2006/relationships/hyperlink" Target="https://nvd.nist.gov/vuln/detail/CVE-2026-23225" TargetMode="External" Id="rId529"/><Relationship Type="http://schemas.openxmlformats.org/officeDocument/2006/relationships/hyperlink" Target="https://nvd.nist.gov/vuln/detail/CVE-2026-23226" TargetMode="External" Id="rId530"/><Relationship Type="http://schemas.openxmlformats.org/officeDocument/2006/relationships/hyperlink" Target="https://nvd.nist.gov/vuln/detail/CVE-2026-23226" TargetMode="External" Id="rId531"/><Relationship Type="http://schemas.openxmlformats.org/officeDocument/2006/relationships/hyperlink" Target="https://nvd.nist.gov/vuln/detail/CVE-2026-23227" TargetMode="External" Id="rId532"/><Relationship Type="http://schemas.openxmlformats.org/officeDocument/2006/relationships/hyperlink" Target="https://nvd.nist.gov/vuln/detail/CVE-2026-23227" TargetMode="External" Id="rId533"/><Relationship Type="http://schemas.openxmlformats.org/officeDocument/2006/relationships/hyperlink" Target="https://nvd.nist.gov/vuln/detail/CVE-2026-23228" TargetMode="External" Id="rId534"/><Relationship Type="http://schemas.openxmlformats.org/officeDocument/2006/relationships/hyperlink" Target="https://nvd.nist.gov/vuln/detail/CVE-2026-23228" TargetMode="External" Id="rId535"/><Relationship Type="http://schemas.openxmlformats.org/officeDocument/2006/relationships/hyperlink" Target="https://nvd.nist.gov/vuln/detail/CVE-2026-23229" TargetMode="External" Id="rId536"/><Relationship Type="http://schemas.openxmlformats.org/officeDocument/2006/relationships/hyperlink" Target="https://nvd.nist.gov/vuln/detail/CVE-2026-23229" TargetMode="External" Id="rId537"/><Relationship Type="http://schemas.openxmlformats.org/officeDocument/2006/relationships/hyperlink" Target="http://www.zerodayinitiative.com/advisories/ZDI-26-123/" TargetMode="External" Id="rId538"/><Relationship Type="http://schemas.openxmlformats.org/officeDocument/2006/relationships/hyperlink" Target="https://nvd.nist.gov/vuln/detail/CVE-2026-23230" TargetMode="External" Id="rId539"/><Relationship Type="http://schemas.openxmlformats.org/officeDocument/2006/relationships/hyperlink" Target="https://nvd.nist.gov/vuln/detail/CVE-2026-23230" TargetMode="External" Id="rId540"/><Relationship Type="http://schemas.openxmlformats.org/officeDocument/2006/relationships/hyperlink" Target="https://nvd.nist.gov/vuln/detail/CVE-2025-13602" TargetMode="External" Id="rId541"/><Relationship Type="http://schemas.openxmlformats.org/officeDocument/2006/relationships/hyperlink" Target="https://nvd.nist.gov/vuln/detail/CVE-2025-13602" TargetMode="External" Id="rId542"/><Relationship Type="http://schemas.openxmlformats.org/officeDocument/2006/relationships/hyperlink" Target="https://nvd.nist.gov/vuln/detail/CVE-2025-13933" TargetMode="External" Id="rId543"/><Relationship Type="http://schemas.openxmlformats.org/officeDocument/2006/relationships/hyperlink" Target="https://nvd.nist.gov/vuln/detail/CVE-2025-13933" TargetMode="External" Id="rId544"/><Relationship Type="http://schemas.openxmlformats.org/officeDocument/2006/relationships/hyperlink" Target="https://nvd.nist.gov/vuln/detail/CVE-2025-13965" TargetMode="External" Id="rId545"/><Relationship Type="http://schemas.openxmlformats.org/officeDocument/2006/relationships/hyperlink" Target="https://nvd.nist.gov/vuln/detail/CVE-2025-13965" TargetMode="External" Id="rId546"/><Relationship Type="http://schemas.openxmlformats.org/officeDocument/2006/relationships/hyperlink" Target="https://nvd.nist.gov/vuln/detail/CVE-2025-70141" TargetMode="External" Id="rId547"/><Relationship Type="http://schemas.openxmlformats.org/officeDocument/2006/relationships/hyperlink" Target="https://youngkevinn.github.io/posts/CVE-2025-70141-Customer-Support-BAC/" TargetMode="External" Id="rId548"/><Relationship Type="http://schemas.openxmlformats.org/officeDocument/2006/relationships/hyperlink" Target="https://youngkevinn.github.io/posts/CVE-2025-70141-Customer-Support-BAC/" TargetMode="External" Id="rId549"/><Relationship Type="http://schemas.openxmlformats.org/officeDocument/2006/relationships/hyperlink" Target="https://nvd.nist.gov/vuln/detail/CVE-2025-70141" TargetMode="External" Id="rId550"/><Relationship Type="http://schemas.openxmlformats.org/officeDocument/2006/relationships/hyperlink" Target="https://nvd.nist.gov/vuln/detail/CVE-2025-70146" TargetMode="External" Id="rId551"/><Relationship Type="http://schemas.openxmlformats.org/officeDocument/2006/relationships/hyperlink" Target="https://youngkevinn.github.io/posts/CVE-2025-70146-OTTTG-Unauth-Deletion/" TargetMode="External" Id="rId552"/><Relationship Type="http://schemas.openxmlformats.org/officeDocument/2006/relationships/hyperlink" Target="https://youngkevinn.github.io/posts/CVE-2025-70146-OTTTG-Unauth-Deletion/" TargetMode="External" Id="rId553"/><Relationship Type="http://schemas.openxmlformats.org/officeDocument/2006/relationships/hyperlink" Target="https://nvd.nist.gov/vuln/detail/CVE-2025-70146" TargetMode="External" Id="rId554"/><Relationship Type="http://schemas.openxmlformats.org/officeDocument/2006/relationships/hyperlink" Target="https://nvd.nist.gov/vuln/detail/CVE-2025-70147" TargetMode="External" Id="rId555"/><Relationship Type="http://schemas.openxmlformats.org/officeDocument/2006/relationships/hyperlink" Target="https://youngkevinn.github.io/posts/CVE-2025-70147-OTTTG-Info-Disclosure/" TargetMode="External" Id="rId556"/><Relationship Type="http://schemas.openxmlformats.org/officeDocument/2006/relationships/hyperlink" Target="https://youngkevinn.github.io/posts/CVE-2025-70147-OTTTG-Info-Disclosure/" TargetMode="External" Id="rId557"/><Relationship Type="http://schemas.openxmlformats.org/officeDocument/2006/relationships/hyperlink" Target="https://nvd.nist.gov/vuln/detail/CVE-2025-70147" TargetMode="External" Id="rId558"/><Relationship Type="http://schemas.openxmlformats.org/officeDocument/2006/relationships/hyperlink" Target="https://nvd.nist.gov/vuln/detail/CVE-2025-70149" TargetMode="External" Id="rId559"/><Relationship Type="http://schemas.openxmlformats.org/officeDocument/2006/relationships/hyperlink" Target="https://youngkevinn.github.io/posts/CVE-2025-70149-Membership-SQLi/" TargetMode="External" Id="rId560"/><Relationship Type="http://schemas.openxmlformats.org/officeDocument/2006/relationships/hyperlink" Target="https://youngkevinn.github.io/posts/CVE-2025-70149-Membership-SQLi/" TargetMode="External" Id="rId561"/><Relationship Type="http://schemas.openxmlformats.org/officeDocument/2006/relationships/hyperlink" Target="https://nvd.nist.gov/vuln/detail/CVE-2025-70149" TargetMode="External" Id="rId562"/><Relationship Type="http://schemas.openxmlformats.org/officeDocument/2006/relationships/hyperlink" Target="https://nvd.nist.gov/vuln/detail/CVE-2026-2230" TargetMode="External" Id="rId563"/><Relationship Type="http://schemas.openxmlformats.org/officeDocument/2006/relationships/hyperlink" Target="https://nvd.nist.gov/vuln/detail/CVE-2026-2230" TargetMode="External" Id="rId564"/><Relationship Type="http://schemas.openxmlformats.org/officeDocument/2006/relationships/hyperlink" Target="https://nvd.nist.gov/vuln/detail/CVE-2026-2507" TargetMode="External" Id="rId565"/><Relationship Type="http://schemas.openxmlformats.org/officeDocument/2006/relationships/hyperlink" Target="https://nvd.nist.gov/vuln/detail/CVE-2026-2507" TargetMode="External" Id="rId566"/><Relationship Type="http://schemas.openxmlformats.org/officeDocument/2006/relationships/hyperlink" Target="https://nvd.nist.gov/vuln/detail/CVE-2026-2657" TargetMode="External" Id="rId567"/><Relationship Type="http://schemas.openxmlformats.org/officeDocument/2006/relationships/hyperlink" Target="https://github.com/wren-lang/wren/issues/1221" TargetMode="External" Id="rId568"/><Relationship Type="http://schemas.openxmlformats.org/officeDocument/2006/relationships/hyperlink" Target="https://nvd.nist.gov/vuln/detail/CVE-2026-2657" TargetMode="External" Id="rId569"/><Relationship Type="http://schemas.openxmlformats.org/officeDocument/2006/relationships/hyperlink" Target="https://nvd.nist.gov/vuln/detail/CVE-2025-14009" TargetMode="External" Id="rId570"/><Relationship Type="http://schemas.openxmlformats.org/officeDocument/2006/relationships/hyperlink" Target="https://nvd.nist.gov/vuln/detail/CVE-2025-14009" TargetMode="External" Id="rId571"/><Relationship Type="http://schemas.openxmlformats.org/officeDocument/2006/relationships/hyperlink" Target="https://nvd.nist.gov/vuln/detail/CVE-2025-70148" TargetMode="External" Id="rId572"/><Relationship Type="http://schemas.openxmlformats.org/officeDocument/2006/relationships/hyperlink" Target="https://nvd.nist.gov/vuln/detail/CVE-2025-70148" TargetMode="External" Id="rId573"/><Relationship Type="http://schemas.openxmlformats.org/officeDocument/2006/relationships/hyperlink" Target="https://nvd.nist.gov/vuln/detail/CVE-2025-70150" TargetMode="External" Id="rId574"/><Relationship Type="http://schemas.openxmlformats.org/officeDocument/2006/relationships/hyperlink" Target="https://youngkevinn.github.io/posts/CVE-2025-70150-Membership-Unauth-Delete/%20|%20https://youngkevinn.github.io/posts/CVE-2025-70150-Membership-Unauth-Delete/" TargetMode="External" Id="rId575"/><Relationship Type="http://schemas.openxmlformats.org/officeDocument/2006/relationships/hyperlink" Target="https://youngkevinn.github.io/posts/CVE-2025-70150-Membership-Unauth-Delete/%20|%20https://youngkevinn.github.io/posts/CVE-2025-70150-Membership-Unauth-Delete/" TargetMode="External" Id="rId576"/><Relationship Type="http://schemas.openxmlformats.org/officeDocument/2006/relationships/hyperlink" Target="https://nvd.nist.gov/vuln/detail/CVE-2025-70150" TargetMode="External" Id="rId577"/><Relationship Type="http://schemas.openxmlformats.org/officeDocument/2006/relationships/hyperlink" Target="https://nvd.nist.gov/vuln/detail/CVE-2025-70151" TargetMode="External" Id="rId578"/><Relationship Type="http://schemas.openxmlformats.org/officeDocument/2006/relationships/hyperlink" Target="https://youngkevinn.github.io/posts/CVE-2025-70151-Scholars-FileUpload-RCE/" TargetMode="External" Id="rId579"/><Relationship Type="http://schemas.openxmlformats.org/officeDocument/2006/relationships/hyperlink" Target="https://youngkevinn.github.io/posts/CVE-2025-70151-Scholars-FileUpload-RCE/" TargetMode="External" Id="rId580"/><Relationship Type="http://schemas.openxmlformats.org/officeDocument/2006/relationships/hyperlink" Target="https://nvd.nist.gov/vuln/detail/CVE-2025-70151" TargetMode="External" Id="rId581"/><Relationship Type="http://schemas.openxmlformats.org/officeDocument/2006/relationships/hyperlink" Target="https://nvd.nist.gov/vuln/detail/CVE-2025-70152" TargetMode="External" Id="rId582"/><Relationship Type="http://schemas.openxmlformats.org/officeDocument/2006/relationships/hyperlink" Target="https://youngkevinn.github.io/posts/CVE-2025-70152-Scholars-SQLi-Missing-Auth/" TargetMode="External" Id="rId583"/><Relationship Type="http://schemas.openxmlformats.org/officeDocument/2006/relationships/hyperlink" Target="https://youngkevinn.github.io/posts/CVE-2025-70152-Scholars-SQLi-Missing-Auth/" TargetMode="External" Id="rId584"/><Relationship Type="http://schemas.openxmlformats.org/officeDocument/2006/relationships/hyperlink" Target="https://nvd.nist.gov/vuln/detail/CVE-2025-70152" TargetMode="External" Id="rId585"/><Relationship Type="http://schemas.openxmlformats.org/officeDocument/2006/relationships/hyperlink" Target="https://nvd.nist.gov/vuln/detail/CVE-2026-20137" TargetMode="External" Id="rId586"/><Relationship Type="http://schemas.openxmlformats.org/officeDocument/2006/relationships/hyperlink" Target="https://advisory.splunk.com/advisories/SVD-2026-0202" TargetMode="External" Id="rId587"/><Relationship Type="http://schemas.openxmlformats.org/officeDocument/2006/relationships/hyperlink" Target="https://nvd.nist.gov/vuln/detail/CVE-2026-20137" TargetMode="External" Id="rId588"/><Relationship Type="http://schemas.openxmlformats.org/officeDocument/2006/relationships/hyperlink" Target="https://nvd.nist.gov/vuln/detail/CVE-2026-20138" TargetMode="External" Id="rId589"/><Relationship Type="http://schemas.openxmlformats.org/officeDocument/2006/relationships/hyperlink" Target="https://advisory.splunk.com/advisories/SVD-2026-0203" TargetMode="External" Id="rId590"/><Relationship Type="http://schemas.openxmlformats.org/officeDocument/2006/relationships/hyperlink" Target="https://nvd.nist.gov/vuln/detail/CVE-2026-20138" TargetMode="External" Id="rId591"/><Relationship Type="http://schemas.openxmlformats.org/officeDocument/2006/relationships/hyperlink" Target="https://nvd.nist.gov/vuln/detail/CVE-2026-20139" TargetMode="External" Id="rId592"/><Relationship Type="http://schemas.openxmlformats.org/officeDocument/2006/relationships/hyperlink" Target="https://advisory.splunk.com/advisories/SVD-2026-0204" TargetMode="External" Id="rId593"/><Relationship Type="http://schemas.openxmlformats.org/officeDocument/2006/relationships/hyperlink" Target="https://nvd.nist.gov/vuln/detail/CVE-2026-20139" TargetMode="External" Id="rId594"/><Relationship Type="http://schemas.openxmlformats.org/officeDocument/2006/relationships/hyperlink" Target="https://nvd.nist.gov/vuln/detail/CVE-2026-20141" TargetMode="External" Id="rId595"/><Relationship Type="http://schemas.openxmlformats.org/officeDocument/2006/relationships/hyperlink" Target="https://advisory.splunk.com/advisories/SVD-2026-0206" TargetMode="External" Id="rId596"/><Relationship Type="http://schemas.openxmlformats.org/officeDocument/2006/relationships/hyperlink" Target="https://nvd.nist.gov/vuln/detail/CVE-2026-20141" TargetMode="External" Id="rId597"/><Relationship Type="http://schemas.openxmlformats.org/officeDocument/2006/relationships/hyperlink" Target="https://nvd.nist.gov/vuln/detail/CVE-2026-20142" TargetMode="External" Id="rId598"/><Relationship Type="http://schemas.openxmlformats.org/officeDocument/2006/relationships/hyperlink" Target="https://advisory.splunk.com/advisories/SVD-2026-0207" TargetMode="External" Id="rId599"/><Relationship Type="http://schemas.openxmlformats.org/officeDocument/2006/relationships/hyperlink" Target="https://nvd.nist.gov/vuln/detail/CVE-2026-20142" TargetMode="External" Id="rId600"/><Relationship Type="http://schemas.openxmlformats.org/officeDocument/2006/relationships/hyperlink" Target="https://nvd.nist.gov/vuln/detail/CVE-2026-20144" TargetMode="External" Id="rId601"/><Relationship Type="http://schemas.openxmlformats.org/officeDocument/2006/relationships/hyperlink" Target="https://advisory.splunk.com/advisories/SVD-2026-0209" TargetMode="External" Id="rId602"/><Relationship Type="http://schemas.openxmlformats.org/officeDocument/2006/relationships/hyperlink" Target="https://nvd.nist.gov/vuln/detail/CVE-2026-20144" TargetMode="External" Id="rId603"/><Relationship Type="http://schemas.openxmlformats.org/officeDocument/2006/relationships/hyperlink" Target="https://nvd.nist.gov/vuln/detail/CVE-2026-24708" TargetMode="External" Id="rId604"/><Relationship Type="http://schemas.openxmlformats.org/officeDocument/2006/relationships/hyperlink" Target="https://nvd.nist.gov/vuln/detail/CVE-2026-24708" TargetMode="External" Id="rId605"/><Relationship Type="http://schemas.openxmlformats.org/officeDocument/2006/relationships/hyperlink" Target="https://nvd.nist.gov/vuln/detail/CVE-2026-2658" TargetMode="External" Id="rId606"/><Relationship Type="http://schemas.openxmlformats.org/officeDocument/2006/relationships/hyperlink" Target="https://nvd.nist.gov/vuln/detail/CVE-2026-2658" TargetMode="External" Id="rId607"/><Relationship Type="http://schemas.openxmlformats.org/officeDocument/2006/relationships/hyperlink" Target="https://nvd.nist.gov/vuln/detail/CVE-2026-2659" TargetMode="External" Id="rId608"/><Relationship Type="http://schemas.openxmlformats.org/officeDocument/2006/relationships/hyperlink" Target="https://nvd.nist.gov/vuln/detail/CVE-2026-2659" TargetMode="External" Id="rId609"/><Relationship Type="http://schemas.openxmlformats.org/officeDocument/2006/relationships/hyperlink" Target="https://nvd.nist.gov/vuln/detail/CVE-2025-69287" TargetMode="External" Id="rId610"/><Relationship Type="http://schemas.openxmlformats.org/officeDocument/2006/relationships/hyperlink" Target="https://nvd.nist.gov/vuln/detail/CVE-2025-69287" TargetMode="External" Id="rId611"/><Relationship Type="http://schemas.openxmlformats.org/officeDocument/2006/relationships/hyperlink" Target="https://nvd.nist.gov/vuln/detail/CVE-2025-70062" TargetMode="External" Id="rId612"/><Relationship Type="http://schemas.openxmlformats.org/officeDocument/2006/relationships/hyperlink" Target="https://packetstorm.news/files/id/213711" TargetMode="External" Id="rId613"/><Relationship Type="http://schemas.openxmlformats.org/officeDocument/2006/relationships/hyperlink" Target="https://packetstorm.news/files/id/213711" TargetMode="External" Id="rId614"/><Relationship Type="http://schemas.openxmlformats.org/officeDocument/2006/relationships/hyperlink" Target="https://nvd.nist.gov/vuln/detail/CVE-2025-70062" TargetMode="External" Id="rId615"/><Relationship Type="http://schemas.openxmlformats.org/officeDocument/2006/relationships/hyperlink" Target="https://nvd.nist.gov/vuln/detail/CVE-2025-70063" TargetMode="External" Id="rId616"/><Relationship Type="http://schemas.openxmlformats.org/officeDocument/2006/relationships/hyperlink" Target="https://nvd.nist.gov/vuln/detail/CVE-2025-70063" TargetMode="External" Id="rId617"/><Relationship Type="http://schemas.openxmlformats.org/officeDocument/2006/relationships/hyperlink" Target="https://nvd.nist.gov/vuln/detail/CVE-2025-70064" TargetMode="External" Id="rId618"/><Relationship Type="http://schemas.openxmlformats.org/officeDocument/2006/relationships/hyperlink" Target="https://packetstorm.news/files/id/213711" TargetMode="External" Id="rId619"/><Relationship Type="http://schemas.openxmlformats.org/officeDocument/2006/relationships/hyperlink" Target="https://packetstorm.news/files/id/213711" TargetMode="External" Id="rId620"/><Relationship Type="http://schemas.openxmlformats.org/officeDocument/2006/relationships/hyperlink" Target="https://nvd.nist.gov/vuln/detail/CVE-2025-70064" TargetMode="External" Id="rId621"/><Relationship Type="http://schemas.openxmlformats.org/officeDocument/2006/relationships/hyperlink" Target="https://nvd.nist.gov/vuln/detail/CVE-2026-22860" TargetMode="External" Id="rId622"/><Relationship Type="http://schemas.openxmlformats.org/officeDocument/2006/relationships/hyperlink" Target="https://github.com/rack/rack/commit/75c5745c286637a8f049a33790c71237762069e7%20|%20https://github.com/rack/rack/security/advisories/GHSA-mxw3-3hh2-x2mh" TargetMode="External" Id="rId623"/><Relationship Type="http://schemas.openxmlformats.org/officeDocument/2006/relationships/hyperlink" Target="https://github.com/rack/rack/security/advisories/GHSA-mxw3-3hh2-x2mh" TargetMode="External" Id="rId624"/><Relationship Type="http://schemas.openxmlformats.org/officeDocument/2006/relationships/hyperlink" Target="https://nvd.nist.gov/vuln/detail/CVE-2026-22860" TargetMode="External" Id="rId625"/><Relationship Type="http://schemas.openxmlformats.org/officeDocument/2006/relationships/hyperlink" Target="https://nvd.nist.gov/vuln/detail/CVE-2026-2660" TargetMode="External" Id="rId626"/><Relationship Type="http://schemas.openxmlformats.org/officeDocument/2006/relationships/hyperlink" Target="https://nvd.nist.gov/vuln/detail/CVE-2026-2660" TargetMode="External" Id="rId627"/><Relationship Type="http://schemas.openxmlformats.org/officeDocument/2006/relationships/hyperlink" Target="https://nvd.nist.gov/vuln/detail/CVE-2026-0874" TargetMode="External" Id="rId628"/><Relationship Type="http://schemas.openxmlformats.org/officeDocument/2006/relationships/hyperlink" Target="https://www.autodesk.com/trust/security-advisories/adsk-sa-2026-0004" TargetMode="External" Id="rId629"/><Relationship Type="http://schemas.openxmlformats.org/officeDocument/2006/relationships/hyperlink" Target="https://nvd.nist.gov/vuln/detail/CVE-2026-0874" TargetMode="External" Id="rId630"/><Relationship Type="http://schemas.openxmlformats.org/officeDocument/2006/relationships/hyperlink" Target="http://www.zerodayinitiative.com/advisories/ZDI-26-106/" TargetMode="External" Id="rId631"/><Relationship Type="http://schemas.openxmlformats.org/officeDocument/2006/relationships/hyperlink" Target="https://nvd.nist.gov/vuln/detail/CVE-2026-0875" TargetMode="External" Id="rId632"/><Relationship Type="http://schemas.openxmlformats.org/officeDocument/2006/relationships/hyperlink" Target="https://www.autodesk.com/trust/security-advisories/adsk-sa-2026-0004" TargetMode="External" Id="rId633"/><Relationship Type="http://schemas.openxmlformats.org/officeDocument/2006/relationships/hyperlink" Target="https://nvd.nist.gov/vuln/detail/CVE-2026-0875" TargetMode="External" Id="rId634"/><Relationship Type="http://schemas.openxmlformats.org/officeDocument/2006/relationships/hyperlink" Target="http://www.zerodayinitiative.com/advisories/ZDI-26-107/" TargetMode="External" Id="rId635"/><Relationship Type="http://schemas.openxmlformats.org/officeDocument/2006/relationships/hyperlink" Target="https://nvd.nist.gov/vuln/detail/CVE-2026-23491" TargetMode="External" Id="rId636"/><Relationship Type="http://schemas.openxmlformats.org/officeDocument/2006/relationships/hyperlink" Target="https://github.com/InvoicePlane/InvoicePlane/commit/add8bb798dde621f886823065ef1841986543c69%20|%20https://github.com/InvoicePlane/InvoicePlane/security/advisories/GHSA-88gq-mv54-v3fc" TargetMode="External" Id="rId637"/><Relationship Type="http://schemas.openxmlformats.org/officeDocument/2006/relationships/hyperlink" Target="https://nvd.nist.gov/vuln/detail/CVE-2026-23491" TargetMode="External" Id="rId638"/><Relationship Type="http://schemas.openxmlformats.org/officeDocument/2006/relationships/hyperlink" Target="https://nvd.nist.gov/vuln/detail/CVE-2026-25500" TargetMode="External" Id="rId639"/><Relationship Type="http://schemas.openxmlformats.org/officeDocument/2006/relationships/hyperlink" Target="https://github.com/rack/rack/commit/f2f225f297b99fbee3d9f51255d41f601fc40aff%20|%20https://github.com/rack/rack/security/advisories/GHSA-whrj-4476-wvmp" TargetMode="External" Id="rId640"/><Relationship Type="http://schemas.openxmlformats.org/officeDocument/2006/relationships/hyperlink" Target="https://github.com/rack/rack/security/advisories/GHSA-whrj-4476-wvmp" TargetMode="External" Id="rId641"/><Relationship Type="http://schemas.openxmlformats.org/officeDocument/2006/relationships/hyperlink" Target="https://nvd.nist.gov/vuln/detail/CVE-2026-25500" TargetMode="External" Id="rId642"/><Relationship Type="http://schemas.openxmlformats.org/officeDocument/2006/relationships/hyperlink" Target="https://nvd.nist.gov/vuln/detail/CVE-2026-2661" TargetMode="External" Id="rId643"/><Relationship Type="http://schemas.openxmlformats.org/officeDocument/2006/relationships/hyperlink" Target="https://nvd.nist.gov/vuln/detail/CVE-2026-2661" TargetMode="External" Id="rId644"/><Relationship Type="http://schemas.openxmlformats.org/officeDocument/2006/relationships/hyperlink" Target="https://nvd.nist.gov/vuln/detail/CVE-2026-2662" TargetMode="External" Id="rId645"/><Relationship Type="http://schemas.openxmlformats.org/officeDocument/2006/relationships/hyperlink" Target="https://nvd.nist.gov/vuln/detail/CVE-2026-2662" TargetMode="External" Id="rId646"/><Relationship Type="http://schemas.openxmlformats.org/officeDocument/2006/relationships/hyperlink" Target="https://nvd.nist.gov/vuln/detail/CVE-2026-2663" TargetMode="External" Id="rId647"/><Relationship Type="http://schemas.openxmlformats.org/officeDocument/2006/relationships/hyperlink" Target="https://nvd.nist.gov/vuln/detail/CVE-2026-2663" TargetMode="External" Id="rId648"/><Relationship Type="http://schemas.openxmlformats.org/officeDocument/2006/relationships/hyperlink" Target="https://nvd.nist.gov/vuln/detail/CVE-2026-2665" TargetMode="External" Id="rId649"/><Relationship Type="http://schemas.openxmlformats.org/officeDocument/2006/relationships/hyperlink" Target="https://nvd.nist.gov/vuln/detail/CVE-2026-2665" TargetMode="External" Id="rId650"/><Relationship Type="http://schemas.openxmlformats.org/officeDocument/2006/relationships/hyperlink" Target="https://nvd.nist.gov/vuln/detail/CVE-2026-2666" TargetMode="External" Id="rId651"/><Relationship Type="http://schemas.openxmlformats.org/officeDocument/2006/relationships/hyperlink" Target="https://nvd.nist.gov/vuln/detail/CVE-2026-2666" TargetMode="External" Id="rId652"/><Relationship Type="http://schemas.openxmlformats.org/officeDocument/2006/relationships/hyperlink" Target="https://nvd.nist.gov/vuln/detail/CVE-2025-0577" TargetMode="External" Id="rId653"/><Relationship Type="http://schemas.openxmlformats.org/officeDocument/2006/relationships/hyperlink" Target="https://nvd.nist.gov/vuln/detail/CVE-2025-0577" TargetMode="External" Id="rId654"/><Relationship Type="http://schemas.openxmlformats.org/officeDocument/2006/relationships/hyperlink" Target="https://nvd.nist.gov/vuln/detail/CVE-2025-10256" TargetMode="External" Id="rId655"/><Relationship Type="http://schemas.openxmlformats.org/officeDocument/2006/relationships/hyperlink" Target="https://nvd.nist.gov/vuln/detail/CVE-2025-10256" TargetMode="External" Id="rId656"/><Relationship Type="http://schemas.openxmlformats.org/officeDocument/2006/relationships/hyperlink" Target="https://nvd.nist.gov/vuln/detail/CVE-2025-12343" TargetMode="External" Id="rId657"/><Relationship Type="http://schemas.openxmlformats.org/officeDocument/2006/relationships/hyperlink" Target="https://nvd.nist.gov/vuln/detail/CVE-2025-12343" TargetMode="External" Id="rId658"/><Relationship Type="http://schemas.openxmlformats.org/officeDocument/2006/relationships/hyperlink" Target="https://nvd.nist.gov/vuln/detail/CVE-2025-14876" TargetMode="External" Id="rId659"/><Relationship Type="http://schemas.openxmlformats.org/officeDocument/2006/relationships/hyperlink" Target="https://nvd.nist.gov/vuln/detail/CVE-2025-14876" TargetMode="External" Id="rId660"/><Relationship Type="http://schemas.openxmlformats.org/officeDocument/2006/relationships/hyperlink" Target="https://nvd.nist.gov/vuln/detail/CVE-2025-1272" TargetMode="External" Id="rId661"/><Relationship Type="http://schemas.openxmlformats.org/officeDocument/2006/relationships/hyperlink" Target="https://nvd.nist.gov/vuln/detail/CVE-2025-1272" TargetMode="External" Id="rId662"/><Relationship Type="http://schemas.openxmlformats.org/officeDocument/2006/relationships/hyperlink" Target="https://nvd.nist.gov/vuln/detail/CVE-2025-8860" TargetMode="External" Id="rId663"/><Relationship Type="http://schemas.openxmlformats.org/officeDocument/2006/relationships/hyperlink" Target="https://nvd.nist.gov/vuln/detail/CVE-2025-8860" TargetMode="External" Id="rId664"/><Relationship Type="http://schemas.openxmlformats.org/officeDocument/2006/relationships/hyperlink" Target="https://nvd.nist.gov/vuln/detail/CVE-2026-0573" TargetMode="External" Id="rId665"/><Relationship Type="http://schemas.openxmlformats.org/officeDocument/2006/relationships/hyperlink" Target="https://nvd.nist.gov/vuln/detail/CVE-2026-0573" TargetMode="External" Id="rId666"/><Relationship Type="http://schemas.openxmlformats.org/officeDocument/2006/relationships/hyperlink" Target="https://nvd.nist.gov/vuln/detail/CVE-2026-0665" TargetMode="External" Id="rId667"/><Relationship Type="http://schemas.openxmlformats.org/officeDocument/2006/relationships/hyperlink" Target="https://nvd.nist.gov/vuln/detail/CVE-2026-0665" TargetMode="External" Id="rId668"/><Relationship Type="http://schemas.openxmlformats.org/officeDocument/2006/relationships/hyperlink" Target="https://nvd.nist.gov/vuln/detail/CVE-2026-1200" TargetMode="External" Id="rId669"/><Relationship Type="http://schemas.openxmlformats.org/officeDocument/2006/relationships/hyperlink" Target="https://nvd.nist.gov/vuln/detail/CVE-2026-1200" TargetMode="External" Id="rId670"/><Relationship Type="http://schemas.openxmlformats.org/officeDocument/2006/relationships/hyperlink" Target="https://nvd.nist.gov/vuln/detail/CVE-2026-1355" TargetMode="External" Id="rId671"/><Relationship Type="http://schemas.openxmlformats.org/officeDocument/2006/relationships/hyperlink" Target="https://nvd.nist.gov/vuln/detail/CVE-2026-1355" TargetMode="External" Id="rId672"/><Relationship Type="http://schemas.openxmlformats.org/officeDocument/2006/relationships/hyperlink" Target="https://nvd.nist.gov/vuln/detail/CVE-2026-1999" TargetMode="External" Id="rId673"/><Relationship Type="http://schemas.openxmlformats.org/officeDocument/2006/relationships/hyperlink" Target="https://nvd.nist.gov/vuln/detail/CVE-2026-1999" TargetMode="External" Id="rId674"/><Relationship Type="http://schemas.openxmlformats.org/officeDocument/2006/relationships/hyperlink" Target="https://nvd.nist.gov/vuln/detail/CVE-2026-24746" TargetMode="External" Id="rId675"/><Relationship Type="http://schemas.openxmlformats.org/officeDocument/2006/relationships/hyperlink" Target="https://github.com/InvoicePlane/InvoicePlane/commit/93622f2df88a860d89bfee56012cabb2942061d6%20|%20https://github.com/InvoicePlane/InvoicePlane/security/advisories/GHSA-73x8-gr6v-vjvj" TargetMode="External" Id="rId676"/><Relationship Type="http://schemas.openxmlformats.org/officeDocument/2006/relationships/hyperlink" Target="https://github.com/InvoicePlane/InvoicePlane/security/advisories/GHSA-73x8-gr6v-vjvj" TargetMode="External" Id="rId677"/><Relationship Type="http://schemas.openxmlformats.org/officeDocument/2006/relationships/hyperlink" Target="https://nvd.nist.gov/vuln/detail/CVE-2026-24746" TargetMode="External" Id="rId678"/><Relationship Type="http://schemas.openxmlformats.org/officeDocument/2006/relationships/hyperlink" Target="https://nvd.nist.gov/vuln/detail/CVE-2026-2667" TargetMode="External" Id="rId679"/><Relationship Type="http://schemas.openxmlformats.org/officeDocument/2006/relationships/hyperlink" Target="https://nvd.nist.gov/vuln/detail/CVE-2026-2667" TargetMode="External" Id="rId680"/><Relationship Type="http://schemas.openxmlformats.org/officeDocument/2006/relationships/hyperlink" Target="https://nvd.nist.gov/vuln/detail/CVE-2026-2668" TargetMode="External" Id="rId681"/><Relationship Type="http://schemas.openxmlformats.org/officeDocument/2006/relationships/hyperlink" Target="https://nvd.nist.gov/vuln/detail/CVE-2026-2668" TargetMode="External" Id="rId682"/><Relationship Type="http://schemas.openxmlformats.org/officeDocument/2006/relationships/hyperlink" Target="https://nvd.nist.gov/vuln/detail/CVE-2019-25326" TargetMode="External" Id="rId683"/><Relationship Type="http://schemas.openxmlformats.org/officeDocument/2006/relationships/hyperlink" Target="https://nvd.nist.gov/vuln/detail/CVE-2019-25326" TargetMode="External" Id="rId684"/><Relationship Type="http://schemas.openxmlformats.org/officeDocument/2006/relationships/hyperlink" Target="https://nvd.nist.gov/vuln/detail/CVE-2019-25349" TargetMode="External" Id="rId685"/><Relationship Type="http://schemas.openxmlformats.org/officeDocument/2006/relationships/hyperlink" Target="https://nvd.nist.gov/vuln/detail/CVE-2019-25349" TargetMode="External" Id="rId686"/><Relationship Type="http://schemas.openxmlformats.org/officeDocument/2006/relationships/hyperlink" Target="https://nvd.nist.gov/vuln/detail/CVE-2019-25350" TargetMode="External" Id="rId687"/><Relationship Type="http://schemas.openxmlformats.org/officeDocument/2006/relationships/hyperlink" Target="https://nvd.nist.gov/vuln/detail/CVE-2019-25350" TargetMode="External" Id="rId688"/><Relationship Type="http://schemas.openxmlformats.org/officeDocument/2006/relationships/hyperlink" Target="https://nvd.nist.gov/vuln/detail/CVE-2019-25351" TargetMode="External" Id="rId689"/><Relationship Type="http://schemas.openxmlformats.org/officeDocument/2006/relationships/hyperlink" Target="https://nvd.nist.gov/vuln/detail/CVE-2019-25351" TargetMode="External" Id="rId690"/><Relationship Type="http://schemas.openxmlformats.org/officeDocument/2006/relationships/hyperlink" Target="https://nvd.nist.gov/vuln/detail/CVE-2019-25352" TargetMode="External" Id="rId691"/><Relationship Type="http://schemas.openxmlformats.org/officeDocument/2006/relationships/hyperlink" Target="https://nvd.nist.gov/vuln/detail/CVE-2019-25352" TargetMode="External" Id="rId692"/><Relationship Type="http://schemas.openxmlformats.org/officeDocument/2006/relationships/hyperlink" Target="https://nvd.nist.gov/vuln/detail/CVE-2019-25353" TargetMode="External" Id="rId693"/><Relationship Type="http://schemas.openxmlformats.org/officeDocument/2006/relationships/hyperlink" Target="https://nvd.nist.gov/vuln/detail/CVE-2019-25353" TargetMode="External" Id="rId694"/><Relationship Type="http://schemas.openxmlformats.org/officeDocument/2006/relationships/hyperlink" Target="https://nvd.nist.gov/vuln/detail/CVE-2019-25354" TargetMode="External" Id="rId695"/><Relationship Type="http://schemas.openxmlformats.org/officeDocument/2006/relationships/hyperlink" Target="https://nvd.nist.gov/vuln/detail/CVE-2019-25354" TargetMode="External" Id="rId696"/><Relationship Type="http://schemas.openxmlformats.org/officeDocument/2006/relationships/hyperlink" Target="https://nvd.nist.gov/vuln/detail/CVE-2019-25355" TargetMode="External" Id="rId697"/><Relationship Type="http://schemas.openxmlformats.org/officeDocument/2006/relationships/hyperlink" Target="https://nvd.nist.gov/vuln/detail/CVE-2019-25355" TargetMode="External" Id="rId698"/><Relationship Type="http://schemas.openxmlformats.org/officeDocument/2006/relationships/hyperlink" Target="https://nvd.nist.gov/vuln/detail/CVE-2019-25356" TargetMode="External" Id="rId699"/><Relationship Type="http://schemas.openxmlformats.org/officeDocument/2006/relationships/hyperlink" Target="https://nvd.nist.gov/vuln/detail/CVE-2019-25356" TargetMode="External" Id="rId700"/><Relationship Type="http://schemas.openxmlformats.org/officeDocument/2006/relationships/hyperlink" Target="https://nvd.nist.gov/vuln/detail/CVE-2019-25357" TargetMode="External" Id="rId701"/><Relationship Type="http://schemas.openxmlformats.org/officeDocument/2006/relationships/hyperlink" Target="https://nvd.nist.gov/vuln/detail/CVE-2019-25357" TargetMode="External" Id="rId702"/><Relationship Type="http://schemas.openxmlformats.org/officeDocument/2006/relationships/hyperlink" Target="https://nvd.nist.gov/vuln/detail/CVE-2019-25358" TargetMode="External" Id="rId703"/><Relationship Type="http://schemas.openxmlformats.org/officeDocument/2006/relationships/hyperlink" Target="https://nvd.nist.gov/vuln/detail/CVE-2019-25358" TargetMode="External" Id="rId704"/><Relationship Type="http://schemas.openxmlformats.org/officeDocument/2006/relationships/hyperlink" Target="https://nvd.nist.gov/vuln/detail/CVE-2019-25359" TargetMode="External" Id="rId705"/><Relationship Type="http://schemas.openxmlformats.org/officeDocument/2006/relationships/hyperlink" Target="https://nvd.nist.gov/vuln/detail/CVE-2019-25359" TargetMode="External" Id="rId706"/><Relationship Type="http://schemas.openxmlformats.org/officeDocument/2006/relationships/hyperlink" Target="https://nvd.nist.gov/vuln/detail/CVE-2019-25360" TargetMode="External" Id="rId707"/><Relationship Type="http://schemas.openxmlformats.org/officeDocument/2006/relationships/hyperlink" Target="https://nvd.nist.gov/vuln/detail/CVE-2019-25360" TargetMode="External" Id="rId708"/><Relationship Type="http://schemas.openxmlformats.org/officeDocument/2006/relationships/hyperlink" Target="https://nvd.nist.gov/vuln/detail/CVE-2019-25361" TargetMode="External" Id="rId709"/><Relationship Type="http://schemas.openxmlformats.org/officeDocument/2006/relationships/hyperlink" Target="https://nvd.nist.gov/vuln/detail/CVE-2019-25361" TargetMode="External" Id="rId710"/><Relationship Type="http://schemas.openxmlformats.org/officeDocument/2006/relationships/hyperlink" Target="https://nvd.nist.gov/vuln/detail/CVE-2019-25362" TargetMode="External" Id="rId711"/><Relationship Type="http://schemas.openxmlformats.org/officeDocument/2006/relationships/hyperlink" Target="https://nvd.nist.gov/vuln/detail/CVE-2019-25362" TargetMode="External" Id="rId712"/><Relationship Type="http://schemas.openxmlformats.org/officeDocument/2006/relationships/hyperlink" Target="https://nvd.nist.gov/vuln/detail/CVE-2019-25363" TargetMode="External" Id="rId713"/><Relationship Type="http://schemas.openxmlformats.org/officeDocument/2006/relationships/hyperlink" Target="https://nvd.nist.gov/vuln/detail/CVE-2019-25363" TargetMode="External" Id="rId714"/><Relationship Type="http://schemas.openxmlformats.org/officeDocument/2006/relationships/hyperlink" Target="https://nvd.nist.gov/vuln/detail/CVE-2019-25364" TargetMode="External" Id="rId715"/><Relationship Type="http://schemas.openxmlformats.org/officeDocument/2006/relationships/hyperlink" Target="https://nvd.nist.gov/vuln/detail/CVE-2019-25364" TargetMode="External" Id="rId716"/><Relationship Type="http://schemas.openxmlformats.org/officeDocument/2006/relationships/hyperlink" Target="https://nvd.nist.gov/vuln/detail/CVE-2019-25365" TargetMode="External" Id="rId717"/><Relationship Type="http://schemas.openxmlformats.org/officeDocument/2006/relationships/hyperlink" Target="https://nvd.nist.gov/vuln/detail/CVE-2019-25365" TargetMode="External" Id="rId718"/><Relationship Type="http://schemas.openxmlformats.org/officeDocument/2006/relationships/hyperlink" Target="https://nvd.nist.gov/vuln/detail/CVE-2019-25396" TargetMode="External" Id="rId719"/><Relationship Type="http://schemas.openxmlformats.org/officeDocument/2006/relationships/hyperlink" Target="https://nvd.nist.gov/vuln/detail/CVE-2019-25396" TargetMode="External" Id="rId720"/><Relationship Type="http://schemas.openxmlformats.org/officeDocument/2006/relationships/hyperlink" Target="https://nvd.nist.gov/vuln/detail/CVE-2019-25397" TargetMode="External" Id="rId721"/><Relationship Type="http://schemas.openxmlformats.org/officeDocument/2006/relationships/hyperlink" Target="https://nvd.nist.gov/vuln/detail/CVE-2019-25397" TargetMode="External" Id="rId722"/><Relationship Type="http://schemas.openxmlformats.org/officeDocument/2006/relationships/hyperlink" Target="https://nvd.nist.gov/vuln/detail/CVE-2019-25398" TargetMode="External" Id="rId723"/><Relationship Type="http://schemas.openxmlformats.org/officeDocument/2006/relationships/hyperlink" Target="https://nvd.nist.gov/vuln/detail/CVE-2019-25398" TargetMode="External" Id="rId724"/><Relationship Type="http://schemas.openxmlformats.org/officeDocument/2006/relationships/hyperlink" Target="https://nvd.nist.gov/vuln/detail/CVE-2019-25399" TargetMode="External" Id="rId725"/><Relationship Type="http://schemas.openxmlformats.org/officeDocument/2006/relationships/hyperlink" Target="https://nvd.nist.gov/vuln/detail/CVE-2019-25399" TargetMode="External" Id="rId726"/><Relationship Type="http://schemas.openxmlformats.org/officeDocument/2006/relationships/hyperlink" Target="https://nvd.nist.gov/vuln/detail/CVE-2019-25400" TargetMode="External" Id="rId727"/><Relationship Type="http://schemas.openxmlformats.org/officeDocument/2006/relationships/hyperlink" Target="https://nvd.nist.gov/vuln/detail/CVE-2019-25400" TargetMode="External" Id="rId728"/><Relationship Type="http://schemas.openxmlformats.org/officeDocument/2006/relationships/hyperlink" Target="https://nvd.nist.gov/vuln/detail/CVE-2019-25401" TargetMode="External" Id="rId729"/><Relationship Type="http://schemas.openxmlformats.org/officeDocument/2006/relationships/hyperlink" Target="https://nvd.nist.gov/vuln/detail/CVE-2019-25401" TargetMode="External" Id="rId730"/><Relationship Type="http://schemas.openxmlformats.org/officeDocument/2006/relationships/hyperlink" Target="https://nvd.nist.gov/vuln/detail/CVE-2026-24743" TargetMode="External" Id="rId731"/><Relationship Type="http://schemas.openxmlformats.org/officeDocument/2006/relationships/hyperlink" Target="https://github.com/InvoicePlane/InvoicePlane/commit/93622f2df88a860d89bfee56012cabb2942061d6%20|%20https://github.com/InvoicePlane/InvoicePlane/security/advisories/GHSA-485m-4725-2428" TargetMode="External" Id="rId732"/><Relationship Type="http://schemas.openxmlformats.org/officeDocument/2006/relationships/hyperlink" Target="https://github.com/InvoicePlane/InvoicePlane/security/advisories/GHSA-485m-4725-2428" TargetMode="External" Id="rId733"/><Relationship Type="http://schemas.openxmlformats.org/officeDocument/2006/relationships/hyperlink" Target="https://nvd.nist.gov/vuln/detail/CVE-2026-24743" TargetMode="External" Id="rId734"/><Relationship Type="http://schemas.openxmlformats.org/officeDocument/2006/relationships/hyperlink" Target="https://nvd.nist.gov/vuln/detail/CVE-2026-24744" TargetMode="External" Id="rId735"/><Relationship Type="http://schemas.openxmlformats.org/officeDocument/2006/relationships/hyperlink" Target="https://github.com/InvoicePlane/InvoicePlane/commit/93622f2df88a860d89bfee56012cabb2942061d6%20|%20https://github.com/InvoicePlane/InvoicePlane/security/advisories/GHSA-5mxx-553h-m62w" TargetMode="External" Id="rId736"/><Relationship Type="http://schemas.openxmlformats.org/officeDocument/2006/relationships/hyperlink" Target="https://github.com/InvoicePlane/InvoicePlane/security/advisories/GHSA-5mxx-553h-m62w" TargetMode="External" Id="rId737"/><Relationship Type="http://schemas.openxmlformats.org/officeDocument/2006/relationships/hyperlink" Target="https://nvd.nist.gov/vuln/detail/CVE-2026-24744" TargetMode="External" Id="rId738"/><Relationship Type="http://schemas.openxmlformats.org/officeDocument/2006/relationships/hyperlink" Target="https://nvd.nist.gov/vuln/detail/CVE-2026-27174" TargetMode="External" Id="rId739"/><Relationship Type="http://schemas.openxmlformats.org/officeDocument/2006/relationships/hyperlink" Target="https://nvd.nist.gov/vuln/detail/CVE-2026-27174" TargetMode="External" Id="rId740"/><Relationship Type="http://schemas.openxmlformats.org/officeDocument/2006/relationships/hyperlink" Target="https://nvd.nist.gov/vuln/detail/CVE-2026-27175" TargetMode="External" Id="rId741"/><Relationship Type="http://schemas.openxmlformats.org/officeDocument/2006/relationships/hyperlink" Target="https://nvd.nist.gov/vuln/detail/CVE-2026-27175" TargetMode="External" Id="rId742"/><Relationship Type="http://schemas.openxmlformats.org/officeDocument/2006/relationships/hyperlink" Target="https://nvd.nist.gov/vuln/detail/CVE-2026-27176" TargetMode="External" Id="rId743"/><Relationship Type="http://schemas.openxmlformats.org/officeDocument/2006/relationships/hyperlink" Target="https://nvd.nist.gov/vuln/detail/CVE-2026-27176" TargetMode="External" Id="rId744"/><Relationship Type="http://schemas.openxmlformats.org/officeDocument/2006/relationships/hyperlink" Target="https://nvd.nist.gov/vuln/detail/CVE-2026-27177" TargetMode="External" Id="rId745"/><Relationship Type="http://schemas.openxmlformats.org/officeDocument/2006/relationships/hyperlink" Target="https://nvd.nist.gov/vuln/detail/CVE-2026-27177" TargetMode="External" Id="rId746"/><Relationship Type="http://schemas.openxmlformats.org/officeDocument/2006/relationships/hyperlink" Target="https://nvd.nist.gov/vuln/detail/CVE-2026-27178" TargetMode="External" Id="rId747"/><Relationship Type="http://schemas.openxmlformats.org/officeDocument/2006/relationships/hyperlink" Target="https://nvd.nist.gov/vuln/detail/CVE-2026-27178" TargetMode="External" Id="rId748"/><Relationship Type="http://schemas.openxmlformats.org/officeDocument/2006/relationships/hyperlink" Target="https://nvd.nist.gov/vuln/detail/CVE-2026-27179" TargetMode="External" Id="rId749"/><Relationship Type="http://schemas.openxmlformats.org/officeDocument/2006/relationships/hyperlink" Target="https://nvd.nist.gov/vuln/detail/CVE-2026-27179" TargetMode="External" Id="rId750"/><Relationship Type="http://schemas.openxmlformats.org/officeDocument/2006/relationships/hyperlink" Target="https://nvd.nist.gov/vuln/detail/CVE-2026-27180" TargetMode="External" Id="rId751"/><Relationship Type="http://schemas.openxmlformats.org/officeDocument/2006/relationships/hyperlink" Target="https://nvd.nist.gov/vuln/detail/CVE-2026-27180" TargetMode="External" Id="rId752"/><Relationship Type="http://schemas.openxmlformats.org/officeDocument/2006/relationships/hyperlink" Target="https://nvd.nist.gov/vuln/detail/CVE-2026-27181" TargetMode="External" Id="rId753"/><Relationship Type="http://schemas.openxmlformats.org/officeDocument/2006/relationships/hyperlink" Target="https://nvd.nist.gov/vuln/detail/CVE-2026-27181" TargetMode="External" Id="rId754"/><Relationship Type="http://schemas.openxmlformats.org/officeDocument/2006/relationships/hyperlink" Target="https://nvd.nist.gov/vuln/detail/CVE-2026-27182" TargetMode="External" Id="rId755"/><Relationship Type="http://schemas.openxmlformats.org/officeDocument/2006/relationships/hyperlink" Target="https://nvd.nist.gov/vuln/detail/CVE-2026-27182" TargetMode="External" Id="rId756"/><Relationship Type="http://schemas.openxmlformats.org/officeDocument/2006/relationships/hyperlink" Target="https://nvd.nist.gov/vuln/detail/CVE-2026-2648" TargetMode="External" Id="rId757"/><Relationship Type="http://schemas.openxmlformats.org/officeDocument/2006/relationships/hyperlink" Target="https://nvd.nist.gov/vuln/detail/CVE-2026-2648" TargetMode="External" Id="rId758"/><Relationship Type="http://schemas.openxmlformats.org/officeDocument/2006/relationships/hyperlink" Target="https://nvd.nist.gov/vuln/detail/CVE-2026-2649" TargetMode="External" Id="rId759"/><Relationship Type="http://schemas.openxmlformats.org/officeDocument/2006/relationships/hyperlink" Target="https://nvd.nist.gov/vuln/detail/CVE-2026-2649" TargetMode="External" Id="rId760"/><Relationship Type="http://schemas.openxmlformats.org/officeDocument/2006/relationships/hyperlink" Target="https://nvd.nist.gov/vuln/detail/CVE-2026-2650" TargetMode="External" Id="rId761"/><Relationship Type="http://schemas.openxmlformats.org/officeDocument/2006/relationships/hyperlink" Target="https://nvd.nist.gov/vuln/detail/CVE-2026-2650" TargetMode="External" Id="rId762"/><Relationship Type="http://schemas.openxmlformats.org/officeDocument/2006/relationships/hyperlink" Target="https://nvd.nist.gov/vuln/detail/CVE-2026-2669" TargetMode="External" Id="rId763"/><Relationship Type="http://schemas.openxmlformats.org/officeDocument/2006/relationships/hyperlink" Target="https://nvd.nist.gov/vuln/detail/CVE-2026-2669" TargetMode="External" Id="rId764"/><Relationship Type="http://schemas.openxmlformats.org/officeDocument/2006/relationships/hyperlink" Target="https://nvd.nist.gov/vuln/detail/CVE-2026-2670" TargetMode="External" Id="rId765"/><Relationship Type="http://schemas.openxmlformats.org/officeDocument/2006/relationships/hyperlink" Target="https://nvd.nist.gov/vuln/detail/CVE-2026-2670" TargetMode="External" Id="rId766"/><Relationship Type="http://schemas.openxmlformats.org/officeDocument/2006/relationships/hyperlink" Target="https://nvd.nist.gov/vuln/detail/CVE-2026-2672" TargetMode="External" Id="rId767"/><Relationship Type="http://schemas.openxmlformats.org/officeDocument/2006/relationships/hyperlink" Target="https://nvd.nist.gov/vuln/detail/CVE-2026-2672" TargetMode="External" Id="rId768"/><Relationship Type="http://schemas.openxmlformats.org/officeDocument/2006/relationships/hyperlink" Target="https://nvd.nist.gov/vuln/detail/CVE-2025-12811" TargetMode="External" Id="rId769"/><Relationship Type="http://schemas.openxmlformats.org/officeDocument/2006/relationships/hyperlink" Target="https://nvd.nist.gov/vuln/detail/CVE-2025-12811" TargetMode="External" Id="rId770"/><Relationship Type="http://schemas.openxmlformats.org/officeDocument/2006/relationships/hyperlink" Target="https://nvd.nist.gov/vuln/detail/CVE-2025-12812" TargetMode="External" Id="rId771"/><Relationship Type="http://schemas.openxmlformats.org/officeDocument/2006/relationships/hyperlink" Target="https://nvd.nist.gov/vuln/detail/CVE-2025-12812" TargetMode="External" Id="rId772"/><Relationship Type="http://schemas.openxmlformats.org/officeDocument/2006/relationships/hyperlink" Target="https://nvd.nist.gov/vuln/detail/CVE-2025-15581" TargetMode="External" Id="rId773"/><Relationship Type="http://schemas.openxmlformats.org/officeDocument/2006/relationships/hyperlink" Target="https://nvd.nist.gov/vuln/detail/CVE-2025-15581" TargetMode="External" Id="rId774"/><Relationship Type="http://schemas.openxmlformats.org/officeDocument/2006/relationships/hyperlink" Target="https://nvd.nist.gov/vuln/detail/CVE-2026-24745" TargetMode="External" Id="rId775"/><Relationship Type="http://schemas.openxmlformats.org/officeDocument/2006/relationships/hyperlink" Target="https://github.com/InvoicePlane/InvoicePlane/commit/93622f2df88a860d89bfee56012cabb2942061d6%20|%20https://github.com/InvoicePlane/InvoicePlane/security/advisories/GHSA-r9rq-f946-6x54" TargetMode="External" Id="rId776"/><Relationship Type="http://schemas.openxmlformats.org/officeDocument/2006/relationships/hyperlink" Target="https://github.com/InvoicePlane/InvoicePlane/security/advisories/GHSA-r9rq-f946-6x54" TargetMode="External" Id="rId777"/><Relationship Type="http://schemas.openxmlformats.org/officeDocument/2006/relationships/hyperlink" Target="https://nvd.nist.gov/vuln/detail/CVE-2026-24745" TargetMode="External" Id="rId778"/><Relationship Type="http://schemas.openxmlformats.org/officeDocument/2006/relationships/hyperlink" Target="https://nvd.nist.gov/vuln/detail/CVE-2026-25548" TargetMode="External" Id="rId779"/><Relationship Type="http://schemas.openxmlformats.org/officeDocument/2006/relationships/hyperlink" Target="https://github.com/InvoicePlane/InvoicePlane/commit/93622f2df88a860d89bfee56012cabb2942061d6%20|%20https://github.com/InvoicePlane/InvoicePlane/security/advisories/GHSA-g6rw-m9mf-33ch" TargetMode="External" Id="rId780"/><Relationship Type="http://schemas.openxmlformats.org/officeDocument/2006/relationships/hyperlink" Target="https://nvd.nist.gov/vuln/detail/CVE-2026-25548" TargetMode="External" Id="rId781"/><Relationship Type="http://schemas.openxmlformats.org/officeDocument/2006/relationships/hyperlink" Target="https://nvd.nist.gov/vuln/detail/CVE-2026-25594" TargetMode="External" Id="rId782"/><Relationship Type="http://schemas.openxmlformats.org/officeDocument/2006/relationships/hyperlink" Target="https://github.com/InvoicePlane/InvoicePlane/commit/93622f2df88a860d89bfee56012cabb2942061d6%20|%20https://github.com/InvoicePlane/InvoicePlane/security/advisories/GHSA-wrr7-2f27-8h94" TargetMode="External" Id="rId783"/><Relationship Type="http://schemas.openxmlformats.org/officeDocument/2006/relationships/hyperlink" Target="https://nvd.nist.gov/vuln/detail/CVE-2026-25594" TargetMode="External" Id="rId784"/><Relationship Type="http://schemas.openxmlformats.org/officeDocument/2006/relationships/hyperlink" Target="https://nvd.nist.gov/vuln/detail/CVE-2026-25595" TargetMode="External" Id="rId785"/><Relationship Type="http://schemas.openxmlformats.org/officeDocument/2006/relationships/hyperlink" Target="https://github.com/InvoicePlane/InvoicePlane/commit/93622f2df88a860d89bfee56012cabb2942061d6%20|%20https://github.com/InvoicePlane/InvoicePlane/security/advisories/GHSA-xxvr-2564-6jg6" TargetMode="External" Id="rId786"/><Relationship Type="http://schemas.openxmlformats.org/officeDocument/2006/relationships/hyperlink" Target="https://nvd.nist.gov/vuln/detail/CVE-2026-25595" TargetMode="External" Id="rId787"/><Relationship Type="http://schemas.openxmlformats.org/officeDocument/2006/relationships/hyperlink" Target="https://nvd.nist.gov/vuln/detail/CVE-2026-25596" TargetMode="External" Id="rId788"/><Relationship Type="http://schemas.openxmlformats.org/officeDocument/2006/relationships/hyperlink" Target="https://github.com/InvoicePlane/InvoicePlane/commit/93622f2df88a860d89bfee56012cabb2942061d6%20|%20https://github.com/InvoicePlane/InvoicePlane/security/advisories/GHSA-3wjq-822q-98f4" TargetMode="External" Id="rId789"/><Relationship Type="http://schemas.openxmlformats.org/officeDocument/2006/relationships/hyperlink" Target="https://nvd.nist.gov/vuln/detail/CVE-2026-25596" TargetMode="External" Id="rId790"/><Relationship Type="http://schemas.openxmlformats.org/officeDocument/2006/relationships/hyperlink" Target="https://nvd.nist.gov/vuln/detail/CVE-2026-26270" TargetMode="External" Id="rId791"/><Relationship Type="http://schemas.openxmlformats.org/officeDocument/2006/relationships/hyperlink" Target="https://github.com/InvoicePlane/InvoicePlane/commit/93622f2df88a860d89bfee56012cabb2942061d6%20|%20https://github.com/InvoicePlane/InvoicePlane/security/advisories/GHSA-432m-jv69-qp5j" TargetMode="External" Id="rId792"/><Relationship Type="http://schemas.openxmlformats.org/officeDocument/2006/relationships/hyperlink" Target="https://nvd.nist.gov/vuln/detail/CVE-2026-26270" TargetMode="External" Id="rId793"/><Relationship Type="http://schemas.openxmlformats.org/officeDocument/2006/relationships/hyperlink" Target="https://nvd.nist.gov/vuln/detail/CVE-2026-26281" TargetMode="External" Id="rId794"/><Relationship Type="http://schemas.openxmlformats.org/officeDocument/2006/relationships/hyperlink" Target="https://github.com/InvoicePlane/InvoicePlane/commit/93622f2df88a860d89bfee56012cabb2942061d6%20|%20https://github.com/InvoicePlane/InvoicePlane/security/advisories/GHSA-ccpx-2v5c-cc24" TargetMode="External" Id="rId795"/><Relationship Type="http://schemas.openxmlformats.org/officeDocument/2006/relationships/hyperlink" Target="https://nvd.nist.gov/vuln/detail/CVE-2026-26281" TargetMode="External" Id="rId796"/><Relationship Type="http://schemas.openxmlformats.org/officeDocument/2006/relationships/hyperlink" Target="https://nvd.nist.gov/vuln/detail/CVE-2026-2676" TargetMode="External" Id="rId797"/><Relationship Type="http://schemas.openxmlformats.org/officeDocument/2006/relationships/hyperlink" Target="https://nvd.nist.gov/vuln/detail/CVE-2026-2676" TargetMode="External" Id="rId798"/><Relationship Type="http://schemas.openxmlformats.org/officeDocument/2006/relationships/hyperlink" Target="https://nvd.nist.gov/vuln/detail/CVE-2026-2682" TargetMode="External" Id="rId799"/><Relationship Type="http://schemas.openxmlformats.org/officeDocument/2006/relationships/hyperlink" Target="https://nvd.nist.gov/vuln/detail/CVE-2026-2682" TargetMode="External" Id="rId800"/><Relationship Type="http://schemas.openxmlformats.org/officeDocument/2006/relationships/hyperlink" Target="https://nvd.nist.gov/vuln/detail/CVE-2026-2683" TargetMode="External" Id="rId801"/><Relationship Type="http://schemas.openxmlformats.org/officeDocument/2006/relationships/hyperlink" Target="https://nvd.nist.gov/vuln/detail/CVE-2026-2683" TargetMode="External" Id="rId802"/><Relationship Type="http://schemas.openxmlformats.org/officeDocument/2006/relationships/hyperlink" Target="https://nvd.nist.gov/vuln/detail/CVE-2025-15585" TargetMode="External" Id="rId803"/><Relationship Type="http://schemas.openxmlformats.org/officeDocument/2006/relationships/hyperlink" Target="https://nvd.nist.gov/vuln/detail/CVE-2025-15585" TargetMode="External" Id="rId804"/><Relationship Type="http://schemas.openxmlformats.org/officeDocument/2006/relationships/hyperlink" Target="https://nvd.nist.gov/vuln/detail/CVE-2026-24126" TargetMode="External" Id="rId805"/><Relationship Type="http://schemas.openxmlformats.org/officeDocument/2006/relationships/hyperlink" Target="https://github.com/WeblateOrg/weblate/commit/78773cc141ce0a97900c11341e6cf856451395fd%20|%20https://github.com/WeblateOrg/weblate/security/advisories/GHSA-33fm-6gp7-4p47" TargetMode="External" Id="rId806"/><Relationship Type="http://schemas.openxmlformats.org/officeDocument/2006/relationships/hyperlink" Target="https://nvd.nist.gov/vuln/detail/CVE-2026-24126" TargetMode="External" Id="rId807"/><Relationship Type="http://schemas.openxmlformats.org/officeDocument/2006/relationships/hyperlink" Target="https://nvd.nist.gov/vuln/detail/CVE-2026-25926" TargetMode="External" Id="rId808"/><Relationship Type="http://schemas.openxmlformats.org/officeDocument/2006/relationships/hyperlink" Target="https://github.com/notepad-plus-plus/notepad-plus-plus/security/advisories/GHSA-rjvm-fcxw-2jxq" TargetMode="External" Id="rId809"/><Relationship Type="http://schemas.openxmlformats.org/officeDocument/2006/relationships/hyperlink" Target="https://nvd.nist.gov/vuln/detail/CVE-2026-25926" TargetMode="External" Id="rId810"/><Relationship Type="http://schemas.openxmlformats.org/officeDocument/2006/relationships/hyperlink" Target="https://nvd.nist.gov/vuln/detail/CVE-2026-2684" TargetMode="External" Id="rId811"/><Relationship Type="http://schemas.openxmlformats.org/officeDocument/2006/relationships/hyperlink" Target="https://nvd.nist.gov/vuln/detail/CVE-2026-2684" TargetMode="External" Id="rId812"/><Relationship Type="http://schemas.openxmlformats.org/officeDocument/2006/relationships/hyperlink" Target="https://nvd.nist.gov/vuln/detail/CVE-2026-2686" TargetMode="External" Id="rId813"/><Relationship Type="http://schemas.openxmlformats.org/officeDocument/2006/relationships/hyperlink" Target="https://nvd.nist.gov/vuln/detail/CVE-2026-2686" TargetMode="External" Id="rId814"/><Relationship Type="http://schemas.openxmlformats.org/officeDocument/2006/relationships/hyperlink" Target="https://nvd.nist.gov/vuln/detail/CVE-2025-11706" TargetMode="External" Id="rId815"/><Relationship Type="http://schemas.openxmlformats.org/officeDocument/2006/relationships/hyperlink" Target="https://nvd.nist.gov/vuln/detail/CVE-2025-11706" TargetMode="External" Id="rId816"/><Relationship Type="http://schemas.openxmlformats.org/officeDocument/2006/relationships/hyperlink" Target="https://nvd.nist.gov/vuln/detail/CVE-2025-11725" TargetMode="External" Id="rId817"/><Relationship Type="http://schemas.openxmlformats.org/officeDocument/2006/relationships/hyperlink" Target="https://nvd.nist.gov/vuln/detail/CVE-2025-11725" TargetMode="External" Id="rId818"/><Relationship Type="http://schemas.openxmlformats.org/officeDocument/2006/relationships/hyperlink" Target="https://nvd.nist.gov/vuln/detail/CVE-2025-11754" TargetMode="External" Id="rId819"/><Relationship Type="http://schemas.openxmlformats.org/officeDocument/2006/relationships/hyperlink" Target="https://nvd.nist.gov/vuln/detail/CVE-2025-11754" TargetMode="External" Id="rId820"/><Relationship Type="http://schemas.openxmlformats.org/officeDocument/2006/relationships/hyperlink" Target="https://nvd.nist.gov/vuln/detail/CVE-2025-12027" TargetMode="External" Id="rId821"/><Relationship Type="http://schemas.openxmlformats.org/officeDocument/2006/relationships/hyperlink" Target="https://nvd.nist.gov/vuln/detail/CVE-2025-12027" TargetMode="External" Id="rId822"/><Relationship Type="http://schemas.openxmlformats.org/officeDocument/2006/relationships/hyperlink" Target="https://nvd.nist.gov/vuln/detail/CVE-2025-12081" TargetMode="External" Id="rId823"/><Relationship Type="http://schemas.openxmlformats.org/officeDocument/2006/relationships/hyperlink" Target="https://nvd.nist.gov/vuln/detail/CVE-2025-12081" TargetMode="External" Id="rId824"/><Relationship Type="http://schemas.openxmlformats.org/officeDocument/2006/relationships/hyperlink" Target="https://nvd.nist.gov/vuln/detail/CVE-2025-12116" TargetMode="External" Id="rId825"/><Relationship Type="http://schemas.openxmlformats.org/officeDocument/2006/relationships/hyperlink" Target="https://nvd.nist.gov/vuln/detail/CVE-2025-12116" TargetMode="External" Id="rId826"/><Relationship Type="http://schemas.openxmlformats.org/officeDocument/2006/relationships/hyperlink" Target="https://nvd.nist.gov/vuln/detail/CVE-2025-12117" TargetMode="External" Id="rId827"/><Relationship Type="http://schemas.openxmlformats.org/officeDocument/2006/relationships/hyperlink" Target="https://nvd.nist.gov/vuln/detail/CVE-2025-12117" TargetMode="External" Id="rId828"/><Relationship Type="http://schemas.openxmlformats.org/officeDocument/2006/relationships/hyperlink" Target="https://nvd.nist.gov/vuln/detail/CVE-2025-12172" TargetMode="External" Id="rId829"/><Relationship Type="http://schemas.openxmlformats.org/officeDocument/2006/relationships/hyperlink" Target="https://nvd.nist.gov/vuln/detail/CVE-2025-12172" TargetMode="External" Id="rId830"/><Relationship Type="http://schemas.openxmlformats.org/officeDocument/2006/relationships/hyperlink" Target="https://nvd.nist.gov/vuln/detail/CVE-2025-12375" TargetMode="External" Id="rId831"/><Relationship Type="http://schemas.openxmlformats.org/officeDocument/2006/relationships/hyperlink" Target="https://nvd.nist.gov/vuln/detail/CVE-2025-12375" TargetMode="External" Id="rId832"/><Relationship Type="http://schemas.openxmlformats.org/officeDocument/2006/relationships/hyperlink" Target="https://nvd.nist.gov/vuln/detail/CVE-2025-12448" TargetMode="External" Id="rId833"/><Relationship Type="http://schemas.openxmlformats.org/officeDocument/2006/relationships/hyperlink" Target="https://nvd.nist.gov/vuln/detail/CVE-2025-12448" TargetMode="External" Id="rId834"/><Relationship Type="http://schemas.openxmlformats.org/officeDocument/2006/relationships/hyperlink" Target="https://nvd.nist.gov/vuln/detail/CVE-2025-12451" TargetMode="External" Id="rId835"/><Relationship Type="http://schemas.openxmlformats.org/officeDocument/2006/relationships/hyperlink" Target="https://nvd.nist.gov/vuln/detail/CVE-2025-12451" TargetMode="External" Id="rId836"/><Relationship Type="http://schemas.openxmlformats.org/officeDocument/2006/relationships/hyperlink" Target="https://nvd.nist.gov/vuln/detail/CVE-2025-12500" TargetMode="External" Id="rId837"/><Relationship Type="http://schemas.openxmlformats.org/officeDocument/2006/relationships/hyperlink" Target="https://nvd.nist.gov/vuln/detail/CVE-2025-12500" TargetMode="External" Id="rId838"/><Relationship Type="http://schemas.openxmlformats.org/officeDocument/2006/relationships/hyperlink" Target="https://nvd.nist.gov/vuln/detail/CVE-2025-12707" TargetMode="External" Id="rId839"/><Relationship Type="http://schemas.openxmlformats.org/officeDocument/2006/relationships/hyperlink" Target="https://nvd.nist.gov/vuln/detail/CVE-2025-12707" TargetMode="External" Id="rId840"/><Relationship Type="http://schemas.openxmlformats.org/officeDocument/2006/relationships/hyperlink" Target="https://nvd.nist.gov/vuln/detail/CVE-2025-12821" TargetMode="External" Id="rId841"/><Relationship Type="http://schemas.openxmlformats.org/officeDocument/2006/relationships/hyperlink" Target="https://nvd.nist.gov/vuln/detail/CVE-2025-12821" TargetMode="External" Id="rId842"/><Relationship Type="http://schemas.openxmlformats.org/officeDocument/2006/relationships/hyperlink" Target="https://nvd.nist.gov/vuln/detail/CVE-2025-12845" TargetMode="External" Id="rId843"/><Relationship Type="http://schemas.openxmlformats.org/officeDocument/2006/relationships/hyperlink" Target="https://nvd.nist.gov/vuln/detail/CVE-2025-12845" TargetMode="External" Id="rId844"/><Relationship Type="http://schemas.openxmlformats.org/officeDocument/2006/relationships/hyperlink" Target="https://nvd.nist.gov/vuln/detail/CVE-2025-12882" TargetMode="External" Id="rId845"/><Relationship Type="http://schemas.openxmlformats.org/officeDocument/2006/relationships/hyperlink" Target="https://nvd.nist.gov/vuln/detail/CVE-2025-12882" TargetMode="External" Id="rId846"/><Relationship Type="http://schemas.openxmlformats.org/officeDocument/2006/relationships/hyperlink" Target="https://nvd.nist.gov/vuln/detail/CVE-2025-12884" TargetMode="External" Id="rId847"/><Relationship Type="http://schemas.openxmlformats.org/officeDocument/2006/relationships/hyperlink" Target="https://nvd.nist.gov/vuln/detail/CVE-2025-12884" TargetMode="External" Id="rId848"/><Relationship Type="http://schemas.openxmlformats.org/officeDocument/2006/relationships/hyperlink" Target="https://nvd.nist.gov/vuln/detail/CVE-2025-12975" TargetMode="External" Id="rId849"/><Relationship Type="http://schemas.openxmlformats.org/officeDocument/2006/relationships/hyperlink" Target="https://nvd.nist.gov/vuln/detail/CVE-2025-12975" TargetMode="External" Id="rId850"/><Relationship Type="http://schemas.openxmlformats.org/officeDocument/2006/relationships/hyperlink" Target="https://nvd.nist.gov/vuln/detail/CVE-2025-13048" TargetMode="External" Id="rId851"/><Relationship Type="http://schemas.openxmlformats.org/officeDocument/2006/relationships/hyperlink" Target="https://nvd.nist.gov/vuln/detail/CVE-2025-13048" TargetMode="External" Id="rId852"/><Relationship Type="http://schemas.openxmlformats.org/officeDocument/2006/relationships/hyperlink" Target="https://nvd.nist.gov/vuln/detail/CVE-2025-13079" TargetMode="External" Id="rId853"/><Relationship Type="http://schemas.openxmlformats.org/officeDocument/2006/relationships/hyperlink" Target="https://nvd.nist.gov/vuln/detail/CVE-2025-13079" TargetMode="External" Id="rId854"/><Relationship Type="http://schemas.openxmlformats.org/officeDocument/2006/relationships/hyperlink" Target="https://nvd.nist.gov/vuln/detail/CVE-2025-13091" TargetMode="External" Id="rId855"/><Relationship Type="http://schemas.openxmlformats.org/officeDocument/2006/relationships/hyperlink" Target="https://nvd.nist.gov/vuln/detail/CVE-2025-13091" TargetMode="External" Id="rId856"/><Relationship Type="http://schemas.openxmlformats.org/officeDocument/2006/relationships/hyperlink" Target="https://nvd.nist.gov/vuln/detail/CVE-2025-13113" TargetMode="External" Id="rId857"/><Relationship Type="http://schemas.openxmlformats.org/officeDocument/2006/relationships/hyperlink" Target="https://nvd.nist.gov/vuln/detail/CVE-2025-13113" TargetMode="External" Id="rId858"/><Relationship Type="http://schemas.openxmlformats.org/officeDocument/2006/relationships/hyperlink" Target="https://nvd.nist.gov/vuln/detail/CVE-2025-13413" TargetMode="External" Id="rId859"/><Relationship Type="http://schemas.openxmlformats.org/officeDocument/2006/relationships/hyperlink" Target="https://nvd.nist.gov/vuln/detail/CVE-2025-13413" TargetMode="External" Id="rId860"/><Relationship Type="http://schemas.openxmlformats.org/officeDocument/2006/relationships/hyperlink" Target="https://nvd.nist.gov/vuln/detail/CVE-2025-13438" TargetMode="External" Id="rId861"/><Relationship Type="http://schemas.openxmlformats.org/officeDocument/2006/relationships/hyperlink" Target="https://nvd.nist.gov/vuln/detail/CVE-2025-13438" TargetMode="External" Id="rId862"/><Relationship Type="http://schemas.openxmlformats.org/officeDocument/2006/relationships/hyperlink" Target="https://nvd.nist.gov/vuln/detail/CVE-2025-13563" TargetMode="External" Id="rId863"/><Relationship Type="http://schemas.openxmlformats.org/officeDocument/2006/relationships/hyperlink" Target="https://nvd.nist.gov/vuln/detail/CVE-2025-13563" TargetMode="External" Id="rId864"/><Relationship Type="http://schemas.openxmlformats.org/officeDocument/2006/relationships/hyperlink" Target="https://nvd.nist.gov/vuln/detail/CVE-2025-13587" TargetMode="External" Id="rId865"/><Relationship Type="http://schemas.openxmlformats.org/officeDocument/2006/relationships/hyperlink" Target="https://nvd.nist.gov/vuln/detail/CVE-2025-13587" TargetMode="External" Id="rId866"/><Relationship Type="http://schemas.openxmlformats.org/officeDocument/2006/relationships/hyperlink" Target="https://nvd.nist.gov/vuln/detail/CVE-2025-13603" TargetMode="External" Id="rId867"/><Relationship Type="http://schemas.openxmlformats.org/officeDocument/2006/relationships/hyperlink" Target="https://nvd.nist.gov/vuln/detail/CVE-2025-13603" TargetMode="External" Id="rId868"/><Relationship Type="http://schemas.openxmlformats.org/officeDocument/2006/relationships/hyperlink" Target="https://nvd.nist.gov/vuln/detail/CVE-2025-13612" TargetMode="External" Id="rId869"/><Relationship Type="http://schemas.openxmlformats.org/officeDocument/2006/relationships/hyperlink" Target="https://nvd.nist.gov/vuln/detail/CVE-2025-13612" TargetMode="External" Id="rId870"/><Relationship Type="http://schemas.openxmlformats.org/officeDocument/2006/relationships/hyperlink" Target="https://nvd.nist.gov/vuln/detail/CVE-2025-13617" TargetMode="External" Id="rId871"/><Relationship Type="http://schemas.openxmlformats.org/officeDocument/2006/relationships/hyperlink" Target="https://nvd.nist.gov/vuln/detail/CVE-2025-13617" TargetMode="External" Id="rId872"/><Relationship Type="http://schemas.openxmlformats.org/officeDocument/2006/relationships/hyperlink" Target="https://nvd.nist.gov/vuln/detail/CVE-2025-13732" TargetMode="External" Id="rId873"/><Relationship Type="http://schemas.openxmlformats.org/officeDocument/2006/relationships/hyperlink" Target="https://nvd.nist.gov/vuln/detail/CVE-2025-13732" TargetMode="External" Id="rId874"/><Relationship Type="http://schemas.openxmlformats.org/officeDocument/2006/relationships/hyperlink" Target="https://nvd.nist.gov/vuln/detail/CVE-2025-13738" TargetMode="External" Id="rId875"/><Relationship Type="http://schemas.openxmlformats.org/officeDocument/2006/relationships/hyperlink" Target="https://nvd.nist.gov/vuln/detail/CVE-2025-13738" TargetMode="External" Id="rId876"/><Relationship Type="http://schemas.openxmlformats.org/officeDocument/2006/relationships/hyperlink" Target="https://nvd.nist.gov/vuln/detail/CVE-2025-13842" TargetMode="External" Id="rId877"/><Relationship Type="http://schemas.openxmlformats.org/officeDocument/2006/relationships/hyperlink" Target="https://nvd.nist.gov/vuln/detail/CVE-2025-13842" TargetMode="External" Id="rId878"/><Relationship Type="http://schemas.openxmlformats.org/officeDocument/2006/relationships/hyperlink" Target="https://nvd.nist.gov/vuln/detail/CVE-2025-13851" TargetMode="External" Id="rId879"/><Relationship Type="http://schemas.openxmlformats.org/officeDocument/2006/relationships/hyperlink" Target="https://nvd.nist.gov/vuln/detail/CVE-2025-13851" TargetMode="External" Id="rId880"/><Relationship Type="http://schemas.openxmlformats.org/officeDocument/2006/relationships/hyperlink" Target="https://nvd.nist.gov/vuln/detail/CVE-2025-13864" TargetMode="External" Id="rId881"/><Relationship Type="http://schemas.openxmlformats.org/officeDocument/2006/relationships/hyperlink" Target="https://nvd.nist.gov/vuln/detail/CVE-2025-13864" TargetMode="External" Id="rId882"/><Relationship Type="http://schemas.openxmlformats.org/officeDocument/2006/relationships/hyperlink" Target="https://nvd.nist.gov/vuln/detail/CVE-2025-13930" TargetMode="External" Id="rId883"/><Relationship Type="http://schemas.openxmlformats.org/officeDocument/2006/relationships/hyperlink" Target="https://nvd.nist.gov/vuln/detail/CVE-2025-13930" TargetMode="External" Id="rId884"/><Relationship Type="http://schemas.openxmlformats.org/officeDocument/2006/relationships/hyperlink" Target="https://nvd.nist.gov/vuln/detail/CVE-2025-14076" TargetMode="External" Id="rId885"/><Relationship Type="http://schemas.openxmlformats.org/officeDocument/2006/relationships/hyperlink" Target="https://nvd.nist.gov/vuln/detail/CVE-2025-14076" TargetMode="External" Id="rId886"/><Relationship Type="http://schemas.openxmlformats.org/officeDocument/2006/relationships/hyperlink" Target="https://nvd.nist.gov/vuln/detail/CVE-2025-14167" TargetMode="External" Id="rId887"/><Relationship Type="http://schemas.openxmlformats.org/officeDocument/2006/relationships/hyperlink" Target="https://nvd.nist.gov/vuln/detail/CVE-2025-14167" TargetMode="External" Id="rId888"/><Relationship Type="http://schemas.openxmlformats.org/officeDocument/2006/relationships/hyperlink" Target="https://nvd.nist.gov/vuln/detail/CVE-2025-14270" TargetMode="External" Id="rId889"/><Relationship Type="http://schemas.openxmlformats.org/officeDocument/2006/relationships/hyperlink" Target="https://nvd.nist.gov/vuln/detail/CVE-2025-14270" TargetMode="External" Id="rId890"/><Relationship Type="http://schemas.openxmlformats.org/officeDocument/2006/relationships/hyperlink" Target="https://nvd.nist.gov/vuln/detail/CVE-2025-14294" TargetMode="External" Id="rId891"/><Relationship Type="http://schemas.openxmlformats.org/officeDocument/2006/relationships/hyperlink" Target="https://nvd.nist.gov/vuln/detail/CVE-2025-14294" TargetMode="External" Id="rId892"/><Relationship Type="http://schemas.openxmlformats.org/officeDocument/2006/relationships/hyperlink" Target="https://nvd.nist.gov/vuln/detail/CVE-2025-14342" TargetMode="External" Id="rId893"/><Relationship Type="http://schemas.openxmlformats.org/officeDocument/2006/relationships/hyperlink" Target="https://nvd.nist.gov/vuln/detail/CVE-2025-14342" TargetMode="External" Id="rId894"/><Relationship Type="http://schemas.openxmlformats.org/officeDocument/2006/relationships/hyperlink" Target="https://nvd.nist.gov/vuln/detail/CVE-2025-14357" TargetMode="External" Id="rId895"/><Relationship Type="http://schemas.openxmlformats.org/officeDocument/2006/relationships/hyperlink" Target="https://nvd.nist.gov/vuln/detail/CVE-2025-14357" TargetMode="External" Id="rId896"/><Relationship Type="http://schemas.openxmlformats.org/officeDocument/2006/relationships/hyperlink" Target="https://nvd.nist.gov/vuln/detail/CVE-2025-14427" TargetMode="External" Id="rId897"/><Relationship Type="http://schemas.openxmlformats.org/officeDocument/2006/relationships/hyperlink" Target="https://nvd.nist.gov/vuln/detail/CVE-2025-14427" TargetMode="External" Id="rId898"/><Relationship Type="http://schemas.openxmlformats.org/officeDocument/2006/relationships/hyperlink" Target="https://nvd.nist.gov/vuln/detail/CVE-2025-14445" TargetMode="External" Id="rId899"/><Relationship Type="http://schemas.openxmlformats.org/officeDocument/2006/relationships/hyperlink" Target="https://nvd.nist.gov/vuln/detail/CVE-2025-14445" TargetMode="External" Id="rId900"/><Relationship Type="http://schemas.openxmlformats.org/officeDocument/2006/relationships/hyperlink" Target="https://nvd.nist.gov/vuln/detail/CVE-2025-14452" TargetMode="External" Id="rId901"/><Relationship Type="http://schemas.openxmlformats.org/officeDocument/2006/relationships/hyperlink" Target="https://nvd.nist.gov/vuln/detail/CVE-2025-14452" TargetMode="External" Id="rId902"/><Relationship Type="http://schemas.openxmlformats.org/officeDocument/2006/relationships/hyperlink" Target="https://nvd.nist.gov/vuln/detail/CVE-2025-14851" TargetMode="External" Id="rId903"/><Relationship Type="http://schemas.openxmlformats.org/officeDocument/2006/relationships/hyperlink" Target="https://nvd.nist.gov/vuln/detail/CVE-2025-14851" TargetMode="External" Id="rId904"/><Relationship Type="http://schemas.openxmlformats.org/officeDocument/2006/relationships/hyperlink" Target="https://nvd.nist.gov/vuln/detail/CVE-2025-14864" TargetMode="External" Id="rId905"/><Relationship Type="http://schemas.openxmlformats.org/officeDocument/2006/relationships/hyperlink" Target="https://nvd.nist.gov/vuln/detail/CVE-2025-14864" TargetMode="External" Id="rId906"/><Relationship Type="http://schemas.openxmlformats.org/officeDocument/2006/relationships/hyperlink" Target="https://nvd.nist.gov/vuln/detail/CVE-2025-14983" TargetMode="External" Id="rId907"/><Relationship Type="http://schemas.openxmlformats.org/officeDocument/2006/relationships/hyperlink" Target="https://nvd.nist.gov/vuln/detail/CVE-2025-14983" TargetMode="External" Id="rId908"/><Relationship Type="http://schemas.openxmlformats.org/officeDocument/2006/relationships/hyperlink" Target="https://nvd.nist.gov/vuln/detail/CVE-2025-15041" TargetMode="External" Id="rId909"/><Relationship Type="http://schemas.openxmlformats.org/officeDocument/2006/relationships/hyperlink" Target="https://nvd.nist.gov/vuln/detail/CVE-2025-15041" TargetMode="External" Id="rId910"/><Relationship Type="http://schemas.openxmlformats.org/officeDocument/2006/relationships/hyperlink" Target="https://nvd.nist.gov/vuln/detail/CVE-2025-15586" TargetMode="External" Id="rId911"/><Relationship Type="http://schemas.openxmlformats.org/officeDocument/2006/relationships/hyperlink" Target="https://nvd.nist.gov/vuln/detail/CVE-2025-15586" TargetMode="External" Id="rId912"/><Relationship Type="http://schemas.openxmlformats.org/officeDocument/2006/relationships/hyperlink" Target="https://nvd.nist.gov/vuln/detail/CVE-2025-4521" TargetMode="External" Id="rId913"/><Relationship Type="http://schemas.openxmlformats.org/officeDocument/2006/relationships/hyperlink" Target="https://nvd.nist.gov/vuln/detail/CVE-2025-4521" TargetMode="External" Id="rId914"/><Relationship Type="http://schemas.openxmlformats.org/officeDocument/2006/relationships/hyperlink" Target="https://nvd.nist.gov/vuln/detail/CVE-2025-4960" TargetMode="External" Id="rId915"/><Relationship Type="http://schemas.openxmlformats.org/officeDocument/2006/relationships/hyperlink" Target="https://nvd.nist.gov/vuln/detail/CVE-2025-4960" TargetMode="External" Id="rId916"/><Relationship Type="http://schemas.openxmlformats.org/officeDocument/2006/relationships/hyperlink" Target="https://nvd.nist.gov/vuln/detail/CVE-2026-0549" TargetMode="External" Id="rId917"/><Relationship Type="http://schemas.openxmlformats.org/officeDocument/2006/relationships/hyperlink" Target="https://nvd.nist.gov/vuln/detail/CVE-2026-0549" TargetMode="External" Id="rId918"/><Relationship Type="http://schemas.openxmlformats.org/officeDocument/2006/relationships/hyperlink" Target="https://nvd.nist.gov/vuln/detail/CVE-2026-0556" TargetMode="External" Id="rId919"/><Relationship Type="http://schemas.openxmlformats.org/officeDocument/2006/relationships/hyperlink" Target="https://nvd.nist.gov/vuln/detail/CVE-2026-0556" TargetMode="External" Id="rId920"/><Relationship Type="http://schemas.openxmlformats.org/officeDocument/2006/relationships/hyperlink" Target="https://nvd.nist.gov/vuln/detail/CVE-2026-0561" TargetMode="External" Id="rId921"/><Relationship Type="http://schemas.openxmlformats.org/officeDocument/2006/relationships/hyperlink" Target="https://nvd.nist.gov/vuln/detail/CVE-2026-0561" TargetMode="External" Id="rId922"/><Relationship Type="http://schemas.openxmlformats.org/officeDocument/2006/relationships/hyperlink" Target="https://nvd.nist.gov/vuln/detail/CVE-2026-0722" TargetMode="External" Id="rId923"/><Relationship Type="http://schemas.openxmlformats.org/officeDocument/2006/relationships/hyperlink" Target="https://nvd.nist.gov/vuln/detail/CVE-2026-0722" TargetMode="External" Id="rId924"/><Relationship Type="http://schemas.openxmlformats.org/officeDocument/2006/relationships/hyperlink" Target="https://nvd.nist.gov/vuln/detail/CVE-2026-0912" TargetMode="External" Id="rId925"/><Relationship Type="http://schemas.openxmlformats.org/officeDocument/2006/relationships/hyperlink" Target="https://nvd.nist.gov/vuln/detail/CVE-2026-0912" TargetMode="External" Id="rId926"/><Relationship Type="http://schemas.openxmlformats.org/officeDocument/2006/relationships/hyperlink" Target="https://nvd.nist.gov/vuln/detail/CVE-2026-0926" TargetMode="External" Id="rId927"/><Relationship Type="http://schemas.openxmlformats.org/officeDocument/2006/relationships/hyperlink" Target="https://nvd.nist.gov/vuln/detail/CVE-2026-0926" TargetMode="External" Id="rId928"/><Relationship Type="http://schemas.openxmlformats.org/officeDocument/2006/relationships/hyperlink" Target="https://nvd.nist.gov/vuln/detail/CVE-2026-0974" TargetMode="External" Id="rId929"/><Relationship Type="http://schemas.openxmlformats.org/officeDocument/2006/relationships/hyperlink" Target="https://nvd.nist.gov/vuln/detail/CVE-2026-0974" TargetMode="External" Id="rId930"/><Relationship Type="http://schemas.openxmlformats.org/officeDocument/2006/relationships/hyperlink" Target="https://nvd.nist.gov/vuln/detail/CVE-2026-1043" TargetMode="External" Id="rId931"/><Relationship Type="http://schemas.openxmlformats.org/officeDocument/2006/relationships/hyperlink" Target="https://nvd.nist.gov/vuln/detail/CVE-2026-1043" TargetMode="External" Id="rId932"/><Relationship Type="http://schemas.openxmlformats.org/officeDocument/2006/relationships/hyperlink" Target="https://nvd.nist.gov/vuln/detail/CVE-2026-1044" TargetMode="External" Id="rId933"/><Relationship Type="http://schemas.openxmlformats.org/officeDocument/2006/relationships/hyperlink" Target="https://nvd.nist.gov/vuln/detail/CVE-2026-1044" TargetMode="External" Id="rId934"/><Relationship Type="http://schemas.openxmlformats.org/officeDocument/2006/relationships/hyperlink" Target="https://nvd.nist.gov/vuln/detail/CVE-2026-1047" TargetMode="External" Id="rId935"/><Relationship Type="http://schemas.openxmlformats.org/officeDocument/2006/relationships/hyperlink" Target="https://nvd.nist.gov/vuln/detail/CVE-2026-1047" TargetMode="External" Id="rId936"/><Relationship Type="http://schemas.openxmlformats.org/officeDocument/2006/relationships/hyperlink" Target="https://nvd.nist.gov/vuln/detail/CVE-2026-1055" TargetMode="External" Id="rId937"/><Relationship Type="http://schemas.openxmlformats.org/officeDocument/2006/relationships/hyperlink" Target="https://nvd.nist.gov/vuln/detail/CVE-2026-1055" TargetMode="External" Id="rId938"/><Relationship Type="http://schemas.openxmlformats.org/officeDocument/2006/relationships/hyperlink" Target="https://nvd.nist.gov/vuln/detail/CVE-2026-1373" TargetMode="External" Id="rId939"/><Relationship Type="http://schemas.openxmlformats.org/officeDocument/2006/relationships/hyperlink" Target="https://nvd.nist.gov/vuln/detail/CVE-2026-1373" TargetMode="External" Id="rId940"/><Relationship Type="http://schemas.openxmlformats.org/officeDocument/2006/relationships/hyperlink" Target="https://nvd.nist.gov/vuln/detail/CVE-2026-1405" TargetMode="External" Id="rId941"/><Relationship Type="http://schemas.openxmlformats.org/officeDocument/2006/relationships/hyperlink" Target="https://nvd.nist.gov/vuln/detail/CVE-2026-1405" TargetMode="External" Id="rId942"/><Relationship Type="http://schemas.openxmlformats.org/officeDocument/2006/relationships/hyperlink" Target="https://nvd.nist.gov/vuln/detail/CVE-2026-1455" TargetMode="External" Id="rId943"/><Relationship Type="http://schemas.openxmlformats.org/officeDocument/2006/relationships/hyperlink" Target="https://nvd.nist.gov/vuln/detail/CVE-2026-1455" TargetMode="External" Id="rId944"/><Relationship Type="http://schemas.openxmlformats.org/officeDocument/2006/relationships/hyperlink" Target="https://nvd.nist.gov/vuln/detail/CVE-2026-1646" TargetMode="External" Id="rId945"/><Relationship Type="http://schemas.openxmlformats.org/officeDocument/2006/relationships/hyperlink" Target="https://nvd.nist.gov/vuln/detail/CVE-2026-1646" TargetMode="External" Id="rId946"/><Relationship Type="http://schemas.openxmlformats.org/officeDocument/2006/relationships/hyperlink" Target="https://nvd.nist.gov/vuln/detail/CVE-2026-1994" TargetMode="External" Id="rId947"/><Relationship Type="http://schemas.openxmlformats.org/officeDocument/2006/relationships/hyperlink" Target="https://nvd.nist.gov/vuln/detail/CVE-2026-1994" TargetMode="External" Id="rId948"/><Relationship Type="http://schemas.openxmlformats.org/officeDocument/2006/relationships/hyperlink" Target="https://nvd.nist.gov/vuln/detail/CVE-2026-24764" TargetMode="External" Id="rId949"/><Relationship Type="http://schemas.openxmlformats.org/officeDocument/2006/relationships/hyperlink" Target="https://github.com/openclaw/openclaw/commit/35eb40a7000b59085e9c638a80fd03917c7a095e%20|%20https://github.com/openclaw/openclaw/security/advisories/GHSA-782p-5fr5-7fj8" TargetMode="External" Id="rId950"/><Relationship Type="http://schemas.openxmlformats.org/officeDocument/2006/relationships/hyperlink" Target="https://nvd.nist.gov/vuln/detail/CVE-2026-24764" TargetMode="External" Id="rId951"/><Relationship Type="http://schemas.openxmlformats.org/officeDocument/2006/relationships/hyperlink" Target="https://nvd.nist.gov/vuln/detail/CVE-2026-25120" TargetMode="External" Id="rId952"/><Relationship Type="http://schemas.openxmlformats.org/officeDocument/2006/relationships/hyperlink" Target="https://github.com/gogs/gogs/commit/1b226ca48dc8b3e95cc1c41229d72819c960a1b7%20|%20https://github.com/gogs/gogs/security/advisories/GHSA-jj5m-h57j-5gv7" TargetMode="External" Id="rId953"/><Relationship Type="http://schemas.openxmlformats.org/officeDocument/2006/relationships/hyperlink" Target="https://nvd.nist.gov/vuln/detail/CVE-2026-25120" TargetMode="External" Id="rId954"/><Relationship Type="http://schemas.openxmlformats.org/officeDocument/2006/relationships/hyperlink" Target="https://nvd.nist.gov/vuln/detail/CVE-2026-25229" TargetMode="External" Id="rId955"/><Relationship Type="http://schemas.openxmlformats.org/officeDocument/2006/relationships/hyperlink" Target="https://github.com/gogs/gogs/commit/643a6d6353cb6a182a4e1f0720228727f30a3ad2%20|%20https://github.com/gogs/gogs/security/advisories/GHSA-cv22-72px-f4gh" TargetMode="External" Id="rId956"/><Relationship Type="http://schemas.openxmlformats.org/officeDocument/2006/relationships/hyperlink" Target="https://github.com/gogs/gogs/security/advisories/GHSA-cv22-72px-f4gh" TargetMode="External" Id="rId957"/><Relationship Type="http://schemas.openxmlformats.org/officeDocument/2006/relationships/hyperlink" Target="https://nvd.nist.gov/vuln/detail/CVE-2026-25229" TargetMode="External" Id="rId958"/><Relationship Type="http://schemas.openxmlformats.org/officeDocument/2006/relationships/hyperlink" Target="https://nvd.nist.gov/vuln/detail/CVE-2026-25232" TargetMode="External" Id="rId959"/><Relationship Type="http://schemas.openxmlformats.org/officeDocument/2006/relationships/hyperlink" Target="https://github.com/gogs/gogs/commit/7b7e38c88007a7c482dbf31efff896185fd9b79c%20|%20https://github.com/gogs/gogs/security/advisories/GHSA-2c6v-8r3v-gh6p" TargetMode="External" Id="rId960"/><Relationship Type="http://schemas.openxmlformats.org/officeDocument/2006/relationships/hyperlink" Target="https://nvd.nist.gov/vuln/detail/CVE-2026-25232" TargetMode="External" Id="rId961"/><Relationship Type="http://schemas.openxmlformats.org/officeDocument/2006/relationships/hyperlink" Target="https://nvd.nist.gov/vuln/detail/CVE-2026-25242" TargetMode="External" Id="rId962"/><Relationship Type="http://schemas.openxmlformats.org/officeDocument/2006/relationships/hyperlink" Target="https://github.com/gogs/gogs/commit/628216d5889fcb838c471f4754f09b935d9cd9f3%20|%20https://github.com/gogs/gogs/security/advisories/GHSA-fc3h-92p8-h36f" TargetMode="External" Id="rId963"/><Relationship Type="http://schemas.openxmlformats.org/officeDocument/2006/relationships/hyperlink" Target="https://nvd.nist.gov/vuln/detail/CVE-2026-25242" TargetMode="External" Id="rId964"/><Relationship Type="http://schemas.openxmlformats.org/officeDocument/2006/relationships/hyperlink" Target="https://nvd.nist.gov/vuln/detail/CVE-2026-25474" TargetMode="External" Id="rId965"/><Relationship Type="http://schemas.openxmlformats.org/officeDocument/2006/relationships/hyperlink" Target="https://github.com/openclaw/openclaw/commit/3cbcba10cf30c2ffb898f0d8c7dfb929f15f8930%20|%20https://github.com/openclaw/openclaw/commit/5643a934799dc523ec2ef18c007e1aa2c386b670%20|%20https://github.com/openclaw/openclaw/commit/633fe8b9c17f02fcc68ecdb5ec212a5ace932f09" TargetMode="External" Id="rId966"/><Relationship Type="http://schemas.openxmlformats.org/officeDocument/2006/relationships/hyperlink" Target="https://nvd.nist.gov/vuln/detail/CVE-2026-25474" TargetMode="External" Id="rId967"/><Relationship Type="http://schemas.openxmlformats.org/officeDocument/2006/relationships/hyperlink" Target="https://nvd.nist.gov/vuln/detail/CVE-2026-2282" TargetMode="External" Id="rId968"/><Relationship Type="http://schemas.openxmlformats.org/officeDocument/2006/relationships/hyperlink" Target="https://nvd.nist.gov/vuln/detail/CVE-2026-2282" TargetMode="External" Id="rId969"/><Relationship Type="http://schemas.openxmlformats.org/officeDocument/2006/relationships/hyperlink" Target="https://nvd.nist.gov/vuln/detail/CVE-2026-2284" TargetMode="External" Id="rId970"/><Relationship Type="http://schemas.openxmlformats.org/officeDocument/2006/relationships/hyperlink" Target="https://nvd.nist.gov/vuln/detail/CVE-2026-2284" TargetMode="External" Id="rId971"/><Relationship Type="http://schemas.openxmlformats.org/officeDocument/2006/relationships/hyperlink" Target="https://nvd.nist.gov/vuln/detail/CVE-2026-2502" TargetMode="External" Id="rId972"/><Relationship Type="http://schemas.openxmlformats.org/officeDocument/2006/relationships/hyperlink" Target="https://nvd.nist.gov/vuln/detail/CVE-2026-2502" TargetMode="External" Id="rId973"/><Relationship Type="http://schemas.openxmlformats.org/officeDocument/2006/relationships/hyperlink" Target="https://nvd.nist.gov/vuln/detail/CVE-2026-2504" TargetMode="External" Id="rId974"/><Relationship Type="http://schemas.openxmlformats.org/officeDocument/2006/relationships/hyperlink" Target="https://nvd.nist.gov/vuln/detail/CVE-2026-2504" TargetMode="External" Id="rId975"/><Relationship Type="http://schemas.openxmlformats.org/officeDocument/2006/relationships/hyperlink" Target="https://nvd.nist.gov/vuln/detail/CVE-2026-2681" TargetMode="External" Id="rId976"/><Relationship Type="http://schemas.openxmlformats.org/officeDocument/2006/relationships/hyperlink" Target="https://nvd.nist.gov/vuln/detail/CVE-2026-2681" TargetMode="External" Id="rId977"/><Relationship Type="http://schemas.openxmlformats.org/officeDocument/2006/relationships/hyperlink" Target="https://nvd.nist.gov/vuln/detail/CVE-2026-2689" TargetMode="External" Id="rId978"/><Relationship Type="http://schemas.openxmlformats.org/officeDocument/2006/relationships/hyperlink" Target="https://nvd.nist.gov/vuln/detail/CVE-2026-2689" TargetMode="External" Id="rId979"/><Relationship Type="http://schemas.openxmlformats.org/officeDocument/2006/relationships/hyperlink" Target="https://nvd.nist.gov/vuln/detail/CVE-2026-2690" TargetMode="External" Id="rId980"/><Relationship Type="http://schemas.openxmlformats.org/officeDocument/2006/relationships/hyperlink" Target="https://nvd.nist.gov/vuln/detail/CVE-2026-2690" TargetMode="External" Id="rId981"/><Relationship Type="http://schemas.openxmlformats.org/officeDocument/2006/relationships/hyperlink" Target="https://nvd.nist.gov/vuln/detail/CVE-2026-2691" TargetMode="External" Id="rId982"/><Relationship Type="http://schemas.openxmlformats.org/officeDocument/2006/relationships/hyperlink" Target="https://github.com/ltranquility/CVE/issues/40" TargetMode="External" Id="rId983"/><Relationship Type="http://schemas.openxmlformats.org/officeDocument/2006/relationships/hyperlink" Target="https://github.com/ltranquility/CVE/issues/40" TargetMode="External" Id="rId984"/><Relationship Type="http://schemas.openxmlformats.org/officeDocument/2006/relationships/hyperlink" Target="https://nvd.nist.gov/vuln/detail/CVE-2026-2691" TargetMode="External" Id="rId985"/><Relationship Type="http://schemas.openxmlformats.org/officeDocument/2006/relationships/hyperlink" Target="https://nvd.nist.gov/vuln/detail/CVE-2026-2692" TargetMode="External" Id="rId986"/><Relationship Type="http://schemas.openxmlformats.org/officeDocument/2006/relationships/hyperlink" Target="https://nvd.nist.gov/vuln/detail/CVE-2026-2692" TargetMode="External" Id="rId987"/><Relationship Type="http://schemas.openxmlformats.org/officeDocument/2006/relationships/hyperlink" Target="https://nvd.nist.gov/vuln/detail/CVE-2026-2693" TargetMode="External" Id="rId988"/><Relationship Type="http://schemas.openxmlformats.org/officeDocument/2006/relationships/hyperlink" Target="https://nvd.nist.gov/vuln/detail/CVE-2026-2693" TargetMode="External" Id="rId989"/><Relationship Type="http://schemas.openxmlformats.org/officeDocument/2006/relationships/hyperlink" Target="https://nvd.nist.gov/vuln/detail/CVE-2026-2702" TargetMode="External" Id="rId990"/><Relationship Type="http://schemas.openxmlformats.org/officeDocument/2006/relationships/hyperlink" Target="https://nvd.nist.gov/vuln/detail/CVE-2026-2702" TargetMode="External" Id="rId991"/><Relationship Type="http://schemas.openxmlformats.org/officeDocument/2006/relationships/hyperlink" Target="https://nvd.nist.gov/vuln/detail/CVE-2026-2703" TargetMode="External" Id="rId992"/><Relationship Type="http://schemas.openxmlformats.org/officeDocument/2006/relationships/hyperlink" Target="https://nvd.nist.gov/vuln/detail/CVE-2026-2703" TargetMode="External" Id="rId993"/><Relationship Type="http://schemas.openxmlformats.org/officeDocument/2006/relationships/hyperlink" Target="https://nvd.nist.gov/vuln/detail/CVE-2026-2704" TargetMode="External" Id="rId994"/><Relationship Type="http://schemas.openxmlformats.org/officeDocument/2006/relationships/hyperlink" Target="https://nvd.nist.gov/vuln/detail/CVE-2026-2704" TargetMode="External" Id="rId995"/><Relationship Type="http://schemas.openxmlformats.org/officeDocument/2006/relationships/hyperlink" Target="https://nvd.nist.gov/vuln/detail/CVE-2026-2705" TargetMode="External" Id="rId996"/><Relationship Type="http://schemas.openxmlformats.org/officeDocument/2006/relationships/hyperlink" Target="https://nvd.nist.gov/vuln/detail/CVE-2026-2705" TargetMode="External" Id="rId997"/><Relationship Type="http://schemas.openxmlformats.org/officeDocument/2006/relationships/hyperlink" Target="https://nvd.nist.gov/vuln/detail/CVE-2026-2706" TargetMode="External" Id="rId998"/><Relationship Type="http://schemas.openxmlformats.org/officeDocument/2006/relationships/hyperlink" Target="https://nvd.nist.gov/vuln/detail/CVE-2026-2706" TargetMode="External" Id="rId999"/><Relationship Type="http://schemas.openxmlformats.org/officeDocument/2006/relationships/hyperlink" Target="https://nvd.nist.gov/vuln/detail/CVE-2026-2709" TargetMode="External" Id="rId1000"/><Relationship Type="http://schemas.openxmlformats.org/officeDocument/2006/relationships/hyperlink" Target="https://nvd.nist.gov/vuln/detail/CVE-2026-2709" TargetMode="External" Id="rId1001"/><Relationship Type="http://schemas.openxmlformats.org/officeDocument/2006/relationships/hyperlink" Target="https://nvd.nist.gov/vuln/detail/CVE-2026-2731" TargetMode="External" Id="rId1002"/><Relationship Type="http://schemas.openxmlformats.org/officeDocument/2006/relationships/hyperlink" Target="https://nvd.nist.gov/vuln/detail/CVE-2026-2731" TargetMode="External" Id="rId1003"/><Relationship Type="http://schemas.openxmlformats.org/officeDocument/2006/relationships/hyperlink" Target="https://nvd.nist.gov/vuln/detail/CVE-2026-2711" TargetMode="External" Id="rId1004"/><Relationship Type="http://schemas.openxmlformats.org/officeDocument/2006/relationships/hyperlink" Target="https://nvd.nist.gov/vuln/detail/CVE-2026-2711" TargetMode="External" Id="rId1005"/><Relationship Type="http://schemas.openxmlformats.org/officeDocument/2006/relationships/hyperlink" Target="https://nvd.nist.gov/vuln/detail/CVE-2026-2733" TargetMode="External" Id="rId1006"/><Relationship Type="http://schemas.openxmlformats.org/officeDocument/2006/relationships/hyperlink" Target="https://nvd.nist.gov/vuln/detail/CVE-2026-2733" TargetMode="External" Id="rId1007"/><Relationship Type="http://schemas.openxmlformats.org/officeDocument/2006/relationships/hyperlink" Target="https://nvd.nist.gov/vuln/detail/CVE-2025-40697" TargetMode="External" Id="rId1008"/><Relationship Type="http://schemas.openxmlformats.org/officeDocument/2006/relationships/hyperlink" Target="https://nvd.nist.gov/vuln/detail/CVE-2025-40697" TargetMode="External" Id="rId1009"/><Relationship Type="http://schemas.openxmlformats.org/officeDocument/2006/relationships/hyperlink" Target="https://nvd.nist.gov/vuln/detail/CVE-2025-41023" TargetMode="External" Id="rId1010"/><Relationship Type="http://schemas.openxmlformats.org/officeDocument/2006/relationships/hyperlink" Target="https://nvd.nist.gov/vuln/detail/CVE-2025-41023" TargetMode="External" Id="rId1011"/><Relationship Type="http://schemas.openxmlformats.org/officeDocument/2006/relationships/hyperlink" Target="https://nvd.nist.gov/vuln/detail/CVE-2026-22269" TargetMode="External" Id="rId1012"/><Relationship Type="http://schemas.openxmlformats.org/officeDocument/2006/relationships/hyperlink" Target="https://www.dell.com/support/kbdoc/en-us/000429778/dsa-2026-046-security-update-for-dell-powerprotect-data-manager-multiple-vulnerabilities" TargetMode="External" Id="rId1013"/><Relationship Type="http://schemas.openxmlformats.org/officeDocument/2006/relationships/hyperlink" Target="https://nvd.nist.gov/vuln/detail/CVE-2026-22269" TargetMode="External" Id="rId1014"/><Relationship Type="http://schemas.openxmlformats.org/officeDocument/2006/relationships/hyperlink" Target="https://nvd.nist.gov/vuln/detail/CVE-2026-22333" TargetMode="External" Id="rId1015"/><Relationship Type="http://schemas.openxmlformats.org/officeDocument/2006/relationships/hyperlink" Target="https://nvd.nist.gov/vuln/detail/CVE-2026-22333" TargetMode="External" Id="rId1016"/><Relationship Type="http://schemas.openxmlformats.org/officeDocument/2006/relationships/hyperlink" Target="https://nvd.nist.gov/vuln/detail/CVE-2026-22422" TargetMode="External" Id="rId1017"/><Relationship Type="http://schemas.openxmlformats.org/officeDocument/2006/relationships/hyperlink" Target="https://nvd.nist.gov/vuln/detail/CVE-2026-22422" TargetMode="External" Id="rId1018"/><Relationship Type="http://schemas.openxmlformats.org/officeDocument/2006/relationships/hyperlink" Target="https://nvd.nist.gov/vuln/detail/CVE-2026-23541" TargetMode="External" Id="rId1019"/><Relationship Type="http://schemas.openxmlformats.org/officeDocument/2006/relationships/hyperlink" Target="https://nvd.nist.gov/vuln/detail/CVE-2026-23541" TargetMode="External" Id="rId1020"/><Relationship Type="http://schemas.openxmlformats.org/officeDocument/2006/relationships/hyperlink" Target="https://nvd.nist.gov/vuln/detail/CVE-2026-23542" TargetMode="External" Id="rId1021"/><Relationship Type="http://schemas.openxmlformats.org/officeDocument/2006/relationships/hyperlink" Target="https://nvd.nist.gov/vuln/detail/CVE-2026-23542" TargetMode="External" Id="rId1022"/><Relationship Type="http://schemas.openxmlformats.org/officeDocument/2006/relationships/hyperlink" Target="https://nvd.nist.gov/vuln/detail/CVE-2026-23543" TargetMode="External" Id="rId1023"/><Relationship Type="http://schemas.openxmlformats.org/officeDocument/2006/relationships/hyperlink" Target="https://nvd.nist.gov/vuln/detail/CVE-2026-23543" TargetMode="External" Id="rId1024"/><Relationship Type="http://schemas.openxmlformats.org/officeDocument/2006/relationships/hyperlink" Target="https://nvd.nist.gov/vuln/detail/CVE-2026-23544" TargetMode="External" Id="rId1025"/><Relationship Type="http://schemas.openxmlformats.org/officeDocument/2006/relationships/hyperlink" Target="https://nvd.nist.gov/vuln/detail/CVE-2026-23544" TargetMode="External" Id="rId1026"/><Relationship Type="http://schemas.openxmlformats.org/officeDocument/2006/relationships/hyperlink" Target="https://nvd.nist.gov/vuln/detail/CVE-2026-23545" TargetMode="External" Id="rId1027"/><Relationship Type="http://schemas.openxmlformats.org/officeDocument/2006/relationships/hyperlink" Target="https://nvd.nist.gov/vuln/detail/CVE-2026-23545" TargetMode="External" Id="rId1028"/><Relationship Type="http://schemas.openxmlformats.org/officeDocument/2006/relationships/hyperlink" Target="https://nvd.nist.gov/vuln/detail/CVE-2026-23547" TargetMode="External" Id="rId1029"/><Relationship Type="http://schemas.openxmlformats.org/officeDocument/2006/relationships/hyperlink" Target="https://nvd.nist.gov/vuln/detail/CVE-2026-23547" TargetMode="External" Id="rId1030"/><Relationship Type="http://schemas.openxmlformats.org/officeDocument/2006/relationships/hyperlink" Target="https://nvd.nist.gov/vuln/detail/CVE-2026-23548" TargetMode="External" Id="rId1031"/><Relationship Type="http://schemas.openxmlformats.org/officeDocument/2006/relationships/hyperlink" Target="https://nvd.nist.gov/vuln/detail/CVE-2026-23548" TargetMode="External" Id="rId1032"/><Relationship Type="http://schemas.openxmlformats.org/officeDocument/2006/relationships/hyperlink" Target="https://nvd.nist.gov/vuln/detail/CVE-2026-23549" TargetMode="External" Id="rId1033"/><Relationship Type="http://schemas.openxmlformats.org/officeDocument/2006/relationships/hyperlink" Target="https://nvd.nist.gov/vuln/detail/CVE-2026-23549" TargetMode="External" Id="rId1034"/><Relationship Type="http://schemas.openxmlformats.org/officeDocument/2006/relationships/hyperlink" Target="https://nvd.nist.gov/vuln/detail/CVE-2026-23803" TargetMode="External" Id="rId1035"/><Relationship Type="http://schemas.openxmlformats.org/officeDocument/2006/relationships/hyperlink" Target="https://nvd.nist.gov/vuln/detail/CVE-2026-23803" TargetMode="External" Id="rId1036"/><Relationship Type="http://schemas.openxmlformats.org/officeDocument/2006/relationships/hyperlink" Target="https://nvd.nist.gov/vuln/detail/CVE-2026-23804" TargetMode="External" Id="rId1037"/><Relationship Type="http://schemas.openxmlformats.org/officeDocument/2006/relationships/hyperlink" Target="https://nvd.nist.gov/vuln/detail/CVE-2026-23804" TargetMode="External" Id="rId1038"/><Relationship Type="http://schemas.openxmlformats.org/officeDocument/2006/relationships/hyperlink" Target="https://nvd.nist.gov/vuln/detail/CVE-2026-23805" TargetMode="External" Id="rId1039"/><Relationship Type="http://schemas.openxmlformats.org/officeDocument/2006/relationships/hyperlink" Target="https://nvd.nist.gov/vuln/detail/CVE-2026-23805" TargetMode="External" Id="rId1040"/><Relationship Type="http://schemas.openxmlformats.org/officeDocument/2006/relationships/hyperlink" Target="https://nvd.nist.gov/vuln/detail/CVE-2026-24375" TargetMode="External" Id="rId1041"/><Relationship Type="http://schemas.openxmlformats.org/officeDocument/2006/relationships/hyperlink" Target="https://nvd.nist.gov/vuln/detail/CVE-2026-24375" TargetMode="External" Id="rId1042"/><Relationship Type="http://schemas.openxmlformats.org/officeDocument/2006/relationships/hyperlink" Target="https://nvd.nist.gov/vuln/detail/CVE-2026-24392" TargetMode="External" Id="rId1043"/><Relationship Type="http://schemas.openxmlformats.org/officeDocument/2006/relationships/hyperlink" Target="https://nvd.nist.gov/vuln/detail/CVE-2026-24392" TargetMode="External" Id="rId1044"/><Relationship Type="http://schemas.openxmlformats.org/officeDocument/2006/relationships/hyperlink" Target="https://nvd.nist.gov/vuln/detail/CVE-2026-24999" TargetMode="External" Id="rId1045"/><Relationship Type="http://schemas.openxmlformats.org/officeDocument/2006/relationships/hyperlink" Target="https://nvd.nist.gov/vuln/detail/CVE-2026-24999" TargetMode="External" Id="rId1046"/><Relationship Type="http://schemas.openxmlformats.org/officeDocument/2006/relationships/hyperlink" Target="https://nvd.nist.gov/vuln/detail/CVE-2026-25000" TargetMode="External" Id="rId1047"/><Relationship Type="http://schemas.openxmlformats.org/officeDocument/2006/relationships/hyperlink" Target="https://nvd.nist.gov/vuln/detail/CVE-2026-25000" TargetMode="External" Id="rId1048"/><Relationship Type="http://schemas.openxmlformats.org/officeDocument/2006/relationships/hyperlink" Target="https://nvd.nist.gov/vuln/detail/CVE-2026-25003" TargetMode="External" Id="rId1049"/><Relationship Type="http://schemas.openxmlformats.org/officeDocument/2006/relationships/hyperlink" Target="https://nvd.nist.gov/vuln/detail/CVE-2026-25003" TargetMode="External" Id="rId1050"/><Relationship Type="http://schemas.openxmlformats.org/officeDocument/2006/relationships/hyperlink" Target="https://nvd.nist.gov/vuln/detail/CVE-2026-25004" TargetMode="External" Id="rId1051"/><Relationship Type="http://schemas.openxmlformats.org/officeDocument/2006/relationships/hyperlink" Target="https://nvd.nist.gov/vuln/detail/CVE-2026-25004" TargetMode="External" Id="rId1052"/><Relationship Type="http://schemas.openxmlformats.org/officeDocument/2006/relationships/hyperlink" Target="https://nvd.nist.gov/vuln/detail/CVE-2026-25005" TargetMode="External" Id="rId1053"/><Relationship Type="http://schemas.openxmlformats.org/officeDocument/2006/relationships/hyperlink" Target="https://nvd.nist.gov/vuln/detail/CVE-2026-25005" TargetMode="External" Id="rId1054"/><Relationship Type="http://schemas.openxmlformats.org/officeDocument/2006/relationships/hyperlink" Target="https://nvd.nist.gov/vuln/detail/CVE-2026-25006" TargetMode="External" Id="rId1055"/><Relationship Type="http://schemas.openxmlformats.org/officeDocument/2006/relationships/hyperlink" Target="https://nvd.nist.gov/vuln/detail/CVE-2026-25006" TargetMode="External" Id="rId1056"/><Relationship Type="http://schemas.openxmlformats.org/officeDocument/2006/relationships/hyperlink" Target="https://nvd.nist.gov/vuln/detail/CVE-2026-25008" TargetMode="External" Id="rId1057"/><Relationship Type="http://schemas.openxmlformats.org/officeDocument/2006/relationships/hyperlink" Target="https://nvd.nist.gov/vuln/detail/CVE-2026-25008" TargetMode="External" Id="rId1058"/><Relationship Type="http://schemas.openxmlformats.org/officeDocument/2006/relationships/hyperlink" Target="https://nvd.nist.gov/vuln/detail/CVE-2026-25305" TargetMode="External" Id="rId1059"/><Relationship Type="http://schemas.openxmlformats.org/officeDocument/2006/relationships/hyperlink" Target="https://nvd.nist.gov/vuln/detail/CVE-2026-25305" TargetMode="External" Id="rId1060"/><Relationship Type="http://schemas.openxmlformats.org/officeDocument/2006/relationships/hyperlink" Target="https://nvd.nist.gov/vuln/detail/CVE-2026-25307" TargetMode="External" Id="rId1061"/><Relationship Type="http://schemas.openxmlformats.org/officeDocument/2006/relationships/hyperlink" Target="https://nvd.nist.gov/vuln/detail/CVE-2026-25307" TargetMode="External" Id="rId1062"/><Relationship Type="http://schemas.openxmlformats.org/officeDocument/2006/relationships/hyperlink" Target="https://nvd.nist.gov/vuln/detail/CVE-2026-25308" TargetMode="External" Id="rId1063"/><Relationship Type="http://schemas.openxmlformats.org/officeDocument/2006/relationships/hyperlink" Target="https://nvd.nist.gov/vuln/detail/CVE-2026-25308" TargetMode="External" Id="rId1064"/><Relationship Type="http://schemas.openxmlformats.org/officeDocument/2006/relationships/hyperlink" Target="https://nvd.nist.gov/vuln/detail/CVE-2026-25310" TargetMode="External" Id="rId1065"/><Relationship Type="http://schemas.openxmlformats.org/officeDocument/2006/relationships/hyperlink" Target="https://nvd.nist.gov/vuln/detail/CVE-2026-25310" TargetMode="External" Id="rId1066"/><Relationship Type="http://schemas.openxmlformats.org/officeDocument/2006/relationships/hyperlink" Target="https://nvd.nist.gov/vuln/detail/CVE-2026-25311" TargetMode="External" Id="rId1067"/><Relationship Type="http://schemas.openxmlformats.org/officeDocument/2006/relationships/hyperlink" Target="https://nvd.nist.gov/vuln/detail/CVE-2026-25311" TargetMode="External" Id="rId1068"/><Relationship Type="http://schemas.openxmlformats.org/officeDocument/2006/relationships/hyperlink" Target="https://nvd.nist.gov/vuln/detail/CVE-2026-25313" TargetMode="External" Id="rId1069"/><Relationship Type="http://schemas.openxmlformats.org/officeDocument/2006/relationships/hyperlink" Target="https://nvd.nist.gov/vuln/detail/CVE-2026-25313" TargetMode="External" Id="rId1070"/><Relationship Type="http://schemas.openxmlformats.org/officeDocument/2006/relationships/hyperlink" Target="https://nvd.nist.gov/vuln/detail/CVE-2026-25314" TargetMode="External" Id="rId1071"/><Relationship Type="http://schemas.openxmlformats.org/officeDocument/2006/relationships/hyperlink" Target="https://nvd.nist.gov/vuln/detail/CVE-2026-25314" TargetMode="External" Id="rId1072"/><Relationship Type="http://schemas.openxmlformats.org/officeDocument/2006/relationships/hyperlink" Target="https://nvd.nist.gov/vuln/detail/CVE-2026-25315" TargetMode="External" Id="rId1073"/><Relationship Type="http://schemas.openxmlformats.org/officeDocument/2006/relationships/hyperlink" Target="https://nvd.nist.gov/vuln/detail/CVE-2026-25315" TargetMode="External" Id="rId1074"/><Relationship Type="http://schemas.openxmlformats.org/officeDocument/2006/relationships/hyperlink" Target="https://nvd.nist.gov/vuln/detail/CVE-2026-25316" TargetMode="External" Id="rId1075"/><Relationship Type="http://schemas.openxmlformats.org/officeDocument/2006/relationships/hyperlink" Target="https://nvd.nist.gov/vuln/detail/CVE-2026-25316" TargetMode="External" Id="rId1076"/><Relationship Type="http://schemas.openxmlformats.org/officeDocument/2006/relationships/hyperlink" Target="https://nvd.nist.gov/vuln/detail/CVE-2026-25318" TargetMode="External" Id="rId1077"/><Relationship Type="http://schemas.openxmlformats.org/officeDocument/2006/relationships/hyperlink" Target="https://nvd.nist.gov/vuln/detail/CVE-2026-25318" TargetMode="External" Id="rId1078"/><Relationship Type="http://schemas.openxmlformats.org/officeDocument/2006/relationships/hyperlink" Target="https://nvd.nist.gov/vuln/detail/CVE-2026-25319" TargetMode="External" Id="rId1079"/><Relationship Type="http://schemas.openxmlformats.org/officeDocument/2006/relationships/hyperlink" Target="https://nvd.nist.gov/vuln/detail/CVE-2026-25319" TargetMode="External" Id="rId1080"/><Relationship Type="http://schemas.openxmlformats.org/officeDocument/2006/relationships/hyperlink" Target="https://nvd.nist.gov/vuln/detail/CVE-2026-25320" TargetMode="External" Id="rId1081"/><Relationship Type="http://schemas.openxmlformats.org/officeDocument/2006/relationships/hyperlink" Target="https://nvd.nist.gov/vuln/detail/CVE-2026-25320" TargetMode="External" Id="rId1082"/><Relationship Type="http://schemas.openxmlformats.org/officeDocument/2006/relationships/hyperlink" Target="https://nvd.nist.gov/vuln/detail/CVE-2026-25321" TargetMode="External" Id="rId1083"/><Relationship Type="http://schemas.openxmlformats.org/officeDocument/2006/relationships/hyperlink" Target="https://nvd.nist.gov/vuln/detail/CVE-2026-25321" TargetMode="External" Id="rId1084"/><Relationship Type="http://schemas.openxmlformats.org/officeDocument/2006/relationships/hyperlink" Target="https://nvd.nist.gov/vuln/detail/CVE-2026-25322" TargetMode="External" Id="rId1085"/><Relationship Type="http://schemas.openxmlformats.org/officeDocument/2006/relationships/hyperlink" Target="https://nvd.nist.gov/vuln/detail/CVE-2026-25322" TargetMode="External" Id="rId1086"/><Relationship Type="http://schemas.openxmlformats.org/officeDocument/2006/relationships/hyperlink" Target="https://nvd.nist.gov/vuln/detail/CVE-2026-25323" TargetMode="External" Id="rId1087"/><Relationship Type="http://schemas.openxmlformats.org/officeDocument/2006/relationships/hyperlink" Target="https://nvd.nist.gov/vuln/detail/CVE-2026-25323" TargetMode="External" Id="rId1088"/><Relationship Type="http://schemas.openxmlformats.org/officeDocument/2006/relationships/hyperlink" Target="https://nvd.nist.gov/vuln/detail/CVE-2026-25324" TargetMode="External" Id="rId1089"/><Relationship Type="http://schemas.openxmlformats.org/officeDocument/2006/relationships/hyperlink" Target="https://nvd.nist.gov/vuln/detail/CVE-2026-25324" TargetMode="External" Id="rId1090"/><Relationship Type="http://schemas.openxmlformats.org/officeDocument/2006/relationships/hyperlink" Target="https://nvd.nist.gov/vuln/detail/CVE-2026-25325" TargetMode="External" Id="rId1091"/><Relationship Type="http://schemas.openxmlformats.org/officeDocument/2006/relationships/hyperlink" Target="https://nvd.nist.gov/vuln/detail/CVE-2026-25325" TargetMode="External" Id="rId1092"/><Relationship Type="http://schemas.openxmlformats.org/officeDocument/2006/relationships/hyperlink" Target="https://nvd.nist.gov/vuln/detail/CVE-2026-25326" TargetMode="External" Id="rId1093"/><Relationship Type="http://schemas.openxmlformats.org/officeDocument/2006/relationships/hyperlink" Target="https://nvd.nist.gov/vuln/detail/CVE-2026-25326" TargetMode="External" Id="rId1094"/><Relationship Type="http://schemas.openxmlformats.org/officeDocument/2006/relationships/hyperlink" Target="https://nvd.nist.gov/vuln/detail/CVE-2026-25329" TargetMode="External" Id="rId1095"/><Relationship Type="http://schemas.openxmlformats.org/officeDocument/2006/relationships/hyperlink" Target="https://nvd.nist.gov/vuln/detail/CVE-2026-25329" TargetMode="External" Id="rId1096"/><Relationship Type="http://schemas.openxmlformats.org/officeDocument/2006/relationships/hyperlink" Target="https://nvd.nist.gov/vuln/detail/CVE-2026-25330" TargetMode="External" Id="rId1097"/><Relationship Type="http://schemas.openxmlformats.org/officeDocument/2006/relationships/hyperlink" Target="https://nvd.nist.gov/vuln/detail/CVE-2026-25330" TargetMode="External" Id="rId1098"/><Relationship Type="http://schemas.openxmlformats.org/officeDocument/2006/relationships/hyperlink" Target="https://nvd.nist.gov/vuln/detail/CVE-2026-25331" TargetMode="External" Id="rId1099"/><Relationship Type="http://schemas.openxmlformats.org/officeDocument/2006/relationships/hyperlink" Target="https://nvd.nist.gov/vuln/detail/CVE-2026-25331" TargetMode="External" Id="rId1100"/><Relationship Type="http://schemas.openxmlformats.org/officeDocument/2006/relationships/hyperlink" Target="https://nvd.nist.gov/vuln/detail/CVE-2026-25332" TargetMode="External" Id="rId1101"/><Relationship Type="http://schemas.openxmlformats.org/officeDocument/2006/relationships/hyperlink" Target="https://nvd.nist.gov/vuln/detail/CVE-2026-25332" TargetMode="External" Id="rId1102"/><Relationship Type="http://schemas.openxmlformats.org/officeDocument/2006/relationships/hyperlink" Target="https://nvd.nist.gov/vuln/detail/CVE-2026-25333" TargetMode="External" Id="rId1103"/><Relationship Type="http://schemas.openxmlformats.org/officeDocument/2006/relationships/hyperlink" Target="https://nvd.nist.gov/vuln/detail/CVE-2026-25333" TargetMode="External" Id="rId1104"/><Relationship Type="http://schemas.openxmlformats.org/officeDocument/2006/relationships/hyperlink" Target="https://nvd.nist.gov/vuln/detail/CVE-2026-25335" TargetMode="External" Id="rId1105"/><Relationship Type="http://schemas.openxmlformats.org/officeDocument/2006/relationships/hyperlink" Target="https://nvd.nist.gov/vuln/detail/CVE-2026-25335" TargetMode="External" Id="rId1106"/><Relationship Type="http://schemas.openxmlformats.org/officeDocument/2006/relationships/hyperlink" Target="https://nvd.nist.gov/vuln/detail/CVE-2026-25336" TargetMode="External" Id="rId1107"/><Relationship Type="http://schemas.openxmlformats.org/officeDocument/2006/relationships/hyperlink" Target="https://nvd.nist.gov/vuln/detail/CVE-2026-25336" TargetMode="External" Id="rId1108"/><Relationship Type="http://schemas.openxmlformats.org/officeDocument/2006/relationships/hyperlink" Target="https://nvd.nist.gov/vuln/detail/CVE-2026-25337" TargetMode="External" Id="rId1109"/><Relationship Type="http://schemas.openxmlformats.org/officeDocument/2006/relationships/hyperlink" Target="https://nvd.nist.gov/vuln/detail/CVE-2026-25337" TargetMode="External" Id="rId1110"/><Relationship Type="http://schemas.openxmlformats.org/officeDocument/2006/relationships/hyperlink" Target="https://nvd.nist.gov/vuln/detail/CVE-2026-25338" TargetMode="External" Id="rId1111"/><Relationship Type="http://schemas.openxmlformats.org/officeDocument/2006/relationships/hyperlink" Target="https://nvd.nist.gov/vuln/detail/CVE-2026-25338" TargetMode="External" Id="rId1112"/><Relationship Type="http://schemas.openxmlformats.org/officeDocument/2006/relationships/hyperlink" Target="https://nvd.nist.gov/vuln/detail/CVE-2026-25343" TargetMode="External" Id="rId1113"/><Relationship Type="http://schemas.openxmlformats.org/officeDocument/2006/relationships/hyperlink" Target="https://nvd.nist.gov/vuln/detail/CVE-2026-25343" TargetMode="External" Id="rId1114"/><Relationship Type="http://schemas.openxmlformats.org/officeDocument/2006/relationships/hyperlink" Target="https://nvd.nist.gov/vuln/detail/CVE-2026-25348" TargetMode="External" Id="rId1115"/><Relationship Type="http://schemas.openxmlformats.org/officeDocument/2006/relationships/hyperlink" Target="https://nvd.nist.gov/vuln/detail/CVE-2026-25348" TargetMode="External" Id="rId1116"/><Relationship Type="http://schemas.openxmlformats.org/officeDocument/2006/relationships/hyperlink" Target="https://nvd.nist.gov/vuln/detail/CVE-2026-25362" TargetMode="External" Id="rId1117"/><Relationship Type="http://schemas.openxmlformats.org/officeDocument/2006/relationships/hyperlink" Target="https://nvd.nist.gov/vuln/detail/CVE-2026-25362" TargetMode="External" Id="rId1118"/><Relationship Type="http://schemas.openxmlformats.org/officeDocument/2006/relationships/hyperlink" Target="https://nvd.nist.gov/vuln/detail/CVE-2026-25363" TargetMode="External" Id="rId1119"/><Relationship Type="http://schemas.openxmlformats.org/officeDocument/2006/relationships/hyperlink" Target="https://nvd.nist.gov/vuln/detail/CVE-2026-25363" TargetMode="External" Id="rId1120"/><Relationship Type="http://schemas.openxmlformats.org/officeDocument/2006/relationships/hyperlink" Target="https://nvd.nist.gov/vuln/detail/CVE-2026-25364" TargetMode="External" Id="rId1121"/><Relationship Type="http://schemas.openxmlformats.org/officeDocument/2006/relationships/hyperlink" Target="https://nvd.nist.gov/vuln/detail/CVE-2026-25364" TargetMode="External" Id="rId1122"/><Relationship Type="http://schemas.openxmlformats.org/officeDocument/2006/relationships/hyperlink" Target="https://nvd.nist.gov/vuln/detail/CVE-2026-25367" TargetMode="External" Id="rId1123"/><Relationship Type="http://schemas.openxmlformats.org/officeDocument/2006/relationships/hyperlink" Target="https://nvd.nist.gov/vuln/detail/CVE-2026-25367" TargetMode="External" Id="rId1124"/><Relationship Type="http://schemas.openxmlformats.org/officeDocument/2006/relationships/hyperlink" Target="https://nvd.nist.gov/vuln/detail/CVE-2026-25368" TargetMode="External" Id="rId1125"/><Relationship Type="http://schemas.openxmlformats.org/officeDocument/2006/relationships/hyperlink" Target="https://nvd.nist.gov/vuln/detail/CVE-2026-25368" TargetMode="External" Id="rId1126"/><Relationship Type="http://schemas.openxmlformats.org/officeDocument/2006/relationships/hyperlink" Target="https://nvd.nist.gov/vuln/detail/CVE-2026-25370" TargetMode="External" Id="rId1127"/><Relationship Type="http://schemas.openxmlformats.org/officeDocument/2006/relationships/hyperlink" Target="https://nvd.nist.gov/vuln/detail/CVE-2026-25370" TargetMode="External" Id="rId1128"/><Relationship Type="http://schemas.openxmlformats.org/officeDocument/2006/relationships/hyperlink" Target="https://nvd.nist.gov/vuln/detail/CVE-2026-25372" TargetMode="External" Id="rId1129"/><Relationship Type="http://schemas.openxmlformats.org/officeDocument/2006/relationships/hyperlink" Target="https://nvd.nist.gov/vuln/detail/CVE-2026-25372" TargetMode="External" Id="rId1130"/><Relationship Type="http://schemas.openxmlformats.org/officeDocument/2006/relationships/hyperlink" Target="https://nvd.nist.gov/vuln/detail/CVE-2026-25374" TargetMode="External" Id="rId1131"/><Relationship Type="http://schemas.openxmlformats.org/officeDocument/2006/relationships/hyperlink" Target="https://nvd.nist.gov/vuln/detail/CVE-2026-25374" TargetMode="External" Id="rId1132"/><Relationship Type="http://schemas.openxmlformats.org/officeDocument/2006/relationships/hyperlink" Target="https://nvd.nist.gov/vuln/detail/CVE-2026-25375" TargetMode="External" Id="rId1133"/><Relationship Type="http://schemas.openxmlformats.org/officeDocument/2006/relationships/hyperlink" Target="https://nvd.nist.gov/vuln/detail/CVE-2026-25375" TargetMode="External" Id="rId1134"/><Relationship Type="http://schemas.openxmlformats.org/officeDocument/2006/relationships/hyperlink" Target="https://nvd.nist.gov/vuln/detail/CVE-2026-25378" TargetMode="External" Id="rId1135"/><Relationship Type="http://schemas.openxmlformats.org/officeDocument/2006/relationships/hyperlink" Target="https://nvd.nist.gov/vuln/detail/CVE-2026-25378" TargetMode="External" Id="rId1136"/><Relationship Type="http://schemas.openxmlformats.org/officeDocument/2006/relationships/hyperlink" Target="https://nvd.nist.gov/vuln/detail/CVE-2026-25384" TargetMode="External" Id="rId1137"/><Relationship Type="http://schemas.openxmlformats.org/officeDocument/2006/relationships/hyperlink" Target="https://nvd.nist.gov/vuln/detail/CVE-2026-25384" TargetMode="External" Id="rId1138"/><Relationship Type="http://schemas.openxmlformats.org/officeDocument/2006/relationships/hyperlink" Target="https://nvd.nist.gov/vuln/detail/CVE-2026-25385" TargetMode="External" Id="rId1139"/><Relationship Type="http://schemas.openxmlformats.org/officeDocument/2006/relationships/hyperlink" Target="https://nvd.nist.gov/vuln/detail/CVE-2026-25385" TargetMode="External" Id="rId1140"/><Relationship Type="http://schemas.openxmlformats.org/officeDocument/2006/relationships/hyperlink" Target="https://nvd.nist.gov/vuln/detail/CVE-2026-25386" TargetMode="External" Id="rId1141"/><Relationship Type="http://schemas.openxmlformats.org/officeDocument/2006/relationships/hyperlink" Target="https://nvd.nist.gov/vuln/detail/CVE-2026-25386" TargetMode="External" Id="rId1142"/><Relationship Type="http://schemas.openxmlformats.org/officeDocument/2006/relationships/hyperlink" Target="https://nvd.nist.gov/vuln/detail/CVE-2026-25387" TargetMode="External" Id="rId1143"/><Relationship Type="http://schemas.openxmlformats.org/officeDocument/2006/relationships/hyperlink" Target="https://nvd.nist.gov/vuln/detail/CVE-2026-25387" TargetMode="External" Id="rId1144"/><Relationship Type="http://schemas.openxmlformats.org/officeDocument/2006/relationships/hyperlink" Target="https://nvd.nist.gov/vuln/detail/CVE-2026-25388" TargetMode="External" Id="rId1145"/><Relationship Type="http://schemas.openxmlformats.org/officeDocument/2006/relationships/hyperlink" Target="https://nvd.nist.gov/vuln/detail/CVE-2026-25388" TargetMode="External" Id="rId1146"/><Relationship Type="http://schemas.openxmlformats.org/officeDocument/2006/relationships/hyperlink" Target="https://nvd.nist.gov/vuln/detail/CVE-2026-25389" TargetMode="External" Id="rId1147"/><Relationship Type="http://schemas.openxmlformats.org/officeDocument/2006/relationships/hyperlink" Target="https://nvd.nist.gov/vuln/detail/CVE-2026-25389" TargetMode="External" Id="rId1148"/><Relationship Type="http://schemas.openxmlformats.org/officeDocument/2006/relationships/hyperlink" Target="https://nvd.nist.gov/vuln/detail/CVE-2026-25391" TargetMode="External" Id="rId1149"/><Relationship Type="http://schemas.openxmlformats.org/officeDocument/2006/relationships/hyperlink" Target="https://nvd.nist.gov/vuln/detail/CVE-2026-25391" TargetMode="External" Id="rId1150"/><Relationship Type="http://schemas.openxmlformats.org/officeDocument/2006/relationships/hyperlink" Target="https://nvd.nist.gov/vuln/detail/CVE-2026-25392" TargetMode="External" Id="rId1151"/><Relationship Type="http://schemas.openxmlformats.org/officeDocument/2006/relationships/hyperlink" Target="https://nvd.nist.gov/vuln/detail/CVE-2026-25392" TargetMode="External" Id="rId1152"/><Relationship Type="http://schemas.openxmlformats.org/officeDocument/2006/relationships/hyperlink" Target="https://nvd.nist.gov/vuln/detail/CVE-2026-25393" TargetMode="External" Id="rId1153"/><Relationship Type="http://schemas.openxmlformats.org/officeDocument/2006/relationships/hyperlink" Target="https://nvd.nist.gov/vuln/detail/CVE-2026-25393" TargetMode="External" Id="rId1154"/><Relationship Type="http://schemas.openxmlformats.org/officeDocument/2006/relationships/hyperlink" Target="https://nvd.nist.gov/vuln/detail/CVE-2026-25394" TargetMode="External" Id="rId1155"/><Relationship Type="http://schemas.openxmlformats.org/officeDocument/2006/relationships/hyperlink" Target="https://nvd.nist.gov/vuln/detail/CVE-2026-25394" TargetMode="External" Id="rId1156"/><Relationship Type="http://schemas.openxmlformats.org/officeDocument/2006/relationships/hyperlink" Target="https://nvd.nist.gov/vuln/detail/CVE-2026-25395" TargetMode="External" Id="rId1157"/><Relationship Type="http://schemas.openxmlformats.org/officeDocument/2006/relationships/hyperlink" Target="https://nvd.nist.gov/vuln/detail/CVE-2026-25395" TargetMode="External" Id="rId1158"/><Relationship Type="http://schemas.openxmlformats.org/officeDocument/2006/relationships/hyperlink" Target="https://nvd.nist.gov/vuln/detail/CVE-2026-25399" TargetMode="External" Id="rId1159"/><Relationship Type="http://schemas.openxmlformats.org/officeDocument/2006/relationships/hyperlink" Target="https://nvd.nist.gov/vuln/detail/CVE-2026-25399" TargetMode="External" Id="rId1160"/><Relationship Type="http://schemas.openxmlformats.org/officeDocument/2006/relationships/hyperlink" Target="https://nvd.nist.gov/vuln/detail/CVE-2026-25402" TargetMode="External" Id="rId1161"/><Relationship Type="http://schemas.openxmlformats.org/officeDocument/2006/relationships/hyperlink" Target="https://nvd.nist.gov/vuln/detail/CVE-2026-25402" TargetMode="External" Id="rId1162"/><Relationship Type="http://schemas.openxmlformats.org/officeDocument/2006/relationships/hyperlink" Target="https://nvd.nist.gov/vuln/detail/CVE-2026-25404" TargetMode="External" Id="rId1163"/><Relationship Type="http://schemas.openxmlformats.org/officeDocument/2006/relationships/hyperlink" Target="https://nvd.nist.gov/vuln/detail/CVE-2026-25404" TargetMode="External" Id="rId1164"/><Relationship Type="http://schemas.openxmlformats.org/officeDocument/2006/relationships/hyperlink" Target="https://nvd.nist.gov/vuln/detail/CVE-2026-25407" TargetMode="External" Id="rId1165"/><Relationship Type="http://schemas.openxmlformats.org/officeDocument/2006/relationships/hyperlink" Target="https://nvd.nist.gov/vuln/detail/CVE-2026-25407" TargetMode="External" Id="rId1166"/><Relationship Type="http://schemas.openxmlformats.org/officeDocument/2006/relationships/hyperlink" Target="https://nvd.nist.gov/vuln/detail/CVE-2026-25408" TargetMode="External" Id="rId1167"/><Relationship Type="http://schemas.openxmlformats.org/officeDocument/2006/relationships/hyperlink" Target="https://nvd.nist.gov/vuln/detail/CVE-2026-25408" TargetMode="External" Id="rId1168"/><Relationship Type="http://schemas.openxmlformats.org/officeDocument/2006/relationships/hyperlink" Target="https://nvd.nist.gov/vuln/detail/CVE-2026-25409" TargetMode="External" Id="rId1169"/><Relationship Type="http://schemas.openxmlformats.org/officeDocument/2006/relationships/hyperlink" Target="https://nvd.nist.gov/vuln/detail/CVE-2026-25409" TargetMode="External" Id="rId1170"/><Relationship Type="http://schemas.openxmlformats.org/officeDocument/2006/relationships/hyperlink" Target="https://nvd.nist.gov/vuln/detail/CVE-2026-25410" TargetMode="External" Id="rId1171"/><Relationship Type="http://schemas.openxmlformats.org/officeDocument/2006/relationships/hyperlink" Target="https://nvd.nist.gov/vuln/detail/CVE-2026-25410" TargetMode="External" Id="rId1172"/><Relationship Type="http://schemas.openxmlformats.org/officeDocument/2006/relationships/hyperlink" Target="https://nvd.nist.gov/vuln/detail/CVE-2026-25411" TargetMode="External" Id="rId1173"/><Relationship Type="http://schemas.openxmlformats.org/officeDocument/2006/relationships/hyperlink" Target="https://nvd.nist.gov/vuln/detail/CVE-2026-25411" TargetMode="External" Id="rId1174"/><Relationship Type="http://schemas.openxmlformats.org/officeDocument/2006/relationships/hyperlink" Target="https://nvd.nist.gov/vuln/detail/CVE-2026-25412" TargetMode="External" Id="rId1175"/><Relationship Type="http://schemas.openxmlformats.org/officeDocument/2006/relationships/hyperlink" Target="https://nvd.nist.gov/vuln/detail/CVE-2026-25412" TargetMode="External" Id="rId1176"/><Relationship Type="http://schemas.openxmlformats.org/officeDocument/2006/relationships/hyperlink" Target="https://nvd.nist.gov/vuln/detail/CVE-2026-25415" TargetMode="External" Id="rId1177"/><Relationship Type="http://schemas.openxmlformats.org/officeDocument/2006/relationships/hyperlink" Target="https://nvd.nist.gov/vuln/detail/CVE-2026-25415" TargetMode="External" Id="rId1178"/><Relationship Type="http://schemas.openxmlformats.org/officeDocument/2006/relationships/hyperlink" Target="https://nvd.nist.gov/vuln/detail/CVE-2026-25416" TargetMode="External" Id="rId1179"/><Relationship Type="http://schemas.openxmlformats.org/officeDocument/2006/relationships/hyperlink" Target="https://nvd.nist.gov/vuln/detail/CVE-2026-25416" TargetMode="External" Id="rId1180"/><Relationship Type="http://schemas.openxmlformats.org/officeDocument/2006/relationships/hyperlink" Target="https://nvd.nist.gov/vuln/detail/CVE-2026-25418" TargetMode="External" Id="rId1181"/><Relationship Type="http://schemas.openxmlformats.org/officeDocument/2006/relationships/hyperlink" Target="https://nvd.nist.gov/vuln/detail/CVE-2026-25418" TargetMode="External" Id="rId1182"/><Relationship Type="http://schemas.openxmlformats.org/officeDocument/2006/relationships/hyperlink" Target="https://nvd.nist.gov/vuln/detail/CVE-2026-25419" TargetMode="External" Id="rId1183"/><Relationship Type="http://schemas.openxmlformats.org/officeDocument/2006/relationships/hyperlink" Target="https://nvd.nist.gov/vuln/detail/CVE-2026-25419" TargetMode="External" Id="rId1184"/><Relationship Type="http://schemas.openxmlformats.org/officeDocument/2006/relationships/hyperlink" Target="https://nvd.nist.gov/vuln/detail/CVE-2026-25420" TargetMode="External" Id="rId1185"/><Relationship Type="http://schemas.openxmlformats.org/officeDocument/2006/relationships/hyperlink" Target="https://nvd.nist.gov/vuln/detail/CVE-2026-25420" TargetMode="External" Id="rId1186"/><Relationship Type="http://schemas.openxmlformats.org/officeDocument/2006/relationships/hyperlink" Target="https://nvd.nist.gov/vuln/detail/CVE-2026-25422" TargetMode="External" Id="rId1187"/><Relationship Type="http://schemas.openxmlformats.org/officeDocument/2006/relationships/hyperlink" Target="https://nvd.nist.gov/vuln/detail/CVE-2026-25422" TargetMode="External" Id="rId1188"/><Relationship Type="http://schemas.openxmlformats.org/officeDocument/2006/relationships/hyperlink" Target="https://nvd.nist.gov/vuln/detail/CVE-2026-25423" TargetMode="External" Id="rId1189"/><Relationship Type="http://schemas.openxmlformats.org/officeDocument/2006/relationships/hyperlink" Target="https://nvd.nist.gov/vuln/detail/CVE-2026-25423" TargetMode="External" Id="rId1190"/><Relationship Type="http://schemas.openxmlformats.org/officeDocument/2006/relationships/hyperlink" Target="https://nvd.nist.gov/vuln/detail/CVE-2026-25428" TargetMode="External" Id="rId1191"/><Relationship Type="http://schemas.openxmlformats.org/officeDocument/2006/relationships/hyperlink" Target="https://nvd.nist.gov/vuln/detail/CVE-2026-25428" TargetMode="External" Id="rId1192"/><Relationship Type="http://schemas.openxmlformats.org/officeDocument/2006/relationships/hyperlink" Target="https://nvd.nist.gov/vuln/detail/CVE-2026-25432" TargetMode="External" Id="rId1193"/><Relationship Type="http://schemas.openxmlformats.org/officeDocument/2006/relationships/hyperlink" Target="https://nvd.nist.gov/vuln/detail/CVE-2026-25432" TargetMode="External" Id="rId1194"/><Relationship Type="http://schemas.openxmlformats.org/officeDocument/2006/relationships/hyperlink" Target="https://nvd.nist.gov/vuln/detail/CVE-2026-25441" TargetMode="External" Id="rId1195"/><Relationship Type="http://schemas.openxmlformats.org/officeDocument/2006/relationships/hyperlink" Target="https://nvd.nist.gov/vuln/detail/CVE-2026-25441" TargetMode="External" Id="rId1196"/><Relationship Type="http://schemas.openxmlformats.org/officeDocument/2006/relationships/hyperlink" Target="https://nvd.nist.gov/vuln/detail/CVE-2026-25451" TargetMode="External" Id="rId1197"/><Relationship Type="http://schemas.openxmlformats.org/officeDocument/2006/relationships/hyperlink" Target="https://nvd.nist.gov/vuln/detail/CVE-2026-25451" TargetMode="External" Id="rId1198"/><Relationship Type="http://schemas.openxmlformats.org/officeDocument/2006/relationships/hyperlink" Target="https://nvd.nist.gov/vuln/detail/CVE-2026-25453" TargetMode="External" Id="rId1199"/><Relationship Type="http://schemas.openxmlformats.org/officeDocument/2006/relationships/hyperlink" Target="https://nvd.nist.gov/vuln/detail/CVE-2026-25453" TargetMode="External" Id="rId1200"/><Relationship Type="http://schemas.openxmlformats.org/officeDocument/2006/relationships/hyperlink" Target="https://nvd.nist.gov/vuln/detail/CVE-2026-25459" TargetMode="External" Id="rId1201"/><Relationship Type="http://schemas.openxmlformats.org/officeDocument/2006/relationships/hyperlink" Target="https://nvd.nist.gov/vuln/detail/CVE-2026-25459" TargetMode="External" Id="rId1202"/><Relationship Type="http://schemas.openxmlformats.org/officeDocument/2006/relationships/hyperlink" Target="https://nvd.nist.gov/vuln/detail/CVE-2026-25463" TargetMode="External" Id="rId1203"/><Relationship Type="http://schemas.openxmlformats.org/officeDocument/2006/relationships/hyperlink" Target="https://nvd.nist.gov/vuln/detail/CVE-2026-25463" TargetMode="External" Id="rId1204"/><Relationship Type="http://schemas.openxmlformats.org/officeDocument/2006/relationships/hyperlink" Target="https://nvd.nist.gov/vuln/detail/CVE-2026-25472" TargetMode="External" Id="rId1205"/><Relationship Type="http://schemas.openxmlformats.org/officeDocument/2006/relationships/hyperlink" Target="https://nvd.nist.gov/vuln/detail/CVE-2026-25472" TargetMode="External" Id="rId1206"/><Relationship Type="http://schemas.openxmlformats.org/officeDocument/2006/relationships/hyperlink" Target="https://nvd.nist.gov/vuln/detail/CVE-2026-25473" TargetMode="External" Id="rId1207"/><Relationship Type="http://schemas.openxmlformats.org/officeDocument/2006/relationships/hyperlink" Target="https://nvd.nist.gov/vuln/detail/CVE-2026-25473" TargetMode="External" Id="rId1208"/><Relationship Type="http://schemas.openxmlformats.org/officeDocument/2006/relationships/hyperlink" Target="https://nvd.nist.gov/vuln/detail/CVE-2026-26358" TargetMode="External" Id="rId1209"/><Relationship Type="http://schemas.openxmlformats.org/officeDocument/2006/relationships/hyperlink" Target="https://www.dell.com/support/kbdoc/en-us/000429268/dsa-2026-102-dell-unisphere-for-powermax-and-powermax-eem-security-update-for-multiple-vulnerabilities" TargetMode="External" Id="rId1210"/><Relationship Type="http://schemas.openxmlformats.org/officeDocument/2006/relationships/hyperlink" Target="https://nvd.nist.gov/vuln/detail/CVE-2026-26358" TargetMode="External" Id="rId1211"/><Relationship Type="http://schemas.openxmlformats.org/officeDocument/2006/relationships/hyperlink" Target="https://nvd.nist.gov/vuln/detail/CVE-2026-26359" TargetMode="External" Id="rId1212"/><Relationship Type="http://schemas.openxmlformats.org/officeDocument/2006/relationships/hyperlink" Target="https://www.dell.com/support/kbdoc/en-us/000429268/dsa-2026-102-dell-unisphere-for-powermax-and-powermax-eem-security-update-for-multiple-vulnerabilities" TargetMode="External" Id="rId1213"/><Relationship Type="http://schemas.openxmlformats.org/officeDocument/2006/relationships/hyperlink" Target="https://nvd.nist.gov/vuln/detail/CVE-2026-26359" TargetMode="External" Id="rId1214"/><Relationship Type="http://schemas.openxmlformats.org/officeDocument/2006/relationships/hyperlink" Target="https://nvd.nist.gov/vuln/detail/CVE-2026-26360" TargetMode="External" Id="rId1215"/><Relationship Type="http://schemas.openxmlformats.org/officeDocument/2006/relationships/hyperlink" Target="https://www.dell.com/support/kbdoc/en-us/000429268/dsa-2026-102-dell-unisphere-for-powermax-and-powermax-eem-security-update-for-multiple-vulnerabilities" TargetMode="External" Id="rId1216"/><Relationship Type="http://schemas.openxmlformats.org/officeDocument/2006/relationships/hyperlink" Target="https://nvd.nist.gov/vuln/detail/CVE-2026-26360" TargetMode="External" Id="rId1217"/><Relationship Type="http://schemas.openxmlformats.org/officeDocument/2006/relationships/hyperlink" Target="https://nvd.nist.gov/vuln/detail/CVE-2026-26361" TargetMode="External" Id="rId1218"/><Relationship Type="http://schemas.openxmlformats.org/officeDocument/2006/relationships/hyperlink" Target="https://www.dell.com/support/kbdoc/en-us/000429268/dsa-2026-102-dell-unisphere-for-powermax-and-powermax-eem-security-update-for-multiple-vulnerabilities" TargetMode="External" Id="rId1219"/><Relationship Type="http://schemas.openxmlformats.org/officeDocument/2006/relationships/hyperlink" Target="https://nvd.nist.gov/vuln/detail/CVE-2026-26361" TargetMode="External" Id="rId1220"/><Relationship Type="http://schemas.openxmlformats.org/officeDocument/2006/relationships/hyperlink" Target="https://nvd.nist.gov/vuln/detail/CVE-2026-26362" TargetMode="External" Id="rId1221"/><Relationship Type="http://schemas.openxmlformats.org/officeDocument/2006/relationships/hyperlink" Target="https://www.dell.com/support/kbdoc/en-us/000429268/dsa-2026-102-dell-unisphere-for-powermax-and-powermax-eem-security-update-for-multiple-vulnerabilities" TargetMode="External" Id="rId1222"/><Relationship Type="http://schemas.openxmlformats.org/officeDocument/2006/relationships/hyperlink" Target="https://nvd.nist.gov/vuln/detail/CVE-2026-26362" TargetMode="External" Id="rId1223"/><Relationship Type="http://schemas.openxmlformats.org/officeDocument/2006/relationships/hyperlink" Target="https://nvd.nist.gov/vuln/detail/CVE-2026-27042" TargetMode="External" Id="rId1224"/><Relationship Type="http://schemas.openxmlformats.org/officeDocument/2006/relationships/hyperlink" Target="https://nvd.nist.gov/vuln/detail/CVE-2026-27042" TargetMode="External" Id="rId1225"/><Relationship Type="http://schemas.openxmlformats.org/officeDocument/2006/relationships/hyperlink" Target="https://nvd.nist.gov/vuln/detail/CVE-2026-27050" TargetMode="External" Id="rId1226"/><Relationship Type="http://schemas.openxmlformats.org/officeDocument/2006/relationships/hyperlink" Target="https://nvd.nist.gov/vuln/detail/CVE-2026-27050" TargetMode="External" Id="rId1227"/><Relationship Type="http://schemas.openxmlformats.org/officeDocument/2006/relationships/hyperlink" Target="https://nvd.nist.gov/vuln/detail/CVE-2026-27052" TargetMode="External" Id="rId1228"/><Relationship Type="http://schemas.openxmlformats.org/officeDocument/2006/relationships/hyperlink" Target="https://nvd.nist.gov/vuln/detail/CVE-2026-27052" TargetMode="External" Id="rId1229"/><Relationship Type="http://schemas.openxmlformats.org/officeDocument/2006/relationships/hyperlink" Target="https://nvd.nist.gov/vuln/detail/CVE-2026-27055" TargetMode="External" Id="rId1230"/><Relationship Type="http://schemas.openxmlformats.org/officeDocument/2006/relationships/hyperlink" Target="https://nvd.nist.gov/vuln/detail/CVE-2026-27055" TargetMode="External" Id="rId1231"/><Relationship Type="http://schemas.openxmlformats.org/officeDocument/2006/relationships/hyperlink" Target="https://nvd.nist.gov/vuln/detail/CVE-2026-27056" TargetMode="External" Id="rId1232"/><Relationship Type="http://schemas.openxmlformats.org/officeDocument/2006/relationships/hyperlink" Target="https://nvd.nist.gov/vuln/detail/CVE-2026-27056" TargetMode="External" Id="rId1233"/><Relationship Type="http://schemas.openxmlformats.org/officeDocument/2006/relationships/hyperlink" Target="https://nvd.nist.gov/vuln/detail/CVE-2026-27057" TargetMode="External" Id="rId1234"/><Relationship Type="http://schemas.openxmlformats.org/officeDocument/2006/relationships/hyperlink" Target="https://nvd.nist.gov/vuln/detail/CVE-2026-27057" TargetMode="External" Id="rId1235"/><Relationship Type="http://schemas.openxmlformats.org/officeDocument/2006/relationships/hyperlink" Target="https://nvd.nist.gov/vuln/detail/CVE-2026-27058" TargetMode="External" Id="rId1236"/><Relationship Type="http://schemas.openxmlformats.org/officeDocument/2006/relationships/hyperlink" Target="https://nvd.nist.gov/vuln/detail/CVE-2026-27058" TargetMode="External" Id="rId1237"/><Relationship Type="http://schemas.openxmlformats.org/officeDocument/2006/relationships/hyperlink" Target="https://nvd.nist.gov/vuln/detail/CVE-2026-27059" TargetMode="External" Id="rId1238"/><Relationship Type="http://schemas.openxmlformats.org/officeDocument/2006/relationships/hyperlink" Target="https://nvd.nist.gov/vuln/detail/CVE-2026-27059" TargetMode="External" Id="rId1239"/><Relationship Type="http://schemas.openxmlformats.org/officeDocument/2006/relationships/hyperlink" Target="https://nvd.nist.gov/vuln/detail/CVE-2026-27066" TargetMode="External" Id="rId1240"/><Relationship Type="http://schemas.openxmlformats.org/officeDocument/2006/relationships/hyperlink" Target="https://nvd.nist.gov/vuln/detail/CVE-2026-27066" TargetMode="External" Id="rId1241"/><Relationship Type="http://schemas.openxmlformats.org/officeDocument/2006/relationships/hyperlink" Target="https://nvd.nist.gov/vuln/detail/CVE-2026-27069" TargetMode="External" Id="rId1242"/><Relationship Type="http://schemas.openxmlformats.org/officeDocument/2006/relationships/hyperlink" Target="https://nvd.nist.gov/vuln/detail/CVE-2026-27069" TargetMode="External" Id="rId1243"/><Relationship Type="http://schemas.openxmlformats.org/officeDocument/2006/relationships/hyperlink" Target="https://nvd.nist.gov/vuln/detail/CVE-2026-27074" TargetMode="External" Id="rId1244"/><Relationship Type="http://schemas.openxmlformats.org/officeDocument/2006/relationships/hyperlink" Target="https://nvd.nist.gov/vuln/detail/CVE-2026-27074" TargetMode="External" Id="rId1245"/><Relationship Type="http://schemas.openxmlformats.org/officeDocument/2006/relationships/hyperlink" Target="https://nvd.nist.gov/vuln/detail/CVE-2026-27090" TargetMode="External" Id="rId1246"/><Relationship Type="http://schemas.openxmlformats.org/officeDocument/2006/relationships/hyperlink" Target="https://nvd.nist.gov/vuln/detail/CVE-2026-27090" TargetMode="External" Id="rId1247"/><Relationship Type="http://schemas.openxmlformats.org/officeDocument/2006/relationships/hyperlink" Target="https://nvd.nist.gov/vuln/detail/CVE-2026-27092" TargetMode="External" Id="rId1248"/><Relationship Type="http://schemas.openxmlformats.org/officeDocument/2006/relationships/hyperlink" Target="https://nvd.nist.gov/vuln/detail/CVE-2026-27092" TargetMode="External" Id="rId1249"/><Relationship Type="http://schemas.openxmlformats.org/officeDocument/2006/relationships/hyperlink" Target="https://nvd.nist.gov/vuln/detail/CVE-2026-27094" TargetMode="External" Id="rId1250"/><Relationship Type="http://schemas.openxmlformats.org/officeDocument/2006/relationships/hyperlink" Target="https://nvd.nist.gov/vuln/detail/CVE-2026-27094" TargetMode="External" Id="rId1251"/><Relationship Type="http://schemas.openxmlformats.org/officeDocument/2006/relationships/hyperlink" Target="https://nvd.nist.gov/vuln/detail/CVE-2026-2735" TargetMode="External" Id="rId1252"/><Relationship Type="http://schemas.openxmlformats.org/officeDocument/2006/relationships/hyperlink" Target="https://nvd.nist.gov/vuln/detail/CVE-2026-2735" TargetMode="External" Id="rId1253"/><Relationship Type="http://schemas.openxmlformats.org/officeDocument/2006/relationships/hyperlink" Target="https://nvd.nist.gov/vuln/detail/CVE-2026-2736" TargetMode="External" Id="rId1254"/><Relationship Type="http://schemas.openxmlformats.org/officeDocument/2006/relationships/hyperlink" Target="https://nvd.nist.gov/vuln/detail/CVE-2026-2736" TargetMode="External" Id="rId1255"/><Relationship Type="http://schemas.openxmlformats.org/officeDocument/2006/relationships/hyperlink" Target="https://nvd.nist.gov/vuln/detail/CVE-2025-12107" TargetMode="External" Id="rId1256"/><Relationship Type="http://schemas.openxmlformats.org/officeDocument/2006/relationships/hyperlink" Target="https://security.docs.wso2.com/en/latest/security-announcements/security-advisories/2026/WSO2-2025-4517/" TargetMode="External" Id="rId1257"/><Relationship Type="http://schemas.openxmlformats.org/officeDocument/2006/relationships/hyperlink" Target="https://nvd.nist.gov/vuln/detail/CVE-2025-12107" TargetMode="External" Id="rId1258"/><Relationship Type="http://schemas.openxmlformats.org/officeDocument/2006/relationships/hyperlink" Target="https://nvd.nist.gov/vuln/detail/CVE-2025-13590" TargetMode="External" Id="rId1259"/><Relationship Type="http://schemas.openxmlformats.org/officeDocument/2006/relationships/hyperlink" Target="https://security.docs.wso2.com/en/latest/security-announcements/security-advisories/2026/WSO2-2025-4849/" TargetMode="External" Id="rId1260"/><Relationship Type="http://schemas.openxmlformats.org/officeDocument/2006/relationships/hyperlink" Target="https://nvd.nist.gov/vuln/detail/CVE-2025-13590" TargetMode="External" Id="rId1261"/><Relationship Type="http://schemas.openxmlformats.org/officeDocument/2006/relationships/hyperlink" Target="https://nvd.nist.gov/vuln/detail/CVE-2026-1219" TargetMode="External" Id="rId1262"/><Relationship Type="http://schemas.openxmlformats.org/officeDocument/2006/relationships/hyperlink" Target="https://nvd.nist.gov/vuln/detail/CVE-2026-1219" TargetMode="External" Id="rId1263"/><Relationship Type="http://schemas.openxmlformats.org/officeDocument/2006/relationships/hyperlink" Target="https://nvd.nist.gov/vuln/detail/CVE-2026-1461" TargetMode="External" Id="rId1264"/><Relationship Type="http://schemas.openxmlformats.org/officeDocument/2006/relationships/hyperlink" Target="https://nvd.nist.gov/vuln/detail/CVE-2026-1461" TargetMode="External" Id="rId1265"/><Relationship Type="http://schemas.openxmlformats.org/officeDocument/2006/relationships/hyperlink" Target="https://nvd.nist.gov/vuln/detail/CVE-2026-22266" TargetMode="External" Id="rId1266"/><Relationship Type="http://schemas.openxmlformats.org/officeDocument/2006/relationships/hyperlink" Target="https://www.dell.com/support/kbdoc/en-us/000429778/dsa-2026-046-security-update-for-dell-powerprotect-data-manager-multiple-vulnerabilities" TargetMode="External" Id="rId1267"/><Relationship Type="http://schemas.openxmlformats.org/officeDocument/2006/relationships/hyperlink" Target="https://nvd.nist.gov/vuln/detail/CVE-2026-22266" TargetMode="External" Id="rId1268"/><Relationship Type="http://schemas.openxmlformats.org/officeDocument/2006/relationships/hyperlink" Target="https://nvd.nist.gov/vuln/detail/CVE-2026-22267" TargetMode="External" Id="rId1269"/><Relationship Type="http://schemas.openxmlformats.org/officeDocument/2006/relationships/hyperlink" Target="https://www.dell.com/support/kbdoc/en-us/000429778/dsa-2026-046-security-update-for-dell-powerprotect-data-manager-multiple-vulnerabilities" TargetMode="External" Id="rId1270"/><Relationship Type="http://schemas.openxmlformats.org/officeDocument/2006/relationships/hyperlink" Target="https://nvd.nist.gov/vuln/detail/CVE-2026-22267" TargetMode="External" Id="rId1271"/><Relationship Type="http://schemas.openxmlformats.org/officeDocument/2006/relationships/hyperlink" Target="https://nvd.nist.gov/vuln/detail/CVE-2026-22268" TargetMode="External" Id="rId1272"/><Relationship Type="http://schemas.openxmlformats.org/officeDocument/2006/relationships/hyperlink" Target="https://www.dell.com/support/kbdoc/en-us/000429778/dsa-2026-046-security-update-for-dell-powerprotect-data-manager-multiple-vulnerabilities" TargetMode="External" Id="rId1273"/><Relationship Type="http://schemas.openxmlformats.org/officeDocument/2006/relationships/hyperlink" Target="https://nvd.nist.gov/vuln/detail/CVE-2026-22268" TargetMode="External" Id="rId1274"/><Relationship Type="http://schemas.openxmlformats.org/officeDocument/2006/relationships/hyperlink" Target="https://nvd.nist.gov/vuln/detail/CVE-2026-2716" TargetMode="External" Id="rId1275"/><Relationship Type="http://schemas.openxmlformats.org/officeDocument/2006/relationships/hyperlink" Target="https://nvd.nist.gov/vuln/detail/CVE-2026-2716" TargetMode="External" Id="rId1276"/><Relationship Type="http://schemas.openxmlformats.org/officeDocument/2006/relationships/hyperlink" Target="https://nvd.nist.gov/vuln/detail/CVE-2026-2718" TargetMode="External" Id="rId1277"/><Relationship Type="http://schemas.openxmlformats.org/officeDocument/2006/relationships/hyperlink" Target="https://nvd.nist.gov/vuln/detail/CVE-2026-2718" TargetMode="External" Id="rId1278"/><Relationship Type="http://schemas.openxmlformats.org/officeDocument/2006/relationships/hyperlink" Target="https://nvd.nist.gov/vuln/detail/CVE-2025-15559" TargetMode="External" Id="rId1279"/><Relationship Type="http://schemas.openxmlformats.org/officeDocument/2006/relationships/hyperlink" Target="https://nvd.nist.gov/vuln/detail/CVE-2025-15559" TargetMode="External" Id="rId1280"/><Relationship Type="http://schemas.openxmlformats.org/officeDocument/2006/relationships/hyperlink" Target="https://nvd.nist.gov/vuln/detail/CVE-2025-15560" TargetMode="External" Id="rId1281"/><Relationship Type="http://schemas.openxmlformats.org/officeDocument/2006/relationships/hyperlink" Target="https://nvd.nist.gov/vuln/detail/CVE-2025-15560" TargetMode="External" Id="rId1282"/><Relationship Type="http://schemas.openxmlformats.org/officeDocument/2006/relationships/hyperlink" Target="https://nvd.nist.gov/vuln/detail/CVE-2025-15561" TargetMode="External" Id="rId1283"/><Relationship Type="http://schemas.openxmlformats.org/officeDocument/2006/relationships/hyperlink" Target="https://nvd.nist.gov/vuln/detail/CVE-2025-15561" TargetMode="External" Id="rId1284"/><Relationship Type="http://schemas.openxmlformats.org/officeDocument/2006/relationships/hyperlink" Target="https://nvd.nist.gov/vuln/detail/CVE-2025-15562" TargetMode="External" Id="rId1285"/><Relationship Type="http://schemas.openxmlformats.org/officeDocument/2006/relationships/hyperlink" Target="https://nvd.nist.gov/vuln/detail/CVE-2025-15562" TargetMode="External" Id="rId1286"/><Relationship Type="http://schemas.openxmlformats.org/officeDocument/2006/relationships/hyperlink" Target="https://nvd.nist.gov/vuln/detail/CVE-2025-15563" TargetMode="External" Id="rId1287"/><Relationship Type="http://schemas.openxmlformats.org/officeDocument/2006/relationships/hyperlink" Target="https://nvd.nist.gov/vuln/detail/CVE-2025-15563" TargetMode="External" Id="rId1288"/><Relationship Type="http://schemas.openxmlformats.org/officeDocument/2006/relationships/hyperlink" Target="https://nvd.nist.gov/vuln/detail/CVE-2025-9062" TargetMode="External" Id="rId1289"/><Relationship Type="http://schemas.openxmlformats.org/officeDocument/2006/relationships/hyperlink" Target="https://nvd.nist.gov/vuln/detail/CVE-2025-9062" TargetMode="External" Id="rId1290"/><Relationship Type="http://schemas.openxmlformats.org/officeDocument/2006/relationships/hyperlink" Target="https://nvd.nist.gov/vuln/detail/CVE-2025-8350" TargetMode="External" Id="rId1291"/><Relationship Type="http://schemas.openxmlformats.org/officeDocument/2006/relationships/hyperlink" Target="https://nvd.nist.gov/vuln/detail/CVE-2025-8350" TargetMode="External" Id="rId1292"/><Relationship Type="http://schemas.openxmlformats.org/officeDocument/2006/relationships/hyperlink" Target="https://nvd.nist.gov/vuln/detail/CVE-2025-9953" TargetMode="External" Id="rId1293"/><Relationship Type="http://schemas.openxmlformats.org/officeDocument/2006/relationships/hyperlink" Target="https://nvd.nist.gov/vuln/detail/CVE-2025-9953" TargetMode="External" Id="rId1294"/><Relationship Type="http://schemas.openxmlformats.org/officeDocument/2006/relationships/hyperlink" Target="https://nvd.nist.gov/vuln/detail/CVE-2019-25402" TargetMode="External" Id="rId1295"/><Relationship Type="http://schemas.openxmlformats.org/officeDocument/2006/relationships/hyperlink" Target="https://nvd.nist.gov/vuln/detail/CVE-2019-25402" TargetMode="External" Id="rId1296"/><Relationship Type="http://schemas.openxmlformats.org/officeDocument/2006/relationships/hyperlink" Target="https://nvd.nist.gov/vuln/detail/CVE-2019-25403" TargetMode="External" Id="rId1297"/><Relationship Type="http://schemas.openxmlformats.org/officeDocument/2006/relationships/hyperlink" Target="https://nvd.nist.gov/vuln/detail/CVE-2019-25403" TargetMode="External" Id="rId1298"/><Relationship Type="http://schemas.openxmlformats.org/officeDocument/2006/relationships/hyperlink" Target="https://nvd.nist.gov/vuln/detail/CVE-2019-25404" TargetMode="External" Id="rId1299"/><Relationship Type="http://schemas.openxmlformats.org/officeDocument/2006/relationships/hyperlink" Target="https://nvd.nist.gov/vuln/detail/CVE-2019-25404" TargetMode="External" Id="rId1300"/><Relationship Type="http://schemas.openxmlformats.org/officeDocument/2006/relationships/hyperlink" Target="https://nvd.nist.gov/vuln/detail/CVE-2019-25405" TargetMode="External" Id="rId1301"/><Relationship Type="http://schemas.openxmlformats.org/officeDocument/2006/relationships/hyperlink" Target="https://nvd.nist.gov/vuln/detail/CVE-2019-25405" TargetMode="External" Id="rId1302"/><Relationship Type="http://schemas.openxmlformats.org/officeDocument/2006/relationships/hyperlink" Target="https://nvd.nist.gov/vuln/detail/CVE-2019-25406" TargetMode="External" Id="rId1303"/><Relationship Type="http://schemas.openxmlformats.org/officeDocument/2006/relationships/hyperlink" Target="https://nvd.nist.gov/vuln/detail/CVE-2019-25406" TargetMode="External" Id="rId1304"/><Relationship Type="http://schemas.openxmlformats.org/officeDocument/2006/relationships/hyperlink" Target="https://nvd.nist.gov/vuln/detail/CVE-2019-25407" TargetMode="External" Id="rId1305"/><Relationship Type="http://schemas.openxmlformats.org/officeDocument/2006/relationships/hyperlink" Target="https://nvd.nist.gov/vuln/detail/CVE-2019-25407" TargetMode="External" Id="rId1306"/><Relationship Type="http://schemas.openxmlformats.org/officeDocument/2006/relationships/hyperlink" Target="https://nvd.nist.gov/vuln/detail/CVE-2019-25408" TargetMode="External" Id="rId1307"/><Relationship Type="http://schemas.openxmlformats.org/officeDocument/2006/relationships/hyperlink" Target="https://nvd.nist.gov/vuln/detail/CVE-2019-25408" TargetMode="External" Id="rId1308"/><Relationship Type="http://schemas.openxmlformats.org/officeDocument/2006/relationships/hyperlink" Target="https://nvd.nist.gov/vuln/detail/CVE-2019-25409" TargetMode="External" Id="rId1309"/><Relationship Type="http://schemas.openxmlformats.org/officeDocument/2006/relationships/hyperlink" Target="https://nvd.nist.gov/vuln/detail/CVE-2019-25409" TargetMode="External" Id="rId1310"/><Relationship Type="http://schemas.openxmlformats.org/officeDocument/2006/relationships/hyperlink" Target="https://nvd.nist.gov/vuln/detail/CVE-2019-25410" TargetMode="External" Id="rId1311"/><Relationship Type="http://schemas.openxmlformats.org/officeDocument/2006/relationships/hyperlink" Target="https://nvd.nist.gov/vuln/detail/CVE-2019-25410" TargetMode="External" Id="rId1312"/><Relationship Type="http://schemas.openxmlformats.org/officeDocument/2006/relationships/hyperlink" Target="https://nvd.nist.gov/vuln/detail/CVE-2019-25411" TargetMode="External" Id="rId1313"/><Relationship Type="http://schemas.openxmlformats.org/officeDocument/2006/relationships/hyperlink" Target="https://nvd.nist.gov/vuln/detail/CVE-2019-25411" TargetMode="External" Id="rId1314"/><Relationship Type="http://schemas.openxmlformats.org/officeDocument/2006/relationships/hyperlink" Target="https://nvd.nist.gov/vuln/detail/CVE-2019-25412" TargetMode="External" Id="rId1315"/><Relationship Type="http://schemas.openxmlformats.org/officeDocument/2006/relationships/hyperlink" Target="https://nvd.nist.gov/vuln/detail/CVE-2019-25412" TargetMode="External" Id="rId1316"/><Relationship Type="http://schemas.openxmlformats.org/officeDocument/2006/relationships/hyperlink" Target="https://nvd.nist.gov/vuln/detail/CVE-2019-25413" TargetMode="External" Id="rId1317"/><Relationship Type="http://schemas.openxmlformats.org/officeDocument/2006/relationships/hyperlink" Target="https://nvd.nist.gov/vuln/detail/CVE-2019-25413" TargetMode="External" Id="rId1318"/><Relationship Type="http://schemas.openxmlformats.org/officeDocument/2006/relationships/hyperlink" Target="https://nvd.nist.gov/vuln/detail/CVE-2019-25414" TargetMode="External" Id="rId1319"/><Relationship Type="http://schemas.openxmlformats.org/officeDocument/2006/relationships/hyperlink" Target="https://nvd.nist.gov/vuln/detail/CVE-2019-25414" TargetMode="External" Id="rId1320"/><Relationship Type="http://schemas.openxmlformats.org/officeDocument/2006/relationships/hyperlink" Target="https://nvd.nist.gov/vuln/detail/CVE-2019-25415" TargetMode="External" Id="rId1321"/><Relationship Type="http://schemas.openxmlformats.org/officeDocument/2006/relationships/hyperlink" Target="https://nvd.nist.gov/vuln/detail/CVE-2019-25415" TargetMode="External" Id="rId1322"/><Relationship Type="http://schemas.openxmlformats.org/officeDocument/2006/relationships/hyperlink" Target="https://nvd.nist.gov/vuln/detail/CVE-2019-25416" TargetMode="External" Id="rId1323"/><Relationship Type="http://schemas.openxmlformats.org/officeDocument/2006/relationships/hyperlink" Target="https://nvd.nist.gov/vuln/detail/CVE-2019-25416" TargetMode="External" Id="rId1324"/><Relationship Type="http://schemas.openxmlformats.org/officeDocument/2006/relationships/hyperlink" Target="https://nvd.nist.gov/vuln/detail/CVE-2019-25417" TargetMode="External" Id="rId1325"/><Relationship Type="http://schemas.openxmlformats.org/officeDocument/2006/relationships/hyperlink" Target="https://nvd.nist.gov/vuln/detail/CVE-2019-25417" TargetMode="External" Id="rId1326"/><Relationship Type="http://schemas.openxmlformats.org/officeDocument/2006/relationships/hyperlink" Target="https://nvd.nist.gov/vuln/detail/CVE-2019-25418" TargetMode="External" Id="rId1327"/><Relationship Type="http://schemas.openxmlformats.org/officeDocument/2006/relationships/hyperlink" Target="https://nvd.nist.gov/vuln/detail/CVE-2019-25418" TargetMode="External" Id="rId1328"/><Relationship Type="http://schemas.openxmlformats.org/officeDocument/2006/relationships/hyperlink" Target="https://nvd.nist.gov/vuln/detail/CVE-2019-25419" TargetMode="External" Id="rId1329"/><Relationship Type="http://schemas.openxmlformats.org/officeDocument/2006/relationships/hyperlink" Target="https://nvd.nist.gov/vuln/detail/CVE-2019-25419" TargetMode="External" Id="rId1330"/><Relationship Type="http://schemas.openxmlformats.org/officeDocument/2006/relationships/hyperlink" Target="https://nvd.nist.gov/vuln/detail/CVE-2019-25420" TargetMode="External" Id="rId1331"/><Relationship Type="http://schemas.openxmlformats.org/officeDocument/2006/relationships/hyperlink" Target="https://nvd.nist.gov/vuln/detail/CVE-2019-25420" TargetMode="External" Id="rId1332"/><Relationship Type="http://schemas.openxmlformats.org/officeDocument/2006/relationships/hyperlink" Target="https://nvd.nist.gov/vuln/detail/CVE-2019-25421" TargetMode="External" Id="rId1333"/><Relationship Type="http://schemas.openxmlformats.org/officeDocument/2006/relationships/hyperlink" Target="https://nvd.nist.gov/vuln/detail/CVE-2019-25421" TargetMode="External" Id="rId1334"/><Relationship Type="http://schemas.openxmlformats.org/officeDocument/2006/relationships/hyperlink" Target="https://nvd.nist.gov/vuln/detail/CVE-2019-25422" TargetMode="External" Id="rId1335"/><Relationship Type="http://schemas.openxmlformats.org/officeDocument/2006/relationships/hyperlink" Target="https://nvd.nist.gov/vuln/detail/CVE-2019-25422" TargetMode="External" Id="rId1336"/><Relationship Type="http://schemas.openxmlformats.org/officeDocument/2006/relationships/hyperlink" Target="https://nvd.nist.gov/vuln/detail/CVE-2019-25423" TargetMode="External" Id="rId1337"/><Relationship Type="http://schemas.openxmlformats.org/officeDocument/2006/relationships/hyperlink" Target="https://nvd.nist.gov/vuln/detail/CVE-2019-25423" TargetMode="External" Id="rId1338"/><Relationship Type="http://schemas.openxmlformats.org/officeDocument/2006/relationships/hyperlink" Target="https://nvd.nist.gov/vuln/detail/CVE-2019-25424" TargetMode="External" Id="rId1339"/><Relationship Type="http://schemas.openxmlformats.org/officeDocument/2006/relationships/hyperlink" Target="https://nvd.nist.gov/vuln/detail/CVE-2019-25424" TargetMode="External" Id="rId1340"/><Relationship Type="http://schemas.openxmlformats.org/officeDocument/2006/relationships/hyperlink" Target="https://nvd.nist.gov/vuln/detail/CVE-2019-25425" TargetMode="External" Id="rId1341"/><Relationship Type="http://schemas.openxmlformats.org/officeDocument/2006/relationships/hyperlink" Target="https://nvd.nist.gov/vuln/detail/CVE-2019-25425" TargetMode="External" Id="rId1342"/><Relationship Type="http://schemas.openxmlformats.org/officeDocument/2006/relationships/hyperlink" Target="https://nvd.nist.gov/vuln/detail/CVE-2019-25426" TargetMode="External" Id="rId1343"/><Relationship Type="http://schemas.openxmlformats.org/officeDocument/2006/relationships/hyperlink" Target="https://nvd.nist.gov/vuln/detail/CVE-2019-25426" TargetMode="External" Id="rId1344"/><Relationship Type="http://schemas.openxmlformats.org/officeDocument/2006/relationships/hyperlink" Target="https://nvd.nist.gov/vuln/detail/CVE-2019-25427" TargetMode="External" Id="rId1345"/><Relationship Type="http://schemas.openxmlformats.org/officeDocument/2006/relationships/hyperlink" Target="https://nvd.nist.gov/vuln/detail/CVE-2019-25427" TargetMode="External" Id="rId1346"/><Relationship Type="http://schemas.openxmlformats.org/officeDocument/2006/relationships/hyperlink" Target="https://nvd.nist.gov/vuln/detail/CVE-2019-25428" TargetMode="External" Id="rId1347"/><Relationship Type="http://schemas.openxmlformats.org/officeDocument/2006/relationships/hyperlink" Target="https://nvd.nist.gov/vuln/detail/CVE-2019-25428" TargetMode="External" Id="rId1348"/><Relationship Type="http://schemas.openxmlformats.org/officeDocument/2006/relationships/hyperlink" Target="https://nvd.nist.gov/vuln/detail/CVE-2019-25429" TargetMode="External" Id="rId1349"/><Relationship Type="http://schemas.openxmlformats.org/officeDocument/2006/relationships/hyperlink" Target="https://nvd.nist.gov/vuln/detail/CVE-2019-25429" TargetMode="External" Id="rId1350"/><Relationship Type="http://schemas.openxmlformats.org/officeDocument/2006/relationships/hyperlink" Target="https://nvd.nist.gov/vuln/detail/CVE-2019-25430" TargetMode="External" Id="rId1351"/><Relationship Type="http://schemas.openxmlformats.org/officeDocument/2006/relationships/hyperlink" Target="https://nvd.nist.gov/vuln/detail/CVE-2019-25430" TargetMode="External" Id="rId1352"/><Relationship Type="http://schemas.openxmlformats.org/officeDocument/2006/relationships/hyperlink" Target="https://nvd.nist.gov/vuln/detail/CVE-2026-2744" TargetMode="External" Id="rId1353"/><Relationship Type="http://schemas.openxmlformats.org/officeDocument/2006/relationships/hyperlink" Target="https://nvd.nist.gov/vuln/detail/CVE-2026-2744" TargetMode="External" Id="rId1354"/><Relationship Type="http://schemas.openxmlformats.org/officeDocument/2006/relationships/hyperlink" Target="https://nvd.nist.gov/vuln/detail/CVE-2025-55853" TargetMode="External" Id="rId1355"/><Relationship Type="http://schemas.openxmlformats.org/officeDocument/2006/relationships/hyperlink" Target="https://nvd.nist.gov/vuln/detail/CVE-2025-55853" TargetMode="External" Id="rId1356"/><Relationship Type="http://schemas.openxmlformats.org/officeDocument/2006/relationships/hyperlink" Target="https://nvd.nist.gov/vuln/detail/CVE-2026-25527" TargetMode="External" Id="rId1357"/><Relationship Type="http://schemas.openxmlformats.org/officeDocument/2006/relationships/hyperlink" Target="https://github.com/dgtlmoon/changedetection.io/commit/9d38b4517364831889b5b0d7b3465fd060403fd4%20|%20https://github.com/dgtlmoon/changedetection.io/security/advisories/GHSA-9jj8-v89v-xjvw" TargetMode="External" Id="rId1358"/><Relationship Type="http://schemas.openxmlformats.org/officeDocument/2006/relationships/hyperlink" Target="https://nvd.nist.gov/vuln/detail/CVE-2026-25527" TargetMode="External" Id="rId1359"/><Relationship Type="http://schemas.openxmlformats.org/officeDocument/2006/relationships/hyperlink" Target="https://nvd.nist.gov/vuln/detail/CVE-2026-25535" TargetMode="External" Id="rId1360"/><Relationship Type="http://schemas.openxmlformats.org/officeDocument/2006/relationships/hyperlink" Target="https://github.com/parallax/jsPDF/commit/2e5e156e284d92c7d134bce97e6418756941d5e6%20|%20https://github.com/parallax/jsPDF/security/advisories/GHSA-67pg-wm7f-q7fj" TargetMode="External" Id="rId1361"/><Relationship Type="http://schemas.openxmlformats.org/officeDocument/2006/relationships/hyperlink" Target="https://nvd.nist.gov/vuln/detail/CVE-2026-25535" TargetMode="External" Id="rId1362"/><Relationship Type="http://schemas.openxmlformats.org/officeDocument/2006/relationships/hyperlink" Target="https://nvd.nist.gov/vuln/detail/CVE-2026-25755" TargetMode="External" Id="rId1363"/><Relationship Type="http://schemas.openxmlformats.org/officeDocument/2006/relationships/hyperlink" Target="https://github.com/ZeroXJacks/CVEs/blob/main/2026/CVE-2026-25755.md%20|%20https://github.com/parallax/jsPDF/commit/56b46d45b052346f5995b005a34af5dcdddd5437%20|%20https://github.com/parallax/jsPDF/security/advisories/GHSA-9vjf-qc39-jprp" TargetMode="External" Id="rId1364"/><Relationship Type="http://schemas.openxmlformats.org/officeDocument/2006/relationships/hyperlink" Target="https://github.com/ZeroXJacks/CVEs/blob/main/2026/CVE-2026-25755.md" TargetMode="External" Id="rId1365"/><Relationship Type="http://schemas.openxmlformats.org/officeDocument/2006/relationships/hyperlink" Target="https://nvd.nist.gov/vuln/detail/CVE-2026-25755" TargetMode="External" Id="rId1366"/><Relationship Type="http://schemas.openxmlformats.org/officeDocument/2006/relationships/hyperlink" Target="https://nvd.nist.gov/vuln/detail/CVE-2025-71240" TargetMode="External" Id="rId1367"/><Relationship Type="http://schemas.openxmlformats.org/officeDocument/2006/relationships/hyperlink" Target="https://nvd.nist.gov/vuln/detail/CVE-2025-71240" TargetMode="External" Id="rId1368"/><Relationship Type="http://schemas.openxmlformats.org/officeDocument/2006/relationships/hyperlink" Target="https://nvd.nist.gov/vuln/detail/CVE-2025-71241" TargetMode="External" Id="rId1369"/><Relationship Type="http://schemas.openxmlformats.org/officeDocument/2006/relationships/hyperlink" Target="https://nvd.nist.gov/vuln/detail/CVE-2025-71241" TargetMode="External" Id="rId1370"/><Relationship Type="http://schemas.openxmlformats.org/officeDocument/2006/relationships/hyperlink" Target="https://nvd.nist.gov/vuln/detail/CVE-2025-71242" TargetMode="External" Id="rId1371"/><Relationship Type="http://schemas.openxmlformats.org/officeDocument/2006/relationships/hyperlink" Target="https://nvd.nist.gov/vuln/detail/CVE-2025-71242" TargetMode="External" Id="rId1372"/><Relationship Type="http://schemas.openxmlformats.org/officeDocument/2006/relationships/hyperlink" Target="https://nvd.nist.gov/vuln/detail/CVE-2025-71243" TargetMode="External" Id="rId1373"/><Relationship Type="http://schemas.openxmlformats.org/officeDocument/2006/relationships/hyperlink" Target="https://nvd.nist.gov/vuln/detail/CVE-2025-71243" TargetMode="External" Id="rId1374"/><Relationship Type="http://schemas.openxmlformats.org/officeDocument/2006/relationships/hyperlink" Target="https://nvd.nist.gov/vuln/detail/CVE-2025-71244" TargetMode="External" Id="rId1375"/><Relationship Type="http://schemas.openxmlformats.org/officeDocument/2006/relationships/hyperlink" Target="https://nvd.nist.gov/vuln/detail/CVE-2025-71244" TargetMode="External" Id="rId1376"/><Relationship Type="http://schemas.openxmlformats.org/officeDocument/2006/relationships/hyperlink" Target="https://nvd.nist.gov/vuln/detail/CVE-2025-71245" TargetMode="External" Id="rId1377"/><Relationship Type="http://schemas.openxmlformats.org/officeDocument/2006/relationships/hyperlink" Target="https://nvd.nist.gov/vuln/detail/CVE-2025-71245" TargetMode="External" Id="rId1378"/><Relationship Type="http://schemas.openxmlformats.org/officeDocument/2006/relationships/hyperlink" Target="https://nvd.nist.gov/vuln/detail/CVE-2025-71246" TargetMode="External" Id="rId1379"/><Relationship Type="http://schemas.openxmlformats.org/officeDocument/2006/relationships/hyperlink" Target="https://nvd.nist.gov/vuln/detail/CVE-2025-71246" TargetMode="External" Id="rId1380"/><Relationship Type="http://schemas.openxmlformats.org/officeDocument/2006/relationships/hyperlink" Target="https://nvd.nist.gov/vuln/detail/CVE-2025-71247" TargetMode="External" Id="rId1381"/><Relationship Type="http://schemas.openxmlformats.org/officeDocument/2006/relationships/hyperlink" Target="https://nvd.nist.gov/vuln/detail/CVE-2025-71247" TargetMode="External" Id="rId1382"/><Relationship Type="http://schemas.openxmlformats.org/officeDocument/2006/relationships/hyperlink" Target="https://nvd.nist.gov/vuln/detail/CVE-2025-71248" TargetMode="External" Id="rId1383"/><Relationship Type="http://schemas.openxmlformats.org/officeDocument/2006/relationships/hyperlink" Target="https://nvd.nist.gov/vuln/detail/CVE-2025-71248" TargetMode="External" Id="rId1384"/><Relationship Type="http://schemas.openxmlformats.org/officeDocument/2006/relationships/hyperlink" Target="https://nvd.nist.gov/vuln/detail/CVE-2025-71249" TargetMode="External" Id="rId1385"/><Relationship Type="http://schemas.openxmlformats.org/officeDocument/2006/relationships/hyperlink" Target="https://nvd.nist.gov/vuln/detail/CVE-2025-71249" TargetMode="External" Id="rId1386"/><Relationship Type="http://schemas.openxmlformats.org/officeDocument/2006/relationships/hyperlink" Target="https://nvd.nist.gov/vuln/detail/CVE-2025-71250" TargetMode="External" Id="rId1387"/><Relationship Type="http://schemas.openxmlformats.org/officeDocument/2006/relationships/hyperlink" Target="https://nvd.nist.gov/vuln/detail/CVE-2025-71250" TargetMode="External" Id="rId1388"/><Relationship Type="http://schemas.openxmlformats.org/officeDocument/2006/relationships/hyperlink" Target="https://nvd.nist.gov/vuln/detail/CVE-2026-25738" TargetMode="External" Id="rId1389"/><Relationship Type="http://schemas.openxmlformats.org/officeDocument/2006/relationships/hyperlink" Target="https://nvd.nist.gov/vuln/detail/CVE-2026-25738" TargetMode="External" Id="rId1390"/><Relationship Type="http://schemas.openxmlformats.org/officeDocument/2006/relationships/hyperlink" Target="http://www.zerodayinitiative.com/advisories/ZDI-26-123/" TargetMode="External" Id="rId1391"/><Relationship Type="http://schemas.openxmlformats.org/officeDocument/2006/relationships/hyperlink" Target="https://nvd.nist.gov/vuln/detail/CVE-2026-25739" TargetMode="External" Id="rId1392"/><Relationship Type="http://schemas.openxmlformats.org/officeDocument/2006/relationships/hyperlink" Target="https://nvd.nist.gov/vuln/detail/CVE-2026-25739" TargetMode="External" Id="rId1393"/><Relationship Type="http://schemas.openxmlformats.org/officeDocument/2006/relationships/hyperlink" Target="http://www.zerodayinitiative.com/advisories/ZDI-26-123/" TargetMode="External" Id="rId1394"/><Relationship Type="http://schemas.openxmlformats.org/officeDocument/2006/relationships/hyperlink" Target="https://nvd.nist.gov/vuln/detail/CVE-2026-25766" TargetMode="External" Id="rId1395"/><Relationship Type="http://schemas.openxmlformats.org/officeDocument/2006/relationships/hyperlink" Target="https://github.com/labstack/echo/commit/b1d443086ea27cf51345ec72a71e9b7e9d9ce5f1%20|%20https://github.com/labstack/echo/pull/2891%20|%20https://github.com/labstack/echo/security/advisories/GHSA-pgvm-wxw2-hrv9" TargetMode="External" Id="rId1396"/><Relationship Type="http://schemas.openxmlformats.org/officeDocument/2006/relationships/hyperlink" Target="https://nvd.nist.gov/vuln/detail/CVE-2026-25766" TargetMode="External" Id="rId1397"/><Relationship Type="http://schemas.openxmlformats.org/officeDocument/2006/relationships/hyperlink" Target="https://nvd.nist.gov/vuln/detail/CVE-2026-25940" TargetMode="External" Id="rId1398"/><Relationship Type="http://schemas.openxmlformats.org/officeDocument/2006/relationships/hyperlink" Target="https://github.com/parallax/jsPDF/commit/71ad2dbfa6c7c189ab42b855b782620fa8a38375%20|%20https://github.com/parallax/jsPDF/security/advisories/GHSA-p5xg-68wr-hm3m" TargetMode="External" Id="rId1399"/><Relationship Type="http://schemas.openxmlformats.org/officeDocument/2006/relationships/hyperlink" Target="https://nvd.nist.gov/vuln/detail/CVE-2026-25940" TargetMode="External" Id="rId1400"/><Relationship Type="http://schemas.openxmlformats.org/officeDocument/2006/relationships/hyperlink" Target="https://nvd.nist.gov/vuln/detail/CVE-2026-26223" TargetMode="External" Id="rId1401"/><Relationship Type="http://schemas.openxmlformats.org/officeDocument/2006/relationships/hyperlink" Target="https://nvd.nist.gov/vuln/detail/CVE-2026-26223" TargetMode="External" Id="rId1402"/><Relationship Type="http://schemas.openxmlformats.org/officeDocument/2006/relationships/hyperlink" Target="https://nvd.nist.gov/vuln/detail/CVE-2026-26345" TargetMode="External" Id="rId1403"/><Relationship Type="http://schemas.openxmlformats.org/officeDocument/2006/relationships/hyperlink" Target="https://nvd.nist.gov/vuln/detail/CVE-2026-26345" TargetMode="External" Id="rId1404"/><Relationship Type="http://schemas.openxmlformats.org/officeDocument/2006/relationships/hyperlink" Target="https://nvd.nist.gov/vuln/detail/CVE-2026-2274" TargetMode="External" Id="rId1405"/><Relationship Type="http://schemas.openxmlformats.org/officeDocument/2006/relationships/hyperlink" Target="https://nvd.nist.gov/vuln/detail/CVE-2026-2274" TargetMode="External" Id="rId1406"/><Relationship Type="http://schemas.openxmlformats.org/officeDocument/2006/relationships/hyperlink" Target="https://nvd.nist.gov/vuln/detail/CVE-2025-69674" TargetMode="External" Id="rId1407"/><Relationship Type="http://schemas.openxmlformats.org/officeDocument/2006/relationships/hyperlink" Target="https://nvd.nist.gov/vuln/detail/CVE-2025-69674" TargetMode="External" Id="rId1408"/><Relationship Type="http://schemas.openxmlformats.org/officeDocument/2006/relationships/hyperlink" Target="https://nvd.nist.gov/vuln/detail/CVE-2025-69725" TargetMode="External" Id="rId1409"/><Relationship Type="http://schemas.openxmlformats.org/officeDocument/2006/relationships/hyperlink" Target="https://nvd.nist.gov/vuln/detail/CVE-2025-69725" TargetMode="External" Id="rId1410"/><Relationship Type="http://schemas.openxmlformats.org/officeDocument/2006/relationships/hyperlink" Target="https://nvd.nist.gov/vuln/detail/CVE-2026-1581" TargetMode="External" Id="rId1411"/><Relationship Type="http://schemas.openxmlformats.org/officeDocument/2006/relationships/hyperlink" Target="https://nvd.nist.gov/vuln/detail/CVE-2026-1581" TargetMode="External" Id="rId1412"/><Relationship Type="http://schemas.openxmlformats.org/officeDocument/2006/relationships/hyperlink" Target="https://nvd.nist.gov/vuln/detail/CVE-2026-24834" TargetMode="External" Id="rId1413"/><Relationship Type="http://schemas.openxmlformats.org/officeDocument/2006/relationships/hyperlink" Target="https://github.com/kata-containers/kata-containers/commit/6a672503973bf7c687053e459bfff8a9652e16bf%20|%20https://github.com/kata-containers/kata-containers/security/advisories/GHSA-wwj6-vghv-5p64" TargetMode="External" Id="rId1414"/><Relationship Type="http://schemas.openxmlformats.org/officeDocument/2006/relationships/hyperlink" Target="https://nvd.nist.gov/vuln/detail/CVE-2026-24834" TargetMode="External" Id="rId1415"/><Relationship Type="http://schemas.openxmlformats.org/officeDocument/2006/relationships/hyperlink" Target="https://nvd.nist.gov/vuln/detail/CVE-2026-25998" TargetMode="External" Id="rId1416"/><Relationship Type="http://schemas.openxmlformats.org/officeDocument/2006/relationships/hyperlink" Target="https://github.com/strongswan/strongMan/security/advisories/GHSA-88w4-jv97-c8xr" TargetMode="External" Id="rId1417"/><Relationship Type="http://schemas.openxmlformats.org/officeDocument/2006/relationships/hyperlink" Target="https://nvd.nist.gov/vuln/detail/CVE-2026-25998" TargetMode="External" Id="rId1418"/><Relationship Type="http://schemas.openxmlformats.org/officeDocument/2006/relationships/hyperlink" Target="https://nvd.nist.gov/vuln/detail/CVE-2026-26016" TargetMode="External" Id="rId1419"/><Relationship Type="http://schemas.openxmlformats.org/officeDocument/2006/relationships/hyperlink" Target="https://github.com/pterodactyl/panel/security/advisories/GHSA-g7vw-f8p5-c728" TargetMode="External" Id="rId1420"/><Relationship Type="http://schemas.openxmlformats.org/officeDocument/2006/relationships/hyperlink" Target="https://nvd.nist.gov/vuln/detail/CVE-2026-26016" TargetMode="External" Id="rId1421"/><Relationship Type="http://schemas.openxmlformats.org/officeDocument/2006/relationships/hyperlink" Target="https://nvd.nist.gov/vuln/detail/CVE-2026-26030" TargetMode="External" Id="rId1422"/><Relationship Type="http://schemas.openxmlformats.org/officeDocument/2006/relationships/hyperlink" Target="https://nvd.nist.gov/vuln/detail/CVE-2026-26030" TargetMode="External" Id="rId1423"/><Relationship Type="http://schemas.openxmlformats.org/officeDocument/2006/relationships/hyperlink" Target="https://nvd.nist.gov/vuln/detail/CVE-2026-26336" TargetMode="External" Id="rId1424"/><Relationship Type="http://schemas.openxmlformats.org/officeDocument/2006/relationships/hyperlink" Target="https://nvd.nist.gov/vuln/detail/CVE-2026-26336" TargetMode="External" Id="rId1425"/><Relationship Type="http://schemas.openxmlformats.org/officeDocument/2006/relationships/hyperlink" Target="https://nvd.nist.gov/vuln/detail/CVE-2026-2232" TargetMode="External" Id="rId1426"/><Relationship Type="http://schemas.openxmlformats.org/officeDocument/2006/relationships/hyperlink" Target="https://nvd.nist.gov/vuln/detail/CVE-2026-2232" TargetMode="External" Id="rId1427"/><Relationship Type="http://schemas.openxmlformats.org/officeDocument/2006/relationships/hyperlink" Target="https://nvd.nist.gov/vuln/detail/CVE-2026-23604" TargetMode="External" Id="rId1428"/><Relationship Type="http://schemas.openxmlformats.org/officeDocument/2006/relationships/hyperlink" Target="https://nvd.nist.gov/vuln/detail/CVE-2026-23604" TargetMode="External" Id="rId1429"/><Relationship Type="http://schemas.openxmlformats.org/officeDocument/2006/relationships/hyperlink" Target="https://nvd.nist.gov/vuln/detail/CVE-2026-23605" TargetMode="External" Id="rId1430"/><Relationship Type="http://schemas.openxmlformats.org/officeDocument/2006/relationships/hyperlink" Target="https://nvd.nist.gov/vuln/detail/CVE-2026-23605" TargetMode="External" Id="rId1431"/><Relationship Type="http://schemas.openxmlformats.org/officeDocument/2006/relationships/hyperlink" Target="https://nvd.nist.gov/vuln/detail/CVE-2026-23606" TargetMode="External" Id="rId1432"/><Relationship Type="http://schemas.openxmlformats.org/officeDocument/2006/relationships/hyperlink" Target="https://nvd.nist.gov/vuln/detail/CVE-2026-23606" TargetMode="External" Id="rId1433"/><Relationship Type="http://schemas.openxmlformats.org/officeDocument/2006/relationships/hyperlink" Target="https://nvd.nist.gov/vuln/detail/CVE-2026-23607" TargetMode="External" Id="rId1434"/><Relationship Type="http://schemas.openxmlformats.org/officeDocument/2006/relationships/hyperlink" Target="https://nvd.nist.gov/vuln/detail/CVE-2026-23607" TargetMode="External" Id="rId1435"/><Relationship Type="http://schemas.openxmlformats.org/officeDocument/2006/relationships/hyperlink" Target="https://nvd.nist.gov/vuln/detail/CVE-2026-23608" TargetMode="External" Id="rId1436"/><Relationship Type="http://schemas.openxmlformats.org/officeDocument/2006/relationships/hyperlink" Target="https://nvd.nist.gov/vuln/detail/CVE-2026-23608" TargetMode="External" Id="rId1437"/><Relationship Type="http://schemas.openxmlformats.org/officeDocument/2006/relationships/hyperlink" Target="https://nvd.nist.gov/vuln/detail/CVE-2026-23609" TargetMode="External" Id="rId1438"/><Relationship Type="http://schemas.openxmlformats.org/officeDocument/2006/relationships/hyperlink" Target="https://nvd.nist.gov/vuln/detail/CVE-2026-23609" TargetMode="External" Id="rId1439"/><Relationship Type="http://schemas.openxmlformats.org/officeDocument/2006/relationships/hyperlink" Target="https://nvd.nist.gov/vuln/detail/CVE-2026-23610" TargetMode="External" Id="rId1440"/><Relationship Type="http://schemas.openxmlformats.org/officeDocument/2006/relationships/hyperlink" Target="https://nvd.nist.gov/vuln/detail/CVE-2026-23610" TargetMode="External" Id="rId1441"/><Relationship Type="http://schemas.openxmlformats.org/officeDocument/2006/relationships/hyperlink" Target="https://nvd.nist.gov/vuln/detail/CVE-2026-23611" TargetMode="External" Id="rId1442"/><Relationship Type="http://schemas.openxmlformats.org/officeDocument/2006/relationships/hyperlink" Target="https://nvd.nist.gov/vuln/detail/CVE-2026-23611" TargetMode="External" Id="rId1443"/><Relationship Type="http://schemas.openxmlformats.org/officeDocument/2006/relationships/hyperlink" Target="https://nvd.nist.gov/vuln/detail/CVE-2026-23612" TargetMode="External" Id="rId1444"/><Relationship Type="http://schemas.openxmlformats.org/officeDocument/2006/relationships/hyperlink" Target="https://nvd.nist.gov/vuln/detail/CVE-2026-23612" TargetMode="External" Id="rId1445"/><Relationship Type="http://schemas.openxmlformats.org/officeDocument/2006/relationships/hyperlink" Target="https://nvd.nist.gov/vuln/detail/CVE-2026-23613" TargetMode="External" Id="rId1446"/><Relationship Type="http://schemas.openxmlformats.org/officeDocument/2006/relationships/hyperlink" Target="https://nvd.nist.gov/vuln/detail/CVE-2026-23613" TargetMode="External" Id="rId1447"/><Relationship Type="http://schemas.openxmlformats.org/officeDocument/2006/relationships/hyperlink" Target="https://nvd.nist.gov/vuln/detail/CVE-2026-23614" TargetMode="External" Id="rId1448"/><Relationship Type="http://schemas.openxmlformats.org/officeDocument/2006/relationships/hyperlink" Target="https://nvd.nist.gov/vuln/detail/CVE-2026-23614" TargetMode="External" Id="rId1449"/><Relationship Type="http://schemas.openxmlformats.org/officeDocument/2006/relationships/hyperlink" Target="https://nvd.nist.gov/vuln/detail/CVE-2026-23615" TargetMode="External" Id="rId1450"/><Relationship Type="http://schemas.openxmlformats.org/officeDocument/2006/relationships/hyperlink" Target="https://nvd.nist.gov/vuln/detail/CVE-2026-23615" TargetMode="External" Id="rId1451"/><Relationship Type="http://schemas.openxmlformats.org/officeDocument/2006/relationships/hyperlink" Target="https://nvd.nist.gov/vuln/detail/CVE-2026-23616" TargetMode="External" Id="rId1452"/><Relationship Type="http://schemas.openxmlformats.org/officeDocument/2006/relationships/hyperlink" Target="https://nvd.nist.gov/vuln/detail/CVE-2026-23616" TargetMode="External" Id="rId1453"/><Relationship Type="http://schemas.openxmlformats.org/officeDocument/2006/relationships/hyperlink" Target="https://nvd.nist.gov/vuln/detail/CVE-2026-23617" TargetMode="External" Id="rId1454"/><Relationship Type="http://schemas.openxmlformats.org/officeDocument/2006/relationships/hyperlink" Target="https://nvd.nist.gov/vuln/detail/CVE-2026-23617" TargetMode="External" Id="rId1455"/><Relationship Type="http://schemas.openxmlformats.org/officeDocument/2006/relationships/hyperlink" Target="https://nvd.nist.gov/vuln/detail/CVE-2026-23618" TargetMode="External" Id="rId1456"/><Relationship Type="http://schemas.openxmlformats.org/officeDocument/2006/relationships/hyperlink" Target="https://nvd.nist.gov/vuln/detail/CVE-2026-23618" TargetMode="External" Id="rId1457"/><Relationship Type="http://schemas.openxmlformats.org/officeDocument/2006/relationships/hyperlink" Target="https://nvd.nist.gov/vuln/detail/CVE-2026-23619" TargetMode="External" Id="rId1458"/><Relationship Type="http://schemas.openxmlformats.org/officeDocument/2006/relationships/hyperlink" Target="https://nvd.nist.gov/vuln/detail/CVE-2026-23619" TargetMode="External" Id="rId1459"/><Relationship Type="http://schemas.openxmlformats.org/officeDocument/2006/relationships/hyperlink" Target="https://nvd.nist.gov/vuln/detail/CVE-2026-23620" TargetMode="External" Id="rId1460"/><Relationship Type="http://schemas.openxmlformats.org/officeDocument/2006/relationships/hyperlink" Target="https://nvd.nist.gov/vuln/detail/CVE-2026-23620" TargetMode="External" Id="rId1461"/><Relationship Type="http://schemas.openxmlformats.org/officeDocument/2006/relationships/hyperlink" Target="https://nvd.nist.gov/vuln/detail/CVE-2026-26337" TargetMode="External" Id="rId1462"/><Relationship Type="http://schemas.openxmlformats.org/officeDocument/2006/relationships/hyperlink" Target="https://nvd.nist.gov/vuln/detail/CVE-2026-26337" TargetMode="External" Id="rId1463"/><Relationship Type="http://schemas.openxmlformats.org/officeDocument/2006/relationships/hyperlink" Target="https://nvd.nist.gov/vuln/detail/CVE-2026-26338" TargetMode="External" Id="rId1464"/><Relationship Type="http://schemas.openxmlformats.org/officeDocument/2006/relationships/hyperlink" Target="https://nvd.nist.gov/vuln/detail/CVE-2026-26338" TargetMode="External" Id="rId1465"/><Relationship Type="http://schemas.openxmlformats.org/officeDocument/2006/relationships/hyperlink" Target="https://nvd.nist.gov/vuln/detail/CVE-2026-26339" TargetMode="External" Id="rId1466"/><Relationship Type="http://schemas.openxmlformats.org/officeDocument/2006/relationships/hyperlink" Target="https://nvd.nist.gov/vuln/detail/CVE-2026-26339" TargetMode="External" Id="rId1467"/><Relationship Type="http://schemas.openxmlformats.org/officeDocument/2006/relationships/hyperlink" Target="https://nvd.nist.gov/vuln/detail/CVE-2026-2243" TargetMode="External" Id="rId1468"/><Relationship Type="http://schemas.openxmlformats.org/officeDocument/2006/relationships/hyperlink" Target="https://nvd.nist.gov/vuln/detail/CVE-2026-2243" TargetMode="External" Id="rId1469"/><Relationship Type="http://schemas.openxmlformats.org/officeDocument/2006/relationships/hyperlink" Target="https://nvd.nist.gov/vuln/detail/CVE-2026-2409" TargetMode="External" Id="rId1470"/><Relationship Type="http://schemas.openxmlformats.org/officeDocument/2006/relationships/hyperlink" Target="https://nvd.nist.gov/vuln/detail/CVE-2026-2409" TargetMode="External" Id="rId1471"/><Relationship Type="http://schemas.openxmlformats.org/officeDocument/2006/relationships/hyperlink" Target="https://nvd.nist.gov/vuln/detail/CVE-2026-2817" TargetMode="External" Id="rId1472"/><Relationship Type="http://schemas.openxmlformats.org/officeDocument/2006/relationships/hyperlink" Target="https://nvd.nist.gov/vuln/detail/CVE-2026-2817" TargetMode="External" Id="rId1473"/><Relationship Type="http://schemas.openxmlformats.org/officeDocument/2006/relationships/hyperlink" Target="https://nvd.nist.gov/vuln/detail/CVE-2026-23621" TargetMode="External" Id="rId1474"/><Relationship Type="http://schemas.openxmlformats.org/officeDocument/2006/relationships/hyperlink" Target="https://nvd.nist.gov/vuln/detail/CVE-2026-23621" TargetMode="External" Id="rId1475"/><Relationship Type="http://schemas.openxmlformats.org/officeDocument/2006/relationships/hyperlink" Target="https://nvd.nist.gov/vuln/detail/CVE-2026-26057" TargetMode="External" Id="rId1476"/><Relationship Type="http://schemas.openxmlformats.org/officeDocument/2006/relationships/hyperlink" Target="https://nvd.nist.gov/vuln/detail/CVE-2026-26057" TargetMode="External" Id="rId1477"/><Relationship Type="http://schemas.openxmlformats.org/officeDocument/2006/relationships/hyperlink" Target="https://nvd.nist.gov/vuln/detail/CVE-2026-26059" TargetMode="External" Id="rId1478"/><Relationship Type="http://schemas.openxmlformats.org/officeDocument/2006/relationships/hyperlink" Target="https://github.com/ChurchCRM/CRM/security/advisories/GHSA-3wp4-vpr7-47q6" TargetMode="External" Id="rId1479"/><Relationship Type="http://schemas.openxmlformats.org/officeDocument/2006/relationships/hyperlink" Target="https://nvd.nist.gov/vuln/detail/CVE-2026-26059" TargetMode="External" Id="rId1480"/><Relationship Type="http://schemas.openxmlformats.org/officeDocument/2006/relationships/hyperlink" Target="https://nvd.nist.gov/vuln/detail/CVE-2026-27472" TargetMode="External" Id="rId1481"/><Relationship Type="http://schemas.openxmlformats.org/officeDocument/2006/relationships/hyperlink" Target="https://nvd.nist.gov/vuln/detail/CVE-2026-27472" TargetMode="External" Id="rId1482"/><Relationship Type="http://schemas.openxmlformats.org/officeDocument/2006/relationships/hyperlink" Target="https://nvd.nist.gov/vuln/detail/CVE-2026-27473" TargetMode="External" Id="rId1483"/><Relationship Type="http://schemas.openxmlformats.org/officeDocument/2006/relationships/hyperlink" Target="https://nvd.nist.gov/vuln/detail/CVE-2026-27473" TargetMode="External" Id="rId1484"/><Relationship Type="http://schemas.openxmlformats.org/officeDocument/2006/relationships/hyperlink" Target="https://nvd.nist.gov/vuln/detail/CVE-2026-27474" TargetMode="External" Id="rId1485"/><Relationship Type="http://schemas.openxmlformats.org/officeDocument/2006/relationships/hyperlink" Target="https://nvd.nist.gov/vuln/detail/CVE-2026-27474" TargetMode="External" Id="rId1486"/><Relationship Type="http://schemas.openxmlformats.org/officeDocument/2006/relationships/hyperlink" Target="https://nvd.nist.gov/vuln/detail/CVE-2026-27475" TargetMode="External" Id="rId1487"/><Relationship Type="http://schemas.openxmlformats.org/officeDocument/2006/relationships/hyperlink" Target="https://nvd.nist.gov/vuln/detail/CVE-2026-27475" TargetMode="External" Id="rId1488"/><Relationship Type="http://schemas.openxmlformats.org/officeDocument/2006/relationships/hyperlink" Target="https://nvd.nist.gov/vuln/detail/CVE-2025-67304" TargetMode="External" Id="rId1489"/><Relationship Type="http://schemas.openxmlformats.org/officeDocument/2006/relationships/hyperlink" Target="https://nvd.nist.gov/vuln/detail/CVE-2025-67304" TargetMode="External" Id="rId1490"/><Relationship Type="http://schemas.openxmlformats.org/officeDocument/2006/relationships/hyperlink" Target="https://nvd.nist.gov/vuln/detail/CVE-2026-26063" TargetMode="External" Id="rId1491"/><Relationship Type="http://schemas.openxmlformats.org/officeDocument/2006/relationships/hyperlink" Target="https://nvd.nist.gov/vuln/detail/CVE-2026-26063" TargetMode="External" Id="rId1492"/><Relationship Type="http://schemas.openxmlformats.org/officeDocument/2006/relationships/hyperlink" Target="https://nvd.nist.gov/vuln/detail/CVE-2026-26189" TargetMode="External" Id="rId1493"/><Relationship Type="http://schemas.openxmlformats.org/officeDocument/2006/relationships/hyperlink" Target="https://nvd.nist.gov/vuln/detail/CVE-2026-26189" TargetMode="External" Id="rId1494"/><Relationship Type="http://schemas.openxmlformats.org/officeDocument/2006/relationships/hyperlink" Target="https://nvd.nist.gov/vuln/detail/CVE-2026-26192" TargetMode="External" Id="rId1495"/><Relationship Type="http://schemas.openxmlformats.org/officeDocument/2006/relationships/hyperlink" Target="https://github.com/open-webui/open-webui/security/advisories/GHSA-xc8p-9rr6-97r2" TargetMode="External" Id="rId1496"/><Relationship Type="http://schemas.openxmlformats.org/officeDocument/2006/relationships/hyperlink" Target="https://nvd.nist.gov/vuln/detail/CVE-2026-26192" TargetMode="External" Id="rId1497"/><Relationship Type="http://schemas.openxmlformats.org/officeDocument/2006/relationships/hyperlink" Target="https://nvd.nist.gov/vuln/detail/CVE-2026-26193" TargetMode="External" Id="rId1498"/><Relationship Type="http://schemas.openxmlformats.org/officeDocument/2006/relationships/hyperlink" Target="https://github.com/open-webui/open-webui/security/advisories/GHSA-vjm7-m4xh-7wrc" TargetMode="External" Id="rId1499"/><Relationship Type="http://schemas.openxmlformats.org/officeDocument/2006/relationships/hyperlink" Target="https://nvd.nist.gov/vuln/detail/CVE-2026-26193" TargetMode="External" Id="rId1500"/><Relationship Type="http://schemas.openxmlformats.org/officeDocument/2006/relationships/hyperlink" Target="https://nvd.nist.gov/vuln/detail/CVE-2026-26200" TargetMode="External" Id="rId1501"/><Relationship Type="http://schemas.openxmlformats.org/officeDocument/2006/relationships/hyperlink" Target="https://nvd.nist.gov/vuln/detail/CVE-2026-26200" TargetMode="External" Id="rId1502"/><Relationship Type="http://schemas.openxmlformats.org/officeDocument/2006/relationships/hyperlink" Target="https://nvd.nist.gov/vuln/detail/CVE-2026-26201" TargetMode="External" Id="rId1503"/><Relationship Type="http://schemas.openxmlformats.org/officeDocument/2006/relationships/hyperlink" Target="https://nvd.nist.gov/vuln/detail/CVE-2026-26201" TargetMode="External" Id="rId1504"/><Relationship Type="http://schemas.openxmlformats.org/officeDocument/2006/relationships/hyperlink" Target="https://nvd.nist.gov/vuln/detail/CVE-2026-26202" TargetMode="External" Id="rId1505"/><Relationship Type="http://schemas.openxmlformats.org/officeDocument/2006/relationships/hyperlink" Target="https://github.com/penpot/penpot/commit/06e5825c8a0209889966a4eb5152efd6ff108626" TargetMode="External" Id="rId1506"/><Relationship Type="http://schemas.openxmlformats.org/officeDocument/2006/relationships/hyperlink" Target="https://nvd.nist.gov/vuln/detail/CVE-2026-26202" TargetMode="External" Id="rId1507"/><Relationship Type="http://schemas.openxmlformats.org/officeDocument/2006/relationships/hyperlink" Target="https://nvd.nist.gov/vuln/detail/CVE-2026-26203" TargetMode="External" Id="rId1508"/><Relationship Type="http://schemas.openxmlformats.org/officeDocument/2006/relationships/hyperlink" Target="https://github.com/pjsip/pjproject/commit/5aee54f09d4f91538d55279d7316591b28fded6c%20|%20https://github.com/pjsip/pjproject/security/advisories/GHSA-p965-mf7j-gwv8" TargetMode="External" Id="rId1509"/><Relationship Type="http://schemas.openxmlformats.org/officeDocument/2006/relationships/hyperlink" Target="https://nvd.nist.gov/vuln/detail/CVE-2026-26203" TargetMode="External" Id="rId1510"/><Relationship Type="http://schemas.openxmlformats.org/officeDocument/2006/relationships/hyperlink" Target="https://nvd.nist.gov/vuln/detail/CVE-2026-26205" TargetMode="External" Id="rId1511"/><Relationship Type="http://schemas.openxmlformats.org/officeDocument/2006/relationships/hyperlink" Target="https://nvd.nist.gov/vuln/detail/CVE-2026-26205" TargetMode="External" Id="rId1512"/><Relationship Type="http://schemas.openxmlformats.org/officeDocument/2006/relationships/hyperlink" Target="https://nvd.nist.gov/vuln/detail/CVE-2026-26267" TargetMode="External" Id="rId1513"/><Relationship Type="http://schemas.openxmlformats.org/officeDocument/2006/relationships/hyperlink" Target="https://github.com/stellar/rs-soroban-sdk/commit/e92a3933e5f92dc09da3c740cf6a360d55709a2b%20|%20https://github.com/stellar/rs-soroban-sdk/pull/1729%20|%20https://github.com/stellar/rs-soroban-sdk/pull/1730" TargetMode="External" Id="rId1514"/><Relationship Type="http://schemas.openxmlformats.org/officeDocument/2006/relationships/hyperlink" Target="https://nvd.nist.gov/vuln/detail/CVE-2026-26267" TargetMode="External" Id="rId1515"/><Relationship Type="http://schemas.openxmlformats.org/officeDocument/2006/relationships/hyperlink" Target="https://nvd.nist.gov/vuln/detail/CVE-2026-26278" TargetMode="External" Id="rId1516"/><Relationship Type="http://schemas.openxmlformats.org/officeDocument/2006/relationships/hyperlink" Target="https://github.com/NaturalIntelligence/fast-xml-parser/commit/910dae5be2de2955e968558fadf6e8f74f117a77%20|%20https://github.com/NaturalIntelligence/fast-xml-parser/security/advisories/GHSA-jmr7-xgp7-cmfj" TargetMode="External" Id="rId1517"/><Relationship Type="http://schemas.openxmlformats.org/officeDocument/2006/relationships/hyperlink" Target="https://nvd.nist.gov/vuln/detail/CVE-2026-26278" TargetMode="External" Id="rId1518"/><Relationship Type="http://schemas.openxmlformats.org/officeDocument/2006/relationships/hyperlink" Target="https://nvd.nist.gov/vuln/detail/CVE-2026-26280" TargetMode="External" Id="rId1519"/><Relationship Type="http://schemas.openxmlformats.org/officeDocument/2006/relationships/hyperlink" Target="https://github.com/sebhildebrandt/systeminformation/commit/22242aa56188f2bffcbd7d265a11e1ebb808b460%20|%20https://github.com/sebhildebrandt/systeminformation/security/advisories/GHSA-9c88-49p5-5ggf" TargetMode="External" Id="rId1520"/><Relationship Type="http://schemas.openxmlformats.org/officeDocument/2006/relationships/hyperlink" Target="https://nvd.nist.gov/vuln/detail/CVE-2026-26280" TargetMode="External" Id="rId1521"/><Relationship Type="http://schemas.openxmlformats.org/officeDocument/2006/relationships/hyperlink" Target="https://nvd.nist.gov/vuln/detail/CVE-2026-26318" TargetMode="External" Id="rId1522"/><Relationship Type="http://schemas.openxmlformats.org/officeDocument/2006/relationships/hyperlink" Target="https://github.com/sebhildebrandt/systeminformation/commit/b67d3715eec881038ccbaace2f2711419ac3e107%20|%20https://github.com/sebhildebrandt/systeminformation/security/advisories/GHSA-5vv4-hvf7-2h46" TargetMode="External" Id="rId1523"/><Relationship Type="http://schemas.openxmlformats.org/officeDocument/2006/relationships/hyperlink" Target="https://github.com/sebhildebrandt/systeminformation/security/advisories/GHSA-5vv4-hvf7-2h46" TargetMode="External" Id="rId1524"/><Relationship Type="http://schemas.openxmlformats.org/officeDocument/2006/relationships/hyperlink" Target="https://nvd.nist.gov/vuln/detail/CVE-2026-26318" TargetMode="External" Id="rId1525"/><Relationship Type="http://schemas.openxmlformats.org/officeDocument/2006/relationships/hyperlink" Target="https://nvd.nist.gov/vuln/detail/CVE-2026-27013" TargetMode="External" Id="rId1526"/><Relationship Type="http://schemas.openxmlformats.org/officeDocument/2006/relationships/hyperlink" Target="https://github.com/fabricjs/fabric.js/commit/7e1a122defd8feefe4eb7eaf0c180d7b0aeb6fee%20|%20https://github.com/fabricjs/fabric.js/security/advisories/GHSA-hfvx-25r5-qc3w" TargetMode="External" Id="rId1527"/><Relationship Type="http://schemas.openxmlformats.org/officeDocument/2006/relationships/hyperlink" Target="https://nvd.nist.gov/vuln/detail/CVE-2026-27013" TargetMode="External" Id="rId1528"/><Relationship Type="http://schemas.openxmlformats.org/officeDocument/2006/relationships/hyperlink" Target="https://nvd.nist.gov/vuln/detail/CVE-2025-67305" TargetMode="External" Id="rId1529"/><Relationship Type="http://schemas.openxmlformats.org/officeDocument/2006/relationships/hyperlink" Target="https://nvd.nist.gov/vuln/detail/CVE-2025-67305" TargetMode="External" Id="rId1530"/><Relationship Type="http://schemas.openxmlformats.org/officeDocument/2006/relationships/hyperlink" Target="https://nvd.nist.gov/vuln/detail/CVE-2026-26282" TargetMode="External" Id="rId1531"/><Relationship Type="http://schemas.openxmlformats.org/officeDocument/2006/relationships/hyperlink" Target="https://nvd.nist.gov/vuln/detail/CVE-2026-26282" TargetMode="External" Id="rId1532"/><Relationship Type="http://schemas.openxmlformats.org/officeDocument/2006/relationships/hyperlink" Target="https://nvd.nist.gov/vuln/detail/CVE-2026-26286" TargetMode="External" Id="rId1533"/><Relationship Type="http://schemas.openxmlformats.org/officeDocument/2006/relationships/hyperlink" Target="https://github.com/SillyTavern/SillyTavern/security/advisories/GHSA-cccp-94vg-j92r" TargetMode="External" Id="rId1534"/><Relationship Type="http://schemas.openxmlformats.org/officeDocument/2006/relationships/hyperlink" Target="https://nvd.nist.gov/vuln/detail/CVE-2026-26286" TargetMode="External" Id="rId1535"/><Relationship Type="http://schemas.openxmlformats.org/officeDocument/2006/relationships/hyperlink" Target="https://nvd.nist.gov/vuln/detail/CVE-2026-26312" TargetMode="External" Id="rId1536"/><Relationship Type="http://schemas.openxmlformats.org/officeDocument/2006/relationships/hyperlink" Target="https://github.com/stalwartlabs/stalwart/security/advisories/GHSA-jm95-876q-c9gw" TargetMode="External" Id="rId1537"/><Relationship Type="http://schemas.openxmlformats.org/officeDocument/2006/relationships/hyperlink" Target="https://nvd.nist.gov/vuln/detail/CVE-2026-26312" TargetMode="External" Id="rId1538"/><Relationship Type="http://schemas.openxmlformats.org/officeDocument/2006/relationships/hyperlink" Target="https://nvd.nist.gov/vuln/detail/CVE-2026-26313" TargetMode="External" Id="rId1539"/><Relationship Type="http://schemas.openxmlformats.org/officeDocument/2006/relationships/hyperlink" Target="https://github.com/ethereum/go-ethereum/security/advisories/GHSA-689v-6xwf-5jf3" TargetMode="External" Id="rId1540"/><Relationship Type="http://schemas.openxmlformats.org/officeDocument/2006/relationships/hyperlink" Target="https://nvd.nist.gov/vuln/detail/CVE-2026-26313" TargetMode="External" Id="rId1541"/><Relationship Type="http://schemas.openxmlformats.org/officeDocument/2006/relationships/hyperlink" Target="https://nvd.nist.gov/vuln/detail/CVE-2026-27014" TargetMode="External" Id="rId1542"/><Relationship Type="http://schemas.openxmlformats.org/officeDocument/2006/relationships/hyperlink" Target="https://nvd.nist.gov/vuln/detail/CVE-2026-27014" TargetMode="External" Id="rId1543"/><Relationship Type="http://schemas.openxmlformats.org/officeDocument/2006/relationships/hyperlink" Target="https://nvd.nist.gov/vuln/detail/CVE-2026-27114" TargetMode="External" Id="rId1544"/><Relationship Type="http://schemas.openxmlformats.org/officeDocument/2006/relationships/hyperlink" Target="https://nvd.nist.gov/vuln/detail/CVE-2026-27114" TargetMode="External" Id="rId1545"/><Relationship Type="http://schemas.openxmlformats.org/officeDocument/2006/relationships/hyperlink" Target="https://nvd.nist.gov/vuln/detail/CVE-2026-27327" TargetMode="External" Id="rId1546"/><Relationship Type="http://schemas.openxmlformats.org/officeDocument/2006/relationships/hyperlink" Target="https://nvd.nist.gov/vuln/detail/CVE-2026-27327" TargetMode="External" Id="rId1547"/><Relationship Type="http://schemas.openxmlformats.org/officeDocument/2006/relationships/hyperlink" Target="https://nvd.nist.gov/vuln/detail/CVE-2026-27328" TargetMode="External" Id="rId1548"/><Relationship Type="http://schemas.openxmlformats.org/officeDocument/2006/relationships/hyperlink" Target="https://nvd.nist.gov/vuln/detail/CVE-2026-27328" TargetMode="External" Id="rId1549"/><Relationship Type="http://schemas.openxmlformats.org/officeDocument/2006/relationships/hyperlink" Target="https://nvd.nist.gov/vuln/detail/CVE-2026-27343" TargetMode="External" Id="rId1550"/><Relationship Type="http://schemas.openxmlformats.org/officeDocument/2006/relationships/hyperlink" Target="https://nvd.nist.gov/vuln/detail/CVE-2026-27343" TargetMode="External" Id="rId1551"/><Relationship Type="http://schemas.openxmlformats.org/officeDocument/2006/relationships/hyperlink" Target="https://nvd.nist.gov/vuln/detail/CVE-2026-27360" TargetMode="External" Id="rId1552"/><Relationship Type="http://schemas.openxmlformats.org/officeDocument/2006/relationships/hyperlink" Target="https://nvd.nist.gov/vuln/detail/CVE-2026-27360" TargetMode="External" Id="rId1553"/><Relationship Type="http://schemas.openxmlformats.org/officeDocument/2006/relationships/hyperlink" Target="https://nvd.nist.gov/vuln/detail/CVE-2026-27368" TargetMode="External" Id="rId1554"/><Relationship Type="http://schemas.openxmlformats.org/officeDocument/2006/relationships/hyperlink" Target="https://nvd.nist.gov/vuln/detail/CVE-2026-27368" TargetMode="External" Id="rId1555"/><Relationship Type="http://schemas.openxmlformats.org/officeDocument/2006/relationships/hyperlink" Target="http://www.zerodayinitiative.com/advisories/ZDI-26-123/" TargetMode="External" Id="rId1556"/><Relationship Type="http://schemas.openxmlformats.org/officeDocument/2006/relationships/hyperlink" Target="https://nvd.nist.gov/vuln/detail/CVE-2026-27387" TargetMode="External" Id="rId1557"/><Relationship Type="http://schemas.openxmlformats.org/officeDocument/2006/relationships/hyperlink" Target="https://nvd.nist.gov/vuln/detail/CVE-2026-27387" TargetMode="External" Id="rId1558"/><Relationship Type="http://schemas.openxmlformats.org/officeDocument/2006/relationships/hyperlink" Target="https://nvd.nist.gov/vuln/detail/CVE-2026-27440" TargetMode="External" Id="rId1559"/><Relationship Type="http://schemas.openxmlformats.org/officeDocument/2006/relationships/hyperlink" Target="https://nvd.nist.gov/vuln/detail/CVE-2026-27440" TargetMode="External" Id="rId1560"/><Relationship Type="http://schemas.openxmlformats.org/officeDocument/2006/relationships/hyperlink" Target="https://nvd.nist.gov/vuln/detail/CVE-2026-27476" TargetMode="External" Id="rId1561"/><Relationship Type="http://schemas.openxmlformats.org/officeDocument/2006/relationships/hyperlink" Target="https://nvd.nist.gov/vuln/detail/CVE-2026-27476" TargetMode="External" Id="rId1562"/><Relationship Type="http://schemas.openxmlformats.org/officeDocument/2006/relationships/hyperlink" Target="https://nvd.nist.gov/vuln/detail/CVE-2026-2738" TargetMode="External" Id="rId1563"/><Relationship Type="http://schemas.openxmlformats.org/officeDocument/2006/relationships/hyperlink" Target="https://nvd.nist.gov/vuln/detail/CVE-2026-2738" TargetMode="External" Id="rId1564"/><Relationship Type="http://schemas.openxmlformats.org/officeDocument/2006/relationships/hyperlink" Target="https://nvd.nist.gov/vuln/detail/CVE-2026-26275" TargetMode="External" Id="rId1565"/><Relationship Type="http://schemas.openxmlformats.org/officeDocument/2006/relationships/hyperlink" Target="https://nvd.nist.gov/vuln/detail/CVE-2026-26275" TargetMode="External" Id="rId1566"/><Relationship Type="http://schemas.openxmlformats.org/officeDocument/2006/relationships/hyperlink" Target="https://nvd.nist.gov/vuln/detail/CVE-2026-26314" TargetMode="External" Id="rId1567"/><Relationship Type="http://schemas.openxmlformats.org/officeDocument/2006/relationships/hyperlink" Target="https://github.com/ethereum/go-ethereum/commit/895a8597cb16c02203e38707ed2d1da5c500fe60%20|%20https://github.com/ethereum/go-ethereum/security/advisories/GHSA-2gjw-fg97-vg3r" TargetMode="External" Id="rId1568"/><Relationship Type="http://schemas.openxmlformats.org/officeDocument/2006/relationships/hyperlink" Target="https://nvd.nist.gov/vuln/detail/CVE-2026-26314" TargetMode="External" Id="rId1569"/><Relationship Type="http://schemas.openxmlformats.org/officeDocument/2006/relationships/hyperlink" Target="https://nvd.nist.gov/vuln/detail/CVE-2026-26315" TargetMode="External" Id="rId1570"/><Relationship Type="http://schemas.openxmlformats.org/officeDocument/2006/relationships/hyperlink" Target="https://github.com/ethereum/go-ethereum/security/advisories/GHSA-m6j8-rg6r-7mv8" TargetMode="External" Id="rId1571"/><Relationship Type="http://schemas.openxmlformats.org/officeDocument/2006/relationships/hyperlink" Target="https://nvd.nist.gov/vuln/detail/CVE-2026-26315" TargetMode="External" Id="rId1572"/><Relationship Type="http://schemas.openxmlformats.org/officeDocument/2006/relationships/hyperlink" Target="https://nvd.nist.gov/vuln/detail/CVE-2026-26316" TargetMode="External" Id="rId1573"/><Relationship Type="http://schemas.openxmlformats.org/officeDocument/2006/relationships/hyperlink" Target="https://nvd.nist.gov/vuln/detail/CVE-2026-26316" TargetMode="External" Id="rId1574"/><Relationship Type="http://schemas.openxmlformats.org/officeDocument/2006/relationships/hyperlink" Target="https://nvd.nist.gov/vuln/detail/CVE-2026-26317" TargetMode="External" Id="rId1575"/><Relationship Type="http://schemas.openxmlformats.org/officeDocument/2006/relationships/hyperlink" Target="https://nvd.nist.gov/vuln/detail/CVE-2026-26317" TargetMode="External" Id="rId1576"/><Relationship Type="http://schemas.openxmlformats.org/officeDocument/2006/relationships/hyperlink" Target="https://nvd.nist.gov/vuln/detail/CVE-2026-26744" TargetMode="External" Id="rId1577"/><Relationship Type="http://schemas.openxmlformats.org/officeDocument/2006/relationships/hyperlink" Target="https://nvd.nist.gov/vuln/detail/CVE-2026-26744" TargetMode="External" Id="rId1578"/><Relationship Type="http://schemas.openxmlformats.org/officeDocument/2006/relationships/hyperlink" Target="https://nvd.nist.gov/vuln/detail/CVE-2025-13671" TargetMode="External" Id="rId1579"/><Relationship Type="http://schemas.openxmlformats.org/officeDocument/2006/relationships/hyperlink" Target="https://nvd.nist.gov/vuln/detail/CVE-2025-13671" TargetMode="External" Id="rId1580"/><Relationship Type="http://schemas.openxmlformats.org/officeDocument/2006/relationships/hyperlink" Target="https://nvd.nist.gov/vuln/detail/CVE-2025-13672" TargetMode="External" Id="rId1581"/><Relationship Type="http://schemas.openxmlformats.org/officeDocument/2006/relationships/hyperlink" Target="https://nvd.nist.gov/vuln/detail/CVE-2025-13672" TargetMode="External" Id="rId1582"/><Relationship Type="http://schemas.openxmlformats.org/officeDocument/2006/relationships/hyperlink" Target="https://nvd.nist.gov/vuln/detail/CVE-2025-8054" TargetMode="External" Id="rId1583"/><Relationship Type="http://schemas.openxmlformats.org/officeDocument/2006/relationships/hyperlink" Target="https://nvd.nist.gov/vuln/detail/CVE-2025-8054" TargetMode="External" Id="rId1584"/><Relationship Type="http://schemas.openxmlformats.org/officeDocument/2006/relationships/hyperlink" Target="https://nvd.nist.gov/vuln/detail/CVE-2025-8055" TargetMode="External" Id="rId1585"/><Relationship Type="http://schemas.openxmlformats.org/officeDocument/2006/relationships/hyperlink" Target="https://nvd.nist.gov/vuln/detail/CVE-2025-8055" TargetMode="External" Id="rId1586"/><Relationship Type="http://schemas.openxmlformats.org/officeDocument/2006/relationships/hyperlink" Target="https://nvd.nist.gov/vuln/detail/CVE-2025-9208" TargetMode="External" Id="rId1587"/><Relationship Type="http://schemas.openxmlformats.org/officeDocument/2006/relationships/hyperlink" Target="https://nvd.nist.gov/vuln/detail/CVE-2025-9208" TargetMode="External" Id="rId1588"/><Relationship Type="http://schemas.openxmlformats.org/officeDocument/2006/relationships/hyperlink" Target="https://nvd.nist.gov/vuln/detail/CVE-2026-1658" TargetMode="External" Id="rId1589"/><Relationship Type="http://schemas.openxmlformats.org/officeDocument/2006/relationships/hyperlink" Target="https://nvd.nist.gov/vuln/detail/CVE-2026-1658" TargetMode="External" Id="rId1590"/><Relationship Type="http://schemas.openxmlformats.org/officeDocument/2006/relationships/hyperlink" Target="https://nvd.nist.gov/vuln/detail/CVE-2026-21535" TargetMode="External" Id="rId1591"/><Relationship Type="http://schemas.openxmlformats.org/officeDocument/2006/relationships/hyperlink" Target="https://msrc.microsoft.com/update-guide/vulnerability/CVE-2026-21535" TargetMode="External" Id="rId1592"/><Relationship Type="http://schemas.openxmlformats.org/officeDocument/2006/relationships/hyperlink" Target="https://nvd.nist.gov/vuln/detail/CVE-2026-21535" TargetMode="External" Id="rId1593"/><Relationship Type="http://schemas.openxmlformats.org/officeDocument/2006/relationships/hyperlink" Target="https://nvd.nist.gov/vuln/detail/CVE-2026-24122" TargetMode="External" Id="rId1594"/><Relationship Type="http://schemas.openxmlformats.org/officeDocument/2006/relationships/hyperlink" Target="https://github.com/sigstore/cosign/commit/3c9a7363f563db76d78e2de2cabd945450f3781e%20|%20https://github.com/sigstore/cosign/security/advisories/GHSA-wfqv-66vq-46rm" TargetMode="External" Id="rId1595"/><Relationship Type="http://schemas.openxmlformats.org/officeDocument/2006/relationships/hyperlink" Target="https://nvd.nist.gov/vuln/detail/CVE-2026-24122" TargetMode="External" Id="rId1596"/><Relationship Type="http://schemas.openxmlformats.org/officeDocument/2006/relationships/hyperlink" Target="https://nvd.nist.gov/vuln/detail/CVE-2026-26319" TargetMode="External" Id="rId1597"/><Relationship Type="http://schemas.openxmlformats.org/officeDocument/2006/relationships/hyperlink" Target="https://github.com/openclaw/openclaw/commit/29b587e73cbdc941caec573facd16e87d52f007b%20|%20https://github.com/openclaw/openclaw/commit/f47584fec86d6d73f2d483043a2ad0e7e3c50411%20|%20https://github.com/openclaw/openclaw/security/advisories/GHSA-4hg8-92x6-h2f3" TargetMode="External" Id="rId1598"/><Relationship Type="http://schemas.openxmlformats.org/officeDocument/2006/relationships/hyperlink" Target="https://github.com/openclaw/openclaw/security/advisories/GHSA-4hg8-92x6-h2f3" TargetMode="External" Id="rId1599"/><Relationship Type="http://schemas.openxmlformats.org/officeDocument/2006/relationships/hyperlink" Target="https://nvd.nist.gov/vuln/detail/CVE-2026-26319" TargetMode="External" Id="rId1600"/><Relationship Type="http://schemas.openxmlformats.org/officeDocument/2006/relationships/hyperlink" Target="https://nvd.nist.gov/vuln/detail/CVE-2026-26320" TargetMode="External" Id="rId1601"/><Relationship Type="http://schemas.openxmlformats.org/officeDocument/2006/relationships/hyperlink" Target="https://github.com/openclaw/openclaw/commit/28d9dd7a772501ccc3f71457b4adfee79084fe6f%20|%20https://github.com/openclaw/openclaw/security/advisories/GHSA-7q2j-c4q5-rm27" TargetMode="External" Id="rId1602"/><Relationship Type="http://schemas.openxmlformats.org/officeDocument/2006/relationships/hyperlink" Target="https://github.com/openclaw/openclaw/security/advisories/GHSA-7q2j-c4q5-rm27" TargetMode="External" Id="rId1603"/><Relationship Type="http://schemas.openxmlformats.org/officeDocument/2006/relationships/hyperlink" Target="https://nvd.nist.gov/vuln/detail/CVE-2026-26320" TargetMode="External" Id="rId1604"/><Relationship Type="http://schemas.openxmlformats.org/officeDocument/2006/relationships/hyperlink" Target="https://nvd.nist.gov/vuln/detail/CVE-2026-26321" TargetMode="External" Id="rId1605"/><Relationship Type="http://schemas.openxmlformats.org/officeDocument/2006/relationships/hyperlink" Target="https://github.com/openclaw/openclaw/commit/5b4121d6011a48c71e747e3c18197f180b872c5d%20|%20https://github.com/openclaw/openclaw/security/advisories/GHSA-8jpq-5h99-ff5r" TargetMode="External" Id="rId1606"/><Relationship Type="http://schemas.openxmlformats.org/officeDocument/2006/relationships/hyperlink" Target="https://nvd.nist.gov/vuln/detail/CVE-2026-26321" TargetMode="External" Id="rId1607"/><Relationship Type="http://schemas.openxmlformats.org/officeDocument/2006/relationships/hyperlink" Target="https://nvd.nist.gov/vuln/detail/CVE-2026-26322" TargetMode="External" Id="rId1608"/><Relationship Type="http://schemas.openxmlformats.org/officeDocument/2006/relationships/hyperlink" Target="https://github.com/openclaw/openclaw/commit/c5406e1d2434be2ef6eb4d26d8f1798d718713f4%20|%20https://github.com/openclaw/openclaw/security/advisories/GHSA-g6q9-8fvw-f7rf" TargetMode="External" Id="rId1609"/><Relationship Type="http://schemas.openxmlformats.org/officeDocument/2006/relationships/hyperlink" Target="https://nvd.nist.gov/vuln/detail/CVE-2026-26322" TargetMode="External" Id="rId1610"/><Relationship Type="http://schemas.openxmlformats.org/officeDocument/2006/relationships/hyperlink" Target="https://nvd.nist.gov/vuln/detail/CVE-2026-26323" TargetMode="External" Id="rId1611"/><Relationship Type="http://schemas.openxmlformats.org/officeDocument/2006/relationships/hyperlink" Target="https://github.com/openclaw/openclaw/commit/a429380e337152746031d290432a4b93aa553d55%20|%20https://github.com/openclaw/openclaw/security/advisories/GHSA-m7x8-2w3w-pr42" TargetMode="External" Id="rId1612"/><Relationship Type="http://schemas.openxmlformats.org/officeDocument/2006/relationships/hyperlink" Target="https://nvd.nist.gov/vuln/detail/CVE-2026-26323" TargetMode="External" Id="rId1613"/><Relationship Type="http://schemas.openxmlformats.org/officeDocument/2006/relationships/hyperlink" Target="https://nvd.nist.gov/vuln/detail/CVE-2026-26324" TargetMode="External" Id="rId1614"/><Relationship Type="http://schemas.openxmlformats.org/officeDocument/2006/relationships/hyperlink" Target="https://github.com/openclaw/openclaw/commit/c0c0e0f9aecb913e738742f73e091f2f72d39a19%20|%20https://github.com/openclaw/openclaw/security/advisories/GHSA-jrvc-8ff5-2f9f" TargetMode="External" Id="rId1615"/><Relationship Type="http://schemas.openxmlformats.org/officeDocument/2006/relationships/hyperlink" Target="https://nvd.nist.gov/vuln/detail/CVE-2026-26324" TargetMode="External" Id="rId1616"/><Relationship Type="http://schemas.openxmlformats.org/officeDocument/2006/relationships/hyperlink" Target="https://nvd.nist.gov/vuln/detail/CVE-2026-26325" TargetMode="External" Id="rId1617"/><Relationship Type="http://schemas.openxmlformats.org/officeDocument/2006/relationships/hyperlink" Target="https://github.com/openclaw/openclaw/commit/cb3290fca32593956638f161d9776266b90ab891%20|%20https://github.com/openclaw/openclaw/security/advisories/GHSA-h3f9-mjwj-w476" TargetMode="External" Id="rId1618"/><Relationship Type="http://schemas.openxmlformats.org/officeDocument/2006/relationships/hyperlink" Target="https://nvd.nist.gov/vuln/detail/CVE-2026-26325" TargetMode="External" Id="rId1619"/><Relationship Type="http://schemas.openxmlformats.org/officeDocument/2006/relationships/hyperlink" Target="https://nvd.nist.gov/vuln/detail/CVE-2026-26326" TargetMode="External" Id="rId1620"/><Relationship Type="http://schemas.openxmlformats.org/officeDocument/2006/relationships/hyperlink" Target="https://github.com/openclaw/openclaw/commit/d3428053d95eefbe10ecf04f92218ffcba55ae5a%20|%20https://github.com/openclaw/openclaw/commit/ebc68861a61067fc37f9298bded3eec9de0ba783%20|%20https://github.com/openclaw/openclaw/security/advisories/GHSA-8mh7-phf8-xgfm" TargetMode="External" Id="rId1621"/><Relationship Type="http://schemas.openxmlformats.org/officeDocument/2006/relationships/hyperlink" Target="https://nvd.nist.gov/vuln/detail/CVE-2026-26326" TargetMode="External" Id="rId1622"/><Relationship Type="http://schemas.openxmlformats.org/officeDocument/2006/relationships/hyperlink" Target="https://nvd.nist.gov/vuln/detail/CVE-2026-26327" TargetMode="External" Id="rId1623"/><Relationship Type="http://schemas.openxmlformats.org/officeDocument/2006/relationships/hyperlink" Target="https://github.com/openclaw/openclaw/commit/d583782ee322a6faa1fe87ae52455e0d349de586%20|%20https://github.com/openclaw/openclaw/security/advisories/GHSA-pv58-549p-qh99" TargetMode="External" Id="rId1624"/><Relationship Type="http://schemas.openxmlformats.org/officeDocument/2006/relationships/hyperlink" Target="https://nvd.nist.gov/vuln/detail/CVE-2026-26327" TargetMode="External" Id="rId1625"/><Relationship Type="http://schemas.openxmlformats.org/officeDocument/2006/relationships/hyperlink" Target="https://nvd.nist.gov/vuln/detail/CVE-2026-26952" TargetMode="External" Id="rId1626"/><Relationship Type="http://schemas.openxmlformats.org/officeDocument/2006/relationships/hyperlink" Target="https://nvd.nist.gov/vuln/detail/CVE-2026-26952" TargetMode="External" Id="rId1627"/><Relationship Type="http://schemas.openxmlformats.org/officeDocument/2006/relationships/hyperlink" Target="https://nvd.nist.gov/vuln/detail/CVE-2026-26953" TargetMode="External" Id="rId1628"/><Relationship Type="http://schemas.openxmlformats.org/officeDocument/2006/relationships/hyperlink" Target="https://nvd.nist.gov/vuln/detail/CVE-2026-26953" TargetMode="External" Id="rId1629"/><Relationship Type="http://schemas.openxmlformats.org/officeDocument/2006/relationships/hyperlink" Target="https://nvd.nist.gov/vuln/detail/CVE-2026-26958" TargetMode="External" Id="rId1630"/><Relationship Type="http://schemas.openxmlformats.org/officeDocument/2006/relationships/hyperlink" Target="https://nvd.nist.gov/vuln/detail/CVE-2026-26958" TargetMode="External" Id="rId1631"/><Relationship Type="http://schemas.openxmlformats.org/officeDocument/2006/relationships/hyperlink" Target="https://nvd.nist.gov/vuln/detail/CVE-2026-1292" TargetMode="External" Id="rId1632"/><Relationship Type="http://schemas.openxmlformats.org/officeDocument/2006/relationships/hyperlink" Target="https://nvd.nist.gov/vuln/detail/CVE-2026-1292" TargetMode="External" Id="rId1633"/><Relationship Type="http://schemas.openxmlformats.org/officeDocument/2006/relationships/hyperlink" Target="https://nvd.nist.gov/vuln/detail/CVE-2026-26328" TargetMode="External" Id="rId1634"/><Relationship Type="http://schemas.openxmlformats.org/officeDocument/2006/relationships/hyperlink" Target="https://nvd.nist.gov/vuln/detail/CVE-2026-26328" TargetMode="External" Id="rId1635"/><Relationship Type="http://schemas.openxmlformats.org/officeDocument/2006/relationships/hyperlink" Target="https://nvd.nist.gov/vuln/detail/CVE-2026-26329" TargetMode="External" Id="rId1636"/><Relationship Type="http://schemas.openxmlformats.org/officeDocument/2006/relationships/hyperlink" Target="https://github.com/openclaw/openclaw/commit/3aa94afcfd12104c683c9cad81faf434d0dadf87%20|%20https://github.com/openclaw/openclaw/security/advisories/GHSA-cv7m-c9jx-vg7q" TargetMode="External" Id="rId1637"/><Relationship Type="http://schemas.openxmlformats.org/officeDocument/2006/relationships/hyperlink" Target="https://nvd.nist.gov/vuln/detail/CVE-2026-26329" TargetMode="External" Id="rId1638"/><Relationship Type="http://schemas.openxmlformats.org/officeDocument/2006/relationships/hyperlink" Target="https://nvd.nist.gov/vuln/detail/CVE-2026-26957" TargetMode="External" Id="rId1639"/><Relationship Type="http://schemas.openxmlformats.org/officeDocument/2006/relationships/hyperlink" Target="https://nvd.nist.gov/vuln/detail/CVE-2026-26957" TargetMode="External" Id="rId1640"/><Relationship Type="http://schemas.openxmlformats.org/officeDocument/2006/relationships/hyperlink" Target="https://nvd.nist.gov/vuln/detail/CVE-2026-26959" TargetMode="External" Id="rId1641"/><Relationship Type="http://schemas.openxmlformats.org/officeDocument/2006/relationships/hyperlink" Target="https://nvd.nist.gov/vuln/detail/CVE-2026-26959" TargetMode="External" Id="rId1642"/><Relationship Type="http://schemas.openxmlformats.org/officeDocument/2006/relationships/hyperlink" Target="https://nvd.nist.gov/vuln/detail/CVE-2026-26963" TargetMode="External" Id="rId1643"/><Relationship Type="http://schemas.openxmlformats.org/officeDocument/2006/relationships/hyperlink" Target="https://github.com/cilium/cilium/commit/88e28e1e62c0b1a02c3f0fc22d888ac9eefbe885%20|%20https://github.com/cilium/cilium/security/advisories/GHSA-5r23-prx4-mqg3" TargetMode="External" Id="rId1644"/><Relationship Type="http://schemas.openxmlformats.org/officeDocument/2006/relationships/hyperlink" Target="https://nvd.nist.gov/vuln/detail/CVE-2026-26963" TargetMode="External" Id="rId1645"/><Relationship Type="http://schemas.openxmlformats.org/officeDocument/2006/relationships/hyperlink" Target="https://nvd.nist.gov/vuln/detail/CVE-2026-26964" TargetMode="External" Id="rId1646"/><Relationship Type="http://schemas.openxmlformats.org/officeDocument/2006/relationships/hyperlink" Target="https://nvd.nist.gov/vuln/detail/CVE-2026-26964" TargetMode="External" Id="rId1647"/><Relationship Type="http://schemas.openxmlformats.org/officeDocument/2006/relationships/hyperlink" Target="http://www.zerodayinitiative.com/advisories/ZDI-26-123/" TargetMode="External" Id="rId1648"/><Relationship Type="http://schemas.openxmlformats.org/officeDocument/2006/relationships/hyperlink" Target="https://nvd.nist.gov/vuln/detail/CVE-2026-26972" TargetMode="External" Id="rId1649"/><Relationship Type="http://schemas.openxmlformats.org/officeDocument/2006/relationships/hyperlink" Target="https://github.com/openclaw/openclaw/commit/7f0489e4731c8d965d78d6eac4a60312e46a9426%20|%20https://github.com/openclaw/openclaw/security/advisories/GHSA-xwjm-j929-xq7c" TargetMode="External" Id="rId1650"/><Relationship Type="http://schemas.openxmlformats.org/officeDocument/2006/relationships/hyperlink" Target="https://nvd.nist.gov/vuln/detail/CVE-2026-26972" TargetMode="External" Id="rId1651"/><Relationship Type="http://schemas.openxmlformats.org/officeDocument/2006/relationships/hyperlink" Target="https://nvd.nist.gov/vuln/detail/CVE-2026-27001" TargetMode="External" Id="rId1652"/><Relationship Type="http://schemas.openxmlformats.org/officeDocument/2006/relationships/hyperlink" Target="https://github.com/openclaw/openclaw/commit/6254e96acf16e70ceccc8f9b2abecee44d606f79%20|%20https://github.com/openclaw/openclaw/security/advisories/GHSA-2qj5-gwg2-xwc4" TargetMode="External" Id="rId1653"/><Relationship Type="http://schemas.openxmlformats.org/officeDocument/2006/relationships/hyperlink" Target="https://nvd.nist.gov/vuln/detail/CVE-2026-27001" TargetMode="External" Id="rId1654"/><Relationship Type="http://schemas.openxmlformats.org/officeDocument/2006/relationships/hyperlink" Target="https://nvd.nist.gov/vuln/detail/CVE-2026-27002" TargetMode="External" Id="rId1655"/><Relationship Type="http://schemas.openxmlformats.org/officeDocument/2006/relationships/hyperlink" Target="https://github.com/openclaw/openclaw/commit/887b209db47f1f9322fead241a1c0b043fd38339%20|%20https://github.com/openclaw/openclaw/security/advisories/GHSA-w235-x559-36mg" TargetMode="External" Id="rId1656"/><Relationship Type="http://schemas.openxmlformats.org/officeDocument/2006/relationships/hyperlink" Target="https://github.com/openclaw/openclaw/security/advisories/GHSA-w235-x559-36mg" TargetMode="External" Id="rId1657"/><Relationship Type="http://schemas.openxmlformats.org/officeDocument/2006/relationships/hyperlink" Target="https://nvd.nist.gov/vuln/detail/CVE-2026-27002" TargetMode="External" Id="rId1658"/><Relationship Type="http://schemas.openxmlformats.org/officeDocument/2006/relationships/hyperlink" Target="https://nvd.nist.gov/vuln/detail/CVE-2026-27003" TargetMode="External" Id="rId1659"/><Relationship Type="http://schemas.openxmlformats.org/officeDocument/2006/relationships/hyperlink" Target="https://github.com/openclaw/openclaw/commit/cf69907015b659e5025efb735ee31bd05c4ee3d5%20|%20https://github.com/openclaw/openclaw/security/advisories/GHSA-chf7-jq6g-qrwv" TargetMode="External" Id="rId1660"/><Relationship Type="http://schemas.openxmlformats.org/officeDocument/2006/relationships/hyperlink" Target="https://nvd.nist.gov/vuln/detail/CVE-2026-27003" TargetMode="External" Id="rId1661"/><Relationship Type="http://schemas.openxmlformats.org/officeDocument/2006/relationships/hyperlink" Target="https://nvd.nist.gov/vuln/detail/CVE-2026-27004" TargetMode="External" Id="rId1662"/><Relationship Type="http://schemas.openxmlformats.org/officeDocument/2006/relationships/hyperlink" Target="https://github.com/openclaw/openclaw/commit/c6c53437f7da033b94a01d492e904974e7bda74c%20|%20https://github.com/openclaw/openclaw/security/advisories/GHSA-6hf3-mhgc-cm65" TargetMode="External" Id="rId1663"/><Relationship Type="http://schemas.openxmlformats.org/officeDocument/2006/relationships/hyperlink" Target="https://github.com/openclaw/openclaw/security/advisories/GHSA-6hf3-mhgc-cm65" TargetMode="External" Id="rId1664"/><Relationship Type="http://schemas.openxmlformats.org/officeDocument/2006/relationships/hyperlink" Target="https://nvd.nist.gov/vuln/detail/CVE-2026-27004" TargetMode="External" Id="rId1665"/><Relationship Type="http://schemas.openxmlformats.org/officeDocument/2006/relationships/hyperlink" Target="https://nvd.nist.gov/vuln/detail/CVE-2026-27007" TargetMode="External" Id="rId1666"/><Relationship Type="http://schemas.openxmlformats.org/officeDocument/2006/relationships/hyperlink" Target="https://github.com/openclaw/openclaw/commit/41ded303b4f6dae5afa854531ff837c3276ad60b%20|%20https://github.com/openclaw/openclaw/security/advisories/GHSA-xxvh-5hwj-42pp" TargetMode="External" Id="rId1667"/><Relationship Type="http://schemas.openxmlformats.org/officeDocument/2006/relationships/hyperlink" Target="https://nvd.nist.gov/vuln/detail/CVE-2026-27007" TargetMode="External" Id="rId1668"/><Relationship Type="http://schemas.openxmlformats.org/officeDocument/2006/relationships/hyperlink" Target="https://nvd.nist.gov/vuln/detail/CVE-2026-27008" TargetMode="External" Id="rId1669"/><Relationship Type="http://schemas.openxmlformats.org/officeDocument/2006/relationships/hyperlink" Target="https://github.com/openclaw/openclaw/commit/2363e1b0853a028e47f90dcc1066e3e9809d65f1%20|%20https://github.com/openclaw/openclaw/commit/b6305e97256d67e439719faacf5af3de9727d6e1%20|%20https://github.com/openclaw/openclaw/security/advisories/GHSA-h7f7-89mm-pqh6" TargetMode="External" Id="rId1670"/><Relationship Type="http://schemas.openxmlformats.org/officeDocument/2006/relationships/hyperlink" Target="https://nvd.nist.gov/vuln/detail/CVE-2026-27008" TargetMode="External" Id="rId1671"/><Relationship Type="http://schemas.openxmlformats.org/officeDocument/2006/relationships/hyperlink" Target="https://nvd.nist.gov/vuln/detail/CVE-2026-27009" TargetMode="External" Id="rId1672"/><Relationship Type="http://schemas.openxmlformats.org/officeDocument/2006/relationships/hyperlink" Target="https://github.com/openclaw/openclaw/commit/3b4096e02e7e335f99f5986ec1bd566e90b14a7e%20|%20https://github.com/openclaw/openclaw/commit/adc818db4a4b3b8d663e7674ef20436947514e1b%20|%20https://github.com/openclaw/openclaw/security/advisories/GHSA-37gc-85xm-2ww6" TargetMode="External" Id="rId1673"/><Relationship Type="http://schemas.openxmlformats.org/officeDocument/2006/relationships/hyperlink" Target="https://nvd.nist.gov/vuln/detail/CVE-2026-27009" TargetMode="External" Id="rId1674"/><Relationship Type="http://schemas.openxmlformats.org/officeDocument/2006/relationships/hyperlink" Target="https://nvd.nist.gov/vuln/detail/CVE-2026-2350" TargetMode="External" Id="rId1675"/><Relationship Type="http://schemas.openxmlformats.org/officeDocument/2006/relationships/hyperlink" Target="https://nvd.nist.gov/vuln/detail/CVE-2026-2350" TargetMode="External" Id="rId1676"/><Relationship Type="http://schemas.openxmlformats.org/officeDocument/2006/relationships/hyperlink" Target="https://nvd.nist.gov/vuln/detail/CVE-2026-2408" TargetMode="External" Id="rId1677"/><Relationship Type="http://schemas.openxmlformats.org/officeDocument/2006/relationships/hyperlink" Target="https://nvd.nist.gov/vuln/detail/CVE-2026-2408" TargetMode="External" Id="rId1678"/><Relationship Type="http://schemas.openxmlformats.org/officeDocument/2006/relationships/hyperlink" Target="https://nvd.nist.gov/vuln/detail/CVE-2026-2435" TargetMode="External" Id="rId1679"/><Relationship Type="http://schemas.openxmlformats.org/officeDocument/2006/relationships/hyperlink" Target="https://nvd.nist.gov/vuln/detail/CVE-2026-2435" TargetMode="External" Id="rId1680"/><Relationship Type="http://schemas.openxmlformats.org/officeDocument/2006/relationships/hyperlink" Target="https://nvd.nist.gov/vuln/detail/CVE-2026-2605" TargetMode="External" Id="rId1681"/><Relationship Type="http://schemas.openxmlformats.org/officeDocument/2006/relationships/hyperlink" Target="https://security.tanium.com/TAN-2026-006" TargetMode="External" Id="rId1682"/><Relationship Type="http://schemas.openxmlformats.org/officeDocument/2006/relationships/hyperlink" Target="https://nvd.nist.gov/vuln/detail/CVE-2026-2605" TargetMode="External" Id="rId1683"/><Relationship Type="http://schemas.openxmlformats.org/officeDocument/2006/relationships/hyperlink" Target="https://nvd.nist.gov/vuln/detail/CVE-2025-30410" TargetMode="External" Id="rId1684"/><Relationship Type="http://schemas.openxmlformats.org/officeDocument/2006/relationships/hyperlink" Target="https://nvd.nist.gov/vuln/detail/CVE-2025-30410" TargetMode="External" Id="rId1685"/><Relationship Type="http://schemas.openxmlformats.org/officeDocument/2006/relationships/hyperlink" Target="https://nvd.nist.gov/vuln/detail/CVE-2025-30411" TargetMode="External" Id="rId1686"/><Relationship Type="http://schemas.openxmlformats.org/officeDocument/2006/relationships/hyperlink" Target="https://nvd.nist.gov/vuln/detail/CVE-2025-30411" TargetMode="External" Id="rId1687"/><Relationship Type="http://schemas.openxmlformats.org/officeDocument/2006/relationships/hyperlink" Target="https://nvd.nist.gov/vuln/detail/CVE-2025-30412" TargetMode="External" Id="rId1688"/><Relationship Type="http://schemas.openxmlformats.org/officeDocument/2006/relationships/hyperlink" Target="https://nvd.nist.gov/vuln/detail/CVE-2025-30412" TargetMode="External" Id="rId1689"/><Relationship Type="http://schemas.openxmlformats.org/officeDocument/2006/relationships/hyperlink" Target="https://nvd.nist.gov/vuln/detail/CVE-2025-30416" TargetMode="External" Id="rId1690"/><Relationship Type="http://schemas.openxmlformats.org/officeDocument/2006/relationships/hyperlink" Target="https://nvd.nist.gov/vuln/detail/CVE-2025-30416" TargetMode="External" Id="rId1691"/><Relationship Type="http://schemas.openxmlformats.org/officeDocument/2006/relationships/hyperlink" Target="https://nvd.nist.gov/vuln/detail/CVE-2026-26967" TargetMode="External" Id="rId1692"/><Relationship Type="http://schemas.openxmlformats.org/officeDocument/2006/relationships/hyperlink" Target="https://github.com/pjsip/pjproject/commit/f821c214e52b11bae11e4cd3c7f0864538fb5491%20|%20https://github.com/pjsip/pjproject/security/advisories/GHSA-x2hc-6969-g8v6" TargetMode="External" Id="rId1693"/><Relationship Type="http://schemas.openxmlformats.org/officeDocument/2006/relationships/hyperlink" Target="https://nvd.nist.gov/vuln/detail/CVE-2026-26967" TargetMode="External" Id="rId1694"/><Relationship Type="http://schemas.openxmlformats.org/officeDocument/2006/relationships/hyperlink" Target="https://nvd.nist.gov/vuln/detail/CVE-2026-26974" TargetMode="External" Id="rId1695"/><Relationship Type="http://schemas.openxmlformats.org/officeDocument/2006/relationships/hyperlink" Target="https://nvd.nist.gov/vuln/detail/CVE-2026-26974" TargetMode="External" Id="rId1696"/><Relationship Type="http://schemas.openxmlformats.org/officeDocument/2006/relationships/hyperlink" Target="https://nvd.nist.gov/vuln/detail/CVE-2026-26975" TargetMode="External" Id="rId1697"/><Relationship Type="http://schemas.openxmlformats.org/officeDocument/2006/relationships/hyperlink" Target="https://nvd.nist.gov/vuln/detail/CVE-2026-26975" TargetMode="External" Id="rId1698"/><Relationship Type="http://schemas.openxmlformats.org/officeDocument/2006/relationships/hyperlink" Target="https://nvd.nist.gov/vuln/detail/CVE-2026-26064" TargetMode="External" Id="rId1699"/><Relationship Type="http://schemas.openxmlformats.org/officeDocument/2006/relationships/hyperlink" Target="https://github.com/kovidgoyal/calibre/commit/e1b5f9b45a5e8fa96c136963ad9a1d35e6adac62%20|%20https://github.com/kovidgoyal/calibre/security/advisories/GHSA-72ch-3hqc-pgmp" TargetMode="External" Id="rId1700"/><Relationship Type="http://schemas.openxmlformats.org/officeDocument/2006/relationships/hyperlink" Target="https://nvd.nist.gov/vuln/detail/CVE-2026-26064" TargetMode="External" Id="rId1701"/><Relationship Type="http://schemas.openxmlformats.org/officeDocument/2006/relationships/hyperlink" Target="https://nvd.nist.gov/vuln/detail/CVE-2026-26065" TargetMode="External" Id="rId1702"/><Relationship Type="http://schemas.openxmlformats.org/officeDocument/2006/relationships/hyperlink" Target="https://github.com/kovidgoyal/calibre/commit/b6da1c3878c06eb1356cb0ec1106cb66e0e9bfb8" TargetMode="External" Id="rId1703"/><Relationship Type="http://schemas.openxmlformats.org/officeDocument/2006/relationships/hyperlink" Target="https://nvd.nist.gov/vuln/detail/CVE-2026-26065" TargetMode="External" Id="rId1704"/><Relationship Type="http://schemas.openxmlformats.org/officeDocument/2006/relationships/hyperlink" Target="https://nvd.nist.gov/vuln/detail/CVE-2026-26960" TargetMode="External" Id="rId1705"/><Relationship Type="http://schemas.openxmlformats.org/officeDocument/2006/relationships/hyperlink" Target="https://github.com/isaacs/node-tar/commit/2cb1120bcefe28d7ecc719b41441ade59c52e384%20|%20https://github.com/isaacs/node-tar/commit/d18e4e1f846f4ddddc153b0f536a19c050e7499f%20|%20https://github.com/isaacs/node-tar/security/advisories/GHSA-83g3-92jg-28cx" TargetMode="External" Id="rId1706"/><Relationship Type="http://schemas.openxmlformats.org/officeDocument/2006/relationships/hyperlink" Target="https://nvd.nist.gov/vuln/detail/CVE-2026-26960" TargetMode="External" Id="rId1707"/><Relationship Type="http://schemas.openxmlformats.org/officeDocument/2006/relationships/hyperlink" Target="https://nvd.nist.gov/vuln/detail/CVE-2026-26977" TargetMode="External" Id="rId1708"/><Relationship Type="http://schemas.openxmlformats.org/officeDocument/2006/relationships/hyperlink" Target="https://github.com/frappe/lms/security/advisories/GHSA-26vf-p39q-frx3" TargetMode="External" Id="rId1709"/><Relationship Type="http://schemas.openxmlformats.org/officeDocument/2006/relationships/hyperlink" Target="https://nvd.nist.gov/vuln/detail/CVE-2026-26977" TargetMode="External" Id="rId1710"/><Relationship Type="http://schemas.openxmlformats.org/officeDocument/2006/relationships/hyperlink" Target="https://nvd.nist.gov/vuln/detail/CVE-2026-26980" TargetMode="External" Id="rId1711"/><Relationship Type="http://schemas.openxmlformats.org/officeDocument/2006/relationships/hyperlink" Target="https://github.com/TryGhost/Ghost/commit/30868d632b2252b638bc8a4c8ebf73964592ed91%20|%20https://github.com/TryGhost/Ghost/security/advisories/GHSA-w52v-v783-gw97" TargetMode="External" Id="rId1712"/><Relationship Type="http://schemas.openxmlformats.org/officeDocument/2006/relationships/hyperlink" Target="https://github.com/TryGhost/Ghost/security/advisories/GHSA-w52v-v783-gw97" TargetMode="External" Id="rId1713"/><Relationship Type="http://schemas.openxmlformats.org/officeDocument/2006/relationships/hyperlink" Target="https://nvd.nist.gov/vuln/detail/CVE-2026-26980" TargetMode="External" Id="rId1714"/><Relationship Type="http://schemas.openxmlformats.org/officeDocument/2006/relationships/hyperlink" Target="https://nvd.nist.gov/vuln/detail/CVE-2026-26987" TargetMode="External" Id="rId1715"/><Relationship Type="http://schemas.openxmlformats.org/officeDocument/2006/relationships/hyperlink" Target="https://github.com/librenms/librenms/commit/8e626b38ef92e240532cdac2ac7e38706a71208b" TargetMode="External" Id="rId1716"/><Relationship Type="http://schemas.openxmlformats.org/officeDocument/2006/relationships/hyperlink" Target="https://nvd.nist.gov/vuln/detail/CVE-2026-26987" TargetMode="External" Id="rId1717"/><Relationship Type="http://schemas.openxmlformats.org/officeDocument/2006/relationships/hyperlink" Target="https://nvd.nist.gov/vuln/detail/CVE-2026-26988" TargetMode="External" Id="rId1718"/><Relationship Type="http://schemas.openxmlformats.org/officeDocument/2006/relationships/hyperlink" Target="https://github.com/librenms/librenms/commit/15429580baba03ed1dd377bada1bde4b7a1175a1" TargetMode="External" Id="rId1719"/><Relationship Type="http://schemas.openxmlformats.org/officeDocument/2006/relationships/hyperlink" Target="https://nvd.nist.gov/vuln/detail/CVE-2026-26988" TargetMode="External" Id="rId1720"/><Relationship Type="http://schemas.openxmlformats.org/officeDocument/2006/relationships/hyperlink" Target="https://nvd.nist.gov/vuln/detail/CVE-2026-26989" TargetMode="External" Id="rId1721"/><Relationship Type="http://schemas.openxmlformats.org/officeDocument/2006/relationships/hyperlink" Target="https://github.com/librenms/librenms/commit/087608cf9f851189847cb8e8e5ad002e59170c58" TargetMode="External" Id="rId1722"/><Relationship Type="http://schemas.openxmlformats.org/officeDocument/2006/relationships/hyperlink" Target="https://nvd.nist.gov/vuln/detail/CVE-2026-26989" TargetMode="External" Id="rId1723"/><Relationship Type="http://schemas.openxmlformats.org/officeDocument/2006/relationships/hyperlink" Target="https://nvd.nist.gov/vuln/detail/CVE-2026-26990" TargetMode="External" Id="rId1724"/><Relationship Type="http://schemas.openxmlformats.org/officeDocument/2006/relationships/hyperlink" Target="https://github.com/librenms/librenms/commit/15429580baba03ed1dd377bada1bde4b7a1175a1" TargetMode="External" Id="rId1725"/><Relationship Type="http://schemas.openxmlformats.org/officeDocument/2006/relationships/hyperlink" Target="https://nvd.nist.gov/vuln/detail/CVE-2026-26990" TargetMode="External" Id="rId1726"/><Relationship Type="http://schemas.openxmlformats.org/officeDocument/2006/relationships/hyperlink" Target="https://nvd.nist.gov/vuln/detail/CVE-2026-27016" TargetMode="External" Id="rId1727"/><Relationship Type="http://schemas.openxmlformats.org/officeDocument/2006/relationships/hyperlink" Target="https://github.com/librenms/librenms/commit/3bea263e02441690c01dea7fa3fe6ffec94af335" TargetMode="External" Id="rId1728"/><Relationship Type="http://schemas.openxmlformats.org/officeDocument/2006/relationships/hyperlink" Target="https://nvd.nist.gov/vuln/detail/CVE-2026-27016" TargetMode="External" Id="rId1729"/><Relationship Type="http://schemas.openxmlformats.org/officeDocument/2006/relationships/hyperlink" Target="https://nvd.nist.gov/vuln/detail/CVE-2026-2819" TargetMode="External" Id="rId1730"/><Relationship Type="http://schemas.openxmlformats.org/officeDocument/2006/relationships/hyperlink" Target="https://nvd.nist.gov/vuln/detail/CVE-2026-2819" TargetMode="External" Id="rId1731"/><Relationship Type="http://schemas.openxmlformats.org/officeDocument/2006/relationships/hyperlink" Target="https://nvd.nist.gov/vuln/detail/CVE-2026-2820" TargetMode="External" Id="rId1732"/><Relationship Type="http://schemas.openxmlformats.org/officeDocument/2006/relationships/hyperlink" Target="https://nvd.nist.gov/vuln/detail/CVE-2026-2820" TargetMode="External" Id="rId1733"/><Relationship Type="http://schemas.openxmlformats.org/officeDocument/2006/relationships/hyperlink" Target="https://nvd.nist.gov/vuln/detail/CVE-2026-26991" TargetMode="External" Id="rId1734"/><Relationship Type="http://schemas.openxmlformats.org/officeDocument/2006/relationships/hyperlink" Target="https://github.com/librenms/librenms/commit/64b31da444369213eb4559ec1c304ebfaa0ba12c" TargetMode="External" Id="rId1735"/><Relationship Type="http://schemas.openxmlformats.org/officeDocument/2006/relationships/hyperlink" Target="https://nvd.nist.gov/vuln/detail/CVE-2026-26991" TargetMode="External" Id="rId1736"/><Relationship Type="http://schemas.openxmlformats.org/officeDocument/2006/relationships/hyperlink" Target="https://nvd.nist.gov/vuln/detail/CVE-2026-26992" TargetMode="External" Id="rId1737"/><Relationship Type="http://schemas.openxmlformats.org/officeDocument/2006/relationships/hyperlink" Target="https://github.com/librenms/librenms/commit/882fe6f90ea504a3732f83caf89bba7850a5699f" TargetMode="External" Id="rId1738"/><Relationship Type="http://schemas.openxmlformats.org/officeDocument/2006/relationships/hyperlink" Target="https://nvd.nist.gov/vuln/detail/CVE-2026-26992" TargetMode="External" Id="rId1739"/><Relationship Type="http://schemas.openxmlformats.org/officeDocument/2006/relationships/hyperlink" Target="https://nvd.nist.gov/vuln/detail/CVE-2026-26993" TargetMode="External" Id="rId1740"/><Relationship Type="http://schemas.openxmlformats.org/officeDocument/2006/relationships/hyperlink" Target="https://nvd.nist.gov/vuln/detail/CVE-2026-26993" TargetMode="External" Id="rId1741"/><Relationship Type="http://schemas.openxmlformats.org/officeDocument/2006/relationships/hyperlink" Target="https://nvd.nist.gov/vuln/detail/CVE-2026-26994" TargetMode="External" Id="rId1742"/><Relationship Type="http://schemas.openxmlformats.org/officeDocument/2006/relationships/hyperlink" Target="https://github.com/refraction-networking/utls/commit/f8892761e2a4d29054264651d3a86fda83bc83f9%20|%20https://github.com/refraction-networking/utls/pull/337%20|%20https://github.com/refraction-networking/utls/security/advisories/GHSA-pmc3-p9hx-jq96" TargetMode="External" Id="rId1743"/><Relationship Type="http://schemas.openxmlformats.org/officeDocument/2006/relationships/hyperlink" Target="https://nvd.nist.gov/vuln/detail/CVE-2026-26994" TargetMode="External" Id="rId1744"/><Relationship Type="http://schemas.openxmlformats.org/officeDocument/2006/relationships/hyperlink" Target="https://nvd.nist.gov/vuln/detail/CVE-2026-26995" TargetMode="External" Id="rId1745"/><Relationship Type="http://schemas.openxmlformats.org/officeDocument/2006/relationships/hyperlink" Target="https://nvd.nist.gov/vuln/detail/CVE-2026-26995" TargetMode="External" Id="rId1746"/><Relationship Type="http://schemas.openxmlformats.org/officeDocument/2006/relationships/hyperlink" Target="https://nvd.nist.gov/vuln/detail/CVE-2026-26996" TargetMode="External" Id="rId1747"/><Relationship Type="http://schemas.openxmlformats.org/officeDocument/2006/relationships/hyperlink" Target="https://github.com/isaacs/minimatch/commit/2e111f3a79abc00fa73110195de2c0f2351904f5%20|%20https://github.com/isaacs/minimatch/security/advisories/GHSA-3ppc-4f35-3m26" TargetMode="External" Id="rId1748"/><Relationship Type="http://schemas.openxmlformats.org/officeDocument/2006/relationships/hyperlink" Target="https://nvd.nist.gov/vuln/detail/CVE-2026-26996" TargetMode="External" Id="rId1749"/><Relationship Type="http://schemas.openxmlformats.org/officeDocument/2006/relationships/hyperlink" Target="https://nvd.nist.gov/vuln/detail/CVE-2026-27017" TargetMode="External" Id="rId1750"/><Relationship Type="http://schemas.openxmlformats.org/officeDocument/2006/relationships/hyperlink" Target="https://github.com/refraction-networking/utls/security/advisories/GHSA-7m29-f4hw-g2vx" TargetMode="External" Id="rId1751"/><Relationship Type="http://schemas.openxmlformats.org/officeDocument/2006/relationships/hyperlink" Target="https://nvd.nist.gov/vuln/detail/CVE-2026-27017" TargetMode="External" Id="rId1752"/><Relationship Type="http://schemas.openxmlformats.org/officeDocument/2006/relationships/hyperlink" Target="https://nvd.nist.gov/vuln/detail/CVE-2026-2384" TargetMode="External" Id="rId1753"/><Relationship Type="http://schemas.openxmlformats.org/officeDocument/2006/relationships/hyperlink" Target="https://nvd.nist.gov/vuln/detail/CVE-2026-2384" TargetMode="External" Id="rId1754"/><Relationship Type="http://schemas.openxmlformats.org/officeDocument/2006/relationships/hyperlink" Target="https://nvd.nist.gov/vuln/detail/CVE-2026-2821" TargetMode="External" Id="rId1755"/><Relationship Type="http://schemas.openxmlformats.org/officeDocument/2006/relationships/hyperlink" Target="https://nvd.nist.gov/vuln/detail/CVE-2026-2821" TargetMode="External" Id="rId1756"/><Relationship Type="http://schemas.openxmlformats.org/officeDocument/2006/relationships/hyperlink" Target="https://nvd.nist.gov/vuln/detail/CVE-2026-27317" TargetMode="External" Id="rId1757"/><Relationship Type="http://schemas.openxmlformats.org/officeDocument/2006/relationships/hyperlink" Target="https://nvd.nist.gov/vuln/detail/CVE-2026-27317" TargetMode="External" Id="rId1758"/><Relationship Type="http://schemas.openxmlformats.org/officeDocument/2006/relationships/hyperlink" Target="https://nvd.nist.gov/vuln/detail/CVE-2026-27318" TargetMode="External" Id="rId1759"/><Relationship Type="http://schemas.openxmlformats.org/officeDocument/2006/relationships/hyperlink" Target="https://nvd.nist.gov/vuln/detail/CVE-2026-27318" TargetMode="External" Id="rId1760"/><Relationship Type="http://schemas.openxmlformats.org/officeDocument/2006/relationships/hyperlink" Target="https://nvd.nist.gov/vuln/detail/CVE-2026-27319" TargetMode="External" Id="rId1761"/><Relationship Type="http://schemas.openxmlformats.org/officeDocument/2006/relationships/hyperlink" Target="https://nvd.nist.gov/vuln/detail/CVE-2026-27319" TargetMode="External" Id="rId1762"/><Relationship Type="http://schemas.openxmlformats.org/officeDocument/2006/relationships/hyperlink" Target="https://nvd.nist.gov/vuln/detail/CVE-2026-27320" TargetMode="External" Id="rId1763"/><Relationship Type="http://schemas.openxmlformats.org/officeDocument/2006/relationships/hyperlink" Target="https://nvd.nist.gov/vuln/detail/CVE-2026-27320" TargetMode="External" Id="rId1764"/><Relationship Type="http://schemas.openxmlformats.org/officeDocument/2006/relationships/hyperlink" Target="https://nvd.nist.gov/vuln/detail/CVE-2026-27321" TargetMode="External" Id="rId1765"/><Relationship Type="http://schemas.openxmlformats.org/officeDocument/2006/relationships/hyperlink" Target="https://nvd.nist.gov/vuln/detail/CVE-2026-27321" TargetMode="External" Id="rId1766"/><Relationship Type="http://schemas.openxmlformats.org/officeDocument/2006/relationships/hyperlink" Target="https://nvd.nist.gov/vuln/detail/CVE-2026-27322" TargetMode="External" Id="rId1767"/><Relationship Type="http://schemas.openxmlformats.org/officeDocument/2006/relationships/hyperlink" Target="https://nvd.nist.gov/vuln/detail/CVE-2026-27322" TargetMode="External" Id="rId1768"/><Relationship Type="http://schemas.openxmlformats.org/officeDocument/2006/relationships/hyperlink" Target="https://nvd.nist.gov/vuln/detail/CVE-2026-27323" TargetMode="External" Id="rId1769"/><Relationship Type="http://schemas.openxmlformats.org/officeDocument/2006/relationships/hyperlink" Target="https://nvd.nist.gov/vuln/detail/CVE-2026-27323" TargetMode="External" Id="rId1770"/><Relationship Type="http://schemas.openxmlformats.org/officeDocument/2006/relationships/hyperlink" Target="https://nvd.nist.gov/vuln/detail/CVE-2026-27324" TargetMode="External" Id="rId1771"/><Relationship Type="http://schemas.openxmlformats.org/officeDocument/2006/relationships/hyperlink" Target="https://nvd.nist.gov/vuln/detail/CVE-2026-27324" TargetMode="External" Id="rId1772"/><Relationship Type="http://schemas.openxmlformats.org/officeDocument/2006/relationships/hyperlink" Target="https://nvd.nist.gov/vuln/detail/CVE-2026-27325" TargetMode="External" Id="rId1773"/><Relationship Type="http://schemas.openxmlformats.org/officeDocument/2006/relationships/hyperlink" Target="https://nvd.nist.gov/vuln/detail/CVE-2026-27325" TargetMode="External" Id="rId1774"/><Relationship Type="http://schemas.openxmlformats.org/officeDocument/2006/relationships/hyperlink" Target="https://nvd.nist.gov/vuln/detail/CVE-2026-2739" TargetMode="External" Id="rId1775"/><Relationship Type="http://schemas.openxmlformats.org/officeDocument/2006/relationships/hyperlink" Target="https://nvd.nist.gov/vuln/detail/CVE-2026-2739" TargetMode="External" Id="rId1776"/><Relationship Type="http://schemas.openxmlformats.org/officeDocument/2006/relationships/hyperlink" Target="https://nvd.nist.gov/vuln/detail/CVE-2026-2822" TargetMode="External" Id="rId1777"/><Relationship Type="http://schemas.openxmlformats.org/officeDocument/2006/relationships/hyperlink" Target="https://nvd.nist.gov/vuln/detail/CVE-2026-2822" TargetMode="External" Id="rId1778"/><Relationship Type="http://schemas.openxmlformats.org/officeDocument/2006/relationships/hyperlink" Target="https://nvd.nist.gov/vuln/detail/CVE-2026-2823" TargetMode="External" Id="rId1779"/><Relationship Type="http://schemas.openxmlformats.org/officeDocument/2006/relationships/hyperlink" Target="https://nvd.nist.gov/vuln/detail/CVE-2026-2823" TargetMode="External" Id="rId1780"/><Relationship Type="http://schemas.openxmlformats.org/officeDocument/2006/relationships/hyperlink" Target="https://nvd.nist.gov/vuln/detail/CVE-2026-2824" TargetMode="External" Id="rId1781"/><Relationship Type="http://schemas.openxmlformats.org/officeDocument/2006/relationships/hyperlink" Target="https://nvd.nist.gov/vuln/detail/CVE-2026-2824" TargetMode="External" Id="rId1782"/><Relationship Type="http://schemas.openxmlformats.org/officeDocument/2006/relationships/hyperlink" Target="https://nvd.nist.gov/vuln/detail/CVE-2026-2825" TargetMode="External" Id="rId1783"/><Relationship Type="http://schemas.openxmlformats.org/officeDocument/2006/relationships/hyperlink" Target="https://nvd.nist.gov/vuln/detail/CVE-2026-2825" TargetMode="External" Id="rId1784"/><Relationship Type="http://schemas.openxmlformats.org/officeDocument/2006/relationships/hyperlink" Target="https://nvd.nist.gov/vuln/detail/CVE-2025-59819" TargetMode="External" Id="rId1785"/><Relationship Type="http://schemas.openxmlformats.org/officeDocument/2006/relationships/hyperlink" Target="https://nvd.nist.gov/vuln/detail/CVE-2025-59819" TargetMode="External" Id="rId1786"/><Relationship Type="http://schemas.openxmlformats.org/officeDocument/2006/relationships/hyperlink" Target="https://nvd.nist.gov/vuln/detail/CVE-2026-26370" TargetMode="External" Id="rId1787"/><Relationship Type="http://schemas.openxmlformats.org/officeDocument/2006/relationships/hyperlink" Target="https://nvd.nist.gov/vuln/detail/CVE-2026-26370" TargetMode="External" Id="rId1788"/><Relationship Type="http://schemas.openxmlformats.org/officeDocument/2006/relationships/hyperlink" Target="https://nvd.nist.gov/vuln/detail/CVE-2026-26050" TargetMode="External" Id="rId1789"/><Relationship Type="http://schemas.openxmlformats.org/officeDocument/2006/relationships/hyperlink" Target="https://nvd.nist.gov/vuln/detail/CVE-2026-26050" TargetMode="External" Id="rId1790"/><Relationship Type="http://schemas.openxmlformats.org/officeDocument/2006/relationships/hyperlink" Target="https://nvd.nist.gov/vuln/detail/CVE-2026-21620" TargetMode="External" Id="rId1791"/><Relationship Type="http://schemas.openxmlformats.org/officeDocument/2006/relationships/hyperlink" Target="https://nvd.nist.gov/vuln/detail/CVE-2026-21620" TargetMode="External" Id="rId1792"/><Relationship Type="http://schemas.openxmlformats.org/officeDocument/2006/relationships/hyperlink" Target="https://nvd.nist.gov/vuln/detail/CVE-2025-10970" TargetMode="External" Id="rId1793"/><Relationship Type="http://schemas.openxmlformats.org/officeDocument/2006/relationships/hyperlink" Target="https://nvd.nist.gov/vuln/detail/CVE-2025-10970" TargetMode="External" Id="rId1794"/><Relationship Type="http://schemas.openxmlformats.org/officeDocument/2006/relationships/hyperlink" Target="https://nvd.nist.gov/vuln/detail/CVE-2026-2486" TargetMode="External" Id="rId1795"/><Relationship Type="http://schemas.openxmlformats.org/officeDocument/2006/relationships/hyperlink" Target="https://nvd.nist.gov/vuln/detail/CVE-2026-2486" TargetMode="External" Id="rId1796"/><Relationship Type="http://schemas.openxmlformats.org/officeDocument/2006/relationships/hyperlink" Target="https://nvd.nist.gov/vuln/detail/CVE-2025-14055" TargetMode="External" Id="rId1797"/><Relationship Type="http://schemas.openxmlformats.org/officeDocument/2006/relationships/hyperlink" Target="https://nvd.nist.gov/vuln/detail/CVE-2025-14055" TargetMode="External" Id="rId1798"/><Relationship Type="http://schemas.openxmlformats.org/officeDocument/2006/relationships/hyperlink" Target="https://nvd.nist.gov/vuln/detail/CVE-2025-14547" TargetMode="External" Id="rId1799"/><Relationship Type="http://schemas.openxmlformats.org/officeDocument/2006/relationships/hyperlink" Target="https://nvd.nist.gov/vuln/detail/CVE-2025-14547" TargetMode="External" Id="rId1800"/><Relationship Type="http://schemas.openxmlformats.org/officeDocument/2006/relationships/hyperlink" Target="https://nvd.nist.gov/vuln/detail/CVE-2026-21627" TargetMode="External" Id="rId1801"/><Relationship Type="http://schemas.openxmlformats.org/officeDocument/2006/relationships/hyperlink" Target="https://nvd.nist.gov/vuln/detail/CVE-2026-21627" TargetMode="External" Id="rId1802"/><Relationship Type="http://schemas.openxmlformats.org/officeDocument/2006/relationships/hyperlink" Target="https://nvd.nist.gov/vuln/detail/CVE-2024-34438" TargetMode="External" Id="rId1803"/><Relationship Type="http://schemas.openxmlformats.org/officeDocument/2006/relationships/hyperlink" Target="https://nvd.nist.gov/vuln/detail/CVE-2024-34438" TargetMode="External" Id="rId1804"/><Relationship Type="http://schemas.openxmlformats.org/officeDocument/2006/relationships/hyperlink" Target="https://nvd.nist.gov/vuln/detail/CVE-2024-43228" TargetMode="External" Id="rId1805"/><Relationship Type="http://schemas.openxmlformats.org/officeDocument/2006/relationships/hyperlink" Target="https://nvd.nist.gov/vuln/detail/CVE-2024-43228" TargetMode="External" Id="rId1806"/><Relationship Type="http://schemas.openxmlformats.org/officeDocument/2006/relationships/hyperlink" Target="https://nvd.nist.gov/vuln/detail/CVE-2024-50452" TargetMode="External" Id="rId1807"/><Relationship Type="http://schemas.openxmlformats.org/officeDocument/2006/relationships/hyperlink" Target="https://nvd.nist.gov/vuln/detail/CVE-2024-50452" TargetMode="External" Id="rId1808"/><Relationship Type="http://schemas.openxmlformats.org/officeDocument/2006/relationships/hyperlink" Target="https://nvd.nist.gov/vuln/detail/CVE-2024-50555" TargetMode="External" Id="rId1809"/><Relationship Type="http://schemas.openxmlformats.org/officeDocument/2006/relationships/hyperlink" Target="https://nvd.nist.gov/vuln/detail/CVE-2024-50555" TargetMode="External" Id="rId1810"/><Relationship Type="http://schemas.openxmlformats.org/officeDocument/2006/relationships/hyperlink" Target="https://nvd.nist.gov/vuln/detail/CVE-2024-51915" TargetMode="External" Id="rId1811"/><Relationship Type="http://schemas.openxmlformats.org/officeDocument/2006/relationships/hyperlink" Target="https://nvd.nist.gov/vuln/detail/CVE-2024-51915" TargetMode="External" Id="rId1812"/><Relationship Type="http://schemas.openxmlformats.org/officeDocument/2006/relationships/hyperlink" Target="https://nvd.nist.gov/vuln/detail/CVE-2024-52387" TargetMode="External" Id="rId1813"/><Relationship Type="http://schemas.openxmlformats.org/officeDocument/2006/relationships/hyperlink" Target="https://nvd.nist.gov/vuln/detail/CVE-2024-52387" TargetMode="External" Id="rId1814"/><Relationship Type="http://schemas.openxmlformats.org/officeDocument/2006/relationships/hyperlink" Target="https://nvd.nist.gov/vuln/detail/CVE-2024-54222" TargetMode="External" Id="rId1815"/><Relationship Type="http://schemas.openxmlformats.org/officeDocument/2006/relationships/hyperlink" Target="https://nvd.nist.gov/vuln/detail/CVE-2024-54222" TargetMode="External" Id="rId1816"/><Relationship Type="http://schemas.openxmlformats.org/officeDocument/2006/relationships/hyperlink" Target="https://nvd.nist.gov/vuln/detail/CVE-2024-56208" TargetMode="External" Id="rId1817"/><Relationship Type="http://schemas.openxmlformats.org/officeDocument/2006/relationships/hyperlink" Target="https://nvd.nist.gov/vuln/detail/CVE-2024-56208" TargetMode="External" Id="rId1818"/><Relationship Type="http://schemas.openxmlformats.org/officeDocument/2006/relationships/hyperlink" Target="https://nvd.nist.gov/vuln/detail/CVE-2025-52603" TargetMode="External" Id="rId1819"/><Relationship Type="http://schemas.openxmlformats.org/officeDocument/2006/relationships/hyperlink" Target="https://support.hcl-software.com/csm?id=kb_article&amp;sysparm_article=KB0124242" TargetMode="External" Id="rId1820"/><Relationship Type="http://schemas.openxmlformats.org/officeDocument/2006/relationships/hyperlink" Target="https://nvd.nist.gov/vuln/detail/CVE-2025-52603" TargetMode="External" Id="rId1821"/><Relationship Type="http://schemas.openxmlformats.org/officeDocument/2006/relationships/hyperlink" Target="https://nvd.nist.gov/vuln/detail/CVE-2025-52744" TargetMode="External" Id="rId1822"/><Relationship Type="http://schemas.openxmlformats.org/officeDocument/2006/relationships/hyperlink" Target="https://nvd.nist.gov/vuln/detail/CVE-2025-52744" TargetMode="External" Id="rId1823"/><Relationship Type="http://schemas.openxmlformats.org/officeDocument/2006/relationships/hyperlink" Target="https://nvd.nist.gov/vuln/detail/CVE-2025-53217" TargetMode="External" Id="rId1824"/><Relationship Type="http://schemas.openxmlformats.org/officeDocument/2006/relationships/hyperlink" Target="https://nvd.nist.gov/vuln/detail/CVE-2025-53217" TargetMode="External" Id="rId1825"/><Relationship Type="http://schemas.openxmlformats.org/officeDocument/2006/relationships/hyperlink" Target="https://nvd.nist.gov/vuln/detail/CVE-2025-53228" TargetMode="External" Id="rId1826"/><Relationship Type="http://schemas.openxmlformats.org/officeDocument/2006/relationships/hyperlink" Target="https://nvd.nist.gov/vuln/detail/CVE-2025-53228" TargetMode="External" Id="rId1827"/><Relationship Type="http://schemas.openxmlformats.org/officeDocument/2006/relationships/hyperlink" Target="https://nvd.nist.gov/vuln/detail/CVE-2025-53231" TargetMode="External" Id="rId1828"/><Relationship Type="http://schemas.openxmlformats.org/officeDocument/2006/relationships/hyperlink" Target="https://nvd.nist.gov/vuln/detail/CVE-2025-53231" TargetMode="External" Id="rId1829"/><Relationship Type="http://schemas.openxmlformats.org/officeDocument/2006/relationships/hyperlink" Target="https://nvd.nist.gov/vuln/detail/CVE-2025-53233" TargetMode="External" Id="rId1830"/><Relationship Type="http://schemas.openxmlformats.org/officeDocument/2006/relationships/hyperlink" Target="https://nvd.nist.gov/vuln/detail/CVE-2025-53233" TargetMode="External" Id="rId1831"/><Relationship Type="http://schemas.openxmlformats.org/officeDocument/2006/relationships/hyperlink" Target="https://nvd.nist.gov/vuln/detail/CVE-2025-53237" TargetMode="External" Id="rId1832"/><Relationship Type="http://schemas.openxmlformats.org/officeDocument/2006/relationships/hyperlink" Target="https://nvd.nist.gov/vuln/detail/CVE-2025-53237" TargetMode="External" Id="rId1833"/><Relationship Type="http://schemas.openxmlformats.org/officeDocument/2006/relationships/hyperlink" Target="https://nvd.nist.gov/vuln/detail/CVE-2025-60087" TargetMode="External" Id="rId1834"/><Relationship Type="http://schemas.openxmlformats.org/officeDocument/2006/relationships/hyperlink" Target="https://nvd.nist.gov/vuln/detail/CVE-2025-60087" TargetMode="External" Id="rId1835"/><Relationship Type="http://schemas.openxmlformats.org/officeDocument/2006/relationships/hyperlink" Target="https://nvd.nist.gov/vuln/detail/CVE-2025-60183" TargetMode="External" Id="rId1836"/><Relationship Type="http://schemas.openxmlformats.org/officeDocument/2006/relationships/hyperlink" Target="https://nvd.nist.gov/vuln/detail/CVE-2025-60183" TargetMode="External" Id="rId1837"/><Relationship Type="http://schemas.openxmlformats.org/officeDocument/2006/relationships/hyperlink" Target="https://nvd.nist.gov/vuln/detail/CVE-2025-67438" TargetMode="External" Id="rId1838"/><Relationship Type="http://schemas.openxmlformats.org/officeDocument/2006/relationships/hyperlink" Target="https://nvd.nist.gov/vuln/detail/CVE-2025-67438" TargetMode="External" Id="rId1839"/><Relationship Type="http://schemas.openxmlformats.org/officeDocument/2006/relationships/hyperlink" Target="https://nvd.nist.gov/vuln/detail/CVE-2025-67547" TargetMode="External" Id="rId1840"/><Relationship Type="http://schemas.openxmlformats.org/officeDocument/2006/relationships/hyperlink" Target="https://nvd.nist.gov/vuln/detail/CVE-2025-67547" TargetMode="External" Id="rId1841"/><Relationship Type="http://schemas.openxmlformats.org/officeDocument/2006/relationships/hyperlink" Target="https://nvd.nist.gov/vuln/detail/CVE-2025-67624" TargetMode="External" Id="rId1842"/><Relationship Type="http://schemas.openxmlformats.org/officeDocument/2006/relationships/hyperlink" Target="https://nvd.nist.gov/vuln/detail/CVE-2025-67624" TargetMode="External" Id="rId1843"/><Relationship Type="http://schemas.openxmlformats.org/officeDocument/2006/relationships/hyperlink" Target="https://nvd.nist.gov/vuln/detail/CVE-2025-67969" TargetMode="External" Id="rId1844"/><Relationship Type="http://schemas.openxmlformats.org/officeDocument/2006/relationships/hyperlink" Target="https://nvd.nist.gov/vuln/detail/CVE-2025-67969" TargetMode="External" Id="rId1845"/><Relationship Type="http://schemas.openxmlformats.org/officeDocument/2006/relationships/hyperlink" Target="https://nvd.nist.gov/vuln/detail/CVE-2025-67970" TargetMode="External" Id="rId1846"/><Relationship Type="http://schemas.openxmlformats.org/officeDocument/2006/relationships/hyperlink" Target="https://nvd.nist.gov/vuln/detail/CVE-2025-67970" TargetMode="External" Id="rId1847"/><Relationship Type="http://schemas.openxmlformats.org/officeDocument/2006/relationships/hyperlink" Target="https://nvd.nist.gov/vuln/detail/CVE-2025-67971" TargetMode="External" Id="rId1848"/><Relationship Type="http://schemas.openxmlformats.org/officeDocument/2006/relationships/hyperlink" Target="https://nvd.nist.gov/vuln/detail/CVE-2025-67971" TargetMode="External" Id="rId1849"/><Relationship Type="http://schemas.openxmlformats.org/officeDocument/2006/relationships/hyperlink" Target="https://nvd.nist.gov/vuln/detail/CVE-2025-67972" TargetMode="External" Id="rId1850"/><Relationship Type="http://schemas.openxmlformats.org/officeDocument/2006/relationships/hyperlink" Target="https://nvd.nist.gov/vuln/detail/CVE-2025-67972" TargetMode="External" Id="rId1851"/><Relationship Type="http://schemas.openxmlformats.org/officeDocument/2006/relationships/hyperlink" Target="https://nvd.nist.gov/vuln/detail/CVE-2025-67973" TargetMode="External" Id="rId1852"/><Relationship Type="http://schemas.openxmlformats.org/officeDocument/2006/relationships/hyperlink" Target="https://nvd.nist.gov/vuln/detail/CVE-2025-67973" TargetMode="External" Id="rId1853"/><Relationship Type="http://schemas.openxmlformats.org/officeDocument/2006/relationships/hyperlink" Target="https://nvd.nist.gov/vuln/detail/CVE-2025-67974" TargetMode="External" Id="rId1854"/><Relationship Type="http://schemas.openxmlformats.org/officeDocument/2006/relationships/hyperlink" Target="https://nvd.nist.gov/vuln/detail/CVE-2025-67974" TargetMode="External" Id="rId1855"/><Relationship Type="http://schemas.openxmlformats.org/officeDocument/2006/relationships/hyperlink" Target="https://nvd.nist.gov/vuln/detail/CVE-2025-67975" TargetMode="External" Id="rId1856"/><Relationship Type="http://schemas.openxmlformats.org/officeDocument/2006/relationships/hyperlink" Target="https://nvd.nist.gov/vuln/detail/CVE-2025-67975" TargetMode="External" Id="rId1857"/><Relationship Type="http://schemas.openxmlformats.org/officeDocument/2006/relationships/hyperlink" Target="https://nvd.nist.gov/vuln/detail/CVE-2025-67977" TargetMode="External" Id="rId1858"/><Relationship Type="http://schemas.openxmlformats.org/officeDocument/2006/relationships/hyperlink" Target="https://nvd.nist.gov/vuln/detail/CVE-2025-67977" TargetMode="External" Id="rId1859"/><Relationship Type="http://schemas.openxmlformats.org/officeDocument/2006/relationships/hyperlink" Target="https://nvd.nist.gov/vuln/detail/CVE-2025-67978" TargetMode="External" Id="rId1860"/><Relationship Type="http://schemas.openxmlformats.org/officeDocument/2006/relationships/hyperlink" Target="https://nvd.nist.gov/vuln/detail/CVE-2025-67978" TargetMode="External" Id="rId1861"/><Relationship Type="http://schemas.openxmlformats.org/officeDocument/2006/relationships/hyperlink" Target="https://nvd.nist.gov/vuln/detail/CVE-2025-67979" TargetMode="External" Id="rId1862"/><Relationship Type="http://schemas.openxmlformats.org/officeDocument/2006/relationships/hyperlink" Target="https://nvd.nist.gov/vuln/detail/CVE-2025-67979" TargetMode="External" Id="rId1863"/><Relationship Type="http://schemas.openxmlformats.org/officeDocument/2006/relationships/hyperlink" Target="https://nvd.nist.gov/vuln/detail/CVE-2025-67980" TargetMode="External" Id="rId1864"/><Relationship Type="http://schemas.openxmlformats.org/officeDocument/2006/relationships/hyperlink" Target="https://nvd.nist.gov/vuln/detail/CVE-2025-67980" TargetMode="External" Id="rId1865"/><Relationship Type="http://schemas.openxmlformats.org/officeDocument/2006/relationships/hyperlink" Target="https://nvd.nist.gov/vuln/detail/CVE-2025-67981" TargetMode="External" Id="rId1866"/><Relationship Type="http://schemas.openxmlformats.org/officeDocument/2006/relationships/hyperlink" Target="https://nvd.nist.gov/vuln/detail/CVE-2025-67981" TargetMode="External" Id="rId1867"/><Relationship Type="http://schemas.openxmlformats.org/officeDocument/2006/relationships/hyperlink" Target="https://nvd.nist.gov/vuln/detail/CVE-2025-67982" TargetMode="External" Id="rId1868"/><Relationship Type="http://schemas.openxmlformats.org/officeDocument/2006/relationships/hyperlink" Target="https://nvd.nist.gov/vuln/detail/CVE-2025-67982" TargetMode="External" Id="rId1869"/><Relationship Type="http://schemas.openxmlformats.org/officeDocument/2006/relationships/hyperlink" Target="https://nvd.nist.gov/vuln/detail/CVE-2025-67984" TargetMode="External" Id="rId1870"/><Relationship Type="http://schemas.openxmlformats.org/officeDocument/2006/relationships/hyperlink" Target="https://nvd.nist.gov/vuln/detail/CVE-2025-67984" TargetMode="External" Id="rId1871"/><Relationship Type="http://schemas.openxmlformats.org/officeDocument/2006/relationships/hyperlink" Target="https://nvd.nist.gov/vuln/detail/CVE-2025-67987" TargetMode="External" Id="rId1872"/><Relationship Type="http://schemas.openxmlformats.org/officeDocument/2006/relationships/hyperlink" Target="https://nvd.nist.gov/vuln/detail/CVE-2025-67987" TargetMode="External" Id="rId1873"/><Relationship Type="http://schemas.openxmlformats.org/officeDocument/2006/relationships/hyperlink" Target="https://nvd.nist.gov/vuln/detail/CVE-2025-67988" TargetMode="External" Id="rId1874"/><Relationship Type="http://schemas.openxmlformats.org/officeDocument/2006/relationships/hyperlink" Target="https://nvd.nist.gov/vuln/detail/CVE-2025-67988" TargetMode="External" Id="rId1875"/><Relationship Type="http://schemas.openxmlformats.org/officeDocument/2006/relationships/hyperlink" Target="https://nvd.nist.gov/vuln/detail/CVE-2025-67990" TargetMode="External" Id="rId1876"/><Relationship Type="http://schemas.openxmlformats.org/officeDocument/2006/relationships/hyperlink" Target="https://nvd.nist.gov/vuln/detail/CVE-2025-67990" TargetMode="External" Id="rId1877"/><Relationship Type="http://schemas.openxmlformats.org/officeDocument/2006/relationships/hyperlink" Target="https://nvd.nist.gov/vuln/detail/CVE-2025-67991" TargetMode="External" Id="rId1878"/><Relationship Type="http://schemas.openxmlformats.org/officeDocument/2006/relationships/hyperlink" Target="https://nvd.nist.gov/vuln/detail/CVE-2025-67991" TargetMode="External" Id="rId1879"/><Relationship Type="http://schemas.openxmlformats.org/officeDocument/2006/relationships/hyperlink" Target="https://nvd.nist.gov/vuln/detail/CVE-2025-67992" TargetMode="External" Id="rId1880"/><Relationship Type="http://schemas.openxmlformats.org/officeDocument/2006/relationships/hyperlink" Target="https://nvd.nist.gov/vuln/detail/CVE-2025-67992" TargetMode="External" Id="rId1881"/><Relationship Type="http://schemas.openxmlformats.org/officeDocument/2006/relationships/hyperlink" Target="https://nvd.nist.gov/vuln/detail/CVE-2025-67993" TargetMode="External" Id="rId1882"/><Relationship Type="http://schemas.openxmlformats.org/officeDocument/2006/relationships/hyperlink" Target="https://nvd.nist.gov/vuln/detail/CVE-2025-67993" TargetMode="External" Id="rId1883"/><Relationship Type="http://schemas.openxmlformats.org/officeDocument/2006/relationships/hyperlink" Target="https://nvd.nist.gov/vuln/detail/CVE-2025-67994" TargetMode="External" Id="rId1884"/><Relationship Type="http://schemas.openxmlformats.org/officeDocument/2006/relationships/hyperlink" Target="https://nvd.nist.gov/vuln/detail/CVE-2025-67994" TargetMode="External" Id="rId1885"/><Relationship Type="http://schemas.openxmlformats.org/officeDocument/2006/relationships/hyperlink" Target="https://nvd.nist.gov/vuln/detail/CVE-2025-67995" TargetMode="External" Id="rId1886"/><Relationship Type="http://schemas.openxmlformats.org/officeDocument/2006/relationships/hyperlink" Target="https://nvd.nist.gov/vuln/detail/CVE-2025-67995" TargetMode="External" Id="rId1887"/><Relationship Type="http://schemas.openxmlformats.org/officeDocument/2006/relationships/hyperlink" Target="https://nvd.nist.gov/vuln/detail/CVE-2025-67996" TargetMode="External" Id="rId1888"/><Relationship Type="http://schemas.openxmlformats.org/officeDocument/2006/relationships/hyperlink" Target="https://nvd.nist.gov/vuln/detail/CVE-2025-67996" TargetMode="External" Id="rId1889"/><Relationship Type="http://schemas.openxmlformats.org/officeDocument/2006/relationships/hyperlink" Target="https://nvd.nist.gov/vuln/detail/CVE-2025-67997" TargetMode="External" Id="rId1890"/><Relationship Type="http://schemas.openxmlformats.org/officeDocument/2006/relationships/hyperlink" Target="https://nvd.nist.gov/vuln/detail/CVE-2025-67997" TargetMode="External" Id="rId1891"/><Relationship Type="http://schemas.openxmlformats.org/officeDocument/2006/relationships/hyperlink" Target="https://nvd.nist.gov/vuln/detail/CVE-2025-67998" TargetMode="External" Id="rId1892"/><Relationship Type="http://schemas.openxmlformats.org/officeDocument/2006/relationships/hyperlink" Target="https://nvd.nist.gov/vuln/detail/CVE-2025-67998" TargetMode="External" Id="rId1893"/><Relationship Type="http://schemas.openxmlformats.org/officeDocument/2006/relationships/hyperlink" Target="https://nvd.nist.gov/vuln/detail/CVE-2025-68000" TargetMode="External" Id="rId1894"/><Relationship Type="http://schemas.openxmlformats.org/officeDocument/2006/relationships/hyperlink" Target="https://nvd.nist.gov/vuln/detail/CVE-2025-68000" TargetMode="External" Id="rId1895"/><Relationship Type="http://schemas.openxmlformats.org/officeDocument/2006/relationships/hyperlink" Target="https://nvd.nist.gov/vuln/detail/CVE-2025-68002" TargetMode="External" Id="rId1896"/><Relationship Type="http://schemas.openxmlformats.org/officeDocument/2006/relationships/hyperlink" Target="https://nvd.nist.gov/vuln/detail/CVE-2025-68002" TargetMode="External" Id="rId1897"/><Relationship Type="http://schemas.openxmlformats.org/officeDocument/2006/relationships/hyperlink" Target="https://nvd.nist.gov/vuln/detail/CVE-2025-68005" TargetMode="External" Id="rId1898"/><Relationship Type="http://schemas.openxmlformats.org/officeDocument/2006/relationships/hyperlink" Target="https://nvd.nist.gov/vuln/detail/CVE-2025-68005" TargetMode="External" Id="rId1899"/><Relationship Type="http://schemas.openxmlformats.org/officeDocument/2006/relationships/hyperlink" Target="https://nvd.nist.gov/vuln/detail/CVE-2025-68021" TargetMode="External" Id="rId1900"/><Relationship Type="http://schemas.openxmlformats.org/officeDocument/2006/relationships/hyperlink" Target="https://nvd.nist.gov/vuln/detail/CVE-2025-68021" TargetMode="External" Id="rId1901"/><Relationship Type="http://schemas.openxmlformats.org/officeDocument/2006/relationships/hyperlink" Target="https://nvd.nist.gov/vuln/detail/CVE-2025-68022" TargetMode="External" Id="rId1902"/><Relationship Type="http://schemas.openxmlformats.org/officeDocument/2006/relationships/hyperlink" Target="https://nvd.nist.gov/vuln/detail/CVE-2025-68022" TargetMode="External" Id="rId1903"/><Relationship Type="http://schemas.openxmlformats.org/officeDocument/2006/relationships/hyperlink" Target="https://nvd.nist.gov/vuln/detail/CVE-2025-68023" TargetMode="External" Id="rId1904"/><Relationship Type="http://schemas.openxmlformats.org/officeDocument/2006/relationships/hyperlink" Target="https://nvd.nist.gov/vuln/detail/CVE-2025-68023" TargetMode="External" Id="rId1905"/><Relationship Type="http://schemas.openxmlformats.org/officeDocument/2006/relationships/hyperlink" Target="https://nvd.nist.gov/vuln/detail/CVE-2025-68024" TargetMode="External" Id="rId1906"/><Relationship Type="http://schemas.openxmlformats.org/officeDocument/2006/relationships/hyperlink" Target="https://nvd.nist.gov/vuln/detail/CVE-2025-68024" TargetMode="External" Id="rId1907"/><Relationship Type="http://schemas.openxmlformats.org/officeDocument/2006/relationships/hyperlink" Target="https://nvd.nist.gov/vuln/detail/CVE-2025-68025" TargetMode="External" Id="rId1908"/><Relationship Type="http://schemas.openxmlformats.org/officeDocument/2006/relationships/hyperlink" Target="https://nvd.nist.gov/vuln/detail/CVE-2025-68025" TargetMode="External" Id="rId1909"/><Relationship Type="http://schemas.openxmlformats.org/officeDocument/2006/relationships/hyperlink" Target="https://nvd.nist.gov/vuln/detail/CVE-2025-68026" TargetMode="External" Id="rId1910"/><Relationship Type="http://schemas.openxmlformats.org/officeDocument/2006/relationships/hyperlink" Target="https://nvd.nist.gov/vuln/detail/CVE-2025-68026" TargetMode="External" Id="rId1911"/><Relationship Type="http://schemas.openxmlformats.org/officeDocument/2006/relationships/hyperlink" Target="https://nvd.nist.gov/vuln/detail/CVE-2025-68028" TargetMode="External" Id="rId1912"/><Relationship Type="http://schemas.openxmlformats.org/officeDocument/2006/relationships/hyperlink" Target="https://nvd.nist.gov/vuln/detail/CVE-2025-68028" TargetMode="External" Id="rId1913"/><Relationship Type="http://schemas.openxmlformats.org/officeDocument/2006/relationships/hyperlink" Target="https://nvd.nist.gov/vuln/detail/CVE-2025-68031" TargetMode="External" Id="rId1914"/><Relationship Type="http://schemas.openxmlformats.org/officeDocument/2006/relationships/hyperlink" Target="https://nvd.nist.gov/vuln/detail/CVE-2025-68031" TargetMode="External" Id="rId1915"/><Relationship Type="http://schemas.openxmlformats.org/officeDocument/2006/relationships/hyperlink" Target="https://nvd.nist.gov/vuln/detail/CVE-2025-68032" TargetMode="External" Id="rId1916"/><Relationship Type="http://schemas.openxmlformats.org/officeDocument/2006/relationships/hyperlink" Target="https://nvd.nist.gov/vuln/detail/CVE-2025-68032" TargetMode="External" Id="rId1917"/><Relationship Type="http://schemas.openxmlformats.org/officeDocument/2006/relationships/hyperlink" Target="https://nvd.nist.gov/vuln/detail/CVE-2025-68037" TargetMode="External" Id="rId1918"/><Relationship Type="http://schemas.openxmlformats.org/officeDocument/2006/relationships/hyperlink" Target="https://nvd.nist.gov/vuln/detail/CVE-2025-68037" TargetMode="External" Id="rId1919"/><Relationship Type="http://schemas.openxmlformats.org/officeDocument/2006/relationships/hyperlink" Target="https://nvd.nist.gov/vuln/detail/CVE-2025-68042" TargetMode="External" Id="rId1920"/><Relationship Type="http://schemas.openxmlformats.org/officeDocument/2006/relationships/hyperlink" Target="https://nvd.nist.gov/vuln/detail/CVE-2025-68042" TargetMode="External" Id="rId1921"/><Relationship Type="http://schemas.openxmlformats.org/officeDocument/2006/relationships/hyperlink" Target="https://nvd.nist.gov/vuln/detail/CVE-2025-68043" TargetMode="External" Id="rId1922"/><Relationship Type="http://schemas.openxmlformats.org/officeDocument/2006/relationships/hyperlink" Target="https://nvd.nist.gov/vuln/detail/CVE-2025-68043" TargetMode="External" Id="rId1923"/><Relationship Type="http://schemas.openxmlformats.org/officeDocument/2006/relationships/hyperlink" Target="https://nvd.nist.gov/vuln/detail/CVE-2025-68048" TargetMode="External" Id="rId1924"/><Relationship Type="http://schemas.openxmlformats.org/officeDocument/2006/relationships/hyperlink" Target="https://nvd.nist.gov/vuln/detail/CVE-2025-68048" TargetMode="External" Id="rId1925"/><Relationship Type="http://schemas.openxmlformats.org/officeDocument/2006/relationships/hyperlink" Target="https://nvd.nist.gov/vuln/detail/CVE-2025-68050" TargetMode="External" Id="rId1926"/><Relationship Type="http://schemas.openxmlformats.org/officeDocument/2006/relationships/hyperlink" Target="https://nvd.nist.gov/vuln/detail/CVE-2025-68050" TargetMode="External" Id="rId1927"/><Relationship Type="http://schemas.openxmlformats.org/officeDocument/2006/relationships/hyperlink" Target="https://nvd.nist.gov/vuln/detail/CVE-2025-68051" TargetMode="External" Id="rId1928"/><Relationship Type="http://schemas.openxmlformats.org/officeDocument/2006/relationships/hyperlink" Target="https://nvd.nist.gov/vuln/detail/CVE-2025-68051" TargetMode="External" Id="rId1929"/><Relationship Type="http://schemas.openxmlformats.org/officeDocument/2006/relationships/hyperlink" Target="https://nvd.nist.gov/vuln/detail/CVE-2025-68069" TargetMode="External" Id="rId1930"/><Relationship Type="http://schemas.openxmlformats.org/officeDocument/2006/relationships/hyperlink" Target="https://nvd.nist.gov/vuln/detail/CVE-2025-68069" TargetMode="External" Id="rId1931"/><Relationship Type="http://schemas.openxmlformats.org/officeDocument/2006/relationships/hyperlink" Target="https://nvd.nist.gov/vuln/detail/CVE-2025-68495" TargetMode="External" Id="rId1932"/><Relationship Type="http://schemas.openxmlformats.org/officeDocument/2006/relationships/hyperlink" Target="https://nvd.nist.gov/vuln/detail/CVE-2025-68495" TargetMode="External" Id="rId1933"/><Relationship Type="http://schemas.openxmlformats.org/officeDocument/2006/relationships/hyperlink" Target="https://nvd.nist.gov/vuln/detail/CVE-2025-68501" TargetMode="External" Id="rId1934"/><Relationship Type="http://schemas.openxmlformats.org/officeDocument/2006/relationships/hyperlink" Target="https://nvd.nist.gov/vuln/detail/CVE-2025-68501" TargetMode="External" Id="rId1935"/><Relationship Type="http://schemas.openxmlformats.org/officeDocument/2006/relationships/hyperlink" Target="https://nvd.nist.gov/vuln/detail/CVE-2025-68514" TargetMode="External" Id="rId1936"/><Relationship Type="http://schemas.openxmlformats.org/officeDocument/2006/relationships/hyperlink" Target="https://nvd.nist.gov/vuln/detail/CVE-2025-68514" TargetMode="External" Id="rId1937"/><Relationship Type="http://schemas.openxmlformats.org/officeDocument/2006/relationships/hyperlink" Target="https://nvd.nist.gov/vuln/detail/CVE-2025-68526" TargetMode="External" Id="rId1938"/><Relationship Type="http://schemas.openxmlformats.org/officeDocument/2006/relationships/hyperlink" Target="https://nvd.nist.gov/vuln/detail/CVE-2025-68526" TargetMode="External" Id="rId1939"/><Relationship Type="http://schemas.openxmlformats.org/officeDocument/2006/relationships/hyperlink" Target="https://nvd.nist.gov/vuln/detail/CVE-2025-68531" TargetMode="External" Id="rId1940"/><Relationship Type="http://schemas.openxmlformats.org/officeDocument/2006/relationships/hyperlink" Target="https://nvd.nist.gov/vuln/detail/CVE-2025-68531" TargetMode="External" Id="rId1941"/><Relationship Type="http://schemas.openxmlformats.org/officeDocument/2006/relationships/hyperlink" Target="https://nvd.nist.gov/vuln/detail/CVE-2025-68534" TargetMode="External" Id="rId1942"/><Relationship Type="http://schemas.openxmlformats.org/officeDocument/2006/relationships/hyperlink" Target="https://nvd.nist.gov/vuln/detail/CVE-2025-68534" TargetMode="External" Id="rId1943"/><Relationship Type="http://schemas.openxmlformats.org/officeDocument/2006/relationships/hyperlink" Target="https://nvd.nist.gov/vuln/detail/CVE-2025-68536" TargetMode="External" Id="rId1944"/><Relationship Type="http://schemas.openxmlformats.org/officeDocument/2006/relationships/hyperlink" Target="https://nvd.nist.gov/vuln/detail/CVE-2025-68536" TargetMode="External" Id="rId1945"/><Relationship Type="http://schemas.openxmlformats.org/officeDocument/2006/relationships/hyperlink" Target="https://nvd.nist.gov/vuln/detail/CVE-2025-68539" TargetMode="External" Id="rId1946"/><Relationship Type="http://schemas.openxmlformats.org/officeDocument/2006/relationships/hyperlink" Target="https://nvd.nist.gov/vuln/detail/CVE-2025-68539" TargetMode="External" Id="rId1947"/><Relationship Type="http://schemas.openxmlformats.org/officeDocument/2006/relationships/hyperlink" Target="https://nvd.nist.gov/vuln/detail/CVE-2025-68541" TargetMode="External" Id="rId1948"/><Relationship Type="http://schemas.openxmlformats.org/officeDocument/2006/relationships/hyperlink" Target="https://nvd.nist.gov/vuln/detail/CVE-2025-68541" TargetMode="External" Id="rId1949"/><Relationship Type="http://schemas.openxmlformats.org/officeDocument/2006/relationships/hyperlink" Target="https://nvd.nist.gov/vuln/detail/CVE-2025-68542" TargetMode="External" Id="rId1950"/><Relationship Type="http://schemas.openxmlformats.org/officeDocument/2006/relationships/hyperlink" Target="https://nvd.nist.gov/vuln/detail/CVE-2025-68542" TargetMode="External" Id="rId1951"/><Relationship Type="http://schemas.openxmlformats.org/officeDocument/2006/relationships/hyperlink" Target="https://nvd.nist.gov/vuln/detail/CVE-2025-68543" TargetMode="External" Id="rId1952"/><Relationship Type="http://schemas.openxmlformats.org/officeDocument/2006/relationships/hyperlink" Target="https://nvd.nist.gov/vuln/detail/CVE-2025-68543" TargetMode="External" Id="rId1953"/><Relationship Type="http://schemas.openxmlformats.org/officeDocument/2006/relationships/hyperlink" Target="https://nvd.nist.gov/vuln/detail/CVE-2025-68545" TargetMode="External" Id="rId1954"/><Relationship Type="http://schemas.openxmlformats.org/officeDocument/2006/relationships/hyperlink" Target="https://nvd.nist.gov/vuln/detail/CVE-2025-68545" TargetMode="External" Id="rId1955"/><Relationship Type="http://schemas.openxmlformats.org/officeDocument/2006/relationships/hyperlink" Target="https://nvd.nist.gov/vuln/detail/CVE-2025-68549" TargetMode="External" Id="rId1956"/><Relationship Type="http://schemas.openxmlformats.org/officeDocument/2006/relationships/hyperlink" Target="https://nvd.nist.gov/vuln/detail/CVE-2025-68549" TargetMode="External" Id="rId1957"/><Relationship Type="http://schemas.openxmlformats.org/officeDocument/2006/relationships/hyperlink" Target="https://nvd.nist.gov/vuln/detail/CVE-2025-68552" TargetMode="External" Id="rId1958"/><Relationship Type="http://schemas.openxmlformats.org/officeDocument/2006/relationships/hyperlink" Target="https://nvd.nist.gov/vuln/detail/CVE-2025-68552" TargetMode="External" Id="rId1959"/><Relationship Type="http://schemas.openxmlformats.org/officeDocument/2006/relationships/hyperlink" Target="https://nvd.nist.gov/vuln/detail/CVE-2025-68564" TargetMode="External" Id="rId1960"/><Relationship Type="http://schemas.openxmlformats.org/officeDocument/2006/relationships/hyperlink" Target="https://nvd.nist.gov/vuln/detail/CVE-2025-68564" TargetMode="External" Id="rId1961"/><Relationship Type="http://schemas.openxmlformats.org/officeDocument/2006/relationships/hyperlink" Target="https://nvd.nist.gov/vuln/detail/CVE-2025-68834" TargetMode="External" Id="rId1962"/><Relationship Type="http://schemas.openxmlformats.org/officeDocument/2006/relationships/hyperlink" Target="https://nvd.nist.gov/vuln/detail/CVE-2025-68834" TargetMode="External" Id="rId1963"/><Relationship Type="http://schemas.openxmlformats.org/officeDocument/2006/relationships/hyperlink" Target="https://nvd.nist.gov/vuln/detail/CVE-2025-68837" TargetMode="External" Id="rId1964"/><Relationship Type="http://schemas.openxmlformats.org/officeDocument/2006/relationships/hyperlink" Target="https://nvd.nist.gov/vuln/detail/CVE-2025-68837" TargetMode="External" Id="rId1965"/><Relationship Type="http://schemas.openxmlformats.org/officeDocument/2006/relationships/hyperlink" Target="https://nvd.nist.gov/vuln/detail/CVE-2025-68841" TargetMode="External" Id="rId1966"/><Relationship Type="http://schemas.openxmlformats.org/officeDocument/2006/relationships/hyperlink" Target="https://nvd.nist.gov/vuln/detail/CVE-2025-68841" TargetMode="External" Id="rId1967"/><Relationship Type="http://schemas.openxmlformats.org/officeDocument/2006/relationships/hyperlink" Target="https://nvd.nist.gov/vuln/detail/CVE-2025-68842" TargetMode="External" Id="rId1968"/><Relationship Type="http://schemas.openxmlformats.org/officeDocument/2006/relationships/hyperlink" Target="https://nvd.nist.gov/vuln/detail/CVE-2025-68842" TargetMode="External" Id="rId1969"/><Relationship Type="http://schemas.openxmlformats.org/officeDocument/2006/relationships/hyperlink" Target="https://nvd.nist.gov/vuln/detail/CVE-2025-68843" TargetMode="External" Id="rId1970"/><Relationship Type="http://schemas.openxmlformats.org/officeDocument/2006/relationships/hyperlink" Target="https://nvd.nist.gov/vuln/detail/CVE-2025-68843" TargetMode="External" Id="rId1971"/><Relationship Type="http://schemas.openxmlformats.org/officeDocument/2006/relationships/hyperlink" Target="https://nvd.nist.gov/vuln/detail/CVE-2025-68844" TargetMode="External" Id="rId1972"/><Relationship Type="http://schemas.openxmlformats.org/officeDocument/2006/relationships/hyperlink" Target="https://nvd.nist.gov/vuln/detail/CVE-2025-68844" TargetMode="External" Id="rId1973"/><Relationship Type="http://schemas.openxmlformats.org/officeDocument/2006/relationships/hyperlink" Target="https://nvd.nist.gov/vuln/detail/CVE-2025-68845" TargetMode="External" Id="rId1974"/><Relationship Type="http://schemas.openxmlformats.org/officeDocument/2006/relationships/hyperlink" Target="https://nvd.nist.gov/vuln/detail/CVE-2025-68845" TargetMode="External" Id="rId1975"/><Relationship Type="http://schemas.openxmlformats.org/officeDocument/2006/relationships/hyperlink" Target="https://nvd.nist.gov/vuln/detail/CVE-2025-68846" TargetMode="External" Id="rId1976"/><Relationship Type="http://schemas.openxmlformats.org/officeDocument/2006/relationships/hyperlink" Target="https://nvd.nist.gov/vuln/detail/CVE-2025-68846" TargetMode="External" Id="rId1977"/><Relationship Type="http://schemas.openxmlformats.org/officeDocument/2006/relationships/hyperlink" Target="https://nvd.nist.gov/vuln/detail/CVE-2025-68847" TargetMode="External" Id="rId1978"/><Relationship Type="http://schemas.openxmlformats.org/officeDocument/2006/relationships/hyperlink" Target="https://nvd.nist.gov/vuln/detail/CVE-2025-68847" TargetMode="External" Id="rId1979"/><Relationship Type="http://schemas.openxmlformats.org/officeDocument/2006/relationships/hyperlink" Target="https://nvd.nist.gov/vuln/detail/CVE-2025-68848" TargetMode="External" Id="rId1980"/><Relationship Type="http://schemas.openxmlformats.org/officeDocument/2006/relationships/hyperlink" Target="https://nvd.nist.gov/vuln/detail/CVE-2025-68848" TargetMode="External" Id="rId1981"/><Relationship Type="http://schemas.openxmlformats.org/officeDocument/2006/relationships/hyperlink" Target="https://nvd.nist.gov/vuln/detail/CVE-2025-68852" TargetMode="External" Id="rId1982"/><Relationship Type="http://schemas.openxmlformats.org/officeDocument/2006/relationships/hyperlink" Target="https://nvd.nist.gov/vuln/detail/CVE-2025-68852" TargetMode="External" Id="rId1983"/><Relationship Type="http://schemas.openxmlformats.org/officeDocument/2006/relationships/hyperlink" Target="https://nvd.nist.gov/vuln/detail/CVE-2025-68853" TargetMode="External" Id="rId1984"/><Relationship Type="http://schemas.openxmlformats.org/officeDocument/2006/relationships/hyperlink" Target="https://nvd.nist.gov/vuln/detail/CVE-2025-68853" TargetMode="External" Id="rId1985"/><Relationship Type="http://schemas.openxmlformats.org/officeDocument/2006/relationships/hyperlink" Target="https://nvd.nist.gov/vuln/detail/CVE-2025-68854" TargetMode="External" Id="rId1986"/><Relationship Type="http://schemas.openxmlformats.org/officeDocument/2006/relationships/hyperlink" Target="https://nvd.nist.gov/vuln/detail/CVE-2025-68854" TargetMode="External" Id="rId1987"/><Relationship Type="http://schemas.openxmlformats.org/officeDocument/2006/relationships/hyperlink" Target="https://nvd.nist.gov/vuln/detail/CVE-2025-68855" TargetMode="External" Id="rId1988"/><Relationship Type="http://schemas.openxmlformats.org/officeDocument/2006/relationships/hyperlink" Target="https://nvd.nist.gov/vuln/detail/CVE-2025-68855" TargetMode="External" Id="rId1989"/><Relationship Type="http://schemas.openxmlformats.org/officeDocument/2006/relationships/hyperlink" Target="https://nvd.nist.gov/vuln/detail/CVE-2025-68856" TargetMode="External" Id="rId1990"/><Relationship Type="http://schemas.openxmlformats.org/officeDocument/2006/relationships/hyperlink" Target="https://nvd.nist.gov/vuln/detail/CVE-2025-68856" TargetMode="External" Id="rId1991"/><Relationship Type="http://schemas.openxmlformats.org/officeDocument/2006/relationships/hyperlink" Target="https://nvd.nist.gov/vuln/detail/CVE-2025-68862" TargetMode="External" Id="rId1992"/><Relationship Type="http://schemas.openxmlformats.org/officeDocument/2006/relationships/hyperlink" Target="https://nvd.nist.gov/vuln/detail/CVE-2025-68862" TargetMode="External" Id="rId1993"/><Relationship Type="http://schemas.openxmlformats.org/officeDocument/2006/relationships/hyperlink" Target="https://nvd.nist.gov/vuln/detail/CVE-2025-68863" TargetMode="External" Id="rId1994"/><Relationship Type="http://schemas.openxmlformats.org/officeDocument/2006/relationships/hyperlink" Target="https://nvd.nist.gov/vuln/detail/CVE-2025-68863" TargetMode="External" Id="rId1995"/><Relationship Type="http://schemas.openxmlformats.org/officeDocument/2006/relationships/hyperlink" Target="https://nvd.nist.gov/vuln/detail/CVE-2025-68880" TargetMode="External" Id="rId1996"/><Relationship Type="http://schemas.openxmlformats.org/officeDocument/2006/relationships/hyperlink" Target="https://nvd.nist.gov/vuln/detail/CVE-2025-68880" TargetMode="External" Id="rId1997"/><Relationship Type="http://schemas.openxmlformats.org/officeDocument/2006/relationships/hyperlink" Target="https://nvd.nist.gov/vuln/detail/CVE-2025-68895" TargetMode="External" Id="rId1998"/><Relationship Type="http://schemas.openxmlformats.org/officeDocument/2006/relationships/hyperlink" Target="https://nvd.nist.gov/vuln/detail/CVE-2025-68895" TargetMode="External" Id="rId1999"/><Relationship Type="http://schemas.openxmlformats.org/officeDocument/2006/relationships/hyperlink" Target="https://nvd.nist.gov/vuln/detail/CVE-2025-69011" TargetMode="External" Id="rId2000"/><Relationship Type="http://schemas.openxmlformats.org/officeDocument/2006/relationships/hyperlink" Target="https://nvd.nist.gov/vuln/detail/CVE-2025-69011" TargetMode="External" Id="rId2001"/><Relationship Type="http://schemas.openxmlformats.org/officeDocument/2006/relationships/hyperlink" Target="https://nvd.nist.gov/vuln/detail/CVE-2025-69063" TargetMode="External" Id="rId2002"/><Relationship Type="http://schemas.openxmlformats.org/officeDocument/2006/relationships/hyperlink" Target="https://nvd.nist.gov/vuln/detail/CVE-2025-69063" TargetMode="External" Id="rId2003"/><Relationship Type="http://schemas.openxmlformats.org/officeDocument/2006/relationships/hyperlink" Target="https://nvd.nist.gov/vuln/detail/CVE-2025-69294" TargetMode="External" Id="rId2004"/><Relationship Type="http://schemas.openxmlformats.org/officeDocument/2006/relationships/hyperlink" Target="https://nvd.nist.gov/vuln/detail/CVE-2025-69294" TargetMode="External" Id="rId2005"/><Relationship Type="http://schemas.openxmlformats.org/officeDocument/2006/relationships/hyperlink" Target="https://nvd.nist.gov/vuln/detail/CVE-2025-69295" TargetMode="External" Id="rId2006"/><Relationship Type="http://schemas.openxmlformats.org/officeDocument/2006/relationships/hyperlink" Target="https://nvd.nist.gov/vuln/detail/CVE-2025-69295" TargetMode="External" Id="rId2007"/><Relationship Type="http://schemas.openxmlformats.org/officeDocument/2006/relationships/hyperlink" Target="https://nvd.nist.gov/vuln/detail/CVE-2025-69296" TargetMode="External" Id="rId2008"/><Relationship Type="http://schemas.openxmlformats.org/officeDocument/2006/relationships/hyperlink" Target="https://nvd.nist.gov/vuln/detail/CVE-2025-69296" TargetMode="External" Id="rId2009"/><Relationship Type="http://schemas.openxmlformats.org/officeDocument/2006/relationships/hyperlink" Target="https://nvd.nist.gov/vuln/detail/CVE-2025-69297" TargetMode="External" Id="rId2010"/><Relationship Type="http://schemas.openxmlformats.org/officeDocument/2006/relationships/hyperlink" Target="https://nvd.nist.gov/vuln/detail/CVE-2025-69297" TargetMode="External" Id="rId2011"/><Relationship Type="http://schemas.openxmlformats.org/officeDocument/2006/relationships/hyperlink" Target="https://nvd.nist.gov/vuln/detail/CVE-2025-69298" TargetMode="External" Id="rId2012"/><Relationship Type="http://schemas.openxmlformats.org/officeDocument/2006/relationships/hyperlink" Target="https://nvd.nist.gov/vuln/detail/CVE-2025-69298" TargetMode="External" Id="rId2013"/><Relationship Type="http://schemas.openxmlformats.org/officeDocument/2006/relationships/hyperlink" Target="https://nvd.nist.gov/vuln/detail/CVE-2025-69299" TargetMode="External" Id="rId2014"/><Relationship Type="http://schemas.openxmlformats.org/officeDocument/2006/relationships/hyperlink" Target="https://nvd.nist.gov/vuln/detail/CVE-2025-69299" TargetMode="External" Id="rId2015"/><Relationship Type="http://schemas.openxmlformats.org/officeDocument/2006/relationships/hyperlink" Target="https://nvd.nist.gov/vuln/detail/CVE-2025-69301" TargetMode="External" Id="rId2016"/><Relationship Type="http://schemas.openxmlformats.org/officeDocument/2006/relationships/hyperlink" Target="https://nvd.nist.gov/vuln/detail/CVE-2025-69301" TargetMode="External" Id="rId2017"/><Relationship Type="http://schemas.openxmlformats.org/officeDocument/2006/relationships/hyperlink" Target="https://nvd.nist.gov/vuln/detail/CVE-2025-69302" TargetMode="External" Id="rId2018"/><Relationship Type="http://schemas.openxmlformats.org/officeDocument/2006/relationships/hyperlink" Target="https://nvd.nist.gov/vuln/detail/CVE-2025-69302" TargetMode="External" Id="rId2019"/><Relationship Type="http://schemas.openxmlformats.org/officeDocument/2006/relationships/hyperlink" Target="https://nvd.nist.gov/vuln/detail/CVE-2025-69303" TargetMode="External" Id="rId2020"/><Relationship Type="http://schemas.openxmlformats.org/officeDocument/2006/relationships/hyperlink" Target="https://nvd.nist.gov/vuln/detail/CVE-2025-69303" TargetMode="External" Id="rId2021"/><Relationship Type="http://schemas.openxmlformats.org/officeDocument/2006/relationships/hyperlink" Target="https://nvd.nist.gov/vuln/detail/CVE-2025-69304" TargetMode="External" Id="rId2022"/><Relationship Type="http://schemas.openxmlformats.org/officeDocument/2006/relationships/hyperlink" Target="https://nvd.nist.gov/vuln/detail/CVE-2025-69304" TargetMode="External" Id="rId2023"/><Relationship Type="http://schemas.openxmlformats.org/officeDocument/2006/relationships/hyperlink" Target="https://nvd.nist.gov/vuln/detail/CVE-2025-69305" TargetMode="External" Id="rId2024"/><Relationship Type="http://schemas.openxmlformats.org/officeDocument/2006/relationships/hyperlink" Target="https://nvd.nist.gov/vuln/detail/CVE-2025-69305" TargetMode="External" Id="rId2025"/><Relationship Type="http://schemas.openxmlformats.org/officeDocument/2006/relationships/hyperlink" Target="https://nvd.nist.gov/vuln/detail/CVE-2025-69306" TargetMode="External" Id="rId2026"/><Relationship Type="http://schemas.openxmlformats.org/officeDocument/2006/relationships/hyperlink" Target="https://nvd.nist.gov/vuln/detail/CVE-2025-69306" TargetMode="External" Id="rId2027"/><Relationship Type="http://schemas.openxmlformats.org/officeDocument/2006/relationships/hyperlink" Target="https://nvd.nist.gov/vuln/detail/CVE-2025-69307" TargetMode="External" Id="rId2028"/><Relationship Type="http://schemas.openxmlformats.org/officeDocument/2006/relationships/hyperlink" Target="https://nvd.nist.gov/vuln/detail/CVE-2025-69307" TargetMode="External" Id="rId2029"/><Relationship Type="http://schemas.openxmlformats.org/officeDocument/2006/relationships/hyperlink" Target="https://nvd.nist.gov/vuln/detail/CVE-2025-69308" TargetMode="External" Id="rId2030"/><Relationship Type="http://schemas.openxmlformats.org/officeDocument/2006/relationships/hyperlink" Target="https://nvd.nist.gov/vuln/detail/CVE-2025-69308" TargetMode="External" Id="rId2031"/><Relationship Type="http://schemas.openxmlformats.org/officeDocument/2006/relationships/hyperlink" Target="https://nvd.nist.gov/vuln/detail/CVE-2025-69309" TargetMode="External" Id="rId2032"/><Relationship Type="http://schemas.openxmlformats.org/officeDocument/2006/relationships/hyperlink" Target="https://nvd.nist.gov/vuln/detail/CVE-2025-69309" TargetMode="External" Id="rId2033"/><Relationship Type="http://schemas.openxmlformats.org/officeDocument/2006/relationships/hyperlink" Target="https://nvd.nist.gov/vuln/detail/CVE-2025-69310" TargetMode="External" Id="rId2034"/><Relationship Type="http://schemas.openxmlformats.org/officeDocument/2006/relationships/hyperlink" Target="https://nvd.nist.gov/vuln/detail/CVE-2025-69310" TargetMode="External" Id="rId2035"/><Relationship Type="http://schemas.openxmlformats.org/officeDocument/2006/relationships/hyperlink" Target="https://nvd.nist.gov/vuln/detail/CVE-2025-69322" TargetMode="External" Id="rId2036"/><Relationship Type="http://schemas.openxmlformats.org/officeDocument/2006/relationships/hyperlink" Target="https://nvd.nist.gov/vuln/detail/CVE-2025-69322" TargetMode="External" Id="rId2037"/><Relationship Type="http://schemas.openxmlformats.org/officeDocument/2006/relationships/hyperlink" Target="https://nvd.nist.gov/vuln/detail/CVE-2025-69323" TargetMode="External" Id="rId2038"/><Relationship Type="http://schemas.openxmlformats.org/officeDocument/2006/relationships/hyperlink" Target="https://nvd.nist.gov/vuln/detail/CVE-2025-69323" TargetMode="External" Id="rId2039"/><Relationship Type="http://schemas.openxmlformats.org/officeDocument/2006/relationships/hyperlink" Target="https://nvd.nist.gov/vuln/detail/CVE-2025-69324" TargetMode="External" Id="rId2040"/><Relationship Type="http://schemas.openxmlformats.org/officeDocument/2006/relationships/hyperlink" Target="https://nvd.nist.gov/vuln/detail/CVE-2025-69324" TargetMode="External" Id="rId2041"/><Relationship Type="http://schemas.openxmlformats.org/officeDocument/2006/relationships/hyperlink" Target="https://nvd.nist.gov/vuln/detail/CVE-2025-69325" TargetMode="External" Id="rId2042"/><Relationship Type="http://schemas.openxmlformats.org/officeDocument/2006/relationships/hyperlink" Target="https://nvd.nist.gov/vuln/detail/CVE-2025-69325" TargetMode="External" Id="rId2043"/><Relationship Type="http://schemas.openxmlformats.org/officeDocument/2006/relationships/hyperlink" Target="https://nvd.nist.gov/vuln/detail/CVE-2025-69326" TargetMode="External" Id="rId2044"/><Relationship Type="http://schemas.openxmlformats.org/officeDocument/2006/relationships/hyperlink" Target="https://nvd.nist.gov/vuln/detail/CVE-2025-69326" TargetMode="External" Id="rId2045"/><Relationship Type="http://schemas.openxmlformats.org/officeDocument/2006/relationships/hyperlink" Target="https://nvd.nist.gov/vuln/detail/CVE-2025-69328" TargetMode="External" Id="rId2046"/><Relationship Type="http://schemas.openxmlformats.org/officeDocument/2006/relationships/hyperlink" Target="https://nvd.nist.gov/vuln/detail/CVE-2025-69328" TargetMode="External" Id="rId2047"/><Relationship Type="http://schemas.openxmlformats.org/officeDocument/2006/relationships/hyperlink" Target="https://nvd.nist.gov/vuln/detail/CVE-2025-69329" TargetMode="External" Id="rId2048"/><Relationship Type="http://schemas.openxmlformats.org/officeDocument/2006/relationships/hyperlink" Target="https://nvd.nist.gov/vuln/detail/CVE-2025-69329" TargetMode="External" Id="rId2049"/><Relationship Type="http://schemas.openxmlformats.org/officeDocument/2006/relationships/hyperlink" Target="https://nvd.nist.gov/vuln/detail/CVE-2025-69330" TargetMode="External" Id="rId2050"/><Relationship Type="http://schemas.openxmlformats.org/officeDocument/2006/relationships/hyperlink" Target="https://nvd.nist.gov/vuln/detail/CVE-2025-69330" TargetMode="External" Id="rId2051"/><Relationship Type="http://schemas.openxmlformats.org/officeDocument/2006/relationships/hyperlink" Target="https://nvd.nist.gov/vuln/detail/CVE-2025-69337" TargetMode="External" Id="rId2052"/><Relationship Type="http://schemas.openxmlformats.org/officeDocument/2006/relationships/hyperlink" Target="https://nvd.nist.gov/vuln/detail/CVE-2025-69337" TargetMode="External" Id="rId2053"/><Relationship Type="http://schemas.openxmlformats.org/officeDocument/2006/relationships/hyperlink" Target="https://nvd.nist.gov/vuln/detail/CVE-2025-69365" TargetMode="External" Id="rId2054"/><Relationship Type="http://schemas.openxmlformats.org/officeDocument/2006/relationships/hyperlink" Target="https://nvd.nist.gov/vuln/detail/CVE-2025-69365" TargetMode="External" Id="rId2055"/><Relationship Type="http://schemas.openxmlformats.org/officeDocument/2006/relationships/hyperlink" Target="https://nvd.nist.gov/vuln/detail/CVE-2025-69366" TargetMode="External" Id="rId2056"/><Relationship Type="http://schemas.openxmlformats.org/officeDocument/2006/relationships/hyperlink" Target="https://nvd.nist.gov/vuln/detail/CVE-2025-69366" TargetMode="External" Id="rId2057"/><Relationship Type="http://schemas.openxmlformats.org/officeDocument/2006/relationships/hyperlink" Target="https://nvd.nist.gov/vuln/detail/CVE-2025-69367" TargetMode="External" Id="rId2058"/><Relationship Type="http://schemas.openxmlformats.org/officeDocument/2006/relationships/hyperlink" Target="https://nvd.nist.gov/vuln/detail/CVE-2025-69367" TargetMode="External" Id="rId2059"/><Relationship Type="http://schemas.openxmlformats.org/officeDocument/2006/relationships/hyperlink" Target="https://nvd.nist.gov/vuln/detail/CVE-2025-69368" TargetMode="External" Id="rId2060"/><Relationship Type="http://schemas.openxmlformats.org/officeDocument/2006/relationships/hyperlink" Target="https://nvd.nist.gov/vuln/detail/CVE-2025-69368" TargetMode="External" Id="rId2061"/><Relationship Type="http://schemas.openxmlformats.org/officeDocument/2006/relationships/hyperlink" Target="https://nvd.nist.gov/vuln/detail/CVE-2025-69370" TargetMode="External" Id="rId2062"/><Relationship Type="http://schemas.openxmlformats.org/officeDocument/2006/relationships/hyperlink" Target="https://nvd.nist.gov/vuln/detail/CVE-2025-69370" TargetMode="External" Id="rId2063"/><Relationship Type="http://schemas.openxmlformats.org/officeDocument/2006/relationships/hyperlink" Target="https://nvd.nist.gov/vuln/detail/CVE-2025-69371" TargetMode="External" Id="rId2064"/><Relationship Type="http://schemas.openxmlformats.org/officeDocument/2006/relationships/hyperlink" Target="https://nvd.nist.gov/vuln/detail/CVE-2025-69371" TargetMode="External" Id="rId2065"/><Relationship Type="http://schemas.openxmlformats.org/officeDocument/2006/relationships/hyperlink" Target="https://nvd.nist.gov/vuln/detail/CVE-2025-69372" TargetMode="External" Id="rId2066"/><Relationship Type="http://schemas.openxmlformats.org/officeDocument/2006/relationships/hyperlink" Target="https://nvd.nist.gov/vuln/detail/CVE-2025-69372" TargetMode="External" Id="rId2067"/><Relationship Type="http://schemas.openxmlformats.org/officeDocument/2006/relationships/hyperlink" Target="https://nvd.nist.gov/vuln/detail/CVE-2025-69373" TargetMode="External" Id="rId2068"/><Relationship Type="http://schemas.openxmlformats.org/officeDocument/2006/relationships/hyperlink" Target="https://nvd.nist.gov/vuln/detail/CVE-2025-69373" TargetMode="External" Id="rId2069"/><Relationship Type="http://schemas.openxmlformats.org/officeDocument/2006/relationships/hyperlink" Target="https://nvd.nist.gov/vuln/detail/CVE-2025-69374" TargetMode="External" Id="rId2070"/><Relationship Type="http://schemas.openxmlformats.org/officeDocument/2006/relationships/hyperlink" Target="https://nvd.nist.gov/vuln/detail/CVE-2025-69374" TargetMode="External" Id="rId2071"/><Relationship Type="http://schemas.openxmlformats.org/officeDocument/2006/relationships/hyperlink" Target="https://nvd.nist.gov/vuln/detail/CVE-2025-69375" TargetMode="External" Id="rId2072"/><Relationship Type="http://schemas.openxmlformats.org/officeDocument/2006/relationships/hyperlink" Target="https://nvd.nist.gov/vuln/detail/CVE-2025-69375" TargetMode="External" Id="rId2073"/><Relationship Type="http://schemas.openxmlformats.org/officeDocument/2006/relationships/hyperlink" Target="https://nvd.nist.gov/vuln/detail/CVE-2025-69376" TargetMode="External" Id="rId2074"/><Relationship Type="http://schemas.openxmlformats.org/officeDocument/2006/relationships/hyperlink" Target="https://nvd.nist.gov/vuln/detail/CVE-2025-69376" TargetMode="External" Id="rId2075"/><Relationship Type="http://schemas.openxmlformats.org/officeDocument/2006/relationships/hyperlink" Target="https://nvd.nist.gov/vuln/detail/CVE-2025-69377" TargetMode="External" Id="rId2076"/><Relationship Type="http://schemas.openxmlformats.org/officeDocument/2006/relationships/hyperlink" Target="https://nvd.nist.gov/vuln/detail/CVE-2025-69377" TargetMode="External" Id="rId2077"/><Relationship Type="http://schemas.openxmlformats.org/officeDocument/2006/relationships/hyperlink" Target="https://nvd.nist.gov/vuln/detail/CVE-2025-69378" TargetMode="External" Id="rId2078"/><Relationship Type="http://schemas.openxmlformats.org/officeDocument/2006/relationships/hyperlink" Target="https://nvd.nist.gov/vuln/detail/CVE-2025-69378" TargetMode="External" Id="rId2079"/><Relationship Type="http://schemas.openxmlformats.org/officeDocument/2006/relationships/hyperlink" Target="https://nvd.nist.gov/vuln/detail/CVE-2025-69379" TargetMode="External" Id="rId2080"/><Relationship Type="http://schemas.openxmlformats.org/officeDocument/2006/relationships/hyperlink" Target="https://nvd.nist.gov/vuln/detail/CVE-2025-69379" TargetMode="External" Id="rId2081"/><Relationship Type="http://schemas.openxmlformats.org/officeDocument/2006/relationships/hyperlink" Target="https://nvd.nist.gov/vuln/detail/CVE-2025-69380" TargetMode="External" Id="rId2082"/><Relationship Type="http://schemas.openxmlformats.org/officeDocument/2006/relationships/hyperlink" Target="https://nvd.nist.gov/vuln/detail/CVE-2025-69380" TargetMode="External" Id="rId2083"/><Relationship Type="http://schemas.openxmlformats.org/officeDocument/2006/relationships/hyperlink" Target="https://nvd.nist.gov/vuln/detail/CVE-2025-69381" TargetMode="External" Id="rId2084"/><Relationship Type="http://schemas.openxmlformats.org/officeDocument/2006/relationships/hyperlink" Target="https://nvd.nist.gov/vuln/detail/CVE-2025-69381" TargetMode="External" Id="rId2085"/><Relationship Type="http://schemas.openxmlformats.org/officeDocument/2006/relationships/hyperlink" Target="https://nvd.nist.gov/vuln/detail/CVE-2025-69382" TargetMode="External" Id="rId2086"/><Relationship Type="http://schemas.openxmlformats.org/officeDocument/2006/relationships/hyperlink" Target="https://nvd.nist.gov/vuln/detail/CVE-2025-69382" TargetMode="External" Id="rId2087"/><Relationship Type="http://schemas.openxmlformats.org/officeDocument/2006/relationships/hyperlink" Target="https://nvd.nist.gov/vuln/detail/CVE-2025-69383" TargetMode="External" Id="rId2088"/><Relationship Type="http://schemas.openxmlformats.org/officeDocument/2006/relationships/hyperlink" Target="https://nvd.nist.gov/vuln/detail/CVE-2025-69383" TargetMode="External" Id="rId2089"/><Relationship Type="http://schemas.openxmlformats.org/officeDocument/2006/relationships/hyperlink" Target="https://nvd.nist.gov/vuln/detail/CVE-2025-69384" TargetMode="External" Id="rId2090"/><Relationship Type="http://schemas.openxmlformats.org/officeDocument/2006/relationships/hyperlink" Target="https://nvd.nist.gov/vuln/detail/CVE-2025-69384" TargetMode="External" Id="rId2091"/><Relationship Type="http://schemas.openxmlformats.org/officeDocument/2006/relationships/hyperlink" Target="https://nvd.nist.gov/vuln/detail/CVE-2025-69385" TargetMode="External" Id="rId2092"/><Relationship Type="http://schemas.openxmlformats.org/officeDocument/2006/relationships/hyperlink" Target="https://nvd.nist.gov/vuln/detail/CVE-2025-69385" TargetMode="External" Id="rId2093"/><Relationship Type="http://schemas.openxmlformats.org/officeDocument/2006/relationships/hyperlink" Target="https://nvd.nist.gov/vuln/detail/CVE-2025-69386" TargetMode="External" Id="rId2094"/><Relationship Type="http://schemas.openxmlformats.org/officeDocument/2006/relationships/hyperlink" Target="https://nvd.nist.gov/vuln/detail/CVE-2025-69386" TargetMode="External" Id="rId2095"/><Relationship Type="http://schemas.openxmlformats.org/officeDocument/2006/relationships/hyperlink" Target="https://nvd.nist.gov/vuln/detail/CVE-2025-69387" TargetMode="External" Id="rId2096"/><Relationship Type="http://schemas.openxmlformats.org/officeDocument/2006/relationships/hyperlink" Target="https://nvd.nist.gov/vuln/detail/CVE-2025-69387" TargetMode="External" Id="rId2097"/><Relationship Type="http://schemas.openxmlformats.org/officeDocument/2006/relationships/hyperlink" Target="https://nvd.nist.gov/vuln/detail/CVE-2025-69388" TargetMode="External" Id="rId2098"/><Relationship Type="http://schemas.openxmlformats.org/officeDocument/2006/relationships/hyperlink" Target="https://nvd.nist.gov/vuln/detail/CVE-2025-69388" TargetMode="External" Id="rId2099"/><Relationship Type="http://schemas.openxmlformats.org/officeDocument/2006/relationships/hyperlink" Target="https://nvd.nist.gov/vuln/detail/CVE-2025-69389" TargetMode="External" Id="rId2100"/><Relationship Type="http://schemas.openxmlformats.org/officeDocument/2006/relationships/hyperlink" Target="https://nvd.nist.gov/vuln/detail/CVE-2025-69389" TargetMode="External" Id="rId2101"/><Relationship Type="http://schemas.openxmlformats.org/officeDocument/2006/relationships/hyperlink" Target="https://nvd.nist.gov/vuln/detail/CVE-2025-69390" TargetMode="External" Id="rId2102"/><Relationship Type="http://schemas.openxmlformats.org/officeDocument/2006/relationships/hyperlink" Target="https://nvd.nist.gov/vuln/detail/CVE-2025-69390" TargetMode="External" Id="rId2103"/><Relationship Type="http://schemas.openxmlformats.org/officeDocument/2006/relationships/hyperlink" Target="https://nvd.nist.gov/vuln/detail/CVE-2025-69391" TargetMode="External" Id="rId2104"/><Relationship Type="http://schemas.openxmlformats.org/officeDocument/2006/relationships/hyperlink" Target="https://nvd.nist.gov/vuln/detail/CVE-2025-69391" TargetMode="External" Id="rId2105"/><Relationship Type="http://schemas.openxmlformats.org/officeDocument/2006/relationships/hyperlink" Target="https://nvd.nist.gov/vuln/detail/CVE-2025-69392" TargetMode="External" Id="rId2106"/><Relationship Type="http://schemas.openxmlformats.org/officeDocument/2006/relationships/hyperlink" Target="https://nvd.nist.gov/vuln/detail/CVE-2025-69392" TargetMode="External" Id="rId2107"/><Relationship Type="http://schemas.openxmlformats.org/officeDocument/2006/relationships/hyperlink" Target="https://nvd.nist.gov/vuln/detail/CVE-2025-69393" TargetMode="External" Id="rId2108"/><Relationship Type="http://schemas.openxmlformats.org/officeDocument/2006/relationships/hyperlink" Target="https://nvd.nist.gov/vuln/detail/CVE-2025-69393" TargetMode="External" Id="rId2109"/><Relationship Type="http://schemas.openxmlformats.org/officeDocument/2006/relationships/hyperlink" Target="https://nvd.nist.gov/vuln/detail/CVE-2025-69394" TargetMode="External" Id="rId2110"/><Relationship Type="http://schemas.openxmlformats.org/officeDocument/2006/relationships/hyperlink" Target="https://nvd.nist.gov/vuln/detail/CVE-2025-69394" TargetMode="External" Id="rId2111"/><Relationship Type="http://schemas.openxmlformats.org/officeDocument/2006/relationships/hyperlink" Target="https://nvd.nist.gov/vuln/detail/CVE-2025-69395" TargetMode="External" Id="rId2112"/><Relationship Type="http://schemas.openxmlformats.org/officeDocument/2006/relationships/hyperlink" Target="https://nvd.nist.gov/vuln/detail/CVE-2025-69395" TargetMode="External" Id="rId2113"/><Relationship Type="http://schemas.openxmlformats.org/officeDocument/2006/relationships/hyperlink" Target="https://nvd.nist.gov/vuln/detail/CVE-2025-69396" TargetMode="External" Id="rId2114"/><Relationship Type="http://schemas.openxmlformats.org/officeDocument/2006/relationships/hyperlink" Target="https://nvd.nist.gov/vuln/detail/CVE-2025-69396" TargetMode="External" Id="rId2115"/><Relationship Type="http://schemas.openxmlformats.org/officeDocument/2006/relationships/hyperlink" Target="https://nvd.nist.gov/vuln/detail/CVE-2025-69397" TargetMode="External" Id="rId2116"/><Relationship Type="http://schemas.openxmlformats.org/officeDocument/2006/relationships/hyperlink" Target="https://nvd.nist.gov/vuln/detail/CVE-2025-69397" TargetMode="External" Id="rId2117"/><Relationship Type="http://schemas.openxmlformats.org/officeDocument/2006/relationships/hyperlink" Target="https://nvd.nist.gov/vuln/detail/CVE-2025-69398" TargetMode="External" Id="rId2118"/><Relationship Type="http://schemas.openxmlformats.org/officeDocument/2006/relationships/hyperlink" Target="https://nvd.nist.gov/vuln/detail/CVE-2025-69398" TargetMode="External" Id="rId2119"/><Relationship Type="http://schemas.openxmlformats.org/officeDocument/2006/relationships/hyperlink" Target="https://nvd.nist.gov/vuln/detail/CVE-2025-69399" TargetMode="External" Id="rId2120"/><Relationship Type="http://schemas.openxmlformats.org/officeDocument/2006/relationships/hyperlink" Target="https://nvd.nist.gov/vuln/detail/CVE-2025-69399" TargetMode="External" Id="rId2121"/><Relationship Type="http://schemas.openxmlformats.org/officeDocument/2006/relationships/hyperlink" Target="https://nvd.nist.gov/vuln/detail/CVE-2025-69400" TargetMode="External" Id="rId2122"/><Relationship Type="http://schemas.openxmlformats.org/officeDocument/2006/relationships/hyperlink" Target="https://nvd.nist.gov/vuln/detail/CVE-2025-69400" TargetMode="External" Id="rId2123"/><Relationship Type="http://schemas.openxmlformats.org/officeDocument/2006/relationships/hyperlink" Target="https://nvd.nist.gov/vuln/detail/CVE-2025-69401" TargetMode="External" Id="rId2124"/><Relationship Type="http://schemas.openxmlformats.org/officeDocument/2006/relationships/hyperlink" Target="https://nvd.nist.gov/vuln/detail/CVE-2025-69401" TargetMode="External" Id="rId2125"/><Relationship Type="http://schemas.openxmlformats.org/officeDocument/2006/relationships/hyperlink" Target="https://nvd.nist.gov/vuln/detail/CVE-2025-69402" TargetMode="External" Id="rId2126"/><Relationship Type="http://schemas.openxmlformats.org/officeDocument/2006/relationships/hyperlink" Target="https://nvd.nist.gov/vuln/detail/CVE-2025-69402" TargetMode="External" Id="rId2127"/><Relationship Type="http://schemas.openxmlformats.org/officeDocument/2006/relationships/hyperlink" Target="https://nvd.nist.gov/vuln/detail/CVE-2025-69403" TargetMode="External" Id="rId2128"/><Relationship Type="http://schemas.openxmlformats.org/officeDocument/2006/relationships/hyperlink" Target="https://nvd.nist.gov/vuln/detail/CVE-2025-69403" TargetMode="External" Id="rId2129"/><Relationship Type="http://schemas.openxmlformats.org/officeDocument/2006/relationships/hyperlink" Target="https://nvd.nist.gov/vuln/detail/CVE-2025-69404" TargetMode="External" Id="rId2130"/><Relationship Type="http://schemas.openxmlformats.org/officeDocument/2006/relationships/hyperlink" Target="https://nvd.nist.gov/vuln/detail/CVE-2025-69404" TargetMode="External" Id="rId2131"/><Relationship Type="http://schemas.openxmlformats.org/officeDocument/2006/relationships/hyperlink" Target="https://nvd.nist.gov/vuln/detail/CVE-2025-69405" TargetMode="External" Id="rId2132"/><Relationship Type="http://schemas.openxmlformats.org/officeDocument/2006/relationships/hyperlink" Target="https://nvd.nist.gov/vuln/detail/CVE-2025-69405" TargetMode="External" Id="rId2133"/><Relationship Type="http://schemas.openxmlformats.org/officeDocument/2006/relationships/hyperlink" Target="https://nvd.nist.gov/vuln/detail/CVE-2025-69406" TargetMode="External" Id="rId2134"/><Relationship Type="http://schemas.openxmlformats.org/officeDocument/2006/relationships/hyperlink" Target="https://nvd.nist.gov/vuln/detail/CVE-2025-69406" TargetMode="External" Id="rId2135"/><Relationship Type="http://schemas.openxmlformats.org/officeDocument/2006/relationships/hyperlink" Target="https://nvd.nist.gov/vuln/detail/CVE-2025-69407" TargetMode="External" Id="rId2136"/><Relationship Type="http://schemas.openxmlformats.org/officeDocument/2006/relationships/hyperlink" Target="https://nvd.nist.gov/vuln/detail/CVE-2025-69407" TargetMode="External" Id="rId2137"/><Relationship Type="http://schemas.openxmlformats.org/officeDocument/2006/relationships/hyperlink" Target="https://nvd.nist.gov/vuln/detail/CVE-2025-69408" TargetMode="External" Id="rId2138"/><Relationship Type="http://schemas.openxmlformats.org/officeDocument/2006/relationships/hyperlink" Target="https://nvd.nist.gov/vuln/detail/CVE-2025-69408" TargetMode="External" Id="rId2139"/><Relationship Type="http://schemas.openxmlformats.org/officeDocument/2006/relationships/hyperlink" Target="https://nvd.nist.gov/vuln/detail/CVE-2025-69409" TargetMode="External" Id="rId2140"/><Relationship Type="http://schemas.openxmlformats.org/officeDocument/2006/relationships/hyperlink" Target="https://nvd.nist.gov/vuln/detail/CVE-2025-69409" TargetMode="External" Id="rId2141"/><Relationship Type="http://schemas.openxmlformats.org/officeDocument/2006/relationships/hyperlink" Target="https://nvd.nist.gov/vuln/detail/CVE-2025-69410" TargetMode="External" Id="rId2142"/><Relationship Type="http://schemas.openxmlformats.org/officeDocument/2006/relationships/hyperlink" Target="https://nvd.nist.gov/vuln/detail/CVE-2025-69410" TargetMode="External" Id="rId2143"/><Relationship Type="http://schemas.openxmlformats.org/officeDocument/2006/relationships/hyperlink" Target="https://nvd.nist.gov/vuln/detail/CVE-2025-70831" TargetMode="External" Id="rId2144"/><Relationship Type="http://schemas.openxmlformats.org/officeDocument/2006/relationships/hyperlink" Target="https://nvd.nist.gov/vuln/detail/CVE-2025-70831" TargetMode="External" Id="rId2145"/><Relationship Type="http://schemas.openxmlformats.org/officeDocument/2006/relationships/hyperlink" Target="https://nvd.nist.gov/vuln/detail/CVE-2026-20761" TargetMode="External" Id="rId2146"/><Relationship Type="http://schemas.openxmlformats.org/officeDocument/2006/relationships/hyperlink" Target="https://nvd.nist.gov/vuln/detail/CVE-2026-20761" TargetMode="External" Id="rId2147"/><Relationship Type="http://schemas.openxmlformats.org/officeDocument/2006/relationships/hyperlink" Target="https://nvd.nist.gov/vuln/detail/CVE-2026-22341" TargetMode="External" Id="rId2148"/><Relationship Type="http://schemas.openxmlformats.org/officeDocument/2006/relationships/hyperlink" Target="https://nvd.nist.gov/vuln/detail/CVE-2026-22341" TargetMode="External" Id="rId2149"/><Relationship Type="http://schemas.openxmlformats.org/officeDocument/2006/relationships/hyperlink" Target="https://nvd.nist.gov/vuln/detail/CVE-2026-22344" TargetMode="External" Id="rId2150"/><Relationship Type="http://schemas.openxmlformats.org/officeDocument/2006/relationships/hyperlink" Target="https://nvd.nist.gov/vuln/detail/CVE-2026-22344" TargetMode="External" Id="rId2151"/><Relationship Type="http://schemas.openxmlformats.org/officeDocument/2006/relationships/hyperlink" Target="https://nvd.nist.gov/vuln/detail/CVE-2026-22345" TargetMode="External" Id="rId2152"/><Relationship Type="http://schemas.openxmlformats.org/officeDocument/2006/relationships/hyperlink" Target="https://nvd.nist.gov/vuln/detail/CVE-2026-22345" TargetMode="External" Id="rId2153"/><Relationship Type="http://schemas.openxmlformats.org/officeDocument/2006/relationships/hyperlink" Target="https://nvd.nist.gov/vuln/detail/CVE-2026-22346" TargetMode="External" Id="rId2154"/><Relationship Type="http://schemas.openxmlformats.org/officeDocument/2006/relationships/hyperlink" Target="https://nvd.nist.gov/vuln/detail/CVE-2026-22346" TargetMode="External" Id="rId2155"/><Relationship Type="http://schemas.openxmlformats.org/officeDocument/2006/relationships/hyperlink" Target="https://nvd.nist.gov/vuln/detail/CVE-2026-22350" TargetMode="External" Id="rId2156"/><Relationship Type="http://schemas.openxmlformats.org/officeDocument/2006/relationships/hyperlink" Target="https://nvd.nist.gov/vuln/detail/CVE-2026-22350" TargetMode="External" Id="rId2157"/><Relationship Type="http://schemas.openxmlformats.org/officeDocument/2006/relationships/hyperlink" Target="https://nvd.nist.gov/vuln/detail/CVE-2026-22351" TargetMode="External" Id="rId2158"/><Relationship Type="http://schemas.openxmlformats.org/officeDocument/2006/relationships/hyperlink" Target="https://nvd.nist.gov/vuln/detail/CVE-2026-22351" TargetMode="External" Id="rId2159"/><Relationship Type="http://schemas.openxmlformats.org/officeDocument/2006/relationships/hyperlink" Target="https://nvd.nist.gov/vuln/detail/CVE-2026-22352" TargetMode="External" Id="rId2160"/><Relationship Type="http://schemas.openxmlformats.org/officeDocument/2006/relationships/hyperlink" Target="https://nvd.nist.gov/vuln/detail/CVE-2026-22352" TargetMode="External" Id="rId2161"/><Relationship Type="http://schemas.openxmlformats.org/officeDocument/2006/relationships/hyperlink" Target="https://nvd.nist.gov/vuln/detail/CVE-2026-22354" TargetMode="External" Id="rId2162"/><Relationship Type="http://schemas.openxmlformats.org/officeDocument/2006/relationships/hyperlink" Target="https://nvd.nist.gov/vuln/detail/CVE-2026-22354" TargetMode="External" Id="rId2163"/><Relationship Type="http://schemas.openxmlformats.org/officeDocument/2006/relationships/hyperlink" Target="https://nvd.nist.gov/vuln/detail/CVE-2026-22356" TargetMode="External" Id="rId2164"/><Relationship Type="http://schemas.openxmlformats.org/officeDocument/2006/relationships/hyperlink" Target="https://nvd.nist.gov/vuln/detail/CVE-2026-22356" TargetMode="External" Id="rId2165"/><Relationship Type="http://schemas.openxmlformats.org/officeDocument/2006/relationships/hyperlink" Target="https://nvd.nist.gov/vuln/detail/CVE-2026-22357" TargetMode="External" Id="rId2166"/><Relationship Type="http://schemas.openxmlformats.org/officeDocument/2006/relationships/hyperlink" Target="https://nvd.nist.gov/vuln/detail/CVE-2026-22357" TargetMode="External" Id="rId2167"/><Relationship Type="http://schemas.openxmlformats.org/officeDocument/2006/relationships/hyperlink" Target="https://nvd.nist.gov/vuln/detail/CVE-2026-22361" TargetMode="External" Id="rId2168"/><Relationship Type="http://schemas.openxmlformats.org/officeDocument/2006/relationships/hyperlink" Target="https://nvd.nist.gov/vuln/detail/CVE-2026-22361" TargetMode="External" Id="rId2169"/><Relationship Type="http://schemas.openxmlformats.org/officeDocument/2006/relationships/hyperlink" Target="https://nvd.nist.gov/vuln/detail/CVE-2026-22362" TargetMode="External" Id="rId2170"/><Relationship Type="http://schemas.openxmlformats.org/officeDocument/2006/relationships/hyperlink" Target="https://nvd.nist.gov/vuln/detail/CVE-2026-22362" TargetMode="External" Id="rId2171"/><Relationship Type="http://schemas.openxmlformats.org/officeDocument/2006/relationships/hyperlink" Target="https://nvd.nist.gov/vuln/detail/CVE-2026-22363" TargetMode="External" Id="rId2172"/><Relationship Type="http://schemas.openxmlformats.org/officeDocument/2006/relationships/hyperlink" Target="https://nvd.nist.gov/vuln/detail/CVE-2026-22363" TargetMode="External" Id="rId2173"/><Relationship Type="http://schemas.openxmlformats.org/officeDocument/2006/relationships/hyperlink" Target="https://nvd.nist.gov/vuln/detail/CVE-2026-22364" TargetMode="External" Id="rId2174"/><Relationship Type="http://schemas.openxmlformats.org/officeDocument/2006/relationships/hyperlink" Target="https://nvd.nist.gov/vuln/detail/CVE-2026-22364" TargetMode="External" Id="rId2175"/><Relationship Type="http://schemas.openxmlformats.org/officeDocument/2006/relationships/hyperlink" Target="https://nvd.nist.gov/vuln/detail/CVE-2026-22365" TargetMode="External" Id="rId2176"/><Relationship Type="http://schemas.openxmlformats.org/officeDocument/2006/relationships/hyperlink" Target="https://nvd.nist.gov/vuln/detail/CVE-2026-22365" TargetMode="External" Id="rId2177"/><Relationship Type="http://schemas.openxmlformats.org/officeDocument/2006/relationships/hyperlink" Target="https://nvd.nist.gov/vuln/detail/CVE-2026-22366" TargetMode="External" Id="rId2178"/><Relationship Type="http://schemas.openxmlformats.org/officeDocument/2006/relationships/hyperlink" Target="https://nvd.nist.gov/vuln/detail/CVE-2026-22366" TargetMode="External" Id="rId2179"/><Relationship Type="http://schemas.openxmlformats.org/officeDocument/2006/relationships/hyperlink" Target="https://nvd.nist.gov/vuln/detail/CVE-2026-22367" TargetMode="External" Id="rId2180"/><Relationship Type="http://schemas.openxmlformats.org/officeDocument/2006/relationships/hyperlink" Target="https://nvd.nist.gov/vuln/detail/CVE-2026-22367" TargetMode="External" Id="rId2181"/><Relationship Type="http://schemas.openxmlformats.org/officeDocument/2006/relationships/hyperlink" Target="https://nvd.nist.gov/vuln/detail/CVE-2026-22368" TargetMode="External" Id="rId2182"/><Relationship Type="http://schemas.openxmlformats.org/officeDocument/2006/relationships/hyperlink" Target="https://nvd.nist.gov/vuln/detail/CVE-2026-22368" TargetMode="External" Id="rId2183"/><Relationship Type="http://schemas.openxmlformats.org/officeDocument/2006/relationships/hyperlink" Target="https://nvd.nist.gov/vuln/detail/CVE-2026-22369" TargetMode="External" Id="rId2184"/><Relationship Type="http://schemas.openxmlformats.org/officeDocument/2006/relationships/hyperlink" Target="https://nvd.nist.gov/vuln/detail/CVE-2026-22369" TargetMode="External" Id="rId2185"/><Relationship Type="http://schemas.openxmlformats.org/officeDocument/2006/relationships/hyperlink" Target="https://nvd.nist.gov/vuln/detail/CVE-2026-22370" TargetMode="External" Id="rId2186"/><Relationship Type="http://schemas.openxmlformats.org/officeDocument/2006/relationships/hyperlink" Target="https://nvd.nist.gov/vuln/detail/CVE-2026-22370" TargetMode="External" Id="rId2187"/><Relationship Type="http://schemas.openxmlformats.org/officeDocument/2006/relationships/hyperlink" Target="https://nvd.nist.gov/vuln/detail/CVE-2026-22371" TargetMode="External" Id="rId2188"/><Relationship Type="http://schemas.openxmlformats.org/officeDocument/2006/relationships/hyperlink" Target="https://nvd.nist.gov/vuln/detail/CVE-2026-22371" TargetMode="External" Id="rId2189"/><Relationship Type="http://schemas.openxmlformats.org/officeDocument/2006/relationships/hyperlink" Target="https://nvd.nist.gov/vuln/detail/CVE-2026-22372" TargetMode="External" Id="rId2190"/><Relationship Type="http://schemas.openxmlformats.org/officeDocument/2006/relationships/hyperlink" Target="https://nvd.nist.gov/vuln/detail/CVE-2026-22372" TargetMode="External" Id="rId2191"/><Relationship Type="http://schemas.openxmlformats.org/officeDocument/2006/relationships/hyperlink" Target="https://nvd.nist.gov/vuln/detail/CVE-2026-22373" TargetMode="External" Id="rId2192"/><Relationship Type="http://schemas.openxmlformats.org/officeDocument/2006/relationships/hyperlink" Target="https://nvd.nist.gov/vuln/detail/CVE-2026-22373" TargetMode="External" Id="rId2193"/><Relationship Type="http://schemas.openxmlformats.org/officeDocument/2006/relationships/hyperlink" Target="https://nvd.nist.gov/vuln/detail/CVE-2026-22374" TargetMode="External" Id="rId2194"/><Relationship Type="http://schemas.openxmlformats.org/officeDocument/2006/relationships/hyperlink" Target="https://nvd.nist.gov/vuln/detail/CVE-2026-22374" TargetMode="External" Id="rId2195"/><Relationship Type="http://schemas.openxmlformats.org/officeDocument/2006/relationships/hyperlink" Target="https://nvd.nist.gov/vuln/detail/CVE-2026-22375" TargetMode="External" Id="rId2196"/><Relationship Type="http://schemas.openxmlformats.org/officeDocument/2006/relationships/hyperlink" Target="https://nvd.nist.gov/vuln/detail/CVE-2026-22375" TargetMode="External" Id="rId2197"/><Relationship Type="http://schemas.openxmlformats.org/officeDocument/2006/relationships/hyperlink" Target="https://nvd.nist.gov/vuln/detail/CVE-2026-22376" TargetMode="External" Id="rId2198"/><Relationship Type="http://schemas.openxmlformats.org/officeDocument/2006/relationships/hyperlink" Target="https://nvd.nist.gov/vuln/detail/CVE-2026-22376" TargetMode="External" Id="rId2199"/><Relationship Type="http://schemas.openxmlformats.org/officeDocument/2006/relationships/hyperlink" Target="https://nvd.nist.gov/vuln/detail/CVE-2026-22377" TargetMode="External" Id="rId2200"/><Relationship Type="http://schemas.openxmlformats.org/officeDocument/2006/relationships/hyperlink" Target="https://nvd.nist.gov/vuln/detail/CVE-2026-22377" TargetMode="External" Id="rId2201"/><Relationship Type="http://schemas.openxmlformats.org/officeDocument/2006/relationships/hyperlink" Target="https://nvd.nist.gov/vuln/detail/CVE-2026-22378" TargetMode="External" Id="rId2202"/><Relationship Type="http://schemas.openxmlformats.org/officeDocument/2006/relationships/hyperlink" Target="https://nvd.nist.gov/vuln/detail/CVE-2026-22378" TargetMode="External" Id="rId2203"/><Relationship Type="http://schemas.openxmlformats.org/officeDocument/2006/relationships/hyperlink" Target="https://nvd.nist.gov/vuln/detail/CVE-2026-22379" TargetMode="External" Id="rId2204"/><Relationship Type="http://schemas.openxmlformats.org/officeDocument/2006/relationships/hyperlink" Target="https://nvd.nist.gov/vuln/detail/CVE-2026-22379" TargetMode="External" Id="rId2205"/><Relationship Type="http://schemas.openxmlformats.org/officeDocument/2006/relationships/hyperlink" Target="https://nvd.nist.gov/vuln/detail/CVE-2026-22380" TargetMode="External" Id="rId2206"/><Relationship Type="http://schemas.openxmlformats.org/officeDocument/2006/relationships/hyperlink" Target="https://nvd.nist.gov/vuln/detail/CVE-2026-22380" TargetMode="External" Id="rId2207"/><Relationship Type="http://schemas.openxmlformats.org/officeDocument/2006/relationships/hyperlink" Target="https://nvd.nist.gov/vuln/detail/CVE-2026-22381" TargetMode="External" Id="rId2208"/><Relationship Type="http://schemas.openxmlformats.org/officeDocument/2006/relationships/hyperlink" Target="https://nvd.nist.gov/vuln/detail/CVE-2026-22381" TargetMode="External" Id="rId2209"/><Relationship Type="http://schemas.openxmlformats.org/officeDocument/2006/relationships/hyperlink" Target="https://nvd.nist.gov/vuln/detail/CVE-2026-22383" TargetMode="External" Id="rId2210"/><Relationship Type="http://schemas.openxmlformats.org/officeDocument/2006/relationships/hyperlink" Target="https://nvd.nist.gov/vuln/detail/CVE-2026-22383" TargetMode="External" Id="rId2211"/><Relationship Type="http://schemas.openxmlformats.org/officeDocument/2006/relationships/hyperlink" Target="https://nvd.nist.gov/vuln/detail/CVE-2026-22384" TargetMode="External" Id="rId2212"/><Relationship Type="http://schemas.openxmlformats.org/officeDocument/2006/relationships/hyperlink" Target="https://nvd.nist.gov/vuln/detail/CVE-2026-22384" TargetMode="External" Id="rId2213"/><Relationship Type="http://schemas.openxmlformats.org/officeDocument/2006/relationships/hyperlink" Target="https://nvd.nist.gov/vuln/detail/CVE-2026-22885" TargetMode="External" Id="rId2214"/><Relationship Type="http://schemas.openxmlformats.org/officeDocument/2006/relationships/hyperlink" Target="https://nvd.nist.gov/vuln/detail/CVE-2026-22885" TargetMode="External" Id="rId2215"/><Relationship Type="http://schemas.openxmlformats.org/officeDocument/2006/relationships/hyperlink" Target="https://nvd.nist.gov/vuln/detail/CVE-2026-24941" TargetMode="External" Id="rId2216"/><Relationship Type="http://schemas.openxmlformats.org/officeDocument/2006/relationships/hyperlink" Target="https://nvd.nist.gov/vuln/detail/CVE-2026-24941" TargetMode="External" Id="rId2217"/><Relationship Type="http://schemas.openxmlformats.org/officeDocument/2006/relationships/hyperlink" Target="https://nvd.nist.gov/vuln/detail/CVE-2026-24943" TargetMode="External" Id="rId2218"/><Relationship Type="http://schemas.openxmlformats.org/officeDocument/2006/relationships/hyperlink" Target="https://nvd.nist.gov/vuln/detail/CVE-2026-24943" TargetMode="External" Id="rId2219"/><Relationship Type="http://schemas.openxmlformats.org/officeDocument/2006/relationships/hyperlink" Target="https://nvd.nist.gov/vuln/detail/CVE-2026-24944" TargetMode="External" Id="rId2220"/><Relationship Type="http://schemas.openxmlformats.org/officeDocument/2006/relationships/hyperlink" Target="https://nvd.nist.gov/vuln/detail/CVE-2026-24944" TargetMode="External" Id="rId2221"/><Relationship Type="http://schemas.openxmlformats.org/officeDocument/2006/relationships/hyperlink" Target="https://nvd.nist.gov/vuln/detail/CVE-2026-24946" TargetMode="External" Id="rId2222"/><Relationship Type="http://schemas.openxmlformats.org/officeDocument/2006/relationships/hyperlink" Target="https://nvd.nist.gov/vuln/detail/CVE-2026-24946" TargetMode="External" Id="rId2223"/><Relationship Type="http://schemas.openxmlformats.org/officeDocument/2006/relationships/hyperlink" Target="https://nvd.nist.gov/vuln/detail/CVE-2026-24948" TargetMode="External" Id="rId2224"/><Relationship Type="http://schemas.openxmlformats.org/officeDocument/2006/relationships/hyperlink" Target="https://nvd.nist.gov/vuln/detail/CVE-2026-24948" TargetMode="External" Id="rId2225"/><Relationship Type="http://schemas.openxmlformats.org/officeDocument/2006/relationships/hyperlink" Target="https://nvd.nist.gov/vuln/detail/CVE-2026-24949" TargetMode="External" Id="rId2226"/><Relationship Type="http://schemas.openxmlformats.org/officeDocument/2006/relationships/hyperlink" Target="https://nvd.nist.gov/vuln/detail/CVE-2026-24949" TargetMode="External" Id="rId2227"/><Relationship Type="http://schemas.openxmlformats.org/officeDocument/2006/relationships/hyperlink" Target="https://nvd.nist.gov/vuln/detail/CVE-2026-24950" TargetMode="External" Id="rId2228"/><Relationship Type="http://schemas.openxmlformats.org/officeDocument/2006/relationships/hyperlink" Target="https://nvd.nist.gov/vuln/detail/CVE-2026-24950" TargetMode="External" Id="rId2229"/><Relationship Type="http://schemas.openxmlformats.org/officeDocument/2006/relationships/hyperlink" Target="https://nvd.nist.gov/vuln/detail/CVE-2026-24953" TargetMode="External" Id="rId2230"/><Relationship Type="http://schemas.openxmlformats.org/officeDocument/2006/relationships/hyperlink" Target="https://nvd.nist.gov/vuln/detail/CVE-2026-24953" TargetMode="External" Id="rId2231"/><Relationship Type="http://schemas.openxmlformats.org/officeDocument/2006/relationships/hyperlink" Target="https://nvd.nist.gov/vuln/detail/CVE-2026-24955" TargetMode="External" Id="rId2232"/><Relationship Type="http://schemas.openxmlformats.org/officeDocument/2006/relationships/hyperlink" Target="https://nvd.nist.gov/vuln/detail/CVE-2026-24955" TargetMode="External" Id="rId2233"/><Relationship Type="http://schemas.openxmlformats.org/officeDocument/2006/relationships/hyperlink" Target="https://nvd.nist.gov/vuln/detail/CVE-2026-24956" TargetMode="External" Id="rId2234"/><Relationship Type="http://schemas.openxmlformats.org/officeDocument/2006/relationships/hyperlink" Target="https://nvd.nist.gov/vuln/detail/CVE-2026-24956" TargetMode="External" Id="rId2235"/><Relationship Type="http://schemas.openxmlformats.org/officeDocument/2006/relationships/hyperlink" Target="https://nvd.nist.gov/vuln/detail/CVE-2026-24959" TargetMode="External" Id="rId2236"/><Relationship Type="http://schemas.openxmlformats.org/officeDocument/2006/relationships/hyperlink" Target="https://nvd.nist.gov/vuln/detail/CVE-2026-24959" TargetMode="External" Id="rId2237"/><Relationship Type="http://schemas.openxmlformats.org/officeDocument/2006/relationships/hyperlink" Target="https://nvd.nist.gov/vuln/detail/CVE-2026-27072" TargetMode="External" Id="rId2238"/><Relationship Type="http://schemas.openxmlformats.org/officeDocument/2006/relationships/hyperlink" Target="https://nvd.nist.gov/vuln/detail/CVE-2026-27072" TargetMode="External" Id="rId2239"/><Relationship Type="http://schemas.openxmlformats.org/officeDocument/2006/relationships/hyperlink" Target="https://nvd.nist.gov/vuln/detail/CVE-2026-2846" TargetMode="External" Id="rId2240"/><Relationship Type="http://schemas.openxmlformats.org/officeDocument/2006/relationships/hyperlink" Target="https://nvd.nist.gov/vuln/detail/CVE-2026-2846" TargetMode="External" Id="rId2241"/><Relationship Type="http://schemas.openxmlformats.org/officeDocument/2006/relationships/hyperlink" Target="https://nvd.nist.gov/vuln/detail/CVE-2026-2847" TargetMode="External" Id="rId2242"/><Relationship Type="http://schemas.openxmlformats.org/officeDocument/2006/relationships/hyperlink" Target="https://nvd.nist.gov/vuln/detail/CVE-2026-2847" TargetMode="External" Id="rId2243"/><Relationship Type="http://schemas.openxmlformats.org/officeDocument/2006/relationships/hyperlink" Target="https://nvd.nist.gov/vuln/detail/CVE-2025-15582" TargetMode="External" Id="rId2244"/><Relationship Type="http://schemas.openxmlformats.org/officeDocument/2006/relationships/hyperlink" Target="https://nvd.nist.gov/vuln/detail/CVE-2025-15582" TargetMode="External" Id="rId2245"/><Relationship Type="http://schemas.openxmlformats.org/officeDocument/2006/relationships/hyperlink" Target="https://nvd.nist.gov/vuln/detail/CVE-2025-15583" TargetMode="External" Id="rId2246"/><Relationship Type="http://schemas.openxmlformats.org/officeDocument/2006/relationships/hyperlink" Target="https://nvd.nist.gov/vuln/detail/CVE-2025-15583" TargetMode="External" Id="rId2247"/><Relationship Type="http://schemas.openxmlformats.org/officeDocument/2006/relationships/hyperlink" Target="https://nvd.nist.gov/vuln/detail/CVE-2025-70833" TargetMode="External" Id="rId2248"/><Relationship Type="http://schemas.openxmlformats.org/officeDocument/2006/relationships/hyperlink" Target="https://nvd.nist.gov/vuln/detail/CVE-2025-70833" TargetMode="External" Id="rId2249"/><Relationship Type="http://schemas.openxmlformats.org/officeDocument/2006/relationships/hyperlink" Target="https://nvd.nist.gov/vuln/detail/CVE-2026-1842" TargetMode="External" Id="rId2250"/><Relationship Type="http://schemas.openxmlformats.org/officeDocument/2006/relationships/hyperlink" Target="https://nvd.nist.gov/vuln/detail/CVE-2026-1842" TargetMode="External" Id="rId2251"/><Relationship Type="http://schemas.openxmlformats.org/officeDocument/2006/relationships/hyperlink" Target="https://nvd.nist.gov/vuln/detail/CVE-2026-24455" TargetMode="External" Id="rId2252"/><Relationship Type="http://schemas.openxmlformats.org/officeDocument/2006/relationships/hyperlink" Target="https://nvd.nist.gov/vuln/detail/CVE-2026-24455" TargetMode="External" Id="rId2253"/><Relationship Type="http://schemas.openxmlformats.org/officeDocument/2006/relationships/hyperlink" Target="https://nvd.nist.gov/vuln/detail/CVE-2026-24790" TargetMode="External" Id="rId2254"/><Relationship Type="http://schemas.openxmlformats.org/officeDocument/2006/relationships/hyperlink" Target="https://nvd.nist.gov/vuln/detail/CVE-2026-24790" TargetMode="External" Id="rId2255"/><Relationship Type="http://schemas.openxmlformats.org/officeDocument/2006/relationships/hyperlink" Target="https://nvd.nist.gov/vuln/detail/CVE-2026-25715" TargetMode="External" Id="rId2256"/><Relationship Type="http://schemas.openxmlformats.org/officeDocument/2006/relationships/hyperlink" Target="https://nvd.nist.gov/vuln/detail/CVE-2026-25715" TargetMode="External" Id="rId2257"/><Relationship Type="http://schemas.openxmlformats.org/officeDocument/2006/relationships/hyperlink" Target="https://nvd.nist.gov/vuln/detail/CVE-2026-26048" TargetMode="External" Id="rId2258"/><Relationship Type="http://schemas.openxmlformats.org/officeDocument/2006/relationships/hyperlink" Target="https://nvd.nist.gov/vuln/detail/CVE-2026-26048" TargetMode="External" Id="rId2259"/><Relationship Type="http://schemas.openxmlformats.org/officeDocument/2006/relationships/hyperlink" Target="https://nvd.nist.gov/vuln/detail/CVE-2026-26049" TargetMode="External" Id="rId2260"/><Relationship Type="http://schemas.openxmlformats.org/officeDocument/2006/relationships/hyperlink" Target="https://nvd.nist.gov/vuln/detail/CVE-2026-26049" TargetMode="External" Id="rId2261"/><Relationship Type="http://schemas.openxmlformats.org/officeDocument/2006/relationships/hyperlink" Target="https://nvd.nist.gov/vuln/detail/CVE-2026-26093" TargetMode="External" Id="rId2262"/><Relationship Type="http://schemas.openxmlformats.org/officeDocument/2006/relationships/hyperlink" Target="https://nvd.nist.gov/vuln/detail/CVE-2026-26093" TargetMode="External" Id="rId2263"/><Relationship Type="http://schemas.openxmlformats.org/officeDocument/2006/relationships/hyperlink" Target="https://nvd.nist.gov/vuln/detail/CVE-2026-26095" TargetMode="External" Id="rId2264"/><Relationship Type="http://schemas.openxmlformats.org/officeDocument/2006/relationships/hyperlink" Target="https://nvd.nist.gov/vuln/detail/CVE-2026-26095" TargetMode="External" Id="rId2265"/><Relationship Type="http://schemas.openxmlformats.org/officeDocument/2006/relationships/hyperlink" Target="https://nvd.nist.gov/vuln/detail/CVE-2026-26096" TargetMode="External" Id="rId2266"/><Relationship Type="http://schemas.openxmlformats.org/officeDocument/2006/relationships/hyperlink" Target="https://nvd.nist.gov/vuln/detail/CVE-2026-26096" TargetMode="External" Id="rId2267"/><Relationship Type="http://schemas.openxmlformats.org/officeDocument/2006/relationships/hyperlink" Target="https://nvd.nist.gov/vuln/detail/CVE-2026-26097" TargetMode="External" Id="rId2268"/><Relationship Type="http://schemas.openxmlformats.org/officeDocument/2006/relationships/hyperlink" Target="https://nvd.nist.gov/vuln/detail/CVE-2026-26097" TargetMode="External" Id="rId2269"/><Relationship Type="http://schemas.openxmlformats.org/officeDocument/2006/relationships/hyperlink" Target="https://nvd.nist.gov/vuln/detail/CVE-2026-26098" TargetMode="External" Id="rId2270"/><Relationship Type="http://schemas.openxmlformats.org/officeDocument/2006/relationships/hyperlink" Target="https://nvd.nist.gov/vuln/detail/CVE-2026-26098" TargetMode="External" Id="rId2271"/><Relationship Type="http://schemas.openxmlformats.org/officeDocument/2006/relationships/hyperlink" Target="https://nvd.nist.gov/vuln/detail/CVE-2026-26099" TargetMode="External" Id="rId2272"/><Relationship Type="http://schemas.openxmlformats.org/officeDocument/2006/relationships/hyperlink" Target="https://nvd.nist.gov/vuln/detail/CVE-2026-26099" TargetMode="External" Id="rId2273"/><Relationship Type="http://schemas.openxmlformats.org/officeDocument/2006/relationships/hyperlink" Target="https://nvd.nist.gov/vuln/detail/CVE-2026-26100" TargetMode="External" Id="rId2274"/><Relationship Type="http://schemas.openxmlformats.org/officeDocument/2006/relationships/hyperlink" Target="https://nvd.nist.gov/vuln/detail/CVE-2026-26100" TargetMode="External" Id="rId2275"/><Relationship Type="http://schemas.openxmlformats.org/officeDocument/2006/relationships/hyperlink" Target="https://nvd.nist.gov/vuln/detail/CVE-2026-26101" TargetMode="External" Id="rId2276"/><Relationship Type="http://schemas.openxmlformats.org/officeDocument/2006/relationships/hyperlink" Target="https://nvd.nist.gov/vuln/detail/CVE-2026-26101" TargetMode="External" Id="rId2277"/><Relationship Type="http://schemas.openxmlformats.org/officeDocument/2006/relationships/hyperlink" Target="https://nvd.nist.gov/vuln/detail/CVE-2026-26102" TargetMode="External" Id="rId2278"/><Relationship Type="http://schemas.openxmlformats.org/officeDocument/2006/relationships/hyperlink" Target="https://nvd.nist.gov/vuln/detail/CVE-2026-26102" TargetMode="External" Id="rId2279"/><Relationship Type="http://schemas.openxmlformats.org/officeDocument/2006/relationships/hyperlink" Target="https://nvd.nist.gov/vuln/detail/CVE-2026-26721" TargetMode="External" Id="rId2280"/><Relationship Type="http://schemas.openxmlformats.org/officeDocument/2006/relationships/hyperlink" Target="https://nvd.nist.gov/vuln/detail/CVE-2026-26721" TargetMode="External" Id="rId2281"/><Relationship Type="http://schemas.openxmlformats.org/officeDocument/2006/relationships/hyperlink" Target="https://nvd.nist.gov/vuln/detail/CVE-2026-26722" TargetMode="External" Id="rId2282"/><Relationship Type="http://schemas.openxmlformats.org/officeDocument/2006/relationships/hyperlink" Target="https://nvd.nist.gov/vuln/detail/CVE-2026-26722" TargetMode="External" Id="rId2283"/><Relationship Type="http://schemas.openxmlformats.org/officeDocument/2006/relationships/hyperlink" Target="https://nvd.nist.gov/vuln/detail/CVE-2026-26723" TargetMode="External" Id="rId2284"/><Relationship Type="http://schemas.openxmlformats.org/officeDocument/2006/relationships/hyperlink" Target="https://nvd.nist.gov/vuln/detail/CVE-2026-26723" TargetMode="External" Id="rId2285"/><Relationship Type="http://schemas.openxmlformats.org/officeDocument/2006/relationships/hyperlink" Target="https://nvd.nist.gov/vuln/detail/CVE-2026-26724" TargetMode="External" Id="rId2286"/><Relationship Type="http://schemas.openxmlformats.org/officeDocument/2006/relationships/hyperlink" Target="https://nvd.nist.gov/vuln/detail/CVE-2026-26724" TargetMode="External" Id="rId2287"/><Relationship Type="http://schemas.openxmlformats.org/officeDocument/2006/relationships/hyperlink" Target="https://nvd.nist.gov/vuln/detail/CVE-2026-26725" TargetMode="External" Id="rId2288"/><Relationship Type="http://schemas.openxmlformats.org/officeDocument/2006/relationships/hyperlink" Target="https://nvd.nist.gov/vuln/detail/CVE-2026-26725" TargetMode="External" Id="rId2289"/><Relationship Type="http://schemas.openxmlformats.org/officeDocument/2006/relationships/hyperlink" Target="https://nvd.nist.gov/vuln/detail/CVE-2026-26745" TargetMode="External" Id="rId2290"/><Relationship Type="http://schemas.openxmlformats.org/officeDocument/2006/relationships/hyperlink" Target="https://nvd.nist.gov/vuln/detail/CVE-2026-26745" TargetMode="External" Id="rId2291"/><Relationship Type="http://schemas.openxmlformats.org/officeDocument/2006/relationships/hyperlink" Target="https://nvd.nist.gov/vuln/detail/CVE-2026-26746" TargetMode="External" Id="rId2292"/><Relationship Type="http://schemas.openxmlformats.org/officeDocument/2006/relationships/hyperlink" Target="https://nvd.nist.gov/vuln/detail/CVE-2026-26746" TargetMode="External" Id="rId2293"/><Relationship Type="http://schemas.openxmlformats.org/officeDocument/2006/relationships/hyperlink" Target="https://nvd.nist.gov/vuln/detail/CVE-2026-26747" TargetMode="External" Id="rId2294"/><Relationship Type="http://schemas.openxmlformats.org/officeDocument/2006/relationships/hyperlink" Target="https://nvd.nist.gov/vuln/detail/CVE-2026-26747" TargetMode="External" Id="rId2295"/><Relationship Type="http://schemas.openxmlformats.org/officeDocument/2006/relationships/hyperlink" Target="https://nvd.nist.gov/vuln/detail/CVE-2026-27502" TargetMode="External" Id="rId2296"/><Relationship Type="http://schemas.openxmlformats.org/officeDocument/2006/relationships/hyperlink" Target="https://nvd.nist.gov/vuln/detail/CVE-2026-27502" TargetMode="External" Id="rId2297"/><Relationship Type="http://schemas.openxmlformats.org/officeDocument/2006/relationships/hyperlink" Target="https://nvd.nist.gov/vuln/detail/CVE-2026-27503" TargetMode="External" Id="rId2298"/><Relationship Type="http://schemas.openxmlformats.org/officeDocument/2006/relationships/hyperlink" Target="https://nvd.nist.gov/vuln/detail/CVE-2026-27503" TargetMode="External" Id="rId2299"/><Relationship Type="http://schemas.openxmlformats.org/officeDocument/2006/relationships/hyperlink" Target="https://nvd.nist.gov/vuln/detail/CVE-2026-27504" TargetMode="External" Id="rId2300"/><Relationship Type="http://schemas.openxmlformats.org/officeDocument/2006/relationships/hyperlink" Target="https://nvd.nist.gov/vuln/detail/CVE-2026-27504" TargetMode="External" Id="rId2301"/><Relationship Type="http://schemas.openxmlformats.org/officeDocument/2006/relationships/hyperlink" Target="https://nvd.nist.gov/vuln/detail/CVE-2026-27505" TargetMode="External" Id="rId2302"/><Relationship Type="http://schemas.openxmlformats.org/officeDocument/2006/relationships/hyperlink" Target="https://nvd.nist.gov/vuln/detail/CVE-2026-27505" TargetMode="External" Id="rId2303"/><Relationship Type="http://schemas.openxmlformats.org/officeDocument/2006/relationships/hyperlink" Target="https://nvd.nist.gov/vuln/detail/CVE-2026-27506" TargetMode="External" Id="rId2304"/><Relationship Type="http://schemas.openxmlformats.org/officeDocument/2006/relationships/hyperlink" Target="https://nvd.nist.gov/vuln/detail/CVE-2026-27506" TargetMode="External" Id="rId2305"/><Relationship Type="http://schemas.openxmlformats.org/officeDocument/2006/relationships/hyperlink" Target="https://nvd.nist.gov/vuln/detail/CVE-2026-2333" TargetMode="External" Id="rId2306"/><Relationship Type="http://schemas.openxmlformats.org/officeDocument/2006/relationships/hyperlink" Target="https://nvd.nist.gov/vuln/detail/CVE-2026-2333" TargetMode="External" Id="rId2307"/><Relationship Type="http://schemas.openxmlformats.org/officeDocument/2006/relationships/hyperlink" Target="https://nvd.nist.gov/vuln/detail/CVE-2026-2818" TargetMode="External" Id="rId2308"/><Relationship Type="http://schemas.openxmlformats.org/officeDocument/2006/relationships/hyperlink" Target="https://nvd.nist.gov/vuln/detail/CVE-2026-2818" TargetMode="External" Id="rId2309"/><Relationship Type="http://schemas.openxmlformats.org/officeDocument/2006/relationships/hyperlink" Target="https://nvd.nist.gov/vuln/detail/CVE-2026-2848" TargetMode="External" Id="rId2310"/><Relationship Type="http://schemas.openxmlformats.org/officeDocument/2006/relationships/hyperlink" Target="https://nvd.nist.gov/vuln/detail/CVE-2026-2848" TargetMode="External" Id="rId2311"/><Relationship Type="http://schemas.openxmlformats.org/officeDocument/2006/relationships/hyperlink" Target="https://nvd.nist.gov/vuln/detail/CVE-2026-2849" TargetMode="External" Id="rId2312"/><Relationship Type="http://schemas.openxmlformats.org/officeDocument/2006/relationships/hyperlink" Target="https://nvd.nist.gov/vuln/detail/CVE-2026-2849" TargetMode="External" Id="rId2313"/><Relationship Type="http://schemas.openxmlformats.org/officeDocument/2006/relationships/hyperlink" Target="https://nvd.nist.gov/vuln/detail/CVE-2026-24891" TargetMode="External" Id="rId2314"/><Relationship Type="http://schemas.openxmlformats.org/officeDocument/2006/relationships/hyperlink" Target="https://nvd.nist.gov/vuln/detail/CVE-2026-24891" TargetMode="External" Id="rId2315"/><Relationship Type="http://schemas.openxmlformats.org/officeDocument/2006/relationships/hyperlink" Target="https://nvd.nist.gov/vuln/detail/CVE-2026-27115" TargetMode="External" Id="rId2316"/><Relationship Type="http://schemas.openxmlformats.org/officeDocument/2006/relationships/hyperlink" Target="https://nvd.nist.gov/vuln/detail/CVE-2026-27115" TargetMode="External" Id="rId2317"/><Relationship Type="http://schemas.openxmlformats.org/officeDocument/2006/relationships/hyperlink" Target="https://nvd.nist.gov/vuln/detail/CVE-2026-2832" TargetMode="External" Id="rId2318"/><Relationship Type="http://schemas.openxmlformats.org/officeDocument/2006/relationships/hyperlink" Target="https://nvd.nist.gov/vuln/detail/CVE-2026-2832" TargetMode="External" Id="rId2319"/><Relationship Type="http://schemas.openxmlformats.org/officeDocument/2006/relationships/hyperlink" Target="https://nvd.nist.gov/vuln/detail/CVE-2026-2850" TargetMode="External" Id="rId2320"/><Relationship Type="http://schemas.openxmlformats.org/officeDocument/2006/relationships/hyperlink" Target="https://nvd.nist.gov/vuln/detail/CVE-2026-2850" TargetMode="External" Id="rId2321"/><Relationship Type="http://schemas.openxmlformats.org/officeDocument/2006/relationships/hyperlink" Target="https://nvd.nist.gov/vuln/detail/CVE-2026-2851" TargetMode="External" Id="rId2322"/><Relationship Type="http://schemas.openxmlformats.org/officeDocument/2006/relationships/hyperlink" Target="https://nvd.nist.gov/vuln/detail/CVE-2026-2851" TargetMode="External" Id="rId2323"/><Relationship Type="http://schemas.openxmlformats.org/officeDocument/2006/relationships/hyperlink" Target="https://nvd.nist.gov/vuln/detail/CVE-2019-25444" TargetMode="External" Id="rId2324"/><Relationship Type="http://schemas.openxmlformats.org/officeDocument/2006/relationships/hyperlink" Target="https://nvd.nist.gov/vuln/detail/CVE-2019-25444" TargetMode="External" Id="rId2325"/><Relationship Type="http://schemas.openxmlformats.org/officeDocument/2006/relationships/hyperlink" Target="https://nvd.nist.gov/vuln/detail/CVE-2019-25445" TargetMode="External" Id="rId2326"/><Relationship Type="http://schemas.openxmlformats.org/officeDocument/2006/relationships/hyperlink" Target="https://nvd.nist.gov/vuln/detail/CVE-2019-25445" TargetMode="External" Id="rId2327"/><Relationship Type="http://schemas.openxmlformats.org/officeDocument/2006/relationships/hyperlink" Target="https://nvd.nist.gov/vuln/detail/CVE-2021-35402" TargetMode="External" Id="rId2328"/><Relationship Type="http://schemas.openxmlformats.org/officeDocument/2006/relationships/hyperlink" Target="https://nvd.nist.gov/vuln/detail/CVE-2021-35402" TargetMode="External" Id="rId2329"/><Relationship Type="http://schemas.openxmlformats.org/officeDocument/2006/relationships/hyperlink" Target="https://nvd.nist.gov/vuln/detail/CVE-2026-2852" TargetMode="External" Id="rId2330"/><Relationship Type="http://schemas.openxmlformats.org/officeDocument/2006/relationships/hyperlink" Target="https://nvd.nist.gov/vuln/detail/CVE-2026-2852" TargetMode="External" Id="rId2331"/><Relationship Type="http://schemas.openxmlformats.org/officeDocument/2006/relationships/hyperlink" Target="https://nvd.nist.gov/vuln/detail/CVE-2025-62326" TargetMode="External" Id="rId2332"/><Relationship Type="http://schemas.openxmlformats.org/officeDocument/2006/relationships/hyperlink" Target="https://nvd.nist.gov/vuln/detail/CVE-2025-62326" TargetMode="External" Id="rId2333"/><Relationship Type="http://schemas.openxmlformats.org/officeDocument/2006/relationships/hyperlink" Target="https://nvd.nist.gov/vuln/detail/CVE-2026-2472" TargetMode="External" Id="rId2334"/><Relationship Type="http://schemas.openxmlformats.org/officeDocument/2006/relationships/hyperlink" Target="https://nvd.nist.gov/vuln/detail/CVE-2026-2472" TargetMode="External" Id="rId2335"/><Relationship Type="http://schemas.openxmlformats.org/officeDocument/2006/relationships/hyperlink" Target="https://nvd.nist.gov/vuln/detail/CVE-2026-2473" TargetMode="External" Id="rId2336"/><Relationship Type="http://schemas.openxmlformats.org/officeDocument/2006/relationships/hyperlink" Target="https://nvd.nist.gov/vuln/detail/CVE-2026-2473" TargetMode="External" Id="rId2337"/><Relationship Type="http://schemas.openxmlformats.org/officeDocument/2006/relationships/hyperlink" Target="https://nvd.nist.gov/vuln/detail/CVE-2026-2853" TargetMode="External" Id="rId2338"/><Relationship Type="http://schemas.openxmlformats.org/officeDocument/2006/relationships/hyperlink" Target="https://nvd.nist.gov/vuln/detail/CVE-2026-2853" TargetMode="External" Id="rId2339"/><Relationship Type="http://schemas.openxmlformats.org/officeDocument/2006/relationships/hyperlink" Target="https://nvd.nist.gov/vuln/detail/CVE-2026-2854" TargetMode="External" Id="rId2340"/><Relationship Type="http://schemas.openxmlformats.org/officeDocument/2006/relationships/hyperlink" Target="https://nvd.nist.gov/vuln/detail/CVE-2026-2854" TargetMode="External" Id="rId2341"/><Relationship Type="http://schemas.openxmlformats.org/officeDocument/2006/relationships/hyperlink" Target="https://nvd.nist.gov/vuln/detail/CVE-2026-2855" TargetMode="External" Id="rId2342"/><Relationship Type="http://schemas.openxmlformats.org/officeDocument/2006/relationships/hyperlink" Target="https://nvd.nist.gov/vuln/detail/CVE-2026-2855" TargetMode="External" Id="rId2343"/><Relationship Type="http://schemas.openxmlformats.org/officeDocument/2006/relationships/hyperlink" Target="https://nvd.nist.gov/vuln/detail/CVE-2026-24892" TargetMode="External" Id="rId2344"/><Relationship Type="http://schemas.openxmlformats.org/officeDocument/2006/relationships/hyperlink" Target="https://nvd.nist.gov/vuln/detail/CVE-2026-24892" TargetMode="External" Id="rId2345"/><Relationship Type="http://schemas.openxmlformats.org/officeDocument/2006/relationships/hyperlink" Target="https://nvd.nist.gov/vuln/detail/CVE-2026-25896" TargetMode="External" Id="rId2346"/><Relationship Type="http://schemas.openxmlformats.org/officeDocument/2006/relationships/hyperlink" Target="https://nvd.nist.gov/vuln/detail/CVE-2026-25896" TargetMode="External" Id="rId2347"/><Relationship Type="http://schemas.openxmlformats.org/officeDocument/2006/relationships/hyperlink" Target="https://nvd.nist.gov/vuln/detail/CVE-2026-27020" TargetMode="External" Id="rId2348"/><Relationship Type="http://schemas.openxmlformats.org/officeDocument/2006/relationships/hyperlink" Target="https://nvd.nist.gov/vuln/detail/CVE-2026-27020" TargetMode="External" Id="rId2349"/><Relationship Type="http://schemas.openxmlformats.org/officeDocument/2006/relationships/hyperlink" Target="https://nvd.nist.gov/vuln/detail/CVE-2026-27190" TargetMode="External" Id="rId2350"/><Relationship Type="http://schemas.openxmlformats.org/officeDocument/2006/relationships/hyperlink" Target="https://nvd.nist.gov/vuln/detail/CVE-2026-27190" TargetMode="External" Id="rId2351"/><Relationship Type="http://schemas.openxmlformats.org/officeDocument/2006/relationships/hyperlink" Target="https://nvd.nist.gov/vuln/detail/CVE-2026-2856" TargetMode="External" Id="rId2352"/><Relationship Type="http://schemas.openxmlformats.org/officeDocument/2006/relationships/hyperlink" Target="https://nvd.nist.gov/vuln/detail/CVE-2026-2856" TargetMode="External" Id="rId2353"/><Relationship Type="http://schemas.openxmlformats.org/officeDocument/2006/relationships/hyperlink" Target="https://nvd.nist.gov/vuln/detail/CVE-2026-2857" TargetMode="External" Id="rId2354"/><Relationship Type="http://schemas.openxmlformats.org/officeDocument/2006/relationships/hyperlink" Target="https://nvd.nist.gov/vuln/detail/CVE-2026-2857" TargetMode="External" Id="rId2355"/><Relationship Type="http://schemas.openxmlformats.org/officeDocument/2006/relationships/hyperlink" Target="https://nvd.nist.gov/vuln/detail/CVE-2026-0777" TargetMode="External" Id="rId2356"/><Relationship Type="http://schemas.openxmlformats.org/officeDocument/2006/relationships/hyperlink" Target="https://nvd.nist.gov/vuln/detail/CVE-2026-0777" TargetMode="External" Id="rId2357"/><Relationship Type="http://schemas.openxmlformats.org/officeDocument/2006/relationships/hyperlink" Target="http://www.zerodayinitiative.com/advisories/ZDI-26-123/" TargetMode="External" Id="rId2358"/><Relationship Type="http://schemas.openxmlformats.org/officeDocument/2006/relationships/hyperlink" Target="https://nvd.nist.gov/vuln/detail/CVE-2026-0797" TargetMode="External" Id="rId2359"/><Relationship Type="http://schemas.openxmlformats.org/officeDocument/2006/relationships/hyperlink" Target="https://nvd.nist.gov/vuln/detail/CVE-2026-0797" TargetMode="External" Id="rId2360"/><Relationship Type="http://schemas.openxmlformats.org/officeDocument/2006/relationships/hyperlink" Target="https://nvd.nist.gov/vuln/detail/CVE-2026-27022" TargetMode="External" Id="rId2361"/><Relationship Type="http://schemas.openxmlformats.org/officeDocument/2006/relationships/hyperlink" Target="https://nvd.nist.gov/vuln/detail/CVE-2026-27022" TargetMode="External" Id="rId2362"/><Relationship Type="http://schemas.openxmlformats.org/officeDocument/2006/relationships/hyperlink" Target="https://nvd.nist.gov/vuln/detail/CVE-2026-27024" TargetMode="External" Id="rId2363"/><Relationship Type="http://schemas.openxmlformats.org/officeDocument/2006/relationships/hyperlink" Target="https://nvd.nist.gov/vuln/detail/CVE-2026-27024" TargetMode="External" Id="rId2364"/><Relationship Type="http://schemas.openxmlformats.org/officeDocument/2006/relationships/hyperlink" Target="https://nvd.nist.gov/vuln/detail/CVE-2026-27025" TargetMode="External" Id="rId2365"/><Relationship Type="http://schemas.openxmlformats.org/officeDocument/2006/relationships/hyperlink" Target="https://nvd.nist.gov/vuln/detail/CVE-2026-27025" TargetMode="External" Id="rId2366"/><Relationship Type="http://schemas.openxmlformats.org/officeDocument/2006/relationships/hyperlink" Target="https://nvd.nist.gov/vuln/detail/CVE-2026-27026" TargetMode="External" Id="rId2367"/><Relationship Type="http://schemas.openxmlformats.org/officeDocument/2006/relationships/hyperlink" Target="https://nvd.nist.gov/vuln/detail/CVE-2026-27026" TargetMode="External" Id="rId2368"/><Relationship Type="http://schemas.openxmlformats.org/officeDocument/2006/relationships/hyperlink" Target="https://nvd.nist.gov/vuln/detail/CVE-2026-27111" TargetMode="External" Id="rId2369"/><Relationship Type="http://schemas.openxmlformats.org/officeDocument/2006/relationships/hyperlink" Target="https://nvd.nist.gov/vuln/detail/CVE-2026-27111" TargetMode="External" Id="rId2370"/><Relationship Type="http://schemas.openxmlformats.org/officeDocument/2006/relationships/hyperlink" Target="https://nvd.nist.gov/vuln/detail/CVE-2026-27112" TargetMode="External" Id="rId2371"/><Relationship Type="http://schemas.openxmlformats.org/officeDocument/2006/relationships/hyperlink" Target="https://nvd.nist.gov/vuln/detail/CVE-2026-27112" TargetMode="External" Id="rId2372"/><Relationship Type="http://schemas.openxmlformats.org/officeDocument/2006/relationships/hyperlink" Target="https://nvd.nist.gov/vuln/detail/CVE-2026-27113" TargetMode="External" Id="rId2373"/><Relationship Type="http://schemas.openxmlformats.org/officeDocument/2006/relationships/hyperlink" Target="https://nvd.nist.gov/vuln/detail/CVE-2026-27113" TargetMode="External" Id="rId2374"/><Relationship Type="http://schemas.openxmlformats.org/officeDocument/2006/relationships/hyperlink" Target="https://nvd.nist.gov/vuln/detail/CVE-2026-27118" TargetMode="External" Id="rId2375"/><Relationship Type="http://schemas.openxmlformats.org/officeDocument/2006/relationships/hyperlink" Target="https://nvd.nist.gov/vuln/detail/CVE-2026-27118" TargetMode="External" Id="rId2376"/><Relationship Type="http://schemas.openxmlformats.org/officeDocument/2006/relationships/hyperlink" Target="https://nvd.nist.gov/vuln/detail/CVE-2026-27120" TargetMode="External" Id="rId2377"/><Relationship Type="http://schemas.openxmlformats.org/officeDocument/2006/relationships/hyperlink" Target="https://nvd.nist.gov/vuln/detail/CVE-2026-27120" TargetMode="External" Id="rId2378"/><Relationship Type="http://schemas.openxmlformats.org/officeDocument/2006/relationships/hyperlink" Target="https://nvd.nist.gov/vuln/detail/CVE-2026-2858" TargetMode="External" Id="rId2379"/><Relationship Type="http://schemas.openxmlformats.org/officeDocument/2006/relationships/hyperlink" Target="https://nvd.nist.gov/vuln/detail/CVE-2026-2858" TargetMode="External" Id="rId2380"/><Relationship Type="http://schemas.openxmlformats.org/officeDocument/2006/relationships/hyperlink" Target="https://nvd.nist.gov/vuln/detail/CVE-2018-25158" TargetMode="External" Id="rId2381"/><Relationship Type="http://schemas.openxmlformats.org/officeDocument/2006/relationships/hyperlink" Target="https://nvd.nist.gov/vuln/detail/CVE-2018-25158" TargetMode="External" Id="rId2382"/><Relationship Type="http://schemas.openxmlformats.org/officeDocument/2006/relationships/hyperlink" Target="https://nvd.nist.gov/vuln/detail/CVE-2019-25431" TargetMode="External" Id="rId2383"/><Relationship Type="http://schemas.openxmlformats.org/officeDocument/2006/relationships/hyperlink" Target="https://nvd.nist.gov/vuln/detail/CVE-2019-25431" TargetMode="External" Id="rId2384"/><Relationship Type="http://schemas.openxmlformats.org/officeDocument/2006/relationships/hyperlink" Target="https://nvd.nist.gov/vuln/detail/CVE-2019-25432" TargetMode="External" Id="rId2385"/><Relationship Type="http://schemas.openxmlformats.org/officeDocument/2006/relationships/hyperlink" Target="https://nvd.nist.gov/vuln/detail/CVE-2019-25432" TargetMode="External" Id="rId2386"/><Relationship Type="http://schemas.openxmlformats.org/officeDocument/2006/relationships/hyperlink" Target="https://nvd.nist.gov/vuln/detail/CVE-2019-25434" TargetMode="External" Id="rId2387"/><Relationship Type="http://schemas.openxmlformats.org/officeDocument/2006/relationships/hyperlink" Target="https://nvd.nist.gov/vuln/detail/CVE-2019-25434" TargetMode="External" Id="rId2388"/><Relationship Type="http://schemas.openxmlformats.org/officeDocument/2006/relationships/hyperlink" Target="https://nvd.nist.gov/vuln/detail/CVE-2019-25435" TargetMode="External" Id="rId2389"/><Relationship Type="http://schemas.openxmlformats.org/officeDocument/2006/relationships/hyperlink" Target="https://nvd.nist.gov/vuln/detail/CVE-2019-25435" TargetMode="External" Id="rId2390"/><Relationship Type="http://schemas.openxmlformats.org/officeDocument/2006/relationships/hyperlink" Target="https://nvd.nist.gov/vuln/detail/CVE-2019-25436" TargetMode="External" Id="rId2391"/><Relationship Type="http://schemas.openxmlformats.org/officeDocument/2006/relationships/hyperlink" Target="https://nvd.nist.gov/vuln/detail/CVE-2019-25436" TargetMode="External" Id="rId2392"/><Relationship Type="http://schemas.openxmlformats.org/officeDocument/2006/relationships/hyperlink" Target="https://nvd.nist.gov/vuln/detail/CVE-2019-25437" TargetMode="External" Id="rId2393"/><Relationship Type="http://schemas.openxmlformats.org/officeDocument/2006/relationships/hyperlink" Target="https://nvd.nist.gov/vuln/detail/CVE-2019-25437" TargetMode="External" Id="rId2394"/><Relationship Type="http://schemas.openxmlformats.org/officeDocument/2006/relationships/hyperlink" Target="https://nvd.nist.gov/vuln/detail/CVE-2019-25438" TargetMode="External" Id="rId2395"/><Relationship Type="http://schemas.openxmlformats.org/officeDocument/2006/relationships/hyperlink" Target="https://nvd.nist.gov/vuln/detail/CVE-2019-25438" TargetMode="External" Id="rId2396"/><Relationship Type="http://schemas.openxmlformats.org/officeDocument/2006/relationships/hyperlink" Target="https://nvd.nist.gov/vuln/detail/CVE-2019-25441" TargetMode="External" Id="rId2397"/><Relationship Type="http://schemas.openxmlformats.org/officeDocument/2006/relationships/hyperlink" Target="https://nvd.nist.gov/vuln/detail/CVE-2019-25441" TargetMode="External" Id="rId2398"/><Relationship Type="http://schemas.openxmlformats.org/officeDocument/2006/relationships/hyperlink" Target="https://nvd.nist.gov/vuln/detail/CVE-2019-25447" TargetMode="External" Id="rId2399"/><Relationship Type="http://schemas.openxmlformats.org/officeDocument/2006/relationships/hyperlink" Target="https://nvd.nist.gov/vuln/detail/CVE-2019-25447" TargetMode="External" Id="rId2400"/><Relationship Type="http://schemas.openxmlformats.org/officeDocument/2006/relationships/hyperlink" Target="https://nvd.nist.gov/vuln/detail/CVE-2019-25448" TargetMode="External" Id="rId2401"/><Relationship Type="http://schemas.openxmlformats.org/officeDocument/2006/relationships/hyperlink" Target="https://nvd.nist.gov/vuln/detail/CVE-2019-25448" TargetMode="External" Id="rId2402"/><Relationship Type="http://schemas.openxmlformats.org/officeDocument/2006/relationships/hyperlink" Target="https://nvd.nist.gov/vuln/detail/CVE-2019-25449" TargetMode="External" Id="rId2403"/><Relationship Type="http://schemas.openxmlformats.org/officeDocument/2006/relationships/hyperlink" Target="https://nvd.nist.gov/vuln/detail/CVE-2019-25449" TargetMode="External" Id="rId2404"/><Relationship Type="http://schemas.openxmlformats.org/officeDocument/2006/relationships/hyperlink" Target="https://nvd.nist.gov/vuln/detail/CVE-2019-25451" TargetMode="External" Id="rId2405"/><Relationship Type="http://schemas.openxmlformats.org/officeDocument/2006/relationships/hyperlink" Target="https://nvd.nist.gov/vuln/detail/CVE-2019-25451" TargetMode="External" Id="rId2406"/><Relationship Type="http://schemas.openxmlformats.org/officeDocument/2006/relationships/hyperlink" Target="https://nvd.nist.gov/vuln/detail/CVE-2019-25453" TargetMode="External" Id="rId2407"/><Relationship Type="http://schemas.openxmlformats.org/officeDocument/2006/relationships/hyperlink" Target="https://nvd.nist.gov/vuln/detail/CVE-2019-25453" TargetMode="External" Id="rId2408"/><Relationship Type="http://schemas.openxmlformats.org/officeDocument/2006/relationships/hyperlink" Target="https://nvd.nist.gov/vuln/detail/CVE-2019-25454" TargetMode="External" Id="rId2409"/><Relationship Type="http://schemas.openxmlformats.org/officeDocument/2006/relationships/hyperlink" Target="https://nvd.nist.gov/vuln/detail/CVE-2019-25454" TargetMode="External" Id="rId2410"/><Relationship Type="http://schemas.openxmlformats.org/officeDocument/2006/relationships/hyperlink" Target="https://nvd.nist.gov/vuln/detail/CVE-2026-27119" TargetMode="External" Id="rId2411"/><Relationship Type="http://schemas.openxmlformats.org/officeDocument/2006/relationships/hyperlink" Target="https://github.com/sveltejs/svelte/security/advisories/GHSA-h7h7-mm68-gmrc" TargetMode="External" Id="rId2412"/><Relationship Type="http://schemas.openxmlformats.org/officeDocument/2006/relationships/hyperlink" Target="https://nvd.nist.gov/vuln/detail/CVE-2026-27119" TargetMode="External" Id="rId2413"/><Relationship Type="http://schemas.openxmlformats.org/officeDocument/2006/relationships/hyperlink" Target="https://nvd.nist.gov/vuln/detail/CVE-2026-27121" TargetMode="External" Id="rId2414"/><Relationship Type="http://schemas.openxmlformats.org/officeDocument/2006/relationships/hyperlink" Target="https://github.com/sveltejs/svelte/security/advisories/GHSA-f7gr-6p89-r883" TargetMode="External" Id="rId2415"/><Relationship Type="http://schemas.openxmlformats.org/officeDocument/2006/relationships/hyperlink" Target="https://nvd.nist.gov/vuln/detail/CVE-2026-27121" TargetMode="External" Id="rId2416"/><Relationship Type="http://schemas.openxmlformats.org/officeDocument/2006/relationships/hyperlink" Target="https://nvd.nist.gov/vuln/detail/CVE-2026-27122" TargetMode="External" Id="rId2417"/><Relationship Type="http://schemas.openxmlformats.org/officeDocument/2006/relationships/hyperlink" Target="https://github.com/sveltejs/svelte/security/advisories/GHSA-m56q-vw4c-c2cp" TargetMode="External" Id="rId2418"/><Relationship Type="http://schemas.openxmlformats.org/officeDocument/2006/relationships/hyperlink" Target="https://nvd.nist.gov/vuln/detail/CVE-2026-27122" TargetMode="External" Id="rId2419"/><Relationship Type="http://schemas.openxmlformats.org/officeDocument/2006/relationships/hyperlink" Target="https://nvd.nist.gov/vuln/detail/CVE-2026-27125" TargetMode="External" Id="rId2420"/><Relationship Type="http://schemas.openxmlformats.org/officeDocument/2006/relationships/hyperlink" Target="https://github.com/sveltejs/svelte/commit/73098bb26c6f06e7fd1b0746d817d2c5ee90755f%20|%20https://github.com/sveltejs/svelte/security/advisories/GHSA-crpf-4hrx-3jrp" TargetMode="External" Id="rId2421"/><Relationship Type="http://schemas.openxmlformats.org/officeDocument/2006/relationships/hyperlink" Target="https://nvd.nist.gov/vuln/detail/CVE-2026-27125" TargetMode="External" Id="rId2422"/><Relationship Type="http://schemas.openxmlformats.org/officeDocument/2006/relationships/hyperlink" Target="https://nvd.nist.gov/vuln/detail/CVE-2026-27133" TargetMode="External" Id="rId2423"/><Relationship Type="http://schemas.openxmlformats.org/officeDocument/2006/relationships/hyperlink" Target="https://nvd.nist.gov/vuln/detail/CVE-2026-27133" TargetMode="External" Id="rId2424"/><Relationship Type="http://schemas.openxmlformats.org/officeDocument/2006/relationships/hyperlink" Target="https://nvd.nist.gov/vuln/detail/CVE-2026-2033" TargetMode="External" Id="rId2425"/><Relationship Type="http://schemas.openxmlformats.org/officeDocument/2006/relationships/hyperlink" Target="https://nvd.nist.gov/vuln/detail/CVE-2026-2033" TargetMode="External" Id="rId2426"/><Relationship Type="http://schemas.openxmlformats.org/officeDocument/2006/relationships/hyperlink" Target="http://www.zerodayinitiative.com/advisories/ZDI-26-105/" TargetMode="External" Id="rId2427"/><Relationship Type="http://schemas.openxmlformats.org/officeDocument/2006/relationships/hyperlink" Target="https://nvd.nist.gov/vuln/detail/CVE-2026-2034" TargetMode="External" Id="rId2428"/><Relationship Type="http://schemas.openxmlformats.org/officeDocument/2006/relationships/hyperlink" Target="https://nvd.nist.gov/vuln/detail/CVE-2026-2034" TargetMode="External" Id="rId2429"/><Relationship Type="http://schemas.openxmlformats.org/officeDocument/2006/relationships/hyperlink" Target="http://www.zerodayinitiative.com/advisories/ZDI-26-104/" TargetMode="External" Id="rId2430"/><Relationship Type="http://schemas.openxmlformats.org/officeDocument/2006/relationships/hyperlink" Target="https://nvd.nist.gov/vuln/detail/CVE-2026-2035" TargetMode="External" Id="rId2431"/><Relationship Type="http://schemas.openxmlformats.org/officeDocument/2006/relationships/hyperlink" Target="https://nvd.nist.gov/vuln/detail/CVE-2026-2035" TargetMode="External" Id="rId2432"/><Relationship Type="http://schemas.openxmlformats.org/officeDocument/2006/relationships/hyperlink" Target="http://www.zerodayinitiative.com/advisories/ZDI-26-123/" TargetMode="External" Id="rId2433"/><Relationship Type="http://schemas.openxmlformats.org/officeDocument/2006/relationships/hyperlink" Target="https://nvd.nist.gov/vuln/detail/CVE-2026-2036" TargetMode="External" Id="rId2434"/><Relationship Type="http://schemas.openxmlformats.org/officeDocument/2006/relationships/hyperlink" Target="https://nvd.nist.gov/vuln/detail/CVE-2026-2036" TargetMode="External" Id="rId2435"/><Relationship Type="http://schemas.openxmlformats.org/officeDocument/2006/relationships/hyperlink" Target="http://www.zerodayinitiative.com/advisories/ZDI-26-123/" TargetMode="External" Id="rId2436"/><Relationship Type="http://schemas.openxmlformats.org/officeDocument/2006/relationships/hyperlink" Target="https://nvd.nist.gov/vuln/detail/CVE-2026-2037" TargetMode="External" Id="rId2437"/><Relationship Type="http://schemas.openxmlformats.org/officeDocument/2006/relationships/hyperlink" Target="https://nvd.nist.gov/vuln/detail/CVE-2026-2037" TargetMode="External" Id="rId2438"/><Relationship Type="http://schemas.openxmlformats.org/officeDocument/2006/relationships/hyperlink" Target="http://www.zerodayinitiative.com/advisories/ZDI-26-123/" TargetMode="External" Id="rId2439"/><Relationship Type="http://schemas.openxmlformats.org/officeDocument/2006/relationships/hyperlink" Target="https://nvd.nist.gov/vuln/detail/CVE-2026-2038" TargetMode="External" Id="rId2440"/><Relationship Type="http://schemas.openxmlformats.org/officeDocument/2006/relationships/hyperlink" Target="https://nvd.nist.gov/vuln/detail/CVE-2026-2038" TargetMode="External" Id="rId2441"/><Relationship Type="http://schemas.openxmlformats.org/officeDocument/2006/relationships/hyperlink" Target="http://www.zerodayinitiative.com/advisories/ZDI-26-123/" TargetMode="External" Id="rId2442"/><Relationship Type="http://schemas.openxmlformats.org/officeDocument/2006/relationships/hyperlink" Target="https://nvd.nist.gov/vuln/detail/CVE-2026-2039" TargetMode="External" Id="rId2443"/><Relationship Type="http://schemas.openxmlformats.org/officeDocument/2006/relationships/hyperlink" Target="https://nvd.nist.gov/vuln/detail/CVE-2026-2039" TargetMode="External" Id="rId2444"/><Relationship Type="http://schemas.openxmlformats.org/officeDocument/2006/relationships/hyperlink" Target="http://www.zerodayinitiative.com/advisories/ZDI-26-123/" TargetMode="External" Id="rId2445"/><Relationship Type="http://schemas.openxmlformats.org/officeDocument/2006/relationships/hyperlink" Target="https://nvd.nist.gov/vuln/detail/CVE-2026-2040" TargetMode="External" Id="rId2446"/><Relationship Type="http://schemas.openxmlformats.org/officeDocument/2006/relationships/hyperlink" Target="https://nvd.nist.gov/vuln/detail/CVE-2026-2040" TargetMode="External" Id="rId2447"/><Relationship Type="http://schemas.openxmlformats.org/officeDocument/2006/relationships/hyperlink" Target="http://www.zerodayinitiative.com/advisories/ZDI-26-122/" TargetMode="External" Id="rId2448"/><Relationship Type="http://schemas.openxmlformats.org/officeDocument/2006/relationships/hyperlink" Target="https://nvd.nist.gov/vuln/detail/CVE-2026-2041" TargetMode="External" Id="rId2449"/><Relationship Type="http://schemas.openxmlformats.org/officeDocument/2006/relationships/hyperlink" Target="https://nvd.nist.gov/vuln/detail/CVE-2026-2041" TargetMode="External" Id="rId2450"/><Relationship Type="http://schemas.openxmlformats.org/officeDocument/2006/relationships/hyperlink" Target="http://www.zerodayinitiative.com/advisories/ZDI-26-123/" TargetMode="External" Id="rId2451"/><Relationship Type="http://schemas.openxmlformats.org/officeDocument/2006/relationships/hyperlink" Target="https://nvd.nist.gov/vuln/detail/CVE-2026-2042" TargetMode="External" Id="rId2452"/><Relationship Type="http://schemas.openxmlformats.org/officeDocument/2006/relationships/hyperlink" Target="https://nvd.nist.gov/vuln/detail/CVE-2026-2042" TargetMode="External" Id="rId2453"/><Relationship Type="http://schemas.openxmlformats.org/officeDocument/2006/relationships/hyperlink" Target="http://www.zerodayinitiative.com/advisories/ZDI-26-123/" TargetMode="External" Id="rId2454"/><Relationship Type="http://schemas.openxmlformats.org/officeDocument/2006/relationships/hyperlink" Target="https://nvd.nist.gov/vuln/detail/CVE-2026-2043" TargetMode="External" Id="rId2455"/><Relationship Type="http://schemas.openxmlformats.org/officeDocument/2006/relationships/hyperlink" Target="https://nvd.nist.gov/vuln/detail/CVE-2026-2043" TargetMode="External" Id="rId2456"/><Relationship Type="http://schemas.openxmlformats.org/officeDocument/2006/relationships/hyperlink" Target="http://www.zerodayinitiative.com/advisories/ZDI-26-123/" TargetMode="External" Id="rId2457"/><Relationship Type="http://schemas.openxmlformats.org/officeDocument/2006/relationships/hyperlink" Target="https://nvd.nist.gov/vuln/detail/CVE-2026-2044" TargetMode="External" Id="rId2458"/><Relationship Type="http://schemas.openxmlformats.org/officeDocument/2006/relationships/hyperlink" Target="https://nvd.nist.gov/vuln/detail/CVE-2026-2044" TargetMode="External" Id="rId2459"/><Relationship Type="http://schemas.openxmlformats.org/officeDocument/2006/relationships/hyperlink" Target="http://www.zerodayinitiative.com/advisories/ZDI-26-118/" TargetMode="External" Id="rId2460"/><Relationship Type="http://schemas.openxmlformats.org/officeDocument/2006/relationships/hyperlink" Target="https://nvd.nist.gov/vuln/detail/CVE-2026-2045" TargetMode="External" Id="rId2461"/><Relationship Type="http://schemas.openxmlformats.org/officeDocument/2006/relationships/hyperlink" Target="https://nvd.nist.gov/vuln/detail/CVE-2026-2045" TargetMode="External" Id="rId2462"/><Relationship Type="http://schemas.openxmlformats.org/officeDocument/2006/relationships/hyperlink" Target="http://www.zerodayinitiative.com/advisories/ZDI-26-119/" TargetMode="External" Id="rId2463"/><Relationship Type="http://schemas.openxmlformats.org/officeDocument/2006/relationships/hyperlink" Target="https://nvd.nist.gov/vuln/detail/CVE-2026-2047" TargetMode="External" Id="rId2464"/><Relationship Type="http://schemas.openxmlformats.org/officeDocument/2006/relationships/hyperlink" Target="https://nvd.nist.gov/vuln/detail/CVE-2026-2047" TargetMode="External" Id="rId2465"/><Relationship Type="http://schemas.openxmlformats.org/officeDocument/2006/relationships/hyperlink" Target="http://www.zerodayinitiative.com/advisories/ZDI-26-120/" TargetMode="External" Id="rId2466"/><Relationship Type="http://schemas.openxmlformats.org/officeDocument/2006/relationships/hyperlink" Target="https://nvd.nist.gov/vuln/detail/CVE-2026-2048" TargetMode="External" Id="rId2467"/><Relationship Type="http://schemas.openxmlformats.org/officeDocument/2006/relationships/hyperlink" Target="https://nvd.nist.gov/vuln/detail/CVE-2026-2048" TargetMode="External" Id="rId2468"/><Relationship Type="http://schemas.openxmlformats.org/officeDocument/2006/relationships/hyperlink" Target="http://www.zerodayinitiative.com/advisories/ZDI-26-121/" TargetMode="External" Id="rId2469"/><Relationship Type="http://schemas.openxmlformats.org/officeDocument/2006/relationships/hyperlink" Target="https://nvd.nist.gov/vuln/detail/CVE-2026-2490" TargetMode="External" Id="rId2470"/><Relationship Type="http://schemas.openxmlformats.org/officeDocument/2006/relationships/hyperlink" Target="https://nvd.nist.gov/vuln/detail/CVE-2026-2490" TargetMode="External" Id="rId2471"/><Relationship Type="http://schemas.openxmlformats.org/officeDocument/2006/relationships/hyperlink" Target="http://www.zerodayinitiative.com/advisories/ZDI-26-117/" TargetMode="External" Id="rId2472"/><Relationship Type="http://schemas.openxmlformats.org/officeDocument/2006/relationships/hyperlink" Target="https://nvd.nist.gov/vuln/detail/CVE-2026-2492" TargetMode="External" Id="rId2473"/><Relationship Type="http://schemas.openxmlformats.org/officeDocument/2006/relationships/hyperlink" Target="https://nvd.nist.gov/vuln/detail/CVE-2026-2492" TargetMode="External" Id="rId2474"/><Relationship Type="http://schemas.openxmlformats.org/officeDocument/2006/relationships/hyperlink" Target="http://www.zerodayinitiative.com/advisories/ZDI-26-116/" TargetMode="External" Id="rId2475"/><Relationship Type="http://schemas.openxmlformats.org/officeDocument/2006/relationships/hyperlink" Target="https://nvd.nist.gov/vuln/detail/CVE-2026-2635" TargetMode="External" Id="rId2476"/><Relationship Type="http://schemas.openxmlformats.org/officeDocument/2006/relationships/hyperlink" Target="https://nvd.nist.gov/vuln/detail/CVE-2026-2635" TargetMode="External" Id="rId2477"/><Relationship Type="http://schemas.openxmlformats.org/officeDocument/2006/relationships/hyperlink" Target="http://www.zerodayinitiative.com/advisories/ZDI-26-111/" TargetMode="External" Id="rId2478"/><Relationship Type="http://schemas.openxmlformats.org/officeDocument/2006/relationships/hyperlink" Target="https://nvd.nist.gov/vuln/detail/CVE-2026-27134" TargetMode="External" Id="rId2479"/><Relationship Type="http://schemas.openxmlformats.org/officeDocument/2006/relationships/hyperlink" Target="https://nvd.nist.gov/vuln/detail/CVE-2026-27134" TargetMode="External" Id="rId2480"/><Relationship Type="http://schemas.openxmlformats.org/officeDocument/2006/relationships/hyperlink" Target="https://nvd.nist.gov/vuln/detail/CVE-2026-27146" TargetMode="External" Id="rId2481"/><Relationship Type="http://schemas.openxmlformats.org/officeDocument/2006/relationships/hyperlink" Target="https://nvd.nist.gov/vuln/detail/CVE-2026-27146" TargetMode="External" Id="rId2482"/><Relationship Type="http://schemas.openxmlformats.org/officeDocument/2006/relationships/hyperlink" Target="https://nvd.nist.gov/vuln/detail/CVE-2026-27147" TargetMode="External" Id="rId2483"/><Relationship Type="http://schemas.openxmlformats.org/officeDocument/2006/relationships/hyperlink" Target="https://nvd.nist.gov/vuln/detail/CVE-2026-27147" TargetMode="External" Id="rId2484"/><Relationship Type="http://schemas.openxmlformats.org/officeDocument/2006/relationships/hyperlink" Target="https://nvd.nist.gov/vuln/detail/CVE-2026-27161" TargetMode="External" Id="rId2485"/><Relationship Type="http://schemas.openxmlformats.org/officeDocument/2006/relationships/hyperlink" Target="https://nvd.nist.gov/vuln/detail/CVE-2026-27161" TargetMode="External" Id="rId2486"/><Relationship Type="http://schemas.openxmlformats.org/officeDocument/2006/relationships/hyperlink" Target="https://nvd.nist.gov/vuln/detail/CVE-2026-27168" TargetMode="External" Id="rId2487"/><Relationship Type="http://schemas.openxmlformats.org/officeDocument/2006/relationships/hyperlink" Target="https://nvd.nist.gov/vuln/detail/CVE-2026-27168" TargetMode="External" Id="rId2488"/><Relationship Type="http://schemas.openxmlformats.org/officeDocument/2006/relationships/hyperlink" Target="https://nvd.nist.gov/vuln/detail/CVE-2026-27169" TargetMode="External" Id="rId2489"/><Relationship Type="http://schemas.openxmlformats.org/officeDocument/2006/relationships/hyperlink" Target="https://github.com/OpenSift/OpenSift/security/advisories/GHSA-qrpx-7cmv-5gv5" TargetMode="External" Id="rId2490"/><Relationship Type="http://schemas.openxmlformats.org/officeDocument/2006/relationships/hyperlink" Target="https://nvd.nist.gov/vuln/detail/CVE-2026-27169" TargetMode="External" Id="rId2491"/><Relationship Type="http://schemas.openxmlformats.org/officeDocument/2006/relationships/hyperlink" Target="https://nvd.nist.gov/vuln/detail/CVE-2026-27170" TargetMode="External" Id="rId2492"/><Relationship Type="http://schemas.openxmlformats.org/officeDocument/2006/relationships/hyperlink" Target="https://github.com/OpenSift/OpenSift/security/advisories/GHSA-3w2r-hj5p-h6pp" TargetMode="External" Id="rId2493"/><Relationship Type="http://schemas.openxmlformats.org/officeDocument/2006/relationships/hyperlink" Target="https://nvd.nist.gov/vuln/detail/CVE-2026-27170" TargetMode="External" Id="rId2494"/><Relationship Type="http://schemas.openxmlformats.org/officeDocument/2006/relationships/hyperlink" Target="https://nvd.nist.gov/vuln/detail/CVE-2026-27189" TargetMode="External" Id="rId2495"/><Relationship Type="http://schemas.openxmlformats.org/officeDocument/2006/relationships/hyperlink" Target="https://github.com/OpenSift/OpenSift/security/advisories/GHSA-3pmp-j953-whxq" TargetMode="External" Id="rId2496"/><Relationship Type="http://schemas.openxmlformats.org/officeDocument/2006/relationships/hyperlink" Target="https://nvd.nist.gov/vuln/detail/CVE-2026-27189" TargetMode="External" Id="rId2497"/><Relationship Type="http://schemas.openxmlformats.org/officeDocument/2006/relationships/hyperlink" Target="https://nvd.nist.gov/vuln/detail/CVE-2026-27202" TargetMode="External" Id="rId2498"/><Relationship Type="http://schemas.openxmlformats.org/officeDocument/2006/relationships/hyperlink" Target="https://nvd.nist.gov/vuln/detail/CVE-2026-27202" TargetMode="External" Id="rId2499"/><Relationship Type="http://schemas.openxmlformats.org/officeDocument/2006/relationships/hyperlink" Target="https://nvd.nist.gov/vuln/detail/CVE-2026-27203" TargetMode="External" Id="rId2500"/><Relationship Type="http://schemas.openxmlformats.org/officeDocument/2006/relationships/hyperlink" Target="https://nvd.nist.gov/vuln/detail/CVE-2026-27203" TargetMode="External" Id="rId2501"/><Relationship Type="http://schemas.openxmlformats.org/officeDocument/2006/relationships/hyperlink" Target="https://nvd.nist.gov/vuln/detail/CVE-2025-65995" TargetMode="External" Id="rId2502"/><Relationship Type="http://schemas.openxmlformats.org/officeDocument/2006/relationships/hyperlink" Target="https://nvd.nist.gov/vuln/detail/CVE-2025-65995" TargetMode="External" Id="rId2503"/><Relationship Type="http://schemas.openxmlformats.org/officeDocument/2006/relationships/hyperlink" Target="https://nvd.nist.gov/vuln/detail/CVE-2026-27191" TargetMode="External" Id="rId2504"/><Relationship Type="http://schemas.openxmlformats.org/officeDocument/2006/relationships/hyperlink" Target="https://nvd.nist.gov/vuln/detail/CVE-2026-27191" TargetMode="External" Id="rId2505"/><Relationship Type="http://schemas.openxmlformats.org/officeDocument/2006/relationships/hyperlink" Target="https://nvd.nist.gov/vuln/detail/CVE-2026-27192" TargetMode="External" Id="rId2506"/><Relationship Type="http://schemas.openxmlformats.org/officeDocument/2006/relationships/hyperlink" Target="https://nvd.nist.gov/vuln/detail/CVE-2026-27192" TargetMode="External" Id="rId2507"/><Relationship Type="http://schemas.openxmlformats.org/officeDocument/2006/relationships/hyperlink" Target="https://nvd.nist.gov/vuln/detail/CVE-2026-27193" TargetMode="External" Id="rId2508"/><Relationship Type="http://schemas.openxmlformats.org/officeDocument/2006/relationships/hyperlink" Target="https://nvd.nist.gov/vuln/detail/CVE-2026-27193" TargetMode="External" Id="rId2509"/><Relationship Type="http://schemas.openxmlformats.org/officeDocument/2006/relationships/hyperlink" Target="https://nvd.nist.gov/vuln/detail/CVE-2026-27194" TargetMode="External" Id="rId2510"/><Relationship Type="http://schemas.openxmlformats.org/officeDocument/2006/relationships/hyperlink" Target="https://github.com/man-group/dtale/commit/431c6148d3c799de20e1dec86c4432f48e3d0746%20|%20https://github.com/man-group/dtale/security/advisories/GHSA-c87c-78rc-vmv2" TargetMode="External" Id="rId2511"/><Relationship Type="http://schemas.openxmlformats.org/officeDocument/2006/relationships/hyperlink" Target="https://nvd.nist.gov/vuln/detail/CVE-2026-27194" TargetMode="External" Id="rId2512"/><Relationship Type="http://schemas.openxmlformats.org/officeDocument/2006/relationships/hyperlink" Target="https://nvd.nist.gov/vuln/detail/CVE-2026-27196" TargetMode="External" Id="rId2513"/><Relationship Type="http://schemas.openxmlformats.org/officeDocument/2006/relationships/hyperlink" Target="https://nvd.nist.gov/vuln/detail/CVE-2026-27196" TargetMode="External" Id="rId2514"/><Relationship Type="http://schemas.openxmlformats.org/officeDocument/2006/relationships/hyperlink" Target="https://nvd.nist.gov/vuln/detail/CVE-2026-27197" TargetMode="External" Id="rId2515"/><Relationship Type="http://schemas.openxmlformats.org/officeDocument/2006/relationships/hyperlink" Target="https://github.com/getsentry/sentry/security/advisories/GHSA-ggmg-cqg6-j45g" TargetMode="External" Id="rId2516"/><Relationship Type="http://schemas.openxmlformats.org/officeDocument/2006/relationships/hyperlink" Target="https://github.com/getsentry/sentry/security/advisories/GHSA-ggmg-cqg6-j45g" TargetMode="External" Id="rId2517"/><Relationship Type="http://schemas.openxmlformats.org/officeDocument/2006/relationships/hyperlink" Target="https://nvd.nist.gov/vuln/detail/CVE-2026-27197" TargetMode="External" Id="rId2518"/><Relationship Type="http://schemas.openxmlformats.org/officeDocument/2006/relationships/hyperlink" Target="https://nvd.nist.gov/vuln/detail/CVE-2026-27527" TargetMode="External" Id="rId2519"/><Relationship Type="http://schemas.openxmlformats.org/officeDocument/2006/relationships/hyperlink" Target="https://nvd.nist.gov/vuln/detail/CVE-2026-27527" TargetMode="External" Id="rId2520"/><Relationship Type="http://schemas.openxmlformats.org/officeDocument/2006/relationships/hyperlink" Target="https://nvd.nist.gov/vuln/detail/CVE-2026-27528" TargetMode="External" Id="rId2521"/><Relationship Type="http://schemas.openxmlformats.org/officeDocument/2006/relationships/hyperlink" Target="https://nvd.nist.gov/vuln/detail/CVE-2026-27528" TargetMode="External" Id="rId2522"/><Relationship Type="http://schemas.openxmlformats.org/officeDocument/2006/relationships/hyperlink" Target="https://nvd.nist.gov/vuln/detail/CVE-2026-27529" TargetMode="External" Id="rId2523"/><Relationship Type="http://schemas.openxmlformats.org/officeDocument/2006/relationships/hyperlink" Target="https://nvd.nist.gov/vuln/detail/CVE-2026-27529" TargetMode="External" Id="rId2524"/><Relationship Type="http://schemas.openxmlformats.org/officeDocument/2006/relationships/hyperlink" Target="https://nvd.nist.gov/vuln/detail/CVE-2026-27530" TargetMode="External" Id="rId2525"/><Relationship Type="http://schemas.openxmlformats.org/officeDocument/2006/relationships/hyperlink" Target="https://nvd.nist.gov/vuln/detail/CVE-2026-27530" TargetMode="External" Id="rId2526"/><Relationship Type="http://schemas.openxmlformats.org/officeDocument/2006/relationships/hyperlink" Target="https://nvd.nist.gov/vuln/detail/CVE-2026-27531" TargetMode="External" Id="rId2527"/><Relationship Type="http://schemas.openxmlformats.org/officeDocument/2006/relationships/hyperlink" Target="https://nvd.nist.gov/vuln/detail/CVE-2026-27531" TargetMode="External" Id="rId2528"/><Relationship Type="http://schemas.openxmlformats.org/officeDocument/2006/relationships/hyperlink" Target="https://nvd.nist.gov/vuln/detail/CVE-2026-27532" TargetMode="External" Id="rId2529"/><Relationship Type="http://schemas.openxmlformats.org/officeDocument/2006/relationships/hyperlink" Target="https://nvd.nist.gov/vuln/detail/CVE-2026-27532" TargetMode="External" Id="rId2530"/><Relationship Type="http://schemas.openxmlformats.org/officeDocument/2006/relationships/hyperlink" Target="https://nvd.nist.gov/vuln/detail/CVE-2026-27533" TargetMode="External" Id="rId2531"/><Relationship Type="http://schemas.openxmlformats.org/officeDocument/2006/relationships/hyperlink" Target="https://nvd.nist.gov/vuln/detail/CVE-2026-27533" TargetMode="External" Id="rId2532"/><Relationship Type="http://schemas.openxmlformats.org/officeDocument/2006/relationships/hyperlink" Target="https://nvd.nist.gov/vuln/detail/CVE-2026-27534" TargetMode="External" Id="rId2533"/><Relationship Type="http://schemas.openxmlformats.org/officeDocument/2006/relationships/hyperlink" Target="https://nvd.nist.gov/vuln/detail/CVE-2026-27534" TargetMode="External" Id="rId2534"/><Relationship Type="http://schemas.openxmlformats.org/officeDocument/2006/relationships/hyperlink" Target="https://nvd.nist.gov/vuln/detail/CVE-2026-2860" TargetMode="External" Id="rId2535"/><Relationship Type="http://schemas.openxmlformats.org/officeDocument/2006/relationships/hyperlink" Target="https://nvd.nist.gov/vuln/detail/CVE-2026-2860" TargetMode="External" Id="rId2536"/><Relationship Type="http://schemas.openxmlformats.org/officeDocument/2006/relationships/hyperlink" Target="https://nvd.nist.gov/vuln/detail/CVE-2026-26045" TargetMode="External" Id="rId2537"/><Relationship Type="http://schemas.openxmlformats.org/officeDocument/2006/relationships/hyperlink" Target="https://nvd.nist.gov/vuln/detail/CVE-2026-26045" TargetMode="External" Id="rId2538"/><Relationship Type="http://schemas.openxmlformats.org/officeDocument/2006/relationships/hyperlink" Target="https://nvd.nist.gov/vuln/detail/CVE-2026-26046" TargetMode="External" Id="rId2539"/><Relationship Type="http://schemas.openxmlformats.org/officeDocument/2006/relationships/hyperlink" Target="https://nvd.nist.gov/vuln/detail/CVE-2026-26046" TargetMode="External" Id="rId2540"/><Relationship Type="http://schemas.openxmlformats.org/officeDocument/2006/relationships/hyperlink" Target="https://nvd.nist.gov/vuln/detail/CVE-2026-26047" TargetMode="External" Id="rId2541"/><Relationship Type="http://schemas.openxmlformats.org/officeDocument/2006/relationships/hyperlink" Target="https://nvd.nist.gov/vuln/detail/CVE-2026-26047" TargetMode="External" Id="rId2542"/><Relationship Type="http://schemas.openxmlformats.org/officeDocument/2006/relationships/hyperlink" Target="https://nvd.nist.gov/vuln/detail/CVE-2026-27198" TargetMode="External" Id="rId2543"/><Relationship Type="http://schemas.openxmlformats.org/officeDocument/2006/relationships/hyperlink" Target="https://nvd.nist.gov/vuln/detail/CVE-2026-27198" TargetMode="External" Id="rId2544"/><Relationship Type="http://schemas.openxmlformats.org/officeDocument/2006/relationships/hyperlink" Target="https://nvd.nist.gov/vuln/detail/CVE-2026-27199" TargetMode="External" Id="rId2545"/><Relationship Type="http://schemas.openxmlformats.org/officeDocument/2006/relationships/hyperlink" Target="https://nvd.nist.gov/vuln/detail/CVE-2026-27199" TargetMode="External" Id="rId2546"/><Relationship Type="http://schemas.openxmlformats.org/officeDocument/2006/relationships/hyperlink" Target="https://nvd.nist.gov/vuln/detail/CVE-2026-27205" TargetMode="External" Id="rId2547"/><Relationship Type="http://schemas.openxmlformats.org/officeDocument/2006/relationships/hyperlink" Target="https://nvd.nist.gov/vuln/detail/CVE-2026-27205" TargetMode="External" Id="rId2548"/><Relationship Type="http://schemas.openxmlformats.org/officeDocument/2006/relationships/hyperlink" Target="https://nvd.nist.gov/vuln/detail/CVE-2026-27210" TargetMode="External" Id="rId2549"/><Relationship Type="http://schemas.openxmlformats.org/officeDocument/2006/relationships/hyperlink" Target="https://nvd.nist.gov/vuln/detail/CVE-2026-27210" TargetMode="External" Id="rId2550"/><Relationship Type="http://schemas.openxmlformats.org/officeDocument/2006/relationships/hyperlink" Target="https://nvd.nist.gov/vuln/detail/CVE-2026-27211" TargetMode="External" Id="rId2551"/><Relationship Type="http://schemas.openxmlformats.org/officeDocument/2006/relationships/hyperlink" Target="https://nvd.nist.gov/vuln/detail/CVE-2026-27211" TargetMode="External" Id="rId2552"/><Relationship Type="http://schemas.openxmlformats.org/officeDocument/2006/relationships/hyperlink" Target="https://nvd.nist.gov/vuln/detail/CVE-2026-27212" TargetMode="External" Id="rId2553"/><Relationship Type="http://schemas.openxmlformats.org/officeDocument/2006/relationships/hyperlink" Target="https://nvd.nist.gov/vuln/detail/CVE-2026-27212" TargetMode="External" Id="rId2554"/><Relationship Type="http://schemas.openxmlformats.org/officeDocument/2006/relationships/hyperlink" Target="https://nvd.nist.gov/vuln/detail/CVE-2026-2861" TargetMode="External" Id="rId2555"/><Relationship Type="http://schemas.openxmlformats.org/officeDocument/2006/relationships/hyperlink" Target="https://nvd.nist.gov/vuln/detail/CVE-2026-2861" TargetMode="External" Id="rId2556"/><Relationship Type="http://schemas.openxmlformats.org/officeDocument/2006/relationships/hyperlink" Target="https://nvd.nist.gov/vuln/detail/CVE-2026-2863" TargetMode="External" Id="rId2557"/><Relationship Type="http://schemas.openxmlformats.org/officeDocument/2006/relationships/hyperlink" Target="https://nvd.nist.gov/vuln/detail/CVE-2026-2863" TargetMode="External" Id="rId2558"/><Relationship Type="http://schemas.openxmlformats.org/officeDocument/2006/relationships/hyperlink" Target="https://nvd.nist.gov/vuln/detail/CVE-2026-27206" TargetMode="External" Id="rId2559"/><Relationship Type="http://schemas.openxmlformats.org/officeDocument/2006/relationships/hyperlink" Target="https://nvd.nist.gov/vuln/detail/CVE-2026-27206" TargetMode="External" Id="rId2560"/><Relationship Type="http://schemas.openxmlformats.org/officeDocument/2006/relationships/hyperlink" Target="https://nvd.nist.gov/vuln/detail/CVE-2026-27452" TargetMode="External" Id="rId2561"/><Relationship Type="http://schemas.openxmlformats.org/officeDocument/2006/relationships/hyperlink" Target="https://nvd.nist.gov/vuln/detail/CVE-2026-27452" TargetMode="External" Id="rId2562"/><Relationship Type="http://schemas.openxmlformats.org/officeDocument/2006/relationships/hyperlink" Target="https://nvd.nist.gov/vuln/detail/CVE-2026-27458" TargetMode="External" Id="rId2563"/><Relationship Type="http://schemas.openxmlformats.org/officeDocument/2006/relationships/hyperlink" Target="https://nvd.nist.gov/vuln/detail/CVE-2026-27458" TargetMode="External" Id="rId2564"/><Relationship Type="http://schemas.openxmlformats.org/officeDocument/2006/relationships/hyperlink" Target="https://nvd.nist.gov/vuln/detail/CVE-2026-27471" TargetMode="External" Id="rId2565"/><Relationship Type="http://schemas.openxmlformats.org/officeDocument/2006/relationships/hyperlink" Target="https://nvd.nist.gov/vuln/detail/CVE-2026-27471" TargetMode="External" Id="rId2566"/><Relationship Type="http://schemas.openxmlformats.org/officeDocument/2006/relationships/hyperlink" Target="https://nvd.nist.gov/vuln/detail/CVE-2026-27464" TargetMode="External" Id="rId2567"/><Relationship Type="http://schemas.openxmlformats.org/officeDocument/2006/relationships/hyperlink" Target="https://nvd.nist.gov/vuln/detail/CVE-2026-27464" TargetMode="External" Id="rId2568"/><Relationship Type="http://schemas.openxmlformats.org/officeDocument/2006/relationships/hyperlink" Target="https://nvd.nist.gov/vuln/detail/CVE-2026-27466" TargetMode="External" Id="rId2569"/><Relationship Type="http://schemas.openxmlformats.org/officeDocument/2006/relationships/hyperlink" Target="https://nvd.nist.gov/vuln/detail/CVE-2026-27466" TargetMode="External" Id="rId2570"/><Relationship Type="http://schemas.openxmlformats.org/officeDocument/2006/relationships/hyperlink" Target="https://nvd.nist.gov/vuln/detail/CVE-2026-27467" TargetMode="External" Id="rId2571"/><Relationship Type="http://schemas.openxmlformats.org/officeDocument/2006/relationships/hyperlink" Target="https://nvd.nist.gov/vuln/detail/CVE-2026-27467" TargetMode="External" Id="rId2572"/><Relationship Type="http://schemas.openxmlformats.org/officeDocument/2006/relationships/hyperlink" Target="https://nvd.nist.gov/vuln/detail/CVE-2026-27469" TargetMode="External" Id="rId2573"/><Relationship Type="http://schemas.openxmlformats.org/officeDocument/2006/relationships/hyperlink" Target="https://nvd.nist.gov/vuln/detail/CVE-2026-27469" TargetMode="External" Id="rId2574"/><Relationship Type="http://schemas.openxmlformats.org/officeDocument/2006/relationships/hyperlink" Target="https://nvd.nist.gov/vuln/detail/CVE-2026-27470" TargetMode="External" Id="rId2575"/><Relationship Type="http://schemas.openxmlformats.org/officeDocument/2006/relationships/hyperlink" Target="https://nvd.nist.gov/vuln/detail/CVE-2026-27470" TargetMode="External" Id="rId2576"/><Relationship Type="http://schemas.openxmlformats.org/officeDocument/2006/relationships/hyperlink" Target="https://nvd.nist.gov/vuln/detail/CVE-2026-2864" TargetMode="External" Id="rId2577"/><Relationship Type="http://schemas.openxmlformats.org/officeDocument/2006/relationships/hyperlink" Target="https://nvd.nist.gov/vuln/detail/CVE-2026-2864" TargetMode="External" Id="rId2578"/><Relationship Type="http://schemas.openxmlformats.org/officeDocument/2006/relationships/hyperlink" Target="https://nvd.nist.gov/vuln/detail/CVE-2026-2865" TargetMode="External" Id="rId2579"/><Relationship Type="http://schemas.openxmlformats.org/officeDocument/2006/relationships/hyperlink" Target="https://nvd.nist.gov/vuln/detail/CVE-2026-2865" TargetMode="External" Id="rId2580"/><Relationship Type="http://schemas.openxmlformats.org/officeDocument/2006/relationships/hyperlink" Target="https://nvd.nist.gov/vuln/detail/CVE-2026-27479" TargetMode="External" Id="rId2581"/><Relationship Type="http://schemas.openxmlformats.org/officeDocument/2006/relationships/hyperlink" Target="https://nvd.nist.gov/vuln/detail/CVE-2026-27479" TargetMode="External" Id="rId2582"/><Relationship Type="http://schemas.openxmlformats.org/officeDocument/2006/relationships/hyperlink" Target="https://nvd.nist.gov/vuln/detail/CVE-2025-14339" TargetMode="External" Id="rId2583"/><Relationship Type="http://schemas.openxmlformats.org/officeDocument/2006/relationships/hyperlink" Target="https://nvd.nist.gov/vuln/detail/CVE-2025-14339" TargetMode="External" Id="rId2584"/><Relationship Type="http://schemas.openxmlformats.org/officeDocument/2006/relationships/hyperlink" Target="https://nvd.nist.gov/vuln/detail/CVE-2026-27480" TargetMode="External" Id="rId2585"/><Relationship Type="http://schemas.openxmlformats.org/officeDocument/2006/relationships/hyperlink" Target="https://nvd.nist.gov/vuln/detail/CVE-2026-27480" TargetMode="External" Id="rId2586"/><Relationship Type="http://schemas.openxmlformats.org/officeDocument/2006/relationships/hyperlink" Target="https://nvd.nist.gov/vuln/detail/CVE-2026-27482" TargetMode="External" Id="rId2587"/><Relationship Type="http://schemas.openxmlformats.org/officeDocument/2006/relationships/hyperlink" Target="https://nvd.nist.gov/vuln/detail/CVE-2026-27482" TargetMode="External" Id="rId2588"/><Relationship Type="http://schemas.openxmlformats.org/officeDocument/2006/relationships/hyperlink" Target="https://nvd.nist.gov/vuln/detail/CVE-2026-27484" TargetMode="External" Id="rId2589"/><Relationship Type="http://schemas.openxmlformats.org/officeDocument/2006/relationships/hyperlink" Target="https://github.com/openclaw/openclaw/commit/775816035ecc6bb243843f8000c9a58ff609e32d%20|%20https://github.com/openclaw/openclaw/security/advisories/GHSA-wh94-p5m6-mr7j" TargetMode="External" Id="rId2590"/><Relationship Type="http://schemas.openxmlformats.org/officeDocument/2006/relationships/hyperlink" Target="https://nvd.nist.gov/vuln/detail/CVE-2026-27484" TargetMode="External" Id="rId2591"/><Relationship Type="http://schemas.openxmlformats.org/officeDocument/2006/relationships/hyperlink" Target="https://nvd.nist.gov/vuln/detail/CVE-2026-27485" TargetMode="External" Id="rId2592"/><Relationship Type="http://schemas.openxmlformats.org/officeDocument/2006/relationships/hyperlink" Target="https://github.com/openclaw/openclaw/commit/c275932aa4230fb7a8212fe1b9d2a18424874b3f%20|%20https://github.com/openclaw/openclaw/commit/ee1d6427b544ccadd73e02b1630ea5c29ba9a9f0%20|%20https://github.com/openclaw/openclaw/security/advisories/GHSA-r6h2-5gqq-v5v6" TargetMode="External" Id="rId2593"/><Relationship Type="http://schemas.openxmlformats.org/officeDocument/2006/relationships/hyperlink" Target="https://github.com/openclaw/openclaw/security/advisories/GHSA-r6h2-5gqq-v5v6" TargetMode="External" Id="rId2594"/><Relationship Type="http://schemas.openxmlformats.org/officeDocument/2006/relationships/hyperlink" Target="https://nvd.nist.gov/vuln/detail/CVE-2026-27485" TargetMode="External" Id="rId2595"/><Relationship Type="http://schemas.openxmlformats.org/officeDocument/2006/relationships/hyperlink" Target="https://nvd.nist.gov/vuln/detail/CVE-2026-27486" TargetMode="External" Id="rId2596"/><Relationship Type="http://schemas.openxmlformats.org/officeDocument/2006/relationships/hyperlink" Target="https://nvd.nist.gov/vuln/detail/CVE-2026-27486" TargetMode="External" Id="rId2597"/><Relationship Type="http://schemas.openxmlformats.org/officeDocument/2006/relationships/hyperlink" Target="https://nvd.nist.gov/vuln/detail/CVE-2026-27487" TargetMode="External" Id="rId2598"/><Relationship Type="http://schemas.openxmlformats.org/officeDocument/2006/relationships/hyperlink" Target="https://github.com/openclaw/openclaw/commit/66d7178f2d6f9d60abad35797f97f3e61389b70c%20|%20https://github.com/openclaw/openclaw/commit/9dce3d8bf83f13c067bc3c32291643d2f1f10a06%20|%20https://github.com/openclaw/openclaw/commit/b908388245764fb3586859f44d1dff5372b19caf" TargetMode="External" Id="rId2599"/><Relationship Type="http://schemas.openxmlformats.org/officeDocument/2006/relationships/hyperlink" Target="https://nvd.nist.gov/vuln/detail/CVE-2026-27487" TargetMode="External" Id="rId2600"/><Relationship Type="http://schemas.openxmlformats.org/officeDocument/2006/relationships/hyperlink" Target="https://nvd.nist.gov/vuln/detail/CVE-2026-27488" TargetMode="External" Id="rId2601"/><Relationship Type="http://schemas.openxmlformats.org/officeDocument/2006/relationships/hyperlink" Target="https://github.com/openclaw/openclaw/commit/99db4d13e5c139883ef0def9ff963e9273179655%20|%20https://github.com/openclaw/openclaw/security/advisories/GHSA-w45g-5746-x9fp" TargetMode="External" Id="rId2602"/><Relationship Type="http://schemas.openxmlformats.org/officeDocument/2006/relationships/hyperlink" Target="https://nvd.nist.gov/vuln/detail/CVE-2026-27488" TargetMode="External" Id="rId2603"/><Relationship Type="http://schemas.openxmlformats.org/officeDocument/2006/relationships/hyperlink" Target="https://nvd.nist.gov/vuln/detail/CVE-2026-27576" TargetMode="External" Id="rId2604"/><Relationship Type="http://schemas.openxmlformats.org/officeDocument/2006/relationships/hyperlink" Target="https://github.com/openclaw/openclaw/commit/63e39d7f57ac4ad4a5e38d17e7394ae7c4dd0b9c%20|%20https://github.com/openclaw/openclaw/commit/8ae2d5110f6ceadef73822aa3db194fb60d2ba68%20|%20https://github.com/openclaw/openclaw/commit/ebcf19746f5c500a41817e03abecadea8655654a" TargetMode="External" Id="rId2605"/><Relationship Type="http://schemas.openxmlformats.org/officeDocument/2006/relationships/hyperlink" Target="https://nvd.nist.gov/vuln/detail/CVE-2026-27576" TargetMode="External" Id="rId2606"/><Relationship Type="http://schemas.openxmlformats.org/officeDocument/2006/relationships/hyperlink" Target="https://nvd.nist.gov/vuln/detail/CVE-2026-1787" TargetMode="External" Id="rId2607"/><Relationship Type="http://schemas.openxmlformats.org/officeDocument/2006/relationships/hyperlink" Target="https://nvd.nist.gov/vuln/detail/CVE-2026-1787" TargetMode="External" Id="rId2608"/><Relationship Type="http://schemas.openxmlformats.org/officeDocument/2006/relationships/hyperlink" Target="https://nvd.nist.gov/vuln/detail/CVE-2026-27492" TargetMode="External" Id="rId2609"/><Relationship Type="http://schemas.openxmlformats.org/officeDocument/2006/relationships/hyperlink" Target="https://nvd.nist.gov/vuln/detail/CVE-2026-27492" TargetMode="External" Id="rId2610"/><Relationship Type="http://schemas.openxmlformats.org/officeDocument/2006/relationships/hyperlink" Target="https://nvd.nist.gov/vuln/detail/CVE-2026-27574" TargetMode="External" Id="rId2611"/><Relationship Type="http://schemas.openxmlformats.org/officeDocument/2006/relationships/hyperlink" Target="https://github.com/OneUptime/oneuptime/commit/7f9ed4d43945574702a26b7c206e38cc344fe427%20|%20https://github.com/OneUptime/oneuptime/security/advisories/GHSA-v264-xqh4-9xmm" TargetMode="External" Id="rId2612"/><Relationship Type="http://schemas.openxmlformats.org/officeDocument/2006/relationships/hyperlink" Target="https://nvd.nist.gov/vuln/detail/CVE-2026-27574" TargetMode="External" Id="rId2613"/><Relationship Type="http://schemas.openxmlformats.org/officeDocument/2006/relationships/hyperlink" Target="https://nvd.nist.gov/vuln/detail/CVE-2026-27579" TargetMode="External" Id="rId2614"/><Relationship Type="http://schemas.openxmlformats.org/officeDocument/2006/relationships/hyperlink" Target="https://nvd.nist.gov/vuln/detail/CVE-2026-27579" TargetMode="External" Id="rId2615"/><Relationship Type="http://schemas.openxmlformats.org/officeDocument/2006/relationships/hyperlink" Target="https://nvd.nist.gov/vuln/detail/CVE-2026-2867" TargetMode="External" Id="rId2616"/><Relationship Type="http://schemas.openxmlformats.org/officeDocument/2006/relationships/hyperlink" Target="https://nvd.nist.gov/vuln/detail/CVE-2026-2867" TargetMode="External" Id="rId2617"/><Relationship Type="http://schemas.openxmlformats.org/officeDocument/2006/relationships/hyperlink" Target="https://nvd.nist.gov/vuln/detail/CVE-2026-2869" TargetMode="External" Id="rId2618"/><Relationship Type="http://schemas.openxmlformats.org/officeDocument/2006/relationships/hyperlink" Target="https://nvd.nist.gov/vuln/detail/CVE-2026-2869" TargetMode="External" Id="rId2619"/><Relationship Type="http://schemas.openxmlformats.org/officeDocument/2006/relationships/hyperlink" Target="https://nvd.nist.gov/vuln/detail/CVE-2026-2870" TargetMode="External" Id="rId2620"/><Relationship Type="http://schemas.openxmlformats.org/officeDocument/2006/relationships/hyperlink" Target="https://github.com/QIU-DIE/cve-nneeww/issues/1" TargetMode="External" Id="rId2621"/><Relationship Type="http://schemas.openxmlformats.org/officeDocument/2006/relationships/hyperlink" Target="https://github.com/QIU-DIE/cve-nneeww/issues/1" TargetMode="External" Id="rId2622"/><Relationship Type="http://schemas.openxmlformats.org/officeDocument/2006/relationships/hyperlink" Target="https://nvd.nist.gov/vuln/detail/CVE-2026-2870" TargetMode="External" Id="rId2623"/><Relationship Type="http://schemas.openxmlformats.org/officeDocument/2006/relationships/hyperlink" Target="https://nvd.nist.gov/vuln/detail/CVE-2026-2871" TargetMode="External" Id="rId2624"/><Relationship Type="http://schemas.openxmlformats.org/officeDocument/2006/relationships/hyperlink" Target="https://github.com/QIU-DIE/cve-nneeww/issues/2" TargetMode="External" Id="rId2625"/><Relationship Type="http://schemas.openxmlformats.org/officeDocument/2006/relationships/hyperlink" Target="https://github.com/QIU-DIE/cve-nneeww/issues/2" TargetMode="External" Id="rId2626"/><Relationship Type="http://schemas.openxmlformats.org/officeDocument/2006/relationships/hyperlink" Target="https://nvd.nist.gov/vuln/detail/CVE-2026-2871" TargetMode="External" Id="rId2627"/><Relationship Type="http://schemas.openxmlformats.org/officeDocument/2006/relationships/hyperlink" Target="https://nvd.nist.gov/vuln/detail/CVE-2026-2872" TargetMode="External" Id="rId2628"/><Relationship Type="http://schemas.openxmlformats.org/officeDocument/2006/relationships/hyperlink" Target="https://github.com/QIU-DIE/cve-nneeww/issues/3" TargetMode="External" Id="rId2629"/><Relationship Type="http://schemas.openxmlformats.org/officeDocument/2006/relationships/hyperlink" Target="https://github.com/QIU-DIE/cve-nneeww/issues/3" TargetMode="External" Id="rId2630"/><Relationship Type="http://schemas.openxmlformats.org/officeDocument/2006/relationships/hyperlink" Target="https://nvd.nist.gov/vuln/detail/CVE-2026-2872" TargetMode="External" Id="rId2631"/><Relationship Type="http://schemas.openxmlformats.org/officeDocument/2006/relationships/hyperlink" Target="https://nvd.nist.gov/vuln/detail/CVE-2026-2873" TargetMode="External" Id="rId2632"/><Relationship Type="http://schemas.openxmlformats.org/officeDocument/2006/relationships/hyperlink" Target="https://github.com/QIU-DIE/cve-nneeww/issues/4" TargetMode="External" Id="rId2633"/><Relationship Type="http://schemas.openxmlformats.org/officeDocument/2006/relationships/hyperlink" Target="https://github.com/QIU-DIE/cve-nneeww/issues/4" TargetMode="External" Id="rId2634"/><Relationship Type="http://schemas.openxmlformats.org/officeDocument/2006/relationships/hyperlink" Target="https://nvd.nist.gov/vuln/detail/CVE-2026-2873" TargetMode="External" Id="rId2635"/><Relationship Type="http://schemas.openxmlformats.org/officeDocument/2006/relationships/hyperlink" Target="https://nvd.nist.gov/vuln/detail/CVE-2026-2874" TargetMode="External" Id="rId2636"/><Relationship Type="http://schemas.openxmlformats.org/officeDocument/2006/relationships/hyperlink" Target="https://github.com/QIU-DIE/cve-nneeww/issues/5" TargetMode="External" Id="rId2637"/><Relationship Type="http://schemas.openxmlformats.org/officeDocument/2006/relationships/hyperlink" Target="https://github.com/QIU-DIE/cve-nneeww/issues/5" TargetMode="External" Id="rId2638"/><Relationship Type="http://schemas.openxmlformats.org/officeDocument/2006/relationships/hyperlink" Target="https://nvd.nist.gov/vuln/detail/CVE-2026-2874" TargetMode="External" Id="rId2639"/><Relationship Type="http://schemas.openxmlformats.org/officeDocument/2006/relationships/hyperlink" Target="https://nvd.nist.gov/vuln/detail/CVE-2026-2876" TargetMode="External" Id="rId2640"/><Relationship Type="http://schemas.openxmlformats.org/officeDocument/2006/relationships/hyperlink" Target="https://nvd.nist.gov/vuln/detail/CVE-2026-2876" TargetMode="External" Id="rId2641"/><Relationship Type="http://schemas.openxmlformats.org/officeDocument/2006/relationships/hyperlink" Target="https://nvd.nist.gov/vuln/detail/CVE-2026-2877" TargetMode="External" Id="rId2642"/><Relationship Type="http://schemas.openxmlformats.org/officeDocument/2006/relationships/hyperlink" Target="https://nvd.nist.gov/vuln/detail/CVE-2026-2877" TargetMode="External" Id="rId2643"/><Relationship Type="http://schemas.openxmlformats.org/officeDocument/2006/relationships/hyperlink" Target="https://nvd.nist.gov/vuln/detail/CVE-2026-2881" TargetMode="External" Id="rId2644"/><Relationship Type="http://schemas.openxmlformats.org/officeDocument/2006/relationships/hyperlink" Target="https://nvd.nist.gov/vuln/detail/CVE-2026-2881" TargetMode="External" Id="rId2645"/><Relationship Type="http://schemas.openxmlformats.org/officeDocument/2006/relationships/hyperlink" Target="https://nvd.nist.gov/vuln/detail/CVE-2026-2882" TargetMode="External" Id="rId2646"/><Relationship Type="http://schemas.openxmlformats.org/officeDocument/2006/relationships/hyperlink" Target="https://nvd.nist.gov/vuln/detail/CVE-2026-2882" TargetMode="External" Id="rId2647"/><Relationship Type="http://schemas.openxmlformats.org/officeDocument/2006/relationships/hyperlink" Target="https://nvd.nist.gov/vuln/detail/CVE-2026-2883" TargetMode="External" Id="rId2648"/><Relationship Type="http://schemas.openxmlformats.org/officeDocument/2006/relationships/hyperlink" Target="https://nvd.nist.gov/vuln/detail/CVE-2026-2883" TargetMode="External" Id="rId2649"/><Relationship Type="http://schemas.openxmlformats.org/officeDocument/2006/relationships/hyperlink" Target="https://nvd.nist.gov/vuln/detail/CVE-2026-2884" TargetMode="External" Id="rId2650"/><Relationship Type="http://schemas.openxmlformats.org/officeDocument/2006/relationships/hyperlink" Target="https://nvd.nist.gov/vuln/detail/CVE-2026-2884" TargetMode="External" Id="rId2651"/><Relationship Type="http://schemas.openxmlformats.org/officeDocument/2006/relationships/hyperlink" Target="https://nvd.nist.gov/vuln/detail/CVE-2026-2885" TargetMode="External" Id="rId2652"/><Relationship Type="http://schemas.openxmlformats.org/officeDocument/2006/relationships/hyperlink" Target="https://nvd.nist.gov/vuln/detail/CVE-2026-2885" TargetMode="External" Id="rId2653"/><Relationship Type="http://schemas.openxmlformats.org/officeDocument/2006/relationships/hyperlink" Target="https://nvd.nist.gov/vuln/detail/CVE-2026-2886" TargetMode="External" Id="rId2654"/><Relationship Type="http://schemas.openxmlformats.org/officeDocument/2006/relationships/hyperlink" Target="https://github.com/QIU-DIE/cve-nneeww/issues/6" TargetMode="External" Id="rId2655"/><Relationship Type="http://schemas.openxmlformats.org/officeDocument/2006/relationships/hyperlink" Target="https://github.com/QIU-DIE/cve-nneeww/issues/6" TargetMode="External" Id="rId2656"/><Relationship Type="http://schemas.openxmlformats.org/officeDocument/2006/relationships/hyperlink" Target="https://nvd.nist.gov/vuln/detail/CVE-2026-2886" TargetMode="External" Id="rId2657"/><Relationship Type="http://schemas.openxmlformats.org/officeDocument/2006/relationships/hyperlink" Target="https://nvd.nist.gov/vuln/detail/CVE-2026-2887" TargetMode="External" Id="rId2658"/><Relationship Type="http://schemas.openxmlformats.org/officeDocument/2006/relationships/hyperlink" Target="https://nvd.nist.gov/vuln/detail/CVE-2026-2887" TargetMode="External" Id="rId2659"/><Relationship Type="http://schemas.openxmlformats.org/officeDocument/2006/relationships/hyperlink" Target="https://nvd.nist.gov/vuln/detail/CVE-2026-2889" TargetMode="External" Id="rId2660"/><Relationship Type="http://schemas.openxmlformats.org/officeDocument/2006/relationships/hyperlink" Target="https://nvd.nist.gov/vuln/detail/CVE-2026-2889" TargetMode="External" Id="rId2661"/><Relationship Type="http://schemas.openxmlformats.org/officeDocument/2006/relationships/hyperlink" Target="https://nvd.nist.gov/vuln/detail/CVE-2026-2894" TargetMode="External" Id="rId2662"/><Relationship Type="http://schemas.openxmlformats.org/officeDocument/2006/relationships/hyperlink" Target="https://nvd.nist.gov/vuln/detail/CVE-2026-2894" TargetMode="External" Id="rId2663"/><Relationship Type="http://schemas.openxmlformats.org/officeDocument/2006/relationships/hyperlink" Target="https://nvd.nist.gov/vuln/detail/CVE-2026-2895" TargetMode="External" Id="rId2664"/><Relationship Type="http://schemas.openxmlformats.org/officeDocument/2006/relationships/hyperlink" Target="https://nvd.nist.gov/vuln/detail/CVE-2026-2895" TargetMode="External" Id="rId2665"/><Relationship Type="http://schemas.openxmlformats.org/officeDocument/2006/relationships/hyperlink" Target="https://nvd.nist.gov/vuln/detail/CVE-2026-2896" TargetMode="External" Id="rId2666"/><Relationship Type="http://schemas.openxmlformats.org/officeDocument/2006/relationships/hyperlink" Target="https://nvd.nist.gov/vuln/detail/CVE-2026-2896" TargetMode="External" Id="rId2667"/><Relationship Type="http://schemas.openxmlformats.org/officeDocument/2006/relationships/hyperlink" Target="https://nvd.nist.gov/vuln/detail/CVE-2026-2897" TargetMode="External" Id="rId2668"/><Relationship Type="http://schemas.openxmlformats.org/officeDocument/2006/relationships/hyperlink" Target="https://nvd.nist.gov/vuln/detail/CVE-2026-2897" TargetMode="External" Id="rId2669"/><Relationship Type="http://schemas.openxmlformats.org/officeDocument/2006/relationships/hyperlink" Target="https://nvd.nist.gov/vuln/detail/CVE-2026-2898" TargetMode="External" Id="rId2670"/><Relationship Type="http://schemas.openxmlformats.org/officeDocument/2006/relationships/hyperlink" Target="https://nvd.nist.gov/vuln/detail/CVE-2026-2898" TargetMode="External" Id="rId2671"/><Relationship Type="http://schemas.openxmlformats.org/officeDocument/2006/relationships/hyperlink" Target="https://nvd.nist.gov/vuln/detail/CVE-2026-2903" TargetMode="External" Id="rId2672"/><Relationship Type="http://schemas.openxmlformats.org/officeDocument/2006/relationships/hyperlink" Target="https://nvd.nist.gov/vuln/detail/CVE-2026-2903" TargetMode="External" Id="rId2673"/><Relationship Type="http://schemas.openxmlformats.org/officeDocument/2006/relationships/hyperlink" Target="https://nvd.nist.gov/vuln/detail/CVE-2026-2904" TargetMode="External" Id="rId2674"/><Relationship Type="http://schemas.openxmlformats.org/officeDocument/2006/relationships/hyperlink" Target="https://nvd.nist.gov/vuln/detail/CVE-2026-2904" TargetMode="External" Id="rId2675"/><Relationship Type="http://schemas.openxmlformats.org/officeDocument/2006/relationships/hyperlink" Target="https://nvd.nist.gov/vuln/detail/CVE-2026-2905" TargetMode="External" Id="rId2676"/><Relationship Type="http://schemas.openxmlformats.org/officeDocument/2006/relationships/hyperlink" Target="https://github.com/QIU-DIE/cve-nneeww/issues/7" TargetMode="External" Id="rId2677"/><Relationship Type="http://schemas.openxmlformats.org/officeDocument/2006/relationships/hyperlink" Target="https://github.com/QIU-DIE/cve-nneeww/issues/7" TargetMode="External" Id="rId2678"/><Relationship Type="http://schemas.openxmlformats.org/officeDocument/2006/relationships/hyperlink" Target="https://nvd.nist.gov/vuln/detail/CVE-2026-2905" TargetMode="External" Id="rId2679"/><Relationship Type="http://schemas.openxmlformats.org/officeDocument/2006/relationships/hyperlink" Target="https://nvd.nist.gov/vuln/detail/CVE-2026-2906" TargetMode="External" Id="rId2680"/><Relationship Type="http://schemas.openxmlformats.org/officeDocument/2006/relationships/hyperlink" Target="https://github.com/QIU-DIE/cve-nneeww/issues/8" TargetMode="External" Id="rId2681"/><Relationship Type="http://schemas.openxmlformats.org/officeDocument/2006/relationships/hyperlink" Target="https://github.com/QIU-DIE/cve-nneeww/issues/8" TargetMode="External" Id="rId2682"/><Relationship Type="http://schemas.openxmlformats.org/officeDocument/2006/relationships/hyperlink" Target="https://nvd.nist.gov/vuln/detail/CVE-2026-2906" TargetMode="External" Id="rId2683"/><Relationship Type="http://schemas.openxmlformats.org/officeDocument/2006/relationships/hyperlink" Target="https://nvd.nist.gov/vuln/detail/CVE-2026-2907" TargetMode="External" Id="rId2684"/><Relationship Type="http://schemas.openxmlformats.org/officeDocument/2006/relationships/hyperlink" Target="https://github.com/QIU-DIE/cve-nneeww/issues/9" TargetMode="External" Id="rId2685"/><Relationship Type="http://schemas.openxmlformats.org/officeDocument/2006/relationships/hyperlink" Target="https://github.com/QIU-DIE/cve-nneeww/issues/9" TargetMode="External" Id="rId2686"/><Relationship Type="http://schemas.openxmlformats.org/officeDocument/2006/relationships/hyperlink" Target="https://nvd.nist.gov/vuln/detail/CVE-2026-2907" TargetMode="External" Id="rId2687"/><Relationship Type="http://schemas.openxmlformats.org/officeDocument/2006/relationships/hyperlink" Target="https://nvd.nist.gov/vuln/detail/CVE-2026-2908" TargetMode="External" Id="rId2688"/><Relationship Type="http://schemas.openxmlformats.org/officeDocument/2006/relationships/hyperlink" Target="https://github.com/QIU-DIE/cve-nneeww/issues/10" TargetMode="External" Id="rId2689"/><Relationship Type="http://schemas.openxmlformats.org/officeDocument/2006/relationships/hyperlink" Target="https://github.com/QIU-DIE/cve-nneeww/issues/10" TargetMode="External" Id="rId2690"/><Relationship Type="http://schemas.openxmlformats.org/officeDocument/2006/relationships/hyperlink" Target="https://nvd.nist.gov/vuln/detail/CVE-2026-2908" TargetMode="External" Id="rId2691"/><Relationship Type="http://schemas.openxmlformats.org/officeDocument/2006/relationships/hyperlink" Target="https://nvd.nist.gov/vuln/detail/CVE-2026-2909" TargetMode="External" Id="rId2692"/><Relationship Type="http://schemas.openxmlformats.org/officeDocument/2006/relationships/hyperlink" Target="https://github.com/QIU-DIE/cve-nneeww/issues/11" TargetMode="External" Id="rId2693"/><Relationship Type="http://schemas.openxmlformats.org/officeDocument/2006/relationships/hyperlink" Target="https://github.com/QIU-DIE/cve-nneeww/issues/11" TargetMode="External" Id="rId2694"/><Relationship Type="http://schemas.openxmlformats.org/officeDocument/2006/relationships/hyperlink" Target="https://nvd.nist.gov/vuln/detail/CVE-2026-2909" TargetMode="External" Id="rId2695"/><Relationship Type="http://schemas.openxmlformats.org/officeDocument/2006/relationships/hyperlink" Target="https://nvd.nist.gov/vuln/detail/CVE-2026-2910" TargetMode="External" Id="rId2696"/><Relationship Type="http://schemas.openxmlformats.org/officeDocument/2006/relationships/hyperlink" Target="https://github.com/QIU-DIE/cve-nneeww/issues/12" TargetMode="External" Id="rId2697"/><Relationship Type="http://schemas.openxmlformats.org/officeDocument/2006/relationships/hyperlink" Target="https://github.com/QIU-DIE/cve-nneeww/issues/12" TargetMode="External" Id="rId2698"/><Relationship Type="http://schemas.openxmlformats.org/officeDocument/2006/relationships/hyperlink" Target="https://nvd.nist.gov/vuln/detail/CVE-2026-2910" TargetMode="External" Id="rId2699"/><Relationship Type="http://schemas.openxmlformats.org/officeDocument/2006/relationships/hyperlink" Target="https://nvd.nist.gov/vuln/detail/CVE-2026-2911" TargetMode="External" Id="rId2700"/><Relationship Type="http://schemas.openxmlformats.org/officeDocument/2006/relationships/hyperlink" Target="https://nvd.nist.gov/vuln/detail/CVE-2026-2911" TargetMode="External" Id="rId2701"/><Relationship Type="http://schemas.openxmlformats.org/officeDocument/2006/relationships/hyperlink" Target="https://nvd.nist.gov/vuln/detail/CVE-2026-2912" TargetMode="External" Id="rId2702"/><Relationship Type="http://schemas.openxmlformats.org/officeDocument/2006/relationships/hyperlink" Target="https://nvd.nist.gov/vuln/detail/CVE-2026-2912" TargetMode="External" Id="rId2703"/><Relationship Type="http://schemas.openxmlformats.org/officeDocument/2006/relationships/hyperlink" Target="https://nvd.nist.gov/vuln/detail/CVE-2026-2913" TargetMode="External" Id="rId2704"/><Relationship Type="http://schemas.openxmlformats.org/officeDocument/2006/relationships/hyperlink" Target="https://nvd.nist.gov/vuln/detail/CVE-2026-2913" TargetMode="External" Id="rId2705"/><Relationship Type="http://schemas.openxmlformats.org/officeDocument/2006/relationships/hyperlink" Target="http://www.zerodayinitiative.com/advisories/ZDI-26-123/" TargetMode="External" Id="rId2706"/><Relationship Type="http://schemas.openxmlformats.org/officeDocument/2006/relationships/hyperlink" Target="https://nvd.nist.gov/vuln/detail/CVE-2026-2925" TargetMode="External" Id="rId2707"/><Relationship Type="http://schemas.openxmlformats.org/officeDocument/2006/relationships/hyperlink" Target="https://nvd.nist.gov/vuln/detail/CVE-2026-2925" TargetMode="External" Id="rId2708"/><Relationship Type="http://schemas.openxmlformats.org/officeDocument/2006/relationships/hyperlink" Target="https://nvd.nist.gov/vuln/detail/CVE-2026-2926" TargetMode="External" Id="rId2709"/><Relationship Type="http://schemas.openxmlformats.org/officeDocument/2006/relationships/hyperlink" Target="https://nvd.nist.gov/vuln/detail/CVE-2026-2926" TargetMode="External" Id="rId2710"/><Relationship Type="http://schemas.openxmlformats.org/officeDocument/2006/relationships/hyperlink" Target="https://nvd.nist.gov/vuln/detail/CVE-2026-2927" TargetMode="External" Id="rId2711"/><Relationship Type="http://schemas.openxmlformats.org/officeDocument/2006/relationships/hyperlink" Target="https://nvd.nist.gov/vuln/detail/CVE-2026-2927" TargetMode="External" Id="rId2712"/><Relationship Type="http://schemas.openxmlformats.org/officeDocument/2006/relationships/hyperlink" Target="https://nvd.nist.gov/vuln/detail/CVE-2026-2928" TargetMode="External" Id="rId2713"/><Relationship Type="http://schemas.openxmlformats.org/officeDocument/2006/relationships/hyperlink" Target="https://nvd.nist.gov/vuln/detail/CVE-2026-2928" TargetMode="External" Id="rId2714"/><Relationship Type="http://schemas.openxmlformats.org/officeDocument/2006/relationships/hyperlink" Target="https://nvd.nist.gov/vuln/detail/CVE-2026-1369" TargetMode="External" Id="rId2715"/><Relationship Type="http://schemas.openxmlformats.org/officeDocument/2006/relationships/hyperlink" Target="https://nvd.nist.gov/vuln/detail/CVE-2026-1369" TargetMode="External" Id="rId2716"/><Relationship Type="http://schemas.openxmlformats.org/officeDocument/2006/relationships/hyperlink" Target="https://nvd.nist.gov/vuln/detail/CVE-2026-2929" TargetMode="External" Id="rId2717"/><Relationship Type="http://schemas.openxmlformats.org/officeDocument/2006/relationships/hyperlink" Target="https://nvd.nist.gov/vuln/detail/CVE-2026-2929" TargetMode="External" Id="rId2718"/><Relationship Type="http://schemas.openxmlformats.org/officeDocument/2006/relationships/hyperlink" Target="https://nvd.nist.gov/vuln/detail/CVE-2026-2930" TargetMode="External" Id="rId2719"/><Relationship Type="http://schemas.openxmlformats.org/officeDocument/2006/relationships/hyperlink" Target="https://nvd.nist.gov/vuln/detail/CVE-2026-2930" TargetMode="External" Id="rId2720"/><Relationship Type="http://schemas.openxmlformats.org/officeDocument/2006/relationships/hyperlink" Target="https://nvd.nist.gov/vuln/detail/CVE-2026-2932" TargetMode="External" Id="rId2721"/><Relationship Type="http://schemas.openxmlformats.org/officeDocument/2006/relationships/hyperlink" Target="https://nvd.nist.gov/vuln/detail/CVE-2026-2932" TargetMode="External" Id="rId2722"/><Relationship Type="http://schemas.openxmlformats.org/officeDocument/2006/relationships/hyperlink" Target="https://nvd.nist.gov/vuln/detail/CVE-2026-2933" TargetMode="External" Id="rId2723"/><Relationship Type="http://schemas.openxmlformats.org/officeDocument/2006/relationships/hyperlink" Target="https://nvd.nist.gov/vuln/detail/CVE-2026-2933" TargetMode="External" Id="rId2724"/><Relationship Type="http://schemas.openxmlformats.org/officeDocument/2006/relationships/hyperlink" Target="https://nvd.nist.gov/vuln/detail/CVE-2026-2385" TargetMode="External" Id="rId2725"/><Relationship Type="http://schemas.openxmlformats.org/officeDocument/2006/relationships/hyperlink" Target="https://nvd.nist.gov/vuln/detail/CVE-2026-2385" TargetMode="External" Id="rId2726"/><Relationship Type="http://schemas.openxmlformats.org/officeDocument/2006/relationships/hyperlink" Target="https://nvd.nist.gov/vuln/detail/CVE-2026-2934" TargetMode="External" Id="rId2727"/><Relationship Type="http://schemas.openxmlformats.org/officeDocument/2006/relationships/hyperlink" Target="https://nvd.nist.gov/vuln/detail/CVE-2026-2934" TargetMode="External" Id="rId2728"/><Relationship Type="http://schemas.openxmlformats.org/officeDocument/2006/relationships/hyperlink" Target="https://nvd.nist.gov/vuln/detail/CVE-2026-2935" TargetMode="External" Id="rId2729"/><Relationship Type="http://schemas.openxmlformats.org/officeDocument/2006/relationships/hyperlink" Target="https://nvd.nist.gov/vuln/detail/CVE-2026-2935" TargetMode="External" Id="rId2730"/><Relationship Type="http://schemas.openxmlformats.org/officeDocument/2006/relationships/hyperlink" Target="https://nvd.nist.gov/vuln/detail/CVE-2026-2938" TargetMode="External" Id="rId2731"/><Relationship Type="http://schemas.openxmlformats.org/officeDocument/2006/relationships/hyperlink" Target="https://nvd.nist.gov/vuln/detail/CVE-2026-2938" TargetMode="External" Id="rId2732"/><Relationship Type="http://schemas.openxmlformats.org/officeDocument/2006/relationships/hyperlink" Target="https://nvd.nist.gov/vuln/detail/CVE-2026-2939" TargetMode="External" Id="rId2733"/><Relationship Type="http://schemas.openxmlformats.org/officeDocument/2006/relationships/hyperlink" Target="https://nvd.nist.gov/vuln/detail/CVE-2026-2939" TargetMode="External" Id="rId2734"/><Relationship Type="http://schemas.openxmlformats.org/officeDocument/2006/relationships/hyperlink" Target="https://nvd.nist.gov/vuln/detail/CVE-2026-2940" TargetMode="External" Id="rId2735"/><Relationship Type="http://schemas.openxmlformats.org/officeDocument/2006/relationships/hyperlink" Target="https://nvd.nist.gov/vuln/detail/CVE-2026-2940" TargetMode="External" Id="rId2736"/><Relationship Type="http://schemas.openxmlformats.org/officeDocument/2006/relationships/hyperlink" Target="https://nvd.nist.gov/vuln/detail/CVE-2026-2943" TargetMode="External" Id="rId2737"/><Relationship Type="http://schemas.openxmlformats.org/officeDocument/2006/relationships/hyperlink" Target="https://nvd.nist.gov/vuln/detail/CVE-2026-2943" TargetMode="External" Id="rId2738"/><Relationship Type="http://schemas.openxmlformats.org/officeDocument/2006/relationships/hyperlink" Target="https://nvd.nist.gov/vuln/detail/CVE-2026-2944" TargetMode="External" Id="rId2739"/><Relationship Type="http://schemas.openxmlformats.org/officeDocument/2006/relationships/hyperlink" Target="https://nvd.nist.gov/vuln/detail/CVE-2026-2944" TargetMode="External" Id="rId2740"/><Relationship Type="http://schemas.openxmlformats.org/officeDocument/2006/relationships/hyperlink" Target="https://nvd.nist.gov/vuln/detail/CVE-2026-2945" TargetMode="External" Id="rId2741"/><Relationship Type="http://schemas.openxmlformats.org/officeDocument/2006/relationships/hyperlink" Target="https://nvd.nist.gov/vuln/detail/CVE-2026-2945" TargetMode="External" Id="rId2742"/><Relationship Type="http://schemas.openxmlformats.org/officeDocument/2006/relationships/hyperlink" Target="https://nvd.nist.gov/vuln/detail/CVE-2026-2946" TargetMode="External" Id="rId2743"/><Relationship Type="http://schemas.openxmlformats.org/officeDocument/2006/relationships/hyperlink" Target="https://nvd.nist.gov/vuln/detail/CVE-2026-2946" TargetMode="External" Id="rId2744"/><Relationship Type="http://schemas.openxmlformats.org/officeDocument/2006/relationships/hyperlink" Target="https://nvd.nist.gov/vuln/detail/CVE-2019-25366" TargetMode="External" Id="rId2745"/><Relationship Type="http://schemas.openxmlformats.org/officeDocument/2006/relationships/hyperlink" Target="https://nvd.nist.gov/vuln/detail/CVE-2019-25366" TargetMode="External" Id="rId2746"/><Relationship Type="http://schemas.openxmlformats.org/officeDocument/2006/relationships/hyperlink" Target="https://nvd.nist.gov/vuln/detail/CVE-2019-25391" TargetMode="External" Id="rId2747"/><Relationship Type="http://schemas.openxmlformats.org/officeDocument/2006/relationships/hyperlink" Target="https://nvd.nist.gov/vuln/detail/CVE-2019-25391" TargetMode="External" Id="rId2748"/><Relationship Type="http://schemas.openxmlformats.org/officeDocument/2006/relationships/hyperlink" Target="https://nvd.nist.gov/vuln/detail/CVE-2019-25433" TargetMode="External" Id="rId2749"/><Relationship Type="http://schemas.openxmlformats.org/officeDocument/2006/relationships/hyperlink" Target="https://nvd.nist.gov/vuln/detail/CVE-2019-25433" TargetMode="External" Id="rId2750"/><Relationship Type="http://schemas.openxmlformats.org/officeDocument/2006/relationships/hyperlink" Target="https://nvd.nist.gov/vuln/detail/CVE-2019-25439" TargetMode="External" Id="rId2751"/><Relationship Type="http://schemas.openxmlformats.org/officeDocument/2006/relationships/hyperlink" Target="https://nvd.nist.gov/vuln/detail/CVE-2019-25439" TargetMode="External" Id="rId2752"/><Relationship Type="http://schemas.openxmlformats.org/officeDocument/2006/relationships/hyperlink" Target="https://nvd.nist.gov/vuln/detail/CVE-2019-25440" TargetMode="External" Id="rId2753"/><Relationship Type="http://schemas.openxmlformats.org/officeDocument/2006/relationships/hyperlink" Target="https://nvd.nist.gov/vuln/detail/CVE-2019-25440" TargetMode="External" Id="rId2754"/><Relationship Type="http://schemas.openxmlformats.org/officeDocument/2006/relationships/hyperlink" Target="https://nvd.nist.gov/vuln/detail/CVE-2019-25442" TargetMode="External" Id="rId2755"/><Relationship Type="http://schemas.openxmlformats.org/officeDocument/2006/relationships/hyperlink" Target="https://nvd.nist.gov/vuln/detail/CVE-2019-25442" TargetMode="External" Id="rId2756"/><Relationship Type="http://schemas.openxmlformats.org/officeDocument/2006/relationships/hyperlink" Target="https://nvd.nist.gov/vuln/detail/CVE-2019-25443" TargetMode="External" Id="rId2757"/><Relationship Type="http://schemas.openxmlformats.org/officeDocument/2006/relationships/hyperlink" Target="https://nvd.nist.gov/vuln/detail/CVE-2019-25443" TargetMode="External" Id="rId2758"/><Relationship Type="http://schemas.openxmlformats.org/officeDocument/2006/relationships/hyperlink" Target="https://nvd.nist.gov/vuln/detail/CVE-2019-25446" TargetMode="External" Id="rId2759"/><Relationship Type="http://schemas.openxmlformats.org/officeDocument/2006/relationships/hyperlink" Target="https://nvd.nist.gov/vuln/detail/CVE-2019-25446" TargetMode="External" Id="rId2760"/><Relationship Type="http://schemas.openxmlformats.org/officeDocument/2006/relationships/hyperlink" Target="https://nvd.nist.gov/vuln/detail/CVE-2019-25450" TargetMode="External" Id="rId2761"/><Relationship Type="http://schemas.openxmlformats.org/officeDocument/2006/relationships/hyperlink" Target="https://nvd.nist.gov/vuln/detail/CVE-2019-25450" TargetMode="External" Id="rId2762"/><Relationship Type="http://schemas.openxmlformats.org/officeDocument/2006/relationships/hyperlink" Target="https://nvd.nist.gov/vuln/detail/CVE-2019-25452" TargetMode="External" Id="rId2763"/><Relationship Type="http://schemas.openxmlformats.org/officeDocument/2006/relationships/hyperlink" Target="https://nvd.nist.gov/vuln/detail/CVE-2019-25452" TargetMode="External" Id="rId2764"/><Relationship Type="http://schemas.openxmlformats.org/officeDocument/2006/relationships/hyperlink" Target="https://nvd.nist.gov/vuln/detail/CVE-2026-2947" TargetMode="External" Id="rId2765"/><Relationship Type="http://schemas.openxmlformats.org/officeDocument/2006/relationships/hyperlink" Target="https://nvd.nist.gov/vuln/detail/CVE-2026-2947" TargetMode="External" Id="rId2766"/><Relationship Type="http://schemas.openxmlformats.org/officeDocument/2006/relationships/hyperlink" Target="https://nvd.nist.gov/vuln/detail/CVE-2026-2952" TargetMode="External" Id="rId2767"/><Relationship Type="http://schemas.openxmlformats.org/officeDocument/2006/relationships/hyperlink" Target="https://nvd.nist.gov/vuln/detail/CVE-2026-2952" TargetMode="External" Id="rId2768"/><Relationship Type="http://schemas.openxmlformats.org/officeDocument/2006/relationships/hyperlink" Target="https://nvd.nist.gov/vuln/detail/CVE-2026-2953" TargetMode="External" Id="rId2769"/><Relationship Type="http://schemas.openxmlformats.org/officeDocument/2006/relationships/hyperlink" Target="https://nvd.nist.gov/vuln/detail/CVE-2026-2953" TargetMode="External" Id="rId2770"/><Relationship Type="http://schemas.openxmlformats.org/officeDocument/2006/relationships/hyperlink" Target="https://nvd.nist.gov/vuln/detail/CVE-2019-25455" TargetMode="External" Id="rId2771"/><Relationship Type="http://schemas.openxmlformats.org/officeDocument/2006/relationships/hyperlink" Target="https://nvd.nist.gov/vuln/detail/CVE-2019-25455" TargetMode="External" Id="rId2772"/><Relationship Type="http://schemas.openxmlformats.org/officeDocument/2006/relationships/hyperlink" Target="https://nvd.nist.gov/vuln/detail/CVE-2019-25456" TargetMode="External" Id="rId2773"/><Relationship Type="http://schemas.openxmlformats.org/officeDocument/2006/relationships/hyperlink" Target="https://nvd.nist.gov/vuln/detail/CVE-2019-25456" TargetMode="External" Id="rId2774"/><Relationship Type="http://schemas.openxmlformats.org/officeDocument/2006/relationships/hyperlink" Target="https://nvd.nist.gov/vuln/detail/CVE-2019-25457" TargetMode="External" Id="rId2775"/><Relationship Type="http://schemas.openxmlformats.org/officeDocument/2006/relationships/hyperlink" Target="https://nvd.nist.gov/vuln/detail/CVE-2019-25457" TargetMode="External" Id="rId2776"/><Relationship Type="http://schemas.openxmlformats.org/officeDocument/2006/relationships/hyperlink" Target="https://nvd.nist.gov/vuln/detail/CVE-2019-25458" TargetMode="External" Id="rId2777"/><Relationship Type="http://schemas.openxmlformats.org/officeDocument/2006/relationships/hyperlink" Target="https://nvd.nist.gov/vuln/detail/CVE-2019-25458" TargetMode="External" Id="rId2778"/><Relationship Type="http://schemas.openxmlformats.org/officeDocument/2006/relationships/hyperlink" Target="https://nvd.nist.gov/vuln/detail/CVE-2019-25459" TargetMode="External" Id="rId2779"/><Relationship Type="http://schemas.openxmlformats.org/officeDocument/2006/relationships/hyperlink" Target="https://nvd.nist.gov/vuln/detail/CVE-2019-25459" TargetMode="External" Id="rId2780"/><Relationship Type="http://schemas.openxmlformats.org/officeDocument/2006/relationships/hyperlink" Target="https://nvd.nist.gov/vuln/detail/CVE-2019-25460" TargetMode="External" Id="rId2781"/><Relationship Type="http://schemas.openxmlformats.org/officeDocument/2006/relationships/hyperlink" Target="https://nvd.nist.gov/vuln/detail/CVE-2019-25460" TargetMode="External" Id="rId2782"/><Relationship Type="http://schemas.openxmlformats.org/officeDocument/2006/relationships/hyperlink" Target="https://nvd.nist.gov/vuln/detail/CVE-2019-25461" TargetMode="External" Id="rId2783"/><Relationship Type="http://schemas.openxmlformats.org/officeDocument/2006/relationships/hyperlink" Target="https://nvd.nist.gov/vuln/detail/CVE-2019-25461" TargetMode="External" Id="rId2784"/><Relationship Type="http://schemas.openxmlformats.org/officeDocument/2006/relationships/hyperlink" Target="https://nvd.nist.gov/vuln/detail/CVE-2019-25462" TargetMode="External" Id="rId2785"/><Relationship Type="http://schemas.openxmlformats.org/officeDocument/2006/relationships/hyperlink" Target="https://nvd.nist.gov/vuln/detail/CVE-2019-25462" TargetMode="External" Id="rId2786"/><Relationship Type="http://schemas.openxmlformats.org/officeDocument/2006/relationships/hyperlink" Target="https://nvd.nist.gov/vuln/detail/CVE-2026-2954" TargetMode="External" Id="rId2787"/><Relationship Type="http://schemas.openxmlformats.org/officeDocument/2006/relationships/hyperlink" Target="https://nvd.nist.gov/vuln/detail/CVE-2026-2954" TargetMode="External" Id="rId2788"/><Relationship Type="http://schemas.openxmlformats.org/officeDocument/2006/relationships/hyperlink" Target="https://nvd.nist.gov/vuln/detail/CVE-2026-2956" TargetMode="External" Id="rId2789"/><Relationship Type="http://schemas.openxmlformats.org/officeDocument/2006/relationships/hyperlink" Target="https://nvd.nist.gov/vuln/detail/CVE-2026-2956" TargetMode="External" Id="rId2790"/><Relationship Type="http://schemas.openxmlformats.org/officeDocument/2006/relationships/hyperlink" Target="https://nvd.nist.gov/vuln/detail/CVE-2026-2957" TargetMode="External" Id="rId2791"/><Relationship Type="http://schemas.openxmlformats.org/officeDocument/2006/relationships/hyperlink" Target="https://nvd.nist.gov/vuln/detail/CVE-2026-2957" TargetMode="External" Id="rId2792"/><Relationship Type="http://schemas.openxmlformats.org/officeDocument/2006/relationships/hyperlink" Target="https://nvd.nist.gov/vuln/detail/CVE-2026-2588" TargetMode="External" Id="rId2793"/><Relationship Type="http://schemas.openxmlformats.org/officeDocument/2006/relationships/hyperlink" Target="https://nvd.nist.gov/vuln/detail/CVE-2026-2588" TargetMode="External" Id="rId2794"/><Relationship Type="http://schemas.openxmlformats.org/officeDocument/2006/relationships/hyperlink" Target="https://nvd.nist.gov/vuln/detail/CVE-2026-2958" TargetMode="External" Id="rId2795"/><Relationship Type="http://schemas.openxmlformats.org/officeDocument/2006/relationships/hyperlink" Target="https://nvd.nist.gov/vuln/detail/CVE-2026-2958" TargetMode="External" Id="rId2796"/><Relationship Type="http://schemas.openxmlformats.org/officeDocument/2006/relationships/hyperlink" Target="https://nvd.nist.gov/vuln/detail/CVE-2026-2959" TargetMode="External" Id="rId2797"/><Relationship Type="http://schemas.openxmlformats.org/officeDocument/2006/relationships/hyperlink" Target="https://nvd.nist.gov/vuln/detail/CVE-2026-2959" TargetMode="External" Id="rId2798"/><Relationship Type="http://schemas.openxmlformats.org/officeDocument/2006/relationships/hyperlink" Target="https://nvd.nist.gov/vuln/detail/CVE-2026-2960" TargetMode="External" Id="rId2799"/><Relationship Type="http://schemas.openxmlformats.org/officeDocument/2006/relationships/hyperlink" Target="https://nvd.nist.gov/vuln/detail/CVE-2026-2960" TargetMode="External" Id="rId2800"/><Relationship Type="http://schemas.openxmlformats.org/officeDocument/2006/relationships/hyperlink" Target="https://nvd.nist.gov/vuln/detail/CVE-2026-2961" TargetMode="External" Id="rId2801"/><Relationship Type="http://schemas.openxmlformats.org/officeDocument/2006/relationships/hyperlink" Target="https://nvd.nist.gov/vuln/detail/CVE-2026-2961" TargetMode="External" Id="rId2802"/><Relationship Type="http://schemas.openxmlformats.org/officeDocument/2006/relationships/hyperlink" Target="https://nvd.nist.gov/vuln/detail/CVE-2026-2962" TargetMode="External" Id="rId2803"/><Relationship Type="http://schemas.openxmlformats.org/officeDocument/2006/relationships/hyperlink" Target="https://nvd.nist.gov/vuln/detail/CVE-2026-2962" TargetMode="External" Id="rId2804"/><Relationship Type="http://schemas.openxmlformats.org/officeDocument/2006/relationships/hyperlink" Target="https://nvd.nist.gov/vuln/detail/CVE-2026-2963" TargetMode="External" Id="rId2805"/><Relationship Type="http://schemas.openxmlformats.org/officeDocument/2006/relationships/hyperlink" Target="https://nvd.nist.gov/vuln/detail/CVE-2026-2963" TargetMode="External" Id="rId2806"/><Relationship Type="http://schemas.openxmlformats.org/officeDocument/2006/relationships/hyperlink" Target="https://nvd.nist.gov/vuln/detail/CVE-2026-24494" TargetMode="External" Id="rId2807"/><Relationship Type="http://schemas.openxmlformats.org/officeDocument/2006/relationships/hyperlink" Target="https://nvd.nist.gov/vuln/detail/CVE-2026-24494" TargetMode="External" Id="rId2808"/><Relationship Type="http://schemas.openxmlformats.org/officeDocument/2006/relationships/hyperlink" Target="https://nvd.nist.gov/vuln/detail/CVE-2026-2964" TargetMode="External" Id="rId2809"/><Relationship Type="http://schemas.openxmlformats.org/officeDocument/2006/relationships/hyperlink" Target="https://nvd.nist.gov/vuln/detail/CVE-2026-2964" TargetMode="External" Id="rId2810"/><Relationship Type="http://schemas.openxmlformats.org/officeDocument/2006/relationships/hyperlink" Target="https://nvd.nist.gov/vuln/detail/CVE-2026-2965" TargetMode="External" Id="rId2811"/><Relationship Type="http://schemas.openxmlformats.org/officeDocument/2006/relationships/hyperlink" Target="https://nvd.nist.gov/vuln/detail/CVE-2026-2965" TargetMode="External" Id="rId2812"/><Relationship Type="http://schemas.openxmlformats.org/officeDocument/2006/relationships/hyperlink" Target="https://nvd.nist.gov/vuln/detail/CVE-2026-2966" TargetMode="External" Id="rId2813"/><Relationship Type="http://schemas.openxmlformats.org/officeDocument/2006/relationships/hyperlink" Target="https://nvd.nist.gov/vuln/detail/CVE-2026-2966" TargetMode="External" Id="rId2814"/><Relationship Type="http://schemas.openxmlformats.org/officeDocument/2006/relationships/hyperlink" Target="https://nvd.nist.gov/vuln/detail/CVE-2026-2997" TargetMode="External" Id="rId2815"/><Relationship Type="http://schemas.openxmlformats.org/officeDocument/2006/relationships/hyperlink" Target="https://nvd.nist.gov/vuln/detail/CVE-2026-2997" TargetMode="External" Id="rId2816"/><Relationship Type="http://schemas.openxmlformats.org/officeDocument/2006/relationships/hyperlink" Target="https://nvd.nist.gov/vuln/detail/CVE-2026-2967" TargetMode="External" Id="rId2817"/><Relationship Type="http://schemas.openxmlformats.org/officeDocument/2006/relationships/hyperlink" Target="https://nvd.nist.gov/vuln/detail/CVE-2026-2967" TargetMode="External" Id="rId2818"/><Relationship Type="http://schemas.openxmlformats.org/officeDocument/2006/relationships/hyperlink" Target="https://nvd.nist.gov/vuln/detail/CVE-2026-2968" TargetMode="External" Id="rId2819"/><Relationship Type="http://schemas.openxmlformats.org/officeDocument/2006/relationships/hyperlink" Target="https://nvd.nist.gov/vuln/detail/CVE-2026-2968" TargetMode="External" Id="rId2820"/><Relationship Type="http://schemas.openxmlformats.org/officeDocument/2006/relationships/hyperlink" Target="https://nvd.nist.gov/vuln/detail/CVE-2026-2998" TargetMode="External" Id="rId2821"/><Relationship Type="http://schemas.openxmlformats.org/officeDocument/2006/relationships/hyperlink" Target="https://nvd.nist.gov/vuln/detail/CVE-2026-2998" TargetMode="External" Id="rId2822"/><Relationship Type="http://schemas.openxmlformats.org/officeDocument/2006/relationships/hyperlink" Target="https://nvd.nist.gov/vuln/detail/CVE-2026-2969" TargetMode="External" Id="rId2823"/><Relationship Type="http://schemas.openxmlformats.org/officeDocument/2006/relationships/hyperlink" Target="https://nvd.nist.gov/vuln/detail/CVE-2026-2969" TargetMode="External" Id="rId2824"/><Relationship Type="http://schemas.openxmlformats.org/officeDocument/2006/relationships/hyperlink" Target="https://nvd.nist.gov/vuln/detail/CVE-2026-2970" TargetMode="External" Id="rId2825"/><Relationship Type="http://schemas.openxmlformats.org/officeDocument/2006/relationships/hyperlink" Target="https://nvd.nist.gov/vuln/detail/CVE-2026-2970" TargetMode="External" Id="rId2826"/><Relationship Type="http://schemas.openxmlformats.org/officeDocument/2006/relationships/hyperlink" Target="https://nvd.nist.gov/vuln/detail/CVE-2026-2971" TargetMode="External" Id="rId2827"/><Relationship Type="http://schemas.openxmlformats.org/officeDocument/2006/relationships/hyperlink" Target="https://nvd.nist.gov/vuln/detail/CVE-2026-2971" TargetMode="External" Id="rId2828"/><Relationship Type="http://schemas.openxmlformats.org/officeDocument/2006/relationships/hyperlink" Target="https://nvd.nist.gov/vuln/detail/CVE-2026-2972" TargetMode="External" Id="rId2829"/><Relationship Type="http://schemas.openxmlformats.org/officeDocument/2006/relationships/hyperlink" Target="https://nvd.nist.gov/vuln/detail/CVE-2026-2972" TargetMode="External" Id="rId2830"/><Relationship Type="http://schemas.openxmlformats.org/officeDocument/2006/relationships/hyperlink" Target="https://nvd.nist.gov/vuln/detail/CVE-2026-2974" TargetMode="External" Id="rId2831"/><Relationship Type="http://schemas.openxmlformats.org/officeDocument/2006/relationships/hyperlink" Target="https://nvd.nist.gov/vuln/detail/CVE-2026-2974" TargetMode="External" Id="rId2832"/><Relationship Type="http://schemas.openxmlformats.org/officeDocument/2006/relationships/hyperlink" Target="https://nvd.nist.gov/vuln/detail/CVE-2026-2975" TargetMode="External" Id="rId2833"/><Relationship Type="http://schemas.openxmlformats.org/officeDocument/2006/relationships/hyperlink" Target="https://nvd.nist.gov/vuln/detail/CVE-2026-2975" TargetMode="External" Id="rId2834"/><Relationship Type="http://schemas.openxmlformats.org/officeDocument/2006/relationships/hyperlink" Target="https://nvd.nist.gov/vuln/detail/CVE-2026-2976" TargetMode="External" Id="rId2835"/><Relationship Type="http://schemas.openxmlformats.org/officeDocument/2006/relationships/hyperlink" Target="https://nvd.nist.gov/vuln/detail/CVE-2026-2976" TargetMode="External" Id="rId2836"/><Relationship Type="http://schemas.openxmlformats.org/officeDocument/2006/relationships/hyperlink" Target="https://nvd.nist.gov/vuln/detail/CVE-2026-1367" TargetMode="External" Id="rId2837"/><Relationship Type="http://schemas.openxmlformats.org/officeDocument/2006/relationships/hyperlink" Target="https://nvd.nist.gov/vuln/detail/CVE-2026-1367" TargetMode="External" Id="rId2838"/><Relationship Type="http://schemas.openxmlformats.org/officeDocument/2006/relationships/hyperlink" Target="https://nvd.nist.gov/vuln/detail/CVE-2026-2977" TargetMode="External" Id="rId2839"/><Relationship Type="http://schemas.openxmlformats.org/officeDocument/2006/relationships/hyperlink" Target="https://nvd.nist.gov/vuln/detail/CVE-2026-2977" TargetMode="External" Id="rId2840"/><Relationship Type="http://schemas.openxmlformats.org/officeDocument/2006/relationships/hyperlink" Target="https://nvd.nist.gov/vuln/detail/CVE-2026-2978" TargetMode="External" Id="rId2841"/><Relationship Type="http://schemas.openxmlformats.org/officeDocument/2006/relationships/hyperlink" Target="https://nvd.nist.gov/vuln/detail/CVE-2026-2978" TargetMode="External" Id="rId2842"/><Relationship Type="http://schemas.openxmlformats.org/officeDocument/2006/relationships/hyperlink" Target="https://nvd.nist.gov/vuln/detail/CVE-2026-23552" TargetMode="External" Id="rId2843"/><Relationship Type="http://schemas.openxmlformats.org/officeDocument/2006/relationships/hyperlink" Target="https://nvd.nist.gov/vuln/detail/CVE-2026-23552" TargetMode="External" Id="rId2844"/><Relationship Type="http://schemas.openxmlformats.org/officeDocument/2006/relationships/hyperlink" Target="https://nvd.nist.gov/vuln/detail/CVE-2026-25747" TargetMode="External" Id="rId2845"/><Relationship Type="http://schemas.openxmlformats.org/officeDocument/2006/relationships/hyperlink" Target="https://nvd.nist.gov/vuln/detail/CVE-2026-25747" TargetMode="External" Id="rId2846"/><Relationship Type="http://schemas.openxmlformats.org/officeDocument/2006/relationships/hyperlink" Target="https://nvd.nist.gov/vuln/detail/CVE-2026-26365" TargetMode="External" Id="rId2847"/><Relationship Type="http://schemas.openxmlformats.org/officeDocument/2006/relationships/hyperlink" Target="https://nvd.nist.gov/vuln/detail/CVE-2026-26365" TargetMode="External" Id="rId2848"/><Relationship Type="http://schemas.openxmlformats.org/officeDocument/2006/relationships/hyperlink" Target="https://nvd.nist.gov/vuln/detail/CVE-2026-2979" TargetMode="External" Id="rId2849"/><Relationship Type="http://schemas.openxmlformats.org/officeDocument/2006/relationships/hyperlink" Target="https://nvd.nist.gov/vuln/detail/CVE-2026-2979" TargetMode="External" Id="rId2850"/><Relationship Type="http://schemas.openxmlformats.org/officeDocument/2006/relationships/hyperlink" Target="https://nvd.nist.gov/vuln/detail/CVE-2026-2980" TargetMode="External" Id="rId2851"/><Relationship Type="http://schemas.openxmlformats.org/officeDocument/2006/relationships/hyperlink" Target="https://nvd.nist.gov/vuln/detail/CVE-2026-2980" TargetMode="External" Id="rId2852"/><Relationship Type="http://schemas.openxmlformats.org/officeDocument/2006/relationships/hyperlink" Target="https://nvd.nist.gov/vuln/detail/CVE-2026-2981" TargetMode="External" Id="rId2853"/><Relationship Type="http://schemas.openxmlformats.org/officeDocument/2006/relationships/hyperlink" Target="https://nvd.nist.gov/vuln/detail/CVE-2026-2981" TargetMode="External" Id="rId2854"/><Relationship Type="http://schemas.openxmlformats.org/officeDocument/2006/relationships/hyperlink" Target="https://nvd.nist.gov/vuln/detail/CVE-2025-41002" TargetMode="External" Id="rId2855"/><Relationship Type="http://schemas.openxmlformats.org/officeDocument/2006/relationships/hyperlink" Target="https://nvd.nist.gov/vuln/detail/CVE-2025-41002" TargetMode="External" Id="rId2856"/><Relationship Type="http://schemas.openxmlformats.org/officeDocument/2006/relationships/hyperlink" Target="https://nvd.nist.gov/vuln/detail/CVE-2026-2983" TargetMode="External" Id="rId2857"/><Relationship Type="http://schemas.openxmlformats.org/officeDocument/2006/relationships/hyperlink" Target="https://nvd.nist.gov/vuln/detail/CVE-2026-2983" TargetMode="External" Id="rId2858"/><Relationship Type="http://schemas.openxmlformats.org/officeDocument/2006/relationships/hyperlink" Target="https://nvd.nist.gov/vuln/detail/CVE-2025-40701" TargetMode="External" Id="rId2859"/><Relationship Type="http://schemas.openxmlformats.org/officeDocument/2006/relationships/hyperlink" Target="https://nvd.nist.gov/vuln/detail/CVE-2025-40701" TargetMode="External" Id="rId2860"/><Relationship Type="http://schemas.openxmlformats.org/officeDocument/2006/relationships/hyperlink" Target="https://nvd.nist.gov/vuln/detail/CVE-2025-40986" TargetMode="External" Id="rId2861"/><Relationship Type="http://schemas.openxmlformats.org/officeDocument/2006/relationships/hyperlink" Target="https://nvd.nist.gov/vuln/detail/CVE-2025-40986" TargetMode="External" Id="rId2862"/><Relationship Type="http://schemas.openxmlformats.org/officeDocument/2006/relationships/hyperlink" Target="https://nvd.nist.gov/vuln/detail/CVE-2025-59873" TargetMode="External" Id="rId2863"/><Relationship Type="http://schemas.openxmlformats.org/officeDocument/2006/relationships/hyperlink" Target="https://nvd.nist.gov/vuln/detail/CVE-2025-59873" TargetMode="External" Id="rId2864"/><Relationship Type="http://schemas.openxmlformats.org/officeDocument/2006/relationships/hyperlink" Target="https://nvd.nist.gov/vuln/detail/CVE-2026-2984" TargetMode="External" Id="rId2865"/><Relationship Type="http://schemas.openxmlformats.org/officeDocument/2006/relationships/hyperlink" Target="https://nvd.nist.gov/vuln/detail/CVE-2026-2984" TargetMode="External" Id="rId2866"/><Relationship Type="http://schemas.openxmlformats.org/officeDocument/2006/relationships/hyperlink" Target="https://nvd.nist.gov/vuln/detail/CVE-2026-2985" TargetMode="External" Id="rId2867"/><Relationship Type="http://schemas.openxmlformats.org/officeDocument/2006/relationships/hyperlink" Target="https://nvd.nist.gov/vuln/detail/CVE-2026-2985" TargetMode="External" Id="rId2868"/><Relationship Type="http://schemas.openxmlformats.org/officeDocument/2006/relationships/hyperlink" Target="https://nvd.nist.gov/vuln/detail/CVE-2025-69700" TargetMode="External" Id="rId2869"/><Relationship Type="http://schemas.openxmlformats.org/officeDocument/2006/relationships/hyperlink" Target="https://nvd.nist.gov/vuln/detail/CVE-2025-69700" TargetMode="External" Id="rId2870"/><Relationship Type="http://schemas.openxmlformats.org/officeDocument/2006/relationships/hyperlink" Target="https://nvd.nist.gov/vuln/detail/CVE-2026-21420" TargetMode="External" Id="rId2871"/><Relationship Type="http://schemas.openxmlformats.org/officeDocument/2006/relationships/hyperlink" Target="https://nvd.nist.gov/vuln/detail/CVE-2026-21420" TargetMode="External" Id="rId2872"/><Relationship Type="http://schemas.openxmlformats.org/officeDocument/2006/relationships/hyperlink" Target="https://nvd.nist.gov/vuln/detail/CVE-2025-14905" TargetMode="External" Id="rId2873"/><Relationship Type="http://schemas.openxmlformats.org/officeDocument/2006/relationships/hyperlink" Target="https://nvd.nist.gov/vuln/detail/CVE-2025-14905" TargetMode="External" Id="rId2874"/><Relationship Type="http://schemas.openxmlformats.org/officeDocument/2006/relationships/hyperlink" Target="https://nvd.nist.gov/vuln/detail/CVE-2025-70043" TargetMode="External" Id="rId2875"/><Relationship Type="http://schemas.openxmlformats.org/officeDocument/2006/relationships/hyperlink" Target="https://nvd.nist.gov/vuln/detail/CVE-2025-70043" TargetMode="External" Id="rId2876"/><Relationship Type="http://schemas.openxmlformats.org/officeDocument/2006/relationships/hyperlink" Target="https://nvd.nist.gov/vuln/detail/CVE-2025-70044" TargetMode="External" Id="rId2877"/><Relationship Type="http://schemas.openxmlformats.org/officeDocument/2006/relationships/hyperlink" Target="https://nvd.nist.gov/vuln/detail/CVE-2025-70044" TargetMode="External" Id="rId2878"/><Relationship Type="http://schemas.openxmlformats.org/officeDocument/2006/relationships/hyperlink" Target="https://nvd.nist.gov/vuln/detail/CVE-2025-70045" TargetMode="External" Id="rId2879"/><Relationship Type="http://schemas.openxmlformats.org/officeDocument/2006/relationships/hyperlink" Target="https://nvd.nist.gov/vuln/detail/CVE-2025-70045" TargetMode="External" Id="rId2880"/><Relationship Type="http://schemas.openxmlformats.org/officeDocument/2006/relationships/hyperlink" Target="https://nvd.nist.gov/vuln/detail/CVE-2025-70058" TargetMode="External" Id="rId2881"/><Relationship Type="http://schemas.openxmlformats.org/officeDocument/2006/relationships/hyperlink" Target="https://nvd.nist.gov/vuln/detail/CVE-2025-70058" TargetMode="External" Id="rId2882"/><Relationship Type="http://schemas.openxmlformats.org/officeDocument/2006/relationships/hyperlink" Target="https://nvd.nist.gov/vuln/detail/CVE-2026-2697" TargetMode="External" Id="rId2883"/><Relationship Type="http://schemas.openxmlformats.org/officeDocument/2006/relationships/hyperlink" Target="https://nvd.nist.gov/vuln/detail/CVE-2026-2697" TargetMode="External" Id="rId2884"/><Relationship Type="http://schemas.openxmlformats.org/officeDocument/2006/relationships/hyperlink" Target="https://nvd.nist.gov/vuln/detail/CVE-2026-3015" TargetMode="External" Id="rId2885"/><Relationship Type="http://schemas.openxmlformats.org/officeDocument/2006/relationships/hyperlink" Target="https://nvd.nist.gov/vuln/detail/CVE-2026-3015" TargetMode="External" Id="rId2886"/><Relationship Type="http://schemas.openxmlformats.org/officeDocument/2006/relationships/hyperlink" Target="https://nvd.nist.gov/vuln/detail/CVE-2026-3016" TargetMode="External" Id="rId2887"/><Relationship Type="http://schemas.openxmlformats.org/officeDocument/2006/relationships/hyperlink" Target="https://nvd.nist.gov/vuln/detail/CVE-2026-3016" TargetMode="External" Id="rId2888"/><Relationship Type="http://schemas.openxmlformats.org/officeDocument/2006/relationships/hyperlink" Target="https://nvd.nist.gov/vuln/detail/CVE-2026-22567" TargetMode="External" Id="rId2889"/><Relationship Type="http://schemas.openxmlformats.org/officeDocument/2006/relationships/hyperlink" Target="https://nvd.nist.gov/vuln/detail/CVE-2026-22567" TargetMode="External" Id="rId2890"/><Relationship Type="http://schemas.openxmlformats.org/officeDocument/2006/relationships/hyperlink" Target="https://nvd.nist.gov/vuln/detail/CVE-2026-22568" TargetMode="External" Id="rId2891"/><Relationship Type="http://schemas.openxmlformats.org/officeDocument/2006/relationships/hyperlink" Target="https://nvd.nist.gov/vuln/detail/CVE-2026-22568" TargetMode="External" Id="rId2892"/><Relationship Type="http://schemas.openxmlformats.org/officeDocument/2006/relationships/hyperlink" Target="https://nvd.nist.gov/vuln/detail/CVE-2026-27511" TargetMode="External" Id="rId2893"/><Relationship Type="http://schemas.openxmlformats.org/officeDocument/2006/relationships/hyperlink" Target="https://nvd.nist.gov/vuln/detail/CVE-2026-27511" TargetMode="External" Id="rId2894"/><Relationship Type="http://schemas.openxmlformats.org/officeDocument/2006/relationships/hyperlink" Target="https://nvd.nist.gov/vuln/detail/CVE-2026-27512" TargetMode="External" Id="rId2895"/><Relationship Type="http://schemas.openxmlformats.org/officeDocument/2006/relationships/hyperlink" Target="https://nvd.nist.gov/vuln/detail/CVE-2026-27512" TargetMode="External" Id="rId2896"/><Relationship Type="http://schemas.openxmlformats.org/officeDocument/2006/relationships/hyperlink" Target="https://nvd.nist.gov/vuln/detail/CVE-2026-27513" TargetMode="External" Id="rId2897"/><Relationship Type="http://schemas.openxmlformats.org/officeDocument/2006/relationships/hyperlink" Target="https://nvd.nist.gov/vuln/detail/CVE-2026-27513" TargetMode="External" Id="rId2898"/><Relationship Type="http://schemas.openxmlformats.org/officeDocument/2006/relationships/hyperlink" Target="https://nvd.nist.gov/vuln/detail/CVE-2026-27514" TargetMode="External" Id="rId2899"/><Relationship Type="http://schemas.openxmlformats.org/officeDocument/2006/relationships/hyperlink" Target="https://nvd.nist.gov/vuln/detail/CVE-2026-27514" TargetMode="External" Id="rId2900"/><Relationship Type="http://schemas.openxmlformats.org/officeDocument/2006/relationships/hyperlink" Target="https://nvd.nist.gov/vuln/detail/CVE-2026-2698" TargetMode="External" Id="rId2901"/><Relationship Type="http://schemas.openxmlformats.org/officeDocument/2006/relationships/hyperlink" Target="https://nvd.nist.gov/vuln/detail/CVE-2026-2698" TargetMode="External" Id="rId2902"/><Relationship Type="http://schemas.openxmlformats.org/officeDocument/2006/relationships/hyperlink" Target="https://nvd.nist.gov/vuln/detail/CVE-2026-26464" TargetMode="External" Id="rId2903"/><Relationship Type="http://schemas.openxmlformats.org/officeDocument/2006/relationships/hyperlink" Target="https://nvd.nist.gov/vuln/detail/CVE-2026-26464" TargetMode="External" Id="rId2904"/><Relationship Type="http://schemas.openxmlformats.org/officeDocument/2006/relationships/hyperlink" Target="https://nvd.nist.gov/vuln/detail/CVE-2025-61143" TargetMode="External" Id="rId2905"/><Relationship Type="http://schemas.openxmlformats.org/officeDocument/2006/relationships/hyperlink" Target="https://nvd.nist.gov/vuln/detail/CVE-2025-61143" TargetMode="External" Id="rId2906"/><Relationship Type="http://schemas.openxmlformats.org/officeDocument/2006/relationships/hyperlink" Target="https://nvd.nist.gov/vuln/detail/CVE-2025-61144" TargetMode="External" Id="rId2907"/><Relationship Type="http://schemas.openxmlformats.org/officeDocument/2006/relationships/hyperlink" Target="https://nvd.nist.gov/vuln/detail/CVE-2025-61144" TargetMode="External" Id="rId2908"/><Relationship Type="http://schemas.openxmlformats.org/officeDocument/2006/relationships/hyperlink" Target="https://nvd.nist.gov/vuln/detail/CVE-2025-61145" TargetMode="External" Id="rId2909"/><Relationship Type="http://schemas.openxmlformats.org/officeDocument/2006/relationships/hyperlink" Target="https://nvd.nist.gov/vuln/detail/CVE-2025-61145" TargetMode="External" Id="rId2910"/><Relationship Type="http://schemas.openxmlformats.org/officeDocument/2006/relationships/hyperlink" Target="https://nvd.nist.gov/vuln/detail/CVE-2025-61146" TargetMode="External" Id="rId2911"/><Relationship Type="http://schemas.openxmlformats.org/officeDocument/2006/relationships/hyperlink" Target="https://nvd.nist.gov/vuln/detail/CVE-2025-61146" TargetMode="External" Id="rId2912"/><Relationship Type="http://schemas.openxmlformats.org/officeDocument/2006/relationships/hyperlink" Target="https://nvd.nist.gov/vuln/detail/CVE-2025-61147" TargetMode="External" Id="rId2913"/><Relationship Type="http://schemas.openxmlformats.org/officeDocument/2006/relationships/hyperlink" Target="https://nvd.nist.gov/vuln/detail/CVE-2025-61147" TargetMode="External" Id="rId2914"/><Relationship Type="http://schemas.openxmlformats.org/officeDocument/2006/relationships/hyperlink" Target="https://nvd.nist.gov/vuln/detail/CVE-2025-63945" TargetMode="External" Id="rId2915"/><Relationship Type="http://schemas.openxmlformats.org/officeDocument/2006/relationships/hyperlink" Target="https://nvd.nist.gov/vuln/detail/CVE-2025-63945" TargetMode="External" Id="rId2916"/><Relationship Type="http://schemas.openxmlformats.org/officeDocument/2006/relationships/hyperlink" Target="https://nvd.nist.gov/vuln/detail/CVE-2025-63946" TargetMode="External" Id="rId2917"/><Relationship Type="http://schemas.openxmlformats.org/officeDocument/2006/relationships/hyperlink" Target="https://nvd.nist.gov/vuln/detail/CVE-2025-63946" TargetMode="External" Id="rId2918"/><Relationship Type="http://schemas.openxmlformats.org/officeDocument/2006/relationships/hyperlink" Target="https://nvd.nist.gov/vuln/detail/CVE-2025-67733" TargetMode="External" Id="rId2919"/><Relationship Type="http://schemas.openxmlformats.org/officeDocument/2006/relationships/hyperlink" Target="https://nvd.nist.gov/vuln/detail/CVE-2025-67733" TargetMode="External" Id="rId2920"/><Relationship Type="http://schemas.openxmlformats.org/officeDocument/2006/relationships/hyperlink" Target="https://nvd.nist.gov/vuln/detail/CVE-2025-70329" TargetMode="External" Id="rId2921"/><Relationship Type="http://schemas.openxmlformats.org/officeDocument/2006/relationships/hyperlink" Target="https://nvd.nist.gov/vuln/detail/CVE-2025-70329" TargetMode="External" Id="rId2922"/><Relationship Type="http://schemas.openxmlformats.org/officeDocument/2006/relationships/hyperlink" Target="https://nvd.nist.gov/vuln/detail/CVE-2026-21863" TargetMode="External" Id="rId2923"/><Relationship Type="http://schemas.openxmlformats.org/officeDocument/2006/relationships/hyperlink" Target="https://nvd.nist.gov/vuln/detail/CVE-2026-21863" TargetMode="External" Id="rId2924"/><Relationship Type="http://schemas.openxmlformats.org/officeDocument/2006/relationships/hyperlink" Target="https://nvd.nist.gov/vuln/detail/CVE-2026-27623" TargetMode="External" Id="rId2925"/><Relationship Type="http://schemas.openxmlformats.org/officeDocument/2006/relationships/hyperlink" Target="https://nvd.nist.gov/vuln/detail/CVE-2026-27623" TargetMode="External" Id="rId2926"/><Relationship Type="http://schemas.openxmlformats.org/officeDocument/2006/relationships/hyperlink" Target="https://nvd.nist.gov/vuln/detail/CVE-2025-68930" TargetMode="External" Id="rId2927"/><Relationship Type="http://schemas.openxmlformats.org/officeDocument/2006/relationships/hyperlink" Target="https://nvd.nist.gov/vuln/detail/CVE-2025-68930" TargetMode="External" Id="rId2928"/><Relationship Type="http://schemas.openxmlformats.org/officeDocument/2006/relationships/hyperlink" Target="https://nvd.nist.gov/vuln/detail/CVE-2025-70327" TargetMode="External" Id="rId2929"/><Relationship Type="http://schemas.openxmlformats.org/officeDocument/2006/relationships/hyperlink" Target="https://nvd.nist.gov/vuln/detail/CVE-2025-70327" TargetMode="External" Id="rId2930"/><Relationship Type="http://schemas.openxmlformats.org/officeDocument/2006/relationships/hyperlink" Target="https://nvd.nist.gov/vuln/detail/CVE-2025-70328" TargetMode="External" Id="rId2931"/><Relationship Type="http://schemas.openxmlformats.org/officeDocument/2006/relationships/hyperlink" Target="https://nvd.nist.gov/vuln/detail/CVE-2025-70328" TargetMode="External" Id="rId2932"/><Relationship Type="http://schemas.openxmlformats.org/officeDocument/2006/relationships/hyperlink" Target="https://nvd.nist.gov/vuln/detail/CVE-2025-71056" TargetMode="External" Id="rId2933"/><Relationship Type="http://schemas.openxmlformats.org/officeDocument/2006/relationships/hyperlink" Target="https://nvd.nist.gov/vuln/detail/CVE-2025-71056" TargetMode="External" Id="rId2934"/><Relationship Type="http://schemas.openxmlformats.org/officeDocument/2006/relationships/hyperlink" Target="https://nvd.nist.gov/vuln/detail/CVE-2026-23521" TargetMode="External" Id="rId2935"/><Relationship Type="http://schemas.openxmlformats.org/officeDocument/2006/relationships/hyperlink" Target="https://nvd.nist.gov/vuln/detail/CVE-2026-23521" TargetMode="External" Id="rId2936"/><Relationship Type="http://schemas.openxmlformats.org/officeDocument/2006/relationships/hyperlink" Target="https://nvd.nist.gov/vuln/detail/CVE-2026-23693" TargetMode="External" Id="rId2937"/><Relationship Type="http://schemas.openxmlformats.org/officeDocument/2006/relationships/hyperlink" Target="https://nvd.nist.gov/vuln/detail/CVE-2026-23693" TargetMode="External" Id="rId2938"/><Relationship Type="http://schemas.openxmlformats.org/officeDocument/2006/relationships/hyperlink" Target="https://nvd.nist.gov/vuln/detail/CVE-2026-23694" TargetMode="External" Id="rId2939"/><Relationship Type="http://schemas.openxmlformats.org/officeDocument/2006/relationships/hyperlink" Target="https://nvd.nist.gov/vuln/detail/CVE-2026-23694" TargetMode="External" Id="rId2940"/><Relationship Type="http://schemas.openxmlformats.org/officeDocument/2006/relationships/hyperlink" Target="https://nvd.nist.gov/vuln/detail/CVE-2026-25648" TargetMode="External" Id="rId2941"/><Relationship Type="http://schemas.openxmlformats.org/officeDocument/2006/relationships/hyperlink" Target="https://nvd.nist.gov/vuln/detail/CVE-2026-25648" TargetMode="External" Id="rId2942"/><Relationship Type="http://schemas.openxmlformats.org/officeDocument/2006/relationships/hyperlink" Target="https://nvd.nist.gov/vuln/detail/CVE-2026-3025" TargetMode="External" Id="rId2943"/><Relationship Type="http://schemas.openxmlformats.org/officeDocument/2006/relationships/hyperlink" Target="https://nvd.nist.gov/vuln/detail/CVE-2026-3025" TargetMode="External" Id="rId2944"/><Relationship Type="http://schemas.openxmlformats.org/officeDocument/2006/relationships/hyperlink" Target="https://nvd.nist.gov/vuln/detail/CVE-2026-3026" TargetMode="External" Id="rId2945"/><Relationship Type="http://schemas.openxmlformats.org/officeDocument/2006/relationships/hyperlink" Target="https://nvd.nist.gov/vuln/detail/CVE-2026-3026" TargetMode="External" Id="rId2946"/><Relationship Type="http://schemas.openxmlformats.org/officeDocument/2006/relationships/hyperlink" Target="https://nvd.nist.gov/vuln/detail/CVE-2026-3027" TargetMode="External" Id="rId2947"/><Relationship Type="http://schemas.openxmlformats.org/officeDocument/2006/relationships/hyperlink" Target="https://nvd.nist.gov/vuln/detail/CVE-2026-3027" TargetMode="External" Id="rId2948"/><Relationship Type="http://schemas.openxmlformats.org/officeDocument/2006/relationships/hyperlink" Target="https://nvd.nist.gov/vuln/detail/CVE-2026-3075" TargetMode="External" Id="rId2949"/><Relationship Type="http://schemas.openxmlformats.org/officeDocument/2006/relationships/hyperlink" Target="https://nvd.nist.gov/vuln/detail/CVE-2026-3075" TargetMode="External" Id="rId2950"/><Relationship Type="http://schemas.openxmlformats.org/officeDocument/2006/relationships/hyperlink" Target="https://www.exploit-db.com/exploits/52481" TargetMode="External" Id="rId2951"/><Relationship Type="http://schemas.openxmlformats.org/officeDocument/2006/relationships/hyperlink" Target="https://www.exploit-db.com/exploits/52481" TargetMode="External" Id="rId2952"/><Relationship Type="http://schemas.openxmlformats.org/officeDocument/2006/relationships/hyperlink" Target="https://www.exploit-db.com/exploits/52481" TargetMode="External" Id="rId2953"/><Relationship Type="http://schemas.openxmlformats.org/officeDocument/2006/relationships/hyperlink" Target="https://www.exploit-db.com/exploits/52480" TargetMode="External" Id="rId2954"/><Relationship Type="http://schemas.openxmlformats.org/officeDocument/2006/relationships/hyperlink" Target="https://www.exploit-db.com/exploits/52480" TargetMode="External" Id="rId2955"/><Relationship Type="http://schemas.openxmlformats.org/officeDocument/2006/relationships/hyperlink" Target="https://www.exploit-db.com/exploits/52480" TargetMode="External" Id="rId2956"/><Relationship Type="http://schemas.openxmlformats.org/officeDocument/2006/relationships/hyperlink" Target="https://www.exploit-db.com/exploits/52479" TargetMode="External" Id="rId2957"/><Relationship Type="http://schemas.openxmlformats.org/officeDocument/2006/relationships/hyperlink" Target="https://www.exploit-db.com/exploits/52479" TargetMode="External" Id="rId2958"/><Relationship Type="http://schemas.openxmlformats.org/officeDocument/2006/relationships/hyperlink" Target="https://www.exploit-db.com/exploits/52479" TargetMode="External" Id="rId2959"/><Relationship Type="http://schemas.openxmlformats.org/officeDocument/2006/relationships/hyperlink" Target="https://www.exploit-db.com/exploits/52478" TargetMode="External" Id="rId2960"/><Relationship Type="http://schemas.openxmlformats.org/officeDocument/2006/relationships/hyperlink" Target="https://www.exploit-db.com/exploits/52478" TargetMode="External" Id="rId2961"/><Relationship Type="http://schemas.openxmlformats.org/officeDocument/2006/relationships/hyperlink" Target="https://www.exploit-db.com/exploits/52478" TargetMode="External" Id="rId2962"/><Relationship Type="http://schemas.openxmlformats.org/officeDocument/2006/relationships/hyperlink" Target="https://www.exploit-db.com/exploits/52477" TargetMode="External" Id="rId2963"/><Relationship Type="http://schemas.openxmlformats.org/officeDocument/2006/relationships/hyperlink" Target="https://www.exploit-db.com/exploits/52477" TargetMode="External" Id="rId2964"/><Relationship Type="http://schemas.openxmlformats.org/officeDocument/2006/relationships/hyperlink" Target="https://www.exploit-db.com/exploits/52477" TargetMode="External" Id="rId2965"/><Relationship Type="http://schemas.openxmlformats.org/officeDocument/2006/relationships/hyperlink" Target="https://www.exploit-db.com/exploits/52476" TargetMode="External" Id="rId2966"/><Relationship Type="http://schemas.openxmlformats.org/officeDocument/2006/relationships/hyperlink" Target="https://www.exploit-db.com/exploits/52476" TargetMode="External" Id="rId2967"/><Relationship Type="http://schemas.openxmlformats.org/officeDocument/2006/relationships/hyperlink" Target="https://www.exploit-db.com/exploits/52476" TargetMode="External" Id="rId2968"/><Relationship Type="http://schemas.openxmlformats.org/officeDocument/2006/relationships/hyperlink" Target="https://www.exploit-db.com/exploits/52475" TargetMode="External" Id="rId2969"/><Relationship Type="http://schemas.openxmlformats.org/officeDocument/2006/relationships/hyperlink" Target="https://www.exploit-db.com/exploits/52475" TargetMode="External" Id="rId2970"/><Relationship Type="http://schemas.openxmlformats.org/officeDocument/2006/relationships/hyperlink" Target="https://www.exploit-db.com/exploits/52475" TargetMode="External" Id="rId2971"/><Relationship Type="http://schemas.openxmlformats.org/officeDocument/2006/relationships/hyperlink" Target="https://www.exploit-db.com/exploits/52474" TargetMode="External" Id="rId2972"/><Relationship Type="http://schemas.openxmlformats.org/officeDocument/2006/relationships/hyperlink" Target="https://www.exploit-db.com/exploits/52474" TargetMode="External" Id="rId2973"/><Relationship Type="http://schemas.openxmlformats.org/officeDocument/2006/relationships/hyperlink" Target="https://www.exploit-db.com/exploits/52474" TargetMode="External" Id="rId2974"/><Relationship Type="http://schemas.openxmlformats.org/officeDocument/2006/relationships/hyperlink" Target="https://www.exploit-db.com/exploits/52473" TargetMode="External" Id="rId2975"/><Relationship Type="http://schemas.openxmlformats.org/officeDocument/2006/relationships/hyperlink" Target="https://www.exploit-db.com/exploits/52473" TargetMode="External" Id="rId2976"/><Relationship Type="http://schemas.openxmlformats.org/officeDocument/2006/relationships/hyperlink" Target="https://www.exploit-db.com/exploits/52473" TargetMode="External" Id="rId2977"/><Relationship Type="http://schemas.openxmlformats.org/officeDocument/2006/relationships/hyperlink" Target="https://www.exploit-db.com/exploits/52472" TargetMode="External" Id="rId2978"/><Relationship Type="http://schemas.openxmlformats.org/officeDocument/2006/relationships/hyperlink" Target="https://www.exploit-db.com/exploits/52472" TargetMode="External" Id="rId2979"/><Relationship Type="http://schemas.openxmlformats.org/officeDocument/2006/relationships/hyperlink" Target="https://www.exploit-db.com/exploits/52472" TargetMode="External" Id="rId2980"/><Relationship Type="http://schemas.openxmlformats.org/officeDocument/2006/relationships/hyperlink" Target="https://www.exploit-db.com/exploits/52471" TargetMode="External" Id="rId2981"/><Relationship Type="http://schemas.openxmlformats.org/officeDocument/2006/relationships/hyperlink" Target="https://www.exploit-db.com/exploits/52471" TargetMode="External" Id="rId2982"/><Relationship Type="http://schemas.openxmlformats.org/officeDocument/2006/relationships/hyperlink" Target="https://www.exploit-db.com/exploits/52471" TargetMode="External" Id="rId2983"/><Relationship Type="http://schemas.openxmlformats.org/officeDocument/2006/relationships/hyperlink" Target="https://www.exploit-db.com/exploits/52470" TargetMode="External" Id="rId2984"/><Relationship Type="http://schemas.openxmlformats.org/officeDocument/2006/relationships/hyperlink" Target="https://www.exploit-db.com/exploits/52470" TargetMode="External" Id="rId2985"/><Relationship Type="http://schemas.openxmlformats.org/officeDocument/2006/relationships/hyperlink" Target="https://www.exploit-db.com/exploits/52470" TargetMode="External" Id="rId2986"/><Relationship Type="http://schemas.openxmlformats.org/officeDocument/2006/relationships/hyperlink" Target="https://www.exploit-db.com/exploits/52469" TargetMode="External" Id="rId2987"/><Relationship Type="http://schemas.openxmlformats.org/officeDocument/2006/relationships/hyperlink" Target="https://www.exploit-db.com/exploits/52469" TargetMode="External" Id="rId2988"/><Relationship Type="http://schemas.openxmlformats.org/officeDocument/2006/relationships/hyperlink" Target="https://www.exploit-db.com/exploits/52469" TargetMode="External" Id="rId2989"/><Relationship Type="http://schemas.openxmlformats.org/officeDocument/2006/relationships/hyperlink" Target="https://github.com/advisories/GHSA-cxpw-2g23-2vgw" TargetMode="External" Id="rId2990"/><Relationship Type="http://schemas.openxmlformats.org/officeDocument/2006/relationships/hyperlink" Target="https://github.com/advisories/GHSA-cxpw-2g23-2vgw" TargetMode="External" Id="rId2991"/><Relationship Type="http://schemas.openxmlformats.org/officeDocument/2006/relationships/hyperlink" Target="https://github.com/advisories/GHSA-cxpw-2g23-2vgw" TargetMode="External" Id="rId2992"/><Relationship Type="http://schemas.openxmlformats.org/officeDocument/2006/relationships/hyperlink" Target="https://github.com/advisories/GHSA-qv8j-hgpc-vrq8" TargetMode="External" Id="rId2993"/><Relationship Type="http://schemas.openxmlformats.org/officeDocument/2006/relationships/hyperlink" Target="https://github.com/advisories/GHSA-qv8j-hgpc-vrq8" TargetMode="External" Id="rId2994"/><Relationship Type="http://schemas.openxmlformats.org/officeDocument/2006/relationships/hyperlink" Target="https://github.com/advisories/GHSA-qv8j-hgpc-vrq8" TargetMode="External" Id="rId2995"/><Relationship Type="http://schemas.openxmlformats.org/officeDocument/2006/relationships/hyperlink" Target="https://github.com/advisories/GHSA-wh2j-26j7-9728" TargetMode="External" Id="rId2996"/><Relationship Type="http://schemas.openxmlformats.org/officeDocument/2006/relationships/hyperlink" Target="https://github.com/advisories/GHSA-wh2j-26j7-9728" TargetMode="External" Id="rId2997"/><Relationship Type="http://schemas.openxmlformats.org/officeDocument/2006/relationships/hyperlink" Target="https://github.com/advisories/GHSA-wh2j-26j7-9728" TargetMode="External" Id="rId2998"/><Relationship Type="http://schemas.openxmlformats.org/officeDocument/2006/relationships/hyperlink" Target="https://github.com/advisories/GHSA-q5fh-2hc8-f6rq" TargetMode="External" Id="rId2999"/><Relationship Type="http://schemas.openxmlformats.org/officeDocument/2006/relationships/hyperlink" Target="https://github.com/advisories/GHSA-q5fh-2hc8-f6rq" TargetMode="External" Id="rId3000"/><Relationship Type="http://schemas.openxmlformats.org/officeDocument/2006/relationships/hyperlink" Target="https://github.com/advisories/GHSA-q5fh-2hc8-f6rq" TargetMode="External" Id="rId3001"/><Relationship Type="http://schemas.openxmlformats.org/officeDocument/2006/relationships/hyperlink" Target="https://github.com/advisories/GHSA-rcqw-6466-3mv7" TargetMode="External" Id="rId3002"/><Relationship Type="http://schemas.openxmlformats.org/officeDocument/2006/relationships/hyperlink" Target="https://github.com/advisories/GHSA-rcqw-6466-3mv7" TargetMode="External" Id="rId3003"/><Relationship Type="http://schemas.openxmlformats.org/officeDocument/2006/relationships/hyperlink" Target="https://github.com/advisories/GHSA-rcqw-6466-3mv7" TargetMode="External" Id="rId3004"/><Relationship Type="http://schemas.openxmlformats.org/officeDocument/2006/relationships/hyperlink" Target="https://github.com/advisories/GHSA-49pc-8936-wvfp" TargetMode="External" Id="rId3005"/><Relationship Type="http://schemas.openxmlformats.org/officeDocument/2006/relationships/hyperlink" Target="https://github.com/advisories/GHSA-49pc-8936-wvfp" TargetMode="External" Id="rId3006"/><Relationship Type="http://schemas.openxmlformats.org/officeDocument/2006/relationships/hyperlink" Target="https://github.com/advisories/GHSA-49pc-8936-wvfp" TargetMode="External" Id="rId3007"/><Relationship Type="http://schemas.openxmlformats.org/officeDocument/2006/relationships/hyperlink" Target="https://github.com/advisories/GHSA-gv8r-9rw9-9697" TargetMode="External" Id="rId3008"/><Relationship Type="http://schemas.openxmlformats.org/officeDocument/2006/relationships/hyperlink" Target="https://github.com/advisories/GHSA-gv8r-9rw9-9697" TargetMode="External" Id="rId3009"/><Relationship Type="http://schemas.openxmlformats.org/officeDocument/2006/relationships/hyperlink" Target="https://github.com/advisories/GHSA-gv8r-9rw9-9697" TargetMode="External" Id="rId3010"/><Relationship Type="http://schemas.openxmlformats.org/officeDocument/2006/relationships/hyperlink" Target="https://github.com/advisories/GHSA-w45g-5746-x9fp" TargetMode="External" Id="rId3011"/><Relationship Type="http://schemas.openxmlformats.org/officeDocument/2006/relationships/hyperlink" Target="https://github.com/advisories/GHSA-w45g-5746-x9fp" TargetMode="External" Id="rId3012"/><Relationship Type="http://schemas.openxmlformats.org/officeDocument/2006/relationships/hyperlink" Target="https://github.com/advisories/GHSA-w45g-5746-x9fp" TargetMode="External" Id="rId3013"/><Relationship Type="http://schemas.openxmlformats.org/officeDocument/2006/relationships/hyperlink" Target="https://github.com/advisories/GHSA-r6h2-5gqq-v5v6" TargetMode="External" Id="rId3014"/><Relationship Type="http://schemas.openxmlformats.org/officeDocument/2006/relationships/hyperlink" Target="https://github.com/advisories/GHSA-r6h2-5gqq-v5v6" TargetMode="External" Id="rId3015"/><Relationship Type="http://schemas.openxmlformats.org/officeDocument/2006/relationships/hyperlink" Target="https://github.com/advisories/GHSA-r6h2-5gqq-v5v6" TargetMode="External" Id="rId3016"/><Relationship Type="http://schemas.openxmlformats.org/officeDocument/2006/relationships/hyperlink" Target="https://github.com/advisories/GHSA-wh94-p5m6-mr7j" TargetMode="External" Id="rId3017"/><Relationship Type="http://schemas.openxmlformats.org/officeDocument/2006/relationships/hyperlink" Target="https://github.com/advisories/GHSA-wh94-p5m6-mr7j" TargetMode="External" Id="rId3018"/><Relationship Type="http://schemas.openxmlformats.org/officeDocument/2006/relationships/hyperlink" Target="https://github.com/advisories/GHSA-wh94-p5m6-mr7j" TargetMode="External" Id="rId3019"/><Relationship Type="http://schemas.openxmlformats.org/officeDocument/2006/relationships/hyperlink" Target="https://github.com/advisories/GHSA-9jmq-xgjm-p8c2" TargetMode="External" Id="rId3020"/><Relationship Type="http://schemas.openxmlformats.org/officeDocument/2006/relationships/hyperlink" Target="https://github.com/advisories/GHSA-9jmq-xgjm-p8c2" TargetMode="External" Id="rId3021"/><Relationship Type="http://schemas.openxmlformats.org/officeDocument/2006/relationships/hyperlink" Target="https://github.com/advisories/GHSA-9jmq-xgjm-p8c2" TargetMode="External" Id="rId3022"/><Relationship Type="http://schemas.openxmlformats.org/officeDocument/2006/relationships/hyperlink" Target="https://github.com/advisories/GHSA-qhp6-635j-x7r2" TargetMode="External" Id="rId3023"/><Relationship Type="http://schemas.openxmlformats.org/officeDocument/2006/relationships/hyperlink" Target="https://github.com/advisories/GHSA-qhp6-635j-x7r2" TargetMode="External" Id="rId3024"/><Relationship Type="http://schemas.openxmlformats.org/officeDocument/2006/relationships/hyperlink" Target="https://github.com/advisories/GHSA-qhp6-635j-x7r2" TargetMode="External" Id="rId3025"/><Relationship Type="http://schemas.openxmlformats.org/officeDocument/2006/relationships/hyperlink" Target="https://github.com/advisories/GHSA-83pf-v6qq-pwmr" TargetMode="External" Id="rId3026"/><Relationship Type="http://schemas.openxmlformats.org/officeDocument/2006/relationships/hyperlink" Target="https://github.com/advisories/GHSA-83pf-v6qq-pwmr" TargetMode="External" Id="rId3027"/><Relationship Type="http://schemas.openxmlformats.org/officeDocument/2006/relationships/hyperlink" Target="https://github.com/advisories/GHSA-83pf-v6qq-pwmr" TargetMode="External" Id="rId3028"/><Relationship Type="http://schemas.openxmlformats.org/officeDocument/2006/relationships/hyperlink" Target="https://github.com/advisories/GHSA-m7jm-9gc2-mpf2" TargetMode="External" Id="rId3029"/><Relationship Type="http://schemas.openxmlformats.org/officeDocument/2006/relationships/hyperlink" Target="https://github.com/advisories/GHSA-m7jm-9gc2-mpf2" TargetMode="External" Id="rId3030"/><Relationship Type="http://schemas.openxmlformats.org/officeDocument/2006/relationships/hyperlink" Target="https://github.com/advisories/GHSA-m7jm-9gc2-mpf2" TargetMode="External" Id="rId3031"/><Relationship Type="http://schemas.openxmlformats.org/officeDocument/2006/relationships/hyperlink" Target="https://github.com/advisories/GHSA-378v-28hj-76wf" TargetMode="External" Id="rId3032"/><Relationship Type="http://schemas.openxmlformats.org/officeDocument/2006/relationships/hyperlink" Target="https://github.com/advisories/GHSA-378v-28hj-76wf" TargetMode="External" Id="rId3033"/><Relationship Type="http://schemas.openxmlformats.org/officeDocument/2006/relationships/hyperlink" Target="https://github.com/advisories/GHSA-378v-28hj-76wf" TargetMode="External" Id="rId3034"/><Relationship Type="http://schemas.openxmlformats.org/officeDocument/2006/relationships/hyperlink" Target="https://github.com/advisories/GHSA-wfqv-66vq-46rm" TargetMode="External" Id="rId3035"/><Relationship Type="http://schemas.openxmlformats.org/officeDocument/2006/relationships/hyperlink" Target="https://github.com/advisories/GHSA-wfqv-66vq-46rm" TargetMode="External" Id="rId3036"/><Relationship Type="http://schemas.openxmlformats.org/officeDocument/2006/relationships/hyperlink" Target="https://github.com/advisories/GHSA-wfqv-66vq-46rm" TargetMode="External" Id="rId3037"/><Relationship Type="http://schemas.openxmlformats.org/officeDocument/2006/relationships/hyperlink" Target="https://github.com/advisories/GHSA-j9wf-6r2x-hqmx" TargetMode="External" Id="rId3038"/><Relationship Type="http://schemas.openxmlformats.org/officeDocument/2006/relationships/hyperlink" Target="https://github.com/advisories/GHSA-j9wf-6r2x-hqmx" TargetMode="External" Id="rId3039"/><Relationship Type="http://schemas.openxmlformats.org/officeDocument/2006/relationships/hyperlink" Target="https://github.com/advisories/GHSA-j9wf-6r2x-hqmx" TargetMode="External" Id="rId3040"/><Relationship Type="http://schemas.openxmlformats.org/officeDocument/2006/relationships/hyperlink" Target="https://github.com/advisories/GHSA-6c9j-x93c-rw6j" TargetMode="External" Id="rId3041"/><Relationship Type="http://schemas.openxmlformats.org/officeDocument/2006/relationships/hyperlink" Target="https://github.com/advisories/GHSA-6c9j-x93c-rw6j" TargetMode="External" Id="rId3042"/><Relationship Type="http://schemas.openxmlformats.org/officeDocument/2006/relationships/hyperlink" Target="https://github.com/advisories/GHSA-6c9j-x93c-rw6j" TargetMode="External" Id="rId3043"/><Relationship Type="http://schemas.openxmlformats.org/officeDocument/2006/relationships/hyperlink" Target="https://github.com/advisories/GHSA-4685-c5cp-vp95" TargetMode="External" Id="rId3044"/><Relationship Type="http://schemas.openxmlformats.org/officeDocument/2006/relationships/hyperlink" Target="https://github.com/advisories/GHSA-4685-c5cp-vp95" TargetMode="External" Id="rId3045"/><Relationship Type="http://schemas.openxmlformats.org/officeDocument/2006/relationships/hyperlink" Target="https://github.com/advisories/GHSA-4685-c5cp-vp95" TargetMode="External" Id="rId3046"/><Relationship Type="http://schemas.openxmlformats.org/officeDocument/2006/relationships/hyperlink" Target="https://github.com/advisories/GHSA-v7m3-fpcr-h7m2" TargetMode="External" Id="rId3047"/><Relationship Type="http://schemas.openxmlformats.org/officeDocument/2006/relationships/hyperlink" Target="https://github.com/advisories/GHSA-v7m3-fpcr-h7m2" TargetMode="External" Id="rId3048"/><Relationship Type="http://schemas.openxmlformats.org/officeDocument/2006/relationships/hyperlink" Target="https://github.com/advisories/GHSA-v7m3-fpcr-h7m2" TargetMode="External" Id="rId3049"/><Relationship Type="http://schemas.openxmlformats.org/officeDocument/2006/relationships/hyperlink" Target="https://urlhaus.abuse.ch/url/3784528/" TargetMode="External" Id="rId3050"/><Relationship Type="http://schemas.openxmlformats.org/officeDocument/2006/relationships/hyperlink" Target="https://urlhaus.abuse.ch/url/3784528/" TargetMode="External" Id="rId3051"/><Relationship Type="http://schemas.openxmlformats.org/officeDocument/2006/relationships/hyperlink" Target="https://urlhaus.abuse.ch/url/3784528/" TargetMode="External" Id="rId3052"/><Relationship Type="http://schemas.openxmlformats.org/officeDocument/2006/relationships/hyperlink" Target="https://urlhaus.abuse.ch/url/3784527/" TargetMode="External" Id="rId3053"/><Relationship Type="http://schemas.openxmlformats.org/officeDocument/2006/relationships/hyperlink" Target="https://urlhaus.abuse.ch/url/3784527/" TargetMode="External" Id="rId3054"/><Relationship Type="http://schemas.openxmlformats.org/officeDocument/2006/relationships/hyperlink" Target="https://urlhaus.abuse.ch/url/3784527/" TargetMode="External" Id="rId3055"/><Relationship Type="http://schemas.openxmlformats.org/officeDocument/2006/relationships/hyperlink" Target="https://urlhaus.abuse.ch/url/3784526/" TargetMode="External" Id="rId3056"/><Relationship Type="http://schemas.openxmlformats.org/officeDocument/2006/relationships/hyperlink" Target="https://urlhaus.abuse.ch/url/3784526/" TargetMode="External" Id="rId3057"/><Relationship Type="http://schemas.openxmlformats.org/officeDocument/2006/relationships/hyperlink" Target="https://urlhaus.abuse.ch/url/3784526/" TargetMode="External" Id="rId3058"/><Relationship Type="http://schemas.openxmlformats.org/officeDocument/2006/relationships/hyperlink" Target="https://urlhaus.abuse.ch/url/3784525/" TargetMode="External" Id="rId3059"/><Relationship Type="http://schemas.openxmlformats.org/officeDocument/2006/relationships/hyperlink" Target="https://urlhaus.abuse.ch/url/3784525/" TargetMode="External" Id="rId3060"/><Relationship Type="http://schemas.openxmlformats.org/officeDocument/2006/relationships/hyperlink" Target="https://urlhaus.abuse.ch/url/3784525/" TargetMode="External" Id="rId3061"/><Relationship Type="http://schemas.openxmlformats.org/officeDocument/2006/relationships/hyperlink" Target="https://urlhaus.abuse.ch/url/3784524/" TargetMode="External" Id="rId3062"/><Relationship Type="http://schemas.openxmlformats.org/officeDocument/2006/relationships/hyperlink" Target="https://urlhaus.abuse.ch/url/3784524/" TargetMode="External" Id="rId3063"/><Relationship Type="http://schemas.openxmlformats.org/officeDocument/2006/relationships/hyperlink" Target="https://urlhaus.abuse.ch/url/3784524/" TargetMode="External" Id="rId3064"/><Relationship Type="http://schemas.openxmlformats.org/officeDocument/2006/relationships/hyperlink" Target="https://urlhaus.abuse.ch/url/3784523/" TargetMode="External" Id="rId3065"/><Relationship Type="http://schemas.openxmlformats.org/officeDocument/2006/relationships/hyperlink" Target="https://urlhaus.abuse.ch/url/3784523/" TargetMode="External" Id="rId3066"/><Relationship Type="http://schemas.openxmlformats.org/officeDocument/2006/relationships/hyperlink" Target="https://urlhaus.abuse.ch/url/3784523/" TargetMode="External" Id="rId3067"/><Relationship Type="http://schemas.openxmlformats.org/officeDocument/2006/relationships/hyperlink" Target="https://urlhaus.abuse.ch/url/3784522/" TargetMode="External" Id="rId3068"/><Relationship Type="http://schemas.openxmlformats.org/officeDocument/2006/relationships/hyperlink" Target="https://urlhaus.abuse.ch/url/3784522/" TargetMode="External" Id="rId3069"/><Relationship Type="http://schemas.openxmlformats.org/officeDocument/2006/relationships/hyperlink" Target="https://urlhaus.abuse.ch/url/3784522/" TargetMode="External" Id="rId3070"/><Relationship Type="http://schemas.openxmlformats.org/officeDocument/2006/relationships/hyperlink" Target="https://urlhaus.abuse.ch/url/3784521/" TargetMode="External" Id="rId3071"/><Relationship Type="http://schemas.openxmlformats.org/officeDocument/2006/relationships/hyperlink" Target="https://urlhaus.abuse.ch/url/3784521/" TargetMode="External" Id="rId3072"/><Relationship Type="http://schemas.openxmlformats.org/officeDocument/2006/relationships/hyperlink" Target="https://urlhaus.abuse.ch/url/3784521/" TargetMode="External" Id="rId3073"/><Relationship Type="http://schemas.openxmlformats.org/officeDocument/2006/relationships/hyperlink" Target="https://urlhaus.abuse.ch/url/3784520/" TargetMode="External" Id="rId3074"/><Relationship Type="http://schemas.openxmlformats.org/officeDocument/2006/relationships/hyperlink" Target="https://urlhaus.abuse.ch/url/3784520/" TargetMode="External" Id="rId3075"/><Relationship Type="http://schemas.openxmlformats.org/officeDocument/2006/relationships/hyperlink" Target="https://urlhaus.abuse.ch/url/3784520/" TargetMode="External" Id="rId3076"/><Relationship Type="http://schemas.openxmlformats.org/officeDocument/2006/relationships/hyperlink" Target="https://urlhaus.abuse.ch/url/3784519/" TargetMode="External" Id="rId3077"/><Relationship Type="http://schemas.openxmlformats.org/officeDocument/2006/relationships/hyperlink" Target="https://urlhaus.abuse.ch/url/3784519/" TargetMode="External" Id="rId3078"/><Relationship Type="http://schemas.openxmlformats.org/officeDocument/2006/relationships/hyperlink" Target="https://urlhaus.abuse.ch/url/3784519/" TargetMode="External" Id="rId3079"/><Relationship Type="http://schemas.openxmlformats.org/officeDocument/2006/relationships/hyperlink" Target="https://urlhaus.abuse.ch/url/3784518/" TargetMode="External" Id="rId3080"/><Relationship Type="http://schemas.openxmlformats.org/officeDocument/2006/relationships/hyperlink" Target="https://urlhaus.abuse.ch/url/3784518/" TargetMode="External" Id="rId3081"/><Relationship Type="http://schemas.openxmlformats.org/officeDocument/2006/relationships/hyperlink" Target="https://urlhaus.abuse.ch/url/3784518/" TargetMode="External" Id="rId3082"/><Relationship Type="http://schemas.openxmlformats.org/officeDocument/2006/relationships/hyperlink" Target="https://urlhaus.abuse.ch/url/3784517/" TargetMode="External" Id="rId3083"/><Relationship Type="http://schemas.openxmlformats.org/officeDocument/2006/relationships/hyperlink" Target="https://urlhaus.abuse.ch/url/3784517/" TargetMode="External" Id="rId3084"/><Relationship Type="http://schemas.openxmlformats.org/officeDocument/2006/relationships/hyperlink" Target="https://urlhaus.abuse.ch/url/3784517/" TargetMode="External" Id="rId3085"/><Relationship Type="http://schemas.openxmlformats.org/officeDocument/2006/relationships/hyperlink" Target="https://urlhaus.abuse.ch/url/3784516/" TargetMode="External" Id="rId3086"/><Relationship Type="http://schemas.openxmlformats.org/officeDocument/2006/relationships/hyperlink" Target="https://urlhaus.abuse.ch/url/3784516/" TargetMode="External" Id="rId3087"/><Relationship Type="http://schemas.openxmlformats.org/officeDocument/2006/relationships/hyperlink" Target="https://urlhaus.abuse.ch/url/3784516/" TargetMode="External" Id="rId3088"/><Relationship Type="http://schemas.openxmlformats.org/officeDocument/2006/relationships/hyperlink" Target="https://urlhaus.abuse.ch/url/3784515/" TargetMode="External" Id="rId3089"/><Relationship Type="http://schemas.openxmlformats.org/officeDocument/2006/relationships/hyperlink" Target="https://urlhaus.abuse.ch/url/3784515/" TargetMode="External" Id="rId3090"/><Relationship Type="http://schemas.openxmlformats.org/officeDocument/2006/relationships/hyperlink" Target="https://urlhaus.abuse.ch/url/3784515/" TargetMode="External" Id="rId3091"/><Relationship Type="http://schemas.openxmlformats.org/officeDocument/2006/relationships/hyperlink" Target="https://urlhaus.abuse.ch/url/3784514/" TargetMode="External" Id="rId3092"/><Relationship Type="http://schemas.openxmlformats.org/officeDocument/2006/relationships/hyperlink" Target="https://urlhaus.abuse.ch/url/3784514/" TargetMode="External" Id="rId3093"/><Relationship Type="http://schemas.openxmlformats.org/officeDocument/2006/relationships/hyperlink" Target="https://urlhaus.abuse.ch/url/3784514/" TargetMode="External" Id="rId3094"/><Relationship Type="http://schemas.openxmlformats.org/officeDocument/2006/relationships/hyperlink" Target="https://urlhaus.abuse.ch/url/3784513/" TargetMode="External" Id="rId3095"/><Relationship Type="http://schemas.openxmlformats.org/officeDocument/2006/relationships/hyperlink" Target="https://urlhaus.abuse.ch/url/3784513/" TargetMode="External" Id="rId3096"/><Relationship Type="http://schemas.openxmlformats.org/officeDocument/2006/relationships/hyperlink" Target="https://urlhaus.abuse.ch/url/3784513/" TargetMode="External" Id="rId3097"/><Relationship Type="http://schemas.openxmlformats.org/officeDocument/2006/relationships/hyperlink" Target="https://urlhaus.abuse.ch/url/3784512/" TargetMode="External" Id="rId3098"/><Relationship Type="http://schemas.openxmlformats.org/officeDocument/2006/relationships/hyperlink" Target="https://urlhaus.abuse.ch/url/3784512/" TargetMode="External" Id="rId3099"/><Relationship Type="http://schemas.openxmlformats.org/officeDocument/2006/relationships/hyperlink" Target="https://urlhaus.abuse.ch/url/3784512/" TargetMode="External" Id="rId3100"/><Relationship Type="http://schemas.openxmlformats.org/officeDocument/2006/relationships/hyperlink" Target="https://urlhaus.abuse.ch/url/3784510/" TargetMode="External" Id="rId3101"/><Relationship Type="http://schemas.openxmlformats.org/officeDocument/2006/relationships/hyperlink" Target="https://urlhaus.abuse.ch/url/3784510/" TargetMode="External" Id="rId3102"/><Relationship Type="http://schemas.openxmlformats.org/officeDocument/2006/relationships/hyperlink" Target="https://urlhaus.abuse.ch/url/3784510/" TargetMode="External" Id="rId3103"/><Relationship Type="http://schemas.openxmlformats.org/officeDocument/2006/relationships/hyperlink" Target="https://urlhaus.abuse.ch/url/3784511/" TargetMode="External" Id="rId3104"/><Relationship Type="http://schemas.openxmlformats.org/officeDocument/2006/relationships/hyperlink" Target="https://urlhaus.abuse.ch/url/3784511/" TargetMode="External" Id="rId3105"/><Relationship Type="http://schemas.openxmlformats.org/officeDocument/2006/relationships/hyperlink" Target="https://urlhaus.abuse.ch/url/3784511/" TargetMode="External" Id="rId3106"/><Relationship Type="http://schemas.openxmlformats.org/officeDocument/2006/relationships/hyperlink" Target="https://urlhaus.abuse.ch/url/3784509/" TargetMode="External" Id="rId3107"/><Relationship Type="http://schemas.openxmlformats.org/officeDocument/2006/relationships/hyperlink" Target="https://urlhaus.abuse.ch/url/3784509/" TargetMode="External" Id="rId3108"/><Relationship Type="http://schemas.openxmlformats.org/officeDocument/2006/relationships/hyperlink" Target="https://urlhaus.abuse.ch/url/3784509/" TargetMode="External" Id="rId3109"/><Relationship Type="http://schemas.openxmlformats.org/officeDocument/2006/relationships/hyperlink" Target="https://urlhaus.abuse.ch/url/3784508/" TargetMode="External" Id="rId3110"/><Relationship Type="http://schemas.openxmlformats.org/officeDocument/2006/relationships/hyperlink" Target="https://urlhaus.abuse.ch/url/3784508/" TargetMode="External" Id="rId3111"/><Relationship Type="http://schemas.openxmlformats.org/officeDocument/2006/relationships/hyperlink" Target="https://urlhaus.abuse.ch/url/3784508/" TargetMode="External" Id="rId3112"/><Relationship Type="http://schemas.openxmlformats.org/officeDocument/2006/relationships/hyperlink" Target="https://urlhaus.abuse.ch/url/3784507/" TargetMode="External" Id="rId3113"/><Relationship Type="http://schemas.openxmlformats.org/officeDocument/2006/relationships/hyperlink" Target="https://urlhaus.abuse.ch/url/3784507/" TargetMode="External" Id="rId3114"/><Relationship Type="http://schemas.openxmlformats.org/officeDocument/2006/relationships/hyperlink" Target="https://urlhaus.abuse.ch/url/3784507/" TargetMode="External" Id="rId3115"/><Relationship Type="http://schemas.openxmlformats.org/officeDocument/2006/relationships/hyperlink" Target="https://urlhaus.abuse.ch/url/3784506/" TargetMode="External" Id="rId3116"/><Relationship Type="http://schemas.openxmlformats.org/officeDocument/2006/relationships/hyperlink" Target="https://urlhaus.abuse.ch/url/3784506/" TargetMode="External" Id="rId3117"/><Relationship Type="http://schemas.openxmlformats.org/officeDocument/2006/relationships/hyperlink" Target="https://urlhaus.abuse.ch/url/3784506/" TargetMode="External" Id="rId3118"/><Relationship Type="http://schemas.openxmlformats.org/officeDocument/2006/relationships/hyperlink" Target="https://urlhaus.abuse.ch/url/3784505/" TargetMode="External" Id="rId3119"/><Relationship Type="http://schemas.openxmlformats.org/officeDocument/2006/relationships/hyperlink" Target="https://urlhaus.abuse.ch/url/3784505/" TargetMode="External" Id="rId3120"/><Relationship Type="http://schemas.openxmlformats.org/officeDocument/2006/relationships/hyperlink" Target="https://urlhaus.abuse.ch/url/3784505/" TargetMode="External" Id="rId3121"/><Relationship Type="http://schemas.openxmlformats.org/officeDocument/2006/relationships/hyperlink" Target="https://urlhaus.abuse.ch/url/3784504/" TargetMode="External" Id="rId3122"/><Relationship Type="http://schemas.openxmlformats.org/officeDocument/2006/relationships/hyperlink" Target="https://urlhaus.abuse.ch/url/3784504/" TargetMode="External" Id="rId3123"/><Relationship Type="http://schemas.openxmlformats.org/officeDocument/2006/relationships/hyperlink" Target="https://urlhaus.abuse.ch/url/3784504/" TargetMode="External" Id="rId3124"/><Relationship Type="http://schemas.openxmlformats.org/officeDocument/2006/relationships/hyperlink" Target="https://urlhaus.abuse.ch/url/3784503/" TargetMode="External" Id="rId3125"/><Relationship Type="http://schemas.openxmlformats.org/officeDocument/2006/relationships/hyperlink" Target="https://urlhaus.abuse.ch/url/3784503/" TargetMode="External" Id="rId3126"/><Relationship Type="http://schemas.openxmlformats.org/officeDocument/2006/relationships/hyperlink" Target="https://urlhaus.abuse.ch/url/3784503/" TargetMode="External" Id="rId3127"/><Relationship Type="http://schemas.openxmlformats.org/officeDocument/2006/relationships/hyperlink" Target="https://urlhaus.abuse.ch/url/3784502/" TargetMode="External" Id="rId3128"/><Relationship Type="http://schemas.openxmlformats.org/officeDocument/2006/relationships/hyperlink" Target="https://urlhaus.abuse.ch/url/3784502/" TargetMode="External" Id="rId3129"/><Relationship Type="http://schemas.openxmlformats.org/officeDocument/2006/relationships/hyperlink" Target="https://urlhaus.abuse.ch/url/3784502/" TargetMode="External" Id="rId3130"/><Relationship Type="http://schemas.openxmlformats.org/officeDocument/2006/relationships/hyperlink" Target="https://urlhaus.abuse.ch/url/3784501/" TargetMode="External" Id="rId3131"/><Relationship Type="http://schemas.openxmlformats.org/officeDocument/2006/relationships/hyperlink" Target="https://urlhaus.abuse.ch/url/3784501/" TargetMode="External" Id="rId3132"/><Relationship Type="http://schemas.openxmlformats.org/officeDocument/2006/relationships/hyperlink" Target="https://urlhaus.abuse.ch/url/3784501/" TargetMode="External" Id="rId3133"/><Relationship Type="http://schemas.openxmlformats.org/officeDocument/2006/relationships/hyperlink" Target="https://urlhaus.abuse.ch/url/3784500/" TargetMode="External" Id="rId3134"/><Relationship Type="http://schemas.openxmlformats.org/officeDocument/2006/relationships/hyperlink" Target="https://urlhaus.abuse.ch/url/3784500/" TargetMode="External" Id="rId3135"/><Relationship Type="http://schemas.openxmlformats.org/officeDocument/2006/relationships/hyperlink" Target="https://urlhaus.abuse.ch/url/3784500/" TargetMode="External" Id="rId3136"/><Relationship Type="http://schemas.openxmlformats.org/officeDocument/2006/relationships/hyperlink" Target="https://urlhaus.abuse.ch/url/3784499/" TargetMode="External" Id="rId3137"/><Relationship Type="http://schemas.openxmlformats.org/officeDocument/2006/relationships/hyperlink" Target="https://urlhaus.abuse.ch/url/3784499/" TargetMode="External" Id="rId3138"/><Relationship Type="http://schemas.openxmlformats.org/officeDocument/2006/relationships/hyperlink" Target="https://urlhaus.abuse.ch/url/3784499/" TargetMode="External" Id="rId3139"/><Relationship Type="http://schemas.openxmlformats.org/officeDocument/2006/relationships/hyperlink" Target="https://mypost.ycaskp.help/au/service/22/" TargetMode="External" Id="rId3140"/><Relationship Type="http://schemas.openxmlformats.org/officeDocument/2006/relationships/hyperlink" Target="https://mypost.ycaskp.help/au/service/22/" TargetMode="External" Id="rId3141"/><Relationship Type="http://schemas.openxmlformats.org/officeDocument/2006/relationships/hyperlink" Target="https://mypost.ycaskp.help/au/service/22/" TargetMode="External" Id="rId3142"/><Relationship Type="http://schemas.openxmlformats.org/officeDocument/2006/relationships/hyperlink" Target="http://www.bduedu.in/pay-fees/" TargetMode="External" Id="rId3143"/><Relationship Type="http://schemas.openxmlformats.org/officeDocument/2006/relationships/hyperlink" Target="http://www.bduedu.in/pay-fees/" TargetMode="External" Id="rId3144"/><Relationship Type="http://schemas.openxmlformats.org/officeDocument/2006/relationships/hyperlink" Target="http://www.bduedu.in/pay-fees/" TargetMode="External" Id="rId3145"/><Relationship Type="http://schemas.openxmlformats.org/officeDocument/2006/relationships/hyperlink" Target="https://geminibalance.520131401.xyz/" TargetMode="External" Id="rId3146"/><Relationship Type="http://schemas.openxmlformats.org/officeDocument/2006/relationships/hyperlink" Target="https://geminibalance.520131401.xyz/" TargetMode="External" Id="rId3147"/><Relationship Type="http://schemas.openxmlformats.org/officeDocument/2006/relationships/hyperlink" Target="https://geminibalance.520131401.xyz/" TargetMode="External" Id="rId3148"/><Relationship Type="http://schemas.openxmlformats.org/officeDocument/2006/relationships/hyperlink" Target="https://robloxr.com.es/users/1140465374/profile" TargetMode="External" Id="rId3149"/><Relationship Type="http://schemas.openxmlformats.org/officeDocument/2006/relationships/hyperlink" Target="https://robloxr.com.es/users/1140465374/profile" TargetMode="External" Id="rId3150"/><Relationship Type="http://schemas.openxmlformats.org/officeDocument/2006/relationships/hyperlink" Target="https://robloxr.com.es/users/1140465374/profile" TargetMode="External" Id="rId3151"/><Relationship Type="http://schemas.openxmlformats.org/officeDocument/2006/relationships/hyperlink" Target="https://www.robiox.com.py/users/225612695322/profile" TargetMode="External" Id="rId3152"/><Relationship Type="http://schemas.openxmlformats.org/officeDocument/2006/relationships/hyperlink" Target="https://www.robiox.com.py/users/225612695322/profile" TargetMode="External" Id="rId3153"/><Relationship Type="http://schemas.openxmlformats.org/officeDocument/2006/relationships/hyperlink" Target="https://www.robiox.com.py/users/225612695322/profile" TargetMode="External" Id="rId3154"/><Relationship Type="http://schemas.openxmlformats.org/officeDocument/2006/relationships/hyperlink" Target="https://ofertascomvalor.online/" TargetMode="External" Id="rId3155"/><Relationship Type="http://schemas.openxmlformats.org/officeDocument/2006/relationships/hyperlink" Target="https://ofertascomvalor.online/" TargetMode="External" Id="rId3156"/><Relationship Type="http://schemas.openxmlformats.org/officeDocument/2006/relationships/hyperlink" Target="https://ofertascomvalor.online/" TargetMode="External" Id="rId3157"/><Relationship Type="http://schemas.openxmlformats.org/officeDocument/2006/relationships/hyperlink" Target="https://notafakedomain.org/landing/form/4fc26f2a-8ba7-4a4f-be6e-c28ed289a769" TargetMode="External" Id="rId3158"/><Relationship Type="http://schemas.openxmlformats.org/officeDocument/2006/relationships/hyperlink" Target="https://notafakedomain.org/landing/form/4fc26f2a-8ba7-4a4f-be6e-c28ed289a769" TargetMode="External" Id="rId3159"/><Relationship Type="http://schemas.openxmlformats.org/officeDocument/2006/relationships/hyperlink" Target="https://notafakedomain.org/landing/form/4fc26f2a-8ba7-4a4f-be6e-c28ed289a769" TargetMode="External" Id="rId3160"/><Relationship Type="http://schemas.openxmlformats.org/officeDocument/2006/relationships/hyperlink" Target="https://facebooken.login.piotrpiotr.pl/" TargetMode="External" Id="rId3161"/><Relationship Type="http://schemas.openxmlformats.org/officeDocument/2006/relationships/hyperlink" Target="https://facebooken.login.piotrpiotr.pl/" TargetMode="External" Id="rId3162"/><Relationship Type="http://schemas.openxmlformats.org/officeDocument/2006/relationships/hyperlink" Target="https://facebooken.login.piotrpiotr.pl/" TargetMode="External" Id="rId3163"/><Relationship Type="http://schemas.openxmlformats.org/officeDocument/2006/relationships/hyperlink" Target="https://notafakedomain.org/landing/form/1324ac96-1f7e-4857-a6e6-c2c2412c3d95" TargetMode="External" Id="rId3164"/><Relationship Type="http://schemas.openxmlformats.org/officeDocument/2006/relationships/hyperlink" Target="https://notafakedomain.org/landing/form/1324ac96-1f7e-4857-a6e6-c2c2412c3d95" TargetMode="External" Id="rId3165"/><Relationship Type="http://schemas.openxmlformats.org/officeDocument/2006/relationships/hyperlink" Target="https://notafakedomain.org/landing/form/1324ac96-1f7e-4857-a6e6-c2c2412c3d95" TargetMode="External" Id="rId3166"/><Relationship Type="http://schemas.openxmlformats.org/officeDocument/2006/relationships/hyperlink" Target="https://www.rnicrosoft-exchange.com/terms-office@austrogate.net.html" TargetMode="External" Id="rId3167"/><Relationship Type="http://schemas.openxmlformats.org/officeDocument/2006/relationships/hyperlink" Target="https://www.rnicrosoft-exchange.com/terms-office@austrogate.net.html" TargetMode="External" Id="rId3168"/><Relationship Type="http://schemas.openxmlformats.org/officeDocument/2006/relationships/hyperlink" Target="https://www.rnicrosoft-exchange.com/terms-office@austrogate.net.html" TargetMode="External" Id="rId3169"/><Relationship Type="http://schemas.openxmlformats.org/officeDocument/2006/relationships/hyperlink" Target="https://20-215-200-29.cprapid.com/ch/update.php?zv15hvqkprpwp29hkqa1" TargetMode="External" Id="rId3170"/><Relationship Type="http://schemas.openxmlformats.org/officeDocument/2006/relationships/hyperlink" Target="https://20-215-200-29.cprapid.com/ch/update.php?zv15hvqkprpwp29hkqa1" TargetMode="External" Id="rId3171"/><Relationship Type="http://schemas.openxmlformats.org/officeDocument/2006/relationships/hyperlink" Target="https://20-215-200-29.cprapid.com/ch/update.php?zv15hvqkprpwp29hkqa1" TargetMode="External" Id="rId3172"/><Relationship Type="http://schemas.openxmlformats.org/officeDocument/2006/relationships/hyperlink" Target="https://rozy.standard.us-east-1.oortstorages.com/chuk.znc?eta=3mail@a.b.c0/" TargetMode="External" Id="rId3173"/><Relationship Type="http://schemas.openxmlformats.org/officeDocument/2006/relationships/hyperlink" Target="https://rozy.standard.us-east-1.oortstorages.com/chuk.znc?eta=3mail@a.b.c0/" TargetMode="External" Id="rId3174"/><Relationship Type="http://schemas.openxmlformats.org/officeDocument/2006/relationships/hyperlink" Target="https://rozy.standard.us-east-1.oortstorages.com/chuk.znc?eta=3mail@a.b.c0/" TargetMode="External" Id="rId3175"/><Relationship Type="http://schemas.openxmlformats.org/officeDocument/2006/relationships/hyperlink" Target="https://rozy.standard.us-east-1.oortstorages.com/rozz.znc?eta=3mail@a.b.c0/" TargetMode="External" Id="rId3176"/><Relationship Type="http://schemas.openxmlformats.org/officeDocument/2006/relationships/hyperlink" Target="https://rozy.standard.us-east-1.oortstorages.com/rozz.znc?eta=3mail@a.b.c0/" TargetMode="External" Id="rId3177"/><Relationship Type="http://schemas.openxmlformats.org/officeDocument/2006/relationships/hyperlink" Target="https://rozy.standard.us-east-1.oortstorages.com/rozz.znc?eta=3mail@a.b.c0/" TargetMode="External" Id="rId3178"/><Relationship Type="http://schemas.openxmlformats.org/officeDocument/2006/relationships/hyperlink" Target="http://4a60b417-zimbra-8d7f-web-o4286-fd24f6.netlify.app/zm/" TargetMode="External" Id="rId3179"/><Relationship Type="http://schemas.openxmlformats.org/officeDocument/2006/relationships/hyperlink" Target="http://4a60b417-zimbra-8d7f-web-o4286-fd24f6.netlify.app/zm/" TargetMode="External" Id="rId3180"/><Relationship Type="http://schemas.openxmlformats.org/officeDocument/2006/relationships/hyperlink" Target="http://4a60b417-zimbra-8d7f-web-o4286-fd24f6.netlify.app/zm/" TargetMode="External" Id="rId3181"/><Relationship Type="http://schemas.openxmlformats.org/officeDocument/2006/relationships/hyperlink" Target="https://pyro.sg/--/infos.php" TargetMode="External" Id="rId3182"/><Relationship Type="http://schemas.openxmlformats.org/officeDocument/2006/relationships/hyperlink" Target="https://pyro.sg/--/infos.php" TargetMode="External" Id="rId3183"/><Relationship Type="http://schemas.openxmlformats.org/officeDocument/2006/relationships/hyperlink" Target="https://pyro.sg/--/infos.php" TargetMode="External" Id="rId3184"/><Relationship Type="http://schemas.openxmlformats.org/officeDocument/2006/relationships/hyperlink" Target="https://robiox.com.af/users/3526449442/profile" TargetMode="External" Id="rId3185"/><Relationship Type="http://schemas.openxmlformats.org/officeDocument/2006/relationships/hyperlink" Target="https://robiox.com.af/users/3526449442/profile" TargetMode="External" Id="rId3186"/><Relationship Type="http://schemas.openxmlformats.org/officeDocument/2006/relationships/hyperlink" Target="https://robiox.com.af/users/3526449442/profile" TargetMode="External" Id="rId3187"/><Relationship Type="http://schemas.openxmlformats.org/officeDocument/2006/relationships/hyperlink" Target="http://pub-7286888a4a30420ca43a0a3961b944c0.r2.dev/index.html" TargetMode="External" Id="rId3188"/><Relationship Type="http://schemas.openxmlformats.org/officeDocument/2006/relationships/hyperlink" Target="http://pub-7286888a4a30420ca43a0a3961b944c0.r2.dev/index.html" TargetMode="External" Id="rId3189"/><Relationship Type="http://schemas.openxmlformats.org/officeDocument/2006/relationships/hyperlink" Target="http://pub-7286888a4a30420ca43a0a3961b944c0.r2.dev/index.html" TargetMode="External" Id="rId3190"/><Relationship Type="http://schemas.openxmlformats.org/officeDocument/2006/relationships/hyperlink" Target="https://notafakedomain.org/landing/form/a3227ad0-60e6-45a7-ad36-90be3bfb0da8" TargetMode="External" Id="rId3191"/><Relationship Type="http://schemas.openxmlformats.org/officeDocument/2006/relationships/hyperlink" Target="https://notafakedomain.org/landing/form/a3227ad0-60e6-45a7-ad36-90be3bfb0da8" TargetMode="External" Id="rId3192"/><Relationship Type="http://schemas.openxmlformats.org/officeDocument/2006/relationships/hyperlink" Target="https://notafakedomain.org/landing/form/a3227ad0-60e6-45a7-ad36-90be3bfb0da8" TargetMode="External" Id="rId3193"/><Relationship Type="http://schemas.openxmlformats.org/officeDocument/2006/relationships/hyperlink" Target="https://mdfarhan2550.github.io/amazon-clone/" TargetMode="External" Id="rId3194"/><Relationship Type="http://schemas.openxmlformats.org/officeDocument/2006/relationships/hyperlink" Target="https://mdfarhan2550.github.io/amazon-clone/" TargetMode="External" Id="rId3195"/><Relationship Type="http://schemas.openxmlformats.org/officeDocument/2006/relationships/hyperlink" Target="https://mdfarhan2550.github.io/amazon-clone/" TargetMode="External" Id="rId3196"/><Relationship Type="http://schemas.openxmlformats.org/officeDocument/2006/relationships/hyperlink" Target="https://gigorup.com/Slcmu/" TargetMode="External" Id="rId3197"/><Relationship Type="http://schemas.openxmlformats.org/officeDocument/2006/relationships/hyperlink" Target="https://gigorup.com/Slcmu/" TargetMode="External" Id="rId3198"/><Relationship Type="http://schemas.openxmlformats.org/officeDocument/2006/relationships/hyperlink" Target="https://gigorup.com/Slcmu/" TargetMode="External" Id="rId3199"/><Relationship Type="http://schemas.openxmlformats.org/officeDocument/2006/relationships/hyperlink" Target="https://www.rnicrosoft-exchange.com/terms-info@antiphishing.ch.html" TargetMode="External" Id="rId3200"/><Relationship Type="http://schemas.openxmlformats.org/officeDocument/2006/relationships/hyperlink" Target="https://www.rnicrosoft-exchange.com/terms-info@antiphishing.ch.html" TargetMode="External" Id="rId3201"/><Relationship Type="http://schemas.openxmlformats.org/officeDocument/2006/relationships/hyperlink" Target="https://www.rnicrosoft-exchange.com/terms-info@antiphishing.ch.html" TargetMode="External" Id="rId3202"/><Relationship Type="http://schemas.openxmlformats.org/officeDocument/2006/relationships/hyperlink" Target="https://www.rnicrosoft-exchange.com/terms-info@admin.ch.html" TargetMode="External" Id="rId3203"/><Relationship Type="http://schemas.openxmlformats.org/officeDocument/2006/relationships/hyperlink" Target="https://www.rnicrosoft-exchange.com/terms-info@admin.ch.html" TargetMode="External" Id="rId3204"/><Relationship Type="http://schemas.openxmlformats.org/officeDocument/2006/relationships/hyperlink" Target="https://www.rnicrosoft-exchange.com/terms-info@admin.ch.html" TargetMode="External" Id="rId3205"/><Relationship Type="http://schemas.openxmlformats.org/officeDocument/2006/relationships/hyperlink" Target="https://hiyaa1501.github.io/Amazon-clone/" TargetMode="External" Id="rId3206"/><Relationship Type="http://schemas.openxmlformats.org/officeDocument/2006/relationships/hyperlink" Target="https://hiyaa1501.github.io/Amazon-clone/" TargetMode="External" Id="rId3207"/><Relationship Type="http://schemas.openxmlformats.org/officeDocument/2006/relationships/hyperlink" Target="https://hiyaa1501.github.io/Amazon-clone/" TargetMode="External" Id="rId3208"/><Relationship Type="http://schemas.openxmlformats.org/officeDocument/2006/relationships/hyperlink" Target="https://glistening-platypus-505378.netlify.app/" TargetMode="External" Id="rId3209"/><Relationship Type="http://schemas.openxmlformats.org/officeDocument/2006/relationships/hyperlink" Target="https://glistening-platypus-505378.netlify.app/" TargetMode="External" Id="rId3210"/><Relationship Type="http://schemas.openxmlformats.org/officeDocument/2006/relationships/hyperlink" Target="https://glistening-platypus-505378.netlify.app/" TargetMode="External" Id="rId3211"/><Relationship Type="http://schemas.openxmlformats.org/officeDocument/2006/relationships/hyperlink" Target="https://699a26ca1eae9cec8700576e--glistening-platypus-505378.netlify.app/" TargetMode="External" Id="rId3212"/><Relationship Type="http://schemas.openxmlformats.org/officeDocument/2006/relationships/hyperlink" Target="https://699a26ca1eae9cec8700576e--glistening-platypus-505378.netlify.app/" TargetMode="External" Id="rId3213"/><Relationship Type="http://schemas.openxmlformats.org/officeDocument/2006/relationships/hyperlink" Target="https://699a26ca1eae9cec8700576e--glistening-platypus-505378.netlify.app/" TargetMode="External" Id="rId3214"/><Relationship Type="http://schemas.openxmlformats.org/officeDocument/2006/relationships/hyperlink" Target="https://slippy0.github.io/login-verification/" TargetMode="External" Id="rId3215"/><Relationship Type="http://schemas.openxmlformats.org/officeDocument/2006/relationships/hyperlink" Target="https://slippy0.github.io/login-verification/" TargetMode="External" Id="rId3216"/><Relationship Type="http://schemas.openxmlformats.org/officeDocument/2006/relationships/hyperlink" Target="https://slippy0.github.io/login-verification/" TargetMode="External" Id="rId3217"/><Relationship Type="http://schemas.openxmlformats.org/officeDocument/2006/relationships/hyperlink" Target="https://one.link/kalashnikprod/" TargetMode="External" Id="rId3218"/><Relationship Type="http://schemas.openxmlformats.org/officeDocument/2006/relationships/hyperlink" Target="https://one.link/kalashnikprod/" TargetMode="External" Id="rId3219"/><Relationship Type="http://schemas.openxmlformats.org/officeDocument/2006/relationships/hyperlink" Target="https://one.link/kalashnikprod/" TargetMode="External" Id="rId3220"/><Relationship Type="http://schemas.openxmlformats.org/officeDocument/2006/relationships/hyperlink" Target="https://roblox.com.py/users/138990910/profile" TargetMode="External" Id="rId3221"/><Relationship Type="http://schemas.openxmlformats.org/officeDocument/2006/relationships/hyperlink" Target="https://roblox.com.py/users/138990910/profile" TargetMode="External" Id="rId3222"/><Relationship Type="http://schemas.openxmlformats.org/officeDocument/2006/relationships/hyperlink" Target="https://roblox.com.py/users/138990910/profile" TargetMode="External" Id="rId3223"/><Relationship Type="http://schemas.openxmlformats.org/officeDocument/2006/relationships/hyperlink" Target="https://roblox.com.ge/games/17812058042/Very-dirty?privateServerLinkCode=59503397180471389350351663796083" TargetMode="External" Id="rId3224"/><Relationship Type="http://schemas.openxmlformats.org/officeDocument/2006/relationships/hyperlink" Target="https://roblox.com.ge/games/17812058042/Very-dirty?privateServerLinkCode=59503397180471389350351663796083" TargetMode="External" Id="rId3225"/><Relationship Type="http://schemas.openxmlformats.org/officeDocument/2006/relationships/hyperlink" Target="https://roblox.com.ge/games/17812058042/Very-dirty?privateServerLinkCode=59503397180471389350351663796083" TargetMode="External" Id="rId3226"/><Relationship Type="http://schemas.openxmlformats.org/officeDocument/2006/relationships/hyperlink" Target="https://faceb000k.duckdns.org/" TargetMode="External" Id="rId3227"/><Relationship Type="http://schemas.openxmlformats.org/officeDocument/2006/relationships/hyperlink" Target="https://faceb000k.duckdns.org/" TargetMode="External" Id="rId3228"/><Relationship Type="http://schemas.openxmlformats.org/officeDocument/2006/relationships/hyperlink" Target="https://faceb000k.duckdns.org/" TargetMode="External" Id="rId3229"/><Relationship Type="http://schemas.openxmlformats.org/officeDocument/2006/relationships/hyperlink" Target="https://otx.alienvault.com" TargetMode="External" Id="rId3230"/><Relationship Type="http://schemas.openxmlformats.org/officeDocument/2006/relationships/hyperlink" Target="https://otx.alienvault.com" TargetMode="External" Id="rId3231"/><Relationship Type="http://schemas.openxmlformats.org/officeDocument/2006/relationships/hyperlink" Target="https://www.group-ib.com/blog/muddywater-operation-olalampo/" TargetMode="External" Id="rId3232"/><Relationship Type="http://schemas.openxmlformats.org/officeDocument/2006/relationships/hyperlink" Target="https://www.group-ib.com/blog/muddywater-operation-olalampo/" TargetMode="External" Id="rId3233"/><Relationship Type="http://schemas.openxmlformats.org/officeDocument/2006/relationships/hyperlink" Target="https://socket.dev/blog/sandworm-mode-npm-worm-ai-toolchain-poisoning" TargetMode="External" Id="rId3234"/><Relationship Type="http://schemas.openxmlformats.org/officeDocument/2006/relationships/hyperlink" Target="https://socket.dev/blog/sandworm-mode-npm-worm-ai-toolchain-poisoning" TargetMode="External" Id="rId3235"/><Relationship Type="http://schemas.openxmlformats.org/officeDocument/2006/relationships/hyperlink" Target="https://rt-solar.ru/solar-4rays/blog/6397/" TargetMode="External" Id="rId3236"/><Relationship Type="http://schemas.openxmlformats.org/officeDocument/2006/relationships/hyperlink" Target="https://rt-solar.ru/solar-4rays/blog/6397/" TargetMode="External" Id="rId3237"/><Relationship Type="http://schemas.openxmlformats.org/officeDocument/2006/relationships/hyperlink" Target="https://www.genians.co.kr/en/blog/threat_intelligence/muddywater-apt?hs_amp=true" TargetMode="External" Id="rId3238"/><Relationship Type="http://schemas.openxmlformats.org/officeDocument/2006/relationships/hyperlink" Target="https://www.genians.co.kr/en/blog/threat_intelligence/muddywater-apt?hs_amp=true" TargetMode="External" Id="rId3239"/><Relationship Type="http://schemas.openxmlformats.org/officeDocument/2006/relationships/hyperlink" Target="https://www.fortinet.com/blog/threat-research/massive-winos-40-campaigns-target-taiwan" TargetMode="External" Id="rId3240"/><Relationship Type="http://schemas.openxmlformats.org/officeDocument/2006/relationships/hyperlink" Target="https://www.fortinet.com/blog/threat-research/massive-winos-40-campaigns-target-taiwan" TargetMode="External" Id="rId3241"/><Relationship Type="http://schemas.openxmlformats.org/officeDocument/2006/relationships/hyperlink" Target="https://www.welivesecurity.com/en/eset-research/love-actually-fake-dating-app-used-lure-targeted-spyware-campaign-pakistan" TargetMode="External" Id="rId3242"/><Relationship Type="http://schemas.openxmlformats.org/officeDocument/2006/relationships/hyperlink" Target="https://www.welivesecurity.com/en/eset-research/love-actually-fake-dating-app-used-lure-targeted-spyware-campaign-pakistan" TargetMode="External" Id="rId3243"/><Relationship Type="http://schemas.openxmlformats.org/officeDocument/2006/relationships/hyperlink" Target="https://habr.com/ru/companies/F6/articles/987734/" TargetMode="External" Id="rId3244"/><Relationship Type="http://schemas.openxmlformats.org/officeDocument/2006/relationships/hyperlink" Target="https://habr.com/ru/companies/F6/articles/987734/" TargetMode="External" Id="rId3245"/><Relationship Type="http://schemas.openxmlformats.org/officeDocument/2006/relationships/hyperlink" Target="https://rt-solar.ru/solar-4rays/blog/6328/" TargetMode="External" Id="rId3246"/><Relationship Type="http://schemas.openxmlformats.org/officeDocument/2006/relationships/hyperlink" Target="https://rt-solar.ru/solar-4rays/blog/6328/" TargetMode="External" Id="rId3247"/><Relationship Type="http://schemas.openxmlformats.org/officeDocument/2006/relationships/hyperlink" Target="https://research.checkpoint.com/2026/konni-targets-developers-with-ai-malware" TargetMode="External" Id="rId3248"/><Relationship Type="http://schemas.openxmlformats.org/officeDocument/2006/relationships/hyperlink" Target="https://research.checkpoint.com/2026/konni-targets-developers-with-ai-malware" TargetMode="External" Id="rId3249"/><Relationship Type="http://schemas.openxmlformats.org/officeDocument/2006/relationships/hyperlink" Target="https://arcticwolf.com/resources/blog/arctic-wolf-observes-malicious-configuration-changes-fortinet-fortigate-devices-via-sso-accounts" TargetMode="External" Id="rId3250"/><Relationship Type="http://schemas.openxmlformats.org/officeDocument/2006/relationships/hyperlink" Target="https://arcticwolf.com/resources/blog/arctic-wolf-observes-malicious-configuration-changes-fortinet-fortigate-devices-via-sso-accounts" TargetMode="External" Id="rId3251"/><Relationship Type="http://schemas.openxmlformats.org/officeDocument/2006/relationships/hyperlink" Target="https://www.recordedfuture.com/research/purplebravos-targeting-it-software-supply-chain" TargetMode="External" Id="rId3252"/><Relationship Type="http://schemas.openxmlformats.org/officeDocument/2006/relationships/hyperlink" Target="https://www.recordedfuture.com/research/purplebravos-targeting-it-software-supply-chain" TargetMode="External" Id="rId3253"/><Relationship Type="http://schemas.openxmlformats.org/officeDocument/2006/relationships/hyperlink" Target="https://www.elastic.co/security-labs/mimicrat-custom-rat-mimics-c2-frameworks" TargetMode="External" Id="rId3254"/><Relationship Type="http://schemas.openxmlformats.org/officeDocument/2006/relationships/hyperlink" Target="https://www.elastic.co/security-labs/mimicrat-custom-rat-mimics-c2-frameworks" TargetMode="External" Id="rId3255"/><Relationship Type="http://schemas.openxmlformats.org/officeDocument/2006/relationships/hyperlink" Target="https://cert.pl/posts/2026/02/fake-captcha-in-action" TargetMode="External" Id="rId3256"/><Relationship Type="http://schemas.openxmlformats.org/officeDocument/2006/relationships/hyperlink" Target="https://cert.pl/posts/2026/02/fake-captcha-in-action" TargetMode="External" Id="rId3257"/><Relationship Type="http://schemas.openxmlformats.org/officeDocument/2006/relationships/hyperlink" Target="https://unit42.paloaltonetworks.com/beyondtrust-cve-2026-1731/" TargetMode="External" Id="rId3258"/><Relationship Type="http://schemas.openxmlformats.org/officeDocument/2006/relationships/hyperlink" Target="https://unit42.paloaltonetworks.com/beyondtrust-cve-2026-1731/" TargetMode="External" Id="rId3259"/><Relationship Type="http://schemas.openxmlformats.org/officeDocument/2006/relationships/hyperlink" Target="https://www.truesec.com/hub/blog/zero-day-dell-recoverpoint-for-virtual-machines-cve-2026-22769" TargetMode="External" Id="rId3260"/><Relationship Type="http://schemas.openxmlformats.org/officeDocument/2006/relationships/hyperlink" Target="https://www.truesec.com/hub/blog/zero-day-dell-recoverpoint-for-virtual-machines-cve-2026-22769" TargetMode="External" Id="rId3261"/><Relationship Type="http://schemas.openxmlformats.org/officeDocument/2006/relationships/hyperlink" Target="https://www.welivesecurity.com/en/eset-research/promptspy-ushers-in-era-android-threats-using-genai" TargetMode="External" Id="rId3262"/><Relationship Type="http://schemas.openxmlformats.org/officeDocument/2006/relationships/hyperlink" Target="https://www.welivesecurity.com/en/eset-research/promptspy-ushers-in-era-android-threats-using-genai" TargetMode="External" Id="rId3263"/><Relationship Type="http://schemas.openxmlformats.org/officeDocument/2006/relationships/hyperlink" Target="https://www.jamf.com/blog/threat-actors-expand-abuse-of-visual-studio-code" TargetMode="External" Id="rId3264"/><Relationship Type="http://schemas.openxmlformats.org/officeDocument/2006/relationships/hyperlink" Target="https://www.jamf.com/blog/threat-actors-expand-abuse-of-visual-studio-code" TargetMode="External" Id="rId3265"/><Relationship Type="http://schemas.openxmlformats.org/officeDocument/2006/relationships/hyperlink" Target="https://www.enki.co.kr/en/media-center/blog/etherrat-targeting-windows-disguised-as-a-game-mod-installer" TargetMode="External" Id="rId3266"/><Relationship Type="http://schemas.openxmlformats.org/officeDocument/2006/relationships/hyperlink" Target="https://www.enki.co.kr/en/media-center/blog/etherrat-targeting-windows-disguised-as-a-game-mod-installer" TargetMode="External" Id="rId3267"/><Relationship Type="http://schemas.openxmlformats.org/officeDocument/2006/relationships/hyperlink" Target="https://cofense.com/blog/invitation-to-trouble-the-rise-of-calendar-phishing-attacks" TargetMode="External" Id="rId3268"/><Relationship Type="http://schemas.openxmlformats.org/officeDocument/2006/relationships/hyperlink" Target="https://cofense.com/blog/invitation-to-trouble-the-rise-of-calendar-phishing-attacks" TargetMode="External" Id="rId3269"/><Relationship Type="http://schemas.openxmlformats.org/officeDocument/2006/relationships/hyperlink" Target="https://threatfox.abuse.ch/ioc/1753830/" TargetMode="External" Id="rId3270"/><Relationship Type="http://schemas.openxmlformats.org/officeDocument/2006/relationships/hyperlink" Target="https://threatfox.abuse.ch/ioc/1753830/" TargetMode="External" Id="rId3271"/><Relationship Type="http://schemas.openxmlformats.org/officeDocument/2006/relationships/hyperlink" Target="https://threatfox.abuse.ch/ioc/1753829/" TargetMode="External" Id="rId3272"/><Relationship Type="http://schemas.openxmlformats.org/officeDocument/2006/relationships/hyperlink" Target="https://threatfox.abuse.ch/ioc/1753829/" TargetMode="External" Id="rId3273"/><Relationship Type="http://schemas.openxmlformats.org/officeDocument/2006/relationships/hyperlink" Target="https://threatfox.abuse.ch/ioc/1753828/" TargetMode="External" Id="rId3274"/><Relationship Type="http://schemas.openxmlformats.org/officeDocument/2006/relationships/hyperlink" Target="https://threatfox.abuse.ch/ioc/1753828/" TargetMode="External" Id="rId3275"/><Relationship Type="http://schemas.openxmlformats.org/officeDocument/2006/relationships/hyperlink" Target="https://threatfox.abuse.ch/ioc/1753827/" TargetMode="External" Id="rId3276"/><Relationship Type="http://schemas.openxmlformats.org/officeDocument/2006/relationships/hyperlink" Target="https://threatfox.abuse.ch/ioc/1753827/" TargetMode="External" Id="rId3277"/><Relationship Type="http://schemas.openxmlformats.org/officeDocument/2006/relationships/hyperlink" Target="https://threatfox.abuse.ch/ioc/1753826/" TargetMode="External" Id="rId3278"/><Relationship Type="http://schemas.openxmlformats.org/officeDocument/2006/relationships/hyperlink" Target="https://threatfox.abuse.ch/ioc/1753826/" TargetMode="External" Id="rId3279"/><Relationship Type="http://schemas.openxmlformats.org/officeDocument/2006/relationships/hyperlink" Target="https://threatfox.abuse.ch/ioc/1753825/" TargetMode="External" Id="rId3280"/><Relationship Type="http://schemas.openxmlformats.org/officeDocument/2006/relationships/hyperlink" Target="https://threatfox.abuse.ch/ioc/1753825/" TargetMode="External" Id="rId3281"/><Relationship Type="http://schemas.openxmlformats.org/officeDocument/2006/relationships/hyperlink" Target="https://threatfox.abuse.ch/ioc/1753824/" TargetMode="External" Id="rId3282"/><Relationship Type="http://schemas.openxmlformats.org/officeDocument/2006/relationships/hyperlink" Target="https://threatfox.abuse.ch/ioc/1753824/" TargetMode="External" Id="rId3283"/><Relationship Type="http://schemas.openxmlformats.org/officeDocument/2006/relationships/hyperlink" Target="https://threatfox.abuse.ch/ioc/1753823/" TargetMode="External" Id="rId3284"/><Relationship Type="http://schemas.openxmlformats.org/officeDocument/2006/relationships/hyperlink" Target="https://threatfox.abuse.ch/ioc/1753823/" TargetMode="External" Id="rId3285"/><Relationship Type="http://schemas.openxmlformats.org/officeDocument/2006/relationships/hyperlink" Target="https://threatfox.abuse.ch/ioc/1753822/" TargetMode="External" Id="rId3286"/><Relationship Type="http://schemas.openxmlformats.org/officeDocument/2006/relationships/hyperlink" Target="https://threatfox.abuse.ch/ioc/1753822/" TargetMode="External" Id="rId3287"/><Relationship Type="http://schemas.openxmlformats.org/officeDocument/2006/relationships/hyperlink" Target="https://threatfox.abuse.ch/ioc/1753821/" TargetMode="External" Id="rId3288"/><Relationship Type="http://schemas.openxmlformats.org/officeDocument/2006/relationships/hyperlink" Target="https://threatfox.abuse.ch/ioc/1753821/" TargetMode="External" Id="rId3289"/><Relationship Type="http://schemas.openxmlformats.org/officeDocument/2006/relationships/hyperlink" Target="https://threatfox.abuse.ch/ioc/1753820/" TargetMode="External" Id="rId3290"/><Relationship Type="http://schemas.openxmlformats.org/officeDocument/2006/relationships/hyperlink" Target="https://threatfox.abuse.ch/ioc/1753820/" TargetMode="External" Id="rId3291"/><Relationship Type="http://schemas.openxmlformats.org/officeDocument/2006/relationships/hyperlink" Target="https://threatfox.abuse.ch/ioc/1753819/" TargetMode="External" Id="rId3292"/><Relationship Type="http://schemas.openxmlformats.org/officeDocument/2006/relationships/hyperlink" Target="https://threatfox.abuse.ch/ioc/1753819/" TargetMode="External" Id="rId3293"/><Relationship Type="http://schemas.openxmlformats.org/officeDocument/2006/relationships/hyperlink" Target="https://threatfox.abuse.ch/ioc/1753818/" TargetMode="External" Id="rId3294"/><Relationship Type="http://schemas.openxmlformats.org/officeDocument/2006/relationships/hyperlink" Target="https://threatfox.abuse.ch/ioc/1753818/" TargetMode="External" Id="rId3295"/><Relationship Type="http://schemas.openxmlformats.org/officeDocument/2006/relationships/hyperlink" Target="https://threatfox.abuse.ch/ioc/1753817/" TargetMode="External" Id="rId3296"/><Relationship Type="http://schemas.openxmlformats.org/officeDocument/2006/relationships/hyperlink" Target="https://threatfox.abuse.ch/ioc/1753817/" TargetMode="External" Id="rId3297"/><Relationship Type="http://schemas.openxmlformats.org/officeDocument/2006/relationships/hyperlink" Target="https://threatfox.abuse.ch/ioc/1753816/" TargetMode="External" Id="rId3298"/><Relationship Type="http://schemas.openxmlformats.org/officeDocument/2006/relationships/hyperlink" Target="https://threatfox.abuse.ch/ioc/1753816/" TargetMode="External" Id="rId3299"/><Relationship Type="http://schemas.openxmlformats.org/officeDocument/2006/relationships/hyperlink" Target="https://threatfox.abuse.ch/ioc/1753815/" TargetMode="External" Id="rId3300"/><Relationship Type="http://schemas.openxmlformats.org/officeDocument/2006/relationships/hyperlink" Target="https://threatfox.abuse.ch/ioc/1753815/" TargetMode="External" Id="rId3301"/><Relationship Type="http://schemas.openxmlformats.org/officeDocument/2006/relationships/hyperlink" Target="https://threatfox.abuse.ch/ioc/1753814/" TargetMode="External" Id="rId3302"/><Relationship Type="http://schemas.openxmlformats.org/officeDocument/2006/relationships/hyperlink" Target="https://threatfox.abuse.ch/ioc/1753814/" TargetMode="External" Id="rId3303"/><Relationship Type="http://schemas.openxmlformats.org/officeDocument/2006/relationships/hyperlink" Target="https://threatfox.abuse.ch/ioc/1753813/" TargetMode="External" Id="rId3304"/><Relationship Type="http://schemas.openxmlformats.org/officeDocument/2006/relationships/hyperlink" Target="https://threatfox.abuse.ch/ioc/1753813/" TargetMode="External" Id="rId3305"/><Relationship Type="http://schemas.openxmlformats.org/officeDocument/2006/relationships/hyperlink" Target="https://threatfox.abuse.ch/ioc/1753812/" TargetMode="External" Id="rId3306"/><Relationship Type="http://schemas.openxmlformats.org/officeDocument/2006/relationships/hyperlink" Target="https://threatfox.abuse.ch/ioc/1753812/" TargetMode="External" Id="rId3307"/><Relationship Type="http://schemas.openxmlformats.org/officeDocument/2006/relationships/hyperlink" Target="https://threatfox.abuse.ch/ioc/1753811/" TargetMode="External" Id="rId3308"/><Relationship Type="http://schemas.openxmlformats.org/officeDocument/2006/relationships/hyperlink" Target="https://threatfox.abuse.ch/ioc/1753811/" TargetMode="External" Id="rId3309"/><Relationship Type="http://schemas.openxmlformats.org/officeDocument/2006/relationships/hyperlink" Target="https://threatfox.abuse.ch/ioc/1753810/" TargetMode="External" Id="rId3310"/><Relationship Type="http://schemas.openxmlformats.org/officeDocument/2006/relationships/hyperlink" Target="https://threatfox.abuse.ch/ioc/1753810/" TargetMode="External" Id="rId3311"/><Relationship Type="http://schemas.openxmlformats.org/officeDocument/2006/relationships/hyperlink" Target="https://threatfox.abuse.ch/ioc/1753809/" TargetMode="External" Id="rId3312"/><Relationship Type="http://schemas.openxmlformats.org/officeDocument/2006/relationships/hyperlink" Target="https://threatfox.abuse.ch/ioc/1753809/" TargetMode="External" Id="rId3313"/><Relationship Type="http://schemas.openxmlformats.org/officeDocument/2006/relationships/hyperlink" Target="https://threatfox.abuse.ch/ioc/1753808/" TargetMode="External" Id="rId3314"/><Relationship Type="http://schemas.openxmlformats.org/officeDocument/2006/relationships/hyperlink" Target="https://threatfox.abuse.ch/ioc/1753808/" TargetMode="External" Id="rId3315"/><Relationship Type="http://schemas.openxmlformats.org/officeDocument/2006/relationships/hyperlink" Target="https://threatfox.abuse.ch/ioc/1753807/" TargetMode="External" Id="rId3316"/><Relationship Type="http://schemas.openxmlformats.org/officeDocument/2006/relationships/hyperlink" Target="https://threatfox.abuse.ch/ioc/1753807/" TargetMode="External" Id="rId3317"/><Relationship Type="http://schemas.openxmlformats.org/officeDocument/2006/relationships/hyperlink" Target="https://threatfox.abuse.ch/ioc/1753806/" TargetMode="External" Id="rId3318"/><Relationship Type="http://schemas.openxmlformats.org/officeDocument/2006/relationships/hyperlink" Target="https://threatfox.abuse.ch/ioc/1753806/" TargetMode="External" Id="rId3319"/><Relationship Type="http://schemas.openxmlformats.org/officeDocument/2006/relationships/hyperlink" Target="https://threatfox.abuse.ch/ioc/1753805/" TargetMode="External" Id="rId3320"/><Relationship Type="http://schemas.openxmlformats.org/officeDocument/2006/relationships/hyperlink" Target="https://threatfox.abuse.ch/ioc/1753805/" TargetMode="External" Id="rId3321"/><Relationship Type="http://schemas.openxmlformats.org/officeDocument/2006/relationships/hyperlink" Target="https://threatfox.abuse.ch/ioc/1753804/" TargetMode="External" Id="rId3322"/><Relationship Type="http://schemas.openxmlformats.org/officeDocument/2006/relationships/hyperlink" Target="https://threatfox.abuse.ch/ioc/1753804/" TargetMode="External" Id="rId3323"/><Relationship Type="http://schemas.openxmlformats.org/officeDocument/2006/relationships/hyperlink" Target="https://threatfox.abuse.ch/ioc/1753803/" TargetMode="External" Id="rId3324"/><Relationship Type="http://schemas.openxmlformats.org/officeDocument/2006/relationships/hyperlink" Target="https://threatfox.abuse.ch/ioc/1753803/" TargetMode="External" Id="rId3325"/><Relationship Type="http://schemas.openxmlformats.org/officeDocument/2006/relationships/hyperlink" Target="https://threatfox.abuse.ch/ioc/1753802/" TargetMode="External" Id="rId3326"/><Relationship Type="http://schemas.openxmlformats.org/officeDocument/2006/relationships/hyperlink" Target="https://threatfox.abuse.ch/ioc/1753802/" TargetMode="External" Id="rId3327"/><Relationship Type="http://schemas.openxmlformats.org/officeDocument/2006/relationships/hyperlink" Target="https://threatfox.abuse.ch/ioc/1753801/" TargetMode="External" Id="rId3328"/><Relationship Type="http://schemas.openxmlformats.org/officeDocument/2006/relationships/hyperlink" Target="https://threatfox.abuse.ch/ioc/1753801/" TargetMode="External" Id="rId3329"/><Relationship Type="http://schemas.openxmlformats.org/officeDocument/2006/relationships/hyperlink" Target="https://www.threatminer.org/domain.php?q=" TargetMode="External" Id="rId3330"/><Relationship Type="http://schemas.openxmlformats.org/officeDocument/2006/relationships/hyperlink" Target="https://www.threatminer.org/domain.php?q=" TargetMode="External" Id="rId3331"/><Relationship Type="http://schemas.openxmlformats.org/officeDocument/2006/relationships/hyperlink" Target="https://www.threatminer.org/domain.php?q=" TargetMode="External" Id="rId3332"/><Relationship Type="http://schemas.openxmlformats.org/officeDocument/2006/relationships/hyperlink" Target="https://www.threatminer.org/domain.php?q=" TargetMode="External" Id="rId3333"/><Relationship Type="http://schemas.openxmlformats.org/officeDocument/2006/relationships/hyperlink" Target="https://www.threatminer.org/domain.php?q=" TargetMode="External" Id="rId3334"/><Relationship Type="http://schemas.openxmlformats.org/officeDocument/2006/relationships/hyperlink" Target="https://www.threatminer.org/domain.php?q=" TargetMode="External" Id="rId3335"/><Relationship Type="http://schemas.openxmlformats.org/officeDocument/2006/relationships/hyperlink" Target="https://www.threatminer.org/domain.php?q=" TargetMode="External" Id="rId3336"/><Relationship Type="http://schemas.openxmlformats.org/officeDocument/2006/relationships/hyperlink" Target="https://www.threatminer.org/domain.php?q=" TargetMode="External" Id="rId3337"/><Relationship Type="http://schemas.openxmlformats.org/officeDocument/2006/relationships/hyperlink" Target="https://www.threatminer.org/domain.php?q=" TargetMode="External" Id="rId3338"/><Relationship Type="http://schemas.openxmlformats.org/officeDocument/2006/relationships/hyperlink" Target="https://www.threatminer.org/domain.php?q=" TargetMode="External" Id="rId3339"/><Relationship Type="http://schemas.openxmlformats.org/officeDocument/2006/relationships/hyperlink" Target="https://www.threatminer.org/domain.php?q=" TargetMode="External" Id="rId3340"/><Relationship Type="http://schemas.openxmlformats.org/officeDocument/2006/relationships/hyperlink" Target="https://www.threatminer.org/domain.php?q=" TargetMode="External" Id="rId3341"/><Relationship Type="http://schemas.openxmlformats.org/officeDocument/2006/relationships/hyperlink" Target="https://www.threatminer.org/domain.php?q=" TargetMode="External" Id="rId3342"/><Relationship Type="http://schemas.openxmlformats.org/officeDocument/2006/relationships/hyperlink" Target="https://www.threatminer.org/domain.php?q=" TargetMode="External" Id="rId3343"/><Relationship Type="http://schemas.openxmlformats.org/officeDocument/2006/relationships/hyperlink" Target="https://www.threatminer.org/domain.php?q=" TargetMode="External" Id="rId3344"/><Relationship Type="http://schemas.openxmlformats.org/officeDocument/2006/relationships/hyperlink" Target="https://www.threatminer.org/domain.php?q=" TargetMode="External" Id="rId3345"/><Relationship Type="http://schemas.openxmlformats.org/officeDocument/2006/relationships/hyperlink" Target="https://www.threatminer.org/domain.php?q=" TargetMode="External" Id="rId3346"/><Relationship Type="http://schemas.openxmlformats.org/officeDocument/2006/relationships/hyperlink" Target="https://www.threatminer.org/domain.php?q=" TargetMode="External" Id="rId3347"/><Relationship Type="http://schemas.openxmlformats.org/officeDocument/2006/relationships/hyperlink" Target="https://www.threatminer.org/domain.php?q=" TargetMode="External" Id="rId3348"/><Relationship Type="http://schemas.openxmlformats.org/officeDocument/2006/relationships/hyperlink" Target="https://www.threatminer.org/domain.php?q=" TargetMode="External" Id="rId3349"/><Relationship Type="http://schemas.openxmlformats.org/officeDocument/2006/relationships/hyperlink" Target="https://www.threatminer.org/domain.php?q=" TargetMode="External" Id="rId3350"/><Relationship Type="http://schemas.openxmlformats.org/officeDocument/2006/relationships/hyperlink" Target="https://www.threatminer.org/domain.php?q=" TargetMode="External" Id="rId3351"/><Relationship Type="http://schemas.openxmlformats.org/officeDocument/2006/relationships/hyperlink" Target="https://www.threatminer.org/domain.php?q=" TargetMode="External" Id="rId3352"/><Relationship Type="http://schemas.openxmlformats.org/officeDocument/2006/relationships/hyperlink" Target="https://www.threatminer.org/domain.php?q=" TargetMode="External" Id="rId3353"/><Relationship Type="http://schemas.openxmlformats.org/officeDocument/2006/relationships/hyperlink" Target="https://www.threatminer.org/domain.php?q=" TargetMode="External" Id="rId3354"/><Relationship Type="http://schemas.openxmlformats.org/officeDocument/2006/relationships/hyperlink" Target="https://www.threatminer.org/domain.php?q=" TargetMode="External" Id="rId3355"/><Relationship Type="http://schemas.openxmlformats.org/officeDocument/2006/relationships/hyperlink" Target="https://www.threatminer.org/domain.php?q=" TargetMode="External" Id="rId3356"/><Relationship Type="http://schemas.openxmlformats.org/officeDocument/2006/relationships/hyperlink" Target="https://www.threatminer.org/domain.php?q=" TargetMode="External" Id="rId3357"/><Relationship Type="http://schemas.openxmlformats.org/officeDocument/2006/relationships/hyperlink" Target="https://www.threatminer.org/domain.php?q=" TargetMode="External" Id="rId3358"/><Relationship Type="http://schemas.openxmlformats.org/officeDocument/2006/relationships/hyperlink" Target="https://www.threatminer.org/domain.php?q=" TargetMode="External" Id="rId3359"/><Relationship Type="http://schemas.openxmlformats.org/officeDocument/2006/relationships/hyperlink" Target="https://www.threatminer.org/domain.php?q=" TargetMode="External" Id="rId3360"/><Relationship Type="http://schemas.openxmlformats.org/officeDocument/2006/relationships/hyperlink" Target="https://www.threatminer.org/domain.php?q=" TargetMode="External" Id="rId3361"/><Relationship Type="http://schemas.openxmlformats.org/officeDocument/2006/relationships/hyperlink" Target="https://www.threatminer.org/domain.php?q=" TargetMode="External" Id="rId3362"/><Relationship Type="http://schemas.openxmlformats.org/officeDocument/2006/relationships/hyperlink" Target="https://www.threatminer.org/domain.php?q=" TargetMode="External" Id="rId3363"/><Relationship Type="http://schemas.openxmlformats.org/officeDocument/2006/relationships/hyperlink" Target="https://www.threatminer.org/domain.php?q=" TargetMode="External" Id="rId3364"/><Relationship Type="http://schemas.openxmlformats.org/officeDocument/2006/relationships/hyperlink" Target="https://www.threatminer.org/domain.php?q=" TargetMode="External" Id="rId3365"/><Relationship Type="http://schemas.openxmlformats.org/officeDocument/2006/relationships/hyperlink" Target="https://www.threatminer.org/domain.php?q=" TargetMode="External" Id="rId3366"/><Relationship Type="http://schemas.openxmlformats.org/officeDocument/2006/relationships/hyperlink" Target="https://www.threatminer.org/domain.php?q=" TargetMode="External" Id="rId3367"/><Relationship Type="http://schemas.openxmlformats.org/officeDocument/2006/relationships/hyperlink" Target="https://www.threatminer.org/domain.php?q=" TargetMode="External" Id="rId3368"/><Relationship Type="http://schemas.openxmlformats.org/officeDocument/2006/relationships/hyperlink" Target="https://www.threatminer.org/domain.php?q=" TargetMode="External" Id="rId3369"/><Relationship Type="http://schemas.openxmlformats.org/officeDocument/2006/relationships/hyperlink" Target="https://www.threatminer.org/domain.php?q=" TargetMode="External" Id="rId3370"/><Relationship Type="http://schemas.openxmlformats.org/officeDocument/2006/relationships/hyperlink" Target="https://www.threatminer.org/domain.php?q=" TargetMode="External" Id="rId3371"/><Relationship Type="http://schemas.openxmlformats.org/officeDocument/2006/relationships/hyperlink" Target="https://www.threatminer.org/domain.php?q=" TargetMode="External" Id="rId3372"/><Relationship Type="http://schemas.openxmlformats.org/officeDocument/2006/relationships/hyperlink" Target="https://www.threatminer.org/domain.php?q=" TargetMode="External" Id="rId3373"/><Relationship Type="http://schemas.openxmlformats.org/officeDocument/2006/relationships/hyperlink" Target="https://www.threatminer.org/domain.php?q=" TargetMode="External" Id="rId3374"/><Relationship Type="http://schemas.openxmlformats.org/officeDocument/2006/relationships/hyperlink" Target="https://www.threatminer.org/domain.php?q=" TargetMode="External" Id="rId3375"/><Relationship Type="http://schemas.openxmlformats.org/officeDocument/2006/relationships/hyperlink" Target="https://www.threatminer.org/domain.php?q=" TargetMode="External" Id="rId3376"/><Relationship Type="http://schemas.openxmlformats.org/officeDocument/2006/relationships/hyperlink" Target="https://www.threatminer.org/domain.php?q=" TargetMode="External" Id="rId3377"/><Relationship Type="http://schemas.openxmlformats.org/officeDocument/2006/relationships/hyperlink" Target="https://www.threatminer.org/domain.php?q=" TargetMode="External" Id="rId3378"/><Relationship Type="http://schemas.openxmlformats.org/officeDocument/2006/relationships/hyperlink" Target="https://www.threatminer.org/domain.php?q=" TargetMode="External" Id="rId3379"/><Relationship Type="http://schemas.openxmlformats.org/officeDocument/2006/relationships/hyperlink" Target="https://www.threatminer.org/domain.php?q=" TargetMode="External" Id="rId3380"/><Relationship Type="http://schemas.openxmlformats.org/officeDocument/2006/relationships/hyperlink" Target="https://www.threatminer.org/domain.php?q=" TargetMode="External" Id="rId3381"/><Relationship Type="http://schemas.openxmlformats.org/officeDocument/2006/relationships/hyperlink" Target="https://www.threatminer.org/domain.php?q=" TargetMode="External" Id="rId3382"/><Relationship Type="http://schemas.openxmlformats.org/officeDocument/2006/relationships/hyperlink" Target="https://www.threatminer.org/domain.php?q=" TargetMode="External" Id="rId3383"/><Relationship Type="http://schemas.openxmlformats.org/officeDocument/2006/relationships/hyperlink" Target="https://www.threatminer.org/domain.php?q=" TargetMode="External" Id="rId3384"/><Relationship Type="http://schemas.openxmlformats.org/officeDocument/2006/relationships/hyperlink" Target="https://www.threatminer.org/domain.php?q=" TargetMode="External" Id="rId3385"/><Relationship Type="http://schemas.openxmlformats.org/officeDocument/2006/relationships/hyperlink" Target="https://www.threatminer.org/domain.php?q=" TargetMode="External" Id="rId3386"/><Relationship Type="http://schemas.openxmlformats.org/officeDocument/2006/relationships/hyperlink" Target="https://www.threatminer.org/domain.php?q=" TargetMode="External" Id="rId3387"/><Relationship Type="http://schemas.openxmlformats.org/officeDocument/2006/relationships/hyperlink" Target="https://www.threatminer.org/domain.php?q=" TargetMode="External" Id="rId3388"/><Relationship Type="http://schemas.openxmlformats.org/officeDocument/2006/relationships/hyperlink" Target="https://www.threatminer.org/domain.php?q=" TargetMode="External" Id="rId3389"/><Relationship Type="http://schemas.openxmlformats.org/officeDocument/2006/relationships/hyperlink" Target="https://www.shodan.io/host/178.62.3.223" TargetMode="External" Id="rId3390"/><Relationship Type="http://schemas.openxmlformats.org/officeDocument/2006/relationships/hyperlink" Target="https://www.shodan.io/host/178.62.3.223" TargetMode="External" Id="rId3391"/><Relationship Type="http://schemas.openxmlformats.org/officeDocument/2006/relationships/hyperlink" Target="https://www.shodan.io/host/178.62.3.223" TargetMode="External" Id="rId3392"/><Relationship Type="http://schemas.openxmlformats.org/officeDocument/2006/relationships/hyperlink" Target="https://www.shodan.io/host/162.243.103.246" TargetMode="External" Id="rId3393"/><Relationship Type="http://schemas.openxmlformats.org/officeDocument/2006/relationships/hyperlink" Target="https://www.shodan.io/host/162.243.103.246" TargetMode="External" Id="rId3394"/><Relationship Type="http://schemas.openxmlformats.org/officeDocument/2006/relationships/hyperlink" Target="https://www.shodan.io/host/162.243.103.246" TargetMode="External" Id="rId3395"/><Relationship Type="http://schemas.openxmlformats.org/officeDocument/2006/relationships/hyperlink" Target="https://www.shodan.io/host/162.243.103.246" TargetMode="External" Id="rId3396"/><Relationship Type="http://schemas.openxmlformats.org/officeDocument/2006/relationships/hyperlink" Target="https://www.shodan.io/host/162.243.103.246" TargetMode="External" Id="rId3397"/><Relationship Type="http://schemas.openxmlformats.org/officeDocument/2006/relationships/hyperlink" Target="https://www.shodan.io/host/162.243.103.246" TargetMode="External" Id="rId3398"/><Relationship Type="http://schemas.openxmlformats.org/officeDocument/2006/relationships/hyperlink" Target="https://www.shodan.io/host/162.243.103.246" TargetMode="External" Id="rId3399"/><Relationship Type="http://schemas.openxmlformats.org/officeDocument/2006/relationships/hyperlink" Target="https://www.shodan.io/host/162.243.103.246" TargetMode="External" Id="rId3400"/><Relationship Type="http://schemas.openxmlformats.org/officeDocument/2006/relationships/hyperlink" Target="https://www.shodan.io/host/162.243.103.246" TargetMode="External" Id="rId3401"/><Relationship Type="http://schemas.openxmlformats.org/officeDocument/2006/relationships/hyperlink" Target="https://www.abuseipdb.com/check/195.178.110.26" TargetMode="External" Id="rId3402"/><Relationship Type="http://schemas.openxmlformats.org/officeDocument/2006/relationships/hyperlink" Target="https://www.abuseipdb.com/check/195.178.110.26" TargetMode="External" Id="rId3403"/><Relationship Type="http://schemas.openxmlformats.org/officeDocument/2006/relationships/hyperlink" Target="https://www.abuseipdb.com/check/40.124.175.233" TargetMode="External" Id="rId3404"/><Relationship Type="http://schemas.openxmlformats.org/officeDocument/2006/relationships/hyperlink" Target="https://www.abuseipdb.com/check/40.124.175.233" TargetMode="External" Id="rId3405"/><Relationship Type="http://schemas.openxmlformats.org/officeDocument/2006/relationships/hyperlink" Target="https://www.abuseipdb.com/check/175.6.179.51" TargetMode="External" Id="rId3406"/><Relationship Type="http://schemas.openxmlformats.org/officeDocument/2006/relationships/hyperlink" Target="https://www.abuseipdb.com/check/175.6.179.51" TargetMode="External" Id="rId3407"/><Relationship Type="http://schemas.openxmlformats.org/officeDocument/2006/relationships/hyperlink" Target="https://www.abuseipdb.com/check/74.248.96.218" TargetMode="External" Id="rId3408"/><Relationship Type="http://schemas.openxmlformats.org/officeDocument/2006/relationships/hyperlink" Target="https://www.abuseipdb.com/check/74.248.96.218" TargetMode="External" Id="rId3409"/><Relationship Type="http://schemas.openxmlformats.org/officeDocument/2006/relationships/hyperlink" Target="https://www.abuseipdb.com/check/206.191.154.44" TargetMode="External" Id="rId3410"/><Relationship Type="http://schemas.openxmlformats.org/officeDocument/2006/relationships/hyperlink" Target="https://www.abuseipdb.com/check/206.191.154.44" TargetMode="External" Id="rId3411"/><Relationship Type="http://schemas.openxmlformats.org/officeDocument/2006/relationships/hyperlink" Target="https://www.abuseipdb.com/check/154.83.197.21" TargetMode="External" Id="rId3412"/><Relationship Type="http://schemas.openxmlformats.org/officeDocument/2006/relationships/hyperlink" Target="https://www.abuseipdb.com/check/154.83.197.21" TargetMode="External" Id="rId3413"/><Relationship Type="http://schemas.openxmlformats.org/officeDocument/2006/relationships/hyperlink" Target="https://www.abuseipdb.com/check/87.236.176.151" TargetMode="External" Id="rId3414"/><Relationship Type="http://schemas.openxmlformats.org/officeDocument/2006/relationships/hyperlink" Target="https://www.abuseipdb.com/check/87.236.176.151" TargetMode="External" Id="rId3415"/><Relationship Type="http://schemas.openxmlformats.org/officeDocument/2006/relationships/hyperlink" Target="https://www.abuseipdb.com/check/167.179.19.182" TargetMode="External" Id="rId3416"/><Relationship Type="http://schemas.openxmlformats.org/officeDocument/2006/relationships/hyperlink" Target="https://www.abuseipdb.com/check/167.179.19.182" TargetMode="External" Id="rId3417"/><Relationship Type="http://schemas.openxmlformats.org/officeDocument/2006/relationships/hyperlink" Target="https://www.abuseipdb.com/check/103.174.145.35" TargetMode="External" Id="rId3418"/><Relationship Type="http://schemas.openxmlformats.org/officeDocument/2006/relationships/hyperlink" Target="https://www.abuseipdb.com/check/103.174.145.35" TargetMode="External" Id="rId3419"/><Relationship Type="http://schemas.openxmlformats.org/officeDocument/2006/relationships/hyperlink" Target="https://www.abuseipdb.com/check/199.45.154.120" TargetMode="External" Id="rId3420"/><Relationship Type="http://schemas.openxmlformats.org/officeDocument/2006/relationships/hyperlink" Target="https://www.abuseipdb.com/check/199.45.154.120" TargetMode="External" Id="rId3421"/><Relationship Type="http://schemas.openxmlformats.org/officeDocument/2006/relationships/hyperlink" Target="https://www.abuseipdb.com/check/14.224.131.111" TargetMode="External" Id="rId3422"/><Relationship Type="http://schemas.openxmlformats.org/officeDocument/2006/relationships/hyperlink" Target="https://www.abuseipdb.com/check/14.224.131.111" TargetMode="External" Id="rId3423"/><Relationship Type="http://schemas.openxmlformats.org/officeDocument/2006/relationships/hyperlink" Target="https://www.abuseipdb.com/check/2.57.122.96" TargetMode="External" Id="rId3424"/><Relationship Type="http://schemas.openxmlformats.org/officeDocument/2006/relationships/hyperlink" Target="https://www.abuseipdb.com/check/2.57.122.96" TargetMode="External" Id="rId3425"/><Relationship Type="http://schemas.openxmlformats.org/officeDocument/2006/relationships/hyperlink" Target="https://www.abuseipdb.com/check/211.253.37.225" TargetMode="External" Id="rId3426"/><Relationship Type="http://schemas.openxmlformats.org/officeDocument/2006/relationships/hyperlink" Target="https://www.abuseipdb.com/check/211.253.37.225" TargetMode="External" Id="rId3427"/><Relationship Type="http://schemas.openxmlformats.org/officeDocument/2006/relationships/hyperlink" Target="https://www.abuseipdb.com/check/2.57.121.25" TargetMode="External" Id="rId3428"/><Relationship Type="http://schemas.openxmlformats.org/officeDocument/2006/relationships/hyperlink" Target="https://www.abuseipdb.com/check/2.57.121.25" TargetMode="External" Id="rId3429"/><Relationship Type="http://schemas.openxmlformats.org/officeDocument/2006/relationships/hyperlink" Target="https://www.abuseipdb.com/check/14.55.144.22" TargetMode="External" Id="rId3430"/><Relationship Type="http://schemas.openxmlformats.org/officeDocument/2006/relationships/hyperlink" Target="https://www.abuseipdb.com/check/14.55.144.22" TargetMode="External" Id="rId3431"/><Relationship Type="http://schemas.openxmlformats.org/officeDocument/2006/relationships/hyperlink" Target="https://www.abuseipdb.com/check/106.75.154.218" TargetMode="External" Id="rId3432"/><Relationship Type="http://schemas.openxmlformats.org/officeDocument/2006/relationships/hyperlink" Target="https://www.abuseipdb.com/check/106.75.154.218" TargetMode="External" Id="rId3433"/><Relationship Type="http://schemas.openxmlformats.org/officeDocument/2006/relationships/hyperlink" Target="https://www.abuseipdb.com/check/35.239.77.168" TargetMode="External" Id="rId3434"/><Relationship Type="http://schemas.openxmlformats.org/officeDocument/2006/relationships/hyperlink" Target="https://www.abuseipdb.com/check/35.239.77.168" TargetMode="External" Id="rId3435"/><Relationship Type="http://schemas.openxmlformats.org/officeDocument/2006/relationships/hyperlink" Target="https://www.abuseipdb.com/check/135.119.112.78" TargetMode="External" Id="rId3436"/><Relationship Type="http://schemas.openxmlformats.org/officeDocument/2006/relationships/hyperlink" Target="https://www.abuseipdb.com/check/135.119.112.78" TargetMode="External" Id="rId3437"/><Relationship Type="http://schemas.openxmlformats.org/officeDocument/2006/relationships/hyperlink" Target="https://www.abuseipdb.com/check/64.227.175.182" TargetMode="External" Id="rId3438"/><Relationship Type="http://schemas.openxmlformats.org/officeDocument/2006/relationships/hyperlink" Target="https://www.abuseipdb.com/check/64.227.175.182" TargetMode="External" Id="rId3439"/><Relationship Type="http://schemas.openxmlformats.org/officeDocument/2006/relationships/hyperlink" Target="https://www.abuseipdb.com/check/182.95.230.142" TargetMode="External" Id="rId3440"/><Relationship Type="http://schemas.openxmlformats.org/officeDocument/2006/relationships/hyperlink" Target="https://www.abuseipdb.com/check/182.95.230.142" TargetMode="External" Id="rId3441"/><Relationship Type="http://schemas.openxmlformats.org/officeDocument/2006/relationships/hyperlink" Target="https://www.abuseipdb.com/check/2607:ff10:c8:594::6" TargetMode="External" Id="rId3442"/><Relationship Type="http://schemas.openxmlformats.org/officeDocument/2006/relationships/hyperlink" Target="https://www.abuseipdb.com/check/2607:ff10:c8:594::6" TargetMode="External" Id="rId3443"/><Relationship Type="http://schemas.openxmlformats.org/officeDocument/2006/relationships/hyperlink" Target="https://www.abuseipdb.com/check/217.154.106.153" TargetMode="External" Id="rId3444"/><Relationship Type="http://schemas.openxmlformats.org/officeDocument/2006/relationships/hyperlink" Target="https://www.abuseipdb.com/check/217.154.106.153" TargetMode="External" Id="rId3445"/><Relationship Type="http://schemas.openxmlformats.org/officeDocument/2006/relationships/hyperlink" Target="https://www.abuseipdb.com/check/20.205.120.43" TargetMode="External" Id="rId3446"/><Relationship Type="http://schemas.openxmlformats.org/officeDocument/2006/relationships/hyperlink" Target="https://www.abuseipdb.com/check/20.205.120.43" TargetMode="External" Id="rId3447"/><Relationship Type="http://schemas.openxmlformats.org/officeDocument/2006/relationships/hyperlink" Target="https://www.abuseipdb.com/check/20.189.202.58" TargetMode="External" Id="rId3448"/><Relationship Type="http://schemas.openxmlformats.org/officeDocument/2006/relationships/hyperlink" Target="https://www.abuseipdb.com/check/20.189.202.58" TargetMode="External" Id="rId3449"/><Relationship Type="http://schemas.openxmlformats.org/officeDocument/2006/relationships/hyperlink" Target="https://www.abuseipdb.com/check/102.88.137.80" TargetMode="External" Id="rId3450"/><Relationship Type="http://schemas.openxmlformats.org/officeDocument/2006/relationships/hyperlink" Target="https://www.abuseipdb.com/check/102.88.137.80" TargetMode="External" Id="rId3451"/><Relationship Type="http://schemas.openxmlformats.org/officeDocument/2006/relationships/hyperlink" Target="https://www.cisa.gov/uscert/ics/advisories/Welker%20OdorEyes%20EcoS" TargetMode="External" Id="rId3452"/><Relationship Type="http://schemas.openxmlformats.org/officeDocument/2006/relationships/hyperlink" Target="https://www.cisa.gov/uscert/ics/advisories/Welker%20OdorEyes%20EcoS" TargetMode="External" Id="rId3453"/><Relationship Type="http://schemas.openxmlformats.org/officeDocument/2006/relationships/hyperlink" Target="https://www.cisa.gov/uscert/ics/advisories/Jinan%20USR%20IOT%20Techno" TargetMode="External" Id="rId3454"/><Relationship Type="http://schemas.openxmlformats.org/officeDocument/2006/relationships/hyperlink" Target="https://www.cisa.gov/uscert/ics/advisories/Jinan%20USR%20IOT%20Techno" TargetMode="External" Id="rId3455"/><Relationship Type="http://schemas.openxmlformats.org/officeDocument/2006/relationships/hyperlink" Target="https://www.cisa.gov/uscert/ics/advisories/Valmet%20DNA%20Engineeri" TargetMode="External" Id="rId3456"/><Relationship Type="http://schemas.openxmlformats.org/officeDocument/2006/relationships/hyperlink" Target="https://www.cisa.gov/uscert/ics/advisories/Valmet%20DNA%20Engineeri" TargetMode="External" Id="rId3457"/><Relationship Type="http://schemas.openxmlformats.org/officeDocument/2006/relationships/hyperlink" Target="https://www.cisa.gov/uscert/ics/advisories/EnOcean%20SmartServer%20" TargetMode="External" Id="rId3458"/><Relationship Type="http://schemas.openxmlformats.org/officeDocument/2006/relationships/hyperlink" Target="https://www.cisa.gov/uscert/ics/advisories/EnOcean%20SmartServer%20" TargetMode="External" Id="rId3459"/><Relationship Type="http://schemas.openxmlformats.org/officeDocument/2006/relationships/hyperlink" Target="https://www.cisa.gov/uscert/ics/advisories/Honeywell%20CCTV%20Produ" TargetMode="External" Id="rId3460"/><Relationship Type="http://schemas.openxmlformats.org/officeDocument/2006/relationships/hyperlink" Target="https://www.cisa.gov/uscert/ics/advisories/Honeywell%20CCTV%20Produ" TargetMode="External" Id="rId3461"/><Relationship Type="http://schemas.openxmlformats.org/officeDocument/2006/relationships/hyperlink" Target="https://www.cisa.gov/uscert/ics/advisories/GE%20Vernova%20Enervista" TargetMode="External" Id="rId3462"/><Relationship Type="http://schemas.openxmlformats.org/officeDocument/2006/relationships/hyperlink" Target="https://www.cisa.gov/uscert/ics/advisories/GE%20Vernova%20Enervista" TargetMode="External" Id="rId3463"/><Relationship Type="http://schemas.openxmlformats.org/officeDocument/2006/relationships/hyperlink" Target="https://www.cisa.gov/uscert/ics/advisories/Delta%20Electronics%20AS" TargetMode="External" Id="rId3464"/><Relationship Type="http://schemas.openxmlformats.org/officeDocument/2006/relationships/hyperlink" Target="https://www.cisa.gov/uscert/ics/advisories/Delta%20Electronics%20AS" TargetMode="External" Id="rId3465"/><Relationship Type="http://schemas.openxmlformats.org/officeDocument/2006/relationships/hyperlink" Target="https://www.cisa.gov/uscert/ics/advisories/Siemens%20Simcenter%20Fe" TargetMode="External" Id="rId3466"/><Relationship Type="http://schemas.openxmlformats.org/officeDocument/2006/relationships/hyperlink" Target="https://www.cisa.gov/uscert/ics/advisories/Siemens%20Simcenter%20Fe" TargetMode="External" Id="rId3467"/><Relationship Type="http://schemas.openxmlformats.org/officeDocument/2006/relationships/hyperlink" Target="https://www.cisa.gov/uscert/ics/advisories/Airleader%20Master" TargetMode="External" Id="rId3468"/><Relationship Type="http://schemas.openxmlformats.org/officeDocument/2006/relationships/hyperlink" Target="https://www.cisa.gov/uscert/ics/advisories/Airleader%20Master" TargetMode="External" Id="rId3469"/><Relationship Type="http://schemas.openxmlformats.org/officeDocument/2006/relationships/hyperlink" Target="https://www.cisa.gov/uscert/ics/advisories/Hitachi%20Energy%20SuprO" TargetMode="External" Id="rId3470"/><Relationship Type="http://schemas.openxmlformats.org/officeDocument/2006/relationships/hyperlink" Target="https://www.cisa.gov/uscert/ics/advisories/Hitachi%20Energy%20SuprO" TargetMode="External" Id="rId3471"/><Relationship Type="http://schemas.openxmlformats.org/officeDocument/2006/relationships/hyperlink" Target="https://feodotracker.abuse.ch/" TargetMode="External" Id="rId3472"/><Relationship Type="http://schemas.openxmlformats.org/officeDocument/2006/relationships/hyperlink" Target="https://feodotracker.abuse.ch/browse.php?search=162.243.103.246" TargetMode="External" Id="rId3473"/><Relationship Type="http://schemas.openxmlformats.org/officeDocument/2006/relationships/hyperlink" Target="https://feodotracker.abuse.ch/" TargetMode="External" Id="rId3474"/><Relationship Type="http://schemas.openxmlformats.org/officeDocument/2006/relationships/hyperlink" Target="https://feodotracker.abuse.ch/browse.php?search=178.62.3.223" TargetMode="External" Id="rId3475"/><Relationship Type="http://schemas.openxmlformats.org/officeDocument/2006/relationships/hyperlink" Target="https://www.spamhaus.org/drop/" TargetMode="External" Id="rId3476"/><Relationship Type="http://schemas.openxmlformats.org/officeDocument/2006/relationships/hyperlink" Target="https://www.spamhaus.org/drop/" TargetMode="External" Id="rId3477"/><Relationship Type="http://schemas.openxmlformats.org/officeDocument/2006/relationships/hyperlink" Target="https://www.spamhaus.org/drop/" TargetMode="External" Id="rId3478"/><Relationship Type="http://schemas.openxmlformats.org/officeDocument/2006/relationships/hyperlink" Target="https://www.spamhaus.org/drop/" TargetMode="External" Id="rId3479"/><Relationship Type="http://schemas.openxmlformats.org/officeDocument/2006/relationships/hyperlink" Target="https://www.spamhaus.org/drop/" TargetMode="External" Id="rId3480"/><Relationship Type="http://schemas.openxmlformats.org/officeDocument/2006/relationships/hyperlink" Target="https://www.spamhaus.org/drop/" TargetMode="External" Id="rId3481"/><Relationship Type="http://schemas.openxmlformats.org/officeDocument/2006/relationships/hyperlink" Target="https://www.spamhaus.org/drop/" TargetMode="External" Id="rId3482"/><Relationship Type="http://schemas.openxmlformats.org/officeDocument/2006/relationships/hyperlink" Target="https://www.spamhaus.org/drop/" TargetMode="External" Id="rId3483"/><Relationship Type="http://schemas.openxmlformats.org/officeDocument/2006/relationships/hyperlink" Target="https://www.spamhaus.org/drop/" TargetMode="External" Id="rId3484"/><Relationship Type="http://schemas.openxmlformats.org/officeDocument/2006/relationships/hyperlink" Target="https://www.spamhaus.org/drop/" TargetMode="External" Id="rId3485"/><Relationship Type="http://schemas.openxmlformats.org/officeDocument/2006/relationships/hyperlink" Target="https://www.spamhaus.org/drop/" TargetMode="External" Id="rId3486"/><Relationship Type="http://schemas.openxmlformats.org/officeDocument/2006/relationships/hyperlink" Target="https://www.spamhaus.org/drop/" TargetMode="External" Id="rId3487"/><Relationship Type="http://schemas.openxmlformats.org/officeDocument/2006/relationships/hyperlink" Target="https://www.spamhaus.org/drop/" TargetMode="External" Id="rId3488"/><Relationship Type="http://schemas.openxmlformats.org/officeDocument/2006/relationships/hyperlink" Target="https://www.spamhaus.org/drop/" TargetMode="External" Id="rId3489"/><Relationship Type="http://schemas.openxmlformats.org/officeDocument/2006/relationships/hyperlink" Target="https://www.spamhaus.org/drop/" TargetMode="External" Id="rId3490"/><Relationship Type="http://schemas.openxmlformats.org/officeDocument/2006/relationships/hyperlink" Target="https://www.spamhaus.org/drop/" TargetMode="External" Id="rId3491"/><Relationship Type="http://schemas.openxmlformats.org/officeDocument/2006/relationships/hyperlink" Target="https://www.spamhaus.org/drop/" TargetMode="External" Id="rId3492"/><Relationship Type="http://schemas.openxmlformats.org/officeDocument/2006/relationships/hyperlink" Target="https://www.spamhaus.org/drop/" TargetMode="External" Id="rId3493"/><Relationship Type="http://schemas.openxmlformats.org/officeDocument/2006/relationships/hyperlink" Target="https://www.spamhaus.org/drop/" TargetMode="External" Id="rId3494"/><Relationship Type="http://schemas.openxmlformats.org/officeDocument/2006/relationships/hyperlink" Target="https://www.spamhaus.org/drop/" TargetMode="External" Id="rId3495"/><Relationship Type="http://schemas.openxmlformats.org/officeDocument/2006/relationships/hyperlink" Target="https://www.spamhaus.org/drop/" TargetMode="External" Id="rId3496"/><Relationship Type="http://schemas.openxmlformats.org/officeDocument/2006/relationships/hyperlink" Target="https://www.spamhaus.org/drop/" TargetMode="External" Id="rId3497"/><Relationship Type="http://schemas.openxmlformats.org/officeDocument/2006/relationships/hyperlink" Target="https://www.spamhaus.org/drop/" TargetMode="External" Id="rId3498"/><Relationship Type="http://schemas.openxmlformats.org/officeDocument/2006/relationships/hyperlink" Target="https://www.spamhaus.org/drop/" TargetMode="External" Id="rId3499"/><Relationship Type="http://schemas.openxmlformats.org/officeDocument/2006/relationships/hyperlink" Target="https://www.spamhaus.org/drop/" TargetMode="External" Id="rId3500"/><Relationship Type="http://schemas.openxmlformats.org/officeDocument/2006/relationships/hyperlink" Target="https://www.spamhaus.org/drop/" TargetMode="External" Id="rId3501"/><Relationship Type="http://schemas.openxmlformats.org/officeDocument/2006/relationships/hyperlink" Target="https://www.spamhaus.org/drop/" TargetMode="External" Id="rId3502"/><Relationship Type="http://schemas.openxmlformats.org/officeDocument/2006/relationships/hyperlink" Target="https://www.spamhaus.org/drop/" TargetMode="External" Id="rId3503"/><Relationship Type="http://schemas.openxmlformats.org/officeDocument/2006/relationships/hyperlink" Target="https://www.spamhaus.org/drop/" TargetMode="External" Id="rId3504"/><Relationship Type="http://schemas.openxmlformats.org/officeDocument/2006/relationships/hyperlink" Target="https://www.spamhaus.org/drop/" TargetMode="External" Id="rId3505"/><Relationship Type="http://schemas.openxmlformats.org/officeDocument/2006/relationships/hyperlink" Target="https://www.spamhaus.org/drop/" TargetMode="External" Id="rId3506"/><Relationship Type="http://schemas.openxmlformats.org/officeDocument/2006/relationships/hyperlink" Target="https://www.spamhaus.org/drop/" TargetMode="External" Id="rId3507"/><Relationship Type="http://schemas.openxmlformats.org/officeDocument/2006/relationships/hyperlink" Target="https://www.spamhaus.org/drop/" TargetMode="External" Id="rId3508"/><Relationship Type="http://schemas.openxmlformats.org/officeDocument/2006/relationships/hyperlink" Target="https://www.spamhaus.org/drop/" TargetMode="External" Id="rId3509"/><Relationship Type="http://schemas.openxmlformats.org/officeDocument/2006/relationships/hyperlink" Target="https://www.spamhaus.org/drop/" TargetMode="External" Id="rId3510"/><Relationship Type="http://schemas.openxmlformats.org/officeDocument/2006/relationships/hyperlink" Target="https://www.spamhaus.org/drop/" TargetMode="External" Id="rId3511"/><Relationship Type="http://schemas.openxmlformats.org/officeDocument/2006/relationships/hyperlink" Target="https://www.spamhaus.org/drop/" TargetMode="External" Id="rId3512"/><Relationship Type="http://schemas.openxmlformats.org/officeDocument/2006/relationships/hyperlink" Target="https://www.spamhaus.org/drop/" TargetMode="External" Id="rId3513"/><Relationship Type="http://schemas.openxmlformats.org/officeDocument/2006/relationships/hyperlink" Target="https://www.spamhaus.org/drop/" TargetMode="External" Id="rId3514"/><Relationship Type="http://schemas.openxmlformats.org/officeDocument/2006/relationships/hyperlink" Target="https://www.spamhaus.org/drop/" TargetMode="External" Id="rId3515"/><Relationship Type="http://schemas.openxmlformats.org/officeDocument/2006/relationships/hyperlink" Target="https://www.spamhaus.org/drop/" TargetMode="External" Id="rId3516"/><Relationship Type="http://schemas.openxmlformats.org/officeDocument/2006/relationships/hyperlink" Target="https://www.spamhaus.org/drop/" TargetMode="External" Id="rId3517"/><Relationship Type="http://schemas.openxmlformats.org/officeDocument/2006/relationships/hyperlink" Target="https://www.spamhaus.org/drop/" TargetMode="External" Id="rId3518"/><Relationship Type="http://schemas.openxmlformats.org/officeDocument/2006/relationships/hyperlink" Target="https://www.spamhaus.org/drop/" TargetMode="External" Id="rId3519"/><Relationship Type="http://schemas.openxmlformats.org/officeDocument/2006/relationships/hyperlink" Target="https://www.spamhaus.org/drop/" TargetMode="External" Id="rId3520"/><Relationship Type="http://schemas.openxmlformats.org/officeDocument/2006/relationships/hyperlink" Target="https://www.spamhaus.org/drop/" TargetMode="External" Id="rId3521"/><Relationship Type="http://schemas.openxmlformats.org/officeDocument/2006/relationships/hyperlink" Target="https://www.spamhaus.org/drop/" TargetMode="External" Id="rId3522"/><Relationship Type="http://schemas.openxmlformats.org/officeDocument/2006/relationships/hyperlink" Target="https://www.spamhaus.org/drop/" TargetMode="External" Id="rId3523"/><Relationship Type="http://schemas.openxmlformats.org/officeDocument/2006/relationships/hyperlink" Target="https://www.spamhaus.org/drop/" TargetMode="External" Id="rId3524"/><Relationship Type="http://schemas.openxmlformats.org/officeDocument/2006/relationships/hyperlink" Target="https://www.spamhaus.org/drop/" TargetMode="External" Id="rId3525"/><Relationship Type="http://schemas.openxmlformats.org/officeDocument/2006/relationships/hyperlink" Target="https://www.spamhaus.org/drop/" TargetMode="External" Id="rId3526"/><Relationship Type="http://schemas.openxmlformats.org/officeDocument/2006/relationships/hyperlink" Target="https://www.spamhaus.org/drop/" TargetMode="External" Id="rId3527"/><Relationship Type="http://schemas.openxmlformats.org/officeDocument/2006/relationships/hyperlink" Target="https://www.spamhaus.org/drop/" TargetMode="External" Id="rId3528"/><Relationship Type="http://schemas.openxmlformats.org/officeDocument/2006/relationships/hyperlink" Target="https://www.spamhaus.org/drop/" TargetMode="External" Id="rId3529"/><Relationship Type="http://schemas.openxmlformats.org/officeDocument/2006/relationships/hyperlink" Target="https://www.spamhaus.org/drop/" TargetMode="External" Id="rId3530"/><Relationship Type="http://schemas.openxmlformats.org/officeDocument/2006/relationships/hyperlink" Target="https://www.spamhaus.org/drop/" TargetMode="External" Id="rId3531"/><Relationship Type="http://schemas.openxmlformats.org/officeDocument/2006/relationships/hyperlink" Target="https://www.spamhaus.org/drop/" TargetMode="External" Id="rId3532"/><Relationship Type="http://schemas.openxmlformats.org/officeDocument/2006/relationships/hyperlink" Target="https://www.spamhaus.org/drop/" TargetMode="External" Id="rId3533"/><Relationship Type="http://schemas.openxmlformats.org/officeDocument/2006/relationships/hyperlink" Target="https://www.spamhaus.org/drop/" TargetMode="External" Id="rId3534"/><Relationship Type="http://schemas.openxmlformats.org/officeDocument/2006/relationships/hyperlink" Target="https://www.spamhaus.org/drop/" TargetMode="External" Id="rId3535"/><Relationship Type="http://schemas.openxmlformats.org/officeDocument/2006/relationships/hyperlink" Target="https://www.spamhaus.org/drop/" TargetMode="External" Id="rId3536"/><Relationship Type="http://schemas.openxmlformats.org/officeDocument/2006/relationships/hyperlink" Target="https://www.spamhaus.org/drop/" TargetMode="External" Id="rId3537"/><Relationship Type="http://schemas.openxmlformats.org/officeDocument/2006/relationships/hyperlink" Target="https://www.spamhaus.org/drop/" TargetMode="External" Id="rId3538"/><Relationship Type="http://schemas.openxmlformats.org/officeDocument/2006/relationships/hyperlink" Target="https://www.spamhaus.org/drop/" TargetMode="External" Id="rId3539"/><Relationship Type="http://schemas.openxmlformats.org/officeDocument/2006/relationships/hyperlink" Target="https://www.spamhaus.org/drop/" TargetMode="External" Id="rId3540"/><Relationship Type="http://schemas.openxmlformats.org/officeDocument/2006/relationships/hyperlink" Target="https://www.spamhaus.org/drop/" TargetMode="External" Id="rId3541"/><Relationship Type="http://schemas.openxmlformats.org/officeDocument/2006/relationships/hyperlink" Target="https://www.spamhaus.org/drop/" TargetMode="External" Id="rId3542"/><Relationship Type="http://schemas.openxmlformats.org/officeDocument/2006/relationships/hyperlink" Target="https://www.spamhaus.org/drop/" TargetMode="External" Id="rId3543"/><Relationship Type="http://schemas.openxmlformats.org/officeDocument/2006/relationships/hyperlink" Target="https://www.spamhaus.org/drop/" TargetMode="External" Id="rId3544"/><Relationship Type="http://schemas.openxmlformats.org/officeDocument/2006/relationships/hyperlink" Target="https://www.spamhaus.org/drop/" TargetMode="External" Id="rId3545"/><Relationship Type="http://schemas.openxmlformats.org/officeDocument/2006/relationships/hyperlink" Target="https://www.spamhaus.org/drop/" TargetMode="External" Id="rId3546"/><Relationship Type="http://schemas.openxmlformats.org/officeDocument/2006/relationships/hyperlink" Target="https://www.spamhaus.org/drop/" TargetMode="External" Id="rId3547"/><Relationship Type="http://schemas.openxmlformats.org/officeDocument/2006/relationships/hyperlink" Target="https://www.spamhaus.org/drop/" TargetMode="External" Id="rId3548"/><Relationship Type="http://schemas.openxmlformats.org/officeDocument/2006/relationships/hyperlink" Target="https://www.spamhaus.org/drop/" TargetMode="External" Id="rId3549"/><Relationship Type="http://schemas.openxmlformats.org/officeDocument/2006/relationships/hyperlink" Target="https://www.spamhaus.org/drop/" TargetMode="External" Id="rId3550"/><Relationship Type="http://schemas.openxmlformats.org/officeDocument/2006/relationships/hyperlink" Target="https://www.spamhaus.org/drop/" TargetMode="External" Id="rId3551"/><Relationship Type="http://schemas.openxmlformats.org/officeDocument/2006/relationships/hyperlink" Target="https://www.spamhaus.org/drop/" TargetMode="External" Id="rId3552"/><Relationship Type="http://schemas.openxmlformats.org/officeDocument/2006/relationships/hyperlink" Target="https://www.spamhaus.org/drop/" TargetMode="External" Id="rId3553"/><Relationship Type="http://schemas.openxmlformats.org/officeDocument/2006/relationships/hyperlink" Target="https://www.spamhaus.org/drop/" TargetMode="External" Id="rId3554"/><Relationship Type="http://schemas.openxmlformats.org/officeDocument/2006/relationships/hyperlink" Target="https://www.spamhaus.org/drop/" TargetMode="External" Id="rId3555"/><Relationship Type="http://schemas.openxmlformats.org/officeDocument/2006/relationships/hyperlink" Target="https://www.spamhaus.org/drop/" TargetMode="External" Id="rId3556"/><Relationship Type="http://schemas.openxmlformats.org/officeDocument/2006/relationships/hyperlink" Target="https://www.spamhaus.org/drop/" TargetMode="External" Id="rId3557"/><Relationship Type="http://schemas.openxmlformats.org/officeDocument/2006/relationships/hyperlink" Target="https://www.spamhaus.org/drop/" TargetMode="External" Id="rId3558"/><Relationship Type="http://schemas.openxmlformats.org/officeDocument/2006/relationships/hyperlink" Target="https://www.spamhaus.org/drop/" TargetMode="External" Id="rId3559"/><Relationship Type="http://schemas.openxmlformats.org/officeDocument/2006/relationships/hyperlink" Target="https://www.spamhaus.org/drop/" TargetMode="External" Id="rId3560"/><Relationship Type="http://schemas.openxmlformats.org/officeDocument/2006/relationships/hyperlink" Target="https://www.spamhaus.org/drop/" TargetMode="External" Id="rId3561"/><Relationship Type="http://schemas.openxmlformats.org/officeDocument/2006/relationships/hyperlink" Target="https://www.spamhaus.org/drop/" TargetMode="External" Id="rId3562"/><Relationship Type="http://schemas.openxmlformats.org/officeDocument/2006/relationships/hyperlink" Target="https://www.spamhaus.org/drop/" TargetMode="External" Id="rId3563"/><Relationship Type="http://schemas.openxmlformats.org/officeDocument/2006/relationships/hyperlink" Target="https://www.spamhaus.org/drop/" TargetMode="External" Id="rId3564"/><Relationship Type="http://schemas.openxmlformats.org/officeDocument/2006/relationships/hyperlink" Target="https://www.spamhaus.org/drop/" TargetMode="External" Id="rId3565"/><Relationship Type="http://schemas.openxmlformats.org/officeDocument/2006/relationships/hyperlink" Target="https://www.spamhaus.org/drop/" TargetMode="External" Id="rId3566"/><Relationship Type="http://schemas.openxmlformats.org/officeDocument/2006/relationships/hyperlink" Target="https://www.spamhaus.org/drop/" TargetMode="External" Id="rId3567"/><Relationship Type="http://schemas.openxmlformats.org/officeDocument/2006/relationships/hyperlink" Target="https://www.spamhaus.org/drop/" TargetMode="External" Id="rId3568"/><Relationship Type="http://schemas.openxmlformats.org/officeDocument/2006/relationships/hyperlink" Target="https://www.spamhaus.org/drop/" TargetMode="External" Id="rId3569"/><Relationship Type="http://schemas.openxmlformats.org/officeDocument/2006/relationships/hyperlink" Target="https://www.spamhaus.org/drop/" TargetMode="External" Id="rId3570"/><Relationship Type="http://schemas.openxmlformats.org/officeDocument/2006/relationships/hyperlink" Target="https://www.spamhaus.org/drop/" TargetMode="External" Id="rId3571"/><Relationship Type="http://schemas.openxmlformats.org/officeDocument/2006/relationships/hyperlink" Target="https://www.spamhaus.org/drop/" TargetMode="External" Id="rId3572"/><Relationship Type="http://schemas.openxmlformats.org/officeDocument/2006/relationships/hyperlink" Target="https://www.spamhaus.org/drop/" TargetMode="External" Id="rId3573"/><Relationship Type="http://schemas.openxmlformats.org/officeDocument/2006/relationships/hyperlink" Target="https://www.spamhaus.org/drop/" TargetMode="External" Id="rId3574"/><Relationship Type="http://schemas.openxmlformats.org/officeDocument/2006/relationships/hyperlink" Target="https://www.spamhaus.org/drop/" TargetMode="External" Id="rId3575"/><Relationship Type="http://schemas.openxmlformats.org/officeDocument/2006/relationships/hyperlink" Target="https://ubuntu.com/security/notices/USN-8057-1" TargetMode="External" Id="rId3576"/><Relationship Type="http://schemas.openxmlformats.org/officeDocument/2006/relationships/hyperlink" Target="https://ubuntu.com/security/notices/USN-8057-1" TargetMode="External" Id="rId3577"/><Relationship Type="http://schemas.openxmlformats.org/officeDocument/2006/relationships/hyperlink" Target="https://ubuntu.com/security/notices/USN-8051-2" TargetMode="External" Id="rId3578"/><Relationship Type="http://schemas.openxmlformats.org/officeDocument/2006/relationships/hyperlink" Target="https://ubuntu.com/security/notices/USN-8051-2" TargetMode="External" Id="rId3579"/><Relationship Type="http://schemas.openxmlformats.org/officeDocument/2006/relationships/hyperlink" Target="https://ubuntu.com/security/notices/USN-8056-1" TargetMode="External" Id="rId3580"/><Relationship Type="http://schemas.openxmlformats.org/officeDocument/2006/relationships/hyperlink" Target="https://ubuntu.com/security/notices/USN-8056-1" TargetMode="External" Id="rId3581"/><Relationship Type="http://schemas.openxmlformats.org/officeDocument/2006/relationships/hyperlink" Target="https://ubuntu.com/security/notices/USN-8055-1" TargetMode="External" Id="rId3582"/><Relationship Type="http://schemas.openxmlformats.org/officeDocument/2006/relationships/hyperlink" Target="https://ubuntu.com/security/notices/USN-8055-1" TargetMode="External" Id="rId3583"/><Relationship Type="http://schemas.openxmlformats.org/officeDocument/2006/relationships/hyperlink" Target="https://ubuntu.com/security/notices/USN-8054-1" TargetMode="External" Id="rId3584"/><Relationship Type="http://schemas.openxmlformats.org/officeDocument/2006/relationships/hyperlink" Target="https://ubuntu.com/security/notices/USN-8054-1" TargetMode="External" Id="rId3585"/><Relationship Type="http://schemas.openxmlformats.org/officeDocument/2006/relationships/hyperlink" Target="https://ubuntu.com/security/notices/USN-8015-5" TargetMode="External" Id="rId3586"/><Relationship Type="http://schemas.openxmlformats.org/officeDocument/2006/relationships/hyperlink" Target="https://ubuntu.com/security/notices/USN-8015-5" TargetMode="External" Id="rId3587"/><Relationship Type="http://schemas.openxmlformats.org/officeDocument/2006/relationships/hyperlink" Target="https://ubuntu.com/security/notices/USN-7990-5" TargetMode="External" Id="rId3588"/><Relationship Type="http://schemas.openxmlformats.org/officeDocument/2006/relationships/hyperlink" Target="https://ubuntu.com/security/notices/USN-7990-5" TargetMode="External" Id="rId3589"/><Relationship Type="http://schemas.openxmlformats.org/officeDocument/2006/relationships/hyperlink" Target="https://ubuntu.com/security/notices/USN-8033-8" TargetMode="External" Id="rId3590"/><Relationship Type="http://schemas.openxmlformats.org/officeDocument/2006/relationships/hyperlink" Target="https://ubuntu.com/security/notices/USN-8033-8" TargetMode="External" Id="rId3591"/><Relationship Type="http://schemas.openxmlformats.org/officeDocument/2006/relationships/hyperlink" Target="https://ubuntu.com/security/notices/USN-8053-1" TargetMode="External" Id="rId3592"/><Relationship Type="http://schemas.openxmlformats.org/officeDocument/2006/relationships/hyperlink" Target="https://ubuntu.com/security/notices/USN-8053-1" TargetMode="External" Id="rId3593"/><Relationship Type="http://schemas.openxmlformats.org/officeDocument/2006/relationships/hyperlink" Target="https://ubuntu.com/security/notices/USN-8028-7" TargetMode="External" Id="rId3594"/><Relationship Type="http://schemas.openxmlformats.org/officeDocument/2006/relationships/hyperlink" Target="https://ubuntu.com/security/notices/USN-8028-7" TargetMode="External" Id="rId3595"/><Relationship Type="http://schemas.openxmlformats.org/officeDocument/2006/relationships/hyperlink" Target="https://check.torproject.org/" TargetMode="External" Id="rId3596"/><Relationship Type="http://schemas.openxmlformats.org/officeDocument/2006/relationships/hyperlink" Target="https://check.torproject.org/torbulkexitlist" TargetMode="External" Id="rId3597"/><Relationship Type="http://schemas.openxmlformats.org/officeDocument/2006/relationships/hyperlink" Target="https://check.torproject.org/" TargetMode="External" Id="rId3598"/><Relationship Type="http://schemas.openxmlformats.org/officeDocument/2006/relationships/hyperlink" Target="https://check.torproject.org/torbulkexitlist" TargetMode="External" Id="rId3599"/><Relationship Type="http://schemas.openxmlformats.org/officeDocument/2006/relationships/hyperlink" Target="https://check.torproject.org/" TargetMode="External" Id="rId3600"/><Relationship Type="http://schemas.openxmlformats.org/officeDocument/2006/relationships/hyperlink" Target="https://check.torproject.org/torbulkexitlist" TargetMode="External" Id="rId3601"/><Relationship Type="http://schemas.openxmlformats.org/officeDocument/2006/relationships/hyperlink" Target="https://check.torproject.org/" TargetMode="External" Id="rId3602"/><Relationship Type="http://schemas.openxmlformats.org/officeDocument/2006/relationships/hyperlink" Target="https://check.torproject.org/torbulkexitlist" TargetMode="External" Id="rId3603"/><Relationship Type="http://schemas.openxmlformats.org/officeDocument/2006/relationships/hyperlink" Target="https://check.torproject.org/" TargetMode="External" Id="rId3604"/><Relationship Type="http://schemas.openxmlformats.org/officeDocument/2006/relationships/hyperlink" Target="https://check.torproject.org/torbulkexitlist" TargetMode="External" Id="rId3605"/><Relationship Type="http://schemas.openxmlformats.org/officeDocument/2006/relationships/hyperlink" Target="https://check.torproject.org/" TargetMode="External" Id="rId3606"/><Relationship Type="http://schemas.openxmlformats.org/officeDocument/2006/relationships/hyperlink" Target="https://check.torproject.org/torbulkexitlist" TargetMode="External" Id="rId3607"/><Relationship Type="http://schemas.openxmlformats.org/officeDocument/2006/relationships/hyperlink" Target="https://check.torproject.org/" TargetMode="External" Id="rId3608"/><Relationship Type="http://schemas.openxmlformats.org/officeDocument/2006/relationships/hyperlink" Target="https://check.torproject.org/torbulkexitlist" TargetMode="External" Id="rId3609"/><Relationship Type="http://schemas.openxmlformats.org/officeDocument/2006/relationships/hyperlink" Target="https://check.torproject.org/" TargetMode="External" Id="rId3610"/><Relationship Type="http://schemas.openxmlformats.org/officeDocument/2006/relationships/hyperlink" Target="https://check.torproject.org/torbulkexitlist" TargetMode="External" Id="rId3611"/><Relationship Type="http://schemas.openxmlformats.org/officeDocument/2006/relationships/hyperlink" Target="https://check.torproject.org/" TargetMode="External" Id="rId3612"/><Relationship Type="http://schemas.openxmlformats.org/officeDocument/2006/relationships/hyperlink" Target="https://check.torproject.org/torbulkexitlist" TargetMode="External" Id="rId3613"/><Relationship Type="http://schemas.openxmlformats.org/officeDocument/2006/relationships/hyperlink" Target="https://check.torproject.org/" TargetMode="External" Id="rId3614"/><Relationship Type="http://schemas.openxmlformats.org/officeDocument/2006/relationships/hyperlink" Target="https://check.torproject.org/torbulkexitlist" TargetMode="External" Id="rId3615"/><Relationship Type="http://schemas.openxmlformats.org/officeDocument/2006/relationships/hyperlink" Target="https://check.torproject.org/" TargetMode="External" Id="rId3616"/><Relationship Type="http://schemas.openxmlformats.org/officeDocument/2006/relationships/hyperlink" Target="https://check.torproject.org/torbulkexitlist" TargetMode="External" Id="rId3617"/><Relationship Type="http://schemas.openxmlformats.org/officeDocument/2006/relationships/hyperlink" Target="https://check.torproject.org/" TargetMode="External" Id="rId3618"/><Relationship Type="http://schemas.openxmlformats.org/officeDocument/2006/relationships/hyperlink" Target="https://check.torproject.org/torbulkexitlist" TargetMode="External" Id="rId3619"/><Relationship Type="http://schemas.openxmlformats.org/officeDocument/2006/relationships/hyperlink" Target="https://check.torproject.org/" TargetMode="External" Id="rId3620"/><Relationship Type="http://schemas.openxmlformats.org/officeDocument/2006/relationships/hyperlink" Target="https://check.torproject.org/torbulkexitlist" TargetMode="External" Id="rId3621"/><Relationship Type="http://schemas.openxmlformats.org/officeDocument/2006/relationships/hyperlink" Target="https://check.torproject.org/" TargetMode="External" Id="rId3622"/><Relationship Type="http://schemas.openxmlformats.org/officeDocument/2006/relationships/hyperlink" Target="https://check.torproject.org/torbulkexitlist" TargetMode="External" Id="rId3623"/><Relationship Type="http://schemas.openxmlformats.org/officeDocument/2006/relationships/hyperlink" Target="https://check.torproject.org/" TargetMode="External" Id="rId3624"/><Relationship Type="http://schemas.openxmlformats.org/officeDocument/2006/relationships/hyperlink" Target="https://check.torproject.org/torbulkexitlist" TargetMode="External" Id="rId3625"/><Relationship Type="http://schemas.openxmlformats.org/officeDocument/2006/relationships/hyperlink" Target="https://check.torproject.org/" TargetMode="External" Id="rId3626"/><Relationship Type="http://schemas.openxmlformats.org/officeDocument/2006/relationships/hyperlink" Target="https://check.torproject.org/torbulkexitlist" TargetMode="External" Id="rId3627"/><Relationship Type="http://schemas.openxmlformats.org/officeDocument/2006/relationships/hyperlink" Target="https://check.torproject.org/" TargetMode="External" Id="rId3628"/><Relationship Type="http://schemas.openxmlformats.org/officeDocument/2006/relationships/hyperlink" Target="https://check.torproject.org/torbulkexitlist" TargetMode="External" Id="rId3629"/><Relationship Type="http://schemas.openxmlformats.org/officeDocument/2006/relationships/hyperlink" Target="https://check.torproject.org/" TargetMode="External" Id="rId3630"/><Relationship Type="http://schemas.openxmlformats.org/officeDocument/2006/relationships/hyperlink" Target="https://check.torproject.org/torbulkexitlist" TargetMode="External" Id="rId3631"/><Relationship Type="http://schemas.openxmlformats.org/officeDocument/2006/relationships/hyperlink" Target="https://check.torproject.org/" TargetMode="External" Id="rId3632"/><Relationship Type="http://schemas.openxmlformats.org/officeDocument/2006/relationships/hyperlink" Target="https://check.torproject.org/torbulkexitlist" TargetMode="External" Id="rId3633"/><Relationship Type="http://schemas.openxmlformats.org/officeDocument/2006/relationships/hyperlink" Target="https://check.torproject.org/" TargetMode="External" Id="rId3634"/><Relationship Type="http://schemas.openxmlformats.org/officeDocument/2006/relationships/hyperlink" Target="https://check.torproject.org/torbulkexitlist" TargetMode="External" Id="rId3635"/><Relationship Type="http://schemas.openxmlformats.org/officeDocument/2006/relationships/hyperlink" Target="https://check.torproject.org/" TargetMode="External" Id="rId3636"/><Relationship Type="http://schemas.openxmlformats.org/officeDocument/2006/relationships/hyperlink" Target="https://check.torproject.org/torbulkexitlist" TargetMode="External" Id="rId3637"/><Relationship Type="http://schemas.openxmlformats.org/officeDocument/2006/relationships/hyperlink" Target="https://check.torproject.org/" TargetMode="External" Id="rId3638"/><Relationship Type="http://schemas.openxmlformats.org/officeDocument/2006/relationships/hyperlink" Target="https://check.torproject.org/torbulkexitlist" TargetMode="External" Id="rId3639"/><Relationship Type="http://schemas.openxmlformats.org/officeDocument/2006/relationships/hyperlink" Target="https://check.torproject.org/" TargetMode="External" Id="rId3640"/><Relationship Type="http://schemas.openxmlformats.org/officeDocument/2006/relationships/hyperlink" Target="https://check.torproject.org/torbulkexitlist" TargetMode="External" Id="rId3641"/><Relationship Type="http://schemas.openxmlformats.org/officeDocument/2006/relationships/hyperlink" Target="https://check.torproject.org/" TargetMode="External" Id="rId3642"/><Relationship Type="http://schemas.openxmlformats.org/officeDocument/2006/relationships/hyperlink" Target="https://check.torproject.org/torbulkexitlist" TargetMode="External" Id="rId3643"/><Relationship Type="http://schemas.openxmlformats.org/officeDocument/2006/relationships/hyperlink" Target="https://check.torproject.org/" TargetMode="External" Id="rId3644"/><Relationship Type="http://schemas.openxmlformats.org/officeDocument/2006/relationships/hyperlink" Target="https://check.torproject.org/torbulkexitlist" TargetMode="External" Id="rId3645"/><Relationship Type="http://schemas.openxmlformats.org/officeDocument/2006/relationships/hyperlink" Target="https://check.torproject.org/" TargetMode="External" Id="rId3646"/><Relationship Type="http://schemas.openxmlformats.org/officeDocument/2006/relationships/hyperlink" Target="https://check.torproject.org/torbulkexitlist" TargetMode="External" Id="rId3647"/><Relationship Type="http://schemas.openxmlformats.org/officeDocument/2006/relationships/hyperlink" Target="https://check.torproject.org/" TargetMode="External" Id="rId3648"/><Relationship Type="http://schemas.openxmlformats.org/officeDocument/2006/relationships/hyperlink" Target="https://check.torproject.org/torbulkexitlist" TargetMode="External" Id="rId3649"/><Relationship Type="http://schemas.openxmlformats.org/officeDocument/2006/relationships/hyperlink" Target="https://check.torproject.org/" TargetMode="External" Id="rId3650"/><Relationship Type="http://schemas.openxmlformats.org/officeDocument/2006/relationships/hyperlink" Target="https://check.torproject.org/torbulkexitlist" TargetMode="External" Id="rId3651"/><Relationship Type="http://schemas.openxmlformats.org/officeDocument/2006/relationships/hyperlink" Target="https://check.torproject.org/" TargetMode="External" Id="rId3652"/><Relationship Type="http://schemas.openxmlformats.org/officeDocument/2006/relationships/hyperlink" Target="https://check.torproject.org/torbulkexitlist" TargetMode="External" Id="rId3653"/><Relationship Type="http://schemas.openxmlformats.org/officeDocument/2006/relationships/hyperlink" Target="https://check.torproject.org/" TargetMode="External" Id="rId3654"/><Relationship Type="http://schemas.openxmlformats.org/officeDocument/2006/relationships/hyperlink" Target="https://check.torproject.org/torbulkexitlist" TargetMode="External" Id="rId3655"/><Relationship Type="http://schemas.openxmlformats.org/officeDocument/2006/relationships/hyperlink" Target="https://www.blocklist.de/" TargetMode="External" Id="rId3656"/><Relationship Type="http://schemas.openxmlformats.org/officeDocument/2006/relationships/hyperlink" Target="https://www.blocklist.de/" TargetMode="External" Id="rId3657"/><Relationship Type="http://schemas.openxmlformats.org/officeDocument/2006/relationships/hyperlink" Target="https://www.blocklist.de/" TargetMode="External" Id="rId3658"/><Relationship Type="http://schemas.openxmlformats.org/officeDocument/2006/relationships/hyperlink" Target="https://www.blocklist.de/" TargetMode="External" Id="rId3659"/><Relationship Type="http://schemas.openxmlformats.org/officeDocument/2006/relationships/hyperlink" Target="https://www.blocklist.de/" TargetMode="External" Id="rId3660"/><Relationship Type="http://schemas.openxmlformats.org/officeDocument/2006/relationships/hyperlink" Target="https://www.blocklist.de/" TargetMode="External" Id="rId3661"/><Relationship Type="http://schemas.openxmlformats.org/officeDocument/2006/relationships/hyperlink" Target="https://www.blocklist.de/" TargetMode="External" Id="rId3662"/><Relationship Type="http://schemas.openxmlformats.org/officeDocument/2006/relationships/hyperlink" Target="https://www.blocklist.de/" TargetMode="External" Id="rId3663"/><Relationship Type="http://schemas.openxmlformats.org/officeDocument/2006/relationships/hyperlink" Target="https://www.blocklist.de/" TargetMode="External" Id="rId3664"/><Relationship Type="http://schemas.openxmlformats.org/officeDocument/2006/relationships/hyperlink" Target="https://www.blocklist.de/" TargetMode="External" Id="rId3665"/><Relationship Type="http://schemas.openxmlformats.org/officeDocument/2006/relationships/hyperlink" Target="https://www.blocklist.de/" TargetMode="External" Id="rId3666"/><Relationship Type="http://schemas.openxmlformats.org/officeDocument/2006/relationships/hyperlink" Target="https://www.blocklist.de/" TargetMode="External" Id="rId3667"/><Relationship Type="http://schemas.openxmlformats.org/officeDocument/2006/relationships/hyperlink" Target="https://www.blocklist.de/" TargetMode="External" Id="rId3668"/><Relationship Type="http://schemas.openxmlformats.org/officeDocument/2006/relationships/hyperlink" Target="https://www.blocklist.de/" TargetMode="External" Id="rId3669"/><Relationship Type="http://schemas.openxmlformats.org/officeDocument/2006/relationships/hyperlink" Target="https://www.blocklist.de/" TargetMode="External" Id="rId3670"/><Relationship Type="http://schemas.openxmlformats.org/officeDocument/2006/relationships/hyperlink" Target="https://www.blocklist.de/" TargetMode="External" Id="rId3671"/><Relationship Type="http://schemas.openxmlformats.org/officeDocument/2006/relationships/hyperlink" Target="https://www.blocklist.de/" TargetMode="External" Id="rId3672"/><Relationship Type="http://schemas.openxmlformats.org/officeDocument/2006/relationships/hyperlink" Target="https://www.blocklist.de/" TargetMode="External" Id="rId3673"/><Relationship Type="http://schemas.openxmlformats.org/officeDocument/2006/relationships/hyperlink" Target="https://www.blocklist.de/" TargetMode="External" Id="rId3674"/><Relationship Type="http://schemas.openxmlformats.org/officeDocument/2006/relationships/hyperlink" Target="https://www.blocklist.de/" TargetMode="External" Id="rId3675"/><Relationship Type="http://schemas.openxmlformats.org/officeDocument/2006/relationships/hyperlink" Target="https://www.blocklist.de/" TargetMode="External" Id="rId3676"/><Relationship Type="http://schemas.openxmlformats.org/officeDocument/2006/relationships/hyperlink" Target="https://www.blocklist.de/" TargetMode="External" Id="rId3677"/><Relationship Type="http://schemas.openxmlformats.org/officeDocument/2006/relationships/hyperlink" Target="https://www.blocklist.de/" TargetMode="External" Id="rId3678"/><Relationship Type="http://schemas.openxmlformats.org/officeDocument/2006/relationships/hyperlink" Target="https://www.blocklist.de/" TargetMode="External" Id="rId3679"/><Relationship Type="http://schemas.openxmlformats.org/officeDocument/2006/relationships/hyperlink" Target="https://www.blocklist.de/" TargetMode="External" Id="rId3680"/><Relationship Type="http://schemas.openxmlformats.org/officeDocument/2006/relationships/hyperlink" Target="https://www.blocklist.de/" TargetMode="External" Id="rId3681"/><Relationship Type="http://schemas.openxmlformats.org/officeDocument/2006/relationships/hyperlink" Target="https://www.blocklist.de/" TargetMode="External" Id="rId3682"/><Relationship Type="http://schemas.openxmlformats.org/officeDocument/2006/relationships/hyperlink" Target="https://www.blocklist.de/" TargetMode="External" Id="rId3683"/><Relationship Type="http://schemas.openxmlformats.org/officeDocument/2006/relationships/hyperlink" Target="https://www.blocklist.de/" TargetMode="External" Id="rId3684"/><Relationship Type="http://schemas.openxmlformats.org/officeDocument/2006/relationships/hyperlink" Target="https://www.blocklist.de/" TargetMode="External" Id="rId3685"/><Relationship Type="http://schemas.openxmlformats.org/officeDocument/2006/relationships/hyperlink" Target="https://www.blocklist.de/" TargetMode="External" Id="rId3686"/><Relationship Type="http://schemas.openxmlformats.org/officeDocument/2006/relationships/hyperlink" Target="https://www.blocklist.de/" TargetMode="External" Id="rId3687"/><Relationship Type="http://schemas.openxmlformats.org/officeDocument/2006/relationships/hyperlink" Target="https://www.blocklist.de/" TargetMode="External" Id="rId3688"/><Relationship Type="http://schemas.openxmlformats.org/officeDocument/2006/relationships/hyperlink" Target="https://www.blocklist.de/" TargetMode="External" Id="rId3689"/><Relationship Type="http://schemas.openxmlformats.org/officeDocument/2006/relationships/hyperlink" Target="https://www.blocklist.de/" TargetMode="External" Id="rId3690"/><Relationship Type="http://schemas.openxmlformats.org/officeDocument/2006/relationships/hyperlink" Target="https://www.blocklist.de/" TargetMode="External" Id="rId3691"/><Relationship Type="http://schemas.openxmlformats.org/officeDocument/2006/relationships/hyperlink" Target="https://www.blocklist.de/" TargetMode="External" Id="rId3692"/><Relationship Type="http://schemas.openxmlformats.org/officeDocument/2006/relationships/hyperlink" Target="https://www.blocklist.de/" TargetMode="External" Id="rId3693"/><Relationship Type="http://schemas.openxmlformats.org/officeDocument/2006/relationships/hyperlink" Target="https://www.blocklist.de/" TargetMode="External" Id="rId3694"/><Relationship Type="http://schemas.openxmlformats.org/officeDocument/2006/relationships/hyperlink" Target="https://www.blocklist.de/" TargetMode="External" Id="rId3695"/><Relationship Type="http://schemas.openxmlformats.org/officeDocument/2006/relationships/hyperlink" Target="https://www.blocklist.de/" TargetMode="External" Id="rId3696"/><Relationship Type="http://schemas.openxmlformats.org/officeDocument/2006/relationships/hyperlink" Target="https://www.blocklist.de/" TargetMode="External" Id="rId3697"/><Relationship Type="http://schemas.openxmlformats.org/officeDocument/2006/relationships/hyperlink" Target="https://www.blocklist.de/" TargetMode="External" Id="rId3698"/><Relationship Type="http://schemas.openxmlformats.org/officeDocument/2006/relationships/hyperlink" Target="https://www.blocklist.de/" TargetMode="External" Id="rId3699"/><Relationship Type="http://schemas.openxmlformats.org/officeDocument/2006/relationships/hyperlink" Target="https://www.blocklist.de/" TargetMode="External" Id="rId3700"/><Relationship Type="http://schemas.openxmlformats.org/officeDocument/2006/relationships/hyperlink" Target="https://www.blocklist.de/" TargetMode="External" Id="rId3701"/><Relationship Type="http://schemas.openxmlformats.org/officeDocument/2006/relationships/hyperlink" Target="https://www.blocklist.de/" TargetMode="External" Id="rId3702"/><Relationship Type="http://schemas.openxmlformats.org/officeDocument/2006/relationships/hyperlink" Target="https://www.blocklist.de/" TargetMode="External" Id="rId3703"/><Relationship Type="http://schemas.openxmlformats.org/officeDocument/2006/relationships/hyperlink" Target="https://www.blocklist.de/" TargetMode="External" Id="rId3704"/><Relationship Type="http://schemas.openxmlformats.org/officeDocument/2006/relationships/hyperlink" Target="https://www.blocklist.de/" TargetMode="External" Id="rId3705"/><Relationship Type="http://schemas.openxmlformats.org/officeDocument/2006/relationships/hyperlink" Target="https://www.blocklist.de/" TargetMode="External" Id="rId3706"/><Relationship Type="http://schemas.openxmlformats.org/officeDocument/2006/relationships/hyperlink" Target="https://www.blocklist.de/" TargetMode="External" Id="rId3707"/><Relationship Type="http://schemas.openxmlformats.org/officeDocument/2006/relationships/hyperlink" Target="https://www.blocklist.de/" TargetMode="External" Id="rId3708"/><Relationship Type="http://schemas.openxmlformats.org/officeDocument/2006/relationships/hyperlink" Target="https://www.blocklist.de/" TargetMode="External" Id="rId3709"/><Relationship Type="http://schemas.openxmlformats.org/officeDocument/2006/relationships/hyperlink" Target="https://www.blocklist.de/" TargetMode="External" Id="rId3710"/><Relationship Type="http://schemas.openxmlformats.org/officeDocument/2006/relationships/hyperlink" Target="https://www.blocklist.de/" TargetMode="External" Id="rId3711"/><Relationship Type="http://schemas.openxmlformats.org/officeDocument/2006/relationships/hyperlink" Target="https://www.blocklist.de/" TargetMode="External" Id="rId3712"/><Relationship Type="http://schemas.openxmlformats.org/officeDocument/2006/relationships/hyperlink" Target="https://www.blocklist.de/" TargetMode="External" Id="rId3713"/><Relationship Type="http://schemas.openxmlformats.org/officeDocument/2006/relationships/hyperlink" Target="https://www.blocklist.de/" TargetMode="External" Id="rId3714"/><Relationship Type="http://schemas.openxmlformats.org/officeDocument/2006/relationships/hyperlink" Target="https://www.blocklist.de/" TargetMode="External" Id="rId3715"/><Relationship Type="http://schemas.openxmlformats.org/officeDocument/2006/relationships/hyperlink" Target="https://nvd.nist.gov/vuln/detail/CVE-2007-4387" TargetMode="External" Id="rId3716"/><Relationship Type="http://schemas.openxmlformats.org/officeDocument/2006/relationships/hyperlink" Target="https://nvd.nist.gov/vuln/detail/CVE-2007-4387" TargetMode="External" Id="rId3717"/><Relationship Type="http://schemas.openxmlformats.org/officeDocument/2006/relationships/hyperlink" Target="https://www.rapid7.com/db/search/?q=CVE-2007-4387" TargetMode="External" Id="rId3718"/><Relationship Type="http://schemas.openxmlformats.org/officeDocument/2006/relationships/hyperlink" Target="https://nvd.nist.gov/vuln/detail/CVE-2014-6041" TargetMode="External" Id="rId3719"/><Relationship Type="http://schemas.openxmlformats.org/officeDocument/2006/relationships/hyperlink" Target="https://nvd.nist.gov/vuln/detail/CVE-2014-6041" TargetMode="External" Id="rId3720"/><Relationship Type="http://schemas.openxmlformats.org/officeDocument/2006/relationships/hyperlink" Target="https://www.rapid7.com/db/search/?q=CVE-2014-6041" TargetMode="External" Id="rId3721"/><Relationship Type="http://schemas.openxmlformats.org/officeDocument/2006/relationships/hyperlink" Target="https://nvd.nist.gov/vuln/detail/CVE-2005-2611" TargetMode="External" Id="rId3722"/><Relationship Type="http://schemas.openxmlformats.org/officeDocument/2006/relationships/hyperlink" Target="https://nvd.nist.gov/vuln/detail/CVE-2005-2611" TargetMode="External" Id="rId3723"/><Relationship Type="http://schemas.openxmlformats.org/officeDocument/2006/relationships/hyperlink" Target="https://www.rapid7.com/db/search/?q=CVE-2005-2611" TargetMode="External" Id="rId3724"/><Relationship Type="http://schemas.openxmlformats.org/officeDocument/2006/relationships/hyperlink" Target="https://nvd.nist.gov/vuln/detail/CVE-2005-0771" TargetMode="External" Id="rId3725"/><Relationship Type="http://schemas.openxmlformats.org/officeDocument/2006/relationships/hyperlink" Target="https://nvd.nist.gov/vuln/detail/CVE-2005-0771" TargetMode="External" Id="rId3726"/><Relationship Type="http://schemas.openxmlformats.org/officeDocument/2006/relationships/hyperlink" Target="https://www.rapid7.com/db/search/?q=CVE-2005-0771" TargetMode="External" Id="rId3727"/><Relationship Type="http://schemas.openxmlformats.org/officeDocument/2006/relationships/hyperlink" Target="https://nvd.nist.gov/vuln/detail/CVE-2004-0795" TargetMode="External" Id="rId3728"/><Relationship Type="http://schemas.openxmlformats.org/officeDocument/2006/relationships/hyperlink" Target="https://nvd.nist.gov/vuln/detail/CVE-2004-0795" TargetMode="External" Id="rId3729"/><Relationship Type="http://schemas.openxmlformats.org/officeDocument/2006/relationships/hyperlink" Target="https://www.rapid7.com/db/search/?q=CVE-2004-0795" TargetMode="External" Id="rId3730"/><Relationship Type="http://schemas.openxmlformats.org/officeDocument/2006/relationships/hyperlink" Target="https://nvd.nist.gov/vuln/detail/CVE-2020-1472" TargetMode="External" Id="rId3731"/><Relationship Type="http://schemas.openxmlformats.org/officeDocument/2006/relationships/hyperlink" Target="https://nvd.nist.gov/vuln/detail/CVE-2020-1472" TargetMode="External" Id="rId3732"/><Relationship Type="http://schemas.openxmlformats.org/officeDocument/2006/relationships/hyperlink" Target="https://www.rapid7.com/db/search/?q=CVE-2020-1472" TargetMode="External" Id="rId3733"/><Relationship Type="http://schemas.openxmlformats.org/officeDocument/2006/relationships/hyperlink" Target="https://nvd.nist.gov/vuln/detail/CVE-2022-26923" TargetMode="External" Id="rId3734"/><Relationship Type="http://schemas.openxmlformats.org/officeDocument/2006/relationships/hyperlink" Target="https://nvd.nist.gov/vuln/detail/CVE-2022-26923" TargetMode="External" Id="rId3735"/><Relationship Type="http://schemas.openxmlformats.org/officeDocument/2006/relationships/hyperlink" Target="https://www.rapid7.com/db/search/?q=CVE-2022-26923" TargetMode="External" Id="rId3736"/><Relationship Type="http://schemas.openxmlformats.org/officeDocument/2006/relationships/hyperlink" Target="https://nvd.nist.gov/vuln/detail/CVE-2009-4655" TargetMode="External" Id="rId3737"/><Relationship Type="http://schemas.openxmlformats.org/officeDocument/2006/relationships/hyperlink" Target="https://nvd.nist.gov/vuln/detail/CVE-2009-4655" TargetMode="External" Id="rId3738"/><Relationship Type="http://schemas.openxmlformats.org/officeDocument/2006/relationships/hyperlink" Target="https://www.rapid7.com/db/search/?q=CVE-2009-4655" TargetMode="External" Id="rId3739"/><Relationship Type="http://schemas.openxmlformats.org/officeDocument/2006/relationships/hyperlink" Target="https://nvd.nist.gov/vuln/detail/CVE-2008-0926" TargetMode="External" Id="rId3740"/><Relationship Type="http://schemas.openxmlformats.org/officeDocument/2006/relationships/hyperlink" Target="https://nvd.nist.gov/vuln/detail/CVE-2008-0926" TargetMode="External" Id="rId3741"/><Relationship Type="http://schemas.openxmlformats.org/officeDocument/2006/relationships/hyperlink" Target="https://www.rapid7.com/db/search/?q=CVE-2008-0926" TargetMode="External" Id="rId3742"/><Relationship Type="http://schemas.openxmlformats.org/officeDocument/2006/relationships/hyperlink" Target="https://nvd.nist.gov/vuln/detail/CVE-2008-2157" TargetMode="External" Id="rId3743"/><Relationship Type="http://schemas.openxmlformats.org/officeDocument/2006/relationships/hyperlink" Target="https://nvd.nist.gov/vuln/detail/CVE-2008-2157" TargetMode="External" Id="rId3744"/><Relationship Type="http://schemas.openxmlformats.org/officeDocument/2006/relationships/hyperlink" Target="https://www.rapid7.com/db/search/?q=CVE-2008-2157" TargetMode="External" Id="rId3745"/><Relationship Type="http://schemas.openxmlformats.org/officeDocument/2006/relationships/hyperlink" Target="https://nvd.nist.gov/vuln/detail/CVE-2011-0923" TargetMode="External" Id="rId3746"/><Relationship Type="http://schemas.openxmlformats.org/officeDocument/2006/relationships/hyperlink" Target="https://nvd.nist.gov/vuln/detail/CVE-2011-0923" TargetMode="External" Id="rId3747"/><Relationship Type="http://schemas.openxmlformats.org/officeDocument/2006/relationships/hyperlink" Target="https://www.rapid7.com/db/search/?q=CVE-2011-0923" TargetMode="External" Id="rId3748"/><Relationship Type="http://schemas.openxmlformats.org/officeDocument/2006/relationships/hyperlink" Target="https://nvd.nist.gov/vuln/detail/CVE-2017-12542" TargetMode="External" Id="rId3749"/><Relationship Type="http://schemas.openxmlformats.org/officeDocument/2006/relationships/hyperlink" Target="https://nvd.nist.gov/vuln/detail/CVE-2017-12542" TargetMode="External" Id="rId3750"/><Relationship Type="http://schemas.openxmlformats.org/officeDocument/2006/relationships/hyperlink" Target="https://www.rapid7.com/db/search/?q=CVE-2017-12542" TargetMode="External" Id="rId3751"/><Relationship Type="http://schemas.openxmlformats.org/officeDocument/2006/relationships/hyperlink" Target="https://nvd.nist.gov/vuln/detail/CVE-2013-4824" TargetMode="External" Id="rId3752"/><Relationship Type="http://schemas.openxmlformats.org/officeDocument/2006/relationships/hyperlink" Target="https://nvd.nist.gov/vuln/detail/CVE-2013-4824" TargetMode="External" Id="rId3753"/><Relationship Type="http://schemas.openxmlformats.org/officeDocument/2006/relationships/hyperlink" Target="https://www.rapid7.com/db/search/?q=CVE-2013-4824" TargetMode="External" Id="rId3754"/><Relationship Type="http://schemas.openxmlformats.org/officeDocument/2006/relationships/hyperlink" Target="https://nvd.nist.gov/vuln/detail/CVE-2014-9222" TargetMode="External" Id="rId3755"/><Relationship Type="http://schemas.openxmlformats.org/officeDocument/2006/relationships/hyperlink" Target="https://nvd.nist.gov/vuln/detail/CVE-2014-9222" TargetMode="External" Id="rId3756"/><Relationship Type="http://schemas.openxmlformats.org/officeDocument/2006/relationships/hyperlink" Target="https://www.rapid7.com/db/search/?q=CVE-2014-9222" TargetMode="External" Id="rId3757"/><Relationship Type="http://schemas.openxmlformats.org/officeDocument/2006/relationships/hyperlink" Target="https://nvd.nist.gov/vuln/detail/CVE-2015-0964" TargetMode="External" Id="rId3758"/><Relationship Type="http://schemas.openxmlformats.org/officeDocument/2006/relationships/hyperlink" Target="https://nvd.nist.gov/vuln/detail/CVE-2015-0964" TargetMode="External" Id="rId3759"/><Relationship Type="http://schemas.openxmlformats.org/officeDocument/2006/relationships/hyperlink" Target="https://www.rapid7.com/db/search/?q=CVE-2015-0964" TargetMode="External" Id="rId3760"/><Relationship Type="http://schemas.openxmlformats.org/officeDocument/2006/relationships/hyperlink" Target="https://nvd.nist.gov/vuln/detail/CVE-2015-0965" TargetMode="External" Id="rId3761"/><Relationship Type="http://schemas.openxmlformats.org/officeDocument/2006/relationships/hyperlink" Target="https://nvd.nist.gov/vuln/detail/CVE-2015-0965" TargetMode="External" Id="rId3762"/><Relationship Type="http://schemas.openxmlformats.org/officeDocument/2006/relationships/hyperlink" Target="https://www.rapid7.com/db/search/?q=CVE-2015-0965" TargetMode="External" Id="rId3763"/><Relationship Type="http://schemas.openxmlformats.org/officeDocument/2006/relationships/hyperlink" Target="https://nvd.nist.gov/vuln/detail/CVE-2015-0966" TargetMode="External" Id="rId3764"/><Relationship Type="http://schemas.openxmlformats.org/officeDocument/2006/relationships/hyperlink" Target="https://nvd.nist.gov/vuln/detail/CVE-2015-0966" TargetMode="External" Id="rId3765"/><Relationship Type="http://schemas.openxmlformats.org/officeDocument/2006/relationships/hyperlink" Target="https://www.rapid7.com/db/search/?q=CVE-2015-0966" TargetMode="External" Id="rId3766"/><Relationship Type="http://schemas.openxmlformats.org/officeDocument/2006/relationships/hyperlink" Target="https://nvd.nist.gov/vuln/detail/CVE-2023-22515" TargetMode="External" Id="rId3767"/><Relationship Type="http://schemas.openxmlformats.org/officeDocument/2006/relationships/hyperlink" Target="https://nvd.nist.gov/vuln/detail/CVE-2023-22515" TargetMode="External" Id="rId3768"/><Relationship Type="http://schemas.openxmlformats.org/officeDocument/2006/relationships/hyperlink" Target="https://www.rapid7.com/db/search/?q=CVE-2023-22515" TargetMode="External" Id="rId3769"/><Relationship Type="http://schemas.openxmlformats.org/officeDocument/2006/relationships/hyperlink" Target="https://nvd.nist.gov/vuln/detail/CVE-2012-4940" TargetMode="External" Id="rId3770"/><Relationship Type="http://schemas.openxmlformats.org/officeDocument/2006/relationships/hyperlink" Target="https://nvd.nist.gov/vuln/detail/CVE-2012-4940" TargetMode="External" Id="rId3771"/><Relationship Type="http://schemas.openxmlformats.org/officeDocument/2006/relationships/hyperlink" Target="https://www.rapid7.com/db/search/?q=CVE-2012-4940" TargetMode="External" Id="rId3772"/><Relationship Type="http://schemas.openxmlformats.org/officeDocument/2006/relationships/hyperlink" Target="https://nvd.nist.gov/vuln/detail/CVE-2013-2050" TargetMode="External" Id="rId3773"/><Relationship Type="http://schemas.openxmlformats.org/officeDocument/2006/relationships/hyperlink" Target="https://nvd.nist.gov/vuln/detail/CVE-2013-2050" TargetMode="External" Id="rId3774"/><Relationship Type="http://schemas.openxmlformats.org/officeDocument/2006/relationships/hyperlink" Target="https://www.rapid7.com/db/search/?q=CVE-2013-2050" TargetMode="External" Id="rId3775"/><Relationship Type="http://schemas.openxmlformats.org/officeDocument/2006/relationships/hyperlink" Target="https://nvd.nist.gov/vuln/detail/CVE-2020-16137" TargetMode="External" Id="rId3776"/><Relationship Type="http://schemas.openxmlformats.org/officeDocument/2006/relationships/hyperlink" Target="https://nvd.nist.gov/vuln/detail/CVE-2020-16137" TargetMode="External" Id="rId3777"/><Relationship Type="http://schemas.openxmlformats.org/officeDocument/2006/relationships/hyperlink" Target="https://www.rapid7.com/db/search/?q=CVE-2020-16137" TargetMode="External" Id="rId3778"/><Relationship Type="http://schemas.openxmlformats.org/officeDocument/2006/relationships/hyperlink" Target="https://nvd.nist.gov/vuln/detail/CVE-2023-20198" TargetMode="External" Id="rId3779"/><Relationship Type="http://schemas.openxmlformats.org/officeDocument/2006/relationships/hyperlink" Target="https://nvd.nist.gov/vuln/detail/CVE-2023-20198" TargetMode="External" Id="rId3780"/><Relationship Type="http://schemas.openxmlformats.org/officeDocument/2006/relationships/hyperlink" Target="https://www.rapid7.com/db/search/?q=CVE-2023-20198" TargetMode="External" Id="rId3781"/><Relationship Type="http://schemas.openxmlformats.org/officeDocument/2006/relationships/hyperlink" Target="https://nvd.nist.gov/vuln/detail/CVE-2023-20273" TargetMode="External" Id="rId3782"/><Relationship Type="http://schemas.openxmlformats.org/officeDocument/2006/relationships/hyperlink" Target="https://nvd.nist.gov/vuln/detail/CVE-2023-20273" TargetMode="External" Id="rId3783"/><Relationship Type="http://schemas.openxmlformats.org/officeDocument/2006/relationships/hyperlink" Target="https://www.rapid7.com/db/search/?q=CVE-2023-20273" TargetMode="External" Id="rId3784"/><Relationship Type="http://schemas.openxmlformats.org/officeDocument/2006/relationships/hyperlink" Target="https://nvd.nist.gov/vuln/detail/CVE-2024-20419" TargetMode="External" Id="rId3785"/><Relationship Type="http://schemas.openxmlformats.org/officeDocument/2006/relationships/hyperlink" Target="https://nvd.nist.gov/vuln/detail/CVE-2024-20419" TargetMode="External" Id="rId3786"/><Relationship Type="http://schemas.openxmlformats.org/officeDocument/2006/relationships/hyperlink" Target="https://www.rapid7.com/db/search/?q=CVE-2024-20419" TargetMode="External" Id="rId3787"/><Relationship Type="http://schemas.openxmlformats.org/officeDocument/2006/relationships/hyperlink" Target="https://nvd.nist.gov/vuln/detail/CVE-2017-5259" TargetMode="External" Id="rId3788"/><Relationship Type="http://schemas.openxmlformats.org/officeDocument/2006/relationships/hyperlink" Target="https://nvd.nist.gov/vuln/detail/CVE-2017-5259" TargetMode="External" Id="rId3789"/><Relationship Type="http://schemas.openxmlformats.org/officeDocument/2006/relationships/hyperlink" Target="https://www.rapid7.com/db/search/?q=CVE-2017-5259" TargetMode="External" Id="rId3790"/><Relationship Type="http://schemas.openxmlformats.org/officeDocument/2006/relationships/hyperlink" Target="https://nvd.nist.gov/vuln/detail/CVE-2017-5261" TargetMode="External" Id="rId3791"/><Relationship Type="http://schemas.openxmlformats.org/officeDocument/2006/relationships/hyperlink" Target="https://nvd.nist.gov/vuln/detail/CVE-2017-5261" TargetMode="External" Id="rId3792"/><Relationship Type="http://schemas.openxmlformats.org/officeDocument/2006/relationships/hyperlink" Target="https://www.rapid7.com/db/search/?q=CVE-2017-5261" TargetMode="External" Id="rId3793"/><Relationship Type="http://schemas.openxmlformats.org/officeDocument/2006/relationships/hyperlink" Target="https://nvd.nist.gov/vuln/detail/CVE-2009-10005" TargetMode="External" Id="rId3794"/><Relationship Type="http://schemas.openxmlformats.org/officeDocument/2006/relationships/hyperlink" Target="https://nvd.nist.gov/vuln/detail/CVE-2009-10005" TargetMode="External" Id="rId3795"/><Relationship Type="http://schemas.openxmlformats.org/officeDocument/2006/relationships/hyperlink" Target="https://www.rapid7.com/db/search/?q=CVE-2009-10005" TargetMode="External" Id="rId3796"/><Relationship Type="http://schemas.openxmlformats.org/officeDocument/2006/relationships/hyperlink" Target="https://nvd.nist.gov/vuln/detail/CVE-2013-10069" TargetMode="External" Id="rId3797"/><Relationship Type="http://schemas.openxmlformats.org/officeDocument/2006/relationships/hyperlink" Target="https://nvd.nist.gov/vuln/detail/CVE-2013-10069" TargetMode="External" Id="rId3798"/><Relationship Type="http://schemas.openxmlformats.org/officeDocument/2006/relationships/hyperlink" Target="https://www.rapid7.com/db/search/?q=CVE-2013-10069" TargetMode="External" Id="rId3799"/><Relationship Type="http://schemas.openxmlformats.org/officeDocument/2006/relationships/hyperlink" Target="https://nvd.nist.gov/vuln/detail/CVE-2013-2113" TargetMode="External" Id="rId3800"/><Relationship Type="http://schemas.openxmlformats.org/officeDocument/2006/relationships/hyperlink" Target="https://nvd.nist.gov/vuln/detail/CVE-2013-2113" TargetMode="External" Id="rId3801"/><Relationship Type="http://schemas.openxmlformats.org/officeDocument/2006/relationships/hyperlink" Target="https://www.rapid7.com/db/search/?q=CVE-2013-2113" TargetMode="External" Id="rId3802"/><Relationship Type="http://schemas.openxmlformats.org/officeDocument/2006/relationships/hyperlink" Target="https://nvd.nist.gov/vuln/detail/CVE-2025-64446" TargetMode="External" Id="rId3803"/><Relationship Type="http://schemas.openxmlformats.org/officeDocument/2006/relationships/hyperlink" Target="https://nvd.nist.gov/vuln/detail/CVE-2025-64446" TargetMode="External" Id="rId3804"/><Relationship Type="http://schemas.openxmlformats.org/officeDocument/2006/relationships/hyperlink" Target="https://www.rapid7.com/db/search/?q=CVE-2025-64446" TargetMode="External" Id="rId3805"/><Relationship Type="http://schemas.openxmlformats.org/officeDocument/2006/relationships/hyperlink" Target="https://nvd.nist.gov/vuln/detail/CVE-2024-5276" TargetMode="External" Id="rId3806"/><Relationship Type="http://schemas.openxmlformats.org/officeDocument/2006/relationships/hyperlink" Target="https://nvd.nist.gov/vuln/detail/CVE-2024-5276" TargetMode="External" Id="rId3807"/><Relationship Type="http://schemas.openxmlformats.org/officeDocument/2006/relationships/hyperlink" Target="https://www.rapid7.com/db/search/?q=CVE-2024-5276" TargetMode="External" Id="rId3808"/><Relationship Type="http://schemas.openxmlformats.org/officeDocument/2006/relationships/hyperlink" Target="https://nvd.nist.gov/vuln/detail/CVE-2023-7028" TargetMode="External" Id="rId3809"/><Relationship Type="http://schemas.openxmlformats.org/officeDocument/2006/relationships/hyperlink" Target="https://nvd.nist.gov/vuln/detail/CVE-2023-7028" TargetMode="External" Id="rId3810"/><Relationship Type="http://schemas.openxmlformats.org/officeDocument/2006/relationships/hyperlink" Target="https://www.rapid7.com/db/search/?q=CVE-2023-7028" TargetMode="External" Id="rId3811"/><Relationship Type="http://schemas.openxmlformats.org/officeDocument/2006/relationships/hyperlink" Target="https://nvd.nist.gov/vuln/detail/CVE-2018-5955" TargetMode="External" Id="rId3812"/><Relationship Type="http://schemas.openxmlformats.org/officeDocument/2006/relationships/hyperlink" Target="https://nvd.nist.gov/vuln/detail/CVE-2018-5955" TargetMode="External" Id="rId3813"/><Relationship Type="http://schemas.openxmlformats.org/officeDocument/2006/relationships/hyperlink" Target="https://www.rapid7.com/db/search/?q=CVE-2018-5955" TargetMode="External" Id="rId3814"/><Relationship Type="http://schemas.openxmlformats.org/officeDocument/2006/relationships/hyperlink" Target="https://nvd.nist.gov/vuln/detail/CVE-2018-15727" TargetMode="External" Id="rId3815"/><Relationship Type="http://schemas.openxmlformats.org/officeDocument/2006/relationships/hyperlink" Target="https://nvd.nist.gov/vuln/detail/CVE-2018-15727" TargetMode="External" Id="rId3816"/><Relationship Type="http://schemas.openxmlformats.org/officeDocument/2006/relationships/hyperlink" Target="https://www.rapid7.com/db/search/?q=CVE-2018-15727" TargetMode="External" Id="rId3817"/><Relationship Type="http://schemas.openxmlformats.org/officeDocument/2006/relationships/hyperlink" Target="https://nvd.nist.gov/vuln/detail/CVE-2017-7921" TargetMode="External" Id="rId3818"/><Relationship Type="http://schemas.openxmlformats.org/officeDocument/2006/relationships/hyperlink" Target="https://nvd.nist.gov/vuln/detail/CVE-2017-7921" TargetMode="External" Id="rId3819"/><Relationship Type="http://schemas.openxmlformats.org/officeDocument/2006/relationships/hyperlink" Target="https://www.rapid7.com/db/search/?q=CVE-2017-7921" TargetMode="External" Id="rId3820"/><Relationship Type="http://schemas.openxmlformats.org/officeDocument/2006/relationships/hyperlink" Target="https://nvd.nist.gov/vuln/detail/CVE-2020-4427" TargetMode="External" Id="rId3821"/><Relationship Type="http://schemas.openxmlformats.org/officeDocument/2006/relationships/hyperlink" Target="https://nvd.nist.gov/vuln/detail/CVE-2020-4427" TargetMode="External" Id="rId3822"/><Relationship Type="http://schemas.openxmlformats.org/officeDocument/2006/relationships/hyperlink" Target="https://www.rapid7.com/db/search/?q=CVE-2020-4427" TargetMode="External" Id="rId3823"/><Relationship Type="http://schemas.openxmlformats.org/officeDocument/2006/relationships/hyperlink" Target="https://nvd.nist.gov/vuln/detail/CVE-2020-4429" TargetMode="External" Id="rId3824"/><Relationship Type="http://schemas.openxmlformats.org/officeDocument/2006/relationships/hyperlink" Target="https://nvd.nist.gov/vuln/detail/CVE-2020-4429" TargetMode="External" Id="rId3825"/><Relationship Type="http://schemas.openxmlformats.org/officeDocument/2006/relationships/hyperlink" Target="https://www.rapid7.com/db/search/?q=CVE-2020-4429" TargetMode="External" Id="rId3826"/><Relationship Type="http://schemas.openxmlformats.org/officeDocument/2006/relationships/hyperlink" Target="https://nvd.nist.gov/vuln/detail/CVE-2023-6329" TargetMode="External" Id="rId3827"/><Relationship Type="http://schemas.openxmlformats.org/officeDocument/2006/relationships/hyperlink" Target="https://nvd.nist.gov/vuln/detail/CVE-2023-6329" TargetMode="External" Id="rId3828"/><Relationship Type="http://schemas.openxmlformats.org/officeDocument/2006/relationships/hyperlink" Target="https://www.rapid7.com/db/search/?q=CVE-2023-6329" TargetMode="External" Id="rId3829"/><Relationship Type="http://schemas.openxmlformats.org/officeDocument/2006/relationships/hyperlink" Target="https://nvd.nist.gov/vuln/detail/CVE-2010-2731" TargetMode="External" Id="rId3830"/><Relationship Type="http://schemas.openxmlformats.org/officeDocument/2006/relationships/hyperlink" Target="https://nvd.nist.gov/vuln/detail/CVE-2010-2731" TargetMode="External" Id="rId3831"/><Relationship Type="http://schemas.openxmlformats.org/officeDocument/2006/relationships/hyperlink" Target="https://www.rapid7.com/db/search/?q=CVE-2010-2731" TargetMode="External" Id="rId3832"/><Relationship Type="http://schemas.openxmlformats.org/officeDocument/2006/relationships/hyperlink" Target="https://nvd.nist.gov/vuln/detail/CVE-2007-4915" TargetMode="External" Id="rId3833"/><Relationship Type="http://schemas.openxmlformats.org/officeDocument/2006/relationships/hyperlink" Target="https://nvd.nist.gov/vuln/detail/CVE-2007-4915" TargetMode="External" Id="rId3834"/><Relationship Type="http://schemas.openxmlformats.org/officeDocument/2006/relationships/hyperlink" Target="https://www.rapid7.com/db/search/?q=CVE-2007-4915" TargetMode="External" Id="rId3835"/><Relationship Type="http://schemas.openxmlformats.org/officeDocument/2006/relationships/hyperlink" Target="https://nvd.nist.gov/vuln/detail/CVE-2009-2367" TargetMode="External" Id="rId3836"/><Relationship Type="http://schemas.openxmlformats.org/officeDocument/2006/relationships/hyperlink" Target="https://nvd.nist.gov/vuln/detail/CVE-2009-2367" TargetMode="External" Id="rId3837"/><Relationship Type="http://schemas.openxmlformats.org/officeDocument/2006/relationships/hyperlink" Target="https://www.rapid7.com/db/search/?q=CVE-2009-2367" TargetMode="External" Id="rId3838"/><Relationship Type="http://schemas.openxmlformats.org/officeDocument/2006/relationships/hyperlink" Target="https://nvd.nist.gov/vuln/detail/CVE-2024-7593" TargetMode="External" Id="rId3839"/><Relationship Type="http://schemas.openxmlformats.org/officeDocument/2006/relationships/hyperlink" Target="https://nvd.nist.gov/vuln/detail/CVE-2024-7593" TargetMode="External" Id="rId3840"/><Relationship Type="http://schemas.openxmlformats.org/officeDocument/2006/relationships/hyperlink" Target="https://www.rapid7.com/db/search/?q=CVE-2024-7593" TargetMode="External" Id="rId3841"/><Relationship Type="http://schemas.openxmlformats.org/officeDocument/2006/relationships/hyperlink" Target="https://nvd.nist.gov/vuln/detail/CVE-2010-0738" TargetMode="External" Id="rId3842"/><Relationship Type="http://schemas.openxmlformats.org/officeDocument/2006/relationships/hyperlink" Target="https://nvd.nist.gov/vuln/detail/CVE-2010-0738" TargetMode="External" Id="rId3843"/><Relationship Type="http://schemas.openxmlformats.org/officeDocument/2006/relationships/hyperlink" Target="https://www.rapid7.com/db/search/?q=CVE-2010-0738" TargetMode="External" Id="rId3844"/><Relationship Type="http://schemas.openxmlformats.org/officeDocument/2006/relationships/hyperlink" Target="https://nvd.nist.gov/vuln/detail/CVE-2010-1871" TargetMode="External" Id="rId3845"/><Relationship Type="http://schemas.openxmlformats.org/officeDocument/2006/relationships/hyperlink" Target="https://nvd.nist.gov/vuln/detail/CVE-2010-1871" TargetMode="External" Id="rId3846"/><Relationship Type="http://schemas.openxmlformats.org/officeDocument/2006/relationships/hyperlink" Target="https://www.rapid7.com/db/search/?q=CVE-2010-1871" TargetMode="External" Id="rId3847"/><Relationship Type="http://schemas.openxmlformats.org/officeDocument/2006/relationships/hyperlink" Target="https://nvd.nist.gov/vuln/detail/CVE-2016-8869" TargetMode="External" Id="rId3848"/><Relationship Type="http://schemas.openxmlformats.org/officeDocument/2006/relationships/hyperlink" Target="https://nvd.nist.gov/vuln/detail/CVE-2016-8869" TargetMode="External" Id="rId3849"/><Relationship Type="http://schemas.openxmlformats.org/officeDocument/2006/relationships/hyperlink" Target="https://www.rapid7.com/db/search/?q=CVE-2016-8869" TargetMode="External" Id="rId3850"/><Relationship Type="http://schemas.openxmlformats.org/officeDocument/2006/relationships/hyperlink" Target="https://nvd.nist.gov/vuln/detail/CVE-2016-8870" TargetMode="External" Id="rId3851"/><Relationship Type="http://schemas.openxmlformats.org/officeDocument/2006/relationships/hyperlink" Target="https://nvd.nist.gov/vuln/detail/CVE-2016-8870" TargetMode="External" Id="rId3852"/><Relationship Type="http://schemas.openxmlformats.org/officeDocument/2006/relationships/hyperlink" Target="https://www.rapid7.com/db/search/?q=CVE-2016-8870" TargetMode="External" Id="rId3853"/><Relationship Type="http://schemas.openxmlformats.org/officeDocument/2006/relationships/hyperlink" Target="https://nvd.nist.gov/vuln/detail/CVE-2015-6922" TargetMode="External" Id="rId3854"/><Relationship Type="http://schemas.openxmlformats.org/officeDocument/2006/relationships/hyperlink" Target="https://nvd.nist.gov/vuln/detail/CVE-2015-6922" TargetMode="External" Id="rId3855"/><Relationship Type="http://schemas.openxmlformats.org/officeDocument/2006/relationships/hyperlink" Target="https://www.rapid7.com/db/search/?q=CVE-2015-6922" TargetMode="External" Id="rId3856"/><Relationship Type="http://schemas.openxmlformats.org/officeDocument/2006/relationships/hyperlink" Target="https://nvd.nist.gov/vuln/detail/CVE-2013-2143" TargetMode="External" Id="rId3857"/><Relationship Type="http://schemas.openxmlformats.org/officeDocument/2006/relationships/hyperlink" Target="https://nvd.nist.gov/vuln/detail/CVE-2013-2143" TargetMode="External" Id="rId3858"/><Relationship Type="http://schemas.openxmlformats.org/officeDocument/2006/relationships/hyperlink" Target="https://www.rapid7.com/db/search/?q=CVE-2013-2143" TargetMode="External" Id="rId3859"/><Relationship Type="http://schemas.openxmlformats.org/officeDocument/2006/relationships/hyperlink" Target="https://nvd.nist.gov/vuln/detail/CVE-2025-34120" TargetMode="External" Id="rId3860"/><Relationship Type="http://schemas.openxmlformats.org/officeDocument/2006/relationships/hyperlink" Target="https://nvd.nist.gov/vuln/detail/CVE-2025-34120" TargetMode="External" Id="rId3861"/><Relationship Type="http://schemas.openxmlformats.org/officeDocument/2006/relationships/hyperlink" Target="https://www.rapid7.com/db/search/?q=CVE-2025-34120" TargetMode="External" Id="rId3862"/><Relationship Type="http://schemas.openxmlformats.org/officeDocument/2006/relationships/hyperlink" Target="https://nvd.nist.gov/vuln/detail/CVE-2018-3953" TargetMode="External" Id="rId3863"/><Relationship Type="http://schemas.openxmlformats.org/officeDocument/2006/relationships/hyperlink" Target="https://nvd.nist.gov/vuln/detail/CVE-2018-3953" TargetMode="External" Id="rId3864"/><Relationship Type="http://schemas.openxmlformats.org/officeDocument/2006/relationships/hyperlink" Target="https://www.rapid7.com/db/search/?q=CVE-2018-3953" TargetMode="External" Id="rId3865"/><Relationship Type="http://schemas.openxmlformats.org/officeDocument/2006/relationships/hyperlink" Target="https://msrc.microsoft.com/update-guide/vulnerability/CVE-2026-0948" TargetMode="External" Id="rId3866"/><Relationship Type="http://schemas.openxmlformats.org/officeDocument/2006/relationships/hyperlink" Target="https://msrc.microsoft.com/update-guide/vulnerability/CVE-2026-0948" TargetMode="External" Id="rId3867"/><Relationship Type="http://schemas.openxmlformats.org/officeDocument/2006/relationships/hyperlink" Target="https://msrc.microsoft.com/update-guide/vulnerability/CVE-2026-0948" TargetMode="External" Id="rId3868"/><Relationship Type="http://schemas.openxmlformats.org/officeDocument/2006/relationships/hyperlink" Target="https://msrc.microsoft.com/update-guide/vulnerability/CVE-2026-0391" TargetMode="External" Id="rId3869"/><Relationship Type="http://schemas.openxmlformats.org/officeDocument/2006/relationships/hyperlink" Target="https://msrc.microsoft.com/update-guide/vulnerability/CVE-2026-0391" TargetMode="External" Id="rId3870"/><Relationship Type="http://schemas.openxmlformats.org/officeDocument/2006/relationships/hyperlink" Target="https://msrc.microsoft.com/update-guide/vulnerability/CVE-2026-0391" TargetMode="External" Id="rId3871"/><Relationship Type="http://schemas.openxmlformats.org/officeDocument/2006/relationships/hyperlink" Target="https://msrc.microsoft.com/update-guide/vulnerability/CVE-2026-25592" TargetMode="External" Id="rId3872"/><Relationship Type="http://schemas.openxmlformats.org/officeDocument/2006/relationships/hyperlink" Target="https://msrc.microsoft.com/update-guide/vulnerability/CVE-2026-25592" TargetMode="External" Id="rId3873"/><Relationship Type="http://schemas.openxmlformats.org/officeDocument/2006/relationships/hyperlink" Target="https://msrc.microsoft.com/update-guide/vulnerability/CVE-2026-25592" TargetMode="External" Id="rId3874"/><Relationship Type="http://schemas.openxmlformats.org/officeDocument/2006/relationships/hyperlink" Target="https://msrc.microsoft.com/update-guide/vulnerability/CVE-2026-21235" TargetMode="External" Id="rId3875"/><Relationship Type="http://schemas.openxmlformats.org/officeDocument/2006/relationships/hyperlink" Target="https://msrc.microsoft.com/update-guide/vulnerability/CVE-2026-21235" TargetMode="External" Id="rId3876"/><Relationship Type="http://schemas.openxmlformats.org/officeDocument/2006/relationships/hyperlink" Target="https://msrc.microsoft.com/update-guide/vulnerability/CVE-2026-21235" TargetMode="External" Id="rId3877"/><Relationship Type="http://schemas.openxmlformats.org/officeDocument/2006/relationships/hyperlink" Target="https://msrc.microsoft.com/update-guide/vulnerability/CVE-2026-21246" TargetMode="External" Id="rId3878"/><Relationship Type="http://schemas.openxmlformats.org/officeDocument/2006/relationships/hyperlink" Target="https://msrc.microsoft.com/update-guide/vulnerability/CVE-2026-21246" TargetMode="External" Id="rId3879"/><Relationship Type="http://schemas.openxmlformats.org/officeDocument/2006/relationships/hyperlink" Target="https://msrc.microsoft.com/update-guide/vulnerability/CVE-2026-21246" TargetMode="External" Id="rId3880"/><Relationship Type="http://schemas.openxmlformats.org/officeDocument/2006/relationships/hyperlink" Target="https://msrc.microsoft.com/update-guide/vulnerability/CVE-2026-21258" TargetMode="External" Id="rId3881"/><Relationship Type="http://schemas.openxmlformats.org/officeDocument/2006/relationships/hyperlink" Target="https://msrc.microsoft.com/update-guide/vulnerability/CVE-2026-21258" TargetMode="External" Id="rId3882"/><Relationship Type="http://schemas.openxmlformats.org/officeDocument/2006/relationships/hyperlink" Target="https://msrc.microsoft.com/update-guide/vulnerability/CVE-2026-21258" TargetMode="External" Id="rId3883"/><Relationship Type="http://schemas.openxmlformats.org/officeDocument/2006/relationships/hyperlink" Target="https://msrc.microsoft.com/update-guide/vulnerability/CVE-2026-21259" TargetMode="External" Id="rId3884"/><Relationship Type="http://schemas.openxmlformats.org/officeDocument/2006/relationships/hyperlink" Target="https://msrc.microsoft.com/update-guide/vulnerability/CVE-2026-21259" TargetMode="External" Id="rId3885"/><Relationship Type="http://schemas.openxmlformats.org/officeDocument/2006/relationships/hyperlink" Target="https://msrc.microsoft.com/update-guide/vulnerability/CVE-2026-21259" TargetMode="External" Id="rId3886"/><Relationship Type="http://schemas.openxmlformats.org/officeDocument/2006/relationships/hyperlink" Target="https://msrc.microsoft.com/update-guide/vulnerability/CVE-2026-21260" TargetMode="External" Id="rId3887"/><Relationship Type="http://schemas.openxmlformats.org/officeDocument/2006/relationships/hyperlink" Target="https://msrc.microsoft.com/update-guide/vulnerability/CVE-2026-21260" TargetMode="External" Id="rId3888"/><Relationship Type="http://schemas.openxmlformats.org/officeDocument/2006/relationships/hyperlink" Target="https://msrc.microsoft.com/update-guide/vulnerability/CVE-2026-21260" TargetMode="External" Id="rId3889"/><Relationship Type="http://schemas.openxmlformats.org/officeDocument/2006/relationships/hyperlink" Target="https://msrc.microsoft.com/update-guide/vulnerability/CVE-2026-21261" TargetMode="External" Id="rId3890"/><Relationship Type="http://schemas.openxmlformats.org/officeDocument/2006/relationships/hyperlink" Target="https://msrc.microsoft.com/update-guide/vulnerability/CVE-2026-21261" TargetMode="External" Id="rId3891"/><Relationship Type="http://schemas.openxmlformats.org/officeDocument/2006/relationships/hyperlink" Target="https://msrc.microsoft.com/update-guide/vulnerability/CVE-2026-21261" TargetMode="External" Id="rId3892"/><Relationship Type="http://schemas.openxmlformats.org/officeDocument/2006/relationships/hyperlink" Target="https://msrc.microsoft.com/update-guide/vulnerability/CVE-2026-21511" TargetMode="External" Id="rId3893"/><Relationship Type="http://schemas.openxmlformats.org/officeDocument/2006/relationships/hyperlink" Target="https://msrc.microsoft.com/update-guide/vulnerability/CVE-2026-21511" TargetMode="External" Id="rId3894"/><Relationship Type="http://schemas.openxmlformats.org/officeDocument/2006/relationships/hyperlink" Target="https://msrc.microsoft.com/update-guide/vulnerability/CVE-2026-21511" TargetMode="External" Id="rId3895"/><Relationship Type="http://schemas.openxmlformats.org/officeDocument/2006/relationships/hyperlink" Target="https://msrc.microsoft.com/update-guide/vulnerability/CVE-2026-21514" TargetMode="External" Id="rId3896"/><Relationship Type="http://schemas.openxmlformats.org/officeDocument/2006/relationships/hyperlink" Target="https://msrc.microsoft.com/update-guide/vulnerability/CVE-2026-21514" TargetMode="External" Id="rId3897"/><Relationship Type="http://schemas.openxmlformats.org/officeDocument/2006/relationships/hyperlink" Target="https://msrc.microsoft.com/update-guide/vulnerability/CVE-2026-21514" TargetMode="External" Id="rId3898"/><Relationship Type="http://schemas.openxmlformats.org/officeDocument/2006/relationships/hyperlink" Target="https://msrc.microsoft.com/update-guide/vulnerability/CVE-2026-21527" TargetMode="External" Id="rId3899"/><Relationship Type="http://schemas.openxmlformats.org/officeDocument/2006/relationships/hyperlink" Target="https://msrc.microsoft.com/update-guide/vulnerability/CVE-2026-21527" TargetMode="External" Id="rId3900"/><Relationship Type="http://schemas.openxmlformats.org/officeDocument/2006/relationships/hyperlink" Target="https://msrc.microsoft.com/update-guide/vulnerability/CVE-2026-21527" TargetMode="External" Id="rId3901"/><Relationship Type="http://schemas.openxmlformats.org/officeDocument/2006/relationships/hyperlink" Target="https://msrc.microsoft.com/update-guide/vulnerability/CVE-2026-21537" TargetMode="External" Id="rId3902"/><Relationship Type="http://schemas.openxmlformats.org/officeDocument/2006/relationships/hyperlink" Target="https://msrc.microsoft.com/update-guide/vulnerability/CVE-2026-21537" TargetMode="External" Id="rId3903"/><Relationship Type="http://schemas.openxmlformats.org/officeDocument/2006/relationships/hyperlink" Target="https://msrc.microsoft.com/update-guide/vulnerability/CVE-2026-21537" TargetMode="External" Id="rId3904"/><Relationship Type="http://schemas.openxmlformats.org/officeDocument/2006/relationships/hyperlink" Target="https://msrc.microsoft.com/update-guide/" TargetMode="External" Id="rId3905"/><Relationship Type="http://schemas.openxmlformats.org/officeDocument/2006/relationships/hyperlink" Target="https://msrc.microsoft.com/update-guide/" TargetMode="External" Id="rId3906"/><Relationship Type="http://schemas.openxmlformats.org/officeDocument/2006/relationships/hyperlink" Target="https://talosintelligence.com/reputation_center/lookup?search=1.0.164.165" TargetMode="External" Id="rId3907"/><Relationship Type="http://schemas.openxmlformats.org/officeDocument/2006/relationships/hyperlink" Target="https://talosintelligence.com/reputation_center/lookup?search=1.0.164.165" TargetMode="External" Id="rId3908"/><Relationship Type="http://schemas.openxmlformats.org/officeDocument/2006/relationships/hyperlink" Target="https://talosintelligence.com/reputation_center/lookup?search=1.1.176.58" TargetMode="External" Id="rId3909"/><Relationship Type="http://schemas.openxmlformats.org/officeDocument/2006/relationships/hyperlink" Target="https://talosintelligence.com/reputation_center/lookup?search=1.1.176.58" TargetMode="External" Id="rId3910"/><Relationship Type="http://schemas.openxmlformats.org/officeDocument/2006/relationships/hyperlink" Target="https://talosintelligence.com/reputation_center/lookup?search=1.11.132.194" TargetMode="External" Id="rId3911"/><Relationship Type="http://schemas.openxmlformats.org/officeDocument/2006/relationships/hyperlink" Target="https://talosintelligence.com/reputation_center/lookup?search=1.11.132.194" TargetMode="External" Id="rId3912"/><Relationship Type="http://schemas.openxmlformats.org/officeDocument/2006/relationships/hyperlink" Target="https://talosintelligence.com/reputation_center/lookup?search=1.15.116.189" TargetMode="External" Id="rId3913"/><Relationship Type="http://schemas.openxmlformats.org/officeDocument/2006/relationships/hyperlink" Target="https://talosintelligence.com/reputation_center/lookup?search=1.15.116.189" TargetMode="External" Id="rId3914"/><Relationship Type="http://schemas.openxmlformats.org/officeDocument/2006/relationships/hyperlink" Target="https://talosintelligence.com/reputation_center/lookup?search=1.15.22.112" TargetMode="External" Id="rId3915"/><Relationship Type="http://schemas.openxmlformats.org/officeDocument/2006/relationships/hyperlink" Target="https://talosintelligence.com/reputation_center/lookup?search=1.15.22.112" TargetMode="External" Id="rId3916"/><Relationship Type="http://schemas.openxmlformats.org/officeDocument/2006/relationships/hyperlink" Target="https://talosintelligence.com/reputation_center/lookup?search=1.15.77.170" TargetMode="External" Id="rId3917"/><Relationship Type="http://schemas.openxmlformats.org/officeDocument/2006/relationships/hyperlink" Target="https://talosintelligence.com/reputation_center/lookup?search=1.15.77.170" TargetMode="External" Id="rId3918"/><Relationship Type="http://schemas.openxmlformats.org/officeDocument/2006/relationships/hyperlink" Target="https://talosintelligence.com/reputation_center/lookup?search=1.157.81.197" TargetMode="External" Id="rId3919"/><Relationship Type="http://schemas.openxmlformats.org/officeDocument/2006/relationships/hyperlink" Target="https://talosintelligence.com/reputation_center/lookup?search=1.157.81.197" TargetMode="External" Id="rId3920"/><Relationship Type="http://schemas.openxmlformats.org/officeDocument/2006/relationships/hyperlink" Target="https://talosintelligence.com/reputation_center/lookup?search=1.176.134.241" TargetMode="External" Id="rId3921"/><Relationship Type="http://schemas.openxmlformats.org/officeDocument/2006/relationships/hyperlink" Target="https://talosintelligence.com/reputation_center/lookup?search=1.176.134.241" TargetMode="External" Id="rId3922"/><Relationship Type="http://schemas.openxmlformats.org/officeDocument/2006/relationships/hyperlink" Target="https://talosintelligence.com/reputation_center/lookup?search=1.177.162.4" TargetMode="External" Id="rId3923"/><Relationship Type="http://schemas.openxmlformats.org/officeDocument/2006/relationships/hyperlink" Target="https://talosintelligence.com/reputation_center/lookup?search=1.177.162.4" TargetMode="External" Id="rId3924"/><Relationship Type="http://schemas.openxmlformats.org/officeDocument/2006/relationships/hyperlink" Target="https://talosintelligence.com/reputation_center/lookup?search=1.180.252.30" TargetMode="External" Id="rId3925"/><Relationship Type="http://schemas.openxmlformats.org/officeDocument/2006/relationships/hyperlink" Target="https://talosintelligence.com/reputation_center/lookup?search=1.180.252.30" TargetMode="External" Id="rId3926"/><Relationship Type="http://schemas.openxmlformats.org/officeDocument/2006/relationships/hyperlink" Target="https://talosintelligence.com/reputation_center/lookup?search=1.183.41.171" TargetMode="External" Id="rId3927"/><Relationship Type="http://schemas.openxmlformats.org/officeDocument/2006/relationships/hyperlink" Target="https://talosintelligence.com/reputation_center/lookup?search=1.183.41.171" TargetMode="External" Id="rId3928"/><Relationship Type="http://schemas.openxmlformats.org/officeDocument/2006/relationships/hyperlink" Target="https://talosintelligence.com/reputation_center/lookup?search=1.188.102.135" TargetMode="External" Id="rId3929"/><Relationship Type="http://schemas.openxmlformats.org/officeDocument/2006/relationships/hyperlink" Target="https://talosintelligence.com/reputation_center/lookup?search=1.188.102.135" TargetMode="External" Id="rId3930"/><Relationship Type="http://schemas.openxmlformats.org/officeDocument/2006/relationships/hyperlink" Target="https://talosintelligence.com/reputation_center/lookup?search=1.188.5.190" TargetMode="External" Id="rId3931"/><Relationship Type="http://schemas.openxmlformats.org/officeDocument/2006/relationships/hyperlink" Target="https://talosintelligence.com/reputation_center/lookup?search=1.188.5.190" TargetMode="External" Id="rId3932"/><Relationship Type="http://schemas.openxmlformats.org/officeDocument/2006/relationships/hyperlink" Target="https://talosintelligence.com/reputation_center/lookup?search=1.192.21.22" TargetMode="External" Id="rId3933"/><Relationship Type="http://schemas.openxmlformats.org/officeDocument/2006/relationships/hyperlink" Target="https://talosintelligence.com/reputation_center/lookup?search=1.192.21.22" TargetMode="External" Id="rId3934"/><Relationship Type="http://schemas.openxmlformats.org/officeDocument/2006/relationships/hyperlink" Target="https://talosintelligence.com/reputation_center/lookup?search=1.193.63.45" TargetMode="External" Id="rId3935"/><Relationship Type="http://schemas.openxmlformats.org/officeDocument/2006/relationships/hyperlink" Target="https://talosintelligence.com/reputation_center/lookup?search=1.193.63.45" TargetMode="External" Id="rId3936"/><Relationship Type="http://schemas.openxmlformats.org/officeDocument/2006/relationships/hyperlink" Target="https://talosintelligence.com/reputation_center/lookup?search=1.193.63.64" TargetMode="External" Id="rId3937"/><Relationship Type="http://schemas.openxmlformats.org/officeDocument/2006/relationships/hyperlink" Target="https://talosintelligence.com/reputation_center/lookup?search=1.193.63.64" TargetMode="External" Id="rId3938"/><Relationship Type="http://schemas.openxmlformats.org/officeDocument/2006/relationships/hyperlink" Target="https://talosintelligence.com/reputation_center/lookup?search=1.193.63.9" TargetMode="External" Id="rId3939"/><Relationship Type="http://schemas.openxmlformats.org/officeDocument/2006/relationships/hyperlink" Target="https://talosintelligence.com/reputation_center/lookup?search=1.193.63.9" TargetMode="External" Id="rId3940"/><Relationship Type="http://schemas.openxmlformats.org/officeDocument/2006/relationships/hyperlink" Target="https://talosintelligence.com/reputation_center/lookup?search=1.197.59.220" TargetMode="External" Id="rId3941"/><Relationship Type="http://schemas.openxmlformats.org/officeDocument/2006/relationships/hyperlink" Target="https://talosintelligence.com/reputation_center/lookup?search=1.197.59.220" TargetMode="External" Id="rId3942"/><Relationship Type="http://schemas.openxmlformats.org/officeDocument/2006/relationships/hyperlink" Target="https://talosintelligence.com/reputation_center/lookup?search=1.203.97.227" TargetMode="External" Id="rId3943"/><Relationship Type="http://schemas.openxmlformats.org/officeDocument/2006/relationships/hyperlink" Target="https://talosintelligence.com/reputation_center/lookup?search=1.203.97.227" TargetMode="External" Id="rId3944"/><Relationship Type="http://schemas.openxmlformats.org/officeDocument/2006/relationships/hyperlink" Target="https://talosintelligence.com/reputation_center/lookup?search=1.207.127.44" TargetMode="External" Id="rId3945"/><Relationship Type="http://schemas.openxmlformats.org/officeDocument/2006/relationships/hyperlink" Target="https://talosintelligence.com/reputation_center/lookup?search=1.207.127.44" TargetMode="External" Id="rId3946"/><Relationship Type="http://schemas.openxmlformats.org/officeDocument/2006/relationships/hyperlink" Target="https://talosintelligence.com/reputation_center/lookup?search=1.214.29.155" TargetMode="External" Id="rId3947"/><Relationship Type="http://schemas.openxmlformats.org/officeDocument/2006/relationships/hyperlink" Target="https://talosintelligence.com/reputation_center/lookup?search=1.214.29.155" TargetMode="External" Id="rId3948"/><Relationship Type="http://schemas.openxmlformats.org/officeDocument/2006/relationships/hyperlink" Target="https://talosintelligence.com/reputation_center/lookup?search=1.222.40.18" TargetMode="External" Id="rId3949"/><Relationship Type="http://schemas.openxmlformats.org/officeDocument/2006/relationships/hyperlink" Target="https://talosintelligence.com/reputation_center/lookup?search=1.222.40.18" TargetMode="External" Id="rId3950"/><Relationship Type="http://schemas.openxmlformats.org/officeDocument/2006/relationships/hyperlink" Target="https://talosintelligence.com/reputation_center/lookup?search=1.223.227.114" TargetMode="External" Id="rId3951"/><Relationship Type="http://schemas.openxmlformats.org/officeDocument/2006/relationships/hyperlink" Target="https://talosintelligence.com/reputation_center/lookup?search=1.223.227.114" TargetMode="External" Id="rId3952"/><Relationship Type="http://schemas.openxmlformats.org/officeDocument/2006/relationships/hyperlink" Target="https://talosintelligence.com/reputation_center/lookup?search=1.239.177.241" TargetMode="External" Id="rId3953"/><Relationship Type="http://schemas.openxmlformats.org/officeDocument/2006/relationships/hyperlink" Target="https://talosintelligence.com/reputation_center/lookup?search=1.239.177.241" TargetMode="External" Id="rId3954"/><Relationship Type="http://schemas.openxmlformats.org/officeDocument/2006/relationships/hyperlink" Target="https://talosintelligence.com/reputation_center/lookup?search=1.24.16.102" TargetMode="External" Id="rId3955"/><Relationship Type="http://schemas.openxmlformats.org/officeDocument/2006/relationships/hyperlink" Target="https://talosintelligence.com/reputation_center/lookup?search=1.24.16.102" TargetMode="External" Id="rId3956"/><Relationship Type="http://schemas.openxmlformats.org/officeDocument/2006/relationships/hyperlink" Target="https://talosintelligence.com/reputation_center/lookup?search=1.24.16.107" TargetMode="External" Id="rId3957"/><Relationship Type="http://schemas.openxmlformats.org/officeDocument/2006/relationships/hyperlink" Target="https://talosintelligence.com/reputation_center/lookup?search=1.24.16.107" TargetMode="External" Id="rId3958"/><Relationship Type="http://schemas.openxmlformats.org/officeDocument/2006/relationships/hyperlink" Target="https://talosintelligence.com/reputation_center/lookup?search=1.24.16.113" TargetMode="External" Id="rId3959"/><Relationship Type="http://schemas.openxmlformats.org/officeDocument/2006/relationships/hyperlink" Target="https://talosintelligence.com/reputation_center/lookup?search=1.24.16.113" TargetMode="External" Id="rId3960"/><Relationship Type="http://schemas.openxmlformats.org/officeDocument/2006/relationships/hyperlink" Target="https://talosintelligence.com/reputation_center/lookup?search=1.24.16.115" TargetMode="External" Id="rId3961"/><Relationship Type="http://schemas.openxmlformats.org/officeDocument/2006/relationships/hyperlink" Target="https://talosintelligence.com/reputation_center/lookup?search=1.24.16.115" TargetMode="External" Id="rId3962"/><Relationship Type="http://schemas.openxmlformats.org/officeDocument/2006/relationships/hyperlink" Target="https://talosintelligence.com/reputation_center/lookup?search=1.24.16.117" TargetMode="External" Id="rId3963"/><Relationship Type="http://schemas.openxmlformats.org/officeDocument/2006/relationships/hyperlink" Target="https://talosintelligence.com/reputation_center/lookup?search=1.24.16.117" TargetMode="External" Id="rId3964"/><Relationship Type="http://schemas.openxmlformats.org/officeDocument/2006/relationships/hyperlink" Target="https://talosintelligence.com/reputation_center/lookup?search=1.24.16.120" TargetMode="External" Id="rId3965"/><Relationship Type="http://schemas.openxmlformats.org/officeDocument/2006/relationships/hyperlink" Target="https://talosintelligence.com/reputation_center/lookup?search=1.24.16.120" TargetMode="External" Id="rId3966"/><Relationship Type="http://schemas.openxmlformats.org/officeDocument/2006/relationships/hyperlink" Target="https://talosintelligence.com/reputation_center/lookup?search=1.24.16.121" TargetMode="External" Id="rId3967"/><Relationship Type="http://schemas.openxmlformats.org/officeDocument/2006/relationships/hyperlink" Target="https://talosintelligence.com/reputation_center/lookup?search=1.24.16.121" TargetMode="External" Id="rId3968"/><Relationship Type="http://schemas.openxmlformats.org/officeDocument/2006/relationships/hyperlink" Target="https://talosintelligence.com/reputation_center/lookup?search=1.24.16.124" TargetMode="External" Id="rId3969"/><Relationship Type="http://schemas.openxmlformats.org/officeDocument/2006/relationships/hyperlink" Target="https://talosintelligence.com/reputation_center/lookup?search=1.24.16.124" TargetMode="External" Id="rId3970"/><Relationship Type="http://schemas.openxmlformats.org/officeDocument/2006/relationships/hyperlink" Target="https://talosintelligence.com/reputation_center/lookup?search=1.24.16.126" TargetMode="External" Id="rId3971"/><Relationship Type="http://schemas.openxmlformats.org/officeDocument/2006/relationships/hyperlink" Target="https://talosintelligence.com/reputation_center/lookup?search=1.24.16.126" TargetMode="External" Id="rId3972"/><Relationship Type="http://schemas.openxmlformats.org/officeDocument/2006/relationships/hyperlink" Target="https://talosintelligence.com/reputation_center/lookup?search=1.24.16.127" TargetMode="External" Id="rId3973"/><Relationship Type="http://schemas.openxmlformats.org/officeDocument/2006/relationships/hyperlink" Target="https://talosintelligence.com/reputation_center/lookup?search=1.24.16.127" TargetMode="External" Id="rId3974"/><Relationship Type="http://schemas.openxmlformats.org/officeDocument/2006/relationships/hyperlink" Target="https://talosintelligence.com/reputation_center/lookup?search=1.24.16.130" TargetMode="External" Id="rId3975"/><Relationship Type="http://schemas.openxmlformats.org/officeDocument/2006/relationships/hyperlink" Target="https://talosintelligence.com/reputation_center/lookup?search=1.24.16.130" TargetMode="External" Id="rId3976"/><Relationship Type="http://schemas.openxmlformats.org/officeDocument/2006/relationships/hyperlink" Target="https://talosintelligence.com/reputation_center/lookup?search=1.24.16.132" TargetMode="External" Id="rId3977"/><Relationship Type="http://schemas.openxmlformats.org/officeDocument/2006/relationships/hyperlink" Target="https://talosintelligence.com/reputation_center/lookup?search=1.24.16.132" TargetMode="External" Id="rId3978"/><Relationship Type="http://schemas.openxmlformats.org/officeDocument/2006/relationships/hyperlink" Target="https://talosintelligence.com/reputation_center/lookup?search=1.24.16.143" TargetMode="External" Id="rId3979"/><Relationship Type="http://schemas.openxmlformats.org/officeDocument/2006/relationships/hyperlink" Target="https://talosintelligence.com/reputation_center/lookup?search=1.24.16.143" TargetMode="External" Id="rId3980"/><Relationship Type="http://schemas.openxmlformats.org/officeDocument/2006/relationships/hyperlink" Target="https://talosintelligence.com/reputation_center/lookup?search=1.24.16.146" TargetMode="External" Id="rId3981"/><Relationship Type="http://schemas.openxmlformats.org/officeDocument/2006/relationships/hyperlink" Target="https://talosintelligence.com/reputation_center/lookup?search=1.24.16.146" TargetMode="External" Id="rId3982"/><Relationship Type="http://schemas.openxmlformats.org/officeDocument/2006/relationships/hyperlink" Target="https://talosintelligence.com/reputation_center/lookup?search=1.24.16.147" TargetMode="External" Id="rId3983"/><Relationship Type="http://schemas.openxmlformats.org/officeDocument/2006/relationships/hyperlink" Target="https://talosintelligence.com/reputation_center/lookup?search=1.24.16.147" TargetMode="External" Id="rId3984"/><Relationship Type="http://schemas.openxmlformats.org/officeDocument/2006/relationships/hyperlink" Target="https://talosintelligence.com/reputation_center/lookup?search=1.24.16.148" TargetMode="External" Id="rId3985"/><Relationship Type="http://schemas.openxmlformats.org/officeDocument/2006/relationships/hyperlink" Target="https://talosintelligence.com/reputation_center/lookup?search=1.24.16.148" TargetMode="External" Id="rId3986"/><Relationship Type="http://schemas.openxmlformats.org/officeDocument/2006/relationships/hyperlink" Target="https://talosintelligence.com/reputation_center/lookup?search=1.24.16.149" TargetMode="External" Id="rId3987"/><Relationship Type="http://schemas.openxmlformats.org/officeDocument/2006/relationships/hyperlink" Target="https://talosintelligence.com/reputation_center/lookup?search=1.24.16.149" TargetMode="External" Id="rId3988"/><Relationship Type="http://schemas.openxmlformats.org/officeDocument/2006/relationships/hyperlink" Target="https://talosintelligence.com/reputation_center/lookup?search=1.24.16.15" TargetMode="External" Id="rId3989"/><Relationship Type="http://schemas.openxmlformats.org/officeDocument/2006/relationships/hyperlink" Target="https://talosintelligence.com/reputation_center/lookup?search=1.24.16.15" TargetMode="External" Id="rId3990"/><Relationship Type="http://schemas.openxmlformats.org/officeDocument/2006/relationships/hyperlink" Target="https://talosintelligence.com/reputation_center/lookup?search=1.24.16.152" TargetMode="External" Id="rId3991"/><Relationship Type="http://schemas.openxmlformats.org/officeDocument/2006/relationships/hyperlink" Target="https://talosintelligence.com/reputation_center/lookup?search=1.24.16.152" TargetMode="External" Id="rId3992"/><Relationship Type="http://schemas.openxmlformats.org/officeDocument/2006/relationships/hyperlink" Target="https://talosintelligence.com/reputation_center/lookup?search=1.24.16.159" TargetMode="External" Id="rId3993"/><Relationship Type="http://schemas.openxmlformats.org/officeDocument/2006/relationships/hyperlink" Target="https://talosintelligence.com/reputation_center/lookup?search=1.24.16.159" TargetMode="External" Id="rId3994"/><Relationship Type="http://schemas.openxmlformats.org/officeDocument/2006/relationships/hyperlink" Target="https://talosintelligence.com/reputation_center/lookup?search=1.24.16.161" TargetMode="External" Id="rId3995"/><Relationship Type="http://schemas.openxmlformats.org/officeDocument/2006/relationships/hyperlink" Target="https://talosintelligence.com/reputation_center/lookup?search=1.24.16.161" TargetMode="External" Id="rId3996"/><Relationship Type="http://schemas.openxmlformats.org/officeDocument/2006/relationships/hyperlink" Target="https://talosintelligence.com/reputation_center/lookup?search=1.24.16.163" TargetMode="External" Id="rId3997"/><Relationship Type="http://schemas.openxmlformats.org/officeDocument/2006/relationships/hyperlink" Target="https://talosintelligence.com/reputation_center/lookup?search=1.24.16.163" TargetMode="External" Id="rId3998"/><Relationship Type="http://schemas.openxmlformats.org/officeDocument/2006/relationships/hyperlink" Target="https://talosintelligence.com/reputation_center/lookup?search=1.24.16.170" TargetMode="External" Id="rId3999"/><Relationship Type="http://schemas.openxmlformats.org/officeDocument/2006/relationships/hyperlink" Target="https://talosintelligence.com/reputation_center/lookup?search=1.24.16.170" TargetMode="External" Id="rId4000"/><Relationship Type="http://schemas.openxmlformats.org/officeDocument/2006/relationships/hyperlink" Target="https://talosintelligence.com/reputation_center/lookup?search=1.24.16.194" TargetMode="External" Id="rId4001"/><Relationship Type="http://schemas.openxmlformats.org/officeDocument/2006/relationships/hyperlink" Target="https://talosintelligence.com/reputation_center/lookup?search=1.24.16.194" TargetMode="External" Id="rId4002"/><Relationship Type="http://schemas.openxmlformats.org/officeDocument/2006/relationships/hyperlink" Target="https://talosintelligence.com/reputation_center/lookup?search=1.24.16.195" TargetMode="External" Id="rId4003"/><Relationship Type="http://schemas.openxmlformats.org/officeDocument/2006/relationships/hyperlink" Target="https://talosintelligence.com/reputation_center/lookup?search=1.24.16.195" TargetMode="External" Id="rId4004"/><Relationship Type="http://schemas.openxmlformats.org/officeDocument/2006/relationships/hyperlink" Target="https://talosintelligence.com/reputation_center/lookup?search=1.24.16.196" TargetMode="External" Id="rId4005"/><Relationship Type="http://schemas.openxmlformats.org/officeDocument/2006/relationships/hyperlink" Target="https://talosintelligence.com/reputation_center/lookup?search=1.24.16.196" TargetMode="External" Id="rId4006"/><Relationship Type="http://schemas.openxmlformats.org/officeDocument/2006/relationships/hyperlink" Target="https://talosintelligence.com/reputation_center/lookup?search=1.24.16.199" TargetMode="External" Id="rId4007"/><Relationship Type="http://schemas.openxmlformats.org/officeDocument/2006/relationships/hyperlink" Target="https://talosintelligence.com/reputation_center/lookup?search=1.24.16.199" TargetMode="External" Id="rId4008"/><Relationship Type="http://schemas.openxmlformats.org/officeDocument/2006/relationships/hyperlink" Target="https://talosintelligence.com/reputation_center/lookup?search=1.24.16.200" TargetMode="External" Id="rId4009"/><Relationship Type="http://schemas.openxmlformats.org/officeDocument/2006/relationships/hyperlink" Target="https://talosintelligence.com/reputation_center/lookup?search=1.24.16.200" TargetMode="External" Id="rId4010"/><Relationship Type="http://schemas.openxmlformats.org/officeDocument/2006/relationships/hyperlink" Target="https://talosintelligence.com/reputation_center/lookup?search=1.24.16.205" TargetMode="External" Id="rId4011"/><Relationship Type="http://schemas.openxmlformats.org/officeDocument/2006/relationships/hyperlink" Target="https://talosintelligence.com/reputation_center/lookup?search=1.24.16.205" TargetMode="External" Id="rId4012"/><Relationship Type="http://schemas.openxmlformats.org/officeDocument/2006/relationships/hyperlink" Target="https://talosintelligence.com/reputation_center/lookup?search=1.24.16.206" TargetMode="External" Id="rId4013"/><Relationship Type="http://schemas.openxmlformats.org/officeDocument/2006/relationships/hyperlink" Target="https://talosintelligence.com/reputation_center/lookup?search=1.24.16.206" TargetMode="External" Id="rId4014"/><Relationship Type="http://schemas.openxmlformats.org/officeDocument/2006/relationships/hyperlink" Target="https://talosintelligence.com/reputation_center/lookup?search=1.24.16.207" TargetMode="External" Id="rId4015"/><Relationship Type="http://schemas.openxmlformats.org/officeDocument/2006/relationships/hyperlink" Target="https://talosintelligence.com/reputation_center/lookup?search=1.24.16.207" TargetMode="External" Id="rId4016"/><Relationship Type="http://schemas.openxmlformats.org/officeDocument/2006/relationships/hyperlink" Target="https://talosintelligence.com/reputation_center/lookup?search=1.24.16.209" TargetMode="External" Id="rId4017"/><Relationship Type="http://schemas.openxmlformats.org/officeDocument/2006/relationships/hyperlink" Target="https://talosintelligence.com/reputation_center/lookup?search=1.24.16.209" TargetMode="External" Id="rId4018"/><Relationship Type="http://schemas.openxmlformats.org/officeDocument/2006/relationships/hyperlink" Target="https://talosintelligence.com/reputation_center/lookup?search=1.24.16.211" TargetMode="External" Id="rId4019"/><Relationship Type="http://schemas.openxmlformats.org/officeDocument/2006/relationships/hyperlink" Target="https://talosintelligence.com/reputation_center/lookup?search=1.24.16.211" TargetMode="External" Id="rId4020"/><Relationship Type="http://schemas.openxmlformats.org/officeDocument/2006/relationships/hyperlink" Target="https://talosintelligence.com/reputation_center/lookup?search=1.24.16.220" TargetMode="External" Id="rId4021"/><Relationship Type="http://schemas.openxmlformats.org/officeDocument/2006/relationships/hyperlink" Target="https://talosintelligence.com/reputation_center/lookup?search=1.24.16.220" TargetMode="External" Id="rId4022"/><Relationship Type="http://schemas.openxmlformats.org/officeDocument/2006/relationships/hyperlink" Target="https://talosintelligence.com/reputation_center/lookup?search=1.24.16.223" TargetMode="External" Id="rId4023"/><Relationship Type="http://schemas.openxmlformats.org/officeDocument/2006/relationships/hyperlink" Target="https://talosintelligence.com/reputation_center/lookup?search=1.24.16.223" TargetMode="External" Id="rId4024"/><Relationship Type="http://schemas.openxmlformats.org/officeDocument/2006/relationships/hyperlink" Target="https://talosintelligence.com/reputation_center/lookup?search=1.24.16.227" TargetMode="External" Id="rId4025"/><Relationship Type="http://schemas.openxmlformats.org/officeDocument/2006/relationships/hyperlink" Target="https://talosintelligence.com/reputation_center/lookup?search=1.24.16.227" TargetMode="External" Id="rId4026"/><Relationship Type="http://schemas.openxmlformats.org/officeDocument/2006/relationships/hyperlink" Target="https://talosintelligence.com/reputation_center/lookup?search=1.24.16.230" TargetMode="External" Id="rId4027"/><Relationship Type="http://schemas.openxmlformats.org/officeDocument/2006/relationships/hyperlink" Target="https://talosintelligence.com/reputation_center/lookup?search=1.24.16.230" TargetMode="External" Id="rId4028"/><Relationship Type="http://schemas.openxmlformats.org/officeDocument/2006/relationships/hyperlink" Target="https://talosintelligence.com/reputation_center/lookup?search=1.24.16.239" TargetMode="External" Id="rId4029"/><Relationship Type="http://schemas.openxmlformats.org/officeDocument/2006/relationships/hyperlink" Target="https://talosintelligence.com/reputation_center/lookup?search=1.24.16.239" TargetMode="External" Id="rId4030"/><Relationship Type="http://schemas.openxmlformats.org/officeDocument/2006/relationships/hyperlink" Target="https://talosintelligence.com/reputation_center/lookup?search=1.24.16.243" TargetMode="External" Id="rId4031"/><Relationship Type="http://schemas.openxmlformats.org/officeDocument/2006/relationships/hyperlink" Target="https://talosintelligence.com/reputation_center/lookup?search=1.24.16.243" TargetMode="External" Id="rId4032"/><Relationship Type="http://schemas.openxmlformats.org/officeDocument/2006/relationships/hyperlink" Target="https://talosintelligence.com/reputation_center/lookup?search=1.24.16.245" TargetMode="External" Id="rId4033"/><Relationship Type="http://schemas.openxmlformats.org/officeDocument/2006/relationships/hyperlink" Target="https://talosintelligence.com/reputation_center/lookup?search=1.24.16.245" TargetMode="External" Id="rId4034"/><Relationship Type="http://schemas.openxmlformats.org/officeDocument/2006/relationships/hyperlink" Target="https://talosintelligence.com/reputation_center/lookup?search=1.24.16.246" TargetMode="External" Id="rId4035"/><Relationship Type="http://schemas.openxmlformats.org/officeDocument/2006/relationships/hyperlink" Target="https://talosintelligence.com/reputation_center/lookup?search=1.24.16.246" TargetMode="External" Id="rId4036"/><Relationship Type="http://schemas.openxmlformats.org/officeDocument/2006/relationships/hyperlink" Target="https://talosintelligence.com/reputation_center/lookup?search=1.24.16.251" TargetMode="External" Id="rId4037"/><Relationship Type="http://schemas.openxmlformats.org/officeDocument/2006/relationships/hyperlink" Target="https://talosintelligence.com/reputation_center/lookup?search=1.24.16.251" TargetMode="External" Id="rId4038"/><Relationship Type="http://schemas.openxmlformats.org/officeDocument/2006/relationships/hyperlink" Target="https://talosintelligence.com/reputation_center/lookup?search=1.24.16.253" TargetMode="External" Id="rId4039"/><Relationship Type="http://schemas.openxmlformats.org/officeDocument/2006/relationships/hyperlink" Target="https://talosintelligence.com/reputation_center/lookup?search=1.24.16.253" TargetMode="External" Id="rId4040"/><Relationship Type="http://schemas.openxmlformats.org/officeDocument/2006/relationships/hyperlink" Target="https://talosintelligence.com/reputation_center/lookup?search=1.24.16.34" TargetMode="External" Id="rId4041"/><Relationship Type="http://schemas.openxmlformats.org/officeDocument/2006/relationships/hyperlink" Target="https://talosintelligence.com/reputation_center/lookup?search=1.24.16.34" TargetMode="External" Id="rId4042"/><Relationship Type="http://schemas.openxmlformats.org/officeDocument/2006/relationships/hyperlink" Target="https://talosintelligence.com/reputation_center/lookup?search=1.24.16.39" TargetMode="External" Id="rId4043"/><Relationship Type="http://schemas.openxmlformats.org/officeDocument/2006/relationships/hyperlink" Target="https://talosintelligence.com/reputation_center/lookup?search=1.24.16.39" TargetMode="External" Id="rId4044"/><Relationship Type="http://schemas.openxmlformats.org/officeDocument/2006/relationships/hyperlink" Target="https://talosintelligence.com/reputation_center/lookup?search=1.24.16.41" TargetMode="External" Id="rId4045"/><Relationship Type="http://schemas.openxmlformats.org/officeDocument/2006/relationships/hyperlink" Target="https://talosintelligence.com/reputation_center/lookup?search=1.24.16.41" TargetMode="External" Id="rId4046"/><Relationship Type="http://schemas.openxmlformats.org/officeDocument/2006/relationships/hyperlink" Target="https://talosintelligence.com/reputation_center/lookup?search=1.24.16.42" TargetMode="External" Id="rId4047"/><Relationship Type="http://schemas.openxmlformats.org/officeDocument/2006/relationships/hyperlink" Target="https://talosintelligence.com/reputation_center/lookup?search=1.24.16.42" TargetMode="External" Id="rId4048"/><Relationship Type="http://schemas.openxmlformats.org/officeDocument/2006/relationships/hyperlink" Target="https://talosintelligence.com/reputation_center/lookup?search=1.24.16.44" TargetMode="External" Id="rId4049"/><Relationship Type="http://schemas.openxmlformats.org/officeDocument/2006/relationships/hyperlink" Target="https://talosintelligence.com/reputation_center/lookup?search=1.24.16.44" TargetMode="External" Id="rId4050"/><Relationship Type="http://schemas.openxmlformats.org/officeDocument/2006/relationships/hyperlink" Target="https://talosintelligence.com/reputation_center/lookup?search=1.24.16.45" TargetMode="External" Id="rId4051"/><Relationship Type="http://schemas.openxmlformats.org/officeDocument/2006/relationships/hyperlink" Target="https://talosintelligence.com/reputation_center/lookup?search=1.24.16.45" TargetMode="External" Id="rId4052"/><Relationship Type="http://schemas.openxmlformats.org/officeDocument/2006/relationships/hyperlink" Target="https://talosintelligence.com/reputation_center/lookup?search=1.24.16.49" TargetMode="External" Id="rId4053"/><Relationship Type="http://schemas.openxmlformats.org/officeDocument/2006/relationships/hyperlink" Target="https://talosintelligence.com/reputation_center/lookup?search=1.24.16.49" TargetMode="External" Id="rId4054"/><Relationship Type="http://schemas.openxmlformats.org/officeDocument/2006/relationships/hyperlink" Target="https://talosintelligence.com/reputation_center/lookup?search=1.24.16.50" TargetMode="External" Id="rId4055"/><Relationship Type="http://schemas.openxmlformats.org/officeDocument/2006/relationships/hyperlink" Target="https://talosintelligence.com/reputation_center/lookup?search=1.24.16.50" TargetMode="External" Id="rId4056"/><Relationship Type="http://schemas.openxmlformats.org/officeDocument/2006/relationships/hyperlink" Target="https://talosintelligence.com/reputation_center/lookup?search=1.24.16.61" TargetMode="External" Id="rId4057"/><Relationship Type="http://schemas.openxmlformats.org/officeDocument/2006/relationships/hyperlink" Target="https://talosintelligence.com/reputation_center/lookup?search=1.24.16.61" TargetMode="External" Id="rId4058"/><Relationship Type="http://schemas.openxmlformats.org/officeDocument/2006/relationships/hyperlink" Target="https://talosintelligence.com/reputation_center/lookup?search=1.24.16.79" TargetMode="External" Id="rId4059"/><Relationship Type="http://schemas.openxmlformats.org/officeDocument/2006/relationships/hyperlink" Target="https://talosintelligence.com/reputation_center/lookup?search=1.24.16.79" TargetMode="External" Id="rId4060"/><Relationship Type="http://schemas.openxmlformats.org/officeDocument/2006/relationships/hyperlink" Target="https://talosintelligence.com/reputation_center/lookup?search=1.24.16.85" TargetMode="External" Id="rId4061"/><Relationship Type="http://schemas.openxmlformats.org/officeDocument/2006/relationships/hyperlink" Target="https://talosintelligence.com/reputation_center/lookup?search=1.24.16.85" TargetMode="External" Id="rId4062"/><Relationship Type="http://schemas.openxmlformats.org/officeDocument/2006/relationships/hyperlink" Target="https://talosintelligence.com/reputation_center/lookup?search=1.24.16.87" TargetMode="External" Id="rId4063"/><Relationship Type="http://schemas.openxmlformats.org/officeDocument/2006/relationships/hyperlink" Target="https://talosintelligence.com/reputation_center/lookup?search=1.24.16.87" TargetMode="External" Id="rId4064"/><Relationship Type="http://schemas.openxmlformats.org/officeDocument/2006/relationships/hyperlink" Target="https://talosintelligence.com/reputation_center/lookup?search=1.24.16.93" TargetMode="External" Id="rId4065"/><Relationship Type="http://schemas.openxmlformats.org/officeDocument/2006/relationships/hyperlink" Target="https://talosintelligence.com/reputation_center/lookup?search=1.24.16.93" TargetMode="External" Id="rId4066"/><Relationship Type="http://schemas.openxmlformats.org/officeDocument/2006/relationships/hyperlink" Target="https://talosintelligence.com/reputation_center/lookup?search=1.24.16.97" TargetMode="External" Id="rId4067"/><Relationship Type="http://schemas.openxmlformats.org/officeDocument/2006/relationships/hyperlink" Target="https://talosintelligence.com/reputation_center/lookup?search=1.24.16.97" TargetMode="External" Id="rId4068"/><Relationship Type="http://schemas.openxmlformats.org/officeDocument/2006/relationships/hyperlink" Target="https://talosintelligence.com/reputation_center/lookup?search=1.25.64.231" TargetMode="External" Id="rId4069"/><Relationship Type="http://schemas.openxmlformats.org/officeDocument/2006/relationships/hyperlink" Target="https://talosintelligence.com/reputation_center/lookup?search=1.25.64.231" TargetMode="External" Id="rId4070"/><Relationship Type="http://schemas.openxmlformats.org/officeDocument/2006/relationships/hyperlink" Target="https://talosintelligence.com/reputation_center/lookup?search=1.251.50.105" TargetMode="External" Id="rId4071"/><Relationship Type="http://schemas.openxmlformats.org/officeDocument/2006/relationships/hyperlink" Target="https://talosintelligence.com/reputation_center/lookup?search=1.251.50.105" TargetMode="External" Id="rId4072"/><Relationship Type="http://schemas.openxmlformats.org/officeDocument/2006/relationships/hyperlink" Target="https://talosintelligence.com/reputation_center/lookup?search=1.28.229.243" TargetMode="External" Id="rId4073"/><Relationship Type="http://schemas.openxmlformats.org/officeDocument/2006/relationships/hyperlink" Target="https://talosintelligence.com/reputation_center/lookup?search=1.28.229.243" TargetMode="External" Id="rId4074"/><Relationship Type="http://schemas.openxmlformats.org/officeDocument/2006/relationships/hyperlink" Target="https://talosintelligence.com/reputation_center/lookup?search=1.30.197.2" TargetMode="External" Id="rId4075"/><Relationship Type="http://schemas.openxmlformats.org/officeDocument/2006/relationships/hyperlink" Target="https://talosintelligence.com/reputation_center/lookup?search=1.30.197.2" TargetMode="External" Id="rId4076"/><Relationship Type="http://schemas.openxmlformats.org/officeDocument/2006/relationships/hyperlink" Target="https://talosintelligence.com/reputation_center/lookup?search=1.32.57.245" TargetMode="External" Id="rId4077"/><Relationship Type="http://schemas.openxmlformats.org/officeDocument/2006/relationships/hyperlink" Target="https://talosintelligence.com/reputation_center/lookup?search=1.32.57.245" TargetMode="External" Id="rId4078"/><Relationship Type="http://schemas.openxmlformats.org/officeDocument/2006/relationships/hyperlink" Target="https://talosintelligence.com/reputation_center/lookup?search=1.34.172.9" TargetMode="External" Id="rId4079"/><Relationship Type="http://schemas.openxmlformats.org/officeDocument/2006/relationships/hyperlink" Target="https://talosintelligence.com/reputation_center/lookup?search=1.34.172.9" TargetMode="External" Id="rId4080"/><Relationship Type="http://schemas.openxmlformats.org/officeDocument/2006/relationships/hyperlink" Target="https://talosintelligence.com/reputation_center/lookup?search=1.34.79.8" TargetMode="External" Id="rId4081"/><Relationship Type="http://schemas.openxmlformats.org/officeDocument/2006/relationships/hyperlink" Target="https://talosintelligence.com/reputation_center/lookup?search=1.34.79.8" TargetMode="External" Id="rId4082"/><Relationship Type="http://schemas.openxmlformats.org/officeDocument/2006/relationships/hyperlink" Target="https://talosintelligence.com/reputation_center/lookup?search=1.4.161.161" TargetMode="External" Id="rId4083"/><Relationship Type="http://schemas.openxmlformats.org/officeDocument/2006/relationships/hyperlink" Target="https://talosintelligence.com/reputation_center/lookup?search=1.4.161.161" TargetMode="External" Id="rId4084"/><Relationship Type="http://schemas.openxmlformats.org/officeDocument/2006/relationships/hyperlink" Target="https://talosintelligence.com/reputation_center/lookup?search=1.53.228.28" TargetMode="External" Id="rId4085"/><Relationship Type="http://schemas.openxmlformats.org/officeDocument/2006/relationships/hyperlink" Target="https://talosintelligence.com/reputation_center/lookup?search=1.53.228.28" TargetMode="External" Id="rId4086"/><Relationship Type="http://schemas.openxmlformats.org/officeDocument/2006/relationships/hyperlink" Target="https://talosintelligence.com/reputation_center/lookup?search=1.54.227.169" TargetMode="External" Id="rId4087"/><Relationship Type="http://schemas.openxmlformats.org/officeDocument/2006/relationships/hyperlink" Target="https://talosintelligence.com/reputation_center/lookup?search=1.54.227.169" TargetMode="External" Id="rId4088"/><Relationship Type="http://schemas.openxmlformats.org/officeDocument/2006/relationships/hyperlink" Target="https://talosintelligence.com/reputation_center/lookup?search=1.55.112.41" TargetMode="External" Id="rId4089"/><Relationship Type="http://schemas.openxmlformats.org/officeDocument/2006/relationships/hyperlink" Target="https://talosintelligence.com/reputation_center/lookup?search=1.55.112.41" TargetMode="External" Id="rId4090"/><Relationship Type="http://schemas.openxmlformats.org/officeDocument/2006/relationships/hyperlink" Target="https://talosintelligence.com/reputation_center/lookup?search=1.55.178.97" TargetMode="External" Id="rId4091"/><Relationship Type="http://schemas.openxmlformats.org/officeDocument/2006/relationships/hyperlink" Target="https://talosintelligence.com/reputation_center/lookup?search=1.55.178.97" TargetMode="External" Id="rId4092"/><Relationship Type="http://schemas.openxmlformats.org/officeDocument/2006/relationships/hyperlink" Target="https://talosintelligence.com/reputation_center/lookup?search=1.55.210.222" TargetMode="External" Id="rId4093"/><Relationship Type="http://schemas.openxmlformats.org/officeDocument/2006/relationships/hyperlink" Target="https://talosintelligence.com/reputation_center/lookup?search=1.55.210.222" TargetMode="External" Id="rId4094"/><Relationship Type="http://schemas.openxmlformats.org/officeDocument/2006/relationships/hyperlink" Target="https://talosintelligence.com/reputation_center/lookup?search=1.57.218.120" TargetMode="External" Id="rId4095"/><Relationship Type="http://schemas.openxmlformats.org/officeDocument/2006/relationships/hyperlink" Target="https://talosintelligence.com/reputation_center/lookup?search=1.57.218.120" TargetMode="External" Id="rId4096"/><Relationship Type="http://schemas.openxmlformats.org/officeDocument/2006/relationships/hyperlink" Target="https://talosintelligence.com/reputation_center/lookup?search=1.83.125.11" TargetMode="External" Id="rId4097"/><Relationship Type="http://schemas.openxmlformats.org/officeDocument/2006/relationships/hyperlink" Target="https://talosintelligence.com/reputation_center/lookup?search=1.83.125.11" TargetMode="External" Id="rId4098"/><Relationship Type="http://schemas.openxmlformats.org/officeDocument/2006/relationships/hyperlink" Target="https://talosintelligence.com/reputation_center/lookup?search=1.83.125.114" TargetMode="External" Id="rId4099"/><Relationship Type="http://schemas.openxmlformats.org/officeDocument/2006/relationships/hyperlink" Target="https://talosintelligence.com/reputation_center/lookup?search=1.83.125.114" TargetMode="External" Id="rId4100"/><Relationship Type="http://schemas.openxmlformats.org/officeDocument/2006/relationships/hyperlink" Target="https://talosintelligence.com/reputation_center/lookup?search=1.83.125.115" TargetMode="External" Id="rId4101"/><Relationship Type="http://schemas.openxmlformats.org/officeDocument/2006/relationships/hyperlink" Target="https://talosintelligence.com/reputation_center/lookup?search=1.83.125.115" TargetMode="External" Id="rId4102"/><Relationship Type="http://schemas.openxmlformats.org/officeDocument/2006/relationships/hyperlink" Target="https://talosintelligence.com/reputation_center/lookup?search=1.83.125.118" TargetMode="External" Id="rId4103"/><Relationship Type="http://schemas.openxmlformats.org/officeDocument/2006/relationships/hyperlink" Target="https://talosintelligence.com/reputation_center/lookup?search=1.83.125.118" TargetMode="External" Id="rId4104"/><Relationship Type="http://schemas.openxmlformats.org/officeDocument/2006/relationships/hyperlink" Target="https://talosintelligence.com/reputation_center/lookup?search=1.83.125.126" TargetMode="External" Id="rId4105"/><Relationship Type="http://schemas.openxmlformats.org/officeDocument/2006/relationships/hyperlink" Target="https://talosintelligence.com/reputation_center/lookup?search=1.83.125.126" TargetMode="External" Id="rId4106"/><Relationship Type="http://schemas.openxmlformats.org/officeDocument/2006/relationships/hyperlink" Target="https://rules.emergingthreats.net/" TargetMode="External" Id="rId4107"/><Relationship Type="http://schemas.openxmlformats.org/officeDocument/2006/relationships/hyperlink" Target="https://rules.emergingthreats.net/blockrules/compromised-ips.txt" TargetMode="External" Id="rId4108"/><Relationship Type="http://schemas.openxmlformats.org/officeDocument/2006/relationships/hyperlink" Target="https://rules.emergingthreats.net/" TargetMode="External" Id="rId4109"/><Relationship Type="http://schemas.openxmlformats.org/officeDocument/2006/relationships/hyperlink" Target="https://rules.emergingthreats.net/blockrules/compromised-ips.txt" TargetMode="External" Id="rId4110"/><Relationship Type="http://schemas.openxmlformats.org/officeDocument/2006/relationships/hyperlink" Target="https://rules.emergingthreats.net/" TargetMode="External" Id="rId4111"/><Relationship Type="http://schemas.openxmlformats.org/officeDocument/2006/relationships/hyperlink" Target="https://rules.emergingthreats.net/blockrules/compromised-ips.txt" TargetMode="External" Id="rId4112"/><Relationship Type="http://schemas.openxmlformats.org/officeDocument/2006/relationships/hyperlink" Target="https://rules.emergingthreats.net/" TargetMode="External" Id="rId4113"/><Relationship Type="http://schemas.openxmlformats.org/officeDocument/2006/relationships/hyperlink" Target="https://rules.emergingthreats.net/blockrules/compromised-ips.txt" TargetMode="External" Id="rId4114"/><Relationship Type="http://schemas.openxmlformats.org/officeDocument/2006/relationships/hyperlink" Target="https://rules.emergingthreats.net/" TargetMode="External" Id="rId4115"/><Relationship Type="http://schemas.openxmlformats.org/officeDocument/2006/relationships/hyperlink" Target="https://rules.emergingthreats.net/blockrules/compromised-ips.txt" TargetMode="External" Id="rId4116"/><Relationship Type="http://schemas.openxmlformats.org/officeDocument/2006/relationships/hyperlink" Target="https://rules.emergingthreats.net/" TargetMode="External" Id="rId4117"/><Relationship Type="http://schemas.openxmlformats.org/officeDocument/2006/relationships/hyperlink" Target="https://rules.emergingthreats.net/blockrules/compromised-ips.txt" TargetMode="External" Id="rId4118"/><Relationship Type="http://schemas.openxmlformats.org/officeDocument/2006/relationships/hyperlink" Target="https://rules.emergingthreats.net/" TargetMode="External" Id="rId4119"/><Relationship Type="http://schemas.openxmlformats.org/officeDocument/2006/relationships/hyperlink" Target="https://rules.emergingthreats.net/blockrules/compromised-ips.txt" TargetMode="External" Id="rId4120"/><Relationship Type="http://schemas.openxmlformats.org/officeDocument/2006/relationships/hyperlink" Target="https://rules.emergingthreats.net/" TargetMode="External" Id="rId4121"/><Relationship Type="http://schemas.openxmlformats.org/officeDocument/2006/relationships/hyperlink" Target="https://rules.emergingthreats.net/blockrules/compromised-ips.txt" TargetMode="External" Id="rId4122"/><Relationship Type="http://schemas.openxmlformats.org/officeDocument/2006/relationships/hyperlink" Target="https://rules.emergingthreats.net/" TargetMode="External" Id="rId4123"/><Relationship Type="http://schemas.openxmlformats.org/officeDocument/2006/relationships/hyperlink" Target="https://rules.emergingthreats.net/blockrules/compromised-ips.txt" TargetMode="External" Id="rId4124"/><Relationship Type="http://schemas.openxmlformats.org/officeDocument/2006/relationships/hyperlink" Target="https://rules.emergingthreats.net/" TargetMode="External" Id="rId4125"/><Relationship Type="http://schemas.openxmlformats.org/officeDocument/2006/relationships/hyperlink" Target="https://rules.emergingthreats.net/blockrules/compromised-ips.txt" TargetMode="External" Id="rId4126"/><Relationship Type="http://schemas.openxmlformats.org/officeDocument/2006/relationships/hyperlink" Target="https://rules.emergingthreats.net/" TargetMode="External" Id="rId4127"/><Relationship Type="http://schemas.openxmlformats.org/officeDocument/2006/relationships/hyperlink" Target="https://rules.emergingthreats.net/blockrules/compromised-ips.txt" TargetMode="External" Id="rId4128"/><Relationship Type="http://schemas.openxmlformats.org/officeDocument/2006/relationships/hyperlink" Target="https://rules.emergingthreats.net/" TargetMode="External" Id="rId4129"/><Relationship Type="http://schemas.openxmlformats.org/officeDocument/2006/relationships/hyperlink" Target="https://rules.emergingthreats.net/blockrules/compromised-ips.txt" TargetMode="External" Id="rId4130"/><Relationship Type="http://schemas.openxmlformats.org/officeDocument/2006/relationships/hyperlink" Target="https://rules.emergingthreats.net/" TargetMode="External" Id="rId4131"/><Relationship Type="http://schemas.openxmlformats.org/officeDocument/2006/relationships/hyperlink" Target="https://rules.emergingthreats.net/blockrules/compromised-ips.txt" TargetMode="External" Id="rId4132"/><Relationship Type="http://schemas.openxmlformats.org/officeDocument/2006/relationships/hyperlink" Target="https://rules.emergingthreats.net/" TargetMode="External" Id="rId4133"/><Relationship Type="http://schemas.openxmlformats.org/officeDocument/2006/relationships/hyperlink" Target="https://rules.emergingthreats.net/blockrules/compromised-ips.txt" TargetMode="External" Id="rId4134"/><Relationship Type="http://schemas.openxmlformats.org/officeDocument/2006/relationships/hyperlink" Target="https://rules.emergingthreats.net/" TargetMode="External" Id="rId4135"/><Relationship Type="http://schemas.openxmlformats.org/officeDocument/2006/relationships/hyperlink" Target="https://rules.emergingthreats.net/blockrules/compromised-ips.txt" TargetMode="External" Id="rId4136"/><Relationship Type="http://schemas.openxmlformats.org/officeDocument/2006/relationships/hyperlink" Target="https://rules.emergingthreats.net/" TargetMode="External" Id="rId4137"/><Relationship Type="http://schemas.openxmlformats.org/officeDocument/2006/relationships/hyperlink" Target="https://rules.emergingthreats.net/blockrules/compromised-ips.txt" TargetMode="External" Id="rId4138"/><Relationship Type="http://schemas.openxmlformats.org/officeDocument/2006/relationships/hyperlink" Target="https://rules.emergingthreats.net/" TargetMode="External" Id="rId4139"/><Relationship Type="http://schemas.openxmlformats.org/officeDocument/2006/relationships/hyperlink" Target="https://rules.emergingthreats.net/blockrules/compromised-ips.txt" TargetMode="External" Id="rId4140"/><Relationship Type="http://schemas.openxmlformats.org/officeDocument/2006/relationships/hyperlink" Target="https://rules.emergingthreats.net/" TargetMode="External" Id="rId4141"/><Relationship Type="http://schemas.openxmlformats.org/officeDocument/2006/relationships/hyperlink" Target="https://rules.emergingthreats.net/blockrules/compromised-ips.txt" TargetMode="External" Id="rId4142"/><Relationship Type="http://schemas.openxmlformats.org/officeDocument/2006/relationships/hyperlink" Target="https://rules.emergingthreats.net/" TargetMode="External" Id="rId4143"/><Relationship Type="http://schemas.openxmlformats.org/officeDocument/2006/relationships/hyperlink" Target="https://rules.emergingthreats.net/blockrules/compromised-ips.txt" TargetMode="External" Id="rId4144"/><Relationship Type="http://schemas.openxmlformats.org/officeDocument/2006/relationships/hyperlink" Target="https://rules.emergingthreats.net/" TargetMode="External" Id="rId4145"/><Relationship Type="http://schemas.openxmlformats.org/officeDocument/2006/relationships/hyperlink" Target="https://rules.emergingthreats.net/blockrules/compromised-ips.txt" TargetMode="External" Id="rId4146"/><Relationship Type="http://schemas.openxmlformats.org/officeDocument/2006/relationships/hyperlink" Target="https://rules.emergingthreats.net/" TargetMode="External" Id="rId4147"/><Relationship Type="http://schemas.openxmlformats.org/officeDocument/2006/relationships/hyperlink" Target="https://rules.emergingthreats.net/blockrules/compromised-ips.txt" TargetMode="External" Id="rId4148"/><Relationship Type="http://schemas.openxmlformats.org/officeDocument/2006/relationships/hyperlink" Target="https://rules.emergingthreats.net/" TargetMode="External" Id="rId4149"/><Relationship Type="http://schemas.openxmlformats.org/officeDocument/2006/relationships/hyperlink" Target="https://rules.emergingthreats.net/blockrules/compromised-ips.txt" TargetMode="External" Id="rId4150"/><Relationship Type="http://schemas.openxmlformats.org/officeDocument/2006/relationships/hyperlink" Target="https://rules.emergingthreats.net/" TargetMode="External" Id="rId4151"/><Relationship Type="http://schemas.openxmlformats.org/officeDocument/2006/relationships/hyperlink" Target="https://rules.emergingthreats.net/blockrules/compromised-ips.txt" TargetMode="External" Id="rId4152"/><Relationship Type="http://schemas.openxmlformats.org/officeDocument/2006/relationships/hyperlink" Target="https://rules.emergingthreats.net/" TargetMode="External" Id="rId4153"/><Relationship Type="http://schemas.openxmlformats.org/officeDocument/2006/relationships/hyperlink" Target="https://rules.emergingthreats.net/blockrules/compromised-ips.txt" TargetMode="External" Id="rId4154"/><Relationship Type="http://schemas.openxmlformats.org/officeDocument/2006/relationships/hyperlink" Target="https://rules.emergingthreats.net/" TargetMode="External" Id="rId4155"/><Relationship Type="http://schemas.openxmlformats.org/officeDocument/2006/relationships/hyperlink" Target="https://rules.emergingthreats.net/blockrules/compromised-ips.txt" TargetMode="External" Id="rId4156"/><Relationship Type="http://schemas.openxmlformats.org/officeDocument/2006/relationships/hyperlink" Target="https://rules.emergingthreats.net/" TargetMode="External" Id="rId4157"/><Relationship Type="http://schemas.openxmlformats.org/officeDocument/2006/relationships/hyperlink" Target="https://rules.emergingthreats.net/blockrules/compromised-ips.txt" TargetMode="External" Id="rId4158"/><Relationship Type="http://schemas.openxmlformats.org/officeDocument/2006/relationships/hyperlink" Target="https://rules.emergingthreats.net/" TargetMode="External" Id="rId4159"/><Relationship Type="http://schemas.openxmlformats.org/officeDocument/2006/relationships/hyperlink" Target="https://rules.emergingthreats.net/blockrules/compromised-ips.txt" TargetMode="External" Id="rId4160"/><Relationship Type="http://schemas.openxmlformats.org/officeDocument/2006/relationships/hyperlink" Target="https://rules.emergingthreats.net/" TargetMode="External" Id="rId4161"/><Relationship Type="http://schemas.openxmlformats.org/officeDocument/2006/relationships/hyperlink" Target="https://rules.emergingthreats.net/blockrules/compromised-ips.txt" TargetMode="External" Id="rId4162"/><Relationship Type="http://schemas.openxmlformats.org/officeDocument/2006/relationships/hyperlink" Target="https://rules.emergingthreats.net/" TargetMode="External" Id="rId4163"/><Relationship Type="http://schemas.openxmlformats.org/officeDocument/2006/relationships/hyperlink" Target="https://rules.emergingthreats.net/blockrules/compromised-ips.txt" TargetMode="External" Id="rId4164"/><Relationship Type="http://schemas.openxmlformats.org/officeDocument/2006/relationships/hyperlink" Target="https://rules.emergingthreats.net/" TargetMode="External" Id="rId4165"/><Relationship Type="http://schemas.openxmlformats.org/officeDocument/2006/relationships/hyperlink" Target="https://rules.emergingthreats.net/blockrules/compromised-ips.txt" TargetMode="External" Id="rId4166"/><Relationship Type="http://schemas.openxmlformats.org/officeDocument/2006/relationships/hyperlink" Target="https://rules.emergingthreats.net/" TargetMode="External" Id="rId4167"/><Relationship Type="http://schemas.openxmlformats.org/officeDocument/2006/relationships/hyperlink" Target="https://rules.emergingthreats.net/blockrules/compromised-ips.txt" TargetMode="External" Id="rId4168"/><Relationship Type="http://schemas.openxmlformats.org/officeDocument/2006/relationships/hyperlink" Target="https://rules.emergingthreats.net/" TargetMode="External" Id="rId4169"/><Relationship Type="http://schemas.openxmlformats.org/officeDocument/2006/relationships/hyperlink" Target="https://rules.emergingthreats.net/blockrules/compromised-ips.txt" TargetMode="External" Id="rId4170"/><Relationship Type="http://schemas.openxmlformats.org/officeDocument/2006/relationships/hyperlink" Target="https://rules.emergingthreats.net/" TargetMode="External" Id="rId4171"/><Relationship Type="http://schemas.openxmlformats.org/officeDocument/2006/relationships/hyperlink" Target="https://rules.emergingthreats.net/blockrules/compromised-ips.txt" TargetMode="External" Id="rId4172"/><Relationship Type="http://schemas.openxmlformats.org/officeDocument/2006/relationships/hyperlink" Target="https://rules.emergingthreats.net/" TargetMode="External" Id="rId4173"/><Relationship Type="http://schemas.openxmlformats.org/officeDocument/2006/relationships/hyperlink" Target="https://rules.emergingthreats.net/blockrules/compromised-ips.txt" TargetMode="External" Id="rId4174"/><Relationship Type="http://schemas.openxmlformats.org/officeDocument/2006/relationships/hyperlink" Target="https://rules.emergingthreats.net/" TargetMode="External" Id="rId4175"/><Relationship Type="http://schemas.openxmlformats.org/officeDocument/2006/relationships/hyperlink" Target="https://rules.emergingthreats.net/blockrules/compromised-ips.txt" TargetMode="External" Id="rId4176"/><Relationship Type="http://schemas.openxmlformats.org/officeDocument/2006/relationships/hyperlink" Target="https://rules.emergingthreats.net/" TargetMode="External" Id="rId4177"/><Relationship Type="http://schemas.openxmlformats.org/officeDocument/2006/relationships/hyperlink" Target="https://rules.emergingthreats.net/blockrules/compromised-ips.txt" TargetMode="External" Id="rId4178"/><Relationship Type="http://schemas.openxmlformats.org/officeDocument/2006/relationships/hyperlink" Target="https://rules.emergingthreats.net/" TargetMode="External" Id="rId4179"/><Relationship Type="http://schemas.openxmlformats.org/officeDocument/2006/relationships/hyperlink" Target="https://rules.emergingthreats.net/blockrules/compromised-ips.txt" TargetMode="External" Id="rId4180"/><Relationship Type="http://schemas.openxmlformats.org/officeDocument/2006/relationships/hyperlink" Target="https://rules.emergingthreats.net/" TargetMode="External" Id="rId4181"/><Relationship Type="http://schemas.openxmlformats.org/officeDocument/2006/relationships/hyperlink" Target="https://rules.emergingthreats.net/blockrules/compromised-ips.txt" TargetMode="External" Id="rId4182"/><Relationship Type="http://schemas.openxmlformats.org/officeDocument/2006/relationships/hyperlink" Target="https://rules.emergingthreats.net/" TargetMode="External" Id="rId4183"/><Relationship Type="http://schemas.openxmlformats.org/officeDocument/2006/relationships/hyperlink" Target="https://rules.emergingthreats.net/blockrules/compromised-ips.txt" TargetMode="External" Id="rId4184"/><Relationship Type="http://schemas.openxmlformats.org/officeDocument/2006/relationships/hyperlink" Target="https://rules.emergingthreats.net/" TargetMode="External" Id="rId4185"/><Relationship Type="http://schemas.openxmlformats.org/officeDocument/2006/relationships/hyperlink" Target="https://rules.emergingthreats.net/blockrules/compromised-ips.txt" TargetMode="External" Id="rId4186"/><Relationship Type="http://schemas.openxmlformats.org/officeDocument/2006/relationships/hyperlink" Target="https://rules.emergingthreats.net/" TargetMode="External" Id="rId4187"/><Relationship Type="http://schemas.openxmlformats.org/officeDocument/2006/relationships/hyperlink" Target="https://rules.emergingthreats.net/blockrules/compromised-ips.txt" TargetMode="External" Id="rId4188"/><Relationship Type="http://schemas.openxmlformats.org/officeDocument/2006/relationships/hyperlink" Target="https://rules.emergingthreats.net/" TargetMode="External" Id="rId4189"/><Relationship Type="http://schemas.openxmlformats.org/officeDocument/2006/relationships/hyperlink" Target="https://rules.emergingthreats.net/blockrules/compromised-ips.txt" TargetMode="External" Id="rId4190"/><Relationship Type="http://schemas.openxmlformats.org/officeDocument/2006/relationships/hyperlink" Target="https://rules.emergingthreats.net/" TargetMode="External" Id="rId4191"/><Relationship Type="http://schemas.openxmlformats.org/officeDocument/2006/relationships/hyperlink" Target="https://rules.emergingthreats.net/blockrules/compromised-ips.txt" TargetMode="External" Id="rId4192"/><Relationship Type="http://schemas.openxmlformats.org/officeDocument/2006/relationships/hyperlink" Target="https://rules.emergingthreats.net/" TargetMode="External" Id="rId4193"/><Relationship Type="http://schemas.openxmlformats.org/officeDocument/2006/relationships/hyperlink" Target="https://rules.emergingthreats.net/blockrules/compromised-ips.txt" TargetMode="External" Id="rId4194"/><Relationship Type="http://schemas.openxmlformats.org/officeDocument/2006/relationships/hyperlink" Target="https://rules.emergingthreats.net/" TargetMode="External" Id="rId4195"/><Relationship Type="http://schemas.openxmlformats.org/officeDocument/2006/relationships/hyperlink" Target="https://rules.emergingthreats.net/blockrules/compromised-ips.txt" TargetMode="External" Id="rId4196"/><Relationship Type="http://schemas.openxmlformats.org/officeDocument/2006/relationships/hyperlink" Target="https://rules.emergingthreats.net/" TargetMode="External" Id="rId4197"/><Relationship Type="http://schemas.openxmlformats.org/officeDocument/2006/relationships/hyperlink" Target="https://rules.emergingthreats.net/blockrules/compromised-ips.txt" TargetMode="External" Id="rId4198"/><Relationship Type="http://schemas.openxmlformats.org/officeDocument/2006/relationships/hyperlink" Target="https://rules.emergingthreats.net/" TargetMode="External" Id="rId4199"/><Relationship Type="http://schemas.openxmlformats.org/officeDocument/2006/relationships/hyperlink" Target="https://rules.emergingthreats.net/blockrules/compromised-ips.txt" TargetMode="External" Id="rId4200"/><Relationship Type="http://schemas.openxmlformats.org/officeDocument/2006/relationships/hyperlink" Target="https://rules.emergingthreats.net/" TargetMode="External" Id="rId4201"/><Relationship Type="http://schemas.openxmlformats.org/officeDocument/2006/relationships/hyperlink" Target="https://rules.emergingthreats.net/blockrules/compromised-ips.txt" TargetMode="External" Id="rId4202"/><Relationship Type="http://schemas.openxmlformats.org/officeDocument/2006/relationships/hyperlink" Target="https://rules.emergingthreats.net/" TargetMode="External" Id="rId4203"/><Relationship Type="http://schemas.openxmlformats.org/officeDocument/2006/relationships/hyperlink" Target="https://rules.emergingthreats.net/blockrules/compromised-ips.txt" TargetMode="External" Id="rId4204"/><Relationship Type="http://schemas.openxmlformats.org/officeDocument/2006/relationships/hyperlink" Target="https://rules.emergingthreats.net/" TargetMode="External" Id="rId4205"/><Relationship Type="http://schemas.openxmlformats.org/officeDocument/2006/relationships/hyperlink" Target="https://rules.emergingthreats.net/blockrules/compromised-ips.txt" TargetMode="External" Id="rId4206"/><Relationship Type="http://schemas.openxmlformats.org/officeDocument/2006/relationships/hyperlink" Target="https://vulncheck.com/blog/vuln-check-kev" TargetMode="External" Id="rId4207"/><Relationship Type="http://schemas.openxmlformats.org/officeDocument/2006/relationships/hyperlink" Target="https://vulncheck.com/blog/vuln-check-kev" TargetMode="External" Id="rId4208"/><Relationship Type="http://schemas.openxmlformats.org/officeDocument/2006/relationships/hyperlink" Target="https://vulncheck.com/blog/vuln-check-kev" TargetMode="External" Id="rId4209"/><Relationship Type="http://schemas.openxmlformats.org/officeDocument/2006/relationships/hyperlink" Target="https://vulncheck.com/blog/vuln-check-kev" TargetMode="External" Id="rId4210"/><Relationship Type="http://schemas.openxmlformats.org/officeDocument/2006/relationships/hyperlink" Target="https://vulncheck.com/blog/vuln-check-kev" TargetMode="External" Id="rId4211"/><Relationship Type="http://schemas.openxmlformats.org/officeDocument/2006/relationships/hyperlink" Target="https://vulncheck.com/blog/vuln-check-kev" TargetMode="External" Id="rId4212"/><Relationship Type="http://schemas.openxmlformats.org/officeDocument/2006/relationships/hyperlink" Target="https://vulncheck.com/blog/vuln-check-kev" TargetMode="External" Id="rId4213"/><Relationship Type="http://schemas.openxmlformats.org/officeDocument/2006/relationships/hyperlink" Target="https://vulncheck.com/blog/vuln-check-kev" TargetMode="External" Id="rId4214"/><Relationship Type="http://schemas.openxmlformats.org/officeDocument/2006/relationships/hyperlink" Target="https://vulncheck.com/blog/vuln-check-kev" TargetMode="External" Id="rId4215"/><Relationship Type="http://schemas.openxmlformats.org/officeDocument/2006/relationships/hyperlink" Target="https://vulncheck.com/blog/vuln-check-kev" TargetMode="External" Id="rId4216"/><Relationship Type="http://schemas.openxmlformats.org/officeDocument/2006/relationships/hyperlink" Target="https://vulncheck.com/blog/vuln-check-kev" TargetMode="External" Id="rId4217"/><Relationship Type="http://schemas.openxmlformats.org/officeDocument/2006/relationships/hyperlink" Target="https://vulncheck.com/blog/vuln-check-kev" TargetMode="External" Id="rId4218"/><Relationship Type="http://schemas.openxmlformats.org/officeDocument/2006/relationships/hyperlink" Target="https://vulncheck.com/blog/vuln-check-kev" TargetMode="External" Id="rId4219"/><Relationship Type="http://schemas.openxmlformats.org/officeDocument/2006/relationships/hyperlink" Target="https://vulncheck.com/blog/vuln-check-kev" TargetMode="External" Id="rId4220"/><Relationship Type="http://schemas.openxmlformats.org/officeDocument/2006/relationships/hyperlink" Target="https://vulncheck.com/blog/vuln-check-kev" TargetMode="External" Id="rId4221"/><Relationship Type="http://schemas.openxmlformats.org/officeDocument/2006/relationships/hyperlink" Target="https://vulncheck.com/blog/vuln-check-kev" TargetMode="External" Id="rId4222"/><Relationship Type="http://schemas.openxmlformats.org/officeDocument/2006/relationships/hyperlink" Target="https://vulncheck.com/blog/vuln-check-kev" TargetMode="External" Id="rId4223"/><Relationship Type="http://schemas.openxmlformats.org/officeDocument/2006/relationships/hyperlink" Target="https://vulncheck.com/blog/vuln-check-kev" TargetMode="External" Id="rId4224"/><Relationship Type="http://schemas.openxmlformats.org/officeDocument/2006/relationships/hyperlink" Target="https://vulncheck.com/blog/vuln-check-kev" TargetMode="External" Id="rId4225"/><Relationship Type="http://schemas.openxmlformats.org/officeDocument/2006/relationships/hyperlink" Target="https://vulncheck.com/blog/vuln-check-kev" TargetMode="External" Id="rId4226"/><Relationship Type="http://schemas.openxmlformats.org/officeDocument/2006/relationships/hyperlink" Target="https://vulncheck.com/blog/vuln-check-kev" TargetMode="External" Id="rId4227"/><Relationship Type="http://schemas.openxmlformats.org/officeDocument/2006/relationships/hyperlink" Target="https://vulncheck.com/blog/vuln-check-kev" TargetMode="External" Id="rId4228"/><Relationship Type="http://schemas.openxmlformats.org/officeDocument/2006/relationships/hyperlink" Target="https://vulncheck.com/blog/vuln-check-kev" TargetMode="External" Id="rId4229"/><Relationship Type="http://schemas.openxmlformats.org/officeDocument/2006/relationships/hyperlink" Target="https://vulncheck.com/blog/vuln-check-kev" TargetMode="External" Id="rId4230"/><Relationship Type="http://schemas.openxmlformats.org/officeDocument/2006/relationships/hyperlink" Target="https://vulncheck.com/blog/vuln-check-kev" TargetMode="External" Id="rId4231"/><Relationship Type="http://schemas.openxmlformats.org/officeDocument/2006/relationships/hyperlink" Target="https://vulncheck.com/blog/vuln-check-kev" TargetMode="External" Id="rId4232"/><Relationship Type="http://schemas.openxmlformats.org/officeDocument/2006/relationships/hyperlink" Target="https://vulncheck.com/blog/vuln-check-kev" TargetMode="External" Id="rId4233"/><Relationship Type="http://schemas.openxmlformats.org/officeDocument/2006/relationships/hyperlink" Target="https://vulncheck.com/blog/vuln-check-kev" TargetMode="External" Id="rId4234"/><Relationship Type="http://schemas.openxmlformats.org/officeDocument/2006/relationships/hyperlink" Target="https://vulncheck.com/blog/vuln-check-kev" TargetMode="External" Id="rId4235"/><Relationship Type="http://schemas.openxmlformats.org/officeDocument/2006/relationships/hyperlink" Target="https://vulncheck.com/blog/vuln-check-kev" TargetMode="External" Id="rId4236"/><Relationship Type="http://schemas.openxmlformats.org/officeDocument/2006/relationships/hyperlink" Target="https://vulncheck.com/blog/vuln-check-kev" TargetMode="External" Id="rId4237"/><Relationship Type="http://schemas.openxmlformats.org/officeDocument/2006/relationships/hyperlink" Target="https://vulncheck.com/blog/vuln-check-kev" TargetMode="External" Id="rId4238"/><Relationship Type="http://schemas.openxmlformats.org/officeDocument/2006/relationships/hyperlink" Target="https://vulncheck.com/blog/vuln-check-kev" TargetMode="External" Id="rId4239"/><Relationship Type="http://schemas.openxmlformats.org/officeDocument/2006/relationships/hyperlink" Target="https://vulncheck.com/blog/vuln-check-kev" TargetMode="External" Id="rId4240"/><Relationship Type="http://schemas.openxmlformats.org/officeDocument/2006/relationships/hyperlink" Target="https://vulncheck.com/blog/vuln-check-kev" TargetMode="External" Id="rId4241"/><Relationship Type="http://schemas.openxmlformats.org/officeDocument/2006/relationships/hyperlink" Target="https://vulncheck.com/blog/vuln-check-kev" TargetMode="External" Id="rId4242"/><Relationship Type="http://schemas.openxmlformats.org/officeDocument/2006/relationships/hyperlink" Target="https://vulncheck.com/blog/vuln-check-kev" TargetMode="External" Id="rId4243"/><Relationship Type="http://schemas.openxmlformats.org/officeDocument/2006/relationships/hyperlink" Target="https://vulncheck.com/blog/vuln-check-kev" TargetMode="External" Id="rId4244"/><Relationship Type="http://schemas.openxmlformats.org/officeDocument/2006/relationships/hyperlink" Target="https://vulncheck.com/blog/vuln-check-kev" TargetMode="External" Id="rId4245"/><Relationship Type="http://schemas.openxmlformats.org/officeDocument/2006/relationships/hyperlink" Target="https://vulncheck.com/blog/vuln-check-kev" TargetMode="External" Id="rId4246"/><Relationship Type="http://schemas.openxmlformats.org/officeDocument/2006/relationships/hyperlink" Target="https://vulncheck.com/blog/vuln-check-kev" TargetMode="External" Id="rId4247"/><Relationship Type="http://schemas.openxmlformats.org/officeDocument/2006/relationships/hyperlink" Target="https://vulncheck.com/blog/vuln-check-kev" TargetMode="External" Id="rId4248"/><Relationship Type="http://schemas.openxmlformats.org/officeDocument/2006/relationships/hyperlink" Target="https://vulncheck.com/blog/vuln-check-kev" TargetMode="External" Id="rId4249"/><Relationship Type="http://schemas.openxmlformats.org/officeDocument/2006/relationships/hyperlink" Target="https://vulncheck.com/blog/vuln-check-kev" TargetMode="External" Id="rId4250"/><Relationship Type="http://schemas.openxmlformats.org/officeDocument/2006/relationships/hyperlink" Target="https://vulncheck.com/blog/vuln-check-kev" TargetMode="External" Id="rId4251"/><Relationship Type="http://schemas.openxmlformats.org/officeDocument/2006/relationships/hyperlink" Target="https://vulncheck.com/blog/vuln-check-kev" TargetMode="External" Id="rId4252"/><Relationship Type="http://schemas.openxmlformats.org/officeDocument/2006/relationships/hyperlink" Target="https://vulncheck.com/blog/vuln-check-kev" TargetMode="External" Id="rId4253"/><Relationship Type="http://schemas.openxmlformats.org/officeDocument/2006/relationships/hyperlink" Target="https://vulncheck.com/blog/vuln-check-kev" TargetMode="External" Id="rId4254"/><Relationship Type="http://schemas.openxmlformats.org/officeDocument/2006/relationships/hyperlink" Target="https://vulncheck.com/blog/vuln-check-kev" TargetMode="External" Id="rId4255"/><Relationship Type="http://schemas.openxmlformats.org/officeDocument/2006/relationships/hyperlink" Target="https://vulncheck.com/blog/vuln-check-kev" TargetMode="External" Id="rId4256"/><Relationship Type="http://schemas.openxmlformats.org/officeDocument/2006/relationships/hyperlink" Target="https://vulncheck.com/blog/vuln-check-kev" TargetMode="External" Id="rId4257"/><Relationship Type="http://schemas.openxmlformats.org/officeDocument/2006/relationships/hyperlink" Target="https://vulncheck.com/blog/vuln-check-kev" TargetMode="External" Id="rId4258"/><Relationship Type="http://schemas.openxmlformats.org/officeDocument/2006/relationships/hyperlink" Target="https://vulncheck.com/blog/vuln-check-kev" TargetMode="External" Id="rId4259"/><Relationship Type="http://schemas.openxmlformats.org/officeDocument/2006/relationships/hyperlink" Target="https://vulncheck.com/blog/vuln-check-kev" TargetMode="External" Id="rId4260"/><Relationship Type="http://schemas.openxmlformats.org/officeDocument/2006/relationships/hyperlink" Target="https://vulncheck.com/blog/vuln-check-kev" TargetMode="External" Id="rId4261"/><Relationship Type="http://schemas.openxmlformats.org/officeDocument/2006/relationships/hyperlink" Target="https://vulncheck.com/blog/vuln-check-kev" TargetMode="External" Id="rId4262"/><Relationship Type="http://schemas.openxmlformats.org/officeDocument/2006/relationships/hyperlink" Target="https://vulncheck.com/blog/vuln-check-kev" TargetMode="External" Id="rId4263"/><Relationship Type="http://schemas.openxmlformats.org/officeDocument/2006/relationships/hyperlink" Target="https://vulncheck.com/blog/vuln-check-kev" TargetMode="External" Id="rId4264"/><Relationship Type="http://schemas.openxmlformats.org/officeDocument/2006/relationships/hyperlink" Target="https://vulncheck.com/blog/vuln-check-kev" TargetMode="External" Id="rId4265"/><Relationship Type="http://schemas.openxmlformats.org/officeDocument/2006/relationships/hyperlink" Target="https://vulncheck.com/blog/vuln-check-kev" TargetMode="External" Id="rId4266"/><Relationship Type="http://schemas.openxmlformats.org/officeDocument/2006/relationships/hyperlink" Target="https://www.cisa.gov/stopransomware" TargetMode="External" Id="rId4267"/><Relationship Type="http://schemas.openxmlformats.org/officeDocument/2006/relationships/hyperlink" Target="https://www.cisa.gov/stopransomware" TargetMode="External" Id="rId4268"/><Relationship Type="http://schemas.openxmlformats.org/officeDocument/2006/relationships/hyperlink" Target="https://security.paloaltonetworks.com/" TargetMode="External" Id="rId4269"/><Relationship Type="http://schemas.openxmlformats.org/officeDocument/2006/relationships/hyperlink" Target="https://security.paloaltonetworks.com/" TargetMode="External" Id="rId4270"/><Relationship Type="http://schemas.openxmlformats.org/officeDocument/2006/relationships/hyperlink" Target="https://security.paloaltonetworks.com/" TargetMode="External" Id="rId4271"/><Relationship Type="http://schemas.openxmlformats.org/officeDocument/2006/relationships/hyperlink" Target="https://security.paloaltonetworks.com/" TargetMode="External" Id="rId4272"/><Relationship Type="http://schemas.openxmlformats.org/officeDocument/2006/relationships/hyperlink" Target="https://security.paloaltonetworks.com/" TargetMode="External" Id="rId4273"/><Relationship Type="http://schemas.openxmlformats.org/officeDocument/2006/relationships/hyperlink" Target="https://security.paloaltonetworks.com/" TargetMode="External" Id="rId4274"/><Relationship Type="http://schemas.openxmlformats.org/officeDocument/2006/relationships/hyperlink" Target="https://security.paloaltonetworks.com/" TargetMode="External" Id="rId4275"/><Relationship Type="http://schemas.openxmlformats.org/officeDocument/2006/relationships/hyperlink" Target="https://security.paloaltonetworks.com/" TargetMode="External" Id="rId4276"/><Relationship Type="http://schemas.openxmlformats.org/officeDocument/2006/relationships/hyperlink" Target="https://security.paloaltonetworks.com/" TargetMode="External" Id="rId4277"/><Relationship Type="http://schemas.openxmlformats.org/officeDocument/2006/relationships/hyperlink" Target="https://security.paloaltonetworks.com/" TargetMode="External" Id="rId4278"/><Relationship Type="http://schemas.openxmlformats.org/officeDocument/2006/relationships/hyperlink" Target="https://security.paloaltonetworks.com/" TargetMode="External" Id="rId4279"/><Relationship Type="http://schemas.openxmlformats.org/officeDocument/2006/relationships/hyperlink" Target="https://security.paloaltonetworks.com/" TargetMode="External" Id="rId4280"/><Relationship Type="http://schemas.openxmlformats.org/officeDocument/2006/relationships/hyperlink" Target="https://security.paloaltonetworks.com/" TargetMode="External" Id="rId4281"/><Relationship Type="http://schemas.openxmlformats.org/officeDocument/2006/relationships/hyperlink" Target="https://security.paloaltonetworks.com/" TargetMode="External" Id="rId4282"/><Relationship Type="http://schemas.openxmlformats.org/officeDocument/2006/relationships/hyperlink" Target="https://security.paloaltonetworks.com/" TargetMode="External" Id="rId4283"/><Relationship Type="http://schemas.openxmlformats.org/officeDocument/2006/relationships/hyperlink" Target="https://security.paloaltonetworks.com/" TargetMode="External" Id="rId4284"/><Relationship Type="http://schemas.openxmlformats.org/officeDocument/2006/relationships/hyperlink" Target="https://security.paloaltonetworks.com/" TargetMode="External" Id="rId4285"/><Relationship Type="http://schemas.openxmlformats.org/officeDocument/2006/relationships/hyperlink" Target="https://security.paloaltonetworks.com/" TargetMode="External" Id="rId4286"/><Relationship Type="http://schemas.openxmlformats.org/officeDocument/2006/relationships/hyperlink" Target="https://security.paloaltonetworks.com/" TargetMode="External" Id="rId4287"/><Relationship Type="http://schemas.openxmlformats.org/officeDocument/2006/relationships/hyperlink" Target="https://security.paloaltonetworks.com/" TargetMode="External" Id="rId4288"/><Relationship Type="http://schemas.openxmlformats.org/officeDocument/2006/relationships/hyperlink" Target="https://security.paloaltonetworks.com/" TargetMode="External" Id="rId4289"/><Relationship Type="http://schemas.openxmlformats.org/officeDocument/2006/relationships/hyperlink" Target="https://www.watchguard.com/wgrd-psirt/advisory/wgsa-2026-00001" TargetMode="External" Id="rId4290"/><Relationship Type="http://schemas.openxmlformats.org/officeDocument/2006/relationships/hyperlink" Target="https://www.watchguard.com/wgrd-psirt/advisory/wgsa-2026-00001" TargetMode="External" Id="rId4291"/><Relationship Type="http://schemas.openxmlformats.org/officeDocument/2006/relationships/hyperlink" Target="https://www.watchguard.com/wgrd-psirt/advisory/wgsa-2026-00001" TargetMode="External" Id="rId4292"/><Relationship Type="http://schemas.openxmlformats.org/officeDocument/2006/relationships/hyperlink" Target="https://www.watchguard.com/wgrd-psirt/advisory/wgsa-2026-00002" TargetMode="External" Id="rId4293"/><Relationship Type="http://schemas.openxmlformats.org/officeDocument/2006/relationships/hyperlink" Target="https://www.watchguard.com/wgrd-psirt/advisory/wgsa-2026-00002" TargetMode="External" Id="rId4294"/><Relationship Type="http://schemas.openxmlformats.org/officeDocument/2006/relationships/hyperlink" Target="https://www.watchguard.com/wgrd-psirt/advisory/wgsa-2026-00002" TargetMode="External" Id="rId4295"/><Relationship Type="http://schemas.openxmlformats.org/officeDocument/2006/relationships/hyperlink" Target="https://www.watchguard.com/wgrd-psirt/advisory/wgsa-2025-00027" TargetMode="External" Id="rId4296"/><Relationship Type="http://schemas.openxmlformats.org/officeDocument/2006/relationships/hyperlink" Target="https://www.watchguard.com/wgrd-psirt/advisory/wgsa-2025-00027" TargetMode="External" Id="rId4297"/><Relationship Type="http://schemas.openxmlformats.org/officeDocument/2006/relationships/hyperlink" Target="https://www.watchguard.com/wgrd-psirt/advisory/wgsa-2025-00027" TargetMode="External" Id="rId4298"/><Relationship Type="http://schemas.openxmlformats.org/officeDocument/2006/relationships/hyperlink" Target="https://www.watchguard.com/wgrd-psirt/advisory/wgsa-2025-00026" TargetMode="External" Id="rId4299"/><Relationship Type="http://schemas.openxmlformats.org/officeDocument/2006/relationships/hyperlink" Target="https://www.watchguard.com/wgrd-psirt/advisory/wgsa-2025-00026" TargetMode="External" Id="rId4300"/><Relationship Type="http://schemas.openxmlformats.org/officeDocument/2006/relationships/hyperlink" Target="https://www.watchguard.com/wgrd-psirt/advisory/wgsa-2025-00026" TargetMode="External" Id="rId4301"/><Relationship Type="http://schemas.openxmlformats.org/officeDocument/2006/relationships/hyperlink" Target="https://www.watchguard.com/wgrd-psirt/advisory/wgsa-2025-00018" TargetMode="External" Id="rId4302"/><Relationship Type="http://schemas.openxmlformats.org/officeDocument/2006/relationships/hyperlink" Target="https://www.watchguard.com/wgrd-psirt/advisory/wgsa-2025-00018" TargetMode="External" Id="rId4303"/><Relationship Type="http://schemas.openxmlformats.org/officeDocument/2006/relationships/hyperlink" Target="https://www.watchguard.com/wgrd-psirt/advisory/wgsa-2025-00018" TargetMode="External" Id="rId4304"/><Relationship Type="http://schemas.openxmlformats.org/officeDocument/2006/relationships/hyperlink" Target="https://fortiguard.fortinet.com/psirt/FG-IR-25-084" TargetMode="External" Id="rId4305"/><Relationship Type="http://schemas.openxmlformats.org/officeDocument/2006/relationships/hyperlink" Target="https://fortiguard.fortinet.com/psirt/FG-IR-25-084" TargetMode="External" Id="rId4306"/><Relationship Type="http://schemas.openxmlformats.org/officeDocument/2006/relationships/hyperlink" Target="https://fortiguard.fortinet.com/psirt/FG-IR-25-084" TargetMode="External" Id="rId4307"/><Relationship Type="http://schemas.openxmlformats.org/officeDocument/2006/relationships/hyperlink" Target="https://fortiguard.fortinet.com/psirt/FG-IR-26-076" TargetMode="External" Id="rId4308"/><Relationship Type="http://schemas.openxmlformats.org/officeDocument/2006/relationships/hyperlink" Target="https://fortiguard.fortinet.com/psirt/FG-IR-26-076" TargetMode="External" Id="rId4309"/><Relationship Type="http://schemas.openxmlformats.org/officeDocument/2006/relationships/hyperlink" Target="https://fortiguard.fortinet.com/psirt/FG-IR-26-076" TargetMode="External" Id="rId4310"/><Relationship Type="http://schemas.openxmlformats.org/officeDocument/2006/relationships/hyperlink" Target="https://fortiguard.fortinet.com/psirt/FG-IR-25-661" TargetMode="External" Id="rId4311"/><Relationship Type="http://schemas.openxmlformats.org/officeDocument/2006/relationships/hyperlink" Target="https://fortiguard.fortinet.com/psirt/FG-IR-25-661" TargetMode="External" Id="rId4312"/><Relationship Type="http://schemas.openxmlformats.org/officeDocument/2006/relationships/hyperlink" Target="https://fortiguard.fortinet.com/psirt/FG-IR-25-661" TargetMode="External" Id="rId4313"/><Relationship Type="http://schemas.openxmlformats.org/officeDocument/2006/relationships/hyperlink" Target="https://fortiguard.fortinet.com/psirt/FG-IR-25-384" TargetMode="External" Id="rId4314"/><Relationship Type="http://schemas.openxmlformats.org/officeDocument/2006/relationships/hyperlink" Target="https://fortiguard.fortinet.com/psirt/FG-IR-25-384" TargetMode="External" Id="rId4315"/><Relationship Type="http://schemas.openxmlformats.org/officeDocument/2006/relationships/hyperlink" Target="https://fortiguard.fortinet.com/psirt/FG-IR-25-384" TargetMode="External" Id="rId4316"/><Relationship Type="http://schemas.openxmlformats.org/officeDocument/2006/relationships/hyperlink" Target="https://fortiguard.fortinet.com/psirt/FG-IR-25-795" TargetMode="External" Id="rId4317"/><Relationship Type="http://schemas.openxmlformats.org/officeDocument/2006/relationships/hyperlink" Target="https://fortiguard.fortinet.com/psirt/FG-IR-25-795" TargetMode="External" Id="rId4318"/><Relationship Type="http://schemas.openxmlformats.org/officeDocument/2006/relationships/hyperlink" Target="https://fortiguard.fortinet.com/psirt/FG-IR-25-795" TargetMode="External" Id="rId4319"/><Relationship Type="http://schemas.openxmlformats.org/officeDocument/2006/relationships/hyperlink" Target="https://sec.cloudapps.cisco.com/security/center/content/CiscoSecurityAdvisory/cisco-sa-wsa-archive-bypass-Scx2e8zF?vs_f=Cisco%20Security%20Advisory%26vs_cat=Security%20Intelligence%26vs_type=RSS%26vs_p=Cisco%20Secure%20Web%20Appliance%20Real-Time%20Scanning%20Archive%20File%20Bypass%20Vulnerability%26vs_k=1" TargetMode="External" Id="rId4320"/><Relationship Type="http://schemas.openxmlformats.org/officeDocument/2006/relationships/hyperlink" Target="https://sec.cloudapps.cisco.com/security/center/content/CiscoSecurityAdvisory/cisco-sa-wsa-archive-bypass-Scx2e8zF?vs_f=Cisco%20Security%20Advisory%26vs_cat=Security%20Intelligence%26vs_type=RSS%26vs_p=Cisco%20Secure%20Web%20Appliance%20Real-Time%20Scanning%20Archive%20File%20Bypass%20Vulnerability%26vs_k=1" TargetMode="External" Id="rId4321"/><Relationship Type="http://schemas.openxmlformats.org/officeDocument/2006/relationships/hyperlink" Target="https://sec.cloudapps.cisco.com/security/center/content/CiscoSecurityAdvisory/cisco-sa-wsa-archive-bypass-Scx2e8zF?vs_f=Cisco%20Security%20Advisory%26vs_cat=Security%20Intelligence%26vs_type=RSS%26vs_p=Cisco%20Secure%20Web%20Appliance%20Real-Time%20Scanning%20Archive%20File%20Bypass%20Vulnerability%26vs_k=1" TargetMode="External" Id="rId4322"/><Relationship Type="http://schemas.openxmlformats.org/officeDocument/2006/relationships/hyperlink" Target="https://sec.cloudapps.cisco.com/security/center/content/CiscoSecurityAdvisory/cisco-sa-voice-rce-mORhqY4b?vs_f=Cisco%20Security%20Advisory%26vs_cat=Security%20Intelligence%26vs_type=RSS%26vs_p=Cisco%20Unified%20Communications%20Products%20Remote%20Code%20Execution%20Vulnerability%26vs_k=1" TargetMode="External" Id="rId4323"/><Relationship Type="http://schemas.openxmlformats.org/officeDocument/2006/relationships/hyperlink" Target="https://sec.cloudapps.cisco.com/security/center/content/CiscoSecurityAdvisory/cisco-sa-voice-rce-mORhqY4b?vs_f=Cisco%20Security%20Advisory%26vs_cat=Security%20Intelligence%26vs_type=RSS%26vs_p=Cisco%20Unified%20Communications%20Products%20Remote%20Code%20Execution%20Vulnerability%26vs_k=1" TargetMode="External" Id="rId4324"/><Relationship Type="http://schemas.openxmlformats.org/officeDocument/2006/relationships/hyperlink" Target="https://sec.cloudapps.cisco.com/security/center/content/CiscoSecurityAdvisory/cisco-sa-voice-rce-mORhqY4b?vs_f=Cisco%20Security%20Advisory%26vs_cat=Security%20Intelligence%26vs_type=RSS%26vs_p=Cisco%20Unified%20Communications%20Products%20Remote%20Code%20Execution%20Vulnerability%26vs_k=1" TargetMode="External" Id="rId4325"/><Relationship Type="http://schemas.openxmlformats.org/officeDocument/2006/relationships/hyperlink" Target="https://sec.cloudapps.cisco.com/security/center/content/CiscoSecurityAdvisory/cisco-sa-tce-roomos-dos-9V9jrC2q?vs_f=Cisco%20Security%20Advisory%26vs_cat=Security%20Intelligence%26vs_type=RSS%26vs_p=Cisco%20TelePresence%20Collaboration%20Endpoint%20Software%20and%20RoomOS%20Software%20Denial%20of%20Service%20Vulnerability%26vs_k=1" TargetMode="External" Id="rId4326"/><Relationship Type="http://schemas.openxmlformats.org/officeDocument/2006/relationships/hyperlink" Target="https://sec.cloudapps.cisco.com/security/center/content/CiscoSecurityAdvisory/cisco-sa-tce-roomos-dos-9V9jrC2q?vs_f=Cisco%20Security%20Advisory%26vs_cat=Security%20Intelligence%26vs_type=RSS%26vs_p=Cisco%20TelePresence%20Collaboration%20Endpoint%20Software%20and%20RoomOS%20Software%20Denial%20of%20Service%20Vulnerability%26vs_k=1" TargetMode="External" Id="rId4327"/><Relationship Type="http://schemas.openxmlformats.org/officeDocument/2006/relationships/hyperlink" Target="https://sec.cloudapps.cisco.com/security/center/content/CiscoSecurityAdvisory/cisco-sa-tce-roomos-dos-9V9jrC2q?vs_f=Cisco%20Security%20Advisory%26vs_cat=Security%20Intelligence%26vs_type=RSS%26vs_p=Cisco%20TelePresence%20Collaboration%20Endpoint%20Software%20and%20RoomOS%20Software%20Denial%20of%20Service%20Vulnerability%26vs_k=1" TargetMode="External" Id="rId4328"/><Relationship Type="http://schemas.openxmlformats.org/officeDocument/2006/relationships/hyperlink" Target="https://sec.cloudapps.cisco.com/security/center/content/CiscoSecurityAdvisory/cisco-sa-snort3-mime-vulns-tTL8PgVH?vs_f=Cisco%20Security%20Advisory%26vs_cat=Security%20Intelligence%26vs_type=RSS%26vs_p=Multiple%20Cisco%20Products%20Snort%203%20MIME%20Denial%20of%20Service%20Vulnerabilities%26vs_k=1" TargetMode="External" Id="rId4329"/><Relationship Type="http://schemas.openxmlformats.org/officeDocument/2006/relationships/hyperlink" Target="https://sec.cloudapps.cisco.com/security/center/content/CiscoSecurityAdvisory/cisco-sa-snort3-mime-vulns-tTL8PgVH?vs_f=Cisco%20Security%20Advisory%26vs_cat=Security%20Intelligence%26vs_type=RSS%26vs_p=Multiple%20Cisco%20Products%20Snort%203%20MIME%20Denial%20of%20Service%20Vulnerabilities%26vs_k=1" TargetMode="External" Id="rId4330"/><Relationship Type="http://schemas.openxmlformats.org/officeDocument/2006/relationships/hyperlink" Target="https://sec.cloudapps.cisco.com/security/center/content/CiscoSecurityAdvisory/cisco-sa-snort3-mime-vulns-tTL8PgVH?vs_f=Cisco%20Security%20Advisory%26vs_cat=Security%20Intelligence%26vs_type=RSS%26vs_p=Multiple%20Cisco%20Products%20Snort%203%20MIME%20Denial%20of%20Service%20Vulnerabilities%26vs_k=1" TargetMode="External" Id="rId4331"/><Relationship Type="http://schemas.openxmlformats.org/officeDocument/2006/relationships/hyperlink" Target="https://sec.cloudapps.cisco.com/security/center/content/CiscoSecurityAdvisory/cisco-sa-snort3-dcerpc-vulns-J9HNF4tH?vs_f=Cisco%20Security%20Advisory%26vs_cat=Security%20Intelligence%26vs_type=RSS%26vs_p=Multiple%20Cisco%20Products%20Snort%203%20Distributed%20Computing%20Environment/Remote%20Procedure%20Call%20Vulnerabilities%26vs_k=1" TargetMode="External" Id="rId4332"/><Relationship Type="http://schemas.openxmlformats.org/officeDocument/2006/relationships/hyperlink" Target="https://sec.cloudapps.cisco.com/security/center/content/CiscoSecurityAdvisory/cisco-sa-snort3-dcerpc-vulns-J9HNF4tH?vs_f=Cisco%20Security%20Advisory%26vs_cat=Security%20Intelligence%26vs_type=RSS%26vs_p=Multiple%20Cisco%20Products%20Snort%203%20Distributed%20Computing%20Environment/Remote%20Procedure%20Call%20Vulnerabilities%26vs_k=1" TargetMode="External" Id="rId4333"/><Relationship Type="http://schemas.openxmlformats.org/officeDocument/2006/relationships/hyperlink" Target="https://sec.cloudapps.cisco.com/security/center/content/CiscoSecurityAdvisory/cisco-sa-snort3-dcerpc-vulns-J9HNF4tH?vs_f=Cisco%20Security%20Advisory%26vs_cat=Security%20Intelligence%26vs_type=RSS%26vs_p=Multiple%20Cisco%20Products%20Snort%203%20Distributed%20Computing%20Environment/Remote%20Procedure%20Call%20Vulnerabilities%26vs_k=1" TargetMode="External" Id="rId4334"/><Relationship Type="http://schemas.openxmlformats.org/officeDocument/2006/relationships/hyperlink" Target="http://www.zerodayinitiative.com/advisories/ZDI-26-123/" TargetMode="External" Id="rId4335"/><Relationship Type="http://schemas.openxmlformats.org/officeDocument/2006/relationships/hyperlink" Target="http://www.zerodayinitiative.com/advisories/ZDI-26-123/" TargetMode="External" Id="rId4336"/><Relationship Type="http://schemas.openxmlformats.org/officeDocument/2006/relationships/hyperlink" Target="http://www.zerodayinitiative.com/advisories/ZDI-26-123/" TargetMode="External" Id="rId4337"/><Relationship Type="http://schemas.openxmlformats.org/officeDocument/2006/relationships/hyperlink" Target="http://www.zerodayinitiative.com/advisories/ZDI-26-123/" TargetMode="External" Id="rId4338"/><Relationship Type="http://schemas.openxmlformats.org/officeDocument/2006/relationships/hyperlink" Target="http://www.zerodayinitiative.com/advisories/ZDI-26-122/" TargetMode="External" Id="rId4339"/><Relationship Type="http://schemas.openxmlformats.org/officeDocument/2006/relationships/hyperlink" Target="http://www.zerodayinitiative.com/advisories/ZDI-26-122/" TargetMode="External" Id="rId4340"/><Relationship Type="http://schemas.openxmlformats.org/officeDocument/2006/relationships/hyperlink" Target="https://security.snyk.io/vuln/CVE-2026-2040" TargetMode="External" Id="rId4341"/><Relationship Type="http://schemas.openxmlformats.org/officeDocument/2006/relationships/hyperlink" Target="http://www.zerodayinitiative.com/advisories/ZDI-26-122/" TargetMode="External" Id="rId4342"/><Relationship Type="http://schemas.openxmlformats.org/officeDocument/2006/relationships/hyperlink" Target="http://www.zerodayinitiative.com/advisories/ZDI-26-121/" TargetMode="External" Id="rId4343"/><Relationship Type="http://schemas.openxmlformats.org/officeDocument/2006/relationships/hyperlink" Target="http://www.zerodayinitiative.com/advisories/ZDI-26-121/" TargetMode="External" Id="rId4344"/><Relationship Type="http://schemas.openxmlformats.org/officeDocument/2006/relationships/hyperlink" Target="https://security.snyk.io/vuln/CVE-2026-2048" TargetMode="External" Id="rId4345"/><Relationship Type="http://schemas.openxmlformats.org/officeDocument/2006/relationships/hyperlink" Target="http://www.zerodayinitiative.com/advisories/ZDI-26-121/" TargetMode="External" Id="rId4346"/><Relationship Type="http://schemas.openxmlformats.org/officeDocument/2006/relationships/hyperlink" Target="http://www.zerodayinitiative.com/advisories/ZDI-26-120/" TargetMode="External" Id="rId4347"/><Relationship Type="http://schemas.openxmlformats.org/officeDocument/2006/relationships/hyperlink" Target="http://www.zerodayinitiative.com/advisories/ZDI-26-120/" TargetMode="External" Id="rId4348"/><Relationship Type="http://schemas.openxmlformats.org/officeDocument/2006/relationships/hyperlink" Target="https://security.snyk.io/vuln/CVE-2026-2047" TargetMode="External" Id="rId4349"/><Relationship Type="http://schemas.openxmlformats.org/officeDocument/2006/relationships/hyperlink" Target="http://www.zerodayinitiative.com/advisories/ZDI-26-120/" TargetMode="External" Id="rId4350"/><Relationship Type="http://schemas.openxmlformats.org/officeDocument/2006/relationships/hyperlink" Target="http://www.zerodayinitiative.com/advisories/ZDI-26-119/" TargetMode="External" Id="rId4351"/><Relationship Type="http://schemas.openxmlformats.org/officeDocument/2006/relationships/hyperlink" Target="http://www.zerodayinitiative.com/advisories/ZDI-26-119/" TargetMode="External" Id="rId4352"/><Relationship Type="http://schemas.openxmlformats.org/officeDocument/2006/relationships/hyperlink" Target="https://security.snyk.io/vuln/CVE-2026-2045" TargetMode="External" Id="rId4353"/><Relationship Type="http://schemas.openxmlformats.org/officeDocument/2006/relationships/hyperlink" Target="http://www.zerodayinitiative.com/advisories/ZDI-26-119/" TargetMode="External" Id="rId4354"/><Relationship Type="http://schemas.openxmlformats.org/officeDocument/2006/relationships/hyperlink" Target="http://www.zerodayinitiative.com/advisories/ZDI-26-118/" TargetMode="External" Id="rId4355"/><Relationship Type="http://schemas.openxmlformats.org/officeDocument/2006/relationships/hyperlink" Target="http://www.zerodayinitiative.com/advisories/ZDI-26-118/" TargetMode="External" Id="rId4356"/><Relationship Type="http://schemas.openxmlformats.org/officeDocument/2006/relationships/hyperlink" Target="https://security.snyk.io/vuln/CVE-2026-2044" TargetMode="External" Id="rId4357"/><Relationship Type="http://schemas.openxmlformats.org/officeDocument/2006/relationships/hyperlink" Target="http://www.zerodayinitiative.com/advisories/ZDI-26-118/" TargetMode="External" Id="rId4358"/><Relationship Type="http://schemas.openxmlformats.org/officeDocument/2006/relationships/hyperlink" Target="http://www.zerodayinitiative.com/advisories/ZDI-26-117/" TargetMode="External" Id="rId4359"/><Relationship Type="http://schemas.openxmlformats.org/officeDocument/2006/relationships/hyperlink" Target="http://www.zerodayinitiative.com/advisories/ZDI-26-117/" TargetMode="External" Id="rId4360"/><Relationship Type="http://schemas.openxmlformats.org/officeDocument/2006/relationships/hyperlink" Target="https://security.snyk.io/vuln/CVE-2026-2490" TargetMode="External" Id="rId4361"/><Relationship Type="http://schemas.openxmlformats.org/officeDocument/2006/relationships/hyperlink" Target="http://www.zerodayinitiative.com/advisories/ZDI-26-117/" TargetMode="External" Id="rId4362"/><Relationship Type="http://schemas.openxmlformats.org/officeDocument/2006/relationships/hyperlink" Target="http://www.zerodayinitiative.com/advisories/ZDI-26-116/" TargetMode="External" Id="rId4363"/><Relationship Type="http://schemas.openxmlformats.org/officeDocument/2006/relationships/hyperlink" Target="http://www.zerodayinitiative.com/advisories/ZDI-26-116/" TargetMode="External" Id="rId4364"/><Relationship Type="http://schemas.openxmlformats.org/officeDocument/2006/relationships/hyperlink" Target="https://security.snyk.io/vuln/CVE-2026-2492" TargetMode="External" Id="rId4365"/><Relationship Type="http://schemas.openxmlformats.org/officeDocument/2006/relationships/hyperlink" Target="http://www.zerodayinitiative.com/advisories/ZDI-26-116/" TargetMode="External" Id="rId4366"/><Relationship Type="http://schemas.openxmlformats.org/officeDocument/2006/relationships/hyperlink" Target="http://www.zerodayinitiative.com/advisories/ZDI-26-115/" TargetMode="External" Id="rId4367"/><Relationship Type="http://schemas.openxmlformats.org/officeDocument/2006/relationships/hyperlink" Target="http://www.zerodayinitiative.com/advisories/ZDI-26-115/" TargetMode="External" Id="rId4368"/><Relationship Type="http://schemas.openxmlformats.org/officeDocument/2006/relationships/hyperlink" Target="https://security.snyk.io/vuln/CVE-2025-62676" TargetMode="External" Id="rId4369"/><Relationship Type="http://schemas.openxmlformats.org/officeDocument/2006/relationships/hyperlink" Target="http://www.zerodayinitiative.com/advisories/ZDI-26-115/" TargetMode="External" Id="rId4370"/><Relationship Type="http://schemas.openxmlformats.org/officeDocument/2006/relationships/hyperlink" Target="http://www.zerodayinitiative.com/advisories/ZDI-26-114/" TargetMode="External" Id="rId4371"/><Relationship Type="http://schemas.openxmlformats.org/officeDocument/2006/relationships/hyperlink" Target="http://www.zerodayinitiative.com/advisories/ZDI-26-114/" TargetMode="External" Id="rId4372"/><Relationship Type="http://schemas.openxmlformats.org/officeDocument/2006/relationships/hyperlink" Target="https://security.snyk.io/vuln/CVE-2026-1335" TargetMode="External" Id="rId4373"/><Relationship Type="http://schemas.openxmlformats.org/officeDocument/2006/relationships/hyperlink" Target="http://www.zerodayinitiative.com/advisories/ZDI-26-114/" TargetMode="External" Id="rId4374"/><Relationship Type="http://schemas.openxmlformats.org/officeDocument/2006/relationships/hyperlink" Target="http://www.zerodayinitiative.com/advisories/ZDI-26-113/" TargetMode="External" Id="rId4375"/><Relationship Type="http://schemas.openxmlformats.org/officeDocument/2006/relationships/hyperlink" Target="http://www.zerodayinitiative.com/advisories/ZDI-26-113/" TargetMode="External" Id="rId4376"/><Relationship Type="http://schemas.openxmlformats.org/officeDocument/2006/relationships/hyperlink" Target="https://security.snyk.io/vuln/CVE-2026-1334" TargetMode="External" Id="rId4377"/><Relationship Type="http://schemas.openxmlformats.org/officeDocument/2006/relationships/hyperlink" Target="http://www.zerodayinitiative.com/advisories/ZDI-26-113/" TargetMode="External" Id="rId4378"/><Relationship Type="http://schemas.openxmlformats.org/officeDocument/2006/relationships/hyperlink" Target="http://www.zerodayinitiative.com/advisories/ZDI-26-112/" TargetMode="External" Id="rId4379"/><Relationship Type="http://schemas.openxmlformats.org/officeDocument/2006/relationships/hyperlink" Target="http://www.zerodayinitiative.com/advisories/ZDI-26-112/" TargetMode="External" Id="rId4380"/><Relationship Type="http://schemas.openxmlformats.org/officeDocument/2006/relationships/hyperlink" Target="https://security.snyk.io/vuln/CVE-2026-1333" TargetMode="External" Id="rId4381"/><Relationship Type="http://schemas.openxmlformats.org/officeDocument/2006/relationships/hyperlink" Target="http://www.zerodayinitiative.com/advisories/ZDI-26-112/" TargetMode="External" Id="rId4382"/><Relationship Type="http://schemas.openxmlformats.org/officeDocument/2006/relationships/hyperlink" Target="http://www.zerodayinitiative.com/advisories/ZDI-26-111/" TargetMode="External" Id="rId4383"/><Relationship Type="http://schemas.openxmlformats.org/officeDocument/2006/relationships/hyperlink" Target="http://www.zerodayinitiative.com/advisories/ZDI-26-111/" TargetMode="External" Id="rId4384"/><Relationship Type="http://schemas.openxmlformats.org/officeDocument/2006/relationships/hyperlink" Target="https://security.snyk.io/vuln/CVE-2026-2635" TargetMode="External" Id="rId4385"/><Relationship Type="http://schemas.openxmlformats.org/officeDocument/2006/relationships/hyperlink" Target="http://www.zerodayinitiative.com/advisories/ZDI-26-111/" TargetMode="External" Id="rId4386"/><Relationship Type="http://schemas.openxmlformats.org/officeDocument/2006/relationships/hyperlink" Target="http://www.zerodayinitiative.com/advisories/ZDI-26-110/" TargetMode="External" Id="rId4387"/><Relationship Type="http://schemas.openxmlformats.org/officeDocument/2006/relationships/hyperlink" Target="http://www.zerodayinitiative.com/advisories/ZDI-26-110/" TargetMode="External" Id="rId4388"/><Relationship Type="http://schemas.openxmlformats.org/officeDocument/2006/relationships/hyperlink" Target="https://security.snyk.io/vuln/CVE-2025-60038" TargetMode="External" Id="rId4389"/><Relationship Type="http://schemas.openxmlformats.org/officeDocument/2006/relationships/hyperlink" Target="http://www.zerodayinitiative.com/advisories/ZDI-26-110/" TargetMode="External" Id="rId4390"/><Relationship Type="http://schemas.openxmlformats.org/officeDocument/2006/relationships/hyperlink" Target="http://www.zerodayinitiative.com/advisories/ZDI-26-109/" TargetMode="External" Id="rId4391"/><Relationship Type="http://schemas.openxmlformats.org/officeDocument/2006/relationships/hyperlink" Target="http://www.zerodayinitiative.com/advisories/ZDI-26-109/" TargetMode="External" Id="rId4392"/><Relationship Type="http://schemas.openxmlformats.org/officeDocument/2006/relationships/hyperlink" Target="https://security.snyk.io/vuln/CVE-2025-60035" TargetMode="External" Id="rId4393"/><Relationship Type="http://schemas.openxmlformats.org/officeDocument/2006/relationships/hyperlink" Target="http://www.zerodayinitiative.com/advisories/ZDI-26-109/" TargetMode="External" Id="rId4394"/><Relationship Type="http://schemas.openxmlformats.org/officeDocument/2006/relationships/hyperlink" Target="http://www.zerodayinitiative.com/advisories/ZDI-26-108/" TargetMode="External" Id="rId4395"/><Relationship Type="http://schemas.openxmlformats.org/officeDocument/2006/relationships/hyperlink" Target="http://www.zerodayinitiative.com/advisories/ZDI-26-108/" TargetMode="External" Id="rId4396"/><Relationship Type="http://schemas.openxmlformats.org/officeDocument/2006/relationships/hyperlink" Target="https://security.snyk.io/vuln/CVE-2025-60036" TargetMode="External" Id="rId4397"/><Relationship Type="http://schemas.openxmlformats.org/officeDocument/2006/relationships/hyperlink" Target="http://www.zerodayinitiative.com/advisories/ZDI-26-108/" TargetMode="External" Id="rId4398"/><Relationship Type="http://schemas.openxmlformats.org/officeDocument/2006/relationships/hyperlink" Target="http://www.zerodayinitiative.com/advisories/ZDI-26-107/" TargetMode="External" Id="rId4399"/><Relationship Type="http://schemas.openxmlformats.org/officeDocument/2006/relationships/hyperlink" Target="http://www.zerodayinitiative.com/advisories/ZDI-26-107/" TargetMode="External" Id="rId4400"/><Relationship Type="http://schemas.openxmlformats.org/officeDocument/2006/relationships/hyperlink" Target="https://security.snyk.io/vuln/CVE-2026-0875" TargetMode="External" Id="rId4401"/><Relationship Type="http://schemas.openxmlformats.org/officeDocument/2006/relationships/hyperlink" Target="http://www.zerodayinitiative.com/advisories/ZDI-26-107/" TargetMode="External" Id="rId4402"/><Relationship Type="http://schemas.openxmlformats.org/officeDocument/2006/relationships/hyperlink" Target="http://www.zerodayinitiative.com/advisories/ZDI-26-106/" TargetMode="External" Id="rId4403"/><Relationship Type="http://schemas.openxmlformats.org/officeDocument/2006/relationships/hyperlink" Target="http://www.zerodayinitiative.com/advisories/ZDI-26-106/" TargetMode="External" Id="rId4404"/><Relationship Type="http://schemas.openxmlformats.org/officeDocument/2006/relationships/hyperlink" Target="https://security.snyk.io/vuln/CVE-2026-0874" TargetMode="External" Id="rId4405"/><Relationship Type="http://schemas.openxmlformats.org/officeDocument/2006/relationships/hyperlink" Target="http://www.zerodayinitiative.com/advisories/ZDI-26-106/" TargetMode="External" Id="rId4406"/><Relationship Type="http://schemas.openxmlformats.org/officeDocument/2006/relationships/hyperlink" Target="http://www.zerodayinitiative.com/advisories/ZDI-26-105/" TargetMode="External" Id="rId4407"/><Relationship Type="http://schemas.openxmlformats.org/officeDocument/2006/relationships/hyperlink" Target="http://www.zerodayinitiative.com/advisories/ZDI-26-105/" TargetMode="External" Id="rId4408"/><Relationship Type="http://schemas.openxmlformats.org/officeDocument/2006/relationships/hyperlink" Target="https://security.snyk.io/vuln/CVE-2026-2033" TargetMode="External" Id="rId4409"/><Relationship Type="http://schemas.openxmlformats.org/officeDocument/2006/relationships/hyperlink" Target="http://www.zerodayinitiative.com/advisories/ZDI-26-105/" TargetMode="External" Id="rId4410"/><Relationship Type="http://schemas.openxmlformats.org/officeDocument/2006/relationships/hyperlink" Target="http://www.zerodayinitiative.com/advisories/ZDI-26-104/" TargetMode="External" Id="rId4411"/><Relationship Type="http://schemas.openxmlformats.org/officeDocument/2006/relationships/hyperlink" Target="http://www.zerodayinitiative.com/advisories/ZDI-26-104/" TargetMode="External" Id="rId4412"/><Relationship Type="http://schemas.openxmlformats.org/officeDocument/2006/relationships/hyperlink" Target="https://security.snyk.io/vuln/CVE-2026-2034" TargetMode="External" Id="rId4413"/><Relationship Type="http://schemas.openxmlformats.org/officeDocument/2006/relationships/hyperlink" Target="http://www.zerodayinitiative.com/advisories/ZDI-26-104/" TargetMode="External" Id="rId4414"/><Relationship Type="http://schemas.openxmlformats.org/officeDocument/2006/relationships/hyperlink" Target="http://www.zerodayinitiative.com/advisories/ZDI-26-103/" TargetMode="External" Id="rId4415"/><Relationship Type="http://schemas.openxmlformats.org/officeDocument/2006/relationships/hyperlink" Target="http://www.zerodayinitiative.com/advisories/ZDI-26-103/" TargetMode="External" Id="rId4416"/><Relationship Type="http://schemas.openxmlformats.org/officeDocument/2006/relationships/hyperlink" Target="https://security.snyk.io/vuln/CVE-2026-21956" TargetMode="External" Id="rId4417"/><Relationship Type="http://schemas.openxmlformats.org/officeDocument/2006/relationships/hyperlink" Target="http://www.zerodayinitiative.com/advisories/ZDI-26-103/" TargetMode="External" Id="rId4418"/><Relationship Type="http://schemas.openxmlformats.org/officeDocument/2006/relationships/hyperlink" Target="http://www.zerodayinitiative.com/advisories/ZDI-26-102/" TargetMode="External" Id="rId4419"/><Relationship Type="http://schemas.openxmlformats.org/officeDocument/2006/relationships/hyperlink" Target="http://www.zerodayinitiative.com/advisories/ZDI-26-102/" TargetMode="External" Id="rId4420"/><Relationship Type="http://schemas.openxmlformats.org/officeDocument/2006/relationships/hyperlink" Target="https://security.snyk.io/vuln/CVE-2026-21957" TargetMode="External" Id="rId4421"/><Relationship Type="http://schemas.openxmlformats.org/officeDocument/2006/relationships/hyperlink" Target="http://www.zerodayinitiative.com/advisories/ZDI-26-102/" TargetMode="External" Id="rId4422"/><Relationship Type="http://schemas.openxmlformats.org/officeDocument/2006/relationships/hyperlink" Target="http://www.zerodayinitiative.com/advisories/ZDI-26-101/" TargetMode="External" Id="rId4423"/><Relationship Type="http://schemas.openxmlformats.org/officeDocument/2006/relationships/hyperlink" Target="http://www.zerodayinitiative.com/advisories/ZDI-26-101/" TargetMode="External" Id="rId4424"/><Relationship Type="http://schemas.openxmlformats.org/officeDocument/2006/relationships/hyperlink" Target="https://security.snyk.io/vuln/CVE-2026-21963" TargetMode="External" Id="rId4425"/><Relationship Type="http://schemas.openxmlformats.org/officeDocument/2006/relationships/hyperlink" Target="http://www.zerodayinitiative.com/advisories/ZDI-26-101/" TargetMode="External" Id="rId4426"/><Relationship Type="http://schemas.openxmlformats.org/officeDocument/2006/relationships/hyperlink" Target="http://www.zerodayinitiative.com/advisories/ZDI-26-100/" TargetMode="External" Id="rId4427"/><Relationship Type="http://schemas.openxmlformats.org/officeDocument/2006/relationships/hyperlink" Target="http://www.zerodayinitiative.com/advisories/ZDI-26-100/" TargetMode="External" Id="rId4428"/><Relationship Type="http://schemas.openxmlformats.org/officeDocument/2006/relationships/hyperlink" Target="https://security.snyk.io/vuln/CVE-2026-21985" TargetMode="External" Id="rId4429"/><Relationship Type="http://schemas.openxmlformats.org/officeDocument/2006/relationships/hyperlink" Target="http://www.zerodayinitiative.com/advisories/ZDI-26-100/" TargetMode="External" Id="rId4430"/><Relationship Type="http://schemas.openxmlformats.org/officeDocument/2006/relationships/hyperlink" Target="http://www.zerodayinitiative.com/advisories/ZDI-26-099/" TargetMode="External" Id="rId4431"/><Relationship Type="http://schemas.openxmlformats.org/officeDocument/2006/relationships/hyperlink" Target="http://www.zerodayinitiative.com/advisories/ZDI-26-099/" TargetMode="External" Id="rId4432"/><Relationship Type="http://schemas.openxmlformats.org/officeDocument/2006/relationships/hyperlink" Target="https://security.snyk.io/vuln/CVE-2026-21984" TargetMode="External" Id="rId4433"/><Relationship Type="http://schemas.openxmlformats.org/officeDocument/2006/relationships/hyperlink" Target="http://www.zerodayinitiative.com/advisories/ZDI-26-099/" TargetMode="External" Id="rId4434"/><Relationship Type="http://schemas.openxmlformats.org/officeDocument/2006/relationships/hyperlink" Target="http://www.zerodayinitiative.com/advisories/ZDI-26-098/" TargetMode="External" Id="rId4435"/><Relationship Type="http://schemas.openxmlformats.org/officeDocument/2006/relationships/hyperlink" Target="http://www.zerodayinitiative.com/advisories/ZDI-26-098/" TargetMode="External" Id="rId4436"/><Relationship Type="http://schemas.openxmlformats.org/officeDocument/2006/relationships/hyperlink" Target="https://security.snyk.io/vuln/CVE-2026-21955" TargetMode="External" Id="rId4437"/><Relationship Type="http://schemas.openxmlformats.org/officeDocument/2006/relationships/hyperlink" Target="http://www.zerodayinitiative.com/advisories/ZDI-26-098/" TargetMode="External" Id="rId4438"/><Relationship Type="http://schemas.openxmlformats.org/officeDocument/2006/relationships/hyperlink" Target="http://www.zerodayinitiative.com/advisories/ZDI-26-097/" TargetMode="External" Id="rId4439"/><Relationship Type="http://schemas.openxmlformats.org/officeDocument/2006/relationships/hyperlink" Target="http://www.zerodayinitiative.com/advisories/ZDI-26-097/" TargetMode="External" Id="rId4440"/><Relationship Type="http://schemas.openxmlformats.org/officeDocument/2006/relationships/hyperlink" Target="https://security.snyk.io/vuln/CVE-2026-21983" TargetMode="External" Id="rId4441"/><Relationship Type="http://schemas.openxmlformats.org/officeDocument/2006/relationships/hyperlink" Target="http://www.zerodayinitiative.com/advisories/ZDI-26-097/" TargetMode="External" Id="rId4442"/><Relationship Type="http://schemas.openxmlformats.org/officeDocument/2006/relationships/hyperlink" Target="http://www.zerodayinitiative.com/advisories/ZDI-26-096/" TargetMode="External" Id="rId4443"/><Relationship Type="http://schemas.openxmlformats.org/officeDocument/2006/relationships/hyperlink" Target="http://www.zerodayinitiative.com/advisories/ZDI-26-096/" TargetMode="External" Id="rId4444"/><Relationship Type="http://schemas.openxmlformats.org/officeDocument/2006/relationships/hyperlink" Target="https://security.snyk.io/vuln/CVE-2026-1283" TargetMode="External" Id="rId4445"/><Relationship Type="http://schemas.openxmlformats.org/officeDocument/2006/relationships/hyperlink" Target="http://www.zerodayinitiative.com/advisories/ZDI-26-096/" TargetMode="External" Id="rId4446"/><Relationship Type="http://schemas.openxmlformats.org/officeDocument/2006/relationships/hyperlink" Target="http://www.zerodayinitiative.com/advisories/ZDI-26-095/" TargetMode="External" Id="rId4447"/><Relationship Type="http://schemas.openxmlformats.org/officeDocument/2006/relationships/hyperlink" Target="http://www.zerodayinitiative.com/advisories/ZDI-26-095/" TargetMode="External" Id="rId4448"/><Relationship Type="http://schemas.openxmlformats.org/officeDocument/2006/relationships/hyperlink" Target="https://security.snyk.io/vuln/CVE-2026-1284" TargetMode="External" Id="rId4449"/><Relationship Type="http://schemas.openxmlformats.org/officeDocument/2006/relationships/hyperlink" Target="http://www.zerodayinitiative.com/advisories/ZDI-26-095/" TargetMode="External" Id="rId4450"/><Relationship Type="http://schemas.openxmlformats.org/officeDocument/2006/relationships/hyperlink" Target="http://www.zerodayinitiative.com/advisories/ZDI-26-094/" TargetMode="External" Id="rId4451"/><Relationship Type="http://schemas.openxmlformats.org/officeDocument/2006/relationships/hyperlink" Target="http://www.zerodayinitiative.com/advisories/ZDI-26-094/" TargetMode="External" Id="rId4452"/><Relationship Type="http://schemas.openxmlformats.org/officeDocument/2006/relationships/hyperlink" Target="https://security.snyk.io/vuln/CVE-2025-13845" TargetMode="External" Id="rId4453"/><Relationship Type="http://schemas.openxmlformats.org/officeDocument/2006/relationships/hyperlink" Target="http://www.zerodayinitiative.com/advisories/ZDI-26-094/" TargetMode="External" Id="rId4454"/><Relationship Type="http://schemas.openxmlformats.org/officeDocument/2006/relationships/hyperlink" Target="https://isc.sans.edu/diary/rss/32738" TargetMode="External" Id="rId4455"/><Relationship Type="http://schemas.openxmlformats.org/officeDocument/2006/relationships/hyperlink" Target="https://isc.sans.edu/diary/rss/32738" TargetMode="External" Id="rId4456"/><Relationship Type="http://schemas.openxmlformats.org/officeDocument/2006/relationships/hyperlink" Target="https://isc.sans.edu/diary/rss/32738" TargetMode="External" Id="rId4457"/><Relationship Type="http://schemas.openxmlformats.org/officeDocument/2006/relationships/hyperlink" Target="https://isc.sans.edu/diary/rss/32734" TargetMode="External" Id="rId4458"/><Relationship Type="http://schemas.openxmlformats.org/officeDocument/2006/relationships/hyperlink" Target="https://isc.sans.edu/diary/rss/32734" TargetMode="External" Id="rId4459"/><Relationship Type="http://schemas.openxmlformats.org/officeDocument/2006/relationships/hyperlink" Target="https://isc.sans.edu/diary/rss/32734" TargetMode="External" Id="rId4460"/><Relationship Type="http://schemas.openxmlformats.org/officeDocument/2006/relationships/hyperlink" Target="https://isc.sans.edu/diary/rss/32726" TargetMode="External" Id="rId4461"/><Relationship Type="http://schemas.openxmlformats.org/officeDocument/2006/relationships/hyperlink" Target="https://isc.sans.edu/diary/rss/32726" TargetMode="External" Id="rId4462"/><Relationship Type="http://schemas.openxmlformats.org/officeDocument/2006/relationships/hyperlink" Target="https://isc.sans.edu/diary/rss/32726" TargetMode="External" Id="rId4463"/><Relationship Type="http://schemas.openxmlformats.org/officeDocument/2006/relationships/hyperlink" Target="https://isc.sans.edu/diary/rss/32722" TargetMode="External" Id="rId4464"/><Relationship Type="http://schemas.openxmlformats.org/officeDocument/2006/relationships/hyperlink" Target="https://isc.sans.edu/diary/rss/32722" TargetMode="External" Id="rId4465"/><Relationship Type="http://schemas.openxmlformats.org/officeDocument/2006/relationships/hyperlink" Target="https://isc.sans.edu/diary/rss/32722" TargetMode="External" Id="rId4466"/><Relationship Type="http://schemas.openxmlformats.org/officeDocument/2006/relationships/hyperlink" Target="https://www.bleepingcomputer.com/news/security/ad-tech-firm-optimizely-confirms-data-breach-after-vishing-attack/" TargetMode="External" Id="rId4467"/><Relationship Type="http://schemas.openxmlformats.org/officeDocument/2006/relationships/hyperlink" Target="https://www.bleepingcomputer.com/news/security/ad-tech-firm-optimizely-confirms-data-breach-after-vishing-attack/" TargetMode="External" Id="rId4468"/><Relationship Type="http://schemas.openxmlformats.org/officeDocument/2006/relationships/hyperlink" Target="https://www.bleepingcomputer.com/news/security/cisa-recently-patched-roundcube-flaws-now-exploited-in-attacks/" TargetMode="External" Id="rId4469"/><Relationship Type="http://schemas.openxmlformats.org/officeDocument/2006/relationships/hyperlink" Target="https://www.bleepingcomputer.com/news/security/cisa-recently-patched-roundcube-flaws-now-exploited-in-attacks/" TargetMode="External" Id="rId4470"/><Relationship Type="http://schemas.openxmlformats.org/officeDocument/2006/relationships/hyperlink" Target="https://www.bleepingcomputer.com/news/security/arkanix-stealer-pops-up-as-short-lived-ai-info-stealer-experiment/" TargetMode="External" Id="rId4471"/><Relationship Type="http://schemas.openxmlformats.org/officeDocument/2006/relationships/hyperlink" Target="https://www.bleepingcomputer.com/news/security/arkanix-stealer-pops-up-as-short-lived-ai-info-stealer-experiment/" TargetMode="External" Id="rId4472"/><Relationship Type="http://schemas.openxmlformats.org/officeDocument/2006/relationships/hyperlink" Target="https://securityaffairs.com/188388/malware/wormable-xmrig-campaign-leverages-byovd-and-timed-kill-switch-for-stealth.html" TargetMode="External" Id="rId4473"/><Relationship Type="http://schemas.openxmlformats.org/officeDocument/2006/relationships/hyperlink" Target="https://securityaffairs.com/188388/malware/wormable-xmrig-campaign-leverages-byovd-and-timed-kill-switch-for-stealth.html" TargetMode="External" Id="rId4474"/><Relationship Type="http://schemas.openxmlformats.org/officeDocument/2006/relationships/hyperlink" Target="https://securityaffairs.com/188351/hacking/ai-powered-campaign-compromises-600-fortigate-systems-worldwide.html" TargetMode="External" Id="rId4475"/><Relationship Type="http://schemas.openxmlformats.org/officeDocument/2006/relationships/hyperlink" Target="https://securityaffairs.com/188351/hacking/ai-powered-campaign-compromises-600-fortigate-systems-worldwide.html" TargetMode="External" Id="rId4476"/><Relationship Type="http://schemas.openxmlformats.org/officeDocument/2006/relationships/hyperlink" Target="https://securityaffairs.com/188337/malware/security-affairs-malware-newsletter-round-85.html" TargetMode="External" Id="rId4477"/><Relationship Type="http://schemas.openxmlformats.org/officeDocument/2006/relationships/hyperlink" Target="https://securityaffairs.com/188337/malware/security-affairs-malware-newsletter-round-85.html" TargetMode="External" Id="rId4478"/><Relationship Type="http://schemas.openxmlformats.org/officeDocument/2006/relationships/hyperlink" Target="https://securityaffairs.com/188332/breaking-news/security-affairs-newsletter-round-564-by-pierluigi-paganini-international-edition.html" TargetMode="External" Id="rId4479"/><Relationship Type="http://schemas.openxmlformats.org/officeDocument/2006/relationships/hyperlink" Target="https://securityaffairs.com/188332/breaking-news/security-affairs-newsletter-round-564-by-pierluigi-paganini-international-edition.html" TargetMode="External" Id="rId4480"/><Relationship Type="http://schemas.openxmlformats.org/officeDocument/2006/relationships/hyperlink" Target="https://securityaffairs.com/188324/security/u-s-cisa-adds-roundcube-webmail-flaws-to-its-known-exploited-vulnerabilities-catalog.html" TargetMode="External" Id="rId4481"/><Relationship Type="http://schemas.openxmlformats.org/officeDocument/2006/relationships/hyperlink" Target="https://securityaffairs.com/188324/security/u-s-cisa-adds-roundcube-webmail-flaws-to-its-known-exploited-vulnerabilities-catalog.html" TargetMode="External" Id="rId4482"/><Relationship Type="http://schemas.openxmlformats.org/officeDocument/2006/relationships/hyperlink" Target="https://thehackernews.com/2026/02/apt28-targeted-european-entities-using.html" TargetMode="External" Id="rId4483"/><Relationship Type="http://schemas.openxmlformats.org/officeDocument/2006/relationships/hyperlink" Target="https://thehackernews.com/2026/02/apt28-targeted-european-entities-using.html" TargetMode="External" Id="rId4484"/><Relationship Type="http://schemas.openxmlformats.org/officeDocument/2006/relationships/hyperlink" Target="https://thehackernews.com/2026/02/wormable-xmrig-campaign-uses-byovd.html" TargetMode="External" Id="rId4485"/><Relationship Type="http://schemas.openxmlformats.org/officeDocument/2006/relationships/hyperlink" Target="https://thehackernews.com/2026/02/wormable-xmrig-campaign-uses-byovd.html" TargetMode="External" Id="rId4486"/><Relationship Type="http://schemas.openxmlformats.org/officeDocument/2006/relationships/hyperlink" Target="https://thehackernews.com/2026/02/weekly-recap-double-tap-skimmers.html" TargetMode="External" Id="rId4487"/><Relationship Type="http://schemas.openxmlformats.org/officeDocument/2006/relationships/hyperlink" Target="https://thehackernews.com/2026/02/weekly-recap-double-tap-skimmers.html" TargetMode="External" Id="rId4488"/><Relationship Type="http://schemas.openxmlformats.org/officeDocument/2006/relationships/hyperlink" Target="https://thehackernews.com/2026/02/malicious-npm-packages-harvest-crypto.html" TargetMode="External" Id="rId4489"/><Relationship Type="http://schemas.openxmlformats.org/officeDocument/2006/relationships/hyperlink" Target="https://thehackernews.com/2026/02/malicious-npm-packages-harvest-crypto.html" TargetMode="External" Id="rId4490"/><Relationship Type="http://schemas.openxmlformats.org/officeDocument/2006/relationships/hyperlink" Target="https://thehackernews.com/2026/02/muddywater-targets-mena-organizations.html" TargetMode="External" Id="rId4491"/><Relationship Type="http://schemas.openxmlformats.org/officeDocument/2006/relationships/hyperlink" Target="https://thehackernews.com/2026/02/muddywater-targets-mena-organizations.html" TargetMode="External" Id="rId4492"/><Relationship Type="http://schemas.openxmlformats.org/officeDocument/2006/relationships/hyperlink" Target="https://thehackernews.com/2026/02/ai-assisted-threat-actor-compromises.html" TargetMode="External" Id="rId4493"/><Relationship Type="http://schemas.openxmlformats.org/officeDocument/2006/relationships/hyperlink" Target="https://thehackernews.com/2026/02/ai-assisted-threat-actor-compromises.html" TargetMode="External" Id="rId4494"/><Relationship Type="http://schemas.openxmlformats.org/officeDocument/2006/relationships/hyperlink" Target="https://www.darkreading.com/threat-intelligence/iran-muddywater-new-malware-tensions-mount" TargetMode="External" Id="rId4495"/><Relationship Type="http://schemas.openxmlformats.org/officeDocument/2006/relationships/hyperlink" Target="https://www.darkreading.com/threat-intelligence/iran-muddywater-new-malware-tensions-mount" TargetMode="External" Id="rId4496"/><Relationship Type="http://schemas.openxmlformats.org/officeDocument/2006/relationships/hyperlink" Target="https://www.securityweek.com/us-healthcare-diagnostic-firm-says-140000-affected-by-data-breach/" TargetMode="External" Id="rId4497"/><Relationship Type="http://schemas.openxmlformats.org/officeDocument/2006/relationships/hyperlink" Target="https://www.securityweek.com/us-healthcare-diagnostic-firm-says-140000-affected-by-data-breach/" TargetMode="External" Id="rId4498"/><Relationship Type="http://schemas.openxmlformats.org/officeDocument/2006/relationships/hyperlink" Target="https://www.securityweek.com/autonomous-ai-agents-provide-new-class-of-supply-chain-attack/" TargetMode="External" Id="rId4499"/><Relationship Type="http://schemas.openxmlformats.org/officeDocument/2006/relationships/hyperlink" Target="https://www.securityweek.com/autonomous-ai-agents-provide-new-class-of-supply-chain-attack/" TargetMode="External" Id="rId4500"/><Relationship Type="http://schemas.openxmlformats.org/officeDocument/2006/relationships/hyperlink" Target="https://www.securityweek.com/hundreds-of-fortigate-firewalls-hacked-in-ai-powered-attacks-aws/" TargetMode="External" Id="rId4501"/><Relationship Type="http://schemas.openxmlformats.org/officeDocument/2006/relationships/hyperlink" Target="https://www.securityweek.com/hundreds-of-fortigate-firewalls-hacked-in-ai-powered-attacks-aws/" TargetMode="External" Id="rId4502"/><Relationship Type="http://schemas.openxmlformats.org/officeDocument/2006/relationships/hyperlink" Target="https://www.securityweek.com/recent-roundcube-webmail-vulnerability-exploited-in-attacks/" TargetMode="External" Id="rId4503"/><Relationship Type="http://schemas.openxmlformats.org/officeDocument/2006/relationships/hyperlink" Target="https://www.securityweek.com/recent-roundcube-webmail-vulnerability-exploited-in-attacks/" TargetMode="External" Id="rId4504"/><Relationship Type="http://schemas.openxmlformats.org/officeDocument/2006/relationships/hyperlink" Target="https://www.securityweek.com/mississippi-hospital-system-closes-all-clinics-after-ransomware-attack/" TargetMode="External" Id="rId4505"/><Relationship Type="http://schemas.openxmlformats.org/officeDocument/2006/relationships/hyperlink" Target="https://www.securityweek.com/mississippi-hospital-system-closes-all-clinics-after-ransomware-attack/" TargetMode="External" Id="rId4506"/><Relationship Type="http://schemas.openxmlformats.org/officeDocument/2006/relationships/hyperlink" Target="https://www.securityweek.com/paypal-data-breach-led-to-fraudulent-transactions/" TargetMode="External" Id="rId4507"/><Relationship Type="http://schemas.openxmlformats.org/officeDocument/2006/relationships/hyperlink" Target="https://www.securityweek.com/paypal-data-breach-led-to-fraudulent-transactions/" TargetMode="External" Id="rId4508"/><Relationship Type="http://schemas.openxmlformats.org/officeDocument/2006/relationships/hyperlink" Target="https://isc.sans.edu/diary/rss/32738" TargetMode="External" Id="rId4509"/><Relationship Type="http://schemas.openxmlformats.org/officeDocument/2006/relationships/hyperlink" Target="https://isc.sans.edu/diary/rss/32738" TargetMode="External" Id="rId4510"/><Relationship Type="http://schemas.openxmlformats.org/officeDocument/2006/relationships/hyperlink" Target="https://isc.sans.edu/diary/rss/32734" TargetMode="External" Id="rId4511"/><Relationship Type="http://schemas.openxmlformats.org/officeDocument/2006/relationships/hyperlink" Target="https://isc.sans.edu/diary/rss/32734" TargetMode="External" Id="rId4512"/><Relationship Type="http://schemas.openxmlformats.org/officeDocument/2006/relationships/hyperlink" Target="https://hackread.com/zero-day-flaws-pdf-platforms-xss-one-click-attacks/" TargetMode="External" Id="rId4513"/><Relationship Type="http://schemas.openxmlformats.org/officeDocument/2006/relationships/hyperlink" Target="https://hackread.com/zero-day-flaws-pdf-platforms-xss-one-click-attacks/" TargetMode="External" Id="rId4514"/><Relationship Type="http://schemas.openxmlformats.org/officeDocument/2006/relationships/hyperlink" Target="https://hackread.com/hackers-excel-exploit-xworm-7-2-jpeg-files-hijack-pcs/" TargetMode="External" Id="rId4515"/><Relationship Type="http://schemas.openxmlformats.org/officeDocument/2006/relationships/hyperlink" Target="https://hackread.com/hackers-excel-exploit-xworm-7-2-jpeg-files-hijack-pcs/" TargetMode="External" Id="rId4516"/><Relationship Type="http://schemas.openxmlformats.org/officeDocument/2006/relationships/hyperlink" Target="https://hackread.com/hackers-pulsar-rat-png-images-npm-supply-chain-attack/" TargetMode="External" Id="rId4517"/><Relationship Type="http://schemas.openxmlformats.org/officeDocument/2006/relationships/hyperlink" Target="https://hackread.com/hackers-pulsar-rat-png-images-npm-supply-chain-attack/" TargetMode="External" Id="rId4518"/><Relationship Type="http://schemas.openxmlformats.org/officeDocument/2006/relationships/hyperlink" Target="https://www.infosecurity-magazine.com/news/shai-hulud-like-worm-devs-npm-ai/" TargetMode="External" Id="rId4519"/><Relationship Type="http://schemas.openxmlformats.org/officeDocument/2006/relationships/hyperlink" Target="https://www.infosecurity-magazine.com/news/shai-hulud-like-worm-devs-npm-ai/" TargetMode="External" Id="rId4520"/><Relationship Type="http://schemas.openxmlformats.org/officeDocument/2006/relationships/hyperlink" Target="https://www.infosecurity-magazine.com/news/fraud-investigation-python-malware/" TargetMode="External" Id="rId4521"/><Relationship Type="http://schemas.openxmlformats.org/officeDocument/2006/relationships/hyperlink" Target="https://www.infosecurity-magazine.com/news/fraud-investigation-python-malware/" TargetMode="External" Id="rId4522"/><Relationship Type="http://schemas.openxmlformats.org/officeDocument/2006/relationships/hyperlink" Target="https://www.infosecurity-magazine.com/news/russian-threat-actor-genai/" TargetMode="External" Id="rId4523"/><Relationship Type="http://schemas.openxmlformats.org/officeDocument/2006/relationships/hyperlink" Target="https://www.infosecurity-magazine.com/news/russian-threat-actor-genai/" TargetMode="External" Id="rId4524"/><Relationship Type="http://schemas.openxmlformats.org/officeDocument/2006/relationships/hyperlink" Target="https://www.infosecurity-magazine.com/news/advantest-ransomware-attack/" TargetMode="External" Id="rId4525"/><Relationship Type="http://schemas.openxmlformats.org/officeDocument/2006/relationships/hyperlink" Target="https://www.infosecurity-magazine.com/news/advantest-ransomware-attack/" TargetMode="External" Id="rId4526"/><Relationship Type="http://schemas.openxmlformats.org/officeDocument/2006/relationships/hyperlink" Target="https://www.infosecurity-magazine.com/news/university-mississippi-medical/" TargetMode="External" Id="rId4527"/><Relationship Type="http://schemas.openxmlformats.org/officeDocument/2006/relationships/hyperlink" Target="https://www.infosecurity-magazine.com/news/university-mississippi-medical/" TargetMode="External" Id="rId4528"/></Relationships>
</file>

<file path=xl/worksheets/sheet1.xml><?xml version="1.0" encoding="utf-8"?>
<worksheet xmlns="http://schemas.openxmlformats.org/spreadsheetml/2006/main">
  <sheetPr>
    <tabColor rgb="00E94560"/>
    <outlinePr summaryBelow="1" summaryRight="1"/>
    <pageSetUpPr/>
  </sheetPr>
  <dimension ref="A1:K39"/>
  <sheetViews>
    <sheetView workbookViewId="0">
      <pane ySplit="3" topLeftCell="A4" activePane="bottomLeft" state="frozen"/>
      <selection pane="bottomLeft" activeCell="A1" sqref="A1"/>
    </sheetView>
  </sheetViews>
  <sheetFormatPr baseColWidth="8" defaultRowHeight="15"/>
  <cols>
    <col width="22" customWidth="1" min="1" max="1"/>
    <col width="20" customWidth="1" min="2" max="2"/>
    <col width="20" customWidth="1" min="3" max="3"/>
    <col width="20" customWidth="1" min="4" max="4"/>
    <col width="14" customWidth="1" min="5" max="5"/>
    <col width="14" customWidth="1" min="6" max="6"/>
    <col width="16" customWidth="1" min="7" max="7"/>
    <col width="16" customWidth="1" min="8" max="8"/>
    <col width="16" customWidth="1" min="9" max="9"/>
    <col width="12" customWidth="1" min="10" max="10"/>
    <col width="10" customWidth="1" min="11" max="11"/>
    <col width="10" customWidth="1" min="12" max="12"/>
  </cols>
  <sheetData>
    <row r="1" ht="30" customHeight="1">
      <c r="A1" s="3" t="inlineStr">
        <is>
          <t>Anubis v6.1 — Threat Intelligence Dashboard</t>
        </is>
      </c>
    </row>
    <row r="2">
      <c r="A2" s="4" t="inlineStr">
        <is>
          <t>Generated: 2026-02-23 23:48  |  By Ramiz Alsafi</t>
        </is>
      </c>
      <c r="J2" s="5" t="inlineStr">
        <is>
          <t>Risk Level</t>
        </is>
      </c>
      <c r="K2" s="5" t="inlineStr">
        <is>
          <t>Count</t>
        </is>
      </c>
    </row>
    <row r="3" ht="22" customHeight="1">
      <c r="A3" s="6" t="inlineStr">
        <is>
          <t>Threat Type</t>
        </is>
      </c>
      <c r="B3" s="6" t="inlineStr">
        <is>
          <t>Total</t>
        </is>
      </c>
      <c r="C3" s="6" t="inlineStr">
        <is>
          <t>P1 (Urgent)</t>
        </is>
      </c>
      <c r="D3" s="6" t="inlineStr">
        <is>
          <t>P2 (High)</t>
        </is>
      </c>
      <c r="E3" s="6" t="inlineStr">
        <is>
          <t>KEV Active</t>
        </is>
      </c>
      <c r="F3" s="6" t="inlineStr">
        <is>
          <t>Critical</t>
        </is>
      </c>
      <c r="G3" s="6" t="inlineStr">
        <is>
          <t>High</t>
        </is>
      </c>
      <c r="J3" s="7" t="inlineStr">
        <is>
          <t>CRITICAL</t>
        </is>
      </c>
      <c r="K3" s="8">
        <f>COUNTIF('Threat Intelligence'!$H:$H,"CRITICAL")</f>
        <v/>
      </c>
    </row>
    <row r="4" ht="18" customHeight="1">
      <c r="A4" s="9" t="inlineStr">
        <is>
          <t>ABUSE_IP</t>
        </is>
      </c>
      <c r="B4" s="10">
        <f>COUNTIF('Threat Intelligence'!$A:$A,A4)</f>
        <v/>
      </c>
      <c r="C4" s="11">
        <f>COUNTIFS('Threat Intelligence'!$A:$A,A4,'Threat Intelligence'!$Q:$Q,"P1")</f>
        <v/>
      </c>
      <c r="D4" s="12">
        <f>COUNTIFS('Threat Intelligence'!$A:$A,A4,'Threat Intelligence'!$Q:$Q,"P2")</f>
        <v/>
      </c>
      <c r="E4" s="13">
        <f>COUNTIFS('Threat Intelligence'!$A:$A,A4,'Threat Intelligence'!$J:$J,"YES")</f>
        <v/>
      </c>
      <c r="F4" s="11">
        <f>COUNTIFS('Threat Intelligence'!$A:$A,A4,'Threat Intelligence'!$E:$E,"CRITICAL")</f>
        <v/>
      </c>
      <c r="G4" s="14">
        <f>COUNTIFS('Threat Intelligence'!$A:$A,A4,'Threat Intelligence'!$E:$E,"HIGH")</f>
        <v/>
      </c>
      <c r="J4" s="15" t="inlineStr">
        <is>
          <t>HIGH</t>
        </is>
      </c>
      <c r="K4" s="8">
        <f>COUNTIF('Threat Intelligence'!$H:$H,"HIGH")</f>
        <v/>
      </c>
    </row>
    <row r="5" ht="18" customHeight="1">
      <c r="A5" s="16" t="inlineStr">
        <is>
          <t>BLOCKLIST_DE</t>
        </is>
      </c>
      <c r="B5" s="17">
        <f>COUNTIF('Threat Intelligence'!$A:$A,A5)</f>
        <v/>
      </c>
      <c r="C5" s="18">
        <f>COUNTIFS('Threat Intelligence'!$A:$A,A5,'Threat Intelligence'!$Q:$Q,"P1")</f>
        <v/>
      </c>
      <c r="D5" s="19">
        <f>COUNTIFS('Threat Intelligence'!$A:$A,A5,'Threat Intelligence'!$Q:$Q,"P2")</f>
        <v/>
      </c>
      <c r="E5" s="20">
        <f>COUNTIFS('Threat Intelligence'!$A:$A,A5,'Threat Intelligence'!$J:$J,"YES")</f>
        <v/>
      </c>
      <c r="F5" s="18">
        <f>COUNTIFS('Threat Intelligence'!$A:$A,A5,'Threat Intelligence'!$E:$E,"CRITICAL")</f>
        <v/>
      </c>
      <c r="G5" s="21">
        <f>COUNTIFS('Threat Intelligence'!$A:$A,A5,'Threat Intelligence'!$E:$E,"HIGH")</f>
        <v/>
      </c>
      <c r="J5" s="22" t="inlineStr">
        <is>
          <t>MEDIUM</t>
        </is>
      </c>
      <c r="K5" s="8">
        <f>COUNTIF('Threat Intelligence'!$H:$H,"MEDIUM")</f>
        <v/>
      </c>
    </row>
    <row r="6" ht="18" customHeight="1">
      <c r="A6" s="23" t="inlineStr">
        <is>
          <t>CISA_ICS</t>
        </is>
      </c>
      <c r="B6" s="24">
        <f>COUNTIF('Threat Intelligence'!$A:$A,A6)</f>
        <v/>
      </c>
      <c r="C6" s="25">
        <f>COUNTIFS('Threat Intelligence'!$A:$A,A6,'Threat Intelligence'!$Q:$Q,"P1")</f>
        <v/>
      </c>
      <c r="D6" s="26">
        <f>COUNTIFS('Threat Intelligence'!$A:$A,A6,'Threat Intelligence'!$Q:$Q,"P2")</f>
        <v/>
      </c>
      <c r="E6" s="27">
        <f>COUNTIFS('Threat Intelligence'!$A:$A,A6,'Threat Intelligence'!$J:$J,"YES")</f>
        <v/>
      </c>
      <c r="F6" s="25">
        <f>COUNTIFS('Threat Intelligence'!$A:$A,A6,'Threat Intelligence'!$E:$E,"CRITICAL")</f>
        <v/>
      </c>
      <c r="G6" s="28">
        <f>COUNTIFS('Threat Intelligence'!$A:$A,A6,'Threat Intelligence'!$E:$E,"HIGH")</f>
        <v/>
      </c>
      <c r="J6" s="29" t="inlineStr">
        <is>
          <t>LOW</t>
        </is>
      </c>
      <c r="K6" s="8">
        <f>COUNTIF('Threat Intelligence'!$H:$H,"LOW")</f>
        <v/>
      </c>
    </row>
    <row r="7" ht="18" customHeight="1">
      <c r="A7" s="30" t="inlineStr">
        <is>
          <t>CISA_RANSOMWARE</t>
        </is>
      </c>
      <c r="B7" s="31">
        <f>COUNTIF('Threat Intelligence'!$A:$A,A7)</f>
        <v/>
      </c>
      <c r="C7" s="32">
        <f>COUNTIFS('Threat Intelligence'!$A:$A,A7,'Threat Intelligence'!$Q:$Q,"P1")</f>
        <v/>
      </c>
      <c r="D7" s="33">
        <f>COUNTIFS('Threat Intelligence'!$A:$A,A7,'Threat Intelligence'!$Q:$Q,"P2")</f>
        <v/>
      </c>
      <c r="E7" s="34">
        <f>COUNTIFS('Threat Intelligence'!$A:$A,A7,'Threat Intelligence'!$J:$J,"YES")</f>
        <v/>
      </c>
      <c r="F7" s="32">
        <f>COUNTIFS('Threat Intelligence'!$A:$A,A7,'Threat Intelligence'!$E:$E,"CRITICAL")</f>
        <v/>
      </c>
      <c r="G7" s="35">
        <f>COUNTIFS('Threat Intelligence'!$A:$A,A7,'Threat Intelligence'!$E:$E,"HIGH")</f>
        <v/>
      </c>
      <c r="J7" s="5" t="inlineStr">
        <is>
          <t>Priority</t>
        </is>
      </c>
      <c r="K7" s="5" t="inlineStr">
        <is>
          <t>Count</t>
        </is>
      </c>
    </row>
    <row r="8" ht="18" customHeight="1">
      <c r="A8" s="36" t="inlineStr">
        <is>
          <t>CVE</t>
        </is>
      </c>
      <c r="B8" s="37">
        <f>COUNTIF('Threat Intelligence'!$A:$A,A8)</f>
        <v/>
      </c>
      <c r="C8" s="38">
        <f>COUNTIFS('Threat Intelligence'!$A:$A,A8,'Threat Intelligence'!$Q:$Q,"P1")</f>
        <v/>
      </c>
      <c r="D8" s="39">
        <f>COUNTIFS('Threat Intelligence'!$A:$A,A8,'Threat Intelligence'!$Q:$Q,"P2")</f>
        <v/>
      </c>
      <c r="E8" s="40">
        <f>COUNTIFS('Threat Intelligence'!$A:$A,A8,'Threat Intelligence'!$J:$J,"YES")</f>
        <v/>
      </c>
      <c r="F8" s="38">
        <f>COUNTIFS('Threat Intelligence'!$A:$A,A8,'Threat Intelligence'!$E:$E,"CRITICAL")</f>
        <v/>
      </c>
      <c r="G8" s="41">
        <f>COUNTIFS('Threat Intelligence'!$A:$A,A8,'Threat Intelligence'!$E:$E,"HIGH")</f>
        <v/>
      </c>
      <c r="J8" s="42" t="inlineStr">
        <is>
          <t>P1</t>
        </is>
      </c>
      <c r="K8" s="8">
        <f>COUNTIF('Threat Intelligence'!$Q:$Q,"P1")</f>
        <v/>
      </c>
    </row>
    <row r="9" ht="18" customHeight="1">
      <c r="A9" s="9" t="inlineStr">
        <is>
          <t>EMERGING_THREAT_IP</t>
        </is>
      </c>
      <c r="B9" s="10">
        <f>COUNTIF('Threat Intelligence'!$A:$A,A9)</f>
        <v/>
      </c>
      <c r="C9" s="11">
        <f>COUNTIFS('Threat Intelligence'!$A:$A,A9,'Threat Intelligence'!$Q:$Q,"P1")</f>
        <v/>
      </c>
      <c r="D9" s="12">
        <f>COUNTIFS('Threat Intelligence'!$A:$A,A9,'Threat Intelligence'!$Q:$Q,"P2")</f>
        <v/>
      </c>
      <c r="E9" s="13">
        <f>COUNTIFS('Threat Intelligence'!$A:$A,A9,'Threat Intelligence'!$J:$J,"YES")</f>
        <v/>
      </c>
      <c r="F9" s="11">
        <f>COUNTIFS('Threat Intelligence'!$A:$A,A9,'Threat Intelligence'!$E:$E,"CRITICAL")</f>
        <v/>
      </c>
      <c r="G9" s="14">
        <f>COUNTIFS('Threat Intelligence'!$A:$A,A9,'Threat Intelligence'!$E:$E,"HIGH")</f>
        <v/>
      </c>
      <c r="J9" s="43" t="inlineStr">
        <is>
          <t>P2</t>
        </is>
      </c>
      <c r="K9" s="8">
        <f>COUNTIF('Threat Intelligence'!$Q:$Q,"P2")</f>
        <v/>
      </c>
    </row>
    <row r="10" ht="18" customHeight="1">
      <c r="A10" s="44" t="inlineStr">
        <is>
          <t>EXPLOIT</t>
        </is>
      </c>
      <c r="B10" s="45">
        <f>COUNTIF('Threat Intelligence'!$A:$A,A10)</f>
        <v/>
      </c>
      <c r="C10" s="46">
        <f>COUNTIFS('Threat Intelligence'!$A:$A,A10,'Threat Intelligence'!$Q:$Q,"P1")</f>
        <v/>
      </c>
      <c r="D10" s="47">
        <f>COUNTIFS('Threat Intelligence'!$A:$A,A10,'Threat Intelligence'!$Q:$Q,"P2")</f>
        <v/>
      </c>
      <c r="E10" s="48">
        <f>COUNTIFS('Threat Intelligence'!$A:$A,A10,'Threat Intelligence'!$J:$J,"YES")</f>
        <v/>
      </c>
      <c r="F10" s="46">
        <f>COUNTIFS('Threat Intelligence'!$A:$A,A10,'Threat Intelligence'!$E:$E,"CRITICAL")</f>
        <v/>
      </c>
      <c r="G10" s="49">
        <f>COUNTIFS('Threat Intelligence'!$A:$A,A10,'Threat Intelligence'!$E:$E,"HIGH")</f>
        <v/>
      </c>
      <c r="J10" s="50" t="inlineStr">
        <is>
          <t>P3</t>
        </is>
      </c>
      <c r="K10" s="8">
        <f>COUNTIF('Threat Intelligence'!$Q:$Q,"P3")</f>
        <v/>
      </c>
    </row>
    <row r="11" ht="18" customHeight="1">
      <c r="A11" s="51" t="inlineStr">
        <is>
          <t>FEODO_C2</t>
        </is>
      </c>
      <c r="B11" s="52">
        <f>COUNTIF('Threat Intelligence'!$A:$A,A11)</f>
        <v/>
      </c>
      <c r="C11" s="53">
        <f>COUNTIFS('Threat Intelligence'!$A:$A,A11,'Threat Intelligence'!$Q:$Q,"P1")</f>
        <v/>
      </c>
      <c r="D11" s="54">
        <f>COUNTIFS('Threat Intelligence'!$A:$A,A11,'Threat Intelligence'!$Q:$Q,"P2")</f>
        <v/>
      </c>
      <c r="E11" s="55">
        <f>COUNTIFS('Threat Intelligence'!$A:$A,A11,'Threat Intelligence'!$J:$J,"YES")</f>
        <v/>
      </c>
      <c r="F11" s="53">
        <f>COUNTIFS('Threat Intelligence'!$A:$A,A11,'Threat Intelligence'!$E:$E,"CRITICAL")</f>
        <v/>
      </c>
      <c r="G11" s="56">
        <f>COUNTIFS('Threat Intelligence'!$A:$A,A11,'Threat Intelligence'!$E:$E,"HIGH")</f>
        <v/>
      </c>
      <c r="J11" s="57" t="inlineStr">
        <is>
          <t>P4</t>
        </is>
      </c>
      <c r="K11" s="8">
        <f>COUNTIF('Threat Intelligence'!$Q:$Q,"P4")</f>
        <v/>
      </c>
    </row>
    <row r="12" ht="18" customHeight="1">
      <c r="A12" s="58" t="inlineStr">
        <is>
          <t>FIREHOL_THREAT</t>
        </is>
      </c>
      <c r="B12" s="59">
        <f>COUNTIF('Threat Intelligence'!$A:$A,A12)</f>
        <v/>
      </c>
      <c r="C12" s="60">
        <f>COUNTIFS('Threat Intelligence'!$A:$A,A12,'Threat Intelligence'!$Q:$Q,"P1")</f>
        <v/>
      </c>
      <c r="D12" s="61">
        <f>COUNTIFS('Threat Intelligence'!$A:$A,A12,'Threat Intelligence'!$Q:$Q,"P2")</f>
        <v/>
      </c>
      <c r="E12" s="62">
        <f>COUNTIFS('Threat Intelligence'!$A:$A,A12,'Threat Intelligence'!$J:$J,"YES")</f>
        <v/>
      </c>
      <c r="F12" s="60">
        <f>COUNTIFS('Threat Intelligence'!$A:$A,A12,'Threat Intelligence'!$E:$E,"CRITICAL")</f>
        <v/>
      </c>
      <c r="G12" s="63">
        <f>COUNTIFS('Threat Intelligence'!$A:$A,A12,'Threat Intelligence'!$E:$E,"HIGH")</f>
        <v/>
      </c>
      <c r="J12" s="5" t="inlineStr">
        <is>
          <t>Threat Type</t>
        </is>
      </c>
      <c r="K12" s="5" t="inlineStr">
        <is>
          <t>Count</t>
        </is>
      </c>
    </row>
    <row r="13" ht="18" customHeight="1">
      <c r="A13" s="64" t="inlineStr">
        <is>
          <t>FIREWALL_ADVISORY</t>
        </is>
      </c>
      <c r="B13" s="65">
        <f>COUNTIF('Threat Intelligence'!$A:$A,A13)</f>
        <v/>
      </c>
      <c r="C13" s="66">
        <f>COUNTIFS('Threat Intelligence'!$A:$A,A13,'Threat Intelligence'!$Q:$Q,"P1")</f>
        <v/>
      </c>
      <c r="D13" s="67">
        <f>COUNTIFS('Threat Intelligence'!$A:$A,A13,'Threat Intelligence'!$Q:$Q,"P2")</f>
        <v/>
      </c>
      <c r="E13" s="68">
        <f>COUNTIFS('Threat Intelligence'!$A:$A,A13,'Threat Intelligence'!$J:$J,"YES")</f>
        <v/>
      </c>
      <c r="F13" s="66">
        <f>COUNTIFS('Threat Intelligence'!$A:$A,A13,'Threat Intelligence'!$E:$E,"CRITICAL")</f>
        <v/>
      </c>
      <c r="G13" s="69">
        <f>COUNTIFS('Threat Intelligence'!$A:$A,A13,'Threat Intelligence'!$E:$E,"HIGH")</f>
        <v/>
      </c>
      <c r="J13" s="70">
        <f>A4</f>
        <v/>
      </c>
      <c r="K13" s="71">
        <f>B4</f>
        <v/>
      </c>
    </row>
    <row r="14" ht="18" customHeight="1">
      <c r="A14" s="72" t="inlineStr">
        <is>
          <t>GH_ADVISORY</t>
        </is>
      </c>
      <c r="B14" s="73">
        <f>COUNTIF('Threat Intelligence'!$A:$A,A14)</f>
        <v/>
      </c>
      <c r="C14" s="74">
        <f>COUNTIFS('Threat Intelligence'!$A:$A,A14,'Threat Intelligence'!$Q:$Q,"P1")</f>
        <v/>
      </c>
      <c r="D14" s="75">
        <f>COUNTIFS('Threat Intelligence'!$A:$A,A14,'Threat Intelligence'!$Q:$Q,"P2")</f>
        <v/>
      </c>
      <c r="E14" s="76">
        <f>COUNTIFS('Threat Intelligence'!$A:$A,A14,'Threat Intelligence'!$J:$J,"YES")</f>
        <v/>
      </c>
      <c r="F14" s="74">
        <f>COUNTIFS('Threat Intelligence'!$A:$A,A14,'Threat Intelligence'!$E:$E,"CRITICAL")</f>
        <v/>
      </c>
      <c r="G14" s="77">
        <f>COUNTIFS('Threat Intelligence'!$A:$A,A14,'Threat Intelligence'!$E:$E,"HIGH")</f>
        <v/>
      </c>
      <c r="J14" s="70">
        <f>A5</f>
        <v/>
      </c>
      <c r="K14" s="71">
        <f>B5</f>
        <v/>
      </c>
    </row>
    <row r="15" ht="18" customHeight="1">
      <c r="A15" s="78" t="inlineStr">
        <is>
          <t>MAL_URL</t>
        </is>
      </c>
      <c r="B15" s="79">
        <f>COUNTIF('Threat Intelligence'!$A:$A,A15)</f>
        <v/>
      </c>
      <c r="C15" s="80">
        <f>COUNTIFS('Threat Intelligence'!$A:$A,A15,'Threat Intelligence'!$Q:$Q,"P1")</f>
        <v/>
      </c>
      <c r="D15" s="81">
        <f>COUNTIFS('Threat Intelligence'!$A:$A,A15,'Threat Intelligence'!$Q:$Q,"P2")</f>
        <v/>
      </c>
      <c r="E15" s="82">
        <f>COUNTIFS('Threat Intelligence'!$A:$A,A15,'Threat Intelligence'!$J:$J,"YES")</f>
        <v/>
      </c>
      <c r="F15" s="80">
        <f>COUNTIFS('Threat Intelligence'!$A:$A,A15,'Threat Intelligence'!$E:$E,"CRITICAL")</f>
        <v/>
      </c>
      <c r="G15" s="83">
        <f>COUNTIFS('Threat Intelligence'!$A:$A,A15,'Threat Intelligence'!$E:$E,"HIGH")</f>
        <v/>
      </c>
      <c r="J15" s="70">
        <f>A6</f>
        <v/>
      </c>
      <c r="K15" s="71">
        <f>B6</f>
        <v/>
      </c>
    </row>
    <row r="16" ht="18" customHeight="1">
      <c r="A16" s="84" t="inlineStr">
        <is>
          <t>MSF_MODULE</t>
        </is>
      </c>
      <c r="B16" s="85">
        <f>COUNTIF('Threat Intelligence'!$A:$A,A16)</f>
        <v/>
      </c>
      <c r="C16" s="86">
        <f>COUNTIFS('Threat Intelligence'!$A:$A,A16,'Threat Intelligence'!$Q:$Q,"P1")</f>
        <v/>
      </c>
      <c r="D16" s="87">
        <f>COUNTIFS('Threat Intelligence'!$A:$A,A16,'Threat Intelligence'!$Q:$Q,"P2")</f>
        <v/>
      </c>
      <c r="E16" s="88">
        <f>COUNTIFS('Threat Intelligence'!$A:$A,A16,'Threat Intelligence'!$J:$J,"YES")</f>
        <v/>
      </c>
      <c r="F16" s="86">
        <f>COUNTIFS('Threat Intelligence'!$A:$A,A16,'Threat Intelligence'!$E:$E,"CRITICAL")</f>
        <v/>
      </c>
      <c r="G16" s="89">
        <f>COUNTIFS('Threat Intelligence'!$A:$A,A16,'Threat Intelligence'!$E:$E,"HIGH")</f>
        <v/>
      </c>
      <c r="J16" s="70">
        <f>A7</f>
        <v/>
      </c>
      <c r="K16" s="71">
        <f>B7</f>
        <v/>
      </c>
    </row>
    <row r="17" ht="18" customHeight="1">
      <c r="A17" s="90" t="inlineStr">
        <is>
          <t>MSRC_UPDATE</t>
        </is>
      </c>
      <c r="B17" s="91">
        <f>COUNTIF('Threat Intelligence'!$A:$A,A17)</f>
        <v/>
      </c>
      <c r="C17" s="92">
        <f>COUNTIFS('Threat Intelligence'!$A:$A,A17,'Threat Intelligence'!$Q:$Q,"P1")</f>
        <v/>
      </c>
      <c r="D17" s="93">
        <f>COUNTIFS('Threat Intelligence'!$A:$A,A17,'Threat Intelligence'!$Q:$Q,"P2")</f>
        <v/>
      </c>
      <c r="E17" s="94">
        <f>COUNTIFS('Threat Intelligence'!$A:$A,A17,'Threat Intelligence'!$J:$J,"YES")</f>
        <v/>
      </c>
      <c r="F17" s="92">
        <f>COUNTIFS('Threat Intelligence'!$A:$A,A17,'Threat Intelligence'!$E:$E,"CRITICAL")</f>
        <v/>
      </c>
      <c r="G17" s="95">
        <f>COUNTIFS('Threat Intelligence'!$A:$A,A17,'Threat Intelligence'!$E:$E,"HIGH")</f>
        <v/>
      </c>
      <c r="J17" s="70">
        <f>A8</f>
        <v/>
      </c>
      <c r="K17" s="71">
        <f>B8</f>
        <v/>
      </c>
    </row>
    <row r="18" ht="18" customHeight="1">
      <c r="A18" s="96" t="inlineStr">
        <is>
          <t>NEWS_ALERT</t>
        </is>
      </c>
      <c r="B18" s="97">
        <f>COUNTIF('Threat Intelligence'!$A:$A,A18)</f>
        <v/>
      </c>
      <c r="C18" s="98">
        <f>COUNTIFS('Threat Intelligence'!$A:$A,A18,'Threat Intelligence'!$Q:$Q,"P1")</f>
        <v/>
      </c>
      <c r="D18" s="99">
        <f>COUNTIFS('Threat Intelligence'!$A:$A,A18,'Threat Intelligence'!$Q:$Q,"P2")</f>
        <v/>
      </c>
      <c r="E18" s="100">
        <f>COUNTIFS('Threat Intelligence'!$A:$A,A18,'Threat Intelligence'!$J:$J,"YES")</f>
        <v/>
      </c>
      <c r="F18" s="98">
        <f>COUNTIFS('Threat Intelligence'!$A:$A,A18,'Threat Intelligence'!$E:$E,"CRITICAL")</f>
        <v/>
      </c>
      <c r="G18" s="101">
        <f>COUNTIFS('Threat Intelligence'!$A:$A,A18,'Threat Intelligence'!$E:$E,"HIGH")</f>
        <v/>
      </c>
      <c r="J18" s="70">
        <f>A9</f>
        <v/>
      </c>
      <c r="K18" s="71">
        <f>B9</f>
        <v/>
      </c>
    </row>
    <row r="19" ht="18" customHeight="1">
      <c r="A19" s="102" t="inlineStr">
        <is>
          <t>OTX_PULSE</t>
        </is>
      </c>
      <c r="B19" s="103">
        <f>COUNTIF('Threat Intelligence'!$A:$A,A19)</f>
        <v/>
      </c>
      <c r="C19" s="104">
        <f>COUNTIFS('Threat Intelligence'!$A:$A,A19,'Threat Intelligence'!$Q:$Q,"P1")</f>
        <v/>
      </c>
      <c r="D19" s="105">
        <f>COUNTIFS('Threat Intelligence'!$A:$A,A19,'Threat Intelligence'!$Q:$Q,"P2")</f>
        <v/>
      </c>
      <c r="E19" s="106">
        <f>COUNTIFS('Threat Intelligence'!$A:$A,A19,'Threat Intelligence'!$J:$J,"YES")</f>
        <v/>
      </c>
      <c r="F19" s="104">
        <f>COUNTIFS('Threat Intelligence'!$A:$A,A19,'Threat Intelligence'!$E:$E,"CRITICAL")</f>
        <v/>
      </c>
      <c r="G19" s="107">
        <f>COUNTIFS('Threat Intelligence'!$A:$A,A19,'Threat Intelligence'!$E:$E,"HIGH")</f>
        <v/>
      </c>
      <c r="J19" s="70">
        <f>A10</f>
        <v/>
      </c>
      <c r="K19" s="71">
        <f>B10</f>
        <v/>
      </c>
    </row>
    <row r="20" ht="18" customHeight="1">
      <c r="A20" s="58" t="inlineStr">
        <is>
          <t>PATCH_TUESDAY</t>
        </is>
      </c>
      <c r="B20" s="59">
        <f>COUNTIF('Threat Intelligence'!$A:$A,A20)</f>
        <v/>
      </c>
      <c r="C20" s="60">
        <f>COUNTIFS('Threat Intelligence'!$A:$A,A20,'Threat Intelligence'!$Q:$Q,"P1")</f>
        <v/>
      </c>
      <c r="D20" s="61">
        <f>COUNTIFS('Threat Intelligence'!$A:$A,A20,'Threat Intelligence'!$Q:$Q,"P2")</f>
        <v/>
      </c>
      <c r="E20" s="62">
        <f>COUNTIFS('Threat Intelligence'!$A:$A,A20,'Threat Intelligence'!$J:$J,"YES")</f>
        <v/>
      </c>
      <c r="F20" s="60">
        <f>COUNTIFS('Threat Intelligence'!$A:$A,A20,'Threat Intelligence'!$E:$E,"CRITICAL")</f>
        <v/>
      </c>
      <c r="G20" s="63">
        <f>COUNTIFS('Threat Intelligence'!$A:$A,A20,'Threat Intelligence'!$E:$E,"HIGH")</f>
        <v/>
      </c>
      <c r="J20" s="70">
        <f>A11</f>
        <v/>
      </c>
      <c r="K20" s="71">
        <f>B11</f>
        <v/>
      </c>
    </row>
    <row r="21" ht="18" customHeight="1">
      <c r="A21" s="108" t="inlineStr">
        <is>
          <t>PHISH</t>
        </is>
      </c>
      <c r="B21" s="109">
        <f>COUNTIF('Threat Intelligence'!$A:$A,A21)</f>
        <v/>
      </c>
      <c r="C21" s="110">
        <f>COUNTIFS('Threat Intelligence'!$A:$A,A21,'Threat Intelligence'!$Q:$Q,"P1")</f>
        <v/>
      </c>
      <c r="D21" s="111">
        <f>COUNTIFS('Threat Intelligence'!$A:$A,A21,'Threat Intelligence'!$Q:$Q,"P2")</f>
        <v/>
      </c>
      <c r="E21" s="112">
        <f>COUNTIFS('Threat Intelligence'!$A:$A,A21,'Threat Intelligence'!$J:$J,"YES")</f>
        <v/>
      </c>
      <c r="F21" s="110">
        <f>COUNTIFS('Threat Intelligence'!$A:$A,A21,'Threat Intelligence'!$E:$E,"CRITICAL")</f>
        <v/>
      </c>
      <c r="G21" s="113">
        <f>COUNTIFS('Threat Intelligence'!$A:$A,A21,'Threat Intelligence'!$E:$E,"HIGH")</f>
        <v/>
      </c>
    </row>
    <row r="22" ht="18" customHeight="1">
      <c r="A22" s="114" t="inlineStr">
        <is>
          <t>SANS_ISC</t>
        </is>
      </c>
      <c r="B22" s="115">
        <f>COUNTIF('Threat Intelligence'!$A:$A,A22)</f>
        <v/>
      </c>
      <c r="C22" s="116">
        <f>COUNTIFS('Threat Intelligence'!$A:$A,A22,'Threat Intelligence'!$Q:$Q,"P1")</f>
        <v/>
      </c>
      <c r="D22" s="117">
        <f>COUNTIFS('Threat Intelligence'!$A:$A,A22,'Threat Intelligence'!$Q:$Q,"P2")</f>
        <v/>
      </c>
      <c r="E22" s="118">
        <f>COUNTIFS('Threat Intelligence'!$A:$A,A22,'Threat Intelligence'!$J:$J,"YES")</f>
        <v/>
      </c>
      <c r="F22" s="116">
        <f>COUNTIFS('Threat Intelligence'!$A:$A,A22,'Threat Intelligence'!$E:$E,"CRITICAL")</f>
        <v/>
      </c>
      <c r="G22" s="119">
        <f>COUNTIFS('Threat Intelligence'!$A:$A,A22,'Threat Intelligence'!$E:$E,"HIGH")</f>
        <v/>
      </c>
    </row>
    <row r="23" ht="18" customHeight="1">
      <c r="A23" s="120" t="inlineStr">
        <is>
          <t>SHODAN_VULN</t>
        </is>
      </c>
      <c r="B23" s="121">
        <f>COUNTIF('Threat Intelligence'!$A:$A,A23)</f>
        <v/>
      </c>
      <c r="C23" s="122">
        <f>COUNTIFS('Threat Intelligence'!$A:$A,A23,'Threat Intelligence'!$Q:$Q,"P1")</f>
        <v/>
      </c>
      <c r="D23" s="123">
        <f>COUNTIFS('Threat Intelligence'!$A:$A,A23,'Threat Intelligence'!$Q:$Q,"P2")</f>
        <v/>
      </c>
      <c r="E23" s="124">
        <f>COUNTIFS('Threat Intelligence'!$A:$A,A23,'Threat Intelligence'!$J:$J,"YES")</f>
        <v/>
      </c>
      <c r="F23" s="122">
        <f>COUNTIFS('Threat Intelligence'!$A:$A,A23,'Threat Intelligence'!$E:$E,"CRITICAL")</f>
        <v/>
      </c>
      <c r="G23" s="125">
        <f>COUNTIFS('Threat Intelligence'!$A:$A,A23,'Threat Intelligence'!$E:$E,"HIGH")</f>
        <v/>
      </c>
    </row>
    <row r="24" ht="18" customHeight="1">
      <c r="A24" s="126" t="inlineStr">
        <is>
          <t>TALOS_IP</t>
        </is>
      </c>
      <c r="B24" s="127">
        <f>COUNTIF('Threat Intelligence'!$A:$A,A24)</f>
        <v/>
      </c>
      <c r="C24" s="128">
        <f>COUNTIFS('Threat Intelligence'!$A:$A,A24,'Threat Intelligence'!$Q:$Q,"P1")</f>
        <v/>
      </c>
      <c r="D24" s="129">
        <f>COUNTIFS('Threat Intelligence'!$A:$A,A24,'Threat Intelligence'!$Q:$Q,"P2")</f>
        <v/>
      </c>
      <c r="E24" s="130">
        <f>COUNTIFS('Threat Intelligence'!$A:$A,A24,'Threat Intelligence'!$J:$J,"YES")</f>
        <v/>
      </c>
      <c r="F24" s="128">
        <f>COUNTIFS('Threat Intelligence'!$A:$A,A24,'Threat Intelligence'!$E:$E,"CRITICAL")</f>
        <v/>
      </c>
      <c r="G24" s="131">
        <f>COUNTIFS('Threat Intelligence'!$A:$A,A24,'Threat Intelligence'!$E:$E,"HIGH")</f>
        <v/>
      </c>
    </row>
    <row r="25" ht="18" customHeight="1">
      <c r="A25" s="132" t="inlineStr">
        <is>
          <t>THREATFOX_IOC</t>
        </is>
      </c>
      <c r="B25" s="133">
        <f>COUNTIF('Threat Intelligence'!$A:$A,A25)</f>
        <v/>
      </c>
      <c r="C25" s="134">
        <f>COUNTIFS('Threat Intelligence'!$A:$A,A25,'Threat Intelligence'!$Q:$Q,"P1")</f>
        <v/>
      </c>
      <c r="D25" s="135">
        <f>COUNTIFS('Threat Intelligence'!$A:$A,A25,'Threat Intelligence'!$Q:$Q,"P2")</f>
        <v/>
      </c>
      <c r="E25" s="136">
        <f>COUNTIFS('Threat Intelligence'!$A:$A,A25,'Threat Intelligence'!$J:$J,"YES")</f>
        <v/>
      </c>
      <c r="F25" s="134">
        <f>COUNTIFS('Threat Intelligence'!$A:$A,A25,'Threat Intelligence'!$E:$E,"CRITICAL")</f>
        <v/>
      </c>
      <c r="G25" s="137">
        <f>COUNTIFS('Threat Intelligence'!$A:$A,A25,'Threat Intelligence'!$E:$E,"HIGH")</f>
        <v/>
      </c>
    </row>
    <row r="26" ht="18" customHeight="1">
      <c r="A26" s="138" t="inlineStr">
        <is>
          <t>THREATMINER</t>
        </is>
      </c>
      <c r="B26" s="139">
        <f>COUNTIF('Threat Intelligence'!$A:$A,A26)</f>
        <v/>
      </c>
      <c r="C26" s="140">
        <f>COUNTIFS('Threat Intelligence'!$A:$A,A26,'Threat Intelligence'!$Q:$Q,"P1")</f>
        <v/>
      </c>
      <c r="D26" s="141">
        <f>COUNTIFS('Threat Intelligence'!$A:$A,A26,'Threat Intelligence'!$Q:$Q,"P2")</f>
        <v/>
      </c>
      <c r="E26" s="142">
        <f>COUNTIFS('Threat Intelligence'!$A:$A,A26,'Threat Intelligence'!$J:$J,"YES")</f>
        <v/>
      </c>
      <c r="F26" s="140">
        <f>COUNTIFS('Threat Intelligence'!$A:$A,A26,'Threat Intelligence'!$E:$E,"CRITICAL")</f>
        <v/>
      </c>
      <c r="G26" s="143">
        <f>COUNTIFS('Threat Intelligence'!$A:$A,A26,'Threat Intelligence'!$E:$E,"HIGH")</f>
        <v/>
      </c>
    </row>
    <row r="27" ht="18" customHeight="1">
      <c r="A27" s="144" t="inlineStr">
        <is>
          <t>TOR_EXIT</t>
        </is>
      </c>
      <c r="B27" s="145">
        <f>COUNTIF('Threat Intelligence'!$A:$A,A27)</f>
        <v/>
      </c>
      <c r="C27" s="146">
        <f>COUNTIFS('Threat Intelligence'!$A:$A,A27,'Threat Intelligence'!$Q:$Q,"P1")</f>
        <v/>
      </c>
      <c r="D27" s="147">
        <f>COUNTIFS('Threat Intelligence'!$A:$A,A27,'Threat Intelligence'!$Q:$Q,"P2")</f>
        <v/>
      </c>
      <c r="E27" s="148">
        <f>COUNTIFS('Threat Intelligence'!$A:$A,A27,'Threat Intelligence'!$J:$J,"YES")</f>
        <v/>
      </c>
      <c r="F27" s="146">
        <f>COUNTIFS('Threat Intelligence'!$A:$A,A27,'Threat Intelligence'!$E:$E,"CRITICAL")</f>
        <v/>
      </c>
      <c r="G27" s="149">
        <f>COUNTIFS('Threat Intelligence'!$A:$A,A27,'Threat Intelligence'!$E:$E,"HIGH")</f>
        <v/>
      </c>
    </row>
    <row r="28" ht="18" customHeight="1">
      <c r="A28" s="150" t="inlineStr">
        <is>
          <t>UBUNTU_SEC</t>
        </is>
      </c>
      <c r="B28" s="151">
        <f>COUNTIF('Threat Intelligence'!$A:$A,A28)</f>
        <v/>
      </c>
      <c r="C28" s="152">
        <f>COUNTIFS('Threat Intelligence'!$A:$A,A28,'Threat Intelligence'!$Q:$Q,"P1")</f>
        <v/>
      </c>
      <c r="D28" s="153">
        <f>COUNTIFS('Threat Intelligence'!$A:$A,A28,'Threat Intelligence'!$Q:$Q,"P2")</f>
        <v/>
      </c>
      <c r="E28" s="154">
        <f>COUNTIFS('Threat Intelligence'!$A:$A,A28,'Threat Intelligence'!$J:$J,"YES")</f>
        <v/>
      </c>
      <c r="F28" s="152">
        <f>COUNTIFS('Threat Intelligence'!$A:$A,A28,'Threat Intelligence'!$E:$E,"CRITICAL")</f>
        <v/>
      </c>
      <c r="G28" s="155">
        <f>COUNTIFS('Threat Intelligence'!$A:$A,A28,'Threat Intelligence'!$E:$E,"HIGH")</f>
        <v/>
      </c>
    </row>
    <row r="29" ht="18" customHeight="1">
      <c r="A29" s="156" t="inlineStr">
        <is>
          <t>VULNCHECK_KEV</t>
        </is>
      </c>
      <c r="B29" s="157">
        <f>COUNTIF('Threat Intelligence'!$A:$A,A29)</f>
        <v/>
      </c>
      <c r="C29" s="158">
        <f>COUNTIFS('Threat Intelligence'!$A:$A,A29,'Threat Intelligence'!$Q:$Q,"P1")</f>
        <v/>
      </c>
      <c r="D29" s="159">
        <f>COUNTIFS('Threat Intelligence'!$A:$A,A29,'Threat Intelligence'!$Q:$Q,"P2")</f>
        <v/>
      </c>
      <c r="E29" s="160">
        <f>COUNTIFS('Threat Intelligence'!$A:$A,A29,'Threat Intelligence'!$J:$J,"YES")</f>
        <v/>
      </c>
      <c r="F29" s="158">
        <f>COUNTIFS('Threat Intelligence'!$A:$A,A29,'Threat Intelligence'!$E:$E,"CRITICAL")</f>
        <v/>
      </c>
      <c r="G29" s="161">
        <f>COUNTIFS('Threat Intelligence'!$A:$A,A29,'Threat Intelligence'!$E:$E,"HIGH")</f>
        <v/>
      </c>
    </row>
    <row r="30" ht="18" customHeight="1">
      <c r="A30" s="162" t="inlineStr">
        <is>
          <t>ZDI_ADVISORY</t>
        </is>
      </c>
      <c r="B30" s="163">
        <f>COUNTIF('Threat Intelligence'!$A:$A,A30)</f>
        <v/>
      </c>
      <c r="C30" s="164">
        <f>COUNTIFS('Threat Intelligence'!$A:$A,A30,'Threat Intelligence'!$Q:$Q,"P1")</f>
        <v/>
      </c>
      <c r="D30" s="165">
        <f>COUNTIFS('Threat Intelligence'!$A:$A,A30,'Threat Intelligence'!$Q:$Q,"P2")</f>
        <v/>
      </c>
      <c r="E30" s="166">
        <f>COUNTIFS('Threat Intelligence'!$A:$A,A30,'Threat Intelligence'!$J:$J,"YES")</f>
        <v/>
      </c>
      <c r="F30" s="164">
        <f>COUNTIFS('Threat Intelligence'!$A:$A,A30,'Threat Intelligence'!$E:$E,"CRITICAL")</f>
        <v/>
      </c>
      <c r="G30" s="167">
        <f>COUNTIFS('Threat Intelligence'!$A:$A,A30,'Threat Intelligence'!$E:$E,"HIGH")</f>
        <v/>
      </c>
    </row>
    <row r="31" ht="20" customHeight="1">
      <c r="A31" s="168" t="inlineStr">
        <is>
          <t>TOTAL</t>
        </is>
      </c>
      <c r="B31" s="169">
        <f>SUM(B4:B30)</f>
        <v/>
      </c>
      <c r="C31" s="169">
        <f>SUM(C4:C30)</f>
        <v/>
      </c>
      <c r="D31" s="169">
        <f>SUM(D4:D30)</f>
        <v/>
      </c>
      <c r="E31" s="169">
        <f>SUM(E4:E30)</f>
        <v/>
      </c>
      <c r="F31" s="169">
        <f>SUM(F4:F30)</f>
        <v/>
      </c>
      <c r="G31" s="169">
        <f>SUM(G4:G30)</f>
        <v/>
      </c>
    </row>
    <row r="33" ht="22" customHeight="1">
      <c r="A33" s="170" t="inlineStr">
        <is>
          <t>🔥  RISK HEATMAP  ─  Likelihood × Impact</t>
        </is>
      </c>
      <c r="F33" s="170" t="inlineStr">
        <is>
          <t>📐  RISK MATRIX  ─  Score = Likelihood × Impact</t>
        </is>
      </c>
    </row>
    <row r="34" ht="30" customHeight="1">
      <c r="A34" s="171" t="inlineStr">
        <is>
          <t>Likelihood / Impact</t>
        </is>
      </c>
      <c r="B34" s="172" t="inlineStr">
        <is>
          <t>Low Impact (1)</t>
        </is>
      </c>
      <c r="C34" s="172" t="inlineStr">
        <is>
          <t>Med Impact (2)</t>
        </is>
      </c>
      <c r="D34" s="172" t="inlineStr">
        <is>
          <t>High Impact (3)</t>
        </is>
      </c>
      <c r="F34" s="173" t="inlineStr"/>
      <c r="G34" s="173" t="inlineStr">
        <is>
          <t>Impact 1</t>
        </is>
      </c>
      <c r="H34" s="173" t="inlineStr">
        <is>
          <t>Impact 2</t>
        </is>
      </c>
      <c r="I34" s="173" t="inlineStr">
        <is>
          <t>Impact 3</t>
        </is>
      </c>
      <c r="J34" s="173" t="inlineStr">
        <is>
          <t>Zone</t>
        </is>
      </c>
    </row>
    <row r="35" ht="38" customHeight="1">
      <c r="A35" s="174" t="inlineStr">
        <is>
          <t>Low Likelihood (1)</t>
        </is>
      </c>
      <c r="B35" s="175">
        <f>COUNTIFS('Threat Intelligence'!$F:$F,1,'Threat Intelligence'!$G:$G,1)</f>
        <v/>
      </c>
      <c r="C35" s="175">
        <f>COUNTIFS('Threat Intelligence'!$F:$F,1,'Threat Intelligence'!$G:$G,2)</f>
        <v/>
      </c>
      <c r="D35" s="176">
        <f>COUNTIFS('Threat Intelligence'!$F:$F,1,'Threat Intelligence'!$G:$G,3)</f>
        <v/>
      </c>
      <c r="F35" s="173" t="inlineStr">
        <is>
          <t>L=1 (Low)</t>
        </is>
      </c>
      <c r="G35" s="177" t="inlineStr">
        <is>
          <t>L1×I1=1  (LOW)</t>
        </is>
      </c>
      <c r="H35" s="177" t="inlineStr">
        <is>
          <t>L1×I2=2  (LOW)</t>
        </is>
      </c>
      <c r="I35" s="178" t="inlineStr">
        <is>
          <t>L1×I3=3  (MEDIUM)</t>
        </is>
      </c>
      <c r="J35" s="179" t="inlineStr">
        <is>
          <t>MEDIUM</t>
        </is>
      </c>
    </row>
    <row r="36" ht="38" customHeight="1">
      <c r="A36" s="174" t="inlineStr">
        <is>
          <t>Med Likelihood (2)</t>
        </is>
      </c>
      <c r="B36" s="175">
        <f>COUNTIFS('Threat Intelligence'!$F:$F,2,'Threat Intelligence'!$G:$G,1)</f>
        <v/>
      </c>
      <c r="C36" s="176">
        <f>COUNTIFS('Threat Intelligence'!$F:$F,2,'Threat Intelligence'!$G:$G,2)</f>
        <v/>
      </c>
      <c r="D36" s="180">
        <f>COUNTIFS('Threat Intelligence'!$F:$F,2,'Threat Intelligence'!$G:$G,3)</f>
        <v/>
      </c>
      <c r="F36" s="173" t="inlineStr">
        <is>
          <t>L=2 (Med)</t>
        </is>
      </c>
      <c r="G36" s="177" t="inlineStr">
        <is>
          <t>L2×I1=2  (LOW)</t>
        </is>
      </c>
      <c r="H36" s="178" t="inlineStr">
        <is>
          <t>L2×I2=4  (MEDIUM)</t>
        </is>
      </c>
      <c r="I36" s="181" t="inlineStr">
        <is>
          <t>L2×I3=6  (HIGH)</t>
        </is>
      </c>
      <c r="J36" s="182" t="inlineStr">
        <is>
          <t>HIGH</t>
        </is>
      </c>
    </row>
    <row r="37" ht="38" customHeight="1">
      <c r="A37" s="174" t="inlineStr">
        <is>
          <t>High Likelihood (3)</t>
        </is>
      </c>
      <c r="B37" s="176">
        <f>COUNTIFS('Threat Intelligence'!$F:$F,3,'Threat Intelligence'!$G:$G,1)</f>
        <v/>
      </c>
      <c r="C37" s="180">
        <f>COUNTIFS('Threat Intelligence'!$F:$F,3,'Threat Intelligence'!$G:$G,2)</f>
        <v/>
      </c>
      <c r="D37" s="183">
        <f>COUNTIFS('Threat Intelligence'!$F:$F,3,'Threat Intelligence'!$G:$G,3)</f>
        <v/>
      </c>
      <c r="F37" s="173" t="inlineStr">
        <is>
          <t>L=3 (High)</t>
        </is>
      </c>
      <c r="G37" s="178" t="inlineStr">
        <is>
          <t>L3×I1=3  (MEDIUM)</t>
        </is>
      </c>
      <c r="H37" s="181" t="inlineStr">
        <is>
          <t>L3×I2=6  (HIGH)</t>
        </is>
      </c>
      <c r="I37" s="184" t="inlineStr">
        <is>
          <t>L3×I3=9  (CRITICAL)</t>
        </is>
      </c>
      <c r="J37" s="185" t="inlineStr">
        <is>
          <t>CRITICAL</t>
        </is>
      </c>
    </row>
    <row r="39">
      <c r="A39" s="186" t="inlineStr">
        <is>
          <t>🟢 LOW</t>
        </is>
      </c>
      <c r="B39" s="179" t="inlineStr">
        <is>
          <t>🟡 MEDIUM</t>
        </is>
      </c>
      <c r="C39" s="182" t="inlineStr">
        <is>
          <t>🟠 HIGH</t>
        </is>
      </c>
      <c r="D39" s="185" t="inlineStr">
        <is>
          <t>🔴 CRITICAL</t>
        </is>
      </c>
      <c r="F39" s="187" t="inlineStr">
        <is>
          <t>Risk Score = Likelihood (1-3) × Impact (1-3)  →  Max 9 = CRITICAL</t>
        </is>
      </c>
    </row>
  </sheetData>
  <mergeCells count="5">
    <mergeCell ref="A1:G1"/>
    <mergeCell ref="F39:J39"/>
    <mergeCell ref="A2:G2"/>
    <mergeCell ref="F33:J33"/>
    <mergeCell ref="A33:D33"/>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D2007"/>
  <sheetViews>
    <sheetView tabSelected="1" workbookViewId="0">
      <pane ySplit="1" topLeftCell="A2" activePane="bottomLeft" state="frozen"/>
      <selection pane="bottomLeft" activeCell="A1" sqref="A1"/>
    </sheetView>
  </sheetViews>
  <sheetFormatPr baseColWidth="8" defaultRowHeight="15"/>
  <cols>
    <col width="20" customWidth="1" min="1" max="1"/>
    <col width="22" customWidth="1" min="2" max="2"/>
    <col width="55" customWidth="1" min="3" max="3"/>
    <col width="7" customWidth="1" min="4" max="4"/>
    <col width="11" customWidth="1" min="5" max="5"/>
    <col width="11" customWidth="1" min="6" max="6"/>
    <col width="8" customWidth="1" min="7" max="7"/>
    <col width="12" customWidth="1" min="8" max="8"/>
    <col width="12" customWidth="1" min="9" max="9"/>
    <col width="10" customWidth="1" min="10" max="10"/>
    <col width="35" customWidth="1" min="11" max="11"/>
    <col width="18" customWidth="1" min="12" max="12"/>
    <col width="16" customWidth="1" min="13" max="13"/>
    <col width="40" customWidth="1" min="14" max="14"/>
    <col width="40" customWidth="1" min="15" max="15"/>
    <col width="35" customWidth="1" min="16" max="16"/>
    <col width="22" customWidth="1" min="17" max="17"/>
    <col width="55" customWidth="1" min="18" max="18"/>
    <col width="35" customWidth="1" min="19" max="19"/>
    <col width="22" customWidth="1" min="20" max="20"/>
    <col width="15" customWidth="1" min="21" max="21"/>
    <col width="40" customWidth="1" min="22" max="22"/>
    <col width="12" customWidth="1" min="23" max="23"/>
    <col width="16" customWidth="1" min="24" max="24"/>
    <col width="55" customWidth="1" min="25" max="25"/>
    <col width="13" customWidth="1" min="26" max="26"/>
    <col width="20" customWidth="1" min="27" max="27"/>
    <col width="40" customWidth="1" min="28" max="28"/>
    <col width="17" customWidth="1" min="29" max="29"/>
    <col width="60" customWidth="1" min="30" max="30"/>
  </cols>
  <sheetData>
    <row r="1">
      <c r="A1" s="188" t="inlineStr">
        <is>
          <t>Type</t>
        </is>
      </c>
      <c r="B1" s="188" t="inlineStr">
        <is>
          <t>ID</t>
        </is>
      </c>
      <c r="C1" s="188" t="inlineStr">
        <is>
          <t>Description</t>
        </is>
      </c>
      <c r="D1" s="188" t="inlineStr">
        <is>
          <t>CVSS</t>
        </is>
      </c>
      <c r="E1" s="188" t="inlineStr">
        <is>
          <t>Severity</t>
        </is>
      </c>
      <c r="F1" s="188" t="inlineStr">
        <is>
          <t>Likelihood</t>
        </is>
      </c>
      <c r="G1" s="188" t="inlineStr">
        <is>
          <t>Impact</t>
        </is>
      </c>
      <c r="H1" s="188" t="inlineStr">
        <is>
          <t>Risk_Level</t>
        </is>
      </c>
      <c r="I1" s="188" t="inlineStr">
        <is>
          <t>Final_Score</t>
        </is>
      </c>
      <c r="J1" s="188" t="inlineStr">
        <is>
          <t>CISA_KEV</t>
        </is>
      </c>
      <c r="K1" s="188" t="inlineStr">
        <is>
          <t>Link</t>
        </is>
      </c>
      <c r="L1" s="188" t="inlineStr">
        <is>
          <t>Timestamp</t>
        </is>
      </c>
      <c r="M1" s="188" t="inlineStr">
        <is>
          <t>Patch_Available</t>
        </is>
      </c>
      <c r="N1" s="188" t="inlineStr">
        <is>
          <t>Patch_Links</t>
        </is>
      </c>
      <c r="O1" s="188" t="inlineStr">
        <is>
          <t>Workarounds</t>
        </is>
      </c>
      <c r="P1" s="188" t="inlineStr">
        <is>
          <t>Affected_Products</t>
        </is>
      </c>
      <c r="Q1" s="188" t="inlineStr">
        <is>
          <t>Remediation_Priority</t>
        </is>
      </c>
      <c r="R1" s="188" t="inlineStr">
        <is>
          <t>Remediation_Steps</t>
        </is>
      </c>
      <c r="S1" s="188" t="inlineStr">
        <is>
          <t>GreyNoise_Context</t>
        </is>
      </c>
      <c r="T1" s="188" t="inlineStr">
        <is>
          <t>EPSS_Score</t>
        </is>
      </c>
      <c r="U1" s="188" t="inlineStr">
        <is>
          <t>EPSS_Percentile</t>
        </is>
      </c>
      <c r="V1" s="188" t="inlineStr">
        <is>
          <t>MITRE_Techniques</t>
        </is>
      </c>
      <c r="W1" s="188" t="inlineStr">
        <is>
          <t>Source_Count</t>
        </is>
      </c>
      <c r="X1" s="188" t="inlineStr">
        <is>
          <t>Confidence_Score</t>
        </is>
      </c>
      <c r="Y1" s="188" t="inlineStr">
        <is>
          <t>Exploit_Status</t>
        </is>
      </c>
      <c r="Z1" s="188" t="inlineStr">
        <is>
          <t>Fix_Available</t>
        </is>
      </c>
      <c r="AA1" s="188" t="inlineStr">
        <is>
          <t>Intel_URL</t>
        </is>
      </c>
      <c r="AB1" s="188" t="inlineStr">
        <is>
          <t>ZDI_Advisory</t>
        </is>
      </c>
      <c r="AC1" s="188" t="inlineStr">
        <is>
          <t>AttackerKB_Score</t>
        </is>
      </c>
      <c r="AD1" s="188" t="inlineStr">
        <is>
          <t>News_Coverage</t>
        </is>
      </c>
    </row>
    <row r="2">
      <c r="A2" s="189" t="inlineStr">
        <is>
          <t>CVE</t>
        </is>
      </c>
      <c r="B2" s="189" t="inlineStr">
        <is>
          <t>CVE-2025-12062</t>
        </is>
      </c>
      <c r="C2" s="189" t="inlineStr">
        <is>
          <t>The WP Maps – Store Locator,Google Maps,OpenStreetMap,Mapbox,Listing,Directory &amp; Filters plugin for WordPress is vulnerable to Local File Inclusion in all versions up to, and including, 4.8.6 via the fc_load_template function. This makes it possible for authenticated attackers, with Subscriber-level access and above, to include and execute arbitrary .html files on the server, allowing the execution of any PHP code in those files. This can be used to bypass access controls, obtain sensitive data,</t>
        </is>
      </c>
      <c r="D2" s="189" t="n">
        <v>8.800000000000001</v>
      </c>
      <c r="E2" s="189" t="inlineStr">
        <is>
          <t>HIGH</t>
        </is>
      </c>
      <c r="F2" s="189" t="n">
        <v>3</v>
      </c>
      <c r="G2" s="189" t="n">
        <v>3</v>
      </c>
      <c r="H2" s="189" t="inlineStr">
        <is>
          <t>CRITICAL</t>
        </is>
      </c>
      <c r="I2" s="189" t="n">
        <v>17.8</v>
      </c>
      <c r="J2" s="189" t="inlineStr">
        <is>
          <t>NO</t>
        </is>
      </c>
      <c r="K2" s="190" t="inlineStr">
        <is>
          <t>https://nvd.nist.gov/vuln/detail/CVE-2025-12062</t>
        </is>
      </c>
      <c r="L2" s="189" t="inlineStr">
        <is>
          <t>2026-02-23 23:48</t>
        </is>
      </c>
      <c r="M2" s="189" t="inlineStr">
        <is>
          <t>CHECK_VENDOR</t>
        </is>
      </c>
      <c r="N2" s="189" t="inlineStr">
        <is>
          <t>See NVD references</t>
        </is>
      </c>
      <c r="O2" s="189" t="inlineStr">
        <is>
          <t>Apply vendor patches</t>
        </is>
      </c>
      <c r="P2" s="189" t="inlineStr">
        <is>
          <t>See CVE details</t>
        </is>
      </c>
      <c r="Q2" s="189" t="inlineStr">
        <is>
          <t>P2</t>
        </is>
      </c>
      <c r="R2" s="189" t="inlineStr">
        <is>
          <t>🚨 URGENT: Apply vendor patches immediately | 🔒 Isolate affected systems if patch unavailable | 🛡️ Enable additional monitoring/IDS rules</t>
        </is>
      </c>
      <c r="S2" s="189" t="inlineStr">
        <is>
          <t>CVE - IP enrichment n/a</t>
        </is>
      </c>
      <c r="T2" s="189" t="n">
        <v>0</v>
      </c>
      <c r="U2" s="189" t="n">
        <v>0</v>
      </c>
      <c r="V2" s="189" t="inlineStr">
        <is>
          <t>T1083:File and Directory Discovery</t>
        </is>
      </c>
      <c r="W2" s="189" t="n">
        <v>2</v>
      </c>
      <c r="X2" s="189" t="inlineStr">
        <is>
          <t>HIGH (72%)</t>
        </is>
      </c>
      <c r="Y2" s="189" t="inlineStr">
        <is>
          <t>CONFIRMED</t>
        </is>
      </c>
      <c r="Z2" s="189" t="inlineStr">
        <is>
          <t>CHECK_VENDOR</t>
        </is>
      </c>
      <c r="AA2" s="190" t="inlineStr">
        <is>
          <t>https://nvd.nist.gov/vuln/detail/CVE-2025-12062</t>
        </is>
      </c>
      <c r="AB2" s="189" t="inlineStr">
        <is>
          <t>NONE</t>
        </is>
      </c>
      <c r="AC2" s="189" t="n">
        <v>4.4</v>
      </c>
      <c r="AD2" s="189" t="n"/>
    </row>
    <row r="3">
      <c r="A3" s="189" t="inlineStr">
        <is>
          <t>CVE</t>
        </is>
      </c>
      <c r="B3" s="189" t="inlineStr">
        <is>
          <t>CVE-2026-26220</t>
        </is>
      </c>
      <c r="C3" s="189" t="inlineStr">
        <is>
          <t>LightLLM version 1.1.0 and prior contain an unauthenticated remote code execution vulnerability in PD (prefill-decode) disaggregation mode. The PD master node exposes WebSocket endpoints that receive binary frames and pass the data directly to pickle.loads() without authentication or validation. A remote attacker who can reach the PD master can send a crafted payload to achieve arbitrary code execution.</t>
        </is>
      </c>
      <c r="D3" s="189" t="n">
        <v>8.5</v>
      </c>
      <c r="E3" s="189" t="inlineStr">
        <is>
          <t>HIGH</t>
        </is>
      </c>
      <c r="F3" s="189" t="n">
        <v>2</v>
      </c>
      <c r="G3" s="189" t="n">
        <v>3</v>
      </c>
      <c r="H3" s="189" t="inlineStr">
        <is>
          <t>HIGH</t>
        </is>
      </c>
      <c r="I3" s="189" t="n">
        <v>14.5</v>
      </c>
      <c r="J3" s="189" t="inlineStr">
        <is>
          <t>NO</t>
        </is>
      </c>
      <c r="K3" s="190" t="inlineStr">
        <is>
          <t>https://nvd.nist.gov/vuln/detail/CVE-2026-26220</t>
        </is>
      </c>
      <c r="L3" s="189" t="inlineStr">
        <is>
          <t>2026-02-23 23:48</t>
        </is>
      </c>
      <c r="M3" s="189" t="inlineStr">
        <is>
          <t>CHECK_VENDOR</t>
        </is>
      </c>
      <c r="N3" s="189" t="inlineStr">
        <is>
          <t>See NVD references</t>
        </is>
      </c>
      <c r="O3" s="189" t="inlineStr">
        <is>
          <t>Apply vendor patches</t>
        </is>
      </c>
      <c r="P3" s="189" t="inlineStr">
        <is>
          <t>See CVE details</t>
        </is>
      </c>
      <c r="Q3" s="189" t="inlineStr">
        <is>
          <t>P3</t>
        </is>
      </c>
      <c r="R3" s="189" t="inlineStr">
        <is>
          <t>🚨 URGENT: Apply vendor patches immediately | 🔒 Isolate affected systems if patch unavailable | 🛡️ Enable additional monitoring/IDS rules</t>
        </is>
      </c>
      <c r="S3" s="189" t="inlineStr">
        <is>
          <t>CVE - IP enrichment n/a</t>
        </is>
      </c>
      <c r="T3" s="189" t="n">
        <v>0</v>
      </c>
      <c r="U3" s="189" t="n">
        <v>0</v>
      </c>
      <c r="V3" s="189" t="inlineStr">
        <is>
          <t>T1059:Command and Scripting Interpreter | T1190:Exploit Public-Facing Application | T1210:Exploitation of Remote Services</t>
        </is>
      </c>
      <c r="W3" s="189" t="n">
        <v>1</v>
      </c>
      <c r="X3" s="189" t="inlineStr">
        <is>
          <t>LOW (40%)</t>
        </is>
      </c>
      <c r="Y3" s="189" t="inlineStr">
        <is>
          <t>UNLIKELY</t>
        </is>
      </c>
      <c r="Z3" s="189" t="inlineStr">
        <is>
          <t>CHECK_VENDOR</t>
        </is>
      </c>
      <c r="AA3" s="190" t="inlineStr">
        <is>
          <t>https://nvd.nist.gov/vuln/detail/CVE-2026-26220</t>
        </is>
      </c>
      <c r="AB3" s="189" t="inlineStr">
        <is>
          <t>NONE</t>
        </is>
      </c>
      <c r="AC3" s="189" t="n">
        <v>0</v>
      </c>
      <c r="AD3" s="189" t="n"/>
    </row>
    <row r="4">
      <c r="A4" s="191" t="inlineStr">
        <is>
          <t>CVE</t>
        </is>
      </c>
      <c r="B4" s="191" t="inlineStr">
        <is>
          <t>CVE-2026-2002</t>
        </is>
      </c>
      <c r="C4" s="191" t="inlineStr">
        <is>
          <t>The Forminator Forms – Contact Form, Payment Form &amp; Custom Form Builder plugin for WordPress is vulnerable to Stored Cross-Site Scripting via the form_name parameter in all versions up to, and including, 1.50.2 due to insufficient input sanitization and output escaping. This makes it possible for authenticated attackers, with administrator-level access, to inject arbitrary web scripts in pages that will execute whenever a user accesses an injected page. The plugin allows admins to give form mana</t>
        </is>
      </c>
      <c r="D4" s="191" t="n">
        <v>4.4</v>
      </c>
      <c r="E4" s="191" t="inlineStr">
        <is>
          <t>MEDIUM</t>
        </is>
      </c>
      <c r="F4" s="191" t="n">
        <v>2</v>
      </c>
      <c r="G4" s="191" t="n">
        <v>2</v>
      </c>
      <c r="H4" s="191" t="inlineStr">
        <is>
          <t>MEDIUM</t>
        </is>
      </c>
      <c r="I4" s="191" t="n">
        <v>8.4</v>
      </c>
      <c r="J4" s="191" t="inlineStr">
        <is>
          <t>NO</t>
        </is>
      </c>
      <c r="K4" s="192" t="inlineStr">
        <is>
          <t>https://nvd.nist.gov/vuln/detail/CVE-2026-2002</t>
        </is>
      </c>
      <c r="L4" s="191" t="inlineStr">
        <is>
          <t>2026-02-23 23:48</t>
        </is>
      </c>
      <c r="M4" s="191" t="inlineStr">
        <is>
          <t>CHECK_VENDOR</t>
        </is>
      </c>
      <c r="N4" s="191" t="inlineStr">
        <is>
          <t>See NVD references</t>
        </is>
      </c>
      <c r="O4" s="191" t="inlineStr">
        <is>
          <t>Apply vendor patches</t>
        </is>
      </c>
      <c r="P4" s="191" t="inlineStr">
        <is>
          <t>See CVE details</t>
        </is>
      </c>
      <c r="Q4" s="191" t="inlineStr">
        <is>
          <t>P4</t>
        </is>
      </c>
      <c r="R4" s="191" t="inlineStr">
        <is>
          <t>📅 Schedule patch deployment within 30 days | 🔍 Monitor for exploitation attempts</t>
        </is>
      </c>
      <c r="S4" s="191" t="inlineStr">
        <is>
          <t>CVE - IP enrichment n/a</t>
        </is>
      </c>
      <c r="T4" s="191" t="n">
        <v>0</v>
      </c>
      <c r="U4" s="191" t="n">
        <v>0</v>
      </c>
      <c r="V4" s="191" t="inlineStr">
        <is>
          <t>T1189:Drive-by Compromise</t>
        </is>
      </c>
      <c r="W4" s="191" t="n">
        <v>1</v>
      </c>
      <c r="X4" s="191" t="inlineStr">
        <is>
          <t>LOW (40%)</t>
        </is>
      </c>
      <c r="Y4" s="191" t="inlineStr">
        <is>
          <t>UNLIKELY</t>
        </is>
      </c>
      <c r="Z4" s="191" t="inlineStr">
        <is>
          <t>CHECK_VENDOR</t>
        </is>
      </c>
      <c r="AA4" s="192" t="inlineStr">
        <is>
          <t>https://nvd.nist.gov/vuln/detail/CVE-2026-2002</t>
        </is>
      </c>
      <c r="AB4" s="191" t="inlineStr">
        <is>
          <t>NONE</t>
        </is>
      </c>
      <c r="AC4" s="191" t="n">
        <v>0</v>
      </c>
      <c r="AD4" s="191" t="n"/>
    </row>
    <row r="5">
      <c r="A5" s="189" t="inlineStr">
        <is>
          <t>CVE</t>
        </is>
      </c>
      <c r="B5" s="189" t="inlineStr">
        <is>
          <t>CVE-2026-2592</t>
        </is>
      </c>
      <c r="C5" s="189" t="inlineStr">
        <is>
          <t>The Zarinpal Gateway for WooCommerce plugin for WordPress is vulnerable to Improper Access Control to Payment Status Update in all versions up to and including 5.0.16. This is due to the payment callback handler 'Return_from_ZarinPal_Gateway' failing to validate that the authority token provided in the callback URL belongs to the specific order being marked as paid. This makes it possible for unauthenticated attackers to potentially mark orders as paid without proper payment by reusing a valid a</t>
        </is>
      </c>
      <c r="D5" s="189" t="n">
        <v>7.7</v>
      </c>
      <c r="E5" s="189" t="inlineStr">
        <is>
          <t>HIGH</t>
        </is>
      </c>
      <c r="F5" s="189" t="n">
        <v>2</v>
      </c>
      <c r="G5" s="189" t="n">
        <v>3</v>
      </c>
      <c r="H5" s="189" t="inlineStr">
        <is>
          <t>HIGH</t>
        </is>
      </c>
      <c r="I5" s="189" t="n">
        <v>13.7</v>
      </c>
      <c r="J5" s="189" t="inlineStr">
        <is>
          <t>NO</t>
        </is>
      </c>
      <c r="K5" s="190" t="inlineStr">
        <is>
          <t>https://nvd.nist.gov/vuln/detail/CVE-2026-2592</t>
        </is>
      </c>
      <c r="L5" s="189" t="inlineStr">
        <is>
          <t>2026-02-23 23:48</t>
        </is>
      </c>
      <c r="M5" s="189" t="inlineStr">
        <is>
          <t>CHECK_VENDOR</t>
        </is>
      </c>
      <c r="N5" s="189" t="inlineStr">
        <is>
          <t>See NVD references</t>
        </is>
      </c>
      <c r="O5" s="189" t="inlineStr">
        <is>
          <t>Apply vendor patches</t>
        </is>
      </c>
      <c r="P5" s="189" t="inlineStr">
        <is>
          <t>See CVE details</t>
        </is>
      </c>
      <c r="Q5" s="189" t="inlineStr">
        <is>
          <t>P2</t>
        </is>
      </c>
      <c r="R5" s="189" t="inlineStr">
        <is>
          <t>🚨 URGENT: Apply vendor patches immediately | 🔒 Isolate affected systems if patch unavailable | 🛡️ Enable additional monitoring/IDS rules</t>
        </is>
      </c>
      <c r="S5" s="189" t="inlineStr">
        <is>
          <t>CVE - IP enrichment n/a</t>
        </is>
      </c>
      <c r="T5" s="189" t="n">
        <v>0</v>
      </c>
      <c r="U5" s="189" t="n">
        <v>0</v>
      </c>
      <c r="V5" s="189" t="inlineStr">
        <is>
          <t>T1190:Exploit Public-Facing Application</t>
        </is>
      </c>
      <c r="W5" s="189" t="n">
        <v>2</v>
      </c>
      <c r="X5" s="189" t="inlineStr">
        <is>
          <t>HIGH (72%)</t>
        </is>
      </c>
      <c r="Y5" s="189" t="inlineStr">
        <is>
          <t>POSSIBLE</t>
        </is>
      </c>
      <c r="Z5" s="189" t="inlineStr">
        <is>
          <t>CHECK_VENDOR</t>
        </is>
      </c>
      <c r="AA5" s="190" t="inlineStr">
        <is>
          <t>https://nvd.nist.gov/vuln/detail/CVE-2026-2592</t>
        </is>
      </c>
      <c r="AB5" s="189" t="inlineStr">
        <is>
          <t>NONE</t>
        </is>
      </c>
      <c r="AC5" s="189" t="n">
        <v>3.85</v>
      </c>
      <c r="AD5" s="189" t="n"/>
    </row>
    <row r="6">
      <c r="A6" s="191" t="inlineStr">
        <is>
          <t>CVE</t>
        </is>
      </c>
      <c r="B6" s="191" t="inlineStr">
        <is>
          <t>CVE-2026-1657</t>
        </is>
      </c>
      <c r="C6" s="191" t="inlineStr">
        <is>
          <t>The EventPrime plugin for WordPress is vulnerable to unauthorized image file upload in all versions up to, and including, 4.2.8.4. This is due to the plugin registering the upload_file_media AJAX action as publicly accessible (nopriv-enabled) without implementing any authentication, authorization, or nonce verification despite a nonce being created. This makes it possible for unauthenticated attackers to upload image files to the WordPress uploads directory and create Media Library attachments v</t>
        </is>
      </c>
      <c r="D6" s="191" t="n">
        <v>5.3</v>
      </c>
      <c r="E6" s="191" t="inlineStr">
        <is>
          <t>MEDIUM</t>
        </is>
      </c>
      <c r="F6" s="191" t="n">
        <v>2</v>
      </c>
      <c r="G6" s="191" t="n">
        <v>2</v>
      </c>
      <c r="H6" s="191" t="inlineStr">
        <is>
          <t>MEDIUM</t>
        </is>
      </c>
      <c r="I6" s="191" t="n">
        <v>9.300000000000001</v>
      </c>
      <c r="J6" s="191" t="inlineStr">
        <is>
          <t>NO</t>
        </is>
      </c>
      <c r="K6" s="192" t="inlineStr">
        <is>
          <t>https://nvd.nist.gov/vuln/detail/CVE-2026-1657</t>
        </is>
      </c>
      <c r="L6" s="191" t="inlineStr">
        <is>
          <t>2026-02-23 23:48</t>
        </is>
      </c>
      <c r="M6" s="191" t="inlineStr">
        <is>
          <t>CHECK_VENDOR</t>
        </is>
      </c>
      <c r="N6" s="191" t="inlineStr">
        <is>
          <t>See NVD references</t>
        </is>
      </c>
      <c r="O6" s="191" t="inlineStr">
        <is>
          <t>Apply vendor patches</t>
        </is>
      </c>
      <c r="P6" s="191" t="inlineStr">
        <is>
          <t>See CVE details</t>
        </is>
      </c>
      <c r="Q6" s="191" t="inlineStr">
        <is>
          <t>P4</t>
        </is>
      </c>
      <c r="R6" s="191" t="inlineStr">
        <is>
          <t>📅 Schedule patch deployment within 30 days | 🔍 Monitor for exploitation attempts</t>
        </is>
      </c>
      <c r="S6" s="191" t="inlineStr">
        <is>
          <t>CVE - IP enrichment n/a</t>
        </is>
      </c>
      <c r="T6" s="191" t="n">
        <v>0</v>
      </c>
      <c r="U6" s="191" t="n">
        <v>0</v>
      </c>
      <c r="V6" s="191" t="inlineStr">
        <is>
          <t>T1190:Exploit Public-Facing Application</t>
        </is>
      </c>
      <c r="W6" s="191" t="n">
        <v>1</v>
      </c>
      <c r="X6" s="191" t="inlineStr">
        <is>
          <t>LOW (40%)</t>
        </is>
      </c>
      <c r="Y6" s="191" t="inlineStr">
        <is>
          <t>UNLIKELY</t>
        </is>
      </c>
      <c r="Z6" s="191" t="inlineStr">
        <is>
          <t>CHECK_VENDOR</t>
        </is>
      </c>
      <c r="AA6" s="192" t="inlineStr">
        <is>
          <t>https://nvd.nist.gov/vuln/detail/CVE-2026-1657</t>
        </is>
      </c>
      <c r="AB6" s="191" t="inlineStr">
        <is>
          <t>NONE</t>
        </is>
      </c>
      <c r="AC6" s="191" t="n">
        <v>0</v>
      </c>
      <c r="AD6" s="191" t="n"/>
    </row>
    <row r="7">
      <c r="A7" s="191" t="inlineStr">
        <is>
          <t>CVE</t>
        </is>
      </c>
      <c r="B7" s="191" t="inlineStr">
        <is>
          <t>CVE-2026-0829</t>
        </is>
      </c>
      <c r="C7" s="191" t="inlineStr">
        <is>
          <t>The Frontend File Manager Plugin WordPress plugin through 23.5 allows unauthenticated users to send emails through the site without any security checks. This lets attackers use the WordPress site as an open relay for spam or phishing emails to anyone. Attackers can also guess file IDs to access and share uploaded files without permission, exposing sensitive information.</t>
        </is>
      </c>
      <c r="D7" s="191" t="n">
        <v>5.8</v>
      </c>
      <c r="E7" s="191" t="inlineStr">
        <is>
          <t>MEDIUM</t>
        </is>
      </c>
      <c r="F7" s="191" t="n">
        <v>2</v>
      </c>
      <c r="G7" s="191" t="n">
        <v>2</v>
      </c>
      <c r="H7" s="191" t="inlineStr">
        <is>
          <t>MEDIUM</t>
        </is>
      </c>
      <c r="I7" s="191" t="n">
        <v>9.800000000000001</v>
      </c>
      <c r="J7" s="191" t="inlineStr">
        <is>
          <t>NO</t>
        </is>
      </c>
      <c r="K7" s="192" t="inlineStr">
        <is>
          <t>https://nvd.nist.gov/vuln/detail/CVE-2026-0829</t>
        </is>
      </c>
      <c r="L7" s="191" t="inlineStr">
        <is>
          <t>2026-02-23 23:48</t>
        </is>
      </c>
      <c r="M7" s="191" t="inlineStr">
        <is>
          <t>CHECK_VENDOR</t>
        </is>
      </c>
      <c r="N7" s="191" t="inlineStr">
        <is>
          <t>See NVD references</t>
        </is>
      </c>
      <c r="O7" s="191" t="inlineStr">
        <is>
          <t>Apply vendor patches</t>
        </is>
      </c>
      <c r="P7" s="191" t="inlineStr">
        <is>
          <t>See CVE details</t>
        </is>
      </c>
      <c r="Q7" s="191" t="inlineStr">
        <is>
          <t>P4</t>
        </is>
      </c>
      <c r="R7" s="191" t="inlineStr">
        <is>
          <t>📅 Schedule patch deployment within 30 days | 🔍 Monitor for exploitation attempts</t>
        </is>
      </c>
      <c r="S7" s="191" t="inlineStr">
        <is>
          <t>CVE - IP enrichment n/a</t>
        </is>
      </c>
      <c r="T7" s="191" t="n">
        <v>0</v>
      </c>
      <c r="U7" s="191" t="n">
        <v>0</v>
      </c>
      <c r="V7" s="191" t="inlineStr">
        <is>
          <t>T1566:Phishing</t>
        </is>
      </c>
      <c r="W7" s="191" t="n">
        <v>1</v>
      </c>
      <c r="X7" s="191" t="inlineStr">
        <is>
          <t>LOW (40%)</t>
        </is>
      </c>
      <c r="Y7" s="191" t="inlineStr">
        <is>
          <t>UNLIKELY</t>
        </is>
      </c>
      <c r="Z7" s="191" t="inlineStr">
        <is>
          <t>CHECK_VENDOR</t>
        </is>
      </c>
      <c r="AA7" s="192" t="inlineStr">
        <is>
          <t>https://nvd.nist.gov/vuln/detail/CVE-2026-0829</t>
        </is>
      </c>
      <c r="AB7" s="191" t="inlineStr">
        <is>
          <t>NONE</t>
        </is>
      </c>
      <c r="AC7" s="191" t="n">
        <v>0</v>
      </c>
      <c r="AD7" s="191" t="n"/>
    </row>
    <row r="8">
      <c r="A8" s="189" t="inlineStr">
        <is>
          <t>CVE</t>
        </is>
      </c>
      <c r="B8" s="189" t="inlineStr">
        <is>
          <t>CVE-2026-1216</t>
        </is>
      </c>
      <c r="C8" s="189" t="inlineStr">
        <is>
          <t>The RSS Aggregator plugin for WordPress is vulnerable to Reflected Cross-Site Scripting via the 'template' parameter in all versions up to, and including, 5.0.10 due to insufficient input sanitization and output escaping on user supplied attributes. This makes it possible for unauthenticated attackers to inject arbitrary web scripts in pages that execute if they can successfully trick a user into performing an action such as clicking on a link.</t>
        </is>
      </c>
      <c r="D8" s="189" t="n">
        <v>7.2</v>
      </c>
      <c r="E8" s="189" t="inlineStr">
        <is>
          <t>HIGH</t>
        </is>
      </c>
      <c r="F8" s="189" t="n">
        <v>2</v>
      </c>
      <c r="G8" s="189" t="n">
        <v>3</v>
      </c>
      <c r="H8" s="189" t="inlineStr">
        <is>
          <t>HIGH</t>
        </is>
      </c>
      <c r="I8" s="189" t="n">
        <v>13.2</v>
      </c>
      <c r="J8" s="189" t="inlineStr">
        <is>
          <t>NO</t>
        </is>
      </c>
      <c r="K8" s="190" t="inlineStr">
        <is>
          <t>https://nvd.nist.gov/vuln/detail/CVE-2026-1216</t>
        </is>
      </c>
      <c r="L8" s="189" t="inlineStr">
        <is>
          <t>2026-02-23 23:48</t>
        </is>
      </c>
      <c r="M8" s="189" t="inlineStr">
        <is>
          <t>CHECK_VENDOR</t>
        </is>
      </c>
      <c r="N8" s="189" t="inlineStr">
        <is>
          <t>See NVD references</t>
        </is>
      </c>
      <c r="O8" s="189" t="inlineStr">
        <is>
          <t>Apply vendor patches</t>
        </is>
      </c>
      <c r="P8" s="189" t="inlineStr">
        <is>
          <t>See CVE details</t>
        </is>
      </c>
      <c r="Q8" s="189" t="inlineStr">
        <is>
          <t>P2</t>
        </is>
      </c>
      <c r="R8" s="189" t="inlineStr">
        <is>
          <t>🚨 URGENT: Apply vendor patches immediately | 🔒 Isolate affected systems if patch unavailable | 🛡️ Enable additional monitoring/IDS rules</t>
        </is>
      </c>
      <c r="S8" s="189" t="inlineStr">
        <is>
          <t>CVE - IP enrichment n/a</t>
        </is>
      </c>
      <c r="T8" s="189" t="n">
        <v>0</v>
      </c>
      <c r="U8" s="189" t="n">
        <v>0</v>
      </c>
      <c r="V8" s="189" t="inlineStr">
        <is>
          <t>T1189:Drive-by Compromise</t>
        </is>
      </c>
      <c r="W8" s="189" t="n">
        <v>2</v>
      </c>
      <c r="X8" s="189" t="inlineStr">
        <is>
          <t>HIGH (72%)</t>
        </is>
      </c>
      <c r="Y8" s="189" t="inlineStr">
        <is>
          <t>POSSIBLE</t>
        </is>
      </c>
      <c r="Z8" s="189" t="inlineStr">
        <is>
          <t>CHECK_VENDOR</t>
        </is>
      </c>
      <c r="AA8" s="190" t="inlineStr">
        <is>
          <t>https://nvd.nist.gov/vuln/detail/CVE-2026-1216</t>
        </is>
      </c>
      <c r="AB8" s="189" t="inlineStr">
        <is>
          <t>NONE</t>
        </is>
      </c>
      <c r="AC8" s="189" t="n">
        <v>3.6</v>
      </c>
      <c r="AD8" s="189" t="n"/>
    </row>
    <row r="9">
      <c r="A9" s="189" t="inlineStr">
        <is>
          <t>CVE</t>
        </is>
      </c>
      <c r="B9" s="189" t="inlineStr">
        <is>
          <t>CVE-2026-25903</t>
        </is>
      </c>
      <c r="C9" s="189" t="inlineStr">
        <is>
          <t>Apache NiFi 1.1.0 through 2.7.2 are missing authorization when updating configuration properties on extension components that have specific Required Permissions based on the Restricted annotation. The Restricted annotation indicates additional privileges required to add the annotated component to the flow configuration, but framework authorization did not check restricted status when updating a component previously added. The missing authorization requires a more privileged user to add a restric</t>
        </is>
      </c>
      <c r="D9" s="189" t="n">
        <v>8.5</v>
      </c>
      <c r="E9" s="189" t="inlineStr">
        <is>
          <t>HIGH</t>
        </is>
      </c>
      <c r="F9" s="189" t="n">
        <v>2</v>
      </c>
      <c r="G9" s="189" t="n">
        <v>3</v>
      </c>
      <c r="H9" s="189" t="inlineStr">
        <is>
          <t>HIGH</t>
        </is>
      </c>
      <c r="I9" s="189" t="n">
        <v>14.5</v>
      </c>
      <c r="J9" s="189" t="inlineStr">
        <is>
          <t>NO</t>
        </is>
      </c>
      <c r="K9" s="190" t="inlineStr">
        <is>
          <t>https://nvd.nist.gov/vuln/detail/CVE-2026-25903</t>
        </is>
      </c>
      <c r="L9" s="189" t="inlineStr">
        <is>
          <t>2026-02-23 23:48</t>
        </is>
      </c>
      <c r="M9" s="189" t="inlineStr">
        <is>
          <t>CHECK_VENDOR</t>
        </is>
      </c>
      <c r="N9" s="189" t="inlineStr">
        <is>
          <t>See NVD references</t>
        </is>
      </c>
      <c r="O9" s="189" t="inlineStr">
        <is>
          <t>Apply vendor patches</t>
        </is>
      </c>
      <c r="P9" s="189" t="inlineStr">
        <is>
          <t>See CVE details</t>
        </is>
      </c>
      <c r="Q9" s="189" t="inlineStr">
        <is>
          <t>P3</t>
        </is>
      </c>
      <c r="R9" s="189" t="inlineStr">
        <is>
          <t>🚨 URGENT: Apply vendor patches immediately | 🔒 Isolate affected systems if patch unavailable | 🛡️ Enable additional monitoring/IDS rules</t>
        </is>
      </c>
      <c r="S9" s="189" t="inlineStr">
        <is>
          <t>CVE - IP enrichment n/a</t>
        </is>
      </c>
      <c r="T9" s="189" t="n">
        <v>0</v>
      </c>
      <c r="U9" s="189" t="n">
        <v>0</v>
      </c>
      <c r="V9" s="189" t="inlineStr">
        <is>
          <t>T1190:Exploit Public-Facing Application</t>
        </is>
      </c>
      <c r="W9" s="189" t="n">
        <v>1</v>
      </c>
      <c r="X9" s="189" t="inlineStr">
        <is>
          <t>LOW (40%)</t>
        </is>
      </c>
      <c r="Y9" s="189" t="inlineStr">
        <is>
          <t>UNLIKELY</t>
        </is>
      </c>
      <c r="Z9" s="189" t="inlineStr">
        <is>
          <t>CHECK_VENDOR</t>
        </is>
      </c>
      <c r="AA9" s="190" t="inlineStr">
        <is>
          <t>https://nvd.nist.gov/vuln/detail/CVE-2026-25903</t>
        </is>
      </c>
      <c r="AB9" s="189" t="inlineStr">
        <is>
          <t>NONE</t>
        </is>
      </c>
      <c r="AC9" s="189" t="n">
        <v>0</v>
      </c>
      <c r="AD9" s="189" t="n"/>
    </row>
    <row r="10">
      <c r="A10" s="189" t="inlineStr">
        <is>
          <t>CVE</t>
        </is>
      </c>
      <c r="B10" s="189" t="inlineStr">
        <is>
          <t>CVE-2025-7631</t>
        </is>
      </c>
      <c r="C10" s="189" t="inlineStr">
        <is>
          <t>Improper Neutralization of Special Elements used in an SQL Command ('SQL Injection') vulnerability in Tumeva Internet Technologies Software Information Advertising and Consulting Services Trade Ltd. Co. Tumeva News Software allows SQL Injection.This issue affects Tumeva News Software: through 17022026. NOTE: The vendor was contacted early about this disclosure but did not respond in any way.</t>
        </is>
      </c>
      <c r="D10" s="189" t="n">
        <v>8.6</v>
      </c>
      <c r="E10" s="189" t="inlineStr">
        <is>
          <t>HIGH</t>
        </is>
      </c>
      <c r="F10" s="189" t="n">
        <v>2</v>
      </c>
      <c r="G10" s="189" t="n">
        <v>3</v>
      </c>
      <c r="H10" s="189" t="inlineStr">
        <is>
          <t>HIGH</t>
        </is>
      </c>
      <c r="I10" s="189" t="n">
        <v>14.6</v>
      </c>
      <c r="J10" s="189" t="inlineStr">
        <is>
          <t>NO</t>
        </is>
      </c>
      <c r="K10" s="190" t="inlineStr">
        <is>
          <t>https://nvd.nist.gov/vuln/detail/CVE-2025-7631</t>
        </is>
      </c>
      <c r="L10" s="189" t="inlineStr">
        <is>
          <t>2026-02-23 23:48</t>
        </is>
      </c>
      <c r="M10" s="189" t="inlineStr">
        <is>
          <t>CHECK_VENDOR</t>
        </is>
      </c>
      <c r="N10" s="189" t="inlineStr">
        <is>
          <t>See NVD references</t>
        </is>
      </c>
      <c r="O10" s="189" t="inlineStr">
        <is>
          <t>Apply vendor patches</t>
        </is>
      </c>
      <c r="P10" s="189" t="inlineStr">
        <is>
          <t>See CVE details</t>
        </is>
      </c>
      <c r="Q10" s="189" t="inlineStr">
        <is>
          <t>P3</t>
        </is>
      </c>
      <c r="R10" s="189" t="inlineStr">
        <is>
          <t>🚨 URGENT: Apply vendor patches immediately | 🔒 Isolate affected systems if patch unavailable | 🛡️ Enable additional monitoring/IDS rules</t>
        </is>
      </c>
      <c r="S10" s="189" t="inlineStr">
        <is>
          <t>CVE - IP enrichment n/a</t>
        </is>
      </c>
      <c r="T10" s="189" t="n">
        <v>0.0004</v>
      </c>
      <c r="U10" s="189" t="n">
        <v>0.1059</v>
      </c>
      <c r="V10" s="189" t="inlineStr">
        <is>
          <t>T1190:Exploit Public-Facing Application</t>
        </is>
      </c>
      <c r="W10" s="189" t="n">
        <v>1</v>
      </c>
      <c r="X10" s="189" t="inlineStr">
        <is>
          <t>LOW (40%)</t>
        </is>
      </c>
      <c r="Y10" s="189" t="inlineStr">
        <is>
          <t>UNLIKELY</t>
        </is>
      </c>
      <c r="Z10" s="189" t="inlineStr">
        <is>
          <t>CHECK_VENDOR</t>
        </is>
      </c>
      <c r="AA10" s="190" t="inlineStr">
        <is>
          <t>https://nvd.nist.gov/vuln/detail/CVE-2025-7631</t>
        </is>
      </c>
      <c r="AB10" s="189" t="inlineStr">
        <is>
          <t>NONE</t>
        </is>
      </c>
      <c r="AC10" s="189" t="n">
        <v>0</v>
      </c>
      <c r="AD10" s="189" t="n"/>
    </row>
    <row r="11">
      <c r="A11" s="191" t="inlineStr">
        <is>
          <t>CVE</t>
        </is>
      </c>
      <c r="B11" s="191" t="inlineStr">
        <is>
          <t>CVE-2025-8303</t>
        </is>
      </c>
      <c r="C11" s="191" t="inlineStr">
        <is>
          <t>Improper Neutralization of Input During Web Page Generation (XSS or 'Cross-site Scripting') vulnerability in EKA Software Computer Information Advertising Services Ltd. Real Estate Script V5 (With Doping Module – Store Module – New Language System) allows Cross-Site Scripting (XSS).This issue affects Real Estate Script V5 (With Doping Module – Store Module – New Language System): through 17022026.
NOTE: The vendor was contacted early about this disclosure but did not respond in any way.</t>
        </is>
      </c>
      <c r="D11" s="191" t="n">
        <v>6.5</v>
      </c>
      <c r="E11" s="191" t="inlineStr">
        <is>
          <t>MEDIUM</t>
        </is>
      </c>
      <c r="F11" s="191" t="n">
        <v>2</v>
      </c>
      <c r="G11" s="191" t="n">
        <v>2</v>
      </c>
      <c r="H11" s="191" t="inlineStr">
        <is>
          <t>MEDIUM</t>
        </is>
      </c>
      <c r="I11" s="191" t="n">
        <v>10.5</v>
      </c>
      <c r="J11" s="191" t="inlineStr">
        <is>
          <t>NO</t>
        </is>
      </c>
      <c r="K11" s="192" t="inlineStr">
        <is>
          <t>https://nvd.nist.gov/vuln/detail/CVE-2025-8303</t>
        </is>
      </c>
      <c r="L11" s="191" t="inlineStr">
        <is>
          <t>2026-02-23 23:48</t>
        </is>
      </c>
      <c r="M11" s="191" t="inlineStr">
        <is>
          <t>CHECK_VENDOR</t>
        </is>
      </c>
      <c r="N11" s="191" t="inlineStr">
        <is>
          <t>See NVD references</t>
        </is>
      </c>
      <c r="O11" s="191" t="inlineStr">
        <is>
          <t>Apply vendor patches</t>
        </is>
      </c>
      <c r="P11" s="191" t="inlineStr">
        <is>
          <t>See CVE details</t>
        </is>
      </c>
      <c r="Q11" s="191" t="inlineStr">
        <is>
          <t>P4</t>
        </is>
      </c>
      <c r="R11" s="191" t="inlineStr">
        <is>
          <t>📅 Schedule patch deployment within 30 days | 🔍 Monitor for exploitation attempts</t>
        </is>
      </c>
      <c r="S11" s="191" t="inlineStr">
        <is>
          <t>CVE - IP enrichment n/a</t>
        </is>
      </c>
      <c r="T11" s="191" t="n">
        <v>0.0002</v>
      </c>
      <c r="U11" s="191" t="n">
        <v>0.0451</v>
      </c>
      <c r="V11" s="191" t="inlineStr">
        <is>
          <t>T1189:Drive-by Compromise</t>
        </is>
      </c>
      <c r="W11" s="191" t="n">
        <v>1</v>
      </c>
      <c r="X11" s="191" t="inlineStr">
        <is>
          <t>LOW (40%)</t>
        </is>
      </c>
      <c r="Y11" s="191" t="inlineStr">
        <is>
          <t>UNLIKELY</t>
        </is>
      </c>
      <c r="Z11" s="191" t="inlineStr">
        <is>
          <t>CHECK_VENDOR</t>
        </is>
      </c>
      <c r="AA11" s="192" t="inlineStr">
        <is>
          <t>https://nvd.nist.gov/vuln/detail/CVE-2025-8303</t>
        </is>
      </c>
      <c r="AB11" s="191" t="inlineStr">
        <is>
          <t>NONE</t>
        </is>
      </c>
      <c r="AC11" s="191" t="n">
        <v>0</v>
      </c>
      <c r="AD11" s="191" t="n"/>
    </row>
    <row r="12">
      <c r="A12" s="191" t="inlineStr">
        <is>
          <t>CVE</t>
        </is>
      </c>
      <c r="B12" s="191" t="inlineStr">
        <is>
          <t>CVE-2026-2247</t>
        </is>
      </c>
      <c r="C12" s="191" t="inlineStr">
        <is>
          <t>SQL injection vulnerability (SQLi) in Clicldeu SaaS, specifically in the generation of reports, which occurs when a previously authenticated remote attacker executes a malicious payload in the URL generated after downloading the student's report card in the ‘Day-to-day’ section from the mobile application.
In the URL of the generated PDF, the session token used does not expire, so it remains valid for days after its generation, and unusual characters can be entered after the ‘id_alu’ parameter,</t>
        </is>
      </c>
      <c r="D12" s="191" t="n">
        <v>5</v>
      </c>
      <c r="E12" s="191" t="inlineStr">
        <is>
          <t>MEDIUM</t>
        </is>
      </c>
      <c r="F12" s="191" t="n">
        <v>2</v>
      </c>
      <c r="G12" s="191" t="n">
        <v>2</v>
      </c>
      <c r="H12" s="191" t="inlineStr">
        <is>
          <t>MEDIUM</t>
        </is>
      </c>
      <c r="I12" s="191" t="n">
        <v>9</v>
      </c>
      <c r="J12" s="191" t="inlineStr">
        <is>
          <t>NO</t>
        </is>
      </c>
      <c r="K12" s="192" t="inlineStr">
        <is>
          <t>https://nvd.nist.gov/vuln/detail/CVE-2026-2247</t>
        </is>
      </c>
      <c r="L12" s="191" t="inlineStr">
        <is>
          <t>2026-02-23 23:48</t>
        </is>
      </c>
      <c r="M12" s="191" t="inlineStr">
        <is>
          <t>CHECK_VENDOR</t>
        </is>
      </c>
      <c r="N12" s="191" t="inlineStr">
        <is>
          <t>See NVD references</t>
        </is>
      </c>
      <c r="O12" s="191" t="inlineStr">
        <is>
          <t>Apply vendor patches</t>
        </is>
      </c>
      <c r="P12" s="191" t="inlineStr">
        <is>
          <t>See CVE details</t>
        </is>
      </c>
      <c r="Q12" s="191" t="inlineStr">
        <is>
          <t>P4</t>
        </is>
      </c>
      <c r="R12" s="191" t="inlineStr">
        <is>
          <t>📅 Schedule patch deployment within 30 days | 🔍 Monitor for exploitation attempts</t>
        </is>
      </c>
      <c r="S12" s="191" t="inlineStr">
        <is>
          <t>CVE - IP enrichment n/a</t>
        </is>
      </c>
      <c r="T12" s="191" t="n">
        <v>0</v>
      </c>
      <c r="U12" s="191" t="n">
        <v>0</v>
      </c>
      <c r="V12" s="191" t="inlineStr">
        <is>
          <t>T1190:Exploit Public-Facing Application</t>
        </is>
      </c>
      <c r="W12" s="191" t="n">
        <v>1</v>
      </c>
      <c r="X12" s="191" t="inlineStr">
        <is>
          <t>LOW (40%)</t>
        </is>
      </c>
      <c r="Y12" s="191" t="inlineStr">
        <is>
          <t>UNLIKELY</t>
        </is>
      </c>
      <c r="Z12" s="191" t="inlineStr">
        <is>
          <t>CHECK_VENDOR</t>
        </is>
      </c>
      <c r="AA12" s="192" t="inlineStr">
        <is>
          <t>https://nvd.nist.gov/vuln/detail/CVE-2026-2247</t>
        </is>
      </c>
      <c r="AB12" s="191" t="inlineStr">
        <is>
          <t>NONE</t>
        </is>
      </c>
      <c r="AC12" s="191" t="n">
        <v>0</v>
      </c>
      <c r="AD12" s="191" t="n"/>
    </row>
    <row r="13">
      <c r="A13" s="191" t="inlineStr">
        <is>
          <t>CVE</t>
        </is>
      </c>
      <c r="B13" s="191" t="inlineStr">
        <is>
          <t>CVE-2026-2608</t>
        </is>
      </c>
      <c r="C13" s="191" t="inlineStr">
        <is>
          <t>The Kadence Blocks — Page Builder Toolkit for Gutenberg Editor plugin for WordPress is vulnerable to unauthorized access due to a missing capability check on a function in all versions up to, and including, 3.5.32. This makes it possible for authenticated attackers, with Contributor-level access and above, to perform an unauthorized action.</t>
        </is>
      </c>
      <c r="D13" s="191" t="n">
        <v>4.3</v>
      </c>
      <c r="E13" s="191" t="inlineStr">
        <is>
          <t>MEDIUM</t>
        </is>
      </c>
      <c r="F13" s="191" t="n">
        <v>2</v>
      </c>
      <c r="G13" s="191" t="n">
        <v>2</v>
      </c>
      <c r="H13" s="191" t="inlineStr">
        <is>
          <t>MEDIUM</t>
        </is>
      </c>
      <c r="I13" s="191" t="n">
        <v>8.300000000000001</v>
      </c>
      <c r="J13" s="191" t="inlineStr">
        <is>
          <t>NO</t>
        </is>
      </c>
      <c r="K13" s="192" t="inlineStr">
        <is>
          <t>https://nvd.nist.gov/vuln/detail/CVE-2026-2608</t>
        </is>
      </c>
      <c r="L13" s="191" t="inlineStr">
        <is>
          <t>2026-02-23 23:48</t>
        </is>
      </c>
      <c r="M13" s="191" t="inlineStr">
        <is>
          <t>CHECK_VENDOR</t>
        </is>
      </c>
      <c r="N13" s="191" t="inlineStr">
        <is>
          <t>See NVD references</t>
        </is>
      </c>
      <c r="O13" s="191" t="inlineStr">
        <is>
          <t>Apply vendor patches</t>
        </is>
      </c>
      <c r="P13" s="191" t="inlineStr">
        <is>
          <t>See CVE details</t>
        </is>
      </c>
      <c r="Q13" s="191" t="inlineStr">
        <is>
          <t>P4</t>
        </is>
      </c>
      <c r="R13" s="191" t="inlineStr">
        <is>
          <t>📅 Schedule patch deployment within 30 days | 🔍 Monitor for exploitation attempts</t>
        </is>
      </c>
      <c r="S13" s="191" t="inlineStr">
        <is>
          <t>CVE - IP enrichment n/a</t>
        </is>
      </c>
      <c r="T13" s="191" t="n">
        <v>0</v>
      </c>
      <c r="U13" s="191" t="n">
        <v>0</v>
      </c>
      <c r="V13" s="191" t="inlineStr">
        <is>
          <t>T1190:Exploit Public-Facing Application</t>
        </is>
      </c>
      <c r="W13" s="191" t="n">
        <v>1</v>
      </c>
      <c r="X13" s="191" t="inlineStr">
        <is>
          <t>LOW (40%)</t>
        </is>
      </c>
      <c r="Y13" s="191" t="inlineStr">
        <is>
          <t>UNLIKELY</t>
        </is>
      </c>
      <c r="Z13" s="191" t="inlineStr">
        <is>
          <t>CHECK_VENDOR</t>
        </is>
      </c>
      <c r="AA13" s="192" t="inlineStr">
        <is>
          <t>https://nvd.nist.gov/vuln/detail/CVE-2026-2608</t>
        </is>
      </c>
      <c r="AB13" s="191" t="inlineStr">
        <is>
          <t>NONE</t>
        </is>
      </c>
      <c r="AC13" s="191" t="n">
        <v>0</v>
      </c>
      <c r="AD13" s="191" t="n"/>
    </row>
    <row r="14">
      <c r="A14" s="189" t="inlineStr">
        <is>
          <t>CVE</t>
        </is>
      </c>
      <c r="B14" s="189" t="inlineStr">
        <is>
          <t>CVE-2026-2615</t>
        </is>
      </c>
      <c r="C14" s="189" t="inlineStr">
        <is>
          <t>A flaw has been found in Wavlink WL-NU516U1 up to 20251208. The affected element is the function singlePortForwardDelete of the file /cgi-bin/firewall.cgi. Executing a manipulation of the argument del_flag can lead to command injection. The attack may be launched remotely. The exploit has been published and may be used. The vendor was contacted early about this disclosure but did not respond in any way.</t>
        </is>
      </c>
      <c r="D14" s="189" t="n">
        <v>7.2</v>
      </c>
      <c r="E14" s="189" t="inlineStr">
        <is>
          <t>HIGH</t>
        </is>
      </c>
      <c r="F14" s="189" t="n">
        <v>2</v>
      </c>
      <c r="G14" s="189" t="n">
        <v>3</v>
      </c>
      <c r="H14" s="189" t="inlineStr">
        <is>
          <t>HIGH</t>
        </is>
      </c>
      <c r="I14" s="189" t="n">
        <v>13.2</v>
      </c>
      <c r="J14" s="189" t="inlineStr">
        <is>
          <t>NO</t>
        </is>
      </c>
      <c r="K14" s="190" t="inlineStr">
        <is>
          <t>https://nvd.nist.gov/vuln/detail/CVE-2026-2615</t>
        </is>
      </c>
      <c r="L14" s="189" t="inlineStr">
        <is>
          <t>2026-02-23 23:48</t>
        </is>
      </c>
      <c r="M14" s="189" t="inlineStr">
        <is>
          <t>CHECK_VENDOR</t>
        </is>
      </c>
      <c r="N14" s="189" t="inlineStr">
        <is>
          <t>See NVD references</t>
        </is>
      </c>
      <c r="O14" s="189" t="inlineStr">
        <is>
          <t>Apply vendor patches</t>
        </is>
      </c>
      <c r="P14" s="189" t="inlineStr">
        <is>
          <t>wavlink wl-nu516u1 - | wavlink wl-nu516u1_firmware *</t>
        </is>
      </c>
      <c r="Q14" s="189" t="inlineStr">
        <is>
          <t>P3</t>
        </is>
      </c>
      <c r="R14" s="189" t="inlineStr">
        <is>
          <t>🚨 URGENT: Apply vendor patches immediately | 🔒 Isolate affected systems if patch unavailable | 🛡️ Enable additional monitoring/IDS rules</t>
        </is>
      </c>
      <c r="S14" s="189" t="inlineStr">
        <is>
          <t>CVE - IP enrichment n/a</t>
        </is>
      </c>
      <c r="T14" s="189" t="n">
        <v>0.004</v>
      </c>
      <c r="U14" s="189" t="n">
        <v>0.602</v>
      </c>
      <c r="V14" s="189" t="inlineStr">
        <is>
          <t>T1059:Command and Scripting Interpreter | T1562:Impair Defenses</t>
        </is>
      </c>
      <c r="W14" s="189" t="n">
        <v>1</v>
      </c>
      <c r="X14" s="189" t="inlineStr">
        <is>
          <t>LOW (40%)</t>
        </is>
      </c>
      <c r="Y14" s="189" t="inlineStr">
        <is>
          <t>UNLIKELY</t>
        </is>
      </c>
      <c r="Z14" s="189" t="inlineStr">
        <is>
          <t>CHECK_VENDOR</t>
        </is>
      </c>
      <c r="AA14" s="190" t="inlineStr">
        <is>
          <t>https://nvd.nist.gov/vuln/detail/CVE-2026-2615</t>
        </is>
      </c>
      <c r="AB14" s="189" t="inlineStr">
        <is>
          <t>NONE</t>
        </is>
      </c>
      <c r="AC14" s="189" t="n">
        <v>0</v>
      </c>
      <c r="AD14" s="189" t="n"/>
    </row>
    <row r="15">
      <c r="A15" s="191" t="inlineStr">
        <is>
          <t>CVE</t>
        </is>
      </c>
      <c r="B15" s="191" t="inlineStr">
        <is>
          <t>CVE-2025-7706</t>
        </is>
      </c>
      <c r="C15" s="191" t="inlineStr">
        <is>
          <t>Missing Authentication for Critical Function vulnerability in TUBITAK BILGEM Software Technologies Research Institute Liderahenk allows Remote Code Inclusion.This issue affects Liderahenk: from 3.0.0 to 3.3.1 before 3.5.0.</t>
        </is>
      </c>
      <c r="D15" s="191" t="n">
        <v>6.1</v>
      </c>
      <c r="E15" s="191" t="inlineStr">
        <is>
          <t>MEDIUM</t>
        </is>
      </c>
      <c r="F15" s="191" t="n">
        <v>2</v>
      </c>
      <c r="G15" s="191" t="n">
        <v>2</v>
      </c>
      <c r="H15" s="191" t="inlineStr">
        <is>
          <t>MEDIUM</t>
        </is>
      </c>
      <c r="I15" s="191" t="n">
        <v>10.1</v>
      </c>
      <c r="J15" s="191" t="inlineStr">
        <is>
          <t>NO</t>
        </is>
      </c>
      <c r="K15" s="192" t="inlineStr">
        <is>
          <t>https://nvd.nist.gov/vuln/detail/CVE-2025-7706</t>
        </is>
      </c>
      <c r="L15" s="191" t="inlineStr">
        <is>
          <t>2026-02-23 23:48</t>
        </is>
      </c>
      <c r="M15" s="191" t="inlineStr">
        <is>
          <t>CHECK_VENDOR</t>
        </is>
      </c>
      <c r="N15" s="191" t="inlineStr">
        <is>
          <t>See NVD references</t>
        </is>
      </c>
      <c r="O15" s="191" t="inlineStr">
        <is>
          <t>Apply vendor patches</t>
        </is>
      </c>
      <c r="P15" s="191" t="inlineStr">
        <is>
          <t>See CVE details</t>
        </is>
      </c>
      <c r="Q15" s="191" t="inlineStr">
        <is>
          <t>P4</t>
        </is>
      </c>
      <c r="R15" s="191" t="inlineStr">
        <is>
          <t>📅 Schedule patch deployment within 30 days | 🔍 Monitor for exploitation attempts</t>
        </is>
      </c>
      <c r="S15" s="191" t="inlineStr">
        <is>
          <t>CVE - IP enrichment n/a</t>
        </is>
      </c>
      <c r="T15" s="191" t="n">
        <v>0</v>
      </c>
      <c r="U15" s="191" t="n">
        <v>0</v>
      </c>
      <c r="V15" s="191" t="inlineStr">
        <is>
          <t>T1078:Valid Accounts</t>
        </is>
      </c>
      <c r="W15" s="191" t="n">
        <v>1</v>
      </c>
      <c r="X15" s="191" t="inlineStr">
        <is>
          <t>LOW (40%)</t>
        </is>
      </c>
      <c r="Y15" s="191" t="inlineStr">
        <is>
          <t>UNLIKELY</t>
        </is>
      </c>
      <c r="Z15" s="191" t="inlineStr">
        <is>
          <t>CHECK_VENDOR</t>
        </is>
      </c>
      <c r="AA15" s="192" t="inlineStr">
        <is>
          <t>https://nvd.nist.gov/vuln/detail/CVE-2025-7706</t>
        </is>
      </c>
      <c r="AB15" s="191" t="inlineStr">
        <is>
          <t>NONE</t>
        </is>
      </c>
      <c r="AC15" s="191" t="n">
        <v>0</v>
      </c>
      <c r="AD15" s="191" t="n"/>
    </row>
    <row r="16">
      <c r="A16" s="191" t="inlineStr">
        <is>
          <t>CVE</t>
        </is>
      </c>
      <c r="B16" s="191" t="inlineStr">
        <is>
          <t>CVE-2026-23861</t>
        </is>
      </c>
      <c r="C16" s="191" t="inlineStr">
        <is>
          <t>Dell Unisphere for PowerMax vApp, version(s) 9.2.4.x, contain(s) an Improper Neutralization of Input During Web Page Generation ('Cross-site Scripting') vulnerability. A low privileged attacker with remote access could potentially exploit this vulnerability, leading to the execution of malicious HTML or JavaScript code in a victim user's web browser in the context of the vulnerable web application. Exploitation may lead to information disclosure, session theft, or client-side request forgery.</t>
        </is>
      </c>
      <c r="D16" s="191" t="n">
        <v>5.4</v>
      </c>
      <c r="E16" s="191" t="inlineStr">
        <is>
          <t>MEDIUM</t>
        </is>
      </c>
      <c r="F16" s="191" t="n">
        <v>2</v>
      </c>
      <c r="G16" s="191" t="n">
        <v>2</v>
      </c>
      <c r="H16" s="191" t="inlineStr">
        <is>
          <t>MEDIUM</t>
        </is>
      </c>
      <c r="I16" s="191" t="n">
        <v>9.4</v>
      </c>
      <c r="J16" s="191" t="inlineStr">
        <is>
          <t>NO</t>
        </is>
      </c>
      <c r="K16" s="192" t="inlineStr">
        <is>
          <t>https://nvd.nist.gov/vuln/detail/CVE-2026-23861</t>
        </is>
      </c>
      <c r="L16" s="191" t="inlineStr">
        <is>
          <t>2026-02-23 23:48</t>
        </is>
      </c>
      <c r="M16" s="191" t="inlineStr">
        <is>
          <t>CHECK_VENDOR</t>
        </is>
      </c>
      <c r="N16" s="191" t="inlineStr">
        <is>
          <t>See NVD references</t>
        </is>
      </c>
      <c r="O16" s="191" t="inlineStr">
        <is>
          <t>Apply vendor patches</t>
        </is>
      </c>
      <c r="P16" s="191" t="inlineStr">
        <is>
          <t>See CVE details</t>
        </is>
      </c>
      <c r="Q16" s="191" t="inlineStr">
        <is>
          <t>P4</t>
        </is>
      </c>
      <c r="R16" s="191" t="inlineStr">
        <is>
          <t>📅 Schedule patch deployment within 30 days | 🔍 Monitor for exploitation attempts</t>
        </is>
      </c>
      <c r="S16" s="191" t="inlineStr">
        <is>
          <t>CVE - IP enrichment n/a</t>
        </is>
      </c>
      <c r="T16" s="191" t="n">
        <v>0</v>
      </c>
      <c r="U16" s="191" t="n">
        <v>0</v>
      </c>
      <c r="V16" s="191" t="inlineStr">
        <is>
          <t>T1189:Drive-by Compromise | T1213:Data from Information Repositories</t>
        </is>
      </c>
      <c r="W16" s="191" t="n">
        <v>1</v>
      </c>
      <c r="X16" s="191" t="inlineStr">
        <is>
          <t>LOW (40%)</t>
        </is>
      </c>
      <c r="Y16" s="191" t="inlineStr">
        <is>
          <t>UNLIKELY</t>
        </is>
      </c>
      <c r="Z16" s="191" t="inlineStr">
        <is>
          <t>CHECK_VENDOR</t>
        </is>
      </c>
      <c r="AA16" s="192" t="inlineStr">
        <is>
          <t>https://nvd.nist.gov/vuln/detail/CVE-2026-23861</t>
        </is>
      </c>
      <c r="AB16" s="191" t="inlineStr">
        <is>
          <t>NONE</t>
        </is>
      </c>
      <c r="AC16" s="191" t="n">
        <v>0</v>
      </c>
      <c r="AD16" s="191" t="n"/>
    </row>
    <row r="17">
      <c r="A17" s="189" t="inlineStr">
        <is>
          <t>CVE</t>
        </is>
      </c>
      <c r="B17" s="189" t="inlineStr">
        <is>
          <t>CVE-2026-25087</t>
        </is>
      </c>
      <c r="C17" s="189" t="inlineStr">
        <is>
          <t>Use After Free vulnerability in Apache Arrow C++. This issue affects Apache Arrow C++ from 15.0.0 through 23.0.0. It can be triggered when reading an Arrow IPC file (but not an IPC stream) with pre-buffering enabled, if the IPC file contains data with variadic buffers (such as Binary View and String View data). Depending on the number of variadic buffers in a record batch column and on the temporal sequence of multi-threaded IO, a write to a dangling pointer could occur. The value (a `std::share</t>
        </is>
      </c>
      <c r="D17" s="189" t="n">
        <v>7</v>
      </c>
      <c r="E17" s="189" t="inlineStr">
        <is>
          <t>HIGH</t>
        </is>
      </c>
      <c r="F17" s="189" t="n">
        <v>2</v>
      </c>
      <c r="G17" s="189" t="n">
        <v>3</v>
      </c>
      <c r="H17" s="189" t="inlineStr">
        <is>
          <t>HIGH</t>
        </is>
      </c>
      <c r="I17" s="189" t="n">
        <v>13</v>
      </c>
      <c r="J17" s="189" t="inlineStr">
        <is>
          <t>NO</t>
        </is>
      </c>
      <c r="K17" s="190" t="inlineStr">
        <is>
          <t>https://nvd.nist.gov/vuln/detail/CVE-2026-25087</t>
        </is>
      </c>
      <c r="L17" s="189" t="inlineStr">
        <is>
          <t>2026-02-23 23:48</t>
        </is>
      </c>
      <c r="M17" s="189" t="inlineStr">
        <is>
          <t>CHECK_VENDOR</t>
        </is>
      </c>
      <c r="N17" s="189" t="inlineStr">
        <is>
          <t>See NVD references</t>
        </is>
      </c>
      <c r="O17" s="189" t="inlineStr">
        <is>
          <t>Apply vendor patches</t>
        </is>
      </c>
      <c r="P17" s="189" t="inlineStr">
        <is>
          <t>See CVE details</t>
        </is>
      </c>
      <c r="Q17" s="189" t="inlineStr">
        <is>
          <t>P3</t>
        </is>
      </c>
      <c r="R17" s="189" t="inlineStr">
        <is>
          <t>🚨 URGENT: Apply vendor patches immediately | 🔒 Isolate affected systems if patch unavailable | 🛡️ Enable additional monitoring/IDS rules</t>
        </is>
      </c>
      <c r="S17" s="189" t="inlineStr">
        <is>
          <t>CVE - IP enrichment n/a</t>
        </is>
      </c>
      <c r="T17" s="189" t="n">
        <v>0</v>
      </c>
      <c r="U17" s="189" t="n">
        <v>0</v>
      </c>
      <c r="V17" s="189" t="inlineStr">
        <is>
          <t>T1203:Exploitation for Client Execution | T1190:Exploit Public-Facing Application | T1499:Endpoint Denial of Service</t>
        </is>
      </c>
      <c r="W17" s="189" t="n">
        <v>1</v>
      </c>
      <c r="X17" s="189" t="inlineStr">
        <is>
          <t>LOW (40%)</t>
        </is>
      </c>
      <c r="Y17" s="189" t="inlineStr">
        <is>
          <t>UNLIKELY</t>
        </is>
      </c>
      <c r="Z17" s="189" t="inlineStr">
        <is>
          <t>CHECK_VENDOR</t>
        </is>
      </c>
      <c r="AA17" s="190" t="inlineStr">
        <is>
          <t>https://nvd.nist.gov/vuln/detail/CVE-2026-25087</t>
        </is>
      </c>
      <c r="AB17" s="189" t="inlineStr">
        <is>
          <t>NONE</t>
        </is>
      </c>
      <c r="AC17" s="189" t="n">
        <v>0</v>
      </c>
      <c r="AD17" s="189" t="n"/>
    </row>
    <row r="18">
      <c r="A18" s="191" t="inlineStr">
        <is>
          <t>CVE</t>
        </is>
      </c>
      <c r="B18" s="191" t="inlineStr">
        <is>
          <t>CVE-2022-41650</t>
        </is>
      </c>
      <c r="C18" s="191" t="inlineStr">
        <is>
          <t>Missing Authorization vulnerability in Paul Custom Content by Country (by Shield Security) custom-content-by-country.This issue affects Custom Content by Country (by Shield Security): from n/a through 3.1.2.</t>
        </is>
      </c>
      <c r="D18" s="191" t="n">
        <v>6.5</v>
      </c>
      <c r="E18" s="191" t="inlineStr">
        <is>
          <t>MEDIUM</t>
        </is>
      </c>
      <c r="F18" s="191" t="n">
        <v>2</v>
      </c>
      <c r="G18" s="191" t="n">
        <v>2</v>
      </c>
      <c r="H18" s="191" t="inlineStr">
        <is>
          <t>MEDIUM</t>
        </is>
      </c>
      <c r="I18" s="191" t="n">
        <v>10.5</v>
      </c>
      <c r="J18" s="191" t="inlineStr">
        <is>
          <t>NO</t>
        </is>
      </c>
      <c r="K18" s="192" t="inlineStr">
        <is>
          <t>https://nvd.nist.gov/vuln/detail/CVE-2022-41650</t>
        </is>
      </c>
      <c r="L18" s="191" t="inlineStr">
        <is>
          <t>2026-02-23 23:48</t>
        </is>
      </c>
      <c r="M18" s="191" t="inlineStr">
        <is>
          <t>CHECK_VENDOR</t>
        </is>
      </c>
      <c r="N18" s="191" t="inlineStr">
        <is>
          <t>See NVD references</t>
        </is>
      </c>
      <c r="O18" s="191" t="inlineStr">
        <is>
          <t>Apply vendor patches</t>
        </is>
      </c>
      <c r="P18" s="191" t="inlineStr">
        <is>
          <t>See CVE details</t>
        </is>
      </c>
      <c r="Q18" s="191" t="inlineStr">
        <is>
          <t>P4</t>
        </is>
      </c>
      <c r="R18" s="191" t="inlineStr">
        <is>
          <t>📅 Schedule patch deployment within 30 days | 🔍 Monitor for exploitation attempts</t>
        </is>
      </c>
      <c r="S18" s="191" t="inlineStr">
        <is>
          <t>CVE - IP enrichment n/a</t>
        </is>
      </c>
      <c r="T18" s="191" t="n">
        <v>0</v>
      </c>
      <c r="U18" s="191" t="n">
        <v>0</v>
      </c>
      <c r="V18" s="191" t="inlineStr">
        <is>
          <t>T1190:Exploit Public-Facing Application</t>
        </is>
      </c>
      <c r="W18" s="191" t="n">
        <v>1</v>
      </c>
      <c r="X18" s="191" t="inlineStr">
        <is>
          <t>LOW (40%)</t>
        </is>
      </c>
      <c r="Y18" s="191" t="inlineStr">
        <is>
          <t>UNLIKELY</t>
        </is>
      </c>
      <c r="Z18" s="191" t="inlineStr">
        <is>
          <t>CHECK_VENDOR</t>
        </is>
      </c>
      <c r="AA18" s="192" t="inlineStr">
        <is>
          <t>https://nvd.nist.gov/vuln/detail/CVE-2022-41650</t>
        </is>
      </c>
      <c r="AB18" s="191" t="inlineStr">
        <is>
          <t>NONE</t>
        </is>
      </c>
      <c r="AC18" s="191" t="n">
        <v>0</v>
      </c>
      <c r="AD18" s="191" t="n"/>
    </row>
    <row r="19">
      <c r="A19" s="191" t="inlineStr">
        <is>
          <t>CVE</t>
        </is>
      </c>
      <c r="B19" s="191" t="inlineStr">
        <is>
          <t>CVE-2024-31118</t>
        </is>
      </c>
      <c r="C19" s="191" t="inlineStr">
        <is>
          <t>Missing Authorization vulnerability in Smartypants SP Project &amp; Document Manager allows Exploiting Incorrectly Configured Access Control Security Levels.This issue affects SP Project &amp; Document Manager: from n/a through 4.70.</t>
        </is>
      </c>
      <c r="D19" s="191" t="n">
        <v>6.5</v>
      </c>
      <c r="E19" s="191" t="inlineStr">
        <is>
          <t>MEDIUM</t>
        </is>
      </c>
      <c r="F19" s="191" t="n">
        <v>2</v>
      </c>
      <c r="G19" s="191" t="n">
        <v>2</v>
      </c>
      <c r="H19" s="191" t="inlineStr">
        <is>
          <t>MEDIUM</t>
        </is>
      </c>
      <c r="I19" s="191" t="n">
        <v>10.5</v>
      </c>
      <c r="J19" s="191" t="inlineStr">
        <is>
          <t>NO</t>
        </is>
      </c>
      <c r="K19" s="192" t="inlineStr">
        <is>
          <t>https://nvd.nist.gov/vuln/detail/CVE-2024-31118</t>
        </is>
      </c>
      <c r="L19" s="191" t="inlineStr">
        <is>
          <t>2026-02-23 23:48</t>
        </is>
      </c>
      <c r="M19" s="191" t="inlineStr">
        <is>
          <t>CHECK_VENDOR</t>
        </is>
      </c>
      <c r="N19" s="191" t="inlineStr">
        <is>
          <t>See NVD references</t>
        </is>
      </c>
      <c r="O19" s="191" t="inlineStr">
        <is>
          <t>Apply vendor patches</t>
        </is>
      </c>
      <c r="P19" s="191" t="inlineStr">
        <is>
          <t>See CVE details</t>
        </is>
      </c>
      <c r="Q19" s="191" t="inlineStr">
        <is>
          <t>P4</t>
        </is>
      </c>
      <c r="R19" s="191" t="inlineStr">
        <is>
          <t>📅 Schedule patch deployment within 30 days | 🔍 Monitor for exploitation attempts</t>
        </is>
      </c>
      <c r="S19" s="191" t="inlineStr">
        <is>
          <t>CVE - IP enrichment n/a</t>
        </is>
      </c>
      <c r="T19" s="191" t="n">
        <v>0.0005</v>
      </c>
      <c r="U19" s="191" t="n">
        <v>0.1529</v>
      </c>
      <c r="V19" s="191" t="inlineStr">
        <is>
          <t>T1190:Exploit Public-Facing Application</t>
        </is>
      </c>
      <c r="W19" s="191" t="n">
        <v>1</v>
      </c>
      <c r="X19" s="191" t="inlineStr">
        <is>
          <t>LOW (40%)</t>
        </is>
      </c>
      <c r="Y19" s="191" t="inlineStr">
        <is>
          <t>UNLIKELY</t>
        </is>
      </c>
      <c r="Z19" s="191" t="inlineStr">
        <is>
          <t>CHECK_VENDOR</t>
        </is>
      </c>
      <c r="AA19" s="192" t="inlineStr">
        <is>
          <t>https://nvd.nist.gov/vuln/detail/CVE-2024-31118</t>
        </is>
      </c>
      <c r="AB19" s="191" t="inlineStr">
        <is>
          <t>NONE</t>
        </is>
      </c>
      <c r="AC19" s="191" t="n">
        <v>0</v>
      </c>
      <c r="AD19" s="191" t="n"/>
    </row>
    <row r="20">
      <c r="A20" s="191" t="inlineStr">
        <is>
          <t>CVE</t>
        </is>
      </c>
      <c r="B20" s="191" t="inlineStr">
        <is>
          <t>CVE-2025-70829</t>
        </is>
      </c>
      <c r="C20" s="191" t="inlineStr">
        <is>
          <t>An information exposure vulnerability in Datart v1.0.0-rc.3 allows authenticated attackers to access sensitive data via a custom H2 JDBC connection string.</t>
        </is>
      </c>
      <c r="D20" s="191" t="n">
        <v>5.7</v>
      </c>
      <c r="E20" s="191" t="inlineStr">
        <is>
          <t>MEDIUM</t>
        </is>
      </c>
      <c r="F20" s="191" t="n">
        <v>2</v>
      </c>
      <c r="G20" s="191" t="n">
        <v>2</v>
      </c>
      <c r="H20" s="191" t="inlineStr">
        <is>
          <t>MEDIUM</t>
        </is>
      </c>
      <c r="I20" s="191" t="n">
        <v>9.699999999999999</v>
      </c>
      <c r="J20" s="191" t="inlineStr">
        <is>
          <t>NO</t>
        </is>
      </c>
      <c r="K20" s="192" t="inlineStr">
        <is>
          <t>https://nvd.nist.gov/vuln/detail/CVE-2025-70829</t>
        </is>
      </c>
      <c r="L20" s="191" t="inlineStr">
        <is>
          <t>2026-02-23 23:48</t>
        </is>
      </c>
      <c r="M20" s="191" t="inlineStr">
        <is>
          <t>CHECK_VENDOR</t>
        </is>
      </c>
      <c r="N20" s="191" t="inlineStr">
        <is>
          <t>See NVD references</t>
        </is>
      </c>
      <c r="O20" s="191" t="inlineStr">
        <is>
          <t>Apply vendor patches</t>
        </is>
      </c>
      <c r="P20" s="191" t="inlineStr">
        <is>
          <t>running-elephant datart 1.0.0</t>
        </is>
      </c>
      <c r="Q20" s="191" t="inlineStr">
        <is>
          <t>P4</t>
        </is>
      </c>
      <c r="R20" s="191" t="inlineStr">
        <is>
          <t>📅 Schedule patch deployment within 30 days | 🔍 Monitor for exploitation attempts</t>
        </is>
      </c>
      <c r="S20" s="191" t="inlineStr">
        <is>
          <t>CVE - IP enrichment n/a</t>
        </is>
      </c>
      <c r="T20" s="191" t="n">
        <v>0</v>
      </c>
      <c r="U20" s="191" t="n">
        <v>0</v>
      </c>
      <c r="V20" s="191" t="inlineStr">
        <is>
          <t>T1213:Data from Information Repositories</t>
        </is>
      </c>
      <c r="W20" s="191" t="n">
        <v>1</v>
      </c>
      <c r="X20" s="191" t="inlineStr">
        <is>
          <t>LOW (40%)</t>
        </is>
      </c>
      <c r="Y20" s="191" t="inlineStr">
        <is>
          <t>UNLIKELY</t>
        </is>
      </c>
      <c r="Z20" s="191" t="inlineStr">
        <is>
          <t>CHECK_VENDOR</t>
        </is>
      </c>
      <c r="AA20" s="192" t="inlineStr">
        <is>
          <t>https://nvd.nist.gov/vuln/detail/CVE-2025-70829</t>
        </is>
      </c>
      <c r="AB20" s="191" t="inlineStr">
        <is>
          <t>NONE</t>
        </is>
      </c>
      <c r="AC20" s="191" t="n">
        <v>0</v>
      </c>
      <c r="AD20" s="191" t="n"/>
    </row>
    <row r="21">
      <c r="A21" s="193" t="inlineStr">
        <is>
          <t>CVE</t>
        </is>
      </c>
      <c r="B21" s="193" t="inlineStr">
        <is>
          <t>CVE-2026-22208</t>
        </is>
      </c>
      <c r="C21" s="193" t="inlineStr">
        <is>
          <t>OpenS100 (the reference implementation S-100 viewer) prior to commit 753cf29 contain a remote code execution vulnerability via an unrestricted Lua interpreter. The Portrayal Engine initializes Lua using luaL_openlibs() without sandboxing or capability restrictions, exposing standard libraries such as 'os' and 'io' to untrusted portrayal catalogues. An attacker can provide a malicious S-100 portrayal catalogue containing Lua scripts that execute arbitrary commands with the privileges of the OpenS</t>
        </is>
      </c>
      <c r="D21" s="193" t="n">
        <v>9.6</v>
      </c>
      <c r="E21" s="193" t="inlineStr">
        <is>
          <t>CRITICAL</t>
        </is>
      </c>
      <c r="F21" s="193" t="n">
        <v>2</v>
      </c>
      <c r="G21" s="193" t="n">
        <v>3</v>
      </c>
      <c r="H21" s="193" t="inlineStr">
        <is>
          <t>HIGH</t>
        </is>
      </c>
      <c r="I21" s="193" t="n">
        <v>15.6</v>
      </c>
      <c r="J21" s="193" t="inlineStr">
        <is>
          <t>NO</t>
        </is>
      </c>
      <c r="K21" s="194" t="inlineStr">
        <is>
          <t>https://nvd.nist.gov/vuln/detail/CVE-2026-22208</t>
        </is>
      </c>
      <c r="L21" s="193" t="inlineStr">
        <is>
          <t>2026-02-23 23:48</t>
        </is>
      </c>
      <c r="M21" s="193" t="inlineStr">
        <is>
          <t>CHECK_VENDOR</t>
        </is>
      </c>
      <c r="N21" s="193" t="inlineStr">
        <is>
          <t>See NVD references</t>
        </is>
      </c>
      <c r="O21" s="193" t="inlineStr">
        <is>
          <t>Apply vendor patches</t>
        </is>
      </c>
      <c r="P21" s="193" t="inlineStr">
        <is>
          <t>See CVE details</t>
        </is>
      </c>
      <c r="Q21" s="193" t="inlineStr">
        <is>
          <t>P3</t>
        </is>
      </c>
      <c r="R21" s="193" t="inlineStr">
        <is>
          <t>🚨 URGENT: Apply vendor patches immediately | 🔒 Isolate affected systems if patch unavailable | 🛡️ Enable additional monitoring/IDS rules</t>
        </is>
      </c>
      <c r="S21" s="193" t="inlineStr">
        <is>
          <t>CVE - IP enrichment n/a</t>
        </is>
      </c>
      <c r="T21" s="193" t="n">
        <v>0</v>
      </c>
      <c r="U21" s="193" t="n">
        <v>0</v>
      </c>
      <c r="V21" s="193" t="inlineStr">
        <is>
          <t>T1190:Exploit Public-Facing Application | T1210:Exploitation of Remote Services</t>
        </is>
      </c>
      <c r="W21" s="193" t="n">
        <v>1</v>
      </c>
      <c r="X21" s="193" t="inlineStr">
        <is>
          <t>LOW (40%)</t>
        </is>
      </c>
      <c r="Y21" s="193" t="inlineStr">
        <is>
          <t>UNLIKELY</t>
        </is>
      </c>
      <c r="Z21" s="193" t="inlineStr">
        <is>
          <t>CHECK_VENDOR</t>
        </is>
      </c>
      <c r="AA21" s="194" t="inlineStr">
        <is>
          <t>https://nvd.nist.gov/vuln/detail/CVE-2026-22208</t>
        </is>
      </c>
      <c r="AB21" s="193" t="inlineStr">
        <is>
          <t>NONE</t>
        </is>
      </c>
      <c r="AC21" s="193" t="n">
        <v>0</v>
      </c>
      <c r="AD21" s="193" t="n"/>
    </row>
    <row r="22">
      <c r="A22" s="189" t="inlineStr">
        <is>
          <t>CVE</t>
        </is>
      </c>
      <c r="B22" s="189" t="inlineStr">
        <is>
          <t>CVE-2026-2616</t>
        </is>
      </c>
      <c r="C22" s="189" t="inlineStr">
        <is>
          <t>A vulnerability has been found in Beetel 777VR1 up to 01.00.09. The impacted element is an unknown function of the component Web Management Interface. The manipulation leads to hard-coded credentials. The attack needs to be initiated within the local network. The exploit has been disclosed to the public and may be used. It is advisable to modify the configuration settings. The vendor was contacted early about this disclosure but did not respond in any way.</t>
        </is>
      </c>
      <c r="D22" s="189" t="n">
        <v>8.800000000000001</v>
      </c>
      <c r="E22" s="189" t="inlineStr">
        <is>
          <t>HIGH</t>
        </is>
      </c>
      <c r="F22" s="189" t="n">
        <v>2</v>
      </c>
      <c r="G22" s="189" t="n">
        <v>3</v>
      </c>
      <c r="H22" s="189" t="inlineStr">
        <is>
          <t>HIGH</t>
        </is>
      </c>
      <c r="I22" s="189" t="n">
        <v>14.8</v>
      </c>
      <c r="J22" s="189" t="inlineStr">
        <is>
          <t>NO</t>
        </is>
      </c>
      <c r="K22" s="190" t="inlineStr">
        <is>
          <t>https://nvd.nist.gov/vuln/detail/CVE-2026-2616</t>
        </is>
      </c>
      <c r="L22" s="189" t="inlineStr">
        <is>
          <t>2026-02-23 23:48</t>
        </is>
      </c>
      <c r="M22" s="189" t="inlineStr">
        <is>
          <t>CHECK_VENDOR</t>
        </is>
      </c>
      <c r="N22" s="189" t="inlineStr">
        <is>
          <t>See NVD references</t>
        </is>
      </c>
      <c r="O22" s="189" t="inlineStr">
        <is>
          <t>Apply vendor patches</t>
        </is>
      </c>
      <c r="P22" s="189" t="inlineStr">
        <is>
          <t>beetel 777vr1_firmware * | beetel 777vr1 -</t>
        </is>
      </c>
      <c r="Q22" s="189" t="inlineStr">
        <is>
          <t>P3</t>
        </is>
      </c>
      <c r="R22" s="189" t="inlineStr">
        <is>
          <t>🚨 URGENT: Apply vendor patches immediately | 🔒 Isolate affected systems if patch unavailable | 🛡️ Enable additional monitoring/IDS rules</t>
        </is>
      </c>
      <c r="S22" s="189" t="inlineStr">
        <is>
          <t>CVE - IP enrichment n/a</t>
        </is>
      </c>
      <c r="T22" s="189" t="n">
        <v>0</v>
      </c>
      <c r="U22" s="189" t="n">
        <v>0</v>
      </c>
      <c r="V22" s="189" t="inlineStr">
        <is>
          <t>T1552:Unsecured Credentials</t>
        </is>
      </c>
      <c r="W22" s="189" t="n">
        <v>1</v>
      </c>
      <c r="X22" s="189" t="inlineStr">
        <is>
          <t>LOW (40%)</t>
        </is>
      </c>
      <c r="Y22" s="189" t="inlineStr">
        <is>
          <t>UNLIKELY</t>
        </is>
      </c>
      <c r="Z22" s="189" t="inlineStr">
        <is>
          <t>CHECK_VENDOR</t>
        </is>
      </c>
      <c r="AA22" s="190" t="inlineStr">
        <is>
          <t>https://nvd.nist.gov/vuln/detail/CVE-2026-2616</t>
        </is>
      </c>
      <c r="AB22" s="189" t="inlineStr">
        <is>
          <t>NONE</t>
        </is>
      </c>
      <c r="AC22" s="189" t="n">
        <v>0</v>
      </c>
      <c r="AD22" s="189" t="n"/>
    </row>
    <row r="23">
      <c r="A23" s="189" t="inlineStr">
        <is>
          <t>CVE</t>
        </is>
      </c>
      <c r="B23" s="189" t="inlineStr">
        <is>
          <t>CVE-2025-65753</t>
        </is>
      </c>
      <c r="C23" s="189" t="inlineStr">
        <is>
          <t>An issue in the TLS certification mechanism of Guardian Gryphon v01.06.0006.22 allows attackers to execute commands as root.</t>
        </is>
      </c>
      <c r="D23" s="189" t="n">
        <v>7.5</v>
      </c>
      <c r="E23" s="189" t="inlineStr">
        <is>
          <t>HIGH</t>
        </is>
      </c>
      <c r="F23" s="189" t="n">
        <v>2</v>
      </c>
      <c r="G23" s="189" t="n">
        <v>3</v>
      </c>
      <c r="H23" s="189" t="inlineStr">
        <is>
          <t>HIGH</t>
        </is>
      </c>
      <c r="I23" s="189" t="n">
        <v>13.5</v>
      </c>
      <c r="J23" s="189" t="inlineStr">
        <is>
          <t>NO</t>
        </is>
      </c>
      <c r="K23" s="190" t="inlineStr">
        <is>
          <t>https://nvd.nist.gov/vuln/detail/CVE-2025-65753</t>
        </is>
      </c>
      <c r="L23" s="189" t="inlineStr">
        <is>
          <t>2026-02-23 23:48</t>
        </is>
      </c>
      <c r="M23" s="189" t="inlineStr">
        <is>
          <t>CHECK_VENDOR</t>
        </is>
      </c>
      <c r="N23" s="189" t="inlineStr">
        <is>
          <t>See NVD references</t>
        </is>
      </c>
      <c r="O23" s="189" t="inlineStr">
        <is>
          <t>Apply vendor patches</t>
        </is>
      </c>
      <c r="P23" s="189" t="inlineStr">
        <is>
          <t>See CVE details</t>
        </is>
      </c>
      <c r="Q23" s="189" t="inlineStr">
        <is>
          <t>P2</t>
        </is>
      </c>
      <c r="R23" s="189" t="inlineStr">
        <is>
          <t>🚨 URGENT: Apply vendor patches immediately | 🔒 Isolate affected systems if patch unavailable | 🛡️ Enable additional monitoring/IDS rules</t>
        </is>
      </c>
      <c r="S23" s="189" t="inlineStr">
        <is>
          <t>CVE - IP enrichment n/a</t>
        </is>
      </c>
      <c r="T23" s="189" t="n">
        <v>0</v>
      </c>
      <c r="U23" s="189" t="n">
        <v>0</v>
      </c>
      <c r="V23" s="189" t="inlineStr">
        <is>
          <t>T1190:Exploit Public-Facing Application</t>
        </is>
      </c>
      <c r="W23" s="189" t="n">
        <v>2</v>
      </c>
      <c r="X23" s="189" t="inlineStr">
        <is>
          <t>HIGH (72%)</t>
        </is>
      </c>
      <c r="Y23" s="189" t="inlineStr">
        <is>
          <t>POSSIBLE</t>
        </is>
      </c>
      <c r="Z23" s="189" t="inlineStr">
        <is>
          <t>CHECK_VENDOR</t>
        </is>
      </c>
      <c r="AA23" s="190" t="inlineStr">
        <is>
          <t>https://nvd.nist.gov/vuln/detail/CVE-2025-65753</t>
        </is>
      </c>
      <c r="AB23" s="189" t="inlineStr">
        <is>
          <t>NONE</t>
        </is>
      </c>
      <c r="AC23" s="189" t="n">
        <v>3.75</v>
      </c>
      <c r="AD23" s="189" t="n"/>
    </row>
    <row r="24">
      <c r="A24" s="189" t="inlineStr">
        <is>
          <t>CVE</t>
        </is>
      </c>
      <c r="B24" s="189" t="inlineStr">
        <is>
          <t>CVE-2025-70397</t>
        </is>
      </c>
      <c r="C24" s="189" t="inlineStr">
        <is>
          <t>jizhicms 2.5.6 is vulnerable to SQL Injection in Article/deleteAll and Extmolds/deleteAll via the data parameter.</t>
        </is>
      </c>
      <c r="D24" s="189" t="n">
        <v>7.2</v>
      </c>
      <c r="E24" s="189" t="inlineStr">
        <is>
          <t>HIGH</t>
        </is>
      </c>
      <c r="F24" s="189" t="n">
        <v>2</v>
      </c>
      <c r="G24" s="189" t="n">
        <v>3</v>
      </c>
      <c r="H24" s="189" t="inlineStr">
        <is>
          <t>HIGH</t>
        </is>
      </c>
      <c r="I24" s="189" t="n">
        <v>13.2</v>
      </c>
      <c r="J24" s="189" t="inlineStr">
        <is>
          <t>NO</t>
        </is>
      </c>
      <c r="K24" s="190" t="inlineStr">
        <is>
          <t>https://nvd.nist.gov/vuln/detail/CVE-2025-70397</t>
        </is>
      </c>
      <c r="L24" s="189" t="inlineStr">
        <is>
          <t>2026-02-23 23:48</t>
        </is>
      </c>
      <c r="M24" s="189" t="inlineStr">
        <is>
          <t>CHECK_VENDOR</t>
        </is>
      </c>
      <c r="N24" s="189" t="inlineStr">
        <is>
          <t>See NVD references</t>
        </is>
      </c>
      <c r="O24" s="189" t="inlineStr">
        <is>
          <t>Apply vendor patches</t>
        </is>
      </c>
      <c r="P24" s="189" t="inlineStr">
        <is>
          <t>jizhicms jizhicms 2.5.6</t>
        </is>
      </c>
      <c r="Q24" s="189" t="inlineStr">
        <is>
          <t>P3</t>
        </is>
      </c>
      <c r="R24" s="189" t="inlineStr">
        <is>
          <t>🚨 URGENT: Apply vendor patches immediately | 🔒 Isolate affected systems if patch unavailable | 🛡️ Enable additional monitoring/IDS rules</t>
        </is>
      </c>
      <c r="S24" s="189" t="inlineStr">
        <is>
          <t>CVE - IP enrichment n/a</t>
        </is>
      </c>
      <c r="T24" s="189" t="n">
        <v>0</v>
      </c>
      <c r="U24" s="189" t="n">
        <v>0</v>
      </c>
      <c r="V24" s="189" t="inlineStr">
        <is>
          <t>T1190:Exploit Public-Facing Application</t>
        </is>
      </c>
      <c r="W24" s="189" t="n">
        <v>1</v>
      </c>
      <c r="X24" s="189" t="inlineStr">
        <is>
          <t>LOW (40%)</t>
        </is>
      </c>
      <c r="Y24" s="189" t="inlineStr">
        <is>
          <t>UNLIKELY</t>
        </is>
      </c>
      <c r="Z24" s="189" t="inlineStr">
        <is>
          <t>CHECK_VENDOR</t>
        </is>
      </c>
      <c r="AA24" s="190" t="inlineStr">
        <is>
          <t>https://nvd.nist.gov/vuln/detail/CVE-2025-70397</t>
        </is>
      </c>
      <c r="AB24" s="189" t="inlineStr">
        <is>
          <t>NONE</t>
        </is>
      </c>
      <c r="AC24" s="189" t="n">
        <v>0</v>
      </c>
      <c r="AD24" s="189" t="n"/>
    </row>
    <row r="25">
      <c r="A25" s="189" t="inlineStr">
        <is>
          <t>CVE</t>
        </is>
      </c>
      <c r="B25" s="189" t="inlineStr">
        <is>
          <t>CVE-2025-70828</t>
        </is>
      </c>
      <c r="C25" s="189" t="inlineStr">
        <is>
          <t>An issue in Datart v1.0.0-rc.3 allows attackers to execute arbitrary code via the url parameter in the JDBC configuration</t>
        </is>
      </c>
      <c r="D25" s="189" t="n">
        <v>8.800000000000001</v>
      </c>
      <c r="E25" s="189" t="inlineStr">
        <is>
          <t>HIGH</t>
        </is>
      </c>
      <c r="F25" s="189" t="n">
        <v>2</v>
      </c>
      <c r="G25" s="189" t="n">
        <v>3</v>
      </c>
      <c r="H25" s="189" t="inlineStr">
        <is>
          <t>HIGH</t>
        </is>
      </c>
      <c r="I25" s="189" t="n">
        <v>14.8</v>
      </c>
      <c r="J25" s="189" t="inlineStr">
        <is>
          <t>NO</t>
        </is>
      </c>
      <c r="K25" s="190" t="inlineStr">
        <is>
          <t>https://nvd.nist.gov/vuln/detail/CVE-2025-70828</t>
        </is>
      </c>
      <c r="L25" s="189" t="inlineStr">
        <is>
          <t>2026-02-23 23:48</t>
        </is>
      </c>
      <c r="M25" s="189" t="inlineStr">
        <is>
          <t>CHECK_VENDOR</t>
        </is>
      </c>
      <c r="N25" s="189" t="inlineStr">
        <is>
          <t>See NVD references</t>
        </is>
      </c>
      <c r="O25" s="189" t="inlineStr">
        <is>
          <t>Apply vendor patches</t>
        </is>
      </c>
      <c r="P25" s="189" t="inlineStr">
        <is>
          <t>See CVE details</t>
        </is>
      </c>
      <c r="Q25" s="189" t="inlineStr">
        <is>
          <t>P3</t>
        </is>
      </c>
      <c r="R25" s="189" t="inlineStr">
        <is>
          <t>🚨 URGENT: Apply vendor patches immediately | 🔒 Isolate affected systems if patch unavailable | 🛡️ Enable additional monitoring/IDS rules</t>
        </is>
      </c>
      <c r="S25" s="189" t="inlineStr">
        <is>
          <t>CVE - IP enrichment n/a</t>
        </is>
      </c>
      <c r="T25" s="189" t="n">
        <v>0</v>
      </c>
      <c r="U25" s="189" t="n">
        <v>0</v>
      </c>
      <c r="V25" s="189" t="inlineStr">
        <is>
          <t>T1059:Command and Scripting Interpreter | T1203:Exploitation for Client Execution</t>
        </is>
      </c>
      <c r="W25" s="189" t="n">
        <v>1</v>
      </c>
      <c r="X25" s="189" t="inlineStr">
        <is>
          <t>LOW (40%)</t>
        </is>
      </c>
      <c r="Y25" s="189" t="inlineStr">
        <is>
          <t>UNLIKELY</t>
        </is>
      </c>
      <c r="Z25" s="189" t="inlineStr">
        <is>
          <t>CHECK_VENDOR</t>
        </is>
      </c>
      <c r="AA25" s="190" t="inlineStr">
        <is>
          <t>https://nvd.nist.gov/vuln/detail/CVE-2025-70828</t>
        </is>
      </c>
      <c r="AB25" s="189" t="inlineStr">
        <is>
          <t>NONE</t>
        </is>
      </c>
      <c r="AC25" s="189" t="n">
        <v>0</v>
      </c>
      <c r="AD25" s="189" t="n"/>
    </row>
    <row r="26">
      <c r="A26" s="193" t="inlineStr">
        <is>
          <t>CVE</t>
        </is>
      </c>
      <c r="B26" s="193" t="inlineStr">
        <is>
          <t>CVE-2025-70830</t>
        </is>
      </c>
      <c r="C26" s="193" t="inlineStr">
        <is>
          <t>A Server-Side Template Injection (SSTI) vulnerability in the Freemarker template engine of Datart v1.0.0-rc.3 allows authenticated attackers to execute arbitrary code via injecting crafted Freemarker template syntax into the SQL script field.</t>
        </is>
      </c>
      <c r="D26" s="193" t="n">
        <v>9.9</v>
      </c>
      <c r="E26" s="193" t="inlineStr">
        <is>
          <t>CRITICAL</t>
        </is>
      </c>
      <c r="F26" s="193" t="n">
        <v>2</v>
      </c>
      <c r="G26" s="193" t="n">
        <v>3</v>
      </c>
      <c r="H26" s="193" t="inlineStr">
        <is>
          <t>HIGH</t>
        </is>
      </c>
      <c r="I26" s="193" t="n">
        <v>15.9</v>
      </c>
      <c r="J26" s="193" t="inlineStr">
        <is>
          <t>NO</t>
        </is>
      </c>
      <c r="K26" s="194" t="inlineStr">
        <is>
          <t>https://nvd.nist.gov/vuln/detail/CVE-2025-70830</t>
        </is>
      </c>
      <c r="L26" s="193" t="inlineStr">
        <is>
          <t>2026-02-23 23:48</t>
        </is>
      </c>
      <c r="M26" s="193" t="inlineStr">
        <is>
          <t>CHECK_VENDOR</t>
        </is>
      </c>
      <c r="N26" s="193" t="inlineStr">
        <is>
          <t>See NVD references</t>
        </is>
      </c>
      <c r="O26" s="193" t="inlineStr">
        <is>
          <t>Apply vendor patches</t>
        </is>
      </c>
      <c r="P26" s="193" t="inlineStr">
        <is>
          <t>See CVE details</t>
        </is>
      </c>
      <c r="Q26" s="193" t="inlineStr">
        <is>
          <t>P3</t>
        </is>
      </c>
      <c r="R26" s="193" t="inlineStr">
        <is>
          <t>🚨 URGENT: Apply vendor patches immediately | 🔒 Isolate affected systems if patch unavailable | 🛡️ Enable additional monitoring/IDS rules</t>
        </is>
      </c>
      <c r="S26" s="193" t="inlineStr">
        <is>
          <t>CVE - IP enrichment n/a</t>
        </is>
      </c>
      <c r="T26" s="193" t="n">
        <v>0</v>
      </c>
      <c r="U26" s="193" t="n">
        <v>0</v>
      </c>
      <c r="V26" s="193" t="inlineStr">
        <is>
          <t>T1059:Command and Scripting Interpreter | T1203:Exploitation for Client Execution</t>
        </is>
      </c>
      <c r="W26" s="193" t="n">
        <v>1</v>
      </c>
      <c r="X26" s="193" t="inlineStr">
        <is>
          <t>LOW (40%)</t>
        </is>
      </c>
      <c r="Y26" s="193" t="inlineStr">
        <is>
          <t>UNLIKELY</t>
        </is>
      </c>
      <c r="Z26" s="193" t="inlineStr">
        <is>
          <t>CHECK_VENDOR</t>
        </is>
      </c>
      <c r="AA26" s="194" t="inlineStr">
        <is>
          <t>https://nvd.nist.gov/vuln/detail/CVE-2025-70830</t>
        </is>
      </c>
      <c r="AB26" s="193" t="inlineStr">
        <is>
          <t>NONE</t>
        </is>
      </c>
      <c r="AC26" s="193" t="n">
        <v>0</v>
      </c>
      <c r="AD26" s="193" t="n"/>
    </row>
    <row r="27">
      <c r="A27" s="191" t="inlineStr">
        <is>
          <t>CVE</t>
        </is>
      </c>
      <c r="B27" s="191" t="inlineStr">
        <is>
          <t>CVE-2026-2617</t>
        </is>
      </c>
      <c r="C27" s="191" t="inlineStr">
        <is>
          <t>A vulnerability was found in Beetel 777VR1 up to 01.00.09. This affects an unknown function of the component Telnet Service/SSH Service. The manipulation results in insecure default initialization of resource. The attack can only be performed from the local network. The exploit has been made public and could be used. The vendor was contacted early about this disclosure but did not respond in any way.</t>
        </is>
      </c>
      <c r="D27" s="191" t="n">
        <v>6.3</v>
      </c>
      <c r="E27" s="191" t="inlineStr">
        <is>
          <t>MEDIUM</t>
        </is>
      </c>
      <c r="F27" s="191" t="n">
        <v>2</v>
      </c>
      <c r="G27" s="191" t="n">
        <v>2</v>
      </c>
      <c r="H27" s="191" t="inlineStr">
        <is>
          <t>MEDIUM</t>
        </is>
      </c>
      <c r="I27" s="191" t="n">
        <v>10.3</v>
      </c>
      <c r="J27" s="191" t="inlineStr">
        <is>
          <t>NO</t>
        </is>
      </c>
      <c r="K27" s="192" t="inlineStr">
        <is>
          <t>https://nvd.nist.gov/vuln/detail/CVE-2026-2617</t>
        </is>
      </c>
      <c r="L27" s="191" t="inlineStr">
        <is>
          <t>2026-02-23 23:48</t>
        </is>
      </c>
      <c r="M27" s="191" t="inlineStr">
        <is>
          <t>CHECK_VENDOR</t>
        </is>
      </c>
      <c r="N27" s="191" t="inlineStr">
        <is>
          <t>See NVD references</t>
        </is>
      </c>
      <c r="O27" s="191" t="inlineStr">
        <is>
          <t>Apply vendor patches</t>
        </is>
      </c>
      <c r="P27" s="191" t="inlineStr">
        <is>
          <t>beetel 777vr1_firmware * | beetel 777vr1 -</t>
        </is>
      </c>
      <c r="Q27" s="191" t="inlineStr">
        <is>
          <t>P4</t>
        </is>
      </c>
      <c r="R27" s="191" t="inlineStr">
        <is>
          <t>📅 Schedule patch deployment within 30 days | 🔍 Monitor for exploitation attempts</t>
        </is>
      </c>
      <c r="S27" s="191" t="inlineStr">
        <is>
          <t>CVE - IP enrichment n/a</t>
        </is>
      </c>
      <c r="T27" s="191" t="n">
        <v>0</v>
      </c>
      <c r="U27" s="191" t="n">
        <v>0</v>
      </c>
      <c r="V27" s="191" t="inlineStr">
        <is>
          <t>T1190:Exploit Public-Facing Application</t>
        </is>
      </c>
      <c r="W27" s="191" t="n">
        <v>1</v>
      </c>
      <c r="X27" s="191" t="inlineStr">
        <is>
          <t>LOW (40%)</t>
        </is>
      </c>
      <c r="Y27" s="191" t="inlineStr">
        <is>
          <t>UNLIKELY</t>
        </is>
      </c>
      <c r="Z27" s="191" t="inlineStr">
        <is>
          <t>CHECK_VENDOR</t>
        </is>
      </c>
      <c r="AA27" s="192" t="inlineStr">
        <is>
          <t>https://nvd.nist.gov/vuln/detail/CVE-2026-2617</t>
        </is>
      </c>
      <c r="AB27" s="191" t="inlineStr">
        <is>
          <t>NONE</t>
        </is>
      </c>
      <c r="AC27" s="191" t="n">
        <v>0</v>
      </c>
      <c r="AD27" s="191" t="n"/>
    </row>
    <row r="28">
      <c r="A28" s="195" t="inlineStr">
        <is>
          <t>CVE</t>
        </is>
      </c>
      <c r="B28" s="195" t="inlineStr">
        <is>
          <t>CVE-2024-55271</t>
        </is>
      </c>
      <c r="C28" s="195" t="inlineStr">
        <is>
          <t>A Cross-Site Request Forgery (CSRF) vulnerability has been identified in phpgurukul Gym Management System 1.0. This issue is present in the profile update functionality of the User Panel, specifically the /profile.php endpoint.</t>
        </is>
      </c>
      <c r="D28" s="195" t="n">
        <v>3.5</v>
      </c>
      <c r="E28" s="195" t="inlineStr">
        <is>
          <t>LOW</t>
        </is>
      </c>
      <c r="F28" s="195" t="n">
        <v>2</v>
      </c>
      <c r="G28" s="195" t="n">
        <v>1</v>
      </c>
      <c r="H28" s="195" t="inlineStr">
        <is>
          <t>LOW</t>
        </is>
      </c>
      <c r="I28" s="195" t="n">
        <v>5.5</v>
      </c>
      <c r="J28" s="195" t="inlineStr">
        <is>
          <t>NO</t>
        </is>
      </c>
      <c r="K28" s="196" t="inlineStr">
        <is>
          <t>https://nvd.nist.gov/vuln/detail/CVE-2024-55271</t>
        </is>
      </c>
      <c r="L28" s="195" t="inlineStr">
        <is>
          <t>2026-02-23 23:48</t>
        </is>
      </c>
      <c r="M28" s="195" t="inlineStr">
        <is>
          <t>CHECK_VENDOR</t>
        </is>
      </c>
      <c r="N28" s="195" t="inlineStr">
        <is>
          <t>See NVD references</t>
        </is>
      </c>
      <c r="O28" s="195" t="inlineStr">
        <is>
          <t>Apply vendor patches</t>
        </is>
      </c>
      <c r="P28" s="195" t="inlineStr">
        <is>
          <t>phpgurukul gym_management_system 1.0</t>
        </is>
      </c>
      <c r="Q28" s="195" t="inlineStr">
        <is>
          <t>P4</t>
        </is>
      </c>
      <c r="R28" s="195" t="inlineStr">
        <is>
          <t>📅 Schedule patch deployment within 30 days | 🔍 Monitor for exploitation attempts</t>
        </is>
      </c>
      <c r="S28" s="195" t="inlineStr">
        <is>
          <t>CVE - IP enrichment n/a</t>
        </is>
      </c>
      <c r="T28" s="195" t="n">
        <v>0.0001</v>
      </c>
      <c r="U28" s="195" t="n">
        <v>0.027</v>
      </c>
      <c r="V28" s="195" t="inlineStr">
        <is>
          <t>T1185:Browser Session Hijacking</t>
        </is>
      </c>
      <c r="W28" s="195" t="n">
        <v>1</v>
      </c>
      <c r="X28" s="195" t="inlineStr">
        <is>
          <t>LOW (40%)</t>
        </is>
      </c>
      <c r="Y28" s="195" t="inlineStr">
        <is>
          <t>UNLIKELY</t>
        </is>
      </c>
      <c r="Z28" s="195" t="inlineStr">
        <is>
          <t>CHECK_VENDOR</t>
        </is>
      </c>
      <c r="AA28" s="196" t="inlineStr">
        <is>
          <t>https://nvd.nist.gov/vuln/detail/CVE-2024-55271</t>
        </is>
      </c>
      <c r="AB28" s="195" t="inlineStr">
        <is>
          <t>NONE</t>
        </is>
      </c>
      <c r="AC28" s="195" t="n">
        <v>0</v>
      </c>
      <c r="AD28" s="195" t="n"/>
    </row>
    <row r="29">
      <c r="A29" s="189" t="inlineStr">
        <is>
          <t>CVE</t>
        </is>
      </c>
      <c r="B29" s="189" t="inlineStr">
        <is>
          <t>CVE-2025-67905</t>
        </is>
      </c>
      <c r="C29" s="189" t="inlineStr">
        <is>
          <t>Malwarebytes AdwCleaner before v.8.7.0 runs as Administrator and performs an insecure log file delete operation in which the target location is user-controllable, allowing a non-admin user to escalate privileges to SYSTEM via a symbolic link, a related issue to CVE-2023-28892. To exploit this, an attacker must create a file in a given folder path and intercept the application log file deletion flow.</t>
        </is>
      </c>
      <c r="D29" s="189" t="n">
        <v>8.699999999999999</v>
      </c>
      <c r="E29" s="189" t="inlineStr">
        <is>
          <t>HIGH</t>
        </is>
      </c>
      <c r="F29" s="189" t="n">
        <v>2</v>
      </c>
      <c r="G29" s="189" t="n">
        <v>3</v>
      </c>
      <c r="H29" s="189" t="inlineStr">
        <is>
          <t>HIGH</t>
        </is>
      </c>
      <c r="I29" s="189" t="n">
        <v>14.7</v>
      </c>
      <c r="J29" s="189" t="inlineStr">
        <is>
          <t>NO</t>
        </is>
      </c>
      <c r="K29" s="190" t="inlineStr">
        <is>
          <t>https://nvd.nist.gov/vuln/detail/CVE-2025-67905</t>
        </is>
      </c>
      <c r="L29" s="189" t="inlineStr">
        <is>
          <t>2026-02-23 23:48</t>
        </is>
      </c>
      <c r="M29" s="189" t="inlineStr">
        <is>
          <t>CHECK_VENDOR</t>
        </is>
      </c>
      <c r="N29" s="189" t="inlineStr">
        <is>
          <t>See NVD references</t>
        </is>
      </c>
      <c r="O29" s="189" t="inlineStr">
        <is>
          <t>Apply vendor patches</t>
        </is>
      </c>
      <c r="P29" s="189" t="inlineStr">
        <is>
          <t>See CVE details</t>
        </is>
      </c>
      <c r="Q29" s="189" t="inlineStr">
        <is>
          <t>P3</t>
        </is>
      </c>
      <c r="R29" s="189" t="inlineStr">
        <is>
          <t>🚨 URGENT: Apply vendor patches immediately | 🔒 Isolate affected systems if patch unavailable | 🛡️ Enable additional monitoring/IDS rules</t>
        </is>
      </c>
      <c r="S29" s="189" t="inlineStr">
        <is>
          <t>CVE - IP enrichment n/a</t>
        </is>
      </c>
      <c r="T29" s="189" t="n">
        <v>0</v>
      </c>
      <c r="U29" s="189" t="n">
        <v>0</v>
      </c>
      <c r="V29" s="189" t="inlineStr">
        <is>
          <t>T1190:Exploit Public-Facing Application</t>
        </is>
      </c>
      <c r="W29" s="189" t="n">
        <v>1</v>
      </c>
      <c r="X29" s="189" t="inlineStr">
        <is>
          <t>LOW (40%)</t>
        </is>
      </c>
      <c r="Y29" s="189" t="inlineStr">
        <is>
          <t>UNLIKELY</t>
        </is>
      </c>
      <c r="Z29" s="189" t="inlineStr">
        <is>
          <t>CHECK_VENDOR</t>
        </is>
      </c>
      <c r="AA29" s="190" t="inlineStr">
        <is>
          <t>https://nvd.nist.gov/vuln/detail/CVE-2025-67905</t>
        </is>
      </c>
      <c r="AB29" s="189" t="inlineStr">
        <is>
          <t>NONE</t>
        </is>
      </c>
      <c r="AC29" s="189" t="n">
        <v>0</v>
      </c>
      <c r="AD29" s="189" t="n"/>
    </row>
    <row r="30">
      <c r="A30" s="193" t="inlineStr">
        <is>
          <t>CVE</t>
        </is>
      </c>
      <c r="B30" s="193" t="inlineStr">
        <is>
          <t>CVE-2026-23647</t>
        </is>
      </c>
      <c r="C30" s="193" t="inlineStr">
        <is>
          <t>Glory RBG-100 recycler systems using the ISPK-08 software component contain hard-coded operating system credentials that allow remote authentication to the underlying Linux system. Multiple local user accounts, including accounts with administrative privileges, were found to have fixed, embedded passwords. An attacker with network access to exposed services such as SSH may authenticate using these credentials and gain unauthorized access to the system. Successful exploitation allows remote acces</t>
        </is>
      </c>
      <c r="D30" s="193" t="n">
        <v>9.800000000000001</v>
      </c>
      <c r="E30" s="193" t="inlineStr">
        <is>
          <t>CRITICAL</t>
        </is>
      </c>
      <c r="F30" s="193" t="n">
        <v>2</v>
      </c>
      <c r="G30" s="193" t="n">
        <v>3</v>
      </c>
      <c r="H30" s="193" t="inlineStr">
        <is>
          <t>HIGH</t>
        </is>
      </c>
      <c r="I30" s="193" t="n">
        <v>15.8</v>
      </c>
      <c r="J30" s="193" t="inlineStr">
        <is>
          <t>NO</t>
        </is>
      </c>
      <c r="K30" s="194" t="inlineStr">
        <is>
          <t>https://nvd.nist.gov/vuln/detail/CVE-2026-23647</t>
        </is>
      </c>
      <c r="L30" s="193" t="inlineStr">
        <is>
          <t>2026-02-23 23:48</t>
        </is>
      </c>
      <c r="M30" s="193" t="inlineStr">
        <is>
          <t>CHECK_VENDOR</t>
        </is>
      </c>
      <c r="N30" s="193" t="inlineStr">
        <is>
          <t>See NVD references</t>
        </is>
      </c>
      <c r="O30" s="193" t="inlineStr">
        <is>
          <t>Apply vendor patches</t>
        </is>
      </c>
      <c r="P30" s="193" t="inlineStr">
        <is>
          <t>See CVE details</t>
        </is>
      </c>
      <c r="Q30" s="193" t="inlineStr">
        <is>
          <t>P3</t>
        </is>
      </c>
      <c r="R30" s="193" t="inlineStr">
        <is>
          <t>🚨 URGENT: Apply vendor patches immediately | 🔒 Isolate affected systems if patch unavailable | 🛡️ Enable additional monitoring/IDS rules</t>
        </is>
      </c>
      <c r="S30" s="193" t="inlineStr">
        <is>
          <t>CVE - IP enrichment n/a</t>
        </is>
      </c>
      <c r="T30" s="193" t="n">
        <v>0</v>
      </c>
      <c r="U30" s="193" t="n">
        <v>0</v>
      </c>
      <c r="V30" s="193" t="inlineStr">
        <is>
          <t>T1552:Unsecured Credentials</t>
        </is>
      </c>
      <c r="W30" s="193" t="n">
        <v>1</v>
      </c>
      <c r="X30" s="193" t="inlineStr">
        <is>
          <t>LOW (40%)</t>
        </is>
      </c>
      <c r="Y30" s="193" t="inlineStr">
        <is>
          <t>UNLIKELY</t>
        </is>
      </c>
      <c r="Z30" s="193" t="inlineStr">
        <is>
          <t>CHECK_VENDOR</t>
        </is>
      </c>
      <c r="AA30" s="194" t="inlineStr">
        <is>
          <t>https://nvd.nist.gov/vuln/detail/CVE-2026-23647</t>
        </is>
      </c>
      <c r="AB30" s="193" t="inlineStr">
        <is>
          <t>NONE</t>
        </is>
      </c>
      <c r="AC30" s="193" t="n">
        <v>0</v>
      </c>
      <c r="AD30" s="193" t="n"/>
    </row>
    <row r="31">
      <c r="A31" s="189" t="inlineStr">
        <is>
          <t>CVE</t>
        </is>
      </c>
      <c r="B31" s="189" t="inlineStr">
        <is>
          <t>CVE-2026-23648</t>
        </is>
      </c>
      <c r="C31" s="189" t="inlineStr">
        <is>
          <t>Glory RBG-100 recycler systems using the ISPK-08 software component contain multiple system binaries with overly permissive file permissions. Several binaries executed by the root user are writable and executable by unprivileged local users. An attacker with local access can replace or modify these binaries to execute arbitrary commands with root privileges, enabling local privilege escalation.</t>
        </is>
      </c>
      <c r="D31" s="189" t="n">
        <v>7.8</v>
      </c>
      <c r="E31" s="189" t="inlineStr">
        <is>
          <t>HIGH</t>
        </is>
      </c>
      <c r="F31" s="189" t="n">
        <v>2</v>
      </c>
      <c r="G31" s="189" t="n">
        <v>3</v>
      </c>
      <c r="H31" s="189" t="inlineStr">
        <is>
          <t>HIGH</t>
        </is>
      </c>
      <c r="I31" s="189" t="n">
        <v>13.8</v>
      </c>
      <c r="J31" s="189" t="inlineStr">
        <is>
          <t>NO</t>
        </is>
      </c>
      <c r="K31" s="190" t="inlineStr">
        <is>
          <t>https://nvd.nist.gov/vuln/detail/CVE-2026-23648</t>
        </is>
      </c>
      <c r="L31" s="189" t="inlineStr">
        <is>
          <t>2026-02-23 23:48</t>
        </is>
      </c>
      <c r="M31" s="189" t="inlineStr">
        <is>
          <t>CHECK_VENDOR</t>
        </is>
      </c>
      <c r="N31" s="189" t="inlineStr">
        <is>
          <t>See NVD references</t>
        </is>
      </c>
      <c r="O31" s="189" t="inlineStr">
        <is>
          <t>Apply vendor patches</t>
        </is>
      </c>
      <c r="P31" s="189" t="inlineStr">
        <is>
          <t>See CVE details</t>
        </is>
      </c>
      <c r="Q31" s="189" t="inlineStr">
        <is>
          <t>P3</t>
        </is>
      </c>
      <c r="R31" s="189" t="inlineStr">
        <is>
          <t>🚨 URGENT: Apply vendor patches immediately | 🔒 Isolate affected systems if patch unavailable | 🛡️ Enable additional monitoring/IDS rules</t>
        </is>
      </c>
      <c r="S31" s="189" t="inlineStr">
        <is>
          <t>CVE - IP enrichment n/a</t>
        </is>
      </c>
      <c r="T31" s="189" t="n">
        <v>0.0001</v>
      </c>
      <c r="U31" s="189" t="n">
        <v>0.0248</v>
      </c>
      <c r="V31" s="189" t="inlineStr">
        <is>
          <t>T1068:Exploitation for Privilege Escalation</t>
        </is>
      </c>
      <c r="W31" s="189" t="n">
        <v>1</v>
      </c>
      <c r="X31" s="189" t="inlineStr">
        <is>
          <t>LOW (40%)</t>
        </is>
      </c>
      <c r="Y31" s="189" t="inlineStr">
        <is>
          <t>UNLIKELY</t>
        </is>
      </c>
      <c r="Z31" s="189" t="inlineStr">
        <is>
          <t>CHECK_VENDOR</t>
        </is>
      </c>
      <c r="AA31" s="190" t="inlineStr">
        <is>
          <t>https://nvd.nist.gov/vuln/detail/CVE-2026-23648</t>
        </is>
      </c>
      <c r="AB31" s="189" t="inlineStr">
        <is>
          <t>NONE</t>
        </is>
      </c>
      <c r="AC31" s="189" t="n">
        <v>0</v>
      </c>
      <c r="AD31" s="189" t="n"/>
    </row>
    <row r="32">
      <c r="A32" s="195" t="inlineStr">
        <is>
          <t>CVE</t>
        </is>
      </c>
      <c r="B32" s="195" t="inlineStr">
        <is>
          <t>CVE-2026-2618</t>
        </is>
      </c>
      <c r="C32" s="195" t="inlineStr">
        <is>
          <t>A vulnerability was determined in Beetel 777VR1 up to 01.00.09. This impacts an unknown function of the component SSH Service. This manipulation causes risky cryptographic algorithm. The attack is possible to be carried out remotely. The attack is considered to have high complexity. The exploitability is said to be difficult. The exploit has been publicly disclosed and may be utilized. The vendor was contacted early about this disclosure but did not respond in any way.</t>
        </is>
      </c>
      <c r="D32" s="195" t="n">
        <v>3.7</v>
      </c>
      <c r="E32" s="195" t="inlineStr">
        <is>
          <t>LOW</t>
        </is>
      </c>
      <c r="F32" s="195" t="n">
        <v>2</v>
      </c>
      <c r="G32" s="195" t="n">
        <v>1</v>
      </c>
      <c r="H32" s="195" t="inlineStr">
        <is>
          <t>LOW</t>
        </is>
      </c>
      <c r="I32" s="195" t="n">
        <v>5.7</v>
      </c>
      <c r="J32" s="195" t="inlineStr">
        <is>
          <t>NO</t>
        </is>
      </c>
      <c r="K32" s="196" t="inlineStr">
        <is>
          <t>https://nvd.nist.gov/vuln/detail/CVE-2026-2618</t>
        </is>
      </c>
      <c r="L32" s="195" t="inlineStr">
        <is>
          <t>2026-02-23 23:48</t>
        </is>
      </c>
      <c r="M32" s="195" t="inlineStr">
        <is>
          <t>YES</t>
        </is>
      </c>
      <c r="N32" s="196" t="inlineStr">
        <is>
          <t>https://gist.github.com/raghav20232023/8e8e559f80e2d596cb6154747f69a081</t>
        </is>
      </c>
      <c r="O32" s="196" t="inlineStr">
        <is>
          <t>https://gist.github.com/raghav20232023/8e8e559f80e2d596cb6154747f69a081</t>
        </is>
      </c>
      <c r="P32" s="195" t="inlineStr">
        <is>
          <t>beetel 777vr1_firmware * | beetel 777vr1 -</t>
        </is>
      </c>
      <c r="Q32" s="195" t="inlineStr">
        <is>
          <t>P4</t>
        </is>
      </c>
      <c r="R32" s="195" t="inlineStr">
        <is>
          <t>📅 Schedule patch deployment within 30 days | 🔍 Monitor for exploitation attempts</t>
        </is>
      </c>
      <c r="S32" s="195" t="inlineStr">
        <is>
          <t>CVE - IP enrichment n/a</t>
        </is>
      </c>
      <c r="T32" s="195" t="n">
        <v>0</v>
      </c>
      <c r="U32" s="195" t="n">
        <v>0</v>
      </c>
      <c r="V32" s="195" t="inlineStr">
        <is>
          <t>T1600:Weaken Encryption</t>
        </is>
      </c>
      <c r="W32" s="195" t="n">
        <v>1</v>
      </c>
      <c r="X32" s="195" t="inlineStr">
        <is>
          <t>LOW (40%)</t>
        </is>
      </c>
      <c r="Y32" s="195" t="inlineStr">
        <is>
          <t>UNLIKELY</t>
        </is>
      </c>
      <c r="Z32" s="195" t="inlineStr">
        <is>
          <t>PATCH_AVAILABLE</t>
        </is>
      </c>
      <c r="AA32" s="196" t="inlineStr">
        <is>
          <t>https://nvd.nist.gov/vuln/detail/CVE-2026-2618</t>
        </is>
      </c>
      <c r="AB32" s="195" t="inlineStr">
        <is>
          <t>NONE</t>
        </is>
      </c>
      <c r="AC32" s="195" t="n">
        <v>0</v>
      </c>
      <c r="AD32" s="195" t="n"/>
    </row>
    <row r="33">
      <c r="A33" s="189" t="inlineStr">
        <is>
          <t>CVE</t>
        </is>
      </c>
      <c r="B33" s="189" t="inlineStr">
        <is>
          <t>CVE-2024-55270</t>
        </is>
      </c>
      <c r="C33" s="189" t="inlineStr">
        <is>
          <t>phpgurukul Student Management System 1.0 is vulnerable to SQL Injection in studentms/admin/search.php via the searchdata parameter.</t>
        </is>
      </c>
      <c r="D33" s="189" t="n">
        <v>8.800000000000001</v>
      </c>
      <c r="E33" s="189" t="inlineStr">
        <is>
          <t>HIGH</t>
        </is>
      </c>
      <c r="F33" s="189" t="n">
        <v>2</v>
      </c>
      <c r="G33" s="189" t="n">
        <v>3</v>
      </c>
      <c r="H33" s="189" t="inlineStr">
        <is>
          <t>HIGH</t>
        </is>
      </c>
      <c r="I33" s="189" t="n">
        <v>14.8</v>
      </c>
      <c r="J33" s="189" t="inlineStr">
        <is>
          <t>NO</t>
        </is>
      </c>
      <c r="K33" s="190" t="inlineStr">
        <is>
          <t>https://nvd.nist.gov/vuln/detail/CVE-2024-55270</t>
        </is>
      </c>
      <c r="L33" s="189" t="inlineStr">
        <is>
          <t>2026-02-23 23:48</t>
        </is>
      </c>
      <c r="M33" s="189" t="inlineStr">
        <is>
          <t>CHECK_VENDOR</t>
        </is>
      </c>
      <c r="N33" s="189" t="inlineStr">
        <is>
          <t>See NVD references</t>
        </is>
      </c>
      <c r="O33" s="189" t="inlineStr">
        <is>
          <t>Apply vendor patches</t>
        </is>
      </c>
      <c r="P33" s="189" t="inlineStr">
        <is>
          <t>phpgurukul student_management_system 1.0</t>
        </is>
      </c>
      <c r="Q33" s="189" t="inlineStr">
        <is>
          <t>P3</t>
        </is>
      </c>
      <c r="R33" s="189" t="inlineStr">
        <is>
          <t>🚨 URGENT: Apply vendor patches immediately | 🔒 Isolate affected systems if patch unavailable | 🛡️ Enable additional monitoring/IDS rules</t>
        </is>
      </c>
      <c r="S33" s="189" t="inlineStr">
        <is>
          <t>CVE - IP enrichment n/a</t>
        </is>
      </c>
      <c r="T33" s="189" t="n">
        <v>0.0003</v>
      </c>
      <c r="U33" s="189" t="n">
        <v>0.099</v>
      </c>
      <c r="V33" s="189" t="inlineStr">
        <is>
          <t>T1190:Exploit Public-Facing Application</t>
        </is>
      </c>
      <c r="W33" s="189" t="n">
        <v>1</v>
      </c>
      <c r="X33" s="189" t="inlineStr">
        <is>
          <t>LOW (40%)</t>
        </is>
      </c>
      <c r="Y33" s="189" t="inlineStr">
        <is>
          <t>UNLIKELY</t>
        </is>
      </c>
      <c r="Z33" s="189" t="inlineStr">
        <is>
          <t>CHECK_VENDOR</t>
        </is>
      </c>
      <c r="AA33" s="190" t="inlineStr">
        <is>
          <t>https://nvd.nist.gov/vuln/detail/CVE-2024-55270</t>
        </is>
      </c>
      <c r="AB33" s="189" t="inlineStr">
        <is>
          <t>NONE</t>
        </is>
      </c>
      <c r="AC33" s="189" t="n">
        <v>0</v>
      </c>
      <c r="AD33" s="189" t="n"/>
    </row>
    <row r="34">
      <c r="A34" s="191" t="inlineStr">
        <is>
          <t>CVE</t>
        </is>
      </c>
      <c r="B34" s="191" t="inlineStr">
        <is>
          <t>CVE-2025-13867</t>
        </is>
      </c>
      <c r="C34" s="191" t="inlineStr">
        <is>
          <t>IBM Db2 for Linux, UNIX and Windows (includes Db2 Connect Server) 11.5.0 through 11.5.9 and 12.1.0 through 12.1.3 could allow an authenticated user to cause a denial of service due to improper neutralization of special elements in data query logic</t>
        </is>
      </c>
      <c r="D34" s="191" t="n">
        <v>6.5</v>
      </c>
      <c r="E34" s="191" t="inlineStr">
        <is>
          <t>MEDIUM</t>
        </is>
      </c>
      <c r="F34" s="191" t="n">
        <v>2</v>
      </c>
      <c r="G34" s="191" t="n">
        <v>2</v>
      </c>
      <c r="H34" s="191" t="inlineStr">
        <is>
          <t>MEDIUM</t>
        </is>
      </c>
      <c r="I34" s="191" t="n">
        <v>10.5</v>
      </c>
      <c r="J34" s="191" t="inlineStr">
        <is>
          <t>NO</t>
        </is>
      </c>
      <c r="K34" s="192" t="inlineStr">
        <is>
          <t>https://nvd.nist.gov/vuln/detail/CVE-2025-13867</t>
        </is>
      </c>
      <c r="L34" s="191" t="inlineStr">
        <is>
          <t>2026-02-23 23:48</t>
        </is>
      </c>
      <c r="M34" s="191" t="inlineStr">
        <is>
          <t>YES</t>
        </is>
      </c>
      <c r="N34" s="192" t="inlineStr">
        <is>
          <t>https://www.ibm.com/support/pages/node/7259963</t>
        </is>
      </c>
      <c r="O34" s="191" t="inlineStr">
        <is>
          <t>Apply vendor patches</t>
        </is>
      </c>
      <c r="P34" s="191" t="inlineStr">
        <is>
          <t>ibm db2 *</t>
        </is>
      </c>
      <c r="Q34" s="191" t="inlineStr">
        <is>
          <t>P4</t>
        </is>
      </c>
      <c r="R34" s="191" t="inlineStr">
        <is>
          <t>📅 Schedule patch deployment within 30 days | 🔍 Monitor for exploitation attempts</t>
        </is>
      </c>
      <c r="S34" s="191" t="inlineStr">
        <is>
          <t>CVE - IP enrichment n/a</t>
        </is>
      </c>
      <c r="T34" s="191" t="n">
        <v>0</v>
      </c>
      <c r="U34" s="191" t="n">
        <v>0</v>
      </c>
      <c r="V34" s="191" t="inlineStr">
        <is>
          <t>T1499:Endpoint Denial of Service</t>
        </is>
      </c>
      <c r="W34" s="191" t="n">
        <v>1</v>
      </c>
      <c r="X34" s="191" t="inlineStr">
        <is>
          <t>LOW (40%)</t>
        </is>
      </c>
      <c r="Y34" s="191" t="inlineStr">
        <is>
          <t>UNLIKELY</t>
        </is>
      </c>
      <c r="Z34" s="191" t="inlineStr">
        <is>
          <t>PATCH_AVAILABLE</t>
        </is>
      </c>
      <c r="AA34" s="192" t="inlineStr">
        <is>
          <t>https://nvd.nist.gov/vuln/detail/CVE-2025-13867</t>
        </is>
      </c>
      <c r="AB34" s="191" t="inlineStr">
        <is>
          <t>NONE</t>
        </is>
      </c>
      <c r="AC34" s="191" t="n">
        <v>0</v>
      </c>
      <c r="AD34" s="191" t="n"/>
    </row>
    <row r="35">
      <c r="A35" s="191" t="inlineStr">
        <is>
          <t>CVE</t>
        </is>
      </c>
      <c r="B35" s="191" t="inlineStr">
        <is>
          <t>CVE-2025-14689</t>
        </is>
      </c>
      <c r="C35" s="191" t="inlineStr">
        <is>
          <t>IBM Db2 for Linux, UNIX and Windows (includes Db2 Connect Server) 12.1.0 through 12.1.3 could allow an authenticated user to cause a denial of service due to improper neutralization of special elements in data query logic with federated objects.</t>
        </is>
      </c>
      <c r="D35" s="191" t="n">
        <v>6.5</v>
      </c>
      <c r="E35" s="191" t="inlineStr">
        <is>
          <t>MEDIUM</t>
        </is>
      </c>
      <c r="F35" s="191" t="n">
        <v>2</v>
      </c>
      <c r="G35" s="191" t="n">
        <v>2</v>
      </c>
      <c r="H35" s="191" t="inlineStr">
        <is>
          <t>MEDIUM</t>
        </is>
      </c>
      <c r="I35" s="191" t="n">
        <v>10.5</v>
      </c>
      <c r="J35" s="191" t="inlineStr">
        <is>
          <t>NO</t>
        </is>
      </c>
      <c r="K35" s="192" t="inlineStr">
        <is>
          <t>https://nvd.nist.gov/vuln/detail/CVE-2025-14689</t>
        </is>
      </c>
      <c r="L35" s="191" t="inlineStr">
        <is>
          <t>2026-02-23 23:48</t>
        </is>
      </c>
      <c r="M35" s="191" t="inlineStr">
        <is>
          <t>YES</t>
        </is>
      </c>
      <c r="N35" s="192" t="inlineStr">
        <is>
          <t>https://www.ibm.com/support/pages/node/7259964</t>
        </is>
      </c>
      <c r="O35" s="191" t="inlineStr">
        <is>
          <t>Apply vendor patches</t>
        </is>
      </c>
      <c r="P35" s="191" t="inlineStr">
        <is>
          <t>ibm db2 *</t>
        </is>
      </c>
      <c r="Q35" s="191" t="inlineStr">
        <is>
          <t>P4</t>
        </is>
      </c>
      <c r="R35" s="191" t="inlineStr">
        <is>
          <t>📅 Schedule patch deployment within 30 days | 🔍 Monitor for exploitation attempts</t>
        </is>
      </c>
      <c r="S35" s="191" t="inlineStr">
        <is>
          <t>CVE - IP enrichment n/a</t>
        </is>
      </c>
      <c r="T35" s="191" t="n">
        <v>0</v>
      </c>
      <c r="U35" s="191" t="n">
        <v>0</v>
      </c>
      <c r="V35" s="191" t="inlineStr">
        <is>
          <t>T1499:Endpoint Denial of Service</t>
        </is>
      </c>
      <c r="W35" s="191" t="n">
        <v>1</v>
      </c>
      <c r="X35" s="191" t="inlineStr">
        <is>
          <t>LOW (40%)</t>
        </is>
      </c>
      <c r="Y35" s="191" t="inlineStr">
        <is>
          <t>UNLIKELY</t>
        </is>
      </c>
      <c r="Z35" s="191" t="inlineStr">
        <is>
          <t>PATCH_AVAILABLE</t>
        </is>
      </c>
      <c r="AA35" s="192" t="inlineStr">
        <is>
          <t>https://nvd.nist.gov/vuln/detail/CVE-2025-14689</t>
        </is>
      </c>
      <c r="AB35" s="191" t="inlineStr">
        <is>
          <t>NONE</t>
        </is>
      </c>
      <c r="AC35" s="191" t="n">
        <v>0</v>
      </c>
      <c r="AD35" s="191" t="n"/>
    </row>
    <row r="36">
      <c r="A36" s="189" t="inlineStr">
        <is>
          <t>CVE</t>
        </is>
      </c>
      <c r="B36" s="189" t="inlineStr">
        <is>
          <t>CVE-2025-36247</t>
        </is>
      </c>
      <c r="C36" s="189" t="inlineStr">
        <is>
          <t>IBM Db2 for Linux, UNIX and Windows (includes Db2 Connect Server) 11.5.0 through 11.5.9 and 12.1.0 through 12.1.3 is vulnerable to an XML external entity injection (XXE) attack when processing XML data. A remote attacker could exploit this vulnerability to expose sensitive information or consume memory resources.</t>
        </is>
      </c>
      <c r="D36" s="189" t="n">
        <v>7.1</v>
      </c>
      <c r="E36" s="189" t="inlineStr">
        <is>
          <t>HIGH</t>
        </is>
      </c>
      <c r="F36" s="189" t="n">
        <v>2</v>
      </c>
      <c r="G36" s="189" t="n">
        <v>3</v>
      </c>
      <c r="H36" s="189" t="inlineStr">
        <is>
          <t>HIGH</t>
        </is>
      </c>
      <c r="I36" s="189" t="n">
        <v>13.1</v>
      </c>
      <c r="J36" s="189" t="inlineStr">
        <is>
          <t>NO</t>
        </is>
      </c>
      <c r="K36" s="190" t="inlineStr">
        <is>
          <t>https://nvd.nist.gov/vuln/detail/CVE-2025-36247</t>
        </is>
      </c>
      <c r="L36" s="189" t="inlineStr">
        <is>
          <t>2026-02-23 23:48</t>
        </is>
      </c>
      <c r="M36" s="189" t="inlineStr">
        <is>
          <t>YES</t>
        </is>
      </c>
      <c r="N36" s="190" t="inlineStr">
        <is>
          <t>https://www.ibm.com/support/pages/node/7259961</t>
        </is>
      </c>
      <c r="O36" s="189" t="inlineStr">
        <is>
          <t>Apply vendor patches</t>
        </is>
      </c>
      <c r="P36" s="189" t="inlineStr">
        <is>
          <t>ibm db2 *</t>
        </is>
      </c>
      <c r="Q36" s="189" t="inlineStr">
        <is>
          <t>P3</t>
        </is>
      </c>
      <c r="R36" s="189" t="inlineStr">
        <is>
          <t>🚨 URGENT: Apply vendor patches immediately | 🔒 Isolate affected systems if patch unavailable | 🛡️ Enable additional monitoring/IDS rules</t>
        </is>
      </c>
      <c r="S36" s="189" t="inlineStr">
        <is>
          <t>CVE - IP enrichment n/a</t>
        </is>
      </c>
      <c r="T36" s="189" t="n">
        <v>0</v>
      </c>
      <c r="U36" s="189" t="n">
        <v>0</v>
      </c>
      <c r="V36" s="189" t="inlineStr">
        <is>
          <t>T1059.003:Windows Command Shell | T1190:Exploit Public-Facing Application</t>
        </is>
      </c>
      <c r="W36" s="189" t="n">
        <v>1</v>
      </c>
      <c r="X36" s="189" t="inlineStr">
        <is>
          <t>LOW (40%)</t>
        </is>
      </c>
      <c r="Y36" s="189" t="inlineStr">
        <is>
          <t>UNLIKELY</t>
        </is>
      </c>
      <c r="Z36" s="189" t="inlineStr">
        <is>
          <t>PATCH_AVAILABLE</t>
        </is>
      </c>
      <c r="AA36" s="190" t="inlineStr">
        <is>
          <t>https://nvd.nist.gov/vuln/detail/CVE-2025-36247</t>
        </is>
      </c>
      <c r="AB36" s="189" t="inlineStr">
        <is>
          <t>NONE</t>
        </is>
      </c>
      <c r="AC36" s="189" t="n">
        <v>0</v>
      </c>
      <c r="AD36" s="189" t="n"/>
    </row>
    <row r="37">
      <c r="A37" s="191" t="inlineStr">
        <is>
          <t>CVE</t>
        </is>
      </c>
      <c r="B37" s="191" t="inlineStr">
        <is>
          <t>CVE-2025-36425</t>
        </is>
      </c>
      <c r="C37" s="191" t="inlineStr">
        <is>
          <t>IBM Db2 for Linux, UNIX and Windows (includes Db2 Connect Server) 11.5.0 through 11.5.9 and 12.1.0 through 12.1.3 could allow an authenticated user to obtain sensitive information under specific HADR configuration.</t>
        </is>
      </c>
      <c r="D37" s="191" t="n">
        <v>5.3</v>
      </c>
      <c r="E37" s="191" t="inlineStr">
        <is>
          <t>MEDIUM</t>
        </is>
      </c>
      <c r="F37" s="191" t="n">
        <v>2</v>
      </c>
      <c r="G37" s="191" t="n">
        <v>2</v>
      </c>
      <c r="H37" s="191" t="inlineStr">
        <is>
          <t>MEDIUM</t>
        </is>
      </c>
      <c r="I37" s="191" t="n">
        <v>9.300000000000001</v>
      </c>
      <c r="J37" s="191" t="inlineStr">
        <is>
          <t>NO</t>
        </is>
      </c>
      <c r="K37" s="192" t="inlineStr">
        <is>
          <t>https://nvd.nist.gov/vuln/detail/CVE-2025-36425</t>
        </is>
      </c>
      <c r="L37" s="191" t="inlineStr">
        <is>
          <t>2026-02-23 23:48</t>
        </is>
      </c>
      <c r="M37" s="191" t="inlineStr">
        <is>
          <t>YES</t>
        </is>
      </c>
      <c r="N37" s="192" t="inlineStr">
        <is>
          <t>https://www.ibm.com/support/pages/node/7259962</t>
        </is>
      </c>
      <c r="O37" s="191" t="inlineStr">
        <is>
          <t>Apply vendor patches</t>
        </is>
      </c>
      <c r="P37" s="191" t="inlineStr">
        <is>
          <t>ibm db2 *</t>
        </is>
      </c>
      <c r="Q37" s="191" t="inlineStr">
        <is>
          <t>P4</t>
        </is>
      </c>
      <c r="R37" s="191" t="inlineStr">
        <is>
          <t>📅 Schedule patch deployment within 30 days | 🔍 Monitor for exploitation attempts</t>
        </is>
      </c>
      <c r="S37" s="191" t="inlineStr">
        <is>
          <t>CVE - IP enrichment n/a</t>
        </is>
      </c>
      <c r="T37" s="191" t="n">
        <v>0</v>
      </c>
      <c r="U37" s="191" t="n">
        <v>0</v>
      </c>
      <c r="V37" s="191" t="inlineStr">
        <is>
          <t>T1190:Exploit Public-Facing Application</t>
        </is>
      </c>
      <c r="W37" s="191" t="n">
        <v>1</v>
      </c>
      <c r="X37" s="191" t="inlineStr">
        <is>
          <t>LOW (40%)</t>
        </is>
      </c>
      <c r="Y37" s="191" t="inlineStr">
        <is>
          <t>UNLIKELY</t>
        </is>
      </c>
      <c r="Z37" s="191" t="inlineStr">
        <is>
          <t>PATCH_AVAILABLE</t>
        </is>
      </c>
      <c r="AA37" s="192" t="inlineStr">
        <is>
          <t>https://nvd.nist.gov/vuln/detail/CVE-2025-36425</t>
        </is>
      </c>
      <c r="AB37" s="191" t="inlineStr">
        <is>
          <t>NONE</t>
        </is>
      </c>
      <c r="AC37" s="191" t="n">
        <v>0</v>
      </c>
      <c r="AD37" s="191" t="n"/>
    </row>
    <row r="38">
      <c r="A38" s="191" t="inlineStr">
        <is>
          <t>CVE</t>
        </is>
      </c>
      <c r="B38" s="191" t="inlineStr">
        <is>
          <t>CVE-2026-1452</t>
        </is>
      </c>
      <c r="C38" s="191" t="inlineStr">
        <is>
          <t>Rejected reason: ** REJECT ** DO NOT USE THIS CANDIDATE NUMBER. Reason: This candidate was issued in error. Notes: All references and descriptions in this candidate have been removed to prevent accidental usage.</t>
        </is>
      </c>
      <c r="D38" s="191" t="n">
        <v>5</v>
      </c>
      <c r="E38" s="191" t="inlineStr">
        <is>
          <t>MEDIUM</t>
        </is>
      </c>
      <c r="F38" s="191" t="n">
        <v>2</v>
      </c>
      <c r="G38" s="191" t="n">
        <v>2</v>
      </c>
      <c r="H38" s="191" t="inlineStr">
        <is>
          <t>MEDIUM</t>
        </is>
      </c>
      <c r="I38" s="191" t="n">
        <v>9</v>
      </c>
      <c r="J38" s="191" t="inlineStr">
        <is>
          <t>NO</t>
        </is>
      </c>
      <c r="K38" s="192" t="inlineStr">
        <is>
          <t>https://nvd.nist.gov/vuln/detail/CVE-2026-1452</t>
        </is>
      </c>
      <c r="L38" s="191" t="inlineStr">
        <is>
          <t>2026-02-23 23:48</t>
        </is>
      </c>
      <c r="M38" s="191" t="inlineStr">
        <is>
          <t>CHECK_VENDOR</t>
        </is>
      </c>
      <c r="N38" s="191" t="inlineStr">
        <is>
          <t>See NVD references</t>
        </is>
      </c>
      <c r="O38" s="191" t="inlineStr">
        <is>
          <t>Apply vendor patches</t>
        </is>
      </c>
      <c r="P38" s="191" t="inlineStr">
        <is>
          <t>See CVE details</t>
        </is>
      </c>
      <c r="Q38" s="191" t="inlineStr">
        <is>
          <t>P4</t>
        </is>
      </c>
      <c r="R38" s="191" t="inlineStr">
        <is>
          <t>📅 Schedule patch deployment within 30 days | 🔍 Monitor for exploitation attempts</t>
        </is>
      </c>
      <c r="S38" s="191" t="inlineStr">
        <is>
          <t>CVE - IP enrichment n/a</t>
        </is>
      </c>
      <c r="T38" s="191" t="n">
        <v>0</v>
      </c>
      <c r="U38" s="191" t="n">
        <v>0</v>
      </c>
      <c r="V38" s="191" t="inlineStr">
        <is>
          <t>T1190:Exploit Public-Facing Application</t>
        </is>
      </c>
      <c r="W38" s="191" t="n">
        <v>1</v>
      </c>
      <c r="X38" s="191" t="inlineStr">
        <is>
          <t>LOW (40%)</t>
        </is>
      </c>
      <c r="Y38" s="191" t="inlineStr">
        <is>
          <t>UNLIKELY</t>
        </is>
      </c>
      <c r="Z38" s="191" t="inlineStr">
        <is>
          <t>CHECK_VENDOR</t>
        </is>
      </c>
      <c r="AA38" s="192" t="inlineStr">
        <is>
          <t>https://nvd.nist.gov/vuln/detail/CVE-2026-1452</t>
        </is>
      </c>
      <c r="AB38" s="191" t="inlineStr">
        <is>
          <t>NONE</t>
        </is>
      </c>
      <c r="AC38" s="191" t="n">
        <v>0</v>
      </c>
      <c r="AD38" s="191" t="n"/>
    </row>
    <row r="39">
      <c r="A39" s="191" t="inlineStr">
        <is>
          <t>CVE</t>
        </is>
      </c>
      <c r="B39" s="191" t="inlineStr">
        <is>
          <t>CVE-2024-43178</t>
        </is>
      </c>
      <c r="C39" s="191" t="inlineStr">
        <is>
          <t>IBM Concert 1.0.0 through 2.1.0 uses weaker than expected cryptographic algorithms that could allow an attacker to decrypt highly sensitive information.</t>
        </is>
      </c>
      <c r="D39" s="191" t="n">
        <v>5.9</v>
      </c>
      <c r="E39" s="191" t="inlineStr">
        <is>
          <t>MEDIUM</t>
        </is>
      </c>
      <c r="F39" s="191" t="n">
        <v>2</v>
      </c>
      <c r="G39" s="191" t="n">
        <v>2</v>
      </c>
      <c r="H39" s="191" t="inlineStr">
        <is>
          <t>MEDIUM</t>
        </is>
      </c>
      <c r="I39" s="191" t="n">
        <v>9.9</v>
      </c>
      <c r="J39" s="191" t="inlineStr">
        <is>
          <t>NO</t>
        </is>
      </c>
      <c r="K39" s="192" t="inlineStr">
        <is>
          <t>https://nvd.nist.gov/vuln/detail/CVE-2024-43178</t>
        </is>
      </c>
      <c r="L39" s="191" t="inlineStr">
        <is>
          <t>2026-02-23 23:48</t>
        </is>
      </c>
      <c r="M39" s="191" t="inlineStr">
        <is>
          <t>YES</t>
        </is>
      </c>
      <c r="N39" s="192" t="inlineStr">
        <is>
          <t>https://www.ibm.com/support/pages/node/7260162</t>
        </is>
      </c>
      <c r="O39" s="191" t="inlineStr">
        <is>
          <t>Apply vendor patches</t>
        </is>
      </c>
      <c r="P39" s="191" t="inlineStr">
        <is>
          <t>linux linux_kernel - | ibm concert *</t>
        </is>
      </c>
      <c r="Q39" s="191" t="inlineStr">
        <is>
          <t>P4</t>
        </is>
      </c>
      <c r="R39" s="191" t="inlineStr">
        <is>
          <t>📅 Schedule patch deployment within 30 days | 🔍 Monitor for exploitation attempts</t>
        </is>
      </c>
      <c r="S39" s="191" t="inlineStr">
        <is>
          <t>CVE - IP enrichment n/a</t>
        </is>
      </c>
      <c r="T39" s="191" t="n">
        <v>0</v>
      </c>
      <c r="U39" s="191" t="n">
        <v>0</v>
      </c>
      <c r="V39" s="191" t="inlineStr">
        <is>
          <t>T1600:Weaken Encryption</t>
        </is>
      </c>
      <c r="W39" s="191" t="n">
        <v>1</v>
      </c>
      <c r="X39" s="191" t="inlineStr">
        <is>
          <t>LOW (40%)</t>
        </is>
      </c>
      <c r="Y39" s="191" t="inlineStr">
        <is>
          <t>UNLIKELY</t>
        </is>
      </c>
      <c r="Z39" s="191" t="inlineStr">
        <is>
          <t>PATCH_AVAILABLE</t>
        </is>
      </c>
      <c r="AA39" s="192" t="inlineStr">
        <is>
          <t>https://nvd.nist.gov/vuln/detail/CVE-2024-43178</t>
        </is>
      </c>
      <c r="AB39" s="191" t="inlineStr">
        <is>
          <t>NONE</t>
        </is>
      </c>
      <c r="AC39" s="191" t="n">
        <v>0</v>
      </c>
      <c r="AD39" s="191" t="n"/>
    </row>
    <row r="40">
      <c r="A40" s="191" t="inlineStr">
        <is>
          <t>CVE</t>
        </is>
      </c>
      <c r="B40" s="191" t="inlineStr">
        <is>
          <t>CVE-2025-12755</t>
        </is>
      </c>
      <c r="C40" s="191" t="inlineStr">
        <is>
          <t>IBM MQ Operator (SC2 v3.2.0–3.8.1, LTS v2.0.0–2.0.29) and IBM‑supplied MQ Advanced container images (across affected SC2, CD, and LTS 9.3.x–9.4.x releases) contain a vulnerability where log messages are not properly neutralized before being written to log files. This flaw could allow an unauthorized user to inject malicious data into MQ log entries, potentially leading to misleading logs, log manipulation, or downstream log‑processing issues.</t>
        </is>
      </c>
      <c r="D40" s="191" t="n">
        <v>4</v>
      </c>
      <c r="E40" s="191" t="inlineStr">
        <is>
          <t>MEDIUM</t>
        </is>
      </c>
      <c r="F40" s="191" t="n">
        <v>2</v>
      </c>
      <c r="G40" s="191" t="n">
        <v>2</v>
      </c>
      <c r="H40" s="191" t="inlineStr">
        <is>
          <t>MEDIUM</t>
        </is>
      </c>
      <c r="I40" s="191" t="n">
        <v>8</v>
      </c>
      <c r="J40" s="191" t="inlineStr">
        <is>
          <t>NO</t>
        </is>
      </c>
      <c r="K40" s="192" t="inlineStr">
        <is>
          <t>https://nvd.nist.gov/vuln/detail/CVE-2025-12755</t>
        </is>
      </c>
      <c r="L40" s="191" t="inlineStr">
        <is>
          <t>2026-02-23 23:48</t>
        </is>
      </c>
      <c r="M40" s="191" t="inlineStr">
        <is>
          <t>CHECK_VENDOR</t>
        </is>
      </c>
      <c r="N40" s="191" t="inlineStr">
        <is>
          <t>See NVD references</t>
        </is>
      </c>
      <c r="O40" s="191" t="inlineStr">
        <is>
          <t>Apply vendor patches</t>
        </is>
      </c>
      <c r="P40" s="191" t="inlineStr">
        <is>
          <t>See CVE details</t>
        </is>
      </c>
      <c r="Q40" s="191" t="inlineStr">
        <is>
          <t>P4</t>
        </is>
      </c>
      <c r="R40" s="191" t="inlineStr">
        <is>
          <t>📅 Schedule patch deployment within 30 days | 🔍 Monitor for exploitation attempts</t>
        </is>
      </c>
      <c r="S40" s="191" t="inlineStr">
        <is>
          <t>CVE - IP enrichment n/a</t>
        </is>
      </c>
      <c r="T40" s="191" t="n">
        <v>0</v>
      </c>
      <c r="U40" s="191" t="n">
        <v>0</v>
      </c>
      <c r="V40" s="191" t="inlineStr">
        <is>
          <t>T1190:Exploit Public-Facing Application</t>
        </is>
      </c>
      <c r="W40" s="191" t="n">
        <v>1</v>
      </c>
      <c r="X40" s="191" t="inlineStr">
        <is>
          <t>LOW (40%)</t>
        </is>
      </c>
      <c r="Y40" s="191" t="inlineStr">
        <is>
          <t>UNLIKELY</t>
        </is>
      </c>
      <c r="Z40" s="191" t="inlineStr">
        <is>
          <t>CHECK_VENDOR</t>
        </is>
      </c>
      <c r="AA40" s="192" t="inlineStr">
        <is>
          <t>https://nvd.nist.gov/vuln/detail/CVE-2025-12755</t>
        </is>
      </c>
      <c r="AB40" s="191" t="inlineStr">
        <is>
          <t>NONE</t>
        </is>
      </c>
      <c r="AC40" s="191" t="n">
        <v>0</v>
      </c>
      <c r="AD40" s="191" t="n"/>
    </row>
    <row r="41">
      <c r="A41" s="191" t="inlineStr">
        <is>
          <t>CVE</t>
        </is>
      </c>
      <c r="B41" s="191" t="inlineStr">
        <is>
          <t>CVE-2025-36018</t>
        </is>
      </c>
      <c r="C41" s="191" t="inlineStr">
        <is>
          <t>IBM Concert 1.0.0 through 2.1.0 for Z hub component is vulnerable to cross-site request forgery which could allow an attacker to execute malicious and unauthorized actions transmitted from a user that the website trusts.</t>
        </is>
      </c>
      <c r="D41" s="191" t="n">
        <v>6.5</v>
      </c>
      <c r="E41" s="191" t="inlineStr">
        <is>
          <t>MEDIUM</t>
        </is>
      </c>
      <c r="F41" s="191" t="n">
        <v>2</v>
      </c>
      <c r="G41" s="191" t="n">
        <v>2</v>
      </c>
      <c r="H41" s="191" t="inlineStr">
        <is>
          <t>MEDIUM</t>
        </is>
      </c>
      <c r="I41" s="191" t="n">
        <v>10.5</v>
      </c>
      <c r="J41" s="191" t="inlineStr">
        <is>
          <t>NO</t>
        </is>
      </c>
      <c r="K41" s="192" t="inlineStr">
        <is>
          <t>https://nvd.nist.gov/vuln/detail/CVE-2025-36018</t>
        </is>
      </c>
      <c r="L41" s="191" t="inlineStr">
        <is>
          <t>2026-02-23 23:48</t>
        </is>
      </c>
      <c r="M41" s="191" t="inlineStr">
        <is>
          <t>YES</t>
        </is>
      </c>
      <c r="N41" s="192" t="inlineStr">
        <is>
          <t>https://www.ibm.com/support/pages/node/7260162</t>
        </is>
      </c>
      <c r="O41" s="191" t="inlineStr">
        <is>
          <t>Apply vendor patches</t>
        </is>
      </c>
      <c r="P41" s="191" t="inlineStr">
        <is>
          <t>linux linux_kernel - | ibm concert *</t>
        </is>
      </c>
      <c r="Q41" s="191" t="inlineStr">
        <is>
          <t>P4</t>
        </is>
      </c>
      <c r="R41" s="191" t="inlineStr">
        <is>
          <t>📅 Schedule patch deployment within 30 days | 🔍 Monitor for exploitation attempts</t>
        </is>
      </c>
      <c r="S41" s="191" t="inlineStr">
        <is>
          <t>CVE - IP enrichment n/a</t>
        </is>
      </c>
      <c r="T41" s="191" t="n">
        <v>0.0001</v>
      </c>
      <c r="U41" s="191" t="n">
        <v>0.0281</v>
      </c>
      <c r="V41" s="191" t="inlineStr">
        <is>
          <t>T1185:Browser Session Hijacking</t>
        </is>
      </c>
      <c r="W41" s="191" t="n">
        <v>1</v>
      </c>
      <c r="X41" s="191" t="inlineStr">
        <is>
          <t>LOW (40%)</t>
        </is>
      </c>
      <c r="Y41" s="191" t="inlineStr">
        <is>
          <t>UNLIKELY</t>
        </is>
      </c>
      <c r="Z41" s="191" t="inlineStr">
        <is>
          <t>PATCH_AVAILABLE</t>
        </is>
      </c>
      <c r="AA41" s="192" t="inlineStr">
        <is>
          <t>https://nvd.nist.gov/vuln/detail/CVE-2025-36018</t>
        </is>
      </c>
      <c r="AB41" s="191" t="inlineStr">
        <is>
          <t>NONE</t>
        </is>
      </c>
      <c r="AC41" s="191" t="n">
        <v>0</v>
      </c>
      <c r="AD41" s="191" t="n"/>
    </row>
    <row r="42">
      <c r="A42" s="191" t="inlineStr">
        <is>
          <t>CVE</t>
        </is>
      </c>
      <c r="B42" s="191" t="inlineStr">
        <is>
          <t>CVE-2025-36019</t>
        </is>
      </c>
      <c r="C42" s="191" t="inlineStr">
        <is>
          <t>IBM Concert 1.0.0 through 2.1.0 for Z hub framework is vulnerable to cross-site scripting. This vulnerability allows an unauthenticated attacker to embed arbitrary JavaScript code in the Web UI thus altering the intended functionality potentially leading to credentials disclosure within a trusted session.</t>
        </is>
      </c>
      <c r="D42" s="191" t="n">
        <v>6.1</v>
      </c>
      <c r="E42" s="191" t="inlineStr">
        <is>
          <t>MEDIUM</t>
        </is>
      </c>
      <c r="F42" s="191" t="n">
        <v>2</v>
      </c>
      <c r="G42" s="191" t="n">
        <v>2</v>
      </c>
      <c r="H42" s="191" t="inlineStr">
        <is>
          <t>MEDIUM</t>
        </is>
      </c>
      <c r="I42" s="191" t="n">
        <v>10.1</v>
      </c>
      <c r="J42" s="191" t="inlineStr">
        <is>
          <t>NO</t>
        </is>
      </c>
      <c r="K42" s="192" t="inlineStr">
        <is>
          <t>https://nvd.nist.gov/vuln/detail/CVE-2025-36019</t>
        </is>
      </c>
      <c r="L42" s="191" t="inlineStr">
        <is>
          <t>2026-02-23 23:48</t>
        </is>
      </c>
      <c r="M42" s="191" t="inlineStr">
        <is>
          <t>YES</t>
        </is>
      </c>
      <c r="N42" s="192" t="inlineStr">
        <is>
          <t>https://www.ibm.com/support/pages/node/7260162</t>
        </is>
      </c>
      <c r="O42" s="191" t="inlineStr">
        <is>
          <t>Apply vendor patches</t>
        </is>
      </c>
      <c r="P42" s="191" t="inlineStr">
        <is>
          <t>linux linux_kernel - | ibm concert *</t>
        </is>
      </c>
      <c r="Q42" s="191" t="inlineStr">
        <is>
          <t>P4</t>
        </is>
      </c>
      <c r="R42" s="191" t="inlineStr">
        <is>
          <t>📅 Schedule patch deployment within 30 days | 🔍 Monitor for exploitation attempts</t>
        </is>
      </c>
      <c r="S42" s="191" t="inlineStr">
        <is>
          <t>CVE - IP enrichment n/a</t>
        </is>
      </c>
      <c r="T42" s="191" t="n">
        <v>0</v>
      </c>
      <c r="U42" s="191" t="n">
        <v>0</v>
      </c>
      <c r="V42" s="191" t="inlineStr">
        <is>
          <t>T1189:Drive-by Compromise | T1552:Unsecured Credentials</t>
        </is>
      </c>
      <c r="W42" s="191" t="n">
        <v>1</v>
      </c>
      <c r="X42" s="191" t="inlineStr">
        <is>
          <t>LOW (40%)</t>
        </is>
      </c>
      <c r="Y42" s="191" t="inlineStr">
        <is>
          <t>UNLIKELY</t>
        </is>
      </c>
      <c r="Z42" s="191" t="inlineStr">
        <is>
          <t>PATCH_AVAILABLE</t>
        </is>
      </c>
      <c r="AA42" s="192" t="inlineStr">
        <is>
          <t>https://nvd.nist.gov/vuln/detail/CVE-2025-36019</t>
        </is>
      </c>
      <c r="AB42" s="191" t="inlineStr">
        <is>
          <t>NONE</t>
        </is>
      </c>
      <c r="AC42" s="191" t="n">
        <v>0</v>
      </c>
      <c r="AD42" s="191" t="n"/>
    </row>
    <row r="43">
      <c r="A43" s="189" t="inlineStr">
        <is>
          <t>CVE</t>
        </is>
      </c>
      <c r="B43" s="189" t="inlineStr">
        <is>
          <t>CVE-2025-59793</t>
        </is>
      </c>
      <c r="C43" s="189" t="inlineStr">
        <is>
          <t>Rocket TRUfusion Enterprise through 7.10.5 exposes the endpoint at /axis2/services/WsPortalV6UpDwAxis2Impl to authenticated users to be able to upload files. However, the application doesn't properly sanitize the jobDirectory parameter, which allows path traversal sequences to be included. This allows writing files to arbitrary local filesystem locations and may subsequently lead to remote code execution.</t>
        </is>
      </c>
      <c r="D43" s="189" t="n">
        <v>8.5</v>
      </c>
      <c r="E43" s="189" t="inlineStr">
        <is>
          <t>HIGH</t>
        </is>
      </c>
      <c r="F43" s="189" t="n">
        <v>2</v>
      </c>
      <c r="G43" s="189" t="n">
        <v>3</v>
      </c>
      <c r="H43" s="189" t="inlineStr">
        <is>
          <t>HIGH</t>
        </is>
      </c>
      <c r="I43" s="189" t="n">
        <v>14.5</v>
      </c>
      <c r="J43" s="189" t="inlineStr">
        <is>
          <t>NO</t>
        </is>
      </c>
      <c r="K43" s="190" t="inlineStr">
        <is>
          <t>https://nvd.nist.gov/vuln/detail/CVE-2025-59793</t>
        </is>
      </c>
      <c r="L43" s="189" t="inlineStr">
        <is>
          <t>2026-02-23 23:48</t>
        </is>
      </c>
      <c r="M43" s="189" t="inlineStr">
        <is>
          <t>CHECK_VENDOR</t>
        </is>
      </c>
      <c r="N43" s="189" t="inlineStr">
        <is>
          <t>See NVD references</t>
        </is>
      </c>
      <c r="O43" s="189" t="inlineStr">
        <is>
          <t>Apply vendor patches</t>
        </is>
      </c>
      <c r="P43" s="189" t="inlineStr">
        <is>
          <t>See CVE details</t>
        </is>
      </c>
      <c r="Q43" s="189" t="inlineStr">
        <is>
          <t>P3</t>
        </is>
      </c>
      <c r="R43" s="189" t="inlineStr">
        <is>
          <t>🚨 URGENT: Apply vendor patches immediately | 🔒 Isolate affected systems if patch unavailable | 🛡️ Enable additional monitoring/IDS rules</t>
        </is>
      </c>
      <c r="S43" s="189" t="inlineStr">
        <is>
          <t>CVE - IP enrichment n/a</t>
        </is>
      </c>
      <c r="T43" s="189" t="n">
        <v>0</v>
      </c>
      <c r="U43" s="189" t="n">
        <v>0</v>
      </c>
      <c r="V43" s="189" t="inlineStr">
        <is>
          <t>T1190:Exploit Public-Facing Application | T1210:Exploitation of Remote Services | T1083:File and Directory Discovery</t>
        </is>
      </c>
      <c r="W43" s="189" t="n">
        <v>1</v>
      </c>
      <c r="X43" s="189" t="inlineStr">
        <is>
          <t>LOW (40%)</t>
        </is>
      </c>
      <c r="Y43" s="189" t="inlineStr">
        <is>
          <t>UNLIKELY</t>
        </is>
      </c>
      <c r="Z43" s="189" t="inlineStr">
        <is>
          <t>CHECK_VENDOR</t>
        </is>
      </c>
      <c r="AA43" s="190" t="inlineStr">
        <is>
          <t>https://nvd.nist.gov/vuln/detail/CVE-2025-59793</t>
        </is>
      </c>
      <c r="AB43" s="189" t="inlineStr">
        <is>
          <t>NONE</t>
        </is>
      </c>
      <c r="AC43" s="189" t="n">
        <v>0</v>
      </c>
      <c r="AD43" s="189" t="n"/>
    </row>
    <row r="44">
      <c r="A44" s="189" t="inlineStr">
        <is>
          <t>CVE</t>
        </is>
      </c>
      <c r="B44" s="189" t="inlineStr">
        <is>
          <t>CVE-2025-66614</t>
        </is>
      </c>
      <c r="C44" s="189" t="inlineStr">
        <is>
          <t>Improper Input Validation vulnerability.
This issue affects Apache Tomcat: from 11.0.0-M1 through 11.0.14, from 10.1.0-M1 through 10.1.49, from 9.0.0-M1 through 9.0.112.
The following versions were EOL at the time the CVE was created but are 
known to be affected: 8.5.0 through 8.5.100. Older EOL versions are not affected.
Tomcat did not validate that the host name provided via the SNI 
extension was the same as the host name provided in the HTTP host header 
field. If Tomcat was configured wi</t>
        </is>
      </c>
      <c r="D44" s="189" t="n">
        <v>8.5</v>
      </c>
      <c r="E44" s="189" t="inlineStr">
        <is>
          <t>HIGH</t>
        </is>
      </c>
      <c r="F44" s="189" t="n">
        <v>2</v>
      </c>
      <c r="G44" s="189" t="n">
        <v>3</v>
      </c>
      <c r="H44" s="189" t="inlineStr">
        <is>
          <t>HIGH</t>
        </is>
      </c>
      <c r="I44" s="189" t="n">
        <v>14.5</v>
      </c>
      <c r="J44" s="189" t="inlineStr">
        <is>
          <t>NO</t>
        </is>
      </c>
      <c r="K44" s="190" t="inlineStr">
        <is>
          <t>https://nvd.nist.gov/vuln/detail/CVE-2025-66614</t>
        </is>
      </c>
      <c r="L44" s="189" t="inlineStr">
        <is>
          <t>2026-02-23 23:48</t>
        </is>
      </c>
      <c r="M44" s="189" t="inlineStr">
        <is>
          <t>CHECK_VENDOR</t>
        </is>
      </c>
      <c r="N44" s="189" t="inlineStr">
        <is>
          <t>See NVD references</t>
        </is>
      </c>
      <c r="O44" s="189" t="inlineStr">
        <is>
          <t>Apply vendor patches</t>
        </is>
      </c>
      <c r="P44" s="189" t="inlineStr">
        <is>
          <t>See CVE details</t>
        </is>
      </c>
      <c r="Q44" s="189" t="inlineStr">
        <is>
          <t>P3</t>
        </is>
      </c>
      <c r="R44" s="189" t="inlineStr">
        <is>
          <t>🚨 URGENT: Apply vendor patches immediately | 🔒 Isolate affected systems if patch unavailable | 🛡️ Enable additional monitoring/IDS rules</t>
        </is>
      </c>
      <c r="S44" s="189" t="inlineStr">
        <is>
          <t>CVE - IP enrichment n/a</t>
        </is>
      </c>
      <c r="T44" s="189" t="n">
        <v>0</v>
      </c>
      <c r="U44" s="189" t="n">
        <v>0</v>
      </c>
      <c r="V44" s="189" t="inlineStr">
        <is>
          <t>T1190:Exploit Public-Facing Application</t>
        </is>
      </c>
      <c r="W44" s="189" t="n">
        <v>1</v>
      </c>
      <c r="X44" s="189" t="inlineStr">
        <is>
          <t>LOW (40%)</t>
        </is>
      </c>
      <c r="Y44" s="189" t="inlineStr">
        <is>
          <t>UNLIKELY</t>
        </is>
      </c>
      <c r="Z44" s="189" t="inlineStr">
        <is>
          <t>CHECK_VENDOR</t>
        </is>
      </c>
      <c r="AA44" s="190" t="inlineStr">
        <is>
          <t>https://nvd.nist.gov/vuln/detail/CVE-2025-66614</t>
        </is>
      </c>
      <c r="AB44" s="189" t="inlineStr">
        <is>
          <t>NONE</t>
        </is>
      </c>
      <c r="AC44" s="189" t="n">
        <v>0</v>
      </c>
      <c r="AD44" s="189" t="n"/>
    </row>
    <row r="45">
      <c r="A45" s="191" t="inlineStr">
        <is>
          <t>CVE</t>
        </is>
      </c>
      <c r="B45" s="191" t="inlineStr">
        <is>
          <t>CVE-2026-24733</t>
        </is>
      </c>
      <c r="C45" s="191" t="inlineStr">
        <is>
          <t>Improper Input Validation vulnerability in Apache Tomcat.
Tomcat did not limit HTTP/0.9 requests to the GET method. If a security 
constraint was configured to allow HEAD requests to a URI but deny GET 
requests, the user could bypass that constraint on GET requests by 
sending a (specification invalid) HEAD request using HTTP/0.9.
This issue affects Apache Tomcat: from 11.0.0-M1 through 11.0.14, from 10.1.0-M1 through 10.1.49, from 9.0.0.M1 through 9.0.112.
Older, EOL versions are also af</t>
        </is>
      </c>
      <c r="D45" s="191" t="n">
        <v>5</v>
      </c>
      <c r="E45" s="191" t="inlineStr">
        <is>
          <t>MEDIUM</t>
        </is>
      </c>
      <c r="F45" s="191" t="n">
        <v>2</v>
      </c>
      <c r="G45" s="191" t="n">
        <v>2</v>
      </c>
      <c r="H45" s="191" t="inlineStr">
        <is>
          <t>MEDIUM</t>
        </is>
      </c>
      <c r="I45" s="191" t="n">
        <v>9</v>
      </c>
      <c r="J45" s="191" t="inlineStr">
        <is>
          <t>NO</t>
        </is>
      </c>
      <c r="K45" s="192" t="inlineStr">
        <is>
          <t>https://nvd.nist.gov/vuln/detail/CVE-2026-24733</t>
        </is>
      </c>
      <c r="L45" s="191" t="inlineStr">
        <is>
          <t>2026-02-23 23:48</t>
        </is>
      </c>
      <c r="M45" s="191" t="inlineStr">
        <is>
          <t>CHECK_VENDOR</t>
        </is>
      </c>
      <c r="N45" s="191" t="inlineStr">
        <is>
          <t>See NVD references</t>
        </is>
      </c>
      <c r="O45" s="191" t="inlineStr">
        <is>
          <t>Apply vendor patches</t>
        </is>
      </c>
      <c r="P45" s="191" t="inlineStr">
        <is>
          <t>See CVE details</t>
        </is>
      </c>
      <c r="Q45" s="191" t="inlineStr">
        <is>
          <t>P4</t>
        </is>
      </c>
      <c r="R45" s="191" t="inlineStr">
        <is>
          <t>📅 Schedule patch deployment within 30 days | 🔍 Monitor for exploitation attempts</t>
        </is>
      </c>
      <c r="S45" s="191" t="inlineStr">
        <is>
          <t>CVE - IP enrichment n/a</t>
        </is>
      </c>
      <c r="T45" s="191" t="n">
        <v>0</v>
      </c>
      <c r="U45" s="191" t="n">
        <v>0</v>
      </c>
      <c r="V45" s="191" t="inlineStr">
        <is>
          <t>T1190:Exploit Public-Facing Application</t>
        </is>
      </c>
      <c r="W45" s="191" t="n">
        <v>1</v>
      </c>
      <c r="X45" s="191" t="inlineStr">
        <is>
          <t>LOW (40%)</t>
        </is>
      </c>
      <c r="Y45" s="191" t="inlineStr">
        <is>
          <t>UNLIKELY</t>
        </is>
      </c>
      <c r="Z45" s="191" t="inlineStr">
        <is>
          <t>CHECK_VENDOR</t>
        </is>
      </c>
      <c r="AA45" s="192" t="inlineStr">
        <is>
          <t>https://nvd.nist.gov/vuln/detail/CVE-2026-24733</t>
        </is>
      </c>
      <c r="AB45" s="191" t="inlineStr">
        <is>
          <t>NONE</t>
        </is>
      </c>
      <c r="AC45" s="191" t="n">
        <v>0</v>
      </c>
      <c r="AD45" s="191" t="n"/>
    </row>
    <row r="46">
      <c r="A46" s="191" t="inlineStr">
        <is>
          <t>CVE</t>
        </is>
      </c>
      <c r="B46" s="191" t="inlineStr">
        <is>
          <t>CVE-2026-24734</t>
        </is>
      </c>
      <c r="C46" s="191" t="inlineStr">
        <is>
          <t>Improper Input Validation vulnerability in Apache Tomcat Native, Apache Tomcat.
When using an OCSP responder, Tomcat Native (and Tomcat's FFM port of the Tomcat Native code) did not complete verification or freshness checks on the OCSP response which could allow certificate revocation to be bypassed.
This issue affects Apache Tomcat Native:  from 1.3.0 through 1.3.4, from 2.0.0 through 2.0.11; Apache Tomcat: from 11.0.0-M1 through 11.0.17, from 10.1.0-M7 through 10.1.51, from 9.0.83 through 9.</t>
        </is>
      </c>
      <c r="D46" s="191" t="n">
        <v>5</v>
      </c>
      <c r="E46" s="191" t="inlineStr">
        <is>
          <t>MEDIUM</t>
        </is>
      </c>
      <c r="F46" s="191" t="n">
        <v>2</v>
      </c>
      <c r="G46" s="191" t="n">
        <v>2</v>
      </c>
      <c r="H46" s="191" t="inlineStr">
        <is>
          <t>MEDIUM</t>
        </is>
      </c>
      <c r="I46" s="191" t="n">
        <v>9</v>
      </c>
      <c r="J46" s="191" t="inlineStr">
        <is>
          <t>NO</t>
        </is>
      </c>
      <c r="K46" s="192" t="inlineStr">
        <is>
          <t>https://nvd.nist.gov/vuln/detail/CVE-2026-24734</t>
        </is>
      </c>
      <c r="L46" s="191" t="inlineStr">
        <is>
          <t>2026-02-23 23:48</t>
        </is>
      </c>
      <c r="M46" s="191" t="inlineStr">
        <is>
          <t>CHECK_VENDOR</t>
        </is>
      </c>
      <c r="N46" s="191" t="inlineStr">
        <is>
          <t>See NVD references</t>
        </is>
      </c>
      <c r="O46" s="191" t="inlineStr">
        <is>
          <t>Apply vendor patches</t>
        </is>
      </c>
      <c r="P46" s="191" t="inlineStr">
        <is>
          <t>See CVE details</t>
        </is>
      </c>
      <c r="Q46" s="191" t="inlineStr">
        <is>
          <t>P4</t>
        </is>
      </c>
      <c r="R46" s="191" t="inlineStr">
        <is>
          <t>📅 Schedule patch deployment within 30 days | 🔍 Monitor for exploitation attempts</t>
        </is>
      </c>
      <c r="S46" s="191" t="inlineStr">
        <is>
          <t>CVE - IP enrichment n/a</t>
        </is>
      </c>
      <c r="T46" s="191" t="n">
        <v>0.0003</v>
      </c>
      <c r="U46" s="191" t="n">
        <v>0.0701</v>
      </c>
      <c r="V46" s="191" t="inlineStr">
        <is>
          <t>T1190:Exploit Public-Facing Application</t>
        </is>
      </c>
      <c r="W46" s="191" t="n">
        <v>1</v>
      </c>
      <c r="X46" s="191" t="inlineStr">
        <is>
          <t>LOW (40%)</t>
        </is>
      </c>
      <c r="Y46" s="191" t="inlineStr">
        <is>
          <t>UNLIKELY</t>
        </is>
      </c>
      <c r="Z46" s="191" t="inlineStr">
        <is>
          <t>CHECK_VENDOR</t>
        </is>
      </c>
      <c r="AA46" s="192" t="inlineStr">
        <is>
          <t>https://nvd.nist.gov/vuln/detail/CVE-2026-24734</t>
        </is>
      </c>
      <c r="AB46" s="191" t="inlineStr">
        <is>
          <t>NONE</t>
        </is>
      </c>
      <c r="AC46" s="191" t="n">
        <v>0</v>
      </c>
      <c r="AD46" s="191" t="n"/>
    </row>
    <row r="47">
      <c r="A47" s="189" t="inlineStr">
        <is>
          <t>CVE</t>
        </is>
      </c>
      <c r="B47" s="189" t="inlineStr">
        <is>
          <t>CVE-2026-26731</t>
        </is>
      </c>
      <c r="C47" s="189" t="inlineStr">
        <is>
          <t>TOTOLINK A3002RU V2.1.1-B20211108.1455 was discovered to contain a stack-based buffer overflow via the routernamer`parameter in the formDnsv6 function.</t>
        </is>
      </c>
      <c r="D47" s="189" t="n">
        <v>8.800000000000001</v>
      </c>
      <c r="E47" s="189" t="inlineStr">
        <is>
          <t>HIGH</t>
        </is>
      </c>
      <c r="F47" s="189" t="n">
        <v>3</v>
      </c>
      <c r="G47" s="189" t="n">
        <v>3</v>
      </c>
      <c r="H47" s="189" t="inlineStr">
        <is>
          <t>CRITICAL</t>
        </is>
      </c>
      <c r="I47" s="189" t="n">
        <v>17.8</v>
      </c>
      <c r="J47" s="189" t="inlineStr">
        <is>
          <t>NO</t>
        </is>
      </c>
      <c r="K47" s="190" t="inlineStr">
        <is>
          <t>https://nvd.nist.gov/vuln/detail/CVE-2026-26731</t>
        </is>
      </c>
      <c r="L47" s="189" t="inlineStr">
        <is>
          <t>2026-02-23 23:48</t>
        </is>
      </c>
      <c r="M47" s="189" t="inlineStr">
        <is>
          <t>CHECK_VENDOR</t>
        </is>
      </c>
      <c r="N47" s="189" t="inlineStr">
        <is>
          <t>See NVD references</t>
        </is>
      </c>
      <c r="O47" s="189" t="inlineStr">
        <is>
          <t>Apply vendor patches</t>
        </is>
      </c>
      <c r="P47" s="189" t="inlineStr">
        <is>
          <t>totolink a3002ru-v2 - | totolink a3002ru_firmware 2.1.1-b20211108.1455</t>
        </is>
      </c>
      <c r="Q47" s="189" t="inlineStr">
        <is>
          <t>P2</t>
        </is>
      </c>
      <c r="R47" s="189" t="inlineStr">
        <is>
          <t>🚨 URGENT: Apply vendor patches immediately | 🔒 Isolate affected systems if patch unavailable | 🛡️ Enable additional monitoring/IDS rules</t>
        </is>
      </c>
      <c r="S47" s="189" t="inlineStr">
        <is>
          <t>CVE - IP enrichment n/a</t>
        </is>
      </c>
      <c r="T47" s="189" t="n">
        <v>0</v>
      </c>
      <c r="U47" s="189" t="n">
        <v>0</v>
      </c>
      <c r="V47" s="189" t="inlineStr">
        <is>
          <t>T1203:Exploitation for Client Execution</t>
        </is>
      </c>
      <c r="W47" s="189" t="n">
        <v>2</v>
      </c>
      <c r="X47" s="189" t="inlineStr">
        <is>
          <t>HIGH (72%)</t>
        </is>
      </c>
      <c r="Y47" s="189" t="inlineStr">
        <is>
          <t>CONFIRMED</t>
        </is>
      </c>
      <c r="Z47" s="189" t="inlineStr">
        <is>
          <t>CHECK_VENDOR</t>
        </is>
      </c>
      <c r="AA47" s="190" t="inlineStr">
        <is>
          <t>https://nvd.nist.gov/vuln/detail/CVE-2026-26731</t>
        </is>
      </c>
      <c r="AB47" s="189" t="inlineStr">
        <is>
          <t>NONE</t>
        </is>
      </c>
      <c r="AC47" s="189" t="n">
        <v>4.4</v>
      </c>
      <c r="AD47" s="189" t="n"/>
    </row>
    <row r="48">
      <c r="A48" s="189" t="inlineStr">
        <is>
          <t>CVE</t>
        </is>
      </c>
      <c r="B48" s="189" t="inlineStr">
        <is>
          <t>CVE-2026-26732</t>
        </is>
      </c>
      <c r="C48" s="189" t="inlineStr">
        <is>
          <t>TOTOLINK A3002RU V2.1.1-B20211108.1455 was discovered to contain a stack-based buffer overflow via the vpnUser or vpnPassword` parameters in the formFilter function.</t>
        </is>
      </c>
      <c r="D48" s="189" t="n">
        <v>8.800000000000001</v>
      </c>
      <c r="E48" s="189" t="inlineStr">
        <is>
          <t>HIGH</t>
        </is>
      </c>
      <c r="F48" s="189" t="n">
        <v>2</v>
      </c>
      <c r="G48" s="189" t="n">
        <v>3</v>
      </c>
      <c r="H48" s="189" t="inlineStr">
        <is>
          <t>HIGH</t>
        </is>
      </c>
      <c r="I48" s="189" t="n">
        <v>14.8</v>
      </c>
      <c r="J48" s="189" t="inlineStr">
        <is>
          <t>NO</t>
        </is>
      </c>
      <c r="K48" s="190" t="inlineStr">
        <is>
          <t>https://nvd.nist.gov/vuln/detail/CVE-2026-26732</t>
        </is>
      </c>
      <c r="L48" s="189" t="inlineStr">
        <is>
          <t>2026-02-23 23:48</t>
        </is>
      </c>
      <c r="M48" s="189" t="inlineStr">
        <is>
          <t>CHECK_VENDOR</t>
        </is>
      </c>
      <c r="N48" s="189" t="inlineStr">
        <is>
          <t>See NVD references</t>
        </is>
      </c>
      <c r="O48" s="189" t="inlineStr">
        <is>
          <t>Apply vendor patches</t>
        </is>
      </c>
      <c r="P48" s="189" t="inlineStr">
        <is>
          <t>totolink a3002ru-v2 - | totolink a3002ru_firmware 2.1.1-b20211108.1455</t>
        </is>
      </c>
      <c r="Q48" s="189" t="inlineStr">
        <is>
          <t>P3</t>
        </is>
      </c>
      <c r="R48" s="189" t="inlineStr">
        <is>
          <t>🚨 URGENT: Apply vendor patches immediately | 🔒 Isolate affected systems if patch unavailable | 🛡️ Enable additional monitoring/IDS rules</t>
        </is>
      </c>
      <c r="S48" s="189" t="inlineStr">
        <is>
          <t>CVE - IP enrichment n/a</t>
        </is>
      </c>
      <c r="T48" s="189" t="n">
        <v>0</v>
      </c>
      <c r="U48" s="189" t="n">
        <v>0</v>
      </c>
      <c r="V48" s="189" t="inlineStr">
        <is>
          <t>T1203:Exploitation for Client Execution | T1133:External Remote Services</t>
        </is>
      </c>
      <c r="W48" s="189" t="n">
        <v>1</v>
      </c>
      <c r="X48" s="189" t="inlineStr">
        <is>
          <t>LOW (40%)</t>
        </is>
      </c>
      <c r="Y48" s="189" t="inlineStr">
        <is>
          <t>UNLIKELY</t>
        </is>
      </c>
      <c r="Z48" s="189" t="inlineStr">
        <is>
          <t>CHECK_VENDOR</t>
        </is>
      </c>
      <c r="AA48" s="190" t="inlineStr">
        <is>
          <t>https://nvd.nist.gov/vuln/detail/CVE-2026-26732</t>
        </is>
      </c>
      <c r="AB48" s="189" t="inlineStr">
        <is>
          <t>NONE</t>
        </is>
      </c>
      <c r="AC48" s="189" t="n">
        <v>0</v>
      </c>
      <c r="AD48" s="189" t="n"/>
    </row>
    <row r="49">
      <c r="A49" s="189" t="inlineStr">
        <is>
          <t>CVE</t>
        </is>
      </c>
      <c r="B49" s="189" t="inlineStr">
        <is>
          <t>CVE-2026-26736</t>
        </is>
      </c>
      <c r="C49" s="189" t="inlineStr">
        <is>
          <t>TOTOLINK A3002RU_V3 V3.0.0-B20220304.1804 was discovered to contain a stack-based buffer overflow via the static_ipv6 parameter in the formIpv6Setup function.</t>
        </is>
      </c>
      <c r="D49" s="189" t="n">
        <v>8.800000000000001</v>
      </c>
      <c r="E49" s="189" t="inlineStr">
        <is>
          <t>HIGH</t>
        </is>
      </c>
      <c r="F49" s="189" t="n">
        <v>3</v>
      </c>
      <c r="G49" s="189" t="n">
        <v>3</v>
      </c>
      <c r="H49" s="189" t="inlineStr">
        <is>
          <t>CRITICAL</t>
        </is>
      </c>
      <c r="I49" s="189" t="n">
        <v>17.8</v>
      </c>
      <c r="J49" s="189" t="inlineStr">
        <is>
          <t>NO</t>
        </is>
      </c>
      <c r="K49" s="190" t="inlineStr">
        <is>
          <t>https://nvd.nist.gov/vuln/detail/CVE-2026-26736</t>
        </is>
      </c>
      <c r="L49" s="189" t="inlineStr">
        <is>
          <t>2026-02-23 23:48</t>
        </is>
      </c>
      <c r="M49" s="189" t="inlineStr">
        <is>
          <t>CHECK_VENDOR</t>
        </is>
      </c>
      <c r="N49" s="189" t="inlineStr">
        <is>
          <t>See NVD references</t>
        </is>
      </c>
      <c r="O49" s="189" t="inlineStr">
        <is>
          <t>Apply vendor patches</t>
        </is>
      </c>
      <c r="P49" s="189" t="inlineStr">
        <is>
          <t>totolink a3002ru_firmware * | totolink a3002ru-v3 *</t>
        </is>
      </c>
      <c r="Q49" s="189" t="inlineStr">
        <is>
          <t>P2</t>
        </is>
      </c>
      <c r="R49" s="189" t="inlineStr">
        <is>
          <t>🚨 URGENT: Apply vendor patches immediately | 🔒 Isolate affected systems if patch unavailable | 🛡️ Enable additional monitoring/IDS rules</t>
        </is>
      </c>
      <c r="S49" s="189" t="inlineStr">
        <is>
          <t>CVE - IP enrichment n/a</t>
        </is>
      </c>
      <c r="T49" s="189" t="n">
        <v>0</v>
      </c>
      <c r="U49" s="189" t="n">
        <v>0</v>
      </c>
      <c r="V49" s="189" t="inlineStr">
        <is>
          <t>T1203:Exploitation for Client Execution</t>
        </is>
      </c>
      <c r="W49" s="189" t="n">
        <v>2</v>
      </c>
      <c r="X49" s="189" t="inlineStr">
        <is>
          <t>HIGH (72%)</t>
        </is>
      </c>
      <c r="Y49" s="189" t="inlineStr">
        <is>
          <t>CONFIRMED</t>
        </is>
      </c>
      <c r="Z49" s="189" t="inlineStr">
        <is>
          <t>CHECK_VENDOR</t>
        </is>
      </c>
      <c r="AA49" s="190" t="inlineStr">
        <is>
          <t>https://nvd.nist.gov/vuln/detail/CVE-2026-26736</t>
        </is>
      </c>
      <c r="AB49" s="189" t="inlineStr">
        <is>
          <t>NONE</t>
        </is>
      </c>
      <c r="AC49" s="189" t="n">
        <v>4.4</v>
      </c>
      <c r="AD49" s="189" t="n"/>
    </row>
    <row r="50">
      <c r="A50" s="189" t="inlineStr">
        <is>
          <t>CVE</t>
        </is>
      </c>
      <c r="B50" s="189" t="inlineStr">
        <is>
          <t>CVE-2026-2630</t>
        </is>
      </c>
      <c r="C50" s="189" t="inlineStr">
        <is>
          <t>A Command Injection vulnerability exists where an authenticated, remote attacker could execute arbitrary code on the underlying server where Tenable Security Center is hosted.</t>
        </is>
      </c>
      <c r="D50" s="189" t="n">
        <v>8.800000000000001</v>
      </c>
      <c r="E50" s="189" t="inlineStr">
        <is>
          <t>HIGH</t>
        </is>
      </c>
      <c r="F50" s="189" t="n">
        <v>2</v>
      </c>
      <c r="G50" s="189" t="n">
        <v>3</v>
      </c>
      <c r="H50" s="189" t="inlineStr">
        <is>
          <t>HIGH</t>
        </is>
      </c>
      <c r="I50" s="189" t="n">
        <v>14.8</v>
      </c>
      <c r="J50" s="189" t="inlineStr">
        <is>
          <t>NO</t>
        </is>
      </c>
      <c r="K50" s="190" t="inlineStr">
        <is>
          <t>https://nvd.nist.gov/vuln/detail/CVE-2026-2630</t>
        </is>
      </c>
      <c r="L50" s="189" t="inlineStr">
        <is>
          <t>2026-02-23 23:48</t>
        </is>
      </c>
      <c r="M50" s="189" t="inlineStr">
        <is>
          <t>CHECK_VENDOR</t>
        </is>
      </c>
      <c r="N50" s="189" t="inlineStr">
        <is>
          <t>See NVD references</t>
        </is>
      </c>
      <c r="O50" s="189" t="inlineStr">
        <is>
          <t>Apply vendor patches</t>
        </is>
      </c>
      <c r="P50" s="189" t="inlineStr">
        <is>
          <t>See CVE details</t>
        </is>
      </c>
      <c r="Q50" s="189" t="inlineStr">
        <is>
          <t>P3</t>
        </is>
      </c>
      <c r="R50" s="189" t="inlineStr">
        <is>
          <t>🚨 URGENT: Apply vendor patches immediately | 🔒 Isolate affected systems if patch unavailable | 🛡️ Enable additional monitoring/IDS rules</t>
        </is>
      </c>
      <c r="S50" s="189" t="inlineStr">
        <is>
          <t>CVE - IP enrichment n/a</t>
        </is>
      </c>
      <c r="T50" s="189" t="n">
        <v>0</v>
      </c>
      <c r="U50" s="189" t="n">
        <v>0</v>
      </c>
      <c r="V50" s="189" t="inlineStr">
        <is>
          <t>T1059:Command and Scripting Interpreter | T1203:Exploitation for Client Execution</t>
        </is>
      </c>
      <c r="W50" s="189" t="n">
        <v>1</v>
      </c>
      <c r="X50" s="189" t="inlineStr">
        <is>
          <t>LOW (40%)</t>
        </is>
      </c>
      <c r="Y50" s="189" t="inlineStr">
        <is>
          <t>UNLIKELY</t>
        </is>
      </c>
      <c r="Z50" s="189" t="inlineStr">
        <is>
          <t>CHECK_VENDOR</t>
        </is>
      </c>
      <c r="AA50" s="190" t="inlineStr">
        <is>
          <t>https://nvd.nist.gov/vuln/detail/CVE-2026-2630</t>
        </is>
      </c>
      <c r="AB50" s="189" t="inlineStr">
        <is>
          <t>NONE</t>
        </is>
      </c>
      <c r="AC50" s="189" t="n">
        <v>0</v>
      </c>
      <c r="AD50" s="189" t="n"/>
    </row>
    <row r="51">
      <c r="A51" s="191" t="inlineStr">
        <is>
          <t>CVE</t>
        </is>
      </c>
      <c r="B51" s="191" t="inlineStr">
        <is>
          <t>CVE-2023-38265</t>
        </is>
      </c>
      <c r="C51" s="191" t="inlineStr">
        <is>
          <t>IBM Cloud Pak System 2.3.3.6, 2.3.3.7, 2.3.4.0, 2.3.4.1, and 2.3.5.0 could disclose folder location information to an unauthenticated attacker that could aid in further attacks against the system.</t>
        </is>
      </c>
      <c r="D51" s="191" t="n">
        <v>5.3</v>
      </c>
      <c r="E51" s="191" t="inlineStr">
        <is>
          <t>MEDIUM</t>
        </is>
      </c>
      <c r="F51" s="191" t="n">
        <v>2</v>
      </c>
      <c r="G51" s="191" t="n">
        <v>2</v>
      </c>
      <c r="H51" s="191" t="inlineStr">
        <is>
          <t>MEDIUM</t>
        </is>
      </c>
      <c r="I51" s="191" t="n">
        <v>9.300000000000001</v>
      </c>
      <c r="J51" s="191" t="inlineStr">
        <is>
          <t>NO</t>
        </is>
      </c>
      <c r="K51" s="192" t="inlineStr">
        <is>
          <t>https://nvd.nist.gov/vuln/detail/CVE-2023-38265</t>
        </is>
      </c>
      <c r="L51" s="191" t="inlineStr">
        <is>
          <t>2026-02-23 23:48</t>
        </is>
      </c>
      <c r="M51" s="191" t="inlineStr">
        <is>
          <t>YES</t>
        </is>
      </c>
      <c r="N51" s="192" t="inlineStr">
        <is>
          <t>https://www.ibm.com/support/pages/node/7259955</t>
        </is>
      </c>
      <c r="O51" s="191" t="inlineStr">
        <is>
          <t>Apply vendor patches</t>
        </is>
      </c>
      <c r="P51" s="191" t="inlineStr">
        <is>
          <t>ibm cloud_pak_system 2.3.3.6 | ibm cloud_pak_system 2.3.4.0 | ibm cloud_pak_system 2.3.3.7</t>
        </is>
      </c>
      <c r="Q51" s="191" t="inlineStr">
        <is>
          <t>P4</t>
        </is>
      </c>
      <c r="R51" s="191" t="inlineStr">
        <is>
          <t>📅 Schedule patch deployment within 30 days | 🔍 Monitor for exploitation attempts</t>
        </is>
      </c>
      <c r="S51" s="191" t="inlineStr">
        <is>
          <t>CVE - IP enrichment n/a</t>
        </is>
      </c>
      <c r="T51" s="191" t="n">
        <v>0.0004</v>
      </c>
      <c r="U51" s="191" t="n">
        <v>0.1384</v>
      </c>
      <c r="V51" s="191" t="inlineStr">
        <is>
          <t>T1190:Exploit Public-Facing Application</t>
        </is>
      </c>
      <c r="W51" s="191" t="n">
        <v>1</v>
      </c>
      <c r="X51" s="191" t="inlineStr">
        <is>
          <t>LOW (40%)</t>
        </is>
      </c>
      <c r="Y51" s="191" t="inlineStr">
        <is>
          <t>UNLIKELY</t>
        </is>
      </c>
      <c r="Z51" s="191" t="inlineStr">
        <is>
          <t>PATCH_AVAILABLE</t>
        </is>
      </c>
      <c r="AA51" s="192" t="inlineStr">
        <is>
          <t>https://nvd.nist.gov/vuln/detail/CVE-2023-38265</t>
        </is>
      </c>
      <c r="AB51" s="191" t="inlineStr">
        <is>
          <t>NONE</t>
        </is>
      </c>
      <c r="AC51" s="191" t="n">
        <v>0</v>
      </c>
      <c r="AD51" s="191" t="n"/>
    </row>
    <row r="52">
      <c r="A52" s="191" t="inlineStr">
        <is>
          <t>CVE</t>
        </is>
      </c>
      <c r="B52" s="191" t="inlineStr">
        <is>
          <t>CVE-2025-13108</t>
        </is>
      </c>
      <c r="C52" s="191" t="inlineStr">
        <is>
          <t>IBM DB2 Merge Backup for Linux, UNIX and Windows 12.1.0.0 could allow an attacker to access sensitive information in memory due to the buffer not properly clearing resources.</t>
        </is>
      </c>
      <c r="D52" s="191" t="n">
        <v>5.5</v>
      </c>
      <c r="E52" s="191" t="inlineStr">
        <is>
          <t>MEDIUM</t>
        </is>
      </c>
      <c r="F52" s="191" t="n">
        <v>2</v>
      </c>
      <c r="G52" s="191" t="n">
        <v>2</v>
      </c>
      <c r="H52" s="191" t="inlineStr">
        <is>
          <t>MEDIUM</t>
        </is>
      </c>
      <c r="I52" s="191" t="n">
        <v>9.5</v>
      </c>
      <c r="J52" s="191" t="inlineStr">
        <is>
          <t>NO</t>
        </is>
      </c>
      <c r="K52" s="192" t="inlineStr">
        <is>
          <t>https://nvd.nist.gov/vuln/detail/CVE-2025-13108</t>
        </is>
      </c>
      <c r="L52" s="191" t="inlineStr">
        <is>
          <t>2026-02-23 23:48</t>
        </is>
      </c>
      <c r="M52" s="191" t="inlineStr">
        <is>
          <t>YES</t>
        </is>
      </c>
      <c r="N52" s="192" t="inlineStr">
        <is>
          <t>https://www.ibm.com/support/pages/node/7260043</t>
        </is>
      </c>
      <c r="O52" s="191" t="inlineStr">
        <is>
          <t>Apply vendor patches</t>
        </is>
      </c>
      <c r="P52" s="191" t="inlineStr">
        <is>
          <t>ibm db2_merge_backup 12.1.0.0</t>
        </is>
      </c>
      <c r="Q52" s="191" t="inlineStr">
        <is>
          <t>P4</t>
        </is>
      </c>
      <c r="R52" s="191" t="inlineStr">
        <is>
          <t>📅 Schedule patch deployment within 30 days | 🔍 Monitor for exploitation attempts</t>
        </is>
      </c>
      <c r="S52" s="191" t="inlineStr">
        <is>
          <t>CVE - IP enrichment n/a</t>
        </is>
      </c>
      <c r="T52" s="191" t="n">
        <v>0</v>
      </c>
      <c r="U52" s="191" t="n">
        <v>0</v>
      </c>
      <c r="V52" s="191" t="inlineStr">
        <is>
          <t>T1190:Exploit Public-Facing Application</t>
        </is>
      </c>
      <c r="W52" s="191" t="n">
        <v>1</v>
      </c>
      <c r="X52" s="191" t="inlineStr">
        <is>
          <t>LOW (40%)</t>
        </is>
      </c>
      <c r="Y52" s="191" t="inlineStr">
        <is>
          <t>UNLIKELY</t>
        </is>
      </c>
      <c r="Z52" s="191" t="inlineStr">
        <is>
          <t>PATCH_AVAILABLE</t>
        </is>
      </c>
      <c r="AA52" s="192" t="inlineStr">
        <is>
          <t>https://nvd.nist.gov/vuln/detail/CVE-2025-13108</t>
        </is>
      </c>
      <c r="AB52" s="191" t="inlineStr">
        <is>
          <t>NONE</t>
        </is>
      </c>
      <c r="AC52" s="191" t="n">
        <v>0</v>
      </c>
      <c r="AD52" s="191" t="n"/>
    </row>
    <row r="53">
      <c r="A53" s="191" t="inlineStr">
        <is>
          <t>CVE</t>
        </is>
      </c>
      <c r="B53" s="191" t="inlineStr">
        <is>
          <t>CVE-2025-27898</t>
        </is>
      </c>
      <c r="C53" s="191" t="inlineStr">
        <is>
          <t>IBM DB2 Recovery Expert for LUW 5.5 Interim Fix 002 does not invalidate session after a timeout which could allow an authenticated user to impersonate another user on the system.</t>
        </is>
      </c>
      <c r="D53" s="191" t="n">
        <v>6.3</v>
      </c>
      <c r="E53" s="191" t="inlineStr">
        <is>
          <t>MEDIUM</t>
        </is>
      </c>
      <c r="F53" s="191" t="n">
        <v>2</v>
      </c>
      <c r="G53" s="191" t="n">
        <v>2</v>
      </c>
      <c r="H53" s="191" t="inlineStr">
        <is>
          <t>MEDIUM</t>
        </is>
      </c>
      <c r="I53" s="191" t="n">
        <v>10.3</v>
      </c>
      <c r="J53" s="191" t="inlineStr">
        <is>
          <t>NO</t>
        </is>
      </c>
      <c r="K53" s="192" t="inlineStr">
        <is>
          <t>https://nvd.nist.gov/vuln/detail/CVE-2025-27898</t>
        </is>
      </c>
      <c r="L53" s="191" t="inlineStr">
        <is>
          <t>2026-02-23 23:48</t>
        </is>
      </c>
      <c r="M53" s="191" t="inlineStr">
        <is>
          <t>CHECK_VENDOR</t>
        </is>
      </c>
      <c r="N53" s="191" t="inlineStr">
        <is>
          <t>See NVD references</t>
        </is>
      </c>
      <c r="O53" s="191" t="inlineStr">
        <is>
          <t>Apply vendor patches</t>
        </is>
      </c>
      <c r="P53" s="191" t="inlineStr">
        <is>
          <t>See CVE details</t>
        </is>
      </c>
      <c r="Q53" s="191" t="inlineStr">
        <is>
          <t>P4</t>
        </is>
      </c>
      <c r="R53" s="191" t="inlineStr">
        <is>
          <t>📅 Schedule patch deployment within 30 days | 🔍 Monitor for exploitation attempts</t>
        </is>
      </c>
      <c r="S53" s="191" t="inlineStr">
        <is>
          <t>CVE - IP enrichment n/a</t>
        </is>
      </c>
      <c r="T53" s="191" t="n">
        <v>0</v>
      </c>
      <c r="U53" s="191" t="n">
        <v>0</v>
      </c>
      <c r="V53" s="191" t="inlineStr">
        <is>
          <t>T1190:Exploit Public-Facing Application</t>
        </is>
      </c>
      <c r="W53" s="191" t="n">
        <v>1</v>
      </c>
      <c r="X53" s="191" t="inlineStr">
        <is>
          <t>LOW (40%)</t>
        </is>
      </c>
      <c r="Y53" s="191" t="inlineStr">
        <is>
          <t>UNLIKELY</t>
        </is>
      </c>
      <c r="Z53" s="191" t="inlineStr">
        <is>
          <t>CHECK_VENDOR</t>
        </is>
      </c>
      <c r="AA53" s="192" t="inlineStr">
        <is>
          <t>https://nvd.nist.gov/vuln/detail/CVE-2025-27898</t>
        </is>
      </c>
      <c r="AB53" s="191" t="inlineStr">
        <is>
          <t>NONE</t>
        </is>
      </c>
      <c r="AC53" s="191" t="n">
        <v>0</v>
      </c>
      <c r="AD53" s="191" t="n"/>
    </row>
    <row r="54">
      <c r="A54" s="191" t="inlineStr">
        <is>
          <t>CVE</t>
        </is>
      </c>
      <c r="B54" s="191" t="inlineStr">
        <is>
          <t>CVE-2025-27899</t>
        </is>
      </c>
      <c r="C54" s="191" t="inlineStr">
        <is>
          <t>IBM DB2 Recovery Expert for LUW 5.5 Interim Fix 002 discloses sensitive information in an environment variable that could aid in further attacks against the system.</t>
        </is>
      </c>
      <c r="D54" s="191" t="n">
        <v>5.3</v>
      </c>
      <c r="E54" s="191" t="inlineStr">
        <is>
          <t>MEDIUM</t>
        </is>
      </c>
      <c r="F54" s="191" t="n">
        <v>2</v>
      </c>
      <c r="G54" s="191" t="n">
        <v>2</v>
      </c>
      <c r="H54" s="191" t="inlineStr">
        <is>
          <t>MEDIUM</t>
        </is>
      </c>
      <c r="I54" s="191" t="n">
        <v>9.300000000000001</v>
      </c>
      <c r="J54" s="191" t="inlineStr">
        <is>
          <t>NO</t>
        </is>
      </c>
      <c r="K54" s="192" t="inlineStr">
        <is>
          <t>https://nvd.nist.gov/vuln/detail/CVE-2025-27899</t>
        </is>
      </c>
      <c r="L54" s="191" t="inlineStr">
        <is>
          <t>2026-02-23 23:48</t>
        </is>
      </c>
      <c r="M54" s="191" t="inlineStr">
        <is>
          <t>CHECK_VENDOR</t>
        </is>
      </c>
      <c r="N54" s="191" t="inlineStr">
        <is>
          <t>See NVD references</t>
        </is>
      </c>
      <c r="O54" s="191" t="inlineStr">
        <is>
          <t>Apply vendor patches</t>
        </is>
      </c>
      <c r="P54" s="191" t="inlineStr">
        <is>
          <t>See CVE details</t>
        </is>
      </c>
      <c r="Q54" s="191" t="inlineStr">
        <is>
          <t>P4</t>
        </is>
      </c>
      <c r="R54" s="191" t="inlineStr">
        <is>
          <t>📅 Schedule patch deployment within 30 days | 🔍 Monitor for exploitation attempts</t>
        </is>
      </c>
      <c r="S54" s="191" t="inlineStr">
        <is>
          <t>CVE - IP enrichment n/a</t>
        </is>
      </c>
      <c r="T54" s="191" t="n">
        <v>0</v>
      </c>
      <c r="U54" s="191" t="n">
        <v>0</v>
      </c>
      <c r="V54" s="191" t="inlineStr">
        <is>
          <t>T1190:Exploit Public-Facing Application</t>
        </is>
      </c>
      <c r="W54" s="191" t="n">
        <v>1</v>
      </c>
      <c r="X54" s="191" t="inlineStr">
        <is>
          <t>LOW (40%)</t>
        </is>
      </c>
      <c r="Y54" s="191" t="inlineStr">
        <is>
          <t>UNLIKELY</t>
        </is>
      </c>
      <c r="Z54" s="191" t="inlineStr">
        <is>
          <t>CHECK_VENDOR</t>
        </is>
      </c>
      <c r="AA54" s="192" t="inlineStr">
        <is>
          <t>https://nvd.nist.gov/vuln/detail/CVE-2025-27899</t>
        </is>
      </c>
      <c r="AB54" s="191" t="inlineStr">
        <is>
          <t>NONE</t>
        </is>
      </c>
      <c r="AC54" s="191" t="n">
        <v>0</v>
      </c>
      <c r="AD54" s="191" t="n"/>
    </row>
    <row r="55">
      <c r="A55" s="191" t="inlineStr">
        <is>
          <t>CVE</t>
        </is>
      </c>
      <c r="B55" s="191" t="inlineStr">
        <is>
          <t>CVE-2025-27900</t>
        </is>
      </c>
      <c r="C55" s="191" t="inlineStr">
        <is>
          <t>IBM DB2 Recovery Expert for LUW 5.5 Interim Fix 002 could allow a remote attacker to conduct phishing attacks, using an open redirect attack. By persuading a victim to visit a specially crafted Web site, a remote attacker could exploit this vulnerability to spoof the URL displayed to redirect a user to a malicious Web site that would appear to be trusted. This could allow the attacker to obtain highly sensitive information or conduct further attacks against the victim.</t>
        </is>
      </c>
      <c r="D55" s="191" t="n">
        <v>6.8</v>
      </c>
      <c r="E55" s="191" t="inlineStr">
        <is>
          <t>MEDIUM</t>
        </is>
      </c>
      <c r="F55" s="191" t="n">
        <v>2</v>
      </c>
      <c r="G55" s="191" t="n">
        <v>2</v>
      </c>
      <c r="H55" s="191" t="inlineStr">
        <is>
          <t>MEDIUM</t>
        </is>
      </c>
      <c r="I55" s="191" t="n">
        <v>10.8</v>
      </c>
      <c r="J55" s="191" t="inlineStr">
        <is>
          <t>NO</t>
        </is>
      </c>
      <c r="K55" s="192" t="inlineStr">
        <is>
          <t>https://nvd.nist.gov/vuln/detail/CVE-2025-27900</t>
        </is>
      </c>
      <c r="L55" s="191" t="inlineStr">
        <is>
          <t>2026-02-23 23:48</t>
        </is>
      </c>
      <c r="M55" s="191" t="inlineStr">
        <is>
          <t>CHECK_VENDOR</t>
        </is>
      </c>
      <c r="N55" s="191" t="inlineStr">
        <is>
          <t>See NVD references</t>
        </is>
      </c>
      <c r="O55" s="191" t="inlineStr">
        <is>
          <t>Apply vendor patches</t>
        </is>
      </c>
      <c r="P55" s="191" t="inlineStr">
        <is>
          <t>See CVE details</t>
        </is>
      </c>
      <c r="Q55" s="191" t="inlineStr">
        <is>
          <t>P4</t>
        </is>
      </c>
      <c r="R55" s="191" t="inlineStr">
        <is>
          <t>📅 Schedule patch deployment within 30 days | 🔍 Monitor for exploitation attempts</t>
        </is>
      </c>
      <c r="S55" s="191" t="inlineStr">
        <is>
          <t>CVE - IP enrichment n/a</t>
        </is>
      </c>
      <c r="T55" s="191" t="n">
        <v>0</v>
      </c>
      <c r="U55" s="191" t="n">
        <v>0</v>
      </c>
      <c r="V55" s="191" t="inlineStr">
        <is>
          <t>T1189:Drive-by Compromise | T1566:Phishing</t>
        </is>
      </c>
      <c r="W55" s="191" t="n">
        <v>1</v>
      </c>
      <c r="X55" s="191" t="inlineStr">
        <is>
          <t>LOW (40%)</t>
        </is>
      </c>
      <c r="Y55" s="191" t="inlineStr">
        <is>
          <t>UNLIKELY</t>
        </is>
      </c>
      <c r="Z55" s="191" t="inlineStr">
        <is>
          <t>CHECK_VENDOR</t>
        </is>
      </c>
      <c r="AA55" s="192" t="inlineStr">
        <is>
          <t>https://nvd.nist.gov/vuln/detail/CVE-2025-27900</t>
        </is>
      </c>
      <c r="AB55" s="191" t="inlineStr">
        <is>
          <t>NONE</t>
        </is>
      </c>
      <c r="AC55" s="191" t="n">
        <v>0</v>
      </c>
      <c r="AD55" s="191" t="n"/>
    </row>
    <row r="56">
      <c r="A56" s="191" t="inlineStr">
        <is>
          <t>CVE</t>
        </is>
      </c>
      <c r="B56" s="191" t="inlineStr">
        <is>
          <t>CVE-2025-27901</t>
        </is>
      </c>
      <c r="C56" s="191" t="inlineStr">
        <is>
          <t>IBM DB2 Recovery Expert for LUW 5.5 Interim Fix 002 IBM Db2 Recovery Expert for Linux, UNIX and Windows is vulnerable to HTTP header injection, caused by improper validation of input by the HOST headers.  This could allow an attacker to conduct various attacks against the vulnerable system, including cross-site scripting, cache poisoning or session hijacking.</t>
        </is>
      </c>
      <c r="D56" s="191" t="n">
        <v>6.5</v>
      </c>
      <c r="E56" s="191" t="inlineStr">
        <is>
          <t>MEDIUM</t>
        </is>
      </c>
      <c r="F56" s="191" t="n">
        <v>2</v>
      </c>
      <c r="G56" s="191" t="n">
        <v>2</v>
      </c>
      <c r="H56" s="191" t="inlineStr">
        <is>
          <t>MEDIUM</t>
        </is>
      </c>
      <c r="I56" s="191" t="n">
        <v>10.5</v>
      </c>
      <c r="J56" s="191" t="inlineStr">
        <is>
          <t>NO</t>
        </is>
      </c>
      <c r="K56" s="192" t="inlineStr">
        <is>
          <t>https://nvd.nist.gov/vuln/detail/CVE-2025-27901</t>
        </is>
      </c>
      <c r="L56" s="191" t="inlineStr">
        <is>
          <t>2026-02-23 23:48</t>
        </is>
      </c>
      <c r="M56" s="191" t="inlineStr">
        <is>
          <t>CHECK_VENDOR</t>
        </is>
      </c>
      <c r="N56" s="191" t="inlineStr">
        <is>
          <t>See NVD references</t>
        </is>
      </c>
      <c r="O56" s="191" t="inlineStr">
        <is>
          <t>Apply vendor patches</t>
        </is>
      </c>
      <c r="P56" s="191" t="inlineStr">
        <is>
          <t>See CVE details</t>
        </is>
      </c>
      <c r="Q56" s="191" t="inlineStr">
        <is>
          <t>P4</t>
        </is>
      </c>
      <c r="R56" s="191" t="inlineStr">
        <is>
          <t>📅 Schedule patch deployment within 30 days | 🔍 Monitor for exploitation attempts</t>
        </is>
      </c>
      <c r="S56" s="191" t="inlineStr">
        <is>
          <t>CVE - IP enrichment n/a</t>
        </is>
      </c>
      <c r="T56" s="191" t="n">
        <v>0</v>
      </c>
      <c r="U56" s="191" t="n">
        <v>0</v>
      </c>
      <c r="V56" s="191" t="inlineStr">
        <is>
          <t>T1189:Drive-by Compromise</t>
        </is>
      </c>
      <c r="W56" s="191" t="n">
        <v>1</v>
      </c>
      <c r="X56" s="191" t="inlineStr">
        <is>
          <t>LOW (40%)</t>
        </is>
      </c>
      <c r="Y56" s="191" t="inlineStr">
        <is>
          <t>UNLIKELY</t>
        </is>
      </c>
      <c r="Z56" s="191" t="inlineStr">
        <is>
          <t>CHECK_VENDOR</t>
        </is>
      </c>
      <c r="AA56" s="192" t="inlineStr">
        <is>
          <t>https://nvd.nist.gov/vuln/detail/CVE-2025-27901</t>
        </is>
      </c>
      <c r="AB56" s="191" t="inlineStr">
        <is>
          <t>NONE</t>
        </is>
      </c>
      <c r="AC56" s="191" t="n">
        <v>0</v>
      </c>
      <c r="AD56" s="191" t="n"/>
    </row>
    <row r="57">
      <c r="A57" s="191" t="inlineStr">
        <is>
          <t>CVE</t>
        </is>
      </c>
      <c r="B57" s="191" t="inlineStr">
        <is>
          <t>CVE-2025-27903</t>
        </is>
      </c>
      <c r="C57" s="191" t="inlineStr">
        <is>
          <t>IBM DB2 Recovery Expert for LUW 5.5 Interim Fix 002 IBM Db2 Recovery Expert for Linux, UNIX and Windows transmits data in a cleartext communication channel that could allow an attacker to obtain sensitive information using man in the middle techniques.</t>
        </is>
      </c>
      <c r="D57" s="191" t="n">
        <v>5.9</v>
      </c>
      <c r="E57" s="191" t="inlineStr">
        <is>
          <t>MEDIUM</t>
        </is>
      </c>
      <c r="F57" s="191" t="n">
        <v>2</v>
      </c>
      <c r="G57" s="191" t="n">
        <v>2</v>
      </c>
      <c r="H57" s="191" t="inlineStr">
        <is>
          <t>MEDIUM</t>
        </is>
      </c>
      <c r="I57" s="191" t="n">
        <v>9.9</v>
      </c>
      <c r="J57" s="191" t="inlineStr">
        <is>
          <t>NO</t>
        </is>
      </c>
      <c r="K57" s="192" t="inlineStr">
        <is>
          <t>https://nvd.nist.gov/vuln/detail/CVE-2025-27903</t>
        </is>
      </c>
      <c r="L57" s="191" t="inlineStr">
        <is>
          <t>2026-02-23 23:48</t>
        </is>
      </c>
      <c r="M57" s="191" t="inlineStr">
        <is>
          <t>CHECK_VENDOR</t>
        </is>
      </c>
      <c r="N57" s="191" t="inlineStr">
        <is>
          <t>See NVD references</t>
        </is>
      </c>
      <c r="O57" s="191" t="inlineStr">
        <is>
          <t>Apply vendor patches</t>
        </is>
      </c>
      <c r="P57" s="191" t="inlineStr">
        <is>
          <t>See CVE details</t>
        </is>
      </c>
      <c r="Q57" s="191" t="inlineStr">
        <is>
          <t>P4</t>
        </is>
      </c>
      <c r="R57" s="191" t="inlineStr">
        <is>
          <t>📅 Schedule patch deployment within 30 days | 🔍 Monitor for exploitation attempts</t>
        </is>
      </c>
      <c r="S57" s="191" t="inlineStr">
        <is>
          <t>CVE - IP enrichment n/a</t>
        </is>
      </c>
      <c r="T57" s="191" t="n">
        <v>0</v>
      </c>
      <c r="U57" s="191" t="n">
        <v>0</v>
      </c>
      <c r="V57" s="191" t="inlineStr">
        <is>
          <t>T1190:Exploit Public-Facing Application</t>
        </is>
      </c>
      <c r="W57" s="191" t="n">
        <v>1</v>
      </c>
      <c r="X57" s="191" t="inlineStr">
        <is>
          <t>LOW (40%)</t>
        </is>
      </c>
      <c r="Y57" s="191" t="inlineStr">
        <is>
          <t>UNLIKELY</t>
        </is>
      </c>
      <c r="Z57" s="191" t="inlineStr">
        <is>
          <t>CHECK_VENDOR</t>
        </is>
      </c>
      <c r="AA57" s="192" t="inlineStr">
        <is>
          <t>https://nvd.nist.gov/vuln/detail/CVE-2025-27903</t>
        </is>
      </c>
      <c r="AB57" s="191" t="inlineStr">
        <is>
          <t>NONE</t>
        </is>
      </c>
      <c r="AC57" s="191" t="n">
        <v>0</v>
      </c>
      <c r="AD57" s="191" t="n"/>
    </row>
    <row r="58">
      <c r="A58" s="191" t="inlineStr">
        <is>
          <t>CVE</t>
        </is>
      </c>
      <c r="B58" s="191" t="inlineStr">
        <is>
          <t>CVE-2025-27904</t>
        </is>
      </c>
      <c r="C58" s="191" t="inlineStr">
        <is>
          <t>IBM DB2 Recovery Expert for LUW 5.5 Interim Fix 002 IBM Db2 Recovery Expert for Linux, UNIX and Windows is vulnerable to cross-site request forgery which could allow an attacker to execute malicious and unauthorized actions transmitted from a user that the website trusts.</t>
        </is>
      </c>
      <c r="D58" s="191" t="n">
        <v>6.5</v>
      </c>
      <c r="E58" s="191" t="inlineStr">
        <is>
          <t>MEDIUM</t>
        </is>
      </c>
      <c r="F58" s="191" t="n">
        <v>2</v>
      </c>
      <c r="G58" s="191" t="n">
        <v>2</v>
      </c>
      <c r="H58" s="191" t="inlineStr">
        <is>
          <t>MEDIUM</t>
        </is>
      </c>
      <c r="I58" s="191" t="n">
        <v>10.5</v>
      </c>
      <c r="J58" s="191" t="inlineStr">
        <is>
          <t>NO</t>
        </is>
      </c>
      <c r="K58" s="192" t="inlineStr">
        <is>
          <t>https://nvd.nist.gov/vuln/detail/CVE-2025-27904</t>
        </is>
      </c>
      <c r="L58" s="191" t="inlineStr">
        <is>
          <t>2026-02-23 23:48</t>
        </is>
      </c>
      <c r="M58" s="191" t="inlineStr">
        <is>
          <t>CHECK_VENDOR</t>
        </is>
      </c>
      <c r="N58" s="191" t="inlineStr">
        <is>
          <t>See NVD references</t>
        </is>
      </c>
      <c r="O58" s="191" t="inlineStr">
        <is>
          <t>Apply vendor patches</t>
        </is>
      </c>
      <c r="P58" s="191" t="inlineStr">
        <is>
          <t>See CVE details</t>
        </is>
      </c>
      <c r="Q58" s="191" t="inlineStr">
        <is>
          <t>P4</t>
        </is>
      </c>
      <c r="R58" s="191" t="inlineStr">
        <is>
          <t>📅 Schedule patch deployment within 30 days | 🔍 Monitor for exploitation attempts</t>
        </is>
      </c>
      <c r="S58" s="191" t="inlineStr">
        <is>
          <t>CVE - IP enrichment n/a</t>
        </is>
      </c>
      <c r="T58" s="191" t="n">
        <v>0</v>
      </c>
      <c r="U58" s="191" t="n">
        <v>0</v>
      </c>
      <c r="V58" s="191" t="inlineStr">
        <is>
          <t>T1185:Browser Session Hijacking</t>
        </is>
      </c>
      <c r="W58" s="191" t="n">
        <v>1</v>
      </c>
      <c r="X58" s="191" t="inlineStr">
        <is>
          <t>LOW (40%)</t>
        </is>
      </c>
      <c r="Y58" s="191" t="inlineStr">
        <is>
          <t>UNLIKELY</t>
        </is>
      </c>
      <c r="Z58" s="191" t="inlineStr">
        <is>
          <t>CHECK_VENDOR</t>
        </is>
      </c>
      <c r="AA58" s="192" t="inlineStr">
        <is>
          <t>https://nvd.nist.gov/vuln/detail/CVE-2025-27904</t>
        </is>
      </c>
      <c r="AB58" s="191" t="inlineStr">
        <is>
          <t>NONE</t>
        </is>
      </c>
      <c r="AC58" s="191" t="n">
        <v>0</v>
      </c>
      <c r="AD58" s="191" t="n"/>
    </row>
    <row r="59">
      <c r="A59" s="189" t="inlineStr">
        <is>
          <t>CVE</t>
        </is>
      </c>
      <c r="B59" s="189" t="inlineStr">
        <is>
          <t>CVE-2025-32355</t>
        </is>
      </c>
      <c r="C59" s="189" t="inlineStr">
        <is>
          <t>Rocket TRUfusion Enterprise through 7.10.4.0 uses a reverse proxy to handle incoming connections. However, the proxy is misconfigured in a way that allows specifying absolute URLs in the HTTP request line, causing the proxy to load the given resource.</t>
        </is>
      </c>
      <c r="D59" s="189" t="n">
        <v>8.5</v>
      </c>
      <c r="E59" s="189" t="inlineStr">
        <is>
          <t>HIGH</t>
        </is>
      </c>
      <c r="F59" s="189" t="n">
        <v>2</v>
      </c>
      <c r="G59" s="189" t="n">
        <v>3</v>
      </c>
      <c r="H59" s="189" t="inlineStr">
        <is>
          <t>HIGH</t>
        </is>
      </c>
      <c r="I59" s="189" t="n">
        <v>14.5</v>
      </c>
      <c r="J59" s="189" t="inlineStr">
        <is>
          <t>NO</t>
        </is>
      </c>
      <c r="K59" s="190" t="inlineStr">
        <is>
          <t>https://nvd.nist.gov/vuln/detail/CVE-2025-32355</t>
        </is>
      </c>
      <c r="L59" s="189" t="inlineStr">
        <is>
          <t>2026-02-23 23:48</t>
        </is>
      </c>
      <c r="M59" s="189" t="inlineStr">
        <is>
          <t>CHECK_VENDOR</t>
        </is>
      </c>
      <c r="N59" s="189" t="inlineStr">
        <is>
          <t>See NVD references</t>
        </is>
      </c>
      <c r="O59" s="189" t="inlineStr">
        <is>
          <t>Apply vendor patches</t>
        </is>
      </c>
      <c r="P59" s="189" t="inlineStr">
        <is>
          <t>See CVE details</t>
        </is>
      </c>
      <c r="Q59" s="189" t="inlineStr">
        <is>
          <t>P2</t>
        </is>
      </c>
      <c r="R59" s="189" t="inlineStr">
        <is>
          <t>🚨 URGENT: Apply vendor patches immediately | 🔒 Isolate affected systems if patch unavailable | 🛡️ Enable additional monitoring/IDS rules</t>
        </is>
      </c>
      <c r="S59" s="189" t="inlineStr">
        <is>
          <t>CVE - IP enrichment n/a</t>
        </is>
      </c>
      <c r="T59" s="189" t="n">
        <v>0.0121</v>
      </c>
      <c r="U59" s="189" t="n">
        <v>0.7873</v>
      </c>
      <c r="V59" s="189" t="inlineStr">
        <is>
          <t>T1190:Exploit Public-Facing Application</t>
        </is>
      </c>
      <c r="W59" s="189" t="n">
        <v>1</v>
      </c>
      <c r="X59" s="189" t="inlineStr">
        <is>
          <t>LOW (40%)</t>
        </is>
      </c>
      <c r="Y59" s="189" t="inlineStr">
        <is>
          <t>UNLIKELY</t>
        </is>
      </c>
      <c r="Z59" s="189" t="inlineStr">
        <is>
          <t>CHECK_VENDOR</t>
        </is>
      </c>
      <c r="AA59" s="190" t="inlineStr">
        <is>
          <t>https://nvd.nist.gov/vuln/detail/CVE-2025-32355</t>
        </is>
      </c>
      <c r="AB59" s="189" t="inlineStr">
        <is>
          <t>NONE</t>
        </is>
      </c>
      <c r="AC59" s="189" t="n">
        <v>0</v>
      </c>
      <c r="AD59" s="189" t="n"/>
    </row>
    <row r="60">
      <c r="A60" s="191" t="inlineStr">
        <is>
          <t>CVE</t>
        </is>
      </c>
      <c r="B60" s="191" t="inlineStr">
        <is>
          <t>CVE-2025-33089</t>
        </is>
      </c>
      <c r="C60" s="191" t="inlineStr">
        <is>
          <t>IBM Concert 1.0.0 through 2.1.0 could allow a remote attacker to obtain sensitive information or perform unauthorized actions due to the use of hard coded user credentials.</t>
        </is>
      </c>
      <c r="D60" s="191" t="n">
        <v>6.5</v>
      </c>
      <c r="E60" s="191" t="inlineStr">
        <is>
          <t>MEDIUM</t>
        </is>
      </c>
      <c r="F60" s="191" t="n">
        <v>2</v>
      </c>
      <c r="G60" s="191" t="n">
        <v>2</v>
      </c>
      <c r="H60" s="191" t="inlineStr">
        <is>
          <t>MEDIUM</t>
        </is>
      </c>
      <c r="I60" s="191" t="n">
        <v>10.5</v>
      </c>
      <c r="J60" s="191" t="inlineStr">
        <is>
          <t>NO</t>
        </is>
      </c>
      <c r="K60" s="192" t="inlineStr">
        <is>
          <t>https://nvd.nist.gov/vuln/detail/CVE-2025-33089</t>
        </is>
      </c>
      <c r="L60" s="191" t="inlineStr">
        <is>
          <t>2026-02-23 23:48</t>
        </is>
      </c>
      <c r="M60" s="191" t="inlineStr">
        <is>
          <t>YES</t>
        </is>
      </c>
      <c r="N60" s="192" t="inlineStr">
        <is>
          <t>https://www.ibm.com/support/pages/node/7260162</t>
        </is>
      </c>
      <c r="O60" s="191" t="inlineStr">
        <is>
          <t>Apply vendor patches</t>
        </is>
      </c>
      <c r="P60" s="191" t="inlineStr">
        <is>
          <t>ibm concert *</t>
        </is>
      </c>
      <c r="Q60" s="191" t="inlineStr">
        <is>
          <t>P4</t>
        </is>
      </c>
      <c r="R60" s="191" t="inlineStr">
        <is>
          <t>📅 Schedule patch deployment within 30 days | 🔍 Monitor for exploitation attempts</t>
        </is>
      </c>
      <c r="S60" s="191" t="inlineStr">
        <is>
          <t>CVE - IP enrichment n/a</t>
        </is>
      </c>
      <c r="T60" s="191" t="n">
        <v>0</v>
      </c>
      <c r="U60" s="191" t="n">
        <v>0</v>
      </c>
      <c r="V60" s="191" t="inlineStr">
        <is>
          <t>T1552:Unsecured Credentials</t>
        </is>
      </c>
      <c r="W60" s="191" t="n">
        <v>1</v>
      </c>
      <c r="X60" s="191" t="inlineStr">
        <is>
          <t>LOW (40%)</t>
        </is>
      </c>
      <c r="Y60" s="191" t="inlineStr">
        <is>
          <t>UNLIKELY</t>
        </is>
      </c>
      <c r="Z60" s="191" t="inlineStr">
        <is>
          <t>PATCH_AVAILABLE</t>
        </is>
      </c>
      <c r="AA60" s="192" t="inlineStr">
        <is>
          <t>https://nvd.nist.gov/vuln/detail/CVE-2025-33089</t>
        </is>
      </c>
      <c r="AB60" s="191" t="inlineStr">
        <is>
          <t>NONE</t>
        </is>
      </c>
      <c r="AC60" s="191" t="n">
        <v>0</v>
      </c>
      <c r="AD60" s="191" t="n"/>
    </row>
    <row r="61">
      <c r="A61" s="191" t="inlineStr">
        <is>
          <t>CVE</t>
        </is>
      </c>
      <c r="B61" s="191" t="inlineStr">
        <is>
          <t>CVE-2025-33101</t>
        </is>
      </c>
      <c r="C61" s="191" t="inlineStr">
        <is>
          <t>IBM Concert 1.0.0 through 2.1.0 could allow an attacker to obtain sensitive information using man in the middle techniques due to improper clearing of heap memory.</t>
        </is>
      </c>
      <c r="D61" s="191" t="n">
        <v>5.9</v>
      </c>
      <c r="E61" s="191" t="inlineStr">
        <is>
          <t>MEDIUM</t>
        </is>
      </c>
      <c r="F61" s="191" t="n">
        <v>2</v>
      </c>
      <c r="G61" s="191" t="n">
        <v>2</v>
      </c>
      <c r="H61" s="191" t="inlineStr">
        <is>
          <t>MEDIUM</t>
        </is>
      </c>
      <c r="I61" s="191" t="n">
        <v>9.9</v>
      </c>
      <c r="J61" s="191" t="inlineStr">
        <is>
          <t>NO</t>
        </is>
      </c>
      <c r="K61" s="192" t="inlineStr">
        <is>
          <t>https://nvd.nist.gov/vuln/detail/CVE-2025-33101</t>
        </is>
      </c>
      <c r="L61" s="191" t="inlineStr">
        <is>
          <t>2026-02-23 23:48</t>
        </is>
      </c>
      <c r="M61" s="191" t="inlineStr">
        <is>
          <t>YES</t>
        </is>
      </c>
      <c r="N61" s="192" t="inlineStr">
        <is>
          <t>https://www.ibm.com/support/pages/node/7260162</t>
        </is>
      </c>
      <c r="O61" s="191" t="inlineStr">
        <is>
          <t>Apply vendor patches</t>
        </is>
      </c>
      <c r="P61" s="191" t="inlineStr">
        <is>
          <t>ibm concert *</t>
        </is>
      </c>
      <c r="Q61" s="191" t="inlineStr">
        <is>
          <t>P4</t>
        </is>
      </c>
      <c r="R61" s="191" t="inlineStr">
        <is>
          <t>📅 Schedule patch deployment within 30 days | 🔍 Monitor for exploitation attempts</t>
        </is>
      </c>
      <c r="S61" s="191" t="inlineStr">
        <is>
          <t>CVE - IP enrichment n/a</t>
        </is>
      </c>
      <c r="T61" s="191" t="n">
        <v>0</v>
      </c>
      <c r="U61" s="191" t="n">
        <v>0</v>
      </c>
      <c r="V61" s="191" t="inlineStr">
        <is>
          <t>T1190:Exploit Public-Facing Application</t>
        </is>
      </c>
      <c r="W61" s="191" t="n">
        <v>1</v>
      </c>
      <c r="X61" s="191" t="inlineStr">
        <is>
          <t>LOW (40%)</t>
        </is>
      </c>
      <c r="Y61" s="191" t="inlineStr">
        <is>
          <t>UNLIKELY</t>
        </is>
      </c>
      <c r="Z61" s="191" t="inlineStr">
        <is>
          <t>PATCH_AVAILABLE</t>
        </is>
      </c>
      <c r="AA61" s="192" t="inlineStr">
        <is>
          <t>https://nvd.nist.gov/vuln/detail/CVE-2025-33101</t>
        </is>
      </c>
      <c r="AB61" s="191" t="inlineStr">
        <is>
          <t>NONE</t>
        </is>
      </c>
      <c r="AC61" s="191" t="n">
        <v>0</v>
      </c>
      <c r="AD61" s="191" t="n"/>
    </row>
    <row r="62">
      <c r="A62" s="191" t="inlineStr">
        <is>
          <t>CVE</t>
        </is>
      </c>
      <c r="B62" s="191" t="inlineStr">
        <is>
          <t>CVE-2025-33124</t>
        </is>
      </c>
      <c r="C62" s="191" t="inlineStr">
        <is>
          <t>IBM DB2 Merge Backup for Linux, UNIX and Windows 12.1.0.0 could allow an authenticated user to cause the program to crash due to the incorrect calculation of a buffer size.</t>
        </is>
      </c>
      <c r="D62" s="191" t="n">
        <v>6.5</v>
      </c>
      <c r="E62" s="191" t="inlineStr">
        <is>
          <t>MEDIUM</t>
        </is>
      </c>
      <c r="F62" s="191" t="n">
        <v>2</v>
      </c>
      <c r="G62" s="191" t="n">
        <v>2</v>
      </c>
      <c r="H62" s="191" t="inlineStr">
        <is>
          <t>MEDIUM</t>
        </is>
      </c>
      <c r="I62" s="191" t="n">
        <v>10.5</v>
      </c>
      <c r="J62" s="191" t="inlineStr">
        <is>
          <t>NO</t>
        </is>
      </c>
      <c r="K62" s="192" t="inlineStr">
        <is>
          <t>https://nvd.nist.gov/vuln/detail/CVE-2025-33124</t>
        </is>
      </c>
      <c r="L62" s="191" t="inlineStr">
        <is>
          <t>2026-02-23 23:48</t>
        </is>
      </c>
      <c r="M62" s="191" t="inlineStr">
        <is>
          <t>YES</t>
        </is>
      </c>
      <c r="N62" s="192" t="inlineStr">
        <is>
          <t>https://www.ibm.com/support/pages/node/7260043</t>
        </is>
      </c>
      <c r="O62" s="191" t="inlineStr">
        <is>
          <t>Apply vendor patches</t>
        </is>
      </c>
      <c r="P62" s="191" t="inlineStr">
        <is>
          <t>ibm db2_merge_backup 12.1.0.0</t>
        </is>
      </c>
      <c r="Q62" s="191" t="inlineStr">
        <is>
          <t>P4</t>
        </is>
      </c>
      <c r="R62" s="191" t="inlineStr">
        <is>
          <t>📅 Schedule patch deployment within 30 days | 🔍 Monitor for exploitation attempts</t>
        </is>
      </c>
      <c r="S62" s="191" t="inlineStr">
        <is>
          <t>CVE - IP enrichment n/a</t>
        </is>
      </c>
      <c r="T62" s="191" t="n">
        <v>0.0005</v>
      </c>
      <c r="U62" s="191" t="n">
        <v>0.1447</v>
      </c>
      <c r="V62" s="191" t="inlineStr">
        <is>
          <t>T1190:Exploit Public-Facing Application</t>
        </is>
      </c>
      <c r="W62" s="191" t="n">
        <v>1</v>
      </c>
      <c r="X62" s="191" t="inlineStr">
        <is>
          <t>LOW (40%)</t>
        </is>
      </c>
      <c r="Y62" s="191" t="inlineStr">
        <is>
          <t>UNLIKELY</t>
        </is>
      </c>
      <c r="Z62" s="191" t="inlineStr">
        <is>
          <t>PATCH_AVAILABLE</t>
        </is>
      </c>
      <c r="AA62" s="192" t="inlineStr">
        <is>
          <t>https://nvd.nist.gov/vuln/detail/CVE-2025-33124</t>
        </is>
      </c>
      <c r="AB62" s="191" t="inlineStr">
        <is>
          <t>NONE</t>
        </is>
      </c>
      <c r="AC62" s="191" t="n">
        <v>0</v>
      </c>
      <c r="AD62" s="191" t="n"/>
    </row>
    <row r="63">
      <c r="A63" s="191" t="inlineStr">
        <is>
          <t>CVE</t>
        </is>
      </c>
      <c r="B63" s="191" t="inlineStr">
        <is>
          <t>CVE-2025-33130</t>
        </is>
      </c>
      <c r="C63" s="191" t="inlineStr">
        <is>
          <t>IBM DB2 Merge Backup for Linux, UNIX and Windows 12.1.0.0 could allow an authenticated user to cause the program to crash due to a buffer being overwritten when it is allocated on the stack.</t>
        </is>
      </c>
      <c r="D63" s="191" t="n">
        <v>6.5</v>
      </c>
      <c r="E63" s="191" t="inlineStr">
        <is>
          <t>MEDIUM</t>
        </is>
      </c>
      <c r="F63" s="191" t="n">
        <v>2</v>
      </c>
      <c r="G63" s="191" t="n">
        <v>2</v>
      </c>
      <c r="H63" s="191" t="inlineStr">
        <is>
          <t>MEDIUM</t>
        </is>
      </c>
      <c r="I63" s="191" t="n">
        <v>10.5</v>
      </c>
      <c r="J63" s="191" t="inlineStr">
        <is>
          <t>NO</t>
        </is>
      </c>
      <c r="K63" s="192" t="inlineStr">
        <is>
          <t>https://nvd.nist.gov/vuln/detail/CVE-2025-33130</t>
        </is>
      </c>
      <c r="L63" s="191" t="inlineStr">
        <is>
          <t>2026-02-23 23:48</t>
        </is>
      </c>
      <c r="M63" s="191" t="inlineStr">
        <is>
          <t>YES</t>
        </is>
      </c>
      <c r="N63" s="192" t="inlineStr">
        <is>
          <t>https://www.ibm.com/support/pages/node/7260043</t>
        </is>
      </c>
      <c r="O63" s="191" t="inlineStr">
        <is>
          <t>Apply vendor patches</t>
        </is>
      </c>
      <c r="P63" s="191" t="inlineStr">
        <is>
          <t>ibm db2_merge_backup 12.1.0.0</t>
        </is>
      </c>
      <c r="Q63" s="191" t="inlineStr">
        <is>
          <t>P4</t>
        </is>
      </c>
      <c r="R63" s="191" t="inlineStr">
        <is>
          <t>📅 Schedule patch deployment within 30 days | 🔍 Monitor for exploitation attempts</t>
        </is>
      </c>
      <c r="S63" s="191" t="inlineStr">
        <is>
          <t>CVE - IP enrichment n/a</t>
        </is>
      </c>
      <c r="T63" s="191" t="n">
        <v>0</v>
      </c>
      <c r="U63" s="191" t="n">
        <v>0</v>
      </c>
      <c r="V63" s="191" t="inlineStr">
        <is>
          <t>T1203:Exploitation for Client Execution</t>
        </is>
      </c>
      <c r="W63" s="191" t="n">
        <v>1</v>
      </c>
      <c r="X63" s="191" t="inlineStr">
        <is>
          <t>LOW (40%)</t>
        </is>
      </c>
      <c r="Y63" s="191" t="inlineStr">
        <is>
          <t>UNLIKELY</t>
        </is>
      </c>
      <c r="Z63" s="191" t="inlineStr">
        <is>
          <t>PATCH_AVAILABLE</t>
        </is>
      </c>
      <c r="AA63" s="192" t="inlineStr">
        <is>
          <t>https://nvd.nist.gov/vuln/detail/CVE-2025-33130</t>
        </is>
      </c>
      <c r="AB63" s="191" t="inlineStr">
        <is>
          <t>NONE</t>
        </is>
      </c>
      <c r="AC63" s="191" t="n">
        <v>0</v>
      </c>
      <c r="AD63" s="191" t="n"/>
    </row>
    <row r="64">
      <c r="A64" s="191" t="inlineStr">
        <is>
          <t>CVE</t>
        </is>
      </c>
      <c r="B64" s="191" t="inlineStr">
        <is>
          <t>CVE-2025-36243</t>
        </is>
      </c>
      <c r="C64" s="191" t="inlineStr">
        <is>
          <t>IBM Concert 1.0.0 through 2.1.0 is vulnerable to server-side request forgery (SSRF). This may allow an authenticated attacker to send unauthorized requests from the system, potentially leading to network enumeration or facilitating other attacks.</t>
        </is>
      </c>
      <c r="D64" s="191" t="n">
        <v>5.4</v>
      </c>
      <c r="E64" s="191" t="inlineStr">
        <is>
          <t>MEDIUM</t>
        </is>
      </c>
      <c r="F64" s="191" t="n">
        <v>2</v>
      </c>
      <c r="G64" s="191" t="n">
        <v>2</v>
      </c>
      <c r="H64" s="191" t="inlineStr">
        <is>
          <t>MEDIUM</t>
        </is>
      </c>
      <c r="I64" s="191" t="n">
        <v>9.4</v>
      </c>
      <c r="J64" s="191" t="inlineStr">
        <is>
          <t>NO</t>
        </is>
      </c>
      <c r="K64" s="192" t="inlineStr">
        <is>
          <t>https://nvd.nist.gov/vuln/detail/CVE-2025-36243</t>
        </is>
      </c>
      <c r="L64" s="191" t="inlineStr">
        <is>
          <t>2026-02-23 23:48</t>
        </is>
      </c>
      <c r="M64" s="191" t="inlineStr">
        <is>
          <t>YES</t>
        </is>
      </c>
      <c r="N64" s="192" t="inlineStr">
        <is>
          <t>https://www.ibm.com/support/pages/node/7260162</t>
        </is>
      </c>
      <c r="O64" s="191" t="inlineStr">
        <is>
          <t>Apply vendor patches</t>
        </is>
      </c>
      <c r="P64" s="191" t="inlineStr">
        <is>
          <t>ibm concert *</t>
        </is>
      </c>
      <c r="Q64" s="191" t="inlineStr">
        <is>
          <t>P4</t>
        </is>
      </c>
      <c r="R64" s="191" t="inlineStr">
        <is>
          <t>📅 Schedule patch deployment within 30 days | 🔍 Monitor for exploitation attempts</t>
        </is>
      </c>
      <c r="S64" s="191" t="inlineStr">
        <is>
          <t>CVE - IP enrichment n/a</t>
        </is>
      </c>
      <c r="T64" s="191" t="n">
        <v>0</v>
      </c>
      <c r="U64" s="191" t="n">
        <v>0</v>
      </c>
      <c r="V64" s="191" t="inlineStr">
        <is>
          <t>T1090:Proxy</t>
        </is>
      </c>
      <c r="W64" s="191" t="n">
        <v>1</v>
      </c>
      <c r="X64" s="191" t="inlineStr">
        <is>
          <t>LOW (40%)</t>
        </is>
      </c>
      <c r="Y64" s="191" t="inlineStr">
        <is>
          <t>UNLIKELY</t>
        </is>
      </c>
      <c r="Z64" s="191" t="inlineStr">
        <is>
          <t>PATCH_AVAILABLE</t>
        </is>
      </c>
      <c r="AA64" s="192" t="inlineStr">
        <is>
          <t>https://nvd.nist.gov/vuln/detail/CVE-2025-36243</t>
        </is>
      </c>
      <c r="AB64" s="191" t="inlineStr">
        <is>
          <t>NONE</t>
        </is>
      </c>
      <c r="AC64" s="191" t="n">
        <v>0</v>
      </c>
      <c r="AD64" s="191" t="n"/>
    </row>
    <row r="65">
      <c r="A65" s="191" t="inlineStr">
        <is>
          <t>CVE</t>
        </is>
      </c>
      <c r="B65" s="191" t="inlineStr">
        <is>
          <t>CVE-2025-36597</t>
        </is>
      </c>
      <c r="C65" s="191" t="inlineStr">
        <is>
          <t>Dell Avamar, versions prior to 19.12 with patch 338905, contains an Improper Limitation of a Pathname to a Restricted Directory ('Path Traversal') vulnerability in the Security. A high privileged attacker with remote access could potentially exploit this vulnerability, leading to information disclosure.</t>
        </is>
      </c>
      <c r="D65" s="191" t="n">
        <v>4.7</v>
      </c>
      <c r="E65" s="191" t="inlineStr">
        <is>
          <t>MEDIUM</t>
        </is>
      </c>
      <c r="F65" s="191" t="n">
        <v>2</v>
      </c>
      <c r="G65" s="191" t="n">
        <v>2</v>
      </c>
      <c r="H65" s="191" t="inlineStr">
        <is>
          <t>MEDIUM</t>
        </is>
      </c>
      <c r="I65" s="191" t="n">
        <v>8.699999999999999</v>
      </c>
      <c r="J65" s="191" t="inlineStr">
        <is>
          <t>NO</t>
        </is>
      </c>
      <c r="K65" s="192" t="inlineStr">
        <is>
          <t>https://nvd.nist.gov/vuln/detail/CVE-2025-36597</t>
        </is>
      </c>
      <c r="L65" s="191" t="inlineStr">
        <is>
          <t>2026-02-23 23:48</t>
        </is>
      </c>
      <c r="M65" s="191" t="inlineStr">
        <is>
          <t>CHECK_VENDOR</t>
        </is>
      </c>
      <c r="N65" s="191" t="inlineStr">
        <is>
          <t>See NVD references</t>
        </is>
      </c>
      <c r="O65" s="191" t="inlineStr">
        <is>
          <t>Apply vendor patches</t>
        </is>
      </c>
      <c r="P65" s="191" t="inlineStr">
        <is>
          <t>See CVE details</t>
        </is>
      </c>
      <c r="Q65" s="191" t="inlineStr">
        <is>
          <t>P4</t>
        </is>
      </c>
      <c r="R65" s="191" t="inlineStr">
        <is>
          <t>📅 Schedule patch deployment within 30 days | 🔍 Monitor for exploitation attempts</t>
        </is>
      </c>
      <c r="S65" s="191" t="inlineStr">
        <is>
          <t>CVE - IP enrichment n/a</t>
        </is>
      </c>
      <c r="T65" s="191" t="n">
        <v>0.0004</v>
      </c>
      <c r="U65" s="191" t="n">
        <v>0.1336</v>
      </c>
      <c r="V65" s="191" t="inlineStr">
        <is>
          <t>T1083:File and Directory Discovery | T1213:Data from Information Repositories</t>
        </is>
      </c>
      <c r="W65" s="191" t="n">
        <v>1</v>
      </c>
      <c r="X65" s="191" t="inlineStr">
        <is>
          <t>LOW (40%)</t>
        </is>
      </c>
      <c r="Y65" s="191" t="inlineStr">
        <is>
          <t>UNLIKELY</t>
        </is>
      </c>
      <c r="Z65" s="191" t="inlineStr">
        <is>
          <t>CHECK_VENDOR</t>
        </is>
      </c>
      <c r="AA65" s="192" t="inlineStr">
        <is>
          <t>https://nvd.nist.gov/vuln/detail/CVE-2025-36597</t>
        </is>
      </c>
      <c r="AB65" s="191" t="inlineStr">
        <is>
          <t>NONE</t>
        </is>
      </c>
      <c r="AC65" s="191" t="n">
        <v>0</v>
      </c>
      <c r="AD65" s="191" t="n"/>
    </row>
    <row r="66">
      <c r="A66" s="191" t="inlineStr">
        <is>
          <t>CVE</t>
        </is>
      </c>
      <c r="B66" s="191" t="inlineStr">
        <is>
          <t>CVE-2025-36598</t>
        </is>
      </c>
      <c r="C66" s="191" t="inlineStr">
        <is>
          <t>Dell Avamar, versions prior to 19.12 with patch 338905, contains an Improper Limitation of a Pathname to a Restricted Directory ('Path Traversal') vulnerability in the Security. A high privileged attacker with remote access could potentially exploit this vulnerability, leading to upload malicious files.</t>
        </is>
      </c>
      <c r="D66" s="191" t="n">
        <v>6.5</v>
      </c>
      <c r="E66" s="191" t="inlineStr">
        <is>
          <t>MEDIUM</t>
        </is>
      </c>
      <c r="F66" s="191" t="n">
        <v>2</v>
      </c>
      <c r="G66" s="191" t="n">
        <v>2</v>
      </c>
      <c r="H66" s="191" t="inlineStr">
        <is>
          <t>MEDIUM</t>
        </is>
      </c>
      <c r="I66" s="191" t="n">
        <v>10.5</v>
      </c>
      <c r="J66" s="191" t="inlineStr">
        <is>
          <t>NO</t>
        </is>
      </c>
      <c r="K66" s="192" t="inlineStr">
        <is>
          <t>https://nvd.nist.gov/vuln/detail/CVE-2025-36598</t>
        </is>
      </c>
      <c r="L66" s="191" t="inlineStr">
        <is>
          <t>2026-02-23 23:48</t>
        </is>
      </c>
      <c r="M66" s="191" t="inlineStr">
        <is>
          <t>CHECK_VENDOR</t>
        </is>
      </c>
      <c r="N66" s="191" t="inlineStr">
        <is>
          <t>See NVD references</t>
        </is>
      </c>
      <c r="O66" s="191" t="inlineStr">
        <is>
          <t>Apply vendor patches</t>
        </is>
      </c>
      <c r="P66" s="191" t="inlineStr">
        <is>
          <t>See CVE details</t>
        </is>
      </c>
      <c r="Q66" s="191" t="inlineStr">
        <is>
          <t>P4</t>
        </is>
      </c>
      <c r="R66" s="191" t="inlineStr">
        <is>
          <t>📅 Schedule patch deployment within 30 days | 🔍 Monitor for exploitation attempts</t>
        </is>
      </c>
      <c r="S66" s="191" t="inlineStr">
        <is>
          <t>CVE - IP enrichment n/a</t>
        </is>
      </c>
      <c r="T66" s="191" t="n">
        <v>0.0005</v>
      </c>
      <c r="U66" s="191" t="n">
        <v>0.1638</v>
      </c>
      <c r="V66" s="191" t="inlineStr">
        <is>
          <t>T1083:File and Directory Discovery</t>
        </is>
      </c>
      <c r="W66" s="191" t="n">
        <v>1</v>
      </c>
      <c r="X66" s="191" t="inlineStr">
        <is>
          <t>LOW (40%)</t>
        </is>
      </c>
      <c r="Y66" s="191" t="inlineStr">
        <is>
          <t>UNLIKELY</t>
        </is>
      </c>
      <c r="Z66" s="191" t="inlineStr">
        <is>
          <t>CHECK_VENDOR</t>
        </is>
      </c>
      <c r="AA66" s="192" t="inlineStr">
        <is>
          <t>https://nvd.nist.gov/vuln/detail/CVE-2025-36598</t>
        </is>
      </c>
      <c r="AB66" s="191" t="inlineStr">
        <is>
          <t>NONE</t>
        </is>
      </c>
      <c r="AC66" s="191" t="n">
        <v>0</v>
      </c>
      <c r="AD66" s="191" t="n"/>
    </row>
    <row r="67">
      <c r="A67" s="191" t="inlineStr">
        <is>
          <t>CVE</t>
        </is>
      </c>
      <c r="B67" s="191" t="inlineStr">
        <is>
          <t>CVE-2025-67102</t>
        </is>
      </c>
      <c r="C67" s="191" t="inlineStr">
        <is>
          <t>A SQL injection vulnerability in the alldayoffs feature in Jorani up to v1.0.4, allows an authenticated attacker to execute arbitrary SQL commands via the entity parameter.</t>
        </is>
      </c>
      <c r="D67" s="191" t="n">
        <v>5</v>
      </c>
      <c r="E67" s="191" t="inlineStr">
        <is>
          <t>MEDIUM</t>
        </is>
      </c>
      <c r="F67" s="191" t="n">
        <v>2</v>
      </c>
      <c r="G67" s="191" t="n">
        <v>2</v>
      </c>
      <c r="H67" s="191" t="inlineStr">
        <is>
          <t>MEDIUM</t>
        </is>
      </c>
      <c r="I67" s="191" t="n">
        <v>9</v>
      </c>
      <c r="J67" s="191" t="inlineStr">
        <is>
          <t>NO</t>
        </is>
      </c>
      <c r="K67" s="192" t="inlineStr">
        <is>
          <t>https://nvd.nist.gov/vuln/detail/CVE-2025-67102</t>
        </is>
      </c>
      <c r="L67" s="191" t="inlineStr">
        <is>
          <t>2026-02-23 23:48</t>
        </is>
      </c>
      <c r="M67" s="191" t="inlineStr">
        <is>
          <t>CHECK_VENDOR</t>
        </is>
      </c>
      <c r="N67" s="191" t="inlineStr">
        <is>
          <t>See NVD references</t>
        </is>
      </c>
      <c r="O67" s="191" t="inlineStr">
        <is>
          <t>Apply vendor patches</t>
        </is>
      </c>
      <c r="P67" s="191" t="inlineStr">
        <is>
          <t>See CVE details</t>
        </is>
      </c>
      <c r="Q67" s="191" t="inlineStr">
        <is>
          <t>P4</t>
        </is>
      </c>
      <c r="R67" s="191" t="inlineStr">
        <is>
          <t>📅 Schedule patch deployment within 30 days | 🔍 Monitor for exploitation attempts</t>
        </is>
      </c>
      <c r="S67" s="191" t="inlineStr">
        <is>
          <t>CVE - IP enrichment n/a</t>
        </is>
      </c>
      <c r="T67" s="191" t="n">
        <v>0</v>
      </c>
      <c r="U67" s="191" t="n">
        <v>0</v>
      </c>
      <c r="V67" s="191" t="inlineStr">
        <is>
          <t>T1190:Exploit Public-Facing Application</t>
        </is>
      </c>
      <c r="W67" s="191" t="n">
        <v>1</v>
      </c>
      <c r="X67" s="191" t="inlineStr">
        <is>
          <t>LOW (40%)</t>
        </is>
      </c>
      <c r="Y67" s="191" t="inlineStr">
        <is>
          <t>UNLIKELY</t>
        </is>
      </c>
      <c r="Z67" s="191" t="inlineStr">
        <is>
          <t>CHECK_VENDOR</t>
        </is>
      </c>
      <c r="AA67" s="192" t="inlineStr">
        <is>
          <t>https://nvd.nist.gov/vuln/detail/CVE-2025-67102</t>
        </is>
      </c>
      <c r="AB67" s="191" t="inlineStr">
        <is>
          <t>NONE</t>
        </is>
      </c>
      <c r="AC67" s="191" t="n">
        <v>0</v>
      </c>
      <c r="AD67" s="191" t="n"/>
    </row>
    <row r="68">
      <c r="A68" s="191" t="inlineStr">
        <is>
          <t>CVE</t>
        </is>
      </c>
      <c r="B68" s="191" t="inlineStr">
        <is>
          <t>CVE-2025-70846</t>
        </is>
      </c>
      <c r="C68" s="191" t="inlineStr">
        <is>
          <t>lty628 aidigu v1.9.1 is vulnerable to Cross Site Scripting (XSS) on the /tools/Password/add page in the input field password.</t>
        </is>
      </c>
      <c r="D68" s="191" t="n">
        <v>5</v>
      </c>
      <c r="E68" s="191" t="inlineStr">
        <is>
          <t>MEDIUM</t>
        </is>
      </c>
      <c r="F68" s="191" t="n">
        <v>2</v>
      </c>
      <c r="G68" s="191" t="n">
        <v>2</v>
      </c>
      <c r="H68" s="191" t="inlineStr">
        <is>
          <t>MEDIUM</t>
        </is>
      </c>
      <c r="I68" s="191" t="n">
        <v>9</v>
      </c>
      <c r="J68" s="191" t="inlineStr">
        <is>
          <t>NO</t>
        </is>
      </c>
      <c r="K68" s="192" t="inlineStr">
        <is>
          <t>https://nvd.nist.gov/vuln/detail/CVE-2025-70846</t>
        </is>
      </c>
      <c r="L68" s="191" t="inlineStr">
        <is>
          <t>2026-02-23 23:48</t>
        </is>
      </c>
      <c r="M68" s="191" t="inlineStr">
        <is>
          <t>CHECK_VENDOR</t>
        </is>
      </c>
      <c r="N68" s="191" t="inlineStr">
        <is>
          <t>See NVD references</t>
        </is>
      </c>
      <c r="O68" s="191" t="inlineStr">
        <is>
          <t>Apply vendor patches</t>
        </is>
      </c>
      <c r="P68" s="191" t="inlineStr">
        <is>
          <t>See CVE details</t>
        </is>
      </c>
      <c r="Q68" s="191" t="inlineStr">
        <is>
          <t>P4</t>
        </is>
      </c>
      <c r="R68" s="191" t="inlineStr">
        <is>
          <t>📅 Schedule patch deployment within 30 days | 🔍 Monitor for exploitation attempts</t>
        </is>
      </c>
      <c r="S68" s="191" t="inlineStr">
        <is>
          <t>CVE - IP enrichment n/a</t>
        </is>
      </c>
      <c r="T68" s="191" t="n">
        <v>0</v>
      </c>
      <c r="U68" s="191" t="n">
        <v>0</v>
      </c>
      <c r="V68" s="191" t="inlineStr">
        <is>
          <t>T1189:Drive-by Compromise</t>
        </is>
      </c>
      <c r="W68" s="191" t="n">
        <v>1</v>
      </c>
      <c r="X68" s="191" t="inlineStr">
        <is>
          <t>LOW (40%)</t>
        </is>
      </c>
      <c r="Y68" s="191" t="inlineStr">
        <is>
          <t>UNLIKELY</t>
        </is>
      </c>
      <c r="Z68" s="191" t="inlineStr">
        <is>
          <t>CHECK_VENDOR</t>
        </is>
      </c>
      <c r="AA68" s="192" t="inlineStr">
        <is>
          <t>https://nvd.nist.gov/vuln/detail/CVE-2025-70846</t>
        </is>
      </c>
      <c r="AB68" s="191" t="inlineStr">
        <is>
          <t>NONE</t>
        </is>
      </c>
      <c r="AC68" s="191" t="n">
        <v>0</v>
      </c>
      <c r="AD68" s="191" t="n"/>
    </row>
    <row r="69">
      <c r="A69" s="195" t="inlineStr">
        <is>
          <t>CVE</t>
        </is>
      </c>
      <c r="B69" s="195" t="inlineStr">
        <is>
          <t>CVE-2026-0102</t>
        </is>
      </c>
      <c r="C69" s="195" t="inlineStr">
        <is>
          <t>Under specific conditions, a malicious webpage may trigger autofill population after two consecutive taps, potentially without clear or intentional user consent. This could result in disclosure of stored autofill data such as addresses, email, or phone number metadata.</t>
        </is>
      </c>
      <c r="D69" s="195" t="n">
        <v>3.1</v>
      </c>
      <c r="E69" s="195" t="inlineStr">
        <is>
          <t>LOW</t>
        </is>
      </c>
      <c r="F69" s="195" t="n">
        <v>2</v>
      </c>
      <c r="G69" s="195" t="n">
        <v>1</v>
      </c>
      <c r="H69" s="195" t="inlineStr">
        <is>
          <t>LOW</t>
        </is>
      </c>
      <c r="I69" s="195" t="n">
        <v>5.1</v>
      </c>
      <c r="J69" s="195" t="inlineStr">
        <is>
          <t>NO</t>
        </is>
      </c>
      <c r="K69" s="196" t="inlineStr">
        <is>
          <t>https://nvd.nist.gov/vuln/detail/CVE-2026-0102</t>
        </is>
      </c>
      <c r="L69" s="195" t="inlineStr">
        <is>
          <t>2026-02-23 23:48</t>
        </is>
      </c>
      <c r="M69" s="195" t="inlineStr">
        <is>
          <t>YES</t>
        </is>
      </c>
      <c r="N69" s="196" t="inlineStr">
        <is>
          <t>https://msrc.microsoft.com/update-guide/vulnerability/CVE-2026-0102</t>
        </is>
      </c>
      <c r="O69" s="195" t="inlineStr">
        <is>
          <t>Apply vendor patches</t>
        </is>
      </c>
      <c r="P69" s="195" t="inlineStr">
        <is>
          <t>microsoft edge_chromium *</t>
        </is>
      </c>
      <c r="Q69" s="195" t="inlineStr">
        <is>
          <t>P4</t>
        </is>
      </c>
      <c r="R69" s="195" t="inlineStr">
        <is>
          <t>📅 Schedule patch deployment within 30 days | 🔍 Monitor for exploitation attempts</t>
        </is>
      </c>
      <c r="S69" s="195" t="inlineStr">
        <is>
          <t>CVE - IP enrichment n/a</t>
        </is>
      </c>
      <c r="T69" s="195" t="n">
        <v>0</v>
      </c>
      <c r="U69" s="195" t="n">
        <v>0</v>
      </c>
      <c r="V69" s="195" t="inlineStr">
        <is>
          <t>T1190:Exploit Public-Facing Application</t>
        </is>
      </c>
      <c r="W69" s="195" t="n">
        <v>1</v>
      </c>
      <c r="X69" s="195" t="inlineStr">
        <is>
          <t>LOW (40%)</t>
        </is>
      </c>
      <c r="Y69" s="195" t="inlineStr">
        <is>
          <t>UNLIKELY</t>
        </is>
      </c>
      <c r="Z69" s="195" t="inlineStr">
        <is>
          <t>PATCH_AVAILABLE</t>
        </is>
      </c>
      <c r="AA69" s="196" t="inlineStr">
        <is>
          <t>https://nvd.nist.gov/vuln/detail/CVE-2026-0102</t>
        </is>
      </c>
      <c r="AB69" s="195" t="inlineStr">
        <is>
          <t>NONE</t>
        </is>
      </c>
      <c r="AC69" s="195" t="n">
        <v>0</v>
      </c>
      <c r="AD69" s="195" t="n"/>
    </row>
    <row r="70">
      <c r="A70" s="191" t="inlineStr">
        <is>
          <t>CVE</t>
        </is>
      </c>
      <c r="B70" s="191" t="inlineStr">
        <is>
          <t>CVE-2026-22284</t>
        </is>
      </c>
      <c r="C70" s="191" t="inlineStr">
        <is>
          <t>Dell SmartFabric OS10 Software, versions prior to 10.5.6.12, contains an Improper Neutralization of Special Elements used in a Command ('Command Injection') vulnerability. A high privileged attacker with remote access could potentially exploit this vulnerability, leading to Command execution.</t>
        </is>
      </c>
      <c r="D70" s="191" t="n">
        <v>6.6</v>
      </c>
      <c r="E70" s="191" t="inlineStr">
        <is>
          <t>MEDIUM</t>
        </is>
      </c>
      <c r="F70" s="191" t="n">
        <v>2</v>
      </c>
      <c r="G70" s="191" t="n">
        <v>2</v>
      </c>
      <c r="H70" s="191" t="inlineStr">
        <is>
          <t>MEDIUM</t>
        </is>
      </c>
      <c r="I70" s="191" t="n">
        <v>10.6</v>
      </c>
      <c r="J70" s="191" t="inlineStr">
        <is>
          <t>NO</t>
        </is>
      </c>
      <c r="K70" s="192" t="inlineStr">
        <is>
          <t>https://nvd.nist.gov/vuln/detail/CVE-2026-22284</t>
        </is>
      </c>
      <c r="L70" s="191" t="inlineStr">
        <is>
          <t>2026-02-23 23:48</t>
        </is>
      </c>
      <c r="M70" s="191" t="inlineStr">
        <is>
          <t>CHECK_VENDOR</t>
        </is>
      </c>
      <c r="N70" s="191" t="inlineStr">
        <is>
          <t>See NVD references</t>
        </is>
      </c>
      <c r="O70" s="191" t="inlineStr">
        <is>
          <t>Apply vendor patches</t>
        </is>
      </c>
      <c r="P70" s="191" t="inlineStr">
        <is>
          <t>See CVE details</t>
        </is>
      </c>
      <c r="Q70" s="191" t="inlineStr">
        <is>
          <t>P4</t>
        </is>
      </c>
      <c r="R70" s="191" t="inlineStr">
        <is>
          <t>📅 Schedule patch deployment within 30 days | 🔍 Monitor for exploitation attempts</t>
        </is>
      </c>
      <c r="S70" s="191" t="inlineStr">
        <is>
          <t>CVE - IP enrichment n/a</t>
        </is>
      </c>
      <c r="T70" s="191" t="n">
        <v>0</v>
      </c>
      <c r="U70" s="191" t="n">
        <v>0</v>
      </c>
      <c r="V70" s="191" t="inlineStr">
        <is>
          <t>T1059:Command and Scripting Interpreter</t>
        </is>
      </c>
      <c r="W70" s="191" t="n">
        <v>1</v>
      </c>
      <c r="X70" s="191" t="inlineStr">
        <is>
          <t>LOW (40%)</t>
        </is>
      </c>
      <c r="Y70" s="191" t="inlineStr">
        <is>
          <t>UNLIKELY</t>
        </is>
      </c>
      <c r="Z70" s="191" t="inlineStr">
        <is>
          <t>CHECK_VENDOR</t>
        </is>
      </c>
      <c r="AA70" s="192" t="inlineStr">
        <is>
          <t>https://nvd.nist.gov/vuln/detail/CVE-2026-22284</t>
        </is>
      </c>
      <c r="AB70" s="191" t="inlineStr">
        <is>
          <t>NONE</t>
        </is>
      </c>
      <c r="AC70" s="191" t="n">
        <v>0</v>
      </c>
      <c r="AD70" s="191" t="n"/>
    </row>
    <row r="71">
      <c r="A71" s="191" t="inlineStr">
        <is>
          <t>CVE</t>
        </is>
      </c>
      <c r="B71" s="191" t="inlineStr">
        <is>
          <t>CVE-2026-22762</t>
        </is>
      </c>
      <c r="C71" s="191" t="inlineStr">
        <is>
          <t>Dell Avamar Server and Avamar Virtual Edition, versions prior to 19.10 SP1 with CHF338912, contain an Improper Limitation of a Pathname to a Restricted Directory ('Path Traversal') vulnerability in the Security. A high privileged attacker with remote access could potentially exploit this vulnerability, leading to arbitrary file delete.</t>
        </is>
      </c>
      <c r="D71" s="191" t="n">
        <v>6.5</v>
      </c>
      <c r="E71" s="191" t="inlineStr">
        <is>
          <t>MEDIUM</t>
        </is>
      </c>
      <c r="F71" s="191" t="n">
        <v>2</v>
      </c>
      <c r="G71" s="191" t="n">
        <v>2</v>
      </c>
      <c r="H71" s="191" t="inlineStr">
        <is>
          <t>MEDIUM</t>
        </is>
      </c>
      <c r="I71" s="191" t="n">
        <v>10.5</v>
      </c>
      <c r="J71" s="191" t="inlineStr">
        <is>
          <t>NO</t>
        </is>
      </c>
      <c r="K71" s="192" t="inlineStr">
        <is>
          <t>https://nvd.nist.gov/vuln/detail/CVE-2026-22762</t>
        </is>
      </c>
      <c r="L71" s="191" t="inlineStr">
        <is>
          <t>2026-02-23 23:48</t>
        </is>
      </c>
      <c r="M71" s="191" t="inlineStr">
        <is>
          <t>CHECK_VENDOR</t>
        </is>
      </c>
      <c r="N71" s="191" t="inlineStr">
        <is>
          <t>See NVD references</t>
        </is>
      </c>
      <c r="O71" s="191" t="inlineStr">
        <is>
          <t>Apply vendor patches</t>
        </is>
      </c>
      <c r="P71" s="191" t="inlineStr">
        <is>
          <t>See CVE details</t>
        </is>
      </c>
      <c r="Q71" s="191" t="inlineStr">
        <is>
          <t>P4</t>
        </is>
      </c>
      <c r="R71" s="191" t="inlineStr">
        <is>
          <t>📅 Schedule patch deployment within 30 days | 🔍 Monitor for exploitation attempts</t>
        </is>
      </c>
      <c r="S71" s="191" t="inlineStr">
        <is>
          <t>CVE - IP enrichment n/a</t>
        </is>
      </c>
      <c r="T71" s="191" t="n">
        <v>0</v>
      </c>
      <c r="U71" s="191" t="n">
        <v>0</v>
      </c>
      <c r="V71" s="191" t="inlineStr">
        <is>
          <t>T1083:File and Directory Discovery</t>
        </is>
      </c>
      <c r="W71" s="191" t="n">
        <v>1</v>
      </c>
      <c r="X71" s="191" t="inlineStr">
        <is>
          <t>LOW (40%)</t>
        </is>
      </c>
      <c r="Y71" s="191" t="inlineStr">
        <is>
          <t>UNLIKELY</t>
        </is>
      </c>
      <c r="Z71" s="191" t="inlineStr">
        <is>
          <t>CHECK_VENDOR</t>
        </is>
      </c>
      <c r="AA71" s="192" t="inlineStr">
        <is>
          <t>https://nvd.nist.gov/vuln/detail/CVE-2026-22762</t>
        </is>
      </c>
      <c r="AB71" s="191" t="inlineStr">
        <is>
          <t>NONE</t>
        </is>
      </c>
      <c r="AC71" s="191" t="n">
        <v>0</v>
      </c>
      <c r="AD71" s="191" t="n"/>
    </row>
    <row r="72">
      <c r="A72" s="193" t="inlineStr">
        <is>
          <t>CVE</t>
        </is>
      </c>
      <c r="B72" s="193" t="inlineStr">
        <is>
          <t>CVE-2026-22769</t>
        </is>
      </c>
      <c r="C72" s="193" t="inlineStr">
        <is>
          <t>Dell RecoverPoint for Virtual Machines, versions prior to 6.0.3.1 HF1, contain a hardcoded credential vulnerability. This is considered critical as an unauthenticated remote attacker with knowledge of the hardcoded credential could potentially exploit this vulnerability leading to unauthorized access to the underlying operating system and root-level persistence. Dell recommends that customers upgrade or apply one of the remediations as soon as possible.</t>
        </is>
      </c>
      <c r="D72" s="193" t="n">
        <v>10</v>
      </c>
      <c r="E72" s="193" t="inlineStr">
        <is>
          <t>CRITICAL</t>
        </is>
      </c>
      <c r="F72" s="193" t="n">
        <v>3</v>
      </c>
      <c r="G72" s="193" t="n">
        <v>3</v>
      </c>
      <c r="H72" s="193" t="inlineStr">
        <is>
          <t>CRITICAL</t>
        </is>
      </c>
      <c r="I72" s="193" t="n">
        <v>19</v>
      </c>
      <c r="J72" s="193" t="inlineStr">
        <is>
          <t>YES</t>
        </is>
      </c>
      <c r="K72" s="194" t="inlineStr">
        <is>
          <t>https://nvd.nist.gov/vuln/detail/CVE-2026-22769</t>
        </is>
      </c>
      <c r="L72" s="193" t="inlineStr">
        <is>
          <t>2026-02-23 23:48</t>
        </is>
      </c>
      <c r="M72" s="193" t="inlineStr">
        <is>
          <t>YES</t>
        </is>
      </c>
      <c r="N72" s="194" t="inlineStr">
        <is>
          <t>https://www.dell.com/support/kbdoc/en-us/000426773/dsa-2026-079</t>
        </is>
      </c>
      <c r="O72" s="193" t="inlineStr">
        <is>
          <t>Apply vendor patches</t>
        </is>
      </c>
      <c r="P72" s="193" t="inlineStr">
        <is>
          <t>dell recoverpoint_for_virtual_machines * | dell recoverpoint_for_virtual_machines 6.0</t>
        </is>
      </c>
      <c r="Q72" s="193" t="inlineStr">
        <is>
          <t>P1</t>
        </is>
      </c>
      <c r="R72" s="193" t="inlineStr">
        <is>
          <t>🚨 URGENT: Apply vendor patches immediately | 🔒 Isolate affected systems if patch unavailable | 🛡️ Enable additional monitoring/IDS rules</t>
        </is>
      </c>
      <c r="S72" s="193" t="inlineStr">
        <is>
          <t>CVE - IP enrichment n/a</t>
        </is>
      </c>
      <c r="T72" s="193" t="n">
        <v>0.3416</v>
      </c>
      <c r="U72" s="193" t="n">
        <v>0.9688</v>
      </c>
      <c r="V72" s="193" t="inlineStr">
        <is>
          <t>T1552:Unsecured Credentials</t>
        </is>
      </c>
      <c r="W72" s="193" t="n">
        <v>3</v>
      </c>
      <c r="X72" s="193" t="inlineStr">
        <is>
          <t>HIGH (85%)</t>
        </is>
      </c>
      <c r="Y72" s="193" t="inlineStr">
        <is>
          <t>CONFIRMED</t>
        </is>
      </c>
      <c r="Z72" s="193" t="inlineStr">
        <is>
          <t>PATCH_AVAILABLE</t>
        </is>
      </c>
      <c r="AA72" s="194" t="inlineStr">
        <is>
          <t>https://nvd.nist.gov/vuln/detail/CVE-2026-22769</t>
        </is>
      </c>
      <c r="AB72" s="193" t="inlineStr">
        <is>
          <t>NONE</t>
        </is>
      </c>
      <c r="AC72" s="193" t="n">
        <v>5</v>
      </c>
      <c r="AD72" s="193" t="n"/>
    </row>
    <row r="73">
      <c r="A73" s="191" t="inlineStr">
        <is>
          <t>CVE</t>
        </is>
      </c>
      <c r="B73" s="191" t="inlineStr">
        <is>
          <t>CVE-2026-26357</t>
        </is>
      </c>
      <c r="C73" s="191" t="inlineStr">
        <is>
          <t>Dell Unisphere for PowerMax, version(s) 9.2.4.x, contain(s) an Improper Neutralization of Input During Web Page Generation ('Cross-site Scripting') vulnerability. A low privileged attacker with remote access could potentially exploit this vulnerability, leading to the execution of malicious HTML or JavaScript code in a victim user's web browser in the context of the vulnerable web application. Exploitation may lead to information disclosure, session theft, or client-side request forgery.</t>
        </is>
      </c>
      <c r="D73" s="191" t="n">
        <v>5.4</v>
      </c>
      <c r="E73" s="191" t="inlineStr">
        <is>
          <t>MEDIUM</t>
        </is>
      </c>
      <c r="F73" s="191" t="n">
        <v>2</v>
      </c>
      <c r="G73" s="191" t="n">
        <v>2</v>
      </c>
      <c r="H73" s="191" t="inlineStr">
        <is>
          <t>MEDIUM</t>
        </is>
      </c>
      <c r="I73" s="191" t="n">
        <v>9.4</v>
      </c>
      <c r="J73" s="191" t="inlineStr">
        <is>
          <t>NO</t>
        </is>
      </c>
      <c r="K73" s="192" t="inlineStr">
        <is>
          <t>https://nvd.nist.gov/vuln/detail/CVE-2026-26357</t>
        </is>
      </c>
      <c r="L73" s="191" t="inlineStr">
        <is>
          <t>2026-02-23 23:48</t>
        </is>
      </c>
      <c r="M73" s="191" t="inlineStr">
        <is>
          <t>CHECK_VENDOR</t>
        </is>
      </c>
      <c r="N73" s="191" t="inlineStr">
        <is>
          <t>See NVD references</t>
        </is>
      </c>
      <c r="O73" s="191" t="inlineStr">
        <is>
          <t>Apply vendor patches</t>
        </is>
      </c>
      <c r="P73" s="191" t="inlineStr">
        <is>
          <t>See CVE details</t>
        </is>
      </c>
      <c r="Q73" s="191" t="inlineStr">
        <is>
          <t>P4</t>
        </is>
      </c>
      <c r="R73" s="191" t="inlineStr">
        <is>
          <t>📅 Schedule patch deployment within 30 days | 🔍 Monitor for exploitation attempts</t>
        </is>
      </c>
      <c r="S73" s="191" t="inlineStr">
        <is>
          <t>CVE - IP enrichment n/a</t>
        </is>
      </c>
      <c r="T73" s="191" t="n">
        <v>0</v>
      </c>
      <c r="U73" s="191" t="n">
        <v>0</v>
      </c>
      <c r="V73" s="191" t="inlineStr">
        <is>
          <t>T1189:Drive-by Compromise | T1213:Data from Information Repositories</t>
        </is>
      </c>
      <c r="W73" s="191" t="n">
        <v>1</v>
      </c>
      <c r="X73" s="191" t="inlineStr">
        <is>
          <t>LOW (40%)</t>
        </is>
      </c>
      <c r="Y73" s="191" t="inlineStr">
        <is>
          <t>UNLIKELY</t>
        </is>
      </c>
      <c r="Z73" s="191" t="inlineStr">
        <is>
          <t>CHECK_VENDOR</t>
        </is>
      </c>
      <c r="AA73" s="192" t="inlineStr">
        <is>
          <t>https://nvd.nist.gov/vuln/detail/CVE-2026-26357</t>
        </is>
      </c>
      <c r="AB73" s="191" t="inlineStr">
        <is>
          <t>NONE</t>
        </is>
      </c>
      <c r="AC73" s="191" t="n">
        <v>0</v>
      </c>
      <c r="AD73" s="191" t="n"/>
    </row>
    <row r="74">
      <c r="A74" s="189" t="inlineStr">
        <is>
          <t>CVE</t>
        </is>
      </c>
      <c r="B74" s="189" t="inlineStr">
        <is>
          <t>CVE-2026-2620</t>
        </is>
      </c>
      <c r="C74" s="189" t="inlineStr">
        <is>
          <t>A weakness has been identified in Huace Monitoring and Early Warning System 2.2. Affected by this issue is some unknown functionality of the file /Web/SysManage/ProjectRole.aspx. Executing a manipulation of the argument ID can lead to sql injection. It is possible to launch the attack remotely. The exploit has been made available to the public and could be used for attacks. The vendor was contacted early about this disclosure but did not respond in any way.</t>
        </is>
      </c>
      <c r="D74" s="189" t="n">
        <v>7.3</v>
      </c>
      <c r="E74" s="189" t="inlineStr">
        <is>
          <t>HIGH</t>
        </is>
      </c>
      <c r="F74" s="189" t="n">
        <v>2</v>
      </c>
      <c r="G74" s="189" t="n">
        <v>3</v>
      </c>
      <c r="H74" s="189" t="inlineStr">
        <is>
          <t>HIGH</t>
        </is>
      </c>
      <c r="I74" s="189" t="n">
        <v>13.3</v>
      </c>
      <c r="J74" s="189" t="inlineStr">
        <is>
          <t>NO</t>
        </is>
      </c>
      <c r="K74" s="190" t="inlineStr">
        <is>
          <t>https://nvd.nist.gov/vuln/detail/CVE-2026-2620</t>
        </is>
      </c>
      <c r="L74" s="189" t="inlineStr">
        <is>
          <t>2026-02-23 23:48</t>
        </is>
      </c>
      <c r="M74" s="189" t="inlineStr">
        <is>
          <t>CHECK_VENDOR</t>
        </is>
      </c>
      <c r="N74" s="189" t="inlineStr">
        <is>
          <t>See NVD references</t>
        </is>
      </c>
      <c r="O74" s="189" t="inlineStr">
        <is>
          <t>Apply vendor patches</t>
        </is>
      </c>
      <c r="P74" s="189" t="inlineStr">
        <is>
          <t>See CVE details</t>
        </is>
      </c>
      <c r="Q74" s="189" t="inlineStr">
        <is>
          <t>P2</t>
        </is>
      </c>
      <c r="R74" s="189" t="inlineStr">
        <is>
          <t>🚨 URGENT: Apply vendor patches immediately | 🔒 Isolate affected systems if patch unavailable | 🛡️ Enable additional monitoring/IDS rules</t>
        </is>
      </c>
      <c r="S74" s="189" t="inlineStr">
        <is>
          <t>CVE - IP enrichment n/a</t>
        </is>
      </c>
      <c r="T74" s="189" t="n">
        <v>0</v>
      </c>
      <c r="U74" s="189" t="n">
        <v>0</v>
      </c>
      <c r="V74" s="189" t="inlineStr">
        <is>
          <t>T1190:Exploit Public-Facing Application</t>
        </is>
      </c>
      <c r="W74" s="189" t="n">
        <v>2</v>
      </c>
      <c r="X74" s="189" t="inlineStr">
        <is>
          <t>HIGH (72%)</t>
        </is>
      </c>
      <c r="Y74" s="189" t="inlineStr">
        <is>
          <t>POSSIBLE</t>
        </is>
      </c>
      <c r="Z74" s="189" t="inlineStr">
        <is>
          <t>CHECK_VENDOR</t>
        </is>
      </c>
      <c r="AA74" s="190" t="inlineStr">
        <is>
          <t>https://nvd.nist.gov/vuln/detail/CVE-2026-2620</t>
        </is>
      </c>
      <c r="AB74" s="189" t="inlineStr">
        <is>
          <t>NONE</t>
        </is>
      </c>
      <c r="AC74" s="189" t="n">
        <v>3.65</v>
      </c>
      <c r="AD74" s="189" t="n"/>
    </row>
    <row r="75">
      <c r="A75" s="189" t="inlineStr">
        <is>
          <t>CVE</t>
        </is>
      </c>
      <c r="B75" s="189" t="inlineStr">
        <is>
          <t>CVE-2025-13691</t>
        </is>
      </c>
      <c r="C75" s="189" t="inlineStr">
        <is>
          <t>IBM DataStage on Cloud Pak for Data 5.1.2 through 5.3.0 returns sensitive information in an HTTP response that could be used to impersonate other users in the system.</t>
        </is>
      </c>
      <c r="D75" s="189" t="n">
        <v>8.1</v>
      </c>
      <c r="E75" s="189" t="inlineStr">
        <is>
          <t>HIGH</t>
        </is>
      </c>
      <c r="F75" s="189" t="n">
        <v>3</v>
      </c>
      <c r="G75" s="189" t="n">
        <v>3</v>
      </c>
      <c r="H75" s="189" t="inlineStr">
        <is>
          <t>CRITICAL</t>
        </is>
      </c>
      <c r="I75" s="189" t="n">
        <v>17.1</v>
      </c>
      <c r="J75" s="189" t="inlineStr">
        <is>
          <t>NO</t>
        </is>
      </c>
      <c r="K75" s="190" t="inlineStr">
        <is>
          <t>https://nvd.nist.gov/vuln/detail/CVE-2025-13691</t>
        </is>
      </c>
      <c r="L75" s="189" t="inlineStr">
        <is>
          <t>2026-02-23 23:48</t>
        </is>
      </c>
      <c r="M75" s="189" t="inlineStr">
        <is>
          <t>YES</t>
        </is>
      </c>
      <c r="N75" s="190" t="inlineStr">
        <is>
          <t>https://www.ibm.com/support/pages/node/7259956</t>
        </is>
      </c>
      <c r="O75" s="189" t="inlineStr">
        <is>
          <t>Apply vendor patches</t>
        </is>
      </c>
      <c r="P75" s="189" t="inlineStr">
        <is>
          <t>ibm datastage_on_cloud_pak_for_data *</t>
        </is>
      </c>
      <c r="Q75" s="189" t="inlineStr">
        <is>
          <t>P2</t>
        </is>
      </c>
      <c r="R75" s="189" t="inlineStr">
        <is>
          <t>🚨 URGENT: Apply vendor patches immediately | 🔒 Isolate affected systems if patch unavailable | 🛡️ Enable additional monitoring/IDS rules</t>
        </is>
      </c>
      <c r="S75" s="189" t="inlineStr">
        <is>
          <t>CVE - IP enrichment n/a</t>
        </is>
      </c>
      <c r="T75" s="189" t="n">
        <v>0.0003</v>
      </c>
      <c r="U75" s="189" t="n">
        <v>0.094</v>
      </c>
      <c r="V75" s="189" t="inlineStr">
        <is>
          <t>T1190:Exploit Public-Facing Application</t>
        </is>
      </c>
      <c r="W75" s="189" t="n">
        <v>2</v>
      </c>
      <c r="X75" s="189" t="inlineStr">
        <is>
          <t>HIGH (72%)</t>
        </is>
      </c>
      <c r="Y75" s="189" t="inlineStr">
        <is>
          <t>CONFIRMED</t>
        </is>
      </c>
      <c r="Z75" s="189" t="inlineStr">
        <is>
          <t>PATCH_AVAILABLE</t>
        </is>
      </c>
      <c r="AA75" s="190" t="inlineStr">
        <is>
          <t>https://nvd.nist.gov/vuln/detail/CVE-2025-13691</t>
        </is>
      </c>
      <c r="AB75" s="189" t="inlineStr">
        <is>
          <t>NONE</t>
        </is>
      </c>
      <c r="AC75" s="189" t="n">
        <v>4.05</v>
      </c>
      <c r="AD75" s="189" t="n"/>
    </row>
    <row r="76">
      <c r="A76" s="191" t="inlineStr">
        <is>
          <t>CVE</t>
        </is>
      </c>
      <c r="B76" s="191" t="inlineStr">
        <is>
          <t>CVE-2025-14289</t>
        </is>
      </c>
      <c r="C76" s="191" t="inlineStr">
        <is>
          <t>IBM webMethods Integration Server 12.0 is vulnerable to HTML injection. A remote attacker could inject malicious HTML code, which when viewed, would be executed in the victim's Web browser within the security context of the hosting site.</t>
        </is>
      </c>
      <c r="D76" s="191" t="n">
        <v>5.4</v>
      </c>
      <c r="E76" s="191" t="inlineStr">
        <is>
          <t>MEDIUM</t>
        </is>
      </c>
      <c r="F76" s="191" t="n">
        <v>2</v>
      </c>
      <c r="G76" s="191" t="n">
        <v>2</v>
      </c>
      <c r="H76" s="191" t="inlineStr">
        <is>
          <t>MEDIUM</t>
        </is>
      </c>
      <c r="I76" s="191" t="n">
        <v>9.4</v>
      </c>
      <c r="J76" s="191" t="inlineStr">
        <is>
          <t>NO</t>
        </is>
      </c>
      <c r="K76" s="192" t="inlineStr">
        <is>
          <t>https://nvd.nist.gov/vuln/detail/CVE-2025-14289</t>
        </is>
      </c>
      <c r="L76" s="191" t="inlineStr">
        <is>
          <t>2026-02-23 23:48</t>
        </is>
      </c>
      <c r="M76" s="191" t="inlineStr">
        <is>
          <t>YES</t>
        </is>
      </c>
      <c r="N76" s="192" t="inlineStr">
        <is>
          <t>https://www.ibm.com/support/pages/node/7260932</t>
        </is>
      </c>
      <c r="O76" s="191" t="inlineStr">
        <is>
          <t>Apply vendor patches</t>
        </is>
      </c>
      <c r="P76" s="191" t="inlineStr">
        <is>
          <t>ibm webmethods_integration_server 12.0.0</t>
        </is>
      </c>
      <c r="Q76" s="191" t="inlineStr">
        <is>
          <t>P4</t>
        </is>
      </c>
      <c r="R76" s="191" t="inlineStr">
        <is>
          <t>📅 Schedule patch deployment within 30 days | 🔍 Monitor for exploitation attempts</t>
        </is>
      </c>
      <c r="S76" s="191" t="inlineStr">
        <is>
          <t>CVE - IP enrichment n/a</t>
        </is>
      </c>
      <c r="T76" s="191" t="n">
        <v>0.0003</v>
      </c>
      <c r="U76" s="191" t="n">
        <v>0.0946</v>
      </c>
      <c r="V76" s="191" t="inlineStr">
        <is>
          <t>T1190:Exploit Public-Facing Application</t>
        </is>
      </c>
      <c r="W76" s="191" t="n">
        <v>1</v>
      </c>
      <c r="X76" s="191" t="inlineStr">
        <is>
          <t>LOW (40%)</t>
        </is>
      </c>
      <c r="Y76" s="191" t="inlineStr">
        <is>
          <t>UNLIKELY</t>
        </is>
      </c>
      <c r="Z76" s="191" t="inlineStr">
        <is>
          <t>PATCH_AVAILABLE</t>
        </is>
      </c>
      <c r="AA76" s="192" t="inlineStr">
        <is>
          <t>https://nvd.nist.gov/vuln/detail/CVE-2025-14289</t>
        </is>
      </c>
      <c r="AB76" s="191" t="inlineStr">
        <is>
          <t>NONE</t>
        </is>
      </c>
      <c r="AC76" s="191" t="n">
        <v>0</v>
      </c>
      <c r="AD76" s="191" t="n"/>
    </row>
    <row r="77">
      <c r="A77" s="191" t="inlineStr">
        <is>
          <t>CVE</t>
        </is>
      </c>
      <c r="B77" s="191" t="inlineStr">
        <is>
          <t>CVE-2025-36376</t>
        </is>
      </c>
      <c r="C77" s="191" t="inlineStr">
        <is>
          <t>IBM Security QRadar EDR 3.12 through 3.12.23 does not invalidate session after a session expiration which could allow an authenticated user to impersonate another user on the system.</t>
        </is>
      </c>
      <c r="D77" s="191" t="n">
        <v>6.3</v>
      </c>
      <c r="E77" s="191" t="inlineStr">
        <is>
          <t>MEDIUM</t>
        </is>
      </c>
      <c r="F77" s="191" t="n">
        <v>2</v>
      </c>
      <c r="G77" s="191" t="n">
        <v>2</v>
      </c>
      <c r="H77" s="191" t="inlineStr">
        <is>
          <t>MEDIUM</t>
        </is>
      </c>
      <c r="I77" s="191" t="n">
        <v>10.3</v>
      </c>
      <c r="J77" s="191" t="inlineStr">
        <is>
          <t>NO</t>
        </is>
      </c>
      <c r="K77" s="192" t="inlineStr">
        <is>
          <t>https://nvd.nist.gov/vuln/detail/CVE-2025-36376</t>
        </is>
      </c>
      <c r="L77" s="191" t="inlineStr">
        <is>
          <t>2026-02-23 23:48</t>
        </is>
      </c>
      <c r="M77" s="191" t="inlineStr">
        <is>
          <t>YES</t>
        </is>
      </c>
      <c r="N77" s="192" t="inlineStr">
        <is>
          <t>https://www.ibm.com/support/pages/node/7260390</t>
        </is>
      </c>
      <c r="O77" s="191" t="inlineStr">
        <is>
          <t>Apply vendor patches</t>
        </is>
      </c>
      <c r="P77" s="191" t="inlineStr">
        <is>
          <t>ibm security_qradar_edr *</t>
        </is>
      </c>
      <c r="Q77" s="191" t="inlineStr">
        <is>
          <t>P4</t>
        </is>
      </c>
      <c r="R77" s="191" t="inlineStr">
        <is>
          <t>📅 Schedule patch deployment within 30 days | 🔍 Monitor for exploitation attempts</t>
        </is>
      </c>
      <c r="S77" s="191" t="inlineStr">
        <is>
          <t>CVE - IP enrichment n/a</t>
        </is>
      </c>
      <c r="T77" s="191" t="n">
        <v>0</v>
      </c>
      <c r="U77" s="191" t="n">
        <v>0</v>
      </c>
      <c r="V77" s="191" t="inlineStr">
        <is>
          <t>T1190:Exploit Public-Facing Application</t>
        </is>
      </c>
      <c r="W77" s="191" t="n">
        <v>1</v>
      </c>
      <c r="X77" s="191" t="inlineStr">
        <is>
          <t>LOW (40%)</t>
        </is>
      </c>
      <c r="Y77" s="191" t="inlineStr">
        <is>
          <t>UNLIKELY</t>
        </is>
      </c>
      <c r="Z77" s="191" t="inlineStr">
        <is>
          <t>PATCH_AVAILABLE</t>
        </is>
      </c>
      <c r="AA77" s="192" t="inlineStr">
        <is>
          <t>https://nvd.nist.gov/vuln/detail/CVE-2025-36376</t>
        </is>
      </c>
      <c r="AB77" s="191" t="inlineStr">
        <is>
          <t>NONE</t>
        </is>
      </c>
      <c r="AC77" s="191" t="n">
        <v>0</v>
      </c>
      <c r="AD77" s="191" t="n"/>
    </row>
    <row r="78">
      <c r="A78" s="191" t="inlineStr">
        <is>
          <t>CVE</t>
        </is>
      </c>
      <c r="B78" s="191" t="inlineStr">
        <is>
          <t>CVE-2025-36377</t>
        </is>
      </c>
      <c r="C78" s="191" t="inlineStr">
        <is>
          <t>IBM Security QRadar EDR 3.12 through 3.12.23 does not invalidate session after a session expiration which could allow an authenticated user to impersonate another user on the system.</t>
        </is>
      </c>
      <c r="D78" s="191" t="n">
        <v>6.3</v>
      </c>
      <c r="E78" s="191" t="inlineStr">
        <is>
          <t>MEDIUM</t>
        </is>
      </c>
      <c r="F78" s="191" t="n">
        <v>2</v>
      </c>
      <c r="G78" s="191" t="n">
        <v>2</v>
      </c>
      <c r="H78" s="191" t="inlineStr">
        <is>
          <t>MEDIUM</t>
        </is>
      </c>
      <c r="I78" s="191" t="n">
        <v>10.3</v>
      </c>
      <c r="J78" s="191" t="inlineStr">
        <is>
          <t>NO</t>
        </is>
      </c>
      <c r="K78" s="192" t="inlineStr">
        <is>
          <t>https://nvd.nist.gov/vuln/detail/CVE-2025-36377</t>
        </is>
      </c>
      <c r="L78" s="191" t="inlineStr">
        <is>
          <t>2026-02-23 23:48</t>
        </is>
      </c>
      <c r="M78" s="191" t="inlineStr">
        <is>
          <t>YES</t>
        </is>
      </c>
      <c r="N78" s="192" t="inlineStr">
        <is>
          <t>https://www.ibm.com/support/pages/node/7260390</t>
        </is>
      </c>
      <c r="O78" s="191" t="inlineStr">
        <is>
          <t>Apply vendor patches</t>
        </is>
      </c>
      <c r="P78" s="191" t="inlineStr">
        <is>
          <t>ibm qradar_edr *</t>
        </is>
      </c>
      <c r="Q78" s="191" t="inlineStr">
        <is>
          <t>P4</t>
        </is>
      </c>
      <c r="R78" s="191" t="inlineStr">
        <is>
          <t>📅 Schedule patch deployment within 30 days | 🔍 Monitor for exploitation attempts</t>
        </is>
      </c>
      <c r="S78" s="191" t="inlineStr">
        <is>
          <t>CVE - IP enrichment n/a</t>
        </is>
      </c>
      <c r="T78" s="191" t="n">
        <v>0</v>
      </c>
      <c r="U78" s="191" t="n">
        <v>0</v>
      </c>
      <c r="V78" s="191" t="inlineStr">
        <is>
          <t>T1190:Exploit Public-Facing Application</t>
        </is>
      </c>
      <c r="W78" s="191" t="n">
        <v>1</v>
      </c>
      <c r="X78" s="191" t="inlineStr">
        <is>
          <t>LOW (40%)</t>
        </is>
      </c>
      <c r="Y78" s="191" t="inlineStr">
        <is>
          <t>UNLIKELY</t>
        </is>
      </c>
      <c r="Z78" s="191" t="inlineStr">
        <is>
          <t>PATCH_AVAILABLE</t>
        </is>
      </c>
      <c r="AA78" s="192" t="inlineStr">
        <is>
          <t>https://nvd.nist.gov/vuln/detail/CVE-2025-36377</t>
        </is>
      </c>
      <c r="AB78" s="191" t="inlineStr">
        <is>
          <t>NONE</t>
        </is>
      </c>
      <c r="AC78" s="191" t="n">
        <v>0</v>
      </c>
      <c r="AD78" s="191" t="n"/>
    </row>
    <row r="79">
      <c r="A79" s="191" t="inlineStr">
        <is>
          <t>CVE</t>
        </is>
      </c>
      <c r="B79" s="191" t="inlineStr">
        <is>
          <t>CVE-2025-36379</t>
        </is>
      </c>
      <c r="C79" s="191" t="inlineStr">
        <is>
          <t>IBM Security QRadar EDR 3.12 through 3.12.23 IBM Security ReaQta uses weaker than expected cryptographic algorithms that could allow an attacker to decrypt highly sensitive information.</t>
        </is>
      </c>
      <c r="D79" s="191" t="n">
        <v>5.9</v>
      </c>
      <c r="E79" s="191" t="inlineStr">
        <is>
          <t>MEDIUM</t>
        </is>
      </c>
      <c r="F79" s="191" t="n">
        <v>2</v>
      </c>
      <c r="G79" s="191" t="n">
        <v>2</v>
      </c>
      <c r="H79" s="191" t="inlineStr">
        <is>
          <t>MEDIUM</t>
        </is>
      </c>
      <c r="I79" s="191" t="n">
        <v>9.9</v>
      </c>
      <c r="J79" s="191" t="inlineStr">
        <is>
          <t>NO</t>
        </is>
      </c>
      <c r="K79" s="192" t="inlineStr">
        <is>
          <t>https://nvd.nist.gov/vuln/detail/CVE-2025-36379</t>
        </is>
      </c>
      <c r="L79" s="191" t="inlineStr">
        <is>
          <t>2026-02-23 23:48</t>
        </is>
      </c>
      <c r="M79" s="191" t="inlineStr">
        <is>
          <t>YES</t>
        </is>
      </c>
      <c r="N79" s="192" t="inlineStr">
        <is>
          <t>https://www.ibm.com/support/pages/node/7260390</t>
        </is>
      </c>
      <c r="O79" s="191" t="inlineStr">
        <is>
          <t>Apply vendor patches</t>
        </is>
      </c>
      <c r="P79" s="191" t="inlineStr">
        <is>
          <t>ibm qradar_edr *</t>
        </is>
      </c>
      <c r="Q79" s="191" t="inlineStr">
        <is>
          <t>P4</t>
        </is>
      </c>
      <c r="R79" s="191" t="inlineStr">
        <is>
          <t>📅 Schedule patch deployment within 30 days | 🔍 Monitor for exploitation attempts</t>
        </is>
      </c>
      <c r="S79" s="191" t="inlineStr">
        <is>
          <t>CVE - IP enrichment n/a</t>
        </is>
      </c>
      <c r="T79" s="191" t="n">
        <v>0</v>
      </c>
      <c r="U79" s="191" t="n">
        <v>0</v>
      </c>
      <c r="V79" s="191" t="inlineStr">
        <is>
          <t>T1600:Weaken Encryption</t>
        </is>
      </c>
      <c r="W79" s="191" t="n">
        <v>1</v>
      </c>
      <c r="X79" s="191" t="inlineStr">
        <is>
          <t>LOW (40%)</t>
        </is>
      </c>
      <c r="Y79" s="191" t="inlineStr">
        <is>
          <t>UNLIKELY</t>
        </is>
      </c>
      <c r="Z79" s="191" t="inlineStr">
        <is>
          <t>PATCH_AVAILABLE</t>
        </is>
      </c>
      <c r="AA79" s="192" t="inlineStr">
        <is>
          <t>https://nvd.nist.gov/vuln/detail/CVE-2025-36379</t>
        </is>
      </c>
      <c r="AB79" s="191" t="inlineStr">
        <is>
          <t>NONE</t>
        </is>
      </c>
      <c r="AC79" s="191" t="n">
        <v>0</v>
      </c>
      <c r="AD79" s="191" t="n"/>
    </row>
    <row r="80">
      <c r="A80" s="189" t="inlineStr">
        <is>
          <t>CVE</t>
        </is>
      </c>
      <c r="B80" s="189" t="inlineStr">
        <is>
          <t>CVE-2026-23595</t>
        </is>
      </c>
      <c r="C80" s="189" t="inlineStr">
        <is>
          <t>An authentication bypass in the application API allows an unauthorized administrative account to be created. A remote attacker could exploit this vulnerability to create privileged user accounts. Successful exploitation could allow an attacker to gain administrative access, modify system configurations, and access or manipulate sensitive data.</t>
        </is>
      </c>
      <c r="D80" s="189" t="n">
        <v>8.800000000000001</v>
      </c>
      <c r="E80" s="189" t="inlineStr">
        <is>
          <t>HIGH</t>
        </is>
      </c>
      <c r="F80" s="189" t="n">
        <v>3</v>
      </c>
      <c r="G80" s="189" t="n">
        <v>3</v>
      </c>
      <c r="H80" s="189" t="inlineStr">
        <is>
          <t>CRITICAL</t>
        </is>
      </c>
      <c r="I80" s="189" t="n">
        <v>17.8</v>
      </c>
      <c r="J80" s="189" t="inlineStr">
        <is>
          <t>NO</t>
        </is>
      </c>
      <c r="K80" s="190" t="inlineStr">
        <is>
          <t>https://nvd.nist.gov/vuln/detail/CVE-2026-23595</t>
        </is>
      </c>
      <c r="L80" s="189" t="inlineStr">
        <is>
          <t>2026-02-23 23:48</t>
        </is>
      </c>
      <c r="M80" s="189" t="inlineStr">
        <is>
          <t>CHECK_VENDOR</t>
        </is>
      </c>
      <c r="N80" s="189" t="inlineStr">
        <is>
          <t>See NVD references</t>
        </is>
      </c>
      <c r="O80" s="189" t="inlineStr">
        <is>
          <t>Apply vendor patches</t>
        </is>
      </c>
      <c r="P80" s="189" t="inlineStr">
        <is>
          <t>See CVE details</t>
        </is>
      </c>
      <c r="Q80" s="189" t="inlineStr">
        <is>
          <t>P2</t>
        </is>
      </c>
      <c r="R80" s="189" t="inlineStr">
        <is>
          <t>🚨 URGENT: Apply vendor patches immediately | 🔒 Isolate affected systems if patch unavailable | 🛡️ Enable additional monitoring/IDS rules</t>
        </is>
      </c>
      <c r="S80" s="189" t="inlineStr">
        <is>
          <t>CVE - IP enrichment n/a</t>
        </is>
      </c>
      <c r="T80" s="189" t="n">
        <v>0.0011</v>
      </c>
      <c r="U80" s="189" t="n">
        <v>0.2936</v>
      </c>
      <c r="V80" s="189" t="inlineStr">
        <is>
          <t>T1078:Valid Accounts</t>
        </is>
      </c>
      <c r="W80" s="189" t="n">
        <v>2</v>
      </c>
      <c r="X80" s="189" t="inlineStr">
        <is>
          <t>HIGH (72%)</t>
        </is>
      </c>
      <c r="Y80" s="189" t="inlineStr">
        <is>
          <t>CONFIRMED</t>
        </is>
      </c>
      <c r="Z80" s="189" t="inlineStr">
        <is>
          <t>CHECK_VENDOR</t>
        </is>
      </c>
      <c r="AA80" s="190" t="inlineStr">
        <is>
          <t>https://nvd.nist.gov/vuln/detail/CVE-2026-23595</t>
        </is>
      </c>
      <c r="AB80" s="189" t="inlineStr">
        <is>
          <t>NONE</t>
        </is>
      </c>
      <c r="AC80" s="189" t="n">
        <v>4.4</v>
      </c>
      <c r="AD80" s="189" t="n"/>
    </row>
    <row r="81">
      <c r="A81" s="191" t="inlineStr">
        <is>
          <t>CVE</t>
        </is>
      </c>
      <c r="B81" s="191" t="inlineStr">
        <is>
          <t>CVE-2026-23596</t>
        </is>
      </c>
      <c r="C81" s="191" t="inlineStr">
        <is>
          <t>A vulnerability in the management API of the affected product could allow an unauthenticated remote attacker to trigger service restarts. Successful exploitation could allow an attacker to disrupt services and negatively impact system availability.</t>
        </is>
      </c>
      <c r="D81" s="191" t="n">
        <v>6.5</v>
      </c>
      <c r="E81" s="191" t="inlineStr">
        <is>
          <t>MEDIUM</t>
        </is>
      </c>
      <c r="F81" s="191" t="n">
        <v>2</v>
      </c>
      <c r="G81" s="191" t="n">
        <v>2</v>
      </c>
      <c r="H81" s="191" t="inlineStr">
        <is>
          <t>MEDIUM</t>
        </is>
      </c>
      <c r="I81" s="191" t="n">
        <v>10.5</v>
      </c>
      <c r="J81" s="191" t="inlineStr">
        <is>
          <t>NO</t>
        </is>
      </c>
      <c r="K81" s="192" t="inlineStr">
        <is>
          <t>https://nvd.nist.gov/vuln/detail/CVE-2026-23596</t>
        </is>
      </c>
      <c r="L81" s="191" t="inlineStr">
        <is>
          <t>2026-02-23 23:48</t>
        </is>
      </c>
      <c r="M81" s="191" t="inlineStr">
        <is>
          <t>CHECK_VENDOR</t>
        </is>
      </c>
      <c r="N81" s="191" t="inlineStr">
        <is>
          <t>See NVD references</t>
        </is>
      </c>
      <c r="O81" s="191" t="inlineStr">
        <is>
          <t>Apply vendor patches</t>
        </is>
      </c>
      <c r="P81" s="191" t="inlineStr">
        <is>
          <t>See CVE details</t>
        </is>
      </c>
      <c r="Q81" s="191" t="inlineStr">
        <is>
          <t>P4</t>
        </is>
      </c>
      <c r="R81" s="191" t="inlineStr">
        <is>
          <t>📅 Schedule patch deployment within 30 days | 🔍 Monitor for exploitation attempts</t>
        </is>
      </c>
      <c r="S81" s="191" t="inlineStr">
        <is>
          <t>CVE - IP enrichment n/a</t>
        </is>
      </c>
      <c r="T81" s="191" t="n">
        <v>0</v>
      </c>
      <c r="U81" s="191" t="n">
        <v>0</v>
      </c>
      <c r="V81" s="191" t="inlineStr">
        <is>
          <t>T1190:Exploit Public-Facing Application</t>
        </is>
      </c>
      <c r="W81" s="191" t="n">
        <v>1</v>
      </c>
      <c r="X81" s="191" t="inlineStr">
        <is>
          <t>LOW (40%)</t>
        </is>
      </c>
      <c r="Y81" s="191" t="inlineStr">
        <is>
          <t>UNLIKELY</t>
        </is>
      </c>
      <c r="Z81" s="191" t="inlineStr">
        <is>
          <t>CHECK_VENDOR</t>
        </is>
      </c>
      <c r="AA81" s="192" t="inlineStr">
        <is>
          <t>https://nvd.nist.gov/vuln/detail/CVE-2026-23596</t>
        </is>
      </c>
      <c r="AB81" s="191" t="inlineStr">
        <is>
          <t>NONE</t>
        </is>
      </c>
      <c r="AC81" s="191" t="n">
        <v>0</v>
      </c>
      <c r="AD81" s="191" t="n"/>
    </row>
    <row r="82">
      <c r="A82" s="191" t="inlineStr">
        <is>
          <t>CVE</t>
        </is>
      </c>
      <c r="B82" s="191" t="inlineStr">
        <is>
          <t>CVE-2026-23597</t>
        </is>
      </c>
      <c r="C82" s="191" t="inlineStr">
        <is>
          <t>Vulnerabilities in the API error handling of an HPE Aruba Networking  5G Core server API could allow an unauthenticated remote attacker to obtain sensitive information. Successful exploitation could allow an attacker to access details such as user accounts, roles, and system configuration, as well as to gain insight into internal services and workflows, increasing the risk of unauthorized access and elevated privileges when combined with other vulnerabilities.</t>
        </is>
      </c>
      <c r="D82" s="191" t="n">
        <v>6.5</v>
      </c>
      <c r="E82" s="191" t="inlineStr">
        <is>
          <t>MEDIUM</t>
        </is>
      </c>
      <c r="F82" s="191" t="n">
        <v>2</v>
      </c>
      <c r="G82" s="191" t="n">
        <v>2</v>
      </c>
      <c r="H82" s="191" t="inlineStr">
        <is>
          <t>MEDIUM</t>
        </is>
      </c>
      <c r="I82" s="191" t="n">
        <v>10.5</v>
      </c>
      <c r="J82" s="191" t="inlineStr">
        <is>
          <t>NO</t>
        </is>
      </c>
      <c r="K82" s="192" t="inlineStr">
        <is>
          <t>https://nvd.nist.gov/vuln/detail/CVE-2026-23597</t>
        </is>
      </c>
      <c r="L82" s="191" t="inlineStr">
        <is>
          <t>2026-02-23 23:48</t>
        </is>
      </c>
      <c r="M82" s="191" t="inlineStr">
        <is>
          <t>CHECK_VENDOR</t>
        </is>
      </c>
      <c r="N82" s="191" t="inlineStr">
        <is>
          <t>See NVD references</t>
        </is>
      </c>
      <c r="O82" s="191" t="inlineStr">
        <is>
          <t>Apply vendor patches</t>
        </is>
      </c>
      <c r="P82" s="191" t="inlineStr">
        <is>
          <t>See CVE details</t>
        </is>
      </c>
      <c r="Q82" s="191" t="inlineStr">
        <is>
          <t>P4</t>
        </is>
      </c>
      <c r="R82" s="191" t="inlineStr">
        <is>
          <t>📅 Schedule patch deployment within 30 days | 🔍 Monitor for exploitation attempts</t>
        </is>
      </c>
      <c r="S82" s="191" t="inlineStr">
        <is>
          <t>CVE - IP enrichment n/a</t>
        </is>
      </c>
      <c r="T82" s="191" t="n">
        <v>0</v>
      </c>
      <c r="U82" s="191" t="n">
        <v>0</v>
      </c>
      <c r="V82" s="191" t="inlineStr">
        <is>
          <t>T1213:Data from Information Repositories</t>
        </is>
      </c>
      <c r="W82" s="191" t="n">
        <v>1</v>
      </c>
      <c r="X82" s="191" t="inlineStr">
        <is>
          <t>LOW (40%)</t>
        </is>
      </c>
      <c r="Y82" s="191" t="inlineStr">
        <is>
          <t>UNLIKELY</t>
        </is>
      </c>
      <c r="Z82" s="191" t="inlineStr">
        <is>
          <t>CHECK_VENDOR</t>
        </is>
      </c>
      <c r="AA82" s="192" t="inlineStr">
        <is>
          <t>https://nvd.nist.gov/vuln/detail/CVE-2026-23597</t>
        </is>
      </c>
      <c r="AB82" s="191" t="inlineStr">
        <is>
          <t>NONE</t>
        </is>
      </c>
      <c r="AC82" s="191" t="n">
        <v>0</v>
      </c>
      <c r="AD82" s="191" t="n"/>
    </row>
    <row r="83">
      <c r="A83" s="191" t="inlineStr">
        <is>
          <t>CVE</t>
        </is>
      </c>
      <c r="B83" s="191" t="inlineStr">
        <is>
          <t>CVE-2026-23598</t>
        </is>
      </c>
      <c r="C83" s="191" t="inlineStr">
        <is>
          <t>Vulnerabilities in the API error handling of an HPE Aruba Networking  5G Core server API could allow an unauthenticated remote attacker to obtain sensitive information. Successful exploitation could allow an attacker to access details such as user accounts, roles, and system configuration, as well as to gain insight into internal services and workflows, increasing the risk of unauthorized access and elevated privileges when combined with other vulnerabilities.</t>
        </is>
      </c>
      <c r="D83" s="191" t="n">
        <v>6.5</v>
      </c>
      <c r="E83" s="191" t="inlineStr">
        <is>
          <t>MEDIUM</t>
        </is>
      </c>
      <c r="F83" s="191" t="n">
        <v>2</v>
      </c>
      <c r="G83" s="191" t="n">
        <v>2</v>
      </c>
      <c r="H83" s="191" t="inlineStr">
        <is>
          <t>MEDIUM</t>
        </is>
      </c>
      <c r="I83" s="191" t="n">
        <v>10.5</v>
      </c>
      <c r="J83" s="191" t="inlineStr">
        <is>
          <t>NO</t>
        </is>
      </c>
      <c r="K83" s="192" t="inlineStr">
        <is>
          <t>https://nvd.nist.gov/vuln/detail/CVE-2026-23598</t>
        </is>
      </c>
      <c r="L83" s="191" t="inlineStr">
        <is>
          <t>2026-02-23 23:48</t>
        </is>
      </c>
      <c r="M83" s="191" t="inlineStr">
        <is>
          <t>CHECK_VENDOR</t>
        </is>
      </c>
      <c r="N83" s="191" t="inlineStr">
        <is>
          <t>See NVD references</t>
        </is>
      </c>
      <c r="O83" s="191" t="inlineStr">
        <is>
          <t>Apply vendor patches</t>
        </is>
      </c>
      <c r="P83" s="191" t="inlineStr">
        <is>
          <t>See CVE details</t>
        </is>
      </c>
      <c r="Q83" s="191" t="inlineStr">
        <is>
          <t>P4</t>
        </is>
      </c>
      <c r="R83" s="191" t="inlineStr">
        <is>
          <t>📅 Schedule patch deployment within 30 days | 🔍 Monitor for exploitation attempts</t>
        </is>
      </c>
      <c r="S83" s="191" t="inlineStr">
        <is>
          <t>CVE - IP enrichment n/a</t>
        </is>
      </c>
      <c r="T83" s="191" t="n">
        <v>0</v>
      </c>
      <c r="U83" s="191" t="n">
        <v>0</v>
      </c>
      <c r="V83" s="191" t="inlineStr">
        <is>
          <t>T1190:Exploit Public-Facing Application</t>
        </is>
      </c>
      <c r="W83" s="191" t="n">
        <v>1</v>
      </c>
      <c r="X83" s="191" t="inlineStr">
        <is>
          <t>LOW (40%)</t>
        </is>
      </c>
      <c r="Y83" s="191" t="inlineStr">
        <is>
          <t>UNLIKELY</t>
        </is>
      </c>
      <c r="Z83" s="191" t="inlineStr">
        <is>
          <t>CHECK_VENDOR</t>
        </is>
      </c>
      <c r="AA83" s="192" t="inlineStr">
        <is>
          <t>https://nvd.nist.gov/vuln/detail/CVE-2026-23598</t>
        </is>
      </c>
      <c r="AB83" s="191" t="inlineStr">
        <is>
          <t>NONE</t>
        </is>
      </c>
      <c r="AC83" s="191" t="n">
        <v>0</v>
      </c>
      <c r="AD83" s="191" t="n"/>
    </row>
    <row r="84">
      <c r="A84" s="189" t="inlineStr">
        <is>
          <t>CVE</t>
        </is>
      </c>
      <c r="B84" s="189" t="inlineStr">
        <is>
          <t>CVE-2026-2621</t>
        </is>
      </c>
      <c r="C84" s="189" t="inlineStr">
        <is>
          <t>A security vulnerability has been detected in Sciyon Koyuan Thermoelectricity Heat Network Management System 3.0. This affects an unknown part of the file /SISReport/WebReport20/Proxy/AsyncTreeProxy.aspx. The manipulation of the argument PGUID leads to sql injection. The attack can be initiated remotely. The exploit has been disclosed publicly and may be used. The vendor was contacted early about this disclosure but did not respond in any way.</t>
        </is>
      </c>
      <c r="D84" s="189" t="n">
        <v>7.3</v>
      </c>
      <c r="E84" s="189" t="inlineStr">
        <is>
          <t>HIGH</t>
        </is>
      </c>
      <c r="F84" s="189" t="n">
        <v>2</v>
      </c>
      <c r="G84" s="189" t="n">
        <v>3</v>
      </c>
      <c r="H84" s="189" t="inlineStr">
        <is>
          <t>HIGH</t>
        </is>
      </c>
      <c r="I84" s="189" t="n">
        <v>13.3</v>
      </c>
      <c r="J84" s="189" t="inlineStr">
        <is>
          <t>NO</t>
        </is>
      </c>
      <c r="K84" s="190" t="inlineStr">
        <is>
          <t>https://nvd.nist.gov/vuln/detail/CVE-2026-2621</t>
        </is>
      </c>
      <c r="L84" s="189" t="inlineStr">
        <is>
          <t>2026-02-23 23:48</t>
        </is>
      </c>
      <c r="M84" s="189" t="inlineStr">
        <is>
          <t>CHECK_VENDOR</t>
        </is>
      </c>
      <c r="N84" s="189" t="inlineStr">
        <is>
          <t>See NVD references</t>
        </is>
      </c>
      <c r="O84" s="189" t="inlineStr">
        <is>
          <t>Apply vendor patches</t>
        </is>
      </c>
      <c r="P84" s="189" t="inlineStr">
        <is>
          <t>See CVE details</t>
        </is>
      </c>
      <c r="Q84" s="189" t="inlineStr">
        <is>
          <t>P2</t>
        </is>
      </c>
      <c r="R84" s="189" t="inlineStr">
        <is>
          <t>🚨 URGENT: Apply vendor patches immediately | 🔒 Isolate affected systems if patch unavailable | 🛡️ Enable additional monitoring/IDS rules</t>
        </is>
      </c>
      <c r="S84" s="189" t="inlineStr">
        <is>
          <t>CVE - IP enrichment n/a</t>
        </is>
      </c>
      <c r="T84" s="189" t="n">
        <v>0</v>
      </c>
      <c r="U84" s="189" t="n">
        <v>0</v>
      </c>
      <c r="V84" s="189" t="inlineStr">
        <is>
          <t>T1190:Exploit Public-Facing Application</t>
        </is>
      </c>
      <c r="W84" s="189" t="n">
        <v>2</v>
      </c>
      <c r="X84" s="189" t="inlineStr">
        <is>
          <t>HIGH (72%)</t>
        </is>
      </c>
      <c r="Y84" s="189" t="inlineStr">
        <is>
          <t>POSSIBLE</t>
        </is>
      </c>
      <c r="Z84" s="189" t="inlineStr">
        <is>
          <t>CHECK_VENDOR</t>
        </is>
      </c>
      <c r="AA84" s="190" t="inlineStr">
        <is>
          <t>https://nvd.nist.gov/vuln/detail/CVE-2026-2621</t>
        </is>
      </c>
      <c r="AB84" s="189" t="inlineStr">
        <is>
          <t>NONE</t>
        </is>
      </c>
      <c r="AC84" s="189" t="n">
        <v>3.65</v>
      </c>
      <c r="AD84" s="189" t="n"/>
    </row>
    <row r="85">
      <c r="A85" s="195" t="inlineStr">
        <is>
          <t>CVE</t>
        </is>
      </c>
      <c r="B85" s="195" t="inlineStr">
        <is>
          <t>CVE-2026-2622</t>
        </is>
      </c>
      <c r="C85" s="195" t="inlineStr">
        <is>
          <t>A vulnerability was detected in Blossom up to 1.17.1. This vulnerability affects the function content of the file blossom-backend/backend/src/main/java/com/blossom/backend/server/article/draft/ArticleController.java of the component Article Title Handler. The manipulation results in cross site scripting. The attack can be launched remotely. The exploit is now public and may be used. The vendor was contacted early about this disclosure but did not respond in any way.</t>
        </is>
      </c>
      <c r="D85" s="195" t="n">
        <v>3.5</v>
      </c>
      <c r="E85" s="195" t="inlineStr">
        <is>
          <t>LOW</t>
        </is>
      </c>
      <c r="F85" s="195" t="n">
        <v>2</v>
      </c>
      <c r="G85" s="195" t="n">
        <v>1</v>
      </c>
      <c r="H85" s="195" t="inlineStr">
        <is>
          <t>LOW</t>
        </is>
      </c>
      <c r="I85" s="195" t="n">
        <v>5.5</v>
      </c>
      <c r="J85" s="195" t="inlineStr">
        <is>
          <t>NO</t>
        </is>
      </c>
      <c r="K85" s="196" t="inlineStr">
        <is>
          <t>https://nvd.nist.gov/vuln/detail/CVE-2026-2622</t>
        </is>
      </c>
      <c r="L85" s="195" t="inlineStr">
        <is>
          <t>2026-02-23 23:48</t>
        </is>
      </c>
      <c r="M85" s="195" t="inlineStr">
        <is>
          <t>CHECK_VENDOR</t>
        </is>
      </c>
      <c r="N85" s="195" t="inlineStr">
        <is>
          <t>See NVD references</t>
        </is>
      </c>
      <c r="O85" s="195" t="inlineStr">
        <is>
          <t>Apply vendor patches</t>
        </is>
      </c>
      <c r="P85" s="195" t="inlineStr">
        <is>
          <t>wangyunf blossom *</t>
        </is>
      </c>
      <c r="Q85" s="195" t="inlineStr">
        <is>
          <t>P4</t>
        </is>
      </c>
      <c r="R85" s="195" t="inlineStr">
        <is>
          <t>📅 Schedule patch deployment within 30 days | 🔍 Monitor for exploitation attempts</t>
        </is>
      </c>
      <c r="S85" s="195" t="inlineStr">
        <is>
          <t>CVE - IP enrichment n/a</t>
        </is>
      </c>
      <c r="T85" s="195" t="n">
        <v>0</v>
      </c>
      <c r="U85" s="195" t="n">
        <v>0</v>
      </c>
      <c r="V85" s="195" t="inlineStr">
        <is>
          <t>T1189:Drive-by Compromise</t>
        </is>
      </c>
      <c r="W85" s="195" t="n">
        <v>1</v>
      </c>
      <c r="X85" s="195" t="inlineStr">
        <is>
          <t>LOW (40%)</t>
        </is>
      </c>
      <c r="Y85" s="195" t="inlineStr">
        <is>
          <t>UNLIKELY</t>
        </is>
      </c>
      <c r="Z85" s="195" t="inlineStr">
        <is>
          <t>CHECK_VENDOR</t>
        </is>
      </c>
      <c r="AA85" s="196" t="inlineStr">
        <is>
          <t>https://nvd.nist.gov/vuln/detail/CVE-2026-2622</t>
        </is>
      </c>
      <c r="AB85" s="195" t="inlineStr">
        <is>
          <t>NONE</t>
        </is>
      </c>
      <c r="AC85" s="195" t="n">
        <v>0</v>
      </c>
      <c r="AD85" s="195" t="n"/>
    </row>
    <row r="86">
      <c r="A86" s="191" t="inlineStr">
        <is>
          <t>CVE</t>
        </is>
      </c>
      <c r="B86" s="191" t="inlineStr">
        <is>
          <t>CVE-2023-38005</t>
        </is>
      </c>
      <c r="C86" s="191" t="inlineStr">
        <is>
          <t>IBM Cloud Pak System 2.3.3.6, 2.3.3.7, 2.3.4.0, 2.3.4.1, and 2.3.5.0 could allow an authenticated user to perform unauthorized tasks due to improper access controls.</t>
        </is>
      </c>
      <c r="D86" s="191" t="n">
        <v>4.3</v>
      </c>
      <c r="E86" s="191" t="inlineStr">
        <is>
          <t>MEDIUM</t>
        </is>
      </c>
      <c r="F86" s="191" t="n">
        <v>2</v>
      </c>
      <c r="G86" s="191" t="n">
        <v>2</v>
      </c>
      <c r="H86" s="191" t="inlineStr">
        <is>
          <t>MEDIUM</t>
        </is>
      </c>
      <c r="I86" s="191" t="n">
        <v>8.300000000000001</v>
      </c>
      <c r="J86" s="191" t="inlineStr">
        <is>
          <t>NO</t>
        </is>
      </c>
      <c r="K86" s="192" t="inlineStr">
        <is>
          <t>https://nvd.nist.gov/vuln/detail/CVE-2023-38005</t>
        </is>
      </c>
      <c r="L86" s="191" t="inlineStr">
        <is>
          <t>2026-02-23 23:48</t>
        </is>
      </c>
      <c r="M86" s="191" t="inlineStr">
        <is>
          <t>YES</t>
        </is>
      </c>
      <c r="N86" s="192" t="inlineStr">
        <is>
          <t>https://www.ibm.com/support/pages/node/7259955</t>
        </is>
      </c>
      <c r="O86" s="191" t="inlineStr">
        <is>
          <t>Apply vendor patches</t>
        </is>
      </c>
      <c r="P86" s="191" t="inlineStr">
        <is>
          <t>ibm cloud_pak_system 2.3.3.6 | ibm cloud_pak_system 2.3.4.0 | ibm cloud_pak_system 2.3.3.7</t>
        </is>
      </c>
      <c r="Q86" s="191" t="inlineStr">
        <is>
          <t>P4</t>
        </is>
      </c>
      <c r="R86" s="191" t="inlineStr">
        <is>
          <t>📅 Schedule patch deployment within 30 days | 🔍 Monitor for exploitation attempts</t>
        </is>
      </c>
      <c r="S86" s="191" t="inlineStr">
        <is>
          <t>CVE - IP enrichment n/a</t>
        </is>
      </c>
      <c r="T86" s="191" t="n">
        <v>0</v>
      </c>
      <c r="U86" s="191" t="n">
        <v>0</v>
      </c>
      <c r="V86" s="191" t="inlineStr">
        <is>
          <t>T1190:Exploit Public-Facing Application</t>
        </is>
      </c>
      <c r="W86" s="191" t="n">
        <v>1</v>
      </c>
      <c r="X86" s="191" t="inlineStr">
        <is>
          <t>LOW (40%)</t>
        </is>
      </c>
      <c r="Y86" s="191" t="inlineStr">
        <is>
          <t>UNLIKELY</t>
        </is>
      </c>
      <c r="Z86" s="191" t="inlineStr">
        <is>
          <t>PATCH_AVAILABLE</t>
        </is>
      </c>
      <c r="AA86" s="192" t="inlineStr">
        <is>
          <t>https://nvd.nist.gov/vuln/detail/CVE-2023-38005</t>
        </is>
      </c>
      <c r="AB86" s="191" t="inlineStr">
        <is>
          <t>NONE</t>
        </is>
      </c>
      <c r="AC86" s="191" t="n">
        <v>0</v>
      </c>
      <c r="AD86" s="191" t="n"/>
    </row>
    <row r="87">
      <c r="A87" s="189" t="inlineStr">
        <is>
          <t>CVE</t>
        </is>
      </c>
      <c r="B87" s="189" t="inlineStr">
        <is>
          <t>CVE-2025-33088</t>
        </is>
      </c>
      <c r="C87" s="189" t="inlineStr">
        <is>
          <t>IBM Concert 1.0.0 through 2.1.0 could allow a local user with specific knowledge about the system's architecture to escalate their privileges due to incorrect file permissions for critical resources.</t>
        </is>
      </c>
      <c r="D87" s="189" t="n">
        <v>7.4</v>
      </c>
      <c r="E87" s="189" t="inlineStr">
        <is>
          <t>HIGH</t>
        </is>
      </c>
      <c r="F87" s="189" t="n">
        <v>2</v>
      </c>
      <c r="G87" s="189" t="n">
        <v>3</v>
      </c>
      <c r="H87" s="189" t="inlineStr">
        <is>
          <t>HIGH</t>
        </is>
      </c>
      <c r="I87" s="189" t="n">
        <v>13.4</v>
      </c>
      <c r="J87" s="189" t="inlineStr">
        <is>
          <t>NO</t>
        </is>
      </c>
      <c r="K87" s="190" t="inlineStr">
        <is>
          <t>https://nvd.nist.gov/vuln/detail/CVE-2025-33088</t>
        </is>
      </c>
      <c r="L87" s="189" t="inlineStr">
        <is>
          <t>2026-02-23 23:48</t>
        </is>
      </c>
      <c r="M87" s="189" t="inlineStr">
        <is>
          <t>YES</t>
        </is>
      </c>
      <c r="N87" s="190" t="inlineStr">
        <is>
          <t>https://www.ibm.com/support/pages/node/7260161</t>
        </is>
      </c>
      <c r="O87" s="189" t="inlineStr">
        <is>
          <t>Apply vendor patches</t>
        </is>
      </c>
      <c r="P87" s="189" t="inlineStr">
        <is>
          <t>linux linux_kernel - | ibm concert *</t>
        </is>
      </c>
      <c r="Q87" s="189" t="inlineStr">
        <is>
          <t>P2</t>
        </is>
      </c>
      <c r="R87" s="189" t="inlineStr">
        <is>
          <t>🚨 URGENT: Apply vendor patches immediately | 🔒 Isolate affected systems if patch unavailable | 🛡️ Enable additional monitoring/IDS rules</t>
        </is>
      </c>
      <c r="S87" s="189" t="inlineStr">
        <is>
          <t>CVE - IP enrichment n/a</t>
        </is>
      </c>
      <c r="T87" s="189" t="n">
        <v>0</v>
      </c>
      <c r="U87" s="189" t="n">
        <v>0</v>
      </c>
      <c r="V87" s="189" t="inlineStr">
        <is>
          <t>T1190:Exploit Public-Facing Application</t>
        </is>
      </c>
      <c r="W87" s="189" t="n">
        <v>2</v>
      </c>
      <c r="X87" s="189" t="inlineStr">
        <is>
          <t>HIGH (72%)</t>
        </is>
      </c>
      <c r="Y87" s="189" t="inlineStr">
        <is>
          <t>POSSIBLE</t>
        </is>
      </c>
      <c r="Z87" s="189" t="inlineStr">
        <is>
          <t>PATCH_AVAILABLE</t>
        </is>
      </c>
      <c r="AA87" s="190" t="inlineStr">
        <is>
          <t>https://nvd.nist.gov/vuln/detail/CVE-2025-33088</t>
        </is>
      </c>
      <c r="AB87" s="189" t="inlineStr">
        <is>
          <t>NONE</t>
        </is>
      </c>
      <c r="AC87" s="189" t="n">
        <v>3.7</v>
      </c>
      <c r="AD87" s="189" t="n"/>
    </row>
    <row r="88">
      <c r="A88" s="191" t="inlineStr">
        <is>
          <t>CVE</t>
        </is>
      </c>
      <c r="B88" s="191" t="inlineStr">
        <is>
          <t>CVE-2025-33135</t>
        </is>
      </c>
      <c r="C88" s="191" t="inlineStr">
        <is>
          <t>IBM Financial Transaction Manager for ACH Services and Check Services for Multi-Platform 3.0.0.0 through 3.0.5.4 Interim Fix 027 IBM Financial Transaction Manager for Check Services v3 (Multiplatforms) is vulnerable to cross-site scripting. This vulnerability allows an unauthenticated attacker to embed arbitrary JavaScript code in the Web UI thus altering the intended functionality potentially leading to credentials disclosure within a trusted session.</t>
        </is>
      </c>
      <c r="D88" s="191" t="n">
        <v>6.1</v>
      </c>
      <c r="E88" s="191" t="inlineStr">
        <is>
          <t>MEDIUM</t>
        </is>
      </c>
      <c r="F88" s="191" t="n">
        <v>2</v>
      </c>
      <c r="G88" s="191" t="n">
        <v>2</v>
      </c>
      <c r="H88" s="191" t="inlineStr">
        <is>
          <t>MEDIUM</t>
        </is>
      </c>
      <c r="I88" s="191" t="n">
        <v>10.1</v>
      </c>
      <c r="J88" s="191" t="inlineStr">
        <is>
          <t>NO</t>
        </is>
      </c>
      <c r="K88" s="192" t="inlineStr">
        <is>
          <t>https://nvd.nist.gov/vuln/detail/CVE-2025-33135</t>
        </is>
      </c>
      <c r="L88" s="191" t="inlineStr">
        <is>
          <t>2026-02-23 23:48</t>
        </is>
      </c>
      <c r="M88" s="191" t="inlineStr">
        <is>
          <t>CHECK_VENDOR</t>
        </is>
      </c>
      <c r="N88" s="191" t="inlineStr">
        <is>
          <t>See NVD references</t>
        </is>
      </c>
      <c r="O88" s="191" t="inlineStr">
        <is>
          <t>Apply vendor patches</t>
        </is>
      </c>
      <c r="P88" s="191" t="inlineStr">
        <is>
          <t>See CVE details</t>
        </is>
      </c>
      <c r="Q88" s="191" t="inlineStr">
        <is>
          <t>P4</t>
        </is>
      </c>
      <c r="R88" s="191" t="inlineStr">
        <is>
          <t>📅 Schedule patch deployment within 30 days | 🔍 Monitor for exploitation attempts</t>
        </is>
      </c>
      <c r="S88" s="191" t="inlineStr">
        <is>
          <t>CVE - IP enrichment n/a</t>
        </is>
      </c>
      <c r="T88" s="191" t="n">
        <v>0.0007</v>
      </c>
      <c r="U88" s="191" t="n">
        <v>0.2195</v>
      </c>
      <c r="V88" s="191" t="inlineStr">
        <is>
          <t>T1189:Drive-by Compromise | T1552:Unsecured Credentials</t>
        </is>
      </c>
      <c r="W88" s="191" t="n">
        <v>1</v>
      </c>
      <c r="X88" s="191" t="inlineStr">
        <is>
          <t>LOW (40%)</t>
        </is>
      </c>
      <c r="Y88" s="191" t="inlineStr">
        <is>
          <t>UNLIKELY</t>
        </is>
      </c>
      <c r="Z88" s="191" t="inlineStr">
        <is>
          <t>CHECK_VENDOR</t>
        </is>
      </c>
      <c r="AA88" s="192" t="inlineStr">
        <is>
          <t>https://nvd.nist.gov/vuln/detail/CVE-2025-33135</t>
        </is>
      </c>
      <c r="AB88" s="191" t="inlineStr">
        <is>
          <t>NONE</t>
        </is>
      </c>
      <c r="AC88" s="191" t="n">
        <v>0</v>
      </c>
      <c r="AD88" s="191" t="n"/>
    </row>
    <row r="89">
      <c r="A89" s="195" t="inlineStr">
        <is>
          <t>CVE</t>
        </is>
      </c>
      <c r="B89" s="195" t="inlineStr">
        <is>
          <t>CVE-2025-36183</t>
        </is>
      </c>
      <c r="C89" s="195" t="inlineStr">
        <is>
          <t>IBM watsonx.data 2.2 through 2.2.1 IBM Lakehouse could allow a privileged user to upload malicious files that could be executed server to modify limited files or data.</t>
        </is>
      </c>
      <c r="D89" s="195" t="n">
        <v>3.8</v>
      </c>
      <c r="E89" s="195" t="inlineStr">
        <is>
          <t>LOW</t>
        </is>
      </c>
      <c r="F89" s="195" t="n">
        <v>2</v>
      </c>
      <c r="G89" s="195" t="n">
        <v>1</v>
      </c>
      <c r="H89" s="195" t="inlineStr">
        <is>
          <t>LOW</t>
        </is>
      </c>
      <c r="I89" s="195" t="n">
        <v>5.8</v>
      </c>
      <c r="J89" s="195" t="inlineStr">
        <is>
          <t>NO</t>
        </is>
      </c>
      <c r="K89" s="196" t="inlineStr">
        <is>
          <t>https://nvd.nist.gov/vuln/detail/CVE-2025-36183</t>
        </is>
      </c>
      <c r="L89" s="195" t="inlineStr">
        <is>
          <t>2026-02-23 23:48</t>
        </is>
      </c>
      <c r="M89" s="195" t="inlineStr">
        <is>
          <t>YES</t>
        </is>
      </c>
      <c r="N89" s="196" t="inlineStr">
        <is>
          <t>https://www.ibm.com/support/pages/node/7260118</t>
        </is>
      </c>
      <c r="O89" s="195" t="inlineStr">
        <is>
          <t>Apply vendor patches</t>
        </is>
      </c>
      <c r="P89" s="195" t="inlineStr">
        <is>
          <t>ibm watsonx.data *</t>
        </is>
      </c>
      <c r="Q89" s="195" t="inlineStr">
        <is>
          <t>P4</t>
        </is>
      </c>
      <c r="R89" s="195" t="inlineStr">
        <is>
          <t>📅 Schedule patch deployment within 30 days | 🔍 Monitor for exploitation attempts</t>
        </is>
      </c>
      <c r="S89" s="195" t="inlineStr">
        <is>
          <t>CVE - IP enrichment n/a</t>
        </is>
      </c>
      <c r="T89" s="195" t="n">
        <v>0.0003</v>
      </c>
      <c r="U89" s="195" t="n">
        <v>0.0953</v>
      </c>
      <c r="V89" s="195" t="inlineStr">
        <is>
          <t>T1190:Exploit Public-Facing Application</t>
        </is>
      </c>
      <c r="W89" s="195" t="n">
        <v>1</v>
      </c>
      <c r="X89" s="195" t="inlineStr">
        <is>
          <t>LOW (40%)</t>
        </is>
      </c>
      <c r="Y89" s="195" t="inlineStr">
        <is>
          <t>UNLIKELY</t>
        </is>
      </c>
      <c r="Z89" s="195" t="inlineStr">
        <is>
          <t>PATCH_AVAILABLE</t>
        </is>
      </c>
      <c r="AA89" s="196" t="inlineStr">
        <is>
          <t>https://nvd.nist.gov/vuln/detail/CVE-2025-36183</t>
        </is>
      </c>
      <c r="AB89" s="195" t="inlineStr">
        <is>
          <t>NONE</t>
        </is>
      </c>
      <c r="AC89" s="195" t="n">
        <v>0</v>
      </c>
      <c r="AD89" s="195" t="n"/>
    </row>
    <row r="90">
      <c r="A90" s="191" t="inlineStr">
        <is>
          <t>CVE</t>
        </is>
      </c>
      <c r="B90" s="191" t="inlineStr">
        <is>
          <t>CVE-2025-36348</t>
        </is>
      </c>
      <c r="C90" s="191" t="inlineStr">
        <is>
          <t>IBM Sterling B2B Integrator versions 6.1.0.0 through 6.1.2.7_2, 6.2.0.0 through 6.2.0.5, and 6.2.1.0 through 6.2.1.1, and IBM Sterling File Gateway versions 6.1.0.0 through 6.1.2.7_2, 6.2.0.0 through 6.2.0.5, and 6.2.1.0 through 6.2.1.1 may expose sensitive information to a remote privileged attacker due to the application returning detailed technical error messages in the browser.</t>
        </is>
      </c>
      <c r="D90" s="191" t="n">
        <v>4.9</v>
      </c>
      <c r="E90" s="191" t="inlineStr">
        <is>
          <t>MEDIUM</t>
        </is>
      </c>
      <c r="F90" s="191" t="n">
        <v>2</v>
      </c>
      <c r="G90" s="191" t="n">
        <v>2</v>
      </c>
      <c r="H90" s="191" t="inlineStr">
        <is>
          <t>MEDIUM</t>
        </is>
      </c>
      <c r="I90" s="191" t="n">
        <v>8.9</v>
      </c>
      <c r="J90" s="191" t="inlineStr">
        <is>
          <t>NO</t>
        </is>
      </c>
      <c r="K90" s="192" t="inlineStr">
        <is>
          <t>https://nvd.nist.gov/vuln/detail/CVE-2025-36348</t>
        </is>
      </c>
      <c r="L90" s="191" t="inlineStr">
        <is>
          <t>2026-02-23 23:48</t>
        </is>
      </c>
      <c r="M90" s="191" t="inlineStr">
        <is>
          <t>YES</t>
        </is>
      </c>
      <c r="N90" s="192" t="inlineStr">
        <is>
          <t>https://www.ibm.com/support/pages/node/7259769</t>
        </is>
      </c>
      <c r="O90" s="191" t="inlineStr">
        <is>
          <t>Apply vendor patches</t>
        </is>
      </c>
      <c r="P90" s="191" t="inlineStr">
        <is>
          <t>ibm sterling_b2b_integrator *</t>
        </is>
      </c>
      <c r="Q90" s="191" t="inlineStr">
        <is>
          <t>P4</t>
        </is>
      </c>
      <c r="R90" s="191" t="inlineStr">
        <is>
          <t>📅 Schedule patch deployment within 30 days | 🔍 Monitor for exploitation attempts</t>
        </is>
      </c>
      <c r="S90" s="191" t="inlineStr">
        <is>
          <t>CVE - IP enrichment n/a</t>
        </is>
      </c>
      <c r="T90" s="191" t="n">
        <v>0</v>
      </c>
      <c r="U90" s="191" t="n">
        <v>0</v>
      </c>
      <c r="V90" s="191" t="inlineStr">
        <is>
          <t>T1190:Exploit Public-Facing Application</t>
        </is>
      </c>
      <c r="W90" s="191" t="n">
        <v>1</v>
      </c>
      <c r="X90" s="191" t="inlineStr">
        <is>
          <t>LOW (40%)</t>
        </is>
      </c>
      <c r="Y90" s="191" t="inlineStr">
        <is>
          <t>UNLIKELY</t>
        </is>
      </c>
      <c r="Z90" s="191" t="inlineStr">
        <is>
          <t>PATCH_AVAILABLE</t>
        </is>
      </c>
      <c r="AA90" s="192" t="inlineStr">
        <is>
          <t>https://nvd.nist.gov/vuln/detail/CVE-2025-36348</t>
        </is>
      </c>
      <c r="AB90" s="191" t="inlineStr">
        <is>
          <t>NONE</t>
        </is>
      </c>
      <c r="AC90" s="191" t="n">
        <v>0</v>
      </c>
      <c r="AD90" s="191" t="n"/>
    </row>
    <row r="91">
      <c r="A91" s="191" t="inlineStr">
        <is>
          <t>CVE</t>
        </is>
      </c>
      <c r="B91" s="191" t="inlineStr">
        <is>
          <t>CVE-2026-2623</t>
        </is>
      </c>
      <c r="C91" s="191" t="inlineStr">
        <is>
          <t>A flaw has been found in Blossom up to 1.17.1. This issue affects the function put of the file blossom-backend/common/common-iaas/src/main/java/com/blossom/common/iaas/blos/BLOSManager.java of the component File Upload. This manipulation causes path traversal. The attack may be initiated remotely. The exploit has been published and may be used. The vendor was contacted early about this disclosure but did not respond in any way.</t>
        </is>
      </c>
      <c r="D91" s="191" t="n">
        <v>6.3</v>
      </c>
      <c r="E91" s="191" t="inlineStr">
        <is>
          <t>MEDIUM</t>
        </is>
      </c>
      <c r="F91" s="191" t="n">
        <v>2</v>
      </c>
      <c r="G91" s="191" t="n">
        <v>2</v>
      </c>
      <c r="H91" s="191" t="inlineStr">
        <is>
          <t>MEDIUM</t>
        </is>
      </c>
      <c r="I91" s="191" t="n">
        <v>10.3</v>
      </c>
      <c r="J91" s="191" t="inlineStr">
        <is>
          <t>NO</t>
        </is>
      </c>
      <c r="K91" s="192" t="inlineStr">
        <is>
          <t>https://nvd.nist.gov/vuln/detail/CVE-2026-2623</t>
        </is>
      </c>
      <c r="L91" s="191" t="inlineStr">
        <is>
          <t>2026-02-23 23:48</t>
        </is>
      </c>
      <c r="M91" s="191" t="inlineStr">
        <is>
          <t>CHECK_VENDOR</t>
        </is>
      </c>
      <c r="N91" s="191" t="inlineStr">
        <is>
          <t>See NVD references</t>
        </is>
      </c>
      <c r="O91" s="191" t="inlineStr">
        <is>
          <t>Apply vendor patches</t>
        </is>
      </c>
      <c r="P91" s="191" t="inlineStr">
        <is>
          <t>wangyunf blossom *</t>
        </is>
      </c>
      <c r="Q91" s="191" t="inlineStr">
        <is>
          <t>P4</t>
        </is>
      </c>
      <c r="R91" s="191" t="inlineStr">
        <is>
          <t>📅 Schedule patch deployment within 30 days | 🔍 Monitor for exploitation attempts</t>
        </is>
      </c>
      <c r="S91" s="191" t="inlineStr">
        <is>
          <t>CVE - IP enrichment n/a</t>
        </is>
      </c>
      <c r="T91" s="191" t="n">
        <v>0</v>
      </c>
      <c r="U91" s="191" t="n">
        <v>0</v>
      </c>
      <c r="V91" s="191" t="inlineStr">
        <is>
          <t>T1083:File and Directory Discovery</t>
        </is>
      </c>
      <c r="W91" s="191" t="n">
        <v>1</v>
      </c>
      <c r="X91" s="191" t="inlineStr">
        <is>
          <t>LOW (40%)</t>
        </is>
      </c>
      <c r="Y91" s="191" t="inlineStr">
        <is>
          <t>UNLIKELY</t>
        </is>
      </c>
      <c r="Z91" s="191" t="inlineStr">
        <is>
          <t>CHECK_VENDOR</t>
        </is>
      </c>
      <c r="AA91" s="192" t="inlineStr">
        <is>
          <t>https://nvd.nist.gov/vuln/detail/CVE-2026-2623</t>
        </is>
      </c>
      <c r="AB91" s="191" t="inlineStr">
        <is>
          <t>NONE</t>
        </is>
      </c>
      <c r="AC91" s="191" t="n">
        <v>0</v>
      </c>
      <c r="AD91" s="191" t="n"/>
    </row>
    <row r="92">
      <c r="A92" s="189" t="inlineStr">
        <is>
          <t>CVE</t>
        </is>
      </c>
      <c r="B92" s="189" t="inlineStr">
        <is>
          <t>CVE-2026-2627</t>
        </is>
      </c>
      <c r="C92" s="189" t="inlineStr">
        <is>
          <t>A security flaw has been discovered in Softland FBackup up to 9.9. This impacts an unknown function in the library C:\Program Files\Common Files\microsoft shared\ink\HID.dll of the component Backup/Restore. The manipulation results in link following. The attack needs to be approached locally. The exploit has been released to the public and may be used for attacks. The vendor was contacted early about this disclosure but did not respond in any way.</t>
        </is>
      </c>
      <c r="D92" s="189" t="n">
        <v>7.8</v>
      </c>
      <c r="E92" s="189" t="inlineStr">
        <is>
          <t>HIGH</t>
        </is>
      </c>
      <c r="F92" s="189" t="n">
        <v>2</v>
      </c>
      <c r="G92" s="189" t="n">
        <v>3</v>
      </c>
      <c r="H92" s="189" t="inlineStr">
        <is>
          <t>HIGH</t>
        </is>
      </c>
      <c r="I92" s="189" t="n">
        <v>13.8</v>
      </c>
      <c r="J92" s="189" t="inlineStr">
        <is>
          <t>NO</t>
        </is>
      </c>
      <c r="K92" s="190" t="inlineStr">
        <is>
          <t>https://nvd.nist.gov/vuln/detail/CVE-2026-2627</t>
        </is>
      </c>
      <c r="L92" s="189" t="inlineStr">
        <is>
          <t>2026-02-23 23:48</t>
        </is>
      </c>
      <c r="M92" s="189" t="inlineStr">
        <is>
          <t>CHECK_VENDOR</t>
        </is>
      </c>
      <c r="N92" s="189" t="inlineStr">
        <is>
          <t>See NVD references</t>
        </is>
      </c>
      <c r="O92" s="189" t="inlineStr">
        <is>
          <t>Apply vendor patches</t>
        </is>
      </c>
      <c r="P92" s="189" t="inlineStr">
        <is>
          <t>See CVE details</t>
        </is>
      </c>
      <c r="Q92" s="189" t="inlineStr">
        <is>
          <t>P2</t>
        </is>
      </c>
      <c r="R92" s="189" t="inlineStr">
        <is>
          <t>🚨 URGENT: Apply vendor patches immediately | 🔒 Isolate affected systems if patch unavailable | 🛡️ Enable additional monitoring/IDS rules</t>
        </is>
      </c>
      <c r="S92" s="189" t="inlineStr">
        <is>
          <t>CVE - IP enrichment n/a</t>
        </is>
      </c>
      <c r="T92" s="189" t="n">
        <v>0</v>
      </c>
      <c r="U92" s="189" t="n">
        <v>0</v>
      </c>
      <c r="V92" s="189" t="inlineStr">
        <is>
          <t>T1190:Exploit Public-Facing Application</t>
        </is>
      </c>
      <c r="W92" s="189" t="n">
        <v>2</v>
      </c>
      <c r="X92" s="189" t="inlineStr">
        <is>
          <t>HIGH (72%)</t>
        </is>
      </c>
      <c r="Y92" s="189" t="inlineStr">
        <is>
          <t>POSSIBLE</t>
        </is>
      </c>
      <c r="Z92" s="189" t="inlineStr">
        <is>
          <t>CHECK_VENDOR</t>
        </is>
      </c>
      <c r="AA92" s="190" t="inlineStr">
        <is>
          <t>https://nvd.nist.gov/vuln/detail/CVE-2026-2627</t>
        </is>
      </c>
      <c r="AB92" s="189" t="inlineStr">
        <is>
          <t>NONE</t>
        </is>
      </c>
      <c r="AC92" s="189" t="n">
        <v>3.9</v>
      </c>
      <c r="AD92" s="189" t="n"/>
    </row>
    <row r="93">
      <c r="A93" s="189" t="inlineStr">
        <is>
          <t>CVE</t>
        </is>
      </c>
      <c r="B93" s="189" t="inlineStr">
        <is>
          <t>CVE-2026-2629</t>
        </is>
      </c>
      <c r="C93" s="189" t="inlineStr">
        <is>
          <t>A weakness has been identified in jishi node-sonos-http-api up to 3776f0ee2261c924c7b7204de121a38100a08ca7. Affected is the function Promise of the file lib/tts-providers/mac-os.js of the component TTS Provider. This manipulation of the argument phrase causes os command injection. It is possible to initiate the attack remotely. The exploit has been made available to the public and could be used for attacks. This product is using a rolling release to provide continious delivery. Therefore, no ver</t>
        </is>
      </c>
      <c r="D93" s="189" t="n">
        <v>7.3</v>
      </c>
      <c r="E93" s="189" t="inlineStr">
        <is>
          <t>HIGH</t>
        </is>
      </c>
      <c r="F93" s="189" t="n">
        <v>2</v>
      </c>
      <c r="G93" s="189" t="n">
        <v>3</v>
      </c>
      <c r="H93" s="189" t="inlineStr">
        <is>
          <t>HIGH</t>
        </is>
      </c>
      <c r="I93" s="189" t="n">
        <v>13.3</v>
      </c>
      <c r="J93" s="189" t="inlineStr">
        <is>
          <t>NO</t>
        </is>
      </c>
      <c r="K93" s="190" t="inlineStr">
        <is>
          <t>https://nvd.nist.gov/vuln/detail/CVE-2026-2629</t>
        </is>
      </c>
      <c r="L93" s="189" t="inlineStr">
        <is>
          <t>2026-02-23 23:48</t>
        </is>
      </c>
      <c r="M93" s="189" t="inlineStr">
        <is>
          <t>CHECK_VENDOR</t>
        </is>
      </c>
      <c r="N93" s="189" t="inlineStr">
        <is>
          <t>See NVD references</t>
        </is>
      </c>
      <c r="O93" s="189" t="inlineStr">
        <is>
          <t>Apply vendor patches</t>
        </is>
      </c>
      <c r="P93" s="189" t="inlineStr">
        <is>
          <t>See CVE details</t>
        </is>
      </c>
      <c r="Q93" s="189" t="inlineStr">
        <is>
          <t>P3</t>
        </is>
      </c>
      <c r="R93" s="189" t="inlineStr">
        <is>
          <t>🚨 URGENT: Apply vendor patches immediately | 🔒 Isolate affected systems if patch unavailable | 🛡️ Enable additional monitoring/IDS rules</t>
        </is>
      </c>
      <c r="S93" s="189" t="inlineStr">
        <is>
          <t>CVE - IP enrichment n/a</t>
        </is>
      </c>
      <c r="T93" s="189" t="n">
        <v>0</v>
      </c>
      <c r="U93" s="189" t="n">
        <v>0</v>
      </c>
      <c r="V93" s="189" t="inlineStr">
        <is>
          <t>T1059:Command and Scripting Interpreter</t>
        </is>
      </c>
      <c r="W93" s="189" t="n">
        <v>1</v>
      </c>
      <c r="X93" s="189" t="inlineStr">
        <is>
          <t>LOW (40%)</t>
        </is>
      </c>
      <c r="Y93" s="189" t="inlineStr">
        <is>
          <t>UNLIKELY</t>
        </is>
      </c>
      <c r="Z93" s="189" t="inlineStr">
        <is>
          <t>CHECK_VENDOR</t>
        </is>
      </c>
      <c r="AA93" s="190" t="inlineStr">
        <is>
          <t>https://nvd.nist.gov/vuln/detail/CVE-2026-2629</t>
        </is>
      </c>
      <c r="AB93" s="189" t="inlineStr">
        <is>
          <t>NONE</t>
        </is>
      </c>
      <c r="AC93" s="189" t="n">
        <v>0</v>
      </c>
      <c r="AD93" s="189" t="n"/>
    </row>
    <row r="94">
      <c r="A94" s="191" t="inlineStr">
        <is>
          <t>CVE</t>
        </is>
      </c>
      <c r="B94" s="191" t="inlineStr">
        <is>
          <t>CVE-2025-13333</t>
        </is>
      </c>
      <c r="C94" s="191" t="inlineStr">
        <is>
          <t>IBM WebSphere Application Server 9.0, and 8.5 could provide weaker than expected security during system administration of security settings.</t>
        </is>
      </c>
      <c r="D94" s="191" t="n">
        <v>4.4</v>
      </c>
      <c r="E94" s="191" t="inlineStr">
        <is>
          <t>MEDIUM</t>
        </is>
      </c>
      <c r="F94" s="191" t="n">
        <v>2</v>
      </c>
      <c r="G94" s="191" t="n">
        <v>2</v>
      </c>
      <c r="H94" s="191" t="inlineStr">
        <is>
          <t>MEDIUM</t>
        </is>
      </c>
      <c r="I94" s="191" t="n">
        <v>8.4</v>
      </c>
      <c r="J94" s="191" t="inlineStr">
        <is>
          <t>NO</t>
        </is>
      </c>
      <c r="K94" s="192" t="inlineStr">
        <is>
          <t>https://nvd.nist.gov/vuln/detail/CVE-2025-13333</t>
        </is>
      </c>
      <c r="L94" s="191" t="inlineStr">
        <is>
          <t>2026-02-23 23:48</t>
        </is>
      </c>
      <c r="M94" s="191" t="inlineStr">
        <is>
          <t>YES</t>
        </is>
      </c>
      <c r="N94" s="192" t="inlineStr">
        <is>
          <t>https://www.ibm.com/support/pages/node/7260217</t>
        </is>
      </c>
      <c r="O94" s="191" t="inlineStr">
        <is>
          <t>Apply vendor patches</t>
        </is>
      </c>
      <c r="P94" s="191" t="inlineStr">
        <is>
          <t>ibm websphere_application_server 9.0.0.0 | ibm websphere_application_server 8.5.0.0</t>
        </is>
      </c>
      <c r="Q94" s="191" t="inlineStr">
        <is>
          <t>P4</t>
        </is>
      </c>
      <c r="R94" s="191" t="inlineStr">
        <is>
          <t>📅 Schedule patch deployment within 30 days | 🔍 Monitor for exploitation attempts</t>
        </is>
      </c>
      <c r="S94" s="191" t="inlineStr">
        <is>
          <t>CVE - IP enrichment n/a</t>
        </is>
      </c>
      <c r="T94" s="191" t="n">
        <v>0</v>
      </c>
      <c r="U94" s="191" t="n">
        <v>0</v>
      </c>
      <c r="V94" s="191" t="inlineStr">
        <is>
          <t>T1190:Exploit Public-Facing Application</t>
        </is>
      </c>
      <c r="W94" s="191" t="n">
        <v>1</v>
      </c>
      <c r="X94" s="191" t="inlineStr">
        <is>
          <t>LOW (40%)</t>
        </is>
      </c>
      <c r="Y94" s="191" t="inlineStr">
        <is>
          <t>UNLIKELY</t>
        </is>
      </c>
      <c r="Z94" s="191" t="inlineStr">
        <is>
          <t>PATCH_AVAILABLE</t>
        </is>
      </c>
      <c r="AA94" s="192" t="inlineStr">
        <is>
          <t>https://nvd.nist.gov/vuln/detail/CVE-2025-13333</t>
        </is>
      </c>
      <c r="AB94" s="191" t="inlineStr">
        <is>
          <t>NONE</t>
        </is>
      </c>
      <c r="AC94" s="191" t="n">
        <v>0</v>
      </c>
      <c r="AD94" s="191" t="n"/>
    </row>
    <row r="95">
      <c r="A95" s="189" t="inlineStr">
        <is>
          <t>CVE</t>
        </is>
      </c>
      <c r="B95" s="189" t="inlineStr">
        <is>
          <t>CVE-2025-13689</t>
        </is>
      </c>
      <c r="C95" s="189" t="inlineStr">
        <is>
          <t>IBM DataStage on Cloud Pak for Data could allow an authenticated user to execute arbitrary commands and gain access to sensitive information due to unrestricted file uploads.</t>
        </is>
      </c>
      <c r="D95" s="189" t="n">
        <v>8.800000000000001</v>
      </c>
      <c r="E95" s="189" t="inlineStr">
        <is>
          <t>HIGH</t>
        </is>
      </c>
      <c r="F95" s="189" t="n">
        <v>3</v>
      </c>
      <c r="G95" s="189" t="n">
        <v>3</v>
      </c>
      <c r="H95" s="189" t="inlineStr">
        <is>
          <t>CRITICAL</t>
        </is>
      </c>
      <c r="I95" s="189" t="n">
        <v>17.8</v>
      </c>
      <c r="J95" s="189" t="inlineStr">
        <is>
          <t>NO</t>
        </is>
      </c>
      <c r="K95" s="190" t="inlineStr">
        <is>
          <t>https://nvd.nist.gov/vuln/detail/CVE-2025-13689</t>
        </is>
      </c>
      <c r="L95" s="189" t="inlineStr">
        <is>
          <t>2026-02-23 23:48</t>
        </is>
      </c>
      <c r="M95" s="189" t="inlineStr">
        <is>
          <t>YES</t>
        </is>
      </c>
      <c r="N95" s="190" t="inlineStr">
        <is>
          <t>https://www.ibm.com/support/pages/node/7259958</t>
        </is>
      </c>
      <c r="O95" s="189" t="inlineStr">
        <is>
          <t>Apply vendor patches</t>
        </is>
      </c>
      <c r="P95" s="189" t="inlineStr">
        <is>
          <t>ibm datastage_on_cloud_pak_for_data *</t>
        </is>
      </c>
      <c r="Q95" s="189" t="inlineStr">
        <is>
          <t>P2</t>
        </is>
      </c>
      <c r="R95" s="189" t="inlineStr">
        <is>
          <t>🚨 URGENT: Apply vendor patches immediately | 🔒 Isolate affected systems if patch unavailable | 🛡️ Enable additional monitoring/IDS rules</t>
        </is>
      </c>
      <c r="S95" s="189" t="inlineStr">
        <is>
          <t>CVE - IP enrichment n/a</t>
        </is>
      </c>
      <c r="T95" s="189" t="n">
        <v>0.0004</v>
      </c>
      <c r="U95" s="189" t="n">
        <v>0.1207</v>
      </c>
      <c r="V95" s="189" t="inlineStr">
        <is>
          <t>T1190:Exploit Public-Facing Application</t>
        </is>
      </c>
      <c r="W95" s="189" t="n">
        <v>2</v>
      </c>
      <c r="X95" s="189" t="inlineStr">
        <is>
          <t>HIGH (72%)</t>
        </is>
      </c>
      <c r="Y95" s="189" t="inlineStr">
        <is>
          <t>CONFIRMED</t>
        </is>
      </c>
      <c r="Z95" s="189" t="inlineStr">
        <is>
          <t>PATCH_AVAILABLE</t>
        </is>
      </c>
      <c r="AA95" s="190" t="inlineStr">
        <is>
          <t>https://nvd.nist.gov/vuln/detail/CVE-2025-13689</t>
        </is>
      </c>
      <c r="AB95" s="189" t="inlineStr">
        <is>
          <t>NONE</t>
        </is>
      </c>
      <c r="AC95" s="189" t="n">
        <v>4.4</v>
      </c>
      <c r="AD95" s="189" t="n"/>
    </row>
    <row r="96">
      <c r="A96" s="191" t="inlineStr">
        <is>
          <t>CVE</t>
        </is>
      </c>
      <c r="B96" s="191" t="inlineStr">
        <is>
          <t>CVE-2025-62183</t>
        </is>
      </c>
      <c r="C96" s="191" t="inlineStr">
        <is>
          <t>Pega Platform versions 8.1.0 through 25.1.1 are affected by a Stored Cross-site Scripting vulnerability in a user interface component.  Requires an administrative user and given extensive access rights, impact to Confidentiality and Integrity are low.</t>
        </is>
      </c>
      <c r="D96" s="191" t="n">
        <v>5</v>
      </c>
      <c r="E96" s="191" t="inlineStr">
        <is>
          <t>MEDIUM</t>
        </is>
      </c>
      <c r="F96" s="191" t="n">
        <v>2</v>
      </c>
      <c r="G96" s="191" t="n">
        <v>2</v>
      </c>
      <c r="H96" s="191" t="inlineStr">
        <is>
          <t>MEDIUM</t>
        </is>
      </c>
      <c r="I96" s="191" t="n">
        <v>9</v>
      </c>
      <c r="J96" s="191" t="inlineStr">
        <is>
          <t>NO</t>
        </is>
      </c>
      <c r="K96" s="192" t="inlineStr">
        <is>
          <t>https://nvd.nist.gov/vuln/detail/CVE-2025-62183</t>
        </is>
      </c>
      <c r="L96" s="191" t="inlineStr">
        <is>
          <t>2026-02-23 23:48</t>
        </is>
      </c>
      <c r="M96" s="191" t="inlineStr">
        <is>
          <t>CHECK_VENDOR</t>
        </is>
      </c>
      <c r="N96" s="191" t="inlineStr">
        <is>
          <t>See NVD references</t>
        </is>
      </c>
      <c r="O96" s="191" t="inlineStr">
        <is>
          <t>Apply vendor patches</t>
        </is>
      </c>
      <c r="P96" s="191" t="inlineStr">
        <is>
          <t>See CVE details</t>
        </is>
      </c>
      <c r="Q96" s="191" t="inlineStr">
        <is>
          <t>P4</t>
        </is>
      </c>
      <c r="R96" s="191" t="inlineStr">
        <is>
          <t>📅 Schedule patch deployment within 30 days | 🔍 Monitor for exploitation attempts</t>
        </is>
      </c>
      <c r="S96" s="191" t="inlineStr">
        <is>
          <t>CVE - IP enrichment n/a</t>
        </is>
      </c>
      <c r="T96" s="191" t="n">
        <v>0</v>
      </c>
      <c r="U96" s="191" t="n">
        <v>0</v>
      </c>
      <c r="V96" s="191" t="inlineStr">
        <is>
          <t>T1189:Drive-by Compromise</t>
        </is>
      </c>
      <c r="W96" s="191" t="n">
        <v>1</v>
      </c>
      <c r="X96" s="191" t="inlineStr">
        <is>
          <t>LOW (40%)</t>
        </is>
      </c>
      <c r="Y96" s="191" t="inlineStr">
        <is>
          <t>UNLIKELY</t>
        </is>
      </c>
      <c r="Z96" s="191" t="inlineStr">
        <is>
          <t>CHECK_VENDOR</t>
        </is>
      </c>
      <c r="AA96" s="192" t="inlineStr">
        <is>
          <t>https://nvd.nist.gov/vuln/detail/CVE-2025-62183</t>
        </is>
      </c>
      <c r="AB96" s="191" t="inlineStr">
        <is>
          <t>NONE</t>
        </is>
      </c>
      <c r="AC96" s="191" t="n">
        <v>0</v>
      </c>
      <c r="AD96" s="191" t="n"/>
    </row>
    <row r="97">
      <c r="A97" s="193" t="inlineStr">
        <is>
          <t>CVE</t>
        </is>
      </c>
      <c r="B97" s="193" t="inlineStr">
        <is>
          <t>CVE-2026-1670</t>
        </is>
      </c>
      <c r="C97" s="193" t="inlineStr">
        <is>
          <t>The affected products are vulnerable to an unauthenticated API endpoint exposure, which may allow an attacker to remotely change the "forgot password" recovery email address.</t>
        </is>
      </c>
      <c r="D97" s="193" t="n">
        <v>9.800000000000001</v>
      </c>
      <c r="E97" s="193" t="inlineStr">
        <is>
          <t>CRITICAL</t>
        </is>
      </c>
      <c r="F97" s="193" t="n">
        <v>2</v>
      </c>
      <c r="G97" s="193" t="n">
        <v>3</v>
      </c>
      <c r="H97" s="193" t="inlineStr">
        <is>
          <t>HIGH</t>
        </is>
      </c>
      <c r="I97" s="193" t="n">
        <v>15.8</v>
      </c>
      <c r="J97" s="193" t="inlineStr">
        <is>
          <t>NO</t>
        </is>
      </c>
      <c r="K97" s="194" t="inlineStr">
        <is>
          <t>https://nvd.nist.gov/vuln/detail/CVE-2026-1670</t>
        </is>
      </c>
      <c r="L97" s="193" t="inlineStr">
        <is>
          <t>2026-02-23 23:48</t>
        </is>
      </c>
      <c r="M97" s="193" t="inlineStr">
        <is>
          <t>CHECK_VENDOR</t>
        </is>
      </c>
      <c r="N97" s="193" t="inlineStr">
        <is>
          <t>See NVD references</t>
        </is>
      </c>
      <c r="O97" s="193" t="inlineStr">
        <is>
          <t>Apply vendor patches</t>
        </is>
      </c>
      <c r="P97" s="193" t="inlineStr">
        <is>
          <t>See CVE details</t>
        </is>
      </c>
      <c r="Q97" s="193" t="inlineStr">
        <is>
          <t>P3</t>
        </is>
      </c>
      <c r="R97" s="193" t="inlineStr">
        <is>
          <t>🚨 URGENT: Apply vendor patches immediately | 🔒 Isolate affected systems if patch unavailable | 🛡️ Enable additional monitoring/IDS rules</t>
        </is>
      </c>
      <c r="S97" s="193" t="inlineStr">
        <is>
          <t>CVE - IP enrichment n/a</t>
        </is>
      </c>
      <c r="T97" s="193" t="n">
        <v>0.0005</v>
      </c>
      <c r="U97" s="193" t="n">
        <v>0.1604</v>
      </c>
      <c r="V97" s="193" t="inlineStr">
        <is>
          <t>T1078:Valid Accounts</t>
        </is>
      </c>
      <c r="W97" s="193" t="n">
        <v>1</v>
      </c>
      <c r="X97" s="193" t="inlineStr">
        <is>
          <t>LOW (40%)</t>
        </is>
      </c>
      <c r="Y97" s="193" t="inlineStr">
        <is>
          <t>UNLIKELY</t>
        </is>
      </c>
      <c r="Z97" s="193" t="inlineStr">
        <is>
          <t>CHECK_VENDOR</t>
        </is>
      </c>
      <c r="AA97" s="194" t="inlineStr">
        <is>
          <t>https://nvd.nist.gov/vuln/detail/CVE-2026-1670</t>
        </is>
      </c>
      <c r="AB97" s="193" t="inlineStr">
        <is>
          <t>NONE</t>
        </is>
      </c>
      <c r="AC97" s="193" t="n">
        <v>0</v>
      </c>
      <c r="AD97" s="193" t="n"/>
    </row>
    <row r="98">
      <c r="A98" s="189" t="inlineStr">
        <is>
          <t>CVE</t>
        </is>
      </c>
      <c r="B98" s="189" t="inlineStr">
        <is>
          <t>CVE-2026-26119</t>
        </is>
      </c>
      <c r="C98" s="189" t="inlineStr">
        <is>
          <t>Improper authentication in Windows Admin Center allows an authorized attacker to elevate privileges over a network.</t>
        </is>
      </c>
      <c r="D98" s="189" t="n">
        <v>8.800000000000001</v>
      </c>
      <c r="E98" s="189" t="inlineStr">
        <is>
          <t>HIGH</t>
        </is>
      </c>
      <c r="F98" s="189" t="n">
        <v>2</v>
      </c>
      <c r="G98" s="189" t="n">
        <v>3</v>
      </c>
      <c r="H98" s="189" t="inlineStr">
        <is>
          <t>HIGH</t>
        </is>
      </c>
      <c r="I98" s="189" t="n">
        <v>14.8</v>
      </c>
      <c r="J98" s="189" t="inlineStr">
        <is>
          <t>NO</t>
        </is>
      </c>
      <c r="K98" s="190" t="inlineStr">
        <is>
          <t>https://nvd.nist.gov/vuln/detail/CVE-2026-26119</t>
        </is>
      </c>
      <c r="L98" s="189" t="inlineStr">
        <is>
          <t>2026-02-23 23:48</t>
        </is>
      </c>
      <c r="M98" s="189" t="inlineStr">
        <is>
          <t>YES</t>
        </is>
      </c>
      <c r="N98" s="190" t="inlineStr">
        <is>
          <t>https://msrc.microsoft.com/update-guide/vulnerability/CVE-2026-26119</t>
        </is>
      </c>
      <c r="O98" s="189" t="inlineStr">
        <is>
          <t>Apply vendor patches</t>
        </is>
      </c>
      <c r="P98" s="189" t="inlineStr">
        <is>
          <t>microsoft windows_admin_center *</t>
        </is>
      </c>
      <c r="Q98" s="189" t="inlineStr">
        <is>
          <t>P3</t>
        </is>
      </c>
      <c r="R98" s="189" t="inlineStr">
        <is>
          <t>🚨 URGENT: Apply vendor patches immediately | 🔒 Isolate affected systems if patch unavailable | 🛡️ Enable additional monitoring/IDS rules</t>
        </is>
      </c>
      <c r="S98" s="189" t="inlineStr">
        <is>
          <t>CVE - IP enrichment n/a</t>
        </is>
      </c>
      <c r="T98" s="189" t="n">
        <v>0</v>
      </c>
      <c r="U98" s="189" t="n">
        <v>0</v>
      </c>
      <c r="V98" s="189" t="inlineStr">
        <is>
          <t>T1078:Valid Accounts | T1110:Brute Force</t>
        </is>
      </c>
      <c r="W98" s="189" t="n">
        <v>1</v>
      </c>
      <c r="X98" s="189" t="inlineStr">
        <is>
          <t>LOW (40%)</t>
        </is>
      </c>
      <c r="Y98" s="189" t="inlineStr">
        <is>
          <t>UNLIKELY</t>
        </is>
      </c>
      <c r="Z98" s="189" t="inlineStr">
        <is>
          <t>PATCH_AVAILABLE</t>
        </is>
      </c>
      <c r="AA98" s="190" t="inlineStr">
        <is>
          <t>https://nvd.nist.gov/vuln/detail/CVE-2026-26119</t>
        </is>
      </c>
      <c r="AB98" s="189" t="inlineStr">
        <is>
          <t>NONE</t>
        </is>
      </c>
      <c r="AC98" s="189" t="n">
        <v>0</v>
      </c>
      <c r="AD98" s="189" t="n"/>
    </row>
    <row r="99">
      <c r="A99" s="191" t="inlineStr">
        <is>
          <t>CVE</t>
        </is>
      </c>
      <c r="B99" s="191" t="inlineStr">
        <is>
          <t>CVE-2026-2570</t>
        </is>
      </c>
      <c r="C99" s="191" t="inlineStr">
        <is>
          <t>Rejected reason: ** REJECT ** DO NOT USE THIS CANDIDATE NUMBER. Reason: This candidate was issued in error. Notes: All references and descriptions in this candidate have been removed to prevent accidental usage.</t>
        </is>
      </c>
      <c r="D99" s="191" t="n">
        <v>5</v>
      </c>
      <c r="E99" s="191" t="inlineStr">
        <is>
          <t>MEDIUM</t>
        </is>
      </c>
      <c r="F99" s="191" t="n">
        <v>2</v>
      </c>
      <c r="G99" s="191" t="n">
        <v>2</v>
      </c>
      <c r="H99" s="191" t="inlineStr">
        <is>
          <t>MEDIUM</t>
        </is>
      </c>
      <c r="I99" s="191" t="n">
        <v>9</v>
      </c>
      <c r="J99" s="191" t="inlineStr">
        <is>
          <t>NO</t>
        </is>
      </c>
      <c r="K99" s="192" t="inlineStr">
        <is>
          <t>https://nvd.nist.gov/vuln/detail/CVE-2026-2570</t>
        </is>
      </c>
      <c r="L99" s="191" t="inlineStr">
        <is>
          <t>2026-02-23 23:48</t>
        </is>
      </c>
      <c r="M99" s="191" t="inlineStr">
        <is>
          <t>CHECK_VENDOR</t>
        </is>
      </c>
      <c r="N99" s="191" t="inlineStr">
        <is>
          <t>See NVD references</t>
        </is>
      </c>
      <c r="O99" s="191" t="inlineStr">
        <is>
          <t>Apply vendor patches</t>
        </is>
      </c>
      <c r="P99" s="191" t="inlineStr">
        <is>
          <t>See CVE details</t>
        </is>
      </c>
      <c r="Q99" s="191" t="inlineStr">
        <is>
          <t>P4</t>
        </is>
      </c>
      <c r="R99" s="191" t="inlineStr">
        <is>
          <t>📅 Schedule patch deployment within 30 days | 🔍 Monitor for exploitation attempts</t>
        </is>
      </c>
      <c r="S99" s="191" t="inlineStr">
        <is>
          <t>CVE - IP enrichment n/a</t>
        </is>
      </c>
      <c r="T99" s="191" t="n">
        <v>0</v>
      </c>
      <c r="U99" s="191" t="n">
        <v>0</v>
      </c>
      <c r="V99" s="191" t="inlineStr">
        <is>
          <t>T1190:Exploit Public-Facing Application</t>
        </is>
      </c>
      <c r="W99" s="191" t="n">
        <v>1</v>
      </c>
      <c r="X99" s="191" t="inlineStr">
        <is>
          <t>LOW (40%)</t>
        </is>
      </c>
      <c r="Y99" s="191" t="inlineStr">
        <is>
          <t>UNLIKELY</t>
        </is>
      </c>
      <c r="Z99" s="191" t="inlineStr">
        <is>
          <t>CHECK_VENDOR</t>
        </is>
      </c>
      <c r="AA99" s="192" t="inlineStr">
        <is>
          <t>https://nvd.nist.gov/vuln/detail/CVE-2026-2570</t>
        </is>
      </c>
      <c r="AB99" s="191" t="inlineStr">
        <is>
          <t>NONE</t>
        </is>
      </c>
      <c r="AC99" s="191" t="n">
        <v>0</v>
      </c>
      <c r="AD99" s="191" t="n"/>
    </row>
    <row r="100">
      <c r="A100" s="191" t="inlineStr">
        <is>
          <t>CVE</t>
        </is>
      </c>
      <c r="B100" s="191" t="inlineStr">
        <is>
          <t>CVE-2026-1344</t>
        </is>
      </c>
      <c r="C100" s="191" t="inlineStr">
        <is>
          <t>Tanium addressed an insecure file permissions vulnerability in Enforce Recovery Key Portal.</t>
        </is>
      </c>
      <c r="D100" s="191" t="n">
        <v>6.5</v>
      </c>
      <c r="E100" s="191" t="inlineStr">
        <is>
          <t>MEDIUM</t>
        </is>
      </c>
      <c r="F100" s="191" t="n">
        <v>2</v>
      </c>
      <c r="G100" s="191" t="n">
        <v>2</v>
      </c>
      <c r="H100" s="191" t="inlineStr">
        <is>
          <t>MEDIUM</t>
        </is>
      </c>
      <c r="I100" s="191" t="n">
        <v>10.5</v>
      </c>
      <c r="J100" s="191" t="inlineStr">
        <is>
          <t>NO</t>
        </is>
      </c>
      <c r="K100" s="192" t="inlineStr">
        <is>
          <t>https://nvd.nist.gov/vuln/detail/CVE-2026-1344</t>
        </is>
      </c>
      <c r="L100" s="191" t="inlineStr">
        <is>
          <t>2026-02-23 23:48</t>
        </is>
      </c>
      <c r="M100" s="191" t="inlineStr">
        <is>
          <t>CHECK_VENDOR</t>
        </is>
      </c>
      <c r="N100" s="191" t="inlineStr">
        <is>
          <t>See NVD references</t>
        </is>
      </c>
      <c r="O100" s="191" t="inlineStr">
        <is>
          <t>Apply vendor patches</t>
        </is>
      </c>
      <c r="P100" s="191" t="inlineStr">
        <is>
          <t>See CVE details</t>
        </is>
      </c>
      <c r="Q100" s="191" t="inlineStr">
        <is>
          <t>P4</t>
        </is>
      </c>
      <c r="R100" s="191" t="inlineStr">
        <is>
          <t>📅 Schedule patch deployment within 30 days | 🔍 Monitor for exploitation attempts</t>
        </is>
      </c>
      <c r="S100" s="191" t="inlineStr">
        <is>
          <t>CVE - IP enrichment n/a</t>
        </is>
      </c>
      <c r="T100" s="191" t="n">
        <v>0</v>
      </c>
      <c r="U100" s="191" t="n">
        <v>0</v>
      </c>
      <c r="V100" s="191" t="inlineStr">
        <is>
          <t>T1190:Exploit Public-Facing Application</t>
        </is>
      </c>
      <c r="W100" s="191" t="n">
        <v>1</v>
      </c>
      <c r="X100" s="191" t="inlineStr">
        <is>
          <t>LOW (40%)</t>
        </is>
      </c>
      <c r="Y100" s="191" t="inlineStr">
        <is>
          <t>UNLIKELY</t>
        </is>
      </c>
      <c r="Z100" s="191" t="inlineStr">
        <is>
          <t>CHECK_VENDOR</t>
        </is>
      </c>
      <c r="AA100" s="192" t="inlineStr">
        <is>
          <t>https://nvd.nist.gov/vuln/detail/CVE-2026-1344</t>
        </is>
      </c>
      <c r="AB100" s="191" t="inlineStr">
        <is>
          <t>NONE</t>
        </is>
      </c>
      <c r="AC100" s="191" t="n">
        <v>0</v>
      </c>
      <c r="AD100" s="191" t="n"/>
    </row>
    <row r="101">
      <c r="A101" s="189" t="inlineStr">
        <is>
          <t>CVE</t>
        </is>
      </c>
      <c r="B101" s="189" t="inlineStr">
        <is>
          <t>CVE-2026-22048</t>
        </is>
      </c>
      <c r="C101" s="189" t="inlineStr">
        <is>
          <t>StorageGRID (formerly StorageGRID Webscale) versions prior to 11.9.0.12 and 12.0.0.4 with Single Sign-on enabled and configured to use Microsoft Entra ID (formerly Azure AD) as an IdP are susceptible to a Server-Side Request Forgery (SSRF) vulnerability. Successful exploit could allow an authenticated attacker with low privileges to delete configuration data or deny access to some resources.</t>
        </is>
      </c>
      <c r="D101" s="189" t="n">
        <v>7.1</v>
      </c>
      <c r="E101" s="189" t="inlineStr">
        <is>
          <t>HIGH</t>
        </is>
      </c>
      <c r="F101" s="189" t="n">
        <v>2</v>
      </c>
      <c r="G101" s="189" t="n">
        <v>3</v>
      </c>
      <c r="H101" s="189" t="inlineStr">
        <is>
          <t>HIGH</t>
        </is>
      </c>
      <c r="I101" s="189" t="n">
        <v>13.1</v>
      </c>
      <c r="J101" s="189" t="inlineStr">
        <is>
          <t>NO</t>
        </is>
      </c>
      <c r="K101" s="190" t="inlineStr">
        <is>
          <t>https://nvd.nist.gov/vuln/detail/CVE-2026-22048</t>
        </is>
      </c>
      <c r="L101" s="189" t="inlineStr">
        <is>
          <t>2026-02-23 23:48</t>
        </is>
      </c>
      <c r="M101" s="189" t="inlineStr">
        <is>
          <t>CHECK_VENDOR</t>
        </is>
      </c>
      <c r="N101" s="189" t="inlineStr">
        <is>
          <t>See NVD references</t>
        </is>
      </c>
      <c r="O101" s="189" t="inlineStr">
        <is>
          <t>Apply vendor patches</t>
        </is>
      </c>
      <c r="P101" s="189" t="inlineStr">
        <is>
          <t>See CVE details</t>
        </is>
      </c>
      <c r="Q101" s="189" t="inlineStr">
        <is>
          <t>P3</t>
        </is>
      </c>
      <c r="R101" s="189" t="inlineStr">
        <is>
          <t>🚨 URGENT: Apply vendor patches immediately | 🔒 Isolate affected systems if patch unavailable | 🛡️ Enable additional monitoring/IDS rules</t>
        </is>
      </c>
      <c r="S101" s="189" t="inlineStr">
        <is>
          <t>CVE - IP enrichment n/a</t>
        </is>
      </c>
      <c r="T101" s="189" t="n">
        <v>0</v>
      </c>
      <c r="U101" s="189" t="n">
        <v>0</v>
      </c>
      <c r="V101" s="189" t="inlineStr">
        <is>
          <t>T1090:Proxy | T1190:Exploit Public-Facing Application</t>
        </is>
      </c>
      <c r="W101" s="189" t="n">
        <v>1</v>
      </c>
      <c r="X101" s="189" t="inlineStr">
        <is>
          <t>LOW (40%)</t>
        </is>
      </c>
      <c r="Y101" s="189" t="inlineStr">
        <is>
          <t>UNLIKELY</t>
        </is>
      </c>
      <c r="Z101" s="189" t="inlineStr">
        <is>
          <t>CHECK_VENDOR</t>
        </is>
      </c>
      <c r="AA101" s="190" t="inlineStr">
        <is>
          <t>https://nvd.nist.gov/vuln/detail/CVE-2026-22048</t>
        </is>
      </c>
      <c r="AB101" s="189" t="inlineStr">
        <is>
          <t>NONE</t>
        </is>
      </c>
      <c r="AC101" s="189" t="n">
        <v>0</v>
      </c>
      <c r="AD101" s="189" t="n"/>
    </row>
    <row r="102">
      <c r="A102" s="189" t="inlineStr">
        <is>
          <t>CVE</t>
        </is>
      </c>
      <c r="B102" s="189" t="inlineStr">
        <is>
          <t>CVE-2026-23599</t>
        </is>
      </c>
      <c r="C102" s="189" t="inlineStr">
        <is>
          <t>A local privilege-escalation vulnerability has been discovered in the HPE Aruba Networking ClearPass OnGuard Software for Linux. Successful exploitation of this vulnerability could allow a local attacker to achieve arbitrary code execution with root privileges.</t>
        </is>
      </c>
      <c r="D102" s="189" t="n">
        <v>7.8</v>
      </c>
      <c r="E102" s="189" t="inlineStr">
        <is>
          <t>HIGH</t>
        </is>
      </c>
      <c r="F102" s="189" t="n">
        <v>2</v>
      </c>
      <c r="G102" s="189" t="n">
        <v>3</v>
      </c>
      <c r="H102" s="189" t="inlineStr">
        <is>
          <t>HIGH</t>
        </is>
      </c>
      <c r="I102" s="189" t="n">
        <v>13.8</v>
      </c>
      <c r="J102" s="189" t="inlineStr">
        <is>
          <t>NO</t>
        </is>
      </c>
      <c r="K102" s="190" t="inlineStr">
        <is>
          <t>https://nvd.nist.gov/vuln/detail/CVE-2026-23599</t>
        </is>
      </c>
      <c r="L102" s="189" t="inlineStr">
        <is>
          <t>2026-02-23 23:48</t>
        </is>
      </c>
      <c r="M102" s="189" t="inlineStr">
        <is>
          <t>CHECK_VENDOR</t>
        </is>
      </c>
      <c r="N102" s="189" t="inlineStr">
        <is>
          <t>See NVD references</t>
        </is>
      </c>
      <c r="O102" s="189" t="inlineStr">
        <is>
          <t>Apply vendor patches</t>
        </is>
      </c>
      <c r="P102" s="189" t="inlineStr">
        <is>
          <t>See CVE details</t>
        </is>
      </c>
      <c r="Q102" s="189" t="inlineStr">
        <is>
          <t>P3</t>
        </is>
      </c>
      <c r="R102" s="189" t="inlineStr">
        <is>
          <t>🚨 URGENT: Apply vendor patches immediately | 🔒 Isolate affected systems if patch unavailable | 🛡️ Enable additional monitoring/IDS rules</t>
        </is>
      </c>
      <c r="S102" s="189" t="inlineStr">
        <is>
          <t>CVE - IP enrichment n/a</t>
        </is>
      </c>
      <c r="T102" s="189" t="n">
        <v>0.0001</v>
      </c>
      <c r="U102" s="189" t="n">
        <v>0.0193</v>
      </c>
      <c r="V102" s="189" t="inlineStr">
        <is>
          <t>T1203:Exploitation for Client Execution</t>
        </is>
      </c>
      <c r="W102" s="189" t="n">
        <v>1</v>
      </c>
      <c r="X102" s="189" t="inlineStr">
        <is>
          <t>LOW (40%)</t>
        </is>
      </c>
      <c r="Y102" s="189" t="inlineStr">
        <is>
          <t>UNLIKELY</t>
        </is>
      </c>
      <c r="Z102" s="189" t="inlineStr">
        <is>
          <t>CHECK_VENDOR</t>
        </is>
      </c>
      <c r="AA102" s="190" t="inlineStr">
        <is>
          <t>https://nvd.nist.gov/vuln/detail/CVE-2026-23599</t>
        </is>
      </c>
      <c r="AB102" s="189" t="inlineStr">
        <is>
          <t>NONE</t>
        </is>
      </c>
      <c r="AC102" s="189" t="n">
        <v>0</v>
      </c>
      <c r="AD102" s="189" t="n"/>
    </row>
    <row r="103">
      <c r="A103" s="191" t="inlineStr">
        <is>
          <t>CVE</t>
        </is>
      </c>
      <c r="B103" s="191" t="inlineStr">
        <is>
          <t>CVE-2026-27031</t>
        </is>
      </c>
      <c r="C103" s="191" t="inlineStr">
        <is>
          <t>Rejected reason: Not used</t>
        </is>
      </c>
      <c r="D103" s="191" t="n">
        <v>5</v>
      </c>
      <c r="E103" s="191" t="inlineStr">
        <is>
          <t>MEDIUM</t>
        </is>
      </c>
      <c r="F103" s="191" t="n">
        <v>2</v>
      </c>
      <c r="G103" s="191" t="n">
        <v>2</v>
      </c>
      <c r="H103" s="191" t="inlineStr">
        <is>
          <t>MEDIUM</t>
        </is>
      </c>
      <c r="I103" s="191" t="n">
        <v>9</v>
      </c>
      <c r="J103" s="191" t="inlineStr">
        <is>
          <t>NO</t>
        </is>
      </c>
      <c r="K103" s="192" t="inlineStr">
        <is>
          <t>https://nvd.nist.gov/vuln/detail/CVE-2026-27031</t>
        </is>
      </c>
      <c r="L103" s="191" t="inlineStr">
        <is>
          <t>2026-02-23 23:48</t>
        </is>
      </c>
      <c r="M103" s="191" t="inlineStr">
        <is>
          <t>CHECK_VENDOR</t>
        </is>
      </c>
      <c r="N103" s="191" t="inlineStr">
        <is>
          <t>See NVD references</t>
        </is>
      </c>
      <c r="O103" s="191" t="inlineStr">
        <is>
          <t>Apply vendor patches</t>
        </is>
      </c>
      <c r="P103" s="191" t="inlineStr">
        <is>
          <t>See CVE details</t>
        </is>
      </c>
      <c r="Q103" s="191" t="inlineStr">
        <is>
          <t>P4</t>
        </is>
      </c>
      <c r="R103" s="191" t="inlineStr">
        <is>
          <t>📅 Schedule patch deployment within 30 days | 🔍 Monitor for exploitation attempts</t>
        </is>
      </c>
      <c r="S103" s="191" t="inlineStr">
        <is>
          <t>CVE - IP enrichment n/a</t>
        </is>
      </c>
      <c r="T103" s="191" t="n">
        <v>0</v>
      </c>
      <c r="U103" s="191" t="n">
        <v>0</v>
      </c>
      <c r="V103" s="191" t="inlineStr">
        <is>
          <t>T1190:Exploit Public-Facing Application</t>
        </is>
      </c>
      <c r="W103" s="191" t="n">
        <v>1</v>
      </c>
      <c r="X103" s="191" t="inlineStr">
        <is>
          <t>LOW (40%)</t>
        </is>
      </c>
      <c r="Y103" s="191" t="inlineStr">
        <is>
          <t>UNLIKELY</t>
        </is>
      </c>
      <c r="Z103" s="191" t="inlineStr">
        <is>
          <t>CHECK_VENDOR</t>
        </is>
      </c>
      <c r="AA103" s="192" t="inlineStr">
        <is>
          <t>https://nvd.nist.gov/vuln/detail/CVE-2026-27031</t>
        </is>
      </c>
      <c r="AB103" s="191" t="inlineStr">
        <is>
          <t>NONE</t>
        </is>
      </c>
      <c r="AC103" s="191" t="n">
        <v>0</v>
      </c>
      <c r="AD103" s="191" t="n"/>
    </row>
    <row r="104">
      <c r="A104" s="191" t="inlineStr">
        <is>
          <t>CVE</t>
        </is>
      </c>
      <c r="B104" s="191" t="inlineStr">
        <is>
          <t>CVE-2026-27032</t>
        </is>
      </c>
      <c r="C104" s="191" t="inlineStr">
        <is>
          <t>Rejected reason: Not used</t>
        </is>
      </c>
      <c r="D104" s="191" t="n">
        <v>5</v>
      </c>
      <c r="E104" s="191" t="inlineStr">
        <is>
          <t>MEDIUM</t>
        </is>
      </c>
      <c r="F104" s="191" t="n">
        <v>2</v>
      </c>
      <c r="G104" s="191" t="n">
        <v>2</v>
      </c>
      <c r="H104" s="191" t="inlineStr">
        <is>
          <t>MEDIUM</t>
        </is>
      </c>
      <c r="I104" s="191" t="n">
        <v>9</v>
      </c>
      <c r="J104" s="191" t="inlineStr">
        <is>
          <t>NO</t>
        </is>
      </c>
      <c r="K104" s="192" t="inlineStr">
        <is>
          <t>https://nvd.nist.gov/vuln/detail/CVE-2026-27032</t>
        </is>
      </c>
      <c r="L104" s="191" t="inlineStr">
        <is>
          <t>2026-02-23 23:48</t>
        </is>
      </c>
      <c r="M104" s="191" t="inlineStr">
        <is>
          <t>CHECK_VENDOR</t>
        </is>
      </c>
      <c r="N104" s="191" t="inlineStr">
        <is>
          <t>See NVD references</t>
        </is>
      </c>
      <c r="O104" s="191" t="inlineStr">
        <is>
          <t>Apply vendor patches</t>
        </is>
      </c>
      <c r="P104" s="191" t="inlineStr">
        <is>
          <t>See CVE details</t>
        </is>
      </c>
      <c r="Q104" s="191" t="inlineStr">
        <is>
          <t>P4</t>
        </is>
      </c>
      <c r="R104" s="191" t="inlineStr">
        <is>
          <t>📅 Schedule patch deployment within 30 days | 🔍 Monitor for exploitation attempts</t>
        </is>
      </c>
      <c r="S104" s="191" t="inlineStr">
        <is>
          <t>CVE - IP enrichment n/a</t>
        </is>
      </c>
      <c r="T104" s="191" t="n">
        <v>0</v>
      </c>
      <c r="U104" s="191" t="n">
        <v>0</v>
      </c>
      <c r="V104" s="191" t="inlineStr">
        <is>
          <t>T1190:Exploit Public-Facing Application</t>
        </is>
      </c>
      <c r="W104" s="191" t="n">
        <v>1</v>
      </c>
      <c r="X104" s="191" t="inlineStr">
        <is>
          <t>LOW (40%)</t>
        </is>
      </c>
      <c r="Y104" s="191" t="inlineStr">
        <is>
          <t>UNLIKELY</t>
        </is>
      </c>
      <c r="Z104" s="191" t="inlineStr">
        <is>
          <t>CHECK_VENDOR</t>
        </is>
      </c>
      <c r="AA104" s="192" t="inlineStr">
        <is>
          <t>https://nvd.nist.gov/vuln/detail/CVE-2026-27032</t>
        </is>
      </c>
      <c r="AB104" s="191" t="inlineStr">
        <is>
          <t>NONE</t>
        </is>
      </c>
      <c r="AC104" s="191" t="n">
        <v>0</v>
      </c>
      <c r="AD104" s="191" t="n"/>
    </row>
    <row r="105">
      <c r="A105" s="191" t="inlineStr">
        <is>
          <t>CVE</t>
        </is>
      </c>
      <c r="B105" s="191" t="inlineStr">
        <is>
          <t>CVE-2026-27033</t>
        </is>
      </c>
      <c r="C105" s="191" t="inlineStr">
        <is>
          <t>Rejected reason: Not used</t>
        </is>
      </c>
      <c r="D105" s="191" t="n">
        <v>5</v>
      </c>
      <c r="E105" s="191" t="inlineStr">
        <is>
          <t>MEDIUM</t>
        </is>
      </c>
      <c r="F105" s="191" t="n">
        <v>2</v>
      </c>
      <c r="G105" s="191" t="n">
        <v>2</v>
      </c>
      <c r="H105" s="191" t="inlineStr">
        <is>
          <t>MEDIUM</t>
        </is>
      </c>
      <c r="I105" s="191" t="n">
        <v>9</v>
      </c>
      <c r="J105" s="191" t="inlineStr">
        <is>
          <t>NO</t>
        </is>
      </c>
      <c r="K105" s="192" t="inlineStr">
        <is>
          <t>https://nvd.nist.gov/vuln/detail/CVE-2026-27033</t>
        </is>
      </c>
      <c r="L105" s="191" t="inlineStr">
        <is>
          <t>2026-02-23 23:48</t>
        </is>
      </c>
      <c r="M105" s="191" t="inlineStr">
        <is>
          <t>CHECK_VENDOR</t>
        </is>
      </c>
      <c r="N105" s="191" t="inlineStr">
        <is>
          <t>See NVD references</t>
        </is>
      </c>
      <c r="O105" s="191" t="inlineStr">
        <is>
          <t>Apply vendor patches</t>
        </is>
      </c>
      <c r="P105" s="191" t="inlineStr">
        <is>
          <t>See CVE details</t>
        </is>
      </c>
      <c r="Q105" s="191" t="inlineStr">
        <is>
          <t>P4</t>
        </is>
      </c>
      <c r="R105" s="191" t="inlineStr">
        <is>
          <t>📅 Schedule patch deployment within 30 days | 🔍 Monitor for exploitation attempts</t>
        </is>
      </c>
      <c r="S105" s="191" t="inlineStr">
        <is>
          <t>CVE - IP enrichment n/a</t>
        </is>
      </c>
      <c r="T105" s="191" t="n">
        <v>0</v>
      </c>
      <c r="U105" s="191" t="n">
        <v>0</v>
      </c>
      <c r="V105" s="191" t="inlineStr">
        <is>
          <t>T1190:Exploit Public-Facing Application</t>
        </is>
      </c>
      <c r="W105" s="191" t="n">
        <v>1</v>
      </c>
      <c r="X105" s="191" t="inlineStr">
        <is>
          <t>LOW (40%)</t>
        </is>
      </c>
      <c r="Y105" s="191" t="inlineStr">
        <is>
          <t>UNLIKELY</t>
        </is>
      </c>
      <c r="Z105" s="191" t="inlineStr">
        <is>
          <t>CHECK_VENDOR</t>
        </is>
      </c>
      <c r="AA105" s="192" t="inlineStr">
        <is>
          <t>https://nvd.nist.gov/vuln/detail/CVE-2026-27033</t>
        </is>
      </c>
      <c r="AB105" s="191" t="inlineStr">
        <is>
          <t>NONE</t>
        </is>
      </c>
      <c r="AC105" s="191" t="n">
        <v>0</v>
      </c>
      <c r="AD105" s="191" t="n"/>
    </row>
    <row r="106">
      <c r="A106" s="191" t="inlineStr">
        <is>
          <t>CVE</t>
        </is>
      </c>
      <c r="B106" s="191" t="inlineStr">
        <is>
          <t>CVE-2026-27034</t>
        </is>
      </c>
      <c r="C106" s="191" t="inlineStr">
        <is>
          <t>Rejected reason: Not used</t>
        </is>
      </c>
      <c r="D106" s="191" t="n">
        <v>5</v>
      </c>
      <c r="E106" s="191" t="inlineStr">
        <is>
          <t>MEDIUM</t>
        </is>
      </c>
      <c r="F106" s="191" t="n">
        <v>2</v>
      </c>
      <c r="G106" s="191" t="n">
        <v>2</v>
      </c>
      <c r="H106" s="191" t="inlineStr">
        <is>
          <t>MEDIUM</t>
        </is>
      </c>
      <c r="I106" s="191" t="n">
        <v>9</v>
      </c>
      <c r="J106" s="191" t="inlineStr">
        <is>
          <t>NO</t>
        </is>
      </c>
      <c r="K106" s="192" t="inlineStr">
        <is>
          <t>https://nvd.nist.gov/vuln/detail/CVE-2026-27034</t>
        </is>
      </c>
      <c r="L106" s="191" t="inlineStr">
        <is>
          <t>2026-02-23 23:48</t>
        </is>
      </c>
      <c r="M106" s="191" t="inlineStr">
        <is>
          <t>CHECK_VENDOR</t>
        </is>
      </c>
      <c r="N106" s="191" t="inlineStr">
        <is>
          <t>See NVD references</t>
        </is>
      </c>
      <c r="O106" s="191" t="inlineStr">
        <is>
          <t>Apply vendor patches</t>
        </is>
      </c>
      <c r="P106" s="191" t="inlineStr">
        <is>
          <t>See CVE details</t>
        </is>
      </c>
      <c r="Q106" s="191" t="inlineStr">
        <is>
          <t>P4</t>
        </is>
      </c>
      <c r="R106" s="191" t="inlineStr">
        <is>
          <t>📅 Schedule patch deployment within 30 days | 🔍 Monitor for exploitation attempts</t>
        </is>
      </c>
      <c r="S106" s="191" t="inlineStr">
        <is>
          <t>CVE - IP enrichment n/a</t>
        </is>
      </c>
      <c r="T106" s="191" t="n">
        <v>0</v>
      </c>
      <c r="U106" s="191" t="n">
        <v>0</v>
      </c>
      <c r="V106" s="191" t="inlineStr">
        <is>
          <t>T1190:Exploit Public-Facing Application</t>
        </is>
      </c>
      <c r="W106" s="191" t="n">
        <v>1</v>
      </c>
      <c r="X106" s="191" t="inlineStr">
        <is>
          <t>LOW (40%)</t>
        </is>
      </c>
      <c r="Y106" s="191" t="inlineStr">
        <is>
          <t>UNLIKELY</t>
        </is>
      </c>
      <c r="Z106" s="191" t="inlineStr">
        <is>
          <t>CHECK_VENDOR</t>
        </is>
      </c>
      <c r="AA106" s="192" t="inlineStr">
        <is>
          <t>https://nvd.nist.gov/vuln/detail/CVE-2026-27034</t>
        </is>
      </c>
      <c r="AB106" s="191" t="inlineStr">
        <is>
          <t>NONE</t>
        </is>
      </c>
      <c r="AC106" s="191" t="n">
        <v>0</v>
      </c>
      <c r="AD106" s="191" t="n"/>
    </row>
    <row r="107">
      <c r="A107" s="191" t="inlineStr">
        <is>
          <t>CVE</t>
        </is>
      </c>
      <c r="B107" s="191" t="inlineStr">
        <is>
          <t>CVE-2026-27035</t>
        </is>
      </c>
      <c r="C107" s="191" t="inlineStr">
        <is>
          <t>Rejected reason: Not used</t>
        </is>
      </c>
      <c r="D107" s="191" t="n">
        <v>5</v>
      </c>
      <c r="E107" s="191" t="inlineStr">
        <is>
          <t>MEDIUM</t>
        </is>
      </c>
      <c r="F107" s="191" t="n">
        <v>2</v>
      </c>
      <c r="G107" s="191" t="n">
        <v>2</v>
      </c>
      <c r="H107" s="191" t="inlineStr">
        <is>
          <t>MEDIUM</t>
        </is>
      </c>
      <c r="I107" s="191" t="n">
        <v>9</v>
      </c>
      <c r="J107" s="191" t="inlineStr">
        <is>
          <t>NO</t>
        </is>
      </c>
      <c r="K107" s="192" t="inlineStr">
        <is>
          <t>https://nvd.nist.gov/vuln/detail/CVE-2026-27035</t>
        </is>
      </c>
      <c r="L107" s="191" t="inlineStr">
        <is>
          <t>2026-02-23 23:48</t>
        </is>
      </c>
      <c r="M107" s="191" t="inlineStr">
        <is>
          <t>CHECK_VENDOR</t>
        </is>
      </c>
      <c r="N107" s="191" t="inlineStr">
        <is>
          <t>See NVD references</t>
        </is>
      </c>
      <c r="O107" s="191" t="inlineStr">
        <is>
          <t>Apply vendor patches</t>
        </is>
      </c>
      <c r="P107" s="191" t="inlineStr">
        <is>
          <t>See CVE details</t>
        </is>
      </c>
      <c r="Q107" s="191" t="inlineStr">
        <is>
          <t>P4</t>
        </is>
      </c>
      <c r="R107" s="191" t="inlineStr">
        <is>
          <t>📅 Schedule patch deployment within 30 days | 🔍 Monitor for exploitation attempts</t>
        </is>
      </c>
      <c r="S107" s="191" t="inlineStr">
        <is>
          <t>CVE - IP enrichment n/a</t>
        </is>
      </c>
      <c r="T107" s="191" t="n">
        <v>0</v>
      </c>
      <c r="U107" s="191" t="n">
        <v>0</v>
      </c>
      <c r="V107" s="191" t="inlineStr">
        <is>
          <t>T1190:Exploit Public-Facing Application</t>
        </is>
      </c>
      <c r="W107" s="191" t="n">
        <v>1</v>
      </c>
      <c r="X107" s="191" t="inlineStr">
        <is>
          <t>LOW (40%)</t>
        </is>
      </c>
      <c r="Y107" s="191" t="inlineStr">
        <is>
          <t>UNLIKELY</t>
        </is>
      </c>
      <c r="Z107" s="191" t="inlineStr">
        <is>
          <t>CHECK_VENDOR</t>
        </is>
      </c>
      <c r="AA107" s="192" t="inlineStr">
        <is>
          <t>https://nvd.nist.gov/vuln/detail/CVE-2026-27035</t>
        </is>
      </c>
      <c r="AB107" s="191" t="inlineStr">
        <is>
          <t>NONE</t>
        </is>
      </c>
      <c r="AC107" s="191" t="n">
        <v>0</v>
      </c>
      <c r="AD107" s="191" t="n"/>
    </row>
    <row r="108">
      <c r="A108" s="191" t="inlineStr">
        <is>
          <t>CVE</t>
        </is>
      </c>
      <c r="B108" s="191" t="inlineStr">
        <is>
          <t>CVE-2026-27036</t>
        </is>
      </c>
      <c r="C108" s="191" t="inlineStr">
        <is>
          <t>Rejected reason: Not used</t>
        </is>
      </c>
      <c r="D108" s="191" t="n">
        <v>5</v>
      </c>
      <c r="E108" s="191" t="inlineStr">
        <is>
          <t>MEDIUM</t>
        </is>
      </c>
      <c r="F108" s="191" t="n">
        <v>2</v>
      </c>
      <c r="G108" s="191" t="n">
        <v>2</v>
      </c>
      <c r="H108" s="191" t="inlineStr">
        <is>
          <t>MEDIUM</t>
        </is>
      </c>
      <c r="I108" s="191" t="n">
        <v>9</v>
      </c>
      <c r="J108" s="191" t="inlineStr">
        <is>
          <t>NO</t>
        </is>
      </c>
      <c r="K108" s="192" t="inlineStr">
        <is>
          <t>https://nvd.nist.gov/vuln/detail/CVE-2026-27036</t>
        </is>
      </c>
      <c r="L108" s="191" t="inlineStr">
        <is>
          <t>2026-02-23 23:48</t>
        </is>
      </c>
      <c r="M108" s="191" t="inlineStr">
        <is>
          <t>CHECK_VENDOR</t>
        </is>
      </c>
      <c r="N108" s="191" t="inlineStr">
        <is>
          <t>See NVD references</t>
        </is>
      </c>
      <c r="O108" s="191" t="inlineStr">
        <is>
          <t>Apply vendor patches</t>
        </is>
      </c>
      <c r="P108" s="191" t="inlineStr">
        <is>
          <t>See CVE details</t>
        </is>
      </c>
      <c r="Q108" s="191" t="inlineStr">
        <is>
          <t>P4</t>
        </is>
      </c>
      <c r="R108" s="191" t="inlineStr">
        <is>
          <t>📅 Schedule patch deployment within 30 days | 🔍 Monitor for exploitation attempts</t>
        </is>
      </c>
      <c r="S108" s="191" t="inlineStr">
        <is>
          <t>CVE - IP enrichment n/a</t>
        </is>
      </c>
      <c r="T108" s="191" t="n">
        <v>0</v>
      </c>
      <c r="U108" s="191" t="n">
        <v>0</v>
      </c>
      <c r="V108" s="191" t="inlineStr">
        <is>
          <t>T1190:Exploit Public-Facing Application</t>
        </is>
      </c>
      <c r="W108" s="191" t="n">
        <v>1</v>
      </c>
      <c r="X108" s="191" t="inlineStr">
        <is>
          <t>LOW (40%)</t>
        </is>
      </c>
      <c r="Y108" s="191" t="inlineStr">
        <is>
          <t>UNLIKELY</t>
        </is>
      </c>
      <c r="Z108" s="191" t="inlineStr">
        <is>
          <t>CHECK_VENDOR</t>
        </is>
      </c>
      <c r="AA108" s="192" t="inlineStr">
        <is>
          <t>https://nvd.nist.gov/vuln/detail/CVE-2026-27036</t>
        </is>
      </c>
      <c r="AB108" s="191" t="inlineStr">
        <is>
          <t>NONE</t>
        </is>
      </c>
      <c r="AC108" s="191" t="n">
        <v>0</v>
      </c>
      <c r="AD108" s="191" t="n"/>
    </row>
    <row r="109">
      <c r="A109" s="191" t="inlineStr">
        <is>
          <t>CVE</t>
        </is>
      </c>
      <c r="B109" s="191" t="inlineStr">
        <is>
          <t>CVE-2026-27037</t>
        </is>
      </c>
      <c r="C109" s="191" t="inlineStr">
        <is>
          <t>Rejected reason: Not used</t>
        </is>
      </c>
      <c r="D109" s="191" t="n">
        <v>5</v>
      </c>
      <c r="E109" s="191" t="inlineStr">
        <is>
          <t>MEDIUM</t>
        </is>
      </c>
      <c r="F109" s="191" t="n">
        <v>2</v>
      </c>
      <c r="G109" s="191" t="n">
        <v>2</v>
      </c>
      <c r="H109" s="191" t="inlineStr">
        <is>
          <t>MEDIUM</t>
        </is>
      </c>
      <c r="I109" s="191" t="n">
        <v>9</v>
      </c>
      <c r="J109" s="191" t="inlineStr">
        <is>
          <t>NO</t>
        </is>
      </c>
      <c r="K109" s="192" t="inlineStr">
        <is>
          <t>https://nvd.nist.gov/vuln/detail/CVE-2026-27037</t>
        </is>
      </c>
      <c r="L109" s="191" t="inlineStr">
        <is>
          <t>2026-02-23 23:48</t>
        </is>
      </c>
      <c r="M109" s="191" t="inlineStr">
        <is>
          <t>CHECK_VENDOR</t>
        </is>
      </c>
      <c r="N109" s="191" t="inlineStr">
        <is>
          <t>See NVD references</t>
        </is>
      </c>
      <c r="O109" s="191" t="inlineStr">
        <is>
          <t>Apply vendor patches</t>
        </is>
      </c>
      <c r="P109" s="191" t="inlineStr">
        <is>
          <t>See CVE details</t>
        </is>
      </c>
      <c r="Q109" s="191" t="inlineStr">
        <is>
          <t>P4</t>
        </is>
      </c>
      <c r="R109" s="191" t="inlineStr">
        <is>
          <t>📅 Schedule patch deployment within 30 days | 🔍 Monitor for exploitation attempts</t>
        </is>
      </c>
      <c r="S109" s="191" t="inlineStr">
        <is>
          <t>CVE - IP enrichment n/a</t>
        </is>
      </c>
      <c r="T109" s="191" t="n">
        <v>0</v>
      </c>
      <c r="U109" s="191" t="n">
        <v>0</v>
      </c>
      <c r="V109" s="191" t="inlineStr">
        <is>
          <t>T1190:Exploit Public-Facing Application</t>
        </is>
      </c>
      <c r="W109" s="191" t="n">
        <v>1</v>
      </c>
      <c r="X109" s="191" t="inlineStr">
        <is>
          <t>LOW (40%)</t>
        </is>
      </c>
      <c r="Y109" s="191" t="inlineStr">
        <is>
          <t>UNLIKELY</t>
        </is>
      </c>
      <c r="Z109" s="191" t="inlineStr">
        <is>
          <t>CHECK_VENDOR</t>
        </is>
      </c>
      <c r="AA109" s="192" t="inlineStr">
        <is>
          <t>https://nvd.nist.gov/vuln/detail/CVE-2026-27037</t>
        </is>
      </c>
      <c r="AB109" s="191" t="inlineStr">
        <is>
          <t>NONE</t>
        </is>
      </c>
      <c r="AC109" s="191" t="n">
        <v>0</v>
      </c>
      <c r="AD109" s="191" t="n"/>
    </row>
    <row r="110">
      <c r="A110" s="191" t="inlineStr">
        <is>
          <t>CVE</t>
        </is>
      </c>
      <c r="B110" s="191" t="inlineStr">
        <is>
          <t>CVE-2026-27038</t>
        </is>
      </c>
      <c r="C110" s="191" t="inlineStr">
        <is>
          <t>Rejected reason: Not used</t>
        </is>
      </c>
      <c r="D110" s="191" t="n">
        <v>5</v>
      </c>
      <c r="E110" s="191" t="inlineStr">
        <is>
          <t>MEDIUM</t>
        </is>
      </c>
      <c r="F110" s="191" t="n">
        <v>2</v>
      </c>
      <c r="G110" s="191" t="n">
        <v>2</v>
      </c>
      <c r="H110" s="191" t="inlineStr">
        <is>
          <t>MEDIUM</t>
        </is>
      </c>
      <c r="I110" s="191" t="n">
        <v>9</v>
      </c>
      <c r="J110" s="191" t="inlineStr">
        <is>
          <t>NO</t>
        </is>
      </c>
      <c r="K110" s="192" t="inlineStr">
        <is>
          <t>https://nvd.nist.gov/vuln/detail/CVE-2026-27038</t>
        </is>
      </c>
      <c r="L110" s="191" t="inlineStr">
        <is>
          <t>2026-02-23 23:48</t>
        </is>
      </c>
      <c r="M110" s="191" t="inlineStr">
        <is>
          <t>CHECK_VENDOR</t>
        </is>
      </c>
      <c r="N110" s="191" t="inlineStr">
        <is>
          <t>See NVD references</t>
        </is>
      </c>
      <c r="O110" s="191" t="inlineStr">
        <is>
          <t>Apply vendor patches</t>
        </is>
      </c>
      <c r="P110" s="191" t="inlineStr">
        <is>
          <t>See CVE details</t>
        </is>
      </c>
      <c r="Q110" s="191" t="inlineStr">
        <is>
          <t>P4</t>
        </is>
      </c>
      <c r="R110" s="191" t="inlineStr">
        <is>
          <t>📅 Schedule patch deployment within 30 days | 🔍 Monitor for exploitation attempts</t>
        </is>
      </c>
      <c r="S110" s="191" t="inlineStr">
        <is>
          <t>CVE - IP enrichment n/a</t>
        </is>
      </c>
      <c r="T110" s="191" t="n">
        <v>0</v>
      </c>
      <c r="U110" s="191" t="n">
        <v>0</v>
      </c>
      <c r="V110" s="191" t="inlineStr">
        <is>
          <t>T1190:Exploit Public-Facing Application</t>
        </is>
      </c>
      <c r="W110" s="191" t="n">
        <v>1</v>
      </c>
      <c r="X110" s="191" t="inlineStr">
        <is>
          <t>LOW (40%)</t>
        </is>
      </c>
      <c r="Y110" s="191" t="inlineStr">
        <is>
          <t>UNLIKELY</t>
        </is>
      </c>
      <c r="Z110" s="191" t="inlineStr">
        <is>
          <t>CHECK_VENDOR</t>
        </is>
      </c>
      <c r="AA110" s="192" t="inlineStr">
        <is>
          <t>https://nvd.nist.gov/vuln/detail/CVE-2026-27038</t>
        </is>
      </c>
      <c r="AB110" s="191" t="inlineStr">
        <is>
          <t>NONE</t>
        </is>
      </c>
      <c r="AC110" s="191" t="n">
        <v>0</v>
      </c>
      <c r="AD110" s="191" t="n"/>
    </row>
    <row r="111">
      <c r="A111" s="195" t="inlineStr">
        <is>
          <t>CVE</t>
        </is>
      </c>
      <c r="B111" s="195" t="inlineStr">
        <is>
          <t>CVE-2026-27171</t>
        </is>
      </c>
      <c r="C111" s="195" t="inlineStr">
        <is>
          <t>zlib before 1.3.2 allows CPU consumption via crc32_combine64 and crc32_combine_gen64 because x2nmodp can do right shifts within a loop that has no termination condition.</t>
        </is>
      </c>
      <c r="D111" s="195" t="n">
        <v>2.9</v>
      </c>
      <c r="E111" s="195" t="inlineStr">
        <is>
          <t>LOW</t>
        </is>
      </c>
      <c r="F111" s="195" t="n">
        <v>2</v>
      </c>
      <c r="G111" s="195" t="n">
        <v>1</v>
      </c>
      <c r="H111" s="195" t="inlineStr">
        <is>
          <t>LOW</t>
        </is>
      </c>
      <c r="I111" s="195" t="n">
        <v>4.9</v>
      </c>
      <c r="J111" s="195" t="inlineStr">
        <is>
          <t>NO</t>
        </is>
      </c>
      <c r="K111" s="196" t="inlineStr">
        <is>
          <t>https://nvd.nist.gov/vuln/detail/CVE-2026-27171</t>
        </is>
      </c>
      <c r="L111" s="195" t="inlineStr">
        <is>
          <t>2026-02-23 23:48</t>
        </is>
      </c>
      <c r="M111" s="195" t="inlineStr">
        <is>
          <t>CHECK_VENDOR</t>
        </is>
      </c>
      <c r="N111" s="195" t="inlineStr">
        <is>
          <t>See NVD references</t>
        </is>
      </c>
      <c r="O111" s="195" t="inlineStr">
        <is>
          <t>Apply vendor patches</t>
        </is>
      </c>
      <c r="P111" s="195" t="inlineStr">
        <is>
          <t>zlib zlib *</t>
        </is>
      </c>
      <c r="Q111" s="195" t="inlineStr">
        <is>
          <t>P4</t>
        </is>
      </c>
      <c r="R111" s="195" t="inlineStr">
        <is>
          <t>📅 Schedule patch deployment within 30 days | 🔍 Monitor for exploitation attempts</t>
        </is>
      </c>
      <c r="S111" s="195" t="inlineStr">
        <is>
          <t>CVE - IP enrichment n/a</t>
        </is>
      </c>
      <c r="T111" s="195" t="n">
        <v>0</v>
      </c>
      <c r="U111" s="195" t="n">
        <v>0</v>
      </c>
      <c r="V111" s="195" t="inlineStr">
        <is>
          <t>T1190:Exploit Public-Facing Application</t>
        </is>
      </c>
      <c r="W111" s="195" t="n">
        <v>1</v>
      </c>
      <c r="X111" s="195" t="inlineStr">
        <is>
          <t>LOW (40%)</t>
        </is>
      </c>
      <c r="Y111" s="195" t="inlineStr">
        <is>
          <t>UNLIKELY</t>
        </is>
      </c>
      <c r="Z111" s="195" t="inlineStr">
        <is>
          <t>CHECK_VENDOR</t>
        </is>
      </c>
      <c r="AA111" s="196" t="inlineStr">
        <is>
          <t>https://nvd.nist.gov/vuln/detail/CVE-2026-27171</t>
        </is>
      </c>
      <c r="AB111" s="195" t="inlineStr">
        <is>
          <t>NONE</t>
        </is>
      </c>
      <c r="AC111" s="195" t="n">
        <v>0</v>
      </c>
      <c r="AD111" s="195" t="n"/>
    </row>
    <row r="112">
      <c r="A112" s="191" t="inlineStr">
        <is>
          <t>CVE</t>
        </is>
      </c>
      <c r="B112" s="191" t="inlineStr">
        <is>
          <t>CVE-2025-12037</t>
        </is>
      </c>
      <c r="C112" s="191" t="inlineStr">
        <is>
          <t>The WP 404 Auto Redirect to Similar Post plugin for WordPress is vulnerable to Stored Cross-Site Scripting via admin settings in all versions up to, and including, 1.0.5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t>
        </is>
      </c>
      <c r="D112" s="191" t="n">
        <v>4.4</v>
      </c>
      <c r="E112" s="191" t="inlineStr">
        <is>
          <t>MEDIUM</t>
        </is>
      </c>
      <c r="F112" s="191" t="n">
        <v>2</v>
      </c>
      <c r="G112" s="191" t="n">
        <v>2</v>
      </c>
      <c r="H112" s="191" t="inlineStr">
        <is>
          <t>MEDIUM</t>
        </is>
      </c>
      <c r="I112" s="191" t="n">
        <v>8.4</v>
      </c>
      <c r="J112" s="191" t="inlineStr">
        <is>
          <t>NO</t>
        </is>
      </c>
      <c r="K112" s="192" t="inlineStr">
        <is>
          <t>https://nvd.nist.gov/vuln/detail/CVE-2025-12037</t>
        </is>
      </c>
      <c r="L112" s="191" t="inlineStr">
        <is>
          <t>2026-02-23 23:48</t>
        </is>
      </c>
      <c r="M112" s="191" t="inlineStr">
        <is>
          <t>CHECK_VENDOR</t>
        </is>
      </c>
      <c r="N112" s="191" t="inlineStr">
        <is>
          <t>See NVD references</t>
        </is>
      </c>
      <c r="O112" s="191" t="inlineStr">
        <is>
          <t>Apply vendor patches</t>
        </is>
      </c>
      <c r="P112" s="191" t="inlineStr">
        <is>
          <t>See CVE details</t>
        </is>
      </c>
      <c r="Q112" s="191" t="inlineStr">
        <is>
          <t>P4</t>
        </is>
      </c>
      <c r="R112" s="191" t="inlineStr">
        <is>
          <t>📅 Schedule patch deployment within 30 days | 🔍 Monitor for exploitation attempts</t>
        </is>
      </c>
      <c r="S112" s="191" t="inlineStr">
        <is>
          <t>CVE - IP enrichment n/a</t>
        </is>
      </c>
      <c r="T112" s="191" t="n">
        <v>0</v>
      </c>
      <c r="U112" s="191" t="n">
        <v>0</v>
      </c>
      <c r="V112" s="191" t="inlineStr">
        <is>
          <t>T1189:Drive-by Compromise</t>
        </is>
      </c>
      <c r="W112" s="191" t="n">
        <v>1</v>
      </c>
      <c r="X112" s="191" t="inlineStr">
        <is>
          <t>LOW (40%)</t>
        </is>
      </c>
      <c r="Y112" s="191" t="inlineStr">
        <is>
          <t>UNLIKELY</t>
        </is>
      </c>
      <c r="Z112" s="191" t="inlineStr">
        <is>
          <t>CHECK_VENDOR</t>
        </is>
      </c>
      <c r="AA112" s="192" t="inlineStr">
        <is>
          <t>https://nvd.nist.gov/vuln/detail/CVE-2025-12037</t>
        </is>
      </c>
      <c r="AB112" s="191" t="inlineStr">
        <is>
          <t>NONE</t>
        </is>
      </c>
      <c r="AC112" s="191" t="n">
        <v>0</v>
      </c>
      <c r="AD112" s="191" t="n"/>
    </row>
    <row r="113">
      <c r="A113" s="191" t="inlineStr">
        <is>
          <t>CVE</t>
        </is>
      </c>
      <c r="B113" s="191" t="inlineStr">
        <is>
          <t>CVE-2025-12071</t>
        </is>
      </c>
      <c r="C113" s="191" t="inlineStr">
        <is>
          <t>The Frontend User Notes plugin for WordPress is vulnerable to Insecure Direct Object Reference in all versions up to, and including, 2.1.0 via the 'funp_ajax_modify_notes' AJAX endpoint due to missing validation on a user controlled key. This makes it possible for authenticated attackers, with Subscriber-level access and above, to modify arbitrary notes that do not belong to them.</t>
        </is>
      </c>
      <c r="D113" s="191" t="n">
        <v>4.3</v>
      </c>
      <c r="E113" s="191" t="inlineStr">
        <is>
          <t>MEDIUM</t>
        </is>
      </c>
      <c r="F113" s="191" t="n">
        <v>2</v>
      </c>
      <c r="G113" s="191" t="n">
        <v>2</v>
      </c>
      <c r="H113" s="191" t="inlineStr">
        <is>
          <t>MEDIUM</t>
        </is>
      </c>
      <c r="I113" s="191" t="n">
        <v>8.300000000000001</v>
      </c>
      <c r="J113" s="191" t="inlineStr">
        <is>
          <t>NO</t>
        </is>
      </c>
      <c r="K113" s="192" t="inlineStr">
        <is>
          <t>https://nvd.nist.gov/vuln/detail/CVE-2025-12071</t>
        </is>
      </c>
      <c r="L113" s="191" t="inlineStr">
        <is>
          <t>2026-02-23 23:48</t>
        </is>
      </c>
      <c r="M113" s="191" t="inlineStr">
        <is>
          <t>CHECK_VENDOR</t>
        </is>
      </c>
      <c r="N113" s="191" t="inlineStr">
        <is>
          <t>See NVD references</t>
        </is>
      </c>
      <c r="O113" s="191" t="inlineStr">
        <is>
          <t>Apply vendor patches</t>
        </is>
      </c>
      <c r="P113" s="191" t="inlineStr">
        <is>
          <t>See CVE details</t>
        </is>
      </c>
      <c r="Q113" s="191" t="inlineStr">
        <is>
          <t>P4</t>
        </is>
      </c>
      <c r="R113" s="191" t="inlineStr">
        <is>
          <t>📅 Schedule patch deployment within 30 days | 🔍 Monitor for exploitation attempts</t>
        </is>
      </c>
      <c r="S113" s="191" t="inlineStr">
        <is>
          <t>CVE - IP enrichment n/a</t>
        </is>
      </c>
      <c r="T113" s="191" t="n">
        <v>0.0003</v>
      </c>
      <c r="U113" s="191" t="n">
        <v>0.0718</v>
      </c>
      <c r="V113" s="191" t="inlineStr">
        <is>
          <t>T1190:Exploit Public-Facing Application</t>
        </is>
      </c>
      <c r="W113" s="191" t="n">
        <v>1</v>
      </c>
      <c r="X113" s="191" t="inlineStr">
        <is>
          <t>LOW (40%)</t>
        </is>
      </c>
      <c r="Y113" s="191" t="inlineStr">
        <is>
          <t>UNLIKELY</t>
        </is>
      </c>
      <c r="Z113" s="191" t="inlineStr">
        <is>
          <t>CHECK_VENDOR</t>
        </is>
      </c>
      <c r="AA113" s="192" t="inlineStr">
        <is>
          <t>https://nvd.nist.gov/vuln/detail/CVE-2025-12071</t>
        </is>
      </c>
      <c r="AB113" s="191" t="inlineStr">
        <is>
          <t>NONE</t>
        </is>
      </c>
      <c r="AC113" s="191" t="n">
        <v>0</v>
      </c>
      <c r="AD113" s="191" t="n"/>
    </row>
    <row r="114">
      <c r="A114" s="191" t="inlineStr">
        <is>
          <t>CVE</t>
        </is>
      </c>
      <c r="B114" s="191" t="inlineStr">
        <is>
          <t>CVE-2025-12074</t>
        </is>
      </c>
      <c r="C114" s="191" t="inlineStr">
        <is>
          <t>The Context Blog theme for WordPress is vulnerable to Information Exposure in all versions up to, and including, 1.2.5 via the 'context_blog_modal_popup' due to insufficient restrictions on which posts can be included. This makes it possible for unauthenticated attackers to extract data from password protected, private, or draft posts that they should not have access to.</t>
        </is>
      </c>
      <c r="D114" s="191" t="n">
        <v>5.3</v>
      </c>
      <c r="E114" s="191" t="inlineStr">
        <is>
          <t>MEDIUM</t>
        </is>
      </c>
      <c r="F114" s="191" t="n">
        <v>2</v>
      </c>
      <c r="G114" s="191" t="n">
        <v>2</v>
      </c>
      <c r="H114" s="191" t="inlineStr">
        <is>
          <t>MEDIUM</t>
        </is>
      </c>
      <c r="I114" s="191" t="n">
        <v>9.300000000000001</v>
      </c>
      <c r="J114" s="191" t="inlineStr">
        <is>
          <t>NO</t>
        </is>
      </c>
      <c r="K114" s="192" t="inlineStr">
        <is>
          <t>https://nvd.nist.gov/vuln/detail/CVE-2025-12074</t>
        </is>
      </c>
      <c r="L114" s="191" t="inlineStr">
        <is>
          <t>2026-02-23 23:48</t>
        </is>
      </c>
      <c r="M114" s="191" t="inlineStr">
        <is>
          <t>CHECK_VENDOR</t>
        </is>
      </c>
      <c r="N114" s="191" t="inlineStr">
        <is>
          <t>See NVD references</t>
        </is>
      </c>
      <c r="O114" s="191" t="inlineStr">
        <is>
          <t>Apply vendor patches</t>
        </is>
      </c>
      <c r="P114" s="191" t="inlineStr">
        <is>
          <t>See CVE details</t>
        </is>
      </c>
      <c r="Q114" s="191" t="inlineStr">
        <is>
          <t>P4</t>
        </is>
      </c>
      <c r="R114" s="191" t="inlineStr">
        <is>
          <t>📅 Schedule patch deployment within 30 days | 🔍 Monitor for exploitation attempts</t>
        </is>
      </c>
      <c r="S114" s="191" t="inlineStr">
        <is>
          <t>CVE - IP enrichment n/a</t>
        </is>
      </c>
      <c r="T114" s="191" t="n">
        <v>0</v>
      </c>
      <c r="U114" s="191" t="n">
        <v>0</v>
      </c>
      <c r="V114" s="191" t="inlineStr">
        <is>
          <t>T1213:Data from Information Repositories</t>
        </is>
      </c>
      <c r="W114" s="191" t="n">
        <v>1</v>
      </c>
      <c r="X114" s="191" t="inlineStr">
        <is>
          <t>LOW (40%)</t>
        </is>
      </c>
      <c r="Y114" s="191" t="inlineStr">
        <is>
          <t>UNLIKELY</t>
        </is>
      </c>
      <c r="Z114" s="191" t="inlineStr">
        <is>
          <t>CHECK_VENDOR</t>
        </is>
      </c>
      <c r="AA114" s="192" t="inlineStr">
        <is>
          <t>https://nvd.nist.gov/vuln/detail/CVE-2025-12074</t>
        </is>
      </c>
      <c r="AB114" s="191" t="inlineStr">
        <is>
          <t>NONE</t>
        </is>
      </c>
      <c r="AC114" s="191" t="n">
        <v>0</v>
      </c>
      <c r="AD114" s="191" t="n"/>
    </row>
    <row r="115">
      <c r="A115" s="191" t="inlineStr">
        <is>
          <t>CVE</t>
        </is>
      </c>
      <c r="B115" s="191" t="inlineStr">
        <is>
          <t>CVE-2025-12075</t>
        </is>
      </c>
      <c r="C115" s="191" t="inlineStr">
        <is>
          <t>The Order Splitter for WooCommerce plugin for WordPress is vulnerable to unauthorized access of data due to a missing capability check on the 'wos_troubleshooting' AJAX endpoint in all versions up to, and including, 5.3.5. This makes it possible for authenticated attackers, with Subscriber-level access and above, to view information pertaining to other user's orders.</t>
        </is>
      </c>
      <c r="D115" s="191" t="n">
        <v>4.3</v>
      </c>
      <c r="E115" s="191" t="inlineStr">
        <is>
          <t>MEDIUM</t>
        </is>
      </c>
      <c r="F115" s="191" t="n">
        <v>2</v>
      </c>
      <c r="G115" s="191" t="n">
        <v>2</v>
      </c>
      <c r="H115" s="191" t="inlineStr">
        <is>
          <t>MEDIUM</t>
        </is>
      </c>
      <c r="I115" s="191" t="n">
        <v>8.300000000000001</v>
      </c>
      <c r="J115" s="191" t="inlineStr">
        <is>
          <t>NO</t>
        </is>
      </c>
      <c r="K115" s="192" t="inlineStr">
        <is>
          <t>https://nvd.nist.gov/vuln/detail/CVE-2025-12075</t>
        </is>
      </c>
      <c r="L115" s="191" t="inlineStr">
        <is>
          <t>2026-02-23 23:48</t>
        </is>
      </c>
      <c r="M115" s="191" t="inlineStr">
        <is>
          <t>CHECK_VENDOR</t>
        </is>
      </c>
      <c r="N115" s="191" t="inlineStr">
        <is>
          <t>See NVD references</t>
        </is>
      </c>
      <c r="O115" s="191" t="inlineStr">
        <is>
          <t>Apply vendor patches</t>
        </is>
      </c>
      <c r="P115" s="191" t="inlineStr">
        <is>
          <t>See CVE details</t>
        </is>
      </c>
      <c r="Q115" s="191" t="inlineStr">
        <is>
          <t>P4</t>
        </is>
      </c>
      <c r="R115" s="191" t="inlineStr">
        <is>
          <t>📅 Schedule patch deployment within 30 days | 🔍 Monitor for exploitation attempts</t>
        </is>
      </c>
      <c r="S115" s="191" t="inlineStr">
        <is>
          <t>CVE - IP enrichment n/a</t>
        </is>
      </c>
      <c r="T115" s="191" t="n">
        <v>0</v>
      </c>
      <c r="U115" s="191" t="n">
        <v>0</v>
      </c>
      <c r="V115" s="191" t="inlineStr">
        <is>
          <t>T1190:Exploit Public-Facing Application</t>
        </is>
      </c>
      <c r="W115" s="191" t="n">
        <v>1</v>
      </c>
      <c r="X115" s="191" t="inlineStr">
        <is>
          <t>LOW (40%)</t>
        </is>
      </c>
      <c r="Y115" s="191" t="inlineStr">
        <is>
          <t>UNLIKELY</t>
        </is>
      </c>
      <c r="Z115" s="191" t="inlineStr">
        <is>
          <t>CHECK_VENDOR</t>
        </is>
      </c>
      <c r="AA115" s="192" t="inlineStr">
        <is>
          <t>https://nvd.nist.gov/vuln/detail/CVE-2025-12075</t>
        </is>
      </c>
      <c r="AB115" s="191" t="inlineStr">
        <is>
          <t>NONE</t>
        </is>
      </c>
      <c r="AC115" s="191" t="n">
        <v>0</v>
      </c>
      <c r="AD115" s="191" t="n"/>
    </row>
    <row r="116">
      <c r="A116" s="191" t="inlineStr">
        <is>
          <t>CVE</t>
        </is>
      </c>
      <c r="B116" s="191" t="inlineStr">
        <is>
          <t>CVE-2025-13959</t>
        </is>
      </c>
      <c r="C116" s="191" t="inlineStr">
        <is>
          <t>The Filestack plugin for WordPress is vulnerable to Stored Cross-Site Scripting via the plugin's 'filepicker' shortcode in all versions up to, and including, 2.0.8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116" s="191" t="n">
        <v>6.4</v>
      </c>
      <c r="E116" s="191" t="inlineStr">
        <is>
          <t>MEDIUM</t>
        </is>
      </c>
      <c r="F116" s="191" t="n">
        <v>2</v>
      </c>
      <c r="G116" s="191" t="n">
        <v>2</v>
      </c>
      <c r="H116" s="191" t="inlineStr">
        <is>
          <t>MEDIUM</t>
        </is>
      </c>
      <c r="I116" s="191" t="n">
        <v>10.4</v>
      </c>
      <c r="J116" s="191" t="inlineStr">
        <is>
          <t>NO</t>
        </is>
      </c>
      <c r="K116" s="192" t="inlineStr">
        <is>
          <t>https://nvd.nist.gov/vuln/detail/CVE-2025-13959</t>
        </is>
      </c>
      <c r="L116" s="191" t="inlineStr">
        <is>
          <t>2026-02-23 23:48</t>
        </is>
      </c>
      <c r="M116" s="191" t="inlineStr">
        <is>
          <t>CHECK_VENDOR</t>
        </is>
      </c>
      <c r="N116" s="191" t="inlineStr">
        <is>
          <t>See NVD references</t>
        </is>
      </c>
      <c r="O116" s="191" t="inlineStr">
        <is>
          <t>Apply vendor patches</t>
        </is>
      </c>
      <c r="P116" s="191" t="inlineStr">
        <is>
          <t>See CVE details</t>
        </is>
      </c>
      <c r="Q116" s="191" t="inlineStr">
        <is>
          <t>P4</t>
        </is>
      </c>
      <c r="R116" s="191" t="inlineStr">
        <is>
          <t>📅 Schedule patch deployment within 30 days | 🔍 Monitor for exploitation attempts</t>
        </is>
      </c>
      <c r="S116" s="191" t="inlineStr">
        <is>
          <t>CVE - IP enrichment n/a</t>
        </is>
      </c>
      <c r="T116" s="191" t="n">
        <v>0</v>
      </c>
      <c r="U116" s="191" t="n">
        <v>0</v>
      </c>
      <c r="V116" s="191" t="inlineStr">
        <is>
          <t>T1189:Drive-by Compromise</t>
        </is>
      </c>
      <c r="W116" s="191" t="n">
        <v>1</v>
      </c>
      <c r="X116" s="191" t="inlineStr">
        <is>
          <t>LOW (40%)</t>
        </is>
      </c>
      <c r="Y116" s="191" t="inlineStr">
        <is>
          <t>UNLIKELY</t>
        </is>
      </c>
      <c r="Z116" s="191" t="inlineStr">
        <is>
          <t>CHECK_VENDOR</t>
        </is>
      </c>
      <c r="AA116" s="192" t="inlineStr">
        <is>
          <t>https://nvd.nist.gov/vuln/detail/CVE-2025-13959</t>
        </is>
      </c>
      <c r="AB116" s="191" t="inlineStr">
        <is>
          <t>NONE</t>
        </is>
      </c>
      <c r="AC116" s="191" t="n">
        <v>0</v>
      </c>
      <c r="AD116" s="191" t="n"/>
    </row>
    <row r="117">
      <c r="A117" s="191" t="inlineStr">
        <is>
          <t>CVE</t>
        </is>
      </c>
      <c r="B117" s="191" t="inlineStr">
        <is>
          <t>CVE-2025-6460</t>
        </is>
      </c>
      <c r="C117" s="191" t="inlineStr">
        <is>
          <t>The Display During Conditional Shortcode plugin for WordPress is vulnerable to Stored Cross-Site Scripting via the ‘message’ parameter in all versions up to, and including, 1.2 due to insufficient input sanitization and output escaping. This makes it possible for authenticated attackers, with Contributor-level access and above, to inject arbitrary web scripts in pages that will execute whenever a user accesses an injected page.</t>
        </is>
      </c>
      <c r="D117" s="191" t="n">
        <v>6.4</v>
      </c>
      <c r="E117" s="191" t="inlineStr">
        <is>
          <t>MEDIUM</t>
        </is>
      </c>
      <c r="F117" s="191" t="n">
        <v>2</v>
      </c>
      <c r="G117" s="191" t="n">
        <v>2</v>
      </c>
      <c r="H117" s="191" t="inlineStr">
        <is>
          <t>MEDIUM</t>
        </is>
      </c>
      <c r="I117" s="191" t="n">
        <v>10.4</v>
      </c>
      <c r="J117" s="191" t="inlineStr">
        <is>
          <t>NO</t>
        </is>
      </c>
      <c r="K117" s="192" t="inlineStr">
        <is>
          <t>https://nvd.nist.gov/vuln/detail/CVE-2025-6460</t>
        </is>
      </c>
      <c r="L117" s="191" t="inlineStr">
        <is>
          <t>2026-02-23 23:48</t>
        </is>
      </c>
      <c r="M117" s="191" t="inlineStr">
        <is>
          <t>CHECK_VENDOR</t>
        </is>
      </c>
      <c r="N117" s="191" t="inlineStr">
        <is>
          <t>See NVD references</t>
        </is>
      </c>
      <c r="O117" s="191" t="inlineStr">
        <is>
          <t>Apply vendor patches</t>
        </is>
      </c>
      <c r="P117" s="191" t="inlineStr">
        <is>
          <t>See CVE details</t>
        </is>
      </c>
      <c r="Q117" s="191" t="inlineStr">
        <is>
          <t>P4</t>
        </is>
      </c>
      <c r="R117" s="191" t="inlineStr">
        <is>
          <t>📅 Schedule patch deployment within 30 days | 🔍 Monitor for exploitation attempts</t>
        </is>
      </c>
      <c r="S117" s="191" t="inlineStr">
        <is>
          <t>CVE - IP enrichment n/a</t>
        </is>
      </c>
      <c r="T117" s="191" t="n">
        <v>0</v>
      </c>
      <c r="U117" s="191" t="n">
        <v>0</v>
      </c>
      <c r="V117" s="191" t="inlineStr">
        <is>
          <t>T1189:Drive-by Compromise</t>
        </is>
      </c>
      <c r="W117" s="191" t="n">
        <v>1</v>
      </c>
      <c r="X117" s="191" t="inlineStr">
        <is>
          <t>LOW (40%)</t>
        </is>
      </c>
      <c r="Y117" s="191" t="inlineStr">
        <is>
          <t>UNLIKELY</t>
        </is>
      </c>
      <c r="Z117" s="191" t="inlineStr">
        <is>
          <t>CHECK_VENDOR</t>
        </is>
      </c>
      <c r="AA117" s="192" t="inlineStr">
        <is>
          <t>https://nvd.nist.gov/vuln/detail/CVE-2025-6460</t>
        </is>
      </c>
      <c r="AB117" s="191" t="inlineStr">
        <is>
          <t>NONE</t>
        </is>
      </c>
      <c r="AC117" s="191" t="n">
        <v>0</v>
      </c>
      <c r="AD117" s="191" t="n"/>
    </row>
    <row r="118">
      <c r="A118" s="191" t="inlineStr">
        <is>
          <t>CVE</t>
        </is>
      </c>
      <c r="B118" s="191" t="inlineStr">
        <is>
          <t>CVE-2026-1277</t>
        </is>
      </c>
      <c r="C118" s="191" t="inlineStr">
        <is>
          <t>The URL Shortify plugin for WordPress is vulnerable to Open Redirect in all versions up to, and including, 1.12.1 due to insufficient validation on the 'redirect_to' parameter in the promotional dismissal handler. This makes it possible for unauthenticated attackers to redirect users to potentially malicious sites via a crafted link.</t>
        </is>
      </c>
      <c r="D118" s="191" t="n">
        <v>4.7</v>
      </c>
      <c r="E118" s="191" t="inlineStr">
        <is>
          <t>MEDIUM</t>
        </is>
      </c>
      <c r="F118" s="191" t="n">
        <v>2</v>
      </c>
      <c r="G118" s="191" t="n">
        <v>2</v>
      </c>
      <c r="H118" s="191" t="inlineStr">
        <is>
          <t>MEDIUM</t>
        </is>
      </c>
      <c r="I118" s="191" t="n">
        <v>8.699999999999999</v>
      </c>
      <c r="J118" s="191" t="inlineStr">
        <is>
          <t>NO</t>
        </is>
      </c>
      <c r="K118" s="192" t="inlineStr">
        <is>
          <t>https://nvd.nist.gov/vuln/detail/CVE-2026-1277</t>
        </is>
      </c>
      <c r="L118" s="191" t="inlineStr">
        <is>
          <t>2026-02-23 23:48</t>
        </is>
      </c>
      <c r="M118" s="191" t="inlineStr">
        <is>
          <t>CHECK_VENDOR</t>
        </is>
      </c>
      <c r="N118" s="191" t="inlineStr">
        <is>
          <t>See NVD references</t>
        </is>
      </c>
      <c r="O118" s="191" t="inlineStr">
        <is>
          <t>Apply vendor patches</t>
        </is>
      </c>
      <c r="P118" s="191" t="inlineStr">
        <is>
          <t>See CVE details</t>
        </is>
      </c>
      <c r="Q118" s="191" t="inlineStr">
        <is>
          <t>P4</t>
        </is>
      </c>
      <c r="R118" s="191" t="inlineStr">
        <is>
          <t>📅 Schedule patch deployment within 30 days | 🔍 Monitor for exploitation attempts</t>
        </is>
      </c>
      <c r="S118" s="191" t="inlineStr">
        <is>
          <t>CVE - IP enrichment n/a</t>
        </is>
      </c>
      <c r="T118" s="191" t="n">
        <v>0</v>
      </c>
      <c r="U118" s="191" t="n">
        <v>0</v>
      </c>
      <c r="V118" s="191" t="inlineStr">
        <is>
          <t>T1189:Drive-by Compromise</t>
        </is>
      </c>
      <c r="W118" s="191" t="n">
        <v>1</v>
      </c>
      <c r="X118" s="191" t="inlineStr">
        <is>
          <t>LOW (40%)</t>
        </is>
      </c>
      <c r="Y118" s="191" t="inlineStr">
        <is>
          <t>UNLIKELY</t>
        </is>
      </c>
      <c r="Z118" s="191" t="inlineStr">
        <is>
          <t>CHECK_VENDOR</t>
        </is>
      </c>
      <c r="AA118" s="192" t="inlineStr">
        <is>
          <t>https://nvd.nist.gov/vuln/detail/CVE-2026-1277</t>
        </is>
      </c>
      <c r="AB118" s="191" t="inlineStr">
        <is>
          <t>NONE</t>
        </is>
      </c>
      <c r="AC118" s="191" t="n">
        <v>0</v>
      </c>
      <c r="AD118" s="191" t="n"/>
    </row>
    <row r="119">
      <c r="A119" s="191" t="inlineStr">
        <is>
          <t>CVE</t>
        </is>
      </c>
      <c r="B119" s="191" t="inlineStr">
        <is>
          <t>CVE-2026-1296</t>
        </is>
      </c>
      <c r="C119" s="191" t="inlineStr">
        <is>
          <t>The Frontend Post Submission Manager Lite plugin for WordPress is vulnerable to Open Redirection in all versions up to, and including, 1.2.7 due to insufficient validation on the 'requested_page' POST parameter in the verify_username_password function. This makes it possible for unauthenticated attackers to redirect users to potentially malicious sites if they can successfully trick them into performing an action such as clicking on a link.</t>
        </is>
      </c>
      <c r="D119" s="191" t="n">
        <v>6.1</v>
      </c>
      <c r="E119" s="191" t="inlineStr">
        <is>
          <t>MEDIUM</t>
        </is>
      </c>
      <c r="F119" s="191" t="n">
        <v>2</v>
      </c>
      <c r="G119" s="191" t="n">
        <v>2</v>
      </c>
      <c r="H119" s="191" t="inlineStr">
        <is>
          <t>MEDIUM</t>
        </is>
      </c>
      <c r="I119" s="191" t="n">
        <v>10.1</v>
      </c>
      <c r="J119" s="191" t="inlineStr">
        <is>
          <t>NO</t>
        </is>
      </c>
      <c r="K119" s="192" t="inlineStr">
        <is>
          <t>https://nvd.nist.gov/vuln/detail/CVE-2026-1296</t>
        </is>
      </c>
      <c r="L119" s="191" t="inlineStr">
        <is>
          <t>2026-02-23 23:48</t>
        </is>
      </c>
      <c r="M119" s="191" t="inlineStr">
        <is>
          <t>CHECK_VENDOR</t>
        </is>
      </c>
      <c r="N119" s="191" t="inlineStr">
        <is>
          <t>See NVD references</t>
        </is>
      </c>
      <c r="O119" s="191" t="inlineStr">
        <is>
          <t>Apply vendor patches</t>
        </is>
      </c>
      <c r="P119" s="191" t="inlineStr">
        <is>
          <t>See CVE details</t>
        </is>
      </c>
      <c r="Q119" s="191" t="inlineStr">
        <is>
          <t>P4</t>
        </is>
      </c>
      <c r="R119" s="191" t="inlineStr">
        <is>
          <t>📅 Schedule patch deployment within 30 days | 🔍 Monitor for exploitation attempts</t>
        </is>
      </c>
      <c r="S119" s="191" t="inlineStr">
        <is>
          <t>CVE - IP enrichment n/a</t>
        </is>
      </c>
      <c r="T119" s="191" t="n">
        <v>0</v>
      </c>
      <c r="U119" s="191" t="n">
        <v>0</v>
      </c>
      <c r="V119" s="191" t="inlineStr">
        <is>
          <t>T1189:Drive-by Compromise</t>
        </is>
      </c>
      <c r="W119" s="191" t="n">
        <v>1</v>
      </c>
      <c r="X119" s="191" t="inlineStr">
        <is>
          <t>LOW (40%)</t>
        </is>
      </c>
      <c r="Y119" s="191" t="inlineStr">
        <is>
          <t>UNLIKELY</t>
        </is>
      </c>
      <c r="Z119" s="191" t="inlineStr">
        <is>
          <t>CHECK_VENDOR</t>
        </is>
      </c>
      <c r="AA119" s="192" t="inlineStr">
        <is>
          <t>https://nvd.nist.gov/vuln/detail/CVE-2026-1296</t>
        </is>
      </c>
      <c r="AB119" s="191" t="inlineStr">
        <is>
          <t>NONE</t>
        </is>
      </c>
      <c r="AC119" s="191" t="n">
        <v>0</v>
      </c>
      <c r="AD119" s="191" t="n"/>
    </row>
    <row r="120">
      <c r="A120" s="189" t="inlineStr">
        <is>
          <t>CVE</t>
        </is>
      </c>
      <c r="B120" s="189" t="inlineStr">
        <is>
          <t>CVE-2026-1714</t>
        </is>
      </c>
      <c r="C120" s="189" t="inlineStr">
        <is>
          <t xml:space="preserve">The ShopLentor – WooCommerce Builder for Elementor &amp; Gutenberg +21 Modules – All in One Solution plugin for WordPress is vulnerable to Email Relay Abuse in all versions up to, and including, 3.3.2. This is due to the lack of validation on the 'send_to', 'product_title', 'wlmessage', and 'wlemail' parameters in the 'woolentor_suggest_price_action' AJAX endpoint. This makes it possible for unauthenticated attackers to send arbitrary emails to any recipient with full control over the subject line, </t>
        </is>
      </c>
      <c r="D120" s="189" t="n">
        <v>8.6</v>
      </c>
      <c r="E120" s="189" t="inlineStr">
        <is>
          <t>HIGH</t>
        </is>
      </c>
      <c r="F120" s="189" t="n">
        <v>2</v>
      </c>
      <c r="G120" s="189" t="n">
        <v>3</v>
      </c>
      <c r="H120" s="189" t="inlineStr">
        <is>
          <t>HIGH</t>
        </is>
      </c>
      <c r="I120" s="189" t="n">
        <v>14.6</v>
      </c>
      <c r="J120" s="189" t="inlineStr">
        <is>
          <t>NO</t>
        </is>
      </c>
      <c r="K120" s="190" t="inlineStr">
        <is>
          <t>https://nvd.nist.gov/vuln/detail/CVE-2026-1714</t>
        </is>
      </c>
      <c r="L120" s="189" t="inlineStr">
        <is>
          <t>2026-02-23 23:48</t>
        </is>
      </c>
      <c r="M120" s="189" t="inlineStr">
        <is>
          <t>CHECK_VENDOR</t>
        </is>
      </c>
      <c r="N120" s="189" t="inlineStr">
        <is>
          <t>See NVD references</t>
        </is>
      </c>
      <c r="O120" s="189" t="inlineStr">
        <is>
          <t>Apply vendor patches</t>
        </is>
      </c>
      <c r="P120" s="189" t="inlineStr">
        <is>
          <t>See CVE details</t>
        </is>
      </c>
      <c r="Q120" s="189" t="inlineStr">
        <is>
          <t>P3</t>
        </is>
      </c>
      <c r="R120" s="189" t="inlineStr">
        <is>
          <t>🚨 URGENT: Apply vendor patches immediately | 🔒 Isolate affected systems if patch unavailable | 🛡️ Enable additional monitoring/IDS rules</t>
        </is>
      </c>
      <c r="S120" s="189" t="inlineStr">
        <is>
          <t>CVE - IP enrichment n/a</t>
        </is>
      </c>
      <c r="T120" s="189" t="n">
        <v>0</v>
      </c>
      <c r="U120" s="189" t="n">
        <v>0</v>
      </c>
      <c r="V120" s="189" t="inlineStr">
        <is>
          <t>T1190:Exploit Public-Facing Application | T1566:Phishing</t>
        </is>
      </c>
      <c r="W120" s="189" t="n">
        <v>1</v>
      </c>
      <c r="X120" s="189" t="inlineStr">
        <is>
          <t>LOW (40%)</t>
        </is>
      </c>
      <c r="Y120" s="189" t="inlineStr">
        <is>
          <t>UNLIKELY</t>
        </is>
      </c>
      <c r="Z120" s="189" t="inlineStr">
        <is>
          <t>CHECK_VENDOR</t>
        </is>
      </c>
      <c r="AA120" s="190" t="inlineStr">
        <is>
          <t>https://nvd.nist.gov/vuln/detail/CVE-2026-1714</t>
        </is>
      </c>
      <c r="AB120" s="189" t="inlineStr">
        <is>
          <t>NONE</t>
        </is>
      </c>
      <c r="AC120" s="189" t="n">
        <v>0</v>
      </c>
      <c r="AD120" s="189" t="n"/>
    </row>
    <row r="121">
      <c r="A121" s="191" t="inlineStr">
        <is>
          <t>CVE</t>
        </is>
      </c>
      <c r="B121" s="191" t="inlineStr">
        <is>
          <t>CVE-2026-1925</t>
        </is>
      </c>
      <c r="C121" s="191" t="inlineStr">
        <is>
          <t>The EmailKit – Email Customizer for WooCommerce &amp; WP plugin for WordPress is vulnerable to unauthorized data modification due to a missing capability check on the 'update_template_data' function in all versions up to, and including, 1.6.2. This makes it possible for authenticated attackers, with Subscriber-level access and above, to modify the title of any post on the site, including posts, pages, and custom post types.</t>
        </is>
      </c>
      <c r="D121" s="191" t="n">
        <v>4.3</v>
      </c>
      <c r="E121" s="191" t="inlineStr">
        <is>
          <t>MEDIUM</t>
        </is>
      </c>
      <c r="F121" s="191" t="n">
        <v>2</v>
      </c>
      <c r="G121" s="191" t="n">
        <v>2</v>
      </c>
      <c r="H121" s="191" t="inlineStr">
        <is>
          <t>MEDIUM</t>
        </is>
      </c>
      <c r="I121" s="191" t="n">
        <v>8.300000000000001</v>
      </c>
      <c r="J121" s="191" t="inlineStr">
        <is>
          <t>NO</t>
        </is>
      </c>
      <c r="K121" s="192" t="inlineStr">
        <is>
          <t>https://nvd.nist.gov/vuln/detail/CVE-2026-1925</t>
        </is>
      </c>
      <c r="L121" s="191" t="inlineStr">
        <is>
          <t>2026-02-23 23:48</t>
        </is>
      </c>
      <c r="M121" s="191" t="inlineStr">
        <is>
          <t>CHECK_VENDOR</t>
        </is>
      </c>
      <c r="N121" s="191" t="inlineStr">
        <is>
          <t>See NVD references</t>
        </is>
      </c>
      <c r="O121" s="191" t="inlineStr">
        <is>
          <t>Apply vendor patches</t>
        </is>
      </c>
      <c r="P121" s="191" t="inlineStr">
        <is>
          <t>See CVE details</t>
        </is>
      </c>
      <c r="Q121" s="191" t="inlineStr">
        <is>
          <t>P4</t>
        </is>
      </c>
      <c r="R121" s="191" t="inlineStr">
        <is>
          <t>📅 Schedule patch deployment within 30 days | 🔍 Monitor for exploitation attempts</t>
        </is>
      </c>
      <c r="S121" s="191" t="inlineStr">
        <is>
          <t>CVE - IP enrichment n/a</t>
        </is>
      </c>
      <c r="T121" s="191" t="n">
        <v>0.0003</v>
      </c>
      <c r="U121" s="191" t="n">
        <v>0.07240000000000001</v>
      </c>
      <c r="V121" s="191" t="inlineStr">
        <is>
          <t>T1190:Exploit Public-Facing Application</t>
        </is>
      </c>
      <c r="W121" s="191" t="n">
        <v>1</v>
      </c>
      <c r="X121" s="191" t="inlineStr">
        <is>
          <t>LOW (40%)</t>
        </is>
      </c>
      <c r="Y121" s="191" t="inlineStr">
        <is>
          <t>UNLIKELY</t>
        </is>
      </c>
      <c r="Z121" s="191" t="inlineStr">
        <is>
          <t>CHECK_VENDOR</t>
        </is>
      </c>
      <c r="AA121" s="192" t="inlineStr">
        <is>
          <t>https://nvd.nist.gov/vuln/detail/CVE-2026-1925</t>
        </is>
      </c>
      <c r="AB121" s="191" t="inlineStr">
        <is>
          <t>NONE</t>
        </is>
      </c>
      <c r="AC121" s="191" t="n">
        <v>0</v>
      </c>
      <c r="AD121" s="191" t="n"/>
    </row>
    <row r="122">
      <c r="A122" s="189" t="inlineStr">
        <is>
          <t>CVE</t>
        </is>
      </c>
      <c r="B122" s="189" t="inlineStr">
        <is>
          <t>CVE-2026-1931</t>
        </is>
      </c>
      <c r="C122" s="189" t="inlineStr">
        <is>
          <t>The Rent Fetch plugin for WordPress is vulnerable to Stored Cross-Site Scripting via the 'keyword' parameter in all versions up to, and including, 0.32.4 due to insufficient input sanitization and output escaping on user supplied attributes. This makes it possible for unauthenticated attackers to inject arbitrary web scripts in pages that will execute whenever a user accesses an injected page.</t>
        </is>
      </c>
      <c r="D122" s="189" t="n">
        <v>7.2</v>
      </c>
      <c r="E122" s="189" t="inlineStr">
        <is>
          <t>HIGH</t>
        </is>
      </c>
      <c r="F122" s="189" t="n">
        <v>2</v>
      </c>
      <c r="G122" s="189" t="n">
        <v>3</v>
      </c>
      <c r="H122" s="189" t="inlineStr">
        <is>
          <t>HIGH</t>
        </is>
      </c>
      <c r="I122" s="189" t="n">
        <v>13.2</v>
      </c>
      <c r="J122" s="189" t="inlineStr">
        <is>
          <t>NO</t>
        </is>
      </c>
      <c r="K122" s="190" t="inlineStr">
        <is>
          <t>https://nvd.nist.gov/vuln/detail/CVE-2026-1931</t>
        </is>
      </c>
      <c r="L122" s="189" t="inlineStr">
        <is>
          <t>2026-02-23 23:48</t>
        </is>
      </c>
      <c r="M122" s="189" t="inlineStr">
        <is>
          <t>CHECK_VENDOR</t>
        </is>
      </c>
      <c r="N122" s="189" t="inlineStr">
        <is>
          <t>See NVD references</t>
        </is>
      </c>
      <c r="O122" s="189" t="inlineStr">
        <is>
          <t>Apply vendor patches</t>
        </is>
      </c>
      <c r="P122" s="189" t="inlineStr">
        <is>
          <t>See CVE details</t>
        </is>
      </c>
      <c r="Q122" s="189" t="inlineStr">
        <is>
          <t>P3</t>
        </is>
      </c>
      <c r="R122" s="189" t="inlineStr">
        <is>
          <t>🚨 URGENT: Apply vendor patches immediately | 🔒 Isolate affected systems if patch unavailable | 🛡️ Enable additional monitoring/IDS rules</t>
        </is>
      </c>
      <c r="S122" s="189" t="inlineStr">
        <is>
          <t>CVE - IP enrichment n/a</t>
        </is>
      </c>
      <c r="T122" s="189" t="n">
        <v>0.0009</v>
      </c>
      <c r="U122" s="189" t="n">
        <v>0.2619</v>
      </c>
      <c r="V122" s="189" t="inlineStr">
        <is>
          <t>T1189:Drive-by Compromise</t>
        </is>
      </c>
      <c r="W122" s="189" t="n">
        <v>1</v>
      </c>
      <c r="X122" s="189" t="inlineStr">
        <is>
          <t>LOW (40%)</t>
        </is>
      </c>
      <c r="Y122" s="189" t="inlineStr">
        <is>
          <t>UNLIKELY</t>
        </is>
      </c>
      <c r="Z122" s="189" t="inlineStr">
        <is>
          <t>CHECK_VENDOR</t>
        </is>
      </c>
      <c r="AA122" s="190" t="inlineStr">
        <is>
          <t>https://nvd.nist.gov/vuln/detail/CVE-2026-1931</t>
        </is>
      </c>
      <c r="AB122" s="189" t="inlineStr">
        <is>
          <t>NONE</t>
        </is>
      </c>
      <c r="AC122" s="189" t="n">
        <v>0</v>
      </c>
      <c r="AD122" s="189" t="n"/>
    </row>
    <row r="123">
      <c r="A123" s="189" t="inlineStr">
        <is>
          <t>CVE</t>
        </is>
      </c>
      <c r="B123" s="189" t="inlineStr">
        <is>
          <t>CVE-2026-2576</t>
        </is>
      </c>
      <c r="C123" s="189" t="inlineStr">
        <is>
          <t>The Business Directory Plugin – Easy Listing Directories for WordPress plugin for WordPress is vulnerable to time-based SQL Injection via the 'payment' parameter in all versions up to, and including, 6.4.2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t>
        </is>
      </c>
      <c r="D123" s="189" t="n">
        <v>7.5</v>
      </c>
      <c r="E123" s="189" t="inlineStr">
        <is>
          <t>HIGH</t>
        </is>
      </c>
      <c r="F123" s="189" t="n">
        <v>2</v>
      </c>
      <c r="G123" s="189" t="n">
        <v>3</v>
      </c>
      <c r="H123" s="189" t="inlineStr">
        <is>
          <t>HIGH</t>
        </is>
      </c>
      <c r="I123" s="189" t="n">
        <v>13.5</v>
      </c>
      <c r="J123" s="189" t="inlineStr">
        <is>
          <t>NO</t>
        </is>
      </c>
      <c r="K123" s="190" t="inlineStr">
        <is>
          <t>https://nvd.nist.gov/vuln/detail/CVE-2026-2576</t>
        </is>
      </c>
      <c r="L123" s="189" t="inlineStr">
        <is>
          <t>2026-02-23 23:48</t>
        </is>
      </c>
      <c r="M123" s="189" t="inlineStr">
        <is>
          <t>CHECK_VENDOR</t>
        </is>
      </c>
      <c r="N123" s="189" t="inlineStr">
        <is>
          <t>See NVD references</t>
        </is>
      </c>
      <c r="O123" s="189" t="inlineStr">
        <is>
          <t>Apply vendor patches</t>
        </is>
      </c>
      <c r="P123" s="189" t="inlineStr">
        <is>
          <t>See CVE details</t>
        </is>
      </c>
      <c r="Q123" s="189" t="inlineStr">
        <is>
          <t>P3</t>
        </is>
      </c>
      <c r="R123" s="189" t="inlineStr">
        <is>
          <t>🚨 URGENT: Apply vendor patches immediately | 🔒 Isolate affected systems if patch unavailable | 🛡️ Enable additional monitoring/IDS rules</t>
        </is>
      </c>
      <c r="S123" s="189" t="inlineStr">
        <is>
          <t>CVE - IP enrichment n/a</t>
        </is>
      </c>
      <c r="T123" s="189" t="n">
        <v>0</v>
      </c>
      <c r="U123" s="189" t="n">
        <v>0</v>
      </c>
      <c r="V123" s="189" t="inlineStr">
        <is>
          <t>T1190:Exploit Public-Facing Application</t>
        </is>
      </c>
      <c r="W123" s="189" t="n">
        <v>1</v>
      </c>
      <c r="X123" s="189" t="inlineStr">
        <is>
          <t>LOW (40%)</t>
        </is>
      </c>
      <c r="Y123" s="189" t="inlineStr">
        <is>
          <t>UNLIKELY</t>
        </is>
      </c>
      <c r="Z123" s="189" t="inlineStr">
        <is>
          <t>CHECK_VENDOR</t>
        </is>
      </c>
      <c r="AA123" s="190" t="inlineStr">
        <is>
          <t>https://nvd.nist.gov/vuln/detail/CVE-2026-2576</t>
        </is>
      </c>
      <c r="AB123" s="189" t="inlineStr">
        <is>
          <t>NONE</t>
        </is>
      </c>
      <c r="AC123" s="189" t="n">
        <v>0</v>
      </c>
      <c r="AD123" s="189" t="n"/>
    </row>
    <row r="124">
      <c r="A124" s="191" t="inlineStr">
        <is>
          <t>CVE</t>
        </is>
      </c>
      <c r="B124" s="191" t="inlineStr">
        <is>
          <t>CVE-2025-11737</t>
        </is>
      </c>
      <c r="C124" s="191" t="inlineStr">
        <is>
          <t>The VK All in One Expansion Unit plugin for WordPress is vulnerable to Stored Cross-Site Scripting via the 'vkExUnit_sns_title' parameter in all versions up to, and including, 9.112.3 due to insufficient input sanitization and output escaping. This makes it possible for authenticated attackers, with Contributor-level access and above, to inject arbitrary web scripts in pages that will execute whenever a user accesses an injected page.</t>
        </is>
      </c>
      <c r="D124" s="191" t="n">
        <v>6.4</v>
      </c>
      <c r="E124" s="191" t="inlineStr">
        <is>
          <t>MEDIUM</t>
        </is>
      </c>
      <c r="F124" s="191" t="n">
        <v>2</v>
      </c>
      <c r="G124" s="191" t="n">
        <v>2</v>
      </c>
      <c r="H124" s="191" t="inlineStr">
        <is>
          <t>MEDIUM</t>
        </is>
      </c>
      <c r="I124" s="191" t="n">
        <v>10.4</v>
      </c>
      <c r="J124" s="191" t="inlineStr">
        <is>
          <t>NO</t>
        </is>
      </c>
      <c r="K124" s="192" t="inlineStr">
        <is>
          <t>https://nvd.nist.gov/vuln/detail/CVE-2025-11737</t>
        </is>
      </c>
      <c r="L124" s="191" t="inlineStr">
        <is>
          <t>2026-02-23 23:48</t>
        </is>
      </c>
      <c r="M124" s="191" t="inlineStr">
        <is>
          <t>CHECK_VENDOR</t>
        </is>
      </c>
      <c r="N124" s="191" t="inlineStr">
        <is>
          <t>See NVD references</t>
        </is>
      </c>
      <c r="O124" s="191" t="inlineStr">
        <is>
          <t>Apply vendor patches</t>
        </is>
      </c>
      <c r="P124" s="191" t="inlineStr">
        <is>
          <t>See CVE details</t>
        </is>
      </c>
      <c r="Q124" s="191" t="inlineStr">
        <is>
          <t>P4</t>
        </is>
      </c>
      <c r="R124" s="191" t="inlineStr">
        <is>
          <t>📅 Schedule patch deployment within 30 days | 🔍 Monitor for exploitation attempts</t>
        </is>
      </c>
      <c r="S124" s="191" t="inlineStr">
        <is>
          <t>CVE - IP enrichment n/a</t>
        </is>
      </c>
      <c r="T124" s="191" t="n">
        <v>0</v>
      </c>
      <c r="U124" s="191" t="n">
        <v>0</v>
      </c>
      <c r="V124" s="191" t="inlineStr">
        <is>
          <t>T1189:Drive-by Compromise</t>
        </is>
      </c>
      <c r="W124" s="191" t="n">
        <v>1</v>
      </c>
      <c r="X124" s="191" t="inlineStr">
        <is>
          <t>LOW (40%)</t>
        </is>
      </c>
      <c r="Y124" s="191" t="inlineStr">
        <is>
          <t>UNLIKELY</t>
        </is>
      </c>
      <c r="Z124" s="191" t="inlineStr">
        <is>
          <t>CHECK_VENDOR</t>
        </is>
      </c>
      <c r="AA124" s="192" t="inlineStr">
        <is>
          <t>https://nvd.nist.gov/vuln/detail/CVE-2025-11737</t>
        </is>
      </c>
      <c r="AB124" s="191" t="inlineStr">
        <is>
          <t>NONE</t>
        </is>
      </c>
      <c r="AC124" s="191" t="n">
        <v>0</v>
      </c>
      <c r="AD124" s="191" t="n"/>
    </row>
    <row r="125">
      <c r="A125" s="191" t="inlineStr">
        <is>
          <t>CVE</t>
        </is>
      </c>
      <c r="B125" s="191" t="inlineStr">
        <is>
          <t>CVE-2025-12122</t>
        </is>
      </c>
      <c r="C125" s="191" t="inlineStr">
        <is>
          <t>The Popup Box – Easily Create WordPress Popups plugin for WordPress is vulnerable to Stored Cross-Site Scripting via the plugin's 'iframeBox' shortcode in all versions up to, and including, 3.2.12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125" s="191" t="n">
        <v>6.4</v>
      </c>
      <c r="E125" s="191" t="inlineStr">
        <is>
          <t>MEDIUM</t>
        </is>
      </c>
      <c r="F125" s="191" t="n">
        <v>2</v>
      </c>
      <c r="G125" s="191" t="n">
        <v>2</v>
      </c>
      <c r="H125" s="191" t="inlineStr">
        <is>
          <t>MEDIUM</t>
        </is>
      </c>
      <c r="I125" s="191" t="n">
        <v>10.4</v>
      </c>
      <c r="J125" s="191" t="inlineStr">
        <is>
          <t>NO</t>
        </is>
      </c>
      <c r="K125" s="192" t="inlineStr">
        <is>
          <t>https://nvd.nist.gov/vuln/detail/CVE-2025-12122</t>
        </is>
      </c>
      <c r="L125" s="191" t="inlineStr">
        <is>
          <t>2026-02-23 23:48</t>
        </is>
      </c>
      <c r="M125" s="191" t="inlineStr">
        <is>
          <t>CHECK_VENDOR</t>
        </is>
      </c>
      <c r="N125" s="191" t="inlineStr">
        <is>
          <t>See NVD references</t>
        </is>
      </c>
      <c r="O125" s="191" t="inlineStr">
        <is>
          <t>Apply vendor patches</t>
        </is>
      </c>
      <c r="P125" s="191" t="inlineStr">
        <is>
          <t>See CVE details</t>
        </is>
      </c>
      <c r="Q125" s="191" t="inlineStr">
        <is>
          <t>P4</t>
        </is>
      </c>
      <c r="R125" s="191" t="inlineStr">
        <is>
          <t>📅 Schedule patch deployment within 30 days | 🔍 Monitor for exploitation attempts</t>
        </is>
      </c>
      <c r="S125" s="191" t="inlineStr">
        <is>
          <t>CVE - IP enrichment n/a</t>
        </is>
      </c>
      <c r="T125" s="191" t="n">
        <v>0.0003</v>
      </c>
      <c r="U125" s="191" t="n">
        <v>0.08119999999999999</v>
      </c>
      <c r="V125" s="191" t="inlineStr">
        <is>
          <t>T1059:Command and Scripting Interpreter | T1189:Drive-by Compromise</t>
        </is>
      </c>
      <c r="W125" s="191" t="n">
        <v>1</v>
      </c>
      <c r="X125" s="191" t="inlineStr">
        <is>
          <t>LOW (40%)</t>
        </is>
      </c>
      <c r="Y125" s="191" t="inlineStr">
        <is>
          <t>UNLIKELY</t>
        </is>
      </c>
      <c r="Z125" s="191" t="inlineStr">
        <is>
          <t>CHECK_VENDOR</t>
        </is>
      </c>
      <c r="AA125" s="192" t="inlineStr">
        <is>
          <t>https://nvd.nist.gov/vuln/detail/CVE-2025-12122</t>
        </is>
      </c>
      <c r="AB125" s="191" t="inlineStr">
        <is>
          <t>NONE</t>
        </is>
      </c>
      <c r="AC125" s="191" t="n">
        <v>0</v>
      </c>
      <c r="AD125" s="191" t="n"/>
    </row>
    <row r="126">
      <c r="A126" s="191" t="inlineStr">
        <is>
          <t>CVE</t>
        </is>
      </c>
      <c r="B126" s="191" t="inlineStr">
        <is>
          <t>CVE-2025-12356</t>
        </is>
      </c>
      <c r="C126" s="191" t="inlineStr">
        <is>
          <t>The Tickera – Sell Tickets &amp; Manage Events plugin for WordPress is vulnerable to unauthorized modification of data due to a missing capability check on the 'wp_ajax_change_ticket_status' AJAX endpoint in all versions up to, and including, 3.5.6.4. This makes it possible for authenticated attackers, with Subscriber-level access and above, to update post/event statuses.</t>
        </is>
      </c>
      <c r="D126" s="191" t="n">
        <v>4.3</v>
      </c>
      <c r="E126" s="191" t="inlineStr">
        <is>
          <t>MEDIUM</t>
        </is>
      </c>
      <c r="F126" s="191" t="n">
        <v>2</v>
      </c>
      <c r="G126" s="191" t="n">
        <v>2</v>
      </c>
      <c r="H126" s="191" t="inlineStr">
        <is>
          <t>MEDIUM</t>
        </is>
      </c>
      <c r="I126" s="191" t="n">
        <v>8.300000000000001</v>
      </c>
      <c r="J126" s="191" t="inlineStr">
        <is>
          <t>NO</t>
        </is>
      </c>
      <c r="K126" s="192" t="inlineStr">
        <is>
          <t>https://nvd.nist.gov/vuln/detail/CVE-2025-12356</t>
        </is>
      </c>
      <c r="L126" s="191" t="inlineStr">
        <is>
          <t>2026-02-23 23:48</t>
        </is>
      </c>
      <c r="M126" s="191" t="inlineStr">
        <is>
          <t>CHECK_VENDOR</t>
        </is>
      </c>
      <c r="N126" s="191" t="inlineStr">
        <is>
          <t>See NVD references</t>
        </is>
      </c>
      <c r="O126" s="191" t="inlineStr">
        <is>
          <t>Apply vendor patches</t>
        </is>
      </c>
      <c r="P126" s="191" t="inlineStr">
        <is>
          <t>See CVE details</t>
        </is>
      </c>
      <c r="Q126" s="191" t="inlineStr">
        <is>
          <t>P4</t>
        </is>
      </c>
      <c r="R126" s="191" t="inlineStr">
        <is>
          <t>📅 Schedule patch deployment within 30 days | 🔍 Monitor for exploitation attempts</t>
        </is>
      </c>
      <c r="S126" s="191" t="inlineStr">
        <is>
          <t>CVE - IP enrichment n/a</t>
        </is>
      </c>
      <c r="T126" s="191" t="n">
        <v>0</v>
      </c>
      <c r="U126" s="191" t="n">
        <v>0</v>
      </c>
      <c r="V126" s="191" t="inlineStr">
        <is>
          <t>T1190:Exploit Public-Facing Application</t>
        </is>
      </c>
      <c r="W126" s="191" t="n">
        <v>1</v>
      </c>
      <c r="X126" s="191" t="inlineStr">
        <is>
          <t>LOW (40%)</t>
        </is>
      </c>
      <c r="Y126" s="191" t="inlineStr">
        <is>
          <t>UNLIKELY</t>
        </is>
      </c>
      <c r="Z126" s="191" t="inlineStr">
        <is>
          <t>CHECK_VENDOR</t>
        </is>
      </c>
      <c r="AA126" s="192" t="inlineStr">
        <is>
          <t>https://nvd.nist.gov/vuln/detail/CVE-2025-12356</t>
        </is>
      </c>
      <c r="AB126" s="191" t="inlineStr">
        <is>
          <t>NONE</t>
        </is>
      </c>
      <c r="AC126" s="191" t="n">
        <v>0</v>
      </c>
      <c r="AD126" s="191" t="n"/>
    </row>
    <row r="127">
      <c r="A127" s="191" t="inlineStr">
        <is>
          <t>CVE</t>
        </is>
      </c>
      <c r="B127" s="191" t="inlineStr">
        <is>
          <t>CVE-2026-1072</t>
        </is>
      </c>
      <c r="C127" s="191" t="inlineStr">
        <is>
          <t>The Keybase.io Verification plugin for WordPress is vulnerable to Cross-Site Request Forgery in all versions up to, and including, 1.4.5. This is due to missing nonce validation when updating plugin settings. This makes it possible for unauthenticated attackers to update the Keybase verification text via a forged request granted they can trick a site administrator into performing an action such as clicking on a link.</t>
        </is>
      </c>
      <c r="D127" s="191" t="n">
        <v>4.3</v>
      </c>
      <c r="E127" s="191" t="inlineStr">
        <is>
          <t>MEDIUM</t>
        </is>
      </c>
      <c r="F127" s="191" t="n">
        <v>2</v>
      </c>
      <c r="G127" s="191" t="n">
        <v>2</v>
      </c>
      <c r="H127" s="191" t="inlineStr">
        <is>
          <t>MEDIUM</t>
        </is>
      </c>
      <c r="I127" s="191" t="n">
        <v>8.300000000000001</v>
      </c>
      <c r="J127" s="191" t="inlineStr">
        <is>
          <t>NO</t>
        </is>
      </c>
      <c r="K127" s="192" t="inlineStr">
        <is>
          <t>https://nvd.nist.gov/vuln/detail/CVE-2026-1072</t>
        </is>
      </c>
      <c r="L127" s="191" t="inlineStr">
        <is>
          <t>2026-02-23 23:48</t>
        </is>
      </c>
      <c r="M127" s="191" t="inlineStr">
        <is>
          <t>CHECK_VENDOR</t>
        </is>
      </c>
      <c r="N127" s="191" t="inlineStr">
        <is>
          <t>See NVD references</t>
        </is>
      </c>
      <c r="O127" s="191" t="inlineStr">
        <is>
          <t>Apply vendor patches</t>
        </is>
      </c>
      <c r="P127" s="191" t="inlineStr">
        <is>
          <t>See CVE details</t>
        </is>
      </c>
      <c r="Q127" s="191" t="inlineStr">
        <is>
          <t>P4</t>
        </is>
      </c>
      <c r="R127" s="191" t="inlineStr">
        <is>
          <t>📅 Schedule patch deployment within 30 days | 🔍 Monitor for exploitation attempts</t>
        </is>
      </c>
      <c r="S127" s="191" t="inlineStr">
        <is>
          <t>CVE - IP enrichment n/a</t>
        </is>
      </c>
      <c r="T127" s="191" t="n">
        <v>0.0001</v>
      </c>
      <c r="U127" s="191" t="n">
        <v>0.0175</v>
      </c>
      <c r="V127" s="191" t="inlineStr">
        <is>
          <t>T1185:Browser Session Hijacking</t>
        </is>
      </c>
      <c r="W127" s="191" t="n">
        <v>1</v>
      </c>
      <c r="X127" s="191" t="inlineStr">
        <is>
          <t>LOW (40%)</t>
        </is>
      </c>
      <c r="Y127" s="191" t="inlineStr">
        <is>
          <t>UNLIKELY</t>
        </is>
      </c>
      <c r="Z127" s="191" t="inlineStr">
        <is>
          <t>CHECK_VENDOR</t>
        </is>
      </c>
      <c r="AA127" s="192" t="inlineStr">
        <is>
          <t>https://nvd.nist.gov/vuln/detail/CVE-2026-1072</t>
        </is>
      </c>
      <c r="AB127" s="191" t="inlineStr">
        <is>
          <t>NONE</t>
        </is>
      </c>
      <c r="AC127" s="191" t="n">
        <v>0</v>
      </c>
      <c r="AD127" s="191" t="n"/>
    </row>
    <row r="128">
      <c r="A128" s="191" t="inlineStr">
        <is>
          <t>CVE</t>
        </is>
      </c>
      <c r="B128" s="191" t="inlineStr">
        <is>
          <t>CVE-2026-1304</t>
        </is>
      </c>
      <c r="C128" s="191" t="inlineStr">
        <is>
          <t>The Membership Plugin – Restrict Content for WordPress is vulnerable to Stored Cross-Site Scripting via multiple invoice settings fields in all versions up to, and including, 3.2.18 due to insufficient input sanitization and output escaping. This makes it possible for authenticated attackers, with administrator-level access and above, to inject arbitrary web scripts in pages that will execute whenever a user accesses an injected page.</t>
        </is>
      </c>
      <c r="D128" s="191" t="n">
        <v>4.4</v>
      </c>
      <c r="E128" s="191" t="inlineStr">
        <is>
          <t>MEDIUM</t>
        </is>
      </c>
      <c r="F128" s="191" t="n">
        <v>2</v>
      </c>
      <c r="G128" s="191" t="n">
        <v>2</v>
      </c>
      <c r="H128" s="191" t="inlineStr">
        <is>
          <t>MEDIUM</t>
        </is>
      </c>
      <c r="I128" s="191" t="n">
        <v>8.4</v>
      </c>
      <c r="J128" s="191" t="inlineStr">
        <is>
          <t>NO</t>
        </is>
      </c>
      <c r="K128" s="192" t="inlineStr">
        <is>
          <t>https://nvd.nist.gov/vuln/detail/CVE-2026-1304</t>
        </is>
      </c>
      <c r="L128" s="191" t="inlineStr">
        <is>
          <t>2026-02-23 23:48</t>
        </is>
      </c>
      <c r="M128" s="191" t="inlineStr">
        <is>
          <t>CHECK_VENDOR</t>
        </is>
      </c>
      <c r="N128" s="191" t="inlineStr">
        <is>
          <t>See NVD references</t>
        </is>
      </c>
      <c r="O128" s="191" t="inlineStr">
        <is>
          <t>Apply vendor patches</t>
        </is>
      </c>
      <c r="P128" s="191" t="inlineStr">
        <is>
          <t>See CVE details</t>
        </is>
      </c>
      <c r="Q128" s="191" t="inlineStr">
        <is>
          <t>P4</t>
        </is>
      </c>
      <c r="R128" s="191" t="inlineStr">
        <is>
          <t>📅 Schedule patch deployment within 30 days | 🔍 Monitor for exploitation attempts</t>
        </is>
      </c>
      <c r="S128" s="191" t="inlineStr">
        <is>
          <t>CVE - IP enrichment n/a</t>
        </is>
      </c>
      <c r="T128" s="191" t="n">
        <v>0</v>
      </c>
      <c r="U128" s="191" t="n">
        <v>0</v>
      </c>
      <c r="V128" s="191" t="inlineStr">
        <is>
          <t>T1189:Drive-by Compromise</t>
        </is>
      </c>
      <c r="W128" s="191" t="n">
        <v>1</v>
      </c>
      <c r="X128" s="191" t="inlineStr">
        <is>
          <t>LOW (40%)</t>
        </is>
      </c>
      <c r="Y128" s="191" t="inlineStr">
        <is>
          <t>UNLIKELY</t>
        </is>
      </c>
      <c r="Z128" s="191" t="inlineStr">
        <is>
          <t>CHECK_VENDOR</t>
        </is>
      </c>
      <c r="AA128" s="192" t="inlineStr">
        <is>
          <t>https://nvd.nist.gov/vuln/detail/CVE-2026-1304</t>
        </is>
      </c>
      <c r="AB128" s="191" t="inlineStr">
        <is>
          <t>NONE</t>
        </is>
      </c>
      <c r="AC128" s="191" t="n">
        <v>0</v>
      </c>
      <c r="AD128" s="191" t="n"/>
    </row>
    <row r="129">
      <c r="A129" s="189" t="inlineStr">
        <is>
          <t>CVE</t>
        </is>
      </c>
      <c r="B129" s="189" t="inlineStr">
        <is>
          <t>CVE-2026-1368</t>
        </is>
      </c>
      <c r="C129" s="189" t="inlineStr">
        <is>
          <t>The Video Conferencing with Zoom WordPress plugin before 4.6.6 contains an AJAX handler that has its nonce verification commented out, allowing unauthenticated attackers to generate valid Zoom SDK signatures for any meeting ID and retrieve the site's Zoom SDK key.</t>
        </is>
      </c>
      <c r="D129" s="189" t="n">
        <v>7.5</v>
      </c>
      <c r="E129" s="189" t="inlineStr">
        <is>
          <t>HIGH</t>
        </is>
      </c>
      <c r="F129" s="189" t="n">
        <v>2</v>
      </c>
      <c r="G129" s="189" t="n">
        <v>3</v>
      </c>
      <c r="H129" s="189" t="inlineStr">
        <is>
          <t>HIGH</t>
        </is>
      </c>
      <c r="I129" s="189" t="n">
        <v>13.5</v>
      </c>
      <c r="J129" s="189" t="inlineStr">
        <is>
          <t>NO</t>
        </is>
      </c>
      <c r="K129" s="190" t="inlineStr">
        <is>
          <t>https://nvd.nist.gov/vuln/detail/CVE-2026-1368</t>
        </is>
      </c>
      <c r="L129" s="189" t="inlineStr">
        <is>
          <t>2026-02-23 23:48</t>
        </is>
      </c>
      <c r="M129" s="189" t="inlineStr">
        <is>
          <t>CHECK_VENDOR</t>
        </is>
      </c>
      <c r="N129" s="189" t="inlineStr">
        <is>
          <t>See NVD references</t>
        </is>
      </c>
      <c r="O129" s="189" t="inlineStr">
        <is>
          <t>Apply vendor patches</t>
        </is>
      </c>
      <c r="P129" s="189" t="inlineStr">
        <is>
          <t>See CVE details</t>
        </is>
      </c>
      <c r="Q129" s="189" t="inlineStr">
        <is>
          <t>P3</t>
        </is>
      </c>
      <c r="R129" s="189" t="inlineStr">
        <is>
          <t>🚨 URGENT: Apply vendor patches immediately | 🔒 Isolate affected systems if patch unavailable | 🛡️ Enable additional monitoring/IDS rules</t>
        </is>
      </c>
      <c r="S129" s="189" t="inlineStr">
        <is>
          <t>CVE - IP enrichment n/a</t>
        </is>
      </c>
      <c r="T129" s="189" t="n">
        <v>0</v>
      </c>
      <c r="U129" s="189" t="n">
        <v>0</v>
      </c>
      <c r="V129" s="189" t="inlineStr">
        <is>
          <t>T1078:Valid Accounts | T1110:Brute Force</t>
        </is>
      </c>
      <c r="W129" s="189" t="n">
        <v>1</v>
      </c>
      <c r="X129" s="189" t="inlineStr">
        <is>
          <t>LOW (40%)</t>
        </is>
      </c>
      <c r="Y129" s="189" t="inlineStr">
        <is>
          <t>UNLIKELY</t>
        </is>
      </c>
      <c r="Z129" s="189" t="inlineStr">
        <is>
          <t>CHECK_VENDOR</t>
        </is>
      </c>
      <c r="AA129" s="190" t="inlineStr">
        <is>
          <t>https://nvd.nist.gov/vuln/detail/CVE-2026-1368</t>
        </is>
      </c>
      <c r="AB129" s="189" t="inlineStr">
        <is>
          <t>NONE</t>
        </is>
      </c>
      <c r="AC129" s="189" t="n">
        <v>0</v>
      </c>
      <c r="AD129" s="189" t="n"/>
    </row>
    <row r="130">
      <c r="A130" s="191" t="inlineStr">
        <is>
          <t>CVE</t>
        </is>
      </c>
      <c r="B130" s="191" t="inlineStr">
        <is>
          <t>CVE-2026-1639</t>
        </is>
      </c>
      <c r="C130" s="191" t="inlineStr">
        <is>
          <t>The Taskbuilder – WordPress Project Management &amp; Task Management plugin for WordPress is vulnerable to time-based blind SQL Injection via the 'order' and 'sort_by' parameters in all versions up to, and including, 5.0.2 due to insufficient escaping on the user supplied parameter and lack of sufficient preparation on the existing SQL query. This makes it possible for authenticated attackers, with subscriber-level access and above, to append additional SQL queries into already existing queries that</t>
        </is>
      </c>
      <c r="D130" s="191" t="n">
        <v>6.5</v>
      </c>
      <c r="E130" s="191" t="inlineStr">
        <is>
          <t>MEDIUM</t>
        </is>
      </c>
      <c r="F130" s="191" t="n">
        <v>2</v>
      </c>
      <c r="G130" s="191" t="n">
        <v>2</v>
      </c>
      <c r="H130" s="191" t="inlineStr">
        <is>
          <t>MEDIUM</t>
        </is>
      </c>
      <c r="I130" s="191" t="n">
        <v>10.5</v>
      </c>
      <c r="J130" s="191" t="inlineStr">
        <is>
          <t>NO</t>
        </is>
      </c>
      <c r="K130" s="192" t="inlineStr">
        <is>
          <t>https://nvd.nist.gov/vuln/detail/CVE-2026-1639</t>
        </is>
      </c>
      <c r="L130" s="191" t="inlineStr">
        <is>
          <t>2026-02-23 23:48</t>
        </is>
      </c>
      <c r="M130" s="191" t="inlineStr">
        <is>
          <t>CHECK_VENDOR</t>
        </is>
      </c>
      <c r="N130" s="191" t="inlineStr">
        <is>
          <t>See NVD references</t>
        </is>
      </c>
      <c r="O130" s="191" t="inlineStr">
        <is>
          <t>Apply vendor patches</t>
        </is>
      </c>
      <c r="P130" s="191" t="inlineStr">
        <is>
          <t>See CVE details</t>
        </is>
      </c>
      <c r="Q130" s="191" t="inlineStr">
        <is>
          <t>P4</t>
        </is>
      </c>
      <c r="R130" s="191" t="inlineStr">
        <is>
          <t>📅 Schedule patch deployment within 30 days | 🔍 Monitor for exploitation attempts</t>
        </is>
      </c>
      <c r="S130" s="191" t="inlineStr">
        <is>
          <t>CVE - IP enrichment n/a</t>
        </is>
      </c>
      <c r="T130" s="191" t="n">
        <v>0</v>
      </c>
      <c r="U130" s="191" t="n">
        <v>0</v>
      </c>
      <c r="V130" s="191" t="inlineStr">
        <is>
          <t>T1190:Exploit Public-Facing Application</t>
        </is>
      </c>
      <c r="W130" s="191" t="n">
        <v>1</v>
      </c>
      <c r="X130" s="191" t="inlineStr">
        <is>
          <t>LOW (40%)</t>
        </is>
      </c>
      <c r="Y130" s="191" t="inlineStr">
        <is>
          <t>UNLIKELY</t>
        </is>
      </c>
      <c r="Z130" s="191" t="inlineStr">
        <is>
          <t>CHECK_VENDOR</t>
        </is>
      </c>
      <c r="AA130" s="192" t="inlineStr">
        <is>
          <t>https://nvd.nist.gov/vuln/detail/CVE-2026-1639</t>
        </is>
      </c>
      <c r="AB130" s="191" t="inlineStr">
        <is>
          <t>NONE</t>
        </is>
      </c>
      <c r="AC130" s="191" t="n">
        <v>0</v>
      </c>
      <c r="AD130" s="191" t="n"/>
    </row>
    <row r="131">
      <c r="A131" s="191" t="inlineStr">
        <is>
          <t>CVE</t>
        </is>
      </c>
      <c r="B131" s="191" t="inlineStr">
        <is>
          <t>CVE-2026-1906</t>
        </is>
      </c>
      <c r="C131" s="191" t="inlineStr">
        <is>
          <t>The PDF Invoices &amp; Packing Slips for WooCommerce plugin for WordPress is vulnerable to Insecure Direct Object Reference in all versions up to, and including, 5.6.0 via the `wpo_ips_edi_save_order_customer_peppol_identifiers` AJAX action due to missing capability checks and order ownership validation. This makes it possible for authenticated attackers, with Subscriber-level access and above, to modify Peppol/EDI endpoint identifiers (`peppol_endpoint_id`, `peppol_endpoint_eas`) for any customer b</t>
        </is>
      </c>
      <c r="D131" s="191" t="n">
        <v>4.3</v>
      </c>
      <c r="E131" s="191" t="inlineStr">
        <is>
          <t>MEDIUM</t>
        </is>
      </c>
      <c r="F131" s="191" t="n">
        <v>2</v>
      </c>
      <c r="G131" s="191" t="n">
        <v>2</v>
      </c>
      <c r="H131" s="191" t="inlineStr">
        <is>
          <t>MEDIUM</t>
        </is>
      </c>
      <c r="I131" s="191" t="n">
        <v>8.300000000000001</v>
      </c>
      <c r="J131" s="191" t="inlineStr">
        <is>
          <t>NO</t>
        </is>
      </c>
      <c r="K131" s="192" t="inlineStr">
        <is>
          <t>https://nvd.nist.gov/vuln/detail/CVE-2026-1906</t>
        </is>
      </c>
      <c r="L131" s="191" t="inlineStr">
        <is>
          <t>2026-02-23 23:48</t>
        </is>
      </c>
      <c r="M131" s="191" t="inlineStr">
        <is>
          <t>CHECK_VENDOR</t>
        </is>
      </c>
      <c r="N131" s="191" t="inlineStr">
        <is>
          <t>See NVD references</t>
        </is>
      </c>
      <c r="O131" s="191" t="inlineStr">
        <is>
          <t>Apply vendor patches</t>
        </is>
      </c>
      <c r="P131" s="191" t="inlineStr">
        <is>
          <t>See CVE details</t>
        </is>
      </c>
      <c r="Q131" s="191" t="inlineStr">
        <is>
          <t>P4</t>
        </is>
      </c>
      <c r="R131" s="191" t="inlineStr">
        <is>
          <t>📅 Schedule patch deployment within 30 days | 🔍 Monitor for exploitation attempts</t>
        </is>
      </c>
      <c r="S131" s="191" t="inlineStr">
        <is>
          <t>CVE - IP enrichment n/a</t>
        </is>
      </c>
      <c r="T131" s="191" t="n">
        <v>0.0003</v>
      </c>
      <c r="U131" s="191" t="n">
        <v>0.07240000000000001</v>
      </c>
      <c r="V131" s="191" t="inlineStr">
        <is>
          <t>T1190:Exploit Public-Facing Application</t>
        </is>
      </c>
      <c r="W131" s="191" t="n">
        <v>1</v>
      </c>
      <c r="X131" s="191" t="inlineStr">
        <is>
          <t>LOW (40%)</t>
        </is>
      </c>
      <c r="Y131" s="191" t="inlineStr">
        <is>
          <t>UNLIKELY</t>
        </is>
      </c>
      <c r="Z131" s="191" t="inlineStr">
        <is>
          <t>CHECK_VENDOR</t>
        </is>
      </c>
      <c r="AA131" s="192" t="inlineStr">
        <is>
          <t>https://nvd.nist.gov/vuln/detail/CVE-2026-1906</t>
        </is>
      </c>
      <c r="AB131" s="191" t="inlineStr">
        <is>
          <t>NONE</t>
        </is>
      </c>
      <c r="AC131" s="191" t="n">
        <v>0</v>
      </c>
      <c r="AD131" s="191" t="n"/>
    </row>
    <row r="132">
      <c r="A132" s="191" t="inlineStr">
        <is>
          <t>CVE</t>
        </is>
      </c>
      <c r="B132" s="191" t="inlineStr">
        <is>
          <t>CVE-2026-2023</t>
        </is>
      </c>
      <c r="C132" s="191" t="inlineStr">
        <is>
          <t>The WP Plugin Info Card plugin for WordPress is vulnerable to Cross-Site Request Forgery in all versions up to, and including, 6.2.0. This is due to missing nonce validation in the ajax_save_custom_plugin() function, which is disabled by prefixing the check with 'false &amp;&amp;'. This makes it possible for unauthenticated attackers to create or modify custom plugin entries via a forged request granted they can trick a site administrator into performing an action such as clicking on a link.</t>
        </is>
      </c>
      <c r="D132" s="191" t="n">
        <v>4.3</v>
      </c>
      <c r="E132" s="191" t="inlineStr">
        <is>
          <t>MEDIUM</t>
        </is>
      </c>
      <c r="F132" s="191" t="n">
        <v>2</v>
      </c>
      <c r="G132" s="191" t="n">
        <v>2</v>
      </c>
      <c r="H132" s="191" t="inlineStr">
        <is>
          <t>MEDIUM</t>
        </is>
      </c>
      <c r="I132" s="191" t="n">
        <v>8.300000000000001</v>
      </c>
      <c r="J132" s="191" t="inlineStr">
        <is>
          <t>NO</t>
        </is>
      </c>
      <c r="K132" s="192" t="inlineStr">
        <is>
          <t>https://nvd.nist.gov/vuln/detail/CVE-2026-2023</t>
        </is>
      </c>
      <c r="L132" s="191" t="inlineStr">
        <is>
          <t>2026-02-23 23:48</t>
        </is>
      </c>
      <c r="M132" s="191" t="inlineStr">
        <is>
          <t>CHECK_VENDOR</t>
        </is>
      </c>
      <c r="N132" s="191" t="inlineStr">
        <is>
          <t>See NVD references</t>
        </is>
      </c>
      <c r="O132" s="191" t="inlineStr">
        <is>
          <t>Apply vendor patches</t>
        </is>
      </c>
      <c r="P132" s="191" t="inlineStr">
        <is>
          <t>See CVE details</t>
        </is>
      </c>
      <c r="Q132" s="191" t="inlineStr">
        <is>
          <t>P4</t>
        </is>
      </c>
      <c r="R132" s="191" t="inlineStr">
        <is>
          <t>📅 Schedule patch deployment within 30 days | 🔍 Monitor for exploitation attempts</t>
        </is>
      </c>
      <c r="S132" s="191" t="inlineStr">
        <is>
          <t>CVE - IP enrichment n/a</t>
        </is>
      </c>
      <c r="T132" s="191" t="n">
        <v>0.0001</v>
      </c>
      <c r="U132" s="191" t="n">
        <v>0.0205</v>
      </c>
      <c r="V132" s="191" t="inlineStr">
        <is>
          <t>T1185:Browser Session Hijacking</t>
        </is>
      </c>
      <c r="W132" s="191" t="n">
        <v>1</v>
      </c>
      <c r="X132" s="191" t="inlineStr">
        <is>
          <t>LOW (40%)</t>
        </is>
      </c>
      <c r="Y132" s="191" t="inlineStr">
        <is>
          <t>UNLIKELY</t>
        </is>
      </c>
      <c r="Z132" s="191" t="inlineStr">
        <is>
          <t>CHECK_VENDOR</t>
        </is>
      </c>
      <c r="AA132" s="192" t="inlineStr">
        <is>
          <t>https://nvd.nist.gov/vuln/detail/CVE-2026-2023</t>
        </is>
      </c>
      <c r="AB132" s="191" t="inlineStr">
        <is>
          <t>NONE</t>
        </is>
      </c>
      <c r="AC132" s="191" t="n">
        <v>0</v>
      </c>
      <c r="AD132" s="191" t="n"/>
    </row>
    <row r="133">
      <c r="A133" s="195" t="inlineStr">
        <is>
          <t>CVE</t>
        </is>
      </c>
      <c r="B133" s="195" t="inlineStr">
        <is>
          <t>CVE-2026-2641</t>
        </is>
      </c>
      <c r="C133" s="195" t="inlineStr">
        <is>
          <t>A weakness has been identified in universal-ctags ctags up to 6.2.1. The affected element is the function parseExpression/parseExprList of the file parsers/v.c of the component V Language Parser. Executing a manipulation can lead to uncontrolled recursion. It is possible to launch the attack on the local host. The exploit has been made available to the public and could be used for attacks. The project was informed of the problem early through an issue report but has not responded yet.</t>
        </is>
      </c>
      <c r="D133" s="195" t="n">
        <v>3.3</v>
      </c>
      <c r="E133" s="195" t="inlineStr">
        <is>
          <t>LOW</t>
        </is>
      </c>
      <c r="F133" s="195" t="n">
        <v>2</v>
      </c>
      <c r="G133" s="195" t="n">
        <v>1</v>
      </c>
      <c r="H133" s="195" t="inlineStr">
        <is>
          <t>LOW</t>
        </is>
      </c>
      <c r="I133" s="195" t="n">
        <v>5.3</v>
      </c>
      <c r="J133" s="195" t="inlineStr">
        <is>
          <t>NO</t>
        </is>
      </c>
      <c r="K133" s="196" t="inlineStr">
        <is>
          <t>https://nvd.nist.gov/vuln/detail/CVE-2026-2641</t>
        </is>
      </c>
      <c r="L133" s="195" t="inlineStr">
        <is>
          <t>2026-02-23 23:48</t>
        </is>
      </c>
      <c r="M133" s="195" t="inlineStr">
        <is>
          <t>CHECK_VENDOR</t>
        </is>
      </c>
      <c r="N133" s="195" t="inlineStr">
        <is>
          <t>See NVD references</t>
        </is>
      </c>
      <c r="O133" s="195" t="inlineStr">
        <is>
          <t>Apply vendor patches</t>
        </is>
      </c>
      <c r="P133" s="195" t="inlineStr">
        <is>
          <t>See CVE details</t>
        </is>
      </c>
      <c r="Q133" s="195" t="inlineStr">
        <is>
          <t>P1</t>
        </is>
      </c>
      <c r="R133" s="195" t="inlineStr">
        <is>
          <t>📅 Schedule patch deployment within 30 days | 🔍 Monitor for exploitation attempts</t>
        </is>
      </c>
      <c r="S133" s="195" t="inlineStr">
        <is>
          <t>CVE - IP enrichment n/a</t>
        </is>
      </c>
      <c r="T133" s="195" t="n">
        <v>0.0001</v>
      </c>
      <c r="U133" s="195" t="n">
        <v>0.0199</v>
      </c>
      <c r="V133" s="195" t="inlineStr">
        <is>
          <t>T1190:Exploit Public-Facing Application</t>
        </is>
      </c>
      <c r="W133" s="195" t="n">
        <v>2</v>
      </c>
      <c r="X133" s="195" t="inlineStr">
        <is>
          <t>HIGH (72%)</t>
        </is>
      </c>
      <c r="Y133" s="195" t="inlineStr">
        <is>
          <t>HIGH</t>
        </is>
      </c>
      <c r="Z133" s="195" t="inlineStr">
        <is>
          <t>CHECK_VENDOR</t>
        </is>
      </c>
      <c r="AA133" s="196" t="inlineStr">
        <is>
          <t>https://nvd.nist.gov/vuln/detail/CVE-2026-2641</t>
        </is>
      </c>
      <c r="AB133" s="196" t="inlineStr">
        <is>
          <t>http://www.zerodayinitiative.com/advisories/ZDI-26-123/</t>
        </is>
      </c>
      <c r="AC133" s="195" t="n">
        <v>0</v>
      </c>
      <c r="AD133" s="195" t="n"/>
    </row>
    <row r="134">
      <c r="A134" s="191" t="inlineStr">
        <is>
          <t>CVE</t>
        </is>
      </c>
      <c r="B134" s="191" t="inlineStr">
        <is>
          <t>CVE-2026-1640</t>
        </is>
      </c>
      <c r="C134" s="191" t="inlineStr">
        <is>
          <t>The Taskbuilder – WordPress Project Management &amp; Task Management plugin for WordPress is vulnerable to authorization bypass in all versions up to, and including, 5.0.2. This is due to missing authorization checks on the project and task comment submission functions (AJAX actions: wppm_submit_proj_comment and wppm_submit_task_comment). This makes it possible for authenticated attackers, with subscriber-level access and above, to create comments on any project or task (including private projects t</t>
        </is>
      </c>
      <c r="D134" s="191" t="n">
        <v>4.3</v>
      </c>
      <c r="E134" s="191" t="inlineStr">
        <is>
          <t>MEDIUM</t>
        </is>
      </c>
      <c r="F134" s="191" t="n">
        <v>2</v>
      </c>
      <c r="G134" s="191" t="n">
        <v>2</v>
      </c>
      <c r="H134" s="191" t="inlineStr">
        <is>
          <t>MEDIUM</t>
        </is>
      </c>
      <c r="I134" s="191" t="n">
        <v>8.300000000000001</v>
      </c>
      <c r="J134" s="191" t="inlineStr">
        <is>
          <t>NO</t>
        </is>
      </c>
      <c r="K134" s="192" t="inlineStr">
        <is>
          <t>https://nvd.nist.gov/vuln/detail/CVE-2026-1640</t>
        </is>
      </c>
      <c r="L134" s="191" t="inlineStr">
        <is>
          <t>2026-02-23 23:48</t>
        </is>
      </c>
      <c r="M134" s="191" t="inlineStr">
        <is>
          <t>CHECK_VENDOR</t>
        </is>
      </c>
      <c r="N134" s="191" t="inlineStr">
        <is>
          <t>See NVD references</t>
        </is>
      </c>
      <c r="O134" s="191" t="inlineStr">
        <is>
          <t>Apply vendor patches</t>
        </is>
      </c>
      <c r="P134" s="191" t="inlineStr">
        <is>
          <t>See CVE details</t>
        </is>
      </c>
      <c r="Q134" s="191" t="inlineStr">
        <is>
          <t>P4</t>
        </is>
      </c>
      <c r="R134" s="191" t="inlineStr">
        <is>
          <t>📅 Schedule patch deployment within 30 days | 🔍 Monitor for exploitation attempts</t>
        </is>
      </c>
      <c r="S134" s="191" t="inlineStr">
        <is>
          <t>CVE - IP enrichment n/a</t>
        </is>
      </c>
      <c r="T134" s="191" t="n">
        <v>0</v>
      </c>
      <c r="U134" s="191" t="n">
        <v>0</v>
      </c>
      <c r="V134" s="191" t="inlineStr">
        <is>
          <t>T1190:Exploit Public-Facing Application</t>
        </is>
      </c>
      <c r="W134" s="191" t="n">
        <v>1</v>
      </c>
      <c r="X134" s="191" t="inlineStr">
        <is>
          <t>LOW (40%)</t>
        </is>
      </c>
      <c r="Y134" s="191" t="inlineStr">
        <is>
          <t>UNLIKELY</t>
        </is>
      </c>
      <c r="Z134" s="191" t="inlineStr">
        <is>
          <t>CHECK_VENDOR</t>
        </is>
      </c>
      <c r="AA134" s="192" t="inlineStr">
        <is>
          <t>https://nvd.nist.gov/vuln/detail/CVE-2026-1640</t>
        </is>
      </c>
      <c r="AB134" s="191" t="inlineStr">
        <is>
          <t>NONE</t>
        </is>
      </c>
      <c r="AC134" s="191" t="n">
        <v>0</v>
      </c>
      <c r="AD134" s="191" t="n"/>
    </row>
    <row r="135">
      <c r="A135" s="191" t="inlineStr">
        <is>
          <t>CVE</t>
        </is>
      </c>
      <c r="B135" s="191" t="inlineStr">
        <is>
          <t>CVE-2026-1666</t>
        </is>
      </c>
      <c r="C135" s="191" t="inlineStr">
        <is>
          <t>The Download Manager plugin for WordPress is vulnerable to Reflected Cross-Site Scripting via the 'redirect_to' parameter in all versions up to, and including, 3.3.46. This is due to insufficient input sanitization and output escaping on the 'redirect_to' GET parameter in the login form shortcode. This makes it possible for unauthenticated attackers to inject arbitrary web scripts in pages that execute if they can successfully trick a user into performing an action such as clicking on a link.</t>
        </is>
      </c>
      <c r="D135" s="191" t="n">
        <v>6.1</v>
      </c>
      <c r="E135" s="191" t="inlineStr">
        <is>
          <t>MEDIUM</t>
        </is>
      </c>
      <c r="F135" s="191" t="n">
        <v>2</v>
      </c>
      <c r="G135" s="191" t="n">
        <v>2</v>
      </c>
      <c r="H135" s="191" t="inlineStr">
        <is>
          <t>MEDIUM</t>
        </is>
      </c>
      <c r="I135" s="191" t="n">
        <v>10.1</v>
      </c>
      <c r="J135" s="191" t="inlineStr">
        <is>
          <t>NO</t>
        </is>
      </c>
      <c r="K135" s="192" t="inlineStr">
        <is>
          <t>https://nvd.nist.gov/vuln/detail/CVE-2026-1666</t>
        </is>
      </c>
      <c r="L135" s="191" t="inlineStr">
        <is>
          <t>2026-02-23 23:48</t>
        </is>
      </c>
      <c r="M135" s="191" t="inlineStr">
        <is>
          <t>CHECK_VENDOR</t>
        </is>
      </c>
      <c r="N135" s="191" t="inlineStr">
        <is>
          <t>See NVD references</t>
        </is>
      </c>
      <c r="O135" s="191" t="inlineStr">
        <is>
          <t>Apply vendor patches</t>
        </is>
      </c>
      <c r="P135" s="191" t="inlineStr">
        <is>
          <t>See CVE details</t>
        </is>
      </c>
      <c r="Q135" s="191" t="inlineStr">
        <is>
          <t>P4</t>
        </is>
      </c>
      <c r="R135" s="191" t="inlineStr">
        <is>
          <t>📅 Schedule patch deployment within 30 days | 🔍 Monitor for exploitation attempts</t>
        </is>
      </c>
      <c r="S135" s="191" t="inlineStr">
        <is>
          <t>CVE - IP enrichment n/a</t>
        </is>
      </c>
      <c r="T135" s="191" t="n">
        <v>0.0009</v>
      </c>
      <c r="U135" s="191" t="n">
        <v>0.2619</v>
      </c>
      <c r="V135" s="191" t="inlineStr">
        <is>
          <t>T1189:Drive-by Compromise</t>
        </is>
      </c>
      <c r="W135" s="191" t="n">
        <v>1</v>
      </c>
      <c r="X135" s="191" t="inlineStr">
        <is>
          <t>LOW (40%)</t>
        </is>
      </c>
      <c r="Y135" s="191" t="inlineStr">
        <is>
          <t>UNLIKELY</t>
        </is>
      </c>
      <c r="Z135" s="191" t="inlineStr">
        <is>
          <t>CHECK_VENDOR</t>
        </is>
      </c>
      <c r="AA135" s="192" t="inlineStr">
        <is>
          <t>https://nvd.nist.gov/vuln/detail/CVE-2026-1666</t>
        </is>
      </c>
      <c r="AB135" s="191" t="inlineStr">
        <is>
          <t>NONE</t>
        </is>
      </c>
      <c r="AC135" s="191" t="n">
        <v>0</v>
      </c>
      <c r="AD135" s="191" t="n"/>
    </row>
    <row r="136">
      <c r="A136" s="191" t="inlineStr">
        <is>
          <t>CVE</t>
        </is>
      </c>
      <c r="B136" s="191" t="inlineStr">
        <is>
          <t>CVE-2026-1807</t>
        </is>
      </c>
      <c r="C136" s="191" t="inlineStr">
        <is>
          <t>The InteractiveCalculator for WordPress plugin for WordPress is vulnerable to Stored Cross-Site Scripting via the plugin's 'interactivecalculator' shortcode in all versions up to, and including, 1.0.3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136" s="191" t="n">
        <v>6.4</v>
      </c>
      <c r="E136" s="191" t="inlineStr">
        <is>
          <t>MEDIUM</t>
        </is>
      </c>
      <c r="F136" s="191" t="n">
        <v>2</v>
      </c>
      <c r="G136" s="191" t="n">
        <v>2</v>
      </c>
      <c r="H136" s="191" t="inlineStr">
        <is>
          <t>MEDIUM</t>
        </is>
      </c>
      <c r="I136" s="191" t="n">
        <v>10.4</v>
      </c>
      <c r="J136" s="191" t="inlineStr">
        <is>
          <t>NO</t>
        </is>
      </c>
      <c r="K136" s="192" t="inlineStr">
        <is>
          <t>https://nvd.nist.gov/vuln/detail/CVE-2026-1807</t>
        </is>
      </c>
      <c r="L136" s="191" t="inlineStr">
        <is>
          <t>2026-02-23 23:48</t>
        </is>
      </c>
      <c r="M136" s="191" t="inlineStr">
        <is>
          <t>CHECK_VENDOR</t>
        </is>
      </c>
      <c r="N136" s="191" t="inlineStr">
        <is>
          <t>See NVD references</t>
        </is>
      </c>
      <c r="O136" s="191" t="inlineStr">
        <is>
          <t>Apply vendor patches</t>
        </is>
      </c>
      <c r="P136" s="191" t="inlineStr">
        <is>
          <t>See CVE details</t>
        </is>
      </c>
      <c r="Q136" s="191" t="inlineStr">
        <is>
          <t>P4</t>
        </is>
      </c>
      <c r="R136" s="191" t="inlineStr">
        <is>
          <t>📅 Schedule patch deployment within 30 days | 🔍 Monitor for exploitation attempts</t>
        </is>
      </c>
      <c r="S136" s="191" t="inlineStr">
        <is>
          <t>CVE - IP enrichment n/a</t>
        </is>
      </c>
      <c r="T136" s="191" t="n">
        <v>0</v>
      </c>
      <c r="U136" s="191" t="n">
        <v>0</v>
      </c>
      <c r="V136" s="191" t="inlineStr">
        <is>
          <t>T1189:Drive-by Compromise</t>
        </is>
      </c>
      <c r="W136" s="191" t="n">
        <v>1</v>
      </c>
      <c r="X136" s="191" t="inlineStr">
        <is>
          <t>LOW (40%)</t>
        </is>
      </c>
      <c r="Y136" s="191" t="inlineStr">
        <is>
          <t>UNLIKELY</t>
        </is>
      </c>
      <c r="Z136" s="191" t="inlineStr">
        <is>
          <t>CHECK_VENDOR</t>
        </is>
      </c>
      <c r="AA136" s="192" t="inlineStr">
        <is>
          <t>https://nvd.nist.gov/vuln/detail/CVE-2026-1807</t>
        </is>
      </c>
      <c r="AB136" s="191" t="inlineStr">
        <is>
          <t>NONE</t>
        </is>
      </c>
      <c r="AC136" s="191" t="n">
        <v>0</v>
      </c>
      <c r="AD136" s="191" t="n"/>
    </row>
    <row r="137">
      <c r="A137" s="191" t="inlineStr">
        <is>
          <t>CVE</t>
        </is>
      </c>
      <c r="B137" s="191" t="inlineStr">
        <is>
          <t>CVE-2026-1857</t>
        </is>
      </c>
      <c r="C137" s="191" t="inlineStr">
        <is>
          <t>The Gutenberg Blocks with AI by Kadence WP plugin for WordPress is vulnerable to Server-Side Request Forgery in all versions up to, and including, 3.6.1. This is due to insufficient validation of the `endpoint` parameter in the `get_items()` function of the GetResponse REST API handler. The endpoint's permission check only requires `edit_posts` capability (Contributor role) rather than `manage_options` (Administrator). This makes it possible for authenticated attackers, with Contributor-level ac</t>
        </is>
      </c>
      <c r="D137" s="191" t="n">
        <v>4.3</v>
      </c>
      <c r="E137" s="191" t="inlineStr">
        <is>
          <t>MEDIUM</t>
        </is>
      </c>
      <c r="F137" s="191" t="n">
        <v>2</v>
      </c>
      <c r="G137" s="191" t="n">
        <v>2</v>
      </c>
      <c r="H137" s="191" t="inlineStr">
        <is>
          <t>MEDIUM</t>
        </is>
      </c>
      <c r="I137" s="191" t="n">
        <v>8.300000000000001</v>
      </c>
      <c r="J137" s="191" t="inlineStr">
        <is>
          <t>NO</t>
        </is>
      </c>
      <c r="K137" s="192" t="inlineStr">
        <is>
          <t>https://nvd.nist.gov/vuln/detail/CVE-2026-1857</t>
        </is>
      </c>
      <c r="L137" s="191" t="inlineStr">
        <is>
          <t>2026-02-23 23:48</t>
        </is>
      </c>
      <c r="M137" s="191" t="inlineStr">
        <is>
          <t>CHECK_VENDOR</t>
        </is>
      </c>
      <c r="N137" s="191" t="inlineStr">
        <is>
          <t>See NVD references</t>
        </is>
      </c>
      <c r="O137" s="191" t="inlineStr">
        <is>
          <t>Apply vendor patches</t>
        </is>
      </c>
      <c r="P137" s="191" t="inlineStr">
        <is>
          <t>See CVE details</t>
        </is>
      </c>
      <c r="Q137" s="191" t="inlineStr">
        <is>
          <t>P4</t>
        </is>
      </c>
      <c r="R137" s="191" t="inlineStr">
        <is>
          <t>📅 Schedule patch deployment within 30 days | 🔍 Monitor for exploitation attempts</t>
        </is>
      </c>
      <c r="S137" s="191" t="inlineStr">
        <is>
          <t>CVE - IP enrichment n/a</t>
        </is>
      </c>
      <c r="T137" s="191" t="n">
        <v>0</v>
      </c>
      <c r="U137" s="191" t="n">
        <v>0</v>
      </c>
      <c r="V137" s="191" t="inlineStr">
        <is>
          <t>T1090:Proxy | T1552:Unsecured Credentials</t>
        </is>
      </c>
      <c r="W137" s="191" t="n">
        <v>1</v>
      </c>
      <c r="X137" s="191" t="inlineStr">
        <is>
          <t>LOW (40%)</t>
        </is>
      </c>
      <c r="Y137" s="191" t="inlineStr">
        <is>
          <t>UNLIKELY</t>
        </is>
      </c>
      <c r="Z137" s="191" t="inlineStr">
        <is>
          <t>CHECK_VENDOR</t>
        </is>
      </c>
      <c r="AA137" s="192" t="inlineStr">
        <is>
          <t>https://nvd.nist.gov/vuln/detail/CVE-2026-1857</t>
        </is>
      </c>
      <c r="AB137" s="191" t="inlineStr">
        <is>
          <t>NONE</t>
        </is>
      </c>
      <c r="AC137" s="191" t="n">
        <v>0</v>
      </c>
      <c r="AD137" s="191" t="n"/>
    </row>
    <row r="138">
      <c r="A138" s="193" t="inlineStr">
        <is>
          <t>CVE</t>
        </is>
      </c>
      <c r="B138" s="193" t="inlineStr">
        <is>
          <t>CVE-2026-1937</t>
        </is>
      </c>
      <c r="C138" s="193" t="inlineStr">
        <is>
          <t>The YayMail – WooCommerce Email Customizer plugin for WordPress is vulnerable to unauthorized modification of data that can lead to privilege escalation due to a missing capability check on the `yaymail_import_state` AJAX action in all versions up to, and including, 4.3.2. This makes it possible for authenticated attackers, with Shop Manager-level access and above, to update arbitrary options on the WordPress site. This can be leveraged to update the default role for registration to administrato</t>
        </is>
      </c>
      <c r="D138" s="193" t="n">
        <v>9.800000000000001</v>
      </c>
      <c r="E138" s="193" t="inlineStr">
        <is>
          <t>CRITICAL</t>
        </is>
      </c>
      <c r="F138" s="193" t="n">
        <v>2</v>
      </c>
      <c r="G138" s="193" t="n">
        <v>3</v>
      </c>
      <c r="H138" s="193" t="inlineStr">
        <is>
          <t>HIGH</t>
        </is>
      </c>
      <c r="I138" s="193" t="n">
        <v>15.8</v>
      </c>
      <c r="J138" s="193" t="inlineStr">
        <is>
          <t>NO</t>
        </is>
      </c>
      <c r="K138" s="194" t="inlineStr">
        <is>
          <t>https://nvd.nist.gov/vuln/detail/CVE-2026-1937</t>
        </is>
      </c>
      <c r="L138" s="193" t="inlineStr">
        <is>
          <t>2026-02-23 23:48</t>
        </is>
      </c>
      <c r="M138" s="193" t="inlineStr">
        <is>
          <t>CHECK_VENDOR</t>
        </is>
      </c>
      <c r="N138" s="193" t="inlineStr">
        <is>
          <t>See NVD references</t>
        </is>
      </c>
      <c r="O138" s="193" t="inlineStr">
        <is>
          <t>Apply vendor patches</t>
        </is>
      </c>
      <c r="P138" s="193" t="inlineStr">
        <is>
          <t>See CVE details</t>
        </is>
      </c>
      <c r="Q138" s="193" t="inlineStr">
        <is>
          <t>P3</t>
        </is>
      </c>
      <c r="R138" s="193" t="inlineStr">
        <is>
          <t>🚨 URGENT: Apply vendor patches immediately | 🔒 Isolate affected systems if patch unavailable | 🛡️ Enable additional monitoring/IDS rules</t>
        </is>
      </c>
      <c r="S138" s="193" t="inlineStr">
        <is>
          <t>CVE - IP enrichment n/a</t>
        </is>
      </c>
      <c r="T138" s="193" t="n">
        <v>0</v>
      </c>
      <c r="U138" s="193" t="n">
        <v>0</v>
      </c>
      <c r="V138" s="193" t="inlineStr">
        <is>
          <t>T1190:Exploit Public-Facing Application | T1068:Exploitation for Privilege Escalation</t>
        </is>
      </c>
      <c r="W138" s="193" t="n">
        <v>1</v>
      </c>
      <c r="X138" s="193" t="inlineStr">
        <is>
          <t>LOW (40%)</t>
        </is>
      </c>
      <c r="Y138" s="193" t="inlineStr">
        <is>
          <t>UNLIKELY</t>
        </is>
      </c>
      <c r="Z138" s="193" t="inlineStr">
        <is>
          <t>CHECK_VENDOR</t>
        </is>
      </c>
      <c r="AA138" s="194" t="inlineStr">
        <is>
          <t>https://nvd.nist.gov/vuln/detail/CVE-2026-1937</t>
        </is>
      </c>
      <c r="AB138" s="193" t="inlineStr">
        <is>
          <t>NONE</t>
        </is>
      </c>
      <c r="AC138" s="193" t="n">
        <v>0</v>
      </c>
      <c r="AD138" s="193" t="n"/>
    </row>
    <row r="139">
      <c r="A139" s="189" t="inlineStr">
        <is>
          <t>CVE</t>
        </is>
      </c>
      <c r="B139" s="189" t="inlineStr">
        <is>
          <t>CVE-2026-2019</t>
        </is>
      </c>
      <c r="C139" s="189" t="inlineStr">
        <is>
          <t>The Cart All In One For WooCommerce plugin for WordPress is vulnerable to Code Injection in all versions up to, and including, 1.1.21. This is due to insufficient input validation on the 'Assign page' field which is passed directly to the eval() function. This makes it possible for authenticated attackers, with Administrator-level access and above, to execute arbitrary PHP code on the server.</t>
        </is>
      </c>
      <c r="D139" s="189" t="n">
        <v>7.2</v>
      </c>
      <c r="E139" s="189" t="inlineStr">
        <is>
          <t>HIGH</t>
        </is>
      </c>
      <c r="F139" s="189" t="n">
        <v>2</v>
      </c>
      <c r="G139" s="189" t="n">
        <v>3</v>
      </c>
      <c r="H139" s="189" t="inlineStr">
        <is>
          <t>HIGH</t>
        </is>
      </c>
      <c r="I139" s="189" t="n">
        <v>13.2</v>
      </c>
      <c r="J139" s="189" t="inlineStr">
        <is>
          <t>NO</t>
        </is>
      </c>
      <c r="K139" s="190" t="inlineStr">
        <is>
          <t>https://nvd.nist.gov/vuln/detail/CVE-2026-2019</t>
        </is>
      </c>
      <c r="L139" s="189" t="inlineStr">
        <is>
          <t>2026-02-23 23:48</t>
        </is>
      </c>
      <c r="M139" s="189" t="inlineStr">
        <is>
          <t>CHECK_VENDOR</t>
        </is>
      </c>
      <c r="N139" s="189" t="inlineStr">
        <is>
          <t>See NVD references</t>
        </is>
      </c>
      <c r="O139" s="189" t="inlineStr">
        <is>
          <t>Apply vendor patches</t>
        </is>
      </c>
      <c r="P139" s="189" t="inlineStr">
        <is>
          <t>See CVE details</t>
        </is>
      </c>
      <c r="Q139" s="189" t="inlineStr">
        <is>
          <t>P3</t>
        </is>
      </c>
      <c r="R139" s="189" t="inlineStr">
        <is>
          <t>🚨 URGENT: Apply vendor patches immediately | 🔒 Isolate affected systems if patch unavailable | 🛡️ Enable additional monitoring/IDS rules</t>
        </is>
      </c>
      <c r="S139" s="189" t="inlineStr">
        <is>
          <t>CVE - IP enrichment n/a</t>
        </is>
      </c>
      <c r="T139" s="189" t="n">
        <v>0</v>
      </c>
      <c r="U139" s="189" t="n">
        <v>0</v>
      </c>
      <c r="V139" s="189" t="inlineStr">
        <is>
          <t>T1190:Exploit Public-Facing Application</t>
        </is>
      </c>
      <c r="W139" s="189" t="n">
        <v>1</v>
      </c>
      <c r="X139" s="189" t="inlineStr">
        <is>
          <t>LOW (40%)</t>
        </is>
      </c>
      <c r="Y139" s="189" t="inlineStr">
        <is>
          <t>UNLIKELY</t>
        </is>
      </c>
      <c r="Z139" s="189" t="inlineStr">
        <is>
          <t>CHECK_VENDOR</t>
        </is>
      </c>
      <c r="AA139" s="190" t="inlineStr">
        <is>
          <t>https://nvd.nist.gov/vuln/detail/CVE-2026-2019</t>
        </is>
      </c>
      <c r="AB139" s="189" t="inlineStr">
        <is>
          <t>NONE</t>
        </is>
      </c>
      <c r="AC139" s="189" t="n">
        <v>0</v>
      </c>
      <c r="AD139" s="189" t="n"/>
    </row>
    <row r="140">
      <c r="A140" s="191" t="inlineStr">
        <is>
          <t>CVE</t>
        </is>
      </c>
      <c r="B140" s="191" t="inlineStr">
        <is>
          <t>CVE-2026-2281</t>
        </is>
      </c>
      <c r="C140" s="191" t="inlineStr">
        <is>
          <t>The Private Comment plugin for WordPress is vulnerable to Stored Cross-Site Scripting via the 'Label text' setting in all versions up to, and including, 0.0.4. This is due to insufficient input sanitization and output escaping on the plugin's label text option. This makes it possible for authenticated attackers, with Administrator-level access and above, to inject arbitrary web scripts in pages that will execute whenever a user accesses an injected page. This only affects multi-site installation</t>
        </is>
      </c>
      <c r="D140" s="191" t="n">
        <v>4.4</v>
      </c>
      <c r="E140" s="191" t="inlineStr">
        <is>
          <t>MEDIUM</t>
        </is>
      </c>
      <c r="F140" s="191" t="n">
        <v>2</v>
      </c>
      <c r="G140" s="191" t="n">
        <v>2</v>
      </c>
      <c r="H140" s="191" t="inlineStr">
        <is>
          <t>MEDIUM</t>
        </is>
      </c>
      <c r="I140" s="191" t="n">
        <v>8.4</v>
      </c>
      <c r="J140" s="191" t="inlineStr">
        <is>
          <t>NO</t>
        </is>
      </c>
      <c r="K140" s="192" t="inlineStr">
        <is>
          <t>https://nvd.nist.gov/vuln/detail/CVE-2026-2281</t>
        </is>
      </c>
      <c r="L140" s="191" t="inlineStr">
        <is>
          <t>2026-02-23 23:48</t>
        </is>
      </c>
      <c r="M140" s="191" t="inlineStr">
        <is>
          <t>CHECK_VENDOR</t>
        </is>
      </c>
      <c r="N140" s="191" t="inlineStr">
        <is>
          <t>See NVD references</t>
        </is>
      </c>
      <c r="O140" s="191" t="inlineStr">
        <is>
          <t>Apply vendor patches</t>
        </is>
      </c>
      <c r="P140" s="191" t="inlineStr">
        <is>
          <t>See CVE details</t>
        </is>
      </c>
      <c r="Q140" s="191" t="inlineStr">
        <is>
          <t>P4</t>
        </is>
      </c>
      <c r="R140" s="191" t="inlineStr">
        <is>
          <t>📅 Schedule patch deployment within 30 days | 🔍 Monitor for exploitation attempts</t>
        </is>
      </c>
      <c r="S140" s="191" t="inlineStr">
        <is>
          <t>CVE - IP enrichment n/a</t>
        </is>
      </c>
      <c r="T140" s="191" t="n">
        <v>0.0003</v>
      </c>
      <c r="U140" s="191" t="n">
        <v>0.0776</v>
      </c>
      <c r="V140" s="191" t="inlineStr">
        <is>
          <t>T1189:Drive-by Compromise</t>
        </is>
      </c>
      <c r="W140" s="191" t="n">
        <v>1</v>
      </c>
      <c r="X140" s="191" t="inlineStr">
        <is>
          <t>LOW (40%)</t>
        </is>
      </c>
      <c r="Y140" s="191" t="inlineStr">
        <is>
          <t>UNLIKELY</t>
        </is>
      </c>
      <c r="Z140" s="191" t="inlineStr">
        <is>
          <t>CHECK_VENDOR</t>
        </is>
      </c>
      <c r="AA140" s="192" t="inlineStr">
        <is>
          <t>https://nvd.nist.gov/vuln/detail/CVE-2026-2281</t>
        </is>
      </c>
      <c r="AB140" s="191" t="inlineStr">
        <is>
          <t>NONE</t>
        </is>
      </c>
      <c r="AC140" s="191" t="n">
        <v>0</v>
      </c>
      <c r="AD140" s="191" t="n"/>
    </row>
    <row r="141">
      <c r="A141" s="189" t="inlineStr">
        <is>
          <t>CVE</t>
        </is>
      </c>
      <c r="B141" s="189" t="inlineStr">
        <is>
          <t>CVE-2026-2296</t>
        </is>
      </c>
      <c r="C141" s="189" t="inlineStr">
        <is>
          <t>The Product Addons for Woocommerce – Product Options with Custom Fields plugin for WordPress is vulnerable to Code Injection in all versions up to, and including, 3.1.0. This is due to insufficient input validation of the 'operator' field in conditional logic rules within the evalConditions() function, which passes unsanitized user input directly to PHP's eval() function. This makes it possible for authenticated attackers, with Shop Manager-level access and above, to inject and execute arbitrary</t>
        </is>
      </c>
      <c r="D141" s="189" t="n">
        <v>7.2</v>
      </c>
      <c r="E141" s="189" t="inlineStr">
        <is>
          <t>HIGH</t>
        </is>
      </c>
      <c r="F141" s="189" t="n">
        <v>2</v>
      </c>
      <c r="G141" s="189" t="n">
        <v>3</v>
      </c>
      <c r="H141" s="189" t="inlineStr">
        <is>
          <t>HIGH</t>
        </is>
      </c>
      <c r="I141" s="189" t="n">
        <v>13.2</v>
      </c>
      <c r="J141" s="189" t="inlineStr">
        <is>
          <t>NO</t>
        </is>
      </c>
      <c r="K141" s="190" t="inlineStr">
        <is>
          <t>https://nvd.nist.gov/vuln/detail/CVE-2026-2296</t>
        </is>
      </c>
      <c r="L141" s="189" t="inlineStr">
        <is>
          <t>2026-02-23 23:48</t>
        </is>
      </c>
      <c r="M141" s="189" t="inlineStr">
        <is>
          <t>CHECK_VENDOR</t>
        </is>
      </c>
      <c r="N141" s="189" t="inlineStr">
        <is>
          <t>See NVD references</t>
        </is>
      </c>
      <c r="O141" s="189" t="inlineStr">
        <is>
          <t>Apply vendor patches</t>
        </is>
      </c>
      <c r="P141" s="189" t="inlineStr">
        <is>
          <t>See CVE details</t>
        </is>
      </c>
      <c r="Q141" s="189" t="inlineStr">
        <is>
          <t>P3</t>
        </is>
      </c>
      <c r="R141" s="189" t="inlineStr">
        <is>
          <t>🚨 URGENT: Apply vendor patches immediately | 🔒 Isolate affected systems if patch unavailable | 🛡️ Enable additional monitoring/IDS rules</t>
        </is>
      </c>
      <c r="S141" s="189" t="inlineStr">
        <is>
          <t>CVE - IP enrichment n/a</t>
        </is>
      </c>
      <c r="T141" s="189" t="n">
        <v>0</v>
      </c>
      <c r="U141" s="189" t="n">
        <v>0</v>
      </c>
      <c r="V141" s="189" t="inlineStr">
        <is>
          <t>T1059:Command and Scripting Interpreter | T1190:Exploit Public-Facing Application</t>
        </is>
      </c>
      <c r="W141" s="189" t="n">
        <v>1</v>
      </c>
      <c r="X141" s="189" t="inlineStr">
        <is>
          <t>LOW (40%)</t>
        </is>
      </c>
      <c r="Y141" s="189" t="inlineStr">
        <is>
          <t>UNLIKELY</t>
        </is>
      </c>
      <c r="Z141" s="189" t="inlineStr">
        <is>
          <t>CHECK_VENDOR</t>
        </is>
      </c>
      <c r="AA141" s="190" t="inlineStr">
        <is>
          <t>https://nvd.nist.gov/vuln/detail/CVE-2026-2296</t>
        </is>
      </c>
      <c r="AB141" s="189" t="inlineStr">
        <is>
          <t>NONE</t>
        </is>
      </c>
      <c r="AC141" s="189" t="n">
        <v>0</v>
      </c>
      <c r="AD141" s="189" t="n"/>
    </row>
    <row r="142">
      <c r="A142" s="191" t="inlineStr">
        <is>
          <t>CVE</t>
        </is>
      </c>
      <c r="B142" s="191" t="inlineStr">
        <is>
          <t>CVE-2026-2633</t>
        </is>
      </c>
      <c r="C142" s="191" t="inlineStr">
        <is>
          <t>The Gutenberg Blocks with AI by Kadence WP plugin for WordPress is vulnerable to Missing Authorization in all versions up to, and including, 3.6.1. This is due to a missing capability check in the `process_image_data_ajax_callback()` function which handles the `kadence_import_process_image_data` AJAX action. The function's authorization check via `verify_ajax_call()` only validates `edit_posts` capability but fails to check for the `upload_files` capability. This makes it possible for authentica</t>
        </is>
      </c>
      <c r="D142" s="191" t="n">
        <v>4.3</v>
      </c>
      <c r="E142" s="191" t="inlineStr">
        <is>
          <t>MEDIUM</t>
        </is>
      </c>
      <c r="F142" s="191" t="n">
        <v>2</v>
      </c>
      <c r="G142" s="191" t="n">
        <v>2</v>
      </c>
      <c r="H142" s="191" t="inlineStr">
        <is>
          <t>MEDIUM</t>
        </is>
      </c>
      <c r="I142" s="191" t="n">
        <v>8.300000000000001</v>
      </c>
      <c r="J142" s="191" t="inlineStr">
        <is>
          <t>NO</t>
        </is>
      </c>
      <c r="K142" s="192" t="inlineStr">
        <is>
          <t>https://nvd.nist.gov/vuln/detail/CVE-2026-2633</t>
        </is>
      </c>
      <c r="L142" s="191" t="inlineStr">
        <is>
          <t>2026-02-23 23:48</t>
        </is>
      </c>
      <c r="M142" s="191" t="inlineStr">
        <is>
          <t>CHECK_VENDOR</t>
        </is>
      </c>
      <c r="N142" s="191" t="inlineStr">
        <is>
          <t>See NVD references</t>
        </is>
      </c>
      <c r="O142" s="191" t="inlineStr">
        <is>
          <t>Apply vendor patches</t>
        </is>
      </c>
      <c r="P142" s="191" t="inlineStr">
        <is>
          <t>See CVE details</t>
        </is>
      </c>
      <c r="Q142" s="191" t="inlineStr">
        <is>
          <t>P4</t>
        </is>
      </c>
      <c r="R142" s="191" t="inlineStr">
        <is>
          <t>📅 Schedule patch deployment within 30 days | 🔍 Monitor for exploitation attempts</t>
        </is>
      </c>
      <c r="S142" s="191" t="inlineStr">
        <is>
          <t>CVE - IP enrichment n/a</t>
        </is>
      </c>
      <c r="T142" s="191" t="n">
        <v>0.0003</v>
      </c>
      <c r="U142" s="191" t="n">
        <v>0.07240000000000001</v>
      </c>
      <c r="V142" s="191" t="inlineStr">
        <is>
          <t>T1190:Exploit Public-Facing Application</t>
        </is>
      </c>
      <c r="W142" s="191" t="n">
        <v>1</v>
      </c>
      <c r="X142" s="191" t="inlineStr">
        <is>
          <t>LOW (40%)</t>
        </is>
      </c>
      <c r="Y142" s="191" t="inlineStr">
        <is>
          <t>UNLIKELY</t>
        </is>
      </c>
      <c r="Z142" s="191" t="inlineStr">
        <is>
          <t>CHECK_VENDOR</t>
        </is>
      </c>
      <c r="AA142" s="192" t="inlineStr">
        <is>
          <t>https://nvd.nist.gov/vuln/detail/CVE-2026-2633</t>
        </is>
      </c>
      <c r="AB142" s="191" t="inlineStr">
        <is>
          <t>NONE</t>
        </is>
      </c>
      <c r="AC142" s="191" t="n">
        <v>0</v>
      </c>
      <c r="AD142" s="191" t="n"/>
    </row>
    <row r="143">
      <c r="A143" s="195" t="inlineStr">
        <is>
          <t>CVE</t>
        </is>
      </c>
      <c r="B143" s="195" t="inlineStr">
        <is>
          <t>CVE-2026-2642</t>
        </is>
      </c>
      <c r="C143" s="195" t="inlineStr">
        <is>
          <t>A security vulnerability has been detected in ggreer the_silver_searcher up to 2.2.0. The impacted element is the function search_stream of the file src/search.c. The manipulation leads to null pointer dereference. Local access is required to approach this attack. The exploit has been disclosed publicly and may be used. The project was informed of the problem early through an issue report but has not responded yet.</t>
        </is>
      </c>
      <c r="D143" s="195" t="n">
        <v>3.3</v>
      </c>
      <c r="E143" s="195" t="inlineStr">
        <is>
          <t>LOW</t>
        </is>
      </c>
      <c r="F143" s="195" t="n">
        <v>2</v>
      </c>
      <c r="G143" s="195" t="n">
        <v>1</v>
      </c>
      <c r="H143" s="195" t="inlineStr">
        <is>
          <t>LOW</t>
        </is>
      </c>
      <c r="I143" s="195" t="n">
        <v>5.3</v>
      </c>
      <c r="J143" s="195" t="inlineStr">
        <is>
          <t>NO</t>
        </is>
      </c>
      <c r="K143" s="196" t="inlineStr">
        <is>
          <t>https://nvd.nist.gov/vuln/detail/CVE-2026-2642</t>
        </is>
      </c>
      <c r="L143" s="195" t="inlineStr">
        <is>
          <t>2026-02-23 23:48</t>
        </is>
      </c>
      <c r="M143" s="195" t="inlineStr">
        <is>
          <t>CHECK_VENDOR</t>
        </is>
      </c>
      <c r="N143" s="195" t="inlineStr">
        <is>
          <t>See NVD references</t>
        </is>
      </c>
      <c r="O143" s="195" t="inlineStr">
        <is>
          <t>Apply vendor patches</t>
        </is>
      </c>
      <c r="P143" s="195" t="inlineStr">
        <is>
          <t>See CVE details</t>
        </is>
      </c>
      <c r="Q143" s="195" t="inlineStr">
        <is>
          <t>P4</t>
        </is>
      </c>
      <c r="R143" s="195" t="inlineStr">
        <is>
          <t>📅 Schedule patch deployment within 30 days | 🔍 Monitor for exploitation attempts</t>
        </is>
      </c>
      <c r="S143" s="195" t="inlineStr">
        <is>
          <t>CVE - IP enrichment n/a</t>
        </is>
      </c>
      <c r="T143" s="195" t="n">
        <v>0.0001</v>
      </c>
      <c r="U143" s="195" t="n">
        <v>0.0024</v>
      </c>
      <c r="V143" s="195" t="inlineStr">
        <is>
          <t>T1190:Exploit Public-Facing Application</t>
        </is>
      </c>
      <c r="W143" s="195" t="n">
        <v>1</v>
      </c>
      <c r="X143" s="195" t="inlineStr">
        <is>
          <t>LOW (40%)</t>
        </is>
      </c>
      <c r="Y143" s="195" t="inlineStr">
        <is>
          <t>UNLIKELY</t>
        </is>
      </c>
      <c r="Z143" s="195" t="inlineStr">
        <is>
          <t>CHECK_VENDOR</t>
        </is>
      </c>
      <c r="AA143" s="196" t="inlineStr">
        <is>
          <t>https://nvd.nist.gov/vuln/detail/CVE-2026-2642</t>
        </is>
      </c>
      <c r="AB143" s="195" t="inlineStr">
        <is>
          <t>NONE</t>
        </is>
      </c>
      <c r="AC143" s="195" t="n">
        <v>0</v>
      </c>
      <c r="AD143" s="195" t="n"/>
    </row>
    <row r="144">
      <c r="A144" s="195" t="inlineStr">
        <is>
          <t>CVE</t>
        </is>
      </c>
      <c r="B144" s="195" t="inlineStr">
        <is>
          <t>CVE-2026-2644</t>
        </is>
      </c>
      <c r="C144" s="195" t="inlineStr">
        <is>
          <t>A weakness has been identified in niklasso minisat up to 2.2.0. This issue affects the function Solver::value in the library core/SolverTypes.h of the component DIMACS File Parser. This manipulation of the argument variable index with the input 2147483648 causes out-of-bounds read. The attack needs to be launched locally. The exploit has been made available to the public and could be used for attacks. The project was informed of the problem early through an issue report but has not responded yet</t>
        </is>
      </c>
      <c r="D144" s="195" t="n">
        <v>3.3</v>
      </c>
      <c r="E144" s="195" t="inlineStr">
        <is>
          <t>LOW</t>
        </is>
      </c>
      <c r="F144" s="195" t="n">
        <v>2</v>
      </c>
      <c r="G144" s="195" t="n">
        <v>1</v>
      </c>
      <c r="H144" s="195" t="inlineStr">
        <is>
          <t>LOW</t>
        </is>
      </c>
      <c r="I144" s="195" t="n">
        <v>5.3</v>
      </c>
      <c r="J144" s="195" t="inlineStr">
        <is>
          <t>NO</t>
        </is>
      </c>
      <c r="K144" s="196" t="inlineStr">
        <is>
          <t>https://nvd.nist.gov/vuln/detail/CVE-2026-2644</t>
        </is>
      </c>
      <c r="L144" s="195" t="inlineStr">
        <is>
          <t>2026-02-23 23:48</t>
        </is>
      </c>
      <c r="M144" s="195" t="inlineStr">
        <is>
          <t>YES</t>
        </is>
      </c>
      <c r="N144" s="196" t="inlineStr">
        <is>
          <t>https://github.com/niklasso/minisat/ | https://github.com/niklasso/minisat/issues/55</t>
        </is>
      </c>
      <c r="O144" s="195" t="inlineStr">
        <is>
          <t>Apply vendor patches</t>
        </is>
      </c>
      <c r="P144" s="195" t="inlineStr">
        <is>
          <t>minisat minisat *</t>
        </is>
      </c>
      <c r="Q144" s="195" t="inlineStr">
        <is>
          <t>P4</t>
        </is>
      </c>
      <c r="R144" s="195" t="inlineStr">
        <is>
          <t>📅 Schedule patch deployment within 30 days | 🔍 Monitor for exploitation attempts</t>
        </is>
      </c>
      <c r="S144" s="195" t="inlineStr">
        <is>
          <t>CVE - IP enrichment n/a</t>
        </is>
      </c>
      <c r="T144" s="195" t="n">
        <v>0</v>
      </c>
      <c r="U144" s="195" t="n">
        <v>0</v>
      </c>
      <c r="V144" s="195" t="inlineStr">
        <is>
          <t>T1203:Exploitation for Client Execution</t>
        </is>
      </c>
      <c r="W144" s="195" t="n">
        <v>1</v>
      </c>
      <c r="X144" s="195" t="inlineStr">
        <is>
          <t>LOW (40%)</t>
        </is>
      </c>
      <c r="Y144" s="195" t="inlineStr">
        <is>
          <t>UNLIKELY</t>
        </is>
      </c>
      <c r="Z144" s="195" t="inlineStr">
        <is>
          <t>PATCH_AVAILABLE</t>
        </is>
      </c>
      <c r="AA144" s="196" t="inlineStr">
        <is>
          <t>https://nvd.nist.gov/vuln/detail/CVE-2026-2644</t>
        </is>
      </c>
      <c r="AB144" s="195" t="inlineStr">
        <is>
          <t>NONE</t>
        </is>
      </c>
      <c r="AC144" s="195" t="n">
        <v>0</v>
      </c>
      <c r="AD144" s="195" t="n"/>
    </row>
    <row r="145">
      <c r="A145" s="191" t="inlineStr">
        <is>
          <t>CVE</t>
        </is>
      </c>
      <c r="B145" s="191" t="inlineStr">
        <is>
          <t>CVE-2026-1655</t>
        </is>
      </c>
      <c r="C145" s="191" t="inlineStr">
        <is>
          <t>The EventPrime plugin for WordPress is vulnerable to unauthorized post modification due to missing authorization checks in all versions up to, and including, 4.2.8.4. This is due to the save_frontend_event_submission function accepting a user-controlled event_id parameter and updating the corresponding event post without enforcing ownership or capability checks. This makes it possible for authenticated (Customer+) attackers to modify posts created by administrators by manipulating the event_id p</t>
        </is>
      </c>
      <c r="D145" s="191" t="n">
        <v>4.3</v>
      </c>
      <c r="E145" s="191" t="inlineStr">
        <is>
          <t>MEDIUM</t>
        </is>
      </c>
      <c r="F145" s="191" t="n">
        <v>2</v>
      </c>
      <c r="G145" s="191" t="n">
        <v>2</v>
      </c>
      <c r="H145" s="191" t="inlineStr">
        <is>
          <t>MEDIUM</t>
        </is>
      </c>
      <c r="I145" s="191" t="n">
        <v>8.300000000000001</v>
      </c>
      <c r="J145" s="191" t="inlineStr">
        <is>
          <t>NO</t>
        </is>
      </c>
      <c r="K145" s="192" t="inlineStr">
        <is>
          <t>https://nvd.nist.gov/vuln/detail/CVE-2026-1655</t>
        </is>
      </c>
      <c r="L145" s="191" t="inlineStr">
        <is>
          <t>2026-02-23 23:48</t>
        </is>
      </c>
      <c r="M145" s="191" t="inlineStr">
        <is>
          <t>CHECK_VENDOR</t>
        </is>
      </c>
      <c r="N145" s="191" t="inlineStr">
        <is>
          <t>See NVD references</t>
        </is>
      </c>
      <c r="O145" s="191" t="inlineStr">
        <is>
          <t>Apply vendor patches</t>
        </is>
      </c>
      <c r="P145" s="191" t="inlineStr">
        <is>
          <t>See CVE details</t>
        </is>
      </c>
      <c r="Q145" s="191" t="inlineStr">
        <is>
          <t>P4</t>
        </is>
      </c>
      <c r="R145" s="191" t="inlineStr">
        <is>
          <t>📅 Schedule patch deployment within 30 days | 🔍 Monitor for exploitation attempts</t>
        </is>
      </c>
      <c r="S145" s="191" t="inlineStr">
        <is>
          <t>CVE - IP enrichment n/a</t>
        </is>
      </c>
      <c r="T145" s="191" t="n">
        <v>0</v>
      </c>
      <c r="U145" s="191" t="n">
        <v>0</v>
      </c>
      <c r="V145" s="191" t="inlineStr">
        <is>
          <t>T1190:Exploit Public-Facing Application</t>
        </is>
      </c>
      <c r="W145" s="191" t="n">
        <v>1</v>
      </c>
      <c r="X145" s="191" t="inlineStr">
        <is>
          <t>LOW (40%)</t>
        </is>
      </c>
      <c r="Y145" s="191" t="inlineStr">
        <is>
          <t>UNLIKELY</t>
        </is>
      </c>
      <c r="Z145" s="191" t="inlineStr">
        <is>
          <t>CHECK_VENDOR</t>
        </is>
      </c>
      <c r="AA145" s="192" t="inlineStr">
        <is>
          <t>https://nvd.nist.gov/vuln/detail/CVE-2026-1655</t>
        </is>
      </c>
      <c r="AB145" s="191" t="inlineStr">
        <is>
          <t>NONE</t>
        </is>
      </c>
      <c r="AC145" s="191" t="n">
        <v>0</v>
      </c>
      <c r="AD145" s="191" t="n"/>
    </row>
    <row r="146">
      <c r="A146" s="195" t="inlineStr">
        <is>
          <t>CVE</t>
        </is>
      </c>
      <c r="B146" s="195" t="inlineStr">
        <is>
          <t>CVE-2026-1831</t>
        </is>
      </c>
      <c r="C146" s="195" t="inlineStr">
        <is>
          <t>The YayMail - WooCommerce Email Customizer plugin for WordPress is vulnerable to unauthorized plugin installation and activation due to missing capability checks on the 'yaymail_install_yaysmtp' AJAX action and `/yaymail/v1/addons/activate` REST endpoint in all versions up to, and including, 4.3.2. This makes it possible for authenticated attackers, with Shop Manager-level access and above, to install and activate the YaySMTP plugin.</t>
        </is>
      </c>
      <c r="D146" s="195" t="n">
        <v>2.7</v>
      </c>
      <c r="E146" s="195" t="inlineStr">
        <is>
          <t>LOW</t>
        </is>
      </c>
      <c r="F146" s="195" t="n">
        <v>2</v>
      </c>
      <c r="G146" s="195" t="n">
        <v>1</v>
      </c>
      <c r="H146" s="195" t="inlineStr">
        <is>
          <t>LOW</t>
        </is>
      </c>
      <c r="I146" s="195" t="n">
        <v>4.7</v>
      </c>
      <c r="J146" s="195" t="inlineStr">
        <is>
          <t>NO</t>
        </is>
      </c>
      <c r="K146" s="196" t="inlineStr">
        <is>
          <t>https://nvd.nist.gov/vuln/detail/CVE-2026-1831</t>
        </is>
      </c>
      <c r="L146" s="195" t="inlineStr">
        <is>
          <t>2026-02-23 23:48</t>
        </is>
      </c>
      <c r="M146" s="195" t="inlineStr">
        <is>
          <t>CHECK_VENDOR</t>
        </is>
      </c>
      <c r="N146" s="195" t="inlineStr">
        <is>
          <t>See NVD references</t>
        </is>
      </c>
      <c r="O146" s="195" t="inlineStr">
        <is>
          <t>Apply vendor patches</t>
        </is>
      </c>
      <c r="P146" s="195" t="inlineStr">
        <is>
          <t>See CVE details</t>
        </is>
      </c>
      <c r="Q146" s="195" t="inlineStr">
        <is>
          <t>P4</t>
        </is>
      </c>
      <c r="R146" s="195" t="inlineStr">
        <is>
          <t>📅 Schedule patch deployment within 30 days | 🔍 Monitor for exploitation attempts</t>
        </is>
      </c>
      <c r="S146" s="195" t="inlineStr">
        <is>
          <t>CVE - IP enrichment n/a</t>
        </is>
      </c>
      <c r="T146" s="195" t="n">
        <v>0.0001</v>
      </c>
      <c r="U146" s="195" t="n">
        <v>0.0074</v>
      </c>
      <c r="V146" s="195" t="inlineStr">
        <is>
          <t>T1190:Exploit Public-Facing Application</t>
        </is>
      </c>
      <c r="W146" s="195" t="n">
        <v>1</v>
      </c>
      <c r="X146" s="195" t="inlineStr">
        <is>
          <t>LOW (40%)</t>
        </is>
      </c>
      <c r="Y146" s="195" t="inlineStr">
        <is>
          <t>UNLIKELY</t>
        </is>
      </c>
      <c r="Z146" s="195" t="inlineStr">
        <is>
          <t>CHECK_VENDOR</t>
        </is>
      </c>
      <c r="AA146" s="196" t="inlineStr">
        <is>
          <t>https://nvd.nist.gov/vuln/detail/CVE-2026-1831</t>
        </is>
      </c>
      <c r="AB146" s="195" t="inlineStr">
        <is>
          <t>NONE</t>
        </is>
      </c>
      <c r="AC146" s="195" t="n">
        <v>0</v>
      </c>
      <c r="AD146" s="195" t="n"/>
    </row>
    <row r="147">
      <c r="A147" s="191" t="inlineStr">
        <is>
          <t>CVE</t>
        </is>
      </c>
      <c r="B147" s="191" t="inlineStr">
        <is>
          <t>CVE-2026-1860</t>
        </is>
      </c>
      <c r="C147" s="191" t="inlineStr">
        <is>
          <t xml:space="preserve">The Kali Forms plugin for WordPress is vulnerable to Insecure Direct Object Reference in all versions up to, and including, 2.4.8. This is due to the `get_items_permissions_check()` permission callback on the `/kaliforms/v1/forms/{id}` REST API endpoint only checking for the `edit_posts` capability without verifying that the requesting user has ownership or authorization over the specific form resource. This makes it possible for authenticated attackers, with Contributor-level access and above, </t>
        </is>
      </c>
      <c r="D147" s="191" t="n">
        <v>4.3</v>
      </c>
      <c r="E147" s="191" t="inlineStr">
        <is>
          <t>MEDIUM</t>
        </is>
      </c>
      <c r="F147" s="191" t="n">
        <v>2</v>
      </c>
      <c r="G147" s="191" t="n">
        <v>2</v>
      </c>
      <c r="H147" s="191" t="inlineStr">
        <is>
          <t>MEDIUM</t>
        </is>
      </c>
      <c r="I147" s="191" t="n">
        <v>8.300000000000001</v>
      </c>
      <c r="J147" s="191" t="inlineStr">
        <is>
          <t>NO</t>
        </is>
      </c>
      <c r="K147" s="192" t="inlineStr">
        <is>
          <t>https://nvd.nist.gov/vuln/detail/CVE-2026-1860</t>
        </is>
      </c>
      <c r="L147" s="191" t="inlineStr">
        <is>
          <t>2026-02-23 23:48</t>
        </is>
      </c>
      <c r="M147" s="191" t="inlineStr">
        <is>
          <t>CHECK_VENDOR</t>
        </is>
      </c>
      <c r="N147" s="191" t="inlineStr">
        <is>
          <t>See NVD references</t>
        </is>
      </c>
      <c r="O147" s="191" t="inlineStr">
        <is>
          <t>Apply vendor patches</t>
        </is>
      </c>
      <c r="P147" s="191" t="inlineStr">
        <is>
          <t>See CVE details</t>
        </is>
      </c>
      <c r="Q147" s="191" t="inlineStr">
        <is>
          <t>P4</t>
        </is>
      </c>
      <c r="R147" s="191" t="inlineStr">
        <is>
          <t>📅 Schedule patch deployment within 30 days | 🔍 Monitor for exploitation attempts</t>
        </is>
      </c>
      <c r="S147" s="191" t="inlineStr">
        <is>
          <t>CVE - IP enrichment n/a</t>
        </is>
      </c>
      <c r="T147" s="191" t="n">
        <v>0</v>
      </c>
      <c r="U147" s="191" t="n">
        <v>0</v>
      </c>
      <c r="V147" s="191" t="inlineStr">
        <is>
          <t>T1190:Exploit Public-Facing Application</t>
        </is>
      </c>
      <c r="W147" s="191" t="n">
        <v>1</v>
      </c>
      <c r="X147" s="191" t="inlineStr">
        <is>
          <t>LOW (40%)</t>
        </is>
      </c>
      <c r="Y147" s="191" t="inlineStr">
        <is>
          <t>UNLIKELY</t>
        </is>
      </c>
      <c r="Z147" s="191" t="inlineStr">
        <is>
          <t>CHECK_VENDOR</t>
        </is>
      </c>
      <c r="AA147" s="192" t="inlineStr">
        <is>
          <t>https://nvd.nist.gov/vuln/detail/CVE-2026-1860</t>
        </is>
      </c>
      <c r="AB147" s="191" t="inlineStr">
        <is>
          <t>NONE</t>
        </is>
      </c>
      <c r="AC147" s="191" t="n">
        <v>0</v>
      </c>
      <c r="AD147" s="191" t="n"/>
    </row>
    <row r="148">
      <c r="A148" s="191" t="inlineStr">
        <is>
          <t>CVE</t>
        </is>
      </c>
      <c r="B148" s="191" t="inlineStr">
        <is>
          <t>CVE-2026-1938</t>
        </is>
      </c>
      <c r="C148" s="191" t="inlineStr">
        <is>
          <t>The YayMail – WooCommerce Email Customizer plugin for WordPress is vulnerable to unauthorized license key deletion due to a missing authorization check on the `/yaymail-license/v1/license/delete` REST endpoint in versions up to, and including, 4.3.2. This makes it possible for authenticated attackers, with Shop Manager-level access and above, to delete the plugin's license key via the '/yaymail-license/v1/license/delete' endpoint granted they can obtain the REST API nonce.</t>
        </is>
      </c>
      <c r="D148" s="191" t="n">
        <v>5.3</v>
      </c>
      <c r="E148" s="191" t="inlineStr">
        <is>
          <t>MEDIUM</t>
        </is>
      </c>
      <c r="F148" s="191" t="n">
        <v>2</v>
      </c>
      <c r="G148" s="191" t="n">
        <v>2</v>
      </c>
      <c r="H148" s="191" t="inlineStr">
        <is>
          <t>MEDIUM</t>
        </is>
      </c>
      <c r="I148" s="191" t="n">
        <v>9.300000000000001</v>
      </c>
      <c r="J148" s="191" t="inlineStr">
        <is>
          <t>NO</t>
        </is>
      </c>
      <c r="K148" s="192" t="inlineStr">
        <is>
          <t>https://nvd.nist.gov/vuln/detail/CVE-2026-1938</t>
        </is>
      </c>
      <c r="L148" s="191" t="inlineStr">
        <is>
          <t>2026-02-23 23:48</t>
        </is>
      </c>
      <c r="M148" s="191" t="inlineStr">
        <is>
          <t>CHECK_VENDOR</t>
        </is>
      </c>
      <c r="N148" s="191" t="inlineStr">
        <is>
          <t>See NVD references</t>
        </is>
      </c>
      <c r="O148" s="191" t="inlineStr">
        <is>
          <t>Apply vendor patches</t>
        </is>
      </c>
      <c r="P148" s="191" t="inlineStr">
        <is>
          <t>See CVE details</t>
        </is>
      </c>
      <c r="Q148" s="191" t="inlineStr">
        <is>
          <t>P4</t>
        </is>
      </c>
      <c r="R148" s="191" t="inlineStr">
        <is>
          <t>📅 Schedule patch deployment within 30 days | 🔍 Monitor for exploitation attempts</t>
        </is>
      </c>
      <c r="S148" s="191" t="inlineStr">
        <is>
          <t>CVE - IP enrichment n/a</t>
        </is>
      </c>
      <c r="T148" s="191" t="n">
        <v>0.0001</v>
      </c>
      <c r="U148" s="191" t="n">
        <v>0.0086</v>
      </c>
      <c r="V148" s="191" t="inlineStr">
        <is>
          <t>T1190:Exploit Public-Facing Application</t>
        </is>
      </c>
      <c r="W148" s="191" t="n">
        <v>1</v>
      </c>
      <c r="X148" s="191" t="inlineStr">
        <is>
          <t>LOW (40%)</t>
        </is>
      </c>
      <c r="Y148" s="191" t="inlineStr">
        <is>
          <t>UNLIKELY</t>
        </is>
      </c>
      <c r="Z148" s="191" t="inlineStr">
        <is>
          <t>CHECK_VENDOR</t>
        </is>
      </c>
      <c r="AA148" s="192" t="inlineStr">
        <is>
          <t>https://nvd.nist.gov/vuln/detail/CVE-2026-1938</t>
        </is>
      </c>
      <c r="AB148" s="191" t="inlineStr">
        <is>
          <t>NONE</t>
        </is>
      </c>
      <c r="AC148" s="191" t="n">
        <v>0</v>
      </c>
      <c r="AD148" s="191" t="n"/>
    </row>
    <row r="149">
      <c r="A149" s="191" t="inlineStr">
        <is>
          <t>CVE</t>
        </is>
      </c>
      <c r="B149" s="191" t="inlineStr">
        <is>
          <t>CVE-2026-1943</t>
        </is>
      </c>
      <c r="C149" s="191" t="inlineStr">
        <is>
          <t>The YayMail – WooCommerce Email Customizer plugin for WordPress is vulnerable to Stored Cross-Site Scripting via settings in all versions up to, and including, 4.3.2 due to insufficient input sanitization and output escaping. This makes it possible for authenticated attackers, with Shop Manager-level permissions and above, to inject arbitrary web scripts in pages that will execute whenever a user accesses an injected page. This only affects multi-site installations and installations where unfilt</t>
        </is>
      </c>
      <c r="D149" s="191" t="n">
        <v>4.4</v>
      </c>
      <c r="E149" s="191" t="inlineStr">
        <is>
          <t>MEDIUM</t>
        </is>
      </c>
      <c r="F149" s="191" t="n">
        <v>2</v>
      </c>
      <c r="G149" s="191" t="n">
        <v>2</v>
      </c>
      <c r="H149" s="191" t="inlineStr">
        <is>
          <t>MEDIUM</t>
        </is>
      </c>
      <c r="I149" s="191" t="n">
        <v>8.4</v>
      </c>
      <c r="J149" s="191" t="inlineStr">
        <is>
          <t>NO</t>
        </is>
      </c>
      <c r="K149" s="192" t="inlineStr">
        <is>
          <t>https://nvd.nist.gov/vuln/detail/CVE-2026-1943</t>
        </is>
      </c>
      <c r="L149" s="191" t="inlineStr">
        <is>
          <t>2026-02-23 23:48</t>
        </is>
      </c>
      <c r="M149" s="191" t="inlineStr">
        <is>
          <t>CHECK_VENDOR</t>
        </is>
      </c>
      <c r="N149" s="191" t="inlineStr">
        <is>
          <t>See NVD references</t>
        </is>
      </c>
      <c r="O149" s="191" t="inlineStr">
        <is>
          <t>Apply vendor patches</t>
        </is>
      </c>
      <c r="P149" s="191" t="inlineStr">
        <is>
          <t>See CVE details</t>
        </is>
      </c>
      <c r="Q149" s="191" t="inlineStr">
        <is>
          <t>P4</t>
        </is>
      </c>
      <c r="R149" s="191" t="inlineStr">
        <is>
          <t>📅 Schedule patch deployment within 30 days | 🔍 Monitor for exploitation attempts</t>
        </is>
      </c>
      <c r="S149" s="191" t="inlineStr">
        <is>
          <t>CVE - IP enrichment n/a</t>
        </is>
      </c>
      <c r="T149" s="191" t="n">
        <v>0</v>
      </c>
      <c r="U149" s="191" t="n">
        <v>0</v>
      </c>
      <c r="V149" s="191" t="inlineStr">
        <is>
          <t>T1189:Drive-by Compromise | T1190:Exploit Public-Facing Application</t>
        </is>
      </c>
      <c r="W149" s="191" t="n">
        <v>1</v>
      </c>
      <c r="X149" s="191" t="inlineStr">
        <is>
          <t>LOW (40%)</t>
        </is>
      </c>
      <c r="Y149" s="191" t="inlineStr">
        <is>
          <t>UNLIKELY</t>
        </is>
      </c>
      <c r="Z149" s="191" t="inlineStr">
        <is>
          <t>CHECK_VENDOR</t>
        </is>
      </c>
      <c r="AA149" s="192" t="inlineStr">
        <is>
          <t>https://nvd.nist.gov/vuln/detail/CVE-2026-1943</t>
        </is>
      </c>
      <c r="AB149" s="191" t="inlineStr">
        <is>
          <t>NONE</t>
        </is>
      </c>
      <c r="AC149" s="191" t="n">
        <v>0</v>
      </c>
      <c r="AD149" s="191" t="n"/>
    </row>
    <row r="150">
      <c r="A150" s="191" t="inlineStr">
        <is>
          <t>CVE</t>
        </is>
      </c>
      <c r="B150" s="191" t="inlineStr">
        <is>
          <t>CVE-2026-25421</t>
        </is>
      </c>
      <c r="C150" s="191" t="inlineStr">
        <is>
          <t>Rejected reason: This CVE ID has been rejected or withdrawn by its CVE Numbering Authority. Collision with another CVE.</t>
        </is>
      </c>
      <c r="D150" s="191" t="n">
        <v>5</v>
      </c>
      <c r="E150" s="191" t="inlineStr">
        <is>
          <t>MEDIUM</t>
        </is>
      </c>
      <c r="F150" s="191" t="n">
        <v>2</v>
      </c>
      <c r="G150" s="191" t="n">
        <v>2</v>
      </c>
      <c r="H150" s="191" t="inlineStr">
        <is>
          <t>MEDIUM</t>
        </is>
      </c>
      <c r="I150" s="191" t="n">
        <v>9</v>
      </c>
      <c r="J150" s="191" t="inlineStr">
        <is>
          <t>NO</t>
        </is>
      </c>
      <c r="K150" s="192" t="inlineStr">
        <is>
          <t>https://nvd.nist.gov/vuln/detail/CVE-2026-25421</t>
        </is>
      </c>
      <c r="L150" s="191" t="inlineStr">
        <is>
          <t>2026-02-23 23:48</t>
        </is>
      </c>
      <c r="M150" s="191" t="inlineStr">
        <is>
          <t>CHECK_VENDOR</t>
        </is>
      </c>
      <c r="N150" s="191" t="inlineStr">
        <is>
          <t>See NVD references</t>
        </is>
      </c>
      <c r="O150" s="191" t="inlineStr">
        <is>
          <t>Apply vendor patches</t>
        </is>
      </c>
      <c r="P150" s="191" t="inlineStr">
        <is>
          <t>See CVE details</t>
        </is>
      </c>
      <c r="Q150" s="191" t="inlineStr">
        <is>
          <t>P4</t>
        </is>
      </c>
      <c r="R150" s="191" t="inlineStr">
        <is>
          <t>📅 Schedule patch deployment within 30 days | 🔍 Monitor for exploitation attempts</t>
        </is>
      </c>
      <c r="S150" s="191" t="inlineStr">
        <is>
          <t>CVE - IP enrichment n/a</t>
        </is>
      </c>
      <c r="T150" s="191" t="n">
        <v>0</v>
      </c>
      <c r="U150" s="191" t="n">
        <v>0</v>
      </c>
      <c r="V150" s="191" t="inlineStr">
        <is>
          <t>T1190:Exploit Public-Facing Application</t>
        </is>
      </c>
      <c r="W150" s="191" t="n">
        <v>1</v>
      </c>
      <c r="X150" s="191" t="inlineStr">
        <is>
          <t>LOW (40%)</t>
        </is>
      </c>
      <c r="Y150" s="191" t="inlineStr">
        <is>
          <t>UNLIKELY</t>
        </is>
      </c>
      <c r="Z150" s="191" t="inlineStr">
        <is>
          <t>CHECK_VENDOR</t>
        </is>
      </c>
      <c r="AA150" s="192" t="inlineStr">
        <is>
          <t>https://nvd.nist.gov/vuln/detail/CVE-2026-25421</t>
        </is>
      </c>
      <c r="AB150" s="191" t="inlineStr">
        <is>
          <t>NONE</t>
        </is>
      </c>
      <c r="AC150" s="191" t="n">
        <v>0</v>
      </c>
      <c r="AD150" s="191" t="n"/>
    </row>
    <row r="151">
      <c r="A151" s="191" t="inlineStr">
        <is>
          <t>CVE</t>
        </is>
      </c>
      <c r="B151" s="191" t="inlineStr">
        <is>
          <t>CVE-2026-2112</t>
        </is>
      </c>
      <c r="C151" s="191" t="inlineStr">
        <is>
          <t>The Dam Spam plugin for WordPress is vulnerable to Cross-Site Request Forgery in all versions up to, and including, 1.0.8. This is due to missing nonce verification on the pending comment deletion action in the cleanup page. This makes it possible for unauthenticated attackers to delete all pending comments via a forged request granted they can trick an admin into performing an action such as clicking on a link.</t>
        </is>
      </c>
      <c r="D151" s="191" t="n">
        <v>4.3</v>
      </c>
      <c r="E151" s="191" t="inlineStr">
        <is>
          <t>MEDIUM</t>
        </is>
      </c>
      <c r="F151" s="191" t="n">
        <v>2</v>
      </c>
      <c r="G151" s="191" t="n">
        <v>2</v>
      </c>
      <c r="H151" s="191" t="inlineStr">
        <is>
          <t>MEDIUM</t>
        </is>
      </c>
      <c r="I151" s="191" t="n">
        <v>8.300000000000001</v>
      </c>
      <c r="J151" s="191" t="inlineStr">
        <is>
          <t>NO</t>
        </is>
      </c>
      <c r="K151" s="192" t="inlineStr">
        <is>
          <t>https://nvd.nist.gov/vuln/detail/CVE-2026-2112</t>
        </is>
      </c>
      <c r="L151" s="191" t="inlineStr">
        <is>
          <t>2026-02-23 23:48</t>
        </is>
      </c>
      <c r="M151" s="191" t="inlineStr">
        <is>
          <t>CHECK_VENDOR</t>
        </is>
      </c>
      <c r="N151" s="191" t="inlineStr">
        <is>
          <t>See NVD references</t>
        </is>
      </c>
      <c r="O151" s="191" t="inlineStr">
        <is>
          <t>Apply vendor patches</t>
        </is>
      </c>
      <c r="P151" s="191" t="inlineStr">
        <is>
          <t>See CVE details</t>
        </is>
      </c>
      <c r="Q151" s="191" t="inlineStr">
        <is>
          <t>P4</t>
        </is>
      </c>
      <c r="R151" s="191" t="inlineStr">
        <is>
          <t>📅 Schedule patch deployment within 30 days | 🔍 Monitor for exploitation attempts</t>
        </is>
      </c>
      <c r="S151" s="191" t="inlineStr">
        <is>
          <t>CVE - IP enrichment n/a</t>
        </is>
      </c>
      <c r="T151" s="191" t="n">
        <v>0</v>
      </c>
      <c r="U151" s="191" t="n">
        <v>0</v>
      </c>
      <c r="V151" s="191" t="inlineStr">
        <is>
          <t>T1185:Browser Session Hijacking</t>
        </is>
      </c>
      <c r="W151" s="191" t="n">
        <v>1</v>
      </c>
      <c r="X151" s="191" t="inlineStr">
        <is>
          <t>LOW (40%)</t>
        </is>
      </c>
      <c r="Y151" s="191" t="inlineStr">
        <is>
          <t>UNLIKELY</t>
        </is>
      </c>
      <c r="Z151" s="191" t="inlineStr">
        <is>
          <t>CHECK_VENDOR</t>
        </is>
      </c>
      <c r="AA151" s="192" t="inlineStr">
        <is>
          <t>https://nvd.nist.gov/vuln/detail/CVE-2026-2112</t>
        </is>
      </c>
      <c r="AB151" s="191" t="inlineStr">
        <is>
          <t>NONE</t>
        </is>
      </c>
      <c r="AC151" s="191" t="n">
        <v>0</v>
      </c>
      <c r="AD151" s="191" t="n"/>
    </row>
    <row r="152">
      <c r="A152" s="195" t="inlineStr">
        <is>
          <t>CVE</t>
        </is>
      </c>
      <c r="B152" s="195" t="inlineStr">
        <is>
          <t>CVE-2026-2419</t>
        </is>
      </c>
      <c r="C152" s="195" t="inlineStr">
        <is>
          <t>The WP-DownloadManager plugin for WordPress is vulnerable to Path Traversal in all versions up to, and including, 1.69 via the 'download_path' configuration parameter. This is due to insufficient validation of the download path setting, which allows directory traversal sequences to bypass the WP_CONTENT_DIR prefix check. This makes it possible for authenticated attackers, with Administrator-level access and above, to configure the plugin to list and access arbitrary files on the server by exploi</t>
        </is>
      </c>
      <c r="D152" s="195" t="n">
        <v>2.7</v>
      </c>
      <c r="E152" s="195" t="inlineStr">
        <is>
          <t>LOW</t>
        </is>
      </c>
      <c r="F152" s="195" t="n">
        <v>2</v>
      </c>
      <c r="G152" s="195" t="n">
        <v>1</v>
      </c>
      <c r="H152" s="195" t="inlineStr">
        <is>
          <t>LOW</t>
        </is>
      </c>
      <c r="I152" s="195" t="n">
        <v>4.7</v>
      </c>
      <c r="J152" s="195" t="inlineStr">
        <is>
          <t>NO</t>
        </is>
      </c>
      <c r="K152" s="196" t="inlineStr">
        <is>
          <t>https://nvd.nist.gov/vuln/detail/CVE-2026-2419</t>
        </is>
      </c>
      <c r="L152" s="195" t="inlineStr">
        <is>
          <t>2026-02-23 23:48</t>
        </is>
      </c>
      <c r="M152" s="195" t="inlineStr">
        <is>
          <t>CHECK_VENDOR</t>
        </is>
      </c>
      <c r="N152" s="195" t="inlineStr">
        <is>
          <t>See NVD references</t>
        </is>
      </c>
      <c r="O152" s="195" t="inlineStr">
        <is>
          <t>Apply vendor patches</t>
        </is>
      </c>
      <c r="P152" s="195" t="inlineStr">
        <is>
          <t>See CVE details</t>
        </is>
      </c>
      <c r="Q152" s="195" t="inlineStr">
        <is>
          <t>P4</t>
        </is>
      </c>
      <c r="R152" s="195" t="inlineStr">
        <is>
          <t>📅 Schedule patch deployment within 30 days | 🔍 Monitor for exploitation attempts</t>
        </is>
      </c>
      <c r="S152" s="195" t="inlineStr">
        <is>
          <t>CVE - IP enrichment n/a</t>
        </is>
      </c>
      <c r="T152" s="195" t="n">
        <v>0</v>
      </c>
      <c r="U152" s="195" t="n">
        <v>0</v>
      </c>
      <c r="V152" s="195" t="inlineStr">
        <is>
          <t>T1083:File and Directory Discovery</t>
        </is>
      </c>
      <c r="W152" s="195" t="n">
        <v>1</v>
      </c>
      <c r="X152" s="195" t="inlineStr">
        <is>
          <t>LOW (40%)</t>
        </is>
      </c>
      <c r="Y152" s="195" t="inlineStr">
        <is>
          <t>UNLIKELY</t>
        </is>
      </c>
      <c r="Z152" s="195" t="inlineStr">
        <is>
          <t>CHECK_VENDOR</t>
        </is>
      </c>
      <c r="AA152" s="196" t="inlineStr">
        <is>
          <t>https://nvd.nist.gov/vuln/detail/CVE-2026-2419</t>
        </is>
      </c>
      <c r="AB152" s="195" t="inlineStr">
        <is>
          <t>NONE</t>
        </is>
      </c>
      <c r="AC152" s="195" t="n">
        <v>0</v>
      </c>
      <c r="AD152" s="195" t="n"/>
    </row>
    <row r="153">
      <c r="A153" s="191" t="inlineStr">
        <is>
          <t>CVE</t>
        </is>
      </c>
      <c r="B153" s="191" t="inlineStr">
        <is>
          <t>CVE-2026-1649</t>
        </is>
      </c>
      <c r="C153" s="191" t="inlineStr">
        <is>
          <t>The Community Events plugin for WordPress is vulnerable to Stored Cross-Site Scripting via the 'ce_venue_name' parameter in all versions up to, and including, 1.5.7 due to insufficient input sanitization and output escaping. This makes it possible for authenticated attackers, with administrator-level access and above, to inject arbitrary web scripts in pages that will execute whenever a user accesses an injected page.</t>
        </is>
      </c>
      <c r="D153" s="191" t="n">
        <v>4.4</v>
      </c>
      <c r="E153" s="191" t="inlineStr">
        <is>
          <t>MEDIUM</t>
        </is>
      </c>
      <c r="F153" s="191" t="n">
        <v>2</v>
      </c>
      <c r="G153" s="191" t="n">
        <v>2</v>
      </c>
      <c r="H153" s="191" t="inlineStr">
        <is>
          <t>MEDIUM</t>
        </is>
      </c>
      <c r="I153" s="191" t="n">
        <v>8.4</v>
      </c>
      <c r="J153" s="191" t="inlineStr">
        <is>
          <t>NO</t>
        </is>
      </c>
      <c r="K153" s="192" t="inlineStr">
        <is>
          <t>https://nvd.nist.gov/vuln/detail/CVE-2026-1649</t>
        </is>
      </c>
      <c r="L153" s="191" t="inlineStr">
        <is>
          <t>2026-02-23 23:48</t>
        </is>
      </c>
      <c r="M153" s="191" t="inlineStr">
        <is>
          <t>CHECK_VENDOR</t>
        </is>
      </c>
      <c r="N153" s="191" t="inlineStr">
        <is>
          <t>See NVD references</t>
        </is>
      </c>
      <c r="O153" s="191" t="inlineStr">
        <is>
          <t>Apply vendor patches</t>
        </is>
      </c>
      <c r="P153" s="191" t="inlineStr">
        <is>
          <t>See CVE details</t>
        </is>
      </c>
      <c r="Q153" s="191" t="inlineStr">
        <is>
          <t>P4</t>
        </is>
      </c>
      <c r="R153" s="191" t="inlineStr">
        <is>
          <t>📅 Schedule patch deployment within 30 days | 🔍 Monitor for exploitation attempts</t>
        </is>
      </c>
      <c r="S153" s="191" t="inlineStr">
        <is>
          <t>CVE - IP enrichment n/a</t>
        </is>
      </c>
      <c r="T153" s="191" t="n">
        <v>0</v>
      </c>
      <c r="U153" s="191" t="n">
        <v>0</v>
      </c>
      <c r="V153" s="191" t="inlineStr">
        <is>
          <t>T1189:Drive-by Compromise</t>
        </is>
      </c>
      <c r="W153" s="191" t="n">
        <v>1</v>
      </c>
      <c r="X153" s="191" t="inlineStr">
        <is>
          <t>LOW (40%)</t>
        </is>
      </c>
      <c r="Y153" s="191" t="inlineStr">
        <is>
          <t>UNLIKELY</t>
        </is>
      </c>
      <c r="Z153" s="191" t="inlineStr">
        <is>
          <t>CHECK_VENDOR</t>
        </is>
      </c>
      <c r="AA153" s="192" t="inlineStr">
        <is>
          <t>https://nvd.nist.gov/vuln/detail/CVE-2026-1649</t>
        </is>
      </c>
      <c r="AB153" s="191" t="inlineStr">
        <is>
          <t>NONE</t>
        </is>
      </c>
      <c r="AC153" s="191" t="n">
        <v>0</v>
      </c>
      <c r="AD153" s="191" t="n"/>
    </row>
    <row r="154">
      <c r="A154" s="191" t="inlineStr">
        <is>
          <t>CVE</t>
        </is>
      </c>
      <c r="B154" s="191" t="inlineStr">
        <is>
          <t>CVE-2026-1656</t>
        </is>
      </c>
      <c r="C154" s="191" t="inlineStr">
        <is>
          <t>The Business Directory Plugin for WordPress is vulnerable to authorization bypass due to a missing authorization check in all versions up to, and including, 6.4.20. This makes it possible for unauthenticated attackers to modify arbitrary listings, including changing titles, content, and email addresses, by directly referencing the listing ID in crafted requests to the wpbdp_ajax AJAX action.</t>
        </is>
      </c>
      <c r="D154" s="191" t="n">
        <v>5.3</v>
      </c>
      <c r="E154" s="191" t="inlineStr">
        <is>
          <t>MEDIUM</t>
        </is>
      </c>
      <c r="F154" s="191" t="n">
        <v>2</v>
      </c>
      <c r="G154" s="191" t="n">
        <v>2</v>
      </c>
      <c r="H154" s="191" t="inlineStr">
        <is>
          <t>MEDIUM</t>
        </is>
      </c>
      <c r="I154" s="191" t="n">
        <v>9.300000000000001</v>
      </c>
      <c r="J154" s="191" t="inlineStr">
        <is>
          <t>NO</t>
        </is>
      </c>
      <c r="K154" s="192" t="inlineStr">
        <is>
          <t>https://nvd.nist.gov/vuln/detail/CVE-2026-1656</t>
        </is>
      </c>
      <c r="L154" s="191" t="inlineStr">
        <is>
          <t>2026-02-23 23:48</t>
        </is>
      </c>
      <c r="M154" s="191" t="inlineStr">
        <is>
          <t>CHECK_VENDOR</t>
        </is>
      </c>
      <c r="N154" s="191" t="inlineStr">
        <is>
          <t>See NVD references</t>
        </is>
      </c>
      <c r="O154" s="191" t="inlineStr">
        <is>
          <t>Apply vendor patches</t>
        </is>
      </c>
      <c r="P154" s="191" t="inlineStr">
        <is>
          <t>See CVE details</t>
        </is>
      </c>
      <c r="Q154" s="191" t="inlineStr">
        <is>
          <t>P4</t>
        </is>
      </c>
      <c r="R154" s="191" t="inlineStr">
        <is>
          <t>📅 Schedule patch deployment within 30 days | 🔍 Monitor for exploitation attempts</t>
        </is>
      </c>
      <c r="S154" s="191" t="inlineStr">
        <is>
          <t>CVE - IP enrichment n/a</t>
        </is>
      </c>
      <c r="T154" s="191" t="n">
        <v>0</v>
      </c>
      <c r="U154" s="191" t="n">
        <v>0</v>
      </c>
      <c r="V154" s="191" t="inlineStr">
        <is>
          <t>T1190:Exploit Public-Facing Application</t>
        </is>
      </c>
      <c r="W154" s="191" t="n">
        <v>1</v>
      </c>
      <c r="X154" s="191" t="inlineStr">
        <is>
          <t>LOW (40%)</t>
        </is>
      </c>
      <c r="Y154" s="191" t="inlineStr">
        <is>
          <t>UNLIKELY</t>
        </is>
      </c>
      <c r="Z154" s="191" t="inlineStr">
        <is>
          <t>CHECK_VENDOR</t>
        </is>
      </c>
      <c r="AA154" s="192" t="inlineStr">
        <is>
          <t>https://nvd.nist.gov/vuln/detail/CVE-2026-1656</t>
        </is>
      </c>
      <c r="AB154" s="191" t="inlineStr">
        <is>
          <t>NONE</t>
        </is>
      </c>
      <c r="AC154" s="191" t="n">
        <v>0</v>
      </c>
      <c r="AD154" s="191" t="n"/>
    </row>
    <row r="155">
      <c r="A155" s="191" t="inlineStr">
        <is>
          <t>CVE</t>
        </is>
      </c>
      <c r="B155" s="191" t="inlineStr">
        <is>
          <t>CVE-2026-1941</t>
        </is>
      </c>
      <c r="C155" s="191" t="inlineStr">
        <is>
          <t>The WP Event Aggregator plugin for WordPress is vulnerable to Stored Cross-Site Scripting via the plugin's 'wp_events' shortcode in all versions up to, and including, 1.8.7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155" s="191" t="n">
        <v>6.4</v>
      </c>
      <c r="E155" s="191" t="inlineStr">
        <is>
          <t>MEDIUM</t>
        </is>
      </c>
      <c r="F155" s="191" t="n">
        <v>2</v>
      </c>
      <c r="G155" s="191" t="n">
        <v>2</v>
      </c>
      <c r="H155" s="191" t="inlineStr">
        <is>
          <t>MEDIUM</t>
        </is>
      </c>
      <c r="I155" s="191" t="n">
        <v>10.4</v>
      </c>
      <c r="J155" s="191" t="inlineStr">
        <is>
          <t>NO</t>
        </is>
      </c>
      <c r="K155" s="192" t="inlineStr">
        <is>
          <t>https://nvd.nist.gov/vuln/detail/CVE-2026-1941</t>
        </is>
      </c>
      <c r="L155" s="191" t="inlineStr">
        <is>
          <t>2026-02-23 23:48</t>
        </is>
      </c>
      <c r="M155" s="191" t="inlineStr">
        <is>
          <t>CHECK_VENDOR</t>
        </is>
      </c>
      <c r="N155" s="191" t="inlineStr">
        <is>
          <t>See NVD references</t>
        </is>
      </c>
      <c r="O155" s="191" t="inlineStr">
        <is>
          <t>Apply vendor patches</t>
        </is>
      </c>
      <c r="P155" s="191" t="inlineStr">
        <is>
          <t>See CVE details</t>
        </is>
      </c>
      <c r="Q155" s="191" t="inlineStr">
        <is>
          <t>P4</t>
        </is>
      </c>
      <c r="R155" s="191" t="inlineStr">
        <is>
          <t>📅 Schedule patch deployment within 30 days | 🔍 Monitor for exploitation attempts</t>
        </is>
      </c>
      <c r="S155" s="191" t="inlineStr">
        <is>
          <t>CVE - IP enrichment n/a</t>
        </is>
      </c>
      <c r="T155" s="191" t="n">
        <v>0</v>
      </c>
      <c r="U155" s="191" t="n">
        <v>0</v>
      </c>
      <c r="V155" s="191" t="inlineStr">
        <is>
          <t>T1189:Drive-by Compromise</t>
        </is>
      </c>
      <c r="W155" s="191" t="n">
        <v>1</v>
      </c>
      <c r="X155" s="191" t="inlineStr">
        <is>
          <t>LOW (40%)</t>
        </is>
      </c>
      <c r="Y155" s="191" t="inlineStr">
        <is>
          <t>UNLIKELY</t>
        </is>
      </c>
      <c r="Z155" s="191" t="inlineStr">
        <is>
          <t>CHECK_VENDOR</t>
        </is>
      </c>
      <c r="AA155" s="192" t="inlineStr">
        <is>
          <t>https://nvd.nist.gov/vuln/detail/CVE-2026-1941</t>
        </is>
      </c>
      <c r="AB155" s="191" t="inlineStr">
        <is>
          <t>NONE</t>
        </is>
      </c>
      <c r="AC155" s="191" t="n">
        <v>0</v>
      </c>
      <c r="AD155" s="191" t="n"/>
    </row>
    <row r="156">
      <c r="A156" s="191" t="inlineStr">
        <is>
          <t>CVE</t>
        </is>
      </c>
      <c r="B156" s="191" t="inlineStr">
        <is>
          <t>CVE-2026-2127</t>
        </is>
      </c>
      <c r="C156" s="191" t="inlineStr">
        <is>
          <t>The SiteOrigin Widgets Bundle plugin for WordPress is vulnerable to unauthorized arbitrary shortcode execution in all versions up to, and including, 1.70.4. This is due to a missing capability check on the `siteorigin_widget_preview_widget_action()` function which is registered via the `wp_ajax_so_widgets_preview` AJAX action. The function only verifies a nonce (`widgets_action`) but does not check user capabilities. This makes it possible for authenticated attackers, with Subscriber-level acces</t>
        </is>
      </c>
      <c r="D156" s="191" t="n">
        <v>5.4</v>
      </c>
      <c r="E156" s="191" t="inlineStr">
        <is>
          <t>MEDIUM</t>
        </is>
      </c>
      <c r="F156" s="191" t="n">
        <v>2</v>
      </c>
      <c r="G156" s="191" t="n">
        <v>2</v>
      </c>
      <c r="H156" s="191" t="inlineStr">
        <is>
          <t>MEDIUM</t>
        </is>
      </c>
      <c r="I156" s="191" t="n">
        <v>9.4</v>
      </c>
      <c r="J156" s="191" t="inlineStr">
        <is>
          <t>NO</t>
        </is>
      </c>
      <c r="K156" s="192" t="inlineStr">
        <is>
          <t>https://nvd.nist.gov/vuln/detail/CVE-2026-2127</t>
        </is>
      </c>
      <c r="L156" s="191" t="inlineStr">
        <is>
          <t>2026-02-23 23:48</t>
        </is>
      </c>
      <c r="M156" s="191" t="inlineStr">
        <is>
          <t>CHECK_VENDOR</t>
        </is>
      </c>
      <c r="N156" s="191" t="inlineStr">
        <is>
          <t>See NVD references</t>
        </is>
      </c>
      <c r="O156" s="191" t="inlineStr">
        <is>
          <t>Apply vendor patches</t>
        </is>
      </c>
      <c r="P156" s="191" t="inlineStr">
        <is>
          <t>See CVE details</t>
        </is>
      </c>
      <c r="Q156" s="191" t="inlineStr">
        <is>
          <t>P4</t>
        </is>
      </c>
      <c r="R156" s="191" t="inlineStr">
        <is>
          <t>📅 Schedule patch deployment within 30 days | 🔍 Monitor for exploitation attempts</t>
        </is>
      </c>
      <c r="S156" s="191" t="inlineStr">
        <is>
          <t>CVE - IP enrichment n/a</t>
        </is>
      </c>
      <c r="T156" s="191" t="n">
        <v>0.0003</v>
      </c>
      <c r="U156" s="191" t="n">
        <v>0.0862</v>
      </c>
      <c r="V156" s="191" t="inlineStr">
        <is>
          <t>T1190:Exploit Public-Facing Application</t>
        </is>
      </c>
      <c r="W156" s="191" t="n">
        <v>1</v>
      </c>
      <c r="X156" s="191" t="inlineStr">
        <is>
          <t>LOW (40%)</t>
        </is>
      </c>
      <c r="Y156" s="191" t="inlineStr">
        <is>
          <t>UNLIKELY</t>
        </is>
      </c>
      <c r="Z156" s="191" t="inlineStr">
        <is>
          <t>CHECK_VENDOR</t>
        </is>
      </c>
      <c r="AA156" s="192" t="inlineStr">
        <is>
          <t>https://nvd.nist.gov/vuln/detail/CVE-2026-2127</t>
        </is>
      </c>
      <c r="AB156" s="191" t="inlineStr">
        <is>
          <t>NONE</t>
        </is>
      </c>
      <c r="AC156" s="191" t="n">
        <v>0</v>
      </c>
      <c r="AD156" s="191" t="n"/>
    </row>
    <row r="157">
      <c r="A157" s="189" t="inlineStr">
        <is>
          <t>CVE</t>
        </is>
      </c>
      <c r="B157" s="189" t="inlineStr">
        <is>
          <t>CVE-2026-2495</t>
        </is>
      </c>
      <c r="C157" s="189" t="inlineStr">
        <is>
          <t>The WPNakama – Team and multi-Client Collaboration, Editorial and Project Management plugin for WordPress is vulnerable to SQL Injection via the 'order' parameter of the '/wp-json/WPNakama/v1/boards' REST API endpoint in all versions up to, and including, 0.6.5. This is due to insufficient escaping on the user supplied parameter and lack of sufficient preparation on the existing SQL query. This makes it possible for unauthenticated attackers to append additional SQL queries into already existing</t>
        </is>
      </c>
      <c r="D157" s="189" t="n">
        <v>7.5</v>
      </c>
      <c r="E157" s="189" t="inlineStr">
        <is>
          <t>HIGH</t>
        </is>
      </c>
      <c r="F157" s="189" t="n">
        <v>2</v>
      </c>
      <c r="G157" s="189" t="n">
        <v>3</v>
      </c>
      <c r="H157" s="189" t="inlineStr">
        <is>
          <t>HIGH</t>
        </is>
      </c>
      <c r="I157" s="189" t="n">
        <v>13.5</v>
      </c>
      <c r="J157" s="189" t="inlineStr">
        <is>
          <t>NO</t>
        </is>
      </c>
      <c r="K157" s="190" t="inlineStr">
        <is>
          <t>https://nvd.nist.gov/vuln/detail/CVE-2026-2495</t>
        </is>
      </c>
      <c r="L157" s="189" t="inlineStr">
        <is>
          <t>2026-02-23 23:48</t>
        </is>
      </c>
      <c r="M157" s="189" t="inlineStr">
        <is>
          <t>CHECK_VENDOR</t>
        </is>
      </c>
      <c r="N157" s="189" t="inlineStr">
        <is>
          <t>See NVD references</t>
        </is>
      </c>
      <c r="O157" s="189" t="inlineStr">
        <is>
          <t>Apply vendor patches</t>
        </is>
      </c>
      <c r="P157" s="189" t="inlineStr">
        <is>
          <t>See CVE details</t>
        </is>
      </c>
      <c r="Q157" s="189" t="inlineStr">
        <is>
          <t>P3</t>
        </is>
      </c>
      <c r="R157" s="189" t="inlineStr">
        <is>
          <t>🚨 URGENT: Apply vendor patches immediately | 🔒 Isolate affected systems if patch unavailable | 🛡️ Enable additional monitoring/IDS rules</t>
        </is>
      </c>
      <c r="S157" s="189" t="inlineStr">
        <is>
          <t>CVE - IP enrichment n/a</t>
        </is>
      </c>
      <c r="T157" s="189" t="n">
        <v>0</v>
      </c>
      <c r="U157" s="189" t="n">
        <v>0</v>
      </c>
      <c r="V157" s="189" t="inlineStr">
        <is>
          <t>T1190:Exploit Public-Facing Application</t>
        </is>
      </c>
      <c r="W157" s="189" t="n">
        <v>1</v>
      </c>
      <c r="X157" s="189" t="inlineStr">
        <is>
          <t>LOW (40%)</t>
        </is>
      </c>
      <c r="Y157" s="189" t="inlineStr">
        <is>
          <t>UNLIKELY</t>
        </is>
      </c>
      <c r="Z157" s="189" t="inlineStr">
        <is>
          <t>CHECK_VENDOR</t>
        </is>
      </c>
      <c r="AA157" s="190" t="inlineStr">
        <is>
          <t>https://nvd.nist.gov/vuln/detail/CVE-2026-2495</t>
        </is>
      </c>
      <c r="AB157" s="189" t="inlineStr">
        <is>
          <t>NONE</t>
        </is>
      </c>
      <c r="AC157" s="189" t="n">
        <v>0</v>
      </c>
      <c r="AD157" s="189" t="n"/>
    </row>
    <row r="158">
      <c r="A158" s="191" t="inlineStr">
        <is>
          <t>CVE</t>
        </is>
      </c>
      <c r="B158" s="191" t="inlineStr">
        <is>
          <t>CVE-2025-11185</t>
        </is>
      </c>
      <c r="C158" s="191" t="inlineStr">
        <is>
          <t>The Complianz – GDPR/CCPA Cookie Consent plugin for WordPress is vulnerable to Stored Cross-Site Scripting via the plugin's cmplz-accept-link shortcode in all versions up to, and including, 7.4.3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158" s="191" t="n">
        <v>6.4</v>
      </c>
      <c r="E158" s="191" t="inlineStr">
        <is>
          <t>MEDIUM</t>
        </is>
      </c>
      <c r="F158" s="191" t="n">
        <v>2</v>
      </c>
      <c r="G158" s="191" t="n">
        <v>2</v>
      </c>
      <c r="H158" s="191" t="inlineStr">
        <is>
          <t>MEDIUM</t>
        </is>
      </c>
      <c r="I158" s="191" t="n">
        <v>10.4</v>
      </c>
      <c r="J158" s="191" t="inlineStr">
        <is>
          <t>NO</t>
        </is>
      </c>
      <c r="K158" s="192" t="inlineStr">
        <is>
          <t>https://nvd.nist.gov/vuln/detail/CVE-2025-11185</t>
        </is>
      </c>
      <c r="L158" s="191" t="inlineStr">
        <is>
          <t>2026-02-23 23:48</t>
        </is>
      </c>
      <c r="M158" s="191" t="inlineStr">
        <is>
          <t>CHECK_VENDOR</t>
        </is>
      </c>
      <c r="N158" s="191" t="inlineStr">
        <is>
          <t>See NVD references</t>
        </is>
      </c>
      <c r="O158" s="191" t="inlineStr">
        <is>
          <t>Apply vendor patches</t>
        </is>
      </c>
      <c r="P158" s="191" t="inlineStr">
        <is>
          <t>See CVE details</t>
        </is>
      </c>
      <c r="Q158" s="191" t="inlineStr">
        <is>
          <t>P4</t>
        </is>
      </c>
      <c r="R158" s="191" t="inlineStr">
        <is>
          <t>📅 Schedule patch deployment within 30 days | 🔍 Monitor for exploitation attempts</t>
        </is>
      </c>
      <c r="S158" s="191" t="inlineStr">
        <is>
          <t>CVE - IP enrichment n/a</t>
        </is>
      </c>
      <c r="T158" s="191" t="n">
        <v>0</v>
      </c>
      <c r="U158" s="191" t="n">
        <v>0</v>
      </c>
      <c r="V158" s="191" t="inlineStr">
        <is>
          <t>T1189:Drive-by Compromise</t>
        </is>
      </c>
      <c r="W158" s="191" t="n">
        <v>1</v>
      </c>
      <c r="X158" s="191" t="inlineStr">
        <is>
          <t>LOW (40%)</t>
        </is>
      </c>
      <c r="Y158" s="191" t="inlineStr">
        <is>
          <t>UNLIKELY</t>
        </is>
      </c>
      <c r="Z158" s="191" t="inlineStr">
        <is>
          <t>CHECK_VENDOR</t>
        </is>
      </c>
      <c r="AA158" s="192" t="inlineStr">
        <is>
          <t>https://nvd.nist.gov/vuln/detail/CVE-2025-11185</t>
        </is>
      </c>
      <c r="AB158" s="191" t="inlineStr">
        <is>
          <t>NONE</t>
        </is>
      </c>
      <c r="AC158" s="191" t="n">
        <v>0</v>
      </c>
      <c r="AD158" s="191" t="n"/>
    </row>
    <row r="159">
      <c r="A159" s="191" t="inlineStr">
        <is>
          <t>CVE</t>
        </is>
      </c>
      <c r="B159" s="191" t="inlineStr">
        <is>
          <t>CVE-2025-13727</t>
        </is>
      </c>
      <c r="C159" s="191" t="inlineStr">
        <is>
          <t>The Video Share VOD – Turnkey Video Site Builder Script plugin for WordPress is vulnerable to Stored Cross-Site Scripting via plugin settings in all versions up to, and including, 2.7.11 due to insufficient input sanitization and output escaping. This makes it possible for authenticated attackers, with editor-level permissions and above, to inject arbitrary web scripts in pages that will execute whenever a user accesses an injected page. This only affects multi-site installations and installatio</t>
        </is>
      </c>
      <c r="D159" s="191" t="n">
        <v>4.4</v>
      </c>
      <c r="E159" s="191" t="inlineStr">
        <is>
          <t>MEDIUM</t>
        </is>
      </c>
      <c r="F159" s="191" t="n">
        <v>2</v>
      </c>
      <c r="G159" s="191" t="n">
        <v>2</v>
      </c>
      <c r="H159" s="191" t="inlineStr">
        <is>
          <t>MEDIUM</t>
        </is>
      </c>
      <c r="I159" s="191" t="n">
        <v>8.4</v>
      </c>
      <c r="J159" s="191" t="inlineStr">
        <is>
          <t>NO</t>
        </is>
      </c>
      <c r="K159" s="192" t="inlineStr">
        <is>
          <t>https://nvd.nist.gov/vuln/detail/CVE-2025-13727</t>
        </is>
      </c>
      <c r="L159" s="191" t="inlineStr">
        <is>
          <t>2026-02-23 23:48</t>
        </is>
      </c>
      <c r="M159" s="191" t="inlineStr">
        <is>
          <t>CHECK_VENDOR</t>
        </is>
      </c>
      <c r="N159" s="191" t="inlineStr">
        <is>
          <t>See NVD references</t>
        </is>
      </c>
      <c r="O159" s="191" t="inlineStr">
        <is>
          <t>Apply vendor patches</t>
        </is>
      </c>
      <c r="P159" s="191" t="inlineStr">
        <is>
          <t>See CVE details</t>
        </is>
      </c>
      <c r="Q159" s="191" t="inlineStr">
        <is>
          <t>P4</t>
        </is>
      </c>
      <c r="R159" s="191" t="inlineStr">
        <is>
          <t>📅 Schedule patch deployment within 30 days | 🔍 Monitor for exploitation attempts</t>
        </is>
      </c>
      <c r="S159" s="191" t="inlineStr">
        <is>
          <t>CVE - IP enrichment n/a</t>
        </is>
      </c>
      <c r="T159" s="191" t="n">
        <v>0</v>
      </c>
      <c r="U159" s="191" t="n">
        <v>0</v>
      </c>
      <c r="V159" s="191" t="inlineStr">
        <is>
          <t>T1189:Drive-by Compromise</t>
        </is>
      </c>
      <c r="W159" s="191" t="n">
        <v>1</v>
      </c>
      <c r="X159" s="191" t="inlineStr">
        <is>
          <t>LOW (40%)</t>
        </is>
      </c>
      <c r="Y159" s="191" t="inlineStr">
        <is>
          <t>UNLIKELY</t>
        </is>
      </c>
      <c r="Z159" s="191" t="inlineStr">
        <is>
          <t>CHECK_VENDOR</t>
        </is>
      </c>
      <c r="AA159" s="192" t="inlineStr">
        <is>
          <t>https://nvd.nist.gov/vuln/detail/CVE-2025-13727</t>
        </is>
      </c>
      <c r="AB159" s="191" t="inlineStr">
        <is>
          <t>NONE</t>
        </is>
      </c>
      <c r="AC159" s="191" t="n">
        <v>0</v>
      </c>
      <c r="AD159" s="191" t="n"/>
    </row>
    <row r="160">
      <c r="A160" s="191" t="inlineStr">
        <is>
          <t>CVE</t>
        </is>
      </c>
      <c r="B160" s="191" t="inlineStr">
        <is>
          <t>CVE-2026-2126</t>
        </is>
      </c>
      <c r="C160" s="191" t="inlineStr">
        <is>
          <t>The User Submitted Posts – Enable Users to Submit Posts from the Front End plugin for WordPress is vulnerable to Incorrect Authorization in all versions up to, and including, 20260113. This is due to the `usp_get_submitted_category()` function accepting user-submitted category IDs from the POST body without validating them against the admin-configured allowed categories stored in `usp_options['categories']`. This makes it possible for unauthenticated attackers to assign submitted posts to arbitr</t>
        </is>
      </c>
      <c r="D160" s="191" t="n">
        <v>5.3</v>
      </c>
      <c r="E160" s="191" t="inlineStr">
        <is>
          <t>MEDIUM</t>
        </is>
      </c>
      <c r="F160" s="191" t="n">
        <v>2</v>
      </c>
      <c r="G160" s="191" t="n">
        <v>2</v>
      </c>
      <c r="H160" s="191" t="inlineStr">
        <is>
          <t>MEDIUM</t>
        </is>
      </c>
      <c r="I160" s="191" t="n">
        <v>9.300000000000001</v>
      </c>
      <c r="J160" s="191" t="inlineStr">
        <is>
          <t>NO</t>
        </is>
      </c>
      <c r="K160" s="192" t="inlineStr">
        <is>
          <t>https://nvd.nist.gov/vuln/detail/CVE-2026-2126</t>
        </is>
      </c>
      <c r="L160" s="191" t="inlineStr">
        <is>
          <t>2026-02-23 23:48</t>
        </is>
      </c>
      <c r="M160" s="191" t="inlineStr">
        <is>
          <t>CHECK_VENDOR</t>
        </is>
      </c>
      <c r="N160" s="191" t="inlineStr">
        <is>
          <t>See NVD references</t>
        </is>
      </c>
      <c r="O160" s="191" t="inlineStr">
        <is>
          <t>Apply vendor patches</t>
        </is>
      </c>
      <c r="P160" s="191" t="inlineStr">
        <is>
          <t>See CVE details</t>
        </is>
      </c>
      <c r="Q160" s="191" t="inlineStr">
        <is>
          <t>P4</t>
        </is>
      </c>
      <c r="R160" s="191" t="inlineStr">
        <is>
          <t>📅 Schedule patch deployment within 30 days | 🔍 Monitor for exploitation attempts</t>
        </is>
      </c>
      <c r="S160" s="191" t="inlineStr">
        <is>
          <t>CVE - IP enrichment n/a</t>
        </is>
      </c>
      <c r="T160" s="191" t="n">
        <v>0</v>
      </c>
      <c r="U160" s="191" t="n">
        <v>0</v>
      </c>
      <c r="V160" s="191" t="inlineStr">
        <is>
          <t>T1190:Exploit Public-Facing Application</t>
        </is>
      </c>
      <c r="W160" s="191" t="n">
        <v>1</v>
      </c>
      <c r="X160" s="191" t="inlineStr">
        <is>
          <t>LOW (40%)</t>
        </is>
      </c>
      <c r="Y160" s="191" t="inlineStr">
        <is>
          <t>UNLIKELY</t>
        </is>
      </c>
      <c r="Z160" s="191" t="inlineStr">
        <is>
          <t>CHECK_VENDOR</t>
        </is>
      </c>
      <c r="AA160" s="192" t="inlineStr">
        <is>
          <t>https://nvd.nist.gov/vuln/detail/CVE-2026-2126</t>
        </is>
      </c>
      <c r="AB160" s="191" t="inlineStr">
        <is>
          <t>NONE</t>
        </is>
      </c>
      <c r="AC160" s="191" t="n">
        <v>0</v>
      </c>
      <c r="AD160" s="191" t="n"/>
    </row>
    <row r="161">
      <c r="A161" s="191" t="inlineStr">
        <is>
          <t>CVE</t>
        </is>
      </c>
      <c r="B161" s="191" t="inlineStr">
        <is>
          <t>CVE-2025-14444</t>
        </is>
      </c>
      <c r="C161" s="191" t="inlineStr">
        <is>
          <t>The RegistrationMagic – Custom Registration Forms, User Registration, Payment, and User Login plugin for WordPress is vulnerable to payment bypass due to insufficient verification of data authenticity on the 'process_paypal_sdk_payment' function in all versions up to, and including, 6.0.6.9. This is due to the plugin trusting client-supplied values for payment verification without validating that the payment actually went through PayPal. This makes it possible for unauthenticated attackers to by</t>
        </is>
      </c>
      <c r="D161" s="191" t="n">
        <v>5.3</v>
      </c>
      <c r="E161" s="191" t="inlineStr">
        <is>
          <t>MEDIUM</t>
        </is>
      </c>
      <c r="F161" s="191" t="n">
        <v>2</v>
      </c>
      <c r="G161" s="191" t="n">
        <v>2</v>
      </c>
      <c r="H161" s="191" t="inlineStr">
        <is>
          <t>MEDIUM</t>
        </is>
      </c>
      <c r="I161" s="191" t="n">
        <v>9.300000000000001</v>
      </c>
      <c r="J161" s="191" t="inlineStr">
        <is>
          <t>NO</t>
        </is>
      </c>
      <c r="K161" s="192" t="inlineStr">
        <is>
          <t>https://nvd.nist.gov/vuln/detail/CVE-2025-14444</t>
        </is>
      </c>
      <c r="L161" s="191" t="inlineStr">
        <is>
          <t>2026-02-23 23:48</t>
        </is>
      </c>
      <c r="M161" s="191" t="inlineStr">
        <is>
          <t>CHECK_VENDOR</t>
        </is>
      </c>
      <c r="N161" s="191" t="inlineStr">
        <is>
          <t>See NVD references</t>
        </is>
      </c>
      <c r="O161" s="191" t="inlineStr">
        <is>
          <t>Apply vendor patches</t>
        </is>
      </c>
      <c r="P161" s="191" t="inlineStr">
        <is>
          <t>See CVE details</t>
        </is>
      </c>
      <c r="Q161" s="191" t="inlineStr">
        <is>
          <t>P4</t>
        </is>
      </c>
      <c r="R161" s="191" t="inlineStr">
        <is>
          <t>📅 Schedule patch deployment within 30 days | 🔍 Monitor for exploitation attempts</t>
        </is>
      </c>
      <c r="S161" s="191" t="inlineStr">
        <is>
          <t>CVE - IP enrichment n/a</t>
        </is>
      </c>
      <c r="T161" s="191" t="n">
        <v>0</v>
      </c>
      <c r="U161" s="191" t="n">
        <v>0</v>
      </c>
      <c r="V161" s="191" t="inlineStr">
        <is>
          <t>T1190:Exploit Public-Facing Application</t>
        </is>
      </c>
      <c r="W161" s="191" t="n">
        <v>1</v>
      </c>
      <c r="X161" s="191" t="inlineStr">
        <is>
          <t>LOW (40%)</t>
        </is>
      </c>
      <c r="Y161" s="191" t="inlineStr">
        <is>
          <t>UNLIKELY</t>
        </is>
      </c>
      <c r="Z161" s="191" t="inlineStr">
        <is>
          <t>CHECK_VENDOR</t>
        </is>
      </c>
      <c r="AA161" s="192" t="inlineStr">
        <is>
          <t>https://nvd.nist.gov/vuln/detail/CVE-2025-14444</t>
        </is>
      </c>
      <c r="AB161" s="191" t="inlineStr">
        <is>
          <t>NONE</t>
        </is>
      </c>
      <c r="AC161" s="191" t="n">
        <v>0</v>
      </c>
      <c r="AD161" s="191" t="n"/>
    </row>
    <row r="162">
      <c r="A162" s="191" t="inlineStr">
        <is>
          <t>CVE</t>
        </is>
      </c>
      <c r="B162" s="191" t="inlineStr">
        <is>
          <t>CVE-2026-1942</t>
        </is>
      </c>
      <c r="C162" s="191" t="inlineStr">
        <is>
          <t>The Blog2Social: Social Media Auto Post &amp; Scheduler plugin for WordPress is vulnerable to unauthorized modification of data due to a missing capability check on the b2s_curation_draft AJAX action in all versions up to, and including, 8.7.4. The curationDraft() function only verifies current_user_can('read') without checking whether the user has edit_post permission for the target post. Combined with the plugin granting UI access and nonce exposure to all roles, this makes it possible for authent</t>
        </is>
      </c>
      <c r="D162" s="191" t="n">
        <v>6.5</v>
      </c>
      <c r="E162" s="191" t="inlineStr">
        <is>
          <t>MEDIUM</t>
        </is>
      </c>
      <c r="F162" s="191" t="n">
        <v>2</v>
      </c>
      <c r="G162" s="191" t="n">
        <v>2</v>
      </c>
      <c r="H162" s="191" t="inlineStr">
        <is>
          <t>MEDIUM</t>
        </is>
      </c>
      <c r="I162" s="191" t="n">
        <v>10.5</v>
      </c>
      <c r="J162" s="191" t="inlineStr">
        <is>
          <t>NO</t>
        </is>
      </c>
      <c r="K162" s="192" t="inlineStr">
        <is>
          <t>https://nvd.nist.gov/vuln/detail/CVE-2026-1942</t>
        </is>
      </c>
      <c r="L162" s="191" t="inlineStr">
        <is>
          <t>2026-02-23 23:48</t>
        </is>
      </c>
      <c r="M162" s="191" t="inlineStr">
        <is>
          <t>CHECK_VENDOR</t>
        </is>
      </c>
      <c r="N162" s="191" t="inlineStr">
        <is>
          <t>See NVD references</t>
        </is>
      </c>
      <c r="O162" s="191" t="inlineStr">
        <is>
          <t>Apply vendor patches</t>
        </is>
      </c>
      <c r="P162" s="191" t="inlineStr">
        <is>
          <t>See CVE details</t>
        </is>
      </c>
      <c r="Q162" s="191" t="inlineStr">
        <is>
          <t>P4</t>
        </is>
      </c>
      <c r="R162" s="191" t="inlineStr">
        <is>
          <t>📅 Schedule patch deployment within 30 days | 🔍 Monitor for exploitation attempts</t>
        </is>
      </c>
      <c r="S162" s="191" t="inlineStr">
        <is>
          <t>CVE - IP enrichment n/a</t>
        </is>
      </c>
      <c r="T162" s="191" t="n">
        <v>0</v>
      </c>
      <c r="U162" s="191" t="n">
        <v>0</v>
      </c>
      <c r="V162" s="191" t="inlineStr">
        <is>
          <t>T1190:Exploit Public-Facing Application</t>
        </is>
      </c>
      <c r="W162" s="191" t="n">
        <v>1</v>
      </c>
      <c r="X162" s="191" t="inlineStr">
        <is>
          <t>LOW (40%)</t>
        </is>
      </c>
      <c r="Y162" s="191" t="inlineStr">
        <is>
          <t>UNLIKELY</t>
        </is>
      </c>
      <c r="Z162" s="191" t="inlineStr">
        <is>
          <t>CHECK_VENDOR</t>
        </is>
      </c>
      <c r="AA162" s="192" t="inlineStr">
        <is>
          <t>https://nvd.nist.gov/vuln/detail/CVE-2026-1942</t>
        </is>
      </c>
      <c r="AB162" s="191" t="inlineStr">
        <is>
          <t>NONE</t>
        </is>
      </c>
      <c r="AC162" s="191" t="n">
        <v>0</v>
      </c>
      <c r="AD162" s="191" t="n"/>
    </row>
    <row r="163">
      <c r="A163" s="191" t="inlineStr">
        <is>
          <t>CVE</t>
        </is>
      </c>
      <c r="B163" s="191" t="inlineStr">
        <is>
          <t>CVE-2026-2426</t>
        </is>
      </c>
      <c r="C163" s="191" t="inlineStr">
        <is>
          <t>The WP-DownloadManager plugin for WordPress is vulnerable to Path Traversal in all versions up to, and including, 1.69 via the 'file' parameter in the file deletion functionality. This is due to insufficient validation of user-supplied file paths, allowing directory traversal sequences. This makes it possible for authenticated attackers, with Administrator-level access and above, to delete arbitrary files on the server, which can lead to remote code execution when critical files like wp-config.p</t>
        </is>
      </c>
      <c r="D163" s="191" t="n">
        <v>6.5</v>
      </c>
      <c r="E163" s="191" t="inlineStr">
        <is>
          <t>MEDIUM</t>
        </is>
      </c>
      <c r="F163" s="191" t="n">
        <v>2</v>
      </c>
      <c r="G163" s="191" t="n">
        <v>2</v>
      </c>
      <c r="H163" s="191" t="inlineStr">
        <is>
          <t>MEDIUM</t>
        </is>
      </c>
      <c r="I163" s="191" t="n">
        <v>10.5</v>
      </c>
      <c r="J163" s="191" t="inlineStr">
        <is>
          <t>NO</t>
        </is>
      </c>
      <c r="K163" s="192" t="inlineStr">
        <is>
          <t>https://nvd.nist.gov/vuln/detail/CVE-2026-2426</t>
        </is>
      </c>
      <c r="L163" s="191" t="inlineStr">
        <is>
          <t>2026-02-23 23:48</t>
        </is>
      </c>
      <c r="M163" s="191" t="inlineStr">
        <is>
          <t>CHECK_VENDOR</t>
        </is>
      </c>
      <c r="N163" s="191" t="inlineStr">
        <is>
          <t>See NVD references</t>
        </is>
      </c>
      <c r="O163" s="191" t="inlineStr">
        <is>
          <t>Apply vendor patches</t>
        </is>
      </c>
      <c r="P163" s="191" t="inlineStr">
        <is>
          <t>See CVE details</t>
        </is>
      </c>
      <c r="Q163" s="191" t="inlineStr">
        <is>
          <t>P4</t>
        </is>
      </c>
      <c r="R163" s="191" t="inlineStr">
        <is>
          <t>📅 Schedule patch deployment within 30 days | 🔍 Monitor for exploitation attempts</t>
        </is>
      </c>
      <c r="S163" s="191" t="inlineStr">
        <is>
          <t>CVE - IP enrichment n/a</t>
        </is>
      </c>
      <c r="T163" s="191" t="n">
        <v>0</v>
      </c>
      <c r="U163" s="191" t="n">
        <v>0</v>
      </c>
      <c r="V163" s="191" t="inlineStr">
        <is>
          <t>T1083:File and Directory Discovery | T1190:Exploit Public-Facing Application | T1210:Exploitation of Remote Services</t>
        </is>
      </c>
      <c r="W163" s="191" t="n">
        <v>1</v>
      </c>
      <c r="X163" s="191" t="inlineStr">
        <is>
          <t>LOW (40%)</t>
        </is>
      </c>
      <c r="Y163" s="191" t="inlineStr">
        <is>
          <t>UNLIKELY</t>
        </is>
      </c>
      <c r="Z163" s="191" t="inlineStr">
        <is>
          <t>CHECK_VENDOR</t>
        </is>
      </c>
      <c r="AA163" s="192" t="inlineStr">
        <is>
          <t>https://nvd.nist.gov/vuln/detail/CVE-2026-2426</t>
        </is>
      </c>
      <c r="AB163" s="191" t="inlineStr">
        <is>
          <t>NONE</t>
        </is>
      </c>
      <c r="AC163" s="191" t="n">
        <v>0</v>
      </c>
      <c r="AD163" s="191" t="n"/>
    </row>
    <row r="164">
      <c r="A164" s="191" t="inlineStr">
        <is>
          <t>CVE</t>
        </is>
      </c>
      <c r="B164" s="191" t="inlineStr">
        <is>
          <t>CVE-2026-2653</t>
        </is>
      </c>
      <c r="C164" s="191" t="inlineStr">
        <is>
          <t>A security flaw has been discovered in admesh up to 0.98.5. This issue affects the function stl_check_normal_vector of the file src/normals.c. Performing a manipulation results in heap-based buffer overflow. The attack must be initiated from a local position. The exploit has been released to the public and may be used for attacks. It looks like this product is not really maintained anymore.</t>
        </is>
      </c>
      <c r="D164" s="191" t="n">
        <v>5.3</v>
      </c>
      <c r="E164" s="191" t="inlineStr">
        <is>
          <t>MEDIUM</t>
        </is>
      </c>
      <c r="F164" s="191" t="n">
        <v>2</v>
      </c>
      <c r="G164" s="191" t="n">
        <v>2</v>
      </c>
      <c r="H164" s="191" t="inlineStr">
        <is>
          <t>MEDIUM</t>
        </is>
      </c>
      <c r="I164" s="191" t="n">
        <v>9.300000000000001</v>
      </c>
      <c r="J164" s="191" t="inlineStr">
        <is>
          <t>NO</t>
        </is>
      </c>
      <c r="K164" s="192" t="inlineStr">
        <is>
          <t>https://nvd.nist.gov/vuln/detail/CVE-2026-2653</t>
        </is>
      </c>
      <c r="L164" s="191" t="inlineStr">
        <is>
          <t>2026-02-23 23:48</t>
        </is>
      </c>
      <c r="M164" s="191" t="inlineStr">
        <is>
          <t>CHECK_VENDOR</t>
        </is>
      </c>
      <c r="N164" s="191" t="inlineStr">
        <is>
          <t>See NVD references</t>
        </is>
      </c>
      <c r="O164" s="191" t="inlineStr">
        <is>
          <t>Apply vendor patches</t>
        </is>
      </c>
      <c r="P164" s="191" t="inlineStr">
        <is>
          <t>admesh_project admesh *</t>
        </is>
      </c>
      <c r="Q164" s="191" t="inlineStr">
        <is>
          <t>P4</t>
        </is>
      </c>
      <c r="R164" s="191" t="inlineStr">
        <is>
          <t>📅 Schedule patch deployment within 30 days | 🔍 Monitor for exploitation attempts</t>
        </is>
      </c>
      <c r="S164" s="191" t="inlineStr">
        <is>
          <t>CVE - IP enrichment n/a</t>
        </is>
      </c>
      <c r="T164" s="191" t="n">
        <v>0</v>
      </c>
      <c r="U164" s="191" t="n">
        <v>0</v>
      </c>
      <c r="V164" s="191" t="inlineStr">
        <is>
          <t>T1203:Exploitation for Client Execution</t>
        </is>
      </c>
      <c r="W164" s="191" t="n">
        <v>1</v>
      </c>
      <c r="X164" s="191" t="inlineStr">
        <is>
          <t>LOW (40%)</t>
        </is>
      </c>
      <c r="Y164" s="191" t="inlineStr">
        <is>
          <t>UNLIKELY</t>
        </is>
      </c>
      <c r="Z164" s="191" t="inlineStr">
        <is>
          <t>CHECK_VENDOR</t>
        </is>
      </c>
      <c r="AA164" s="192" t="inlineStr">
        <is>
          <t>https://nvd.nist.gov/vuln/detail/CVE-2026-2653</t>
        </is>
      </c>
      <c r="AB164" s="191" t="inlineStr">
        <is>
          <t>NONE</t>
        </is>
      </c>
      <c r="AC164" s="191" t="n">
        <v>0</v>
      </c>
      <c r="AD164" s="191" t="n"/>
    </row>
    <row r="165">
      <c r="A165" s="191" t="inlineStr">
        <is>
          <t>CVE</t>
        </is>
      </c>
      <c r="B165" s="191" t="inlineStr">
        <is>
          <t>CVE-2025-14799</t>
        </is>
      </c>
      <c r="C165" s="191" t="inlineStr">
        <is>
          <t xml:space="preserve">The Brevo - Email, SMS, Web Push, Chat, and more. plugin for WordPress is vulnerable to authorization bypass due to type juggling in all versions up to, and including, 3.3.0. This is due to the use of loose comparison (==) instead of strict comparison (===) when validating the installation ID in the `/wp-json/mailin/v1/mailin_disconnect` REST API endpoint. This makes it possible for unauthenticated attackers to disconnect the Brevo integration, delete the API key, remove all subscription forms, </t>
        </is>
      </c>
      <c r="D165" s="191" t="n">
        <v>6.5</v>
      </c>
      <c r="E165" s="191" t="inlineStr">
        <is>
          <t>MEDIUM</t>
        </is>
      </c>
      <c r="F165" s="191" t="n">
        <v>2</v>
      </c>
      <c r="G165" s="191" t="n">
        <v>2</v>
      </c>
      <c r="H165" s="191" t="inlineStr">
        <is>
          <t>MEDIUM</t>
        </is>
      </c>
      <c r="I165" s="191" t="n">
        <v>10.5</v>
      </c>
      <c r="J165" s="191" t="inlineStr">
        <is>
          <t>NO</t>
        </is>
      </c>
      <c r="K165" s="192" t="inlineStr">
        <is>
          <t>https://nvd.nist.gov/vuln/detail/CVE-2025-14799</t>
        </is>
      </c>
      <c r="L165" s="191" t="inlineStr">
        <is>
          <t>2026-02-23 23:48</t>
        </is>
      </c>
      <c r="M165" s="191" t="inlineStr">
        <is>
          <t>CHECK_VENDOR</t>
        </is>
      </c>
      <c r="N165" s="191" t="inlineStr">
        <is>
          <t>See NVD references</t>
        </is>
      </c>
      <c r="O165" s="191" t="inlineStr">
        <is>
          <t>Apply vendor patches</t>
        </is>
      </c>
      <c r="P165" s="191" t="inlineStr">
        <is>
          <t>See CVE details</t>
        </is>
      </c>
      <c r="Q165" s="191" t="inlineStr">
        <is>
          <t>P4</t>
        </is>
      </c>
      <c r="R165" s="191" t="inlineStr">
        <is>
          <t>📅 Schedule patch deployment within 30 days | 🔍 Monitor for exploitation attempts</t>
        </is>
      </c>
      <c r="S165" s="191" t="inlineStr">
        <is>
          <t>CVE - IP enrichment n/a</t>
        </is>
      </c>
      <c r="T165" s="191" t="n">
        <v>0</v>
      </c>
      <c r="U165" s="191" t="n">
        <v>0</v>
      </c>
      <c r="V165" s="191" t="inlineStr">
        <is>
          <t>T1190:Exploit Public-Facing Application</t>
        </is>
      </c>
      <c r="W165" s="191" t="n">
        <v>1</v>
      </c>
      <c r="X165" s="191" t="inlineStr">
        <is>
          <t>LOW (40%)</t>
        </is>
      </c>
      <c r="Y165" s="191" t="inlineStr">
        <is>
          <t>UNLIKELY</t>
        </is>
      </c>
      <c r="Z165" s="191" t="inlineStr">
        <is>
          <t>CHECK_VENDOR</t>
        </is>
      </c>
      <c r="AA165" s="192" t="inlineStr">
        <is>
          <t>https://nvd.nist.gov/vuln/detail/CVE-2025-14799</t>
        </is>
      </c>
      <c r="AB165" s="191" t="inlineStr">
        <is>
          <t>NONE</t>
        </is>
      </c>
      <c r="AC165" s="191" t="n">
        <v>0</v>
      </c>
      <c r="AD165" s="191" t="n"/>
    </row>
    <row r="166">
      <c r="A166" s="191" t="inlineStr">
        <is>
          <t>CVE</t>
        </is>
      </c>
      <c r="B166" s="191" t="inlineStr">
        <is>
          <t>CVE-2025-7630</t>
        </is>
      </c>
      <c r="C166" s="191" t="inlineStr">
        <is>
          <t>Improper Restriction of Excessive Authentication Attempts, Improper Authentication vulnerability in Doruk Communication and Automation Industry and Trade Inc. Wispotter allows Password Brute Forcing, Brute Force.This issue affects Wispotter: from 1.0 before v2025.10.08.1.</t>
        </is>
      </c>
      <c r="D166" s="191" t="n">
        <v>5.3</v>
      </c>
      <c r="E166" s="191" t="inlineStr">
        <is>
          <t>MEDIUM</t>
        </is>
      </c>
      <c r="F166" s="191" t="n">
        <v>2</v>
      </c>
      <c r="G166" s="191" t="n">
        <v>2</v>
      </c>
      <c r="H166" s="191" t="inlineStr">
        <is>
          <t>MEDIUM</t>
        </is>
      </c>
      <c r="I166" s="191" t="n">
        <v>9.300000000000001</v>
      </c>
      <c r="J166" s="191" t="inlineStr">
        <is>
          <t>NO</t>
        </is>
      </c>
      <c r="K166" s="192" t="inlineStr">
        <is>
          <t>https://nvd.nist.gov/vuln/detail/CVE-2025-7630</t>
        </is>
      </c>
      <c r="L166" s="191" t="inlineStr">
        <is>
          <t>2026-02-23 23:48</t>
        </is>
      </c>
      <c r="M166" s="191" t="inlineStr">
        <is>
          <t>CHECK_VENDOR</t>
        </is>
      </c>
      <c r="N166" s="191" t="inlineStr">
        <is>
          <t>See NVD references</t>
        </is>
      </c>
      <c r="O166" s="191" t="inlineStr">
        <is>
          <t>Apply vendor patches</t>
        </is>
      </c>
      <c r="P166" s="191" t="inlineStr">
        <is>
          <t>See CVE details</t>
        </is>
      </c>
      <c r="Q166" s="191" t="inlineStr">
        <is>
          <t>P4</t>
        </is>
      </c>
      <c r="R166" s="191" t="inlineStr">
        <is>
          <t>📅 Schedule patch deployment within 30 days | 🔍 Monitor for exploitation attempts</t>
        </is>
      </c>
      <c r="S166" s="191" t="inlineStr">
        <is>
          <t>CVE - IP enrichment n/a</t>
        </is>
      </c>
      <c r="T166" s="191" t="n">
        <v>0</v>
      </c>
      <c r="U166" s="191" t="n">
        <v>0</v>
      </c>
      <c r="V166" s="191" t="inlineStr">
        <is>
          <t>T1078:Valid Accounts | T1110:Brute Force | T1190:Exploit Public-Facing Application</t>
        </is>
      </c>
      <c r="W166" s="191" t="n">
        <v>1</v>
      </c>
      <c r="X166" s="191" t="inlineStr">
        <is>
          <t>LOW (40%)</t>
        </is>
      </c>
      <c r="Y166" s="191" t="inlineStr">
        <is>
          <t>UNLIKELY</t>
        </is>
      </c>
      <c r="Z166" s="191" t="inlineStr">
        <is>
          <t>CHECK_VENDOR</t>
        </is>
      </c>
      <c r="AA166" s="192" t="inlineStr">
        <is>
          <t>https://nvd.nist.gov/vuln/detail/CVE-2025-7630</t>
        </is>
      </c>
      <c r="AB166" s="191" t="inlineStr">
        <is>
          <t>NONE</t>
        </is>
      </c>
      <c r="AC166" s="191" t="n">
        <v>0</v>
      </c>
      <c r="AD166" s="191" t="n"/>
    </row>
    <row r="167">
      <c r="A167" s="191" t="inlineStr">
        <is>
          <t>CVE</t>
        </is>
      </c>
      <c r="B167" s="191" t="inlineStr">
        <is>
          <t>CVE-2025-8781</t>
        </is>
      </c>
      <c r="C167" s="191" t="inlineStr">
        <is>
          <t>The Bookster – WordPress Appointment Booking Plugin plugin for WordPress is vulnerable to SQL Injection via the ‘raw’ parameter in all versions up to, and including, 2.1.1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t>
        </is>
      </c>
      <c r="D167" s="191" t="n">
        <v>4.9</v>
      </c>
      <c r="E167" s="191" t="inlineStr">
        <is>
          <t>MEDIUM</t>
        </is>
      </c>
      <c r="F167" s="191" t="n">
        <v>2</v>
      </c>
      <c r="G167" s="191" t="n">
        <v>2</v>
      </c>
      <c r="H167" s="191" t="inlineStr">
        <is>
          <t>MEDIUM</t>
        </is>
      </c>
      <c r="I167" s="191" t="n">
        <v>8.9</v>
      </c>
      <c r="J167" s="191" t="inlineStr">
        <is>
          <t>NO</t>
        </is>
      </c>
      <c r="K167" s="192" t="inlineStr">
        <is>
          <t>https://nvd.nist.gov/vuln/detail/CVE-2025-8781</t>
        </is>
      </c>
      <c r="L167" s="191" t="inlineStr">
        <is>
          <t>2026-02-23 23:48</t>
        </is>
      </c>
      <c r="M167" s="191" t="inlineStr">
        <is>
          <t>CHECK_VENDOR</t>
        </is>
      </c>
      <c r="N167" s="191" t="inlineStr">
        <is>
          <t>See NVD references</t>
        </is>
      </c>
      <c r="O167" s="191" t="inlineStr">
        <is>
          <t>Apply vendor patches</t>
        </is>
      </c>
      <c r="P167" s="191" t="inlineStr">
        <is>
          <t>See CVE details</t>
        </is>
      </c>
      <c r="Q167" s="191" t="inlineStr">
        <is>
          <t>P4</t>
        </is>
      </c>
      <c r="R167" s="191" t="inlineStr">
        <is>
          <t>📅 Schedule patch deployment within 30 days | 🔍 Monitor for exploitation attempts</t>
        </is>
      </c>
      <c r="S167" s="191" t="inlineStr">
        <is>
          <t>CVE - IP enrichment n/a</t>
        </is>
      </c>
      <c r="T167" s="191" t="n">
        <v>0.0002</v>
      </c>
      <c r="U167" s="191" t="n">
        <v>0.0582</v>
      </c>
      <c r="V167" s="191" t="inlineStr">
        <is>
          <t>T1190:Exploit Public-Facing Application</t>
        </is>
      </c>
      <c r="W167" s="191" t="n">
        <v>1</v>
      </c>
      <c r="X167" s="191" t="inlineStr">
        <is>
          <t>LOW (40%)</t>
        </is>
      </c>
      <c r="Y167" s="191" t="inlineStr">
        <is>
          <t>UNLIKELY</t>
        </is>
      </c>
      <c r="Z167" s="191" t="inlineStr">
        <is>
          <t>CHECK_VENDOR</t>
        </is>
      </c>
      <c r="AA167" s="192" t="inlineStr">
        <is>
          <t>https://nvd.nist.gov/vuln/detail/CVE-2025-8781</t>
        </is>
      </c>
      <c r="AB167" s="191" t="inlineStr">
        <is>
          <t>NONE</t>
        </is>
      </c>
      <c r="AC167" s="191" t="n">
        <v>0</v>
      </c>
      <c r="AD167" s="191" t="n"/>
    </row>
    <row r="168">
      <c r="A168" s="191" t="inlineStr">
        <is>
          <t>CVE</t>
        </is>
      </c>
      <c r="B168" s="191" t="inlineStr">
        <is>
          <t>CVE-2026-1317</t>
        </is>
      </c>
      <c r="C168" s="191" t="inlineStr">
        <is>
          <t>The WP Import – Ultimate CSV XML Importer for WordPress plugin for WordPress is vulnerable to SQL Injection in all versions up to, and including, 7.37. This is due to insufficient escaping on the `file_name` parameter which is stored in the database during file upload and later used in raw SQL queries without proper sanitization. This makes it possible for authenticated attackers with Subscriber-level access or higher to append additional SQL queries into already existing queries via a malicious</t>
        </is>
      </c>
      <c r="D168" s="191" t="n">
        <v>6.5</v>
      </c>
      <c r="E168" s="191" t="inlineStr">
        <is>
          <t>MEDIUM</t>
        </is>
      </c>
      <c r="F168" s="191" t="n">
        <v>2</v>
      </c>
      <c r="G168" s="191" t="n">
        <v>2</v>
      </c>
      <c r="H168" s="191" t="inlineStr">
        <is>
          <t>MEDIUM</t>
        </is>
      </c>
      <c r="I168" s="191" t="n">
        <v>10.5</v>
      </c>
      <c r="J168" s="191" t="inlineStr">
        <is>
          <t>NO</t>
        </is>
      </c>
      <c r="K168" s="192" t="inlineStr">
        <is>
          <t>https://nvd.nist.gov/vuln/detail/CVE-2026-1317</t>
        </is>
      </c>
      <c r="L168" s="191" t="inlineStr">
        <is>
          <t>2026-02-23 23:48</t>
        </is>
      </c>
      <c r="M168" s="191" t="inlineStr">
        <is>
          <t>CHECK_VENDOR</t>
        </is>
      </c>
      <c r="N168" s="191" t="inlineStr">
        <is>
          <t>See NVD references</t>
        </is>
      </c>
      <c r="O168" s="191" t="inlineStr">
        <is>
          <t>Apply vendor patches</t>
        </is>
      </c>
      <c r="P168" s="191" t="inlineStr">
        <is>
          <t>See CVE details</t>
        </is>
      </c>
      <c r="Q168" s="191" t="inlineStr">
        <is>
          <t>P4</t>
        </is>
      </c>
      <c r="R168" s="191" t="inlineStr">
        <is>
          <t>📅 Schedule patch deployment within 30 days | 🔍 Monitor for exploitation attempts</t>
        </is>
      </c>
      <c r="S168" s="191" t="inlineStr">
        <is>
          <t>CVE - IP enrichment n/a</t>
        </is>
      </c>
      <c r="T168" s="191" t="n">
        <v>0</v>
      </c>
      <c r="U168" s="191" t="n">
        <v>0</v>
      </c>
      <c r="V168" s="191" t="inlineStr">
        <is>
          <t>T1190:Exploit Public-Facing Application</t>
        </is>
      </c>
      <c r="W168" s="191" t="n">
        <v>1</v>
      </c>
      <c r="X168" s="191" t="inlineStr">
        <is>
          <t>LOW (40%)</t>
        </is>
      </c>
      <c r="Y168" s="191" t="inlineStr">
        <is>
          <t>UNLIKELY</t>
        </is>
      </c>
      <c r="Z168" s="191" t="inlineStr">
        <is>
          <t>CHECK_VENDOR</t>
        </is>
      </c>
      <c r="AA168" s="192" t="inlineStr">
        <is>
          <t>https://nvd.nist.gov/vuln/detail/CVE-2026-1317</t>
        </is>
      </c>
      <c r="AB168" s="191" t="inlineStr">
        <is>
          <t>NONE</t>
        </is>
      </c>
      <c r="AC168" s="191" t="n">
        <v>0</v>
      </c>
      <c r="AD168" s="191" t="n"/>
    </row>
    <row r="169">
      <c r="A169" s="195" t="inlineStr">
        <is>
          <t>CVE</t>
        </is>
      </c>
      <c r="B169" s="195" t="inlineStr">
        <is>
          <t>CVE-2026-1582</t>
        </is>
      </c>
      <c r="C169" s="195" t="inlineStr">
        <is>
          <t>The WP All Export plugin for WordPress is vulnerable to Sensitive Information Exposure in all versions up to, and including, 1.4.14 via the export download endpoint. This is due to a PHP type juggling vulnerability in the security token comparison which uses loose comparison (==) instead of strict comparison (===). This makes it possible for unauthenticated attackers to bypass authentication using "magic hash" values when the expected MD5 hash prefix happens to be numeric-looking (matching patte</t>
        </is>
      </c>
      <c r="D169" s="195" t="n">
        <v>3.7</v>
      </c>
      <c r="E169" s="195" t="inlineStr">
        <is>
          <t>LOW</t>
        </is>
      </c>
      <c r="F169" s="195" t="n">
        <v>2</v>
      </c>
      <c r="G169" s="195" t="n">
        <v>1</v>
      </c>
      <c r="H169" s="195" t="inlineStr">
        <is>
          <t>LOW</t>
        </is>
      </c>
      <c r="I169" s="195" t="n">
        <v>5.7</v>
      </c>
      <c r="J169" s="195" t="inlineStr">
        <is>
          <t>NO</t>
        </is>
      </c>
      <c r="K169" s="196" t="inlineStr">
        <is>
          <t>https://nvd.nist.gov/vuln/detail/CVE-2026-1582</t>
        </is>
      </c>
      <c r="L169" s="195" t="inlineStr">
        <is>
          <t>2026-02-23 23:48</t>
        </is>
      </c>
      <c r="M169" s="195" t="inlineStr">
        <is>
          <t>CHECK_VENDOR</t>
        </is>
      </c>
      <c r="N169" s="195" t="inlineStr">
        <is>
          <t>See NVD references</t>
        </is>
      </c>
      <c r="O169" s="195" t="inlineStr">
        <is>
          <t>Apply vendor patches</t>
        </is>
      </c>
      <c r="P169" s="195" t="inlineStr">
        <is>
          <t>See CVE details</t>
        </is>
      </c>
      <c r="Q169" s="195" t="inlineStr">
        <is>
          <t>P4</t>
        </is>
      </c>
      <c r="R169" s="195" t="inlineStr">
        <is>
          <t>📅 Schedule patch deployment within 30 days | 🔍 Monitor for exploitation attempts</t>
        </is>
      </c>
      <c r="S169" s="195" t="inlineStr">
        <is>
          <t>CVE - IP enrichment n/a</t>
        </is>
      </c>
      <c r="T169" s="195" t="n">
        <v>0</v>
      </c>
      <c r="U169" s="195" t="n">
        <v>0</v>
      </c>
      <c r="V169" s="195" t="inlineStr">
        <is>
          <t>T1213:Data from Information Repositories</t>
        </is>
      </c>
      <c r="W169" s="195" t="n">
        <v>1</v>
      </c>
      <c r="X169" s="195" t="inlineStr">
        <is>
          <t>LOW (40%)</t>
        </is>
      </c>
      <c r="Y169" s="195" t="inlineStr">
        <is>
          <t>UNLIKELY</t>
        </is>
      </c>
      <c r="Z169" s="195" t="inlineStr">
        <is>
          <t>CHECK_VENDOR</t>
        </is>
      </c>
      <c r="AA169" s="196" t="inlineStr">
        <is>
          <t>https://nvd.nist.gov/vuln/detail/CVE-2026-1582</t>
        </is>
      </c>
      <c r="AB169" s="195" t="inlineStr">
        <is>
          <t>NONE</t>
        </is>
      </c>
      <c r="AC169" s="195" t="n">
        <v>0</v>
      </c>
      <c r="AD169" s="195" t="n"/>
    </row>
    <row r="170">
      <c r="A170" s="191" t="inlineStr">
        <is>
          <t>CVE</t>
        </is>
      </c>
      <c r="B170" s="191" t="inlineStr">
        <is>
          <t>CVE-2026-2386</t>
        </is>
      </c>
      <c r="C170" s="191" t="inlineStr">
        <is>
          <t>The The Plus Addons for Elementor – Addons for Elementor, Page Templates, Widgets, Mega Menu, WooCommerce plugin for WordPress is vulnerable to Incorrect Authorization in all versions up to, and including, 6.4.7. This is due to the tpae_create_page() AJAX handler authorizing users only with current_user_can('edit_posts') while accepting a user-controlled 'post_type' value passed directly to wp_insert_post() without post-type-specific capability checks. This makes it possible for authenticated at</t>
        </is>
      </c>
      <c r="D170" s="191" t="n">
        <v>4.3</v>
      </c>
      <c r="E170" s="191" t="inlineStr">
        <is>
          <t>MEDIUM</t>
        </is>
      </c>
      <c r="F170" s="191" t="n">
        <v>2</v>
      </c>
      <c r="G170" s="191" t="n">
        <v>2</v>
      </c>
      <c r="H170" s="191" t="inlineStr">
        <is>
          <t>MEDIUM</t>
        </is>
      </c>
      <c r="I170" s="191" t="n">
        <v>8.300000000000001</v>
      </c>
      <c r="J170" s="191" t="inlineStr">
        <is>
          <t>NO</t>
        </is>
      </c>
      <c r="K170" s="192" t="inlineStr">
        <is>
          <t>https://nvd.nist.gov/vuln/detail/CVE-2026-2386</t>
        </is>
      </c>
      <c r="L170" s="191" t="inlineStr">
        <is>
          <t>2026-02-23 23:48</t>
        </is>
      </c>
      <c r="M170" s="191" t="inlineStr">
        <is>
          <t>CHECK_VENDOR</t>
        </is>
      </c>
      <c r="N170" s="191" t="inlineStr">
        <is>
          <t>See NVD references</t>
        </is>
      </c>
      <c r="O170" s="191" t="inlineStr">
        <is>
          <t>Apply vendor patches</t>
        </is>
      </c>
      <c r="P170" s="191" t="inlineStr">
        <is>
          <t>See CVE details</t>
        </is>
      </c>
      <c r="Q170" s="191" t="inlineStr">
        <is>
          <t>P4</t>
        </is>
      </c>
      <c r="R170" s="191" t="inlineStr">
        <is>
          <t>📅 Schedule patch deployment within 30 days | 🔍 Monitor for exploitation attempts</t>
        </is>
      </c>
      <c r="S170" s="191" t="inlineStr">
        <is>
          <t>CVE - IP enrichment n/a</t>
        </is>
      </c>
      <c r="T170" s="191" t="n">
        <v>0</v>
      </c>
      <c r="U170" s="191" t="n">
        <v>0</v>
      </c>
      <c r="V170" s="191" t="inlineStr">
        <is>
          <t>T1190:Exploit Public-Facing Application</t>
        </is>
      </c>
      <c r="W170" s="191" t="n">
        <v>1</v>
      </c>
      <c r="X170" s="191" t="inlineStr">
        <is>
          <t>LOW (40%)</t>
        </is>
      </c>
      <c r="Y170" s="191" t="inlineStr">
        <is>
          <t>UNLIKELY</t>
        </is>
      </c>
      <c r="Z170" s="191" t="inlineStr">
        <is>
          <t>CHECK_VENDOR</t>
        </is>
      </c>
      <c r="AA170" s="192" t="inlineStr">
        <is>
          <t>https://nvd.nist.gov/vuln/detail/CVE-2026-2386</t>
        </is>
      </c>
      <c r="AB170" s="191" t="inlineStr">
        <is>
          <t>NONE</t>
        </is>
      </c>
      <c r="AC170" s="191" t="n">
        <v>0</v>
      </c>
      <c r="AD170" s="191" t="n"/>
    </row>
    <row r="171">
      <c r="A171" s="191" t="inlineStr">
        <is>
          <t>CVE</t>
        </is>
      </c>
      <c r="B171" s="191" t="inlineStr">
        <is>
          <t>CVE-2025-14340</t>
        </is>
      </c>
      <c r="C171" s="191" t="inlineStr">
        <is>
          <t>Cross-site scripting in REST Management Interface in Payara Server &lt;4.1.2.191.54, &lt;5.83.0, &lt;6.34.0, &lt;7.2026.1 allows an attacker to mislead the administrator to change the admin password via URL Payload.</t>
        </is>
      </c>
      <c r="D171" s="191" t="n">
        <v>5</v>
      </c>
      <c r="E171" s="191" t="inlineStr">
        <is>
          <t>MEDIUM</t>
        </is>
      </c>
      <c r="F171" s="191" t="n">
        <v>2</v>
      </c>
      <c r="G171" s="191" t="n">
        <v>2</v>
      </c>
      <c r="H171" s="191" t="inlineStr">
        <is>
          <t>MEDIUM</t>
        </is>
      </c>
      <c r="I171" s="191" t="n">
        <v>9</v>
      </c>
      <c r="J171" s="191" t="inlineStr">
        <is>
          <t>NO</t>
        </is>
      </c>
      <c r="K171" s="192" t="inlineStr">
        <is>
          <t>https://nvd.nist.gov/vuln/detail/CVE-2025-14340</t>
        </is>
      </c>
      <c r="L171" s="191" t="inlineStr">
        <is>
          <t>2026-02-23 23:48</t>
        </is>
      </c>
      <c r="M171" s="191" t="inlineStr">
        <is>
          <t>CHECK_VENDOR</t>
        </is>
      </c>
      <c r="N171" s="191" t="inlineStr">
        <is>
          <t>See NVD references</t>
        </is>
      </c>
      <c r="O171" s="191" t="inlineStr">
        <is>
          <t>Apply vendor patches</t>
        </is>
      </c>
      <c r="P171" s="191" t="inlineStr">
        <is>
          <t>See CVE details</t>
        </is>
      </c>
      <c r="Q171" s="191" t="inlineStr">
        <is>
          <t>P4</t>
        </is>
      </c>
      <c r="R171" s="191" t="inlineStr">
        <is>
          <t>📅 Schedule patch deployment within 30 days | 🔍 Monitor for exploitation attempts</t>
        </is>
      </c>
      <c r="S171" s="191" t="inlineStr">
        <is>
          <t>CVE - IP enrichment n/a</t>
        </is>
      </c>
      <c r="T171" s="191" t="n">
        <v>0</v>
      </c>
      <c r="U171" s="191" t="n">
        <v>0</v>
      </c>
      <c r="V171" s="191" t="inlineStr">
        <is>
          <t>T1189:Drive-by Compromise</t>
        </is>
      </c>
      <c r="W171" s="191" t="n">
        <v>1</v>
      </c>
      <c r="X171" s="191" t="inlineStr">
        <is>
          <t>LOW (40%)</t>
        </is>
      </c>
      <c r="Y171" s="191" t="inlineStr">
        <is>
          <t>UNLIKELY</t>
        </is>
      </c>
      <c r="Z171" s="191" t="inlineStr">
        <is>
          <t>CHECK_VENDOR</t>
        </is>
      </c>
      <c r="AA171" s="192" t="inlineStr">
        <is>
          <t>https://nvd.nist.gov/vuln/detail/CVE-2025-14340</t>
        </is>
      </c>
      <c r="AB171" s="191" t="inlineStr">
        <is>
          <t>NONE</t>
        </is>
      </c>
      <c r="AC171" s="191" t="n">
        <v>0</v>
      </c>
      <c r="AD171" s="191" t="n"/>
    </row>
    <row r="172">
      <c r="A172" s="189" t="inlineStr">
        <is>
          <t>CVE</t>
        </is>
      </c>
      <c r="B172" s="189" t="inlineStr">
        <is>
          <t>CVE-2025-33236</t>
        </is>
      </c>
      <c r="C172" s="189" t="inlineStr">
        <is>
          <t>NVIDIA NeMo Framework contains a vulnerability where malicious data created by an attacker could cause code injection. A successful exploit of this vulnerability might lead to code execution, escalation of privileges, information disclosure, and data tampering.</t>
        </is>
      </c>
      <c r="D172" s="189" t="n">
        <v>7.8</v>
      </c>
      <c r="E172" s="189" t="inlineStr">
        <is>
          <t>HIGH</t>
        </is>
      </c>
      <c r="F172" s="189" t="n">
        <v>2</v>
      </c>
      <c r="G172" s="189" t="n">
        <v>3</v>
      </c>
      <c r="H172" s="189" t="inlineStr">
        <is>
          <t>HIGH</t>
        </is>
      </c>
      <c r="I172" s="189" t="n">
        <v>13.8</v>
      </c>
      <c r="J172" s="189" t="inlineStr">
        <is>
          <t>NO</t>
        </is>
      </c>
      <c r="K172" s="190" t="inlineStr">
        <is>
          <t>https://nvd.nist.gov/vuln/detail/CVE-2025-33236</t>
        </is>
      </c>
      <c r="L172" s="189" t="inlineStr">
        <is>
          <t>2026-02-23 23:48</t>
        </is>
      </c>
      <c r="M172" s="189" t="inlineStr">
        <is>
          <t>YES</t>
        </is>
      </c>
      <c r="N172" s="190" t="inlineStr">
        <is>
          <t>https://nvidia.custhelp.com/app/answers/detail/a_id/5762</t>
        </is>
      </c>
      <c r="O172" s="189" t="inlineStr">
        <is>
          <t>Apply vendor patches</t>
        </is>
      </c>
      <c r="P172" s="189" t="inlineStr">
        <is>
          <t>nvidia nemo *</t>
        </is>
      </c>
      <c r="Q172" s="189" t="inlineStr">
        <is>
          <t>P3</t>
        </is>
      </c>
      <c r="R172" s="189" t="inlineStr">
        <is>
          <t>🚨 URGENT: Apply vendor patches immediately | 🔒 Isolate affected systems if patch unavailable | 🛡️ Enable additional monitoring/IDS rules</t>
        </is>
      </c>
      <c r="S172" s="189" t="inlineStr">
        <is>
          <t>CVE - IP enrichment n/a</t>
        </is>
      </c>
      <c r="T172" s="189" t="n">
        <v>0</v>
      </c>
      <c r="U172" s="189" t="n">
        <v>0</v>
      </c>
      <c r="V172" s="189" t="inlineStr">
        <is>
          <t>T1059:Command and Scripting Interpreter | T1213:Data from Information Repositories</t>
        </is>
      </c>
      <c r="W172" s="189" t="n">
        <v>1</v>
      </c>
      <c r="X172" s="189" t="inlineStr">
        <is>
          <t>LOW (40%)</t>
        </is>
      </c>
      <c r="Y172" s="189" t="inlineStr">
        <is>
          <t>UNLIKELY</t>
        </is>
      </c>
      <c r="Z172" s="189" t="inlineStr">
        <is>
          <t>PATCH_AVAILABLE</t>
        </is>
      </c>
      <c r="AA172" s="190" t="inlineStr">
        <is>
          <t>https://nvd.nist.gov/vuln/detail/CVE-2025-33236</t>
        </is>
      </c>
      <c r="AB172" s="189" t="inlineStr">
        <is>
          <t>NONE</t>
        </is>
      </c>
      <c r="AC172" s="189" t="n">
        <v>0</v>
      </c>
      <c r="AD172" s="189" t="n"/>
    </row>
    <row r="173">
      <c r="A173" s="189" t="inlineStr">
        <is>
          <t>CVE</t>
        </is>
      </c>
      <c r="B173" s="189" t="inlineStr">
        <is>
          <t>CVE-2025-33239</t>
        </is>
      </c>
      <c r="C173" s="189" t="inlineStr">
        <is>
          <t>NVIDIA Megatron Bridge contains a vulnerability in a data merging tutorial, where malicious input could cause a code injection. A successful exploit of this vulnerability might lead to code execution, escalation of privileges, information disclosure, and data tampering.</t>
        </is>
      </c>
      <c r="D173" s="189" t="n">
        <v>7.8</v>
      </c>
      <c r="E173" s="189" t="inlineStr">
        <is>
          <t>HIGH</t>
        </is>
      </c>
      <c r="F173" s="189" t="n">
        <v>2</v>
      </c>
      <c r="G173" s="189" t="n">
        <v>3</v>
      </c>
      <c r="H173" s="189" t="inlineStr">
        <is>
          <t>HIGH</t>
        </is>
      </c>
      <c r="I173" s="189" t="n">
        <v>13.8</v>
      </c>
      <c r="J173" s="189" t="inlineStr">
        <is>
          <t>NO</t>
        </is>
      </c>
      <c r="K173" s="190" t="inlineStr">
        <is>
          <t>https://nvd.nist.gov/vuln/detail/CVE-2025-33239</t>
        </is>
      </c>
      <c r="L173" s="189" t="inlineStr">
        <is>
          <t>2026-02-23 23:48</t>
        </is>
      </c>
      <c r="M173" s="189" t="inlineStr">
        <is>
          <t>CHECK_VENDOR</t>
        </is>
      </c>
      <c r="N173" s="189" t="inlineStr">
        <is>
          <t>See NVD references</t>
        </is>
      </c>
      <c r="O173" s="189" t="inlineStr">
        <is>
          <t>Apply vendor patches</t>
        </is>
      </c>
      <c r="P173" s="189" t="inlineStr">
        <is>
          <t>See CVE details</t>
        </is>
      </c>
      <c r="Q173" s="189" t="inlineStr">
        <is>
          <t>P3</t>
        </is>
      </c>
      <c r="R173" s="189" t="inlineStr">
        <is>
          <t>🚨 URGENT: Apply vendor patches immediately | 🔒 Isolate affected systems if patch unavailable | 🛡️ Enable additional monitoring/IDS rules</t>
        </is>
      </c>
      <c r="S173" s="189" t="inlineStr">
        <is>
          <t>CVE - IP enrichment n/a</t>
        </is>
      </c>
      <c r="T173" s="189" t="n">
        <v>0</v>
      </c>
      <c r="U173" s="189" t="n">
        <v>0</v>
      </c>
      <c r="V173" s="189" t="inlineStr">
        <is>
          <t>T1059:Command and Scripting Interpreter | T1213:Data from Information Repositories</t>
        </is>
      </c>
      <c r="W173" s="189" t="n">
        <v>1</v>
      </c>
      <c r="X173" s="189" t="inlineStr">
        <is>
          <t>LOW (40%)</t>
        </is>
      </c>
      <c r="Y173" s="189" t="inlineStr">
        <is>
          <t>UNLIKELY</t>
        </is>
      </c>
      <c r="Z173" s="189" t="inlineStr">
        <is>
          <t>CHECK_VENDOR</t>
        </is>
      </c>
      <c r="AA173" s="190" t="inlineStr">
        <is>
          <t>https://nvd.nist.gov/vuln/detail/CVE-2025-33239</t>
        </is>
      </c>
      <c r="AB173" s="189" t="inlineStr">
        <is>
          <t>NONE</t>
        </is>
      </c>
      <c r="AC173" s="189" t="n">
        <v>0</v>
      </c>
      <c r="AD173" s="189" t="n"/>
    </row>
    <row r="174">
      <c r="A174" s="189" t="inlineStr">
        <is>
          <t>CVE</t>
        </is>
      </c>
      <c r="B174" s="189" t="inlineStr">
        <is>
          <t>CVE-2025-33240</t>
        </is>
      </c>
      <c r="C174" s="189" t="inlineStr">
        <is>
          <t>NVIDIA Megatron Bridge contains a vulnerability in a data shuffling tutorial, where malicious input could cause a code injection. A successful exploit of this vulnerability might lead to code execution, escalation of privileges, information disclosure, and data tampering.</t>
        </is>
      </c>
      <c r="D174" s="189" t="n">
        <v>7.8</v>
      </c>
      <c r="E174" s="189" t="inlineStr">
        <is>
          <t>HIGH</t>
        </is>
      </c>
      <c r="F174" s="189" t="n">
        <v>2</v>
      </c>
      <c r="G174" s="189" t="n">
        <v>3</v>
      </c>
      <c r="H174" s="189" t="inlineStr">
        <is>
          <t>HIGH</t>
        </is>
      </c>
      <c r="I174" s="189" t="n">
        <v>13.8</v>
      </c>
      <c r="J174" s="189" t="inlineStr">
        <is>
          <t>NO</t>
        </is>
      </c>
      <c r="K174" s="190" t="inlineStr">
        <is>
          <t>https://nvd.nist.gov/vuln/detail/CVE-2025-33240</t>
        </is>
      </c>
      <c r="L174" s="189" t="inlineStr">
        <is>
          <t>2026-02-23 23:48</t>
        </is>
      </c>
      <c r="M174" s="189" t="inlineStr">
        <is>
          <t>CHECK_VENDOR</t>
        </is>
      </c>
      <c r="N174" s="189" t="inlineStr">
        <is>
          <t>See NVD references</t>
        </is>
      </c>
      <c r="O174" s="189" t="inlineStr">
        <is>
          <t>Apply vendor patches</t>
        </is>
      </c>
      <c r="P174" s="189" t="inlineStr">
        <is>
          <t>See CVE details</t>
        </is>
      </c>
      <c r="Q174" s="189" t="inlineStr">
        <is>
          <t>P3</t>
        </is>
      </c>
      <c r="R174" s="189" t="inlineStr">
        <is>
          <t>🚨 URGENT: Apply vendor patches immediately | 🔒 Isolate affected systems if patch unavailable | 🛡️ Enable additional monitoring/IDS rules</t>
        </is>
      </c>
      <c r="S174" s="189" t="inlineStr">
        <is>
          <t>CVE - IP enrichment n/a</t>
        </is>
      </c>
      <c r="T174" s="189" t="n">
        <v>0</v>
      </c>
      <c r="U174" s="189" t="n">
        <v>0</v>
      </c>
      <c r="V174" s="189" t="inlineStr">
        <is>
          <t>T1059:Command and Scripting Interpreter | T1213:Data from Information Repositories</t>
        </is>
      </c>
      <c r="W174" s="189" t="n">
        <v>1</v>
      </c>
      <c r="X174" s="189" t="inlineStr">
        <is>
          <t>LOW (40%)</t>
        </is>
      </c>
      <c r="Y174" s="189" t="inlineStr">
        <is>
          <t>UNLIKELY</t>
        </is>
      </c>
      <c r="Z174" s="189" t="inlineStr">
        <is>
          <t>CHECK_VENDOR</t>
        </is>
      </c>
      <c r="AA174" s="190" t="inlineStr">
        <is>
          <t>https://nvd.nist.gov/vuln/detail/CVE-2025-33240</t>
        </is>
      </c>
      <c r="AB174" s="189" t="inlineStr">
        <is>
          <t>NONE</t>
        </is>
      </c>
      <c r="AC174" s="189" t="n">
        <v>0</v>
      </c>
      <c r="AD174" s="189" t="n"/>
    </row>
    <row r="175">
      <c r="A175" s="189" t="inlineStr">
        <is>
          <t>CVE</t>
        </is>
      </c>
      <c r="B175" s="189" t="inlineStr">
        <is>
          <t>CVE-2025-33241</t>
        </is>
      </c>
      <c r="C175" s="189" t="inlineStr">
        <is>
          <t>NVIDIA NeMo Framework contains a vulnerability where an attacker could cause remote code execution by loading a maliciously crafted file. A successful exploit of this vulnerability might lead to code execution, escalation of privileges, information disclosure, and data tampering.</t>
        </is>
      </c>
      <c r="D175" s="189" t="n">
        <v>7.8</v>
      </c>
      <c r="E175" s="189" t="inlineStr">
        <is>
          <t>HIGH</t>
        </is>
      </c>
      <c r="F175" s="189" t="n">
        <v>2</v>
      </c>
      <c r="G175" s="189" t="n">
        <v>3</v>
      </c>
      <c r="H175" s="189" t="inlineStr">
        <is>
          <t>HIGH</t>
        </is>
      </c>
      <c r="I175" s="189" t="n">
        <v>13.8</v>
      </c>
      <c r="J175" s="189" t="inlineStr">
        <is>
          <t>NO</t>
        </is>
      </c>
      <c r="K175" s="190" t="inlineStr">
        <is>
          <t>https://nvd.nist.gov/vuln/detail/CVE-2025-33241</t>
        </is>
      </c>
      <c r="L175" s="189" t="inlineStr">
        <is>
          <t>2026-02-23 23:48</t>
        </is>
      </c>
      <c r="M175" s="189" t="inlineStr">
        <is>
          <t>YES</t>
        </is>
      </c>
      <c r="N175" s="190" t="inlineStr">
        <is>
          <t>https://nvidia.custhelp.com/app/answers/detail/a_id/5762</t>
        </is>
      </c>
      <c r="O175" s="189" t="inlineStr">
        <is>
          <t>Apply vendor patches</t>
        </is>
      </c>
      <c r="P175" s="189" t="inlineStr">
        <is>
          <t>nvidia nemo *</t>
        </is>
      </c>
      <c r="Q175" s="189" t="inlineStr">
        <is>
          <t>P3</t>
        </is>
      </c>
      <c r="R175" s="189" t="inlineStr">
        <is>
          <t>🚨 URGENT: Apply vendor patches immediately | 🔒 Isolate affected systems if patch unavailable | 🛡️ Enable additional monitoring/IDS rules</t>
        </is>
      </c>
      <c r="S175" s="189" t="inlineStr">
        <is>
          <t>CVE - IP enrichment n/a</t>
        </is>
      </c>
      <c r="T175" s="189" t="n">
        <v>0</v>
      </c>
      <c r="U175" s="189" t="n">
        <v>0</v>
      </c>
      <c r="V175" s="189" t="inlineStr">
        <is>
          <t>T1059:Command and Scripting Interpreter | T1190:Exploit Public-Facing Application | T1210:Exploitation of Remote Services</t>
        </is>
      </c>
      <c r="W175" s="189" t="n">
        <v>1</v>
      </c>
      <c r="X175" s="189" t="inlineStr">
        <is>
          <t>LOW (40%)</t>
        </is>
      </c>
      <c r="Y175" s="189" t="inlineStr">
        <is>
          <t>UNLIKELY</t>
        </is>
      </c>
      <c r="Z175" s="189" t="inlineStr">
        <is>
          <t>PATCH_AVAILABLE</t>
        </is>
      </c>
      <c r="AA175" s="190" t="inlineStr">
        <is>
          <t>https://nvd.nist.gov/vuln/detail/CVE-2025-33241</t>
        </is>
      </c>
      <c r="AB175" s="189" t="inlineStr">
        <is>
          <t>NONE</t>
        </is>
      </c>
      <c r="AC175" s="189" t="n">
        <v>0</v>
      </c>
      <c r="AD175" s="189" t="n"/>
    </row>
    <row r="176">
      <c r="A176" s="189" t="inlineStr">
        <is>
          <t>CVE</t>
        </is>
      </c>
      <c r="B176" s="189" t="inlineStr">
        <is>
          <t>CVE-2025-33243</t>
        </is>
      </c>
      <c r="C176" s="189" t="inlineStr">
        <is>
          <t>NVIDIA NeMo Framework contains a vulnerability where an attacker could cause remote code execution in distributed environments. A successful exploit of this vulnerability might lead to code execution, escalation of privileges, information disclosure, and data tampering.</t>
        </is>
      </c>
      <c r="D176" s="189" t="n">
        <v>7.8</v>
      </c>
      <c r="E176" s="189" t="inlineStr">
        <is>
          <t>HIGH</t>
        </is>
      </c>
      <c r="F176" s="189" t="n">
        <v>2</v>
      </c>
      <c r="G176" s="189" t="n">
        <v>3</v>
      </c>
      <c r="H176" s="189" t="inlineStr">
        <is>
          <t>HIGH</t>
        </is>
      </c>
      <c r="I176" s="189" t="n">
        <v>13.8</v>
      </c>
      <c r="J176" s="189" t="inlineStr">
        <is>
          <t>NO</t>
        </is>
      </c>
      <c r="K176" s="190" t="inlineStr">
        <is>
          <t>https://nvd.nist.gov/vuln/detail/CVE-2025-33243</t>
        </is>
      </c>
      <c r="L176" s="189" t="inlineStr">
        <is>
          <t>2026-02-23 23:48</t>
        </is>
      </c>
      <c r="M176" s="189" t="inlineStr">
        <is>
          <t>YES</t>
        </is>
      </c>
      <c r="N176" s="190" t="inlineStr">
        <is>
          <t>https://nvidia.custhelp.com/app/answers/detail/a_id/5762</t>
        </is>
      </c>
      <c r="O176" s="189" t="inlineStr">
        <is>
          <t>Apply vendor patches</t>
        </is>
      </c>
      <c r="P176" s="189" t="inlineStr">
        <is>
          <t>nvidia nemo *</t>
        </is>
      </c>
      <c r="Q176" s="189" t="inlineStr">
        <is>
          <t>P3</t>
        </is>
      </c>
      <c r="R176" s="189" t="inlineStr">
        <is>
          <t>🚨 URGENT: Apply vendor patches immediately | 🔒 Isolate affected systems if patch unavailable | 🛡️ Enable additional monitoring/IDS rules</t>
        </is>
      </c>
      <c r="S176" s="189" t="inlineStr">
        <is>
          <t>CVE - IP enrichment n/a</t>
        </is>
      </c>
      <c r="T176" s="189" t="n">
        <v>0</v>
      </c>
      <c r="U176" s="189" t="n">
        <v>0</v>
      </c>
      <c r="V176" s="189" t="inlineStr">
        <is>
          <t>T1059:Command and Scripting Interpreter | T1190:Exploit Public-Facing Application | T1210:Exploitation of Remote Services</t>
        </is>
      </c>
      <c r="W176" s="189" t="n">
        <v>1</v>
      </c>
      <c r="X176" s="189" t="inlineStr">
        <is>
          <t>LOW (40%)</t>
        </is>
      </c>
      <c r="Y176" s="189" t="inlineStr">
        <is>
          <t>UNLIKELY</t>
        </is>
      </c>
      <c r="Z176" s="189" t="inlineStr">
        <is>
          <t>PATCH_AVAILABLE</t>
        </is>
      </c>
      <c r="AA176" s="190" t="inlineStr">
        <is>
          <t>https://nvd.nist.gov/vuln/detail/CVE-2025-33243</t>
        </is>
      </c>
      <c r="AB176" s="189" t="inlineStr">
        <is>
          <t>NONE</t>
        </is>
      </c>
      <c r="AC176" s="189" t="n">
        <v>0</v>
      </c>
      <c r="AD176" s="189" t="n"/>
    </row>
    <row r="177">
      <c r="A177" s="189" t="inlineStr">
        <is>
          <t>CVE</t>
        </is>
      </c>
      <c r="B177" s="189" t="inlineStr">
        <is>
          <t>CVE-2025-33245</t>
        </is>
      </c>
      <c r="C177" s="189" t="inlineStr">
        <is>
          <t>NVIDIA NeMo Framework contains a vulnerability where malicious data could cause remote code execution. A successful exploit of this vulnerability might lead to code execution, escalation of privileges, information disclosure, and data tampering.</t>
        </is>
      </c>
      <c r="D177" s="189" t="n">
        <v>8</v>
      </c>
      <c r="E177" s="189" t="inlineStr">
        <is>
          <t>HIGH</t>
        </is>
      </c>
      <c r="F177" s="189" t="n">
        <v>2</v>
      </c>
      <c r="G177" s="189" t="n">
        <v>3</v>
      </c>
      <c r="H177" s="189" t="inlineStr">
        <is>
          <t>HIGH</t>
        </is>
      </c>
      <c r="I177" s="189" t="n">
        <v>14</v>
      </c>
      <c r="J177" s="189" t="inlineStr">
        <is>
          <t>NO</t>
        </is>
      </c>
      <c r="K177" s="190" t="inlineStr">
        <is>
          <t>https://nvd.nist.gov/vuln/detail/CVE-2025-33245</t>
        </is>
      </c>
      <c r="L177" s="189" t="inlineStr">
        <is>
          <t>2026-02-23 23:48</t>
        </is>
      </c>
      <c r="M177" s="189" t="inlineStr">
        <is>
          <t>YES</t>
        </is>
      </c>
      <c r="N177" s="190" t="inlineStr">
        <is>
          <t>https://nvidia.custhelp.com/app/answers/detail/a_id/5762</t>
        </is>
      </c>
      <c r="O177" s="189" t="inlineStr">
        <is>
          <t>Apply vendor patches</t>
        </is>
      </c>
      <c r="P177" s="189" t="inlineStr">
        <is>
          <t>nvidia nemo *</t>
        </is>
      </c>
      <c r="Q177" s="189" t="inlineStr">
        <is>
          <t>P3</t>
        </is>
      </c>
      <c r="R177" s="189" t="inlineStr">
        <is>
          <t>🚨 URGENT: Apply vendor patches immediately | 🔒 Isolate affected systems if patch unavailable | 🛡️ Enable additional monitoring/IDS rules</t>
        </is>
      </c>
      <c r="S177" s="189" t="inlineStr">
        <is>
          <t>CVE - IP enrichment n/a</t>
        </is>
      </c>
      <c r="T177" s="189" t="n">
        <v>0</v>
      </c>
      <c r="U177" s="189" t="n">
        <v>0</v>
      </c>
      <c r="V177" s="189" t="inlineStr">
        <is>
          <t>T1059:Command and Scripting Interpreter | T1190:Exploit Public-Facing Application | T1210:Exploitation of Remote Services</t>
        </is>
      </c>
      <c r="W177" s="189" t="n">
        <v>1</v>
      </c>
      <c r="X177" s="189" t="inlineStr">
        <is>
          <t>LOW (40%)</t>
        </is>
      </c>
      <c r="Y177" s="189" t="inlineStr">
        <is>
          <t>UNLIKELY</t>
        </is>
      </c>
      <c r="Z177" s="189" t="inlineStr">
        <is>
          <t>PATCH_AVAILABLE</t>
        </is>
      </c>
      <c r="AA177" s="190" t="inlineStr">
        <is>
          <t>https://nvd.nist.gov/vuln/detail/CVE-2025-33245</t>
        </is>
      </c>
      <c r="AB177" s="189" t="inlineStr">
        <is>
          <t>NONE</t>
        </is>
      </c>
      <c r="AC177" s="189" t="n">
        <v>0</v>
      </c>
      <c r="AD177" s="189" t="n"/>
    </row>
    <row r="178">
      <c r="A178" s="189" t="inlineStr">
        <is>
          <t>CVE</t>
        </is>
      </c>
      <c r="B178" s="189" t="inlineStr">
        <is>
          <t>CVE-2025-33246</t>
        </is>
      </c>
      <c r="C178" s="189" t="inlineStr">
        <is>
          <t>NVIDIA NeMo Framework for all platforms contains a vulnerability in the ASR Evaluator utility, where a user could cause a command injection by supplying crafted input to a configuration parameter. A successful exploit of this vulnerability might lead to code execution, escalation of privileges, data tampering, or information disclosure.</t>
        </is>
      </c>
      <c r="D178" s="189" t="n">
        <v>7.8</v>
      </c>
      <c r="E178" s="189" t="inlineStr">
        <is>
          <t>HIGH</t>
        </is>
      </c>
      <c r="F178" s="189" t="n">
        <v>2</v>
      </c>
      <c r="G178" s="189" t="n">
        <v>3</v>
      </c>
      <c r="H178" s="189" t="inlineStr">
        <is>
          <t>HIGH</t>
        </is>
      </c>
      <c r="I178" s="189" t="n">
        <v>13.8</v>
      </c>
      <c r="J178" s="189" t="inlineStr">
        <is>
          <t>NO</t>
        </is>
      </c>
      <c r="K178" s="190" t="inlineStr">
        <is>
          <t>https://nvd.nist.gov/vuln/detail/CVE-2025-33246</t>
        </is>
      </c>
      <c r="L178" s="189" t="inlineStr">
        <is>
          <t>2026-02-23 23:48</t>
        </is>
      </c>
      <c r="M178" s="189" t="inlineStr">
        <is>
          <t>YES</t>
        </is>
      </c>
      <c r="N178" s="190" t="inlineStr">
        <is>
          <t>https://nvidia.custhelp.com/app/answers/detail/a_id/5762</t>
        </is>
      </c>
      <c r="O178" s="189" t="inlineStr">
        <is>
          <t>Apply vendor patches</t>
        </is>
      </c>
      <c r="P178" s="189" t="inlineStr">
        <is>
          <t>nvidia nemo *</t>
        </is>
      </c>
      <c r="Q178" s="189" t="inlineStr">
        <is>
          <t>P3</t>
        </is>
      </c>
      <c r="R178" s="189" t="inlineStr">
        <is>
          <t>🚨 URGENT: Apply vendor patches immediately | 🔒 Isolate affected systems if patch unavailable | 🛡️ Enable additional monitoring/IDS rules</t>
        </is>
      </c>
      <c r="S178" s="189" t="inlineStr">
        <is>
          <t>CVE - IP enrichment n/a</t>
        </is>
      </c>
      <c r="T178" s="189" t="n">
        <v>0</v>
      </c>
      <c r="U178" s="189" t="n">
        <v>0</v>
      </c>
      <c r="V178" s="189" t="inlineStr">
        <is>
          <t>T1059:Command and Scripting Interpreter | T1213:Data from Information Repositories</t>
        </is>
      </c>
      <c r="W178" s="189" t="n">
        <v>1</v>
      </c>
      <c r="X178" s="189" t="inlineStr">
        <is>
          <t>LOW (40%)</t>
        </is>
      </c>
      <c r="Y178" s="189" t="inlineStr">
        <is>
          <t>UNLIKELY</t>
        </is>
      </c>
      <c r="Z178" s="189" t="inlineStr">
        <is>
          <t>PATCH_AVAILABLE</t>
        </is>
      </c>
      <c r="AA178" s="190" t="inlineStr">
        <is>
          <t>https://nvd.nist.gov/vuln/detail/CVE-2025-33246</t>
        </is>
      </c>
      <c r="AB178" s="189" t="inlineStr">
        <is>
          <t>NONE</t>
        </is>
      </c>
      <c r="AC178" s="189" t="n">
        <v>0</v>
      </c>
      <c r="AD178" s="189" t="n"/>
    </row>
    <row r="179">
      <c r="A179" s="189" t="inlineStr">
        <is>
          <t>CVE</t>
        </is>
      </c>
      <c r="B179" s="189" t="inlineStr">
        <is>
          <t>CVE-2025-33249</t>
        </is>
      </c>
      <c r="C179" s="189" t="inlineStr">
        <is>
          <t>NVIDIA NeMo Framework for all platforms contains a vulnerability in a voice-preprocessing script, where malicious input created by an attacker could cause a code injection. A successful exploit of this vulnerability might lead to code execution, escalation of privileges, information disclosure, and data tampering.</t>
        </is>
      </c>
      <c r="D179" s="189" t="n">
        <v>7.8</v>
      </c>
      <c r="E179" s="189" t="inlineStr">
        <is>
          <t>HIGH</t>
        </is>
      </c>
      <c r="F179" s="189" t="n">
        <v>2</v>
      </c>
      <c r="G179" s="189" t="n">
        <v>3</v>
      </c>
      <c r="H179" s="189" t="inlineStr">
        <is>
          <t>HIGH</t>
        </is>
      </c>
      <c r="I179" s="189" t="n">
        <v>13.8</v>
      </c>
      <c r="J179" s="189" t="inlineStr">
        <is>
          <t>NO</t>
        </is>
      </c>
      <c r="K179" s="190" t="inlineStr">
        <is>
          <t>https://nvd.nist.gov/vuln/detail/CVE-2025-33249</t>
        </is>
      </c>
      <c r="L179" s="189" t="inlineStr">
        <is>
          <t>2026-02-23 23:48</t>
        </is>
      </c>
      <c r="M179" s="189" t="inlineStr">
        <is>
          <t>YES</t>
        </is>
      </c>
      <c r="N179" s="190" t="inlineStr">
        <is>
          <t>https://nvidia.custhelp.com/app/answers/detail/a_id/5762</t>
        </is>
      </c>
      <c r="O179" s="189" t="inlineStr">
        <is>
          <t>Apply vendor patches</t>
        </is>
      </c>
      <c r="P179" s="189" t="inlineStr">
        <is>
          <t>nvidia nemo *</t>
        </is>
      </c>
      <c r="Q179" s="189" t="inlineStr">
        <is>
          <t>P3</t>
        </is>
      </c>
      <c r="R179" s="189" t="inlineStr">
        <is>
          <t>🚨 URGENT: Apply vendor patches immediately | 🔒 Isolate affected systems if patch unavailable | 🛡️ Enable additional monitoring/IDS rules</t>
        </is>
      </c>
      <c r="S179" s="189" t="inlineStr">
        <is>
          <t>CVE - IP enrichment n/a</t>
        </is>
      </c>
      <c r="T179" s="189" t="n">
        <v>0</v>
      </c>
      <c r="U179" s="189" t="n">
        <v>0</v>
      </c>
      <c r="V179" s="189" t="inlineStr">
        <is>
          <t>T1059:Command and Scripting Interpreter | T1213:Data from Information Repositories</t>
        </is>
      </c>
      <c r="W179" s="189" t="n">
        <v>1</v>
      </c>
      <c r="X179" s="189" t="inlineStr">
        <is>
          <t>LOW (40%)</t>
        </is>
      </c>
      <c r="Y179" s="189" t="inlineStr">
        <is>
          <t>UNLIKELY</t>
        </is>
      </c>
      <c r="Z179" s="189" t="inlineStr">
        <is>
          <t>PATCH_AVAILABLE</t>
        </is>
      </c>
      <c r="AA179" s="190" t="inlineStr">
        <is>
          <t>https://nvd.nist.gov/vuln/detail/CVE-2025-33249</t>
        </is>
      </c>
      <c r="AB179" s="189" t="inlineStr">
        <is>
          <t>NONE</t>
        </is>
      </c>
      <c r="AC179" s="189" t="n">
        <v>0</v>
      </c>
      <c r="AD179" s="189" t="n"/>
    </row>
    <row r="180">
      <c r="A180" s="189" t="inlineStr">
        <is>
          <t>CVE</t>
        </is>
      </c>
      <c r="B180" s="189" t="inlineStr">
        <is>
          <t>CVE-2025-33250</t>
        </is>
      </c>
      <c r="C180" s="189" t="inlineStr">
        <is>
          <t>NVIDIA NeMo Framework contains a vulnerability where an attacker could cause remote code execution. A successful exploit of this vulnerability might lead to code execution, denial of service, information disclosure, and data tampering.</t>
        </is>
      </c>
      <c r="D180" s="189" t="n">
        <v>7.8</v>
      </c>
      <c r="E180" s="189" t="inlineStr">
        <is>
          <t>HIGH</t>
        </is>
      </c>
      <c r="F180" s="189" t="n">
        <v>2</v>
      </c>
      <c r="G180" s="189" t="n">
        <v>3</v>
      </c>
      <c r="H180" s="189" t="inlineStr">
        <is>
          <t>HIGH</t>
        </is>
      </c>
      <c r="I180" s="189" t="n">
        <v>13.8</v>
      </c>
      <c r="J180" s="189" t="inlineStr">
        <is>
          <t>NO</t>
        </is>
      </c>
      <c r="K180" s="190" t="inlineStr">
        <is>
          <t>https://nvd.nist.gov/vuln/detail/CVE-2025-33250</t>
        </is>
      </c>
      <c r="L180" s="189" t="inlineStr">
        <is>
          <t>2026-02-23 23:48</t>
        </is>
      </c>
      <c r="M180" s="189" t="inlineStr">
        <is>
          <t>YES</t>
        </is>
      </c>
      <c r="N180" s="190" t="inlineStr">
        <is>
          <t>https://nvidia.custhelp.com/app/answers/detail/a_id/5762</t>
        </is>
      </c>
      <c r="O180" s="189" t="inlineStr">
        <is>
          <t>Apply vendor patches</t>
        </is>
      </c>
      <c r="P180" s="189" t="inlineStr">
        <is>
          <t>nvidia nemo *</t>
        </is>
      </c>
      <c r="Q180" s="189" t="inlineStr">
        <is>
          <t>P3</t>
        </is>
      </c>
      <c r="R180" s="189" t="inlineStr">
        <is>
          <t>🚨 URGENT: Apply vendor patches immediately | 🔒 Isolate affected systems if patch unavailable | 🛡️ Enable additional monitoring/IDS rules</t>
        </is>
      </c>
      <c r="S180" s="189" t="inlineStr">
        <is>
          <t>CVE - IP enrichment n/a</t>
        </is>
      </c>
      <c r="T180" s="189" t="n">
        <v>0</v>
      </c>
      <c r="U180" s="189" t="n">
        <v>0</v>
      </c>
      <c r="V180" s="189" t="inlineStr">
        <is>
          <t>T1059:Command and Scripting Interpreter | T1190:Exploit Public-Facing Application | T1210:Exploitation of Remote Services</t>
        </is>
      </c>
      <c r="W180" s="189" t="n">
        <v>1</v>
      </c>
      <c r="X180" s="189" t="inlineStr">
        <is>
          <t>LOW (40%)</t>
        </is>
      </c>
      <c r="Y180" s="189" t="inlineStr">
        <is>
          <t>UNLIKELY</t>
        </is>
      </c>
      <c r="Z180" s="189" t="inlineStr">
        <is>
          <t>PATCH_AVAILABLE</t>
        </is>
      </c>
      <c r="AA180" s="190" t="inlineStr">
        <is>
          <t>https://nvd.nist.gov/vuln/detail/CVE-2025-33250</t>
        </is>
      </c>
      <c r="AB180" s="189" t="inlineStr">
        <is>
          <t>NONE</t>
        </is>
      </c>
      <c r="AC180" s="189" t="n">
        <v>0</v>
      </c>
      <c r="AD180" s="189" t="n"/>
    </row>
    <row r="181">
      <c r="A181" s="189" t="inlineStr">
        <is>
          <t>CVE</t>
        </is>
      </c>
      <c r="B181" s="189" t="inlineStr">
        <is>
          <t>CVE-2025-33251</t>
        </is>
      </c>
      <c r="C181" s="189" t="inlineStr">
        <is>
          <t>NVIDIA NeMo Framework contains a vulnerability where an attacker could cause remote code execution. A successful exploit of this vulnerability might lead to code execution, denial of service, information disclosure, and data tampering.</t>
        </is>
      </c>
      <c r="D181" s="189" t="n">
        <v>7.8</v>
      </c>
      <c r="E181" s="189" t="inlineStr">
        <is>
          <t>HIGH</t>
        </is>
      </c>
      <c r="F181" s="189" t="n">
        <v>2</v>
      </c>
      <c r="G181" s="189" t="n">
        <v>3</v>
      </c>
      <c r="H181" s="189" t="inlineStr">
        <is>
          <t>HIGH</t>
        </is>
      </c>
      <c r="I181" s="189" t="n">
        <v>13.8</v>
      </c>
      <c r="J181" s="189" t="inlineStr">
        <is>
          <t>NO</t>
        </is>
      </c>
      <c r="K181" s="190" t="inlineStr">
        <is>
          <t>https://nvd.nist.gov/vuln/detail/CVE-2025-33251</t>
        </is>
      </c>
      <c r="L181" s="189" t="inlineStr">
        <is>
          <t>2026-02-23 23:48</t>
        </is>
      </c>
      <c r="M181" s="189" t="inlineStr">
        <is>
          <t>YES</t>
        </is>
      </c>
      <c r="N181" s="190" t="inlineStr">
        <is>
          <t>https://nvidia.custhelp.com/app/answers/detail/a_id/5762</t>
        </is>
      </c>
      <c r="O181" s="189" t="inlineStr">
        <is>
          <t>Apply vendor patches</t>
        </is>
      </c>
      <c r="P181" s="189" t="inlineStr">
        <is>
          <t>nvidia nemo *</t>
        </is>
      </c>
      <c r="Q181" s="189" t="inlineStr">
        <is>
          <t>P3</t>
        </is>
      </c>
      <c r="R181" s="189" t="inlineStr">
        <is>
          <t>🚨 URGENT: Apply vendor patches immediately | 🔒 Isolate affected systems if patch unavailable | 🛡️ Enable additional monitoring/IDS rules</t>
        </is>
      </c>
      <c r="S181" s="189" t="inlineStr">
        <is>
          <t>CVE - IP enrichment n/a</t>
        </is>
      </c>
      <c r="T181" s="189" t="n">
        <v>0.0016</v>
      </c>
      <c r="U181" s="189" t="n">
        <v>0.3652</v>
      </c>
      <c r="V181" s="189" t="inlineStr">
        <is>
          <t>T1059:Command and Scripting Interpreter | T1190:Exploit Public-Facing Application | T1210:Exploitation of Remote Services</t>
        </is>
      </c>
      <c r="W181" s="189" t="n">
        <v>1</v>
      </c>
      <c r="X181" s="189" t="inlineStr">
        <is>
          <t>LOW (40%)</t>
        </is>
      </c>
      <c r="Y181" s="189" t="inlineStr">
        <is>
          <t>UNLIKELY</t>
        </is>
      </c>
      <c r="Z181" s="189" t="inlineStr">
        <is>
          <t>PATCH_AVAILABLE</t>
        </is>
      </c>
      <c r="AA181" s="190" t="inlineStr">
        <is>
          <t>https://nvd.nist.gov/vuln/detail/CVE-2025-33251</t>
        </is>
      </c>
      <c r="AB181" s="189" t="inlineStr">
        <is>
          <t>NONE</t>
        </is>
      </c>
      <c r="AC181" s="189" t="n">
        <v>0</v>
      </c>
      <c r="AD181" s="189" t="n"/>
    </row>
    <row r="182">
      <c r="A182" s="189" t="inlineStr">
        <is>
          <t>CVE</t>
        </is>
      </c>
      <c r="B182" s="189" t="inlineStr">
        <is>
          <t>CVE-2025-33252</t>
        </is>
      </c>
      <c r="C182" s="189" t="inlineStr">
        <is>
          <t>NVIDIA NeMo Framework contains a vulnerability where an attacker could cause remote code execution. A successful exploit of this vulnerability might lead to code execution, denial of service, information disclosure, and data tampering.</t>
        </is>
      </c>
      <c r="D182" s="189" t="n">
        <v>7.8</v>
      </c>
      <c r="E182" s="189" t="inlineStr">
        <is>
          <t>HIGH</t>
        </is>
      </c>
      <c r="F182" s="189" t="n">
        <v>2</v>
      </c>
      <c r="G182" s="189" t="n">
        <v>3</v>
      </c>
      <c r="H182" s="189" t="inlineStr">
        <is>
          <t>HIGH</t>
        </is>
      </c>
      <c r="I182" s="189" t="n">
        <v>13.8</v>
      </c>
      <c r="J182" s="189" t="inlineStr">
        <is>
          <t>NO</t>
        </is>
      </c>
      <c r="K182" s="190" t="inlineStr">
        <is>
          <t>https://nvd.nist.gov/vuln/detail/CVE-2025-33252</t>
        </is>
      </c>
      <c r="L182" s="189" t="inlineStr">
        <is>
          <t>2026-02-23 23:48</t>
        </is>
      </c>
      <c r="M182" s="189" t="inlineStr">
        <is>
          <t>YES</t>
        </is>
      </c>
      <c r="N182" s="190" t="inlineStr">
        <is>
          <t>https://nvidia.custhelp.com/app/answers/detail/a_id/5762</t>
        </is>
      </c>
      <c r="O182" s="189" t="inlineStr">
        <is>
          <t>Apply vendor patches</t>
        </is>
      </c>
      <c r="P182" s="189" t="inlineStr">
        <is>
          <t>nvidia nemo *</t>
        </is>
      </c>
      <c r="Q182" s="189" t="inlineStr">
        <is>
          <t>P3</t>
        </is>
      </c>
      <c r="R182" s="189" t="inlineStr">
        <is>
          <t>🚨 URGENT: Apply vendor patches immediately | 🔒 Isolate affected systems if patch unavailable | 🛡️ Enable additional monitoring/IDS rules</t>
        </is>
      </c>
      <c r="S182" s="189" t="inlineStr">
        <is>
          <t>CVE - IP enrichment n/a</t>
        </is>
      </c>
      <c r="T182" s="189" t="n">
        <v>0.0028</v>
      </c>
      <c r="U182" s="189" t="n">
        <v>0.5141</v>
      </c>
      <c r="V182" s="189" t="inlineStr">
        <is>
          <t>T1059:Command and Scripting Interpreter | T1190:Exploit Public-Facing Application | T1210:Exploitation of Remote Services</t>
        </is>
      </c>
      <c r="W182" s="189" t="n">
        <v>1</v>
      </c>
      <c r="X182" s="189" t="inlineStr">
        <is>
          <t>LOW (40%)</t>
        </is>
      </c>
      <c r="Y182" s="189" t="inlineStr">
        <is>
          <t>UNLIKELY</t>
        </is>
      </c>
      <c r="Z182" s="189" t="inlineStr">
        <is>
          <t>PATCH_AVAILABLE</t>
        </is>
      </c>
      <c r="AA182" s="190" t="inlineStr">
        <is>
          <t>https://nvd.nist.gov/vuln/detail/CVE-2025-33252</t>
        </is>
      </c>
      <c r="AB182" s="189" t="inlineStr">
        <is>
          <t>NONE</t>
        </is>
      </c>
      <c r="AC182" s="189" t="n">
        <v>0</v>
      </c>
      <c r="AD182" s="189" t="n"/>
    </row>
    <row r="183">
      <c r="A183" s="189" t="inlineStr">
        <is>
          <t>CVE</t>
        </is>
      </c>
      <c r="B183" s="189" t="inlineStr">
        <is>
          <t>CVE-2025-33253</t>
        </is>
      </c>
      <c r="C183" s="189" t="inlineStr">
        <is>
          <t>NVIDIA NeMo Framework contains a vulnerability where an attacker could cause remote code execution by convincing a user to load a maliciously crafted file. A successful exploit of this vulnerability might lead to code execution, denial of service, information disclosure, and data tampering.</t>
        </is>
      </c>
      <c r="D183" s="189" t="n">
        <v>7.8</v>
      </c>
      <c r="E183" s="189" t="inlineStr">
        <is>
          <t>HIGH</t>
        </is>
      </c>
      <c r="F183" s="189" t="n">
        <v>2</v>
      </c>
      <c r="G183" s="189" t="n">
        <v>3</v>
      </c>
      <c r="H183" s="189" t="inlineStr">
        <is>
          <t>HIGH</t>
        </is>
      </c>
      <c r="I183" s="189" t="n">
        <v>13.8</v>
      </c>
      <c r="J183" s="189" t="inlineStr">
        <is>
          <t>NO</t>
        </is>
      </c>
      <c r="K183" s="190" t="inlineStr">
        <is>
          <t>https://nvd.nist.gov/vuln/detail/CVE-2025-33253</t>
        </is>
      </c>
      <c r="L183" s="189" t="inlineStr">
        <is>
          <t>2026-02-23 23:48</t>
        </is>
      </c>
      <c r="M183" s="189" t="inlineStr">
        <is>
          <t>YES</t>
        </is>
      </c>
      <c r="N183" s="190" t="inlineStr">
        <is>
          <t>https://nvidia.custhelp.com/app/answers/detail/a_id/5762</t>
        </is>
      </c>
      <c r="O183" s="189" t="inlineStr">
        <is>
          <t>Apply vendor patches</t>
        </is>
      </c>
      <c r="P183" s="189" t="inlineStr">
        <is>
          <t>nvidia nemo *</t>
        </is>
      </c>
      <c r="Q183" s="189" t="inlineStr">
        <is>
          <t>P3</t>
        </is>
      </c>
      <c r="R183" s="189" t="inlineStr">
        <is>
          <t>🚨 URGENT: Apply vendor patches immediately | 🔒 Isolate affected systems if patch unavailable | 🛡️ Enable additional monitoring/IDS rules</t>
        </is>
      </c>
      <c r="S183" s="189" t="inlineStr">
        <is>
          <t>CVE - IP enrichment n/a</t>
        </is>
      </c>
      <c r="T183" s="189" t="n">
        <v>0</v>
      </c>
      <c r="U183" s="189" t="n">
        <v>0</v>
      </c>
      <c r="V183" s="189" t="inlineStr">
        <is>
          <t>T1059:Command and Scripting Interpreter | T1190:Exploit Public-Facing Application | T1210:Exploitation of Remote Services</t>
        </is>
      </c>
      <c r="W183" s="189" t="n">
        <v>1</v>
      </c>
      <c r="X183" s="189" t="inlineStr">
        <is>
          <t>LOW (40%)</t>
        </is>
      </c>
      <c r="Y183" s="189" t="inlineStr">
        <is>
          <t>UNLIKELY</t>
        </is>
      </c>
      <c r="Z183" s="189" t="inlineStr">
        <is>
          <t>PATCH_AVAILABLE</t>
        </is>
      </c>
      <c r="AA183" s="190" t="inlineStr">
        <is>
          <t>https://nvd.nist.gov/vuln/detail/CVE-2025-33253</t>
        </is>
      </c>
      <c r="AB183" s="189" t="inlineStr">
        <is>
          <t>NONE</t>
        </is>
      </c>
      <c r="AC183" s="189" t="n">
        <v>0</v>
      </c>
      <c r="AD183" s="189" t="n"/>
    </row>
    <row r="184">
      <c r="A184" s="191" t="inlineStr">
        <is>
          <t>CVE</t>
        </is>
      </c>
      <c r="B184" s="191" t="inlineStr">
        <is>
          <t>CVE-2025-59920</t>
        </is>
      </c>
      <c r="C184" s="191" t="inlineStr">
        <is>
          <t>When hours are entered in time@work, version 7.0.5, it performs a query to display the projects assigned to the user. If the query URL is copied and opened in a new browser window, the ‘IDClient’ parameter is vulnerable to a blind authenticated SQL injection. If the request is made with the TWAdmin user with the sysadmin role enabled, exploiting the vulnerability will allow commands to be executed on the system; if the user does not belong to the sysadmin role, they will still be able to query d</t>
        </is>
      </c>
      <c r="D184" s="191" t="n">
        <v>5</v>
      </c>
      <c r="E184" s="191" t="inlineStr">
        <is>
          <t>MEDIUM</t>
        </is>
      </c>
      <c r="F184" s="191" t="n">
        <v>2</v>
      </c>
      <c r="G184" s="191" t="n">
        <v>2</v>
      </c>
      <c r="H184" s="191" t="inlineStr">
        <is>
          <t>MEDIUM</t>
        </is>
      </c>
      <c r="I184" s="191" t="n">
        <v>9</v>
      </c>
      <c r="J184" s="191" t="inlineStr">
        <is>
          <t>NO</t>
        </is>
      </c>
      <c r="K184" s="192" t="inlineStr">
        <is>
          <t>https://nvd.nist.gov/vuln/detail/CVE-2025-59920</t>
        </is>
      </c>
      <c r="L184" s="191" t="inlineStr">
        <is>
          <t>2026-02-23 23:48</t>
        </is>
      </c>
      <c r="M184" s="191" t="inlineStr">
        <is>
          <t>CHECK_VENDOR</t>
        </is>
      </c>
      <c r="N184" s="191" t="inlineStr">
        <is>
          <t>See NVD references</t>
        </is>
      </c>
      <c r="O184" s="191" t="inlineStr">
        <is>
          <t>Apply vendor patches</t>
        </is>
      </c>
      <c r="P184" s="191" t="inlineStr">
        <is>
          <t>See CVE details</t>
        </is>
      </c>
      <c r="Q184" s="191" t="inlineStr">
        <is>
          <t>P4</t>
        </is>
      </c>
      <c r="R184" s="191" t="inlineStr">
        <is>
          <t>📅 Schedule patch deployment within 30 days | 🔍 Monitor for exploitation attempts</t>
        </is>
      </c>
      <c r="S184" s="191" t="inlineStr">
        <is>
          <t>CVE - IP enrichment n/a</t>
        </is>
      </c>
      <c r="T184" s="191" t="n">
        <v>0</v>
      </c>
      <c r="U184" s="191" t="n">
        <v>0</v>
      </c>
      <c r="V184" s="191" t="inlineStr">
        <is>
          <t>T1190:Exploit Public-Facing Application</t>
        </is>
      </c>
      <c r="W184" s="191" t="n">
        <v>1</v>
      </c>
      <c r="X184" s="191" t="inlineStr">
        <is>
          <t>LOW (40%)</t>
        </is>
      </c>
      <c r="Y184" s="191" t="inlineStr">
        <is>
          <t>UNLIKELY</t>
        </is>
      </c>
      <c r="Z184" s="191" t="inlineStr">
        <is>
          <t>CHECK_VENDOR</t>
        </is>
      </c>
      <c r="AA184" s="192" t="inlineStr">
        <is>
          <t>https://nvd.nist.gov/vuln/detail/CVE-2025-59920</t>
        </is>
      </c>
      <c r="AB184" s="191" t="inlineStr">
        <is>
          <t>NONE</t>
        </is>
      </c>
      <c r="AC184" s="191" t="n">
        <v>0</v>
      </c>
      <c r="AD184" s="191" t="n"/>
    </row>
    <row r="185">
      <c r="A185" s="189" t="inlineStr">
        <is>
          <t>CVE</t>
        </is>
      </c>
      <c r="B185" s="189" t="inlineStr">
        <is>
          <t>CVE-2025-60035</t>
        </is>
      </c>
      <c r="C185" s="189" t="inlineStr">
        <is>
          <t>A vulnerability has been identified in the OPC.Testclient utility, which is included in Rexroth IndraWorks. All versions prior to 15V24 are affected. This flaw allows an attacker to execute arbitrary code on the user's system by parsing a manipulated file containing malicious serialized data. Exploitation requires user interaction, specifically opening a specially crafted file, which then causes the application to deserialize the malicious data, enabling Remote Code Execution (RCE). This can lea</t>
        </is>
      </c>
      <c r="D185" s="189" t="n">
        <v>7.8</v>
      </c>
      <c r="E185" s="189" t="inlineStr">
        <is>
          <t>HIGH</t>
        </is>
      </c>
      <c r="F185" s="189" t="n">
        <v>2</v>
      </c>
      <c r="G185" s="189" t="n">
        <v>3</v>
      </c>
      <c r="H185" s="189" t="inlineStr">
        <is>
          <t>HIGH</t>
        </is>
      </c>
      <c r="I185" s="189" t="n">
        <v>13.8</v>
      </c>
      <c r="J185" s="189" t="inlineStr">
        <is>
          <t>NO</t>
        </is>
      </c>
      <c r="K185" s="190" t="inlineStr">
        <is>
          <t>https://nvd.nist.gov/vuln/detail/CVE-2025-60035</t>
        </is>
      </c>
      <c r="L185" s="189" t="inlineStr">
        <is>
          <t>2026-02-23 23:48</t>
        </is>
      </c>
      <c r="M185" s="189" t="inlineStr">
        <is>
          <t>CHECK_VENDOR</t>
        </is>
      </c>
      <c r="N185" s="189" t="inlineStr">
        <is>
          <t>See NVD references</t>
        </is>
      </c>
      <c r="O185" s="189" t="inlineStr">
        <is>
          <t>Apply vendor patches</t>
        </is>
      </c>
      <c r="P185" s="189" t="inlineStr">
        <is>
          <t>See CVE details</t>
        </is>
      </c>
      <c r="Q185" s="189" t="inlineStr">
        <is>
          <t>P1</t>
        </is>
      </c>
      <c r="R185" s="189" t="inlineStr">
        <is>
          <t>🚨 URGENT: Apply vendor patches immediately | 🔒 Isolate affected systems if patch unavailable | 🛡️ Enable additional monitoring/IDS rules</t>
        </is>
      </c>
      <c r="S185" s="189" t="inlineStr">
        <is>
          <t>CVE - IP enrichment n/a</t>
        </is>
      </c>
      <c r="T185" s="189" t="n">
        <v>0</v>
      </c>
      <c r="U185" s="189" t="n">
        <v>0</v>
      </c>
      <c r="V185" s="189" t="inlineStr">
        <is>
          <t>T1059:Command and Scripting Interpreter | T1190:Exploit Public-Facing Application | T1210:Exploitation of Remote Services</t>
        </is>
      </c>
      <c r="W185" s="189" t="n">
        <v>2</v>
      </c>
      <c r="X185" s="189" t="inlineStr">
        <is>
          <t>HIGH (72%)</t>
        </is>
      </c>
      <c r="Y185" s="189" t="inlineStr">
        <is>
          <t>HIGH</t>
        </is>
      </c>
      <c r="Z185" s="189" t="inlineStr">
        <is>
          <t>CHECK_VENDOR</t>
        </is>
      </c>
      <c r="AA185" s="190" t="inlineStr">
        <is>
          <t>https://nvd.nist.gov/vuln/detail/CVE-2025-60035</t>
        </is>
      </c>
      <c r="AB185" s="190" t="inlineStr">
        <is>
          <t>http://www.zerodayinitiative.com/advisories/ZDI-26-109/</t>
        </is>
      </c>
      <c r="AC185" s="189" t="n">
        <v>0</v>
      </c>
      <c r="AD185" s="189" t="n"/>
    </row>
    <row r="186">
      <c r="A186" s="189" t="inlineStr">
        <is>
          <t>CVE</t>
        </is>
      </c>
      <c r="B186" s="189" t="inlineStr">
        <is>
          <t>CVE-2025-60036</t>
        </is>
      </c>
      <c r="C186" s="189" t="inlineStr">
        <is>
          <t>A vulnerability has been identified in the UA.Testclient utility, which is included in Rexroth IndraWorks. All versions prior to 15V24 are affected. This flaw allows an attacker to execute arbitrary code on the user's system by parsing a manipulated file containing malicious serialized data. Exploitation requires user interaction, specifically opening a specially crafted file, which then causes the application to deserialize the malicious data, enabling Remote Code Execution (RCE). This can lead</t>
        </is>
      </c>
      <c r="D186" s="189" t="n">
        <v>7.8</v>
      </c>
      <c r="E186" s="189" t="inlineStr">
        <is>
          <t>HIGH</t>
        </is>
      </c>
      <c r="F186" s="189" t="n">
        <v>2</v>
      </c>
      <c r="G186" s="189" t="n">
        <v>3</v>
      </c>
      <c r="H186" s="189" t="inlineStr">
        <is>
          <t>HIGH</t>
        </is>
      </c>
      <c r="I186" s="189" t="n">
        <v>13.8</v>
      </c>
      <c r="J186" s="189" t="inlineStr">
        <is>
          <t>NO</t>
        </is>
      </c>
      <c r="K186" s="190" t="inlineStr">
        <is>
          <t>https://nvd.nist.gov/vuln/detail/CVE-2025-60036</t>
        </is>
      </c>
      <c r="L186" s="189" t="inlineStr">
        <is>
          <t>2026-02-23 23:48</t>
        </is>
      </c>
      <c r="M186" s="189" t="inlineStr">
        <is>
          <t>CHECK_VENDOR</t>
        </is>
      </c>
      <c r="N186" s="189" t="inlineStr">
        <is>
          <t>See NVD references</t>
        </is>
      </c>
      <c r="O186" s="189" t="inlineStr">
        <is>
          <t>Apply vendor patches</t>
        </is>
      </c>
      <c r="P186" s="189" t="inlineStr">
        <is>
          <t>See CVE details</t>
        </is>
      </c>
      <c r="Q186" s="189" t="inlineStr">
        <is>
          <t>P1</t>
        </is>
      </c>
      <c r="R186" s="189" t="inlineStr">
        <is>
          <t>🚨 URGENT: Apply vendor patches immediately | 🔒 Isolate affected systems if patch unavailable | 🛡️ Enable additional monitoring/IDS rules</t>
        </is>
      </c>
      <c r="S186" s="189" t="inlineStr">
        <is>
          <t>CVE - IP enrichment n/a</t>
        </is>
      </c>
      <c r="T186" s="189" t="n">
        <v>0.0018</v>
      </c>
      <c r="U186" s="189" t="n">
        <v>0.4008</v>
      </c>
      <c r="V186" s="189" t="inlineStr">
        <is>
          <t>T1059:Command and Scripting Interpreter | T1190:Exploit Public-Facing Application | T1210:Exploitation of Remote Services</t>
        </is>
      </c>
      <c r="W186" s="189" t="n">
        <v>2</v>
      </c>
      <c r="X186" s="189" t="inlineStr">
        <is>
          <t>HIGH (72%)</t>
        </is>
      </c>
      <c r="Y186" s="189" t="inlineStr">
        <is>
          <t>HIGH</t>
        </is>
      </c>
      <c r="Z186" s="189" t="inlineStr">
        <is>
          <t>CHECK_VENDOR</t>
        </is>
      </c>
      <c r="AA186" s="190" t="inlineStr">
        <is>
          <t>https://nvd.nist.gov/vuln/detail/CVE-2025-60036</t>
        </is>
      </c>
      <c r="AB186" s="190" t="inlineStr">
        <is>
          <t>http://www.zerodayinitiative.com/advisories/ZDI-26-108/</t>
        </is>
      </c>
      <c r="AC186" s="189" t="n">
        <v>0</v>
      </c>
      <c r="AD186" s="189" t="n"/>
    </row>
    <row r="187">
      <c r="A187" s="189" t="inlineStr">
        <is>
          <t>CVE</t>
        </is>
      </c>
      <c r="B187" s="189" t="inlineStr">
        <is>
          <t>CVE-2025-60037</t>
        </is>
      </c>
      <c r="C187" s="189" t="inlineStr">
        <is>
          <t>A vulnerability has been identified in Rexroth IndraWorks. This flaw allows an attacker to execute arbitrary code on the user's system by parsing a manipulated file containing malicious serialized data. Exploitation requires user interaction, specifically opening a specially crafted file, which then causes the application to deserialize the malicious data, enabling Remote Code Execution (RCE). This can lead to a complete compromise of the system running Rexroth IndraWorks.</t>
        </is>
      </c>
      <c r="D187" s="189" t="n">
        <v>7.8</v>
      </c>
      <c r="E187" s="189" t="inlineStr">
        <is>
          <t>HIGH</t>
        </is>
      </c>
      <c r="F187" s="189" t="n">
        <v>2</v>
      </c>
      <c r="G187" s="189" t="n">
        <v>3</v>
      </c>
      <c r="H187" s="189" t="inlineStr">
        <is>
          <t>HIGH</t>
        </is>
      </c>
      <c r="I187" s="189" t="n">
        <v>13.8</v>
      </c>
      <c r="J187" s="189" t="inlineStr">
        <is>
          <t>NO</t>
        </is>
      </c>
      <c r="K187" s="190" t="inlineStr">
        <is>
          <t>https://nvd.nist.gov/vuln/detail/CVE-2025-60037</t>
        </is>
      </c>
      <c r="L187" s="189" t="inlineStr">
        <is>
          <t>2026-02-23 23:48</t>
        </is>
      </c>
      <c r="M187" s="189" t="inlineStr">
        <is>
          <t>CHECK_VENDOR</t>
        </is>
      </c>
      <c r="N187" s="189" t="inlineStr">
        <is>
          <t>See NVD references</t>
        </is>
      </c>
      <c r="O187" s="189" t="inlineStr">
        <is>
          <t>Apply vendor patches</t>
        </is>
      </c>
      <c r="P187" s="189" t="inlineStr">
        <is>
          <t>See CVE details</t>
        </is>
      </c>
      <c r="Q187" s="189" t="inlineStr">
        <is>
          <t>P1</t>
        </is>
      </c>
      <c r="R187" s="189" t="inlineStr">
        <is>
          <t>🚨 URGENT: Apply vendor patches immediately | 🔒 Isolate affected systems if patch unavailable | 🛡️ Enable additional monitoring/IDS rules</t>
        </is>
      </c>
      <c r="S187" s="189" t="inlineStr">
        <is>
          <t>CVE - IP enrichment n/a</t>
        </is>
      </c>
      <c r="T187" s="189" t="n">
        <v>0</v>
      </c>
      <c r="U187" s="189" t="n">
        <v>0</v>
      </c>
      <c r="V187" s="189" t="inlineStr">
        <is>
          <t>T1059:Command and Scripting Interpreter | T1190:Exploit Public-Facing Application | T1210:Exploitation of Remote Services</t>
        </is>
      </c>
      <c r="W187" s="189" t="n">
        <v>2</v>
      </c>
      <c r="X187" s="189" t="inlineStr">
        <is>
          <t>HIGH (72%)</t>
        </is>
      </c>
      <c r="Y187" s="189" t="inlineStr">
        <is>
          <t>HIGH</t>
        </is>
      </c>
      <c r="Z187" s="189" t="inlineStr">
        <is>
          <t>CHECK_VENDOR</t>
        </is>
      </c>
      <c r="AA187" s="190" t="inlineStr">
        <is>
          <t>https://nvd.nist.gov/vuln/detail/CVE-2025-60037</t>
        </is>
      </c>
      <c r="AB187" s="190" t="inlineStr">
        <is>
          <t>http://www.zerodayinitiative.com/advisories/ZDI-26-110/</t>
        </is>
      </c>
      <c r="AC187" s="189" t="n">
        <v>0</v>
      </c>
      <c r="AD187" s="189" t="n"/>
    </row>
    <row r="188">
      <c r="A188" s="189" t="inlineStr">
        <is>
          <t>CVE</t>
        </is>
      </c>
      <c r="B188" s="189" t="inlineStr">
        <is>
          <t>CVE-2025-60038</t>
        </is>
      </c>
      <c r="C188" s="189" t="inlineStr">
        <is>
          <t>A vulnerability has been identified in Rexroth IndraWorks. This flaw allows an attacker to execute arbitrary code on the user's system by parsing a manipulated file containing malicious serialized data. Exploitation requires user interaction, specifically opening a specially crafted file, which then causes the application to deserialize the malicious data, enabling Remote Code Execution (RCE). This can lead to a complete compromise of the system running Rexroth IndraWorks.</t>
        </is>
      </c>
      <c r="D188" s="189" t="n">
        <v>7.8</v>
      </c>
      <c r="E188" s="189" t="inlineStr">
        <is>
          <t>HIGH</t>
        </is>
      </c>
      <c r="F188" s="189" t="n">
        <v>2</v>
      </c>
      <c r="G188" s="189" t="n">
        <v>3</v>
      </c>
      <c r="H188" s="189" t="inlineStr">
        <is>
          <t>HIGH</t>
        </is>
      </c>
      <c r="I188" s="189" t="n">
        <v>13.8</v>
      </c>
      <c r="J188" s="189" t="inlineStr">
        <is>
          <t>NO</t>
        </is>
      </c>
      <c r="K188" s="190" t="inlineStr">
        <is>
          <t>https://nvd.nist.gov/vuln/detail/CVE-2025-60038</t>
        </is>
      </c>
      <c r="L188" s="189" t="inlineStr">
        <is>
          <t>2026-02-23 23:48</t>
        </is>
      </c>
      <c r="M188" s="189" t="inlineStr">
        <is>
          <t>CHECK_VENDOR</t>
        </is>
      </c>
      <c r="N188" s="189" t="inlineStr">
        <is>
          <t>See NVD references</t>
        </is>
      </c>
      <c r="O188" s="189" t="inlineStr">
        <is>
          <t>Apply vendor patches</t>
        </is>
      </c>
      <c r="P188" s="189" t="inlineStr">
        <is>
          <t>See CVE details</t>
        </is>
      </c>
      <c r="Q188" s="189" t="inlineStr">
        <is>
          <t>P1</t>
        </is>
      </c>
      <c r="R188" s="189" t="inlineStr">
        <is>
          <t>🚨 URGENT: Apply vendor patches immediately | 🔒 Isolate affected systems if patch unavailable | 🛡️ Enable additional monitoring/IDS rules</t>
        </is>
      </c>
      <c r="S188" s="189" t="inlineStr">
        <is>
          <t>CVE - IP enrichment n/a</t>
        </is>
      </c>
      <c r="T188" s="189" t="n">
        <v>0</v>
      </c>
      <c r="U188" s="189" t="n">
        <v>0</v>
      </c>
      <c r="V188" s="189" t="inlineStr">
        <is>
          <t>T1059:Command and Scripting Interpreter | T1190:Exploit Public-Facing Application | T1210:Exploitation of Remote Services</t>
        </is>
      </c>
      <c r="W188" s="189" t="n">
        <v>2</v>
      </c>
      <c r="X188" s="189" t="inlineStr">
        <is>
          <t>HIGH (72%)</t>
        </is>
      </c>
      <c r="Y188" s="189" t="inlineStr">
        <is>
          <t>HIGH</t>
        </is>
      </c>
      <c r="Z188" s="189" t="inlineStr">
        <is>
          <t>CHECK_VENDOR</t>
        </is>
      </c>
      <c r="AA188" s="190" t="inlineStr">
        <is>
          <t>https://nvd.nist.gov/vuln/detail/CVE-2025-60038</t>
        </is>
      </c>
      <c r="AB188" s="190" t="inlineStr">
        <is>
          <t>http://www.zerodayinitiative.com/advisories/ZDI-26-110/</t>
        </is>
      </c>
      <c r="AC188" s="189" t="n">
        <v>0</v>
      </c>
      <c r="AD188" s="189" t="n"/>
    </row>
    <row r="189">
      <c r="A189" s="191" t="inlineStr">
        <is>
          <t>CVE</t>
        </is>
      </c>
      <c r="B189" s="191" t="inlineStr">
        <is>
          <t>CVE-2025-8308</t>
        </is>
      </c>
      <c r="C189" s="191" t="inlineStr">
        <is>
          <t>Improper Neutralization of Input During Web Page Generation (XSS or 'Cross-site Scripting') vulnerability in Key Software Solutions Inc. INFOREX- General Information Management System allows XSS Through HTTP Headers.This issue affects INFOREX- General Information Management System: from 2025 and before through 18022026.
NOTE: The vendor was contacted early about this disclosure but did not respond in any way.</t>
        </is>
      </c>
      <c r="D189" s="191" t="n">
        <v>6.3</v>
      </c>
      <c r="E189" s="191" t="inlineStr">
        <is>
          <t>MEDIUM</t>
        </is>
      </c>
      <c r="F189" s="191" t="n">
        <v>2</v>
      </c>
      <c r="G189" s="191" t="n">
        <v>2</v>
      </c>
      <c r="H189" s="191" t="inlineStr">
        <is>
          <t>MEDIUM</t>
        </is>
      </c>
      <c r="I189" s="191" t="n">
        <v>10.3</v>
      </c>
      <c r="J189" s="191" t="inlineStr">
        <is>
          <t>NO</t>
        </is>
      </c>
      <c r="K189" s="192" t="inlineStr">
        <is>
          <t>https://nvd.nist.gov/vuln/detail/CVE-2025-8308</t>
        </is>
      </c>
      <c r="L189" s="191" t="inlineStr">
        <is>
          <t>2026-02-23 23:48</t>
        </is>
      </c>
      <c r="M189" s="191" t="inlineStr">
        <is>
          <t>CHECK_VENDOR</t>
        </is>
      </c>
      <c r="N189" s="191" t="inlineStr">
        <is>
          <t>See NVD references</t>
        </is>
      </c>
      <c r="O189" s="191" t="inlineStr">
        <is>
          <t>Apply vendor patches</t>
        </is>
      </c>
      <c r="P189" s="191" t="inlineStr">
        <is>
          <t>See CVE details</t>
        </is>
      </c>
      <c r="Q189" s="191" t="inlineStr">
        <is>
          <t>P4</t>
        </is>
      </c>
      <c r="R189" s="191" t="inlineStr">
        <is>
          <t>📅 Schedule patch deployment within 30 days | 🔍 Monitor for exploitation attempts</t>
        </is>
      </c>
      <c r="S189" s="191" t="inlineStr">
        <is>
          <t>CVE - IP enrichment n/a</t>
        </is>
      </c>
      <c r="T189" s="191" t="n">
        <v>0</v>
      </c>
      <c r="U189" s="191" t="n">
        <v>0</v>
      </c>
      <c r="V189" s="191" t="inlineStr">
        <is>
          <t>T1189:Drive-by Compromise</t>
        </is>
      </c>
      <c r="W189" s="191" t="n">
        <v>1</v>
      </c>
      <c r="X189" s="191" t="inlineStr">
        <is>
          <t>LOW (40%)</t>
        </is>
      </c>
      <c r="Y189" s="191" t="inlineStr">
        <is>
          <t>UNLIKELY</t>
        </is>
      </c>
      <c r="Z189" s="191" t="inlineStr">
        <is>
          <t>CHECK_VENDOR</t>
        </is>
      </c>
      <c r="AA189" s="192" t="inlineStr">
        <is>
          <t>https://nvd.nist.gov/vuln/detail/CVE-2025-8308</t>
        </is>
      </c>
      <c r="AB189" s="191" t="inlineStr">
        <is>
          <t>NONE</t>
        </is>
      </c>
      <c r="AC189" s="191" t="n">
        <v>0</v>
      </c>
      <c r="AD189" s="191" t="n"/>
    </row>
    <row r="190">
      <c r="A190" s="193" t="inlineStr">
        <is>
          <t>CVE</t>
        </is>
      </c>
      <c r="B190" s="193" t="inlineStr">
        <is>
          <t>CVE-2026-1435</t>
        </is>
      </c>
      <c r="C190" s="193" t="inlineStr">
        <is>
          <t>Not properly invalidated session vulnerability in Graylog Web Interface, version 2.2.3, due to incorrect management of session invalidation after new logins. The application generates a new 'sessionId' each time a user authenticates, but does not invalidate previously issued session identifiers, which remain valid even after multiple consecutive logins by the same user. As a result, a stolen or leaked 'sessionId' can continue to be used to authenticate valid requests. Exploiting this vulnerabili</t>
        </is>
      </c>
      <c r="D190" s="193" t="n">
        <v>9.800000000000001</v>
      </c>
      <c r="E190" s="193" t="inlineStr">
        <is>
          <t>CRITICAL</t>
        </is>
      </c>
      <c r="F190" s="193" t="n">
        <v>2</v>
      </c>
      <c r="G190" s="193" t="n">
        <v>3</v>
      </c>
      <c r="H190" s="193" t="inlineStr">
        <is>
          <t>HIGH</t>
        </is>
      </c>
      <c r="I190" s="193" t="n">
        <v>15.8</v>
      </c>
      <c r="J190" s="193" t="inlineStr">
        <is>
          <t>NO</t>
        </is>
      </c>
      <c r="K190" s="194" t="inlineStr">
        <is>
          <t>https://nvd.nist.gov/vuln/detail/CVE-2026-1435</t>
        </is>
      </c>
      <c r="L190" s="193" t="inlineStr">
        <is>
          <t>2026-02-23 23:48</t>
        </is>
      </c>
      <c r="M190" s="193" t="inlineStr">
        <is>
          <t>CHECK_VENDOR</t>
        </is>
      </c>
      <c r="N190" s="193" t="inlineStr">
        <is>
          <t>See NVD references</t>
        </is>
      </c>
      <c r="O190" s="193" t="inlineStr">
        <is>
          <t>Apply vendor patches</t>
        </is>
      </c>
      <c r="P190" s="193" t="inlineStr">
        <is>
          <t>graylog graylog 2.2.3</t>
        </is>
      </c>
      <c r="Q190" s="193" t="inlineStr">
        <is>
          <t>P3</t>
        </is>
      </c>
      <c r="R190" s="193" t="inlineStr">
        <is>
          <t>🚨 URGENT: Apply vendor patches immediately | 🔒 Isolate affected systems if patch unavailable | 🛡️ Enable additional monitoring/IDS rules</t>
        </is>
      </c>
      <c r="S190" s="193" t="inlineStr">
        <is>
          <t>CVE - IP enrichment n/a</t>
        </is>
      </c>
      <c r="T190" s="193" t="n">
        <v>0.0005</v>
      </c>
      <c r="U190" s="193" t="n">
        <v>0.1536</v>
      </c>
      <c r="V190" s="193" t="inlineStr">
        <is>
          <t>T1190:Exploit Public-Facing Application</t>
        </is>
      </c>
      <c r="W190" s="193" t="n">
        <v>1</v>
      </c>
      <c r="X190" s="193" t="inlineStr">
        <is>
          <t>LOW (40%)</t>
        </is>
      </c>
      <c r="Y190" s="193" t="inlineStr">
        <is>
          <t>UNLIKELY</t>
        </is>
      </c>
      <c r="Z190" s="193" t="inlineStr">
        <is>
          <t>CHECK_VENDOR</t>
        </is>
      </c>
      <c r="AA190" s="194" t="inlineStr">
        <is>
          <t>https://nvd.nist.gov/vuln/detail/CVE-2026-1435</t>
        </is>
      </c>
      <c r="AB190" s="193" t="inlineStr">
        <is>
          <t>NONE</t>
        </is>
      </c>
      <c r="AC190" s="193" t="n">
        <v>0</v>
      </c>
      <c r="AD190" s="193" t="n"/>
    </row>
    <row r="191">
      <c r="A191" s="191" t="inlineStr">
        <is>
          <t>CVE</t>
        </is>
      </c>
      <c r="B191" s="191" t="inlineStr">
        <is>
          <t>CVE-2026-1436</t>
        </is>
      </c>
      <c r="C191" s="191" t="inlineStr">
        <is>
          <t>Improper Access Control (IDOR) in the Graylog API, version 2.2.3, which occurs when modifying the user ID in the URL. An authenticated user can access other user's profiles without proper authorization checks. Exploiting this vulnerability allows valid users of the system to be listed and sensitive third-party information to be accessed, such as names, email addresses, internal identifiers, and last activity. The endpoint 'http:// :12900/users/ ' does not implement object-level authorization val</t>
        </is>
      </c>
      <c r="D191" s="191" t="n">
        <v>6.5</v>
      </c>
      <c r="E191" s="191" t="inlineStr">
        <is>
          <t>MEDIUM</t>
        </is>
      </c>
      <c r="F191" s="191" t="n">
        <v>2</v>
      </c>
      <c r="G191" s="191" t="n">
        <v>2</v>
      </c>
      <c r="H191" s="191" t="inlineStr">
        <is>
          <t>MEDIUM</t>
        </is>
      </c>
      <c r="I191" s="191" t="n">
        <v>10.5</v>
      </c>
      <c r="J191" s="191" t="inlineStr">
        <is>
          <t>NO</t>
        </is>
      </c>
      <c r="K191" s="192" t="inlineStr">
        <is>
          <t>https://nvd.nist.gov/vuln/detail/CVE-2026-1436</t>
        </is>
      </c>
      <c r="L191" s="191" t="inlineStr">
        <is>
          <t>2026-02-23 23:48</t>
        </is>
      </c>
      <c r="M191" s="191" t="inlineStr">
        <is>
          <t>CHECK_VENDOR</t>
        </is>
      </c>
      <c r="N191" s="191" t="inlineStr">
        <is>
          <t>See NVD references</t>
        </is>
      </c>
      <c r="O191" s="191" t="inlineStr">
        <is>
          <t>Apply vendor patches</t>
        </is>
      </c>
      <c r="P191" s="191" t="inlineStr">
        <is>
          <t>graylog graylog 2.2.3</t>
        </is>
      </c>
      <c r="Q191" s="191" t="inlineStr">
        <is>
          <t>P4</t>
        </is>
      </c>
      <c r="R191" s="191" t="inlineStr">
        <is>
          <t>📅 Schedule patch deployment within 30 days | 🔍 Monitor for exploitation attempts</t>
        </is>
      </c>
      <c r="S191" s="191" t="inlineStr">
        <is>
          <t>CVE - IP enrichment n/a</t>
        </is>
      </c>
      <c r="T191" s="191" t="n">
        <v>0</v>
      </c>
      <c r="U191" s="191" t="n">
        <v>0</v>
      </c>
      <c r="V191" s="191" t="inlineStr">
        <is>
          <t>T1190:Exploit Public-Facing Application</t>
        </is>
      </c>
      <c r="W191" s="191" t="n">
        <v>1</v>
      </c>
      <c r="X191" s="191" t="inlineStr">
        <is>
          <t>LOW (40%)</t>
        </is>
      </c>
      <c r="Y191" s="191" t="inlineStr">
        <is>
          <t>UNLIKELY</t>
        </is>
      </c>
      <c r="Z191" s="191" t="inlineStr">
        <is>
          <t>CHECK_VENDOR</t>
        </is>
      </c>
      <c r="AA191" s="192" t="inlineStr">
        <is>
          <t>https://nvd.nist.gov/vuln/detail/CVE-2026-1436</t>
        </is>
      </c>
      <c r="AB191" s="191" t="inlineStr">
        <is>
          <t>NONE</t>
        </is>
      </c>
      <c r="AC191" s="191" t="n">
        <v>0</v>
      </c>
      <c r="AD191" s="191" t="n"/>
    </row>
    <row r="192">
      <c r="A192" s="191" t="inlineStr">
        <is>
          <t>CVE</t>
        </is>
      </c>
      <c r="B192" s="191" t="inlineStr">
        <is>
          <t>CVE-2026-1437</t>
        </is>
      </c>
      <c r="C192" s="191" t="inlineStr">
        <is>
          <t>Reflected Cross-Site Scripting (XSS) vulnerability in the Graylog Web Interface console, version 2.2.3, caused by a lack of proper sanitization and escaping in HTML output. Several endpoints include segments of the URL directly in the response without applying output encoding, allowing an attacker to inject and execute arbitrary JavaScript code when a user visits a specially crafted URL. Exploitation of this vulnerability may allow script execution in the victim's browser and limited manipulatio</t>
        </is>
      </c>
      <c r="D192" s="191" t="n">
        <v>6.1</v>
      </c>
      <c r="E192" s="191" t="inlineStr">
        <is>
          <t>MEDIUM</t>
        </is>
      </c>
      <c r="F192" s="191" t="n">
        <v>2</v>
      </c>
      <c r="G192" s="191" t="n">
        <v>2</v>
      </c>
      <c r="H192" s="191" t="inlineStr">
        <is>
          <t>MEDIUM</t>
        </is>
      </c>
      <c r="I192" s="191" t="n">
        <v>10.1</v>
      </c>
      <c r="J192" s="191" t="inlineStr">
        <is>
          <t>NO</t>
        </is>
      </c>
      <c r="K192" s="192" t="inlineStr">
        <is>
          <t>https://nvd.nist.gov/vuln/detail/CVE-2026-1437</t>
        </is>
      </c>
      <c r="L192" s="191" t="inlineStr">
        <is>
          <t>2026-02-23 23:48</t>
        </is>
      </c>
      <c r="M192" s="191" t="inlineStr">
        <is>
          <t>CHECK_VENDOR</t>
        </is>
      </c>
      <c r="N192" s="191" t="inlineStr">
        <is>
          <t>See NVD references</t>
        </is>
      </c>
      <c r="O192" s="191" t="inlineStr">
        <is>
          <t>Apply vendor patches</t>
        </is>
      </c>
      <c r="P192" s="191" t="inlineStr">
        <is>
          <t>graylog graylog 2.2.3</t>
        </is>
      </c>
      <c r="Q192" s="191" t="inlineStr">
        <is>
          <t>P4</t>
        </is>
      </c>
      <c r="R192" s="191" t="inlineStr">
        <is>
          <t>📅 Schedule patch deployment within 30 days | 🔍 Monitor for exploitation attempts</t>
        </is>
      </c>
      <c r="S192" s="191" t="inlineStr">
        <is>
          <t>CVE - IP enrichment n/a</t>
        </is>
      </c>
      <c r="T192" s="191" t="n">
        <v>0</v>
      </c>
      <c r="U192" s="191" t="n">
        <v>0</v>
      </c>
      <c r="V192" s="191" t="inlineStr">
        <is>
          <t>T1189:Drive-by Compromise</t>
        </is>
      </c>
      <c r="W192" s="191" t="n">
        <v>1</v>
      </c>
      <c r="X192" s="191" t="inlineStr">
        <is>
          <t>LOW (40%)</t>
        </is>
      </c>
      <c r="Y192" s="191" t="inlineStr">
        <is>
          <t>UNLIKELY</t>
        </is>
      </c>
      <c r="Z192" s="191" t="inlineStr">
        <is>
          <t>CHECK_VENDOR</t>
        </is>
      </c>
      <c r="AA192" s="192" t="inlineStr">
        <is>
          <t>https://nvd.nist.gov/vuln/detail/CVE-2026-1437</t>
        </is>
      </c>
      <c r="AB192" s="191" t="inlineStr">
        <is>
          <t>NONE</t>
        </is>
      </c>
      <c r="AC192" s="191" t="n">
        <v>0</v>
      </c>
      <c r="AD192" s="191" t="n"/>
    </row>
    <row r="193">
      <c r="A193" s="191" t="inlineStr">
        <is>
          <t>CVE</t>
        </is>
      </c>
      <c r="B193" s="191" t="inlineStr">
        <is>
          <t>CVE-2026-1438</t>
        </is>
      </c>
      <c r="C193" s="191" t="inlineStr">
        <is>
          <t>Reflected Cross-Site Scripting (XSS) vulnerability in the Graylog Web Interface console, version 2.2.3, caused by a lack of proper sanitization and escaping in HTML output. Several endpoints include segments of the URL directly in the response without applying output encoding, allowing an attacker to inject and execute arbitrary JavaScript code when a user visits a specially crafted URL. Exploitation of this vulnerability may allow script execution in the victim's browser and limited manipulatio</t>
        </is>
      </c>
      <c r="D193" s="191" t="n">
        <v>6.1</v>
      </c>
      <c r="E193" s="191" t="inlineStr">
        <is>
          <t>MEDIUM</t>
        </is>
      </c>
      <c r="F193" s="191" t="n">
        <v>2</v>
      </c>
      <c r="G193" s="191" t="n">
        <v>2</v>
      </c>
      <c r="H193" s="191" t="inlineStr">
        <is>
          <t>MEDIUM</t>
        </is>
      </c>
      <c r="I193" s="191" t="n">
        <v>10.1</v>
      </c>
      <c r="J193" s="191" t="inlineStr">
        <is>
          <t>NO</t>
        </is>
      </c>
      <c r="K193" s="192" t="inlineStr">
        <is>
          <t>https://nvd.nist.gov/vuln/detail/CVE-2026-1438</t>
        </is>
      </c>
      <c r="L193" s="191" t="inlineStr">
        <is>
          <t>2026-02-23 23:48</t>
        </is>
      </c>
      <c r="M193" s="191" t="inlineStr">
        <is>
          <t>CHECK_VENDOR</t>
        </is>
      </c>
      <c r="N193" s="191" t="inlineStr">
        <is>
          <t>See NVD references</t>
        </is>
      </c>
      <c r="O193" s="191" t="inlineStr">
        <is>
          <t>Apply vendor patches</t>
        </is>
      </c>
      <c r="P193" s="191" t="inlineStr">
        <is>
          <t>graylog graylog 2.2.3</t>
        </is>
      </c>
      <c r="Q193" s="191" t="inlineStr">
        <is>
          <t>P4</t>
        </is>
      </c>
      <c r="R193" s="191" t="inlineStr">
        <is>
          <t>📅 Schedule patch deployment within 30 days | 🔍 Monitor for exploitation attempts</t>
        </is>
      </c>
      <c r="S193" s="191" t="inlineStr">
        <is>
          <t>CVE - IP enrichment n/a</t>
        </is>
      </c>
      <c r="T193" s="191" t="n">
        <v>0</v>
      </c>
      <c r="U193" s="191" t="n">
        <v>0</v>
      </c>
      <c r="V193" s="191" t="inlineStr">
        <is>
          <t>T1189:Drive-by Compromise</t>
        </is>
      </c>
      <c r="W193" s="191" t="n">
        <v>1</v>
      </c>
      <c r="X193" s="191" t="inlineStr">
        <is>
          <t>LOW (40%)</t>
        </is>
      </c>
      <c r="Y193" s="191" t="inlineStr">
        <is>
          <t>UNLIKELY</t>
        </is>
      </c>
      <c r="Z193" s="191" t="inlineStr">
        <is>
          <t>CHECK_VENDOR</t>
        </is>
      </c>
      <c r="AA193" s="192" t="inlineStr">
        <is>
          <t>https://nvd.nist.gov/vuln/detail/CVE-2026-1438</t>
        </is>
      </c>
      <c r="AB193" s="191" t="inlineStr">
        <is>
          <t>NONE</t>
        </is>
      </c>
      <c r="AC193" s="191" t="n">
        <v>0</v>
      </c>
      <c r="AD193" s="191" t="n"/>
    </row>
    <row r="194">
      <c r="A194" s="191" t="inlineStr">
        <is>
          <t>CVE</t>
        </is>
      </c>
      <c r="B194" s="191" t="inlineStr">
        <is>
          <t>CVE-2026-1439</t>
        </is>
      </c>
      <c r="C194" s="191" t="inlineStr">
        <is>
          <t>Reflected Cross-Site Scripting (XSS) vulnerability in the Graylog Web Interface console, version 2.2.3, caused by a lack of proper sanitization and escaping in HTML output. Several endpoints include segments of the URL directly in the response without applying output encoding, allowing an attacker to inject and execute arbitrary JavaScript code when a user visits a specially crafted URL. Exploitation of this vulnerability may allow script execution in the victim's browser and limited manipulatio</t>
        </is>
      </c>
      <c r="D194" s="191" t="n">
        <v>6.1</v>
      </c>
      <c r="E194" s="191" t="inlineStr">
        <is>
          <t>MEDIUM</t>
        </is>
      </c>
      <c r="F194" s="191" t="n">
        <v>2</v>
      </c>
      <c r="G194" s="191" t="n">
        <v>2</v>
      </c>
      <c r="H194" s="191" t="inlineStr">
        <is>
          <t>MEDIUM</t>
        </is>
      </c>
      <c r="I194" s="191" t="n">
        <v>10.1</v>
      </c>
      <c r="J194" s="191" t="inlineStr">
        <is>
          <t>NO</t>
        </is>
      </c>
      <c r="K194" s="192" t="inlineStr">
        <is>
          <t>https://nvd.nist.gov/vuln/detail/CVE-2026-1439</t>
        </is>
      </c>
      <c r="L194" s="191" t="inlineStr">
        <is>
          <t>2026-02-23 23:48</t>
        </is>
      </c>
      <c r="M194" s="191" t="inlineStr">
        <is>
          <t>CHECK_VENDOR</t>
        </is>
      </c>
      <c r="N194" s="191" t="inlineStr">
        <is>
          <t>See NVD references</t>
        </is>
      </c>
      <c r="O194" s="191" t="inlineStr">
        <is>
          <t>Apply vendor patches</t>
        </is>
      </c>
      <c r="P194" s="191" t="inlineStr">
        <is>
          <t>graylog graylog 2.2.3</t>
        </is>
      </c>
      <c r="Q194" s="191" t="inlineStr">
        <is>
          <t>P4</t>
        </is>
      </c>
      <c r="R194" s="191" t="inlineStr">
        <is>
          <t>📅 Schedule patch deployment within 30 days | 🔍 Monitor for exploitation attempts</t>
        </is>
      </c>
      <c r="S194" s="191" t="inlineStr">
        <is>
          <t>CVE - IP enrichment n/a</t>
        </is>
      </c>
      <c r="T194" s="191" t="n">
        <v>0</v>
      </c>
      <c r="U194" s="191" t="n">
        <v>0</v>
      </c>
      <c r="V194" s="191" t="inlineStr">
        <is>
          <t>T1189:Drive-by Compromise</t>
        </is>
      </c>
      <c r="W194" s="191" t="n">
        <v>1</v>
      </c>
      <c r="X194" s="191" t="inlineStr">
        <is>
          <t>LOW (40%)</t>
        </is>
      </c>
      <c r="Y194" s="191" t="inlineStr">
        <is>
          <t>UNLIKELY</t>
        </is>
      </c>
      <c r="Z194" s="191" t="inlineStr">
        <is>
          <t>CHECK_VENDOR</t>
        </is>
      </c>
      <c r="AA194" s="192" t="inlineStr">
        <is>
          <t>https://nvd.nist.gov/vuln/detail/CVE-2026-1439</t>
        </is>
      </c>
      <c r="AB194" s="191" t="inlineStr">
        <is>
          <t>NONE</t>
        </is>
      </c>
      <c r="AC194" s="191" t="n">
        <v>0</v>
      </c>
      <c r="AD194" s="191" t="n"/>
    </row>
    <row r="195">
      <c r="A195" s="191" t="inlineStr">
        <is>
          <t>CVE</t>
        </is>
      </c>
      <c r="B195" s="191" t="inlineStr">
        <is>
          <t>CVE-2026-1440</t>
        </is>
      </c>
      <c r="C195" s="191" t="inlineStr">
        <is>
          <t>Reflected Cross-Site Scripting (XSS) vulnerability in the Graylog Web Interface console, version 2.2.3, caused by a lack of proper sanitization and escaping in HTML output. Several endpoints include segments of the URL directly in the response without applying output encoding, allowing an attacker to inject and execute arbitrary JavaScript code when a user visits a specially crafted URL. Exploitation of this vulnerability may allow script execution in the victim's browser and limited manipulatio</t>
        </is>
      </c>
      <c r="D195" s="191" t="n">
        <v>6.1</v>
      </c>
      <c r="E195" s="191" t="inlineStr">
        <is>
          <t>MEDIUM</t>
        </is>
      </c>
      <c r="F195" s="191" t="n">
        <v>2</v>
      </c>
      <c r="G195" s="191" t="n">
        <v>2</v>
      </c>
      <c r="H195" s="191" t="inlineStr">
        <is>
          <t>MEDIUM</t>
        </is>
      </c>
      <c r="I195" s="191" t="n">
        <v>10.1</v>
      </c>
      <c r="J195" s="191" t="inlineStr">
        <is>
          <t>NO</t>
        </is>
      </c>
      <c r="K195" s="192" t="inlineStr">
        <is>
          <t>https://nvd.nist.gov/vuln/detail/CVE-2026-1440</t>
        </is>
      </c>
      <c r="L195" s="191" t="inlineStr">
        <is>
          <t>2026-02-23 23:48</t>
        </is>
      </c>
      <c r="M195" s="191" t="inlineStr">
        <is>
          <t>CHECK_VENDOR</t>
        </is>
      </c>
      <c r="N195" s="191" t="inlineStr">
        <is>
          <t>See NVD references</t>
        </is>
      </c>
      <c r="O195" s="191" t="inlineStr">
        <is>
          <t>Apply vendor patches</t>
        </is>
      </c>
      <c r="P195" s="191" t="inlineStr">
        <is>
          <t>graylog graylog 2.2.3</t>
        </is>
      </c>
      <c r="Q195" s="191" t="inlineStr">
        <is>
          <t>P4</t>
        </is>
      </c>
      <c r="R195" s="191" t="inlineStr">
        <is>
          <t>📅 Schedule patch deployment within 30 days | 🔍 Monitor for exploitation attempts</t>
        </is>
      </c>
      <c r="S195" s="191" t="inlineStr">
        <is>
          <t>CVE - IP enrichment n/a</t>
        </is>
      </c>
      <c r="T195" s="191" t="n">
        <v>0.0004</v>
      </c>
      <c r="U195" s="191" t="n">
        <v>0.1071</v>
      </c>
      <c r="V195" s="191" t="inlineStr">
        <is>
          <t>T1189:Drive-by Compromise</t>
        </is>
      </c>
      <c r="W195" s="191" t="n">
        <v>1</v>
      </c>
      <c r="X195" s="191" t="inlineStr">
        <is>
          <t>LOW (40%)</t>
        </is>
      </c>
      <c r="Y195" s="191" t="inlineStr">
        <is>
          <t>UNLIKELY</t>
        </is>
      </c>
      <c r="Z195" s="191" t="inlineStr">
        <is>
          <t>CHECK_VENDOR</t>
        </is>
      </c>
      <c r="AA195" s="192" t="inlineStr">
        <is>
          <t>https://nvd.nist.gov/vuln/detail/CVE-2026-1440</t>
        </is>
      </c>
      <c r="AB195" s="191" t="inlineStr">
        <is>
          <t>NONE</t>
        </is>
      </c>
      <c r="AC195" s="191" t="n">
        <v>0</v>
      </c>
      <c r="AD195" s="191" t="n"/>
    </row>
    <row r="196">
      <c r="A196" s="191" t="inlineStr">
        <is>
          <t>CVE</t>
        </is>
      </c>
      <c r="B196" s="191" t="inlineStr">
        <is>
          <t>CVE-2026-1441</t>
        </is>
      </c>
      <c r="C196" s="191" t="inlineStr">
        <is>
          <t>Reflected Cross-Site Scripting (XSS) vulnerability in the Graylog Web Interface console, version 2.2.3, caused by a lack of proper sanitization and escaping in HTML output. Several endpoints include segments of the URL directly in the response without applying output encoding, allowing an attacker to inject and execute arbitrary JavaScript code when a user visits a specially crafted URL. Exploitation of this vulnerability may allow script execution in the victim's browser and limited manipulatio</t>
        </is>
      </c>
      <c r="D196" s="191" t="n">
        <v>6.1</v>
      </c>
      <c r="E196" s="191" t="inlineStr">
        <is>
          <t>MEDIUM</t>
        </is>
      </c>
      <c r="F196" s="191" t="n">
        <v>2</v>
      </c>
      <c r="G196" s="191" t="n">
        <v>2</v>
      </c>
      <c r="H196" s="191" t="inlineStr">
        <is>
          <t>MEDIUM</t>
        </is>
      </c>
      <c r="I196" s="191" t="n">
        <v>10.1</v>
      </c>
      <c r="J196" s="191" t="inlineStr">
        <is>
          <t>NO</t>
        </is>
      </c>
      <c r="K196" s="192" t="inlineStr">
        <is>
          <t>https://nvd.nist.gov/vuln/detail/CVE-2026-1441</t>
        </is>
      </c>
      <c r="L196" s="191" t="inlineStr">
        <is>
          <t>2026-02-23 23:48</t>
        </is>
      </c>
      <c r="M196" s="191" t="inlineStr">
        <is>
          <t>CHECK_VENDOR</t>
        </is>
      </c>
      <c r="N196" s="191" t="inlineStr">
        <is>
          <t>See NVD references</t>
        </is>
      </c>
      <c r="O196" s="191" t="inlineStr">
        <is>
          <t>Apply vendor patches</t>
        </is>
      </c>
      <c r="P196" s="191" t="inlineStr">
        <is>
          <t>graylog graylog 2.2.3</t>
        </is>
      </c>
      <c r="Q196" s="191" t="inlineStr">
        <is>
          <t>P4</t>
        </is>
      </c>
      <c r="R196" s="191" t="inlineStr">
        <is>
          <t>📅 Schedule patch deployment within 30 days | 🔍 Monitor for exploitation attempts</t>
        </is>
      </c>
      <c r="S196" s="191" t="inlineStr">
        <is>
          <t>CVE - IP enrichment n/a</t>
        </is>
      </c>
      <c r="T196" s="191" t="n">
        <v>0</v>
      </c>
      <c r="U196" s="191" t="n">
        <v>0</v>
      </c>
      <c r="V196" s="191" t="inlineStr">
        <is>
          <t>T1189:Drive-by Compromise</t>
        </is>
      </c>
      <c r="W196" s="191" t="n">
        <v>1</v>
      </c>
      <c r="X196" s="191" t="inlineStr">
        <is>
          <t>LOW (40%)</t>
        </is>
      </c>
      <c r="Y196" s="191" t="inlineStr">
        <is>
          <t>UNLIKELY</t>
        </is>
      </c>
      <c r="Z196" s="191" t="inlineStr">
        <is>
          <t>CHECK_VENDOR</t>
        </is>
      </c>
      <c r="AA196" s="192" t="inlineStr">
        <is>
          <t>https://nvd.nist.gov/vuln/detail/CVE-2026-1441</t>
        </is>
      </c>
      <c r="AB196" s="191" t="inlineStr">
        <is>
          <t>NONE</t>
        </is>
      </c>
      <c r="AC196" s="191" t="n">
        <v>0</v>
      </c>
      <c r="AD196" s="191" t="n"/>
    </row>
    <row r="197">
      <c r="A197" s="191" t="inlineStr">
        <is>
          <t>CVE</t>
        </is>
      </c>
      <c r="B197" s="191" t="inlineStr">
        <is>
          <t>CVE-2026-2464</t>
        </is>
      </c>
      <c r="C197" s="191" t="inlineStr">
        <is>
          <t>Path traversal vulnerability in the AMR Printer Management 1.01 Beta web service, which allows remote attackers to read arbitrary files from the underlying Windows system by using specially crafted path traversal sequences in requests directed to the web management service. The service is accessible without authentication and runs with elevated privileges, amplifying the impact of the vulnerability. An attacker can exploit this condition to access sensitive and privileged files on the system usi</t>
        </is>
      </c>
      <c r="D197" s="191" t="n">
        <v>5</v>
      </c>
      <c r="E197" s="191" t="inlineStr">
        <is>
          <t>MEDIUM</t>
        </is>
      </c>
      <c r="F197" s="191" t="n">
        <v>2</v>
      </c>
      <c r="G197" s="191" t="n">
        <v>2</v>
      </c>
      <c r="H197" s="191" t="inlineStr">
        <is>
          <t>MEDIUM</t>
        </is>
      </c>
      <c r="I197" s="191" t="n">
        <v>9</v>
      </c>
      <c r="J197" s="191" t="inlineStr">
        <is>
          <t>NO</t>
        </is>
      </c>
      <c r="K197" s="192" t="inlineStr">
        <is>
          <t>https://nvd.nist.gov/vuln/detail/CVE-2026-2464</t>
        </is>
      </c>
      <c r="L197" s="191" t="inlineStr">
        <is>
          <t>2026-02-23 23:48</t>
        </is>
      </c>
      <c r="M197" s="191" t="inlineStr">
        <is>
          <t>CHECK_VENDOR</t>
        </is>
      </c>
      <c r="N197" s="191" t="inlineStr">
        <is>
          <t>See NVD references</t>
        </is>
      </c>
      <c r="O197" s="191" t="inlineStr">
        <is>
          <t>Apply vendor patches</t>
        </is>
      </c>
      <c r="P197" s="191" t="inlineStr">
        <is>
          <t>See CVE details</t>
        </is>
      </c>
      <c r="Q197" s="191" t="inlineStr">
        <is>
          <t>P4</t>
        </is>
      </c>
      <c r="R197" s="191" t="inlineStr">
        <is>
          <t>📅 Schedule patch deployment within 30 days | 🔍 Monitor for exploitation attempts</t>
        </is>
      </c>
      <c r="S197" s="191" t="inlineStr">
        <is>
          <t>CVE - IP enrichment n/a</t>
        </is>
      </c>
      <c r="T197" s="191" t="n">
        <v>0</v>
      </c>
      <c r="U197" s="191" t="n">
        <v>0</v>
      </c>
      <c r="V197" s="191" t="inlineStr">
        <is>
          <t>T1083:File and Directory Discovery</t>
        </is>
      </c>
      <c r="W197" s="191" t="n">
        <v>1</v>
      </c>
      <c r="X197" s="191" t="inlineStr">
        <is>
          <t>LOW (40%)</t>
        </is>
      </c>
      <c r="Y197" s="191" t="inlineStr">
        <is>
          <t>UNLIKELY</t>
        </is>
      </c>
      <c r="Z197" s="191" t="inlineStr">
        <is>
          <t>CHECK_VENDOR</t>
        </is>
      </c>
      <c r="AA197" s="192" t="inlineStr">
        <is>
          <t>https://nvd.nist.gov/vuln/detail/CVE-2026-2464</t>
        </is>
      </c>
      <c r="AB197" s="191" t="inlineStr">
        <is>
          <t>NONE</t>
        </is>
      </c>
      <c r="AC197" s="191" t="n">
        <v>0</v>
      </c>
      <c r="AD197" s="191" t="n"/>
    </row>
    <row r="198">
      <c r="A198" s="191" t="inlineStr">
        <is>
          <t>CVE</t>
        </is>
      </c>
      <c r="B198" s="191" t="inlineStr">
        <is>
          <t>CVE-2026-2654</t>
        </is>
      </c>
      <c r="C198" s="191" t="inlineStr">
        <is>
          <t>A weakness has been identified in huggingface smolagents 1.24.0. Impacted is the function requests.get/requests.post of the component LocalPythonExecutor. Executing a manipulation can lead to server-side request forgery. It is possible to launch the attack remotely. The exploit has been made available to the public and could be used for attacks. The vendor was contacted early about this disclosure but did not respond in any way.</t>
        </is>
      </c>
      <c r="D198" s="191" t="n">
        <v>6.3</v>
      </c>
      <c r="E198" s="191" t="inlineStr">
        <is>
          <t>MEDIUM</t>
        </is>
      </c>
      <c r="F198" s="191" t="n">
        <v>2</v>
      </c>
      <c r="G198" s="191" t="n">
        <v>2</v>
      </c>
      <c r="H198" s="191" t="inlineStr">
        <is>
          <t>MEDIUM</t>
        </is>
      </c>
      <c r="I198" s="191" t="n">
        <v>10.3</v>
      </c>
      <c r="J198" s="191" t="inlineStr">
        <is>
          <t>NO</t>
        </is>
      </c>
      <c r="K198" s="192" t="inlineStr">
        <is>
          <t>https://nvd.nist.gov/vuln/detail/CVE-2026-2654</t>
        </is>
      </c>
      <c r="L198" s="191" t="inlineStr">
        <is>
          <t>2026-02-23 23:48</t>
        </is>
      </c>
      <c r="M198" s="191" t="inlineStr">
        <is>
          <t>CHECK_VENDOR</t>
        </is>
      </c>
      <c r="N198" s="191" t="inlineStr">
        <is>
          <t>See NVD references</t>
        </is>
      </c>
      <c r="O198" s="191" t="inlineStr">
        <is>
          <t>Apply vendor patches</t>
        </is>
      </c>
      <c r="P198" s="191" t="inlineStr">
        <is>
          <t>huggingface smolagents *</t>
        </is>
      </c>
      <c r="Q198" s="191" t="inlineStr">
        <is>
          <t>P4</t>
        </is>
      </c>
      <c r="R198" s="191" t="inlineStr">
        <is>
          <t>📅 Schedule patch deployment within 30 days | 🔍 Monitor for exploitation attempts</t>
        </is>
      </c>
      <c r="S198" s="191" t="inlineStr">
        <is>
          <t>CVE - IP enrichment n/a</t>
        </is>
      </c>
      <c r="T198" s="191" t="n">
        <v>0</v>
      </c>
      <c r="U198" s="191" t="n">
        <v>0</v>
      </c>
      <c r="V198" s="191" t="inlineStr">
        <is>
          <t>T1090:Proxy</t>
        </is>
      </c>
      <c r="W198" s="191" t="n">
        <v>1</v>
      </c>
      <c r="X198" s="191" t="inlineStr">
        <is>
          <t>LOW (40%)</t>
        </is>
      </c>
      <c r="Y198" s="191" t="inlineStr">
        <is>
          <t>UNLIKELY</t>
        </is>
      </c>
      <c r="Z198" s="191" t="inlineStr">
        <is>
          <t>CHECK_VENDOR</t>
        </is>
      </c>
      <c r="AA198" s="192" t="inlineStr">
        <is>
          <t>https://nvd.nist.gov/vuln/detail/CVE-2026-2654</t>
        </is>
      </c>
      <c r="AB198" s="191" t="inlineStr">
        <is>
          <t>NONE</t>
        </is>
      </c>
      <c r="AC198" s="191" t="n">
        <v>0</v>
      </c>
      <c r="AD198" s="191" t="n"/>
    </row>
    <row r="199">
      <c r="A199" s="195" t="inlineStr">
        <is>
          <t>CVE</t>
        </is>
      </c>
      <c r="B199" s="195" t="inlineStr">
        <is>
          <t>CVE-2026-2655</t>
        </is>
      </c>
      <c r="C199" s="195" t="inlineStr">
        <is>
          <t>A vulnerability was detected in ChaiScript up to 6.1.0. The impacted element is the function chaiscript::str_less::operator of the file include/chaiscript/chaiscript_defines.hpp. The manipulation results in use after free. The attack requires a local approach. The attack requires a high level of complexity. The exploitability is regarded as difficult. The exploit is now public and may be used. The project was informed of the problem early through an issue report but has not responded yet.</t>
        </is>
      </c>
      <c r="D199" s="195" t="n">
        <v>2.5</v>
      </c>
      <c r="E199" s="195" t="inlineStr">
        <is>
          <t>LOW</t>
        </is>
      </c>
      <c r="F199" s="195" t="n">
        <v>2</v>
      </c>
      <c r="G199" s="195" t="n">
        <v>1</v>
      </c>
      <c r="H199" s="195" t="inlineStr">
        <is>
          <t>LOW</t>
        </is>
      </c>
      <c r="I199" s="195" t="n">
        <v>4.5</v>
      </c>
      <c r="J199" s="195" t="inlineStr">
        <is>
          <t>NO</t>
        </is>
      </c>
      <c r="K199" s="196" t="inlineStr">
        <is>
          <t>https://nvd.nist.gov/vuln/detail/CVE-2026-2655</t>
        </is>
      </c>
      <c r="L199" s="195" t="inlineStr">
        <is>
          <t>2026-02-23 23:48</t>
        </is>
      </c>
      <c r="M199" s="195" t="inlineStr">
        <is>
          <t>YES</t>
        </is>
      </c>
      <c r="N199" s="196" t="inlineStr">
        <is>
          <t>https://github.com/ChaiScript/ChaiScript/issues/632 | https://github.com/ChaiScript/ChaiScript/issues/632#issue-3827824936 | https://github.com/ChaiScript/ChaiScript/issues/632</t>
        </is>
      </c>
      <c r="O199" s="195" t="inlineStr">
        <is>
          <t>Apply vendor patches</t>
        </is>
      </c>
      <c r="P199" s="195" t="inlineStr">
        <is>
          <t>chaiscript chaiscript *</t>
        </is>
      </c>
      <c r="Q199" s="195" t="inlineStr">
        <is>
          <t>P4</t>
        </is>
      </c>
      <c r="R199" s="195" t="inlineStr">
        <is>
          <t>📅 Schedule patch deployment within 30 days | 🔍 Monitor for exploitation attempts</t>
        </is>
      </c>
      <c r="S199" s="195" t="inlineStr">
        <is>
          <t>CVE - IP enrichment n/a</t>
        </is>
      </c>
      <c r="T199" s="195" t="n">
        <v>0.0002</v>
      </c>
      <c r="U199" s="195" t="n">
        <v>0.06519999999999999</v>
      </c>
      <c r="V199" s="195" t="inlineStr">
        <is>
          <t>T1203:Exploitation for Client Execution</t>
        </is>
      </c>
      <c r="W199" s="195" t="n">
        <v>1</v>
      </c>
      <c r="X199" s="195" t="inlineStr">
        <is>
          <t>LOW (40%)</t>
        </is>
      </c>
      <c r="Y199" s="195" t="inlineStr">
        <is>
          <t>UNLIKELY</t>
        </is>
      </c>
      <c r="Z199" s="195" t="inlineStr">
        <is>
          <t>PATCH_AVAILABLE</t>
        </is>
      </c>
      <c r="AA199" s="196" t="inlineStr">
        <is>
          <t>https://nvd.nist.gov/vuln/detail/CVE-2026-2655</t>
        </is>
      </c>
      <c r="AB199" s="195" t="inlineStr">
        <is>
          <t>NONE</t>
        </is>
      </c>
      <c r="AC199" s="195" t="n">
        <v>0</v>
      </c>
      <c r="AD199" s="195" t="n"/>
    </row>
    <row r="200">
      <c r="A200" s="189" t="inlineStr">
        <is>
          <t>CVE</t>
        </is>
      </c>
      <c r="B200" s="189" t="inlineStr">
        <is>
          <t>CVE-2025-61982</t>
        </is>
      </c>
      <c r="C200" s="189" t="inlineStr">
        <is>
          <t>An arbitrary code execution vulnerability exists in the Code Stream directive functionality of OpenCFD OpenFOAM 2506. A specially crafted OpenFOAM simulation file can lead to arbitrary code execution. An attacker can provide a malicious file to trigger this vulnerability.</t>
        </is>
      </c>
      <c r="D200" s="189" t="n">
        <v>7.8</v>
      </c>
      <c r="E200" s="189" t="inlineStr">
        <is>
          <t>HIGH</t>
        </is>
      </c>
      <c r="F200" s="189" t="n">
        <v>2</v>
      </c>
      <c r="G200" s="189" t="n">
        <v>3</v>
      </c>
      <c r="H200" s="189" t="inlineStr">
        <is>
          <t>HIGH</t>
        </is>
      </c>
      <c r="I200" s="189" t="n">
        <v>13.8</v>
      </c>
      <c r="J200" s="189" t="inlineStr">
        <is>
          <t>NO</t>
        </is>
      </c>
      <c r="K200" s="190" t="inlineStr">
        <is>
          <t>https://nvd.nist.gov/vuln/detail/CVE-2025-61982</t>
        </is>
      </c>
      <c r="L200" s="189" t="inlineStr">
        <is>
          <t>2026-02-23 23:48</t>
        </is>
      </c>
      <c r="M200" s="189" t="inlineStr">
        <is>
          <t>CHECK_VENDOR</t>
        </is>
      </c>
      <c r="N200" s="189" t="inlineStr">
        <is>
          <t>See NVD references</t>
        </is>
      </c>
      <c r="O200" s="189" t="inlineStr">
        <is>
          <t>Apply vendor patches</t>
        </is>
      </c>
      <c r="P200" s="189" t="inlineStr">
        <is>
          <t>See CVE details</t>
        </is>
      </c>
      <c r="Q200" s="189" t="inlineStr">
        <is>
          <t>P3</t>
        </is>
      </c>
      <c r="R200" s="189" t="inlineStr">
        <is>
          <t>🚨 URGENT: Apply vendor patches immediately | 🔒 Isolate affected systems if patch unavailable | 🛡️ Enable additional monitoring/IDS rules</t>
        </is>
      </c>
      <c r="S200" s="189" t="inlineStr">
        <is>
          <t>CVE - IP enrichment n/a</t>
        </is>
      </c>
      <c r="T200" s="189" t="n">
        <v>0</v>
      </c>
      <c r="U200" s="189" t="n">
        <v>0</v>
      </c>
      <c r="V200" s="189" t="inlineStr">
        <is>
          <t>T1059:Command and Scripting Interpreter | T1203:Exploitation for Client Execution</t>
        </is>
      </c>
      <c r="W200" s="189" t="n">
        <v>1</v>
      </c>
      <c r="X200" s="189" t="inlineStr">
        <is>
          <t>LOW (40%)</t>
        </is>
      </c>
      <c r="Y200" s="189" t="inlineStr">
        <is>
          <t>UNLIKELY</t>
        </is>
      </c>
      <c r="Z200" s="189" t="inlineStr">
        <is>
          <t>CHECK_VENDOR</t>
        </is>
      </c>
      <c r="AA200" s="190" t="inlineStr">
        <is>
          <t>https://nvd.nist.gov/vuln/detail/CVE-2025-61982</t>
        </is>
      </c>
      <c r="AB200" s="189" t="inlineStr">
        <is>
          <t>NONE</t>
        </is>
      </c>
      <c r="AC200" s="189" t="n">
        <v>0</v>
      </c>
      <c r="AD200" s="189" t="n"/>
    </row>
    <row r="201">
      <c r="A201" s="191" t="inlineStr">
        <is>
          <t>CVE</t>
        </is>
      </c>
      <c r="B201" s="191" t="inlineStr">
        <is>
          <t>CVE-2025-71225</t>
        </is>
      </c>
      <c r="C201" s="191" t="inlineStr">
        <is>
          <t>In the Linux kernel, the following vulnerability has been resolved:
md: suspend array while updating raid_disks via sysfs
In raid1_reshape(), freeze_array() is called before modifying the r1bio
memory pool (conf-&gt;r1bio_pool) and conf-&gt;raid_disks, and
unfreeze_array() is called after the update is completed.
However, freeze_array() only waits until nr_sync_pending and
(nr_pending - nr_queued) of all buckets reaches zero. When an I/O error
occurs, nr_queued is increased and the corresponding r1</t>
        </is>
      </c>
      <c r="D201" s="191" t="n">
        <v>5</v>
      </c>
      <c r="E201" s="191" t="inlineStr">
        <is>
          <t>MEDIUM</t>
        </is>
      </c>
      <c r="F201" s="191" t="n">
        <v>2</v>
      </c>
      <c r="G201" s="191" t="n">
        <v>2</v>
      </c>
      <c r="H201" s="191" t="inlineStr">
        <is>
          <t>MEDIUM</t>
        </is>
      </c>
      <c r="I201" s="191" t="n">
        <v>9</v>
      </c>
      <c r="J201" s="191" t="inlineStr">
        <is>
          <t>NO</t>
        </is>
      </c>
      <c r="K201" s="192" t="inlineStr">
        <is>
          <t>https://nvd.nist.gov/vuln/detail/CVE-2025-71225</t>
        </is>
      </c>
      <c r="L201" s="191" t="inlineStr">
        <is>
          <t>2026-02-23 23:48</t>
        </is>
      </c>
      <c r="M201" s="191" t="inlineStr">
        <is>
          <t>CHECK_VENDOR</t>
        </is>
      </c>
      <c r="N201" s="191" t="inlineStr">
        <is>
          <t>See NVD references</t>
        </is>
      </c>
      <c r="O201" s="191" t="inlineStr">
        <is>
          <t>Apply vendor patches</t>
        </is>
      </c>
      <c r="P201" s="191" t="inlineStr">
        <is>
          <t>See CVE details</t>
        </is>
      </c>
      <c r="Q201" s="191" t="inlineStr">
        <is>
          <t>P4</t>
        </is>
      </c>
      <c r="R201" s="191" t="inlineStr">
        <is>
          <t>📅 Schedule patch deployment within 30 days | 🔍 Monitor for exploitation attempts</t>
        </is>
      </c>
      <c r="S201" s="191" t="inlineStr">
        <is>
          <t>CVE - IP enrichment n/a</t>
        </is>
      </c>
      <c r="T201" s="191" t="n">
        <v>0.0002</v>
      </c>
      <c r="U201" s="191" t="n">
        <v>0.0367</v>
      </c>
      <c r="V201" s="191" t="inlineStr">
        <is>
          <t>T1190:Exploit Public-Facing Application</t>
        </is>
      </c>
      <c r="W201" s="191" t="n">
        <v>1</v>
      </c>
      <c r="X201" s="191" t="inlineStr">
        <is>
          <t>LOW (40%)</t>
        </is>
      </c>
      <c r="Y201" s="191" t="inlineStr">
        <is>
          <t>UNLIKELY</t>
        </is>
      </c>
      <c r="Z201" s="191" t="inlineStr">
        <is>
          <t>CHECK_VENDOR</t>
        </is>
      </c>
      <c r="AA201" s="192" t="inlineStr">
        <is>
          <t>https://nvd.nist.gov/vuln/detail/CVE-2025-71225</t>
        </is>
      </c>
      <c r="AB201" s="191" t="inlineStr">
        <is>
          <t>NONE</t>
        </is>
      </c>
      <c r="AC201" s="191" t="n">
        <v>0</v>
      </c>
      <c r="AD201" s="191" t="n"/>
    </row>
    <row r="202">
      <c r="A202" s="191" t="inlineStr">
        <is>
          <t>CVE</t>
        </is>
      </c>
      <c r="B202" s="191" t="inlineStr">
        <is>
          <t>CVE-2025-71226</t>
        </is>
      </c>
      <c r="C202" s="191" t="inlineStr">
        <is>
          <t>In the Linux kernel, the following vulnerability has been resolved:
wifi: iwlwifi: Implement settime64 as stub for MVM/MLD PTP
Since commit dfb073d32cac ("ptp: Return -EINVAL on ptp_clock_register if
required ops are NULL"), PTP clock registered through ptp_clock_register
is required to have ptp_clock_info.settime64 set, however, neither MVM
nor MLD's PTP clock implementation sets it, resulting in warnings when
the interface starts up, like
WARNING: drivers/ptp/ptp_clock.c:325 at ptp_clock_re</t>
        </is>
      </c>
      <c r="D202" s="191" t="n">
        <v>5</v>
      </c>
      <c r="E202" s="191" t="inlineStr">
        <is>
          <t>MEDIUM</t>
        </is>
      </c>
      <c r="F202" s="191" t="n">
        <v>2</v>
      </c>
      <c r="G202" s="191" t="n">
        <v>2</v>
      </c>
      <c r="H202" s="191" t="inlineStr">
        <is>
          <t>MEDIUM</t>
        </is>
      </c>
      <c r="I202" s="191" t="n">
        <v>9</v>
      </c>
      <c r="J202" s="191" t="inlineStr">
        <is>
          <t>NO</t>
        </is>
      </c>
      <c r="K202" s="192" t="inlineStr">
        <is>
          <t>https://nvd.nist.gov/vuln/detail/CVE-2025-71226</t>
        </is>
      </c>
      <c r="L202" s="191" t="inlineStr">
        <is>
          <t>2026-02-23 23:48</t>
        </is>
      </c>
      <c r="M202" s="191" t="inlineStr">
        <is>
          <t>CHECK_VENDOR</t>
        </is>
      </c>
      <c r="N202" s="191" t="inlineStr">
        <is>
          <t>See NVD references</t>
        </is>
      </c>
      <c r="O202" s="191" t="inlineStr">
        <is>
          <t>Apply vendor patches</t>
        </is>
      </c>
      <c r="P202" s="191" t="inlineStr">
        <is>
          <t>See CVE details</t>
        </is>
      </c>
      <c r="Q202" s="191" t="inlineStr">
        <is>
          <t>P4</t>
        </is>
      </c>
      <c r="R202" s="191" t="inlineStr">
        <is>
          <t>📅 Schedule patch deployment within 30 days | 🔍 Monitor for exploitation attempts</t>
        </is>
      </c>
      <c r="S202" s="191" t="inlineStr">
        <is>
          <t>CVE - IP enrichment n/a</t>
        </is>
      </c>
      <c r="T202" s="191" t="n">
        <v>0.0002</v>
      </c>
      <c r="U202" s="191" t="n">
        <v>0.0449</v>
      </c>
      <c r="V202" s="191" t="inlineStr">
        <is>
          <t>T1190:Exploit Public-Facing Application</t>
        </is>
      </c>
      <c r="W202" s="191" t="n">
        <v>1</v>
      </c>
      <c r="X202" s="191" t="inlineStr">
        <is>
          <t>LOW (40%)</t>
        </is>
      </c>
      <c r="Y202" s="191" t="inlineStr">
        <is>
          <t>UNLIKELY</t>
        </is>
      </c>
      <c r="Z202" s="191" t="inlineStr">
        <is>
          <t>CHECK_VENDOR</t>
        </is>
      </c>
      <c r="AA202" s="192" t="inlineStr">
        <is>
          <t>https://nvd.nist.gov/vuln/detail/CVE-2025-71226</t>
        </is>
      </c>
      <c r="AB202" s="191" t="inlineStr">
        <is>
          <t>NONE</t>
        </is>
      </c>
      <c r="AC202" s="191" t="n">
        <v>0</v>
      </c>
      <c r="AD202" s="191" t="n"/>
    </row>
    <row r="203">
      <c r="A203" s="191" t="inlineStr">
        <is>
          <t>CVE</t>
        </is>
      </c>
      <c r="B203" s="191" t="inlineStr">
        <is>
          <t>CVE-2025-71227</t>
        </is>
      </c>
      <c r="C203" s="191" t="inlineStr">
        <is>
          <t xml:space="preserve">In the Linux kernel, the following vulnerability has been resolved:
wifi: mac80211: don't WARN for connections on invalid channels
It's not clear (to me) how exactly syzbot managed to hit this,
but it seems conceivable that e.g. regulatory changed and has
disabled a channel between scanning (channel is checked to be
usable by cfg80211_get_ies_channel_number) and connecting on
the channel later.
With one scenario that isn't covered elsewhere described above,
the warning isn't good, replace it </t>
        </is>
      </c>
      <c r="D203" s="191" t="n">
        <v>5</v>
      </c>
      <c r="E203" s="191" t="inlineStr">
        <is>
          <t>MEDIUM</t>
        </is>
      </c>
      <c r="F203" s="191" t="n">
        <v>2</v>
      </c>
      <c r="G203" s="191" t="n">
        <v>2</v>
      </c>
      <c r="H203" s="191" t="inlineStr">
        <is>
          <t>MEDIUM</t>
        </is>
      </c>
      <c r="I203" s="191" t="n">
        <v>9</v>
      </c>
      <c r="J203" s="191" t="inlineStr">
        <is>
          <t>NO</t>
        </is>
      </c>
      <c r="K203" s="192" t="inlineStr">
        <is>
          <t>https://nvd.nist.gov/vuln/detail/CVE-2025-71227</t>
        </is>
      </c>
      <c r="L203" s="191" t="inlineStr">
        <is>
          <t>2026-02-23 23:48</t>
        </is>
      </c>
      <c r="M203" s="191" t="inlineStr">
        <is>
          <t>CHECK_VENDOR</t>
        </is>
      </c>
      <c r="N203" s="191" t="inlineStr">
        <is>
          <t>See NVD references</t>
        </is>
      </c>
      <c r="O203" s="191" t="inlineStr">
        <is>
          <t>Apply vendor patches</t>
        </is>
      </c>
      <c r="P203" s="191" t="inlineStr">
        <is>
          <t>See CVE details</t>
        </is>
      </c>
      <c r="Q203" s="191" t="inlineStr">
        <is>
          <t>P1</t>
        </is>
      </c>
      <c r="R203" s="191" t="inlineStr">
        <is>
          <t>📅 Schedule patch deployment within 30 days | 🔍 Monitor for exploitation attempts</t>
        </is>
      </c>
      <c r="S203" s="191" t="inlineStr">
        <is>
          <t>CVE - IP enrichment n/a</t>
        </is>
      </c>
      <c r="T203" s="191" t="n">
        <v>0.0002</v>
      </c>
      <c r="U203" s="191" t="n">
        <v>0.0449</v>
      </c>
      <c r="V203" s="191" t="inlineStr">
        <is>
          <t>T1190:Exploit Public-Facing Application</t>
        </is>
      </c>
      <c r="W203" s="191" t="n">
        <v>2</v>
      </c>
      <c r="X203" s="191" t="inlineStr">
        <is>
          <t>HIGH (72%)</t>
        </is>
      </c>
      <c r="Y203" s="191" t="inlineStr">
        <is>
          <t>HIGH</t>
        </is>
      </c>
      <c r="Z203" s="191" t="inlineStr">
        <is>
          <t>CHECK_VENDOR</t>
        </is>
      </c>
      <c r="AA203" s="192" t="inlineStr">
        <is>
          <t>https://nvd.nist.gov/vuln/detail/CVE-2025-71227</t>
        </is>
      </c>
      <c r="AB203" s="192" t="inlineStr">
        <is>
          <t>http://www.zerodayinitiative.com/advisories/ZDI-26-123/</t>
        </is>
      </c>
      <c r="AC203" s="191" t="n">
        <v>0</v>
      </c>
      <c r="AD203" s="191" t="n"/>
    </row>
    <row r="204">
      <c r="A204" s="191" t="inlineStr">
        <is>
          <t>CVE</t>
        </is>
      </c>
      <c r="B204" s="191" t="inlineStr">
        <is>
          <t>CVE-2025-71228</t>
        </is>
      </c>
      <c r="C204" s="191" t="inlineStr">
        <is>
          <t>In the Linux kernel, the following vulnerability has been resolved:
LoongArch: Set correct protection_map[] for VM_NONE/VM_SHARED
For 32BIT platform _PAGE_PROTNONE is 0, so set a VMA to be VM_NONE or
VM_SHARED will make pages non-present, then cause Oops with kernel page
fault.
Fix it by set correct protection_map[] for VM_NONE/VM_SHARED, replacing
_PAGE_PROTNONE with _PAGE_PRESENT.</t>
        </is>
      </c>
      <c r="D204" s="191" t="n">
        <v>5</v>
      </c>
      <c r="E204" s="191" t="inlineStr">
        <is>
          <t>MEDIUM</t>
        </is>
      </c>
      <c r="F204" s="191" t="n">
        <v>2</v>
      </c>
      <c r="G204" s="191" t="n">
        <v>2</v>
      </c>
      <c r="H204" s="191" t="inlineStr">
        <is>
          <t>MEDIUM</t>
        </is>
      </c>
      <c r="I204" s="191" t="n">
        <v>9</v>
      </c>
      <c r="J204" s="191" t="inlineStr">
        <is>
          <t>NO</t>
        </is>
      </c>
      <c r="K204" s="192" t="inlineStr">
        <is>
          <t>https://nvd.nist.gov/vuln/detail/CVE-2025-71228</t>
        </is>
      </c>
      <c r="L204" s="191" t="inlineStr">
        <is>
          <t>2026-02-23 23:48</t>
        </is>
      </c>
      <c r="M204" s="191" t="inlineStr">
        <is>
          <t>CHECK_VENDOR</t>
        </is>
      </c>
      <c r="N204" s="191" t="inlineStr">
        <is>
          <t>See NVD references</t>
        </is>
      </c>
      <c r="O204" s="191" t="inlineStr">
        <is>
          <t>Apply vendor patches</t>
        </is>
      </c>
      <c r="P204" s="191" t="inlineStr">
        <is>
          <t>See CVE details</t>
        </is>
      </c>
      <c r="Q204" s="191" t="inlineStr">
        <is>
          <t>P4</t>
        </is>
      </c>
      <c r="R204" s="191" t="inlineStr">
        <is>
          <t>📅 Schedule patch deployment within 30 days | 🔍 Monitor for exploitation attempts</t>
        </is>
      </c>
      <c r="S204" s="191" t="inlineStr">
        <is>
          <t>CVE - IP enrichment n/a</t>
        </is>
      </c>
      <c r="T204" s="191" t="n">
        <v>0</v>
      </c>
      <c r="U204" s="191" t="n">
        <v>0</v>
      </c>
      <c r="V204" s="191" t="inlineStr">
        <is>
          <t>T1190:Exploit Public-Facing Application</t>
        </is>
      </c>
      <c r="W204" s="191" t="n">
        <v>1</v>
      </c>
      <c r="X204" s="191" t="inlineStr">
        <is>
          <t>LOW (40%)</t>
        </is>
      </c>
      <c r="Y204" s="191" t="inlineStr">
        <is>
          <t>UNLIKELY</t>
        </is>
      </c>
      <c r="Z204" s="191" t="inlineStr">
        <is>
          <t>CHECK_VENDOR</t>
        </is>
      </c>
      <c r="AA204" s="192" t="inlineStr">
        <is>
          <t>https://nvd.nist.gov/vuln/detail/CVE-2025-71228</t>
        </is>
      </c>
      <c r="AB204" s="191" t="inlineStr">
        <is>
          <t>NONE</t>
        </is>
      </c>
      <c r="AC204" s="191" t="n">
        <v>0</v>
      </c>
      <c r="AD204" s="191" t="n"/>
    </row>
    <row r="205">
      <c r="A205" s="191" t="inlineStr">
        <is>
          <t>CVE</t>
        </is>
      </c>
      <c r="B205" s="191" t="inlineStr">
        <is>
          <t>CVE-2026-1404</t>
        </is>
      </c>
      <c r="C205" s="191" t="inlineStr">
        <is>
          <t>The Ultimate Member – User Profile, Registration, Login, Member Directory, Content Restriction &amp; Membership Plugin plugin for WordPress is vulnerable to Reflected Cross-Site Scripting via the filter parameters (e.g., 'filter_first_name') in all versions up to, and including, 2.11.1 due to insufficient input sanitization and output escaping. This makes it possible for unauthenticated attackers to inject arbitrary web scripts in pages that execute if they can successfully trick a user into perform</t>
        </is>
      </c>
      <c r="D205" s="191" t="n">
        <v>6.1</v>
      </c>
      <c r="E205" s="191" t="inlineStr">
        <is>
          <t>MEDIUM</t>
        </is>
      </c>
      <c r="F205" s="191" t="n">
        <v>2</v>
      </c>
      <c r="G205" s="191" t="n">
        <v>2</v>
      </c>
      <c r="H205" s="191" t="inlineStr">
        <is>
          <t>MEDIUM</t>
        </is>
      </c>
      <c r="I205" s="191" t="n">
        <v>10.1</v>
      </c>
      <c r="J205" s="191" t="inlineStr">
        <is>
          <t>NO</t>
        </is>
      </c>
      <c r="K205" s="192" t="inlineStr">
        <is>
          <t>https://nvd.nist.gov/vuln/detail/CVE-2026-1404</t>
        </is>
      </c>
      <c r="L205" s="191" t="inlineStr">
        <is>
          <t>2026-02-23 23:48</t>
        </is>
      </c>
      <c r="M205" s="191" t="inlineStr">
        <is>
          <t>CHECK_VENDOR</t>
        </is>
      </c>
      <c r="N205" s="191" t="inlineStr">
        <is>
          <t>See NVD references</t>
        </is>
      </c>
      <c r="O205" s="191" t="inlineStr">
        <is>
          <t>Apply vendor patches</t>
        </is>
      </c>
      <c r="P205" s="191" t="inlineStr">
        <is>
          <t>See CVE details</t>
        </is>
      </c>
      <c r="Q205" s="191" t="inlineStr">
        <is>
          <t>P4</t>
        </is>
      </c>
      <c r="R205" s="191" t="inlineStr">
        <is>
          <t>📅 Schedule patch deployment within 30 days | 🔍 Monitor for exploitation attempts</t>
        </is>
      </c>
      <c r="S205" s="191" t="inlineStr">
        <is>
          <t>CVE - IP enrichment n/a</t>
        </is>
      </c>
      <c r="T205" s="191" t="n">
        <v>0</v>
      </c>
      <c r="U205" s="191" t="n">
        <v>0</v>
      </c>
      <c r="V205" s="191" t="inlineStr">
        <is>
          <t>T1189:Drive-by Compromise</t>
        </is>
      </c>
      <c r="W205" s="191" t="n">
        <v>1</v>
      </c>
      <c r="X205" s="191" t="inlineStr">
        <is>
          <t>LOW (40%)</t>
        </is>
      </c>
      <c r="Y205" s="191" t="inlineStr">
        <is>
          <t>UNLIKELY</t>
        </is>
      </c>
      <c r="Z205" s="191" t="inlineStr">
        <is>
          <t>CHECK_VENDOR</t>
        </is>
      </c>
      <c r="AA205" s="192" t="inlineStr">
        <is>
          <t>https://nvd.nist.gov/vuln/detail/CVE-2026-1404</t>
        </is>
      </c>
      <c r="AB205" s="191" t="inlineStr">
        <is>
          <t>NONE</t>
        </is>
      </c>
      <c r="AC205" s="191" t="n">
        <v>0</v>
      </c>
      <c r="AD205" s="191" t="n"/>
    </row>
    <row r="206">
      <c r="A206" s="189" t="inlineStr">
        <is>
          <t>CVE</t>
        </is>
      </c>
      <c r="B206" s="189" t="inlineStr">
        <is>
          <t>CVE-2026-1426</t>
        </is>
      </c>
      <c r="C206" s="189" t="inlineStr">
        <is>
          <t>The Advanced AJAX Product Filters plugin for WordPress is vulnerable to PHP Object Injection in all versions up to, and including, 3.1.9.6 via deserialization of untrusted input in the shortcode_check function within the Live Composer compatibility layer. This makes it possible for authenticated attackers, with Author-level access and above, to inject a PHP Object. No known POP chain is present in the vulnerable software, which means this vulnerability has no impact unless another plugin or them</t>
        </is>
      </c>
      <c r="D206" s="189" t="n">
        <v>8.800000000000001</v>
      </c>
      <c r="E206" s="189" t="inlineStr">
        <is>
          <t>HIGH</t>
        </is>
      </c>
      <c r="F206" s="189" t="n">
        <v>2</v>
      </c>
      <c r="G206" s="189" t="n">
        <v>3</v>
      </c>
      <c r="H206" s="189" t="inlineStr">
        <is>
          <t>HIGH</t>
        </is>
      </c>
      <c r="I206" s="189" t="n">
        <v>14.8</v>
      </c>
      <c r="J206" s="189" t="inlineStr">
        <is>
          <t>NO</t>
        </is>
      </c>
      <c r="K206" s="190" t="inlineStr">
        <is>
          <t>https://nvd.nist.gov/vuln/detail/CVE-2026-1426</t>
        </is>
      </c>
      <c r="L206" s="189" t="inlineStr">
        <is>
          <t>2026-02-23 23:48</t>
        </is>
      </c>
      <c r="M206" s="189" t="inlineStr">
        <is>
          <t>CHECK_VENDOR</t>
        </is>
      </c>
      <c r="N206" s="189" t="inlineStr">
        <is>
          <t>See NVD references</t>
        </is>
      </c>
      <c r="O206" s="189" t="inlineStr">
        <is>
          <t>Apply vendor patches</t>
        </is>
      </c>
      <c r="P206" s="189" t="inlineStr">
        <is>
          <t>See CVE details</t>
        </is>
      </c>
      <c r="Q206" s="189" t="inlineStr">
        <is>
          <t>P3</t>
        </is>
      </c>
      <c r="R206" s="189" t="inlineStr">
        <is>
          <t>🚨 URGENT: Apply vendor patches immediately | 🔒 Isolate affected systems if patch unavailable | 🛡️ Enable additional monitoring/IDS rules</t>
        </is>
      </c>
      <c r="S206" s="189" t="inlineStr">
        <is>
          <t>CVE - IP enrichment n/a</t>
        </is>
      </c>
      <c r="T206" s="189" t="n">
        <v>0</v>
      </c>
      <c r="U206" s="189" t="n">
        <v>0</v>
      </c>
      <c r="V206" s="189" t="inlineStr">
        <is>
          <t>T1059:Command and Scripting Interpreter</t>
        </is>
      </c>
      <c r="W206" s="189" t="n">
        <v>1</v>
      </c>
      <c r="X206" s="189" t="inlineStr">
        <is>
          <t>LOW (40%)</t>
        </is>
      </c>
      <c r="Y206" s="189" t="inlineStr">
        <is>
          <t>UNLIKELY</t>
        </is>
      </c>
      <c r="Z206" s="189" t="inlineStr">
        <is>
          <t>CHECK_VENDOR</t>
        </is>
      </c>
      <c r="AA206" s="190" t="inlineStr">
        <is>
          <t>https://nvd.nist.gov/vuln/detail/CVE-2026-1426</t>
        </is>
      </c>
      <c r="AB206" s="189" t="inlineStr">
        <is>
          <t>NONE</t>
        </is>
      </c>
      <c r="AC206" s="189" t="n">
        <v>0</v>
      </c>
      <c r="AD206" s="189" t="n"/>
    </row>
    <row r="207">
      <c r="A207" s="191" t="inlineStr">
        <is>
          <t>CVE</t>
        </is>
      </c>
      <c r="B207" s="191" t="inlineStr">
        <is>
          <t>CVE-2026-23211</t>
        </is>
      </c>
      <c r="C207" s="191" t="inlineStr">
        <is>
          <t>In the Linux kernel, the following vulnerability has been resolved:
mm, swap: restore swap_space attr aviod kernel panic
commit 8b47299a411a ("mm, swap: mark swap address space ro and add context
debug check") made the swap address space read-only.  It may lead to
kernel panic if arch_prepare_to_swap returns a failure under heavy memory
pressure as follows,
el1_abort+0x40/0x64
el1h_64_sync_handler+0x48/0xcc
el1h_64_sync+0x84/0x88
errseq_set+0x4c/0xb8 (P)
__filemap_set_wb_err+0x20/0xd0
shrink_</t>
        </is>
      </c>
      <c r="D207" s="191" t="n">
        <v>5</v>
      </c>
      <c r="E207" s="191" t="inlineStr">
        <is>
          <t>MEDIUM</t>
        </is>
      </c>
      <c r="F207" s="191" t="n">
        <v>2</v>
      </c>
      <c r="G207" s="191" t="n">
        <v>2</v>
      </c>
      <c r="H207" s="191" t="inlineStr">
        <is>
          <t>MEDIUM</t>
        </is>
      </c>
      <c r="I207" s="191" t="n">
        <v>9</v>
      </c>
      <c r="J207" s="191" t="inlineStr">
        <is>
          <t>NO</t>
        </is>
      </c>
      <c r="K207" s="192" t="inlineStr">
        <is>
          <t>https://nvd.nist.gov/vuln/detail/CVE-2026-23211</t>
        </is>
      </c>
      <c r="L207" s="191" t="inlineStr">
        <is>
          <t>2026-02-23 23:48</t>
        </is>
      </c>
      <c r="M207" s="191" t="inlineStr">
        <is>
          <t>CHECK_VENDOR</t>
        </is>
      </c>
      <c r="N207" s="191" t="inlineStr">
        <is>
          <t>See NVD references</t>
        </is>
      </c>
      <c r="O207" s="191" t="inlineStr">
        <is>
          <t>Apply vendor patches</t>
        </is>
      </c>
      <c r="P207" s="191" t="inlineStr">
        <is>
          <t>See CVE details</t>
        </is>
      </c>
      <c r="Q207" s="191" t="inlineStr">
        <is>
          <t>P4</t>
        </is>
      </c>
      <c r="R207" s="191" t="inlineStr">
        <is>
          <t>📅 Schedule patch deployment within 30 days | 🔍 Monitor for exploitation attempts</t>
        </is>
      </c>
      <c r="S207" s="191" t="inlineStr">
        <is>
          <t>CVE - IP enrichment n/a</t>
        </is>
      </c>
      <c r="T207" s="191" t="n">
        <v>0</v>
      </c>
      <c r="U207" s="191" t="n">
        <v>0</v>
      </c>
      <c r="V207" s="191" t="inlineStr">
        <is>
          <t>T1190:Exploit Public-Facing Application</t>
        </is>
      </c>
      <c r="W207" s="191" t="n">
        <v>1</v>
      </c>
      <c r="X207" s="191" t="inlineStr">
        <is>
          <t>LOW (40%)</t>
        </is>
      </c>
      <c r="Y207" s="191" t="inlineStr">
        <is>
          <t>UNLIKELY</t>
        </is>
      </c>
      <c r="Z207" s="191" t="inlineStr">
        <is>
          <t>CHECK_VENDOR</t>
        </is>
      </c>
      <c r="AA207" s="192" t="inlineStr">
        <is>
          <t>https://nvd.nist.gov/vuln/detail/CVE-2026-23211</t>
        </is>
      </c>
      <c r="AB207" s="191" t="inlineStr">
        <is>
          <t>NONE</t>
        </is>
      </c>
      <c r="AC207" s="191" t="n">
        <v>0</v>
      </c>
      <c r="AD207" s="191" t="n"/>
    </row>
    <row r="208">
      <c r="A208" s="191" t="inlineStr">
        <is>
          <t>CVE</t>
        </is>
      </c>
      <c r="B208" s="191" t="inlineStr">
        <is>
          <t>CVE-2026-23212</t>
        </is>
      </c>
      <c r="C208" s="191" t="inlineStr">
        <is>
          <t>In the Linux kernel, the following vulnerability has been resolved:
bonding: annotate data-races around slave-&gt;last_rx
slave-&gt;last_rx and slave-&gt;target_last_arp_rx[...] can be read and written
locklessly. Add READ_ONCE() and WRITE_ONCE() annotations.
syzbot reported:
BUG: KCSAN: data-race in bond_rcv_validate / bond_rcv_validate
write to 0xffff888149f0d428 of 8 bytes by interrupt on cpu 1:
  bond_rcv_validate+0x202/0x7a0 drivers/net/bonding/bond_main.c:3335
  bond_handle_frame+0xde/0x5e0 dr</t>
        </is>
      </c>
      <c r="D208" s="191" t="n">
        <v>5</v>
      </c>
      <c r="E208" s="191" t="inlineStr">
        <is>
          <t>MEDIUM</t>
        </is>
      </c>
      <c r="F208" s="191" t="n">
        <v>2</v>
      </c>
      <c r="G208" s="191" t="n">
        <v>2</v>
      </c>
      <c r="H208" s="191" t="inlineStr">
        <is>
          <t>MEDIUM</t>
        </is>
      </c>
      <c r="I208" s="191" t="n">
        <v>9</v>
      </c>
      <c r="J208" s="191" t="inlineStr">
        <is>
          <t>NO</t>
        </is>
      </c>
      <c r="K208" s="192" t="inlineStr">
        <is>
          <t>https://nvd.nist.gov/vuln/detail/CVE-2026-23212</t>
        </is>
      </c>
      <c r="L208" s="191" t="inlineStr">
        <is>
          <t>2026-02-23 23:48</t>
        </is>
      </c>
      <c r="M208" s="191" t="inlineStr">
        <is>
          <t>CHECK_VENDOR</t>
        </is>
      </c>
      <c r="N208" s="191" t="inlineStr">
        <is>
          <t>See NVD references</t>
        </is>
      </c>
      <c r="O208" s="191" t="inlineStr">
        <is>
          <t>Apply vendor patches</t>
        </is>
      </c>
      <c r="P208" s="191" t="inlineStr">
        <is>
          <t>See CVE details</t>
        </is>
      </c>
      <c r="Q208" s="191" t="inlineStr">
        <is>
          <t>P4</t>
        </is>
      </c>
      <c r="R208" s="191" t="inlineStr">
        <is>
          <t>📅 Schedule patch deployment within 30 days | 🔍 Monitor for exploitation attempts</t>
        </is>
      </c>
      <c r="S208" s="191" t="inlineStr">
        <is>
          <t>CVE - IP enrichment n/a</t>
        </is>
      </c>
      <c r="T208" s="191" t="n">
        <v>0</v>
      </c>
      <c r="U208" s="191" t="n">
        <v>0</v>
      </c>
      <c r="V208" s="191" t="inlineStr">
        <is>
          <t>T1190:Exploit Public-Facing Application</t>
        </is>
      </c>
      <c r="W208" s="191" t="n">
        <v>1</v>
      </c>
      <c r="X208" s="191" t="inlineStr">
        <is>
          <t>LOW (40%)</t>
        </is>
      </c>
      <c r="Y208" s="191" t="inlineStr">
        <is>
          <t>UNLIKELY</t>
        </is>
      </c>
      <c r="Z208" s="191" t="inlineStr">
        <is>
          <t>CHECK_VENDOR</t>
        </is>
      </c>
      <c r="AA208" s="192" t="inlineStr">
        <is>
          <t>https://nvd.nist.gov/vuln/detail/CVE-2026-23212</t>
        </is>
      </c>
      <c r="AB208" s="191" t="inlineStr">
        <is>
          <t>NONE</t>
        </is>
      </c>
      <c r="AC208" s="191" t="n">
        <v>0</v>
      </c>
      <c r="AD208" s="191" t="n"/>
    </row>
    <row r="209">
      <c r="A209" s="191" t="inlineStr">
        <is>
          <t>CVE</t>
        </is>
      </c>
      <c r="B209" s="191" t="inlineStr">
        <is>
          <t>CVE-2026-23213</t>
        </is>
      </c>
      <c r="C209" s="191" t="inlineStr">
        <is>
          <t>In the Linux kernel, the following vulnerability has been resolved:
drm/amd/pm: Disable MMIO access during SMU Mode 1 reset
During Mode 1 reset, the ASIC undergoes a reset cycle and becomes
temporarily inaccessible via PCIe. Any attempt to access MMIO registers
during this window (e.g., from interrupt handlers or other driver threads)
can result in uncompleted PCIe transactions, leading to NMI panics or
system hangs.
To prevent this, set the `no_hw_access` flag to true immediately after
trigg</t>
        </is>
      </c>
      <c r="D209" s="191" t="n">
        <v>5</v>
      </c>
      <c r="E209" s="191" t="inlineStr">
        <is>
          <t>MEDIUM</t>
        </is>
      </c>
      <c r="F209" s="191" t="n">
        <v>2</v>
      </c>
      <c r="G209" s="191" t="n">
        <v>2</v>
      </c>
      <c r="H209" s="191" t="inlineStr">
        <is>
          <t>MEDIUM</t>
        </is>
      </c>
      <c r="I209" s="191" t="n">
        <v>9</v>
      </c>
      <c r="J209" s="191" t="inlineStr">
        <is>
          <t>NO</t>
        </is>
      </c>
      <c r="K209" s="192" t="inlineStr">
        <is>
          <t>https://nvd.nist.gov/vuln/detail/CVE-2026-23213</t>
        </is>
      </c>
      <c r="L209" s="191" t="inlineStr">
        <is>
          <t>2026-02-23 23:48</t>
        </is>
      </c>
      <c r="M209" s="191" t="inlineStr">
        <is>
          <t>CHECK_VENDOR</t>
        </is>
      </c>
      <c r="N209" s="191" t="inlineStr">
        <is>
          <t>See NVD references</t>
        </is>
      </c>
      <c r="O209" s="191" t="inlineStr">
        <is>
          <t>Apply vendor patches</t>
        </is>
      </c>
      <c r="P209" s="191" t="inlineStr">
        <is>
          <t>See CVE details</t>
        </is>
      </c>
      <c r="Q209" s="191" t="inlineStr">
        <is>
          <t>P4</t>
        </is>
      </c>
      <c r="R209" s="191" t="inlineStr">
        <is>
          <t>📅 Schedule patch deployment within 30 days | 🔍 Monitor for exploitation attempts</t>
        </is>
      </c>
      <c r="S209" s="191" t="inlineStr">
        <is>
          <t>CVE - IP enrichment n/a</t>
        </is>
      </c>
      <c r="T209" s="191" t="n">
        <v>0</v>
      </c>
      <c r="U209" s="191" t="n">
        <v>0</v>
      </c>
      <c r="V209" s="191" t="inlineStr">
        <is>
          <t>T1190:Exploit Public-Facing Application</t>
        </is>
      </c>
      <c r="W209" s="191" t="n">
        <v>1</v>
      </c>
      <c r="X209" s="191" t="inlineStr">
        <is>
          <t>LOW (40%)</t>
        </is>
      </c>
      <c r="Y209" s="191" t="inlineStr">
        <is>
          <t>UNLIKELY</t>
        </is>
      </c>
      <c r="Z209" s="191" t="inlineStr">
        <is>
          <t>CHECK_VENDOR</t>
        </is>
      </c>
      <c r="AA209" s="192" t="inlineStr">
        <is>
          <t>https://nvd.nist.gov/vuln/detail/CVE-2026-23213</t>
        </is>
      </c>
      <c r="AB209" s="191" t="inlineStr">
        <is>
          <t>NONE</t>
        </is>
      </c>
      <c r="AC209" s="191" t="n">
        <v>0</v>
      </c>
      <c r="AD209" s="191" t="n"/>
    </row>
    <row r="210">
      <c r="A210" s="189" t="inlineStr">
        <is>
          <t>CVE</t>
        </is>
      </c>
      <c r="B210" s="189" t="inlineStr">
        <is>
          <t>CVE-2026-23214</t>
        </is>
      </c>
      <c r="C210" s="189" t="inlineStr">
        <is>
          <t>In the Linux kernel, the following vulnerability has been resolved: btrfs: reject new transactions if the fs is fully read-only [BUG] There is a bug report where a heavily fuzzed fs is mounted with all rescue mount options, which leads to the following warnings during unmount: BTRFS: Transaction aborted (error -22) Modules linked in: CPU: 0 UID: 0 PID: 9758 Comm: repro.out Not tainted 6.19.0-rc5-00002-gb71e635feefc #7 PREEMPT(full) Hardware name: QEMU Standard PC (i440FX + PIIX, 1996), BIOS 1.15</t>
        </is>
      </c>
      <c r="D210" s="189" t="n">
        <v>8.5</v>
      </c>
      <c r="E210" s="189" t="inlineStr">
        <is>
          <t>HIGH</t>
        </is>
      </c>
      <c r="F210" s="189" t="n">
        <v>2</v>
      </c>
      <c r="G210" s="189" t="n">
        <v>3</v>
      </c>
      <c r="H210" s="189" t="inlineStr">
        <is>
          <t>HIGH</t>
        </is>
      </c>
      <c r="I210" s="189" t="n">
        <v>14.5</v>
      </c>
      <c r="J210" s="189" t="inlineStr">
        <is>
          <t>NO</t>
        </is>
      </c>
      <c r="K210" s="190" t="inlineStr">
        <is>
          <t>https://nvd.nist.gov/vuln/detail/CVE-2026-23214</t>
        </is>
      </c>
      <c r="L210" s="189" t="inlineStr">
        <is>
          <t>2026-02-23 23:48</t>
        </is>
      </c>
      <c r="M210" s="189" t="inlineStr">
        <is>
          <t>CHECK_VENDOR</t>
        </is>
      </c>
      <c r="N210" s="189" t="inlineStr">
        <is>
          <t>See NVD references</t>
        </is>
      </c>
      <c r="O210" s="189" t="inlineStr">
        <is>
          <t>Apply vendor patches</t>
        </is>
      </c>
      <c r="P210" s="189" t="inlineStr">
        <is>
          <t>See CVE details</t>
        </is>
      </c>
      <c r="Q210" s="189" t="inlineStr">
        <is>
          <t>P3</t>
        </is>
      </c>
      <c r="R210" s="189" t="inlineStr">
        <is>
          <t>🚨 URGENT: Apply vendor patches immediately | 🔒 Isolate affected systems if patch unavailable | 🛡️ Enable additional monitoring/IDS rules</t>
        </is>
      </c>
      <c r="S210" s="189" t="inlineStr">
        <is>
          <t>CVE - IP enrichment n/a</t>
        </is>
      </c>
      <c r="T210" s="189" t="n">
        <v>0.0002</v>
      </c>
      <c r="U210" s="189" t="n">
        <v>0.0367</v>
      </c>
      <c r="V210" s="189" t="inlineStr">
        <is>
          <t>T1190:Exploit Public-Facing Application</t>
        </is>
      </c>
      <c r="W210" s="189" t="n">
        <v>1</v>
      </c>
      <c r="X210" s="189" t="inlineStr">
        <is>
          <t>LOW (40%)</t>
        </is>
      </c>
      <c r="Y210" s="189" t="inlineStr">
        <is>
          <t>UNLIKELY</t>
        </is>
      </c>
      <c r="Z210" s="189" t="inlineStr">
        <is>
          <t>CHECK_VENDOR</t>
        </is>
      </c>
      <c r="AA210" s="190" t="inlineStr">
        <is>
          <t>https://nvd.nist.gov/vuln/detail/CVE-2026-23214</t>
        </is>
      </c>
      <c r="AB210" s="189" t="inlineStr">
        <is>
          <t>NONE</t>
        </is>
      </c>
      <c r="AC210" s="189" t="n">
        <v>0</v>
      </c>
      <c r="AD210" s="189" t="n"/>
    </row>
    <row r="211">
      <c r="A211" s="191" t="inlineStr">
        <is>
          <t>CVE</t>
        </is>
      </c>
      <c r="B211" s="191" t="inlineStr">
        <is>
          <t>CVE-2026-23215</t>
        </is>
      </c>
      <c r="C211" s="191" t="inlineStr">
        <is>
          <t>In the Linux kernel, the following vulnerability has been resolved:
x86/vmware: Fix hypercall clobbers
Fedora QA reported the following panic:
  BUG: unable to handle page fault for address: 0000000040003e54
  #PF: supervisor write access in kernel mode
  #PF: error_code(0x0002) - not-present page
  Hardware name: QEMU Standard PC (Q35 + ICH9, 2009), BIOS edk2-20251119-3.fc43 11/19/2025
  RIP: 0010:vmware_hypercall4.constprop.0+0x52/0x90
  ..
  Call Trace:
   vmmouse_report_events+0x13e/0x1b0</t>
        </is>
      </c>
      <c r="D211" s="191" t="n">
        <v>5</v>
      </c>
      <c r="E211" s="191" t="inlineStr">
        <is>
          <t>MEDIUM</t>
        </is>
      </c>
      <c r="F211" s="191" t="n">
        <v>2</v>
      </c>
      <c r="G211" s="191" t="n">
        <v>2</v>
      </c>
      <c r="H211" s="191" t="inlineStr">
        <is>
          <t>MEDIUM</t>
        </is>
      </c>
      <c r="I211" s="191" t="n">
        <v>9</v>
      </c>
      <c r="J211" s="191" t="inlineStr">
        <is>
          <t>NO</t>
        </is>
      </c>
      <c r="K211" s="192" t="inlineStr">
        <is>
          <t>https://nvd.nist.gov/vuln/detail/CVE-2026-23215</t>
        </is>
      </c>
      <c r="L211" s="191" t="inlineStr">
        <is>
          <t>2026-02-23 23:48</t>
        </is>
      </c>
      <c r="M211" s="191" t="inlineStr">
        <is>
          <t>CHECK_VENDOR</t>
        </is>
      </c>
      <c r="N211" s="191" t="inlineStr">
        <is>
          <t>See NVD references</t>
        </is>
      </c>
      <c r="O211" s="191" t="inlineStr">
        <is>
          <t>Apply vendor patches</t>
        </is>
      </c>
      <c r="P211" s="191" t="inlineStr">
        <is>
          <t>See CVE details</t>
        </is>
      </c>
      <c r="Q211" s="191" t="inlineStr">
        <is>
          <t>P1</t>
        </is>
      </c>
      <c r="R211" s="191" t="inlineStr">
        <is>
          <t>📅 Schedule patch deployment within 30 days | 🔍 Monitor for exploitation attempts</t>
        </is>
      </c>
      <c r="S211" s="191" t="inlineStr">
        <is>
          <t>CVE - IP enrichment n/a</t>
        </is>
      </c>
      <c r="T211" s="191" t="n">
        <v>0</v>
      </c>
      <c r="U211" s="191" t="n">
        <v>0</v>
      </c>
      <c r="V211" s="191" t="inlineStr">
        <is>
          <t>T1190:Exploit Public-Facing Application</t>
        </is>
      </c>
      <c r="W211" s="191" t="n">
        <v>2</v>
      </c>
      <c r="X211" s="191" t="inlineStr">
        <is>
          <t>HIGH (72%)</t>
        </is>
      </c>
      <c r="Y211" s="191" t="inlineStr">
        <is>
          <t>HIGH</t>
        </is>
      </c>
      <c r="Z211" s="191" t="inlineStr">
        <is>
          <t>CHECK_VENDOR</t>
        </is>
      </c>
      <c r="AA211" s="192" t="inlineStr">
        <is>
          <t>https://nvd.nist.gov/vuln/detail/CVE-2026-23215</t>
        </is>
      </c>
      <c r="AB211" s="192" t="inlineStr">
        <is>
          <t>http://www.zerodayinitiative.com/advisories/ZDI-26-123/</t>
        </is>
      </c>
      <c r="AC211" s="191" t="n">
        <v>0</v>
      </c>
      <c r="AD211" s="191" t="n"/>
    </row>
    <row r="212">
      <c r="A212" s="191" t="inlineStr">
        <is>
          <t>CVE</t>
        </is>
      </c>
      <c r="B212" s="191" t="inlineStr">
        <is>
          <t>CVE-2026-23216</t>
        </is>
      </c>
      <c r="C212" s="191" t="inlineStr">
        <is>
          <t>In the Linux kernel, the following vulnerability has been resolved:
scsi: target: iscsi: Fix use-after-free in iscsit_dec_conn_usage_count()
In iscsit_dec_conn_usage_count(), the function calls complete() while
holding the conn-&gt;conn_usage_lock. As soon as complete() is invoked, the
waiter (such as iscsit_close_connection()) may wake up and proceed to free
the iscsit_conn structure.
If the waiter frees the memory before the current thread reaches
spin_unlock_bh(), it results in a KASAN slab-u</t>
        </is>
      </c>
      <c r="D212" s="191" t="n">
        <v>5</v>
      </c>
      <c r="E212" s="191" t="inlineStr">
        <is>
          <t>MEDIUM</t>
        </is>
      </c>
      <c r="F212" s="191" t="n">
        <v>2</v>
      </c>
      <c r="G212" s="191" t="n">
        <v>2</v>
      </c>
      <c r="H212" s="191" t="inlineStr">
        <is>
          <t>MEDIUM</t>
        </is>
      </c>
      <c r="I212" s="191" t="n">
        <v>9</v>
      </c>
      <c r="J212" s="191" t="inlineStr">
        <is>
          <t>NO</t>
        </is>
      </c>
      <c r="K212" s="192" t="inlineStr">
        <is>
          <t>https://nvd.nist.gov/vuln/detail/CVE-2026-23216</t>
        </is>
      </c>
      <c r="L212" s="191" t="inlineStr">
        <is>
          <t>2026-02-23 23:48</t>
        </is>
      </c>
      <c r="M212" s="191" t="inlineStr">
        <is>
          <t>CHECK_VENDOR</t>
        </is>
      </c>
      <c r="N212" s="191" t="inlineStr">
        <is>
          <t>See NVD references</t>
        </is>
      </c>
      <c r="O212" s="191" t="inlineStr">
        <is>
          <t>Apply vendor patches</t>
        </is>
      </c>
      <c r="P212" s="191" t="inlineStr">
        <is>
          <t>See CVE details</t>
        </is>
      </c>
      <c r="Q212" s="191" t="inlineStr">
        <is>
          <t>P4</t>
        </is>
      </c>
      <c r="R212" s="191" t="inlineStr">
        <is>
          <t>📅 Schedule patch deployment within 30 days | 🔍 Monitor for exploitation attempts</t>
        </is>
      </c>
      <c r="S212" s="191" t="inlineStr">
        <is>
          <t>CVE - IP enrichment n/a</t>
        </is>
      </c>
      <c r="T212" s="191" t="n">
        <v>0</v>
      </c>
      <c r="U212" s="191" t="n">
        <v>0</v>
      </c>
      <c r="V212" s="191" t="inlineStr">
        <is>
          <t>T1190:Exploit Public-Facing Application</t>
        </is>
      </c>
      <c r="W212" s="191" t="n">
        <v>1</v>
      </c>
      <c r="X212" s="191" t="inlineStr">
        <is>
          <t>LOW (40%)</t>
        </is>
      </c>
      <c r="Y212" s="191" t="inlineStr">
        <is>
          <t>UNLIKELY</t>
        </is>
      </c>
      <c r="Z212" s="191" t="inlineStr">
        <is>
          <t>CHECK_VENDOR</t>
        </is>
      </c>
      <c r="AA212" s="192" t="inlineStr">
        <is>
          <t>https://nvd.nist.gov/vuln/detail/CVE-2026-23216</t>
        </is>
      </c>
      <c r="AB212" s="191" t="inlineStr">
        <is>
          <t>NONE</t>
        </is>
      </c>
      <c r="AC212" s="191" t="n">
        <v>0</v>
      </c>
      <c r="AD212" s="191" t="n"/>
    </row>
    <row r="213">
      <c r="A213" s="191" t="inlineStr">
        <is>
          <t>CVE</t>
        </is>
      </c>
      <c r="B213" s="191" t="inlineStr">
        <is>
          <t>CVE-2026-23217</t>
        </is>
      </c>
      <c r="C213" s="191" t="inlineStr">
        <is>
          <t>In the Linux kernel, the following vulnerability has been resolved:
riscv: trace: fix snapshot deadlock with sbi ecall
If sbi_ecall.c's functions are traceable,
echo "__sbi_ecall:snapshot" &gt; /sys/kernel/tracing/set_ftrace_filter
may get the kernel into a deadlock.
(Functions in sbi_ecall.c are excluded from tracing if
CONFIG_RISCV_ALTERNATIVE_EARLY is set.)
__sbi_ecall triggers a snapshot of the ringbuffer. The snapshot code
raises an IPI interrupt, which results in another call to __sbi_e</t>
        </is>
      </c>
      <c r="D213" s="191" t="n">
        <v>5</v>
      </c>
      <c r="E213" s="191" t="inlineStr">
        <is>
          <t>MEDIUM</t>
        </is>
      </c>
      <c r="F213" s="191" t="n">
        <v>2</v>
      </c>
      <c r="G213" s="191" t="n">
        <v>2</v>
      </c>
      <c r="H213" s="191" t="inlineStr">
        <is>
          <t>MEDIUM</t>
        </is>
      </c>
      <c r="I213" s="191" t="n">
        <v>9</v>
      </c>
      <c r="J213" s="191" t="inlineStr">
        <is>
          <t>NO</t>
        </is>
      </c>
      <c r="K213" s="192" t="inlineStr">
        <is>
          <t>https://nvd.nist.gov/vuln/detail/CVE-2026-23217</t>
        </is>
      </c>
      <c r="L213" s="191" t="inlineStr">
        <is>
          <t>2026-02-23 23:48</t>
        </is>
      </c>
      <c r="M213" s="191" t="inlineStr">
        <is>
          <t>CHECK_VENDOR</t>
        </is>
      </c>
      <c r="N213" s="191" t="inlineStr">
        <is>
          <t>See NVD references</t>
        </is>
      </c>
      <c r="O213" s="191" t="inlineStr">
        <is>
          <t>Apply vendor patches</t>
        </is>
      </c>
      <c r="P213" s="191" t="inlineStr">
        <is>
          <t>See CVE details</t>
        </is>
      </c>
      <c r="Q213" s="191" t="inlineStr">
        <is>
          <t>P4</t>
        </is>
      </c>
      <c r="R213" s="191" t="inlineStr">
        <is>
          <t>📅 Schedule patch deployment within 30 days | 🔍 Monitor for exploitation attempts</t>
        </is>
      </c>
      <c r="S213" s="191" t="inlineStr">
        <is>
          <t>CVE - IP enrichment n/a</t>
        </is>
      </c>
      <c r="T213" s="191" t="n">
        <v>0</v>
      </c>
      <c r="U213" s="191" t="n">
        <v>0</v>
      </c>
      <c r="V213" s="191" t="inlineStr">
        <is>
          <t>T1190:Exploit Public-Facing Application</t>
        </is>
      </c>
      <c r="W213" s="191" t="n">
        <v>1</v>
      </c>
      <c r="X213" s="191" t="inlineStr">
        <is>
          <t>LOW (40%)</t>
        </is>
      </c>
      <c r="Y213" s="191" t="inlineStr">
        <is>
          <t>UNLIKELY</t>
        </is>
      </c>
      <c r="Z213" s="191" t="inlineStr">
        <is>
          <t>CHECK_VENDOR</t>
        </is>
      </c>
      <c r="AA213" s="192" t="inlineStr">
        <is>
          <t>https://nvd.nist.gov/vuln/detail/CVE-2026-23217</t>
        </is>
      </c>
      <c r="AB213" s="191" t="inlineStr">
        <is>
          <t>NONE</t>
        </is>
      </c>
      <c r="AC213" s="191" t="n">
        <v>0</v>
      </c>
      <c r="AD213" s="191" t="n"/>
    </row>
    <row r="214">
      <c r="A214" s="191" t="inlineStr">
        <is>
          <t>CVE</t>
        </is>
      </c>
      <c r="B214" s="191" t="inlineStr">
        <is>
          <t>CVE-2026-23218</t>
        </is>
      </c>
      <c r="C214" s="191" t="inlineStr">
        <is>
          <t>In the Linux kernel, the following vulnerability has been resolved:
gpio: loongson-64bit: Fix incorrect NULL check after devm_kcalloc()
Fix incorrect NULL check in loongson_gpio_init_irqchip().
The function checks chip-&gt;parent instead of chip-&gt;irq.parents.</t>
        </is>
      </c>
      <c r="D214" s="191" t="n">
        <v>5</v>
      </c>
      <c r="E214" s="191" t="inlineStr">
        <is>
          <t>MEDIUM</t>
        </is>
      </c>
      <c r="F214" s="191" t="n">
        <v>2</v>
      </c>
      <c r="G214" s="191" t="n">
        <v>2</v>
      </c>
      <c r="H214" s="191" t="inlineStr">
        <is>
          <t>MEDIUM</t>
        </is>
      </c>
      <c r="I214" s="191" t="n">
        <v>9</v>
      </c>
      <c r="J214" s="191" t="inlineStr">
        <is>
          <t>NO</t>
        </is>
      </c>
      <c r="K214" s="192" t="inlineStr">
        <is>
          <t>https://nvd.nist.gov/vuln/detail/CVE-2026-23218</t>
        </is>
      </c>
      <c r="L214" s="191" t="inlineStr">
        <is>
          <t>2026-02-23 23:48</t>
        </is>
      </c>
      <c r="M214" s="191" t="inlineStr">
        <is>
          <t>CHECK_VENDOR</t>
        </is>
      </c>
      <c r="N214" s="191" t="inlineStr">
        <is>
          <t>See NVD references</t>
        </is>
      </c>
      <c r="O214" s="191" t="inlineStr">
        <is>
          <t>Apply vendor patches</t>
        </is>
      </c>
      <c r="P214" s="191" t="inlineStr">
        <is>
          <t>See CVE details</t>
        </is>
      </c>
      <c r="Q214" s="191" t="inlineStr">
        <is>
          <t>P4</t>
        </is>
      </c>
      <c r="R214" s="191" t="inlineStr">
        <is>
          <t>📅 Schedule patch deployment within 30 days | 🔍 Monitor for exploitation attempts</t>
        </is>
      </c>
      <c r="S214" s="191" t="inlineStr">
        <is>
          <t>CVE - IP enrichment n/a</t>
        </is>
      </c>
      <c r="T214" s="191" t="n">
        <v>0</v>
      </c>
      <c r="U214" s="191" t="n">
        <v>0</v>
      </c>
      <c r="V214" s="191" t="inlineStr">
        <is>
          <t>T1190:Exploit Public-Facing Application</t>
        </is>
      </c>
      <c r="W214" s="191" t="n">
        <v>1</v>
      </c>
      <c r="X214" s="191" t="inlineStr">
        <is>
          <t>LOW (40%)</t>
        </is>
      </c>
      <c r="Y214" s="191" t="inlineStr">
        <is>
          <t>UNLIKELY</t>
        </is>
      </c>
      <c r="Z214" s="191" t="inlineStr">
        <is>
          <t>CHECK_VENDOR</t>
        </is>
      </c>
      <c r="AA214" s="192" t="inlineStr">
        <is>
          <t>https://nvd.nist.gov/vuln/detail/CVE-2026-23218</t>
        </is>
      </c>
      <c r="AB214" s="191" t="inlineStr">
        <is>
          <t>NONE</t>
        </is>
      </c>
      <c r="AC214" s="191" t="n">
        <v>0</v>
      </c>
      <c r="AD214" s="191" t="n"/>
    </row>
    <row r="215">
      <c r="A215" s="191" t="inlineStr">
        <is>
          <t>CVE</t>
        </is>
      </c>
      <c r="B215" s="191" t="inlineStr">
        <is>
          <t>CVE-2026-23219</t>
        </is>
      </c>
      <c r="C215" s="191" t="inlineStr">
        <is>
          <t>In the Linux kernel, the following vulnerability has been resolved:
mm/slab: Add alloc_tagging_slab_free_hook for memcg_alloc_abort_single
When CONFIG_MEM_ALLOC_PROFILING_DEBUG is enabled, the following warning
may be noticed:
[ 3959.023862] ------------[ cut here ]------------
[ 3959.023891] alloc_tag was not cleared (got tag for lib/xarray.c:378)
[ 3959.023947] WARNING: ./include/linux/alloc_tag.h:155 at alloc_tag_add+0x128/0x178, CPU#6: mkfs.ntfs/113998
[ 3959.023978] Modules linked in: dn</t>
        </is>
      </c>
      <c r="D215" s="191" t="n">
        <v>5</v>
      </c>
      <c r="E215" s="191" t="inlineStr">
        <is>
          <t>MEDIUM</t>
        </is>
      </c>
      <c r="F215" s="191" t="n">
        <v>2</v>
      </c>
      <c r="G215" s="191" t="n">
        <v>2</v>
      </c>
      <c r="H215" s="191" t="inlineStr">
        <is>
          <t>MEDIUM</t>
        </is>
      </c>
      <c r="I215" s="191" t="n">
        <v>9</v>
      </c>
      <c r="J215" s="191" t="inlineStr">
        <is>
          <t>NO</t>
        </is>
      </c>
      <c r="K215" s="192" t="inlineStr">
        <is>
          <t>https://nvd.nist.gov/vuln/detail/CVE-2026-23219</t>
        </is>
      </c>
      <c r="L215" s="191" t="inlineStr">
        <is>
          <t>2026-02-23 23:48</t>
        </is>
      </c>
      <c r="M215" s="191" t="inlineStr">
        <is>
          <t>CHECK_VENDOR</t>
        </is>
      </c>
      <c r="N215" s="191" t="inlineStr">
        <is>
          <t>See NVD references</t>
        </is>
      </c>
      <c r="O215" s="191" t="inlineStr">
        <is>
          <t>Apply vendor patches</t>
        </is>
      </c>
      <c r="P215" s="191" t="inlineStr">
        <is>
          <t>See CVE details</t>
        </is>
      </c>
      <c r="Q215" s="191" t="inlineStr">
        <is>
          <t>P4</t>
        </is>
      </c>
      <c r="R215" s="191" t="inlineStr">
        <is>
          <t>📅 Schedule patch deployment within 30 days | 🔍 Monitor for exploitation attempts</t>
        </is>
      </c>
      <c r="S215" s="191" t="inlineStr">
        <is>
          <t>CVE - IP enrichment n/a</t>
        </is>
      </c>
      <c r="T215" s="191" t="n">
        <v>0</v>
      </c>
      <c r="U215" s="191" t="n">
        <v>0</v>
      </c>
      <c r="V215" s="191" t="inlineStr">
        <is>
          <t>T1190:Exploit Public-Facing Application</t>
        </is>
      </c>
      <c r="W215" s="191" t="n">
        <v>1</v>
      </c>
      <c r="X215" s="191" t="inlineStr">
        <is>
          <t>LOW (40%)</t>
        </is>
      </c>
      <c r="Y215" s="191" t="inlineStr">
        <is>
          <t>UNLIKELY</t>
        </is>
      </c>
      <c r="Z215" s="191" t="inlineStr">
        <is>
          <t>CHECK_VENDOR</t>
        </is>
      </c>
      <c r="AA215" s="192" t="inlineStr">
        <is>
          <t>https://nvd.nist.gov/vuln/detail/CVE-2026-23219</t>
        </is>
      </c>
      <c r="AB215" s="191" t="inlineStr">
        <is>
          <t>NONE</t>
        </is>
      </c>
      <c r="AC215" s="191" t="n">
        <v>0</v>
      </c>
      <c r="AD215" s="191" t="n"/>
    </row>
    <row r="216">
      <c r="A216" s="189" t="inlineStr">
        <is>
          <t>CVE</t>
        </is>
      </c>
      <c r="B216" s="189" t="inlineStr">
        <is>
          <t>CVE-2026-27099</t>
        </is>
      </c>
      <c r="C216" s="189" t="inlineStr">
        <is>
          <t>Jenkins 2.483 through 2.550 (both inclusive), LTS 2.492.1 through 2.541.1 (both inclusive) does not escape the user-provided description of the "Mark temporarily offline" offline cause, resulting in a stored cross-site scripting (XSS) vulnerability exploitable by attackers with Agent/Configure or Agent/Disconnect permission.</t>
        </is>
      </c>
      <c r="D216" s="189" t="n">
        <v>8</v>
      </c>
      <c r="E216" s="189" t="inlineStr">
        <is>
          <t>HIGH</t>
        </is>
      </c>
      <c r="F216" s="189" t="n">
        <v>2</v>
      </c>
      <c r="G216" s="189" t="n">
        <v>3</v>
      </c>
      <c r="H216" s="189" t="inlineStr">
        <is>
          <t>HIGH</t>
        </is>
      </c>
      <c r="I216" s="189" t="n">
        <v>14</v>
      </c>
      <c r="J216" s="189" t="inlineStr">
        <is>
          <t>NO</t>
        </is>
      </c>
      <c r="K216" s="190" t="inlineStr">
        <is>
          <t>https://nvd.nist.gov/vuln/detail/CVE-2026-27099</t>
        </is>
      </c>
      <c r="L216" s="189" t="inlineStr">
        <is>
          <t>2026-02-23 23:48</t>
        </is>
      </c>
      <c r="M216" s="189" t="inlineStr">
        <is>
          <t>YES</t>
        </is>
      </c>
      <c r="N216" s="190" t="inlineStr">
        <is>
          <t>https://www.jenkins.io/security/advisory/2026-02-18/#SECURITY-3669</t>
        </is>
      </c>
      <c r="O216" s="189" t="inlineStr">
        <is>
          <t>Apply vendor patches</t>
        </is>
      </c>
      <c r="P216" s="189" t="inlineStr">
        <is>
          <t>jenkins jenkins *</t>
        </is>
      </c>
      <c r="Q216" s="189" t="inlineStr">
        <is>
          <t>P3</t>
        </is>
      </c>
      <c r="R216" s="189" t="inlineStr">
        <is>
          <t>🚨 URGENT: Apply vendor patches immediately | 🔒 Isolate affected systems if patch unavailable | 🛡️ Enable additional monitoring/IDS rules</t>
        </is>
      </c>
      <c r="S216" s="189" t="inlineStr">
        <is>
          <t>CVE - IP enrichment n/a</t>
        </is>
      </c>
      <c r="T216" s="189" t="n">
        <v>0</v>
      </c>
      <c r="U216" s="189" t="n">
        <v>0</v>
      </c>
      <c r="V216" s="189" t="inlineStr">
        <is>
          <t>T1189:Drive-by Compromise</t>
        </is>
      </c>
      <c r="W216" s="189" t="n">
        <v>1</v>
      </c>
      <c r="X216" s="189" t="inlineStr">
        <is>
          <t>LOW (40%)</t>
        </is>
      </c>
      <c r="Y216" s="189" t="inlineStr">
        <is>
          <t>UNLIKELY</t>
        </is>
      </c>
      <c r="Z216" s="189" t="inlineStr">
        <is>
          <t>PATCH_AVAILABLE</t>
        </is>
      </c>
      <c r="AA216" s="190" t="inlineStr">
        <is>
          <t>https://nvd.nist.gov/vuln/detail/CVE-2026-27099</t>
        </is>
      </c>
      <c r="AB216" s="189" t="inlineStr">
        <is>
          <t>NONE</t>
        </is>
      </c>
      <c r="AC216" s="189" t="n">
        <v>0</v>
      </c>
      <c r="AD216" s="189" t="n"/>
    </row>
    <row r="217">
      <c r="A217" s="191" t="inlineStr">
        <is>
          <t>CVE</t>
        </is>
      </c>
      <c r="B217" s="191" t="inlineStr">
        <is>
          <t>CVE-2026-27100</t>
        </is>
      </c>
      <c r="C217" s="191" t="inlineStr">
        <is>
          <t>Jenkins 2.550 and earlier, LTS 2.541.1 and earlier accepts Run Parameter values that refer to builds the user submitting the build does not have access to, allowing attackers with Item/Build and Item/Configure permission to obtain information about the existence of jobs, the existence of builds, and if a specified build exists, its display name.</t>
        </is>
      </c>
      <c r="D217" s="191" t="n">
        <v>4.3</v>
      </c>
      <c r="E217" s="191" t="inlineStr">
        <is>
          <t>MEDIUM</t>
        </is>
      </c>
      <c r="F217" s="191" t="n">
        <v>2</v>
      </c>
      <c r="G217" s="191" t="n">
        <v>2</v>
      </c>
      <c r="H217" s="191" t="inlineStr">
        <is>
          <t>MEDIUM</t>
        </is>
      </c>
      <c r="I217" s="191" t="n">
        <v>8.300000000000001</v>
      </c>
      <c r="J217" s="191" t="inlineStr">
        <is>
          <t>NO</t>
        </is>
      </c>
      <c r="K217" s="192" t="inlineStr">
        <is>
          <t>https://nvd.nist.gov/vuln/detail/CVE-2026-27100</t>
        </is>
      </c>
      <c r="L217" s="191" t="inlineStr">
        <is>
          <t>2026-02-23 23:48</t>
        </is>
      </c>
      <c r="M217" s="191" t="inlineStr">
        <is>
          <t>YES</t>
        </is>
      </c>
      <c r="N217" s="192" t="inlineStr">
        <is>
          <t>https://www.jenkins.io/security/advisory/2026-02-18/#SECURITY-3658</t>
        </is>
      </c>
      <c r="O217" s="191" t="inlineStr">
        <is>
          <t>Apply vendor patches</t>
        </is>
      </c>
      <c r="P217" s="191" t="inlineStr">
        <is>
          <t>jenkins jenkins *</t>
        </is>
      </c>
      <c r="Q217" s="191" t="inlineStr">
        <is>
          <t>P4</t>
        </is>
      </c>
      <c r="R217" s="191" t="inlineStr">
        <is>
          <t>📅 Schedule patch deployment within 30 days | 🔍 Monitor for exploitation attempts</t>
        </is>
      </c>
      <c r="S217" s="191" t="inlineStr">
        <is>
          <t>CVE - IP enrichment n/a</t>
        </is>
      </c>
      <c r="T217" s="191" t="n">
        <v>0.0011</v>
      </c>
      <c r="U217" s="191" t="n">
        <v>0.2891</v>
      </c>
      <c r="V217" s="191" t="inlineStr">
        <is>
          <t>T1213:Data from Information Repositories</t>
        </is>
      </c>
      <c r="W217" s="191" t="n">
        <v>1</v>
      </c>
      <c r="X217" s="191" t="inlineStr">
        <is>
          <t>LOW (40%)</t>
        </is>
      </c>
      <c r="Y217" s="191" t="inlineStr">
        <is>
          <t>UNLIKELY</t>
        </is>
      </c>
      <c r="Z217" s="191" t="inlineStr">
        <is>
          <t>PATCH_AVAILABLE</t>
        </is>
      </c>
      <c r="AA217" s="192" t="inlineStr">
        <is>
          <t>https://nvd.nist.gov/vuln/detail/CVE-2026-27100</t>
        </is>
      </c>
      <c r="AB217" s="191" t="inlineStr">
        <is>
          <t>NONE</t>
        </is>
      </c>
      <c r="AC217" s="191" t="n">
        <v>0</v>
      </c>
      <c r="AD217" s="191" t="n"/>
    </row>
    <row r="218">
      <c r="A218" s="193" t="inlineStr">
        <is>
          <t>CVE</t>
        </is>
      </c>
      <c r="B218" s="193" t="inlineStr">
        <is>
          <t>CVE-2026-2329</t>
        </is>
      </c>
      <c r="C218" s="193" t="inlineStr">
        <is>
          <t>An unauthenticated stack-based buffer overflow vulnerability exists in the HTTP API endpoint /cgi-bin/api.values.get. A remote attacker can leverage this vulnerability to achieve unauthenticated remote code execution (RCE) with root privileges on a target device. The vulnerability affects all six device models in the series: GXP1610, GXP1615, GXP1620, GXP1625, GXP1628, and GXP1630.</t>
        </is>
      </c>
      <c r="D218" s="193" t="n">
        <v>9.800000000000001</v>
      </c>
      <c r="E218" s="193" t="inlineStr">
        <is>
          <t>CRITICAL</t>
        </is>
      </c>
      <c r="F218" s="193" t="n">
        <v>2</v>
      </c>
      <c r="G218" s="193" t="n">
        <v>3</v>
      </c>
      <c r="H218" s="193" t="inlineStr">
        <is>
          <t>HIGH</t>
        </is>
      </c>
      <c r="I218" s="193" t="n">
        <v>15.8</v>
      </c>
      <c r="J218" s="193" t="inlineStr">
        <is>
          <t>NO</t>
        </is>
      </c>
      <c r="K218" s="194" t="inlineStr">
        <is>
          <t>https://nvd.nist.gov/vuln/detail/CVE-2026-2329</t>
        </is>
      </c>
      <c r="L218" s="193" t="inlineStr">
        <is>
          <t>2026-02-23 23:48</t>
        </is>
      </c>
      <c r="M218" s="193" t="inlineStr">
        <is>
          <t>YES</t>
        </is>
      </c>
      <c r="N218" s="194" t="inlineStr">
        <is>
          <t>https://github.com/rapid7/metasploit-framework/pull/20983 | https://psirt.grandstream.com/</t>
        </is>
      </c>
      <c r="O218" s="193" t="inlineStr">
        <is>
          <t>Apply vendor patches</t>
        </is>
      </c>
      <c r="P218" s="193" t="inlineStr">
        <is>
          <t>grandstream gxp1625_firmware * | grandstream gxp1625 - | grandstream gxp1610_firmware *</t>
        </is>
      </c>
      <c r="Q218" s="193" t="inlineStr">
        <is>
          <t>P3</t>
        </is>
      </c>
      <c r="R218" s="193" t="inlineStr">
        <is>
          <t>🚨 URGENT: Apply vendor patches immediately | 🔒 Isolate affected systems if patch unavailable | 🛡️ Enable additional monitoring/IDS rules</t>
        </is>
      </c>
      <c r="S218" s="193" t="inlineStr">
        <is>
          <t>CVE - IP enrichment n/a</t>
        </is>
      </c>
      <c r="T218" s="193" t="n">
        <v>0</v>
      </c>
      <c r="U218" s="193" t="n">
        <v>0</v>
      </c>
      <c r="V218" s="193" t="inlineStr">
        <is>
          <t>T1190:Exploit Public-Facing Application | T1210:Exploitation of Remote Services | T1203:Exploitation for Client Execution</t>
        </is>
      </c>
      <c r="W218" s="193" t="n">
        <v>1</v>
      </c>
      <c r="X218" s="193" t="inlineStr">
        <is>
          <t>LOW (40%)</t>
        </is>
      </c>
      <c r="Y218" s="193" t="inlineStr">
        <is>
          <t>UNLIKELY</t>
        </is>
      </c>
      <c r="Z218" s="193" t="inlineStr">
        <is>
          <t>PATCH_AVAILABLE</t>
        </is>
      </c>
      <c r="AA218" s="194" t="inlineStr">
        <is>
          <t>https://nvd.nist.gov/vuln/detail/CVE-2026-2329</t>
        </is>
      </c>
      <c r="AB218" s="193" t="inlineStr">
        <is>
          <t>NONE</t>
        </is>
      </c>
      <c r="AC218" s="193" t="n">
        <v>0</v>
      </c>
      <c r="AD218" s="193" t="inlineStr">
        <is>
          <t>[SecurityWeek] Critical Grandstream Phone Vulnerability Exposes Calls to Interception</t>
        </is>
      </c>
    </row>
    <row r="219">
      <c r="A219" s="195" t="inlineStr">
        <is>
          <t>CVE</t>
        </is>
      </c>
      <c r="B219" s="195" t="inlineStr">
        <is>
          <t>CVE-2026-2656</t>
        </is>
      </c>
      <c r="C219" s="195" t="inlineStr">
        <is>
          <t>A flaw has been found in ChaiScript up to 6.1.0. This affects the function chaiscript::Type_Info::bare_equal of the file include/chaiscript/dispatchkit/type_info.hpp. This manipulation causes use after free. The attack requires local access. The attack's complexity is rated as high. The exploitability is reported as difficult. The exploit has been published and may be used. The project was informed of the problem early through an issue report but has not responded yet.</t>
        </is>
      </c>
      <c r="D219" s="195" t="n">
        <v>2.5</v>
      </c>
      <c r="E219" s="195" t="inlineStr">
        <is>
          <t>LOW</t>
        </is>
      </c>
      <c r="F219" s="195" t="n">
        <v>2</v>
      </c>
      <c r="G219" s="195" t="n">
        <v>1</v>
      </c>
      <c r="H219" s="195" t="inlineStr">
        <is>
          <t>LOW</t>
        </is>
      </c>
      <c r="I219" s="195" t="n">
        <v>4.5</v>
      </c>
      <c r="J219" s="195" t="inlineStr">
        <is>
          <t>NO</t>
        </is>
      </c>
      <c r="K219" s="196" t="inlineStr">
        <is>
          <t>https://nvd.nist.gov/vuln/detail/CVE-2026-2656</t>
        </is>
      </c>
      <c r="L219" s="195" t="inlineStr">
        <is>
          <t>2026-02-23 23:48</t>
        </is>
      </c>
      <c r="M219" s="195" t="inlineStr">
        <is>
          <t>YES</t>
        </is>
      </c>
      <c r="N219" s="196" t="inlineStr">
        <is>
          <t>https://github.com/ChaiScript/ChaiScript/issues/636 | https://github.com/ChaiScript/ChaiScript/issues/636#issue-3828333582</t>
        </is>
      </c>
      <c r="O219" s="195" t="inlineStr">
        <is>
          <t>Apply vendor patches</t>
        </is>
      </c>
      <c r="P219" s="195" t="inlineStr">
        <is>
          <t>chaiscript chaiscript *</t>
        </is>
      </c>
      <c r="Q219" s="195" t="inlineStr">
        <is>
          <t>P4</t>
        </is>
      </c>
      <c r="R219" s="195" t="inlineStr">
        <is>
          <t>📅 Schedule patch deployment within 30 days | 🔍 Monitor for exploitation attempts</t>
        </is>
      </c>
      <c r="S219" s="195" t="inlineStr">
        <is>
          <t>CVE - IP enrichment n/a</t>
        </is>
      </c>
      <c r="T219" s="195" t="n">
        <v>0.0002</v>
      </c>
      <c r="U219" s="195" t="n">
        <v>0.06519999999999999</v>
      </c>
      <c r="V219" s="195" t="inlineStr">
        <is>
          <t>T1203:Exploitation for Client Execution</t>
        </is>
      </c>
      <c r="W219" s="195" t="n">
        <v>1</v>
      </c>
      <c r="X219" s="195" t="inlineStr">
        <is>
          <t>LOW (40%)</t>
        </is>
      </c>
      <c r="Y219" s="195" t="inlineStr">
        <is>
          <t>UNLIKELY</t>
        </is>
      </c>
      <c r="Z219" s="195" t="inlineStr">
        <is>
          <t>PATCH_AVAILABLE</t>
        </is>
      </c>
      <c r="AA219" s="196" t="inlineStr">
        <is>
          <t>https://nvd.nist.gov/vuln/detail/CVE-2026-2656</t>
        </is>
      </c>
      <c r="AB219" s="195" t="inlineStr">
        <is>
          <t>NONE</t>
        </is>
      </c>
      <c r="AC219" s="195" t="n">
        <v>0</v>
      </c>
      <c r="AD219" s="195" t="n"/>
    </row>
    <row r="220">
      <c r="A220" s="189" t="inlineStr">
        <is>
          <t>CVE</t>
        </is>
      </c>
      <c r="B220" s="189" t="inlineStr">
        <is>
          <t>CVE-2025-15579</t>
        </is>
      </c>
      <c r="C220" s="189" t="inlineStr">
        <is>
          <t>Deserialization of Untrusted Data vulnerability in OpenText™ Directory Services allows Object Injection. The vulnerability could lead to remote code execution, denial of service, or
privilege escalation.
This issue affects Directory Services: from 10.5 through 26.1.</t>
        </is>
      </c>
      <c r="D220" s="189" t="n">
        <v>8.5</v>
      </c>
      <c r="E220" s="189" t="inlineStr">
        <is>
          <t>HIGH</t>
        </is>
      </c>
      <c r="F220" s="189" t="n">
        <v>2</v>
      </c>
      <c r="G220" s="189" t="n">
        <v>3</v>
      </c>
      <c r="H220" s="189" t="inlineStr">
        <is>
          <t>HIGH</t>
        </is>
      </c>
      <c r="I220" s="189" t="n">
        <v>14.5</v>
      </c>
      <c r="J220" s="189" t="inlineStr">
        <is>
          <t>NO</t>
        </is>
      </c>
      <c r="K220" s="190" t="inlineStr">
        <is>
          <t>https://nvd.nist.gov/vuln/detail/CVE-2025-15579</t>
        </is>
      </c>
      <c r="L220" s="189" t="inlineStr">
        <is>
          <t>2026-02-23 23:48</t>
        </is>
      </c>
      <c r="M220" s="189" t="inlineStr">
        <is>
          <t>CHECK_VENDOR</t>
        </is>
      </c>
      <c r="N220" s="189" t="inlineStr">
        <is>
          <t>See NVD references</t>
        </is>
      </c>
      <c r="O220" s="189" t="inlineStr">
        <is>
          <t>Apply vendor patches</t>
        </is>
      </c>
      <c r="P220" s="189" t="inlineStr">
        <is>
          <t>See CVE details</t>
        </is>
      </c>
      <c r="Q220" s="189" t="inlineStr">
        <is>
          <t>P3</t>
        </is>
      </c>
      <c r="R220" s="189" t="inlineStr">
        <is>
          <t>🚨 URGENT: Apply vendor patches immediately | 🔒 Isolate affected systems if patch unavailable | 🛡️ Enable additional monitoring/IDS rules</t>
        </is>
      </c>
      <c r="S220" s="189" t="inlineStr">
        <is>
          <t>CVE - IP enrichment n/a</t>
        </is>
      </c>
      <c r="T220" s="189" t="n">
        <v>0</v>
      </c>
      <c r="U220" s="189" t="n">
        <v>0</v>
      </c>
      <c r="V220" s="189" t="inlineStr">
        <is>
          <t>T1059:Command and Scripting Interpreter | T1190:Exploit Public-Facing Application | T1210:Exploitation of Remote Services</t>
        </is>
      </c>
      <c r="W220" s="189" t="n">
        <v>1</v>
      </c>
      <c r="X220" s="189" t="inlineStr">
        <is>
          <t>LOW (40%)</t>
        </is>
      </c>
      <c r="Y220" s="189" t="inlineStr">
        <is>
          <t>UNLIKELY</t>
        </is>
      </c>
      <c r="Z220" s="189" t="inlineStr">
        <is>
          <t>CHECK_VENDOR</t>
        </is>
      </c>
      <c r="AA220" s="190" t="inlineStr">
        <is>
          <t>https://nvd.nist.gov/vuln/detail/CVE-2025-15579</t>
        </is>
      </c>
      <c r="AB220" s="189" t="inlineStr">
        <is>
          <t>NONE</t>
        </is>
      </c>
      <c r="AC220" s="189" t="n">
        <v>0</v>
      </c>
      <c r="AD220" s="189" t="n"/>
    </row>
    <row r="221">
      <c r="A221" s="191" t="inlineStr">
        <is>
          <t>CVE</t>
        </is>
      </c>
      <c r="B221" s="191" t="inlineStr">
        <is>
          <t>CVE-2025-65519</t>
        </is>
      </c>
      <c r="C221" s="191" t="inlineStr">
        <is>
          <t>mayswind ezbookkeeping versions 1.2.0 and earlier contain a critical vulnerability in JSON and XML file import processing. The application fails to validate nesting depth during parsing operations, allowing authenticated attackers to trigger denial of service conditions by uploading deeply nested malicious files. This results in CPU exhaustion, service degradation, or complete service unavailability.</t>
        </is>
      </c>
      <c r="D221" s="191" t="n">
        <v>6.5</v>
      </c>
      <c r="E221" s="191" t="inlineStr">
        <is>
          <t>MEDIUM</t>
        </is>
      </c>
      <c r="F221" s="191" t="n">
        <v>2</v>
      </c>
      <c r="G221" s="191" t="n">
        <v>2</v>
      </c>
      <c r="H221" s="191" t="inlineStr">
        <is>
          <t>MEDIUM</t>
        </is>
      </c>
      <c r="I221" s="191" t="n">
        <v>10.5</v>
      </c>
      <c r="J221" s="191" t="inlineStr">
        <is>
          <t>NO</t>
        </is>
      </c>
      <c r="K221" s="192" t="inlineStr">
        <is>
          <t>https://nvd.nist.gov/vuln/detail/CVE-2025-65519</t>
        </is>
      </c>
      <c r="L221" s="191" t="inlineStr">
        <is>
          <t>2026-02-23 23:48</t>
        </is>
      </c>
      <c r="M221" s="191" t="inlineStr">
        <is>
          <t>CHECK_VENDOR</t>
        </is>
      </c>
      <c r="N221" s="191" t="inlineStr">
        <is>
          <t>See NVD references</t>
        </is>
      </c>
      <c r="O221" s="191" t="inlineStr">
        <is>
          <t>Apply vendor patches</t>
        </is>
      </c>
      <c r="P221" s="191" t="inlineStr">
        <is>
          <t>mayswind ezbookkeeping *</t>
        </is>
      </c>
      <c r="Q221" s="191" t="inlineStr">
        <is>
          <t>P4</t>
        </is>
      </c>
      <c r="R221" s="191" t="inlineStr">
        <is>
          <t>📅 Schedule patch deployment within 30 days | 🔍 Monitor for exploitation attempts</t>
        </is>
      </c>
      <c r="S221" s="191" t="inlineStr">
        <is>
          <t>CVE - IP enrichment n/a</t>
        </is>
      </c>
      <c r="T221" s="191" t="n">
        <v>0</v>
      </c>
      <c r="U221" s="191" t="n">
        <v>0</v>
      </c>
      <c r="V221" s="191" t="inlineStr">
        <is>
          <t>T1499:Endpoint Denial of Service</t>
        </is>
      </c>
      <c r="W221" s="191" t="n">
        <v>1</v>
      </c>
      <c r="X221" s="191" t="inlineStr">
        <is>
          <t>LOW (40%)</t>
        </is>
      </c>
      <c r="Y221" s="191" t="inlineStr">
        <is>
          <t>UNLIKELY</t>
        </is>
      </c>
      <c r="Z221" s="191" t="inlineStr">
        <is>
          <t>CHECK_VENDOR</t>
        </is>
      </c>
      <c r="AA221" s="192" t="inlineStr">
        <is>
          <t>https://nvd.nist.gov/vuln/detail/CVE-2025-65519</t>
        </is>
      </c>
      <c r="AB221" s="191" t="inlineStr">
        <is>
          <t>NONE</t>
        </is>
      </c>
      <c r="AC221" s="191" t="n">
        <v>0</v>
      </c>
      <c r="AD221" s="191" t="n"/>
    </row>
    <row r="222">
      <c r="A222" s="193" t="inlineStr">
        <is>
          <t>CVE</t>
        </is>
      </c>
      <c r="B222" s="193" t="inlineStr">
        <is>
          <t>CVE-2025-65791</t>
        </is>
      </c>
      <c r="C222" s="193" t="inlineStr">
        <is>
          <t>ZoneMinder v1.36.34 is vulnerable to Command Injection in web/views/image.php. The application passes unsanitized user input directly to the exec() function.</t>
        </is>
      </c>
      <c r="D222" s="193" t="n">
        <v>9.800000000000001</v>
      </c>
      <c r="E222" s="193" t="inlineStr">
        <is>
          <t>CRITICAL</t>
        </is>
      </c>
      <c r="F222" s="193" t="n">
        <v>2</v>
      </c>
      <c r="G222" s="193" t="n">
        <v>3</v>
      </c>
      <c r="H222" s="193" t="inlineStr">
        <is>
          <t>HIGH</t>
        </is>
      </c>
      <c r="I222" s="193" t="n">
        <v>15.8</v>
      </c>
      <c r="J222" s="193" t="inlineStr">
        <is>
          <t>NO</t>
        </is>
      </c>
      <c r="K222" s="194" t="inlineStr">
        <is>
          <t>https://nvd.nist.gov/vuln/detail/CVE-2025-65791</t>
        </is>
      </c>
      <c r="L222" s="193" t="inlineStr">
        <is>
          <t>2026-02-23 23:48</t>
        </is>
      </c>
      <c r="M222" s="193" t="inlineStr">
        <is>
          <t>CHECK_VENDOR</t>
        </is>
      </c>
      <c r="N222" s="193" t="inlineStr">
        <is>
          <t>See NVD references</t>
        </is>
      </c>
      <c r="O222" s="193" t="inlineStr">
        <is>
          <t>Apply vendor patches</t>
        </is>
      </c>
      <c r="P222" s="193" t="inlineStr">
        <is>
          <t>zoneminder zoneminder 1.36.34</t>
        </is>
      </c>
      <c r="Q222" s="193" t="inlineStr">
        <is>
          <t>P3</t>
        </is>
      </c>
      <c r="R222" s="193" t="inlineStr">
        <is>
          <t>🚨 URGENT: Apply vendor patches immediately | 🔒 Isolate affected systems if patch unavailable | 🛡️ Enable additional monitoring/IDS rules</t>
        </is>
      </c>
      <c r="S222" s="193" t="inlineStr">
        <is>
          <t>CVE - IP enrichment n/a</t>
        </is>
      </c>
      <c r="T222" s="193" t="n">
        <v>0</v>
      </c>
      <c r="U222" s="193" t="n">
        <v>0</v>
      </c>
      <c r="V222" s="193" t="inlineStr">
        <is>
          <t>T1059:Command and Scripting Interpreter</t>
        </is>
      </c>
      <c r="W222" s="193" t="n">
        <v>1</v>
      </c>
      <c r="X222" s="193" t="inlineStr">
        <is>
          <t>LOW (40%)</t>
        </is>
      </c>
      <c r="Y222" s="193" t="inlineStr">
        <is>
          <t>UNLIKELY</t>
        </is>
      </c>
      <c r="Z222" s="193" t="inlineStr">
        <is>
          <t>CHECK_VENDOR</t>
        </is>
      </c>
      <c r="AA222" s="194" t="inlineStr">
        <is>
          <t>https://nvd.nist.gov/vuln/detail/CVE-2025-65791</t>
        </is>
      </c>
      <c r="AB222" s="193" t="inlineStr">
        <is>
          <t>NONE</t>
        </is>
      </c>
      <c r="AC222" s="193" t="n">
        <v>0</v>
      </c>
      <c r="AD222" s="193" t="n"/>
    </row>
    <row r="223">
      <c r="A223" s="193" t="inlineStr">
        <is>
          <t>CVE</t>
        </is>
      </c>
      <c r="B223" s="193" t="inlineStr">
        <is>
          <t>CVE-2025-70998</t>
        </is>
      </c>
      <c r="C223" s="193" t="inlineStr">
        <is>
          <t>UTT HiPER 810 / nv810v4 router firmware v1.5.0-140603 was discovered to contain insecure default credentials for the telnet service, possibly allowing a remote attacker to gain root access via a crafted script.</t>
        </is>
      </c>
      <c r="D223" s="193" t="n">
        <v>9.800000000000001</v>
      </c>
      <c r="E223" s="193" t="inlineStr">
        <is>
          <t>CRITICAL</t>
        </is>
      </c>
      <c r="F223" s="193" t="n">
        <v>2</v>
      </c>
      <c r="G223" s="193" t="n">
        <v>3</v>
      </c>
      <c r="H223" s="193" t="inlineStr">
        <is>
          <t>HIGH</t>
        </is>
      </c>
      <c r="I223" s="193" t="n">
        <v>15.8</v>
      </c>
      <c r="J223" s="193" t="inlineStr">
        <is>
          <t>NO</t>
        </is>
      </c>
      <c r="K223" s="194" t="inlineStr">
        <is>
          <t>https://nvd.nist.gov/vuln/detail/CVE-2025-70998</t>
        </is>
      </c>
      <c r="L223" s="193" t="inlineStr">
        <is>
          <t>2026-02-23 23:48</t>
        </is>
      </c>
      <c r="M223" s="193" t="inlineStr">
        <is>
          <t>CHECK_VENDOR</t>
        </is>
      </c>
      <c r="N223" s="193" t="inlineStr">
        <is>
          <t>See NVD references</t>
        </is>
      </c>
      <c r="O223" s="193" t="inlineStr">
        <is>
          <t>Apply vendor patches</t>
        </is>
      </c>
      <c r="P223" s="193" t="inlineStr">
        <is>
          <t>utt 810_firmware 1.5.0-140603 | utt 810 4.0</t>
        </is>
      </c>
      <c r="Q223" s="193" t="inlineStr">
        <is>
          <t>P3</t>
        </is>
      </c>
      <c r="R223" s="193" t="inlineStr">
        <is>
          <t>🚨 URGENT: Apply vendor patches immediately | 🔒 Isolate affected systems if patch unavailable | 🛡️ Enable additional monitoring/IDS rules</t>
        </is>
      </c>
      <c r="S223" s="193" t="inlineStr">
        <is>
          <t>CVE - IP enrichment n/a</t>
        </is>
      </c>
      <c r="T223" s="193" t="n">
        <v>0.0013</v>
      </c>
      <c r="U223" s="193" t="n">
        <v>0.319</v>
      </c>
      <c r="V223" s="193" t="inlineStr">
        <is>
          <t>T1552:Unsecured Credentials</t>
        </is>
      </c>
      <c r="W223" s="193" t="n">
        <v>1</v>
      </c>
      <c r="X223" s="193" t="inlineStr">
        <is>
          <t>LOW (40%)</t>
        </is>
      </c>
      <c r="Y223" s="193" t="inlineStr">
        <is>
          <t>UNLIKELY</t>
        </is>
      </c>
      <c r="Z223" s="193" t="inlineStr">
        <is>
          <t>CHECK_VENDOR</t>
        </is>
      </c>
      <c r="AA223" s="194" t="inlineStr">
        <is>
          <t>https://nvd.nist.gov/vuln/detail/CVE-2025-70998</t>
        </is>
      </c>
      <c r="AB223" s="193" t="inlineStr">
        <is>
          <t>NONE</t>
        </is>
      </c>
      <c r="AC223" s="193" t="n">
        <v>0</v>
      </c>
      <c r="AD223" s="193" t="n"/>
    </row>
    <row r="224">
      <c r="A224" s="191" t="inlineStr">
        <is>
          <t>CVE</t>
        </is>
      </c>
      <c r="B224" s="191" t="inlineStr">
        <is>
          <t>CVE-2025-71229</t>
        </is>
      </c>
      <c r="C224" s="191" t="inlineStr">
        <is>
          <t xml:space="preserve">In the Linux kernel, the following vulnerability has been resolved:
wifi: rtw88: Fix alignment fault in rtw_core_enable_beacon()
rtw_core_enable_beacon() reads 4 bytes from an address that is not a
multiple of 4. This results in a crash on some systems.
Do 1 byte reads/writes instead.
Unable to handle kernel paging request at virtual address ffff8000827e0522
Mem abort info:
  ESR = 0x0000000096000021
  EC = 0x25: DABT (current EL), IL = 32 bits
  SET = 0, FnV = 0
  EA = 0, S1PTW = 0
  FSC = </t>
        </is>
      </c>
      <c r="D224" s="191" t="n">
        <v>5</v>
      </c>
      <c r="E224" s="191" t="inlineStr">
        <is>
          <t>MEDIUM</t>
        </is>
      </c>
      <c r="F224" s="191" t="n">
        <v>2</v>
      </c>
      <c r="G224" s="191" t="n">
        <v>2</v>
      </c>
      <c r="H224" s="191" t="inlineStr">
        <is>
          <t>MEDIUM</t>
        </is>
      </c>
      <c r="I224" s="191" t="n">
        <v>9</v>
      </c>
      <c r="J224" s="191" t="inlineStr">
        <is>
          <t>NO</t>
        </is>
      </c>
      <c r="K224" s="192" t="inlineStr">
        <is>
          <t>https://nvd.nist.gov/vuln/detail/CVE-2025-71229</t>
        </is>
      </c>
      <c r="L224" s="191" t="inlineStr">
        <is>
          <t>2026-02-23 23:48</t>
        </is>
      </c>
      <c r="M224" s="191" t="inlineStr">
        <is>
          <t>CHECK_VENDOR</t>
        </is>
      </c>
      <c r="N224" s="191" t="inlineStr">
        <is>
          <t>See NVD references</t>
        </is>
      </c>
      <c r="O224" s="191" t="inlineStr">
        <is>
          <t>Apply vendor patches</t>
        </is>
      </c>
      <c r="P224" s="191" t="inlineStr">
        <is>
          <t>See CVE details</t>
        </is>
      </c>
      <c r="Q224" s="191" t="inlineStr">
        <is>
          <t>P4</t>
        </is>
      </c>
      <c r="R224" s="191" t="inlineStr">
        <is>
          <t>📅 Schedule patch deployment within 30 days | 🔍 Monitor for exploitation attempts</t>
        </is>
      </c>
      <c r="S224" s="191" t="inlineStr">
        <is>
          <t>CVE - IP enrichment n/a</t>
        </is>
      </c>
      <c r="T224" s="191" t="n">
        <v>0</v>
      </c>
      <c r="U224" s="191" t="n">
        <v>0</v>
      </c>
      <c r="V224" s="191" t="inlineStr">
        <is>
          <t>T1190:Exploit Public-Facing Application</t>
        </is>
      </c>
      <c r="W224" s="191" t="n">
        <v>1</v>
      </c>
      <c r="X224" s="191" t="inlineStr">
        <is>
          <t>LOW (40%)</t>
        </is>
      </c>
      <c r="Y224" s="191" t="inlineStr">
        <is>
          <t>UNLIKELY</t>
        </is>
      </c>
      <c r="Z224" s="191" t="inlineStr">
        <is>
          <t>CHECK_VENDOR</t>
        </is>
      </c>
      <c r="AA224" s="192" t="inlineStr">
        <is>
          <t>https://nvd.nist.gov/vuln/detail/CVE-2025-71229</t>
        </is>
      </c>
      <c r="AB224" s="191" t="inlineStr">
        <is>
          <t>NONE</t>
        </is>
      </c>
      <c r="AC224" s="191" t="n">
        <v>0</v>
      </c>
      <c r="AD224" s="191" t="n"/>
    </row>
    <row r="225">
      <c r="A225" s="191" t="inlineStr">
        <is>
          <t>CVE</t>
        </is>
      </c>
      <c r="B225" s="191" t="inlineStr">
        <is>
          <t>CVE-2025-71230</t>
        </is>
      </c>
      <c r="C225" s="191" t="inlineStr">
        <is>
          <t>In the Linux kernel, the following vulnerability has been resolved:
hfs: ensure sb-&gt;s_fs_info is always cleaned up
When hfs was converted to the new mount api a bug was introduced by
changing the allocation pattern of sb-&gt;s_fs_info. If setup_bdev_super()
fails after a new superblock has been allocated by sget_fc(), but before
hfs_fill_super() takes ownership of the filesystem-specific s_fs_info
data it was leaked.
Fix this by freeing sb-&gt;s_fs_info in hfs_kill_super().</t>
        </is>
      </c>
      <c r="D225" s="191" t="n">
        <v>5</v>
      </c>
      <c r="E225" s="191" t="inlineStr">
        <is>
          <t>MEDIUM</t>
        </is>
      </c>
      <c r="F225" s="191" t="n">
        <v>2</v>
      </c>
      <c r="G225" s="191" t="n">
        <v>2</v>
      </c>
      <c r="H225" s="191" t="inlineStr">
        <is>
          <t>MEDIUM</t>
        </is>
      </c>
      <c r="I225" s="191" t="n">
        <v>9</v>
      </c>
      <c r="J225" s="191" t="inlineStr">
        <is>
          <t>NO</t>
        </is>
      </c>
      <c r="K225" s="192" t="inlineStr">
        <is>
          <t>https://nvd.nist.gov/vuln/detail/CVE-2025-71230</t>
        </is>
      </c>
      <c r="L225" s="191" t="inlineStr">
        <is>
          <t>2026-02-23 23:48</t>
        </is>
      </c>
      <c r="M225" s="191" t="inlineStr">
        <is>
          <t>CHECK_VENDOR</t>
        </is>
      </c>
      <c r="N225" s="191" t="inlineStr">
        <is>
          <t>See NVD references</t>
        </is>
      </c>
      <c r="O225" s="191" t="inlineStr">
        <is>
          <t>Apply vendor patches</t>
        </is>
      </c>
      <c r="P225" s="191" t="inlineStr">
        <is>
          <t>See CVE details</t>
        </is>
      </c>
      <c r="Q225" s="191" t="inlineStr">
        <is>
          <t>P4</t>
        </is>
      </c>
      <c r="R225" s="191" t="inlineStr">
        <is>
          <t>📅 Schedule patch deployment within 30 days | 🔍 Monitor for exploitation attempts</t>
        </is>
      </c>
      <c r="S225" s="191" t="inlineStr">
        <is>
          <t>CVE - IP enrichment n/a</t>
        </is>
      </c>
      <c r="T225" s="191" t="n">
        <v>0</v>
      </c>
      <c r="U225" s="191" t="n">
        <v>0</v>
      </c>
      <c r="V225" s="191" t="inlineStr">
        <is>
          <t>T1190:Exploit Public-Facing Application</t>
        </is>
      </c>
      <c r="W225" s="191" t="n">
        <v>1</v>
      </c>
      <c r="X225" s="191" t="inlineStr">
        <is>
          <t>LOW (40%)</t>
        </is>
      </c>
      <c r="Y225" s="191" t="inlineStr">
        <is>
          <t>UNLIKELY</t>
        </is>
      </c>
      <c r="Z225" s="191" t="inlineStr">
        <is>
          <t>CHECK_VENDOR</t>
        </is>
      </c>
      <c r="AA225" s="192" t="inlineStr">
        <is>
          <t>https://nvd.nist.gov/vuln/detail/CVE-2025-71230</t>
        </is>
      </c>
      <c r="AB225" s="191" t="inlineStr">
        <is>
          <t>NONE</t>
        </is>
      </c>
      <c r="AC225" s="191" t="n">
        <v>0</v>
      </c>
      <c r="AD225" s="191" t="n"/>
    </row>
    <row r="226">
      <c r="A226" s="191" t="inlineStr">
        <is>
          <t>CVE</t>
        </is>
      </c>
      <c r="B226" s="191" t="inlineStr">
        <is>
          <t>CVE-2025-71231</t>
        </is>
      </c>
      <c r="C226" s="191" t="inlineStr">
        <is>
          <t>In the Linux kernel, the following vulnerability has been resolved:
crypto: iaa - Fix out-of-bounds index in find_empty_iaa_compression_mode
The local variable 'i' is initialized with -EINVAL, but the for loop
immediately overwrites it and -EINVAL is never returned.
If no empty compression mode can be found, the function would return the
out-of-bounds index IAA_COMP_MODES_MAX, which would cause an invalid
array access in add_iaa_compression_mode().
Fix both issues by returning either a valid</t>
        </is>
      </c>
      <c r="D226" s="191" t="n">
        <v>5</v>
      </c>
      <c r="E226" s="191" t="inlineStr">
        <is>
          <t>MEDIUM</t>
        </is>
      </c>
      <c r="F226" s="191" t="n">
        <v>2</v>
      </c>
      <c r="G226" s="191" t="n">
        <v>2</v>
      </c>
      <c r="H226" s="191" t="inlineStr">
        <is>
          <t>MEDIUM</t>
        </is>
      </c>
      <c r="I226" s="191" t="n">
        <v>9</v>
      </c>
      <c r="J226" s="191" t="inlineStr">
        <is>
          <t>NO</t>
        </is>
      </c>
      <c r="K226" s="192" t="inlineStr">
        <is>
          <t>https://nvd.nist.gov/vuln/detail/CVE-2025-71231</t>
        </is>
      </c>
      <c r="L226" s="191" t="inlineStr">
        <is>
          <t>2026-02-23 23:48</t>
        </is>
      </c>
      <c r="M226" s="191" t="inlineStr">
        <is>
          <t>CHECK_VENDOR</t>
        </is>
      </c>
      <c r="N226" s="191" t="inlineStr">
        <is>
          <t>See NVD references</t>
        </is>
      </c>
      <c r="O226" s="191" t="inlineStr">
        <is>
          <t>Apply vendor patches</t>
        </is>
      </c>
      <c r="P226" s="191" t="inlineStr">
        <is>
          <t>See CVE details</t>
        </is>
      </c>
      <c r="Q226" s="191" t="inlineStr">
        <is>
          <t>P4</t>
        </is>
      </c>
      <c r="R226" s="191" t="inlineStr">
        <is>
          <t>📅 Schedule patch deployment within 30 days | 🔍 Monitor for exploitation attempts</t>
        </is>
      </c>
      <c r="S226" s="191" t="inlineStr">
        <is>
          <t>CVE - IP enrichment n/a</t>
        </is>
      </c>
      <c r="T226" s="191" t="n">
        <v>0</v>
      </c>
      <c r="U226" s="191" t="n">
        <v>0</v>
      </c>
      <c r="V226" s="191" t="inlineStr">
        <is>
          <t>T1203:Exploitation for Client Execution</t>
        </is>
      </c>
      <c r="W226" s="191" t="n">
        <v>1</v>
      </c>
      <c r="X226" s="191" t="inlineStr">
        <is>
          <t>LOW (40%)</t>
        </is>
      </c>
      <c r="Y226" s="191" t="inlineStr">
        <is>
          <t>UNLIKELY</t>
        </is>
      </c>
      <c r="Z226" s="191" t="inlineStr">
        <is>
          <t>CHECK_VENDOR</t>
        </is>
      </c>
      <c r="AA226" s="192" t="inlineStr">
        <is>
          <t>https://nvd.nist.gov/vuln/detail/CVE-2025-71231</t>
        </is>
      </c>
      <c r="AB226" s="191" t="inlineStr">
        <is>
          <t>NONE</t>
        </is>
      </c>
      <c r="AC226" s="191" t="n">
        <v>0</v>
      </c>
      <c r="AD226" s="191" t="n"/>
    </row>
    <row r="227">
      <c r="A227" s="191" t="inlineStr">
        <is>
          <t>CVE</t>
        </is>
      </c>
      <c r="B227" s="191" t="inlineStr">
        <is>
          <t>CVE-2025-71232</t>
        </is>
      </c>
      <c r="C227" s="191" t="inlineStr">
        <is>
          <t>In the Linux kernel, the following vulnerability has been resolved: scsi: qla2xxx: Free sp in error path to fix system crash System crash seen during load/unload test in a loop, [61110.449331] qla2xxx [0000:27:00.0]-0042:0: Disabled MSI-X. [61110.467494] ============================================================================= [61110.467498] BUG qla2xxx_srbs (Tainted: G OE -------- --- ): Objects remaining in qla2xxx_srbs on __kmem_cache_shutdown() [61110.467501] ----------------------------</t>
        </is>
      </c>
      <c r="D227" s="191" t="n">
        <v>5</v>
      </c>
      <c r="E227" s="191" t="inlineStr">
        <is>
          <t>MEDIUM</t>
        </is>
      </c>
      <c r="F227" s="191" t="n">
        <v>2</v>
      </c>
      <c r="G227" s="191" t="n">
        <v>2</v>
      </c>
      <c r="H227" s="191" t="inlineStr">
        <is>
          <t>MEDIUM</t>
        </is>
      </c>
      <c r="I227" s="191" t="n">
        <v>9</v>
      </c>
      <c r="J227" s="191" t="inlineStr">
        <is>
          <t>NO</t>
        </is>
      </c>
      <c r="K227" s="192" t="inlineStr">
        <is>
          <t>https://nvd.nist.gov/vuln/detail/CVE-2025-71232</t>
        </is>
      </c>
      <c r="L227" s="191" t="inlineStr">
        <is>
          <t>2026-02-23 23:48</t>
        </is>
      </c>
      <c r="M227" s="191" t="inlineStr">
        <is>
          <t>CHECK_VENDOR</t>
        </is>
      </c>
      <c r="N227" s="191" t="inlineStr">
        <is>
          <t>See NVD references</t>
        </is>
      </c>
      <c r="O227" s="191" t="inlineStr">
        <is>
          <t>Apply vendor patches</t>
        </is>
      </c>
      <c r="P227" s="191" t="inlineStr">
        <is>
          <t>See CVE details</t>
        </is>
      </c>
      <c r="Q227" s="191" t="inlineStr">
        <is>
          <t>P1</t>
        </is>
      </c>
      <c r="R227" s="191" t="inlineStr">
        <is>
          <t>📅 Schedule patch deployment within 30 days | 🔍 Monitor for exploitation attempts</t>
        </is>
      </c>
      <c r="S227" s="191" t="inlineStr">
        <is>
          <t>CVE - IP enrichment n/a</t>
        </is>
      </c>
      <c r="T227" s="191" t="n">
        <v>0</v>
      </c>
      <c r="U227" s="191" t="n">
        <v>0</v>
      </c>
      <c r="V227" s="191" t="inlineStr">
        <is>
          <t>T1190:Exploit Public-Facing Application</t>
        </is>
      </c>
      <c r="W227" s="191" t="n">
        <v>2</v>
      </c>
      <c r="X227" s="191" t="inlineStr">
        <is>
          <t>HIGH (72%)</t>
        </is>
      </c>
      <c r="Y227" s="191" t="inlineStr">
        <is>
          <t>HIGH</t>
        </is>
      </c>
      <c r="Z227" s="191" t="inlineStr">
        <is>
          <t>CHECK_VENDOR</t>
        </is>
      </c>
      <c r="AA227" s="192" t="inlineStr">
        <is>
          <t>https://nvd.nist.gov/vuln/detail/CVE-2025-71232</t>
        </is>
      </c>
      <c r="AB227" s="192" t="inlineStr">
        <is>
          <t>http://www.zerodayinitiative.com/advisories/ZDI-26-123/</t>
        </is>
      </c>
      <c r="AC227" s="191" t="n">
        <v>0</v>
      </c>
      <c r="AD227" s="191" t="n"/>
    </row>
    <row r="228">
      <c r="A228" s="191" t="inlineStr">
        <is>
          <t>CVE</t>
        </is>
      </c>
      <c r="B228" s="191" t="inlineStr">
        <is>
          <t>CVE-2025-71233</t>
        </is>
      </c>
      <c r="C228" s="191" t="inlineStr">
        <is>
          <t>In the Linux kernel, the following vulnerability has been resolved:
PCI: endpoint: Avoid creating sub-groups asynchronously
The asynchronous creation of sub-groups by a delayed work could lead to a
NULL pointer dereference when the driver directory is removed before the
work completes.
The crash can be easily reproduced with the following commands:
  # cd /sys/kernel/config/pci_ep/functions/pci_epf_test
  # for i in {1..20}; do mkdir test &amp;&amp; rmdir test; done
  BUG: kernel NULL pointer deref</t>
        </is>
      </c>
      <c r="D228" s="191" t="n">
        <v>5</v>
      </c>
      <c r="E228" s="191" t="inlineStr">
        <is>
          <t>MEDIUM</t>
        </is>
      </c>
      <c r="F228" s="191" t="n">
        <v>2</v>
      </c>
      <c r="G228" s="191" t="n">
        <v>2</v>
      </c>
      <c r="H228" s="191" t="inlineStr">
        <is>
          <t>MEDIUM</t>
        </is>
      </c>
      <c r="I228" s="191" t="n">
        <v>9</v>
      </c>
      <c r="J228" s="191" t="inlineStr">
        <is>
          <t>NO</t>
        </is>
      </c>
      <c r="K228" s="192" t="inlineStr">
        <is>
          <t>https://nvd.nist.gov/vuln/detail/CVE-2025-71233</t>
        </is>
      </c>
      <c r="L228" s="191" t="inlineStr">
        <is>
          <t>2026-02-23 23:48</t>
        </is>
      </c>
      <c r="M228" s="191" t="inlineStr">
        <is>
          <t>CHECK_VENDOR</t>
        </is>
      </c>
      <c r="N228" s="191" t="inlineStr">
        <is>
          <t>See NVD references</t>
        </is>
      </c>
      <c r="O228" s="191" t="inlineStr">
        <is>
          <t>Apply vendor patches</t>
        </is>
      </c>
      <c r="P228" s="191" t="inlineStr">
        <is>
          <t>See CVE details</t>
        </is>
      </c>
      <c r="Q228" s="191" t="inlineStr">
        <is>
          <t>P4</t>
        </is>
      </c>
      <c r="R228" s="191" t="inlineStr">
        <is>
          <t>📅 Schedule patch deployment within 30 days | 🔍 Monitor for exploitation attempts</t>
        </is>
      </c>
      <c r="S228" s="191" t="inlineStr">
        <is>
          <t>CVE - IP enrichment n/a</t>
        </is>
      </c>
      <c r="T228" s="191" t="n">
        <v>0.0002</v>
      </c>
      <c r="U228" s="191" t="n">
        <v>0.06510000000000001</v>
      </c>
      <c r="V228" s="191" t="inlineStr">
        <is>
          <t>T1190:Exploit Public-Facing Application</t>
        </is>
      </c>
      <c r="W228" s="191" t="n">
        <v>1</v>
      </c>
      <c r="X228" s="191" t="inlineStr">
        <is>
          <t>LOW (40%)</t>
        </is>
      </c>
      <c r="Y228" s="191" t="inlineStr">
        <is>
          <t>UNLIKELY</t>
        </is>
      </c>
      <c r="Z228" s="191" t="inlineStr">
        <is>
          <t>CHECK_VENDOR</t>
        </is>
      </c>
      <c r="AA228" s="192" t="inlineStr">
        <is>
          <t>https://nvd.nist.gov/vuln/detail/CVE-2025-71233</t>
        </is>
      </c>
      <c r="AB228" s="191" t="inlineStr">
        <is>
          <t>NONE</t>
        </is>
      </c>
      <c r="AC228" s="191" t="n">
        <v>0</v>
      </c>
      <c r="AD228" s="191" t="n"/>
    </row>
    <row r="229">
      <c r="A229" s="191" t="inlineStr">
        <is>
          <t>CVE</t>
        </is>
      </c>
      <c r="B229" s="191" t="inlineStr">
        <is>
          <t>CVE-2025-71234</t>
        </is>
      </c>
      <c r="C229" s="191" t="inlineStr">
        <is>
          <t>In the Linux kernel, the following vulnerability has been resolved:
wifi: rtl8xxxu: fix slab-out-of-bounds in rtl8xxxu_sta_add
The driver does not set hw-&gt;sta_data_size, which causes mac80211 to
allocate insufficient space for driver private station data in
__sta_info_alloc(). When rtl8xxxu_sta_add() accesses members of
struct rtl8xxxu_sta_info through sta-&gt;drv_priv, this results in a
slab-out-of-bounds write.
KASAN report on RISC-V (VisionFive 2) with RTL8192EU adapter:
  BUG: KASAN: slab-o</t>
        </is>
      </c>
      <c r="D229" s="191" t="n">
        <v>5</v>
      </c>
      <c r="E229" s="191" t="inlineStr">
        <is>
          <t>MEDIUM</t>
        </is>
      </c>
      <c r="F229" s="191" t="n">
        <v>2</v>
      </c>
      <c r="G229" s="191" t="n">
        <v>2</v>
      </c>
      <c r="H229" s="191" t="inlineStr">
        <is>
          <t>MEDIUM</t>
        </is>
      </c>
      <c r="I229" s="191" t="n">
        <v>9</v>
      </c>
      <c r="J229" s="191" t="inlineStr">
        <is>
          <t>NO</t>
        </is>
      </c>
      <c r="K229" s="192" t="inlineStr">
        <is>
          <t>https://nvd.nist.gov/vuln/detail/CVE-2025-71234</t>
        </is>
      </c>
      <c r="L229" s="191" t="inlineStr">
        <is>
          <t>2026-02-23 23:48</t>
        </is>
      </c>
      <c r="M229" s="191" t="inlineStr">
        <is>
          <t>CHECK_VENDOR</t>
        </is>
      </c>
      <c r="N229" s="191" t="inlineStr">
        <is>
          <t>See NVD references</t>
        </is>
      </c>
      <c r="O229" s="191" t="inlineStr">
        <is>
          <t>Apply vendor patches</t>
        </is>
      </c>
      <c r="P229" s="191" t="inlineStr">
        <is>
          <t>See CVE details</t>
        </is>
      </c>
      <c r="Q229" s="191" t="inlineStr">
        <is>
          <t>P4</t>
        </is>
      </c>
      <c r="R229" s="191" t="inlineStr">
        <is>
          <t>📅 Schedule patch deployment within 30 days | 🔍 Monitor for exploitation attempts</t>
        </is>
      </c>
      <c r="S229" s="191" t="inlineStr">
        <is>
          <t>CVE - IP enrichment n/a</t>
        </is>
      </c>
      <c r="T229" s="191" t="n">
        <v>0</v>
      </c>
      <c r="U229" s="191" t="n">
        <v>0</v>
      </c>
      <c r="V229" s="191" t="inlineStr">
        <is>
          <t>T1203:Exploitation for Client Execution</t>
        </is>
      </c>
      <c r="W229" s="191" t="n">
        <v>1</v>
      </c>
      <c r="X229" s="191" t="inlineStr">
        <is>
          <t>LOW (40%)</t>
        </is>
      </c>
      <c r="Y229" s="191" t="inlineStr">
        <is>
          <t>UNLIKELY</t>
        </is>
      </c>
      <c r="Z229" s="191" t="inlineStr">
        <is>
          <t>CHECK_VENDOR</t>
        </is>
      </c>
      <c r="AA229" s="192" t="inlineStr">
        <is>
          <t>https://nvd.nist.gov/vuln/detail/CVE-2025-71234</t>
        </is>
      </c>
      <c r="AB229" s="191" t="inlineStr">
        <is>
          <t>NONE</t>
        </is>
      </c>
      <c r="AC229" s="191" t="n">
        <v>0</v>
      </c>
      <c r="AD229" s="191" t="n"/>
    </row>
    <row r="230">
      <c r="A230" s="191" t="inlineStr">
        <is>
          <t>CVE</t>
        </is>
      </c>
      <c r="B230" s="191" t="inlineStr">
        <is>
          <t>CVE-2025-71235</t>
        </is>
      </c>
      <c r="C230" s="191" t="inlineStr">
        <is>
          <t>In the Linux kernel, the following vulnerability has been resolved: scsi: qla2xxx: Delay module unload while fabric scan in progress System crash seen during load/unload test in a loop. [105954.384919] RBP: ffff914589838dc0 R08: 0000000000000000 R09: 0000000000000086 [105954.384920] R10: 000000000000000f R11: ffffa31240904be5 R12: ffff914605f868e0 [105954.384921] R13: ffff914605f86910 R14: 0000000000008010 R15: 00000000ddb7c000 [105954.384923] FS: 0000000000000000(0000) GS:ffff9163fec40000(0000)</t>
        </is>
      </c>
      <c r="D230" s="191" t="n">
        <v>5</v>
      </c>
      <c r="E230" s="191" t="inlineStr">
        <is>
          <t>MEDIUM</t>
        </is>
      </c>
      <c r="F230" s="191" t="n">
        <v>2</v>
      </c>
      <c r="G230" s="191" t="n">
        <v>2</v>
      </c>
      <c r="H230" s="191" t="inlineStr">
        <is>
          <t>MEDIUM</t>
        </is>
      </c>
      <c r="I230" s="191" t="n">
        <v>9</v>
      </c>
      <c r="J230" s="191" t="inlineStr">
        <is>
          <t>NO</t>
        </is>
      </c>
      <c r="K230" s="192" t="inlineStr">
        <is>
          <t>https://nvd.nist.gov/vuln/detail/CVE-2025-71235</t>
        </is>
      </c>
      <c r="L230" s="191" t="inlineStr">
        <is>
          <t>2026-02-23 23:48</t>
        </is>
      </c>
      <c r="M230" s="191" t="inlineStr">
        <is>
          <t>CHECK_VENDOR</t>
        </is>
      </c>
      <c r="N230" s="191" t="inlineStr">
        <is>
          <t>See NVD references</t>
        </is>
      </c>
      <c r="O230" s="191" t="inlineStr">
        <is>
          <t>Apply vendor patches</t>
        </is>
      </c>
      <c r="P230" s="191" t="inlineStr">
        <is>
          <t>See CVE details</t>
        </is>
      </c>
      <c r="Q230" s="191" t="inlineStr">
        <is>
          <t>P1</t>
        </is>
      </c>
      <c r="R230" s="191" t="inlineStr">
        <is>
          <t>📅 Schedule patch deployment within 30 days | 🔍 Monitor for exploitation attempts</t>
        </is>
      </c>
      <c r="S230" s="191" t="inlineStr">
        <is>
          <t>CVE - IP enrichment n/a</t>
        </is>
      </c>
      <c r="T230" s="191" t="n">
        <v>0</v>
      </c>
      <c r="U230" s="191" t="n">
        <v>0</v>
      </c>
      <c r="V230" s="191" t="inlineStr">
        <is>
          <t>T1190:Exploit Public-Facing Application</t>
        </is>
      </c>
      <c r="W230" s="191" t="n">
        <v>2</v>
      </c>
      <c r="X230" s="191" t="inlineStr">
        <is>
          <t>HIGH (72%)</t>
        </is>
      </c>
      <c r="Y230" s="191" t="inlineStr">
        <is>
          <t>HIGH</t>
        </is>
      </c>
      <c r="Z230" s="191" t="inlineStr">
        <is>
          <t>CHECK_VENDOR</t>
        </is>
      </c>
      <c r="AA230" s="192" t="inlineStr">
        <is>
          <t>https://nvd.nist.gov/vuln/detail/CVE-2025-71235</t>
        </is>
      </c>
      <c r="AB230" s="192" t="inlineStr">
        <is>
          <t>http://www.zerodayinitiative.com/advisories/ZDI-26-123/</t>
        </is>
      </c>
      <c r="AC230" s="191" t="n">
        <v>0</v>
      </c>
      <c r="AD230" s="191" t="n"/>
    </row>
    <row r="231">
      <c r="A231" s="191" t="inlineStr">
        <is>
          <t>CVE</t>
        </is>
      </c>
      <c r="B231" s="191" t="inlineStr">
        <is>
          <t>CVE-2025-71236</t>
        </is>
      </c>
      <c r="C231" s="191" t="inlineStr">
        <is>
          <t>In the Linux kernel, the following vulnerability has been resolved: scsi: qla2xxx: Validate sp before freeing associated memory System crash with the following signature [154563.214890] nvme nvme2: NVME-FC{1}: controller connect complete [154564.169363] qla2xxx [0000:b0:00.1]-3002:2: nvme: Sched: Set ZIO exchange threshold to 3. [154564.169405] qla2xxx [0000:b0:00.1]-ffffff:2: SET ZIO Activity exchange threshold to 5. [154565.539974] qla2xxx [0000:b0:00.1]-5013:2: RSCN database changed – 0078 00</t>
        </is>
      </c>
      <c r="D231" s="191" t="n">
        <v>5</v>
      </c>
      <c r="E231" s="191" t="inlineStr">
        <is>
          <t>MEDIUM</t>
        </is>
      </c>
      <c r="F231" s="191" t="n">
        <v>2</v>
      </c>
      <c r="G231" s="191" t="n">
        <v>2</v>
      </c>
      <c r="H231" s="191" t="inlineStr">
        <is>
          <t>MEDIUM</t>
        </is>
      </c>
      <c r="I231" s="191" t="n">
        <v>9</v>
      </c>
      <c r="J231" s="191" t="inlineStr">
        <is>
          <t>NO</t>
        </is>
      </c>
      <c r="K231" s="192" t="inlineStr">
        <is>
          <t>https://nvd.nist.gov/vuln/detail/CVE-2025-71236</t>
        </is>
      </c>
      <c r="L231" s="191" t="inlineStr">
        <is>
          <t>2026-02-23 23:48</t>
        </is>
      </c>
      <c r="M231" s="191" t="inlineStr">
        <is>
          <t>CHECK_VENDOR</t>
        </is>
      </c>
      <c r="N231" s="191" t="inlineStr">
        <is>
          <t>See NVD references</t>
        </is>
      </c>
      <c r="O231" s="191" t="inlineStr">
        <is>
          <t>Apply vendor patches</t>
        </is>
      </c>
      <c r="P231" s="191" t="inlineStr">
        <is>
          <t>See CVE details</t>
        </is>
      </c>
      <c r="Q231" s="191" t="inlineStr">
        <is>
          <t>P4</t>
        </is>
      </c>
      <c r="R231" s="191" t="inlineStr">
        <is>
          <t>📅 Schedule patch deployment within 30 days | 🔍 Monitor for exploitation attempts</t>
        </is>
      </c>
      <c r="S231" s="191" t="inlineStr">
        <is>
          <t>CVE - IP enrichment n/a</t>
        </is>
      </c>
      <c r="T231" s="191" t="n">
        <v>0</v>
      </c>
      <c r="U231" s="191" t="n">
        <v>0</v>
      </c>
      <c r="V231" s="191" t="inlineStr">
        <is>
          <t>T1190:Exploit Public-Facing Application</t>
        </is>
      </c>
      <c r="W231" s="191" t="n">
        <v>1</v>
      </c>
      <c r="X231" s="191" t="inlineStr">
        <is>
          <t>LOW (40%)</t>
        </is>
      </c>
      <c r="Y231" s="191" t="inlineStr">
        <is>
          <t>UNLIKELY</t>
        </is>
      </c>
      <c r="Z231" s="191" t="inlineStr">
        <is>
          <t>CHECK_VENDOR</t>
        </is>
      </c>
      <c r="AA231" s="192" t="inlineStr">
        <is>
          <t>https://nvd.nist.gov/vuln/detail/CVE-2025-71236</t>
        </is>
      </c>
      <c r="AB231" s="191" t="inlineStr">
        <is>
          <t>NONE</t>
        </is>
      </c>
      <c r="AC231" s="191" t="n">
        <v>0</v>
      </c>
      <c r="AD231" s="191" t="n"/>
    </row>
    <row r="232">
      <c r="A232" s="191" t="inlineStr">
        <is>
          <t>CVE</t>
        </is>
      </c>
      <c r="B232" s="191" t="inlineStr">
        <is>
          <t>CVE-2025-71237</t>
        </is>
      </c>
      <c r="C232" s="191" t="inlineStr">
        <is>
          <t xml:space="preserve">In the Linux kernel, the following vulnerability has been resolved:
nilfs2: Fix potential block overflow that cause system hang
When a user executes the FITRIM command, an underflow can occur when
calculating nblocks if end_block is too small. Since nblocks is of
type sector_t, which is u64, a negative nblocks value will become a
very large positive integer. This ultimately leads to the block layer
function __blkdev_issue_discard() taking an excessively long time to
process the bio chain, and </t>
        </is>
      </c>
      <c r="D232" s="191" t="n">
        <v>5</v>
      </c>
      <c r="E232" s="191" t="inlineStr">
        <is>
          <t>MEDIUM</t>
        </is>
      </c>
      <c r="F232" s="191" t="n">
        <v>2</v>
      </c>
      <c r="G232" s="191" t="n">
        <v>2</v>
      </c>
      <c r="H232" s="191" t="inlineStr">
        <is>
          <t>MEDIUM</t>
        </is>
      </c>
      <c r="I232" s="191" t="n">
        <v>9</v>
      </c>
      <c r="J232" s="191" t="inlineStr">
        <is>
          <t>NO</t>
        </is>
      </c>
      <c r="K232" s="192" t="inlineStr">
        <is>
          <t>https://nvd.nist.gov/vuln/detail/CVE-2025-71237</t>
        </is>
      </c>
      <c r="L232" s="191" t="inlineStr">
        <is>
          <t>2026-02-23 23:48</t>
        </is>
      </c>
      <c r="M232" s="191" t="inlineStr">
        <is>
          <t>CHECK_VENDOR</t>
        </is>
      </c>
      <c r="N232" s="191" t="inlineStr">
        <is>
          <t>See NVD references</t>
        </is>
      </c>
      <c r="O232" s="191" t="inlineStr">
        <is>
          <t>Apply vendor patches</t>
        </is>
      </c>
      <c r="P232" s="191" t="inlineStr">
        <is>
          <t>See CVE details</t>
        </is>
      </c>
      <c r="Q232" s="191" t="inlineStr">
        <is>
          <t>P4</t>
        </is>
      </c>
      <c r="R232" s="191" t="inlineStr">
        <is>
          <t>📅 Schedule patch deployment within 30 days | 🔍 Monitor for exploitation attempts</t>
        </is>
      </c>
      <c r="S232" s="191" t="inlineStr">
        <is>
          <t>CVE - IP enrichment n/a</t>
        </is>
      </c>
      <c r="T232" s="191" t="n">
        <v>0.0002</v>
      </c>
      <c r="U232" s="191" t="n">
        <v>0.06510000000000001</v>
      </c>
      <c r="V232" s="191" t="inlineStr">
        <is>
          <t>T1190:Exploit Public-Facing Application</t>
        </is>
      </c>
      <c r="W232" s="191" t="n">
        <v>1</v>
      </c>
      <c r="X232" s="191" t="inlineStr">
        <is>
          <t>LOW (40%)</t>
        </is>
      </c>
      <c r="Y232" s="191" t="inlineStr">
        <is>
          <t>UNLIKELY</t>
        </is>
      </c>
      <c r="Z232" s="191" t="inlineStr">
        <is>
          <t>CHECK_VENDOR</t>
        </is>
      </c>
      <c r="AA232" s="192" t="inlineStr">
        <is>
          <t>https://nvd.nist.gov/vuln/detail/CVE-2025-71237</t>
        </is>
      </c>
      <c r="AB232" s="191" t="inlineStr">
        <is>
          <t>NONE</t>
        </is>
      </c>
      <c r="AC232" s="191" t="n">
        <v>0</v>
      </c>
      <c r="AD232" s="191" t="n"/>
    </row>
    <row r="233">
      <c r="A233" s="191" t="inlineStr">
        <is>
          <t>CVE</t>
        </is>
      </c>
      <c r="B233" s="191" t="inlineStr">
        <is>
          <t>CVE-2026-23220</t>
        </is>
      </c>
      <c r="C233" s="191" t="inlineStr">
        <is>
          <t>In the Linux kernel, the following vulnerability has been resolved:
ksmbd: fix infinite loop caused by next_smb2_rcv_hdr_off reset in error paths
The problem occurs when a signed request fails smb2 signature verification
check. In __process_request(), if check_sign_req() returns an error,
set_smb2_rsp_status(work, STATUS_ACCESS_DENIED) is called.
set_smb2_rsp_status() set work-&gt;next_smb2_rcv_hdr_off as zero. By resetting
next_smb2_rcv_hdr_off to zero, the pointer to the next command in the cha</t>
        </is>
      </c>
      <c r="D233" s="191" t="n">
        <v>5</v>
      </c>
      <c r="E233" s="191" t="inlineStr">
        <is>
          <t>MEDIUM</t>
        </is>
      </c>
      <c r="F233" s="191" t="n">
        <v>2</v>
      </c>
      <c r="G233" s="191" t="n">
        <v>2</v>
      </c>
      <c r="H233" s="191" t="inlineStr">
        <is>
          <t>MEDIUM</t>
        </is>
      </c>
      <c r="I233" s="191" t="n">
        <v>9</v>
      </c>
      <c r="J233" s="191" t="inlineStr">
        <is>
          <t>NO</t>
        </is>
      </c>
      <c r="K233" s="192" t="inlineStr">
        <is>
          <t>https://nvd.nist.gov/vuln/detail/CVE-2026-23220</t>
        </is>
      </c>
      <c r="L233" s="191" t="inlineStr">
        <is>
          <t>2026-02-23 23:48</t>
        </is>
      </c>
      <c r="M233" s="191" t="inlineStr">
        <is>
          <t>CHECK_VENDOR</t>
        </is>
      </c>
      <c r="N233" s="191" t="inlineStr">
        <is>
          <t>See NVD references</t>
        </is>
      </c>
      <c r="O233" s="191" t="inlineStr">
        <is>
          <t>Apply vendor patches</t>
        </is>
      </c>
      <c r="P233" s="191" t="inlineStr">
        <is>
          <t>See CVE details</t>
        </is>
      </c>
      <c r="Q233" s="191" t="inlineStr">
        <is>
          <t>P4</t>
        </is>
      </c>
      <c r="R233" s="191" t="inlineStr">
        <is>
          <t>📅 Schedule patch deployment within 30 days | 🔍 Monitor for exploitation attempts</t>
        </is>
      </c>
      <c r="S233" s="191" t="inlineStr">
        <is>
          <t>CVE - IP enrichment n/a</t>
        </is>
      </c>
      <c r="T233" s="191" t="n">
        <v>0</v>
      </c>
      <c r="U233" s="191" t="n">
        <v>0</v>
      </c>
      <c r="V233" s="191" t="inlineStr">
        <is>
          <t>T1190:Exploit Public-Facing Application</t>
        </is>
      </c>
      <c r="W233" s="191" t="n">
        <v>1</v>
      </c>
      <c r="X233" s="191" t="inlineStr">
        <is>
          <t>LOW (40%)</t>
        </is>
      </c>
      <c r="Y233" s="191" t="inlineStr">
        <is>
          <t>UNLIKELY</t>
        </is>
      </c>
      <c r="Z233" s="191" t="inlineStr">
        <is>
          <t>CHECK_VENDOR</t>
        </is>
      </c>
      <c r="AA233" s="192" t="inlineStr">
        <is>
          <t>https://nvd.nist.gov/vuln/detail/CVE-2026-23220</t>
        </is>
      </c>
      <c r="AB233" s="191" t="inlineStr">
        <is>
          <t>NONE</t>
        </is>
      </c>
      <c r="AC233" s="191" t="n">
        <v>0</v>
      </c>
      <c r="AD233" s="191" t="n"/>
    </row>
    <row r="234">
      <c r="A234" s="191" t="inlineStr">
        <is>
          <t>CVE</t>
        </is>
      </c>
      <c r="B234" s="191" t="inlineStr">
        <is>
          <t>CVE-2026-23221</t>
        </is>
      </c>
      <c r="C234" s="191" t="inlineStr">
        <is>
          <t xml:space="preserve">In the Linux kernel, the following vulnerability has been resolved:
bus: fsl-mc: fix use-after-free in driver_override_show()
The driver_override_show() function reads the driver_override string
without holding the device_lock. However, driver_override_store() uses
driver_set_override(), which modifies and frees the string while holding
the device_lock.
This can result in a concurrent use-after-free if the string is freed
by the store function while being read by the show function.
Fix this </t>
        </is>
      </c>
      <c r="D234" s="191" t="n">
        <v>5</v>
      </c>
      <c r="E234" s="191" t="inlineStr">
        <is>
          <t>MEDIUM</t>
        </is>
      </c>
      <c r="F234" s="191" t="n">
        <v>2</v>
      </c>
      <c r="G234" s="191" t="n">
        <v>2</v>
      </c>
      <c r="H234" s="191" t="inlineStr">
        <is>
          <t>MEDIUM</t>
        </is>
      </c>
      <c r="I234" s="191" t="n">
        <v>9</v>
      </c>
      <c r="J234" s="191" t="inlineStr">
        <is>
          <t>NO</t>
        </is>
      </c>
      <c r="K234" s="192" t="inlineStr">
        <is>
          <t>https://nvd.nist.gov/vuln/detail/CVE-2026-23221</t>
        </is>
      </c>
      <c r="L234" s="191" t="inlineStr">
        <is>
          <t>2026-02-23 23:48</t>
        </is>
      </c>
      <c r="M234" s="191" t="inlineStr">
        <is>
          <t>CHECK_VENDOR</t>
        </is>
      </c>
      <c r="N234" s="191" t="inlineStr">
        <is>
          <t>See NVD references</t>
        </is>
      </c>
      <c r="O234" s="191" t="inlineStr">
        <is>
          <t>Apply vendor patches</t>
        </is>
      </c>
      <c r="P234" s="191" t="inlineStr">
        <is>
          <t>See CVE details</t>
        </is>
      </c>
      <c r="Q234" s="191" t="inlineStr">
        <is>
          <t>P4</t>
        </is>
      </c>
      <c r="R234" s="191" t="inlineStr">
        <is>
          <t>📅 Schedule patch deployment within 30 days | 🔍 Monitor for exploitation attempts</t>
        </is>
      </c>
      <c r="S234" s="191" t="inlineStr">
        <is>
          <t>CVE - IP enrichment n/a</t>
        </is>
      </c>
      <c r="T234" s="191" t="n">
        <v>0</v>
      </c>
      <c r="U234" s="191" t="n">
        <v>0</v>
      </c>
      <c r="V234" s="191" t="inlineStr">
        <is>
          <t>T1190:Exploit Public-Facing Application</t>
        </is>
      </c>
      <c r="W234" s="191" t="n">
        <v>1</v>
      </c>
      <c r="X234" s="191" t="inlineStr">
        <is>
          <t>LOW (40%)</t>
        </is>
      </c>
      <c r="Y234" s="191" t="inlineStr">
        <is>
          <t>UNLIKELY</t>
        </is>
      </c>
      <c r="Z234" s="191" t="inlineStr">
        <is>
          <t>CHECK_VENDOR</t>
        </is>
      </c>
      <c r="AA234" s="192" t="inlineStr">
        <is>
          <t>https://nvd.nist.gov/vuln/detail/CVE-2026-23221</t>
        </is>
      </c>
      <c r="AB234" s="191" t="inlineStr">
        <is>
          <t>NONE</t>
        </is>
      </c>
      <c r="AC234" s="191" t="n">
        <v>0</v>
      </c>
      <c r="AD234" s="191" t="n"/>
    </row>
    <row r="235">
      <c r="A235" s="189" t="inlineStr">
        <is>
          <t>CVE</t>
        </is>
      </c>
      <c r="B235" s="189" t="inlineStr">
        <is>
          <t>CVE-2026-23222</t>
        </is>
      </c>
      <c r="C235" s="189" t="inlineStr">
        <is>
          <t>In the Linux kernel, the following vulnerability has been resolved:
crypto: omap - Allocate OMAP_CRYPTO_FORCE_COPY scatterlists correctly
The existing allocation of scatterlists in omap_crypto_copy_sg_lists()
was allocating an array of scatterlist pointers, not scatterlist objects,
resulting in a 4x too small allocation.
Use sizeof(*new_sg) to get the correct object size.</t>
        </is>
      </c>
      <c r="D235" s="189" t="n">
        <v>8.5</v>
      </c>
      <c r="E235" s="189" t="inlineStr">
        <is>
          <t>HIGH</t>
        </is>
      </c>
      <c r="F235" s="189" t="n">
        <v>2</v>
      </c>
      <c r="G235" s="189" t="n">
        <v>3</v>
      </c>
      <c r="H235" s="189" t="inlineStr">
        <is>
          <t>HIGH</t>
        </is>
      </c>
      <c r="I235" s="189" t="n">
        <v>14.5</v>
      </c>
      <c r="J235" s="189" t="inlineStr">
        <is>
          <t>NO</t>
        </is>
      </c>
      <c r="K235" s="190" t="inlineStr">
        <is>
          <t>https://nvd.nist.gov/vuln/detail/CVE-2026-23222</t>
        </is>
      </c>
      <c r="L235" s="189" t="inlineStr">
        <is>
          <t>2026-02-23 23:48</t>
        </is>
      </c>
      <c r="M235" s="189" t="inlineStr">
        <is>
          <t>CHECK_VENDOR</t>
        </is>
      </c>
      <c r="N235" s="189" t="inlineStr">
        <is>
          <t>See NVD references</t>
        </is>
      </c>
      <c r="O235" s="189" t="inlineStr">
        <is>
          <t>Apply vendor patches</t>
        </is>
      </c>
      <c r="P235" s="189" t="inlineStr">
        <is>
          <t>See CVE details</t>
        </is>
      </c>
      <c r="Q235" s="189" t="inlineStr">
        <is>
          <t>P3</t>
        </is>
      </c>
      <c r="R235" s="189" t="inlineStr">
        <is>
          <t>🚨 URGENT: Apply vendor patches immediately | 🔒 Isolate affected systems if patch unavailable | 🛡️ Enable additional monitoring/IDS rules</t>
        </is>
      </c>
      <c r="S235" s="189" t="inlineStr">
        <is>
          <t>CVE - IP enrichment n/a</t>
        </is>
      </c>
      <c r="T235" s="189" t="n">
        <v>0.0002</v>
      </c>
      <c r="U235" s="189" t="n">
        <v>0.06510000000000001</v>
      </c>
      <c r="V235" s="189" t="inlineStr">
        <is>
          <t>T1190:Exploit Public-Facing Application</t>
        </is>
      </c>
      <c r="W235" s="189" t="n">
        <v>1</v>
      </c>
      <c r="X235" s="189" t="inlineStr">
        <is>
          <t>LOW (40%)</t>
        </is>
      </c>
      <c r="Y235" s="189" t="inlineStr">
        <is>
          <t>UNLIKELY</t>
        </is>
      </c>
      <c r="Z235" s="189" t="inlineStr">
        <is>
          <t>CHECK_VENDOR</t>
        </is>
      </c>
      <c r="AA235" s="190" t="inlineStr">
        <is>
          <t>https://nvd.nist.gov/vuln/detail/CVE-2026-23222</t>
        </is>
      </c>
      <c r="AB235" s="189" t="inlineStr">
        <is>
          <t>NONE</t>
        </is>
      </c>
      <c r="AC235" s="189" t="n">
        <v>0</v>
      </c>
      <c r="AD235" s="189" t="n"/>
    </row>
    <row r="236">
      <c r="A236" s="191" t="inlineStr">
        <is>
          <t>CVE</t>
        </is>
      </c>
      <c r="B236" s="191" t="inlineStr">
        <is>
          <t>CVE-2026-23223</t>
        </is>
      </c>
      <c r="C236" s="191" t="inlineStr">
        <is>
          <t>In the Linux kernel, the following vulnerability has been resolved:
xfs: fix UAF in xchk_btree_check_block_owner
We cannot dereference bs-&gt;cur when trying to determine if bs-&gt;cur
aliases bs-&gt;sc-&gt;sa.{bno,rmap}_cur after the latter has been freed.
Fix this by sampling before type before any freeing could happen.
The correct temporal ordering was broken when we removed xfs_btnum_t.</t>
        </is>
      </c>
      <c r="D236" s="191" t="n">
        <v>5</v>
      </c>
      <c r="E236" s="191" t="inlineStr">
        <is>
          <t>MEDIUM</t>
        </is>
      </c>
      <c r="F236" s="191" t="n">
        <v>2</v>
      </c>
      <c r="G236" s="191" t="n">
        <v>2</v>
      </c>
      <c r="H236" s="191" t="inlineStr">
        <is>
          <t>MEDIUM</t>
        </is>
      </c>
      <c r="I236" s="191" t="n">
        <v>9</v>
      </c>
      <c r="J236" s="191" t="inlineStr">
        <is>
          <t>NO</t>
        </is>
      </c>
      <c r="K236" s="192" t="inlineStr">
        <is>
          <t>https://nvd.nist.gov/vuln/detail/CVE-2026-23223</t>
        </is>
      </c>
      <c r="L236" s="191" t="inlineStr">
        <is>
          <t>2026-02-23 23:48</t>
        </is>
      </c>
      <c r="M236" s="191" t="inlineStr">
        <is>
          <t>CHECK_VENDOR</t>
        </is>
      </c>
      <c r="N236" s="191" t="inlineStr">
        <is>
          <t>See NVD references</t>
        </is>
      </c>
      <c r="O236" s="191" t="inlineStr">
        <is>
          <t>Apply vendor patches</t>
        </is>
      </c>
      <c r="P236" s="191" t="inlineStr">
        <is>
          <t>See CVE details</t>
        </is>
      </c>
      <c r="Q236" s="191" t="inlineStr">
        <is>
          <t>P4</t>
        </is>
      </c>
      <c r="R236" s="191" t="inlineStr">
        <is>
          <t>📅 Schedule patch deployment within 30 days | 🔍 Monitor for exploitation attempts</t>
        </is>
      </c>
      <c r="S236" s="191" t="inlineStr">
        <is>
          <t>CVE - IP enrichment n/a</t>
        </is>
      </c>
      <c r="T236" s="191" t="n">
        <v>0.0002</v>
      </c>
      <c r="U236" s="191" t="n">
        <v>0.0412</v>
      </c>
      <c r="V236" s="191" t="inlineStr">
        <is>
          <t>T1190:Exploit Public-Facing Application</t>
        </is>
      </c>
      <c r="W236" s="191" t="n">
        <v>1</v>
      </c>
      <c r="X236" s="191" t="inlineStr">
        <is>
          <t>LOW (40%)</t>
        </is>
      </c>
      <c r="Y236" s="191" t="inlineStr">
        <is>
          <t>UNLIKELY</t>
        </is>
      </c>
      <c r="Z236" s="191" t="inlineStr">
        <is>
          <t>CHECK_VENDOR</t>
        </is>
      </c>
      <c r="AA236" s="192" t="inlineStr">
        <is>
          <t>https://nvd.nist.gov/vuln/detail/CVE-2026-23223</t>
        </is>
      </c>
      <c r="AB236" s="191" t="inlineStr">
        <is>
          <t>NONE</t>
        </is>
      </c>
      <c r="AC236" s="191" t="n">
        <v>0</v>
      </c>
      <c r="AD236" s="191" t="n"/>
    </row>
    <row r="237">
      <c r="A237" s="191" t="inlineStr">
        <is>
          <t>CVE</t>
        </is>
      </c>
      <c r="B237" s="191" t="inlineStr">
        <is>
          <t>CVE-2026-23224</t>
        </is>
      </c>
      <c r="C237" s="191" t="inlineStr">
        <is>
          <t>In the Linux kernel, the following vulnerability has been resolved:
erofs: fix UAF issue for file-backed mounts w/ directio option
[    9.269940][ T3222] Call trace:
[    9.269948][ T3222]  ext4_file_read_iter+0xac/0x108
[    9.269979][ T3222]  vfs_iocb_iter_read+0xac/0x198
[    9.269993][ T3222]  erofs_fileio_rq_submit+0x12c/0x180
[    9.270008][ T3222]  erofs_fileio_submit_bio+0x14/0x24
[    9.270030][ T3222]  z_erofs_runqueue+0x834/0x8ac
[    9.270054][ T3222]  z_erofs_read_folio+0x120/0x22</t>
        </is>
      </c>
      <c r="D237" s="191" t="n">
        <v>5</v>
      </c>
      <c r="E237" s="191" t="inlineStr">
        <is>
          <t>MEDIUM</t>
        </is>
      </c>
      <c r="F237" s="191" t="n">
        <v>2</v>
      </c>
      <c r="G237" s="191" t="n">
        <v>2</v>
      </c>
      <c r="H237" s="191" t="inlineStr">
        <is>
          <t>MEDIUM</t>
        </is>
      </c>
      <c r="I237" s="191" t="n">
        <v>9</v>
      </c>
      <c r="J237" s="191" t="inlineStr">
        <is>
          <t>NO</t>
        </is>
      </c>
      <c r="K237" s="192" t="inlineStr">
        <is>
          <t>https://nvd.nist.gov/vuln/detail/CVE-2026-23224</t>
        </is>
      </c>
      <c r="L237" s="191" t="inlineStr">
        <is>
          <t>2026-02-23 23:48</t>
        </is>
      </c>
      <c r="M237" s="191" t="inlineStr">
        <is>
          <t>CHECK_VENDOR</t>
        </is>
      </c>
      <c r="N237" s="191" t="inlineStr">
        <is>
          <t>See NVD references</t>
        </is>
      </c>
      <c r="O237" s="191" t="inlineStr">
        <is>
          <t>Apply vendor patches</t>
        </is>
      </c>
      <c r="P237" s="191" t="inlineStr">
        <is>
          <t>See CVE details</t>
        </is>
      </c>
      <c r="Q237" s="191" t="inlineStr">
        <is>
          <t>P4</t>
        </is>
      </c>
      <c r="R237" s="191" t="inlineStr">
        <is>
          <t>📅 Schedule patch deployment within 30 days | 🔍 Monitor for exploitation attempts</t>
        </is>
      </c>
      <c r="S237" s="191" t="inlineStr">
        <is>
          <t>CVE - IP enrichment n/a</t>
        </is>
      </c>
      <c r="T237" s="191" t="n">
        <v>0</v>
      </c>
      <c r="U237" s="191" t="n">
        <v>0</v>
      </c>
      <c r="V237" s="191" t="inlineStr">
        <is>
          <t>T1190:Exploit Public-Facing Application</t>
        </is>
      </c>
      <c r="W237" s="191" t="n">
        <v>1</v>
      </c>
      <c r="X237" s="191" t="inlineStr">
        <is>
          <t>LOW (40%)</t>
        </is>
      </c>
      <c r="Y237" s="191" t="inlineStr">
        <is>
          <t>UNLIKELY</t>
        </is>
      </c>
      <c r="Z237" s="191" t="inlineStr">
        <is>
          <t>CHECK_VENDOR</t>
        </is>
      </c>
      <c r="AA237" s="192" t="inlineStr">
        <is>
          <t>https://nvd.nist.gov/vuln/detail/CVE-2026-23224</t>
        </is>
      </c>
      <c r="AB237" s="191" t="inlineStr">
        <is>
          <t>NONE</t>
        </is>
      </c>
      <c r="AC237" s="191" t="n">
        <v>0</v>
      </c>
      <c r="AD237" s="191" t="n"/>
    </row>
    <row r="238">
      <c r="A238" s="191" t="inlineStr">
        <is>
          <t>CVE</t>
        </is>
      </c>
      <c r="B238" s="191" t="inlineStr">
        <is>
          <t>CVE-2026-23225</t>
        </is>
      </c>
      <c r="C238" s="191" t="inlineStr">
        <is>
          <t>In the Linux kernel, the following vulnerability has been resolved:
sched/mmcid: Don't assume CID is CPU owned on mode switch
Shinichiro reported a KASAN UAF, which is actually an out of bounds access
in the MMCID management code.
   CPU0						CPU1
   						T1 runs in userspace
   T0: fork(T4) -&gt; Switch to per CPU CID mode
         fixup() set MM_CID_TRANSIT on T1/CPU1
   T4 exit()
   T3 exit()
   T2 exit()
						T1 exit() switch to per task mode
						 ---&gt; Out of bounds access.
As T1 has n</t>
        </is>
      </c>
      <c r="D238" s="191" t="n">
        <v>5</v>
      </c>
      <c r="E238" s="191" t="inlineStr">
        <is>
          <t>MEDIUM</t>
        </is>
      </c>
      <c r="F238" s="191" t="n">
        <v>2</v>
      </c>
      <c r="G238" s="191" t="n">
        <v>2</v>
      </c>
      <c r="H238" s="191" t="inlineStr">
        <is>
          <t>MEDIUM</t>
        </is>
      </c>
      <c r="I238" s="191" t="n">
        <v>9</v>
      </c>
      <c r="J238" s="191" t="inlineStr">
        <is>
          <t>NO</t>
        </is>
      </c>
      <c r="K238" s="192" t="inlineStr">
        <is>
          <t>https://nvd.nist.gov/vuln/detail/CVE-2026-23225</t>
        </is>
      </c>
      <c r="L238" s="191" t="inlineStr">
        <is>
          <t>2026-02-23 23:48</t>
        </is>
      </c>
      <c r="M238" s="191" t="inlineStr">
        <is>
          <t>CHECK_VENDOR</t>
        </is>
      </c>
      <c r="N238" s="191" t="inlineStr">
        <is>
          <t>See NVD references</t>
        </is>
      </c>
      <c r="O238" s="191" t="inlineStr">
        <is>
          <t>Apply vendor patches</t>
        </is>
      </c>
      <c r="P238" s="191" t="inlineStr">
        <is>
          <t>See CVE details</t>
        </is>
      </c>
      <c r="Q238" s="191" t="inlineStr">
        <is>
          <t>P4</t>
        </is>
      </c>
      <c r="R238" s="191" t="inlineStr">
        <is>
          <t>📅 Schedule patch deployment within 30 days | 🔍 Monitor for exploitation attempts</t>
        </is>
      </c>
      <c r="S238" s="191" t="inlineStr">
        <is>
          <t>CVE - IP enrichment n/a</t>
        </is>
      </c>
      <c r="T238" s="191" t="n">
        <v>0</v>
      </c>
      <c r="U238" s="191" t="n">
        <v>0</v>
      </c>
      <c r="V238" s="191" t="inlineStr">
        <is>
          <t>T1190:Exploit Public-Facing Application</t>
        </is>
      </c>
      <c r="W238" s="191" t="n">
        <v>1</v>
      </c>
      <c r="X238" s="191" t="inlineStr">
        <is>
          <t>LOW (40%)</t>
        </is>
      </c>
      <c r="Y238" s="191" t="inlineStr">
        <is>
          <t>UNLIKELY</t>
        </is>
      </c>
      <c r="Z238" s="191" t="inlineStr">
        <is>
          <t>CHECK_VENDOR</t>
        </is>
      </c>
      <c r="AA238" s="192" t="inlineStr">
        <is>
          <t>https://nvd.nist.gov/vuln/detail/CVE-2026-23225</t>
        </is>
      </c>
      <c r="AB238" s="191" t="inlineStr">
        <is>
          <t>NONE</t>
        </is>
      </c>
      <c r="AC238" s="191" t="n">
        <v>0</v>
      </c>
      <c r="AD238" s="191" t="n"/>
    </row>
    <row r="239">
      <c r="A239" s="191" t="inlineStr">
        <is>
          <t>CVE</t>
        </is>
      </c>
      <c r="B239" s="191" t="inlineStr">
        <is>
          <t>CVE-2026-23226</t>
        </is>
      </c>
      <c r="C239" s="191" t="inlineStr">
        <is>
          <t>In the Linux kernel, the following vulnerability has been resolved:
ksmbd: add chann_lock to protect ksmbd_chann_list xarray
ksmbd_chann_list xarray lacks synchronization, allowing use-after-free in
multi-channel sessions (between lookup_chann_list() and ksmbd_chann_del).
Adds rw_semaphore chann_lock to struct ksmbd_session and protects
all xa_load/xa_store/xa_erase accesses.</t>
        </is>
      </c>
      <c r="D239" s="191" t="n">
        <v>5</v>
      </c>
      <c r="E239" s="191" t="inlineStr">
        <is>
          <t>MEDIUM</t>
        </is>
      </c>
      <c r="F239" s="191" t="n">
        <v>2</v>
      </c>
      <c r="G239" s="191" t="n">
        <v>2</v>
      </c>
      <c r="H239" s="191" t="inlineStr">
        <is>
          <t>MEDIUM</t>
        </is>
      </c>
      <c r="I239" s="191" t="n">
        <v>9</v>
      </c>
      <c r="J239" s="191" t="inlineStr">
        <is>
          <t>NO</t>
        </is>
      </c>
      <c r="K239" s="192" t="inlineStr">
        <is>
          <t>https://nvd.nist.gov/vuln/detail/CVE-2026-23226</t>
        </is>
      </c>
      <c r="L239" s="191" t="inlineStr">
        <is>
          <t>2026-02-23 23:48</t>
        </is>
      </c>
      <c r="M239" s="191" t="inlineStr">
        <is>
          <t>CHECK_VENDOR</t>
        </is>
      </c>
      <c r="N239" s="191" t="inlineStr">
        <is>
          <t>See NVD references</t>
        </is>
      </c>
      <c r="O239" s="191" t="inlineStr">
        <is>
          <t>Apply vendor patches</t>
        </is>
      </c>
      <c r="P239" s="191" t="inlineStr">
        <is>
          <t>See CVE details</t>
        </is>
      </c>
      <c r="Q239" s="191" t="inlineStr">
        <is>
          <t>P4</t>
        </is>
      </c>
      <c r="R239" s="191" t="inlineStr">
        <is>
          <t>📅 Schedule patch deployment within 30 days | 🔍 Monitor for exploitation attempts</t>
        </is>
      </c>
      <c r="S239" s="191" t="inlineStr">
        <is>
          <t>CVE - IP enrichment n/a</t>
        </is>
      </c>
      <c r="T239" s="191" t="n">
        <v>0</v>
      </c>
      <c r="U239" s="191" t="n">
        <v>0</v>
      </c>
      <c r="V239" s="191" t="inlineStr">
        <is>
          <t>T1190:Exploit Public-Facing Application</t>
        </is>
      </c>
      <c r="W239" s="191" t="n">
        <v>1</v>
      </c>
      <c r="X239" s="191" t="inlineStr">
        <is>
          <t>LOW (40%)</t>
        </is>
      </c>
      <c r="Y239" s="191" t="inlineStr">
        <is>
          <t>UNLIKELY</t>
        </is>
      </c>
      <c r="Z239" s="191" t="inlineStr">
        <is>
          <t>CHECK_VENDOR</t>
        </is>
      </c>
      <c r="AA239" s="192" t="inlineStr">
        <is>
          <t>https://nvd.nist.gov/vuln/detail/CVE-2026-23226</t>
        </is>
      </c>
      <c r="AB239" s="191" t="inlineStr">
        <is>
          <t>NONE</t>
        </is>
      </c>
      <c r="AC239" s="191" t="n">
        <v>0</v>
      </c>
      <c r="AD239" s="191" t="n"/>
    </row>
    <row r="240">
      <c r="A240" s="191" t="inlineStr">
        <is>
          <t>CVE</t>
        </is>
      </c>
      <c r="B240" s="191" t="inlineStr">
        <is>
          <t>CVE-2026-23227</t>
        </is>
      </c>
      <c r="C240" s="191" t="inlineStr">
        <is>
          <t>In the Linux kernel, the following vulnerability has been resolved:
drm/exynos: vidi: use ctx-&gt;lock to protect struct vidi_context member variables related to memory alloc/free
Exynos Virtual Display driver performs memory alloc/free operations
without lock protection, which easily causes concurrency problem.
For example, use-after-free can occur in race scenario like this:
```
	CPU0				CPU1				CPU2
	----				----				----
  vidi_connection_ioctl()
    if (vidi-&gt;connection) // true
      drm_ed</t>
        </is>
      </c>
      <c r="D240" s="191" t="n">
        <v>5</v>
      </c>
      <c r="E240" s="191" t="inlineStr">
        <is>
          <t>MEDIUM</t>
        </is>
      </c>
      <c r="F240" s="191" t="n">
        <v>2</v>
      </c>
      <c r="G240" s="191" t="n">
        <v>2</v>
      </c>
      <c r="H240" s="191" t="inlineStr">
        <is>
          <t>MEDIUM</t>
        </is>
      </c>
      <c r="I240" s="191" t="n">
        <v>9</v>
      </c>
      <c r="J240" s="191" t="inlineStr">
        <is>
          <t>NO</t>
        </is>
      </c>
      <c r="K240" s="192" t="inlineStr">
        <is>
          <t>https://nvd.nist.gov/vuln/detail/CVE-2026-23227</t>
        </is>
      </c>
      <c r="L240" s="191" t="inlineStr">
        <is>
          <t>2026-02-23 23:48</t>
        </is>
      </c>
      <c r="M240" s="191" t="inlineStr">
        <is>
          <t>CHECK_VENDOR</t>
        </is>
      </c>
      <c r="N240" s="191" t="inlineStr">
        <is>
          <t>See NVD references</t>
        </is>
      </c>
      <c r="O240" s="191" t="inlineStr">
        <is>
          <t>Apply vendor patches</t>
        </is>
      </c>
      <c r="P240" s="191" t="inlineStr">
        <is>
          <t>See CVE details</t>
        </is>
      </c>
      <c r="Q240" s="191" t="inlineStr">
        <is>
          <t>P4</t>
        </is>
      </c>
      <c r="R240" s="191" t="inlineStr">
        <is>
          <t>📅 Schedule patch deployment within 30 days | 🔍 Monitor for exploitation attempts</t>
        </is>
      </c>
      <c r="S240" s="191" t="inlineStr">
        <is>
          <t>CVE - IP enrichment n/a</t>
        </is>
      </c>
      <c r="T240" s="191" t="n">
        <v>0</v>
      </c>
      <c r="U240" s="191" t="n">
        <v>0</v>
      </c>
      <c r="V240" s="191" t="inlineStr">
        <is>
          <t>T1190:Exploit Public-Facing Application</t>
        </is>
      </c>
      <c r="W240" s="191" t="n">
        <v>1</v>
      </c>
      <c r="X240" s="191" t="inlineStr">
        <is>
          <t>LOW (40%)</t>
        </is>
      </c>
      <c r="Y240" s="191" t="inlineStr">
        <is>
          <t>UNLIKELY</t>
        </is>
      </c>
      <c r="Z240" s="191" t="inlineStr">
        <is>
          <t>CHECK_VENDOR</t>
        </is>
      </c>
      <c r="AA240" s="192" t="inlineStr">
        <is>
          <t>https://nvd.nist.gov/vuln/detail/CVE-2026-23227</t>
        </is>
      </c>
      <c r="AB240" s="191" t="inlineStr">
        <is>
          <t>NONE</t>
        </is>
      </c>
      <c r="AC240" s="191" t="n">
        <v>0</v>
      </c>
      <c r="AD240" s="191" t="n"/>
    </row>
    <row r="241">
      <c r="A241" s="191" t="inlineStr">
        <is>
          <t>CVE</t>
        </is>
      </c>
      <c r="B241" s="191" t="inlineStr">
        <is>
          <t>CVE-2026-23228</t>
        </is>
      </c>
      <c r="C241" s="191" t="inlineStr">
        <is>
          <t>In the Linux kernel, the following vulnerability has been resolved:
smb: server: fix leak of active_num_conn in ksmbd_tcp_new_connection()
On kthread_run() failure in ksmbd_tcp_new_connection(), the transport is
freed via free_transport(), which does not decrement active_num_conn,
leaking this counter.
Replace free_transport() with ksmbd_tcp_disconnect().</t>
        </is>
      </c>
      <c r="D241" s="191" t="n">
        <v>5</v>
      </c>
      <c r="E241" s="191" t="inlineStr">
        <is>
          <t>MEDIUM</t>
        </is>
      </c>
      <c r="F241" s="191" t="n">
        <v>2</v>
      </c>
      <c r="G241" s="191" t="n">
        <v>2</v>
      </c>
      <c r="H241" s="191" t="inlineStr">
        <is>
          <t>MEDIUM</t>
        </is>
      </c>
      <c r="I241" s="191" t="n">
        <v>9</v>
      </c>
      <c r="J241" s="191" t="inlineStr">
        <is>
          <t>NO</t>
        </is>
      </c>
      <c r="K241" s="192" t="inlineStr">
        <is>
          <t>https://nvd.nist.gov/vuln/detail/CVE-2026-23228</t>
        </is>
      </c>
      <c r="L241" s="191" t="inlineStr">
        <is>
          <t>2026-02-23 23:48</t>
        </is>
      </c>
      <c r="M241" s="191" t="inlineStr">
        <is>
          <t>CHECK_VENDOR</t>
        </is>
      </c>
      <c r="N241" s="191" t="inlineStr">
        <is>
          <t>See NVD references</t>
        </is>
      </c>
      <c r="O241" s="191" t="inlineStr">
        <is>
          <t>Apply vendor patches</t>
        </is>
      </c>
      <c r="P241" s="191" t="inlineStr">
        <is>
          <t>See CVE details</t>
        </is>
      </c>
      <c r="Q241" s="191" t="inlineStr">
        <is>
          <t>P4</t>
        </is>
      </c>
      <c r="R241" s="191" t="inlineStr">
        <is>
          <t>📅 Schedule patch deployment within 30 days | 🔍 Monitor for exploitation attempts</t>
        </is>
      </c>
      <c r="S241" s="191" t="inlineStr">
        <is>
          <t>CVE - IP enrichment n/a</t>
        </is>
      </c>
      <c r="T241" s="191" t="n">
        <v>0</v>
      </c>
      <c r="U241" s="191" t="n">
        <v>0</v>
      </c>
      <c r="V241" s="191" t="inlineStr">
        <is>
          <t>T1190:Exploit Public-Facing Application</t>
        </is>
      </c>
      <c r="W241" s="191" t="n">
        <v>1</v>
      </c>
      <c r="X241" s="191" t="inlineStr">
        <is>
          <t>LOW (40%)</t>
        </is>
      </c>
      <c r="Y241" s="191" t="inlineStr">
        <is>
          <t>UNLIKELY</t>
        </is>
      </c>
      <c r="Z241" s="191" t="inlineStr">
        <is>
          <t>CHECK_VENDOR</t>
        </is>
      </c>
      <c r="AA241" s="192" t="inlineStr">
        <is>
          <t>https://nvd.nist.gov/vuln/detail/CVE-2026-23228</t>
        </is>
      </c>
      <c r="AB241" s="191" t="inlineStr">
        <is>
          <t>NONE</t>
        </is>
      </c>
      <c r="AC241" s="191" t="n">
        <v>0</v>
      </c>
      <c r="AD241" s="191" t="n"/>
    </row>
    <row r="242">
      <c r="A242" s="191" t="inlineStr">
        <is>
          <t>CVE</t>
        </is>
      </c>
      <c r="B242" s="191" t="inlineStr">
        <is>
          <t>CVE-2026-23229</t>
        </is>
      </c>
      <c r="C242" s="191" t="inlineStr">
        <is>
          <t>In the Linux kernel, the following vulnerability has been resolved:
crypto: virtio - Add spinlock protection with virtqueue notification
When VM boots with one virtio-crypto PCI device and builtin backend,
run openssl benchmark command with multiple processes, such as
  openssl speed -evp aes-128-cbc -engine afalg  -seconds 10 -multi 32
openssl processes will hangup and there is error reported like this:
 virtio_crypto virtio0: dataq.0:id 3 is not a head!
It seems that the data virtqueue nee</t>
        </is>
      </c>
      <c r="D242" s="191" t="n">
        <v>5</v>
      </c>
      <c r="E242" s="191" t="inlineStr">
        <is>
          <t>MEDIUM</t>
        </is>
      </c>
      <c r="F242" s="191" t="n">
        <v>2</v>
      </c>
      <c r="G242" s="191" t="n">
        <v>2</v>
      </c>
      <c r="H242" s="191" t="inlineStr">
        <is>
          <t>MEDIUM</t>
        </is>
      </c>
      <c r="I242" s="191" t="n">
        <v>9</v>
      </c>
      <c r="J242" s="191" t="inlineStr">
        <is>
          <t>NO</t>
        </is>
      </c>
      <c r="K242" s="192" t="inlineStr">
        <is>
          <t>https://nvd.nist.gov/vuln/detail/CVE-2026-23229</t>
        </is>
      </c>
      <c r="L242" s="191" t="inlineStr">
        <is>
          <t>2026-02-23 23:48</t>
        </is>
      </c>
      <c r="M242" s="191" t="inlineStr">
        <is>
          <t>CHECK_VENDOR</t>
        </is>
      </c>
      <c r="N242" s="191" t="inlineStr">
        <is>
          <t>See NVD references</t>
        </is>
      </c>
      <c r="O242" s="191" t="inlineStr">
        <is>
          <t>Apply vendor patches</t>
        </is>
      </c>
      <c r="P242" s="191" t="inlineStr">
        <is>
          <t>See CVE details</t>
        </is>
      </c>
      <c r="Q242" s="191" t="inlineStr">
        <is>
          <t>P1</t>
        </is>
      </c>
      <c r="R242" s="191" t="inlineStr">
        <is>
          <t>📅 Schedule patch deployment within 30 days | 🔍 Monitor for exploitation attempts</t>
        </is>
      </c>
      <c r="S242" s="191" t="inlineStr">
        <is>
          <t>CVE - IP enrichment n/a</t>
        </is>
      </c>
      <c r="T242" s="191" t="n">
        <v>0</v>
      </c>
      <c r="U242" s="191" t="n">
        <v>0</v>
      </c>
      <c r="V242" s="191" t="inlineStr">
        <is>
          <t>T1190:Exploit Public-Facing Application</t>
        </is>
      </c>
      <c r="W242" s="191" t="n">
        <v>2</v>
      </c>
      <c r="X242" s="191" t="inlineStr">
        <is>
          <t>HIGH (72%)</t>
        </is>
      </c>
      <c r="Y242" s="191" t="inlineStr">
        <is>
          <t>HIGH</t>
        </is>
      </c>
      <c r="Z242" s="191" t="inlineStr">
        <is>
          <t>CHECK_VENDOR</t>
        </is>
      </c>
      <c r="AA242" s="192" t="inlineStr">
        <is>
          <t>https://nvd.nist.gov/vuln/detail/CVE-2026-23229</t>
        </is>
      </c>
      <c r="AB242" s="192" t="inlineStr">
        <is>
          <t>http://www.zerodayinitiative.com/advisories/ZDI-26-123/</t>
        </is>
      </c>
      <c r="AC242" s="191" t="n">
        <v>0</v>
      </c>
      <c r="AD242" s="191" t="n"/>
    </row>
    <row r="243">
      <c r="A243" s="191" t="inlineStr">
        <is>
          <t>CVE</t>
        </is>
      </c>
      <c r="B243" s="191" t="inlineStr">
        <is>
          <t>CVE-2026-23230</t>
        </is>
      </c>
      <c r="C243" s="191" t="inlineStr">
        <is>
          <t>In the Linux kernel, the following vulnerability has been resolved:
smb: client: split cached_fid bitfields to avoid shared-byte RMW races
is_open, has_lease and on_list are stored in the same bitfield byte in
struct cached_fid but are updated in different code paths that may run
concurrently. Bitfield assignments generate byte read–modify–write
operations (e.g. `orb $mask, addr` on x86_64), so updating one flag can
restore stale values of the others.
A possible interleaving is:
    CPU1: loa</t>
        </is>
      </c>
      <c r="D243" s="191" t="n">
        <v>5</v>
      </c>
      <c r="E243" s="191" t="inlineStr">
        <is>
          <t>MEDIUM</t>
        </is>
      </c>
      <c r="F243" s="191" t="n">
        <v>2</v>
      </c>
      <c r="G243" s="191" t="n">
        <v>2</v>
      </c>
      <c r="H243" s="191" t="inlineStr">
        <is>
          <t>MEDIUM</t>
        </is>
      </c>
      <c r="I243" s="191" t="n">
        <v>9</v>
      </c>
      <c r="J243" s="191" t="inlineStr">
        <is>
          <t>NO</t>
        </is>
      </c>
      <c r="K243" s="192" t="inlineStr">
        <is>
          <t>https://nvd.nist.gov/vuln/detail/CVE-2026-23230</t>
        </is>
      </c>
      <c r="L243" s="191" t="inlineStr">
        <is>
          <t>2026-02-23 23:48</t>
        </is>
      </c>
      <c r="M243" s="191" t="inlineStr">
        <is>
          <t>CHECK_VENDOR</t>
        </is>
      </c>
      <c r="N243" s="191" t="inlineStr">
        <is>
          <t>See NVD references</t>
        </is>
      </c>
      <c r="O243" s="191" t="inlineStr">
        <is>
          <t>Apply vendor patches</t>
        </is>
      </c>
      <c r="P243" s="191" t="inlineStr">
        <is>
          <t>See CVE details</t>
        </is>
      </c>
      <c r="Q243" s="191" t="inlineStr">
        <is>
          <t>P4</t>
        </is>
      </c>
      <c r="R243" s="191" t="inlineStr">
        <is>
          <t>📅 Schedule patch deployment within 30 days | 🔍 Monitor for exploitation attempts</t>
        </is>
      </c>
      <c r="S243" s="191" t="inlineStr">
        <is>
          <t>CVE - IP enrichment n/a</t>
        </is>
      </c>
      <c r="T243" s="191" t="n">
        <v>0</v>
      </c>
      <c r="U243" s="191" t="n">
        <v>0</v>
      </c>
      <c r="V243" s="191" t="inlineStr">
        <is>
          <t>T1190:Exploit Public-Facing Application</t>
        </is>
      </c>
      <c r="W243" s="191" t="n">
        <v>1</v>
      </c>
      <c r="X243" s="191" t="inlineStr">
        <is>
          <t>LOW (40%)</t>
        </is>
      </c>
      <c r="Y243" s="191" t="inlineStr">
        <is>
          <t>UNLIKELY</t>
        </is>
      </c>
      <c r="Z243" s="191" t="inlineStr">
        <is>
          <t>CHECK_VENDOR</t>
        </is>
      </c>
      <c r="AA243" s="192" t="inlineStr">
        <is>
          <t>https://nvd.nist.gov/vuln/detail/CVE-2026-23230</t>
        </is>
      </c>
      <c r="AB243" s="191" t="inlineStr">
        <is>
          <t>NONE</t>
        </is>
      </c>
      <c r="AC243" s="191" t="n">
        <v>0</v>
      </c>
      <c r="AD243" s="191" t="n"/>
    </row>
    <row r="244">
      <c r="A244" s="191" t="inlineStr">
        <is>
          <t>CVE</t>
        </is>
      </c>
      <c r="B244" s="191" t="inlineStr">
        <is>
          <t>CVE-2025-13602</t>
        </is>
      </c>
      <c r="C244" s="191" t="inlineStr">
        <is>
          <t>Rejected reason: ** REJECT ** DO NOT USE THIS CANDIDATE NUMBER. Reason: This candidate was issued in error. Notes: All references and descriptions in this candidate have been removed to prevent accidental usage.</t>
        </is>
      </c>
      <c r="D244" s="191" t="n">
        <v>5</v>
      </c>
      <c r="E244" s="191" t="inlineStr">
        <is>
          <t>MEDIUM</t>
        </is>
      </c>
      <c r="F244" s="191" t="n">
        <v>2</v>
      </c>
      <c r="G244" s="191" t="n">
        <v>2</v>
      </c>
      <c r="H244" s="191" t="inlineStr">
        <is>
          <t>MEDIUM</t>
        </is>
      </c>
      <c r="I244" s="191" t="n">
        <v>9</v>
      </c>
      <c r="J244" s="191" t="inlineStr">
        <is>
          <t>NO</t>
        </is>
      </c>
      <c r="K244" s="192" t="inlineStr">
        <is>
          <t>https://nvd.nist.gov/vuln/detail/CVE-2025-13602</t>
        </is>
      </c>
      <c r="L244" s="191" t="inlineStr">
        <is>
          <t>2026-02-23 23:48</t>
        </is>
      </c>
      <c r="M244" s="191" t="inlineStr">
        <is>
          <t>CHECK_VENDOR</t>
        </is>
      </c>
      <c r="N244" s="191" t="inlineStr">
        <is>
          <t>See NVD references</t>
        </is>
      </c>
      <c r="O244" s="191" t="inlineStr">
        <is>
          <t>Apply vendor patches</t>
        </is>
      </c>
      <c r="P244" s="191" t="inlineStr">
        <is>
          <t>See CVE details</t>
        </is>
      </c>
      <c r="Q244" s="191" t="inlineStr">
        <is>
          <t>P4</t>
        </is>
      </c>
      <c r="R244" s="191" t="inlineStr">
        <is>
          <t>📅 Schedule patch deployment within 30 days | 🔍 Monitor for exploitation attempts</t>
        </is>
      </c>
      <c r="S244" s="191" t="inlineStr">
        <is>
          <t>CVE - IP enrichment n/a</t>
        </is>
      </c>
      <c r="T244" s="191" t="n">
        <v>0</v>
      </c>
      <c r="U244" s="191" t="n">
        <v>0</v>
      </c>
      <c r="V244" s="191" t="inlineStr">
        <is>
          <t>T1190:Exploit Public-Facing Application</t>
        </is>
      </c>
      <c r="W244" s="191" t="n">
        <v>1</v>
      </c>
      <c r="X244" s="191" t="inlineStr">
        <is>
          <t>LOW (40%)</t>
        </is>
      </c>
      <c r="Y244" s="191" t="inlineStr">
        <is>
          <t>UNLIKELY</t>
        </is>
      </c>
      <c r="Z244" s="191" t="inlineStr">
        <is>
          <t>CHECK_VENDOR</t>
        </is>
      </c>
      <c r="AA244" s="192" t="inlineStr">
        <is>
          <t>https://nvd.nist.gov/vuln/detail/CVE-2025-13602</t>
        </is>
      </c>
      <c r="AB244" s="191" t="inlineStr">
        <is>
          <t>NONE</t>
        </is>
      </c>
      <c r="AC244" s="191" t="n">
        <v>0</v>
      </c>
      <c r="AD244" s="191" t="n"/>
    </row>
    <row r="245">
      <c r="A245" s="191" t="inlineStr">
        <is>
          <t>CVE</t>
        </is>
      </c>
      <c r="B245" s="191" t="inlineStr">
        <is>
          <t>CVE-2025-13933</t>
        </is>
      </c>
      <c r="C245" s="191" t="inlineStr">
        <is>
          <t>Rejected reason: ** REJECT ** DO NOT USE THIS CANDIDATE NUMBER. ConsultIDs: CVE-2025-12500. Reason: This candidate is a reservation duplicate of CVE-2025-12500. Notes: All CVE users should reference CVE-2025-12500 instead of this candidate. All references and descriptions in this candidate have been removed to prevent accidental usage.</t>
        </is>
      </c>
      <c r="D245" s="191" t="n">
        <v>5</v>
      </c>
      <c r="E245" s="191" t="inlineStr">
        <is>
          <t>MEDIUM</t>
        </is>
      </c>
      <c r="F245" s="191" t="n">
        <v>2</v>
      </c>
      <c r="G245" s="191" t="n">
        <v>2</v>
      </c>
      <c r="H245" s="191" t="inlineStr">
        <is>
          <t>MEDIUM</t>
        </is>
      </c>
      <c r="I245" s="191" t="n">
        <v>9</v>
      </c>
      <c r="J245" s="191" t="inlineStr">
        <is>
          <t>NO</t>
        </is>
      </c>
      <c r="K245" s="192" t="inlineStr">
        <is>
          <t>https://nvd.nist.gov/vuln/detail/CVE-2025-13933</t>
        </is>
      </c>
      <c r="L245" s="191" t="inlineStr">
        <is>
          <t>2026-02-23 23:48</t>
        </is>
      </c>
      <c r="M245" s="191" t="inlineStr">
        <is>
          <t>CHECK_VENDOR</t>
        </is>
      </c>
      <c r="N245" s="191" t="inlineStr">
        <is>
          <t>See NVD references</t>
        </is>
      </c>
      <c r="O245" s="191" t="inlineStr">
        <is>
          <t>Apply vendor patches</t>
        </is>
      </c>
      <c r="P245" s="191" t="inlineStr">
        <is>
          <t>See CVE details</t>
        </is>
      </c>
      <c r="Q245" s="191" t="inlineStr">
        <is>
          <t>P4</t>
        </is>
      </c>
      <c r="R245" s="191" t="inlineStr">
        <is>
          <t>📅 Schedule patch deployment within 30 days | 🔍 Monitor for exploitation attempts</t>
        </is>
      </c>
      <c r="S245" s="191" t="inlineStr">
        <is>
          <t>CVE - IP enrichment n/a</t>
        </is>
      </c>
      <c r="T245" s="191" t="n">
        <v>0</v>
      </c>
      <c r="U245" s="191" t="n">
        <v>0</v>
      </c>
      <c r="V245" s="191" t="inlineStr">
        <is>
          <t>T1190:Exploit Public-Facing Application</t>
        </is>
      </c>
      <c r="W245" s="191" t="n">
        <v>1</v>
      </c>
      <c r="X245" s="191" t="inlineStr">
        <is>
          <t>LOW (40%)</t>
        </is>
      </c>
      <c r="Y245" s="191" t="inlineStr">
        <is>
          <t>UNLIKELY</t>
        </is>
      </c>
      <c r="Z245" s="191" t="inlineStr">
        <is>
          <t>CHECK_VENDOR</t>
        </is>
      </c>
      <c r="AA245" s="192" t="inlineStr">
        <is>
          <t>https://nvd.nist.gov/vuln/detail/CVE-2025-13933</t>
        </is>
      </c>
      <c r="AB245" s="191" t="inlineStr">
        <is>
          <t>NONE</t>
        </is>
      </c>
      <c r="AC245" s="191" t="n">
        <v>0</v>
      </c>
      <c r="AD245" s="191" t="n"/>
    </row>
    <row r="246">
      <c r="A246" s="191" t="inlineStr">
        <is>
          <t>CVE</t>
        </is>
      </c>
      <c r="B246" s="191" t="inlineStr">
        <is>
          <t>CVE-2025-13965</t>
        </is>
      </c>
      <c r="C246" s="191" t="inlineStr">
        <is>
          <t>Rejected reason: ** REJECT ** DO NOT USE THIS CANDIDATE NUMBER. ConsultIDs: CVE-2025-12500. Reason: This candidate is a reservation duplicate of CVE-2025-12500. Notes: All CVE users should reference CVE-2025-12500 instead of this candidate. All references and descriptions in this candidate have been removed to prevent accidental usage.</t>
        </is>
      </c>
      <c r="D246" s="191" t="n">
        <v>5</v>
      </c>
      <c r="E246" s="191" t="inlineStr">
        <is>
          <t>MEDIUM</t>
        </is>
      </c>
      <c r="F246" s="191" t="n">
        <v>2</v>
      </c>
      <c r="G246" s="191" t="n">
        <v>2</v>
      </c>
      <c r="H246" s="191" t="inlineStr">
        <is>
          <t>MEDIUM</t>
        </is>
      </c>
      <c r="I246" s="191" t="n">
        <v>9</v>
      </c>
      <c r="J246" s="191" t="inlineStr">
        <is>
          <t>NO</t>
        </is>
      </c>
      <c r="K246" s="192" t="inlineStr">
        <is>
          <t>https://nvd.nist.gov/vuln/detail/CVE-2025-13965</t>
        </is>
      </c>
      <c r="L246" s="191" t="inlineStr">
        <is>
          <t>2026-02-23 23:48</t>
        </is>
      </c>
      <c r="M246" s="191" t="inlineStr">
        <is>
          <t>CHECK_VENDOR</t>
        </is>
      </c>
      <c r="N246" s="191" t="inlineStr">
        <is>
          <t>See NVD references</t>
        </is>
      </c>
      <c r="O246" s="191" t="inlineStr">
        <is>
          <t>Apply vendor patches</t>
        </is>
      </c>
      <c r="P246" s="191" t="inlineStr">
        <is>
          <t>See CVE details</t>
        </is>
      </c>
      <c r="Q246" s="191" t="inlineStr">
        <is>
          <t>P4</t>
        </is>
      </c>
      <c r="R246" s="191" t="inlineStr">
        <is>
          <t>📅 Schedule patch deployment within 30 days | 🔍 Monitor for exploitation attempts</t>
        </is>
      </c>
      <c r="S246" s="191" t="inlineStr">
        <is>
          <t>CVE - IP enrichment n/a</t>
        </is>
      </c>
      <c r="T246" s="191" t="n">
        <v>0</v>
      </c>
      <c r="U246" s="191" t="n">
        <v>0</v>
      </c>
      <c r="V246" s="191" t="inlineStr">
        <is>
          <t>T1190:Exploit Public-Facing Application</t>
        </is>
      </c>
      <c r="W246" s="191" t="n">
        <v>1</v>
      </c>
      <c r="X246" s="191" t="inlineStr">
        <is>
          <t>LOW (40%)</t>
        </is>
      </c>
      <c r="Y246" s="191" t="inlineStr">
        <is>
          <t>UNLIKELY</t>
        </is>
      </c>
      <c r="Z246" s="191" t="inlineStr">
        <is>
          <t>CHECK_VENDOR</t>
        </is>
      </c>
      <c r="AA246" s="192" t="inlineStr">
        <is>
          <t>https://nvd.nist.gov/vuln/detail/CVE-2025-13965</t>
        </is>
      </c>
      <c r="AB246" s="191" t="inlineStr">
        <is>
          <t>NONE</t>
        </is>
      </c>
      <c r="AC246" s="191" t="n">
        <v>0</v>
      </c>
      <c r="AD246" s="191" t="n"/>
    </row>
    <row r="247">
      <c r="A247" s="193" t="inlineStr">
        <is>
          <t>CVE</t>
        </is>
      </c>
      <c r="B247" s="193" t="inlineStr">
        <is>
          <t>CVE-2025-70141</t>
        </is>
      </c>
      <c r="C247" s="193" t="inlineStr">
        <is>
          <t>SourceCodester Customer Support System 1.0 contains an incorrect access control vulnerability in ajax.php. The AJAX dispatcher does not enforce authentication or authorization before invoking administrative methods in admin_class.php based on the action parameter. An unauthenticated remote attacker can perform sensitive operations such as creating customers and deleting users (including the admin account), as well as modifying or deleting other application records (tickets, departments, comments</t>
        </is>
      </c>
      <c r="D247" s="193" t="n">
        <v>9.4</v>
      </c>
      <c r="E247" s="193" t="inlineStr">
        <is>
          <t>CRITICAL</t>
        </is>
      </c>
      <c r="F247" s="193" t="n">
        <v>2</v>
      </c>
      <c r="G247" s="193" t="n">
        <v>3</v>
      </c>
      <c r="H247" s="193" t="inlineStr">
        <is>
          <t>HIGH</t>
        </is>
      </c>
      <c r="I247" s="193" t="n">
        <v>15.4</v>
      </c>
      <c r="J247" s="193" t="inlineStr">
        <is>
          <t>NO</t>
        </is>
      </c>
      <c r="K247" s="194" t="inlineStr">
        <is>
          <t>https://nvd.nist.gov/vuln/detail/CVE-2025-70141</t>
        </is>
      </c>
      <c r="L247" s="193" t="inlineStr">
        <is>
          <t>2026-02-23 23:48</t>
        </is>
      </c>
      <c r="M247" s="193" t="inlineStr">
        <is>
          <t>YES</t>
        </is>
      </c>
      <c r="N247" s="194" t="inlineStr">
        <is>
          <t>https://youngkevinn.github.io/posts/CVE-2025-70141-Customer-Support-BAC/</t>
        </is>
      </c>
      <c r="O247" s="194" t="inlineStr">
        <is>
          <t>https://youngkevinn.github.io/posts/CVE-2025-70141-Customer-Support-BAC/</t>
        </is>
      </c>
      <c r="P247" s="193" t="inlineStr">
        <is>
          <t>oretnom23 customer_support_system 1.0</t>
        </is>
      </c>
      <c r="Q247" s="193" t="inlineStr">
        <is>
          <t>P3</t>
        </is>
      </c>
      <c r="R247" s="193" t="inlineStr">
        <is>
          <t>🚨 URGENT: Apply vendor patches immediately | 🔒 Isolate affected systems if patch unavailable | 🛡️ Enable additional monitoring/IDS rules</t>
        </is>
      </c>
      <c r="S247" s="193" t="inlineStr">
        <is>
          <t>CVE - IP enrichment n/a</t>
        </is>
      </c>
      <c r="T247" s="193" t="n">
        <v>0</v>
      </c>
      <c r="U247" s="193" t="n">
        <v>0</v>
      </c>
      <c r="V247" s="193" t="inlineStr">
        <is>
          <t>T1078:Valid Accounts | T1190:Exploit Public-Facing Application</t>
        </is>
      </c>
      <c r="W247" s="193" t="n">
        <v>1</v>
      </c>
      <c r="X247" s="193" t="inlineStr">
        <is>
          <t>LOW (40%)</t>
        </is>
      </c>
      <c r="Y247" s="193" t="inlineStr">
        <is>
          <t>UNLIKELY</t>
        </is>
      </c>
      <c r="Z247" s="193" t="inlineStr">
        <is>
          <t>PATCH_AVAILABLE</t>
        </is>
      </c>
      <c r="AA247" s="194" t="inlineStr">
        <is>
          <t>https://nvd.nist.gov/vuln/detail/CVE-2025-70141</t>
        </is>
      </c>
      <c r="AB247" s="193" t="inlineStr">
        <is>
          <t>NONE</t>
        </is>
      </c>
      <c r="AC247" s="193" t="n">
        <v>0</v>
      </c>
      <c r="AD247" s="193" t="n"/>
    </row>
    <row r="248">
      <c r="A248" s="193" t="inlineStr">
        <is>
          <t>CVE</t>
        </is>
      </c>
      <c r="B248" s="193" t="inlineStr">
        <is>
          <t>CVE-2025-70146</t>
        </is>
      </c>
      <c r="C248" s="193" t="inlineStr">
        <is>
          <t>Missing authentication in multiple administrative action scripts under /admin/ in ProjectWorlds Online Time Table Generator 1.0 allows remote attackers to perform unauthorized administrative operations (e.g.,adding records, deleting records) via direct HTTP requests to affected endpoints without a valid session.</t>
        </is>
      </c>
      <c r="D248" s="193" t="n">
        <v>9.1</v>
      </c>
      <c r="E248" s="193" t="inlineStr">
        <is>
          <t>CRITICAL</t>
        </is>
      </c>
      <c r="F248" s="193" t="n">
        <v>2</v>
      </c>
      <c r="G248" s="193" t="n">
        <v>3</v>
      </c>
      <c r="H248" s="193" t="inlineStr">
        <is>
          <t>HIGH</t>
        </is>
      </c>
      <c r="I248" s="193" t="n">
        <v>15.1</v>
      </c>
      <c r="J248" s="193" t="inlineStr">
        <is>
          <t>NO</t>
        </is>
      </c>
      <c r="K248" s="194" t="inlineStr">
        <is>
          <t>https://nvd.nist.gov/vuln/detail/CVE-2025-70146</t>
        </is>
      </c>
      <c r="L248" s="193" t="inlineStr">
        <is>
          <t>2026-02-23 23:48</t>
        </is>
      </c>
      <c r="M248" s="193" t="inlineStr">
        <is>
          <t>YES</t>
        </is>
      </c>
      <c r="N248" s="194" t="inlineStr">
        <is>
          <t>https://youngkevinn.github.io/posts/CVE-2025-70146-OTTTG-Unauth-Deletion/</t>
        </is>
      </c>
      <c r="O248" s="194" t="inlineStr">
        <is>
          <t>https://youngkevinn.github.io/posts/CVE-2025-70146-OTTTG-Unauth-Deletion/</t>
        </is>
      </c>
      <c r="P248" s="193" t="inlineStr">
        <is>
          <t>projectworlds online_time_table_generator 1.0</t>
        </is>
      </c>
      <c r="Q248" s="193" t="inlineStr">
        <is>
          <t>P3</t>
        </is>
      </c>
      <c r="R248" s="193" t="inlineStr">
        <is>
          <t>🚨 URGENT: Apply vendor patches immediately | 🔒 Isolate affected systems if patch unavailable | 🛡️ Enable additional monitoring/IDS rules</t>
        </is>
      </c>
      <c r="S248" s="193" t="inlineStr">
        <is>
          <t>CVE - IP enrichment n/a</t>
        </is>
      </c>
      <c r="T248" s="193" t="n">
        <v>0</v>
      </c>
      <c r="U248" s="193" t="n">
        <v>0</v>
      </c>
      <c r="V248" s="193" t="inlineStr">
        <is>
          <t>T1078:Valid Accounts</t>
        </is>
      </c>
      <c r="W248" s="193" t="n">
        <v>1</v>
      </c>
      <c r="X248" s="193" t="inlineStr">
        <is>
          <t>LOW (40%)</t>
        </is>
      </c>
      <c r="Y248" s="193" t="inlineStr">
        <is>
          <t>UNLIKELY</t>
        </is>
      </c>
      <c r="Z248" s="193" t="inlineStr">
        <is>
          <t>PATCH_AVAILABLE</t>
        </is>
      </c>
      <c r="AA248" s="194" t="inlineStr">
        <is>
          <t>https://nvd.nist.gov/vuln/detail/CVE-2025-70146</t>
        </is>
      </c>
      <c r="AB248" s="193" t="inlineStr">
        <is>
          <t>NONE</t>
        </is>
      </c>
      <c r="AC248" s="193" t="n">
        <v>0</v>
      </c>
      <c r="AD248" s="193" t="n"/>
    </row>
    <row r="249">
      <c r="A249" s="189" t="inlineStr">
        <is>
          <t>CVE</t>
        </is>
      </c>
      <c r="B249" s="189" t="inlineStr">
        <is>
          <t>CVE-2025-70147</t>
        </is>
      </c>
      <c r="C249" s="189" t="inlineStr">
        <is>
          <t>Missing authentication in /admin/student.php and /admin/teacher.php in ProjectWorlds Online Time Table Generator 1.0 allows remote attackers to obtain sensitive information (including plaintext password field values) via direct HTTP GET requests to these endpoints without a valid session.</t>
        </is>
      </c>
      <c r="D249" s="189" t="n">
        <v>7.5</v>
      </c>
      <c r="E249" s="189" t="inlineStr">
        <is>
          <t>HIGH</t>
        </is>
      </c>
      <c r="F249" s="189" t="n">
        <v>2</v>
      </c>
      <c r="G249" s="189" t="n">
        <v>3</v>
      </c>
      <c r="H249" s="189" t="inlineStr">
        <is>
          <t>HIGH</t>
        </is>
      </c>
      <c r="I249" s="189" t="n">
        <v>13.5</v>
      </c>
      <c r="J249" s="189" t="inlineStr">
        <is>
          <t>NO</t>
        </is>
      </c>
      <c r="K249" s="190" t="inlineStr">
        <is>
          <t>https://nvd.nist.gov/vuln/detail/CVE-2025-70147</t>
        </is>
      </c>
      <c r="L249" s="189" t="inlineStr">
        <is>
          <t>2026-02-23 23:48</t>
        </is>
      </c>
      <c r="M249" s="189" t="inlineStr">
        <is>
          <t>YES</t>
        </is>
      </c>
      <c r="N249" s="190" t="inlineStr">
        <is>
          <t>https://youngkevinn.github.io/posts/CVE-2025-70147-OTTTG-Info-Disclosure/</t>
        </is>
      </c>
      <c r="O249" s="190" t="inlineStr">
        <is>
          <t>https://youngkevinn.github.io/posts/CVE-2025-70147-OTTTG-Info-Disclosure/</t>
        </is>
      </c>
      <c r="P249" s="189" t="inlineStr">
        <is>
          <t>projectworlds online_time_table_generator 1.0</t>
        </is>
      </c>
      <c r="Q249" s="189" t="inlineStr">
        <is>
          <t>P3</t>
        </is>
      </c>
      <c r="R249" s="189" t="inlineStr">
        <is>
          <t>🚨 URGENT: Apply vendor patches immediately | 🔒 Isolate affected systems if patch unavailable | 🛡️ Enable additional monitoring/IDS rules</t>
        </is>
      </c>
      <c r="S249" s="189" t="inlineStr">
        <is>
          <t>CVE - IP enrichment n/a</t>
        </is>
      </c>
      <c r="T249" s="189" t="n">
        <v>0</v>
      </c>
      <c r="U249" s="189" t="n">
        <v>0</v>
      </c>
      <c r="V249" s="189" t="inlineStr">
        <is>
          <t>T1078:Valid Accounts</t>
        </is>
      </c>
      <c r="W249" s="189" t="n">
        <v>1</v>
      </c>
      <c r="X249" s="189" t="inlineStr">
        <is>
          <t>LOW (40%)</t>
        </is>
      </c>
      <c r="Y249" s="189" t="inlineStr">
        <is>
          <t>UNLIKELY</t>
        </is>
      </c>
      <c r="Z249" s="189" t="inlineStr">
        <is>
          <t>PATCH_AVAILABLE</t>
        </is>
      </c>
      <c r="AA249" s="190" t="inlineStr">
        <is>
          <t>https://nvd.nist.gov/vuln/detail/CVE-2025-70147</t>
        </is>
      </c>
      <c r="AB249" s="189" t="inlineStr">
        <is>
          <t>NONE</t>
        </is>
      </c>
      <c r="AC249" s="189" t="n">
        <v>0</v>
      </c>
      <c r="AD249" s="189" t="n"/>
    </row>
    <row r="250">
      <c r="A250" s="193" t="inlineStr">
        <is>
          <t>CVE</t>
        </is>
      </c>
      <c r="B250" s="193" t="inlineStr">
        <is>
          <t>CVE-2025-70149</t>
        </is>
      </c>
      <c r="C250" s="193" t="inlineStr">
        <is>
          <t>CodeAstro Membership Management System 1.0 is vulnerable to SQL Injection in print_membership_card.php via the ID parameter.</t>
        </is>
      </c>
      <c r="D250" s="193" t="n">
        <v>9.800000000000001</v>
      </c>
      <c r="E250" s="193" t="inlineStr">
        <is>
          <t>CRITICAL</t>
        </is>
      </c>
      <c r="F250" s="193" t="n">
        <v>2</v>
      </c>
      <c r="G250" s="193" t="n">
        <v>3</v>
      </c>
      <c r="H250" s="193" t="inlineStr">
        <is>
          <t>HIGH</t>
        </is>
      </c>
      <c r="I250" s="193" t="n">
        <v>15.8</v>
      </c>
      <c r="J250" s="193" t="inlineStr">
        <is>
          <t>NO</t>
        </is>
      </c>
      <c r="K250" s="194" t="inlineStr">
        <is>
          <t>https://nvd.nist.gov/vuln/detail/CVE-2025-70149</t>
        </is>
      </c>
      <c r="L250" s="193" t="inlineStr">
        <is>
          <t>2026-02-23 23:48</t>
        </is>
      </c>
      <c r="M250" s="193" t="inlineStr">
        <is>
          <t>YES</t>
        </is>
      </c>
      <c r="N250" s="194" t="inlineStr">
        <is>
          <t>https://youngkevinn.github.io/posts/CVE-2025-70149-Membership-SQLi/</t>
        </is>
      </c>
      <c r="O250" s="194" t="inlineStr">
        <is>
          <t>https://youngkevinn.github.io/posts/CVE-2025-70149-Membership-SQLi/</t>
        </is>
      </c>
      <c r="P250" s="193" t="inlineStr">
        <is>
          <t>codeastro membership_management_system 1.0</t>
        </is>
      </c>
      <c r="Q250" s="193" t="inlineStr">
        <is>
          <t>P3</t>
        </is>
      </c>
      <c r="R250" s="193" t="inlineStr">
        <is>
          <t>🚨 URGENT: Apply vendor patches immediately | 🔒 Isolate affected systems if patch unavailable | 🛡️ Enable additional monitoring/IDS rules</t>
        </is>
      </c>
      <c r="S250" s="193" t="inlineStr">
        <is>
          <t>CVE - IP enrichment n/a</t>
        </is>
      </c>
      <c r="T250" s="193" t="n">
        <v>0</v>
      </c>
      <c r="U250" s="193" t="n">
        <v>0</v>
      </c>
      <c r="V250" s="193" t="inlineStr">
        <is>
          <t>T1190:Exploit Public-Facing Application</t>
        </is>
      </c>
      <c r="W250" s="193" t="n">
        <v>1</v>
      </c>
      <c r="X250" s="193" t="inlineStr">
        <is>
          <t>LOW (40%)</t>
        </is>
      </c>
      <c r="Y250" s="193" t="inlineStr">
        <is>
          <t>UNLIKELY</t>
        </is>
      </c>
      <c r="Z250" s="193" t="inlineStr">
        <is>
          <t>PATCH_AVAILABLE</t>
        </is>
      </c>
      <c r="AA250" s="194" t="inlineStr">
        <is>
          <t>https://nvd.nist.gov/vuln/detail/CVE-2025-70149</t>
        </is>
      </c>
      <c r="AB250" s="193" t="inlineStr">
        <is>
          <t>NONE</t>
        </is>
      </c>
      <c r="AC250" s="193" t="n">
        <v>0</v>
      </c>
      <c r="AD250" s="193" t="n"/>
    </row>
    <row r="251">
      <c r="A251" s="191" t="inlineStr">
        <is>
          <t>CVE</t>
        </is>
      </c>
      <c r="B251" s="191" t="inlineStr">
        <is>
          <t>CVE-2026-2230</t>
        </is>
      </c>
      <c r="C251" s="191" t="inlineStr">
        <is>
          <t>The Booking Calendar plugin for WordPress is vulnerable to Insecure Direct Object Reference in all versions up to, and including, 10.14.14 via the handle_ajax_save function due to missing validation on a user controlled key. This makes it possible for authenticated attackers, with Subscriber-level access and above, and booking permissions granted by an Administrator, to modify other users' plugin settings, such as booking calendar display options, which can disrupt the booking calendar functiona</t>
        </is>
      </c>
      <c r="D251" s="191" t="n">
        <v>4.3</v>
      </c>
      <c r="E251" s="191" t="inlineStr">
        <is>
          <t>MEDIUM</t>
        </is>
      </c>
      <c r="F251" s="191" t="n">
        <v>2</v>
      </c>
      <c r="G251" s="191" t="n">
        <v>2</v>
      </c>
      <c r="H251" s="191" t="inlineStr">
        <is>
          <t>MEDIUM</t>
        </is>
      </c>
      <c r="I251" s="191" t="n">
        <v>8.300000000000001</v>
      </c>
      <c r="J251" s="191" t="inlineStr">
        <is>
          <t>NO</t>
        </is>
      </c>
      <c r="K251" s="192" t="inlineStr">
        <is>
          <t>https://nvd.nist.gov/vuln/detail/CVE-2026-2230</t>
        </is>
      </c>
      <c r="L251" s="191" t="inlineStr">
        <is>
          <t>2026-02-23 23:48</t>
        </is>
      </c>
      <c r="M251" s="191" t="inlineStr">
        <is>
          <t>CHECK_VENDOR</t>
        </is>
      </c>
      <c r="N251" s="191" t="inlineStr">
        <is>
          <t>See NVD references</t>
        </is>
      </c>
      <c r="O251" s="191" t="inlineStr">
        <is>
          <t>Apply vendor patches</t>
        </is>
      </c>
      <c r="P251" s="191" t="inlineStr">
        <is>
          <t>See CVE details</t>
        </is>
      </c>
      <c r="Q251" s="191" t="inlineStr">
        <is>
          <t>P4</t>
        </is>
      </c>
      <c r="R251" s="191" t="inlineStr">
        <is>
          <t>📅 Schedule patch deployment within 30 days | 🔍 Monitor for exploitation attempts</t>
        </is>
      </c>
      <c r="S251" s="191" t="inlineStr">
        <is>
          <t>CVE - IP enrichment n/a</t>
        </is>
      </c>
      <c r="T251" s="191" t="n">
        <v>0</v>
      </c>
      <c r="U251" s="191" t="n">
        <v>0</v>
      </c>
      <c r="V251" s="191" t="inlineStr">
        <is>
          <t>T1190:Exploit Public-Facing Application</t>
        </is>
      </c>
      <c r="W251" s="191" t="n">
        <v>1</v>
      </c>
      <c r="X251" s="191" t="inlineStr">
        <is>
          <t>LOW (40%)</t>
        </is>
      </c>
      <c r="Y251" s="191" t="inlineStr">
        <is>
          <t>UNLIKELY</t>
        </is>
      </c>
      <c r="Z251" s="191" t="inlineStr">
        <is>
          <t>CHECK_VENDOR</t>
        </is>
      </c>
      <c r="AA251" s="192" t="inlineStr">
        <is>
          <t>https://nvd.nist.gov/vuln/detail/CVE-2026-2230</t>
        </is>
      </c>
      <c r="AB251" s="191" t="inlineStr">
        <is>
          <t>NONE</t>
        </is>
      </c>
      <c r="AC251" s="191" t="n">
        <v>0</v>
      </c>
      <c r="AD251" s="191" t="n"/>
    </row>
    <row r="252">
      <c r="A252" s="189" t="inlineStr">
        <is>
          <t>CVE</t>
        </is>
      </c>
      <c r="B252" s="189" t="inlineStr">
        <is>
          <t>CVE-2026-2507</t>
        </is>
      </c>
      <c r="C252" s="189" t="inlineStr">
        <is>
          <t>When BIG-IP AFM or BIG-IP DDoS is provisioned, undisclosed traffic can cause TMM to terminate.  Note: Software versions which have reached End of Technical Support (EoTS) are not evaluated.</t>
        </is>
      </c>
      <c r="D252" s="189" t="n">
        <v>7.5</v>
      </c>
      <c r="E252" s="189" t="inlineStr">
        <is>
          <t>HIGH</t>
        </is>
      </c>
      <c r="F252" s="189" t="n">
        <v>2</v>
      </c>
      <c r="G252" s="189" t="n">
        <v>3</v>
      </c>
      <c r="H252" s="189" t="inlineStr">
        <is>
          <t>HIGH</t>
        </is>
      </c>
      <c r="I252" s="189" t="n">
        <v>13.5</v>
      </c>
      <c r="J252" s="189" t="inlineStr">
        <is>
          <t>NO</t>
        </is>
      </c>
      <c r="K252" s="190" t="inlineStr">
        <is>
          <t>https://nvd.nist.gov/vuln/detail/CVE-2026-2507</t>
        </is>
      </c>
      <c r="L252" s="189" t="inlineStr">
        <is>
          <t>2026-02-23 23:48</t>
        </is>
      </c>
      <c r="M252" s="189" t="inlineStr">
        <is>
          <t>CHECK_VENDOR</t>
        </is>
      </c>
      <c r="N252" s="189" t="inlineStr">
        <is>
          <t>See NVD references</t>
        </is>
      </c>
      <c r="O252" s="189" t="inlineStr">
        <is>
          <t>Apply vendor patches</t>
        </is>
      </c>
      <c r="P252" s="189" t="inlineStr">
        <is>
          <t>See CVE details</t>
        </is>
      </c>
      <c r="Q252" s="189" t="inlineStr">
        <is>
          <t>P3</t>
        </is>
      </c>
      <c r="R252" s="189" t="inlineStr">
        <is>
          <t>🚨 URGENT: Apply vendor patches immediately | 🔒 Isolate affected systems if patch unavailable | 🛡️ Enable additional monitoring/IDS rules</t>
        </is>
      </c>
      <c r="S252" s="189" t="inlineStr">
        <is>
          <t>CVE - IP enrichment n/a</t>
        </is>
      </c>
      <c r="T252" s="189" t="n">
        <v>0</v>
      </c>
      <c r="U252" s="189" t="n">
        <v>0</v>
      </c>
      <c r="V252" s="189" t="inlineStr">
        <is>
          <t>T1499:Endpoint Denial of Service</t>
        </is>
      </c>
      <c r="W252" s="189" t="n">
        <v>1</v>
      </c>
      <c r="X252" s="189" t="inlineStr">
        <is>
          <t>LOW (40%)</t>
        </is>
      </c>
      <c r="Y252" s="189" t="inlineStr">
        <is>
          <t>UNLIKELY</t>
        </is>
      </c>
      <c r="Z252" s="189" t="inlineStr">
        <is>
          <t>CHECK_VENDOR</t>
        </is>
      </c>
      <c r="AA252" s="190" t="inlineStr">
        <is>
          <t>https://nvd.nist.gov/vuln/detail/CVE-2026-2507</t>
        </is>
      </c>
      <c r="AB252" s="189" t="inlineStr">
        <is>
          <t>NONE</t>
        </is>
      </c>
      <c r="AC252" s="189" t="n">
        <v>0</v>
      </c>
      <c r="AD252" s="189" t="n"/>
    </row>
    <row r="253">
      <c r="A253" s="195" t="inlineStr">
        <is>
          <t>CVE</t>
        </is>
      </c>
      <c r="B253" s="195" t="inlineStr">
        <is>
          <t>CVE-2026-2657</t>
        </is>
      </c>
      <c r="C253" s="195" t="inlineStr">
        <is>
          <t>A vulnerability has been found in wren-lang wren up to 0.4.0. This impacts the function printError of the file src/vm/wren_compiler.c of the component Error Message Handler. Such manipulation leads to stack-based buffer overflow. An attack has to be approached locally. The exploit has been disclosed to the public and may be used. The project was informed of the problem early through an issue report but has not responded yet.</t>
        </is>
      </c>
      <c r="D253" s="195" t="n">
        <v>3.3</v>
      </c>
      <c r="E253" s="195" t="inlineStr">
        <is>
          <t>LOW</t>
        </is>
      </c>
      <c r="F253" s="195" t="n">
        <v>2</v>
      </c>
      <c r="G253" s="195" t="n">
        <v>1</v>
      </c>
      <c r="H253" s="195" t="inlineStr">
        <is>
          <t>LOW</t>
        </is>
      </c>
      <c r="I253" s="195" t="n">
        <v>5.3</v>
      </c>
      <c r="J253" s="195" t="inlineStr">
        <is>
          <t>NO</t>
        </is>
      </c>
      <c r="K253" s="196" t="inlineStr">
        <is>
          <t>https://nvd.nist.gov/vuln/detail/CVE-2026-2657</t>
        </is>
      </c>
      <c r="L253" s="195" t="inlineStr">
        <is>
          <t>2026-02-23 23:48</t>
        </is>
      </c>
      <c r="M253" s="195" t="inlineStr">
        <is>
          <t>YES</t>
        </is>
      </c>
      <c r="N253" s="196" t="inlineStr">
        <is>
          <t>https://github.com/wren-lang/wren/issues/1221</t>
        </is>
      </c>
      <c r="O253" s="195" t="inlineStr">
        <is>
          <t>Apply vendor patches</t>
        </is>
      </c>
      <c r="P253" s="195" t="inlineStr">
        <is>
          <t>wren wren *</t>
        </is>
      </c>
      <c r="Q253" s="195" t="inlineStr">
        <is>
          <t>P4</t>
        </is>
      </c>
      <c r="R253" s="195" t="inlineStr">
        <is>
          <t>📅 Schedule patch deployment within 30 days | 🔍 Monitor for exploitation attempts</t>
        </is>
      </c>
      <c r="S253" s="195" t="inlineStr">
        <is>
          <t>CVE - IP enrichment n/a</t>
        </is>
      </c>
      <c r="T253" s="195" t="n">
        <v>0</v>
      </c>
      <c r="U253" s="195" t="n">
        <v>0</v>
      </c>
      <c r="V253" s="195" t="inlineStr">
        <is>
          <t>T1203:Exploitation for Client Execution</t>
        </is>
      </c>
      <c r="W253" s="195" t="n">
        <v>1</v>
      </c>
      <c r="X253" s="195" t="inlineStr">
        <is>
          <t>LOW (40%)</t>
        </is>
      </c>
      <c r="Y253" s="195" t="inlineStr">
        <is>
          <t>UNLIKELY</t>
        </is>
      </c>
      <c r="Z253" s="195" t="inlineStr">
        <is>
          <t>PATCH_AVAILABLE</t>
        </is>
      </c>
      <c r="AA253" s="196" t="inlineStr">
        <is>
          <t>https://nvd.nist.gov/vuln/detail/CVE-2026-2657</t>
        </is>
      </c>
      <c r="AB253" s="195" t="inlineStr">
        <is>
          <t>NONE</t>
        </is>
      </c>
      <c r="AC253" s="195" t="n">
        <v>0</v>
      </c>
      <c r="AD253" s="195" t="n"/>
    </row>
    <row r="254">
      <c r="A254" s="193" t="inlineStr">
        <is>
          <t>CVE</t>
        </is>
      </c>
      <c r="B254" s="193" t="inlineStr">
        <is>
          <t>CVE-2025-14009</t>
        </is>
      </c>
      <c r="C254" s="193" t="inlineStr">
        <is>
          <t>A critical vulnerability exists in the NLTK downloader component of nltk/nltk, affecting all versions. The _unzip_iter function in nltk/downloader.py uses zipfile.extractall() without performing path validation or security checks. This allows attackers to craft malicious zip packages that, when downloaded and extracted by NLTK, can execute arbitrary code. The vulnerability arises because NLTK assumes all downloaded packages are trusted and extracts them without validation. If a malicious package</t>
        </is>
      </c>
      <c r="D254" s="193" t="n">
        <v>10</v>
      </c>
      <c r="E254" s="193" t="inlineStr">
        <is>
          <t>CRITICAL</t>
        </is>
      </c>
      <c r="F254" s="193" t="n">
        <v>2</v>
      </c>
      <c r="G254" s="193" t="n">
        <v>3</v>
      </c>
      <c r="H254" s="193" t="inlineStr">
        <is>
          <t>HIGH</t>
        </is>
      </c>
      <c r="I254" s="193" t="n">
        <v>16</v>
      </c>
      <c r="J254" s="193" t="inlineStr">
        <is>
          <t>NO</t>
        </is>
      </c>
      <c r="K254" s="194" t="inlineStr">
        <is>
          <t>https://nvd.nist.gov/vuln/detail/CVE-2025-14009</t>
        </is>
      </c>
      <c r="L254" s="193" t="inlineStr">
        <is>
          <t>2026-02-23 23:48</t>
        </is>
      </c>
      <c r="M254" s="193" t="inlineStr">
        <is>
          <t>CHECK_VENDOR</t>
        </is>
      </c>
      <c r="N254" s="193" t="inlineStr">
        <is>
          <t>See NVD references</t>
        </is>
      </c>
      <c r="O254" s="193" t="inlineStr">
        <is>
          <t>Apply vendor patches</t>
        </is>
      </c>
      <c r="P254" s="193" t="inlineStr">
        <is>
          <t>See CVE details</t>
        </is>
      </c>
      <c r="Q254" s="193" t="inlineStr">
        <is>
          <t>P3</t>
        </is>
      </c>
      <c r="R254" s="193" t="inlineStr">
        <is>
          <t>🚨 URGENT: Apply vendor patches immediately | 🔒 Isolate affected systems if patch unavailable | 🛡️ Enable additional monitoring/IDS rules</t>
        </is>
      </c>
      <c r="S254" s="193" t="inlineStr">
        <is>
          <t>CVE - IP enrichment n/a</t>
        </is>
      </c>
      <c r="T254" s="193" t="n">
        <v>0</v>
      </c>
      <c r="U254" s="193" t="n">
        <v>0</v>
      </c>
      <c r="V254" s="193" t="inlineStr">
        <is>
          <t>T1059:Command and Scripting Interpreter | T1190:Exploit Public-Facing Application | T1210:Exploitation of Remote Services</t>
        </is>
      </c>
      <c r="W254" s="193" t="n">
        <v>1</v>
      </c>
      <c r="X254" s="193" t="inlineStr">
        <is>
          <t>LOW (40%)</t>
        </is>
      </c>
      <c r="Y254" s="193" t="inlineStr">
        <is>
          <t>UNLIKELY</t>
        </is>
      </c>
      <c r="Z254" s="193" t="inlineStr">
        <is>
          <t>CHECK_VENDOR</t>
        </is>
      </c>
      <c r="AA254" s="194" t="inlineStr">
        <is>
          <t>https://nvd.nist.gov/vuln/detail/CVE-2025-14009</t>
        </is>
      </c>
      <c r="AB254" s="193" t="inlineStr">
        <is>
          <t>NONE</t>
        </is>
      </c>
      <c r="AC254" s="193" t="n">
        <v>0</v>
      </c>
      <c r="AD254" s="193" t="n"/>
    </row>
    <row r="255">
      <c r="A255" s="189" t="inlineStr">
        <is>
          <t>CVE</t>
        </is>
      </c>
      <c r="B255" s="189" t="inlineStr">
        <is>
          <t>CVE-2025-70148</t>
        </is>
      </c>
      <c r="C255" s="189" t="inlineStr">
        <is>
          <t>Missing authentication and authorization in print_membership_card.php in CodeAstro Membership Management System 1.0 allows unauthenticated attackers to access membership card data of arbitrary users via direct requests with a manipulated id parameter, resulting in insecure direct object reference (IDOR).</t>
        </is>
      </c>
      <c r="D255" s="189" t="n">
        <v>7.5</v>
      </c>
      <c r="E255" s="189" t="inlineStr">
        <is>
          <t>HIGH</t>
        </is>
      </c>
      <c r="F255" s="189" t="n">
        <v>2</v>
      </c>
      <c r="G255" s="189" t="n">
        <v>3</v>
      </c>
      <c r="H255" s="189" t="inlineStr">
        <is>
          <t>HIGH</t>
        </is>
      </c>
      <c r="I255" s="189" t="n">
        <v>13.5</v>
      </c>
      <c r="J255" s="189" t="inlineStr">
        <is>
          <t>NO</t>
        </is>
      </c>
      <c r="K255" s="190" t="inlineStr">
        <is>
          <t>https://nvd.nist.gov/vuln/detail/CVE-2025-70148</t>
        </is>
      </c>
      <c r="L255" s="189" t="inlineStr">
        <is>
          <t>2026-02-23 23:48</t>
        </is>
      </c>
      <c r="M255" s="189" t="inlineStr">
        <is>
          <t>CHECK_VENDOR</t>
        </is>
      </c>
      <c r="N255" s="189" t="inlineStr">
        <is>
          <t>See NVD references</t>
        </is>
      </c>
      <c r="O255" s="189" t="inlineStr">
        <is>
          <t>Apply vendor patches</t>
        </is>
      </c>
      <c r="P255" s="189" t="inlineStr">
        <is>
          <t>codeastro membership_management_system 1.0</t>
        </is>
      </c>
      <c r="Q255" s="189" t="inlineStr">
        <is>
          <t>P3</t>
        </is>
      </c>
      <c r="R255" s="189" t="inlineStr">
        <is>
          <t>🚨 URGENT: Apply vendor patches immediately | 🔒 Isolate affected systems if patch unavailable | 🛡️ Enable additional monitoring/IDS rules</t>
        </is>
      </c>
      <c r="S255" s="189" t="inlineStr">
        <is>
          <t>CVE - IP enrichment n/a</t>
        </is>
      </c>
      <c r="T255" s="189" t="n">
        <v>0</v>
      </c>
      <c r="U255" s="189" t="n">
        <v>0</v>
      </c>
      <c r="V255" s="189" t="inlineStr">
        <is>
          <t>T1190:Exploit Public-Facing Application</t>
        </is>
      </c>
      <c r="W255" s="189" t="n">
        <v>1</v>
      </c>
      <c r="X255" s="189" t="inlineStr">
        <is>
          <t>LOW (40%)</t>
        </is>
      </c>
      <c r="Y255" s="189" t="inlineStr">
        <is>
          <t>UNLIKELY</t>
        </is>
      </c>
      <c r="Z255" s="189" t="inlineStr">
        <is>
          <t>CHECK_VENDOR</t>
        </is>
      </c>
      <c r="AA255" s="190" t="inlineStr">
        <is>
          <t>https://nvd.nist.gov/vuln/detail/CVE-2025-70148</t>
        </is>
      </c>
      <c r="AB255" s="189" t="inlineStr">
        <is>
          <t>NONE</t>
        </is>
      </c>
      <c r="AC255" s="189" t="n">
        <v>0</v>
      </c>
      <c r="AD255" s="189" t="n"/>
    </row>
    <row r="256">
      <c r="A256" s="193" t="inlineStr">
        <is>
          <t>CVE</t>
        </is>
      </c>
      <c r="B256" s="193" t="inlineStr">
        <is>
          <t>CVE-2025-70150</t>
        </is>
      </c>
      <c r="C256" s="193" t="inlineStr">
        <is>
          <t>CodeAstro Membership Management System 1.0 contains a missing authentication vulnerability in delete_members.php that allows unauthenticated attackers to delete arbitrary member records via the id parameter.</t>
        </is>
      </c>
      <c r="D256" s="193" t="n">
        <v>9.800000000000001</v>
      </c>
      <c r="E256" s="193" t="inlineStr">
        <is>
          <t>CRITICAL</t>
        </is>
      </c>
      <c r="F256" s="193" t="n">
        <v>2</v>
      </c>
      <c r="G256" s="193" t="n">
        <v>3</v>
      </c>
      <c r="H256" s="193" t="inlineStr">
        <is>
          <t>HIGH</t>
        </is>
      </c>
      <c r="I256" s="193" t="n">
        <v>15.8</v>
      </c>
      <c r="J256" s="193" t="inlineStr">
        <is>
          <t>NO</t>
        </is>
      </c>
      <c r="K256" s="194" t="inlineStr">
        <is>
          <t>https://nvd.nist.gov/vuln/detail/CVE-2025-70150</t>
        </is>
      </c>
      <c r="L256" s="193" t="inlineStr">
        <is>
          <t>2026-02-23 23:48</t>
        </is>
      </c>
      <c r="M256" s="193" t="inlineStr">
        <is>
          <t>YES</t>
        </is>
      </c>
      <c r="N256" s="194" t="inlineStr">
        <is>
          <t>https://youngkevinn.github.io/posts/CVE-2025-70150-Membership-Unauth-Delete/ | https://youngkevinn.github.io/posts/CVE-2025-70150-Membership-Unauth-Delete/</t>
        </is>
      </c>
      <c r="O256" s="194" t="inlineStr">
        <is>
          <t>https://youngkevinn.github.io/posts/CVE-2025-70150-Membership-Unauth-Delete/ | https://youngkevinn.github.io/posts/CVE-2025-70150-Membership-Unauth-Delete/</t>
        </is>
      </c>
      <c r="P256" s="193" t="inlineStr">
        <is>
          <t>codeastro membership_management_system 1.0</t>
        </is>
      </c>
      <c r="Q256" s="193" t="inlineStr">
        <is>
          <t>P3</t>
        </is>
      </c>
      <c r="R256" s="193" t="inlineStr">
        <is>
          <t>🚨 URGENT: Apply vendor patches immediately | 🔒 Isolate affected systems if patch unavailable | 🛡️ Enable additional monitoring/IDS rules</t>
        </is>
      </c>
      <c r="S256" s="193" t="inlineStr">
        <is>
          <t>CVE - IP enrichment n/a</t>
        </is>
      </c>
      <c r="T256" s="193" t="n">
        <v>0</v>
      </c>
      <c r="U256" s="193" t="n">
        <v>0</v>
      </c>
      <c r="V256" s="193" t="inlineStr">
        <is>
          <t>T1190:Exploit Public-Facing Application</t>
        </is>
      </c>
      <c r="W256" s="193" t="n">
        <v>1</v>
      </c>
      <c r="X256" s="193" t="inlineStr">
        <is>
          <t>LOW (40%)</t>
        </is>
      </c>
      <c r="Y256" s="193" t="inlineStr">
        <is>
          <t>UNLIKELY</t>
        </is>
      </c>
      <c r="Z256" s="193" t="inlineStr">
        <is>
          <t>PATCH_AVAILABLE</t>
        </is>
      </c>
      <c r="AA256" s="194" t="inlineStr">
        <is>
          <t>https://nvd.nist.gov/vuln/detail/CVE-2025-70150</t>
        </is>
      </c>
      <c r="AB256" s="193" t="inlineStr">
        <is>
          <t>NONE</t>
        </is>
      </c>
      <c r="AC256" s="193" t="n">
        <v>0</v>
      </c>
      <c r="AD256" s="193" t="n"/>
    </row>
    <row r="257">
      <c r="A257" s="189" t="inlineStr">
        <is>
          <t>CVE</t>
        </is>
      </c>
      <c r="B257" s="189" t="inlineStr">
        <is>
          <t>CVE-2025-70151</t>
        </is>
      </c>
      <c r="C257" s="189" t="inlineStr">
        <is>
          <t>code-projects Scholars Tracking System 1.0 allows an authenticated attacker to achieve remote code execution via unrestricted file upload. The endpoints update_profile_picture.php and upload_picture.php store uploaded files in a web-accessible uploads/ directory using the original, user-supplied filename without validating the file type or extension. By uploading a PHP file and then requesting it from /uploads/, an attacker can execute arbitrary PHP code as the web server user.</t>
        </is>
      </c>
      <c r="D257" s="189" t="n">
        <v>8.800000000000001</v>
      </c>
      <c r="E257" s="189" t="inlineStr">
        <is>
          <t>HIGH</t>
        </is>
      </c>
      <c r="F257" s="189" t="n">
        <v>2</v>
      </c>
      <c r="G257" s="189" t="n">
        <v>3</v>
      </c>
      <c r="H257" s="189" t="inlineStr">
        <is>
          <t>HIGH</t>
        </is>
      </c>
      <c r="I257" s="189" t="n">
        <v>14.8</v>
      </c>
      <c r="J257" s="189" t="inlineStr">
        <is>
          <t>NO</t>
        </is>
      </c>
      <c r="K257" s="190" t="inlineStr">
        <is>
          <t>https://nvd.nist.gov/vuln/detail/CVE-2025-70151</t>
        </is>
      </c>
      <c r="L257" s="189" t="inlineStr">
        <is>
          <t>2026-02-23 23:48</t>
        </is>
      </c>
      <c r="M257" s="189" t="inlineStr">
        <is>
          <t>YES</t>
        </is>
      </c>
      <c r="N257" s="190" t="inlineStr">
        <is>
          <t>https://youngkevinn.github.io/posts/CVE-2025-70151-Scholars-FileUpload-RCE/</t>
        </is>
      </c>
      <c r="O257" s="190" t="inlineStr">
        <is>
          <t>https://youngkevinn.github.io/posts/CVE-2025-70151-Scholars-FileUpload-RCE/</t>
        </is>
      </c>
      <c r="P257" s="189" t="inlineStr">
        <is>
          <t>fabian scholars_tracking_system 1.0</t>
        </is>
      </c>
      <c r="Q257" s="189" t="inlineStr">
        <is>
          <t>P3</t>
        </is>
      </c>
      <c r="R257" s="189" t="inlineStr">
        <is>
          <t>🚨 URGENT: Apply vendor patches immediately | 🔒 Isolate affected systems if patch unavailable | 🛡️ Enable additional monitoring/IDS rules</t>
        </is>
      </c>
      <c r="S257" s="189" t="inlineStr">
        <is>
          <t>CVE - IP enrichment n/a</t>
        </is>
      </c>
      <c r="T257" s="189" t="n">
        <v>0.0021</v>
      </c>
      <c r="U257" s="189" t="n">
        <v>0.4316</v>
      </c>
      <c r="V257" s="189" t="inlineStr">
        <is>
          <t>T1190:Exploit Public-Facing Application | T1210:Exploitation of Remote Services</t>
        </is>
      </c>
      <c r="W257" s="189" t="n">
        <v>1</v>
      </c>
      <c r="X257" s="189" t="inlineStr">
        <is>
          <t>LOW (40%)</t>
        </is>
      </c>
      <c r="Y257" s="189" t="inlineStr">
        <is>
          <t>UNLIKELY</t>
        </is>
      </c>
      <c r="Z257" s="189" t="inlineStr">
        <is>
          <t>PATCH_AVAILABLE</t>
        </is>
      </c>
      <c r="AA257" s="190" t="inlineStr">
        <is>
          <t>https://nvd.nist.gov/vuln/detail/CVE-2025-70151</t>
        </is>
      </c>
      <c r="AB257" s="189" t="inlineStr">
        <is>
          <t>NONE</t>
        </is>
      </c>
      <c r="AC257" s="189" t="n">
        <v>0</v>
      </c>
      <c r="AD257" s="189" t="n"/>
    </row>
    <row r="258">
      <c r="A258" s="193" t="inlineStr">
        <is>
          <t>CVE</t>
        </is>
      </c>
      <c r="B258" s="193" t="inlineStr">
        <is>
          <t>CVE-2025-70152</t>
        </is>
      </c>
      <c r="C258" s="193" t="inlineStr">
        <is>
          <t>code-projects Community Project Scholars Tracking System 1.0 is vulnerable to SQL Injection in the admin user management endpoints /admin/save_user.php and /admin/update_user.php. These endpoints lack authentication checks and directly concatenate user-supplied POST parameters (firstname, lastname, username, password, user_id) into SQL queries without validation or parameterization.</t>
        </is>
      </c>
      <c r="D258" s="193" t="n">
        <v>9.800000000000001</v>
      </c>
      <c r="E258" s="193" t="inlineStr">
        <is>
          <t>CRITICAL</t>
        </is>
      </c>
      <c r="F258" s="193" t="n">
        <v>2</v>
      </c>
      <c r="G258" s="193" t="n">
        <v>3</v>
      </c>
      <c r="H258" s="193" t="inlineStr">
        <is>
          <t>HIGH</t>
        </is>
      </c>
      <c r="I258" s="193" t="n">
        <v>15.8</v>
      </c>
      <c r="J258" s="193" t="inlineStr">
        <is>
          <t>NO</t>
        </is>
      </c>
      <c r="K258" s="194" t="inlineStr">
        <is>
          <t>https://nvd.nist.gov/vuln/detail/CVE-2025-70152</t>
        </is>
      </c>
      <c r="L258" s="193" t="inlineStr">
        <is>
          <t>2026-02-23 23:48</t>
        </is>
      </c>
      <c r="M258" s="193" t="inlineStr">
        <is>
          <t>YES</t>
        </is>
      </c>
      <c r="N258" s="194" t="inlineStr">
        <is>
          <t>https://youngkevinn.github.io/posts/CVE-2025-70152-Scholars-SQLi-Missing-Auth/</t>
        </is>
      </c>
      <c r="O258" s="194" t="inlineStr">
        <is>
          <t>https://youngkevinn.github.io/posts/CVE-2025-70152-Scholars-SQLi-Missing-Auth/</t>
        </is>
      </c>
      <c r="P258" s="193" t="inlineStr">
        <is>
          <t>fabian scholars_tracking_system 1.0</t>
        </is>
      </c>
      <c r="Q258" s="193" t="inlineStr">
        <is>
          <t>P3</t>
        </is>
      </c>
      <c r="R258" s="193" t="inlineStr">
        <is>
          <t>🚨 URGENT: Apply vendor patches immediately | 🔒 Isolate affected systems if patch unavailable | 🛡️ Enable additional monitoring/IDS rules</t>
        </is>
      </c>
      <c r="S258" s="193" t="inlineStr">
        <is>
          <t>CVE - IP enrichment n/a</t>
        </is>
      </c>
      <c r="T258" s="193" t="n">
        <v>0</v>
      </c>
      <c r="U258" s="193" t="n">
        <v>0</v>
      </c>
      <c r="V258" s="193" t="inlineStr">
        <is>
          <t>T1190:Exploit Public-Facing Application</t>
        </is>
      </c>
      <c r="W258" s="193" t="n">
        <v>1</v>
      </c>
      <c r="X258" s="193" t="inlineStr">
        <is>
          <t>LOW (40%)</t>
        </is>
      </c>
      <c r="Y258" s="193" t="inlineStr">
        <is>
          <t>UNLIKELY</t>
        </is>
      </c>
      <c r="Z258" s="193" t="inlineStr">
        <is>
          <t>PATCH_AVAILABLE</t>
        </is>
      </c>
      <c r="AA258" s="194" t="inlineStr">
        <is>
          <t>https://nvd.nist.gov/vuln/detail/CVE-2025-70152</t>
        </is>
      </c>
      <c r="AB258" s="193" t="inlineStr">
        <is>
          <t>NONE</t>
        </is>
      </c>
      <c r="AC258" s="193" t="n">
        <v>0</v>
      </c>
      <c r="AD258" s="193" t="n"/>
    </row>
    <row r="259">
      <c r="A259" s="195" t="inlineStr">
        <is>
          <t>CVE</t>
        </is>
      </c>
      <c r="B259" s="195" t="inlineStr">
        <is>
          <t>CVE-2026-20137</t>
        </is>
      </c>
      <c r="C259" s="195" t="inlineStr">
        <is>
          <t>In Splunk Enterprise versions below 10.2.0, 10.0.3, 9.4.5, 9.3.7, and 9.2.9, and Splunk Cloud Platform versions below 10.1.2507.0, 10.0.2503.9, 9.3.2411.112, and 9.3.2408.122, a low-privileged user who does not hold the "admin" or "power" Splunk roles could bypass the SPL safeguards for risky commands when they create a Data Model that contains an injected SPL query within an object. They can bypass the safeguards by exploiting a path traversal vulnerability.</t>
        </is>
      </c>
      <c r="D259" s="195" t="n">
        <v>3.5</v>
      </c>
      <c r="E259" s="195" t="inlineStr">
        <is>
          <t>LOW</t>
        </is>
      </c>
      <c r="F259" s="195" t="n">
        <v>2</v>
      </c>
      <c r="G259" s="195" t="n">
        <v>1</v>
      </c>
      <c r="H259" s="195" t="inlineStr">
        <is>
          <t>LOW</t>
        </is>
      </c>
      <c r="I259" s="195" t="n">
        <v>5.5</v>
      </c>
      <c r="J259" s="195" t="inlineStr">
        <is>
          <t>NO</t>
        </is>
      </c>
      <c r="K259" s="196" t="inlineStr">
        <is>
          <t>https://nvd.nist.gov/vuln/detail/CVE-2026-20137</t>
        </is>
      </c>
      <c r="L259" s="195" t="inlineStr">
        <is>
          <t>2026-02-23 23:48</t>
        </is>
      </c>
      <c r="M259" s="195" t="inlineStr">
        <is>
          <t>YES</t>
        </is>
      </c>
      <c r="N259" s="196" t="inlineStr">
        <is>
          <t>https://advisory.splunk.com/advisories/SVD-2026-0202</t>
        </is>
      </c>
      <c r="O259" s="195" t="inlineStr">
        <is>
          <t>Apply vendor patches</t>
        </is>
      </c>
      <c r="P259" s="195" t="inlineStr">
        <is>
          <t>splunk splunk *</t>
        </is>
      </c>
      <c r="Q259" s="195" t="inlineStr">
        <is>
          <t>P4</t>
        </is>
      </c>
      <c r="R259" s="195" t="inlineStr">
        <is>
          <t>📅 Schedule patch deployment within 30 days | 🔍 Monitor for exploitation attempts</t>
        </is>
      </c>
      <c r="S259" s="195" t="inlineStr">
        <is>
          <t>CVE - IP enrichment n/a</t>
        </is>
      </c>
      <c r="T259" s="195" t="n">
        <v>0.0004</v>
      </c>
      <c r="U259" s="195" t="n">
        <v>0.1064</v>
      </c>
      <c r="V259" s="195" t="inlineStr">
        <is>
          <t>T1213:Data from Information Repositories | T1083:File and Directory Discovery</t>
        </is>
      </c>
      <c r="W259" s="195" t="n">
        <v>1</v>
      </c>
      <c r="X259" s="195" t="inlineStr">
        <is>
          <t>LOW (40%)</t>
        </is>
      </c>
      <c r="Y259" s="195" t="inlineStr">
        <is>
          <t>UNLIKELY</t>
        </is>
      </c>
      <c r="Z259" s="195" t="inlineStr">
        <is>
          <t>PATCH_AVAILABLE</t>
        </is>
      </c>
      <c r="AA259" s="196" t="inlineStr">
        <is>
          <t>https://nvd.nist.gov/vuln/detail/CVE-2026-20137</t>
        </is>
      </c>
      <c r="AB259" s="195" t="inlineStr">
        <is>
          <t>NONE</t>
        </is>
      </c>
      <c r="AC259" s="195" t="n">
        <v>0</v>
      </c>
      <c r="AD259" s="195" t="n"/>
    </row>
    <row r="260">
      <c r="A260" s="191" t="inlineStr">
        <is>
          <t>CVE</t>
        </is>
      </c>
      <c r="B260" s="191" t="inlineStr">
        <is>
          <t>CVE-2026-20138</t>
        </is>
      </c>
      <c r="C260" s="191" t="inlineStr">
        <is>
          <t>In Splunk Enterprise versions below 10.2.0, 10.0.2, 9.4.7, 9.3.9, and 9.2.11, a user of a Splunk Search Head Cluster (SHC) deployment who holds a role with access to the Splunk `_internal` index could view the  `integrationKey`, `secretKey`, and `appSecretKey` secrets, generated by [Duo Two-Factor Authentication for Splunk Enterprise](https://duo.com/docs/splunk), in plain text.</t>
        </is>
      </c>
      <c r="D260" s="191" t="n">
        <v>6.8</v>
      </c>
      <c r="E260" s="191" t="inlineStr">
        <is>
          <t>MEDIUM</t>
        </is>
      </c>
      <c r="F260" s="191" t="n">
        <v>2</v>
      </c>
      <c r="G260" s="191" t="n">
        <v>2</v>
      </c>
      <c r="H260" s="191" t="inlineStr">
        <is>
          <t>MEDIUM</t>
        </is>
      </c>
      <c r="I260" s="191" t="n">
        <v>10.8</v>
      </c>
      <c r="J260" s="191" t="inlineStr">
        <is>
          <t>NO</t>
        </is>
      </c>
      <c r="K260" s="192" t="inlineStr">
        <is>
          <t>https://nvd.nist.gov/vuln/detail/CVE-2026-20138</t>
        </is>
      </c>
      <c r="L260" s="191" t="inlineStr">
        <is>
          <t>2026-02-23 23:48</t>
        </is>
      </c>
      <c r="M260" s="191" t="inlineStr">
        <is>
          <t>YES</t>
        </is>
      </c>
      <c r="N260" s="192" t="inlineStr">
        <is>
          <t>https://advisory.splunk.com/advisories/SVD-2026-0203</t>
        </is>
      </c>
      <c r="O260" s="191" t="inlineStr">
        <is>
          <t>Apply vendor patches</t>
        </is>
      </c>
      <c r="P260" s="191" t="inlineStr">
        <is>
          <t>splunk splunk *</t>
        </is>
      </c>
      <c r="Q260" s="191" t="inlineStr">
        <is>
          <t>P4</t>
        </is>
      </c>
      <c r="R260" s="191" t="inlineStr">
        <is>
          <t>📅 Schedule patch deployment within 30 days | 🔍 Monitor for exploitation attempts</t>
        </is>
      </c>
      <c r="S260" s="191" t="inlineStr">
        <is>
          <t>CVE - IP enrichment n/a</t>
        </is>
      </c>
      <c r="T260" s="191" t="n">
        <v>0</v>
      </c>
      <c r="U260" s="191" t="n">
        <v>0</v>
      </c>
      <c r="V260" s="191" t="inlineStr">
        <is>
          <t>T1190:Exploit Public-Facing Application</t>
        </is>
      </c>
      <c r="W260" s="191" t="n">
        <v>1</v>
      </c>
      <c r="X260" s="191" t="inlineStr">
        <is>
          <t>LOW (40%)</t>
        </is>
      </c>
      <c r="Y260" s="191" t="inlineStr">
        <is>
          <t>UNLIKELY</t>
        </is>
      </c>
      <c r="Z260" s="191" t="inlineStr">
        <is>
          <t>PATCH_AVAILABLE</t>
        </is>
      </c>
      <c r="AA260" s="192" t="inlineStr">
        <is>
          <t>https://nvd.nist.gov/vuln/detail/CVE-2026-20138</t>
        </is>
      </c>
      <c r="AB260" s="191" t="inlineStr">
        <is>
          <t>NONE</t>
        </is>
      </c>
      <c r="AC260" s="191" t="n">
        <v>0</v>
      </c>
      <c r="AD260" s="191" t="n"/>
    </row>
    <row r="261">
      <c r="A261" s="191" t="inlineStr">
        <is>
          <t>CVE</t>
        </is>
      </c>
      <c r="B261" s="191" t="inlineStr">
        <is>
          <t>CVE-2026-20139</t>
        </is>
      </c>
      <c r="C261" s="191" t="inlineStr">
        <is>
          <t>In Splunk Enterprise versions below 10.2.0, 10.0.2, 9.4.8, 9.3.9, and 9.2.12, and Splunk Cloud Platform versions below 10.2.2510.3, 10.1.2507.8, 10.0.2503.9, and 9.3.2411.121, a low-privileged user that does not hold the "admin" or "power" Splunk roles could craft a malicious payload into the `realname`, `tz`, or `email` parameters of the `/splunkd/__raw/services/authentication/users/username` REST API endpoint when they change a password. This could potentially lead to a client‑side denial‑of‑s</t>
        </is>
      </c>
      <c r="D261" s="191" t="n">
        <v>4.3</v>
      </c>
      <c r="E261" s="191" t="inlineStr">
        <is>
          <t>MEDIUM</t>
        </is>
      </c>
      <c r="F261" s="191" t="n">
        <v>2</v>
      </c>
      <c r="G261" s="191" t="n">
        <v>2</v>
      </c>
      <c r="H261" s="191" t="inlineStr">
        <is>
          <t>MEDIUM</t>
        </is>
      </c>
      <c r="I261" s="191" t="n">
        <v>8.300000000000001</v>
      </c>
      <c r="J261" s="191" t="inlineStr">
        <is>
          <t>NO</t>
        </is>
      </c>
      <c r="K261" s="192" t="inlineStr">
        <is>
          <t>https://nvd.nist.gov/vuln/detail/CVE-2026-20139</t>
        </is>
      </c>
      <c r="L261" s="191" t="inlineStr">
        <is>
          <t>2026-02-23 23:48</t>
        </is>
      </c>
      <c r="M261" s="191" t="inlineStr">
        <is>
          <t>YES</t>
        </is>
      </c>
      <c r="N261" s="192" t="inlineStr">
        <is>
          <t>https://advisory.splunk.com/advisories/SVD-2026-0204</t>
        </is>
      </c>
      <c r="O261" s="191" t="inlineStr">
        <is>
          <t>Apply vendor patches</t>
        </is>
      </c>
      <c r="P261" s="191" t="inlineStr">
        <is>
          <t>splunk splunk *</t>
        </is>
      </c>
      <c r="Q261" s="191" t="inlineStr">
        <is>
          <t>P4</t>
        </is>
      </c>
      <c r="R261" s="191" t="inlineStr">
        <is>
          <t>📅 Schedule patch deployment within 30 days | 🔍 Monitor for exploitation attempts</t>
        </is>
      </c>
      <c r="S261" s="191" t="inlineStr">
        <is>
          <t>CVE - IP enrichment n/a</t>
        </is>
      </c>
      <c r="T261" s="191" t="n">
        <v>0</v>
      </c>
      <c r="U261" s="191" t="n">
        <v>0</v>
      </c>
      <c r="V261" s="191" t="inlineStr">
        <is>
          <t>T1190:Exploit Public-Facing Application</t>
        </is>
      </c>
      <c r="W261" s="191" t="n">
        <v>1</v>
      </c>
      <c r="X261" s="191" t="inlineStr">
        <is>
          <t>LOW (40%)</t>
        </is>
      </c>
      <c r="Y261" s="191" t="inlineStr">
        <is>
          <t>UNLIKELY</t>
        </is>
      </c>
      <c r="Z261" s="191" t="inlineStr">
        <is>
          <t>PATCH_AVAILABLE</t>
        </is>
      </c>
      <c r="AA261" s="192" t="inlineStr">
        <is>
          <t>https://nvd.nist.gov/vuln/detail/CVE-2026-20139</t>
        </is>
      </c>
      <c r="AB261" s="191" t="inlineStr">
        <is>
          <t>NONE</t>
        </is>
      </c>
      <c r="AC261" s="191" t="n">
        <v>0</v>
      </c>
      <c r="AD261" s="191" t="n"/>
    </row>
    <row r="262">
      <c r="A262" s="191" t="inlineStr">
        <is>
          <t>CVE</t>
        </is>
      </c>
      <c r="B262" s="191" t="inlineStr">
        <is>
          <t>CVE-2026-20141</t>
        </is>
      </c>
      <c r="C262" s="191" t="inlineStr">
        <is>
          <t xml:space="preserve">In Splunk Enterprise versions below 10.0.2, 10.0.3, 9.4.8, and 9.3.9, a low-privileged user who does not hold the "admin" Splunk role could access the Splunk Monitoring Console App endpoints due to an improper access control. This could lead to a sensitive information disclosure. The Monitoring Console app is a bundled app that comes with Splunk Enterprise. It is not available for download on SplunkBase, and is not installed on Splunk Cloud Platform instances. This vulnerability does not affect </t>
        </is>
      </c>
      <c r="D262" s="191" t="n">
        <v>4.3</v>
      </c>
      <c r="E262" s="191" t="inlineStr">
        <is>
          <t>MEDIUM</t>
        </is>
      </c>
      <c r="F262" s="191" t="n">
        <v>2</v>
      </c>
      <c r="G262" s="191" t="n">
        <v>2</v>
      </c>
      <c r="H262" s="191" t="inlineStr">
        <is>
          <t>MEDIUM</t>
        </is>
      </c>
      <c r="I262" s="191" t="n">
        <v>8.300000000000001</v>
      </c>
      <c r="J262" s="191" t="inlineStr">
        <is>
          <t>NO</t>
        </is>
      </c>
      <c r="K262" s="192" t="inlineStr">
        <is>
          <t>https://nvd.nist.gov/vuln/detail/CVE-2026-20141</t>
        </is>
      </c>
      <c r="L262" s="191" t="inlineStr">
        <is>
          <t>2026-02-23 23:48</t>
        </is>
      </c>
      <c r="M262" s="191" t="inlineStr">
        <is>
          <t>YES</t>
        </is>
      </c>
      <c r="N262" s="192" t="inlineStr">
        <is>
          <t>https://advisory.splunk.com/advisories/SVD-2026-0206</t>
        </is>
      </c>
      <c r="O262" s="191" t="inlineStr">
        <is>
          <t>Apply vendor patches</t>
        </is>
      </c>
      <c r="P262" s="191" t="inlineStr">
        <is>
          <t>splunk splunk *</t>
        </is>
      </c>
      <c r="Q262" s="191" t="inlineStr">
        <is>
          <t>P4</t>
        </is>
      </c>
      <c r="R262" s="191" t="inlineStr">
        <is>
          <t>📅 Schedule patch deployment within 30 days | 🔍 Monitor for exploitation attempts</t>
        </is>
      </c>
      <c r="S262" s="191" t="inlineStr">
        <is>
          <t>CVE - IP enrichment n/a</t>
        </is>
      </c>
      <c r="T262" s="191" t="n">
        <v>0</v>
      </c>
      <c r="U262" s="191" t="n">
        <v>0</v>
      </c>
      <c r="V262" s="191" t="inlineStr">
        <is>
          <t>T1213:Data from Information Repositories</t>
        </is>
      </c>
      <c r="W262" s="191" t="n">
        <v>1</v>
      </c>
      <c r="X262" s="191" t="inlineStr">
        <is>
          <t>LOW (40%)</t>
        </is>
      </c>
      <c r="Y262" s="191" t="inlineStr">
        <is>
          <t>UNLIKELY</t>
        </is>
      </c>
      <c r="Z262" s="191" t="inlineStr">
        <is>
          <t>PATCH_AVAILABLE</t>
        </is>
      </c>
      <c r="AA262" s="192" t="inlineStr">
        <is>
          <t>https://nvd.nist.gov/vuln/detail/CVE-2026-20141</t>
        </is>
      </c>
      <c r="AB262" s="191" t="inlineStr">
        <is>
          <t>NONE</t>
        </is>
      </c>
      <c r="AC262" s="191" t="n">
        <v>0</v>
      </c>
      <c r="AD262" s="191" t="n"/>
    </row>
    <row r="263">
      <c r="A263" s="191" t="inlineStr">
        <is>
          <t>CVE</t>
        </is>
      </c>
      <c r="B263" s="191" t="inlineStr">
        <is>
          <t>CVE-2026-20142</t>
        </is>
      </c>
      <c r="C263" s="191" t="inlineStr">
        <is>
          <t>In Splunk Enterprise versions below 10.2.0, 10.0.2, 9.4.7, 9.3.9, and 9.2.11, a user of a Splunk Search Head Cluster (SHC) deployment who holds a role with access to the Splunk `_internal` index could view the RSA `accessKey` value from the [ Authentication.conf ](https://help.splunk.com/en/splunk-enterprise/administer/admin-manual/10.2/configuration-file-reference/10.2.0-configuration-file-reference/authentication.conf)file, in plain text.</t>
        </is>
      </c>
      <c r="D263" s="191" t="n">
        <v>6.8</v>
      </c>
      <c r="E263" s="191" t="inlineStr">
        <is>
          <t>MEDIUM</t>
        </is>
      </c>
      <c r="F263" s="191" t="n">
        <v>2</v>
      </c>
      <c r="G263" s="191" t="n">
        <v>2</v>
      </c>
      <c r="H263" s="191" t="inlineStr">
        <is>
          <t>MEDIUM</t>
        </is>
      </c>
      <c r="I263" s="191" t="n">
        <v>10.8</v>
      </c>
      <c r="J263" s="191" t="inlineStr">
        <is>
          <t>NO</t>
        </is>
      </c>
      <c r="K263" s="192" t="inlineStr">
        <is>
          <t>https://nvd.nist.gov/vuln/detail/CVE-2026-20142</t>
        </is>
      </c>
      <c r="L263" s="191" t="inlineStr">
        <is>
          <t>2026-02-23 23:48</t>
        </is>
      </c>
      <c r="M263" s="191" t="inlineStr">
        <is>
          <t>YES</t>
        </is>
      </c>
      <c r="N263" s="192" t="inlineStr">
        <is>
          <t>https://advisory.splunk.com/advisories/SVD-2026-0207</t>
        </is>
      </c>
      <c r="O263" s="191" t="inlineStr">
        <is>
          <t>Apply vendor patches</t>
        </is>
      </c>
      <c r="P263" s="191" t="inlineStr">
        <is>
          <t>splunk splunk *</t>
        </is>
      </c>
      <c r="Q263" s="191" t="inlineStr">
        <is>
          <t>P4</t>
        </is>
      </c>
      <c r="R263" s="191" t="inlineStr">
        <is>
          <t>📅 Schedule patch deployment within 30 days | 🔍 Monitor for exploitation attempts</t>
        </is>
      </c>
      <c r="S263" s="191" t="inlineStr">
        <is>
          <t>CVE - IP enrichment n/a</t>
        </is>
      </c>
      <c r="T263" s="191" t="n">
        <v>0.0002</v>
      </c>
      <c r="U263" s="191" t="n">
        <v>0.0415</v>
      </c>
      <c r="V263" s="191" t="inlineStr">
        <is>
          <t>T1190:Exploit Public-Facing Application</t>
        </is>
      </c>
      <c r="W263" s="191" t="n">
        <v>1</v>
      </c>
      <c r="X263" s="191" t="inlineStr">
        <is>
          <t>LOW (40%)</t>
        </is>
      </c>
      <c r="Y263" s="191" t="inlineStr">
        <is>
          <t>UNLIKELY</t>
        </is>
      </c>
      <c r="Z263" s="191" t="inlineStr">
        <is>
          <t>PATCH_AVAILABLE</t>
        </is>
      </c>
      <c r="AA263" s="192" t="inlineStr">
        <is>
          <t>https://nvd.nist.gov/vuln/detail/CVE-2026-20142</t>
        </is>
      </c>
      <c r="AB263" s="191" t="inlineStr">
        <is>
          <t>NONE</t>
        </is>
      </c>
      <c r="AC263" s="191" t="n">
        <v>0</v>
      </c>
      <c r="AD263" s="191" t="n"/>
    </row>
    <row r="264">
      <c r="A264" s="191" t="inlineStr">
        <is>
          <t>CVE</t>
        </is>
      </c>
      <c r="B264" s="191" t="inlineStr">
        <is>
          <t>CVE-2026-20144</t>
        </is>
      </c>
      <c r="C264" s="191" t="inlineStr">
        <is>
          <t xml:space="preserve">In Splunk Enterprise versions below 10.2.0, 10.0.2, 9.4.7, 9.3.8, and 9.2.11, and Splunk Cloud Platform versions below 10.2.2510.0, 10.1.2507.11, 10.0.2503.9, and 9.3.2411.120, a user of a Splunk Search Head Cluster (SHC) deployment who holds a role with access to the the Splunk _internal index could view the Security Assertion Markup Language (SAML) configurations for Attribute query requests (AQRs) or Authentication extensions in plain text within the conf.log file, depending on which feature </t>
        </is>
      </c>
      <c r="D264" s="191" t="n">
        <v>6.8</v>
      </c>
      <c r="E264" s="191" t="inlineStr">
        <is>
          <t>MEDIUM</t>
        </is>
      </c>
      <c r="F264" s="191" t="n">
        <v>2</v>
      </c>
      <c r="G264" s="191" t="n">
        <v>2</v>
      </c>
      <c r="H264" s="191" t="inlineStr">
        <is>
          <t>MEDIUM</t>
        </is>
      </c>
      <c r="I264" s="191" t="n">
        <v>10.8</v>
      </c>
      <c r="J264" s="191" t="inlineStr">
        <is>
          <t>NO</t>
        </is>
      </c>
      <c r="K264" s="192" t="inlineStr">
        <is>
          <t>https://nvd.nist.gov/vuln/detail/CVE-2026-20144</t>
        </is>
      </c>
      <c r="L264" s="191" t="inlineStr">
        <is>
          <t>2026-02-23 23:48</t>
        </is>
      </c>
      <c r="M264" s="191" t="inlineStr">
        <is>
          <t>YES</t>
        </is>
      </c>
      <c r="N264" s="192" t="inlineStr">
        <is>
          <t>https://advisory.splunk.com/advisories/SVD-2026-0209</t>
        </is>
      </c>
      <c r="O264" s="191" t="inlineStr">
        <is>
          <t>Apply vendor patches</t>
        </is>
      </c>
      <c r="P264" s="191" t="inlineStr">
        <is>
          <t>splunk splunk *</t>
        </is>
      </c>
      <c r="Q264" s="191" t="inlineStr">
        <is>
          <t>P4</t>
        </is>
      </c>
      <c r="R264" s="191" t="inlineStr">
        <is>
          <t>📅 Schedule patch deployment within 30 days | 🔍 Monitor for exploitation attempts</t>
        </is>
      </c>
      <c r="S264" s="191" t="inlineStr">
        <is>
          <t>CVE - IP enrichment n/a</t>
        </is>
      </c>
      <c r="T264" s="191" t="n">
        <v>0</v>
      </c>
      <c r="U264" s="191" t="n">
        <v>0</v>
      </c>
      <c r="V264" s="191" t="inlineStr">
        <is>
          <t>T1190:Exploit Public-Facing Application</t>
        </is>
      </c>
      <c r="W264" s="191" t="n">
        <v>1</v>
      </c>
      <c r="X264" s="191" t="inlineStr">
        <is>
          <t>LOW (40%)</t>
        </is>
      </c>
      <c r="Y264" s="191" t="inlineStr">
        <is>
          <t>UNLIKELY</t>
        </is>
      </c>
      <c r="Z264" s="191" t="inlineStr">
        <is>
          <t>PATCH_AVAILABLE</t>
        </is>
      </c>
      <c r="AA264" s="192" t="inlineStr">
        <is>
          <t>https://nvd.nist.gov/vuln/detail/CVE-2026-20144</t>
        </is>
      </c>
      <c r="AB264" s="191" t="inlineStr">
        <is>
          <t>NONE</t>
        </is>
      </c>
      <c r="AC264" s="191" t="n">
        <v>0</v>
      </c>
      <c r="AD264" s="191" t="n"/>
    </row>
    <row r="265">
      <c r="A265" s="189" t="inlineStr">
        <is>
          <t>CVE</t>
        </is>
      </c>
      <c r="B265" s="189" t="inlineStr">
        <is>
          <t>CVE-2026-24708</t>
        </is>
      </c>
      <c r="C265" s="189" t="inlineStr">
        <is>
          <t>An issue was discovered in OpenStack Nova before 30.2.2, 31 before 31.2.1, and 32 before 32.1.1. By writing a malicious QCOW header to a root or ephemeral disk and then triggering a resize, a user may convince Nova's Flat image backend to call qemu-img without a format restriction, resulting in an unsafe image resize operation that could destroy data on the host system. Only compute nodes using the Flat image backend (usually configured with use_cow_images=False) are affected.</t>
        </is>
      </c>
      <c r="D265" s="189" t="n">
        <v>8.199999999999999</v>
      </c>
      <c r="E265" s="189" t="inlineStr">
        <is>
          <t>HIGH</t>
        </is>
      </c>
      <c r="F265" s="189" t="n">
        <v>2</v>
      </c>
      <c r="G265" s="189" t="n">
        <v>3</v>
      </c>
      <c r="H265" s="189" t="inlineStr">
        <is>
          <t>HIGH</t>
        </is>
      </c>
      <c r="I265" s="189" t="n">
        <v>14.2</v>
      </c>
      <c r="J265" s="189" t="inlineStr">
        <is>
          <t>NO</t>
        </is>
      </c>
      <c r="K265" s="190" t="inlineStr">
        <is>
          <t>https://nvd.nist.gov/vuln/detail/CVE-2026-24708</t>
        </is>
      </c>
      <c r="L265" s="189" t="inlineStr">
        <is>
          <t>2026-02-23 23:48</t>
        </is>
      </c>
      <c r="M265" s="189" t="inlineStr">
        <is>
          <t>CHECK_VENDOR</t>
        </is>
      </c>
      <c r="N265" s="189" t="inlineStr">
        <is>
          <t>See NVD references</t>
        </is>
      </c>
      <c r="O265" s="189" t="inlineStr">
        <is>
          <t>Apply vendor patches</t>
        </is>
      </c>
      <c r="P265" s="189" t="inlineStr">
        <is>
          <t>See CVE details</t>
        </is>
      </c>
      <c r="Q265" s="189" t="inlineStr">
        <is>
          <t>P3</t>
        </is>
      </c>
      <c r="R265" s="189" t="inlineStr">
        <is>
          <t>🚨 URGENT: Apply vendor patches immediately | 🔒 Isolate affected systems if patch unavailable | 🛡️ Enable additional monitoring/IDS rules</t>
        </is>
      </c>
      <c r="S265" s="189" t="inlineStr">
        <is>
          <t>CVE - IP enrichment n/a</t>
        </is>
      </c>
      <c r="T265" s="189" t="n">
        <v>0</v>
      </c>
      <c r="U265" s="189" t="n">
        <v>0</v>
      </c>
      <c r="V265" s="189" t="inlineStr">
        <is>
          <t>T1190:Exploit Public-Facing Application</t>
        </is>
      </c>
      <c r="W265" s="189" t="n">
        <v>1</v>
      </c>
      <c r="X265" s="189" t="inlineStr">
        <is>
          <t>LOW (40%)</t>
        </is>
      </c>
      <c r="Y265" s="189" t="inlineStr">
        <is>
          <t>UNLIKELY</t>
        </is>
      </c>
      <c r="Z265" s="189" t="inlineStr">
        <is>
          <t>CHECK_VENDOR</t>
        </is>
      </c>
      <c r="AA265" s="190" t="inlineStr">
        <is>
          <t>https://nvd.nist.gov/vuln/detail/CVE-2026-24708</t>
        </is>
      </c>
      <c r="AB265" s="189" t="inlineStr">
        <is>
          <t>NONE</t>
        </is>
      </c>
      <c r="AC265" s="189" t="n">
        <v>0</v>
      </c>
      <c r="AD265" s="189" t="n"/>
    </row>
    <row r="266">
      <c r="A266" s="191" t="inlineStr">
        <is>
          <t>CVE</t>
        </is>
      </c>
      <c r="B266" s="191" t="inlineStr">
        <is>
          <t>CVE-2026-2658</t>
        </is>
      </c>
      <c r="C266" s="191" t="inlineStr">
        <is>
          <t>A vulnerability was found in newbee-ltd newbee-mall up to a069069b07027613bf0e7f571736be86f431faee. Affected is an unknown function of the component Multiple Endpoints. Performing a manipulation results in cross-site request forgery. Remote exploitation of the attack is possible. The exploit has been made public and could be used. This product follows a rolling release approach for continuous delivery, so version details for affected or updated releases are not provided. The project was informed</t>
        </is>
      </c>
      <c r="D266" s="191" t="n">
        <v>4.3</v>
      </c>
      <c r="E266" s="191" t="inlineStr">
        <is>
          <t>MEDIUM</t>
        </is>
      </c>
      <c r="F266" s="191" t="n">
        <v>2</v>
      </c>
      <c r="G266" s="191" t="n">
        <v>2</v>
      </c>
      <c r="H266" s="191" t="inlineStr">
        <is>
          <t>MEDIUM</t>
        </is>
      </c>
      <c r="I266" s="191" t="n">
        <v>8.300000000000001</v>
      </c>
      <c r="J266" s="191" t="inlineStr">
        <is>
          <t>NO</t>
        </is>
      </c>
      <c r="K266" s="192" t="inlineStr">
        <is>
          <t>https://nvd.nist.gov/vuln/detail/CVE-2026-2658</t>
        </is>
      </c>
      <c r="L266" s="191" t="inlineStr">
        <is>
          <t>2026-02-23 23:48</t>
        </is>
      </c>
      <c r="M266" s="191" t="inlineStr">
        <is>
          <t>CHECK_VENDOR</t>
        </is>
      </c>
      <c r="N266" s="191" t="inlineStr">
        <is>
          <t>See NVD references</t>
        </is>
      </c>
      <c r="O266" s="191" t="inlineStr">
        <is>
          <t>Apply vendor patches</t>
        </is>
      </c>
      <c r="P266" s="191" t="inlineStr">
        <is>
          <t>See CVE details</t>
        </is>
      </c>
      <c r="Q266" s="191" t="inlineStr">
        <is>
          <t>P4</t>
        </is>
      </c>
      <c r="R266" s="191" t="inlineStr">
        <is>
          <t>📅 Schedule patch deployment within 30 days | 🔍 Monitor for exploitation attempts</t>
        </is>
      </c>
      <c r="S266" s="191" t="inlineStr">
        <is>
          <t>CVE - IP enrichment n/a</t>
        </is>
      </c>
      <c r="T266" s="191" t="n">
        <v>0.0002</v>
      </c>
      <c r="U266" s="191" t="n">
        <v>0.0621</v>
      </c>
      <c r="V266" s="191" t="inlineStr">
        <is>
          <t>T1185:Browser Session Hijacking</t>
        </is>
      </c>
      <c r="W266" s="191" t="n">
        <v>1</v>
      </c>
      <c r="X266" s="191" t="inlineStr">
        <is>
          <t>LOW (40%)</t>
        </is>
      </c>
      <c r="Y266" s="191" t="inlineStr">
        <is>
          <t>UNLIKELY</t>
        </is>
      </c>
      <c r="Z266" s="191" t="inlineStr">
        <is>
          <t>CHECK_VENDOR</t>
        </is>
      </c>
      <c r="AA266" s="192" t="inlineStr">
        <is>
          <t>https://nvd.nist.gov/vuln/detail/CVE-2026-2658</t>
        </is>
      </c>
      <c r="AB266" s="191" t="inlineStr">
        <is>
          <t>NONE</t>
        </is>
      </c>
      <c r="AC266" s="191" t="n">
        <v>0</v>
      </c>
      <c r="AD266" s="191" t="n"/>
    </row>
    <row r="267">
      <c r="A267" s="195" t="inlineStr">
        <is>
          <t>CVE</t>
        </is>
      </c>
      <c r="B267" s="195" t="inlineStr">
        <is>
          <t>CVE-2026-2659</t>
        </is>
      </c>
      <c r="C267" s="195" t="inlineStr">
        <is>
          <t>A vulnerability was determined in Squirrel up to 3.2. Affected by this vulnerability is the function SQFuncState::PopTarget of the file src/squirrel/squirrel/sqfuncstate.cpp. Executing a manipulation of the argument _target_stack can lead to out-of-bounds read. It is possible to launch the attack on the local host. The exploit has been publicly disclosed and may be utilized. The project was informed of the problem early through an issue report but has not responded yet.</t>
        </is>
      </c>
      <c r="D267" s="195" t="n">
        <v>3.3</v>
      </c>
      <c r="E267" s="195" t="inlineStr">
        <is>
          <t>LOW</t>
        </is>
      </c>
      <c r="F267" s="195" t="n">
        <v>2</v>
      </c>
      <c r="G267" s="195" t="n">
        <v>1</v>
      </c>
      <c r="H267" s="195" t="inlineStr">
        <is>
          <t>LOW</t>
        </is>
      </c>
      <c r="I267" s="195" t="n">
        <v>5.3</v>
      </c>
      <c r="J267" s="195" t="inlineStr">
        <is>
          <t>NO</t>
        </is>
      </c>
      <c r="K267" s="196" t="inlineStr">
        <is>
          <t>https://nvd.nist.gov/vuln/detail/CVE-2026-2659</t>
        </is>
      </c>
      <c r="L267" s="195" t="inlineStr">
        <is>
          <t>2026-02-23 23:48</t>
        </is>
      </c>
      <c r="M267" s="195" t="inlineStr">
        <is>
          <t>CHECK_VENDOR</t>
        </is>
      </c>
      <c r="N267" s="195" t="inlineStr">
        <is>
          <t>See NVD references</t>
        </is>
      </c>
      <c r="O267" s="195" t="inlineStr">
        <is>
          <t>Apply vendor patches</t>
        </is>
      </c>
      <c r="P267" s="195" t="inlineStr">
        <is>
          <t>squirrel-lang squirrel *</t>
        </is>
      </c>
      <c r="Q267" s="195" t="inlineStr">
        <is>
          <t>P4</t>
        </is>
      </c>
      <c r="R267" s="195" t="inlineStr">
        <is>
          <t>📅 Schedule patch deployment within 30 days | 🔍 Monitor for exploitation attempts</t>
        </is>
      </c>
      <c r="S267" s="195" t="inlineStr">
        <is>
          <t>CVE - IP enrichment n/a</t>
        </is>
      </c>
      <c r="T267" s="195" t="n">
        <v>0</v>
      </c>
      <c r="U267" s="195" t="n">
        <v>0</v>
      </c>
      <c r="V267" s="195" t="inlineStr">
        <is>
          <t>T1203:Exploitation for Client Execution</t>
        </is>
      </c>
      <c r="W267" s="195" t="n">
        <v>1</v>
      </c>
      <c r="X267" s="195" t="inlineStr">
        <is>
          <t>LOW (40%)</t>
        </is>
      </c>
      <c r="Y267" s="195" t="inlineStr">
        <is>
          <t>UNLIKELY</t>
        </is>
      </c>
      <c r="Z267" s="195" t="inlineStr">
        <is>
          <t>CHECK_VENDOR</t>
        </is>
      </c>
      <c r="AA267" s="196" t="inlineStr">
        <is>
          <t>https://nvd.nist.gov/vuln/detail/CVE-2026-2659</t>
        </is>
      </c>
      <c r="AB267" s="195" t="inlineStr">
        <is>
          <t>NONE</t>
        </is>
      </c>
      <c r="AC267" s="195" t="n">
        <v>0</v>
      </c>
      <c r="AD267" s="195" t="n"/>
    </row>
    <row r="268">
      <c r="A268" s="191" t="inlineStr">
        <is>
          <t>CVE</t>
        </is>
      </c>
      <c r="B268" s="191" t="inlineStr">
        <is>
          <t>CVE-2025-69287</t>
        </is>
      </c>
      <c r="C268" s="191" t="inlineStr">
        <is>
          <t>The BSV Blockchain SDK is a unified TypeScript SDK for developing scalable apps on the BSV Blockchain. Prior to version 2.0.0, a cryptographic vulnerability in the TypeScript SDK's BRC-104 authentication implementation caused incorrect signature data preparation, resulting in signature incompatibility between SDK implementations and potential authentication bypass scenarios. The vulnerability was located in the `Peer.ts` file of the TypeScript SDK, specifically in the `processInitialRequest` and</t>
        </is>
      </c>
      <c r="D268" s="191" t="n">
        <v>5.4</v>
      </c>
      <c r="E268" s="191" t="inlineStr">
        <is>
          <t>MEDIUM</t>
        </is>
      </c>
      <c r="F268" s="191" t="n">
        <v>2</v>
      </c>
      <c r="G268" s="191" t="n">
        <v>2</v>
      </c>
      <c r="H268" s="191" t="inlineStr">
        <is>
          <t>MEDIUM</t>
        </is>
      </c>
      <c r="I268" s="191" t="n">
        <v>9.4</v>
      </c>
      <c r="J268" s="191" t="inlineStr">
        <is>
          <t>NO</t>
        </is>
      </c>
      <c r="K268" s="192" t="inlineStr">
        <is>
          <t>https://nvd.nist.gov/vuln/detail/CVE-2025-69287</t>
        </is>
      </c>
      <c r="L268" s="191" t="inlineStr">
        <is>
          <t>2026-02-23 23:48</t>
        </is>
      </c>
      <c r="M268" s="191" t="inlineStr">
        <is>
          <t>CHECK_VENDOR</t>
        </is>
      </c>
      <c r="N268" s="191" t="inlineStr">
        <is>
          <t>See NVD references</t>
        </is>
      </c>
      <c r="O268" s="191" t="inlineStr">
        <is>
          <t>Apply vendor patches</t>
        </is>
      </c>
      <c r="P268" s="191" t="inlineStr">
        <is>
          <t>See CVE details</t>
        </is>
      </c>
      <c r="Q268" s="191" t="inlineStr">
        <is>
          <t>P4</t>
        </is>
      </c>
      <c r="R268" s="191" t="inlineStr">
        <is>
          <t>📅 Schedule patch deployment within 30 days | 🔍 Monitor for exploitation attempts</t>
        </is>
      </c>
      <c r="S268" s="191" t="inlineStr">
        <is>
          <t>CVE - IP enrichment n/a</t>
        </is>
      </c>
      <c r="T268" s="191" t="n">
        <v>0</v>
      </c>
      <c r="U268" s="191" t="n">
        <v>0</v>
      </c>
      <c r="V268" s="191" t="inlineStr">
        <is>
          <t>T1078:Valid Accounts | T1600:Weaken Encryption</t>
        </is>
      </c>
      <c r="W268" s="191" t="n">
        <v>1</v>
      </c>
      <c r="X268" s="191" t="inlineStr">
        <is>
          <t>LOW (40%)</t>
        </is>
      </c>
      <c r="Y268" s="191" t="inlineStr">
        <is>
          <t>UNLIKELY</t>
        </is>
      </c>
      <c r="Z268" s="191" t="inlineStr">
        <is>
          <t>CHECK_VENDOR</t>
        </is>
      </c>
      <c r="AA268" s="192" t="inlineStr">
        <is>
          <t>https://nvd.nist.gov/vuln/detail/CVE-2025-69287</t>
        </is>
      </c>
      <c r="AB268" s="191" t="inlineStr">
        <is>
          <t>NONE</t>
        </is>
      </c>
      <c r="AC268" s="191" t="n">
        <v>0</v>
      </c>
      <c r="AD268" s="191" t="n"/>
    </row>
    <row r="269">
      <c r="A269" s="191" t="inlineStr">
        <is>
          <t>CVE</t>
        </is>
      </c>
      <c r="B269" s="191" t="inlineStr">
        <is>
          <t>CVE-2025-70062</t>
        </is>
      </c>
      <c r="C269" s="191" t="inlineStr">
        <is>
          <t>PHPGurukul Hospital Management System v4.0 contains a Cross-Site Request Forgery (CSRF) vulnerability in the 'Add Doctor' module. The application fails to enforce CSRF token validation on the add-doctor.php endpoint. This allows remote attackers to create arbitrary Doctor accounts (privileged users) by tricking an authenticated administrator into visiting a malicious page.</t>
        </is>
      </c>
      <c r="D269" s="191" t="n">
        <v>6.5</v>
      </c>
      <c r="E269" s="191" t="inlineStr">
        <is>
          <t>MEDIUM</t>
        </is>
      </c>
      <c r="F269" s="191" t="n">
        <v>2</v>
      </c>
      <c r="G269" s="191" t="n">
        <v>2</v>
      </c>
      <c r="H269" s="191" t="inlineStr">
        <is>
          <t>MEDIUM</t>
        </is>
      </c>
      <c r="I269" s="191" t="n">
        <v>10.5</v>
      </c>
      <c r="J269" s="191" t="inlineStr">
        <is>
          <t>NO</t>
        </is>
      </c>
      <c r="K269" s="192" t="inlineStr">
        <is>
          <t>https://nvd.nist.gov/vuln/detail/CVE-2025-70062</t>
        </is>
      </c>
      <c r="L269" s="191" t="inlineStr">
        <is>
          <t>2026-02-23 23:48</t>
        </is>
      </c>
      <c r="M269" s="191" t="inlineStr">
        <is>
          <t>YES</t>
        </is>
      </c>
      <c r="N269" s="192" t="inlineStr">
        <is>
          <t>https://packetstorm.news/files/id/213711</t>
        </is>
      </c>
      <c r="O269" s="192" t="inlineStr">
        <is>
          <t>https://packetstorm.news/files/id/213711</t>
        </is>
      </c>
      <c r="P269" s="191" t="inlineStr">
        <is>
          <t>phpgurukul hospital_management_system 4.0</t>
        </is>
      </c>
      <c r="Q269" s="191" t="inlineStr">
        <is>
          <t>P4</t>
        </is>
      </c>
      <c r="R269" s="191" t="inlineStr">
        <is>
          <t>📅 Schedule patch deployment within 30 days | 🔍 Monitor for exploitation attempts</t>
        </is>
      </c>
      <c r="S269" s="191" t="inlineStr">
        <is>
          <t>CVE - IP enrichment n/a</t>
        </is>
      </c>
      <c r="T269" s="191" t="n">
        <v>0.0002</v>
      </c>
      <c r="U269" s="191" t="n">
        <v>0.0493</v>
      </c>
      <c r="V269" s="191" t="inlineStr">
        <is>
          <t>T1185:Browser Session Hijacking | T1190:Exploit Public-Facing Application</t>
        </is>
      </c>
      <c r="W269" s="191" t="n">
        <v>1</v>
      </c>
      <c r="X269" s="191" t="inlineStr">
        <is>
          <t>LOW (40%)</t>
        </is>
      </c>
      <c r="Y269" s="191" t="inlineStr">
        <is>
          <t>UNLIKELY</t>
        </is>
      </c>
      <c r="Z269" s="191" t="inlineStr">
        <is>
          <t>PATCH_AVAILABLE</t>
        </is>
      </c>
      <c r="AA269" s="192" t="inlineStr">
        <is>
          <t>https://nvd.nist.gov/vuln/detail/CVE-2025-70062</t>
        </is>
      </c>
      <c r="AB269" s="191" t="inlineStr">
        <is>
          <t>NONE</t>
        </is>
      </c>
      <c r="AC269" s="191" t="n">
        <v>0</v>
      </c>
      <c r="AD269" s="191" t="n"/>
    </row>
    <row r="270">
      <c r="A270" s="191" t="inlineStr">
        <is>
          <t>CVE</t>
        </is>
      </c>
      <c r="B270" s="191" t="inlineStr">
        <is>
          <t>CVE-2025-70063</t>
        </is>
      </c>
      <c r="C270" s="191" t="inlineStr">
        <is>
          <t>The 'Medical History' module in PHPGurukul Hospital Management System v4.0 contains an Insecure Direct Object Reference (IDOR) vulnerability. The application fails to verify that the requested 'viewid' parameter belongs to the currently authenticated patient. This allows a user to access the confidential medical records of other patients by iterating the 'viewid' integer.</t>
        </is>
      </c>
      <c r="D270" s="191" t="n">
        <v>6.5</v>
      </c>
      <c r="E270" s="191" t="inlineStr">
        <is>
          <t>MEDIUM</t>
        </is>
      </c>
      <c r="F270" s="191" t="n">
        <v>2</v>
      </c>
      <c r="G270" s="191" t="n">
        <v>2</v>
      </c>
      <c r="H270" s="191" t="inlineStr">
        <is>
          <t>MEDIUM</t>
        </is>
      </c>
      <c r="I270" s="191" t="n">
        <v>10.5</v>
      </c>
      <c r="J270" s="191" t="inlineStr">
        <is>
          <t>NO</t>
        </is>
      </c>
      <c r="K270" s="192" t="inlineStr">
        <is>
          <t>https://nvd.nist.gov/vuln/detail/CVE-2025-70063</t>
        </is>
      </c>
      <c r="L270" s="191" t="inlineStr">
        <is>
          <t>2026-02-23 23:48</t>
        </is>
      </c>
      <c r="M270" s="191" t="inlineStr">
        <is>
          <t>CHECK_VENDOR</t>
        </is>
      </c>
      <c r="N270" s="191" t="inlineStr">
        <is>
          <t>See NVD references</t>
        </is>
      </c>
      <c r="O270" s="191" t="inlineStr">
        <is>
          <t>Apply vendor patches</t>
        </is>
      </c>
      <c r="P270" s="191" t="inlineStr">
        <is>
          <t>See CVE details</t>
        </is>
      </c>
      <c r="Q270" s="191" t="inlineStr">
        <is>
          <t>P4</t>
        </is>
      </c>
      <c r="R270" s="191" t="inlineStr">
        <is>
          <t>📅 Schedule patch deployment within 30 days | 🔍 Monitor for exploitation attempts</t>
        </is>
      </c>
      <c r="S270" s="191" t="inlineStr">
        <is>
          <t>CVE - IP enrichment n/a</t>
        </is>
      </c>
      <c r="T270" s="191" t="n">
        <v>0</v>
      </c>
      <c r="U270" s="191" t="n">
        <v>0</v>
      </c>
      <c r="V270" s="191" t="inlineStr">
        <is>
          <t>T1190:Exploit Public-Facing Application</t>
        </is>
      </c>
      <c r="W270" s="191" t="n">
        <v>1</v>
      </c>
      <c r="X270" s="191" t="inlineStr">
        <is>
          <t>LOW (40%)</t>
        </is>
      </c>
      <c r="Y270" s="191" t="inlineStr">
        <is>
          <t>UNLIKELY</t>
        </is>
      </c>
      <c r="Z270" s="191" t="inlineStr">
        <is>
          <t>CHECK_VENDOR</t>
        </is>
      </c>
      <c r="AA270" s="192" t="inlineStr">
        <is>
          <t>https://nvd.nist.gov/vuln/detail/CVE-2025-70063</t>
        </is>
      </c>
      <c r="AB270" s="191" t="inlineStr">
        <is>
          <t>NONE</t>
        </is>
      </c>
      <c r="AC270" s="191" t="n">
        <v>0</v>
      </c>
      <c r="AD270" s="191" t="n"/>
    </row>
    <row r="271">
      <c r="A271" s="189" t="inlineStr">
        <is>
          <t>CVE</t>
        </is>
      </c>
      <c r="B271" s="189" t="inlineStr">
        <is>
          <t>CVE-2025-70064</t>
        </is>
      </c>
      <c r="C271" s="189" t="inlineStr">
        <is>
          <t>PHPGurukul Hospital Management System v4.0 contains a Privilege Escalation vulnerability. A low-privileged user (Patient) can directly access the Administrator Dashboard and all sub-modules (e.g., User Logs, Doctor Management) by manually browsing to the /admin/ directory after authentication. This allows any self-registered user to takeover the application, view confidential logs, and modify system data.</t>
        </is>
      </c>
      <c r="D271" s="189" t="n">
        <v>8.800000000000001</v>
      </c>
      <c r="E271" s="189" t="inlineStr">
        <is>
          <t>HIGH</t>
        </is>
      </c>
      <c r="F271" s="189" t="n">
        <v>2</v>
      </c>
      <c r="G271" s="189" t="n">
        <v>3</v>
      </c>
      <c r="H271" s="189" t="inlineStr">
        <is>
          <t>HIGH</t>
        </is>
      </c>
      <c r="I271" s="189" t="n">
        <v>14.8</v>
      </c>
      <c r="J271" s="189" t="inlineStr">
        <is>
          <t>NO</t>
        </is>
      </c>
      <c r="K271" s="190" t="inlineStr">
        <is>
          <t>https://nvd.nist.gov/vuln/detail/CVE-2025-70064</t>
        </is>
      </c>
      <c r="L271" s="189" t="inlineStr">
        <is>
          <t>2026-02-23 23:48</t>
        </is>
      </c>
      <c r="M271" s="189" t="inlineStr">
        <is>
          <t>YES</t>
        </is>
      </c>
      <c r="N271" s="190" t="inlineStr">
        <is>
          <t>https://packetstorm.news/files/id/213711</t>
        </is>
      </c>
      <c r="O271" s="190" t="inlineStr">
        <is>
          <t>https://packetstorm.news/files/id/213711</t>
        </is>
      </c>
      <c r="P271" s="189" t="inlineStr">
        <is>
          <t>phpgurukul hospital_management_system 4.0</t>
        </is>
      </c>
      <c r="Q271" s="189" t="inlineStr">
        <is>
          <t>P3</t>
        </is>
      </c>
      <c r="R271" s="189" t="inlineStr">
        <is>
          <t>🚨 URGENT: Apply vendor patches immediately | 🔒 Isolate affected systems if patch unavailable | 🛡️ Enable additional monitoring/IDS rules</t>
        </is>
      </c>
      <c r="S271" s="189" t="inlineStr">
        <is>
          <t>CVE - IP enrichment n/a</t>
        </is>
      </c>
      <c r="T271" s="189" t="n">
        <v>0</v>
      </c>
      <c r="U271" s="189" t="n">
        <v>0</v>
      </c>
      <c r="V271" s="189" t="inlineStr">
        <is>
          <t>T1068:Exploitation for Privilege Escalation</t>
        </is>
      </c>
      <c r="W271" s="189" t="n">
        <v>1</v>
      </c>
      <c r="X271" s="189" t="inlineStr">
        <is>
          <t>LOW (40%)</t>
        </is>
      </c>
      <c r="Y271" s="189" t="inlineStr">
        <is>
          <t>UNLIKELY</t>
        </is>
      </c>
      <c r="Z271" s="189" t="inlineStr">
        <is>
          <t>PATCH_AVAILABLE</t>
        </is>
      </c>
      <c r="AA271" s="190" t="inlineStr">
        <is>
          <t>https://nvd.nist.gov/vuln/detail/CVE-2025-70064</t>
        </is>
      </c>
      <c r="AB271" s="189" t="inlineStr">
        <is>
          <t>NONE</t>
        </is>
      </c>
      <c r="AC271" s="189" t="n">
        <v>0</v>
      </c>
      <c r="AD271" s="189" t="n"/>
    </row>
    <row r="272">
      <c r="A272" s="189" t="inlineStr">
        <is>
          <t>CVE</t>
        </is>
      </c>
      <c r="B272" s="189" t="inlineStr">
        <is>
          <t>CVE-2026-22860</t>
        </is>
      </c>
      <c r="C272" s="189" t="inlineStr">
        <is>
          <t>Rack is a modular Ruby web server interface. Prior to versions 2.2.22, 3.1.20, and 3.2.5, `Rack::Directory`’s path check used a string prefix match on the expanded path. A request like `/../root_example/` can escape the configured root if the target path starts with the root string, allowing directory listing outside the intended root. Versions 2.2.22, 3.1.20, and 3.2.5 fix the issue.</t>
        </is>
      </c>
      <c r="D272" s="189" t="n">
        <v>7.5</v>
      </c>
      <c r="E272" s="189" t="inlineStr">
        <is>
          <t>HIGH</t>
        </is>
      </c>
      <c r="F272" s="189" t="n">
        <v>2</v>
      </c>
      <c r="G272" s="189" t="n">
        <v>3</v>
      </c>
      <c r="H272" s="189" t="inlineStr">
        <is>
          <t>HIGH</t>
        </is>
      </c>
      <c r="I272" s="189" t="n">
        <v>13.5</v>
      </c>
      <c r="J272" s="189" t="inlineStr">
        <is>
          <t>NO</t>
        </is>
      </c>
      <c r="K272" s="190" t="inlineStr">
        <is>
          <t>https://nvd.nist.gov/vuln/detail/CVE-2026-22860</t>
        </is>
      </c>
      <c r="L272" s="189" t="inlineStr">
        <is>
          <t>2026-02-23 23:48</t>
        </is>
      </c>
      <c r="M272" s="189" t="inlineStr">
        <is>
          <t>YES</t>
        </is>
      </c>
      <c r="N272" s="190" t="inlineStr">
        <is>
          <t>https://github.com/rack/rack/commit/75c5745c286637a8f049a33790c71237762069e7 | https://github.com/rack/rack/security/advisories/GHSA-mxw3-3hh2-x2mh</t>
        </is>
      </c>
      <c r="O272" s="190" t="inlineStr">
        <is>
          <t>https://github.com/rack/rack/security/advisories/GHSA-mxw3-3hh2-x2mh</t>
        </is>
      </c>
      <c r="P272" s="189" t="inlineStr">
        <is>
          <t>rack rack *</t>
        </is>
      </c>
      <c r="Q272" s="189" t="inlineStr">
        <is>
          <t>P3</t>
        </is>
      </c>
      <c r="R272" s="189" t="inlineStr">
        <is>
          <t>🚨 URGENT: Apply vendor patches immediately | 🔒 Isolate affected systems if patch unavailable | 🛡️ Enable additional monitoring/IDS rules</t>
        </is>
      </c>
      <c r="S272" s="189" t="inlineStr">
        <is>
          <t>CVE - IP enrichment n/a</t>
        </is>
      </c>
      <c r="T272" s="189" t="n">
        <v>0.0005</v>
      </c>
      <c r="U272" s="189" t="n">
        <v>0.1605</v>
      </c>
      <c r="V272" s="189" t="inlineStr">
        <is>
          <t>T1083:File and Directory Discovery</t>
        </is>
      </c>
      <c r="W272" s="189" t="n">
        <v>1</v>
      </c>
      <c r="X272" s="189" t="inlineStr">
        <is>
          <t>LOW (40%)</t>
        </is>
      </c>
      <c r="Y272" s="189" t="inlineStr">
        <is>
          <t>UNLIKELY</t>
        </is>
      </c>
      <c r="Z272" s="189" t="inlineStr">
        <is>
          <t>PATCH_AVAILABLE</t>
        </is>
      </c>
      <c r="AA272" s="190" t="inlineStr">
        <is>
          <t>https://nvd.nist.gov/vuln/detail/CVE-2026-22860</t>
        </is>
      </c>
      <c r="AB272" s="189" t="inlineStr">
        <is>
          <t>NONE</t>
        </is>
      </c>
      <c r="AC272" s="189" t="n">
        <v>0</v>
      </c>
      <c r="AD272" s="189" t="n"/>
    </row>
    <row r="273">
      <c r="A273" s="195" t="inlineStr">
        <is>
          <t>CVE</t>
        </is>
      </c>
      <c r="B273" s="195" t="inlineStr">
        <is>
          <t>CVE-2026-2660</t>
        </is>
      </c>
      <c r="C273" s="195" t="inlineStr">
        <is>
          <t>A vulnerability was identified in FascinatedBox lily up to 2.3. Affected by this issue is the function shorthash_for_name of the file src/lily_symtab.c. The manipulation leads to use after free. Local access is required to approach this attack. The exploit is publicly available and might be used. The project was informed of the problem early through an issue report but has not responded yet.</t>
        </is>
      </c>
      <c r="D273" s="195" t="n">
        <v>3.3</v>
      </c>
      <c r="E273" s="195" t="inlineStr">
        <is>
          <t>LOW</t>
        </is>
      </c>
      <c r="F273" s="195" t="n">
        <v>2</v>
      </c>
      <c r="G273" s="195" t="n">
        <v>1</v>
      </c>
      <c r="H273" s="195" t="inlineStr">
        <is>
          <t>LOW</t>
        </is>
      </c>
      <c r="I273" s="195" t="n">
        <v>5.3</v>
      </c>
      <c r="J273" s="195" t="inlineStr">
        <is>
          <t>NO</t>
        </is>
      </c>
      <c r="K273" s="196" t="inlineStr">
        <is>
          <t>https://nvd.nist.gov/vuln/detail/CVE-2026-2660</t>
        </is>
      </c>
      <c r="L273" s="195" t="inlineStr">
        <is>
          <t>2026-02-23 23:48</t>
        </is>
      </c>
      <c r="M273" s="195" t="inlineStr">
        <is>
          <t>CHECK_VENDOR</t>
        </is>
      </c>
      <c r="N273" s="195" t="inlineStr">
        <is>
          <t>See NVD references</t>
        </is>
      </c>
      <c r="O273" s="195" t="inlineStr">
        <is>
          <t>Apply vendor patches</t>
        </is>
      </c>
      <c r="P273" s="195" t="inlineStr">
        <is>
          <t>lily-lang lily *</t>
        </is>
      </c>
      <c r="Q273" s="195" t="inlineStr">
        <is>
          <t>P4</t>
        </is>
      </c>
      <c r="R273" s="195" t="inlineStr">
        <is>
          <t>📅 Schedule patch deployment within 30 days | 🔍 Monitor for exploitation attempts</t>
        </is>
      </c>
      <c r="S273" s="195" t="inlineStr">
        <is>
          <t>CVE - IP enrichment n/a</t>
        </is>
      </c>
      <c r="T273" s="195" t="n">
        <v>0</v>
      </c>
      <c r="U273" s="195" t="n">
        <v>0</v>
      </c>
      <c r="V273" s="195" t="inlineStr">
        <is>
          <t>T1203:Exploitation for Client Execution</t>
        </is>
      </c>
      <c r="W273" s="195" t="n">
        <v>1</v>
      </c>
      <c r="X273" s="195" t="inlineStr">
        <is>
          <t>LOW (40%)</t>
        </is>
      </c>
      <c r="Y273" s="195" t="inlineStr">
        <is>
          <t>UNLIKELY</t>
        </is>
      </c>
      <c r="Z273" s="195" t="inlineStr">
        <is>
          <t>CHECK_VENDOR</t>
        </is>
      </c>
      <c r="AA273" s="196" t="inlineStr">
        <is>
          <t>https://nvd.nist.gov/vuln/detail/CVE-2026-2660</t>
        </is>
      </c>
      <c r="AB273" s="195" t="inlineStr">
        <is>
          <t>NONE</t>
        </is>
      </c>
      <c r="AC273" s="195" t="n">
        <v>0</v>
      </c>
      <c r="AD273" s="195" t="n"/>
    </row>
    <row r="274">
      <c r="A274" s="189" t="inlineStr">
        <is>
          <t>CVE</t>
        </is>
      </c>
      <c r="B274" s="189" t="inlineStr">
        <is>
          <t>CVE-2026-0874</t>
        </is>
      </c>
      <c r="C274" s="189" t="inlineStr">
        <is>
          <t>A maliciously crafted CATPART file, when parsed through certain Autodesk products, can force an Out-of-Bounds Write vulnerability. A malicious actor may leverage this vulnerability to cause a crash, cause data corruption, or execute arbitrary code in the context of the current process.</t>
        </is>
      </c>
      <c r="D274" s="189" t="n">
        <v>7.8</v>
      </c>
      <c r="E274" s="189" t="inlineStr">
        <is>
          <t>HIGH</t>
        </is>
      </c>
      <c r="F274" s="189" t="n">
        <v>2</v>
      </c>
      <c r="G274" s="189" t="n">
        <v>3</v>
      </c>
      <c r="H274" s="189" t="inlineStr">
        <is>
          <t>HIGH</t>
        </is>
      </c>
      <c r="I274" s="189" t="n">
        <v>13.8</v>
      </c>
      <c r="J274" s="189" t="inlineStr">
        <is>
          <t>NO</t>
        </is>
      </c>
      <c r="K274" s="190" t="inlineStr">
        <is>
          <t>https://nvd.nist.gov/vuln/detail/CVE-2026-0874</t>
        </is>
      </c>
      <c r="L274" s="189" t="inlineStr">
        <is>
          <t>2026-02-23 23:48</t>
        </is>
      </c>
      <c r="M274" s="189" t="inlineStr">
        <is>
          <t>YES</t>
        </is>
      </c>
      <c r="N274" s="190" t="inlineStr">
        <is>
          <t>https://www.autodesk.com/trust/security-advisories/adsk-sa-2026-0004</t>
        </is>
      </c>
      <c r="O274" s="189" t="inlineStr">
        <is>
          <t>Apply vendor patches</t>
        </is>
      </c>
      <c r="P274" s="189" t="inlineStr">
        <is>
          <t>autodesk advance_steel 2026 | autodesk autocad 2026 | autodesk shared_components *</t>
        </is>
      </c>
      <c r="Q274" s="189" t="inlineStr">
        <is>
          <t>P1</t>
        </is>
      </c>
      <c r="R274" s="189" t="inlineStr">
        <is>
          <t>🚨 URGENT: Apply vendor patches immediately | 🔒 Isolate affected systems if patch unavailable | 🛡️ Enable additional monitoring/IDS rules</t>
        </is>
      </c>
      <c r="S274" s="189" t="inlineStr">
        <is>
          <t>CVE - IP enrichment n/a</t>
        </is>
      </c>
      <c r="T274" s="189" t="n">
        <v>0</v>
      </c>
      <c r="U274" s="189" t="n">
        <v>0</v>
      </c>
      <c r="V274" s="189" t="inlineStr">
        <is>
          <t>T1203:Exploitation for Client Execution | T1190:Exploit Public-Facing Application</t>
        </is>
      </c>
      <c r="W274" s="189" t="n">
        <v>2</v>
      </c>
      <c r="X274" s="189" t="inlineStr">
        <is>
          <t>HIGH (72%)</t>
        </is>
      </c>
      <c r="Y274" s="189" t="inlineStr">
        <is>
          <t>HIGH</t>
        </is>
      </c>
      <c r="Z274" s="189" t="inlineStr">
        <is>
          <t>PATCH_AVAILABLE</t>
        </is>
      </c>
      <c r="AA274" s="190" t="inlineStr">
        <is>
          <t>https://nvd.nist.gov/vuln/detail/CVE-2026-0874</t>
        </is>
      </c>
      <c r="AB274" s="190" t="inlineStr">
        <is>
          <t>http://www.zerodayinitiative.com/advisories/ZDI-26-106/</t>
        </is>
      </c>
      <c r="AC274" s="189" t="n">
        <v>0</v>
      </c>
      <c r="AD274" s="189" t="n"/>
    </row>
    <row r="275">
      <c r="A275" s="189" t="inlineStr">
        <is>
          <t>CVE</t>
        </is>
      </c>
      <c r="B275" s="189" t="inlineStr">
        <is>
          <t>CVE-2026-0875</t>
        </is>
      </c>
      <c r="C275" s="189" t="inlineStr">
        <is>
          <t>A maliciously crafted MODEL file, when parsed through certain Autodesk products, can force an Out-of-Bounds Write vulnerability. A malicious actor may leverage this vulnerability to cause a crash, cause data corruption, or execute arbitrary code in the context of the current process.</t>
        </is>
      </c>
      <c r="D275" s="189" t="n">
        <v>7.8</v>
      </c>
      <c r="E275" s="189" t="inlineStr">
        <is>
          <t>HIGH</t>
        </is>
      </c>
      <c r="F275" s="189" t="n">
        <v>2</v>
      </c>
      <c r="G275" s="189" t="n">
        <v>3</v>
      </c>
      <c r="H275" s="189" t="inlineStr">
        <is>
          <t>HIGH</t>
        </is>
      </c>
      <c r="I275" s="189" t="n">
        <v>13.8</v>
      </c>
      <c r="J275" s="189" t="inlineStr">
        <is>
          <t>NO</t>
        </is>
      </c>
      <c r="K275" s="190" t="inlineStr">
        <is>
          <t>https://nvd.nist.gov/vuln/detail/CVE-2026-0875</t>
        </is>
      </c>
      <c r="L275" s="189" t="inlineStr">
        <is>
          <t>2026-02-23 23:48</t>
        </is>
      </c>
      <c r="M275" s="189" t="inlineStr">
        <is>
          <t>YES</t>
        </is>
      </c>
      <c r="N275" s="190" t="inlineStr">
        <is>
          <t>https://www.autodesk.com/trust/security-advisories/adsk-sa-2026-0004</t>
        </is>
      </c>
      <c r="O275" s="189" t="inlineStr">
        <is>
          <t>Apply vendor patches</t>
        </is>
      </c>
      <c r="P275" s="189" t="inlineStr">
        <is>
          <t>autodesk advance_steel 2026 | autodesk autocad 2026 | autodesk shared_components *</t>
        </is>
      </c>
      <c r="Q275" s="189" t="inlineStr">
        <is>
          <t>P1</t>
        </is>
      </c>
      <c r="R275" s="189" t="inlineStr">
        <is>
          <t>🚨 URGENT: Apply vendor patches immediately | 🔒 Isolate affected systems if patch unavailable | 🛡️ Enable additional monitoring/IDS rules</t>
        </is>
      </c>
      <c r="S275" s="189" t="inlineStr">
        <is>
          <t>CVE - IP enrichment n/a</t>
        </is>
      </c>
      <c r="T275" s="189" t="n">
        <v>0</v>
      </c>
      <c r="U275" s="189" t="n">
        <v>0</v>
      </c>
      <c r="V275" s="189" t="inlineStr">
        <is>
          <t>T1203:Exploitation for Client Execution | T1190:Exploit Public-Facing Application</t>
        </is>
      </c>
      <c r="W275" s="189" t="n">
        <v>2</v>
      </c>
      <c r="X275" s="189" t="inlineStr">
        <is>
          <t>HIGH (72%)</t>
        </is>
      </c>
      <c r="Y275" s="189" t="inlineStr">
        <is>
          <t>HIGH</t>
        </is>
      </c>
      <c r="Z275" s="189" t="inlineStr">
        <is>
          <t>PATCH_AVAILABLE</t>
        </is>
      </c>
      <c r="AA275" s="190" t="inlineStr">
        <is>
          <t>https://nvd.nist.gov/vuln/detail/CVE-2026-0875</t>
        </is>
      </c>
      <c r="AB275" s="190" t="inlineStr">
        <is>
          <t>http://www.zerodayinitiative.com/advisories/ZDI-26-107/</t>
        </is>
      </c>
      <c r="AC275" s="189" t="n">
        <v>0</v>
      </c>
      <c r="AD275" s="189" t="n"/>
    </row>
    <row r="276">
      <c r="A276" s="189" t="inlineStr">
        <is>
          <t>CVE</t>
        </is>
      </c>
      <c r="B276" s="189" t="inlineStr">
        <is>
          <t>CVE-2026-23491</t>
        </is>
      </c>
      <c r="C276" s="189" t="inlineStr">
        <is>
          <t xml:space="preserve">InvoicePlane is a self-hosted open source application for managing invoices, clients, and payments. a path traversal vulnerability exists in the `get_file` method of the `Guest` module's `Get` controller in InvoicePlane up to and including through 1.6.3. The vulnerability allows unauthenticated attackers to read arbitrary files on the server by manipulating the input filename. This leads to the disclosure of sensitive information, including configuration files with database credentials. Version </t>
        </is>
      </c>
      <c r="D276" s="189" t="n">
        <v>7.5</v>
      </c>
      <c r="E276" s="189" t="inlineStr">
        <is>
          <t>HIGH</t>
        </is>
      </c>
      <c r="F276" s="189" t="n">
        <v>2</v>
      </c>
      <c r="G276" s="189" t="n">
        <v>3</v>
      </c>
      <c r="H276" s="189" t="inlineStr">
        <is>
          <t>HIGH</t>
        </is>
      </c>
      <c r="I276" s="189" t="n">
        <v>13.5</v>
      </c>
      <c r="J276" s="189" t="inlineStr">
        <is>
          <t>NO</t>
        </is>
      </c>
      <c r="K276" s="190" t="inlineStr">
        <is>
          <t>https://nvd.nist.gov/vuln/detail/CVE-2026-23491</t>
        </is>
      </c>
      <c r="L276" s="189" t="inlineStr">
        <is>
          <t>2026-02-23 23:48</t>
        </is>
      </c>
      <c r="M276" s="189" t="inlineStr">
        <is>
          <t>YES</t>
        </is>
      </c>
      <c r="N276" s="190" t="inlineStr">
        <is>
          <t>https://github.com/InvoicePlane/InvoicePlane/commit/add8bb798dde621f886823065ef1841986543c69 | https://github.com/InvoicePlane/InvoicePlane/security/advisories/GHSA-88gq-mv54-v3fc</t>
        </is>
      </c>
      <c r="O276" s="189" t="inlineStr">
        <is>
          <t>Apply vendor patches</t>
        </is>
      </c>
      <c r="P276" s="189" t="inlineStr">
        <is>
          <t>invoiceplane invoiceplane *</t>
        </is>
      </c>
      <c r="Q276" s="189" t="inlineStr">
        <is>
          <t>P3</t>
        </is>
      </c>
      <c r="R276" s="189" t="inlineStr">
        <is>
          <t>🚨 URGENT: Apply vendor patches immediately | 🔒 Isolate affected systems if patch unavailable | 🛡️ Enable additional monitoring/IDS rules</t>
        </is>
      </c>
      <c r="S276" s="189" t="inlineStr">
        <is>
          <t>CVE - IP enrichment n/a</t>
        </is>
      </c>
      <c r="T276" s="189" t="n">
        <v>0</v>
      </c>
      <c r="U276" s="189" t="n">
        <v>0</v>
      </c>
      <c r="V276" s="189" t="inlineStr">
        <is>
          <t>T1083:File and Directory Discovery | T1190:Exploit Public-Facing Application | T1552:Unsecured Credentials</t>
        </is>
      </c>
      <c r="W276" s="189" t="n">
        <v>1</v>
      </c>
      <c r="X276" s="189" t="inlineStr">
        <is>
          <t>LOW (40%)</t>
        </is>
      </c>
      <c r="Y276" s="189" t="inlineStr">
        <is>
          <t>UNLIKELY</t>
        </is>
      </c>
      <c r="Z276" s="189" t="inlineStr">
        <is>
          <t>PATCH_AVAILABLE</t>
        </is>
      </c>
      <c r="AA276" s="190" t="inlineStr">
        <is>
          <t>https://nvd.nist.gov/vuln/detail/CVE-2026-23491</t>
        </is>
      </c>
      <c r="AB276" s="189" t="inlineStr">
        <is>
          <t>NONE</t>
        </is>
      </c>
      <c r="AC276" s="189" t="n">
        <v>0</v>
      </c>
      <c r="AD276" s="189" t="n"/>
    </row>
    <row r="277">
      <c r="A277" s="191" t="inlineStr">
        <is>
          <t>CVE</t>
        </is>
      </c>
      <c r="B277" s="191" t="inlineStr">
        <is>
          <t>CVE-2026-25500</t>
        </is>
      </c>
      <c r="C277" s="191" t="inlineStr">
        <is>
          <t>Rack is a modular Ruby web server interface. Prior to versions 2.2.22, 3.1.20, and 3.2.5, `Rack::Directory` generates an HTML directory index where each file entry is rendered as a clickable link. If a file exists on disk whose basename starts with the `javascript:` scheme (e.g. `javascript:alert(1)`), the generated index contains an anchor whose `href` is exactly `javascript:alert(1)`. Clicking the entry executes JavaScript in the browser (demonstrated with `alert(1)`). Versions 2.2.22, 3.1.20,</t>
        </is>
      </c>
      <c r="D277" s="191" t="n">
        <v>5.4</v>
      </c>
      <c r="E277" s="191" t="inlineStr">
        <is>
          <t>MEDIUM</t>
        </is>
      </c>
      <c r="F277" s="191" t="n">
        <v>2</v>
      </c>
      <c r="G277" s="191" t="n">
        <v>2</v>
      </c>
      <c r="H277" s="191" t="inlineStr">
        <is>
          <t>MEDIUM</t>
        </is>
      </c>
      <c r="I277" s="191" t="n">
        <v>9.4</v>
      </c>
      <c r="J277" s="191" t="inlineStr">
        <is>
          <t>NO</t>
        </is>
      </c>
      <c r="K277" s="192" t="inlineStr">
        <is>
          <t>https://nvd.nist.gov/vuln/detail/CVE-2026-25500</t>
        </is>
      </c>
      <c r="L277" s="191" t="inlineStr">
        <is>
          <t>2026-02-23 23:48</t>
        </is>
      </c>
      <c r="M277" s="191" t="inlineStr">
        <is>
          <t>YES</t>
        </is>
      </c>
      <c r="N277" s="192" t="inlineStr">
        <is>
          <t>https://github.com/rack/rack/commit/f2f225f297b99fbee3d9f51255d41f601fc40aff | https://github.com/rack/rack/security/advisories/GHSA-whrj-4476-wvmp</t>
        </is>
      </c>
      <c r="O277" s="192" t="inlineStr">
        <is>
          <t>https://github.com/rack/rack/security/advisories/GHSA-whrj-4476-wvmp</t>
        </is>
      </c>
      <c r="P277" s="191" t="inlineStr">
        <is>
          <t>rack rack *</t>
        </is>
      </c>
      <c r="Q277" s="191" t="inlineStr">
        <is>
          <t>P4</t>
        </is>
      </c>
      <c r="R277" s="191" t="inlineStr">
        <is>
          <t>📅 Schedule patch deployment within 30 days | 🔍 Monitor for exploitation attempts</t>
        </is>
      </c>
      <c r="S277" s="191" t="inlineStr">
        <is>
          <t>CVE - IP enrichment n/a</t>
        </is>
      </c>
      <c r="T277" s="191" t="n">
        <v>0</v>
      </c>
      <c r="U277" s="191" t="n">
        <v>0</v>
      </c>
      <c r="V277" s="191" t="inlineStr">
        <is>
          <t>T1189:Drive-by Compromise</t>
        </is>
      </c>
      <c r="W277" s="191" t="n">
        <v>1</v>
      </c>
      <c r="X277" s="191" t="inlineStr">
        <is>
          <t>LOW (40%)</t>
        </is>
      </c>
      <c r="Y277" s="191" t="inlineStr">
        <is>
          <t>UNLIKELY</t>
        </is>
      </c>
      <c r="Z277" s="191" t="inlineStr">
        <is>
          <t>PATCH_AVAILABLE</t>
        </is>
      </c>
      <c r="AA277" s="192" t="inlineStr">
        <is>
          <t>https://nvd.nist.gov/vuln/detail/CVE-2026-25500</t>
        </is>
      </c>
      <c r="AB277" s="191" t="inlineStr">
        <is>
          <t>NONE</t>
        </is>
      </c>
      <c r="AC277" s="191" t="n">
        <v>0</v>
      </c>
      <c r="AD277" s="191" t="n"/>
    </row>
    <row r="278">
      <c r="A278" s="195" t="inlineStr">
        <is>
          <t>CVE</t>
        </is>
      </c>
      <c r="B278" s="195" t="inlineStr">
        <is>
          <t>CVE-2026-2661</t>
        </is>
      </c>
      <c r="C278" s="195" t="inlineStr">
        <is>
          <t>A security flaw has been discovered in Squirrel up to 3.2. This affects the function SQObjectPtr::operator in the library squirrel/sqobject.h. The manipulation results in heap-based buffer overflow. The attack needs to be approached locally. The exploit has been released to the public and may be used for attacks. The project was informed of the problem early through an issue report but has not responded yet.</t>
        </is>
      </c>
      <c r="D278" s="195" t="n">
        <v>3.3</v>
      </c>
      <c r="E278" s="195" t="inlineStr">
        <is>
          <t>LOW</t>
        </is>
      </c>
      <c r="F278" s="195" t="n">
        <v>2</v>
      </c>
      <c r="G278" s="195" t="n">
        <v>1</v>
      </c>
      <c r="H278" s="195" t="inlineStr">
        <is>
          <t>LOW</t>
        </is>
      </c>
      <c r="I278" s="195" t="n">
        <v>5.3</v>
      </c>
      <c r="J278" s="195" t="inlineStr">
        <is>
          <t>NO</t>
        </is>
      </c>
      <c r="K278" s="196" t="inlineStr">
        <is>
          <t>https://nvd.nist.gov/vuln/detail/CVE-2026-2661</t>
        </is>
      </c>
      <c r="L278" s="195" t="inlineStr">
        <is>
          <t>2026-02-23 23:48</t>
        </is>
      </c>
      <c r="M278" s="195" t="inlineStr">
        <is>
          <t>CHECK_VENDOR</t>
        </is>
      </c>
      <c r="N278" s="195" t="inlineStr">
        <is>
          <t>See NVD references</t>
        </is>
      </c>
      <c r="O278" s="195" t="inlineStr">
        <is>
          <t>Apply vendor patches</t>
        </is>
      </c>
      <c r="P278" s="195" t="inlineStr">
        <is>
          <t>squirrel-lang squirrel *</t>
        </is>
      </c>
      <c r="Q278" s="195" t="inlineStr">
        <is>
          <t>P4</t>
        </is>
      </c>
      <c r="R278" s="195" t="inlineStr">
        <is>
          <t>📅 Schedule patch deployment within 30 days | 🔍 Monitor for exploitation attempts</t>
        </is>
      </c>
      <c r="S278" s="195" t="inlineStr">
        <is>
          <t>CVE - IP enrichment n/a</t>
        </is>
      </c>
      <c r="T278" s="195" t="n">
        <v>0.0002</v>
      </c>
      <c r="U278" s="195" t="n">
        <v>0.0635</v>
      </c>
      <c r="V278" s="195" t="inlineStr">
        <is>
          <t>T1203:Exploitation for Client Execution</t>
        </is>
      </c>
      <c r="W278" s="195" t="n">
        <v>1</v>
      </c>
      <c r="X278" s="195" t="inlineStr">
        <is>
          <t>LOW (40%)</t>
        </is>
      </c>
      <c r="Y278" s="195" t="inlineStr">
        <is>
          <t>UNLIKELY</t>
        </is>
      </c>
      <c r="Z278" s="195" t="inlineStr">
        <is>
          <t>CHECK_VENDOR</t>
        </is>
      </c>
      <c r="AA278" s="196" t="inlineStr">
        <is>
          <t>https://nvd.nist.gov/vuln/detail/CVE-2026-2661</t>
        </is>
      </c>
      <c r="AB278" s="195" t="inlineStr">
        <is>
          <t>NONE</t>
        </is>
      </c>
      <c r="AC278" s="195" t="n">
        <v>0</v>
      </c>
      <c r="AD278" s="195" t="n"/>
    </row>
    <row r="279">
      <c r="A279" s="195" t="inlineStr">
        <is>
          <t>CVE</t>
        </is>
      </c>
      <c r="B279" s="195" t="inlineStr">
        <is>
          <t>CVE-2026-2662</t>
        </is>
      </c>
      <c r="C279" s="195" t="inlineStr">
        <is>
          <t>A weakness has been identified in FascinatedBox lily up to 2.3. This vulnerability affects the function count_transforms of the file src/lily_emitter.c. This manipulation causes out-of-bounds read. The attack can only be executed locally. The exploit has been made available to the public and could be used for attacks. The project was informed of the problem early through an issue report but has not responded yet.</t>
        </is>
      </c>
      <c r="D279" s="195" t="n">
        <v>3.3</v>
      </c>
      <c r="E279" s="195" t="inlineStr">
        <is>
          <t>LOW</t>
        </is>
      </c>
      <c r="F279" s="195" t="n">
        <v>2</v>
      </c>
      <c r="G279" s="195" t="n">
        <v>1</v>
      </c>
      <c r="H279" s="195" t="inlineStr">
        <is>
          <t>LOW</t>
        </is>
      </c>
      <c r="I279" s="195" t="n">
        <v>5.3</v>
      </c>
      <c r="J279" s="195" t="inlineStr">
        <is>
          <t>NO</t>
        </is>
      </c>
      <c r="K279" s="196" t="inlineStr">
        <is>
          <t>https://nvd.nist.gov/vuln/detail/CVE-2026-2662</t>
        </is>
      </c>
      <c r="L279" s="195" t="inlineStr">
        <is>
          <t>2026-02-23 23:48</t>
        </is>
      </c>
      <c r="M279" s="195" t="inlineStr">
        <is>
          <t>CHECK_VENDOR</t>
        </is>
      </c>
      <c r="N279" s="195" t="inlineStr">
        <is>
          <t>See NVD references</t>
        </is>
      </c>
      <c r="O279" s="195" t="inlineStr">
        <is>
          <t>Apply vendor patches</t>
        </is>
      </c>
      <c r="P279" s="195" t="inlineStr">
        <is>
          <t>lily-lang lily *</t>
        </is>
      </c>
      <c r="Q279" s="195" t="inlineStr">
        <is>
          <t>P4</t>
        </is>
      </c>
      <c r="R279" s="195" t="inlineStr">
        <is>
          <t>📅 Schedule patch deployment within 30 days | 🔍 Monitor for exploitation attempts</t>
        </is>
      </c>
      <c r="S279" s="195" t="inlineStr">
        <is>
          <t>CVE - IP enrichment n/a</t>
        </is>
      </c>
      <c r="T279" s="195" t="n">
        <v>0</v>
      </c>
      <c r="U279" s="195" t="n">
        <v>0</v>
      </c>
      <c r="V279" s="195" t="inlineStr">
        <is>
          <t>T1203:Exploitation for Client Execution</t>
        </is>
      </c>
      <c r="W279" s="195" t="n">
        <v>1</v>
      </c>
      <c r="X279" s="195" t="inlineStr">
        <is>
          <t>LOW (40%)</t>
        </is>
      </c>
      <c r="Y279" s="195" t="inlineStr">
        <is>
          <t>UNLIKELY</t>
        </is>
      </c>
      <c r="Z279" s="195" t="inlineStr">
        <is>
          <t>CHECK_VENDOR</t>
        </is>
      </c>
      <c r="AA279" s="196" t="inlineStr">
        <is>
          <t>https://nvd.nist.gov/vuln/detail/CVE-2026-2662</t>
        </is>
      </c>
      <c r="AB279" s="195" t="inlineStr">
        <is>
          <t>NONE</t>
        </is>
      </c>
      <c r="AC279" s="195" t="n">
        <v>0</v>
      </c>
      <c r="AD279" s="195" t="n"/>
    </row>
    <row r="280">
      <c r="A280" s="191" t="inlineStr">
        <is>
          <t>CVE</t>
        </is>
      </c>
      <c r="B280" s="191" t="inlineStr">
        <is>
          <t>CVE-2026-2663</t>
        </is>
      </c>
      <c r="C280" s="191" t="inlineStr">
        <is>
          <t>A security vulnerability has been detected in Alixhan xh-admin-backend up to 1.7.0. This issue affects some unknown processing of the file /frontend-api/system-service/api/system/role/query of the component Database Query Handler. Such manipulation of the argument prop leads to sql injection. It is possible to launch the attack remotely. The exploit has been disclosed publicly and may be used. The vendor was contacted early about this disclosure but did not respond in any way.</t>
        </is>
      </c>
      <c r="D280" s="191" t="n">
        <v>6.3</v>
      </c>
      <c r="E280" s="191" t="inlineStr">
        <is>
          <t>MEDIUM</t>
        </is>
      </c>
      <c r="F280" s="191" t="n">
        <v>2</v>
      </c>
      <c r="G280" s="191" t="n">
        <v>2</v>
      </c>
      <c r="H280" s="191" t="inlineStr">
        <is>
          <t>MEDIUM</t>
        </is>
      </c>
      <c r="I280" s="191" t="n">
        <v>10.3</v>
      </c>
      <c r="J280" s="191" t="inlineStr">
        <is>
          <t>NO</t>
        </is>
      </c>
      <c r="K280" s="192" t="inlineStr">
        <is>
          <t>https://nvd.nist.gov/vuln/detail/CVE-2026-2663</t>
        </is>
      </c>
      <c r="L280" s="191" t="inlineStr">
        <is>
          <t>2026-02-23 23:48</t>
        </is>
      </c>
      <c r="M280" s="191" t="inlineStr">
        <is>
          <t>CHECK_VENDOR</t>
        </is>
      </c>
      <c r="N280" s="191" t="inlineStr">
        <is>
          <t>See NVD references</t>
        </is>
      </c>
      <c r="O280" s="191" t="inlineStr">
        <is>
          <t>Apply vendor patches</t>
        </is>
      </c>
      <c r="P280" s="191" t="inlineStr">
        <is>
          <t>See CVE details</t>
        </is>
      </c>
      <c r="Q280" s="191" t="inlineStr">
        <is>
          <t>P4</t>
        </is>
      </c>
      <c r="R280" s="191" t="inlineStr">
        <is>
          <t>📅 Schedule patch deployment within 30 days | 🔍 Monitor for exploitation attempts</t>
        </is>
      </c>
      <c r="S280" s="191" t="inlineStr">
        <is>
          <t>CVE - IP enrichment n/a</t>
        </is>
      </c>
      <c r="T280" s="191" t="n">
        <v>0</v>
      </c>
      <c r="U280" s="191" t="n">
        <v>0</v>
      </c>
      <c r="V280" s="191" t="inlineStr">
        <is>
          <t>T1190:Exploit Public-Facing Application</t>
        </is>
      </c>
      <c r="W280" s="191" t="n">
        <v>1</v>
      </c>
      <c r="X280" s="191" t="inlineStr">
        <is>
          <t>LOW (40%)</t>
        </is>
      </c>
      <c r="Y280" s="191" t="inlineStr">
        <is>
          <t>UNLIKELY</t>
        </is>
      </c>
      <c r="Z280" s="191" t="inlineStr">
        <is>
          <t>CHECK_VENDOR</t>
        </is>
      </c>
      <c r="AA280" s="192" t="inlineStr">
        <is>
          <t>https://nvd.nist.gov/vuln/detail/CVE-2026-2663</t>
        </is>
      </c>
      <c r="AB280" s="191" t="inlineStr">
        <is>
          <t>NONE</t>
        </is>
      </c>
      <c r="AC280" s="191" t="n">
        <v>0</v>
      </c>
      <c r="AD280" s="191" t="n"/>
    </row>
    <row r="281">
      <c r="A281" s="191" t="inlineStr">
        <is>
          <t>CVE</t>
        </is>
      </c>
      <c r="B281" s="191" t="inlineStr">
        <is>
          <t>CVE-2026-2665</t>
        </is>
      </c>
      <c r="C281" s="191" t="inlineStr">
        <is>
          <t>A vulnerability was detected in huanzi-qch base-admin up to 57a8126bb3353a004f3c7722089e3b926ea83596. Impacted is the function Upload of the file SysFileController.java of the component JSP Parser. Performing a manipulation of the argument File results in unrestricted upload. The attack can be initiated remotely. The exploit is now public and may be used. Continious delivery with rolling releases is used by this product. Therefore, no version details of affected nor updated releases are availabl</t>
        </is>
      </c>
      <c r="D281" s="191" t="n">
        <v>6.3</v>
      </c>
      <c r="E281" s="191" t="inlineStr">
        <is>
          <t>MEDIUM</t>
        </is>
      </c>
      <c r="F281" s="191" t="n">
        <v>2</v>
      </c>
      <c r="G281" s="191" t="n">
        <v>2</v>
      </c>
      <c r="H281" s="191" t="inlineStr">
        <is>
          <t>MEDIUM</t>
        </is>
      </c>
      <c r="I281" s="191" t="n">
        <v>10.3</v>
      </c>
      <c r="J281" s="191" t="inlineStr">
        <is>
          <t>NO</t>
        </is>
      </c>
      <c r="K281" s="192" t="inlineStr">
        <is>
          <t>https://nvd.nist.gov/vuln/detail/CVE-2026-2665</t>
        </is>
      </c>
      <c r="L281" s="191" t="inlineStr">
        <is>
          <t>2026-02-23 23:48</t>
        </is>
      </c>
      <c r="M281" s="191" t="inlineStr">
        <is>
          <t>CHECK_VENDOR</t>
        </is>
      </c>
      <c r="N281" s="191" t="inlineStr">
        <is>
          <t>See NVD references</t>
        </is>
      </c>
      <c r="O281" s="191" t="inlineStr">
        <is>
          <t>Apply vendor patches</t>
        </is>
      </c>
      <c r="P281" s="191" t="inlineStr">
        <is>
          <t>See CVE details</t>
        </is>
      </c>
      <c r="Q281" s="191" t="inlineStr">
        <is>
          <t>P4</t>
        </is>
      </c>
      <c r="R281" s="191" t="inlineStr">
        <is>
          <t>📅 Schedule patch deployment within 30 days | 🔍 Monitor for exploitation attempts</t>
        </is>
      </c>
      <c r="S281" s="191" t="inlineStr">
        <is>
          <t>CVE - IP enrichment n/a</t>
        </is>
      </c>
      <c r="T281" s="191" t="n">
        <v>0.0004</v>
      </c>
      <c r="U281" s="191" t="n">
        <v>0.1306</v>
      </c>
      <c r="V281" s="191" t="inlineStr">
        <is>
          <t>T1190:Exploit Public-Facing Application</t>
        </is>
      </c>
      <c r="W281" s="191" t="n">
        <v>1</v>
      </c>
      <c r="X281" s="191" t="inlineStr">
        <is>
          <t>LOW (40%)</t>
        </is>
      </c>
      <c r="Y281" s="191" t="inlineStr">
        <is>
          <t>UNLIKELY</t>
        </is>
      </c>
      <c r="Z281" s="191" t="inlineStr">
        <is>
          <t>CHECK_VENDOR</t>
        </is>
      </c>
      <c r="AA281" s="192" t="inlineStr">
        <is>
          <t>https://nvd.nist.gov/vuln/detail/CVE-2026-2665</t>
        </is>
      </c>
      <c r="AB281" s="191" t="inlineStr">
        <is>
          <t>NONE</t>
        </is>
      </c>
      <c r="AC281" s="191" t="n">
        <v>0</v>
      </c>
      <c r="AD281" s="191" t="n"/>
    </row>
    <row r="282">
      <c r="A282" s="191" t="inlineStr">
        <is>
          <t>CVE</t>
        </is>
      </c>
      <c r="B282" s="191" t="inlineStr">
        <is>
          <t>CVE-2026-2666</t>
        </is>
      </c>
      <c r="C282" s="191" t="inlineStr">
        <is>
          <t>A flaw has been found in mingSoft MCMS 6.1.1. The affected element is an unknown function of the file /ms/file/uploadTemplate.do of the component Template Archive Handler. Executing a manipulation of the argument File can lead to unrestricted upload. The attack can be launched remotely. The exploit has been published and may be used.</t>
        </is>
      </c>
      <c r="D282" s="191" t="n">
        <v>4.7</v>
      </c>
      <c r="E282" s="191" t="inlineStr">
        <is>
          <t>MEDIUM</t>
        </is>
      </c>
      <c r="F282" s="191" t="n">
        <v>2</v>
      </c>
      <c r="G282" s="191" t="n">
        <v>2</v>
      </c>
      <c r="H282" s="191" t="inlineStr">
        <is>
          <t>MEDIUM</t>
        </is>
      </c>
      <c r="I282" s="191" t="n">
        <v>8.699999999999999</v>
      </c>
      <c r="J282" s="191" t="inlineStr">
        <is>
          <t>NO</t>
        </is>
      </c>
      <c r="K282" s="192" t="inlineStr">
        <is>
          <t>https://nvd.nist.gov/vuln/detail/CVE-2026-2666</t>
        </is>
      </c>
      <c r="L282" s="191" t="inlineStr">
        <is>
          <t>2026-02-23 23:48</t>
        </is>
      </c>
      <c r="M282" s="191" t="inlineStr">
        <is>
          <t>CHECK_VENDOR</t>
        </is>
      </c>
      <c r="N282" s="191" t="inlineStr">
        <is>
          <t>See NVD references</t>
        </is>
      </c>
      <c r="O282" s="191" t="inlineStr">
        <is>
          <t>Apply vendor patches</t>
        </is>
      </c>
      <c r="P282" s="191" t="inlineStr">
        <is>
          <t>mingsoft mcms 6.1.1</t>
        </is>
      </c>
      <c r="Q282" s="191" t="inlineStr">
        <is>
          <t>P4</t>
        </is>
      </c>
      <c r="R282" s="191" t="inlineStr">
        <is>
          <t>📅 Schedule patch deployment within 30 days | 🔍 Monitor for exploitation attempts</t>
        </is>
      </c>
      <c r="S282" s="191" t="inlineStr">
        <is>
          <t>CVE - IP enrichment n/a</t>
        </is>
      </c>
      <c r="T282" s="191" t="n">
        <v>0</v>
      </c>
      <c r="U282" s="191" t="n">
        <v>0</v>
      </c>
      <c r="V282" s="191" t="inlineStr">
        <is>
          <t>T1190:Exploit Public-Facing Application</t>
        </is>
      </c>
      <c r="W282" s="191" t="n">
        <v>1</v>
      </c>
      <c r="X282" s="191" t="inlineStr">
        <is>
          <t>LOW (40%)</t>
        </is>
      </c>
      <c r="Y282" s="191" t="inlineStr">
        <is>
          <t>UNLIKELY</t>
        </is>
      </c>
      <c r="Z282" s="191" t="inlineStr">
        <is>
          <t>CHECK_VENDOR</t>
        </is>
      </c>
      <c r="AA282" s="192" t="inlineStr">
        <is>
          <t>https://nvd.nist.gov/vuln/detail/CVE-2026-2666</t>
        </is>
      </c>
      <c r="AB282" s="191" t="inlineStr">
        <is>
          <t>NONE</t>
        </is>
      </c>
      <c r="AC282" s="191" t="n">
        <v>0</v>
      </c>
      <c r="AD282" s="191" t="n"/>
    </row>
    <row r="283">
      <c r="A283" s="191" t="inlineStr">
        <is>
          <t>CVE</t>
        </is>
      </c>
      <c r="B283" s="191" t="inlineStr">
        <is>
          <t>CVE-2025-0577</t>
        </is>
      </c>
      <c r="C283" s="191" t="inlineStr">
        <is>
          <t>An insufficient entropy vulnerability was found in glibc. The getrandom and arc4random family of functions may return predictable randomness if these functions are called again after the fork, which happens concurrently with a call to any of these functions.</t>
        </is>
      </c>
      <c r="D283" s="191" t="n">
        <v>4.8</v>
      </c>
      <c r="E283" s="191" t="inlineStr">
        <is>
          <t>MEDIUM</t>
        </is>
      </c>
      <c r="F283" s="191" t="n">
        <v>2</v>
      </c>
      <c r="G283" s="191" t="n">
        <v>2</v>
      </c>
      <c r="H283" s="191" t="inlineStr">
        <is>
          <t>MEDIUM</t>
        </is>
      </c>
      <c r="I283" s="191" t="n">
        <v>8.800000000000001</v>
      </c>
      <c r="J283" s="191" t="inlineStr">
        <is>
          <t>NO</t>
        </is>
      </c>
      <c r="K283" s="192" t="inlineStr">
        <is>
          <t>https://nvd.nist.gov/vuln/detail/CVE-2025-0577</t>
        </is>
      </c>
      <c r="L283" s="191" t="inlineStr">
        <is>
          <t>2026-02-23 23:48</t>
        </is>
      </c>
      <c r="M283" s="191" t="inlineStr">
        <is>
          <t>CHECK_VENDOR</t>
        </is>
      </c>
      <c r="N283" s="191" t="inlineStr">
        <is>
          <t>See NVD references</t>
        </is>
      </c>
      <c r="O283" s="191" t="inlineStr">
        <is>
          <t>Apply vendor patches</t>
        </is>
      </c>
      <c r="P283" s="191" t="inlineStr">
        <is>
          <t>See CVE details</t>
        </is>
      </c>
      <c r="Q283" s="191" t="inlineStr">
        <is>
          <t>P4</t>
        </is>
      </c>
      <c r="R283" s="191" t="inlineStr">
        <is>
          <t>📅 Schedule patch deployment within 30 days | 🔍 Monitor for exploitation attempts</t>
        </is>
      </c>
      <c r="S283" s="191" t="inlineStr">
        <is>
          <t>CVE - IP enrichment n/a</t>
        </is>
      </c>
      <c r="T283" s="191" t="n">
        <v>0</v>
      </c>
      <c r="U283" s="191" t="n">
        <v>0</v>
      </c>
      <c r="V283" s="191" t="inlineStr">
        <is>
          <t>T1190:Exploit Public-Facing Application</t>
        </is>
      </c>
      <c r="W283" s="191" t="n">
        <v>1</v>
      </c>
      <c r="X283" s="191" t="inlineStr">
        <is>
          <t>LOW (40%)</t>
        </is>
      </c>
      <c r="Y283" s="191" t="inlineStr">
        <is>
          <t>UNLIKELY</t>
        </is>
      </c>
      <c r="Z283" s="191" t="inlineStr">
        <is>
          <t>CHECK_VENDOR</t>
        </is>
      </c>
      <c r="AA283" s="192" t="inlineStr">
        <is>
          <t>https://nvd.nist.gov/vuln/detail/CVE-2025-0577</t>
        </is>
      </c>
      <c r="AB283" s="191" t="inlineStr">
        <is>
          <t>NONE</t>
        </is>
      </c>
      <c r="AC283" s="191" t="n">
        <v>0</v>
      </c>
      <c r="AD283" s="191" t="n"/>
    </row>
    <row r="284">
      <c r="A284" s="191" t="inlineStr">
        <is>
          <t>CVE</t>
        </is>
      </c>
      <c r="B284" s="191" t="inlineStr">
        <is>
          <t>CVE-2025-10256</t>
        </is>
      </c>
      <c r="C284" s="191" t="inlineStr">
        <is>
          <t>A NULL pointer dereference vulnerability exists in FFmpeg’s Firequalizer filter (libavfilter/af_firequalizer.c) due to a missing check on the return value of av_malloc_array() in the config_input() function. An attacker could exploit this by tricking a victim into processing a crafted media file with the Firequalizer filter enabled, causing the application to dereference a NULL pointer and crash, leading to denial of service.</t>
        </is>
      </c>
      <c r="D284" s="191" t="n">
        <v>5.3</v>
      </c>
      <c r="E284" s="191" t="inlineStr">
        <is>
          <t>MEDIUM</t>
        </is>
      </c>
      <c r="F284" s="191" t="n">
        <v>2</v>
      </c>
      <c r="G284" s="191" t="n">
        <v>2</v>
      </c>
      <c r="H284" s="191" t="inlineStr">
        <is>
          <t>MEDIUM</t>
        </is>
      </c>
      <c r="I284" s="191" t="n">
        <v>9.300000000000001</v>
      </c>
      <c r="J284" s="191" t="inlineStr">
        <is>
          <t>NO</t>
        </is>
      </c>
      <c r="K284" s="192" t="inlineStr">
        <is>
          <t>https://nvd.nist.gov/vuln/detail/CVE-2025-10256</t>
        </is>
      </c>
      <c r="L284" s="191" t="inlineStr">
        <is>
          <t>2026-02-23 23:48</t>
        </is>
      </c>
      <c r="M284" s="191" t="inlineStr">
        <is>
          <t>CHECK_VENDOR</t>
        </is>
      </c>
      <c r="N284" s="191" t="inlineStr">
        <is>
          <t>See NVD references</t>
        </is>
      </c>
      <c r="O284" s="191" t="inlineStr">
        <is>
          <t>Apply vendor patches</t>
        </is>
      </c>
      <c r="P284" s="191" t="inlineStr">
        <is>
          <t>See CVE details</t>
        </is>
      </c>
      <c r="Q284" s="191" t="inlineStr">
        <is>
          <t>P4</t>
        </is>
      </c>
      <c r="R284" s="191" t="inlineStr">
        <is>
          <t>📅 Schedule patch deployment within 30 days | 🔍 Monitor for exploitation attempts</t>
        </is>
      </c>
      <c r="S284" s="191" t="inlineStr">
        <is>
          <t>CVE - IP enrichment n/a</t>
        </is>
      </c>
      <c r="T284" s="191" t="n">
        <v>0</v>
      </c>
      <c r="U284" s="191" t="n">
        <v>0</v>
      </c>
      <c r="V284" s="191" t="inlineStr">
        <is>
          <t>T1499:Endpoint Denial of Service</t>
        </is>
      </c>
      <c r="W284" s="191" t="n">
        <v>1</v>
      </c>
      <c r="X284" s="191" t="inlineStr">
        <is>
          <t>LOW (40%)</t>
        </is>
      </c>
      <c r="Y284" s="191" t="inlineStr">
        <is>
          <t>UNLIKELY</t>
        </is>
      </c>
      <c r="Z284" s="191" t="inlineStr">
        <is>
          <t>CHECK_VENDOR</t>
        </is>
      </c>
      <c r="AA284" s="192" t="inlineStr">
        <is>
          <t>https://nvd.nist.gov/vuln/detail/CVE-2025-10256</t>
        </is>
      </c>
      <c r="AB284" s="191" t="inlineStr">
        <is>
          <t>NONE</t>
        </is>
      </c>
      <c r="AC284" s="191" t="n">
        <v>0</v>
      </c>
      <c r="AD284" s="191" t="n"/>
    </row>
    <row r="285">
      <c r="A285" s="195" t="inlineStr">
        <is>
          <t>CVE</t>
        </is>
      </c>
      <c r="B285" s="195" t="inlineStr">
        <is>
          <t>CVE-2025-12343</t>
        </is>
      </c>
      <c r="C285" s="195" t="inlineStr">
        <is>
          <t>A flaw was found in FFmpeg’s TensorFlow backend within the libavfilter/dnn_backend_tf.c source file. The issue occurs in the dnn_execute_model_tf() function, where a task object is freed multiple times in certain error-handling paths. This redundant memory deallocation can lead to a double-free condition, potentially causing FFmpeg or any application using it to crash when processing TensorFlow-based DNN models. This results in a denial-of-service scenario but does not allow arbitrary code execu</t>
        </is>
      </c>
      <c r="D285" s="195" t="n">
        <v>3.3</v>
      </c>
      <c r="E285" s="195" t="inlineStr">
        <is>
          <t>LOW</t>
        </is>
      </c>
      <c r="F285" s="195" t="n">
        <v>2</v>
      </c>
      <c r="G285" s="195" t="n">
        <v>1</v>
      </c>
      <c r="H285" s="195" t="inlineStr">
        <is>
          <t>LOW</t>
        </is>
      </c>
      <c r="I285" s="195" t="n">
        <v>5.3</v>
      </c>
      <c r="J285" s="195" t="inlineStr">
        <is>
          <t>NO</t>
        </is>
      </c>
      <c r="K285" s="196" t="inlineStr">
        <is>
          <t>https://nvd.nist.gov/vuln/detail/CVE-2025-12343</t>
        </is>
      </c>
      <c r="L285" s="195" t="inlineStr">
        <is>
          <t>2026-02-23 23:48</t>
        </is>
      </c>
      <c r="M285" s="195" t="inlineStr">
        <is>
          <t>CHECK_VENDOR</t>
        </is>
      </c>
      <c r="N285" s="195" t="inlineStr">
        <is>
          <t>See NVD references</t>
        </is>
      </c>
      <c r="O285" s="195" t="inlineStr">
        <is>
          <t>Apply vendor patches</t>
        </is>
      </c>
      <c r="P285" s="195" t="inlineStr">
        <is>
          <t>See CVE details</t>
        </is>
      </c>
      <c r="Q285" s="195" t="inlineStr">
        <is>
          <t>P4</t>
        </is>
      </c>
      <c r="R285" s="195" t="inlineStr">
        <is>
          <t>📅 Schedule patch deployment within 30 days | 🔍 Monitor for exploitation attempts</t>
        </is>
      </c>
      <c r="S285" s="195" t="inlineStr">
        <is>
          <t>CVE - IP enrichment n/a</t>
        </is>
      </c>
      <c r="T285" s="195" t="n">
        <v>0.0001</v>
      </c>
      <c r="U285" s="195" t="n">
        <v>0.0298</v>
      </c>
      <c r="V285" s="195" t="inlineStr">
        <is>
          <t>T1190:Exploit Public-Facing Application | T1203:Exploitation for Client Execution</t>
        </is>
      </c>
      <c r="W285" s="195" t="n">
        <v>1</v>
      </c>
      <c r="X285" s="195" t="inlineStr">
        <is>
          <t>LOW (40%)</t>
        </is>
      </c>
      <c r="Y285" s="195" t="inlineStr">
        <is>
          <t>UNLIKELY</t>
        </is>
      </c>
      <c r="Z285" s="195" t="inlineStr">
        <is>
          <t>CHECK_VENDOR</t>
        </is>
      </c>
      <c r="AA285" s="196" t="inlineStr">
        <is>
          <t>https://nvd.nist.gov/vuln/detail/CVE-2025-12343</t>
        </is>
      </c>
      <c r="AB285" s="195" t="inlineStr">
        <is>
          <t>NONE</t>
        </is>
      </c>
      <c r="AC285" s="195" t="n">
        <v>0</v>
      </c>
      <c r="AD285" s="195" t="n"/>
    </row>
    <row r="286">
      <c r="A286" s="191" t="inlineStr">
        <is>
          <t>CVE</t>
        </is>
      </c>
      <c r="B286" s="191" t="inlineStr">
        <is>
          <t>CVE-2025-14876</t>
        </is>
      </c>
      <c r="C286" s="191" t="inlineStr">
        <is>
          <t>A flaw was found in the virtio-crypto device of QEMU. A malicious guest operating system can exploit a missing length limit in the AKCIPHER path, leading to uncontrolled memory allocation. This can result in a denial of service (DoS) on the host system by causing the QEMU process to terminate unexpectedly.</t>
        </is>
      </c>
      <c r="D286" s="191" t="n">
        <v>5.5</v>
      </c>
      <c r="E286" s="191" t="inlineStr">
        <is>
          <t>MEDIUM</t>
        </is>
      </c>
      <c r="F286" s="191" t="n">
        <v>2</v>
      </c>
      <c r="G286" s="191" t="n">
        <v>2</v>
      </c>
      <c r="H286" s="191" t="inlineStr">
        <is>
          <t>MEDIUM</t>
        </is>
      </c>
      <c r="I286" s="191" t="n">
        <v>9.5</v>
      </c>
      <c r="J286" s="191" t="inlineStr">
        <is>
          <t>NO</t>
        </is>
      </c>
      <c r="K286" s="192" t="inlineStr">
        <is>
          <t>https://nvd.nist.gov/vuln/detail/CVE-2025-14876</t>
        </is>
      </c>
      <c r="L286" s="191" t="inlineStr">
        <is>
          <t>2026-02-23 23:48</t>
        </is>
      </c>
      <c r="M286" s="191" t="inlineStr">
        <is>
          <t>CHECK_VENDOR</t>
        </is>
      </c>
      <c r="N286" s="191" t="inlineStr">
        <is>
          <t>See NVD references</t>
        </is>
      </c>
      <c r="O286" s="191" t="inlineStr">
        <is>
          <t>Apply vendor patches</t>
        </is>
      </c>
      <c r="P286" s="191" t="inlineStr">
        <is>
          <t>See CVE details</t>
        </is>
      </c>
      <c r="Q286" s="191" t="inlineStr">
        <is>
          <t>P4</t>
        </is>
      </c>
      <c r="R286" s="191" t="inlineStr">
        <is>
          <t>📅 Schedule patch deployment within 30 days | 🔍 Monitor for exploitation attempts</t>
        </is>
      </c>
      <c r="S286" s="191" t="inlineStr">
        <is>
          <t>CVE - IP enrichment n/a</t>
        </is>
      </c>
      <c r="T286" s="191" t="n">
        <v>0</v>
      </c>
      <c r="U286" s="191" t="n">
        <v>0</v>
      </c>
      <c r="V286" s="191" t="inlineStr">
        <is>
          <t>T1499:Endpoint Denial of Service</t>
        </is>
      </c>
      <c r="W286" s="191" t="n">
        <v>1</v>
      </c>
      <c r="X286" s="191" t="inlineStr">
        <is>
          <t>LOW (40%)</t>
        </is>
      </c>
      <c r="Y286" s="191" t="inlineStr">
        <is>
          <t>UNLIKELY</t>
        </is>
      </c>
      <c r="Z286" s="191" t="inlineStr">
        <is>
          <t>CHECK_VENDOR</t>
        </is>
      </c>
      <c r="AA286" s="192" t="inlineStr">
        <is>
          <t>https://nvd.nist.gov/vuln/detail/CVE-2025-14876</t>
        </is>
      </c>
      <c r="AB286" s="191" t="inlineStr">
        <is>
          <t>NONE</t>
        </is>
      </c>
      <c r="AC286" s="191" t="n">
        <v>0</v>
      </c>
      <c r="AD286" s="191" t="n"/>
    </row>
    <row r="287">
      <c r="A287" s="189" t="inlineStr">
        <is>
          <t>CVE</t>
        </is>
      </c>
      <c r="B287" s="189" t="inlineStr">
        <is>
          <t>CVE-2025-1272</t>
        </is>
      </c>
      <c r="C287" s="189" t="inlineStr">
        <is>
          <t>The Linux Kernel lockdown mode for kernel versions starting on 6.12 and above for Fedora Linux has the lockdown mode disabled without any warning. This may allow an attacker to gain access to sensitive information such kernel memory mappings, I/O ports, BPF and kprobes. Additionally unsigned modules can be loaded, leading to execution of untrusted code breaking breaking any Secure Boot protection. This vulnerability affects only Fedora Linux.</t>
        </is>
      </c>
      <c r="D287" s="189" t="n">
        <v>7.7</v>
      </c>
      <c r="E287" s="189" t="inlineStr">
        <is>
          <t>HIGH</t>
        </is>
      </c>
      <c r="F287" s="189" t="n">
        <v>2</v>
      </c>
      <c r="G287" s="189" t="n">
        <v>3</v>
      </c>
      <c r="H287" s="189" t="inlineStr">
        <is>
          <t>HIGH</t>
        </is>
      </c>
      <c r="I287" s="189" t="n">
        <v>13.7</v>
      </c>
      <c r="J287" s="189" t="inlineStr">
        <is>
          <t>NO</t>
        </is>
      </c>
      <c r="K287" s="190" t="inlineStr">
        <is>
          <t>https://nvd.nist.gov/vuln/detail/CVE-2025-1272</t>
        </is>
      </c>
      <c r="L287" s="189" t="inlineStr">
        <is>
          <t>2026-02-23 23:48</t>
        </is>
      </c>
      <c r="M287" s="189" t="inlineStr">
        <is>
          <t>CHECK_VENDOR</t>
        </is>
      </c>
      <c r="N287" s="189" t="inlineStr">
        <is>
          <t>See NVD references</t>
        </is>
      </c>
      <c r="O287" s="189" t="inlineStr">
        <is>
          <t>Apply vendor patches</t>
        </is>
      </c>
      <c r="P287" s="189" t="inlineStr">
        <is>
          <t>See CVE details</t>
        </is>
      </c>
      <c r="Q287" s="189" t="inlineStr">
        <is>
          <t>P3</t>
        </is>
      </c>
      <c r="R287" s="189" t="inlineStr">
        <is>
          <t>🚨 URGENT: Apply vendor patches immediately | 🔒 Isolate affected systems if patch unavailable | 🛡️ Enable additional monitoring/IDS rules</t>
        </is>
      </c>
      <c r="S287" s="189" t="inlineStr">
        <is>
          <t>CVE - IP enrichment n/a</t>
        </is>
      </c>
      <c r="T287" s="189" t="n">
        <v>0</v>
      </c>
      <c r="U287" s="189" t="n">
        <v>0</v>
      </c>
      <c r="V287" s="189" t="inlineStr">
        <is>
          <t>T1190:Exploit Public-Facing Application</t>
        </is>
      </c>
      <c r="W287" s="189" t="n">
        <v>1</v>
      </c>
      <c r="X287" s="189" t="inlineStr">
        <is>
          <t>LOW (40%)</t>
        </is>
      </c>
      <c r="Y287" s="189" t="inlineStr">
        <is>
          <t>UNLIKELY</t>
        </is>
      </c>
      <c r="Z287" s="189" t="inlineStr">
        <is>
          <t>CHECK_VENDOR</t>
        </is>
      </c>
      <c r="AA287" s="190" t="inlineStr">
        <is>
          <t>https://nvd.nist.gov/vuln/detail/CVE-2025-1272</t>
        </is>
      </c>
      <c r="AB287" s="189" t="inlineStr">
        <is>
          <t>NONE</t>
        </is>
      </c>
      <c r="AC287" s="189" t="n">
        <v>0</v>
      </c>
      <c r="AD287" s="189" t="n"/>
    </row>
    <row r="288">
      <c r="A288" s="195" t="inlineStr">
        <is>
          <t>CVE</t>
        </is>
      </c>
      <c r="B288" s="195" t="inlineStr">
        <is>
          <t>CVE-2025-8860</t>
        </is>
      </c>
      <c r="C288" s="195" t="inlineStr">
        <is>
          <t>A flaw was found in QEMU in the uefi-vars virtual device. When the guest writes to register UEFI_VARS_REG_BUFFER_SIZE, the .write callback `uefi_vars_write` is invoked. The function allocates a heap buffer without zeroing the memory, leaving the buffer filled with residual data from prior allocations. When the guest later reads from register UEFI_VARS_REG_PIO_BUFFER_TRANSFER, the .read callback `uefi_vars_read` returns leftover metadata or other sensitive process memory from the previously alloc</t>
        </is>
      </c>
      <c r="D288" s="195" t="n">
        <v>3.3</v>
      </c>
      <c r="E288" s="195" t="inlineStr">
        <is>
          <t>LOW</t>
        </is>
      </c>
      <c r="F288" s="195" t="n">
        <v>2</v>
      </c>
      <c r="G288" s="195" t="n">
        <v>1</v>
      </c>
      <c r="H288" s="195" t="inlineStr">
        <is>
          <t>LOW</t>
        </is>
      </c>
      <c r="I288" s="195" t="n">
        <v>5.3</v>
      </c>
      <c r="J288" s="195" t="inlineStr">
        <is>
          <t>NO</t>
        </is>
      </c>
      <c r="K288" s="196" t="inlineStr">
        <is>
          <t>https://nvd.nist.gov/vuln/detail/CVE-2025-8860</t>
        </is>
      </c>
      <c r="L288" s="195" t="inlineStr">
        <is>
          <t>2026-02-23 23:48</t>
        </is>
      </c>
      <c r="M288" s="195" t="inlineStr">
        <is>
          <t>CHECK_VENDOR</t>
        </is>
      </c>
      <c r="N288" s="195" t="inlineStr">
        <is>
          <t>See NVD references</t>
        </is>
      </c>
      <c r="O288" s="195" t="inlineStr">
        <is>
          <t>Apply vendor patches</t>
        </is>
      </c>
      <c r="P288" s="195" t="inlineStr">
        <is>
          <t>See CVE details</t>
        </is>
      </c>
      <c r="Q288" s="195" t="inlineStr">
        <is>
          <t>P4</t>
        </is>
      </c>
      <c r="R288" s="195" t="inlineStr">
        <is>
          <t>📅 Schedule patch deployment within 30 days | 🔍 Monitor for exploitation attempts</t>
        </is>
      </c>
      <c r="S288" s="195" t="inlineStr">
        <is>
          <t>CVE - IP enrichment n/a</t>
        </is>
      </c>
      <c r="T288" s="195" t="n">
        <v>0</v>
      </c>
      <c r="U288" s="195" t="n">
        <v>0</v>
      </c>
      <c r="V288" s="195" t="inlineStr">
        <is>
          <t>T1213:Data from Information Repositories</t>
        </is>
      </c>
      <c r="W288" s="195" t="n">
        <v>1</v>
      </c>
      <c r="X288" s="195" t="inlineStr">
        <is>
          <t>LOW (40%)</t>
        </is>
      </c>
      <c r="Y288" s="195" t="inlineStr">
        <is>
          <t>UNLIKELY</t>
        </is>
      </c>
      <c r="Z288" s="195" t="inlineStr">
        <is>
          <t>CHECK_VENDOR</t>
        </is>
      </c>
      <c r="AA288" s="196" t="inlineStr">
        <is>
          <t>https://nvd.nist.gov/vuln/detail/CVE-2025-8860</t>
        </is>
      </c>
      <c r="AB288" s="195" t="inlineStr">
        <is>
          <t>NONE</t>
        </is>
      </c>
      <c r="AC288" s="195" t="n">
        <v>0</v>
      </c>
      <c r="AD288" s="195" t="n"/>
    </row>
    <row r="289">
      <c r="A289" s="193" t="inlineStr">
        <is>
          <t>CVE</t>
        </is>
      </c>
      <c r="B289" s="193" t="inlineStr">
        <is>
          <t>CVE-2026-0573</t>
        </is>
      </c>
      <c r="C289" s="193" t="inlineStr">
        <is>
          <t>An URL redirection vulnerability was identified in GitHub Enterprise Server that allowed attacker-controlled redirects to leak sensitive authorization tokens. The repository_pages API insecurely followed HTTP redirects when fetching artifact URLs, preserving the authorization header containing a privileged JWT. An authenticated user could redirect these requests to an attacker-controlled domain, exfiltrate the Actions.ManageOrgs JWT, and leverage it for potential remote code execution. Attackers</t>
        </is>
      </c>
      <c r="D289" s="193" t="n">
        <v>9</v>
      </c>
      <c r="E289" s="193" t="inlineStr">
        <is>
          <t>CRITICAL</t>
        </is>
      </c>
      <c r="F289" s="193" t="n">
        <v>2</v>
      </c>
      <c r="G289" s="193" t="n">
        <v>3</v>
      </c>
      <c r="H289" s="193" t="inlineStr">
        <is>
          <t>HIGH</t>
        </is>
      </c>
      <c r="I289" s="193" t="n">
        <v>15</v>
      </c>
      <c r="J289" s="193" t="inlineStr">
        <is>
          <t>NO</t>
        </is>
      </c>
      <c r="K289" s="194" t="inlineStr">
        <is>
          <t>https://nvd.nist.gov/vuln/detail/CVE-2026-0573</t>
        </is>
      </c>
      <c r="L289" s="193" t="inlineStr">
        <is>
          <t>2026-02-23 23:48</t>
        </is>
      </c>
      <c r="M289" s="193" t="inlineStr">
        <is>
          <t>CHECK_VENDOR</t>
        </is>
      </c>
      <c r="N289" s="193" t="inlineStr">
        <is>
          <t>See NVD references</t>
        </is>
      </c>
      <c r="O289" s="193" t="inlineStr">
        <is>
          <t>Apply vendor patches</t>
        </is>
      </c>
      <c r="P289" s="193" t="inlineStr">
        <is>
          <t>github enterprise_server *</t>
        </is>
      </c>
      <c r="Q289" s="193" t="inlineStr">
        <is>
          <t>P3</t>
        </is>
      </c>
      <c r="R289" s="193" t="inlineStr">
        <is>
          <t>🚨 URGENT: Apply vendor patches immediately | 🔒 Isolate affected systems if patch unavailable | 🛡️ Enable additional monitoring/IDS rules</t>
        </is>
      </c>
      <c r="S289" s="193" t="inlineStr">
        <is>
          <t>CVE - IP enrichment n/a</t>
        </is>
      </c>
      <c r="T289" s="193" t="n">
        <v>0</v>
      </c>
      <c r="U289" s="193" t="n">
        <v>0</v>
      </c>
      <c r="V289" s="193" t="inlineStr">
        <is>
          <t>T1189:Drive-by Compromise | T1190:Exploit Public-Facing Application | T1210:Exploitation of Remote Services</t>
        </is>
      </c>
      <c r="W289" s="193" t="n">
        <v>1</v>
      </c>
      <c r="X289" s="193" t="inlineStr">
        <is>
          <t>LOW (40%)</t>
        </is>
      </c>
      <c r="Y289" s="193" t="inlineStr">
        <is>
          <t>UNLIKELY</t>
        </is>
      </c>
      <c r="Z289" s="193" t="inlineStr">
        <is>
          <t>CHECK_VENDOR</t>
        </is>
      </c>
      <c r="AA289" s="194" t="inlineStr">
        <is>
          <t>https://nvd.nist.gov/vuln/detail/CVE-2026-0573</t>
        </is>
      </c>
      <c r="AB289" s="193" t="inlineStr">
        <is>
          <t>NONE</t>
        </is>
      </c>
      <c r="AC289" s="193" t="n">
        <v>0</v>
      </c>
      <c r="AD289" s="193" t="n"/>
    </row>
    <row r="290">
      <c r="A290" s="191" t="inlineStr">
        <is>
          <t>CVE</t>
        </is>
      </c>
      <c r="B290" s="191" t="inlineStr">
        <is>
          <t>CVE-2026-0665</t>
        </is>
      </c>
      <c r="C290" s="191" t="inlineStr">
        <is>
          <t>An off-by-one error was found in QEMU's KVM Xen guest support. A malicious guest could use this flaw to trigger out-of-bounds heap accesses in the QEMU process via the emulated Xen physdev hypercall interface, leading to a denial of service or potential memory corruption.</t>
        </is>
      </c>
      <c r="D290" s="191" t="n">
        <v>6.5</v>
      </c>
      <c r="E290" s="191" t="inlineStr">
        <is>
          <t>MEDIUM</t>
        </is>
      </c>
      <c r="F290" s="191" t="n">
        <v>2</v>
      </c>
      <c r="G290" s="191" t="n">
        <v>2</v>
      </c>
      <c r="H290" s="191" t="inlineStr">
        <is>
          <t>MEDIUM</t>
        </is>
      </c>
      <c r="I290" s="191" t="n">
        <v>10.5</v>
      </c>
      <c r="J290" s="191" t="inlineStr">
        <is>
          <t>NO</t>
        </is>
      </c>
      <c r="K290" s="192" t="inlineStr">
        <is>
          <t>https://nvd.nist.gov/vuln/detail/CVE-2026-0665</t>
        </is>
      </c>
      <c r="L290" s="191" t="inlineStr">
        <is>
          <t>2026-02-23 23:48</t>
        </is>
      </c>
      <c r="M290" s="191" t="inlineStr">
        <is>
          <t>CHECK_VENDOR</t>
        </is>
      </c>
      <c r="N290" s="191" t="inlineStr">
        <is>
          <t>See NVD references</t>
        </is>
      </c>
      <c r="O290" s="191" t="inlineStr">
        <is>
          <t>Apply vendor patches</t>
        </is>
      </c>
      <c r="P290" s="191" t="inlineStr">
        <is>
          <t>See CVE details</t>
        </is>
      </c>
      <c r="Q290" s="191" t="inlineStr">
        <is>
          <t>P4</t>
        </is>
      </c>
      <c r="R290" s="191" t="inlineStr">
        <is>
          <t>📅 Schedule patch deployment within 30 days | 🔍 Monitor for exploitation attempts</t>
        </is>
      </c>
      <c r="S290" s="191" t="inlineStr">
        <is>
          <t>CVE - IP enrichment n/a</t>
        </is>
      </c>
      <c r="T290" s="191" t="n">
        <v>0</v>
      </c>
      <c r="U290" s="191" t="n">
        <v>0</v>
      </c>
      <c r="V290" s="191" t="inlineStr">
        <is>
          <t>T1203:Exploitation for Client Execution | T1499:Endpoint Denial of Service</t>
        </is>
      </c>
      <c r="W290" s="191" t="n">
        <v>1</v>
      </c>
      <c r="X290" s="191" t="inlineStr">
        <is>
          <t>LOW (40%)</t>
        </is>
      </c>
      <c r="Y290" s="191" t="inlineStr">
        <is>
          <t>UNLIKELY</t>
        </is>
      </c>
      <c r="Z290" s="191" t="inlineStr">
        <is>
          <t>CHECK_VENDOR</t>
        </is>
      </c>
      <c r="AA290" s="192" t="inlineStr">
        <is>
          <t>https://nvd.nist.gov/vuln/detail/CVE-2026-0665</t>
        </is>
      </c>
      <c r="AB290" s="191" t="inlineStr">
        <is>
          <t>NONE</t>
        </is>
      </c>
      <c r="AC290" s="191" t="n">
        <v>0</v>
      </c>
      <c r="AD290" s="191" t="n"/>
    </row>
    <row r="291">
      <c r="A291" s="191" t="inlineStr">
        <is>
          <t>CVE</t>
        </is>
      </c>
      <c r="B291" s="191" t="inlineStr">
        <is>
          <t>CVE-2026-1200</t>
        </is>
      </c>
      <c r="C291" s="191" t="inlineStr">
        <is>
          <t>A flaw was found in the rgaufman/live555 fork of live555. A remote attacker could exploit a segmentation fault, in the `increaseBufferTo` function. This vulnerability can lead to memory corruption problems and potentially other consequences.</t>
        </is>
      </c>
      <c r="D291" s="191" t="n">
        <v>6.3</v>
      </c>
      <c r="E291" s="191" t="inlineStr">
        <is>
          <t>MEDIUM</t>
        </is>
      </c>
      <c r="F291" s="191" t="n">
        <v>2</v>
      </c>
      <c r="G291" s="191" t="n">
        <v>2</v>
      </c>
      <c r="H291" s="191" t="inlineStr">
        <is>
          <t>MEDIUM</t>
        </is>
      </c>
      <c r="I291" s="191" t="n">
        <v>10.3</v>
      </c>
      <c r="J291" s="191" t="inlineStr">
        <is>
          <t>NO</t>
        </is>
      </c>
      <c r="K291" s="192" t="inlineStr">
        <is>
          <t>https://nvd.nist.gov/vuln/detail/CVE-2026-1200</t>
        </is>
      </c>
      <c r="L291" s="191" t="inlineStr">
        <is>
          <t>2026-02-23 23:48</t>
        </is>
      </c>
      <c r="M291" s="191" t="inlineStr">
        <is>
          <t>CHECK_VENDOR</t>
        </is>
      </c>
      <c r="N291" s="191" t="inlineStr">
        <is>
          <t>See NVD references</t>
        </is>
      </c>
      <c r="O291" s="191" t="inlineStr">
        <is>
          <t>Apply vendor patches</t>
        </is>
      </c>
      <c r="P291" s="191" t="inlineStr">
        <is>
          <t>See CVE details</t>
        </is>
      </c>
      <c r="Q291" s="191" t="inlineStr">
        <is>
          <t>P4</t>
        </is>
      </c>
      <c r="R291" s="191" t="inlineStr">
        <is>
          <t>📅 Schedule patch deployment within 30 days | 🔍 Monitor for exploitation attempts</t>
        </is>
      </c>
      <c r="S291" s="191" t="inlineStr">
        <is>
          <t>CVE - IP enrichment n/a</t>
        </is>
      </c>
      <c r="T291" s="191" t="n">
        <v>0</v>
      </c>
      <c r="U291" s="191" t="n">
        <v>0</v>
      </c>
      <c r="V291" s="191" t="inlineStr">
        <is>
          <t>T1203:Exploitation for Client Execution</t>
        </is>
      </c>
      <c r="W291" s="191" t="n">
        <v>1</v>
      </c>
      <c r="X291" s="191" t="inlineStr">
        <is>
          <t>LOW (40%)</t>
        </is>
      </c>
      <c r="Y291" s="191" t="inlineStr">
        <is>
          <t>UNLIKELY</t>
        </is>
      </c>
      <c r="Z291" s="191" t="inlineStr">
        <is>
          <t>CHECK_VENDOR</t>
        </is>
      </c>
      <c r="AA291" s="192" t="inlineStr">
        <is>
          <t>https://nvd.nist.gov/vuln/detail/CVE-2026-1200</t>
        </is>
      </c>
      <c r="AB291" s="191" t="inlineStr">
        <is>
          <t>NONE</t>
        </is>
      </c>
      <c r="AC291" s="191" t="n">
        <v>0</v>
      </c>
      <c r="AD291" s="191" t="n"/>
    </row>
    <row r="292">
      <c r="A292" s="191" t="inlineStr">
        <is>
          <t>CVE</t>
        </is>
      </c>
      <c r="B292" s="191" t="inlineStr">
        <is>
          <t>CVE-2026-1355</t>
        </is>
      </c>
      <c r="C292" s="191" t="inlineStr">
        <is>
          <t xml:space="preserve">A Missing Authorization vulnerability was identified in GitHub Enterprise Server that allowed an attacker to upload unauthorized content to another user’s repository migration export due to a missing authorization check in the repository migration upload endpoint. By supplying the migration identifier, an attacker could overwrite or replace a victim’s migration archive, potentially causing victims to download attacker-controlled repository data during migration restores or automated imports. An </t>
        </is>
      </c>
      <c r="D292" s="191" t="n">
        <v>6.5</v>
      </c>
      <c r="E292" s="191" t="inlineStr">
        <is>
          <t>MEDIUM</t>
        </is>
      </c>
      <c r="F292" s="191" t="n">
        <v>2</v>
      </c>
      <c r="G292" s="191" t="n">
        <v>2</v>
      </c>
      <c r="H292" s="191" t="inlineStr">
        <is>
          <t>MEDIUM</t>
        </is>
      </c>
      <c r="I292" s="191" t="n">
        <v>10.5</v>
      </c>
      <c r="J292" s="191" t="inlineStr">
        <is>
          <t>NO</t>
        </is>
      </c>
      <c r="K292" s="192" t="inlineStr">
        <is>
          <t>https://nvd.nist.gov/vuln/detail/CVE-2026-1355</t>
        </is>
      </c>
      <c r="L292" s="191" t="inlineStr">
        <is>
          <t>2026-02-23 23:48</t>
        </is>
      </c>
      <c r="M292" s="191" t="inlineStr">
        <is>
          <t>CHECK_VENDOR</t>
        </is>
      </c>
      <c r="N292" s="191" t="inlineStr">
        <is>
          <t>See NVD references</t>
        </is>
      </c>
      <c r="O292" s="191" t="inlineStr">
        <is>
          <t>Apply vendor patches</t>
        </is>
      </c>
      <c r="P292" s="191" t="inlineStr">
        <is>
          <t>github enterprise_server *</t>
        </is>
      </c>
      <c r="Q292" s="191" t="inlineStr">
        <is>
          <t>P4</t>
        </is>
      </c>
      <c r="R292" s="191" t="inlineStr">
        <is>
          <t>📅 Schedule patch deployment within 30 days | 🔍 Monitor for exploitation attempts</t>
        </is>
      </c>
      <c r="S292" s="191" t="inlineStr">
        <is>
          <t>CVE - IP enrichment n/a</t>
        </is>
      </c>
      <c r="T292" s="191" t="n">
        <v>0</v>
      </c>
      <c r="U292" s="191" t="n">
        <v>0</v>
      </c>
      <c r="V292" s="191" t="inlineStr">
        <is>
          <t>T1190:Exploit Public-Facing Application</t>
        </is>
      </c>
      <c r="W292" s="191" t="n">
        <v>1</v>
      </c>
      <c r="X292" s="191" t="inlineStr">
        <is>
          <t>LOW (40%)</t>
        </is>
      </c>
      <c r="Y292" s="191" t="inlineStr">
        <is>
          <t>UNLIKELY</t>
        </is>
      </c>
      <c r="Z292" s="191" t="inlineStr">
        <is>
          <t>CHECK_VENDOR</t>
        </is>
      </c>
      <c r="AA292" s="192" t="inlineStr">
        <is>
          <t>https://nvd.nist.gov/vuln/detail/CVE-2026-1355</t>
        </is>
      </c>
      <c r="AB292" s="191" t="inlineStr">
        <is>
          <t>NONE</t>
        </is>
      </c>
      <c r="AC292" s="191" t="n">
        <v>0</v>
      </c>
      <c r="AD292" s="191" t="n"/>
    </row>
    <row r="293">
      <c r="A293" s="191" t="inlineStr">
        <is>
          <t>CVE</t>
        </is>
      </c>
      <c r="B293" s="191" t="inlineStr">
        <is>
          <t>CVE-2026-1999</t>
        </is>
      </c>
      <c r="C293" s="191" t="inlineStr">
        <is>
          <t>An incorrect authorization vulnerability was identified in GitHub Enterprise Server that allowed an attacker to merge their own pull request into a repository without having push access by exploiting an authorization bypass in the enable_auto_merge mutation for pull requests. This issue only affected repositories that allow forking as the attack relies on opening a pull request from an attacker-controlled fork into the target repository. Exploitation was only possible in specific scenarios. It r</t>
        </is>
      </c>
      <c r="D293" s="191" t="n">
        <v>6.5</v>
      </c>
      <c r="E293" s="191" t="inlineStr">
        <is>
          <t>MEDIUM</t>
        </is>
      </c>
      <c r="F293" s="191" t="n">
        <v>2</v>
      </c>
      <c r="G293" s="191" t="n">
        <v>2</v>
      </c>
      <c r="H293" s="191" t="inlineStr">
        <is>
          <t>MEDIUM</t>
        </is>
      </c>
      <c r="I293" s="191" t="n">
        <v>10.5</v>
      </c>
      <c r="J293" s="191" t="inlineStr">
        <is>
          <t>NO</t>
        </is>
      </c>
      <c r="K293" s="192" t="inlineStr">
        <is>
          <t>https://nvd.nist.gov/vuln/detail/CVE-2026-1999</t>
        </is>
      </c>
      <c r="L293" s="191" t="inlineStr">
        <is>
          <t>2026-02-23 23:48</t>
        </is>
      </c>
      <c r="M293" s="191" t="inlineStr">
        <is>
          <t>CHECK_VENDOR</t>
        </is>
      </c>
      <c r="N293" s="191" t="inlineStr">
        <is>
          <t>See NVD references</t>
        </is>
      </c>
      <c r="O293" s="191" t="inlineStr">
        <is>
          <t>Apply vendor patches</t>
        </is>
      </c>
      <c r="P293" s="191" t="inlineStr">
        <is>
          <t>github enterprise_server *</t>
        </is>
      </c>
      <c r="Q293" s="191" t="inlineStr">
        <is>
          <t>P4</t>
        </is>
      </c>
      <c r="R293" s="191" t="inlineStr">
        <is>
          <t>📅 Schedule patch deployment within 30 days | 🔍 Monitor for exploitation attempts</t>
        </is>
      </c>
      <c r="S293" s="191" t="inlineStr">
        <is>
          <t>CVE - IP enrichment n/a</t>
        </is>
      </c>
      <c r="T293" s="191" t="n">
        <v>0</v>
      </c>
      <c r="U293" s="191" t="n">
        <v>0</v>
      </c>
      <c r="V293" s="191" t="inlineStr">
        <is>
          <t>T1190:Exploit Public-Facing Application</t>
        </is>
      </c>
      <c r="W293" s="191" t="n">
        <v>1</v>
      </c>
      <c r="X293" s="191" t="inlineStr">
        <is>
          <t>LOW (40%)</t>
        </is>
      </c>
      <c r="Y293" s="191" t="inlineStr">
        <is>
          <t>UNLIKELY</t>
        </is>
      </c>
      <c r="Z293" s="191" t="inlineStr">
        <is>
          <t>CHECK_VENDOR</t>
        </is>
      </c>
      <c r="AA293" s="192" t="inlineStr">
        <is>
          <t>https://nvd.nist.gov/vuln/detail/CVE-2026-1999</t>
        </is>
      </c>
      <c r="AB293" s="191" t="inlineStr">
        <is>
          <t>NONE</t>
        </is>
      </c>
      <c r="AC293" s="191" t="n">
        <v>0</v>
      </c>
      <c r="AD293" s="191" t="n"/>
    </row>
    <row r="294">
      <c r="A294" s="191" t="inlineStr">
        <is>
          <t>CVE</t>
        </is>
      </c>
      <c r="B294" s="191" t="inlineStr">
        <is>
          <t>CVE-2026-24746</t>
        </is>
      </c>
      <c r="C294" s="191" t="inlineStr">
        <is>
          <t>InvoicePlane is a self-hosted open source application for managing invoices, clients, and payments. A Stored Cross-Site Scripting (XSS) vulnerability occurs in the Edit Quotes functions of InvoicePlane version 1.7.0. In the Editing Quotes function, the application does not validate user input at the quote_number parameter. Although administrator privileges are required to exploit it, this is still considered a critical vulnerability as it can cause actions such as unauthorized modification of ap</t>
        </is>
      </c>
      <c r="D294" s="191" t="n">
        <v>5.7</v>
      </c>
      <c r="E294" s="191" t="inlineStr">
        <is>
          <t>MEDIUM</t>
        </is>
      </c>
      <c r="F294" s="191" t="n">
        <v>2</v>
      </c>
      <c r="G294" s="191" t="n">
        <v>2</v>
      </c>
      <c r="H294" s="191" t="inlineStr">
        <is>
          <t>MEDIUM</t>
        </is>
      </c>
      <c r="I294" s="191" t="n">
        <v>9.699999999999999</v>
      </c>
      <c r="J294" s="191" t="inlineStr">
        <is>
          <t>NO</t>
        </is>
      </c>
      <c r="K294" s="192" t="inlineStr">
        <is>
          <t>https://nvd.nist.gov/vuln/detail/CVE-2026-24746</t>
        </is>
      </c>
      <c r="L294" s="191" t="inlineStr">
        <is>
          <t>2026-02-23 23:48</t>
        </is>
      </c>
      <c r="M294" s="191" t="inlineStr">
        <is>
          <t>YES</t>
        </is>
      </c>
      <c r="N294" s="192" t="inlineStr">
        <is>
          <t>https://github.com/InvoicePlane/InvoicePlane/commit/93622f2df88a860d89bfee56012cabb2942061d6 | https://github.com/InvoicePlane/InvoicePlane/security/advisories/GHSA-73x8-gr6v-vjvj</t>
        </is>
      </c>
      <c r="O294" s="192" t="inlineStr">
        <is>
          <t>https://github.com/InvoicePlane/InvoicePlane/security/advisories/GHSA-73x8-gr6v-vjvj</t>
        </is>
      </c>
      <c r="P294" s="191" t="inlineStr">
        <is>
          <t>invoiceplane invoiceplane 1.7.0</t>
        </is>
      </c>
      <c r="Q294" s="191" t="inlineStr">
        <is>
          <t>P4</t>
        </is>
      </c>
      <c r="R294" s="191" t="inlineStr">
        <is>
          <t>📅 Schedule patch deployment within 30 days | 🔍 Monitor for exploitation attempts</t>
        </is>
      </c>
      <c r="S294" s="191" t="inlineStr">
        <is>
          <t>CVE - IP enrichment n/a</t>
        </is>
      </c>
      <c r="T294" s="191" t="n">
        <v>0</v>
      </c>
      <c r="U294" s="191" t="n">
        <v>0</v>
      </c>
      <c r="V294" s="191" t="inlineStr">
        <is>
          <t>T1189:Drive-by Compromise | T1190:Exploit Public-Facing Application | T1543:Create or Modify System Process</t>
        </is>
      </c>
      <c r="W294" s="191" t="n">
        <v>1</v>
      </c>
      <c r="X294" s="191" t="inlineStr">
        <is>
          <t>LOW (40%)</t>
        </is>
      </c>
      <c r="Y294" s="191" t="inlineStr">
        <is>
          <t>UNLIKELY</t>
        </is>
      </c>
      <c r="Z294" s="191" t="inlineStr">
        <is>
          <t>PATCH_AVAILABLE</t>
        </is>
      </c>
      <c r="AA294" s="192" t="inlineStr">
        <is>
          <t>https://nvd.nist.gov/vuln/detail/CVE-2026-24746</t>
        </is>
      </c>
      <c r="AB294" s="191" t="inlineStr">
        <is>
          <t>NONE</t>
        </is>
      </c>
      <c r="AC294" s="191" t="n">
        <v>0</v>
      </c>
      <c r="AD294" s="191" t="n"/>
    </row>
    <row r="295">
      <c r="A295" s="191" t="inlineStr">
        <is>
          <t>CVE</t>
        </is>
      </c>
      <c r="B295" s="191" t="inlineStr">
        <is>
          <t>CVE-2026-2667</t>
        </is>
      </c>
      <c r="C295" s="191" t="inlineStr">
        <is>
          <t>A vulnerability has been found in Rongzhitong Visual Integrated Command and Dispatch Platform up to 20260206. The impacted element is an unknown function of the file /dispatch/api?cmd=userinfo. The manipulation leads to improper access controls. The attack may be initiated remotely. The exploit has been disclosed to the public and may be used. The vendor was contacted early about this disclosure but did not respond in any way.</t>
        </is>
      </c>
      <c r="D295" s="191" t="n">
        <v>5.3</v>
      </c>
      <c r="E295" s="191" t="inlineStr">
        <is>
          <t>MEDIUM</t>
        </is>
      </c>
      <c r="F295" s="191" t="n">
        <v>2</v>
      </c>
      <c r="G295" s="191" t="n">
        <v>2</v>
      </c>
      <c r="H295" s="191" t="inlineStr">
        <is>
          <t>MEDIUM</t>
        </is>
      </c>
      <c r="I295" s="191" t="n">
        <v>9.300000000000001</v>
      </c>
      <c r="J295" s="191" t="inlineStr">
        <is>
          <t>NO</t>
        </is>
      </c>
      <c r="K295" s="192" t="inlineStr">
        <is>
          <t>https://nvd.nist.gov/vuln/detail/CVE-2026-2667</t>
        </is>
      </c>
      <c r="L295" s="191" t="inlineStr">
        <is>
          <t>2026-02-23 23:48</t>
        </is>
      </c>
      <c r="M295" s="191" t="inlineStr">
        <is>
          <t>CHECK_VENDOR</t>
        </is>
      </c>
      <c r="N295" s="191" t="inlineStr">
        <is>
          <t>See NVD references</t>
        </is>
      </c>
      <c r="O295" s="191" t="inlineStr">
        <is>
          <t>Apply vendor patches</t>
        </is>
      </c>
      <c r="P295" s="191" t="inlineStr">
        <is>
          <t>See CVE details</t>
        </is>
      </c>
      <c r="Q295" s="191" t="inlineStr">
        <is>
          <t>P4</t>
        </is>
      </c>
      <c r="R295" s="191" t="inlineStr">
        <is>
          <t>📅 Schedule patch deployment within 30 days | 🔍 Monitor for exploitation attempts</t>
        </is>
      </c>
      <c r="S295" s="191" t="inlineStr">
        <is>
          <t>CVE - IP enrichment n/a</t>
        </is>
      </c>
      <c r="T295" s="191" t="n">
        <v>0</v>
      </c>
      <c r="U295" s="191" t="n">
        <v>0</v>
      </c>
      <c r="V295" s="191" t="inlineStr">
        <is>
          <t>T1190:Exploit Public-Facing Application</t>
        </is>
      </c>
      <c r="W295" s="191" t="n">
        <v>1</v>
      </c>
      <c r="X295" s="191" t="inlineStr">
        <is>
          <t>LOW (40%)</t>
        </is>
      </c>
      <c r="Y295" s="191" t="inlineStr">
        <is>
          <t>UNLIKELY</t>
        </is>
      </c>
      <c r="Z295" s="191" t="inlineStr">
        <is>
          <t>CHECK_VENDOR</t>
        </is>
      </c>
      <c r="AA295" s="192" t="inlineStr">
        <is>
          <t>https://nvd.nist.gov/vuln/detail/CVE-2026-2667</t>
        </is>
      </c>
      <c r="AB295" s="191" t="inlineStr">
        <is>
          <t>NONE</t>
        </is>
      </c>
      <c r="AC295" s="191" t="n">
        <v>0</v>
      </c>
      <c r="AD295" s="191" t="n"/>
    </row>
    <row r="296">
      <c r="A296" s="189" t="inlineStr">
        <is>
          <t>CVE</t>
        </is>
      </c>
      <c r="B296" s="189" t="inlineStr">
        <is>
          <t>CVE-2026-2668</t>
        </is>
      </c>
      <c r="C296" s="189" t="inlineStr">
        <is>
          <t>A vulnerability was found in Rongzhitong Visual Integrated Command and Dispatch Platform up to 20260206. This affects an unknown function of the file /dm/dispatch/user/add of the component User Handler. The manipulation results in improper access controls. The attack may be launched remotely. The exploit has been made public and could be used. The vendor was contacted early about this disclosure but did not respond in any way.</t>
        </is>
      </c>
      <c r="D296" s="189" t="n">
        <v>7.3</v>
      </c>
      <c r="E296" s="189" t="inlineStr">
        <is>
          <t>HIGH</t>
        </is>
      </c>
      <c r="F296" s="189" t="n">
        <v>2</v>
      </c>
      <c r="G296" s="189" t="n">
        <v>3</v>
      </c>
      <c r="H296" s="189" t="inlineStr">
        <is>
          <t>HIGH</t>
        </is>
      </c>
      <c r="I296" s="189" t="n">
        <v>13.3</v>
      </c>
      <c r="J296" s="189" t="inlineStr">
        <is>
          <t>NO</t>
        </is>
      </c>
      <c r="K296" s="190" t="inlineStr">
        <is>
          <t>https://nvd.nist.gov/vuln/detail/CVE-2026-2668</t>
        </is>
      </c>
      <c r="L296" s="189" t="inlineStr">
        <is>
          <t>2026-02-23 23:48</t>
        </is>
      </c>
      <c r="M296" s="189" t="inlineStr">
        <is>
          <t>CHECK_VENDOR</t>
        </is>
      </c>
      <c r="N296" s="189" t="inlineStr">
        <is>
          <t>See NVD references</t>
        </is>
      </c>
      <c r="O296" s="189" t="inlineStr">
        <is>
          <t>Apply vendor patches</t>
        </is>
      </c>
      <c r="P296" s="189" t="inlineStr">
        <is>
          <t>See CVE details</t>
        </is>
      </c>
      <c r="Q296" s="189" t="inlineStr">
        <is>
          <t>P3</t>
        </is>
      </c>
      <c r="R296" s="189" t="inlineStr">
        <is>
          <t>🚨 URGENT: Apply vendor patches immediately | 🔒 Isolate affected systems if patch unavailable | 🛡️ Enable additional monitoring/IDS rules</t>
        </is>
      </c>
      <c r="S296" s="189" t="inlineStr">
        <is>
          <t>CVE - IP enrichment n/a</t>
        </is>
      </c>
      <c r="T296" s="189" t="n">
        <v>0</v>
      </c>
      <c r="U296" s="189" t="n">
        <v>0</v>
      </c>
      <c r="V296" s="189" t="inlineStr">
        <is>
          <t>T1190:Exploit Public-Facing Application</t>
        </is>
      </c>
      <c r="W296" s="189" t="n">
        <v>1</v>
      </c>
      <c r="X296" s="189" t="inlineStr">
        <is>
          <t>LOW (40%)</t>
        </is>
      </c>
      <c r="Y296" s="189" t="inlineStr">
        <is>
          <t>UNLIKELY</t>
        </is>
      </c>
      <c r="Z296" s="189" t="inlineStr">
        <is>
          <t>CHECK_VENDOR</t>
        </is>
      </c>
      <c r="AA296" s="190" t="inlineStr">
        <is>
          <t>https://nvd.nist.gov/vuln/detail/CVE-2026-2668</t>
        </is>
      </c>
      <c r="AB296" s="189" t="inlineStr">
        <is>
          <t>NONE</t>
        </is>
      </c>
      <c r="AC296" s="189" t="n">
        <v>0</v>
      </c>
      <c r="AD296" s="189" t="n"/>
    </row>
    <row r="297">
      <c r="A297" s="191" t="inlineStr">
        <is>
          <t>CVE</t>
        </is>
      </c>
      <c r="B297" s="191" t="inlineStr">
        <is>
          <t>CVE-2019-25326</t>
        </is>
      </c>
      <c r="C297" s="191" t="inlineStr">
        <is>
          <t>ipPulse 1.92 contains a denial of service vulnerability that allows local attackers to crash the application by providing an oversized input in the Enter Key field. Attackers can generate a 256-byte buffer of repeated 'A' characters to trigger an application crash when pasting the malicious content.</t>
        </is>
      </c>
      <c r="D297" s="191" t="n">
        <v>6.2</v>
      </c>
      <c r="E297" s="191" t="inlineStr">
        <is>
          <t>MEDIUM</t>
        </is>
      </c>
      <c r="F297" s="191" t="n">
        <v>2</v>
      </c>
      <c r="G297" s="191" t="n">
        <v>2</v>
      </c>
      <c r="H297" s="191" t="inlineStr">
        <is>
          <t>MEDIUM</t>
        </is>
      </c>
      <c r="I297" s="191" t="n">
        <v>10.2</v>
      </c>
      <c r="J297" s="191" t="inlineStr">
        <is>
          <t>NO</t>
        </is>
      </c>
      <c r="K297" s="192" t="inlineStr">
        <is>
          <t>https://nvd.nist.gov/vuln/detail/CVE-2019-25326</t>
        </is>
      </c>
      <c r="L297" s="191" t="inlineStr">
        <is>
          <t>2026-02-23 23:48</t>
        </is>
      </c>
      <c r="M297" s="191" t="inlineStr">
        <is>
          <t>CHECK_VENDOR</t>
        </is>
      </c>
      <c r="N297" s="191" t="inlineStr">
        <is>
          <t>See NVD references</t>
        </is>
      </c>
      <c r="O297" s="191" t="inlineStr">
        <is>
          <t>Apply vendor patches</t>
        </is>
      </c>
      <c r="P297" s="191" t="inlineStr">
        <is>
          <t>See CVE details</t>
        </is>
      </c>
      <c r="Q297" s="191" t="inlineStr">
        <is>
          <t>P4</t>
        </is>
      </c>
      <c r="R297" s="191" t="inlineStr">
        <is>
          <t>📅 Schedule patch deployment within 30 days | 🔍 Monitor for exploitation attempts</t>
        </is>
      </c>
      <c r="S297" s="191" t="inlineStr">
        <is>
          <t>CVE - IP enrichment n/a</t>
        </is>
      </c>
      <c r="T297" s="191" t="n">
        <v>0</v>
      </c>
      <c r="U297" s="191" t="n">
        <v>0</v>
      </c>
      <c r="V297" s="191" t="inlineStr">
        <is>
          <t>T1203:Exploitation for Client Execution | T1499:Endpoint Denial of Service</t>
        </is>
      </c>
      <c r="W297" s="191" t="n">
        <v>1</v>
      </c>
      <c r="X297" s="191" t="inlineStr">
        <is>
          <t>LOW (40%)</t>
        </is>
      </c>
      <c r="Y297" s="191" t="inlineStr">
        <is>
          <t>UNLIKELY</t>
        </is>
      </c>
      <c r="Z297" s="191" t="inlineStr">
        <is>
          <t>CHECK_VENDOR</t>
        </is>
      </c>
      <c r="AA297" s="192" t="inlineStr">
        <is>
          <t>https://nvd.nist.gov/vuln/detail/CVE-2019-25326</t>
        </is>
      </c>
      <c r="AB297" s="191" t="inlineStr">
        <is>
          <t>NONE</t>
        </is>
      </c>
      <c r="AC297" s="191" t="n">
        <v>0</v>
      </c>
      <c r="AD297" s="191" t="n"/>
    </row>
    <row r="298">
      <c r="A298" s="189" t="inlineStr">
        <is>
          <t>CVE</t>
        </is>
      </c>
      <c r="B298" s="189" t="inlineStr">
        <is>
          <t>CVE-2019-25349</t>
        </is>
      </c>
      <c r="C298" s="189" t="inlineStr">
        <is>
          <t>ScadaApp for iOS 1.1.4.0 contains a denial of service vulnerability that allows attackers to crash the application by inputting an oversized buffer in the Servername field. Attackers can paste a 257-character buffer during login to trigger an application crash on iOS devices.</t>
        </is>
      </c>
      <c r="D298" s="189" t="n">
        <v>7.5</v>
      </c>
      <c r="E298" s="189" t="inlineStr">
        <is>
          <t>HIGH</t>
        </is>
      </c>
      <c r="F298" s="189" t="n">
        <v>2</v>
      </c>
      <c r="G298" s="189" t="n">
        <v>3</v>
      </c>
      <c r="H298" s="189" t="inlineStr">
        <is>
          <t>HIGH</t>
        </is>
      </c>
      <c r="I298" s="189" t="n">
        <v>13.5</v>
      </c>
      <c r="J298" s="189" t="inlineStr">
        <is>
          <t>NO</t>
        </is>
      </c>
      <c r="K298" s="190" t="inlineStr">
        <is>
          <t>https://nvd.nist.gov/vuln/detail/CVE-2019-25349</t>
        </is>
      </c>
      <c r="L298" s="189" t="inlineStr">
        <is>
          <t>2026-02-23 23:48</t>
        </is>
      </c>
      <c r="M298" s="189" t="inlineStr">
        <is>
          <t>CHECK_VENDOR</t>
        </is>
      </c>
      <c r="N298" s="189" t="inlineStr">
        <is>
          <t>See NVD references</t>
        </is>
      </c>
      <c r="O298" s="189" t="inlineStr">
        <is>
          <t>Apply vendor patches</t>
        </is>
      </c>
      <c r="P298" s="189" t="inlineStr">
        <is>
          <t>See CVE details</t>
        </is>
      </c>
      <c r="Q298" s="189" t="inlineStr">
        <is>
          <t>P3</t>
        </is>
      </c>
      <c r="R298" s="189" t="inlineStr">
        <is>
          <t>🚨 URGENT: Apply vendor patches immediately | 🔒 Isolate affected systems if patch unavailable | 🛡️ Enable additional monitoring/IDS rules</t>
        </is>
      </c>
      <c r="S298" s="189" t="inlineStr">
        <is>
          <t>CVE - IP enrichment n/a</t>
        </is>
      </c>
      <c r="T298" s="189" t="n">
        <v>0</v>
      </c>
      <c r="U298" s="189" t="n">
        <v>0</v>
      </c>
      <c r="V298" s="189" t="inlineStr">
        <is>
          <t>T1203:Exploitation for Client Execution | T1499:Endpoint Denial of Service</t>
        </is>
      </c>
      <c r="W298" s="189" t="n">
        <v>1</v>
      </c>
      <c r="X298" s="189" t="inlineStr">
        <is>
          <t>LOW (40%)</t>
        </is>
      </c>
      <c r="Y298" s="189" t="inlineStr">
        <is>
          <t>UNLIKELY</t>
        </is>
      </c>
      <c r="Z298" s="189" t="inlineStr">
        <is>
          <t>CHECK_VENDOR</t>
        </is>
      </c>
      <c r="AA298" s="190" t="inlineStr">
        <is>
          <t>https://nvd.nist.gov/vuln/detail/CVE-2019-25349</t>
        </is>
      </c>
      <c r="AB298" s="189" t="inlineStr">
        <is>
          <t>NONE</t>
        </is>
      </c>
      <c r="AC298" s="189" t="n">
        <v>0</v>
      </c>
      <c r="AD298" s="189" t="n"/>
    </row>
    <row r="299">
      <c r="A299" s="189" t="inlineStr">
        <is>
          <t>CVE</t>
        </is>
      </c>
      <c r="B299" s="189" t="inlineStr">
        <is>
          <t>CVE-2019-25350</t>
        </is>
      </c>
      <c r="C299" s="189" t="inlineStr">
        <is>
          <t>XMedia Recode 3.4.8.6 contains a denial of service vulnerability that allows attackers to crash the application by loading a specially crafted .m3u playlist file. Attackers can create a malicious .m3u file with an oversized buffer to trigger an application crash when the file is opened.</t>
        </is>
      </c>
      <c r="D299" s="189" t="n">
        <v>7.5</v>
      </c>
      <c r="E299" s="189" t="inlineStr">
        <is>
          <t>HIGH</t>
        </is>
      </c>
      <c r="F299" s="189" t="n">
        <v>2</v>
      </c>
      <c r="G299" s="189" t="n">
        <v>3</v>
      </c>
      <c r="H299" s="189" t="inlineStr">
        <is>
          <t>HIGH</t>
        </is>
      </c>
      <c r="I299" s="189" t="n">
        <v>13.5</v>
      </c>
      <c r="J299" s="189" t="inlineStr">
        <is>
          <t>NO</t>
        </is>
      </c>
      <c r="K299" s="190" t="inlineStr">
        <is>
          <t>https://nvd.nist.gov/vuln/detail/CVE-2019-25350</t>
        </is>
      </c>
      <c r="L299" s="189" t="inlineStr">
        <is>
          <t>2026-02-23 23:48</t>
        </is>
      </c>
      <c r="M299" s="189" t="inlineStr">
        <is>
          <t>CHECK_VENDOR</t>
        </is>
      </c>
      <c r="N299" s="189" t="inlineStr">
        <is>
          <t>See NVD references</t>
        </is>
      </c>
      <c r="O299" s="189" t="inlineStr">
        <is>
          <t>Apply vendor patches</t>
        </is>
      </c>
      <c r="P299" s="189" t="inlineStr">
        <is>
          <t>See CVE details</t>
        </is>
      </c>
      <c r="Q299" s="189" t="inlineStr">
        <is>
          <t>P3</t>
        </is>
      </c>
      <c r="R299" s="189" t="inlineStr">
        <is>
          <t>🚨 URGENT: Apply vendor patches immediately | 🔒 Isolate affected systems if patch unavailable | 🛡️ Enable additional monitoring/IDS rules</t>
        </is>
      </c>
      <c r="S299" s="189" t="inlineStr">
        <is>
          <t>CVE - IP enrichment n/a</t>
        </is>
      </c>
      <c r="T299" s="189" t="n">
        <v>0</v>
      </c>
      <c r="U299" s="189" t="n">
        <v>0</v>
      </c>
      <c r="V299" s="189" t="inlineStr">
        <is>
          <t>T1499:Endpoint Denial of Service</t>
        </is>
      </c>
      <c r="W299" s="189" t="n">
        <v>1</v>
      </c>
      <c r="X299" s="189" t="inlineStr">
        <is>
          <t>LOW (40%)</t>
        </is>
      </c>
      <c r="Y299" s="189" t="inlineStr">
        <is>
          <t>UNLIKELY</t>
        </is>
      </c>
      <c r="Z299" s="189" t="inlineStr">
        <is>
          <t>CHECK_VENDOR</t>
        </is>
      </c>
      <c r="AA299" s="190" t="inlineStr">
        <is>
          <t>https://nvd.nist.gov/vuln/detail/CVE-2019-25350</t>
        </is>
      </c>
      <c r="AB299" s="189" t="inlineStr">
        <is>
          <t>NONE</t>
        </is>
      </c>
      <c r="AC299" s="189" t="n">
        <v>0</v>
      </c>
      <c r="AD299" s="189" t="n"/>
    </row>
    <row r="300">
      <c r="A300" s="189" t="inlineStr">
        <is>
          <t>CVE</t>
        </is>
      </c>
      <c r="B300" s="189" t="inlineStr">
        <is>
          <t>CVE-2019-25351</t>
        </is>
      </c>
      <c r="C300" s="189" t="inlineStr">
        <is>
          <t>Centova Cast 3.2.11 contains a file download vulnerability that allows authenticated attackers to retrieve arbitrary system files through the server.copyfile API endpoint. Attackers can exploit the vulnerability by supplying crafted parameters to download sensitive files like /etc/passwd using curl and wget requests.</t>
        </is>
      </c>
      <c r="D300" s="189" t="n">
        <v>8.800000000000001</v>
      </c>
      <c r="E300" s="189" t="inlineStr">
        <is>
          <t>HIGH</t>
        </is>
      </c>
      <c r="F300" s="189" t="n">
        <v>2</v>
      </c>
      <c r="G300" s="189" t="n">
        <v>3</v>
      </c>
      <c r="H300" s="189" t="inlineStr">
        <is>
          <t>HIGH</t>
        </is>
      </c>
      <c r="I300" s="189" t="n">
        <v>14.8</v>
      </c>
      <c r="J300" s="189" t="inlineStr">
        <is>
          <t>NO</t>
        </is>
      </c>
      <c r="K300" s="190" t="inlineStr">
        <is>
          <t>https://nvd.nist.gov/vuln/detail/CVE-2019-25351</t>
        </is>
      </c>
      <c r="L300" s="189" t="inlineStr">
        <is>
          <t>2026-02-23 23:48</t>
        </is>
      </c>
      <c r="M300" s="189" t="inlineStr">
        <is>
          <t>CHECK_VENDOR</t>
        </is>
      </c>
      <c r="N300" s="189" t="inlineStr">
        <is>
          <t>See NVD references</t>
        </is>
      </c>
      <c r="O300" s="189" t="inlineStr">
        <is>
          <t>Apply vendor patches</t>
        </is>
      </c>
      <c r="P300" s="189" t="inlineStr">
        <is>
          <t>See CVE details</t>
        </is>
      </c>
      <c r="Q300" s="189" t="inlineStr">
        <is>
          <t>P3</t>
        </is>
      </c>
      <c r="R300" s="189" t="inlineStr">
        <is>
          <t>🚨 URGENT: Apply vendor patches immediately | 🔒 Isolate affected systems if patch unavailable | 🛡️ Enable additional monitoring/IDS rules</t>
        </is>
      </c>
      <c r="S300" s="189" t="inlineStr">
        <is>
          <t>CVE - IP enrichment n/a</t>
        </is>
      </c>
      <c r="T300" s="189" t="n">
        <v>0</v>
      </c>
      <c r="U300" s="189" t="n">
        <v>0</v>
      </c>
      <c r="V300" s="189" t="inlineStr">
        <is>
          <t>T1190:Exploit Public-Facing Application</t>
        </is>
      </c>
      <c r="W300" s="189" t="n">
        <v>1</v>
      </c>
      <c r="X300" s="189" t="inlineStr">
        <is>
          <t>LOW (40%)</t>
        </is>
      </c>
      <c r="Y300" s="189" t="inlineStr">
        <is>
          <t>UNLIKELY</t>
        </is>
      </c>
      <c r="Z300" s="189" t="inlineStr">
        <is>
          <t>CHECK_VENDOR</t>
        </is>
      </c>
      <c r="AA300" s="190" t="inlineStr">
        <is>
          <t>https://nvd.nist.gov/vuln/detail/CVE-2019-25351</t>
        </is>
      </c>
      <c r="AB300" s="189" t="inlineStr">
        <is>
          <t>NONE</t>
        </is>
      </c>
      <c r="AC300" s="189" t="n">
        <v>0</v>
      </c>
      <c r="AD300" s="189" t="n"/>
    </row>
    <row r="301">
      <c r="A301" s="189" t="inlineStr">
        <is>
          <t>CVE</t>
        </is>
      </c>
      <c r="B301" s="189" t="inlineStr">
        <is>
          <t>CVE-2019-25352</t>
        </is>
      </c>
      <c r="C301" s="189" t="inlineStr">
        <is>
          <t>Crystal Live HTTP Server 6.01 contains a directory traversal vulnerability that allows remote attackers to access system files by manipulating URL path segments. Attackers can use multiple '../' sequences to navigate outside the web root and retrieve sensitive configuration files like Windows system files.</t>
        </is>
      </c>
      <c r="D301" s="189" t="n">
        <v>7.5</v>
      </c>
      <c r="E301" s="189" t="inlineStr">
        <is>
          <t>HIGH</t>
        </is>
      </c>
      <c r="F301" s="189" t="n">
        <v>2</v>
      </c>
      <c r="G301" s="189" t="n">
        <v>3</v>
      </c>
      <c r="H301" s="189" t="inlineStr">
        <is>
          <t>HIGH</t>
        </is>
      </c>
      <c r="I301" s="189" t="n">
        <v>13.5</v>
      </c>
      <c r="J301" s="189" t="inlineStr">
        <is>
          <t>NO</t>
        </is>
      </c>
      <c r="K301" s="190" t="inlineStr">
        <is>
          <t>https://nvd.nist.gov/vuln/detail/CVE-2019-25352</t>
        </is>
      </c>
      <c r="L301" s="189" t="inlineStr">
        <is>
          <t>2026-02-23 23:48</t>
        </is>
      </c>
      <c r="M301" s="189" t="inlineStr">
        <is>
          <t>CHECK_VENDOR</t>
        </is>
      </c>
      <c r="N301" s="189" t="inlineStr">
        <is>
          <t>See NVD references</t>
        </is>
      </c>
      <c r="O301" s="189" t="inlineStr">
        <is>
          <t>Apply vendor patches</t>
        </is>
      </c>
      <c r="P301" s="189" t="inlineStr">
        <is>
          <t>See CVE details</t>
        </is>
      </c>
      <c r="Q301" s="189" t="inlineStr">
        <is>
          <t>P3</t>
        </is>
      </c>
      <c r="R301" s="189" t="inlineStr">
        <is>
          <t>🚨 URGENT: Apply vendor patches immediately | 🔒 Isolate affected systems if patch unavailable | 🛡️ Enable additional monitoring/IDS rules</t>
        </is>
      </c>
      <c r="S301" s="189" t="inlineStr">
        <is>
          <t>CVE - IP enrichment n/a</t>
        </is>
      </c>
      <c r="T301" s="189" t="n">
        <v>0.0032</v>
      </c>
      <c r="U301" s="189" t="n">
        <v>0.5459000000000001</v>
      </c>
      <c r="V301" s="189" t="inlineStr">
        <is>
          <t>T1083:File and Directory Discovery</t>
        </is>
      </c>
      <c r="W301" s="189" t="n">
        <v>1</v>
      </c>
      <c r="X301" s="189" t="inlineStr">
        <is>
          <t>LOW (40%)</t>
        </is>
      </c>
      <c r="Y301" s="189" t="inlineStr">
        <is>
          <t>UNLIKELY</t>
        </is>
      </c>
      <c r="Z301" s="189" t="inlineStr">
        <is>
          <t>CHECK_VENDOR</t>
        </is>
      </c>
      <c r="AA301" s="190" t="inlineStr">
        <is>
          <t>https://nvd.nist.gov/vuln/detail/CVE-2019-25352</t>
        </is>
      </c>
      <c r="AB301" s="189" t="inlineStr">
        <is>
          <t>NONE</t>
        </is>
      </c>
      <c r="AC301" s="189" t="n">
        <v>0</v>
      </c>
      <c r="AD301" s="189" t="n"/>
    </row>
    <row r="302">
      <c r="A302" s="189" t="inlineStr">
        <is>
          <t>CVE</t>
        </is>
      </c>
      <c r="B302" s="189" t="inlineStr">
        <is>
          <t>CVE-2019-25353</t>
        </is>
      </c>
      <c r="C302" s="189" t="inlineStr">
        <is>
          <t>Foscam Video Management System 1.1.4.9 contains a denial of service vulnerability in the username input field that allows attackers to crash the application. Attackers can overwrite the username with a 520-byte buffer of repeated 'A' characters to trigger an application crash during device login.</t>
        </is>
      </c>
      <c r="D302" s="189" t="n">
        <v>7.5</v>
      </c>
      <c r="E302" s="189" t="inlineStr">
        <is>
          <t>HIGH</t>
        </is>
      </c>
      <c r="F302" s="189" t="n">
        <v>2</v>
      </c>
      <c r="G302" s="189" t="n">
        <v>3</v>
      </c>
      <c r="H302" s="189" t="inlineStr">
        <is>
          <t>HIGH</t>
        </is>
      </c>
      <c r="I302" s="189" t="n">
        <v>13.5</v>
      </c>
      <c r="J302" s="189" t="inlineStr">
        <is>
          <t>NO</t>
        </is>
      </c>
      <c r="K302" s="190" t="inlineStr">
        <is>
          <t>https://nvd.nist.gov/vuln/detail/CVE-2019-25353</t>
        </is>
      </c>
      <c r="L302" s="189" t="inlineStr">
        <is>
          <t>2026-02-23 23:48</t>
        </is>
      </c>
      <c r="M302" s="189" t="inlineStr">
        <is>
          <t>CHECK_VENDOR</t>
        </is>
      </c>
      <c r="N302" s="189" t="inlineStr">
        <is>
          <t>See NVD references</t>
        </is>
      </c>
      <c r="O302" s="189" t="inlineStr">
        <is>
          <t>Apply vendor patches</t>
        </is>
      </c>
      <c r="P302" s="189" t="inlineStr">
        <is>
          <t>See CVE details</t>
        </is>
      </c>
      <c r="Q302" s="189" t="inlineStr">
        <is>
          <t>P3</t>
        </is>
      </c>
      <c r="R302" s="189" t="inlineStr">
        <is>
          <t>🚨 URGENT: Apply vendor patches immediately | 🔒 Isolate affected systems if patch unavailable | 🛡️ Enable additional monitoring/IDS rules</t>
        </is>
      </c>
      <c r="S302" s="189" t="inlineStr">
        <is>
          <t>CVE - IP enrichment n/a</t>
        </is>
      </c>
      <c r="T302" s="189" t="n">
        <v>0</v>
      </c>
      <c r="U302" s="189" t="n">
        <v>0</v>
      </c>
      <c r="V302" s="189" t="inlineStr">
        <is>
          <t>T1203:Exploitation for Client Execution | T1499:Endpoint Denial of Service</t>
        </is>
      </c>
      <c r="W302" s="189" t="n">
        <v>1</v>
      </c>
      <c r="X302" s="189" t="inlineStr">
        <is>
          <t>LOW (40%)</t>
        </is>
      </c>
      <c r="Y302" s="189" t="inlineStr">
        <is>
          <t>UNLIKELY</t>
        </is>
      </c>
      <c r="Z302" s="189" t="inlineStr">
        <is>
          <t>CHECK_VENDOR</t>
        </is>
      </c>
      <c r="AA302" s="190" t="inlineStr">
        <is>
          <t>https://nvd.nist.gov/vuln/detail/CVE-2019-25353</t>
        </is>
      </c>
      <c r="AB302" s="189" t="inlineStr">
        <is>
          <t>NONE</t>
        </is>
      </c>
      <c r="AC302" s="189" t="n">
        <v>0</v>
      </c>
      <c r="AD302" s="189" t="n"/>
    </row>
    <row r="303">
      <c r="A303" s="189" t="inlineStr">
        <is>
          <t>CVE</t>
        </is>
      </c>
      <c r="B303" s="189" t="inlineStr">
        <is>
          <t>CVE-2019-25354</t>
        </is>
      </c>
      <c r="C303" s="189" t="inlineStr">
        <is>
          <t>iSmartViewPro 1.3.34 contains a denial of service vulnerability that allows attackers to crash the application by overflowing the camera ID input field. Attackers can paste a 257-character buffer into the camera DID and password fields to trigger an application crash on iOS devices.</t>
        </is>
      </c>
      <c r="D303" s="189" t="n">
        <v>7.5</v>
      </c>
      <c r="E303" s="189" t="inlineStr">
        <is>
          <t>HIGH</t>
        </is>
      </c>
      <c r="F303" s="189" t="n">
        <v>2</v>
      </c>
      <c r="G303" s="189" t="n">
        <v>3</v>
      </c>
      <c r="H303" s="189" t="inlineStr">
        <is>
          <t>HIGH</t>
        </is>
      </c>
      <c r="I303" s="189" t="n">
        <v>13.5</v>
      </c>
      <c r="J303" s="189" t="inlineStr">
        <is>
          <t>NO</t>
        </is>
      </c>
      <c r="K303" s="190" t="inlineStr">
        <is>
          <t>https://nvd.nist.gov/vuln/detail/CVE-2019-25354</t>
        </is>
      </c>
      <c r="L303" s="189" t="inlineStr">
        <is>
          <t>2026-02-23 23:48</t>
        </is>
      </c>
      <c r="M303" s="189" t="inlineStr">
        <is>
          <t>CHECK_VENDOR</t>
        </is>
      </c>
      <c r="N303" s="189" t="inlineStr">
        <is>
          <t>See NVD references</t>
        </is>
      </c>
      <c r="O303" s="189" t="inlineStr">
        <is>
          <t>Apply vendor patches</t>
        </is>
      </c>
      <c r="P303" s="189" t="inlineStr">
        <is>
          <t>See CVE details</t>
        </is>
      </c>
      <c r="Q303" s="189" t="inlineStr">
        <is>
          <t>P3</t>
        </is>
      </c>
      <c r="R303" s="189" t="inlineStr">
        <is>
          <t>🚨 URGENT: Apply vendor patches immediately | 🔒 Isolate affected systems if patch unavailable | 🛡️ Enable additional monitoring/IDS rules</t>
        </is>
      </c>
      <c r="S303" s="189" t="inlineStr">
        <is>
          <t>CVE - IP enrichment n/a</t>
        </is>
      </c>
      <c r="T303" s="189" t="n">
        <v>0</v>
      </c>
      <c r="U303" s="189" t="n">
        <v>0</v>
      </c>
      <c r="V303" s="189" t="inlineStr">
        <is>
          <t>T1203:Exploitation for Client Execution | T1499:Endpoint Denial of Service</t>
        </is>
      </c>
      <c r="W303" s="189" t="n">
        <v>1</v>
      </c>
      <c r="X303" s="189" t="inlineStr">
        <is>
          <t>LOW (40%)</t>
        </is>
      </c>
      <c r="Y303" s="189" t="inlineStr">
        <is>
          <t>UNLIKELY</t>
        </is>
      </c>
      <c r="Z303" s="189" t="inlineStr">
        <is>
          <t>CHECK_VENDOR</t>
        </is>
      </c>
      <c r="AA303" s="190" t="inlineStr">
        <is>
          <t>https://nvd.nist.gov/vuln/detail/CVE-2019-25354</t>
        </is>
      </c>
      <c r="AB303" s="189" t="inlineStr">
        <is>
          <t>NONE</t>
        </is>
      </c>
      <c r="AC303" s="189" t="n">
        <v>0</v>
      </c>
      <c r="AD303" s="189" t="n"/>
    </row>
    <row r="304">
      <c r="A304" s="189" t="inlineStr">
        <is>
          <t>CVE</t>
        </is>
      </c>
      <c r="B304" s="189" t="inlineStr">
        <is>
          <t>CVE-2019-25355</t>
        </is>
      </c>
      <c r="C304" s="189" t="inlineStr">
        <is>
          <t>gSOAP 2.8 contains a directory traversal vulnerability that allows unauthenticated attackers to access system files by manipulating HTTP path traversal techniques. Attackers can retrieve sensitive files like /etc/passwd by sending crafted GET requests with multiple '../' directory traversal sequences.</t>
        </is>
      </c>
      <c r="D304" s="189" t="n">
        <v>7.5</v>
      </c>
      <c r="E304" s="189" t="inlineStr">
        <is>
          <t>HIGH</t>
        </is>
      </c>
      <c r="F304" s="189" t="n">
        <v>2</v>
      </c>
      <c r="G304" s="189" t="n">
        <v>3</v>
      </c>
      <c r="H304" s="189" t="inlineStr">
        <is>
          <t>HIGH</t>
        </is>
      </c>
      <c r="I304" s="189" t="n">
        <v>13.5</v>
      </c>
      <c r="J304" s="189" t="inlineStr">
        <is>
          <t>NO</t>
        </is>
      </c>
      <c r="K304" s="190" t="inlineStr">
        <is>
          <t>https://nvd.nist.gov/vuln/detail/CVE-2019-25355</t>
        </is>
      </c>
      <c r="L304" s="189" t="inlineStr">
        <is>
          <t>2026-02-23 23:48</t>
        </is>
      </c>
      <c r="M304" s="189" t="inlineStr">
        <is>
          <t>CHECK_VENDOR</t>
        </is>
      </c>
      <c r="N304" s="189" t="inlineStr">
        <is>
          <t>See NVD references</t>
        </is>
      </c>
      <c r="O304" s="189" t="inlineStr">
        <is>
          <t>Apply vendor patches</t>
        </is>
      </c>
      <c r="P304" s="189" t="inlineStr">
        <is>
          <t>See CVE details</t>
        </is>
      </c>
      <c r="Q304" s="189" t="inlineStr">
        <is>
          <t>P3</t>
        </is>
      </c>
      <c r="R304" s="189" t="inlineStr">
        <is>
          <t>🚨 URGENT: Apply vendor patches immediately | 🔒 Isolate affected systems if patch unavailable | 🛡️ Enable additional monitoring/IDS rules</t>
        </is>
      </c>
      <c r="S304" s="189" t="inlineStr">
        <is>
          <t>CVE - IP enrichment n/a</t>
        </is>
      </c>
      <c r="T304" s="189" t="n">
        <v>0.0043</v>
      </c>
      <c r="U304" s="189" t="n">
        <v>0.6193</v>
      </c>
      <c r="V304" s="189" t="inlineStr">
        <is>
          <t>T1083:File and Directory Discovery</t>
        </is>
      </c>
      <c r="W304" s="189" t="n">
        <v>1</v>
      </c>
      <c r="X304" s="189" t="inlineStr">
        <is>
          <t>LOW (40%)</t>
        </is>
      </c>
      <c r="Y304" s="189" t="inlineStr">
        <is>
          <t>UNLIKELY</t>
        </is>
      </c>
      <c r="Z304" s="189" t="inlineStr">
        <is>
          <t>CHECK_VENDOR</t>
        </is>
      </c>
      <c r="AA304" s="190" t="inlineStr">
        <is>
          <t>https://nvd.nist.gov/vuln/detail/CVE-2019-25355</t>
        </is>
      </c>
      <c r="AB304" s="189" t="inlineStr">
        <is>
          <t>NONE</t>
        </is>
      </c>
      <c r="AC304" s="189" t="n">
        <v>0</v>
      </c>
      <c r="AD304" s="189" t="n"/>
    </row>
    <row r="305">
      <c r="A305" s="191" t="inlineStr">
        <is>
          <t>CVE</t>
        </is>
      </c>
      <c r="B305" s="191" t="inlineStr">
        <is>
          <t>CVE-2019-25356</t>
        </is>
      </c>
      <c r="C305" s="191" t="inlineStr">
        <is>
          <t>Bematech (formerly Logic Controls, now Elgin) MP-4200 TH printer contains a cross-site scripting vulnerability in the admin configuration page. Attackers can inject malicious scripts via crafted POST requests with malformed 'admin' and 'person' parameters, allowing execution of arbitrary JavaScript in the context of an authenticated user's browser session.</t>
        </is>
      </c>
      <c r="D305" s="191" t="n">
        <v>6.1</v>
      </c>
      <c r="E305" s="191" t="inlineStr">
        <is>
          <t>MEDIUM</t>
        </is>
      </c>
      <c r="F305" s="191" t="n">
        <v>2</v>
      </c>
      <c r="G305" s="191" t="n">
        <v>2</v>
      </c>
      <c r="H305" s="191" t="inlineStr">
        <is>
          <t>MEDIUM</t>
        </is>
      </c>
      <c r="I305" s="191" t="n">
        <v>10.1</v>
      </c>
      <c r="J305" s="191" t="inlineStr">
        <is>
          <t>NO</t>
        </is>
      </c>
      <c r="K305" s="192" t="inlineStr">
        <is>
          <t>https://nvd.nist.gov/vuln/detail/CVE-2019-25356</t>
        </is>
      </c>
      <c r="L305" s="191" t="inlineStr">
        <is>
          <t>2026-02-23 23:48</t>
        </is>
      </c>
      <c r="M305" s="191" t="inlineStr">
        <is>
          <t>CHECK_VENDOR</t>
        </is>
      </c>
      <c r="N305" s="191" t="inlineStr">
        <is>
          <t>See NVD references</t>
        </is>
      </c>
      <c r="O305" s="191" t="inlineStr">
        <is>
          <t>Apply vendor patches</t>
        </is>
      </c>
      <c r="P305" s="191" t="inlineStr">
        <is>
          <t>See CVE details</t>
        </is>
      </c>
      <c r="Q305" s="191" t="inlineStr">
        <is>
          <t>P4</t>
        </is>
      </c>
      <c r="R305" s="191" t="inlineStr">
        <is>
          <t>📅 Schedule patch deployment within 30 days | 🔍 Monitor for exploitation attempts</t>
        </is>
      </c>
      <c r="S305" s="191" t="inlineStr">
        <is>
          <t>CVE - IP enrichment n/a</t>
        </is>
      </c>
      <c r="T305" s="191" t="n">
        <v>0</v>
      </c>
      <c r="U305" s="191" t="n">
        <v>0</v>
      </c>
      <c r="V305" s="191" t="inlineStr">
        <is>
          <t>T1189:Drive-by Compromise</t>
        </is>
      </c>
      <c r="W305" s="191" t="n">
        <v>1</v>
      </c>
      <c r="X305" s="191" t="inlineStr">
        <is>
          <t>LOW (40%)</t>
        </is>
      </c>
      <c r="Y305" s="191" t="inlineStr">
        <is>
          <t>UNLIKELY</t>
        </is>
      </c>
      <c r="Z305" s="191" t="inlineStr">
        <is>
          <t>CHECK_VENDOR</t>
        </is>
      </c>
      <c r="AA305" s="192" t="inlineStr">
        <is>
          <t>https://nvd.nist.gov/vuln/detail/CVE-2019-25356</t>
        </is>
      </c>
      <c r="AB305" s="191" t="inlineStr">
        <is>
          <t>NONE</t>
        </is>
      </c>
      <c r="AC305" s="191" t="n">
        <v>0</v>
      </c>
      <c r="AD305" s="191" t="n"/>
    </row>
    <row r="306">
      <c r="A306" s="189" t="inlineStr">
        <is>
          <t>CVE</t>
        </is>
      </c>
      <c r="B306" s="189" t="inlineStr">
        <is>
          <t>CVE-2019-25357</t>
        </is>
      </c>
      <c r="C306" s="189" t="inlineStr">
        <is>
          <t>Control Center PRO 6.2.9 contains a stack-based buffer overflow vulnerability in the user creation module's username field that allows attackers to overwrite Structured Exception Handler (SEH). Attackers can craft a malicious payload exceeding 664 bytes to inject shellcode and potentially execute arbitrary code on vulnerable Windows systems.</t>
        </is>
      </c>
      <c r="D306" s="189" t="n">
        <v>8.4</v>
      </c>
      <c r="E306" s="189" t="inlineStr">
        <is>
          <t>HIGH</t>
        </is>
      </c>
      <c r="F306" s="189" t="n">
        <v>2</v>
      </c>
      <c r="G306" s="189" t="n">
        <v>3</v>
      </c>
      <c r="H306" s="189" t="inlineStr">
        <is>
          <t>HIGH</t>
        </is>
      </c>
      <c r="I306" s="189" t="n">
        <v>14.4</v>
      </c>
      <c r="J306" s="189" t="inlineStr">
        <is>
          <t>NO</t>
        </is>
      </c>
      <c r="K306" s="190" t="inlineStr">
        <is>
          <t>https://nvd.nist.gov/vuln/detail/CVE-2019-25357</t>
        </is>
      </c>
      <c r="L306" s="189" t="inlineStr">
        <is>
          <t>2026-02-23 23:48</t>
        </is>
      </c>
      <c r="M306" s="189" t="inlineStr">
        <is>
          <t>CHECK_VENDOR</t>
        </is>
      </c>
      <c r="N306" s="189" t="inlineStr">
        <is>
          <t>See NVD references</t>
        </is>
      </c>
      <c r="O306" s="189" t="inlineStr">
        <is>
          <t>Apply vendor patches</t>
        </is>
      </c>
      <c r="P306" s="189" t="inlineStr">
        <is>
          <t>See CVE details</t>
        </is>
      </c>
      <c r="Q306" s="189" t="inlineStr">
        <is>
          <t>P3</t>
        </is>
      </c>
      <c r="R306" s="189" t="inlineStr">
        <is>
          <t>🚨 URGENT: Apply vendor patches immediately | 🔒 Isolate affected systems if patch unavailable | 🛡️ Enable additional monitoring/IDS rules</t>
        </is>
      </c>
      <c r="S306" s="189" t="inlineStr">
        <is>
          <t>CVE - IP enrichment n/a</t>
        </is>
      </c>
      <c r="T306" s="189" t="n">
        <v>0</v>
      </c>
      <c r="U306" s="189" t="n">
        <v>0</v>
      </c>
      <c r="V306" s="189" t="inlineStr">
        <is>
          <t>T1190:Exploit Public-Facing Application | T1203:Exploitation for Client Execution</t>
        </is>
      </c>
      <c r="W306" s="189" t="n">
        <v>1</v>
      </c>
      <c r="X306" s="189" t="inlineStr">
        <is>
          <t>LOW (40%)</t>
        </is>
      </c>
      <c r="Y306" s="189" t="inlineStr">
        <is>
          <t>UNLIKELY</t>
        </is>
      </c>
      <c r="Z306" s="189" t="inlineStr">
        <is>
          <t>CHECK_VENDOR</t>
        </is>
      </c>
      <c r="AA306" s="190" t="inlineStr">
        <is>
          <t>https://nvd.nist.gov/vuln/detail/CVE-2019-25357</t>
        </is>
      </c>
      <c r="AB306" s="189" t="inlineStr">
        <is>
          <t>NONE</t>
        </is>
      </c>
      <c r="AC306" s="189" t="n">
        <v>0</v>
      </c>
      <c r="AD306" s="189" t="n"/>
    </row>
    <row r="307">
      <c r="A307" s="189" t="inlineStr">
        <is>
          <t>CVE</t>
        </is>
      </c>
      <c r="B307" s="189" t="inlineStr">
        <is>
          <t>CVE-2019-25358</t>
        </is>
      </c>
      <c r="C307" s="189" t="inlineStr">
        <is>
          <t>FileOptimizer 14.00.2524 contains a denial of service vulnerability that allows attackers to crash the application by manipulating the FileOptimizer32.ini configuration file. Attackers can overwrite the TempDirectory parameter with a 5000-character buffer to cause the application to crash when opening options.</t>
        </is>
      </c>
      <c r="D307" s="189" t="n">
        <v>7.5</v>
      </c>
      <c r="E307" s="189" t="inlineStr">
        <is>
          <t>HIGH</t>
        </is>
      </c>
      <c r="F307" s="189" t="n">
        <v>2</v>
      </c>
      <c r="G307" s="189" t="n">
        <v>3</v>
      </c>
      <c r="H307" s="189" t="inlineStr">
        <is>
          <t>HIGH</t>
        </is>
      </c>
      <c r="I307" s="189" t="n">
        <v>13.5</v>
      </c>
      <c r="J307" s="189" t="inlineStr">
        <is>
          <t>NO</t>
        </is>
      </c>
      <c r="K307" s="190" t="inlineStr">
        <is>
          <t>https://nvd.nist.gov/vuln/detail/CVE-2019-25358</t>
        </is>
      </c>
      <c r="L307" s="189" t="inlineStr">
        <is>
          <t>2026-02-23 23:48</t>
        </is>
      </c>
      <c r="M307" s="189" t="inlineStr">
        <is>
          <t>CHECK_VENDOR</t>
        </is>
      </c>
      <c r="N307" s="189" t="inlineStr">
        <is>
          <t>See NVD references</t>
        </is>
      </c>
      <c r="O307" s="189" t="inlineStr">
        <is>
          <t>Apply vendor patches</t>
        </is>
      </c>
      <c r="P307" s="189" t="inlineStr">
        <is>
          <t>See CVE details</t>
        </is>
      </c>
      <c r="Q307" s="189" t="inlineStr">
        <is>
          <t>P3</t>
        </is>
      </c>
      <c r="R307" s="189" t="inlineStr">
        <is>
          <t>🚨 URGENT: Apply vendor patches immediately | 🔒 Isolate affected systems if patch unavailable | 🛡️ Enable additional monitoring/IDS rules</t>
        </is>
      </c>
      <c r="S307" s="189" t="inlineStr">
        <is>
          <t>CVE - IP enrichment n/a</t>
        </is>
      </c>
      <c r="T307" s="189" t="n">
        <v>0</v>
      </c>
      <c r="U307" s="189" t="n">
        <v>0</v>
      </c>
      <c r="V307" s="189" t="inlineStr">
        <is>
          <t>T1499:Endpoint Denial of Service</t>
        </is>
      </c>
      <c r="W307" s="189" t="n">
        <v>1</v>
      </c>
      <c r="X307" s="189" t="inlineStr">
        <is>
          <t>LOW (40%)</t>
        </is>
      </c>
      <c r="Y307" s="189" t="inlineStr">
        <is>
          <t>UNLIKELY</t>
        </is>
      </c>
      <c r="Z307" s="189" t="inlineStr">
        <is>
          <t>CHECK_VENDOR</t>
        </is>
      </c>
      <c r="AA307" s="190" t="inlineStr">
        <is>
          <t>https://nvd.nist.gov/vuln/detail/CVE-2019-25358</t>
        </is>
      </c>
      <c r="AB307" s="189" t="inlineStr">
        <is>
          <t>NONE</t>
        </is>
      </c>
      <c r="AC307" s="189" t="n">
        <v>0</v>
      </c>
      <c r="AD307" s="189" t="n"/>
    </row>
    <row r="308">
      <c r="A308" s="189" t="inlineStr">
        <is>
          <t>CVE</t>
        </is>
      </c>
      <c r="B308" s="189" t="inlineStr">
        <is>
          <t>CVE-2019-25359</t>
        </is>
      </c>
      <c r="C308" s="189" t="inlineStr">
        <is>
          <t>SD.NET RIM versions before 4.7.3c contain a SQL injection vulnerability that allows attackers to inject malicious SQL statements through POST parameters 'idtyp' and 'idgremium'. Attackers can exploit this vulnerability by crafting specially formed POST requests to the /vorlagen/ endpoint, enabling unauthorized database manipulation and potential information disclosure.</t>
        </is>
      </c>
      <c r="D308" s="189" t="n">
        <v>8.199999999999999</v>
      </c>
      <c r="E308" s="189" t="inlineStr">
        <is>
          <t>HIGH</t>
        </is>
      </c>
      <c r="F308" s="189" t="n">
        <v>2</v>
      </c>
      <c r="G308" s="189" t="n">
        <v>3</v>
      </c>
      <c r="H308" s="189" t="inlineStr">
        <is>
          <t>HIGH</t>
        </is>
      </c>
      <c r="I308" s="189" t="n">
        <v>14.2</v>
      </c>
      <c r="J308" s="189" t="inlineStr">
        <is>
          <t>NO</t>
        </is>
      </c>
      <c r="K308" s="190" t="inlineStr">
        <is>
          <t>https://nvd.nist.gov/vuln/detail/CVE-2019-25359</t>
        </is>
      </c>
      <c r="L308" s="189" t="inlineStr">
        <is>
          <t>2026-02-23 23:48</t>
        </is>
      </c>
      <c r="M308" s="189" t="inlineStr">
        <is>
          <t>CHECK_VENDOR</t>
        </is>
      </c>
      <c r="N308" s="189" t="inlineStr">
        <is>
          <t>See NVD references</t>
        </is>
      </c>
      <c r="O308" s="189" t="inlineStr">
        <is>
          <t>Apply vendor patches</t>
        </is>
      </c>
      <c r="P308" s="189" t="inlineStr">
        <is>
          <t>See CVE details</t>
        </is>
      </c>
      <c r="Q308" s="189" t="inlineStr">
        <is>
          <t>P3</t>
        </is>
      </c>
      <c r="R308" s="189" t="inlineStr">
        <is>
          <t>🚨 URGENT: Apply vendor patches immediately | 🔒 Isolate affected systems if patch unavailable | 🛡️ Enable additional monitoring/IDS rules</t>
        </is>
      </c>
      <c r="S308" s="189" t="inlineStr">
        <is>
          <t>CVE - IP enrichment n/a</t>
        </is>
      </c>
      <c r="T308" s="189" t="n">
        <v>0</v>
      </c>
      <c r="U308" s="189" t="n">
        <v>0</v>
      </c>
      <c r="V308" s="189" t="inlineStr">
        <is>
          <t>T1185:Browser Session Hijacking | T1190:Exploit Public-Facing Application | T1213:Data from Information Repositories</t>
        </is>
      </c>
      <c r="W308" s="189" t="n">
        <v>1</v>
      </c>
      <c r="X308" s="189" t="inlineStr">
        <is>
          <t>LOW (40%)</t>
        </is>
      </c>
      <c r="Y308" s="189" t="inlineStr">
        <is>
          <t>UNLIKELY</t>
        </is>
      </c>
      <c r="Z308" s="189" t="inlineStr">
        <is>
          <t>CHECK_VENDOR</t>
        </is>
      </c>
      <c r="AA308" s="190" t="inlineStr">
        <is>
          <t>https://nvd.nist.gov/vuln/detail/CVE-2019-25359</t>
        </is>
      </c>
      <c r="AB308" s="189" t="inlineStr">
        <is>
          <t>NONE</t>
        </is>
      </c>
      <c r="AC308" s="189" t="n">
        <v>0</v>
      </c>
      <c r="AD308" s="189" t="n"/>
    </row>
    <row r="309">
      <c r="A309" s="193" t="inlineStr">
        <is>
          <t>CVE</t>
        </is>
      </c>
      <c r="B309" s="193" t="inlineStr">
        <is>
          <t>CVE-2019-25360</t>
        </is>
      </c>
      <c r="C309" s="193" t="inlineStr">
        <is>
          <t>Aida64 Engineer 6.10.5200 contains a buffer overflow vulnerability in the CSV logging configuration that allows attackers to execute malicious code by crafting a specially designed payload. Attackers can exploit the vulnerability by creating a malformed log file with carefully constructed SEH (Structured Exception Handler) overwrite techniques to achieve remote code execution.</t>
        </is>
      </c>
      <c r="D309" s="193" t="n">
        <v>9.800000000000001</v>
      </c>
      <c r="E309" s="193" t="inlineStr">
        <is>
          <t>CRITICAL</t>
        </is>
      </c>
      <c r="F309" s="193" t="n">
        <v>2</v>
      </c>
      <c r="G309" s="193" t="n">
        <v>3</v>
      </c>
      <c r="H309" s="193" t="inlineStr">
        <is>
          <t>HIGH</t>
        </is>
      </c>
      <c r="I309" s="193" t="n">
        <v>15.8</v>
      </c>
      <c r="J309" s="193" t="inlineStr">
        <is>
          <t>NO</t>
        </is>
      </c>
      <c r="K309" s="194" t="inlineStr">
        <is>
          <t>https://nvd.nist.gov/vuln/detail/CVE-2019-25360</t>
        </is>
      </c>
      <c r="L309" s="193" t="inlineStr">
        <is>
          <t>2026-02-23 23:48</t>
        </is>
      </c>
      <c r="M309" s="193" t="inlineStr">
        <is>
          <t>CHECK_VENDOR</t>
        </is>
      </c>
      <c r="N309" s="193" t="inlineStr">
        <is>
          <t>See NVD references</t>
        </is>
      </c>
      <c r="O309" s="193" t="inlineStr">
        <is>
          <t>Apply vendor patches</t>
        </is>
      </c>
      <c r="P309" s="193" t="inlineStr">
        <is>
          <t>See CVE details</t>
        </is>
      </c>
      <c r="Q309" s="193" t="inlineStr">
        <is>
          <t>P3</t>
        </is>
      </c>
      <c r="R309" s="193" t="inlineStr">
        <is>
          <t>🚨 URGENT: Apply vendor patches immediately | 🔒 Isolate affected systems if patch unavailable | 🛡️ Enable additional monitoring/IDS rules</t>
        </is>
      </c>
      <c r="S309" s="193" t="inlineStr">
        <is>
          <t>CVE - IP enrichment n/a</t>
        </is>
      </c>
      <c r="T309" s="193" t="n">
        <v>0</v>
      </c>
      <c r="U309" s="193" t="n">
        <v>0</v>
      </c>
      <c r="V309" s="193" t="inlineStr">
        <is>
          <t>T1190:Exploit Public-Facing Application | T1210:Exploitation of Remote Services | T1203:Exploitation for Client Execution</t>
        </is>
      </c>
      <c r="W309" s="193" t="n">
        <v>1</v>
      </c>
      <c r="X309" s="193" t="inlineStr">
        <is>
          <t>LOW (40%)</t>
        </is>
      </c>
      <c r="Y309" s="193" t="inlineStr">
        <is>
          <t>UNLIKELY</t>
        </is>
      </c>
      <c r="Z309" s="193" t="inlineStr">
        <is>
          <t>CHECK_VENDOR</t>
        </is>
      </c>
      <c r="AA309" s="194" t="inlineStr">
        <is>
          <t>https://nvd.nist.gov/vuln/detail/CVE-2019-25360</t>
        </is>
      </c>
      <c r="AB309" s="193" t="inlineStr">
        <is>
          <t>NONE</t>
        </is>
      </c>
      <c r="AC309" s="193" t="n">
        <v>0</v>
      </c>
      <c r="AD309" s="193" t="n"/>
    </row>
    <row r="310">
      <c r="A310" s="193" t="inlineStr">
        <is>
          <t>CVE</t>
        </is>
      </c>
      <c r="B310" s="193" t="inlineStr">
        <is>
          <t>CVE-2019-25361</t>
        </is>
      </c>
      <c r="C310" s="193" t="inlineStr">
        <is>
          <t>Ayukov NFTP client 1.71 contains a buffer overflow vulnerability in the SYST command handling that allows remote attackers to execute arbitrary code. Attackers can send a specially crafted SYST command with oversized payload to trigger a buffer overflow and execute a bind shell on port 5150.</t>
        </is>
      </c>
      <c r="D310" s="193" t="n">
        <v>9.800000000000001</v>
      </c>
      <c r="E310" s="193" t="inlineStr">
        <is>
          <t>CRITICAL</t>
        </is>
      </c>
      <c r="F310" s="193" t="n">
        <v>2</v>
      </c>
      <c r="G310" s="193" t="n">
        <v>3</v>
      </c>
      <c r="H310" s="193" t="inlineStr">
        <is>
          <t>HIGH</t>
        </is>
      </c>
      <c r="I310" s="193" t="n">
        <v>15.8</v>
      </c>
      <c r="J310" s="193" t="inlineStr">
        <is>
          <t>NO</t>
        </is>
      </c>
      <c r="K310" s="194" t="inlineStr">
        <is>
          <t>https://nvd.nist.gov/vuln/detail/CVE-2019-25361</t>
        </is>
      </c>
      <c r="L310" s="193" t="inlineStr">
        <is>
          <t>2026-02-23 23:48</t>
        </is>
      </c>
      <c r="M310" s="193" t="inlineStr">
        <is>
          <t>CHECK_VENDOR</t>
        </is>
      </c>
      <c r="N310" s="193" t="inlineStr">
        <is>
          <t>See NVD references</t>
        </is>
      </c>
      <c r="O310" s="193" t="inlineStr">
        <is>
          <t>Apply vendor patches</t>
        </is>
      </c>
      <c r="P310" s="193" t="inlineStr">
        <is>
          <t>See CVE details</t>
        </is>
      </c>
      <c r="Q310" s="193" t="inlineStr">
        <is>
          <t>P3</t>
        </is>
      </c>
      <c r="R310" s="193" t="inlineStr">
        <is>
          <t>🚨 URGENT: Apply vendor patches immediately | 🔒 Isolate affected systems if patch unavailable | 🛡️ Enable additional monitoring/IDS rules</t>
        </is>
      </c>
      <c r="S310" s="193" t="inlineStr">
        <is>
          <t>CVE - IP enrichment n/a</t>
        </is>
      </c>
      <c r="T310" s="193" t="n">
        <v>0</v>
      </c>
      <c r="U310" s="193" t="n">
        <v>0</v>
      </c>
      <c r="V310" s="193" t="inlineStr">
        <is>
          <t>T1190:Exploit Public-Facing Application | T1203:Exploitation for Client Execution</t>
        </is>
      </c>
      <c r="W310" s="193" t="n">
        <v>1</v>
      </c>
      <c r="X310" s="193" t="inlineStr">
        <is>
          <t>LOW (40%)</t>
        </is>
      </c>
      <c r="Y310" s="193" t="inlineStr">
        <is>
          <t>UNLIKELY</t>
        </is>
      </c>
      <c r="Z310" s="193" t="inlineStr">
        <is>
          <t>CHECK_VENDOR</t>
        </is>
      </c>
      <c r="AA310" s="194" t="inlineStr">
        <is>
          <t>https://nvd.nist.gov/vuln/detail/CVE-2019-25361</t>
        </is>
      </c>
      <c r="AB310" s="193" t="inlineStr">
        <is>
          <t>NONE</t>
        </is>
      </c>
      <c r="AC310" s="193" t="n">
        <v>0</v>
      </c>
      <c r="AD310" s="193" t="n"/>
    </row>
    <row r="311">
      <c r="A311" s="193" t="inlineStr">
        <is>
          <t>CVE</t>
        </is>
      </c>
      <c r="B311" s="193" t="inlineStr">
        <is>
          <t>CVE-2019-25362</t>
        </is>
      </c>
      <c r="C311" s="193" t="inlineStr">
        <is>
          <t>WMV to AVI MPEG DVD WMV Convertor 4.6.1217 contains a buffer overflow vulnerability that allows attackers to execute arbitrary code by overwriting the license name and license code fields. Attackers can craft a malicious payload of 6000 bytes to trigger a bind shell on port 4444 by exploiting a stack-based buffer overflow in the application's input handling.</t>
        </is>
      </c>
      <c r="D311" s="193" t="n">
        <v>9.800000000000001</v>
      </c>
      <c r="E311" s="193" t="inlineStr">
        <is>
          <t>CRITICAL</t>
        </is>
      </c>
      <c r="F311" s="193" t="n">
        <v>2</v>
      </c>
      <c r="G311" s="193" t="n">
        <v>3</v>
      </c>
      <c r="H311" s="193" t="inlineStr">
        <is>
          <t>HIGH</t>
        </is>
      </c>
      <c r="I311" s="193" t="n">
        <v>15.8</v>
      </c>
      <c r="J311" s="193" t="inlineStr">
        <is>
          <t>NO</t>
        </is>
      </c>
      <c r="K311" s="194" t="inlineStr">
        <is>
          <t>https://nvd.nist.gov/vuln/detail/CVE-2019-25362</t>
        </is>
      </c>
      <c r="L311" s="193" t="inlineStr">
        <is>
          <t>2026-02-23 23:48</t>
        </is>
      </c>
      <c r="M311" s="193" t="inlineStr">
        <is>
          <t>CHECK_VENDOR</t>
        </is>
      </c>
      <c r="N311" s="193" t="inlineStr">
        <is>
          <t>See NVD references</t>
        </is>
      </c>
      <c r="O311" s="193" t="inlineStr">
        <is>
          <t>Apply vendor patches</t>
        </is>
      </c>
      <c r="P311" s="193" t="inlineStr">
        <is>
          <t>See CVE details</t>
        </is>
      </c>
      <c r="Q311" s="193" t="inlineStr">
        <is>
          <t>P3</t>
        </is>
      </c>
      <c r="R311" s="193" t="inlineStr">
        <is>
          <t>🚨 URGENT: Apply vendor patches immediately | 🔒 Isolate affected systems if patch unavailable | 🛡️ Enable additional monitoring/IDS rules</t>
        </is>
      </c>
      <c r="S311" s="193" t="inlineStr">
        <is>
          <t>CVE - IP enrichment n/a</t>
        </is>
      </c>
      <c r="T311" s="193" t="n">
        <v>0.0007</v>
      </c>
      <c r="U311" s="193" t="n">
        <v>0.2215</v>
      </c>
      <c r="V311" s="193" t="inlineStr">
        <is>
          <t>T1203:Exploitation for Client Execution</t>
        </is>
      </c>
      <c r="W311" s="193" t="n">
        <v>1</v>
      </c>
      <c r="X311" s="193" t="inlineStr">
        <is>
          <t>LOW (40%)</t>
        </is>
      </c>
      <c r="Y311" s="193" t="inlineStr">
        <is>
          <t>UNLIKELY</t>
        </is>
      </c>
      <c r="Z311" s="193" t="inlineStr">
        <is>
          <t>CHECK_VENDOR</t>
        </is>
      </c>
      <c r="AA311" s="194" t="inlineStr">
        <is>
          <t>https://nvd.nist.gov/vuln/detail/CVE-2019-25362</t>
        </is>
      </c>
      <c r="AB311" s="193" t="inlineStr">
        <is>
          <t>NONE</t>
        </is>
      </c>
      <c r="AC311" s="193" t="n">
        <v>0</v>
      </c>
      <c r="AD311" s="193" t="n"/>
    </row>
    <row r="312">
      <c r="A312" s="189" t="inlineStr">
        <is>
          <t>CVE</t>
        </is>
      </c>
      <c r="B312" s="189" t="inlineStr">
        <is>
          <t>CVE-2019-25363</t>
        </is>
      </c>
      <c r="C312" s="189" t="inlineStr">
        <is>
          <t>WMV to AVI MPEG DVD WMV Convertor 4.6.1217 contains a buffer overflow vulnerability that allows attackers to crash the application by providing an oversized license input. Attackers can generate a 6000-byte payload and paste it into the 'License Name and License Code' field to trigger an application crash.</t>
        </is>
      </c>
      <c r="D312" s="189" t="n">
        <v>7.5</v>
      </c>
      <c r="E312" s="189" t="inlineStr">
        <is>
          <t>HIGH</t>
        </is>
      </c>
      <c r="F312" s="189" t="n">
        <v>2</v>
      </c>
      <c r="G312" s="189" t="n">
        <v>3</v>
      </c>
      <c r="H312" s="189" t="inlineStr">
        <is>
          <t>HIGH</t>
        </is>
      </c>
      <c r="I312" s="189" t="n">
        <v>13.5</v>
      </c>
      <c r="J312" s="189" t="inlineStr">
        <is>
          <t>NO</t>
        </is>
      </c>
      <c r="K312" s="190" t="inlineStr">
        <is>
          <t>https://nvd.nist.gov/vuln/detail/CVE-2019-25363</t>
        </is>
      </c>
      <c r="L312" s="189" t="inlineStr">
        <is>
          <t>2026-02-23 23:48</t>
        </is>
      </c>
      <c r="M312" s="189" t="inlineStr">
        <is>
          <t>CHECK_VENDOR</t>
        </is>
      </c>
      <c r="N312" s="189" t="inlineStr">
        <is>
          <t>See NVD references</t>
        </is>
      </c>
      <c r="O312" s="189" t="inlineStr">
        <is>
          <t>Apply vendor patches</t>
        </is>
      </c>
      <c r="P312" s="189" t="inlineStr">
        <is>
          <t>See CVE details</t>
        </is>
      </c>
      <c r="Q312" s="189" t="inlineStr">
        <is>
          <t>P3</t>
        </is>
      </c>
      <c r="R312" s="189" t="inlineStr">
        <is>
          <t>🚨 URGENT: Apply vendor patches immediately | 🔒 Isolate affected systems if patch unavailable | 🛡️ Enable additional monitoring/IDS rules</t>
        </is>
      </c>
      <c r="S312" s="189" t="inlineStr">
        <is>
          <t>CVE - IP enrichment n/a</t>
        </is>
      </c>
      <c r="T312" s="189" t="n">
        <v>0</v>
      </c>
      <c r="U312" s="189" t="n">
        <v>0</v>
      </c>
      <c r="V312" s="189" t="inlineStr">
        <is>
          <t>T1190:Exploit Public-Facing Application | T1203:Exploitation for Client Execution</t>
        </is>
      </c>
      <c r="W312" s="189" t="n">
        <v>1</v>
      </c>
      <c r="X312" s="189" t="inlineStr">
        <is>
          <t>LOW (40%)</t>
        </is>
      </c>
      <c r="Y312" s="189" t="inlineStr">
        <is>
          <t>UNLIKELY</t>
        </is>
      </c>
      <c r="Z312" s="189" t="inlineStr">
        <is>
          <t>CHECK_VENDOR</t>
        </is>
      </c>
      <c r="AA312" s="190" t="inlineStr">
        <is>
          <t>https://nvd.nist.gov/vuln/detail/CVE-2019-25363</t>
        </is>
      </c>
      <c r="AB312" s="189" t="inlineStr">
        <is>
          <t>NONE</t>
        </is>
      </c>
      <c r="AC312" s="189" t="n">
        <v>0</v>
      </c>
      <c r="AD312" s="189" t="n"/>
    </row>
    <row r="313">
      <c r="A313" s="193" t="inlineStr">
        <is>
          <t>CVE</t>
        </is>
      </c>
      <c r="B313" s="193" t="inlineStr">
        <is>
          <t>CVE-2019-25364</t>
        </is>
      </c>
      <c r="C313" s="193" t="inlineStr">
        <is>
          <t>MailCarrier 2.51 contains a buffer overflow vulnerability in the POP3 USER command that allows remote attackers to execute arbitrary code. Attackers can send a crafted oversized buffer to the POP3 service, overwriting memory and potentially gaining remote system access.</t>
        </is>
      </c>
      <c r="D313" s="193" t="n">
        <v>9.800000000000001</v>
      </c>
      <c r="E313" s="193" t="inlineStr">
        <is>
          <t>CRITICAL</t>
        </is>
      </c>
      <c r="F313" s="193" t="n">
        <v>2</v>
      </c>
      <c r="G313" s="193" t="n">
        <v>3</v>
      </c>
      <c r="H313" s="193" t="inlineStr">
        <is>
          <t>HIGH</t>
        </is>
      </c>
      <c r="I313" s="193" t="n">
        <v>15.8</v>
      </c>
      <c r="J313" s="193" t="inlineStr">
        <is>
          <t>NO</t>
        </is>
      </c>
      <c r="K313" s="194" t="inlineStr">
        <is>
          <t>https://nvd.nist.gov/vuln/detail/CVE-2019-25364</t>
        </is>
      </c>
      <c r="L313" s="193" t="inlineStr">
        <is>
          <t>2026-02-23 23:48</t>
        </is>
      </c>
      <c r="M313" s="193" t="inlineStr">
        <is>
          <t>CHECK_VENDOR</t>
        </is>
      </c>
      <c r="N313" s="193" t="inlineStr">
        <is>
          <t>See NVD references</t>
        </is>
      </c>
      <c r="O313" s="193" t="inlineStr">
        <is>
          <t>Apply vendor patches</t>
        </is>
      </c>
      <c r="P313" s="193" t="inlineStr">
        <is>
          <t>See CVE details</t>
        </is>
      </c>
      <c r="Q313" s="193" t="inlineStr">
        <is>
          <t>P3</t>
        </is>
      </c>
      <c r="R313" s="193" t="inlineStr">
        <is>
          <t>🚨 URGENT: Apply vendor patches immediately | 🔒 Isolate affected systems if patch unavailable | 🛡️ Enable additional monitoring/IDS rules</t>
        </is>
      </c>
      <c r="S313" s="193" t="inlineStr">
        <is>
          <t>CVE - IP enrichment n/a</t>
        </is>
      </c>
      <c r="T313" s="193" t="n">
        <v>0</v>
      </c>
      <c r="U313" s="193" t="n">
        <v>0</v>
      </c>
      <c r="V313" s="193" t="inlineStr">
        <is>
          <t>T1190:Exploit Public-Facing Application | T1203:Exploitation for Client Execution</t>
        </is>
      </c>
      <c r="W313" s="193" t="n">
        <v>1</v>
      </c>
      <c r="X313" s="193" t="inlineStr">
        <is>
          <t>LOW (40%)</t>
        </is>
      </c>
      <c r="Y313" s="193" t="inlineStr">
        <is>
          <t>UNLIKELY</t>
        </is>
      </c>
      <c r="Z313" s="193" t="inlineStr">
        <is>
          <t>CHECK_VENDOR</t>
        </is>
      </c>
      <c r="AA313" s="194" t="inlineStr">
        <is>
          <t>https://nvd.nist.gov/vuln/detail/CVE-2019-25364</t>
        </is>
      </c>
      <c r="AB313" s="193" t="inlineStr">
        <is>
          <t>NONE</t>
        </is>
      </c>
      <c r="AC313" s="193" t="n">
        <v>0</v>
      </c>
      <c r="AD313" s="193" t="n"/>
    </row>
    <row r="314">
      <c r="A314" s="193" t="inlineStr">
        <is>
          <t>CVE</t>
        </is>
      </c>
      <c r="B314" s="193" t="inlineStr">
        <is>
          <t>CVE-2019-25365</t>
        </is>
      </c>
      <c r="C314" s="193" t="inlineStr">
        <is>
          <t>ChaosPro 2.0 contains a buffer overflow vulnerability in the configuration file path handling that allows attackers to execute arbitrary code by overwriting the Structured Exception Handler. Attackers can craft a malicious configuration file with carefully constructed payload to overwrite memory and gain remote code execution on vulnerable Windows XP systems.</t>
        </is>
      </c>
      <c r="D314" s="193" t="n">
        <v>9.800000000000001</v>
      </c>
      <c r="E314" s="193" t="inlineStr">
        <is>
          <t>CRITICAL</t>
        </is>
      </c>
      <c r="F314" s="193" t="n">
        <v>2</v>
      </c>
      <c r="G314" s="193" t="n">
        <v>3</v>
      </c>
      <c r="H314" s="193" t="inlineStr">
        <is>
          <t>HIGH</t>
        </is>
      </c>
      <c r="I314" s="193" t="n">
        <v>15.8</v>
      </c>
      <c r="J314" s="193" t="inlineStr">
        <is>
          <t>NO</t>
        </is>
      </c>
      <c r="K314" s="194" t="inlineStr">
        <is>
          <t>https://nvd.nist.gov/vuln/detail/CVE-2019-25365</t>
        </is>
      </c>
      <c r="L314" s="193" t="inlineStr">
        <is>
          <t>2026-02-23 23:48</t>
        </is>
      </c>
      <c r="M314" s="193" t="inlineStr">
        <is>
          <t>CHECK_VENDOR</t>
        </is>
      </c>
      <c r="N314" s="193" t="inlineStr">
        <is>
          <t>See NVD references</t>
        </is>
      </c>
      <c r="O314" s="193" t="inlineStr">
        <is>
          <t>Apply vendor patches</t>
        </is>
      </c>
      <c r="P314" s="193" t="inlineStr">
        <is>
          <t>See CVE details</t>
        </is>
      </c>
      <c r="Q314" s="193" t="inlineStr">
        <is>
          <t>P3</t>
        </is>
      </c>
      <c r="R314" s="193" t="inlineStr">
        <is>
          <t>🚨 URGENT: Apply vendor patches immediately | 🔒 Isolate affected systems if patch unavailable | 🛡️ Enable additional monitoring/IDS rules</t>
        </is>
      </c>
      <c r="S314" s="193" t="inlineStr">
        <is>
          <t>CVE - IP enrichment n/a</t>
        </is>
      </c>
      <c r="T314" s="193" t="n">
        <v>0.0018</v>
      </c>
      <c r="U314" s="193" t="n">
        <v>0.3892</v>
      </c>
      <c r="V314" s="193" t="inlineStr">
        <is>
          <t>T1190:Exploit Public-Facing Application | T1210:Exploitation of Remote Services | T1203:Exploitation for Client Execution</t>
        </is>
      </c>
      <c r="W314" s="193" t="n">
        <v>1</v>
      </c>
      <c r="X314" s="193" t="inlineStr">
        <is>
          <t>LOW (40%)</t>
        </is>
      </c>
      <c r="Y314" s="193" t="inlineStr">
        <is>
          <t>UNLIKELY</t>
        </is>
      </c>
      <c r="Z314" s="193" t="inlineStr">
        <is>
          <t>CHECK_VENDOR</t>
        </is>
      </c>
      <c r="AA314" s="194" t="inlineStr">
        <is>
          <t>https://nvd.nist.gov/vuln/detail/CVE-2019-25365</t>
        </is>
      </c>
      <c r="AB314" s="193" t="inlineStr">
        <is>
          <t>NONE</t>
        </is>
      </c>
      <c r="AC314" s="193" t="n">
        <v>0</v>
      </c>
      <c r="AD314" s="193" t="n"/>
    </row>
    <row r="315">
      <c r="A315" s="191" t="inlineStr">
        <is>
          <t>CVE</t>
        </is>
      </c>
      <c r="B315" s="191" t="inlineStr">
        <is>
          <t>CVE-2019-25396</t>
        </is>
      </c>
      <c r="C315" s="191" t="inlineStr">
        <is>
          <t>IPFire 2.21 Core Update 127 contains a reflected cross-site scripting vulnerability in the updatexlrator.cgi script that allows attackers to inject malicious scripts through POST parameters. Attackers can submit crafted requests with script payloads in the MAX_DISK_USAGE or MAX_DOWNLOAD_RATE parameters to execute arbitrary JavaScript in users' browsers.</t>
        </is>
      </c>
      <c r="D315" s="191" t="n">
        <v>6.1</v>
      </c>
      <c r="E315" s="191" t="inlineStr">
        <is>
          <t>MEDIUM</t>
        </is>
      </c>
      <c r="F315" s="191" t="n">
        <v>2</v>
      </c>
      <c r="G315" s="191" t="n">
        <v>2</v>
      </c>
      <c r="H315" s="191" t="inlineStr">
        <is>
          <t>MEDIUM</t>
        </is>
      </c>
      <c r="I315" s="191" t="n">
        <v>10.1</v>
      </c>
      <c r="J315" s="191" t="inlineStr">
        <is>
          <t>NO</t>
        </is>
      </c>
      <c r="K315" s="192" t="inlineStr">
        <is>
          <t>https://nvd.nist.gov/vuln/detail/CVE-2019-25396</t>
        </is>
      </c>
      <c r="L315" s="191" t="inlineStr">
        <is>
          <t>2026-02-23 23:48</t>
        </is>
      </c>
      <c r="M315" s="191" t="inlineStr">
        <is>
          <t>CHECK_VENDOR</t>
        </is>
      </c>
      <c r="N315" s="191" t="inlineStr">
        <is>
          <t>See NVD references</t>
        </is>
      </c>
      <c r="O315" s="191" t="inlineStr">
        <is>
          <t>Apply vendor patches</t>
        </is>
      </c>
      <c r="P315" s="191" t="inlineStr">
        <is>
          <t>See CVE details</t>
        </is>
      </c>
      <c r="Q315" s="191" t="inlineStr">
        <is>
          <t>P4</t>
        </is>
      </c>
      <c r="R315" s="191" t="inlineStr">
        <is>
          <t>📅 Schedule patch deployment within 30 days | 🔍 Monitor for exploitation attempts</t>
        </is>
      </c>
      <c r="S315" s="191" t="inlineStr">
        <is>
          <t>CVE - IP enrichment n/a</t>
        </is>
      </c>
      <c r="T315" s="191" t="n">
        <v>0</v>
      </c>
      <c r="U315" s="191" t="n">
        <v>0</v>
      </c>
      <c r="V315" s="191" t="inlineStr">
        <is>
          <t>T1189:Drive-by Compromise</t>
        </is>
      </c>
      <c r="W315" s="191" t="n">
        <v>1</v>
      </c>
      <c r="X315" s="191" t="inlineStr">
        <is>
          <t>LOW (40%)</t>
        </is>
      </c>
      <c r="Y315" s="191" t="inlineStr">
        <is>
          <t>UNLIKELY</t>
        </is>
      </c>
      <c r="Z315" s="191" t="inlineStr">
        <is>
          <t>CHECK_VENDOR</t>
        </is>
      </c>
      <c r="AA315" s="192" t="inlineStr">
        <is>
          <t>https://nvd.nist.gov/vuln/detail/CVE-2019-25396</t>
        </is>
      </c>
      <c r="AB315" s="191" t="inlineStr">
        <is>
          <t>NONE</t>
        </is>
      </c>
      <c r="AC315" s="191" t="n">
        <v>0</v>
      </c>
      <c r="AD315" s="191" t="n"/>
    </row>
    <row r="316">
      <c r="A316" s="191" t="inlineStr">
        <is>
          <t>CVE</t>
        </is>
      </c>
      <c r="B316" s="191" t="inlineStr">
        <is>
          <t>CVE-2019-25397</t>
        </is>
      </c>
      <c r="C316" s="191" t="inlineStr">
        <is>
          <t>IPFire 2.21 Core Update 127 contains multiple reflected cross-site scripting vulnerabilities in the hosts.cgi script that allow attackers to inject malicious scripts through unvalidated parameters. Attackers can submit POST requests with script payloads in the KEY1, IP, HOST, or DOM parameters to execute arbitrary JavaScript in users' browsers.</t>
        </is>
      </c>
      <c r="D316" s="191" t="n">
        <v>6.1</v>
      </c>
      <c r="E316" s="191" t="inlineStr">
        <is>
          <t>MEDIUM</t>
        </is>
      </c>
      <c r="F316" s="191" t="n">
        <v>2</v>
      </c>
      <c r="G316" s="191" t="n">
        <v>2</v>
      </c>
      <c r="H316" s="191" t="inlineStr">
        <is>
          <t>MEDIUM</t>
        </is>
      </c>
      <c r="I316" s="191" t="n">
        <v>10.1</v>
      </c>
      <c r="J316" s="191" t="inlineStr">
        <is>
          <t>NO</t>
        </is>
      </c>
      <c r="K316" s="192" t="inlineStr">
        <is>
          <t>https://nvd.nist.gov/vuln/detail/CVE-2019-25397</t>
        </is>
      </c>
      <c r="L316" s="191" t="inlineStr">
        <is>
          <t>2026-02-23 23:48</t>
        </is>
      </c>
      <c r="M316" s="191" t="inlineStr">
        <is>
          <t>CHECK_VENDOR</t>
        </is>
      </c>
      <c r="N316" s="191" t="inlineStr">
        <is>
          <t>See NVD references</t>
        </is>
      </c>
      <c r="O316" s="191" t="inlineStr">
        <is>
          <t>Apply vendor patches</t>
        </is>
      </c>
      <c r="P316" s="191" t="inlineStr">
        <is>
          <t>See CVE details</t>
        </is>
      </c>
      <c r="Q316" s="191" t="inlineStr">
        <is>
          <t>P4</t>
        </is>
      </c>
      <c r="R316" s="191" t="inlineStr">
        <is>
          <t>📅 Schedule patch deployment within 30 days | 🔍 Monitor for exploitation attempts</t>
        </is>
      </c>
      <c r="S316" s="191" t="inlineStr">
        <is>
          <t>CVE - IP enrichment n/a</t>
        </is>
      </c>
      <c r="T316" s="191" t="n">
        <v>0</v>
      </c>
      <c r="U316" s="191" t="n">
        <v>0</v>
      </c>
      <c r="V316" s="191" t="inlineStr">
        <is>
          <t>T1189:Drive-by Compromise</t>
        </is>
      </c>
      <c r="W316" s="191" t="n">
        <v>1</v>
      </c>
      <c r="X316" s="191" t="inlineStr">
        <is>
          <t>LOW (40%)</t>
        </is>
      </c>
      <c r="Y316" s="191" t="inlineStr">
        <is>
          <t>UNLIKELY</t>
        </is>
      </c>
      <c r="Z316" s="191" t="inlineStr">
        <is>
          <t>CHECK_VENDOR</t>
        </is>
      </c>
      <c r="AA316" s="192" t="inlineStr">
        <is>
          <t>https://nvd.nist.gov/vuln/detail/CVE-2019-25397</t>
        </is>
      </c>
      <c r="AB316" s="191" t="inlineStr">
        <is>
          <t>NONE</t>
        </is>
      </c>
      <c r="AC316" s="191" t="n">
        <v>0</v>
      </c>
      <c r="AD316" s="191" t="n"/>
    </row>
    <row r="317">
      <c r="A317" s="191" t="inlineStr">
        <is>
          <t>CVE</t>
        </is>
      </c>
      <c r="B317" s="191" t="inlineStr">
        <is>
          <t>CVE-2019-25398</t>
        </is>
      </c>
      <c r="C317" s="191" t="inlineStr">
        <is>
          <t>IPFire 2.21 Core Update 127 contains multiple cross-site scripting vulnerabilities in the ovpnmain.cgi script that allow attackers to inject malicious scripts through VPN configuration parameters. Attackers can submit POST requests with script payloads in parameters like VPN_IP, DMTU, ccdname, ccdsubnet, DOVPN_SUBNET, DHCP_DOMAIN, DHCP_DNS, DHCP_WINS, ROUTES_PUSH, FRAGMENT, KEEPALIVE_1, and KEEPALIVE_2 to execute arbitrary JavaScript in administrator browsers.</t>
        </is>
      </c>
      <c r="D317" s="191" t="n">
        <v>6.1</v>
      </c>
      <c r="E317" s="191" t="inlineStr">
        <is>
          <t>MEDIUM</t>
        </is>
      </c>
      <c r="F317" s="191" t="n">
        <v>2</v>
      </c>
      <c r="G317" s="191" t="n">
        <v>2</v>
      </c>
      <c r="H317" s="191" t="inlineStr">
        <is>
          <t>MEDIUM</t>
        </is>
      </c>
      <c r="I317" s="191" t="n">
        <v>10.1</v>
      </c>
      <c r="J317" s="191" t="inlineStr">
        <is>
          <t>NO</t>
        </is>
      </c>
      <c r="K317" s="192" t="inlineStr">
        <is>
          <t>https://nvd.nist.gov/vuln/detail/CVE-2019-25398</t>
        </is>
      </c>
      <c r="L317" s="191" t="inlineStr">
        <is>
          <t>2026-02-23 23:48</t>
        </is>
      </c>
      <c r="M317" s="191" t="inlineStr">
        <is>
          <t>CHECK_VENDOR</t>
        </is>
      </c>
      <c r="N317" s="191" t="inlineStr">
        <is>
          <t>See NVD references</t>
        </is>
      </c>
      <c r="O317" s="191" t="inlineStr">
        <is>
          <t>Apply vendor patches</t>
        </is>
      </c>
      <c r="P317" s="191" t="inlineStr">
        <is>
          <t>See CVE details</t>
        </is>
      </c>
      <c r="Q317" s="191" t="inlineStr">
        <is>
          <t>P4</t>
        </is>
      </c>
      <c r="R317" s="191" t="inlineStr">
        <is>
          <t>📅 Schedule patch deployment within 30 days | 🔍 Monitor for exploitation attempts</t>
        </is>
      </c>
      <c r="S317" s="191" t="inlineStr">
        <is>
          <t>CVE - IP enrichment n/a</t>
        </is>
      </c>
      <c r="T317" s="191" t="n">
        <v>0</v>
      </c>
      <c r="U317" s="191" t="n">
        <v>0</v>
      </c>
      <c r="V317" s="191" t="inlineStr">
        <is>
          <t>T1189:Drive-by Compromise | T1133:External Remote Services</t>
        </is>
      </c>
      <c r="W317" s="191" t="n">
        <v>1</v>
      </c>
      <c r="X317" s="191" t="inlineStr">
        <is>
          <t>LOW (40%)</t>
        </is>
      </c>
      <c r="Y317" s="191" t="inlineStr">
        <is>
          <t>UNLIKELY</t>
        </is>
      </c>
      <c r="Z317" s="191" t="inlineStr">
        <is>
          <t>CHECK_VENDOR</t>
        </is>
      </c>
      <c r="AA317" s="192" t="inlineStr">
        <is>
          <t>https://nvd.nist.gov/vuln/detail/CVE-2019-25398</t>
        </is>
      </c>
      <c r="AB317" s="191" t="inlineStr">
        <is>
          <t>NONE</t>
        </is>
      </c>
      <c r="AC317" s="191" t="n">
        <v>0</v>
      </c>
      <c r="AD317" s="191" t="n"/>
    </row>
    <row r="318">
      <c r="A318" s="191" t="inlineStr">
        <is>
          <t>CVE</t>
        </is>
      </c>
      <c r="B318" s="191" t="inlineStr">
        <is>
          <t>CVE-2019-25399</t>
        </is>
      </c>
      <c r="C318" s="191" t="inlineStr">
        <is>
          <t>IPFire 2.21 Core Update 127 contains multiple stored cross-site scripting vulnerabilities in the extrahd.cgi script that allow attackers to inject malicious scripts through the FS, PATH, and UUID parameters. Attackers can submit POST requests with script payloads in these parameters to execute arbitrary JavaScript in the context of authenticated administrator sessions.</t>
        </is>
      </c>
      <c r="D318" s="191" t="n">
        <v>6.4</v>
      </c>
      <c r="E318" s="191" t="inlineStr">
        <is>
          <t>MEDIUM</t>
        </is>
      </c>
      <c r="F318" s="191" t="n">
        <v>2</v>
      </c>
      <c r="G318" s="191" t="n">
        <v>2</v>
      </c>
      <c r="H318" s="191" t="inlineStr">
        <is>
          <t>MEDIUM</t>
        </is>
      </c>
      <c r="I318" s="191" t="n">
        <v>10.4</v>
      </c>
      <c r="J318" s="191" t="inlineStr">
        <is>
          <t>NO</t>
        </is>
      </c>
      <c r="K318" s="192" t="inlineStr">
        <is>
          <t>https://nvd.nist.gov/vuln/detail/CVE-2019-25399</t>
        </is>
      </c>
      <c r="L318" s="191" t="inlineStr">
        <is>
          <t>2026-02-23 23:48</t>
        </is>
      </c>
      <c r="M318" s="191" t="inlineStr">
        <is>
          <t>CHECK_VENDOR</t>
        </is>
      </c>
      <c r="N318" s="191" t="inlineStr">
        <is>
          <t>See NVD references</t>
        </is>
      </c>
      <c r="O318" s="191" t="inlineStr">
        <is>
          <t>Apply vendor patches</t>
        </is>
      </c>
      <c r="P318" s="191" t="inlineStr">
        <is>
          <t>See CVE details</t>
        </is>
      </c>
      <c r="Q318" s="191" t="inlineStr">
        <is>
          <t>P4</t>
        </is>
      </c>
      <c r="R318" s="191" t="inlineStr">
        <is>
          <t>📅 Schedule patch deployment within 30 days | 🔍 Monitor for exploitation attempts</t>
        </is>
      </c>
      <c r="S318" s="191" t="inlineStr">
        <is>
          <t>CVE - IP enrichment n/a</t>
        </is>
      </c>
      <c r="T318" s="191" t="n">
        <v>0.0003</v>
      </c>
      <c r="U318" s="191" t="n">
        <v>0.08690000000000001</v>
      </c>
      <c r="V318" s="191" t="inlineStr">
        <is>
          <t>T1189:Drive-by Compromise</t>
        </is>
      </c>
      <c r="W318" s="191" t="n">
        <v>1</v>
      </c>
      <c r="X318" s="191" t="inlineStr">
        <is>
          <t>LOW (40%)</t>
        </is>
      </c>
      <c r="Y318" s="191" t="inlineStr">
        <is>
          <t>UNLIKELY</t>
        </is>
      </c>
      <c r="Z318" s="191" t="inlineStr">
        <is>
          <t>CHECK_VENDOR</t>
        </is>
      </c>
      <c r="AA318" s="192" t="inlineStr">
        <is>
          <t>https://nvd.nist.gov/vuln/detail/CVE-2019-25399</t>
        </is>
      </c>
      <c r="AB318" s="191" t="inlineStr">
        <is>
          <t>NONE</t>
        </is>
      </c>
      <c r="AC318" s="191" t="n">
        <v>0</v>
      </c>
      <c r="AD318" s="191" t="n"/>
    </row>
    <row r="319">
      <c r="A319" s="191" t="inlineStr">
        <is>
          <t>CVE</t>
        </is>
      </c>
      <c r="B319" s="191" t="inlineStr">
        <is>
          <t>CVE-2019-25400</t>
        </is>
      </c>
      <c r="C319" s="191" t="inlineStr">
        <is>
          <t>IPFire 2.21 Core Update 127 contains multiple reflected cross-site scripting vulnerabilities in the fwhosts.cgi script that allow attackers to inject malicious scripts through multiple parameters including HOSTNAME, IP, SUBNET, NETREMARK, HOSTREMARK, newhost, grp_name, remark, SRV_NAME, SRV_PORT, SRVGRP_NAME, SRVGRP_REMARK, and updatesrvgrp. Attackers can submit POST requests with script payloads in these parameters to execute arbitrary JavaScript in the context of authenticated users' browsers.</t>
        </is>
      </c>
      <c r="D319" s="191" t="n">
        <v>5.4</v>
      </c>
      <c r="E319" s="191" t="inlineStr">
        <is>
          <t>MEDIUM</t>
        </is>
      </c>
      <c r="F319" s="191" t="n">
        <v>2</v>
      </c>
      <c r="G319" s="191" t="n">
        <v>2</v>
      </c>
      <c r="H319" s="191" t="inlineStr">
        <is>
          <t>MEDIUM</t>
        </is>
      </c>
      <c r="I319" s="191" t="n">
        <v>9.4</v>
      </c>
      <c r="J319" s="191" t="inlineStr">
        <is>
          <t>NO</t>
        </is>
      </c>
      <c r="K319" s="192" t="inlineStr">
        <is>
          <t>https://nvd.nist.gov/vuln/detail/CVE-2019-25400</t>
        </is>
      </c>
      <c r="L319" s="191" t="inlineStr">
        <is>
          <t>2026-02-23 23:48</t>
        </is>
      </c>
      <c r="M319" s="191" t="inlineStr">
        <is>
          <t>CHECK_VENDOR</t>
        </is>
      </c>
      <c r="N319" s="191" t="inlineStr">
        <is>
          <t>See NVD references</t>
        </is>
      </c>
      <c r="O319" s="191" t="inlineStr">
        <is>
          <t>Apply vendor patches</t>
        </is>
      </c>
      <c r="P319" s="191" t="inlineStr">
        <is>
          <t>See CVE details</t>
        </is>
      </c>
      <c r="Q319" s="191" t="inlineStr">
        <is>
          <t>P4</t>
        </is>
      </c>
      <c r="R319" s="191" t="inlineStr">
        <is>
          <t>📅 Schedule patch deployment within 30 days | 🔍 Monitor for exploitation attempts</t>
        </is>
      </c>
      <c r="S319" s="191" t="inlineStr">
        <is>
          <t>CVE - IP enrichment n/a</t>
        </is>
      </c>
      <c r="T319" s="191" t="n">
        <v>0.0003</v>
      </c>
      <c r="U319" s="191" t="n">
        <v>0.08690000000000001</v>
      </c>
      <c r="V319" s="191" t="inlineStr">
        <is>
          <t>T1189:Drive-by Compromise</t>
        </is>
      </c>
      <c r="W319" s="191" t="n">
        <v>1</v>
      </c>
      <c r="X319" s="191" t="inlineStr">
        <is>
          <t>LOW (40%)</t>
        </is>
      </c>
      <c r="Y319" s="191" t="inlineStr">
        <is>
          <t>UNLIKELY</t>
        </is>
      </c>
      <c r="Z319" s="191" t="inlineStr">
        <is>
          <t>CHECK_VENDOR</t>
        </is>
      </c>
      <c r="AA319" s="192" t="inlineStr">
        <is>
          <t>https://nvd.nist.gov/vuln/detail/CVE-2019-25400</t>
        </is>
      </c>
      <c r="AB319" s="191" t="inlineStr">
        <is>
          <t>NONE</t>
        </is>
      </c>
      <c r="AC319" s="191" t="n">
        <v>0</v>
      </c>
      <c r="AD319" s="191" t="n"/>
    </row>
    <row r="320">
      <c r="A320" s="189" t="inlineStr">
        <is>
          <t>CVE</t>
        </is>
      </c>
      <c r="B320" s="189" t="inlineStr">
        <is>
          <t>CVE-2019-25401</t>
        </is>
      </c>
      <c r="C320" s="189" t="inlineStr">
        <is>
          <t>Bematech (formerly Logic Controls, now Elgin) MP-4200 TH printer contains a denial of service vulnerability in the admin configuration page. Remote attackers can send crafted POST requests with malformed 'admin' and 'person' parameters to crash the printer's web service, causing a denial of service condition.</t>
        </is>
      </c>
      <c r="D320" s="189" t="n">
        <v>7.5</v>
      </c>
      <c r="E320" s="189" t="inlineStr">
        <is>
          <t>HIGH</t>
        </is>
      </c>
      <c r="F320" s="189" t="n">
        <v>2</v>
      </c>
      <c r="G320" s="189" t="n">
        <v>3</v>
      </c>
      <c r="H320" s="189" t="inlineStr">
        <is>
          <t>HIGH</t>
        </is>
      </c>
      <c r="I320" s="189" t="n">
        <v>13.5</v>
      </c>
      <c r="J320" s="189" t="inlineStr">
        <is>
          <t>NO</t>
        </is>
      </c>
      <c r="K320" s="190" t="inlineStr">
        <is>
          <t>https://nvd.nist.gov/vuln/detail/CVE-2019-25401</t>
        </is>
      </c>
      <c r="L320" s="189" t="inlineStr">
        <is>
          <t>2026-02-23 23:48</t>
        </is>
      </c>
      <c r="M320" s="189" t="inlineStr">
        <is>
          <t>CHECK_VENDOR</t>
        </is>
      </c>
      <c r="N320" s="189" t="inlineStr">
        <is>
          <t>See NVD references</t>
        </is>
      </c>
      <c r="O320" s="189" t="inlineStr">
        <is>
          <t>Apply vendor patches</t>
        </is>
      </c>
      <c r="P320" s="189" t="inlineStr">
        <is>
          <t>See CVE details</t>
        </is>
      </c>
      <c r="Q320" s="189" t="inlineStr">
        <is>
          <t>P3</t>
        </is>
      </c>
      <c r="R320" s="189" t="inlineStr">
        <is>
          <t>🚨 URGENT: Apply vendor patches immediately | 🔒 Isolate affected systems if patch unavailable | 🛡️ Enable additional monitoring/IDS rules</t>
        </is>
      </c>
      <c r="S320" s="189" t="inlineStr">
        <is>
          <t>CVE - IP enrichment n/a</t>
        </is>
      </c>
      <c r="T320" s="189" t="n">
        <v>0.001</v>
      </c>
      <c r="U320" s="189" t="n">
        <v>0.2796</v>
      </c>
      <c r="V320" s="189" t="inlineStr">
        <is>
          <t>T1499:Endpoint Denial of Service</t>
        </is>
      </c>
      <c r="W320" s="189" t="n">
        <v>1</v>
      </c>
      <c r="X320" s="189" t="inlineStr">
        <is>
          <t>LOW (40%)</t>
        </is>
      </c>
      <c r="Y320" s="189" t="inlineStr">
        <is>
          <t>UNLIKELY</t>
        </is>
      </c>
      <c r="Z320" s="189" t="inlineStr">
        <is>
          <t>CHECK_VENDOR</t>
        </is>
      </c>
      <c r="AA320" s="190" t="inlineStr">
        <is>
          <t>https://nvd.nist.gov/vuln/detail/CVE-2019-25401</t>
        </is>
      </c>
      <c r="AB320" s="189" t="inlineStr">
        <is>
          <t>NONE</t>
        </is>
      </c>
      <c r="AC320" s="189" t="n">
        <v>0</v>
      </c>
      <c r="AD320" s="189" t="n"/>
    </row>
    <row r="321">
      <c r="A321" s="191" t="inlineStr">
        <is>
          <t>CVE</t>
        </is>
      </c>
      <c r="B321" s="191" t="inlineStr">
        <is>
          <t>CVE-2026-24743</t>
        </is>
      </c>
      <c r="C321" s="191" t="inlineStr">
        <is>
          <t>InvoicePlane is a self-hosted open source application for managing invoices, clients, and payments. A Stored Cross-Site Scripting (XSS) vulnerability occurs in the upload Invoice Logo functions of InvoicePlane version 1.7.0. The Upload Invoice Logo function allows the application to upload svg files. Although administrator privileges are required to exploit it, this is still considered a critical vulnerability as it can cause actions such as unauthorized modification of application data, creatio</t>
        </is>
      </c>
      <c r="D321" s="191" t="n">
        <v>5.7</v>
      </c>
      <c r="E321" s="191" t="inlineStr">
        <is>
          <t>MEDIUM</t>
        </is>
      </c>
      <c r="F321" s="191" t="n">
        <v>2</v>
      </c>
      <c r="G321" s="191" t="n">
        <v>2</v>
      </c>
      <c r="H321" s="191" t="inlineStr">
        <is>
          <t>MEDIUM</t>
        </is>
      </c>
      <c r="I321" s="191" t="n">
        <v>9.699999999999999</v>
      </c>
      <c r="J321" s="191" t="inlineStr">
        <is>
          <t>NO</t>
        </is>
      </c>
      <c r="K321" s="192" t="inlineStr">
        <is>
          <t>https://nvd.nist.gov/vuln/detail/CVE-2026-24743</t>
        </is>
      </c>
      <c r="L321" s="191" t="inlineStr">
        <is>
          <t>2026-02-23 23:48</t>
        </is>
      </c>
      <c r="M321" s="191" t="inlineStr">
        <is>
          <t>YES</t>
        </is>
      </c>
      <c r="N321" s="192" t="inlineStr">
        <is>
          <t>https://github.com/InvoicePlane/InvoicePlane/commit/93622f2df88a860d89bfee56012cabb2942061d6 | https://github.com/InvoicePlane/InvoicePlane/security/advisories/GHSA-485m-4725-2428</t>
        </is>
      </c>
      <c r="O321" s="192" t="inlineStr">
        <is>
          <t>https://github.com/InvoicePlane/InvoicePlane/security/advisories/GHSA-485m-4725-2428</t>
        </is>
      </c>
      <c r="P321" s="191" t="inlineStr">
        <is>
          <t>invoiceplane invoiceplane 1.7.0</t>
        </is>
      </c>
      <c r="Q321" s="191" t="inlineStr">
        <is>
          <t>P4</t>
        </is>
      </c>
      <c r="R321" s="191" t="inlineStr">
        <is>
          <t>📅 Schedule patch deployment within 30 days | 🔍 Monitor for exploitation attempts</t>
        </is>
      </c>
      <c r="S321" s="191" t="inlineStr">
        <is>
          <t>CVE - IP enrichment n/a</t>
        </is>
      </c>
      <c r="T321" s="191" t="n">
        <v>0</v>
      </c>
      <c r="U321" s="191" t="n">
        <v>0</v>
      </c>
      <c r="V321" s="191" t="inlineStr">
        <is>
          <t>T1189:Drive-by Compromise | T1190:Exploit Public-Facing Application | T1543:Create or Modify System Process</t>
        </is>
      </c>
      <c r="W321" s="191" t="n">
        <v>1</v>
      </c>
      <c r="X321" s="191" t="inlineStr">
        <is>
          <t>LOW (40%)</t>
        </is>
      </c>
      <c r="Y321" s="191" t="inlineStr">
        <is>
          <t>UNLIKELY</t>
        </is>
      </c>
      <c r="Z321" s="191" t="inlineStr">
        <is>
          <t>PATCH_AVAILABLE</t>
        </is>
      </c>
      <c r="AA321" s="192" t="inlineStr">
        <is>
          <t>https://nvd.nist.gov/vuln/detail/CVE-2026-24743</t>
        </is>
      </c>
      <c r="AB321" s="191" t="inlineStr">
        <is>
          <t>NONE</t>
        </is>
      </c>
      <c r="AC321" s="191" t="n">
        <v>0</v>
      </c>
      <c r="AD321" s="191" t="n"/>
    </row>
    <row r="322">
      <c r="A322" s="191" t="inlineStr">
        <is>
          <t>CVE</t>
        </is>
      </c>
      <c r="B322" s="191" t="inlineStr">
        <is>
          <t>CVE-2026-24744</t>
        </is>
      </c>
      <c r="C322" s="191" t="inlineStr">
        <is>
          <t>InvoicePlane is a self-hosted open source application for managing invoices, clients, and payments. A Stored Cross-Site Scripting (XSS) vulnerability occurs in the Edit Invoices functions of InvoicePlane version 1.7.0. When editing invoices, the application does not validate user input at the `invoice_number` parameter. Although administrator privileges are required to exploit it, this is still considered a critical vulnerability as it can cause actions such as unauthorized modification of appli</t>
        </is>
      </c>
      <c r="D322" s="191" t="n">
        <v>5.7</v>
      </c>
      <c r="E322" s="191" t="inlineStr">
        <is>
          <t>MEDIUM</t>
        </is>
      </c>
      <c r="F322" s="191" t="n">
        <v>2</v>
      </c>
      <c r="G322" s="191" t="n">
        <v>2</v>
      </c>
      <c r="H322" s="191" t="inlineStr">
        <is>
          <t>MEDIUM</t>
        </is>
      </c>
      <c r="I322" s="191" t="n">
        <v>9.699999999999999</v>
      </c>
      <c r="J322" s="191" t="inlineStr">
        <is>
          <t>NO</t>
        </is>
      </c>
      <c r="K322" s="192" t="inlineStr">
        <is>
          <t>https://nvd.nist.gov/vuln/detail/CVE-2026-24744</t>
        </is>
      </c>
      <c r="L322" s="191" t="inlineStr">
        <is>
          <t>2026-02-23 23:48</t>
        </is>
      </c>
      <c r="M322" s="191" t="inlineStr">
        <is>
          <t>YES</t>
        </is>
      </c>
      <c r="N322" s="192" t="inlineStr">
        <is>
          <t>https://github.com/InvoicePlane/InvoicePlane/commit/93622f2df88a860d89bfee56012cabb2942061d6 | https://github.com/InvoicePlane/InvoicePlane/security/advisories/GHSA-5mxx-553h-m62w</t>
        </is>
      </c>
      <c r="O322" s="192" t="inlineStr">
        <is>
          <t>https://github.com/InvoicePlane/InvoicePlane/security/advisories/GHSA-5mxx-553h-m62w</t>
        </is>
      </c>
      <c r="P322" s="191" t="inlineStr">
        <is>
          <t>invoiceplane invoiceplane 1.7.0</t>
        </is>
      </c>
      <c r="Q322" s="191" t="inlineStr">
        <is>
          <t>P4</t>
        </is>
      </c>
      <c r="R322" s="191" t="inlineStr">
        <is>
          <t>📅 Schedule patch deployment within 30 days | 🔍 Monitor for exploitation attempts</t>
        </is>
      </c>
      <c r="S322" s="191" t="inlineStr">
        <is>
          <t>CVE - IP enrichment n/a</t>
        </is>
      </c>
      <c r="T322" s="191" t="n">
        <v>0</v>
      </c>
      <c r="U322" s="191" t="n">
        <v>0</v>
      </c>
      <c r="V322" s="191" t="inlineStr">
        <is>
          <t>T1189:Drive-by Compromise | T1190:Exploit Public-Facing Application | T1543:Create or Modify System Process</t>
        </is>
      </c>
      <c r="W322" s="191" t="n">
        <v>1</v>
      </c>
      <c r="X322" s="191" t="inlineStr">
        <is>
          <t>LOW (40%)</t>
        </is>
      </c>
      <c r="Y322" s="191" t="inlineStr">
        <is>
          <t>UNLIKELY</t>
        </is>
      </c>
      <c r="Z322" s="191" t="inlineStr">
        <is>
          <t>PATCH_AVAILABLE</t>
        </is>
      </c>
      <c r="AA322" s="192" t="inlineStr">
        <is>
          <t>https://nvd.nist.gov/vuln/detail/CVE-2026-24744</t>
        </is>
      </c>
      <c r="AB322" s="191" t="inlineStr">
        <is>
          <t>NONE</t>
        </is>
      </c>
      <c r="AC322" s="191" t="n">
        <v>0</v>
      </c>
      <c r="AD322" s="191" t="n"/>
    </row>
    <row r="323">
      <c r="A323" s="193" t="inlineStr">
        <is>
          <t>CVE</t>
        </is>
      </c>
      <c r="B323" s="193" t="inlineStr">
        <is>
          <t>CVE-2026-27174</t>
        </is>
      </c>
      <c r="C323" s="193" t="inlineStr">
        <is>
          <t>MajorDoMo (aka Major Domestic Module) allows unauthenticated remote code execution via the admin panel's PHP console feature. An include order bug in modules/panel.class.php causes execution to continue past a redirect() call that lacks an exit statement, allowing unauthenticated requests to reach the ajax handler in inc_panel_ajax.php. The console handler within that file passes user-supplied input from GET parameters (via register_globals) directly to eval() without any authentication check. A</t>
        </is>
      </c>
      <c r="D323" s="193" t="n">
        <v>9.800000000000001</v>
      </c>
      <c r="E323" s="193" t="inlineStr">
        <is>
          <t>CRITICAL</t>
        </is>
      </c>
      <c r="F323" s="193" t="n">
        <v>2</v>
      </c>
      <c r="G323" s="193" t="n">
        <v>3</v>
      </c>
      <c r="H323" s="193" t="inlineStr">
        <is>
          <t>HIGH</t>
        </is>
      </c>
      <c r="I323" s="193" t="n">
        <v>15.8</v>
      </c>
      <c r="J323" s="193" t="inlineStr">
        <is>
          <t>NO</t>
        </is>
      </c>
      <c r="K323" s="194" t="inlineStr">
        <is>
          <t>https://nvd.nist.gov/vuln/detail/CVE-2026-27174</t>
        </is>
      </c>
      <c r="L323" s="193" t="inlineStr">
        <is>
          <t>2026-02-23 23:48</t>
        </is>
      </c>
      <c r="M323" s="193" t="inlineStr">
        <is>
          <t>CHECK_VENDOR</t>
        </is>
      </c>
      <c r="N323" s="193" t="inlineStr">
        <is>
          <t>See NVD references</t>
        </is>
      </c>
      <c r="O323" s="193" t="inlineStr">
        <is>
          <t>Apply vendor patches</t>
        </is>
      </c>
      <c r="P323" s="193" t="inlineStr">
        <is>
          <t>mjdm majordomo -</t>
        </is>
      </c>
      <c r="Q323" s="193" t="inlineStr">
        <is>
          <t>P3</t>
        </is>
      </c>
      <c r="R323" s="193" t="inlineStr">
        <is>
          <t>🚨 URGENT: Apply vendor patches immediately | 🔒 Isolate affected systems if patch unavailable | 🛡️ Enable additional monitoring/IDS rules</t>
        </is>
      </c>
      <c r="S323" s="193" t="inlineStr">
        <is>
          <t>CVE - IP enrichment n/a</t>
        </is>
      </c>
      <c r="T323" s="193" t="n">
        <v>0.0039</v>
      </c>
      <c r="U323" s="193" t="n">
        <v>0.5926</v>
      </c>
      <c r="V323" s="193" t="inlineStr">
        <is>
          <t>T1059:Command and Scripting Interpreter | T1190:Exploit Public-Facing Application | T1210:Exploitation of Remote Services</t>
        </is>
      </c>
      <c r="W323" s="193" t="n">
        <v>1</v>
      </c>
      <c r="X323" s="193" t="inlineStr">
        <is>
          <t>LOW (40%)</t>
        </is>
      </c>
      <c r="Y323" s="193" t="inlineStr">
        <is>
          <t>UNLIKELY</t>
        </is>
      </c>
      <c r="Z323" s="193" t="inlineStr">
        <is>
          <t>CHECK_VENDOR</t>
        </is>
      </c>
      <c r="AA323" s="194" t="inlineStr">
        <is>
          <t>https://nvd.nist.gov/vuln/detail/CVE-2026-27174</t>
        </is>
      </c>
      <c r="AB323" s="193" t="inlineStr">
        <is>
          <t>NONE</t>
        </is>
      </c>
      <c r="AC323" s="193" t="n">
        <v>0</v>
      </c>
      <c r="AD323" s="193" t="n"/>
    </row>
    <row r="324">
      <c r="A324" s="193" t="inlineStr">
        <is>
          <t>CVE</t>
        </is>
      </c>
      <c r="B324" s="193" t="inlineStr">
        <is>
          <t>CVE-2026-27175</t>
        </is>
      </c>
      <c r="C324" s="193" t="inlineStr">
        <is>
          <t>MajorDoMo (aka Major Domestic Module) is vulnerable to unauthenticated OS command injection via rc/index.php. The $param variable from user input is interpolated into a command string within double quotes without sanitization via escapeshellarg(). The command is inserted into a database queue by safe_exec(), which performs no sanitization. The cycle_execs.php script, which is web-accessible without authentication, retrieves queued commands and passes them directly to exec(). An attacker can expl</t>
        </is>
      </c>
      <c r="D324" s="193" t="n">
        <v>9.800000000000001</v>
      </c>
      <c r="E324" s="193" t="inlineStr">
        <is>
          <t>CRITICAL</t>
        </is>
      </c>
      <c r="F324" s="193" t="n">
        <v>2</v>
      </c>
      <c r="G324" s="193" t="n">
        <v>3</v>
      </c>
      <c r="H324" s="193" t="inlineStr">
        <is>
          <t>HIGH</t>
        </is>
      </c>
      <c r="I324" s="193" t="n">
        <v>15.8</v>
      </c>
      <c r="J324" s="193" t="inlineStr">
        <is>
          <t>NO</t>
        </is>
      </c>
      <c r="K324" s="194" t="inlineStr">
        <is>
          <t>https://nvd.nist.gov/vuln/detail/CVE-2026-27175</t>
        </is>
      </c>
      <c r="L324" s="193" t="inlineStr">
        <is>
          <t>2026-02-23 23:48</t>
        </is>
      </c>
      <c r="M324" s="193" t="inlineStr">
        <is>
          <t>CHECK_VENDOR</t>
        </is>
      </c>
      <c r="N324" s="193" t="inlineStr">
        <is>
          <t>See NVD references</t>
        </is>
      </c>
      <c r="O324" s="193" t="inlineStr">
        <is>
          <t>Apply vendor patches</t>
        </is>
      </c>
      <c r="P324" s="193" t="inlineStr">
        <is>
          <t>mjdm majordomo -</t>
        </is>
      </c>
      <c r="Q324" s="193" t="inlineStr">
        <is>
          <t>P3</t>
        </is>
      </c>
      <c r="R324" s="193" t="inlineStr">
        <is>
          <t>🚨 URGENT: Apply vendor patches immediately | 🔒 Isolate affected systems if patch unavailable | 🛡️ Enable additional monitoring/IDS rules</t>
        </is>
      </c>
      <c r="S324" s="193" t="inlineStr">
        <is>
          <t>CVE - IP enrichment n/a</t>
        </is>
      </c>
      <c r="T324" s="193" t="n">
        <v>0</v>
      </c>
      <c r="U324" s="193" t="n">
        <v>0</v>
      </c>
      <c r="V324" s="193" t="inlineStr">
        <is>
          <t>T1059:Command and Scripting Interpreter | T1190:Exploit Public-Facing Application | T1210:Exploitation of Remote Services</t>
        </is>
      </c>
      <c r="W324" s="193" t="n">
        <v>1</v>
      </c>
      <c r="X324" s="193" t="inlineStr">
        <is>
          <t>LOW (40%)</t>
        </is>
      </c>
      <c r="Y324" s="193" t="inlineStr">
        <is>
          <t>UNLIKELY</t>
        </is>
      </c>
      <c r="Z324" s="193" t="inlineStr">
        <is>
          <t>CHECK_VENDOR</t>
        </is>
      </c>
      <c r="AA324" s="194" t="inlineStr">
        <is>
          <t>https://nvd.nist.gov/vuln/detail/CVE-2026-27175</t>
        </is>
      </c>
      <c r="AB324" s="193" t="inlineStr">
        <is>
          <t>NONE</t>
        </is>
      </c>
      <c r="AC324" s="193" t="n">
        <v>0</v>
      </c>
      <c r="AD324" s="193" t="n"/>
    </row>
    <row r="325">
      <c r="A325" s="191" t="inlineStr">
        <is>
          <t>CVE</t>
        </is>
      </c>
      <c r="B325" s="191" t="inlineStr">
        <is>
          <t>CVE-2026-27176</t>
        </is>
      </c>
      <c r="C325" s="191" t="inlineStr">
        <is>
          <t>MajorDoMo (aka Major Domestic Module) contains a reflected cross-site scripting (XSS) vulnerability in command.php. The $qry parameter is rendered directly into the HTML page without sanitization via htmlspecialchars(), both in an input field value attribute and in a paragraph element. An attacker can inject arbitrary JavaScript by crafting a URL with malicious content in the qry parameter.</t>
        </is>
      </c>
      <c r="D325" s="191" t="n">
        <v>6.1</v>
      </c>
      <c r="E325" s="191" t="inlineStr">
        <is>
          <t>MEDIUM</t>
        </is>
      </c>
      <c r="F325" s="191" t="n">
        <v>2</v>
      </c>
      <c r="G325" s="191" t="n">
        <v>2</v>
      </c>
      <c r="H325" s="191" t="inlineStr">
        <is>
          <t>MEDIUM</t>
        </is>
      </c>
      <c r="I325" s="191" t="n">
        <v>10.1</v>
      </c>
      <c r="J325" s="191" t="inlineStr">
        <is>
          <t>NO</t>
        </is>
      </c>
      <c r="K325" s="192" t="inlineStr">
        <is>
          <t>https://nvd.nist.gov/vuln/detail/CVE-2026-27176</t>
        </is>
      </c>
      <c r="L325" s="191" t="inlineStr">
        <is>
          <t>2026-02-23 23:48</t>
        </is>
      </c>
      <c r="M325" s="191" t="inlineStr">
        <is>
          <t>CHECK_VENDOR</t>
        </is>
      </c>
      <c r="N325" s="191" t="inlineStr">
        <is>
          <t>See NVD references</t>
        </is>
      </c>
      <c r="O325" s="191" t="inlineStr">
        <is>
          <t>Apply vendor patches</t>
        </is>
      </c>
      <c r="P325" s="191" t="inlineStr">
        <is>
          <t>mjdm majordomo -</t>
        </is>
      </c>
      <c r="Q325" s="191" t="inlineStr">
        <is>
          <t>P4</t>
        </is>
      </c>
      <c r="R325" s="191" t="inlineStr">
        <is>
          <t>📅 Schedule patch deployment within 30 days | 🔍 Monitor for exploitation attempts</t>
        </is>
      </c>
      <c r="S325" s="191" t="inlineStr">
        <is>
          <t>CVE - IP enrichment n/a</t>
        </is>
      </c>
      <c r="T325" s="191" t="n">
        <v>0</v>
      </c>
      <c r="U325" s="191" t="n">
        <v>0</v>
      </c>
      <c r="V325" s="191" t="inlineStr">
        <is>
          <t>T1189:Drive-by Compromise</t>
        </is>
      </c>
      <c r="W325" s="191" t="n">
        <v>1</v>
      </c>
      <c r="X325" s="191" t="inlineStr">
        <is>
          <t>LOW (40%)</t>
        </is>
      </c>
      <c r="Y325" s="191" t="inlineStr">
        <is>
          <t>UNLIKELY</t>
        </is>
      </c>
      <c r="Z325" s="191" t="inlineStr">
        <is>
          <t>CHECK_VENDOR</t>
        </is>
      </c>
      <c r="AA325" s="192" t="inlineStr">
        <is>
          <t>https://nvd.nist.gov/vuln/detail/CVE-2026-27176</t>
        </is>
      </c>
      <c r="AB325" s="191" t="inlineStr">
        <is>
          <t>NONE</t>
        </is>
      </c>
      <c r="AC325" s="191" t="n">
        <v>0</v>
      </c>
      <c r="AD325" s="191" t="n"/>
    </row>
    <row r="326">
      <c r="A326" s="189" t="inlineStr">
        <is>
          <t>CVE</t>
        </is>
      </c>
      <c r="B326" s="189" t="inlineStr">
        <is>
          <t>CVE-2026-27177</t>
        </is>
      </c>
      <c r="C326" s="189" t="inlineStr">
        <is>
          <t>MajorDoMo (aka Major Domestic Module) contains a stored cross-site scripting (XSS) vulnerability via the /objects/?op=set endpoint, which is intentionally unauthenticated for IoT device integration. User-supplied property values are stored raw in the database without sanitization. When an administrator views the property editor in the admin panel, the stored values are rendered without escaping in both a paragraph tag (SOURCE field) and a textarea element (VALUE field). The XSS fires on page loa</t>
        </is>
      </c>
      <c r="D326" s="189" t="n">
        <v>7.2</v>
      </c>
      <c r="E326" s="189" t="inlineStr">
        <is>
          <t>HIGH</t>
        </is>
      </c>
      <c r="F326" s="189" t="n">
        <v>2</v>
      </c>
      <c r="G326" s="189" t="n">
        <v>3</v>
      </c>
      <c r="H326" s="189" t="inlineStr">
        <is>
          <t>HIGH</t>
        </is>
      </c>
      <c r="I326" s="189" t="n">
        <v>13.2</v>
      </c>
      <c r="J326" s="189" t="inlineStr">
        <is>
          <t>NO</t>
        </is>
      </c>
      <c r="K326" s="190" t="inlineStr">
        <is>
          <t>https://nvd.nist.gov/vuln/detail/CVE-2026-27177</t>
        </is>
      </c>
      <c r="L326" s="189" t="inlineStr">
        <is>
          <t>2026-02-23 23:48</t>
        </is>
      </c>
      <c r="M326" s="189" t="inlineStr">
        <is>
          <t>CHECK_VENDOR</t>
        </is>
      </c>
      <c r="N326" s="189" t="inlineStr">
        <is>
          <t>See NVD references</t>
        </is>
      </c>
      <c r="O326" s="189" t="inlineStr">
        <is>
          <t>Apply vendor patches</t>
        </is>
      </c>
      <c r="P326" s="189" t="inlineStr">
        <is>
          <t>mjdm majordomo -</t>
        </is>
      </c>
      <c r="Q326" s="189" t="inlineStr">
        <is>
          <t>P3</t>
        </is>
      </c>
      <c r="R326" s="189" t="inlineStr">
        <is>
          <t>🚨 URGENT: Apply vendor patches immediately | 🔒 Isolate affected systems if patch unavailable | 🛡️ Enable additional monitoring/IDS rules</t>
        </is>
      </c>
      <c r="S326" s="189" t="inlineStr">
        <is>
          <t>CVE - IP enrichment n/a</t>
        </is>
      </c>
      <c r="T326" s="189" t="n">
        <v>0.0003</v>
      </c>
      <c r="U326" s="189" t="n">
        <v>0.0857</v>
      </c>
      <c r="V326" s="189" t="inlineStr">
        <is>
          <t>T1189:Drive-by Compromise | T1190:Exploit Public-Facing Application</t>
        </is>
      </c>
      <c r="W326" s="189" t="n">
        <v>1</v>
      </c>
      <c r="X326" s="189" t="inlineStr">
        <is>
          <t>LOW (40%)</t>
        </is>
      </c>
      <c r="Y326" s="189" t="inlineStr">
        <is>
          <t>UNLIKELY</t>
        </is>
      </c>
      <c r="Z326" s="189" t="inlineStr">
        <is>
          <t>CHECK_VENDOR</t>
        </is>
      </c>
      <c r="AA326" s="190" t="inlineStr">
        <is>
          <t>https://nvd.nist.gov/vuln/detail/CVE-2026-27177</t>
        </is>
      </c>
      <c r="AB326" s="189" t="inlineStr">
        <is>
          <t>NONE</t>
        </is>
      </c>
      <c r="AC326" s="189" t="n">
        <v>0</v>
      </c>
      <c r="AD326" s="189" t="n"/>
    </row>
    <row r="327">
      <c r="A327" s="189" t="inlineStr">
        <is>
          <t>CVE</t>
        </is>
      </c>
      <c r="B327" s="189" t="inlineStr">
        <is>
          <t>CVE-2026-27178</t>
        </is>
      </c>
      <c r="C327" s="189" t="inlineStr">
        <is>
          <t>MajorDoMo (aka Major Domestic Module) contains a stored cross-site scripting (XSS) vulnerability through method parameter injection into the shoutbox. The /objects/?method= endpoint allows unauthenticated execution of stored methods with attacker-controlled parameters. Default methods such as ThisComputer.VolumeLevelChanged pass the user-supplied VALUE parameter directly into the say() function, which stores the message raw in the shouts database table without escaping. The shoutbox widget rende</t>
        </is>
      </c>
      <c r="D327" s="189" t="n">
        <v>7.2</v>
      </c>
      <c r="E327" s="189" t="inlineStr">
        <is>
          <t>HIGH</t>
        </is>
      </c>
      <c r="F327" s="189" t="n">
        <v>2</v>
      </c>
      <c r="G327" s="189" t="n">
        <v>3</v>
      </c>
      <c r="H327" s="189" t="inlineStr">
        <is>
          <t>HIGH</t>
        </is>
      </c>
      <c r="I327" s="189" t="n">
        <v>13.2</v>
      </c>
      <c r="J327" s="189" t="inlineStr">
        <is>
          <t>NO</t>
        </is>
      </c>
      <c r="K327" s="190" t="inlineStr">
        <is>
          <t>https://nvd.nist.gov/vuln/detail/CVE-2026-27178</t>
        </is>
      </c>
      <c r="L327" s="189" t="inlineStr">
        <is>
          <t>2026-02-23 23:48</t>
        </is>
      </c>
      <c r="M327" s="189" t="inlineStr">
        <is>
          <t>CHECK_VENDOR</t>
        </is>
      </c>
      <c r="N327" s="189" t="inlineStr">
        <is>
          <t>See NVD references</t>
        </is>
      </c>
      <c r="O327" s="189" t="inlineStr">
        <is>
          <t>Apply vendor patches</t>
        </is>
      </c>
      <c r="P327" s="189" t="inlineStr">
        <is>
          <t>mjdm majordomo -</t>
        </is>
      </c>
      <c r="Q327" s="189" t="inlineStr">
        <is>
          <t>P3</t>
        </is>
      </c>
      <c r="R327" s="189" t="inlineStr">
        <is>
          <t>🚨 URGENT: Apply vendor patches immediately | 🔒 Isolate affected systems if patch unavailable | 🛡️ Enable additional monitoring/IDS rules</t>
        </is>
      </c>
      <c r="S327" s="189" t="inlineStr">
        <is>
          <t>CVE - IP enrichment n/a</t>
        </is>
      </c>
      <c r="T327" s="189" t="n">
        <v>0.0003</v>
      </c>
      <c r="U327" s="189" t="n">
        <v>0.0973</v>
      </c>
      <c r="V327" s="189" t="inlineStr">
        <is>
          <t>T1189:Drive-by Compromise</t>
        </is>
      </c>
      <c r="W327" s="189" t="n">
        <v>1</v>
      </c>
      <c r="X327" s="189" t="inlineStr">
        <is>
          <t>LOW (40%)</t>
        </is>
      </c>
      <c r="Y327" s="189" t="inlineStr">
        <is>
          <t>UNLIKELY</t>
        </is>
      </c>
      <c r="Z327" s="189" t="inlineStr">
        <is>
          <t>CHECK_VENDOR</t>
        </is>
      </c>
      <c r="AA327" s="190" t="inlineStr">
        <is>
          <t>https://nvd.nist.gov/vuln/detail/CVE-2026-27178</t>
        </is>
      </c>
      <c r="AB327" s="189" t="inlineStr">
        <is>
          <t>NONE</t>
        </is>
      </c>
      <c r="AC327" s="189" t="n">
        <v>0</v>
      </c>
      <c r="AD327" s="189" t="n"/>
    </row>
    <row r="328">
      <c r="A328" s="189" t="inlineStr">
        <is>
          <t>CVE</t>
        </is>
      </c>
      <c r="B328" s="189" t="inlineStr">
        <is>
          <t>CVE-2026-27179</t>
        </is>
      </c>
      <c r="C328" s="189" t="inlineStr">
        <is>
          <t xml:space="preserve">MajorDoMo (aka Major Domestic Module) contains an unauthenticated SQL injection vulnerability in the commands module. The commands_search.inc.php file directly interpolates the $_GET['parent'] parameter into multiple SQL queries without sanitization or parameterized queries. The commands module is loadable without authentication via the /objects/?module=commands endpoint, which includes arbitrary modules by name and calls their usual() method. Time-based blind SQL injection is exploitable using </t>
        </is>
      </c>
      <c r="D328" s="189" t="n">
        <v>8.199999999999999</v>
      </c>
      <c r="E328" s="189" t="inlineStr">
        <is>
          <t>HIGH</t>
        </is>
      </c>
      <c r="F328" s="189" t="n">
        <v>2</v>
      </c>
      <c r="G328" s="189" t="n">
        <v>3</v>
      </c>
      <c r="H328" s="189" t="inlineStr">
        <is>
          <t>HIGH</t>
        </is>
      </c>
      <c r="I328" s="189" t="n">
        <v>14.2</v>
      </c>
      <c r="J328" s="189" t="inlineStr">
        <is>
          <t>NO</t>
        </is>
      </c>
      <c r="K328" s="190" t="inlineStr">
        <is>
          <t>https://nvd.nist.gov/vuln/detail/CVE-2026-27179</t>
        </is>
      </c>
      <c r="L328" s="189" t="inlineStr">
        <is>
          <t>2026-02-23 23:48</t>
        </is>
      </c>
      <c r="M328" s="189" t="inlineStr">
        <is>
          <t>CHECK_VENDOR</t>
        </is>
      </c>
      <c r="N328" s="189" t="inlineStr">
        <is>
          <t>See NVD references</t>
        </is>
      </c>
      <c r="O328" s="189" t="inlineStr">
        <is>
          <t>Apply vendor patches</t>
        </is>
      </c>
      <c r="P328" s="189" t="inlineStr">
        <is>
          <t>mjdm majordomo -</t>
        </is>
      </c>
      <c r="Q328" s="189" t="inlineStr">
        <is>
          <t>P3</t>
        </is>
      </c>
      <c r="R328" s="189" t="inlineStr">
        <is>
          <t>🚨 URGENT: Apply vendor patches immediately | 🔒 Isolate affected systems if patch unavailable | 🛡️ Enable additional monitoring/IDS rules</t>
        </is>
      </c>
      <c r="S328" s="189" t="inlineStr">
        <is>
          <t>CVE - IP enrichment n/a</t>
        </is>
      </c>
      <c r="T328" s="189" t="n">
        <v>0.0007</v>
      </c>
      <c r="U328" s="189" t="n">
        <v>0.2119</v>
      </c>
      <c r="V328" s="189" t="inlineStr">
        <is>
          <t>T1190:Exploit Public-Facing Application | T1552:Unsecured Credentials</t>
        </is>
      </c>
      <c r="W328" s="189" t="n">
        <v>1</v>
      </c>
      <c r="X328" s="189" t="inlineStr">
        <is>
          <t>LOW (40%)</t>
        </is>
      </c>
      <c r="Y328" s="189" t="inlineStr">
        <is>
          <t>UNLIKELY</t>
        </is>
      </c>
      <c r="Z328" s="189" t="inlineStr">
        <is>
          <t>CHECK_VENDOR</t>
        </is>
      </c>
      <c r="AA328" s="190" t="inlineStr">
        <is>
          <t>https://nvd.nist.gov/vuln/detail/CVE-2026-27179</t>
        </is>
      </c>
      <c r="AB328" s="189" t="inlineStr">
        <is>
          <t>NONE</t>
        </is>
      </c>
      <c r="AC328" s="189" t="n">
        <v>0</v>
      </c>
      <c r="AD328" s="189" t="n"/>
    </row>
    <row r="329">
      <c r="A329" s="193" t="inlineStr">
        <is>
          <t>CVE</t>
        </is>
      </c>
      <c r="B329" s="193" t="inlineStr">
        <is>
          <t>CVE-2026-27180</t>
        </is>
      </c>
      <c r="C329" s="193" t="inlineStr">
        <is>
          <t>MajorDoMo (aka Major Domestic Module) is vulnerable to unauthenticated remote code execution through supply chain compromise via update URL poisoning. The saverestore module exposes its admin() method through the /objects/?module=saverestore endpoint without authentication because it uses gr('mode') (which reads directly from $_REQUEST) instead of the framework's $this-&gt;mode. An attacker can poison the system update URL via the auto_update_settings mode handler, then trigger the force_update han</t>
        </is>
      </c>
      <c r="D329" s="193" t="n">
        <v>9.800000000000001</v>
      </c>
      <c r="E329" s="193" t="inlineStr">
        <is>
          <t>CRITICAL</t>
        </is>
      </c>
      <c r="F329" s="193" t="n">
        <v>2</v>
      </c>
      <c r="G329" s="193" t="n">
        <v>3</v>
      </c>
      <c r="H329" s="193" t="inlineStr">
        <is>
          <t>HIGH</t>
        </is>
      </c>
      <c r="I329" s="193" t="n">
        <v>15.8</v>
      </c>
      <c r="J329" s="193" t="inlineStr">
        <is>
          <t>NO</t>
        </is>
      </c>
      <c r="K329" s="194" t="inlineStr">
        <is>
          <t>https://nvd.nist.gov/vuln/detail/CVE-2026-27180</t>
        </is>
      </c>
      <c r="L329" s="193" t="inlineStr">
        <is>
          <t>2026-02-23 23:48</t>
        </is>
      </c>
      <c r="M329" s="193" t="inlineStr">
        <is>
          <t>CHECK_VENDOR</t>
        </is>
      </c>
      <c r="N329" s="193" t="inlineStr">
        <is>
          <t>See NVD references</t>
        </is>
      </c>
      <c r="O329" s="193" t="inlineStr">
        <is>
          <t>Apply vendor patches</t>
        </is>
      </c>
      <c r="P329" s="193" t="inlineStr">
        <is>
          <t>mjdm majordomo -</t>
        </is>
      </c>
      <c r="Q329" s="193" t="inlineStr">
        <is>
          <t>P3</t>
        </is>
      </c>
      <c r="R329" s="193" t="inlineStr">
        <is>
          <t>🚨 URGENT: Apply vendor patches immediately | 🔒 Isolate affected systems if patch unavailable | 🛡️ Enable additional monitoring/IDS rules</t>
        </is>
      </c>
      <c r="S329" s="193" t="inlineStr">
        <is>
          <t>CVE - IP enrichment n/a</t>
        </is>
      </c>
      <c r="T329" s="193" t="n">
        <v>0.0028</v>
      </c>
      <c r="U329" s="193" t="n">
        <v>0.5114</v>
      </c>
      <c r="V329" s="193" t="inlineStr">
        <is>
          <t>T1190:Exploit Public-Facing Application | T1210:Exploitation of Remote Services</t>
        </is>
      </c>
      <c r="W329" s="193" t="n">
        <v>1</v>
      </c>
      <c r="X329" s="193" t="inlineStr">
        <is>
          <t>LOW (40%)</t>
        </is>
      </c>
      <c r="Y329" s="193" t="inlineStr">
        <is>
          <t>UNLIKELY</t>
        </is>
      </c>
      <c r="Z329" s="193" t="inlineStr">
        <is>
          <t>CHECK_VENDOR</t>
        </is>
      </c>
      <c r="AA329" s="194" t="inlineStr">
        <is>
          <t>https://nvd.nist.gov/vuln/detail/CVE-2026-27180</t>
        </is>
      </c>
      <c r="AB329" s="193" t="inlineStr">
        <is>
          <t>NONE</t>
        </is>
      </c>
      <c r="AC329" s="193" t="n">
        <v>0</v>
      </c>
      <c r="AD329" s="193" t="n"/>
    </row>
    <row r="330">
      <c r="A330" s="189" t="inlineStr">
        <is>
          <t>CVE</t>
        </is>
      </c>
      <c r="B330" s="189" t="inlineStr">
        <is>
          <t>CVE-2026-27181</t>
        </is>
      </c>
      <c r="C330" s="189" t="inlineStr">
        <is>
          <t>MajorDoMo (aka Major Domestic Module) allows unauthenticated arbitrary module uninstallation through the market module. The market module's admin() method reads gr('mode') from $_REQUEST and assigns it to $this-&gt;mode at the start of execution, making all mode-gated code paths reachable without authentication via the /objects/?module=market endpoint. The uninstall mode handler calls uninstallPlugin(), which deletes module records from the database, executes the module's uninstall() method via eva</t>
        </is>
      </c>
      <c r="D330" s="189" t="n">
        <v>7.5</v>
      </c>
      <c r="E330" s="189" t="inlineStr">
        <is>
          <t>HIGH</t>
        </is>
      </c>
      <c r="F330" s="189" t="n">
        <v>2</v>
      </c>
      <c r="G330" s="189" t="n">
        <v>3</v>
      </c>
      <c r="H330" s="189" t="inlineStr">
        <is>
          <t>HIGH</t>
        </is>
      </c>
      <c r="I330" s="189" t="n">
        <v>13.5</v>
      </c>
      <c r="J330" s="189" t="inlineStr">
        <is>
          <t>NO</t>
        </is>
      </c>
      <c r="K330" s="190" t="inlineStr">
        <is>
          <t>https://nvd.nist.gov/vuln/detail/CVE-2026-27181</t>
        </is>
      </c>
      <c r="L330" s="189" t="inlineStr">
        <is>
          <t>2026-02-23 23:48</t>
        </is>
      </c>
      <c r="M330" s="189" t="inlineStr">
        <is>
          <t>CHECK_VENDOR</t>
        </is>
      </c>
      <c r="N330" s="189" t="inlineStr">
        <is>
          <t>See NVD references</t>
        </is>
      </c>
      <c r="O330" s="189" t="inlineStr">
        <is>
          <t>Apply vendor patches</t>
        </is>
      </c>
      <c r="P330" s="189" t="inlineStr">
        <is>
          <t>mjdm majordomo -</t>
        </is>
      </c>
      <c r="Q330" s="189" t="inlineStr">
        <is>
          <t>P3</t>
        </is>
      </c>
      <c r="R330" s="189" t="inlineStr">
        <is>
          <t>🚨 URGENT: Apply vendor patches immediately | 🔒 Isolate affected systems if patch unavailable | 🛡️ Enable additional monitoring/IDS rules</t>
        </is>
      </c>
      <c r="S330" s="189" t="inlineStr">
        <is>
          <t>CVE - IP enrichment n/a</t>
        </is>
      </c>
      <c r="T330" s="189" t="n">
        <v>0</v>
      </c>
      <c r="U330" s="189" t="n">
        <v>0</v>
      </c>
      <c r="V330" s="189" t="inlineStr">
        <is>
          <t>T1190:Exploit Public-Facing Application</t>
        </is>
      </c>
      <c r="W330" s="189" t="n">
        <v>1</v>
      </c>
      <c r="X330" s="189" t="inlineStr">
        <is>
          <t>LOW (40%)</t>
        </is>
      </c>
      <c r="Y330" s="189" t="inlineStr">
        <is>
          <t>UNLIKELY</t>
        </is>
      </c>
      <c r="Z330" s="189" t="inlineStr">
        <is>
          <t>CHECK_VENDOR</t>
        </is>
      </c>
      <c r="AA330" s="190" t="inlineStr">
        <is>
          <t>https://nvd.nist.gov/vuln/detail/CVE-2026-27181</t>
        </is>
      </c>
      <c r="AB330" s="189" t="inlineStr">
        <is>
          <t>NONE</t>
        </is>
      </c>
      <c r="AC330" s="189" t="n">
        <v>0</v>
      </c>
      <c r="AD330" s="189" t="n"/>
    </row>
    <row r="331">
      <c r="A331" s="189" t="inlineStr">
        <is>
          <t>CVE</t>
        </is>
      </c>
      <c r="B331" s="189" t="inlineStr">
        <is>
          <t>CVE-2026-27182</t>
        </is>
      </c>
      <c r="C331" s="189" t="inlineStr">
        <is>
          <t>Saturn Remote Mouse Server contains a command injection vulnerability that allows unauthenticated attackers to execute arbitrary commands by sending specially crafted UDP JSON frames to port 27000. Attackers on the local network can send malformed packets with unsanitized command data that the service forwards directly to OS execution functions, enabling remote code execution under the service account.</t>
        </is>
      </c>
      <c r="D331" s="189" t="n">
        <v>8.4</v>
      </c>
      <c r="E331" s="189" t="inlineStr">
        <is>
          <t>HIGH</t>
        </is>
      </c>
      <c r="F331" s="189" t="n">
        <v>2</v>
      </c>
      <c r="G331" s="189" t="n">
        <v>3</v>
      </c>
      <c r="H331" s="189" t="inlineStr">
        <is>
          <t>HIGH</t>
        </is>
      </c>
      <c r="I331" s="189" t="n">
        <v>14.4</v>
      </c>
      <c r="J331" s="189" t="inlineStr">
        <is>
          <t>NO</t>
        </is>
      </c>
      <c r="K331" s="190" t="inlineStr">
        <is>
          <t>https://nvd.nist.gov/vuln/detail/CVE-2026-27182</t>
        </is>
      </c>
      <c r="L331" s="189" t="inlineStr">
        <is>
          <t>2026-02-23 23:48</t>
        </is>
      </c>
      <c r="M331" s="189" t="inlineStr">
        <is>
          <t>CHECK_VENDOR</t>
        </is>
      </c>
      <c r="N331" s="189" t="inlineStr">
        <is>
          <t>See NVD references</t>
        </is>
      </c>
      <c r="O331" s="189" t="inlineStr">
        <is>
          <t>Apply vendor patches</t>
        </is>
      </c>
      <c r="P331" s="189" t="inlineStr">
        <is>
          <t>See CVE details</t>
        </is>
      </c>
      <c r="Q331" s="189" t="inlineStr">
        <is>
          <t>P3</t>
        </is>
      </c>
      <c r="R331" s="189" t="inlineStr">
        <is>
          <t>🚨 URGENT: Apply vendor patches immediately | 🔒 Isolate affected systems if patch unavailable | 🛡️ Enable additional monitoring/IDS rules</t>
        </is>
      </c>
      <c r="S331" s="189" t="inlineStr">
        <is>
          <t>CVE - IP enrichment n/a</t>
        </is>
      </c>
      <c r="T331" s="189" t="n">
        <v>0</v>
      </c>
      <c r="U331" s="189" t="n">
        <v>0</v>
      </c>
      <c r="V331" s="189" t="inlineStr">
        <is>
          <t>T1078:Valid Accounts | T1190:Exploit Public-Facing Application | T1210:Exploitation of Remote Services</t>
        </is>
      </c>
      <c r="W331" s="189" t="n">
        <v>1</v>
      </c>
      <c r="X331" s="189" t="inlineStr">
        <is>
          <t>LOW (40%)</t>
        </is>
      </c>
      <c r="Y331" s="189" t="inlineStr">
        <is>
          <t>UNLIKELY</t>
        </is>
      </c>
      <c r="Z331" s="189" t="inlineStr">
        <is>
          <t>CHECK_VENDOR</t>
        </is>
      </c>
      <c r="AA331" s="190" t="inlineStr">
        <is>
          <t>https://nvd.nist.gov/vuln/detail/CVE-2026-27182</t>
        </is>
      </c>
      <c r="AB331" s="189" t="inlineStr">
        <is>
          <t>NONE</t>
        </is>
      </c>
      <c r="AC331" s="189" t="n">
        <v>0</v>
      </c>
      <c r="AD331" s="189" t="n"/>
    </row>
    <row r="332">
      <c r="A332" s="189" t="inlineStr">
        <is>
          <t>CVE</t>
        </is>
      </c>
      <c r="B332" s="189" t="inlineStr">
        <is>
          <t>CVE-2026-2648</t>
        </is>
      </c>
      <c r="C332" s="189" t="inlineStr">
        <is>
          <t>Heap buffer overflow in PDFium in Google Chrome prior to 145.0.7632.109 allowed a remote attacker to perform an out of bounds memory write via a crafted PDF file. (Chromium security severity: High)</t>
        </is>
      </c>
      <c r="D332" s="189" t="n">
        <v>8.800000000000001</v>
      </c>
      <c r="E332" s="189" t="inlineStr">
        <is>
          <t>HIGH</t>
        </is>
      </c>
      <c r="F332" s="189" t="n">
        <v>2</v>
      </c>
      <c r="G332" s="189" t="n">
        <v>3</v>
      </c>
      <c r="H332" s="189" t="inlineStr">
        <is>
          <t>HIGH</t>
        </is>
      </c>
      <c r="I332" s="189" t="n">
        <v>14.8</v>
      </c>
      <c r="J332" s="189" t="inlineStr">
        <is>
          <t>NO</t>
        </is>
      </c>
      <c r="K332" s="190" t="inlineStr">
        <is>
          <t>https://nvd.nist.gov/vuln/detail/CVE-2026-2648</t>
        </is>
      </c>
      <c r="L332" s="189" t="inlineStr">
        <is>
          <t>2026-02-23 23:48</t>
        </is>
      </c>
      <c r="M332" s="189" t="inlineStr">
        <is>
          <t>CHECK_VENDOR</t>
        </is>
      </c>
      <c r="N332" s="189" t="inlineStr">
        <is>
          <t>See NVD references</t>
        </is>
      </c>
      <c r="O332" s="189" t="inlineStr">
        <is>
          <t>Apply vendor patches</t>
        </is>
      </c>
      <c r="P332" s="189" t="inlineStr">
        <is>
          <t>google chrome *</t>
        </is>
      </c>
      <c r="Q332" s="189" t="inlineStr">
        <is>
          <t>P3</t>
        </is>
      </c>
      <c r="R332" s="189" t="inlineStr">
        <is>
          <t>🚨 URGENT: Apply vendor patches immediately | 🔒 Isolate affected systems if patch unavailable | 🛡️ Enable additional monitoring/IDS rules</t>
        </is>
      </c>
      <c r="S332" s="189" t="inlineStr">
        <is>
          <t>CVE - IP enrichment n/a</t>
        </is>
      </c>
      <c r="T332" s="189" t="n">
        <v>0</v>
      </c>
      <c r="U332" s="189" t="n">
        <v>0</v>
      </c>
      <c r="V332" s="189" t="inlineStr">
        <is>
          <t>T1203:Exploitation for Client Execution</t>
        </is>
      </c>
      <c r="W332" s="189" t="n">
        <v>1</v>
      </c>
      <c r="X332" s="189" t="inlineStr">
        <is>
          <t>LOW (40%)</t>
        </is>
      </c>
      <c r="Y332" s="189" t="inlineStr">
        <is>
          <t>UNLIKELY</t>
        </is>
      </c>
      <c r="Z332" s="189" t="inlineStr">
        <is>
          <t>CHECK_VENDOR</t>
        </is>
      </c>
      <c r="AA332" s="190" t="inlineStr">
        <is>
          <t>https://nvd.nist.gov/vuln/detail/CVE-2026-2648</t>
        </is>
      </c>
      <c r="AB332" s="189" t="inlineStr">
        <is>
          <t>NONE</t>
        </is>
      </c>
      <c r="AC332" s="189" t="n">
        <v>0</v>
      </c>
      <c r="AD332" s="189" t="n"/>
    </row>
    <row r="333">
      <c r="A333" s="189" t="inlineStr">
        <is>
          <t>CVE</t>
        </is>
      </c>
      <c r="B333" s="189" t="inlineStr">
        <is>
          <t>CVE-2026-2649</t>
        </is>
      </c>
      <c r="C333" s="189" t="inlineStr">
        <is>
          <t>Integer overflow in V8 in Google Chrome prior to 145.0.7632.109 allowed a remote attacker to potentially exploit heap corruption via a crafted HTML page. (Chromium security severity: High)</t>
        </is>
      </c>
      <c r="D333" s="189" t="n">
        <v>8.800000000000001</v>
      </c>
      <c r="E333" s="189" t="inlineStr">
        <is>
          <t>HIGH</t>
        </is>
      </c>
      <c r="F333" s="189" t="n">
        <v>2</v>
      </c>
      <c r="G333" s="189" t="n">
        <v>3</v>
      </c>
      <c r="H333" s="189" t="inlineStr">
        <is>
          <t>HIGH</t>
        </is>
      </c>
      <c r="I333" s="189" t="n">
        <v>14.8</v>
      </c>
      <c r="J333" s="189" t="inlineStr">
        <is>
          <t>NO</t>
        </is>
      </c>
      <c r="K333" s="190" t="inlineStr">
        <is>
          <t>https://nvd.nist.gov/vuln/detail/CVE-2026-2649</t>
        </is>
      </c>
      <c r="L333" s="189" t="inlineStr">
        <is>
          <t>2026-02-23 23:48</t>
        </is>
      </c>
      <c r="M333" s="189" t="inlineStr">
        <is>
          <t>CHECK_VENDOR</t>
        </is>
      </c>
      <c r="N333" s="189" t="inlineStr">
        <is>
          <t>See NVD references</t>
        </is>
      </c>
      <c r="O333" s="189" t="inlineStr">
        <is>
          <t>Apply vendor patches</t>
        </is>
      </c>
      <c r="P333" s="189" t="inlineStr">
        <is>
          <t>google chrome *</t>
        </is>
      </c>
      <c r="Q333" s="189" t="inlineStr">
        <is>
          <t>P3</t>
        </is>
      </c>
      <c r="R333" s="189" t="inlineStr">
        <is>
          <t>🚨 URGENT: Apply vendor patches immediately | 🔒 Isolate affected systems if patch unavailable | 🛡️ Enable additional monitoring/IDS rules</t>
        </is>
      </c>
      <c r="S333" s="189" t="inlineStr">
        <is>
          <t>CVE - IP enrichment n/a</t>
        </is>
      </c>
      <c r="T333" s="189" t="n">
        <v>0</v>
      </c>
      <c r="U333" s="189" t="n">
        <v>0</v>
      </c>
      <c r="V333" s="189" t="inlineStr">
        <is>
          <t>T1203:Exploitation for Client Execution</t>
        </is>
      </c>
      <c r="W333" s="189" t="n">
        <v>1</v>
      </c>
      <c r="X333" s="189" t="inlineStr">
        <is>
          <t>LOW (40%)</t>
        </is>
      </c>
      <c r="Y333" s="189" t="inlineStr">
        <is>
          <t>UNLIKELY</t>
        </is>
      </c>
      <c r="Z333" s="189" t="inlineStr">
        <is>
          <t>CHECK_VENDOR</t>
        </is>
      </c>
      <c r="AA333" s="190" t="inlineStr">
        <is>
          <t>https://nvd.nist.gov/vuln/detail/CVE-2026-2649</t>
        </is>
      </c>
      <c r="AB333" s="189" t="inlineStr">
        <is>
          <t>NONE</t>
        </is>
      </c>
      <c r="AC333" s="189" t="n">
        <v>0</v>
      </c>
      <c r="AD333" s="189" t="n"/>
    </row>
    <row r="334">
      <c r="A334" s="189" t="inlineStr">
        <is>
          <t>CVE</t>
        </is>
      </c>
      <c r="B334" s="189" t="inlineStr">
        <is>
          <t>CVE-2026-2650</t>
        </is>
      </c>
      <c r="C334" s="189" t="inlineStr">
        <is>
          <t>Heap buffer overflow in Media in Google Chrome prior to 145.0.7632.109 allowed a remote attacker to potentially exploit heap corruption via a crafted HTML page. (Chromium security severity: Medium)</t>
        </is>
      </c>
      <c r="D334" s="189" t="n">
        <v>8.800000000000001</v>
      </c>
      <c r="E334" s="189" t="inlineStr">
        <is>
          <t>HIGH</t>
        </is>
      </c>
      <c r="F334" s="189" t="n">
        <v>2</v>
      </c>
      <c r="G334" s="189" t="n">
        <v>3</v>
      </c>
      <c r="H334" s="189" t="inlineStr">
        <is>
          <t>HIGH</t>
        </is>
      </c>
      <c r="I334" s="189" t="n">
        <v>14.8</v>
      </c>
      <c r="J334" s="189" t="inlineStr">
        <is>
          <t>NO</t>
        </is>
      </c>
      <c r="K334" s="190" t="inlineStr">
        <is>
          <t>https://nvd.nist.gov/vuln/detail/CVE-2026-2650</t>
        </is>
      </c>
      <c r="L334" s="189" t="inlineStr">
        <is>
          <t>2026-02-23 23:48</t>
        </is>
      </c>
      <c r="M334" s="189" t="inlineStr">
        <is>
          <t>CHECK_VENDOR</t>
        </is>
      </c>
      <c r="N334" s="189" t="inlineStr">
        <is>
          <t>See NVD references</t>
        </is>
      </c>
      <c r="O334" s="189" t="inlineStr">
        <is>
          <t>Apply vendor patches</t>
        </is>
      </c>
      <c r="P334" s="189" t="inlineStr">
        <is>
          <t>google chrome *</t>
        </is>
      </c>
      <c r="Q334" s="189" t="inlineStr">
        <is>
          <t>P3</t>
        </is>
      </c>
      <c r="R334" s="189" t="inlineStr">
        <is>
          <t>🚨 URGENT: Apply vendor patches immediately | 🔒 Isolate affected systems if patch unavailable | 🛡️ Enable additional monitoring/IDS rules</t>
        </is>
      </c>
      <c r="S334" s="189" t="inlineStr">
        <is>
          <t>CVE - IP enrichment n/a</t>
        </is>
      </c>
      <c r="T334" s="189" t="n">
        <v>0</v>
      </c>
      <c r="U334" s="189" t="n">
        <v>0</v>
      </c>
      <c r="V334" s="189" t="inlineStr">
        <is>
          <t>T1203:Exploitation for Client Execution</t>
        </is>
      </c>
      <c r="W334" s="189" t="n">
        <v>1</v>
      </c>
      <c r="X334" s="189" t="inlineStr">
        <is>
          <t>LOW (40%)</t>
        </is>
      </c>
      <c r="Y334" s="189" t="inlineStr">
        <is>
          <t>UNLIKELY</t>
        </is>
      </c>
      <c r="Z334" s="189" t="inlineStr">
        <is>
          <t>CHECK_VENDOR</t>
        </is>
      </c>
      <c r="AA334" s="190" t="inlineStr">
        <is>
          <t>https://nvd.nist.gov/vuln/detail/CVE-2026-2650</t>
        </is>
      </c>
      <c r="AB334" s="189" t="inlineStr">
        <is>
          <t>NONE</t>
        </is>
      </c>
      <c r="AC334" s="189" t="n">
        <v>0</v>
      </c>
      <c r="AD334" s="189" t="n"/>
    </row>
    <row r="335">
      <c r="A335" s="191" t="inlineStr">
        <is>
          <t>CVE</t>
        </is>
      </c>
      <c r="B335" s="191" t="inlineStr">
        <is>
          <t>CVE-2026-2669</t>
        </is>
      </c>
      <c r="C335" s="191" t="inlineStr">
        <is>
          <t>A vulnerability was determined in Rongzhitong Visual Integrated Command and Dispatch Platform up to 20260206. This impacts an unknown function of the file /dm/dispatch/user/delete of the component User Handler. This manipulation of the argument ID causes improper access controls. Remote exploitation of the attack is possible. The exploit has been publicly disclosed and may be utilized. The vendor was contacted early about this disclosure but did not respond in any way.</t>
        </is>
      </c>
      <c r="D335" s="191" t="n">
        <v>6.5</v>
      </c>
      <c r="E335" s="191" t="inlineStr">
        <is>
          <t>MEDIUM</t>
        </is>
      </c>
      <c r="F335" s="191" t="n">
        <v>2</v>
      </c>
      <c r="G335" s="191" t="n">
        <v>2</v>
      </c>
      <c r="H335" s="191" t="inlineStr">
        <is>
          <t>MEDIUM</t>
        </is>
      </c>
      <c r="I335" s="191" t="n">
        <v>10.5</v>
      </c>
      <c r="J335" s="191" t="inlineStr">
        <is>
          <t>NO</t>
        </is>
      </c>
      <c r="K335" s="192" t="inlineStr">
        <is>
          <t>https://nvd.nist.gov/vuln/detail/CVE-2026-2669</t>
        </is>
      </c>
      <c r="L335" s="191" t="inlineStr">
        <is>
          <t>2026-02-23 23:48</t>
        </is>
      </c>
      <c r="M335" s="191" t="inlineStr">
        <is>
          <t>CHECK_VENDOR</t>
        </is>
      </c>
      <c r="N335" s="191" t="inlineStr">
        <is>
          <t>See NVD references</t>
        </is>
      </c>
      <c r="O335" s="191" t="inlineStr">
        <is>
          <t>Apply vendor patches</t>
        </is>
      </c>
      <c r="P335" s="191" t="inlineStr">
        <is>
          <t>See CVE details</t>
        </is>
      </c>
      <c r="Q335" s="191" t="inlineStr">
        <is>
          <t>P4</t>
        </is>
      </c>
      <c r="R335" s="191" t="inlineStr">
        <is>
          <t>📅 Schedule patch deployment within 30 days | 🔍 Monitor for exploitation attempts</t>
        </is>
      </c>
      <c r="S335" s="191" t="inlineStr">
        <is>
          <t>CVE - IP enrichment n/a</t>
        </is>
      </c>
      <c r="T335" s="191" t="n">
        <v>0</v>
      </c>
      <c r="U335" s="191" t="n">
        <v>0</v>
      </c>
      <c r="V335" s="191" t="inlineStr">
        <is>
          <t>T1190:Exploit Public-Facing Application</t>
        </is>
      </c>
      <c r="W335" s="191" t="n">
        <v>1</v>
      </c>
      <c r="X335" s="191" t="inlineStr">
        <is>
          <t>LOW (40%)</t>
        </is>
      </c>
      <c r="Y335" s="191" t="inlineStr">
        <is>
          <t>UNLIKELY</t>
        </is>
      </c>
      <c r="Z335" s="191" t="inlineStr">
        <is>
          <t>CHECK_VENDOR</t>
        </is>
      </c>
      <c r="AA335" s="192" t="inlineStr">
        <is>
          <t>https://nvd.nist.gov/vuln/detail/CVE-2026-2669</t>
        </is>
      </c>
      <c r="AB335" s="191" t="inlineStr">
        <is>
          <t>NONE</t>
        </is>
      </c>
      <c r="AC335" s="191" t="n">
        <v>0</v>
      </c>
      <c r="AD335" s="191" t="n"/>
    </row>
    <row r="336">
      <c r="A336" s="189" t="inlineStr">
        <is>
          <t>CVE</t>
        </is>
      </c>
      <c r="B336" s="189" t="inlineStr">
        <is>
          <t>CVE-2026-2670</t>
        </is>
      </c>
      <c r="C336" s="189" t="inlineStr">
        <is>
          <t>A vulnerability was identified in Advantech WISE-6610 1.2.1_20251110. Affected is an unknown function of the file /cgi-bin/luci/admin/openvpn_apply of the component Background Management. Such manipulation of the argument delete_file leads to os command injection. The attack can be executed remotely. The exploit is publicly available and might be used. The vendor was contacted early about this disclosure but did not respond in any way.</t>
        </is>
      </c>
      <c r="D336" s="189" t="n">
        <v>7.2</v>
      </c>
      <c r="E336" s="189" t="inlineStr">
        <is>
          <t>HIGH</t>
        </is>
      </c>
      <c r="F336" s="189" t="n">
        <v>2</v>
      </c>
      <c r="G336" s="189" t="n">
        <v>3</v>
      </c>
      <c r="H336" s="189" t="inlineStr">
        <is>
          <t>HIGH</t>
        </is>
      </c>
      <c r="I336" s="189" t="n">
        <v>13.2</v>
      </c>
      <c r="J336" s="189" t="inlineStr">
        <is>
          <t>NO</t>
        </is>
      </c>
      <c r="K336" s="190" t="inlineStr">
        <is>
          <t>https://nvd.nist.gov/vuln/detail/CVE-2026-2670</t>
        </is>
      </c>
      <c r="L336" s="189" t="inlineStr">
        <is>
          <t>2026-02-23 23:48</t>
        </is>
      </c>
      <c r="M336" s="189" t="inlineStr">
        <is>
          <t>CHECK_VENDOR</t>
        </is>
      </c>
      <c r="N336" s="189" t="inlineStr">
        <is>
          <t>See NVD references</t>
        </is>
      </c>
      <c r="O336" s="189" t="inlineStr">
        <is>
          <t>Apply vendor patches</t>
        </is>
      </c>
      <c r="P336" s="189" t="inlineStr">
        <is>
          <t>See CVE details</t>
        </is>
      </c>
      <c r="Q336" s="189" t="inlineStr">
        <is>
          <t>P3</t>
        </is>
      </c>
      <c r="R336" s="189" t="inlineStr">
        <is>
          <t>🚨 URGENT: Apply vendor patches immediately | 🔒 Isolate affected systems if patch unavailable | 🛡️ Enable additional monitoring/IDS rules</t>
        </is>
      </c>
      <c r="S336" s="189" t="inlineStr">
        <is>
          <t>CVE - IP enrichment n/a</t>
        </is>
      </c>
      <c r="T336" s="189" t="n">
        <v>0</v>
      </c>
      <c r="U336" s="189" t="n">
        <v>0</v>
      </c>
      <c r="V336" s="189" t="inlineStr">
        <is>
          <t>T1059:Command and Scripting Interpreter | T1133:External Remote Services</t>
        </is>
      </c>
      <c r="W336" s="189" t="n">
        <v>1</v>
      </c>
      <c r="X336" s="189" t="inlineStr">
        <is>
          <t>LOW (40%)</t>
        </is>
      </c>
      <c r="Y336" s="189" t="inlineStr">
        <is>
          <t>UNLIKELY</t>
        </is>
      </c>
      <c r="Z336" s="189" t="inlineStr">
        <is>
          <t>CHECK_VENDOR</t>
        </is>
      </c>
      <c r="AA336" s="190" t="inlineStr">
        <is>
          <t>https://nvd.nist.gov/vuln/detail/CVE-2026-2670</t>
        </is>
      </c>
      <c r="AB336" s="189" t="inlineStr">
        <is>
          <t>NONE</t>
        </is>
      </c>
      <c r="AC336" s="189" t="n">
        <v>0</v>
      </c>
      <c r="AD336" s="189" t="n"/>
    </row>
    <row r="337">
      <c r="A337" s="191" t="inlineStr">
        <is>
          <t>CVE</t>
        </is>
      </c>
      <c r="B337" s="191" t="inlineStr">
        <is>
          <t>CVE-2026-2672</t>
        </is>
      </c>
      <c r="C337" s="191" t="inlineStr">
        <is>
          <t>A security flaw has been discovered in Tsinghua Unigroup Electronic Archives System 3.2.210802(62532). Affected by this vulnerability is the function Download of the file /Search/Subject/downLoad. Performing a manipulation of the argument path results in path traversal. The attack is possible to be carried out remotely. The exploit has been released to the public and may be used for attacks. The vendor was contacted early about this disclosure but did not respond in any way.</t>
        </is>
      </c>
      <c r="D337" s="191" t="n">
        <v>4.3</v>
      </c>
      <c r="E337" s="191" t="inlineStr">
        <is>
          <t>MEDIUM</t>
        </is>
      </c>
      <c r="F337" s="191" t="n">
        <v>2</v>
      </c>
      <c r="G337" s="191" t="n">
        <v>2</v>
      </c>
      <c r="H337" s="191" t="inlineStr">
        <is>
          <t>MEDIUM</t>
        </is>
      </c>
      <c r="I337" s="191" t="n">
        <v>8.300000000000001</v>
      </c>
      <c r="J337" s="191" t="inlineStr">
        <is>
          <t>NO</t>
        </is>
      </c>
      <c r="K337" s="192" t="inlineStr">
        <is>
          <t>https://nvd.nist.gov/vuln/detail/CVE-2026-2672</t>
        </is>
      </c>
      <c r="L337" s="191" t="inlineStr">
        <is>
          <t>2026-02-23 23:48</t>
        </is>
      </c>
      <c r="M337" s="191" t="inlineStr">
        <is>
          <t>CHECK_VENDOR</t>
        </is>
      </c>
      <c r="N337" s="191" t="inlineStr">
        <is>
          <t>See NVD references</t>
        </is>
      </c>
      <c r="O337" s="191" t="inlineStr">
        <is>
          <t>Apply vendor patches</t>
        </is>
      </c>
      <c r="P337" s="191" t="inlineStr">
        <is>
          <t>See CVE details</t>
        </is>
      </c>
      <c r="Q337" s="191" t="inlineStr">
        <is>
          <t>P4</t>
        </is>
      </c>
      <c r="R337" s="191" t="inlineStr">
        <is>
          <t>📅 Schedule patch deployment within 30 days | 🔍 Monitor for exploitation attempts</t>
        </is>
      </c>
      <c r="S337" s="191" t="inlineStr">
        <is>
          <t>CVE - IP enrichment n/a</t>
        </is>
      </c>
      <c r="T337" s="191" t="n">
        <v>0</v>
      </c>
      <c r="U337" s="191" t="n">
        <v>0</v>
      </c>
      <c r="V337" s="191" t="inlineStr">
        <is>
          <t>T1083:File and Directory Discovery</t>
        </is>
      </c>
      <c r="W337" s="191" t="n">
        <v>1</v>
      </c>
      <c r="X337" s="191" t="inlineStr">
        <is>
          <t>LOW (40%)</t>
        </is>
      </c>
      <c r="Y337" s="191" t="inlineStr">
        <is>
          <t>UNLIKELY</t>
        </is>
      </c>
      <c r="Z337" s="191" t="inlineStr">
        <is>
          <t>CHECK_VENDOR</t>
        </is>
      </c>
      <c r="AA337" s="192" t="inlineStr">
        <is>
          <t>https://nvd.nist.gov/vuln/detail/CVE-2026-2672</t>
        </is>
      </c>
      <c r="AB337" s="191" t="inlineStr">
        <is>
          <t>NONE</t>
        </is>
      </c>
      <c r="AC337" s="191" t="n">
        <v>0</v>
      </c>
      <c r="AD337" s="191" t="n"/>
    </row>
    <row r="338">
      <c r="A338" s="191" t="inlineStr">
        <is>
          <t>CVE</t>
        </is>
      </c>
      <c r="B338" s="191" t="inlineStr">
        <is>
          <t>CVE-2025-12811</t>
        </is>
      </c>
      <c r="C338" s="191" t="inlineStr">
        <is>
          <t>Improper Inconsistent Interpretation of
HTTP Requests ('HTTP Request Smuggling') in Delinea Inc. Cloud Suite and
Privileged Access Service.
If you're not using the latest Server Suite agents, this fix requires that you upgrade to Server Suite 2023.1 (agent 6.0.1) or later.  *  If you cannot upgrade to Release 2023.1 (agent version 6.0.1) or later, you can choose one of the following versions:
  *  Server Suite release 2023.0.5 (agent version 6.0.0-158)
  *  Server Suite release 2022.1.10 (ag</t>
        </is>
      </c>
      <c r="D338" s="191" t="n">
        <v>5</v>
      </c>
      <c r="E338" s="191" t="inlineStr">
        <is>
          <t>MEDIUM</t>
        </is>
      </c>
      <c r="F338" s="191" t="n">
        <v>2</v>
      </c>
      <c r="G338" s="191" t="n">
        <v>2</v>
      </c>
      <c r="H338" s="191" t="inlineStr">
        <is>
          <t>MEDIUM</t>
        </is>
      </c>
      <c r="I338" s="191" t="n">
        <v>9</v>
      </c>
      <c r="J338" s="191" t="inlineStr">
        <is>
          <t>NO</t>
        </is>
      </c>
      <c r="K338" s="192" t="inlineStr">
        <is>
          <t>https://nvd.nist.gov/vuln/detail/CVE-2025-12811</t>
        </is>
      </c>
      <c r="L338" s="191" t="inlineStr">
        <is>
          <t>2026-02-23 23:48</t>
        </is>
      </c>
      <c r="M338" s="191" t="inlineStr">
        <is>
          <t>CHECK_VENDOR</t>
        </is>
      </c>
      <c r="N338" s="191" t="inlineStr">
        <is>
          <t>See NVD references</t>
        </is>
      </c>
      <c r="O338" s="191" t="inlineStr">
        <is>
          <t>Apply vendor patches</t>
        </is>
      </c>
      <c r="P338" s="191" t="inlineStr">
        <is>
          <t>See CVE details</t>
        </is>
      </c>
      <c r="Q338" s="191" t="inlineStr">
        <is>
          <t>P4</t>
        </is>
      </c>
      <c r="R338" s="191" t="inlineStr">
        <is>
          <t>📅 Schedule patch deployment within 30 days | 🔍 Monitor for exploitation attempts</t>
        </is>
      </c>
      <c r="S338" s="191" t="inlineStr">
        <is>
          <t>CVE - IP enrichment n/a</t>
        </is>
      </c>
      <c r="T338" s="191" t="n">
        <v>0</v>
      </c>
      <c r="U338" s="191" t="n">
        <v>0</v>
      </c>
      <c r="V338" s="191" t="inlineStr">
        <is>
          <t>T1190:Exploit Public-Facing Application</t>
        </is>
      </c>
      <c r="W338" s="191" t="n">
        <v>1</v>
      </c>
      <c r="X338" s="191" t="inlineStr">
        <is>
          <t>LOW (40%)</t>
        </is>
      </c>
      <c r="Y338" s="191" t="inlineStr">
        <is>
          <t>UNLIKELY</t>
        </is>
      </c>
      <c r="Z338" s="191" t="inlineStr">
        <is>
          <t>CHECK_VENDOR</t>
        </is>
      </c>
      <c r="AA338" s="192" t="inlineStr">
        <is>
          <t>https://nvd.nist.gov/vuln/detail/CVE-2025-12811</t>
        </is>
      </c>
      <c r="AB338" s="191" t="inlineStr">
        <is>
          <t>NONE</t>
        </is>
      </c>
      <c r="AC338" s="191" t="n">
        <v>0</v>
      </c>
      <c r="AD338" s="191" t="n"/>
    </row>
    <row r="339">
      <c r="A339" s="191" t="inlineStr">
        <is>
          <t>CVE</t>
        </is>
      </c>
      <c r="B339" s="191" t="inlineStr">
        <is>
          <t>CVE-2025-12812</t>
        </is>
      </c>
      <c r="C339" s="191" t="inlineStr">
        <is>
          <t>Improper Neutralization of Special Elements used in an SQL Command
('SQL Injection') in Delinea Inc. Cloud Suite and Privileged Access Service.
Remediation: This issue is fixed in Cloud Suite: 25.1</t>
        </is>
      </c>
      <c r="D339" s="191" t="n">
        <v>5</v>
      </c>
      <c r="E339" s="191" t="inlineStr">
        <is>
          <t>MEDIUM</t>
        </is>
      </c>
      <c r="F339" s="191" t="n">
        <v>2</v>
      </c>
      <c r="G339" s="191" t="n">
        <v>2</v>
      </c>
      <c r="H339" s="191" t="inlineStr">
        <is>
          <t>MEDIUM</t>
        </is>
      </c>
      <c r="I339" s="191" t="n">
        <v>9</v>
      </c>
      <c r="J339" s="191" t="inlineStr">
        <is>
          <t>NO</t>
        </is>
      </c>
      <c r="K339" s="192" t="inlineStr">
        <is>
          <t>https://nvd.nist.gov/vuln/detail/CVE-2025-12812</t>
        </is>
      </c>
      <c r="L339" s="191" t="inlineStr">
        <is>
          <t>2026-02-23 23:48</t>
        </is>
      </c>
      <c r="M339" s="191" t="inlineStr">
        <is>
          <t>CHECK_VENDOR</t>
        </is>
      </c>
      <c r="N339" s="191" t="inlineStr">
        <is>
          <t>See NVD references</t>
        </is>
      </c>
      <c r="O339" s="191" t="inlineStr">
        <is>
          <t>Apply vendor patches</t>
        </is>
      </c>
      <c r="P339" s="191" t="inlineStr">
        <is>
          <t>See CVE details</t>
        </is>
      </c>
      <c r="Q339" s="191" t="inlineStr">
        <is>
          <t>P4</t>
        </is>
      </c>
      <c r="R339" s="191" t="inlineStr">
        <is>
          <t>📅 Schedule patch deployment within 30 days | 🔍 Monitor for exploitation attempts</t>
        </is>
      </c>
      <c r="S339" s="191" t="inlineStr">
        <is>
          <t>CVE - IP enrichment n/a</t>
        </is>
      </c>
      <c r="T339" s="191" t="n">
        <v>0</v>
      </c>
      <c r="U339" s="191" t="n">
        <v>0</v>
      </c>
      <c r="V339" s="191" t="inlineStr">
        <is>
          <t>T1190:Exploit Public-Facing Application</t>
        </is>
      </c>
      <c r="W339" s="191" t="n">
        <v>1</v>
      </c>
      <c r="X339" s="191" t="inlineStr">
        <is>
          <t>LOW (40%)</t>
        </is>
      </c>
      <c r="Y339" s="191" t="inlineStr">
        <is>
          <t>UNLIKELY</t>
        </is>
      </c>
      <c r="Z339" s="191" t="inlineStr">
        <is>
          <t>CHECK_VENDOR</t>
        </is>
      </c>
      <c r="AA339" s="192" t="inlineStr">
        <is>
          <t>https://nvd.nist.gov/vuln/detail/CVE-2025-12812</t>
        </is>
      </c>
      <c r="AB339" s="191" t="inlineStr">
        <is>
          <t>NONE</t>
        </is>
      </c>
      <c r="AC339" s="191" t="n">
        <v>0</v>
      </c>
      <c r="AD339" s="191" t="n"/>
    </row>
    <row r="340">
      <c r="A340" s="191" t="inlineStr">
        <is>
          <t>CVE</t>
        </is>
      </c>
      <c r="B340" s="191" t="inlineStr">
        <is>
          <t>CVE-2025-15581</t>
        </is>
      </c>
      <c r="C340" s="191" t="inlineStr">
        <is>
          <t>Orthanc versions before 1.12.10 are affected by an authorisation logic flaw in the application's HTTP Basic Authentication implementation. 
Successful exploitation could result in Privilege Escalation, potentially allowing full administrative access.</t>
        </is>
      </c>
      <c r="D340" s="191" t="n">
        <v>5</v>
      </c>
      <c r="E340" s="191" t="inlineStr">
        <is>
          <t>MEDIUM</t>
        </is>
      </c>
      <c r="F340" s="191" t="n">
        <v>2</v>
      </c>
      <c r="G340" s="191" t="n">
        <v>2</v>
      </c>
      <c r="H340" s="191" t="inlineStr">
        <is>
          <t>MEDIUM</t>
        </is>
      </c>
      <c r="I340" s="191" t="n">
        <v>9</v>
      </c>
      <c r="J340" s="191" t="inlineStr">
        <is>
          <t>NO</t>
        </is>
      </c>
      <c r="K340" s="192" t="inlineStr">
        <is>
          <t>https://nvd.nist.gov/vuln/detail/CVE-2025-15581</t>
        </is>
      </c>
      <c r="L340" s="191" t="inlineStr">
        <is>
          <t>2026-02-23 23:48</t>
        </is>
      </c>
      <c r="M340" s="191" t="inlineStr">
        <is>
          <t>CHECK_VENDOR</t>
        </is>
      </c>
      <c r="N340" s="191" t="inlineStr">
        <is>
          <t>See NVD references</t>
        </is>
      </c>
      <c r="O340" s="191" t="inlineStr">
        <is>
          <t>Apply vendor patches</t>
        </is>
      </c>
      <c r="P340" s="191" t="inlineStr">
        <is>
          <t>See CVE details</t>
        </is>
      </c>
      <c r="Q340" s="191" t="inlineStr">
        <is>
          <t>P4</t>
        </is>
      </c>
      <c r="R340" s="191" t="inlineStr">
        <is>
          <t>📅 Schedule patch deployment within 30 days | 🔍 Monitor for exploitation attempts</t>
        </is>
      </c>
      <c r="S340" s="191" t="inlineStr">
        <is>
          <t>CVE - IP enrichment n/a</t>
        </is>
      </c>
      <c r="T340" s="191" t="n">
        <v>0</v>
      </c>
      <c r="U340" s="191" t="n">
        <v>0</v>
      </c>
      <c r="V340" s="191" t="inlineStr">
        <is>
          <t>T1078:Valid Accounts | T1110:Brute Force | T1068:Exploitation for Privilege Escalation</t>
        </is>
      </c>
      <c r="W340" s="191" t="n">
        <v>1</v>
      </c>
      <c r="X340" s="191" t="inlineStr">
        <is>
          <t>LOW (40%)</t>
        </is>
      </c>
      <c r="Y340" s="191" t="inlineStr">
        <is>
          <t>UNLIKELY</t>
        </is>
      </c>
      <c r="Z340" s="191" t="inlineStr">
        <is>
          <t>CHECK_VENDOR</t>
        </is>
      </c>
      <c r="AA340" s="192" t="inlineStr">
        <is>
          <t>https://nvd.nist.gov/vuln/detail/CVE-2025-15581</t>
        </is>
      </c>
      <c r="AB340" s="191" t="inlineStr">
        <is>
          <t>NONE</t>
        </is>
      </c>
      <c r="AC340" s="191" t="n">
        <v>0</v>
      </c>
      <c r="AD340" s="191" t="n"/>
    </row>
    <row r="341">
      <c r="A341" s="191" t="inlineStr">
        <is>
          <t>CVE</t>
        </is>
      </c>
      <c r="B341" s="191" t="inlineStr">
        <is>
          <t>CVE-2026-24745</t>
        </is>
      </c>
      <c r="C341" s="191" t="inlineStr">
        <is>
          <t>InvoicePlane is a self-hosted open source application for managing invoices, clients, and payments. A Stored Cross-Site Scripting (XSS) vulnerability occurs in the upload Login Logo functions of InvoicePlane version 1.7.0. In the Upload Login Logo, the application allows uploading svg files. Although administrator privileges are required to exploit it, this is still considered a critical vulnerability as it can cause actions such as unauthorized modification of application data, creation of pers</t>
        </is>
      </c>
      <c r="D341" s="191" t="n">
        <v>5.7</v>
      </c>
      <c r="E341" s="191" t="inlineStr">
        <is>
          <t>MEDIUM</t>
        </is>
      </c>
      <c r="F341" s="191" t="n">
        <v>2</v>
      </c>
      <c r="G341" s="191" t="n">
        <v>2</v>
      </c>
      <c r="H341" s="191" t="inlineStr">
        <is>
          <t>MEDIUM</t>
        </is>
      </c>
      <c r="I341" s="191" t="n">
        <v>9.699999999999999</v>
      </c>
      <c r="J341" s="191" t="inlineStr">
        <is>
          <t>NO</t>
        </is>
      </c>
      <c r="K341" s="192" t="inlineStr">
        <is>
          <t>https://nvd.nist.gov/vuln/detail/CVE-2026-24745</t>
        </is>
      </c>
      <c r="L341" s="191" t="inlineStr">
        <is>
          <t>2026-02-23 23:48</t>
        </is>
      </c>
      <c r="M341" s="191" t="inlineStr">
        <is>
          <t>YES</t>
        </is>
      </c>
      <c r="N341" s="192" t="inlineStr">
        <is>
          <t>https://github.com/InvoicePlane/InvoicePlane/commit/93622f2df88a860d89bfee56012cabb2942061d6 | https://github.com/InvoicePlane/InvoicePlane/security/advisories/GHSA-r9rq-f946-6x54</t>
        </is>
      </c>
      <c r="O341" s="192" t="inlineStr">
        <is>
          <t>https://github.com/InvoicePlane/InvoicePlane/security/advisories/GHSA-r9rq-f946-6x54</t>
        </is>
      </c>
      <c r="P341" s="191" t="inlineStr">
        <is>
          <t>invoiceplane invoiceplane 1.7.0</t>
        </is>
      </c>
      <c r="Q341" s="191" t="inlineStr">
        <is>
          <t>P4</t>
        </is>
      </c>
      <c r="R341" s="191" t="inlineStr">
        <is>
          <t>📅 Schedule patch deployment within 30 days | 🔍 Monitor for exploitation attempts</t>
        </is>
      </c>
      <c r="S341" s="191" t="inlineStr">
        <is>
          <t>CVE - IP enrichment n/a</t>
        </is>
      </c>
      <c r="T341" s="191" t="n">
        <v>0</v>
      </c>
      <c r="U341" s="191" t="n">
        <v>0</v>
      </c>
      <c r="V341" s="191" t="inlineStr">
        <is>
          <t>T1189:Drive-by Compromise | T1190:Exploit Public-Facing Application | T1543:Create or Modify System Process</t>
        </is>
      </c>
      <c r="W341" s="191" t="n">
        <v>1</v>
      </c>
      <c r="X341" s="191" t="inlineStr">
        <is>
          <t>LOW (40%)</t>
        </is>
      </c>
      <c r="Y341" s="191" t="inlineStr">
        <is>
          <t>UNLIKELY</t>
        </is>
      </c>
      <c r="Z341" s="191" t="inlineStr">
        <is>
          <t>PATCH_AVAILABLE</t>
        </is>
      </c>
      <c r="AA341" s="192" t="inlineStr">
        <is>
          <t>https://nvd.nist.gov/vuln/detail/CVE-2026-24745</t>
        </is>
      </c>
      <c r="AB341" s="191" t="inlineStr">
        <is>
          <t>NONE</t>
        </is>
      </c>
      <c r="AC341" s="191" t="n">
        <v>0</v>
      </c>
      <c r="AD341" s="191" t="n"/>
    </row>
    <row r="342">
      <c r="A342" s="193" t="inlineStr">
        <is>
          <t>CVE</t>
        </is>
      </c>
      <c r="B342" s="193" t="inlineStr">
        <is>
          <t>CVE-2026-25548</t>
        </is>
      </c>
      <c r="C342" s="193" t="inlineStr">
        <is>
          <t>InvoicePlane is a self-hosted open source application for managing invoices, clients, and payments. A critical Remote Code Execution (RCE) vulnerability exists in InvoicePlane 1.7.0 through a chained Local File Inclusion (LFI) and Log Poisoning attack. An authenticated administrator can execute arbitrary system commands on the server by manipulating the `public_invoice_template` setting to include poisoned log files containing PHP code. Version 1.7.1 patches the issue.</t>
        </is>
      </c>
      <c r="D342" s="193" t="n">
        <v>9.1</v>
      </c>
      <c r="E342" s="193" t="inlineStr">
        <is>
          <t>CRITICAL</t>
        </is>
      </c>
      <c r="F342" s="193" t="n">
        <v>2</v>
      </c>
      <c r="G342" s="193" t="n">
        <v>3</v>
      </c>
      <c r="H342" s="193" t="inlineStr">
        <is>
          <t>HIGH</t>
        </is>
      </c>
      <c r="I342" s="193" t="n">
        <v>15.1</v>
      </c>
      <c r="J342" s="193" t="inlineStr">
        <is>
          <t>NO</t>
        </is>
      </c>
      <c r="K342" s="194" t="inlineStr">
        <is>
          <t>https://nvd.nist.gov/vuln/detail/CVE-2026-25548</t>
        </is>
      </c>
      <c r="L342" s="193" t="inlineStr">
        <is>
          <t>2026-02-23 23:48</t>
        </is>
      </c>
      <c r="M342" s="193" t="inlineStr">
        <is>
          <t>YES</t>
        </is>
      </c>
      <c r="N342" s="194" t="inlineStr">
        <is>
          <t>https://github.com/InvoicePlane/InvoicePlane/commit/93622f2df88a860d89bfee56012cabb2942061d6 | https://github.com/InvoicePlane/InvoicePlane/security/advisories/GHSA-g6rw-m9mf-33ch</t>
        </is>
      </c>
      <c r="O342" s="193" t="inlineStr">
        <is>
          <t>Apply vendor patches</t>
        </is>
      </c>
      <c r="P342" s="193" t="inlineStr">
        <is>
          <t>invoiceplane invoiceplane *</t>
        </is>
      </c>
      <c r="Q342" s="193" t="inlineStr">
        <is>
          <t>P3</t>
        </is>
      </c>
      <c r="R342" s="193" t="inlineStr">
        <is>
          <t>🚨 URGENT: Apply vendor patches immediately | 🔒 Isolate affected systems if patch unavailable | 🛡️ Enable additional monitoring/IDS rules</t>
        </is>
      </c>
      <c r="S342" s="193" t="inlineStr">
        <is>
          <t>CVE - IP enrichment n/a</t>
        </is>
      </c>
      <c r="T342" s="193" t="n">
        <v>0</v>
      </c>
      <c r="U342" s="193" t="n">
        <v>0</v>
      </c>
      <c r="V342" s="193" t="inlineStr">
        <is>
          <t>T1059:Command and Scripting Interpreter | T1190:Exploit Public-Facing Application | T1210:Exploitation of Remote Services</t>
        </is>
      </c>
      <c r="W342" s="193" t="n">
        <v>1</v>
      </c>
      <c r="X342" s="193" t="inlineStr">
        <is>
          <t>LOW (40%)</t>
        </is>
      </c>
      <c r="Y342" s="193" t="inlineStr">
        <is>
          <t>UNLIKELY</t>
        </is>
      </c>
      <c r="Z342" s="193" t="inlineStr">
        <is>
          <t>PATCH_AVAILABLE</t>
        </is>
      </c>
      <c r="AA342" s="194" t="inlineStr">
        <is>
          <t>https://nvd.nist.gov/vuln/detail/CVE-2026-25548</t>
        </is>
      </c>
      <c r="AB342" s="193" t="inlineStr">
        <is>
          <t>NONE</t>
        </is>
      </c>
      <c r="AC342" s="193" t="n">
        <v>0</v>
      </c>
      <c r="AD342" s="193" t="n"/>
    </row>
    <row r="343">
      <c r="A343" s="191" t="inlineStr">
        <is>
          <t>CVE</t>
        </is>
      </c>
      <c r="B343" s="191" t="inlineStr">
        <is>
          <t>CVE-2026-25594</t>
        </is>
      </c>
      <c r="C343" s="191" t="inlineStr">
        <is>
          <t>InvoicePlane is a self-hosted open source application for managing invoices, clients, and payments. A Stored Cross-Site Scripting (XSS) vulnerability exists in InvoicePlane 1.7.0 via the Family Name field. The `family_name` value is rendered without HTML encoding inside the family dropdown on the product form. When an administrator creates a family with a malicious name, the payload executes in the browser of any administrator who visits the product form. Version 1.7.1 patches the issue.</t>
        </is>
      </c>
      <c r="D343" s="191" t="n">
        <v>4.8</v>
      </c>
      <c r="E343" s="191" t="inlineStr">
        <is>
          <t>MEDIUM</t>
        </is>
      </c>
      <c r="F343" s="191" t="n">
        <v>2</v>
      </c>
      <c r="G343" s="191" t="n">
        <v>2</v>
      </c>
      <c r="H343" s="191" t="inlineStr">
        <is>
          <t>MEDIUM</t>
        </is>
      </c>
      <c r="I343" s="191" t="n">
        <v>8.800000000000001</v>
      </c>
      <c r="J343" s="191" t="inlineStr">
        <is>
          <t>NO</t>
        </is>
      </c>
      <c r="K343" s="192" t="inlineStr">
        <is>
          <t>https://nvd.nist.gov/vuln/detail/CVE-2026-25594</t>
        </is>
      </c>
      <c r="L343" s="191" t="inlineStr">
        <is>
          <t>2026-02-23 23:48</t>
        </is>
      </c>
      <c r="M343" s="191" t="inlineStr">
        <is>
          <t>YES</t>
        </is>
      </c>
      <c r="N343" s="192" t="inlineStr">
        <is>
          <t>https://github.com/InvoicePlane/InvoicePlane/commit/93622f2df88a860d89bfee56012cabb2942061d6 | https://github.com/InvoicePlane/InvoicePlane/security/advisories/GHSA-wrr7-2f27-8h94</t>
        </is>
      </c>
      <c r="O343" s="191" t="inlineStr">
        <is>
          <t>Apply vendor patches</t>
        </is>
      </c>
      <c r="P343" s="191" t="inlineStr">
        <is>
          <t>invoiceplane invoiceplane *</t>
        </is>
      </c>
      <c r="Q343" s="191" t="inlineStr">
        <is>
          <t>P4</t>
        </is>
      </c>
      <c r="R343" s="191" t="inlineStr">
        <is>
          <t>📅 Schedule patch deployment within 30 days | 🔍 Monitor for exploitation attempts</t>
        </is>
      </c>
      <c r="S343" s="191" t="inlineStr">
        <is>
          <t>CVE - IP enrichment n/a</t>
        </is>
      </c>
      <c r="T343" s="191" t="n">
        <v>0</v>
      </c>
      <c r="U343" s="191" t="n">
        <v>0</v>
      </c>
      <c r="V343" s="191" t="inlineStr">
        <is>
          <t>T1189:Drive-by Compromise | T1190:Exploit Public-Facing Application</t>
        </is>
      </c>
      <c r="W343" s="191" t="n">
        <v>1</v>
      </c>
      <c r="X343" s="191" t="inlineStr">
        <is>
          <t>LOW (40%)</t>
        </is>
      </c>
      <c r="Y343" s="191" t="inlineStr">
        <is>
          <t>UNLIKELY</t>
        </is>
      </c>
      <c r="Z343" s="191" t="inlineStr">
        <is>
          <t>PATCH_AVAILABLE</t>
        </is>
      </c>
      <c r="AA343" s="192" t="inlineStr">
        <is>
          <t>https://nvd.nist.gov/vuln/detail/CVE-2026-25594</t>
        </is>
      </c>
      <c r="AB343" s="191" t="inlineStr">
        <is>
          <t>NONE</t>
        </is>
      </c>
      <c r="AC343" s="191" t="n">
        <v>0</v>
      </c>
      <c r="AD343" s="191" t="n"/>
    </row>
    <row r="344">
      <c r="A344" s="191" t="inlineStr">
        <is>
          <t>CVE</t>
        </is>
      </c>
      <c r="B344" s="191" t="inlineStr">
        <is>
          <t>CVE-2026-25595</t>
        </is>
      </c>
      <c r="C344" s="191" t="inlineStr">
        <is>
          <t>InvoicePlane is a self-hosted open source application for managing invoices, clients, and payments. A Stored Cross-Site Scripting (XSS) vulnerability exists in InvoicePlane 1.7.0 via the Invoice Number field. An authenticated administrator can inject malicious JavaScript that executes when any administrator views the affected invoice or visits the dashboard. Version 1.7.1 patches the issue.</t>
        </is>
      </c>
      <c r="D344" s="191" t="n">
        <v>4.8</v>
      </c>
      <c r="E344" s="191" t="inlineStr">
        <is>
          <t>MEDIUM</t>
        </is>
      </c>
      <c r="F344" s="191" t="n">
        <v>2</v>
      </c>
      <c r="G344" s="191" t="n">
        <v>2</v>
      </c>
      <c r="H344" s="191" t="inlineStr">
        <is>
          <t>MEDIUM</t>
        </is>
      </c>
      <c r="I344" s="191" t="n">
        <v>8.800000000000001</v>
      </c>
      <c r="J344" s="191" t="inlineStr">
        <is>
          <t>NO</t>
        </is>
      </c>
      <c r="K344" s="192" t="inlineStr">
        <is>
          <t>https://nvd.nist.gov/vuln/detail/CVE-2026-25595</t>
        </is>
      </c>
      <c r="L344" s="191" t="inlineStr">
        <is>
          <t>2026-02-23 23:48</t>
        </is>
      </c>
      <c r="M344" s="191" t="inlineStr">
        <is>
          <t>YES</t>
        </is>
      </c>
      <c r="N344" s="192" t="inlineStr">
        <is>
          <t>https://github.com/InvoicePlane/InvoicePlane/commit/93622f2df88a860d89bfee56012cabb2942061d6 | https://github.com/InvoicePlane/InvoicePlane/security/advisories/GHSA-xxvr-2564-6jg6</t>
        </is>
      </c>
      <c r="O344" s="191" t="inlineStr">
        <is>
          <t>Apply vendor patches</t>
        </is>
      </c>
      <c r="P344" s="191" t="inlineStr">
        <is>
          <t>invoiceplane invoiceplane *</t>
        </is>
      </c>
      <c r="Q344" s="191" t="inlineStr">
        <is>
          <t>P4</t>
        </is>
      </c>
      <c r="R344" s="191" t="inlineStr">
        <is>
          <t>📅 Schedule patch deployment within 30 days | 🔍 Monitor for exploitation attempts</t>
        </is>
      </c>
      <c r="S344" s="191" t="inlineStr">
        <is>
          <t>CVE - IP enrichment n/a</t>
        </is>
      </c>
      <c r="T344" s="191" t="n">
        <v>0</v>
      </c>
      <c r="U344" s="191" t="n">
        <v>0</v>
      </c>
      <c r="V344" s="191" t="inlineStr">
        <is>
          <t>T1189:Drive-by Compromise | T1190:Exploit Public-Facing Application</t>
        </is>
      </c>
      <c r="W344" s="191" t="n">
        <v>1</v>
      </c>
      <c r="X344" s="191" t="inlineStr">
        <is>
          <t>LOW (40%)</t>
        </is>
      </c>
      <c r="Y344" s="191" t="inlineStr">
        <is>
          <t>UNLIKELY</t>
        </is>
      </c>
      <c r="Z344" s="191" t="inlineStr">
        <is>
          <t>PATCH_AVAILABLE</t>
        </is>
      </c>
      <c r="AA344" s="192" t="inlineStr">
        <is>
          <t>https://nvd.nist.gov/vuln/detail/CVE-2026-25595</t>
        </is>
      </c>
      <c r="AB344" s="191" t="inlineStr">
        <is>
          <t>NONE</t>
        </is>
      </c>
      <c r="AC344" s="191" t="n">
        <v>0</v>
      </c>
      <c r="AD344" s="191" t="n"/>
    </row>
    <row r="345">
      <c r="A345" s="191" t="inlineStr">
        <is>
          <t>CVE</t>
        </is>
      </c>
      <c r="B345" s="191" t="inlineStr">
        <is>
          <t>CVE-2026-25596</t>
        </is>
      </c>
      <c r="C345" s="191" t="inlineStr">
        <is>
          <t>InvoicePlane is a self-hosted open source application for managing invoices, clients, and payments. A Stored Cross-Site Scripting (XSS) vulnerability exists in InvoicePlane 1.7.0 via the Product Unit Name fields. An authenticated administrator can inject malicious JavaScript that executes when any administrator views an invoice containing a product with the malicious unit. Version 1.7.1 patches the issue.</t>
        </is>
      </c>
      <c r="D345" s="191" t="n">
        <v>4.8</v>
      </c>
      <c r="E345" s="191" t="inlineStr">
        <is>
          <t>MEDIUM</t>
        </is>
      </c>
      <c r="F345" s="191" t="n">
        <v>2</v>
      </c>
      <c r="G345" s="191" t="n">
        <v>2</v>
      </c>
      <c r="H345" s="191" t="inlineStr">
        <is>
          <t>MEDIUM</t>
        </is>
      </c>
      <c r="I345" s="191" t="n">
        <v>8.800000000000001</v>
      </c>
      <c r="J345" s="191" t="inlineStr">
        <is>
          <t>NO</t>
        </is>
      </c>
      <c r="K345" s="192" t="inlineStr">
        <is>
          <t>https://nvd.nist.gov/vuln/detail/CVE-2026-25596</t>
        </is>
      </c>
      <c r="L345" s="191" t="inlineStr">
        <is>
          <t>2026-02-23 23:48</t>
        </is>
      </c>
      <c r="M345" s="191" t="inlineStr">
        <is>
          <t>YES</t>
        </is>
      </c>
      <c r="N345" s="192" t="inlineStr">
        <is>
          <t>https://github.com/InvoicePlane/InvoicePlane/commit/93622f2df88a860d89bfee56012cabb2942061d6 | https://github.com/InvoicePlane/InvoicePlane/security/advisories/GHSA-3wjq-822q-98f4</t>
        </is>
      </c>
      <c r="O345" s="191" t="inlineStr">
        <is>
          <t>Apply vendor patches</t>
        </is>
      </c>
      <c r="P345" s="191" t="inlineStr">
        <is>
          <t>invoiceplane invoiceplane *</t>
        </is>
      </c>
      <c r="Q345" s="191" t="inlineStr">
        <is>
          <t>P4</t>
        </is>
      </c>
      <c r="R345" s="191" t="inlineStr">
        <is>
          <t>📅 Schedule patch deployment within 30 days | 🔍 Monitor for exploitation attempts</t>
        </is>
      </c>
      <c r="S345" s="191" t="inlineStr">
        <is>
          <t>CVE - IP enrichment n/a</t>
        </is>
      </c>
      <c r="T345" s="191" t="n">
        <v>0.0001</v>
      </c>
      <c r="U345" s="191" t="n">
        <v>0.0074</v>
      </c>
      <c r="V345" s="191" t="inlineStr">
        <is>
          <t>T1189:Drive-by Compromise | T1190:Exploit Public-Facing Application</t>
        </is>
      </c>
      <c r="W345" s="191" t="n">
        <v>1</v>
      </c>
      <c r="X345" s="191" t="inlineStr">
        <is>
          <t>LOW (40%)</t>
        </is>
      </c>
      <c r="Y345" s="191" t="inlineStr">
        <is>
          <t>UNLIKELY</t>
        </is>
      </c>
      <c r="Z345" s="191" t="inlineStr">
        <is>
          <t>PATCH_AVAILABLE</t>
        </is>
      </c>
      <c r="AA345" s="192" t="inlineStr">
        <is>
          <t>https://nvd.nist.gov/vuln/detail/CVE-2026-25596</t>
        </is>
      </c>
      <c r="AB345" s="191" t="inlineStr">
        <is>
          <t>NONE</t>
        </is>
      </c>
      <c r="AC345" s="191" t="n">
        <v>0</v>
      </c>
      <c r="AD345" s="191" t="n"/>
    </row>
    <row r="346">
      <c r="A346" s="191" t="inlineStr">
        <is>
          <t>CVE</t>
        </is>
      </c>
      <c r="B346" s="191" t="inlineStr">
        <is>
          <t>CVE-2026-26270</t>
        </is>
      </c>
      <c r="C346" s="191" t="inlineStr">
        <is>
          <t>InvoicePlane is a self-hosted open source application for managing invoices, clients, and payments. A Stored Cross-Site Scripting (XSS) vulnerability exists in InvoicePlane (latest version) that allows an authenticated user with permissions to manage Invoice Groups to inject malicious JavaScript into the "Identifier Format" field. This script executes when any user views the invoice list or the main dashboard. Version 1.7.1 patches the issue.</t>
        </is>
      </c>
      <c r="D346" s="191" t="n">
        <v>5.4</v>
      </c>
      <c r="E346" s="191" t="inlineStr">
        <is>
          <t>MEDIUM</t>
        </is>
      </c>
      <c r="F346" s="191" t="n">
        <v>2</v>
      </c>
      <c r="G346" s="191" t="n">
        <v>2</v>
      </c>
      <c r="H346" s="191" t="inlineStr">
        <is>
          <t>MEDIUM</t>
        </is>
      </c>
      <c r="I346" s="191" t="n">
        <v>9.4</v>
      </c>
      <c r="J346" s="191" t="inlineStr">
        <is>
          <t>NO</t>
        </is>
      </c>
      <c r="K346" s="192" t="inlineStr">
        <is>
          <t>https://nvd.nist.gov/vuln/detail/CVE-2026-26270</t>
        </is>
      </c>
      <c r="L346" s="191" t="inlineStr">
        <is>
          <t>2026-02-23 23:48</t>
        </is>
      </c>
      <c r="M346" s="191" t="inlineStr">
        <is>
          <t>YES</t>
        </is>
      </c>
      <c r="N346" s="192" t="inlineStr">
        <is>
          <t>https://github.com/InvoicePlane/InvoicePlane/commit/93622f2df88a860d89bfee56012cabb2942061d6 | https://github.com/InvoicePlane/InvoicePlane/security/advisories/GHSA-432m-jv69-qp5j</t>
        </is>
      </c>
      <c r="O346" s="191" t="inlineStr">
        <is>
          <t>Apply vendor patches</t>
        </is>
      </c>
      <c r="P346" s="191" t="inlineStr">
        <is>
          <t>invoiceplane invoiceplane 1.7.0</t>
        </is>
      </c>
      <c r="Q346" s="191" t="inlineStr">
        <is>
          <t>P4</t>
        </is>
      </c>
      <c r="R346" s="191" t="inlineStr">
        <is>
          <t>📅 Schedule patch deployment within 30 days | 🔍 Monitor for exploitation attempts</t>
        </is>
      </c>
      <c r="S346" s="191" t="inlineStr">
        <is>
          <t>CVE - IP enrichment n/a</t>
        </is>
      </c>
      <c r="T346" s="191" t="n">
        <v>0</v>
      </c>
      <c r="U346" s="191" t="n">
        <v>0</v>
      </c>
      <c r="V346" s="191" t="inlineStr">
        <is>
          <t>T1189:Drive-by Compromise | T1190:Exploit Public-Facing Application</t>
        </is>
      </c>
      <c r="W346" s="191" t="n">
        <v>1</v>
      </c>
      <c r="X346" s="191" t="inlineStr">
        <is>
          <t>LOW (40%)</t>
        </is>
      </c>
      <c r="Y346" s="191" t="inlineStr">
        <is>
          <t>UNLIKELY</t>
        </is>
      </c>
      <c r="Z346" s="191" t="inlineStr">
        <is>
          <t>PATCH_AVAILABLE</t>
        </is>
      </c>
      <c r="AA346" s="192" t="inlineStr">
        <is>
          <t>https://nvd.nist.gov/vuln/detail/CVE-2026-26270</t>
        </is>
      </c>
      <c r="AB346" s="191" t="inlineStr">
        <is>
          <t>NONE</t>
        </is>
      </c>
      <c r="AC346" s="191" t="n">
        <v>0</v>
      </c>
      <c r="AD346" s="191" t="n"/>
    </row>
    <row r="347">
      <c r="A347" s="191" t="inlineStr">
        <is>
          <t>CVE</t>
        </is>
      </c>
      <c r="B347" s="191" t="inlineStr">
        <is>
          <t>CVE-2026-26281</t>
        </is>
      </c>
      <c r="C347" s="191" t="inlineStr">
        <is>
          <t>InvoicePlane is a self-hosted open source application for managing invoices, clients, and payments. A stored cross-site scripting (XSS) vulnerability in the Sumex invoice view allows an authenticated user with client and invoice management privileges to execute arbitrary JavaScript in the browser of any user viewing the invoice. This can lead to session hijacking, data theft, or other malicious actions on behalf of the victim user. Version 1.7.1 patches the issue.</t>
        </is>
      </c>
      <c r="D347" s="191" t="n">
        <v>4.4</v>
      </c>
      <c r="E347" s="191" t="inlineStr">
        <is>
          <t>MEDIUM</t>
        </is>
      </c>
      <c r="F347" s="191" t="n">
        <v>2</v>
      </c>
      <c r="G347" s="191" t="n">
        <v>2</v>
      </c>
      <c r="H347" s="191" t="inlineStr">
        <is>
          <t>MEDIUM</t>
        </is>
      </c>
      <c r="I347" s="191" t="n">
        <v>8.4</v>
      </c>
      <c r="J347" s="191" t="inlineStr">
        <is>
          <t>NO</t>
        </is>
      </c>
      <c r="K347" s="192" t="inlineStr">
        <is>
          <t>https://nvd.nist.gov/vuln/detail/CVE-2026-26281</t>
        </is>
      </c>
      <c r="L347" s="191" t="inlineStr">
        <is>
          <t>2026-02-23 23:48</t>
        </is>
      </c>
      <c r="M347" s="191" t="inlineStr">
        <is>
          <t>YES</t>
        </is>
      </c>
      <c r="N347" s="192" t="inlineStr">
        <is>
          <t>https://github.com/InvoicePlane/InvoicePlane/commit/93622f2df88a860d89bfee56012cabb2942061d6 | https://github.com/InvoicePlane/InvoicePlane/security/advisories/GHSA-ccpx-2v5c-cc24</t>
        </is>
      </c>
      <c r="O347" s="191" t="inlineStr">
        <is>
          <t>Apply vendor patches</t>
        </is>
      </c>
      <c r="P347" s="191" t="inlineStr">
        <is>
          <t>invoiceplane invoiceplane 1.7.0</t>
        </is>
      </c>
      <c r="Q347" s="191" t="inlineStr">
        <is>
          <t>P4</t>
        </is>
      </c>
      <c r="R347" s="191" t="inlineStr">
        <is>
          <t>📅 Schedule patch deployment within 30 days | 🔍 Monitor for exploitation attempts</t>
        </is>
      </c>
      <c r="S347" s="191" t="inlineStr">
        <is>
          <t>CVE - IP enrichment n/a</t>
        </is>
      </c>
      <c r="T347" s="191" t="n">
        <v>0.0001</v>
      </c>
      <c r="U347" s="191" t="n">
        <v>0.0089</v>
      </c>
      <c r="V347" s="191" t="inlineStr">
        <is>
          <t>T1189:Drive-by Compromise | T1190:Exploit Public-Facing Application</t>
        </is>
      </c>
      <c r="W347" s="191" t="n">
        <v>1</v>
      </c>
      <c r="X347" s="191" t="inlineStr">
        <is>
          <t>LOW (40%)</t>
        </is>
      </c>
      <c r="Y347" s="191" t="inlineStr">
        <is>
          <t>UNLIKELY</t>
        </is>
      </c>
      <c r="Z347" s="191" t="inlineStr">
        <is>
          <t>PATCH_AVAILABLE</t>
        </is>
      </c>
      <c r="AA347" s="192" t="inlineStr">
        <is>
          <t>https://nvd.nist.gov/vuln/detail/CVE-2026-26281</t>
        </is>
      </c>
      <c r="AB347" s="191" t="inlineStr">
        <is>
          <t>NONE</t>
        </is>
      </c>
      <c r="AC347" s="191" t="n">
        <v>0</v>
      </c>
      <c r="AD347" s="191" t="n"/>
    </row>
    <row r="348">
      <c r="A348" s="191" t="inlineStr">
        <is>
          <t>CVE</t>
        </is>
      </c>
      <c r="B348" s="191" t="inlineStr">
        <is>
          <t>CVE-2026-2676</t>
        </is>
      </c>
      <c r="C348" s="191" t="inlineStr">
        <is>
          <t>A weakness has been identified in GoogTech sms-ssm up to e8534c766fd13f5f94c01dab475d75f286918a8d. Affected by this issue is the function preHandle of the file LoginInterceptor.java of the component API Interface. Executing a manipulation can lead to improper authorization. The attack may be performed from remote. The exploit has been made available to the public and could be used for attacks. This product utilizes a rolling release system for continuous delivery, and as such, version informatio</t>
        </is>
      </c>
      <c r="D348" s="191" t="n">
        <v>6.3</v>
      </c>
      <c r="E348" s="191" t="inlineStr">
        <is>
          <t>MEDIUM</t>
        </is>
      </c>
      <c r="F348" s="191" t="n">
        <v>2</v>
      </c>
      <c r="G348" s="191" t="n">
        <v>2</v>
      </c>
      <c r="H348" s="191" t="inlineStr">
        <is>
          <t>MEDIUM</t>
        </is>
      </c>
      <c r="I348" s="191" t="n">
        <v>10.3</v>
      </c>
      <c r="J348" s="191" t="inlineStr">
        <is>
          <t>NO</t>
        </is>
      </c>
      <c r="K348" s="192" t="inlineStr">
        <is>
          <t>https://nvd.nist.gov/vuln/detail/CVE-2026-2676</t>
        </is>
      </c>
      <c r="L348" s="191" t="inlineStr">
        <is>
          <t>2026-02-23 23:48</t>
        </is>
      </c>
      <c r="M348" s="191" t="inlineStr">
        <is>
          <t>CHECK_VENDOR</t>
        </is>
      </c>
      <c r="N348" s="191" t="inlineStr">
        <is>
          <t>See NVD references</t>
        </is>
      </c>
      <c r="O348" s="191" t="inlineStr">
        <is>
          <t>Apply vendor patches</t>
        </is>
      </c>
      <c r="P348" s="191" t="inlineStr">
        <is>
          <t>See CVE details</t>
        </is>
      </c>
      <c r="Q348" s="191" t="inlineStr">
        <is>
          <t>P4</t>
        </is>
      </c>
      <c r="R348" s="191" t="inlineStr">
        <is>
          <t>📅 Schedule patch deployment within 30 days | 🔍 Monitor for exploitation attempts</t>
        </is>
      </c>
      <c r="S348" s="191" t="inlineStr">
        <is>
          <t>CVE - IP enrichment n/a</t>
        </is>
      </c>
      <c r="T348" s="191" t="n">
        <v>0</v>
      </c>
      <c r="U348" s="191" t="n">
        <v>0</v>
      </c>
      <c r="V348" s="191" t="inlineStr">
        <is>
          <t>T1190:Exploit Public-Facing Application</t>
        </is>
      </c>
      <c r="W348" s="191" t="n">
        <v>1</v>
      </c>
      <c r="X348" s="191" t="inlineStr">
        <is>
          <t>LOW (40%)</t>
        </is>
      </c>
      <c r="Y348" s="191" t="inlineStr">
        <is>
          <t>UNLIKELY</t>
        </is>
      </c>
      <c r="Z348" s="191" t="inlineStr">
        <is>
          <t>CHECK_VENDOR</t>
        </is>
      </c>
      <c r="AA348" s="192" t="inlineStr">
        <is>
          <t>https://nvd.nist.gov/vuln/detail/CVE-2026-2676</t>
        </is>
      </c>
      <c r="AB348" s="191" t="inlineStr">
        <is>
          <t>NONE</t>
        </is>
      </c>
      <c r="AC348" s="191" t="n">
        <v>0</v>
      </c>
      <c r="AD348" s="191" t="n"/>
    </row>
    <row r="349">
      <c r="A349" s="191" t="inlineStr">
        <is>
          <t>CVE</t>
        </is>
      </c>
      <c r="B349" s="191" t="inlineStr">
        <is>
          <t>CVE-2026-2682</t>
        </is>
      </c>
      <c r="C349" s="191" t="inlineStr">
        <is>
          <t>A vulnerability has been found in Tsinghua Unigroup Electronic Archives System up to 3.2.210802(62532). Impacted is an unknown function of the file /mine/PublicReport/prinReport.html?token=java. Such manipulation of the argument comid leads to sql injection. The attack can be launched remotely. The exploit has been disclosed to the public and may be used. The vendor was contacted early about this disclosure but did not respond in any way.</t>
        </is>
      </c>
      <c r="D349" s="191" t="n">
        <v>6.3</v>
      </c>
      <c r="E349" s="191" t="inlineStr">
        <is>
          <t>MEDIUM</t>
        </is>
      </c>
      <c r="F349" s="191" t="n">
        <v>2</v>
      </c>
      <c r="G349" s="191" t="n">
        <v>2</v>
      </c>
      <c r="H349" s="191" t="inlineStr">
        <is>
          <t>MEDIUM</t>
        </is>
      </c>
      <c r="I349" s="191" t="n">
        <v>10.3</v>
      </c>
      <c r="J349" s="191" t="inlineStr">
        <is>
          <t>NO</t>
        </is>
      </c>
      <c r="K349" s="192" t="inlineStr">
        <is>
          <t>https://nvd.nist.gov/vuln/detail/CVE-2026-2682</t>
        </is>
      </c>
      <c r="L349" s="191" t="inlineStr">
        <is>
          <t>2026-02-23 23:48</t>
        </is>
      </c>
      <c r="M349" s="191" t="inlineStr">
        <is>
          <t>CHECK_VENDOR</t>
        </is>
      </c>
      <c r="N349" s="191" t="inlineStr">
        <is>
          <t>See NVD references</t>
        </is>
      </c>
      <c r="O349" s="191" t="inlineStr">
        <is>
          <t>Apply vendor patches</t>
        </is>
      </c>
      <c r="P349" s="191" t="inlineStr">
        <is>
          <t>See CVE details</t>
        </is>
      </c>
      <c r="Q349" s="191" t="inlineStr">
        <is>
          <t>P4</t>
        </is>
      </c>
      <c r="R349" s="191" t="inlineStr">
        <is>
          <t>📅 Schedule patch deployment within 30 days | 🔍 Monitor for exploitation attempts</t>
        </is>
      </c>
      <c r="S349" s="191" t="inlineStr">
        <is>
          <t>CVE - IP enrichment n/a</t>
        </is>
      </c>
      <c r="T349" s="191" t="n">
        <v>0</v>
      </c>
      <c r="U349" s="191" t="n">
        <v>0</v>
      </c>
      <c r="V349" s="191" t="inlineStr">
        <is>
          <t>T1190:Exploit Public-Facing Application</t>
        </is>
      </c>
      <c r="W349" s="191" t="n">
        <v>1</v>
      </c>
      <c r="X349" s="191" t="inlineStr">
        <is>
          <t>LOW (40%)</t>
        </is>
      </c>
      <c r="Y349" s="191" t="inlineStr">
        <is>
          <t>UNLIKELY</t>
        </is>
      </c>
      <c r="Z349" s="191" t="inlineStr">
        <is>
          <t>CHECK_VENDOR</t>
        </is>
      </c>
      <c r="AA349" s="192" t="inlineStr">
        <is>
          <t>https://nvd.nist.gov/vuln/detail/CVE-2026-2682</t>
        </is>
      </c>
      <c r="AB349" s="191" t="inlineStr">
        <is>
          <t>NONE</t>
        </is>
      </c>
      <c r="AC349" s="191" t="n">
        <v>0</v>
      </c>
      <c r="AD349" s="191" t="n"/>
    </row>
    <row r="350">
      <c r="A350" s="191" t="inlineStr">
        <is>
          <t>CVE</t>
        </is>
      </c>
      <c r="B350" s="191" t="inlineStr">
        <is>
          <t>CVE-2026-2683</t>
        </is>
      </c>
      <c r="C350" s="191" t="inlineStr">
        <is>
          <t>A vulnerability was found in Tsinghua Unigroup Electronic Archives System 3.2.210802(62532). The affected element is an unknown function of the file /Using/Subject/downLoad.html. Performing a manipulation of the argument path results in path traversal. The attack may be initiated remotely. The exploit has been made public and could be used. The vendor was contacted early about this disclosure but did not respond in any way.</t>
        </is>
      </c>
      <c r="D350" s="191" t="n">
        <v>4.3</v>
      </c>
      <c r="E350" s="191" t="inlineStr">
        <is>
          <t>MEDIUM</t>
        </is>
      </c>
      <c r="F350" s="191" t="n">
        <v>2</v>
      </c>
      <c r="G350" s="191" t="n">
        <v>2</v>
      </c>
      <c r="H350" s="191" t="inlineStr">
        <is>
          <t>MEDIUM</t>
        </is>
      </c>
      <c r="I350" s="191" t="n">
        <v>8.300000000000001</v>
      </c>
      <c r="J350" s="191" t="inlineStr">
        <is>
          <t>NO</t>
        </is>
      </c>
      <c r="K350" s="192" t="inlineStr">
        <is>
          <t>https://nvd.nist.gov/vuln/detail/CVE-2026-2683</t>
        </is>
      </c>
      <c r="L350" s="191" t="inlineStr">
        <is>
          <t>2026-02-23 23:48</t>
        </is>
      </c>
      <c r="M350" s="191" t="inlineStr">
        <is>
          <t>CHECK_VENDOR</t>
        </is>
      </c>
      <c r="N350" s="191" t="inlineStr">
        <is>
          <t>See NVD references</t>
        </is>
      </c>
      <c r="O350" s="191" t="inlineStr">
        <is>
          <t>Apply vendor patches</t>
        </is>
      </c>
      <c r="P350" s="191" t="inlineStr">
        <is>
          <t>See CVE details</t>
        </is>
      </c>
      <c r="Q350" s="191" t="inlineStr">
        <is>
          <t>P4</t>
        </is>
      </c>
      <c r="R350" s="191" t="inlineStr">
        <is>
          <t>📅 Schedule patch deployment within 30 days | 🔍 Monitor for exploitation attempts</t>
        </is>
      </c>
      <c r="S350" s="191" t="inlineStr">
        <is>
          <t>CVE - IP enrichment n/a</t>
        </is>
      </c>
      <c r="T350" s="191" t="n">
        <v>0.0001</v>
      </c>
      <c r="U350" s="191" t="n">
        <v>0.0266</v>
      </c>
      <c r="V350" s="191" t="inlineStr">
        <is>
          <t>T1083:File and Directory Discovery</t>
        </is>
      </c>
      <c r="W350" s="191" t="n">
        <v>1</v>
      </c>
      <c r="X350" s="191" t="inlineStr">
        <is>
          <t>LOW (40%)</t>
        </is>
      </c>
      <c r="Y350" s="191" t="inlineStr">
        <is>
          <t>UNLIKELY</t>
        </is>
      </c>
      <c r="Z350" s="191" t="inlineStr">
        <is>
          <t>CHECK_VENDOR</t>
        </is>
      </c>
      <c r="AA350" s="192" t="inlineStr">
        <is>
          <t>https://nvd.nist.gov/vuln/detail/CVE-2026-2683</t>
        </is>
      </c>
      <c r="AB350" s="191" t="inlineStr">
        <is>
          <t>NONE</t>
        </is>
      </c>
      <c r="AC350" s="191" t="n">
        <v>0</v>
      </c>
      <c r="AD350" s="191" t="n"/>
    </row>
    <row r="351">
      <c r="A351" s="191" t="inlineStr">
        <is>
          <t>CVE</t>
        </is>
      </c>
      <c r="B351" s="191" t="inlineStr">
        <is>
          <t>CVE-2025-15585</t>
        </is>
      </c>
      <c r="C351" s="191" t="inlineStr">
        <is>
          <t>Fileflows versions before 25.05.2 are affected by an authenticated SQL injection vulnerability in the library-file search function. Successful exploitation requires the system to use MySQL as the underlying database and could result in privilege escalation or data exfiltration.</t>
        </is>
      </c>
      <c r="D351" s="191" t="n">
        <v>5</v>
      </c>
      <c r="E351" s="191" t="inlineStr">
        <is>
          <t>MEDIUM</t>
        </is>
      </c>
      <c r="F351" s="191" t="n">
        <v>2</v>
      </c>
      <c r="G351" s="191" t="n">
        <v>2</v>
      </c>
      <c r="H351" s="191" t="inlineStr">
        <is>
          <t>MEDIUM</t>
        </is>
      </c>
      <c r="I351" s="191" t="n">
        <v>9</v>
      </c>
      <c r="J351" s="191" t="inlineStr">
        <is>
          <t>NO</t>
        </is>
      </c>
      <c r="K351" s="192" t="inlineStr">
        <is>
          <t>https://nvd.nist.gov/vuln/detail/CVE-2025-15585</t>
        </is>
      </c>
      <c r="L351" s="191" t="inlineStr">
        <is>
          <t>2026-02-23 23:48</t>
        </is>
      </c>
      <c r="M351" s="191" t="inlineStr">
        <is>
          <t>CHECK_VENDOR</t>
        </is>
      </c>
      <c r="N351" s="191" t="inlineStr">
        <is>
          <t>See NVD references</t>
        </is>
      </c>
      <c r="O351" s="191" t="inlineStr">
        <is>
          <t>Apply vendor patches</t>
        </is>
      </c>
      <c r="P351" s="191" t="inlineStr">
        <is>
          <t>See CVE details</t>
        </is>
      </c>
      <c r="Q351" s="191" t="inlineStr">
        <is>
          <t>P4</t>
        </is>
      </c>
      <c r="R351" s="191" t="inlineStr">
        <is>
          <t>📅 Schedule patch deployment within 30 days | 🔍 Monitor for exploitation attempts</t>
        </is>
      </c>
      <c r="S351" s="191" t="inlineStr">
        <is>
          <t>CVE - IP enrichment n/a</t>
        </is>
      </c>
      <c r="T351" s="191" t="n">
        <v>0</v>
      </c>
      <c r="U351" s="191" t="n">
        <v>0</v>
      </c>
      <c r="V351" s="191" t="inlineStr">
        <is>
          <t>T1190:Exploit Public-Facing Application | T1068:Exploitation for Privilege Escalation | T1041:Exfiltration Over C2 Channel</t>
        </is>
      </c>
      <c r="W351" s="191" t="n">
        <v>1</v>
      </c>
      <c r="X351" s="191" t="inlineStr">
        <is>
          <t>LOW (40%)</t>
        </is>
      </c>
      <c r="Y351" s="191" t="inlineStr">
        <is>
          <t>UNLIKELY</t>
        </is>
      </c>
      <c r="Z351" s="191" t="inlineStr">
        <is>
          <t>CHECK_VENDOR</t>
        </is>
      </c>
      <c r="AA351" s="192" t="inlineStr">
        <is>
          <t>https://nvd.nist.gov/vuln/detail/CVE-2025-15585</t>
        </is>
      </c>
      <c r="AB351" s="191" t="inlineStr">
        <is>
          <t>NONE</t>
        </is>
      </c>
      <c r="AC351" s="191" t="n">
        <v>0</v>
      </c>
      <c r="AD351" s="191" t="n"/>
    </row>
    <row r="352">
      <c r="A352" s="191" t="inlineStr">
        <is>
          <t>CVE</t>
        </is>
      </c>
      <c r="B352" s="191" t="inlineStr">
        <is>
          <t>CVE-2026-24126</t>
        </is>
      </c>
      <c r="C352" s="191" t="inlineStr">
        <is>
          <t>Weblate is a web based localization tool. Prior to 5.16.0, the SSH management console did not validate the passed input while adding the SSH host key, which could lead to an argument injection to `ssh-add`. Version 5.16.0 fixes the issue. As a workaround, properly limit access to the management console.</t>
        </is>
      </c>
      <c r="D352" s="191" t="n">
        <v>6.6</v>
      </c>
      <c r="E352" s="191" t="inlineStr">
        <is>
          <t>MEDIUM</t>
        </is>
      </c>
      <c r="F352" s="191" t="n">
        <v>2</v>
      </c>
      <c r="G352" s="191" t="n">
        <v>2</v>
      </c>
      <c r="H352" s="191" t="inlineStr">
        <is>
          <t>MEDIUM</t>
        </is>
      </c>
      <c r="I352" s="191" t="n">
        <v>10.6</v>
      </c>
      <c r="J352" s="191" t="inlineStr">
        <is>
          <t>NO</t>
        </is>
      </c>
      <c r="K352" s="192" t="inlineStr">
        <is>
          <t>https://nvd.nist.gov/vuln/detail/CVE-2026-24126</t>
        </is>
      </c>
      <c r="L352" s="191" t="inlineStr">
        <is>
          <t>2026-02-23 23:48</t>
        </is>
      </c>
      <c r="M352" s="191" t="inlineStr">
        <is>
          <t>YES</t>
        </is>
      </c>
      <c r="N352" s="192" t="inlineStr">
        <is>
          <t>https://github.com/WeblateOrg/weblate/commit/78773cc141ce0a97900c11341e6cf856451395fd | https://github.com/WeblateOrg/weblate/security/advisories/GHSA-33fm-6gp7-4p47</t>
        </is>
      </c>
      <c r="O352" s="191" t="inlineStr">
        <is>
          <t>Apply vendor patches</t>
        </is>
      </c>
      <c r="P352" s="191" t="inlineStr">
        <is>
          <t>weblate weblate *</t>
        </is>
      </c>
      <c r="Q352" s="191" t="inlineStr">
        <is>
          <t>P4</t>
        </is>
      </c>
      <c r="R352" s="191" t="inlineStr">
        <is>
          <t>📅 Schedule patch deployment within 30 days | 🔍 Monitor for exploitation attempts</t>
        </is>
      </c>
      <c r="S352" s="191" t="inlineStr">
        <is>
          <t>CVE - IP enrichment n/a</t>
        </is>
      </c>
      <c r="T352" s="191" t="n">
        <v>0.0001</v>
      </c>
      <c r="U352" s="191" t="n">
        <v>0.0202</v>
      </c>
      <c r="V352" s="191" t="inlineStr">
        <is>
          <t>T1190:Exploit Public-Facing Application</t>
        </is>
      </c>
      <c r="W352" s="191" t="n">
        <v>1</v>
      </c>
      <c r="X352" s="191" t="inlineStr">
        <is>
          <t>LOW (40%)</t>
        </is>
      </c>
      <c r="Y352" s="191" t="inlineStr">
        <is>
          <t>UNLIKELY</t>
        </is>
      </c>
      <c r="Z352" s="191" t="inlineStr">
        <is>
          <t>PATCH_AVAILABLE</t>
        </is>
      </c>
      <c r="AA352" s="192" t="inlineStr">
        <is>
          <t>https://nvd.nist.gov/vuln/detail/CVE-2026-24126</t>
        </is>
      </c>
      <c r="AB352" s="191" t="inlineStr">
        <is>
          <t>NONE</t>
        </is>
      </c>
      <c r="AC352" s="191" t="n">
        <v>0</v>
      </c>
      <c r="AD352" s="191" t="n"/>
    </row>
    <row r="353">
      <c r="A353" s="189" t="inlineStr">
        <is>
          <t>CVE</t>
        </is>
      </c>
      <c r="B353" s="189" t="inlineStr">
        <is>
          <t>CVE-2026-25926</t>
        </is>
      </c>
      <c r="C353" s="189" t="inlineStr">
        <is>
          <t>Notepad++ is a free and open-source source code editor. An Unsafe Search Path vulnerability (CWE-426) exists in versions prior to 8.9.2 when launching Windows Explorer without an absolute executable path. This may allow execution of a malicious explorer.exe if an attacker can control the process working directory. Under certain conditions, this could lead to arbitrary code execution in the context of the running application. Version 8.9.2 patches the issue.</t>
        </is>
      </c>
      <c r="D353" s="189" t="n">
        <v>7.3</v>
      </c>
      <c r="E353" s="189" t="inlineStr">
        <is>
          <t>HIGH</t>
        </is>
      </c>
      <c r="F353" s="189" t="n">
        <v>2</v>
      </c>
      <c r="G353" s="189" t="n">
        <v>3</v>
      </c>
      <c r="H353" s="189" t="inlineStr">
        <is>
          <t>HIGH</t>
        </is>
      </c>
      <c r="I353" s="189" t="n">
        <v>13.3</v>
      </c>
      <c r="J353" s="189" t="inlineStr">
        <is>
          <t>NO</t>
        </is>
      </c>
      <c r="K353" s="190" t="inlineStr">
        <is>
          <t>https://nvd.nist.gov/vuln/detail/CVE-2026-25926</t>
        </is>
      </c>
      <c r="L353" s="189" t="inlineStr">
        <is>
          <t>2026-02-23 23:48</t>
        </is>
      </c>
      <c r="M353" s="189" t="inlineStr">
        <is>
          <t>YES</t>
        </is>
      </c>
      <c r="N353" s="190" t="inlineStr">
        <is>
          <t>https://github.com/notepad-plus-plus/notepad-plus-plus/security/advisories/GHSA-rjvm-fcxw-2jxq</t>
        </is>
      </c>
      <c r="O353" s="189" t="inlineStr">
        <is>
          <t>Apply vendor patches</t>
        </is>
      </c>
      <c r="P353" s="189" t="inlineStr">
        <is>
          <t>notepad-plus-plus notepad\+\+ *</t>
        </is>
      </c>
      <c r="Q353" s="189" t="inlineStr">
        <is>
          <t>P3</t>
        </is>
      </c>
      <c r="R353" s="189" t="inlineStr">
        <is>
          <t>🚨 URGENT: Apply vendor patches immediately | 🔒 Isolate affected systems if patch unavailable | 🛡️ Enable additional monitoring/IDS rules</t>
        </is>
      </c>
      <c r="S353" s="189" t="inlineStr">
        <is>
          <t>CVE - IP enrichment n/a</t>
        </is>
      </c>
      <c r="T353" s="189" t="n">
        <v>0</v>
      </c>
      <c r="U353" s="189" t="n">
        <v>0</v>
      </c>
      <c r="V353" s="189" t="inlineStr">
        <is>
          <t>T1190:Exploit Public-Facing Application | T1203:Exploitation for Client Execution</t>
        </is>
      </c>
      <c r="W353" s="189" t="n">
        <v>1</v>
      </c>
      <c r="X353" s="189" t="inlineStr">
        <is>
          <t>LOW (40%)</t>
        </is>
      </c>
      <c r="Y353" s="189" t="inlineStr">
        <is>
          <t>UNLIKELY</t>
        </is>
      </c>
      <c r="Z353" s="189" t="inlineStr">
        <is>
          <t>PATCH_AVAILABLE</t>
        </is>
      </c>
      <c r="AA353" s="190" t="inlineStr">
        <is>
          <t>https://nvd.nist.gov/vuln/detail/CVE-2026-25926</t>
        </is>
      </c>
      <c r="AB353" s="189" t="inlineStr">
        <is>
          <t>NONE</t>
        </is>
      </c>
      <c r="AC353" s="189" t="n">
        <v>0</v>
      </c>
      <c r="AD353" s="189" t="n"/>
    </row>
    <row r="354">
      <c r="A354" s="189" t="inlineStr">
        <is>
          <t>CVE</t>
        </is>
      </c>
      <c r="B354" s="189" t="inlineStr">
        <is>
          <t>CVE-2026-2684</t>
        </is>
      </c>
      <c r="C354" s="189" t="inlineStr">
        <is>
          <t>A vulnerability was determined in Tsinghua Unigroup Electronic Archives System up to 3.2.210802(62532). The impacted element is an unknown function of the file /Archive/ErecordManage/uploadFile.html. Executing a manipulation of the argument File can lead to unrestricted upload. The attack may be launched remotely. The exploit has been publicly disclosed and may be utilized. The vendor was contacted early about this disclosure but did not respond in any way.</t>
        </is>
      </c>
      <c r="D354" s="189" t="n">
        <v>7.3</v>
      </c>
      <c r="E354" s="189" t="inlineStr">
        <is>
          <t>HIGH</t>
        </is>
      </c>
      <c r="F354" s="189" t="n">
        <v>2</v>
      </c>
      <c r="G354" s="189" t="n">
        <v>3</v>
      </c>
      <c r="H354" s="189" t="inlineStr">
        <is>
          <t>HIGH</t>
        </is>
      </c>
      <c r="I354" s="189" t="n">
        <v>13.3</v>
      </c>
      <c r="J354" s="189" t="inlineStr">
        <is>
          <t>NO</t>
        </is>
      </c>
      <c r="K354" s="190" t="inlineStr">
        <is>
          <t>https://nvd.nist.gov/vuln/detail/CVE-2026-2684</t>
        </is>
      </c>
      <c r="L354" s="189" t="inlineStr">
        <is>
          <t>2026-02-23 23:48</t>
        </is>
      </c>
      <c r="M354" s="189" t="inlineStr">
        <is>
          <t>CHECK_VENDOR</t>
        </is>
      </c>
      <c r="N354" s="189" t="inlineStr">
        <is>
          <t>See NVD references</t>
        </is>
      </c>
      <c r="O354" s="189" t="inlineStr">
        <is>
          <t>Apply vendor patches</t>
        </is>
      </c>
      <c r="P354" s="189" t="inlineStr">
        <is>
          <t>See CVE details</t>
        </is>
      </c>
      <c r="Q354" s="189" t="inlineStr">
        <is>
          <t>P3</t>
        </is>
      </c>
      <c r="R354" s="189" t="inlineStr">
        <is>
          <t>🚨 URGENT: Apply vendor patches immediately | 🔒 Isolate affected systems if patch unavailable | 🛡️ Enable additional monitoring/IDS rules</t>
        </is>
      </c>
      <c r="S354" s="189" t="inlineStr">
        <is>
          <t>CVE - IP enrichment n/a</t>
        </is>
      </c>
      <c r="T354" s="189" t="n">
        <v>0</v>
      </c>
      <c r="U354" s="189" t="n">
        <v>0</v>
      </c>
      <c r="V354" s="189" t="inlineStr">
        <is>
          <t>T1190:Exploit Public-Facing Application</t>
        </is>
      </c>
      <c r="W354" s="189" t="n">
        <v>1</v>
      </c>
      <c r="X354" s="189" t="inlineStr">
        <is>
          <t>LOW (40%)</t>
        </is>
      </c>
      <c r="Y354" s="189" t="inlineStr">
        <is>
          <t>UNLIKELY</t>
        </is>
      </c>
      <c r="Z354" s="189" t="inlineStr">
        <is>
          <t>CHECK_VENDOR</t>
        </is>
      </c>
      <c r="AA354" s="190" t="inlineStr">
        <is>
          <t>https://nvd.nist.gov/vuln/detail/CVE-2026-2684</t>
        </is>
      </c>
      <c r="AB354" s="189" t="inlineStr">
        <is>
          <t>NONE</t>
        </is>
      </c>
      <c r="AC354" s="189" t="n">
        <v>0</v>
      </c>
      <c r="AD354" s="189" t="n"/>
    </row>
    <row r="355">
      <c r="A355" s="193" t="inlineStr">
        <is>
          <t>CVE</t>
        </is>
      </c>
      <c r="B355" s="193" t="inlineStr">
        <is>
          <t>CVE-2026-2686</t>
        </is>
      </c>
      <c r="C355" s="193" t="inlineStr">
        <is>
          <t>A security vulnerability has been detected in SECCN Dingcheng G10 3.1.0.181203. This impacts the function qq of the file /cgi-bin/session_login.cgi. The manipulation of the argument User leads to os command injection. The attack is possible to be carried out remotely. The exploit has been disclosed publicly and may be used.</t>
        </is>
      </c>
      <c r="D355" s="193" t="n">
        <v>9.800000000000001</v>
      </c>
      <c r="E355" s="193" t="inlineStr">
        <is>
          <t>CRITICAL</t>
        </is>
      </c>
      <c r="F355" s="193" t="n">
        <v>2</v>
      </c>
      <c r="G355" s="193" t="n">
        <v>3</v>
      </c>
      <c r="H355" s="193" t="inlineStr">
        <is>
          <t>HIGH</t>
        </is>
      </c>
      <c r="I355" s="193" t="n">
        <v>15.8</v>
      </c>
      <c r="J355" s="193" t="inlineStr">
        <is>
          <t>NO</t>
        </is>
      </c>
      <c r="K355" s="194" t="inlineStr">
        <is>
          <t>https://nvd.nist.gov/vuln/detail/CVE-2026-2686</t>
        </is>
      </c>
      <c r="L355" s="193" t="inlineStr">
        <is>
          <t>2026-02-23 23:48</t>
        </is>
      </c>
      <c r="M355" s="193" t="inlineStr">
        <is>
          <t>CHECK_VENDOR</t>
        </is>
      </c>
      <c r="N355" s="193" t="inlineStr">
        <is>
          <t>See NVD references</t>
        </is>
      </c>
      <c r="O355" s="193" t="inlineStr">
        <is>
          <t>Apply vendor patches</t>
        </is>
      </c>
      <c r="P355" s="193" t="inlineStr">
        <is>
          <t>See CVE details</t>
        </is>
      </c>
      <c r="Q355" s="193" t="inlineStr">
        <is>
          <t>P3</t>
        </is>
      </c>
      <c r="R355" s="193" t="inlineStr">
        <is>
          <t>🚨 URGENT: Apply vendor patches immediately | 🔒 Isolate affected systems if patch unavailable | 🛡️ Enable additional monitoring/IDS rules</t>
        </is>
      </c>
      <c r="S355" s="193" t="inlineStr">
        <is>
          <t>CVE - IP enrichment n/a</t>
        </is>
      </c>
      <c r="T355" s="193" t="n">
        <v>0.0015</v>
      </c>
      <c r="U355" s="193" t="n">
        <v>0.3601</v>
      </c>
      <c r="V355" s="193" t="inlineStr">
        <is>
          <t>T1059:Command and Scripting Interpreter</t>
        </is>
      </c>
      <c r="W355" s="193" t="n">
        <v>1</v>
      </c>
      <c r="X355" s="193" t="inlineStr">
        <is>
          <t>LOW (40%)</t>
        </is>
      </c>
      <c r="Y355" s="193" t="inlineStr">
        <is>
          <t>UNLIKELY</t>
        </is>
      </c>
      <c r="Z355" s="193" t="inlineStr">
        <is>
          <t>CHECK_VENDOR</t>
        </is>
      </c>
      <c r="AA355" s="194" t="inlineStr">
        <is>
          <t>https://nvd.nist.gov/vuln/detail/CVE-2026-2686</t>
        </is>
      </c>
      <c r="AB355" s="193" t="inlineStr">
        <is>
          <t>NONE</t>
        </is>
      </c>
      <c r="AC355" s="193" t="n">
        <v>0</v>
      </c>
      <c r="AD355" s="193" t="n"/>
    </row>
    <row r="356">
      <c r="A356" s="191" t="inlineStr">
        <is>
          <t>CVE</t>
        </is>
      </c>
      <c r="B356" s="191" t="inlineStr">
        <is>
          <t>CVE-2025-11706</t>
        </is>
      </c>
      <c r="C356" s="191" t="inlineStr">
        <is>
          <t>The Aruba HiSpeed Cache plugin for WordPress is vulnerable to Reflected Cross-Site Scripting via the dbstatus parameter in all versions up to, and including, 3.0.2 due to insufficient input sanitization and output escaping. This makes it possible for unauthenticated attackers to inject arbitrary web scripts in pages that execute if they can successfully trick a user into performing an action such as clicking on a link.</t>
        </is>
      </c>
      <c r="D356" s="191" t="n">
        <v>6.1</v>
      </c>
      <c r="E356" s="191" t="inlineStr">
        <is>
          <t>MEDIUM</t>
        </is>
      </c>
      <c r="F356" s="191" t="n">
        <v>2</v>
      </c>
      <c r="G356" s="191" t="n">
        <v>2</v>
      </c>
      <c r="H356" s="191" t="inlineStr">
        <is>
          <t>MEDIUM</t>
        </is>
      </c>
      <c r="I356" s="191" t="n">
        <v>10.1</v>
      </c>
      <c r="J356" s="191" t="inlineStr">
        <is>
          <t>NO</t>
        </is>
      </c>
      <c r="K356" s="192" t="inlineStr">
        <is>
          <t>https://nvd.nist.gov/vuln/detail/CVE-2025-11706</t>
        </is>
      </c>
      <c r="L356" s="191" t="inlineStr">
        <is>
          <t>2026-02-23 23:48</t>
        </is>
      </c>
      <c r="M356" s="191" t="inlineStr">
        <is>
          <t>CHECK_VENDOR</t>
        </is>
      </c>
      <c r="N356" s="191" t="inlineStr">
        <is>
          <t>See NVD references</t>
        </is>
      </c>
      <c r="O356" s="191" t="inlineStr">
        <is>
          <t>Apply vendor patches</t>
        </is>
      </c>
      <c r="P356" s="191" t="inlineStr">
        <is>
          <t>See CVE details</t>
        </is>
      </c>
      <c r="Q356" s="191" t="inlineStr">
        <is>
          <t>P4</t>
        </is>
      </c>
      <c r="R356" s="191" t="inlineStr">
        <is>
          <t>📅 Schedule patch deployment within 30 days | 🔍 Monitor for exploitation attempts</t>
        </is>
      </c>
      <c r="S356" s="191" t="inlineStr">
        <is>
          <t>CVE - IP enrichment n/a</t>
        </is>
      </c>
      <c r="T356" s="191" t="n">
        <v>0</v>
      </c>
      <c r="U356" s="191" t="n">
        <v>0</v>
      </c>
      <c r="V356" s="191" t="inlineStr">
        <is>
          <t>T1189:Drive-by Compromise</t>
        </is>
      </c>
      <c r="W356" s="191" t="n">
        <v>1</v>
      </c>
      <c r="X356" s="191" t="inlineStr">
        <is>
          <t>LOW (40%)</t>
        </is>
      </c>
      <c r="Y356" s="191" t="inlineStr">
        <is>
          <t>UNLIKELY</t>
        </is>
      </c>
      <c r="Z356" s="191" t="inlineStr">
        <is>
          <t>CHECK_VENDOR</t>
        </is>
      </c>
      <c r="AA356" s="192" t="inlineStr">
        <is>
          <t>https://nvd.nist.gov/vuln/detail/CVE-2025-11706</t>
        </is>
      </c>
      <c r="AB356" s="191" t="inlineStr">
        <is>
          <t>NONE</t>
        </is>
      </c>
      <c r="AC356" s="191" t="n">
        <v>0</v>
      </c>
      <c r="AD356" s="191" t="n"/>
    </row>
    <row r="357">
      <c r="A357" s="191" t="inlineStr">
        <is>
          <t>CVE</t>
        </is>
      </c>
      <c r="B357" s="191" t="inlineStr">
        <is>
          <t>CVE-2025-11725</t>
        </is>
      </c>
      <c r="C357" s="191" t="inlineStr">
        <is>
          <t>The Aruba HiSpeed Cache plugin for WordPress is vulnerable to unauthorized modification of data due to a missing capability checks on the multiple functions in all versions up to, and including, 3.0.2. This makes it possible for unauthenticated attackers to modify plugin's configuration settings, enable or disable features, as well as enable/disable WordPress cron jobs or debug mode</t>
        </is>
      </c>
      <c r="D357" s="191" t="n">
        <v>6.5</v>
      </c>
      <c r="E357" s="191" t="inlineStr">
        <is>
          <t>MEDIUM</t>
        </is>
      </c>
      <c r="F357" s="191" t="n">
        <v>2</v>
      </c>
      <c r="G357" s="191" t="n">
        <v>2</v>
      </c>
      <c r="H357" s="191" t="inlineStr">
        <is>
          <t>MEDIUM</t>
        </is>
      </c>
      <c r="I357" s="191" t="n">
        <v>10.5</v>
      </c>
      <c r="J357" s="191" t="inlineStr">
        <is>
          <t>NO</t>
        </is>
      </c>
      <c r="K357" s="192" t="inlineStr">
        <is>
          <t>https://nvd.nist.gov/vuln/detail/CVE-2025-11725</t>
        </is>
      </c>
      <c r="L357" s="191" t="inlineStr">
        <is>
          <t>2026-02-23 23:48</t>
        </is>
      </c>
      <c r="M357" s="191" t="inlineStr">
        <is>
          <t>CHECK_VENDOR</t>
        </is>
      </c>
      <c r="N357" s="191" t="inlineStr">
        <is>
          <t>See NVD references</t>
        </is>
      </c>
      <c r="O357" s="191" t="inlineStr">
        <is>
          <t>Apply vendor patches</t>
        </is>
      </c>
      <c r="P357" s="191" t="inlineStr">
        <is>
          <t>See CVE details</t>
        </is>
      </c>
      <c r="Q357" s="191" t="inlineStr">
        <is>
          <t>P4</t>
        </is>
      </c>
      <c r="R357" s="191" t="inlineStr">
        <is>
          <t>📅 Schedule patch deployment within 30 days | 🔍 Monitor for exploitation attempts</t>
        </is>
      </c>
      <c r="S357" s="191" t="inlineStr">
        <is>
          <t>CVE - IP enrichment n/a</t>
        </is>
      </c>
      <c r="T357" s="191" t="n">
        <v>0</v>
      </c>
      <c r="U357" s="191" t="n">
        <v>0</v>
      </c>
      <c r="V357" s="191" t="inlineStr">
        <is>
          <t>T1190:Exploit Public-Facing Application</t>
        </is>
      </c>
      <c r="W357" s="191" t="n">
        <v>1</v>
      </c>
      <c r="X357" s="191" t="inlineStr">
        <is>
          <t>LOW (40%)</t>
        </is>
      </c>
      <c r="Y357" s="191" t="inlineStr">
        <is>
          <t>UNLIKELY</t>
        </is>
      </c>
      <c r="Z357" s="191" t="inlineStr">
        <is>
          <t>CHECK_VENDOR</t>
        </is>
      </c>
      <c r="AA357" s="192" t="inlineStr">
        <is>
          <t>https://nvd.nist.gov/vuln/detail/CVE-2025-11725</t>
        </is>
      </c>
      <c r="AB357" s="191" t="inlineStr">
        <is>
          <t>NONE</t>
        </is>
      </c>
      <c r="AC357" s="191" t="n">
        <v>0</v>
      </c>
      <c r="AD357" s="191" t="n"/>
    </row>
    <row r="358">
      <c r="A358" s="189" t="inlineStr">
        <is>
          <t>CVE</t>
        </is>
      </c>
      <c r="B358" s="189" t="inlineStr">
        <is>
          <t>CVE-2025-11754</t>
        </is>
      </c>
      <c r="C358" s="189" t="inlineStr">
        <is>
          <t>The GDPR Cookie Consent plugin for WordPress is vulnerable to unauthorized access of data due to a missing capability check on the 'gdpr/v1/settings' REST API endpoint in all versions up to, and including, 4.1.2. This makes it possible for unauthenticated attackers to retrieve sensitive plugin settings including API tokens, email addresses, account IDs, and site keys.</t>
        </is>
      </c>
      <c r="D358" s="189" t="n">
        <v>7.5</v>
      </c>
      <c r="E358" s="189" t="inlineStr">
        <is>
          <t>HIGH</t>
        </is>
      </c>
      <c r="F358" s="189" t="n">
        <v>2</v>
      </c>
      <c r="G358" s="189" t="n">
        <v>3</v>
      </c>
      <c r="H358" s="189" t="inlineStr">
        <is>
          <t>HIGH</t>
        </is>
      </c>
      <c r="I358" s="189" t="n">
        <v>13.5</v>
      </c>
      <c r="J358" s="189" t="inlineStr">
        <is>
          <t>NO</t>
        </is>
      </c>
      <c r="K358" s="190" t="inlineStr">
        <is>
          <t>https://nvd.nist.gov/vuln/detail/CVE-2025-11754</t>
        </is>
      </c>
      <c r="L358" s="189" t="inlineStr">
        <is>
          <t>2026-02-23 23:48</t>
        </is>
      </c>
      <c r="M358" s="189" t="inlineStr">
        <is>
          <t>CHECK_VENDOR</t>
        </is>
      </c>
      <c r="N358" s="189" t="inlineStr">
        <is>
          <t>See NVD references</t>
        </is>
      </c>
      <c r="O358" s="189" t="inlineStr">
        <is>
          <t>Apply vendor patches</t>
        </is>
      </c>
      <c r="P358" s="189" t="inlineStr">
        <is>
          <t>See CVE details</t>
        </is>
      </c>
      <c r="Q358" s="189" t="inlineStr">
        <is>
          <t>P3</t>
        </is>
      </c>
      <c r="R358" s="189" t="inlineStr">
        <is>
          <t>🚨 URGENT: Apply vendor patches immediately | 🔒 Isolate affected systems if patch unavailable | 🛡️ Enable additional monitoring/IDS rules</t>
        </is>
      </c>
      <c r="S358" s="189" t="inlineStr">
        <is>
          <t>CVE - IP enrichment n/a</t>
        </is>
      </c>
      <c r="T358" s="189" t="n">
        <v>0.0004</v>
      </c>
      <c r="U358" s="189" t="n">
        <v>0.1205</v>
      </c>
      <c r="V358" s="189" t="inlineStr">
        <is>
          <t>T1190:Exploit Public-Facing Application</t>
        </is>
      </c>
      <c r="W358" s="189" t="n">
        <v>1</v>
      </c>
      <c r="X358" s="189" t="inlineStr">
        <is>
          <t>LOW (40%)</t>
        </is>
      </c>
      <c r="Y358" s="189" t="inlineStr">
        <is>
          <t>UNLIKELY</t>
        </is>
      </c>
      <c r="Z358" s="189" t="inlineStr">
        <is>
          <t>CHECK_VENDOR</t>
        </is>
      </c>
      <c r="AA358" s="190" t="inlineStr">
        <is>
          <t>https://nvd.nist.gov/vuln/detail/CVE-2025-11754</t>
        </is>
      </c>
      <c r="AB358" s="189" t="inlineStr">
        <is>
          <t>NONE</t>
        </is>
      </c>
      <c r="AC358" s="189" t="n">
        <v>0</v>
      </c>
      <c r="AD358" s="189" t="n"/>
    </row>
    <row r="359">
      <c r="A359" s="191" t="inlineStr">
        <is>
          <t>CVE</t>
        </is>
      </c>
      <c r="B359" s="191" t="inlineStr">
        <is>
          <t>CVE-2025-12027</t>
        </is>
      </c>
      <c r="C359" s="191" t="inlineStr">
        <is>
          <t>The Mesmerize Companion plugin for WordPress is vulnerable to unauthorized access and modification of data due to a missing capability check on the "openPageInCustomizer" and "openPageInDefaultEditor" functions in all versions up to, and including, 1.6.158. This makes it possible for authenticated attackers - with subscriber level access and above, on websites with the Mesmerize theme activated -  to mark arbitrary pages as maintainable, wrap their content in custom sections, change page templat</t>
        </is>
      </c>
      <c r="D359" s="191" t="n">
        <v>4.3</v>
      </c>
      <c r="E359" s="191" t="inlineStr">
        <is>
          <t>MEDIUM</t>
        </is>
      </c>
      <c r="F359" s="191" t="n">
        <v>2</v>
      </c>
      <c r="G359" s="191" t="n">
        <v>2</v>
      </c>
      <c r="H359" s="191" t="inlineStr">
        <is>
          <t>MEDIUM</t>
        </is>
      </c>
      <c r="I359" s="191" t="n">
        <v>8.300000000000001</v>
      </c>
      <c r="J359" s="191" t="inlineStr">
        <is>
          <t>NO</t>
        </is>
      </c>
      <c r="K359" s="192" t="inlineStr">
        <is>
          <t>https://nvd.nist.gov/vuln/detail/CVE-2025-12027</t>
        </is>
      </c>
      <c r="L359" s="191" t="inlineStr">
        <is>
          <t>2026-02-23 23:48</t>
        </is>
      </c>
      <c r="M359" s="191" t="inlineStr">
        <is>
          <t>CHECK_VENDOR</t>
        </is>
      </c>
      <c r="N359" s="191" t="inlineStr">
        <is>
          <t>See NVD references</t>
        </is>
      </c>
      <c r="O359" s="191" t="inlineStr">
        <is>
          <t>Apply vendor patches</t>
        </is>
      </c>
      <c r="P359" s="191" t="inlineStr">
        <is>
          <t>See CVE details</t>
        </is>
      </c>
      <c r="Q359" s="191" t="inlineStr">
        <is>
          <t>P4</t>
        </is>
      </c>
      <c r="R359" s="191" t="inlineStr">
        <is>
          <t>📅 Schedule patch deployment within 30 days | 🔍 Monitor for exploitation attempts</t>
        </is>
      </c>
      <c r="S359" s="191" t="inlineStr">
        <is>
          <t>CVE - IP enrichment n/a</t>
        </is>
      </c>
      <c r="T359" s="191" t="n">
        <v>0</v>
      </c>
      <c r="U359" s="191" t="n">
        <v>0</v>
      </c>
      <c r="V359" s="191" t="inlineStr">
        <is>
          <t>T1190:Exploit Public-Facing Application</t>
        </is>
      </c>
      <c r="W359" s="191" t="n">
        <v>1</v>
      </c>
      <c r="X359" s="191" t="inlineStr">
        <is>
          <t>LOW (40%)</t>
        </is>
      </c>
      <c r="Y359" s="191" t="inlineStr">
        <is>
          <t>UNLIKELY</t>
        </is>
      </c>
      <c r="Z359" s="191" t="inlineStr">
        <is>
          <t>CHECK_VENDOR</t>
        </is>
      </c>
      <c r="AA359" s="192" t="inlineStr">
        <is>
          <t>https://nvd.nist.gov/vuln/detail/CVE-2025-12027</t>
        </is>
      </c>
      <c r="AB359" s="191" t="inlineStr">
        <is>
          <t>NONE</t>
        </is>
      </c>
      <c r="AC359" s="191" t="n">
        <v>0</v>
      </c>
      <c r="AD359" s="191" t="n"/>
    </row>
    <row r="360">
      <c r="A360" s="191" t="inlineStr">
        <is>
          <t>CVE</t>
        </is>
      </c>
      <c r="B360" s="191" t="inlineStr">
        <is>
          <t>CVE-2025-12081</t>
        </is>
      </c>
      <c r="C360" s="191" t="inlineStr">
        <is>
          <t>The ACF Photo Gallery Field plugin for WordPress is vulnerable to unauthorized modification of data due to a missing capability check on the "acf_photo_gallery_edit_save" function in all versions up to, and including, 3.0. This makes it possible for authenticated attackers, with subscriber level access and above, to modify the title, caption, and custom metadata of arbitrary media attachments.</t>
        </is>
      </c>
      <c r="D360" s="191" t="n">
        <v>4.3</v>
      </c>
      <c r="E360" s="191" t="inlineStr">
        <is>
          <t>MEDIUM</t>
        </is>
      </c>
      <c r="F360" s="191" t="n">
        <v>2</v>
      </c>
      <c r="G360" s="191" t="n">
        <v>2</v>
      </c>
      <c r="H360" s="191" t="inlineStr">
        <is>
          <t>MEDIUM</t>
        </is>
      </c>
      <c r="I360" s="191" t="n">
        <v>8.300000000000001</v>
      </c>
      <c r="J360" s="191" t="inlineStr">
        <is>
          <t>NO</t>
        </is>
      </c>
      <c r="K360" s="192" t="inlineStr">
        <is>
          <t>https://nvd.nist.gov/vuln/detail/CVE-2025-12081</t>
        </is>
      </c>
      <c r="L360" s="191" t="inlineStr">
        <is>
          <t>2026-02-23 23:48</t>
        </is>
      </c>
      <c r="M360" s="191" t="inlineStr">
        <is>
          <t>CHECK_VENDOR</t>
        </is>
      </c>
      <c r="N360" s="191" t="inlineStr">
        <is>
          <t>See NVD references</t>
        </is>
      </c>
      <c r="O360" s="191" t="inlineStr">
        <is>
          <t>Apply vendor patches</t>
        </is>
      </c>
      <c r="P360" s="191" t="inlineStr">
        <is>
          <t>See CVE details</t>
        </is>
      </c>
      <c r="Q360" s="191" t="inlineStr">
        <is>
          <t>P4</t>
        </is>
      </c>
      <c r="R360" s="191" t="inlineStr">
        <is>
          <t>📅 Schedule patch deployment within 30 days | 🔍 Monitor for exploitation attempts</t>
        </is>
      </c>
      <c r="S360" s="191" t="inlineStr">
        <is>
          <t>CVE - IP enrichment n/a</t>
        </is>
      </c>
      <c r="T360" s="191" t="n">
        <v>0.0003</v>
      </c>
      <c r="U360" s="191" t="n">
        <v>0.07240000000000001</v>
      </c>
      <c r="V360" s="191" t="inlineStr">
        <is>
          <t>T1190:Exploit Public-Facing Application</t>
        </is>
      </c>
      <c r="W360" s="191" t="n">
        <v>1</v>
      </c>
      <c r="X360" s="191" t="inlineStr">
        <is>
          <t>LOW (40%)</t>
        </is>
      </c>
      <c r="Y360" s="191" t="inlineStr">
        <is>
          <t>UNLIKELY</t>
        </is>
      </c>
      <c r="Z360" s="191" t="inlineStr">
        <is>
          <t>CHECK_VENDOR</t>
        </is>
      </c>
      <c r="AA360" s="192" t="inlineStr">
        <is>
          <t>https://nvd.nist.gov/vuln/detail/CVE-2025-12081</t>
        </is>
      </c>
      <c r="AB360" s="191" t="inlineStr">
        <is>
          <t>NONE</t>
        </is>
      </c>
      <c r="AC360" s="191" t="n">
        <v>0</v>
      </c>
      <c r="AD360" s="191" t="n"/>
    </row>
    <row r="361">
      <c r="A361" s="191" t="inlineStr">
        <is>
          <t>CVE</t>
        </is>
      </c>
      <c r="B361" s="191" t="inlineStr">
        <is>
          <t>CVE-2025-12116</t>
        </is>
      </c>
      <c r="C361" s="191" t="inlineStr">
        <is>
          <t>The Drift theme for WordPress is vulnerable to Stored Cross-Site Scripting via the post title in all versions up to, and including, 1.5.0 due to insufficient input sanitization and output escaping. This makes it possible for authenticated attackers, with Contributor-level access and above, to inject arbitrary web scripts in pages that will execute whenever a user accesses an injected page.</t>
        </is>
      </c>
      <c r="D361" s="191" t="n">
        <v>6.4</v>
      </c>
      <c r="E361" s="191" t="inlineStr">
        <is>
          <t>MEDIUM</t>
        </is>
      </c>
      <c r="F361" s="191" t="n">
        <v>2</v>
      </c>
      <c r="G361" s="191" t="n">
        <v>2</v>
      </c>
      <c r="H361" s="191" t="inlineStr">
        <is>
          <t>MEDIUM</t>
        </is>
      </c>
      <c r="I361" s="191" t="n">
        <v>10.4</v>
      </c>
      <c r="J361" s="191" t="inlineStr">
        <is>
          <t>NO</t>
        </is>
      </c>
      <c r="K361" s="192" t="inlineStr">
        <is>
          <t>https://nvd.nist.gov/vuln/detail/CVE-2025-12116</t>
        </is>
      </c>
      <c r="L361" s="191" t="inlineStr">
        <is>
          <t>2026-02-23 23:48</t>
        </is>
      </c>
      <c r="M361" s="191" t="inlineStr">
        <is>
          <t>CHECK_VENDOR</t>
        </is>
      </c>
      <c r="N361" s="191" t="inlineStr">
        <is>
          <t>See NVD references</t>
        </is>
      </c>
      <c r="O361" s="191" t="inlineStr">
        <is>
          <t>Apply vendor patches</t>
        </is>
      </c>
      <c r="P361" s="191" t="inlineStr">
        <is>
          <t>See CVE details</t>
        </is>
      </c>
      <c r="Q361" s="191" t="inlineStr">
        <is>
          <t>P4</t>
        </is>
      </c>
      <c r="R361" s="191" t="inlineStr">
        <is>
          <t>📅 Schedule patch deployment within 30 days | 🔍 Monitor for exploitation attempts</t>
        </is>
      </c>
      <c r="S361" s="191" t="inlineStr">
        <is>
          <t>CVE - IP enrichment n/a</t>
        </is>
      </c>
      <c r="T361" s="191" t="n">
        <v>0</v>
      </c>
      <c r="U361" s="191" t="n">
        <v>0</v>
      </c>
      <c r="V361" s="191" t="inlineStr">
        <is>
          <t>T1189:Drive-by Compromise</t>
        </is>
      </c>
      <c r="W361" s="191" t="n">
        <v>1</v>
      </c>
      <c r="X361" s="191" t="inlineStr">
        <is>
          <t>LOW (40%)</t>
        </is>
      </c>
      <c r="Y361" s="191" t="inlineStr">
        <is>
          <t>UNLIKELY</t>
        </is>
      </c>
      <c r="Z361" s="191" t="inlineStr">
        <is>
          <t>CHECK_VENDOR</t>
        </is>
      </c>
      <c r="AA361" s="192" t="inlineStr">
        <is>
          <t>https://nvd.nist.gov/vuln/detail/CVE-2025-12116</t>
        </is>
      </c>
      <c r="AB361" s="191" t="inlineStr">
        <is>
          <t>NONE</t>
        </is>
      </c>
      <c r="AC361" s="191" t="n">
        <v>0</v>
      </c>
      <c r="AD361" s="191" t="n"/>
    </row>
    <row r="362">
      <c r="A362" s="191" t="inlineStr">
        <is>
          <t>CVE</t>
        </is>
      </c>
      <c r="B362" s="191" t="inlineStr">
        <is>
          <t>CVE-2025-12117</t>
        </is>
      </c>
      <c r="C362" s="191" t="inlineStr">
        <is>
          <t>The Renden theme for WordPress is vulnerable to Stored Cross-Site Scripting via the post title in all versions up to, and including, 1.8.1 due to insufficient input sanitization and output escaping. This makes it possible for authenticated attackers, with Contributor-level access and above, to inject arbitrary web scripts in pages that will execute whenever a user accesses an injected page.</t>
        </is>
      </c>
      <c r="D362" s="191" t="n">
        <v>6.4</v>
      </c>
      <c r="E362" s="191" t="inlineStr">
        <is>
          <t>MEDIUM</t>
        </is>
      </c>
      <c r="F362" s="191" t="n">
        <v>2</v>
      </c>
      <c r="G362" s="191" t="n">
        <v>2</v>
      </c>
      <c r="H362" s="191" t="inlineStr">
        <is>
          <t>MEDIUM</t>
        </is>
      </c>
      <c r="I362" s="191" t="n">
        <v>10.4</v>
      </c>
      <c r="J362" s="191" t="inlineStr">
        <is>
          <t>NO</t>
        </is>
      </c>
      <c r="K362" s="192" t="inlineStr">
        <is>
          <t>https://nvd.nist.gov/vuln/detail/CVE-2025-12117</t>
        </is>
      </c>
      <c r="L362" s="191" t="inlineStr">
        <is>
          <t>2026-02-23 23:48</t>
        </is>
      </c>
      <c r="M362" s="191" t="inlineStr">
        <is>
          <t>CHECK_VENDOR</t>
        </is>
      </c>
      <c r="N362" s="191" t="inlineStr">
        <is>
          <t>See NVD references</t>
        </is>
      </c>
      <c r="O362" s="191" t="inlineStr">
        <is>
          <t>Apply vendor patches</t>
        </is>
      </c>
      <c r="P362" s="191" t="inlineStr">
        <is>
          <t>See CVE details</t>
        </is>
      </c>
      <c r="Q362" s="191" t="inlineStr">
        <is>
          <t>P4</t>
        </is>
      </c>
      <c r="R362" s="191" t="inlineStr">
        <is>
          <t>📅 Schedule patch deployment within 30 days | 🔍 Monitor for exploitation attempts</t>
        </is>
      </c>
      <c r="S362" s="191" t="inlineStr">
        <is>
          <t>CVE - IP enrichment n/a</t>
        </is>
      </c>
      <c r="T362" s="191" t="n">
        <v>0</v>
      </c>
      <c r="U362" s="191" t="n">
        <v>0</v>
      </c>
      <c r="V362" s="191" t="inlineStr">
        <is>
          <t>T1189:Drive-by Compromise</t>
        </is>
      </c>
      <c r="W362" s="191" t="n">
        <v>1</v>
      </c>
      <c r="X362" s="191" t="inlineStr">
        <is>
          <t>LOW (40%)</t>
        </is>
      </c>
      <c r="Y362" s="191" t="inlineStr">
        <is>
          <t>UNLIKELY</t>
        </is>
      </c>
      <c r="Z362" s="191" t="inlineStr">
        <is>
          <t>CHECK_VENDOR</t>
        </is>
      </c>
      <c r="AA362" s="192" t="inlineStr">
        <is>
          <t>https://nvd.nist.gov/vuln/detail/CVE-2025-12117</t>
        </is>
      </c>
      <c r="AB362" s="191" t="inlineStr">
        <is>
          <t>NONE</t>
        </is>
      </c>
      <c r="AC362" s="191" t="n">
        <v>0</v>
      </c>
      <c r="AD362" s="191" t="n"/>
    </row>
    <row r="363">
      <c r="A363" s="191" t="inlineStr">
        <is>
          <t>CVE</t>
        </is>
      </c>
      <c r="B363" s="191" t="inlineStr">
        <is>
          <t>CVE-2025-12172</t>
        </is>
      </c>
      <c r="C363" s="191" t="inlineStr">
        <is>
          <t>The Mailchimp List Subscribe Form plugin for WordPress is vulnerable to Cross-Site Request Forgery in all versions up to, and including, 2.0.0. This is due to missing or incorrect nonce validation on the mailchimp_sf_change_list_if_necessary() function. This makes it possible for unauthenticated attackers to change Mailchimp lists via a forged request granted they can trick a site administrator into performing an action such as clicking on a link.</t>
        </is>
      </c>
      <c r="D363" s="191" t="n">
        <v>4.3</v>
      </c>
      <c r="E363" s="191" t="inlineStr">
        <is>
          <t>MEDIUM</t>
        </is>
      </c>
      <c r="F363" s="191" t="n">
        <v>2</v>
      </c>
      <c r="G363" s="191" t="n">
        <v>2</v>
      </c>
      <c r="H363" s="191" t="inlineStr">
        <is>
          <t>MEDIUM</t>
        </is>
      </c>
      <c r="I363" s="191" t="n">
        <v>8.300000000000001</v>
      </c>
      <c r="J363" s="191" t="inlineStr">
        <is>
          <t>NO</t>
        </is>
      </c>
      <c r="K363" s="192" t="inlineStr">
        <is>
          <t>https://nvd.nist.gov/vuln/detail/CVE-2025-12172</t>
        </is>
      </c>
      <c r="L363" s="191" t="inlineStr">
        <is>
          <t>2026-02-23 23:48</t>
        </is>
      </c>
      <c r="M363" s="191" t="inlineStr">
        <is>
          <t>CHECK_VENDOR</t>
        </is>
      </c>
      <c r="N363" s="191" t="inlineStr">
        <is>
          <t>See NVD references</t>
        </is>
      </c>
      <c r="O363" s="191" t="inlineStr">
        <is>
          <t>Apply vendor patches</t>
        </is>
      </c>
      <c r="P363" s="191" t="inlineStr">
        <is>
          <t>See CVE details</t>
        </is>
      </c>
      <c r="Q363" s="191" t="inlineStr">
        <is>
          <t>P4</t>
        </is>
      </c>
      <c r="R363" s="191" t="inlineStr">
        <is>
          <t>📅 Schedule patch deployment within 30 days | 🔍 Monitor for exploitation attempts</t>
        </is>
      </c>
      <c r="S363" s="191" t="inlineStr">
        <is>
          <t>CVE - IP enrichment n/a</t>
        </is>
      </c>
      <c r="T363" s="191" t="n">
        <v>0</v>
      </c>
      <c r="U363" s="191" t="n">
        <v>0</v>
      </c>
      <c r="V363" s="191" t="inlineStr">
        <is>
          <t>T1185:Browser Session Hijacking</t>
        </is>
      </c>
      <c r="W363" s="191" t="n">
        <v>1</v>
      </c>
      <c r="X363" s="191" t="inlineStr">
        <is>
          <t>LOW (40%)</t>
        </is>
      </c>
      <c r="Y363" s="191" t="inlineStr">
        <is>
          <t>UNLIKELY</t>
        </is>
      </c>
      <c r="Z363" s="191" t="inlineStr">
        <is>
          <t>CHECK_VENDOR</t>
        </is>
      </c>
      <c r="AA363" s="192" t="inlineStr">
        <is>
          <t>https://nvd.nist.gov/vuln/detail/CVE-2025-12172</t>
        </is>
      </c>
      <c r="AB363" s="191" t="inlineStr">
        <is>
          <t>NONE</t>
        </is>
      </c>
      <c r="AC363" s="191" t="n">
        <v>0</v>
      </c>
      <c r="AD363" s="191" t="n"/>
    </row>
    <row r="364">
      <c r="A364" s="191" t="inlineStr">
        <is>
          <t>CVE</t>
        </is>
      </c>
      <c r="B364" s="191" t="inlineStr">
        <is>
          <t>CVE-2025-12375</t>
        </is>
      </c>
      <c r="C364" s="191" t="inlineStr">
        <is>
          <t>The Printful Integration for WooCommerce plugin for WordPress is vulnerable to Server-Side Request Forgery in all versions up to, and including, 2.2.11 via the advanced size chart REST API endpoint. This is due to insufficient validation of user-supplied URLs before passing them to the download_url() function. This makes it possible for authenticated attackers, with Contributor-level access and above, to make web requests to arbitrary locations originating from the web application which can be u</t>
        </is>
      </c>
      <c r="D364" s="191" t="n">
        <v>6.4</v>
      </c>
      <c r="E364" s="191" t="inlineStr">
        <is>
          <t>MEDIUM</t>
        </is>
      </c>
      <c r="F364" s="191" t="n">
        <v>2</v>
      </c>
      <c r="G364" s="191" t="n">
        <v>2</v>
      </c>
      <c r="H364" s="191" t="inlineStr">
        <is>
          <t>MEDIUM</t>
        </is>
      </c>
      <c r="I364" s="191" t="n">
        <v>10.4</v>
      </c>
      <c r="J364" s="191" t="inlineStr">
        <is>
          <t>NO</t>
        </is>
      </c>
      <c r="K364" s="192" t="inlineStr">
        <is>
          <t>https://nvd.nist.gov/vuln/detail/CVE-2025-12375</t>
        </is>
      </c>
      <c r="L364" s="191" t="inlineStr">
        <is>
          <t>2026-02-23 23:48</t>
        </is>
      </c>
      <c r="M364" s="191" t="inlineStr">
        <is>
          <t>CHECK_VENDOR</t>
        </is>
      </c>
      <c r="N364" s="191" t="inlineStr">
        <is>
          <t>See NVD references</t>
        </is>
      </c>
      <c r="O364" s="191" t="inlineStr">
        <is>
          <t>Apply vendor patches</t>
        </is>
      </c>
      <c r="P364" s="191" t="inlineStr">
        <is>
          <t>See CVE details</t>
        </is>
      </c>
      <c r="Q364" s="191" t="inlineStr">
        <is>
          <t>P4</t>
        </is>
      </c>
      <c r="R364" s="191" t="inlineStr">
        <is>
          <t>📅 Schedule patch deployment within 30 days | 🔍 Monitor for exploitation attempts</t>
        </is>
      </c>
      <c r="S364" s="191" t="inlineStr">
        <is>
          <t>CVE - IP enrichment n/a</t>
        </is>
      </c>
      <c r="T364" s="191" t="n">
        <v>0.0003</v>
      </c>
      <c r="U364" s="191" t="n">
        <v>0.0905</v>
      </c>
      <c r="V364" s="191" t="inlineStr">
        <is>
          <t>T1090:Proxy | T1190:Exploit Public-Facing Application</t>
        </is>
      </c>
      <c r="W364" s="191" t="n">
        <v>1</v>
      </c>
      <c r="X364" s="191" t="inlineStr">
        <is>
          <t>LOW (40%)</t>
        </is>
      </c>
      <c r="Y364" s="191" t="inlineStr">
        <is>
          <t>UNLIKELY</t>
        </is>
      </c>
      <c r="Z364" s="191" t="inlineStr">
        <is>
          <t>CHECK_VENDOR</t>
        </is>
      </c>
      <c r="AA364" s="192" t="inlineStr">
        <is>
          <t>https://nvd.nist.gov/vuln/detail/CVE-2025-12375</t>
        </is>
      </c>
      <c r="AB364" s="191" t="inlineStr">
        <is>
          <t>NONE</t>
        </is>
      </c>
      <c r="AC364" s="191" t="n">
        <v>0</v>
      </c>
      <c r="AD364" s="191" t="n"/>
    </row>
    <row r="365">
      <c r="A365" s="191" t="inlineStr">
        <is>
          <t>CVE</t>
        </is>
      </c>
      <c r="B365" s="191" t="inlineStr">
        <is>
          <t>CVE-2025-12448</t>
        </is>
      </c>
      <c r="C365" s="191" t="inlineStr">
        <is>
          <t>The Smartsupp – live chat, AI shopping assistant and chatbots plugin for WordPress is vulnerable to Stored Cross-Site Scripting via the 'code' parameter in all versions up to, and including, 3.9.1 due to insufficient input sanitization and output escaping. This makes it possible for authenticated attackers, with Subscriber-level access and above, to inject arbitrary web scripts in pages that will execute whenever a user accesses an injected page.</t>
        </is>
      </c>
      <c r="D365" s="191" t="n">
        <v>6.4</v>
      </c>
      <c r="E365" s="191" t="inlineStr">
        <is>
          <t>MEDIUM</t>
        </is>
      </c>
      <c r="F365" s="191" t="n">
        <v>2</v>
      </c>
      <c r="G365" s="191" t="n">
        <v>2</v>
      </c>
      <c r="H365" s="191" t="inlineStr">
        <is>
          <t>MEDIUM</t>
        </is>
      </c>
      <c r="I365" s="191" t="n">
        <v>10.4</v>
      </c>
      <c r="J365" s="191" t="inlineStr">
        <is>
          <t>NO</t>
        </is>
      </c>
      <c r="K365" s="192" t="inlineStr">
        <is>
          <t>https://nvd.nist.gov/vuln/detail/CVE-2025-12448</t>
        </is>
      </c>
      <c r="L365" s="191" t="inlineStr">
        <is>
          <t>2026-02-23 23:48</t>
        </is>
      </c>
      <c r="M365" s="191" t="inlineStr">
        <is>
          <t>CHECK_VENDOR</t>
        </is>
      </c>
      <c r="N365" s="191" t="inlineStr">
        <is>
          <t>See NVD references</t>
        </is>
      </c>
      <c r="O365" s="191" t="inlineStr">
        <is>
          <t>Apply vendor patches</t>
        </is>
      </c>
      <c r="P365" s="191" t="inlineStr">
        <is>
          <t>See CVE details</t>
        </is>
      </c>
      <c r="Q365" s="191" t="inlineStr">
        <is>
          <t>P4</t>
        </is>
      </c>
      <c r="R365" s="191" t="inlineStr">
        <is>
          <t>📅 Schedule patch deployment within 30 days | 🔍 Monitor for exploitation attempts</t>
        </is>
      </c>
      <c r="S365" s="191" t="inlineStr">
        <is>
          <t>CVE - IP enrichment n/a</t>
        </is>
      </c>
      <c r="T365" s="191" t="n">
        <v>0</v>
      </c>
      <c r="U365" s="191" t="n">
        <v>0</v>
      </c>
      <c r="V365" s="191" t="inlineStr">
        <is>
          <t>T1189:Drive-by Compromise</t>
        </is>
      </c>
      <c r="W365" s="191" t="n">
        <v>1</v>
      </c>
      <c r="X365" s="191" t="inlineStr">
        <is>
          <t>LOW (40%)</t>
        </is>
      </c>
      <c r="Y365" s="191" t="inlineStr">
        <is>
          <t>UNLIKELY</t>
        </is>
      </c>
      <c r="Z365" s="191" t="inlineStr">
        <is>
          <t>CHECK_VENDOR</t>
        </is>
      </c>
      <c r="AA365" s="192" t="inlineStr">
        <is>
          <t>https://nvd.nist.gov/vuln/detail/CVE-2025-12448</t>
        </is>
      </c>
      <c r="AB365" s="191" t="inlineStr">
        <is>
          <t>NONE</t>
        </is>
      </c>
      <c r="AC365" s="191" t="n">
        <v>0</v>
      </c>
      <c r="AD365" s="191" t="n"/>
    </row>
    <row r="366">
      <c r="A366" s="191" t="inlineStr">
        <is>
          <t>CVE</t>
        </is>
      </c>
      <c r="B366" s="191" t="inlineStr">
        <is>
          <t>CVE-2025-12451</t>
        </is>
      </c>
      <c r="C366" s="191" t="inlineStr">
        <is>
          <t>The Easy SVG Support plugin for WordPress is vulnerable to Stored Cross-Site Scripting via SVG file uploads in all versions up to, and including, 4.0 due to insufficient input sanitization and output escaping. This makes it possible for authenticated attackers, with Author-level access and above, to inject arbitrary web scripts in pages that will execute whenever a user accesses the SVG file.</t>
        </is>
      </c>
      <c r="D366" s="191" t="n">
        <v>6.1</v>
      </c>
      <c r="E366" s="191" t="inlineStr">
        <is>
          <t>MEDIUM</t>
        </is>
      </c>
      <c r="F366" s="191" t="n">
        <v>2</v>
      </c>
      <c r="G366" s="191" t="n">
        <v>2</v>
      </c>
      <c r="H366" s="191" t="inlineStr">
        <is>
          <t>MEDIUM</t>
        </is>
      </c>
      <c r="I366" s="191" t="n">
        <v>10.1</v>
      </c>
      <c r="J366" s="191" t="inlineStr">
        <is>
          <t>NO</t>
        </is>
      </c>
      <c r="K366" s="192" t="inlineStr">
        <is>
          <t>https://nvd.nist.gov/vuln/detail/CVE-2025-12451</t>
        </is>
      </c>
      <c r="L366" s="191" t="inlineStr">
        <is>
          <t>2026-02-23 23:48</t>
        </is>
      </c>
      <c r="M366" s="191" t="inlineStr">
        <is>
          <t>CHECK_VENDOR</t>
        </is>
      </c>
      <c r="N366" s="191" t="inlineStr">
        <is>
          <t>See NVD references</t>
        </is>
      </c>
      <c r="O366" s="191" t="inlineStr">
        <is>
          <t>Apply vendor patches</t>
        </is>
      </c>
      <c r="P366" s="191" t="inlineStr">
        <is>
          <t>See CVE details</t>
        </is>
      </c>
      <c r="Q366" s="191" t="inlineStr">
        <is>
          <t>P4</t>
        </is>
      </c>
      <c r="R366" s="191" t="inlineStr">
        <is>
          <t>📅 Schedule patch deployment within 30 days | 🔍 Monitor for exploitation attempts</t>
        </is>
      </c>
      <c r="S366" s="191" t="inlineStr">
        <is>
          <t>CVE - IP enrichment n/a</t>
        </is>
      </c>
      <c r="T366" s="191" t="n">
        <v>0</v>
      </c>
      <c r="U366" s="191" t="n">
        <v>0</v>
      </c>
      <c r="V366" s="191" t="inlineStr">
        <is>
          <t>T1189:Drive-by Compromise</t>
        </is>
      </c>
      <c r="W366" s="191" t="n">
        <v>1</v>
      </c>
      <c r="X366" s="191" t="inlineStr">
        <is>
          <t>LOW (40%)</t>
        </is>
      </c>
      <c r="Y366" s="191" t="inlineStr">
        <is>
          <t>UNLIKELY</t>
        </is>
      </c>
      <c r="Z366" s="191" t="inlineStr">
        <is>
          <t>CHECK_VENDOR</t>
        </is>
      </c>
      <c r="AA366" s="192" t="inlineStr">
        <is>
          <t>https://nvd.nist.gov/vuln/detail/CVE-2025-12451</t>
        </is>
      </c>
      <c r="AB366" s="191" t="inlineStr">
        <is>
          <t>NONE</t>
        </is>
      </c>
      <c r="AC366" s="191" t="n">
        <v>0</v>
      </c>
      <c r="AD366" s="191" t="n"/>
    </row>
    <row r="367">
      <c r="A367" s="191" t="inlineStr">
        <is>
          <t>CVE</t>
        </is>
      </c>
      <c r="B367" s="191" t="inlineStr">
        <is>
          <t>CVE-2025-12500</t>
        </is>
      </c>
      <c r="C367" s="191" t="inlineStr">
        <is>
          <t>The Checkout Field Manager (Checkout Manager) for WooCommerce plugin for WordPress is vulnerable to unauthenticated limited file upload in all versions up to, and including, 7.8.1. This is due to the plugin not properly verifying that a user is authorized to perform file upload actions via the "ajax_checkout_attachment_upload" function. This makes it possible for unauthenticated attackers to upload files to the server, though file types are limited to WordPress's default allowed MIME types (imag</t>
        </is>
      </c>
      <c r="D367" s="191" t="n">
        <v>5.3</v>
      </c>
      <c r="E367" s="191" t="inlineStr">
        <is>
          <t>MEDIUM</t>
        </is>
      </c>
      <c r="F367" s="191" t="n">
        <v>2</v>
      </c>
      <c r="G367" s="191" t="n">
        <v>2</v>
      </c>
      <c r="H367" s="191" t="inlineStr">
        <is>
          <t>MEDIUM</t>
        </is>
      </c>
      <c r="I367" s="191" t="n">
        <v>9.300000000000001</v>
      </c>
      <c r="J367" s="191" t="inlineStr">
        <is>
          <t>NO</t>
        </is>
      </c>
      <c r="K367" s="192" t="inlineStr">
        <is>
          <t>https://nvd.nist.gov/vuln/detail/CVE-2025-12500</t>
        </is>
      </c>
      <c r="L367" s="191" t="inlineStr">
        <is>
          <t>2026-02-23 23:48</t>
        </is>
      </c>
      <c r="M367" s="191" t="inlineStr">
        <is>
          <t>CHECK_VENDOR</t>
        </is>
      </c>
      <c r="N367" s="191" t="inlineStr">
        <is>
          <t>See NVD references</t>
        </is>
      </c>
      <c r="O367" s="191" t="inlineStr">
        <is>
          <t>Apply vendor patches</t>
        </is>
      </c>
      <c r="P367" s="191" t="inlineStr">
        <is>
          <t>See CVE details</t>
        </is>
      </c>
      <c r="Q367" s="191" t="inlineStr">
        <is>
          <t>P4</t>
        </is>
      </c>
      <c r="R367" s="191" t="inlineStr">
        <is>
          <t>📅 Schedule patch deployment within 30 days | 🔍 Monitor for exploitation attempts</t>
        </is>
      </c>
      <c r="S367" s="191" t="inlineStr">
        <is>
          <t>CVE - IP enrichment n/a</t>
        </is>
      </c>
      <c r="T367" s="191" t="n">
        <v>0.0005</v>
      </c>
      <c r="U367" s="191" t="n">
        <v>0.1647</v>
      </c>
      <c r="V367" s="191" t="inlineStr">
        <is>
          <t>T1190:Exploit Public-Facing Application</t>
        </is>
      </c>
      <c r="W367" s="191" t="n">
        <v>1</v>
      </c>
      <c r="X367" s="191" t="inlineStr">
        <is>
          <t>LOW (40%)</t>
        </is>
      </c>
      <c r="Y367" s="191" t="inlineStr">
        <is>
          <t>UNLIKELY</t>
        </is>
      </c>
      <c r="Z367" s="191" t="inlineStr">
        <is>
          <t>CHECK_VENDOR</t>
        </is>
      </c>
      <c r="AA367" s="192" t="inlineStr">
        <is>
          <t>https://nvd.nist.gov/vuln/detail/CVE-2025-12500</t>
        </is>
      </c>
      <c r="AB367" s="191" t="inlineStr">
        <is>
          <t>NONE</t>
        </is>
      </c>
      <c r="AC367" s="191" t="n">
        <v>0</v>
      </c>
      <c r="AD367" s="191" t="n"/>
    </row>
    <row r="368">
      <c r="A368" s="189" t="inlineStr">
        <is>
          <t>CVE</t>
        </is>
      </c>
      <c r="B368" s="189" t="inlineStr">
        <is>
          <t>CVE-2025-12707</t>
        </is>
      </c>
      <c r="C368" s="189" t="inlineStr">
        <is>
          <t>The Library Management System plugin for WordPress is vulnerable to SQL Injection via the 'bid' parameter in all versions up to, and including, 3.2.1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D368" s="189" t="n">
        <v>7.5</v>
      </c>
      <c r="E368" s="189" t="inlineStr">
        <is>
          <t>HIGH</t>
        </is>
      </c>
      <c r="F368" s="189" t="n">
        <v>2</v>
      </c>
      <c r="G368" s="189" t="n">
        <v>3</v>
      </c>
      <c r="H368" s="189" t="inlineStr">
        <is>
          <t>HIGH</t>
        </is>
      </c>
      <c r="I368" s="189" t="n">
        <v>13.5</v>
      </c>
      <c r="J368" s="189" t="inlineStr">
        <is>
          <t>NO</t>
        </is>
      </c>
      <c r="K368" s="190" t="inlineStr">
        <is>
          <t>https://nvd.nist.gov/vuln/detail/CVE-2025-12707</t>
        </is>
      </c>
      <c r="L368" s="189" t="inlineStr">
        <is>
          <t>2026-02-23 23:48</t>
        </is>
      </c>
      <c r="M368" s="189" t="inlineStr">
        <is>
          <t>CHECK_VENDOR</t>
        </is>
      </c>
      <c r="N368" s="189" t="inlineStr">
        <is>
          <t>See NVD references</t>
        </is>
      </c>
      <c r="O368" s="189" t="inlineStr">
        <is>
          <t>Apply vendor patches</t>
        </is>
      </c>
      <c r="P368" s="189" t="inlineStr">
        <is>
          <t>See CVE details</t>
        </is>
      </c>
      <c r="Q368" s="189" t="inlineStr">
        <is>
          <t>P3</t>
        </is>
      </c>
      <c r="R368" s="189" t="inlineStr">
        <is>
          <t>🚨 URGENT: Apply vendor patches immediately | 🔒 Isolate affected systems if patch unavailable | 🛡️ Enable additional monitoring/IDS rules</t>
        </is>
      </c>
      <c r="S368" s="189" t="inlineStr">
        <is>
          <t>CVE - IP enrichment n/a</t>
        </is>
      </c>
      <c r="T368" s="189" t="n">
        <v>0</v>
      </c>
      <c r="U368" s="189" t="n">
        <v>0</v>
      </c>
      <c r="V368" s="189" t="inlineStr">
        <is>
          <t>T1190:Exploit Public-Facing Application</t>
        </is>
      </c>
      <c r="W368" s="189" t="n">
        <v>1</v>
      </c>
      <c r="X368" s="189" t="inlineStr">
        <is>
          <t>LOW (40%)</t>
        </is>
      </c>
      <c r="Y368" s="189" t="inlineStr">
        <is>
          <t>UNLIKELY</t>
        </is>
      </c>
      <c r="Z368" s="189" t="inlineStr">
        <is>
          <t>CHECK_VENDOR</t>
        </is>
      </c>
      <c r="AA368" s="190" t="inlineStr">
        <is>
          <t>https://nvd.nist.gov/vuln/detail/CVE-2025-12707</t>
        </is>
      </c>
      <c r="AB368" s="189" t="inlineStr">
        <is>
          <t>NONE</t>
        </is>
      </c>
      <c r="AC368" s="189" t="n">
        <v>0</v>
      </c>
      <c r="AD368" s="189" t="n"/>
    </row>
    <row r="369">
      <c r="A369" s="189" t="inlineStr">
        <is>
          <t>CVE</t>
        </is>
      </c>
      <c r="B369" s="189" t="inlineStr">
        <is>
          <t>CVE-2025-12821</t>
        </is>
      </c>
      <c r="C369" s="189" t="inlineStr">
        <is>
          <t>The NewsBlogger theme for WordPress is vulnerable to Cross-Site Request Forgery in versions 0.2.5.6  to 0.2.6.1. This is due to missing or incorrect nonce validation on the newsblogger_install_and_activate_plugin() function. This makes it possible for unauthenticated attackers to upload arbitrary files and achieve remote code execution via a forged request granted they can trick a site administrator into performing an action such as clicking on a link. This is due to a reverted fix of CVE-2025-1</t>
        </is>
      </c>
      <c r="D369" s="189" t="n">
        <v>8.800000000000001</v>
      </c>
      <c r="E369" s="189" t="inlineStr">
        <is>
          <t>HIGH</t>
        </is>
      </c>
      <c r="F369" s="189" t="n">
        <v>2</v>
      </c>
      <c r="G369" s="189" t="n">
        <v>3</v>
      </c>
      <c r="H369" s="189" t="inlineStr">
        <is>
          <t>HIGH</t>
        </is>
      </c>
      <c r="I369" s="189" t="n">
        <v>14.8</v>
      </c>
      <c r="J369" s="189" t="inlineStr">
        <is>
          <t>NO</t>
        </is>
      </c>
      <c r="K369" s="190" t="inlineStr">
        <is>
          <t>https://nvd.nist.gov/vuln/detail/CVE-2025-12821</t>
        </is>
      </c>
      <c r="L369" s="189" t="inlineStr">
        <is>
          <t>2026-02-23 23:48</t>
        </is>
      </c>
      <c r="M369" s="189" t="inlineStr">
        <is>
          <t>CHECK_VENDOR</t>
        </is>
      </c>
      <c r="N369" s="189" t="inlineStr">
        <is>
          <t>See NVD references</t>
        </is>
      </c>
      <c r="O369" s="189" t="inlineStr">
        <is>
          <t>Apply vendor patches</t>
        </is>
      </c>
      <c r="P369" s="189" t="inlineStr">
        <is>
          <t>See CVE details</t>
        </is>
      </c>
      <c r="Q369" s="189" t="inlineStr">
        <is>
          <t>P3</t>
        </is>
      </c>
      <c r="R369" s="189" t="inlineStr">
        <is>
          <t>🚨 URGENT: Apply vendor patches immediately | 🔒 Isolate affected systems if patch unavailable | 🛡️ Enable additional monitoring/IDS rules</t>
        </is>
      </c>
      <c r="S369" s="189" t="inlineStr">
        <is>
          <t>CVE - IP enrichment n/a</t>
        </is>
      </c>
      <c r="T369" s="189" t="n">
        <v>0.0005</v>
      </c>
      <c r="U369" s="189" t="n">
        <v>0.1545</v>
      </c>
      <c r="V369" s="189" t="inlineStr">
        <is>
          <t>T1185:Browser Session Hijacking | T1190:Exploit Public-Facing Application | T1210:Exploitation of Remote Services</t>
        </is>
      </c>
      <c r="W369" s="189" t="n">
        <v>1</v>
      </c>
      <c r="X369" s="189" t="inlineStr">
        <is>
          <t>LOW (40%)</t>
        </is>
      </c>
      <c r="Y369" s="189" t="inlineStr">
        <is>
          <t>UNLIKELY</t>
        </is>
      </c>
      <c r="Z369" s="189" t="inlineStr">
        <is>
          <t>CHECK_VENDOR</t>
        </is>
      </c>
      <c r="AA369" s="190" t="inlineStr">
        <is>
          <t>https://nvd.nist.gov/vuln/detail/CVE-2025-12821</t>
        </is>
      </c>
      <c r="AB369" s="189" t="inlineStr">
        <is>
          <t>NONE</t>
        </is>
      </c>
      <c r="AC369" s="189" t="n">
        <v>0</v>
      </c>
      <c r="AD369" s="189" t="n"/>
    </row>
    <row r="370">
      <c r="A370" s="189" t="inlineStr">
        <is>
          <t>CVE</t>
        </is>
      </c>
      <c r="B370" s="189" t="inlineStr">
        <is>
          <t>CVE-2025-12845</t>
        </is>
      </c>
      <c r="C370" s="189" t="inlineStr">
        <is>
          <t>The Tablesome Table – Contact Form DB – WPForms, CF7, Gravity, Forminator, Fluent plugin for WordPress is vulnerable to unauthorized access of data that leads to privilege escalation due to a missing capability check on the get_table_data() function in versions 0.5.4 to 1.2.1. This makes it possible for authenticated attackers, with Subscriber-level access and above, to retrieve plugin table data that can expose email log information. Attackers can leverage this on sites where the table log is e</t>
        </is>
      </c>
      <c r="D370" s="189" t="n">
        <v>8.800000000000001</v>
      </c>
      <c r="E370" s="189" t="inlineStr">
        <is>
          <t>HIGH</t>
        </is>
      </c>
      <c r="F370" s="189" t="n">
        <v>2</v>
      </c>
      <c r="G370" s="189" t="n">
        <v>3</v>
      </c>
      <c r="H370" s="189" t="inlineStr">
        <is>
          <t>HIGH</t>
        </is>
      </c>
      <c r="I370" s="189" t="n">
        <v>14.8</v>
      </c>
      <c r="J370" s="189" t="inlineStr">
        <is>
          <t>NO</t>
        </is>
      </c>
      <c r="K370" s="190" t="inlineStr">
        <is>
          <t>https://nvd.nist.gov/vuln/detail/CVE-2025-12845</t>
        </is>
      </c>
      <c r="L370" s="189" t="inlineStr">
        <is>
          <t>2026-02-23 23:48</t>
        </is>
      </c>
      <c r="M370" s="189" t="inlineStr">
        <is>
          <t>CHECK_VENDOR</t>
        </is>
      </c>
      <c r="N370" s="189" t="inlineStr">
        <is>
          <t>See NVD references</t>
        </is>
      </c>
      <c r="O370" s="189" t="inlineStr">
        <is>
          <t>Apply vendor patches</t>
        </is>
      </c>
      <c r="P370" s="189" t="inlineStr">
        <is>
          <t>See CVE details</t>
        </is>
      </c>
      <c r="Q370" s="189" t="inlineStr">
        <is>
          <t>P3</t>
        </is>
      </c>
      <c r="R370" s="189" t="inlineStr">
        <is>
          <t>🚨 URGENT: Apply vendor patches immediately | 🔒 Isolate affected systems if patch unavailable | 🛡️ Enable additional monitoring/IDS rules</t>
        </is>
      </c>
      <c r="S370" s="189" t="inlineStr">
        <is>
          <t>CVE - IP enrichment n/a</t>
        </is>
      </c>
      <c r="T370" s="189" t="n">
        <v>0</v>
      </c>
      <c r="U370" s="189" t="n">
        <v>0</v>
      </c>
      <c r="V370" s="189" t="inlineStr">
        <is>
          <t>T1068:Exploitation for Privilege Escalation</t>
        </is>
      </c>
      <c r="W370" s="189" t="n">
        <v>1</v>
      </c>
      <c r="X370" s="189" t="inlineStr">
        <is>
          <t>LOW (40%)</t>
        </is>
      </c>
      <c r="Y370" s="189" t="inlineStr">
        <is>
          <t>UNLIKELY</t>
        </is>
      </c>
      <c r="Z370" s="189" t="inlineStr">
        <is>
          <t>CHECK_VENDOR</t>
        </is>
      </c>
      <c r="AA370" s="190" t="inlineStr">
        <is>
          <t>https://nvd.nist.gov/vuln/detail/CVE-2025-12845</t>
        </is>
      </c>
      <c r="AB370" s="189" t="inlineStr">
        <is>
          <t>NONE</t>
        </is>
      </c>
      <c r="AC370" s="189" t="n">
        <v>0</v>
      </c>
      <c r="AD370" s="189" t="n"/>
    </row>
    <row r="371">
      <c r="A371" s="193" t="inlineStr">
        <is>
          <t>CVE</t>
        </is>
      </c>
      <c r="B371" s="193" t="inlineStr">
        <is>
          <t>CVE-2025-12882</t>
        </is>
      </c>
      <c r="C371" s="193" t="inlineStr">
        <is>
          <t>The Clasifico Listing plugin for WordPress is vulnerable to privilege escalation in versions up to, and including, 2.0. This is due to the plugin allowing users who are registering new accounts to set their own role by supplying the 'listing_user_role' parameter. This makes it possible for unauthenticated attackers to gain elevated privileges by registering an account with the administrator role.</t>
        </is>
      </c>
      <c r="D371" s="193" t="n">
        <v>9.800000000000001</v>
      </c>
      <c r="E371" s="193" t="inlineStr">
        <is>
          <t>CRITICAL</t>
        </is>
      </c>
      <c r="F371" s="193" t="n">
        <v>2</v>
      </c>
      <c r="G371" s="193" t="n">
        <v>3</v>
      </c>
      <c r="H371" s="193" t="inlineStr">
        <is>
          <t>HIGH</t>
        </is>
      </c>
      <c r="I371" s="193" t="n">
        <v>15.8</v>
      </c>
      <c r="J371" s="193" t="inlineStr">
        <is>
          <t>NO</t>
        </is>
      </c>
      <c r="K371" s="194" t="inlineStr">
        <is>
          <t>https://nvd.nist.gov/vuln/detail/CVE-2025-12882</t>
        </is>
      </c>
      <c r="L371" s="193" t="inlineStr">
        <is>
          <t>2026-02-23 23:48</t>
        </is>
      </c>
      <c r="M371" s="193" t="inlineStr">
        <is>
          <t>CHECK_VENDOR</t>
        </is>
      </c>
      <c r="N371" s="193" t="inlineStr">
        <is>
          <t>See NVD references</t>
        </is>
      </c>
      <c r="O371" s="193" t="inlineStr">
        <is>
          <t>Apply vendor patches</t>
        </is>
      </c>
      <c r="P371" s="193" t="inlineStr">
        <is>
          <t>See CVE details</t>
        </is>
      </c>
      <c r="Q371" s="193" t="inlineStr">
        <is>
          <t>P3</t>
        </is>
      </c>
      <c r="R371" s="193" t="inlineStr">
        <is>
          <t>🚨 URGENT: Apply vendor patches immediately | 🔒 Isolate affected systems if patch unavailable | 🛡️ Enable additional monitoring/IDS rules</t>
        </is>
      </c>
      <c r="S371" s="193" t="inlineStr">
        <is>
          <t>CVE - IP enrichment n/a</t>
        </is>
      </c>
      <c r="T371" s="193" t="n">
        <v>0</v>
      </c>
      <c r="U371" s="193" t="n">
        <v>0</v>
      </c>
      <c r="V371" s="193" t="inlineStr">
        <is>
          <t>T1068:Exploitation for Privilege Escalation</t>
        </is>
      </c>
      <c r="W371" s="193" t="n">
        <v>1</v>
      </c>
      <c r="X371" s="193" t="inlineStr">
        <is>
          <t>LOW (40%)</t>
        </is>
      </c>
      <c r="Y371" s="193" t="inlineStr">
        <is>
          <t>UNLIKELY</t>
        </is>
      </c>
      <c r="Z371" s="193" t="inlineStr">
        <is>
          <t>CHECK_VENDOR</t>
        </is>
      </c>
      <c r="AA371" s="194" t="inlineStr">
        <is>
          <t>https://nvd.nist.gov/vuln/detail/CVE-2025-12882</t>
        </is>
      </c>
      <c r="AB371" s="193" t="inlineStr">
        <is>
          <t>NONE</t>
        </is>
      </c>
      <c r="AC371" s="193" t="n">
        <v>0</v>
      </c>
      <c r="AD371" s="193" t="n"/>
    </row>
    <row r="372">
      <c r="A372" s="191" t="inlineStr">
        <is>
          <t>CVE</t>
        </is>
      </c>
      <c r="B372" s="191" t="inlineStr">
        <is>
          <t>CVE-2025-12884</t>
        </is>
      </c>
      <c r="C372" s="191" t="inlineStr">
        <is>
          <t>The Advanced Ads – Ad Manager &amp; AdSense plugin for WordPress is vulnerable to authorization bypass in versions up to, and including, 2.0.14. This is due to the plugin not properly verifying that a user is authorized to perform an action in the `placement_update_item()` function. This makes it possible for authenticated attackers, with subscriber-level access and above, to update ad placements, allowing them to change which ad or ad group a placement serves.</t>
        </is>
      </c>
      <c r="D372" s="191" t="n">
        <v>4.3</v>
      </c>
      <c r="E372" s="191" t="inlineStr">
        <is>
          <t>MEDIUM</t>
        </is>
      </c>
      <c r="F372" s="191" t="n">
        <v>2</v>
      </c>
      <c r="G372" s="191" t="n">
        <v>2</v>
      </c>
      <c r="H372" s="191" t="inlineStr">
        <is>
          <t>MEDIUM</t>
        </is>
      </c>
      <c r="I372" s="191" t="n">
        <v>8.300000000000001</v>
      </c>
      <c r="J372" s="191" t="inlineStr">
        <is>
          <t>NO</t>
        </is>
      </c>
      <c r="K372" s="192" t="inlineStr">
        <is>
          <t>https://nvd.nist.gov/vuln/detail/CVE-2025-12884</t>
        </is>
      </c>
      <c r="L372" s="191" t="inlineStr">
        <is>
          <t>2026-02-23 23:48</t>
        </is>
      </c>
      <c r="M372" s="191" t="inlineStr">
        <is>
          <t>CHECK_VENDOR</t>
        </is>
      </c>
      <c r="N372" s="191" t="inlineStr">
        <is>
          <t>See NVD references</t>
        </is>
      </c>
      <c r="O372" s="191" t="inlineStr">
        <is>
          <t>Apply vendor patches</t>
        </is>
      </c>
      <c r="P372" s="191" t="inlineStr">
        <is>
          <t>See CVE details</t>
        </is>
      </c>
      <c r="Q372" s="191" t="inlineStr">
        <is>
          <t>P4</t>
        </is>
      </c>
      <c r="R372" s="191" t="inlineStr">
        <is>
          <t>📅 Schedule patch deployment within 30 days | 🔍 Monitor for exploitation attempts</t>
        </is>
      </c>
      <c r="S372" s="191" t="inlineStr">
        <is>
          <t>CVE - IP enrichment n/a</t>
        </is>
      </c>
      <c r="T372" s="191" t="n">
        <v>0</v>
      </c>
      <c r="U372" s="191" t="n">
        <v>0</v>
      </c>
      <c r="V372" s="191" t="inlineStr">
        <is>
          <t>T1190:Exploit Public-Facing Application</t>
        </is>
      </c>
      <c r="W372" s="191" t="n">
        <v>1</v>
      </c>
      <c r="X372" s="191" t="inlineStr">
        <is>
          <t>LOW (40%)</t>
        </is>
      </c>
      <c r="Y372" s="191" t="inlineStr">
        <is>
          <t>UNLIKELY</t>
        </is>
      </c>
      <c r="Z372" s="191" t="inlineStr">
        <is>
          <t>CHECK_VENDOR</t>
        </is>
      </c>
      <c r="AA372" s="192" t="inlineStr">
        <is>
          <t>https://nvd.nist.gov/vuln/detail/CVE-2025-12884</t>
        </is>
      </c>
      <c r="AB372" s="191" t="inlineStr">
        <is>
          <t>NONE</t>
        </is>
      </c>
      <c r="AC372" s="191" t="n">
        <v>0</v>
      </c>
      <c r="AD372" s="191" t="n"/>
    </row>
    <row r="373">
      <c r="A373" s="189" t="inlineStr">
        <is>
          <t>CVE</t>
        </is>
      </c>
      <c r="B373" s="189" t="inlineStr">
        <is>
          <t>CVE-2025-12975</t>
        </is>
      </c>
      <c r="C373" s="189" t="inlineStr">
        <is>
          <t>The CTX Feed – WooCommerce Product Feed Manager plugin for WordPress is vulnerable to unauthorized arbitrary plugin installation due to a missing capability check on the woo_feed_plugin_installing() function in all versions up to, and including, 6.6.11. This makes it possible for authenticated attackers, with Shop Manager-level access and above, to install arbitrary plugins which can be leveraged to achieve remote code execution.</t>
        </is>
      </c>
      <c r="D373" s="189" t="n">
        <v>7.2</v>
      </c>
      <c r="E373" s="189" t="inlineStr">
        <is>
          <t>HIGH</t>
        </is>
      </c>
      <c r="F373" s="189" t="n">
        <v>2</v>
      </c>
      <c r="G373" s="189" t="n">
        <v>3</v>
      </c>
      <c r="H373" s="189" t="inlineStr">
        <is>
          <t>HIGH</t>
        </is>
      </c>
      <c r="I373" s="189" t="n">
        <v>13.2</v>
      </c>
      <c r="J373" s="189" t="inlineStr">
        <is>
          <t>NO</t>
        </is>
      </c>
      <c r="K373" s="190" t="inlineStr">
        <is>
          <t>https://nvd.nist.gov/vuln/detail/CVE-2025-12975</t>
        </is>
      </c>
      <c r="L373" s="189" t="inlineStr">
        <is>
          <t>2026-02-23 23:48</t>
        </is>
      </c>
      <c r="M373" s="189" t="inlineStr">
        <is>
          <t>CHECK_VENDOR</t>
        </is>
      </c>
      <c r="N373" s="189" t="inlineStr">
        <is>
          <t>See NVD references</t>
        </is>
      </c>
      <c r="O373" s="189" t="inlineStr">
        <is>
          <t>Apply vendor patches</t>
        </is>
      </c>
      <c r="P373" s="189" t="inlineStr">
        <is>
          <t>See CVE details</t>
        </is>
      </c>
      <c r="Q373" s="189" t="inlineStr">
        <is>
          <t>P3</t>
        </is>
      </c>
      <c r="R373" s="189" t="inlineStr">
        <is>
          <t>🚨 URGENT: Apply vendor patches immediately | 🔒 Isolate affected systems if patch unavailable | 🛡️ Enable additional monitoring/IDS rules</t>
        </is>
      </c>
      <c r="S373" s="189" t="inlineStr">
        <is>
          <t>CVE - IP enrichment n/a</t>
        </is>
      </c>
      <c r="T373" s="189" t="n">
        <v>0</v>
      </c>
      <c r="U373" s="189" t="n">
        <v>0</v>
      </c>
      <c r="V373" s="189" t="inlineStr">
        <is>
          <t>T1190:Exploit Public-Facing Application | T1210:Exploitation of Remote Services</t>
        </is>
      </c>
      <c r="W373" s="189" t="n">
        <v>1</v>
      </c>
      <c r="X373" s="189" t="inlineStr">
        <is>
          <t>LOW (40%)</t>
        </is>
      </c>
      <c r="Y373" s="189" t="inlineStr">
        <is>
          <t>UNLIKELY</t>
        </is>
      </c>
      <c r="Z373" s="189" t="inlineStr">
        <is>
          <t>CHECK_VENDOR</t>
        </is>
      </c>
      <c r="AA373" s="190" t="inlineStr">
        <is>
          <t>https://nvd.nist.gov/vuln/detail/CVE-2025-12975</t>
        </is>
      </c>
      <c r="AB373" s="189" t="inlineStr">
        <is>
          <t>NONE</t>
        </is>
      </c>
      <c r="AC373" s="189" t="n">
        <v>0</v>
      </c>
      <c r="AD373" s="189" t="n"/>
    </row>
    <row r="374">
      <c r="A374" s="191" t="inlineStr">
        <is>
          <t>CVE</t>
        </is>
      </c>
      <c r="B374" s="191" t="inlineStr">
        <is>
          <t>CVE-2025-13048</t>
        </is>
      </c>
      <c r="C374" s="191" t="inlineStr">
        <is>
          <t>The StatCounter – Free Real Time Visitor Stats plugin for WordPress is vulnerable to Stored Cross-Site Scripting via the user's Nickname in all versions up to, and including, 2.1.0 due to insufficient input sanitization and output escaping. This makes it possible for authenticated attackers, with Contributor-level access and above, to inject arbitrary web scripts in pages that will execute whenever a user accesses an injected page.</t>
        </is>
      </c>
      <c r="D374" s="191" t="n">
        <v>6.4</v>
      </c>
      <c r="E374" s="191" t="inlineStr">
        <is>
          <t>MEDIUM</t>
        </is>
      </c>
      <c r="F374" s="191" t="n">
        <v>2</v>
      </c>
      <c r="G374" s="191" t="n">
        <v>2</v>
      </c>
      <c r="H374" s="191" t="inlineStr">
        <is>
          <t>MEDIUM</t>
        </is>
      </c>
      <c r="I374" s="191" t="n">
        <v>10.4</v>
      </c>
      <c r="J374" s="191" t="inlineStr">
        <is>
          <t>NO</t>
        </is>
      </c>
      <c r="K374" s="192" t="inlineStr">
        <is>
          <t>https://nvd.nist.gov/vuln/detail/CVE-2025-13048</t>
        </is>
      </c>
      <c r="L374" s="191" t="inlineStr">
        <is>
          <t>2026-02-23 23:48</t>
        </is>
      </c>
      <c r="M374" s="191" t="inlineStr">
        <is>
          <t>CHECK_VENDOR</t>
        </is>
      </c>
      <c r="N374" s="191" t="inlineStr">
        <is>
          <t>See NVD references</t>
        </is>
      </c>
      <c r="O374" s="191" t="inlineStr">
        <is>
          <t>Apply vendor patches</t>
        </is>
      </c>
      <c r="P374" s="191" t="inlineStr">
        <is>
          <t>See CVE details</t>
        </is>
      </c>
      <c r="Q374" s="191" t="inlineStr">
        <is>
          <t>P4</t>
        </is>
      </c>
      <c r="R374" s="191" t="inlineStr">
        <is>
          <t>📅 Schedule patch deployment within 30 days | 🔍 Monitor for exploitation attempts</t>
        </is>
      </c>
      <c r="S374" s="191" t="inlineStr">
        <is>
          <t>CVE - IP enrichment n/a</t>
        </is>
      </c>
      <c r="T374" s="191" t="n">
        <v>0</v>
      </c>
      <c r="U374" s="191" t="n">
        <v>0</v>
      </c>
      <c r="V374" s="191" t="inlineStr">
        <is>
          <t>T1189:Drive-by Compromise</t>
        </is>
      </c>
      <c r="W374" s="191" t="n">
        <v>1</v>
      </c>
      <c r="X374" s="191" t="inlineStr">
        <is>
          <t>LOW (40%)</t>
        </is>
      </c>
      <c r="Y374" s="191" t="inlineStr">
        <is>
          <t>UNLIKELY</t>
        </is>
      </c>
      <c r="Z374" s="191" t="inlineStr">
        <is>
          <t>CHECK_VENDOR</t>
        </is>
      </c>
      <c r="AA374" s="192" t="inlineStr">
        <is>
          <t>https://nvd.nist.gov/vuln/detail/CVE-2025-13048</t>
        </is>
      </c>
      <c r="AB374" s="191" t="inlineStr">
        <is>
          <t>NONE</t>
        </is>
      </c>
      <c r="AC374" s="191" t="n">
        <v>0</v>
      </c>
      <c r="AD374" s="191" t="n"/>
    </row>
    <row r="375">
      <c r="A375" s="191" t="inlineStr">
        <is>
          <t>CVE</t>
        </is>
      </c>
      <c r="B375" s="191" t="inlineStr">
        <is>
          <t>CVE-2025-13079</t>
        </is>
      </c>
      <c r="C375" s="191" t="inlineStr">
        <is>
          <t>The Popup Builder – Create highly converting, mobile friendly marketing popups. plugin for WordPress is vulnerable to authorization bypass in all versions up to, and including, 4.4.2. This is due to the plugin generating predictable unsubscribe tokens using deterministic data. This makes it possible for unauthenticated attackers to unsubscribe arbitrary subscribers from mailing lists via brute-forcing the unsubscribe token, granted they know the victim's email address</t>
        </is>
      </c>
      <c r="D375" s="191" t="n">
        <v>5.3</v>
      </c>
      <c r="E375" s="191" t="inlineStr">
        <is>
          <t>MEDIUM</t>
        </is>
      </c>
      <c r="F375" s="191" t="n">
        <v>2</v>
      </c>
      <c r="G375" s="191" t="n">
        <v>2</v>
      </c>
      <c r="H375" s="191" t="inlineStr">
        <is>
          <t>MEDIUM</t>
        </is>
      </c>
      <c r="I375" s="191" t="n">
        <v>9.300000000000001</v>
      </c>
      <c r="J375" s="191" t="inlineStr">
        <is>
          <t>NO</t>
        </is>
      </c>
      <c r="K375" s="192" t="inlineStr">
        <is>
          <t>https://nvd.nist.gov/vuln/detail/CVE-2025-13079</t>
        </is>
      </c>
      <c r="L375" s="191" t="inlineStr">
        <is>
          <t>2026-02-23 23:48</t>
        </is>
      </c>
      <c r="M375" s="191" t="inlineStr">
        <is>
          <t>CHECK_VENDOR</t>
        </is>
      </c>
      <c r="N375" s="191" t="inlineStr">
        <is>
          <t>See NVD references</t>
        </is>
      </c>
      <c r="O375" s="191" t="inlineStr">
        <is>
          <t>Apply vendor patches</t>
        </is>
      </c>
      <c r="P375" s="191" t="inlineStr">
        <is>
          <t>See CVE details</t>
        </is>
      </c>
      <c r="Q375" s="191" t="inlineStr">
        <is>
          <t>P4</t>
        </is>
      </c>
      <c r="R375" s="191" t="inlineStr">
        <is>
          <t>📅 Schedule patch deployment within 30 days | 🔍 Monitor for exploitation attempts</t>
        </is>
      </c>
      <c r="S375" s="191" t="inlineStr">
        <is>
          <t>CVE - IP enrichment n/a</t>
        </is>
      </c>
      <c r="T375" s="191" t="n">
        <v>0</v>
      </c>
      <c r="U375" s="191" t="n">
        <v>0</v>
      </c>
      <c r="V375" s="191" t="inlineStr">
        <is>
          <t>T1190:Exploit Public-Facing Application</t>
        </is>
      </c>
      <c r="W375" s="191" t="n">
        <v>1</v>
      </c>
      <c r="X375" s="191" t="inlineStr">
        <is>
          <t>LOW (40%)</t>
        </is>
      </c>
      <c r="Y375" s="191" t="inlineStr">
        <is>
          <t>UNLIKELY</t>
        </is>
      </c>
      <c r="Z375" s="191" t="inlineStr">
        <is>
          <t>CHECK_VENDOR</t>
        </is>
      </c>
      <c r="AA375" s="192" t="inlineStr">
        <is>
          <t>https://nvd.nist.gov/vuln/detail/CVE-2025-13079</t>
        </is>
      </c>
      <c r="AB375" s="191" t="inlineStr">
        <is>
          <t>NONE</t>
        </is>
      </c>
      <c r="AC375" s="191" t="n">
        <v>0</v>
      </c>
      <c r="AD375" s="191" t="n"/>
    </row>
    <row r="376">
      <c r="A376" s="191" t="inlineStr">
        <is>
          <t>CVE</t>
        </is>
      </c>
      <c r="B376" s="191" t="inlineStr">
        <is>
          <t>CVE-2025-13091</t>
        </is>
      </c>
      <c r="C376" s="191" t="inlineStr">
        <is>
          <t>The Shopire theme for WordPress is vulnerable to unauthorized modification of data due to a missing capability check on the shopire_admin_install_plugin() function in all versions up to, and including, 1.0.57. This makes it possible for authenticated attackers, with Subscriber-level access and above, to install the 'fable-extra' plugin.</t>
        </is>
      </c>
      <c r="D376" s="191" t="n">
        <v>4.3</v>
      </c>
      <c r="E376" s="191" t="inlineStr">
        <is>
          <t>MEDIUM</t>
        </is>
      </c>
      <c r="F376" s="191" t="n">
        <v>2</v>
      </c>
      <c r="G376" s="191" t="n">
        <v>2</v>
      </c>
      <c r="H376" s="191" t="inlineStr">
        <is>
          <t>MEDIUM</t>
        </is>
      </c>
      <c r="I376" s="191" t="n">
        <v>8.300000000000001</v>
      </c>
      <c r="J376" s="191" t="inlineStr">
        <is>
          <t>NO</t>
        </is>
      </c>
      <c r="K376" s="192" t="inlineStr">
        <is>
          <t>https://nvd.nist.gov/vuln/detail/CVE-2025-13091</t>
        </is>
      </c>
      <c r="L376" s="191" t="inlineStr">
        <is>
          <t>2026-02-23 23:48</t>
        </is>
      </c>
      <c r="M376" s="191" t="inlineStr">
        <is>
          <t>CHECK_VENDOR</t>
        </is>
      </c>
      <c r="N376" s="191" t="inlineStr">
        <is>
          <t>See NVD references</t>
        </is>
      </c>
      <c r="O376" s="191" t="inlineStr">
        <is>
          <t>Apply vendor patches</t>
        </is>
      </c>
      <c r="P376" s="191" t="inlineStr">
        <is>
          <t>See CVE details</t>
        </is>
      </c>
      <c r="Q376" s="191" t="inlineStr">
        <is>
          <t>P4</t>
        </is>
      </c>
      <c r="R376" s="191" t="inlineStr">
        <is>
          <t>📅 Schedule patch deployment within 30 days | 🔍 Monitor for exploitation attempts</t>
        </is>
      </c>
      <c r="S376" s="191" t="inlineStr">
        <is>
          <t>CVE - IP enrichment n/a</t>
        </is>
      </c>
      <c r="T376" s="191" t="n">
        <v>0</v>
      </c>
      <c r="U376" s="191" t="n">
        <v>0</v>
      </c>
      <c r="V376" s="191" t="inlineStr">
        <is>
          <t>T1190:Exploit Public-Facing Application</t>
        </is>
      </c>
      <c r="W376" s="191" t="n">
        <v>1</v>
      </c>
      <c r="X376" s="191" t="inlineStr">
        <is>
          <t>LOW (40%)</t>
        </is>
      </c>
      <c r="Y376" s="191" t="inlineStr">
        <is>
          <t>UNLIKELY</t>
        </is>
      </c>
      <c r="Z376" s="191" t="inlineStr">
        <is>
          <t>CHECK_VENDOR</t>
        </is>
      </c>
      <c r="AA376" s="192" t="inlineStr">
        <is>
          <t>https://nvd.nist.gov/vuln/detail/CVE-2025-13091</t>
        </is>
      </c>
      <c r="AB376" s="191" t="inlineStr">
        <is>
          <t>NONE</t>
        </is>
      </c>
      <c r="AC376" s="191" t="n">
        <v>0</v>
      </c>
      <c r="AD376" s="191" t="n"/>
    </row>
    <row r="377">
      <c r="A377" s="191" t="inlineStr">
        <is>
          <t>CVE</t>
        </is>
      </c>
      <c r="B377" s="191" t="inlineStr">
        <is>
          <t>CVE-2025-13113</t>
        </is>
      </c>
      <c r="C377" s="191" t="inlineStr">
        <is>
          <t xml:space="preserve">The Web Accessibility by accessiBe plugin for WordPress is vulnerable to Sensitive Information Exposure in all versions up to, and including, 2.11. This is due to the `accessibe_render_js_in_footer()` function logging the complete plugin options array to the browser console on public pages, without restricting output to privileged users or checking for debug mode. This makes it possible for unauthenticated attackers to view sensitive configuration data, including email addresses, accessiBe user </t>
        </is>
      </c>
      <c r="D377" s="191" t="n">
        <v>5.3</v>
      </c>
      <c r="E377" s="191" t="inlineStr">
        <is>
          <t>MEDIUM</t>
        </is>
      </c>
      <c r="F377" s="191" t="n">
        <v>2</v>
      </c>
      <c r="G377" s="191" t="n">
        <v>2</v>
      </c>
      <c r="H377" s="191" t="inlineStr">
        <is>
          <t>MEDIUM</t>
        </is>
      </c>
      <c r="I377" s="191" t="n">
        <v>9.300000000000001</v>
      </c>
      <c r="J377" s="191" t="inlineStr">
        <is>
          <t>NO</t>
        </is>
      </c>
      <c r="K377" s="192" t="inlineStr">
        <is>
          <t>https://nvd.nist.gov/vuln/detail/CVE-2025-13113</t>
        </is>
      </c>
      <c r="L377" s="191" t="inlineStr">
        <is>
          <t>2026-02-23 23:48</t>
        </is>
      </c>
      <c r="M377" s="191" t="inlineStr">
        <is>
          <t>CHECK_VENDOR</t>
        </is>
      </c>
      <c r="N377" s="191" t="inlineStr">
        <is>
          <t>See NVD references</t>
        </is>
      </c>
      <c r="O377" s="191" t="inlineStr">
        <is>
          <t>Apply vendor patches</t>
        </is>
      </c>
      <c r="P377" s="191" t="inlineStr">
        <is>
          <t>See CVE details</t>
        </is>
      </c>
      <c r="Q377" s="191" t="inlineStr">
        <is>
          <t>P4</t>
        </is>
      </c>
      <c r="R377" s="191" t="inlineStr">
        <is>
          <t>📅 Schedule patch deployment within 30 days | 🔍 Monitor for exploitation attempts</t>
        </is>
      </c>
      <c r="S377" s="191" t="inlineStr">
        <is>
          <t>CVE - IP enrichment n/a</t>
        </is>
      </c>
      <c r="T377" s="191" t="n">
        <v>0</v>
      </c>
      <c r="U377" s="191" t="n">
        <v>0</v>
      </c>
      <c r="V377" s="191" t="inlineStr">
        <is>
          <t>T1213:Data from Information Repositories</t>
        </is>
      </c>
      <c r="W377" s="191" t="n">
        <v>1</v>
      </c>
      <c r="X377" s="191" t="inlineStr">
        <is>
          <t>LOW (40%)</t>
        </is>
      </c>
      <c r="Y377" s="191" t="inlineStr">
        <is>
          <t>UNLIKELY</t>
        </is>
      </c>
      <c r="Z377" s="191" t="inlineStr">
        <is>
          <t>CHECK_VENDOR</t>
        </is>
      </c>
      <c r="AA377" s="192" t="inlineStr">
        <is>
          <t>https://nvd.nist.gov/vuln/detail/CVE-2025-13113</t>
        </is>
      </c>
      <c r="AB377" s="191" t="inlineStr">
        <is>
          <t>NONE</t>
        </is>
      </c>
      <c r="AC377" s="191" t="n">
        <v>0</v>
      </c>
      <c r="AD377" s="191" t="n"/>
    </row>
    <row r="378">
      <c r="A378" s="191" t="inlineStr">
        <is>
          <t>CVE</t>
        </is>
      </c>
      <c r="B378" s="191" t="inlineStr">
        <is>
          <t>CVE-2025-13413</t>
        </is>
      </c>
      <c r="C378" s="191" t="inlineStr">
        <is>
          <t>The Country Blocker for AdSense plugin for WordPress is vulnerable to Cross-Site Request Forgery in all versions up to, and including, 1.0. This is due to missing nonce validation on the CBFA_guardar_cbfa() function. This makes it possible for unauthenticated attackers to update the plugin's settings via a forged request granted they can trick a site administrator into performing an action such as clicking on a link.</t>
        </is>
      </c>
      <c r="D378" s="191" t="n">
        <v>4.3</v>
      </c>
      <c r="E378" s="191" t="inlineStr">
        <is>
          <t>MEDIUM</t>
        </is>
      </c>
      <c r="F378" s="191" t="n">
        <v>2</v>
      </c>
      <c r="G378" s="191" t="n">
        <v>2</v>
      </c>
      <c r="H378" s="191" t="inlineStr">
        <is>
          <t>MEDIUM</t>
        </is>
      </c>
      <c r="I378" s="191" t="n">
        <v>8.300000000000001</v>
      </c>
      <c r="J378" s="191" t="inlineStr">
        <is>
          <t>NO</t>
        </is>
      </c>
      <c r="K378" s="192" t="inlineStr">
        <is>
          <t>https://nvd.nist.gov/vuln/detail/CVE-2025-13413</t>
        </is>
      </c>
      <c r="L378" s="191" t="inlineStr">
        <is>
          <t>2026-02-23 23:48</t>
        </is>
      </c>
      <c r="M378" s="191" t="inlineStr">
        <is>
          <t>CHECK_VENDOR</t>
        </is>
      </c>
      <c r="N378" s="191" t="inlineStr">
        <is>
          <t>See NVD references</t>
        </is>
      </c>
      <c r="O378" s="191" t="inlineStr">
        <is>
          <t>Apply vendor patches</t>
        </is>
      </c>
      <c r="P378" s="191" t="inlineStr">
        <is>
          <t>See CVE details</t>
        </is>
      </c>
      <c r="Q378" s="191" t="inlineStr">
        <is>
          <t>P4</t>
        </is>
      </c>
      <c r="R378" s="191" t="inlineStr">
        <is>
          <t>📅 Schedule patch deployment within 30 days | 🔍 Monitor for exploitation attempts</t>
        </is>
      </c>
      <c r="S378" s="191" t="inlineStr">
        <is>
          <t>CVE - IP enrichment n/a</t>
        </is>
      </c>
      <c r="T378" s="191" t="n">
        <v>0.0001</v>
      </c>
      <c r="U378" s="191" t="n">
        <v>0.015</v>
      </c>
      <c r="V378" s="191" t="inlineStr">
        <is>
          <t>T1185:Browser Session Hijacking</t>
        </is>
      </c>
      <c r="W378" s="191" t="n">
        <v>1</v>
      </c>
      <c r="X378" s="191" t="inlineStr">
        <is>
          <t>LOW (40%)</t>
        </is>
      </c>
      <c r="Y378" s="191" t="inlineStr">
        <is>
          <t>UNLIKELY</t>
        </is>
      </c>
      <c r="Z378" s="191" t="inlineStr">
        <is>
          <t>CHECK_VENDOR</t>
        </is>
      </c>
      <c r="AA378" s="192" t="inlineStr">
        <is>
          <t>https://nvd.nist.gov/vuln/detail/CVE-2025-13413</t>
        </is>
      </c>
      <c r="AB378" s="191" t="inlineStr">
        <is>
          <t>NONE</t>
        </is>
      </c>
      <c r="AC378" s="191" t="n">
        <v>0</v>
      </c>
      <c r="AD378" s="191" t="n"/>
    </row>
    <row r="379">
      <c r="A379" s="191" t="inlineStr">
        <is>
          <t>CVE</t>
        </is>
      </c>
      <c r="B379" s="191" t="inlineStr">
        <is>
          <t>CVE-2025-13438</t>
        </is>
      </c>
      <c r="C379" s="191" t="inlineStr">
        <is>
          <t>The Page Title, Description &amp; Open Graph Updater plugin for WordPress is vulnerable to Cross-Site Request Forgery in all versions up to, and including, 1.02. This is due to missing nonce validation on multiple AJAX actions including dieno_update_page_title. This makes it possible for unauthenticated attackers to update page titles and metadata via a forged request granted they can trick a site administrator into performing an action such as clicking on a link.</t>
        </is>
      </c>
      <c r="D379" s="191" t="n">
        <v>4.3</v>
      </c>
      <c r="E379" s="191" t="inlineStr">
        <is>
          <t>MEDIUM</t>
        </is>
      </c>
      <c r="F379" s="191" t="n">
        <v>2</v>
      </c>
      <c r="G379" s="191" t="n">
        <v>2</v>
      </c>
      <c r="H379" s="191" t="inlineStr">
        <is>
          <t>MEDIUM</t>
        </is>
      </c>
      <c r="I379" s="191" t="n">
        <v>8.300000000000001</v>
      </c>
      <c r="J379" s="191" t="inlineStr">
        <is>
          <t>NO</t>
        </is>
      </c>
      <c r="K379" s="192" t="inlineStr">
        <is>
          <t>https://nvd.nist.gov/vuln/detail/CVE-2025-13438</t>
        </is>
      </c>
      <c r="L379" s="191" t="inlineStr">
        <is>
          <t>2026-02-23 23:48</t>
        </is>
      </c>
      <c r="M379" s="191" t="inlineStr">
        <is>
          <t>CHECK_VENDOR</t>
        </is>
      </c>
      <c r="N379" s="191" t="inlineStr">
        <is>
          <t>See NVD references</t>
        </is>
      </c>
      <c r="O379" s="191" t="inlineStr">
        <is>
          <t>Apply vendor patches</t>
        </is>
      </c>
      <c r="P379" s="191" t="inlineStr">
        <is>
          <t>See CVE details</t>
        </is>
      </c>
      <c r="Q379" s="191" t="inlineStr">
        <is>
          <t>P4</t>
        </is>
      </c>
      <c r="R379" s="191" t="inlineStr">
        <is>
          <t>📅 Schedule patch deployment within 30 days | 🔍 Monitor for exploitation attempts</t>
        </is>
      </c>
      <c r="S379" s="191" t="inlineStr">
        <is>
          <t>CVE - IP enrichment n/a</t>
        </is>
      </c>
      <c r="T379" s="191" t="n">
        <v>0</v>
      </c>
      <c r="U379" s="191" t="n">
        <v>0</v>
      </c>
      <c r="V379" s="191" t="inlineStr">
        <is>
          <t>T1185:Browser Session Hijacking</t>
        </is>
      </c>
      <c r="W379" s="191" t="n">
        <v>1</v>
      </c>
      <c r="X379" s="191" t="inlineStr">
        <is>
          <t>LOW (40%)</t>
        </is>
      </c>
      <c r="Y379" s="191" t="inlineStr">
        <is>
          <t>UNLIKELY</t>
        </is>
      </c>
      <c r="Z379" s="191" t="inlineStr">
        <is>
          <t>CHECK_VENDOR</t>
        </is>
      </c>
      <c r="AA379" s="192" t="inlineStr">
        <is>
          <t>https://nvd.nist.gov/vuln/detail/CVE-2025-13438</t>
        </is>
      </c>
      <c r="AB379" s="191" t="inlineStr">
        <is>
          <t>NONE</t>
        </is>
      </c>
      <c r="AC379" s="191" t="n">
        <v>0</v>
      </c>
      <c r="AD379" s="191" t="n"/>
    </row>
    <row r="380">
      <c r="A380" s="193" t="inlineStr">
        <is>
          <t>CVE</t>
        </is>
      </c>
      <c r="B380" s="193" t="inlineStr">
        <is>
          <t>CVE-2025-13563</t>
        </is>
      </c>
      <c r="C380" s="193" t="inlineStr">
        <is>
          <t>The Lizza LMS Pro plugin for WordPress is vulnerable to Privilege Escalation in all versions up to, and including, 1.0.3. This is due to the 'lizza_lms_pro_register_user_front_end' function not restricting what user roles a user can register with. This makes it possible for unauthenticated attackers to supply the 'administrator' role during registration and gain administrator access to the site.</t>
        </is>
      </c>
      <c r="D380" s="193" t="n">
        <v>9.800000000000001</v>
      </c>
      <c r="E380" s="193" t="inlineStr">
        <is>
          <t>CRITICAL</t>
        </is>
      </c>
      <c r="F380" s="193" t="n">
        <v>2</v>
      </c>
      <c r="G380" s="193" t="n">
        <v>3</v>
      </c>
      <c r="H380" s="193" t="inlineStr">
        <is>
          <t>HIGH</t>
        </is>
      </c>
      <c r="I380" s="193" t="n">
        <v>15.8</v>
      </c>
      <c r="J380" s="193" t="inlineStr">
        <is>
          <t>NO</t>
        </is>
      </c>
      <c r="K380" s="194" t="inlineStr">
        <is>
          <t>https://nvd.nist.gov/vuln/detail/CVE-2025-13563</t>
        </is>
      </c>
      <c r="L380" s="193" t="inlineStr">
        <is>
          <t>2026-02-23 23:48</t>
        </is>
      </c>
      <c r="M380" s="193" t="inlineStr">
        <is>
          <t>CHECK_VENDOR</t>
        </is>
      </c>
      <c r="N380" s="193" t="inlineStr">
        <is>
          <t>See NVD references</t>
        </is>
      </c>
      <c r="O380" s="193" t="inlineStr">
        <is>
          <t>Apply vendor patches</t>
        </is>
      </c>
      <c r="P380" s="193" t="inlineStr">
        <is>
          <t>See CVE details</t>
        </is>
      </c>
      <c r="Q380" s="193" t="inlineStr">
        <is>
          <t>P3</t>
        </is>
      </c>
      <c r="R380" s="193" t="inlineStr">
        <is>
          <t>🚨 URGENT: Apply vendor patches immediately | 🔒 Isolate affected systems if patch unavailable | 🛡️ Enable additional monitoring/IDS rules</t>
        </is>
      </c>
      <c r="S380" s="193" t="inlineStr">
        <is>
          <t>CVE - IP enrichment n/a</t>
        </is>
      </c>
      <c r="T380" s="193" t="n">
        <v>0.0005999999999999999</v>
      </c>
      <c r="U380" s="193" t="n">
        <v>0.1727</v>
      </c>
      <c r="V380" s="193" t="inlineStr">
        <is>
          <t>T1068:Exploitation for Privilege Escalation</t>
        </is>
      </c>
      <c r="W380" s="193" t="n">
        <v>1</v>
      </c>
      <c r="X380" s="193" t="inlineStr">
        <is>
          <t>LOW (40%)</t>
        </is>
      </c>
      <c r="Y380" s="193" t="inlineStr">
        <is>
          <t>UNLIKELY</t>
        </is>
      </c>
      <c r="Z380" s="193" t="inlineStr">
        <is>
          <t>CHECK_VENDOR</t>
        </is>
      </c>
      <c r="AA380" s="194" t="inlineStr">
        <is>
          <t>https://nvd.nist.gov/vuln/detail/CVE-2025-13563</t>
        </is>
      </c>
      <c r="AB380" s="193" t="inlineStr">
        <is>
          <t>NONE</t>
        </is>
      </c>
      <c r="AC380" s="193" t="n">
        <v>0</v>
      </c>
      <c r="AD380" s="193" t="n"/>
    </row>
    <row r="381">
      <c r="A381" s="191" t="inlineStr">
        <is>
          <t>CVE</t>
        </is>
      </c>
      <c r="B381" s="191" t="inlineStr">
        <is>
          <t>CVE-2025-13587</t>
        </is>
      </c>
      <c r="C381" s="191" t="inlineStr">
        <is>
          <t>The Two Factor (2FA) Authentication via Email plugin for WordPress is vulnerable to Two-Factor Authentication Bypass in versions up to, and including, 1.9.8. This is because the SS88_2FAVE::wp_login() method only enforces the 2FA requirement if the 'token' HTTP GET parameter is undefined, which makes it possible to bypass two-factor authentication by supplying any value in the 'token' parameter during login, including an empty one.</t>
        </is>
      </c>
      <c r="D381" s="191" t="n">
        <v>6.5</v>
      </c>
      <c r="E381" s="191" t="inlineStr">
        <is>
          <t>MEDIUM</t>
        </is>
      </c>
      <c r="F381" s="191" t="n">
        <v>2</v>
      </c>
      <c r="G381" s="191" t="n">
        <v>2</v>
      </c>
      <c r="H381" s="191" t="inlineStr">
        <is>
          <t>MEDIUM</t>
        </is>
      </c>
      <c r="I381" s="191" t="n">
        <v>10.5</v>
      </c>
      <c r="J381" s="191" t="inlineStr">
        <is>
          <t>NO</t>
        </is>
      </c>
      <c r="K381" s="192" t="inlineStr">
        <is>
          <t>https://nvd.nist.gov/vuln/detail/CVE-2025-13587</t>
        </is>
      </c>
      <c r="L381" s="191" t="inlineStr">
        <is>
          <t>2026-02-23 23:48</t>
        </is>
      </c>
      <c r="M381" s="191" t="inlineStr">
        <is>
          <t>CHECK_VENDOR</t>
        </is>
      </c>
      <c r="N381" s="191" t="inlineStr">
        <is>
          <t>See NVD references</t>
        </is>
      </c>
      <c r="O381" s="191" t="inlineStr">
        <is>
          <t>Apply vendor patches</t>
        </is>
      </c>
      <c r="P381" s="191" t="inlineStr">
        <is>
          <t>See CVE details</t>
        </is>
      </c>
      <c r="Q381" s="191" t="inlineStr">
        <is>
          <t>P4</t>
        </is>
      </c>
      <c r="R381" s="191" t="inlineStr">
        <is>
          <t>📅 Schedule patch deployment within 30 days | 🔍 Monitor for exploitation attempts</t>
        </is>
      </c>
      <c r="S381" s="191" t="inlineStr">
        <is>
          <t>CVE - IP enrichment n/a</t>
        </is>
      </c>
      <c r="T381" s="191" t="n">
        <v>0</v>
      </c>
      <c r="U381" s="191" t="n">
        <v>0</v>
      </c>
      <c r="V381" s="191" t="inlineStr">
        <is>
          <t>T1190:Exploit Public-Facing Application | T1078:Valid Accounts</t>
        </is>
      </c>
      <c r="W381" s="191" t="n">
        <v>1</v>
      </c>
      <c r="X381" s="191" t="inlineStr">
        <is>
          <t>LOW (40%)</t>
        </is>
      </c>
      <c r="Y381" s="191" t="inlineStr">
        <is>
          <t>UNLIKELY</t>
        </is>
      </c>
      <c r="Z381" s="191" t="inlineStr">
        <is>
          <t>CHECK_VENDOR</t>
        </is>
      </c>
      <c r="AA381" s="192" t="inlineStr">
        <is>
          <t>https://nvd.nist.gov/vuln/detail/CVE-2025-13587</t>
        </is>
      </c>
      <c r="AB381" s="191" t="inlineStr">
        <is>
          <t>NONE</t>
        </is>
      </c>
      <c r="AC381" s="191" t="n">
        <v>0</v>
      </c>
      <c r="AD381" s="191" t="n"/>
    </row>
    <row r="382">
      <c r="A382" s="189" t="inlineStr">
        <is>
          <t>CVE</t>
        </is>
      </c>
      <c r="B382" s="189" t="inlineStr">
        <is>
          <t>CVE-2025-13603</t>
        </is>
      </c>
      <c r="C382" s="189" t="inlineStr">
        <is>
          <t>The WP AUDIO GALLERY plugin for WordPress is vulnerable to Unauthorized Arbitrary File Read in all versions up to, and including, 2.0. This is due to insufficient capability checks and lack of nonce verification on the "wpag_htaccess_callback" function This makes it possible for authenticated attackers, with subscriber-level access and above, to overwrite the site's .htaccess file with arbitrary content, which can lead to arbitrary file read on the server under certain configurations.</t>
        </is>
      </c>
      <c r="D382" s="189" t="n">
        <v>8.800000000000001</v>
      </c>
      <c r="E382" s="189" t="inlineStr">
        <is>
          <t>HIGH</t>
        </is>
      </c>
      <c r="F382" s="189" t="n">
        <v>2</v>
      </c>
      <c r="G382" s="189" t="n">
        <v>3</v>
      </c>
      <c r="H382" s="189" t="inlineStr">
        <is>
          <t>HIGH</t>
        </is>
      </c>
      <c r="I382" s="189" t="n">
        <v>14.8</v>
      </c>
      <c r="J382" s="189" t="inlineStr">
        <is>
          <t>NO</t>
        </is>
      </c>
      <c r="K382" s="190" t="inlineStr">
        <is>
          <t>https://nvd.nist.gov/vuln/detail/CVE-2025-13603</t>
        </is>
      </c>
      <c r="L382" s="189" t="inlineStr">
        <is>
          <t>2026-02-23 23:48</t>
        </is>
      </c>
      <c r="M382" s="189" t="inlineStr">
        <is>
          <t>CHECK_VENDOR</t>
        </is>
      </c>
      <c r="N382" s="189" t="inlineStr">
        <is>
          <t>See NVD references</t>
        </is>
      </c>
      <c r="O382" s="189" t="inlineStr">
        <is>
          <t>Apply vendor patches</t>
        </is>
      </c>
      <c r="P382" s="189" t="inlineStr">
        <is>
          <t>See CVE details</t>
        </is>
      </c>
      <c r="Q382" s="189" t="inlineStr">
        <is>
          <t>P3</t>
        </is>
      </c>
      <c r="R382" s="189" t="inlineStr">
        <is>
          <t>🚨 URGENT: Apply vendor patches immediately | 🔒 Isolate affected systems if patch unavailable | 🛡️ Enable additional monitoring/IDS rules</t>
        </is>
      </c>
      <c r="S382" s="189" t="inlineStr">
        <is>
          <t>CVE - IP enrichment n/a</t>
        </is>
      </c>
      <c r="T382" s="189" t="n">
        <v>0</v>
      </c>
      <c r="U382" s="189" t="n">
        <v>0</v>
      </c>
      <c r="V382" s="189" t="inlineStr">
        <is>
          <t>T1190:Exploit Public-Facing Application</t>
        </is>
      </c>
      <c r="W382" s="189" t="n">
        <v>1</v>
      </c>
      <c r="X382" s="189" t="inlineStr">
        <is>
          <t>LOW (40%)</t>
        </is>
      </c>
      <c r="Y382" s="189" t="inlineStr">
        <is>
          <t>UNLIKELY</t>
        </is>
      </c>
      <c r="Z382" s="189" t="inlineStr">
        <is>
          <t>CHECK_VENDOR</t>
        </is>
      </c>
      <c r="AA382" s="190" t="inlineStr">
        <is>
          <t>https://nvd.nist.gov/vuln/detail/CVE-2025-13603</t>
        </is>
      </c>
      <c r="AB382" s="189" t="inlineStr">
        <is>
          <t>NONE</t>
        </is>
      </c>
      <c r="AC382" s="189" t="n">
        <v>0</v>
      </c>
      <c r="AD382" s="189" t="n"/>
    </row>
    <row r="383">
      <c r="A383" s="191" t="inlineStr">
        <is>
          <t>CVE</t>
        </is>
      </c>
      <c r="B383" s="191" t="inlineStr">
        <is>
          <t>CVE-2025-13612</t>
        </is>
      </c>
      <c r="C383" s="191" t="inlineStr">
        <is>
          <t>The Album and Image Gallery plus Lightbox plugin for WordPress is vulnerable to Stored Cross-Site Scripting via the plugin's `aigpl-gallery-album` shortcode in all versions up to, and including, 2.1.7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383" s="191" t="n">
        <v>6.4</v>
      </c>
      <c r="E383" s="191" t="inlineStr">
        <is>
          <t>MEDIUM</t>
        </is>
      </c>
      <c r="F383" s="191" t="n">
        <v>2</v>
      </c>
      <c r="G383" s="191" t="n">
        <v>2</v>
      </c>
      <c r="H383" s="191" t="inlineStr">
        <is>
          <t>MEDIUM</t>
        </is>
      </c>
      <c r="I383" s="191" t="n">
        <v>10.4</v>
      </c>
      <c r="J383" s="191" t="inlineStr">
        <is>
          <t>NO</t>
        </is>
      </c>
      <c r="K383" s="192" t="inlineStr">
        <is>
          <t>https://nvd.nist.gov/vuln/detail/CVE-2025-13612</t>
        </is>
      </c>
      <c r="L383" s="191" t="inlineStr">
        <is>
          <t>2026-02-23 23:48</t>
        </is>
      </c>
      <c r="M383" s="191" t="inlineStr">
        <is>
          <t>CHECK_VENDOR</t>
        </is>
      </c>
      <c r="N383" s="191" t="inlineStr">
        <is>
          <t>See NVD references</t>
        </is>
      </c>
      <c r="O383" s="191" t="inlineStr">
        <is>
          <t>Apply vendor patches</t>
        </is>
      </c>
      <c r="P383" s="191" t="inlineStr">
        <is>
          <t>See CVE details</t>
        </is>
      </c>
      <c r="Q383" s="191" t="inlineStr">
        <is>
          <t>P4</t>
        </is>
      </c>
      <c r="R383" s="191" t="inlineStr">
        <is>
          <t>📅 Schedule patch deployment within 30 days | 🔍 Monitor for exploitation attempts</t>
        </is>
      </c>
      <c r="S383" s="191" t="inlineStr">
        <is>
          <t>CVE - IP enrichment n/a</t>
        </is>
      </c>
      <c r="T383" s="191" t="n">
        <v>0</v>
      </c>
      <c r="U383" s="191" t="n">
        <v>0</v>
      </c>
      <c r="V383" s="191" t="inlineStr">
        <is>
          <t>T1189:Drive-by Compromise</t>
        </is>
      </c>
      <c r="W383" s="191" t="n">
        <v>1</v>
      </c>
      <c r="X383" s="191" t="inlineStr">
        <is>
          <t>LOW (40%)</t>
        </is>
      </c>
      <c r="Y383" s="191" t="inlineStr">
        <is>
          <t>UNLIKELY</t>
        </is>
      </c>
      <c r="Z383" s="191" t="inlineStr">
        <is>
          <t>CHECK_VENDOR</t>
        </is>
      </c>
      <c r="AA383" s="192" t="inlineStr">
        <is>
          <t>https://nvd.nist.gov/vuln/detail/CVE-2025-13612</t>
        </is>
      </c>
      <c r="AB383" s="191" t="inlineStr">
        <is>
          <t>NONE</t>
        </is>
      </c>
      <c r="AC383" s="191" t="n">
        <v>0</v>
      </c>
      <c r="AD383" s="191" t="n"/>
    </row>
    <row r="384">
      <c r="A384" s="191" t="inlineStr">
        <is>
          <t>CVE</t>
        </is>
      </c>
      <c r="B384" s="191" t="inlineStr">
        <is>
          <t>CVE-2025-13617</t>
        </is>
      </c>
      <c r="C384" s="191" t="inlineStr">
        <is>
          <t>The Apollo13 Framework Extensions plugin for WordPress is vulnerable to Stored Cross-Site Scripting via the ‘a13_alt_link’ parameter in all versions up to, and including, 1.9.8 due to insufficient input sanitization and output escaping. This makes it possible for authenticated attackers, with Contributor-level access and above, to inject arbitrary web scripts in pages that will execute whenever a user accesses an injected page.</t>
        </is>
      </c>
      <c r="D384" s="191" t="n">
        <v>6.4</v>
      </c>
      <c r="E384" s="191" t="inlineStr">
        <is>
          <t>MEDIUM</t>
        </is>
      </c>
      <c r="F384" s="191" t="n">
        <v>2</v>
      </c>
      <c r="G384" s="191" t="n">
        <v>2</v>
      </c>
      <c r="H384" s="191" t="inlineStr">
        <is>
          <t>MEDIUM</t>
        </is>
      </c>
      <c r="I384" s="191" t="n">
        <v>10.4</v>
      </c>
      <c r="J384" s="191" t="inlineStr">
        <is>
          <t>NO</t>
        </is>
      </c>
      <c r="K384" s="192" t="inlineStr">
        <is>
          <t>https://nvd.nist.gov/vuln/detail/CVE-2025-13617</t>
        </is>
      </c>
      <c r="L384" s="191" t="inlineStr">
        <is>
          <t>2026-02-23 23:48</t>
        </is>
      </c>
      <c r="M384" s="191" t="inlineStr">
        <is>
          <t>CHECK_VENDOR</t>
        </is>
      </c>
      <c r="N384" s="191" t="inlineStr">
        <is>
          <t>See NVD references</t>
        </is>
      </c>
      <c r="O384" s="191" t="inlineStr">
        <is>
          <t>Apply vendor patches</t>
        </is>
      </c>
      <c r="P384" s="191" t="inlineStr">
        <is>
          <t>See CVE details</t>
        </is>
      </c>
      <c r="Q384" s="191" t="inlineStr">
        <is>
          <t>P4</t>
        </is>
      </c>
      <c r="R384" s="191" t="inlineStr">
        <is>
          <t>📅 Schedule patch deployment within 30 days | 🔍 Monitor for exploitation attempts</t>
        </is>
      </c>
      <c r="S384" s="191" t="inlineStr">
        <is>
          <t>CVE - IP enrichment n/a</t>
        </is>
      </c>
      <c r="T384" s="191" t="n">
        <v>0</v>
      </c>
      <c r="U384" s="191" t="n">
        <v>0</v>
      </c>
      <c r="V384" s="191" t="inlineStr">
        <is>
          <t>T1189:Drive-by Compromise</t>
        </is>
      </c>
      <c r="W384" s="191" t="n">
        <v>1</v>
      </c>
      <c r="X384" s="191" t="inlineStr">
        <is>
          <t>LOW (40%)</t>
        </is>
      </c>
      <c r="Y384" s="191" t="inlineStr">
        <is>
          <t>UNLIKELY</t>
        </is>
      </c>
      <c r="Z384" s="191" t="inlineStr">
        <is>
          <t>CHECK_VENDOR</t>
        </is>
      </c>
      <c r="AA384" s="192" t="inlineStr">
        <is>
          <t>https://nvd.nist.gov/vuln/detail/CVE-2025-13617</t>
        </is>
      </c>
      <c r="AB384" s="191" t="inlineStr">
        <is>
          <t>NONE</t>
        </is>
      </c>
      <c r="AC384" s="191" t="n">
        <v>0</v>
      </c>
      <c r="AD384" s="191" t="n"/>
    </row>
    <row r="385">
      <c r="A385" s="191" t="inlineStr">
        <is>
          <t>CVE</t>
        </is>
      </c>
      <c r="B385" s="191" t="inlineStr">
        <is>
          <t>CVE-2025-13732</t>
        </is>
      </c>
      <c r="C385" s="191" t="inlineStr">
        <is>
          <t xml:space="preserve">The s2Member – Excellent for All Kinds of Memberships, Content Restriction Paywalls &amp; Member Access Subscriptions plugin for WordPress is vulnerable to Stored Cross-Site Scripting via the plugin's 's2Eot' shortcode in all versions up to, and including, 251005 due to insufficient input sanitization and output escaping. This makes it possible for authenticated attackers, with Contributor-level access and above, to inject arbitrary web scripts in pages that will execute whenever a user accesses an </t>
        </is>
      </c>
      <c r="D385" s="191" t="n">
        <v>6.4</v>
      </c>
      <c r="E385" s="191" t="inlineStr">
        <is>
          <t>MEDIUM</t>
        </is>
      </c>
      <c r="F385" s="191" t="n">
        <v>2</v>
      </c>
      <c r="G385" s="191" t="n">
        <v>2</v>
      </c>
      <c r="H385" s="191" t="inlineStr">
        <is>
          <t>MEDIUM</t>
        </is>
      </c>
      <c r="I385" s="191" t="n">
        <v>10.4</v>
      </c>
      <c r="J385" s="191" t="inlineStr">
        <is>
          <t>NO</t>
        </is>
      </c>
      <c r="K385" s="192" t="inlineStr">
        <is>
          <t>https://nvd.nist.gov/vuln/detail/CVE-2025-13732</t>
        </is>
      </c>
      <c r="L385" s="191" t="inlineStr">
        <is>
          <t>2026-02-23 23:48</t>
        </is>
      </c>
      <c r="M385" s="191" t="inlineStr">
        <is>
          <t>CHECK_VENDOR</t>
        </is>
      </c>
      <c r="N385" s="191" t="inlineStr">
        <is>
          <t>See NVD references</t>
        </is>
      </c>
      <c r="O385" s="191" t="inlineStr">
        <is>
          <t>Apply vendor patches</t>
        </is>
      </c>
      <c r="P385" s="191" t="inlineStr">
        <is>
          <t>See CVE details</t>
        </is>
      </c>
      <c r="Q385" s="191" t="inlineStr">
        <is>
          <t>P4</t>
        </is>
      </c>
      <c r="R385" s="191" t="inlineStr">
        <is>
          <t>📅 Schedule patch deployment within 30 days | 🔍 Monitor for exploitation attempts</t>
        </is>
      </c>
      <c r="S385" s="191" t="inlineStr">
        <is>
          <t>CVE - IP enrichment n/a</t>
        </is>
      </c>
      <c r="T385" s="191" t="n">
        <v>0.0003</v>
      </c>
      <c r="U385" s="191" t="n">
        <v>0.0939</v>
      </c>
      <c r="V385" s="191" t="inlineStr">
        <is>
          <t>T1189:Drive-by Compromise</t>
        </is>
      </c>
      <c r="W385" s="191" t="n">
        <v>1</v>
      </c>
      <c r="X385" s="191" t="inlineStr">
        <is>
          <t>LOW (40%)</t>
        </is>
      </c>
      <c r="Y385" s="191" t="inlineStr">
        <is>
          <t>UNLIKELY</t>
        </is>
      </c>
      <c r="Z385" s="191" t="inlineStr">
        <is>
          <t>CHECK_VENDOR</t>
        </is>
      </c>
      <c r="AA385" s="192" t="inlineStr">
        <is>
          <t>https://nvd.nist.gov/vuln/detail/CVE-2025-13732</t>
        </is>
      </c>
      <c r="AB385" s="191" t="inlineStr">
        <is>
          <t>NONE</t>
        </is>
      </c>
      <c r="AC385" s="191" t="n">
        <v>0</v>
      </c>
      <c r="AD385" s="191" t="n"/>
    </row>
    <row r="386">
      <c r="A386" s="191" t="inlineStr">
        <is>
          <t>CVE</t>
        </is>
      </c>
      <c r="B386" s="191" t="inlineStr">
        <is>
          <t>CVE-2025-13738</t>
        </is>
      </c>
      <c r="C386" s="191" t="inlineStr">
        <is>
          <t>The Easy Table of Contents plugin for WordPress is vulnerable to Stored Cross-Site Scripting via the plugin's `ez-toc` shortcode in all versions up to, and including, 2.0.78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386" s="191" t="n">
        <v>6.4</v>
      </c>
      <c r="E386" s="191" t="inlineStr">
        <is>
          <t>MEDIUM</t>
        </is>
      </c>
      <c r="F386" s="191" t="n">
        <v>2</v>
      </c>
      <c r="G386" s="191" t="n">
        <v>2</v>
      </c>
      <c r="H386" s="191" t="inlineStr">
        <is>
          <t>MEDIUM</t>
        </is>
      </c>
      <c r="I386" s="191" t="n">
        <v>10.4</v>
      </c>
      <c r="J386" s="191" t="inlineStr">
        <is>
          <t>NO</t>
        </is>
      </c>
      <c r="K386" s="192" t="inlineStr">
        <is>
          <t>https://nvd.nist.gov/vuln/detail/CVE-2025-13738</t>
        </is>
      </c>
      <c r="L386" s="191" t="inlineStr">
        <is>
          <t>2026-02-23 23:48</t>
        </is>
      </c>
      <c r="M386" s="191" t="inlineStr">
        <is>
          <t>CHECK_VENDOR</t>
        </is>
      </c>
      <c r="N386" s="191" t="inlineStr">
        <is>
          <t>See NVD references</t>
        </is>
      </c>
      <c r="O386" s="191" t="inlineStr">
        <is>
          <t>Apply vendor patches</t>
        </is>
      </c>
      <c r="P386" s="191" t="inlineStr">
        <is>
          <t>See CVE details</t>
        </is>
      </c>
      <c r="Q386" s="191" t="inlineStr">
        <is>
          <t>P4</t>
        </is>
      </c>
      <c r="R386" s="191" t="inlineStr">
        <is>
          <t>📅 Schedule patch deployment within 30 days | 🔍 Monitor for exploitation attempts</t>
        </is>
      </c>
      <c r="S386" s="191" t="inlineStr">
        <is>
          <t>CVE - IP enrichment n/a</t>
        </is>
      </c>
      <c r="T386" s="191" t="n">
        <v>0</v>
      </c>
      <c r="U386" s="191" t="n">
        <v>0</v>
      </c>
      <c r="V386" s="191" t="inlineStr">
        <is>
          <t>T1189:Drive-by Compromise</t>
        </is>
      </c>
      <c r="W386" s="191" t="n">
        <v>1</v>
      </c>
      <c r="X386" s="191" t="inlineStr">
        <is>
          <t>LOW (40%)</t>
        </is>
      </c>
      <c r="Y386" s="191" t="inlineStr">
        <is>
          <t>UNLIKELY</t>
        </is>
      </c>
      <c r="Z386" s="191" t="inlineStr">
        <is>
          <t>CHECK_VENDOR</t>
        </is>
      </c>
      <c r="AA386" s="192" t="inlineStr">
        <is>
          <t>https://nvd.nist.gov/vuln/detail/CVE-2025-13738</t>
        </is>
      </c>
      <c r="AB386" s="191" t="inlineStr">
        <is>
          <t>NONE</t>
        </is>
      </c>
      <c r="AC386" s="191" t="n">
        <v>0</v>
      </c>
      <c r="AD386" s="191" t="n"/>
    </row>
    <row r="387">
      <c r="A387" s="191" t="inlineStr">
        <is>
          <t>CVE</t>
        </is>
      </c>
      <c r="B387" s="191" t="inlineStr">
        <is>
          <t>CVE-2025-13842</t>
        </is>
      </c>
      <c r="C387" s="191" t="inlineStr">
        <is>
          <t xml:space="preserve">The Breadcrumb NavXT plugin for WordPress is vulnerable to authorization bypass through user-controlled key in versions up to and including 7.5.0. This is due to the Gutenberg block renderer trusting the $_REQUEST['post_id'] parameter without verification in the includes/blocks/build/breadcrumb-trail/render.php file. This makes it possible for unauthenticated attackers to enumerate and view breadcrumb trails for draft or private posts by manipulating the post_id parameter, revealing post titles </t>
        </is>
      </c>
      <c r="D387" s="191" t="n">
        <v>5.3</v>
      </c>
      <c r="E387" s="191" t="inlineStr">
        <is>
          <t>MEDIUM</t>
        </is>
      </c>
      <c r="F387" s="191" t="n">
        <v>2</v>
      </c>
      <c r="G387" s="191" t="n">
        <v>2</v>
      </c>
      <c r="H387" s="191" t="inlineStr">
        <is>
          <t>MEDIUM</t>
        </is>
      </c>
      <c r="I387" s="191" t="n">
        <v>9.300000000000001</v>
      </c>
      <c r="J387" s="191" t="inlineStr">
        <is>
          <t>NO</t>
        </is>
      </c>
      <c r="K387" s="192" t="inlineStr">
        <is>
          <t>https://nvd.nist.gov/vuln/detail/CVE-2025-13842</t>
        </is>
      </c>
      <c r="L387" s="191" t="inlineStr">
        <is>
          <t>2026-02-23 23:48</t>
        </is>
      </c>
      <c r="M387" s="191" t="inlineStr">
        <is>
          <t>CHECK_VENDOR</t>
        </is>
      </c>
      <c r="N387" s="191" t="inlineStr">
        <is>
          <t>See NVD references</t>
        </is>
      </c>
      <c r="O387" s="191" t="inlineStr">
        <is>
          <t>Apply vendor patches</t>
        </is>
      </c>
      <c r="P387" s="191" t="inlineStr">
        <is>
          <t>See CVE details</t>
        </is>
      </c>
      <c r="Q387" s="191" t="inlineStr">
        <is>
          <t>P4</t>
        </is>
      </c>
      <c r="R387" s="191" t="inlineStr">
        <is>
          <t>📅 Schedule patch deployment within 30 days | 🔍 Monitor for exploitation attempts</t>
        </is>
      </c>
      <c r="S387" s="191" t="inlineStr">
        <is>
          <t>CVE - IP enrichment n/a</t>
        </is>
      </c>
      <c r="T387" s="191" t="n">
        <v>0</v>
      </c>
      <c r="U387" s="191" t="n">
        <v>0</v>
      </c>
      <c r="V387" s="191" t="inlineStr">
        <is>
          <t>T1190:Exploit Public-Facing Application</t>
        </is>
      </c>
      <c r="W387" s="191" t="n">
        <v>1</v>
      </c>
      <c r="X387" s="191" t="inlineStr">
        <is>
          <t>LOW (40%)</t>
        </is>
      </c>
      <c r="Y387" s="191" t="inlineStr">
        <is>
          <t>UNLIKELY</t>
        </is>
      </c>
      <c r="Z387" s="191" t="inlineStr">
        <is>
          <t>CHECK_VENDOR</t>
        </is>
      </c>
      <c r="AA387" s="192" t="inlineStr">
        <is>
          <t>https://nvd.nist.gov/vuln/detail/CVE-2025-13842</t>
        </is>
      </c>
      <c r="AB387" s="191" t="inlineStr">
        <is>
          <t>NONE</t>
        </is>
      </c>
      <c r="AC387" s="191" t="n">
        <v>0</v>
      </c>
      <c r="AD387" s="191" t="n"/>
    </row>
    <row r="388">
      <c r="A388" s="193" t="inlineStr">
        <is>
          <t>CVE</t>
        </is>
      </c>
      <c r="B388" s="193" t="inlineStr">
        <is>
          <t>CVE-2025-13851</t>
        </is>
      </c>
      <c r="C388" s="193" t="inlineStr">
        <is>
          <t>The Buyent Classified plugin for WordPress (bundled with Buyent theme) is vulnerable to privilege escalation via user registration in all versions up to, and including, 1.0.7. This is due to the plugin not validating or restricting the user role during registration via the REST API endpoint. This makes it possible for unauthenticated attackers to register accounts with arbitrary roles, including administrator, by manipulating the _buyent_classified_user_type parameter during the registration pro</t>
        </is>
      </c>
      <c r="D388" s="193" t="n">
        <v>9.800000000000001</v>
      </c>
      <c r="E388" s="193" t="inlineStr">
        <is>
          <t>CRITICAL</t>
        </is>
      </c>
      <c r="F388" s="193" t="n">
        <v>2</v>
      </c>
      <c r="G388" s="193" t="n">
        <v>3</v>
      </c>
      <c r="H388" s="193" t="inlineStr">
        <is>
          <t>HIGH</t>
        </is>
      </c>
      <c r="I388" s="193" t="n">
        <v>15.8</v>
      </c>
      <c r="J388" s="193" t="inlineStr">
        <is>
          <t>NO</t>
        </is>
      </c>
      <c r="K388" s="194" t="inlineStr">
        <is>
          <t>https://nvd.nist.gov/vuln/detail/CVE-2025-13851</t>
        </is>
      </c>
      <c r="L388" s="193" t="inlineStr">
        <is>
          <t>2026-02-23 23:48</t>
        </is>
      </c>
      <c r="M388" s="193" t="inlineStr">
        <is>
          <t>CHECK_VENDOR</t>
        </is>
      </c>
      <c r="N388" s="193" t="inlineStr">
        <is>
          <t>See NVD references</t>
        </is>
      </c>
      <c r="O388" s="193" t="inlineStr">
        <is>
          <t>Apply vendor patches</t>
        </is>
      </c>
      <c r="P388" s="193" t="inlineStr">
        <is>
          <t>See CVE details</t>
        </is>
      </c>
      <c r="Q388" s="193" t="inlineStr">
        <is>
          <t>P3</t>
        </is>
      </c>
      <c r="R388" s="193" t="inlineStr">
        <is>
          <t>🚨 URGENT: Apply vendor patches immediately | 🔒 Isolate affected systems if patch unavailable | 🛡️ Enable additional monitoring/IDS rules</t>
        </is>
      </c>
      <c r="S388" s="193" t="inlineStr">
        <is>
          <t>CVE - IP enrichment n/a</t>
        </is>
      </c>
      <c r="T388" s="193" t="n">
        <v>0</v>
      </c>
      <c r="U388" s="193" t="n">
        <v>0</v>
      </c>
      <c r="V388" s="193" t="inlineStr">
        <is>
          <t>T1068:Exploitation for Privilege Escalation</t>
        </is>
      </c>
      <c r="W388" s="193" t="n">
        <v>1</v>
      </c>
      <c r="X388" s="193" t="inlineStr">
        <is>
          <t>LOW (40%)</t>
        </is>
      </c>
      <c r="Y388" s="193" t="inlineStr">
        <is>
          <t>UNLIKELY</t>
        </is>
      </c>
      <c r="Z388" s="193" t="inlineStr">
        <is>
          <t>CHECK_VENDOR</t>
        </is>
      </c>
      <c r="AA388" s="194" t="inlineStr">
        <is>
          <t>https://nvd.nist.gov/vuln/detail/CVE-2025-13851</t>
        </is>
      </c>
      <c r="AB388" s="193" t="inlineStr">
        <is>
          <t>NONE</t>
        </is>
      </c>
      <c r="AC388" s="193" t="n">
        <v>0</v>
      </c>
      <c r="AD388" s="193" t="n"/>
    </row>
    <row r="389">
      <c r="A389" s="191" t="inlineStr">
        <is>
          <t>CVE</t>
        </is>
      </c>
      <c r="B389" s="191" t="inlineStr">
        <is>
          <t>CVE-2025-13864</t>
        </is>
      </c>
      <c r="C389" s="191" t="inlineStr">
        <is>
          <t>The Breeze - WordPress Cache Plugin plugin for WordPress is vulnerable to unauthorized cache clearing in all versions up to, and including, 2.2.21. This is due to the REST API endpoint `/wp-json/breeze/v1/clear-all-cache` being registered with `permission_callback =&gt; '__return_true'` and authentication being disabled by default when the API is enabled. This makes it possible for unauthenticated attackers to clear all site caches (page cache, Varnish, and Cloudflare) via a simple POST request, gr</t>
        </is>
      </c>
      <c r="D389" s="191" t="n">
        <v>5.3</v>
      </c>
      <c r="E389" s="191" t="inlineStr">
        <is>
          <t>MEDIUM</t>
        </is>
      </c>
      <c r="F389" s="191" t="n">
        <v>2</v>
      </c>
      <c r="G389" s="191" t="n">
        <v>2</v>
      </c>
      <c r="H389" s="191" t="inlineStr">
        <is>
          <t>MEDIUM</t>
        </is>
      </c>
      <c r="I389" s="191" t="n">
        <v>9.300000000000001</v>
      </c>
      <c r="J389" s="191" t="inlineStr">
        <is>
          <t>NO</t>
        </is>
      </c>
      <c r="K389" s="192" t="inlineStr">
        <is>
          <t>https://nvd.nist.gov/vuln/detail/CVE-2025-13864</t>
        </is>
      </c>
      <c r="L389" s="191" t="inlineStr">
        <is>
          <t>2026-02-23 23:48</t>
        </is>
      </c>
      <c r="M389" s="191" t="inlineStr">
        <is>
          <t>CHECK_VENDOR</t>
        </is>
      </c>
      <c r="N389" s="191" t="inlineStr">
        <is>
          <t>See NVD references</t>
        </is>
      </c>
      <c r="O389" s="191" t="inlineStr">
        <is>
          <t>Apply vendor patches</t>
        </is>
      </c>
      <c r="P389" s="191" t="inlineStr">
        <is>
          <t>See CVE details</t>
        </is>
      </c>
      <c r="Q389" s="191" t="inlineStr">
        <is>
          <t>P4</t>
        </is>
      </c>
      <c r="R389" s="191" t="inlineStr">
        <is>
          <t>📅 Schedule patch deployment within 30 days | 🔍 Monitor for exploitation attempts</t>
        </is>
      </c>
      <c r="S389" s="191" t="inlineStr">
        <is>
          <t>CVE - IP enrichment n/a</t>
        </is>
      </c>
      <c r="T389" s="191" t="n">
        <v>0</v>
      </c>
      <c r="U389" s="191" t="n">
        <v>0</v>
      </c>
      <c r="V389" s="191" t="inlineStr">
        <is>
          <t>T1190:Exploit Public-Facing Application</t>
        </is>
      </c>
      <c r="W389" s="191" t="n">
        <v>1</v>
      </c>
      <c r="X389" s="191" t="inlineStr">
        <is>
          <t>LOW (40%)</t>
        </is>
      </c>
      <c r="Y389" s="191" t="inlineStr">
        <is>
          <t>UNLIKELY</t>
        </is>
      </c>
      <c r="Z389" s="191" t="inlineStr">
        <is>
          <t>CHECK_VENDOR</t>
        </is>
      </c>
      <c r="AA389" s="192" t="inlineStr">
        <is>
          <t>https://nvd.nist.gov/vuln/detail/CVE-2025-13864</t>
        </is>
      </c>
      <c r="AB389" s="191" t="inlineStr">
        <is>
          <t>NONE</t>
        </is>
      </c>
      <c r="AC389" s="191" t="n">
        <v>0</v>
      </c>
      <c r="AD389" s="191" t="n"/>
    </row>
    <row r="390">
      <c r="A390" s="191" t="inlineStr">
        <is>
          <t>CVE</t>
        </is>
      </c>
      <c r="B390" s="191" t="inlineStr">
        <is>
          <t>CVE-2025-13930</t>
        </is>
      </c>
      <c r="C390" s="191" t="inlineStr">
        <is>
          <t>The Checkout Field Manager (Checkout Manager) for WooCommerce plugin for WordPress is vulnerable to authorization bypass in versions up to, and including, 7.8.5. This is due to the plugin not properly verifying that a user is authorized to delete an attachment combined with flawed guest order ownership validation. This makes it possible for unauthenticated attackers to delete attachments associated with guest orders using only the publicly available wooccm_upload nonce and attachment ID.</t>
        </is>
      </c>
      <c r="D390" s="191" t="n">
        <v>5.3</v>
      </c>
      <c r="E390" s="191" t="inlineStr">
        <is>
          <t>MEDIUM</t>
        </is>
      </c>
      <c r="F390" s="191" t="n">
        <v>2</v>
      </c>
      <c r="G390" s="191" t="n">
        <v>2</v>
      </c>
      <c r="H390" s="191" t="inlineStr">
        <is>
          <t>MEDIUM</t>
        </is>
      </c>
      <c r="I390" s="191" t="n">
        <v>9.300000000000001</v>
      </c>
      <c r="J390" s="191" t="inlineStr">
        <is>
          <t>NO</t>
        </is>
      </c>
      <c r="K390" s="192" t="inlineStr">
        <is>
          <t>https://nvd.nist.gov/vuln/detail/CVE-2025-13930</t>
        </is>
      </c>
      <c r="L390" s="191" t="inlineStr">
        <is>
          <t>2026-02-23 23:48</t>
        </is>
      </c>
      <c r="M390" s="191" t="inlineStr">
        <is>
          <t>CHECK_VENDOR</t>
        </is>
      </c>
      <c r="N390" s="191" t="inlineStr">
        <is>
          <t>See NVD references</t>
        </is>
      </c>
      <c r="O390" s="191" t="inlineStr">
        <is>
          <t>Apply vendor patches</t>
        </is>
      </c>
      <c r="P390" s="191" t="inlineStr">
        <is>
          <t>See CVE details</t>
        </is>
      </c>
      <c r="Q390" s="191" t="inlineStr">
        <is>
          <t>P4</t>
        </is>
      </c>
      <c r="R390" s="191" t="inlineStr">
        <is>
          <t>📅 Schedule patch deployment within 30 days | 🔍 Monitor for exploitation attempts</t>
        </is>
      </c>
      <c r="S390" s="191" t="inlineStr">
        <is>
          <t>CVE - IP enrichment n/a</t>
        </is>
      </c>
      <c r="T390" s="191" t="n">
        <v>0</v>
      </c>
      <c r="U390" s="191" t="n">
        <v>0</v>
      </c>
      <c r="V390" s="191" t="inlineStr">
        <is>
          <t>T1190:Exploit Public-Facing Application</t>
        </is>
      </c>
      <c r="W390" s="191" t="n">
        <v>1</v>
      </c>
      <c r="X390" s="191" t="inlineStr">
        <is>
          <t>LOW (40%)</t>
        </is>
      </c>
      <c r="Y390" s="191" t="inlineStr">
        <is>
          <t>UNLIKELY</t>
        </is>
      </c>
      <c r="Z390" s="191" t="inlineStr">
        <is>
          <t>CHECK_VENDOR</t>
        </is>
      </c>
      <c r="AA390" s="192" t="inlineStr">
        <is>
          <t>https://nvd.nist.gov/vuln/detail/CVE-2025-13930</t>
        </is>
      </c>
      <c r="AB390" s="191" t="inlineStr">
        <is>
          <t>NONE</t>
        </is>
      </c>
      <c r="AC390" s="191" t="n">
        <v>0</v>
      </c>
      <c r="AD390" s="191" t="n"/>
    </row>
    <row r="391">
      <c r="A391" s="191" t="inlineStr">
        <is>
          <t>CVE</t>
        </is>
      </c>
      <c r="B391" s="191" t="inlineStr">
        <is>
          <t>CVE-2025-14076</t>
        </is>
      </c>
      <c r="C391" s="191" t="inlineStr">
        <is>
          <t>The iXML – Google XML sitemap generator plugin for WordPress is vulnerable to Reflected Cross-Site Scripting via the 'iXML_email' parameter in all versions up to, and including, 0.6 due to insufficient input sanitization and output escaping. This makes it possible for unauthenticated attackers to inject arbitrary web scripts in pages that execute if they can successfully trick a user into performing an action such as clicking on a link.</t>
        </is>
      </c>
      <c r="D391" s="191" t="n">
        <v>6.1</v>
      </c>
      <c r="E391" s="191" t="inlineStr">
        <is>
          <t>MEDIUM</t>
        </is>
      </c>
      <c r="F391" s="191" t="n">
        <v>2</v>
      </c>
      <c r="G391" s="191" t="n">
        <v>2</v>
      </c>
      <c r="H391" s="191" t="inlineStr">
        <is>
          <t>MEDIUM</t>
        </is>
      </c>
      <c r="I391" s="191" t="n">
        <v>10.1</v>
      </c>
      <c r="J391" s="191" t="inlineStr">
        <is>
          <t>NO</t>
        </is>
      </c>
      <c r="K391" s="192" t="inlineStr">
        <is>
          <t>https://nvd.nist.gov/vuln/detail/CVE-2025-14076</t>
        </is>
      </c>
      <c r="L391" s="191" t="inlineStr">
        <is>
          <t>2026-02-23 23:48</t>
        </is>
      </c>
      <c r="M391" s="191" t="inlineStr">
        <is>
          <t>CHECK_VENDOR</t>
        </is>
      </c>
      <c r="N391" s="191" t="inlineStr">
        <is>
          <t>See NVD references</t>
        </is>
      </c>
      <c r="O391" s="191" t="inlineStr">
        <is>
          <t>Apply vendor patches</t>
        </is>
      </c>
      <c r="P391" s="191" t="inlineStr">
        <is>
          <t>See CVE details</t>
        </is>
      </c>
      <c r="Q391" s="191" t="inlineStr">
        <is>
          <t>P4</t>
        </is>
      </c>
      <c r="R391" s="191" t="inlineStr">
        <is>
          <t>📅 Schedule patch deployment within 30 days | 🔍 Monitor for exploitation attempts</t>
        </is>
      </c>
      <c r="S391" s="191" t="inlineStr">
        <is>
          <t>CVE - IP enrichment n/a</t>
        </is>
      </c>
      <c r="T391" s="191" t="n">
        <v>0</v>
      </c>
      <c r="U391" s="191" t="n">
        <v>0</v>
      </c>
      <c r="V391" s="191" t="inlineStr">
        <is>
          <t>T1189:Drive-by Compromise</t>
        </is>
      </c>
      <c r="W391" s="191" t="n">
        <v>1</v>
      </c>
      <c r="X391" s="191" t="inlineStr">
        <is>
          <t>LOW (40%)</t>
        </is>
      </c>
      <c r="Y391" s="191" t="inlineStr">
        <is>
          <t>UNLIKELY</t>
        </is>
      </c>
      <c r="Z391" s="191" t="inlineStr">
        <is>
          <t>CHECK_VENDOR</t>
        </is>
      </c>
      <c r="AA391" s="192" t="inlineStr">
        <is>
          <t>https://nvd.nist.gov/vuln/detail/CVE-2025-14076</t>
        </is>
      </c>
      <c r="AB391" s="191" t="inlineStr">
        <is>
          <t>NONE</t>
        </is>
      </c>
      <c r="AC391" s="191" t="n">
        <v>0</v>
      </c>
      <c r="AD391" s="191" t="n"/>
    </row>
    <row r="392">
      <c r="A392" s="191" t="inlineStr">
        <is>
          <t>CVE</t>
        </is>
      </c>
      <c r="B392" s="191" t="inlineStr">
        <is>
          <t>CVE-2025-14167</t>
        </is>
      </c>
      <c r="C392" s="191" t="inlineStr">
        <is>
          <t>The Remove Post Type Slug plugin for WordPress is vulnerable to Cross-Site Request Forgery in all versions up to, and including, 1.0.2. This is due to incorrect nonce validation logic that uses OR (||) instead of AND (&amp;&amp;), causing the validation to fail when the nonce field is not empty OR when verification fails, rather than when it's empty AND verification fails. This makes it possible for unauthenticated attackers to modify the plugin's post type slug removal settings via a forged request gra</t>
        </is>
      </c>
      <c r="D392" s="191" t="n">
        <v>4.3</v>
      </c>
      <c r="E392" s="191" t="inlineStr">
        <is>
          <t>MEDIUM</t>
        </is>
      </c>
      <c r="F392" s="191" t="n">
        <v>2</v>
      </c>
      <c r="G392" s="191" t="n">
        <v>2</v>
      </c>
      <c r="H392" s="191" t="inlineStr">
        <is>
          <t>MEDIUM</t>
        </is>
      </c>
      <c r="I392" s="191" t="n">
        <v>8.300000000000001</v>
      </c>
      <c r="J392" s="191" t="inlineStr">
        <is>
          <t>NO</t>
        </is>
      </c>
      <c r="K392" s="192" t="inlineStr">
        <is>
          <t>https://nvd.nist.gov/vuln/detail/CVE-2025-14167</t>
        </is>
      </c>
      <c r="L392" s="191" t="inlineStr">
        <is>
          <t>2026-02-23 23:48</t>
        </is>
      </c>
      <c r="M392" s="191" t="inlineStr">
        <is>
          <t>CHECK_VENDOR</t>
        </is>
      </c>
      <c r="N392" s="191" t="inlineStr">
        <is>
          <t>See NVD references</t>
        </is>
      </c>
      <c r="O392" s="191" t="inlineStr">
        <is>
          <t>Apply vendor patches</t>
        </is>
      </c>
      <c r="P392" s="191" t="inlineStr">
        <is>
          <t>See CVE details</t>
        </is>
      </c>
      <c r="Q392" s="191" t="inlineStr">
        <is>
          <t>P4</t>
        </is>
      </c>
      <c r="R392" s="191" t="inlineStr">
        <is>
          <t>📅 Schedule patch deployment within 30 days | 🔍 Monitor for exploitation attempts</t>
        </is>
      </c>
      <c r="S392" s="191" t="inlineStr">
        <is>
          <t>CVE - IP enrichment n/a</t>
        </is>
      </c>
      <c r="T392" s="191" t="n">
        <v>0</v>
      </c>
      <c r="U392" s="191" t="n">
        <v>0</v>
      </c>
      <c r="V392" s="191" t="inlineStr">
        <is>
          <t>T1185:Browser Session Hijacking</t>
        </is>
      </c>
      <c r="W392" s="191" t="n">
        <v>1</v>
      </c>
      <c r="X392" s="191" t="inlineStr">
        <is>
          <t>LOW (40%)</t>
        </is>
      </c>
      <c r="Y392" s="191" t="inlineStr">
        <is>
          <t>UNLIKELY</t>
        </is>
      </c>
      <c r="Z392" s="191" t="inlineStr">
        <is>
          <t>CHECK_VENDOR</t>
        </is>
      </c>
      <c r="AA392" s="192" t="inlineStr">
        <is>
          <t>https://nvd.nist.gov/vuln/detail/CVE-2025-14167</t>
        </is>
      </c>
      <c r="AB392" s="191" t="inlineStr">
        <is>
          <t>NONE</t>
        </is>
      </c>
      <c r="AC392" s="191" t="n">
        <v>0</v>
      </c>
      <c r="AD392" s="191" t="n"/>
    </row>
    <row r="393">
      <c r="A393" s="195" t="inlineStr">
        <is>
          <t>CVE</t>
        </is>
      </c>
      <c r="B393" s="195" t="inlineStr">
        <is>
          <t>CVE-2025-14270</t>
        </is>
      </c>
      <c r="C393" s="195" t="inlineStr">
        <is>
          <t>The OneClick Chat to Order plugin for WordPress is vulnerable to authorization bypass in versions up to, and including, 1.0.9. This is due to the plugin not properly verifying that a user is authorized to perform an action in the wa_order_number_save_number_field function. This makes it possible for authenticated attackers, with Editor-level access and above, to modify WhatsApp phone numbers used by the plugin, redirecting customer orders and messages to attacker-controlled phone numbers.</t>
        </is>
      </c>
      <c r="D393" s="195" t="n">
        <v>2.7</v>
      </c>
      <c r="E393" s="195" t="inlineStr">
        <is>
          <t>LOW</t>
        </is>
      </c>
      <c r="F393" s="195" t="n">
        <v>2</v>
      </c>
      <c r="G393" s="195" t="n">
        <v>1</v>
      </c>
      <c r="H393" s="195" t="inlineStr">
        <is>
          <t>LOW</t>
        </is>
      </c>
      <c r="I393" s="195" t="n">
        <v>4.7</v>
      </c>
      <c r="J393" s="195" t="inlineStr">
        <is>
          <t>NO</t>
        </is>
      </c>
      <c r="K393" s="196" t="inlineStr">
        <is>
          <t>https://nvd.nist.gov/vuln/detail/CVE-2025-14270</t>
        </is>
      </c>
      <c r="L393" s="195" t="inlineStr">
        <is>
          <t>2026-02-23 23:48</t>
        </is>
      </c>
      <c r="M393" s="195" t="inlineStr">
        <is>
          <t>CHECK_VENDOR</t>
        </is>
      </c>
      <c r="N393" s="195" t="inlineStr">
        <is>
          <t>See NVD references</t>
        </is>
      </c>
      <c r="O393" s="195" t="inlineStr">
        <is>
          <t>Apply vendor patches</t>
        </is>
      </c>
      <c r="P393" s="195" t="inlineStr">
        <is>
          <t>See CVE details</t>
        </is>
      </c>
      <c r="Q393" s="195" t="inlineStr">
        <is>
          <t>P4</t>
        </is>
      </c>
      <c r="R393" s="195" t="inlineStr">
        <is>
          <t>📅 Schedule patch deployment within 30 days | 🔍 Monitor for exploitation attempts</t>
        </is>
      </c>
      <c r="S393" s="195" t="inlineStr">
        <is>
          <t>CVE - IP enrichment n/a</t>
        </is>
      </c>
      <c r="T393" s="195" t="n">
        <v>0.0003</v>
      </c>
      <c r="U393" s="195" t="n">
        <v>0.0824</v>
      </c>
      <c r="V393" s="195" t="inlineStr">
        <is>
          <t>T1190:Exploit Public-Facing Application</t>
        </is>
      </c>
      <c r="W393" s="195" t="n">
        <v>1</v>
      </c>
      <c r="X393" s="195" t="inlineStr">
        <is>
          <t>LOW (40%)</t>
        </is>
      </c>
      <c r="Y393" s="195" t="inlineStr">
        <is>
          <t>UNLIKELY</t>
        </is>
      </c>
      <c r="Z393" s="195" t="inlineStr">
        <is>
          <t>CHECK_VENDOR</t>
        </is>
      </c>
      <c r="AA393" s="196" t="inlineStr">
        <is>
          <t>https://nvd.nist.gov/vuln/detail/CVE-2025-14270</t>
        </is>
      </c>
      <c r="AB393" s="195" t="inlineStr">
        <is>
          <t>NONE</t>
        </is>
      </c>
      <c r="AC393" s="195" t="n">
        <v>0</v>
      </c>
      <c r="AD393" s="195" t="n"/>
    </row>
    <row r="394">
      <c r="A394" s="191" t="inlineStr">
        <is>
          <t>CVE</t>
        </is>
      </c>
      <c r="B394" s="191" t="inlineStr">
        <is>
          <t>CVE-2025-14294</t>
        </is>
      </c>
      <c r="C394" s="191" t="inlineStr">
        <is>
          <t>The Razorpay for WooCommerce plugin for WordPress is vulnerable to unauthorized modification of data due to a missing capability check on the getCouponList() function in all versions up to, and including, 4.7.8. This is due to the checkAuthCredentials() permission callback always returning true, providing no actual authentication. This makes it possible for unauthenticated attackers to modify the billing and shipping contact information (email and phone) of any WooCommerce order by knowing or gu</t>
        </is>
      </c>
      <c r="D394" s="191" t="n">
        <v>5.3</v>
      </c>
      <c r="E394" s="191" t="inlineStr">
        <is>
          <t>MEDIUM</t>
        </is>
      </c>
      <c r="F394" s="191" t="n">
        <v>2</v>
      </c>
      <c r="G394" s="191" t="n">
        <v>2</v>
      </c>
      <c r="H394" s="191" t="inlineStr">
        <is>
          <t>MEDIUM</t>
        </is>
      </c>
      <c r="I394" s="191" t="n">
        <v>9.300000000000001</v>
      </c>
      <c r="J394" s="191" t="inlineStr">
        <is>
          <t>NO</t>
        </is>
      </c>
      <c r="K394" s="192" t="inlineStr">
        <is>
          <t>https://nvd.nist.gov/vuln/detail/CVE-2025-14294</t>
        </is>
      </c>
      <c r="L394" s="191" t="inlineStr">
        <is>
          <t>2026-02-23 23:48</t>
        </is>
      </c>
      <c r="M394" s="191" t="inlineStr">
        <is>
          <t>CHECK_VENDOR</t>
        </is>
      </c>
      <c r="N394" s="191" t="inlineStr">
        <is>
          <t>See NVD references</t>
        </is>
      </c>
      <c r="O394" s="191" t="inlineStr">
        <is>
          <t>Apply vendor patches</t>
        </is>
      </c>
      <c r="P394" s="191" t="inlineStr">
        <is>
          <t>See CVE details</t>
        </is>
      </c>
      <c r="Q394" s="191" t="inlineStr">
        <is>
          <t>P4</t>
        </is>
      </c>
      <c r="R394" s="191" t="inlineStr">
        <is>
          <t>📅 Schedule patch deployment within 30 days | 🔍 Monitor for exploitation attempts</t>
        </is>
      </c>
      <c r="S394" s="191" t="inlineStr">
        <is>
          <t>CVE - IP enrichment n/a</t>
        </is>
      </c>
      <c r="T394" s="191" t="n">
        <v>0</v>
      </c>
      <c r="U394" s="191" t="n">
        <v>0</v>
      </c>
      <c r="V394" s="191" t="inlineStr">
        <is>
          <t>T1078:Valid Accounts | T1190:Exploit Public-Facing Application | T1552:Unsecured Credentials</t>
        </is>
      </c>
      <c r="W394" s="191" t="n">
        <v>1</v>
      </c>
      <c r="X394" s="191" t="inlineStr">
        <is>
          <t>LOW (40%)</t>
        </is>
      </c>
      <c r="Y394" s="191" t="inlineStr">
        <is>
          <t>UNLIKELY</t>
        </is>
      </c>
      <c r="Z394" s="191" t="inlineStr">
        <is>
          <t>CHECK_VENDOR</t>
        </is>
      </c>
      <c r="AA394" s="192" t="inlineStr">
        <is>
          <t>https://nvd.nist.gov/vuln/detail/CVE-2025-14294</t>
        </is>
      </c>
      <c r="AB394" s="191" t="inlineStr">
        <is>
          <t>NONE</t>
        </is>
      </c>
      <c r="AC394" s="191" t="n">
        <v>0</v>
      </c>
      <c r="AD394" s="191" t="n"/>
    </row>
    <row r="395">
      <c r="A395" s="191" t="inlineStr">
        <is>
          <t>CVE</t>
        </is>
      </c>
      <c r="B395" s="191" t="inlineStr">
        <is>
          <t>CVE-2025-14342</t>
        </is>
      </c>
      <c r="C395" s="191" t="inlineStr">
        <is>
          <t>The SEO Plugin by Squirrly SEO plugin for WordPress is vulnerable to unauthorized modification of data due to a missing capability check on the sq_ajax_uninstall function in all versions up to, and including, 12.4.14. This makes it possible for authenticated attackers, with Subscriber-level access and above, to disconnect the site from Squirrly's cloud service.</t>
        </is>
      </c>
      <c r="D395" s="191" t="n">
        <v>4.3</v>
      </c>
      <c r="E395" s="191" t="inlineStr">
        <is>
          <t>MEDIUM</t>
        </is>
      </c>
      <c r="F395" s="191" t="n">
        <v>2</v>
      </c>
      <c r="G395" s="191" t="n">
        <v>2</v>
      </c>
      <c r="H395" s="191" t="inlineStr">
        <is>
          <t>MEDIUM</t>
        </is>
      </c>
      <c r="I395" s="191" t="n">
        <v>8.300000000000001</v>
      </c>
      <c r="J395" s="191" t="inlineStr">
        <is>
          <t>NO</t>
        </is>
      </c>
      <c r="K395" s="192" t="inlineStr">
        <is>
          <t>https://nvd.nist.gov/vuln/detail/CVE-2025-14342</t>
        </is>
      </c>
      <c r="L395" s="191" t="inlineStr">
        <is>
          <t>2026-02-23 23:48</t>
        </is>
      </c>
      <c r="M395" s="191" t="inlineStr">
        <is>
          <t>CHECK_VENDOR</t>
        </is>
      </c>
      <c r="N395" s="191" t="inlineStr">
        <is>
          <t>See NVD references</t>
        </is>
      </c>
      <c r="O395" s="191" t="inlineStr">
        <is>
          <t>Apply vendor patches</t>
        </is>
      </c>
      <c r="P395" s="191" t="inlineStr">
        <is>
          <t>See CVE details</t>
        </is>
      </c>
      <c r="Q395" s="191" t="inlineStr">
        <is>
          <t>P4</t>
        </is>
      </c>
      <c r="R395" s="191" t="inlineStr">
        <is>
          <t>📅 Schedule patch deployment within 30 days | 🔍 Monitor for exploitation attempts</t>
        </is>
      </c>
      <c r="S395" s="191" t="inlineStr">
        <is>
          <t>CVE - IP enrichment n/a</t>
        </is>
      </c>
      <c r="T395" s="191" t="n">
        <v>0</v>
      </c>
      <c r="U395" s="191" t="n">
        <v>0</v>
      </c>
      <c r="V395" s="191" t="inlineStr">
        <is>
          <t>T1190:Exploit Public-Facing Application</t>
        </is>
      </c>
      <c r="W395" s="191" t="n">
        <v>1</v>
      </c>
      <c r="X395" s="191" t="inlineStr">
        <is>
          <t>LOW (40%)</t>
        </is>
      </c>
      <c r="Y395" s="191" t="inlineStr">
        <is>
          <t>UNLIKELY</t>
        </is>
      </c>
      <c r="Z395" s="191" t="inlineStr">
        <is>
          <t>CHECK_VENDOR</t>
        </is>
      </c>
      <c r="AA395" s="192" t="inlineStr">
        <is>
          <t>https://nvd.nist.gov/vuln/detail/CVE-2025-14342</t>
        </is>
      </c>
      <c r="AB395" s="191" t="inlineStr">
        <is>
          <t>NONE</t>
        </is>
      </c>
      <c r="AC395" s="191" t="n">
        <v>0</v>
      </c>
      <c r="AD395" s="191" t="n"/>
    </row>
    <row r="396">
      <c r="A396" s="191" t="inlineStr">
        <is>
          <t>CVE</t>
        </is>
      </c>
      <c r="B396" s="191" t="inlineStr">
        <is>
          <t>CVE-2025-14357</t>
        </is>
      </c>
      <c r="C396" s="191" t="inlineStr">
        <is>
          <t>The Mega Store Woocommerce theme for WordPress is vulnerable to unauthorized modification of data due to a missing capability check on the setup_widgets() function in core/includes/importer/whizzie.php in all versions up to, and including, 5.9. This makes it possible for authenticated attackers, with Subscriber-level access and above, to create arbitrary pages and modify site settings.</t>
        </is>
      </c>
      <c r="D396" s="191" t="n">
        <v>5.3</v>
      </c>
      <c r="E396" s="191" t="inlineStr">
        <is>
          <t>MEDIUM</t>
        </is>
      </c>
      <c r="F396" s="191" t="n">
        <v>2</v>
      </c>
      <c r="G396" s="191" t="n">
        <v>2</v>
      </c>
      <c r="H396" s="191" t="inlineStr">
        <is>
          <t>MEDIUM</t>
        </is>
      </c>
      <c r="I396" s="191" t="n">
        <v>9.300000000000001</v>
      </c>
      <c r="J396" s="191" t="inlineStr">
        <is>
          <t>NO</t>
        </is>
      </c>
      <c r="K396" s="192" t="inlineStr">
        <is>
          <t>https://nvd.nist.gov/vuln/detail/CVE-2025-14357</t>
        </is>
      </c>
      <c r="L396" s="191" t="inlineStr">
        <is>
          <t>2026-02-23 23:48</t>
        </is>
      </c>
      <c r="M396" s="191" t="inlineStr">
        <is>
          <t>CHECK_VENDOR</t>
        </is>
      </c>
      <c r="N396" s="191" t="inlineStr">
        <is>
          <t>See NVD references</t>
        </is>
      </c>
      <c r="O396" s="191" t="inlineStr">
        <is>
          <t>Apply vendor patches</t>
        </is>
      </c>
      <c r="P396" s="191" t="inlineStr">
        <is>
          <t>See CVE details</t>
        </is>
      </c>
      <c r="Q396" s="191" t="inlineStr">
        <is>
          <t>P4</t>
        </is>
      </c>
      <c r="R396" s="191" t="inlineStr">
        <is>
          <t>📅 Schedule patch deployment within 30 days | 🔍 Monitor for exploitation attempts</t>
        </is>
      </c>
      <c r="S396" s="191" t="inlineStr">
        <is>
          <t>CVE - IP enrichment n/a</t>
        </is>
      </c>
      <c r="T396" s="191" t="n">
        <v>0</v>
      </c>
      <c r="U396" s="191" t="n">
        <v>0</v>
      </c>
      <c r="V396" s="191" t="inlineStr">
        <is>
          <t>T1190:Exploit Public-Facing Application</t>
        </is>
      </c>
      <c r="W396" s="191" t="n">
        <v>1</v>
      </c>
      <c r="X396" s="191" t="inlineStr">
        <is>
          <t>LOW (40%)</t>
        </is>
      </c>
      <c r="Y396" s="191" t="inlineStr">
        <is>
          <t>UNLIKELY</t>
        </is>
      </c>
      <c r="Z396" s="191" t="inlineStr">
        <is>
          <t>CHECK_VENDOR</t>
        </is>
      </c>
      <c r="AA396" s="192" t="inlineStr">
        <is>
          <t>https://nvd.nist.gov/vuln/detail/CVE-2025-14357</t>
        </is>
      </c>
      <c r="AB396" s="191" t="inlineStr">
        <is>
          <t>NONE</t>
        </is>
      </c>
      <c r="AC396" s="191" t="n">
        <v>0</v>
      </c>
      <c r="AD396" s="191" t="n"/>
    </row>
    <row r="397">
      <c r="A397" s="191" t="inlineStr">
        <is>
          <t>CVE</t>
        </is>
      </c>
      <c r="B397" s="191" t="inlineStr">
        <is>
          <t>CVE-2025-14427</t>
        </is>
      </c>
      <c r="C397" s="191" t="inlineStr">
        <is>
          <t>The Shield Security: Blocks Bots, Protects Users, and Prevents Security Breaches plugin for WordPress is vulnerable to unauthorized modification of data due to a missing capability check on the `MfaEmailDisable` action in all versions up to, and including, 21.0.9. This makes it possible for authenticated attackers, with Subscriber-level access and above, to disable the global Email 2FA setting for the entire site.</t>
        </is>
      </c>
      <c r="D397" s="191" t="n">
        <v>4.3</v>
      </c>
      <c r="E397" s="191" t="inlineStr">
        <is>
          <t>MEDIUM</t>
        </is>
      </c>
      <c r="F397" s="191" t="n">
        <v>2</v>
      </c>
      <c r="G397" s="191" t="n">
        <v>2</v>
      </c>
      <c r="H397" s="191" t="inlineStr">
        <is>
          <t>MEDIUM</t>
        </is>
      </c>
      <c r="I397" s="191" t="n">
        <v>8.300000000000001</v>
      </c>
      <c r="J397" s="191" t="inlineStr">
        <is>
          <t>NO</t>
        </is>
      </c>
      <c r="K397" s="192" t="inlineStr">
        <is>
          <t>https://nvd.nist.gov/vuln/detail/CVE-2025-14427</t>
        </is>
      </c>
      <c r="L397" s="191" t="inlineStr">
        <is>
          <t>2026-02-23 23:48</t>
        </is>
      </c>
      <c r="M397" s="191" t="inlineStr">
        <is>
          <t>CHECK_VENDOR</t>
        </is>
      </c>
      <c r="N397" s="191" t="inlineStr">
        <is>
          <t>See NVD references</t>
        </is>
      </c>
      <c r="O397" s="191" t="inlineStr">
        <is>
          <t>Apply vendor patches</t>
        </is>
      </c>
      <c r="P397" s="191" t="inlineStr">
        <is>
          <t>See CVE details</t>
        </is>
      </c>
      <c r="Q397" s="191" t="inlineStr">
        <is>
          <t>P4</t>
        </is>
      </c>
      <c r="R397" s="191" t="inlineStr">
        <is>
          <t>📅 Schedule patch deployment within 30 days | 🔍 Monitor for exploitation attempts</t>
        </is>
      </c>
      <c r="S397" s="191" t="inlineStr">
        <is>
          <t>CVE - IP enrichment n/a</t>
        </is>
      </c>
      <c r="T397" s="191" t="n">
        <v>0</v>
      </c>
      <c r="U397" s="191" t="n">
        <v>0</v>
      </c>
      <c r="V397" s="191" t="inlineStr">
        <is>
          <t>T1190:Exploit Public-Facing Application</t>
        </is>
      </c>
      <c r="W397" s="191" t="n">
        <v>1</v>
      </c>
      <c r="X397" s="191" t="inlineStr">
        <is>
          <t>LOW (40%)</t>
        </is>
      </c>
      <c r="Y397" s="191" t="inlineStr">
        <is>
          <t>UNLIKELY</t>
        </is>
      </c>
      <c r="Z397" s="191" t="inlineStr">
        <is>
          <t>CHECK_VENDOR</t>
        </is>
      </c>
      <c r="AA397" s="192" t="inlineStr">
        <is>
          <t>https://nvd.nist.gov/vuln/detail/CVE-2025-14427</t>
        </is>
      </c>
      <c r="AB397" s="191" t="inlineStr">
        <is>
          <t>NONE</t>
        </is>
      </c>
      <c r="AC397" s="191" t="n">
        <v>0</v>
      </c>
      <c r="AD397" s="191" t="n"/>
    </row>
    <row r="398">
      <c r="A398" s="191" t="inlineStr">
        <is>
          <t>CVE</t>
        </is>
      </c>
      <c r="B398" s="191" t="inlineStr">
        <is>
          <t>CVE-2025-14445</t>
        </is>
      </c>
      <c r="C398" s="191" t="inlineStr">
        <is>
          <t>The Image Hotspot by DevVN plugin for WordPress is vulnerable to Stored Cross-Site Scripting via the 'hotspot_content' custom field meta in all versions up to, and including, 1.2.9 due to insufficient input sanitization and output escaping. This makes it possible for authenticated attackers, with author level access and above, to inject arbitrary web scripts in pages that will execute whenever a user accesses an injected page.</t>
        </is>
      </c>
      <c r="D398" s="191" t="n">
        <v>6.4</v>
      </c>
      <c r="E398" s="191" t="inlineStr">
        <is>
          <t>MEDIUM</t>
        </is>
      </c>
      <c r="F398" s="191" t="n">
        <v>2</v>
      </c>
      <c r="G398" s="191" t="n">
        <v>2</v>
      </c>
      <c r="H398" s="191" t="inlineStr">
        <is>
          <t>MEDIUM</t>
        </is>
      </c>
      <c r="I398" s="191" t="n">
        <v>10.4</v>
      </c>
      <c r="J398" s="191" t="inlineStr">
        <is>
          <t>NO</t>
        </is>
      </c>
      <c r="K398" s="192" t="inlineStr">
        <is>
          <t>https://nvd.nist.gov/vuln/detail/CVE-2025-14445</t>
        </is>
      </c>
      <c r="L398" s="191" t="inlineStr">
        <is>
          <t>2026-02-23 23:48</t>
        </is>
      </c>
      <c r="M398" s="191" t="inlineStr">
        <is>
          <t>CHECK_VENDOR</t>
        </is>
      </c>
      <c r="N398" s="191" t="inlineStr">
        <is>
          <t>See NVD references</t>
        </is>
      </c>
      <c r="O398" s="191" t="inlineStr">
        <is>
          <t>Apply vendor patches</t>
        </is>
      </c>
      <c r="P398" s="191" t="inlineStr">
        <is>
          <t>See CVE details</t>
        </is>
      </c>
      <c r="Q398" s="191" t="inlineStr">
        <is>
          <t>P4</t>
        </is>
      </c>
      <c r="R398" s="191" t="inlineStr">
        <is>
          <t>📅 Schedule patch deployment within 30 days | 🔍 Monitor for exploitation attempts</t>
        </is>
      </c>
      <c r="S398" s="191" t="inlineStr">
        <is>
          <t>CVE - IP enrichment n/a</t>
        </is>
      </c>
      <c r="T398" s="191" t="n">
        <v>0</v>
      </c>
      <c r="U398" s="191" t="n">
        <v>0</v>
      </c>
      <c r="V398" s="191" t="inlineStr">
        <is>
          <t>T1189:Drive-by Compromise</t>
        </is>
      </c>
      <c r="W398" s="191" t="n">
        <v>1</v>
      </c>
      <c r="X398" s="191" t="inlineStr">
        <is>
          <t>LOW (40%)</t>
        </is>
      </c>
      <c r="Y398" s="191" t="inlineStr">
        <is>
          <t>UNLIKELY</t>
        </is>
      </c>
      <c r="Z398" s="191" t="inlineStr">
        <is>
          <t>CHECK_VENDOR</t>
        </is>
      </c>
      <c r="AA398" s="192" t="inlineStr">
        <is>
          <t>https://nvd.nist.gov/vuln/detail/CVE-2025-14445</t>
        </is>
      </c>
      <c r="AB398" s="191" t="inlineStr">
        <is>
          <t>NONE</t>
        </is>
      </c>
      <c r="AC398" s="191" t="n">
        <v>0</v>
      </c>
      <c r="AD398" s="191" t="n"/>
    </row>
    <row r="399">
      <c r="A399" s="189" t="inlineStr">
        <is>
          <t>CVE</t>
        </is>
      </c>
      <c r="B399" s="189" t="inlineStr">
        <is>
          <t>CVE-2025-14452</t>
        </is>
      </c>
      <c r="C399" s="189" t="inlineStr">
        <is>
          <t>The WP Customer Reviews plugin for WordPress is vulnerable to Reflected Cross-Site Scripting via the 'wpcr3_fname' parameter in all versions up to, and including, 3.7.5 due to insufficient input sanitization and output escaping. This makes it possible for unauthenticated attackers to inject arbitrary web scripts in pages that execute if they can successfully trick a user into performing an action such as clicking on a link.</t>
        </is>
      </c>
      <c r="D399" s="189" t="n">
        <v>7.2</v>
      </c>
      <c r="E399" s="189" t="inlineStr">
        <is>
          <t>HIGH</t>
        </is>
      </c>
      <c r="F399" s="189" t="n">
        <v>2</v>
      </c>
      <c r="G399" s="189" t="n">
        <v>3</v>
      </c>
      <c r="H399" s="189" t="inlineStr">
        <is>
          <t>HIGH</t>
        </is>
      </c>
      <c r="I399" s="189" t="n">
        <v>13.2</v>
      </c>
      <c r="J399" s="189" t="inlineStr">
        <is>
          <t>NO</t>
        </is>
      </c>
      <c r="K399" s="190" t="inlineStr">
        <is>
          <t>https://nvd.nist.gov/vuln/detail/CVE-2025-14452</t>
        </is>
      </c>
      <c r="L399" s="189" t="inlineStr">
        <is>
          <t>2026-02-23 23:48</t>
        </is>
      </c>
      <c r="M399" s="189" t="inlineStr">
        <is>
          <t>CHECK_VENDOR</t>
        </is>
      </c>
      <c r="N399" s="189" t="inlineStr">
        <is>
          <t>See NVD references</t>
        </is>
      </c>
      <c r="O399" s="189" t="inlineStr">
        <is>
          <t>Apply vendor patches</t>
        </is>
      </c>
      <c r="P399" s="189" t="inlineStr">
        <is>
          <t>See CVE details</t>
        </is>
      </c>
      <c r="Q399" s="189" t="inlineStr">
        <is>
          <t>P3</t>
        </is>
      </c>
      <c r="R399" s="189" t="inlineStr">
        <is>
          <t>🚨 URGENT: Apply vendor patches immediately | 🔒 Isolate affected systems if patch unavailable | 🛡️ Enable additional monitoring/IDS rules</t>
        </is>
      </c>
      <c r="S399" s="189" t="inlineStr">
        <is>
          <t>CVE - IP enrichment n/a</t>
        </is>
      </c>
      <c r="T399" s="189" t="n">
        <v>0</v>
      </c>
      <c r="U399" s="189" t="n">
        <v>0</v>
      </c>
      <c r="V399" s="189" t="inlineStr">
        <is>
          <t>T1189:Drive-by Compromise</t>
        </is>
      </c>
      <c r="W399" s="189" t="n">
        <v>1</v>
      </c>
      <c r="X399" s="189" t="inlineStr">
        <is>
          <t>LOW (40%)</t>
        </is>
      </c>
      <c r="Y399" s="189" t="inlineStr">
        <is>
          <t>UNLIKELY</t>
        </is>
      </c>
      <c r="Z399" s="189" t="inlineStr">
        <is>
          <t>CHECK_VENDOR</t>
        </is>
      </c>
      <c r="AA399" s="190" t="inlineStr">
        <is>
          <t>https://nvd.nist.gov/vuln/detail/CVE-2025-14452</t>
        </is>
      </c>
      <c r="AB399" s="189" t="inlineStr">
        <is>
          <t>NONE</t>
        </is>
      </c>
      <c r="AC399" s="189" t="n">
        <v>0</v>
      </c>
      <c r="AD399" s="189" t="n"/>
    </row>
    <row r="400">
      <c r="A400" s="191" t="inlineStr">
        <is>
          <t>CVE</t>
        </is>
      </c>
      <c r="B400" s="191" t="inlineStr">
        <is>
          <t>CVE-2025-14851</t>
        </is>
      </c>
      <c r="C400" s="191" t="inlineStr">
        <is>
          <t>The YaMaps for WordPress plugin for WordPress is vulnerable to Stored Cross-Site Scripting via the `yamap` shortcode parameters in all versions up to, and including, 0.6.40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400" s="191" t="n">
        <v>6.4</v>
      </c>
      <c r="E400" s="191" t="inlineStr">
        <is>
          <t>MEDIUM</t>
        </is>
      </c>
      <c r="F400" s="191" t="n">
        <v>2</v>
      </c>
      <c r="G400" s="191" t="n">
        <v>2</v>
      </c>
      <c r="H400" s="191" t="inlineStr">
        <is>
          <t>MEDIUM</t>
        </is>
      </c>
      <c r="I400" s="191" t="n">
        <v>10.4</v>
      </c>
      <c r="J400" s="191" t="inlineStr">
        <is>
          <t>NO</t>
        </is>
      </c>
      <c r="K400" s="192" t="inlineStr">
        <is>
          <t>https://nvd.nist.gov/vuln/detail/CVE-2025-14851</t>
        </is>
      </c>
      <c r="L400" s="191" t="inlineStr">
        <is>
          <t>2026-02-23 23:48</t>
        </is>
      </c>
      <c r="M400" s="191" t="inlineStr">
        <is>
          <t>CHECK_VENDOR</t>
        </is>
      </c>
      <c r="N400" s="191" t="inlineStr">
        <is>
          <t>See NVD references</t>
        </is>
      </c>
      <c r="O400" s="191" t="inlineStr">
        <is>
          <t>Apply vendor patches</t>
        </is>
      </c>
      <c r="P400" s="191" t="inlineStr">
        <is>
          <t>See CVE details</t>
        </is>
      </c>
      <c r="Q400" s="191" t="inlineStr">
        <is>
          <t>P4</t>
        </is>
      </c>
      <c r="R400" s="191" t="inlineStr">
        <is>
          <t>📅 Schedule patch deployment within 30 days | 🔍 Monitor for exploitation attempts</t>
        </is>
      </c>
      <c r="S400" s="191" t="inlineStr">
        <is>
          <t>CVE - IP enrichment n/a</t>
        </is>
      </c>
      <c r="T400" s="191" t="n">
        <v>0</v>
      </c>
      <c r="U400" s="191" t="n">
        <v>0</v>
      </c>
      <c r="V400" s="191" t="inlineStr">
        <is>
          <t>T1189:Drive-by Compromise</t>
        </is>
      </c>
      <c r="W400" s="191" t="n">
        <v>1</v>
      </c>
      <c r="X400" s="191" t="inlineStr">
        <is>
          <t>LOW (40%)</t>
        </is>
      </c>
      <c r="Y400" s="191" t="inlineStr">
        <is>
          <t>UNLIKELY</t>
        </is>
      </c>
      <c r="Z400" s="191" t="inlineStr">
        <is>
          <t>CHECK_VENDOR</t>
        </is>
      </c>
      <c r="AA400" s="192" t="inlineStr">
        <is>
          <t>https://nvd.nist.gov/vuln/detail/CVE-2025-14851</t>
        </is>
      </c>
      <c r="AB400" s="191" t="inlineStr">
        <is>
          <t>NONE</t>
        </is>
      </c>
      <c r="AC400" s="191" t="n">
        <v>0</v>
      </c>
      <c r="AD400" s="191" t="n"/>
    </row>
    <row r="401">
      <c r="A401" s="191" t="inlineStr">
        <is>
          <t>CVE</t>
        </is>
      </c>
      <c r="B401" s="191" t="inlineStr">
        <is>
          <t>CVE-2025-14864</t>
        </is>
      </c>
      <c r="C401" s="191" t="inlineStr">
        <is>
          <t>The Virusdie - One-click website security plugin for WordPress is vulnerable to Sensitive Information Exposure in all versions up to, and including, 1.1.7. This is due to missing capability checks on the `vd_get_apikey` function which is hooked to `wp_ajax_virusdie_apikey`. This makes it possible for authenticated attackers, with Subscriber-level access and above, to retrieve the site's Virusdie API key, which could be used to access the site owner's Virusdie account and potentially compromise s</t>
        </is>
      </c>
      <c r="D401" s="191" t="n">
        <v>4.3</v>
      </c>
      <c r="E401" s="191" t="inlineStr">
        <is>
          <t>MEDIUM</t>
        </is>
      </c>
      <c r="F401" s="191" t="n">
        <v>2</v>
      </c>
      <c r="G401" s="191" t="n">
        <v>2</v>
      </c>
      <c r="H401" s="191" t="inlineStr">
        <is>
          <t>MEDIUM</t>
        </is>
      </c>
      <c r="I401" s="191" t="n">
        <v>8.300000000000001</v>
      </c>
      <c r="J401" s="191" t="inlineStr">
        <is>
          <t>NO</t>
        </is>
      </c>
      <c r="K401" s="192" t="inlineStr">
        <is>
          <t>https://nvd.nist.gov/vuln/detail/CVE-2025-14864</t>
        </is>
      </c>
      <c r="L401" s="191" t="inlineStr">
        <is>
          <t>2026-02-23 23:48</t>
        </is>
      </c>
      <c r="M401" s="191" t="inlineStr">
        <is>
          <t>CHECK_VENDOR</t>
        </is>
      </c>
      <c r="N401" s="191" t="inlineStr">
        <is>
          <t>See NVD references</t>
        </is>
      </c>
      <c r="O401" s="191" t="inlineStr">
        <is>
          <t>Apply vendor patches</t>
        </is>
      </c>
      <c r="P401" s="191" t="inlineStr">
        <is>
          <t>See CVE details</t>
        </is>
      </c>
      <c r="Q401" s="191" t="inlineStr">
        <is>
          <t>P4</t>
        </is>
      </c>
      <c r="R401" s="191" t="inlineStr">
        <is>
          <t>📅 Schedule patch deployment within 30 days | 🔍 Monitor for exploitation attempts</t>
        </is>
      </c>
      <c r="S401" s="191" t="inlineStr">
        <is>
          <t>CVE - IP enrichment n/a</t>
        </is>
      </c>
      <c r="T401" s="191" t="n">
        <v>0</v>
      </c>
      <c r="U401" s="191" t="n">
        <v>0</v>
      </c>
      <c r="V401" s="191" t="inlineStr">
        <is>
          <t>T1190:Exploit Public-Facing Application</t>
        </is>
      </c>
      <c r="W401" s="191" t="n">
        <v>1</v>
      </c>
      <c r="X401" s="191" t="inlineStr">
        <is>
          <t>LOW (40%)</t>
        </is>
      </c>
      <c r="Y401" s="191" t="inlineStr">
        <is>
          <t>UNLIKELY</t>
        </is>
      </c>
      <c r="Z401" s="191" t="inlineStr">
        <is>
          <t>CHECK_VENDOR</t>
        </is>
      </c>
      <c r="AA401" s="192" t="inlineStr">
        <is>
          <t>https://nvd.nist.gov/vuln/detail/CVE-2025-14864</t>
        </is>
      </c>
      <c r="AB401" s="191" t="inlineStr">
        <is>
          <t>NONE</t>
        </is>
      </c>
      <c r="AC401" s="191" t="n">
        <v>0</v>
      </c>
      <c r="AD401" s="191" t="n"/>
    </row>
    <row r="402">
      <c r="A402" s="191" t="inlineStr">
        <is>
          <t>CVE</t>
        </is>
      </c>
      <c r="B402" s="191" t="inlineStr">
        <is>
          <t>CVE-2025-14983</t>
        </is>
      </c>
      <c r="C402" s="191" t="inlineStr">
        <is>
          <t>The Advanced Custom Fields: Font Awesome Field plugin for WordPress is vulnerable to Cross-Site Scripting in all versions up to, and including, 5.0.1 due to insufficient input sanitization and output escaping. This makes it possible forauthenticated attackers, with Contributor-level access and above, to inject arbitrary web scripts that execute in a victim's browser.</t>
        </is>
      </c>
      <c r="D402" s="191" t="n">
        <v>6.4</v>
      </c>
      <c r="E402" s="191" t="inlineStr">
        <is>
          <t>MEDIUM</t>
        </is>
      </c>
      <c r="F402" s="191" t="n">
        <v>2</v>
      </c>
      <c r="G402" s="191" t="n">
        <v>2</v>
      </c>
      <c r="H402" s="191" t="inlineStr">
        <is>
          <t>MEDIUM</t>
        </is>
      </c>
      <c r="I402" s="191" t="n">
        <v>10.4</v>
      </c>
      <c r="J402" s="191" t="inlineStr">
        <is>
          <t>NO</t>
        </is>
      </c>
      <c r="K402" s="192" t="inlineStr">
        <is>
          <t>https://nvd.nist.gov/vuln/detail/CVE-2025-14983</t>
        </is>
      </c>
      <c r="L402" s="191" t="inlineStr">
        <is>
          <t>2026-02-23 23:48</t>
        </is>
      </c>
      <c r="M402" s="191" t="inlineStr">
        <is>
          <t>CHECK_VENDOR</t>
        </is>
      </c>
      <c r="N402" s="191" t="inlineStr">
        <is>
          <t>See NVD references</t>
        </is>
      </c>
      <c r="O402" s="191" t="inlineStr">
        <is>
          <t>Apply vendor patches</t>
        </is>
      </c>
      <c r="P402" s="191" t="inlineStr">
        <is>
          <t>See CVE details</t>
        </is>
      </c>
      <c r="Q402" s="191" t="inlineStr">
        <is>
          <t>P4</t>
        </is>
      </c>
      <c r="R402" s="191" t="inlineStr">
        <is>
          <t>📅 Schedule patch deployment within 30 days | 🔍 Monitor for exploitation attempts</t>
        </is>
      </c>
      <c r="S402" s="191" t="inlineStr">
        <is>
          <t>CVE - IP enrichment n/a</t>
        </is>
      </c>
      <c r="T402" s="191" t="n">
        <v>0</v>
      </c>
      <c r="U402" s="191" t="n">
        <v>0</v>
      </c>
      <c r="V402" s="191" t="inlineStr">
        <is>
          <t>T1189:Drive-by Compromise</t>
        </is>
      </c>
      <c r="W402" s="191" t="n">
        <v>1</v>
      </c>
      <c r="X402" s="191" t="inlineStr">
        <is>
          <t>LOW (40%)</t>
        </is>
      </c>
      <c r="Y402" s="191" t="inlineStr">
        <is>
          <t>UNLIKELY</t>
        </is>
      </c>
      <c r="Z402" s="191" t="inlineStr">
        <is>
          <t>CHECK_VENDOR</t>
        </is>
      </c>
      <c r="AA402" s="192" t="inlineStr">
        <is>
          <t>https://nvd.nist.gov/vuln/detail/CVE-2025-14983</t>
        </is>
      </c>
      <c r="AB402" s="191" t="inlineStr">
        <is>
          <t>NONE</t>
        </is>
      </c>
      <c r="AC402" s="191" t="n">
        <v>0</v>
      </c>
      <c r="AD402" s="191" t="n"/>
    </row>
    <row r="403">
      <c r="A403" s="189" t="inlineStr">
        <is>
          <t>CVE</t>
        </is>
      </c>
      <c r="B403" s="189" t="inlineStr">
        <is>
          <t>CVE-2025-15041</t>
        </is>
      </c>
      <c r="C403" s="189" t="inlineStr">
        <is>
          <t>The BackWPup – WordPress Backup &amp; Restore Plugin plugin for WordPress is vulnerable to unauthorized modification of data that can lead to privilege escalation due to a missing capability check on the save_site_option() function in all versions up to, and including, 5.6.2. This makes it possible for authenticated attackers, with level access and above, to update arbitrary options on the WordPress site. This can be leveraged to update the default role for registration to administrator and enable u</t>
        </is>
      </c>
      <c r="D403" s="189" t="n">
        <v>7.2</v>
      </c>
      <c r="E403" s="189" t="inlineStr">
        <is>
          <t>HIGH</t>
        </is>
      </c>
      <c r="F403" s="189" t="n">
        <v>2</v>
      </c>
      <c r="G403" s="189" t="n">
        <v>3</v>
      </c>
      <c r="H403" s="189" t="inlineStr">
        <is>
          <t>HIGH</t>
        </is>
      </c>
      <c r="I403" s="189" t="n">
        <v>13.2</v>
      </c>
      <c r="J403" s="189" t="inlineStr">
        <is>
          <t>NO</t>
        </is>
      </c>
      <c r="K403" s="190" t="inlineStr">
        <is>
          <t>https://nvd.nist.gov/vuln/detail/CVE-2025-15041</t>
        </is>
      </c>
      <c r="L403" s="189" t="inlineStr">
        <is>
          <t>2026-02-23 23:48</t>
        </is>
      </c>
      <c r="M403" s="189" t="inlineStr">
        <is>
          <t>CHECK_VENDOR</t>
        </is>
      </c>
      <c r="N403" s="189" t="inlineStr">
        <is>
          <t>See NVD references</t>
        </is>
      </c>
      <c r="O403" s="189" t="inlineStr">
        <is>
          <t>Apply vendor patches</t>
        </is>
      </c>
      <c r="P403" s="189" t="inlineStr">
        <is>
          <t>See CVE details</t>
        </is>
      </c>
      <c r="Q403" s="189" t="inlineStr">
        <is>
          <t>P3</t>
        </is>
      </c>
      <c r="R403" s="189" t="inlineStr">
        <is>
          <t>🚨 URGENT: Apply vendor patches immediately | 🔒 Isolate affected systems if patch unavailable | 🛡️ Enable additional monitoring/IDS rules</t>
        </is>
      </c>
      <c r="S403" s="189" t="inlineStr">
        <is>
          <t>CVE - IP enrichment n/a</t>
        </is>
      </c>
      <c r="T403" s="189" t="n">
        <v>0</v>
      </c>
      <c r="U403" s="189" t="n">
        <v>0</v>
      </c>
      <c r="V403" s="189" t="inlineStr">
        <is>
          <t>T1068:Exploitation for Privilege Escalation</t>
        </is>
      </c>
      <c r="W403" s="189" t="n">
        <v>1</v>
      </c>
      <c r="X403" s="189" t="inlineStr">
        <is>
          <t>LOW (40%)</t>
        </is>
      </c>
      <c r="Y403" s="189" t="inlineStr">
        <is>
          <t>UNLIKELY</t>
        </is>
      </c>
      <c r="Z403" s="189" t="inlineStr">
        <is>
          <t>CHECK_VENDOR</t>
        </is>
      </c>
      <c r="AA403" s="190" t="inlineStr">
        <is>
          <t>https://nvd.nist.gov/vuln/detail/CVE-2025-15041</t>
        </is>
      </c>
      <c r="AB403" s="189" t="inlineStr">
        <is>
          <t>NONE</t>
        </is>
      </c>
      <c r="AC403" s="189" t="n">
        <v>0</v>
      </c>
      <c r="AD403" s="189" t="n"/>
    </row>
    <row r="404">
      <c r="A404" s="191" t="inlineStr">
        <is>
          <t>CVE</t>
        </is>
      </c>
      <c r="B404" s="191" t="inlineStr">
        <is>
          <t>CVE-2025-15586</t>
        </is>
      </c>
      <c r="C404" s="191" t="inlineStr">
        <is>
          <t>OGP-Website installs prior git commit 52f865a4fba763594453068acf8fa9e3fc38d663 are affected by a type juggling flaw which if exploited can result in authentication bypass without knowledge of the victim account's password.</t>
        </is>
      </c>
      <c r="D404" s="191" t="n">
        <v>5</v>
      </c>
      <c r="E404" s="191" t="inlineStr">
        <is>
          <t>MEDIUM</t>
        </is>
      </c>
      <c r="F404" s="191" t="n">
        <v>2</v>
      </c>
      <c r="G404" s="191" t="n">
        <v>2</v>
      </c>
      <c r="H404" s="191" t="inlineStr">
        <is>
          <t>MEDIUM</t>
        </is>
      </c>
      <c r="I404" s="191" t="n">
        <v>9</v>
      </c>
      <c r="J404" s="191" t="inlineStr">
        <is>
          <t>NO</t>
        </is>
      </c>
      <c r="K404" s="192" t="inlineStr">
        <is>
          <t>https://nvd.nist.gov/vuln/detail/CVE-2025-15586</t>
        </is>
      </c>
      <c r="L404" s="191" t="inlineStr">
        <is>
          <t>2026-02-23 23:48</t>
        </is>
      </c>
      <c r="M404" s="191" t="inlineStr">
        <is>
          <t>CHECK_VENDOR</t>
        </is>
      </c>
      <c r="N404" s="191" t="inlineStr">
        <is>
          <t>See NVD references</t>
        </is>
      </c>
      <c r="O404" s="191" t="inlineStr">
        <is>
          <t>Apply vendor patches</t>
        </is>
      </c>
      <c r="P404" s="191" t="inlineStr">
        <is>
          <t>See CVE details</t>
        </is>
      </c>
      <c r="Q404" s="191" t="inlineStr">
        <is>
          <t>P4</t>
        </is>
      </c>
      <c r="R404" s="191" t="inlineStr">
        <is>
          <t>📅 Schedule patch deployment within 30 days | 🔍 Monitor for exploitation attempts</t>
        </is>
      </c>
      <c r="S404" s="191" t="inlineStr">
        <is>
          <t>CVE - IP enrichment n/a</t>
        </is>
      </c>
      <c r="T404" s="191" t="n">
        <v>0.0008</v>
      </c>
      <c r="U404" s="191" t="n">
        <v>0.2255</v>
      </c>
      <c r="V404" s="191" t="inlineStr">
        <is>
          <t>T1078:Valid Accounts | T1110:Brute Force</t>
        </is>
      </c>
      <c r="W404" s="191" t="n">
        <v>1</v>
      </c>
      <c r="X404" s="191" t="inlineStr">
        <is>
          <t>LOW (40%)</t>
        </is>
      </c>
      <c r="Y404" s="191" t="inlineStr">
        <is>
          <t>UNLIKELY</t>
        </is>
      </c>
      <c r="Z404" s="191" t="inlineStr">
        <is>
          <t>CHECK_VENDOR</t>
        </is>
      </c>
      <c r="AA404" s="192" t="inlineStr">
        <is>
          <t>https://nvd.nist.gov/vuln/detail/CVE-2025-15586</t>
        </is>
      </c>
      <c r="AB404" s="191" t="inlineStr">
        <is>
          <t>NONE</t>
        </is>
      </c>
      <c r="AC404" s="191" t="n">
        <v>0</v>
      </c>
      <c r="AD404" s="191" t="n"/>
    </row>
    <row r="405">
      <c r="A405" s="189" t="inlineStr">
        <is>
          <t>CVE</t>
        </is>
      </c>
      <c r="B405" s="189" t="inlineStr">
        <is>
          <t>CVE-2025-4521</t>
        </is>
      </c>
      <c r="C405" s="189" t="inlineStr">
        <is>
          <t>The IDonate – Blood Donation, Request And Donor Management System plugin for WordPress is vulnerable to Privilege Escalation due to a missing capability check on the idonate_donor_profile() function in versions 2.1.5 to 2.1.9. This makes it possible for authenticated attackers, with Subscriber-level access and above, to hijack any account by reassigning its email address (via the donor_id they supply) and then triggering a password reset, ultimately granting themselves full administrator privile</t>
        </is>
      </c>
      <c r="D405" s="189" t="n">
        <v>8.800000000000001</v>
      </c>
      <c r="E405" s="189" t="inlineStr">
        <is>
          <t>HIGH</t>
        </is>
      </c>
      <c r="F405" s="189" t="n">
        <v>2</v>
      </c>
      <c r="G405" s="189" t="n">
        <v>3</v>
      </c>
      <c r="H405" s="189" t="inlineStr">
        <is>
          <t>HIGH</t>
        </is>
      </c>
      <c r="I405" s="189" t="n">
        <v>14.8</v>
      </c>
      <c r="J405" s="189" t="inlineStr">
        <is>
          <t>NO</t>
        </is>
      </c>
      <c r="K405" s="190" t="inlineStr">
        <is>
          <t>https://nvd.nist.gov/vuln/detail/CVE-2025-4521</t>
        </is>
      </c>
      <c r="L405" s="189" t="inlineStr">
        <is>
          <t>2026-02-23 23:48</t>
        </is>
      </c>
      <c r="M405" s="189" t="inlineStr">
        <is>
          <t>CHECK_VENDOR</t>
        </is>
      </c>
      <c r="N405" s="189" t="inlineStr">
        <is>
          <t>See NVD references</t>
        </is>
      </c>
      <c r="O405" s="189" t="inlineStr">
        <is>
          <t>Apply vendor patches</t>
        </is>
      </c>
      <c r="P405" s="189" t="inlineStr">
        <is>
          <t>See CVE details</t>
        </is>
      </c>
      <c r="Q405" s="189" t="inlineStr">
        <is>
          <t>P3</t>
        </is>
      </c>
      <c r="R405" s="189" t="inlineStr">
        <is>
          <t>🚨 URGENT: Apply vendor patches immediately | 🔒 Isolate affected systems if patch unavailable | 🛡️ Enable additional monitoring/IDS rules</t>
        </is>
      </c>
      <c r="S405" s="189" t="inlineStr">
        <is>
          <t>CVE - IP enrichment n/a</t>
        </is>
      </c>
      <c r="T405" s="189" t="n">
        <v>0</v>
      </c>
      <c r="U405" s="189" t="n">
        <v>0</v>
      </c>
      <c r="V405" s="189" t="inlineStr">
        <is>
          <t>T1068:Exploitation for Privilege Escalation</t>
        </is>
      </c>
      <c r="W405" s="189" t="n">
        <v>1</v>
      </c>
      <c r="X405" s="189" t="inlineStr">
        <is>
          <t>LOW (40%)</t>
        </is>
      </c>
      <c r="Y405" s="189" t="inlineStr">
        <is>
          <t>UNLIKELY</t>
        </is>
      </c>
      <c r="Z405" s="189" t="inlineStr">
        <is>
          <t>CHECK_VENDOR</t>
        </is>
      </c>
      <c r="AA405" s="190" t="inlineStr">
        <is>
          <t>https://nvd.nist.gov/vuln/detail/CVE-2025-4521</t>
        </is>
      </c>
      <c r="AB405" s="189" t="inlineStr">
        <is>
          <t>NONE</t>
        </is>
      </c>
      <c r="AC405" s="189" t="n">
        <v>0</v>
      </c>
      <c r="AD405" s="189" t="n"/>
    </row>
    <row r="406">
      <c r="A406" s="189" t="inlineStr">
        <is>
          <t>CVE</t>
        </is>
      </c>
      <c r="B406" s="189" t="inlineStr">
        <is>
          <t>CVE-2025-4960</t>
        </is>
      </c>
      <c r="C406" s="189" t="inlineStr">
        <is>
          <t xml:space="preserve">The com.epson.InstallNavi.helper tool, deployed with the EPSON printer driver installer, contains a local privilege escalation vulnerability due to multiple flaws in its implementation. It fails to properly authenticate clients over the XPC protocol and does not correctly enforce macOS’s authorization model, exposing privileged functionality to untrusted users. Although it invokes the AuthorizationCopyRights API, it does so using overly permissive custom rights that it registers in the system’s </t>
        </is>
      </c>
      <c r="D406" s="189" t="n">
        <v>7.8</v>
      </c>
      <c r="E406" s="189" t="inlineStr">
        <is>
          <t>HIGH</t>
        </is>
      </c>
      <c r="F406" s="189" t="n">
        <v>2</v>
      </c>
      <c r="G406" s="189" t="n">
        <v>3</v>
      </c>
      <c r="H406" s="189" t="inlineStr">
        <is>
          <t>HIGH</t>
        </is>
      </c>
      <c r="I406" s="189" t="n">
        <v>13.8</v>
      </c>
      <c r="J406" s="189" t="inlineStr">
        <is>
          <t>NO</t>
        </is>
      </c>
      <c r="K406" s="190" t="inlineStr">
        <is>
          <t>https://nvd.nist.gov/vuln/detail/CVE-2025-4960</t>
        </is>
      </c>
      <c r="L406" s="189" t="inlineStr">
        <is>
          <t>2026-02-23 23:48</t>
        </is>
      </c>
      <c r="M406" s="189" t="inlineStr">
        <is>
          <t>CHECK_VENDOR</t>
        </is>
      </c>
      <c r="N406" s="189" t="inlineStr">
        <is>
          <t>See NVD references</t>
        </is>
      </c>
      <c r="O406" s="189" t="inlineStr">
        <is>
          <t>Apply vendor patches</t>
        </is>
      </c>
      <c r="P406" s="189" t="inlineStr">
        <is>
          <t>See CVE details</t>
        </is>
      </c>
      <c r="Q406" s="189" t="inlineStr">
        <is>
          <t>P3</t>
        </is>
      </c>
      <c r="R406" s="189" t="inlineStr">
        <is>
          <t>🚨 URGENT: Apply vendor patches immediately | 🔒 Isolate affected systems if patch unavailable | 🛡️ Enable additional monitoring/IDS rules</t>
        </is>
      </c>
      <c r="S406" s="189" t="inlineStr">
        <is>
          <t>CVE - IP enrichment n/a</t>
        </is>
      </c>
      <c r="T406" s="189" t="n">
        <v>0</v>
      </c>
      <c r="U406" s="189" t="n">
        <v>0</v>
      </c>
      <c r="V406" s="189" t="inlineStr">
        <is>
          <t>T1190:Exploit Public-Facing Application | T1068:Exploitation for Privilege Escalation | T1552:Unsecured Credentials</t>
        </is>
      </c>
      <c r="W406" s="189" t="n">
        <v>1</v>
      </c>
      <c r="X406" s="189" t="inlineStr">
        <is>
          <t>LOW (40%)</t>
        </is>
      </c>
      <c r="Y406" s="189" t="inlineStr">
        <is>
          <t>UNLIKELY</t>
        </is>
      </c>
      <c r="Z406" s="189" t="inlineStr">
        <is>
          <t>CHECK_VENDOR</t>
        </is>
      </c>
      <c r="AA406" s="190" t="inlineStr">
        <is>
          <t>https://nvd.nist.gov/vuln/detail/CVE-2025-4960</t>
        </is>
      </c>
      <c r="AB406" s="189" t="inlineStr">
        <is>
          <t>NONE</t>
        </is>
      </c>
      <c r="AC406" s="189" t="n">
        <v>0</v>
      </c>
      <c r="AD406" s="189" t="n"/>
    </row>
    <row r="407">
      <c r="A407" s="191" t="inlineStr">
        <is>
          <t>CVE</t>
        </is>
      </c>
      <c r="B407" s="191" t="inlineStr">
        <is>
          <t>CVE-2026-0549</t>
        </is>
      </c>
      <c r="C407" s="191" t="inlineStr">
        <is>
          <t>The Groups plugin for WordPress is vulnerable to Stored Cross-Site Scripting via the plugin's 'groups_group_info' shortcode in all versions up to, and including, 3.10.0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407" s="191" t="n">
        <v>6.4</v>
      </c>
      <c r="E407" s="191" t="inlineStr">
        <is>
          <t>MEDIUM</t>
        </is>
      </c>
      <c r="F407" s="191" t="n">
        <v>2</v>
      </c>
      <c r="G407" s="191" t="n">
        <v>2</v>
      </c>
      <c r="H407" s="191" t="inlineStr">
        <is>
          <t>MEDIUM</t>
        </is>
      </c>
      <c r="I407" s="191" t="n">
        <v>10.4</v>
      </c>
      <c r="J407" s="191" t="inlineStr">
        <is>
          <t>NO</t>
        </is>
      </c>
      <c r="K407" s="192" t="inlineStr">
        <is>
          <t>https://nvd.nist.gov/vuln/detail/CVE-2026-0549</t>
        </is>
      </c>
      <c r="L407" s="191" t="inlineStr">
        <is>
          <t>2026-02-23 23:48</t>
        </is>
      </c>
      <c r="M407" s="191" t="inlineStr">
        <is>
          <t>CHECK_VENDOR</t>
        </is>
      </c>
      <c r="N407" s="191" t="inlineStr">
        <is>
          <t>See NVD references</t>
        </is>
      </c>
      <c r="O407" s="191" t="inlineStr">
        <is>
          <t>Apply vendor patches</t>
        </is>
      </c>
      <c r="P407" s="191" t="inlineStr">
        <is>
          <t>See CVE details</t>
        </is>
      </c>
      <c r="Q407" s="191" t="inlineStr">
        <is>
          <t>P4</t>
        </is>
      </c>
      <c r="R407" s="191" t="inlineStr">
        <is>
          <t>📅 Schedule patch deployment within 30 days | 🔍 Monitor for exploitation attempts</t>
        </is>
      </c>
      <c r="S407" s="191" t="inlineStr">
        <is>
          <t>CVE - IP enrichment n/a</t>
        </is>
      </c>
      <c r="T407" s="191" t="n">
        <v>0</v>
      </c>
      <c r="U407" s="191" t="n">
        <v>0</v>
      </c>
      <c r="V407" s="191" t="inlineStr">
        <is>
          <t>T1189:Drive-by Compromise</t>
        </is>
      </c>
      <c r="W407" s="191" t="n">
        <v>1</v>
      </c>
      <c r="X407" s="191" t="inlineStr">
        <is>
          <t>LOW (40%)</t>
        </is>
      </c>
      <c r="Y407" s="191" t="inlineStr">
        <is>
          <t>UNLIKELY</t>
        </is>
      </c>
      <c r="Z407" s="191" t="inlineStr">
        <is>
          <t>CHECK_VENDOR</t>
        </is>
      </c>
      <c r="AA407" s="192" t="inlineStr">
        <is>
          <t>https://nvd.nist.gov/vuln/detail/CVE-2026-0549</t>
        </is>
      </c>
      <c r="AB407" s="191" t="inlineStr">
        <is>
          <t>NONE</t>
        </is>
      </c>
      <c r="AC407" s="191" t="n">
        <v>0</v>
      </c>
      <c r="AD407" s="191" t="n"/>
    </row>
    <row r="408">
      <c r="A408" s="191" t="inlineStr">
        <is>
          <t>CVE</t>
        </is>
      </c>
      <c r="B408" s="191" t="inlineStr">
        <is>
          <t>CVE-2026-0556</t>
        </is>
      </c>
      <c r="C408" s="191" t="inlineStr">
        <is>
          <t>The XO Event Calendar plugin for WordPress is vulnerable to Stored Cross-Site Scripting via the plugin's 'xo_event_field' shortcode in all versions up to, and including, 3.2.10 due to insufficient input sanitization and output escaping on user supplied attributes. This makes it possible for authenticated attackers, with contributor level access and above, to inject arbitrary web scripts in pages that will execute whenever a user accesses an injected page.</t>
        </is>
      </c>
      <c r="D408" s="191" t="n">
        <v>6.4</v>
      </c>
      <c r="E408" s="191" t="inlineStr">
        <is>
          <t>MEDIUM</t>
        </is>
      </c>
      <c r="F408" s="191" t="n">
        <v>2</v>
      </c>
      <c r="G408" s="191" t="n">
        <v>2</v>
      </c>
      <c r="H408" s="191" t="inlineStr">
        <is>
          <t>MEDIUM</t>
        </is>
      </c>
      <c r="I408" s="191" t="n">
        <v>10.4</v>
      </c>
      <c r="J408" s="191" t="inlineStr">
        <is>
          <t>NO</t>
        </is>
      </c>
      <c r="K408" s="192" t="inlineStr">
        <is>
          <t>https://nvd.nist.gov/vuln/detail/CVE-2026-0556</t>
        </is>
      </c>
      <c r="L408" s="191" t="inlineStr">
        <is>
          <t>2026-02-23 23:48</t>
        </is>
      </c>
      <c r="M408" s="191" t="inlineStr">
        <is>
          <t>CHECK_VENDOR</t>
        </is>
      </c>
      <c r="N408" s="191" t="inlineStr">
        <is>
          <t>See NVD references</t>
        </is>
      </c>
      <c r="O408" s="191" t="inlineStr">
        <is>
          <t>Apply vendor patches</t>
        </is>
      </c>
      <c r="P408" s="191" t="inlineStr">
        <is>
          <t>See CVE details</t>
        </is>
      </c>
      <c r="Q408" s="191" t="inlineStr">
        <is>
          <t>P4</t>
        </is>
      </c>
      <c r="R408" s="191" t="inlineStr">
        <is>
          <t>📅 Schedule patch deployment within 30 days | 🔍 Monitor for exploitation attempts</t>
        </is>
      </c>
      <c r="S408" s="191" t="inlineStr">
        <is>
          <t>CVE - IP enrichment n/a</t>
        </is>
      </c>
      <c r="T408" s="191" t="n">
        <v>0</v>
      </c>
      <c r="U408" s="191" t="n">
        <v>0</v>
      </c>
      <c r="V408" s="191" t="inlineStr">
        <is>
          <t>T1189:Drive-by Compromise</t>
        </is>
      </c>
      <c r="W408" s="191" t="n">
        <v>1</v>
      </c>
      <c r="X408" s="191" t="inlineStr">
        <is>
          <t>LOW (40%)</t>
        </is>
      </c>
      <c r="Y408" s="191" t="inlineStr">
        <is>
          <t>UNLIKELY</t>
        </is>
      </c>
      <c r="Z408" s="191" t="inlineStr">
        <is>
          <t>CHECK_VENDOR</t>
        </is>
      </c>
      <c r="AA408" s="192" t="inlineStr">
        <is>
          <t>https://nvd.nist.gov/vuln/detail/CVE-2026-0556</t>
        </is>
      </c>
      <c r="AB408" s="191" t="inlineStr">
        <is>
          <t>NONE</t>
        </is>
      </c>
      <c r="AC408" s="191" t="n">
        <v>0</v>
      </c>
      <c r="AD408" s="191" t="n"/>
    </row>
    <row r="409">
      <c r="A409" s="191" t="inlineStr">
        <is>
          <t>CVE</t>
        </is>
      </c>
      <c r="B409" s="191" t="inlineStr">
        <is>
          <t>CVE-2026-0561</t>
        </is>
      </c>
      <c r="C409" s="191" t="inlineStr">
        <is>
          <t>The Shield Security plugin for WordPress is vulnerable to Reflected Cross-Site Scripting via the 'message' parameter in all versions up to, and including, 21.0.8 due to insufficient input sanitization and output escaping. This makes it possible for unauthenticated attackers to inject arbitrary web scripts in pages that execute if they can successfully trick a user into performing an action such as clicking on a link.</t>
        </is>
      </c>
      <c r="D409" s="191" t="n">
        <v>6.1</v>
      </c>
      <c r="E409" s="191" t="inlineStr">
        <is>
          <t>MEDIUM</t>
        </is>
      </c>
      <c r="F409" s="191" t="n">
        <v>2</v>
      </c>
      <c r="G409" s="191" t="n">
        <v>2</v>
      </c>
      <c r="H409" s="191" t="inlineStr">
        <is>
          <t>MEDIUM</t>
        </is>
      </c>
      <c r="I409" s="191" t="n">
        <v>10.1</v>
      </c>
      <c r="J409" s="191" t="inlineStr">
        <is>
          <t>NO</t>
        </is>
      </c>
      <c r="K409" s="192" t="inlineStr">
        <is>
          <t>https://nvd.nist.gov/vuln/detail/CVE-2026-0561</t>
        </is>
      </c>
      <c r="L409" s="191" t="inlineStr">
        <is>
          <t>2026-02-23 23:48</t>
        </is>
      </c>
      <c r="M409" s="191" t="inlineStr">
        <is>
          <t>CHECK_VENDOR</t>
        </is>
      </c>
      <c r="N409" s="191" t="inlineStr">
        <is>
          <t>See NVD references</t>
        </is>
      </c>
      <c r="O409" s="191" t="inlineStr">
        <is>
          <t>Apply vendor patches</t>
        </is>
      </c>
      <c r="P409" s="191" t="inlineStr">
        <is>
          <t>See CVE details</t>
        </is>
      </c>
      <c r="Q409" s="191" t="inlineStr">
        <is>
          <t>P4</t>
        </is>
      </c>
      <c r="R409" s="191" t="inlineStr">
        <is>
          <t>📅 Schedule patch deployment within 30 days | 🔍 Monitor for exploitation attempts</t>
        </is>
      </c>
      <c r="S409" s="191" t="inlineStr">
        <is>
          <t>CVE - IP enrichment n/a</t>
        </is>
      </c>
      <c r="T409" s="191" t="n">
        <v>0</v>
      </c>
      <c r="U409" s="191" t="n">
        <v>0</v>
      </c>
      <c r="V409" s="191" t="inlineStr">
        <is>
          <t>T1189:Drive-by Compromise</t>
        </is>
      </c>
      <c r="W409" s="191" t="n">
        <v>1</v>
      </c>
      <c r="X409" s="191" t="inlineStr">
        <is>
          <t>LOW (40%)</t>
        </is>
      </c>
      <c r="Y409" s="191" t="inlineStr">
        <is>
          <t>UNLIKELY</t>
        </is>
      </c>
      <c r="Z409" s="191" t="inlineStr">
        <is>
          <t>CHECK_VENDOR</t>
        </is>
      </c>
      <c r="AA409" s="192" t="inlineStr">
        <is>
          <t>https://nvd.nist.gov/vuln/detail/CVE-2026-0561</t>
        </is>
      </c>
      <c r="AB409" s="191" t="inlineStr">
        <is>
          <t>NONE</t>
        </is>
      </c>
      <c r="AC409" s="191" t="n">
        <v>0</v>
      </c>
      <c r="AD409" s="191" t="n"/>
    </row>
    <row r="410">
      <c r="A410" s="191" t="inlineStr">
        <is>
          <t>CVE</t>
        </is>
      </c>
      <c r="B410" s="191" t="inlineStr">
        <is>
          <t>CVE-2026-0722</t>
        </is>
      </c>
      <c r="C410" s="191" t="inlineStr">
        <is>
          <t>The Shield Security plugin for WordPress is vulnerable to Cross-Site Request Forgery in all versions up to, and including, 21.0.8. This is due to the plugin allowing nonce verification to be bypassed via user-supplied parameter in the 'isNonceVerifyRequired' function. This makes it possible for unauthenticated attackers to execute SQL injection attacks, extracting sensitive information from the database, via a forged request granted they can trick a site administrator into performing an action s</t>
        </is>
      </c>
      <c r="D410" s="191" t="n">
        <v>6.5</v>
      </c>
      <c r="E410" s="191" t="inlineStr">
        <is>
          <t>MEDIUM</t>
        </is>
      </c>
      <c r="F410" s="191" t="n">
        <v>2</v>
      </c>
      <c r="G410" s="191" t="n">
        <v>2</v>
      </c>
      <c r="H410" s="191" t="inlineStr">
        <is>
          <t>MEDIUM</t>
        </is>
      </c>
      <c r="I410" s="191" t="n">
        <v>10.5</v>
      </c>
      <c r="J410" s="191" t="inlineStr">
        <is>
          <t>NO</t>
        </is>
      </c>
      <c r="K410" s="192" t="inlineStr">
        <is>
          <t>https://nvd.nist.gov/vuln/detail/CVE-2026-0722</t>
        </is>
      </c>
      <c r="L410" s="191" t="inlineStr">
        <is>
          <t>2026-02-23 23:48</t>
        </is>
      </c>
      <c r="M410" s="191" t="inlineStr">
        <is>
          <t>CHECK_VENDOR</t>
        </is>
      </c>
      <c r="N410" s="191" t="inlineStr">
        <is>
          <t>See NVD references</t>
        </is>
      </c>
      <c r="O410" s="191" t="inlineStr">
        <is>
          <t>Apply vendor patches</t>
        </is>
      </c>
      <c r="P410" s="191" t="inlineStr">
        <is>
          <t>See CVE details</t>
        </is>
      </c>
      <c r="Q410" s="191" t="inlineStr">
        <is>
          <t>P4</t>
        </is>
      </c>
      <c r="R410" s="191" t="inlineStr">
        <is>
          <t>📅 Schedule patch deployment within 30 days | 🔍 Monitor for exploitation attempts</t>
        </is>
      </c>
      <c r="S410" s="191" t="inlineStr">
        <is>
          <t>CVE - IP enrichment n/a</t>
        </is>
      </c>
      <c r="T410" s="191" t="n">
        <v>0.0008</v>
      </c>
      <c r="U410" s="191" t="n">
        <v>0.2344</v>
      </c>
      <c r="V410" s="191" t="inlineStr">
        <is>
          <t>T1190:Exploit Public-Facing Application</t>
        </is>
      </c>
      <c r="W410" s="191" t="n">
        <v>1</v>
      </c>
      <c r="X410" s="191" t="inlineStr">
        <is>
          <t>LOW (40%)</t>
        </is>
      </c>
      <c r="Y410" s="191" t="inlineStr">
        <is>
          <t>UNLIKELY</t>
        </is>
      </c>
      <c r="Z410" s="191" t="inlineStr">
        <is>
          <t>CHECK_VENDOR</t>
        </is>
      </c>
      <c r="AA410" s="192" t="inlineStr">
        <is>
          <t>https://nvd.nist.gov/vuln/detail/CVE-2026-0722</t>
        </is>
      </c>
      <c r="AB410" s="191" t="inlineStr">
        <is>
          <t>NONE</t>
        </is>
      </c>
      <c r="AC410" s="191" t="n">
        <v>0</v>
      </c>
      <c r="AD410" s="191" t="n"/>
    </row>
    <row r="411">
      <c r="A411" s="189" t="inlineStr">
        <is>
          <t>CVE</t>
        </is>
      </c>
      <c r="B411" s="189" t="inlineStr">
        <is>
          <t>CVE-2026-0912</t>
        </is>
      </c>
      <c r="C411" s="189" t="inlineStr">
        <is>
          <t>The Toret Manager plugin for WordPress is vulnerable to unauthorized modification of data that can lead to privilege escalation due to a missing capability check on the 'trman_save_option' function and on the 'trman_save_option_items' in all versions up to, and including, 1.2.7. This makes it possible for authenticated attackers, with Subscriber-level access and above, to update arbitrary options on the WordPress site. This can be leveraged to update the default role for registration to administ</t>
        </is>
      </c>
      <c r="D411" s="189" t="n">
        <v>8.800000000000001</v>
      </c>
      <c r="E411" s="189" t="inlineStr">
        <is>
          <t>HIGH</t>
        </is>
      </c>
      <c r="F411" s="189" t="n">
        <v>2</v>
      </c>
      <c r="G411" s="189" t="n">
        <v>3</v>
      </c>
      <c r="H411" s="189" t="inlineStr">
        <is>
          <t>HIGH</t>
        </is>
      </c>
      <c r="I411" s="189" t="n">
        <v>14.8</v>
      </c>
      <c r="J411" s="189" t="inlineStr">
        <is>
          <t>NO</t>
        </is>
      </c>
      <c r="K411" s="190" t="inlineStr">
        <is>
          <t>https://nvd.nist.gov/vuln/detail/CVE-2026-0912</t>
        </is>
      </c>
      <c r="L411" s="189" t="inlineStr">
        <is>
          <t>2026-02-23 23:48</t>
        </is>
      </c>
      <c r="M411" s="189" t="inlineStr">
        <is>
          <t>CHECK_VENDOR</t>
        </is>
      </c>
      <c r="N411" s="189" t="inlineStr">
        <is>
          <t>See NVD references</t>
        </is>
      </c>
      <c r="O411" s="189" t="inlineStr">
        <is>
          <t>Apply vendor patches</t>
        </is>
      </c>
      <c r="P411" s="189" t="inlineStr">
        <is>
          <t>See CVE details</t>
        </is>
      </c>
      <c r="Q411" s="189" t="inlineStr">
        <is>
          <t>P3</t>
        </is>
      </c>
      <c r="R411" s="189" t="inlineStr">
        <is>
          <t>🚨 URGENT: Apply vendor patches immediately | 🔒 Isolate affected systems if patch unavailable | 🛡️ Enable additional monitoring/IDS rules</t>
        </is>
      </c>
      <c r="S411" s="189" t="inlineStr">
        <is>
          <t>CVE - IP enrichment n/a</t>
        </is>
      </c>
      <c r="T411" s="189" t="n">
        <v>0</v>
      </c>
      <c r="U411" s="189" t="n">
        <v>0</v>
      </c>
      <c r="V411" s="189" t="inlineStr">
        <is>
          <t>T1068:Exploitation for Privilege Escalation</t>
        </is>
      </c>
      <c r="W411" s="189" t="n">
        <v>1</v>
      </c>
      <c r="X411" s="189" t="inlineStr">
        <is>
          <t>LOW (40%)</t>
        </is>
      </c>
      <c r="Y411" s="189" t="inlineStr">
        <is>
          <t>UNLIKELY</t>
        </is>
      </c>
      <c r="Z411" s="189" t="inlineStr">
        <is>
          <t>CHECK_VENDOR</t>
        </is>
      </c>
      <c r="AA411" s="190" t="inlineStr">
        <is>
          <t>https://nvd.nist.gov/vuln/detail/CVE-2026-0912</t>
        </is>
      </c>
      <c r="AB411" s="189" t="inlineStr">
        <is>
          <t>NONE</t>
        </is>
      </c>
      <c r="AC411" s="189" t="n">
        <v>0</v>
      </c>
      <c r="AD411" s="189" t="n"/>
    </row>
    <row r="412">
      <c r="A412" s="193" t="inlineStr">
        <is>
          <t>CVE</t>
        </is>
      </c>
      <c r="B412" s="193" t="inlineStr">
        <is>
          <t>CVE-2026-0926</t>
        </is>
      </c>
      <c r="C412" s="193" t="inlineStr">
        <is>
          <t xml:space="preserve">The Prodigy Commerce plugin for WordPress is vulnerable to Local File Inclusion in all versions up to, and including, 3.2.9 via the 'parameters[template_name]' parameter. This makes it possible for unauthenticated attackers to include and read arbitrary files or execute arbitrary files on the server, allowing the execution of any PHP code in those files. This can be used to bypass access controls, obtain sensitive data, or achieve code execution in cases where images and other “safe” file types </t>
        </is>
      </c>
      <c r="D412" s="193" t="n">
        <v>9.800000000000001</v>
      </c>
      <c r="E412" s="193" t="inlineStr">
        <is>
          <t>CRITICAL</t>
        </is>
      </c>
      <c r="F412" s="193" t="n">
        <v>2</v>
      </c>
      <c r="G412" s="193" t="n">
        <v>3</v>
      </c>
      <c r="H412" s="193" t="inlineStr">
        <is>
          <t>HIGH</t>
        </is>
      </c>
      <c r="I412" s="193" t="n">
        <v>15.8</v>
      </c>
      <c r="J412" s="193" t="inlineStr">
        <is>
          <t>NO</t>
        </is>
      </c>
      <c r="K412" s="194" t="inlineStr">
        <is>
          <t>https://nvd.nist.gov/vuln/detail/CVE-2026-0926</t>
        </is>
      </c>
      <c r="L412" s="193" t="inlineStr">
        <is>
          <t>2026-02-23 23:48</t>
        </is>
      </c>
      <c r="M412" s="193" t="inlineStr">
        <is>
          <t>CHECK_VENDOR</t>
        </is>
      </c>
      <c r="N412" s="193" t="inlineStr">
        <is>
          <t>See NVD references</t>
        </is>
      </c>
      <c r="O412" s="193" t="inlineStr">
        <is>
          <t>Apply vendor patches</t>
        </is>
      </c>
      <c r="P412" s="193" t="inlineStr">
        <is>
          <t>See CVE details</t>
        </is>
      </c>
      <c r="Q412" s="193" t="inlineStr">
        <is>
          <t>P3</t>
        </is>
      </c>
      <c r="R412" s="193" t="inlineStr">
        <is>
          <t>🚨 URGENT: Apply vendor patches immediately | 🔒 Isolate affected systems if patch unavailable | 🛡️ Enable additional monitoring/IDS rules</t>
        </is>
      </c>
      <c r="S412" s="193" t="inlineStr">
        <is>
          <t>CVE - IP enrichment n/a</t>
        </is>
      </c>
      <c r="T412" s="193" t="n">
        <v>0</v>
      </c>
      <c r="U412" s="193" t="n">
        <v>0</v>
      </c>
      <c r="V412" s="193" t="inlineStr">
        <is>
          <t>T1190:Exploit Public-Facing Application</t>
        </is>
      </c>
      <c r="W412" s="193" t="n">
        <v>1</v>
      </c>
      <c r="X412" s="193" t="inlineStr">
        <is>
          <t>LOW (40%)</t>
        </is>
      </c>
      <c r="Y412" s="193" t="inlineStr">
        <is>
          <t>UNLIKELY</t>
        </is>
      </c>
      <c r="Z412" s="193" t="inlineStr">
        <is>
          <t>CHECK_VENDOR</t>
        </is>
      </c>
      <c r="AA412" s="194" t="inlineStr">
        <is>
          <t>https://nvd.nist.gov/vuln/detail/CVE-2026-0926</t>
        </is>
      </c>
      <c r="AB412" s="193" t="inlineStr">
        <is>
          <t>NONE</t>
        </is>
      </c>
      <c r="AC412" s="193" t="n">
        <v>0</v>
      </c>
      <c r="AD412" s="193" t="n"/>
    </row>
    <row r="413">
      <c r="A413" s="189" t="inlineStr">
        <is>
          <t>CVE</t>
        </is>
      </c>
      <c r="B413" s="189" t="inlineStr">
        <is>
          <t>CVE-2026-0974</t>
        </is>
      </c>
      <c r="C413" s="189" t="inlineStr">
        <is>
          <t>The Orderable – WordPress Restaurant Online Ordering System and Food Ordering Plugin plugin for WordPress is vulnerable to unauthorized plugin installation due to a missing capability check on the 'install_plugin' function in all versions up to, and including, 1.20.0. This makes it possible for authenticated attackers, with Subscriber-level access and above, to install arbitrary plugins, which can lead to Remote Code Execution.</t>
        </is>
      </c>
      <c r="D413" s="189" t="n">
        <v>8.800000000000001</v>
      </c>
      <c r="E413" s="189" t="inlineStr">
        <is>
          <t>HIGH</t>
        </is>
      </c>
      <c r="F413" s="189" t="n">
        <v>2</v>
      </c>
      <c r="G413" s="189" t="n">
        <v>3</v>
      </c>
      <c r="H413" s="189" t="inlineStr">
        <is>
          <t>HIGH</t>
        </is>
      </c>
      <c r="I413" s="189" t="n">
        <v>14.8</v>
      </c>
      <c r="J413" s="189" t="inlineStr">
        <is>
          <t>NO</t>
        </is>
      </c>
      <c r="K413" s="190" t="inlineStr">
        <is>
          <t>https://nvd.nist.gov/vuln/detail/CVE-2026-0974</t>
        </is>
      </c>
      <c r="L413" s="189" t="inlineStr">
        <is>
          <t>2026-02-23 23:48</t>
        </is>
      </c>
      <c r="M413" s="189" t="inlineStr">
        <is>
          <t>CHECK_VENDOR</t>
        </is>
      </c>
      <c r="N413" s="189" t="inlineStr">
        <is>
          <t>See NVD references</t>
        </is>
      </c>
      <c r="O413" s="189" t="inlineStr">
        <is>
          <t>Apply vendor patches</t>
        </is>
      </c>
      <c r="P413" s="189" t="inlineStr">
        <is>
          <t>See CVE details</t>
        </is>
      </c>
      <c r="Q413" s="189" t="inlineStr">
        <is>
          <t>P3</t>
        </is>
      </c>
      <c r="R413" s="189" t="inlineStr">
        <is>
          <t>🚨 URGENT: Apply vendor patches immediately | 🔒 Isolate affected systems if patch unavailable | 🛡️ Enable additional monitoring/IDS rules</t>
        </is>
      </c>
      <c r="S413" s="189" t="inlineStr">
        <is>
          <t>CVE - IP enrichment n/a</t>
        </is>
      </c>
      <c r="T413" s="189" t="n">
        <v>0</v>
      </c>
      <c r="U413" s="189" t="n">
        <v>0</v>
      </c>
      <c r="V413" s="189" t="inlineStr">
        <is>
          <t>T1190:Exploit Public-Facing Application | T1210:Exploitation of Remote Services</t>
        </is>
      </c>
      <c r="W413" s="189" t="n">
        <v>1</v>
      </c>
      <c r="X413" s="189" t="inlineStr">
        <is>
          <t>LOW (40%)</t>
        </is>
      </c>
      <c r="Y413" s="189" t="inlineStr">
        <is>
          <t>UNLIKELY</t>
        </is>
      </c>
      <c r="Z413" s="189" t="inlineStr">
        <is>
          <t>CHECK_VENDOR</t>
        </is>
      </c>
      <c r="AA413" s="190" t="inlineStr">
        <is>
          <t>https://nvd.nist.gov/vuln/detail/CVE-2026-0974</t>
        </is>
      </c>
      <c r="AB413" s="189" t="inlineStr">
        <is>
          <t>NONE</t>
        </is>
      </c>
      <c r="AC413" s="189" t="n">
        <v>0</v>
      </c>
      <c r="AD413" s="189" t="n"/>
    </row>
    <row r="414">
      <c r="A414" s="191" t="inlineStr">
        <is>
          <t>CVE</t>
        </is>
      </c>
      <c r="B414" s="191" t="inlineStr">
        <is>
          <t>CVE-2026-1043</t>
        </is>
      </c>
      <c r="C414" s="191" t="inlineStr">
        <is>
          <t>The PostmarkApp Email Integrator plugin for WordPress is vulnerable to Stored Cross-Site Scripting via the plugin settings in versions up to, and including, 2.4. This is due to insufficient input sanitization and output escaping on the pma_api_key and pma_sender_address parameters. This makes it possible for authenticated attackers, with Administrator-level access and above, to inject arbitrary web scripts in pages that will execute whenever a user accesses the settings page.</t>
        </is>
      </c>
      <c r="D414" s="191" t="n">
        <v>4.4</v>
      </c>
      <c r="E414" s="191" t="inlineStr">
        <is>
          <t>MEDIUM</t>
        </is>
      </c>
      <c r="F414" s="191" t="n">
        <v>2</v>
      </c>
      <c r="G414" s="191" t="n">
        <v>2</v>
      </c>
      <c r="H414" s="191" t="inlineStr">
        <is>
          <t>MEDIUM</t>
        </is>
      </c>
      <c r="I414" s="191" t="n">
        <v>8.4</v>
      </c>
      <c r="J414" s="191" t="inlineStr">
        <is>
          <t>NO</t>
        </is>
      </c>
      <c r="K414" s="192" t="inlineStr">
        <is>
          <t>https://nvd.nist.gov/vuln/detail/CVE-2026-1043</t>
        </is>
      </c>
      <c r="L414" s="191" t="inlineStr">
        <is>
          <t>2026-02-23 23:48</t>
        </is>
      </c>
      <c r="M414" s="191" t="inlineStr">
        <is>
          <t>CHECK_VENDOR</t>
        </is>
      </c>
      <c r="N414" s="191" t="inlineStr">
        <is>
          <t>See NVD references</t>
        </is>
      </c>
      <c r="O414" s="191" t="inlineStr">
        <is>
          <t>Apply vendor patches</t>
        </is>
      </c>
      <c r="P414" s="191" t="inlineStr">
        <is>
          <t>See CVE details</t>
        </is>
      </c>
      <c r="Q414" s="191" t="inlineStr">
        <is>
          <t>P4</t>
        </is>
      </c>
      <c r="R414" s="191" t="inlineStr">
        <is>
          <t>📅 Schedule patch deployment within 30 days | 🔍 Monitor for exploitation attempts</t>
        </is>
      </c>
      <c r="S414" s="191" t="inlineStr">
        <is>
          <t>CVE - IP enrichment n/a</t>
        </is>
      </c>
      <c r="T414" s="191" t="n">
        <v>0</v>
      </c>
      <c r="U414" s="191" t="n">
        <v>0</v>
      </c>
      <c r="V414" s="191" t="inlineStr">
        <is>
          <t>T1189:Drive-by Compromise</t>
        </is>
      </c>
      <c r="W414" s="191" t="n">
        <v>1</v>
      </c>
      <c r="X414" s="191" t="inlineStr">
        <is>
          <t>LOW (40%)</t>
        </is>
      </c>
      <c r="Y414" s="191" t="inlineStr">
        <is>
          <t>UNLIKELY</t>
        </is>
      </c>
      <c r="Z414" s="191" t="inlineStr">
        <is>
          <t>CHECK_VENDOR</t>
        </is>
      </c>
      <c r="AA414" s="192" t="inlineStr">
        <is>
          <t>https://nvd.nist.gov/vuln/detail/CVE-2026-1043</t>
        </is>
      </c>
      <c r="AB414" s="191" t="inlineStr">
        <is>
          <t>NONE</t>
        </is>
      </c>
      <c r="AC414" s="191" t="n">
        <v>0</v>
      </c>
      <c r="AD414" s="191" t="n"/>
    </row>
    <row r="415">
      <c r="A415" s="191" t="inlineStr">
        <is>
          <t>CVE</t>
        </is>
      </c>
      <c r="B415" s="191" t="inlineStr">
        <is>
          <t>CVE-2026-1044</t>
        </is>
      </c>
      <c r="C415" s="191" t="inlineStr">
        <is>
          <t xml:space="preserve">The Tennis Court Bookings plugin for WordPress is vulnerable to Stored Cross-Site Scripting via admin settings in all versions up to, and including, 1.2.7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t>
        </is>
      </c>
      <c r="D415" s="191" t="n">
        <v>4.4</v>
      </c>
      <c r="E415" s="191" t="inlineStr">
        <is>
          <t>MEDIUM</t>
        </is>
      </c>
      <c r="F415" s="191" t="n">
        <v>2</v>
      </c>
      <c r="G415" s="191" t="n">
        <v>2</v>
      </c>
      <c r="H415" s="191" t="inlineStr">
        <is>
          <t>MEDIUM</t>
        </is>
      </c>
      <c r="I415" s="191" t="n">
        <v>8.4</v>
      </c>
      <c r="J415" s="191" t="inlineStr">
        <is>
          <t>NO</t>
        </is>
      </c>
      <c r="K415" s="192" t="inlineStr">
        <is>
          <t>https://nvd.nist.gov/vuln/detail/CVE-2026-1044</t>
        </is>
      </c>
      <c r="L415" s="191" t="inlineStr">
        <is>
          <t>2026-02-23 23:48</t>
        </is>
      </c>
      <c r="M415" s="191" t="inlineStr">
        <is>
          <t>CHECK_VENDOR</t>
        </is>
      </c>
      <c r="N415" s="191" t="inlineStr">
        <is>
          <t>See NVD references</t>
        </is>
      </c>
      <c r="O415" s="191" t="inlineStr">
        <is>
          <t>Apply vendor patches</t>
        </is>
      </c>
      <c r="P415" s="191" t="inlineStr">
        <is>
          <t>See CVE details</t>
        </is>
      </c>
      <c r="Q415" s="191" t="inlineStr">
        <is>
          <t>P4</t>
        </is>
      </c>
      <c r="R415" s="191" t="inlineStr">
        <is>
          <t>📅 Schedule patch deployment within 30 days | 🔍 Monitor for exploitation attempts</t>
        </is>
      </c>
      <c r="S415" s="191" t="inlineStr">
        <is>
          <t>CVE - IP enrichment n/a</t>
        </is>
      </c>
      <c r="T415" s="191" t="n">
        <v>0</v>
      </c>
      <c r="U415" s="191" t="n">
        <v>0</v>
      </c>
      <c r="V415" s="191" t="inlineStr">
        <is>
          <t>T1189:Drive-by Compromise</t>
        </is>
      </c>
      <c r="W415" s="191" t="n">
        <v>1</v>
      </c>
      <c r="X415" s="191" t="inlineStr">
        <is>
          <t>LOW (40%)</t>
        </is>
      </c>
      <c r="Y415" s="191" t="inlineStr">
        <is>
          <t>UNLIKELY</t>
        </is>
      </c>
      <c r="Z415" s="191" t="inlineStr">
        <is>
          <t>CHECK_VENDOR</t>
        </is>
      </c>
      <c r="AA415" s="192" t="inlineStr">
        <is>
          <t>https://nvd.nist.gov/vuln/detail/CVE-2026-1044</t>
        </is>
      </c>
      <c r="AB415" s="191" t="inlineStr">
        <is>
          <t>NONE</t>
        </is>
      </c>
      <c r="AC415" s="191" t="n">
        <v>0</v>
      </c>
      <c r="AD415" s="191" t="n"/>
    </row>
    <row r="416">
      <c r="A416" s="191" t="inlineStr">
        <is>
          <t>CVE</t>
        </is>
      </c>
      <c r="B416" s="191" t="inlineStr">
        <is>
          <t>CVE-2026-1047</t>
        </is>
      </c>
      <c r="C416" s="191" t="inlineStr">
        <is>
          <t>The salavat counter Plugin plugin for WordPress is vulnerable to Stored Cross-Site Scripting via the 'image_url' parameter in all versions up to, and including, 0.9.5 due to insufficient input sanitization and output escaping. This makes it possible for authenticated attackers, with administrator-level access and above, to inject arbitrary web scripts in pages that will execute whenever a user accesses an injected page.</t>
        </is>
      </c>
      <c r="D416" s="191" t="n">
        <v>4.4</v>
      </c>
      <c r="E416" s="191" t="inlineStr">
        <is>
          <t>MEDIUM</t>
        </is>
      </c>
      <c r="F416" s="191" t="n">
        <v>2</v>
      </c>
      <c r="G416" s="191" t="n">
        <v>2</v>
      </c>
      <c r="H416" s="191" t="inlineStr">
        <is>
          <t>MEDIUM</t>
        </is>
      </c>
      <c r="I416" s="191" t="n">
        <v>8.4</v>
      </c>
      <c r="J416" s="191" t="inlineStr">
        <is>
          <t>NO</t>
        </is>
      </c>
      <c r="K416" s="192" t="inlineStr">
        <is>
          <t>https://nvd.nist.gov/vuln/detail/CVE-2026-1047</t>
        </is>
      </c>
      <c r="L416" s="191" t="inlineStr">
        <is>
          <t>2026-02-23 23:48</t>
        </is>
      </c>
      <c r="M416" s="191" t="inlineStr">
        <is>
          <t>CHECK_VENDOR</t>
        </is>
      </c>
      <c r="N416" s="191" t="inlineStr">
        <is>
          <t>See NVD references</t>
        </is>
      </c>
      <c r="O416" s="191" t="inlineStr">
        <is>
          <t>Apply vendor patches</t>
        </is>
      </c>
      <c r="P416" s="191" t="inlineStr">
        <is>
          <t>See CVE details</t>
        </is>
      </c>
      <c r="Q416" s="191" t="inlineStr">
        <is>
          <t>P4</t>
        </is>
      </c>
      <c r="R416" s="191" t="inlineStr">
        <is>
          <t>📅 Schedule patch deployment within 30 days | 🔍 Monitor for exploitation attempts</t>
        </is>
      </c>
      <c r="S416" s="191" t="inlineStr">
        <is>
          <t>CVE - IP enrichment n/a</t>
        </is>
      </c>
      <c r="T416" s="191" t="n">
        <v>0</v>
      </c>
      <c r="U416" s="191" t="n">
        <v>0</v>
      </c>
      <c r="V416" s="191" t="inlineStr">
        <is>
          <t>T1189:Drive-by Compromise</t>
        </is>
      </c>
      <c r="W416" s="191" t="n">
        <v>1</v>
      </c>
      <c r="X416" s="191" t="inlineStr">
        <is>
          <t>LOW (40%)</t>
        </is>
      </c>
      <c r="Y416" s="191" t="inlineStr">
        <is>
          <t>UNLIKELY</t>
        </is>
      </c>
      <c r="Z416" s="191" t="inlineStr">
        <is>
          <t>CHECK_VENDOR</t>
        </is>
      </c>
      <c r="AA416" s="192" t="inlineStr">
        <is>
          <t>https://nvd.nist.gov/vuln/detail/CVE-2026-1047</t>
        </is>
      </c>
      <c r="AB416" s="191" t="inlineStr">
        <is>
          <t>NONE</t>
        </is>
      </c>
      <c r="AC416" s="191" t="n">
        <v>0</v>
      </c>
      <c r="AD416" s="191" t="n"/>
    </row>
    <row r="417">
      <c r="A417" s="191" t="inlineStr">
        <is>
          <t>CVE</t>
        </is>
      </c>
      <c r="B417" s="191" t="inlineStr">
        <is>
          <t>CVE-2026-1055</t>
        </is>
      </c>
      <c r="C417" s="191" t="inlineStr">
        <is>
          <t>The TalkJS plugin for WordPress is vulnerable to Stored Cross-Site Scripting via admin settings in all versions up to, and including, 0.1.15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t>
        </is>
      </c>
      <c r="D417" s="191" t="n">
        <v>4.4</v>
      </c>
      <c r="E417" s="191" t="inlineStr">
        <is>
          <t>MEDIUM</t>
        </is>
      </c>
      <c r="F417" s="191" t="n">
        <v>2</v>
      </c>
      <c r="G417" s="191" t="n">
        <v>2</v>
      </c>
      <c r="H417" s="191" t="inlineStr">
        <is>
          <t>MEDIUM</t>
        </is>
      </c>
      <c r="I417" s="191" t="n">
        <v>8.4</v>
      </c>
      <c r="J417" s="191" t="inlineStr">
        <is>
          <t>NO</t>
        </is>
      </c>
      <c r="K417" s="192" t="inlineStr">
        <is>
          <t>https://nvd.nist.gov/vuln/detail/CVE-2026-1055</t>
        </is>
      </c>
      <c r="L417" s="191" t="inlineStr">
        <is>
          <t>2026-02-23 23:48</t>
        </is>
      </c>
      <c r="M417" s="191" t="inlineStr">
        <is>
          <t>CHECK_VENDOR</t>
        </is>
      </c>
      <c r="N417" s="191" t="inlineStr">
        <is>
          <t>See NVD references</t>
        </is>
      </c>
      <c r="O417" s="191" t="inlineStr">
        <is>
          <t>Apply vendor patches</t>
        </is>
      </c>
      <c r="P417" s="191" t="inlineStr">
        <is>
          <t>See CVE details</t>
        </is>
      </c>
      <c r="Q417" s="191" t="inlineStr">
        <is>
          <t>P4</t>
        </is>
      </c>
      <c r="R417" s="191" t="inlineStr">
        <is>
          <t>📅 Schedule patch deployment within 30 days | 🔍 Monitor for exploitation attempts</t>
        </is>
      </c>
      <c r="S417" s="191" t="inlineStr">
        <is>
          <t>CVE - IP enrichment n/a</t>
        </is>
      </c>
      <c r="T417" s="191" t="n">
        <v>0</v>
      </c>
      <c r="U417" s="191" t="n">
        <v>0</v>
      </c>
      <c r="V417" s="191" t="inlineStr">
        <is>
          <t>T1189:Drive-by Compromise</t>
        </is>
      </c>
      <c r="W417" s="191" t="n">
        <v>1</v>
      </c>
      <c r="X417" s="191" t="inlineStr">
        <is>
          <t>LOW (40%)</t>
        </is>
      </c>
      <c r="Y417" s="191" t="inlineStr">
        <is>
          <t>UNLIKELY</t>
        </is>
      </c>
      <c r="Z417" s="191" t="inlineStr">
        <is>
          <t>CHECK_VENDOR</t>
        </is>
      </c>
      <c r="AA417" s="192" t="inlineStr">
        <is>
          <t>https://nvd.nist.gov/vuln/detail/CVE-2026-1055</t>
        </is>
      </c>
      <c r="AB417" s="191" t="inlineStr">
        <is>
          <t>NONE</t>
        </is>
      </c>
      <c r="AC417" s="191" t="n">
        <v>0</v>
      </c>
      <c r="AD417" s="191" t="n"/>
    </row>
    <row r="418">
      <c r="A418" s="191" t="inlineStr">
        <is>
          <t>CVE</t>
        </is>
      </c>
      <c r="B418" s="191" t="inlineStr">
        <is>
          <t>CVE-2026-1373</t>
        </is>
      </c>
      <c r="C418" s="191" t="inlineStr">
        <is>
          <t>The Easy Author Image plugin for WordPress is vulnerable to Stored Cross-Site Scripting via the 'author_profile_picture_url' parameter in all versions up to, and including, 1.7 due to insufficient input sanitization and output escaping. This makes it possible for authenticated attackers, with Subscriber-level access and above, to inject arbitrary web scripts in pages that will execute whenever a user accesses an injected page.</t>
        </is>
      </c>
      <c r="D418" s="191" t="n">
        <v>6.4</v>
      </c>
      <c r="E418" s="191" t="inlineStr">
        <is>
          <t>MEDIUM</t>
        </is>
      </c>
      <c r="F418" s="191" t="n">
        <v>2</v>
      </c>
      <c r="G418" s="191" t="n">
        <v>2</v>
      </c>
      <c r="H418" s="191" t="inlineStr">
        <is>
          <t>MEDIUM</t>
        </is>
      </c>
      <c r="I418" s="191" t="n">
        <v>10.4</v>
      </c>
      <c r="J418" s="191" t="inlineStr">
        <is>
          <t>NO</t>
        </is>
      </c>
      <c r="K418" s="192" t="inlineStr">
        <is>
          <t>https://nvd.nist.gov/vuln/detail/CVE-2026-1373</t>
        </is>
      </c>
      <c r="L418" s="191" t="inlineStr">
        <is>
          <t>2026-02-23 23:48</t>
        </is>
      </c>
      <c r="M418" s="191" t="inlineStr">
        <is>
          <t>CHECK_VENDOR</t>
        </is>
      </c>
      <c r="N418" s="191" t="inlineStr">
        <is>
          <t>See NVD references</t>
        </is>
      </c>
      <c r="O418" s="191" t="inlineStr">
        <is>
          <t>Apply vendor patches</t>
        </is>
      </c>
      <c r="P418" s="191" t="inlineStr">
        <is>
          <t>See CVE details</t>
        </is>
      </c>
      <c r="Q418" s="191" t="inlineStr">
        <is>
          <t>P4</t>
        </is>
      </c>
      <c r="R418" s="191" t="inlineStr">
        <is>
          <t>📅 Schedule patch deployment within 30 days | 🔍 Monitor for exploitation attempts</t>
        </is>
      </c>
      <c r="S418" s="191" t="inlineStr">
        <is>
          <t>CVE - IP enrichment n/a</t>
        </is>
      </c>
      <c r="T418" s="191" t="n">
        <v>0</v>
      </c>
      <c r="U418" s="191" t="n">
        <v>0</v>
      </c>
      <c r="V418" s="191" t="inlineStr">
        <is>
          <t>T1189:Drive-by Compromise</t>
        </is>
      </c>
      <c r="W418" s="191" t="n">
        <v>1</v>
      </c>
      <c r="X418" s="191" t="inlineStr">
        <is>
          <t>LOW (40%)</t>
        </is>
      </c>
      <c r="Y418" s="191" t="inlineStr">
        <is>
          <t>UNLIKELY</t>
        </is>
      </c>
      <c r="Z418" s="191" t="inlineStr">
        <is>
          <t>CHECK_VENDOR</t>
        </is>
      </c>
      <c r="AA418" s="192" t="inlineStr">
        <is>
          <t>https://nvd.nist.gov/vuln/detail/CVE-2026-1373</t>
        </is>
      </c>
      <c r="AB418" s="191" t="inlineStr">
        <is>
          <t>NONE</t>
        </is>
      </c>
      <c r="AC418" s="191" t="n">
        <v>0</v>
      </c>
      <c r="AD418" s="191" t="n"/>
    </row>
    <row r="419">
      <c r="A419" s="193" t="inlineStr">
        <is>
          <t>CVE</t>
        </is>
      </c>
      <c r="B419" s="193" t="inlineStr">
        <is>
          <t>CVE-2026-1405</t>
        </is>
      </c>
      <c r="C419" s="193" t="inlineStr">
        <is>
          <t>The Slider Future plugin for WordPress is vulnerable to arbitrary file uploads due to missing file type validation in the 'slider_future_handle_image_upload' function in all versions up to, and including, 1.0.5. This makes it possible for unauthenticated attackers to upload arbitrary files on the affected site's server which may make remote code execution possible.</t>
        </is>
      </c>
      <c r="D419" s="193" t="n">
        <v>9.800000000000001</v>
      </c>
      <c r="E419" s="193" t="inlineStr">
        <is>
          <t>CRITICAL</t>
        </is>
      </c>
      <c r="F419" s="193" t="n">
        <v>2</v>
      </c>
      <c r="G419" s="193" t="n">
        <v>3</v>
      </c>
      <c r="H419" s="193" t="inlineStr">
        <is>
          <t>HIGH</t>
        </is>
      </c>
      <c r="I419" s="193" t="n">
        <v>15.8</v>
      </c>
      <c r="J419" s="193" t="inlineStr">
        <is>
          <t>NO</t>
        </is>
      </c>
      <c r="K419" s="194" t="inlineStr">
        <is>
          <t>https://nvd.nist.gov/vuln/detail/CVE-2026-1405</t>
        </is>
      </c>
      <c r="L419" s="193" t="inlineStr">
        <is>
          <t>2026-02-23 23:48</t>
        </is>
      </c>
      <c r="M419" s="193" t="inlineStr">
        <is>
          <t>CHECK_VENDOR</t>
        </is>
      </c>
      <c r="N419" s="193" t="inlineStr">
        <is>
          <t>See NVD references</t>
        </is>
      </c>
      <c r="O419" s="193" t="inlineStr">
        <is>
          <t>Apply vendor patches</t>
        </is>
      </c>
      <c r="P419" s="193" t="inlineStr">
        <is>
          <t>See CVE details</t>
        </is>
      </c>
      <c r="Q419" s="193" t="inlineStr">
        <is>
          <t>P3</t>
        </is>
      </c>
      <c r="R419" s="193" t="inlineStr">
        <is>
          <t>🚨 URGENT: Apply vendor patches immediately | 🔒 Isolate affected systems if patch unavailable | 🛡️ Enable additional monitoring/IDS rules</t>
        </is>
      </c>
      <c r="S419" s="193" t="inlineStr">
        <is>
          <t>CVE - IP enrichment n/a</t>
        </is>
      </c>
      <c r="T419" s="193" t="n">
        <v>0</v>
      </c>
      <c r="U419" s="193" t="n">
        <v>0</v>
      </c>
      <c r="V419" s="193" t="inlineStr">
        <is>
          <t>T1190:Exploit Public-Facing Application | T1210:Exploitation of Remote Services</t>
        </is>
      </c>
      <c r="W419" s="193" t="n">
        <v>1</v>
      </c>
      <c r="X419" s="193" t="inlineStr">
        <is>
          <t>LOW (40%)</t>
        </is>
      </c>
      <c r="Y419" s="193" t="inlineStr">
        <is>
          <t>UNLIKELY</t>
        </is>
      </c>
      <c r="Z419" s="193" t="inlineStr">
        <is>
          <t>CHECK_VENDOR</t>
        </is>
      </c>
      <c r="AA419" s="194" t="inlineStr">
        <is>
          <t>https://nvd.nist.gov/vuln/detail/CVE-2026-1405</t>
        </is>
      </c>
      <c r="AB419" s="193" t="inlineStr">
        <is>
          <t>NONE</t>
        </is>
      </c>
      <c r="AC419" s="193" t="n">
        <v>0</v>
      </c>
      <c r="AD419" s="193" t="n"/>
    </row>
    <row r="420">
      <c r="A420" s="191" t="inlineStr">
        <is>
          <t>CVE</t>
        </is>
      </c>
      <c r="B420" s="191" t="inlineStr">
        <is>
          <t>CVE-2026-1455</t>
        </is>
      </c>
      <c r="C420" s="191" t="inlineStr">
        <is>
          <t>The Whatsiplus Scheduled Notification for Woocommerce plugin for WordPress is vulnerable to Cross-Site Request Forgery in all versions up to, and including, 1.0.1. This is due to missing nonce validation on the 'wsnfw_save_users_settings' AJAX action. This makes it possible for unauthenticated attackers to modify plugin configuration settings via a forged request granted they can trick a site administrator into performing an action such as clicking on a link.</t>
        </is>
      </c>
      <c r="D420" s="191" t="n">
        <v>4.3</v>
      </c>
      <c r="E420" s="191" t="inlineStr">
        <is>
          <t>MEDIUM</t>
        </is>
      </c>
      <c r="F420" s="191" t="n">
        <v>2</v>
      </c>
      <c r="G420" s="191" t="n">
        <v>2</v>
      </c>
      <c r="H420" s="191" t="inlineStr">
        <is>
          <t>MEDIUM</t>
        </is>
      </c>
      <c r="I420" s="191" t="n">
        <v>8.300000000000001</v>
      </c>
      <c r="J420" s="191" t="inlineStr">
        <is>
          <t>NO</t>
        </is>
      </c>
      <c r="K420" s="192" t="inlineStr">
        <is>
          <t>https://nvd.nist.gov/vuln/detail/CVE-2026-1455</t>
        </is>
      </c>
      <c r="L420" s="191" t="inlineStr">
        <is>
          <t>2026-02-23 23:48</t>
        </is>
      </c>
      <c r="M420" s="191" t="inlineStr">
        <is>
          <t>CHECK_VENDOR</t>
        </is>
      </c>
      <c r="N420" s="191" t="inlineStr">
        <is>
          <t>See NVD references</t>
        </is>
      </c>
      <c r="O420" s="191" t="inlineStr">
        <is>
          <t>Apply vendor patches</t>
        </is>
      </c>
      <c r="P420" s="191" t="inlineStr">
        <is>
          <t>See CVE details</t>
        </is>
      </c>
      <c r="Q420" s="191" t="inlineStr">
        <is>
          <t>P4</t>
        </is>
      </c>
      <c r="R420" s="191" t="inlineStr">
        <is>
          <t>📅 Schedule patch deployment within 30 days | 🔍 Monitor for exploitation attempts</t>
        </is>
      </c>
      <c r="S420" s="191" t="inlineStr">
        <is>
          <t>CVE - IP enrichment n/a</t>
        </is>
      </c>
      <c r="T420" s="191" t="n">
        <v>0</v>
      </c>
      <c r="U420" s="191" t="n">
        <v>0</v>
      </c>
      <c r="V420" s="191" t="inlineStr">
        <is>
          <t>T1185:Browser Session Hijacking | T1190:Exploit Public-Facing Application</t>
        </is>
      </c>
      <c r="W420" s="191" t="n">
        <v>1</v>
      </c>
      <c r="X420" s="191" t="inlineStr">
        <is>
          <t>LOW (40%)</t>
        </is>
      </c>
      <c r="Y420" s="191" t="inlineStr">
        <is>
          <t>UNLIKELY</t>
        </is>
      </c>
      <c r="Z420" s="191" t="inlineStr">
        <is>
          <t>CHECK_VENDOR</t>
        </is>
      </c>
      <c r="AA420" s="192" t="inlineStr">
        <is>
          <t>https://nvd.nist.gov/vuln/detail/CVE-2026-1455</t>
        </is>
      </c>
      <c r="AB420" s="191" t="inlineStr">
        <is>
          <t>NONE</t>
        </is>
      </c>
      <c r="AC420" s="191" t="n">
        <v>0</v>
      </c>
      <c r="AD420" s="191" t="n"/>
    </row>
    <row r="421">
      <c r="A421" s="191" t="inlineStr">
        <is>
          <t>CVE</t>
        </is>
      </c>
      <c r="B421" s="191" t="inlineStr">
        <is>
          <t>CVE-2026-1646</t>
        </is>
      </c>
      <c r="C421" s="191" t="inlineStr">
        <is>
          <t>The Advance Block Extend plugin for WordPress is vulnerable to Stored Cross-Site Scripting via the TitleColor block attribute in the Latest Posts Gutenberg block in all versions up to, and including, 1.0.4 due to insufficient input sanitization and output escaping. This makes it possible for authenticated attackers, with Contributor-level access and above, to inject arbitrary web scripts in pages that will execute whenever a user accesses an injected page.</t>
        </is>
      </c>
      <c r="D421" s="191" t="n">
        <v>6.4</v>
      </c>
      <c r="E421" s="191" t="inlineStr">
        <is>
          <t>MEDIUM</t>
        </is>
      </c>
      <c r="F421" s="191" t="n">
        <v>2</v>
      </c>
      <c r="G421" s="191" t="n">
        <v>2</v>
      </c>
      <c r="H421" s="191" t="inlineStr">
        <is>
          <t>MEDIUM</t>
        </is>
      </c>
      <c r="I421" s="191" t="n">
        <v>10.4</v>
      </c>
      <c r="J421" s="191" t="inlineStr">
        <is>
          <t>NO</t>
        </is>
      </c>
      <c r="K421" s="192" t="inlineStr">
        <is>
          <t>https://nvd.nist.gov/vuln/detail/CVE-2026-1646</t>
        </is>
      </c>
      <c r="L421" s="191" t="inlineStr">
        <is>
          <t>2026-02-23 23:48</t>
        </is>
      </c>
      <c r="M421" s="191" t="inlineStr">
        <is>
          <t>CHECK_VENDOR</t>
        </is>
      </c>
      <c r="N421" s="191" t="inlineStr">
        <is>
          <t>See NVD references</t>
        </is>
      </c>
      <c r="O421" s="191" t="inlineStr">
        <is>
          <t>Apply vendor patches</t>
        </is>
      </c>
      <c r="P421" s="191" t="inlineStr">
        <is>
          <t>See CVE details</t>
        </is>
      </c>
      <c r="Q421" s="191" t="inlineStr">
        <is>
          <t>P4</t>
        </is>
      </c>
      <c r="R421" s="191" t="inlineStr">
        <is>
          <t>📅 Schedule patch deployment within 30 days | 🔍 Monitor for exploitation attempts</t>
        </is>
      </c>
      <c r="S421" s="191" t="inlineStr">
        <is>
          <t>CVE - IP enrichment n/a</t>
        </is>
      </c>
      <c r="T421" s="191" t="n">
        <v>0</v>
      </c>
      <c r="U421" s="191" t="n">
        <v>0</v>
      </c>
      <c r="V421" s="191" t="inlineStr">
        <is>
          <t>T1189:Drive-by Compromise</t>
        </is>
      </c>
      <c r="W421" s="191" t="n">
        <v>1</v>
      </c>
      <c r="X421" s="191" t="inlineStr">
        <is>
          <t>LOW (40%)</t>
        </is>
      </c>
      <c r="Y421" s="191" t="inlineStr">
        <is>
          <t>UNLIKELY</t>
        </is>
      </c>
      <c r="Z421" s="191" t="inlineStr">
        <is>
          <t>CHECK_VENDOR</t>
        </is>
      </c>
      <c r="AA421" s="192" t="inlineStr">
        <is>
          <t>https://nvd.nist.gov/vuln/detail/CVE-2026-1646</t>
        </is>
      </c>
      <c r="AB421" s="191" t="inlineStr">
        <is>
          <t>NONE</t>
        </is>
      </c>
      <c r="AC421" s="191" t="n">
        <v>0</v>
      </c>
      <c r="AD421" s="191" t="n"/>
    </row>
    <row r="422">
      <c r="A422" s="193" t="inlineStr">
        <is>
          <t>CVE</t>
        </is>
      </c>
      <c r="B422" s="193" t="inlineStr">
        <is>
          <t>CVE-2026-1994</t>
        </is>
      </c>
      <c r="C422" s="193" t="inlineStr">
        <is>
          <t>The s2Member plugin for WordPress is vulnerable to privilege escalation via account takeover in all versions up to, and including, 260127. This is due to the plugin not properly validating a user's identity prior to updating their password. This makes it possible for unauthenticated attackers to change arbitrary user's passwords, including administrators, and leverage that to gain access to their account.</t>
        </is>
      </c>
      <c r="D422" s="193" t="n">
        <v>9.800000000000001</v>
      </c>
      <c r="E422" s="193" t="inlineStr">
        <is>
          <t>CRITICAL</t>
        </is>
      </c>
      <c r="F422" s="193" t="n">
        <v>2</v>
      </c>
      <c r="G422" s="193" t="n">
        <v>3</v>
      </c>
      <c r="H422" s="193" t="inlineStr">
        <is>
          <t>HIGH</t>
        </is>
      </c>
      <c r="I422" s="193" t="n">
        <v>15.8</v>
      </c>
      <c r="J422" s="193" t="inlineStr">
        <is>
          <t>NO</t>
        </is>
      </c>
      <c r="K422" s="194" t="inlineStr">
        <is>
          <t>https://nvd.nist.gov/vuln/detail/CVE-2026-1994</t>
        </is>
      </c>
      <c r="L422" s="193" t="inlineStr">
        <is>
          <t>2026-02-23 23:48</t>
        </is>
      </c>
      <c r="M422" s="193" t="inlineStr">
        <is>
          <t>CHECK_VENDOR</t>
        </is>
      </c>
      <c r="N422" s="193" t="inlineStr">
        <is>
          <t>See NVD references</t>
        </is>
      </c>
      <c r="O422" s="193" t="inlineStr">
        <is>
          <t>Apply vendor patches</t>
        </is>
      </c>
      <c r="P422" s="193" t="inlineStr">
        <is>
          <t>See CVE details</t>
        </is>
      </c>
      <c r="Q422" s="193" t="inlineStr">
        <is>
          <t>P3</t>
        </is>
      </c>
      <c r="R422" s="193" t="inlineStr">
        <is>
          <t>🚨 URGENT: Apply vendor patches immediately | 🔒 Isolate affected systems if patch unavailable | 🛡️ Enable additional monitoring/IDS rules</t>
        </is>
      </c>
      <c r="S422" s="193" t="inlineStr">
        <is>
          <t>CVE - IP enrichment n/a</t>
        </is>
      </c>
      <c r="T422" s="193" t="n">
        <v>0.0005</v>
      </c>
      <c r="U422" s="193" t="n">
        <v>0.1624</v>
      </c>
      <c r="V422" s="193" t="inlineStr">
        <is>
          <t>T1068:Exploitation for Privilege Escalation</t>
        </is>
      </c>
      <c r="W422" s="193" t="n">
        <v>1</v>
      </c>
      <c r="X422" s="193" t="inlineStr">
        <is>
          <t>LOW (40%)</t>
        </is>
      </c>
      <c r="Y422" s="193" t="inlineStr">
        <is>
          <t>UNLIKELY</t>
        </is>
      </c>
      <c r="Z422" s="193" t="inlineStr">
        <is>
          <t>CHECK_VENDOR</t>
        </is>
      </c>
      <c r="AA422" s="194" t="inlineStr">
        <is>
          <t>https://nvd.nist.gov/vuln/detail/CVE-2026-1994</t>
        </is>
      </c>
      <c r="AB422" s="193" t="inlineStr">
        <is>
          <t>NONE</t>
        </is>
      </c>
      <c r="AC422" s="193" t="n">
        <v>0</v>
      </c>
      <c r="AD422" s="193" t="n"/>
    </row>
    <row r="423">
      <c r="A423" s="195" t="inlineStr">
        <is>
          <t>CVE</t>
        </is>
      </c>
      <c r="B423" s="195" t="inlineStr">
        <is>
          <t>CVE-2026-24764</t>
        </is>
      </c>
      <c r="C423" s="195" t="inlineStr">
        <is>
          <t>OpenClaw (formerly Clawdbot) is a personal AI assistant users run on their own devices. In versions 2026.2.2 and below, when the Slack integration is enabled, channel metadata (topic/description) can be incorporated into the model's system prompt. Prompt injection is a documented risk for LLM-driven systems. This issue increases the injection surface by allowing untrusted Slack channel metadata to be treated as higher-trust system input. This issue has been fixed in version 2026.2.3.</t>
        </is>
      </c>
      <c r="D423" s="195" t="n">
        <v>3.7</v>
      </c>
      <c r="E423" s="195" t="inlineStr">
        <is>
          <t>LOW</t>
        </is>
      </c>
      <c r="F423" s="195" t="n">
        <v>2</v>
      </c>
      <c r="G423" s="195" t="n">
        <v>1</v>
      </c>
      <c r="H423" s="195" t="inlineStr">
        <is>
          <t>LOW</t>
        </is>
      </c>
      <c r="I423" s="195" t="n">
        <v>5.7</v>
      </c>
      <c r="J423" s="195" t="inlineStr">
        <is>
          <t>NO</t>
        </is>
      </c>
      <c r="K423" s="196" t="inlineStr">
        <is>
          <t>https://nvd.nist.gov/vuln/detail/CVE-2026-24764</t>
        </is>
      </c>
      <c r="L423" s="195" t="inlineStr">
        <is>
          <t>2026-02-23 23:48</t>
        </is>
      </c>
      <c r="M423" s="195" t="inlineStr">
        <is>
          <t>YES</t>
        </is>
      </c>
      <c r="N423" s="196" t="inlineStr">
        <is>
          <t>https://github.com/openclaw/openclaw/commit/35eb40a7000b59085e9c638a80fd03917c7a095e | https://github.com/openclaw/openclaw/security/advisories/GHSA-782p-5fr5-7fj8</t>
        </is>
      </c>
      <c r="O423" s="195" t="inlineStr">
        <is>
          <t>Apply vendor patches</t>
        </is>
      </c>
      <c r="P423" s="195" t="inlineStr">
        <is>
          <t>openclaw openclaw *</t>
        </is>
      </c>
      <c r="Q423" s="195" t="inlineStr">
        <is>
          <t>P4</t>
        </is>
      </c>
      <c r="R423" s="195" t="inlineStr">
        <is>
          <t>📅 Schedule patch deployment within 30 days | 🔍 Monitor for exploitation attempts</t>
        </is>
      </c>
      <c r="S423" s="195" t="inlineStr">
        <is>
          <t>CVE - IP enrichment n/a</t>
        </is>
      </c>
      <c r="T423" s="195" t="n">
        <v>0</v>
      </c>
      <c r="U423" s="195" t="n">
        <v>0</v>
      </c>
      <c r="V423" s="195" t="inlineStr">
        <is>
          <t>T1190:Exploit Public-Facing Application</t>
        </is>
      </c>
      <c r="W423" s="195" t="n">
        <v>1</v>
      </c>
      <c r="X423" s="195" t="inlineStr">
        <is>
          <t>LOW (40%)</t>
        </is>
      </c>
      <c r="Y423" s="195" t="inlineStr">
        <is>
          <t>UNLIKELY</t>
        </is>
      </c>
      <c r="Z423" s="195" t="inlineStr">
        <is>
          <t>PATCH_AVAILABLE</t>
        </is>
      </c>
      <c r="AA423" s="196" t="inlineStr">
        <is>
          <t>https://nvd.nist.gov/vuln/detail/CVE-2026-24764</t>
        </is>
      </c>
      <c r="AB423" s="195" t="inlineStr">
        <is>
          <t>NONE</t>
        </is>
      </c>
      <c r="AC423" s="195" t="n">
        <v>0</v>
      </c>
      <c r="AD423" s="195" t="n"/>
    </row>
    <row r="424">
      <c r="A424" s="195" t="inlineStr">
        <is>
          <t>CVE</t>
        </is>
      </c>
      <c r="B424" s="195" t="inlineStr">
        <is>
          <t>CVE-2026-25120</t>
        </is>
      </c>
      <c r="C424" s="195" t="inlineStr">
        <is>
          <t>Gogs is an open source self-hosted Git service. In versions 0.13.4 and below, the DeleteComment API does not verify that the comment belongs to the repository specified in the URL. This allows a repository administrator to delete comments from any other repository by supplying arbitrary comment IDs, bypassing authorization controls. The DeleteComment function retrieves a comment by ID without verifying repository ownership and the Database function DeleteCommentByID performs no repository valida</t>
        </is>
      </c>
      <c r="D424" s="195" t="n">
        <v>2.7</v>
      </c>
      <c r="E424" s="195" t="inlineStr">
        <is>
          <t>LOW</t>
        </is>
      </c>
      <c r="F424" s="195" t="n">
        <v>2</v>
      </c>
      <c r="G424" s="195" t="n">
        <v>1</v>
      </c>
      <c r="H424" s="195" t="inlineStr">
        <is>
          <t>LOW</t>
        </is>
      </c>
      <c r="I424" s="195" t="n">
        <v>4.7</v>
      </c>
      <c r="J424" s="195" t="inlineStr">
        <is>
          <t>NO</t>
        </is>
      </c>
      <c r="K424" s="196" t="inlineStr">
        <is>
          <t>https://nvd.nist.gov/vuln/detail/CVE-2026-25120</t>
        </is>
      </c>
      <c r="L424" s="195" t="inlineStr">
        <is>
          <t>2026-02-23 23:48</t>
        </is>
      </c>
      <c r="M424" s="195" t="inlineStr">
        <is>
          <t>YES</t>
        </is>
      </c>
      <c r="N424" s="196" t="inlineStr">
        <is>
          <t>https://github.com/gogs/gogs/commit/1b226ca48dc8b3e95cc1c41229d72819c960a1b7 | https://github.com/gogs/gogs/security/advisories/GHSA-jj5m-h57j-5gv7</t>
        </is>
      </c>
      <c r="O424" s="195" t="inlineStr">
        <is>
          <t>Apply vendor patches</t>
        </is>
      </c>
      <c r="P424" s="195" t="inlineStr">
        <is>
          <t>gogs gogs *</t>
        </is>
      </c>
      <c r="Q424" s="195" t="inlineStr">
        <is>
          <t>P4</t>
        </is>
      </c>
      <c r="R424" s="195" t="inlineStr">
        <is>
          <t>📅 Schedule patch deployment within 30 days | 🔍 Monitor for exploitation attempts</t>
        </is>
      </c>
      <c r="S424" s="195" t="inlineStr">
        <is>
          <t>CVE - IP enrichment n/a</t>
        </is>
      </c>
      <c r="T424" s="195" t="n">
        <v>0</v>
      </c>
      <c r="U424" s="195" t="n">
        <v>0</v>
      </c>
      <c r="V424" s="195" t="inlineStr">
        <is>
          <t>T1190:Exploit Public-Facing Application</t>
        </is>
      </c>
      <c r="W424" s="195" t="n">
        <v>1</v>
      </c>
      <c r="X424" s="195" t="inlineStr">
        <is>
          <t>LOW (40%)</t>
        </is>
      </c>
      <c r="Y424" s="195" t="inlineStr">
        <is>
          <t>UNLIKELY</t>
        </is>
      </c>
      <c r="Z424" s="195" t="inlineStr">
        <is>
          <t>PATCH_AVAILABLE</t>
        </is>
      </c>
      <c r="AA424" s="196" t="inlineStr">
        <is>
          <t>https://nvd.nist.gov/vuln/detail/CVE-2026-25120</t>
        </is>
      </c>
      <c r="AB424" s="195" t="inlineStr">
        <is>
          <t>NONE</t>
        </is>
      </c>
      <c r="AC424" s="195" t="n">
        <v>0</v>
      </c>
      <c r="AD424" s="195" t="n"/>
    </row>
    <row r="425">
      <c r="A425" s="191" t="inlineStr">
        <is>
          <t>CVE</t>
        </is>
      </c>
      <c r="B425" s="191" t="inlineStr">
        <is>
          <t>CVE-2026-25229</t>
        </is>
      </c>
      <c r="C425" s="191" t="inlineStr">
        <is>
          <t>Gogs is an open source self-hosted Git service. Versions 0.13.4 and below have a broken access control vulnerability which allows authenticated users with write access to any repository to modify labels belonging to other repositories. The UpdateLabel function in the Web UI (internal/route/repo/issue.go) fails to verify that the label being modified belongs to the repository specified in the URL path, enabling cross-repository label tampering attacks. The vulnerability exists in the Web UI's lab</t>
        </is>
      </c>
      <c r="D425" s="191" t="n">
        <v>6.5</v>
      </c>
      <c r="E425" s="191" t="inlineStr">
        <is>
          <t>MEDIUM</t>
        </is>
      </c>
      <c r="F425" s="191" t="n">
        <v>2</v>
      </c>
      <c r="G425" s="191" t="n">
        <v>2</v>
      </c>
      <c r="H425" s="191" t="inlineStr">
        <is>
          <t>MEDIUM</t>
        </is>
      </c>
      <c r="I425" s="191" t="n">
        <v>10.5</v>
      </c>
      <c r="J425" s="191" t="inlineStr">
        <is>
          <t>NO</t>
        </is>
      </c>
      <c r="K425" s="192" t="inlineStr">
        <is>
          <t>https://nvd.nist.gov/vuln/detail/CVE-2026-25229</t>
        </is>
      </c>
      <c r="L425" s="191" t="inlineStr">
        <is>
          <t>2026-02-23 23:48</t>
        </is>
      </c>
      <c r="M425" s="191" t="inlineStr">
        <is>
          <t>YES</t>
        </is>
      </c>
      <c r="N425" s="192" t="inlineStr">
        <is>
          <t>https://github.com/gogs/gogs/commit/643a6d6353cb6a182a4e1f0720228727f30a3ad2 | https://github.com/gogs/gogs/security/advisories/GHSA-cv22-72px-f4gh</t>
        </is>
      </c>
      <c r="O425" s="192" t="inlineStr">
        <is>
          <t>https://github.com/gogs/gogs/security/advisories/GHSA-cv22-72px-f4gh</t>
        </is>
      </c>
      <c r="P425" s="191" t="inlineStr">
        <is>
          <t>gogs gogs *</t>
        </is>
      </c>
      <c r="Q425" s="191" t="inlineStr">
        <is>
          <t>P4</t>
        </is>
      </c>
      <c r="R425" s="191" t="inlineStr">
        <is>
          <t>📅 Schedule patch deployment within 30 days | 🔍 Monitor for exploitation attempts</t>
        </is>
      </c>
      <c r="S425" s="191" t="inlineStr">
        <is>
          <t>CVE - IP enrichment n/a</t>
        </is>
      </c>
      <c r="T425" s="191" t="n">
        <v>0.0003</v>
      </c>
      <c r="U425" s="191" t="n">
        <v>0.08359999999999999</v>
      </c>
      <c r="V425" s="191" t="inlineStr">
        <is>
          <t>T1190:Exploit Public-Facing Application</t>
        </is>
      </c>
      <c r="W425" s="191" t="n">
        <v>1</v>
      </c>
      <c r="X425" s="191" t="inlineStr">
        <is>
          <t>LOW (40%)</t>
        </is>
      </c>
      <c r="Y425" s="191" t="inlineStr">
        <is>
          <t>UNLIKELY</t>
        </is>
      </c>
      <c r="Z425" s="191" t="inlineStr">
        <is>
          <t>PATCH_AVAILABLE</t>
        </is>
      </c>
      <c r="AA425" s="192" t="inlineStr">
        <is>
          <t>https://nvd.nist.gov/vuln/detail/CVE-2026-25229</t>
        </is>
      </c>
      <c r="AB425" s="191" t="inlineStr">
        <is>
          <t>NONE</t>
        </is>
      </c>
      <c r="AC425" s="191" t="n">
        <v>0</v>
      </c>
      <c r="AD425" s="191" t="n"/>
    </row>
    <row r="426">
      <c r="A426" s="189" t="inlineStr">
        <is>
          <t>CVE</t>
        </is>
      </c>
      <c r="B426" s="189" t="inlineStr">
        <is>
          <t>CVE-2026-25232</t>
        </is>
      </c>
      <c r="C426" s="189" t="inlineStr">
        <is>
          <t xml:space="preserve">Gogs is an open source self-hosted Git service. Versions 0.13.4 and below have an access control bypass vulnerability which allows any repository collaborator with Write permissions to delete protected branches (including the default branch) by sending a direct POST request, completely bypassing the branch protection mechanism. This vulnerability in the DeleteBranchPost function eenables privilege escalation from Write to Admin level, allowing low-privilege users to perform dangerous operations </t>
        </is>
      </c>
      <c r="D426" s="189" t="n">
        <v>8.800000000000001</v>
      </c>
      <c r="E426" s="189" t="inlineStr">
        <is>
          <t>HIGH</t>
        </is>
      </c>
      <c r="F426" s="189" t="n">
        <v>2</v>
      </c>
      <c r="G426" s="189" t="n">
        <v>3</v>
      </c>
      <c r="H426" s="189" t="inlineStr">
        <is>
          <t>HIGH</t>
        </is>
      </c>
      <c r="I426" s="189" t="n">
        <v>14.8</v>
      </c>
      <c r="J426" s="189" t="inlineStr">
        <is>
          <t>NO</t>
        </is>
      </c>
      <c r="K426" s="190" t="inlineStr">
        <is>
          <t>https://nvd.nist.gov/vuln/detail/CVE-2026-25232</t>
        </is>
      </c>
      <c r="L426" s="189" t="inlineStr">
        <is>
          <t>2026-02-23 23:48</t>
        </is>
      </c>
      <c r="M426" s="189" t="inlineStr">
        <is>
          <t>YES</t>
        </is>
      </c>
      <c r="N426" s="190" t="inlineStr">
        <is>
          <t>https://github.com/gogs/gogs/commit/7b7e38c88007a7c482dbf31efff896185fd9b79c | https://github.com/gogs/gogs/security/advisories/GHSA-2c6v-8r3v-gh6p</t>
        </is>
      </c>
      <c r="O426" s="189" t="inlineStr">
        <is>
          <t>Apply vendor patches</t>
        </is>
      </c>
      <c r="P426" s="189" t="inlineStr">
        <is>
          <t>gogs gogs *</t>
        </is>
      </c>
      <c r="Q426" s="189" t="inlineStr">
        <is>
          <t>P3</t>
        </is>
      </c>
      <c r="R426" s="189" t="inlineStr">
        <is>
          <t>🚨 URGENT: Apply vendor patches immediately | 🔒 Isolate affected systems if patch unavailable | 🛡️ Enable additional monitoring/IDS rules</t>
        </is>
      </c>
      <c r="S426" s="189" t="inlineStr">
        <is>
          <t>CVE - IP enrichment n/a</t>
        </is>
      </c>
      <c r="T426" s="189" t="n">
        <v>0</v>
      </c>
      <c r="U426" s="189" t="n">
        <v>0</v>
      </c>
      <c r="V426" s="189" t="inlineStr">
        <is>
          <t>T1190:Exploit Public-Facing Application | T1068:Exploitation for Privilege Escalation</t>
        </is>
      </c>
      <c r="W426" s="189" t="n">
        <v>1</v>
      </c>
      <c r="X426" s="189" t="inlineStr">
        <is>
          <t>LOW (40%)</t>
        </is>
      </c>
      <c r="Y426" s="189" t="inlineStr">
        <is>
          <t>UNLIKELY</t>
        </is>
      </c>
      <c r="Z426" s="189" t="inlineStr">
        <is>
          <t>PATCH_AVAILABLE</t>
        </is>
      </c>
      <c r="AA426" s="190" t="inlineStr">
        <is>
          <t>https://nvd.nist.gov/vuln/detail/CVE-2026-25232</t>
        </is>
      </c>
      <c r="AB426" s="189" t="inlineStr">
        <is>
          <t>NONE</t>
        </is>
      </c>
      <c r="AC426" s="189" t="n">
        <v>0</v>
      </c>
      <c r="AD426" s="189" t="n"/>
    </row>
    <row r="427">
      <c r="A427" s="193" t="inlineStr">
        <is>
          <t>CVE</t>
        </is>
      </c>
      <c r="B427" s="193" t="inlineStr">
        <is>
          <t>CVE-2026-25242</t>
        </is>
      </c>
      <c r="C427" s="193" t="inlineStr">
        <is>
          <t>Gogs is an open source self-hosted Git service. Versions 0.13.4 and below expose unauthenticated file upload endpoints by default. When the global RequireSigninView setting is disabled (default), any remote user can upload arbitrary files to the server via /releases/attachments and /issues/attachments. This enables the instance to be abused as a public file host, potentially leading to disk exhaustion, content hosting, or delivery of malware. CSRF tokens do not mitigate this attack due to same-o</t>
        </is>
      </c>
      <c r="D427" s="193" t="n">
        <v>9.800000000000001</v>
      </c>
      <c r="E427" s="193" t="inlineStr">
        <is>
          <t>CRITICAL</t>
        </is>
      </c>
      <c r="F427" s="193" t="n">
        <v>2</v>
      </c>
      <c r="G427" s="193" t="n">
        <v>3</v>
      </c>
      <c r="H427" s="193" t="inlineStr">
        <is>
          <t>HIGH</t>
        </is>
      </c>
      <c r="I427" s="193" t="n">
        <v>15.8</v>
      </c>
      <c r="J427" s="193" t="inlineStr">
        <is>
          <t>NO</t>
        </is>
      </c>
      <c r="K427" s="194" t="inlineStr">
        <is>
          <t>https://nvd.nist.gov/vuln/detail/CVE-2026-25242</t>
        </is>
      </c>
      <c r="L427" s="193" t="inlineStr">
        <is>
          <t>2026-02-23 23:48</t>
        </is>
      </c>
      <c r="M427" s="193" t="inlineStr">
        <is>
          <t>YES</t>
        </is>
      </c>
      <c r="N427" s="194" t="inlineStr">
        <is>
          <t>https://github.com/gogs/gogs/commit/628216d5889fcb838c471f4754f09b935d9cd9f3 | https://github.com/gogs/gogs/security/advisories/GHSA-fc3h-92p8-h36f</t>
        </is>
      </c>
      <c r="O427" s="193" t="inlineStr">
        <is>
          <t>Apply vendor patches</t>
        </is>
      </c>
      <c r="P427" s="193" t="inlineStr">
        <is>
          <t>gogs gogs *</t>
        </is>
      </c>
      <c r="Q427" s="193" t="inlineStr">
        <is>
          <t>P3</t>
        </is>
      </c>
      <c r="R427" s="193" t="inlineStr">
        <is>
          <t>🚨 URGENT: Apply vendor patches immediately | 🔒 Isolate affected systems if patch unavailable | 🛡️ Enable additional monitoring/IDS rules</t>
        </is>
      </c>
      <c r="S427" s="193" t="inlineStr">
        <is>
          <t>CVE - IP enrichment n/a</t>
        </is>
      </c>
      <c r="T427" s="193" t="n">
        <v>0.0005</v>
      </c>
      <c r="U427" s="193" t="n">
        <v>0.143</v>
      </c>
      <c r="V427" s="193" t="inlineStr">
        <is>
          <t>T1190:Exploit Public-Facing Application</t>
        </is>
      </c>
      <c r="W427" s="193" t="n">
        <v>1</v>
      </c>
      <c r="X427" s="193" t="inlineStr">
        <is>
          <t>LOW (40%)</t>
        </is>
      </c>
      <c r="Y427" s="193" t="inlineStr">
        <is>
          <t>UNLIKELY</t>
        </is>
      </c>
      <c r="Z427" s="193" t="inlineStr">
        <is>
          <t>PATCH_AVAILABLE</t>
        </is>
      </c>
      <c r="AA427" s="194" t="inlineStr">
        <is>
          <t>https://nvd.nist.gov/vuln/detail/CVE-2026-25242</t>
        </is>
      </c>
      <c r="AB427" s="193" t="inlineStr">
        <is>
          <t>NONE</t>
        </is>
      </c>
      <c r="AC427" s="193" t="n">
        <v>0</v>
      </c>
      <c r="AD427" s="193" t="n"/>
    </row>
    <row r="428">
      <c r="A428" s="189" t="inlineStr">
        <is>
          <t>CVE</t>
        </is>
      </c>
      <c r="B428" s="189" t="inlineStr">
        <is>
          <t>CVE-2026-25474</t>
        </is>
      </c>
      <c r="C428" s="189" t="inlineStr">
        <is>
          <t>OpenClaw is a personal AI assistant. In versions 2026.1.30 and below, if channels.telegram.webhookSecret is not set when in Telegram webhook mode, OpenClaw may accept webhook HTTP requests without verifying Telegram’s secret token header. In deployments where the webhook endpoint is reachable by an attacker, this can allow forged Telegram updates (for example spoofing message.from.id). If an attacker can reach the webhook endpoint, they may be able to send forged updates that are processed as if</t>
        </is>
      </c>
      <c r="D428" s="189" t="n">
        <v>7.5</v>
      </c>
      <c r="E428" s="189" t="inlineStr">
        <is>
          <t>HIGH</t>
        </is>
      </c>
      <c r="F428" s="189" t="n">
        <v>2</v>
      </c>
      <c r="G428" s="189" t="n">
        <v>3</v>
      </c>
      <c r="H428" s="189" t="inlineStr">
        <is>
          <t>HIGH</t>
        </is>
      </c>
      <c r="I428" s="189" t="n">
        <v>13.5</v>
      </c>
      <c r="J428" s="189" t="inlineStr">
        <is>
          <t>NO</t>
        </is>
      </c>
      <c r="K428" s="190" t="inlineStr">
        <is>
          <t>https://nvd.nist.gov/vuln/detail/CVE-2026-25474</t>
        </is>
      </c>
      <c r="L428" s="189" t="inlineStr">
        <is>
          <t>2026-02-23 23:48</t>
        </is>
      </c>
      <c r="M428" s="189" t="inlineStr">
        <is>
          <t>YES</t>
        </is>
      </c>
      <c r="N428" s="190" t="inlineStr">
        <is>
          <t>https://github.com/openclaw/openclaw/commit/3cbcba10cf30c2ffb898f0d8c7dfb929f15f8930 | https://github.com/openclaw/openclaw/commit/5643a934799dc523ec2ef18c007e1aa2c386b670 | https://github.com/openclaw/openclaw/commit/633fe8b9c17f02fcc68ecdb5ec212a5ace932f09</t>
        </is>
      </c>
      <c r="O428" s="189" t="inlineStr">
        <is>
          <t>Apply vendor patches</t>
        </is>
      </c>
      <c r="P428" s="189" t="inlineStr">
        <is>
          <t>openclaw openclaw *</t>
        </is>
      </c>
      <c r="Q428" s="189" t="inlineStr">
        <is>
          <t>P3</t>
        </is>
      </c>
      <c r="R428" s="189" t="inlineStr">
        <is>
          <t>🚨 URGENT: Apply vendor patches immediately | 🔒 Isolate affected systems if patch unavailable | 🛡️ Enable additional monitoring/IDS rules</t>
        </is>
      </c>
      <c r="S428" s="189" t="inlineStr">
        <is>
          <t>CVE - IP enrichment n/a</t>
        </is>
      </c>
      <c r="T428" s="189" t="n">
        <v>0</v>
      </c>
      <c r="U428" s="189" t="n">
        <v>0</v>
      </c>
      <c r="V428" s="189" t="inlineStr">
        <is>
          <t>T1190:Exploit Public-Facing Application</t>
        </is>
      </c>
      <c r="W428" s="189" t="n">
        <v>1</v>
      </c>
      <c r="X428" s="189" t="inlineStr">
        <is>
          <t>LOW (40%)</t>
        </is>
      </c>
      <c r="Y428" s="189" t="inlineStr">
        <is>
          <t>UNLIKELY</t>
        </is>
      </c>
      <c r="Z428" s="189" t="inlineStr">
        <is>
          <t>PATCH_AVAILABLE</t>
        </is>
      </c>
      <c r="AA428" s="190" t="inlineStr">
        <is>
          <t>https://nvd.nist.gov/vuln/detail/CVE-2026-25474</t>
        </is>
      </c>
      <c r="AB428" s="189" t="inlineStr">
        <is>
          <t>NONE</t>
        </is>
      </c>
      <c r="AC428" s="189" t="n">
        <v>0</v>
      </c>
      <c r="AD428" s="189" t="n"/>
    </row>
    <row r="429">
      <c r="A429" s="191" t="inlineStr">
        <is>
          <t>CVE</t>
        </is>
      </c>
      <c r="B429" s="191" t="inlineStr">
        <is>
          <t>CVE-2026-2282</t>
        </is>
      </c>
      <c r="C429" s="191" t="inlineStr">
        <is>
          <t>The Slidorion plugin for WordPress is vulnerable to Stored Cross-Site Scripting via admin settings in all versions up to, and including, 1.0.2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t>
        </is>
      </c>
      <c r="D429" s="191" t="n">
        <v>4.4</v>
      </c>
      <c r="E429" s="191" t="inlineStr">
        <is>
          <t>MEDIUM</t>
        </is>
      </c>
      <c r="F429" s="191" t="n">
        <v>2</v>
      </c>
      <c r="G429" s="191" t="n">
        <v>2</v>
      </c>
      <c r="H429" s="191" t="inlineStr">
        <is>
          <t>MEDIUM</t>
        </is>
      </c>
      <c r="I429" s="191" t="n">
        <v>8.4</v>
      </c>
      <c r="J429" s="191" t="inlineStr">
        <is>
          <t>NO</t>
        </is>
      </c>
      <c r="K429" s="192" t="inlineStr">
        <is>
          <t>https://nvd.nist.gov/vuln/detail/CVE-2026-2282</t>
        </is>
      </c>
      <c r="L429" s="191" t="inlineStr">
        <is>
          <t>2026-02-23 23:48</t>
        </is>
      </c>
      <c r="M429" s="191" t="inlineStr">
        <is>
          <t>CHECK_VENDOR</t>
        </is>
      </c>
      <c r="N429" s="191" t="inlineStr">
        <is>
          <t>See NVD references</t>
        </is>
      </c>
      <c r="O429" s="191" t="inlineStr">
        <is>
          <t>Apply vendor patches</t>
        </is>
      </c>
      <c r="P429" s="191" t="inlineStr">
        <is>
          <t>See CVE details</t>
        </is>
      </c>
      <c r="Q429" s="191" t="inlineStr">
        <is>
          <t>P4</t>
        </is>
      </c>
      <c r="R429" s="191" t="inlineStr">
        <is>
          <t>📅 Schedule patch deployment within 30 days | 🔍 Monitor for exploitation attempts</t>
        </is>
      </c>
      <c r="S429" s="191" t="inlineStr">
        <is>
          <t>CVE - IP enrichment n/a</t>
        </is>
      </c>
      <c r="T429" s="191" t="n">
        <v>0</v>
      </c>
      <c r="U429" s="191" t="n">
        <v>0</v>
      </c>
      <c r="V429" s="191" t="inlineStr">
        <is>
          <t>T1189:Drive-by Compromise</t>
        </is>
      </c>
      <c r="W429" s="191" t="n">
        <v>1</v>
      </c>
      <c r="X429" s="191" t="inlineStr">
        <is>
          <t>LOW (40%)</t>
        </is>
      </c>
      <c r="Y429" s="191" t="inlineStr">
        <is>
          <t>UNLIKELY</t>
        </is>
      </c>
      <c r="Z429" s="191" t="inlineStr">
        <is>
          <t>CHECK_VENDOR</t>
        </is>
      </c>
      <c r="AA429" s="192" t="inlineStr">
        <is>
          <t>https://nvd.nist.gov/vuln/detail/CVE-2026-2282</t>
        </is>
      </c>
      <c r="AB429" s="191" t="inlineStr">
        <is>
          <t>NONE</t>
        </is>
      </c>
      <c r="AC429" s="191" t="n">
        <v>0</v>
      </c>
      <c r="AD429" s="191" t="n"/>
    </row>
    <row r="430">
      <c r="A430" s="191" t="inlineStr">
        <is>
          <t>CVE</t>
        </is>
      </c>
      <c r="B430" s="191" t="inlineStr">
        <is>
          <t>CVE-2026-2284</t>
        </is>
      </c>
      <c r="C430" s="191" t="inlineStr">
        <is>
          <t>The News Element Elementor Blog Magazine plugin for WordPress is vulnerable to Missing Authorization in all versions up to, and including, 1.0.8. This is due to a missing capability check and nonce verification on the 'ne_clean_data' AJAX action. This makes it possible for authenticated attackers, with Subscriber-level access and above, to truncate 8 core WordPress database tables (posts, comments, terms, term_relationships, term_taxonomy, postmeta, commentmeta, termmeta) and delete the entire W</t>
        </is>
      </c>
      <c r="D430" s="191" t="n">
        <v>5.4</v>
      </c>
      <c r="E430" s="191" t="inlineStr">
        <is>
          <t>MEDIUM</t>
        </is>
      </c>
      <c r="F430" s="191" t="n">
        <v>2</v>
      </c>
      <c r="G430" s="191" t="n">
        <v>2</v>
      </c>
      <c r="H430" s="191" t="inlineStr">
        <is>
          <t>MEDIUM</t>
        </is>
      </c>
      <c r="I430" s="191" t="n">
        <v>9.4</v>
      </c>
      <c r="J430" s="191" t="inlineStr">
        <is>
          <t>NO</t>
        </is>
      </c>
      <c r="K430" s="192" t="inlineStr">
        <is>
          <t>https://nvd.nist.gov/vuln/detail/CVE-2026-2284</t>
        </is>
      </c>
      <c r="L430" s="191" t="inlineStr">
        <is>
          <t>2026-02-23 23:48</t>
        </is>
      </c>
      <c r="M430" s="191" t="inlineStr">
        <is>
          <t>CHECK_VENDOR</t>
        </is>
      </c>
      <c r="N430" s="191" t="inlineStr">
        <is>
          <t>See NVD references</t>
        </is>
      </c>
      <c r="O430" s="191" t="inlineStr">
        <is>
          <t>Apply vendor patches</t>
        </is>
      </c>
      <c r="P430" s="191" t="inlineStr">
        <is>
          <t>See CVE details</t>
        </is>
      </c>
      <c r="Q430" s="191" t="inlineStr">
        <is>
          <t>P4</t>
        </is>
      </c>
      <c r="R430" s="191" t="inlineStr">
        <is>
          <t>📅 Schedule patch deployment within 30 days | 🔍 Monitor for exploitation attempts</t>
        </is>
      </c>
      <c r="S430" s="191" t="inlineStr">
        <is>
          <t>CVE - IP enrichment n/a</t>
        </is>
      </c>
      <c r="T430" s="191" t="n">
        <v>0</v>
      </c>
      <c r="U430" s="191" t="n">
        <v>0</v>
      </c>
      <c r="V430" s="191" t="inlineStr">
        <is>
          <t>T1190:Exploit Public-Facing Application</t>
        </is>
      </c>
      <c r="W430" s="191" t="n">
        <v>1</v>
      </c>
      <c r="X430" s="191" t="inlineStr">
        <is>
          <t>LOW (40%)</t>
        </is>
      </c>
      <c r="Y430" s="191" t="inlineStr">
        <is>
          <t>UNLIKELY</t>
        </is>
      </c>
      <c r="Z430" s="191" t="inlineStr">
        <is>
          <t>CHECK_VENDOR</t>
        </is>
      </c>
      <c r="AA430" s="192" t="inlineStr">
        <is>
          <t>https://nvd.nist.gov/vuln/detail/CVE-2026-2284</t>
        </is>
      </c>
      <c r="AB430" s="191" t="inlineStr">
        <is>
          <t>NONE</t>
        </is>
      </c>
      <c r="AC430" s="191" t="n">
        <v>0</v>
      </c>
      <c r="AD430" s="191" t="n"/>
    </row>
    <row r="431">
      <c r="A431" s="191" t="inlineStr">
        <is>
          <t>CVE</t>
        </is>
      </c>
      <c r="B431" s="191" t="inlineStr">
        <is>
          <t>CVE-2026-2502</t>
        </is>
      </c>
      <c r="C431" s="191" t="inlineStr">
        <is>
          <t>The xmlrpc attacks blocker plugin for WordPress is vulnerable to Stored Cross-Site Scripting in versions up to, and including, 1.0, via the 'X-Forwarded-For' HTTP header. This is due to the plugin trusting and logging attacker-controlled IP header data and rendering debug log entries without output escaping. This makes it possible for unauthenticated attackers to inject arbitrary web scripts that execute when an administrator views the debug log page.</t>
        </is>
      </c>
      <c r="D431" s="191" t="n">
        <v>6.1</v>
      </c>
      <c r="E431" s="191" t="inlineStr">
        <is>
          <t>MEDIUM</t>
        </is>
      </c>
      <c r="F431" s="191" t="n">
        <v>2</v>
      </c>
      <c r="G431" s="191" t="n">
        <v>2</v>
      </c>
      <c r="H431" s="191" t="inlineStr">
        <is>
          <t>MEDIUM</t>
        </is>
      </c>
      <c r="I431" s="191" t="n">
        <v>10.1</v>
      </c>
      <c r="J431" s="191" t="inlineStr">
        <is>
          <t>NO</t>
        </is>
      </c>
      <c r="K431" s="192" t="inlineStr">
        <is>
          <t>https://nvd.nist.gov/vuln/detail/CVE-2026-2502</t>
        </is>
      </c>
      <c r="L431" s="191" t="inlineStr">
        <is>
          <t>2026-02-23 23:48</t>
        </is>
      </c>
      <c r="M431" s="191" t="inlineStr">
        <is>
          <t>CHECK_VENDOR</t>
        </is>
      </c>
      <c r="N431" s="191" t="inlineStr">
        <is>
          <t>See NVD references</t>
        </is>
      </c>
      <c r="O431" s="191" t="inlineStr">
        <is>
          <t>Apply vendor patches</t>
        </is>
      </c>
      <c r="P431" s="191" t="inlineStr">
        <is>
          <t>See CVE details</t>
        </is>
      </c>
      <c r="Q431" s="191" t="inlineStr">
        <is>
          <t>P4</t>
        </is>
      </c>
      <c r="R431" s="191" t="inlineStr">
        <is>
          <t>📅 Schedule patch deployment within 30 days | 🔍 Monitor for exploitation attempts</t>
        </is>
      </c>
      <c r="S431" s="191" t="inlineStr">
        <is>
          <t>CVE - IP enrichment n/a</t>
        </is>
      </c>
      <c r="T431" s="191" t="n">
        <v>0</v>
      </c>
      <c r="U431" s="191" t="n">
        <v>0</v>
      </c>
      <c r="V431" s="191" t="inlineStr">
        <is>
          <t>T1189:Drive-by Compromise</t>
        </is>
      </c>
      <c r="W431" s="191" t="n">
        <v>1</v>
      </c>
      <c r="X431" s="191" t="inlineStr">
        <is>
          <t>LOW (40%)</t>
        </is>
      </c>
      <c r="Y431" s="191" t="inlineStr">
        <is>
          <t>UNLIKELY</t>
        </is>
      </c>
      <c r="Z431" s="191" t="inlineStr">
        <is>
          <t>CHECK_VENDOR</t>
        </is>
      </c>
      <c r="AA431" s="192" t="inlineStr">
        <is>
          <t>https://nvd.nist.gov/vuln/detail/CVE-2026-2502</t>
        </is>
      </c>
      <c r="AB431" s="191" t="inlineStr">
        <is>
          <t>NONE</t>
        </is>
      </c>
      <c r="AC431" s="191" t="n">
        <v>0</v>
      </c>
      <c r="AD431" s="191" t="n"/>
    </row>
    <row r="432">
      <c r="A432" s="191" t="inlineStr">
        <is>
          <t>CVE</t>
        </is>
      </c>
      <c r="B432" s="191" t="inlineStr">
        <is>
          <t>CVE-2026-2504</t>
        </is>
      </c>
      <c r="C432" s="191" t="inlineStr">
        <is>
          <t>The Dealia – Request a quote plugin for WordPress is vulnerable to unauthorized modification of data due to missing capability checks on multiple AJAX handlers in all versions up to, and including, 1.0.6. The admin nonce (DEALIA_ADMIN_NONCE) is exposed to all users with edit_posts capability (Contributor+) via wp_localize_script() in PostsController.php, while the AJAX handlers in AdminSettingsController.php only verify the nonce without checking current_user_can('manage_options'). This makes it</t>
        </is>
      </c>
      <c r="D432" s="191" t="n">
        <v>4.3</v>
      </c>
      <c r="E432" s="191" t="inlineStr">
        <is>
          <t>MEDIUM</t>
        </is>
      </c>
      <c r="F432" s="191" t="n">
        <v>2</v>
      </c>
      <c r="G432" s="191" t="n">
        <v>2</v>
      </c>
      <c r="H432" s="191" t="inlineStr">
        <is>
          <t>MEDIUM</t>
        </is>
      </c>
      <c r="I432" s="191" t="n">
        <v>8.300000000000001</v>
      </c>
      <c r="J432" s="191" t="inlineStr">
        <is>
          <t>NO</t>
        </is>
      </c>
      <c r="K432" s="192" t="inlineStr">
        <is>
          <t>https://nvd.nist.gov/vuln/detail/CVE-2026-2504</t>
        </is>
      </c>
      <c r="L432" s="191" t="inlineStr">
        <is>
          <t>2026-02-23 23:48</t>
        </is>
      </c>
      <c r="M432" s="191" t="inlineStr">
        <is>
          <t>CHECK_VENDOR</t>
        </is>
      </c>
      <c r="N432" s="191" t="inlineStr">
        <is>
          <t>See NVD references</t>
        </is>
      </c>
      <c r="O432" s="191" t="inlineStr">
        <is>
          <t>Apply vendor patches</t>
        </is>
      </c>
      <c r="P432" s="191" t="inlineStr">
        <is>
          <t>See CVE details</t>
        </is>
      </c>
      <c r="Q432" s="191" t="inlineStr">
        <is>
          <t>P4</t>
        </is>
      </c>
      <c r="R432" s="191" t="inlineStr">
        <is>
          <t>📅 Schedule patch deployment within 30 days | 🔍 Monitor for exploitation attempts</t>
        </is>
      </c>
      <c r="S432" s="191" t="inlineStr">
        <is>
          <t>CVE - IP enrichment n/a</t>
        </is>
      </c>
      <c r="T432" s="191" t="n">
        <v>0</v>
      </c>
      <c r="U432" s="191" t="n">
        <v>0</v>
      </c>
      <c r="V432" s="191" t="inlineStr">
        <is>
          <t>T1190:Exploit Public-Facing Application</t>
        </is>
      </c>
      <c r="W432" s="191" t="n">
        <v>1</v>
      </c>
      <c r="X432" s="191" t="inlineStr">
        <is>
          <t>LOW (40%)</t>
        </is>
      </c>
      <c r="Y432" s="191" t="inlineStr">
        <is>
          <t>UNLIKELY</t>
        </is>
      </c>
      <c r="Z432" s="191" t="inlineStr">
        <is>
          <t>CHECK_VENDOR</t>
        </is>
      </c>
      <c r="AA432" s="192" t="inlineStr">
        <is>
          <t>https://nvd.nist.gov/vuln/detail/CVE-2026-2504</t>
        </is>
      </c>
      <c r="AB432" s="191" t="inlineStr">
        <is>
          <t>NONE</t>
        </is>
      </c>
      <c r="AC432" s="191" t="n">
        <v>0</v>
      </c>
      <c r="AD432" s="191" t="n"/>
    </row>
    <row r="433">
      <c r="A433" s="191" t="inlineStr">
        <is>
          <t>CVE</t>
        </is>
      </c>
      <c r="B433" s="191" t="inlineStr">
        <is>
          <t>CVE-2026-2681</t>
        </is>
      </c>
      <c r="C433" s="191" t="inlineStr">
        <is>
          <t>A flaw was found in the blst cryptographic library. This out-of-bounds stack write vulnerability, specifically in the blst_sha256_bcopy assembly routine, occurs due to a missing zero-length guard. A remote attacker can exploit this by providing a zero-length salt parameter to key generation functions, such as blst_keygen_v5(), if the application exposes this functionality. Successful exploitation leads to memory corruption and immediate process termination, resulting in a denial-of-service (DoS)</t>
        </is>
      </c>
      <c r="D433" s="191" t="n">
        <v>5.3</v>
      </c>
      <c r="E433" s="191" t="inlineStr">
        <is>
          <t>MEDIUM</t>
        </is>
      </c>
      <c r="F433" s="191" t="n">
        <v>2</v>
      </c>
      <c r="G433" s="191" t="n">
        <v>2</v>
      </c>
      <c r="H433" s="191" t="inlineStr">
        <is>
          <t>MEDIUM</t>
        </is>
      </c>
      <c r="I433" s="191" t="n">
        <v>9.300000000000001</v>
      </c>
      <c r="J433" s="191" t="inlineStr">
        <is>
          <t>NO</t>
        </is>
      </c>
      <c r="K433" s="192" t="inlineStr">
        <is>
          <t>https://nvd.nist.gov/vuln/detail/CVE-2026-2681</t>
        </is>
      </c>
      <c r="L433" s="191" t="inlineStr">
        <is>
          <t>2026-02-23 23:48</t>
        </is>
      </c>
      <c r="M433" s="191" t="inlineStr">
        <is>
          <t>CHECK_VENDOR</t>
        </is>
      </c>
      <c r="N433" s="191" t="inlineStr">
        <is>
          <t>See NVD references</t>
        </is>
      </c>
      <c r="O433" s="191" t="inlineStr">
        <is>
          <t>Apply vendor patches</t>
        </is>
      </c>
      <c r="P433" s="191" t="inlineStr">
        <is>
          <t>See CVE details</t>
        </is>
      </c>
      <c r="Q433" s="191" t="inlineStr">
        <is>
          <t>P4</t>
        </is>
      </c>
      <c r="R433" s="191" t="inlineStr">
        <is>
          <t>📅 Schedule patch deployment within 30 days | 🔍 Monitor for exploitation attempts</t>
        </is>
      </c>
      <c r="S433" s="191" t="inlineStr">
        <is>
          <t>CVE - IP enrichment n/a</t>
        </is>
      </c>
      <c r="T433" s="191" t="n">
        <v>0</v>
      </c>
      <c r="U433" s="191" t="n">
        <v>0</v>
      </c>
      <c r="V433" s="191" t="inlineStr">
        <is>
          <t>T1203:Exploitation for Client Execution | T1600:Weaken Encryption</t>
        </is>
      </c>
      <c r="W433" s="191" t="n">
        <v>1</v>
      </c>
      <c r="X433" s="191" t="inlineStr">
        <is>
          <t>LOW (40%)</t>
        </is>
      </c>
      <c r="Y433" s="191" t="inlineStr">
        <is>
          <t>UNLIKELY</t>
        </is>
      </c>
      <c r="Z433" s="191" t="inlineStr">
        <is>
          <t>CHECK_VENDOR</t>
        </is>
      </c>
      <c r="AA433" s="192" t="inlineStr">
        <is>
          <t>https://nvd.nist.gov/vuln/detail/CVE-2026-2681</t>
        </is>
      </c>
      <c r="AB433" s="191" t="inlineStr">
        <is>
          <t>NONE</t>
        </is>
      </c>
      <c r="AC433" s="191" t="n">
        <v>0</v>
      </c>
      <c r="AD433" s="191" t="n"/>
    </row>
    <row r="434">
      <c r="A434" s="189" t="inlineStr">
        <is>
          <t>CVE</t>
        </is>
      </c>
      <c r="B434" s="189" t="inlineStr">
        <is>
          <t>CVE-2026-2689</t>
        </is>
      </c>
      <c r="C434" s="189" t="inlineStr">
        <is>
          <t>A vulnerability was detected in itsourcecode Event Management System 1.0. Affected is an unknown function of the file /admin/manage_booking.php. The manipulation of the argument ID results in sql injection. The attack may be performed from remote. The exploit is now public and may be used.</t>
        </is>
      </c>
      <c r="D434" s="189" t="n">
        <v>7.3</v>
      </c>
      <c r="E434" s="189" t="inlineStr">
        <is>
          <t>HIGH</t>
        </is>
      </c>
      <c r="F434" s="189" t="n">
        <v>2</v>
      </c>
      <c r="G434" s="189" t="n">
        <v>3</v>
      </c>
      <c r="H434" s="189" t="inlineStr">
        <is>
          <t>HIGH</t>
        </is>
      </c>
      <c r="I434" s="189" t="n">
        <v>13.3</v>
      </c>
      <c r="J434" s="189" t="inlineStr">
        <is>
          <t>NO</t>
        </is>
      </c>
      <c r="K434" s="190" t="inlineStr">
        <is>
          <t>https://nvd.nist.gov/vuln/detail/CVE-2026-2689</t>
        </is>
      </c>
      <c r="L434" s="189" t="inlineStr">
        <is>
          <t>2026-02-23 23:48</t>
        </is>
      </c>
      <c r="M434" s="189" t="inlineStr">
        <is>
          <t>CHECK_VENDOR</t>
        </is>
      </c>
      <c r="N434" s="189" t="inlineStr">
        <is>
          <t>See NVD references</t>
        </is>
      </c>
      <c r="O434" s="189" t="inlineStr">
        <is>
          <t>Apply vendor patches</t>
        </is>
      </c>
      <c r="P434" s="189" t="inlineStr">
        <is>
          <t>See CVE details</t>
        </is>
      </c>
      <c r="Q434" s="189" t="inlineStr">
        <is>
          <t>P3</t>
        </is>
      </c>
      <c r="R434" s="189" t="inlineStr">
        <is>
          <t>🚨 URGENT: Apply vendor patches immediately | 🔒 Isolate affected systems if patch unavailable | 🛡️ Enable additional monitoring/IDS rules</t>
        </is>
      </c>
      <c r="S434" s="189" t="inlineStr">
        <is>
          <t>CVE - IP enrichment n/a</t>
        </is>
      </c>
      <c r="T434" s="189" t="n">
        <v>0</v>
      </c>
      <c r="U434" s="189" t="n">
        <v>0</v>
      </c>
      <c r="V434" s="189" t="inlineStr">
        <is>
          <t>T1190:Exploit Public-Facing Application</t>
        </is>
      </c>
      <c r="W434" s="189" t="n">
        <v>1</v>
      </c>
      <c r="X434" s="189" t="inlineStr">
        <is>
          <t>LOW (40%)</t>
        </is>
      </c>
      <c r="Y434" s="189" t="inlineStr">
        <is>
          <t>UNLIKELY</t>
        </is>
      </c>
      <c r="Z434" s="189" t="inlineStr">
        <is>
          <t>CHECK_VENDOR</t>
        </is>
      </c>
      <c r="AA434" s="190" t="inlineStr">
        <is>
          <t>https://nvd.nist.gov/vuln/detail/CVE-2026-2689</t>
        </is>
      </c>
      <c r="AB434" s="189" t="inlineStr">
        <is>
          <t>NONE</t>
        </is>
      </c>
      <c r="AC434" s="189" t="n">
        <v>0</v>
      </c>
      <c r="AD434" s="189" t="n"/>
    </row>
    <row r="435">
      <c r="A435" s="189" t="inlineStr">
        <is>
          <t>CVE</t>
        </is>
      </c>
      <c r="B435" s="189" t="inlineStr">
        <is>
          <t>CVE-2026-2690</t>
        </is>
      </c>
      <c r="C435" s="189" t="inlineStr">
        <is>
          <t>A flaw has been found in itsourcecode Event Management System 1.0. Affected by this vulnerability is an unknown functionality of the file /admin/ajax.php?action=login of the component Admin Login. This manipulation of the argument Username causes sql injection. It is possible to initiate the attack remotely. The exploit has been published and may be used.</t>
        </is>
      </c>
      <c r="D435" s="189" t="n">
        <v>7.3</v>
      </c>
      <c r="E435" s="189" t="inlineStr">
        <is>
          <t>HIGH</t>
        </is>
      </c>
      <c r="F435" s="189" t="n">
        <v>2</v>
      </c>
      <c r="G435" s="189" t="n">
        <v>3</v>
      </c>
      <c r="H435" s="189" t="inlineStr">
        <is>
          <t>HIGH</t>
        </is>
      </c>
      <c r="I435" s="189" t="n">
        <v>13.3</v>
      </c>
      <c r="J435" s="189" t="inlineStr">
        <is>
          <t>NO</t>
        </is>
      </c>
      <c r="K435" s="190" t="inlineStr">
        <is>
          <t>https://nvd.nist.gov/vuln/detail/CVE-2026-2690</t>
        </is>
      </c>
      <c r="L435" s="189" t="inlineStr">
        <is>
          <t>2026-02-23 23:48</t>
        </is>
      </c>
      <c r="M435" s="189" t="inlineStr">
        <is>
          <t>CHECK_VENDOR</t>
        </is>
      </c>
      <c r="N435" s="189" t="inlineStr">
        <is>
          <t>See NVD references</t>
        </is>
      </c>
      <c r="O435" s="189" t="inlineStr">
        <is>
          <t>Apply vendor patches</t>
        </is>
      </c>
      <c r="P435" s="189" t="inlineStr">
        <is>
          <t>See CVE details</t>
        </is>
      </c>
      <c r="Q435" s="189" t="inlineStr">
        <is>
          <t>P3</t>
        </is>
      </c>
      <c r="R435" s="189" t="inlineStr">
        <is>
          <t>🚨 URGENT: Apply vendor patches immediately | 🔒 Isolate affected systems if patch unavailable | 🛡️ Enable additional monitoring/IDS rules</t>
        </is>
      </c>
      <c r="S435" s="189" t="inlineStr">
        <is>
          <t>CVE - IP enrichment n/a</t>
        </is>
      </c>
      <c r="T435" s="189" t="n">
        <v>0</v>
      </c>
      <c r="U435" s="189" t="n">
        <v>0</v>
      </c>
      <c r="V435" s="189" t="inlineStr">
        <is>
          <t>T1190:Exploit Public-Facing Application</t>
        </is>
      </c>
      <c r="W435" s="189" t="n">
        <v>1</v>
      </c>
      <c r="X435" s="189" t="inlineStr">
        <is>
          <t>LOW (40%)</t>
        </is>
      </c>
      <c r="Y435" s="189" t="inlineStr">
        <is>
          <t>UNLIKELY</t>
        </is>
      </c>
      <c r="Z435" s="189" t="inlineStr">
        <is>
          <t>CHECK_VENDOR</t>
        </is>
      </c>
      <c r="AA435" s="190" t="inlineStr">
        <is>
          <t>https://nvd.nist.gov/vuln/detail/CVE-2026-2690</t>
        </is>
      </c>
      <c r="AB435" s="189" t="inlineStr">
        <is>
          <t>NONE</t>
        </is>
      </c>
      <c r="AC435" s="189" t="n">
        <v>0</v>
      </c>
      <c r="AD435" s="189" t="n"/>
    </row>
    <row r="436">
      <c r="A436" s="189" t="inlineStr">
        <is>
          <t>CVE</t>
        </is>
      </c>
      <c r="B436" s="189" t="inlineStr">
        <is>
          <t>CVE-2026-2691</t>
        </is>
      </c>
      <c r="C436" s="189" t="inlineStr">
        <is>
          <t>A vulnerability has been found in itsourcecode Event Management System 1.0. Affected by this issue is some unknown functionality of the file /admin/manage_register.php. Such manipulation of the argument ID leads to sql injection. It is possible to launch the attack remotely. The exploit has been disclosed to the public and may be used.</t>
        </is>
      </c>
      <c r="D436" s="189" t="n">
        <v>7.3</v>
      </c>
      <c r="E436" s="189" t="inlineStr">
        <is>
          <t>HIGH</t>
        </is>
      </c>
      <c r="F436" s="189" t="n">
        <v>2</v>
      </c>
      <c r="G436" s="189" t="n">
        <v>3</v>
      </c>
      <c r="H436" s="189" t="inlineStr">
        <is>
          <t>HIGH</t>
        </is>
      </c>
      <c r="I436" s="189" t="n">
        <v>13.3</v>
      </c>
      <c r="J436" s="189" t="inlineStr">
        <is>
          <t>NO</t>
        </is>
      </c>
      <c r="K436" s="190" t="inlineStr">
        <is>
          <t>https://nvd.nist.gov/vuln/detail/CVE-2026-2691</t>
        </is>
      </c>
      <c r="L436" s="189" t="inlineStr">
        <is>
          <t>2026-02-23 23:48</t>
        </is>
      </c>
      <c r="M436" s="189" t="inlineStr">
        <is>
          <t>YES</t>
        </is>
      </c>
      <c r="N436" s="190" t="inlineStr">
        <is>
          <t>https://github.com/ltranquility/CVE/issues/40</t>
        </is>
      </c>
      <c r="O436" s="190" t="inlineStr">
        <is>
          <t>https://github.com/ltranquility/CVE/issues/40</t>
        </is>
      </c>
      <c r="P436" s="189" t="inlineStr">
        <is>
          <t>admerc event_management_system 1.0</t>
        </is>
      </c>
      <c r="Q436" s="189" t="inlineStr">
        <is>
          <t>P3</t>
        </is>
      </c>
      <c r="R436" s="189" t="inlineStr">
        <is>
          <t>🚨 URGENT: Apply vendor patches immediately | 🔒 Isolate affected systems if patch unavailable | 🛡️ Enable additional monitoring/IDS rules</t>
        </is>
      </c>
      <c r="S436" s="189" t="inlineStr">
        <is>
          <t>CVE - IP enrichment n/a</t>
        </is>
      </c>
      <c r="T436" s="189" t="n">
        <v>0</v>
      </c>
      <c r="U436" s="189" t="n">
        <v>0</v>
      </c>
      <c r="V436" s="189" t="inlineStr">
        <is>
          <t>T1190:Exploit Public-Facing Application</t>
        </is>
      </c>
      <c r="W436" s="189" t="n">
        <v>1</v>
      </c>
      <c r="X436" s="189" t="inlineStr">
        <is>
          <t>LOW (40%)</t>
        </is>
      </c>
      <c r="Y436" s="189" t="inlineStr">
        <is>
          <t>UNLIKELY</t>
        </is>
      </c>
      <c r="Z436" s="189" t="inlineStr">
        <is>
          <t>PATCH_AVAILABLE</t>
        </is>
      </c>
      <c r="AA436" s="190" t="inlineStr">
        <is>
          <t>https://nvd.nist.gov/vuln/detail/CVE-2026-2691</t>
        </is>
      </c>
      <c r="AB436" s="189" t="inlineStr">
        <is>
          <t>NONE</t>
        </is>
      </c>
      <c r="AC436" s="189" t="n">
        <v>0</v>
      </c>
      <c r="AD436" s="189" t="n"/>
    </row>
    <row r="437">
      <c r="A437" s="191" t="inlineStr">
        <is>
          <t>CVE</t>
        </is>
      </c>
      <c r="B437" s="191" t="inlineStr">
        <is>
          <t>CVE-2026-2692</t>
        </is>
      </c>
      <c r="C437" s="191" t="inlineStr">
        <is>
          <t>A vulnerability was found in CoCoTeaNet CyreneAdmin up to 1.3.0. This affects an unknown part of the file /api/system/user/getAvatar of the component Image Handler. Performing a manipulation of the argument Avatar results in path traversal. The attack can be initiated remotely. The exploit has been made public and could be used.</t>
        </is>
      </c>
      <c r="D437" s="191" t="n">
        <v>4.3</v>
      </c>
      <c r="E437" s="191" t="inlineStr">
        <is>
          <t>MEDIUM</t>
        </is>
      </c>
      <c r="F437" s="191" t="n">
        <v>2</v>
      </c>
      <c r="G437" s="191" t="n">
        <v>2</v>
      </c>
      <c r="H437" s="191" t="inlineStr">
        <is>
          <t>MEDIUM</t>
        </is>
      </c>
      <c r="I437" s="191" t="n">
        <v>8.300000000000001</v>
      </c>
      <c r="J437" s="191" t="inlineStr">
        <is>
          <t>NO</t>
        </is>
      </c>
      <c r="K437" s="192" t="inlineStr">
        <is>
          <t>https://nvd.nist.gov/vuln/detail/CVE-2026-2692</t>
        </is>
      </c>
      <c r="L437" s="191" t="inlineStr">
        <is>
          <t>2026-02-23 23:48</t>
        </is>
      </c>
      <c r="M437" s="191" t="inlineStr">
        <is>
          <t>CHECK_VENDOR</t>
        </is>
      </c>
      <c r="N437" s="191" t="inlineStr">
        <is>
          <t>See NVD references</t>
        </is>
      </c>
      <c r="O437" s="191" t="inlineStr">
        <is>
          <t>Apply vendor patches</t>
        </is>
      </c>
      <c r="P437" s="191" t="inlineStr">
        <is>
          <t>cocoteanet cyreneadmin *</t>
        </is>
      </c>
      <c r="Q437" s="191" t="inlineStr">
        <is>
          <t>P4</t>
        </is>
      </c>
      <c r="R437" s="191" t="inlineStr">
        <is>
          <t>📅 Schedule patch deployment within 30 days | 🔍 Monitor for exploitation attempts</t>
        </is>
      </c>
      <c r="S437" s="191" t="inlineStr">
        <is>
          <t>CVE - IP enrichment n/a</t>
        </is>
      </c>
      <c r="T437" s="191" t="n">
        <v>0.0007</v>
      </c>
      <c r="U437" s="191" t="n">
        <v>0.22</v>
      </c>
      <c r="V437" s="191" t="inlineStr">
        <is>
          <t>T1083:File and Directory Discovery</t>
        </is>
      </c>
      <c r="W437" s="191" t="n">
        <v>1</v>
      </c>
      <c r="X437" s="191" t="inlineStr">
        <is>
          <t>LOW (40%)</t>
        </is>
      </c>
      <c r="Y437" s="191" t="inlineStr">
        <is>
          <t>UNLIKELY</t>
        </is>
      </c>
      <c r="Z437" s="191" t="inlineStr">
        <is>
          <t>CHECK_VENDOR</t>
        </is>
      </c>
      <c r="AA437" s="192" t="inlineStr">
        <is>
          <t>https://nvd.nist.gov/vuln/detail/CVE-2026-2692</t>
        </is>
      </c>
      <c r="AB437" s="191" t="inlineStr">
        <is>
          <t>NONE</t>
        </is>
      </c>
      <c r="AC437" s="191" t="n">
        <v>0</v>
      </c>
      <c r="AD437" s="191" t="n"/>
    </row>
    <row r="438">
      <c r="A438" s="191" t="inlineStr">
        <is>
          <t>CVE</t>
        </is>
      </c>
      <c r="B438" s="191" t="inlineStr">
        <is>
          <t>CVE-2026-2693</t>
        </is>
      </c>
      <c r="C438" s="191" t="inlineStr">
        <is>
          <t>A vulnerability was determined in CoCoTeaNet CyreneAdmin up to 1.3.0. This vulnerability affects unknown code of the file /api/system/dashboard/getCount of the component System Info Endpoint. Executing a manipulation can lead to improper authorization. The attack can be launched remotely. The exploit has been publicly disclosed and may be utilized.</t>
        </is>
      </c>
      <c r="D438" s="191" t="n">
        <v>4.3</v>
      </c>
      <c r="E438" s="191" t="inlineStr">
        <is>
          <t>MEDIUM</t>
        </is>
      </c>
      <c r="F438" s="191" t="n">
        <v>2</v>
      </c>
      <c r="G438" s="191" t="n">
        <v>2</v>
      </c>
      <c r="H438" s="191" t="inlineStr">
        <is>
          <t>MEDIUM</t>
        </is>
      </c>
      <c r="I438" s="191" t="n">
        <v>8.300000000000001</v>
      </c>
      <c r="J438" s="191" t="inlineStr">
        <is>
          <t>NO</t>
        </is>
      </c>
      <c r="K438" s="192" t="inlineStr">
        <is>
          <t>https://nvd.nist.gov/vuln/detail/CVE-2026-2693</t>
        </is>
      </c>
      <c r="L438" s="191" t="inlineStr">
        <is>
          <t>2026-02-23 23:48</t>
        </is>
      </c>
      <c r="M438" s="191" t="inlineStr">
        <is>
          <t>CHECK_VENDOR</t>
        </is>
      </c>
      <c r="N438" s="191" t="inlineStr">
        <is>
          <t>See NVD references</t>
        </is>
      </c>
      <c r="O438" s="191" t="inlineStr">
        <is>
          <t>Apply vendor patches</t>
        </is>
      </c>
      <c r="P438" s="191" t="inlineStr">
        <is>
          <t>cocoteanet cyreneadmin *</t>
        </is>
      </c>
      <c r="Q438" s="191" t="inlineStr">
        <is>
          <t>P4</t>
        </is>
      </c>
      <c r="R438" s="191" t="inlineStr">
        <is>
          <t>📅 Schedule patch deployment within 30 days | 🔍 Monitor for exploitation attempts</t>
        </is>
      </c>
      <c r="S438" s="191" t="inlineStr">
        <is>
          <t>CVE - IP enrichment n/a</t>
        </is>
      </c>
      <c r="T438" s="191" t="n">
        <v>0.0003</v>
      </c>
      <c r="U438" s="191" t="n">
        <v>0.0678</v>
      </c>
      <c r="V438" s="191" t="inlineStr">
        <is>
          <t>T1190:Exploit Public-Facing Application</t>
        </is>
      </c>
      <c r="W438" s="191" t="n">
        <v>1</v>
      </c>
      <c r="X438" s="191" t="inlineStr">
        <is>
          <t>LOW (40%)</t>
        </is>
      </c>
      <c r="Y438" s="191" t="inlineStr">
        <is>
          <t>UNLIKELY</t>
        </is>
      </c>
      <c r="Z438" s="191" t="inlineStr">
        <is>
          <t>CHECK_VENDOR</t>
        </is>
      </c>
      <c r="AA438" s="192" t="inlineStr">
        <is>
          <t>https://nvd.nist.gov/vuln/detail/CVE-2026-2693</t>
        </is>
      </c>
      <c r="AB438" s="191" t="inlineStr">
        <is>
          <t>NONE</t>
        </is>
      </c>
      <c r="AC438" s="191" t="n">
        <v>0</v>
      </c>
      <c r="AD438" s="191" t="n"/>
    </row>
    <row r="439">
      <c r="A439" s="195" t="inlineStr">
        <is>
          <t>CVE</t>
        </is>
      </c>
      <c r="B439" s="195" t="inlineStr">
        <is>
          <t>CVE-2026-2702</t>
        </is>
      </c>
      <c r="C439" s="195" t="inlineStr">
        <is>
          <t>A security flaw has been discovered in Beetel 777VR1 up to 01.00.09. This issue affects some unknown processing of the component WPA2 PSK. Performing a manipulation results in hard-coded credentials. The attacker must have access to the local network to execute the attack. The complexity of an attack is rather high. The exploitability is assessed as difficult. The exploit has been released to the public and may be used for attacks. The vendor was contacted early about this disclosure but did not</t>
        </is>
      </c>
      <c r="D439" s="195" t="n">
        <v>3.1</v>
      </c>
      <c r="E439" s="195" t="inlineStr">
        <is>
          <t>LOW</t>
        </is>
      </c>
      <c r="F439" s="195" t="n">
        <v>2</v>
      </c>
      <c r="G439" s="195" t="n">
        <v>1</v>
      </c>
      <c r="H439" s="195" t="inlineStr">
        <is>
          <t>LOW</t>
        </is>
      </c>
      <c r="I439" s="195" t="n">
        <v>5.1</v>
      </c>
      <c r="J439" s="195" t="inlineStr">
        <is>
          <t>NO</t>
        </is>
      </c>
      <c r="K439" s="196" t="inlineStr">
        <is>
          <t>https://nvd.nist.gov/vuln/detail/CVE-2026-2702</t>
        </is>
      </c>
      <c r="L439" s="195" t="inlineStr">
        <is>
          <t>2026-02-23 23:48</t>
        </is>
      </c>
      <c r="M439" s="195" t="inlineStr">
        <is>
          <t>CHECK_VENDOR</t>
        </is>
      </c>
      <c r="N439" s="195" t="inlineStr">
        <is>
          <t>See NVD references</t>
        </is>
      </c>
      <c r="O439" s="195" t="inlineStr">
        <is>
          <t>Apply vendor patches</t>
        </is>
      </c>
      <c r="P439" s="195" t="inlineStr">
        <is>
          <t>See CVE details</t>
        </is>
      </c>
      <c r="Q439" s="195" t="inlineStr">
        <is>
          <t>P4</t>
        </is>
      </c>
      <c r="R439" s="195" t="inlineStr">
        <is>
          <t>📅 Schedule patch deployment within 30 days | 🔍 Monitor for exploitation attempts</t>
        </is>
      </c>
      <c r="S439" s="195" t="inlineStr">
        <is>
          <t>CVE - IP enrichment n/a</t>
        </is>
      </c>
      <c r="T439" s="195" t="n">
        <v>0</v>
      </c>
      <c r="U439" s="195" t="n">
        <v>0</v>
      </c>
      <c r="V439" s="195" t="inlineStr">
        <is>
          <t>T1552:Unsecured Credentials</t>
        </is>
      </c>
      <c r="W439" s="195" t="n">
        <v>1</v>
      </c>
      <c r="X439" s="195" t="inlineStr">
        <is>
          <t>LOW (40%)</t>
        </is>
      </c>
      <c r="Y439" s="195" t="inlineStr">
        <is>
          <t>UNLIKELY</t>
        </is>
      </c>
      <c r="Z439" s="195" t="inlineStr">
        <is>
          <t>CHECK_VENDOR</t>
        </is>
      </c>
      <c r="AA439" s="196" t="inlineStr">
        <is>
          <t>https://nvd.nist.gov/vuln/detail/CVE-2026-2702</t>
        </is>
      </c>
      <c r="AB439" s="195" t="inlineStr">
        <is>
          <t>NONE</t>
        </is>
      </c>
      <c r="AC439" s="195" t="n">
        <v>0</v>
      </c>
      <c r="AD439" s="195" t="n"/>
    </row>
    <row r="440">
      <c r="A440" s="195" t="inlineStr">
        <is>
          <t>CVE</t>
        </is>
      </c>
      <c r="B440" s="195" t="inlineStr">
        <is>
          <t>CVE-2026-2703</t>
        </is>
      </c>
      <c r="C440" s="195" t="inlineStr">
        <is>
          <t>A weakness has been identified in xlnt-community xlnt up to 1.6.1. Impacted is the function xlnt::detail::decode_base64 of the file source/detail/cryptography/base64.cpp of the component Encrypted XLSX File Parser. Executing a manipulation can lead to off-by-one. The attack requires local access. The exploit has been made available to the public and could be used for attacks. This patch is called f2d7bf494e5c52706843cf7eb9892821bffb0734. Applying a patch is advised to resolve this issue.</t>
        </is>
      </c>
      <c r="D440" s="195" t="n">
        <v>3.3</v>
      </c>
      <c r="E440" s="195" t="inlineStr">
        <is>
          <t>LOW</t>
        </is>
      </c>
      <c r="F440" s="195" t="n">
        <v>2</v>
      </c>
      <c r="G440" s="195" t="n">
        <v>1</v>
      </c>
      <c r="H440" s="195" t="inlineStr">
        <is>
          <t>LOW</t>
        </is>
      </c>
      <c r="I440" s="195" t="n">
        <v>5.3</v>
      </c>
      <c r="J440" s="195" t="inlineStr">
        <is>
          <t>NO</t>
        </is>
      </c>
      <c r="K440" s="196" t="inlineStr">
        <is>
          <t>https://nvd.nist.gov/vuln/detail/CVE-2026-2703</t>
        </is>
      </c>
      <c r="L440" s="195" t="inlineStr">
        <is>
          <t>2026-02-23 23:48</t>
        </is>
      </c>
      <c r="M440" s="195" t="inlineStr">
        <is>
          <t>CHECK_VENDOR</t>
        </is>
      </c>
      <c r="N440" s="195" t="inlineStr">
        <is>
          <t>See NVD references</t>
        </is>
      </c>
      <c r="O440" s="195" t="inlineStr">
        <is>
          <t>Apply vendor patches</t>
        </is>
      </c>
      <c r="P440" s="195" t="inlineStr">
        <is>
          <t>See CVE details</t>
        </is>
      </c>
      <c r="Q440" s="195" t="inlineStr">
        <is>
          <t>P4</t>
        </is>
      </c>
      <c r="R440" s="195" t="inlineStr">
        <is>
          <t>📅 Schedule patch deployment within 30 days | 🔍 Monitor for exploitation attempts</t>
        </is>
      </c>
      <c r="S440" s="195" t="inlineStr">
        <is>
          <t>CVE - IP enrichment n/a</t>
        </is>
      </c>
      <c r="T440" s="195" t="n">
        <v>0</v>
      </c>
      <c r="U440" s="195" t="n">
        <v>0</v>
      </c>
      <c r="V440" s="195" t="inlineStr">
        <is>
          <t>T1190:Exploit Public-Facing Application</t>
        </is>
      </c>
      <c r="W440" s="195" t="n">
        <v>1</v>
      </c>
      <c r="X440" s="195" t="inlineStr">
        <is>
          <t>LOW (40%)</t>
        </is>
      </c>
      <c r="Y440" s="195" t="inlineStr">
        <is>
          <t>UNLIKELY</t>
        </is>
      </c>
      <c r="Z440" s="195" t="inlineStr">
        <is>
          <t>CHECK_VENDOR</t>
        </is>
      </c>
      <c r="AA440" s="196" t="inlineStr">
        <is>
          <t>https://nvd.nist.gov/vuln/detail/CVE-2026-2703</t>
        </is>
      </c>
      <c r="AB440" s="195" t="inlineStr">
        <is>
          <t>NONE</t>
        </is>
      </c>
      <c r="AC440" s="195" t="n">
        <v>0</v>
      </c>
      <c r="AD440" s="195" t="n"/>
    </row>
    <row r="441">
      <c r="A441" s="191" t="inlineStr">
        <is>
          <t>CVE</t>
        </is>
      </c>
      <c r="B441" s="191" t="inlineStr">
        <is>
          <t>CVE-2026-2704</t>
        </is>
      </c>
      <c r="C441" s="191" t="inlineStr">
        <is>
          <t>A security vulnerability has been detected in Open Babel up to 3.1.1. The affected element is the function OpenBabel::transform3d::DescribeAsString of the file src/math/transform3d.cpp of the component CIF File Handler. The manipulation leads to out-of-bounds read. It is possible to initiate the attack remotely. The exploit has been disclosed publicly and may be used. The project was informed of the problem early through an issue report but has not responded yet.</t>
        </is>
      </c>
      <c r="D441" s="191" t="n">
        <v>4.3</v>
      </c>
      <c r="E441" s="191" t="inlineStr">
        <is>
          <t>MEDIUM</t>
        </is>
      </c>
      <c r="F441" s="191" t="n">
        <v>2</v>
      </c>
      <c r="G441" s="191" t="n">
        <v>2</v>
      </c>
      <c r="H441" s="191" t="inlineStr">
        <is>
          <t>MEDIUM</t>
        </is>
      </c>
      <c r="I441" s="191" t="n">
        <v>8.300000000000001</v>
      </c>
      <c r="J441" s="191" t="inlineStr">
        <is>
          <t>NO</t>
        </is>
      </c>
      <c r="K441" s="192" t="inlineStr">
        <is>
          <t>https://nvd.nist.gov/vuln/detail/CVE-2026-2704</t>
        </is>
      </c>
      <c r="L441" s="191" t="inlineStr">
        <is>
          <t>2026-02-23 23:48</t>
        </is>
      </c>
      <c r="M441" s="191" t="inlineStr">
        <is>
          <t>CHECK_VENDOR</t>
        </is>
      </c>
      <c r="N441" s="191" t="inlineStr">
        <is>
          <t>See NVD references</t>
        </is>
      </c>
      <c r="O441" s="191" t="inlineStr">
        <is>
          <t>Apply vendor patches</t>
        </is>
      </c>
      <c r="P441" s="191" t="inlineStr">
        <is>
          <t>openbabel open_babel *</t>
        </is>
      </c>
      <c r="Q441" s="191" t="inlineStr">
        <is>
          <t>P4</t>
        </is>
      </c>
      <c r="R441" s="191" t="inlineStr">
        <is>
          <t>📅 Schedule patch deployment within 30 days | 🔍 Monitor for exploitation attempts</t>
        </is>
      </c>
      <c r="S441" s="191" t="inlineStr">
        <is>
          <t>CVE - IP enrichment n/a</t>
        </is>
      </c>
      <c r="T441" s="191" t="n">
        <v>0</v>
      </c>
      <c r="U441" s="191" t="n">
        <v>0</v>
      </c>
      <c r="V441" s="191" t="inlineStr">
        <is>
          <t>T1203:Exploitation for Client Execution</t>
        </is>
      </c>
      <c r="W441" s="191" t="n">
        <v>1</v>
      </c>
      <c r="X441" s="191" t="inlineStr">
        <is>
          <t>LOW (40%)</t>
        </is>
      </c>
      <c r="Y441" s="191" t="inlineStr">
        <is>
          <t>UNLIKELY</t>
        </is>
      </c>
      <c r="Z441" s="191" t="inlineStr">
        <is>
          <t>CHECK_VENDOR</t>
        </is>
      </c>
      <c r="AA441" s="192" t="inlineStr">
        <is>
          <t>https://nvd.nist.gov/vuln/detail/CVE-2026-2704</t>
        </is>
      </c>
      <c r="AB441" s="191" t="inlineStr">
        <is>
          <t>NONE</t>
        </is>
      </c>
      <c r="AC441" s="191" t="n">
        <v>0</v>
      </c>
      <c r="AD441" s="191" t="n"/>
    </row>
    <row r="442">
      <c r="A442" s="191" t="inlineStr">
        <is>
          <t>CVE</t>
        </is>
      </c>
      <c r="B442" s="191" t="inlineStr">
        <is>
          <t>CVE-2026-2705</t>
        </is>
      </c>
      <c r="C442" s="191" t="inlineStr">
        <is>
          <t>A vulnerability was detected in Open Babel up to 3.1.1. The impacted element is the function OBAtom::SetFormalCharge in the library include/openbabel/atom.h of the component MOL2 File Handler. The manipulation results in out-of-bounds read. It is possible to launch the attack remotely. The exploit is now public and may be used. The project was informed of the problem early through an issue report but has not responded yet.</t>
        </is>
      </c>
      <c r="D442" s="191" t="n">
        <v>4.3</v>
      </c>
      <c r="E442" s="191" t="inlineStr">
        <is>
          <t>MEDIUM</t>
        </is>
      </c>
      <c r="F442" s="191" t="n">
        <v>2</v>
      </c>
      <c r="G442" s="191" t="n">
        <v>2</v>
      </c>
      <c r="H442" s="191" t="inlineStr">
        <is>
          <t>MEDIUM</t>
        </is>
      </c>
      <c r="I442" s="191" t="n">
        <v>8.300000000000001</v>
      </c>
      <c r="J442" s="191" t="inlineStr">
        <is>
          <t>NO</t>
        </is>
      </c>
      <c r="K442" s="192" t="inlineStr">
        <is>
          <t>https://nvd.nist.gov/vuln/detail/CVE-2026-2705</t>
        </is>
      </c>
      <c r="L442" s="191" t="inlineStr">
        <is>
          <t>2026-02-23 23:48</t>
        </is>
      </c>
      <c r="M442" s="191" t="inlineStr">
        <is>
          <t>CHECK_VENDOR</t>
        </is>
      </c>
      <c r="N442" s="191" t="inlineStr">
        <is>
          <t>See NVD references</t>
        </is>
      </c>
      <c r="O442" s="191" t="inlineStr">
        <is>
          <t>Apply vendor patches</t>
        </is>
      </c>
      <c r="P442" s="191" t="inlineStr">
        <is>
          <t>openbabel open_babel *</t>
        </is>
      </c>
      <c r="Q442" s="191" t="inlineStr">
        <is>
          <t>P4</t>
        </is>
      </c>
      <c r="R442" s="191" t="inlineStr">
        <is>
          <t>📅 Schedule patch deployment within 30 days | 🔍 Monitor for exploitation attempts</t>
        </is>
      </c>
      <c r="S442" s="191" t="inlineStr">
        <is>
          <t>CVE - IP enrichment n/a</t>
        </is>
      </c>
      <c r="T442" s="191" t="n">
        <v>0</v>
      </c>
      <c r="U442" s="191" t="n">
        <v>0</v>
      </c>
      <c r="V442" s="191" t="inlineStr">
        <is>
          <t>T1203:Exploitation for Client Execution</t>
        </is>
      </c>
      <c r="W442" s="191" t="n">
        <v>1</v>
      </c>
      <c r="X442" s="191" t="inlineStr">
        <is>
          <t>LOW (40%)</t>
        </is>
      </c>
      <c r="Y442" s="191" t="inlineStr">
        <is>
          <t>UNLIKELY</t>
        </is>
      </c>
      <c r="Z442" s="191" t="inlineStr">
        <is>
          <t>CHECK_VENDOR</t>
        </is>
      </c>
      <c r="AA442" s="192" t="inlineStr">
        <is>
          <t>https://nvd.nist.gov/vuln/detail/CVE-2026-2705</t>
        </is>
      </c>
      <c r="AB442" s="191" t="inlineStr">
        <is>
          <t>NONE</t>
        </is>
      </c>
      <c r="AC442" s="191" t="n">
        <v>0</v>
      </c>
      <c r="AD442" s="191" t="n"/>
    </row>
    <row r="443">
      <c r="A443" s="191" t="inlineStr">
        <is>
          <t>CVE</t>
        </is>
      </c>
      <c r="B443" s="191" t="inlineStr">
        <is>
          <t>CVE-2026-2706</t>
        </is>
      </c>
      <c r="C443" s="191" t="inlineStr">
        <is>
          <t>A flaw has been found in code-projects Patient Record Management System 1.0. This affects an unknown function of the file /fecalysis_not.php. This manipulation of the argument comp_id causes sql injection. The attack can be initiated remotely. The exploit has been published and may be used.</t>
        </is>
      </c>
      <c r="D443" s="191" t="n">
        <v>6.3</v>
      </c>
      <c r="E443" s="191" t="inlineStr">
        <is>
          <t>MEDIUM</t>
        </is>
      </c>
      <c r="F443" s="191" t="n">
        <v>2</v>
      </c>
      <c r="G443" s="191" t="n">
        <v>2</v>
      </c>
      <c r="H443" s="191" t="inlineStr">
        <is>
          <t>MEDIUM</t>
        </is>
      </c>
      <c r="I443" s="191" t="n">
        <v>10.3</v>
      </c>
      <c r="J443" s="191" t="inlineStr">
        <is>
          <t>NO</t>
        </is>
      </c>
      <c r="K443" s="192" t="inlineStr">
        <is>
          <t>https://nvd.nist.gov/vuln/detail/CVE-2026-2706</t>
        </is>
      </c>
      <c r="L443" s="191" t="inlineStr">
        <is>
          <t>2026-02-23 23:48</t>
        </is>
      </c>
      <c r="M443" s="191" t="inlineStr">
        <is>
          <t>CHECK_VENDOR</t>
        </is>
      </c>
      <c r="N443" s="191" t="inlineStr">
        <is>
          <t>See NVD references</t>
        </is>
      </c>
      <c r="O443" s="191" t="inlineStr">
        <is>
          <t>Apply vendor patches</t>
        </is>
      </c>
      <c r="P443" s="191" t="inlineStr">
        <is>
          <t>code-projects patient_record_management_system 1.0</t>
        </is>
      </c>
      <c r="Q443" s="191" t="inlineStr">
        <is>
          <t>P4</t>
        </is>
      </c>
      <c r="R443" s="191" t="inlineStr">
        <is>
          <t>📅 Schedule patch deployment within 30 days | 🔍 Monitor for exploitation attempts</t>
        </is>
      </c>
      <c r="S443" s="191" t="inlineStr">
        <is>
          <t>CVE - IP enrichment n/a</t>
        </is>
      </c>
      <c r="T443" s="191" t="n">
        <v>0</v>
      </c>
      <c r="U443" s="191" t="n">
        <v>0</v>
      </c>
      <c r="V443" s="191" t="inlineStr">
        <is>
          <t>T1190:Exploit Public-Facing Application</t>
        </is>
      </c>
      <c r="W443" s="191" t="n">
        <v>1</v>
      </c>
      <c r="X443" s="191" t="inlineStr">
        <is>
          <t>LOW (40%)</t>
        </is>
      </c>
      <c r="Y443" s="191" t="inlineStr">
        <is>
          <t>UNLIKELY</t>
        </is>
      </c>
      <c r="Z443" s="191" t="inlineStr">
        <is>
          <t>CHECK_VENDOR</t>
        </is>
      </c>
      <c r="AA443" s="192" t="inlineStr">
        <is>
          <t>https://nvd.nist.gov/vuln/detail/CVE-2026-2706</t>
        </is>
      </c>
      <c r="AB443" s="191" t="inlineStr">
        <is>
          <t>NONE</t>
        </is>
      </c>
      <c r="AC443" s="191" t="n">
        <v>0</v>
      </c>
      <c r="AD443" s="191" t="n"/>
    </row>
    <row r="444">
      <c r="A444" s="195" t="inlineStr">
        <is>
          <t>CVE</t>
        </is>
      </c>
      <c r="B444" s="195" t="inlineStr">
        <is>
          <t>CVE-2026-2709</t>
        </is>
      </c>
      <c r="C444" s="195" t="inlineStr">
        <is>
          <t>A flaw has been found in busy up to 2.5.5. The affected element is an unknown function of the file source-code/busy-master/src/server/app.js of the component Callback Handler. Executing a manipulation of the argument state can lead to open redirect. It is possible to launch the attack remotely. The exploit has been published and may be used. The project was informed of the problem early through an issue report but has not responded yet.</t>
        </is>
      </c>
      <c r="D444" s="195" t="n">
        <v>3.5</v>
      </c>
      <c r="E444" s="195" t="inlineStr">
        <is>
          <t>LOW</t>
        </is>
      </c>
      <c r="F444" s="195" t="n">
        <v>2</v>
      </c>
      <c r="G444" s="195" t="n">
        <v>1</v>
      </c>
      <c r="H444" s="195" t="inlineStr">
        <is>
          <t>LOW</t>
        </is>
      </c>
      <c r="I444" s="195" t="n">
        <v>5.5</v>
      </c>
      <c r="J444" s="195" t="inlineStr">
        <is>
          <t>NO</t>
        </is>
      </c>
      <c r="K444" s="196" t="inlineStr">
        <is>
          <t>https://nvd.nist.gov/vuln/detail/CVE-2026-2709</t>
        </is>
      </c>
      <c r="L444" s="195" t="inlineStr">
        <is>
          <t>2026-02-23 23:48</t>
        </is>
      </c>
      <c r="M444" s="195" t="inlineStr">
        <is>
          <t>CHECK_VENDOR</t>
        </is>
      </c>
      <c r="N444" s="195" t="inlineStr">
        <is>
          <t>See NVD references</t>
        </is>
      </c>
      <c r="O444" s="195" t="inlineStr">
        <is>
          <t>Apply vendor patches</t>
        </is>
      </c>
      <c r="P444" s="195" t="inlineStr">
        <is>
          <t>See CVE details</t>
        </is>
      </c>
      <c r="Q444" s="195" t="inlineStr">
        <is>
          <t>P4</t>
        </is>
      </c>
      <c r="R444" s="195" t="inlineStr">
        <is>
          <t>📅 Schedule patch deployment within 30 days | 🔍 Monitor for exploitation attempts</t>
        </is>
      </c>
      <c r="S444" s="195" t="inlineStr">
        <is>
          <t>CVE - IP enrichment n/a</t>
        </is>
      </c>
      <c r="T444" s="195" t="n">
        <v>0</v>
      </c>
      <c r="U444" s="195" t="n">
        <v>0</v>
      </c>
      <c r="V444" s="195" t="inlineStr">
        <is>
          <t>T1189:Drive-by Compromise | T1190:Exploit Public-Facing Application</t>
        </is>
      </c>
      <c r="W444" s="195" t="n">
        <v>1</v>
      </c>
      <c r="X444" s="195" t="inlineStr">
        <is>
          <t>LOW (40%)</t>
        </is>
      </c>
      <c r="Y444" s="195" t="inlineStr">
        <is>
          <t>UNLIKELY</t>
        </is>
      </c>
      <c r="Z444" s="195" t="inlineStr">
        <is>
          <t>CHECK_VENDOR</t>
        </is>
      </c>
      <c r="AA444" s="196" t="inlineStr">
        <is>
          <t>https://nvd.nist.gov/vuln/detail/CVE-2026-2709</t>
        </is>
      </c>
      <c r="AB444" s="195" t="inlineStr">
        <is>
          <t>NONE</t>
        </is>
      </c>
      <c r="AC444" s="195" t="n">
        <v>0</v>
      </c>
      <c r="AD444" s="195" t="n"/>
    </row>
    <row r="445">
      <c r="A445" s="189" t="inlineStr">
        <is>
          <t>CVE</t>
        </is>
      </c>
      <c r="B445" s="189" t="inlineStr">
        <is>
          <t>CVE-2026-2731</t>
        </is>
      </c>
      <c r="C445" s="189" t="inlineStr">
        <is>
          <t>Path traversal and content injection in JobRunnerBackground.aspx in DynamicWeb 8 (all) and 9 (&lt;9.19.7 and &lt;9.20.3) allows unauthenticated attackers to execute code via simple web requests</t>
        </is>
      </c>
      <c r="D445" s="189" t="n">
        <v>8.5</v>
      </c>
      <c r="E445" s="189" t="inlineStr">
        <is>
          <t>HIGH</t>
        </is>
      </c>
      <c r="F445" s="189" t="n">
        <v>2</v>
      </c>
      <c r="G445" s="189" t="n">
        <v>3</v>
      </c>
      <c r="H445" s="189" t="inlineStr">
        <is>
          <t>HIGH</t>
        </is>
      </c>
      <c r="I445" s="189" t="n">
        <v>14.5</v>
      </c>
      <c r="J445" s="189" t="inlineStr">
        <is>
          <t>NO</t>
        </is>
      </c>
      <c r="K445" s="190" t="inlineStr">
        <is>
          <t>https://nvd.nist.gov/vuln/detail/CVE-2026-2731</t>
        </is>
      </c>
      <c r="L445" s="189" t="inlineStr">
        <is>
          <t>2026-02-23 23:48</t>
        </is>
      </c>
      <c r="M445" s="189" t="inlineStr">
        <is>
          <t>CHECK_VENDOR</t>
        </is>
      </c>
      <c r="N445" s="189" t="inlineStr">
        <is>
          <t>See NVD references</t>
        </is>
      </c>
      <c r="O445" s="189" t="inlineStr">
        <is>
          <t>Apply vendor patches</t>
        </is>
      </c>
      <c r="P445" s="189" t="inlineStr">
        <is>
          <t>See CVE details</t>
        </is>
      </c>
      <c r="Q445" s="189" t="inlineStr">
        <is>
          <t>P3</t>
        </is>
      </c>
      <c r="R445" s="189" t="inlineStr">
        <is>
          <t>🚨 URGENT: Apply vendor patches immediately | 🔒 Isolate affected systems if patch unavailable | 🛡️ Enable additional monitoring/IDS rules</t>
        </is>
      </c>
      <c r="S445" s="189" t="inlineStr">
        <is>
          <t>CVE - IP enrichment n/a</t>
        </is>
      </c>
      <c r="T445" s="189" t="n">
        <v>0.0016</v>
      </c>
      <c r="U445" s="189" t="n">
        <v>0.371</v>
      </c>
      <c r="V445" s="189" t="inlineStr">
        <is>
          <t>T1083:File and Directory Discovery</t>
        </is>
      </c>
      <c r="W445" s="189" t="n">
        <v>1</v>
      </c>
      <c r="X445" s="189" t="inlineStr">
        <is>
          <t>LOW (40%)</t>
        </is>
      </c>
      <c r="Y445" s="189" t="inlineStr">
        <is>
          <t>UNLIKELY</t>
        </is>
      </c>
      <c r="Z445" s="189" t="inlineStr">
        <is>
          <t>CHECK_VENDOR</t>
        </is>
      </c>
      <c r="AA445" s="190" t="inlineStr">
        <is>
          <t>https://nvd.nist.gov/vuln/detail/CVE-2026-2731</t>
        </is>
      </c>
      <c r="AB445" s="189" t="inlineStr">
        <is>
          <t>NONE</t>
        </is>
      </c>
      <c r="AC445" s="189" t="n">
        <v>0</v>
      </c>
      <c r="AD445" s="189" t="n"/>
    </row>
    <row r="446">
      <c r="A446" s="191" t="inlineStr">
        <is>
          <t>CVE</t>
        </is>
      </c>
      <c r="B446" s="191" t="inlineStr">
        <is>
          <t>CVE-2026-2711</t>
        </is>
      </c>
      <c r="C446" s="191" t="inlineStr">
        <is>
          <t>A vulnerability has been found in zhutoutoutousan worldquant-miner up to 1.0.9. The impacted element is an unknown function of the file worldquant-miner-master/agent-dify-api/core/helper/ssrf_proxy.py of the component URL Handler. The manipulation of the argument make_request leads to server-side request forgery. The attack can be initiated remotely. The attack's complexity is rated as high. The exploitability is regarded as difficult. The exploit has been disclosed to the public and may be used</t>
        </is>
      </c>
      <c r="D446" s="191" t="n">
        <v>5.6</v>
      </c>
      <c r="E446" s="191" t="inlineStr">
        <is>
          <t>MEDIUM</t>
        </is>
      </c>
      <c r="F446" s="191" t="n">
        <v>2</v>
      </c>
      <c r="G446" s="191" t="n">
        <v>2</v>
      </c>
      <c r="H446" s="191" t="inlineStr">
        <is>
          <t>MEDIUM</t>
        </is>
      </c>
      <c r="I446" s="191" t="n">
        <v>9.6</v>
      </c>
      <c r="J446" s="191" t="inlineStr">
        <is>
          <t>NO</t>
        </is>
      </c>
      <c r="K446" s="192" t="inlineStr">
        <is>
          <t>https://nvd.nist.gov/vuln/detail/CVE-2026-2711</t>
        </is>
      </c>
      <c r="L446" s="191" t="inlineStr">
        <is>
          <t>2026-02-23 23:48</t>
        </is>
      </c>
      <c r="M446" s="191" t="inlineStr">
        <is>
          <t>CHECK_VENDOR</t>
        </is>
      </c>
      <c r="N446" s="191" t="inlineStr">
        <is>
          <t>See NVD references</t>
        </is>
      </c>
      <c r="O446" s="191" t="inlineStr">
        <is>
          <t>Apply vendor patches</t>
        </is>
      </c>
      <c r="P446" s="191" t="inlineStr">
        <is>
          <t>See CVE details</t>
        </is>
      </c>
      <c r="Q446" s="191" t="inlineStr">
        <is>
          <t>P4</t>
        </is>
      </c>
      <c r="R446" s="191" t="inlineStr">
        <is>
          <t>📅 Schedule patch deployment within 30 days | 🔍 Monitor for exploitation attempts</t>
        </is>
      </c>
      <c r="S446" s="191" t="inlineStr">
        <is>
          <t>CVE - IP enrichment n/a</t>
        </is>
      </c>
      <c r="T446" s="191" t="n">
        <v>0</v>
      </c>
      <c r="U446" s="191" t="n">
        <v>0</v>
      </c>
      <c r="V446" s="191" t="inlineStr">
        <is>
          <t>T1090:Proxy</t>
        </is>
      </c>
      <c r="W446" s="191" t="n">
        <v>1</v>
      </c>
      <c r="X446" s="191" t="inlineStr">
        <is>
          <t>LOW (40%)</t>
        </is>
      </c>
      <c r="Y446" s="191" t="inlineStr">
        <is>
          <t>UNLIKELY</t>
        </is>
      </c>
      <c r="Z446" s="191" t="inlineStr">
        <is>
          <t>CHECK_VENDOR</t>
        </is>
      </c>
      <c r="AA446" s="192" t="inlineStr">
        <is>
          <t>https://nvd.nist.gov/vuln/detail/CVE-2026-2711</t>
        </is>
      </c>
      <c r="AB446" s="191" t="inlineStr">
        <is>
          <t>NONE</t>
        </is>
      </c>
      <c r="AC446" s="191" t="n">
        <v>0</v>
      </c>
      <c r="AD446" s="191" t="n"/>
    </row>
    <row r="447">
      <c r="A447" s="195" t="inlineStr">
        <is>
          <t>CVE</t>
        </is>
      </c>
      <c r="B447" s="195" t="inlineStr">
        <is>
          <t>CVE-2026-2733</t>
        </is>
      </c>
      <c r="C447" s="195" t="inlineStr">
        <is>
          <t>A flaw was identified in the Docker v2 authentication endpoint of Keycloak, where tokens continue to be issued even after a Docker registry client has been administratively disabled. This means that turning the client “Enabled” setting to OFF does not fully prevent access. As a result, previously valid credentials can still be used to obtain authentication tokens. This weakens administrative controls and could allow unintended access to container registry resources.</t>
        </is>
      </c>
      <c r="D447" s="195" t="n">
        <v>3.8</v>
      </c>
      <c r="E447" s="195" t="inlineStr">
        <is>
          <t>LOW</t>
        </is>
      </c>
      <c r="F447" s="195" t="n">
        <v>2</v>
      </c>
      <c r="G447" s="195" t="n">
        <v>1</v>
      </c>
      <c r="H447" s="195" t="inlineStr">
        <is>
          <t>LOW</t>
        </is>
      </c>
      <c r="I447" s="195" t="n">
        <v>5.8</v>
      </c>
      <c r="J447" s="195" t="inlineStr">
        <is>
          <t>NO</t>
        </is>
      </c>
      <c r="K447" s="196" t="inlineStr">
        <is>
          <t>https://nvd.nist.gov/vuln/detail/CVE-2026-2733</t>
        </is>
      </c>
      <c r="L447" s="195" t="inlineStr">
        <is>
          <t>2026-02-23 23:48</t>
        </is>
      </c>
      <c r="M447" s="195" t="inlineStr">
        <is>
          <t>CHECK_VENDOR</t>
        </is>
      </c>
      <c r="N447" s="195" t="inlineStr">
        <is>
          <t>See NVD references</t>
        </is>
      </c>
      <c r="O447" s="195" t="inlineStr">
        <is>
          <t>Apply vendor patches</t>
        </is>
      </c>
      <c r="P447" s="195" t="inlineStr">
        <is>
          <t>See CVE details</t>
        </is>
      </c>
      <c r="Q447" s="195" t="inlineStr">
        <is>
          <t>P4</t>
        </is>
      </c>
      <c r="R447" s="195" t="inlineStr">
        <is>
          <t>📅 Schedule patch deployment within 30 days | 🔍 Monitor for exploitation attempts</t>
        </is>
      </c>
      <c r="S447" s="195" t="inlineStr">
        <is>
          <t>CVE - IP enrichment n/a</t>
        </is>
      </c>
      <c r="T447" s="195" t="n">
        <v>0</v>
      </c>
      <c r="U447" s="195" t="n">
        <v>0</v>
      </c>
      <c r="V447" s="195" t="inlineStr">
        <is>
          <t>T1190:Exploit Public-Facing Application | T1552:Unsecured Credentials</t>
        </is>
      </c>
      <c r="W447" s="195" t="n">
        <v>1</v>
      </c>
      <c r="X447" s="195" t="inlineStr">
        <is>
          <t>LOW (40%)</t>
        </is>
      </c>
      <c r="Y447" s="195" t="inlineStr">
        <is>
          <t>UNLIKELY</t>
        </is>
      </c>
      <c r="Z447" s="195" t="inlineStr">
        <is>
          <t>CHECK_VENDOR</t>
        </is>
      </c>
      <c r="AA447" s="196" t="inlineStr">
        <is>
          <t>https://nvd.nist.gov/vuln/detail/CVE-2026-2733</t>
        </is>
      </c>
      <c r="AB447" s="195" t="inlineStr">
        <is>
          <t>NONE</t>
        </is>
      </c>
      <c r="AC447" s="195" t="n">
        <v>0</v>
      </c>
      <c r="AD447" s="195" t="n"/>
    </row>
    <row r="448">
      <c r="A448" s="191" t="inlineStr">
        <is>
          <t>CVE</t>
        </is>
      </c>
      <c r="B448" s="191" t="inlineStr">
        <is>
          <t>CVE-2025-40697</t>
        </is>
      </c>
      <c r="C448" s="191" t="inlineStr">
        <is>
          <t>Reflected Cross-Site Scripting (XSS) vulnerability in '/index.php' in Lewe WebMeasure, which allows remote attackers to execute arbitrary code through the 'page' parameter. This vulnerability can be exploited to steal sensitive user data, such as session cookies, or to perform actions on behalf of the user.</t>
        </is>
      </c>
      <c r="D448" s="191" t="n">
        <v>5</v>
      </c>
      <c r="E448" s="191" t="inlineStr">
        <is>
          <t>MEDIUM</t>
        </is>
      </c>
      <c r="F448" s="191" t="n">
        <v>2</v>
      </c>
      <c r="G448" s="191" t="n">
        <v>2</v>
      </c>
      <c r="H448" s="191" t="inlineStr">
        <is>
          <t>MEDIUM</t>
        </is>
      </c>
      <c r="I448" s="191" t="n">
        <v>9</v>
      </c>
      <c r="J448" s="191" t="inlineStr">
        <is>
          <t>NO</t>
        </is>
      </c>
      <c r="K448" s="192" t="inlineStr">
        <is>
          <t>https://nvd.nist.gov/vuln/detail/CVE-2025-40697</t>
        </is>
      </c>
      <c r="L448" s="191" t="inlineStr">
        <is>
          <t>2026-02-23 23:48</t>
        </is>
      </c>
      <c r="M448" s="191" t="inlineStr">
        <is>
          <t>CHECK_VENDOR</t>
        </is>
      </c>
      <c r="N448" s="191" t="inlineStr">
        <is>
          <t>See NVD references</t>
        </is>
      </c>
      <c r="O448" s="191" t="inlineStr">
        <is>
          <t>Apply vendor patches</t>
        </is>
      </c>
      <c r="P448" s="191" t="inlineStr">
        <is>
          <t>See CVE details</t>
        </is>
      </c>
      <c r="Q448" s="191" t="inlineStr">
        <is>
          <t>P4</t>
        </is>
      </c>
      <c r="R448" s="191" t="inlineStr">
        <is>
          <t>📅 Schedule patch deployment within 30 days | 🔍 Monitor for exploitation attempts</t>
        </is>
      </c>
      <c r="S448" s="191" t="inlineStr">
        <is>
          <t>CVE - IP enrichment n/a</t>
        </is>
      </c>
      <c r="T448" s="191" t="n">
        <v>0</v>
      </c>
      <c r="U448" s="191" t="n">
        <v>0</v>
      </c>
      <c r="V448" s="191" t="inlineStr">
        <is>
          <t>T1189:Drive-by Compromise | T1203:Exploitation for Client Execution</t>
        </is>
      </c>
      <c r="W448" s="191" t="n">
        <v>1</v>
      </c>
      <c r="X448" s="191" t="inlineStr">
        <is>
          <t>LOW (40%)</t>
        </is>
      </c>
      <c r="Y448" s="191" t="inlineStr">
        <is>
          <t>UNLIKELY</t>
        </is>
      </c>
      <c r="Z448" s="191" t="inlineStr">
        <is>
          <t>CHECK_VENDOR</t>
        </is>
      </c>
      <c r="AA448" s="192" t="inlineStr">
        <is>
          <t>https://nvd.nist.gov/vuln/detail/CVE-2025-40697</t>
        </is>
      </c>
      <c r="AB448" s="191" t="inlineStr">
        <is>
          <t>NONE</t>
        </is>
      </c>
      <c r="AC448" s="191" t="n">
        <v>0</v>
      </c>
      <c r="AD448" s="191" t="n"/>
    </row>
    <row r="449">
      <c r="A449" s="191" t="inlineStr">
        <is>
          <t>CVE</t>
        </is>
      </c>
      <c r="B449" s="191" t="inlineStr">
        <is>
          <t>CVE-2025-41023</t>
        </is>
      </c>
      <c r="C449" s="191" t="inlineStr">
        <is>
          <t>An authentication bypass vulnerability has been found in Thesamur's AutoGPT. This vulnerability allows an attacker to bypass authentication mechanisms. Once inside the web application, the attacker can use any of its features regardless of the authorisation method used.</t>
        </is>
      </c>
      <c r="D449" s="191" t="n">
        <v>5</v>
      </c>
      <c r="E449" s="191" t="inlineStr">
        <is>
          <t>MEDIUM</t>
        </is>
      </c>
      <c r="F449" s="191" t="n">
        <v>2</v>
      </c>
      <c r="G449" s="191" t="n">
        <v>2</v>
      </c>
      <c r="H449" s="191" t="inlineStr">
        <is>
          <t>MEDIUM</t>
        </is>
      </c>
      <c r="I449" s="191" t="n">
        <v>9</v>
      </c>
      <c r="J449" s="191" t="inlineStr">
        <is>
          <t>NO</t>
        </is>
      </c>
      <c r="K449" s="192" t="inlineStr">
        <is>
          <t>https://nvd.nist.gov/vuln/detail/CVE-2025-41023</t>
        </is>
      </c>
      <c r="L449" s="191" t="inlineStr">
        <is>
          <t>2026-02-23 23:48</t>
        </is>
      </c>
      <c r="M449" s="191" t="inlineStr">
        <is>
          <t>CHECK_VENDOR</t>
        </is>
      </c>
      <c r="N449" s="191" t="inlineStr">
        <is>
          <t>See NVD references</t>
        </is>
      </c>
      <c r="O449" s="191" t="inlineStr">
        <is>
          <t>Apply vendor patches</t>
        </is>
      </c>
      <c r="P449" s="191" t="inlineStr">
        <is>
          <t>See CVE details</t>
        </is>
      </c>
      <c r="Q449" s="191" t="inlineStr">
        <is>
          <t>P4</t>
        </is>
      </c>
      <c r="R449" s="191" t="inlineStr">
        <is>
          <t>📅 Schedule patch deployment within 30 days | 🔍 Monitor for exploitation attempts</t>
        </is>
      </c>
      <c r="S449" s="191" t="inlineStr">
        <is>
          <t>CVE - IP enrichment n/a</t>
        </is>
      </c>
      <c r="T449" s="191" t="n">
        <v>0</v>
      </c>
      <c r="U449" s="191" t="n">
        <v>0</v>
      </c>
      <c r="V449" s="191" t="inlineStr">
        <is>
          <t>T1078:Valid Accounts | T1110:Brute Force</t>
        </is>
      </c>
      <c r="W449" s="191" t="n">
        <v>1</v>
      </c>
      <c r="X449" s="191" t="inlineStr">
        <is>
          <t>LOW (40%)</t>
        </is>
      </c>
      <c r="Y449" s="191" t="inlineStr">
        <is>
          <t>UNLIKELY</t>
        </is>
      </c>
      <c r="Z449" s="191" t="inlineStr">
        <is>
          <t>CHECK_VENDOR</t>
        </is>
      </c>
      <c r="AA449" s="192" t="inlineStr">
        <is>
          <t>https://nvd.nist.gov/vuln/detail/CVE-2025-41023</t>
        </is>
      </c>
      <c r="AB449" s="191" t="inlineStr">
        <is>
          <t>NONE</t>
        </is>
      </c>
      <c r="AC449" s="191" t="n">
        <v>0</v>
      </c>
      <c r="AD449" s="191" t="n"/>
    </row>
    <row r="450">
      <c r="A450" s="191" t="inlineStr">
        <is>
          <t>CVE</t>
        </is>
      </c>
      <c r="B450" s="191" t="inlineStr">
        <is>
          <t>CVE-2026-22269</t>
        </is>
      </c>
      <c r="C450" s="191" t="inlineStr">
        <is>
          <t>Dell PowerProtect Data Manager, version(s) prior to 19.22, contain(s) an Improper Verification of Source of a Communication Channel vulnerability in the REST API. A high privileged attacker with remote access could potentially exploit this vulnerability, leading to protection mechanism bypass.</t>
        </is>
      </c>
      <c r="D450" s="191" t="n">
        <v>4.7</v>
      </c>
      <c r="E450" s="191" t="inlineStr">
        <is>
          <t>MEDIUM</t>
        </is>
      </c>
      <c r="F450" s="191" t="n">
        <v>2</v>
      </c>
      <c r="G450" s="191" t="n">
        <v>2</v>
      </c>
      <c r="H450" s="191" t="inlineStr">
        <is>
          <t>MEDIUM</t>
        </is>
      </c>
      <c r="I450" s="191" t="n">
        <v>8.699999999999999</v>
      </c>
      <c r="J450" s="191" t="inlineStr">
        <is>
          <t>NO</t>
        </is>
      </c>
      <c r="K450" s="192" t="inlineStr">
        <is>
          <t>https://nvd.nist.gov/vuln/detail/CVE-2026-22269</t>
        </is>
      </c>
      <c r="L450" s="191" t="inlineStr">
        <is>
          <t>2026-02-23 23:48</t>
        </is>
      </c>
      <c r="M450" s="191" t="inlineStr">
        <is>
          <t>YES</t>
        </is>
      </c>
      <c r="N450" s="192" t="inlineStr">
        <is>
          <t>https://www.dell.com/support/kbdoc/en-us/000429778/dsa-2026-046-security-update-for-dell-powerprotect-data-manager-multiple-vulnerabilities</t>
        </is>
      </c>
      <c r="O450" s="191" t="inlineStr">
        <is>
          <t>Apply vendor patches</t>
        </is>
      </c>
      <c r="P450" s="191" t="inlineStr">
        <is>
          <t>dell powerprotect_data_manager *</t>
        </is>
      </c>
      <c r="Q450" s="191" t="inlineStr">
        <is>
          <t>P4</t>
        </is>
      </c>
      <c r="R450" s="191" t="inlineStr">
        <is>
          <t>📅 Schedule patch deployment within 30 days | 🔍 Monitor for exploitation attempts</t>
        </is>
      </c>
      <c r="S450" s="191" t="inlineStr">
        <is>
          <t>CVE - IP enrichment n/a</t>
        </is>
      </c>
      <c r="T450" s="191" t="n">
        <v>0.0003</v>
      </c>
      <c r="U450" s="191" t="n">
        <v>0.0959</v>
      </c>
      <c r="V450" s="191" t="inlineStr">
        <is>
          <t>T1190:Exploit Public-Facing Application</t>
        </is>
      </c>
      <c r="W450" s="191" t="n">
        <v>1</v>
      </c>
      <c r="X450" s="191" t="inlineStr">
        <is>
          <t>LOW (40%)</t>
        </is>
      </c>
      <c r="Y450" s="191" t="inlineStr">
        <is>
          <t>UNLIKELY</t>
        </is>
      </c>
      <c r="Z450" s="191" t="inlineStr">
        <is>
          <t>PATCH_AVAILABLE</t>
        </is>
      </c>
      <c r="AA450" s="192" t="inlineStr">
        <is>
          <t>https://nvd.nist.gov/vuln/detail/CVE-2026-22269</t>
        </is>
      </c>
      <c r="AB450" s="191" t="inlineStr">
        <is>
          <t>NONE</t>
        </is>
      </c>
      <c r="AC450" s="191" t="n">
        <v>0</v>
      </c>
      <c r="AD450" s="191" t="n"/>
    </row>
    <row r="451">
      <c r="A451" s="189" t="inlineStr">
        <is>
          <t>CVE</t>
        </is>
      </c>
      <c r="B451" s="189" t="inlineStr">
        <is>
          <t>CVE-2026-22333</t>
        </is>
      </c>
      <c r="C451" s="189" t="inlineStr">
        <is>
          <t>Deserialization of Untrusted Data vulnerability in YITHEMES YITH WooCommerce Compare yith-woocommerce-compare allows Object Injection.This issue affects YITH WooCommerce Compare: from n/a through &lt;= 3.6.0.</t>
        </is>
      </c>
      <c r="D451" s="189" t="n">
        <v>8.5</v>
      </c>
      <c r="E451" s="189" t="inlineStr">
        <is>
          <t>HIGH</t>
        </is>
      </c>
      <c r="F451" s="189" t="n">
        <v>2</v>
      </c>
      <c r="G451" s="189" t="n">
        <v>3</v>
      </c>
      <c r="H451" s="189" t="inlineStr">
        <is>
          <t>HIGH</t>
        </is>
      </c>
      <c r="I451" s="189" t="n">
        <v>14.5</v>
      </c>
      <c r="J451" s="189" t="inlineStr">
        <is>
          <t>NO</t>
        </is>
      </c>
      <c r="K451" s="190" t="inlineStr">
        <is>
          <t>https://nvd.nist.gov/vuln/detail/CVE-2026-22333</t>
        </is>
      </c>
      <c r="L451" s="189" t="inlineStr">
        <is>
          <t>2026-02-23 23:48</t>
        </is>
      </c>
      <c r="M451" s="189" t="inlineStr">
        <is>
          <t>CHECK_VENDOR</t>
        </is>
      </c>
      <c r="N451" s="189" t="inlineStr">
        <is>
          <t>See NVD references</t>
        </is>
      </c>
      <c r="O451" s="189" t="inlineStr">
        <is>
          <t>Apply vendor patches</t>
        </is>
      </c>
      <c r="P451" s="189" t="inlineStr">
        <is>
          <t>See CVE details</t>
        </is>
      </c>
      <c r="Q451" s="189" t="inlineStr">
        <is>
          <t>P3</t>
        </is>
      </c>
      <c r="R451" s="189" t="inlineStr">
        <is>
          <t>🚨 URGENT: Apply vendor patches immediately | 🔒 Isolate affected systems if patch unavailable | 🛡️ Enable additional monitoring/IDS rules</t>
        </is>
      </c>
      <c r="S451" s="189" t="inlineStr">
        <is>
          <t>CVE - IP enrichment n/a</t>
        </is>
      </c>
      <c r="T451" s="189" t="n">
        <v>0.0002</v>
      </c>
      <c r="U451" s="189" t="n">
        <v>0.0636</v>
      </c>
      <c r="V451" s="189" t="inlineStr">
        <is>
          <t>T1059:Command and Scripting Interpreter | T1190:Exploit Public-Facing Application</t>
        </is>
      </c>
      <c r="W451" s="189" t="n">
        <v>1</v>
      </c>
      <c r="X451" s="189" t="inlineStr">
        <is>
          <t>LOW (40%)</t>
        </is>
      </c>
      <c r="Y451" s="189" t="inlineStr">
        <is>
          <t>UNLIKELY</t>
        </is>
      </c>
      <c r="Z451" s="189" t="inlineStr">
        <is>
          <t>CHECK_VENDOR</t>
        </is>
      </c>
      <c r="AA451" s="190" t="inlineStr">
        <is>
          <t>https://nvd.nist.gov/vuln/detail/CVE-2026-22333</t>
        </is>
      </c>
      <c r="AB451" s="189" t="inlineStr">
        <is>
          <t>NONE</t>
        </is>
      </c>
      <c r="AC451" s="189" t="n">
        <v>0</v>
      </c>
      <c r="AD451" s="189" t="n"/>
    </row>
    <row r="452">
      <c r="A452" s="191" t="inlineStr">
        <is>
          <t>CVE</t>
        </is>
      </c>
      <c r="B452" s="191" t="inlineStr">
        <is>
          <t>CVE-2026-22422</t>
        </is>
      </c>
      <c r="C452" s="191" t="inlineStr">
        <is>
          <t>Improper Neutralization of Script-Related HTML Tags in a Web Page (Basic XSS) vulnerability in wpeverest Everest Forms everest-forms allows Code Injection.This issue affects Everest Forms: from n/a through &lt;= 3.4.1.</t>
        </is>
      </c>
      <c r="D452" s="191" t="n">
        <v>5.3</v>
      </c>
      <c r="E452" s="191" t="inlineStr">
        <is>
          <t>MEDIUM</t>
        </is>
      </c>
      <c r="F452" s="191" t="n">
        <v>2</v>
      </c>
      <c r="G452" s="191" t="n">
        <v>2</v>
      </c>
      <c r="H452" s="191" t="inlineStr">
        <is>
          <t>MEDIUM</t>
        </is>
      </c>
      <c r="I452" s="191" t="n">
        <v>9.300000000000001</v>
      </c>
      <c r="J452" s="191" t="inlineStr">
        <is>
          <t>NO</t>
        </is>
      </c>
      <c r="K452" s="192" t="inlineStr">
        <is>
          <t>https://nvd.nist.gov/vuln/detail/CVE-2026-22422</t>
        </is>
      </c>
      <c r="L452" s="191" t="inlineStr">
        <is>
          <t>2026-02-23 23:48</t>
        </is>
      </c>
      <c r="M452" s="191" t="inlineStr">
        <is>
          <t>CHECK_VENDOR</t>
        </is>
      </c>
      <c r="N452" s="191" t="inlineStr">
        <is>
          <t>See NVD references</t>
        </is>
      </c>
      <c r="O452" s="191" t="inlineStr">
        <is>
          <t>Apply vendor patches</t>
        </is>
      </c>
      <c r="P452" s="191" t="inlineStr">
        <is>
          <t>See CVE details</t>
        </is>
      </c>
      <c r="Q452" s="191" t="inlineStr">
        <is>
          <t>P4</t>
        </is>
      </c>
      <c r="R452" s="191" t="inlineStr">
        <is>
          <t>📅 Schedule patch deployment within 30 days | 🔍 Monitor for exploitation attempts</t>
        </is>
      </c>
      <c r="S452" s="191" t="inlineStr">
        <is>
          <t>CVE - IP enrichment n/a</t>
        </is>
      </c>
      <c r="T452" s="191" t="n">
        <v>0</v>
      </c>
      <c r="U452" s="191" t="n">
        <v>0</v>
      </c>
      <c r="V452" s="191" t="inlineStr">
        <is>
          <t>T1189:Drive-by Compromise</t>
        </is>
      </c>
      <c r="W452" s="191" t="n">
        <v>1</v>
      </c>
      <c r="X452" s="191" t="inlineStr">
        <is>
          <t>LOW (40%)</t>
        </is>
      </c>
      <c r="Y452" s="191" t="inlineStr">
        <is>
          <t>UNLIKELY</t>
        </is>
      </c>
      <c r="Z452" s="191" t="inlineStr">
        <is>
          <t>CHECK_VENDOR</t>
        </is>
      </c>
      <c r="AA452" s="192" t="inlineStr">
        <is>
          <t>https://nvd.nist.gov/vuln/detail/CVE-2026-22422</t>
        </is>
      </c>
      <c r="AB452" s="191" t="inlineStr">
        <is>
          <t>NONE</t>
        </is>
      </c>
      <c r="AC452" s="191" t="n">
        <v>0</v>
      </c>
      <c r="AD452" s="191" t="n"/>
    </row>
    <row r="453">
      <c r="A453" s="191" t="inlineStr">
        <is>
          <t>CVE</t>
        </is>
      </c>
      <c r="B453" s="191" t="inlineStr">
        <is>
          <t>CVE-2026-23541</t>
        </is>
      </c>
      <c r="C453" s="191" t="inlineStr">
        <is>
          <t>Missing Authorization vulnerability in WPFunnels Mail Mint mail-mint allows Accessing Functionality Not Properly Constrained by ACLs.This issue affects Mail Mint: from n/a through &lt;= 1.19.4.</t>
        </is>
      </c>
      <c r="D453" s="191" t="n">
        <v>5</v>
      </c>
      <c r="E453" s="191" t="inlineStr">
        <is>
          <t>MEDIUM</t>
        </is>
      </c>
      <c r="F453" s="191" t="n">
        <v>2</v>
      </c>
      <c r="G453" s="191" t="n">
        <v>2</v>
      </c>
      <c r="H453" s="191" t="inlineStr">
        <is>
          <t>MEDIUM</t>
        </is>
      </c>
      <c r="I453" s="191" t="n">
        <v>9</v>
      </c>
      <c r="J453" s="191" t="inlineStr">
        <is>
          <t>NO</t>
        </is>
      </c>
      <c r="K453" s="192" t="inlineStr">
        <is>
          <t>https://nvd.nist.gov/vuln/detail/CVE-2026-23541</t>
        </is>
      </c>
      <c r="L453" s="191" t="inlineStr">
        <is>
          <t>2026-02-23 23:48</t>
        </is>
      </c>
      <c r="M453" s="191" t="inlineStr">
        <is>
          <t>CHECK_VENDOR</t>
        </is>
      </c>
      <c r="N453" s="191" t="inlineStr">
        <is>
          <t>See NVD references</t>
        </is>
      </c>
      <c r="O453" s="191" t="inlineStr">
        <is>
          <t>Apply vendor patches</t>
        </is>
      </c>
      <c r="P453" s="191" t="inlineStr">
        <is>
          <t>See CVE details</t>
        </is>
      </c>
      <c r="Q453" s="191" t="inlineStr">
        <is>
          <t>P4</t>
        </is>
      </c>
      <c r="R453" s="191" t="inlineStr">
        <is>
          <t>📅 Schedule patch deployment within 30 days | 🔍 Monitor for exploitation attempts</t>
        </is>
      </c>
      <c r="S453" s="191" t="inlineStr">
        <is>
          <t>CVE - IP enrichment n/a</t>
        </is>
      </c>
      <c r="T453" s="191" t="n">
        <v>0</v>
      </c>
      <c r="U453" s="191" t="n">
        <v>0</v>
      </c>
      <c r="V453" s="191" t="inlineStr">
        <is>
          <t>T1190:Exploit Public-Facing Application</t>
        </is>
      </c>
      <c r="W453" s="191" t="n">
        <v>1</v>
      </c>
      <c r="X453" s="191" t="inlineStr">
        <is>
          <t>LOW (40%)</t>
        </is>
      </c>
      <c r="Y453" s="191" t="inlineStr">
        <is>
          <t>UNLIKELY</t>
        </is>
      </c>
      <c r="Z453" s="191" t="inlineStr">
        <is>
          <t>CHECK_VENDOR</t>
        </is>
      </c>
      <c r="AA453" s="192" t="inlineStr">
        <is>
          <t>https://nvd.nist.gov/vuln/detail/CVE-2026-23541</t>
        </is>
      </c>
      <c r="AB453" s="191" t="inlineStr">
        <is>
          <t>NONE</t>
        </is>
      </c>
      <c r="AC453" s="191" t="n">
        <v>0</v>
      </c>
      <c r="AD453" s="191" t="n"/>
    </row>
    <row r="454">
      <c r="A454" s="193" t="inlineStr">
        <is>
          <t>CVE</t>
        </is>
      </c>
      <c r="B454" s="193" t="inlineStr">
        <is>
          <t>CVE-2026-23542</t>
        </is>
      </c>
      <c r="C454" s="193" t="inlineStr">
        <is>
          <t>Deserialization of Untrusted Data vulnerability in ThemeGoods Grand Restaurant grandrestaurant allows Object Injection.This issue affects Grand Restaurant: from n/a through &lt;= 7.0.10.</t>
        </is>
      </c>
      <c r="D454" s="193" t="n">
        <v>9.800000000000001</v>
      </c>
      <c r="E454" s="193" t="inlineStr">
        <is>
          <t>CRITICAL</t>
        </is>
      </c>
      <c r="F454" s="193" t="n">
        <v>2</v>
      </c>
      <c r="G454" s="193" t="n">
        <v>3</v>
      </c>
      <c r="H454" s="193" t="inlineStr">
        <is>
          <t>HIGH</t>
        </is>
      </c>
      <c r="I454" s="193" t="n">
        <v>15.8</v>
      </c>
      <c r="J454" s="193" t="inlineStr">
        <is>
          <t>NO</t>
        </is>
      </c>
      <c r="K454" s="194" t="inlineStr">
        <is>
          <t>https://nvd.nist.gov/vuln/detail/CVE-2026-23542</t>
        </is>
      </c>
      <c r="L454" s="193" t="inlineStr">
        <is>
          <t>2026-02-23 23:48</t>
        </is>
      </c>
      <c r="M454" s="193" t="inlineStr">
        <is>
          <t>CHECK_VENDOR</t>
        </is>
      </c>
      <c r="N454" s="193" t="inlineStr">
        <is>
          <t>See NVD references</t>
        </is>
      </c>
      <c r="O454" s="193" t="inlineStr">
        <is>
          <t>Apply vendor patches</t>
        </is>
      </c>
      <c r="P454" s="193" t="inlineStr">
        <is>
          <t>See CVE details</t>
        </is>
      </c>
      <c r="Q454" s="193" t="inlineStr">
        <is>
          <t>P3</t>
        </is>
      </c>
      <c r="R454" s="193" t="inlineStr">
        <is>
          <t>🚨 URGENT: Apply vendor patches immediately | 🔒 Isolate affected systems if patch unavailable | 🛡️ Enable additional monitoring/IDS rules</t>
        </is>
      </c>
      <c r="S454" s="193" t="inlineStr">
        <is>
          <t>CVE - IP enrichment n/a</t>
        </is>
      </c>
      <c r="T454" s="193" t="n">
        <v>0</v>
      </c>
      <c r="U454" s="193" t="n">
        <v>0</v>
      </c>
      <c r="V454" s="193" t="inlineStr">
        <is>
          <t>T1059:Command and Scripting Interpreter</t>
        </is>
      </c>
      <c r="W454" s="193" t="n">
        <v>1</v>
      </c>
      <c r="X454" s="193" t="inlineStr">
        <is>
          <t>LOW (40%)</t>
        </is>
      </c>
      <c r="Y454" s="193" t="inlineStr">
        <is>
          <t>UNLIKELY</t>
        </is>
      </c>
      <c r="Z454" s="193" t="inlineStr">
        <is>
          <t>CHECK_VENDOR</t>
        </is>
      </c>
      <c r="AA454" s="194" t="inlineStr">
        <is>
          <t>https://nvd.nist.gov/vuln/detail/CVE-2026-23542</t>
        </is>
      </c>
      <c r="AB454" s="193" t="inlineStr">
        <is>
          <t>NONE</t>
        </is>
      </c>
      <c r="AC454" s="193" t="n">
        <v>0</v>
      </c>
      <c r="AD454" s="193" t="n"/>
    </row>
    <row r="455">
      <c r="A455" s="191" t="inlineStr">
        <is>
          <t>CVE</t>
        </is>
      </c>
      <c r="B455" s="191" t="inlineStr">
        <is>
          <t>CVE-2026-23543</t>
        </is>
      </c>
      <c r="C455" s="191" t="inlineStr">
        <is>
          <t>Missing Authorization vulnerability in WPDeveloper Essential Addons for Elementor essential-addons-for-elementor-lite allows Exploiting Incorrectly Configured Access Control Security Levels.This issue affects Essential Addons for Elementor: from n/a through &lt;= 6.5.5.</t>
        </is>
      </c>
      <c r="D455" s="191" t="n">
        <v>5</v>
      </c>
      <c r="E455" s="191" t="inlineStr">
        <is>
          <t>MEDIUM</t>
        </is>
      </c>
      <c r="F455" s="191" t="n">
        <v>2</v>
      </c>
      <c r="G455" s="191" t="n">
        <v>2</v>
      </c>
      <c r="H455" s="191" t="inlineStr">
        <is>
          <t>MEDIUM</t>
        </is>
      </c>
      <c r="I455" s="191" t="n">
        <v>9</v>
      </c>
      <c r="J455" s="191" t="inlineStr">
        <is>
          <t>NO</t>
        </is>
      </c>
      <c r="K455" s="192" t="inlineStr">
        <is>
          <t>https://nvd.nist.gov/vuln/detail/CVE-2026-23543</t>
        </is>
      </c>
      <c r="L455" s="191" t="inlineStr">
        <is>
          <t>2026-02-23 23:48</t>
        </is>
      </c>
      <c r="M455" s="191" t="inlineStr">
        <is>
          <t>CHECK_VENDOR</t>
        </is>
      </c>
      <c r="N455" s="191" t="inlineStr">
        <is>
          <t>See NVD references</t>
        </is>
      </c>
      <c r="O455" s="191" t="inlineStr">
        <is>
          <t>Apply vendor patches</t>
        </is>
      </c>
      <c r="P455" s="191" t="inlineStr">
        <is>
          <t>See CVE details</t>
        </is>
      </c>
      <c r="Q455" s="191" t="inlineStr">
        <is>
          <t>P4</t>
        </is>
      </c>
      <c r="R455" s="191" t="inlineStr">
        <is>
          <t>📅 Schedule patch deployment within 30 days | 🔍 Monitor for exploitation attempts</t>
        </is>
      </c>
      <c r="S455" s="191" t="inlineStr">
        <is>
          <t>CVE - IP enrichment n/a</t>
        </is>
      </c>
      <c r="T455" s="191" t="n">
        <v>0</v>
      </c>
      <c r="U455" s="191" t="n">
        <v>0</v>
      </c>
      <c r="V455" s="191" t="inlineStr">
        <is>
          <t>T1190:Exploit Public-Facing Application</t>
        </is>
      </c>
      <c r="W455" s="191" t="n">
        <v>1</v>
      </c>
      <c r="X455" s="191" t="inlineStr">
        <is>
          <t>LOW (40%)</t>
        </is>
      </c>
      <c r="Y455" s="191" t="inlineStr">
        <is>
          <t>UNLIKELY</t>
        </is>
      </c>
      <c r="Z455" s="191" t="inlineStr">
        <is>
          <t>CHECK_VENDOR</t>
        </is>
      </c>
      <c r="AA455" s="192" t="inlineStr">
        <is>
          <t>https://nvd.nist.gov/vuln/detail/CVE-2026-23543</t>
        </is>
      </c>
      <c r="AB455" s="191" t="inlineStr">
        <is>
          <t>NONE</t>
        </is>
      </c>
      <c r="AC455" s="191" t="n">
        <v>0</v>
      </c>
      <c r="AD455" s="191" t="n"/>
    </row>
    <row r="456">
      <c r="A456" s="189" t="inlineStr">
        <is>
          <t>CVE</t>
        </is>
      </c>
      <c r="B456" s="189" t="inlineStr">
        <is>
          <t>CVE-2026-23544</t>
        </is>
      </c>
      <c r="C456" s="189" t="inlineStr">
        <is>
          <t>Deserialization of Untrusted Data vulnerability in codetipi Valenti valenti allows Object Injection.This issue affects Valenti: from n/a through &lt;= 5.6.3.5.</t>
        </is>
      </c>
      <c r="D456" s="189" t="n">
        <v>8.800000000000001</v>
      </c>
      <c r="E456" s="189" t="inlineStr">
        <is>
          <t>HIGH</t>
        </is>
      </c>
      <c r="F456" s="189" t="n">
        <v>2</v>
      </c>
      <c r="G456" s="189" t="n">
        <v>3</v>
      </c>
      <c r="H456" s="189" t="inlineStr">
        <is>
          <t>HIGH</t>
        </is>
      </c>
      <c r="I456" s="189" t="n">
        <v>14.8</v>
      </c>
      <c r="J456" s="189" t="inlineStr">
        <is>
          <t>NO</t>
        </is>
      </c>
      <c r="K456" s="190" t="inlineStr">
        <is>
          <t>https://nvd.nist.gov/vuln/detail/CVE-2026-23544</t>
        </is>
      </c>
      <c r="L456" s="189" t="inlineStr">
        <is>
          <t>2026-02-23 23:48</t>
        </is>
      </c>
      <c r="M456" s="189" t="inlineStr">
        <is>
          <t>CHECK_VENDOR</t>
        </is>
      </c>
      <c r="N456" s="189" t="inlineStr">
        <is>
          <t>See NVD references</t>
        </is>
      </c>
      <c r="O456" s="189" t="inlineStr">
        <is>
          <t>Apply vendor patches</t>
        </is>
      </c>
      <c r="P456" s="189" t="inlineStr">
        <is>
          <t>See CVE details</t>
        </is>
      </c>
      <c r="Q456" s="189" t="inlineStr">
        <is>
          <t>P3</t>
        </is>
      </c>
      <c r="R456" s="189" t="inlineStr">
        <is>
          <t>🚨 URGENT: Apply vendor patches immediately | 🔒 Isolate affected systems if patch unavailable | 🛡️ Enable additional monitoring/IDS rules</t>
        </is>
      </c>
      <c r="S456" s="189" t="inlineStr">
        <is>
          <t>CVE - IP enrichment n/a</t>
        </is>
      </c>
      <c r="T456" s="189" t="n">
        <v>0</v>
      </c>
      <c r="U456" s="189" t="n">
        <v>0</v>
      </c>
      <c r="V456" s="189" t="inlineStr">
        <is>
          <t>T1059:Command and Scripting Interpreter</t>
        </is>
      </c>
      <c r="W456" s="189" t="n">
        <v>1</v>
      </c>
      <c r="X456" s="189" t="inlineStr">
        <is>
          <t>LOW (40%)</t>
        </is>
      </c>
      <c r="Y456" s="189" t="inlineStr">
        <is>
          <t>UNLIKELY</t>
        </is>
      </c>
      <c r="Z456" s="189" t="inlineStr">
        <is>
          <t>CHECK_VENDOR</t>
        </is>
      </c>
      <c r="AA456" s="190" t="inlineStr">
        <is>
          <t>https://nvd.nist.gov/vuln/detail/CVE-2026-23544</t>
        </is>
      </c>
      <c r="AB456" s="189" t="inlineStr">
        <is>
          <t>NONE</t>
        </is>
      </c>
      <c r="AC456" s="189" t="n">
        <v>0</v>
      </c>
      <c r="AD456" s="189" t="n"/>
    </row>
    <row r="457">
      <c r="A457" s="191" t="inlineStr">
        <is>
          <t>CVE</t>
        </is>
      </c>
      <c r="B457" s="191" t="inlineStr">
        <is>
          <t>CVE-2026-23545</t>
        </is>
      </c>
      <c r="C457" s="191" t="inlineStr">
        <is>
          <t>Missing Authorization vulnerability in Aruba.it Dev Aruba HiSpeed Cache aruba-hispeed-cache allows Exploiting Incorrectly Configured Access Control Security Levels.This issue affects Aruba HiSpeed Cache: from n/a through &lt;= 3.0.4.</t>
        </is>
      </c>
      <c r="D457" s="191" t="n">
        <v>5</v>
      </c>
      <c r="E457" s="191" t="inlineStr">
        <is>
          <t>MEDIUM</t>
        </is>
      </c>
      <c r="F457" s="191" t="n">
        <v>2</v>
      </c>
      <c r="G457" s="191" t="n">
        <v>2</v>
      </c>
      <c r="H457" s="191" t="inlineStr">
        <is>
          <t>MEDIUM</t>
        </is>
      </c>
      <c r="I457" s="191" t="n">
        <v>9</v>
      </c>
      <c r="J457" s="191" t="inlineStr">
        <is>
          <t>NO</t>
        </is>
      </c>
      <c r="K457" s="192" t="inlineStr">
        <is>
          <t>https://nvd.nist.gov/vuln/detail/CVE-2026-23545</t>
        </is>
      </c>
      <c r="L457" s="191" t="inlineStr">
        <is>
          <t>2026-02-23 23:48</t>
        </is>
      </c>
      <c r="M457" s="191" t="inlineStr">
        <is>
          <t>CHECK_VENDOR</t>
        </is>
      </c>
      <c r="N457" s="191" t="inlineStr">
        <is>
          <t>See NVD references</t>
        </is>
      </c>
      <c r="O457" s="191" t="inlineStr">
        <is>
          <t>Apply vendor patches</t>
        </is>
      </c>
      <c r="P457" s="191" t="inlineStr">
        <is>
          <t>See CVE details</t>
        </is>
      </c>
      <c r="Q457" s="191" t="inlineStr">
        <is>
          <t>P4</t>
        </is>
      </c>
      <c r="R457" s="191" t="inlineStr">
        <is>
          <t>📅 Schedule patch deployment within 30 days | 🔍 Monitor for exploitation attempts</t>
        </is>
      </c>
      <c r="S457" s="191" t="inlineStr">
        <is>
          <t>CVE - IP enrichment n/a</t>
        </is>
      </c>
      <c r="T457" s="191" t="n">
        <v>0</v>
      </c>
      <c r="U457" s="191" t="n">
        <v>0</v>
      </c>
      <c r="V457" s="191" t="inlineStr">
        <is>
          <t>T1190:Exploit Public-Facing Application</t>
        </is>
      </c>
      <c r="W457" s="191" t="n">
        <v>1</v>
      </c>
      <c r="X457" s="191" t="inlineStr">
        <is>
          <t>LOW (40%)</t>
        </is>
      </c>
      <c r="Y457" s="191" t="inlineStr">
        <is>
          <t>UNLIKELY</t>
        </is>
      </c>
      <c r="Z457" s="191" t="inlineStr">
        <is>
          <t>CHECK_VENDOR</t>
        </is>
      </c>
      <c r="AA457" s="192" t="inlineStr">
        <is>
          <t>https://nvd.nist.gov/vuln/detail/CVE-2026-23545</t>
        </is>
      </c>
      <c r="AB457" s="191" t="inlineStr">
        <is>
          <t>NONE</t>
        </is>
      </c>
      <c r="AC457" s="191" t="n">
        <v>0</v>
      </c>
      <c r="AD457" s="191" t="n"/>
    </row>
    <row r="458">
      <c r="A458" s="189" t="inlineStr">
        <is>
          <t>CVE</t>
        </is>
      </c>
      <c r="B458" s="189" t="inlineStr">
        <is>
          <t>CVE-2026-23547</t>
        </is>
      </c>
      <c r="C458" s="189" t="inlineStr">
        <is>
          <t>Missing Authorization vulnerability in cmsmasters CMSMasters Content Composer cmsmasters-content-composer allows Exploiting Incorrectly Configured Access Control Security Levels.This issue affects CMSMasters Content Composer: from n/a through &lt;= 2.5.8.</t>
        </is>
      </c>
      <c r="D458" s="189" t="n">
        <v>7.1</v>
      </c>
      <c r="E458" s="189" t="inlineStr">
        <is>
          <t>HIGH</t>
        </is>
      </c>
      <c r="F458" s="189" t="n">
        <v>2</v>
      </c>
      <c r="G458" s="189" t="n">
        <v>3</v>
      </c>
      <c r="H458" s="189" t="inlineStr">
        <is>
          <t>HIGH</t>
        </is>
      </c>
      <c r="I458" s="189" t="n">
        <v>13.1</v>
      </c>
      <c r="J458" s="189" t="inlineStr">
        <is>
          <t>NO</t>
        </is>
      </c>
      <c r="K458" s="190" t="inlineStr">
        <is>
          <t>https://nvd.nist.gov/vuln/detail/CVE-2026-23547</t>
        </is>
      </c>
      <c r="L458" s="189" t="inlineStr">
        <is>
          <t>2026-02-23 23:48</t>
        </is>
      </c>
      <c r="M458" s="189" t="inlineStr">
        <is>
          <t>CHECK_VENDOR</t>
        </is>
      </c>
      <c r="N458" s="189" t="inlineStr">
        <is>
          <t>See NVD references</t>
        </is>
      </c>
      <c r="O458" s="189" t="inlineStr">
        <is>
          <t>Apply vendor patches</t>
        </is>
      </c>
      <c r="P458" s="189" t="inlineStr">
        <is>
          <t>See CVE details</t>
        </is>
      </c>
      <c r="Q458" s="189" t="inlineStr">
        <is>
          <t>P3</t>
        </is>
      </c>
      <c r="R458" s="189" t="inlineStr">
        <is>
          <t>🚨 URGENT: Apply vendor patches immediately | 🔒 Isolate affected systems if patch unavailable | 🛡️ Enable additional monitoring/IDS rules</t>
        </is>
      </c>
      <c r="S458" s="189" t="inlineStr">
        <is>
          <t>CVE - IP enrichment n/a</t>
        </is>
      </c>
      <c r="T458" s="189" t="n">
        <v>0.0003</v>
      </c>
      <c r="U458" s="189" t="n">
        <v>0.0786</v>
      </c>
      <c r="V458" s="189" t="inlineStr">
        <is>
          <t>T1190:Exploit Public-Facing Application</t>
        </is>
      </c>
      <c r="W458" s="189" t="n">
        <v>1</v>
      </c>
      <c r="X458" s="189" t="inlineStr">
        <is>
          <t>LOW (40%)</t>
        </is>
      </c>
      <c r="Y458" s="189" t="inlineStr">
        <is>
          <t>UNLIKELY</t>
        </is>
      </c>
      <c r="Z458" s="189" t="inlineStr">
        <is>
          <t>CHECK_VENDOR</t>
        </is>
      </c>
      <c r="AA458" s="190" t="inlineStr">
        <is>
          <t>https://nvd.nist.gov/vuln/detail/CVE-2026-23547</t>
        </is>
      </c>
      <c r="AB458" s="189" t="inlineStr">
        <is>
          <t>NONE</t>
        </is>
      </c>
      <c r="AC458" s="189" t="n">
        <v>0</v>
      </c>
      <c r="AD458" s="189" t="n"/>
    </row>
    <row r="459">
      <c r="A459" s="191" t="inlineStr">
        <is>
          <t>CVE</t>
        </is>
      </c>
      <c r="B459" s="191" t="inlineStr">
        <is>
          <t>CVE-2026-23548</t>
        </is>
      </c>
      <c r="C459" s="191" t="inlineStr">
        <is>
          <t>Missing Authorization vulnerability in designinvento DirectoryPress directorypress allows Exploiting Incorrectly Configured Access Control Security Levels.This issue affects DirectoryPress: from n/a through &lt;= 3.6.25.</t>
        </is>
      </c>
      <c r="D459" s="191" t="n">
        <v>5</v>
      </c>
      <c r="E459" s="191" t="inlineStr">
        <is>
          <t>MEDIUM</t>
        </is>
      </c>
      <c r="F459" s="191" t="n">
        <v>2</v>
      </c>
      <c r="G459" s="191" t="n">
        <v>2</v>
      </c>
      <c r="H459" s="191" t="inlineStr">
        <is>
          <t>MEDIUM</t>
        </is>
      </c>
      <c r="I459" s="191" t="n">
        <v>9</v>
      </c>
      <c r="J459" s="191" t="inlineStr">
        <is>
          <t>NO</t>
        </is>
      </c>
      <c r="K459" s="192" t="inlineStr">
        <is>
          <t>https://nvd.nist.gov/vuln/detail/CVE-2026-23548</t>
        </is>
      </c>
      <c r="L459" s="191" t="inlineStr">
        <is>
          <t>2026-02-23 23:48</t>
        </is>
      </c>
      <c r="M459" s="191" t="inlineStr">
        <is>
          <t>CHECK_VENDOR</t>
        </is>
      </c>
      <c r="N459" s="191" t="inlineStr">
        <is>
          <t>See NVD references</t>
        </is>
      </c>
      <c r="O459" s="191" t="inlineStr">
        <is>
          <t>Apply vendor patches</t>
        </is>
      </c>
      <c r="P459" s="191" t="inlineStr">
        <is>
          <t>See CVE details</t>
        </is>
      </c>
      <c r="Q459" s="191" t="inlineStr">
        <is>
          <t>P4</t>
        </is>
      </c>
      <c r="R459" s="191" t="inlineStr">
        <is>
          <t>📅 Schedule patch deployment within 30 days | 🔍 Monitor for exploitation attempts</t>
        </is>
      </c>
      <c r="S459" s="191" t="inlineStr">
        <is>
          <t>CVE - IP enrichment n/a</t>
        </is>
      </c>
      <c r="T459" s="191" t="n">
        <v>0</v>
      </c>
      <c r="U459" s="191" t="n">
        <v>0</v>
      </c>
      <c r="V459" s="191" t="inlineStr">
        <is>
          <t>T1190:Exploit Public-Facing Application</t>
        </is>
      </c>
      <c r="W459" s="191" t="n">
        <v>1</v>
      </c>
      <c r="X459" s="191" t="inlineStr">
        <is>
          <t>LOW (40%)</t>
        </is>
      </c>
      <c r="Y459" s="191" t="inlineStr">
        <is>
          <t>UNLIKELY</t>
        </is>
      </c>
      <c r="Z459" s="191" t="inlineStr">
        <is>
          <t>CHECK_VENDOR</t>
        </is>
      </c>
      <c r="AA459" s="192" t="inlineStr">
        <is>
          <t>https://nvd.nist.gov/vuln/detail/CVE-2026-23548</t>
        </is>
      </c>
      <c r="AB459" s="191" t="inlineStr">
        <is>
          <t>NONE</t>
        </is>
      </c>
      <c r="AC459" s="191" t="n">
        <v>0</v>
      </c>
      <c r="AD459" s="191" t="n"/>
    </row>
    <row r="460">
      <c r="A460" s="193" t="inlineStr">
        <is>
          <t>CVE</t>
        </is>
      </c>
      <c r="B460" s="193" t="inlineStr">
        <is>
          <t>CVE-2026-23549</t>
        </is>
      </c>
      <c r="C460" s="193" t="inlineStr">
        <is>
          <t>Deserialization of Untrusted Data vulnerability in magepeopleteam WpEvently mage-eventpress allows Object Injection.This issue affects WpEvently: from n/a through &lt;= 5.1.1.</t>
        </is>
      </c>
      <c r="D460" s="193" t="n">
        <v>9.800000000000001</v>
      </c>
      <c r="E460" s="193" t="inlineStr">
        <is>
          <t>CRITICAL</t>
        </is>
      </c>
      <c r="F460" s="193" t="n">
        <v>2</v>
      </c>
      <c r="G460" s="193" t="n">
        <v>3</v>
      </c>
      <c r="H460" s="193" t="inlineStr">
        <is>
          <t>HIGH</t>
        </is>
      </c>
      <c r="I460" s="193" t="n">
        <v>15.8</v>
      </c>
      <c r="J460" s="193" t="inlineStr">
        <is>
          <t>NO</t>
        </is>
      </c>
      <c r="K460" s="194" t="inlineStr">
        <is>
          <t>https://nvd.nist.gov/vuln/detail/CVE-2026-23549</t>
        </is>
      </c>
      <c r="L460" s="193" t="inlineStr">
        <is>
          <t>2026-02-23 23:48</t>
        </is>
      </c>
      <c r="M460" s="193" t="inlineStr">
        <is>
          <t>CHECK_VENDOR</t>
        </is>
      </c>
      <c r="N460" s="193" t="inlineStr">
        <is>
          <t>See NVD references</t>
        </is>
      </c>
      <c r="O460" s="193" t="inlineStr">
        <is>
          <t>Apply vendor patches</t>
        </is>
      </c>
      <c r="P460" s="193" t="inlineStr">
        <is>
          <t>See CVE details</t>
        </is>
      </c>
      <c r="Q460" s="193" t="inlineStr">
        <is>
          <t>P3</t>
        </is>
      </c>
      <c r="R460" s="193" t="inlineStr">
        <is>
          <t>🚨 URGENT: Apply vendor patches immediately | 🔒 Isolate affected systems if patch unavailable | 🛡️ Enable additional monitoring/IDS rules</t>
        </is>
      </c>
      <c r="S460" s="193" t="inlineStr">
        <is>
          <t>CVE - IP enrichment n/a</t>
        </is>
      </c>
      <c r="T460" s="193" t="n">
        <v>0</v>
      </c>
      <c r="U460" s="193" t="n">
        <v>0</v>
      </c>
      <c r="V460" s="193" t="inlineStr">
        <is>
          <t>T1059:Command and Scripting Interpreter</t>
        </is>
      </c>
      <c r="W460" s="193" t="n">
        <v>1</v>
      </c>
      <c r="X460" s="193" t="inlineStr">
        <is>
          <t>LOW (40%)</t>
        </is>
      </c>
      <c r="Y460" s="193" t="inlineStr">
        <is>
          <t>UNLIKELY</t>
        </is>
      </c>
      <c r="Z460" s="193" t="inlineStr">
        <is>
          <t>CHECK_VENDOR</t>
        </is>
      </c>
      <c r="AA460" s="194" t="inlineStr">
        <is>
          <t>https://nvd.nist.gov/vuln/detail/CVE-2026-23549</t>
        </is>
      </c>
      <c r="AB460" s="193" t="inlineStr">
        <is>
          <t>NONE</t>
        </is>
      </c>
      <c r="AC460" s="193" t="n">
        <v>0</v>
      </c>
      <c r="AD460" s="193" t="n"/>
    </row>
    <row r="461">
      <c r="A461" s="191" t="inlineStr">
        <is>
          <t>CVE</t>
        </is>
      </c>
      <c r="B461" s="191" t="inlineStr">
        <is>
          <t>CVE-2026-23803</t>
        </is>
      </c>
      <c r="C461" s="191" t="inlineStr">
        <is>
          <t>Server-Side Request Forgery (SSRF) vulnerability in Burhan Nasir Smart Auto Upload Images smart-auto-upload-images allows Server Side Request Forgery.This issue affects Smart Auto Upload Images: from n/a through &lt;= 1.2.2.</t>
        </is>
      </c>
      <c r="D461" s="191" t="n">
        <v>5</v>
      </c>
      <c r="E461" s="191" t="inlineStr">
        <is>
          <t>MEDIUM</t>
        </is>
      </c>
      <c r="F461" s="191" t="n">
        <v>2</v>
      </c>
      <c r="G461" s="191" t="n">
        <v>2</v>
      </c>
      <c r="H461" s="191" t="inlineStr">
        <is>
          <t>MEDIUM</t>
        </is>
      </c>
      <c r="I461" s="191" t="n">
        <v>9</v>
      </c>
      <c r="J461" s="191" t="inlineStr">
        <is>
          <t>NO</t>
        </is>
      </c>
      <c r="K461" s="192" t="inlineStr">
        <is>
          <t>https://nvd.nist.gov/vuln/detail/CVE-2026-23803</t>
        </is>
      </c>
      <c r="L461" s="191" t="inlineStr">
        <is>
          <t>2026-02-23 23:48</t>
        </is>
      </c>
      <c r="M461" s="191" t="inlineStr">
        <is>
          <t>CHECK_VENDOR</t>
        </is>
      </c>
      <c r="N461" s="191" t="inlineStr">
        <is>
          <t>See NVD references</t>
        </is>
      </c>
      <c r="O461" s="191" t="inlineStr">
        <is>
          <t>Apply vendor patches</t>
        </is>
      </c>
      <c r="P461" s="191" t="inlineStr">
        <is>
          <t>See CVE details</t>
        </is>
      </c>
      <c r="Q461" s="191" t="inlineStr">
        <is>
          <t>P4</t>
        </is>
      </c>
      <c r="R461" s="191" t="inlineStr">
        <is>
          <t>📅 Schedule patch deployment within 30 days | 🔍 Monitor for exploitation attempts</t>
        </is>
      </c>
      <c r="S461" s="191" t="inlineStr">
        <is>
          <t>CVE - IP enrichment n/a</t>
        </is>
      </c>
      <c r="T461" s="191" t="n">
        <v>0</v>
      </c>
      <c r="U461" s="191" t="n">
        <v>0</v>
      </c>
      <c r="V461" s="191" t="inlineStr">
        <is>
          <t>T1090:Proxy</t>
        </is>
      </c>
      <c r="W461" s="191" t="n">
        <v>1</v>
      </c>
      <c r="X461" s="191" t="inlineStr">
        <is>
          <t>LOW (40%)</t>
        </is>
      </c>
      <c r="Y461" s="191" t="inlineStr">
        <is>
          <t>UNLIKELY</t>
        </is>
      </c>
      <c r="Z461" s="191" t="inlineStr">
        <is>
          <t>CHECK_VENDOR</t>
        </is>
      </c>
      <c r="AA461" s="192" t="inlineStr">
        <is>
          <t>https://nvd.nist.gov/vuln/detail/CVE-2026-23803</t>
        </is>
      </c>
      <c r="AB461" s="191" t="inlineStr">
        <is>
          <t>NONE</t>
        </is>
      </c>
      <c r="AC461" s="191" t="n">
        <v>0</v>
      </c>
      <c r="AD461" s="191" t="n"/>
    </row>
    <row r="462">
      <c r="A462" s="191" t="inlineStr">
        <is>
          <t>CVE</t>
        </is>
      </c>
      <c r="B462" s="191" t="inlineStr">
        <is>
          <t>CVE-2026-23804</t>
        </is>
      </c>
      <c r="C462" s="191" t="inlineStr">
        <is>
          <t>Missing Authorization vulnerability in BBR Plugins Better Business Reviews better-business-reviews allows Exploiting Incorrectly Configured Access Control Security Levels.This issue affects Better Business Reviews: from n/a through &lt;= 0.1.1.</t>
        </is>
      </c>
      <c r="D462" s="191" t="n">
        <v>5.4</v>
      </c>
      <c r="E462" s="191" t="inlineStr">
        <is>
          <t>MEDIUM</t>
        </is>
      </c>
      <c r="F462" s="191" t="n">
        <v>2</v>
      </c>
      <c r="G462" s="191" t="n">
        <v>2</v>
      </c>
      <c r="H462" s="191" t="inlineStr">
        <is>
          <t>MEDIUM</t>
        </is>
      </c>
      <c r="I462" s="191" t="n">
        <v>9.4</v>
      </c>
      <c r="J462" s="191" t="inlineStr">
        <is>
          <t>NO</t>
        </is>
      </c>
      <c r="K462" s="192" t="inlineStr">
        <is>
          <t>https://nvd.nist.gov/vuln/detail/CVE-2026-23804</t>
        </is>
      </c>
      <c r="L462" s="191" t="inlineStr">
        <is>
          <t>2026-02-23 23:48</t>
        </is>
      </c>
      <c r="M462" s="191" t="inlineStr">
        <is>
          <t>CHECK_VENDOR</t>
        </is>
      </c>
      <c r="N462" s="191" t="inlineStr">
        <is>
          <t>See NVD references</t>
        </is>
      </c>
      <c r="O462" s="191" t="inlineStr">
        <is>
          <t>Apply vendor patches</t>
        </is>
      </c>
      <c r="P462" s="191" t="inlineStr">
        <is>
          <t>See CVE details</t>
        </is>
      </c>
      <c r="Q462" s="191" t="inlineStr">
        <is>
          <t>P4</t>
        </is>
      </c>
      <c r="R462" s="191" t="inlineStr">
        <is>
          <t>📅 Schedule patch deployment within 30 days | 🔍 Monitor for exploitation attempts</t>
        </is>
      </c>
      <c r="S462" s="191" t="inlineStr">
        <is>
          <t>CVE - IP enrichment n/a</t>
        </is>
      </c>
      <c r="T462" s="191" t="n">
        <v>0</v>
      </c>
      <c r="U462" s="191" t="n">
        <v>0</v>
      </c>
      <c r="V462" s="191" t="inlineStr">
        <is>
          <t>T1190:Exploit Public-Facing Application</t>
        </is>
      </c>
      <c r="W462" s="191" t="n">
        <v>1</v>
      </c>
      <c r="X462" s="191" t="inlineStr">
        <is>
          <t>LOW (40%)</t>
        </is>
      </c>
      <c r="Y462" s="191" t="inlineStr">
        <is>
          <t>UNLIKELY</t>
        </is>
      </c>
      <c r="Z462" s="191" t="inlineStr">
        <is>
          <t>CHECK_VENDOR</t>
        </is>
      </c>
      <c r="AA462" s="192" t="inlineStr">
        <is>
          <t>https://nvd.nist.gov/vuln/detail/CVE-2026-23804</t>
        </is>
      </c>
      <c r="AB462" s="191" t="inlineStr">
        <is>
          <t>NONE</t>
        </is>
      </c>
      <c r="AC462" s="191" t="n">
        <v>0</v>
      </c>
      <c r="AD462" s="191" t="n"/>
    </row>
    <row r="463">
      <c r="A463" s="191" t="inlineStr">
        <is>
          <t>CVE</t>
        </is>
      </c>
      <c r="B463" s="191" t="inlineStr">
        <is>
          <t>CVE-2026-23805</t>
        </is>
      </c>
      <c r="C463" s="191" t="inlineStr">
        <is>
          <t>Improper Neutralization of Special Elements used in an SQL Command ('SQL Injection') vulnerability in Yoren Chang Media Search Enhanced media-search-enhanced allows SQL Injection.This issue affects Media Search Enhanced: from n/a through &lt;= 0.9.1.</t>
        </is>
      </c>
      <c r="D463" s="191" t="n">
        <v>5</v>
      </c>
      <c r="E463" s="191" t="inlineStr">
        <is>
          <t>MEDIUM</t>
        </is>
      </c>
      <c r="F463" s="191" t="n">
        <v>2</v>
      </c>
      <c r="G463" s="191" t="n">
        <v>2</v>
      </c>
      <c r="H463" s="191" t="inlineStr">
        <is>
          <t>MEDIUM</t>
        </is>
      </c>
      <c r="I463" s="191" t="n">
        <v>9</v>
      </c>
      <c r="J463" s="191" t="inlineStr">
        <is>
          <t>NO</t>
        </is>
      </c>
      <c r="K463" s="192" t="inlineStr">
        <is>
          <t>https://nvd.nist.gov/vuln/detail/CVE-2026-23805</t>
        </is>
      </c>
      <c r="L463" s="191" t="inlineStr">
        <is>
          <t>2026-02-23 23:48</t>
        </is>
      </c>
      <c r="M463" s="191" t="inlineStr">
        <is>
          <t>CHECK_VENDOR</t>
        </is>
      </c>
      <c r="N463" s="191" t="inlineStr">
        <is>
          <t>See NVD references</t>
        </is>
      </c>
      <c r="O463" s="191" t="inlineStr">
        <is>
          <t>Apply vendor patches</t>
        </is>
      </c>
      <c r="P463" s="191" t="inlineStr">
        <is>
          <t>See CVE details</t>
        </is>
      </c>
      <c r="Q463" s="191" t="inlineStr">
        <is>
          <t>P4</t>
        </is>
      </c>
      <c r="R463" s="191" t="inlineStr">
        <is>
          <t>📅 Schedule patch deployment within 30 days | 🔍 Monitor for exploitation attempts</t>
        </is>
      </c>
      <c r="S463" s="191" t="inlineStr">
        <is>
          <t>CVE - IP enrichment n/a</t>
        </is>
      </c>
      <c r="T463" s="191" t="n">
        <v>0</v>
      </c>
      <c r="U463" s="191" t="n">
        <v>0</v>
      </c>
      <c r="V463" s="191" t="inlineStr">
        <is>
          <t>T1190:Exploit Public-Facing Application</t>
        </is>
      </c>
      <c r="W463" s="191" t="n">
        <v>1</v>
      </c>
      <c r="X463" s="191" t="inlineStr">
        <is>
          <t>LOW (40%)</t>
        </is>
      </c>
      <c r="Y463" s="191" t="inlineStr">
        <is>
          <t>UNLIKELY</t>
        </is>
      </c>
      <c r="Z463" s="191" t="inlineStr">
        <is>
          <t>CHECK_VENDOR</t>
        </is>
      </c>
      <c r="AA463" s="192" t="inlineStr">
        <is>
          <t>https://nvd.nist.gov/vuln/detail/CVE-2026-23805</t>
        </is>
      </c>
      <c r="AB463" s="191" t="inlineStr">
        <is>
          <t>NONE</t>
        </is>
      </c>
      <c r="AC463" s="191" t="n">
        <v>0</v>
      </c>
      <c r="AD463" s="191" t="n"/>
    </row>
    <row r="464">
      <c r="A464" s="191" t="inlineStr">
        <is>
          <t>CVE</t>
        </is>
      </c>
      <c r="B464" s="191" t="inlineStr">
        <is>
          <t>CVE-2026-24375</t>
        </is>
      </c>
      <c r="C464" s="191" t="inlineStr">
        <is>
          <t>Missing Authorization vulnerability in WP Swings Ultimate Gift Cards For WooCommerce woo-gift-cards-lite allows Exploiting Incorrectly Configured Access Control Security Levels.This issue affects Ultimate Gift Cards For WooCommerce: from n/a through &lt;= 3.2.4.</t>
        </is>
      </c>
      <c r="D464" s="191" t="n">
        <v>5.3</v>
      </c>
      <c r="E464" s="191" t="inlineStr">
        <is>
          <t>MEDIUM</t>
        </is>
      </c>
      <c r="F464" s="191" t="n">
        <v>2</v>
      </c>
      <c r="G464" s="191" t="n">
        <v>2</v>
      </c>
      <c r="H464" s="191" t="inlineStr">
        <is>
          <t>MEDIUM</t>
        </is>
      </c>
      <c r="I464" s="191" t="n">
        <v>9.300000000000001</v>
      </c>
      <c r="J464" s="191" t="inlineStr">
        <is>
          <t>NO</t>
        </is>
      </c>
      <c r="K464" s="192" t="inlineStr">
        <is>
          <t>https://nvd.nist.gov/vuln/detail/CVE-2026-24375</t>
        </is>
      </c>
      <c r="L464" s="191" t="inlineStr">
        <is>
          <t>2026-02-23 23:48</t>
        </is>
      </c>
      <c r="M464" s="191" t="inlineStr">
        <is>
          <t>CHECK_VENDOR</t>
        </is>
      </c>
      <c r="N464" s="191" t="inlineStr">
        <is>
          <t>See NVD references</t>
        </is>
      </c>
      <c r="O464" s="191" t="inlineStr">
        <is>
          <t>Apply vendor patches</t>
        </is>
      </c>
      <c r="P464" s="191" t="inlineStr">
        <is>
          <t>See CVE details</t>
        </is>
      </c>
      <c r="Q464" s="191" t="inlineStr">
        <is>
          <t>P4</t>
        </is>
      </c>
      <c r="R464" s="191" t="inlineStr">
        <is>
          <t>📅 Schedule patch deployment within 30 days | 🔍 Monitor for exploitation attempts</t>
        </is>
      </c>
      <c r="S464" s="191" t="inlineStr">
        <is>
          <t>CVE - IP enrichment n/a</t>
        </is>
      </c>
      <c r="T464" s="191" t="n">
        <v>0</v>
      </c>
      <c r="U464" s="191" t="n">
        <v>0</v>
      </c>
      <c r="V464" s="191" t="inlineStr">
        <is>
          <t>T1190:Exploit Public-Facing Application</t>
        </is>
      </c>
      <c r="W464" s="191" t="n">
        <v>1</v>
      </c>
      <c r="X464" s="191" t="inlineStr">
        <is>
          <t>LOW (40%)</t>
        </is>
      </c>
      <c r="Y464" s="191" t="inlineStr">
        <is>
          <t>UNLIKELY</t>
        </is>
      </c>
      <c r="Z464" s="191" t="inlineStr">
        <is>
          <t>CHECK_VENDOR</t>
        </is>
      </c>
      <c r="AA464" s="192" t="inlineStr">
        <is>
          <t>https://nvd.nist.gov/vuln/detail/CVE-2026-24375</t>
        </is>
      </c>
      <c r="AB464" s="191" t="inlineStr">
        <is>
          <t>NONE</t>
        </is>
      </c>
      <c r="AC464" s="191" t="n">
        <v>0</v>
      </c>
      <c r="AD464" s="191" t="n"/>
    </row>
    <row r="465">
      <c r="A465" s="191" t="inlineStr">
        <is>
          <t>CVE</t>
        </is>
      </c>
      <c r="B465" s="191" t="inlineStr">
        <is>
          <t>CVE-2026-24392</t>
        </is>
      </c>
      <c r="C465" s="191" t="inlineStr">
        <is>
          <t>Improper Neutralization of Input During Web Page Generation ('Cross-site Scripting') vulnerability in Nabil Lemsieh HurryTimer hurrytimer allows Stored XSS.This issue affects HurryTimer: from n/a through &lt;= 2.14.2.</t>
        </is>
      </c>
      <c r="D465" s="191" t="n">
        <v>5.9</v>
      </c>
      <c r="E465" s="191" t="inlineStr">
        <is>
          <t>MEDIUM</t>
        </is>
      </c>
      <c r="F465" s="191" t="n">
        <v>2</v>
      </c>
      <c r="G465" s="191" t="n">
        <v>2</v>
      </c>
      <c r="H465" s="191" t="inlineStr">
        <is>
          <t>MEDIUM</t>
        </is>
      </c>
      <c r="I465" s="191" t="n">
        <v>9.9</v>
      </c>
      <c r="J465" s="191" t="inlineStr">
        <is>
          <t>NO</t>
        </is>
      </c>
      <c r="K465" s="192" t="inlineStr">
        <is>
          <t>https://nvd.nist.gov/vuln/detail/CVE-2026-24392</t>
        </is>
      </c>
      <c r="L465" s="191" t="inlineStr">
        <is>
          <t>2026-02-23 23:48</t>
        </is>
      </c>
      <c r="M465" s="191" t="inlineStr">
        <is>
          <t>CHECK_VENDOR</t>
        </is>
      </c>
      <c r="N465" s="191" t="inlineStr">
        <is>
          <t>See NVD references</t>
        </is>
      </c>
      <c r="O465" s="191" t="inlineStr">
        <is>
          <t>Apply vendor patches</t>
        </is>
      </c>
      <c r="P465" s="191" t="inlineStr">
        <is>
          <t>See CVE details</t>
        </is>
      </c>
      <c r="Q465" s="191" t="inlineStr">
        <is>
          <t>P4</t>
        </is>
      </c>
      <c r="R465" s="191" t="inlineStr">
        <is>
          <t>📅 Schedule patch deployment within 30 days | 🔍 Monitor for exploitation attempts</t>
        </is>
      </c>
      <c r="S465" s="191" t="inlineStr">
        <is>
          <t>CVE - IP enrichment n/a</t>
        </is>
      </c>
      <c r="T465" s="191" t="n">
        <v>0.0003</v>
      </c>
      <c r="U465" s="191" t="n">
        <v>0.08749999999999999</v>
      </c>
      <c r="V465" s="191" t="inlineStr">
        <is>
          <t>T1189:Drive-by Compromise</t>
        </is>
      </c>
      <c r="W465" s="191" t="n">
        <v>1</v>
      </c>
      <c r="X465" s="191" t="inlineStr">
        <is>
          <t>LOW (40%)</t>
        </is>
      </c>
      <c r="Y465" s="191" t="inlineStr">
        <is>
          <t>UNLIKELY</t>
        </is>
      </c>
      <c r="Z465" s="191" t="inlineStr">
        <is>
          <t>CHECK_VENDOR</t>
        </is>
      </c>
      <c r="AA465" s="192" t="inlineStr">
        <is>
          <t>https://nvd.nist.gov/vuln/detail/CVE-2026-24392</t>
        </is>
      </c>
      <c r="AB465" s="191" t="inlineStr">
        <is>
          <t>NONE</t>
        </is>
      </c>
      <c r="AC465" s="191" t="n">
        <v>0</v>
      </c>
      <c r="AD465" s="191" t="n"/>
    </row>
    <row r="466">
      <c r="A466" s="191" t="inlineStr">
        <is>
          <t>CVE</t>
        </is>
      </c>
      <c r="B466" s="191" t="inlineStr">
        <is>
          <t>CVE-2026-24999</t>
        </is>
      </c>
      <c r="C466" s="191" t="inlineStr">
        <is>
          <t>Missing Authorization vulnerability in Alma Alma alma-gateway-for-woocommerce allows Exploiting Incorrectly Configured Access Control Security Levels.This issue affects Alma: from n/a through &lt;= 5.16.1.</t>
        </is>
      </c>
      <c r="D466" s="191" t="n">
        <v>5.3</v>
      </c>
      <c r="E466" s="191" t="inlineStr">
        <is>
          <t>MEDIUM</t>
        </is>
      </c>
      <c r="F466" s="191" t="n">
        <v>2</v>
      </c>
      <c r="G466" s="191" t="n">
        <v>2</v>
      </c>
      <c r="H466" s="191" t="inlineStr">
        <is>
          <t>MEDIUM</t>
        </is>
      </c>
      <c r="I466" s="191" t="n">
        <v>9.300000000000001</v>
      </c>
      <c r="J466" s="191" t="inlineStr">
        <is>
          <t>NO</t>
        </is>
      </c>
      <c r="K466" s="192" t="inlineStr">
        <is>
          <t>https://nvd.nist.gov/vuln/detail/CVE-2026-24999</t>
        </is>
      </c>
      <c r="L466" s="191" t="inlineStr">
        <is>
          <t>2026-02-23 23:48</t>
        </is>
      </c>
      <c r="M466" s="191" t="inlineStr">
        <is>
          <t>CHECK_VENDOR</t>
        </is>
      </c>
      <c r="N466" s="191" t="inlineStr">
        <is>
          <t>See NVD references</t>
        </is>
      </c>
      <c r="O466" s="191" t="inlineStr">
        <is>
          <t>Apply vendor patches</t>
        </is>
      </c>
      <c r="P466" s="191" t="inlineStr">
        <is>
          <t>See CVE details</t>
        </is>
      </c>
      <c r="Q466" s="191" t="inlineStr">
        <is>
          <t>P4</t>
        </is>
      </c>
      <c r="R466" s="191" t="inlineStr">
        <is>
          <t>📅 Schedule patch deployment within 30 days | 🔍 Monitor for exploitation attempts</t>
        </is>
      </c>
      <c r="S466" s="191" t="inlineStr">
        <is>
          <t>CVE - IP enrichment n/a</t>
        </is>
      </c>
      <c r="T466" s="191" t="n">
        <v>0</v>
      </c>
      <c r="U466" s="191" t="n">
        <v>0</v>
      </c>
      <c r="V466" s="191" t="inlineStr">
        <is>
          <t>T1190:Exploit Public-Facing Application</t>
        </is>
      </c>
      <c r="W466" s="191" t="n">
        <v>1</v>
      </c>
      <c r="X466" s="191" t="inlineStr">
        <is>
          <t>LOW (40%)</t>
        </is>
      </c>
      <c r="Y466" s="191" t="inlineStr">
        <is>
          <t>UNLIKELY</t>
        </is>
      </c>
      <c r="Z466" s="191" t="inlineStr">
        <is>
          <t>CHECK_VENDOR</t>
        </is>
      </c>
      <c r="AA466" s="192" t="inlineStr">
        <is>
          <t>https://nvd.nist.gov/vuln/detail/CVE-2026-24999</t>
        </is>
      </c>
      <c r="AB466" s="191" t="inlineStr">
        <is>
          <t>NONE</t>
        </is>
      </c>
      <c r="AC466" s="191" t="n">
        <v>0</v>
      </c>
      <c r="AD466" s="191" t="n"/>
    </row>
    <row r="467">
      <c r="A467" s="191" t="inlineStr">
        <is>
          <t>CVE</t>
        </is>
      </c>
      <c r="B467" s="191" t="inlineStr">
        <is>
          <t>CVE-2026-25000</t>
        </is>
      </c>
      <c r="C467" s="191" t="inlineStr">
        <is>
          <t>Missing Authorization vulnerability in Kraft Plugins Wheel of Life wheel-of-life allows Exploiting Incorrectly Configured Access Control Security Levels.This issue affects Wheel of Life: from n/a through &lt;= 1.2.0.</t>
        </is>
      </c>
      <c r="D467" s="191" t="n">
        <v>5.3</v>
      </c>
      <c r="E467" s="191" t="inlineStr">
        <is>
          <t>MEDIUM</t>
        </is>
      </c>
      <c r="F467" s="191" t="n">
        <v>2</v>
      </c>
      <c r="G467" s="191" t="n">
        <v>2</v>
      </c>
      <c r="H467" s="191" t="inlineStr">
        <is>
          <t>MEDIUM</t>
        </is>
      </c>
      <c r="I467" s="191" t="n">
        <v>9.300000000000001</v>
      </c>
      <c r="J467" s="191" t="inlineStr">
        <is>
          <t>NO</t>
        </is>
      </c>
      <c r="K467" s="192" t="inlineStr">
        <is>
          <t>https://nvd.nist.gov/vuln/detail/CVE-2026-25000</t>
        </is>
      </c>
      <c r="L467" s="191" t="inlineStr">
        <is>
          <t>2026-02-23 23:48</t>
        </is>
      </c>
      <c r="M467" s="191" t="inlineStr">
        <is>
          <t>CHECK_VENDOR</t>
        </is>
      </c>
      <c r="N467" s="191" t="inlineStr">
        <is>
          <t>See NVD references</t>
        </is>
      </c>
      <c r="O467" s="191" t="inlineStr">
        <is>
          <t>Apply vendor patches</t>
        </is>
      </c>
      <c r="P467" s="191" t="inlineStr">
        <is>
          <t>See CVE details</t>
        </is>
      </c>
      <c r="Q467" s="191" t="inlineStr">
        <is>
          <t>P4</t>
        </is>
      </c>
      <c r="R467" s="191" t="inlineStr">
        <is>
          <t>📅 Schedule patch deployment within 30 days | 🔍 Monitor for exploitation attempts</t>
        </is>
      </c>
      <c r="S467" s="191" t="inlineStr">
        <is>
          <t>CVE - IP enrichment n/a</t>
        </is>
      </c>
      <c r="T467" s="191" t="n">
        <v>0</v>
      </c>
      <c r="U467" s="191" t="n">
        <v>0</v>
      </c>
      <c r="V467" s="191" t="inlineStr">
        <is>
          <t>T1190:Exploit Public-Facing Application</t>
        </is>
      </c>
      <c r="W467" s="191" t="n">
        <v>1</v>
      </c>
      <c r="X467" s="191" t="inlineStr">
        <is>
          <t>LOW (40%)</t>
        </is>
      </c>
      <c r="Y467" s="191" t="inlineStr">
        <is>
          <t>UNLIKELY</t>
        </is>
      </c>
      <c r="Z467" s="191" t="inlineStr">
        <is>
          <t>CHECK_VENDOR</t>
        </is>
      </c>
      <c r="AA467" s="192" t="inlineStr">
        <is>
          <t>https://nvd.nist.gov/vuln/detail/CVE-2026-25000</t>
        </is>
      </c>
      <c r="AB467" s="191" t="inlineStr">
        <is>
          <t>NONE</t>
        </is>
      </c>
      <c r="AC467" s="191" t="n">
        <v>0</v>
      </c>
      <c r="AD467" s="191" t="n"/>
    </row>
    <row r="468">
      <c r="A468" s="191" t="inlineStr">
        <is>
          <t>CVE</t>
        </is>
      </c>
      <c r="B468" s="191" t="inlineStr">
        <is>
          <t>CVE-2026-25003</t>
        </is>
      </c>
      <c r="C468" s="191" t="inlineStr">
        <is>
          <t>Missing Authorization vulnerability in madalin.ungureanu Client Portal client-portal allows Exploiting Incorrectly Configured Access Control Security Levels.This issue affects Client Portal: from n/a through &lt;= 1.2.1.</t>
        </is>
      </c>
      <c r="D468" s="191" t="n">
        <v>4.3</v>
      </c>
      <c r="E468" s="191" t="inlineStr">
        <is>
          <t>MEDIUM</t>
        </is>
      </c>
      <c r="F468" s="191" t="n">
        <v>2</v>
      </c>
      <c r="G468" s="191" t="n">
        <v>2</v>
      </c>
      <c r="H468" s="191" t="inlineStr">
        <is>
          <t>MEDIUM</t>
        </is>
      </c>
      <c r="I468" s="191" t="n">
        <v>8.300000000000001</v>
      </c>
      <c r="J468" s="191" t="inlineStr">
        <is>
          <t>NO</t>
        </is>
      </c>
      <c r="K468" s="192" t="inlineStr">
        <is>
          <t>https://nvd.nist.gov/vuln/detail/CVE-2026-25003</t>
        </is>
      </c>
      <c r="L468" s="191" t="inlineStr">
        <is>
          <t>2026-02-23 23:48</t>
        </is>
      </c>
      <c r="M468" s="191" t="inlineStr">
        <is>
          <t>CHECK_VENDOR</t>
        </is>
      </c>
      <c r="N468" s="191" t="inlineStr">
        <is>
          <t>See NVD references</t>
        </is>
      </c>
      <c r="O468" s="191" t="inlineStr">
        <is>
          <t>Apply vendor patches</t>
        </is>
      </c>
      <c r="P468" s="191" t="inlineStr">
        <is>
          <t>See CVE details</t>
        </is>
      </c>
      <c r="Q468" s="191" t="inlineStr">
        <is>
          <t>P4</t>
        </is>
      </c>
      <c r="R468" s="191" t="inlineStr">
        <is>
          <t>📅 Schedule patch deployment within 30 days | 🔍 Monitor for exploitation attempts</t>
        </is>
      </c>
      <c r="S468" s="191" t="inlineStr">
        <is>
          <t>CVE - IP enrichment n/a</t>
        </is>
      </c>
      <c r="T468" s="191" t="n">
        <v>0</v>
      </c>
      <c r="U468" s="191" t="n">
        <v>0</v>
      </c>
      <c r="V468" s="191" t="inlineStr">
        <is>
          <t>T1190:Exploit Public-Facing Application</t>
        </is>
      </c>
      <c r="W468" s="191" t="n">
        <v>1</v>
      </c>
      <c r="X468" s="191" t="inlineStr">
        <is>
          <t>LOW (40%)</t>
        </is>
      </c>
      <c r="Y468" s="191" t="inlineStr">
        <is>
          <t>UNLIKELY</t>
        </is>
      </c>
      <c r="Z468" s="191" t="inlineStr">
        <is>
          <t>CHECK_VENDOR</t>
        </is>
      </c>
      <c r="AA468" s="192" t="inlineStr">
        <is>
          <t>https://nvd.nist.gov/vuln/detail/CVE-2026-25003</t>
        </is>
      </c>
      <c r="AB468" s="191" t="inlineStr">
        <is>
          <t>NONE</t>
        </is>
      </c>
      <c r="AC468" s="191" t="n">
        <v>0</v>
      </c>
      <c r="AD468" s="191" t="n"/>
    </row>
    <row r="469">
      <c r="A469" s="191" t="inlineStr">
        <is>
          <t>CVE</t>
        </is>
      </c>
      <c r="B469" s="191" t="inlineStr">
        <is>
          <t>CVE-2026-25004</t>
        </is>
      </c>
      <c r="C469" s="191" t="inlineStr">
        <is>
          <t>Improper Neutralization of Input During Web Page Generation ('Cross-site Scripting') vulnerability in CreativeMindsSolutions CM Business Directory cm-business-directory allows Stored XSS.This issue affects CM Business Directory: from n/a through &lt;= 1.5.3.</t>
        </is>
      </c>
      <c r="D469" s="191" t="n">
        <v>5</v>
      </c>
      <c r="E469" s="191" t="inlineStr">
        <is>
          <t>MEDIUM</t>
        </is>
      </c>
      <c r="F469" s="191" t="n">
        <v>2</v>
      </c>
      <c r="G469" s="191" t="n">
        <v>2</v>
      </c>
      <c r="H469" s="191" t="inlineStr">
        <is>
          <t>MEDIUM</t>
        </is>
      </c>
      <c r="I469" s="191" t="n">
        <v>9</v>
      </c>
      <c r="J469" s="191" t="inlineStr">
        <is>
          <t>NO</t>
        </is>
      </c>
      <c r="K469" s="192" t="inlineStr">
        <is>
          <t>https://nvd.nist.gov/vuln/detail/CVE-2026-25004</t>
        </is>
      </c>
      <c r="L469" s="191" t="inlineStr">
        <is>
          <t>2026-02-23 23:48</t>
        </is>
      </c>
      <c r="M469" s="191" t="inlineStr">
        <is>
          <t>CHECK_VENDOR</t>
        </is>
      </c>
      <c r="N469" s="191" t="inlineStr">
        <is>
          <t>See NVD references</t>
        </is>
      </c>
      <c r="O469" s="191" t="inlineStr">
        <is>
          <t>Apply vendor patches</t>
        </is>
      </c>
      <c r="P469" s="191" t="inlineStr">
        <is>
          <t>See CVE details</t>
        </is>
      </c>
      <c r="Q469" s="191" t="inlineStr">
        <is>
          <t>P4</t>
        </is>
      </c>
      <c r="R469" s="191" t="inlineStr">
        <is>
          <t>📅 Schedule patch deployment within 30 days | 🔍 Monitor for exploitation attempts</t>
        </is>
      </c>
      <c r="S469" s="191" t="inlineStr">
        <is>
          <t>CVE - IP enrichment n/a</t>
        </is>
      </c>
      <c r="T469" s="191" t="n">
        <v>0</v>
      </c>
      <c r="U469" s="191" t="n">
        <v>0</v>
      </c>
      <c r="V469" s="191" t="inlineStr">
        <is>
          <t>T1189:Drive-by Compromise</t>
        </is>
      </c>
      <c r="W469" s="191" t="n">
        <v>1</v>
      </c>
      <c r="X469" s="191" t="inlineStr">
        <is>
          <t>LOW (40%)</t>
        </is>
      </c>
      <c r="Y469" s="191" t="inlineStr">
        <is>
          <t>UNLIKELY</t>
        </is>
      </c>
      <c r="Z469" s="191" t="inlineStr">
        <is>
          <t>CHECK_VENDOR</t>
        </is>
      </c>
      <c r="AA469" s="192" t="inlineStr">
        <is>
          <t>https://nvd.nist.gov/vuln/detail/CVE-2026-25004</t>
        </is>
      </c>
      <c r="AB469" s="191" t="inlineStr">
        <is>
          <t>NONE</t>
        </is>
      </c>
      <c r="AC469" s="191" t="n">
        <v>0</v>
      </c>
      <c r="AD469" s="191" t="n"/>
    </row>
    <row r="470">
      <c r="A470" s="191" t="inlineStr">
        <is>
          <t>CVE</t>
        </is>
      </c>
      <c r="B470" s="191" t="inlineStr">
        <is>
          <t>CVE-2026-25005</t>
        </is>
      </c>
      <c r="C470" s="191" t="inlineStr">
        <is>
          <t>Authorization Bypass Through User-Controlled Key vulnerability in N-Media Frontend File Manager nmedia-user-file-uploader allows Exploiting Incorrectly Configured Access Control Security Levels.This issue affects Frontend File Manager: from n/a through &lt;= 23.5.</t>
        </is>
      </c>
      <c r="D470" s="191" t="n">
        <v>5.3</v>
      </c>
      <c r="E470" s="191" t="inlineStr">
        <is>
          <t>MEDIUM</t>
        </is>
      </c>
      <c r="F470" s="191" t="n">
        <v>2</v>
      </c>
      <c r="G470" s="191" t="n">
        <v>2</v>
      </c>
      <c r="H470" s="191" t="inlineStr">
        <is>
          <t>MEDIUM</t>
        </is>
      </c>
      <c r="I470" s="191" t="n">
        <v>9.300000000000001</v>
      </c>
      <c r="J470" s="191" t="inlineStr">
        <is>
          <t>NO</t>
        </is>
      </c>
      <c r="K470" s="192" t="inlineStr">
        <is>
          <t>https://nvd.nist.gov/vuln/detail/CVE-2026-25005</t>
        </is>
      </c>
      <c r="L470" s="191" t="inlineStr">
        <is>
          <t>2026-02-23 23:48</t>
        </is>
      </c>
      <c r="M470" s="191" t="inlineStr">
        <is>
          <t>CHECK_VENDOR</t>
        </is>
      </c>
      <c r="N470" s="191" t="inlineStr">
        <is>
          <t>See NVD references</t>
        </is>
      </c>
      <c r="O470" s="191" t="inlineStr">
        <is>
          <t>Apply vendor patches</t>
        </is>
      </c>
      <c r="P470" s="191" t="inlineStr">
        <is>
          <t>See CVE details</t>
        </is>
      </c>
      <c r="Q470" s="191" t="inlineStr">
        <is>
          <t>P4</t>
        </is>
      </c>
      <c r="R470" s="191" t="inlineStr">
        <is>
          <t>📅 Schedule patch deployment within 30 days | 🔍 Monitor for exploitation attempts</t>
        </is>
      </c>
      <c r="S470" s="191" t="inlineStr">
        <is>
          <t>CVE - IP enrichment n/a</t>
        </is>
      </c>
      <c r="T470" s="191" t="n">
        <v>0</v>
      </c>
      <c r="U470" s="191" t="n">
        <v>0</v>
      </c>
      <c r="V470" s="191" t="inlineStr">
        <is>
          <t>T1190:Exploit Public-Facing Application</t>
        </is>
      </c>
      <c r="W470" s="191" t="n">
        <v>1</v>
      </c>
      <c r="X470" s="191" t="inlineStr">
        <is>
          <t>LOW (40%)</t>
        </is>
      </c>
      <c r="Y470" s="191" t="inlineStr">
        <is>
          <t>UNLIKELY</t>
        </is>
      </c>
      <c r="Z470" s="191" t="inlineStr">
        <is>
          <t>CHECK_VENDOR</t>
        </is>
      </c>
      <c r="AA470" s="192" t="inlineStr">
        <is>
          <t>https://nvd.nist.gov/vuln/detail/CVE-2026-25005</t>
        </is>
      </c>
      <c r="AB470" s="191" t="inlineStr">
        <is>
          <t>NONE</t>
        </is>
      </c>
      <c r="AC470" s="191" t="n">
        <v>0</v>
      </c>
      <c r="AD470" s="191" t="n"/>
    </row>
    <row r="471">
      <c r="A471" s="191" t="inlineStr">
        <is>
          <t>CVE</t>
        </is>
      </c>
      <c r="B471" s="191" t="inlineStr">
        <is>
          <t>CVE-2026-25006</t>
        </is>
      </c>
      <c r="C471" s="191" t="inlineStr">
        <is>
          <t>Improper Neutralization of Script-Related HTML Tags in a Web Page (Basic XSS) vulnerability in 8theme XStore xstore allows Code Injection.This issue affects XStore: from n/a through &lt;= 9.6.4.</t>
        </is>
      </c>
      <c r="D471" s="191" t="n">
        <v>5</v>
      </c>
      <c r="E471" s="191" t="inlineStr">
        <is>
          <t>MEDIUM</t>
        </is>
      </c>
      <c r="F471" s="191" t="n">
        <v>2</v>
      </c>
      <c r="G471" s="191" t="n">
        <v>2</v>
      </c>
      <c r="H471" s="191" t="inlineStr">
        <is>
          <t>MEDIUM</t>
        </is>
      </c>
      <c r="I471" s="191" t="n">
        <v>9</v>
      </c>
      <c r="J471" s="191" t="inlineStr">
        <is>
          <t>NO</t>
        </is>
      </c>
      <c r="K471" s="192" t="inlineStr">
        <is>
          <t>https://nvd.nist.gov/vuln/detail/CVE-2026-25006</t>
        </is>
      </c>
      <c r="L471" s="191" t="inlineStr">
        <is>
          <t>2026-02-23 23:48</t>
        </is>
      </c>
      <c r="M471" s="191" t="inlineStr">
        <is>
          <t>CHECK_VENDOR</t>
        </is>
      </c>
      <c r="N471" s="191" t="inlineStr">
        <is>
          <t>See NVD references</t>
        </is>
      </c>
      <c r="O471" s="191" t="inlineStr">
        <is>
          <t>Apply vendor patches</t>
        </is>
      </c>
      <c r="P471" s="191" t="inlineStr">
        <is>
          <t>See CVE details</t>
        </is>
      </c>
      <c r="Q471" s="191" t="inlineStr">
        <is>
          <t>P4</t>
        </is>
      </c>
      <c r="R471" s="191" t="inlineStr">
        <is>
          <t>📅 Schedule patch deployment within 30 days | 🔍 Monitor for exploitation attempts</t>
        </is>
      </c>
      <c r="S471" s="191" t="inlineStr">
        <is>
          <t>CVE - IP enrichment n/a</t>
        </is>
      </c>
      <c r="T471" s="191" t="n">
        <v>0</v>
      </c>
      <c r="U471" s="191" t="n">
        <v>0</v>
      </c>
      <c r="V471" s="191" t="inlineStr">
        <is>
          <t>T1189:Drive-by Compromise</t>
        </is>
      </c>
      <c r="W471" s="191" t="n">
        <v>1</v>
      </c>
      <c r="X471" s="191" t="inlineStr">
        <is>
          <t>LOW (40%)</t>
        </is>
      </c>
      <c r="Y471" s="191" t="inlineStr">
        <is>
          <t>UNLIKELY</t>
        </is>
      </c>
      <c r="Z471" s="191" t="inlineStr">
        <is>
          <t>CHECK_VENDOR</t>
        </is>
      </c>
      <c r="AA471" s="192" t="inlineStr">
        <is>
          <t>https://nvd.nist.gov/vuln/detail/CVE-2026-25006</t>
        </is>
      </c>
      <c r="AB471" s="191" t="inlineStr">
        <is>
          <t>NONE</t>
        </is>
      </c>
      <c r="AC471" s="191" t="n">
        <v>0</v>
      </c>
      <c r="AD471" s="191" t="n"/>
    </row>
    <row r="472">
      <c r="A472" s="191" t="inlineStr">
        <is>
          <t>CVE</t>
        </is>
      </c>
      <c r="B472" s="191" t="inlineStr">
        <is>
          <t>CVE-2026-25008</t>
        </is>
      </c>
      <c r="C472" s="191" t="inlineStr">
        <is>
          <t>Insertion of Sensitive Information Into Sent Data vulnerability in Shahjahan Jewel Ninja Tables ninja-tables allows Retrieve Embedded Sensitive Data.This issue affects Ninja Tables: from n/a through &lt;= 5.2.5.</t>
        </is>
      </c>
      <c r="D472" s="191" t="n">
        <v>4.3</v>
      </c>
      <c r="E472" s="191" t="inlineStr">
        <is>
          <t>MEDIUM</t>
        </is>
      </c>
      <c r="F472" s="191" t="n">
        <v>2</v>
      </c>
      <c r="G472" s="191" t="n">
        <v>2</v>
      </c>
      <c r="H472" s="191" t="inlineStr">
        <is>
          <t>MEDIUM</t>
        </is>
      </c>
      <c r="I472" s="191" t="n">
        <v>8.300000000000001</v>
      </c>
      <c r="J472" s="191" t="inlineStr">
        <is>
          <t>NO</t>
        </is>
      </c>
      <c r="K472" s="192" t="inlineStr">
        <is>
          <t>https://nvd.nist.gov/vuln/detail/CVE-2026-25008</t>
        </is>
      </c>
      <c r="L472" s="191" t="inlineStr">
        <is>
          <t>2026-02-23 23:48</t>
        </is>
      </c>
      <c r="M472" s="191" t="inlineStr">
        <is>
          <t>CHECK_VENDOR</t>
        </is>
      </c>
      <c r="N472" s="191" t="inlineStr">
        <is>
          <t>See NVD references</t>
        </is>
      </c>
      <c r="O472" s="191" t="inlineStr">
        <is>
          <t>Apply vendor patches</t>
        </is>
      </c>
      <c r="P472" s="191" t="inlineStr">
        <is>
          <t>See CVE details</t>
        </is>
      </c>
      <c r="Q472" s="191" t="inlineStr">
        <is>
          <t>P4</t>
        </is>
      </c>
      <c r="R472" s="191" t="inlineStr">
        <is>
          <t>📅 Schedule patch deployment within 30 days | 🔍 Monitor for exploitation attempts</t>
        </is>
      </c>
      <c r="S472" s="191" t="inlineStr">
        <is>
          <t>CVE - IP enrichment n/a</t>
        </is>
      </c>
      <c r="T472" s="191" t="n">
        <v>0.0003</v>
      </c>
      <c r="U472" s="191" t="n">
        <v>0.07489999999999999</v>
      </c>
      <c r="V472" s="191" t="inlineStr">
        <is>
          <t>T1190:Exploit Public-Facing Application</t>
        </is>
      </c>
      <c r="W472" s="191" t="n">
        <v>1</v>
      </c>
      <c r="X472" s="191" t="inlineStr">
        <is>
          <t>LOW (40%)</t>
        </is>
      </c>
      <c r="Y472" s="191" t="inlineStr">
        <is>
          <t>UNLIKELY</t>
        </is>
      </c>
      <c r="Z472" s="191" t="inlineStr">
        <is>
          <t>CHECK_VENDOR</t>
        </is>
      </c>
      <c r="AA472" s="192" t="inlineStr">
        <is>
          <t>https://nvd.nist.gov/vuln/detail/CVE-2026-25008</t>
        </is>
      </c>
      <c r="AB472" s="191" t="inlineStr">
        <is>
          <t>NONE</t>
        </is>
      </c>
      <c r="AC472" s="191" t="n">
        <v>0</v>
      </c>
      <c r="AD472" s="191" t="n"/>
    </row>
    <row r="473">
      <c r="A473" s="191" t="inlineStr">
        <is>
          <t>CVE</t>
        </is>
      </c>
      <c r="B473" s="191" t="inlineStr">
        <is>
          <t>CVE-2026-25305</t>
        </is>
      </c>
      <c r="C473" s="191" t="inlineStr">
        <is>
          <t>Improper Neutralization of Input During Web Page Generation ('Cross-site Scripting') vulnerability in 8theme XStore xstore allows DOM-Based XSS.This issue affects XStore: from n/a through &lt;= 9.6.4.</t>
        </is>
      </c>
      <c r="D473" s="191" t="n">
        <v>5</v>
      </c>
      <c r="E473" s="191" t="inlineStr">
        <is>
          <t>MEDIUM</t>
        </is>
      </c>
      <c r="F473" s="191" t="n">
        <v>2</v>
      </c>
      <c r="G473" s="191" t="n">
        <v>2</v>
      </c>
      <c r="H473" s="191" t="inlineStr">
        <is>
          <t>MEDIUM</t>
        </is>
      </c>
      <c r="I473" s="191" t="n">
        <v>9</v>
      </c>
      <c r="J473" s="191" t="inlineStr">
        <is>
          <t>NO</t>
        </is>
      </c>
      <c r="K473" s="192" t="inlineStr">
        <is>
          <t>https://nvd.nist.gov/vuln/detail/CVE-2026-25305</t>
        </is>
      </c>
      <c r="L473" s="191" t="inlineStr">
        <is>
          <t>2026-02-23 23:48</t>
        </is>
      </c>
      <c r="M473" s="191" t="inlineStr">
        <is>
          <t>CHECK_VENDOR</t>
        </is>
      </c>
      <c r="N473" s="191" t="inlineStr">
        <is>
          <t>See NVD references</t>
        </is>
      </c>
      <c r="O473" s="191" t="inlineStr">
        <is>
          <t>Apply vendor patches</t>
        </is>
      </c>
      <c r="P473" s="191" t="inlineStr">
        <is>
          <t>See CVE details</t>
        </is>
      </c>
      <c r="Q473" s="191" t="inlineStr">
        <is>
          <t>P4</t>
        </is>
      </c>
      <c r="R473" s="191" t="inlineStr">
        <is>
          <t>📅 Schedule patch deployment within 30 days | 🔍 Monitor for exploitation attempts</t>
        </is>
      </c>
      <c r="S473" s="191" t="inlineStr">
        <is>
          <t>CVE - IP enrichment n/a</t>
        </is>
      </c>
      <c r="T473" s="191" t="n">
        <v>0</v>
      </c>
      <c r="U473" s="191" t="n">
        <v>0</v>
      </c>
      <c r="V473" s="191" t="inlineStr">
        <is>
          <t>T1189:Drive-by Compromise</t>
        </is>
      </c>
      <c r="W473" s="191" t="n">
        <v>1</v>
      </c>
      <c r="X473" s="191" t="inlineStr">
        <is>
          <t>LOW (40%)</t>
        </is>
      </c>
      <c r="Y473" s="191" t="inlineStr">
        <is>
          <t>UNLIKELY</t>
        </is>
      </c>
      <c r="Z473" s="191" t="inlineStr">
        <is>
          <t>CHECK_VENDOR</t>
        </is>
      </c>
      <c r="AA473" s="192" t="inlineStr">
        <is>
          <t>https://nvd.nist.gov/vuln/detail/CVE-2026-25305</t>
        </is>
      </c>
      <c r="AB473" s="191" t="inlineStr">
        <is>
          <t>NONE</t>
        </is>
      </c>
      <c r="AC473" s="191" t="n">
        <v>0</v>
      </c>
      <c r="AD473" s="191" t="n"/>
    </row>
    <row r="474">
      <c r="A474" s="191" t="inlineStr">
        <is>
          <t>CVE</t>
        </is>
      </c>
      <c r="B474" s="191" t="inlineStr">
        <is>
          <t>CVE-2026-25307</t>
        </is>
      </c>
      <c r="C474" s="191" t="inlineStr">
        <is>
          <t>Improper Neutralization of Input During Web Page Generation ('Cross-site Scripting') vulnerability in 8theme XStore Core et-core-plugin allows DOM-Based XSS.This issue affects XStore Core: from n/a through &lt; 5.7.</t>
        </is>
      </c>
      <c r="D474" s="191" t="n">
        <v>6.5</v>
      </c>
      <c r="E474" s="191" t="inlineStr">
        <is>
          <t>MEDIUM</t>
        </is>
      </c>
      <c r="F474" s="191" t="n">
        <v>2</v>
      </c>
      <c r="G474" s="191" t="n">
        <v>2</v>
      </c>
      <c r="H474" s="191" t="inlineStr">
        <is>
          <t>MEDIUM</t>
        </is>
      </c>
      <c r="I474" s="191" t="n">
        <v>10.5</v>
      </c>
      <c r="J474" s="191" t="inlineStr">
        <is>
          <t>NO</t>
        </is>
      </c>
      <c r="K474" s="192" t="inlineStr">
        <is>
          <t>https://nvd.nist.gov/vuln/detail/CVE-2026-25307</t>
        </is>
      </c>
      <c r="L474" s="191" t="inlineStr">
        <is>
          <t>2026-02-23 23:48</t>
        </is>
      </c>
      <c r="M474" s="191" t="inlineStr">
        <is>
          <t>CHECK_VENDOR</t>
        </is>
      </c>
      <c r="N474" s="191" t="inlineStr">
        <is>
          <t>See NVD references</t>
        </is>
      </c>
      <c r="O474" s="191" t="inlineStr">
        <is>
          <t>Apply vendor patches</t>
        </is>
      </c>
      <c r="P474" s="191" t="inlineStr">
        <is>
          <t>See CVE details</t>
        </is>
      </c>
      <c r="Q474" s="191" t="inlineStr">
        <is>
          <t>P4</t>
        </is>
      </c>
      <c r="R474" s="191" t="inlineStr">
        <is>
          <t>📅 Schedule patch deployment within 30 days | 🔍 Monitor for exploitation attempts</t>
        </is>
      </c>
      <c r="S474" s="191" t="inlineStr">
        <is>
          <t>CVE - IP enrichment n/a</t>
        </is>
      </c>
      <c r="T474" s="191" t="n">
        <v>0</v>
      </c>
      <c r="U474" s="191" t="n">
        <v>0</v>
      </c>
      <c r="V474" s="191" t="inlineStr">
        <is>
          <t>T1189:Drive-by Compromise</t>
        </is>
      </c>
      <c r="W474" s="191" t="n">
        <v>1</v>
      </c>
      <c r="X474" s="191" t="inlineStr">
        <is>
          <t>LOW (40%)</t>
        </is>
      </c>
      <c r="Y474" s="191" t="inlineStr">
        <is>
          <t>UNLIKELY</t>
        </is>
      </c>
      <c r="Z474" s="191" t="inlineStr">
        <is>
          <t>CHECK_VENDOR</t>
        </is>
      </c>
      <c r="AA474" s="192" t="inlineStr">
        <is>
          <t>https://nvd.nist.gov/vuln/detail/CVE-2026-25307</t>
        </is>
      </c>
      <c r="AB474" s="191" t="inlineStr">
        <is>
          <t>NONE</t>
        </is>
      </c>
      <c r="AC474" s="191" t="n">
        <v>0</v>
      </c>
      <c r="AD474" s="191" t="n"/>
    </row>
    <row r="475">
      <c r="A475" s="191" t="inlineStr">
        <is>
          <t>CVE</t>
        </is>
      </c>
      <c r="B475" s="191" t="inlineStr">
        <is>
          <t>CVE-2026-25308</t>
        </is>
      </c>
      <c r="C475" s="191" t="inlineStr">
        <is>
          <t>Missing Authorization vulnerability in wp.insider Simple Membership simple-membership allows Exploiting Incorrectly Configured Access Control Security Levels.This issue affects Simple Membership: from n/a through &lt;= 4.6.9.</t>
        </is>
      </c>
      <c r="D475" s="191" t="n">
        <v>4.3</v>
      </c>
      <c r="E475" s="191" t="inlineStr">
        <is>
          <t>MEDIUM</t>
        </is>
      </c>
      <c r="F475" s="191" t="n">
        <v>2</v>
      </c>
      <c r="G475" s="191" t="n">
        <v>2</v>
      </c>
      <c r="H475" s="191" t="inlineStr">
        <is>
          <t>MEDIUM</t>
        </is>
      </c>
      <c r="I475" s="191" t="n">
        <v>8.300000000000001</v>
      </c>
      <c r="J475" s="191" t="inlineStr">
        <is>
          <t>NO</t>
        </is>
      </c>
      <c r="K475" s="192" t="inlineStr">
        <is>
          <t>https://nvd.nist.gov/vuln/detail/CVE-2026-25308</t>
        </is>
      </c>
      <c r="L475" s="191" t="inlineStr">
        <is>
          <t>2026-02-23 23:48</t>
        </is>
      </c>
      <c r="M475" s="191" t="inlineStr">
        <is>
          <t>CHECK_VENDOR</t>
        </is>
      </c>
      <c r="N475" s="191" t="inlineStr">
        <is>
          <t>See NVD references</t>
        </is>
      </c>
      <c r="O475" s="191" t="inlineStr">
        <is>
          <t>Apply vendor patches</t>
        </is>
      </c>
      <c r="P475" s="191" t="inlineStr">
        <is>
          <t>See CVE details</t>
        </is>
      </c>
      <c r="Q475" s="191" t="inlineStr">
        <is>
          <t>P4</t>
        </is>
      </c>
      <c r="R475" s="191" t="inlineStr">
        <is>
          <t>📅 Schedule patch deployment within 30 days | 🔍 Monitor for exploitation attempts</t>
        </is>
      </c>
      <c r="S475" s="191" t="inlineStr">
        <is>
          <t>CVE - IP enrichment n/a</t>
        </is>
      </c>
      <c r="T475" s="191" t="n">
        <v>0</v>
      </c>
      <c r="U475" s="191" t="n">
        <v>0</v>
      </c>
      <c r="V475" s="191" t="inlineStr">
        <is>
          <t>T1190:Exploit Public-Facing Application</t>
        </is>
      </c>
      <c r="W475" s="191" t="n">
        <v>1</v>
      </c>
      <c r="X475" s="191" t="inlineStr">
        <is>
          <t>LOW (40%)</t>
        </is>
      </c>
      <c r="Y475" s="191" t="inlineStr">
        <is>
          <t>UNLIKELY</t>
        </is>
      </c>
      <c r="Z475" s="191" t="inlineStr">
        <is>
          <t>CHECK_VENDOR</t>
        </is>
      </c>
      <c r="AA475" s="192" t="inlineStr">
        <is>
          <t>https://nvd.nist.gov/vuln/detail/CVE-2026-25308</t>
        </is>
      </c>
      <c r="AB475" s="191" t="inlineStr">
        <is>
          <t>NONE</t>
        </is>
      </c>
      <c r="AC475" s="191" t="n">
        <v>0</v>
      </c>
      <c r="AD475" s="191" t="n"/>
    </row>
    <row r="476">
      <c r="A476" s="191" t="inlineStr">
        <is>
          <t>CVE</t>
        </is>
      </c>
      <c r="B476" s="191" t="inlineStr">
        <is>
          <t>CVE-2026-25310</t>
        </is>
      </c>
      <c r="C476" s="191" t="inlineStr">
        <is>
          <t>Server-Side Request Forgery (SSRF) vulnerability in Alobaidi Extend Link extend-link allows Server Side Request Forgery.This issue affects Extend Link: from n/a through &lt;= 2.0.0.</t>
        </is>
      </c>
      <c r="D476" s="191" t="n">
        <v>4.9</v>
      </c>
      <c r="E476" s="191" t="inlineStr">
        <is>
          <t>MEDIUM</t>
        </is>
      </c>
      <c r="F476" s="191" t="n">
        <v>2</v>
      </c>
      <c r="G476" s="191" t="n">
        <v>2</v>
      </c>
      <c r="H476" s="191" t="inlineStr">
        <is>
          <t>MEDIUM</t>
        </is>
      </c>
      <c r="I476" s="191" t="n">
        <v>8.9</v>
      </c>
      <c r="J476" s="191" t="inlineStr">
        <is>
          <t>NO</t>
        </is>
      </c>
      <c r="K476" s="192" t="inlineStr">
        <is>
          <t>https://nvd.nist.gov/vuln/detail/CVE-2026-25310</t>
        </is>
      </c>
      <c r="L476" s="191" t="inlineStr">
        <is>
          <t>2026-02-23 23:48</t>
        </is>
      </c>
      <c r="M476" s="191" t="inlineStr">
        <is>
          <t>CHECK_VENDOR</t>
        </is>
      </c>
      <c r="N476" s="191" t="inlineStr">
        <is>
          <t>See NVD references</t>
        </is>
      </c>
      <c r="O476" s="191" t="inlineStr">
        <is>
          <t>Apply vendor patches</t>
        </is>
      </c>
      <c r="P476" s="191" t="inlineStr">
        <is>
          <t>See CVE details</t>
        </is>
      </c>
      <c r="Q476" s="191" t="inlineStr">
        <is>
          <t>P4</t>
        </is>
      </c>
      <c r="R476" s="191" t="inlineStr">
        <is>
          <t>📅 Schedule patch deployment within 30 days | 🔍 Monitor for exploitation attempts</t>
        </is>
      </c>
      <c r="S476" s="191" t="inlineStr">
        <is>
          <t>CVE - IP enrichment n/a</t>
        </is>
      </c>
      <c r="T476" s="191" t="n">
        <v>0</v>
      </c>
      <c r="U476" s="191" t="n">
        <v>0</v>
      </c>
      <c r="V476" s="191" t="inlineStr">
        <is>
          <t>T1090:Proxy</t>
        </is>
      </c>
      <c r="W476" s="191" t="n">
        <v>1</v>
      </c>
      <c r="X476" s="191" t="inlineStr">
        <is>
          <t>LOW (40%)</t>
        </is>
      </c>
      <c r="Y476" s="191" t="inlineStr">
        <is>
          <t>UNLIKELY</t>
        </is>
      </c>
      <c r="Z476" s="191" t="inlineStr">
        <is>
          <t>CHECK_VENDOR</t>
        </is>
      </c>
      <c r="AA476" s="192" t="inlineStr">
        <is>
          <t>https://nvd.nist.gov/vuln/detail/CVE-2026-25310</t>
        </is>
      </c>
      <c r="AB476" s="191" t="inlineStr">
        <is>
          <t>NONE</t>
        </is>
      </c>
      <c r="AC476" s="191" t="n">
        <v>0</v>
      </c>
      <c r="AD476" s="191" t="n"/>
    </row>
    <row r="477">
      <c r="A477" s="191" t="inlineStr">
        <is>
          <t>CVE</t>
        </is>
      </c>
      <c r="B477" s="191" t="inlineStr">
        <is>
          <t>CVE-2026-25311</t>
        </is>
      </c>
      <c r="C477" s="191" t="inlineStr">
        <is>
          <t>Missing Authorization vulnerability in 10up Autoshare for Twitter autoshare-for-twitter allows Exploiting Incorrectly Configured Access Control Security Levels.This issue affects Autoshare for Twitter: from n/a through &lt;= 2.3.1.</t>
        </is>
      </c>
      <c r="D477" s="191" t="n">
        <v>5.4</v>
      </c>
      <c r="E477" s="191" t="inlineStr">
        <is>
          <t>MEDIUM</t>
        </is>
      </c>
      <c r="F477" s="191" t="n">
        <v>2</v>
      </c>
      <c r="G477" s="191" t="n">
        <v>2</v>
      </c>
      <c r="H477" s="191" t="inlineStr">
        <is>
          <t>MEDIUM</t>
        </is>
      </c>
      <c r="I477" s="191" t="n">
        <v>9.4</v>
      </c>
      <c r="J477" s="191" t="inlineStr">
        <is>
          <t>NO</t>
        </is>
      </c>
      <c r="K477" s="192" t="inlineStr">
        <is>
          <t>https://nvd.nist.gov/vuln/detail/CVE-2026-25311</t>
        </is>
      </c>
      <c r="L477" s="191" t="inlineStr">
        <is>
          <t>2026-02-23 23:48</t>
        </is>
      </c>
      <c r="M477" s="191" t="inlineStr">
        <is>
          <t>CHECK_VENDOR</t>
        </is>
      </c>
      <c r="N477" s="191" t="inlineStr">
        <is>
          <t>See NVD references</t>
        </is>
      </c>
      <c r="O477" s="191" t="inlineStr">
        <is>
          <t>Apply vendor patches</t>
        </is>
      </c>
      <c r="P477" s="191" t="inlineStr">
        <is>
          <t>See CVE details</t>
        </is>
      </c>
      <c r="Q477" s="191" t="inlineStr">
        <is>
          <t>P4</t>
        </is>
      </c>
      <c r="R477" s="191" t="inlineStr">
        <is>
          <t>📅 Schedule patch deployment within 30 days | 🔍 Monitor for exploitation attempts</t>
        </is>
      </c>
      <c r="S477" s="191" t="inlineStr">
        <is>
          <t>CVE - IP enrichment n/a</t>
        </is>
      </c>
      <c r="T477" s="191" t="n">
        <v>0</v>
      </c>
      <c r="U477" s="191" t="n">
        <v>0</v>
      </c>
      <c r="V477" s="191" t="inlineStr">
        <is>
          <t>T1190:Exploit Public-Facing Application</t>
        </is>
      </c>
      <c r="W477" s="191" t="n">
        <v>1</v>
      </c>
      <c r="X477" s="191" t="inlineStr">
        <is>
          <t>LOW (40%)</t>
        </is>
      </c>
      <c r="Y477" s="191" t="inlineStr">
        <is>
          <t>UNLIKELY</t>
        </is>
      </c>
      <c r="Z477" s="191" t="inlineStr">
        <is>
          <t>CHECK_VENDOR</t>
        </is>
      </c>
      <c r="AA477" s="192" t="inlineStr">
        <is>
          <t>https://nvd.nist.gov/vuln/detail/CVE-2026-25311</t>
        </is>
      </c>
      <c r="AB477" s="191" t="inlineStr">
        <is>
          <t>NONE</t>
        </is>
      </c>
      <c r="AC477" s="191" t="n">
        <v>0</v>
      </c>
      <c r="AD477" s="191" t="n"/>
    </row>
    <row r="478">
      <c r="A478" s="191" t="inlineStr">
        <is>
          <t>CVE</t>
        </is>
      </c>
      <c r="B478" s="191" t="inlineStr">
        <is>
          <t>CVE-2026-25313</t>
        </is>
      </c>
      <c r="C478" s="191" t="inlineStr">
        <is>
          <t>Missing Authorization vulnerability in Shahjahan Jewel FluentForm fluentform allows Exploiting Incorrectly Configured Access Control Security Levels.This issue affects FluentForm: from n/a through &lt;= 6.1.14.</t>
        </is>
      </c>
      <c r="D478" s="191" t="n">
        <v>4.3</v>
      </c>
      <c r="E478" s="191" t="inlineStr">
        <is>
          <t>MEDIUM</t>
        </is>
      </c>
      <c r="F478" s="191" t="n">
        <v>2</v>
      </c>
      <c r="G478" s="191" t="n">
        <v>2</v>
      </c>
      <c r="H478" s="191" t="inlineStr">
        <is>
          <t>MEDIUM</t>
        </is>
      </c>
      <c r="I478" s="191" t="n">
        <v>8.300000000000001</v>
      </c>
      <c r="J478" s="191" t="inlineStr">
        <is>
          <t>NO</t>
        </is>
      </c>
      <c r="K478" s="192" t="inlineStr">
        <is>
          <t>https://nvd.nist.gov/vuln/detail/CVE-2026-25313</t>
        </is>
      </c>
      <c r="L478" s="191" t="inlineStr">
        <is>
          <t>2026-02-23 23:48</t>
        </is>
      </c>
      <c r="M478" s="191" t="inlineStr">
        <is>
          <t>CHECK_VENDOR</t>
        </is>
      </c>
      <c r="N478" s="191" t="inlineStr">
        <is>
          <t>See NVD references</t>
        </is>
      </c>
      <c r="O478" s="191" t="inlineStr">
        <is>
          <t>Apply vendor patches</t>
        </is>
      </c>
      <c r="P478" s="191" t="inlineStr">
        <is>
          <t>See CVE details</t>
        </is>
      </c>
      <c r="Q478" s="191" t="inlineStr">
        <is>
          <t>P4</t>
        </is>
      </c>
      <c r="R478" s="191" t="inlineStr">
        <is>
          <t>📅 Schedule patch deployment within 30 days | 🔍 Monitor for exploitation attempts</t>
        </is>
      </c>
      <c r="S478" s="191" t="inlineStr">
        <is>
          <t>CVE - IP enrichment n/a</t>
        </is>
      </c>
      <c r="T478" s="191" t="n">
        <v>0.0003</v>
      </c>
      <c r="U478" s="191" t="n">
        <v>0.0718</v>
      </c>
      <c r="V478" s="191" t="inlineStr">
        <is>
          <t>T1190:Exploit Public-Facing Application</t>
        </is>
      </c>
      <c r="W478" s="191" t="n">
        <v>1</v>
      </c>
      <c r="X478" s="191" t="inlineStr">
        <is>
          <t>LOW (40%)</t>
        </is>
      </c>
      <c r="Y478" s="191" t="inlineStr">
        <is>
          <t>UNLIKELY</t>
        </is>
      </c>
      <c r="Z478" s="191" t="inlineStr">
        <is>
          <t>CHECK_VENDOR</t>
        </is>
      </c>
      <c r="AA478" s="192" t="inlineStr">
        <is>
          <t>https://nvd.nist.gov/vuln/detail/CVE-2026-25313</t>
        </is>
      </c>
      <c r="AB478" s="191" t="inlineStr">
        <is>
          <t>NONE</t>
        </is>
      </c>
      <c r="AC478" s="191" t="n">
        <v>0</v>
      </c>
      <c r="AD478" s="191" t="n"/>
    </row>
    <row r="479">
      <c r="A479" s="191" t="inlineStr">
        <is>
          <t>CVE</t>
        </is>
      </c>
      <c r="B479" s="191" t="inlineStr">
        <is>
          <t>CVE-2026-25314</t>
        </is>
      </c>
      <c r="C479" s="191" t="inlineStr">
        <is>
          <t>Missing Authorization vulnerability in WP Messiah TOP Table Of Contents top-table-of-contents allows Exploiting Incorrectly Configured Access Control Security Levels.This issue affects TOP Table Of Contents: from n/a through &lt;= 1.3.31.</t>
        </is>
      </c>
      <c r="D479" s="191" t="n">
        <v>4.3</v>
      </c>
      <c r="E479" s="191" t="inlineStr">
        <is>
          <t>MEDIUM</t>
        </is>
      </c>
      <c r="F479" s="191" t="n">
        <v>2</v>
      </c>
      <c r="G479" s="191" t="n">
        <v>2</v>
      </c>
      <c r="H479" s="191" t="inlineStr">
        <is>
          <t>MEDIUM</t>
        </is>
      </c>
      <c r="I479" s="191" t="n">
        <v>8.300000000000001</v>
      </c>
      <c r="J479" s="191" t="inlineStr">
        <is>
          <t>NO</t>
        </is>
      </c>
      <c r="K479" s="192" t="inlineStr">
        <is>
          <t>https://nvd.nist.gov/vuln/detail/CVE-2026-25314</t>
        </is>
      </c>
      <c r="L479" s="191" t="inlineStr">
        <is>
          <t>2026-02-23 23:48</t>
        </is>
      </c>
      <c r="M479" s="191" t="inlineStr">
        <is>
          <t>CHECK_VENDOR</t>
        </is>
      </c>
      <c r="N479" s="191" t="inlineStr">
        <is>
          <t>See NVD references</t>
        </is>
      </c>
      <c r="O479" s="191" t="inlineStr">
        <is>
          <t>Apply vendor patches</t>
        </is>
      </c>
      <c r="P479" s="191" t="inlineStr">
        <is>
          <t>See CVE details</t>
        </is>
      </c>
      <c r="Q479" s="191" t="inlineStr">
        <is>
          <t>P4</t>
        </is>
      </c>
      <c r="R479" s="191" t="inlineStr">
        <is>
          <t>📅 Schedule patch deployment within 30 days | 🔍 Monitor for exploitation attempts</t>
        </is>
      </c>
      <c r="S479" s="191" t="inlineStr">
        <is>
          <t>CVE - IP enrichment n/a</t>
        </is>
      </c>
      <c r="T479" s="191" t="n">
        <v>0.0003</v>
      </c>
      <c r="U479" s="191" t="n">
        <v>0.0718</v>
      </c>
      <c r="V479" s="191" t="inlineStr">
        <is>
          <t>T1190:Exploit Public-Facing Application</t>
        </is>
      </c>
      <c r="W479" s="191" t="n">
        <v>1</v>
      </c>
      <c r="X479" s="191" t="inlineStr">
        <is>
          <t>LOW (40%)</t>
        </is>
      </c>
      <c r="Y479" s="191" t="inlineStr">
        <is>
          <t>UNLIKELY</t>
        </is>
      </c>
      <c r="Z479" s="191" t="inlineStr">
        <is>
          <t>CHECK_VENDOR</t>
        </is>
      </c>
      <c r="AA479" s="192" t="inlineStr">
        <is>
          <t>https://nvd.nist.gov/vuln/detail/CVE-2026-25314</t>
        </is>
      </c>
      <c r="AB479" s="191" t="inlineStr">
        <is>
          <t>NONE</t>
        </is>
      </c>
      <c r="AC479" s="191" t="n">
        <v>0</v>
      </c>
      <c r="AD479" s="191" t="n"/>
    </row>
    <row r="480">
      <c r="A480" s="191" t="inlineStr">
        <is>
          <t>CVE</t>
        </is>
      </c>
      <c r="B480" s="191" t="inlineStr">
        <is>
          <t>CVE-2026-25315</t>
        </is>
      </c>
      <c r="C480" s="191" t="inlineStr">
        <is>
          <t>Missing Authorization vulnerability in hcaptcha hCaptcha for WP hcaptcha-for-forms-and-more allows Exploiting Incorrectly Configured Access Control Security Levels.This issue affects hCaptcha for WP: from n/a through &lt;= 4.22.0.</t>
        </is>
      </c>
      <c r="D480" s="191" t="n">
        <v>5.3</v>
      </c>
      <c r="E480" s="191" t="inlineStr">
        <is>
          <t>MEDIUM</t>
        </is>
      </c>
      <c r="F480" s="191" t="n">
        <v>2</v>
      </c>
      <c r="G480" s="191" t="n">
        <v>2</v>
      </c>
      <c r="H480" s="191" t="inlineStr">
        <is>
          <t>MEDIUM</t>
        </is>
      </c>
      <c r="I480" s="191" t="n">
        <v>9.300000000000001</v>
      </c>
      <c r="J480" s="191" t="inlineStr">
        <is>
          <t>NO</t>
        </is>
      </c>
      <c r="K480" s="192" t="inlineStr">
        <is>
          <t>https://nvd.nist.gov/vuln/detail/CVE-2026-25315</t>
        </is>
      </c>
      <c r="L480" s="191" t="inlineStr">
        <is>
          <t>2026-02-23 23:48</t>
        </is>
      </c>
      <c r="M480" s="191" t="inlineStr">
        <is>
          <t>CHECK_VENDOR</t>
        </is>
      </c>
      <c r="N480" s="191" t="inlineStr">
        <is>
          <t>See NVD references</t>
        </is>
      </c>
      <c r="O480" s="191" t="inlineStr">
        <is>
          <t>Apply vendor patches</t>
        </is>
      </c>
      <c r="P480" s="191" t="inlineStr">
        <is>
          <t>See CVE details</t>
        </is>
      </c>
      <c r="Q480" s="191" t="inlineStr">
        <is>
          <t>P4</t>
        </is>
      </c>
      <c r="R480" s="191" t="inlineStr">
        <is>
          <t>📅 Schedule patch deployment within 30 days | 🔍 Monitor for exploitation attempts</t>
        </is>
      </c>
      <c r="S480" s="191" t="inlineStr">
        <is>
          <t>CVE - IP enrichment n/a</t>
        </is>
      </c>
      <c r="T480" s="191" t="n">
        <v>0.0003</v>
      </c>
      <c r="U480" s="191" t="n">
        <v>0.07870000000000001</v>
      </c>
      <c r="V480" s="191" t="inlineStr">
        <is>
          <t>T1190:Exploit Public-Facing Application</t>
        </is>
      </c>
      <c r="W480" s="191" t="n">
        <v>1</v>
      </c>
      <c r="X480" s="191" t="inlineStr">
        <is>
          <t>LOW (40%)</t>
        </is>
      </c>
      <c r="Y480" s="191" t="inlineStr">
        <is>
          <t>UNLIKELY</t>
        </is>
      </c>
      <c r="Z480" s="191" t="inlineStr">
        <is>
          <t>CHECK_VENDOR</t>
        </is>
      </c>
      <c r="AA480" s="192" t="inlineStr">
        <is>
          <t>https://nvd.nist.gov/vuln/detail/CVE-2026-25315</t>
        </is>
      </c>
      <c r="AB480" s="191" t="inlineStr">
        <is>
          <t>NONE</t>
        </is>
      </c>
      <c r="AC480" s="191" t="n">
        <v>0</v>
      </c>
      <c r="AD480" s="191" t="n"/>
    </row>
    <row r="481">
      <c r="A481" s="189" t="inlineStr">
        <is>
          <t>CVE</t>
        </is>
      </c>
      <c r="B481" s="189" t="inlineStr">
        <is>
          <t>CVE-2026-25316</t>
        </is>
      </c>
      <c r="C481" s="189" t="inlineStr">
        <is>
          <t>Deserialization of Untrusted Data vulnerability in Brainstorm Force CartFlows cartflows allows Object Injection.This issue affects CartFlows: from n/a through &lt;= 2.1.19.</t>
        </is>
      </c>
      <c r="D481" s="189" t="n">
        <v>8.5</v>
      </c>
      <c r="E481" s="189" t="inlineStr">
        <is>
          <t>HIGH</t>
        </is>
      </c>
      <c r="F481" s="189" t="n">
        <v>2</v>
      </c>
      <c r="G481" s="189" t="n">
        <v>3</v>
      </c>
      <c r="H481" s="189" t="inlineStr">
        <is>
          <t>HIGH</t>
        </is>
      </c>
      <c r="I481" s="189" t="n">
        <v>14.5</v>
      </c>
      <c r="J481" s="189" t="inlineStr">
        <is>
          <t>NO</t>
        </is>
      </c>
      <c r="K481" s="190" t="inlineStr">
        <is>
          <t>https://nvd.nist.gov/vuln/detail/CVE-2026-25316</t>
        </is>
      </c>
      <c r="L481" s="189" t="inlineStr">
        <is>
          <t>2026-02-23 23:48</t>
        </is>
      </c>
      <c r="M481" s="189" t="inlineStr">
        <is>
          <t>CHECK_VENDOR</t>
        </is>
      </c>
      <c r="N481" s="189" t="inlineStr">
        <is>
          <t>See NVD references</t>
        </is>
      </c>
      <c r="O481" s="189" t="inlineStr">
        <is>
          <t>Apply vendor patches</t>
        </is>
      </c>
      <c r="P481" s="189" t="inlineStr">
        <is>
          <t>See CVE details</t>
        </is>
      </c>
      <c r="Q481" s="189" t="inlineStr">
        <is>
          <t>P3</t>
        </is>
      </c>
      <c r="R481" s="189" t="inlineStr">
        <is>
          <t>🚨 URGENT: Apply vendor patches immediately | 🔒 Isolate affected systems if patch unavailable | 🛡️ Enable additional monitoring/IDS rules</t>
        </is>
      </c>
      <c r="S481" s="189" t="inlineStr">
        <is>
          <t>CVE - IP enrichment n/a</t>
        </is>
      </c>
      <c r="T481" s="189" t="n">
        <v>0</v>
      </c>
      <c r="U481" s="189" t="n">
        <v>0</v>
      </c>
      <c r="V481" s="189" t="inlineStr">
        <is>
          <t>T1059:Command and Scripting Interpreter | T1190:Exploit Public-Facing Application</t>
        </is>
      </c>
      <c r="W481" s="189" t="n">
        <v>1</v>
      </c>
      <c r="X481" s="189" t="inlineStr">
        <is>
          <t>LOW (40%)</t>
        </is>
      </c>
      <c r="Y481" s="189" t="inlineStr">
        <is>
          <t>UNLIKELY</t>
        </is>
      </c>
      <c r="Z481" s="189" t="inlineStr">
        <is>
          <t>CHECK_VENDOR</t>
        </is>
      </c>
      <c r="AA481" s="190" t="inlineStr">
        <is>
          <t>https://nvd.nist.gov/vuln/detail/CVE-2026-25316</t>
        </is>
      </c>
      <c r="AB481" s="189" t="inlineStr">
        <is>
          <t>NONE</t>
        </is>
      </c>
      <c r="AC481" s="189" t="n">
        <v>0</v>
      </c>
      <c r="AD481" s="189" t="n"/>
    </row>
    <row r="482">
      <c r="A482" s="191" t="inlineStr">
        <is>
          <t>CVE</t>
        </is>
      </c>
      <c r="B482" s="191" t="inlineStr">
        <is>
          <t>CVE-2026-25318</t>
        </is>
      </c>
      <c r="C482" s="191" t="inlineStr">
        <is>
          <t>Missing Authorization vulnerability in Wisernotify team WiserReview Product Reviews for WooCommerce wiser-review allows Exploiting Incorrectly Configured Access Control Security Levels.This issue affects WiserReview Product Reviews for WooCommerce: from n/a through &lt;= 2.9.</t>
        </is>
      </c>
      <c r="D482" s="191" t="n">
        <v>4.3</v>
      </c>
      <c r="E482" s="191" t="inlineStr">
        <is>
          <t>MEDIUM</t>
        </is>
      </c>
      <c r="F482" s="191" t="n">
        <v>2</v>
      </c>
      <c r="G482" s="191" t="n">
        <v>2</v>
      </c>
      <c r="H482" s="191" t="inlineStr">
        <is>
          <t>MEDIUM</t>
        </is>
      </c>
      <c r="I482" s="191" t="n">
        <v>8.300000000000001</v>
      </c>
      <c r="J482" s="191" t="inlineStr">
        <is>
          <t>NO</t>
        </is>
      </c>
      <c r="K482" s="192" t="inlineStr">
        <is>
          <t>https://nvd.nist.gov/vuln/detail/CVE-2026-25318</t>
        </is>
      </c>
      <c r="L482" s="191" t="inlineStr">
        <is>
          <t>2026-02-23 23:48</t>
        </is>
      </c>
      <c r="M482" s="191" t="inlineStr">
        <is>
          <t>CHECK_VENDOR</t>
        </is>
      </c>
      <c r="N482" s="191" t="inlineStr">
        <is>
          <t>See NVD references</t>
        </is>
      </c>
      <c r="O482" s="191" t="inlineStr">
        <is>
          <t>Apply vendor patches</t>
        </is>
      </c>
      <c r="P482" s="191" t="inlineStr">
        <is>
          <t>See CVE details</t>
        </is>
      </c>
      <c r="Q482" s="191" t="inlineStr">
        <is>
          <t>P4</t>
        </is>
      </c>
      <c r="R482" s="191" t="inlineStr">
        <is>
          <t>📅 Schedule patch deployment within 30 days | 🔍 Monitor for exploitation attempts</t>
        </is>
      </c>
      <c r="S482" s="191" t="inlineStr">
        <is>
          <t>CVE - IP enrichment n/a</t>
        </is>
      </c>
      <c r="T482" s="191" t="n">
        <v>0</v>
      </c>
      <c r="U482" s="191" t="n">
        <v>0</v>
      </c>
      <c r="V482" s="191" t="inlineStr">
        <is>
          <t>T1190:Exploit Public-Facing Application</t>
        </is>
      </c>
      <c r="W482" s="191" t="n">
        <v>1</v>
      </c>
      <c r="X482" s="191" t="inlineStr">
        <is>
          <t>LOW (40%)</t>
        </is>
      </c>
      <c r="Y482" s="191" t="inlineStr">
        <is>
          <t>UNLIKELY</t>
        </is>
      </c>
      <c r="Z482" s="191" t="inlineStr">
        <is>
          <t>CHECK_VENDOR</t>
        </is>
      </c>
      <c r="AA482" s="192" t="inlineStr">
        <is>
          <t>https://nvd.nist.gov/vuln/detail/CVE-2026-25318</t>
        </is>
      </c>
      <c r="AB482" s="191" t="inlineStr">
        <is>
          <t>NONE</t>
        </is>
      </c>
      <c r="AC482" s="191" t="n">
        <v>0</v>
      </c>
      <c r="AD482" s="191" t="n"/>
    </row>
    <row r="483">
      <c r="A483" s="191" t="inlineStr">
        <is>
          <t>CVE</t>
        </is>
      </c>
      <c r="B483" s="191" t="inlineStr">
        <is>
          <t>CVE-2026-25319</t>
        </is>
      </c>
      <c r="C483" s="191" t="inlineStr">
        <is>
          <t>Cross-Site Request Forgery (CSRF) vulnerability in wpzita Zita Elementor Site Library zita-site-library allows Cross Site Request Forgery.This issue affects Zita Elementor Site Library: from n/a through &lt;= 1.6.6.</t>
        </is>
      </c>
      <c r="D483" s="191" t="n">
        <v>4.3</v>
      </c>
      <c r="E483" s="191" t="inlineStr">
        <is>
          <t>MEDIUM</t>
        </is>
      </c>
      <c r="F483" s="191" t="n">
        <v>2</v>
      </c>
      <c r="G483" s="191" t="n">
        <v>2</v>
      </c>
      <c r="H483" s="191" t="inlineStr">
        <is>
          <t>MEDIUM</t>
        </is>
      </c>
      <c r="I483" s="191" t="n">
        <v>8.300000000000001</v>
      </c>
      <c r="J483" s="191" t="inlineStr">
        <is>
          <t>NO</t>
        </is>
      </c>
      <c r="K483" s="192" t="inlineStr">
        <is>
          <t>https://nvd.nist.gov/vuln/detail/CVE-2026-25319</t>
        </is>
      </c>
      <c r="L483" s="191" t="inlineStr">
        <is>
          <t>2026-02-23 23:48</t>
        </is>
      </c>
      <c r="M483" s="191" t="inlineStr">
        <is>
          <t>CHECK_VENDOR</t>
        </is>
      </c>
      <c r="N483" s="191" t="inlineStr">
        <is>
          <t>See NVD references</t>
        </is>
      </c>
      <c r="O483" s="191" t="inlineStr">
        <is>
          <t>Apply vendor patches</t>
        </is>
      </c>
      <c r="P483" s="191" t="inlineStr">
        <is>
          <t>See CVE details</t>
        </is>
      </c>
      <c r="Q483" s="191" t="inlineStr">
        <is>
          <t>P4</t>
        </is>
      </c>
      <c r="R483" s="191" t="inlineStr">
        <is>
          <t>📅 Schedule patch deployment within 30 days | 🔍 Monitor for exploitation attempts</t>
        </is>
      </c>
      <c r="S483" s="191" t="inlineStr">
        <is>
          <t>CVE - IP enrichment n/a</t>
        </is>
      </c>
      <c r="T483" s="191" t="n">
        <v>0</v>
      </c>
      <c r="U483" s="191" t="n">
        <v>0</v>
      </c>
      <c r="V483" s="191" t="inlineStr">
        <is>
          <t>T1185:Browser Session Hijacking</t>
        </is>
      </c>
      <c r="W483" s="191" t="n">
        <v>1</v>
      </c>
      <c r="X483" s="191" t="inlineStr">
        <is>
          <t>LOW (40%)</t>
        </is>
      </c>
      <c r="Y483" s="191" t="inlineStr">
        <is>
          <t>UNLIKELY</t>
        </is>
      </c>
      <c r="Z483" s="191" t="inlineStr">
        <is>
          <t>CHECK_VENDOR</t>
        </is>
      </c>
      <c r="AA483" s="192" t="inlineStr">
        <is>
          <t>https://nvd.nist.gov/vuln/detail/CVE-2026-25319</t>
        </is>
      </c>
      <c r="AB483" s="191" t="inlineStr">
        <is>
          <t>NONE</t>
        </is>
      </c>
      <c r="AC483" s="191" t="n">
        <v>0</v>
      </c>
      <c r="AD483" s="191" t="n"/>
    </row>
    <row r="484">
      <c r="A484" s="191" t="inlineStr">
        <is>
          <t>CVE</t>
        </is>
      </c>
      <c r="B484" s="191" t="inlineStr">
        <is>
          <t>CVE-2026-25320</t>
        </is>
      </c>
      <c r="C484" s="191" t="inlineStr">
        <is>
          <t>Missing Authorization vulnerability in Cool Plugins Elementor Contact Form DB sb-elementor-contact-form-db allows Exploiting Incorrectly Configured Access Control Security Levels.This issue affects Elementor Contact Form DB: from n/a through &lt;= 2.1.3.</t>
        </is>
      </c>
      <c r="D484" s="191" t="n">
        <v>5.3</v>
      </c>
      <c r="E484" s="191" t="inlineStr">
        <is>
          <t>MEDIUM</t>
        </is>
      </c>
      <c r="F484" s="191" t="n">
        <v>2</v>
      </c>
      <c r="G484" s="191" t="n">
        <v>2</v>
      </c>
      <c r="H484" s="191" t="inlineStr">
        <is>
          <t>MEDIUM</t>
        </is>
      </c>
      <c r="I484" s="191" t="n">
        <v>9.300000000000001</v>
      </c>
      <c r="J484" s="191" t="inlineStr">
        <is>
          <t>NO</t>
        </is>
      </c>
      <c r="K484" s="192" t="inlineStr">
        <is>
          <t>https://nvd.nist.gov/vuln/detail/CVE-2026-25320</t>
        </is>
      </c>
      <c r="L484" s="191" t="inlineStr">
        <is>
          <t>2026-02-23 23:48</t>
        </is>
      </c>
      <c r="M484" s="191" t="inlineStr">
        <is>
          <t>CHECK_VENDOR</t>
        </is>
      </c>
      <c r="N484" s="191" t="inlineStr">
        <is>
          <t>See NVD references</t>
        </is>
      </c>
      <c r="O484" s="191" t="inlineStr">
        <is>
          <t>Apply vendor patches</t>
        </is>
      </c>
      <c r="P484" s="191" t="inlineStr">
        <is>
          <t>See CVE details</t>
        </is>
      </c>
      <c r="Q484" s="191" t="inlineStr">
        <is>
          <t>P4</t>
        </is>
      </c>
      <c r="R484" s="191" t="inlineStr">
        <is>
          <t>📅 Schedule patch deployment within 30 days | 🔍 Monitor for exploitation attempts</t>
        </is>
      </c>
      <c r="S484" s="191" t="inlineStr">
        <is>
          <t>CVE - IP enrichment n/a</t>
        </is>
      </c>
      <c r="T484" s="191" t="n">
        <v>0</v>
      </c>
      <c r="U484" s="191" t="n">
        <v>0</v>
      </c>
      <c r="V484" s="191" t="inlineStr">
        <is>
          <t>T1190:Exploit Public-Facing Application</t>
        </is>
      </c>
      <c r="W484" s="191" t="n">
        <v>1</v>
      </c>
      <c r="X484" s="191" t="inlineStr">
        <is>
          <t>LOW (40%)</t>
        </is>
      </c>
      <c r="Y484" s="191" t="inlineStr">
        <is>
          <t>UNLIKELY</t>
        </is>
      </c>
      <c r="Z484" s="191" t="inlineStr">
        <is>
          <t>CHECK_VENDOR</t>
        </is>
      </c>
      <c r="AA484" s="192" t="inlineStr">
        <is>
          <t>https://nvd.nist.gov/vuln/detail/CVE-2026-25320</t>
        </is>
      </c>
      <c r="AB484" s="191" t="inlineStr">
        <is>
          <t>NONE</t>
        </is>
      </c>
      <c r="AC484" s="191" t="n">
        <v>0</v>
      </c>
      <c r="AD484" s="191" t="n"/>
    </row>
    <row r="485">
      <c r="A485" s="191" t="inlineStr">
        <is>
          <t>CVE</t>
        </is>
      </c>
      <c r="B485" s="191" t="inlineStr">
        <is>
          <t>CVE-2026-25321</t>
        </is>
      </c>
      <c r="C485" s="191" t="inlineStr">
        <is>
          <t>Missing Authorization vulnerability in PSM Plugins SupportCandy supportcandy allows Exploiting Incorrectly Configured Access Control Security Levels.This issue affects SupportCandy: from n/a through &lt;= 3.4.4.</t>
        </is>
      </c>
      <c r="D485" s="191" t="n">
        <v>5.3</v>
      </c>
      <c r="E485" s="191" t="inlineStr">
        <is>
          <t>MEDIUM</t>
        </is>
      </c>
      <c r="F485" s="191" t="n">
        <v>2</v>
      </c>
      <c r="G485" s="191" t="n">
        <v>2</v>
      </c>
      <c r="H485" s="191" t="inlineStr">
        <is>
          <t>MEDIUM</t>
        </is>
      </c>
      <c r="I485" s="191" t="n">
        <v>9.300000000000001</v>
      </c>
      <c r="J485" s="191" t="inlineStr">
        <is>
          <t>NO</t>
        </is>
      </c>
      <c r="K485" s="192" t="inlineStr">
        <is>
          <t>https://nvd.nist.gov/vuln/detail/CVE-2026-25321</t>
        </is>
      </c>
      <c r="L485" s="191" t="inlineStr">
        <is>
          <t>2026-02-23 23:48</t>
        </is>
      </c>
      <c r="M485" s="191" t="inlineStr">
        <is>
          <t>CHECK_VENDOR</t>
        </is>
      </c>
      <c r="N485" s="191" t="inlineStr">
        <is>
          <t>See NVD references</t>
        </is>
      </c>
      <c r="O485" s="191" t="inlineStr">
        <is>
          <t>Apply vendor patches</t>
        </is>
      </c>
      <c r="P485" s="191" t="inlineStr">
        <is>
          <t>See CVE details</t>
        </is>
      </c>
      <c r="Q485" s="191" t="inlineStr">
        <is>
          <t>P4</t>
        </is>
      </c>
      <c r="R485" s="191" t="inlineStr">
        <is>
          <t>📅 Schedule patch deployment within 30 days | 🔍 Monitor for exploitation attempts</t>
        </is>
      </c>
      <c r="S485" s="191" t="inlineStr">
        <is>
          <t>CVE - IP enrichment n/a</t>
        </is>
      </c>
      <c r="T485" s="191" t="n">
        <v>0</v>
      </c>
      <c r="U485" s="191" t="n">
        <v>0</v>
      </c>
      <c r="V485" s="191" t="inlineStr">
        <is>
          <t>T1190:Exploit Public-Facing Application</t>
        </is>
      </c>
      <c r="W485" s="191" t="n">
        <v>1</v>
      </c>
      <c r="X485" s="191" t="inlineStr">
        <is>
          <t>LOW (40%)</t>
        </is>
      </c>
      <c r="Y485" s="191" t="inlineStr">
        <is>
          <t>UNLIKELY</t>
        </is>
      </c>
      <c r="Z485" s="191" t="inlineStr">
        <is>
          <t>CHECK_VENDOR</t>
        </is>
      </c>
      <c r="AA485" s="192" t="inlineStr">
        <is>
          <t>https://nvd.nist.gov/vuln/detail/CVE-2026-25321</t>
        </is>
      </c>
      <c r="AB485" s="191" t="inlineStr">
        <is>
          <t>NONE</t>
        </is>
      </c>
      <c r="AC485" s="191" t="n">
        <v>0</v>
      </c>
      <c r="AD485" s="191" t="n"/>
    </row>
    <row r="486">
      <c r="A486" s="191" t="inlineStr">
        <is>
          <t>CVE</t>
        </is>
      </c>
      <c r="B486" s="191" t="inlineStr">
        <is>
          <t>CVE-2026-25322</t>
        </is>
      </c>
      <c r="C486" s="191" t="inlineStr">
        <is>
          <t>Cross-Site Request Forgery (CSRF) vulnerability in PublishPress PublishPress Revisions revisionary allows Cross Site Request Forgery.This issue affects PublishPress Revisions: from n/a through &lt;= 3.7.22.</t>
        </is>
      </c>
      <c r="D486" s="191" t="n">
        <v>5.4</v>
      </c>
      <c r="E486" s="191" t="inlineStr">
        <is>
          <t>MEDIUM</t>
        </is>
      </c>
      <c r="F486" s="191" t="n">
        <v>2</v>
      </c>
      <c r="G486" s="191" t="n">
        <v>2</v>
      </c>
      <c r="H486" s="191" t="inlineStr">
        <is>
          <t>MEDIUM</t>
        </is>
      </c>
      <c r="I486" s="191" t="n">
        <v>9.4</v>
      </c>
      <c r="J486" s="191" t="inlineStr">
        <is>
          <t>NO</t>
        </is>
      </c>
      <c r="K486" s="192" t="inlineStr">
        <is>
          <t>https://nvd.nist.gov/vuln/detail/CVE-2026-25322</t>
        </is>
      </c>
      <c r="L486" s="191" t="inlineStr">
        <is>
          <t>2026-02-23 23:48</t>
        </is>
      </c>
      <c r="M486" s="191" t="inlineStr">
        <is>
          <t>CHECK_VENDOR</t>
        </is>
      </c>
      <c r="N486" s="191" t="inlineStr">
        <is>
          <t>See NVD references</t>
        </is>
      </c>
      <c r="O486" s="191" t="inlineStr">
        <is>
          <t>Apply vendor patches</t>
        </is>
      </c>
      <c r="P486" s="191" t="inlineStr">
        <is>
          <t>See CVE details</t>
        </is>
      </c>
      <c r="Q486" s="191" t="inlineStr">
        <is>
          <t>P4</t>
        </is>
      </c>
      <c r="R486" s="191" t="inlineStr">
        <is>
          <t>📅 Schedule patch deployment within 30 days | 🔍 Monitor for exploitation attempts</t>
        </is>
      </c>
      <c r="S486" s="191" t="inlineStr">
        <is>
          <t>CVE - IP enrichment n/a</t>
        </is>
      </c>
      <c r="T486" s="191" t="n">
        <v>0</v>
      </c>
      <c r="U486" s="191" t="n">
        <v>0</v>
      </c>
      <c r="V486" s="191" t="inlineStr">
        <is>
          <t>T1185:Browser Session Hijacking</t>
        </is>
      </c>
      <c r="W486" s="191" t="n">
        <v>1</v>
      </c>
      <c r="X486" s="191" t="inlineStr">
        <is>
          <t>LOW (40%)</t>
        </is>
      </c>
      <c r="Y486" s="191" t="inlineStr">
        <is>
          <t>UNLIKELY</t>
        </is>
      </c>
      <c r="Z486" s="191" t="inlineStr">
        <is>
          <t>CHECK_VENDOR</t>
        </is>
      </c>
      <c r="AA486" s="192" t="inlineStr">
        <is>
          <t>https://nvd.nist.gov/vuln/detail/CVE-2026-25322</t>
        </is>
      </c>
      <c r="AB486" s="191" t="inlineStr">
        <is>
          <t>NONE</t>
        </is>
      </c>
      <c r="AC486" s="191" t="n">
        <v>0</v>
      </c>
      <c r="AD486" s="191" t="n"/>
    </row>
    <row r="487">
      <c r="A487" s="191" t="inlineStr">
        <is>
          <t>CVE</t>
        </is>
      </c>
      <c r="B487" s="191" t="inlineStr">
        <is>
          <t>CVE-2026-25323</t>
        </is>
      </c>
      <c r="C487" s="191" t="inlineStr">
        <is>
          <t>Missing Authorization vulnerability in MiKa OSM osm allows Exploiting Incorrectly Configured Access Control Security Levels.This issue affects OSM: from n/a through &lt;= 6.1.12.</t>
        </is>
      </c>
      <c r="D487" s="191" t="n">
        <v>5</v>
      </c>
      <c r="E487" s="191" t="inlineStr">
        <is>
          <t>MEDIUM</t>
        </is>
      </c>
      <c r="F487" s="191" t="n">
        <v>2</v>
      </c>
      <c r="G487" s="191" t="n">
        <v>2</v>
      </c>
      <c r="H487" s="191" t="inlineStr">
        <is>
          <t>MEDIUM</t>
        </is>
      </c>
      <c r="I487" s="191" t="n">
        <v>9</v>
      </c>
      <c r="J487" s="191" t="inlineStr">
        <is>
          <t>NO</t>
        </is>
      </c>
      <c r="K487" s="192" t="inlineStr">
        <is>
          <t>https://nvd.nist.gov/vuln/detail/CVE-2026-25323</t>
        </is>
      </c>
      <c r="L487" s="191" t="inlineStr">
        <is>
          <t>2026-02-23 23:48</t>
        </is>
      </c>
      <c r="M487" s="191" t="inlineStr">
        <is>
          <t>CHECK_VENDOR</t>
        </is>
      </c>
      <c r="N487" s="191" t="inlineStr">
        <is>
          <t>See NVD references</t>
        </is>
      </c>
      <c r="O487" s="191" t="inlineStr">
        <is>
          <t>Apply vendor patches</t>
        </is>
      </c>
      <c r="P487" s="191" t="inlineStr">
        <is>
          <t>See CVE details</t>
        </is>
      </c>
      <c r="Q487" s="191" t="inlineStr">
        <is>
          <t>P4</t>
        </is>
      </c>
      <c r="R487" s="191" t="inlineStr">
        <is>
          <t>📅 Schedule patch deployment within 30 days | 🔍 Monitor for exploitation attempts</t>
        </is>
      </c>
      <c r="S487" s="191" t="inlineStr">
        <is>
          <t>CVE - IP enrichment n/a</t>
        </is>
      </c>
      <c r="T487" s="191" t="n">
        <v>0</v>
      </c>
      <c r="U487" s="191" t="n">
        <v>0</v>
      </c>
      <c r="V487" s="191" t="inlineStr">
        <is>
          <t>T1190:Exploit Public-Facing Application</t>
        </is>
      </c>
      <c r="W487" s="191" t="n">
        <v>1</v>
      </c>
      <c r="X487" s="191" t="inlineStr">
        <is>
          <t>LOW (40%)</t>
        </is>
      </c>
      <c r="Y487" s="191" t="inlineStr">
        <is>
          <t>UNLIKELY</t>
        </is>
      </c>
      <c r="Z487" s="191" t="inlineStr">
        <is>
          <t>CHECK_VENDOR</t>
        </is>
      </c>
      <c r="AA487" s="192" t="inlineStr">
        <is>
          <t>https://nvd.nist.gov/vuln/detail/CVE-2026-25323</t>
        </is>
      </c>
      <c r="AB487" s="191" t="inlineStr">
        <is>
          <t>NONE</t>
        </is>
      </c>
      <c r="AC487" s="191" t="n">
        <v>0</v>
      </c>
      <c r="AD487" s="191" t="n"/>
    </row>
    <row r="488">
      <c r="A488" s="191" t="inlineStr">
        <is>
          <t>CVE</t>
        </is>
      </c>
      <c r="B488" s="191" t="inlineStr">
        <is>
          <t>CVE-2026-25324</t>
        </is>
      </c>
      <c r="C488" s="191" t="inlineStr">
        <is>
          <t>Authorization Bypass Through User-Controlled Key vulnerability in ExpressTech Systems Quiz And Survey Master quiz-master-next allows Exploiting Incorrectly Configured Access Control Security Levels.This issue affects Quiz And Survey Master: from n/a through &lt;= 10.3.4.</t>
        </is>
      </c>
      <c r="D488" s="191" t="n">
        <v>5.3</v>
      </c>
      <c r="E488" s="191" t="inlineStr">
        <is>
          <t>MEDIUM</t>
        </is>
      </c>
      <c r="F488" s="191" t="n">
        <v>2</v>
      </c>
      <c r="G488" s="191" t="n">
        <v>2</v>
      </c>
      <c r="H488" s="191" t="inlineStr">
        <is>
          <t>MEDIUM</t>
        </is>
      </c>
      <c r="I488" s="191" t="n">
        <v>9.300000000000001</v>
      </c>
      <c r="J488" s="191" t="inlineStr">
        <is>
          <t>NO</t>
        </is>
      </c>
      <c r="K488" s="192" t="inlineStr">
        <is>
          <t>https://nvd.nist.gov/vuln/detail/CVE-2026-25324</t>
        </is>
      </c>
      <c r="L488" s="191" t="inlineStr">
        <is>
          <t>2026-02-23 23:48</t>
        </is>
      </c>
      <c r="M488" s="191" t="inlineStr">
        <is>
          <t>CHECK_VENDOR</t>
        </is>
      </c>
      <c r="N488" s="191" t="inlineStr">
        <is>
          <t>See NVD references</t>
        </is>
      </c>
      <c r="O488" s="191" t="inlineStr">
        <is>
          <t>Apply vendor patches</t>
        </is>
      </c>
      <c r="P488" s="191" t="inlineStr">
        <is>
          <t>See CVE details</t>
        </is>
      </c>
      <c r="Q488" s="191" t="inlineStr">
        <is>
          <t>P4</t>
        </is>
      </c>
      <c r="R488" s="191" t="inlineStr">
        <is>
          <t>📅 Schedule patch deployment within 30 days | 🔍 Monitor for exploitation attempts</t>
        </is>
      </c>
      <c r="S488" s="191" t="inlineStr">
        <is>
          <t>CVE - IP enrichment n/a</t>
        </is>
      </c>
      <c r="T488" s="191" t="n">
        <v>0</v>
      </c>
      <c r="U488" s="191" t="n">
        <v>0</v>
      </c>
      <c r="V488" s="191" t="inlineStr">
        <is>
          <t>T1190:Exploit Public-Facing Application</t>
        </is>
      </c>
      <c r="W488" s="191" t="n">
        <v>1</v>
      </c>
      <c r="X488" s="191" t="inlineStr">
        <is>
          <t>LOW (40%)</t>
        </is>
      </c>
      <c r="Y488" s="191" t="inlineStr">
        <is>
          <t>UNLIKELY</t>
        </is>
      </c>
      <c r="Z488" s="191" t="inlineStr">
        <is>
          <t>CHECK_VENDOR</t>
        </is>
      </c>
      <c r="AA488" s="192" t="inlineStr">
        <is>
          <t>https://nvd.nist.gov/vuln/detail/CVE-2026-25324</t>
        </is>
      </c>
      <c r="AB488" s="191" t="inlineStr">
        <is>
          <t>NONE</t>
        </is>
      </c>
      <c r="AC488" s="191" t="n">
        <v>0</v>
      </c>
      <c r="AD488" s="191" t="n"/>
    </row>
    <row r="489">
      <c r="A489" s="191" t="inlineStr">
        <is>
          <t>CVE</t>
        </is>
      </c>
      <c r="B489" s="191" t="inlineStr">
        <is>
          <t>CVE-2026-25325</t>
        </is>
      </c>
      <c r="C489" s="191" t="inlineStr">
        <is>
          <t>Exposure of Sensitive System Information to an Unauthorized Control Sphere vulnerability in rtCamp rtMedia for WordPress, BuddyPress and bbPress buddypress-media allows Retrieve Embedded Sensitive Data.This issue affects rtMedia for WordPress, BuddyPress and bbPress: from n/a through &lt;= 4.7.8.</t>
        </is>
      </c>
      <c r="D489" s="191" t="n">
        <v>5.3</v>
      </c>
      <c r="E489" s="191" t="inlineStr">
        <is>
          <t>MEDIUM</t>
        </is>
      </c>
      <c r="F489" s="191" t="n">
        <v>2</v>
      </c>
      <c r="G489" s="191" t="n">
        <v>2</v>
      </c>
      <c r="H489" s="191" t="inlineStr">
        <is>
          <t>MEDIUM</t>
        </is>
      </c>
      <c r="I489" s="191" t="n">
        <v>9.300000000000001</v>
      </c>
      <c r="J489" s="191" t="inlineStr">
        <is>
          <t>NO</t>
        </is>
      </c>
      <c r="K489" s="192" t="inlineStr">
        <is>
          <t>https://nvd.nist.gov/vuln/detail/CVE-2026-25325</t>
        </is>
      </c>
      <c r="L489" s="191" t="inlineStr">
        <is>
          <t>2026-02-23 23:48</t>
        </is>
      </c>
      <c r="M489" s="191" t="inlineStr">
        <is>
          <t>CHECK_VENDOR</t>
        </is>
      </c>
      <c r="N489" s="191" t="inlineStr">
        <is>
          <t>See NVD references</t>
        </is>
      </c>
      <c r="O489" s="191" t="inlineStr">
        <is>
          <t>Apply vendor patches</t>
        </is>
      </c>
      <c r="P489" s="191" t="inlineStr">
        <is>
          <t>See CVE details</t>
        </is>
      </c>
      <c r="Q489" s="191" t="inlineStr">
        <is>
          <t>P4</t>
        </is>
      </c>
      <c r="R489" s="191" t="inlineStr">
        <is>
          <t>📅 Schedule patch deployment within 30 days | 🔍 Monitor for exploitation attempts</t>
        </is>
      </c>
      <c r="S489" s="191" t="inlineStr">
        <is>
          <t>CVE - IP enrichment n/a</t>
        </is>
      </c>
      <c r="T489" s="191" t="n">
        <v>0</v>
      </c>
      <c r="U489" s="191" t="n">
        <v>0</v>
      </c>
      <c r="V489" s="191" t="inlineStr">
        <is>
          <t>T1190:Exploit Public-Facing Application</t>
        </is>
      </c>
      <c r="W489" s="191" t="n">
        <v>1</v>
      </c>
      <c r="X489" s="191" t="inlineStr">
        <is>
          <t>LOW (40%)</t>
        </is>
      </c>
      <c r="Y489" s="191" t="inlineStr">
        <is>
          <t>UNLIKELY</t>
        </is>
      </c>
      <c r="Z489" s="191" t="inlineStr">
        <is>
          <t>CHECK_VENDOR</t>
        </is>
      </c>
      <c r="AA489" s="192" t="inlineStr">
        <is>
          <t>https://nvd.nist.gov/vuln/detail/CVE-2026-25325</t>
        </is>
      </c>
      <c r="AB489" s="191" t="inlineStr">
        <is>
          <t>NONE</t>
        </is>
      </c>
      <c r="AC489" s="191" t="n">
        <v>0</v>
      </c>
      <c r="AD489" s="191" t="n"/>
    </row>
    <row r="490">
      <c r="A490" s="189" t="inlineStr">
        <is>
          <t>CVE</t>
        </is>
      </c>
      <c r="B490" s="189" t="inlineStr">
        <is>
          <t>CVE-2026-25326</t>
        </is>
      </c>
      <c r="C490" s="189" t="inlineStr">
        <is>
          <t>Improper Control of Filename for Include/Require Statement in PHP Program ('PHP Remote File Inclusion') vulnerability in cmsmasters CMSMasters Content Composer cmsmasters-content-composer allows PHP Local File Inclusion.This issue affects CMSMasters Content Composer: from n/a through &lt;= 1.4.5.</t>
        </is>
      </c>
      <c r="D490" s="189" t="n">
        <v>7.5</v>
      </c>
      <c r="E490" s="189" t="inlineStr">
        <is>
          <t>HIGH</t>
        </is>
      </c>
      <c r="F490" s="189" t="n">
        <v>2</v>
      </c>
      <c r="G490" s="189" t="n">
        <v>3</v>
      </c>
      <c r="H490" s="189" t="inlineStr">
        <is>
          <t>HIGH</t>
        </is>
      </c>
      <c r="I490" s="189" t="n">
        <v>13.5</v>
      </c>
      <c r="J490" s="189" t="inlineStr">
        <is>
          <t>NO</t>
        </is>
      </c>
      <c r="K490" s="190" t="inlineStr">
        <is>
          <t>https://nvd.nist.gov/vuln/detail/CVE-2026-25326</t>
        </is>
      </c>
      <c r="L490" s="189" t="inlineStr">
        <is>
          <t>2026-02-23 23:48</t>
        </is>
      </c>
      <c r="M490" s="189" t="inlineStr">
        <is>
          <t>CHECK_VENDOR</t>
        </is>
      </c>
      <c r="N490" s="189" t="inlineStr">
        <is>
          <t>See NVD references</t>
        </is>
      </c>
      <c r="O490" s="189" t="inlineStr">
        <is>
          <t>Apply vendor patches</t>
        </is>
      </c>
      <c r="P490" s="189" t="inlineStr">
        <is>
          <t>See CVE details</t>
        </is>
      </c>
      <c r="Q490" s="189" t="inlineStr">
        <is>
          <t>P3</t>
        </is>
      </c>
      <c r="R490" s="189" t="inlineStr">
        <is>
          <t>🚨 URGENT: Apply vendor patches immediately | 🔒 Isolate affected systems if patch unavailable | 🛡️ Enable additional monitoring/IDS rules</t>
        </is>
      </c>
      <c r="S490" s="189" t="inlineStr">
        <is>
          <t>CVE - IP enrichment n/a</t>
        </is>
      </c>
      <c r="T490" s="189" t="n">
        <v>0</v>
      </c>
      <c r="U490" s="189" t="n">
        <v>0</v>
      </c>
      <c r="V490" s="189" t="inlineStr">
        <is>
          <t>T1190:Exploit Public-Facing Application</t>
        </is>
      </c>
      <c r="W490" s="189" t="n">
        <v>1</v>
      </c>
      <c r="X490" s="189" t="inlineStr">
        <is>
          <t>LOW (40%)</t>
        </is>
      </c>
      <c r="Y490" s="189" t="inlineStr">
        <is>
          <t>UNLIKELY</t>
        </is>
      </c>
      <c r="Z490" s="189" t="inlineStr">
        <is>
          <t>CHECK_VENDOR</t>
        </is>
      </c>
      <c r="AA490" s="190" t="inlineStr">
        <is>
          <t>https://nvd.nist.gov/vuln/detail/CVE-2026-25326</t>
        </is>
      </c>
      <c r="AB490" s="189" t="inlineStr">
        <is>
          <t>NONE</t>
        </is>
      </c>
      <c r="AC490" s="189" t="n">
        <v>0</v>
      </c>
      <c r="AD490" s="189" t="n"/>
    </row>
    <row r="491">
      <c r="A491" s="191" t="inlineStr">
        <is>
          <t>CVE</t>
        </is>
      </c>
      <c r="B491" s="191" t="inlineStr">
        <is>
          <t>CVE-2026-25329</t>
        </is>
      </c>
      <c r="C491" s="191" t="inlineStr">
        <is>
          <t>Missing Authorization vulnerability in ExpressTech Systems Quiz And Survey Master quiz-master-next allows Exploiting Incorrectly Configured Access Control Security Levels.This issue affects Quiz And Survey Master: from n/a through &lt;= 10.3.4.</t>
        </is>
      </c>
      <c r="D491" s="191" t="n">
        <v>5</v>
      </c>
      <c r="E491" s="191" t="inlineStr">
        <is>
          <t>MEDIUM</t>
        </is>
      </c>
      <c r="F491" s="191" t="n">
        <v>2</v>
      </c>
      <c r="G491" s="191" t="n">
        <v>2</v>
      </c>
      <c r="H491" s="191" t="inlineStr">
        <is>
          <t>MEDIUM</t>
        </is>
      </c>
      <c r="I491" s="191" t="n">
        <v>9</v>
      </c>
      <c r="J491" s="191" t="inlineStr">
        <is>
          <t>NO</t>
        </is>
      </c>
      <c r="K491" s="192" t="inlineStr">
        <is>
          <t>https://nvd.nist.gov/vuln/detail/CVE-2026-25329</t>
        </is>
      </c>
      <c r="L491" s="191" t="inlineStr">
        <is>
          <t>2026-02-23 23:48</t>
        </is>
      </c>
      <c r="M491" s="191" t="inlineStr">
        <is>
          <t>CHECK_VENDOR</t>
        </is>
      </c>
      <c r="N491" s="191" t="inlineStr">
        <is>
          <t>See NVD references</t>
        </is>
      </c>
      <c r="O491" s="191" t="inlineStr">
        <is>
          <t>Apply vendor patches</t>
        </is>
      </c>
      <c r="P491" s="191" t="inlineStr">
        <is>
          <t>See CVE details</t>
        </is>
      </c>
      <c r="Q491" s="191" t="inlineStr">
        <is>
          <t>P4</t>
        </is>
      </c>
      <c r="R491" s="191" t="inlineStr">
        <is>
          <t>📅 Schedule patch deployment within 30 days | 🔍 Monitor for exploitation attempts</t>
        </is>
      </c>
      <c r="S491" s="191" t="inlineStr">
        <is>
          <t>CVE - IP enrichment n/a</t>
        </is>
      </c>
      <c r="T491" s="191" t="n">
        <v>0</v>
      </c>
      <c r="U491" s="191" t="n">
        <v>0</v>
      </c>
      <c r="V491" s="191" t="inlineStr">
        <is>
          <t>T1190:Exploit Public-Facing Application</t>
        </is>
      </c>
      <c r="W491" s="191" t="n">
        <v>1</v>
      </c>
      <c r="X491" s="191" t="inlineStr">
        <is>
          <t>LOW (40%)</t>
        </is>
      </c>
      <c r="Y491" s="191" t="inlineStr">
        <is>
          <t>UNLIKELY</t>
        </is>
      </c>
      <c r="Z491" s="191" t="inlineStr">
        <is>
          <t>CHECK_VENDOR</t>
        </is>
      </c>
      <c r="AA491" s="192" t="inlineStr">
        <is>
          <t>https://nvd.nist.gov/vuln/detail/CVE-2026-25329</t>
        </is>
      </c>
      <c r="AB491" s="191" t="inlineStr">
        <is>
          <t>NONE</t>
        </is>
      </c>
      <c r="AC491" s="191" t="n">
        <v>0</v>
      </c>
      <c r="AD491" s="191" t="n"/>
    </row>
    <row r="492">
      <c r="A492" s="191" t="inlineStr">
        <is>
          <t>CVE</t>
        </is>
      </c>
      <c r="B492" s="191" t="inlineStr">
        <is>
          <t>CVE-2026-25330</t>
        </is>
      </c>
      <c r="C492" s="191" t="inlineStr">
        <is>
          <t>Missing Authorization vulnerability in PublishPress PublishPress Authors publishpress-authors allows Exploiting Incorrectly Configured Access Control Security Levels.This issue affects PublishPress Authors: from n/a through &lt;= 4.10.1.</t>
        </is>
      </c>
      <c r="D492" s="191" t="n">
        <v>4.3</v>
      </c>
      <c r="E492" s="191" t="inlineStr">
        <is>
          <t>MEDIUM</t>
        </is>
      </c>
      <c r="F492" s="191" t="n">
        <v>2</v>
      </c>
      <c r="G492" s="191" t="n">
        <v>2</v>
      </c>
      <c r="H492" s="191" t="inlineStr">
        <is>
          <t>MEDIUM</t>
        </is>
      </c>
      <c r="I492" s="191" t="n">
        <v>8.300000000000001</v>
      </c>
      <c r="J492" s="191" t="inlineStr">
        <is>
          <t>NO</t>
        </is>
      </c>
      <c r="K492" s="192" t="inlineStr">
        <is>
          <t>https://nvd.nist.gov/vuln/detail/CVE-2026-25330</t>
        </is>
      </c>
      <c r="L492" s="191" t="inlineStr">
        <is>
          <t>2026-02-23 23:48</t>
        </is>
      </c>
      <c r="M492" s="191" t="inlineStr">
        <is>
          <t>CHECK_VENDOR</t>
        </is>
      </c>
      <c r="N492" s="191" t="inlineStr">
        <is>
          <t>See NVD references</t>
        </is>
      </c>
      <c r="O492" s="191" t="inlineStr">
        <is>
          <t>Apply vendor patches</t>
        </is>
      </c>
      <c r="P492" s="191" t="inlineStr">
        <is>
          <t>See CVE details</t>
        </is>
      </c>
      <c r="Q492" s="191" t="inlineStr">
        <is>
          <t>P4</t>
        </is>
      </c>
      <c r="R492" s="191" t="inlineStr">
        <is>
          <t>📅 Schedule patch deployment within 30 days | 🔍 Monitor for exploitation attempts</t>
        </is>
      </c>
      <c r="S492" s="191" t="inlineStr">
        <is>
          <t>CVE - IP enrichment n/a</t>
        </is>
      </c>
      <c r="T492" s="191" t="n">
        <v>0.0003</v>
      </c>
      <c r="U492" s="191" t="n">
        <v>0.0718</v>
      </c>
      <c r="V492" s="191" t="inlineStr">
        <is>
          <t>T1190:Exploit Public-Facing Application</t>
        </is>
      </c>
      <c r="W492" s="191" t="n">
        <v>1</v>
      </c>
      <c r="X492" s="191" t="inlineStr">
        <is>
          <t>LOW (40%)</t>
        </is>
      </c>
      <c r="Y492" s="191" t="inlineStr">
        <is>
          <t>UNLIKELY</t>
        </is>
      </c>
      <c r="Z492" s="191" t="inlineStr">
        <is>
          <t>CHECK_VENDOR</t>
        </is>
      </c>
      <c r="AA492" s="192" t="inlineStr">
        <is>
          <t>https://nvd.nist.gov/vuln/detail/CVE-2026-25330</t>
        </is>
      </c>
      <c r="AB492" s="191" t="inlineStr">
        <is>
          <t>NONE</t>
        </is>
      </c>
      <c r="AC492" s="191" t="n">
        <v>0</v>
      </c>
      <c r="AD492" s="191" t="n"/>
    </row>
    <row r="493">
      <c r="A493" s="191" t="inlineStr">
        <is>
          <t>CVE</t>
        </is>
      </c>
      <c r="B493" s="191" t="inlineStr">
        <is>
          <t>CVE-2026-25331</t>
        </is>
      </c>
      <c r="C493" s="191" t="inlineStr">
        <is>
          <t>Improper Neutralization of Input During Web Page Generation ('Cross-site Scripting') vulnerability in Melapress WP Activity Log wp-security-audit-log allows DOM-Based XSS.This issue affects WP Activity Log: from n/a through &lt;= 5.5.4.</t>
        </is>
      </c>
      <c r="D493" s="191" t="n">
        <v>5</v>
      </c>
      <c r="E493" s="191" t="inlineStr">
        <is>
          <t>MEDIUM</t>
        </is>
      </c>
      <c r="F493" s="191" t="n">
        <v>2</v>
      </c>
      <c r="G493" s="191" t="n">
        <v>2</v>
      </c>
      <c r="H493" s="191" t="inlineStr">
        <is>
          <t>MEDIUM</t>
        </is>
      </c>
      <c r="I493" s="191" t="n">
        <v>9</v>
      </c>
      <c r="J493" s="191" t="inlineStr">
        <is>
          <t>NO</t>
        </is>
      </c>
      <c r="K493" s="192" t="inlineStr">
        <is>
          <t>https://nvd.nist.gov/vuln/detail/CVE-2026-25331</t>
        </is>
      </c>
      <c r="L493" s="191" t="inlineStr">
        <is>
          <t>2026-02-23 23:48</t>
        </is>
      </c>
      <c r="M493" s="191" t="inlineStr">
        <is>
          <t>CHECK_VENDOR</t>
        </is>
      </c>
      <c r="N493" s="191" t="inlineStr">
        <is>
          <t>See NVD references</t>
        </is>
      </c>
      <c r="O493" s="191" t="inlineStr">
        <is>
          <t>Apply vendor patches</t>
        </is>
      </c>
      <c r="P493" s="191" t="inlineStr">
        <is>
          <t>See CVE details</t>
        </is>
      </c>
      <c r="Q493" s="191" t="inlineStr">
        <is>
          <t>P4</t>
        </is>
      </c>
      <c r="R493" s="191" t="inlineStr">
        <is>
          <t>📅 Schedule patch deployment within 30 days | 🔍 Monitor for exploitation attempts</t>
        </is>
      </c>
      <c r="S493" s="191" t="inlineStr">
        <is>
          <t>CVE - IP enrichment n/a</t>
        </is>
      </c>
      <c r="T493" s="191" t="n">
        <v>0</v>
      </c>
      <c r="U493" s="191" t="n">
        <v>0</v>
      </c>
      <c r="V493" s="191" t="inlineStr">
        <is>
          <t>T1189:Drive-by Compromise</t>
        </is>
      </c>
      <c r="W493" s="191" t="n">
        <v>1</v>
      </c>
      <c r="X493" s="191" t="inlineStr">
        <is>
          <t>LOW (40%)</t>
        </is>
      </c>
      <c r="Y493" s="191" t="inlineStr">
        <is>
          <t>UNLIKELY</t>
        </is>
      </c>
      <c r="Z493" s="191" t="inlineStr">
        <is>
          <t>CHECK_VENDOR</t>
        </is>
      </c>
      <c r="AA493" s="192" t="inlineStr">
        <is>
          <t>https://nvd.nist.gov/vuln/detail/CVE-2026-25331</t>
        </is>
      </c>
      <c r="AB493" s="191" t="inlineStr">
        <is>
          <t>NONE</t>
        </is>
      </c>
      <c r="AC493" s="191" t="n">
        <v>0</v>
      </c>
      <c r="AD493" s="191" t="n"/>
    </row>
    <row r="494">
      <c r="A494" s="191" t="inlineStr">
        <is>
          <t>CVE</t>
        </is>
      </c>
      <c r="B494" s="191" t="inlineStr">
        <is>
          <t>CVE-2026-25332</t>
        </is>
      </c>
      <c r="C494" s="191" t="inlineStr">
        <is>
          <t>Missing Authorization vulnerability in Fahad Mahmood Endless Posts Navigation endless-posts-navigation allows Exploiting Incorrectly Configured Access Control Security Levels.This issue affects Endless Posts Navigation: from n/a through &lt;= 2.2.9.</t>
        </is>
      </c>
      <c r="D494" s="191" t="n">
        <v>5.3</v>
      </c>
      <c r="E494" s="191" t="inlineStr">
        <is>
          <t>MEDIUM</t>
        </is>
      </c>
      <c r="F494" s="191" t="n">
        <v>2</v>
      </c>
      <c r="G494" s="191" t="n">
        <v>2</v>
      </c>
      <c r="H494" s="191" t="inlineStr">
        <is>
          <t>MEDIUM</t>
        </is>
      </c>
      <c r="I494" s="191" t="n">
        <v>9.300000000000001</v>
      </c>
      <c r="J494" s="191" t="inlineStr">
        <is>
          <t>NO</t>
        </is>
      </c>
      <c r="K494" s="192" t="inlineStr">
        <is>
          <t>https://nvd.nist.gov/vuln/detail/CVE-2026-25332</t>
        </is>
      </c>
      <c r="L494" s="191" t="inlineStr">
        <is>
          <t>2026-02-23 23:48</t>
        </is>
      </c>
      <c r="M494" s="191" t="inlineStr">
        <is>
          <t>CHECK_VENDOR</t>
        </is>
      </c>
      <c r="N494" s="191" t="inlineStr">
        <is>
          <t>See NVD references</t>
        </is>
      </c>
      <c r="O494" s="191" t="inlineStr">
        <is>
          <t>Apply vendor patches</t>
        </is>
      </c>
      <c r="P494" s="191" t="inlineStr">
        <is>
          <t>See CVE details</t>
        </is>
      </c>
      <c r="Q494" s="191" t="inlineStr">
        <is>
          <t>P4</t>
        </is>
      </c>
      <c r="R494" s="191" t="inlineStr">
        <is>
          <t>📅 Schedule patch deployment within 30 days | 🔍 Monitor for exploitation attempts</t>
        </is>
      </c>
      <c r="S494" s="191" t="inlineStr">
        <is>
          <t>CVE - IP enrichment n/a</t>
        </is>
      </c>
      <c r="T494" s="191" t="n">
        <v>0</v>
      </c>
      <c r="U494" s="191" t="n">
        <v>0</v>
      </c>
      <c r="V494" s="191" t="inlineStr">
        <is>
          <t>T1190:Exploit Public-Facing Application</t>
        </is>
      </c>
      <c r="W494" s="191" t="n">
        <v>1</v>
      </c>
      <c r="X494" s="191" t="inlineStr">
        <is>
          <t>LOW (40%)</t>
        </is>
      </c>
      <c r="Y494" s="191" t="inlineStr">
        <is>
          <t>UNLIKELY</t>
        </is>
      </c>
      <c r="Z494" s="191" t="inlineStr">
        <is>
          <t>CHECK_VENDOR</t>
        </is>
      </c>
      <c r="AA494" s="192" t="inlineStr">
        <is>
          <t>https://nvd.nist.gov/vuln/detail/CVE-2026-25332</t>
        </is>
      </c>
      <c r="AB494" s="191" t="inlineStr">
        <is>
          <t>NONE</t>
        </is>
      </c>
      <c r="AC494" s="191" t="n">
        <v>0</v>
      </c>
      <c r="AD494" s="191" t="n"/>
    </row>
    <row r="495">
      <c r="A495" s="191" t="inlineStr">
        <is>
          <t>CVE</t>
        </is>
      </c>
      <c r="B495" s="191" t="inlineStr">
        <is>
          <t>CVE-2026-25333</t>
        </is>
      </c>
      <c r="C495" s="191" t="inlineStr">
        <is>
          <t>Missing Authorization vulnerability in peregrinethemes Shopwell shopwell allows Exploiting Incorrectly Configured Access Control Security Levels.This issue affects Shopwell: from n/a through &lt;= 1.0.11.</t>
        </is>
      </c>
      <c r="D495" s="191" t="n">
        <v>5.3</v>
      </c>
      <c r="E495" s="191" t="inlineStr">
        <is>
          <t>MEDIUM</t>
        </is>
      </c>
      <c r="F495" s="191" t="n">
        <v>2</v>
      </c>
      <c r="G495" s="191" t="n">
        <v>2</v>
      </c>
      <c r="H495" s="191" t="inlineStr">
        <is>
          <t>MEDIUM</t>
        </is>
      </c>
      <c r="I495" s="191" t="n">
        <v>9.300000000000001</v>
      </c>
      <c r="J495" s="191" t="inlineStr">
        <is>
          <t>NO</t>
        </is>
      </c>
      <c r="K495" s="192" t="inlineStr">
        <is>
          <t>https://nvd.nist.gov/vuln/detail/CVE-2026-25333</t>
        </is>
      </c>
      <c r="L495" s="191" t="inlineStr">
        <is>
          <t>2026-02-23 23:48</t>
        </is>
      </c>
      <c r="M495" s="191" t="inlineStr">
        <is>
          <t>CHECK_VENDOR</t>
        </is>
      </c>
      <c r="N495" s="191" t="inlineStr">
        <is>
          <t>See NVD references</t>
        </is>
      </c>
      <c r="O495" s="191" t="inlineStr">
        <is>
          <t>Apply vendor patches</t>
        </is>
      </c>
      <c r="P495" s="191" t="inlineStr">
        <is>
          <t>See CVE details</t>
        </is>
      </c>
      <c r="Q495" s="191" t="inlineStr">
        <is>
          <t>P4</t>
        </is>
      </c>
      <c r="R495" s="191" t="inlineStr">
        <is>
          <t>📅 Schedule patch deployment within 30 days | 🔍 Monitor for exploitation attempts</t>
        </is>
      </c>
      <c r="S495" s="191" t="inlineStr">
        <is>
          <t>CVE - IP enrichment n/a</t>
        </is>
      </c>
      <c r="T495" s="191" t="n">
        <v>0</v>
      </c>
      <c r="U495" s="191" t="n">
        <v>0</v>
      </c>
      <c r="V495" s="191" t="inlineStr">
        <is>
          <t>T1190:Exploit Public-Facing Application</t>
        </is>
      </c>
      <c r="W495" s="191" t="n">
        <v>1</v>
      </c>
      <c r="X495" s="191" t="inlineStr">
        <is>
          <t>LOW (40%)</t>
        </is>
      </c>
      <c r="Y495" s="191" t="inlineStr">
        <is>
          <t>UNLIKELY</t>
        </is>
      </c>
      <c r="Z495" s="191" t="inlineStr">
        <is>
          <t>CHECK_VENDOR</t>
        </is>
      </c>
      <c r="AA495" s="192" t="inlineStr">
        <is>
          <t>https://nvd.nist.gov/vuln/detail/CVE-2026-25333</t>
        </is>
      </c>
      <c r="AB495" s="191" t="inlineStr">
        <is>
          <t>NONE</t>
        </is>
      </c>
      <c r="AC495" s="191" t="n">
        <v>0</v>
      </c>
      <c r="AD495" s="191" t="n"/>
    </row>
    <row r="496">
      <c r="A496" s="191" t="inlineStr">
        <is>
          <t>CVE</t>
        </is>
      </c>
      <c r="B496" s="191" t="inlineStr">
        <is>
          <t>CVE-2026-25335</t>
        </is>
      </c>
      <c r="C496" s="191" t="inlineStr">
        <is>
          <t>Missing Authorization vulnerability in Ays Pro Secure Copy Content Protection and Content Locking secure-copy-content-protection allows Exploiting Incorrectly Configured Access Control Security Levels.This issue affects Secure Copy Content Protection and Content Locking: from n/a through &lt;= 5.0.0.</t>
        </is>
      </c>
      <c r="D496" s="191" t="n">
        <v>4.3</v>
      </c>
      <c r="E496" s="191" t="inlineStr">
        <is>
          <t>MEDIUM</t>
        </is>
      </c>
      <c r="F496" s="191" t="n">
        <v>2</v>
      </c>
      <c r="G496" s="191" t="n">
        <v>2</v>
      </c>
      <c r="H496" s="191" t="inlineStr">
        <is>
          <t>MEDIUM</t>
        </is>
      </c>
      <c r="I496" s="191" t="n">
        <v>8.300000000000001</v>
      </c>
      <c r="J496" s="191" t="inlineStr">
        <is>
          <t>NO</t>
        </is>
      </c>
      <c r="K496" s="192" t="inlineStr">
        <is>
          <t>https://nvd.nist.gov/vuln/detail/CVE-2026-25335</t>
        </is>
      </c>
      <c r="L496" s="191" t="inlineStr">
        <is>
          <t>2026-02-23 23:48</t>
        </is>
      </c>
      <c r="M496" s="191" t="inlineStr">
        <is>
          <t>CHECK_VENDOR</t>
        </is>
      </c>
      <c r="N496" s="191" t="inlineStr">
        <is>
          <t>See NVD references</t>
        </is>
      </c>
      <c r="O496" s="191" t="inlineStr">
        <is>
          <t>Apply vendor patches</t>
        </is>
      </c>
      <c r="P496" s="191" t="inlineStr">
        <is>
          <t>See CVE details</t>
        </is>
      </c>
      <c r="Q496" s="191" t="inlineStr">
        <is>
          <t>P4</t>
        </is>
      </c>
      <c r="R496" s="191" t="inlineStr">
        <is>
          <t>📅 Schedule patch deployment within 30 days | 🔍 Monitor for exploitation attempts</t>
        </is>
      </c>
      <c r="S496" s="191" t="inlineStr">
        <is>
          <t>CVE - IP enrichment n/a</t>
        </is>
      </c>
      <c r="T496" s="191" t="n">
        <v>0</v>
      </c>
      <c r="U496" s="191" t="n">
        <v>0</v>
      </c>
      <c r="V496" s="191" t="inlineStr">
        <is>
          <t>T1190:Exploit Public-Facing Application</t>
        </is>
      </c>
      <c r="W496" s="191" t="n">
        <v>1</v>
      </c>
      <c r="X496" s="191" t="inlineStr">
        <is>
          <t>LOW (40%)</t>
        </is>
      </c>
      <c r="Y496" s="191" t="inlineStr">
        <is>
          <t>UNLIKELY</t>
        </is>
      </c>
      <c r="Z496" s="191" t="inlineStr">
        <is>
          <t>CHECK_VENDOR</t>
        </is>
      </c>
      <c r="AA496" s="192" t="inlineStr">
        <is>
          <t>https://nvd.nist.gov/vuln/detail/CVE-2026-25335</t>
        </is>
      </c>
      <c r="AB496" s="191" t="inlineStr">
        <is>
          <t>NONE</t>
        </is>
      </c>
      <c r="AC496" s="191" t="n">
        <v>0</v>
      </c>
      <c r="AD496" s="191" t="n"/>
    </row>
    <row r="497">
      <c r="A497" s="191" t="inlineStr">
        <is>
          <t>CVE</t>
        </is>
      </c>
      <c r="B497" s="191" t="inlineStr">
        <is>
          <t>CVE-2026-25336</t>
        </is>
      </c>
      <c r="C497" s="191" t="inlineStr">
        <is>
          <t>Missing Authorization vulnerability in wpcoachify Coachify coachify allows Exploiting Incorrectly Configured Access Control Security Levels.This issue affects Coachify: from n/a through &lt;= 1.1.5.</t>
        </is>
      </c>
      <c r="D497" s="191" t="n">
        <v>5.3</v>
      </c>
      <c r="E497" s="191" t="inlineStr">
        <is>
          <t>MEDIUM</t>
        </is>
      </c>
      <c r="F497" s="191" t="n">
        <v>2</v>
      </c>
      <c r="G497" s="191" t="n">
        <v>2</v>
      </c>
      <c r="H497" s="191" t="inlineStr">
        <is>
          <t>MEDIUM</t>
        </is>
      </c>
      <c r="I497" s="191" t="n">
        <v>9.300000000000001</v>
      </c>
      <c r="J497" s="191" t="inlineStr">
        <is>
          <t>NO</t>
        </is>
      </c>
      <c r="K497" s="192" t="inlineStr">
        <is>
          <t>https://nvd.nist.gov/vuln/detail/CVE-2026-25336</t>
        </is>
      </c>
      <c r="L497" s="191" t="inlineStr">
        <is>
          <t>2026-02-23 23:48</t>
        </is>
      </c>
      <c r="M497" s="191" t="inlineStr">
        <is>
          <t>CHECK_VENDOR</t>
        </is>
      </c>
      <c r="N497" s="191" t="inlineStr">
        <is>
          <t>See NVD references</t>
        </is>
      </c>
      <c r="O497" s="191" t="inlineStr">
        <is>
          <t>Apply vendor patches</t>
        </is>
      </c>
      <c r="P497" s="191" t="inlineStr">
        <is>
          <t>See CVE details</t>
        </is>
      </c>
      <c r="Q497" s="191" t="inlineStr">
        <is>
          <t>P4</t>
        </is>
      </c>
      <c r="R497" s="191" t="inlineStr">
        <is>
          <t>📅 Schedule patch deployment within 30 days | 🔍 Monitor for exploitation attempts</t>
        </is>
      </c>
      <c r="S497" s="191" t="inlineStr">
        <is>
          <t>CVE - IP enrichment n/a</t>
        </is>
      </c>
      <c r="T497" s="191" t="n">
        <v>0.0004</v>
      </c>
      <c r="U497" s="191" t="n">
        <v>0.1213</v>
      </c>
      <c r="V497" s="191" t="inlineStr">
        <is>
          <t>T1190:Exploit Public-Facing Application</t>
        </is>
      </c>
      <c r="W497" s="191" t="n">
        <v>1</v>
      </c>
      <c r="X497" s="191" t="inlineStr">
        <is>
          <t>LOW (40%)</t>
        </is>
      </c>
      <c r="Y497" s="191" t="inlineStr">
        <is>
          <t>UNLIKELY</t>
        </is>
      </c>
      <c r="Z497" s="191" t="inlineStr">
        <is>
          <t>CHECK_VENDOR</t>
        </is>
      </c>
      <c r="AA497" s="192" t="inlineStr">
        <is>
          <t>https://nvd.nist.gov/vuln/detail/CVE-2026-25336</t>
        </is>
      </c>
      <c r="AB497" s="191" t="inlineStr">
        <is>
          <t>NONE</t>
        </is>
      </c>
      <c r="AC497" s="191" t="n">
        <v>0</v>
      </c>
      <c r="AD497" s="191" t="n"/>
    </row>
    <row r="498">
      <c r="A498" s="191" t="inlineStr">
        <is>
          <t>CVE</t>
        </is>
      </c>
      <c r="B498" s="191" t="inlineStr">
        <is>
          <t>CVE-2026-25337</t>
        </is>
      </c>
      <c r="C498" s="191" t="inlineStr">
        <is>
          <t>Cross-Site Request Forgery (CSRF) vulnerability in wpcoachify Coachify coachify allows Cross Site Request Forgery.This issue affects Coachify: from n/a through &lt;= 1.1.5.</t>
        </is>
      </c>
      <c r="D498" s="191" t="n">
        <v>5.4</v>
      </c>
      <c r="E498" s="191" t="inlineStr">
        <is>
          <t>MEDIUM</t>
        </is>
      </c>
      <c r="F498" s="191" t="n">
        <v>2</v>
      </c>
      <c r="G498" s="191" t="n">
        <v>2</v>
      </c>
      <c r="H498" s="191" t="inlineStr">
        <is>
          <t>MEDIUM</t>
        </is>
      </c>
      <c r="I498" s="191" t="n">
        <v>9.4</v>
      </c>
      <c r="J498" s="191" t="inlineStr">
        <is>
          <t>NO</t>
        </is>
      </c>
      <c r="K498" s="192" t="inlineStr">
        <is>
          <t>https://nvd.nist.gov/vuln/detail/CVE-2026-25337</t>
        </is>
      </c>
      <c r="L498" s="191" t="inlineStr">
        <is>
          <t>2026-02-23 23:48</t>
        </is>
      </c>
      <c r="M498" s="191" t="inlineStr">
        <is>
          <t>CHECK_VENDOR</t>
        </is>
      </c>
      <c r="N498" s="191" t="inlineStr">
        <is>
          <t>See NVD references</t>
        </is>
      </c>
      <c r="O498" s="191" t="inlineStr">
        <is>
          <t>Apply vendor patches</t>
        </is>
      </c>
      <c r="P498" s="191" t="inlineStr">
        <is>
          <t>See CVE details</t>
        </is>
      </c>
      <c r="Q498" s="191" t="inlineStr">
        <is>
          <t>P4</t>
        </is>
      </c>
      <c r="R498" s="191" t="inlineStr">
        <is>
          <t>📅 Schedule patch deployment within 30 days | 🔍 Monitor for exploitation attempts</t>
        </is>
      </c>
      <c r="S498" s="191" t="inlineStr">
        <is>
          <t>CVE - IP enrichment n/a</t>
        </is>
      </c>
      <c r="T498" s="191" t="n">
        <v>0.0001</v>
      </c>
      <c r="U498" s="191" t="n">
        <v>0.0286</v>
      </c>
      <c r="V498" s="191" t="inlineStr">
        <is>
          <t>T1185:Browser Session Hijacking</t>
        </is>
      </c>
      <c r="W498" s="191" t="n">
        <v>1</v>
      </c>
      <c r="X498" s="191" t="inlineStr">
        <is>
          <t>LOW (40%)</t>
        </is>
      </c>
      <c r="Y498" s="191" t="inlineStr">
        <is>
          <t>UNLIKELY</t>
        </is>
      </c>
      <c r="Z498" s="191" t="inlineStr">
        <is>
          <t>CHECK_VENDOR</t>
        </is>
      </c>
      <c r="AA498" s="192" t="inlineStr">
        <is>
          <t>https://nvd.nist.gov/vuln/detail/CVE-2026-25337</t>
        </is>
      </c>
      <c r="AB498" s="191" t="inlineStr">
        <is>
          <t>NONE</t>
        </is>
      </c>
      <c r="AC498" s="191" t="n">
        <v>0</v>
      </c>
      <c r="AD498" s="191" t="n"/>
    </row>
    <row r="499">
      <c r="A499" s="191" t="inlineStr">
        <is>
          <t>CVE</t>
        </is>
      </c>
      <c r="B499" s="191" t="inlineStr">
        <is>
          <t>CVE-2026-25338</t>
        </is>
      </c>
      <c r="C499" s="191" t="inlineStr">
        <is>
          <t>Missing Authorization vulnerability in Ays Pro AI ChatBot with ChatGPT and Content Generator by AYS ays-chatgpt-assistant allows Exploiting Incorrectly Configured Access Control Security Levels.This issue affects AI ChatBot with ChatGPT and Content Generator by AYS: from n/a through &lt;= 2.7.4.</t>
        </is>
      </c>
      <c r="D499" s="191" t="n">
        <v>5.3</v>
      </c>
      <c r="E499" s="191" t="inlineStr">
        <is>
          <t>MEDIUM</t>
        </is>
      </c>
      <c r="F499" s="191" t="n">
        <v>2</v>
      </c>
      <c r="G499" s="191" t="n">
        <v>2</v>
      </c>
      <c r="H499" s="191" t="inlineStr">
        <is>
          <t>MEDIUM</t>
        </is>
      </c>
      <c r="I499" s="191" t="n">
        <v>9.300000000000001</v>
      </c>
      <c r="J499" s="191" t="inlineStr">
        <is>
          <t>NO</t>
        </is>
      </c>
      <c r="K499" s="192" t="inlineStr">
        <is>
          <t>https://nvd.nist.gov/vuln/detail/CVE-2026-25338</t>
        </is>
      </c>
      <c r="L499" s="191" t="inlineStr">
        <is>
          <t>2026-02-23 23:48</t>
        </is>
      </c>
      <c r="M499" s="191" t="inlineStr">
        <is>
          <t>CHECK_VENDOR</t>
        </is>
      </c>
      <c r="N499" s="191" t="inlineStr">
        <is>
          <t>See NVD references</t>
        </is>
      </c>
      <c r="O499" s="191" t="inlineStr">
        <is>
          <t>Apply vendor patches</t>
        </is>
      </c>
      <c r="P499" s="191" t="inlineStr">
        <is>
          <t>See CVE details</t>
        </is>
      </c>
      <c r="Q499" s="191" t="inlineStr">
        <is>
          <t>P4</t>
        </is>
      </c>
      <c r="R499" s="191" t="inlineStr">
        <is>
          <t>📅 Schedule patch deployment within 30 days | 🔍 Monitor for exploitation attempts</t>
        </is>
      </c>
      <c r="S499" s="191" t="inlineStr">
        <is>
          <t>CVE - IP enrichment n/a</t>
        </is>
      </c>
      <c r="T499" s="191" t="n">
        <v>0</v>
      </c>
      <c r="U499" s="191" t="n">
        <v>0</v>
      </c>
      <c r="V499" s="191" t="inlineStr">
        <is>
          <t>T1190:Exploit Public-Facing Application</t>
        </is>
      </c>
      <c r="W499" s="191" t="n">
        <v>1</v>
      </c>
      <c r="X499" s="191" t="inlineStr">
        <is>
          <t>LOW (40%)</t>
        </is>
      </c>
      <c r="Y499" s="191" t="inlineStr">
        <is>
          <t>UNLIKELY</t>
        </is>
      </c>
      <c r="Z499" s="191" t="inlineStr">
        <is>
          <t>CHECK_VENDOR</t>
        </is>
      </c>
      <c r="AA499" s="192" t="inlineStr">
        <is>
          <t>https://nvd.nist.gov/vuln/detail/CVE-2026-25338</t>
        </is>
      </c>
      <c r="AB499" s="191" t="inlineStr">
        <is>
          <t>NONE</t>
        </is>
      </c>
      <c r="AC499" s="191" t="n">
        <v>0</v>
      </c>
      <c r="AD499" s="191" t="n"/>
    </row>
    <row r="500">
      <c r="A500" s="191" t="inlineStr">
        <is>
          <t>CVE</t>
        </is>
      </c>
      <c r="B500" s="191" t="inlineStr">
        <is>
          <t>CVE-2026-25343</t>
        </is>
      </c>
      <c r="C500" s="191" t="inlineStr">
        <is>
          <t>Improper Neutralization of Input During Web Page Generation ('Cross-site Scripting') vulnerability in VeronaLabs WP SMS wp-sms allows DOM-Based XSS.This issue affects WP SMS: from n/a through &lt;= 7.1.</t>
        </is>
      </c>
      <c r="D500" s="191" t="n">
        <v>5.9</v>
      </c>
      <c r="E500" s="191" t="inlineStr">
        <is>
          <t>MEDIUM</t>
        </is>
      </c>
      <c r="F500" s="191" t="n">
        <v>2</v>
      </c>
      <c r="G500" s="191" t="n">
        <v>2</v>
      </c>
      <c r="H500" s="191" t="inlineStr">
        <is>
          <t>MEDIUM</t>
        </is>
      </c>
      <c r="I500" s="191" t="n">
        <v>9.9</v>
      </c>
      <c r="J500" s="191" t="inlineStr">
        <is>
          <t>NO</t>
        </is>
      </c>
      <c r="K500" s="192" t="inlineStr">
        <is>
          <t>https://nvd.nist.gov/vuln/detail/CVE-2026-25343</t>
        </is>
      </c>
      <c r="L500" s="191" t="inlineStr">
        <is>
          <t>2026-02-23 23:48</t>
        </is>
      </c>
      <c r="M500" s="191" t="inlineStr">
        <is>
          <t>CHECK_VENDOR</t>
        </is>
      </c>
      <c r="N500" s="191" t="inlineStr">
        <is>
          <t>See NVD references</t>
        </is>
      </c>
      <c r="O500" s="191" t="inlineStr">
        <is>
          <t>Apply vendor patches</t>
        </is>
      </c>
      <c r="P500" s="191" t="inlineStr">
        <is>
          <t>See CVE details</t>
        </is>
      </c>
      <c r="Q500" s="191" t="inlineStr">
        <is>
          <t>P4</t>
        </is>
      </c>
      <c r="R500" s="191" t="inlineStr">
        <is>
          <t>📅 Schedule patch deployment within 30 days | 🔍 Monitor for exploitation attempts</t>
        </is>
      </c>
      <c r="S500" s="191" t="inlineStr">
        <is>
          <t>CVE - IP enrichment n/a</t>
        </is>
      </c>
      <c r="T500" s="191" t="n">
        <v>0</v>
      </c>
      <c r="U500" s="191" t="n">
        <v>0</v>
      </c>
      <c r="V500" s="191" t="inlineStr">
        <is>
          <t>T1189:Drive-by Compromise</t>
        </is>
      </c>
      <c r="W500" s="191" t="n">
        <v>1</v>
      </c>
      <c r="X500" s="191" t="inlineStr">
        <is>
          <t>LOW (40%)</t>
        </is>
      </c>
      <c r="Y500" s="191" t="inlineStr">
        <is>
          <t>UNLIKELY</t>
        </is>
      </c>
      <c r="Z500" s="191" t="inlineStr">
        <is>
          <t>CHECK_VENDOR</t>
        </is>
      </c>
      <c r="AA500" s="192" t="inlineStr">
        <is>
          <t>https://nvd.nist.gov/vuln/detail/CVE-2026-25343</t>
        </is>
      </c>
      <c r="AB500" s="191" t="inlineStr">
        <is>
          <t>NONE</t>
        </is>
      </c>
      <c r="AC500" s="191" t="n">
        <v>0</v>
      </c>
      <c r="AD500" s="191" t="n"/>
    </row>
    <row r="501">
      <c r="A501" s="191" t="inlineStr">
        <is>
          <t>CVE</t>
        </is>
      </c>
      <c r="B501" s="191" t="inlineStr">
        <is>
          <t>CVE-2026-25348</t>
        </is>
      </c>
      <c r="C501" s="191" t="inlineStr">
        <is>
          <t>Missing Authorization vulnerability in alttextai Download Alt Text AI alttext-ai allows Exploiting Incorrectly Configured Access Control Security Levels.This issue affects Download Alt Text AI: from n/a through &lt;= 1.10.15.</t>
        </is>
      </c>
      <c r="D501" s="191" t="n">
        <v>5.3</v>
      </c>
      <c r="E501" s="191" t="inlineStr">
        <is>
          <t>MEDIUM</t>
        </is>
      </c>
      <c r="F501" s="191" t="n">
        <v>2</v>
      </c>
      <c r="G501" s="191" t="n">
        <v>2</v>
      </c>
      <c r="H501" s="191" t="inlineStr">
        <is>
          <t>MEDIUM</t>
        </is>
      </c>
      <c r="I501" s="191" t="n">
        <v>9.300000000000001</v>
      </c>
      <c r="J501" s="191" t="inlineStr">
        <is>
          <t>NO</t>
        </is>
      </c>
      <c r="K501" s="192" t="inlineStr">
        <is>
          <t>https://nvd.nist.gov/vuln/detail/CVE-2026-25348</t>
        </is>
      </c>
      <c r="L501" s="191" t="inlineStr">
        <is>
          <t>2026-02-23 23:48</t>
        </is>
      </c>
      <c r="M501" s="191" t="inlineStr">
        <is>
          <t>CHECK_VENDOR</t>
        </is>
      </c>
      <c r="N501" s="191" t="inlineStr">
        <is>
          <t>See NVD references</t>
        </is>
      </c>
      <c r="O501" s="191" t="inlineStr">
        <is>
          <t>Apply vendor patches</t>
        </is>
      </c>
      <c r="P501" s="191" t="inlineStr">
        <is>
          <t>See CVE details</t>
        </is>
      </c>
      <c r="Q501" s="191" t="inlineStr">
        <is>
          <t>P4</t>
        </is>
      </c>
      <c r="R501" s="191" t="inlineStr">
        <is>
          <t>📅 Schedule patch deployment within 30 days | 🔍 Monitor for exploitation attempts</t>
        </is>
      </c>
      <c r="S501" s="191" t="inlineStr">
        <is>
          <t>CVE - IP enrichment n/a</t>
        </is>
      </c>
      <c r="T501" s="191" t="n">
        <v>0</v>
      </c>
      <c r="U501" s="191" t="n">
        <v>0</v>
      </c>
      <c r="V501" s="191" t="inlineStr">
        <is>
          <t>T1190:Exploit Public-Facing Application</t>
        </is>
      </c>
      <c r="W501" s="191" t="n">
        <v>1</v>
      </c>
      <c r="X501" s="191" t="inlineStr">
        <is>
          <t>LOW (40%)</t>
        </is>
      </c>
      <c r="Y501" s="191" t="inlineStr">
        <is>
          <t>UNLIKELY</t>
        </is>
      </c>
      <c r="Z501" s="191" t="inlineStr">
        <is>
          <t>CHECK_VENDOR</t>
        </is>
      </c>
      <c r="AA501" s="192" t="inlineStr">
        <is>
          <t>https://nvd.nist.gov/vuln/detail/CVE-2026-25348</t>
        </is>
      </c>
      <c r="AB501" s="191" t="inlineStr">
        <is>
          <t>NONE</t>
        </is>
      </c>
      <c r="AC501" s="191" t="n">
        <v>0</v>
      </c>
      <c r="AD501" s="191" t="n"/>
    </row>
    <row r="502">
      <c r="A502" s="191" t="inlineStr">
        <is>
          <t>CVE</t>
        </is>
      </c>
      <c r="B502" s="191" t="inlineStr">
        <is>
          <t>CVE-2026-25362</t>
        </is>
      </c>
      <c r="C502" s="191" t="inlineStr">
        <is>
          <t>Improper Neutralization of Input During Web Page Generation ('Cross-site Scripting') vulnerability in FooPlugins FooGallery foogallery allows Stored XSS.This issue affects FooGallery: from n/a through &lt;= 3.1.11.</t>
        </is>
      </c>
      <c r="D502" s="191" t="n">
        <v>5.9</v>
      </c>
      <c r="E502" s="191" t="inlineStr">
        <is>
          <t>MEDIUM</t>
        </is>
      </c>
      <c r="F502" s="191" t="n">
        <v>2</v>
      </c>
      <c r="G502" s="191" t="n">
        <v>2</v>
      </c>
      <c r="H502" s="191" t="inlineStr">
        <is>
          <t>MEDIUM</t>
        </is>
      </c>
      <c r="I502" s="191" t="n">
        <v>9.9</v>
      </c>
      <c r="J502" s="191" t="inlineStr">
        <is>
          <t>NO</t>
        </is>
      </c>
      <c r="K502" s="192" t="inlineStr">
        <is>
          <t>https://nvd.nist.gov/vuln/detail/CVE-2026-25362</t>
        </is>
      </c>
      <c r="L502" s="191" t="inlineStr">
        <is>
          <t>2026-02-23 23:48</t>
        </is>
      </c>
      <c r="M502" s="191" t="inlineStr">
        <is>
          <t>CHECK_VENDOR</t>
        </is>
      </c>
      <c r="N502" s="191" t="inlineStr">
        <is>
          <t>See NVD references</t>
        </is>
      </c>
      <c r="O502" s="191" t="inlineStr">
        <is>
          <t>Apply vendor patches</t>
        </is>
      </c>
      <c r="P502" s="191" t="inlineStr">
        <is>
          <t>See CVE details</t>
        </is>
      </c>
      <c r="Q502" s="191" t="inlineStr">
        <is>
          <t>P4</t>
        </is>
      </c>
      <c r="R502" s="191" t="inlineStr">
        <is>
          <t>📅 Schedule patch deployment within 30 days | 🔍 Monitor for exploitation attempts</t>
        </is>
      </c>
      <c r="S502" s="191" t="inlineStr">
        <is>
          <t>CVE - IP enrichment n/a</t>
        </is>
      </c>
      <c r="T502" s="191" t="n">
        <v>0</v>
      </c>
      <c r="U502" s="191" t="n">
        <v>0</v>
      </c>
      <c r="V502" s="191" t="inlineStr">
        <is>
          <t>T1189:Drive-by Compromise</t>
        </is>
      </c>
      <c r="W502" s="191" t="n">
        <v>1</v>
      </c>
      <c r="X502" s="191" t="inlineStr">
        <is>
          <t>LOW (40%)</t>
        </is>
      </c>
      <c r="Y502" s="191" t="inlineStr">
        <is>
          <t>UNLIKELY</t>
        </is>
      </c>
      <c r="Z502" s="191" t="inlineStr">
        <is>
          <t>CHECK_VENDOR</t>
        </is>
      </c>
      <c r="AA502" s="192" t="inlineStr">
        <is>
          <t>https://nvd.nist.gov/vuln/detail/CVE-2026-25362</t>
        </is>
      </c>
      <c r="AB502" s="191" t="inlineStr">
        <is>
          <t>NONE</t>
        </is>
      </c>
      <c r="AC502" s="191" t="n">
        <v>0</v>
      </c>
      <c r="AD502" s="191" t="n"/>
    </row>
    <row r="503">
      <c r="A503" s="191" t="inlineStr">
        <is>
          <t>CVE</t>
        </is>
      </c>
      <c r="B503" s="191" t="inlineStr">
        <is>
          <t>CVE-2026-25363</t>
        </is>
      </c>
      <c r="C503" s="191" t="inlineStr">
        <is>
          <t>Missing Authorization vulnerability in FooPlugins FooGallery foogallery allows Exploiting Incorrectly Configured Access Control Security Levels.This issue affects FooGallery: from n/a through &lt;= 3.1.11.</t>
        </is>
      </c>
      <c r="D503" s="191" t="n">
        <v>5</v>
      </c>
      <c r="E503" s="191" t="inlineStr">
        <is>
          <t>MEDIUM</t>
        </is>
      </c>
      <c r="F503" s="191" t="n">
        <v>2</v>
      </c>
      <c r="G503" s="191" t="n">
        <v>2</v>
      </c>
      <c r="H503" s="191" t="inlineStr">
        <is>
          <t>MEDIUM</t>
        </is>
      </c>
      <c r="I503" s="191" t="n">
        <v>9</v>
      </c>
      <c r="J503" s="191" t="inlineStr">
        <is>
          <t>NO</t>
        </is>
      </c>
      <c r="K503" s="192" t="inlineStr">
        <is>
          <t>https://nvd.nist.gov/vuln/detail/CVE-2026-25363</t>
        </is>
      </c>
      <c r="L503" s="191" t="inlineStr">
        <is>
          <t>2026-02-23 23:48</t>
        </is>
      </c>
      <c r="M503" s="191" t="inlineStr">
        <is>
          <t>CHECK_VENDOR</t>
        </is>
      </c>
      <c r="N503" s="191" t="inlineStr">
        <is>
          <t>See NVD references</t>
        </is>
      </c>
      <c r="O503" s="191" t="inlineStr">
        <is>
          <t>Apply vendor patches</t>
        </is>
      </c>
      <c r="P503" s="191" t="inlineStr">
        <is>
          <t>See CVE details</t>
        </is>
      </c>
      <c r="Q503" s="191" t="inlineStr">
        <is>
          <t>P4</t>
        </is>
      </c>
      <c r="R503" s="191" t="inlineStr">
        <is>
          <t>📅 Schedule patch deployment within 30 days | 🔍 Monitor for exploitation attempts</t>
        </is>
      </c>
      <c r="S503" s="191" t="inlineStr">
        <is>
          <t>CVE - IP enrichment n/a</t>
        </is>
      </c>
      <c r="T503" s="191" t="n">
        <v>0</v>
      </c>
      <c r="U503" s="191" t="n">
        <v>0</v>
      </c>
      <c r="V503" s="191" t="inlineStr">
        <is>
          <t>T1190:Exploit Public-Facing Application</t>
        </is>
      </c>
      <c r="W503" s="191" t="n">
        <v>1</v>
      </c>
      <c r="X503" s="191" t="inlineStr">
        <is>
          <t>LOW (40%)</t>
        </is>
      </c>
      <c r="Y503" s="191" t="inlineStr">
        <is>
          <t>UNLIKELY</t>
        </is>
      </c>
      <c r="Z503" s="191" t="inlineStr">
        <is>
          <t>CHECK_VENDOR</t>
        </is>
      </c>
      <c r="AA503" s="192" t="inlineStr">
        <is>
          <t>https://nvd.nist.gov/vuln/detail/CVE-2026-25363</t>
        </is>
      </c>
      <c r="AB503" s="191" t="inlineStr">
        <is>
          <t>NONE</t>
        </is>
      </c>
      <c r="AC503" s="191" t="n">
        <v>0</v>
      </c>
      <c r="AD503" s="191" t="n"/>
    </row>
    <row r="504">
      <c r="A504" s="191" t="inlineStr">
        <is>
          <t>CVE</t>
        </is>
      </c>
      <c r="B504" s="191" t="inlineStr">
        <is>
          <t>CVE-2026-25364</t>
        </is>
      </c>
      <c r="C504" s="191" t="inlineStr">
        <is>
          <t>Missing Authorization vulnerability in BoldGrid Client Invoicing by Sprout Invoices sprout-invoices allows Exploiting Incorrectly Configured Access Control Security Levels.This issue affects Client Invoicing by Sprout Invoices: from n/a through &lt;= 20.8.8.</t>
        </is>
      </c>
      <c r="D504" s="191" t="n">
        <v>5.3</v>
      </c>
      <c r="E504" s="191" t="inlineStr">
        <is>
          <t>MEDIUM</t>
        </is>
      </c>
      <c r="F504" s="191" t="n">
        <v>2</v>
      </c>
      <c r="G504" s="191" t="n">
        <v>2</v>
      </c>
      <c r="H504" s="191" t="inlineStr">
        <is>
          <t>MEDIUM</t>
        </is>
      </c>
      <c r="I504" s="191" t="n">
        <v>9.300000000000001</v>
      </c>
      <c r="J504" s="191" t="inlineStr">
        <is>
          <t>NO</t>
        </is>
      </c>
      <c r="K504" s="192" t="inlineStr">
        <is>
          <t>https://nvd.nist.gov/vuln/detail/CVE-2026-25364</t>
        </is>
      </c>
      <c r="L504" s="191" t="inlineStr">
        <is>
          <t>2026-02-23 23:48</t>
        </is>
      </c>
      <c r="M504" s="191" t="inlineStr">
        <is>
          <t>CHECK_VENDOR</t>
        </is>
      </c>
      <c r="N504" s="191" t="inlineStr">
        <is>
          <t>See NVD references</t>
        </is>
      </c>
      <c r="O504" s="191" t="inlineStr">
        <is>
          <t>Apply vendor patches</t>
        </is>
      </c>
      <c r="P504" s="191" t="inlineStr">
        <is>
          <t>See CVE details</t>
        </is>
      </c>
      <c r="Q504" s="191" t="inlineStr">
        <is>
          <t>P4</t>
        </is>
      </c>
      <c r="R504" s="191" t="inlineStr">
        <is>
          <t>📅 Schedule patch deployment within 30 days | 🔍 Monitor for exploitation attempts</t>
        </is>
      </c>
      <c r="S504" s="191" t="inlineStr">
        <is>
          <t>CVE - IP enrichment n/a</t>
        </is>
      </c>
      <c r="T504" s="191" t="n">
        <v>0</v>
      </c>
      <c r="U504" s="191" t="n">
        <v>0</v>
      </c>
      <c r="V504" s="191" t="inlineStr">
        <is>
          <t>T1190:Exploit Public-Facing Application</t>
        </is>
      </c>
      <c r="W504" s="191" t="n">
        <v>1</v>
      </c>
      <c r="X504" s="191" t="inlineStr">
        <is>
          <t>LOW (40%)</t>
        </is>
      </c>
      <c r="Y504" s="191" t="inlineStr">
        <is>
          <t>UNLIKELY</t>
        </is>
      </c>
      <c r="Z504" s="191" t="inlineStr">
        <is>
          <t>CHECK_VENDOR</t>
        </is>
      </c>
      <c r="AA504" s="192" t="inlineStr">
        <is>
          <t>https://nvd.nist.gov/vuln/detail/CVE-2026-25364</t>
        </is>
      </c>
      <c r="AB504" s="191" t="inlineStr">
        <is>
          <t>NONE</t>
        </is>
      </c>
      <c r="AC504" s="191" t="n">
        <v>0</v>
      </c>
      <c r="AD504" s="191" t="n"/>
    </row>
    <row r="505">
      <c r="A505" s="191" t="inlineStr">
        <is>
          <t>CVE</t>
        </is>
      </c>
      <c r="B505" s="191" t="inlineStr">
        <is>
          <t>CVE-2026-25367</t>
        </is>
      </c>
      <c r="C505" s="191" t="inlineStr">
        <is>
          <t>Missing Authorization vulnerability in NooTheme CitiLights noo-citilights allows Exploiting Incorrectly Configured Access Control Security Levels.This issue affects CitiLights: from n/a through &lt; 3.7.2.</t>
        </is>
      </c>
      <c r="D505" s="191" t="n">
        <v>5.3</v>
      </c>
      <c r="E505" s="191" t="inlineStr">
        <is>
          <t>MEDIUM</t>
        </is>
      </c>
      <c r="F505" s="191" t="n">
        <v>2</v>
      </c>
      <c r="G505" s="191" t="n">
        <v>2</v>
      </c>
      <c r="H505" s="191" t="inlineStr">
        <is>
          <t>MEDIUM</t>
        </is>
      </c>
      <c r="I505" s="191" t="n">
        <v>9.300000000000001</v>
      </c>
      <c r="J505" s="191" t="inlineStr">
        <is>
          <t>NO</t>
        </is>
      </c>
      <c r="K505" s="192" t="inlineStr">
        <is>
          <t>https://nvd.nist.gov/vuln/detail/CVE-2026-25367</t>
        </is>
      </c>
      <c r="L505" s="191" t="inlineStr">
        <is>
          <t>2026-02-23 23:48</t>
        </is>
      </c>
      <c r="M505" s="191" t="inlineStr">
        <is>
          <t>CHECK_VENDOR</t>
        </is>
      </c>
      <c r="N505" s="191" t="inlineStr">
        <is>
          <t>See NVD references</t>
        </is>
      </c>
      <c r="O505" s="191" t="inlineStr">
        <is>
          <t>Apply vendor patches</t>
        </is>
      </c>
      <c r="P505" s="191" t="inlineStr">
        <is>
          <t>See CVE details</t>
        </is>
      </c>
      <c r="Q505" s="191" t="inlineStr">
        <is>
          <t>P4</t>
        </is>
      </c>
      <c r="R505" s="191" t="inlineStr">
        <is>
          <t>📅 Schedule patch deployment within 30 days | 🔍 Monitor for exploitation attempts</t>
        </is>
      </c>
      <c r="S505" s="191" t="inlineStr">
        <is>
          <t>CVE - IP enrichment n/a</t>
        </is>
      </c>
      <c r="T505" s="191" t="n">
        <v>0</v>
      </c>
      <c r="U505" s="191" t="n">
        <v>0</v>
      </c>
      <c r="V505" s="191" t="inlineStr">
        <is>
          <t>T1190:Exploit Public-Facing Application</t>
        </is>
      </c>
      <c r="W505" s="191" t="n">
        <v>1</v>
      </c>
      <c r="X505" s="191" t="inlineStr">
        <is>
          <t>LOW (40%)</t>
        </is>
      </c>
      <c r="Y505" s="191" t="inlineStr">
        <is>
          <t>UNLIKELY</t>
        </is>
      </c>
      <c r="Z505" s="191" t="inlineStr">
        <is>
          <t>CHECK_VENDOR</t>
        </is>
      </c>
      <c r="AA505" s="192" t="inlineStr">
        <is>
          <t>https://nvd.nist.gov/vuln/detail/CVE-2026-25367</t>
        </is>
      </c>
      <c r="AB505" s="191" t="inlineStr">
        <is>
          <t>NONE</t>
        </is>
      </c>
      <c r="AC505" s="191" t="n">
        <v>0</v>
      </c>
      <c r="AD505" s="191" t="n"/>
    </row>
    <row r="506">
      <c r="A506" s="191" t="inlineStr">
        <is>
          <t>CVE</t>
        </is>
      </c>
      <c r="B506" s="191" t="inlineStr">
        <is>
          <t>CVE-2026-25368</t>
        </is>
      </c>
      <c r="C506" s="191" t="inlineStr">
        <is>
          <t>Missing Authorization vulnerability in codepeople Calculated Fields Form calculated-fields-form allows Exploiting Incorrectly Configured Access Control Security Levels.This issue affects Calculated Fields Form: from n/a through &lt;= 5.4.4.1.</t>
        </is>
      </c>
      <c r="D506" s="191" t="n">
        <v>6.5</v>
      </c>
      <c r="E506" s="191" t="inlineStr">
        <is>
          <t>MEDIUM</t>
        </is>
      </c>
      <c r="F506" s="191" t="n">
        <v>2</v>
      </c>
      <c r="G506" s="191" t="n">
        <v>2</v>
      </c>
      <c r="H506" s="191" t="inlineStr">
        <is>
          <t>MEDIUM</t>
        </is>
      </c>
      <c r="I506" s="191" t="n">
        <v>10.5</v>
      </c>
      <c r="J506" s="191" t="inlineStr">
        <is>
          <t>NO</t>
        </is>
      </c>
      <c r="K506" s="192" t="inlineStr">
        <is>
          <t>https://nvd.nist.gov/vuln/detail/CVE-2026-25368</t>
        </is>
      </c>
      <c r="L506" s="191" t="inlineStr">
        <is>
          <t>2026-02-23 23:48</t>
        </is>
      </c>
      <c r="M506" s="191" t="inlineStr">
        <is>
          <t>CHECK_VENDOR</t>
        </is>
      </c>
      <c r="N506" s="191" t="inlineStr">
        <is>
          <t>See NVD references</t>
        </is>
      </c>
      <c r="O506" s="191" t="inlineStr">
        <is>
          <t>Apply vendor patches</t>
        </is>
      </c>
      <c r="P506" s="191" t="inlineStr">
        <is>
          <t>See CVE details</t>
        </is>
      </c>
      <c r="Q506" s="191" t="inlineStr">
        <is>
          <t>P4</t>
        </is>
      </c>
      <c r="R506" s="191" t="inlineStr">
        <is>
          <t>📅 Schedule patch deployment within 30 days | 🔍 Monitor for exploitation attempts</t>
        </is>
      </c>
      <c r="S506" s="191" t="inlineStr">
        <is>
          <t>CVE - IP enrichment n/a</t>
        </is>
      </c>
      <c r="T506" s="191" t="n">
        <v>0</v>
      </c>
      <c r="U506" s="191" t="n">
        <v>0</v>
      </c>
      <c r="V506" s="191" t="inlineStr">
        <is>
          <t>T1190:Exploit Public-Facing Application</t>
        </is>
      </c>
      <c r="W506" s="191" t="n">
        <v>1</v>
      </c>
      <c r="X506" s="191" t="inlineStr">
        <is>
          <t>LOW (40%)</t>
        </is>
      </c>
      <c r="Y506" s="191" t="inlineStr">
        <is>
          <t>UNLIKELY</t>
        </is>
      </c>
      <c r="Z506" s="191" t="inlineStr">
        <is>
          <t>CHECK_VENDOR</t>
        </is>
      </c>
      <c r="AA506" s="192" t="inlineStr">
        <is>
          <t>https://nvd.nist.gov/vuln/detail/CVE-2026-25368</t>
        </is>
      </c>
      <c r="AB506" s="191" t="inlineStr">
        <is>
          <t>NONE</t>
        </is>
      </c>
      <c r="AC506" s="191" t="n">
        <v>0</v>
      </c>
      <c r="AD506" s="191" t="n"/>
    </row>
    <row r="507">
      <c r="A507" s="191" t="inlineStr">
        <is>
          <t>CVE</t>
        </is>
      </c>
      <c r="B507" s="191" t="inlineStr">
        <is>
          <t>CVE-2026-25370</t>
        </is>
      </c>
      <c r="C507" s="191" t="inlineStr">
        <is>
          <t>Missing Authorization vulnerability in AresIT WP Compress wp-compress-image-optimizer allows Exploiting Incorrectly Configured Access Control Security Levels.This issue affects WP Compress: from n/a through &lt;= 6.60.28.</t>
        </is>
      </c>
      <c r="D507" s="191" t="n">
        <v>5</v>
      </c>
      <c r="E507" s="191" t="inlineStr">
        <is>
          <t>MEDIUM</t>
        </is>
      </c>
      <c r="F507" s="191" t="n">
        <v>2</v>
      </c>
      <c r="G507" s="191" t="n">
        <v>2</v>
      </c>
      <c r="H507" s="191" t="inlineStr">
        <is>
          <t>MEDIUM</t>
        </is>
      </c>
      <c r="I507" s="191" t="n">
        <v>9</v>
      </c>
      <c r="J507" s="191" t="inlineStr">
        <is>
          <t>NO</t>
        </is>
      </c>
      <c r="K507" s="192" t="inlineStr">
        <is>
          <t>https://nvd.nist.gov/vuln/detail/CVE-2026-25370</t>
        </is>
      </c>
      <c r="L507" s="191" t="inlineStr">
        <is>
          <t>2026-02-23 23:48</t>
        </is>
      </c>
      <c r="M507" s="191" t="inlineStr">
        <is>
          <t>CHECK_VENDOR</t>
        </is>
      </c>
      <c r="N507" s="191" t="inlineStr">
        <is>
          <t>See NVD references</t>
        </is>
      </c>
      <c r="O507" s="191" t="inlineStr">
        <is>
          <t>Apply vendor patches</t>
        </is>
      </c>
      <c r="P507" s="191" t="inlineStr">
        <is>
          <t>See CVE details</t>
        </is>
      </c>
      <c r="Q507" s="191" t="inlineStr">
        <is>
          <t>P4</t>
        </is>
      </c>
      <c r="R507" s="191" t="inlineStr">
        <is>
          <t>📅 Schedule patch deployment within 30 days | 🔍 Monitor for exploitation attempts</t>
        </is>
      </c>
      <c r="S507" s="191" t="inlineStr">
        <is>
          <t>CVE - IP enrichment n/a</t>
        </is>
      </c>
      <c r="T507" s="191" t="n">
        <v>0.0002</v>
      </c>
      <c r="U507" s="191" t="n">
        <v>0.0381</v>
      </c>
      <c r="V507" s="191" t="inlineStr">
        <is>
          <t>T1190:Exploit Public-Facing Application</t>
        </is>
      </c>
      <c r="W507" s="191" t="n">
        <v>1</v>
      </c>
      <c r="X507" s="191" t="inlineStr">
        <is>
          <t>LOW (40%)</t>
        </is>
      </c>
      <c r="Y507" s="191" t="inlineStr">
        <is>
          <t>UNLIKELY</t>
        </is>
      </c>
      <c r="Z507" s="191" t="inlineStr">
        <is>
          <t>CHECK_VENDOR</t>
        </is>
      </c>
      <c r="AA507" s="192" t="inlineStr">
        <is>
          <t>https://nvd.nist.gov/vuln/detail/CVE-2026-25370</t>
        </is>
      </c>
      <c r="AB507" s="191" t="inlineStr">
        <is>
          <t>NONE</t>
        </is>
      </c>
      <c r="AC507" s="191" t="n">
        <v>0</v>
      </c>
      <c r="AD507" s="191" t="n"/>
    </row>
    <row r="508">
      <c r="A508" s="191" t="inlineStr">
        <is>
          <t>CVE</t>
        </is>
      </c>
      <c r="B508" s="191" t="inlineStr">
        <is>
          <t>CVE-2026-25372</t>
        </is>
      </c>
      <c r="C508" s="191" t="inlineStr">
        <is>
          <t>Missing Authorization vulnerability in Kodezen LLC Academy LMS academy allows Exploiting Incorrectly Configured Access Control Security Levels.This issue affects Academy LMS: from n/a through &lt;= 3.5.3.</t>
        </is>
      </c>
      <c r="D508" s="191" t="n">
        <v>6.5</v>
      </c>
      <c r="E508" s="191" t="inlineStr">
        <is>
          <t>MEDIUM</t>
        </is>
      </c>
      <c r="F508" s="191" t="n">
        <v>2</v>
      </c>
      <c r="G508" s="191" t="n">
        <v>2</v>
      </c>
      <c r="H508" s="191" t="inlineStr">
        <is>
          <t>MEDIUM</t>
        </is>
      </c>
      <c r="I508" s="191" t="n">
        <v>10.5</v>
      </c>
      <c r="J508" s="191" t="inlineStr">
        <is>
          <t>NO</t>
        </is>
      </c>
      <c r="K508" s="192" t="inlineStr">
        <is>
          <t>https://nvd.nist.gov/vuln/detail/CVE-2026-25372</t>
        </is>
      </c>
      <c r="L508" s="191" t="inlineStr">
        <is>
          <t>2026-02-23 23:48</t>
        </is>
      </c>
      <c r="M508" s="191" t="inlineStr">
        <is>
          <t>CHECK_VENDOR</t>
        </is>
      </c>
      <c r="N508" s="191" t="inlineStr">
        <is>
          <t>See NVD references</t>
        </is>
      </c>
      <c r="O508" s="191" t="inlineStr">
        <is>
          <t>Apply vendor patches</t>
        </is>
      </c>
      <c r="P508" s="191" t="inlineStr">
        <is>
          <t>See CVE details</t>
        </is>
      </c>
      <c r="Q508" s="191" t="inlineStr">
        <is>
          <t>P4</t>
        </is>
      </c>
      <c r="R508" s="191" t="inlineStr">
        <is>
          <t>📅 Schedule patch deployment within 30 days | 🔍 Monitor for exploitation attempts</t>
        </is>
      </c>
      <c r="S508" s="191" t="inlineStr">
        <is>
          <t>CVE - IP enrichment n/a</t>
        </is>
      </c>
      <c r="T508" s="191" t="n">
        <v>0</v>
      </c>
      <c r="U508" s="191" t="n">
        <v>0</v>
      </c>
      <c r="V508" s="191" t="inlineStr">
        <is>
          <t>T1190:Exploit Public-Facing Application</t>
        </is>
      </c>
      <c r="W508" s="191" t="n">
        <v>1</v>
      </c>
      <c r="X508" s="191" t="inlineStr">
        <is>
          <t>LOW (40%)</t>
        </is>
      </c>
      <c r="Y508" s="191" t="inlineStr">
        <is>
          <t>UNLIKELY</t>
        </is>
      </c>
      <c r="Z508" s="191" t="inlineStr">
        <is>
          <t>CHECK_VENDOR</t>
        </is>
      </c>
      <c r="AA508" s="192" t="inlineStr">
        <is>
          <t>https://nvd.nist.gov/vuln/detail/CVE-2026-25372</t>
        </is>
      </c>
      <c r="AB508" s="191" t="inlineStr">
        <is>
          <t>NONE</t>
        </is>
      </c>
      <c r="AC508" s="191" t="n">
        <v>0</v>
      </c>
      <c r="AD508" s="191" t="n"/>
    </row>
    <row r="509">
      <c r="A509" s="191" t="inlineStr">
        <is>
          <t>CVE</t>
        </is>
      </c>
      <c r="B509" s="191" t="inlineStr">
        <is>
          <t>CVE-2026-25374</t>
        </is>
      </c>
      <c r="C509" s="191" t="inlineStr">
        <is>
          <t>Missing Authorization vulnerability in raratheme Spa and Salon spa-and-salon allows Exploiting Incorrectly Configured Access Control Security Levels.This issue affects Spa and Salon: from n/a through &lt;= 1.3.2.</t>
        </is>
      </c>
      <c r="D509" s="191" t="n">
        <v>5.3</v>
      </c>
      <c r="E509" s="191" t="inlineStr">
        <is>
          <t>MEDIUM</t>
        </is>
      </c>
      <c r="F509" s="191" t="n">
        <v>2</v>
      </c>
      <c r="G509" s="191" t="n">
        <v>2</v>
      </c>
      <c r="H509" s="191" t="inlineStr">
        <is>
          <t>MEDIUM</t>
        </is>
      </c>
      <c r="I509" s="191" t="n">
        <v>9.300000000000001</v>
      </c>
      <c r="J509" s="191" t="inlineStr">
        <is>
          <t>NO</t>
        </is>
      </c>
      <c r="K509" s="192" t="inlineStr">
        <is>
          <t>https://nvd.nist.gov/vuln/detail/CVE-2026-25374</t>
        </is>
      </c>
      <c r="L509" s="191" t="inlineStr">
        <is>
          <t>2026-02-23 23:48</t>
        </is>
      </c>
      <c r="M509" s="191" t="inlineStr">
        <is>
          <t>CHECK_VENDOR</t>
        </is>
      </c>
      <c r="N509" s="191" t="inlineStr">
        <is>
          <t>See NVD references</t>
        </is>
      </c>
      <c r="O509" s="191" t="inlineStr">
        <is>
          <t>Apply vendor patches</t>
        </is>
      </c>
      <c r="P509" s="191" t="inlineStr">
        <is>
          <t>See CVE details</t>
        </is>
      </c>
      <c r="Q509" s="191" t="inlineStr">
        <is>
          <t>P4</t>
        </is>
      </c>
      <c r="R509" s="191" t="inlineStr">
        <is>
          <t>📅 Schedule patch deployment within 30 days | 🔍 Monitor for exploitation attempts</t>
        </is>
      </c>
      <c r="S509" s="191" t="inlineStr">
        <is>
          <t>CVE - IP enrichment n/a</t>
        </is>
      </c>
      <c r="T509" s="191" t="n">
        <v>0</v>
      </c>
      <c r="U509" s="191" t="n">
        <v>0</v>
      </c>
      <c r="V509" s="191" t="inlineStr">
        <is>
          <t>T1190:Exploit Public-Facing Application</t>
        </is>
      </c>
      <c r="W509" s="191" t="n">
        <v>1</v>
      </c>
      <c r="X509" s="191" t="inlineStr">
        <is>
          <t>LOW (40%)</t>
        </is>
      </c>
      <c r="Y509" s="191" t="inlineStr">
        <is>
          <t>UNLIKELY</t>
        </is>
      </c>
      <c r="Z509" s="191" t="inlineStr">
        <is>
          <t>CHECK_VENDOR</t>
        </is>
      </c>
      <c r="AA509" s="192" t="inlineStr">
        <is>
          <t>https://nvd.nist.gov/vuln/detail/CVE-2026-25374</t>
        </is>
      </c>
      <c r="AB509" s="191" t="inlineStr">
        <is>
          <t>NONE</t>
        </is>
      </c>
      <c r="AC509" s="191" t="n">
        <v>0</v>
      </c>
      <c r="AD509" s="191" t="n"/>
    </row>
    <row r="510">
      <c r="A510" s="191" t="inlineStr">
        <is>
          <t>CVE</t>
        </is>
      </c>
      <c r="B510" s="191" t="inlineStr">
        <is>
          <t>CVE-2026-25375</t>
        </is>
      </c>
      <c r="C510" s="191" t="inlineStr">
        <is>
          <t>Missing Authorization vulnerability in WP Chill Image Photo Gallery Final Tiles Grid final-tiles-grid-gallery-lite allows Exploiting Incorrectly Configured Access Control Security Levels.This issue affects Image Photo Gallery Final Tiles Grid: from n/a through &lt;= 3.6.10.</t>
        </is>
      </c>
      <c r="D510" s="191" t="n">
        <v>4.3</v>
      </c>
      <c r="E510" s="191" t="inlineStr">
        <is>
          <t>MEDIUM</t>
        </is>
      </c>
      <c r="F510" s="191" t="n">
        <v>2</v>
      </c>
      <c r="G510" s="191" t="n">
        <v>2</v>
      </c>
      <c r="H510" s="191" t="inlineStr">
        <is>
          <t>MEDIUM</t>
        </is>
      </c>
      <c r="I510" s="191" t="n">
        <v>8.300000000000001</v>
      </c>
      <c r="J510" s="191" t="inlineStr">
        <is>
          <t>NO</t>
        </is>
      </c>
      <c r="K510" s="192" t="inlineStr">
        <is>
          <t>https://nvd.nist.gov/vuln/detail/CVE-2026-25375</t>
        </is>
      </c>
      <c r="L510" s="191" t="inlineStr">
        <is>
          <t>2026-02-23 23:48</t>
        </is>
      </c>
      <c r="M510" s="191" t="inlineStr">
        <is>
          <t>CHECK_VENDOR</t>
        </is>
      </c>
      <c r="N510" s="191" t="inlineStr">
        <is>
          <t>See NVD references</t>
        </is>
      </c>
      <c r="O510" s="191" t="inlineStr">
        <is>
          <t>Apply vendor patches</t>
        </is>
      </c>
      <c r="P510" s="191" t="inlineStr">
        <is>
          <t>See CVE details</t>
        </is>
      </c>
      <c r="Q510" s="191" t="inlineStr">
        <is>
          <t>P4</t>
        </is>
      </c>
      <c r="R510" s="191" t="inlineStr">
        <is>
          <t>📅 Schedule patch deployment within 30 days | 🔍 Monitor for exploitation attempts</t>
        </is>
      </c>
      <c r="S510" s="191" t="inlineStr">
        <is>
          <t>CVE - IP enrichment n/a</t>
        </is>
      </c>
      <c r="T510" s="191" t="n">
        <v>0</v>
      </c>
      <c r="U510" s="191" t="n">
        <v>0</v>
      </c>
      <c r="V510" s="191" t="inlineStr">
        <is>
          <t>T1190:Exploit Public-Facing Application</t>
        </is>
      </c>
      <c r="W510" s="191" t="n">
        <v>1</v>
      </c>
      <c r="X510" s="191" t="inlineStr">
        <is>
          <t>LOW (40%)</t>
        </is>
      </c>
      <c r="Y510" s="191" t="inlineStr">
        <is>
          <t>UNLIKELY</t>
        </is>
      </c>
      <c r="Z510" s="191" t="inlineStr">
        <is>
          <t>CHECK_VENDOR</t>
        </is>
      </c>
      <c r="AA510" s="192" t="inlineStr">
        <is>
          <t>https://nvd.nist.gov/vuln/detail/CVE-2026-25375</t>
        </is>
      </c>
      <c r="AB510" s="191" t="inlineStr">
        <is>
          <t>NONE</t>
        </is>
      </c>
      <c r="AC510" s="191" t="n">
        <v>0</v>
      </c>
      <c r="AD510" s="191" t="n"/>
    </row>
    <row r="511">
      <c r="A511" s="189" t="inlineStr">
        <is>
          <t>CVE</t>
        </is>
      </c>
      <c r="B511" s="189" t="inlineStr">
        <is>
          <t>CVE-2026-25378</t>
        </is>
      </c>
      <c r="C511" s="189" t="inlineStr">
        <is>
          <t>Improper Neutralization of Special Elements used in an SQL Command ('SQL Injection') vulnerability in Nelio Software Nelio AB Testing nelio-ab-testing allows Blind SQL Injection.This issue affects Nelio AB Testing: from n/a through &lt;= 8.2.4.</t>
        </is>
      </c>
      <c r="D511" s="189" t="n">
        <v>7.6</v>
      </c>
      <c r="E511" s="189" t="inlineStr">
        <is>
          <t>HIGH</t>
        </is>
      </c>
      <c r="F511" s="189" t="n">
        <v>2</v>
      </c>
      <c r="G511" s="189" t="n">
        <v>3</v>
      </c>
      <c r="H511" s="189" t="inlineStr">
        <is>
          <t>HIGH</t>
        </is>
      </c>
      <c r="I511" s="189" t="n">
        <v>13.6</v>
      </c>
      <c r="J511" s="189" t="inlineStr">
        <is>
          <t>NO</t>
        </is>
      </c>
      <c r="K511" s="190" t="inlineStr">
        <is>
          <t>https://nvd.nist.gov/vuln/detail/CVE-2026-25378</t>
        </is>
      </c>
      <c r="L511" s="189" t="inlineStr">
        <is>
          <t>2026-02-23 23:48</t>
        </is>
      </c>
      <c r="M511" s="189" t="inlineStr">
        <is>
          <t>CHECK_VENDOR</t>
        </is>
      </c>
      <c r="N511" s="189" t="inlineStr">
        <is>
          <t>See NVD references</t>
        </is>
      </c>
      <c r="O511" s="189" t="inlineStr">
        <is>
          <t>Apply vendor patches</t>
        </is>
      </c>
      <c r="P511" s="189" t="inlineStr">
        <is>
          <t>See CVE details</t>
        </is>
      </c>
      <c r="Q511" s="189" t="inlineStr">
        <is>
          <t>P3</t>
        </is>
      </c>
      <c r="R511" s="189" t="inlineStr">
        <is>
          <t>🚨 URGENT: Apply vendor patches immediately | 🔒 Isolate affected systems if patch unavailable | 🛡️ Enable additional monitoring/IDS rules</t>
        </is>
      </c>
      <c r="S511" s="189" t="inlineStr">
        <is>
          <t>CVE - IP enrichment n/a</t>
        </is>
      </c>
      <c r="T511" s="189" t="n">
        <v>0</v>
      </c>
      <c r="U511" s="189" t="n">
        <v>0</v>
      </c>
      <c r="V511" s="189" t="inlineStr">
        <is>
          <t>T1190:Exploit Public-Facing Application</t>
        </is>
      </c>
      <c r="W511" s="189" t="n">
        <v>1</v>
      </c>
      <c r="X511" s="189" t="inlineStr">
        <is>
          <t>LOW (40%)</t>
        </is>
      </c>
      <c r="Y511" s="189" t="inlineStr">
        <is>
          <t>UNLIKELY</t>
        </is>
      </c>
      <c r="Z511" s="189" t="inlineStr">
        <is>
          <t>CHECK_VENDOR</t>
        </is>
      </c>
      <c r="AA511" s="190" t="inlineStr">
        <is>
          <t>https://nvd.nist.gov/vuln/detail/CVE-2026-25378</t>
        </is>
      </c>
      <c r="AB511" s="189" t="inlineStr">
        <is>
          <t>NONE</t>
        </is>
      </c>
      <c r="AC511" s="189" t="n">
        <v>0</v>
      </c>
      <c r="AD511" s="189" t="n"/>
    </row>
    <row r="512">
      <c r="A512" s="191" t="inlineStr">
        <is>
          <t>CVE</t>
        </is>
      </c>
      <c r="B512" s="191" t="inlineStr">
        <is>
          <t>CVE-2026-25384</t>
        </is>
      </c>
      <c r="C512" s="191" t="inlineStr">
        <is>
          <t>Missing Authorization vulnerability in WP Lab WP-Lister Lite for eBay wp-lister-for-ebay allows Exploiting Incorrectly Configured Access Control Security Levels.This issue affects WP-Lister Lite for eBay: from n/a through &lt;= 3.8.5.</t>
        </is>
      </c>
      <c r="D512" s="191" t="n">
        <v>5.3</v>
      </c>
      <c r="E512" s="191" t="inlineStr">
        <is>
          <t>MEDIUM</t>
        </is>
      </c>
      <c r="F512" s="191" t="n">
        <v>2</v>
      </c>
      <c r="G512" s="191" t="n">
        <v>2</v>
      </c>
      <c r="H512" s="191" t="inlineStr">
        <is>
          <t>MEDIUM</t>
        </is>
      </c>
      <c r="I512" s="191" t="n">
        <v>9.300000000000001</v>
      </c>
      <c r="J512" s="191" t="inlineStr">
        <is>
          <t>NO</t>
        </is>
      </c>
      <c r="K512" s="192" t="inlineStr">
        <is>
          <t>https://nvd.nist.gov/vuln/detail/CVE-2026-25384</t>
        </is>
      </c>
      <c r="L512" s="191" t="inlineStr">
        <is>
          <t>2026-02-23 23:48</t>
        </is>
      </c>
      <c r="M512" s="191" t="inlineStr">
        <is>
          <t>CHECK_VENDOR</t>
        </is>
      </c>
      <c r="N512" s="191" t="inlineStr">
        <is>
          <t>See NVD references</t>
        </is>
      </c>
      <c r="O512" s="191" t="inlineStr">
        <is>
          <t>Apply vendor patches</t>
        </is>
      </c>
      <c r="P512" s="191" t="inlineStr">
        <is>
          <t>See CVE details</t>
        </is>
      </c>
      <c r="Q512" s="191" t="inlineStr">
        <is>
          <t>P4</t>
        </is>
      </c>
      <c r="R512" s="191" t="inlineStr">
        <is>
          <t>📅 Schedule patch deployment within 30 days | 🔍 Monitor for exploitation attempts</t>
        </is>
      </c>
      <c r="S512" s="191" t="inlineStr">
        <is>
          <t>CVE - IP enrichment n/a</t>
        </is>
      </c>
      <c r="T512" s="191" t="n">
        <v>0</v>
      </c>
      <c r="U512" s="191" t="n">
        <v>0</v>
      </c>
      <c r="V512" s="191" t="inlineStr">
        <is>
          <t>T1190:Exploit Public-Facing Application</t>
        </is>
      </c>
      <c r="W512" s="191" t="n">
        <v>1</v>
      </c>
      <c r="X512" s="191" t="inlineStr">
        <is>
          <t>LOW (40%)</t>
        </is>
      </c>
      <c r="Y512" s="191" t="inlineStr">
        <is>
          <t>UNLIKELY</t>
        </is>
      </c>
      <c r="Z512" s="191" t="inlineStr">
        <is>
          <t>CHECK_VENDOR</t>
        </is>
      </c>
      <c r="AA512" s="192" t="inlineStr">
        <is>
          <t>https://nvd.nist.gov/vuln/detail/CVE-2026-25384</t>
        </is>
      </c>
      <c r="AB512" s="191" t="inlineStr">
        <is>
          <t>NONE</t>
        </is>
      </c>
      <c r="AC512" s="191" t="n">
        <v>0</v>
      </c>
      <c r="AD512" s="191" t="n"/>
    </row>
    <row r="513">
      <c r="A513" s="191" t="inlineStr">
        <is>
          <t>CVE</t>
        </is>
      </c>
      <c r="B513" s="191" t="inlineStr">
        <is>
          <t>CVE-2026-25385</t>
        </is>
      </c>
      <c r="C513" s="191" t="inlineStr">
        <is>
          <t>Server-Side Request Forgery (SSRF) vulnerability in KaizenCoders URL Shortify url-shortify allows Server Side Request Forgery.This issue affects URL Shortify: from n/a through &lt;= 1.12.3.</t>
        </is>
      </c>
      <c r="D513" s="191" t="n">
        <v>5.5</v>
      </c>
      <c r="E513" s="191" t="inlineStr">
        <is>
          <t>MEDIUM</t>
        </is>
      </c>
      <c r="F513" s="191" t="n">
        <v>2</v>
      </c>
      <c r="G513" s="191" t="n">
        <v>2</v>
      </c>
      <c r="H513" s="191" t="inlineStr">
        <is>
          <t>MEDIUM</t>
        </is>
      </c>
      <c r="I513" s="191" t="n">
        <v>9.5</v>
      </c>
      <c r="J513" s="191" t="inlineStr">
        <is>
          <t>NO</t>
        </is>
      </c>
      <c r="K513" s="192" t="inlineStr">
        <is>
          <t>https://nvd.nist.gov/vuln/detail/CVE-2026-25385</t>
        </is>
      </c>
      <c r="L513" s="191" t="inlineStr">
        <is>
          <t>2026-02-23 23:48</t>
        </is>
      </c>
      <c r="M513" s="191" t="inlineStr">
        <is>
          <t>CHECK_VENDOR</t>
        </is>
      </c>
      <c r="N513" s="191" t="inlineStr">
        <is>
          <t>See NVD references</t>
        </is>
      </c>
      <c r="O513" s="191" t="inlineStr">
        <is>
          <t>Apply vendor patches</t>
        </is>
      </c>
      <c r="P513" s="191" t="inlineStr">
        <is>
          <t>See CVE details</t>
        </is>
      </c>
      <c r="Q513" s="191" t="inlineStr">
        <is>
          <t>P4</t>
        </is>
      </c>
      <c r="R513" s="191" t="inlineStr">
        <is>
          <t>📅 Schedule patch deployment within 30 days | 🔍 Monitor for exploitation attempts</t>
        </is>
      </c>
      <c r="S513" s="191" t="inlineStr">
        <is>
          <t>CVE - IP enrichment n/a</t>
        </is>
      </c>
      <c r="T513" s="191" t="n">
        <v>0</v>
      </c>
      <c r="U513" s="191" t="n">
        <v>0</v>
      </c>
      <c r="V513" s="191" t="inlineStr">
        <is>
          <t>T1090:Proxy</t>
        </is>
      </c>
      <c r="W513" s="191" t="n">
        <v>1</v>
      </c>
      <c r="X513" s="191" t="inlineStr">
        <is>
          <t>LOW (40%)</t>
        </is>
      </c>
      <c r="Y513" s="191" t="inlineStr">
        <is>
          <t>UNLIKELY</t>
        </is>
      </c>
      <c r="Z513" s="191" t="inlineStr">
        <is>
          <t>CHECK_VENDOR</t>
        </is>
      </c>
      <c r="AA513" s="192" t="inlineStr">
        <is>
          <t>https://nvd.nist.gov/vuln/detail/CVE-2026-25385</t>
        </is>
      </c>
      <c r="AB513" s="191" t="inlineStr">
        <is>
          <t>NONE</t>
        </is>
      </c>
      <c r="AC513" s="191" t="n">
        <v>0</v>
      </c>
      <c r="AD513" s="191" t="n"/>
    </row>
    <row r="514">
      <c r="A514" s="191" t="inlineStr">
        <is>
          <t>CVE</t>
        </is>
      </c>
      <c r="B514" s="191" t="inlineStr">
        <is>
          <t>CVE-2026-25386</t>
        </is>
      </c>
      <c r="C514" s="191" t="inlineStr">
        <is>
          <t>Missing Authorization vulnerability in Elementor Ally pojo-accessibility allows Exploiting Incorrectly Configured Access Control Security Levels.This issue affects Ally: from n/a through &lt;= 4.0.2.</t>
        </is>
      </c>
      <c r="D514" s="191" t="n">
        <v>5.3</v>
      </c>
      <c r="E514" s="191" t="inlineStr">
        <is>
          <t>MEDIUM</t>
        </is>
      </c>
      <c r="F514" s="191" t="n">
        <v>2</v>
      </c>
      <c r="G514" s="191" t="n">
        <v>2</v>
      </c>
      <c r="H514" s="191" t="inlineStr">
        <is>
          <t>MEDIUM</t>
        </is>
      </c>
      <c r="I514" s="191" t="n">
        <v>9.300000000000001</v>
      </c>
      <c r="J514" s="191" t="inlineStr">
        <is>
          <t>NO</t>
        </is>
      </c>
      <c r="K514" s="192" t="inlineStr">
        <is>
          <t>https://nvd.nist.gov/vuln/detail/CVE-2026-25386</t>
        </is>
      </c>
      <c r="L514" s="191" t="inlineStr">
        <is>
          <t>2026-02-23 23:48</t>
        </is>
      </c>
      <c r="M514" s="191" t="inlineStr">
        <is>
          <t>CHECK_VENDOR</t>
        </is>
      </c>
      <c r="N514" s="191" t="inlineStr">
        <is>
          <t>See NVD references</t>
        </is>
      </c>
      <c r="O514" s="191" t="inlineStr">
        <is>
          <t>Apply vendor patches</t>
        </is>
      </c>
      <c r="P514" s="191" t="inlineStr">
        <is>
          <t>See CVE details</t>
        </is>
      </c>
      <c r="Q514" s="191" t="inlineStr">
        <is>
          <t>P4</t>
        </is>
      </c>
      <c r="R514" s="191" t="inlineStr">
        <is>
          <t>📅 Schedule patch deployment within 30 days | 🔍 Monitor for exploitation attempts</t>
        </is>
      </c>
      <c r="S514" s="191" t="inlineStr">
        <is>
          <t>CVE - IP enrichment n/a</t>
        </is>
      </c>
      <c r="T514" s="191" t="n">
        <v>0.0003</v>
      </c>
      <c r="U514" s="191" t="n">
        <v>0.0775</v>
      </c>
      <c r="V514" s="191" t="inlineStr">
        <is>
          <t>T1190:Exploit Public-Facing Application</t>
        </is>
      </c>
      <c r="W514" s="191" t="n">
        <v>1</v>
      </c>
      <c r="X514" s="191" t="inlineStr">
        <is>
          <t>LOW (40%)</t>
        </is>
      </c>
      <c r="Y514" s="191" t="inlineStr">
        <is>
          <t>UNLIKELY</t>
        </is>
      </c>
      <c r="Z514" s="191" t="inlineStr">
        <is>
          <t>CHECK_VENDOR</t>
        </is>
      </c>
      <c r="AA514" s="192" t="inlineStr">
        <is>
          <t>https://nvd.nist.gov/vuln/detail/CVE-2026-25386</t>
        </is>
      </c>
      <c r="AB514" s="191" t="inlineStr">
        <is>
          <t>NONE</t>
        </is>
      </c>
      <c r="AC514" s="191" t="n">
        <v>0</v>
      </c>
      <c r="AD514" s="191" t="n"/>
    </row>
    <row r="515">
      <c r="A515" s="191" t="inlineStr">
        <is>
          <t>CVE</t>
        </is>
      </c>
      <c r="B515" s="191" t="inlineStr">
        <is>
          <t>CVE-2026-25387</t>
        </is>
      </c>
      <c r="C515" s="191" t="inlineStr">
        <is>
          <t>Missing Authorization vulnerability in Elementor Image Optimizer by Elementor image-optimization allows Exploiting Incorrectly Configured Access Control Security Levels.This issue affects Image Optimizer by Elementor: from n/a through &lt;= 1.7.1.</t>
        </is>
      </c>
      <c r="D515" s="191" t="n">
        <v>5</v>
      </c>
      <c r="E515" s="191" t="inlineStr">
        <is>
          <t>MEDIUM</t>
        </is>
      </c>
      <c r="F515" s="191" t="n">
        <v>2</v>
      </c>
      <c r="G515" s="191" t="n">
        <v>2</v>
      </c>
      <c r="H515" s="191" t="inlineStr">
        <is>
          <t>MEDIUM</t>
        </is>
      </c>
      <c r="I515" s="191" t="n">
        <v>9</v>
      </c>
      <c r="J515" s="191" t="inlineStr">
        <is>
          <t>NO</t>
        </is>
      </c>
      <c r="K515" s="192" t="inlineStr">
        <is>
          <t>https://nvd.nist.gov/vuln/detail/CVE-2026-25387</t>
        </is>
      </c>
      <c r="L515" s="191" t="inlineStr">
        <is>
          <t>2026-02-23 23:48</t>
        </is>
      </c>
      <c r="M515" s="191" t="inlineStr">
        <is>
          <t>CHECK_VENDOR</t>
        </is>
      </c>
      <c r="N515" s="191" t="inlineStr">
        <is>
          <t>See NVD references</t>
        </is>
      </c>
      <c r="O515" s="191" t="inlineStr">
        <is>
          <t>Apply vendor patches</t>
        </is>
      </c>
      <c r="P515" s="191" t="inlineStr">
        <is>
          <t>See CVE details</t>
        </is>
      </c>
      <c r="Q515" s="191" t="inlineStr">
        <is>
          <t>P4</t>
        </is>
      </c>
      <c r="R515" s="191" t="inlineStr">
        <is>
          <t>📅 Schedule patch deployment within 30 days | 🔍 Monitor for exploitation attempts</t>
        </is>
      </c>
      <c r="S515" s="191" t="inlineStr">
        <is>
          <t>CVE - IP enrichment n/a</t>
        </is>
      </c>
      <c r="T515" s="191" t="n">
        <v>0</v>
      </c>
      <c r="U515" s="191" t="n">
        <v>0</v>
      </c>
      <c r="V515" s="191" t="inlineStr">
        <is>
          <t>T1190:Exploit Public-Facing Application</t>
        </is>
      </c>
      <c r="W515" s="191" t="n">
        <v>1</v>
      </c>
      <c r="X515" s="191" t="inlineStr">
        <is>
          <t>LOW (40%)</t>
        </is>
      </c>
      <c r="Y515" s="191" t="inlineStr">
        <is>
          <t>UNLIKELY</t>
        </is>
      </c>
      <c r="Z515" s="191" t="inlineStr">
        <is>
          <t>CHECK_VENDOR</t>
        </is>
      </c>
      <c r="AA515" s="192" t="inlineStr">
        <is>
          <t>https://nvd.nist.gov/vuln/detail/CVE-2026-25387</t>
        </is>
      </c>
      <c r="AB515" s="191" t="inlineStr">
        <is>
          <t>NONE</t>
        </is>
      </c>
      <c r="AC515" s="191" t="n">
        <v>0</v>
      </c>
      <c r="AD515" s="191" t="n"/>
    </row>
    <row r="516">
      <c r="A516" s="191" t="inlineStr">
        <is>
          <t>CVE</t>
        </is>
      </c>
      <c r="B516" s="191" t="inlineStr">
        <is>
          <t>CVE-2026-25388</t>
        </is>
      </c>
      <c r="C516" s="191" t="inlineStr">
        <is>
          <t>Missing Authorization vulnerability in scripteo Ads Pro ap-plugin-scripteo allows Exploiting Incorrectly Configured Access Control Security Levels.This issue affects Ads Pro: from n/a through &lt;= 5.0.</t>
        </is>
      </c>
      <c r="D516" s="191" t="n">
        <v>5.4</v>
      </c>
      <c r="E516" s="191" t="inlineStr">
        <is>
          <t>MEDIUM</t>
        </is>
      </c>
      <c r="F516" s="191" t="n">
        <v>2</v>
      </c>
      <c r="G516" s="191" t="n">
        <v>2</v>
      </c>
      <c r="H516" s="191" t="inlineStr">
        <is>
          <t>MEDIUM</t>
        </is>
      </c>
      <c r="I516" s="191" t="n">
        <v>9.4</v>
      </c>
      <c r="J516" s="191" t="inlineStr">
        <is>
          <t>NO</t>
        </is>
      </c>
      <c r="K516" s="192" t="inlineStr">
        <is>
          <t>https://nvd.nist.gov/vuln/detail/CVE-2026-25388</t>
        </is>
      </c>
      <c r="L516" s="191" t="inlineStr">
        <is>
          <t>2026-02-23 23:48</t>
        </is>
      </c>
      <c r="M516" s="191" t="inlineStr">
        <is>
          <t>CHECK_VENDOR</t>
        </is>
      </c>
      <c r="N516" s="191" t="inlineStr">
        <is>
          <t>See NVD references</t>
        </is>
      </c>
      <c r="O516" s="191" t="inlineStr">
        <is>
          <t>Apply vendor patches</t>
        </is>
      </c>
      <c r="P516" s="191" t="inlineStr">
        <is>
          <t>See CVE details</t>
        </is>
      </c>
      <c r="Q516" s="191" t="inlineStr">
        <is>
          <t>P4</t>
        </is>
      </c>
      <c r="R516" s="191" t="inlineStr">
        <is>
          <t>📅 Schedule patch deployment within 30 days | 🔍 Monitor for exploitation attempts</t>
        </is>
      </c>
      <c r="S516" s="191" t="inlineStr">
        <is>
          <t>CVE - IP enrichment n/a</t>
        </is>
      </c>
      <c r="T516" s="191" t="n">
        <v>0</v>
      </c>
      <c r="U516" s="191" t="n">
        <v>0</v>
      </c>
      <c r="V516" s="191" t="inlineStr">
        <is>
          <t>T1190:Exploit Public-Facing Application</t>
        </is>
      </c>
      <c r="W516" s="191" t="n">
        <v>1</v>
      </c>
      <c r="X516" s="191" t="inlineStr">
        <is>
          <t>LOW (40%)</t>
        </is>
      </c>
      <c r="Y516" s="191" t="inlineStr">
        <is>
          <t>UNLIKELY</t>
        </is>
      </c>
      <c r="Z516" s="191" t="inlineStr">
        <is>
          <t>CHECK_VENDOR</t>
        </is>
      </c>
      <c r="AA516" s="192" t="inlineStr">
        <is>
          <t>https://nvd.nist.gov/vuln/detail/CVE-2026-25388</t>
        </is>
      </c>
      <c r="AB516" s="191" t="inlineStr">
        <is>
          <t>NONE</t>
        </is>
      </c>
      <c r="AC516" s="191" t="n">
        <v>0</v>
      </c>
      <c r="AD516" s="191" t="n"/>
    </row>
    <row r="517">
      <c r="A517" s="191" t="inlineStr">
        <is>
          <t>CVE</t>
        </is>
      </c>
      <c r="B517" s="191" t="inlineStr">
        <is>
          <t>CVE-2026-25389</t>
        </is>
      </c>
      <c r="C517" s="191" t="inlineStr">
        <is>
          <t>Exposure of Sensitive System Information to an Unauthorized Control Sphere vulnerability in Metagauss EventPrime eventprime-event-calendar-management allows Retrieve Embedded Sensitive Data.This issue affects EventPrime: from n/a through &lt;= 4.2.8.3.</t>
        </is>
      </c>
      <c r="D517" s="191" t="n">
        <v>5</v>
      </c>
      <c r="E517" s="191" t="inlineStr">
        <is>
          <t>MEDIUM</t>
        </is>
      </c>
      <c r="F517" s="191" t="n">
        <v>2</v>
      </c>
      <c r="G517" s="191" t="n">
        <v>2</v>
      </c>
      <c r="H517" s="191" t="inlineStr">
        <is>
          <t>MEDIUM</t>
        </is>
      </c>
      <c r="I517" s="191" t="n">
        <v>9</v>
      </c>
      <c r="J517" s="191" t="inlineStr">
        <is>
          <t>NO</t>
        </is>
      </c>
      <c r="K517" s="192" t="inlineStr">
        <is>
          <t>https://nvd.nist.gov/vuln/detail/CVE-2026-25389</t>
        </is>
      </c>
      <c r="L517" s="191" t="inlineStr">
        <is>
          <t>2026-02-23 23:48</t>
        </is>
      </c>
      <c r="M517" s="191" t="inlineStr">
        <is>
          <t>CHECK_VENDOR</t>
        </is>
      </c>
      <c r="N517" s="191" t="inlineStr">
        <is>
          <t>See NVD references</t>
        </is>
      </c>
      <c r="O517" s="191" t="inlineStr">
        <is>
          <t>Apply vendor patches</t>
        </is>
      </c>
      <c r="P517" s="191" t="inlineStr">
        <is>
          <t>See CVE details</t>
        </is>
      </c>
      <c r="Q517" s="191" t="inlineStr">
        <is>
          <t>P4</t>
        </is>
      </c>
      <c r="R517" s="191" t="inlineStr">
        <is>
          <t>📅 Schedule patch deployment within 30 days | 🔍 Monitor for exploitation attempts</t>
        </is>
      </c>
      <c r="S517" s="191" t="inlineStr">
        <is>
          <t>CVE - IP enrichment n/a</t>
        </is>
      </c>
      <c r="T517" s="191" t="n">
        <v>0.0002</v>
      </c>
      <c r="U517" s="191" t="n">
        <v>0.0449</v>
      </c>
      <c r="V517" s="191" t="inlineStr">
        <is>
          <t>T1190:Exploit Public-Facing Application</t>
        </is>
      </c>
      <c r="W517" s="191" t="n">
        <v>1</v>
      </c>
      <c r="X517" s="191" t="inlineStr">
        <is>
          <t>LOW (40%)</t>
        </is>
      </c>
      <c r="Y517" s="191" t="inlineStr">
        <is>
          <t>UNLIKELY</t>
        </is>
      </c>
      <c r="Z517" s="191" t="inlineStr">
        <is>
          <t>CHECK_VENDOR</t>
        </is>
      </c>
      <c r="AA517" s="192" t="inlineStr">
        <is>
          <t>https://nvd.nist.gov/vuln/detail/CVE-2026-25389</t>
        </is>
      </c>
      <c r="AB517" s="191" t="inlineStr">
        <is>
          <t>NONE</t>
        </is>
      </c>
      <c r="AC517" s="191" t="n">
        <v>0</v>
      </c>
      <c r="AD517" s="191" t="n"/>
    </row>
    <row r="518">
      <c r="A518" s="191" t="inlineStr">
        <is>
          <t>CVE</t>
        </is>
      </c>
      <c r="B518" s="191" t="inlineStr">
        <is>
          <t>CVE-2026-25391</t>
        </is>
      </c>
      <c r="C518" s="191" t="inlineStr">
        <is>
          <t>Missing Authorization vulnerability in WP Grids WP Wand ai-content-generation allows Exploiting Incorrectly Configured Access Control Security Levels.This issue affects WP Wand: from n/a through &lt;= 1.3.07.</t>
        </is>
      </c>
      <c r="D518" s="191" t="n">
        <v>5.4</v>
      </c>
      <c r="E518" s="191" t="inlineStr">
        <is>
          <t>MEDIUM</t>
        </is>
      </c>
      <c r="F518" s="191" t="n">
        <v>2</v>
      </c>
      <c r="G518" s="191" t="n">
        <v>2</v>
      </c>
      <c r="H518" s="191" t="inlineStr">
        <is>
          <t>MEDIUM</t>
        </is>
      </c>
      <c r="I518" s="191" t="n">
        <v>9.4</v>
      </c>
      <c r="J518" s="191" t="inlineStr">
        <is>
          <t>NO</t>
        </is>
      </c>
      <c r="K518" s="192" t="inlineStr">
        <is>
          <t>https://nvd.nist.gov/vuln/detail/CVE-2026-25391</t>
        </is>
      </c>
      <c r="L518" s="191" t="inlineStr">
        <is>
          <t>2026-02-23 23:48</t>
        </is>
      </c>
      <c r="M518" s="191" t="inlineStr">
        <is>
          <t>CHECK_VENDOR</t>
        </is>
      </c>
      <c r="N518" s="191" t="inlineStr">
        <is>
          <t>See NVD references</t>
        </is>
      </c>
      <c r="O518" s="191" t="inlineStr">
        <is>
          <t>Apply vendor patches</t>
        </is>
      </c>
      <c r="P518" s="191" t="inlineStr">
        <is>
          <t>See CVE details</t>
        </is>
      </c>
      <c r="Q518" s="191" t="inlineStr">
        <is>
          <t>P4</t>
        </is>
      </c>
      <c r="R518" s="191" t="inlineStr">
        <is>
          <t>📅 Schedule patch deployment within 30 days | 🔍 Monitor for exploitation attempts</t>
        </is>
      </c>
      <c r="S518" s="191" t="inlineStr">
        <is>
          <t>CVE - IP enrichment n/a</t>
        </is>
      </c>
      <c r="T518" s="191" t="n">
        <v>0</v>
      </c>
      <c r="U518" s="191" t="n">
        <v>0</v>
      </c>
      <c r="V518" s="191" t="inlineStr">
        <is>
          <t>T1190:Exploit Public-Facing Application</t>
        </is>
      </c>
      <c r="W518" s="191" t="n">
        <v>1</v>
      </c>
      <c r="X518" s="191" t="inlineStr">
        <is>
          <t>LOW (40%)</t>
        </is>
      </c>
      <c r="Y518" s="191" t="inlineStr">
        <is>
          <t>UNLIKELY</t>
        </is>
      </c>
      <c r="Z518" s="191" t="inlineStr">
        <is>
          <t>CHECK_VENDOR</t>
        </is>
      </c>
      <c r="AA518" s="192" t="inlineStr">
        <is>
          <t>https://nvd.nist.gov/vuln/detail/CVE-2026-25391</t>
        </is>
      </c>
      <c r="AB518" s="191" t="inlineStr">
        <is>
          <t>NONE</t>
        </is>
      </c>
      <c r="AC518" s="191" t="n">
        <v>0</v>
      </c>
      <c r="AD518" s="191" t="n"/>
    </row>
    <row r="519">
      <c r="A519" s="191" t="inlineStr">
        <is>
          <t>CVE</t>
        </is>
      </c>
      <c r="B519" s="191" t="inlineStr">
        <is>
          <t>CVE-2026-25392</t>
        </is>
      </c>
      <c r="C519" s="191" t="inlineStr">
        <is>
          <t>URL Redirection to Untrusted Site ('Open Redirect') vulnerability in KaizenCoders Update URLs &amp;#8211; Quick and Easy way to search old links and replace them with new links in WordPress update-urls allows Phishing.This issue affects Update URLs &amp;#8211; Quick and Easy way to search old links and replace them with new links in WordPress: from n/a through &lt;= 1.4.0.</t>
        </is>
      </c>
      <c r="D519" s="191" t="n">
        <v>4.7</v>
      </c>
      <c r="E519" s="191" t="inlineStr">
        <is>
          <t>MEDIUM</t>
        </is>
      </c>
      <c r="F519" s="191" t="n">
        <v>2</v>
      </c>
      <c r="G519" s="191" t="n">
        <v>2</v>
      </c>
      <c r="H519" s="191" t="inlineStr">
        <is>
          <t>MEDIUM</t>
        </is>
      </c>
      <c r="I519" s="191" t="n">
        <v>8.699999999999999</v>
      </c>
      <c r="J519" s="191" t="inlineStr">
        <is>
          <t>NO</t>
        </is>
      </c>
      <c r="K519" s="192" t="inlineStr">
        <is>
          <t>https://nvd.nist.gov/vuln/detail/CVE-2026-25392</t>
        </is>
      </c>
      <c r="L519" s="191" t="inlineStr">
        <is>
          <t>2026-02-23 23:48</t>
        </is>
      </c>
      <c r="M519" s="191" t="inlineStr">
        <is>
          <t>CHECK_VENDOR</t>
        </is>
      </c>
      <c r="N519" s="191" t="inlineStr">
        <is>
          <t>See NVD references</t>
        </is>
      </c>
      <c r="O519" s="191" t="inlineStr">
        <is>
          <t>Apply vendor patches</t>
        </is>
      </c>
      <c r="P519" s="191" t="inlineStr">
        <is>
          <t>See CVE details</t>
        </is>
      </c>
      <c r="Q519" s="191" t="inlineStr">
        <is>
          <t>P4</t>
        </is>
      </c>
      <c r="R519" s="191" t="inlineStr">
        <is>
          <t>📅 Schedule patch deployment within 30 days | 🔍 Monitor for exploitation attempts</t>
        </is>
      </c>
      <c r="S519" s="191" t="inlineStr">
        <is>
          <t>CVE - IP enrichment n/a</t>
        </is>
      </c>
      <c r="T519" s="191" t="n">
        <v>0.0003</v>
      </c>
      <c r="U519" s="191" t="n">
        <v>0.07870000000000001</v>
      </c>
      <c r="V519" s="191" t="inlineStr">
        <is>
          <t>T1189:Drive-by Compromise | T1566:Phishing</t>
        </is>
      </c>
      <c r="W519" s="191" t="n">
        <v>1</v>
      </c>
      <c r="X519" s="191" t="inlineStr">
        <is>
          <t>LOW (40%)</t>
        </is>
      </c>
      <c r="Y519" s="191" t="inlineStr">
        <is>
          <t>UNLIKELY</t>
        </is>
      </c>
      <c r="Z519" s="191" t="inlineStr">
        <is>
          <t>CHECK_VENDOR</t>
        </is>
      </c>
      <c r="AA519" s="192" t="inlineStr">
        <is>
          <t>https://nvd.nist.gov/vuln/detail/CVE-2026-25392</t>
        </is>
      </c>
      <c r="AB519" s="191" t="inlineStr">
        <is>
          <t>NONE</t>
        </is>
      </c>
      <c r="AC519" s="191" t="n">
        <v>0</v>
      </c>
      <c r="AD519" s="191" t="n"/>
    </row>
    <row r="520">
      <c r="A520" s="191" t="inlineStr">
        <is>
          <t>CVE</t>
        </is>
      </c>
      <c r="B520" s="191" t="inlineStr">
        <is>
          <t>CVE-2026-25393</t>
        </is>
      </c>
      <c r="C520" s="191" t="inlineStr">
        <is>
          <t>Missing Authorization vulnerability in sparklewpthemes Hello FSE hello-fse allows Exploiting Incorrectly Configured Access Control Security Levels.This issue affects Hello FSE: from n/a through &lt;= 1.0.6.</t>
        </is>
      </c>
      <c r="D520" s="191" t="n">
        <v>4.3</v>
      </c>
      <c r="E520" s="191" t="inlineStr">
        <is>
          <t>MEDIUM</t>
        </is>
      </c>
      <c r="F520" s="191" t="n">
        <v>2</v>
      </c>
      <c r="G520" s="191" t="n">
        <v>2</v>
      </c>
      <c r="H520" s="191" t="inlineStr">
        <is>
          <t>MEDIUM</t>
        </is>
      </c>
      <c r="I520" s="191" t="n">
        <v>8.300000000000001</v>
      </c>
      <c r="J520" s="191" t="inlineStr">
        <is>
          <t>NO</t>
        </is>
      </c>
      <c r="K520" s="192" t="inlineStr">
        <is>
          <t>https://nvd.nist.gov/vuln/detail/CVE-2026-25393</t>
        </is>
      </c>
      <c r="L520" s="191" t="inlineStr">
        <is>
          <t>2026-02-23 23:48</t>
        </is>
      </c>
      <c r="M520" s="191" t="inlineStr">
        <is>
          <t>CHECK_VENDOR</t>
        </is>
      </c>
      <c r="N520" s="191" t="inlineStr">
        <is>
          <t>See NVD references</t>
        </is>
      </c>
      <c r="O520" s="191" t="inlineStr">
        <is>
          <t>Apply vendor patches</t>
        </is>
      </c>
      <c r="P520" s="191" t="inlineStr">
        <is>
          <t>See CVE details</t>
        </is>
      </c>
      <c r="Q520" s="191" t="inlineStr">
        <is>
          <t>P4</t>
        </is>
      </c>
      <c r="R520" s="191" t="inlineStr">
        <is>
          <t>📅 Schedule patch deployment within 30 days | 🔍 Monitor for exploitation attempts</t>
        </is>
      </c>
      <c r="S520" s="191" t="inlineStr">
        <is>
          <t>CVE - IP enrichment n/a</t>
        </is>
      </c>
      <c r="T520" s="191" t="n">
        <v>0</v>
      </c>
      <c r="U520" s="191" t="n">
        <v>0</v>
      </c>
      <c r="V520" s="191" t="inlineStr">
        <is>
          <t>T1190:Exploit Public-Facing Application</t>
        </is>
      </c>
      <c r="W520" s="191" t="n">
        <v>1</v>
      </c>
      <c r="X520" s="191" t="inlineStr">
        <is>
          <t>LOW (40%)</t>
        </is>
      </c>
      <c r="Y520" s="191" t="inlineStr">
        <is>
          <t>UNLIKELY</t>
        </is>
      </c>
      <c r="Z520" s="191" t="inlineStr">
        <is>
          <t>CHECK_VENDOR</t>
        </is>
      </c>
      <c r="AA520" s="192" t="inlineStr">
        <is>
          <t>https://nvd.nist.gov/vuln/detail/CVE-2026-25393</t>
        </is>
      </c>
      <c r="AB520" s="191" t="inlineStr">
        <is>
          <t>NONE</t>
        </is>
      </c>
      <c r="AC520" s="191" t="n">
        <v>0</v>
      </c>
      <c r="AD520" s="191" t="n"/>
    </row>
    <row r="521">
      <c r="A521" s="191" t="inlineStr">
        <is>
          <t>CVE</t>
        </is>
      </c>
      <c r="B521" s="191" t="inlineStr">
        <is>
          <t>CVE-2026-25394</t>
        </is>
      </c>
      <c r="C521" s="191" t="inlineStr">
        <is>
          <t>Missing Authorization vulnerability in sparklewpthemes Fitness FSE fitness-fse allows Exploiting Incorrectly Configured Access Control Security Levels.This issue affects Fitness FSE: from n/a through &lt;= 1.0.6.</t>
        </is>
      </c>
      <c r="D521" s="191" t="n">
        <v>4.3</v>
      </c>
      <c r="E521" s="191" t="inlineStr">
        <is>
          <t>MEDIUM</t>
        </is>
      </c>
      <c r="F521" s="191" t="n">
        <v>2</v>
      </c>
      <c r="G521" s="191" t="n">
        <v>2</v>
      </c>
      <c r="H521" s="191" t="inlineStr">
        <is>
          <t>MEDIUM</t>
        </is>
      </c>
      <c r="I521" s="191" t="n">
        <v>8.300000000000001</v>
      </c>
      <c r="J521" s="191" t="inlineStr">
        <is>
          <t>NO</t>
        </is>
      </c>
      <c r="K521" s="192" t="inlineStr">
        <is>
          <t>https://nvd.nist.gov/vuln/detail/CVE-2026-25394</t>
        </is>
      </c>
      <c r="L521" s="191" t="inlineStr">
        <is>
          <t>2026-02-23 23:48</t>
        </is>
      </c>
      <c r="M521" s="191" t="inlineStr">
        <is>
          <t>CHECK_VENDOR</t>
        </is>
      </c>
      <c r="N521" s="191" t="inlineStr">
        <is>
          <t>See NVD references</t>
        </is>
      </c>
      <c r="O521" s="191" t="inlineStr">
        <is>
          <t>Apply vendor patches</t>
        </is>
      </c>
      <c r="P521" s="191" t="inlineStr">
        <is>
          <t>See CVE details</t>
        </is>
      </c>
      <c r="Q521" s="191" t="inlineStr">
        <is>
          <t>P4</t>
        </is>
      </c>
      <c r="R521" s="191" t="inlineStr">
        <is>
          <t>📅 Schedule patch deployment within 30 days | 🔍 Monitor for exploitation attempts</t>
        </is>
      </c>
      <c r="S521" s="191" t="inlineStr">
        <is>
          <t>CVE - IP enrichment n/a</t>
        </is>
      </c>
      <c r="T521" s="191" t="n">
        <v>0.0003</v>
      </c>
      <c r="U521" s="191" t="n">
        <v>0.0718</v>
      </c>
      <c r="V521" s="191" t="inlineStr">
        <is>
          <t>T1190:Exploit Public-Facing Application</t>
        </is>
      </c>
      <c r="W521" s="191" t="n">
        <v>1</v>
      </c>
      <c r="X521" s="191" t="inlineStr">
        <is>
          <t>LOW (40%)</t>
        </is>
      </c>
      <c r="Y521" s="191" t="inlineStr">
        <is>
          <t>UNLIKELY</t>
        </is>
      </c>
      <c r="Z521" s="191" t="inlineStr">
        <is>
          <t>CHECK_VENDOR</t>
        </is>
      </c>
      <c r="AA521" s="192" t="inlineStr">
        <is>
          <t>https://nvd.nist.gov/vuln/detail/CVE-2026-25394</t>
        </is>
      </c>
      <c r="AB521" s="191" t="inlineStr">
        <is>
          <t>NONE</t>
        </is>
      </c>
      <c r="AC521" s="191" t="n">
        <v>0</v>
      </c>
      <c r="AD521" s="191" t="n"/>
    </row>
    <row r="522">
      <c r="A522" s="191" t="inlineStr">
        <is>
          <t>CVE</t>
        </is>
      </c>
      <c r="B522" s="191" t="inlineStr">
        <is>
          <t>CVE-2026-25395</t>
        </is>
      </c>
      <c r="C522" s="191" t="inlineStr">
        <is>
          <t>Missing Authorization vulnerability in ikreatethemes Business Roy business-roy allows Exploiting Incorrectly Configured Access Control Security Levels.This issue affects Business Roy: from n/a through &lt;= 1.1.4.</t>
        </is>
      </c>
      <c r="D522" s="191" t="n">
        <v>4.3</v>
      </c>
      <c r="E522" s="191" t="inlineStr">
        <is>
          <t>MEDIUM</t>
        </is>
      </c>
      <c r="F522" s="191" t="n">
        <v>2</v>
      </c>
      <c r="G522" s="191" t="n">
        <v>2</v>
      </c>
      <c r="H522" s="191" t="inlineStr">
        <is>
          <t>MEDIUM</t>
        </is>
      </c>
      <c r="I522" s="191" t="n">
        <v>8.300000000000001</v>
      </c>
      <c r="J522" s="191" t="inlineStr">
        <is>
          <t>NO</t>
        </is>
      </c>
      <c r="K522" s="192" t="inlineStr">
        <is>
          <t>https://nvd.nist.gov/vuln/detail/CVE-2026-25395</t>
        </is>
      </c>
      <c r="L522" s="191" t="inlineStr">
        <is>
          <t>2026-02-23 23:48</t>
        </is>
      </c>
      <c r="M522" s="191" t="inlineStr">
        <is>
          <t>CHECK_VENDOR</t>
        </is>
      </c>
      <c r="N522" s="191" t="inlineStr">
        <is>
          <t>See NVD references</t>
        </is>
      </c>
      <c r="O522" s="191" t="inlineStr">
        <is>
          <t>Apply vendor patches</t>
        </is>
      </c>
      <c r="P522" s="191" t="inlineStr">
        <is>
          <t>See CVE details</t>
        </is>
      </c>
      <c r="Q522" s="191" t="inlineStr">
        <is>
          <t>P4</t>
        </is>
      </c>
      <c r="R522" s="191" t="inlineStr">
        <is>
          <t>📅 Schedule patch deployment within 30 days | 🔍 Monitor for exploitation attempts</t>
        </is>
      </c>
      <c r="S522" s="191" t="inlineStr">
        <is>
          <t>CVE - IP enrichment n/a</t>
        </is>
      </c>
      <c r="T522" s="191" t="n">
        <v>0</v>
      </c>
      <c r="U522" s="191" t="n">
        <v>0</v>
      </c>
      <c r="V522" s="191" t="inlineStr">
        <is>
          <t>T1190:Exploit Public-Facing Application</t>
        </is>
      </c>
      <c r="W522" s="191" t="n">
        <v>1</v>
      </c>
      <c r="X522" s="191" t="inlineStr">
        <is>
          <t>LOW (40%)</t>
        </is>
      </c>
      <c r="Y522" s="191" t="inlineStr">
        <is>
          <t>UNLIKELY</t>
        </is>
      </c>
      <c r="Z522" s="191" t="inlineStr">
        <is>
          <t>CHECK_VENDOR</t>
        </is>
      </c>
      <c r="AA522" s="192" t="inlineStr">
        <is>
          <t>https://nvd.nist.gov/vuln/detail/CVE-2026-25395</t>
        </is>
      </c>
      <c r="AB522" s="191" t="inlineStr">
        <is>
          <t>NONE</t>
        </is>
      </c>
      <c r="AC522" s="191" t="n">
        <v>0</v>
      </c>
      <c r="AD522" s="191" t="n"/>
    </row>
    <row r="523">
      <c r="A523" s="191" t="inlineStr">
        <is>
          <t>CVE</t>
        </is>
      </c>
      <c r="B523" s="191" t="inlineStr">
        <is>
          <t>CVE-2026-25399</t>
        </is>
      </c>
      <c r="C523" s="191" t="inlineStr">
        <is>
          <t>Missing Authorization vulnerability in CryoutCreations Serious Slider cryout-serious-slider allows Exploiting Incorrectly Configured Access Control Security Levels.This issue affects Serious Slider: from n/a through &lt;= 1.2.7.</t>
        </is>
      </c>
      <c r="D523" s="191" t="n">
        <v>4.3</v>
      </c>
      <c r="E523" s="191" t="inlineStr">
        <is>
          <t>MEDIUM</t>
        </is>
      </c>
      <c r="F523" s="191" t="n">
        <v>2</v>
      </c>
      <c r="G523" s="191" t="n">
        <v>2</v>
      </c>
      <c r="H523" s="191" t="inlineStr">
        <is>
          <t>MEDIUM</t>
        </is>
      </c>
      <c r="I523" s="191" t="n">
        <v>8.300000000000001</v>
      </c>
      <c r="J523" s="191" t="inlineStr">
        <is>
          <t>NO</t>
        </is>
      </c>
      <c r="K523" s="192" t="inlineStr">
        <is>
          <t>https://nvd.nist.gov/vuln/detail/CVE-2026-25399</t>
        </is>
      </c>
      <c r="L523" s="191" t="inlineStr">
        <is>
          <t>2026-02-23 23:48</t>
        </is>
      </c>
      <c r="M523" s="191" t="inlineStr">
        <is>
          <t>CHECK_VENDOR</t>
        </is>
      </c>
      <c r="N523" s="191" t="inlineStr">
        <is>
          <t>See NVD references</t>
        </is>
      </c>
      <c r="O523" s="191" t="inlineStr">
        <is>
          <t>Apply vendor patches</t>
        </is>
      </c>
      <c r="P523" s="191" t="inlineStr">
        <is>
          <t>See CVE details</t>
        </is>
      </c>
      <c r="Q523" s="191" t="inlineStr">
        <is>
          <t>P4</t>
        </is>
      </c>
      <c r="R523" s="191" t="inlineStr">
        <is>
          <t>📅 Schedule patch deployment within 30 days | 🔍 Monitor for exploitation attempts</t>
        </is>
      </c>
      <c r="S523" s="191" t="inlineStr">
        <is>
          <t>CVE - IP enrichment n/a</t>
        </is>
      </c>
      <c r="T523" s="191" t="n">
        <v>0</v>
      </c>
      <c r="U523" s="191" t="n">
        <v>0</v>
      </c>
      <c r="V523" s="191" t="inlineStr">
        <is>
          <t>T1190:Exploit Public-Facing Application</t>
        </is>
      </c>
      <c r="W523" s="191" t="n">
        <v>1</v>
      </c>
      <c r="X523" s="191" t="inlineStr">
        <is>
          <t>LOW (40%)</t>
        </is>
      </c>
      <c r="Y523" s="191" t="inlineStr">
        <is>
          <t>UNLIKELY</t>
        </is>
      </c>
      <c r="Z523" s="191" t="inlineStr">
        <is>
          <t>CHECK_VENDOR</t>
        </is>
      </c>
      <c r="AA523" s="192" t="inlineStr">
        <is>
          <t>https://nvd.nist.gov/vuln/detail/CVE-2026-25399</t>
        </is>
      </c>
      <c r="AB523" s="191" t="inlineStr">
        <is>
          <t>NONE</t>
        </is>
      </c>
      <c r="AC523" s="191" t="n">
        <v>0</v>
      </c>
      <c r="AD523" s="191" t="n"/>
    </row>
    <row r="524">
      <c r="A524" s="191" t="inlineStr">
        <is>
          <t>CVE</t>
        </is>
      </c>
      <c r="B524" s="191" t="inlineStr">
        <is>
          <t>CVE-2026-25402</t>
        </is>
      </c>
      <c r="C524" s="191" t="inlineStr">
        <is>
          <t>Missing Authorization vulnerability in echoplugins Knowledge Base for Documentation, FAQs with AI Assistance echo-knowledge-base allows Exploiting Incorrectly Configured Access Control Security Levels.This issue affects Knowledge Base for Documentation, FAQs with AI Assistance: from n/a through &lt;= 16.011.0.</t>
        </is>
      </c>
      <c r="D524" s="191" t="n">
        <v>4.3</v>
      </c>
      <c r="E524" s="191" t="inlineStr">
        <is>
          <t>MEDIUM</t>
        </is>
      </c>
      <c r="F524" s="191" t="n">
        <v>2</v>
      </c>
      <c r="G524" s="191" t="n">
        <v>2</v>
      </c>
      <c r="H524" s="191" t="inlineStr">
        <is>
          <t>MEDIUM</t>
        </is>
      </c>
      <c r="I524" s="191" t="n">
        <v>8.300000000000001</v>
      </c>
      <c r="J524" s="191" t="inlineStr">
        <is>
          <t>NO</t>
        </is>
      </c>
      <c r="K524" s="192" t="inlineStr">
        <is>
          <t>https://nvd.nist.gov/vuln/detail/CVE-2026-25402</t>
        </is>
      </c>
      <c r="L524" s="191" t="inlineStr">
        <is>
          <t>2026-02-23 23:48</t>
        </is>
      </c>
      <c r="M524" s="191" t="inlineStr">
        <is>
          <t>CHECK_VENDOR</t>
        </is>
      </c>
      <c r="N524" s="191" t="inlineStr">
        <is>
          <t>See NVD references</t>
        </is>
      </c>
      <c r="O524" s="191" t="inlineStr">
        <is>
          <t>Apply vendor patches</t>
        </is>
      </c>
      <c r="P524" s="191" t="inlineStr">
        <is>
          <t>See CVE details</t>
        </is>
      </c>
      <c r="Q524" s="191" t="inlineStr">
        <is>
          <t>P4</t>
        </is>
      </c>
      <c r="R524" s="191" t="inlineStr">
        <is>
          <t>📅 Schedule patch deployment within 30 days | 🔍 Monitor for exploitation attempts</t>
        </is>
      </c>
      <c r="S524" s="191" t="inlineStr">
        <is>
          <t>CVE - IP enrichment n/a</t>
        </is>
      </c>
      <c r="T524" s="191" t="n">
        <v>0</v>
      </c>
      <c r="U524" s="191" t="n">
        <v>0</v>
      </c>
      <c r="V524" s="191" t="inlineStr">
        <is>
          <t>T1190:Exploit Public-Facing Application</t>
        </is>
      </c>
      <c r="W524" s="191" t="n">
        <v>1</v>
      </c>
      <c r="X524" s="191" t="inlineStr">
        <is>
          <t>LOW (40%)</t>
        </is>
      </c>
      <c r="Y524" s="191" t="inlineStr">
        <is>
          <t>UNLIKELY</t>
        </is>
      </c>
      <c r="Z524" s="191" t="inlineStr">
        <is>
          <t>CHECK_VENDOR</t>
        </is>
      </c>
      <c r="AA524" s="192" t="inlineStr">
        <is>
          <t>https://nvd.nist.gov/vuln/detail/CVE-2026-25402</t>
        </is>
      </c>
      <c r="AB524" s="191" t="inlineStr">
        <is>
          <t>NONE</t>
        </is>
      </c>
      <c r="AC524" s="191" t="n">
        <v>0</v>
      </c>
      <c r="AD524" s="191" t="n"/>
    </row>
    <row r="525">
      <c r="A525" s="191" t="inlineStr">
        <is>
          <t>CVE</t>
        </is>
      </c>
      <c r="B525" s="191" t="inlineStr">
        <is>
          <t>CVE-2026-25404</t>
        </is>
      </c>
      <c r="C525" s="191" t="inlineStr">
        <is>
          <t>Missing Authorization vulnerability in Automattic WP Job Manager wp-job-manager allows Exploiting Incorrectly Configured Access Control Security Levels.This issue affects WP Job Manager: from n/a through &lt;= 2.4.0.</t>
        </is>
      </c>
      <c r="D525" s="191" t="n">
        <v>5</v>
      </c>
      <c r="E525" s="191" t="inlineStr">
        <is>
          <t>MEDIUM</t>
        </is>
      </c>
      <c r="F525" s="191" t="n">
        <v>2</v>
      </c>
      <c r="G525" s="191" t="n">
        <v>2</v>
      </c>
      <c r="H525" s="191" t="inlineStr">
        <is>
          <t>MEDIUM</t>
        </is>
      </c>
      <c r="I525" s="191" t="n">
        <v>9</v>
      </c>
      <c r="J525" s="191" t="inlineStr">
        <is>
          <t>NO</t>
        </is>
      </c>
      <c r="K525" s="192" t="inlineStr">
        <is>
          <t>https://nvd.nist.gov/vuln/detail/CVE-2026-25404</t>
        </is>
      </c>
      <c r="L525" s="191" t="inlineStr">
        <is>
          <t>2026-02-23 23:48</t>
        </is>
      </c>
      <c r="M525" s="191" t="inlineStr">
        <is>
          <t>CHECK_VENDOR</t>
        </is>
      </c>
      <c r="N525" s="191" t="inlineStr">
        <is>
          <t>See NVD references</t>
        </is>
      </c>
      <c r="O525" s="191" t="inlineStr">
        <is>
          <t>Apply vendor patches</t>
        </is>
      </c>
      <c r="P525" s="191" t="inlineStr">
        <is>
          <t>See CVE details</t>
        </is>
      </c>
      <c r="Q525" s="191" t="inlineStr">
        <is>
          <t>P4</t>
        </is>
      </c>
      <c r="R525" s="191" t="inlineStr">
        <is>
          <t>📅 Schedule patch deployment within 30 days | 🔍 Monitor for exploitation attempts</t>
        </is>
      </c>
      <c r="S525" s="191" t="inlineStr">
        <is>
          <t>CVE - IP enrichment n/a</t>
        </is>
      </c>
      <c r="T525" s="191" t="n">
        <v>0</v>
      </c>
      <c r="U525" s="191" t="n">
        <v>0</v>
      </c>
      <c r="V525" s="191" t="inlineStr">
        <is>
          <t>T1190:Exploit Public-Facing Application</t>
        </is>
      </c>
      <c r="W525" s="191" t="n">
        <v>1</v>
      </c>
      <c r="X525" s="191" t="inlineStr">
        <is>
          <t>LOW (40%)</t>
        </is>
      </c>
      <c r="Y525" s="191" t="inlineStr">
        <is>
          <t>UNLIKELY</t>
        </is>
      </c>
      <c r="Z525" s="191" t="inlineStr">
        <is>
          <t>CHECK_VENDOR</t>
        </is>
      </c>
      <c r="AA525" s="192" t="inlineStr">
        <is>
          <t>https://nvd.nist.gov/vuln/detail/CVE-2026-25404</t>
        </is>
      </c>
      <c r="AB525" s="191" t="inlineStr">
        <is>
          <t>NONE</t>
        </is>
      </c>
      <c r="AC525" s="191" t="n">
        <v>0</v>
      </c>
      <c r="AD525" s="191" t="n"/>
    </row>
    <row r="526">
      <c r="A526" s="191" t="inlineStr">
        <is>
          <t>CVE</t>
        </is>
      </c>
      <c r="B526" s="191" t="inlineStr">
        <is>
          <t>CVE-2026-25407</t>
        </is>
      </c>
      <c r="C526" s="191" t="inlineStr">
        <is>
          <t>Missing Authorization vulnerability in cookiebot Cookiebot cookiebot allows Exploiting Incorrectly Configured Access Control Security Levels.This issue affects Cookiebot: from n/a through &lt;= 4.6.4.</t>
        </is>
      </c>
      <c r="D526" s="191" t="n">
        <v>4.3</v>
      </c>
      <c r="E526" s="191" t="inlineStr">
        <is>
          <t>MEDIUM</t>
        </is>
      </c>
      <c r="F526" s="191" t="n">
        <v>2</v>
      </c>
      <c r="G526" s="191" t="n">
        <v>2</v>
      </c>
      <c r="H526" s="191" t="inlineStr">
        <is>
          <t>MEDIUM</t>
        </is>
      </c>
      <c r="I526" s="191" t="n">
        <v>8.300000000000001</v>
      </c>
      <c r="J526" s="191" t="inlineStr">
        <is>
          <t>NO</t>
        </is>
      </c>
      <c r="K526" s="192" t="inlineStr">
        <is>
          <t>https://nvd.nist.gov/vuln/detail/CVE-2026-25407</t>
        </is>
      </c>
      <c r="L526" s="191" t="inlineStr">
        <is>
          <t>2026-02-23 23:48</t>
        </is>
      </c>
      <c r="M526" s="191" t="inlineStr">
        <is>
          <t>CHECK_VENDOR</t>
        </is>
      </c>
      <c r="N526" s="191" t="inlineStr">
        <is>
          <t>See NVD references</t>
        </is>
      </c>
      <c r="O526" s="191" t="inlineStr">
        <is>
          <t>Apply vendor patches</t>
        </is>
      </c>
      <c r="P526" s="191" t="inlineStr">
        <is>
          <t>See CVE details</t>
        </is>
      </c>
      <c r="Q526" s="191" t="inlineStr">
        <is>
          <t>P4</t>
        </is>
      </c>
      <c r="R526" s="191" t="inlineStr">
        <is>
          <t>📅 Schedule patch deployment within 30 days | 🔍 Monitor for exploitation attempts</t>
        </is>
      </c>
      <c r="S526" s="191" t="inlineStr">
        <is>
          <t>CVE - IP enrichment n/a</t>
        </is>
      </c>
      <c r="T526" s="191" t="n">
        <v>0</v>
      </c>
      <c r="U526" s="191" t="n">
        <v>0</v>
      </c>
      <c r="V526" s="191" t="inlineStr">
        <is>
          <t>T1190:Exploit Public-Facing Application</t>
        </is>
      </c>
      <c r="W526" s="191" t="n">
        <v>1</v>
      </c>
      <c r="X526" s="191" t="inlineStr">
        <is>
          <t>LOW (40%)</t>
        </is>
      </c>
      <c r="Y526" s="191" t="inlineStr">
        <is>
          <t>UNLIKELY</t>
        </is>
      </c>
      <c r="Z526" s="191" t="inlineStr">
        <is>
          <t>CHECK_VENDOR</t>
        </is>
      </c>
      <c r="AA526" s="192" t="inlineStr">
        <is>
          <t>https://nvd.nist.gov/vuln/detail/CVE-2026-25407</t>
        </is>
      </c>
      <c r="AB526" s="191" t="inlineStr">
        <is>
          <t>NONE</t>
        </is>
      </c>
      <c r="AC526" s="191" t="n">
        <v>0</v>
      </c>
      <c r="AD526" s="191" t="n"/>
    </row>
    <row r="527">
      <c r="A527" s="191" t="inlineStr">
        <is>
          <t>CVE</t>
        </is>
      </c>
      <c r="B527" s="191" t="inlineStr">
        <is>
          <t>CVE-2026-25408</t>
        </is>
      </c>
      <c r="C527" s="191" t="inlineStr">
        <is>
          <t>Missing Authorization vulnerability in PluginRx Broken Link Notifier broken-link-notifier allows Exploiting Incorrectly Configured Access Control Security Levels.This issue affects Broken Link Notifier: from n/a through &lt;= 1.3.5.</t>
        </is>
      </c>
      <c r="D527" s="191" t="n">
        <v>5.3</v>
      </c>
      <c r="E527" s="191" t="inlineStr">
        <is>
          <t>MEDIUM</t>
        </is>
      </c>
      <c r="F527" s="191" t="n">
        <v>2</v>
      </c>
      <c r="G527" s="191" t="n">
        <v>2</v>
      </c>
      <c r="H527" s="191" t="inlineStr">
        <is>
          <t>MEDIUM</t>
        </is>
      </c>
      <c r="I527" s="191" t="n">
        <v>9.300000000000001</v>
      </c>
      <c r="J527" s="191" t="inlineStr">
        <is>
          <t>NO</t>
        </is>
      </c>
      <c r="K527" s="192" t="inlineStr">
        <is>
          <t>https://nvd.nist.gov/vuln/detail/CVE-2026-25408</t>
        </is>
      </c>
      <c r="L527" s="191" t="inlineStr">
        <is>
          <t>2026-02-23 23:48</t>
        </is>
      </c>
      <c r="M527" s="191" t="inlineStr">
        <is>
          <t>CHECK_VENDOR</t>
        </is>
      </c>
      <c r="N527" s="191" t="inlineStr">
        <is>
          <t>See NVD references</t>
        </is>
      </c>
      <c r="O527" s="191" t="inlineStr">
        <is>
          <t>Apply vendor patches</t>
        </is>
      </c>
      <c r="P527" s="191" t="inlineStr">
        <is>
          <t>See CVE details</t>
        </is>
      </c>
      <c r="Q527" s="191" t="inlineStr">
        <is>
          <t>P4</t>
        </is>
      </c>
      <c r="R527" s="191" t="inlineStr">
        <is>
          <t>📅 Schedule patch deployment within 30 days | 🔍 Monitor for exploitation attempts</t>
        </is>
      </c>
      <c r="S527" s="191" t="inlineStr">
        <is>
          <t>CVE - IP enrichment n/a</t>
        </is>
      </c>
      <c r="T527" s="191" t="n">
        <v>0.0003</v>
      </c>
      <c r="U527" s="191" t="n">
        <v>0.0775</v>
      </c>
      <c r="V527" s="191" t="inlineStr">
        <is>
          <t>T1190:Exploit Public-Facing Application</t>
        </is>
      </c>
      <c r="W527" s="191" t="n">
        <v>1</v>
      </c>
      <c r="X527" s="191" t="inlineStr">
        <is>
          <t>LOW (40%)</t>
        </is>
      </c>
      <c r="Y527" s="191" t="inlineStr">
        <is>
          <t>UNLIKELY</t>
        </is>
      </c>
      <c r="Z527" s="191" t="inlineStr">
        <is>
          <t>CHECK_VENDOR</t>
        </is>
      </c>
      <c r="AA527" s="192" t="inlineStr">
        <is>
          <t>https://nvd.nist.gov/vuln/detail/CVE-2026-25408</t>
        </is>
      </c>
      <c r="AB527" s="191" t="inlineStr">
        <is>
          <t>NONE</t>
        </is>
      </c>
      <c r="AC527" s="191" t="n">
        <v>0</v>
      </c>
      <c r="AD527" s="191" t="n"/>
    </row>
    <row r="528">
      <c r="A528" s="191" t="inlineStr">
        <is>
          <t>CVE</t>
        </is>
      </c>
      <c r="B528" s="191" t="inlineStr">
        <is>
          <t>CVE-2026-25409</t>
        </is>
      </c>
      <c r="C528" s="191" t="inlineStr">
        <is>
          <t>Missing Authorization vulnerability in crgeary JAMstack Deployments wp-jamstack-deployments allows Exploiting Incorrectly Configured Access Control Security Levels.This issue affects JAMstack Deployments: from n/a through &lt;= 1.1.1.</t>
        </is>
      </c>
      <c r="D528" s="191" t="n">
        <v>4.3</v>
      </c>
      <c r="E528" s="191" t="inlineStr">
        <is>
          <t>MEDIUM</t>
        </is>
      </c>
      <c r="F528" s="191" t="n">
        <v>2</v>
      </c>
      <c r="G528" s="191" t="n">
        <v>2</v>
      </c>
      <c r="H528" s="191" t="inlineStr">
        <is>
          <t>MEDIUM</t>
        </is>
      </c>
      <c r="I528" s="191" t="n">
        <v>8.300000000000001</v>
      </c>
      <c r="J528" s="191" t="inlineStr">
        <is>
          <t>NO</t>
        </is>
      </c>
      <c r="K528" s="192" t="inlineStr">
        <is>
          <t>https://nvd.nist.gov/vuln/detail/CVE-2026-25409</t>
        </is>
      </c>
      <c r="L528" s="191" t="inlineStr">
        <is>
          <t>2026-02-23 23:48</t>
        </is>
      </c>
      <c r="M528" s="191" t="inlineStr">
        <is>
          <t>CHECK_VENDOR</t>
        </is>
      </c>
      <c r="N528" s="191" t="inlineStr">
        <is>
          <t>See NVD references</t>
        </is>
      </c>
      <c r="O528" s="191" t="inlineStr">
        <is>
          <t>Apply vendor patches</t>
        </is>
      </c>
      <c r="P528" s="191" t="inlineStr">
        <is>
          <t>See CVE details</t>
        </is>
      </c>
      <c r="Q528" s="191" t="inlineStr">
        <is>
          <t>P4</t>
        </is>
      </c>
      <c r="R528" s="191" t="inlineStr">
        <is>
          <t>📅 Schedule patch deployment within 30 days | 🔍 Monitor for exploitation attempts</t>
        </is>
      </c>
      <c r="S528" s="191" t="inlineStr">
        <is>
          <t>CVE - IP enrichment n/a</t>
        </is>
      </c>
      <c r="T528" s="191" t="n">
        <v>0</v>
      </c>
      <c r="U528" s="191" t="n">
        <v>0</v>
      </c>
      <c r="V528" s="191" t="inlineStr">
        <is>
          <t>T1190:Exploit Public-Facing Application</t>
        </is>
      </c>
      <c r="W528" s="191" t="n">
        <v>1</v>
      </c>
      <c r="X528" s="191" t="inlineStr">
        <is>
          <t>LOW (40%)</t>
        </is>
      </c>
      <c r="Y528" s="191" t="inlineStr">
        <is>
          <t>UNLIKELY</t>
        </is>
      </c>
      <c r="Z528" s="191" t="inlineStr">
        <is>
          <t>CHECK_VENDOR</t>
        </is>
      </c>
      <c r="AA528" s="192" t="inlineStr">
        <is>
          <t>https://nvd.nist.gov/vuln/detail/CVE-2026-25409</t>
        </is>
      </c>
      <c r="AB528" s="191" t="inlineStr">
        <is>
          <t>NONE</t>
        </is>
      </c>
      <c r="AC528" s="191" t="n">
        <v>0</v>
      </c>
      <c r="AD528" s="191" t="n"/>
    </row>
    <row r="529">
      <c r="A529" s="191" t="inlineStr">
        <is>
          <t>CVE</t>
        </is>
      </c>
      <c r="B529" s="191" t="inlineStr">
        <is>
          <t>CVE-2026-25410</t>
        </is>
      </c>
      <c r="C529" s="191" t="inlineStr">
        <is>
          <t>Missing Authorization vulnerability in tstephenson WP-CORS wp-cors allows Exploiting Incorrectly Configured Access Control Security Levels.This issue affects WP-CORS: from n/a through &lt;= 0.2.2.</t>
        </is>
      </c>
      <c r="D529" s="191" t="n">
        <v>4.3</v>
      </c>
      <c r="E529" s="191" t="inlineStr">
        <is>
          <t>MEDIUM</t>
        </is>
      </c>
      <c r="F529" s="191" t="n">
        <v>2</v>
      </c>
      <c r="G529" s="191" t="n">
        <v>2</v>
      </c>
      <c r="H529" s="191" t="inlineStr">
        <is>
          <t>MEDIUM</t>
        </is>
      </c>
      <c r="I529" s="191" t="n">
        <v>8.300000000000001</v>
      </c>
      <c r="J529" s="191" t="inlineStr">
        <is>
          <t>NO</t>
        </is>
      </c>
      <c r="K529" s="192" t="inlineStr">
        <is>
          <t>https://nvd.nist.gov/vuln/detail/CVE-2026-25410</t>
        </is>
      </c>
      <c r="L529" s="191" t="inlineStr">
        <is>
          <t>2026-02-23 23:48</t>
        </is>
      </c>
      <c r="M529" s="191" t="inlineStr">
        <is>
          <t>CHECK_VENDOR</t>
        </is>
      </c>
      <c r="N529" s="191" t="inlineStr">
        <is>
          <t>See NVD references</t>
        </is>
      </c>
      <c r="O529" s="191" t="inlineStr">
        <is>
          <t>Apply vendor patches</t>
        </is>
      </c>
      <c r="P529" s="191" t="inlineStr">
        <is>
          <t>See CVE details</t>
        </is>
      </c>
      <c r="Q529" s="191" t="inlineStr">
        <is>
          <t>P4</t>
        </is>
      </c>
      <c r="R529" s="191" t="inlineStr">
        <is>
          <t>📅 Schedule patch deployment within 30 days | 🔍 Monitor for exploitation attempts</t>
        </is>
      </c>
      <c r="S529" s="191" t="inlineStr">
        <is>
          <t>CVE - IP enrichment n/a</t>
        </is>
      </c>
      <c r="T529" s="191" t="n">
        <v>0</v>
      </c>
      <c r="U529" s="191" t="n">
        <v>0</v>
      </c>
      <c r="V529" s="191" t="inlineStr">
        <is>
          <t>T1190:Exploit Public-Facing Application</t>
        </is>
      </c>
      <c r="W529" s="191" t="n">
        <v>1</v>
      </c>
      <c r="X529" s="191" t="inlineStr">
        <is>
          <t>LOW (40%)</t>
        </is>
      </c>
      <c r="Y529" s="191" t="inlineStr">
        <is>
          <t>UNLIKELY</t>
        </is>
      </c>
      <c r="Z529" s="191" t="inlineStr">
        <is>
          <t>CHECK_VENDOR</t>
        </is>
      </c>
      <c r="AA529" s="192" t="inlineStr">
        <is>
          <t>https://nvd.nist.gov/vuln/detail/CVE-2026-25410</t>
        </is>
      </c>
      <c r="AB529" s="191" t="inlineStr">
        <is>
          <t>NONE</t>
        </is>
      </c>
      <c r="AC529" s="191" t="n">
        <v>0</v>
      </c>
      <c r="AD529" s="191" t="n"/>
    </row>
    <row r="530">
      <c r="A530" s="191" t="inlineStr">
        <is>
          <t>CVE</t>
        </is>
      </c>
      <c r="B530" s="191" t="inlineStr">
        <is>
          <t>CVE-2026-25411</t>
        </is>
      </c>
      <c r="C530" s="191" t="inlineStr">
        <is>
          <t>Cross-Site Request Forgery (CSRF) vulnerability in themastercut Revision Manager TMC revision-manager-tmc allows Cross Site Request Forgery.This issue affects Revision Manager TMC: from n/a through &lt;= 2.8.22.</t>
        </is>
      </c>
      <c r="D530" s="191" t="n">
        <v>4.3</v>
      </c>
      <c r="E530" s="191" t="inlineStr">
        <is>
          <t>MEDIUM</t>
        </is>
      </c>
      <c r="F530" s="191" t="n">
        <v>2</v>
      </c>
      <c r="G530" s="191" t="n">
        <v>2</v>
      </c>
      <c r="H530" s="191" t="inlineStr">
        <is>
          <t>MEDIUM</t>
        </is>
      </c>
      <c r="I530" s="191" t="n">
        <v>8.300000000000001</v>
      </c>
      <c r="J530" s="191" t="inlineStr">
        <is>
          <t>NO</t>
        </is>
      </c>
      <c r="K530" s="192" t="inlineStr">
        <is>
          <t>https://nvd.nist.gov/vuln/detail/CVE-2026-25411</t>
        </is>
      </c>
      <c r="L530" s="191" t="inlineStr">
        <is>
          <t>2026-02-23 23:48</t>
        </is>
      </c>
      <c r="M530" s="191" t="inlineStr">
        <is>
          <t>CHECK_VENDOR</t>
        </is>
      </c>
      <c r="N530" s="191" t="inlineStr">
        <is>
          <t>See NVD references</t>
        </is>
      </c>
      <c r="O530" s="191" t="inlineStr">
        <is>
          <t>Apply vendor patches</t>
        </is>
      </c>
      <c r="P530" s="191" t="inlineStr">
        <is>
          <t>See CVE details</t>
        </is>
      </c>
      <c r="Q530" s="191" t="inlineStr">
        <is>
          <t>P4</t>
        </is>
      </c>
      <c r="R530" s="191" t="inlineStr">
        <is>
          <t>📅 Schedule patch deployment within 30 days | 🔍 Monitor for exploitation attempts</t>
        </is>
      </c>
      <c r="S530" s="191" t="inlineStr">
        <is>
          <t>CVE - IP enrichment n/a</t>
        </is>
      </c>
      <c r="T530" s="191" t="n">
        <v>0</v>
      </c>
      <c r="U530" s="191" t="n">
        <v>0</v>
      </c>
      <c r="V530" s="191" t="inlineStr">
        <is>
          <t>T1185:Browser Session Hijacking</t>
        </is>
      </c>
      <c r="W530" s="191" t="n">
        <v>1</v>
      </c>
      <c r="X530" s="191" t="inlineStr">
        <is>
          <t>LOW (40%)</t>
        </is>
      </c>
      <c r="Y530" s="191" t="inlineStr">
        <is>
          <t>UNLIKELY</t>
        </is>
      </c>
      <c r="Z530" s="191" t="inlineStr">
        <is>
          <t>CHECK_VENDOR</t>
        </is>
      </c>
      <c r="AA530" s="192" t="inlineStr">
        <is>
          <t>https://nvd.nist.gov/vuln/detail/CVE-2026-25411</t>
        </is>
      </c>
      <c r="AB530" s="191" t="inlineStr">
        <is>
          <t>NONE</t>
        </is>
      </c>
      <c r="AC530" s="191" t="n">
        <v>0</v>
      </c>
      <c r="AD530" s="191" t="n"/>
    </row>
    <row r="531">
      <c r="A531" s="191" t="inlineStr">
        <is>
          <t>CVE</t>
        </is>
      </c>
      <c r="B531" s="191" t="inlineStr">
        <is>
          <t>CVE-2026-25412</t>
        </is>
      </c>
      <c r="C531" s="191" t="inlineStr">
        <is>
          <t>Missing Authorization vulnerability in mdempfle Advanced iFrame advanced-iframe allows Exploiting Incorrectly Configured Access Control Security Levels.This issue affects Advanced iFrame: from n/a through &lt;= 2025.10.</t>
        </is>
      </c>
      <c r="D531" s="191" t="n">
        <v>5.3</v>
      </c>
      <c r="E531" s="191" t="inlineStr">
        <is>
          <t>MEDIUM</t>
        </is>
      </c>
      <c r="F531" s="191" t="n">
        <v>2</v>
      </c>
      <c r="G531" s="191" t="n">
        <v>2</v>
      </c>
      <c r="H531" s="191" t="inlineStr">
        <is>
          <t>MEDIUM</t>
        </is>
      </c>
      <c r="I531" s="191" t="n">
        <v>9.300000000000001</v>
      </c>
      <c r="J531" s="191" t="inlineStr">
        <is>
          <t>NO</t>
        </is>
      </c>
      <c r="K531" s="192" t="inlineStr">
        <is>
          <t>https://nvd.nist.gov/vuln/detail/CVE-2026-25412</t>
        </is>
      </c>
      <c r="L531" s="191" t="inlineStr">
        <is>
          <t>2026-02-23 23:48</t>
        </is>
      </c>
      <c r="M531" s="191" t="inlineStr">
        <is>
          <t>CHECK_VENDOR</t>
        </is>
      </c>
      <c r="N531" s="191" t="inlineStr">
        <is>
          <t>See NVD references</t>
        </is>
      </c>
      <c r="O531" s="191" t="inlineStr">
        <is>
          <t>Apply vendor patches</t>
        </is>
      </c>
      <c r="P531" s="191" t="inlineStr">
        <is>
          <t>See CVE details</t>
        </is>
      </c>
      <c r="Q531" s="191" t="inlineStr">
        <is>
          <t>P4</t>
        </is>
      </c>
      <c r="R531" s="191" t="inlineStr">
        <is>
          <t>📅 Schedule patch deployment within 30 days | 🔍 Monitor for exploitation attempts</t>
        </is>
      </c>
      <c r="S531" s="191" t="inlineStr">
        <is>
          <t>CVE - IP enrichment n/a</t>
        </is>
      </c>
      <c r="T531" s="191" t="n">
        <v>0</v>
      </c>
      <c r="U531" s="191" t="n">
        <v>0</v>
      </c>
      <c r="V531" s="191" t="inlineStr">
        <is>
          <t>T1190:Exploit Public-Facing Application</t>
        </is>
      </c>
      <c r="W531" s="191" t="n">
        <v>1</v>
      </c>
      <c r="X531" s="191" t="inlineStr">
        <is>
          <t>LOW (40%)</t>
        </is>
      </c>
      <c r="Y531" s="191" t="inlineStr">
        <is>
          <t>UNLIKELY</t>
        </is>
      </c>
      <c r="Z531" s="191" t="inlineStr">
        <is>
          <t>CHECK_VENDOR</t>
        </is>
      </c>
      <c r="AA531" s="192" t="inlineStr">
        <is>
          <t>https://nvd.nist.gov/vuln/detail/CVE-2026-25412</t>
        </is>
      </c>
      <c r="AB531" s="191" t="inlineStr">
        <is>
          <t>NONE</t>
        </is>
      </c>
      <c r="AC531" s="191" t="n">
        <v>0</v>
      </c>
      <c r="AD531" s="191" t="n"/>
    </row>
    <row r="532">
      <c r="A532" s="191" t="inlineStr">
        <is>
          <t>CVE</t>
        </is>
      </c>
      <c r="B532" s="191" t="inlineStr">
        <is>
          <t>CVE-2026-25415</t>
        </is>
      </c>
      <c r="C532" s="191" t="inlineStr">
        <is>
          <t>Missing Authorization vulnerability in iqonicdesign WPBookit Pro wpbookit-pro allows Exploiting Incorrectly Configured Access Control Security Levels.This issue affects WPBookit Pro: from n/a through &lt;= 1.6.18.</t>
        </is>
      </c>
      <c r="D532" s="191" t="n">
        <v>5.3</v>
      </c>
      <c r="E532" s="191" t="inlineStr">
        <is>
          <t>MEDIUM</t>
        </is>
      </c>
      <c r="F532" s="191" t="n">
        <v>2</v>
      </c>
      <c r="G532" s="191" t="n">
        <v>2</v>
      </c>
      <c r="H532" s="191" t="inlineStr">
        <is>
          <t>MEDIUM</t>
        </is>
      </c>
      <c r="I532" s="191" t="n">
        <v>9.300000000000001</v>
      </c>
      <c r="J532" s="191" t="inlineStr">
        <is>
          <t>NO</t>
        </is>
      </c>
      <c r="K532" s="192" t="inlineStr">
        <is>
          <t>https://nvd.nist.gov/vuln/detail/CVE-2026-25415</t>
        </is>
      </c>
      <c r="L532" s="191" t="inlineStr">
        <is>
          <t>2026-02-23 23:48</t>
        </is>
      </c>
      <c r="M532" s="191" t="inlineStr">
        <is>
          <t>CHECK_VENDOR</t>
        </is>
      </c>
      <c r="N532" s="191" t="inlineStr">
        <is>
          <t>See NVD references</t>
        </is>
      </c>
      <c r="O532" s="191" t="inlineStr">
        <is>
          <t>Apply vendor patches</t>
        </is>
      </c>
      <c r="P532" s="191" t="inlineStr">
        <is>
          <t>See CVE details</t>
        </is>
      </c>
      <c r="Q532" s="191" t="inlineStr">
        <is>
          <t>P4</t>
        </is>
      </c>
      <c r="R532" s="191" t="inlineStr">
        <is>
          <t>📅 Schedule patch deployment within 30 days | 🔍 Monitor for exploitation attempts</t>
        </is>
      </c>
      <c r="S532" s="191" t="inlineStr">
        <is>
          <t>CVE - IP enrichment n/a</t>
        </is>
      </c>
      <c r="T532" s="191" t="n">
        <v>0.0003</v>
      </c>
      <c r="U532" s="191" t="n">
        <v>0.0775</v>
      </c>
      <c r="V532" s="191" t="inlineStr">
        <is>
          <t>T1190:Exploit Public-Facing Application</t>
        </is>
      </c>
      <c r="W532" s="191" t="n">
        <v>1</v>
      </c>
      <c r="X532" s="191" t="inlineStr">
        <is>
          <t>LOW (40%)</t>
        </is>
      </c>
      <c r="Y532" s="191" t="inlineStr">
        <is>
          <t>UNLIKELY</t>
        </is>
      </c>
      <c r="Z532" s="191" t="inlineStr">
        <is>
          <t>CHECK_VENDOR</t>
        </is>
      </c>
      <c r="AA532" s="192" t="inlineStr">
        <is>
          <t>https://nvd.nist.gov/vuln/detail/CVE-2026-25415</t>
        </is>
      </c>
      <c r="AB532" s="191" t="inlineStr">
        <is>
          <t>NONE</t>
        </is>
      </c>
      <c r="AC532" s="191" t="n">
        <v>0</v>
      </c>
      <c r="AD532" s="191" t="n"/>
    </row>
    <row r="533">
      <c r="A533" s="191" t="inlineStr">
        <is>
          <t>CVE</t>
        </is>
      </c>
      <c r="B533" s="191" t="inlineStr">
        <is>
          <t>CVE-2026-25416</t>
        </is>
      </c>
      <c r="C533" s="191" t="inlineStr">
        <is>
          <t>Missing Authorization vulnerability in blazethemes News Kit Elementor Addons news-kit-elementor-addons allows Exploiting Incorrectly Configured Access Control Security Levels.This issue affects News Kit Elementor Addons: from n/a through &lt;= 1.4.2.</t>
        </is>
      </c>
      <c r="D533" s="191" t="n">
        <v>4.3</v>
      </c>
      <c r="E533" s="191" t="inlineStr">
        <is>
          <t>MEDIUM</t>
        </is>
      </c>
      <c r="F533" s="191" t="n">
        <v>2</v>
      </c>
      <c r="G533" s="191" t="n">
        <v>2</v>
      </c>
      <c r="H533" s="191" t="inlineStr">
        <is>
          <t>MEDIUM</t>
        </is>
      </c>
      <c r="I533" s="191" t="n">
        <v>8.300000000000001</v>
      </c>
      <c r="J533" s="191" t="inlineStr">
        <is>
          <t>NO</t>
        </is>
      </c>
      <c r="K533" s="192" t="inlineStr">
        <is>
          <t>https://nvd.nist.gov/vuln/detail/CVE-2026-25416</t>
        </is>
      </c>
      <c r="L533" s="191" t="inlineStr">
        <is>
          <t>2026-02-23 23:48</t>
        </is>
      </c>
      <c r="M533" s="191" t="inlineStr">
        <is>
          <t>CHECK_VENDOR</t>
        </is>
      </c>
      <c r="N533" s="191" t="inlineStr">
        <is>
          <t>See NVD references</t>
        </is>
      </c>
      <c r="O533" s="191" t="inlineStr">
        <is>
          <t>Apply vendor patches</t>
        </is>
      </c>
      <c r="P533" s="191" t="inlineStr">
        <is>
          <t>See CVE details</t>
        </is>
      </c>
      <c r="Q533" s="191" t="inlineStr">
        <is>
          <t>P4</t>
        </is>
      </c>
      <c r="R533" s="191" t="inlineStr">
        <is>
          <t>📅 Schedule patch deployment within 30 days | 🔍 Monitor for exploitation attempts</t>
        </is>
      </c>
      <c r="S533" s="191" t="inlineStr">
        <is>
          <t>CVE - IP enrichment n/a</t>
        </is>
      </c>
      <c r="T533" s="191" t="n">
        <v>0</v>
      </c>
      <c r="U533" s="191" t="n">
        <v>0</v>
      </c>
      <c r="V533" s="191" t="inlineStr">
        <is>
          <t>T1190:Exploit Public-Facing Application</t>
        </is>
      </c>
      <c r="W533" s="191" t="n">
        <v>1</v>
      </c>
      <c r="X533" s="191" t="inlineStr">
        <is>
          <t>LOW (40%)</t>
        </is>
      </c>
      <c r="Y533" s="191" t="inlineStr">
        <is>
          <t>UNLIKELY</t>
        </is>
      </c>
      <c r="Z533" s="191" t="inlineStr">
        <is>
          <t>CHECK_VENDOR</t>
        </is>
      </c>
      <c r="AA533" s="192" t="inlineStr">
        <is>
          <t>https://nvd.nist.gov/vuln/detail/CVE-2026-25416</t>
        </is>
      </c>
      <c r="AB533" s="191" t="inlineStr">
        <is>
          <t>NONE</t>
        </is>
      </c>
      <c r="AC533" s="191" t="n">
        <v>0</v>
      </c>
      <c r="AD533" s="191" t="n"/>
    </row>
    <row r="534">
      <c r="A534" s="189" t="inlineStr">
        <is>
          <t>CVE</t>
        </is>
      </c>
      <c r="B534" s="189" t="inlineStr">
        <is>
          <t>CVE-2026-25418</t>
        </is>
      </c>
      <c r="C534" s="189" t="inlineStr">
        <is>
          <t>Improper Neutralization of Special Elements used in an SQL Command ('SQL Injection') vulnerability in bitpressadmin Bit Form bit-form allows SQL Injection.This issue affects Bit Form: from n/a through &lt;= 2.21.10.</t>
        </is>
      </c>
      <c r="D534" s="189" t="n">
        <v>7.6</v>
      </c>
      <c r="E534" s="189" t="inlineStr">
        <is>
          <t>HIGH</t>
        </is>
      </c>
      <c r="F534" s="189" t="n">
        <v>2</v>
      </c>
      <c r="G534" s="189" t="n">
        <v>3</v>
      </c>
      <c r="H534" s="189" t="inlineStr">
        <is>
          <t>HIGH</t>
        </is>
      </c>
      <c r="I534" s="189" t="n">
        <v>13.6</v>
      </c>
      <c r="J534" s="189" t="inlineStr">
        <is>
          <t>NO</t>
        </is>
      </c>
      <c r="K534" s="190" t="inlineStr">
        <is>
          <t>https://nvd.nist.gov/vuln/detail/CVE-2026-25418</t>
        </is>
      </c>
      <c r="L534" s="189" t="inlineStr">
        <is>
          <t>2026-02-23 23:48</t>
        </is>
      </c>
      <c r="M534" s="189" t="inlineStr">
        <is>
          <t>CHECK_VENDOR</t>
        </is>
      </c>
      <c r="N534" s="189" t="inlineStr">
        <is>
          <t>See NVD references</t>
        </is>
      </c>
      <c r="O534" s="189" t="inlineStr">
        <is>
          <t>Apply vendor patches</t>
        </is>
      </c>
      <c r="P534" s="189" t="inlineStr">
        <is>
          <t>See CVE details</t>
        </is>
      </c>
      <c r="Q534" s="189" t="inlineStr">
        <is>
          <t>P3</t>
        </is>
      </c>
      <c r="R534" s="189" t="inlineStr">
        <is>
          <t>🚨 URGENT: Apply vendor patches immediately | 🔒 Isolate affected systems if patch unavailable | 🛡️ Enable additional monitoring/IDS rules</t>
        </is>
      </c>
      <c r="S534" s="189" t="inlineStr">
        <is>
          <t>CVE - IP enrichment n/a</t>
        </is>
      </c>
      <c r="T534" s="189" t="n">
        <v>0</v>
      </c>
      <c r="U534" s="189" t="n">
        <v>0</v>
      </c>
      <c r="V534" s="189" t="inlineStr">
        <is>
          <t>T1190:Exploit Public-Facing Application</t>
        </is>
      </c>
      <c r="W534" s="189" t="n">
        <v>1</v>
      </c>
      <c r="X534" s="189" t="inlineStr">
        <is>
          <t>LOW (40%)</t>
        </is>
      </c>
      <c r="Y534" s="189" t="inlineStr">
        <is>
          <t>UNLIKELY</t>
        </is>
      </c>
      <c r="Z534" s="189" t="inlineStr">
        <is>
          <t>CHECK_VENDOR</t>
        </is>
      </c>
      <c r="AA534" s="190" t="inlineStr">
        <is>
          <t>https://nvd.nist.gov/vuln/detail/CVE-2026-25418</t>
        </is>
      </c>
      <c r="AB534" s="189" t="inlineStr">
        <is>
          <t>NONE</t>
        </is>
      </c>
      <c r="AC534" s="189" t="n">
        <v>0</v>
      </c>
      <c r="AD534" s="189" t="n"/>
    </row>
    <row r="535">
      <c r="A535" s="191" t="inlineStr">
        <is>
          <t>CVE</t>
        </is>
      </c>
      <c r="B535" s="191" t="inlineStr">
        <is>
          <t>CVE-2026-25419</t>
        </is>
      </c>
      <c r="C535" s="191" t="inlineStr">
        <is>
          <t>Missing Authorization vulnerability in flycart UpsellWP checkout-upsell-and-order-bumps allows Exploiting Incorrectly Configured Access Control Security Levels.This issue affects UpsellWP: from n/a through &lt;= 2.2.3.</t>
        </is>
      </c>
      <c r="D535" s="191" t="n">
        <v>4.3</v>
      </c>
      <c r="E535" s="191" t="inlineStr">
        <is>
          <t>MEDIUM</t>
        </is>
      </c>
      <c r="F535" s="191" t="n">
        <v>2</v>
      </c>
      <c r="G535" s="191" t="n">
        <v>2</v>
      </c>
      <c r="H535" s="191" t="inlineStr">
        <is>
          <t>MEDIUM</t>
        </is>
      </c>
      <c r="I535" s="191" t="n">
        <v>8.300000000000001</v>
      </c>
      <c r="J535" s="191" t="inlineStr">
        <is>
          <t>NO</t>
        </is>
      </c>
      <c r="K535" s="192" t="inlineStr">
        <is>
          <t>https://nvd.nist.gov/vuln/detail/CVE-2026-25419</t>
        </is>
      </c>
      <c r="L535" s="191" t="inlineStr">
        <is>
          <t>2026-02-23 23:48</t>
        </is>
      </c>
      <c r="M535" s="191" t="inlineStr">
        <is>
          <t>CHECK_VENDOR</t>
        </is>
      </c>
      <c r="N535" s="191" t="inlineStr">
        <is>
          <t>See NVD references</t>
        </is>
      </c>
      <c r="O535" s="191" t="inlineStr">
        <is>
          <t>Apply vendor patches</t>
        </is>
      </c>
      <c r="P535" s="191" t="inlineStr">
        <is>
          <t>See CVE details</t>
        </is>
      </c>
      <c r="Q535" s="191" t="inlineStr">
        <is>
          <t>P4</t>
        </is>
      </c>
      <c r="R535" s="191" t="inlineStr">
        <is>
          <t>📅 Schedule patch deployment within 30 days | 🔍 Monitor for exploitation attempts</t>
        </is>
      </c>
      <c r="S535" s="191" t="inlineStr">
        <is>
          <t>CVE - IP enrichment n/a</t>
        </is>
      </c>
      <c r="T535" s="191" t="n">
        <v>0</v>
      </c>
      <c r="U535" s="191" t="n">
        <v>0</v>
      </c>
      <c r="V535" s="191" t="inlineStr">
        <is>
          <t>T1190:Exploit Public-Facing Application</t>
        </is>
      </c>
      <c r="W535" s="191" t="n">
        <v>1</v>
      </c>
      <c r="X535" s="191" t="inlineStr">
        <is>
          <t>LOW (40%)</t>
        </is>
      </c>
      <c r="Y535" s="191" t="inlineStr">
        <is>
          <t>UNLIKELY</t>
        </is>
      </c>
      <c r="Z535" s="191" t="inlineStr">
        <is>
          <t>CHECK_VENDOR</t>
        </is>
      </c>
      <c r="AA535" s="192" t="inlineStr">
        <is>
          <t>https://nvd.nist.gov/vuln/detail/CVE-2026-25419</t>
        </is>
      </c>
      <c r="AB535" s="191" t="inlineStr">
        <is>
          <t>NONE</t>
        </is>
      </c>
      <c r="AC535" s="191" t="n">
        <v>0</v>
      </c>
      <c r="AD535" s="191" t="n"/>
    </row>
    <row r="536">
      <c r="A536" s="191" t="inlineStr">
        <is>
          <t>CVE</t>
        </is>
      </c>
      <c r="B536" s="191" t="inlineStr">
        <is>
          <t>CVE-2026-25420</t>
        </is>
      </c>
      <c r="C536" s="191" t="inlineStr">
        <is>
          <t>Missing Authorization vulnerability in MailerLite MailerLite official-mailerlite-sign-up-forms allows Exploiting Incorrectly Configured Access Control Security Levels.This issue affects MailerLite: from n/a through &lt;= 1.7.18.</t>
        </is>
      </c>
      <c r="D536" s="191" t="n">
        <v>4.3</v>
      </c>
      <c r="E536" s="191" t="inlineStr">
        <is>
          <t>MEDIUM</t>
        </is>
      </c>
      <c r="F536" s="191" t="n">
        <v>2</v>
      </c>
      <c r="G536" s="191" t="n">
        <v>2</v>
      </c>
      <c r="H536" s="191" t="inlineStr">
        <is>
          <t>MEDIUM</t>
        </is>
      </c>
      <c r="I536" s="191" t="n">
        <v>8.300000000000001</v>
      </c>
      <c r="J536" s="191" t="inlineStr">
        <is>
          <t>NO</t>
        </is>
      </c>
      <c r="K536" s="192" t="inlineStr">
        <is>
          <t>https://nvd.nist.gov/vuln/detail/CVE-2026-25420</t>
        </is>
      </c>
      <c r="L536" s="191" t="inlineStr">
        <is>
          <t>2026-02-23 23:48</t>
        </is>
      </c>
      <c r="M536" s="191" t="inlineStr">
        <is>
          <t>CHECK_VENDOR</t>
        </is>
      </c>
      <c r="N536" s="191" t="inlineStr">
        <is>
          <t>See NVD references</t>
        </is>
      </c>
      <c r="O536" s="191" t="inlineStr">
        <is>
          <t>Apply vendor patches</t>
        </is>
      </c>
      <c r="P536" s="191" t="inlineStr">
        <is>
          <t>See CVE details</t>
        </is>
      </c>
      <c r="Q536" s="191" t="inlineStr">
        <is>
          <t>P4</t>
        </is>
      </c>
      <c r="R536" s="191" t="inlineStr">
        <is>
          <t>📅 Schedule patch deployment within 30 days | 🔍 Monitor for exploitation attempts</t>
        </is>
      </c>
      <c r="S536" s="191" t="inlineStr">
        <is>
          <t>CVE - IP enrichment n/a</t>
        </is>
      </c>
      <c r="T536" s="191" t="n">
        <v>0.0004</v>
      </c>
      <c r="U536" s="191" t="n">
        <v>0.1048</v>
      </c>
      <c r="V536" s="191" t="inlineStr">
        <is>
          <t>T1190:Exploit Public-Facing Application</t>
        </is>
      </c>
      <c r="W536" s="191" t="n">
        <v>1</v>
      </c>
      <c r="X536" s="191" t="inlineStr">
        <is>
          <t>LOW (40%)</t>
        </is>
      </c>
      <c r="Y536" s="191" t="inlineStr">
        <is>
          <t>UNLIKELY</t>
        </is>
      </c>
      <c r="Z536" s="191" t="inlineStr">
        <is>
          <t>CHECK_VENDOR</t>
        </is>
      </c>
      <c r="AA536" s="192" t="inlineStr">
        <is>
          <t>https://nvd.nist.gov/vuln/detail/CVE-2026-25420</t>
        </is>
      </c>
      <c r="AB536" s="191" t="inlineStr">
        <is>
          <t>NONE</t>
        </is>
      </c>
      <c r="AC536" s="191" t="n">
        <v>0</v>
      </c>
      <c r="AD536" s="191" t="n"/>
    </row>
    <row r="537">
      <c r="A537" s="191" t="inlineStr">
        <is>
          <t>CVE</t>
        </is>
      </c>
      <c r="B537" s="191" t="inlineStr">
        <is>
          <t>CVE-2026-25422</t>
        </is>
      </c>
      <c r="C537" s="191" t="inlineStr">
        <is>
          <t>Cross-Site Request Forgery (CSRF) vulnerability in Themes4WP Popularis Extra popularis-extra allows Cross Site Request Forgery.This issue affects Popularis Extra: from n/a through &lt;= 1.2.10.</t>
        </is>
      </c>
      <c r="D537" s="191" t="n">
        <v>5</v>
      </c>
      <c r="E537" s="191" t="inlineStr">
        <is>
          <t>MEDIUM</t>
        </is>
      </c>
      <c r="F537" s="191" t="n">
        <v>2</v>
      </c>
      <c r="G537" s="191" t="n">
        <v>2</v>
      </c>
      <c r="H537" s="191" t="inlineStr">
        <is>
          <t>MEDIUM</t>
        </is>
      </c>
      <c r="I537" s="191" t="n">
        <v>9</v>
      </c>
      <c r="J537" s="191" t="inlineStr">
        <is>
          <t>NO</t>
        </is>
      </c>
      <c r="K537" s="192" t="inlineStr">
        <is>
          <t>https://nvd.nist.gov/vuln/detail/CVE-2026-25422</t>
        </is>
      </c>
      <c r="L537" s="191" t="inlineStr">
        <is>
          <t>2026-02-23 23:48</t>
        </is>
      </c>
      <c r="M537" s="191" t="inlineStr">
        <is>
          <t>CHECK_VENDOR</t>
        </is>
      </c>
      <c r="N537" s="191" t="inlineStr">
        <is>
          <t>See NVD references</t>
        </is>
      </c>
      <c r="O537" s="191" t="inlineStr">
        <is>
          <t>Apply vendor patches</t>
        </is>
      </c>
      <c r="P537" s="191" t="inlineStr">
        <is>
          <t>See CVE details</t>
        </is>
      </c>
      <c r="Q537" s="191" t="inlineStr">
        <is>
          <t>P4</t>
        </is>
      </c>
      <c r="R537" s="191" t="inlineStr">
        <is>
          <t>📅 Schedule patch deployment within 30 days | 🔍 Monitor for exploitation attempts</t>
        </is>
      </c>
      <c r="S537" s="191" t="inlineStr">
        <is>
          <t>CVE - IP enrichment n/a</t>
        </is>
      </c>
      <c r="T537" s="191" t="n">
        <v>0</v>
      </c>
      <c r="U537" s="191" t="n">
        <v>0</v>
      </c>
      <c r="V537" s="191" t="inlineStr">
        <is>
          <t>T1185:Browser Session Hijacking</t>
        </is>
      </c>
      <c r="W537" s="191" t="n">
        <v>1</v>
      </c>
      <c r="X537" s="191" t="inlineStr">
        <is>
          <t>LOW (40%)</t>
        </is>
      </c>
      <c r="Y537" s="191" t="inlineStr">
        <is>
          <t>UNLIKELY</t>
        </is>
      </c>
      <c r="Z537" s="191" t="inlineStr">
        <is>
          <t>CHECK_VENDOR</t>
        </is>
      </c>
      <c r="AA537" s="192" t="inlineStr">
        <is>
          <t>https://nvd.nist.gov/vuln/detail/CVE-2026-25422</t>
        </is>
      </c>
      <c r="AB537" s="191" t="inlineStr">
        <is>
          <t>NONE</t>
        </is>
      </c>
      <c r="AC537" s="191" t="n">
        <v>0</v>
      </c>
      <c r="AD537" s="191" t="n"/>
    </row>
    <row r="538">
      <c r="A538" s="195" t="inlineStr">
        <is>
          <t>CVE</t>
        </is>
      </c>
      <c r="B538" s="195" t="inlineStr">
        <is>
          <t>CVE-2026-25423</t>
        </is>
      </c>
      <c r="C538" s="195" t="inlineStr">
        <is>
          <t>Missing Authorization vulnerability in creativeinteractivemedia Real 3D FlipBook real3d-flipbook-lite allows Exploiting Incorrectly Configured Access Control Security Levels.This issue affects Real 3D FlipBook: from n/a through &lt;= 4.16.4.</t>
        </is>
      </c>
      <c r="D538" s="195" t="n">
        <v>3.8</v>
      </c>
      <c r="E538" s="195" t="inlineStr">
        <is>
          <t>LOW</t>
        </is>
      </c>
      <c r="F538" s="195" t="n">
        <v>2</v>
      </c>
      <c r="G538" s="195" t="n">
        <v>1</v>
      </c>
      <c r="H538" s="195" t="inlineStr">
        <is>
          <t>LOW</t>
        </is>
      </c>
      <c r="I538" s="195" t="n">
        <v>5.8</v>
      </c>
      <c r="J538" s="195" t="inlineStr">
        <is>
          <t>NO</t>
        </is>
      </c>
      <c r="K538" s="196" t="inlineStr">
        <is>
          <t>https://nvd.nist.gov/vuln/detail/CVE-2026-25423</t>
        </is>
      </c>
      <c r="L538" s="195" t="inlineStr">
        <is>
          <t>2026-02-23 23:48</t>
        </is>
      </c>
      <c r="M538" s="195" t="inlineStr">
        <is>
          <t>CHECK_VENDOR</t>
        </is>
      </c>
      <c r="N538" s="195" t="inlineStr">
        <is>
          <t>See NVD references</t>
        </is>
      </c>
      <c r="O538" s="195" t="inlineStr">
        <is>
          <t>Apply vendor patches</t>
        </is>
      </c>
      <c r="P538" s="195" t="inlineStr">
        <is>
          <t>See CVE details</t>
        </is>
      </c>
      <c r="Q538" s="195" t="inlineStr">
        <is>
          <t>P4</t>
        </is>
      </c>
      <c r="R538" s="195" t="inlineStr">
        <is>
          <t>📅 Schedule patch deployment within 30 days | 🔍 Monitor for exploitation attempts</t>
        </is>
      </c>
      <c r="S538" s="195" t="inlineStr">
        <is>
          <t>CVE - IP enrichment n/a</t>
        </is>
      </c>
      <c r="T538" s="195" t="n">
        <v>0</v>
      </c>
      <c r="U538" s="195" t="n">
        <v>0</v>
      </c>
      <c r="V538" s="195" t="inlineStr">
        <is>
          <t>T1190:Exploit Public-Facing Application</t>
        </is>
      </c>
      <c r="W538" s="195" t="n">
        <v>1</v>
      </c>
      <c r="X538" s="195" t="inlineStr">
        <is>
          <t>LOW (40%)</t>
        </is>
      </c>
      <c r="Y538" s="195" t="inlineStr">
        <is>
          <t>UNLIKELY</t>
        </is>
      </c>
      <c r="Z538" s="195" t="inlineStr">
        <is>
          <t>CHECK_VENDOR</t>
        </is>
      </c>
      <c r="AA538" s="196" t="inlineStr">
        <is>
          <t>https://nvd.nist.gov/vuln/detail/CVE-2026-25423</t>
        </is>
      </c>
      <c r="AB538" s="195" t="inlineStr">
        <is>
          <t>NONE</t>
        </is>
      </c>
      <c r="AC538" s="195" t="n">
        <v>0</v>
      </c>
      <c r="AD538" s="195" t="n"/>
    </row>
    <row r="539">
      <c r="A539" s="191" t="inlineStr">
        <is>
          <t>CVE</t>
        </is>
      </c>
      <c r="B539" s="191" t="inlineStr">
        <is>
          <t>CVE-2026-25428</t>
        </is>
      </c>
      <c r="C539" s="191" t="inlineStr">
        <is>
          <t>Server-Side Request Forgery (SSRF) vulnerability in totalsoft TS Poll poll-wp allows Server Side Request Forgery.This issue affects TS Poll: from n/a through &lt;= 2.5.5.</t>
        </is>
      </c>
      <c r="D539" s="191" t="n">
        <v>4.4</v>
      </c>
      <c r="E539" s="191" t="inlineStr">
        <is>
          <t>MEDIUM</t>
        </is>
      </c>
      <c r="F539" s="191" t="n">
        <v>2</v>
      </c>
      <c r="G539" s="191" t="n">
        <v>2</v>
      </c>
      <c r="H539" s="191" t="inlineStr">
        <is>
          <t>MEDIUM</t>
        </is>
      </c>
      <c r="I539" s="191" t="n">
        <v>8.4</v>
      </c>
      <c r="J539" s="191" t="inlineStr">
        <is>
          <t>NO</t>
        </is>
      </c>
      <c r="K539" s="192" t="inlineStr">
        <is>
          <t>https://nvd.nist.gov/vuln/detail/CVE-2026-25428</t>
        </is>
      </c>
      <c r="L539" s="191" t="inlineStr">
        <is>
          <t>2026-02-23 23:48</t>
        </is>
      </c>
      <c r="M539" s="191" t="inlineStr">
        <is>
          <t>CHECK_VENDOR</t>
        </is>
      </c>
      <c r="N539" s="191" t="inlineStr">
        <is>
          <t>See NVD references</t>
        </is>
      </c>
      <c r="O539" s="191" t="inlineStr">
        <is>
          <t>Apply vendor patches</t>
        </is>
      </c>
      <c r="P539" s="191" t="inlineStr">
        <is>
          <t>See CVE details</t>
        </is>
      </c>
      <c r="Q539" s="191" t="inlineStr">
        <is>
          <t>P4</t>
        </is>
      </c>
      <c r="R539" s="191" t="inlineStr">
        <is>
          <t>📅 Schedule patch deployment within 30 days | 🔍 Monitor for exploitation attempts</t>
        </is>
      </c>
      <c r="S539" s="191" t="inlineStr">
        <is>
          <t>CVE - IP enrichment n/a</t>
        </is>
      </c>
      <c r="T539" s="191" t="n">
        <v>0</v>
      </c>
      <c r="U539" s="191" t="n">
        <v>0</v>
      </c>
      <c r="V539" s="191" t="inlineStr">
        <is>
          <t>T1090:Proxy</t>
        </is>
      </c>
      <c r="W539" s="191" t="n">
        <v>1</v>
      </c>
      <c r="X539" s="191" t="inlineStr">
        <is>
          <t>LOW (40%)</t>
        </is>
      </c>
      <c r="Y539" s="191" t="inlineStr">
        <is>
          <t>UNLIKELY</t>
        </is>
      </c>
      <c r="Z539" s="191" t="inlineStr">
        <is>
          <t>CHECK_VENDOR</t>
        </is>
      </c>
      <c r="AA539" s="192" t="inlineStr">
        <is>
          <t>https://nvd.nist.gov/vuln/detail/CVE-2026-25428</t>
        </is>
      </c>
      <c r="AB539" s="191" t="inlineStr">
        <is>
          <t>NONE</t>
        </is>
      </c>
      <c r="AC539" s="191" t="n">
        <v>0</v>
      </c>
      <c r="AD539" s="191" t="n"/>
    </row>
    <row r="540">
      <c r="A540" s="191" t="inlineStr">
        <is>
          <t>CVE</t>
        </is>
      </c>
      <c r="B540" s="191" t="inlineStr">
        <is>
          <t>CVE-2026-25432</t>
        </is>
      </c>
      <c r="C540" s="191" t="inlineStr">
        <is>
          <t>Improper Neutralization of Input During Web Page Generation ('Cross-site Scripting') vulnerability in omnipressteam Omnipress omnipress allows Stored XSS.This issue affects Omnipress: from n/a through &lt;= 1.6.7.</t>
        </is>
      </c>
      <c r="D540" s="191" t="n">
        <v>6.5</v>
      </c>
      <c r="E540" s="191" t="inlineStr">
        <is>
          <t>MEDIUM</t>
        </is>
      </c>
      <c r="F540" s="191" t="n">
        <v>2</v>
      </c>
      <c r="G540" s="191" t="n">
        <v>2</v>
      </c>
      <c r="H540" s="191" t="inlineStr">
        <is>
          <t>MEDIUM</t>
        </is>
      </c>
      <c r="I540" s="191" t="n">
        <v>10.5</v>
      </c>
      <c r="J540" s="191" t="inlineStr">
        <is>
          <t>NO</t>
        </is>
      </c>
      <c r="K540" s="192" t="inlineStr">
        <is>
          <t>https://nvd.nist.gov/vuln/detail/CVE-2026-25432</t>
        </is>
      </c>
      <c r="L540" s="191" t="inlineStr">
        <is>
          <t>2026-02-23 23:48</t>
        </is>
      </c>
      <c r="M540" s="191" t="inlineStr">
        <is>
          <t>CHECK_VENDOR</t>
        </is>
      </c>
      <c r="N540" s="191" t="inlineStr">
        <is>
          <t>See NVD references</t>
        </is>
      </c>
      <c r="O540" s="191" t="inlineStr">
        <is>
          <t>Apply vendor patches</t>
        </is>
      </c>
      <c r="P540" s="191" t="inlineStr">
        <is>
          <t>See CVE details</t>
        </is>
      </c>
      <c r="Q540" s="191" t="inlineStr">
        <is>
          <t>P4</t>
        </is>
      </c>
      <c r="R540" s="191" t="inlineStr">
        <is>
          <t>📅 Schedule patch deployment within 30 days | 🔍 Monitor for exploitation attempts</t>
        </is>
      </c>
      <c r="S540" s="191" t="inlineStr">
        <is>
          <t>CVE - IP enrichment n/a</t>
        </is>
      </c>
      <c r="T540" s="191" t="n">
        <v>0</v>
      </c>
      <c r="U540" s="191" t="n">
        <v>0</v>
      </c>
      <c r="V540" s="191" t="inlineStr">
        <is>
          <t>T1189:Drive-by Compromise</t>
        </is>
      </c>
      <c r="W540" s="191" t="n">
        <v>1</v>
      </c>
      <c r="X540" s="191" t="inlineStr">
        <is>
          <t>LOW (40%)</t>
        </is>
      </c>
      <c r="Y540" s="191" t="inlineStr">
        <is>
          <t>UNLIKELY</t>
        </is>
      </c>
      <c r="Z540" s="191" t="inlineStr">
        <is>
          <t>CHECK_VENDOR</t>
        </is>
      </c>
      <c r="AA540" s="192" t="inlineStr">
        <is>
          <t>https://nvd.nist.gov/vuln/detail/CVE-2026-25432</t>
        </is>
      </c>
      <c r="AB540" s="191" t="inlineStr">
        <is>
          <t>NONE</t>
        </is>
      </c>
      <c r="AC540" s="191" t="n">
        <v>0</v>
      </c>
      <c r="AD540" s="191" t="n"/>
    </row>
    <row r="541">
      <c r="A541" s="191" t="inlineStr">
        <is>
          <t>CVE</t>
        </is>
      </c>
      <c r="B541" s="191" t="inlineStr">
        <is>
          <t>CVE-2026-25441</t>
        </is>
      </c>
      <c r="C541" s="191" t="inlineStr">
        <is>
          <t>Missing Authorization vulnerability in LeadConnector LeadConnector leadconnector allows Exploiting Incorrectly Configured Access Control Security Levels.This issue affects LeadConnector: from n/a through &lt;= 3.0.21.</t>
        </is>
      </c>
      <c r="D541" s="191" t="n">
        <v>5.3</v>
      </c>
      <c r="E541" s="191" t="inlineStr">
        <is>
          <t>MEDIUM</t>
        </is>
      </c>
      <c r="F541" s="191" t="n">
        <v>2</v>
      </c>
      <c r="G541" s="191" t="n">
        <v>2</v>
      </c>
      <c r="H541" s="191" t="inlineStr">
        <is>
          <t>MEDIUM</t>
        </is>
      </c>
      <c r="I541" s="191" t="n">
        <v>9.300000000000001</v>
      </c>
      <c r="J541" s="191" t="inlineStr">
        <is>
          <t>NO</t>
        </is>
      </c>
      <c r="K541" s="192" t="inlineStr">
        <is>
          <t>https://nvd.nist.gov/vuln/detail/CVE-2026-25441</t>
        </is>
      </c>
      <c r="L541" s="191" t="inlineStr">
        <is>
          <t>2026-02-23 23:48</t>
        </is>
      </c>
      <c r="M541" s="191" t="inlineStr">
        <is>
          <t>CHECK_VENDOR</t>
        </is>
      </c>
      <c r="N541" s="191" t="inlineStr">
        <is>
          <t>See NVD references</t>
        </is>
      </c>
      <c r="O541" s="191" t="inlineStr">
        <is>
          <t>Apply vendor patches</t>
        </is>
      </c>
      <c r="P541" s="191" t="inlineStr">
        <is>
          <t>See CVE details</t>
        </is>
      </c>
      <c r="Q541" s="191" t="inlineStr">
        <is>
          <t>P4</t>
        </is>
      </c>
      <c r="R541" s="191" t="inlineStr">
        <is>
          <t>📅 Schedule patch deployment within 30 days | 🔍 Monitor for exploitation attempts</t>
        </is>
      </c>
      <c r="S541" s="191" t="inlineStr">
        <is>
          <t>CVE - IP enrichment n/a</t>
        </is>
      </c>
      <c r="T541" s="191" t="n">
        <v>0</v>
      </c>
      <c r="U541" s="191" t="n">
        <v>0</v>
      </c>
      <c r="V541" s="191" t="inlineStr">
        <is>
          <t>T1190:Exploit Public-Facing Application</t>
        </is>
      </c>
      <c r="W541" s="191" t="n">
        <v>1</v>
      </c>
      <c r="X541" s="191" t="inlineStr">
        <is>
          <t>LOW (40%)</t>
        </is>
      </c>
      <c r="Y541" s="191" t="inlineStr">
        <is>
          <t>UNLIKELY</t>
        </is>
      </c>
      <c r="Z541" s="191" t="inlineStr">
        <is>
          <t>CHECK_VENDOR</t>
        </is>
      </c>
      <c r="AA541" s="192" t="inlineStr">
        <is>
          <t>https://nvd.nist.gov/vuln/detail/CVE-2026-25441</t>
        </is>
      </c>
      <c r="AB541" s="191" t="inlineStr">
        <is>
          <t>NONE</t>
        </is>
      </c>
      <c r="AC541" s="191" t="n">
        <v>0</v>
      </c>
      <c r="AD541" s="191" t="n"/>
    </row>
    <row r="542">
      <c r="A542" s="191" t="inlineStr">
        <is>
          <t>CVE</t>
        </is>
      </c>
      <c r="B542" s="191" t="inlineStr">
        <is>
          <t>CVE-2026-25451</t>
        </is>
      </c>
      <c r="C542" s="191" t="inlineStr">
        <is>
          <t>Improper Neutralization of Input During Web Page Generation ('Cross-site Scripting') vulnerability in boldthemes Bold Page Builder bold-page-builder allows Stored XSS.This issue affects Bold Page Builder: from n/a through &lt;= 5.6.4.</t>
        </is>
      </c>
      <c r="D542" s="191" t="n">
        <v>6.5</v>
      </c>
      <c r="E542" s="191" t="inlineStr">
        <is>
          <t>MEDIUM</t>
        </is>
      </c>
      <c r="F542" s="191" t="n">
        <v>2</v>
      </c>
      <c r="G542" s="191" t="n">
        <v>2</v>
      </c>
      <c r="H542" s="191" t="inlineStr">
        <is>
          <t>MEDIUM</t>
        </is>
      </c>
      <c r="I542" s="191" t="n">
        <v>10.5</v>
      </c>
      <c r="J542" s="191" t="inlineStr">
        <is>
          <t>NO</t>
        </is>
      </c>
      <c r="K542" s="192" t="inlineStr">
        <is>
          <t>https://nvd.nist.gov/vuln/detail/CVE-2026-25451</t>
        </is>
      </c>
      <c r="L542" s="191" t="inlineStr">
        <is>
          <t>2026-02-23 23:48</t>
        </is>
      </c>
      <c r="M542" s="191" t="inlineStr">
        <is>
          <t>CHECK_VENDOR</t>
        </is>
      </c>
      <c r="N542" s="191" t="inlineStr">
        <is>
          <t>See NVD references</t>
        </is>
      </c>
      <c r="O542" s="191" t="inlineStr">
        <is>
          <t>Apply vendor patches</t>
        </is>
      </c>
      <c r="P542" s="191" t="inlineStr">
        <is>
          <t>See CVE details</t>
        </is>
      </c>
      <c r="Q542" s="191" t="inlineStr">
        <is>
          <t>P4</t>
        </is>
      </c>
      <c r="R542" s="191" t="inlineStr">
        <is>
          <t>📅 Schedule patch deployment within 30 days | 🔍 Monitor for exploitation attempts</t>
        </is>
      </c>
      <c r="S542" s="191" t="inlineStr">
        <is>
          <t>CVE - IP enrichment n/a</t>
        </is>
      </c>
      <c r="T542" s="191" t="n">
        <v>0</v>
      </c>
      <c r="U542" s="191" t="n">
        <v>0</v>
      </c>
      <c r="V542" s="191" t="inlineStr">
        <is>
          <t>T1189:Drive-by Compromise</t>
        </is>
      </c>
      <c r="W542" s="191" t="n">
        <v>1</v>
      </c>
      <c r="X542" s="191" t="inlineStr">
        <is>
          <t>LOW (40%)</t>
        </is>
      </c>
      <c r="Y542" s="191" t="inlineStr">
        <is>
          <t>UNLIKELY</t>
        </is>
      </c>
      <c r="Z542" s="191" t="inlineStr">
        <is>
          <t>CHECK_VENDOR</t>
        </is>
      </c>
      <c r="AA542" s="192" t="inlineStr">
        <is>
          <t>https://nvd.nist.gov/vuln/detail/CVE-2026-25451</t>
        </is>
      </c>
      <c r="AB542" s="191" t="inlineStr">
        <is>
          <t>NONE</t>
        </is>
      </c>
      <c r="AC542" s="191" t="n">
        <v>0</v>
      </c>
      <c r="AD542" s="191" t="n"/>
    </row>
    <row r="543">
      <c r="A543" s="191" t="inlineStr">
        <is>
          <t>CVE</t>
        </is>
      </c>
      <c r="B543" s="191" t="inlineStr">
        <is>
          <t>CVE-2026-25453</t>
        </is>
      </c>
      <c r="C543" s="191" t="inlineStr">
        <is>
          <t>Improper Neutralization of Input During Web Page Generation ('Cross-site Scripting') vulnerability in mdempfle Advanced iFrame advanced-iframe allows DOM-Based XSS.This issue affects Advanced iFrame: from n/a through &lt;= 2025.10.</t>
        </is>
      </c>
      <c r="D543" s="191" t="n">
        <v>6.5</v>
      </c>
      <c r="E543" s="191" t="inlineStr">
        <is>
          <t>MEDIUM</t>
        </is>
      </c>
      <c r="F543" s="191" t="n">
        <v>2</v>
      </c>
      <c r="G543" s="191" t="n">
        <v>2</v>
      </c>
      <c r="H543" s="191" t="inlineStr">
        <is>
          <t>MEDIUM</t>
        </is>
      </c>
      <c r="I543" s="191" t="n">
        <v>10.5</v>
      </c>
      <c r="J543" s="191" t="inlineStr">
        <is>
          <t>NO</t>
        </is>
      </c>
      <c r="K543" s="192" t="inlineStr">
        <is>
          <t>https://nvd.nist.gov/vuln/detail/CVE-2026-25453</t>
        </is>
      </c>
      <c r="L543" s="191" t="inlineStr">
        <is>
          <t>2026-02-23 23:48</t>
        </is>
      </c>
      <c r="M543" s="191" t="inlineStr">
        <is>
          <t>CHECK_VENDOR</t>
        </is>
      </c>
      <c r="N543" s="191" t="inlineStr">
        <is>
          <t>See NVD references</t>
        </is>
      </c>
      <c r="O543" s="191" t="inlineStr">
        <is>
          <t>Apply vendor patches</t>
        </is>
      </c>
      <c r="P543" s="191" t="inlineStr">
        <is>
          <t>See CVE details</t>
        </is>
      </c>
      <c r="Q543" s="191" t="inlineStr">
        <is>
          <t>P4</t>
        </is>
      </c>
      <c r="R543" s="191" t="inlineStr">
        <is>
          <t>📅 Schedule patch deployment within 30 days | 🔍 Monitor for exploitation attempts</t>
        </is>
      </c>
      <c r="S543" s="191" t="inlineStr">
        <is>
          <t>CVE - IP enrichment n/a</t>
        </is>
      </c>
      <c r="T543" s="191" t="n">
        <v>0</v>
      </c>
      <c r="U543" s="191" t="n">
        <v>0</v>
      </c>
      <c r="V543" s="191" t="inlineStr">
        <is>
          <t>T1189:Drive-by Compromise</t>
        </is>
      </c>
      <c r="W543" s="191" t="n">
        <v>1</v>
      </c>
      <c r="X543" s="191" t="inlineStr">
        <is>
          <t>LOW (40%)</t>
        </is>
      </c>
      <c r="Y543" s="191" t="inlineStr">
        <is>
          <t>UNLIKELY</t>
        </is>
      </c>
      <c r="Z543" s="191" t="inlineStr">
        <is>
          <t>CHECK_VENDOR</t>
        </is>
      </c>
      <c r="AA543" s="192" t="inlineStr">
        <is>
          <t>https://nvd.nist.gov/vuln/detail/CVE-2026-25453</t>
        </is>
      </c>
      <c r="AB543" s="191" t="inlineStr">
        <is>
          <t>NONE</t>
        </is>
      </c>
      <c r="AC543" s="191" t="n">
        <v>0</v>
      </c>
      <c r="AD543" s="191" t="n"/>
    </row>
    <row r="544">
      <c r="A544" s="191" t="inlineStr">
        <is>
          <t>CVE</t>
        </is>
      </c>
      <c r="B544" s="191" t="inlineStr">
        <is>
          <t>CVE-2026-25459</t>
        </is>
      </c>
      <c r="C544" s="191" t="inlineStr">
        <is>
          <t>Missing Authorization vulnerability in uixthemes Sober sober allows Exploiting Incorrectly Configured Access Control Security Levels.This issue affects Sober: from n/a through &lt;= 3.5.12.</t>
        </is>
      </c>
      <c r="D544" s="191" t="n">
        <v>4.3</v>
      </c>
      <c r="E544" s="191" t="inlineStr">
        <is>
          <t>MEDIUM</t>
        </is>
      </c>
      <c r="F544" s="191" t="n">
        <v>2</v>
      </c>
      <c r="G544" s="191" t="n">
        <v>2</v>
      </c>
      <c r="H544" s="191" t="inlineStr">
        <is>
          <t>MEDIUM</t>
        </is>
      </c>
      <c r="I544" s="191" t="n">
        <v>8.300000000000001</v>
      </c>
      <c r="J544" s="191" t="inlineStr">
        <is>
          <t>NO</t>
        </is>
      </c>
      <c r="K544" s="192" t="inlineStr">
        <is>
          <t>https://nvd.nist.gov/vuln/detail/CVE-2026-25459</t>
        </is>
      </c>
      <c r="L544" s="191" t="inlineStr">
        <is>
          <t>2026-02-23 23:48</t>
        </is>
      </c>
      <c r="M544" s="191" t="inlineStr">
        <is>
          <t>CHECK_VENDOR</t>
        </is>
      </c>
      <c r="N544" s="191" t="inlineStr">
        <is>
          <t>See NVD references</t>
        </is>
      </c>
      <c r="O544" s="191" t="inlineStr">
        <is>
          <t>Apply vendor patches</t>
        </is>
      </c>
      <c r="P544" s="191" t="inlineStr">
        <is>
          <t>See CVE details</t>
        </is>
      </c>
      <c r="Q544" s="191" t="inlineStr">
        <is>
          <t>P4</t>
        </is>
      </c>
      <c r="R544" s="191" t="inlineStr">
        <is>
          <t>📅 Schedule patch deployment within 30 days | 🔍 Monitor for exploitation attempts</t>
        </is>
      </c>
      <c r="S544" s="191" t="inlineStr">
        <is>
          <t>CVE - IP enrichment n/a</t>
        </is>
      </c>
      <c r="T544" s="191" t="n">
        <v>0</v>
      </c>
      <c r="U544" s="191" t="n">
        <v>0</v>
      </c>
      <c r="V544" s="191" t="inlineStr">
        <is>
          <t>T1190:Exploit Public-Facing Application</t>
        </is>
      </c>
      <c r="W544" s="191" t="n">
        <v>1</v>
      </c>
      <c r="X544" s="191" t="inlineStr">
        <is>
          <t>LOW (40%)</t>
        </is>
      </c>
      <c r="Y544" s="191" t="inlineStr">
        <is>
          <t>UNLIKELY</t>
        </is>
      </c>
      <c r="Z544" s="191" t="inlineStr">
        <is>
          <t>CHECK_VENDOR</t>
        </is>
      </c>
      <c r="AA544" s="192" t="inlineStr">
        <is>
          <t>https://nvd.nist.gov/vuln/detail/CVE-2026-25459</t>
        </is>
      </c>
      <c r="AB544" s="191" t="inlineStr">
        <is>
          <t>NONE</t>
        </is>
      </c>
      <c r="AC544" s="191" t="n">
        <v>0</v>
      </c>
      <c r="AD544" s="191" t="n"/>
    </row>
    <row r="545">
      <c r="A545" s="191" t="inlineStr">
        <is>
          <t>CVE</t>
        </is>
      </c>
      <c r="B545" s="191" t="inlineStr">
        <is>
          <t>CVE-2026-25463</t>
        </is>
      </c>
      <c r="C545" s="191" t="inlineStr">
        <is>
          <t>Improper Neutralization of Input During Web Page Generation ('Cross-site Scripting') vulnerability in WpEstate Wpresidence Core wpresidence-core allows Stored XSS.This issue affects Wpresidence Core: from n/a through &lt;= 5.4.0.</t>
        </is>
      </c>
      <c r="D545" s="191" t="n">
        <v>6.5</v>
      </c>
      <c r="E545" s="191" t="inlineStr">
        <is>
          <t>MEDIUM</t>
        </is>
      </c>
      <c r="F545" s="191" t="n">
        <v>2</v>
      </c>
      <c r="G545" s="191" t="n">
        <v>2</v>
      </c>
      <c r="H545" s="191" t="inlineStr">
        <is>
          <t>MEDIUM</t>
        </is>
      </c>
      <c r="I545" s="191" t="n">
        <v>10.5</v>
      </c>
      <c r="J545" s="191" t="inlineStr">
        <is>
          <t>NO</t>
        </is>
      </c>
      <c r="K545" s="192" t="inlineStr">
        <is>
          <t>https://nvd.nist.gov/vuln/detail/CVE-2026-25463</t>
        </is>
      </c>
      <c r="L545" s="191" t="inlineStr">
        <is>
          <t>2026-02-23 23:48</t>
        </is>
      </c>
      <c r="M545" s="191" t="inlineStr">
        <is>
          <t>CHECK_VENDOR</t>
        </is>
      </c>
      <c r="N545" s="191" t="inlineStr">
        <is>
          <t>See NVD references</t>
        </is>
      </c>
      <c r="O545" s="191" t="inlineStr">
        <is>
          <t>Apply vendor patches</t>
        </is>
      </c>
      <c r="P545" s="191" t="inlineStr">
        <is>
          <t>See CVE details</t>
        </is>
      </c>
      <c r="Q545" s="191" t="inlineStr">
        <is>
          <t>P4</t>
        </is>
      </c>
      <c r="R545" s="191" t="inlineStr">
        <is>
          <t>📅 Schedule patch deployment within 30 days | 🔍 Monitor for exploitation attempts</t>
        </is>
      </c>
      <c r="S545" s="191" t="inlineStr">
        <is>
          <t>CVE - IP enrichment n/a</t>
        </is>
      </c>
      <c r="T545" s="191" t="n">
        <v>0</v>
      </c>
      <c r="U545" s="191" t="n">
        <v>0</v>
      </c>
      <c r="V545" s="191" t="inlineStr">
        <is>
          <t>T1189:Drive-by Compromise</t>
        </is>
      </c>
      <c r="W545" s="191" t="n">
        <v>1</v>
      </c>
      <c r="X545" s="191" t="inlineStr">
        <is>
          <t>LOW (40%)</t>
        </is>
      </c>
      <c r="Y545" s="191" t="inlineStr">
        <is>
          <t>UNLIKELY</t>
        </is>
      </c>
      <c r="Z545" s="191" t="inlineStr">
        <is>
          <t>CHECK_VENDOR</t>
        </is>
      </c>
      <c r="AA545" s="192" t="inlineStr">
        <is>
          <t>https://nvd.nist.gov/vuln/detail/CVE-2026-25463</t>
        </is>
      </c>
      <c r="AB545" s="191" t="inlineStr">
        <is>
          <t>NONE</t>
        </is>
      </c>
      <c r="AC545" s="191" t="n">
        <v>0</v>
      </c>
      <c r="AD545" s="191" t="n"/>
    </row>
    <row r="546">
      <c r="A546" s="191" t="inlineStr">
        <is>
          <t>CVE</t>
        </is>
      </c>
      <c r="B546" s="191" t="inlineStr">
        <is>
          <t>CVE-2026-25472</t>
        </is>
      </c>
      <c r="C546" s="191" t="inlineStr">
        <is>
          <t>Improper Neutralization of Input During Web Page Generation ('Cross-site Scripting') vulnerability in ThemeFusion Fusion Builder fusion-builder allows Stored XSS.This issue affects Fusion Builder: from n/a through &lt;= 3.14.3.</t>
        </is>
      </c>
      <c r="D546" s="191" t="n">
        <v>6.5</v>
      </c>
      <c r="E546" s="191" t="inlineStr">
        <is>
          <t>MEDIUM</t>
        </is>
      </c>
      <c r="F546" s="191" t="n">
        <v>2</v>
      </c>
      <c r="G546" s="191" t="n">
        <v>2</v>
      </c>
      <c r="H546" s="191" t="inlineStr">
        <is>
          <t>MEDIUM</t>
        </is>
      </c>
      <c r="I546" s="191" t="n">
        <v>10.5</v>
      </c>
      <c r="J546" s="191" t="inlineStr">
        <is>
          <t>NO</t>
        </is>
      </c>
      <c r="K546" s="192" t="inlineStr">
        <is>
          <t>https://nvd.nist.gov/vuln/detail/CVE-2026-25472</t>
        </is>
      </c>
      <c r="L546" s="191" t="inlineStr">
        <is>
          <t>2026-02-23 23:48</t>
        </is>
      </c>
      <c r="M546" s="191" t="inlineStr">
        <is>
          <t>CHECK_VENDOR</t>
        </is>
      </c>
      <c r="N546" s="191" t="inlineStr">
        <is>
          <t>See NVD references</t>
        </is>
      </c>
      <c r="O546" s="191" t="inlineStr">
        <is>
          <t>Apply vendor patches</t>
        </is>
      </c>
      <c r="P546" s="191" t="inlineStr">
        <is>
          <t>See CVE details</t>
        </is>
      </c>
      <c r="Q546" s="191" t="inlineStr">
        <is>
          <t>P4</t>
        </is>
      </c>
      <c r="R546" s="191" t="inlineStr">
        <is>
          <t>📅 Schedule patch deployment within 30 days | 🔍 Monitor for exploitation attempts</t>
        </is>
      </c>
      <c r="S546" s="191" t="inlineStr">
        <is>
          <t>CVE - IP enrichment n/a</t>
        </is>
      </c>
      <c r="T546" s="191" t="n">
        <v>0.0003</v>
      </c>
      <c r="U546" s="191" t="n">
        <v>0.096</v>
      </c>
      <c r="V546" s="191" t="inlineStr">
        <is>
          <t>T1189:Drive-by Compromise</t>
        </is>
      </c>
      <c r="W546" s="191" t="n">
        <v>1</v>
      </c>
      <c r="X546" s="191" t="inlineStr">
        <is>
          <t>LOW (40%)</t>
        </is>
      </c>
      <c r="Y546" s="191" t="inlineStr">
        <is>
          <t>UNLIKELY</t>
        </is>
      </c>
      <c r="Z546" s="191" t="inlineStr">
        <is>
          <t>CHECK_VENDOR</t>
        </is>
      </c>
      <c r="AA546" s="192" t="inlineStr">
        <is>
          <t>https://nvd.nist.gov/vuln/detail/CVE-2026-25472</t>
        </is>
      </c>
      <c r="AB546" s="191" t="inlineStr">
        <is>
          <t>NONE</t>
        </is>
      </c>
      <c r="AC546" s="191" t="n">
        <v>0</v>
      </c>
      <c r="AD546" s="191" t="n"/>
    </row>
    <row r="547">
      <c r="A547" s="191" t="inlineStr">
        <is>
          <t>CVE</t>
        </is>
      </c>
      <c r="B547" s="191" t="inlineStr">
        <is>
          <t>CVE-2026-25473</t>
        </is>
      </c>
      <c r="C547" s="191" t="inlineStr">
        <is>
          <t>Missing Authorization vulnerability in AA-Team WZone woozone allows Exploiting Incorrectly Configured Access Control Security Levels.This issue affects WZone: from n/a through &lt;= 14.0.31.</t>
        </is>
      </c>
      <c r="D547" s="191" t="n">
        <v>5.4</v>
      </c>
      <c r="E547" s="191" t="inlineStr">
        <is>
          <t>MEDIUM</t>
        </is>
      </c>
      <c r="F547" s="191" t="n">
        <v>2</v>
      </c>
      <c r="G547" s="191" t="n">
        <v>2</v>
      </c>
      <c r="H547" s="191" t="inlineStr">
        <is>
          <t>MEDIUM</t>
        </is>
      </c>
      <c r="I547" s="191" t="n">
        <v>9.4</v>
      </c>
      <c r="J547" s="191" t="inlineStr">
        <is>
          <t>NO</t>
        </is>
      </c>
      <c r="K547" s="192" t="inlineStr">
        <is>
          <t>https://nvd.nist.gov/vuln/detail/CVE-2026-25473</t>
        </is>
      </c>
      <c r="L547" s="191" t="inlineStr">
        <is>
          <t>2026-02-23 23:48</t>
        </is>
      </c>
      <c r="M547" s="191" t="inlineStr">
        <is>
          <t>CHECK_VENDOR</t>
        </is>
      </c>
      <c r="N547" s="191" t="inlineStr">
        <is>
          <t>See NVD references</t>
        </is>
      </c>
      <c r="O547" s="191" t="inlineStr">
        <is>
          <t>Apply vendor patches</t>
        </is>
      </c>
      <c r="P547" s="191" t="inlineStr">
        <is>
          <t>See CVE details</t>
        </is>
      </c>
      <c r="Q547" s="191" t="inlineStr">
        <is>
          <t>P4</t>
        </is>
      </c>
      <c r="R547" s="191" t="inlineStr">
        <is>
          <t>📅 Schedule patch deployment within 30 days | 🔍 Monitor for exploitation attempts</t>
        </is>
      </c>
      <c r="S547" s="191" t="inlineStr">
        <is>
          <t>CVE - IP enrichment n/a</t>
        </is>
      </c>
      <c r="T547" s="191" t="n">
        <v>0.0004</v>
      </c>
      <c r="U547" s="191" t="n">
        <v>0.1048</v>
      </c>
      <c r="V547" s="191" t="inlineStr">
        <is>
          <t>T1190:Exploit Public-Facing Application</t>
        </is>
      </c>
      <c r="W547" s="191" t="n">
        <v>1</v>
      </c>
      <c r="X547" s="191" t="inlineStr">
        <is>
          <t>LOW (40%)</t>
        </is>
      </c>
      <c r="Y547" s="191" t="inlineStr">
        <is>
          <t>UNLIKELY</t>
        </is>
      </c>
      <c r="Z547" s="191" t="inlineStr">
        <is>
          <t>CHECK_VENDOR</t>
        </is>
      </c>
      <c r="AA547" s="192" t="inlineStr">
        <is>
          <t>https://nvd.nist.gov/vuln/detail/CVE-2026-25473</t>
        </is>
      </c>
      <c r="AB547" s="191" t="inlineStr">
        <is>
          <t>NONE</t>
        </is>
      </c>
      <c r="AC547" s="191" t="n">
        <v>0</v>
      </c>
      <c r="AD547" s="191" t="n"/>
    </row>
    <row r="548">
      <c r="A548" s="189" t="inlineStr">
        <is>
          <t>CVE</t>
        </is>
      </c>
      <c r="B548" s="189" t="inlineStr">
        <is>
          <t>CVE-2026-26358</t>
        </is>
      </c>
      <c r="C548" s="189" t="inlineStr">
        <is>
          <t>Dell Unisphere for PowerMax, version(s) 10.2, contain(s) a Missing Authorization vulnerability. A low privileged attacker with remote access could potentially exploit this vulnerability, leading to Unauthorized access.</t>
        </is>
      </c>
      <c r="D548" s="189" t="n">
        <v>8.800000000000001</v>
      </c>
      <c r="E548" s="189" t="inlineStr">
        <is>
          <t>HIGH</t>
        </is>
      </c>
      <c r="F548" s="189" t="n">
        <v>2</v>
      </c>
      <c r="G548" s="189" t="n">
        <v>3</v>
      </c>
      <c r="H548" s="189" t="inlineStr">
        <is>
          <t>HIGH</t>
        </is>
      </c>
      <c r="I548" s="189" t="n">
        <v>14.8</v>
      </c>
      <c r="J548" s="189" t="inlineStr">
        <is>
          <t>NO</t>
        </is>
      </c>
      <c r="K548" s="190" t="inlineStr">
        <is>
          <t>https://nvd.nist.gov/vuln/detail/CVE-2026-26358</t>
        </is>
      </c>
      <c r="L548" s="189" t="inlineStr">
        <is>
          <t>2026-02-23 23:48</t>
        </is>
      </c>
      <c r="M548" s="189" t="inlineStr">
        <is>
          <t>YES</t>
        </is>
      </c>
      <c r="N548" s="190" t="inlineStr">
        <is>
          <t>https://www.dell.com/support/kbdoc/en-us/000429268/dsa-2026-102-dell-unisphere-for-powermax-and-powermax-eem-security-update-for-multiple-vulnerabilities</t>
        </is>
      </c>
      <c r="O548" s="189" t="inlineStr">
        <is>
          <t>Apply vendor patches</t>
        </is>
      </c>
      <c r="P548" s="189" t="inlineStr">
        <is>
          <t>dell unisphere_for_powermax *</t>
        </is>
      </c>
      <c r="Q548" s="189" t="inlineStr">
        <is>
          <t>P3</t>
        </is>
      </c>
      <c r="R548" s="189" t="inlineStr">
        <is>
          <t>🚨 URGENT: Apply vendor patches immediately | 🔒 Isolate affected systems if patch unavailable | 🛡️ Enable additional monitoring/IDS rules</t>
        </is>
      </c>
      <c r="S548" s="189" t="inlineStr">
        <is>
          <t>CVE - IP enrichment n/a</t>
        </is>
      </c>
      <c r="T548" s="189" t="n">
        <v>0.0005</v>
      </c>
      <c r="U548" s="189" t="n">
        <v>0.1526</v>
      </c>
      <c r="V548" s="189" t="inlineStr">
        <is>
          <t>T1190:Exploit Public-Facing Application</t>
        </is>
      </c>
      <c r="W548" s="189" t="n">
        <v>1</v>
      </c>
      <c r="X548" s="189" t="inlineStr">
        <is>
          <t>LOW (40%)</t>
        </is>
      </c>
      <c r="Y548" s="189" t="inlineStr">
        <is>
          <t>UNLIKELY</t>
        </is>
      </c>
      <c r="Z548" s="189" t="inlineStr">
        <is>
          <t>PATCH_AVAILABLE</t>
        </is>
      </c>
      <c r="AA548" s="190" t="inlineStr">
        <is>
          <t>https://nvd.nist.gov/vuln/detail/CVE-2026-26358</t>
        </is>
      </c>
      <c r="AB548" s="189" t="inlineStr">
        <is>
          <t>NONE</t>
        </is>
      </c>
      <c r="AC548" s="189" t="n">
        <v>0</v>
      </c>
      <c r="AD548" s="189" t="n"/>
    </row>
    <row r="549">
      <c r="A549" s="189" t="inlineStr">
        <is>
          <t>CVE</t>
        </is>
      </c>
      <c r="B549" s="189" t="inlineStr">
        <is>
          <t>CVE-2026-26359</t>
        </is>
      </c>
      <c r="C549" s="189" t="inlineStr">
        <is>
          <t>Dell Unisphere for PowerMax, version(s) 10.2, contain(s) an External Control of File Name or Path vulnerability. A low privileged attacker with remote access could potentially exploit this vulnerability, leading to the ability to overwrite arbitrary files.</t>
        </is>
      </c>
      <c r="D549" s="189" t="n">
        <v>8.800000000000001</v>
      </c>
      <c r="E549" s="189" t="inlineStr">
        <is>
          <t>HIGH</t>
        </is>
      </c>
      <c r="F549" s="189" t="n">
        <v>2</v>
      </c>
      <c r="G549" s="189" t="n">
        <v>3</v>
      </c>
      <c r="H549" s="189" t="inlineStr">
        <is>
          <t>HIGH</t>
        </is>
      </c>
      <c r="I549" s="189" t="n">
        <v>14.8</v>
      </c>
      <c r="J549" s="189" t="inlineStr">
        <is>
          <t>NO</t>
        </is>
      </c>
      <c r="K549" s="190" t="inlineStr">
        <is>
          <t>https://nvd.nist.gov/vuln/detail/CVE-2026-26359</t>
        </is>
      </c>
      <c r="L549" s="189" t="inlineStr">
        <is>
          <t>2026-02-23 23:48</t>
        </is>
      </c>
      <c r="M549" s="189" t="inlineStr">
        <is>
          <t>YES</t>
        </is>
      </c>
      <c r="N549" s="190" t="inlineStr">
        <is>
          <t>https://www.dell.com/support/kbdoc/en-us/000429268/dsa-2026-102-dell-unisphere-for-powermax-and-powermax-eem-security-update-for-multiple-vulnerabilities</t>
        </is>
      </c>
      <c r="O549" s="189" t="inlineStr">
        <is>
          <t>Apply vendor patches</t>
        </is>
      </c>
      <c r="P549" s="189" t="inlineStr">
        <is>
          <t>dell unisphere_for_powermax *</t>
        </is>
      </c>
      <c r="Q549" s="189" t="inlineStr">
        <is>
          <t>P3</t>
        </is>
      </c>
      <c r="R549" s="189" t="inlineStr">
        <is>
          <t>🚨 URGENT: Apply vendor patches immediately | 🔒 Isolate affected systems if patch unavailable | 🛡️ Enable additional monitoring/IDS rules</t>
        </is>
      </c>
      <c r="S549" s="189" t="inlineStr">
        <is>
          <t>CVE - IP enrichment n/a</t>
        </is>
      </c>
      <c r="T549" s="189" t="n">
        <v>0</v>
      </c>
      <c r="U549" s="189" t="n">
        <v>0</v>
      </c>
      <c r="V549" s="189" t="inlineStr">
        <is>
          <t>T1190:Exploit Public-Facing Application</t>
        </is>
      </c>
      <c r="W549" s="189" t="n">
        <v>1</v>
      </c>
      <c r="X549" s="189" t="inlineStr">
        <is>
          <t>LOW (40%)</t>
        </is>
      </c>
      <c r="Y549" s="189" t="inlineStr">
        <is>
          <t>UNLIKELY</t>
        </is>
      </c>
      <c r="Z549" s="189" t="inlineStr">
        <is>
          <t>PATCH_AVAILABLE</t>
        </is>
      </c>
      <c r="AA549" s="190" t="inlineStr">
        <is>
          <t>https://nvd.nist.gov/vuln/detail/CVE-2026-26359</t>
        </is>
      </c>
      <c r="AB549" s="189" t="inlineStr">
        <is>
          <t>NONE</t>
        </is>
      </c>
      <c r="AC549" s="189" t="n">
        <v>0</v>
      </c>
      <c r="AD549" s="189" t="n"/>
    </row>
    <row r="550">
      <c r="A550" s="189" t="inlineStr">
        <is>
          <t>CVE</t>
        </is>
      </c>
      <c r="B550" s="189" t="inlineStr">
        <is>
          <t>CVE-2026-26360</t>
        </is>
      </c>
      <c r="C550" s="189" t="inlineStr">
        <is>
          <t>Dell Unisphere for PowerMax, version(s) 10.2, contain(s) an External Control of File Name or Path vulnerability. A low privileged attacker with remote access could potentially exploit this vulnerability to delete arbitrary files.</t>
        </is>
      </c>
      <c r="D550" s="189" t="n">
        <v>8.1</v>
      </c>
      <c r="E550" s="189" t="inlineStr">
        <is>
          <t>HIGH</t>
        </is>
      </c>
      <c r="F550" s="189" t="n">
        <v>2</v>
      </c>
      <c r="G550" s="189" t="n">
        <v>3</v>
      </c>
      <c r="H550" s="189" t="inlineStr">
        <is>
          <t>HIGH</t>
        </is>
      </c>
      <c r="I550" s="189" t="n">
        <v>14.1</v>
      </c>
      <c r="J550" s="189" t="inlineStr">
        <is>
          <t>NO</t>
        </is>
      </c>
      <c r="K550" s="190" t="inlineStr">
        <is>
          <t>https://nvd.nist.gov/vuln/detail/CVE-2026-26360</t>
        </is>
      </c>
      <c r="L550" s="189" t="inlineStr">
        <is>
          <t>2026-02-23 23:48</t>
        </is>
      </c>
      <c r="M550" s="189" t="inlineStr">
        <is>
          <t>YES</t>
        </is>
      </c>
      <c r="N550" s="190" t="inlineStr">
        <is>
          <t>https://www.dell.com/support/kbdoc/en-us/000429268/dsa-2026-102-dell-unisphere-for-powermax-and-powermax-eem-security-update-for-multiple-vulnerabilities</t>
        </is>
      </c>
      <c r="O550" s="189" t="inlineStr">
        <is>
          <t>Apply vendor patches</t>
        </is>
      </c>
      <c r="P550" s="189" t="inlineStr">
        <is>
          <t>dell unisphere_for_powermax *</t>
        </is>
      </c>
      <c r="Q550" s="189" t="inlineStr">
        <is>
          <t>P3</t>
        </is>
      </c>
      <c r="R550" s="189" t="inlineStr">
        <is>
          <t>🚨 URGENT: Apply vendor patches immediately | 🔒 Isolate affected systems if patch unavailable | 🛡️ Enable additional monitoring/IDS rules</t>
        </is>
      </c>
      <c r="S550" s="189" t="inlineStr">
        <is>
          <t>CVE - IP enrichment n/a</t>
        </is>
      </c>
      <c r="T550" s="189" t="n">
        <v>0</v>
      </c>
      <c r="U550" s="189" t="n">
        <v>0</v>
      </c>
      <c r="V550" s="189" t="inlineStr">
        <is>
          <t>T1190:Exploit Public-Facing Application</t>
        </is>
      </c>
      <c r="W550" s="189" t="n">
        <v>1</v>
      </c>
      <c r="X550" s="189" t="inlineStr">
        <is>
          <t>LOW (40%)</t>
        </is>
      </c>
      <c r="Y550" s="189" t="inlineStr">
        <is>
          <t>UNLIKELY</t>
        </is>
      </c>
      <c r="Z550" s="189" t="inlineStr">
        <is>
          <t>PATCH_AVAILABLE</t>
        </is>
      </c>
      <c r="AA550" s="190" t="inlineStr">
        <is>
          <t>https://nvd.nist.gov/vuln/detail/CVE-2026-26360</t>
        </is>
      </c>
      <c r="AB550" s="189" t="inlineStr">
        <is>
          <t>NONE</t>
        </is>
      </c>
      <c r="AC550" s="189" t="n">
        <v>0</v>
      </c>
      <c r="AD550" s="189" t="n"/>
    </row>
    <row r="551">
      <c r="A551" s="191" t="inlineStr">
        <is>
          <t>CVE</t>
        </is>
      </c>
      <c r="B551" s="191" t="inlineStr">
        <is>
          <t>CVE-2026-26361</t>
        </is>
      </c>
      <c r="C551" s="191" t="inlineStr">
        <is>
          <t>Dell Unisphere for PowerMax, version(s) 10.2, contain(s) an External Control of File Name or Path vulnerability. A low privileged attacker with remote access could potentially exploit this vulnerability, leading to Information disclosure.</t>
        </is>
      </c>
      <c r="D551" s="191" t="n">
        <v>6.5</v>
      </c>
      <c r="E551" s="191" t="inlineStr">
        <is>
          <t>MEDIUM</t>
        </is>
      </c>
      <c r="F551" s="191" t="n">
        <v>2</v>
      </c>
      <c r="G551" s="191" t="n">
        <v>2</v>
      </c>
      <c r="H551" s="191" t="inlineStr">
        <is>
          <t>MEDIUM</t>
        </is>
      </c>
      <c r="I551" s="191" t="n">
        <v>10.5</v>
      </c>
      <c r="J551" s="191" t="inlineStr">
        <is>
          <t>NO</t>
        </is>
      </c>
      <c r="K551" s="192" t="inlineStr">
        <is>
          <t>https://nvd.nist.gov/vuln/detail/CVE-2026-26361</t>
        </is>
      </c>
      <c r="L551" s="191" t="inlineStr">
        <is>
          <t>2026-02-23 23:48</t>
        </is>
      </c>
      <c r="M551" s="191" t="inlineStr">
        <is>
          <t>YES</t>
        </is>
      </c>
      <c r="N551" s="192" t="inlineStr">
        <is>
          <t>https://www.dell.com/support/kbdoc/en-us/000429268/dsa-2026-102-dell-unisphere-for-powermax-and-powermax-eem-security-update-for-multiple-vulnerabilities</t>
        </is>
      </c>
      <c r="O551" s="191" t="inlineStr">
        <is>
          <t>Apply vendor patches</t>
        </is>
      </c>
      <c r="P551" s="191" t="inlineStr">
        <is>
          <t>dell unisphere_for_powermax *</t>
        </is>
      </c>
      <c r="Q551" s="191" t="inlineStr">
        <is>
          <t>P4</t>
        </is>
      </c>
      <c r="R551" s="191" t="inlineStr">
        <is>
          <t>📅 Schedule patch deployment within 30 days | 🔍 Monitor for exploitation attempts</t>
        </is>
      </c>
      <c r="S551" s="191" t="inlineStr">
        <is>
          <t>CVE - IP enrichment n/a</t>
        </is>
      </c>
      <c r="T551" s="191" t="n">
        <v>0</v>
      </c>
      <c r="U551" s="191" t="n">
        <v>0</v>
      </c>
      <c r="V551" s="191" t="inlineStr">
        <is>
          <t>T1213:Data from Information Repositories</t>
        </is>
      </c>
      <c r="W551" s="191" t="n">
        <v>1</v>
      </c>
      <c r="X551" s="191" t="inlineStr">
        <is>
          <t>LOW (40%)</t>
        </is>
      </c>
      <c r="Y551" s="191" t="inlineStr">
        <is>
          <t>UNLIKELY</t>
        </is>
      </c>
      <c r="Z551" s="191" t="inlineStr">
        <is>
          <t>PATCH_AVAILABLE</t>
        </is>
      </c>
      <c r="AA551" s="192" t="inlineStr">
        <is>
          <t>https://nvd.nist.gov/vuln/detail/CVE-2026-26361</t>
        </is>
      </c>
      <c r="AB551" s="191" t="inlineStr">
        <is>
          <t>NONE</t>
        </is>
      </c>
      <c r="AC551" s="191" t="n">
        <v>0</v>
      </c>
      <c r="AD551" s="191" t="n"/>
    </row>
    <row r="552">
      <c r="A552" s="189" t="inlineStr">
        <is>
          <t>CVE</t>
        </is>
      </c>
      <c r="B552" s="189" t="inlineStr">
        <is>
          <t>CVE-2026-26362</t>
        </is>
      </c>
      <c r="C552" s="189" t="inlineStr">
        <is>
          <t>Dell Unisphere for PowerMax, version(s) 10.2, contain(s) a Relative Path Traversal vulnerability. A low privileged attacker with remote access could potentially exploit this vulnerability, leading to unauthorized modification of critical system files.</t>
        </is>
      </c>
      <c r="D552" s="189" t="n">
        <v>8.1</v>
      </c>
      <c r="E552" s="189" t="inlineStr">
        <is>
          <t>HIGH</t>
        </is>
      </c>
      <c r="F552" s="189" t="n">
        <v>2</v>
      </c>
      <c r="G552" s="189" t="n">
        <v>3</v>
      </c>
      <c r="H552" s="189" t="inlineStr">
        <is>
          <t>HIGH</t>
        </is>
      </c>
      <c r="I552" s="189" t="n">
        <v>14.1</v>
      </c>
      <c r="J552" s="189" t="inlineStr">
        <is>
          <t>NO</t>
        </is>
      </c>
      <c r="K552" s="190" t="inlineStr">
        <is>
          <t>https://nvd.nist.gov/vuln/detail/CVE-2026-26362</t>
        </is>
      </c>
      <c r="L552" s="189" t="inlineStr">
        <is>
          <t>2026-02-23 23:48</t>
        </is>
      </c>
      <c r="M552" s="189" t="inlineStr">
        <is>
          <t>YES</t>
        </is>
      </c>
      <c r="N552" s="190" t="inlineStr">
        <is>
          <t>https://www.dell.com/support/kbdoc/en-us/000429268/dsa-2026-102-dell-unisphere-for-powermax-and-powermax-eem-security-update-for-multiple-vulnerabilities</t>
        </is>
      </c>
      <c r="O552" s="189" t="inlineStr">
        <is>
          <t>Apply vendor patches</t>
        </is>
      </c>
      <c r="P552" s="189" t="inlineStr">
        <is>
          <t>dell unisphere_for_powermax *</t>
        </is>
      </c>
      <c r="Q552" s="189" t="inlineStr">
        <is>
          <t>P3</t>
        </is>
      </c>
      <c r="R552" s="189" t="inlineStr">
        <is>
          <t>🚨 URGENT: Apply vendor patches immediately | 🔒 Isolate affected systems if patch unavailable | 🛡️ Enable additional monitoring/IDS rules</t>
        </is>
      </c>
      <c r="S552" s="189" t="inlineStr">
        <is>
          <t>CVE - IP enrichment n/a</t>
        </is>
      </c>
      <c r="T552" s="189" t="n">
        <v>0</v>
      </c>
      <c r="U552" s="189" t="n">
        <v>0</v>
      </c>
      <c r="V552" s="189" t="inlineStr">
        <is>
          <t>T1083:File and Directory Discovery</t>
        </is>
      </c>
      <c r="W552" s="189" t="n">
        <v>1</v>
      </c>
      <c r="X552" s="189" t="inlineStr">
        <is>
          <t>LOW (40%)</t>
        </is>
      </c>
      <c r="Y552" s="189" t="inlineStr">
        <is>
          <t>UNLIKELY</t>
        </is>
      </c>
      <c r="Z552" s="189" t="inlineStr">
        <is>
          <t>PATCH_AVAILABLE</t>
        </is>
      </c>
      <c r="AA552" s="190" t="inlineStr">
        <is>
          <t>https://nvd.nist.gov/vuln/detail/CVE-2026-26362</t>
        </is>
      </c>
      <c r="AB552" s="189" t="inlineStr">
        <is>
          <t>NONE</t>
        </is>
      </c>
      <c r="AC552" s="189" t="n">
        <v>0</v>
      </c>
      <c r="AD552" s="189" t="n"/>
    </row>
    <row r="553">
      <c r="A553" s="191" t="inlineStr">
        <is>
          <t>CVE</t>
        </is>
      </c>
      <c r="B553" s="191" t="inlineStr">
        <is>
          <t>CVE-2026-27042</t>
        </is>
      </c>
      <c r="C553" s="191" t="inlineStr">
        <is>
          <t>Missing Authorization vulnerability in WPDeveloper NotificationX notificationx allows Exploiting Incorrectly Configured Access Control Security Levels.This issue affects NotificationX: from n/a through &lt;= 3.2.1.</t>
        </is>
      </c>
      <c r="D553" s="191" t="n">
        <v>5.3</v>
      </c>
      <c r="E553" s="191" t="inlineStr">
        <is>
          <t>MEDIUM</t>
        </is>
      </c>
      <c r="F553" s="191" t="n">
        <v>2</v>
      </c>
      <c r="G553" s="191" t="n">
        <v>2</v>
      </c>
      <c r="H553" s="191" t="inlineStr">
        <is>
          <t>MEDIUM</t>
        </is>
      </c>
      <c r="I553" s="191" t="n">
        <v>9.300000000000001</v>
      </c>
      <c r="J553" s="191" t="inlineStr">
        <is>
          <t>NO</t>
        </is>
      </c>
      <c r="K553" s="192" t="inlineStr">
        <is>
          <t>https://nvd.nist.gov/vuln/detail/CVE-2026-27042</t>
        </is>
      </c>
      <c r="L553" s="191" t="inlineStr">
        <is>
          <t>2026-02-23 23:48</t>
        </is>
      </c>
      <c r="M553" s="191" t="inlineStr">
        <is>
          <t>CHECK_VENDOR</t>
        </is>
      </c>
      <c r="N553" s="191" t="inlineStr">
        <is>
          <t>See NVD references</t>
        </is>
      </c>
      <c r="O553" s="191" t="inlineStr">
        <is>
          <t>Apply vendor patches</t>
        </is>
      </c>
      <c r="P553" s="191" t="inlineStr">
        <is>
          <t>See CVE details</t>
        </is>
      </c>
      <c r="Q553" s="191" t="inlineStr">
        <is>
          <t>P4</t>
        </is>
      </c>
      <c r="R553" s="191" t="inlineStr">
        <is>
          <t>📅 Schedule patch deployment within 30 days | 🔍 Monitor for exploitation attempts</t>
        </is>
      </c>
      <c r="S553" s="191" t="inlineStr">
        <is>
          <t>CVE - IP enrichment n/a</t>
        </is>
      </c>
      <c r="T553" s="191" t="n">
        <v>0</v>
      </c>
      <c r="U553" s="191" t="n">
        <v>0</v>
      </c>
      <c r="V553" s="191" t="inlineStr">
        <is>
          <t>T1190:Exploit Public-Facing Application</t>
        </is>
      </c>
      <c r="W553" s="191" t="n">
        <v>1</v>
      </c>
      <c r="X553" s="191" t="inlineStr">
        <is>
          <t>LOW (40%)</t>
        </is>
      </c>
      <c r="Y553" s="191" t="inlineStr">
        <is>
          <t>UNLIKELY</t>
        </is>
      </c>
      <c r="Z553" s="191" t="inlineStr">
        <is>
          <t>CHECK_VENDOR</t>
        </is>
      </c>
      <c r="AA553" s="192" t="inlineStr">
        <is>
          <t>https://nvd.nist.gov/vuln/detail/CVE-2026-27042</t>
        </is>
      </c>
      <c r="AB553" s="191" t="inlineStr">
        <is>
          <t>NONE</t>
        </is>
      </c>
      <c r="AC553" s="191" t="n">
        <v>0</v>
      </c>
      <c r="AD553" s="191" t="n"/>
    </row>
    <row r="554">
      <c r="A554" s="191" t="inlineStr">
        <is>
          <t>CVE</t>
        </is>
      </c>
      <c r="B554" s="191" t="inlineStr">
        <is>
          <t>CVE-2026-27050</t>
        </is>
      </c>
      <c r="C554" s="191" t="inlineStr">
        <is>
          <t>Cross-Site Request Forgery (CSRF) vulnerability in ThimPress RealPress realpress allows Cross Site Request Forgery.This issue affects RealPress: from n/a through &lt;= 1.1.0.</t>
        </is>
      </c>
      <c r="D554" s="191" t="n">
        <v>5.4</v>
      </c>
      <c r="E554" s="191" t="inlineStr">
        <is>
          <t>MEDIUM</t>
        </is>
      </c>
      <c r="F554" s="191" t="n">
        <v>2</v>
      </c>
      <c r="G554" s="191" t="n">
        <v>2</v>
      </c>
      <c r="H554" s="191" t="inlineStr">
        <is>
          <t>MEDIUM</t>
        </is>
      </c>
      <c r="I554" s="191" t="n">
        <v>9.4</v>
      </c>
      <c r="J554" s="191" t="inlineStr">
        <is>
          <t>NO</t>
        </is>
      </c>
      <c r="K554" s="192" t="inlineStr">
        <is>
          <t>https://nvd.nist.gov/vuln/detail/CVE-2026-27050</t>
        </is>
      </c>
      <c r="L554" s="191" t="inlineStr">
        <is>
          <t>2026-02-23 23:48</t>
        </is>
      </c>
      <c r="M554" s="191" t="inlineStr">
        <is>
          <t>CHECK_VENDOR</t>
        </is>
      </c>
      <c r="N554" s="191" t="inlineStr">
        <is>
          <t>See NVD references</t>
        </is>
      </c>
      <c r="O554" s="191" t="inlineStr">
        <is>
          <t>Apply vendor patches</t>
        </is>
      </c>
      <c r="P554" s="191" t="inlineStr">
        <is>
          <t>See CVE details</t>
        </is>
      </c>
      <c r="Q554" s="191" t="inlineStr">
        <is>
          <t>P4</t>
        </is>
      </c>
      <c r="R554" s="191" t="inlineStr">
        <is>
          <t>📅 Schedule patch deployment within 30 days | 🔍 Monitor for exploitation attempts</t>
        </is>
      </c>
      <c r="S554" s="191" t="inlineStr">
        <is>
          <t>CVE - IP enrichment n/a</t>
        </is>
      </c>
      <c r="T554" s="191" t="n">
        <v>0</v>
      </c>
      <c r="U554" s="191" t="n">
        <v>0</v>
      </c>
      <c r="V554" s="191" t="inlineStr">
        <is>
          <t>T1185:Browser Session Hijacking</t>
        </is>
      </c>
      <c r="W554" s="191" t="n">
        <v>1</v>
      </c>
      <c r="X554" s="191" t="inlineStr">
        <is>
          <t>LOW (40%)</t>
        </is>
      </c>
      <c r="Y554" s="191" t="inlineStr">
        <is>
          <t>UNLIKELY</t>
        </is>
      </c>
      <c r="Z554" s="191" t="inlineStr">
        <is>
          <t>CHECK_VENDOR</t>
        </is>
      </c>
      <c r="AA554" s="192" t="inlineStr">
        <is>
          <t>https://nvd.nist.gov/vuln/detail/CVE-2026-27050</t>
        </is>
      </c>
      <c r="AB554" s="191" t="inlineStr">
        <is>
          <t>NONE</t>
        </is>
      </c>
      <c r="AC554" s="191" t="n">
        <v>0</v>
      </c>
      <c r="AD554" s="191" t="n"/>
    </row>
    <row r="555">
      <c r="A555" s="189" t="inlineStr">
        <is>
          <t>CVE</t>
        </is>
      </c>
      <c r="B555" s="189" t="inlineStr">
        <is>
          <t>CVE-2026-27052</t>
        </is>
      </c>
      <c r="C555" s="189" t="inlineStr">
        <is>
          <t>Improper Control of Filename for Include/Require Statement in PHP Program ('PHP Remote File Inclusion') vulnerability in villatheme Sales Countdown Timer for WooCommerce and WordPress sctv-sales-countdown-timer allows PHP Local File Inclusion.This issue affects Sales Countdown Timer for WooCommerce and WordPress: from n/a through &lt;= 1.1.8.1.</t>
        </is>
      </c>
      <c r="D555" s="189" t="n">
        <v>7.5</v>
      </c>
      <c r="E555" s="189" t="inlineStr">
        <is>
          <t>HIGH</t>
        </is>
      </c>
      <c r="F555" s="189" t="n">
        <v>2</v>
      </c>
      <c r="G555" s="189" t="n">
        <v>3</v>
      </c>
      <c r="H555" s="189" t="inlineStr">
        <is>
          <t>HIGH</t>
        </is>
      </c>
      <c r="I555" s="189" t="n">
        <v>13.5</v>
      </c>
      <c r="J555" s="189" t="inlineStr">
        <is>
          <t>NO</t>
        </is>
      </c>
      <c r="K555" s="190" t="inlineStr">
        <is>
          <t>https://nvd.nist.gov/vuln/detail/CVE-2026-27052</t>
        </is>
      </c>
      <c r="L555" s="189" t="inlineStr">
        <is>
          <t>2026-02-23 23:48</t>
        </is>
      </c>
      <c r="M555" s="189" t="inlineStr">
        <is>
          <t>CHECK_VENDOR</t>
        </is>
      </c>
      <c r="N555" s="189" t="inlineStr">
        <is>
          <t>See NVD references</t>
        </is>
      </c>
      <c r="O555" s="189" t="inlineStr">
        <is>
          <t>Apply vendor patches</t>
        </is>
      </c>
      <c r="P555" s="189" t="inlineStr">
        <is>
          <t>See CVE details</t>
        </is>
      </c>
      <c r="Q555" s="189" t="inlineStr">
        <is>
          <t>P3</t>
        </is>
      </c>
      <c r="R555" s="189" t="inlineStr">
        <is>
          <t>🚨 URGENT: Apply vendor patches immediately | 🔒 Isolate affected systems if patch unavailable | 🛡️ Enable additional monitoring/IDS rules</t>
        </is>
      </c>
      <c r="S555" s="189" t="inlineStr">
        <is>
          <t>CVE - IP enrichment n/a</t>
        </is>
      </c>
      <c r="T555" s="189" t="n">
        <v>0</v>
      </c>
      <c r="U555" s="189" t="n">
        <v>0</v>
      </c>
      <c r="V555" s="189" t="inlineStr">
        <is>
          <t>T1190:Exploit Public-Facing Application</t>
        </is>
      </c>
      <c r="W555" s="189" t="n">
        <v>1</v>
      </c>
      <c r="X555" s="189" t="inlineStr">
        <is>
          <t>LOW (40%)</t>
        </is>
      </c>
      <c r="Y555" s="189" t="inlineStr">
        <is>
          <t>UNLIKELY</t>
        </is>
      </c>
      <c r="Z555" s="189" t="inlineStr">
        <is>
          <t>CHECK_VENDOR</t>
        </is>
      </c>
      <c r="AA555" s="190" t="inlineStr">
        <is>
          <t>https://nvd.nist.gov/vuln/detail/CVE-2026-27052</t>
        </is>
      </c>
      <c r="AB555" s="189" t="inlineStr">
        <is>
          <t>NONE</t>
        </is>
      </c>
      <c r="AC555" s="189" t="n">
        <v>0</v>
      </c>
      <c r="AD555" s="189" t="n"/>
    </row>
    <row r="556">
      <c r="A556" s="191" t="inlineStr">
        <is>
          <t>CVE</t>
        </is>
      </c>
      <c r="B556" s="191" t="inlineStr">
        <is>
          <t>CVE-2026-27055</t>
        </is>
      </c>
      <c r="C556" s="191" t="inlineStr">
        <is>
          <t>Missing Authorization vulnerability in PenciDesign Penci AI SmartContent Creator penci-ai allows Exploiting Incorrectly Configured Access Control Security Levels.This issue affects Penci AI SmartContent Creator: from n/a through &lt;= 2.0.</t>
        </is>
      </c>
      <c r="D556" s="191" t="n">
        <v>4.3</v>
      </c>
      <c r="E556" s="191" t="inlineStr">
        <is>
          <t>MEDIUM</t>
        </is>
      </c>
      <c r="F556" s="191" t="n">
        <v>2</v>
      </c>
      <c r="G556" s="191" t="n">
        <v>2</v>
      </c>
      <c r="H556" s="191" t="inlineStr">
        <is>
          <t>MEDIUM</t>
        </is>
      </c>
      <c r="I556" s="191" t="n">
        <v>8.300000000000001</v>
      </c>
      <c r="J556" s="191" t="inlineStr">
        <is>
          <t>NO</t>
        </is>
      </c>
      <c r="K556" s="192" t="inlineStr">
        <is>
          <t>https://nvd.nist.gov/vuln/detail/CVE-2026-27055</t>
        </is>
      </c>
      <c r="L556" s="191" t="inlineStr">
        <is>
          <t>2026-02-23 23:48</t>
        </is>
      </c>
      <c r="M556" s="191" t="inlineStr">
        <is>
          <t>CHECK_VENDOR</t>
        </is>
      </c>
      <c r="N556" s="191" t="inlineStr">
        <is>
          <t>See NVD references</t>
        </is>
      </c>
      <c r="O556" s="191" t="inlineStr">
        <is>
          <t>Apply vendor patches</t>
        </is>
      </c>
      <c r="P556" s="191" t="inlineStr">
        <is>
          <t>See CVE details</t>
        </is>
      </c>
      <c r="Q556" s="191" t="inlineStr">
        <is>
          <t>P4</t>
        </is>
      </c>
      <c r="R556" s="191" t="inlineStr">
        <is>
          <t>📅 Schedule patch deployment within 30 days | 🔍 Monitor for exploitation attempts</t>
        </is>
      </c>
      <c r="S556" s="191" t="inlineStr">
        <is>
          <t>CVE - IP enrichment n/a</t>
        </is>
      </c>
      <c r="T556" s="191" t="n">
        <v>0</v>
      </c>
      <c r="U556" s="191" t="n">
        <v>0</v>
      </c>
      <c r="V556" s="191" t="inlineStr">
        <is>
          <t>T1190:Exploit Public-Facing Application</t>
        </is>
      </c>
      <c r="W556" s="191" t="n">
        <v>1</v>
      </c>
      <c r="X556" s="191" t="inlineStr">
        <is>
          <t>LOW (40%)</t>
        </is>
      </c>
      <c r="Y556" s="191" t="inlineStr">
        <is>
          <t>UNLIKELY</t>
        </is>
      </c>
      <c r="Z556" s="191" t="inlineStr">
        <is>
          <t>CHECK_VENDOR</t>
        </is>
      </c>
      <c r="AA556" s="192" t="inlineStr">
        <is>
          <t>https://nvd.nist.gov/vuln/detail/CVE-2026-27055</t>
        </is>
      </c>
      <c r="AB556" s="191" t="inlineStr">
        <is>
          <t>NONE</t>
        </is>
      </c>
      <c r="AC556" s="191" t="n">
        <v>0</v>
      </c>
      <c r="AD556" s="191" t="n"/>
    </row>
    <row r="557">
      <c r="A557" s="191" t="inlineStr">
        <is>
          <t>CVE</t>
        </is>
      </c>
      <c r="B557" s="191" t="inlineStr">
        <is>
          <t>CVE-2026-27056</t>
        </is>
      </c>
      <c r="C557" s="191" t="inlineStr">
        <is>
          <t>Missing Authorization vulnerability in StellarWP iThemes Sync ithemes-sync allows Exploiting Incorrectly Configured Access Control Security Levels.This issue affects iThemes Sync: from n/a through &lt;= 3.2.8.</t>
        </is>
      </c>
      <c r="D557" s="191" t="n">
        <v>4.3</v>
      </c>
      <c r="E557" s="191" t="inlineStr">
        <is>
          <t>MEDIUM</t>
        </is>
      </c>
      <c r="F557" s="191" t="n">
        <v>2</v>
      </c>
      <c r="G557" s="191" t="n">
        <v>2</v>
      </c>
      <c r="H557" s="191" t="inlineStr">
        <is>
          <t>MEDIUM</t>
        </is>
      </c>
      <c r="I557" s="191" t="n">
        <v>8.300000000000001</v>
      </c>
      <c r="J557" s="191" t="inlineStr">
        <is>
          <t>NO</t>
        </is>
      </c>
      <c r="K557" s="192" t="inlineStr">
        <is>
          <t>https://nvd.nist.gov/vuln/detail/CVE-2026-27056</t>
        </is>
      </c>
      <c r="L557" s="191" t="inlineStr">
        <is>
          <t>2026-02-23 23:48</t>
        </is>
      </c>
      <c r="M557" s="191" t="inlineStr">
        <is>
          <t>CHECK_VENDOR</t>
        </is>
      </c>
      <c r="N557" s="191" t="inlineStr">
        <is>
          <t>See NVD references</t>
        </is>
      </c>
      <c r="O557" s="191" t="inlineStr">
        <is>
          <t>Apply vendor patches</t>
        </is>
      </c>
      <c r="P557" s="191" t="inlineStr">
        <is>
          <t>See CVE details</t>
        </is>
      </c>
      <c r="Q557" s="191" t="inlineStr">
        <is>
          <t>P4</t>
        </is>
      </c>
      <c r="R557" s="191" t="inlineStr">
        <is>
          <t>📅 Schedule patch deployment within 30 days | 🔍 Monitor for exploitation attempts</t>
        </is>
      </c>
      <c r="S557" s="191" t="inlineStr">
        <is>
          <t>CVE - IP enrichment n/a</t>
        </is>
      </c>
      <c r="T557" s="191" t="n">
        <v>0.0003</v>
      </c>
      <c r="U557" s="191" t="n">
        <v>0.0718</v>
      </c>
      <c r="V557" s="191" t="inlineStr">
        <is>
          <t>T1190:Exploit Public-Facing Application</t>
        </is>
      </c>
      <c r="W557" s="191" t="n">
        <v>1</v>
      </c>
      <c r="X557" s="191" t="inlineStr">
        <is>
          <t>LOW (40%)</t>
        </is>
      </c>
      <c r="Y557" s="191" t="inlineStr">
        <is>
          <t>UNLIKELY</t>
        </is>
      </c>
      <c r="Z557" s="191" t="inlineStr">
        <is>
          <t>CHECK_VENDOR</t>
        </is>
      </c>
      <c r="AA557" s="192" t="inlineStr">
        <is>
          <t>https://nvd.nist.gov/vuln/detail/CVE-2026-27056</t>
        </is>
      </c>
      <c r="AB557" s="191" t="inlineStr">
        <is>
          <t>NONE</t>
        </is>
      </c>
      <c r="AC557" s="191" t="n">
        <v>0</v>
      </c>
      <c r="AD557" s="191" t="n"/>
    </row>
    <row r="558">
      <c r="A558" s="191" t="inlineStr">
        <is>
          <t>CVE</t>
        </is>
      </c>
      <c r="B558" s="191" t="inlineStr">
        <is>
          <t>CVE-2026-27057</t>
        </is>
      </c>
      <c r="C558" s="191" t="inlineStr">
        <is>
          <t>Improper Neutralization of Input During Web Page Generation ('Cross-site Scripting') vulnerability in PenciDesign Penci Filter Everything penci-filter-everything allows Stored XSS.This issue affects Penci Filter Everything: from n/a through &lt;= 1.7.</t>
        </is>
      </c>
      <c r="D558" s="191" t="n">
        <v>6.5</v>
      </c>
      <c r="E558" s="191" t="inlineStr">
        <is>
          <t>MEDIUM</t>
        </is>
      </c>
      <c r="F558" s="191" t="n">
        <v>2</v>
      </c>
      <c r="G558" s="191" t="n">
        <v>2</v>
      </c>
      <c r="H558" s="191" t="inlineStr">
        <is>
          <t>MEDIUM</t>
        </is>
      </c>
      <c r="I558" s="191" t="n">
        <v>10.5</v>
      </c>
      <c r="J558" s="191" t="inlineStr">
        <is>
          <t>NO</t>
        </is>
      </c>
      <c r="K558" s="192" t="inlineStr">
        <is>
          <t>https://nvd.nist.gov/vuln/detail/CVE-2026-27057</t>
        </is>
      </c>
      <c r="L558" s="191" t="inlineStr">
        <is>
          <t>2026-02-23 23:48</t>
        </is>
      </c>
      <c r="M558" s="191" t="inlineStr">
        <is>
          <t>CHECK_VENDOR</t>
        </is>
      </c>
      <c r="N558" s="191" t="inlineStr">
        <is>
          <t>See NVD references</t>
        </is>
      </c>
      <c r="O558" s="191" t="inlineStr">
        <is>
          <t>Apply vendor patches</t>
        </is>
      </c>
      <c r="P558" s="191" t="inlineStr">
        <is>
          <t>See CVE details</t>
        </is>
      </c>
      <c r="Q558" s="191" t="inlineStr">
        <is>
          <t>P4</t>
        </is>
      </c>
      <c r="R558" s="191" t="inlineStr">
        <is>
          <t>📅 Schedule patch deployment within 30 days | 🔍 Monitor for exploitation attempts</t>
        </is>
      </c>
      <c r="S558" s="191" t="inlineStr">
        <is>
          <t>CVE - IP enrichment n/a</t>
        </is>
      </c>
      <c r="T558" s="191" t="n">
        <v>0</v>
      </c>
      <c r="U558" s="191" t="n">
        <v>0</v>
      </c>
      <c r="V558" s="191" t="inlineStr">
        <is>
          <t>T1189:Drive-by Compromise</t>
        </is>
      </c>
      <c r="W558" s="191" t="n">
        <v>1</v>
      </c>
      <c r="X558" s="191" t="inlineStr">
        <is>
          <t>LOW (40%)</t>
        </is>
      </c>
      <c r="Y558" s="191" t="inlineStr">
        <is>
          <t>UNLIKELY</t>
        </is>
      </c>
      <c r="Z558" s="191" t="inlineStr">
        <is>
          <t>CHECK_VENDOR</t>
        </is>
      </c>
      <c r="AA558" s="192" t="inlineStr">
        <is>
          <t>https://nvd.nist.gov/vuln/detail/CVE-2026-27057</t>
        </is>
      </c>
      <c r="AB558" s="191" t="inlineStr">
        <is>
          <t>NONE</t>
        </is>
      </c>
      <c r="AC558" s="191" t="n">
        <v>0</v>
      </c>
      <c r="AD558" s="191" t="n"/>
    </row>
    <row r="559">
      <c r="A559" s="191" t="inlineStr">
        <is>
          <t>CVE</t>
        </is>
      </c>
      <c r="B559" s="191" t="inlineStr">
        <is>
          <t>CVE-2026-27058</t>
        </is>
      </c>
      <c r="C559" s="191" t="inlineStr">
        <is>
          <t>Improper Neutralization of Input During Web Page Generation ('Cross-site Scripting') vulnerability in PenciDesign Penci Podcast penci-podcast allows DOM-Based XSS.This issue affects Penci Podcast: from n/a through &lt;= 1.7.</t>
        </is>
      </c>
      <c r="D559" s="191" t="n">
        <v>6.5</v>
      </c>
      <c r="E559" s="191" t="inlineStr">
        <is>
          <t>MEDIUM</t>
        </is>
      </c>
      <c r="F559" s="191" t="n">
        <v>2</v>
      </c>
      <c r="G559" s="191" t="n">
        <v>2</v>
      </c>
      <c r="H559" s="191" t="inlineStr">
        <is>
          <t>MEDIUM</t>
        </is>
      </c>
      <c r="I559" s="191" t="n">
        <v>10.5</v>
      </c>
      <c r="J559" s="191" t="inlineStr">
        <is>
          <t>NO</t>
        </is>
      </c>
      <c r="K559" s="192" t="inlineStr">
        <is>
          <t>https://nvd.nist.gov/vuln/detail/CVE-2026-27058</t>
        </is>
      </c>
      <c r="L559" s="191" t="inlineStr">
        <is>
          <t>2026-02-23 23:48</t>
        </is>
      </c>
      <c r="M559" s="191" t="inlineStr">
        <is>
          <t>CHECK_VENDOR</t>
        </is>
      </c>
      <c r="N559" s="191" t="inlineStr">
        <is>
          <t>See NVD references</t>
        </is>
      </c>
      <c r="O559" s="191" t="inlineStr">
        <is>
          <t>Apply vendor patches</t>
        </is>
      </c>
      <c r="P559" s="191" t="inlineStr">
        <is>
          <t>See CVE details</t>
        </is>
      </c>
      <c r="Q559" s="191" t="inlineStr">
        <is>
          <t>P4</t>
        </is>
      </c>
      <c r="R559" s="191" t="inlineStr">
        <is>
          <t>📅 Schedule patch deployment within 30 days | 🔍 Monitor for exploitation attempts</t>
        </is>
      </c>
      <c r="S559" s="191" t="inlineStr">
        <is>
          <t>CVE - IP enrichment n/a</t>
        </is>
      </c>
      <c r="T559" s="191" t="n">
        <v>0</v>
      </c>
      <c r="U559" s="191" t="n">
        <v>0</v>
      </c>
      <c r="V559" s="191" t="inlineStr">
        <is>
          <t>T1189:Drive-by Compromise</t>
        </is>
      </c>
      <c r="W559" s="191" t="n">
        <v>1</v>
      </c>
      <c r="X559" s="191" t="inlineStr">
        <is>
          <t>LOW (40%)</t>
        </is>
      </c>
      <c r="Y559" s="191" t="inlineStr">
        <is>
          <t>UNLIKELY</t>
        </is>
      </c>
      <c r="Z559" s="191" t="inlineStr">
        <is>
          <t>CHECK_VENDOR</t>
        </is>
      </c>
      <c r="AA559" s="192" t="inlineStr">
        <is>
          <t>https://nvd.nist.gov/vuln/detail/CVE-2026-27058</t>
        </is>
      </c>
      <c r="AB559" s="191" t="inlineStr">
        <is>
          <t>NONE</t>
        </is>
      </c>
      <c r="AC559" s="191" t="n">
        <v>0</v>
      </c>
      <c r="AD559" s="191" t="n"/>
    </row>
    <row r="560">
      <c r="A560" s="191" t="inlineStr">
        <is>
          <t>CVE</t>
        </is>
      </c>
      <c r="B560" s="191" t="inlineStr">
        <is>
          <t>CVE-2026-27059</t>
        </is>
      </c>
      <c r="C560" s="191" t="inlineStr">
        <is>
          <t>Improper Neutralization of Input During Web Page Generation ('Cross-site Scripting') vulnerability in PenciDesign Penci Recipe penci-recipe allows DOM-Based XSS.This issue affects Penci Recipe: from n/a through &lt;= 4.1.</t>
        </is>
      </c>
      <c r="D560" s="191" t="n">
        <v>6.5</v>
      </c>
      <c r="E560" s="191" t="inlineStr">
        <is>
          <t>MEDIUM</t>
        </is>
      </c>
      <c r="F560" s="191" t="n">
        <v>2</v>
      </c>
      <c r="G560" s="191" t="n">
        <v>2</v>
      </c>
      <c r="H560" s="191" t="inlineStr">
        <is>
          <t>MEDIUM</t>
        </is>
      </c>
      <c r="I560" s="191" t="n">
        <v>10.5</v>
      </c>
      <c r="J560" s="191" t="inlineStr">
        <is>
          <t>NO</t>
        </is>
      </c>
      <c r="K560" s="192" t="inlineStr">
        <is>
          <t>https://nvd.nist.gov/vuln/detail/CVE-2026-27059</t>
        </is>
      </c>
      <c r="L560" s="191" t="inlineStr">
        <is>
          <t>2026-02-23 23:48</t>
        </is>
      </c>
      <c r="M560" s="191" t="inlineStr">
        <is>
          <t>CHECK_VENDOR</t>
        </is>
      </c>
      <c r="N560" s="191" t="inlineStr">
        <is>
          <t>See NVD references</t>
        </is>
      </c>
      <c r="O560" s="191" t="inlineStr">
        <is>
          <t>Apply vendor patches</t>
        </is>
      </c>
      <c r="P560" s="191" t="inlineStr">
        <is>
          <t>See CVE details</t>
        </is>
      </c>
      <c r="Q560" s="191" t="inlineStr">
        <is>
          <t>P4</t>
        </is>
      </c>
      <c r="R560" s="191" t="inlineStr">
        <is>
          <t>📅 Schedule patch deployment within 30 days | 🔍 Monitor for exploitation attempts</t>
        </is>
      </c>
      <c r="S560" s="191" t="inlineStr">
        <is>
          <t>CVE - IP enrichment n/a</t>
        </is>
      </c>
      <c r="T560" s="191" t="n">
        <v>0</v>
      </c>
      <c r="U560" s="191" t="n">
        <v>0</v>
      </c>
      <c r="V560" s="191" t="inlineStr">
        <is>
          <t>T1189:Drive-by Compromise</t>
        </is>
      </c>
      <c r="W560" s="191" t="n">
        <v>1</v>
      </c>
      <c r="X560" s="191" t="inlineStr">
        <is>
          <t>LOW (40%)</t>
        </is>
      </c>
      <c r="Y560" s="191" t="inlineStr">
        <is>
          <t>UNLIKELY</t>
        </is>
      </c>
      <c r="Z560" s="191" t="inlineStr">
        <is>
          <t>CHECK_VENDOR</t>
        </is>
      </c>
      <c r="AA560" s="192" t="inlineStr">
        <is>
          <t>https://nvd.nist.gov/vuln/detail/CVE-2026-27059</t>
        </is>
      </c>
      <c r="AB560" s="191" t="inlineStr">
        <is>
          <t>NONE</t>
        </is>
      </c>
      <c r="AC560" s="191" t="n">
        <v>0</v>
      </c>
      <c r="AD560" s="191" t="n"/>
    </row>
    <row r="561">
      <c r="A561" s="191" t="inlineStr">
        <is>
          <t>CVE</t>
        </is>
      </c>
      <c r="B561" s="191" t="inlineStr">
        <is>
          <t>CVE-2026-27066</t>
        </is>
      </c>
      <c r="C561" s="191" t="inlineStr">
        <is>
          <t>Missing Authorization vulnerability in PI Web Solution Live sales notification for WooCommerce live-sales-notifications-for-woocommerce allows Exploiting Incorrectly Configured Access Control Security Levels.This issue affects Live sales notification for WooCommerce: from n/a through &lt;= 2.3.46.</t>
        </is>
      </c>
      <c r="D561" s="191" t="n">
        <v>5.3</v>
      </c>
      <c r="E561" s="191" t="inlineStr">
        <is>
          <t>MEDIUM</t>
        </is>
      </c>
      <c r="F561" s="191" t="n">
        <v>2</v>
      </c>
      <c r="G561" s="191" t="n">
        <v>2</v>
      </c>
      <c r="H561" s="191" t="inlineStr">
        <is>
          <t>MEDIUM</t>
        </is>
      </c>
      <c r="I561" s="191" t="n">
        <v>9.300000000000001</v>
      </c>
      <c r="J561" s="191" t="inlineStr">
        <is>
          <t>NO</t>
        </is>
      </c>
      <c r="K561" s="192" t="inlineStr">
        <is>
          <t>https://nvd.nist.gov/vuln/detail/CVE-2026-27066</t>
        </is>
      </c>
      <c r="L561" s="191" t="inlineStr">
        <is>
          <t>2026-02-23 23:48</t>
        </is>
      </c>
      <c r="M561" s="191" t="inlineStr">
        <is>
          <t>CHECK_VENDOR</t>
        </is>
      </c>
      <c r="N561" s="191" t="inlineStr">
        <is>
          <t>See NVD references</t>
        </is>
      </c>
      <c r="O561" s="191" t="inlineStr">
        <is>
          <t>Apply vendor patches</t>
        </is>
      </c>
      <c r="P561" s="191" t="inlineStr">
        <is>
          <t>See CVE details</t>
        </is>
      </c>
      <c r="Q561" s="191" t="inlineStr">
        <is>
          <t>P4</t>
        </is>
      </c>
      <c r="R561" s="191" t="inlineStr">
        <is>
          <t>📅 Schedule patch deployment within 30 days | 🔍 Monitor for exploitation attempts</t>
        </is>
      </c>
      <c r="S561" s="191" t="inlineStr">
        <is>
          <t>CVE - IP enrichment n/a</t>
        </is>
      </c>
      <c r="T561" s="191" t="n">
        <v>0.0003</v>
      </c>
      <c r="U561" s="191" t="n">
        <v>0.07870000000000001</v>
      </c>
      <c r="V561" s="191" t="inlineStr">
        <is>
          <t>T1190:Exploit Public-Facing Application</t>
        </is>
      </c>
      <c r="W561" s="191" t="n">
        <v>1</v>
      </c>
      <c r="X561" s="191" t="inlineStr">
        <is>
          <t>LOW (40%)</t>
        </is>
      </c>
      <c r="Y561" s="191" t="inlineStr">
        <is>
          <t>UNLIKELY</t>
        </is>
      </c>
      <c r="Z561" s="191" t="inlineStr">
        <is>
          <t>CHECK_VENDOR</t>
        </is>
      </c>
      <c r="AA561" s="192" t="inlineStr">
        <is>
          <t>https://nvd.nist.gov/vuln/detail/CVE-2026-27066</t>
        </is>
      </c>
      <c r="AB561" s="191" t="inlineStr">
        <is>
          <t>NONE</t>
        </is>
      </c>
      <c r="AC561" s="191" t="n">
        <v>0</v>
      </c>
      <c r="AD561" s="191" t="n"/>
    </row>
    <row r="562">
      <c r="A562" s="191" t="inlineStr">
        <is>
          <t>CVE</t>
        </is>
      </c>
      <c r="B562" s="191" t="inlineStr">
        <is>
          <t>CVE-2026-27069</t>
        </is>
      </c>
      <c r="C562" s="191" t="inlineStr">
        <is>
          <t>Improper Neutralization of Input During Web Page Generation ('Cross-site Scripting') vulnerability in PenciDesign Soledad soledad allows DOM-Based XSS.This issue affects Soledad: from n/a through &lt;= 8.7.2.</t>
        </is>
      </c>
      <c r="D562" s="191" t="n">
        <v>6.5</v>
      </c>
      <c r="E562" s="191" t="inlineStr">
        <is>
          <t>MEDIUM</t>
        </is>
      </c>
      <c r="F562" s="191" t="n">
        <v>2</v>
      </c>
      <c r="G562" s="191" t="n">
        <v>2</v>
      </c>
      <c r="H562" s="191" t="inlineStr">
        <is>
          <t>MEDIUM</t>
        </is>
      </c>
      <c r="I562" s="191" t="n">
        <v>10.5</v>
      </c>
      <c r="J562" s="191" t="inlineStr">
        <is>
          <t>NO</t>
        </is>
      </c>
      <c r="K562" s="192" t="inlineStr">
        <is>
          <t>https://nvd.nist.gov/vuln/detail/CVE-2026-27069</t>
        </is>
      </c>
      <c r="L562" s="191" t="inlineStr">
        <is>
          <t>2026-02-23 23:48</t>
        </is>
      </c>
      <c r="M562" s="191" t="inlineStr">
        <is>
          <t>CHECK_VENDOR</t>
        </is>
      </c>
      <c r="N562" s="191" t="inlineStr">
        <is>
          <t>See NVD references</t>
        </is>
      </c>
      <c r="O562" s="191" t="inlineStr">
        <is>
          <t>Apply vendor patches</t>
        </is>
      </c>
      <c r="P562" s="191" t="inlineStr">
        <is>
          <t>See CVE details</t>
        </is>
      </c>
      <c r="Q562" s="191" t="inlineStr">
        <is>
          <t>P4</t>
        </is>
      </c>
      <c r="R562" s="191" t="inlineStr">
        <is>
          <t>📅 Schedule patch deployment within 30 days | 🔍 Monitor for exploitation attempts</t>
        </is>
      </c>
      <c r="S562" s="191" t="inlineStr">
        <is>
          <t>CVE - IP enrichment n/a</t>
        </is>
      </c>
      <c r="T562" s="191" t="n">
        <v>0</v>
      </c>
      <c r="U562" s="191" t="n">
        <v>0</v>
      </c>
      <c r="V562" s="191" t="inlineStr">
        <is>
          <t>T1189:Drive-by Compromise</t>
        </is>
      </c>
      <c r="W562" s="191" t="n">
        <v>1</v>
      </c>
      <c r="X562" s="191" t="inlineStr">
        <is>
          <t>LOW (40%)</t>
        </is>
      </c>
      <c r="Y562" s="191" t="inlineStr">
        <is>
          <t>UNLIKELY</t>
        </is>
      </c>
      <c r="Z562" s="191" t="inlineStr">
        <is>
          <t>CHECK_VENDOR</t>
        </is>
      </c>
      <c r="AA562" s="192" t="inlineStr">
        <is>
          <t>https://nvd.nist.gov/vuln/detail/CVE-2026-27069</t>
        </is>
      </c>
      <c r="AB562" s="191" t="inlineStr">
        <is>
          <t>NONE</t>
        </is>
      </c>
      <c r="AC562" s="191" t="n">
        <v>0</v>
      </c>
      <c r="AD562" s="191" t="n"/>
    </row>
    <row r="563">
      <c r="A563" s="191" t="inlineStr">
        <is>
          <t>CVE</t>
        </is>
      </c>
      <c r="B563" s="191" t="inlineStr">
        <is>
          <t>CVE-2026-27074</t>
        </is>
      </c>
      <c r="C563" s="191" t="inlineStr">
        <is>
          <t>Improper Neutralization of Input During Web Page Generation ('Cross-site Scripting') vulnerability in vaakash Shortcoder shortcoder allows Stored XSS.This issue affects Shortcoder: from n/a through &lt;= 6.5.1.</t>
        </is>
      </c>
      <c r="D563" s="191" t="n">
        <v>5</v>
      </c>
      <c r="E563" s="191" t="inlineStr">
        <is>
          <t>MEDIUM</t>
        </is>
      </c>
      <c r="F563" s="191" t="n">
        <v>2</v>
      </c>
      <c r="G563" s="191" t="n">
        <v>2</v>
      </c>
      <c r="H563" s="191" t="inlineStr">
        <is>
          <t>MEDIUM</t>
        </is>
      </c>
      <c r="I563" s="191" t="n">
        <v>9</v>
      </c>
      <c r="J563" s="191" t="inlineStr">
        <is>
          <t>NO</t>
        </is>
      </c>
      <c r="K563" s="192" t="inlineStr">
        <is>
          <t>https://nvd.nist.gov/vuln/detail/CVE-2026-27074</t>
        </is>
      </c>
      <c r="L563" s="191" t="inlineStr">
        <is>
          <t>2026-02-23 23:48</t>
        </is>
      </c>
      <c r="M563" s="191" t="inlineStr">
        <is>
          <t>CHECK_VENDOR</t>
        </is>
      </c>
      <c r="N563" s="191" t="inlineStr">
        <is>
          <t>See NVD references</t>
        </is>
      </c>
      <c r="O563" s="191" t="inlineStr">
        <is>
          <t>Apply vendor patches</t>
        </is>
      </c>
      <c r="P563" s="191" t="inlineStr">
        <is>
          <t>See CVE details</t>
        </is>
      </c>
      <c r="Q563" s="191" t="inlineStr">
        <is>
          <t>P4</t>
        </is>
      </c>
      <c r="R563" s="191" t="inlineStr">
        <is>
          <t>📅 Schedule patch deployment within 30 days | 🔍 Monitor for exploitation attempts</t>
        </is>
      </c>
      <c r="S563" s="191" t="inlineStr">
        <is>
          <t>CVE - IP enrichment n/a</t>
        </is>
      </c>
      <c r="T563" s="191" t="n">
        <v>0</v>
      </c>
      <c r="U563" s="191" t="n">
        <v>0</v>
      </c>
      <c r="V563" s="191" t="inlineStr">
        <is>
          <t>T1189:Drive-by Compromise</t>
        </is>
      </c>
      <c r="W563" s="191" t="n">
        <v>1</v>
      </c>
      <c r="X563" s="191" t="inlineStr">
        <is>
          <t>LOW (40%)</t>
        </is>
      </c>
      <c r="Y563" s="191" t="inlineStr">
        <is>
          <t>UNLIKELY</t>
        </is>
      </c>
      <c r="Z563" s="191" t="inlineStr">
        <is>
          <t>CHECK_VENDOR</t>
        </is>
      </c>
      <c r="AA563" s="192" t="inlineStr">
        <is>
          <t>https://nvd.nist.gov/vuln/detail/CVE-2026-27074</t>
        </is>
      </c>
      <c r="AB563" s="191" t="inlineStr">
        <is>
          <t>NONE</t>
        </is>
      </c>
      <c r="AC563" s="191" t="n">
        <v>0</v>
      </c>
      <c r="AD563" s="191" t="n"/>
    </row>
    <row r="564">
      <c r="A564" s="191" t="inlineStr">
        <is>
          <t>CVE</t>
        </is>
      </c>
      <c r="B564" s="191" t="inlineStr">
        <is>
          <t>CVE-2026-27090</t>
        </is>
      </c>
      <c r="C564" s="191" t="inlineStr">
        <is>
          <t>Cross-Site Request Forgery (CSRF) vulnerability in WP Moose Kenta Companion kenta-companion allows Cross Site Request Forgery.This issue affects Kenta Companion: from n/a through &lt;= 1.3.3.</t>
        </is>
      </c>
      <c r="D564" s="191" t="n">
        <v>4.3</v>
      </c>
      <c r="E564" s="191" t="inlineStr">
        <is>
          <t>MEDIUM</t>
        </is>
      </c>
      <c r="F564" s="191" t="n">
        <v>2</v>
      </c>
      <c r="G564" s="191" t="n">
        <v>2</v>
      </c>
      <c r="H564" s="191" t="inlineStr">
        <is>
          <t>MEDIUM</t>
        </is>
      </c>
      <c r="I564" s="191" t="n">
        <v>8.300000000000001</v>
      </c>
      <c r="J564" s="191" t="inlineStr">
        <is>
          <t>NO</t>
        </is>
      </c>
      <c r="K564" s="192" t="inlineStr">
        <is>
          <t>https://nvd.nist.gov/vuln/detail/CVE-2026-27090</t>
        </is>
      </c>
      <c r="L564" s="191" t="inlineStr">
        <is>
          <t>2026-02-23 23:48</t>
        </is>
      </c>
      <c r="M564" s="191" t="inlineStr">
        <is>
          <t>CHECK_VENDOR</t>
        </is>
      </c>
      <c r="N564" s="191" t="inlineStr">
        <is>
          <t>See NVD references</t>
        </is>
      </c>
      <c r="O564" s="191" t="inlineStr">
        <is>
          <t>Apply vendor patches</t>
        </is>
      </c>
      <c r="P564" s="191" t="inlineStr">
        <is>
          <t>See CVE details</t>
        </is>
      </c>
      <c r="Q564" s="191" t="inlineStr">
        <is>
          <t>P4</t>
        </is>
      </c>
      <c r="R564" s="191" t="inlineStr">
        <is>
          <t>📅 Schedule patch deployment within 30 days | 🔍 Monitor for exploitation attempts</t>
        </is>
      </c>
      <c r="S564" s="191" t="inlineStr">
        <is>
          <t>CVE - IP enrichment n/a</t>
        </is>
      </c>
      <c r="T564" s="191" t="n">
        <v>0.0001</v>
      </c>
      <c r="U564" s="191" t="n">
        <v>0.0263</v>
      </c>
      <c r="V564" s="191" t="inlineStr">
        <is>
          <t>T1185:Browser Session Hijacking</t>
        </is>
      </c>
      <c r="W564" s="191" t="n">
        <v>1</v>
      </c>
      <c r="X564" s="191" t="inlineStr">
        <is>
          <t>LOW (40%)</t>
        </is>
      </c>
      <c r="Y564" s="191" t="inlineStr">
        <is>
          <t>UNLIKELY</t>
        </is>
      </c>
      <c r="Z564" s="191" t="inlineStr">
        <is>
          <t>CHECK_VENDOR</t>
        </is>
      </c>
      <c r="AA564" s="192" t="inlineStr">
        <is>
          <t>https://nvd.nist.gov/vuln/detail/CVE-2026-27090</t>
        </is>
      </c>
      <c r="AB564" s="191" t="inlineStr">
        <is>
          <t>NONE</t>
        </is>
      </c>
      <c r="AC564" s="191" t="n">
        <v>0</v>
      </c>
      <c r="AD564" s="191" t="n"/>
    </row>
    <row r="565">
      <c r="A565" s="191" t="inlineStr">
        <is>
          <t>CVE</t>
        </is>
      </c>
      <c r="B565" s="191" t="inlineStr">
        <is>
          <t>CVE-2026-27092</t>
        </is>
      </c>
      <c r="C565" s="191" t="inlineStr">
        <is>
          <t>Missing Authorization vulnerability in Greg Winiarski WPAdverts wpadverts allows Exploiting Incorrectly Configured Access Control Security Levels.This issue affects WPAdverts: from n/a through &lt;= 2.2.11.</t>
        </is>
      </c>
      <c r="D565" s="191" t="n">
        <v>6.5</v>
      </c>
      <c r="E565" s="191" t="inlineStr">
        <is>
          <t>MEDIUM</t>
        </is>
      </c>
      <c r="F565" s="191" t="n">
        <v>2</v>
      </c>
      <c r="G565" s="191" t="n">
        <v>2</v>
      </c>
      <c r="H565" s="191" t="inlineStr">
        <is>
          <t>MEDIUM</t>
        </is>
      </c>
      <c r="I565" s="191" t="n">
        <v>10.5</v>
      </c>
      <c r="J565" s="191" t="inlineStr">
        <is>
          <t>NO</t>
        </is>
      </c>
      <c r="K565" s="192" t="inlineStr">
        <is>
          <t>https://nvd.nist.gov/vuln/detail/CVE-2026-27092</t>
        </is>
      </c>
      <c r="L565" s="191" t="inlineStr">
        <is>
          <t>2026-02-23 23:48</t>
        </is>
      </c>
      <c r="M565" s="191" t="inlineStr">
        <is>
          <t>CHECK_VENDOR</t>
        </is>
      </c>
      <c r="N565" s="191" t="inlineStr">
        <is>
          <t>See NVD references</t>
        </is>
      </c>
      <c r="O565" s="191" t="inlineStr">
        <is>
          <t>Apply vendor patches</t>
        </is>
      </c>
      <c r="P565" s="191" t="inlineStr">
        <is>
          <t>See CVE details</t>
        </is>
      </c>
      <c r="Q565" s="191" t="inlineStr">
        <is>
          <t>P4</t>
        </is>
      </c>
      <c r="R565" s="191" t="inlineStr">
        <is>
          <t>📅 Schedule patch deployment within 30 days | 🔍 Monitor for exploitation attempts</t>
        </is>
      </c>
      <c r="S565" s="191" t="inlineStr">
        <is>
          <t>CVE - IP enrichment n/a</t>
        </is>
      </c>
      <c r="T565" s="191" t="n">
        <v>0</v>
      </c>
      <c r="U565" s="191" t="n">
        <v>0</v>
      </c>
      <c r="V565" s="191" t="inlineStr">
        <is>
          <t>T1190:Exploit Public-Facing Application</t>
        </is>
      </c>
      <c r="W565" s="191" t="n">
        <v>1</v>
      </c>
      <c r="X565" s="191" t="inlineStr">
        <is>
          <t>LOW (40%)</t>
        </is>
      </c>
      <c r="Y565" s="191" t="inlineStr">
        <is>
          <t>UNLIKELY</t>
        </is>
      </c>
      <c r="Z565" s="191" t="inlineStr">
        <is>
          <t>CHECK_VENDOR</t>
        </is>
      </c>
      <c r="AA565" s="192" t="inlineStr">
        <is>
          <t>https://nvd.nist.gov/vuln/detail/CVE-2026-27092</t>
        </is>
      </c>
      <c r="AB565" s="191" t="inlineStr">
        <is>
          <t>NONE</t>
        </is>
      </c>
      <c r="AC565" s="191" t="n">
        <v>0</v>
      </c>
      <c r="AD565" s="191" t="n"/>
    </row>
    <row r="566">
      <c r="A566" s="191" t="inlineStr">
        <is>
          <t>CVE</t>
        </is>
      </c>
      <c r="B566" s="191" t="inlineStr">
        <is>
          <t>CVE-2026-27094</t>
        </is>
      </c>
      <c r="C566" s="191" t="inlineStr">
        <is>
          <t>Improper Neutralization of Input During Web Page Generation ('Cross-site Scripting') vulnerability in GoDaddy CoBlocks coblocks allows Stored XSS.This issue affects CoBlocks: from n/a through &lt;= 3.1.16.</t>
        </is>
      </c>
      <c r="D566" s="191" t="n">
        <v>6.5</v>
      </c>
      <c r="E566" s="191" t="inlineStr">
        <is>
          <t>MEDIUM</t>
        </is>
      </c>
      <c r="F566" s="191" t="n">
        <v>2</v>
      </c>
      <c r="G566" s="191" t="n">
        <v>2</v>
      </c>
      <c r="H566" s="191" t="inlineStr">
        <is>
          <t>MEDIUM</t>
        </is>
      </c>
      <c r="I566" s="191" t="n">
        <v>10.5</v>
      </c>
      <c r="J566" s="191" t="inlineStr">
        <is>
          <t>NO</t>
        </is>
      </c>
      <c r="K566" s="192" t="inlineStr">
        <is>
          <t>https://nvd.nist.gov/vuln/detail/CVE-2026-27094</t>
        </is>
      </c>
      <c r="L566" s="191" t="inlineStr">
        <is>
          <t>2026-02-23 23:48</t>
        </is>
      </c>
      <c r="M566" s="191" t="inlineStr">
        <is>
          <t>CHECK_VENDOR</t>
        </is>
      </c>
      <c r="N566" s="191" t="inlineStr">
        <is>
          <t>See NVD references</t>
        </is>
      </c>
      <c r="O566" s="191" t="inlineStr">
        <is>
          <t>Apply vendor patches</t>
        </is>
      </c>
      <c r="P566" s="191" t="inlineStr">
        <is>
          <t>See CVE details</t>
        </is>
      </c>
      <c r="Q566" s="191" t="inlineStr">
        <is>
          <t>P4</t>
        </is>
      </c>
      <c r="R566" s="191" t="inlineStr">
        <is>
          <t>📅 Schedule patch deployment within 30 days | 🔍 Monitor for exploitation attempts</t>
        </is>
      </c>
      <c r="S566" s="191" t="inlineStr">
        <is>
          <t>CVE - IP enrichment n/a</t>
        </is>
      </c>
      <c r="T566" s="191" t="n">
        <v>0.0003</v>
      </c>
      <c r="U566" s="191" t="n">
        <v>0.096</v>
      </c>
      <c r="V566" s="191" t="inlineStr">
        <is>
          <t>T1189:Drive-by Compromise</t>
        </is>
      </c>
      <c r="W566" s="191" t="n">
        <v>1</v>
      </c>
      <c r="X566" s="191" t="inlineStr">
        <is>
          <t>LOW (40%)</t>
        </is>
      </c>
      <c r="Y566" s="191" t="inlineStr">
        <is>
          <t>UNLIKELY</t>
        </is>
      </c>
      <c r="Z566" s="191" t="inlineStr">
        <is>
          <t>CHECK_VENDOR</t>
        </is>
      </c>
      <c r="AA566" s="192" t="inlineStr">
        <is>
          <t>https://nvd.nist.gov/vuln/detail/CVE-2026-27094</t>
        </is>
      </c>
      <c r="AB566" s="191" t="inlineStr">
        <is>
          <t>NONE</t>
        </is>
      </c>
      <c r="AC566" s="191" t="n">
        <v>0</v>
      </c>
      <c r="AD566" s="191" t="n"/>
    </row>
    <row r="567">
      <c r="A567" s="191" t="inlineStr">
        <is>
          <t>CVE</t>
        </is>
      </c>
      <c r="B567" s="191" t="inlineStr">
        <is>
          <t>CVE-2026-2735</t>
        </is>
      </c>
      <c r="C567" s="191" t="inlineStr">
        <is>
          <t>Stored Cross-Site Scripting (XSS) in Alkacon's OpenCms v18.0, which occurs when user input is not properly validated when sending a POST request to ‘/blog/new-article/org.opencms.ugc.CmsUgcEditService.gwt’ using the ‘text’ parameter.</t>
        </is>
      </c>
      <c r="D567" s="191" t="n">
        <v>5.4</v>
      </c>
      <c r="E567" s="191" t="inlineStr">
        <is>
          <t>MEDIUM</t>
        </is>
      </c>
      <c r="F567" s="191" t="n">
        <v>2</v>
      </c>
      <c r="G567" s="191" t="n">
        <v>2</v>
      </c>
      <c r="H567" s="191" t="inlineStr">
        <is>
          <t>MEDIUM</t>
        </is>
      </c>
      <c r="I567" s="191" t="n">
        <v>9.4</v>
      </c>
      <c r="J567" s="191" t="inlineStr">
        <is>
          <t>NO</t>
        </is>
      </c>
      <c r="K567" s="192" t="inlineStr">
        <is>
          <t>https://nvd.nist.gov/vuln/detail/CVE-2026-2735</t>
        </is>
      </c>
      <c r="L567" s="191" t="inlineStr">
        <is>
          <t>2026-02-23 23:48</t>
        </is>
      </c>
      <c r="M567" s="191" t="inlineStr">
        <is>
          <t>CHECK_VENDOR</t>
        </is>
      </c>
      <c r="N567" s="191" t="inlineStr">
        <is>
          <t>See NVD references</t>
        </is>
      </c>
      <c r="O567" s="191" t="inlineStr">
        <is>
          <t>Apply vendor patches</t>
        </is>
      </c>
      <c r="P567" s="191" t="inlineStr">
        <is>
          <t>alkacon opencms 18.0.0</t>
        </is>
      </c>
      <c r="Q567" s="191" t="inlineStr">
        <is>
          <t>P4</t>
        </is>
      </c>
      <c r="R567" s="191" t="inlineStr">
        <is>
          <t>📅 Schedule patch deployment within 30 days | 🔍 Monitor for exploitation attempts</t>
        </is>
      </c>
      <c r="S567" s="191" t="inlineStr">
        <is>
          <t>CVE - IP enrichment n/a</t>
        </is>
      </c>
      <c r="T567" s="191" t="n">
        <v>0</v>
      </c>
      <c r="U567" s="191" t="n">
        <v>0</v>
      </c>
      <c r="V567" s="191" t="inlineStr">
        <is>
          <t>T1189:Drive-by Compromise</t>
        </is>
      </c>
      <c r="W567" s="191" t="n">
        <v>1</v>
      </c>
      <c r="X567" s="191" t="inlineStr">
        <is>
          <t>LOW (40%)</t>
        </is>
      </c>
      <c r="Y567" s="191" t="inlineStr">
        <is>
          <t>UNLIKELY</t>
        </is>
      </c>
      <c r="Z567" s="191" t="inlineStr">
        <is>
          <t>CHECK_VENDOR</t>
        </is>
      </c>
      <c r="AA567" s="192" t="inlineStr">
        <is>
          <t>https://nvd.nist.gov/vuln/detail/CVE-2026-2735</t>
        </is>
      </c>
      <c r="AB567" s="191" t="inlineStr">
        <is>
          <t>NONE</t>
        </is>
      </c>
      <c r="AC567" s="191" t="n">
        <v>0</v>
      </c>
      <c r="AD567" s="191" t="n"/>
    </row>
    <row r="568">
      <c r="A568" s="191" t="inlineStr">
        <is>
          <t>CVE</t>
        </is>
      </c>
      <c r="B568" s="191" t="inlineStr">
        <is>
          <t>CVE-2026-2736</t>
        </is>
      </c>
      <c r="C568" s="191" t="inlineStr">
        <is>
          <t>Reflected Cross-site Scripting (XSS) in Alkacon's OpenCms v18.0, which allows an attacker to execute JavaScript code in the victim's browser by sending the victim a malicious URL containing the ‘q’ parameter in ‘/search/index.html’. This vulnerability can be exploited to steal sensitive user information such as session cookies, or to perform actions while impersonating the user.</t>
        </is>
      </c>
      <c r="D568" s="191" t="n">
        <v>6.1</v>
      </c>
      <c r="E568" s="191" t="inlineStr">
        <is>
          <t>MEDIUM</t>
        </is>
      </c>
      <c r="F568" s="191" t="n">
        <v>2</v>
      </c>
      <c r="G568" s="191" t="n">
        <v>2</v>
      </c>
      <c r="H568" s="191" t="inlineStr">
        <is>
          <t>MEDIUM</t>
        </is>
      </c>
      <c r="I568" s="191" t="n">
        <v>10.1</v>
      </c>
      <c r="J568" s="191" t="inlineStr">
        <is>
          <t>NO</t>
        </is>
      </c>
      <c r="K568" s="192" t="inlineStr">
        <is>
          <t>https://nvd.nist.gov/vuln/detail/CVE-2026-2736</t>
        </is>
      </c>
      <c r="L568" s="191" t="inlineStr">
        <is>
          <t>2026-02-23 23:48</t>
        </is>
      </c>
      <c r="M568" s="191" t="inlineStr">
        <is>
          <t>CHECK_VENDOR</t>
        </is>
      </c>
      <c r="N568" s="191" t="inlineStr">
        <is>
          <t>See NVD references</t>
        </is>
      </c>
      <c r="O568" s="191" t="inlineStr">
        <is>
          <t>Apply vendor patches</t>
        </is>
      </c>
      <c r="P568" s="191" t="inlineStr">
        <is>
          <t>alkacon opencms 18.0.0</t>
        </is>
      </c>
      <c r="Q568" s="191" t="inlineStr">
        <is>
          <t>P4</t>
        </is>
      </c>
      <c r="R568" s="191" t="inlineStr">
        <is>
          <t>📅 Schedule patch deployment within 30 days | 🔍 Monitor for exploitation attempts</t>
        </is>
      </c>
      <c r="S568" s="191" t="inlineStr">
        <is>
          <t>CVE - IP enrichment n/a</t>
        </is>
      </c>
      <c r="T568" s="191" t="n">
        <v>0.0005</v>
      </c>
      <c r="U568" s="191" t="n">
        <v>0.1461</v>
      </c>
      <c r="V568" s="191" t="inlineStr">
        <is>
          <t>T1189:Drive-by Compromise</t>
        </is>
      </c>
      <c r="W568" s="191" t="n">
        <v>1</v>
      </c>
      <c r="X568" s="191" t="inlineStr">
        <is>
          <t>LOW (40%)</t>
        </is>
      </c>
      <c r="Y568" s="191" t="inlineStr">
        <is>
          <t>UNLIKELY</t>
        </is>
      </c>
      <c r="Z568" s="191" t="inlineStr">
        <is>
          <t>CHECK_VENDOR</t>
        </is>
      </c>
      <c r="AA568" s="192" t="inlineStr">
        <is>
          <t>https://nvd.nist.gov/vuln/detail/CVE-2026-2736</t>
        </is>
      </c>
      <c r="AB568" s="191" t="inlineStr">
        <is>
          <t>NONE</t>
        </is>
      </c>
      <c r="AC568" s="191" t="n">
        <v>0</v>
      </c>
      <c r="AD568" s="191" t="n"/>
    </row>
    <row r="569">
      <c r="A569" s="193" t="inlineStr">
        <is>
          <t>CVE</t>
        </is>
      </c>
      <c r="B569" s="193" t="inlineStr">
        <is>
          <t>CVE-2025-12107</t>
        </is>
      </c>
      <c r="C569" s="193" t="inlineStr">
        <is>
          <t>Due to the use of a vulnerable third-party Velocity template engine, a malicious actor with admin privilege may inject and execute arbitrary template syntax within server-side templates. 
 Successful exploitation of this vulnerability could allow a malicious actor with admin privilege to inject and execute arbitrary template code on the server, potentially leading to remote code execution, data manipulation, or unauthorized access to sensitive information.</t>
        </is>
      </c>
      <c r="D569" s="193" t="n">
        <v>10</v>
      </c>
      <c r="E569" s="193" t="inlineStr">
        <is>
          <t>CRITICAL</t>
        </is>
      </c>
      <c r="F569" s="193" t="n">
        <v>2</v>
      </c>
      <c r="G569" s="193" t="n">
        <v>3</v>
      </c>
      <c r="H569" s="193" t="inlineStr">
        <is>
          <t>HIGH</t>
        </is>
      </c>
      <c r="I569" s="193" t="n">
        <v>16</v>
      </c>
      <c r="J569" s="193" t="inlineStr">
        <is>
          <t>NO</t>
        </is>
      </c>
      <c r="K569" s="194" t="inlineStr">
        <is>
          <t>https://nvd.nist.gov/vuln/detail/CVE-2025-12107</t>
        </is>
      </c>
      <c r="L569" s="193" t="inlineStr">
        <is>
          <t>2026-02-23 23:48</t>
        </is>
      </c>
      <c r="M569" s="193" t="inlineStr">
        <is>
          <t>YES</t>
        </is>
      </c>
      <c r="N569" s="194" t="inlineStr">
        <is>
          <t>https://security.docs.wso2.com/en/latest/security-announcements/security-advisories/2026/WSO2-2025-4517/</t>
        </is>
      </c>
      <c r="O569" s="193" t="inlineStr">
        <is>
          <t>Apply vendor patches</t>
        </is>
      </c>
      <c r="P569" s="193" t="inlineStr">
        <is>
          <t>wso2 identity_server 5.11.0</t>
        </is>
      </c>
      <c r="Q569" s="193" t="inlineStr">
        <is>
          <t>P3</t>
        </is>
      </c>
      <c r="R569" s="193" t="inlineStr">
        <is>
          <t>🚨 URGENT: Apply vendor patches immediately | 🔒 Isolate affected systems if patch unavailable | 🛡️ Enable additional monitoring/IDS rules</t>
        </is>
      </c>
      <c r="S569" s="193" t="inlineStr">
        <is>
          <t>CVE - IP enrichment n/a</t>
        </is>
      </c>
      <c r="T569" s="193" t="n">
        <v>0</v>
      </c>
      <c r="U569" s="193" t="n">
        <v>0</v>
      </c>
      <c r="V569" s="193" t="inlineStr">
        <is>
          <t>T1190:Exploit Public-Facing Application | T1210:Exploitation of Remote Services</t>
        </is>
      </c>
      <c r="W569" s="193" t="n">
        <v>1</v>
      </c>
      <c r="X569" s="193" t="inlineStr">
        <is>
          <t>LOW (40%)</t>
        </is>
      </c>
      <c r="Y569" s="193" t="inlineStr">
        <is>
          <t>UNLIKELY</t>
        </is>
      </c>
      <c r="Z569" s="193" t="inlineStr">
        <is>
          <t>PATCH_AVAILABLE</t>
        </is>
      </c>
      <c r="AA569" s="194" t="inlineStr">
        <is>
          <t>https://nvd.nist.gov/vuln/detail/CVE-2025-12107</t>
        </is>
      </c>
      <c r="AB569" s="193" t="inlineStr">
        <is>
          <t>NONE</t>
        </is>
      </c>
      <c r="AC569" s="193" t="n">
        <v>0</v>
      </c>
      <c r="AD569" s="193" t="n"/>
    </row>
    <row r="570">
      <c r="A570" s="193" t="inlineStr">
        <is>
          <t>CVE</t>
        </is>
      </c>
      <c r="B570" s="193" t="inlineStr">
        <is>
          <t>CVE-2025-13590</t>
        </is>
      </c>
      <c r="C570" s="193" t="inlineStr">
        <is>
          <t>A malicious actor with administrative privileges can upload an arbitrary file to a user-controlled location within the deployment via a system REST API. Successful uploads may lead to remote code execution. 
 By leveraging the vulnerability, a malicious actor may perform Remote Code Execution by uploading a specially crafted payload.</t>
        </is>
      </c>
      <c r="D570" s="193" t="n">
        <v>9.1</v>
      </c>
      <c r="E570" s="193" t="inlineStr">
        <is>
          <t>CRITICAL</t>
        </is>
      </c>
      <c r="F570" s="193" t="n">
        <v>2</v>
      </c>
      <c r="G570" s="193" t="n">
        <v>3</v>
      </c>
      <c r="H570" s="193" t="inlineStr">
        <is>
          <t>HIGH</t>
        </is>
      </c>
      <c r="I570" s="193" t="n">
        <v>15.1</v>
      </c>
      <c r="J570" s="193" t="inlineStr">
        <is>
          <t>NO</t>
        </is>
      </c>
      <c r="K570" s="194" t="inlineStr">
        <is>
          <t>https://nvd.nist.gov/vuln/detail/CVE-2025-13590</t>
        </is>
      </c>
      <c r="L570" s="193" t="inlineStr">
        <is>
          <t>2026-02-23 23:48</t>
        </is>
      </c>
      <c r="M570" s="193" t="inlineStr">
        <is>
          <t>YES</t>
        </is>
      </c>
      <c r="N570" s="194" t="inlineStr">
        <is>
          <t>https://security.docs.wso2.com/en/latest/security-announcements/security-advisories/2026/WSO2-2025-4849/</t>
        </is>
      </c>
      <c r="O570" s="193" t="inlineStr">
        <is>
          <t>Apply vendor patches</t>
        </is>
      </c>
      <c r="P570" s="193" t="inlineStr">
        <is>
          <t>wso2 api_manager 4.2.0 | wso2 api_control_plane 4.5.0 | wso2 api_control_plane 4.6.0</t>
        </is>
      </c>
      <c r="Q570" s="193" t="inlineStr">
        <is>
          <t>P3</t>
        </is>
      </c>
      <c r="R570" s="193" t="inlineStr">
        <is>
          <t>🚨 URGENT: Apply vendor patches immediately | 🔒 Isolate affected systems if patch unavailable | 🛡️ Enable additional monitoring/IDS rules</t>
        </is>
      </c>
      <c r="S570" s="193" t="inlineStr">
        <is>
          <t>CVE - IP enrichment n/a</t>
        </is>
      </c>
      <c r="T570" s="193" t="n">
        <v>0</v>
      </c>
      <c r="U570" s="193" t="n">
        <v>0</v>
      </c>
      <c r="V570" s="193" t="inlineStr">
        <is>
          <t>T1190:Exploit Public-Facing Application | T1210:Exploitation of Remote Services</t>
        </is>
      </c>
      <c r="W570" s="193" t="n">
        <v>1</v>
      </c>
      <c r="X570" s="193" t="inlineStr">
        <is>
          <t>LOW (40%)</t>
        </is>
      </c>
      <c r="Y570" s="193" t="inlineStr">
        <is>
          <t>UNLIKELY</t>
        </is>
      </c>
      <c r="Z570" s="193" t="inlineStr">
        <is>
          <t>PATCH_AVAILABLE</t>
        </is>
      </c>
      <c r="AA570" s="194" t="inlineStr">
        <is>
          <t>https://nvd.nist.gov/vuln/detail/CVE-2025-13590</t>
        </is>
      </c>
      <c r="AB570" s="193" t="inlineStr">
        <is>
          <t>NONE</t>
        </is>
      </c>
      <c r="AC570" s="193" t="n">
        <v>0</v>
      </c>
      <c r="AD570" s="193" t="n"/>
    </row>
    <row r="571">
      <c r="A571" s="191" t="inlineStr">
        <is>
          <t>CVE</t>
        </is>
      </c>
      <c r="B571" s="191" t="inlineStr">
        <is>
          <t>CVE-2026-1219</t>
        </is>
      </c>
      <c r="C571" s="191" t="inlineStr">
        <is>
          <t>The MP3 Audio Player – Music Player, Podcast Player &amp; Radio by Sonaar plugin for WordPress is vulnerable to Insecure Direct Object Reference in versions 4.0 to 5.10 via the 'load_track_note_ajax' due to missing validation on a user controlled key. This makes it possible for unauthenticated attackers to view the contents of private posts.</t>
        </is>
      </c>
      <c r="D571" s="191" t="n">
        <v>5.3</v>
      </c>
      <c r="E571" s="191" t="inlineStr">
        <is>
          <t>MEDIUM</t>
        </is>
      </c>
      <c r="F571" s="191" t="n">
        <v>2</v>
      </c>
      <c r="G571" s="191" t="n">
        <v>2</v>
      </c>
      <c r="H571" s="191" t="inlineStr">
        <is>
          <t>MEDIUM</t>
        </is>
      </c>
      <c r="I571" s="191" t="n">
        <v>9.300000000000001</v>
      </c>
      <c r="J571" s="191" t="inlineStr">
        <is>
          <t>NO</t>
        </is>
      </c>
      <c r="K571" s="192" t="inlineStr">
        <is>
          <t>https://nvd.nist.gov/vuln/detail/CVE-2026-1219</t>
        </is>
      </c>
      <c r="L571" s="191" t="inlineStr">
        <is>
          <t>2026-02-23 23:48</t>
        </is>
      </c>
      <c r="M571" s="191" t="inlineStr">
        <is>
          <t>CHECK_VENDOR</t>
        </is>
      </c>
      <c r="N571" s="191" t="inlineStr">
        <is>
          <t>See NVD references</t>
        </is>
      </c>
      <c r="O571" s="191" t="inlineStr">
        <is>
          <t>Apply vendor patches</t>
        </is>
      </c>
      <c r="P571" s="191" t="inlineStr">
        <is>
          <t>See CVE details</t>
        </is>
      </c>
      <c r="Q571" s="191" t="inlineStr">
        <is>
          <t>P4</t>
        </is>
      </c>
      <c r="R571" s="191" t="inlineStr">
        <is>
          <t>📅 Schedule patch deployment within 30 days | 🔍 Monitor for exploitation attempts</t>
        </is>
      </c>
      <c r="S571" s="191" t="inlineStr">
        <is>
          <t>CVE - IP enrichment n/a</t>
        </is>
      </c>
      <c r="T571" s="191" t="n">
        <v>0</v>
      </c>
      <c r="U571" s="191" t="n">
        <v>0</v>
      </c>
      <c r="V571" s="191" t="inlineStr">
        <is>
          <t>T1190:Exploit Public-Facing Application</t>
        </is>
      </c>
      <c r="W571" s="191" t="n">
        <v>1</v>
      </c>
      <c r="X571" s="191" t="inlineStr">
        <is>
          <t>LOW (40%)</t>
        </is>
      </c>
      <c r="Y571" s="191" t="inlineStr">
        <is>
          <t>UNLIKELY</t>
        </is>
      </c>
      <c r="Z571" s="191" t="inlineStr">
        <is>
          <t>CHECK_VENDOR</t>
        </is>
      </c>
      <c r="AA571" s="192" t="inlineStr">
        <is>
          <t>https://nvd.nist.gov/vuln/detail/CVE-2026-1219</t>
        </is>
      </c>
      <c r="AB571" s="191" t="inlineStr">
        <is>
          <t>NONE</t>
        </is>
      </c>
      <c r="AC571" s="191" t="n">
        <v>0</v>
      </c>
      <c r="AD571" s="191" t="n"/>
    </row>
    <row r="572">
      <c r="A572" s="191" t="inlineStr">
        <is>
          <t>CVE</t>
        </is>
      </c>
      <c r="B572" s="191" t="inlineStr">
        <is>
          <t>CVE-2026-1461</t>
        </is>
      </c>
      <c r="C572" s="191" t="inlineStr">
        <is>
          <t>The Simple Membership plugin for WordPress is vulnerable to Improper Handling of Missing Values in all versions up to, and including, 4.7.0 via the Stripe webhook handler. This is due to the plugin only validating webhook signatures when the stripe-webhook-signing-secret setting is configured, which is empty by default. This makes it possible for unauthenticated attackers to forge Stripe webhook events to manipulate membership subscriptions, including reactivating expired memberships without pay</t>
        </is>
      </c>
      <c r="D572" s="191" t="n">
        <v>6.5</v>
      </c>
      <c r="E572" s="191" t="inlineStr">
        <is>
          <t>MEDIUM</t>
        </is>
      </c>
      <c r="F572" s="191" t="n">
        <v>2</v>
      </c>
      <c r="G572" s="191" t="n">
        <v>2</v>
      </c>
      <c r="H572" s="191" t="inlineStr">
        <is>
          <t>MEDIUM</t>
        </is>
      </c>
      <c r="I572" s="191" t="n">
        <v>10.5</v>
      </c>
      <c r="J572" s="191" t="inlineStr">
        <is>
          <t>NO</t>
        </is>
      </c>
      <c r="K572" s="192" t="inlineStr">
        <is>
          <t>https://nvd.nist.gov/vuln/detail/CVE-2026-1461</t>
        </is>
      </c>
      <c r="L572" s="191" t="inlineStr">
        <is>
          <t>2026-02-23 23:48</t>
        </is>
      </c>
      <c r="M572" s="191" t="inlineStr">
        <is>
          <t>CHECK_VENDOR</t>
        </is>
      </c>
      <c r="N572" s="191" t="inlineStr">
        <is>
          <t>See NVD references</t>
        </is>
      </c>
      <c r="O572" s="191" t="inlineStr">
        <is>
          <t>Apply vendor patches</t>
        </is>
      </c>
      <c r="P572" s="191" t="inlineStr">
        <is>
          <t>See CVE details</t>
        </is>
      </c>
      <c r="Q572" s="191" t="inlineStr">
        <is>
          <t>P4</t>
        </is>
      </c>
      <c r="R572" s="191" t="inlineStr">
        <is>
          <t>📅 Schedule patch deployment within 30 days | 🔍 Monitor for exploitation attempts</t>
        </is>
      </c>
      <c r="S572" s="191" t="inlineStr">
        <is>
          <t>CVE - IP enrichment n/a</t>
        </is>
      </c>
      <c r="T572" s="191" t="n">
        <v>0</v>
      </c>
      <c r="U572" s="191" t="n">
        <v>0</v>
      </c>
      <c r="V572" s="191" t="inlineStr">
        <is>
          <t>T1190:Exploit Public-Facing Application</t>
        </is>
      </c>
      <c r="W572" s="191" t="n">
        <v>1</v>
      </c>
      <c r="X572" s="191" t="inlineStr">
        <is>
          <t>LOW (40%)</t>
        </is>
      </c>
      <c r="Y572" s="191" t="inlineStr">
        <is>
          <t>UNLIKELY</t>
        </is>
      </c>
      <c r="Z572" s="191" t="inlineStr">
        <is>
          <t>CHECK_VENDOR</t>
        </is>
      </c>
      <c r="AA572" s="192" t="inlineStr">
        <is>
          <t>https://nvd.nist.gov/vuln/detail/CVE-2026-1461</t>
        </is>
      </c>
      <c r="AB572" s="191" t="inlineStr">
        <is>
          <t>NONE</t>
        </is>
      </c>
      <c r="AC572" s="191" t="n">
        <v>0</v>
      </c>
      <c r="AD572" s="191" t="n"/>
    </row>
    <row r="573">
      <c r="A573" s="191" t="inlineStr">
        <is>
          <t>CVE</t>
        </is>
      </c>
      <c r="B573" s="191" t="inlineStr">
        <is>
          <t>CVE-2026-22266</t>
        </is>
      </c>
      <c r="C573" s="191" t="inlineStr">
        <is>
          <t>Dell PowerProtect Data Manager, version(s) prior to 19.22, contain(s) an Improper Verification of Source of a Communication Channel vulnerability in the REST API. A high privileged attacker with remote access could potentially exploit this vulnerability, leading to protection mechanism bypass.</t>
        </is>
      </c>
      <c r="D573" s="191" t="n">
        <v>4.7</v>
      </c>
      <c r="E573" s="191" t="inlineStr">
        <is>
          <t>MEDIUM</t>
        </is>
      </c>
      <c r="F573" s="191" t="n">
        <v>2</v>
      </c>
      <c r="G573" s="191" t="n">
        <v>2</v>
      </c>
      <c r="H573" s="191" t="inlineStr">
        <is>
          <t>MEDIUM</t>
        </is>
      </c>
      <c r="I573" s="191" t="n">
        <v>8.699999999999999</v>
      </c>
      <c r="J573" s="191" t="inlineStr">
        <is>
          <t>NO</t>
        </is>
      </c>
      <c r="K573" s="192" t="inlineStr">
        <is>
          <t>https://nvd.nist.gov/vuln/detail/CVE-2026-22266</t>
        </is>
      </c>
      <c r="L573" s="191" t="inlineStr">
        <is>
          <t>2026-02-23 23:48</t>
        </is>
      </c>
      <c r="M573" s="191" t="inlineStr">
        <is>
          <t>YES</t>
        </is>
      </c>
      <c r="N573" s="192" t="inlineStr">
        <is>
          <t>https://www.dell.com/support/kbdoc/en-us/000429778/dsa-2026-046-security-update-for-dell-powerprotect-data-manager-multiple-vulnerabilities</t>
        </is>
      </c>
      <c r="O573" s="191" t="inlineStr">
        <is>
          <t>Apply vendor patches</t>
        </is>
      </c>
      <c r="P573" s="191" t="inlineStr">
        <is>
          <t>dell powerprotect_data_manager *</t>
        </is>
      </c>
      <c r="Q573" s="191" t="inlineStr">
        <is>
          <t>P4</t>
        </is>
      </c>
      <c r="R573" s="191" t="inlineStr">
        <is>
          <t>📅 Schedule patch deployment within 30 days | 🔍 Monitor for exploitation attempts</t>
        </is>
      </c>
      <c r="S573" s="191" t="inlineStr">
        <is>
          <t>CVE - IP enrichment n/a</t>
        </is>
      </c>
      <c r="T573" s="191" t="n">
        <v>0</v>
      </c>
      <c r="U573" s="191" t="n">
        <v>0</v>
      </c>
      <c r="V573" s="191" t="inlineStr">
        <is>
          <t>T1190:Exploit Public-Facing Application</t>
        </is>
      </c>
      <c r="W573" s="191" t="n">
        <v>1</v>
      </c>
      <c r="X573" s="191" t="inlineStr">
        <is>
          <t>LOW (40%)</t>
        </is>
      </c>
      <c r="Y573" s="191" t="inlineStr">
        <is>
          <t>UNLIKELY</t>
        </is>
      </c>
      <c r="Z573" s="191" t="inlineStr">
        <is>
          <t>PATCH_AVAILABLE</t>
        </is>
      </c>
      <c r="AA573" s="192" t="inlineStr">
        <is>
          <t>https://nvd.nist.gov/vuln/detail/CVE-2026-22266</t>
        </is>
      </c>
      <c r="AB573" s="191" t="inlineStr">
        <is>
          <t>NONE</t>
        </is>
      </c>
      <c r="AC573" s="191" t="n">
        <v>0</v>
      </c>
      <c r="AD573" s="191" t="n"/>
    </row>
    <row r="574">
      <c r="A574" s="189" t="inlineStr">
        <is>
          <t>CVE</t>
        </is>
      </c>
      <c r="B574" s="189" t="inlineStr">
        <is>
          <t>CVE-2026-22267</t>
        </is>
      </c>
      <c r="C574" s="189" t="inlineStr">
        <is>
          <t>Dell PowerProtect Data Manager, version(s) prior to 19.22, contain(s) an Incorrect Privilege Assignment vulnerability. A low privileged attacker with remote access could potentially exploit this vulnerability, leading to Elevation of privileges.</t>
        </is>
      </c>
      <c r="D574" s="189" t="n">
        <v>8.1</v>
      </c>
      <c r="E574" s="189" t="inlineStr">
        <is>
          <t>HIGH</t>
        </is>
      </c>
      <c r="F574" s="189" t="n">
        <v>2</v>
      </c>
      <c r="G574" s="189" t="n">
        <v>3</v>
      </c>
      <c r="H574" s="189" t="inlineStr">
        <is>
          <t>HIGH</t>
        </is>
      </c>
      <c r="I574" s="189" t="n">
        <v>14.1</v>
      </c>
      <c r="J574" s="189" t="inlineStr">
        <is>
          <t>NO</t>
        </is>
      </c>
      <c r="K574" s="190" t="inlineStr">
        <is>
          <t>https://nvd.nist.gov/vuln/detail/CVE-2026-22267</t>
        </is>
      </c>
      <c r="L574" s="189" t="inlineStr">
        <is>
          <t>2026-02-23 23:48</t>
        </is>
      </c>
      <c r="M574" s="189" t="inlineStr">
        <is>
          <t>YES</t>
        </is>
      </c>
      <c r="N574" s="190" t="inlineStr">
        <is>
          <t>https://www.dell.com/support/kbdoc/en-us/000429778/dsa-2026-046-security-update-for-dell-powerprotect-data-manager-multiple-vulnerabilities</t>
        </is>
      </c>
      <c r="O574" s="189" t="inlineStr">
        <is>
          <t>Apply vendor patches</t>
        </is>
      </c>
      <c r="P574" s="189" t="inlineStr">
        <is>
          <t>dell powerprotect_data_manager *</t>
        </is>
      </c>
      <c r="Q574" s="189" t="inlineStr">
        <is>
          <t>P3</t>
        </is>
      </c>
      <c r="R574" s="189" t="inlineStr">
        <is>
          <t>🚨 URGENT: Apply vendor patches immediately | 🔒 Isolate affected systems if patch unavailable | 🛡️ Enable additional monitoring/IDS rules</t>
        </is>
      </c>
      <c r="S574" s="189" t="inlineStr">
        <is>
          <t>CVE - IP enrichment n/a</t>
        </is>
      </c>
      <c r="T574" s="189" t="n">
        <v>0</v>
      </c>
      <c r="U574" s="189" t="n">
        <v>0</v>
      </c>
      <c r="V574" s="189" t="inlineStr">
        <is>
          <t>T1190:Exploit Public-Facing Application</t>
        </is>
      </c>
      <c r="W574" s="189" t="n">
        <v>1</v>
      </c>
      <c r="X574" s="189" t="inlineStr">
        <is>
          <t>LOW (40%)</t>
        </is>
      </c>
      <c r="Y574" s="189" t="inlineStr">
        <is>
          <t>UNLIKELY</t>
        </is>
      </c>
      <c r="Z574" s="189" t="inlineStr">
        <is>
          <t>PATCH_AVAILABLE</t>
        </is>
      </c>
      <c r="AA574" s="190" t="inlineStr">
        <is>
          <t>https://nvd.nist.gov/vuln/detail/CVE-2026-22267</t>
        </is>
      </c>
      <c r="AB574" s="189" t="inlineStr">
        <is>
          <t>NONE</t>
        </is>
      </c>
      <c r="AC574" s="189" t="n">
        <v>0</v>
      </c>
      <c r="AD574" s="189" t="n"/>
    </row>
    <row r="575">
      <c r="A575" s="191" t="inlineStr">
        <is>
          <t>CVE</t>
        </is>
      </c>
      <c r="B575" s="191" t="inlineStr">
        <is>
          <t>CVE-2026-22268</t>
        </is>
      </c>
      <c r="C575" s="191" t="inlineStr">
        <is>
          <t>Dell PowerProtect Data Manager, version(s) prior to 19.22, contain(s) an Incorrect Privilege Assignment vulnerability. A low privileged attacker with remote access could potentially exploit this vulnerability, leading to denial of service of a Dell Enterprise Support connection.</t>
        </is>
      </c>
      <c r="D575" s="191" t="n">
        <v>6.3</v>
      </c>
      <c r="E575" s="191" t="inlineStr">
        <is>
          <t>MEDIUM</t>
        </is>
      </c>
      <c r="F575" s="191" t="n">
        <v>2</v>
      </c>
      <c r="G575" s="191" t="n">
        <v>2</v>
      </c>
      <c r="H575" s="191" t="inlineStr">
        <is>
          <t>MEDIUM</t>
        </is>
      </c>
      <c r="I575" s="191" t="n">
        <v>10.3</v>
      </c>
      <c r="J575" s="191" t="inlineStr">
        <is>
          <t>NO</t>
        </is>
      </c>
      <c r="K575" s="192" t="inlineStr">
        <is>
          <t>https://nvd.nist.gov/vuln/detail/CVE-2026-22268</t>
        </is>
      </c>
      <c r="L575" s="191" t="inlineStr">
        <is>
          <t>2026-02-23 23:48</t>
        </is>
      </c>
      <c r="M575" s="191" t="inlineStr">
        <is>
          <t>YES</t>
        </is>
      </c>
      <c r="N575" s="192" t="inlineStr">
        <is>
          <t>https://www.dell.com/support/kbdoc/en-us/000429778/dsa-2026-046-security-update-for-dell-powerprotect-data-manager-multiple-vulnerabilities</t>
        </is>
      </c>
      <c r="O575" s="191" t="inlineStr">
        <is>
          <t>Apply vendor patches</t>
        </is>
      </c>
      <c r="P575" s="191" t="inlineStr">
        <is>
          <t>dell powerprotect_data_manager *</t>
        </is>
      </c>
      <c r="Q575" s="191" t="inlineStr">
        <is>
          <t>P4</t>
        </is>
      </c>
      <c r="R575" s="191" t="inlineStr">
        <is>
          <t>📅 Schedule patch deployment within 30 days | 🔍 Monitor for exploitation attempts</t>
        </is>
      </c>
      <c r="S575" s="191" t="inlineStr">
        <is>
          <t>CVE - IP enrichment n/a</t>
        </is>
      </c>
      <c r="T575" s="191" t="n">
        <v>0</v>
      </c>
      <c r="U575" s="191" t="n">
        <v>0</v>
      </c>
      <c r="V575" s="191" t="inlineStr">
        <is>
          <t>T1499:Endpoint Denial of Service</t>
        </is>
      </c>
      <c r="W575" s="191" t="n">
        <v>1</v>
      </c>
      <c r="X575" s="191" t="inlineStr">
        <is>
          <t>LOW (40%)</t>
        </is>
      </c>
      <c r="Y575" s="191" t="inlineStr">
        <is>
          <t>UNLIKELY</t>
        </is>
      </c>
      <c r="Z575" s="191" t="inlineStr">
        <is>
          <t>PATCH_AVAILABLE</t>
        </is>
      </c>
      <c r="AA575" s="192" t="inlineStr">
        <is>
          <t>https://nvd.nist.gov/vuln/detail/CVE-2026-22268</t>
        </is>
      </c>
      <c r="AB575" s="191" t="inlineStr">
        <is>
          <t>NONE</t>
        </is>
      </c>
      <c r="AC575" s="191" t="n">
        <v>0</v>
      </c>
      <c r="AD575" s="191" t="n"/>
    </row>
    <row r="576">
      <c r="A576" s="191" t="inlineStr">
        <is>
          <t>CVE</t>
        </is>
      </c>
      <c r="B576" s="191" t="inlineStr">
        <is>
          <t>CVE-2026-2716</t>
        </is>
      </c>
      <c r="C576" s="191" t="inlineStr">
        <is>
          <t>The Client Testimonial Slider plugin for WordPress is vulnerable to Stored Cross-Site Scripting via the 'Testimonial Heading' setting in all versions up to, and including, 2.0. This is due to insufficient input sanitization and output escaping. This makes it possible for authenticated attackers, with Administrator-level access and above, to inject arbitrary web scripts in pages that will execute whenever a user accesses an injected page. This only affects multi-site installations and installatio</t>
        </is>
      </c>
      <c r="D576" s="191" t="n">
        <v>4.4</v>
      </c>
      <c r="E576" s="191" t="inlineStr">
        <is>
          <t>MEDIUM</t>
        </is>
      </c>
      <c r="F576" s="191" t="n">
        <v>2</v>
      </c>
      <c r="G576" s="191" t="n">
        <v>2</v>
      </c>
      <c r="H576" s="191" t="inlineStr">
        <is>
          <t>MEDIUM</t>
        </is>
      </c>
      <c r="I576" s="191" t="n">
        <v>8.4</v>
      </c>
      <c r="J576" s="191" t="inlineStr">
        <is>
          <t>NO</t>
        </is>
      </c>
      <c r="K576" s="192" t="inlineStr">
        <is>
          <t>https://nvd.nist.gov/vuln/detail/CVE-2026-2716</t>
        </is>
      </c>
      <c r="L576" s="191" t="inlineStr">
        <is>
          <t>2026-02-23 23:48</t>
        </is>
      </c>
      <c r="M576" s="191" t="inlineStr">
        <is>
          <t>CHECK_VENDOR</t>
        </is>
      </c>
      <c r="N576" s="191" t="inlineStr">
        <is>
          <t>See NVD references</t>
        </is>
      </c>
      <c r="O576" s="191" t="inlineStr">
        <is>
          <t>Apply vendor patches</t>
        </is>
      </c>
      <c r="P576" s="191" t="inlineStr">
        <is>
          <t>See CVE details</t>
        </is>
      </c>
      <c r="Q576" s="191" t="inlineStr">
        <is>
          <t>P4</t>
        </is>
      </c>
      <c r="R576" s="191" t="inlineStr">
        <is>
          <t>📅 Schedule patch deployment within 30 days | 🔍 Monitor for exploitation attempts</t>
        </is>
      </c>
      <c r="S576" s="191" t="inlineStr">
        <is>
          <t>CVE - IP enrichment n/a</t>
        </is>
      </c>
      <c r="T576" s="191" t="n">
        <v>0</v>
      </c>
      <c r="U576" s="191" t="n">
        <v>0</v>
      </c>
      <c r="V576" s="191" t="inlineStr">
        <is>
          <t>T1189:Drive-by Compromise</t>
        </is>
      </c>
      <c r="W576" s="191" t="n">
        <v>1</v>
      </c>
      <c r="X576" s="191" t="inlineStr">
        <is>
          <t>LOW (40%)</t>
        </is>
      </c>
      <c r="Y576" s="191" t="inlineStr">
        <is>
          <t>UNLIKELY</t>
        </is>
      </c>
      <c r="Z576" s="191" t="inlineStr">
        <is>
          <t>CHECK_VENDOR</t>
        </is>
      </c>
      <c r="AA576" s="192" t="inlineStr">
        <is>
          <t>https://nvd.nist.gov/vuln/detail/CVE-2026-2716</t>
        </is>
      </c>
      <c r="AB576" s="191" t="inlineStr">
        <is>
          <t>NONE</t>
        </is>
      </c>
      <c r="AC576" s="191" t="n">
        <v>0</v>
      </c>
      <c r="AD576" s="191" t="n"/>
    </row>
    <row r="577">
      <c r="A577" s="191" t="inlineStr">
        <is>
          <t>CVE</t>
        </is>
      </c>
      <c r="B577" s="191" t="inlineStr">
        <is>
          <t>CVE-2026-2718</t>
        </is>
      </c>
      <c r="C577" s="191" t="inlineStr">
        <is>
          <t>The Dealia – Request a Quote plugin for WordPress is vulnerable to Stored Cross-Site Scripting via Gutenberg block attributes in all versions up to, and including, 1.0.6. This is due to the use of `wp_kses()` for output escaping within HTML attribute contexts where `esc_attr()` is required. This makes it possible for authenticated attackers, with Contributor-level access and above, to inject arbitrary web scripts in pages that will execute whenever a user accesses an injected page.</t>
        </is>
      </c>
      <c r="D577" s="191" t="n">
        <v>6.4</v>
      </c>
      <c r="E577" s="191" t="inlineStr">
        <is>
          <t>MEDIUM</t>
        </is>
      </c>
      <c r="F577" s="191" t="n">
        <v>2</v>
      </c>
      <c r="G577" s="191" t="n">
        <v>2</v>
      </c>
      <c r="H577" s="191" t="inlineStr">
        <is>
          <t>MEDIUM</t>
        </is>
      </c>
      <c r="I577" s="191" t="n">
        <v>10.4</v>
      </c>
      <c r="J577" s="191" t="inlineStr">
        <is>
          <t>NO</t>
        </is>
      </c>
      <c r="K577" s="192" t="inlineStr">
        <is>
          <t>https://nvd.nist.gov/vuln/detail/CVE-2026-2718</t>
        </is>
      </c>
      <c r="L577" s="191" t="inlineStr">
        <is>
          <t>2026-02-23 23:48</t>
        </is>
      </c>
      <c r="M577" s="191" t="inlineStr">
        <is>
          <t>CHECK_VENDOR</t>
        </is>
      </c>
      <c r="N577" s="191" t="inlineStr">
        <is>
          <t>See NVD references</t>
        </is>
      </c>
      <c r="O577" s="191" t="inlineStr">
        <is>
          <t>Apply vendor patches</t>
        </is>
      </c>
      <c r="P577" s="191" t="inlineStr">
        <is>
          <t>See CVE details</t>
        </is>
      </c>
      <c r="Q577" s="191" t="inlineStr">
        <is>
          <t>P4</t>
        </is>
      </c>
      <c r="R577" s="191" t="inlineStr">
        <is>
          <t>📅 Schedule patch deployment within 30 days | 🔍 Monitor for exploitation attempts</t>
        </is>
      </c>
      <c r="S577" s="191" t="inlineStr">
        <is>
          <t>CVE - IP enrichment n/a</t>
        </is>
      </c>
      <c r="T577" s="191" t="n">
        <v>0</v>
      </c>
      <c r="U577" s="191" t="n">
        <v>0</v>
      </c>
      <c r="V577" s="191" t="inlineStr">
        <is>
          <t>T1189:Drive-by Compromise</t>
        </is>
      </c>
      <c r="W577" s="191" t="n">
        <v>1</v>
      </c>
      <c r="X577" s="191" t="inlineStr">
        <is>
          <t>LOW (40%)</t>
        </is>
      </c>
      <c r="Y577" s="191" t="inlineStr">
        <is>
          <t>UNLIKELY</t>
        </is>
      </c>
      <c r="Z577" s="191" t="inlineStr">
        <is>
          <t>CHECK_VENDOR</t>
        </is>
      </c>
      <c r="AA577" s="192" t="inlineStr">
        <is>
          <t>https://nvd.nist.gov/vuln/detail/CVE-2026-2718</t>
        </is>
      </c>
      <c r="AB577" s="191" t="inlineStr">
        <is>
          <t>NONE</t>
        </is>
      </c>
      <c r="AC577" s="191" t="n">
        <v>0</v>
      </c>
      <c r="AD577" s="191" t="n"/>
    </row>
    <row r="578">
      <c r="A578" s="193" t="inlineStr">
        <is>
          <t>CVE</t>
        </is>
      </c>
      <c r="B578" s="193" t="inlineStr">
        <is>
          <t>CVE-2025-15559</t>
        </is>
      </c>
      <c r="C578" s="193" t="inlineStr">
        <is>
          <t>An unauthenticated attacker can inject OS commands when calling a server API endpoint in NesterSoft WorkTime. The server API call to generate and download the WorkTime client from the WorkTime server is vulnerable in the “guid” parameter. This allows an attacker to execute arbitrary commands on the WorkTime server as NT Authority\SYSTEM with the highest privileges. Attackers are able to access or manipulate sensitive data and take over the whole server.</t>
        </is>
      </c>
      <c r="D578" s="193" t="n">
        <v>9.800000000000001</v>
      </c>
      <c r="E578" s="193" t="inlineStr">
        <is>
          <t>CRITICAL</t>
        </is>
      </c>
      <c r="F578" s="193" t="n">
        <v>2</v>
      </c>
      <c r="G578" s="193" t="n">
        <v>3</v>
      </c>
      <c r="H578" s="193" t="inlineStr">
        <is>
          <t>HIGH</t>
        </is>
      </c>
      <c r="I578" s="193" t="n">
        <v>15.8</v>
      </c>
      <c r="J578" s="193" t="inlineStr">
        <is>
          <t>NO</t>
        </is>
      </c>
      <c r="K578" s="194" t="inlineStr">
        <is>
          <t>https://nvd.nist.gov/vuln/detail/CVE-2025-15559</t>
        </is>
      </c>
      <c r="L578" s="193" t="inlineStr">
        <is>
          <t>2026-02-23 23:48</t>
        </is>
      </c>
      <c r="M578" s="193" t="inlineStr">
        <is>
          <t>CHECK_VENDOR</t>
        </is>
      </c>
      <c r="N578" s="193" t="inlineStr">
        <is>
          <t>See NVD references</t>
        </is>
      </c>
      <c r="O578" s="193" t="inlineStr">
        <is>
          <t>Apply vendor patches</t>
        </is>
      </c>
      <c r="P578" s="193" t="inlineStr">
        <is>
          <t>See CVE details</t>
        </is>
      </c>
      <c r="Q578" s="193" t="inlineStr">
        <is>
          <t>P3</t>
        </is>
      </c>
      <c r="R578" s="193" t="inlineStr">
        <is>
          <t>🚨 URGENT: Apply vendor patches immediately | 🔒 Isolate affected systems if patch unavailable | 🛡️ Enable additional monitoring/IDS rules</t>
        </is>
      </c>
      <c r="S578" s="193" t="inlineStr">
        <is>
          <t>CVE - IP enrichment n/a</t>
        </is>
      </c>
      <c r="T578" s="193" t="n">
        <v>0</v>
      </c>
      <c r="U578" s="193" t="n">
        <v>0</v>
      </c>
      <c r="V578" s="193" t="inlineStr">
        <is>
          <t>T1059:Command and Scripting Interpreter</t>
        </is>
      </c>
      <c r="W578" s="193" t="n">
        <v>1</v>
      </c>
      <c r="X578" s="193" t="inlineStr">
        <is>
          <t>LOW (40%)</t>
        </is>
      </c>
      <c r="Y578" s="193" t="inlineStr">
        <is>
          <t>UNLIKELY</t>
        </is>
      </c>
      <c r="Z578" s="193" t="inlineStr">
        <is>
          <t>CHECK_VENDOR</t>
        </is>
      </c>
      <c r="AA578" s="194" t="inlineStr">
        <is>
          <t>https://nvd.nist.gov/vuln/detail/CVE-2025-15559</t>
        </is>
      </c>
      <c r="AB578" s="193" t="inlineStr">
        <is>
          <t>NONE</t>
        </is>
      </c>
      <c r="AC578" s="193" t="n">
        <v>0</v>
      </c>
      <c r="AD578" s="193" t="n"/>
    </row>
    <row r="579">
      <c r="A579" s="189" t="inlineStr">
        <is>
          <t>CVE</t>
        </is>
      </c>
      <c r="B579" s="189" t="inlineStr">
        <is>
          <t>CVE-2025-15560</t>
        </is>
      </c>
      <c r="C579" s="189" t="inlineStr">
        <is>
          <t>An authenticated attacker with minimal permissions can exploit a SQL injection in the WorkTime server "widget" API endpoint to inject SQL queries. If the Firebird backend is used, attackers are able to retrieve all data from the database backend. If the MSSQL backend is used the attacker can execute arbitrary SQL statements on the database backend and gain access to sensitive data.</t>
        </is>
      </c>
      <c r="D579" s="189" t="n">
        <v>8.800000000000001</v>
      </c>
      <c r="E579" s="189" t="inlineStr">
        <is>
          <t>HIGH</t>
        </is>
      </c>
      <c r="F579" s="189" t="n">
        <v>2</v>
      </c>
      <c r="G579" s="189" t="n">
        <v>3</v>
      </c>
      <c r="H579" s="189" t="inlineStr">
        <is>
          <t>HIGH</t>
        </is>
      </c>
      <c r="I579" s="189" t="n">
        <v>14.8</v>
      </c>
      <c r="J579" s="189" t="inlineStr">
        <is>
          <t>NO</t>
        </is>
      </c>
      <c r="K579" s="190" t="inlineStr">
        <is>
          <t>https://nvd.nist.gov/vuln/detail/CVE-2025-15560</t>
        </is>
      </c>
      <c r="L579" s="189" t="inlineStr">
        <is>
          <t>2026-02-23 23:48</t>
        </is>
      </c>
      <c r="M579" s="189" t="inlineStr">
        <is>
          <t>CHECK_VENDOR</t>
        </is>
      </c>
      <c r="N579" s="189" t="inlineStr">
        <is>
          <t>See NVD references</t>
        </is>
      </c>
      <c r="O579" s="189" t="inlineStr">
        <is>
          <t>Apply vendor patches</t>
        </is>
      </c>
      <c r="P579" s="189" t="inlineStr">
        <is>
          <t>See CVE details</t>
        </is>
      </c>
      <c r="Q579" s="189" t="inlineStr">
        <is>
          <t>P3</t>
        </is>
      </c>
      <c r="R579" s="189" t="inlineStr">
        <is>
          <t>🚨 URGENT: Apply vendor patches immediately | 🔒 Isolate affected systems if patch unavailable | 🛡️ Enable additional monitoring/IDS rules</t>
        </is>
      </c>
      <c r="S579" s="189" t="inlineStr">
        <is>
          <t>CVE - IP enrichment n/a</t>
        </is>
      </c>
      <c r="T579" s="189" t="n">
        <v>0</v>
      </c>
      <c r="U579" s="189" t="n">
        <v>0</v>
      </c>
      <c r="V579" s="189" t="inlineStr">
        <is>
          <t>T1190:Exploit Public-Facing Application</t>
        </is>
      </c>
      <c r="W579" s="189" t="n">
        <v>1</v>
      </c>
      <c r="X579" s="189" t="inlineStr">
        <is>
          <t>LOW (40%)</t>
        </is>
      </c>
      <c r="Y579" s="189" t="inlineStr">
        <is>
          <t>UNLIKELY</t>
        </is>
      </c>
      <c r="Z579" s="189" t="inlineStr">
        <is>
          <t>CHECK_VENDOR</t>
        </is>
      </c>
      <c r="AA579" s="190" t="inlineStr">
        <is>
          <t>https://nvd.nist.gov/vuln/detail/CVE-2025-15560</t>
        </is>
      </c>
      <c r="AB579" s="189" t="inlineStr">
        <is>
          <t>NONE</t>
        </is>
      </c>
      <c r="AC579" s="189" t="n">
        <v>0</v>
      </c>
      <c r="AD579" s="189" t="n"/>
    </row>
    <row r="580">
      <c r="A580" s="189" t="inlineStr">
        <is>
          <t>CVE</t>
        </is>
      </c>
      <c r="B580" s="189" t="inlineStr">
        <is>
          <t>CVE-2025-15561</t>
        </is>
      </c>
      <c r="C580" s="189" t="inlineStr">
        <is>
          <t>An attacker can exploit the update behavior of the WorkTime monitoring daemon to elevate privileges on the local system to NT Authority\SYSTEM. A malicious executable must be named  WTWatch.exe and dropped in the C:\ProgramData\wta\ClientExe directory, which is writable by "Everyone". The executable will then be run by the WorkTime monitoring daemon.</t>
        </is>
      </c>
      <c r="D580" s="189" t="n">
        <v>7.8</v>
      </c>
      <c r="E580" s="189" t="inlineStr">
        <is>
          <t>HIGH</t>
        </is>
      </c>
      <c r="F580" s="189" t="n">
        <v>2</v>
      </c>
      <c r="G580" s="189" t="n">
        <v>3</v>
      </c>
      <c r="H580" s="189" t="inlineStr">
        <is>
          <t>HIGH</t>
        </is>
      </c>
      <c r="I580" s="189" t="n">
        <v>13.8</v>
      </c>
      <c r="J580" s="189" t="inlineStr">
        <is>
          <t>NO</t>
        </is>
      </c>
      <c r="K580" s="190" t="inlineStr">
        <is>
          <t>https://nvd.nist.gov/vuln/detail/CVE-2025-15561</t>
        </is>
      </c>
      <c r="L580" s="189" t="inlineStr">
        <is>
          <t>2026-02-23 23:48</t>
        </is>
      </c>
      <c r="M580" s="189" t="inlineStr">
        <is>
          <t>CHECK_VENDOR</t>
        </is>
      </c>
      <c r="N580" s="189" t="inlineStr">
        <is>
          <t>See NVD references</t>
        </is>
      </c>
      <c r="O580" s="189" t="inlineStr">
        <is>
          <t>Apply vendor patches</t>
        </is>
      </c>
      <c r="P580" s="189" t="inlineStr">
        <is>
          <t>See CVE details</t>
        </is>
      </c>
      <c r="Q580" s="189" t="inlineStr">
        <is>
          <t>P3</t>
        </is>
      </c>
      <c r="R580" s="189" t="inlineStr">
        <is>
          <t>🚨 URGENT: Apply vendor patches immediately | 🔒 Isolate affected systems if patch unavailable | 🛡️ Enable additional monitoring/IDS rules</t>
        </is>
      </c>
      <c r="S580" s="189" t="inlineStr">
        <is>
          <t>CVE - IP enrichment n/a</t>
        </is>
      </c>
      <c r="T580" s="189" t="n">
        <v>0.0002</v>
      </c>
      <c r="U580" s="189" t="n">
        <v>0.0381</v>
      </c>
      <c r="V580" s="189" t="inlineStr">
        <is>
          <t>T1190:Exploit Public-Facing Application</t>
        </is>
      </c>
      <c r="W580" s="189" t="n">
        <v>1</v>
      </c>
      <c r="X580" s="189" t="inlineStr">
        <is>
          <t>LOW (40%)</t>
        </is>
      </c>
      <c r="Y580" s="189" t="inlineStr">
        <is>
          <t>UNLIKELY</t>
        </is>
      </c>
      <c r="Z580" s="189" t="inlineStr">
        <is>
          <t>CHECK_VENDOR</t>
        </is>
      </c>
      <c r="AA580" s="190" t="inlineStr">
        <is>
          <t>https://nvd.nist.gov/vuln/detail/CVE-2025-15561</t>
        </is>
      </c>
      <c r="AB580" s="189" t="inlineStr">
        <is>
          <t>NONE</t>
        </is>
      </c>
      <c r="AC580" s="189" t="n">
        <v>0</v>
      </c>
      <c r="AD580" s="189" t="n"/>
    </row>
    <row r="581">
      <c r="A581" s="191" t="inlineStr">
        <is>
          <t>CVE</t>
        </is>
      </c>
      <c r="B581" s="191" t="inlineStr">
        <is>
          <t>CVE-2025-15562</t>
        </is>
      </c>
      <c r="C581" s="191" t="inlineStr">
        <is>
          <t>The server API endpoint /report/internet/urls reflects received data into the HTML response without applying proper encoding or filtering. This allows an attacker to execute arbitrary JavaScript in the victim's browser if the victim opens a URL prepared by the attacker.</t>
        </is>
      </c>
      <c r="D581" s="191" t="n">
        <v>6.1</v>
      </c>
      <c r="E581" s="191" t="inlineStr">
        <is>
          <t>MEDIUM</t>
        </is>
      </c>
      <c r="F581" s="191" t="n">
        <v>2</v>
      </c>
      <c r="G581" s="191" t="n">
        <v>2</v>
      </c>
      <c r="H581" s="191" t="inlineStr">
        <is>
          <t>MEDIUM</t>
        </is>
      </c>
      <c r="I581" s="191" t="n">
        <v>10.1</v>
      </c>
      <c r="J581" s="191" t="inlineStr">
        <is>
          <t>NO</t>
        </is>
      </c>
      <c r="K581" s="192" t="inlineStr">
        <is>
          <t>https://nvd.nist.gov/vuln/detail/CVE-2025-15562</t>
        </is>
      </c>
      <c r="L581" s="191" t="inlineStr">
        <is>
          <t>2026-02-23 23:48</t>
        </is>
      </c>
      <c r="M581" s="191" t="inlineStr">
        <is>
          <t>CHECK_VENDOR</t>
        </is>
      </c>
      <c r="N581" s="191" t="inlineStr">
        <is>
          <t>See NVD references</t>
        </is>
      </c>
      <c r="O581" s="191" t="inlineStr">
        <is>
          <t>Apply vendor patches</t>
        </is>
      </c>
      <c r="P581" s="191" t="inlineStr">
        <is>
          <t>See CVE details</t>
        </is>
      </c>
      <c r="Q581" s="191" t="inlineStr">
        <is>
          <t>P4</t>
        </is>
      </c>
      <c r="R581" s="191" t="inlineStr">
        <is>
          <t>📅 Schedule patch deployment within 30 days | 🔍 Monitor for exploitation attempts</t>
        </is>
      </c>
      <c r="S581" s="191" t="inlineStr">
        <is>
          <t>CVE - IP enrichment n/a</t>
        </is>
      </c>
      <c r="T581" s="191" t="n">
        <v>0.0003</v>
      </c>
      <c r="U581" s="191" t="n">
        <v>0.0823</v>
      </c>
      <c r="V581" s="191" t="inlineStr">
        <is>
          <t>T1189:Drive-by Compromise</t>
        </is>
      </c>
      <c r="W581" s="191" t="n">
        <v>1</v>
      </c>
      <c r="X581" s="191" t="inlineStr">
        <is>
          <t>LOW (40%)</t>
        </is>
      </c>
      <c r="Y581" s="191" t="inlineStr">
        <is>
          <t>UNLIKELY</t>
        </is>
      </c>
      <c r="Z581" s="191" t="inlineStr">
        <is>
          <t>CHECK_VENDOR</t>
        </is>
      </c>
      <c r="AA581" s="192" t="inlineStr">
        <is>
          <t>https://nvd.nist.gov/vuln/detail/CVE-2025-15562</t>
        </is>
      </c>
      <c r="AB581" s="191" t="inlineStr">
        <is>
          <t>NONE</t>
        </is>
      </c>
      <c r="AC581" s="191" t="n">
        <v>0</v>
      </c>
      <c r="AD581" s="191" t="n"/>
    </row>
    <row r="582">
      <c r="A582" s="191" t="inlineStr">
        <is>
          <t>CVE</t>
        </is>
      </c>
      <c r="B582" s="191" t="inlineStr">
        <is>
          <t>CVE-2025-15563</t>
        </is>
      </c>
      <c r="C582" s="191" t="inlineStr">
        <is>
          <t>Any unauthenticated user can reset the WorkTime on-prem database configuration by sending a specific HTTP request to the WorkTime server. No authorization check is applied here.</t>
        </is>
      </c>
      <c r="D582" s="191" t="n">
        <v>5.3</v>
      </c>
      <c r="E582" s="191" t="inlineStr">
        <is>
          <t>MEDIUM</t>
        </is>
      </c>
      <c r="F582" s="191" t="n">
        <v>2</v>
      </c>
      <c r="G582" s="191" t="n">
        <v>2</v>
      </c>
      <c r="H582" s="191" t="inlineStr">
        <is>
          <t>MEDIUM</t>
        </is>
      </c>
      <c r="I582" s="191" t="n">
        <v>9.300000000000001</v>
      </c>
      <c r="J582" s="191" t="inlineStr">
        <is>
          <t>NO</t>
        </is>
      </c>
      <c r="K582" s="192" t="inlineStr">
        <is>
          <t>https://nvd.nist.gov/vuln/detail/CVE-2025-15563</t>
        </is>
      </c>
      <c r="L582" s="191" t="inlineStr">
        <is>
          <t>2026-02-23 23:48</t>
        </is>
      </c>
      <c r="M582" s="191" t="inlineStr">
        <is>
          <t>CHECK_VENDOR</t>
        </is>
      </c>
      <c r="N582" s="191" t="inlineStr">
        <is>
          <t>See NVD references</t>
        </is>
      </c>
      <c r="O582" s="191" t="inlineStr">
        <is>
          <t>Apply vendor patches</t>
        </is>
      </c>
      <c r="P582" s="191" t="inlineStr">
        <is>
          <t>See CVE details</t>
        </is>
      </c>
      <c r="Q582" s="191" t="inlineStr">
        <is>
          <t>P4</t>
        </is>
      </c>
      <c r="R582" s="191" t="inlineStr">
        <is>
          <t>📅 Schedule patch deployment within 30 days | 🔍 Monitor for exploitation attempts</t>
        </is>
      </c>
      <c r="S582" s="191" t="inlineStr">
        <is>
          <t>CVE - IP enrichment n/a</t>
        </is>
      </c>
      <c r="T582" s="191" t="n">
        <v>0</v>
      </c>
      <c r="U582" s="191" t="n">
        <v>0</v>
      </c>
      <c r="V582" s="191" t="inlineStr">
        <is>
          <t>T1190:Exploit Public-Facing Application</t>
        </is>
      </c>
      <c r="W582" s="191" t="n">
        <v>1</v>
      </c>
      <c r="X582" s="191" t="inlineStr">
        <is>
          <t>LOW (40%)</t>
        </is>
      </c>
      <c r="Y582" s="191" t="inlineStr">
        <is>
          <t>UNLIKELY</t>
        </is>
      </c>
      <c r="Z582" s="191" t="inlineStr">
        <is>
          <t>CHECK_VENDOR</t>
        </is>
      </c>
      <c r="AA582" s="192" t="inlineStr">
        <is>
          <t>https://nvd.nist.gov/vuln/detail/CVE-2025-15563</t>
        </is>
      </c>
      <c r="AB582" s="191" t="inlineStr">
        <is>
          <t>NONE</t>
        </is>
      </c>
      <c r="AC582" s="191" t="n">
        <v>0</v>
      </c>
      <c r="AD582" s="191" t="n"/>
    </row>
    <row r="583">
      <c r="A583" s="189" t="inlineStr">
        <is>
          <t>CVE</t>
        </is>
      </c>
      <c r="B583" s="189" t="inlineStr">
        <is>
          <t>CVE-2025-9062</t>
        </is>
      </c>
      <c r="C583" s="189" t="inlineStr">
        <is>
          <t>Authorization Bypass Through User-Controlled Key vulnerability in MeCODE Informatics and Engineering Services Ltd. Envanty allows Parameter Injection.This issue affects Envanty: before 1.0.6.  
NOTE: The vendor was contacted early about this disclosure but did not respond in any way. 
The vulnerability was learned to be remediated through reporter information and testing.</t>
        </is>
      </c>
      <c r="D583" s="189" t="n">
        <v>7.3</v>
      </c>
      <c r="E583" s="189" t="inlineStr">
        <is>
          <t>HIGH</t>
        </is>
      </c>
      <c r="F583" s="189" t="n">
        <v>2</v>
      </c>
      <c r="G583" s="189" t="n">
        <v>3</v>
      </c>
      <c r="H583" s="189" t="inlineStr">
        <is>
          <t>HIGH</t>
        </is>
      </c>
      <c r="I583" s="189" t="n">
        <v>13.3</v>
      </c>
      <c r="J583" s="189" t="inlineStr">
        <is>
          <t>NO</t>
        </is>
      </c>
      <c r="K583" s="190" t="inlineStr">
        <is>
          <t>https://nvd.nist.gov/vuln/detail/CVE-2025-9062</t>
        </is>
      </c>
      <c r="L583" s="189" t="inlineStr">
        <is>
          <t>2026-02-23 23:48</t>
        </is>
      </c>
      <c r="M583" s="189" t="inlineStr">
        <is>
          <t>CHECK_VENDOR</t>
        </is>
      </c>
      <c r="N583" s="189" t="inlineStr">
        <is>
          <t>See NVD references</t>
        </is>
      </c>
      <c r="O583" s="189" t="inlineStr">
        <is>
          <t>Apply vendor patches</t>
        </is>
      </c>
      <c r="P583" s="189" t="inlineStr">
        <is>
          <t>See CVE details</t>
        </is>
      </c>
      <c r="Q583" s="189" t="inlineStr">
        <is>
          <t>P3</t>
        </is>
      </c>
      <c r="R583" s="189" t="inlineStr">
        <is>
          <t>🚨 URGENT: Apply vendor patches immediately | 🔒 Isolate affected systems if patch unavailable | 🛡️ Enable additional monitoring/IDS rules</t>
        </is>
      </c>
      <c r="S583" s="189" t="inlineStr">
        <is>
          <t>CVE - IP enrichment n/a</t>
        </is>
      </c>
      <c r="T583" s="189" t="n">
        <v>0</v>
      </c>
      <c r="U583" s="189" t="n">
        <v>0</v>
      </c>
      <c r="V583" s="189" t="inlineStr">
        <is>
          <t>T1190:Exploit Public-Facing Application</t>
        </is>
      </c>
      <c r="W583" s="189" t="n">
        <v>1</v>
      </c>
      <c r="X583" s="189" t="inlineStr">
        <is>
          <t>LOW (40%)</t>
        </is>
      </c>
      <c r="Y583" s="189" t="inlineStr">
        <is>
          <t>UNLIKELY</t>
        </is>
      </c>
      <c r="Z583" s="189" t="inlineStr">
        <is>
          <t>CHECK_VENDOR</t>
        </is>
      </c>
      <c r="AA583" s="190" t="inlineStr">
        <is>
          <t>https://nvd.nist.gov/vuln/detail/CVE-2025-9062</t>
        </is>
      </c>
      <c r="AB583" s="189" t="inlineStr">
        <is>
          <t>NONE</t>
        </is>
      </c>
      <c r="AC583" s="189" t="n">
        <v>0</v>
      </c>
      <c r="AD583" s="189" t="n"/>
    </row>
    <row r="584">
      <c r="A584" s="193" t="inlineStr">
        <is>
          <t>CVE</t>
        </is>
      </c>
      <c r="B584" s="193" t="inlineStr">
        <is>
          <t>CVE-2025-8350</t>
        </is>
      </c>
      <c r="C584" s="193" t="inlineStr">
        <is>
          <t>Execution After Redirect (EAR), Missing Authentication for Critical Function vulnerability in Inrove Software and Internet Services BiEticaret CMS allows Authentication Bypass, HTTP Response Splitting.This issue affects BiEticaret CMS: from 2.1.13 through 19022026.
NOTE: The vendor was contacted early about this disclosure but did not respond in any way.</t>
        </is>
      </c>
      <c r="D584" s="193" t="n">
        <v>9.800000000000001</v>
      </c>
      <c r="E584" s="193" t="inlineStr">
        <is>
          <t>CRITICAL</t>
        </is>
      </c>
      <c r="F584" s="193" t="n">
        <v>2</v>
      </c>
      <c r="G584" s="193" t="n">
        <v>3</v>
      </c>
      <c r="H584" s="193" t="inlineStr">
        <is>
          <t>HIGH</t>
        </is>
      </c>
      <c r="I584" s="193" t="n">
        <v>15.8</v>
      </c>
      <c r="J584" s="193" t="inlineStr">
        <is>
          <t>NO</t>
        </is>
      </c>
      <c r="K584" s="194" t="inlineStr">
        <is>
          <t>https://nvd.nist.gov/vuln/detail/CVE-2025-8350</t>
        </is>
      </c>
      <c r="L584" s="193" t="inlineStr">
        <is>
          <t>2026-02-23 23:48</t>
        </is>
      </c>
      <c r="M584" s="193" t="inlineStr">
        <is>
          <t>CHECK_VENDOR</t>
        </is>
      </c>
      <c r="N584" s="193" t="inlineStr">
        <is>
          <t>See NVD references</t>
        </is>
      </c>
      <c r="O584" s="193" t="inlineStr">
        <is>
          <t>Apply vendor patches</t>
        </is>
      </c>
      <c r="P584" s="193" t="inlineStr">
        <is>
          <t>See CVE details</t>
        </is>
      </c>
      <c r="Q584" s="193" t="inlineStr">
        <is>
          <t>P3</t>
        </is>
      </c>
      <c r="R584" s="193" t="inlineStr">
        <is>
          <t>🚨 URGENT: Apply vendor patches immediately | 🔒 Isolate affected systems if patch unavailable | 🛡️ Enable additional monitoring/IDS rules</t>
        </is>
      </c>
      <c r="S584" s="193" t="inlineStr">
        <is>
          <t>CVE - IP enrichment n/a</t>
        </is>
      </c>
      <c r="T584" s="193" t="n">
        <v>0</v>
      </c>
      <c r="U584" s="193" t="n">
        <v>0</v>
      </c>
      <c r="V584" s="193" t="inlineStr">
        <is>
          <t>T1078:Valid Accounts</t>
        </is>
      </c>
      <c r="W584" s="193" t="n">
        <v>1</v>
      </c>
      <c r="X584" s="193" t="inlineStr">
        <is>
          <t>LOW (40%)</t>
        </is>
      </c>
      <c r="Y584" s="193" t="inlineStr">
        <is>
          <t>UNLIKELY</t>
        </is>
      </c>
      <c r="Z584" s="193" t="inlineStr">
        <is>
          <t>CHECK_VENDOR</t>
        </is>
      </c>
      <c r="AA584" s="194" t="inlineStr">
        <is>
          <t>https://nvd.nist.gov/vuln/detail/CVE-2025-8350</t>
        </is>
      </c>
      <c r="AB584" s="193" t="inlineStr">
        <is>
          <t>NONE</t>
        </is>
      </c>
      <c r="AC584" s="193" t="n">
        <v>0</v>
      </c>
      <c r="AD584" s="193" t="n"/>
    </row>
    <row r="585">
      <c r="A585" s="193" t="inlineStr">
        <is>
          <t>CVE</t>
        </is>
      </c>
      <c r="B585" s="193" t="inlineStr">
        <is>
          <t>CVE-2025-9953</t>
        </is>
      </c>
      <c r="C585" s="193" t="inlineStr">
        <is>
          <t>Authorization Bypass Through User-Controlled SQL Primary Key vulnerability in DATABASE Software Training Consulting Ltd. Databank Accreditation Software allows SQL Injection.This issue affects Databank Accreditation Software: through 19022026.
NOTE: The vendor was contacted early about this disclosure but did not respond in any way.</t>
        </is>
      </c>
      <c r="D585" s="193" t="n">
        <v>9.800000000000001</v>
      </c>
      <c r="E585" s="193" t="inlineStr">
        <is>
          <t>CRITICAL</t>
        </is>
      </c>
      <c r="F585" s="193" t="n">
        <v>2</v>
      </c>
      <c r="G585" s="193" t="n">
        <v>3</v>
      </c>
      <c r="H585" s="193" t="inlineStr">
        <is>
          <t>HIGH</t>
        </is>
      </c>
      <c r="I585" s="193" t="n">
        <v>15.8</v>
      </c>
      <c r="J585" s="193" t="inlineStr">
        <is>
          <t>NO</t>
        </is>
      </c>
      <c r="K585" s="194" t="inlineStr">
        <is>
          <t>https://nvd.nist.gov/vuln/detail/CVE-2025-9953</t>
        </is>
      </c>
      <c r="L585" s="193" t="inlineStr">
        <is>
          <t>2026-02-23 23:48</t>
        </is>
      </c>
      <c r="M585" s="193" t="inlineStr">
        <is>
          <t>CHECK_VENDOR</t>
        </is>
      </c>
      <c r="N585" s="193" t="inlineStr">
        <is>
          <t>See NVD references</t>
        </is>
      </c>
      <c r="O585" s="193" t="inlineStr">
        <is>
          <t>Apply vendor patches</t>
        </is>
      </c>
      <c r="P585" s="193" t="inlineStr">
        <is>
          <t>See CVE details</t>
        </is>
      </c>
      <c r="Q585" s="193" t="inlineStr">
        <is>
          <t>P3</t>
        </is>
      </c>
      <c r="R585" s="193" t="inlineStr">
        <is>
          <t>🚨 URGENT: Apply vendor patches immediately | 🔒 Isolate affected systems if patch unavailable | 🛡️ Enable additional monitoring/IDS rules</t>
        </is>
      </c>
      <c r="S585" s="193" t="inlineStr">
        <is>
          <t>CVE - IP enrichment n/a</t>
        </is>
      </c>
      <c r="T585" s="193" t="n">
        <v>0</v>
      </c>
      <c r="U585" s="193" t="n">
        <v>0</v>
      </c>
      <c r="V585" s="193" t="inlineStr">
        <is>
          <t>T1190:Exploit Public-Facing Application</t>
        </is>
      </c>
      <c r="W585" s="193" t="n">
        <v>1</v>
      </c>
      <c r="X585" s="193" t="inlineStr">
        <is>
          <t>LOW (40%)</t>
        </is>
      </c>
      <c r="Y585" s="193" t="inlineStr">
        <is>
          <t>UNLIKELY</t>
        </is>
      </c>
      <c r="Z585" s="193" t="inlineStr">
        <is>
          <t>CHECK_VENDOR</t>
        </is>
      </c>
      <c r="AA585" s="194" t="inlineStr">
        <is>
          <t>https://nvd.nist.gov/vuln/detail/CVE-2025-9953</t>
        </is>
      </c>
      <c r="AB585" s="193" t="inlineStr">
        <is>
          <t>NONE</t>
        </is>
      </c>
      <c r="AC585" s="193" t="n">
        <v>0</v>
      </c>
      <c r="AD585" s="193" t="n"/>
    </row>
    <row r="586">
      <c r="A586" s="191" t="inlineStr">
        <is>
          <t>CVE</t>
        </is>
      </c>
      <c r="B586" s="191" t="inlineStr">
        <is>
          <t>CVE-2019-25402</t>
        </is>
      </c>
      <c r="C586" s="191" t="inlineStr">
        <is>
          <t>Comodo Dome Firewall 2.7.0 contains a reflected cross-site scripting vulnerability that allows unauthenticated attackers to inject malicious scripts by submitting crafted input to the username parameter. Attackers can send POST requests to the login endpoint with script payloads in the username field to execute arbitrary JavaScript in users' browsers.</t>
        </is>
      </c>
      <c r="D586" s="191" t="n">
        <v>6.1</v>
      </c>
      <c r="E586" s="191" t="inlineStr">
        <is>
          <t>MEDIUM</t>
        </is>
      </c>
      <c r="F586" s="191" t="n">
        <v>2</v>
      </c>
      <c r="G586" s="191" t="n">
        <v>2</v>
      </c>
      <c r="H586" s="191" t="inlineStr">
        <is>
          <t>MEDIUM</t>
        </is>
      </c>
      <c r="I586" s="191" t="n">
        <v>10.1</v>
      </c>
      <c r="J586" s="191" t="inlineStr">
        <is>
          <t>NO</t>
        </is>
      </c>
      <c r="K586" s="192" t="inlineStr">
        <is>
          <t>https://nvd.nist.gov/vuln/detail/CVE-2019-25402</t>
        </is>
      </c>
      <c r="L586" s="191" t="inlineStr">
        <is>
          <t>2026-02-23 23:48</t>
        </is>
      </c>
      <c r="M586" s="191" t="inlineStr">
        <is>
          <t>CHECK_VENDOR</t>
        </is>
      </c>
      <c r="N586" s="191" t="inlineStr">
        <is>
          <t>See NVD references</t>
        </is>
      </c>
      <c r="O586" s="191" t="inlineStr">
        <is>
          <t>Apply vendor patches</t>
        </is>
      </c>
      <c r="P586" s="191" t="inlineStr">
        <is>
          <t>comodo dome_firewall *</t>
        </is>
      </c>
      <c r="Q586" s="191" t="inlineStr">
        <is>
          <t>P4</t>
        </is>
      </c>
      <c r="R586" s="191" t="inlineStr">
        <is>
          <t>📅 Schedule patch deployment within 30 days | 🔍 Monitor for exploitation attempts</t>
        </is>
      </c>
      <c r="S586" s="191" t="inlineStr">
        <is>
          <t>CVE - IP enrichment n/a</t>
        </is>
      </c>
      <c r="T586" s="191" t="n">
        <v>0.0005999999999999999</v>
      </c>
      <c r="U586" s="191" t="n">
        <v>0.1827</v>
      </c>
      <c r="V586" s="191" t="inlineStr">
        <is>
          <t>T1189:Drive-by Compromise | T1562:Impair Defenses</t>
        </is>
      </c>
      <c r="W586" s="191" t="n">
        <v>1</v>
      </c>
      <c r="X586" s="191" t="inlineStr">
        <is>
          <t>LOW (40%)</t>
        </is>
      </c>
      <c r="Y586" s="191" t="inlineStr">
        <is>
          <t>UNLIKELY</t>
        </is>
      </c>
      <c r="Z586" s="191" t="inlineStr">
        <is>
          <t>CHECK_VENDOR</t>
        </is>
      </c>
      <c r="AA586" s="192" t="inlineStr">
        <is>
          <t>https://nvd.nist.gov/vuln/detail/CVE-2019-25402</t>
        </is>
      </c>
      <c r="AB586" s="191" t="inlineStr">
        <is>
          <t>NONE</t>
        </is>
      </c>
      <c r="AC586" s="191" t="n">
        <v>0</v>
      </c>
      <c r="AD586" s="191" t="n"/>
    </row>
    <row r="587">
      <c r="A587" s="191" t="inlineStr">
        <is>
          <t>CVE</t>
        </is>
      </c>
      <c r="B587" s="191" t="inlineStr">
        <is>
          <t>CVE-2019-25403</t>
        </is>
      </c>
      <c r="C587" s="191" t="inlineStr">
        <is>
          <t>Comodo Dome Firewall 2.7.0 contains a stored cross-site scripting vulnerability that allows authenticated attackers to inject malicious scripts by submitting crafted input to the comment parameter. Attackers can inject JavaScript code through the admin_profiles endpoint that executes in the browsers of other users who view the affected page.</t>
        </is>
      </c>
      <c r="D587" s="191" t="n">
        <v>6.4</v>
      </c>
      <c r="E587" s="191" t="inlineStr">
        <is>
          <t>MEDIUM</t>
        </is>
      </c>
      <c r="F587" s="191" t="n">
        <v>2</v>
      </c>
      <c r="G587" s="191" t="n">
        <v>2</v>
      </c>
      <c r="H587" s="191" t="inlineStr">
        <is>
          <t>MEDIUM</t>
        </is>
      </c>
      <c r="I587" s="191" t="n">
        <v>10.4</v>
      </c>
      <c r="J587" s="191" t="inlineStr">
        <is>
          <t>NO</t>
        </is>
      </c>
      <c r="K587" s="192" t="inlineStr">
        <is>
          <t>https://nvd.nist.gov/vuln/detail/CVE-2019-25403</t>
        </is>
      </c>
      <c r="L587" s="191" t="inlineStr">
        <is>
          <t>2026-02-23 23:48</t>
        </is>
      </c>
      <c r="M587" s="191" t="inlineStr">
        <is>
          <t>CHECK_VENDOR</t>
        </is>
      </c>
      <c r="N587" s="191" t="inlineStr">
        <is>
          <t>See NVD references</t>
        </is>
      </c>
      <c r="O587" s="191" t="inlineStr">
        <is>
          <t>Apply vendor patches</t>
        </is>
      </c>
      <c r="P587" s="191" t="inlineStr">
        <is>
          <t>comodo dome_firewall 2.7.0</t>
        </is>
      </c>
      <c r="Q587" s="191" t="inlineStr">
        <is>
          <t>P4</t>
        </is>
      </c>
      <c r="R587" s="191" t="inlineStr">
        <is>
          <t>📅 Schedule patch deployment within 30 days | 🔍 Monitor for exploitation attempts</t>
        </is>
      </c>
      <c r="S587" s="191" t="inlineStr">
        <is>
          <t>CVE - IP enrichment n/a</t>
        </is>
      </c>
      <c r="T587" s="191" t="n">
        <v>0</v>
      </c>
      <c r="U587" s="191" t="n">
        <v>0</v>
      </c>
      <c r="V587" s="191" t="inlineStr">
        <is>
          <t>T1189:Drive-by Compromise | T1562:Impair Defenses</t>
        </is>
      </c>
      <c r="W587" s="191" t="n">
        <v>1</v>
      </c>
      <c r="X587" s="191" t="inlineStr">
        <is>
          <t>LOW (40%)</t>
        </is>
      </c>
      <c r="Y587" s="191" t="inlineStr">
        <is>
          <t>UNLIKELY</t>
        </is>
      </c>
      <c r="Z587" s="191" t="inlineStr">
        <is>
          <t>CHECK_VENDOR</t>
        </is>
      </c>
      <c r="AA587" s="192" t="inlineStr">
        <is>
          <t>https://nvd.nist.gov/vuln/detail/CVE-2019-25403</t>
        </is>
      </c>
      <c r="AB587" s="191" t="inlineStr">
        <is>
          <t>NONE</t>
        </is>
      </c>
      <c r="AC587" s="191" t="n">
        <v>0</v>
      </c>
      <c r="AD587" s="191" t="n"/>
    </row>
    <row r="588">
      <c r="A588" s="191" t="inlineStr">
        <is>
          <t>CVE</t>
        </is>
      </c>
      <c r="B588" s="191" t="inlineStr">
        <is>
          <t>CVE-2019-25404</t>
        </is>
      </c>
      <c r="C588" s="191" t="inlineStr">
        <is>
          <t>Comodo Dome Firewall 2.7.0 contains a stored cross-site scripting vulnerability that allows authenticated attackers to inject malicious scripts by submitting crafted input through admin management parameters. Attackers can inject script payloads in the admin_name, name, and surname parameters via POST requests to the /korugan/admins endpoint, which are stored and executed when administrators access the interface.</t>
        </is>
      </c>
      <c r="D588" s="191" t="n">
        <v>6.4</v>
      </c>
      <c r="E588" s="191" t="inlineStr">
        <is>
          <t>MEDIUM</t>
        </is>
      </c>
      <c r="F588" s="191" t="n">
        <v>2</v>
      </c>
      <c r="G588" s="191" t="n">
        <v>2</v>
      </c>
      <c r="H588" s="191" t="inlineStr">
        <is>
          <t>MEDIUM</t>
        </is>
      </c>
      <c r="I588" s="191" t="n">
        <v>10.4</v>
      </c>
      <c r="J588" s="191" t="inlineStr">
        <is>
          <t>NO</t>
        </is>
      </c>
      <c r="K588" s="192" t="inlineStr">
        <is>
          <t>https://nvd.nist.gov/vuln/detail/CVE-2019-25404</t>
        </is>
      </c>
      <c r="L588" s="191" t="inlineStr">
        <is>
          <t>2026-02-23 23:48</t>
        </is>
      </c>
      <c r="M588" s="191" t="inlineStr">
        <is>
          <t>CHECK_VENDOR</t>
        </is>
      </c>
      <c r="N588" s="191" t="inlineStr">
        <is>
          <t>See NVD references</t>
        </is>
      </c>
      <c r="O588" s="191" t="inlineStr">
        <is>
          <t>Apply vendor patches</t>
        </is>
      </c>
      <c r="P588" s="191" t="inlineStr">
        <is>
          <t>comodo dome_firewall *</t>
        </is>
      </c>
      <c r="Q588" s="191" t="inlineStr">
        <is>
          <t>P4</t>
        </is>
      </c>
      <c r="R588" s="191" t="inlineStr">
        <is>
          <t>📅 Schedule patch deployment within 30 days | 🔍 Monitor for exploitation attempts</t>
        </is>
      </c>
      <c r="S588" s="191" t="inlineStr">
        <is>
          <t>CVE - IP enrichment n/a</t>
        </is>
      </c>
      <c r="T588" s="191" t="n">
        <v>0</v>
      </c>
      <c r="U588" s="191" t="n">
        <v>0</v>
      </c>
      <c r="V588" s="191" t="inlineStr">
        <is>
          <t>T1189:Drive-by Compromise | T1562:Impair Defenses</t>
        </is>
      </c>
      <c r="W588" s="191" t="n">
        <v>1</v>
      </c>
      <c r="X588" s="191" t="inlineStr">
        <is>
          <t>LOW (40%)</t>
        </is>
      </c>
      <c r="Y588" s="191" t="inlineStr">
        <is>
          <t>UNLIKELY</t>
        </is>
      </c>
      <c r="Z588" s="191" t="inlineStr">
        <is>
          <t>CHECK_VENDOR</t>
        </is>
      </c>
      <c r="AA588" s="192" t="inlineStr">
        <is>
          <t>https://nvd.nist.gov/vuln/detail/CVE-2019-25404</t>
        </is>
      </c>
      <c r="AB588" s="191" t="inlineStr">
        <is>
          <t>NONE</t>
        </is>
      </c>
      <c r="AC588" s="191" t="n">
        <v>0</v>
      </c>
      <c r="AD588" s="191" t="n"/>
    </row>
    <row r="589">
      <c r="A589" s="189" t="inlineStr">
        <is>
          <t>CVE</t>
        </is>
      </c>
      <c r="B589" s="189" t="inlineStr">
        <is>
          <t>CVE-2019-25405</t>
        </is>
      </c>
      <c r="C589" s="189" t="inlineStr">
        <is>
          <t>Comodo Dome Firewall 2.7.0 contains a stored cross-site scripting vulnerability that allows attackers to inject malicious scripts by submitting crafted input to the newLicense parameter. Attackers can send POST requests to the license activation endpoint with script payloads in the newLicense field to execute arbitrary JavaScript in administrators' browsers.</t>
        </is>
      </c>
      <c r="D589" s="189" t="n">
        <v>7.2</v>
      </c>
      <c r="E589" s="189" t="inlineStr">
        <is>
          <t>HIGH</t>
        </is>
      </c>
      <c r="F589" s="189" t="n">
        <v>2</v>
      </c>
      <c r="G589" s="189" t="n">
        <v>3</v>
      </c>
      <c r="H589" s="189" t="inlineStr">
        <is>
          <t>HIGH</t>
        </is>
      </c>
      <c r="I589" s="189" t="n">
        <v>13.2</v>
      </c>
      <c r="J589" s="189" t="inlineStr">
        <is>
          <t>NO</t>
        </is>
      </c>
      <c r="K589" s="190" t="inlineStr">
        <is>
          <t>https://nvd.nist.gov/vuln/detail/CVE-2019-25405</t>
        </is>
      </c>
      <c r="L589" s="189" t="inlineStr">
        <is>
          <t>2026-02-23 23:48</t>
        </is>
      </c>
      <c r="M589" s="189" t="inlineStr">
        <is>
          <t>CHECK_VENDOR</t>
        </is>
      </c>
      <c r="N589" s="189" t="inlineStr">
        <is>
          <t>See NVD references</t>
        </is>
      </c>
      <c r="O589" s="189" t="inlineStr">
        <is>
          <t>Apply vendor patches</t>
        </is>
      </c>
      <c r="P589" s="189" t="inlineStr">
        <is>
          <t>comodo dome_firewall 2.7.0</t>
        </is>
      </c>
      <c r="Q589" s="189" t="inlineStr">
        <is>
          <t>P3</t>
        </is>
      </c>
      <c r="R589" s="189" t="inlineStr">
        <is>
          <t>🚨 URGENT: Apply vendor patches immediately | 🔒 Isolate affected systems if patch unavailable | 🛡️ Enable additional monitoring/IDS rules</t>
        </is>
      </c>
      <c r="S589" s="189" t="inlineStr">
        <is>
          <t>CVE - IP enrichment n/a</t>
        </is>
      </c>
      <c r="T589" s="189" t="n">
        <v>0</v>
      </c>
      <c r="U589" s="189" t="n">
        <v>0</v>
      </c>
      <c r="V589" s="189" t="inlineStr">
        <is>
          <t>T1189:Drive-by Compromise | T1562:Impair Defenses</t>
        </is>
      </c>
      <c r="W589" s="189" t="n">
        <v>1</v>
      </c>
      <c r="X589" s="189" t="inlineStr">
        <is>
          <t>LOW (40%)</t>
        </is>
      </c>
      <c r="Y589" s="189" t="inlineStr">
        <is>
          <t>UNLIKELY</t>
        </is>
      </c>
      <c r="Z589" s="189" t="inlineStr">
        <is>
          <t>CHECK_VENDOR</t>
        </is>
      </c>
      <c r="AA589" s="190" t="inlineStr">
        <is>
          <t>https://nvd.nist.gov/vuln/detail/CVE-2019-25405</t>
        </is>
      </c>
      <c r="AB589" s="189" t="inlineStr">
        <is>
          <t>NONE</t>
        </is>
      </c>
      <c r="AC589" s="189" t="n">
        <v>0</v>
      </c>
      <c r="AD589" s="189" t="n"/>
    </row>
    <row r="590">
      <c r="A590" s="191" t="inlineStr">
        <is>
          <t>CVE</t>
        </is>
      </c>
      <c r="B590" s="191" t="inlineStr">
        <is>
          <t>CVE-2019-25406</t>
        </is>
      </c>
      <c r="C590" s="191" t="inlineStr">
        <is>
          <t>Comodo Dome Firewall 2.7.0 contains a reflected cross-site scripting vulnerability that allows attackers to inject malicious scripts by manipulating the organization parameter. Attackers can send POST requests to the korugan/cmclient endpoint with script payloads in the organization parameter to execute arbitrary JavaScript in users' browsers.</t>
        </is>
      </c>
      <c r="D590" s="191" t="n">
        <v>6.1</v>
      </c>
      <c r="E590" s="191" t="inlineStr">
        <is>
          <t>MEDIUM</t>
        </is>
      </c>
      <c r="F590" s="191" t="n">
        <v>2</v>
      </c>
      <c r="G590" s="191" t="n">
        <v>2</v>
      </c>
      <c r="H590" s="191" t="inlineStr">
        <is>
          <t>MEDIUM</t>
        </is>
      </c>
      <c r="I590" s="191" t="n">
        <v>10.1</v>
      </c>
      <c r="J590" s="191" t="inlineStr">
        <is>
          <t>NO</t>
        </is>
      </c>
      <c r="K590" s="192" t="inlineStr">
        <is>
          <t>https://nvd.nist.gov/vuln/detail/CVE-2019-25406</t>
        </is>
      </c>
      <c r="L590" s="191" t="inlineStr">
        <is>
          <t>2026-02-23 23:48</t>
        </is>
      </c>
      <c r="M590" s="191" t="inlineStr">
        <is>
          <t>CHECK_VENDOR</t>
        </is>
      </c>
      <c r="N590" s="191" t="inlineStr">
        <is>
          <t>See NVD references</t>
        </is>
      </c>
      <c r="O590" s="191" t="inlineStr">
        <is>
          <t>Apply vendor patches</t>
        </is>
      </c>
      <c r="P590" s="191" t="inlineStr">
        <is>
          <t>comodo dome_firewall *</t>
        </is>
      </c>
      <c r="Q590" s="191" t="inlineStr">
        <is>
          <t>P4</t>
        </is>
      </c>
      <c r="R590" s="191" t="inlineStr">
        <is>
          <t>📅 Schedule patch deployment within 30 days | 🔍 Monitor for exploitation attempts</t>
        </is>
      </c>
      <c r="S590" s="191" t="inlineStr">
        <is>
          <t>CVE - IP enrichment n/a</t>
        </is>
      </c>
      <c r="T590" s="191" t="n">
        <v>0.0003</v>
      </c>
      <c r="U590" s="191" t="n">
        <v>0.07000000000000001</v>
      </c>
      <c r="V590" s="191" t="inlineStr">
        <is>
          <t>T1189:Drive-by Compromise | T1562:Impair Defenses</t>
        </is>
      </c>
      <c r="W590" s="191" t="n">
        <v>1</v>
      </c>
      <c r="X590" s="191" t="inlineStr">
        <is>
          <t>LOW (40%)</t>
        </is>
      </c>
      <c r="Y590" s="191" t="inlineStr">
        <is>
          <t>UNLIKELY</t>
        </is>
      </c>
      <c r="Z590" s="191" t="inlineStr">
        <is>
          <t>CHECK_VENDOR</t>
        </is>
      </c>
      <c r="AA590" s="192" t="inlineStr">
        <is>
          <t>https://nvd.nist.gov/vuln/detail/CVE-2019-25406</t>
        </is>
      </c>
      <c r="AB590" s="191" t="inlineStr">
        <is>
          <t>NONE</t>
        </is>
      </c>
      <c r="AC590" s="191" t="n">
        <v>0</v>
      </c>
      <c r="AD590" s="191" t="n"/>
    </row>
    <row r="591">
      <c r="A591" s="191" t="inlineStr">
        <is>
          <t>CVE</t>
        </is>
      </c>
      <c r="B591" s="191" t="inlineStr">
        <is>
          <t>CVE-2019-25407</t>
        </is>
      </c>
      <c r="C591" s="191" t="inlineStr">
        <is>
          <t>Comodo Dome Firewall 2.7.0 contains a reflected cross-site scripting vulnerability that allows attackers to inject malicious scripts by submitting crafted input to the backup schedule interface. Attackers can send POST requests to the backupschedule endpoint with JavaScript code in the BACKUP_RCPTTO parameter to execute arbitrary scripts in users' browsers.</t>
        </is>
      </c>
      <c r="D591" s="191" t="n">
        <v>6.1</v>
      </c>
      <c r="E591" s="191" t="inlineStr">
        <is>
          <t>MEDIUM</t>
        </is>
      </c>
      <c r="F591" s="191" t="n">
        <v>2</v>
      </c>
      <c r="G591" s="191" t="n">
        <v>2</v>
      </c>
      <c r="H591" s="191" t="inlineStr">
        <is>
          <t>MEDIUM</t>
        </is>
      </c>
      <c r="I591" s="191" t="n">
        <v>10.1</v>
      </c>
      <c r="J591" s="191" t="inlineStr">
        <is>
          <t>NO</t>
        </is>
      </c>
      <c r="K591" s="192" t="inlineStr">
        <is>
          <t>https://nvd.nist.gov/vuln/detail/CVE-2019-25407</t>
        </is>
      </c>
      <c r="L591" s="191" t="inlineStr">
        <is>
          <t>2026-02-23 23:48</t>
        </is>
      </c>
      <c r="M591" s="191" t="inlineStr">
        <is>
          <t>CHECK_VENDOR</t>
        </is>
      </c>
      <c r="N591" s="191" t="inlineStr">
        <is>
          <t>See NVD references</t>
        </is>
      </c>
      <c r="O591" s="191" t="inlineStr">
        <is>
          <t>Apply vendor patches</t>
        </is>
      </c>
      <c r="P591" s="191" t="inlineStr">
        <is>
          <t>comodo dome_firewall *</t>
        </is>
      </c>
      <c r="Q591" s="191" t="inlineStr">
        <is>
          <t>P4</t>
        </is>
      </c>
      <c r="R591" s="191" t="inlineStr">
        <is>
          <t>📅 Schedule patch deployment within 30 days | 🔍 Monitor for exploitation attempts</t>
        </is>
      </c>
      <c r="S591" s="191" t="inlineStr">
        <is>
          <t>CVE - IP enrichment n/a</t>
        </is>
      </c>
      <c r="T591" s="191" t="n">
        <v>0</v>
      </c>
      <c r="U591" s="191" t="n">
        <v>0</v>
      </c>
      <c r="V591" s="191" t="inlineStr">
        <is>
          <t>T1189:Drive-by Compromise | T1562:Impair Defenses</t>
        </is>
      </c>
      <c r="W591" s="191" t="n">
        <v>1</v>
      </c>
      <c r="X591" s="191" t="inlineStr">
        <is>
          <t>LOW (40%)</t>
        </is>
      </c>
      <c r="Y591" s="191" t="inlineStr">
        <is>
          <t>UNLIKELY</t>
        </is>
      </c>
      <c r="Z591" s="191" t="inlineStr">
        <is>
          <t>CHECK_VENDOR</t>
        </is>
      </c>
      <c r="AA591" s="192" t="inlineStr">
        <is>
          <t>https://nvd.nist.gov/vuln/detail/CVE-2019-25407</t>
        </is>
      </c>
      <c r="AB591" s="191" t="inlineStr">
        <is>
          <t>NONE</t>
        </is>
      </c>
      <c r="AC591" s="191" t="n">
        <v>0</v>
      </c>
      <c r="AD591" s="191" t="n"/>
    </row>
    <row r="592">
      <c r="A592" s="191" t="inlineStr">
        <is>
          <t>CVE</t>
        </is>
      </c>
      <c r="B592" s="191" t="inlineStr">
        <is>
          <t>CVE-2019-25408</t>
        </is>
      </c>
      <c r="C592" s="191" t="inlineStr">
        <is>
          <t>Comodo Dome Firewall 2.7.0 contains a reflected cross-site scripting vulnerability that allows attackers to inject malicious scripts by submitting crafted input to the netmask_addr parameter. Attackers can send POST requests to the netwizard2 endpoint with script payloads in the netmask_addr parameter to execute arbitrary JavaScript in users' browsers.</t>
        </is>
      </c>
      <c r="D592" s="191" t="n">
        <v>6.1</v>
      </c>
      <c r="E592" s="191" t="inlineStr">
        <is>
          <t>MEDIUM</t>
        </is>
      </c>
      <c r="F592" s="191" t="n">
        <v>2</v>
      </c>
      <c r="G592" s="191" t="n">
        <v>2</v>
      </c>
      <c r="H592" s="191" t="inlineStr">
        <is>
          <t>MEDIUM</t>
        </is>
      </c>
      <c r="I592" s="191" t="n">
        <v>10.1</v>
      </c>
      <c r="J592" s="191" t="inlineStr">
        <is>
          <t>NO</t>
        </is>
      </c>
      <c r="K592" s="192" t="inlineStr">
        <is>
          <t>https://nvd.nist.gov/vuln/detail/CVE-2019-25408</t>
        </is>
      </c>
      <c r="L592" s="191" t="inlineStr">
        <is>
          <t>2026-02-23 23:48</t>
        </is>
      </c>
      <c r="M592" s="191" t="inlineStr">
        <is>
          <t>CHECK_VENDOR</t>
        </is>
      </c>
      <c r="N592" s="191" t="inlineStr">
        <is>
          <t>See NVD references</t>
        </is>
      </c>
      <c r="O592" s="191" t="inlineStr">
        <is>
          <t>Apply vendor patches</t>
        </is>
      </c>
      <c r="P592" s="191" t="inlineStr">
        <is>
          <t>comodo dome_firewall 2.7.0</t>
        </is>
      </c>
      <c r="Q592" s="191" t="inlineStr">
        <is>
          <t>P4</t>
        </is>
      </c>
      <c r="R592" s="191" t="inlineStr">
        <is>
          <t>📅 Schedule patch deployment within 30 days | 🔍 Monitor for exploitation attempts</t>
        </is>
      </c>
      <c r="S592" s="191" t="inlineStr">
        <is>
          <t>CVE - IP enrichment n/a</t>
        </is>
      </c>
      <c r="T592" s="191" t="n">
        <v>0.0003</v>
      </c>
      <c r="U592" s="191" t="n">
        <v>0.07000000000000001</v>
      </c>
      <c r="V592" s="191" t="inlineStr">
        <is>
          <t>T1189:Drive-by Compromise | T1562:Impair Defenses</t>
        </is>
      </c>
      <c r="W592" s="191" t="n">
        <v>1</v>
      </c>
      <c r="X592" s="191" t="inlineStr">
        <is>
          <t>LOW (40%)</t>
        </is>
      </c>
      <c r="Y592" s="191" t="inlineStr">
        <is>
          <t>UNLIKELY</t>
        </is>
      </c>
      <c r="Z592" s="191" t="inlineStr">
        <is>
          <t>CHECK_VENDOR</t>
        </is>
      </c>
      <c r="AA592" s="192" t="inlineStr">
        <is>
          <t>https://nvd.nist.gov/vuln/detail/CVE-2019-25408</t>
        </is>
      </c>
      <c r="AB592" s="191" t="inlineStr">
        <is>
          <t>NONE</t>
        </is>
      </c>
      <c r="AC592" s="191" t="n">
        <v>0</v>
      </c>
      <c r="AD592" s="191" t="n"/>
    </row>
    <row r="593">
      <c r="A593" s="191" t="inlineStr">
        <is>
          <t>CVE</t>
        </is>
      </c>
      <c r="B593" s="191" t="inlineStr">
        <is>
          <t>CVE-2019-25409</t>
        </is>
      </c>
      <c r="C593" s="191" t="inlineStr">
        <is>
          <t>Comodo Dome Firewall 2.7.0 contains a reflected cross-site scripting vulnerability that allows attackers to inject malicious scripts by manipulating the destination parameter. Attackers can send POST requests to the routing endpoint with script payloads in the destination parameter to execute arbitrary JavaScript in users' browsers.</t>
        </is>
      </c>
      <c r="D593" s="191" t="n">
        <v>6.1</v>
      </c>
      <c r="E593" s="191" t="inlineStr">
        <is>
          <t>MEDIUM</t>
        </is>
      </c>
      <c r="F593" s="191" t="n">
        <v>2</v>
      </c>
      <c r="G593" s="191" t="n">
        <v>2</v>
      </c>
      <c r="H593" s="191" t="inlineStr">
        <is>
          <t>MEDIUM</t>
        </is>
      </c>
      <c r="I593" s="191" t="n">
        <v>10.1</v>
      </c>
      <c r="J593" s="191" t="inlineStr">
        <is>
          <t>NO</t>
        </is>
      </c>
      <c r="K593" s="192" t="inlineStr">
        <is>
          <t>https://nvd.nist.gov/vuln/detail/CVE-2019-25409</t>
        </is>
      </c>
      <c r="L593" s="191" t="inlineStr">
        <is>
          <t>2026-02-23 23:48</t>
        </is>
      </c>
      <c r="M593" s="191" t="inlineStr">
        <is>
          <t>CHECK_VENDOR</t>
        </is>
      </c>
      <c r="N593" s="191" t="inlineStr">
        <is>
          <t>See NVD references</t>
        </is>
      </c>
      <c r="O593" s="191" t="inlineStr">
        <is>
          <t>Apply vendor patches</t>
        </is>
      </c>
      <c r="P593" s="191" t="inlineStr">
        <is>
          <t>comodo dome_firewall *</t>
        </is>
      </c>
      <c r="Q593" s="191" t="inlineStr">
        <is>
          <t>P4</t>
        </is>
      </c>
      <c r="R593" s="191" t="inlineStr">
        <is>
          <t>📅 Schedule patch deployment within 30 days | 🔍 Monitor for exploitation attempts</t>
        </is>
      </c>
      <c r="S593" s="191" t="inlineStr">
        <is>
          <t>CVE - IP enrichment n/a</t>
        </is>
      </c>
      <c r="T593" s="191" t="n">
        <v>0</v>
      </c>
      <c r="U593" s="191" t="n">
        <v>0</v>
      </c>
      <c r="V593" s="191" t="inlineStr">
        <is>
          <t>T1189:Drive-by Compromise | T1562:Impair Defenses</t>
        </is>
      </c>
      <c r="W593" s="191" t="n">
        <v>1</v>
      </c>
      <c r="X593" s="191" t="inlineStr">
        <is>
          <t>LOW (40%)</t>
        </is>
      </c>
      <c r="Y593" s="191" t="inlineStr">
        <is>
          <t>UNLIKELY</t>
        </is>
      </c>
      <c r="Z593" s="191" t="inlineStr">
        <is>
          <t>CHECK_VENDOR</t>
        </is>
      </c>
      <c r="AA593" s="192" t="inlineStr">
        <is>
          <t>https://nvd.nist.gov/vuln/detail/CVE-2019-25409</t>
        </is>
      </c>
      <c r="AB593" s="191" t="inlineStr">
        <is>
          <t>NONE</t>
        </is>
      </c>
      <c r="AC593" s="191" t="n">
        <v>0</v>
      </c>
      <c r="AD593" s="191" t="n"/>
    </row>
    <row r="594">
      <c r="A594" s="191" t="inlineStr">
        <is>
          <t>CVE</t>
        </is>
      </c>
      <c r="B594" s="191" t="inlineStr">
        <is>
          <t>CVE-2019-25410</t>
        </is>
      </c>
      <c r="C594" s="191" t="inlineStr">
        <is>
          <t>Comodo Dome Firewall 2.7.0 contains a reflected cross-site scripting vulnerability that allows attackers to inject malicious scripts through the source and destination parameters. Attackers can submit POST requests to the policy routing endpoint with script payloads in these parameters to execute arbitrary JavaScript in users' browsers.</t>
        </is>
      </c>
      <c r="D594" s="191" t="n">
        <v>6.1</v>
      </c>
      <c r="E594" s="191" t="inlineStr">
        <is>
          <t>MEDIUM</t>
        </is>
      </c>
      <c r="F594" s="191" t="n">
        <v>2</v>
      </c>
      <c r="G594" s="191" t="n">
        <v>2</v>
      </c>
      <c r="H594" s="191" t="inlineStr">
        <is>
          <t>MEDIUM</t>
        </is>
      </c>
      <c r="I594" s="191" t="n">
        <v>10.1</v>
      </c>
      <c r="J594" s="191" t="inlineStr">
        <is>
          <t>NO</t>
        </is>
      </c>
      <c r="K594" s="192" t="inlineStr">
        <is>
          <t>https://nvd.nist.gov/vuln/detail/CVE-2019-25410</t>
        </is>
      </c>
      <c r="L594" s="191" t="inlineStr">
        <is>
          <t>2026-02-23 23:48</t>
        </is>
      </c>
      <c r="M594" s="191" t="inlineStr">
        <is>
          <t>CHECK_VENDOR</t>
        </is>
      </c>
      <c r="N594" s="191" t="inlineStr">
        <is>
          <t>See NVD references</t>
        </is>
      </c>
      <c r="O594" s="191" t="inlineStr">
        <is>
          <t>Apply vendor patches</t>
        </is>
      </c>
      <c r="P594" s="191" t="inlineStr">
        <is>
          <t>comodo dome_firewall 2.7.0</t>
        </is>
      </c>
      <c r="Q594" s="191" t="inlineStr">
        <is>
          <t>P4</t>
        </is>
      </c>
      <c r="R594" s="191" t="inlineStr">
        <is>
          <t>📅 Schedule patch deployment within 30 days | 🔍 Monitor for exploitation attempts</t>
        </is>
      </c>
      <c r="S594" s="191" t="inlineStr">
        <is>
          <t>CVE - IP enrichment n/a</t>
        </is>
      </c>
      <c r="T594" s="191" t="n">
        <v>0</v>
      </c>
      <c r="U594" s="191" t="n">
        <v>0</v>
      </c>
      <c r="V594" s="191" t="inlineStr">
        <is>
          <t>T1189:Drive-by Compromise | T1190:Exploit Public-Facing Application | T1562:Impair Defenses</t>
        </is>
      </c>
      <c r="W594" s="191" t="n">
        <v>1</v>
      </c>
      <c r="X594" s="191" t="inlineStr">
        <is>
          <t>LOW (40%)</t>
        </is>
      </c>
      <c r="Y594" s="191" t="inlineStr">
        <is>
          <t>UNLIKELY</t>
        </is>
      </c>
      <c r="Z594" s="191" t="inlineStr">
        <is>
          <t>CHECK_VENDOR</t>
        </is>
      </c>
      <c r="AA594" s="192" t="inlineStr">
        <is>
          <t>https://nvd.nist.gov/vuln/detail/CVE-2019-25410</t>
        </is>
      </c>
      <c r="AB594" s="191" t="inlineStr">
        <is>
          <t>NONE</t>
        </is>
      </c>
      <c r="AC594" s="191" t="n">
        <v>0</v>
      </c>
      <c r="AD594" s="191" t="n"/>
    </row>
    <row r="595">
      <c r="A595" s="191" t="inlineStr">
        <is>
          <t>CVE</t>
        </is>
      </c>
      <c r="B595" s="191" t="inlineStr">
        <is>
          <t>CVE-2019-25411</t>
        </is>
      </c>
      <c r="C595" s="191" t="inlineStr">
        <is>
          <t>Comodo Dome Firewall 2.7.0 contains a reflected cross-site scripting vulnerability that allows attackers to inject malicious scripts by manipulating the GATEWAY_GREEN parameter. Attackers can send POST requests to the DHCP configuration endpoint with script payloads to execute arbitrary JavaScript in administrator browsers.</t>
        </is>
      </c>
      <c r="D595" s="191" t="n">
        <v>6.1</v>
      </c>
      <c r="E595" s="191" t="inlineStr">
        <is>
          <t>MEDIUM</t>
        </is>
      </c>
      <c r="F595" s="191" t="n">
        <v>2</v>
      </c>
      <c r="G595" s="191" t="n">
        <v>2</v>
      </c>
      <c r="H595" s="191" t="inlineStr">
        <is>
          <t>MEDIUM</t>
        </is>
      </c>
      <c r="I595" s="191" t="n">
        <v>10.1</v>
      </c>
      <c r="J595" s="191" t="inlineStr">
        <is>
          <t>NO</t>
        </is>
      </c>
      <c r="K595" s="192" t="inlineStr">
        <is>
          <t>https://nvd.nist.gov/vuln/detail/CVE-2019-25411</t>
        </is>
      </c>
      <c r="L595" s="191" t="inlineStr">
        <is>
          <t>2026-02-23 23:48</t>
        </is>
      </c>
      <c r="M595" s="191" t="inlineStr">
        <is>
          <t>CHECK_VENDOR</t>
        </is>
      </c>
      <c r="N595" s="191" t="inlineStr">
        <is>
          <t>See NVD references</t>
        </is>
      </c>
      <c r="O595" s="191" t="inlineStr">
        <is>
          <t>Apply vendor patches</t>
        </is>
      </c>
      <c r="P595" s="191" t="inlineStr">
        <is>
          <t>comodo dome_firewall *</t>
        </is>
      </c>
      <c r="Q595" s="191" t="inlineStr">
        <is>
          <t>P4</t>
        </is>
      </c>
      <c r="R595" s="191" t="inlineStr">
        <is>
          <t>📅 Schedule patch deployment within 30 days | 🔍 Monitor for exploitation attempts</t>
        </is>
      </c>
      <c r="S595" s="191" t="inlineStr">
        <is>
          <t>CVE - IP enrichment n/a</t>
        </is>
      </c>
      <c r="T595" s="191" t="n">
        <v>0</v>
      </c>
      <c r="U595" s="191" t="n">
        <v>0</v>
      </c>
      <c r="V595" s="191" t="inlineStr">
        <is>
          <t>T1189:Drive-by Compromise | T1562:Impair Defenses</t>
        </is>
      </c>
      <c r="W595" s="191" t="n">
        <v>1</v>
      </c>
      <c r="X595" s="191" t="inlineStr">
        <is>
          <t>LOW (40%)</t>
        </is>
      </c>
      <c r="Y595" s="191" t="inlineStr">
        <is>
          <t>UNLIKELY</t>
        </is>
      </c>
      <c r="Z595" s="191" t="inlineStr">
        <is>
          <t>CHECK_VENDOR</t>
        </is>
      </c>
      <c r="AA595" s="192" t="inlineStr">
        <is>
          <t>https://nvd.nist.gov/vuln/detail/CVE-2019-25411</t>
        </is>
      </c>
      <c r="AB595" s="191" t="inlineStr">
        <is>
          <t>NONE</t>
        </is>
      </c>
      <c r="AC595" s="191" t="n">
        <v>0</v>
      </c>
      <c r="AD595" s="191" t="n"/>
    </row>
    <row r="596">
      <c r="A596" s="191" t="inlineStr">
        <is>
          <t>CVE</t>
        </is>
      </c>
      <c r="B596" s="191" t="inlineStr">
        <is>
          <t>CVE-2019-25412</t>
        </is>
      </c>
      <c r="C596" s="191" t="inlineStr">
        <is>
          <t>Comodo Dome Firewall 2.7.0 contains a reflected cross-site scripting vulnerability that allows attackers to inject malicious scripts by submitting unsanitized input through the NTP_SERVER_LIST parameter. Attackers can send POST requests to the /korugan/time endpoint with script payloads in the NTP_SERVER_LIST parameter to execute arbitrary JavaScript in users' browsers.</t>
        </is>
      </c>
      <c r="D596" s="191" t="n">
        <v>6.1</v>
      </c>
      <c r="E596" s="191" t="inlineStr">
        <is>
          <t>MEDIUM</t>
        </is>
      </c>
      <c r="F596" s="191" t="n">
        <v>2</v>
      </c>
      <c r="G596" s="191" t="n">
        <v>2</v>
      </c>
      <c r="H596" s="191" t="inlineStr">
        <is>
          <t>MEDIUM</t>
        </is>
      </c>
      <c r="I596" s="191" t="n">
        <v>10.1</v>
      </c>
      <c r="J596" s="191" t="inlineStr">
        <is>
          <t>NO</t>
        </is>
      </c>
      <c r="K596" s="192" t="inlineStr">
        <is>
          <t>https://nvd.nist.gov/vuln/detail/CVE-2019-25412</t>
        </is>
      </c>
      <c r="L596" s="191" t="inlineStr">
        <is>
          <t>2026-02-23 23:48</t>
        </is>
      </c>
      <c r="M596" s="191" t="inlineStr">
        <is>
          <t>CHECK_VENDOR</t>
        </is>
      </c>
      <c r="N596" s="191" t="inlineStr">
        <is>
          <t>See NVD references</t>
        </is>
      </c>
      <c r="O596" s="191" t="inlineStr">
        <is>
          <t>Apply vendor patches</t>
        </is>
      </c>
      <c r="P596" s="191" t="inlineStr">
        <is>
          <t>comodo dome_firewall 2.7.0</t>
        </is>
      </c>
      <c r="Q596" s="191" t="inlineStr">
        <is>
          <t>P4</t>
        </is>
      </c>
      <c r="R596" s="191" t="inlineStr">
        <is>
          <t>📅 Schedule patch deployment within 30 days | 🔍 Monitor for exploitation attempts</t>
        </is>
      </c>
      <c r="S596" s="191" t="inlineStr">
        <is>
          <t>CVE - IP enrichment n/a</t>
        </is>
      </c>
      <c r="T596" s="191" t="n">
        <v>0</v>
      </c>
      <c r="U596" s="191" t="n">
        <v>0</v>
      </c>
      <c r="V596" s="191" t="inlineStr">
        <is>
          <t>T1189:Drive-by Compromise | T1562:Impair Defenses</t>
        </is>
      </c>
      <c r="W596" s="191" t="n">
        <v>1</v>
      </c>
      <c r="X596" s="191" t="inlineStr">
        <is>
          <t>LOW (40%)</t>
        </is>
      </c>
      <c r="Y596" s="191" t="inlineStr">
        <is>
          <t>UNLIKELY</t>
        </is>
      </c>
      <c r="Z596" s="191" t="inlineStr">
        <is>
          <t>CHECK_VENDOR</t>
        </is>
      </c>
      <c r="AA596" s="192" t="inlineStr">
        <is>
          <t>https://nvd.nist.gov/vuln/detail/CVE-2019-25412</t>
        </is>
      </c>
      <c r="AB596" s="191" t="inlineStr">
        <is>
          <t>NONE</t>
        </is>
      </c>
      <c r="AC596" s="191" t="n">
        <v>0</v>
      </c>
      <c r="AD596" s="191" t="n"/>
    </row>
    <row r="597">
      <c r="A597" s="191" t="inlineStr">
        <is>
          <t>CVE</t>
        </is>
      </c>
      <c r="B597" s="191" t="inlineStr">
        <is>
          <t>CVE-2019-25413</t>
        </is>
      </c>
      <c r="C597" s="191" t="inlineStr">
        <is>
          <t>Comodo Dome Firewall 2.7.0 contains a reflected cross-site scripting vulnerability that allows unauthenticated attackers to inject malicious scripts by manipulating the ID parameter. Attackers can craft requests to the /manage/ips/rules/ endpoint with script payloads in the ID parameter to execute arbitrary JavaScript in victim browsers.</t>
        </is>
      </c>
      <c r="D597" s="191" t="n">
        <v>6.1</v>
      </c>
      <c r="E597" s="191" t="inlineStr">
        <is>
          <t>MEDIUM</t>
        </is>
      </c>
      <c r="F597" s="191" t="n">
        <v>2</v>
      </c>
      <c r="G597" s="191" t="n">
        <v>2</v>
      </c>
      <c r="H597" s="191" t="inlineStr">
        <is>
          <t>MEDIUM</t>
        </is>
      </c>
      <c r="I597" s="191" t="n">
        <v>10.1</v>
      </c>
      <c r="J597" s="191" t="inlineStr">
        <is>
          <t>NO</t>
        </is>
      </c>
      <c r="K597" s="192" t="inlineStr">
        <is>
          <t>https://nvd.nist.gov/vuln/detail/CVE-2019-25413</t>
        </is>
      </c>
      <c r="L597" s="191" t="inlineStr">
        <is>
          <t>2026-02-23 23:48</t>
        </is>
      </c>
      <c r="M597" s="191" t="inlineStr">
        <is>
          <t>CHECK_VENDOR</t>
        </is>
      </c>
      <c r="N597" s="191" t="inlineStr">
        <is>
          <t>See NVD references</t>
        </is>
      </c>
      <c r="O597" s="191" t="inlineStr">
        <is>
          <t>Apply vendor patches</t>
        </is>
      </c>
      <c r="P597" s="191" t="inlineStr">
        <is>
          <t>comodo dome_firewall *</t>
        </is>
      </c>
      <c r="Q597" s="191" t="inlineStr">
        <is>
          <t>P4</t>
        </is>
      </c>
      <c r="R597" s="191" t="inlineStr">
        <is>
          <t>📅 Schedule patch deployment within 30 days | 🔍 Monitor for exploitation attempts</t>
        </is>
      </c>
      <c r="S597" s="191" t="inlineStr">
        <is>
          <t>CVE - IP enrichment n/a</t>
        </is>
      </c>
      <c r="T597" s="191" t="n">
        <v>0.0005999999999999999</v>
      </c>
      <c r="U597" s="191" t="n">
        <v>0.1827</v>
      </c>
      <c r="V597" s="191" t="inlineStr">
        <is>
          <t>T1189:Drive-by Compromise | T1562:Impair Defenses</t>
        </is>
      </c>
      <c r="W597" s="191" t="n">
        <v>1</v>
      </c>
      <c r="X597" s="191" t="inlineStr">
        <is>
          <t>LOW (40%)</t>
        </is>
      </c>
      <c r="Y597" s="191" t="inlineStr">
        <is>
          <t>UNLIKELY</t>
        </is>
      </c>
      <c r="Z597" s="191" t="inlineStr">
        <is>
          <t>CHECK_VENDOR</t>
        </is>
      </c>
      <c r="AA597" s="192" t="inlineStr">
        <is>
          <t>https://nvd.nist.gov/vuln/detail/CVE-2019-25413</t>
        </is>
      </c>
      <c r="AB597" s="191" t="inlineStr">
        <is>
          <t>NONE</t>
        </is>
      </c>
      <c r="AC597" s="191" t="n">
        <v>0</v>
      </c>
      <c r="AD597" s="191" t="n"/>
    </row>
    <row r="598">
      <c r="A598" s="191" t="inlineStr">
        <is>
          <t>CVE</t>
        </is>
      </c>
      <c r="B598" s="191" t="inlineStr">
        <is>
          <t>CVE-2019-25414</t>
        </is>
      </c>
      <c r="C598" s="191" t="inlineStr">
        <is>
          <t>Comodo Dome Firewall 2.7.0 contains a reflected cross-site scripting vulnerability that allows unauthenticated attackers to inject malicious scripts by manipulating the ID parameter. Attackers can craft requests to the /manage/ips/appid/ endpoint with script payloads in the ID parameter to execute arbitrary JavaScript in victim browsers.</t>
        </is>
      </c>
      <c r="D598" s="191" t="n">
        <v>6.1</v>
      </c>
      <c r="E598" s="191" t="inlineStr">
        <is>
          <t>MEDIUM</t>
        </is>
      </c>
      <c r="F598" s="191" t="n">
        <v>2</v>
      </c>
      <c r="G598" s="191" t="n">
        <v>2</v>
      </c>
      <c r="H598" s="191" t="inlineStr">
        <is>
          <t>MEDIUM</t>
        </is>
      </c>
      <c r="I598" s="191" t="n">
        <v>10.1</v>
      </c>
      <c r="J598" s="191" t="inlineStr">
        <is>
          <t>NO</t>
        </is>
      </c>
      <c r="K598" s="192" t="inlineStr">
        <is>
          <t>https://nvd.nist.gov/vuln/detail/CVE-2019-25414</t>
        </is>
      </c>
      <c r="L598" s="191" t="inlineStr">
        <is>
          <t>2026-02-23 23:48</t>
        </is>
      </c>
      <c r="M598" s="191" t="inlineStr">
        <is>
          <t>CHECK_VENDOR</t>
        </is>
      </c>
      <c r="N598" s="191" t="inlineStr">
        <is>
          <t>See NVD references</t>
        </is>
      </c>
      <c r="O598" s="191" t="inlineStr">
        <is>
          <t>Apply vendor patches</t>
        </is>
      </c>
      <c r="P598" s="191" t="inlineStr">
        <is>
          <t>comodo dome_firewall *</t>
        </is>
      </c>
      <c r="Q598" s="191" t="inlineStr">
        <is>
          <t>P4</t>
        </is>
      </c>
      <c r="R598" s="191" t="inlineStr">
        <is>
          <t>📅 Schedule patch deployment within 30 days | 🔍 Monitor for exploitation attempts</t>
        </is>
      </c>
      <c r="S598" s="191" t="inlineStr">
        <is>
          <t>CVE - IP enrichment n/a</t>
        </is>
      </c>
      <c r="T598" s="191" t="n">
        <v>0.0005999999999999999</v>
      </c>
      <c r="U598" s="191" t="n">
        <v>0.1827</v>
      </c>
      <c r="V598" s="191" t="inlineStr">
        <is>
          <t>T1189:Drive-by Compromise | T1562:Impair Defenses</t>
        </is>
      </c>
      <c r="W598" s="191" t="n">
        <v>1</v>
      </c>
      <c r="X598" s="191" t="inlineStr">
        <is>
          <t>LOW (40%)</t>
        </is>
      </c>
      <c r="Y598" s="191" t="inlineStr">
        <is>
          <t>UNLIKELY</t>
        </is>
      </c>
      <c r="Z598" s="191" t="inlineStr">
        <is>
          <t>CHECK_VENDOR</t>
        </is>
      </c>
      <c r="AA598" s="192" t="inlineStr">
        <is>
          <t>https://nvd.nist.gov/vuln/detail/CVE-2019-25414</t>
        </is>
      </c>
      <c r="AB598" s="191" t="inlineStr">
        <is>
          <t>NONE</t>
        </is>
      </c>
      <c r="AC598" s="191" t="n">
        <v>0</v>
      </c>
      <c r="AD598" s="191" t="n"/>
    </row>
    <row r="599">
      <c r="A599" s="191" t="inlineStr">
        <is>
          <t>CVE</t>
        </is>
      </c>
      <c r="B599" s="191" t="inlineStr">
        <is>
          <t>CVE-2019-25415</t>
        </is>
      </c>
      <c r="C599" s="191" t="inlineStr">
        <is>
          <t>Comodo Dome Firewall 2.7.0 contains a reflected cross-site scripting vulnerability that allows attackers to inject malicious scripts by submitting unsanitized input to the hotspot_permanent_users endpoint. Attackers can send POST requests with JavaScript payloads in the MACADDRESSES parameter to execute arbitrary scripts in users' browsers.</t>
        </is>
      </c>
      <c r="D599" s="191" t="n">
        <v>6.1</v>
      </c>
      <c r="E599" s="191" t="inlineStr">
        <is>
          <t>MEDIUM</t>
        </is>
      </c>
      <c r="F599" s="191" t="n">
        <v>2</v>
      </c>
      <c r="G599" s="191" t="n">
        <v>2</v>
      </c>
      <c r="H599" s="191" t="inlineStr">
        <is>
          <t>MEDIUM</t>
        </is>
      </c>
      <c r="I599" s="191" t="n">
        <v>10.1</v>
      </c>
      <c r="J599" s="191" t="inlineStr">
        <is>
          <t>NO</t>
        </is>
      </c>
      <c r="K599" s="192" t="inlineStr">
        <is>
          <t>https://nvd.nist.gov/vuln/detail/CVE-2019-25415</t>
        </is>
      </c>
      <c r="L599" s="191" t="inlineStr">
        <is>
          <t>2026-02-23 23:48</t>
        </is>
      </c>
      <c r="M599" s="191" t="inlineStr">
        <is>
          <t>CHECK_VENDOR</t>
        </is>
      </c>
      <c r="N599" s="191" t="inlineStr">
        <is>
          <t>See NVD references</t>
        </is>
      </c>
      <c r="O599" s="191" t="inlineStr">
        <is>
          <t>Apply vendor patches</t>
        </is>
      </c>
      <c r="P599" s="191" t="inlineStr">
        <is>
          <t>comodo dome_firewall 2.7.0</t>
        </is>
      </c>
      <c r="Q599" s="191" t="inlineStr">
        <is>
          <t>P4</t>
        </is>
      </c>
      <c r="R599" s="191" t="inlineStr">
        <is>
          <t>📅 Schedule patch deployment within 30 days | 🔍 Monitor for exploitation attempts</t>
        </is>
      </c>
      <c r="S599" s="191" t="inlineStr">
        <is>
          <t>CVE - IP enrichment n/a</t>
        </is>
      </c>
      <c r="T599" s="191" t="n">
        <v>0</v>
      </c>
      <c r="U599" s="191" t="n">
        <v>0</v>
      </c>
      <c r="V599" s="191" t="inlineStr">
        <is>
          <t>T1189:Drive-by Compromise | T1562:Impair Defenses</t>
        </is>
      </c>
      <c r="W599" s="191" t="n">
        <v>1</v>
      </c>
      <c r="X599" s="191" t="inlineStr">
        <is>
          <t>LOW (40%)</t>
        </is>
      </c>
      <c r="Y599" s="191" t="inlineStr">
        <is>
          <t>UNLIKELY</t>
        </is>
      </c>
      <c r="Z599" s="191" t="inlineStr">
        <is>
          <t>CHECK_VENDOR</t>
        </is>
      </c>
      <c r="AA599" s="192" t="inlineStr">
        <is>
          <t>https://nvd.nist.gov/vuln/detail/CVE-2019-25415</t>
        </is>
      </c>
      <c r="AB599" s="191" t="inlineStr">
        <is>
          <t>NONE</t>
        </is>
      </c>
      <c r="AC599" s="191" t="n">
        <v>0</v>
      </c>
      <c r="AD599" s="191" t="n"/>
    </row>
    <row r="600">
      <c r="A600" s="191" t="inlineStr">
        <is>
          <t>CVE</t>
        </is>
      </c>
      <c r="B600" s="191" t="inlineStr">
        <is>
          <t>CVE-2019-25416</t>
        </is>
      </c>
      <c r="C600" s="191" t="inlineStr">
        <is>
          <t>Comodo Dome Firewall 2.7.0 contains a reflected cross-site scripting vulnerability that allows attackers to inject malicious scripts by submitting crafted input through the device parameter. Attackers can send POST requests to the QoS devices management endpoint with script payloads in the device parameter to execute arbitrary JavaScript in users' browsers.</t>
        </is>
      </c>
      <c r="D600" s="191" t="n">
        <v>6.1</v>
      </c>
      <c r="E600" s="191" t="inlineStr">
        <is>
          <t>MEDIUM</t>
        </is>
      </c>
      <c r="F600" s="191" t="n">
        <v>2</v>
      </c>
      <c r="G600" s="191" t="n">
        <v>2</v>
      </c>
      <c r="H600" s="191" t="inlineStr">
        <is>
          <t>MEDIUM</t>
        </is>
      </c>
      <c r="I600" s="191" t="n">
        <v>10.1</v>
      </c>
      <c r="J600" s="191" t="inlineStr">
        <is>
          <t>NO</t>
        </is>
      </c>
      <c r="K600" s="192" t="inlineStr">
        <is>
          <t>https://nvd.nist.gov/vuln/detail/CVE-2019-25416</t>
        </is>
      </c>
      <c r="L600" s="191" t="inlineStr">
        <is>
          <t>2026-02-23 23:48</t>
        </is>
      </c>
      <c r="M600" s="191" t="inlineStr">
        <is>
          <t>CHECK_VENDOR</t>
        </is>
      </c>
      <c r="N600" s="191" t="inlineStr">
        <is>
          <t>See NVD references</t>
        </is>
      </c>
      <c r="O600" s="191" t="inlineStr">
        <is>
          <t>Apply vendor patches</t>
        </is>
      </c>
      <c r="P600" s="191" t="inlineStr">
        <is>
          <t>comodo dome_firewall *</t>
        </is>
      </c>
      <c r="Q600" s="191" t="inlineStr">
        <is>
          <t>P4</t>
        </is>
      </c>
      <c r="R600" s="191" t="inlineStr">
        <is>
          <t>📅 Schedule patch deployment within 30 days | 🔍 Monitor for exploitation attempts</t>
        </is>
      </c>
      <c r="S600" s="191" t="inlineStr">
        <is>
          <t>CVE - IP enrichment n/a</t>
        </is>
      </c>
      <c r="T600" s="191" t="n">
        <v>0</v>
      </c>
      <c r="U600" s="191" t="n">
        <v>0</v>
      </c>
      <c r="V600" s="191" t="inlineStr">
        <is>
          <t>T1189:Drive-by Compromise | T1562:Impair Defenses</t>
        </is>
      </c>
      <c r="W600" s="191" t="n">
        <v>1</v>
      </c>
      <c r="X600" s="191" t="inlineStr">
        <is>
          <t>LOW (40%)</t>
        </is>
      </c>
      <c r="Y600" s="191" t="inlineStr">
        <is>
          <t>UNLIKELY</t>
        </is>
      </c>
      <c r="Z600" s="191" t="inlineStr">
        <is>
          <t>CHECK_VENDOR</t>
        </is>
      </c>
      <c r="AA600" s="192" t="inlineStr">
        <is>
          <t>https://nvd.nist.gov/vuln/detail/CVE-2019-25416</t>
        </is>
      </c>
      <c r="AB600" s="191" t="inlineStr">
        <is>
          <t>NONE</t>
        </is>
      </c>
      <c r="AC600" s="191" t="n">
        <v>0</v>
      </c>
      <c r="AD600" s="191" t="n"/>
    </row>
    <row r="601">
      <c r="A601" s="191" t="inlineStr">
        <is>
          <t>CVE</t>
        </is>
      </c>
      <c r="B601" s="191" t="inlineStr">
        <is>
          <t>CVE-2019-25417</t>
        </is>
      </c>
      <c r="C601" s="191" t="inlineStr">
        <is>
          <t>Comodo Dome Firewall 2.7.0 contains a reflected cross-site scripting vulnerability that allows attackers to inject malicious scripts by submitting crafted input to the protocol parameter. Attackers can send POST requests to the QoS rules management endpoint with JavaScript payloads in the protocol parameter to execute arbitrary code in administrator browsers.</t>
        </is>
      </c>
      <c r="D601" s="191" t="n">
        <v>6.1</v>
      </c>
      <c r="E601" s="191" t="inlineStr">
        <is>
          <t>MEDIUM</t>
        </is>
      </c>
      <c r="F601" s="191" t="n">
        <v>2</v>
      </c>
      <c r="G601" s="191" t="n">
        <v>2</v>
      </c>
      <c r="H601" s="191" t="inlineStr">
        <is>
          <t>MEDIUM</t>
        </is>
      </c>
      <c r="I601" s="191" t="n">
        <v>10.1</v>
      </c>
      <c r="J601" s="191" t="inlineStr">
        <is>
          <t>NO</t>
        </is>
      </c>
      <c r="K601" s="192" t="inlineStr">
        <is>
          <t>https://nvd.nist.gov/vuln/detail/CVE-2019-25417</t>
        </is>
      </c>
      <c r="L601" s="191" t="inlineStr">
        <is>
          <t>2026-02-23 23:48</t>
        </is>
      </c>
      <c r="M601" s="191" t="inlineStr">
        <is>
          <t>CHECK_VENDOR</t>
        </is>
      </c>
      <c r="N601" s="191" t="inlineStr">
        <is>
          <t>See NVD references</t>
        </is>
      </c>
      <c r="O601" s="191" t="inlineStr">
        <is>
          <t>Apply vendor patches</t>
        </is>
      </c>
      <c r="P601" s="191" t="inlineStr">
        <is>
          <t>comodo dome_firewall *</t>
        </is>
      </c>
      <c r="Q601" s="191" t="inlineStr">
        <is>
          <t>P4</t>
        </is>
      </c>
      <c r="R601" s="191" t="inlineStr">
        <is>
          <t>📅 Schedule patch deployment within 30 days | 🔍 Monitor for exploitation attempts</t>
        </is>
      </c>
      <c r="S601" s="191" t="inlineStr">
        <is>
          <t>CVE - IP enrichment n/a</t>
        </is>
      </c>
      <c r="T601" s="191" t="n">
        <v>0</v>
      </c>
      <c r="U601" s="191" t="n">
        <v>0</v>
      </c>
      <c r="V601" s="191" t="inlineStr">
        <is>
          <t>T1189:Drive-by Compromise | T1203:Exploitation for Client Execution | T1562:Impair Defenses</t>
        </is>
      </c>
      <c r="W601" s="191" t="n">
        <v>1</v>
      </c>
      <c r="X601" s="191" t="inlineStr">
        <is>
          <t>LOW (40%)</t>
        </is>
      </c>
      <c r="Y601" s="191" t="inlineStr">
        <is>
          <t>UNLIKELY</t>
        </is>
      </c>
      <c r="Z601" s="191" t="inlineStr">
        <is>
          <t>CHECK_VENDOR</t>
        </is>
      </c>
      <c r="AA601" s="192" t="inlineStr">
        <is>
          <t>https://nvd.nist.gov/vuln/detail/CVE-2019-25417</t>
        </is>
      </c>
      <c r="AB601" s="191" t="inlineStr">
        <is>
          <t>NONE</t>
        </is>
      </c>
      <c r="AC601" s="191" t="n">
        <v>0</v>
      </c>
      <c r="AD601" s="191" t="n"/>
    </row>
    <row r="602">
      <c r="A602" s="191" t="inlineStr">
        <is>
          <t>CVE</t>
        </is>
      </c>
      <c r="B602" s="191" t="inlineStr">
        <is>
          <t>CVE-2019-25418</t>
        </is>
      </c>
      <c r="C602" s="191" t="inlineStr">
        <is>
          <t>Comodo Dome Firewall 2.7.0 contains a reflected cross-site scripting vulnerability that allows attackers to inject malicious scripts by submitting crafted input to the FWADDRESSES parameter. Attackers can send POST requests to the /korugan/fwgroups endpoint with script payloads to execute arbitrary JavaScript in users' browsers and steal session data.</t>
        </is>
      </c>
      <c r="D602" s="191" t="n">
        <v>6.1</v>
      </c>
      <c r="E602" s="191" t="inlineStr">
        <is>
          <t>MEDIUM</t>
        </is>
      </c>
      <c r="F602" s="191" t="n">
        <v>2</v>
      </c>
      <c r="G602" s="191" t="n">
        <v>2</v>
      </c>
      <c r="H602" s="191" t="inlineStr">
        <is>
          <t>MEDIUM</t>
        </is>
      </c>
      <c r="I602" s="191" t="n">
        <v>10.1</v>
      </c>
      <c r="J602" s="191" t="inlineStr">
        <is>
          <t>NO</t>
        </is>
      </c>
      <c r="K602" s="192" t="inlineStr">
        <is>
          <t>https://nvd.nist.gov/vuln/detail/CVE-2019-25418</t>
        </is>
      </c>
      <c r="L602" s="191" t="inlineStr">
        <is>
          <t>2026-02-23 23:48</t>
        </is>
      </c>
      <c r="M602" s="191" t="inlineStr">
        <is>
          <t>CHECK_VENDOR</t>
        </is>
      </c>
      <c r="N602" s="191" t="inlineStr">
        <is>
          <t>See NVD references</t>
        </is>
      </c>
      <c r="O602" s="191" t="inlineStr">
        <is>
          <t>Apply vendor patches</t>
        </is>
      </c>
      <c r="P602" s="191" t="inlineStr">
        <is>
          <t>comodo dome_firewall *</t>
        </is>
      </c>
      <c r="Q602" s="191" t="inlineStr">
        <is>
          <t>P4</t>
        </is>
      </c>
      <c r="R602" s="191" t="inlineStr">
        <is>
          <t>📅 Schedule patch deployment within 30 days | 🔍 Monitor for exploitation attempts</t>
        </is>
      </c>
      <c r="S602" s="191" t="inlineStr">
        <is>
          <t>CVE - IP enrichment n/a</t>
        </is>
      </c>
      <c r="T602" s="191" t="n">
        <v>0</v>
      </c>
      <c r="U602" s="191" t="n">
        <v>0</v>
      </c>
      <c r="V602" s="191" t="inlineStr">
        <is>
          <t>T1189:Drive-by Compromise | T1562:Impair Defenses</t>
        </is>
      </c>
      <c r="W602" s="191" t="n">
        <v>1</v>
      </c>
      <c r="X602" s="191" t="inlineStr">
        <is>
          <t>LOW (40%)</t>
        </is>
      </c>
      <c r="Y602" s="191" t="inlineStr">
        <is>
          <t>UNLIKELY</t>
        </is>
      </c>
      <c r="Z602" s="191" t="inlineStr">
        <is>
          <t>CHECK_VENDOR</t>
        </is>
      </c>
      <c r="AA602" s="192" t="inlineStr">
        <is>
          <t>https://nvd.nist.gov/vuln/detail/CVE-2019-25418</t>
        </is>
      </c>
      <c r="AB602" s="191" t="inlineStr">
        <is>
          <t>NONE</t>
        </is>
      </c>
      <c r="AC602" s="191" t="n">
        <v>0</v>
      </c>
      <c r="AD602" s="191" t="n"/>
    </row>
    <row r="603">
      <c r="A603" s="189" t="inlineStr">
        <is>
          <t>CVE</t>
        </is>
      </c>
      <c r="B603" s="189" t="inlineStr">
        <is>
          <t>CVE-2019-25419</t>
        </is>
      </c>
      <c r="C603" s="189" t="inlineStr">
        <is>
          <t>Comodo Dome Firewall 2.7.0 contains a stored cross-site scripting vulnerability that allows attackers to inject malicious scripts by submitting crafted input to the schedule endpoint. Attackers can submit POST requests with JavaScript payloads in the SCHNAME parameter to execute arbitrary code in administrators' browsers when the schedule page is accessed.</t>
        </is>
      </c>
      <c r="D603" s="189" t="n">
        <v>7.2</v>
      </c>
      <c r="E603" s="189" t="inlineStr">
        <is>
          <t>HIGH</t>
        </is>
      </c>
      <c r="F603" s="189" t="n">
        <v>2</v>
      </c>
      <c r="G603" s="189" t="n">
        <v>3</v>
      </c>
      <c r="H603" s="189" t="inlineStr">
        <is>
          <t>HIGH</t>
        </is>
      </c>
      <c r="I603" s="189" t="n">
        <v>13.2</v>
      </c>
      <c r="J603" s="189" t="inlineStr">
        <is>
          <t>NO</t>
        </is>
      </c>
      <c r="K603" s="190" t="inlineStr">
        <is>
          <t>https://nvd.nist.gov/vuln/detail/CVE-2019-25419</t>
        </is>
      </c>
      <c r="L603" s="189" t="inlineStr">
        <is>
          <t>2026-02-23 23:48</t>
        </is>
      </c>
      <c r="M603" s="189" t="inlineStr">
        <is>
          <t>CHECK_VENDOR</t>
        </is>
      </c>
      <c r="N603" s="189" t="inlineStr">
        <is>
          <t>See NVD references</t>
        </is>
      </c>
      <c r="O603" s="189" t="inlineStr">
        <is>
          <t>Apply vendor patches</t>
        </is>
      </c>
      <c r="P603" s="189" t="inlineStr">
        <is>
          <t>comodo dome_firewall *</t>
        </is>
      </c>
      <c r="Q603" s="189" t="inlineStr">
        <is>
          <t>P3</t>
        </is>
      </c>
      <c r="R603" s="189" t="inlineStr">
        <is>
          <t>🚨 URGENT: Apply vendor patches immediately | 🔒 Isolate affected systems if patch unavailable | 🛡️ Enable additional monitoring/IDS rules</t>
        </is>
      </c>
      <c r="S603" s="189" t="inlineStr">
        <is>
          <t>CVE - IP enrichment n/a</t>
        </is>
      </c>
      <c r="T603" s="189" t="n">
        <v>0</v>
      </c>
      <c r="U603" s="189" t="n">
        <v>0</v>
      </c>
      <c r="V603" s="189" t="inlineStr">
        <is>
          <t>T1189:Drive-by Compromise | T1203:Exploitation for Client Execution | T1562:Impair Defenses</t>
        </is>
      </c>
      <c r="W603" s="189" t="n">
        <v>1</v>
      </c>
      <c r="X603" s="189" t="inlineStr">
        <is>
          <t>LOW (40%)</t>
        </is>
      </c>
      <c r="Y603" s="189" t="inlineStr">
        <is>
          <t>UNLIKELY</t>
        </is>
      </c>
      <c r="Z603" s="189" t="inlineStr">
        <is>
          <t>CHECK_VENDOR</t>
        </is>
      </c>
      <c r="AA603" s="190" t="inlineStr">
        <is>
          <t>https://nvd.nist.gov/vuln/detail/CVE-2019-25419</t>
        </is>
      </c>
      <c r="AB603" s="189" t="inlineStr">
        <is>
          <t>NONE</t>
        </is>
      </c>
      <c r="AC603" s="189" t="n">
        <v>0</v>
      </c>
      <c r="AD603" s="189" t="n"/>
    </row>
    <row r="604">
      <c r="A604" s="191" t="inlineStr">
        <is>
          <t>CVE</t>
        </is>
      </c>
      <c r="B604" s="191" t="inlineStr">
        <is>
          <t>CVE-2019-25420</t>
        </is>
      </c>
      <c r="C604" s="191" t="inlineStr">
        <is>
          <t>Comodo Dome Firewall 2.7.0 contains a reflected cross-site scripting vulnerability that allows attackers to inject malicious scripts by submitting crafted input to the snat endpoint. Attackers can send POST requests with JavaScript payloads in the port or snat_to_ip parameters to execute arbitrary scripts in users' browsers.</t>
        </is>
      </c>
      <c r="D604" s="191" t="n">
        <v>6.1</v>
      </c>
      <c r="E604" s="191" t="inlineStr">
        <is>
          <t>MEDIUM</t>
        </is>
      </c>
      <c r="F604" s="191" t="n">
        <v>2</v>
      </c>
      <c r="G604" s="191" t="n">
        <v>2</v>
      </c>
      <c r="H604" s="191" t="inlineStr">
        <is>
          <t>MEDIUM</t>
        </is>
      </c>
      <c r="I604" s="191" t="n">
        <v>10.1</v>
      </c>
      <c r="J604" s="191" t="inlineStr">
        <is>
          <t>NO</t>
        </is>
      </c>
      <c r="K604" s="192" t="inlineStr">
        <is>
          <t>https://nvd.nist.gov/vuln/detail/CVE-2019-25420</t>
        </is>
      </c>
      <c r="L604" s="191" t="inlineStr">
        <is>
          <t>2026-02-23 23:48</t>
        </is>
      </c>
      <c r="M604" s="191" t="inlineStr">
        <is>
          <t>CHECK_VENDOR</t>
        </is>
      </c>
      <c r="N604" s="191" t="inlineStr">
        <is>
          <t>See NVD references</t>
        </is>
      </c>
      <c r="O604" s="191" t="inlineStr">
        <is>
          <t>Apply vendor patches</t>
        </is>
      </c>
      <c r="P604" s="191" t="inlineStr">
        <is>
          <t>comodo dome_firewall *</t>
        </is>
      </c>
      <c r="Q604" s="191" t="inlineStr">
        <is>
          <t>P4</t>
        </is>
      </c>
      <c r="R604" s="191" t="inlineStr">
        <is>
          <t>📅 Schedule patch deployment within 30 days | 🔍 Monitor for exploitation attempts</t>
        </is>
      </c>
      <c r="S604" s="191" t="inlineStr">
        <is>
          <t>CVE - IP enrichment n/a</t>
        </is>
      </c>
      <c r="T604" s="191" t="n">
        <v>0.0003</v>
      </c>
      <c r="U604" s="191" t="n">
        <v>0.0951</v>
      </c>
      <c r="V604" s="191" t="inlineStr">
        <is>
          <t>T1189:Drive-by Compromise | T1562:Impair Defenses</t>
        </is>
      </c>
      <c r="W604" s="191" t="n">
        <v>1</v>
      </c>
      <c r="X604" s="191" t="inlineStr">
        <is>
          <t>LOW (40%)</t>
        </is>
      </c>
      <c r="Y604" s="191" t="inlineStr">
        <is>
          <t>UNLIKELY</t>
        </is>
      </c>
      <c r="Z604" s="191" t="inlineStr">
        <is>
          <t>CHECK_VENDOR</t>
        </is>
      </c>
      <c r="AA604" s="192" t="inlineStr">
        <is>
          <t>https://nvd.nist.gov/vuln/detail/CVE-2019-25420</t>
        </is>
      </c>
      <c r="AB604" s="191" t="inlineStr">
        <is>
          <t>NONE</t>
        </is>
      </c>
      <c r="AC604" s="191" t="n">
        <v>0</v>
      </c>
      <c r="AD604" s="191" t="n"/>
    </row>
    <row r="605">
      <c r="A605" s="191" t="inlineStr">
        <is>
          <t>CVE</t>
        </is>
      </c>
      <c r="B605" s="191" t="inlineStr">
        <is>
          <t>CVE-2019-25421</t>
        </is>
      </c>
      <c r="C605" s="191" t="inlineStr">
        <is>
          <t>Comodo Dome Firewall 2.7.0 contains multiple cross-site scripting vulnerabilities that allow attackers to inject malicious scripts through the policyfw endpoint. Attackers can submit POST requests with JavaScript payloads in the mac, target, and remark parameters to execute arbitrary code in administrator browsers or store persistent scripts in the application.</t>
        </is>
      </c>
      <c r="D605" s="191" t="n">
        <v>6.1</v>
      </c>
      <c r="E605" s="191" t="inlineStr">
        <is>
          <t>MEDIUM</t>
        </is>
      </c>
      <c r="F605" s="191" t="n">
        <v>2</v>
      </c>
      <c r="G605" s="191" t="n">
        <v>2</v>
      </c>
      <c r="H605" s="191" t="inlineStr">
        <is>
          <t>MEDIUM</t>
        </is>
      </c>
      <c r="I605" s="191" t="n">
        <v>10.1</v>
      </c>
      <c r="J605" s="191" t="inlineStr">
        <is>
          <t>NO</t>
        </is>
      </c>
      <c r="K605" s="192" t="inlineStr">
        <is>
          <t>https://nvd.nist.gov/vuln/detail/CVE-2019-25421</t>
        </is>
      </c>
      <c r="L605" s="191" t="inlineStr">
        <is>
          <t>2026-02-23 23:48</t>
        </is>
      </c>
      <c r="M605" s="191" t="inlineStr">
        <is>
          <t>CHECK_VENDOR</t>
        </is>
      </c>
      <c r="N605" s="191" t="inlineStr">
        <is>
          <t>See NVD references</t>
        </is>
      </c>
      <c r="O605" s="191" t="inlineStr">
        <is>
          <t>Apply vendor patches</t>
        </is>
      </c>
      <c r="P605" s="191" t="inlineStr">
        <is>
          <t>comodo dome_firewall *</t>
        </is>
      </c>
      <c r="Q605" s="191" t="inlineStr">
        <is>
          <t>P4</t>
        </is>
      </c>
      <c r="R605" s="191" t="inlineStr">
        <is>
          <t>📅 Schedule patch deployment within 30 days | 🔍 Monitor for exploitation attempts</t>
        </is>
      </c>
      <c r="S605" s="191" t="inlineStr">
        <is>
          <t>CVE - IP enrichment n/a</t>
        </is>
      </c>
      <c r="T605" s="191" t="n">
        <v>0</v>
      </c>
      <c r="U605" s="191" t="n">
        <v>0</v>
      </c>
      <c r="V605" s="191" t="inlineStr">
        <is>
          <t>T1189:Drive-by Compromise | T1203:Exploitation for Client Execution | T1562:Impair Defenses</t>
        </is>
      </c>
      <c r="W605" s="191" t="n">
        <v>1</v>
      </c>
      <c r="X605" s="191" t="inlineStr">
        <is>
          <t>LOW (40%)</t>
        </is>
      </c>
      <c r="Y605" s="191" t="inlineStr">
        <is>
          <t>UNLIKELY</t>
        </is>
      </c>
      <c r="Z605" s="191" t="inlineStr">
        <is>
          <t>CHECK_VENDOR</t>
        </is>
      </c>
      <c r="AA605" s="192" t="inlineStr">
        <is>
          <t>https://nvd.nist.gov/vuln/detail/CVE-2019-25421</t>
        </is>
      </c>
      <c r="AB605" s="191" t="inlineStr">
        <is>
          <t>NONE</t>
        </is>
      </c>
      <c r="AC605" s="191" t="n">
        <v>0</v>
      </c>
      <c r="AD605" s="191" t="n"/>
    </row>
    <row r="606">
      <c r="A606" s="189" t="inlineStr">
        <is>
          <t>CVE</t>
        </is>
      </c>
      <c r="B606" s="189" t="inlineStr">
        <is>
          <t>CVE-2019-25422</t>
        </is>
      </c>
      <c r="C606" s="189" t="inlineStr">
        <is>
          <t>Comodo Dome Firewall 2.7.0 contains cross-site scripting vulnerabilities that allow attackers to inject malicious scripts through the vpnfw endpoint. Attackers can submit POST requests with script payloads in the target parameter for reflected XSS or the remark parameter for stored XSS to execute arbitrary JavaScript in administrator browsers.</t>
        </is>
      </c>
      <c r="D606" s="189" t="n">
        <v>7.2</v>
      </c>
      <c r="E606" s="189" t="inlineStr">
        <is>
          <t>HIGH</t>
        </is>
      </c>
      <c r="F606" s="189" t="n">
        <v>2</v>
      </c>
      <c r="G606" s="189" t="n">
        <v>3</v>
      </c>
      <c r="H606" s="189" t="inlineStr">
        <is>
          <t>HIGH</t>
        </is>
      </c>
      <c r="I606" s="189" t="n">
        <v>13.2</v>
      </c>
      <c r="J606" s="189" t="inlineStr">
        <is>
          <t>NO</t>
        </is>
      </c>
      <c r="K606" s="190" t="inlineStr">
        <is>
          <t>https://nvd.nist.gov/vuln/detail/CVE-2019-25422</t>
        </is>
      </c>
      <c r="L606" s="189" t="inlineStr">
        <is>
          <t>2026-02-23 23:48</t>
        </is>
      </c>
      <c r="M606" s="189" t="inlineStr">
        <is>
          <t>CHECK_VENDOR</t>
        </is>
      </c>
      <c r="N606" s="189" t="inlineStr">
        <is>
          <t>See NVD references</t>
        </is>
      </c>
      <c r="O606" s="189" t="inlineStr">
        <is>
          <t>Apply vendor patches</t>
        </is>
      </c>
      <c r="P606" s="189" t="inlineStr">
        <is>
          <t>comodo dome_firewall *</t>
        </is>
      </c>
      <c r="Q606" s="189" t="inlineStr">
        <is>
          <t>P3</t>
        </is>
      </c>
      <c r="R606" s="189" t="inlineStr">
        <is>
          <t>🚨 URGENT: Apply vendor patches immediately | 🔒 Isolate affected systems if patch unavailable | 🛡️ Enable additional monitoring/IDS rules</t>
        </is>
      </c>
      <c r="S606" s="189" t="inlineStr">
        <is>
          <t>CVE - IP enrichment n/a</t>
        </is>
      </c>
      <c r="T606" s="189" t="n">
        <v>0</v>
      </c>
      <c r="U606" s="189" t="n">
        <v>0</v>
      </c>
      <c r="V606" s="189" t="inlineStr">
        <is>
          <t>T1189:Drive-by Compromise | T1133:External Remote Services | T1562:Impair Defenses</t>
        </is>
      </c>
      <c r="W606" s="189" t="n">
        <v>1</v>
      </c>
      <c r="X606" s="189" t="inlineStr">
        <is>
          <t>LOW (40%)</t>
        </is>
      </c>
      <c r="Y606" s="189" t="inlineStr">
        <is>
          <t>UNLIKELY</t>
        </is>
      </c>
      <c r="Z606" s="189" t="inlineStr">
        <is>
          <t>CHECK_VENDOR</t>
        </is>
      </c>
      <c r="AA606" s="190" t="inlineStr">
        <is>
          <t>https://nvd.nist.gov/vuln/detail/CVE-2019-25422</t>
        </is>
      </c>
      <c r="AB606" s="189" t="inlineStr">
        <is>
          <t>NONE</t>
        </is>
      </c>
      <c r="AC606" s="189" t="n">
        <v>0</v>
      </c>
      <c r="AD606" s="189" t="n"/>
    </row>
    <row r="607">
      <c r="A607" s="191" t="inlineStr">
        <is>
          <t>CVE</t>
        </is>
      </c>
      <c r="B607" s="191" t="inlineStr">
        <is>
          <t>CVE-2019-25423</t>
        </is>
      </c>
      <c r="C607" s="191" t="inlineStr">
        <is>
          <t>Comodo Dome Firewall 2.7.0 contains multiple reflected cross-site scripting vulnerabilities in the /korugan/proxyconfig endpoint that allow attackers to inject malicious scripts through POST parameters. Attackers can submit crafted POST requests with JavaScript payloads in parameters like PROXY_PORT, VISIBLE_HOSTNAME, ADMIN_MAIL_ADDRESS, CACHE_MEM, MAX_SIZE, MIN_SIZE, and DST_NOCACHE to execute arbitrary scripts in administrator browsers.</t>
        </is>
      </c>
      <c r="D607" s="191" t="n">
        <v>6.1</v>
      </c>
      <c r="E607" s="191" t="inlineStr">
        <is>
          <t>MEDIUM</t>
        </is>
      </c>
      <c r="F607" s="191" t="n">
        <v>2</v>
      </c>
      <c r="G607" s="191" t="n">
        <v>2</v>
      </c>
      <c r="H607" s="191" t="inlineStr">
        <is>
          <t>MEDIUM</t>
        </is>
      </c>
      <c r="I607" s="191" t="n">
        <v>10.1</v>
      </c>
      <c r="J607" s="191" t="inlineStr">
        <is>
          <t>NO</t>
        </is>
      </c>
      <c r="K607" s="192" t="inlineStr">
        <is>
          <t>https://nvd.nist.gov/vuln/detail/CVE-2019-25423</t>
        </is>
      </c>
      <c r="L607" s="191" t="inlineStr">
        <is>
          <t>2026-02-23 23:48</t>
        </is>
      </c>
      <c r="M607" s="191" t="inlineStr">
        <is>
          <t>CHECK_VENDOR</t>
        </is>
      </c>
      <c r="N607" s="191" t="inlineStr">
        <is>
          <t>See NVD references</t>
        </is>
      </c>
      <c r="O607" s="191" t="inlineStr">
        <is>
          <t>Apply vendor patches</t>
        </is>
      </c>
      <c r="P607" s="191" t="inlineStr">
        <is>
          <t>comodo dome_firewall *</t>
        </is>
      </c>
      <c r="Q607" s="191" t="inlineStr">
        <is>
          <t>P4</t>
        </is>
      </c>
      <c r="R607" s="191" t="inlineStr">
        <is>
          <t>📅 Schedule patch deployment within 30 days | 🔍 Monitor for exploitation attempts</t>
        </is>
      </c>
      <c r="S607" s="191" t="inlineStr">
        <is>
          <t>CVE - IP enrichment n/a</t>
        </is>
      </c>
      <c r="T607" s="191" t="n">
        <v>0</v>
      </c>
      <c r="U607" s="191" t="n">
        <v>0</v>
      </c>
      <c r="V607" s="191" t="inlineStr">
        <is>
          <t>T1189:Drive-by Compromise | T1562:Impair Defenses</t>
        </is>
      </c>
      <c r="W607" s="191" t="n">
        <v>1</v>
      </c>
      <c r="X607" s="191" t="inlineStr">
        <is>
          <t>LOW (40%)</t>
        </is>
      </c>
      <c r="Y607" s="191" t="inlineStr">
        <is>
          <t>UNLIKELY</t>
        </is>
      </c>
      <c r="Z607" s="191" t="inlineStr">
        <is>
          <t>CHECK_VENDOR</t>
        </is>
      </c>
      <c r="AA607" s="192" t="inlineStr">
        <is>
          <t>https://nvd.nist.gov/vuln/detail/CVE-2019-25423</t>
        </is>
      </c>
      <c r="AB607" s="191" t="inlineStr">
        <is>
          <t>NONE</t>
        </is>
      </c>
      <c r="AC607" s="191" t="n">
        <v>0</v>
      </c>
      <c r="AD607" s="191" t="n"/>
    </row>
    <row r="608">
      <c r="A608" s="191" t="inlineStr">
        <is>
          <t>CVE</t>
        </is>
      </c>
      <c r="B608" s="191" t="inlineStr">
        <is>
          <t>CVE-2019-25424</t>
        </is>
      </c>
      <c r="C608" s="191" t="inlineStr">
        <is>
          <t>Comodo Dome Firewall 2.7.0 contains a reflected cross-site scripting vulnerability that allows attackers to inject malicious scripts by submitting unsanitized input to the EXCEPTIONSITELIST parameter. Attackers can craft POST requests to the https_exceptions endpoint with script payloads to execute arbitrary JavaScript in users' browsers and steal session data.</t>
        </is>
      </c>
      <c r="D608" s="191" t="n">
        <v>6.1</v>
      </c>
      <c r="E608" s="191" t="inlineStr">
        <is>
          <t>MEDIUM</t>
        </is>
      </c>
      <c r="F608" s="191" t="n">
        <v>2</v>
      </c>
      <c r="G608" s="191" t="n">
        <v>2</v>
      </c>
      <c r="H608" s="191" t="inlineStr">
        <is>
          <t>MEDIUM</t>
        </is>
      </c>
      <c r="I608" s="191" t="n">
        <v>10.1</v>
      </c>
      <c r="J608" s="191" t="inlineStr">
        <is>
          <t>NO</t>
        </is>
      </c>
      <c r="K608" s="192" t="inlineStr">
        <is>
          <t>https://nvd.nist.gov/vuln/detail/CVE-2019-25424</t>
        </is>
      </c>
      <c r="L608" s="191" t="inlineStr">
        <is>
          <t>2026-02-23 23:48</t>
        </is>
      </c>
      <c r="M608" s="191" t="inlineStr">
        <is>
          <t>CHECK_VENDOR</t>
        </is>
      </c>
      <c r="N608" s="191" t="inlineStr">
        <is>
          <t>See NVD references</t>
        </is>
      </c>
      <c r="O608" s="191" t="inlineStr">
        <is>
          <t>Apply vendor patches</t>
        </is>
      </c>
      <c r="P608" s="191" t="inlineStr">
        <is>
          <t>comodo dome_firewall 2.7.0</t>
        </is>
      </c>
      <c r="Q608" s="191" t="inlineStr">
        <is>
          <t>P4</t>
        </is>
      </c>
      <c r="R608" s="191" t="inlineStr">
        <is>
          <t>📅 Schedule patch deployment within 30 days | 🔍 Monitor for exploitation attempts</t>
        </is>
      </c>
      <c r="S608" s="191" t="inlineStr">
        <is>
          <t>CVE - IP enrichment n/a</t>
        </is>
      </c>
      <c r="T608" s="191" t="n">
        <v>0</v>
      </c>
      <c r="U608" s="191" t="n">
        <v>0</v>
      </c>
      <c r="V608" s="191" t="inlineStr">
        <is>
          <t>T1189:Drive-by Compromise | T1562:Impair Defenses</t>
        </is>
      </c>
      <c r="W608" s="191" t="n">
        <v>1</v>
      </c>
      <c r="X608" s="191" t="inlineStr">
        <is>
          <t>LOW (40%)</t>
        </is>
      </c>
      <c r="Y608" s="191" t="inlineStr">
        <is>
          <t>UNLIKELY</t>
        </is>
      </c>
      <c r="Z608" s="191" t="inlineStr">
        <is>
          <t>CHECK_VENDOR</t>
        </is>
      </c>
      <c r="AA608" s="192" t="inlineStr">
        <is>
          <t>https://nvd.nist.gov/vuln/detail/CVE-2019-25424</t>
        </is>
      </c>
      <c r="AB608" s="191" t="inlineStr">
        <is>
          <t>NONE</t>
        </is>
      </c>
      <c r="AC608" s="191" t="n">
        <v>0</v>
      </c>
      <c r="AD608" s="191" t="n"/>
    </row>
    <row r="609">
      <c r="A609" s="191" t="inlineStr">
        <is>
          <t>CVE</t>
        </is>
      </c>
      <c r="B609" s="191" t="inlineStr">
        <is>
          <t>CVE-2019-25425</t>
        </is>
      </c>
      <c r="C609" s="191" t="inlineStr">
        <is>
          <t>Comodo Dome Firewall 2.7.0 contains a reflected cross-site scripting vulnerability that allows attackers to inject malicious scripts by submitting crafted input to the VIRUS_ADMIN parameter. Attackers can send POST requests to the smtpconfig endpoint with script payloads to execute arbitrary JavaScript in the context of an administrator's browser session.</t>
        </is>
      </c>
      <c r="D609" s="191" t="n">
        <v>6.1</v>
      </c>
      <c r="E609" s="191" t="inlineStr">
        <is>
          <t>MEDIUM</t>
        </is>
      </c>
      <c r="F609" s="191" t="n">
        <v>2</v>
      </c>
      <c r="G609" s="191" t="n">
        <v>2</v>
      </c>
      <c r="H609" s="191" t="inlineStr">
        <is>
          <t>MEDIUM</t>
        </is>
      </c>
      <c r="I609" s="191" t="n">
        <v>10.1</v>
      </c>
      <c r="J609" s="191" t="inlineStr">
        <is>
          <t>NO</t>
        </is>
      </c>
      <c r="K609" s="192" t="inlineStr">
        <is>
          <t>https://nvd.nist.gov/vuln/detail/CVE-2019-25425</t>
        </is>
      </c>
      <c r="L609" s="191" t="inlineStr">
        <is>
          <t>2026-02-23 23:48</t>
        </is>
      </c>
      <c r="M609" s="191" t="inlineStr">
        <is>
          <t>CHECK_VENDOR</t>
        </is>
      </c>
      <c r="N609" s="191" t="inlineStr">
        <is>
          <t>See NVD references</t>
        </is>
      </c>
      <c r="O609" s="191" t="inlineStr">
        <is>
          <t>Apply vendor patches</t>
        </is>
      </c>
      <c r="P609" s="191" t="inlineStr">
        <is>
          <t>comodo dome_firewall *</t>
        </is>
      </c>
      <c r="Q609" s="191" t="inlineStr">
        <is>
          <t>P4</t>
        </is>
      </c>
      <c r="R609" s="191" t="inlineStr">
        <is>
          <t>📅 Schedule patch deployment within 30 days | 🔍 Monitor for exploitation attempts</t>
        </is>
      </c>
      <c r="S609" s="191" t="inlineStr">
        <is>
          <t>CVE - IP enrichment n/a</t>
        </is>
      </c>
      <c r="T609" s="191" t="n">
        <v>0</v>
      </c>
      <c r="U609" s="191" t="n">
        <v>0</v>
      </c>
      <c r="V609" s="191" t="inlineStr">
        <is>
          <t>T1189:Drive-by Compromise | T1562:Impair Defenses</t>
        </is>
      </c>
      <c r="W609" s="191" t="n">
        <v>1</v>
      </c>
      <c r="X609" s="191" t="inlineStr">
        <is>
          <t>LOW (40%)</t>
        </is>
      </c>
      <c r="Y609" s="191" t="inlineStr">
        <is>
          <t>UNLIKELY</t>
        </is>
      </c>
      <c r="Z609" s="191" t="inlineStr">
        <is>
          <t>CHECK_VENDOR</t>
        </is>
      </c>
      <c r="AA609" s="192" t="inlineStr">
        <is>
          <t>https://nvd.nist.gov/vuln/detail/CVE-2019-25425</t>
        </is>
      </c>
      <c r="AB609" s="191" t="inlineStr">
        <is>
          <t>NONE</t>
        </is>
      </c>
      <c r="AC609" s="191" t="n">
        <v>0</v>
      </c>
      <c r="AD609" s="191" t="n"/>
    </row>
    <row r="610">
      <c r="A610" s="191" t="inlineStr">
        <is>
          <t>CVE</t>
        </is>
      </c>
      <c r="B610" s="191" t="inlineStr">
        <is>
          <t>CVE-2019-25426</t>
        </is>
      </c>
      <c r="C610" s="191" t="inlineStr">
        <is>
          <t>Comodo Dome Firewall 2.7.0 contains a reflected cross-site scripting vulnerability that allows attackers to inject malicious scripts by submitting crafted input to the dnsmasq endpoint. Attackers can send POST requests with script payloads in the TRANSPARENT_SOURCE_BYPASS or TRANSPARENT_DESTINATION_BYPASS parameters to execute arbitrary JavaScript in users' browsers.</t>
        </is>
      </c>
      <c r="D610" s="191" t="n">
        <v>6.1</v>
      </c>
      <c r="E610" s="191" t="inlineStr">
        <is>
          <t>MEDIUM</t>
        </is>
      </c>
      <c r="F610" s="191" t="n">
        <v>2</v>
      </c>
      <c r="G610" s="191" t="n">
        <v>2</v>
      </c>
      <c r="H610" s="191" t="inlineStr">
        <is>
          <t>MEDIUM</t>
        </is>
      </c>
      <c r="I610" s="191" t="n">
        <v>10.1</v>
      </c>
      <c r="J610" s="191" t="inlineStr">
        <is>
          <t>NO</t>
        </is>
      </c>
      <c r="K610" s="192" t="inlineStr">
        <is>
          <t>https://nvd.nist.gov/vuln/detail/CVE-2019-25426</t>
        </is>
      </c>
      <c r="L610" s="191" t="inlineStr">
        <is>
          <t>2026-02-23 23:48</t>
        </is>
      </c>
      <c r="M610" s="191" t="inlineStr">
        <is>
          <t>CHECK_VENDOR</t>
        </is>
      </c>
      <c r="N610" s="191" t="inlineStr">
        <is>
          <t>See NVD references</t>
        </is>
      </c>
      <c r="O610" s="191" t="inlineStr">
        <is>
          <t>Apply vendor patches</t>
        </is>
      </c>
      <c r="P610" s="191" t="inlineStr">
        <is>
          <t>comodo dome_firewall *</t>
        </is>
      </c>
      <c r="Q610" s="191" t="inlineStr">
        <is>
          <t>P4</t>
        </is>
      </c>
      <c r="R610" s="191" t="inlineStr">
        <is>
          <t>📅 Schedule patch deployment within 30 days | 🔍 Monitor for exploitation attempts</t>
        </is>
      </c>
      <c r="S610" s="191" t="inlineStr">
        <is>
          <t>CVE - IP enrichment n/a</t>
        </is>
      </c>
      <c r="T610" s="191" t="n">
        <v>0.0003</v>
      </c>
      <c r="U610" s="191" t="n">
        <v>0.0819</v>
      </c>
      <c r="V610" s="191" t="inlineStr">
        <is>
          <t>T1189:Drive-by Compromise | T1190:Exploit Public-Facing Application | T1562:Impair Defenses</t>
        </is>
      </c>
      <c r="W610" s="191" t="n">
        <v>1</v>
      </c>
      <c r="X610" s="191" t="inlineStr">
        <is>
          <t>LOW (40%)</t>
        </is>
      </c>
      <c r="Y610" s="191" t="inlineStr">
        <is>
          <t>UNLIKELY</t>
        </is>
      </c>
      <c r="Z610" s="191" t="inlineStr">
        <is>
          <t>CHECK_VENDOR</t>
        </is>
      </c>
      <c r="AA610" s="192" t="inlineStr">
        <is>
          <t>https://nvd.nist.gov/vuln/detail/CVE-2019-25426</t>
        </is>
      </c>
      <c r="AB610" s="191" t="inlineStr">
        <is>
          <t>NONE</t>
        </is>
      </c>
      <c r="AC610" s="191" t="n">
        <v>0</v>
      </c>
      <c r="AD610" s="191" t="n"/>
    </row>
    <row r="611">
      <c r="A611" s="191" t="inlineStr">
        <is>
          <t>CVE</t>
        </is>
      </c>
      <c r="B611" s="191" t="inlineStr">
        <is>
          <t>CVE-2019-25427</t>
        </is>
      </c>
      <c r="C611" s="191" t="inlineStr">
        <is>
          <t>Comodo Dome Firewall 2.7.0 contains a reflected cross-site scripting vulnerability that allows attackers to inject malicious scripts by submitting crafted input to the antispyware endpoint. Attackers can send POST requests with JavaScript payloads in the DNSMASQ_WHITELIST or DNSMASQ_BLACKLIST parameters to execute arbitrary code in users' browsers.</t>
        </is>
      </c>
      <c r="D611" s="191" t="n">
        <v>6.1</v>
      </c>
      <c r="E611" s="191" t="inlineStr">
        <is>
          <t>MEDIUM</t>
        </is>
      </c>
      <c r="F611" s="191" t="n">
        <v>2</v>
      </c>
      <c r="G611" s="191" t="n">
        <v>2</v>
      </c>
      <c r="H611" s="191" t="inlineStr">
        <is>
          <t>MEDIUM</t>
        </is>
      </c>
      <c r="I611" s="191" t="n">
        <v>10.1</v>
      </c>
      <c r="J611" s="191" t="inlineStr">
        <is>
          <t>NO</t>
        </is>
      </c>
      <c r="K611" s="192" t="inlineStr">
        <is>
          <t>https://nvd.nist.gov/vuln/detail/CVE-2019-25427</t>
        </is>
      </c>
      <c r="L611" s="191" t="inlineStr">
        <is>
          <t>2026-02-23 23:48</t>
        </is>
      </c>
      <c r="M611" s="191" t="inlineStr">
        <is>
          <t>CHECK_VENDOR</t>
        </is>
      </c>
      <c r="N611" s="191" t="inlineStr">
        <is>
          <t>See NVD references</t>
        </is>
      </c>
      <c r="O611" s="191" t="inlineStr">
        <is>
          <t>Apply vendor patches</t>
        </is>
      </c>
      <c r="P611" s="191" t="inlineStr">
        <is>
          <t>comodo dome_firewall *</t>
        </is>
      </c>
      <c r="Q611" s="191" t="inlineStr">
        <is>
          <t>P4</t>
        </is>
      </c>
      <c r="R611" s="191" t="inlineStr">
        <is>
          <t>📅 Schedule patch deployment within 30 days | 🔍 Monitor for exploitation attempts</t>
        </is>
      </c>
      <c r="S611" s="191" t="inlineStr">
        <is>
          <t>CVE - IP enrichment n/a</t>
        </is>
      </c>
      <c r="T611" s="191" t="n">
        <v>0</v>
      </c>
      <c r="U611" s="191" t="n">
        <v>0</v>
      </c>
      <c r="V611" s="191" t="inlineStr">
        <is>
          <t>T1189:Drive-by Compromise | T1203:Exploitation for Client Execution | T1562:Impair Defenses</t>
        </is>
      </c>
      <c r="W611" s="191" t="n">
        <v>1</v>
      </c>
      <c r="X611" s="191" t="inlineStr">
        <is>
          <t>LOW (40%)</t>
        </is>
      </c>
      <c r="Y611" s="191" t="inlineStr">
        <is>
          <t>UNLIKELY</t>
        </is>
      </c>
      <c r="Z611" s="191" t="inlineStr">
        <is>
          <t>CHECK_VENDOR</t>
        </is>
      </c>
      <c r="AA611" s="192" t="inlineStr">
        <is>
          <t>https://nvd.nist.gov/vuln/detail/CVE-2019-25427</t>
        </is>
      </c>
      <c r="AB611" s="191" t="inlineStr">
        <is>
          <t>NONE</t>
        </is>
      </c>
      <c r="AC611" s="191" t="n">
        <v>0</v>
      </c>
      <c r="AD611" s="191" t="n"/>
    </row>
    <row r="612">
      <c r="A612" s="191" t="inlineStr">
        <is>
          <t>CVE</t>
        </is>
      </c>
      <c r="B612" s="191" t="inlineStr">
        <is>
          <t>CVE-2019-25428</t>
        </is>
      </c>
      <c r="C612" s="191" t="inlineStr">
        <is>
          <t>Comodo Dome Firewall 2.7.0 contains multiple reflected cross-site scripting vulnerabilities in the openvpn_users endpoint that allow attackers to inject malicious scripts through POST parameters. Attackers can submit crafted POST requests with script payloads in the username, remotenets, explicitroutes, static_ip, custom_dns, or custom_domain parameters to execute arbitrary JavaScript in users' browsers.</t>
        </is>
      </c>
      <c r="D612" s="191" t="n">
        <v>6.1</v>
      </c>
      <c r="E612" s="191" t="inlineStr">
        <is>
          <t>MEDIUM</t>
        </is>
      </c>
      <c r="F612" s="191" t="n">
        <v>2</v>
      </c>
      <c r="G612" s="191" t="n">
        <v>2</v>
      </c>
      <c r="H612" s="191" t="inlineStr">
        <is>
          <t>MEDIUM</t>
        </is>
      </c>
      <c r="I612" s="191" t="n">
        <v>10.1</v>
      </c>
      <c r="J612" s="191" t="inlineStr">
        <is>
          <t>NO</t>
        </is>
      </c>
      <c r="K612" s="192" t="inlineStr">
        <is>
          <t>https://nvd.nist.gov/vuln/detail/CVE-2019-25428</t>
        </is>
      </c>
      <c r="L612" s="191" t="inlineStr">
        <is>
          <t>2026-02-23 23:48</t>
        </is>
      </c>
      <c r="M612" s="191" t="inlineStr">
        <is>
          <t>CHECK_VENDOR</t>
        </is>
      </c>
      <c r="N612" s="191" t="inlineStr">
        <is>
          <t>See NVD references</t>
        </is>
      </c>
      <c r="O612" s="191" t="inlineStr">
        <is>
          <t>Apply vendor patches</t>
        </is>
      </c>
      <c r="P612" s="191" t="inlineStr">
        <is>
          <t>comodo dome_firewall 2.7.0</t>
        </is>
      </c>
      <c r="Q612" s="191" t="inlineStr">
        <is>
          <t>P4</t>
        </is>
      </c>
      <c r="R612" s="191" t="inlineStr">
        <is>
          <t>📅 Schedule patch deployment within 30 days | 🔍 Monitor for exploitation attempts</t>
        </is>
      </c>
      <c r="S612" s="191" t="inlineStr">
        <is>
          <t>CVE - IP enrichment n/a</t>
        </is>
      </c>
      <c r="T612" s="191" t="n">
        <v>0</v>
      </c>
      <c r="U612" s="191" t="n">
        <v>0</v>
      </c>
      <c r="V612" s="191" t="inlineStr">
        <is>
          <t>T1189:Drive-by Compromise | T1133:External Remote Services | T1562:Impair Defenses</t>
        </is>
      </c>
      <c r="W612" s="191" t="n">
        <v>1</v>
      </c>
      <c r="X612" s="191" t="inlineStr">
        <is>
          <t>LOW (40%)</t>
        </is>
      </c>
      <c r="Y612" s="191" t="inlineStr">
        <is>
          <t>UNLIKELY</t>
        </is>
      </c>
      <c r="Z612" s="191" t="inlineStr">
        <is>
          <t>CHECK_VENDOR</t>
        </is>
      </c>
      <c r="AA612" s="192" t="inlineStr">
        <is>
          <t>https://nvd.nist.gov/vuln/detail/CVE-2019-25428</t>
        </is>
      </c>
      <c r="AB612" s="191" t="inlineStr">
        <is>
          <t>NONE</t>
        </is>
      </c>
      <c r="AC612" s="191" t="n">
        <v>0</v>
      </c>
      <c r="AD612" s="191" t="n"/>
    </row>
    <row r="613">
      <c r="A613" s="191" t="inlineStr">
        <is>
          <t>CVE</t>
        </is>
      </c>
      <c r="B613" s="191" t="inlineStr">
        <is>
          <t>CVE-2019-25429</t>
        </is>
      </c>
      <c r="C613" s="191" t="inlineStr">
        <is>
          <t>Comodo Dome Firewall 2.7.0 contains a reflected cross-site scripting vulnerability that allows attackers to inject malicious scripts by submitting crafted input to the openvpn_advanced endpoint. Attackers can inject JavaScript code through the GLOBAL_NETWORKS and GLOBAL_DNS parameters via POST requests to execute arbitrary scripts in users' browsers.</t>
        </is>
      </c>
      <c r="D613" s="191" t="n">
        <v>6.1</v>
      </c>
      <c r="E613" s="191" t="inlineStr">
        <is>
          <t>MEDIUM</t>
        </is>
      </c>
      <c r="F613" s="191" t="n">
        <v>2</v>
      </c>
      <c r="G613" s="191" t="n">
        <v>2</v>
      </c>
      <c r="H613" s="191" t="inlineStr">
        <is>
          <t>MEDIUM</t>
        </is>
      </c>
      <c r="I613" s="191" t="n">
        <v>10.1</v>
      </c>
      <c r="J613" s="191" t="inlineStr">
        <is>
          <t>NO</t>
        </is>
      </c>
      <c r="K613" s="192" t="inlineStr">
        <is>
          <t>https://nvd.nist.gov/vuln/detail/CVE-2019-25429</t>
        </is>
      </c>
      <c r="L613" s="191" t="inlineStr">
        <is>
          <t>2026-02-23 23:48</t>
        </is>
      </c>
      <c r="M613" s="191" t="inlineStr">
        <is>
          <t>CHECK_VENDOR</t>
        </is>
      </c>
      <c r="N613" s="191" t="inlineStr">
        <is>
          <t>See NVD references</t>
        </is>
      </c>
      <c r="O613" s="191" t="inlineStr">
        <is>
          <t>Apply vendor patches</t>
        </is>
      </c>
      <c r="P613" s="191" t="inlineStr">
        <is>
          <t>comodo dome_firewall 2.7.0</t>
        </is>
      </c>
      <c r="Q613" s="191" t="inlineStr">
        <is>
          <t>P4</t>
        </is>
      </c>
      <c r="R613" s="191" t="inlineStr">
        <is>
          <t>📅 Schedule patch deployment within 30 days | 🔍 Monitor for exploitation attempts</t>
        </is>
      </c>
      <c r="S613" s="191" t="inlineStr">
        <is>
          <t>CVE - IP enrichment n/a</t>
        </is>
      </c>
      <c r="T613" s="191" t="n">
        <v>0</v>
      </c>
      <c r="U613" s="191" t="n">
        <v>0</v>
      </c>
      <c r="V613" s="191" t="inlineStr">
        <is>
          <t>T1189:Drive-by Compromise | T1133:External Remote Services | T1562:Impair Defenses</t>
        </is>
      </c>
      <c r="W613" s="191" t="n">
        <v>1</v>
      </c>
      <c r="X613" s="191" t="inlineStr">
        <is>
          <t>LOW (40%)</t>
        </is>
      </c>
      <c r="Y613" s="191" t="inlineStr">
        <is>
          <t>UNLIKELY</t>
        </is>
      </c>
      <c r="Z613" s="191" t="inlineStr">
        <is>
          <t>CHECK_VENDOR</t>
        </is>
      </c>
      <c r="AA613" s="192" t="inlineStr">
        <is>
          <t>https://nvd.nist.gov/vuln/detail/CVE-2019-25429</t>
        </is>
      </c>
      <c r="AB613" s="191" t="inlineStr">
        <is>
          <t>NONE</t>
        </is>
      </c>
      <c r="AC613" s="191" t="n">
        <v>0</v>
      </c>
      <c r="AD613" s="191" t="n"/>
    </row>
    <row r="614">
      <c r="A614" s="191" t="inlineStr">
        <is>
          <t>CVE</t>
        </is>
      </c>
      <c r="B614" s="191" t="inlineStr">
        <is>
          <t>CVE-2019-25430</t>
        </is>
      </c>
      <c r="C614" s="191" t="inlineStr">
        <is>
          <t>Comodo Dome Firewall 2.7.0 contains a reflected cross-site scripting vulnerability that allows unauthenticated attackers to inject malicious scripts by submitting crafted input to the username parameter. Attackers can send POST requests to the vpn_users endpoint with script payloads in the username field to execute arbitrary JavaScript in victim browsers.</t>
        </is>
      </c>
      <c r="D614" s="191" t="n">
        <v>6.1</v>
      </c>
      <c r="E614" s="191" t="inlineStr">
        <is>
          <t>MEDIUM</t>
        </is>
      </c>
      <c r="F614" s="191" t="n">
        <v>2</v>
      </c>
      <c r="G614" s="191" t="n">
        <v>2</v>
      </c>
      <c r="H614" s="191" t="inlineStr">
        <is>
          <t>MEDIUM</t>
        </is>
      </c>
      <c r="I614" s="191" t="n">
        <v>10.1</v>
      </c>
      <c r="J614" s="191" t="inlineStr">
        <is>
          <t>NO</t>
        </is>
      </c>
      <c r="K614" s="192" t="inlineStr">
        <is>
          <t>https://nvd.nist.gov/vuln/detail/CVE-2019-25430</t>
        </is>
      </c>
      <c r="L614" s="191" t="inlineStr">
        <is>
          <t>2026-02-23 23:48</t>
        </is>
      </c>
      <c r="M614" s="191" t="inlineStr">
        <is>
          <t>CHECK_VENDOR</t>
        </is>
      </c>
      <c r="N614" s="191" t="inlineStr">
        <is>
          <t>See NVD references</t>
        </is>
      </c>
      <c r="O614" s="191" t="inlineStr">
        <is>
          <t>Apply vendor patches</t>
        </is>
      </c>
      <c r="P614" s="191" t="inlineStr">
        <is>
          <t>comodo dome_firewall 2.7.0</t>
        </is>
      </c>
      <c r="Q614" s="191" t="inlineStr">
        <is>
          <t>P4</t>
        </is>
      </c>
      <c r="R614" s="191" t="inlineStr">
        <is>
          <t>📅 Schedule patch deployment within 30 days | 🔍 Monitor for exploitation attempts</t>
        </is>
      </c>
      <c r="S614" s="191" t="inlineStr">
        <is>
          <t>CVE - IP enrichment n/a</t>
        </is>
      </c>
      <c r="T614" s="191" t="n">
        <v>0</v>
      </c>
      <c r="U614" s="191" t="n">
        <v>0</v>
      </c>
      <c r="V614" s="191" t="inlineStr">
        <is>
          <t>T1189:Drive-by Compromise | T1133:External Remote Services | T1562:Impair Defenses</t>
        </is>
      </c>
      <c r="W614" s="191" t="n">
        <v>1</v>
      </c>
      <c r="X614" s="191" t="inlineStr">
        <is>
          <t>LOW (40%)</t>
        </is>
      </c>
      <c r="Y614" s="191" t="inlineStr">
        <is>
          <t>UNLIKELY</t>
        </is>
      </c>
      <c r="Z614" s="191" t="inlineStr">
        <is>
          <t>CHECK_VENDOR</t>
        </is>
      </c>
      <c r="AA614" s="192" t="inlineStr">
        <is>
          <t>https://nvd.nist.gov/vuln/detail/CVE-2019-25430</t>
        </is>
      </c>
      <c r="AB614" s="191" t="inlineStr">
        <is>
          <t>NONE</t>
        </is>
      </c>
      <c r="AC614" s="191" t="n">
        <v>0</v>
      </c>
      <c r="AD614" s="191" t="n"/>
    </row>
    <row r="615">
      <c r="A615" s="191" t="inlineStr">
        <is>
          <t>CVE</t>
        </is>
      </c>
      <c r="B615" s="191" t="inlineStr">
        <is>
          <t>CVE-2026-2744</t>
        </is>
      </c>
      <c r="C615" s="191" t="inlineStr">
        <is>
          <t>Rejected reason: This CVE ID has been rejected or withdrawn by its CVE Numbering Authority.</t>
        </is>
      </c>
      <c r="D615" s="191" t="n">
        <v>5</v>
      </c>
      <c r="E615" s="191" t="inlineStr">
        <is>
          <t>MEDIUM</t>
        </is>
      </c>
      <c r="F615" s="191" t="n">
        <v>2</v>
      </c>
      <c r="G615" s="191" t="n">
        <v>2</v>
      </c>
      <c r="H615" s="191" t="inlineStr">
        <is>
          <t>MEDIUM</t>
        </is>
      </c>
      <c r="I615" s="191" t="n">
        <v>9</v>
      </c>
      <c r="J615" s="191" t="inlineStr">
        <is>
          <t>NO</t>
        </is>
      </c>
      <c r="K615" s="192" t="inlineStr">
        <is>
          <t>https://nvd.nist.gov/vuln/detail/CVE-2026-2744</t>
        </is>
      </c>
      <c r="L615" s="191" t="inlineStr">
        <is>
          <t>2026-02-23 23:48</t>
        </is>
      </c>
      <c r="M615" s="191" t="inlineStr">
        <is>
          <t>CHECK_VENDOR</t>
        </is>
      </c>
      <c r="N615" s="191" t="inlineStr">
        <is>
          <t>See NVD references</t>
        </is>
      </c>
      <c r="O615" s="191" t="inlineStr">
        <is>
          <t>Apply vendor patches</t>
        </is>
      </c>
      <c r="P615" s="191" t="inlineStr">
        <is>
          <t>See CVE details</t>
        </is>
      </c>
      <c r="Q615" s="191" t="inlineStr">
        <is>
          <t>P4</t>
        </is>
      </c>
      <c r="R615" s="191" t="inlineStr">
        <is>
          <t>📅 Schedule patch deployment within 30 days | 🔍 Monitor for exploitation attempts</t>
        </is>
      </c>
      <c r="S615" s="191" t="inlineStr">
        <is>
          <t>CVE - IP enrichment n/a</t>
        </is>
      </c>
      <c r="T615" s="191" t="n">
        <v>0</v>
      </c>
      <c r="U615" s="191" t="n">
        <v>0</v>
      </c>
      <c r="V615" s="191" t="inlineStr">
        <is>
          <t>T1190:Exploit Public-Facing Application</t>
        </is>
      </c>
      <c r="W615" s="191" t="n">
        <v>1</v>
      </c>
      <c r="X615" s="191" t="inlineStr">
        <is>
          <t>LOW (40%)</t>
        </is>
      </c>
      <c r="Y615" s="191" t="inlineStr">
        <is>
          <t>UNLIKELY</t>
        </is>
      </c>
      <c r="Z615" s="191" t="inlineStr">
        <is>
          <t>CHECK_VENDOR</t>
        </is>
      </c>
      <c r="AA615" s="192" t="inlineStr">
        <is>
          <t>https://nvd.nist.gov/vuln/detail/CVE-2026-2744</t>
        </is>
      </c>
      <c r="AB615" s="191" t="inlineStr">
        <is>
          <t>NONE</t>
        </is>
      </c>
      <c r="AC615" s="191" t="n">
        <v>0</v>
      </c>
      <c r="AD615" s="191" t="n"/>
    </row>
    <row r="616">
      <c r="A616" s="193" t="inlineStr">
        <is>
          <t>CVE</t>
        </is>
      </c>
      <c r="B616" s="193" t="inlineStr">
        <is>
          <t>CVE-2025-55853</t>
        </is>
      </c>
      <c r="C616" s="193" t="inlineStr">
        <is>
          <t>SoftVision webPDF before 10.0.2 is vulnerable to Server-Side Request Forgery (SSRF). The PDF converter function does not check if internal or external resources are requested in the uploaded files and allows for protocols such as http:// and file:///. This allows an attacker to upload an XML or HTML file in the application, which when rendered to a PDF allows for internal port scanning and Local File Inclusion (LFI).</t>
        </is>
      </c>
      <c r="D616" s="193" t="n">
        <v>9.1</v>
      </c>
      <c r="E616" s="193" t="inlineStr">
        <is>
          <t>CRITICAL</t>
        </is>
      </c>
      <c r="F616" s="193" t="n">
        <v>2</v>
      </c>
      <c r="G616" s="193" t="n">
        <v>3</v>
      </c>
      <c r="H616" s="193" t="inlineStr">
        <is>
          <t>HIGH</t>
        </is>
      </c>
      <c r="I616" s="193" t="n">
        <v>15.1</v>
      </c>
      <c r="J616" s="193" t="inlineStr">
        <is>
          <t>NO</t>
        </is>
      </c>
      <c r="K616" s="194" t="inlineStr">
        <is>
          <t>https://nvd.nist.gov/vuln/detail/CVE-2025-55853</t>
        </is>
      </c>
      <c r="L616" s="193" t="inlineStr">
        <is>
          <t>2026-02-23 23:48</t>
        </is>
      </c>
      <c r="M616" s="193" t="inlineStr">
        <is>
          <t>CHECK_VENDOR</t>
        </is>
      </c>
      <c r="N616" s="193" t="inlineStr">
        <is>
          <t>See NVD references</t>
        </is>
      </c>
      <c r="O616" s="193" t="inlineStr">
        <is>
          <t>Apply vendor patches</t>
        </is>
      </c>
      <c r="P616" s="193" t="inlineStr">
        <is>
          <t>See CVE details</t>
        </is>
      </c>
      <c r="Q616" s="193" t="inlineStr">
        <is>
          <t>P3</t>
        </is>
      </c>
      <c r="R616" s="193" t="inlineStr">
        <is>
          <t>🚨 URGENT: Apply vendor patches immediately | 🔒 Isolate affected systems if patch unavailable | 🛡️ Enable additional monitoring/IDS rules</t>
        </is>
      </c>
      <c r="S616" s="193" t="inlineStr">
        <is>
          <t>CVE - IP enrichment n/a</t>
        </is>
      </c>
      <c r="T616" s="193" t="n">
        <v>0.0001</v>
      </c>
      <c r="U616" s="193" t="n">
        <v>0.0031</v>
      </c>
      <c r="V616" s="193" t="inlineStr">
        <is>
          <t>T1090:Proxy | T1190:Exploit Public-Facing Application</t>
        </is>
      </c>
      <c r="W616" s="193" t="n">
        <v>1</v>
      </c>
      <c r="X616" s="193" t="inlineStr">
        <is>
          <t>LOW (40%)</t>
        </is>
      </c>
      <c r="Y616" s="193" t="inlineStr">
        <is>
          <t>UNLIKELY</t>
        </is>
      </c>
      <c r="Z616" s="193" t="inlineStr">
        <is>
          <t>CHECK_VENDOR</t>
        </is>
      </c>
      <c r="AA616" s="194" t="inlineStr">
        <is>
          <t>https://nvd.nist.gov/vuln/detail/CVE-2025-55853</t>
        </is>
      </c>
      <c r="AB616" s="193" t="inlineStr">
        <is>
          <t>NONE</t>
        </is>
      </c>
      <c r="AC616" s="193" t="n">
        <v>0</v>
      </c>
      <c r="AD616" s="193" t="n"/>
    </row>
    <row r="617">
      <c r="A617" s="191" t="inlineStr">
        <is>
          <t>CVE</t>
        </is>
      </c>
      <c r="B617" s="191" t="inlineStr">
        <is>
          <t>CVE-2026-25527</t>
        </is>
      </c>
      <c r="C617" s="191" t="inlineStr">
        <is>
          <t>changedetection.io is a free open source web page change detection tool. In versions prior to 0.53.2, the `/static/ / ` route accepts `group=".."`, which causes `send_from_directory("static/..", filename)` to execute. This moves the base directory up to `/app/changedetectionio`, enabling unauthenticated local file read of application source files (e.g., `flask_app.py`). Version 0.53.2 fixes the issue.</t>
        </is>
      </c>
      <c r="D617" s="191" t="n">
        <v>5.3</v>
      </c>
      <c r="E617" s="191" t="inlineStr">
        <is>
          <t>MEDIUM</t>
        </is>
      </c>
      <c r="F617" s="191" t="n">
        <v>2</v>
      </c>
      <c r="G617" s="191" t="n">
        <v>2</v>
      </c>
      <c r="H617" s="191" t="inlineStr">
        <is>
          <t>MEDIUM</t>
        </is>
      </c>
      <c r="I617" s="191" t="n">
        <v>9.300000000000001</v>
      </c>
      <c r="J617" s="191" t="inlineStr">
        <is>
          <t>NO</t>
        </is>
      </c>
      <c r="K617" s="192" t="inlineStr">
        <is>
          <t>https://nvd.nist.gov/vuln/detail/CVE-2026-25527</t>
        </is>
      </c>
      <c r="L617" s="191" t="inlineStr">
        <is>
          <t>2026-02-23 23:48</t>
        </is>
      </c>
      <c r="M617" s="191" t="inlineStr">
        <is>
          <t>YES</t>
        </is>
      </c>
      <c r="N617" s="192" t="inlineStr">
        <is>
          <t>https://github.com/dgtlmoon/changedetection.io/commit/9d38b4517364831889b5b0d7b3465fd060403fd4 | https://github.com/dgtlmoon/changedetection.io/security/advisories/GHSA-9jj8-v89v-xjvw</t>
        </is>
      </c>
      <c r="O617" s="191" t="inlineStr">
        <is>
          <t>Apply vendor patches</t>
        </is>
      </c>
      <c r="P617" s="191" t="inlineStr">
        <is>
          <t>webtechnologies changedetection *</t>
        </is>
      </c>
      <c r="Q617" s="191" t="inlineStr">
        <is>
          <t>P4</t>
        </is>
      </c>
      <c r="R617" s="191" t="inlineStr">
        <is>
          <t>📅 Schedule patch deployment within 30 days | 🔍 Monitor for exploitation attempts</t>
        </is>
      </c>
      <c r="S617" s="191" t="inlineStr">
        <is>
          <t>CVE - IP enrichment n/a</t>
        </is>
      </c>
      <c r="T617" s="191" t="n">
        <v>0.0005</v>
      </c>
      <c r="U617" s="191" t="n">
        <v>0.1521</v>
      </c>
      <c r="V617" s="191" t="inlineStr">
        <is>
          <t>T1083:File and Directory Discovery | T1190:Exploit Public-Facing Application</t>
        </is>
      </c>
      <c r="W617" s="191" t="n">
        <v>1</v>
      </c>
      <c r="X617" s="191" t="inlineStr">
        <is>
          <t>LOW (40%)</t>
        </is>
      </c>
      <c r="Y617" s="191" t="inlineStr">
        <is>
          <t>UNLIKELY</t>
        </is>
      </c>
      <c r="Z617" s="191" t="inlineStr">
        <is>
          <t>PATCH_AVAILABLE</t>
        </is>
      </c>
      <c r="AA617" s="192" t="inlineStr">
        <is>
          <t>https://nvd.nist.gov/vuln/detail/CVE-2026-25527</t>
        </is>
      </c>
      <c r="AB617" s="191" t="inlineStr">
        <is>
          <t>NONE</t>
        </is>
      </c>
      <c r="AC617" s="191" t="n">
        <v>0</v>
      </c>
      <c r="AD617" s="191" t="n"/>
    </row>
    <row r="618">
      <c r="A618" s="189" t="inlineStr">
        <is>
          <t>CVE</t>
        </is>
      </c>
      <c r="B618" s="189" t="inlineStr">
        <is>
          <t>CVE-2026-25535</t>
        </is>
      </c>
      <c r="C618" s="189" t="inlineStr">
        <is>
          <t>jsPDF is a library to generate PDFs in JavaScript. Prior to 4.2.0, user control of the first argument of the `addImage` method results in denial of service. If given the possibility to pass unsanitized image data or URLs to the `addImage` method, a user can provide a harmful GIF file that results in out of memory errors and denial of service. Harmful GIF files have large width and/or height entries in their headers, which lead to excessive memory allocation. Other affected methods are: `html`. T</t>
        </is>
      </c>
      <c r="D618" s="189" t="n">
        <v>7.5</v>
      </c>
      <c r="E618" s="189" t="inlineStr">
        <is>
          <t>HIGH</t>
        </is>
      </c>
      <c r="F618" s="189" t="n">
        <v>2</v>
      </c>
      <c r="G618" s="189" t="n">
        <v>3</v>
      </c>
      <c r="H618" s="189" t="inlineStr">
        <is>
          <t>HIGH</t>
        </is>
      </c>
      <c r="I618" s="189" t="n">
        <v>13.5</v>
      </c>
      <c r="J618" s="189" t="inlineStr">
        <is>
          <t>NO</t>
        </is>
      </c>
      <c r="K618" s="190" t="inlineStr">
        <is>
          <t>https://nvd.nist.gov/vuln/detail/CVE-2026-25535</t>
        </is>
      </c>
      <c r="L618" s="189" t="inlineStr">
        <is>
          <t>2026-02-23 23:48</t>
        </is>
      </c>
      <c r="M618" s="189" t="inlineStr">
        <is>
          <t>YES</t>
        </is>
      </c>
      <c r="N618" s="190" t="inlineStr">
        <is>
          <t>https://github.com/parallax/jsPDF/commit/2e5e156e284d92c7d134bce97e6418756941d5e6 | https://github.com/parallax/jsPDF/security/advisories/GHSA-67pg-wm7f-q7fj</t>
        </is>
      </c>
      <c r="O618" s="189" t="inlineStr">
        <is>
          <t>Apply vendor patches</t>
        </is>
      </c>
      <c r="P618" s="189" t="inlineStr">
        <is>
          <t>parall jspdf *</t>
        </is>
      </c>
      <c r="Q618" s="189" t="inlineStr">
        <is>
          <t>P3</t>
        </is>
      </c>
      <c r="R618" s="189" t="inlineStr">
        <is>
          <t>🚨 URGENT: Apply vendor patches immediately | 🔒 Isolate affected systems if patch unavailable | 🛡️ Enable additional monitoring/IDS rules</t>
        </is>
      </c>
      <c r="S618" s="189" t="inlineStr">
        <is>
          <t>CVE - IP enrichment n/a</t>
        </is>
      </c>
      <c r="T618" s="189" t="n">
        <v>0</v>
      </c>
      <c r="U618" s="189" t="n">
        <v>0</v>
      </c>
      <c r="V618" s="189" t="inlineStr">
        <is>
          <t>T1499:Endpoint Denial of Service</t>
        </is>
      </c>
      <c r="W618" s="189" t="n">
        <v>1</v>
      </c>
      <c r="X618" s="189" t="inlineStr">
        <is>
          <t>LOW (40%)</t>
        </is>
      </c>
      <c r="Y618" s="189" t="inlineStr">
        <is>
          <t>UNLIKELY</t>
        </is>
      </c>
      <c r="Z618" s="189" t="inlineStr">
        <is>
          <t>PATCH_AVAILABLE</t>
        </is>
      </c>
      <c r="AA618" s="190" t="inlineStr">
        <is>
          <t>https://nvd.nist.gov/vuln/detail/CVE-2026-25535</t>
        </is>
      </c>
      <c r="AB618" s="189" t="inlineStr">
        <is>
          <t>NONE</t>
        </is>
      </c>
      <c r="AC618" s="189" t="n">
        <v>0</v>
      </c>
      <c r="AD618" s="189" t="n"/>
    </row>
    <row r="619">
      <c r="A619" s="189" t="inlineStr">
        <is>
          <t>CVE</t>
        </is>
      </c>
      <c r="B619" s="189" t="inlineStr">
        <is>
          <t>CVE-2026-25755</t>
        </is>
      </c>
      <c r="C619" s="189" t="inlineStr">
        <is>
          <t>jsPDF is a library to generate PDFs in JavaScript. Prior to 4.2.0, user control of the argument of the `addJS` method allows an attacker to inject arbitrary PDF objects into the generated document. By crafting a payload that escapes the JavaScript string delimiter, an attacker can execute malicious actions or alter the document structure, impacting any user who opens the generated PDF. The vulnerability has been fixed in jspdf@4.2.0. As a workaround, escape parentheses in user-provided JavaScrip</t>
        </is>
      </c>
      <c r="D619" s="189" t="n">
        <v>8.1</v>
      </c>
      <c r="E619" s="189" t="inlineStr">
        <is>
          <t>HIGH</t>
        </is>
      </c>
      <c r="F619" s="189" t="n">
        <v>2</v>
      </c>
      <c r="G619" s="189" t="n">
        <v>3</v>
      </c>
      <c r="H619" s="189" t="inlineStr">
        <is>
          <t>HIGH</t>
        </is>
      </c>
      <c r="I619" s="189" t="n">
        <v>14.1</v>
      </c>
      <c r="J619" s="189" t="inlineStr">
        <is>
          <t>NO</t>
        </is>
      </c>
      <c r="K619" s="190" t="inlineStr">
        <is>
          <t>https://nvd.nist.gov/vuln/detail/CVE-2026-25755</t>
        </is>
      </c>
      <c r="L619" s="189" t="inlineStr">
        <is>
          <t>2026-02-23 23:48</t>
        </is>
      </c>
      <c r="M619" s="189" t="inlineStr">
        <is>
          <t>YES</t>
        </is>
      </c>
      <c r="N619" s="190" t="inlineStr">
        <is>
          <t>https://github.com/ZeroXJacks/CVEs/blob/main/2026/CVE-2026-25755.md | https://github.com/parallax/jsPDF/commit/56b46d45b052346f5995b005a34af5dcdddd5437 | https://github.com/parallax/jsPDF/security/advisories/GHSA-9vjf-qc39-jprp</t>
        </is>
      </c>
      <c r="O619" s="190" t="inlineStr">
        <is>
          <t>https://github.com/ZeroXJacks/CVEs/blob/main/2026/CVE-2026-25755.md</t>
        </is>
      </c>
      <c r="P619" s="189" t="inlineStr">
        <is>
          <t>parall jspdf *</t>
        </is>
      </c>
      <c r="Q619" s="189" t="inlineStr">
        <is>
          <t>P3</t>
        </is>
      </c>
      <c r="R619" s="189" t="inlineStr">
        <is>
          <t>🚨 URGENT: Apply vendor patches immediately | 🔒 Isolate affected systems if patch unavailable | 🛡️ Enable additional monitoring/IDS rules</t>
        </is>
      </c>
      <c r="S619" s="189" t="inlineStr">
        <is>
          <t>CVE - IP enrichment n/a</t>
        </is>
      </c>
      <c r="T619" s="189" t="n">
        <v>0.0003</v>
      </c>
      <c r="U619" s="189" t="n">
        <v>0.093</v>
      </c>
      <c r="V619" s="189" t="inlineStr">
        <is>
          <t>T1059:Command and Scripting Interpreter</t>
        </is>
      </c>
      <c r="W619" s="189" t="n">
        <v>1</v>
      </c>
      <c r="X619" s="189" t="inlineStr">
        <is>
          <t>LOW (40%)</t>
        </is>
      </c>
      <c r="Y619" s="189" t="inlineStr">
        <is>
          <t>UNLIKELY</t>
        </is>
      </c>
      <c r="Z619" s="189" t="inlineStr">
        <is>
          <t>PATCH_AVAILABLE</t>
        </is>
      </c>
      <c r="AA619" s="190" t="inlineStr">
        <is>
          <t>https://nvd.nist.gov/vuln/detail/CVE-2026-25755</t>
        </is>
      </c>
      <c r="AB619" s="189" t="inlineStr">
        <is>
          <t>NONE</t>
        </is>
      </c>
      <c r="AC619" s="189" t="n">
        <v>0</v>
      </c>
      <c r="AD619" s="189" t="n"/>
    </row>
    <row r="620">
      <c r="A620" s="191" t="inlineStr">
        <is>
          <t>CVE</t>
        </is>
      </c>
      <c r="B620" s="191" t="inlineStr">
        <is>
          <t>CVE-2025-71240</t>
        </is>
      </c>
      <c r="C620" s="191" t="inlineStr">
        <is>
          <t>SPIP before 4.2.15 allows Cross-Site Scripting (XSS) via crafted content in HTML code tags. The application does not properly verify JavaScript within code tags, allowing an attacker to inject malicious scripts that execute in a victim's browser.</t>
        </is>
      </c>
      <c r="D620" s="191" t="n">
        <v>5.4</v>
      </c>
      <c r="E620" s="191" t="inlineStr">
        <is>
          <t>MEDIUM</t>
        </is>
      </c>
      <c r="F620" s="191" t="n">
        <v>2</v>
      </c>
      <c r="G620" s="191" t="n">
        <v>2</v>
      </c>
      <c r="H620" s="191" t="inlineStr">
        <is>
          <t>MEDIUM</t>
        </is>
      </c>
      <c r="I620" s="191" t="n">
        <v>9.4</v>
      </c>
      <c r="J620" s="191" t="inlineStr">
        <is>
          <t>NO</t>
        </is>
      </c>
      <c r="K620" s="192" t="inlineStr">
        <is>
          <t>https://nvd.nist.gov/vuln/detail/CVE-2025-71240</t>
        </is>
      </c>
      <c r="L620" s="191" t="inlineStr">
        <is>
          <t>2026-02-23 23:48</t>
        </is>
      </c>
      <c r="M620" s="191" t="inlineStr">
        <is>
          <t>CHECK_VENDOR</t>
        </is>
      </c>
      <c r="N620" s="191" t="inlineStr">
        <is>
          <t>See NVD references</t>
        </is>
      </c>
      <c r="O620" s="191" t="inlineStr">
        <is>
          <t>Apply vendor patches</t>
        </is>
      </c>
      <c r="P620" s="191" t="inlineStr">
        <is>
          <t>See CVE details</t>
        </is>
      </c>
      <c r="Q620" s="191" t="inlineStr">
        <is>
          <t>P4</t>
        </is>
      </c>
      <c r="R620" s="191" t="inlineStr">
        <is>
          <t>📅 Schedule patch deployment within 30 days | 🔍 Monitor for exploitation attempts</t>
        </is>
      </c>
      <c r="S620" s="191" t="inlineStr">
        <is>
          <t>CVE - IP enrichment n/a</t>
        </is>
      </c>
      <c r="T620" s="191" t="n">
        <v>0.0003</v>
      </c>
      <c r="U620" s="191" t="n">
        <v>0.0803</v>
      </c>
      <c r="V620" s="191" t="inlineStr">
        <is>
          <t>T1189:Drive-by Compromise</t>
        </is>
      </c>
      <c r="W620" s="191" t="n">
        <v>1</v>
      </c>
      <c r="X620" s="191" t="inlineStr">
        <is>
          <t>LOW (40%)</t>
        </is>
      </c>
      <c r="Y620" s="191" t="inlineStr">
        <is>
          <t>UNLIKELY</t>
        </is>
      </c>
      <c r="Z620" s="191" t="inlineStr">
        <is>
          <t>CHECK_VENDOR</t>
        </is>
      </c>
      <c r="AA620" s="192" t="inlineStr">
        <is>
          <t>https://nvd.nist.gov/vuln/detail/CVE-2025-71240</t>
        </is>
      </c>
      <c r="AB620" s="191" t="inlineStr">
        <is>
          <t>NONE</t>
        </is>
      </c>
      <c r="AC620" s="191" t="n">
        <v>0</v>
      </c>
      <c r="AD620" s="191" t="n"/>
    </row>
    <row r="621">
      <c r="A621" s="191" t="inlineStr">
        <is>
          <t>CVE</t>
        </is>
      </c>
      <c r="B621" s="191" t="inlineStr">
        <is>
          <t>CVE-2025-71241</t>
        </is>
      </c>
      <c r="C621" s="191" t="inlineStr">
        <is>
          <t>SPIP before 4.3.6, 4.2.17, and 4.1.20 allows Cross-Site Scripting (XSS) in the private area. The content of the error message displayed by the 'transmettre' API is not properly sanitized, allowing an attacker to inject malicious scripts. This vulnerability is mitigated by the SPIP security screen.</t>
        </is>
      </c>
      <c r="D621" s="191" t="n">
        <v>5.4</v>
      </c>
      <c r="E621" s="191" t="inlineStr">
        <is>
          <t>MEDIUM</t>
        </is>
      </c>
      <c r="F621" s="191" t="n">
        <v>2</v>
      </c>
      <c r="G621" s="191" t="n">
        <v>2</v>
      </c>
      <c r="H621" s="191" t="inlineStr">
        <is>
          <t>MEDIUM</t>
        </is>
      </c>
      <c r="I621" s="191" t="n">
        <v>9.4</v>
      </c>
      <c r="J621" s="191" t="inlineStr">
        <is>
          <t>NO</t>
        </is>
      </c>
      <c r="K621" s="192" t="inlineStr">
        <is>
          <t>https://nvd.nist.gov/vuln/detail/CVE-2025-71241</t>
        </is>
      </c>
      <c r="L621" s="191" t="inlineStr">
        <is>
          <t>2026-02-23 23:48</t>
        </is>
      </c>
      <c r="M621" s="191" t="inlineStr">
        <is>
          <t>CHECK_VENDOR</t>
        </is>
      </c>
      <c r="N621" s="191" t="inlineStr">
        <is>
          <t>See NVD references</t>
        </is>
      </c>
      <c r="O621" s="191" t="inlineStr">
        <is>
          <t>Apply vendor patches</t>
        </is>
      </c>
      <c r="P621" s="191" t="inlineStr">
        <is>
          <t>See CVE details</t>
        </is>
      </c>
      <c r="Q621" s="191" t="inlineStr">
        <is>
          <t>P4</t>
        </is>
      </c>
      <c r="R621" s="191" t="inlineStr">
        <is>
          <t>📅 Schedule patch deployment within 30 days | 🔍 Monitor for exploitation attempts</t>
        </is>
      </c>
      <c r="S621" s="191" t="inlineStr">
        <is>
          <t>CVE - IP enrichment n/a</t>
        </is>
      </c>
      <c r="T621" s="191" t="n">
        <v>0</v>
      </c>
      <c r="U621" s="191" t="n">
        <v>0</v>
      </c>
      <c r="V621" s="191" t="inlineStr">
        <is>
          <t>T1189:Drive-by Compromise</t>
        </is>
      </c>
      <c r="W621" s="191" t="n">
        <v>1</v>
      </c>
      <c r="X621" s="191" t="inlineStr">
        <is>
          <t>LOW (40%)</t>
        </is>
      </c>
      <c r="Y621" s="191" t="inlineStr">
        <is>
          <t>UNLIKELY</t>
        </is>
      </c>
      <c r="Z621" s="191" t="inlineStr">
        <is>
          <t>CHECK_VENDOR</t>
        </is>
      </c>
      <c r="AA621" s="192" t="inlineStr">
        <is>
          <t>https://nvd.nist.gov/vuln/detail/CVE-2025-71241</t>
        </is>
      </c>
      <c r="AB621" s="191" t="inlineStr">
        <is>
          <t>NONE</t>
        </is>
      </c>
      <c r="AC621" s="191" t="n">
        <v>0</v>
      </c>
      <c r="AD621" s="191" t="n"/>
    </row>
    <row r="622">
      <c r="A622" s="191" t="inlineStr">
        <is>
          <t>CVE</t>
        </is>
      </c>
      <c r="B622" s="191" t="inlineStr">
        <is>
          <t>CVE-2025-71242</t>
        </is>
      </c>
      <c r="C622" s="191" t="inlineStr">
        <is>
          <t>SPIP before 4.3.6, 4.2.17, and 4.1.20 allows unauthorized content disclosure in the private area. The application does not properly check authorization when displaying content of articles and sections (rubriques) in AJAX-loaded fragments, allowing an authenticated attacker to access restricted content. This vulnerability is not mitigated by the SPIP security screen.</t>
        </is>
      </c>
      <c r="D622" s="191" t="n">
        <v>4.3</v>
      </c>
      <c r="E622" s="191" t="inlineStr">
        <is>
          <t>MEDIUM</t>
        </is>
      </c>
      <c r="F622" s="191" t="n">
        <v>2</v>
      </c>
      <c r="G622" s="191" t="n">
        <v>2</v>
      </c>
      <c r="H622" s="191" t="inlineStr">
        <is>
          <t>MEDIUM</t>
        </is>
      </c>
      <c r="I622" s="191" t="n">
        <v>8.300000000000001</v>
      </c>
      <c r="J622" s="191" t="inlineStr">
        <is>
          <t>NO</t>
        </is>
      </c>
      <c r="K622" s="192" t="inlineStr">
        <is>
          <t>https://nvd.nist.gov/vuln/detail/CVE-2025-71242</t>
        </is>
      </c>
      <c r="L622" s="191" t="inlineStr">
        <is>
          <t>2026-02-23 23:48</t>
        </is>
      </c>
      <c r="M622" s="191" t="inlineStr">
        <is>
          <t>CHECK_VENDOR</t>
        </is>
      </c>
      <c r="N622" s="191" t="inlineStr">
        <is>
          <t>See NVD references</t>
        </is>
      </c>
      <c r="O622" s="191" t="inlineStr">
        <is>
          <t>Apply vendor patches</t>
        </is>
      </c>
      <c r="P622" s="191" t="inlineStr">
        <is>
          <t>See CVE details</t>
        </is>
      </c>
      <c r="Q622" s="191" t="inlineStr">
        <is>
          <t>P4</t>
        </is>
      </c>
      <c r="R622" s="191" t="inlineStr">
        <is>
          <t>📅 Schedule patch deployment within 30 days | 🔍 Monitor for exploitation attempts</t>
        </is>
      </c>
      <c r="S622" s="191" t="inlineStr">
        <is>
          <t>CVE - IP enrichment n/a</t>
        </is>
      </c>
      <c r="T622" s="191" t="n">
        <v>0</v>
      </c>
      <c r="U622" s="191" t="n">
        <v>0</v>
      </c>
      <c r="V622" s="191" t="inlineStr">
        <is>
          <t>T1190:Exploit Public-Facing Application</t>
        </is>
      </c>
      <c r="W622" s="191" t="n">
        <v>1</v>
      </c>
      <c r="X622" s="191" t="inlineStr">
        <is>
          <t>LOW (40%)</t>
        </is>
      </c>
      <c r="Y622" s="191" t="inlineStr">
        <is>
          <t>UNLIKELY</t>
        </is>
      </c>
      <c r="Z622" s="191" t="inlineStr">
        <is>
          <t>CHECK_VENDOR</t>
        </is>
      </c>
      <c r="AA622" s="192" t="inlineStr">
        <is>
          <t>https://nvd.nist.gov/vuln/detail/CVE-2025-71242</t>
        </is>
      </c>
      <c r="AB622" s="191" t="inlineStr">
        <is>
          <t>NONE</t>
        </is>
      </c>
      <c r="AC622" s="191" t="n">
        <v>0</v>
      </c>
      <c r="AD622" s="191" t="n"/>
    </row>
    <row r="623">
      <c r="A623" s="193" t="inlineStr">
        <is>
          <t>CVE</t>
        </is>
      </c>
      <c r="B623" s="193" t="inlineStr">
        <is>
          <t>CVE-2025-71243</t>
        </is>
      </c>
      <c r="C623" s="193" t="inlineStr">
        <is>
          <t>The 'Saisies pour formulaire' (Saisies) plugin for SPIP versions 5.4.0 through 5.11.0 contains a critical Remote Code Execution (RCE) vulnerability. An attacker can exploit this vulnerability to execute arbitrary code on the server. Users should immediately update to version 5.11.1 or later.</t>
        </is>
      </c>
      <c r="D623" s="193" t="n">
        <v>9.800000000000001</v>
      </c>
      <c r="E623" s="193" t="inlineStr">
        <is>
          <t>CRITICAL</t>
        </is>
      </c>
      <c r="F623" s="193" t="n">
        <v>2</v>
      </c>
      <c r="G623" s="193" t="n">
        <v>3</v>
      </c>
      <c r="H623" s="193" t="inlineStr">
        <is>
          <t>HIGH</t>
        </is>
      </c>
      <c r="I623" s="193" t="n">
        <v>15.8</v>
      </c>
      <c r="J623" s="193" t="inlineStr">
        <is>
          <t>NO</t>
        </is>
      </c>
      <c r="K623" s="194" t="inlineStr">
        <is>
          <t>https://nvd.nist.gov/vuln/detail/CVE-2025-71243</t>
        </is>
      </c>
      <c r="L623" s="193" t="inlineStr">
        <is>
          <t>2026-02-23 23:48</t>
        </is>
      </c>
      <c r="M623" s="193" t="inlineStr">
        <is>
          <t>CHECK_VENDOR</t>
        </is>
      </c>
      <c r="N623" s="193" t="inlineStr">
        <is>
          <t>See NVD references</t>
        </is>
      </c>
      <c r="O623" s="193" t="inlineStr">
        <is>
          <t>Apply vendor patches</t>
        </is>
      </c>
      <c r="P623" s="193" t="inlineStr">
        <is>
          <t>See CVE details</t>
        </is>
      </c>
      <c r="Q623" s="193" t="inlineStr">
        <is>
          <t>P3</t>
        </is>
      </c>
      <c r="R623" s="193" t="inlineStr">
        <is>
          <t>🚨 URGENT: Apply vendor patches immediately | 🔒 Isolate affected systems if patch unavailable | 🛡️ Enable additional monitoring/IDS rules</t>
        </is>
      </c>
      <c r="S623" s="193" t="inlineStr">
        <is>
          <t>CVE - IP enrichment n/a</t>
        </is>
      </c>
      <c r="T623" s="193" t="n">
        <v>0</v>
      </c>
      <c r="U623" s="193" t="n">
        <v>0</v>
      </c>
      <c r="V623" s="193" t="inlineStr">
        <is>
          <t>T1059:Command and Scripting Interpreter | T1190:Exploit Public-Facing Application | T1210:Exploitation of Remote Services</t>
        </is>
      </c>
      <c r="W623" s="193" t="n">
        <v>1</v>
      </c>
      <c r="X623" s="193" t="inlineStr">
        <is>
          <t>LOW (40%)</t>
        </is>
      </c>
      <c r="Y623" s="193" t="inlineStr">
        <is>
          <t>UNLIKELY</t>
        </is>
      </c>
      <c r="Z623" s="193" t="inlineStr">
        <is>
          <t>CHECK_VENDOR</t>
        </is>
      </c>
      <c r="AA623" s="194" t="inlineStr">
        <is>
          <t>https://nvd.nist.gov/vuln/detail/CVE-2025-71243</t>
        </is>
      </c>
      <c r="AB623" s="193" t="inlineStr">
        <is>
          <t>NONE</t>
        </is>
      </c>
      <c r="AC623" s="193" t="n">
        <v>0</v>
      </c>
      <c r="AD623" s="193" t="n"/>
    </row>
    <row r="624">
      <c r="A624" s="191" t="inlineStr">
        <is>
          <t>CVE</t>
        </is>
      </c>
      <c r="B624" s="191" t="inlineStr">
        <is>
          <t>CVE-2025-71244</t>
        </is>
      </c>
      <c r="C624" s="191" t="inlineStr">
        <is>
          <t>SPIP before 4.4.5 and 4.3.9 allows an Open Redirect via the login form when used in AJAX mode. An attacker can craft a malicious URL that, when visited by a victim, redirects them to an arbitrary external site after login. This vulnerability only affects sites where the login page has been overridden to function in AJAX mode. It is not mitigated by the SPIP security screen.</t>
        </is>
      </c>
      <c r="D624" s="191" t="n">
        <v>6.1</v>
      </c>
      <c r="E624" s="191" t="inlineStr">
        <is>
          <t>MEDIUM</t>
        </is>
      </c>
      <c r="F624" s="191" t="n">
        <v>2</v>
      </c>
      <c r="G624" s="191" t="n">
        <v>2</v>
      </c>
      <c r="H624" s="191" t="inlineStr">
        <is>
          <t>MEDIUM</t>
        </is>
      </c>
      <c r="I624" s="191" t="n">
        <v>10.1</v>
      </c>
      <c r="J624" s="191" t="inlineStr">
        <is>
          <t>NO</t>
        </is>
      </c>
      <c r="K624" s="192" t="inlineStr">
        <is>
          <t>https://nvd.nist.gov/vuln/detail/CVE-2025-71244</t>
        </is>
      </c>
      <c r="L624" s="191" t="inlineStr">
        <is>
          <t>2026-02-23 23:48</t>
        </is>
      </c>
      <c r="M624" s="191" t="inlineStr">
        <is>
          <t>CHECK_VENDOR</t>
        </is>
      </c>
      <c r="N624" s="191" t="inlineStr">
        <is>
          <t>See NVD references</t>
        </is>
      </c>
      <c r="O624" s="191" t="inlineStr">
        <is>
          <t>Apply vendor patches</t>
        </is>
      </c>
      <c r="P624" s="191" t="inlineStr">
        <is>
          <t>See CVE details</t>
        </is>
      </c>
      <c r="Q624" s="191" t="inlineStr">
        <is>
          <t>P4</t>
        </is>
      </c>
      <c r="R624" s="191" t="inlineStr">
        <is>
          <t>📅 Schedule patch deployment within 30 days | 🔍 Monitor for exploitation attempts</t>
        </is>
      </c>
      <c r="S624" s="191" t="inlineStr">
        <is>
          <t>CVE - IP enrichment n/a</t>
        </is>
      </c>
      <c r="T624" s="191" t="n">
        <v>0</v>
      </c>
      <c r="U624" s="191" t="n">
        <v>0</v>
      </c>
      <c r="V624" s="191" t="inlineStr">
        <is>
          <t>T1189:Drive-by Compromise</t>
        </is>
      </c>
      <c r="W624" s="191" t="n">
        <v>1</v>
      </c>
      <c r="X624" s="191" t="inlineStr">
        <is>
          <t>LOW (40%)</t>
        </is>
      </c>
      <c r="Y624" s="191" t="inlineStr">
        <is>
          <t>UNLIKELY</t>
        </is>
      </c>
      <c r="Z624" s="191" t="inlineStr">
        <is>
          <t>CHECK_VENDOR</t>
        </is>
      </c>
      <c r="AA624" s="192" t="inlineStr">
        <is>
          <t>https://nvd.nist.gov/vuln/detail/CVE-2025-71244</t>
        </is>
      </c>
      <c r="AB624" s="191" t="inlineStr">
        <is>
          <t>NONE</t>
        </is>
      </c>
      <c r="AC624" s="191" t="n">
        <v>0</v>
      </c>
      <c r="AD624" s="191" t="n"/>
    </row>
    <row r="625">
      <c r="A625" s="191" t="inlineStr">
        <is>
          <t>CVE</t>
        </is>
      </c>
      <c r="B625" s="191" t="inlineStr">
        <is>
          <t>CVE-2025-71245</t>
        </is>
      </c>
      <c r="C625" s="191" t="inlineStr">
        <is>
          <t>Rejected reason: This CVE ID has been rejected or withdrawn by its CVE Numbering Authority.</t>
        </is>
      </c>
      <c r="D625" s="191" t="n">
        <v>5</v>
      </c>
      <c r="E625" s="191" t="inlineStr">
        <is>
          <t>MEDIUM</t>
        </is>
      </c>
      <c r="F625" s="191" t="n">
        <v>2</v>
      </c>
      <c r="G625" s="191" t="n">
        <v>2</v>
      </c>
      <c r="H625" s="191" t="inlineStr">
        <is>
          <t>MEDIUM</t>
        </is>
      </c>
      <c r="I625" s="191" t="n">
        <v>9</v>
      </c>
      <c r="J625" s="191" t="inlineStr">
        <is>
          <t>NO</t>
        </is>
      </c>
      <c r="K625" s="192" t="inlineStr">
        <is>
          <t>https://nvd.nist.gov/vuln/detail/CVE-2025-71245</t>
        </is>
      </c>
      <c r="L625" s="191" t="inlineStr">
        <is>
          <t>2026-02-23 23:48</t>
        </is>
      </c>
      <c r="M625" s="191" t="inlineStr">
        <is>
          <t>CHECK_VENDOR</t>
        </is>
      </c>
      <c r="N625" s="191" t="inlineStr">
        <is>
          <t>See NVD references</t>
        </is>
      </c>
      <c r="O625" s="191" t="inlineStr">
        <is>
          <t>Apply vendor patches</t>
        </is>
      </c>
      <c r="P625" s="191" t="inlineStr">
        <is>
          <t>See CVE details</t>
        </is>
      </c>
      <c r="Q625" s="191" t="inlineStr">
        <is>
          <t>P4</t>
        </is>
      </c>
      <c r="R625" s="191" t="inlineStr">
        <is>
          <t>📅 Schedule patch deployment within 30 days | 🔍 Monitor for exploitation attempts</t>
        </is>
      </c>
      <c r="S625" s="191" t="inlineStr">
        <is>
          <t>CVE - IP enrichment n/a</t>
        </is>
      </c>
      <c r="T625" s="191" t="n">
        <v>0</v>
      </c>
      <c r="U625" s="191" t="n">
        <v>0</v>
      </c>
      <c r="V625" s="191" t="inlineStr">
        <is>
          <t>T1190:Exploit Public-Facing Application</t>
        </is>
      </c>
      <c r="W625" s="191" t="n">
        <v>1</v>
      </c>
      <c r="X625" s="191" t="inlineStr">
        <is>
          <t>LOW (40%)</t>
        </is>
      </c>
      <c r="Y625" s="191" t="inlineStr">
        <is>
          <t>UNLIKELY</t>
        </is>
      </c>
      <c r="Z625" s="191" t="inlineStr">
        <is>
          <t>CHECK_VENDOR</t>
        </is>
      </c>
      <c r="AA625" s="192" t="inlineStr">
        <is>
          <t>https://nvd.nist.gov/vuln/detail/CVE-2025-71245</t>
        </is>
      </c>
      <c r="AB625" s="191" t="inlineStr">
        <is>
          <t>NONE</t>
        </is>
      </c>
      <c r="AC625" s="191" t="n">
        <v>0</v>
      </c>
      <c r="AD625" s="191" t="n"/>
    </row>
    <row r="626">
      <c r="A626" s="191" t="inlineStr">
        <is>
          <t>CVE</t>
        </is>
      </c>
      <c r="B626" s="191" t="inlineStr">
        <is>
          <t>CVE-2025-71246</t>
        </is>
      </c>
      <c r="C626" s="191" t="inlineStr">
        <is>
          <t>Rejected reason: This CVE ID has been rejected or withdrawn by its CVE Numbering Authority.</t>
        </is>
      </c>
      <c r="D626" s="191" t="n">
        <v>5</v>
      </c>
      <c r="E626" s="191" t="inlineStr">
        <is>
          <t>MEDIUM</t>
        </is>
      </c>
      <c r="F626" s="191" t="n">
        <v>2</v>
      </c>
      <c r="G626" s="191" t="n">
        <v>2</v>
      </c>
      <c r="H626" s="191" t="inlineStr">
        <is>
          <t>MEDIUM</t>
        </is>
      </c>
      <c r="I626" s="191" t="n">
        <v>9</v>
      </c>
      <c r="J626" s="191" t="inlineStr">
        <is>
          <t>NO</t>
        </is>
      </c>
      <c r="K626" s="192" t="inlineStr">
        <is>
          <t>https://nvd.nist.gov/vuln/detail/CVE-2025-71246</t>
        </is>
      </c>
      <c r="L626" s="191" t="inlineStr">
        <is>
          <t>2026-02-23 23:48</t>
        </is>
      </c>
      <c r="M626" s="191" t="inlineStr">
        <is>
          <t>CHECK_VENDOR</t>
        </is>
      </c>
      <c r="N626" s="191" t="inlineStr">
        <is>
          <t>See NVD references</t>
        </is>
      </c>
      <c r="O626" s="191" t="inlineStr">
        <is>
          <t>Apply vendor patches</t>
        </is>
      </c>
      <c r="P626" s="191" t="inlineStr">
        <is>
          <t>See CVE details</t>
        </is>
      </c>
      <c r="Q626" s="191" t="inlineStr">
        <is>
          <t>P4</t>
        </is>
      </c>
      <c r="R626" s="191" t="inlineStr">
        <is>
          <t>📅 Schedule patch deployment within 30 days | 🔍 Monitor for exploitation attempts</t>
        </is>
      </c>
      <c r="S626" s="191" t="inlineStr">
        <is>
          <t>CVE - IP enrichment n/a</t>
        </is>
      </c>
      <c r="T626" s="191" t="n">
        <v>0</v>
      </c>
      <c r="U626" s="191" t="n">
        <v>0</v>
      </c>
      <c r="V626" s="191" t="inlineStr">
        <is>
          <t>T1190:Exploit Public-Facing Application</t>
        </is>
      </c>
      <c r="W626" s="191" t="n">
        <v>1</v>
      </c>
      <c r="X626" s="191" t="inlineStr">
        <is>
          <t>LOW (40%)</t>
        </is>
      </c>
      <c r="Y626" s="191" t="inlineStr">
        <is>
          <t>UNLIKELY</t>
        </is>
      </c>
      <c r="Z626" s="191" t="inlineStr">
        <is>
          <t>CHECK_VENDOR</t>
        </is>
      </c>
      <c r="AA626" s="192" t="inlineStr">
        <is>
          <t>https://nvd.nist.gov/vuln/detail/CVE-2025-71246</t>
        </is>
      </c>
      <c r="AB626" s="191" t="inlineStr">
        <is>
          <t>NONE</t>
        </is>
      </c>
      <c r="AC626" s="191" t="n">
        <v>0</v>
      </c>
      <c r="AD626" s="191" t="n"/>
    </row>
    <row r="627">
      <c r="A627" s="191" t="inlineStr">
        <is>
          <t>CVE</t>
        </is>
      </c>
      <c r="B627" s="191" t="inlineStr">
        <is>
          <t>CVE-2025-71247</t>
        </is>
      </c>
      <c r="C627" s="191" t="inlineStr">
        <is>
          <t>Rejected reason: This CVE ID has been rejected or withdrawn by its CVE Numbering Authority.</t>
        </is>
      </c>
      <c r="D627" s="191" t="n">
        <v>5</v>
      </c>
      <c r="E627" s="191" t="inlineStr">
        <is>
          <t>MEDIUM</t>
        </is>
      </c>
      <c r="F627" s="191" t="n">
        <v>2</v>
      </c>
      <c r="G627" s="191" t="n">
        <v>2</v>
      </c>
      <c r="H627" s="191" t="inlineStr">
        <is>
          <t>MEDIUM</t>
        </is>
      </c>
      <c r="I627" s="191" t="n">
        <v>9</v>
      </c>
      <c r="J627" s="191" t="inlineStr">
        <is>
          <t>NO</t>
        </is>
      </c>
      <c r="K627" s="192" t="inlineStr">
        <is>
          <t>https://nvd.nist.gov/vuln/detail/CVE-2025-71247</t>
        </is>
      </c>
      <c r="L627" s="191" t="inlineStr">
        <is>
          <t>2026-02-23 23:48</t>
        </is>
      </c>
      <c r="M627" s="191" t="inlineStr">
        <is>
          <t>CHECK_VENDOR</t>
        </is>
      </c>
      <c r="N627" s="191" t="inlineStr">
        <is>
          <t>See NVD references</t>
        </is>
      </c>
      <c r="O627" s="191" t="inlineStr">
        <is>
          <t>Apply vendor patches</t>
        </is>
      </c>
      <c r="P627" s="191" t="inlineStr">
        <is>
          <t>See CVE details</t>
        </is>
      </c>
      <c r="Q627" s="191" t="inlineStr">
        <is>
          <t>P4</t>
        </is>
      </c>
      <c r="R627" s="191" t="inlineStr">
        <is>
          <t>📅 Schedule patch deployment within 30 days | 🔍 Monitor for exploitation attempts</t>
        </is>
      </c>
      <c r="S627" s="191" t="inlineStr">
        <is>
          <t>CVE - IP enrichment n/a</t>
        </is>
      </c>
      <c r="T627" s="191" t="n">
        <v>0</v>
      </c>
      <c r="U627" s="191" t="n">
        <v>0</v>
      </c>
      <c r="V627" s="191" t="inlineStr">
        <is>
          <t>T1190:Exploit Public-Facing Application</t>
        </is>
      </c>
      <c r="W627" s="191" t="n">
        <v>1</v>
      </c>
      <c r="X627" s="191" t="inlineStr">
        <is>
          <t>LOW (40%)</t>
        </is>
      </c>
      <c r="Y627" s="191" t="inlineStr">
        <is>
          <t>UNLIKELY</t>
        </is>
      </c>
      <c r="Z627" s="191" t="inlineStr">
        <is>
          <t>CHECK_VENDOR</t>
        </is>
      </c>
      <c r="AA627" s="192" t="inlineStr">
        <is>
          <t>https://nvd.nist.gov/vuln/detail/CVE-2025-71247</t>
        </is>
      </c>
      <c r="AB627" s="191" t="inlineStr">
        <is>
          <t>NONE</t>
        </is>
      </c>
      <c r="AC627" s="191" t="n">
        <v>0</v>
      </c>
      <c r="AD627" s="191" t="n"/>
    </row>
    <row r="628">
      <c r="A628" s="191" t="inlineStr">
        <is>
          <t>CVE</t>
        </is>
      </c>
      <c r="B628" s="191" t="inlineStr">
        <is>
          <t>CVE-2025-71248</t>
        </is>
      </c>
      <c r="C628" s="191" t="inlineStr">
        <is>
          <t>Rejected reason: This CVE ID has been rejected or withdrawn by its CVE Numbering Authority.</t>
        </is>
      </c>
      <c r="D628" s="191" t="n">
        <v>5</v>
      </c>
      <c r="E628" s="191" t="inlineStr">
        <is>
          <t>MEDIUM</t>
        </is>
      </c>
      <c r="F628" s="191" t="n">
        <v>2</v>
      </c>
      <c r="G628" s="191" t="n">
        <v>2</v>
      </c>
      <c r="H628" s="191" t="inlineStr">
        <is>
          <t>MEDIUM</t>
        </is>
      </c>
      <c r="I628" s="191" t="n">
        <v>9</v>
      </c>
      <c r="J628" s="191" t="inlineStr">
        <is>
          <t>NO</t>
        </is>
      </c>
      <c r="K628" s="192" t="inlineStr">
        <is>
          <t>https://nvd.nist.gov/vuln/detail/CVE-2025-71248</t>
        </is>
      </c>
      <c r="L628" s="191" t="inlineStr">
        <is>
          <t>2026-02-23 23:48</t>
        </is>
      </c>
      <c r="M628" s="191" t="inlineStr">
        <is>
          <t>CHECK_VENDOR</t>
        </is>
      </c>
      <c r="N628" s="191" t="inlineStr">
        <is>
          <t>See NVD references</t>
        </is>
      </c>
      <c r="O628" s="191" t="inlineStr">
        <is>
          <t>Apply vendor patches</t>
        </is>
      </c>
      <c r="P628" s="191" t="inlineStr">
        <is>
          <t>See CVE details</t>
        </is>
      </c>
      <c r="Q628" s="191" t="inlineStr">
        <is>
          <t>P4</t>
        </is>
      </c>
      <c r="R628" s="191" t="inlineStr">
        <is>
          <t>📅 Schedule patch deployment within 30 days | 🔍 Monitor for exploitation attempts</t>
        </is>
      </c>
      <c r="S628" s="191" t="inlineStr">
        <is>
          <t>CVE - IP enrichment n/a</t>
        </is>
      </c>
      <c r="T628" s="191" t="n">
        <v>0</v>
      </c>
      <c r="U628" s="191" t="n">
        <v>0</v>
      </c>
      <c r="V628" s="191" t="inlineStr">
        <is>
          <t>T1190:Exploit Public-Facing Application</t>
        </is>
      </c>
      <c r="W628" s="191" t="n">
        <v>1</v>
      </c>
      <c r="X628" s="191" t="inlineStr">
        <is>
          <t>LOW (40%)</t>
        </is>
      </c>
      <c r="Y628" s="191" t="inlineStr">
        <is>
          <t>UNLIKELY</t>
        </is>
      </c>
      <c r="Z628" s="191" t="inlineStr">
        <is>
          <t>CHECK_VENDOR</t>
        </is>
      </c>
      <c r="AA628" s="192" t="inlineStr">
        <is>
          <t>https://nvd.nist.gov/vuln/detail/CVE-2025-71248</t>
        </is>
      </c>
      <c r="AB628" s="191" t="inlineStr">
        <is>
          <t>NONE</t>
        </is>
      </c>
      <c r="AC628" s="191" t="n">
        <v>0</v>
      </c>
      <c r="AD628" s="191" t="n"/>
    </row>
    <row r="629">
      <c r="A629" s="191" t="inlineStr">
        <is>
          <t>CVE</t>
        </is>
      </c>
      <c r="B629" s="191" t="inlineStr">
        <is>
          <t>CVE-2025-71249</t>
        </is>
      </c>
      <c r="C629" s="191" t="inlineStr">
        <is>
          <t>Rejected reason: This CVE ID has been rejected or withdrawn by its CVE Numbering Authority.</t>
        </is>
      </c>
      <c r="D629" s="191" t="n">
        <v>5</v>
      </c>
      <c r="E629" s="191" t="inlineStr">
        <is>
          <t>MEDIUM</t>
        </is>
      </c>
      <c r="F629" s="191" t="n">
        <v>2</v>
      </c>
      <c r="G629" s="191" t="n">
        <v>2</v>
      </c>
      <c r="H629" s="191" t="inlineStr">
        <is>
          <t>MEDIUM</t>
        </is>
      </c>
      <c r="I629" s="191" t="n">
        <v>9</v>
      </c>
      <c r="J629" s="191" t="inlineStr">
        <is>
          <t>NO</t>
        </is>
      </c>
      <c r="K629" s="192" t="inlineStr">
        <is>
          <t>https://nvd.nist.gov/vuln/detail/CVE-2025-71249</t>
        </is>
      </c>
      <c r="L629" s="191" t="inlineStr">
        <is>
          <t>2026-02-23 23:48</t>
        </is>
      </c>
      <c r="M629" s="191" t="inlineStr">
        <is>
          <t>CHECK_VENDOR</t>
        </is>
      </c>
      <c r="N629" s="191" t="inlineStr">
        <is>
          <t>See NVD references</t>
        </is>
      </c>
      <c r="O629" s="191" t="inlineStr">
        <is>
          <t>Apply vendor patches</t>
        </is>
      </c>
      <c r="P629" s="191" t="inlineStr">
        <is>
          <t>See CVE details</t>
        </is>
      </c>
      <c r="Q629" s="191" t="inlineStr">
        <is>
          <t>P4</t>
        </is>
      </c>
      <c r="R629" s="191" t="inlineStr">
        <is>
          <t>📅 Schedule patch deployment within 30 days | 🔍 Monitor for exploitation attempts</t>
        </is>
      </c>
      <c r="S629" s="191" t="inlineStr">
        <is>
          <t>CVE - IP enrichment n/a</t>
        </is>
      </c>
      <c r="T629" s="191" t="n">
        <v>0</v>
      </c>
      <c r="U629" s="191" t="n">
        <v>0</v>
      </c>
      <c r="V629" s="191" t="inlineStr">
        <is>
          <t>T1190:Exploit Public-Facing Application</t>
        </is>
      </c>
      <c r="W629" s="191" t="n">
        <v>1</v>
      </c>
      <c r="X629" s="191" t="inlineStr">
        <is>
          <t>LOW (40%)</t>
        </is>
      </c>
      <c r="Y629" s="191" t="inlineStr">
        <is>
          <t>UNLIKELY</t>
        </is>
      </c>
      <c r="Z629" s="191" t="inlineStr">
        <is>
          <t>CHECK_VENDOR</t>
        </is>
      </c>
      <c r="AA629" s="192" t="inlineStr">
        <is>
          <t>https://nvd.nist.gov/vuln/detail/CVE-2025-71249</t>
        </is>
      </c>
      <c r="AB629" s="191" t="inlineStr">
        <is>
          <t>NONE</t>
        </is>
      </c>
      <c r="AC629" s="191" t="n">
        <v>0</v>
      </c>
      <c r="AD629" s="191" t="n"/>
    </row>
    <row r="630">
      <c r="A630" s="191" t="inlineStr">
        <is>
          <t>CVE</t>
        </is>
      </c>
      <c r="B630" s="191" t="inlineStr">
        <is>
          <t>CVE-2025-71250</t>
        </is>
      </c>
      <c r="C630" s="191" t="inlineStr">
        <is>
          <t>Rejected reason: This CVE ID has been rejected or withdrawn by its CVE Numbering Authority.</t>
        </is>
      </c>
      <c r="D630" s="191" t="n">
        <v>5</v>
      </c>
      <c r="E630" s="191" t="inlineStr">
        <is>
          <t>MEDIUM</t>
        </is>
      </c>
      <c r="F630" s="191" t="n">
        <v>2</v>
      </c>
      <c r="G630" s="191" t="n">
        <v>2</v>
      </c>
      <c r="H630" s="191" t="inlineStr">
        <is>
          <t>MEDIUM</t>
        </is>
      </c>
      <c r="I630" s="191" t="n">
        <v>9</v>
      </c>
      <c r="J630" s="191" t="inlineStr">
        <is>
          <t>NO</t>
        </is>
      </c>
      <c r="K630" s="192" t="inlineStr">
        <is>
          <t>https://nvd.nist.gov/vuln/detail/CVE-2025-71250</t>
        </is>
      </c>
      <c r="L630" s="191" t="inlineStr">
        <is>
          <t>2026-02-23 23:48</t>
        </is>
      </c>
      <c r="M630" s="191" t="inlineStr">
        <is>
          <t>CHECK_VENDOR</t>
        </is>
      </c>
      <c r="N630" s="191" t="inlineStr">
        <is>
          <t>See NVD references</t>
        </is>
      </c>
      <c r="O630" s="191" t="inlineStr">
        <is>
          <t>Apply vendor patches</t>
        </is>
      </c>
      <c r="P630" s="191" t="inlineStr">
        <is>
          <t>See CVE details</t>
        </is>
      </c>
      <c r="Q630" s="191" t="inlineStr">
        <is>
          <t>P4</t>
        </is>
      </c>
      <c r="R630" s="191" t="inlineStr">
        <is>
          <t>📅 Schedule patch deployment within 30 days | 🔍 Monitor for exploitation attempts</t>
        </is>
      </c>
      <c r="S630" s="191" t="inlineStr">
        <is>
          <t>CVE - IP enrichment n/a</t>
        </is>
      </c>
      <c r="T630" s="191" t="n">
        <v>0</v>
      </c>
      <c r="U630" s="191" t="n">
        <v>0</v>
      </c>
      <c r="V630" s="191" t="inlineStr">
        <is>
          <t>T1190:Exploit Public-Facing Application</t>
        </is>
      </c>
      <c r="W630" s="191" t="n">
        <v>1</v>
      </c>
      <c r="X630" s="191" t="inlineStr">
        <is>
          <t>LOW (40%)</t>
        </is>
      </c>
      <c r="Y630" s="191" t="inlineStr">
        <is>
          <t>UNLIKELY</t>
        </is>
      </c>
      <c r="Z630" s="191" t="inlineStr">
        <is>
          <t>CHECK_VENDOR</t>
        </is>
      </c>
      <c r="AA630" s="192" t="inlineStr">
        <is>
          <t>https://nvd.nist.gov/vuln/detail/CVE-2025-71250</t>
        </is>
      </c>
      <c r="AB630" s="191" t="inlineStr">
        <is>
          <t>NONE</t>
        </is>
      </c>
      <c r="AC630" s="191" t="n">
        <v>0</v>
      </c>
      <c r="AD630" s="191" t="n"/>
    </row>
    <row r="631">
      <c r="A631" s="189" t="inlineStr">
        <is>
          <t>CVE</t>
        </is>
      </c>
      <c r="B631" s="189" t="inlineStr">
        <is>
          <t>CVE-2026-25738</t>
        </is>
      </c>
      <c r="C631" s="189" t="inlineStr">
        <is>
          <t>Indico is an event management system that uses Flask-Multipass, a multi-backend authentication system for Flask. Versions prior to 3.3.10 are vulnerable to server-side request forgery. Indico makes outgoing requests to user-provides URLs in various places. This is mostly intentional and part of Indico's functionality but is never intended to let users access "special" targets such as localhost or cloud metadata endpoints. Users should upgrade to version 3.3.10 to receive a patch. Those who do no</t>
        </is>
      </c>
      <c r="D631" s="189" t="n">
        <v>8.5</v>
      </c>
      <c r="E631" s="189" t="inlineStr">
        <is>
          <t>HIGH</t>
        </is>
      </c>
      <c r="F631" s="189" t="n">
        <v>2</v>
      </c>
      <c r="G631" s="189" t="n">
        <v>3</v>
      </c>
      <c r="H631" s="189" t="inlineStr">
        <is>
          <t>HIGH</t>
        </is>
      </c>
      <c r="I631" s="189" t="n">
        <v>14.5</v>
      </c>
      <c r="J631" s="189" t="inlineStr">
        <is>
          <t>NO</t>
        </is>
      </c>
      <c r="K631" s="190" t="inlineStr">
        <is>
          <t>https://nvd.nist.gov/vuln/detail/CVE-2026-25738</t>
        </is>
      </c>
      <c r="L631" s="189" t="inlineStr">
        <is>
          <t>2026-02-23 23:48</t>
        </is>
      </c>
      <c r="M631" s="189" t="inlineStr">
        <is>
          <t>CHECK_VENDOR</t>
        </is>
      </c>
      <c r="N631" s="189" t="inlineStr">
        <is>
          <t>See NVD references</t>
        </is>
      </c>
      <c r="O631" s="189" t="inlineStr">
        <is>
          <t>Apply vendor patches</t>
        </is>
      </c>
      <c r="P631" s="189" t="inlineStr">
        <is>
          <t>See CVE details</t>
        </is>
      </c>
      <c r="Q631" s="189" t="inlineStr">
        <is>
          <t>P1</t>
        </is>
      </c>
      <c r="R631" s="189" t="inlineStr">
        <is>
          <t>🚨 URGENT: Apply vendor patches immediately | 🔒 Isolate affected systems if patch unavailable | 🛡️ Enable additional monitoring/IDS rules</t>
        </is>
      </c>
      <c r="S631" s="189" t="inlineStr">
        <is>
          <t>CVE - IP enrichment n/a</t>
        </is>
      </c>
      <c r="T631" s="189" t="n">
        <v>0.0008</v>
      </c>
      <c r="U631" s="189" t="n">
        <v>0.2251</v>
      </c>
      <c r="V631" s="189" t="inlineStr">
        <is>
          <t>T1190:Exploit Public-Facing Application | T1090:Proxy</t>
        </is>
      </c>
      <c r="W631" s="189" t="n">
        <v>2</v>
      </c>
      <c r="X631" s="189" t="inlineStr">
        <is>
          <t>HIGH (72%)</t>
        </is>
      </c>
      <c r="Y631" s="189" t="inlineStr">
        <is>
          <t>HIGH</t>
        </is>
      </c>
      <c r="Z631" s="189" t="inlineStr">
        <is>
          <t>CHECK_VENDOR</t>
        </is>
      </c>
      <c r="AA631" s="190" t="inlineStr">
        <is>
          <t>https://nvd.nist.gov/vuln/detail/CVE-2026-25738</t>
        </is>
      </c>
      <c r="AB631" s="190" t="inlineStr">
        <is>
          <t>http://www.zerodayinitiative.com/advisories/ZDI-26-123/</t>
        </is>
      </c>
      <c r="AC631" s="189" t="n">
        <v>0</v>
      </c>
      <c r="AD631" s="189" t="n"/>
    </row>
    <row r="632">
      <c r="A632" s="191" t="inlineStr">
        <is>
          <t>CVE</t>
        </is>
      </c>
      <c r="B632" s="191" t="inlineStr">
        <is>
          <t>CVE-2026-25739</t>
        </is>
      </c>
      <c r="C632" s="191" t="inlineStr">
        <is>
          <t>Indico is an event management system that uses Flask-Multipass, a multi-backend authentication system for Flask. Versions prior to 3.3.10 are vulnerable to cross-site scripting when uploading certain file types as materials. Users should upgrade to version 3.3.10 to receive a patch. To apply the fix itself updating is sufficient, but to benefit from the strict Content Security Policy (CSP) Indico now applies by default for file downloads, update the webserver config in case one uses nginx with I</t>
        </is>
      </c>
      <c r="D632" s="191" t="n">
        <v>5.4</v>
      </c>
      <c r="E632" s="191" t="inlineStr">
        <is>
          <t>MEDIUM</t>
        </is>
      </c>
      <c r="F632" s="191" t="n">
        <v>2</v>
      </c>
      <c r="G632" s="191" t="n">
        <v>2</v>
      </c>
      <c r="H632" s="191" t="inlineStr">
        <is>
          <t>MEDIUM</t>
        </is>
      </c>
      <c r="I632" s="191" t="n">
        <v>9.4</v>
      </c>
      <c r="J632" s="191" t="inlineStr">
        <is>
          <t>NO</t>
        </is>
      </c>
      <c r="K632" s="192" t="inlineStr">
        <is>
          <t>https://nvd.nist.gov/vuln/detail/CVE-2026-25739</t>
        </is>
      </c>
      <c r="L632" s="191" t="inlineStr">
        <is>
          <t>2026-02-23 23:48</t>
        </is>
      </c>
      <c r="M632" s="191" t="inlineStr">
        <is>
          <t>CHECK_VENDOR</t>
        </is>
      </c>
      <c r="N632" s="191" t="inlineStr">
        <is>
          <t>See NVD references</t>
        </is>
      </c>
      <c r="O632" s="191" t="inlineStr">
        <is>
          <t>Apply vendor patches</t>
        </is>
      </c>
      <c r="P632" s="191" t="inlineStr">
        <is>
          <t>See CVE details</t>
        </is>
      </c>
      <c r="Q632" s="191" t="inlineStr">
        <is>
          <t>P1</t>
        </is>
      </c>
      <c r="R632" s="191" t="inlineStr">
        <is>
          <t>📅 Schedule patch deployment within 30 days | 🔍 Monitor for exploitation attempts</t>
        </is>
      </c>
      <c r="S632" s="191" t="inlineStr">
        <is>
          <t>CVE - IP enrichment n/a</t>
        </is>
      </c>
      <c r="T632" s="191" t="n">
        <v>0</v>
      </c>
      <c r="U632" s="191" t="n">
        <v>0</v>
      </c>
      <c r="V632" s="191" t="inlineStr">
        <is>
          <t>T1189:Drive-by Compromise</t>
        </is>
      </c>
      <c r="W632" s="191" t="n">
        <v>2</v>
      </c>
      <c r="X632" s="191" t="inlineStr">
        <is>
          <t>HIGH (72%)</t>
        </is>
      </c>
      <c r="Y632" s="191" t="inlineStr">
        <is>
          <t>HIGH</t>
        </is>
      </c>
      <c r="Z632" s="191" t="inlineStr">
        <is>
          <t>CHECK_VENDOR</t>
        </is>
      </c>
      <c r="AA632" s="192" t="inlineStr">
        <is>
          <t>https://nvd.nist.gov/vuln/detail/CVE-2026-25739</t>
        </is>
      </c>
      <c r="AB632" s="192" t="inlineStr">
        <is>
          <t>http://www.zerodayinitiative.com/advisories/ZDI-26-123/</t>
        </is>
      </c>
      <c r="AC632" s="191" t="n">
        <v>0</v>
      </c>
      <c r="AD632" s="191" t="n"/>
    </row>
    <row r="633">
      <c r="A633" s="191" t="inlineStr">
        <is>
          <t>CVE</t>
        </is>
      </c>
      <c r="B633" s="191" t="inlineStr">
        <is>
          <t>CVE-2026-25766</t>
        </is>
      </c>
      <c r="C633" s="191" t="inlineStr">
        <is>
          <t>Echo is a Go web framework. In versions 5.0.0 through 5.0.2 on Windows, Echo’s `middleware.Static` using the default filesystem allows path traversal via backslashes, enabling unauthenticated remote file read outside the static root. In `middleware/static.go`, the requested path is unescaped and normalized with `path.Clean` (URL semantics). `path.Clean` does not treat `\` as a path separator, so `..\` sequences remain in the cleaned path. The resulting path is then passed to `currentFS.Open(...)</t>
        </is>
      </c>
      <c r="D633" s="191" t="n">
        <v>5.3</v>
      </c>
      <c r="E633" s="191" t="inlineStr">
        <is>
          <t>MEDIUM</t>
        </is>
      </c>
      <c r="F633" s="191" t="n">
        <v>2</v>
      </c>
      <c r="G633" s="191" t="n">
        <v>2</v>
      </c>
      <c r="H633" s="191" t="inlineStr">
        <is>
          <t>MEDIUM</t>
        </is>
      </c>
      <c r="I633" s="191" t="n">
        <v>9.300000000000001</v>
      </c>
      <c r="J633" s="191" t="inlineStr">
        <is>
          <t>NO</t>
        </is>
      </c>
      <c r="K633" s="192" t="inlineStr">
        <is>
          <t>https://nvd.nist.gov/vuln/detail/CVE-2026-25766</t>
        </is>
      </c>
      <c r="L633" s="191" t="inlineStr">
        <is>
          <t>2026-02-23 23:48</t>
        </is>
      </c>
      <c r="M633" s="191" t="inlineStr">
        <is>
          <t>YES</t>
        </is>
      </c>
      <c r="N633" s="192" t="inlineStr">
        <is>
          <t>https://github.com/labstack/echo/commit/b1d443086ea27cf51345ec72a71e9b7e9d9ce5f1 | https://github.com/labstack/echo/pull/2891 | https://github.com/labstack/echo/security/advisories/GHSA-pgvm-wxw2-hrv9</t>
        </is>
      </c>
      <c r="O633" s="191" t="inlineStr">
        <is>
          <t>Apply vendor patches</t>
        </is>
      </c>
      <c r="P633" s="191" t="inlineStr">
        <is>
          <t>microsoft windows - | labstack echo *</t>
        </is>
      </c>
      <c r="Q633" s="191" t="inlineStr">
        <is>
          <t>P4</t>
        </is>
      </c>
      <c r="R633" s="191" t="inlineStr">
        <is>
          <t>📅 Schedule patch deployment within 30 days | 🔍 Monitor for exploitation attempts</t>
        </is>
      </c>
      <c r="S633" s="191" t="inlineStr">
        <is>
          <t>CVE - IP enrichment n/a</t>
        </is>
      </c>
      <c r="T633" s="191" t="n">
        <v>0</v>
      </c>
      <c r="U633" s="191" t="n">
        <v>0</v>
      </c>
      <c r="V633" s="191" t="inlineStr">
        <is>
          <t>T1083:File and Directory Discovery</t>
        </is>
      </c>
      <c r="W633" s="191" t="n">
        <v>1</v>
      </c>
      <c r="X633" s="191" t="inlineStr">
        <is>
          <t>LOW (40%)</t>
        </is>
      </c>
      <c r="Y633" s="191" t="inlineStr">
        <is>
          <t>UNLIKELY</t>
        </is>
      </c>
      <c r="Z633" s="191" t="inlineStr">
        <is>
          <t>PATCH_AVAILABLE</t>
        </is>
      </c>
      <c r="AA633" s="192" t="inlineStr">
        <is>
          <t>https://nvd.nist.gov/vuln/detail/CVE-2026-25766</t>
        </is>
      </c>
      <c r="AB633" s="191" t="inlineStr">
        <is>
          <t>NONE</t>
        </is>
      </c>
      <c r="AC633" s="191" t="n">
        <v>0</v>
      </c>
      <c r="AD633" s="191" t="n"/>
    </row>
    <row r="634">
      <c r="A634" s="189" t="inlineStr">
        <is>
          <t>CVE</t>
        </is>
      </c>
      <c r="B634" s="189" t="inlineStr">
        <is>
          <t>CVE-2026-25940</t>
        </is>
      </c>
      <c r="C634" s="189" t="inlineStr">
        <is>
          <t>jsPDF is a library to generate PDFs in JavaScript. Prior to 4.2.0, user control of properties and methods of the Acroform module allows users to inject arbitrary PDF objects, such as JavaScript actions. If given the possibility to pass unsanitized input to one of the following property, a user can inject arbitrary PDF objects, such as JavaScript actions, which are executed when the victim hovers over the radio option. The vulnerability has been fixed in jsPDF@4.2.0. As a workaround, sanitize use</t>
        </is>
      </c>
      <c r="D634" s="189" t="n">
        <v>8.1</v>
      </c>
      <c r="E634" s="189" t="inlineStr">
        <is>
          <t>HIGH</t>
        </is>
      </c>
      <c r="F634" s="189" t="n">
        <v>2</v>
      </c>
      <c r="G634" s="189" t="n">
        <v>3</v>
      </c>
      <c r="H634" s="189" t="inlineStr">
        <is>
          <t>HIGH</t>
        </is>
      </c>
      <c r="I634" s="189" t="n">
        <v>14.1</v>
      </c>
      <c r="J634" s="189" t="inlineStr">
        <is>
          <t>NO</t>
        </is>
      </c>
      <c r="K634" s="190" t="inlineStr">
        <is>
          <t>https://nvd.nist.gov/vuln/detail/CVE-2026-25940</t>
        </is>
      </c>
      <c r="L634" s="189" t="inlineStr">
        <is>
          <t>2026-02-23 23:48</t>
        </is>
      </c>
      <c r="M634" s="189" t="inlineStr">
        <is>
          <t>YES</t>
        </is>
      </c>
      <c r="N634" s="190" t="inlineStr">
        <is>
          <t>https://github.com/parallax/jsPDF/commit/71ad2dbfa6c7c189ab42b855b782620fa8a38375 | https://github.com/parallax/jsPDF/security/advisories/GHSA-p5xg-68wr-hm3m</t>
        </is>
      </c>
      <c r="O634" s="189" t="inlineStr">
        <is>
          <t>Apply vendor patches</t>
        </is>
      </c>
      <c r="P634" s="189" t="inlineStr">
        <is>
          <t>parall jspdf *</t>
        </is>
      </c>
      <c r="Q634" s="189" t="inlineStr">
        <is>
          <t>P3</t>
        </is>
      </c>
      <c r="R634" s="189" t="inlineStr">
        <is>
          <t>🚨 URGENT: Apply vendor patches immediately | 🔒 Isolate affected systems if patch unavailable | 🛡️ Enable additional monitoring/IDS rules</t>
        </is>
      </c>
      <c r="S634" s="189" t="inlineStr">
        <is>
          <t>CVE - IP enrichment n/a</t>
        </is>
      </c>
      <c r="T634" s="189" t="n">
        <v>0.0003</v>
      </c>
      <c r="U634" s="189" t="n">
        <v>0.0829</v>
      </c>
      <c r="V634" s="189" t="inlineStr">
        <is>
          <t>T1190:Exploit Public-Facing Application</t>
        </is>
      </c>
      <c r="W634" s="189" t="n">
        <v>1</v>
      </c>
      <c r="X634" s="189" t="inlineStr">
        <is>
          <t>LOW (40%)</t>
        </is>
      </c>
      <c r="Y634" s="189" t="inlineStr">
        <is>
          <t>UNLIKELY</t>
        </is>
      </c>
      <c r="Z634" s="189" t="inlineStr">
        <is>
          <t>PATCH_AVAILABLE</t>
        </is>
      </c>
      <c r="AA634" s="190" t="inlineStr">
        <is>
          <t>https://nvd.nist.gov/vuln/detail/CVE-2026-25940</t>
        </is>
      </c>
      <c r="AB634" s="189" t="inlineStr">
        <is>
          <t>NONE</t>
        </is>
      </c>
      <c r="AC634" s="189" t="n">
        <v>0</v>
      </c>
      <c r="AD634" s="189" t="n"/>
    </row>
    <row r="635">
      <c r="A635" s="191" t="inlineStr">
        <is>
          <t>CVE</t>
        </is>
      </c>
      <c r="B635" s="191" t="inlineStr">
        <is>
          <t>CVE-2026-26223</t>
        </is>
      </c>
      <c r="C635" s="191" t="inlineStr">
        <is>
          <t>SPIP before 4.4.8 allows cross-site scripting (XSS) in the private area via malicious iframe tags. The application does not properly sandbox or escape iframe content in the back-office, allowing an attacker to inject and execute malicious scripts. The fix adds a sandbox attribute to iframe tags in the private area. This vulnerability is not mitigated by the SPIP security screen.</t>
        </is>
      </c>
      <c r="D635" s="191" t="n">
        <v>5.4</v>
      </c>
      <c r="E635" s="191" t="inlineStr">
        <is>
          <t>MEDIUM</t>
        </is>
      </c>
      <c r="F635" s="191" t="n">
        <v>2</v>
      </c>
      <c r="G635" s="191" t="n">
        <v>2</v>
      </c>
      <c r="H635" s="191" t="inlineStr">
        <is>
          <t>MEDIUM</t>
        </is>
      </c>
      <c r="I635" s="191" t="n">
        <v>9.4</v>
      </c>
      <c r="J635" s="191" t="inlineStr">
        <is>
          <t>NO</t>
        </is>
      </c>
      <c r="K635" s="192" t="inlineStr">
        <is>
          <t>https://nvd.nist.gov/vuln/detail/CVE-2026-26223</t>
        </is>
      </c>
      <c r="L635" s="191" t="inlineStr">
        <is>
          <t>2026-02-23 23:48</t>
        </is>
      </c>
      <c r="M635" s="191" t="inlineStr">
        <is>
          <t>CHECK_VENDOR</t>
        </is>
      </c>
      <c r="N635" s="191" t="inlineStr">
        <is>
          <t>See NVD references</t>
        </is>
      </c>
      <c r="O635" s="191" t="inlineStr">
        <is>
          <t>Apply vendor patches</t>
        </is>
      </c>
      <c r="P635" s="191" t="inlineStr">
        <is>
          <t>See CVE details</t>
        </is>
      </c>
      <c r="Q635" s="191" t="inlineStr">
        <is>
          <t>P4</t>
        </is>
      </c>
      <c r="R635" s="191" t="inlineStr">
        <is>
          <t>📅 Schedule patch deployment within 30 days | 🔍 Monitor for exploitation attempts</t>
        </is>
      </c>
      <c r="S635" s="191" t="inlineStr">
        <is>
          <t>CVE - IP enrichment n/a</t>
        </is>
      </c>
      <c r="T635" s="191" t="n">
        <v>0</v>
      </c>
      <c r="U635" s="191" t="n">
        <v>0</v>
      </c>
      <c r="V635" s="191" t="inlineStr">
        <is>
          <t>T1189:Drive-by Compromise</t>
        </is>
      </c>
      <c r="W635" s="191" t="n">
        <v>1</v>
      </c>
      <c r="X635" s="191" t="inlineStr">
        <is>
          <t>LOW (40%)</t>
        </is>
      </c>
      <c r="Y635" s="191" t="inlineStr">
        <is>
          <t>UNLIKELY</t>
        </is>
      </c>
      <c r="Z635" s="191" t="inlineStr">
        <is>
          <t>CHECK_VENDOR</t>
        </is>
      </c>
      <c r="AA635" s="192" t="inlineStr">
        <is>
          <t>https://nvd.nist.gov/vuln/detail/CVE-2026-26223</t>
        </is>
      </c>
      <c r="AB635" s="191" t="inlineStr">
        <is>
          <t>NONE</t>
        </is>
      </c>
      <c r="AC635" s="191" t="n">
        <v>0</v>
      </c>
      <c r="AD635" s="191" t="n"/>
    </row>
    <row r="636">
      <c r="A636" s="191" t="inlineStr">
        <is>
          <t>CVE</t>
        </is>
      </c>
      <c r="B636" s="191" t="inlineStr">
        <is>
          <t>CVE-2026-26345</t>
        </is>
      </c>
      <c r="C636" s="191" t="inlineStr">
        <is>
          <t>SPIP before 4.4.8 contains a stored cross-site scripting (XSS) vulnerability in the public area triggered in certain edge-case usage patterns. The echapper_html_suspect() function does not adequately sanitize user-controlled content, allowing authenticated users with content-editing privileges (e.g., author-level roles and above) to inject malicious scripts. The injected payload may be rendered across multiple pages within the framework and execute in the browser context of other users, includin</t>
        </is>
      </c>
      <c r="D636" s="191" t="n">
        <v>5.4</v>
      </c>
      <c r="E636" s="191" t="inlineStr">
        <is>
          <t>MEDIUM</t>
        </is>
      </c>
      <c r="F636" s="191" t="n">
        <v>2</v>
      </c>
      <c r="G636" s="191" t="n">
        <v>2</v>
      </c>
      <c r="H636" s="191" t="inlineStr">
        <is>
          <t>MEDIUM</t>
        </is>
      </c>
      <c r="I636" s="191" t="n">
        <v>9.4</v>
      </c>
      <c r="J636" s="191" t="inlineStr">
        <is>
          <t>NO</t>
        </is>
      </c>
      <c r="K636" s="192" t="inlineStr">
        <is>
          <t>https://nvd.nist.gov/vuln/detail/CVE-2026-26345</t>
        </is>
      </c>
      <c r="L636" s="191" t="inlineStr">
        <is>
          <t>2026-02-23 23:48</t>
        </is>
      </c>
      <c r="M636" s="191" t="inlineStr">
        <is>
          <t>CHECK_VENDOR</t>
        </is>
      </c>
      <c r="N636" s="191" t="inlineStr">
        <is>
          <t>See NVD references</t>
        </is>
      </c>
      <c r="O636" s="191" t="inlineStr">
        <is>
          <t>Apply vendor patches</t>
        </is>
      </c>
      <c r="P636" s="191" t="inlineStr">
        <is>
          <t>See CVE details</t>
        </is>
      </c>
      <c r="Q636" s="191" t="inlineStr">
        <is>
          <t>P4</t>
        </is>
      </c>
      <c r="R636" s="191" t="inlineStr">
        <is>
          <t>📅 Schedule patch deployment within 30 days | 🔍 Monitor for exploitation attempts</t>
        </is>
      </c>
      <c r="S636" s="191" t="inlineStr">
        <is>
          <t>CVE - IP enrichment n/a</t>
        </is>
      </c>
      <c r="T636" s="191" t="n">
        <v>0</v>
      </c>
      <c r="U636" s="191" t="n">
        <v>0</v>
      </c>
      <c r="V636" s="191" t="inlineStr">
        <is>
          <t>T1189:Drive-by Compromise</t>
        </is>
      </c>
      <c r="W636" s="191" t="n">
        <v>1</v>
      </c>
      <c r="X636" s="191" t="inlineStr">
        <is>
          <t>LOW (40%)</t>
        </is>
      </c>
      <c r="Y636" s="191" t="inlineStr">
        <is>
          <t>UNLIKELY</t>
        </is>
      </c>
      <c r="Z636" s="191" t="inlineStr">
        <is>
          <t>CHECK_VENDOR</t>
        </is>
      </c>
      <c r="AA636" s="192" t="inlineStr">
        <is>
          <t>https://nvd.nist.gov/vuln/detail/CVE-2026-26345</t>
        </is>
      </c>
      <c r="AB636" s="191" t="inlineStr">
        <is>
          <t>NONE</t>
        </is>
      </c>
      <c r="AC636" s="191" t="n">
        <v>0</v>
      </c>
      <c r="AD636" s="191" t="n"/>
    </row>
    <row r="637">
      <c r="A637" s="189" t="inlineStr">
        <is>
          <t>CVE</t>
        </is>
      </c>
      <c r="B637" s="189" t="inlineStr">
        <is>
          <t>CVE-2026-2274</t>
        </is>
      </c>
      <c r="C637" s="189" t="inlineStr">
        <is>
          <t>A SSRF and Arbitrary File Read vulnerability in AppSheet Core in Google AppSheet prior to 2025-11-23 allows an authenticated remote attacker to read sensitive local files and access internal network resources via crafted requests to the production cluster.
This vulnerability was patched and no customer action is needed.</t>
        </is>
      </c>
      <c r="D637" s="189" t="n">
        <v>8.5</v>
      </c>
      <c r="E637" s="189" t="inlineStr">
        <is>
          <t>HIGH</t>
        </is>
      </c>
      <c r="F637" s="189" t="n">
        <v>2</v>
      </c>
      <c r="G637" s="189" t="n">
        <v>3</v>
      </c>
      <c r="H637" s="189" t="inlineStr">
        <is>
          <t>HIGH</t>
        </is>
      </c>
      <c r="I637" s="189" t="n">
        <v>14.5</v>
      </c>
      <c r="J637" s="189" t="inlineStr">
        <is>
          <t>NO</t>
        </is>
      </c>
      <c r="K637" s="190" t="inlineStr">
        <is>
          <t>https://nvd.nist.gov/vuln/detail/CVE-2026-2274</t>
        </is>
      </c>
      <c r="L637" s="189" t="inlineStr">
        <is>
          <t>2026-02-23 23:48</t>
        </is>
      </c>
      <c r="M637" s="189" t="inlineStr">
        <is>
          <t>CHECK_VENDOR</t>
        </is>
      </c>
      <c r="N637" s="189" t="inlineStr">
        <is>
          <t>See NVD references</t>
        </is>
      </c>
      <c r="O637" s="189" t="inlineStr">
        <is>
          <t>Apply vendor patches</t>
        </is>
      </c>
      <c r="P637" s="189" t="inlineStr">
        <is>
          <t>See CVE details</t>
        </is>
      </c>
      <c r="Q637" s="189" t="inlineStr">
        <is>
          <t>P3</t>
        </is>
      </c>
      <c r="R637" s="189" t="inlineStr">
        <is>
          <t>🚨 URGENT: Apply vendor patches immediately | 🔒 Isolate affected systems if patch unavailable | 🛡️ Enable additional monitoring/IDS rules</t>
        </is>
      </c>
      <c r="S637" s="189" t="inlineStr">
        <is>
          <t>CVE - IP enrichment n/a</t>
        </is>
      </c>
      <c r="T637" s="189" t="n">
        <v>0</v>
      </c>
      <c r="U637" s="189" t="n">
        <v>0</v>
      </c>
      <c r="V637" s="189" t="inlineStr">
        <is>
          <t>T1090:Proxy | T1190:Exploit Public-Facing Application</t>
        </is>
      </c>
      <c r="W637" s="189" t="n">
        <v>1</v>
      </c>
      <c r="X637" s="189" t="inlineStr">
        <is>
          <t>LOW (40%)</t>
        </is>
      </c>
      <c r="Y637" s="189" t="inlineStr">
        <is>
          <t>UNLIKELY</t>
        </is>
      </c>
      <c r="Z637" s="189" t="inlineStr">
        <is>
          <t>CHECK_VENDOR</t>
        </is>
      </c>
      <c r="AA637" s="190" t="inlineStr">
        <is>
          <t>https://nvd.nist.gov/vuln/detail/CVE-2026-2274</t>
        </is>
      </c>
      <c r="AB637" s="189" t="inlineStr">
        <is>
          <t>NONE</t>
        </is>
      </c>
      <c r="AC637" s="189" t="n">
        <v>0</v>
      </c>
      <c r="AD637" s="189" t="n"/>
    </row>
    <row r="638">
      <c r="A638" s="193" t="inlineStr">
        <is>
          <t>CVE</t>
        </is>
      </c>
      <c r="B638" s="193" t="inlineStr">
        <is>
          <t>CVE-2025-69674</t>
        </is>
      </c>
      <c r="C638" s="193" t="inlineStr">
        <is>
          <t>Buffer Overflow vulnerability in CDATA FD614GS3-R850 V3.2.7_P161006 (Build.0333.250211) allows an attacker to execute arbitrary code via the node_mac, node_opt, opt_param, and domainblk parameters of the mesh_node_config and domiainblk_config modules</t>
        </is>
      </c>
      <c r="D638" s="193" t="n">
        <v>9.800000000000001</v>
      </c>
      <c r="E638" s="193" t="inlineStr">
        <is>
          <t>CRITICAL</t>
        </is>
      </c>
      <c r="F638" s="193" t="n">
        <v>2</v>
      </c>
      <c r="G638" s="193" t="n">
        <v>3</v>
      </c>
      <c r="H638" s="193" t="inlineStr">
        <is>
          <t>HIGH</t>
        </is>
      </c>
      <c r="I638" s="193" t="n">
        <v>15.8</v>
      </c>
      <c r="J638" s="193" t="inlineStr">
        <is>
          <t>NO</t>
        </is>
      </c>
      <c r="K638" s="194" t="inlineStr">
        <is>
          <t>https://nvd.nist.gov/vuln/detail/CVE-2025-69674</t>
        </is>
      </c>
      <c r="L638" s="193" t="inlineStr">
        <is>
          <t>2026-02-23 23:48</t>
        </is>
      </c>
      <c r="M638" s="193" t="inlineStr">
        <is>
          <t>CHECK_VENDOR</t>
        </is>
      </c>
      <c r="N638" s="193" t="inlineStr">
        <is>
          <t>See NVD references</t>
        </is>
      </c>
      <c r="O638" s="193" t="inlineStr">
        <is>
          <t>Apply vendor patches</t>
        </is>
      </c>
      <c r="P638" s="193" t="inlineStr">
        <is>
          <t>See CVE details</t>
        </is>
      </c>
      <c r="Q638" s="193" t="inlineStr">
        <is>
          <t>P3</t>
        </is>
      </c>
      <c r="R638" s="193" t="inlineStr">
        <is>
          <t>🚨 URGENT: Apply vendor patches immediately | 🔒 Isolate affected systems if patch unavailable | 🛡️ Enable additional monitoring/IDS rules</t>
        </is>
      </c>
      <c r="S638" s="193" t="inlineStr">
        <is>
          <t>CVE - IP enrichment n/a</t>
        </is>
      </c>
      <c r="T638" s="193" t="n">
        <v>0</v>
      </c>
      <c r="U638" s="193" t="n">
        <v>0</v>
      </c>
      <c r="V638" s="193" t="inlineStr">
        <is>
          <t>T1203:Exploitation for Client Execution</t>
        </is>
      </c>
      <c r="W638" s="193" t="n">
        <v>1</v>
      </c>
      <c r="X638" s="193" t="inlineStr">
        <is>
          <t>LOW (40%)</t>
        </is>
      </c>
      <c r="Y638" s="193" t="inlineStr">
        <is>
          <t>UNLIKELY</t>
        </is>
      </c>
      <c r="Z638" s="193" t="inlineStr">
        <is>
          <t>CHECK_VENDOR</t>
        </is>
      </c>
      <c r="AA638" s="194" t="inlineStr">
        <is>
          <t>https://nvd.nist.gov/vuln/detail/CVE-2025-69674</t>
        </is>
      </c>
      <c r="AB638" s="193" t="inlineStr">
        <is>
          <t>NONE</t>
        </is>
      </c>
      <c r="AC638" s="193" t="n">
        <v>0</v>
      </c>
      <c r="AD638" s="193" t="n"/>
    </row>
    <row r="639">
      <c r="A639" s="191" t="inlineStr">
        <is>
          <t>CVE</t>
        </is>
      </c>
      <c r="B639" s="191" t="inlineStr">
        <is>
          <t>CVE-2025-69725</t>
        </is>
      </c>
      <c r="C639" s="191" t="inlineStr">
        <is>
          <t>An Open Redirect vulnerability in the go-chi/chi &gt;=5.2.2 RedirectSlashes function allows remote attackers to redirect victim users to malicious websites using the legitimate website domain.</t>
        </is>
      </c>
      <c r="D639" s="191" t="n">
        <v>4.7</v>
      </c>
      <c r="E639" s="191" t="inlineStr">
        <is>
          <t>MEDIUM</t>
        </is>
      </c>
      <c r="F639" s="191" t="n">
        <v>2</v>
      </c>
      <c r="G639" s="191" t="n">
        <v>2</v>
      </c>
      <c r="H639" s="191" t="inlineStr">
        <is>
          <t>MEDIUM</t>
        </is>
      </c>
      <c r="I639" s="191" t="n">
        <v>8.699999999999999</v>
      </c>
      <c r="J639" s="191" t="inlineStr">
        <is>
          <t>NO</t>
        </is>
      </c>
      <c r="K639" s="192" t="inlineStr">
        <is>
          <t>https://nvd.nist.gov/vuln/detail/CVE-2025-69725</t>
        </is>
      </c>
      <c r="L639" s="191" t="inlineStr">
        <is>
          <t>2026-02-23 23:48</t>
        </is>
      </c>
      <c r="M639" s="191" t="inlineStr">
        <is>
          <t>CHECK_VENDOR</t>
        </is>
      </c>
      <c r="N639" s="191" t="inlineStr">
        <is>
          <t>See NVD references</t>
        </is>
      </c>
      <c r="O639" s="191" t="inlineStr">
        <is>
          <t>Apply vendor patches</t>
        </is>
      </c>
      <c r="P639" s="191" t="inlineStr">
        <is>
          <t>See CVE details</t>
        </is>
      </c>
      <c r="Q639" s="191" t="inlineStr">
        <is>
          <t>P4</t>
        </is>
      </c>
      <c r="R639" s="191" t="inlineStr">
        <is>
          <t>📅 Schedule patch deployment within 30 days | 🔍 Monitor for exploitation attempts</t>
        </is>
      </c>
      <c r="S639" s="191" t="inlineStr">
        <is>
          <t>CVE - IP enrichment n/a</t>
        </is>
      </c>
      <c r="T639" s="191" t="n">
        <v>0.0003</v>
      </c>
      <c r="U639" s="191" t="n">
        <v>0.1008</v>
      </c>
      <c r="V639" s="191" t="inlineStr">
        <is>
          <t>T1189:Drive-by Compromise</t>
        </is>
      </c>
      <c r="W639" s="191" t="n">
        <v>1</v>
      </c>
      <c r="X639" s="191" t="inlineStr">
        <is>
          <t>LOW (40%)</t>
        </is>
      </c>
      <c r="Y639" s="191" t="inlineStr">
        <is>
          <t>UNLIKELY</t>
        </is>
      </c>
      <c r="Z639" s="191" t="inlineStr">
        <is>
          <t>CHECK_VENDOR</t>
        </is>
      </c>
      <c r="AA639" s="192" t="inlineStr">
        <is>
          <t>https://nvd.nist.gov/vuln/detail/CVE-2025-69725</t>
        </is>
      </c>
      <c r="AB639" s="191" t="inlineStr">
        <is>
          <t>NONE</t>
        </is>
      </c>
      <c r="AC639" s="191" t="n">
        <v>0</v>
      </c>
      <c r="AD639" s="191" t="n"/>
    </row>
    <row r="640">
      <c r="A640" s="189" t="inlineStr">
        <is>
          <t>CVE</t>
        </is>
      </c>
      <c r="B640" s="189" t="inlineStr">
        <is>
          <t>CVE-2026-1581</t>
        </is>
      </c>
      <c r="C640" s="189" t="inlineStr">
        <is>
          <t>The wpForo Forum plugin for WordPress is vulnerable to time-based SQL Injection via the 'wpfob' parameter in all versions up to, and including, 2.4.14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D640" s="189" t="n">
        <v>7.5</v>
      </c>
      <c r="E640" s="189" t="inlineStr">
        <is>
          <t>HIGH</t>
        </is>
      </c>
      <c r="F640" s="189" t="n">
        <v>2</v>
      </c>
      <c r="G640" s="189" t="n">
        <v>3</v>
      </c>
      <c r="H640" s="189" t="inlineStr">
        <is>
          <t>HIGH</t>
        </is>
      </c>
      <c r="I640" s="189" t="n">
        <v>13.5</v>
      </c>
      <c r="J640" s="189" t="inlineStr">
        <is>
          <t>NO</t>
        </is>
      </c>
      <c r="K640" s="190" t="inlineStr">
        <is>
          <t>https://nvd.nist.gov/vuln/detail/CVE-2026-1581</t>
        </is>
      </c>
      <c r="L640" s="189" t="inlineStr">
        <is>
          <t>2026-02-23 23:48</t>
        </is>
      </c>
      <c r="M640" s="189" t="inlineStr">
        <is>
          <t>CHECK_VENDOR</t>
        </is>
      </c>
      <c r="N640" s="189" t="inlineStr">
        <is>
          <t>See NVD references</t>
        </is>
      </c>
      <c r="O640" s="189" t="inlineStr">
        <is>
          <t>Apply vendor patches</t>
        </is>
      </c>
      <c r="P640" s="189" t="inlineStr">
        <is>
          <t>See CVE details</t>
        </is>
      </c>
      <c r="Q640" s="189" t="inlineStr">
        <is>
          <t>P3</t>
        </is>
      </c>
      <c r="R640" s="189" t="inlineStr">
        <is>
          <t>🚨 URGENT: Apply vendor patches immediately | 🔒 Isolate affected systems if patch unavailable | 🛡️ Enable additional monitoring/IDS rules</t>
        </is>
      </c>
      <c r="S640" s="189" t="inlineStr">
        <is>
          <t>CVE - IP enrichment n/a</t>
        </is>
      </c>
      <c r="T640" s="189" t="n">
        <v>0</v>
      </c>
      <c r="U640" s="189" t="n">
        <v>0</v>
      </c>
      <c r="V640" s="189" t="inlineStr">
        <is>
          <t>T1190:Exploit Public-Facing Application</t>
        </is>
      </c>
      <c r="W640" s="189" t="n">
        <v>1</v>
      </c>
      <c r="X640" s="189" t="inlineStr">
        <is>
          <t>LOW (40%)</t>
        </is>
      </c>
      <c r="Y640" s="189" t="inlineStr">
        <is>
          <t>UNLIKELY</t>
        </is>
      </c>
      <c r="Z640" s="189" t="inlineStr">
        <is>
          <t>CHECK_VENDOR</t>
        </is>
      </c>
      <c r="AA640" s="190" t="inlineStr">
        <is>
          <t>https://nvd.nist.gov/vuln/detail/CVE-2026-1581</t>
        </is>
      </c>
      <c r="AB640" s="189" t="inlineStr">
        <is>
          <t>NONE</t>
        </is>
      </c>
      <c r="AC640" s="189" t="n">
        <v>0</v>
      </c>
      <c r="AD640" s="189" t="n"/>
    </row>
    <row r="641">
      <c r="A641" s="193" t="inlineStr">
        <is>
          <t>CVE</t>
        </is>
      </c>
      <c r="B641" s="193" t="inlineStr">
        <is>
          <t>CVE-2026-24834</t>
        </is>
      </c>
      <c r="C641" s="193" t="inlineStr">
        <is>
          <t>Kata Containers is an open source project focusing on a standard implementation of lightweight Virtual Machines (VMs) that perform like containers. In versions prior to 3.27.0, an issue in Kata with Cloud Hypervisor allows a user of the container to modify the file system used by the Guest micro VM ultimately achieving arbitrary code execution as root in said VM. The current understanding is this doesn’t impact the security of the Host or of other containers / VMs running on that Host (note that</t>
        </is>
      </c>
      <c r="D641" s="193" t="n">
        <v>9.300000000000001</v>
      </c>
      <c r="E641" s="193" t="inlineStr">
        <is>
          <t>CRITICAL</t>
        </is>
      </c>
      <c r="F641" s="193" t="n">
        <v>2</v>
      </c>
      <c r="G641" s="193" t="n">
        <v>3</v>
      </c>
      <c r="H641" s="193" t="inlineStr">
        <is>
          <t>HIGH</t>
        </is>
      </c>
      <c r="I641" s="193" t="n">
        <v>15.3</v>
      </c>
      <c r="J641" s="193" t="inlineStr">
        <is>
          <t>NO</t>
        </is>
      </c>
      <c r="K641" s="194" t="inlineStr">
        <is>
          <t>https://nvd.nist.gov/vuln/detail/CVE-2026-24834</t>
        </is>
      </c>
      <c r="L641" s="193" t="inlineStr">
        <is>
          <t>2026-02-23 23:48</t>
        </is>
      </c>
      <c r="M641" s="193" t="inlineStr">
        <is>
          <t>YES</t>
        </is>
      </c>
      <c r="N641" s="194" t="inlineStr">
        <is>
          <t>https://github.com/kata-containers/kata-containers/commit/6a672503973bf7c687053e459bfff8a9652e16bf | https://github.com/kata-containers/kata-containers/security/advisories/GHSA-wwj6-vghv-5p64</t>
        </is>
      </c>
      <c r="O641" s="193" t="inlineStr">
        <is>
          <t>Apply vendor patches</t>
        </is>
      </c>
      <c r="P641" s="193" t="inlineStr">
        <is>
          <t>katacontainers kata_containers *</t>
        </is>
      </c>
      <c r="Q641" s="193" t="inlineStr">
        <is>
          <t>P3</t>
        </is>
      </c>
      <c r="R641" s="193" t="inlineStr">
        <is>
          <t>🚨 URGENT: Apply vendor patches immediately | 🔒 Isolate affected systems if patch unavailable | 🛡️ Enable additional monitoring/IDS rules</t>
        </is>
      </c>
      <c r="S641" s="193" t="inlineStr">
        <is>
          <t>CVE - IP enrichment n/a</t>
        </is>
      </c>
      <c r="T641" s="193" t="n">
        <v>0.0001</v>
      </c>
      <c r="U641" s="193" t="n">
        <v>0.0152</v>
      </c>
      <c r="V641" s="193" t="inlineStr">
        <is>
          <t>T1190:Exploit Public-Facing Application | T1203:Exploitation for Client Execution</t>
        </is>
      </c>
      <c r="W641" s="193" t="n">
        <v>1</v>
      </c>
      <c r="X641" s="193" t="inlineStr">
        <is>
          <t>LOW (40%)</t>
        </is>
      </c>
      <c r="Y641" s="193" t="inlineStr">
        <is>
          <t>UNLIKELY</t>
        </is>
      </c>
      <c r="Z641" s="193" t="inlineStr">
        <is>
          <t>PATCH_AVAILABLE</t>
        </is>
      </c>
      <c r="AA641" s="194" t="inlineStr">
        <is>
          <t>https://nvd.nist.gov/vuln/detail/CVE-2026-24834</t>
        </is>
      </c>
      <c r="AB641" s="193" t="inlineStr">
        <is>
          <t>NONE</t>
        </is>
      </c>
      <c r="AC641" s="193" t="n">
        <v>0</v>
      </c>
      <c r="AD641" s="193" t="n"/>
    </row>
    <row r="642">
      <c r="A642" s="189" t="inlineStr">
        <is>
          <t>CVE</t>
        </is>
      </c>
      <c r="B642" s="189" t="inlineStr">
        <is>
          <t>CVE-2026-25998</t>
        </is>
      </c>
      <c r="C642" s="189" t="inlineStr">
        <is>
          <t>strongMan is a management interface for strongSwan, an OpenSource IPsec-based VPN. When storing credentials in the database (private keys, EAP secrets), strongMan encrypts the corresponding database fields. So far it used AES in CTR mode with a global database key. Together with an initialization vector (IV), a key stream is generated to encrypt the data in the database fields. But because strongMan did not generate individual IVs, every database field was encrypted using the same key stream. An</t>
        </is>
      </c>
      <c r="D642" s="189" t="n">
        <v>7.5</v>
      </c>
      <c r="E642" s="189" t="inlineStr">
        <is>
          <t>HIGH</t>
        </is>
      </c>
      <c r="F642" s="189" t="n">
        <v>2</v>
      </c>
      <c r="G642" s="189" t="n">
        <v>3</v>
      </c>
      <c r="H642" s="189" t="inlineStr">
        <is>
          <t>HIGH</t>
        </is>
      </c>
      <c r="I642" s="189" t="n">
        <v>13.5</v>
      </c>
      <c r="J642" s="189" t="inlineStr">
        <is>
          <t>NO</t>
        </is>
      </c>
      <c r="K642" s="190" t="inlineStr">
        <is>
          <t>https://nvd.nist.gov/vuln/detail/CVE-2026-25998</t>
        </is>
      </c>
      <c r="L642" s="189" t="inlineStr">
        <is>
          <t>2026-02-23 23:48</t>
        </is>
      </c>
      <c r="M642" s="189" t="inlineStr">
        <is>
          <t>YES</t>
        </is>
      </c>
      <c r="N642" s="190" t="inlineStr">
        <is>
          <t>https://github.com/strongswan/strongMan/security/advisories/GHSA-88w4-jv97-c8xr</t>
        </is>
      </c>
      <c r="O642" s="189" t="inlineStr">
        <is>
          <t>Apply vendor patches</t>
        </is>
      </c>
      <c r="P642" s="189" t="inlineStr">
        <is>
          <t>strongswan strongman 0.1.0</t>
        </is>
      </c>
      <c r="Q642" s="189" t="inlineStr">
        <is>
          <t>P3</t>
        </is>
      </c>
      <c r="R642" s="189" t="inlineStr">
        <is>
          <t>🚨 URGENT: Apply vendor patches immediately | 🔒 Isolate affected systems if patch unavailable | 🛡️ Enable additional monitoring/IDS rules</t>
        </is>
      </c>
      <c r="S642" s="189" t="inlineStr">
        <is>
          <t>CVE - IP enrichment n/a</t>
        </is>
      </c>
      <c r="T642" s="189" t="n">
        <v>0</v>
      </c>
      <c r="U642" s="189" t="n">
        <v>0</v>
      </c>
      <c r="V642" s="189" t="inlineStr">
        <is>
          <t>T1190:Exploit Public-Facing Application | T1552:Unsecured Credentials | T1133:External Remote Services</t>
        </is>
      </c>
      <c r="W642" s="189" t="n">
        <v>1</v>
      </c>
      <c r="X642" s="189" t="inlineStr">
        <is>
          <t>LOW (40%)</t>
        </is>
      </c>
      <c r="Y642" s="189" t="inlineStr">
        <is>
          <t>UNLIKELY</t>
        </is>
      </c>
      <c r="Z642" s="189" t="inlineStr">
        <is>
          <t>PATCH_AVAILABLE</t>
        </is>
      </c>
      <c r="AA642" s="190" t="inlineStr">
        <is>
          <t>https://nvd.nist.gov/vuln/detail/CVE-2026-25998</t>
        </is>
      </c>
      <c r="AB642" s="189" t="inlineStr">
        <is>
          <t>NONE</t>
        </is>
      </c>
      <c r="AC642" s="189" t="n">
        <v>0</v>
      </c>
      <c r="AD642" s="189" t="n"/>
    </row>
    <row r="643">
      <c r="A643" s="189" t="inlineStr">
        <is>
          <t>CVE</t>
        </is>
      </c>
      <c r="B643" s="189" t="inlineStr">
        <is>
          <t>CVE-2026-26016</t>
        </is>
      </c>
      <c r="C643" s="189" t="inlineStr">
        <is>
          <t>Wings is the server control plane for Pterodactyl, a free, open-source game server management panel. Prior to version 1.12.1, a missing authorization check in multiple controllers allows any user with access to a node secret token to fetch information about any server on a Pterodactyl instance, even if that server is associated with a different node. This issue stems from missing logic to verify that the node requesting server data is the same node that the server is associated with. Any authent</t>
        </is>
      </c>
      <c r="D643" s="189" t="n">
        <v>8.1</v>
      </c>
      <c r="E643" s="189" t="inlineStr">
        <is>
          <t>HIGH</t>
        </is>
      </c>
      <c r="F643" s="189" t="n">
        <v>2</v>
      </c>
      <c r="G643" s="189" t="n">
        <v>3</v>
      </c>
      <c r="H643" s="189" t="inlineStr">
        <is>
          <t>HIGH</t>
        </is>
      </c>
      <c r="I643" s="189" t="n">
        <v>14.1</v>
      </c>
      <c r="J643" s="189" t="inlineStr">
        <is>
          <t>NO</t>
        </is>
      </c>
      <c r="K643" s="190" t="inlineStr">
        <is>
          <t>https://nvd.nist.gov/vuln/detail/CVE-2026-26016</t>
        </is>
      </c>
      <c r="L643" s="189" t="inlineStr">
        <is>
          <t>2026-02-23 23:48</t>
        </is>
      </c>
      <c r="M643" s="189" t="inlineStr">
        <is>
          <t>YES</t>
        </is>
      </c>
      <c r="N643" s="190" t="inlineStr">
        <is>
          <t>https://github.com/pterodactyl/panel/security/advisories/GHSA-g7vw-f8p5-c728</t>
        </is>
      </c>
      <c r="O643" s="189" t="inlineStr">
        <is>
          <t>Apply vendor patches</t>
        </is>
      </c>
      <c r="P643" s="189" t="inlineStr">
        <is>
          <t>pterodactyl panel *</t>
        </is>
      </c>
      <c r="Q643" s="189" t="inlineStr">
        <is>
          <t>P3</t>
        </is>
      </c>
      <c r="R643" s="189" t="inlineStr">
        <is>
          <t>🚨 URGENT: Apply vendor patches immediately | 🔒 Isolate affected systems if patch unavailable | 🛡️ Enable additional monitoring/IDS rules</t>
        </is>
      </c>
      <c r="S643" s="189" t="inlineStr">
        <is>
          <t>CVE - IP enrichment n/a</t>
        </is>
      </c>
      <c r="T643" s="189" t="n">
        <v>0</v>
      </c>
      <c r="U643" s="189" t="n">
        <v>0</v>
      </c>
      <c r="V643" s="189" t="inlineStr">
        <is>
          <t>T1190:Exploit Public-Facing Application</t>
        </is>
      </c>
      <c r="W643" s="189" t="n">
        <v>1</v>
      </c>
      <c r="X643" s="189" t="inlineStr">
        <is>
          <t>LOW (40%)</t>
        </is>
      </c>
      <c r="Y643" s="189" t="inlineStr">
        <is>
          <t>UNLIKELY</t>
        </is>
      </c>
      <c r="Z643" s="189" t="inlineStr">
        <is>
          <t>PATCH_AVAILABLE</t>
        </is>
      </c>
      <c r="AA643" s="190" t="inlineStr">
        <is>
          <t>https://nvd.nist.gov/vuln/detail/CVE-2026-26016</t>
        </is>
      </c>
      <c r="AB643" s="189" t="inlineStr">
        <is>
          <t>NONE</t>
        </is>
      </c>
      <c r="AC643" s="189" t="n">
        <v>0</v>
      </c>
      <c r="AD643" s="189" t="n"/>
    </row>
    <row r="644">
      <c r="A644" s="193" t="inlineStr">
        <is>
          <t>CVE</t>
        </is>
      </c>
      <c r="B644" s="193" t="inlineStr">
        <is>
          <t>CVE-2026-26030</t>
        </is>
      </c>
      <c r="C644" s="193" t="inlineStr">
        <is>
          <t>Semantic Kernel, Microsoft's semantic kernel Python SDK, has a remote code execution vulnerability in versions prior to 1.39.4, specifically within the `InMemoryVectorStore` filter functionality. The problem has been fixed in version `python-1.39.4`. Users should upgrade this version or higher. As a workaround, avoid using `InMemoryVectorStore` for production scenarios.</t>
        </is>
      </c>
      <c r="D644" s="193" t="n">
        <v>9.9</v>
      </c>
      <c r="E644" s="193" t="inlineStr">
        <is>
          <t>CRITICAL</t>
        </is>
      </c>
      <c r="F644" s="193" t="n">
        <v>2</v>
      </c>
      <c r="G644" s="193" t="n">
        <v>3</v>
      </c>
      <c r="H644" s="193" t="inlineStr">
        <is>
          <t>HIGH</t>
        </is>
      </c>
      <c r="I644" s="193" t="n">
        <v>15.9</v>
      </c>
      <c r="J644" s="193" t="inlineStr">
        <is>
          <t>NO</t>
        </is>
      </c>
      <c r="K644" s="194" t="inlineStr">
        <is>
          <t>https://nvd.nist.gov/vuln/detail/CVE-2026-26030</t>
        </is>
      </c>
      <c r="L644" s="193" t="inlineStr">
        <is>
          <t>2026-02-23 23:48</t>
        </is>
      </c>
      <c r="M644" s="193" t="inlineStr">
        <is>
          <t>CHECK_VENDOR</t>
        </is>
      </c>
      <c r="N644" s="193" t="inlineStr">
        <is>
          <t>See NVD references</t>
        </is>
      </c>
      <c r="O644" s="193" t="inlineStr">
        <is>
          <t>Apply vendor patches</t>
        </is>
      </c>
      <c r="P644" s="193" t="inlineStr">
        <is>
          <t>See CVE details</t>
        </is>
      </c>
      <c r="Q644" s="193" t="inlineStr">
        <is>
          <t>P3</t>
        </is>
      </c>
      <c r="R644" s="193" t="inlineStr">
        <is>
          <t>🚨 URGENT: Apply vendor patches immediately | 🔒 Isolate affected systems if patch unavailable | 🛡️ Enable additional monitoring/IDS rules</t>
        </is>
      </c>
      <c r="S644" s="193" t="inlineStr">
        <is>
          <t>CVE - IP enrichment n/a</t>
        </is>
      </c>
      <c r="T644" s="193" t="n">
        <v>0</v>
      </c>
      <c r="U644" s="193" t="n">
        <v>0</v>
      </c>
      <c r="V644" s="193" t="inlineStr">
        <is>
          <t>T1059:Command and Scripting Interpreter | T1190:Exploit Public-Facing Application | T1210:Exploitation of Remote Services</t>
        </is>
      </c>
      <c r="W644" s="193" t="n">
        <v>1</v>
      </c>
      <c r="X644" s="193" t="inlineStr">
        <is>
          <t>LOW (40%)</t>
        </is>
      </c>
      <c r="Y644" s="193" t="inlineStr">
        <is>
          <t>UNLIKELY</t>
        </is>
      </c>
      <c r="Z644" s="193" t="inlineStr">
        <is>
          <t>CHECK_VENDOR</t>
        </is>
      </c>
      <c r="AA644" s="194" t="inlineStr">
        <is>
          <t>https://nvd.nist.gov/vuln/detail/CVE-2026-26030</t>
        </is>
      </c>
      <c r="AB644" s="193" t="inlineStr">
        <is>
          <t>NONE</t>
        </is>
      </c>
      <c r="AC644" s="193" t="n">
        <v>0</v>
      </c>
      <c r="AD644" s="193" t="n"/>
    </row>
    <row r="645">
      <c r="A645" s="189" t="inlineStr">
        <is>
          <t>CVE</t>
        </is>
      </c>
      <c r="B645" s="189" t="inlineStr">
        <is>
          <t>CVE-2026-26336</t>
        </is>
      </c>
      <c r="C645" s="189" t="inlineStr">
        <is>
          <t>Hyland Alfresco allows unauthenticated attackers to read arbitrary files from protected directories (like WEB-INF) via the "/share/page/resource/" endpoint, thus leading to the disclosure of sensitive configuration files.</t>
        </is>
      </c>
      <c r="D645" s="189" t="n">
        <v>7.5</v>
      </c>
      <c r="E645" s="189" t="inlineStr">
        <is>
          <t>HIGH</t>
        </is>
      </c>
      <c r="F645" s="189" t="n">
        <v>2</v>
      </c>
      <c r="G645" s="189" t="n">
        <v>3</v>
      </c>
      <c r="H645" s="189" t="inlineStr">
        <is>
          <t>HIGH</t>
        </is>
      </c>
      <c r="I645" s="189" t="n">
        <v>13.5</v>
      </c>
      <c r="J645" s="189" t="inlineStr">
        <is>
          <t>NO</t>
        </is>
      </c>
      <c r="K645" s="190" t="inlineStr">
        <is>
          <t>https://nvd.nist.gov/vuln/detail/CVE-2026-26336</t>
        </is>
      </c>
      <c r="L645" s="189" t="inlineStr">
        <is>
          <t>2026-02-23 23:48</t>
        </is>
      </c>
      <c r="M645" s="189" t="inlineStr">
        <is>
          <t>CHECK_VENDOR</t>
        </is>
      </c>
      <c r="N645" s="189" t="inlineStr">
        <is>
          <t>See NVD references</t>
        </is>
      </c>
      <c r="O645" s="189" t="inlineStr">
        <is>
          <t>Apply vendor patches</t>
        </is>
      </c>
      <c r="P645" s="189" t="inlineStr">
        <is>
          <t>See CVE details</t>
        </is>
      </c>
      <c r="Q645" s="189" t="inlineStr">
        <is>
          <t>P3</t>
        </is>
      </c>
      <c r="R645" s="189" t="inlineStr">
        <is>
          <t>🚨 URGENT: Apply vendor patches immediately | 🔒 Isolate affected systems if patch unavailable | 🛡️ Enable additional monitoring/IDS rules</t>
        </is>
      </c>
      <c r="S645" s="189" t="inlineStr">
        <is>
          <t>CVE - IP enrichment n/a</t>
        </is>
      </c>
      <c r="T645" s="189" t="n">
        <v>0</v>
      </c>
      <c r="U645" s="189" t="n">
        <v>0</v>
      </c>
      <c r="V645" s="189" t="inlineStr">
        <is>
          <t>T1190:Exploit Public-Facing Application</t>
        </is>
      </c>
      <c r="W645" s="189" t="n">
        <v>1</v>
      </c>
      <c r="X645" s="189" t="inlineStr">
        <is>
          <t>LOW (40%)</t>
        </is>
      </c>
      <c r="Y645" s="189" t="inlineStr">
        <is>
          <t>UNLIKELY</t>
        </is>
      </c>
      <c r="Z645" s="189" t="inlineStr">
        <is>
          <t>CHECK_VENDOR</t>
        </is>
      </c>
      <c r="AA645" s="190" t="inlineStr">
        <is>
          <t>https://nvd.nist.gov/vuln/detail/CVE-2026-26336</t>
        </is>
      </c>
      <c r="AB645" s="189" t="inlineStr">
        <is>
          <t>NONE</t>
        </is>
      </c>
      <c r="AC645" s="189" t="n">
        <v>0</v>
      </c>
      <c r="AD645" s="189" t="n"/>
    </row>
    <row r="646">
      <c r="A646" s="189" t="inlineStr">
        <is>
          <t>CVE</t>
        </is>
      </c>
      <c r="B646" s="189" t="inlineStr">
        <is>
          <t>CVE-2026-2232</t>
        </is>
      </c>
      <c r="C646" s="189" t="inlineStr">
        <is>
          <t>The Product Table and List Builder for WooCommerce Lite plugin for WordPress is vulnerable to time-based SQL Injection via the 'search' parameter in all versions up to, and including, 4.6.2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D646" s="189" t="n">
        <v>7.5</v>
      </c>
      <c r="E646" s="189" t="inlineStr">
        <is>
          <t>HIGH</t>
        </is>
      </c>
      <c r="F646" s="189" t="n">
        <v>2</v>
      </c>
      <c r="G646" s="189" t="n">
        <v>3</v>
      </c>
      <c r="H646" s="189" t="inlineStr">
        <is>
          <t>HIGH</t>
        </is>
      </c>
      <c r="I646" s="189" t="n">
        <v>13.5</v>
      </c>
      <c r="J646" s="189" t="inlineStr">
        <is>
          <t>NO</t>
        </is>
      </c>
      <c r="K646" s="190" t="inlineStr">
        <is>
          <t>https://nvd.nist.gov/vuln/detail/CVE-2026-2232</t>
        </is>
      </c>
      <c r="L646" s="189" t="inlineStr">
        <is>
          <t>2026-02-23 23:48</t>
        </is>
      </c>
      <c r="M646" s="189" t="inlineStr">
        <is>
          <t>CHECK_VENDOR</t>
        </is>
      </c>
      <c r="N646" s="189" t="inlineStr">
        <is>
          <t>See NVD references</t>
        </is>
      </c>
      <c r="O646" s="189" t="inlineStr">
        <is>
          <t>Apply vendor patches</t>
        </is>
      </c>
      <c r="P646" s="189" t="inlineStr">
        <is>
          <t>See CVE details</t>
        </is>
      </c>
      <c r="Q646" s="189" t="inlineStr">
        <is>
          <t>P3</t>
        </is>
      </c>
      <c r="R646" s="189" t="inlineStr">
        <is>
          <t>🚨 URGENT: Apply vendor patches immediately | 🔒 Isolate affected systems if patch unavailable | 🛡️ Enable additional monitoring/IDS rules</t>
        </is>
      </c>
      <c r="S646" s="189" t="inlineStr">
        <is>
          <t>CVE - IP enrichment n/a</t>
        </is>
      </c>
      <c r="T646" s="189" t="n">
        <v>0</v>
      </c>
      <c r="U646" s="189" t="n">
        <v>0</v>
      </c>
      <c r="V646" s="189" t="inlineStr">
        <is>
          <t>T1190:Exploit Public-Facing Application</t>
        </is>
      </c>
      <c r="W646" s="189" t="n">
        <v>1</v>
      </c>
      <c r="X646" s="189" t="inlineStr">
        <is>
          <t>LOW (40%)</t>
        </is>
      </c>
      <c r="Y646" s="189" t="inlineStr">
        <is>
          <t>UNLIKELY</t>
        </is>
      </c>
      <c r="Z646" s="189" t="inlineStr">
        <is>
          <t>CHECK_VENDOR</t>
        </is>
      </c>
      <c r="AA646" s="190" t="inlineStr">
        <is>
          <t>https://nvd.nist.gov/vuln/detail/CVE-2026-2232</t>
        </is>
      </c>
      <c r="AB646" s="189" t="inlineStr">
        <is>
          <t>NONE</t>
        </is>
      </c>
      <c r="AC646" s="189" t="n">
        <v>0</v>
      </c>
      <c r="AD646" s="189" t="n"/>
    </row>
    <row r="647">
      <c r="A647" s="191" t="inlineStr">
        <is>
          <t>CVE</t>
        </is>
      </c>
      <c r="B647" s="191" t="inlineStr">
        <is>
          <t>CVE-2026-23604</t>
        </is>
      </c>
      <c r="C647" s="191" t="inlineStr">
        <is>
          <t>GFI MailEssentials AI versions prior to 22.4 contain a stored cross-site scripting vulnerability in the Keyword Filtering rule creation workflow. An authenticated user can supply HTML/JavaScript in the ctl00$ContentPlaceHolder1$pv1$TXB_RuleName parameter to /MailEssentials/pages/MailSecurity/contentchecking.aspx, which is stored and later rendered in the management interface, allowing script execution in the context of a logged-in user.</t>
        </is>
      </c>
      <c r="D647" s="191" t="n">
        <v>5.4</v>
      </c>
      <c r="E647" s="191" t="inlineStr">
        <is>
          <t>MEDIUM</t>
        </is>
      </c>
      <c r="F647" s="191" t="n">
        <v>2</v>
      </c>
      <c r="G647" s="191" t="n">
        <v>2</v>
      </c>
      <c r="H647" s="191" t="inlineStr">
        <is>
          <t>MEDIUM</t>
        </is>
      </c>
      <c r="I647" s="191" t="n">
        <v>9.4</v>
      </c>
      <c r="J647" s="191" t="inlineStr">
        <is>
          <t>NO</t>
        </is>
      </c>
      <c r="K647" s="192" t="inlineStr">
        <is>
          <t>https://nvd.nist.gov/vuln/detail/CVE-2026-23604</t>
        </is>
      </c>
      <c r="L647" s="191" t="inlineStr">
        <is>
          <t>2026-02-23 23:48</t>
        </is>
      </c>
      <c r="M647" s="191" t="inlineStr">
        <is>
          <t>CHECK_VENDOR</t>
        </is>
      </c>
      <c r="N647" s="191" t="inlineStr">
        <is>
          <t>See NVD references</t>
        </is>
      </c>
      <c r="O647" s="191" t="inlineStr">
        <is>
          <t>Apply vendor patches</t>
        </is>
      </c>
      <c r="P647" s="191" t="inlineStr">
        <is>
          <t>gfi mailessentials *</t>
        </is>
      </c>
      <c r="Q647" s="191" t="inlineStr">
        <is>
          <t>P4</t>
        </is>
      </c>
      <c r="R647" s="191" t="inlineStr">
        <is>
          <t>📅 Schedule patch deployment within 30 days | 🔍 Monitor for exploitation attempts</t>
        </is>
      </c>
      <c r="S647" s="191" t="inlineStr">
        <is>
          <t>CVE - IP enrichment n/a</t>
        </is>
      </c>
      <c r="T647" s="191" t="n">
        <v>0</v>
      </c>
      <c r="U647" s="191" t="n">
        <v>0</v>
      </c>
      <c r="V647" s="191" t="inlineStr">
        <is>
          <t>T1189:Drive-by Compromise</t>
        </is>
      </c>
      <c r="W647" s="191" t="n">
        <v>1</v>
      </c>
      <c r="X647" s="191" t="inlineStr">
        <is>
          <t>LOW (40%)</t>
        </is>
      </c>
      <c r="Y647" s="191" t="inlineStr">
        <is>
          <t>UNLIKELY</t>
        </is>
      </c>
      <c r="Z647" s="191" t="inlineStr">
        <is>
          <t>CHECK_VENDOR</t>
        </is>
      </c>
      <c r="AA647" s="192" t="inlineStr">
        <is>
          <t>https://nvd.nist.gov/vuln/detail/CVE-2026-23604</t>
        </is>
      </c>
      <c r="AB647" s="191" t="inlineStr">
        <is>
          <t>NONE</t>
        </is>
      </c>
      <c r="AC647" s="191" t="n">
        <v>0</v>
      </c>
      <c r="AD647" s="191" t="n"/>
    </row>
    <row r="648">
      <c r="A648" s="191" t="inlineStr">
        <is>
          <t>CVE</t>
        </is>
      </c>
      <c r="B648" s="191" t="inlineStr">
        <is>
          <t>CVE-2026-23605</t>
        </is>
      </c>
      <c r="C648" s="191" t="inlineStr">
        <is>
          <t>GFI MailEssentials AI versions prior to 22.4 contain a stored cross-site scripting vulnerability in the Attachment Filtering rule creation workflow. An authenticated user can supply HTML/JavaScript in the ctl00$ContentPlaceHolder1$pv1$TXB_RuleName parameter to /MailEssentials/pages/MailSecurity/attachmentchecking.aspx, which is stored and later rendered in the management interface, allowing script execution in the context of a logged-in user.</t>
        </is>
      </c>
      <c r="D648" s="191" t="n">
        <v>5.4</v>
      </c>
      <c r="E648" s="191" t="inlineStr">
        <is>
          <t>MEDIUM</t>
        </is>
      </c>
      <c r="F648" s="191" t="n">
        <v>2</v>
      </c>
      <c r="G648" s="191" t="n">
        <v>2</v>
      </c>
      <c r="H648" s="191" t="inlineStr">
        <is>
          <t>MEDIUM</t>
        </is>
      </c>
      <c r="I648" s="191" t="n">
        <v>9.4</v>
      </c>
      <c r="J648" s="191" t="inlineStr">
        <is>
          <t>NO</t>
        </is>
      </c>
      <c r="K648" s="192" t="inlineStr">
        <is>
          <t>https://nvd.nist.gov/vuln/detail/CVE-2026-23605</t>
        </is>
      </c>
      <c r="L648" s="191" t="inlineStr">
        <is>
          <t>2026-02-23 23:48</t>
        </is>
      </c>
      <c r="M648" s="191" t="inlineStr">
        <is>
          <t>CHECK_VENDOR</t>
        </is>
      </c>
      <c r="N648" s="191" t="inlineStr">
        <is>
          <t>See NVD references</t>
        </is>
      </c>
      <c r="O648" s="191" t="inlineStr">
        <is>
          <t>Apply vendor patches</t>
        </is>
      </c>
      <c r="P648" s="191" t="inlineStr">
        <is>
          <t>gfi mailessentials *</t>
        </is>
      </c>
      <c r="Q648" s="191" t="inlineStr">
        <is>
          <t>P4</t>
        </is>
      </c>
      <c r="R648" s="191" t="inlineStr">
        <is>
          <t>📅 Schedule patch deployment within 30 days | 🔍 Monitor for exploitation attempts</t>
        </is>
      </c>
      <c r="S648" s="191" t="inlineStr">
        <is>
          <t>CVE - IP enrichment n/a</t>
        </is>
      </c>
      <c r="T648" s="191" t="n">
        <v>0</v>
      </c>
      <c r="U648" s="191" t="n">
        <v>0</v>
      </c>
      <c r="V648" s="191" t="inlineStr">
        <is>
          <t>T1189:Drive-by Compromise</t>
        </is>
      </c>
      <c r="W648" s="191" t="n">
        <v>1</v>
      </c>
      <c r="X648" s="191" t="inlineStr">
        <is>
          <t>LOW (40%)</t>
        </is>
      </c>
      <c r="Y648" s="191" t="inlineStr">
        <is>
          <t>UNLIKELY</t>
        </is>
      </c>
      <c r="Z648" s="191" t="inlineStr">
        <is>
          <t>CHECK_VENDOR</t>
        </is>
      </c>
      <c r="AA648" s="192" t="inlineStr">
        <is>
          <t>https://nvd.nist.gov/vuln/detail/CVE-2026-23605</t>
        </is>
      </c>
      <c r="AB648" s="191" t="inlineStr">
        <is>
          <t>NONE</t>
        </is>
      </c>
      <c r="AC648" s="191" t="n">
        <v>0</v>
      </c>
      <c r="AD648" s="191" t="n"/>
    </row>
    <row r="649">
      <c r="A649" s="191" t="inlineStr">
        <is>
          <t>CVE</t>
        </is>
      </c>
      <c r="B649" s="191" t="inlineStr">
        <is>
          <t>CVE-2026-23606</t>
        </is>
      </c>
      <c r="C649" s="191" t="inlineStr">
        <is>
          <t>GFI MailEssentials AI versions prior to 22.4 contain a stored cross-site scripting vulnerability in the Advanced Content Filtering rule creation workflow. An authenticated user can supply HTML/JavaScript in the ctl00$ContentPlaceHolder1$pv1$txtRuleName parameter to /MailEssentials/pages/MailSecurity/advancedfiltering.aspx, which is stored and later rendered in the management interface, allowing script execution in the context of a logged-in user.</t>
        </is>
      </c>
      <c r="D649" s="191" t="n">
        <v>5.4</v>
      </c>
      <c r="E649" s="191" t="inlineStr">
        <is>
          <t>MEDIUM</t>
        </is>
      </c>
      <c r="F649" s="191" t="n">
        <v>2</v>
      </c>
      <c r="G649" s="191" t="n">
        <v>2</v>
      </c>
      <c r="H649" s="191" t="inlineStr">
        <is>
          <t>MEDIUM</t>
        </is>
      </c>
      <c r="I649" s="191" t="n">
        <v>9.4</v>
      </c>
      <c r="J649" s="191" t="inlineStr">
        <is>
          <t>NO</t>
        </is>
      </c>
      <c r="K649" s="192" t="inlineStr">
        <is>
          <t>https://nvd.nist.gov/vuln/detail/CVE-2026-23606</t>
        </is>
      </c>
      <c r="L649" s="191" t="inlineStr">
        <is>
          <t>2026-02-23 23:48</t>
        </is>
      </c>
      <c r="M649" s="191" t="inlineStr">
        <is>
          <t>CHECK_VENDOR</t>
        </is>
      </c>
      <c r="N649" s="191" t="inlineStr">
        <is>
          <t>See NVD references</t>
        </is>
      </c>
      <c r="O649" s="191" t="inlineStr">
        <is>
          <t>Apply vendor patches</t>
        </is>
      </c>
      <c r="P649" s="191" t="inlineStr">
        <is>
          <t>gfi mailessentials *</t>
        </is>
      </c>
      <c r="Q649" s="191" t="inlineStr">
        <is>
          <t>P4</t>
        </is>
      </c>
      <c r="R649" s="191" t="inlineStr">
        <is>
          <t>📅 Schedule patch deployment within 30 days | 🔍 Monitor for exploitation attempts</t>
        </is>
      </c>
      <c r="S649" s="191" t="inlineStr">
        <is>
          <t>CVE - IP enrichment n/a</t>
        </is>
      </c>
      <c r="T649" s="191" t="n">
        <v>0</v>
      </c>
      <c r="U649" s="191" t="n">
        <v>0</v>
      </c>
      <c r="V649" s="191" t="inlineStr">
        <is>
          <t>T1189:Drive-by Compromise</t>
        </is>
      </c>
      <c r="W649" s="191" t="n">
        <v>1</v>
      </c>
      <c r="X649" s="191" t="inlineStr">
        <is>
          <t>LOW (40%)</t>
        </is>
      </c>
      <c r="Y649" s="191" t="inlineStr">
        <is>
          <t>UNLIKELY</t>
        </is>
      </c>
      <c r="Z649" s="191" t="inlineStr">
        <is>
          <t>CHECK_VENDOR</t>
        </is>
      </c>
      <c r="AA649" s="192" t="inlineStr">
        <is>
          <t>https://nvd.nist.gov/vuln/detail/CVE-2026-23606</t>
        </is>
      </c>
      <c r="AB649" s="191" t="inlineStr">
        <is>
          <t>NONE</t>
        </is>
      </c>
      <c r="AC649" s="191" t="n">
        <v>0</v>
      </c>
      <c r="AD649" s="191" t="n"/>
    </row>
    <row r="650">
      <c r="A650" s="191" t="inlineStr">
        <is>
          <t>CVE</t>
        </is>
      </c>
      <c r="B650" s="191" t="inlineStr">
        <is>
          <t>CVE-2026-23607</t>
        </is>
      </c>
      <c r="C650" s="191" t="inlineStr">
        <is>
          <t>GFI MailEssentials AI versions prior to 22.4 contain a stored cross-site scripting vulnerability in the Anti-Spam Whitelist management interface. An authenticated user can supply HTML/JavaScript in the ctl00$ContentPlaceHolder1$pv1$txtDescription parameter to /MailEssentials/pages/MailSecurity/Whitelist.aspx, which is stored and later rendered in the management interface, allowing script execution in the context of a logged-in user.</t>
        </is>
      </c>
      <c r="D650" s="191" t="n">
        <v>5.4</v>
      </c>
      <c r="E650" s="191" t="inlineStr">
        <is>
          <t>MEDIUM</t>
        </is>
      </c>
      <c r="F650" s="191" t="n">
        <v>2</v>
      </c>
      <c r="G650" s="191" t="n">
        <v>2</v>
      </c>
      <c r="H650" s="191" t="inlineStr">
        <is>
          <t>MEDIUM</t>
        </is>
      </c>
      <c r="I650" s="191" t="n">
        <v>9.4</v>
      </c>
      <c r="J650" s="191" t="inlineStr">
        <is>
          <t>NO</t>
        </is>
      </c>
      <c r="K650" s="192" t="inlineStr">
        <is>
          <t>https://nvd.nist.gov/vuln/detail/CVE-2026-23607</t>
        </is>
      </c>
      <c r="L650" s="191" t="inlineStr">
        <is>
          <t>2026-02-23 23:48</t>
        </is>
      </c>
      <c r="M650" s="191" t="inlineStr">
        <is>
          <t>CHECK_VENDOR</t>
        </is>
      </c>
      <c r="N650" s="191" t="inlineStr">
        <is>
          <t>See NVD references</t>
        </is>
      </c>
      <c r="O650" s="191" t="inlineStr">
        <is>
          <t>Apply vendor patches</t>
        </is>
      </c>
      <c r="P650" s="191" t="inlineStr">
        <is>
          <t>gfi mailessentials *</t>
        </is>
      </c>
      <c r="Q650" s="191" t="inlineStr">
        <is>
          <t>P4</t>
        </is>
      </c>
      <c r="R650" s="191" t="inlineStr">
        <is>
          <t>📅 Schedule patch deployment within 30 days | 🔍 Monitor for exploitation attempts</t>
        </is>
      </c>
      <c r="S650" s="191" t="inlineStr">
        <is>
          <t>CVE - IP enrichment n/a</t>
        </is>
      </c>
      <c r="T650" s="191" t="n">
        <v>0.0003</v>
      </c>
      <c r="U650" s="191" t="n">
        <v>0.0949</v>
      </c>
      <c r="V650" s="191" t="inlineStr">
        <is>
          <t>T1189:Drive-by Compromise</t>
        </is>
      </c>
      <c r="W650" s="191" t="n">
        <v>1</v>
      </c>
      <c r="X650" s="191" t="inlineStr">
        <is>
          <t>LOW (40%)</t>
        </is>
      </c>
      <c r="Y650" s="191" t="inlineStr">
        <is>
          <t>UNLIKELY</t>
        </is>
      </c>
      <c r="Z650" s="191" t="inlineStr">
        <is>
          <t>CHECK_VENDOR</t>
        </is>
      </c>
      <c r="AA650" s="192" t="inlineStr">
        <is>
          <t>https://nvd.nist.gov/vuln/detail/CVE-2026-23607</t>
        </is>
      </c>
      <c r="AB650" s="191" t="inlineStr">
        <is>
          <t>NONE</t>
        </is>
      </c>
      <c r="AC650" s="191" t="n">
        <v>0</v>
      </c>
      <c r="AD650" s="191" t="n"/>
    </row>
    <row r="651">
      <c r="A651" s="191" t="inlineStr">
        <is>
          <t>CVE</t>
        </is>
      </c>
      <c r="B651" s="191" t="inlineStr">
        <is>
          <t>CVE-2026-23608</t>
        </is>
      </c>
      <c r="C651" s="191" t="inlineStr">
        <is>
          <t>GFI MailEssentials AI versions prior to 22.4 contain a stored cross-site scripting vulnerability in the Mail Monitoring rule creation endpoint. An authenticated user can supply HTML/JavaScript in the JSON \"name\" field to /MailEssentials/pages/MailSecurity/MailMonitoring.aspx/Save, which is stored and later rendered in the management interface, allowing script execution in the context of a logged-in user.</t>
        </is>
      </c>
      <c r="D651" s="191" t="n">
        <v>5.4</v>
      </c>
      <c r="E651" s="191" t="inlineStr">
        <is>
          <t>MEDIUM</t>
        </is>
      </c>
      <c r="F651" s="191" t="n">
        <v>2</v>
      </c>
      <c r="G651" s="191" t="n">
        <v>2</v>
      </c>
      <c r="H651" s="191" t="inlineStr">
        <is>
          <t>MEDIUM</t>
        </is>
      </c>
      <c r="I651" s="191" t="n">
        <v>9.4</v>
      </c>
      <c r="J651" s="191" t="inlineStr">
        <is>
          <t>NO</t>
        </is>
      </c>
      <c r="K651" s="192" t="inlineStr">
        <is>
          <t>https://nvd.nist.gov/vuln/detail/CVE-2026-23608</t>
        </is>
      </c>
      <c r="L651" s="191" t="inlineStr">
        <is>
          <t>2026-02-23 23:48</t>
        </is>
      </c>
      <c r="M651" s="191" t="inlineStr">
        <is>
          <t>CHECK_VENDOR</t>
        </is>
      </c>
      <c r="N651" s="191" t="inlineStr">
        <is>
          <t>See NVD references</t>
        </is>
      </c>
      <c r="O651" s="191" t="inlineStr">
        <is>
          <t>Apply vendor patches</t>
        </is>
      </c>
      <c r="P651" s="191" t="inlineStr">
        <is>
          <t>gfi mailessentials *</t>
        </is>
      </c>
      <c r="Q651" s="191" t="inlineStr">
        <is>
          <t>P4</t>
        </is>
      </c>
      <c r="R651" s="191" t="inlineStr">
        <is>
          <t>📅 Schedule patch deployment within 30 days | 🔍 Monitor for exploitation attempts</t>
        </is>
      </c>
      <c r="S651" s="191" t="inlineStr">
        <is>
          <t>CVE - IP enrichment n/a</t>
        </is>
      </c>
      <c r="T651" s="191" t="n">
        <v>0</v>
      </c>
      <c r="U651" s="191" t="n">
        <v>0</v>
      </c>
      <c r="V651" s="191" t="inlineStr">
        <is>
          <t>T1189:Drive-by Compromise</t>
        </is>
      </c>
      <c r="W651" s="191" t="n">
        <v>1</v>
      </c>
      <c r="X651" s="191" t="inlineStr">
        <is>
          <t>LOW (40%)</t>
        </is>
      </c>
      <c r="Y651" s="191" t="inlineStr">
        <is>
          <t>UNLIKELY</t>
        </is>
      </c>
      <c r="Z651" s="191" t="inlineStr">
        <is>
          <t>CHECK_VENDOR</t>
        </is>
      </c>
      <c r="AA651" s="192" t="inlineStr">
        <is>
          <t>https://nvd.nist.gov/vuln/detail/CVE-2026-23608</t>
        </is>
      </c>
      <c r="AB651" s="191" t="inlineStr">
        <is>
          <t>NONE</t>
        </is>
      </c>
      <c r="AC651" s="191" t="n">
        <v>0</v>
      </c>
      <c r="AD651" s="191" t="n"/>
    </row>
    <row r="652">
      <c r="A652" s="191" t="inlineStr">
        <is>
          <t>CVE</t>
        </is>
      </c>
      <c r="B652" s="191" t="inlineStr">
        <is>
          <t>CVE-2026-23609</t>
        </is>
      </c>
      <c r="C652" s="191" t="inlineStr">
        <is>
          <t>GFI MailEssentials AI versions prior to 22.4 contain a stored cross-site scripting vulnerability in the Perimeter SMTP Servers configuration page. An authenticated user can supply HTML/JavaScript in the ctl00$ContentPlaceHolder1$pv3$txtDescription parameter to /MailEssentials/pages/MailSecurity/PerimeterSMTPServers.aspx, which is stored and later rendered in the management interface, allowing script execution in the context of a logged-in user.</t>
        </is>
      </c>
      <c r="D652" s="191" t="n">
        <v>5.4</v>
      </c>
      <c r="E652" s="191" t="inlineStr">
        <is>
          <t>MEDIUM</t>
        </is>
      </c>
      <c r="F652" s="191" t="n">
        <v>2</v>
      </c>
      <c r="G652" s="191" t="n">
        <v>2</v>
      </c>
      <c r="H652" s="191" t="inlineStr">
        <is>
          <t>MEDIUM</t>
        </is>
      </c>
      <c r="I652" s="191" t="n">
        <v>9.4</v>
      </c>
      <c r="J652" s="191" t="inlineStr">
        <is>
          <t>NO</t>
        </is>
      </c>
      <c r="K652" s="192" t="inlineStr">
        <is>
          <t>https://nvd.nist.gov/vuln/detail/CVE-2026-23609</t>
        </is>
      </c>
      <c r="L652" s="191" t="inlineStr">
        <is>
          <t>2026-02-23 23:48</t>
        </is>
      </c>
      <c r="M652" s="191" t="inlineStr">
        <is>
          <t>CHECK_VENDOR</t>
        </is>
      </c>
      <c r="N652" s="191" t="inlineStr">
        <is>
          <t>See NVD references</t>
        </is>
      </c>
      <c r="O652" s="191" t="inlineStr">
        <is>
          <t>Apply vendor patches</t>
        </is>
      </c>
      <c r="P652" s="191" t="inlineStr">
        <is>
          <t>gfi mailessentials *</t>
        </is>
      </c>
      <c r="Q652" s="191" t="inlineStr">
        <is>
          <t>P4</t>
        </is>
      </c>
      <c r="R652" s="191" t="inlineStr">
        <is>
          <t>📅 Schedule patch deployment within 30 days | 🔍 Monitor for exploitation attempts</t>
        </is>
      </c>
      <c r="S652" s="191" t="inlineStr">
        <is>
          <t>CVE - IP enrichment n/a</t>
        </is>
      </c>
      <c r="T652" s="191" t="n">
        <v>0</v>
      </c>
      <c r="U652" s="191" t="n">
        <v>0</v>
      </c>
      <c r="V652" s="191" t="inlineStr">
        <is>
          <t>T1189:Drive-by Compromise</t>
        </is>
      </c>
      <c r="W652" s="191" t="n">
        <v>1</v>
      </c>
      <c r="X652" s="191" t="inlineStr">
        <is>
          <t>LOW (40%)</t>
        </is>
      </c>
      <c r="Y652" s="191" t="inlineStr">
        <is>
          <t>UNLIKELY</t>
        </is>
      </c>
      <c r="Z652" s="191" t="inlineStr">
        <is>
          <t>CHECK_VENDOR</t>
        </is>
      </c>
      <c r="AA652" s="192" t="inlineStr">
        <is>
          <t>https://nvd.nist.gov/vuln/detail/CVE-2026-23609</t>
        </is>
      </c>
      <c r="AB652" s="191" t="inlineStr">
        <is>
          <t>NONE</t>
        </is>
      </c>
      <c r="AC652" s="191" t="n">
        <v>0</v>
      </c>
      <c r="AD652" s="191" t="n"/>
    </row>
    <row r="653">
      <c r="A653" s="191" t="inlineStr">
        <is>
          <t>CVE</t>
        </is>
      </c>
      <c r="B653" s="191" t="inlineStr">
        <is>
          <t>CVE-2026-23610</t>
        </is>
      </c>
      <c r="C653" s="191" t="inlineStr">
        <is>
          <t>GFI MailEssentials AI versions prior to 22.4 contain a stored cross-site scripting vulnerability in the POP2Exchange configuration endpoint. An authenticated user can supply HTML/JavaScript in the POP3 server login field within the JSON \"popServers\" payload to /MailEssentials/pages/MailSecurity/POP2Exchange.aspx/Save, which is stored and later rendered in the management interface, allowing script execution in the context of a logged-in user.</t>
        </is>
      </c>
      <c r="D653" s="191" t="n">
        <v>5.4</v>
      </c>
      <c r="E653" s="191" t="inlineStr">
        <is>
          <t>MEDIUM</t>
        </is>
      </c>
      <c r="F653" s="191" t="n">
        <v>2</v>
      </c>
      <c r="G653" s="191" t="n">
        <v>2</v>
      </c>
      <c r="H653" s="191" t="inlineStr">
        <is>
          <t>MEDIUM</t>
        </is>
      </c>
      <c r="I653" s="191" t="n">
        <v>9.4</v>
      </c>
      <c r="J653" s="191" t="inlineStr">
        <is>
          <t>NO</t>
        </is>
      </c>
      <c r="K653" s="192" t="inlineStr">
        <is>
          <t>https://nvd.nist.gov/vuln/detail/CVE-2026-23610</t>
        </is>
      </c>
      <c r="L653" s="191" t="inlineStr">
        <is>
          <t>2026-02-23 23:48</t>
        </is>
      </c>
      <c r="M653" s="191" t="inlineStr">
        <is>
          <t>CHECK_VENDOR</t>
        </is>
      </c>
      <c r="N653" s="191" t="inlineStr">
        <is>
          <t>See NVD references</t>
        </is>
      </c>
      <c r="O653" s="191" t="inlineStr">
        <is>
          <t>Apply vendor patches</t>
        </is>
      </c>
      <c r="P653" s="191" t="inlineStr">
        <is>
          <t>gfi mailessentials *</t>
        </is>
      </c>
      <c r="Q653" s="191" t="inlineStr">
        <is>
          <t>P4</t>
        </is>
      </c>
      <c r="R653" s="191" t="inlineStr">
        <is>
          <t>📅 Schedule patch deployment within 30 days | 🔍 Monitor for exploitation attempts</t>
        </is>
      </c>
      <c r="S653" s="191" t="inlineStr">
        <is>
          <t>CVE - IP enrichment n/a</t>
        </is>
      </c>
      <c r="T653" s="191" t="n">
        <v>0</v>
      </c>
      <c r="U653" s="191" t="n">
        <v>0</v>
      </c>
      <c r="V653" s="191" t="inlineStr">
        <is>
          <t>T1189:Drive-by Compromise</t>
        </is>
      </c>
      <c r="W653" s="191" t="n">
        <v>1</v>
      </c>
      <c r="X653" s="191" t="inlineStr">
        <is>
          <t>LOW (40%)</t>
        </is>
      </c>
      <c r="Y653" s="191" t="inlineStr">
        <is>
          <t>UNLIKELY</t>
        </is>
      </c>
      <c r="Z653" s="191" t="inlineStr">
        <is>
          <t>CHECK_VENDOR</t>
        </is>
      </c>
      <c r="AA653" s="192" t="inlineStr">
        <is>
          <t>https://nvd.nist.gov/vuln/detail/CVE-2026-23610</t>
        </is>
      </c>
      <c r="AB653" s="191" t="inlineStr">
        <is>
          <t>NONE</t>
        </is>
      </c>
      <c r="AC653" s="191" t="n">
        <v>0</v>
      </c>
      <c r="AD653" s="191" t="n"/>
    </row>
    <row r="654">
      <c r="A654" s="191" t="inlineStr">
        <is>
          <t>CVE</t>
        </is>
      </c>
      <c r="B654" s="191" t="inlineStr">
        <is>
          <t>CVE-2026-23611</t>
        </is>
      </c>
      <c r="C654" s="191" t="inlineStr">
        <is>
          <t>GFI MailEssentials AI versions prior to 22.4 contain a stored cross-site scripting vulnerability in the IP Blocklist management page. An authenticated user can supply HTML/JavaScript in the ctl00$ContentPlaceHolder1$pv1$txtIPDescription parameter to /MailEssentials/pages/MailSecurity/ipblocklist.aspx, which is stored and later rendered in the management interface, allowing script execution in the context of a logged-in user.</t>
        </is>
      </c>
      <c r="D654" s="191" t="n">
        <v>5.4</v>
      </c>
      <c r="E654" s="191" t="inlineStr">
        <is>
          <t>MEDIUM</t>
        </is>
      </c>
      <c r="F654" s="191" t="n">
        <v>2</v>
      </c>
      <c r="G654" s="191" t="n">
        <v>2</v>
      </c>
      <c r="H654" s="191" t="inlineStr">
        <is>
          <t>MEDIUM</t>
        </is>
      </c>
      <c r="I654" s="191" t="n">
        <v>9.4</v>
      </c>
      <c r="J654" s="191" t="inlineStr">
        <is>
          <t>NO</t>
        </is>
      </c>
      <c r="K654" s="192" t="inlineStr">
        <is>
          <t>https://nvd.nist.gov/vuln/detail/CVE-2026-23611</t>
        </is>
      </c>
      <c r="L654" s="191" t="inlineStr">
        <is>
          <t>2026-02-23 23:48</t>
        </is>
      </c>
      <c r="M654" s="191" t="inlineStr">
        <is>
          <t>CHECK_VENDOR</t>
        </is>
      </c>
      <c r="N654" s="191" t="inlineStr">
        <is>
          <t>See NVD references</t>
        </is>
      </c>
      <c r="O654" s="191" t="inlineStr">
        <is>
          <t>Apply vendor patches</t>
        </is>
      </c>
      <c r="P654" s="191" t="inlineStr">
        <is>
          <t>gfi mailessentials *</t>
        </is>
      </c>
      <c r="Q654" s="191" t="inlineStr">
        <is>
          <t>P4</t>
        </is>
      </c>
      <c r="R654" s="191" t="inlineStr">
        <is>
          <t>📅 Schedule patch deployment within 30 days | 🔍 Monitor for exploitation attempts</t>
        </is>
      </c>
      <c r="S654" s="191" t="inlineStr">
        <is>
          <t>CVE - IP enrichment n/a</t>
        </is>
      </c>
      <c r="T654" s="191" t="n">
        <v>0</v>
      </c>
      <c r="U654" s="191" t="n">
        <v>0</v>
      </c>
      <c r="V654" s="191" t="inlineStr">
        <is>
          <t>T1189:Drive-by Compromise</t>
        </is>
      </c>
      <c r="W654" s="191" t="n">
        <v>1</v>
      </c>
      <c r="X654" s="191" t="inlineStr">
        <is>
          <t>LOW (40%)</t>
        </is>
      </c>
      <c r="Y654" s="191" t="inlineStr">
        <is>
          <t>UNLIKELY</t>
        </is>
      </c>
      <c r="Z654" s="191" t="inlineStr">
        <is>
          <t>CHECK_VENDOR</t>
        </is>
      </c>
      <c r="AA654" s="192" t="inlineStr">
        <is>
          <t>https://nvd.nist.gov/vuln/detail/CVE-2026-23611</t>
        </is>
      </c>
      <c r="AB654" s="191" t="inlineStr">
        <is>
          <t>NONE</t>
        </is>
      </c>
      <c r="AC654" s="191" t="n">
        <v>0</v>
      </c>
      <c r="AD654" s="191" t="n"/>
    </row>
    <row r="655">
      <c r="A655" s="191" t="inlineStr">
        <is>
          <t>CVE</t>
        </is>
      </c>
      <c r="B655" s="191" t="inlineStr">
        <is>
          <t>CVE-2026-23612</t>
        </is>
      </c>
      <c r="C655" s="191" t="inlineStr">
        <is>
          <t>GFI MailEssentials AI versions prior to 22.4 contain a stored cross-site scripting vulnerability in the IP DNS Blocklist configuration page. An authenticated user can supply HTML/JavaScript in the ctl00$ContentPlaceHolder1$pv1$TXB_IPs parameter to /MailEssentials/pages/MailSecurity/ipdnsblocklist.aspx, which is stored and later rendered in the management interface, allowing script execution in the context of a logged-in user.</t>
        </is>
      </c>
      <c r="D655" s="191" t="n">
        <v>5.4</v>
      </c>
      <c r="E655" s="191" t="inlineStr">
        <is>
          <t>MEDIUM</t>
        </is>
      </c>
      <c r="F655" s="191" t="n">
        <v>2</v>
      </c>
      <c r="G655" s="191" t="n">
        <v>2</v>
      </c>
      <c r="H655" s="191" t="inlineStr">
        <is>
          <t>MEDIUM</t>
        </is>
      </c>
      <c r="I655" s="191" t="n">
        <v>9.4</v>
      </c>
      <c r="J655" s="191" t="inlineStr">
        <is>
          <t>NO</t>
        </is>
      </c>
      <c r="K655" s="192" t="inlineStr">
        <is>
          <t>https://nvd.nist.gov/vuln/detail/CVE-2026-23612</t>
        </is>
      </c>
      <c r="L655" s="191" t="inlineStr">
        <is>
          <t>2026-02-23 23:48</t>
        </is>
      </c>
      <c r="M655" s="191" t="inlineStr">
        <is>
          <t>CHECK_VENDOR</t>
        </is>
      </c>
      <c r="N655" s="191" t="inlineStr">
        <is>
          <t>See NVD references</t>
        </is>
      </c>
      <c r="O655" s="191" t="inlineStr">
        <is>
          <t>Apply vendor patches</t>
        </is>
      </c>
      <c r="P655" s="191" t="inlineStr">
        <is>
          <t>gfi mailessentials *</t>
        </is>
      </c>
      <c r="Q655" s="191" t="inlineStr">
        <is>
          <t>P4</t>
        </is>
      </c>
      <c r="R655" s="191" t="inlineStr">
        <is>
          <t>📅 Schedule patch deployment within 30 days | 🔍 Monitor for exploitation attempts</t>
        </is>
      </c>
      <c r="S655" s="191" t="inlineStr">
        <is>
          <t>CVE - IP enrichment n/a</t>
        </is>
      </c>
      <c r="T655" s="191" t="n">
        <v>0.0003</v>
      </c>
      <c r="U655" s="191" t="n">
        <v>0.0949</v>
      </c>
      <c r="V655" s="191" t="inlineStr">
        <is>
          <t>T1189:Drive-by Compromise</t>
        </is>
      </c>
      <c r="W655" s="191" t="n">
        <v>1</v>
      </c>
      <c r="X655" s="191" t="inlineStr">
        <is>
          <t>LOW (40%)</t>
        </is>
      </c>
      <c r="Y655" s="191" t="inlineStr">
        <is>
          <t>UNLIKELY</t>
        </is>
      </c>
      <c r="Z655" s="191" t="inlineStr">
        <is>
          <t>CHECK_VENDOR</t>
        </is>
      </c>
      <c r="AA655" s="192" t="inlineStr">
        <is>
          <t>https://nvd.nist.gov/vuln/detail/CVE-2026-23612</t>
        </is>
      </c>
      <c r="AB655" s="191" t="inlineStr">
        <is>
          <t>NONE</t>
        </is>
      </c>
      <c r="AC655" s="191" t="n">
        <v>0</v>
      </c>
      <c r="AD655" s="191" t="n"/>
    </row>
    <row r="656">
      <c r="A656" s="191" t="inlineStr">
        <is>
          <t>CVE</t>
        </is>
      </c>
      <c r="B656" s="191" t="inlineStr">
        <is>
          <t>CVE-2026-23613</t>
        </is>
      </c>
      <c r="C656" s="191" t="inlineStr">
        <is>
          <t>GFI MailEssentials AI versions prior to 22.4 contain a stored cross-site scripting vulnerability in the URI DNS Blocklist configuration page. An authenticated user can supply HTML/JavaScript in the ctl00$ContentPlaceHolder1$pv1$TXB_URIs parameter to /MailEssentials/pages/MailSecurity/uridnsblocklist.aspx, which is stored and later rendered in the management interface, allowing script execution in the context of a logged-in user.</t>
        </is>
      </c>
      <c r="D656" s="191" t="n">
        <v>5.4</v>
      </c>
      <c r="E656" s="191" t="inlineStr">
        <is>
          <t>MEDIUM</t>
        </is>
      </c>
      <c r="F656" s="191" t="n">
        <v>2</v>
      </c>
      <c r="G656" s="191" t="n">
        <v>2</v>
      </c>
      <c r="H656" s="191" t="inlineStr">
        <is>
          <t>MEDIUM</t>
        </is>
      </c>
      <c r="I656" s="191" t="n">
        <v>9.4</v>
      </c>
      <c r="J656" s="191" t="inlineStr">
        <is>
          <t>NO</t>
        </is>
      </c>
      <c r="K656" s="192" t="inlineStr">
        <is>
          <t>https://nvd.nist.gov/vuln/detail/CVE-2026-23613</t>
        </is>
      </c>
      <c r="L656" s="191" t="inlineStr">
        <is>
          <t>2026-02-23 23:48</t>
        </is>
      </c>
      <c r="M656" s="191" t="inlineStr">
        <is>
          <t>CHECK_VENDOR</t>
        </is>
      </c>
      <c r="N656" s="191" t="inlineStr">
        <is>
          <t>See NVD references</t>
        </is>
      </c>
      <c r="O656" s="191" t="inlineStr">
        <is>
          <t>Apply vendor patches</t>
        </is>
      </c>
      <c r="P656" s="191" t="inlineStr">
        <is>
          <t>gfi mailessentials *</t>
        </is>
      </c>
      <c r="Q656" s="191" t="inlineStr">
        <is>
          <t>P4</t>
        </is>
      </c>
      <c r="R656" s="191" t="inlineStr">
        <is>
          <t>📅 Schedule patch deployment within 30 days | 🔍 Monitor for exploitation attempts</t>
        </is>
      </c>
      <c r="S656" s="191" t="inlineStr">
        <is>
          <t>CVE - IP enrichment n/a</t>
        </is>
      </c>
      <c r="T656" s="191" t="n">
        <v>0.0003</v>
      </c>
      <c r="U656" s="191" t="n">
        <v>0.0949</v>
      </c>
      <c r="V656" s="191" t="inlineStr">
        <is>
          <t>T1189:Drive-by Compromise</t>
        </is>
      </c>
      <c r="W656" s="191" t="n">
        <v>1</v>
      </c>
      <c r="X656" s="191" t="inlineStr">
        <is>
          <t>LOW (40%)</t>
        </is>
      </c>
      <c r="Y656" s="191" t="inlineStr">
        <is>
          <t>UNLIKELY</t>
        </is>
      </c>
      <c r="Z656" s="191" t="inlineStr">
        <is>
          <t>CHECK_VENDOR</t>
        </is>
      </c>
      <c r="AA656" s="192" t="inlineStr">
        <is>
          <t>https://nvd.nist.gov/vuln/detail/CVE-2026-23613</t>
        </is>
      </c>
      <c r="AB656" s="191" t="inlineStr">
        <is>
          <t>NONE</t>
        </is>
      </c>
      <c r="AC656" s="191" t="n">
        <v>0</v>
      </c>
      <c r="AD656" s="191" t="n"/>
    </row>
    <row r="657">
      <c r="A657" s="191" t="inlineStr">
        <is>
          <t>CVE</t>
        </is>
      </c>
      <c r="B657" s="191" t="inlineStr">
        <is>
          <t>CVE-2026-23614</t>
        </is>
      </c>
      <c r="C657" s="191" t="inlineStr">
        <is>
          <t>GFI MailEssentials AI versions prior to 22.4 contain a stored cross-site scripting vulnerability in the Sender Policy Framework IP Exceptions interface. An authenticated user can supply HTML/JavaScript in the ctl00$ContentPlaceHolder1$pv2$txtIPDescription parameter to /MailEssentials/pages/MailSecurity/SenderPolicyFramework.aspx, which is stored and later rendered in the management interface, allowing script execution in the context of a logged-in user.</t>
        </is>
      </c>
      <c r="D657" s="191" t="n">
        <v>5.4</v>
      </c>
      <c r="E657" s="191" t="inlineStr">
        <is>
          <t>MEDIUM</t>
        </is>
      </c>
      <c r="F657" s="191" t="n">
        <v>2</v>
      </c>
      <c r="G657" s="191" t="n">
        <v>2</v>
      </c>
      <c r="H657" s="191" t="inlineStr">
        <is>
          <t>MEDIUM</t>
        </is>
      </c>
      <c r="I657" s="191" t="n">
        <v>9.4</v>
      </c>
      <c r="J657" s="191" t="inlineStr">
        <is>
          <t>NO</t>
        </is>
      </c>
      <c r="K657" s="192" t="inlineStr">
        <is>
          <t>https://nvd.nist.gov/vuln/detail/CVE-2026-23614</t>
        </is>
      </c>
      <c r="L657" s="191" t="inlineStr">
        <is>
          <t>2026-02-23 23:48</t>
        </is>
      </c>
      <c r="M657" s="191" t="inlineStr">
        <is>
          <t>CHECK_VENDOR</t>
        </is>
      </c>
      <c r="N657" s="191" t="inlineStr">
        <is>
          <t>See NVD references</t>
        </is>
      </c>
      <c r="O657" s="191" t="inlineStr">
        <is>
          <t>Apply vendor patches</t>
        </is>
      </c>
      <c r="P657" s="191" t="inlineStr">
        <is>
          <t>gfi mailessentials *</t>
        </is>
      </c>
      <c r="Q657" s="191" t="inlineStr">
        <is>
          <t>P4</t>
        </is>
      </c>
      <c r="R657" s="191" t="inlineStr">
        <is>
          <t>📅 Schedule patch deployment within 30 days | 🔍 Monitor for exploitation attempts</t>
        </is>
      </c>
      <c r="S657" s="191" t="inlineStr">
        <is>
          <t>CVE - IP enrichment n/a</t>
        </is>
      </c>
      <c r="T657" s="191" t="n">
        <v>0</v>
      </c>
      <c r="U657" s="191" t="n">
        <v>0</v>
      </c>
      <c r="V657" s="191" t="inlineStr">
        <is>
          <t>T1189:Drive-by Compromise</t>
        </is>
      </c>
      <c r="W657" s="191" t="n">
        <v>1</v>
      </c>
      <c r="X657" s="191" t="inlineStr">
        <is>
          <t>LOW (40%)</t>
        </is>
      </c>
      <c r="Y657" s="191" t="inlineStr">
        <is>
          <t>UNLIKELY</t>
        </is>
      </c>
      <c r="Z657" s="191" t="inlineStr">
        <is>
          <t>CHECK_VENDOR</t>
        </is>
      </c>
      <c r="AA657" s="192" t="inlineStr">
        <is>
          <t>https://nvd.nist.gov/vuln/detail/CVE-2026-23614</t>
        </is>
      </c>
      <c r="AB657" s="191" t="inlineStr">
        <is>
          <t>NONE</t>
        </is>
      </c>
      <c r="AC657" s="191" t="n">
        <v>0</v>
      </c>
      <c r="AD657" s="191" t="n"/>
    </row>
    <row r="658">
      <c r="A658" s="191" t="inlineStr">
        <is>
          <t>CVE</t>
        </is>
      </c>
      <c r="B658" s="191" t="inlineStr">
        <is>
          <t>CVE-2026-23615</t>
        </is>
      </c>
      <c r="C658" s="191" t="inlineStr">
        <is>
          <t>GFI MailEssentials AI versions prior to 22.4 contain a stored cross-site scripting vulnerability in the Sender Policy Framework Email Exceptions interface. An authenticated user can supply HTML/JavaScript in the ctl00$ContentPlaceHolder1$pv4$txtEmailDescription parameter to /MailEssentials/pages/MailSecurity/SenderPolicyFramework.aspx, which is stored and later rendered in the management interface, allowing script execution in the context of a logged-in user.</t>
        </is>
      </c>
      <c r="D658" s="191" t="n">
        <v>5.4</v>
      </c>
      <c r="E658" s="191" t="inlineStr">
        <is>
          <t>MEDIUM</t>
        </is>
      </c>
      <c r="F658" s="191" t="n">
        <v>2</v>
      </c>
      <c r="G658" s="191" t="n">
        <v>2</v>
      </c>
      <c r="H658" s="191" t="inlineStr">
        <is>
          <t>MEDIUM</t>
        </is>
      </c>
      <c r="I658" s="191" t="n">
        <v>9.4</v>
      </c>
      <c r="J658" s="191" t="inlineStr">
        <is>
          <t>NO</t>
        </is>
      </c>
      <c r="K658" s="192" t="inlineStr">
        <is>
          <t>https://nvd.nist.gov/vuln/detail/CVE-2026-23615</t>
        </is>
      </c>
      <c r="L658" s="191" t="inlineStr">
        <is>
          <t>2026-02-23 23:48</t>
        </is>
      </c>
      <c r="M658" s="191" t="inlineStr">
        <is>
          <t>CHECK_VENDOR</t>
        </is>
      </c>
      <c r="N658" s="191" t="inlineStr">
        <is>
          <t>See NVD references</t>
        </is>
      </c>
      <c r="O658" s="191" t="inlineStr">
        <is>
          <t>Apply vendor patches</t>
        </is>
      </c>
      <c r="P658" s="191" t="inlineStr">
        <is>
          <t>gfi mailessentials *</t>
        </is>
      </c>
      <c r="Q658" s="191" t="inlineStr">
        <is>
          <t>P4</t>
        </is>
      </c>
      <c r="R658" s="191" t="inlineStr">
        <is>
          <t>📅 Schedule patch deployment within 30 days | 🔍 Monitor for exploitation attempts</t>
        </is>
      </c>
      <c r="S658" s="191" t="inlineStr">
        <is>
          <t>CVE - IP enrichment n/a</t>
        </is>
      </c>
      <c r="T658" s="191" t="n">
        <v>0</v>
      </c>
      <c r="U658" s="191" t="n">
        <v>0</v>
      </c>
      <c r="V658" s="191" t="inlineStr">
        <is>
          <t>T1189:Drive-by Compromise</t>
        </is>
      </c>
      <c r="W658" s="191" t="n">
        <v>1</v>
      </c>
      <c r="X658" s="191" t="inlineStr">
        <is>
          <t>LOW (40%)</t>
        </is>
      </c>
      <c r="Y658" s="191" t="inlineStr">
        <is>
          <t>UNLIKELY</t>
        </is>
      </c>
      <c r="Z658" s="191" t="inlineStr">
        <is>
          <t>CHECK_VENDOR</t>
        </is>
      </c>
      <c r="AA658" s="192" t="inlineStr">
        <is>
          <t>https://nvd.nist.gov/vuln/detail/CVE-2026-23615</t>
        </is>
      </c>
      <c r="AB658" s="191" t="inlineStr">
        <is>
          <t>NONE</t>
        </is>
      </c>
      <c r="AC658" s="191" t="n">
        <v>0</v>
      </c>
      <c r="AD658" s="191" t="n"/>
    </row>
    <row r="659">
      <c r="A659" s="191" t="inlineStr">
        <is>
          <t>CVE</t>
        </is>
      </c>
      <c r="B659" s="191" t="inlineStr">
        <is>
          <t>CVE-2026-23616</t>
        </is>
      </c>
      <c r="C659" s="191" t="inlineStr">
        <is>
          <t>GFI MailEssentials AI versions prior to 22.4 contain a stored cross-site scripting vulnerability in the Anti-Spoofing configuration page. An authenticated user can supply HTML/JavaScript in the ctl00$ContentPlaceHolder1$AntiSpoofingGeneral1$TxtSmtpDesc parameter to /MailEssentials/pages/MailSecurity/AntiSpoofing.aspx, which is stored and later rendered in the management interface, allowing script execution in the context of a logged-in user.</t>
        </is>
      </c>
      <c r="D659" s="191" t="n">
        <v>5.4</v>
      </c>
      <c r="E659" s="191" t="inlineStr">
        <is>
          <t>MEDIUM</t>
        </is>
      </c>
      <c r="F659" s="191" t="n">
        <v>2</v>
      </c>
      <c r="G659" s="191" t="n">
        <v>2</v>
      </c>
      <c r="H659" s="191" t="inlineStr">
        <is>
          <t>MEDIUM</t>
        </is>
      </c>
      <c r="I659" s="191" t="n">
        <v>9.4</v>
      </c>
      <c r="J659" s="191" t="inlineStr">
        <is>
          <t>NO</t>
        </is>
      </c>
      <c r="K659" s="192" t="inlineStr">
        <is>
          <t>https://nvd.nist.gov/vuln/detail/CVE-2026-23616</t>
        </is>
      </c>
      <c r="L659" s="191" t="inlineStr">
        <is>
          <t>2026-02-23 23:48</t>
        </is>
      </c>
      <c r="M659" s="191" t="inlineStr">
        <is>
          <t>CHECK_VENDOR</t>
        </is>
      </c>
      <c r="N659" s="191" t="inlineStr">
        <is>
          <t>See NVD references</t>
        </is>
      </c>
      <c r="O659" s="191" t="inlineStr">
        <is>
          <t>Apply vendor patches</t>
        </is>
      </c>
      <c r="P659" s="191" t="inlineStr">
        <is>
          <t>gfi mailessentials *</t>
        </is>
      </c>
      <c r="Q659" s="191" t="inlineStr">
        <is>
          <t>P4</t>
        </is>
      </c>
      <c r="R659" s="191" t="inlineStr">
        <is>
          <t>📅 Schedule patch deployment within 30 days | 🔍 Monitor for exploitation attempts</t>
        </is>
      </c>
      <c r="S659" s="191" t="inlineStr">
        <is>
          <t>CVE - IP enrichment n/a</t>
        </is>
      </c>
      <c r="T659" s="191" t="n">
        <v>0</v>
      </c>
      <c r="U659" s="191" t="n">
        <v>0</v>
      </c>
      <c r="V659" s="191" t="inlineStr">
        <is>
          <t>T1189:Drive-by Compromise</t>
        </is>
      </c>
      <c r="W659" s="191" t="n">
        <v>1</v>
      </c>
      <c r="X659" s="191" t="inlineStr">
        <is>
          <t>LOW (40%)</t>
        </is>
      </c>
      <c r="Y659" s="191" t="inlineStr">
        <is>
          <t>UNLIKELY</t>
        </is>
      </c>
      <c r="Z659" s="191" t="inlineStr">
        <is>
          <t>CHECK_VENDOR</t>
        </is>
      </c>
      <c r="AA659" s="192" t="inlineStr">
        <is>
          <t>https://nvd.nist.gov/vuln/detail/CVE-2026-23616</t>
        </is>
      </c>
      <c r="AB659" s="191" t="inlineStr">
        <is>
          <t>NONE</t>
        </is>
      </c>
      <c r="AC659" s="191" t="n">
        <v>0</v>
      </c>
      <c r="AD659" s="191" t="n"/>
    </row>
    <row r="660">
      <c r="A660" s="191" t="inlineStr">
        <is>
          <t>CVE</t>
        </is>
      </c>
      <c r="B660" s="191" t="inlineStr">
        <is>
          <t>CVE-2026-23617</t>
        </is>
      </c>
      <c r="C660" s="191" t="inlineStr">
        <is>
          <t>GFI MailEssentials AI versions prior to 22.4 contain a stored cross-site scripting vulnerability in the Spam Keyword Checking (Body) conditions interface. An authenticated user can supply HTML/JavaScript in the ctl00$ContentPlaceHolder1$pvGeneral$TXB_Condition parameter to /MailEssentials/pages/MailSecurity/ASKeywordChecking.aspx, which is stored and later rendered in the management interface, allowing script execution in the context of a logged-in user.</t>
        </is>
      </c>
      <c r="D660" s="191" t="n">
        <v>5.4</v>
      </c>
      <c r="E660" s="191" t="inlineStr">
        <is>
          <t>MEDIUM</t>
        </is>
      </c>
      <c r="F660" s="191" t="n">
        <v>2</v>
      </c>
      <c r="G660" s="191" t="n">
        <v>2</v>
      </c>
      <c r="H660" s="191" t="inlineStr">
        <is>
          <t>MEDIUM</t>
        </is>
      </c>
      <c r="I660" s="191" t="n">
        <v>9.4</v>
      </c>
      <c r="J660" s="191" t="inlineStr">
        <is>
          <t>NO</t>
        </is>
      </c>
      <c r="K660" s="192" t="inlineStr">
        <is>
          <t>https://nvd.nist.gov/vuln/detail/CVE-2026-23617</t>
        </is>
      </c>
      <c r="L660" s="191" t="inlineStr">
        <is>
          <t>2026-02-23 23:48</t>
        </is>
      </c>
      <c r="M660" s="191" t="inlineStr">
        <is>
          <t>CHECK_VENDOR</t>
        </is>
      </c>
      <c r="N660" s="191" t="inlineStr">
        <is>
          <t>See NVD references</t>
        </is>
      </c>
      <c r="O660" s="191" t="inlineStr">
        <is>
          <t>Apply vendor patches</t>
        </is>
      </c>
      <c r="P660" s="191" t="inlineStr">
        <is>
          <t>gfi mailessentials *</t>
        </is>
      </c>
      <c r="Q660" s="191" t="inlineStr">
        <is>
          <t>P4</t>
        </is>
      </c>
      <c r="R660" s="191" t="inlineStr">
        <is>
          <t>📅 Schedule patch deployment within 30 days | 🔍 Monitor for exploitation attempts</t>
        </is>
      </c>
      <c r="S660" s="191" t="inlineStr">
        <is>
          <t>CVE - IP enrichment n/a</t>
        </is>
      </c>
      <c r="T660" s="191" t="n">
        <v>0</v>
      </c>
      <c r="U660" s="191" t="n">
        <v>0</v>
      </c>
      <c r="V660" s="191" t="inlineStr">
        <is>
          <t>T1189:Drive-by Compromise</t>
        </is>
      </c>
      <c r="W660" s="191" t="n">
        <v>1</v>
      </c>
      <c r="X660" s="191" t="inlineStr">
        <is>
          <t>LOW (40%)</t>
        </is>
      </c>
      <c r="Y660" s="191" t="inlineStr">
        <is>
          <t>UNLIKELY</t>
        </is>
      </c>
      <c r="Z660" s="191" t="inlineStr">
        <is>
          <t>CHECK_VENDOR</t>
        </is>
      </c>
      <c r="AA660" s="192" t="inlineStr">
        <is>
          <t>https://nvd.nist.gov/vuln/detail/CVE-2026-23617</t>
        </is>
      </c>
      <c r="AB660" s="191" t="inlineStr">
        <is>
          <t>NONE</t>
        </is>
      </c>
      <c r="AC660" s="191" t="n">
        <v>0</v>
      </c>
      <c r="AD660" s="191" t="n"/>
    </row>
    <row r="661">
      <c r="A661" s="191" t="inlineStr">
        <is>
          <t>CVE</t>
        </is>
      </c>
      <c r="B661" s="191" t="inlineStr">
        <is>
          <t>CVE-2026-23618</t>
        </is>
      </c>
      <c r="C661" s="191" t="inlineStr">
        <is>
          <t>GFI MailEssentials AI versions prior to 22.4 contain a stored cross-site scripting vulnerability in the Spam Keyword Checking (Subject) conditions interface. An authenticated user can supply HTML/JavaScript in the ctl00$ContentPlaceHolder1$pvSubject$TXB_SubjectCondition parameter to /MailEssentials/pages/MailSecurity/ASKeywordChecking.aspx, which is stored and later rendered in the management interface, allowing script execution in the context of a logged-in user.</t>
        </is>
      </c>
      <c r="D661" s="191" t="n">
        <v>5.4</v>
      </c>
      <c r="E661" s="191" t="inlineStr">
        <is>
          <t>MEDIUM</t>
        </is>
      </c>
      <c r="F661" s="191" t="n">
        <v>2</v>
      </c>
      <c r="G661" s="191" t="n">
        <v>2</v>
      </c>
      <c r="H661" s="191" t="inlineStr">
        <is>
          <t>MEDIUM</t>
        </is>
      </c>
      <c r="I661" s="191" t="n">
        <v>9.4</v>
      </c>
      <c r="J661" s="191" t="inlineStr">
        <is>
          <t>NO</t>
        </is>
      </c>
      <c r="K661" s="192" t="inlineStr">
        <is>
          <t>https://nvd.nist.gov/vuln/detail/CVE-2026-23618</t>
        </is>
      </c>
      <c r="L661" s="191" t="inlineStr">
        <is>
          <t>2026-02-23 23:48</t>
        </is>
      </c>
      <c r="M661" s="191" t="inlineStr">
        <is>
          <t>CHECK_VENDOR</t>
        </is>
      </c>
      <c r="N661" s="191" t="inlineStr">
        <is>
          <t>See NVD references</t>
        </is>
      </c>
      <c r="O661" s="191" t="inlineStr">
        <is>
          <t>Apply vendor patches</t>
        </is>
      </c>
      <c r="P661" s="191" t="inlineStr">
        <is>
          <t>gfi mailessentials *</t>
        </is>
      </c>
      <c r="Q661" s="191" t="inlineStr">
        <is>
          <t>P4</t>
        </is>
      </c>
      <c r="R661" s="191" t="inlineStr">
        <is>
          <t>📅 Schedule patch deployment within 30 days | 🔍 Monitor for exploitation attempts</t>
        </is>
      </c>
      <c r="S661" s="191" t="inlineStr">
        <is>
          <t>CVE - IP enrichment n/a</t>
        </is>
      </c>
      <c r="T661" s="191" t="n">
        <v>0</v>
      </c>
      <c r="U661" s="191" t="n">
        <v>0</v>
      </c>
      <c r="V661" s="191" t="inlineStr">
        <is>
          <t>T1189:Drive-by Compromise</t>
        </is>
      </c>
      <c r="W661" s="191" t="n">
        <v>1</v>
      </c>
      <c r="X661" s="191" t="inlineStr">
        <is>
          <t>LOW (40%)</t>
        </is>
      </c>
      <c r="Y661" s="191" t="inlineStr">
        <is>
          <t>UNLIKELY</t>
        </is>
      </c>
      <c r="Z661" s="191" t="inlineStr">
        <is>
          <t>CHECK_VENDOR</t>
        </is>
      </c>
      <c r="AA661" s="192" t="inlineStr">
        <is>
          <t>https://nvd.nist.gov/vuln/detail/CVE-2026-23618</t>
        </is>
      </c>
      <c r="AB661" s="191" t="inlineStr">
        <is>
          <t>NONE</t>
        </is>
      </c>
      <c r="AC661" s="191" t="n">
        <v>0</v>
      </c>
      <c r="AD661" s="191" t="n"/>
    </row>
    <row r="662">
      <c r="A662" s="191" t="inlineStr">
        <is>
          <t>CVE</t>
        </is>
      </c>
      <c r="B662" s="191" t="inlineStr">
        <is>
          <t>CVE-2026-23619</t>
        </is>
      </c>
      <c r="C662" s="191" t="inlineStr">
        <is>
          <t>GFI MailEssentials AI versions prior to 22.4 contain a stored cross-site scripting vulnerability in the Local Domains settings page. An authenticated user can supply HTML/JavaScript in the ctl00$ContentPlaceHolder1$Pv3$txtDescription parameter to /MailEssentials/pages/MailSecurity/general.aspx, which is stored and later rendered in the management interface, allowing script execution in the context of a logged-in user.</t>
        </is>
      </c>
      <c r="D662" s="191" t="n">
        <v>5.4</v>
      </c>
      <c r="E662" s="191" t="inlineStr">
        <is>
          <t>MEDIUM</t>
        </is>
      </c>
      <c r="F662" s="191" t="n">
        <v>2</v>
      </c>
      <c r="G662" s="191" t="n">
        <v>2</v>
      </c>
      <c r="H662" s="191" t="inlineStr">
        <is>
          <t>MEDIUM</t>
        </is>
      </c>
      <c r="I662" s="191" t="n">
        <v>9.4</v>
      </c>
      <c r="J662" s="191" t="inlineStr">
        <is>
          <t>NO</t>
        </is>
      </c>
      <c r="K662" s="192" t="inlineStr">
        <is>
          <t>https://nvd.nist.gov/vuln/detail/CVE-2026-23619</t>
        </is>
      </c>
      <c r="L662" s="191" t="inlineStr">
        <is>
          <t>2026-02-23 23:48</t>
        </is>
      </c>
      <c r="M662" s="191" t="inlineStr">
        <is>
          <t>CHECK_VENDOR</t>
        </is>
      </c>
      <c r="N662" s="191" t="inlineStr">
        <is>
          <t>See NVD references</t>
        </is>
      </c>
      <c r="O662" s="191" t="inlineStr">
        <is>
          <t>Apply vendor patches</t>
        </is>
      </c>
      <c r="P662" s="191" t="inlineStr">
        <is>
          <t>gfi mailessentials *</t>
        </is>
      </c>
      <c r="Q662" s="191" t="inlineStr">
        <is>
          <t>P4</t>
        </is>
      </c>
      <c r="R662" s="191" t="inlineStr">
        <is>
          <t>📅 Schedule patch deployment within 30 days | 🔍 Monitor for exploitation attempts</t>
        </is>
      </c>
      <c r="S662" s="191" t="inlineStr">
        <is>
          <t>CVE - IP enrichment n/a</t>
        </is>
      </c>
      <c r="T662" s="191" t="n">
        <v>0</v>
      </c>
      <c r="U662" s="191" t="n">
        <v>0</v>
      </c>
      <c r="V662" s="191" t="inlineStr">
        <is>
          <t>T1189:Drive-by Compromise</t>
        </is>
      </c>
      <c r="W662" s="191" t="n">
        <v>1</v>
      </c>
      <c r="X662" s="191" t="inlineStr">
        <is>
          <t>LOW (40%)</t>
        </is>
      </c>
      <c r="Y662" s="191" t="inlineStr">
        <is>
          <t>UNLIKELY</t>
        </is>
      </c>
      <c r="Z662" s="191" t="inlineStr">
        <is>
          <t>CHECK_VENDOR</t>
        </is>
      </c>
      <c r="AA662" s="192" t="inlineStr">
        <is>
          <t>https://nvd.nist.gov/vuln/detail/CVE-2026-23619</t>
        </is>
      </c>
      <c r="AB662" s="191" t="inlineStr">
        <is>
          <t>NONE</t>
        </is>
      </c>
      <c r="AC662" s="191" t="n">
        <v>0</v>
      </c>
      <c r="AD662" s="191" t="n"/>
    </row>
    <row r="663">
      <c r="A663" s="191" t="inlineStr">
        <is>
          <t>CVE</t>
        </is>
      </c>
      <c r="B663" s="191" t="inlineStr">
        <is>
          <t>CVE-2026-23620</t>
        </is>
      </c>
      <c r="C663" s="191" t="inlineStr">
        <is>
          <t>GFI MailEssentials AI versions prior to 22.4 contain an arbitrary file existence enumeration vulnerability in the ListServer.IsDBExist() web method exposed at /MailEssentials/pages/MailSecurity/ListServer.aspx/IsDBExist. An authenticated user can supply an unrestricted filesystem path via the JSON key \"path\", which is URL-decoded and passed to File.Exists(), allowing the attacker to determine whether arbitrary files exist on the server.</t>
        </is>
      </c>
      <c r="D663" s="191" t="n">
        <v>4.3</v>
      </c>
      <c r="E663" s="191" t="inlineStr">
        <is>
          <t>MEDIUM</t>
        </is>
      </c>
      <c r="F663" s="191" t="n">
        <v>2</v>
      </c>
      <c r="G663" s="191" t="n">
        <v>2</v>
      </c>
      <c r="H663" s="191" t="inlineStr">
        <is>
          <t>MEDIUM</t>
        </is>
      </c>
      <c r="I663" s="191" t="n">
        <v>8.300000000000001</v>
      </c>
      <c r="J663" s="191" t="inlineStr">
        <is>
          <t>NO</t>
        </is>
      </c>
      <c r="K663" s="192" t="inlineStr">
        <is>
          <t>https://nvd.nist.gov/vuln/detail/CVE-2026-23620</t>
        </is>
      </c>
      <c r="L663" s="191" t="inlineStr">
        <is>
          <t>2026-02-23 23:48</t>
        </is>
      </c>
      <c r="M663" s="191" t="inlineStr">
        <is>
          <t>CHECK_VENDOR</t>
        </is>
      </c>
      <c r="N663" s="191" t="inlineStr">
        <is>
          <t>See NVD references</t>
        </is>
      </c>
      <c r="O663" s="191" t="inlineStr">
        <is>
          <t>Apply vendor patches</t>
        </is>
      </c>
      <c r="P663" s="191" t="inlineStr">
        <is>
          <t>gfi mailessentials *</t>
        </is>
      </c>
      <c r="Q663" s="191" t="inlineStr">
        <is>
          <t>P4</t>
        </is>
      </c>
      <c r="R663" s="191" t="inlineStr">
        <is>
          <t>📅 Schedule patch deployment within 30 days | 🔍 Monitor for exploitation attempts</t>
        </is>
      </c>
      <c r="S663" s="191" t="inlineStr">
        <is>
          <t>CVE - IP enrichment n/a</t>
        </is>
      </c>
      <c r="T663" s="191" t="n">
        <v>0</v>
      </c>
      <c r="U663" s="191" t="n">
        <v>0</v>
      </c>
      <c r="V663" s="191" t="inlineStr">
        <is>
          <t>T1190:Exploit Public-Facing Application</t>
        </is>
      </c>
      <c r="W663" s="191" t="n">
        <v>1</v>
      </c>
      <c r="X663" s="191" t="inlineStr">
        <is>
          <t>LOW (40%)</t>
        </is>
      </c>
      <c r="Y663" s="191" t="inlineStr">
        <is>
          <t>UNLIKELY</t>
        </is>
      </c>
      <c r="Z663" s="191" t="inlineStr">
        <is>
          <t>CHECK_VENDOR</t>
        </is>
      </c>
      <c r="AA663" s="192" t="inlineStr">
        <is>
          <t>https://nvd.nist.gov/vuln/detail/CVE-2026-23620</t>
        </is>
      </c>
      <c r="AB663" s="191" t="inlineStr">
        <is>
          <t>NONE</t>
        </is>
      </c>
      <c r="AC663" s="191" t="n">
        <v>0</v>
      </c>
      <c r="AD663" s="191" t="n"/>
    </row>
    <row r="664">
      <c r="A664" s="189" t="inlineStr">
        <is>
          <t>CVE</t>
        </is>
      </c>
      <c r="B664" s="189" t="inlineStr">
        <is>
          <t>CVE-2026-26337</t>
        </is>
      </c>
      <c r="C664" s="189" t="inlineStr">
        <is>
          <t>Hyland Alfresco Transformation Service allows unauthenticated attackers to achieve both arbitrary file read and server-side request forgery through the absolute path traversal.</t>
        </is>
      </c>
      <c r="D664" s="189" t="n">
        <v>8.199999999999999</v>
      </c>
      <c r="E664" s="189" t="inlineStr">
        <is>
          <t>HIGH</t>
        </is>
      </c>
      <c r="F664" s="189" t="n">
        <v>2</v>
      </c>
      <c r="G664" s="189" t="n">
        <v>3</v>
      </c>
      <c r="H664" s="189" t="inlineStr">
        <is>
          <t>HIGH</t>
        </is>
      </c>
      <c r="I664" s="189" t="n">
        <v>14.2</v>
      </c>
      <c r="J664" s="189" t="inlineStr">
        <is>
          <t>NO</t>
        </is>
      </c>
      <c r="K664" s="190" t="inlineStr">
        <is>
          <t>https://nvd.nist.gov/vuln/detail/CVE-2026-26337</t>
        </is>
      </c>
      <c r="L664" s="189" t="inlineStr">
        <is>
          <t>2026-02-23 23:48</t>
        </is>
      </c>
      <c r="M664" s="189" t="inlineStr">
        <is>
          <t>CHECK_VENDOR</t>
        </is>
      </c>
      <c r="N664" s="189" t="inlineStr">
        <is>
          <t>See NVD references</t>
        </is>
      </c>
      <c r="O664" s="189" t="inlineStr">
        <is>
          <t>Apply vendor patches</t>
        </is>
      </c>
      <c r="P664" s="189" t="inlineStr">
        <is>
          <t>See CVE details</t>
        </is>
      </c>
      <c r="Q664" s="189" t="inlineStr">
        <is>
          <t>P3</t>
        </is>
      </c>
      <c r="R664" s="189" t="inlineStr">
        <is>
          <t>🚨 URGENT: Apply vendor patches immediately | 🔒 Isolate affected systems if patch unavailable | 🛡️ Enable additional monitoring/IDS rules</t>
        </is>
      </c>
      <c r="S664" s="189" t="inlineStr">
        <is>
          <t>CVE - IP enrichment n/a</t>
        </is>
      </c>
      <c r="T664" s="189" t="n">
        <v>0</v>
      </c>
      <c r="U664" s="189" t="n">
        <v>0</v>
      </c>
      <c r="V664" s="189" t="inlineStr">
        <is>
          <t>T1083:File and Directory Discovery</t>
        </is>
      </c>
      <c r="W664" s="189" t="n">
        <v>1</v>
      </c>
      <c r="X664" s="189" t="inlineStr">
        <is>
          <t>LOW (40%)</t>
        </is>
      </c>
      <c r="Y664" s="189" t="inlineStr">
        <is>
          <t>UNLIKELY</t>
        </is>
      </c>
      <c r="Z664" s="189" t="inlineStr">
        <is>
          <t>CHECK_VENDOR</t>
        </is>
      </c>
      <c r="AA664" s="190" t="inlineStr">
        <is>
          <t>https://nvd.nist.gov/vuln/detail/CVE-2026-26337</t>
        </is>
      </c>
      <c r="AB664" s="189" t="inlineStr">
        <is>
          <t>NONE</t>
        </is>
      </c>
      <c r="AC664" s="189" t="n">
        <v>0</v>
      </c>
      <c r="AD664" s="189" t="n"/>
    </row>
    <row r="665">
      <c r="A665" s="191" t="inlineStr">
        <is>
          <t>CVE</t>
        </is>
      </c>
      <c r="B665" s="191" t="inlineStr">
        <is>
          <t>CVE-2026-26338</t>
        </is>
      </c>
      <c r="C665" s="191" t="inlineStr">
        <is>
          <t>Hyland Alfresco Transformation Service allows unauthenticated attackers to achieve server-side request forgery (SSRF) through the document processing functionality.</t>
        </is>
      </c>
      <c r="D665" s="191" t="n">
        <v>6.5</v>
      </c>
      <c r="E665" s="191" t="inlineStr">
        <is>
          <t>MEDIUM</t>
        </is>
      </c>
      <c r="F665" s="191" t="n">
        <v>2</v>
      </c>
      <c r="G665" s="191" t="n">
        <v>2</v>
      </c>
      <c r="H665" s="191" t="inlineStr">
        <is>
          <t>MEDIUM</t>
        </is>
      </c>
      <c r="I665" s="191" t="n">
        <v>10.5</v>
      </c>
      <c r="J665" s="191" t="inlineStr">
        <is>
          <t>NO</t>
        </is>
      </c>
      <c r="K665" s="192" t="inlineStr">
        <is>
          <t>https://nvd.nist.gov/vuln/detail/CVE-2026-26338</t>
        </is>
      </c>
      <c r="L665" s="191" t="inlineStr">
        <is>
          <t>2026-02-23 23:48</t>
        </is>
      </c>
      <c r="M665" s="191" t="inlineStr">
        <is>
          <t>CHECK_VENDOR</t>
        </is>
      </c>
      <c r="N665" s="191" t="inlineStr">
        <is>
          <t>See NVD references</t>
        </is>
      </c>
      <c r="O665" s="191" t="inlineStr">
        <is>
          <t>Apply vendor patches</t>
        </is>
      </c>
      <c r="P665" s="191" t="inlineStr">
        <is>
          <t>See CVE details</t>
        </is>
      </c>
      <c r="Q665" s="191" t="inlineStr">
        <is>
          <t>P4</t>
        </is>
      </c>
      <c r="R665" s="191" t="inlineStr">
        <is>
          <t>📅 Schedule patch deployment within 30 days | 🔍 Monitor for exploitation attempts</t>
        </is>
      </c>
      <c r="S665" s="191" t="inlineStr">
        <is>
          <t>CVE - IP enrichment n/a</t>
        </is>
      </c>
      <c r="T665" s="191" t="n">
        <v>0</v>
      </c>
      <c r="U665" s="191" t="n">
        <v>0</v>
      </c>
      <c r="V665" s="191" t="inlineStr">
        <is>
          <t>T1090:Proxy</t>
        </is>
      </c>
      <c r="W665" s="191" t="n">
        <v>1</v>
      </c>
      <c r="X665" s="191" t="inlineStr">
        <is>
          <t>LOW (40%)</t>
        </is>
      </c>
      <c r="Y665" s="191" t="inlineStr">
        <is>
          <t>UNLIKELY</t>
        </is>
      </c>
      <c r="Z665" s="191" t="inlineStr">
        <is>
          <t>CHECK_VENDOR</t>
        </is>
      </c>
      <c r="AA665" s="192" t="inlineStr">
        <is>
          <t>https://nvd.nist.gov/vuln/detail/CVE-2026-26338</t>
        </is>
      </c>
      <c r="AB665" s="191" t="inlineStr">
        <is>
          <t>NONE</t>
        </is>
      </c>
      <c r="AC665" s="191" t="n">
        <v>0</v>
      </c>
      <c r="AD665" s="191" t="n"/>
    </row>
    <row r="666">
      <c r="A666" s="193" t="inlineStr">
        <is>
          <t>CVE</t>
        </is>
      </c>
      <c r="B666" s="193" t="inlineStr">
        <is>
          <t>CVE-2026-26339</t>
        </is>
      </c>
      <c r="C666" s="193" t="inlineStr">
        <is>
          <t>Hyland Alfresco Transformation Service allows unauthenticated attackers to achieve remote code execution through the argument injection vulnerability, which exists in the document processing functionality.</t>
        </is>
      </c>
      <c r="D666" s="193" t="n">
        <v>9.800000000000001</v>
      </c>
      <c r="E666" s="193" t="inlineStr">
        <is>
          <t>CRITICAL</t>
        </is>
      </c>
      <c r="F666" s="193" t="n">
        <v>2</v>
      </c>
      <c r="G666" s="193" t="n">
        <v>3</v>
      </c>
      <c r="H666" s="193" t="inlineStr">
        <is>
          <t>HIGH</t>
        </is>
      </c>
      <c r="I666" s="193" t="n">
        <v>15.8</v>
      </c>
      <c r="J666" s="193" t="inlineStr">
        <is>
          <t>NO</t>
        </is>
      </c>
      <c r="K666" s="194" t="inlineStr">
        <is>
          <t>https://nvd.nist.gov/vuln/detail/CVE-2026-26339</t>
        </is>
      </c>
      <c r="L666" s="193" t="inlineStr">
        <is>
          <t>2026-02-23 23:48</t>
        </is>
      </c>
      <c r="M666" s="193" t="inlineStr">
        <is>
          <t>CHECK_VENDOR</t>
        </is>
      </c>
      <c r="N666" s="193" t="inlineStr">
        <is>
          <t>See NVD references</t>
        </is>
      </c>
      <c r="O666" s="193" t="inlineStr">
        <is>
          <t>Apply vendor patches</t>
        </is>
      </c>
      <c r="P666" s="193" t="inlineStr">
        <is>
          <t>See CVE details</t>
        </is>
      </c>
      <c r="Q666" s="193" t="inlineStr">
        <is>
          <t>P3</t>
        </is>
      </c>
      <c r="R666" s="193" t="inlineStr">
        <is>
          <t>🚨 URGENT: Apply vendor patches immediately | 🔒 Isolate affected systems if patch unavailable | 🛡️ Enable additional monitoring/IDS rules</t>
        </is>
      </c>
      <c r="S666" s="193" t="inlineStr">
        <is>
          <t>CVE - IP enrichment n/a</t>
        </is>
      </c>
      <c r="T666" s="193" t="n">
        <v>0.0016</v>
      </c>
      <c r="U666" s="193" t="n">
        <v>0.375</v>
      </c>
      <c r="V666" s="193" t="inlineStr">
        <is>
          <t>T1090:Proxy | T1190:Exploit Public-Facing Application | T1210:Exploitation of Remote Services</t>
        </is>
      </c>
      <c r="W666" s="193" t="n">
        <v>1</v>
      </c>
      <c r="X666" s="193" t="inlineStr">
        <is>
          <t>LOW (40%)</t>
        </is>
      </c>
      <c r="Y666" s="193" t="inlineStr">
        <is>
          <t>UNLIKELY</t>
        </is>
      </c>
      <c r="Z666" s="193" t="inlineStr">
        <is>
          <t>CHECK_VENDOR</t>
        </is>
      </c>
      <c r="AA666" s="194" t="inlineStr">
        <is>
          <t>https://nvd.nist.gov/vuln/detail/CVE-2026-26339</t>
        </is>
      </c>
      <c r="AB666" s="193" t="inlineStr">
        <is>
          <t>NONE</t>
        </is>
      </c>
      <c r="AC666" s="193" t="n">
        <v>0</v>
      </c>
      <c r="AD666" s="193" t="n"/>
    </row>
    <row r="667">
      <c r="A667" s="191" t="inlineStr">
        <is>
          <t>CVE</t>
        </is>
      </c>
      <c r="B667" s="191" t="inlineStr">
        <is>
          <t>CVE-2026-2243</t>
        </is>
      </c>
      <c r="C667" s="191" t="inlineStr">
        <is>
          <t>A flaw was found in QEMU. A specially crafted VMDK image could trigger an out-of-bounds read vulnerability, potentially leading to a 12-byte leak of sensitive information or a denial of service condition (DoS).</t>
        </is>
      </c>
      <c r="D667" s="191" t="n">
        <v>5.1</v>
      </c>
      <c r="E667" s="191" t="inlineStr">
        <is>
          <t>MEDIUM</t>
        </is>
      </c>
      <c r="F667" s="191" t="n">
        <v>2</v>
      </c>
      <c r="G667" s="191" t="n">
        <v>2</v>
      </c>
      <c r="H667" s="191" t="inlineStr">
        <is>
          <t>MEDIUM</t>
        </is>
      </c>
      <c r="I667" s="191" t="n">
        <v>9.1</v>
      </c>
      <c r="J667" s="191" t="inlineStr">
        <is>
          <t>NO</t>
        </is>
      </c>
      <c r="K667" s="192" t="inlineStr">
        <is>
          <t>https://nvd.nist.gov/vuln/detail/CVE-2026-2243</t>
        </is>
      </c>
      <c r="L667" s="191" t="inlineStr">
        <is>
          <t>2026-02-23 23:48</t>
        </is>
      </c>
      <c r="M667" s="191" t="inlineStr">
        <is>
          <t>CHECK_VENDOR</t>
        </is>
      </c>
      <c r="N667" s="191" t="inlineStr">
        <is>
          <t>See NVD references</t>
        </is>
      </c>
      <c r="O667" s="191" t="inlineStr">
        <is>
          <t>Apply vendor patches</t>
        </is>
      </c>
      <c r="P667" s="191" t="inlineStr">
        <is>
          <t>See CVE details</t>
        </is>
      </c>
      <c r="Q667" s="191" t="inlineStr">
        <is>
          <t>P4</t>
        </is>
      </c>
      <c r="R667" s="191" t="inlineStr">
        <is>
          <t>📅 Schedule patch deployment within 30 days | 🔍 Monitor for exploitation attempts</t>
        </is>
      </c>
      <c r="S667" s="191" t="inlineStr">
        <is>
          <t>CVE - IP enrichment n/a</t>
        </is>
      </c>
      <c r="T667" s="191" t="n">
        <v>0</v>
      </c>
      <c r="U667" s="191" t="n">
        <v>0</v>
      </c>
      <c r="V667" s="191" t="inlineStr">
        <is>
          <t>T1203:Exploitation for Client Execution | T1499:Endpoint Denial of Service</t>
        </is>
      </c>
      <c r="W667" s="191" t="n">
        <v>1</v>
      </c>
      <c r="X667" s="191" t="inlineStr">
        <is>
          <t>LOW (40%)</t>
        </is>
      </c>
      <c r="Y667" s="191" t="inlineStr">
        <is>
          <t>UNLIKELY</t>
        </is>
      </c>
      <c r="Z667" s="191" t="inlineStr">
        <is>
          <t>CHECK_VENDOR</t>
        </is>
      </c>
      <c r="AA667" s="192" t="inlineStr">
        <is>
          <t>https://nvd.nist.gov/vuln/detail/CVE-2026-2243</t>
        </is>
      </c>
      <c r="AB667" s="191" t="inlineStr">
        <is>
          <t>NONE</t>
        </is>
      </c>
      <c r="AC667" s="191" t="n">
        <v>0</v>
      </c>
      <c r="AD667" s="191" t="n"/>
    </row>
    <row r="668">
      <c r="A668" s="191" t="inlineStr">
        <is>
          <t>CVE</t>
        </is>
      </c>
      <c r="B668" s="191" t="inlineStr">
        <is>
          <t>CVE-2026-2409</t>
        </is>
      </c>
      <c r="C668" s="191" t="inlineStr">
        <is>
          <t>Improper Neutralization of Special Elements used in an SQL Command ('SQL Injection') vulnerability in Delinea Cloud Suite allows Argument Injection.This issue affects Cloud Suite: before 25.2 HF1.</t>
        </is>
      </c>
      <c r="D668" s="191" t="n">
        <v>5</v>
      </c>
      <c r="E668" s="191" t="inlineStr">
        <is>
          <t>MEDIUM</t>
        </is>
      </c>
      <c r="F668" s="191" t="n">
        <v>2</v>
      </c>
      <c r="G668" s="191" t="n">
        <v>2</v>
      </c>
      <c r="H668" s="191" t="inlineStr">
        <is>
          <t>MEDIUM</t>
        </is>
      </c>
      <c r="I668" s="191" t="n">
        <v>9</v>
      </c>
      <c r="J668" s="191" t="inlineStr">
        <is>
          <t>NO</t>
        </is>
      </c>
      <c r="K668" s="192" t="inlineStr">
        <is>
          <t>https://nvd.nist.gov/vuln/detail/CVE-2026-2409</t>
        </is>
      </c>
      <c r="L668" s="191" t="inlineStr">
        <is>
          <t>2026-02-23 23:48</t>
        </is>
      </c>
      <c r="M668" s="191" t="inlineStr">
        <is>
          <t>CHECK_VENDOR</t>
        </is>
      </c>
      <c r="N668" s="191" t="inlineStr">
        <is>
          <t>See NVD references</t>
        </is>
      </c>
      <c r="O668" s="191" t="inlineStr">
        <is>
          <t>Apply vendor patches</t>
        </is>
      </c>
      <c r="P668" s="191" t="inlineStr">
        <is>
          <t>See CVE details</t>
        </is>
      </c>
      <c r="Q668" s="191" t="inlineStr">
        <is>
          <t>P4</t>
        </is>
      </c>
      <c r="R668" s="191" t="inlineStr">
        <is>
          <t>📅 Schedule patch deployment within 30 days | 🔍 Monitor for exploitation attempts</t>
        </is>
      </c>
      <c r="S668" s="191" t="inlineStr">
        <is>
          <t>CVE - IP enrichment n/a</t>
        </is>
      </c>
      <c r="T668" s="191" t="n">
        <v>0</v>
      </c>
      <c r="U668" s="191" t="n">
        <v>0</v>
      </c>
      <c r="V668" s="191" t="inlineStr">
        <is>
          <t>T1190:Exploit Public-Facing Application</t>
        </is>
      </c>
      <c r="W668" s="191" t="n">
        <v>1</v>
      </c>
      <c r="X668" s="191" t="inlineStr">
        <is>
          <t>LOW (40%)</t>
        </is>
      </c>
      <c r="Y668" s="191" t="inlineStr">
        <is>
          <t>UNLIKELY</t>
        </is>
      </c>
      <c r="Z668" s="191" t="inlineStr">
        <is>
          <t>CHECK_VENDOR</t>
        </is>
      </c>
      <c r="AA668" s="192" t="inlineStr">
        <is>
          <t>https://nvd.nist.gov/vuln/detail/CVE-2026-2409</t>
        </is>
      </c>
      <c r="AB668" s="191" t="inlineStr">
        <is>
          <t>NONE</t>
        </is>
      </c>
      <c r="AC668" s="191" t="n">
        <v>0</v>
      </c>
      <c r="AD668" s="191" t="n"/>
    </row>
    <row r="669">
      <c r="A669" s="191" t="inlineStr">
        <is>
          <t>CVE</t>
        </is>
      </c>
      <c r="B669" s="191" t="inlineStr">
        <is>
          <t>CVE-2026-2817</t>
        </is>
      </c>
      <c r="C669" s="191" t="inlineStr">
        <is>
          <t>Use of insecure directory in Spring Data Geode snapshot import extracts archives into predictable, permissive directories under the system temp location. On shared hosts, a local user with basic privileges can access another user’s extracted snapshot contents, leading to unintended exposure of cache data.</t>
        </is>
      </c>
      <c r="D669" s="191" t="n">
        <v>4.4</v>
      </c>
      <c r="E669" s="191" t="inlineStr">
        <is>
          <t>MEDIUM</t>
        </is>
      </c>
      <c r="F669" s="191" t="n">
        <v>2</v>
      </c>
      <c r="G669" s="191" t="n">
        <v>2</v>
      </c>
      <c r="H669" s="191" t="inlineStr">
        <is>
          <t>MEDIUM</t>
        </is>
      </c>
      <c r="I669" s="191" t="n">
        <v>8.4</v>
      </c>
      <c r="J669" s="191" t="inlineStr">
        <is>
          <t>NO</t>
        </is>
      </c>
      <c r="K669" s="192" t="inlineStr">
        <is>
          <t>https://nvd.nist.gov/vuln/detail/CVE-2026-2817</t>
        </is>
      </c>
      <c r="L669" s="191" t="inlineStr">
        <is>
          <t>2026-02-23 23:48</t>
        </is>
      </c>
      <c r="M669" s="191" t="inlineStr">
        <is>
          <t>CHECK_VENDOR</t>
        </is>
      </c>
      <c r="N669" s="191" t="inlineStr">
        <is>
          <t>See NVD references</t>
        </is>
      </c>
      <c r="O669" s="191" t="inlineStr">
        <is>
          <t>Apply vendor patches</t>
        </is>
      </c>
      <c r="P669" s="191" t="inlineStr">
        <is>
          <t>See CVE details</t>
        </is>
      </c>
      <c r="Q669" s="191" t="inlineStr">
        <is>
          <t>P4</t>
        </is>
      </c>
      <c r="R669" s="191" t="inlineStr">
        <is>
          <t>📅 Schedule patch deployment within 30 days | 🔍 Monitor for exploitation attempts</t>
        </is>
      </c>
      <c r="S669" s="191" t="inlineStr">
        <is>
          <t>CVE - IP enrichment n/a</t>
        </is>
      </c>
      <c r="T669" s="191" t="n">
        <v>0</v>
      </c>
      <c r="U669" s="191" t="n">
        <v>0</v>
      </c>
      <c r="V669" s="191" t="inlineStr">
        <is>
          <t>T1190:Exploit Public-Facing Application</t>
        </is>
      </c>
      <c r="W669" s="191" t="n">
        <v>1</v>
      </c>
      <c r="X669" s="191" t="inlineStr">
        <is>
          <t>LOW (40%)</t>
        </is>
      </c>
      <c r="Y669" s="191" t="inlineStr">
        <is>
          <t>UNLIKELY</t>
        </is>
      </c>
      <c r="Z669" s="191" t="inlineStr">
        <is>
          <t>CHECK_VENDOR</t>
        </is>
      </c>
      <c r="AA669" s="192" t="inlineStr">
        <is>
          <t>https://nvd.nist.gov/vuln/detail/CVE-2026-2817</t>
        </is>
      </c>
      <c r="AB669" s="191" t="inlineStr">
        <is>
          <t>NONE</t>
        </is>
      </c>
      <c r="AC669" s="191" t="n">
        <v>0</v>
      </c>
      <c r="AD669" s="191" t="n"/>
    </row>
    <row r="670">
      <c r="A670" s="191" t="inlineStr">
        <is>
          <t>CVE</t>
        </is>
      </c>
      <c r="B670" s="191" t="inlineStr">
        <is>
          <t>CVE-2026-23621</t>
        </is>
      </c>
      <c r="C670" s="191" t="inlineStr">
        <is>
          <t>GFI MailEssentials AI versions prior to 22.4 contain an arbitrary directory existence enumeration vulnerability in the ListServer.IsPathExist() web method exposed at /MailEssentials/pages/MailSecurity/ListServer.aspx/IsPathExist. An authenticated user can supply an unrestricted filesystem path via the JSON key \"path\", which is URL-decoded and passed to Directory.Exists(), allowing the attacker to determine whether arbitrary directories exist on the server.</t>
        </is>
      </c>
      <c r="D670" s="191" t="n">
        <v>4.3</v>
      </c>
      <c r="E670" s="191" t="inlineStr">
        <is>
          <t>MEDIUM</t>
        </is>
      </c>
      <c r="F670" s="191" t="n">
        <v>2</v>
      </c>
      <c r="G670" s="191" t="n">
        <v>2</v>
      </c>
      <c r="H670" s="191" t="inlineStr">
        <is>
          <t>MEDIUM</t>
        </is>
      </c>
      <c r="I670" s="191" t="n">
        <v>8.300000000000001</v>
      </c>
      <c r="J670" s="191" t="inlineStr">
        <is>
          <t>NO</t>
        </is>
      </c>
      <c r="K670" s="192" t="inlineStr">
        <is>
          <t>https://nvd.nist.gov/vuln/detail/CVE-2026-23621</t>
        </is>
      </c>
      <c r="L670" s="191" t="inlineStr">
        <is>
          <t>2026-02-23 23:48</t>
        </is>
      </c>
      <c r="M670" s="191" t="inlineStr">
        <is>
          <t>CHECK_VENDOR</t>
        </is>
      </c>
      <c r="N670" s="191" t="inlineStr">
        <is>
          <t>See NVD references</t>
        </is>
      </c>
      <c r="O670" s="191" t="inlineStr">
        <is>
          <t>Apply vendor patches</t>
        </is>
      </c>
      <c r="P670" s="191" t="inlineStr">
        <is>
          <t>gfi mailessentials *</t>
        </is>
      </c>
      <c r="Q670" s="191" t="inlineStr">
        <is>
          <t>P4</t>
        </is>
      </c>
      <c r="R670" s="191" t="inlineStr">
        <is>
          <t>📅 Schedule patch deployment within 30 days | 🔍 Monitor for exploitation attempts</t>
        </is>
      </c>
      <c r="S670" s="191" t="inlineStr">
        <is>
          <t>CVE - IP enrichment n/a</t>
        </is>
      </c>
      <c r="T670" s="191" t="n">
        <v>0</v>
      </c>
      <c r="U670" s="191" t="n">
        <v>0</v>
      </c>
      <c r="V670" s="191" t="inlineStr">
        <is>
          <t>T1190:Exploit Public-Facing Application</t>
        </is>
      </c>
      <c r="W670" s="191" t="n">
        <v>1</v>
      </c>
      <c r="X670" s="191" t="inlineStr">
        <is>
          <t>LOW (40%)</t>
        </is>
      </c>
      <c r="Y670" s="191" t="inlineStr">
        <is>
          <t>UNLIKELY</t>
        </is>
      </c>
      <c r="Z670" s="191" t="inlineStr">
        <is>
          <t>CHECK_VENDOR</t>
        </is>
      </c>
      <c r="AA670" s="192" t="inlineStr">
        <is>
          <t>https://nvd.nist.gov/vuln/detail/CVE-2026-23621</t>
        </is>
      </c>
      <c r="AB670" s="191" t="inlineStr">
        <is>
          <t>NONE</t>
        </is>
      </c>
      <c r="AC670" s="191" t="n">
        <v>0</v>
      </c>
      <c r="AD670" s="191" t="n"/>
    </row>
    <row r="671">
      <c r="A671" s="191" t="inlineStr">
        <is>
          <t>CVE</t>
        </is>
      </c>
      <c r="B671" s="191" t="inlineStr">
        <is>
          <t>CVE-2026-26057</t>
        </is>
      </c>
      <c r="C671" s="191" t="inlineStr">
        <is>
          <t>Skill Scanner is a security scanner for AI Agent Skills that detects prompt injection, data exfiltration, and malicious code patterns. A vulnerability in the API Server of Skill Scanner could allow a unauthenticated, remote attacker to interact with the server API and either trigger a denial of service (DoS) condition or upload arbitrary files. This vulnerability is due to an erroneous binding to multiple interfaces. An attacker could exploit this vulnerability by sending API requests to a devic</t>
        </is>
      </c>
      <c r="D671" s="191" t="n">
        <v>6.5</v>
      </c>
      <c r="E671" s="191" t="inlineStr">
        <is>
          <t>MEDIUM</t>
        </is>
      </c>
      <c r="F671" s="191" t="n">
        <v>2</v>
      </c>
      <c r="G671" s="191" t="n">
        <v>2</v>
      </c>
      <c r="H671" s="191" t="inlineStr">
        <is>
          <t>MEDIUM</t>
        </is>
      </c>
      <c r="I671" s="191" t="n">
        <v>10.5</v>
      </c>
      <c r="J671" s="191" t="inlineStr">
        <is>
          <t>NO</t>
        </is>
      </c>
      <c r="K671" s="192" t="inlineStr">
        <is>
          <t>https://nvd.nist.gov/vuln/detail/CVE-2026-26057</t>
        </is>
      </c>
      <c r="L671" s="191" t="inlineStr">
        <is>
          <t>2026-02-23 23:48</t>
        </is>
      </c>
      <c r="M671" s="191" t="inlineStr">
        <is>
          <t>CHECK_VENDOR</t>
        </is>
      </c>
      <c r="N671" s="191" t="inlineStr">
        <is>
          <t>See NVD references</t>
        </is>
      </c>
      <c r="O671" s="191" t="inlineStr">
        <is>
          <t>Apply vendor patches</t>
        </is>
      </c>
      <c r="P671" s="191" t="inlineStr">
        <is>
          <t>See CVE details</t>
        </is>
      </c>
      <c r="Q671" s="191" t="inlineStr">
        <is>
          <t>P4</t>
        </is>
      </c>
      <c r="R671" s="191" t="inlineStr">
        <is>
          <t>📅 Schedule patch deployment within 30 days | 🔍 Monitor for exploitation attempts</t>
        </is>
      </c>
      <c r="S671" s="191" t="inlineStr">
        <is>
          <t>CVE - IP enrichment n/a</t>
        </is>
      </c>
      <c r="T671" s="191" t="n">
        <v>0</v>
      </c>
      <c r="U671" s="191" t="n">
        <v>0</v>
      </c>
      <c r="V671" s="191" t="inlineStr">
        <is>
          <t>T1190:Exploit Public-Facing Application | T1499:Endpoint Denial of Service | T1041:Exfiltration Over C2 Channel</t>
        </is>
      </c>
      <c r="W671" s="191" t="n">
        <v>1</v>
      </c>
      <c r="X671" s="191" t="inlineStr">
        <is>
          <t>LOW (40%)</t>
        </is>
      </c>
      <c r="Y671" s="191" t="inlineStr">
        <is>
          <t>UNLIKELY</t>
        </is>
      </c>
      <c r="Z671" s="191" t="inlineStr">
        <is>
          <t>CHECK_VENDOR</t>
        </is>
      </c>
      <c r="AA671" s="192" t="inlineStr">
        <is>
          <t>https://nvd.nist.gov/vuln/detail/CVE-2026-26057</t>
        </is>
      </c>
      <c r="AB671" s="191" t="inlineStr">
        <is>
          <t>NONE</t>
        </is>
      </c>
      <c r="AC671" s="191" t="n">
        <v>0</v>
      </c>
      <c r="AD671" s="191" t="n"/>
    </row>
    <row r="672">
      <c r="A672" s="191" t="inlineStr">
        <is>
          <t>CVE</t>
        </is>
      </c>
      <c r="B672" s="191" t="inlineStr">
        <is>
          <t>CVE-2026-26059</t>
        </is>
      </c>
      <c r="C672" s="191" t="inlineStr">
        <is>
          <t>ChurchCRM is an open-source church management system. In versions prior to 6.8.2, it was possible for an authenticated user with permission to edit groups to store a JavaScript payload that would execute when the group was viewed in the Group View. Version 6.8.2 fixes this issue.</t>
        </is>
      </c>
      <c r="D672" s="191" t="n">
        <v>5.4</v>
      </c>
      <c r="E672" s="191" t="inlineStr">
        <is>
          <t>MEDIUM</t>
        </is>
      </c>
      <c r="F672" s="191" t="n">
        <v>2</v>
      </c>
      <c r="G672" s="191" t="n">
        <v>2</v>
      </c>
      <c r="H672" s="191" t="inlineStr">
        <is>
          <t>MEDIUM</t>
        </is>
      </c>
      <c r="I672" s="191" t="n">
        <v>9.4</v>
      </c>
      <c r="J672" s="191" t="inlineStr">
        <is>
          <t>NO</t>
        </is>
      </c>
      <c r="K672" s="192" t="inlineStr">
        <is>
          <t>https://nvd.nist.gov/vuln/detail/CVE-2026-26059</t>
        </is>
      </c>
      <c r="L672" s="191" t="inlineStr">
        <is>
          <t>2026-02-23 23:48</t>
        </is>
      </c>
      <c r="M672" s="191" t="inlineStr">
        <is>
          <t>YES</t>
        </is>
      </c>
      <c r="N672" s="192" t="inlineStr">
        <is>
          <t>https://github.com/ChurchCRM/CRM/security/advisories/GHSA-3wp4-vpr7-47q6</t>
        </is>
      </c>
      <c r="O672" s="191" t="inlineStr">
        <is>
          <t>Apply vendor patches</t>
        </is>
      </c>
      <c r="P672" s="191" t="inlineStr">
        <is>
          <t>churchcrm churchcrm *</t>
        </is>
      </c>
      <c r="Q672" s="191" t="inlineStr">
        <is>
          <t>P4</t>
        </is>
      </c>
      <c r="R672" s="191" t="inlineStr">
        <is>
          <t>📅 Schedule patch deployment within 30 days | 🔍 Monitor for exploitation attempts</t>
        </is>
      </c>
      <c r="S672" s="191" t="inlineStr">
        <is>
          <t>CVE - IP enrichment n/a</t>
        </is>
      </c>
      <c r="T672" s="191" t="n">
        <v>0</v>
      </c>
      <c r="U672" s="191" t="n">
        <v>0</v>
      </c>
      <c r="V672" s="191" t="inlineStr">
        <is>
          <t>T1189:Drive-by Compromise | T1190:Exploit Public-Facing Application</t>
        </is>
      </c>
      <c r="W672" s="191" t="n">
        <v>1</v>
      </c>
      <c r="X672" s="191" t="inlineStr">
        <is>
          <t>LOW (40%)</t>
        </is>
      </c>
      <c r="Y672" s="191" t="inlineStr">
        <is>
          <t>UNLIKELY</t>
        </is>
      </c>
      <c r="Z672" s="191" t="inlineStr">
        <is>
          <t>PATCH_AVAILABLE</t>
        </is>
      </c>
      <c r="AA672" s="192" t="inlineStr">
        <is>
          <t>https://nvd.nist.gov/vuln/detail/CVE-2026-26059</t>
        </is>
      </c>
      <c r="AB672" s="191" t="inlineStr">
        <is>
          <t>NONE</t>
        </is>
      </c>
      <c r="AC672" s="191" t="n">
        <v>0</v>
      </c>
      <c r="AD672" s="191" t="n"/>
    </row>
    <row r="673">
      <c r="A673" s="191" t="inlineStr">
        <is>
          <t>CVE</t>
        </is>
      </c>
      <c r="B673" s="191" t="inlineStr">
        <is>
          <t>CVE-2026-27472</t>
        </is>
      </c>
      <c r="C673" s="191" t="inlineStr">
        <is>
          <t>SPIP before 4.4.9 allows Blind Server-Side Request Forgery (SSRF) via syndicated sites in the private area. When editing a syndicated site, the application does not verify that the syndication URL is a valid remote URL, allowing an authenticated attacker to make the server issue requests to arbitrary internal or external destinations. This vulnerability is not mitigated by the SPIP security screen.</t>
        </is>
      </c>
      <c r="D673" s="191" t="n">
        <v>4.3</v>
      </c>
      <c r="E673" s="191" t="inlineStr">
        <is>
          <t>MEDIUM</t>
        </is>
      </c>
      <c r="F673" s="191" t="n">
        <v>2</v>
      </c>
      <c r="G673" s="191" t="n">
        <v>2</v>
      </c>
      <c r="H673" s="191" t="inlineStr">
        <is>
          <t>MEDIUM</t>
        </is>
      </c>
      <c r="I673" s="191" t="n">
        <v>8.300000000000001</v>
      </c>
      <c r="J673" s="191" t="inlineStr">
        <is>
          <t>NO</t>
        </is>
      </c>
      <c r="K673" s="192" t="inlineStr">
        <is>
          <t>https://nvd.nist.gov/vuln/detail/CVE-2026-27472</t>
        </is>
      </c>
      <c r="L673" s="191" t="inlineStr">
        <is>
          <t>2026-02-23 23:48</t>
        </is>
      </c>
      <c r="M673" s="191" t="inlineStr">
        <is>
          <t>CHECK_VENDOR</t>
        </is>
      </c>
      <c r="N673" s="191" t="inlineStr">
        <is>
          <t>See NVD references</t>
        </is>
      </c>
      <c r="O673" s="191" t="inlineStr">
        <is>
          <t>Apply vendor patches</t>
        </is>
      </c>
      <c r="P673" s="191" t="inlineStr">
        <is>
          <t>See CVE details</t>
        </is>
      </c>
      <c r="Q673" s="191" t="inlineStr">
        <is>
          <t>P4</t>
        </is>
      </c>
      <c r="R673" s="191" t="inlineStr">
        <is>
          <t>📅 Schedule patch deployment within 30 days | 🔍 Monitor for exploitation attempts</t>
        </is>
      </c>
      <c r="S673" s="191" t="inlineStr">
        <is>
          <t>CVE - IP enrichment n/a</t>
        </is>
      </c>
      <c r="T673" s="191" t="n">
        <v>0.0003</v>
      </c>
      <c r="U673" s="191" t="n">
        <v>0.0742</v>
      </c>
      <c r="V673" s="191" t="inlineStr">
        <is>
          <t>T1090:Proxy</t>
        </is>
      </c>
      <c r="W673" s="191" t="n">
        <v>1</v>
      </c>
      <c r="X673" s="191" t="inlineStr">
        <is>
          <t>LOW (40%)</t>
        </is>
      </c>
      <c r="Y673" s="191" t="inlineStr">
        <is>
          <t>UNLIKELY</t>
        </is>
      </c>
      <c r="Z673" s="191" t="inlineStr">
        <is>
          <t>CHECK_VENDOR</t>
        </is>
      </c>
      <c r="AA673" s="192" t="inlineStr">
        <is>
          <t>https://nvd.nist.gov/vuln/detail/CVE-2026-27472</t>
        </is>
      </c>
      <c r="AB673" s="191" t="inlineStr">
        <is>
          <t>NONE</t>
        </is>
      </c>
      <c r="AC673" s="191" t="n">
        <v>0</v>
      </c>
      <c r="AD673" s="191" t="n"/>
    </row>
    <row r="674">
      <c r="A674" s="191" t="inlineStr">
        <is>
          <t>CVE</t>
        </is>
      </c>
      <c r="B674" s="191" t="inlineStr">
        <is>
          <t>CVE-2026-27473</t>
        </is>
      </c>
      <c r="C674" s="191" t="inlineStr">
        <is>
          <t>SPIP before 4.4.9 allows Stored Cross-Site Scripting (XSS) via syndicated sites in the private area. The #URL_SYNDIC output is not properly sanitized on the private syndicated site page, allowing an attacker who can set a malicious syndication URL to inject persistent scripts that execute when other administrators view the syndicated site details.</t>
        </is>
      </c>
      <c r="D674" s="191" t="n">
        <v>6.4</v>
      </c>
      <c r="E674" s="191" t="inlineStr">
        <is>
          <t>MEDIUM</t>
        </is>
      </c>
      <c r="F674" s="191" t="n">
        <v>2</v>
      </c>
      <c r="G674" s="191" t="n">
        <v>2</v>
      </c>
      <c r="H674" s="191" t="inlineStr">
        <is>
          <t>MEDIUM</t>
        </is>
      </c>
      <c r="I674" s="191" t="n">
        <v>10.4</v>
      </c>
      <c r="J674" s="191" t="inlineStr">
        <is>
          <t>NO</t>
        </is>
      </c>
      <c r="K674" s="192" t="inlineStr">
        <is>
          <t>https://nvd.nist.gov/vuln/detail/CVE-2026-27473</t>
        </is>
      </c>
      <c r="L674" s="191" t="inlineStr">
        <is>
          <t>2026-02-23 23:48</t>
        </is>
      </c>
      <c r="M674" s="191" t="inlineStr">
        <is>
          <t>CHECK_VENDOR</t>
        </is>
      </c>
      <c r="N674" s="191" t="inlineStr">
        <is>
          <t>See NVD references</t>
        </is>
      </c>
      <c r="O674" s="191" t="inlineStr">
        <is>
          <t>Apply vendor patches</t>
        </is>
      </c>
      <c r="P674" s="191" t="inlineStr">
        <is>
          <t>See CVE details</t>
        </is>
      </c>
      <c r="Q674" s="191" t="inlineStr">
        <is>
          <t>P4</t>
        </is>
      </c>
      <c r="R674" s="191" t="inlineStr">
        <is>
          <t>📅 Schedule patch deployment within 30 days | 🔍 Monitor for exploitation attempts</t>
        </is>
      </c>
      <c r="S674" s="191" t="inlineStr">
        <is>
          <t>CVE - IP enrichment n/a</t>
        </is>
      </c>
      <c r="T674" s="191" t="n">
        <v>0</v>
      </c>
      <c r="U674" s="191" t="n">
        <v>0</v>
      </c>
      <c r="V674" s="191" t="inlineStr">
        <is>
          <t>T1189:Drive-by Compromise</t>
        </is>
      </c>
      <c r="W674" s="191" t="n">
        <v>1</v>
      </c>
      <c r="X674" s="191" t="inlineStr">
        <is>
          <t>LOW (40%)</t>
        </is>
      </c>
      <c r="Y674" s="191" t="inlineStr">
        <is>
          <t>UNLIKELY</t>
        </is>
      </c>
      <c r="Z674" s="191" t="inlineStr">
        <is>
          <t>CHECK_VENDOR</t>
        </is>
      </c>
      <c r="AA674" s="192" t="inlineStr">
        <is>
          <t>https://nvd.nist.gov/vuln/detail/CVE-2026-27473</t>
        </is>
      </c>
      <c r="AB674" s="191" t="inlineStr">
        <is>
          <t>NONE</t>
        </is>
      </c>
      <c r="AC674" s="191" t="n">
        <v>0</v>
      </c>
      <c r="AD674" s="191" t="n"/>
    </row>
    <row r="675">
      <c r="A675" s="191" t="inlineStr">
        <is>
          <t>CVE</t>
        </is>
      </c>
      <c r="B675" s="191" t="inlineStr">
        <is>
          <t>CVE-2026-27474</t>
        </is>
      </c>
      <c r="C675" s="191" t="inlineStr">
        <is>
          <t>SPIP before 4.4.9 allows Cross-Site Scripting (XSS) in the private area, complementing an incomplete fix from SPIP 4.4.8. The echappe_anti_xss() function was not systematically applied to input, form, button, and anchor (a) HTML tags, allowing an attacker to inject malicious scripts through these elements. This vulnerability is not mitigated by the SPIP security screen.</t>
        </is>
      </c>
      <c r="D675" s="191" t="n">
        <v>5.4</v>
      </c>
      <c r="E675" s="191" t="inlineStr">
        <is>
          <t>MEDIUM</t>
        </is>
      </c>
      <c r="F675" s="191" t="n">
        <v>2</v>
      </c>
      <c r="G675" s="191" t="n">
        <v>2</v>
      </c>
      <c r="H675" s="191" t="inlineStr">
        <is>
          <t>MEDIUM</t>
        </is>
      </c>
      <c r="I675" s="191" t="n">
        <v>9.4</v>
      </c>
      <c r="J675" s="191" t="inlineStr">
        <is>
          <t>NO</t>
        </is>
      </c>
      <c r="K675" s="192" t="inlineStr">
        <is>
          <t>https://nvd.nist.gov/vuln/detail/CVE-2026-27474</t>
        </is>
      </c>
      <c r="L675" s="191" t="inlineStr">
        <is>
          <t>2026-02-23 23:48</t>
        </is>
      </c>
      <c r="M675" s="191" t="inlineStr">
        <is>
          <t>CHECK_VENDOR</t>
        </is>
      </c>
      <c r="N675" s="191" t="inlineStr">
        <is>
          <t>See NVD references</t>
        </is>
      </c>
      <c r="O675" s="191" t="inlineStr">
        <is>
          <t>Apply vendor patches</t>
        </is>
      </c>
      <c r="P675" s="191" t="inlineStr">
        <is>
          <t>See CVE details</t>
        </is>
      </c>
      <c r="Q675" s="191" t="inlineStr">
        <is>
          <t>P4</t>
        </is>
      </c>
      <c r="R675" s="191" t="inlineStr">
        <is>
          <t>📅 Schedule patch deployment within 30 days | 🔍 Monitor for exploitation attempts</t>
        </is>
      </c>
      <c r="S675" s="191" t="inlineStr">
        <is>
          <t>CVE - IP enrichment n/a</t>
        </is>
      </c>
      <c r="T675" s="191" t="n">
        <v>0</v>
      </c>
      <c r="U675" s="191" t="n">
        <v>0</v>
      </c>
      <c r="V675" s="191" t="inlineStr">
        <is>
          <t>T1189:Drive-by Compromise</t>
        </is>
      </c>
      <c r="W675" s="191" t="n">
        <v>1</v>
      </c>
      <c r="X675" s="191" t="inlineStr">
        <is>
          <t>LOW (40%)</t>
        </is>
      </c>
      <c r="Y675" s="191" t="inlineStr">
        <is>
          <t>UNLIKELY</t>
        </is>
      </c>
      <c r="Z675" s="191" t="inlineStr">
        <is>
          <t>CHECK_VENDOR</t>
        </is>
      </c>
      <c r="AA675" s="192" t="inlineStr">
        <is>
          <t>https://nvd.nist.gov/vuln/detail/CVE-2026-27474</t>
        </is>
      </c>
      <c r="AB675" s="191" t="inlineStr">
        <is>
          <t>NONE</t>
        </is>
      </c>
      <c r="AC675" s="191" t="n">
        <v>0</v>
      </c>
      <c r="AD675" s="191" t="n"/>
    </row>
    <row r="676">
      <c r="A676" s="189" t="inlineStr">
        <is>
          <t>CVE</t>
        </is>
      </c>
      <c r="B676" s="189" t="inlineStr">
        <is>
          <t>CVE-2026-27475</t>
        </is>
      </c>
      <c r="C676" s="189" t="inlineStr">
        <is>
          <t>SPIP before 4.4.9 allows Insecure Deserialization in the public area through the table_valeur filter and the DATA iterator, which accept serialized data. An attacker who can place malicious serialized content (a pre-condition requiring prior access or another vulnerability) can trigger arbitrary object instantiation and potentially achieve code execution. The use of serialized data in these components has been deprecated and will be removed in SPIP 5. This vulnerability is not mitigated by the S</t>
        </is>
      </c>
      <c r="D676" s="189" t="n">
        <v>8.1</v>
      </c>
      <c r="E676" s="189" t="inlineStr">
        <is>
          <t>HIGH</t>
        </is>
      </c>
      <c r="F676" s="189" t="n">
        <v>2</v>
      </c>
      <c r="G676" s="189" t="n">
        <v>3</v>
      </c>
      <c r="H676" s="189" t="inlineStr">
        <is>
          <t>HIGH</t>
        </is>
      </c>
      <c r="I676" s="189" t="n">
        <v>14.1</v>
      </c>
      <c r="J676" s="189" t="inlineStr">
        <is>
          <t>NO</t>
        </is>
      </c>
      <c r="K676" s="190" t="inlineStr">
        <is>
          <t>https://nvd.nist.gov/vuln/detail/CVE-2026-27475</t>
        </is>
      </c>
      <c r="L676" s="189" t="inlineStr">
        <is>
          <t>2026-02-23 23:48</t>
        </is>
      </c>
      <c r="M676" s="189" t="inlineStr">
        <is>
          <t>CHECK_VENDOR</t>
        </is>
      </c>
      <c r="N676" s="189" t="inlineStr">
        <is>
          <t>See NVD references</t>
        </is>
      </c>
      <c r="O676" s="189" t="inlineStr">
        <is>
          <t>Apply vendor patches</t>
        </is>
      </c>
      <c r="P676" s="189" t="inlineStr">
        <is>
          <t>See CVE details</t>
        </is>
      </c>
      <c r="Q676" s="189" t="inlineStr">
        <is>
          <t>P3</t>
        </is>
      </c>
      <c r="R676" s="189" t="inlineStr">
        <is>
          <t>🚨 URGENT: Apply vendor patches immediately | 🔒 Isolate affected systems if patch unavailable | 🛡️ Enable additional monitoring/IDS rules</t>
        </is>
      </c>
      <c r="S676" s="189" t="inlineStr">
        <is>
          <t>CVE - IP enrichment n/a</t>
        </is>
      </c>
      <c r="T676" s="189" t="n">
        <v>0</v>
      </c>
      <c r="U676" s="189" t="n">
        <v>0</v>
      </c>
      <c r="V676" s="189" t="inlineStr">
        <is>
          <t>T1059:Command and Scripting Interpreter</t>
        </is>
      </c>
      <c r="W676" s="189" t="n">
        <v>1</v>
      </c>
      <c r="X676" s="189" t="inlineStr">
        <is>
          <t>LOW (40%)</t>
        </is>
      </c>
      <c r="Y676" s="189" t="inlineStr">
        <is>
          <t>UNLIKELY</t>
        </is>
      </c>
      <c r="Z676" s="189" t="inlineStr">
        <is>
          <t>CHECK_VENDOR</t>
        </is>
      </c>
      <c r="AA676" s="190" t="inlineStr">
        <is>
          <t>https://nvd.nist.gov/vuln/detail/CVE-2026-27475</t>
        </is>
      </c>
      <c r="AB676" s="189" t="inlineStr">
        <is>
          <t>NONE</t>
        </is>
      </c>
      <c r="AC676" s="189" t="n">
        <v>0</v>
      </c>
      <c r="AD676" s="189" t="n"/>
    </row>
    <row r="677">
      <c r="A677" s="193" t="inlineStr">
        <is>
          <t>CVE</t>
        </is>
      </c>
      <c r="B677" s="193" t="inlineStr">
        <is>
          <t>CVE-2025-67304</t>
        </is>
      </c>
      <c r="C677" s="193" t="inlineStr">
        <is>
          <t>In Ruckus Network Director (RND) &lt; 4.5.0.54, the OVA appliance contains hardcoded credentials for the ruckus PostgreSQL database user. In the default configuration, the PostgreSQL service is accessible over the network on TCP port 5432. An attacker can use the hardcoded credentials to authenticate remotely, gaining superuser access to the database. This allows creation of administrative users for the web interface, extraction of password hashes, and execution of arbitrary OS commands.</t>
        </is>
      </c>
      <c r="D677" s="193" t="n">
        <v>9.800000000000001</v>
      </c>
      <c r="E677" s="193" t="inlineStr">
        <is>
          <t>CRITICAL</t>
        </is>
      </c>
      <c r="F677" s="193" t="n">
        <v>2</v>
      </c>
      <c r="G677" s="193" t="n">
        <v>3</v>
      </c>
      <c r="H677" s="193" t="inlineStr">
        <is>
          <t>HIGH</t>
        </is>
      </c>
      <c r="I677" s="193" t="n">
        <v>15.8</v>
      </c>
      <c r="J677" s="193" t="inlineStr">
        <is>
          <t>NO</t>
        </is>
      </c>
      <c r="K677" s="194" t="inlineStr">
        <is>
          <t>https://nvd.nist.gov/vuln/detail/CVE-2025-67304</t>
        </is>
      </c>
      <c r="L677" s="193" t="inlineStr">
        <is>
          <t>2026-02-23 23:48</t>
        </is>
      </c>
      <c r="M677" s="193" t="inlineStr">
        <is>
          <t>CHECK_VENDOR</t>
        </is>
      </c>
      <c r="N677" s="193" t="inlineStr">
        <is>
          <t>See NVD references</t>
        </is>
      </c>
      <c r="O677" s="193" t="inlineStr">
        <is>
          <t>Apply vendor patches</t>
        </is>
      </c>
      <c r="P677" s="193" t="inlineStr">
        <is>
          <t>See CVE details</t>
        </is>
      </c>
      <c r="Q677" s="193" t="inlineStr">
        <is>
          <t>P3</t>
        </is>
      </c>
      <c r="R677" s="193" t="inlineStr">
        <is>
          <t>🚨 URGENT: Apply vendor patches immediately | 🔒 Isolate affected systems if patch unavailable | 🛡️ Enable additional monitoring/IDS rules</t>
        </is>
      </c>
      <c r="S677" s="193" t="inlineStr">
        <is>
          <t>CVE - IP enrichment n/a</t>
        </is>
      </c>
      <c r="T677" s="193" t="n">
        <v>0</v>
      </c>
      <c r="U677" s="193" t="n">
        <v>0</v>
      </c>
      <c r="V677" s="193" t="inlineStr">
        <is>
          <t>T1552:Unsecured Credentials</t>
        </is>
      </c>
      <c r="W677" s="193" t="n">
        <v>1</v>
      </c>
      <c r="X677" s="193" t="inlineStr">
        <is>
          <t>LOW (40%)</t>
        </is>
      </c>
      <c r="Y677" s="193" t="inlineStr">
        <is>
          <t>UNLIKELY</t>
        </is>
      </c>
      <c r="Z677" s="193" t="inlineStr">
        <is>
          <t>CHECK_VENDOR</t>
        </is>
      </c>
      <c r="AA677" s="194" t="inlineStr">
        <is>
          <t>https://nvd.nist.gov/vuln/detail/CVE-2025-67304</t>
        </is>
      </c>
      <c r="AB677" s="193" t="inlineStr">
        <is>
          <t>NONE</t>
        </is>
      </c>
      <c r="AC677" s="193" t="n">
        <v>0</v>
      </c>
      <c r="AD677" s="193" t="n"/>
    </row>
    <row r="678">
      <c r="A678" s="189" t="inlineStr">
        <is>
          <t>CVE</t>
        </is>
      </c>
      <c r="B678" s="189" t="inlineStr">
        <is>
          <t>CVE-2026-26063</t>
        </is>
      </c>
      <c r="C678" s="189" t="inlineStr">
        <is>
          <t>CediPay is a crypto-to-fiat app for the Ghanaian market. A vulnerability in CediPay prior to version 1.2.3 allows attackers to bypass input validation in the transaction API. The issue has been fixed in version 1.2.3. If upgrading is not immediately possible, restrict API access to trusted networks or IP ranges; enforce strict input validation at the application layer; and/or monitor transaction logs for anomalies or suspicious activity. These mitigations reduce exposure but do not fully elimina</t>
        </is>
      </c>
      <c r="D678" s="189" t="n">
        <v>8.5</v>
      </c>
      <c r="E678" s="189" t="inlineStr">
        <is>
          <t>HIGH</t>
        </is>
      </c>
      <c r="F678" s="189" t="n">
        <v>2</v>
      </c>
      <c r="G678" s="189" t="n">
        <v>3</v>
      </c>
      <c r="H678" s="189" t="inlineStr">
        <is>
          <t>HIGH</t>
        </is>
      </c>
      <c r="I678" s="189" t="n">
        <v>14.5</v>
      </c>
      <c r="J678" s="189" t="inlineStr">
        <is>
          <t>NO</t>
        </is>
      </c>
      <c r="K678" s="190" t="inlineStr">
        <is>
          <t>https://nvd.nist.gov/vuln/detail/CVE-2026-26063</t>
        </is>
      </c>
      <c r="L678" s="189" t="inlineStr">
        <is>
          <t>2026-02-23 23:48</t>
        </is>
      </c>
      <c r="M678" s="189" t="inlineStr">
        <is>
          <t>CHECK_VENDOR</t>
        </is>
      </c>
      <c r="N678" s="189" t="inlineStr">
        <is>
          <t>See NVD references</t>
        </is>
      </c>
      <c r="O678" s="189" t="inlineStr">
        <is>
          <t>Apply vendor patches</t>
        </is>
      </c>
      <c r="P678" s="189" t="inlineStr">
        <is>
          <t>See CVE details</t>
        </is>
      </c>
      <c r="Q678" s="189" t="inlineStr">
        <is>
          <t>P3</t>
        </is>
      </c>
      <c r="R678" s="189" t="inlineStr">
        <is>
          <t>🚨 URGENT: Apply vendor patches immediately | 🔒 Isolate affected systems if patch unavailable | 🛡️ Enable additional monitoring/IDS rules</t>
        </is>
      </c>
      <c r="S678" s="189" t="inlineStr">
        <is>
          <t>CVE - IP enrichment n/a</t>
        </is>
      </c>
      <c r="T678" s="189" t="n">
        <v>0</v>
      </c>
      <c r="U678" s="189" t="n">
        <v>0</v>
      </c>
      <c r="V678" s="189" t="inlineStr">
        <is>
          <t>T1190:Exploit Public-Facing Application</t>
        </is>
      </c>
      <c r="W678" s="189" t="n">
        <v>1</v>
      </c>
      <c r="X678" s="189" t="inlineStr">
        <is>
          <t>LOW (40%)</t>
        </is>
      </c>
      <c r="Y678" s="189" t="inlineStr">
        <is>
          <t>UNLIKELY</t>
        </is>
      </c>
      <c r="Z678" s="189" t="inlineStr">
        <is>
          <t>CHECK_VENDOR</t>
        </is>
      </c>
      <c r="AA678" s="190" t="inlineStr">
        <is>
          <t>https://nvd.nist.gov/vuln/detail/CVE-2026-26063</t>
        </is>
      </c>
      <c r="AB678" s="189" t="inlineStr">
        <is>
          <t>NONE</t>
        </is>
      </c>
      <c r="AC678" s="189" t="n">
        <v>0</v>
      </c>
      <c r="AD678" s="189" t="n"/>
    </row>
    <row r="679">
      <c r="A679" s="191" t="inlineStr">
        <is>
          <t>CVE</t>
        </is>
      </c>
      <c r="B679" s="191" t="inlineStr">
        <is>
          <t>CVE-2026-26189</t>
        </is>
      </c>
      <c r="C679" s="191" t="inlineStr">
        <is>
          <t>Trivy Action runs Trivy as GitHub action to scan a Docker container image for vulnerabilities. A command injection vulnerability exists in `aquasecurity/trivy-action` versions 0.31.0 through 0.33.1 due to improper handling of action inputs when exporting environment variables. The action writes `export VAR= ` lines to `trivy_envs.txt` based on user-supplied inputs and subsequently sources this file in `entrypoint.sh`. Because input values are written without appropriate shell escaping, attacker-</t>
        </is>
      </c>
      <c r="D679" s="191" t="n">
        <v>5.9</v>
      </c>
      <c r="E679" s="191" t="inlineStr">
        <is>
          <t>MEDIUM</t>
        </is>
      </c>
      <c r="F679" s="191" t="n">
        <v>2</v>
      </c>
      <c r="G679" s="191" t="n">
        <v>2</v>
      </c>
      <c r="H679" s="191" t="inlineStr">
        <is>
          <t>MEDIUM</t>
        </is>
      </c>
      <c r="I679" s="191" t="n">
        <v>9.9</v>
      </c>
      <c r="J679" s="191" t="inlineStr">
        <is>
          <t>NO</t>
        </is>
      </c>
      <c r="K679" s="192" t="inlineStr">
        <is>
          <t>https://nvd.nist.gov/vuln/detail/CVE-2026-26189</t>
        </is>
      </c>
      <c r="L679" s="191" t="inlineStr">
        <is>
          <t>2026-02-23 23:48</t>
        </is>
      </c>
      <c r="M679" s="191" t="inlineStr">
        <is>
          <t>CHECK_VENDOR</t>
        </is>
      </c>
      <c r="N679" s="191" t="inlineStr">
        <is>
          <t>See NVD references</t>
        </is>
      </c>
      <c r="O679" s="191" t="inlineStr">
        <is>
          <t>Apply vendor patches</t>
        </is>
      </c>
      <c r="P679" s="191" t="inlineStr">
        <is>
          <t>See CVE details</t>
        </is>
      </c>
      <c r="Q679" s="191" t="inlineStr">
        <is>
          <t>P4</t>
        </is>
      </c>
      <c r="R679" s="191" t="inlineStr">
        <is>
          <t>📅 Schedule patch deployment within 30 days | 🔍 Monitor for exploitation attempts</t>
        </is>
      </c>
      <c r="S679" s="191" t="inlineStr">
        <is>
          <t>CVE - IP enrichment n/a</t>
        </is>
      </c>
      <c r="T679" s="191" t="n">
        <v>0.001</v>
      </c>
      <c r="U679" s="191" t="n">
        <v>0.2801</v>
      </c>
      <c r="V679" s="191" t="inlineStr">
        <is>
          <t>T1059:Command and Scripting Interpreter | T1190:Exploit Public-Facing Application</t>
        </is>
      </c>
      <c r="W679" s="191" t="n">
        <v>1</v>
      </c>
      <c r="X679" s="191" t="inlineStr">
        <is>
          <t>LOW (40%)</t>
        </is>
      </c>
      <c r="Y679" s="191" t="inlineStr">
        <is>
          <t>UNLIKELY</t>
        </is>
      </c>
      <c r="Z679" s="191" t="inlineStr">
        <is>
          <t>CHECK_VENDOR</t>
        </is>
      </c>
      <c r="AA679" s="192" t="inlineStr">
        <is>
          <t>https://nvd.nist.gov/vuln/detail/CVE-2026-26189</t>
        </is>
      </c>
      <c r="AB679" s="191" t="inlineStr">
        <is>
          <t>NONE</t>
        </is>
      </c>
      <c r="AC679" s="191" t="n">
        <v>0</v>
      </c>
      <c r="AD679" s="191" t="n"/>
    </row>
    <row r="680">
      <c r="A680" s="189" t="inlineStr">
        <is>
          <t>CVE</t>
        </is>
      </c>
      <c r="B680" s="189" t="inlineStr">
        <is>
          <t>CVE-2026-26192</t>
        </is>
      </c>
      <c r="C680" s="189" t="inlineStr">
        <is>
          <t>Open WebUI is a self-hosted artificial intelligence platform designed to operate entirely offline. Prior to version 0.7.0, aanually modifying chat history allows setting the `html` property within document metadata. This causes the frontend to enter a code path that treats document contents as HTML, and render them in an iFrame when the citation is previewed. This allows stored XSS via a weaponized document payload in a chat. The payload also executes when the citation is viewed on a shared chat</t>
        </is>
      </c>
      <c r="D680" s="189" t="n">
        <v>7.3</v>
      </c>
      <c r="E680" s="189" t="inlineStr">
        <is>
          <t>HIGH</t>
        </is>
      </c>
      <c r="F680" s="189" t="n">
        <v>2</v>
      </c>
      <c r="G680" s="189" t="n">
        <v>3</v>
      </c>
      <c r="H680" s="189" t="inlineStr">
        <is>
          <t>HIGH</t>
        </is>
      </c>
      <c r="I680" s="189" t="n">
        <v>13.3</v>
      </c>
      <c r="J680" s="189" t="inlineStr">
        <is>
          <t>NO</t>
        </is>
      </c>
      <c r="K680" s="190" t="inlineStr">
        <is>
          <t>https://nvd.nist.gov/vuln/detail/CVE-2026-26192</t>
        </is>
      </c>
      <c r="L680" s="189" t="inlineStr">
        <is>
          <t>2026-02-23 23:48</t>
        </is>
      </c>
      <c r="M680" s="189" t="inlineStr">
        <is>
          <t>YES</t>
        </is>
      </c>
      <c r="N680" s="190" t="inlineStr">
        <is>
          <t>https://github.com/open-webui/open-webui/security/advisories/GHSA-xc8p-9rr6-97r2</t>
        </is>
      </c>
      <c r="O680" s="189" t="inlineStr">
        <is>
          <t>Apply vendor patches</t>
        </is>
      </c>
      <c r="P680" s="189" t="inlineStr">
        <is>
          <t>openwebui open_webui *</t>
        </is>
      </c>
      <c r="Q680" s="189" t="inlineStr">
        <is>
          <t>P3</t>
        </is>
      </c>
      <c r="R680" s="189" t="inlineStr">
        <is>
          <t>🚨 URGENT: Apply vendor patches immediately | 🔒 Isolate affected systems if patch unavailable | 🛡️ Enable additional monitoring/IDS rules</t>
        </is>
      </c>
      <c r="S680" s="189" t="inlineStr">
        <is>
          <t>CVE - IP enrichment n/a</t>
        </is>
      </c>
      <c r="T680" s="189" t="n">
        <v>0</v>
      </c>
      <c r="U680" s="189" t="n">
        <v>0</v>
      </c>
      <c r="V680" s="189" t="inlineStr">
        <is>
          <t>T1189:Drive-by Compromise</t>
        </is>
      </c>
      <c r="W680" s="189" t="n">
        <v>1</v>
      </c>
      <c r="X680" s="189" t="inlineStr">
        <is>
          <t>LOW (40%)</t>
        </is>
      </c>
      <c r="Y680" s="189" t="inlineStr">
        <is>
          <t>UNLIKELY</t>
        </is>
      </c>
      <c r="Z680" s="189" t="inlineStr">
        <is>
          <t>PATCH_AVAILABLE</t>
        </is>
      </c>
      <c r="AA680" s="190" t="inlineStr">
        <is>
          <t>https://nvd.nist.gov/vuln/detail/CVE-2026-26192</t>
        </is>
      </c>
      <c r="AB680" s="189" t="inlineStr">
        <is>
          <t>NONE</t>
        </is>
      </c>
      <c r="AC680" s="189" t="n">
        <v>0</v>
      </c>
      <c r="AD680" s="189" t="n"/>
    </row>
    <row r="681">
      <c r="A681" s="189" t="inlineStr">
        <is>
          <t>CVE</t>
        </is>
      </c>
      <c r="B681" s="189" t="inlineStr">
        <is>
          <t>CVE-2026-26193</t>
        </is>
      </c>
      <c r="C681" s="189" t="inlineStr">
        <is>
          <t>Open WebUI is a self-hosted artificial intelligence platform designed to operate entirely offline. Prior to version 0.6.44, aanually modifying chat history allows setting the `embeds` property on a response message, the content of which is loaded into an iFrame with a sandbox that has `allow-scripts` and `allow-same-origin` set, ignoring the "iframe Sandbox Allow Same Origin" configuration. This enables stored XSS on the affected chat. This also triggers when the chat is in the shared format. Th</t>
        </is>
      </c>
      <c r="D681" s="189" t="n">
        <v>7.3</v>
      </c>
      <c r="E681" s="189" t="inlineStr">
        <is>
          <t>HIGH</t>
        </is>
      </c>
      <c r="F681" s="189" t="n">
        <v>2</v>
      </c>
      <c r="G681" s="189" t="n">
        <v>3</v>
      </c>
      <c r="H681" s="189" t="inlineStr">
        <is>
          <t>HIGH</t>
        </is>
      </c>
      <c r="I681" s="189" t="n">
        <v>13.3</v>
      </c>
      <c r="J681" s="189" t="inlineStr">
        <is>
          <t>NO</t>
        </is>
      </c>
      <c r="K681" s="190" t="inlineStr">
        <is>
          <t>https://nvd.nist.gov/vuln/detail/CVE-2026-26193</t>
        </is>
      </c>
      <c r="L681" s="189" t="inlineStr">
        <is>
          <t>2026-02-23 23:48</t>
        </is>
      </c>
      <c r="M681" s="189" t="inlineStr">
        <is>
          <t>YES</t>
        </is>
      </c>
      <c r="N681" s="190" t="inlineStr">
        <is>
          <t>https://github.com/open-webui/open-webui/security/advisories/GHSA-vjm7-m4xh-7wrc</t>
        </is>
      </c>
      <c r="O681" s="189" t="inlineStr">
        <is>
          <t>Apply vendor patches</t>
        </is>
      </c>
      <c r="P681" s="189" t="inlineStr">
        <is>
          <t>openwebui open_webui *</t>
        </is>
      </c>
      <c r="Q681" s="189" t="inlineStr">
        <is>
          <t>P3</t>
        </is>
      </c>
      <c r="R681" s="189" t="inlineStr">
        <is>
          <t>🚨 URGENT: Apply vendor patches immediately | 🔒 Isolate affected systems if patch unavailable | 🛡️ Enable additional monitoring/IDS rules</t>
        </is>
      </c>
      <c r="S681" s="189" t="inlineStr">
        <is>
          <t>CVE - IP enrichment n/a</t>
        </is>
      </c>
      <c r="T681" s="189" t="n">
        <v>0</v>
      </c>
      <c r="U681" s="189" t="n">
        <v>0</v>
      </c>
      <c r="V681" s="189" t="inlineStr">
        <is>
          <t>T1189:Drive-by Compromise</t>
        </is>
      </c>
      <c r="W681" s="189" t="n">
        <v>1</v>
      </c>
      <c r="X681" s="189" t="inlineStr">
        <is>
          <t>LOW (40%)</t>
        </is>
      </c>
      <c r="Y681" s="189" t="inlineStr">
        <is>
          <t>UNLIKELY</t>
        </is>
      </c>
      <c r="Z681" s="189" t="inlineStr">
        <is>
          <t>PATCH_AVAILABLE</t>
        </is>
      </c>
      <c r="AA681" s="190" t="inlineStr">
        <is>
          <t>https://nvd.nist.gov/vuln/detail/CVE-2026-26193</t>
        </is>
      </c>
      <c r="AB681" s="189" t="inlineStr">
        <is>
          <t>NONE</t>
        </is>
      </c>
      <c r="AC681" s="189" t="n">
        <v>0</v>
      </c>
      <c r="AD681" s="189" t="n"/>
    </row>
    <row r="682">
      <c r="A682" s="189" t="inlineStr">
        <is>
          <t>CVE</t>
        </is>
      </c>
      <c r="B682" s="189" t="inlineStr">
        <is>
          <t>CVE-2026-26200</t>
        </is>
      </c>
      <c r="C682" s="189" t="inlineStr">
        <is>
          <t>HDF5 is software for managing data. Prior to version 1.14.4-2, an attacker who can control an `h5` file parsed by HDF5 can trigger a write-based heap buffer overflow condition. This can lead to a denial-of-service condition, and potentially further issues such as remote code execution depending on the practical exploitability of the heap overflow against modern operating systems. Real-world exploitability of this issue in terms of remote-code execution is currently unknown. Version 1.14.4-2 fixe</t>
        </is>
      </c>
      <c r="D682" s="189" t="n">
        <v>7.8</v>
      </c>
      <c r="E682" s="189" t="inlineStr">
        <is>
          <t>HIGH</t>
        </is>
      </c>
      <c r="F682" s="189" t="n">
        <v>2</v>
      </c>
      <c r="G682" s="189" t="n">
        <v>3</v>
      </c>
      <c r="H682" s="189" t="inlineStr">
        <is>
          <t>HIGH</t>
        </is>
      </c>
      <c r="I682" s="189" t="n">
        <v>13.8</v>
      </c>
      <c r="J682" s="189" t="inlineStr">
        <is>
          <t>NO</t>
        </is>
      </c>
      <c r="K682" s="190" t="inlineStr">
        <is>
          <t>https://nvd.nist.gov/vuln/detail/CVE-2026-26200</t>
        </is>
      </c>
      <c r="L682" s="189" t="inlineStr">
        <is>
          <t>2026-02-23 23:48</t>
        </is>
      </c>
      <c r="M682" s="189" t="inlineStr">
        <is>
          <t>CHECK_VENDOR</t>
        </is>
      </c>
      <c r="N682" s="189" t="inlineStr">
        <is>
          <t>See NVD references</t>
        </is>
      </c>
      <c r="O682" s="189" t="inlineStr">
        <is>
          <t>Apply vendor patches</t>
        </is>
      </c>
      <c r="P682" s="189" t="inlineStr">
        <is>
          <t>hdfgroup hdf5 *</t>
        </is>
      </c>
      <c r="Q682" s="189" t="inlineStr">
        <is>
          <t>P3</t>
        </is>
      </c>
      <c r="R682" s="189" t="inlineStr">
        <is>
          <t>🚨 URGENT: Apply vendor patches immediately | 🔒 Isolate affected systems if patch unavailable | 🛡️ Enable additional monitoring/IDS rules</t>
        </is>
      </c>
      <c r="S682" s="189" t="inlineStr">
        <is>
          <t>CVE - IP enrichment n/a</t>
        </is>
      </c>
      <c r="T682" s="189" t="n">
        <v>0</v>
      </c>
      <c r="U682" s="189" t="n">
        <v>0</v>
      </c>
      <c r="V682" s="189" t="inlineStr">
        <is>
          <t>T1203:Exploitation for Client Execution | T1190:Exploit Public-Facing Application | T1210:Exploitation of Remote Services</t>
        </is>
      </c>
      <c r="W682" s="189" t="n">
        <v>1</v>
      </c>
      <c r="X682" s="189" t="inlineStr">
        <is>
          <t>LOW (40%)</t>
        </is>
      </c>
      <c r="Y682" s="189" t="inlineStr">
        <is>
          <t>UNLIKELY</t>
        </is>
      </c>
      <c r="Z682" s="189" t="inlineStr">
        <is>
          <t>CHECK_VENDOR</t>
        </is>
      </c>
      <c r="AA682" s="190" t="inlineStr">
        <is>
          <t>https://nvd.nist.gov/vuln/detail/CVE-2026-26200</t>
        </is>
      </c>
      <c r="AB682" s="189" t="inlineStr">
        <is>
          <t>NONE</t>
        </is>
      </c>
      <c r="AC682" s="189" t="n">
        <v>0</v>
      </c>
      <c r="AD682" s="189" t="n"/>
    </row>
    <row r="683">
      <c r="A683" s="191" t="inlineStr">
        <is>
          <t>CVE</t>
        </is>
      </c>
      <c r="B683" s="191" t="inlineStr">
        <is>
          <t>CVE-2026-26201</t>
        </is>
      </c>
      <c r="C683" s="191" t="inlineStr">
        <is>
          <t>emp3r0r is a C2 designed by Linux users for Linux environments. Prior to version 3.21.2, multiple shared maps are accessed without consistent synchronization across goroutines. Under concurrent activity, Go runtime can trigger `fatal error: concurrent map read and map write`, causing C2 process crash (availability loss). Version 3.21.2 fixes this issue.</t>
        </is>
      </c>
      <c r="D683" s="191" t="n">
        <v>5</v>
      </c>
      <c r="E683" s="191" t="inlineStr">
        <is>
          <t>MEDIUM</t>
        </is>
      </c>
      <c r="F683" s="191" t="n">
        <v>2</v>
      </c>
      <c r="G683" s="191" t="n">
        <v>2</v>
      </c>
      <c r="H683" s="191" t="inlineStr">
        <is>
          <t>MEDIUM</t>
        </is>
      </c>
      <c r="I683" s="191" t="n">
        <v>9</v>
      </c>
      <c r="J683" s="191" t="inlineStr">
        <is>
          <t>NO</t>
        </is>
      </c>
      <c r="K683" s="192" t="inlineStr">
        <is>
          <t>https://nvd.nist.gov/vuln/detail/CVE-2026-26201</t>
        </is>
      </c>
      <c r="L683" s="191" t="inlineStr">
        <is>
          <t>2026-02-23 23:48</t>
        </is>
      </c>
      <c r="M683" s="191" t="inlineStr">
        <is>
          <t>CHECK_VENDOR</t>
        </is>
      </c>
      <c r="N683" s="191" t="inlineStr">
        <is>
          <t>See NVD references</t>
        </is>
      </c>
      <c r="O683" s="191" t="inlineStr">
        <is>
          <t>Apply vendor patches</t>
        </is>
      </c>
      <c r="P683" s="191" t="inlineStr">
        <is>
          <t>See CVE details</t>
        </is>
      </c>
      <c r="Q683" s="191" t="inlineStr">
        <is>
          <t>P4</t>
        </is>
      </c>
      <c r="R683" s="191" t="inlineStr">
        <is>
          <t>📅 Schedule patch deployment within 30 days | 🔍 Monitor for exploitation attempts</t>
        </is>
      </c>
      <c r="S683" s="191" t="inlineStr">
        <is>
          <t>CVE - IP enrichment n/a</t>
        </is>
      </c>
      <c r="T683" s="191" t="n">
        <v>0</v>
      </c>
      <c r="U683" s="191" t="n">
        <v>0</v>
      </c>
      <c r="V683" s="191" t="inlineStr">
        <is>
          <t>T1068:Exploitation for Privilege Escalation</t>
        </is>
      </c>
      <c r="W683" s="191" t="n">
        <v>1</v>
      </c>
      <c r="X683" s="191" t="inlineStr">
        <is>
          <t>LOW (40%)</t>
        </is>
      </c>
      <c r="Y683" s="191" t="inlineStr">
        <is>
          <t>UNLIKELY</t>
        </is>
      </c>
      <c r="Z683" s="191" t="inlineStr">
        <is>
          <t>CHECK_VENDOR</t>
        </is>
      </c>
      <c r="AA683" s="192" t="inlineStr">
        <is>
          <t>https://nvd.nist.gov/vuln/detail/CVE-2026-26201</t>
        </is>
      </c>
      <c r="AB683" s="191" t="inlineStr">
        <is>
          <t>NONE</t>
        </is>
      </c>
      <c r="AC683" s="191" t="n">
        <v>0</v>
      </c>
      <c r="AD683" s="191" t="n"/>
    </row>
    <row r="684">
      <c r="A684" s="189" t="inlineStr">
        <is>
          <t>CVE</t>
        </is>
      </c>
      <c r="B684" s="189" t="inlineStr">
        <is>
          <t>CVE-2026-26202</t>
        </is>
      </c>
      <c r="C684" s="189" t="inlineStr">
        <is>
          <t>Penpot is an open-source design tool for design and code collaboration. Prior to version 2.13.2, an authenticated user can read arbitrary files from the server by supplying a local file path (e.g. `/etc/passwd`) as a font data chunk in the `create-font-variant` RPC endpoint, resulting in the file contents being stored and retrievable as a "font" asset. This is an arbitrary file read vulnerability. Any authenticated user with team edit permissions can read arbitrary files accessible to the Penpot</t>
        </is>
      </c>
      <c r="D684" s="189" t="n">
        <v>7.5</v>
      </c>
      <c r="E684" s="189" t="inlineStr">
        <is>
          <t>HIGH</t>
        </is>
      </c>
      <c r="F684" s="189" t="n">
        <v>2</v>
      </c>
      <c r="G684" s="189" t="n">
        <v>3</v>
      </c>
      <c r="H684" s="189" t="inlineStr">
        <is>
          <t>HIGH</t>
        </is>
      </c>
      <c r="I684" s="189" t="n">
        <v>13.5</v>
      </c>
      <c r="J684" s="189" t="inlineStr">
        <is>
          <t>NO</t>
        </is>
      </c>
      <c r="K684" s="190" t="inlineStr">
        <is>
          <t>https://nvd.nist.gov/vuln/detail/CVE-2026-26202</t>
        </is>
      </c>
      <c r="L684" s="189" t="inlineStr">
        <is>
          <t>2026-02-23 23:48</t>
        </is>
      </c>
      <c r="M684" s="189" t="inlineStr">
        <is>
          <t>YES</t>
        </is>
      </c>
      <c r="N684" s="190" t="inlineStr">
        <is>
          <t>https://github.com/penpot/penpot/commit/06e5825c8a0209889966a4eb5152efd6ff108626</t>
        </is>
      </c>
      <c r="O684" s="189" t="inlineStr">
        <is>
          <t>Apply vendor patches</t>
        </is>
      </c>
      <c r="P684" s="189" t="inlineStr">
        <is>
          <t>kaleidos penpot *</t>
        </is>
      </c>
      <c r="Q684" s="189" t="inlineStr">
        <is>
          <t>P3</t>
        </is>
      </c>
      <c r="R684" s="189" t="inlineStr">
        <is>
          <t>🚨 URGENT: Apply vendor patches immediately | 🔒 Isolate affected systems if patch unavailable | 🛡️ Enable additional monitoring/IDS rules</t>
        </is>
      </c>
      <c r="S684" s="189" t="inlineStr">
        <is>
          <t>CVE - IP enrichment n/a</t>
        </is>
      </c>
      <c r="T684" s="189" t="n">
        <v>0</v>
      </c>
      <c r="U684" s="189" t="n">
        <v>0</v>
      </c>
      <c r="V684" s="189" t="inlineStr">
        <is>
          <t>T1083:File and Directory Discovery | T1190:Exploit Public-Facing Application | T1552:Unsecured Credentials</t>
        </is>
      </c>
      <c r="W684" s="189" t="n">
        <v>1</v>
      </c>
      <c r="X684" s="189" t="inlineStr">
        <is>
          <t>LOW (40%)</t>
        </is>
      </c>
      <c r="Y684" s="189" t="inlineStr">
        <is>
          <t>UNLIKELY</t>
        </is>
      </c>
      <c r="Z684" s="189" t="inlineStr">
        <is>
          <t>PATCH_AVAILABLE</t>
        </is>
      </c>
      <c r="AA684" s="190" t="inlineStr">
        <is>
          <t>https://nvd.nist.gov/vuln/detail/CVE-2026-26202</t>
        </is>
      </c>
      <c r="AB684" s="189" t="inlineStr">
        <is>
          <t>NONE</t>
        </is>
      </c>
      <c r="AC684" s="189" t="n">
        <v>0</v>
      </c>
      <c r="AD684" s="189" t="n"/>
    </row>
    <row r="685">
      <c r="A685" s="191" t="inlineStr">
        <is>
          <t>CVE</t>
        </is>
      </c>
      <c r="B685" s="191" t="inlineStr">
        <is>
          <t>CVE-2026-26203</t>
        </is>
      </c>
      <c r="C685" s="191" t="inlineStr">
        <is>
          <t>PJSIP is a free and open source multimedia communication library. Versions prior to 2.17 have a critical heap buffer underflow vulnerability in PJSIP's H.264 packetizer. The bug occurs when processing malformed H.264 bitstreams without NAL unit start codes, where the packetizer performs unchecked pointer arithmetic that can read from memory located before the allocated buffer. Version 2.17 contains a patch for the issue.</t>
        </is>
      </c>
      <c r="D685" s="191" t="n">
        <v>6.5</v>
      </c>
      <c r="E685" s="191" t="inlineStr">
        <is>
          <t>MEDIUM</t>
        </is>
      </c>
      <c r="F685" s="191" t="n">
        <v>2</v>
      </c>
      <c r="G685" s="191" t="n">
        <v>2</v>
      </c>
      <c r="H685" s="191" t="inlineStr">
        <is>
          <t>MEDIUM</t>
        </is>
      </c>
      <c r="I685" s="191" t="n">
        <v>10.5</v>
      </c>
      <c r="J685" s="191" t="inlineStr">
        <is>
          <t>NO</t>
        </is>
      </c>
      <c r="K685" s="192" t="inlineStr">
        <is>
          <t>https://nvd.nist.gov/vuln/detail/CVE-2026-26203</t>
        </is>
      </c>
      <c r="L685" s="191" t="inlineStr">
        <is>
          <t>2026-02-23 23:48</t>
        </is>
      </c>
      <c r="M685" s="191" t="inlineStr">
        <is>
          <t>YES</t>
        </is>
      </c>
      <c r="N685" s="192" t="inlineStr">
        <is>
          <t>https://github.com/pjsip/pjproject/commit/5aee54f09d4f91538d55279d7316591b28fded6c | https://github.com/pjsip/pjproject/security/advisories/GHSA-p965-mf7j-gwv8</t>
        </is>
      </c>
      <c r="O685" s="191" t="inlineStr">
        <is>
          <t>Apply vendor patches</t>
        </is>
      </c>
      <c r="P685" s="191" t="inlineStr">
        <is>
          <t>pjsip pjsip *</t>
        </is>
      </c>
      <c r="Q685" s="191" t="inlineStr">
        <is>
          <t>P4</t>
        </is>
      </c>
      <c r="R685" s="191" t="inlineStr">
        <is>
          <t>📅 Schedule patch deployment within 30 days | 🔍 Monitor for exploitation attempts</t>
        </is>
      </c>
      <c r="S685" s="191" t="inlineStr">
        <is>
          <t>CVE - IP enrichment n/a</t>
        </is>
      </c>
      <c r="T685" s="191" t="n">
        <v>0</v>
      </c>
      <c r="U685" s="191" t="n">
        <v>0</v>
      </c>
      <c r="V685" s="191" t="inlineStr">
        <is>
          <t>T1203:Exploitation for Client Execution | T1190:Exploit Public-Facing Application</t>
        </is>
      </c>
      <c r="W685" s="191" t="n">
        <v>1</v>
      </c>
      <c r="X685" s="191" t="inlineStr">
        <is>
          <t>LOW (40%)</t>
        </is>
      </c>
      <c r="Y685" s="191" t="inlineStr">
        <is>
          <t>UNLIKELY</t>
        </is>
      </c>
      <c r="Z685" s="191" t="inlineStr">
        <is>
          <t>PATCH_AVAILABLE</t>
        </is>
      </c>
      <c r="AA685" s="192" t="inlineStr">
        <is>
          <t>https://nvd.nist.gov/vuln/detail/CVE-2026-26203</t>
        </is>
      </c>
      <c r="AB685" s="191" t="inlineStr">
        <is>
          <t>NONE</t>
        </is>
      </c>
      <c r="AC685" s="191" t="n">
        <v>0</v>
      </c>
      <c r="AD685" s="191" t="n"/>
    </row>
    <row r="686">
      <c r="A686" s="189" t="inlineStr">
        <is>
          <t>CVE</t>
        </is>
      </c>
      <c r="B686" s="189" t="inlineStr">
        <is>
          <t>CVE-2026-26205</t>
        </is>
      </c>
      <c r="C686" s="189" t="inlineStr">
        <is>
          <t xml:space="preserve">opa-envoy-plugun is a plugin to enforce OPA policies with Envoy. Versions prior to 1.13.2-envoy-2 have a vulnerability in how the `input.parsed_path` field is constructed. HTTP request paths are treated as full URIs when parsed; interpreting leading path segments prefixed with double slashes (`//`) as authority components, and therefore dropping them from the parsed path. This creates a path interpretation mismatch between authorization policies and backend servers, enabling attackers to bypass </t>
        </is>
      </c>
      <c r="D686" s="189" t="n">
        <v>8.5</v>
      </c>
      <c r="E686" s="189" t="inlineStr">
        <is>
          <t>HIGH</t>
        </is>
      </c>
      <c r="F686" s="189" t="n">
        <v>2</v>
      </c>
      <c r="G686" s="189" t="n">
        <v>3</v>
      </c>
      <c r="H686" s="189" t="inlineStr">
        <is>
          <t>HIGH</t>
        </is>
      </c>
      <c r="I686" s="189" t="n">
        <v>14.5</v>
      </c>
      <c r="J686" s="189" t="inlineStr">
        <is>
          <t>NO</t>
        </is>
      </c>
      <c r="K686" s="190" t="inlineStr">
        <is>
          <t>https://nvd.nist.gov/vuln/detail/CVE-2026-26205</t>
        </is>
      </c>
      <c r="L686" s="189" t="inlineStr">
        <is>
          <t>2026-02-23 23:48</t>
        </is>
      </c>
      <c r="M686" s="189" t="inlineStr">
        <is>
          <t>CHECK_VENDOR</t>
        </is>
      </c>
      <c r="N686" s="189" t="inlineStr">
        <is>
          <t>See NVD references</t>
        </is>
      </c>
      <c r="O686" s="189" t="inlineStr">
        <is>
          <t>Apply vendor patches</t>
        </is>
      </c>
      <c r="P686" s="189" t="inlineStr">
        <is>
          <t>See CVE details</t>
        </is>
      </c>
      <c r="Q686" s="189" t="inlineStr">
        <is>
          <t>P3</t>
        </is>
      </c>
      <c r="R686" s="189" t="inlineStr">
        <is>
          <t>🚨 URGENT: Apply vendor patches immediately | 🔒 Isolate affected systems if patch unavailable | 🛡️ Enable additional monitoring/IDS rules</t>
        </is>
      </c>
      <c r="S686" s="189" t="inlineStr">
        <is>
          <t>CVE - IP enrichment n/a</t>
        </is>
      </c>
      <c r="T686" s="189" t="n">
        <v>0.0008</v>
      </c>
      <c r="U686" s="189" t="n">
        <v>0.241</v>
      </c>
      <c r="V686" s="189" t="inlineStr">
        <is>
          <t>T1190:Exploit Public-Facing Application</t>
        </is>
      </c>
      <c r="W686" s="189" t="n">
        <v>1</v>
      </c>
      <c r="X686" s="189" t="inlineStr">
        <is>
          <t>LOW (40%)</t>
        </is>
      </c>
      <c r="Y686" s="189" t="inlineStr">
        <is>
          <t>UNLIKELY</t>
        </is>
      </c>
      <c r="Z686" s="189" t="inlineStr">
        <is>
          <t>CHECK_VENDOR</t>
        </is>
      </c>
      <c r="AA686" s="190" t="inlineStr">
        <is>
          <t>https://nvd.nist.gov/vuln/detail/CVE-2026-26205</t>
        </is>
      </c>
      <c r="AB686" s="189" t="inlineStr">
        <is>
          <t>NONE</t>
        </is>
      </c>
      <c r="AC686" s="189" t="n">
        <v>0</v>
      </c>
      <c r="AD686" s="189" t="n"/>
    </row>
    <row r="687">
      <c r="A687" s="189" t="inlineStr">
        <is>
          <t>CVE</t>
        </is>
      </c>
      <c r="B687" s="189" t="inlineStr">
        <is>
          <t>CVE-2026-26267</t>
        </is>
      </c>
      <c r="C687" s="189" t="inlineStr">
        <is>
          <t>soroban-sdk is a Rust SDK for Soroban contracts. Prior to versions 22.0.10, 23.5.2, and 25.1.1, the `#[contractimpl]` macro contains a bug in how it wires up function calls. `#[contractimpl]` generates code that uses `MyContract::value()` style calls even when it's processing the trait version. This means if an inherent function is also defined with the same name, the inherent function gets called instead of the trait function. This means the Wasm-exported entry point silently calls the wrong fu</t>
        </is>
      </c>
      <c r="D687" s="189" t="n">
        <v>7.5</v>
      </c>
      <c r="E687" s="189" t="inlineStr">
        <is>
          <t>HIGH</t>
        </is>
      </c>
      <c r="F687" s="189" t="n">
        <v>2</v>
      </c>
      <c r="G687" s="189" t="n">
        <v>3</v>
      </c>
      <c r="H687" s="189" t="inlineStr">
        <is>
          <t>HIGH</t>
        </is>
      </c>
      <c r="I687" s="189" t="n">
        <v>13.5</v>
      </c>
      <c r="J687" s="189" t="inlineStr">
        <is>
          <t>NO</t>
        </is>
      </c>
      <c r="K687" s="190" t="inlineStr">
        <is>
          <t>https://nvd.nist.gov/vuln/detail/CVE-2026-26267</t>
        </is>
      </c>
      <c r="L687" s="189" t="inlineStr">
        <is>
          <t>2026-02-23 23:48</t>
        </is>
      </c>
      <c r="M687" s="189" t="inlineStr">
        <is>
          <t>YES</t>
        </is>
      </c>
      <c r="N687" s="190" t="inlineStr">
        <is>
          <t>https://github.com/stellar/rs-soroban-sdk/commit/e92a3933e5f92dc09da3c740cf6a360d55709a2b | https://github.com/stellar/rs-soroban-sdk/pull/1729 | https://github.com/stellar/rs-soroban-sdk/pull/1730</t>
        </is>
      </c>
      <c r="O687" s="189" t="inlineStr">
        <is>
          <t>Apply vendor patches</t>
        </is>
      </c>
      <c r="P687" s="189" t="inlineStr">
        <is>
          <t>stellar rs-soroban-sdk *</t>
        </is>
      </c>
      <c r="Q687" s="189" t="inlineStr">
        <is>
          <t>P3</t>
        </is>
      </c>
      <c r="R687" s="189" t="inlineStr">
        <is>
          <t>🚨 URGENT: Apply vendor patches immediately | 🔒 Isolate affected systems if patch unavailable | 🛡️ Enable additional monitoring/IDS rules</t>
        </is>
      </c>
      <c r="S687" s="189" t="inlineStr">
        <is>
          <t>CVE - IP enrichment n/a</t>
        </is>
      </c>
      <c r="T687" s="189" t="n">
        <v>0.0003</v>
      </c>
      <c r="U687" s="189" t="n">
        <v>0.0701</v>
      </c>
      <c r="V687" s="189" t="inlineStr">
        <is>
          <t>T1190:Exploit Public-Facing Application</t>
        </is>
      </c>
      <c r="W687" s="189" t="n">
        <v>1</v>
      </c>
      <c r="X687" s="189" t="inlineStr">
        <is>
          <t>LOW (40%)</t>
        </is>
      </c>
      <c r="Y687" s="189" t="inlineStr">
        <is>
          <t>UNLIKELY</t>
        </is>
      </c>
      <c r="Z687" s="189" t="inlineStr">
        <is>
          <t>PATCH_AVAILABLE</t>
        </is>
      </c>
      <c r="AA687" s="190" t="inlineStr">
        <is>
          <t>https://nvd.nist.gov/vuln/detail/CVE-2026-26267</t>
        </is>
      </c>
      <c r="AB687" s="189" t="inlineStr">
        <is>
          <t>NONE</t>
        </is>
      </c>
      <c r="AC687" s="189" t="n">
        <v>0</v>
      </c>
      <c r="AD687" s="189" t="n"/>
    </row>
    <row r="688">
      <c r="A688" s="189" t="inlineStr">
        <is>
          <t>CVE</t>
        </is>
      </c>
      <c r="B688" s="189" t="inlineStr">
        <is>
          <t>CVE-2026-26278</t>
        </is>
      </c>
      <c r="C688" s="189" t="inlineStr">
        <is>
          <t>fast-xml-parser allows users to validate XML, parse XML to JS object, or build XML from JS object without C/C++ based libraries and no callback. In versions 4.1.3 through 5.3.5, the XML parser can be forced to do an unlimited amount of entity expansion. With a very small XML input, it’s possible to make the parser spend seconds or even minutes processing a single request, effectively freezing the application. Version 5.3.6 fixes the issue. As a workaround, avoid using DOCTYPE parsing by `process</t>
        </is>
      </c>
      <c r="D688" s="189" t="n">
        <v>7.5</v>
      </c>
      <c r="E688" s="189" t="inlineStr">
        <is>
          <t>HIGH</t>
        </is>
      </c>
      <c r="F688" s="189" t="n">
        <v>2</v>
      </c>
      <c r="G688" s="189" t="n">
        <v>3</v>
      </c>
      <c r="H688" s="189" t="inlineStr">
        <is>
          <t>HIGH</t>
        </is>
      </c>
      <c r="I688" s="189" t="n">
        <v>13.5</v>
      </c>
      <c r="J688" s="189" t="inlineStr">
        <is>
          <t>NO</t>
        </is>
      </c>
      <c r="K688" s="190" t="inlineStr">
        <is>
          <t>https://nvd.nist.gov/vuln/detail/CVE-2026-26278</t>
        </is>
      </c>
      <c r="L688" s="189" t="inlineStr">
        <is>
          <t>2026-02-23 23:48</t>
        </is>
      </c>
      <c r="M688" s="189" t="inlineStr">
        <is>
          <t>YES</t>
        </is>
      </c>
      <c r="N688" s="190" t="inlineStr">
        <is>
          <t>https://github.com/NaturalIntelligence/fast-xml-parser/commit/910dae5be2de2955e968558fadf6e8f74f117a77 | https://github.com/NaturalIntelligence/fast-xml-parser/security/advisories/GHSA-jmr7-xgp7-cmfj</t>
        </is>
      </c>
      <c r="O688" s="189" t="inlineStr">
        <is>
          <t>Apply vendor patches</t>
        </is>
      </c>
      <c r="P688" s="189" t="inlineStr">
        <is>
          <t>naturalintelligence fast-xml-parser *</t>
        </is>
      </c>
      <c r="Q688" s="189" t="inlineStr">
        <is>
          <t>P3</t>
        </is>
      </c>
      <c r="R688" s="189" t="inlineStr">
        <is>
          <t>🚨 URGENT: Apply vendor patches immediately | 🔒 Isolate affected systems if patch unavailable | 🛡️ Enable additional monitoring/IDS rules</t>
        </is>
      </c>
      <c r="S688" s="189" t="inlineStr">
        <is>
          <t>CVE - IP enrichment n/a</t>
        </is>
      </c>
      <c r="T688" s="189" t="n">
        <v>0</v>
      </c>
      <c r="U688" s="189" t="n">
        <v>0</v>
      </c>
      <c r="V688" s="189" t="inlineStr">
        <is>
          <t>T1190:Exploit Public-Facing Application</t>
        </is>
      </c>
      <c r="W688" s="189" t="n">
        <v>1</v>
      </c>
      <c r="X688" s="189" t="inlineStr">
        <is>
          <t>LOW (40%)</t>
        </is>
      </c>
      <c r="Y688" s="189" t="inlineStr">
        <is>
          <t>UNLIKELY</t>
        </is>
      </c>
      <c r="Z688" s="189" t="inlineStr">
        <is>
          <t>PATCH_AVAILABLE</t>
        </is>
      </c>
      <c r="AA688" s="190" t="inlineStr">
        <is>
          <t>https://nvd.nist.gov/vuln/detail/CVE-2026-26278</t>
        </is>
      </c>
      <c r="AB688" s="189" t="inlineStr">
        <is>
          <t>NONE</t>
        </is>
      </c>
      <c r="AC688" s="189" t="n">
        <v>0</v>
      </c>
      <c r="AD688" s="189" t="n"/>
    </row>
    <row r="689">
      <c r="A689" s="189" t="inlineStr">
        <is>
          <t>CVE</t>
        </is>
      </c>
      <c r="B689" s="189" t="inlineStr">
        <is>
          <t>CVE-2026-26280</t>
        </is>
      </c>
      <c r="C689" s="189" t="inlineStr">
        <is>
          <t>systeminformation is a System and OS information library for node.js. In versions prior to 5.30.8, a command injection vulnerability in the `wifiNetworks()` function allows an attacker to execute arbitrary OS commands via an unsanitized network interface parameter in the retry code path. In `lib/wifi.js`, the `wifiNetworks()` function sanitizes the `iface` parameter on the initial call (line 437). However, when the initial scan returns empty results, a `setTimeout` retry (lines 440-441) calls `g</t>
        </is>
      </c>
      <c r="D689" s="189" t="n">
        <v>8.4</v>
      </c>
      <c r="E689" s="189" t="inlineStr">
        <is>
          <t>HIGH</t>
        </is>
      </c>
      <c r="F689" s="189" t="n">
        <v>2</v>
      </c>
      <c r="G689" s="189" t="n">
        <v>3</v>
      </c>
      <c r="H689" s="189" t="inlineStr">
        <is>
          <t>HIGH</t>
        </is>
      </c>
      <c r="I689" s="189" t="n">
        <v>14.4</v>
      </c>
      <c r="J689" s="189" t="inlineStr">
        <is>
          <t>NO</t>
        </is>
      </c>
      <c r="K689" s="190" t="inlineStr">
        <is>
          <t>https://nvd.nist.gov/vuln/detail/CVE-2026-26280</t>
        </is>
      </c>
      <c r="L689" s="189" t="inlineStr">
        <is>
          <t>2026-02-23 23:48</t>
        </is>
      </c>
      <c r="M689" s="189" t="inlineStr">
        <is>
          <t>YES</t>
        </is>
      </c>
      <c r="N689" s="190" t="inlineStr">
        <is>
          <t>https://github.com/sebhildebrandt/systeminformation/commit/22242aa56188f2bffcbd7d265a11e1ebb808b460 | https://github.com/sebhildebrandt/systeminformation/security/advisories/GHSA-9c88-49p5-5ggf</t>
        </is>
      </c>
      <c r="O689" s="189" t="inlineStr">
        <is>
          <t>Apply vendor patches</t>
        </is>
      </c>
      <c r="P689" s="189" t="inlineStr">
        <is>
          <t>systeminformation systeminformation *</t>
        </is>
      </c>
      <c r="Q689" s="189" t="inlineStr">
        <is>
          <t>P3</t>
        </is>
      </c>
      <c r="R689" s="189" t="inlineStr">
        <is>
          <t>🚨 URGENT: Apply vendor patches immediately | 🔒 Isolate affected systems if patch unavailable | 🛡️ Enable additional monitoring/IDS rules</t>
        </is>
      </c>
      <c r="S689" s="189" t="inlineStr">
        <is>
          <t>CVE - IP enrichment n/a</t>
        </is>
      </c>
      <c r="T689" s="189" t="n">
        <v>0.0005999999999999999</v>
      </c>
      <c r="U689" s="189" t="n">
        <v>0.1939</v>
      </c>
      <c r="V689" s="189" t="inlineStr">
        <is>
          <t>T1059:Command and Scripting Interpreter</t>
        </is>
      </c>
      <c r="W689" s="189" t="n">
        <v>1</v>
      </c>
      <c r="X689" s="189" t="inlineStr">
        <is>
          <t>LOW (40%)</t>
        </is>
      </c>
      <c r="Y689" s="189" t="inlineStr">
        <is>
          <t>UNLIKELY</t>
        </is>
      </c>
      <c r="Z689" s="189" t="inlineStr">
        <is>
          <t>PATCH_AVAILABLE</t>
        </is>
      </c>
      <c r="AA689" s="190" t="inlineStr">
        <is>
          <t>https://nvd.nist.gov/vuln/detail/CVE-2026-26280</t>
        </is>
      </c>
      <c r="AB689" s="189" t="inlineStr">
        <is>
          <t>NONE</t>
        </is>
      </c>
      <c r="AC689" s="189" t="n">
        <v>0</v>
      </c>
      <c r="AD689" s="189" t="n"/>
    </row>
    <row r="690">
      <c r="A690" s="189" t="inlineStr">
        <is>
          <t>CVE</t>
        </is>
      </c>
      <c r="B690" s="189" t="inlineStr">
        <is>
          <t>CVE-2026-26318</t>
        </is>
      </c>
      <c r="C690" s="189" t="inlineStr">
        <is>
          <t>systeminformation is a System and OS information library for node.js. Versions prior to 5.31.0 are vulnerable to command injection via unsanitized `locate` output in `versions()`. Version 5.31.0 fixes the issue.</t>
        </is>
      </c>
      <c r="D690" s="189" t="n">
        <v>8.800000000000001</v>
      </c>
      <c r="E690" s="189" t="inlineStr">
        <is>
          <t>HIGH</t>
        </is>
      </c>
      <c r="F690" s="189" t="n">
        <v>2</v>
      </c>
      <c r="G690" s="189" t="n">
        <v>3</v>
      </c>
      <c r="H690" s="189" t="inlineStr">
        <is>
          <t>HIGH</t>
        </is>
      </c>
      <c r="I690" s="189" t="n">
        <v>14.8</v>
      </c>
      <c r="J690" s="189" t="inlineStr">
        <is>
          <t>NO</t>
        </is>
      </c>
      <c r="K690" s="190" t="inlineStr">
        <is>
          <t>https://nvd.nist.gov/vuln/detail/CVE-2026-26318</t>
        </is>
      </c>
      <c r="L690" s="189" t="inlineStr">
        <is>
          <t>2026-02-23 23:48</t>
        </is>
      </c>
      <c r="M690" s="189" t="inlineStr">
        <is>
          <t>YES</t>
        </is>
      </c>
      <c r="N690" s="190" t="inlineStr">
        <is>
          <t>https://github.com/sebhildebrandt/systeminformation/commit/b67d3715eec881038ccbaace2f2711419ac3e107 | https://github.com/sebhildebrandt/systeminformation/security/advisories/GHSA-5vv4-hvf7-2h46</t>
        </is>
      </c>
      <c r="O690" s="190" t="inlineStr">
        <is>
          <t>https://github.com/sebhildebrandt/systeminformation/security/advisories/GHSA-5vv4-hvf7-2h46</t>
        </is>
      </c>
      <c r="P690" s="189" t="inlineStr">
        <is>
          <t>systeminformation systeminformation *</t>
        </is>
      </c>
      <c r="Q690" s="189" t="inlineStr">
        <is>
          <t>P3</t>
        </is>
      </c>
      <c r="R690" s="189" t="inlineStr">
        <is>
          <t>🚨 URGENT: Apply vendor patches immediately | 🔒 Isolate affected systems if patch unavailable | 🛡️ Enable additional monitoring/IDS rules</t>
        </is>
      </c>
      <c r="S690" s="189" t="inlineStr">
        <is>
          <t>CVE - IP enrichment n/a</t>
        </is>
      </c>
      <c r="T690" s="189" t="n">
        <v>0</v>
      </c>
      <c r="U690" s="189" t="n">
        <v>0</v>
      </c>
      <c r="V690" s="189" t="inlineStr">
        <is>
          <t>T1059:Command and Scripting Interpreter</t>
        </is>
      </c>
      <c r="W690" s="189" t="n">
        <v>1</v>
      </c>
      <c r="X690" s="189" t="inlineStr">
        <is>
          <t>LOW (40%)</t>
        </is>
      </c>
      <c r="Y690" s="189" t="inlineStr">
        <is>
          <t>UNLIKELY</t>
        </is>
      </c>
      <c r="Z690" s="189" t="inlineStr">
        <is>
          <t>PATCH_AVAILABLE</t>
        </is>
      </c>
      <c r="AA690" s="190" t="inlineStr">
        <is>
          <t>https://nvd.nist.gov/vuln/detail/CVE-2026-26318</t>
        </is>
      </c>
      <c r="AB690" s="189" t="inlineStr">
        <is>
          <t>NONE</t>
        </is>
      </c>
      <c r="AC690" s="189" t="n">
        <v>0</v>
      </c>
      <c r="AD690" s="189" t="n"/>
    </row>
    <row r="691">
      <c r="A691" s="189" t="inlineStr">
        <is>
          <t>CVE</t>
        </is>
      </c>
      <c r="B691" s="189" t="inlineStr">
        <is>
          <t>CVE-2026-27013</t>
        </is>
      </c>
      <c r="C691" s="189" t="inlineStr">
        <is>
          <t>Fabric.js is a Javascript HTML5 canvas library. Prior to version 7.2.0, Fabric.js applies `escapeXml()` to text content during SVG export (`src/shapes/Text/TextSVGExportMixin.ts:186`) but fails to apply it to other user-controlled string values that are interpolated into SVG attribute markup. When attacker-controlled JSON is loaded via `loadFromJSON()` and later exported via `toSVG()`, the unescaped values break out of XML attributes and inject arbitrary SVG elements including event handlers. An</t>
        </is>
      </c>
      <c r="D691" s="189" t="n">
        <v>7.6</v>
      </c>
      <c r="E691" s="189" t="inlineStr">
        <is>
          <t>HIGH</t>
        </is>
      </c>
      <c r="F691" s="189" t="n">
        <v>2</v>
      </c>
      <c r="G691" s="189" t="n">
        <v>3</v>
      </c>
      <c r="H691" s="189" t="inlineStr">
        <is>
          <t>HIGH</t>
        </is>
      </c>
      <c r="I691" s="189" t="n">
        <v>13.6</v>
      </c>
      <c r="J691" s="189" t="inlineStr">
        <is>
          <t>NO</t>
        </is>
      </c>
      <c r="K691" s="190" t="inlineStr">
        <is>
          <t>https://nvd.nist.gov/vuln/detail/CVE-2026-27013</t>
        </is>
      </c>
      <c r="L691" s="189" t="inlineStr">
        <is>
          <t>2026-02-23 23:48</t>
        </is>
      </c>
      <c r="M691" s="189" t="inlineStr">
        <is>
          <t>YES</t>
        </is>
      </c>
      <c r="N691" s="190" t="inlineStr">
        <is>
          <t>https://github.com/fabricjs/fabric.js/commit/7e1a122defd8feefe4eb7eaf0c180d7b0aeb6fee | https://github.com/fabricjs/fabric.js/security/advisories/GHSA-hfvx-25r5-qc3w</t>
        </is>
      </c>
      <c r="O691" s="189" t="inlineStr">
        <is>
          <t>Apply vendor patches</t>
        </is>
      </c>
      <c r="P691" s="189" t="inlineStr">
        <is>
          <t>fabricjs fabric.js *</t>
        </is>
      </c>
      <c r="Q691" s="189" t="inlineStr">
        <is>
          <t>P3</t>
        </is>
      </c>
      <c r="R691" s="189" t="inlineStr">
        <is>
          <t>🚨 URGENT: Apply vendor patches immediately | 🔒 Isolate affected systems if patch unavailable | 🛡️ Enable additional monitoring/IDS rules</t>
        </is>
      </c>
      <c r="S691" s="189" t="inlineStr">
        <is>
          <t>CVE - IP enrichment n/a</t>
        </is>
      </c>
      <c r="T691" s="189" t="n">
        <v>0.0004</v>
      </c>
      <c r="U691" s="189" t="n">
        <v>0.1142</v>
      </c>
      <c r="V691" s="189" t="inlineStr">
        <is>
          <t>T1189:Drive-by Compromise</t>
        </is>
      </c>
      <c r="W691" s="189" t="n">
        <v>1</v>
      </c>
      <c r="X691" s="189" t="inlineStr">
        <is>
          <t>LOW (40%)</t>
        </is>
      </c>
      <c r="Y691" s="189" t="inlineStr">
        <is>
          <t>UNLIKELY</t>
        </is>
      </c>
      <c r="Z691" s="189" t="inlineStr">
        <is>
          <t>PATCH_AVAILABLE</t>
        </is>
      </c>
      <c r="AA691" s="190" t="inlineStr">
        <is>
          <t>https://nvd.nist.gov/vuln/detail/CVE-2026-27013</t>
        </is>
      </c>
      <c r="AB691" s="189" t="inlineStr">
        <is>
          <t>NONE</t>
        </is>
      </c>
      <c r="AC691" s="189" t="n">
        <v>0</v>
      </c>
      <c r="AD691" s="189" t="n"/>
    </row>
    <row r="692">
      <c r="A692" s="193" t="inlineStr">
        <is>
          <t>CVE</t>
        </is>
      </c>
      <c r="B692" s="193" t="inlineStr">
        <is>
          <t>CVE-2025-67305</t>
        </is>
      </c>
      <c r="C692" s="193" t="inlineStr">
        <is>
          <t>In RUCKUS Network Director (RND) &lt; 4.5.0.56, the OVA appliance contains hardcoded SSH keys for the postgres user. These keys are identical across all deployments, allowing an attacker with network access to authenticate via SSH without a password. Once authenticated, the attacker can access the PostgreSQL database with superuser privileges, create administrative users for the web interface, and potentially escalate privileges further.</t>
        </is>
      </c>
      <c r="D692" s="193" t="n">
        <v>9.800000000000001</v>
      </c>
      <c r="E692" s="193" t="inlineStr">
        <is>
          <t>CRITICAL</t>
        </is>
      </c>
      <c r="F692" s="193" t="n">
        <v>2</v>
      </c>
      <c r="G692" s="193" t="n">
        <v>3</v>
      </c>
      <c r="H692" s="193" t="inlineStr">
        <is>
          <t>HIGH</t>
        </is>
      </c>
      <c r="I692" s="193" t="n">
        <v>15.8</v>
      </c>
      <c r="J692" s="193" t="inlineStr">
        <is>
          <t>NO</t>
        </is>
      </c>
      <c r="K692" s="194" t="inlineStr">
        <is>
          <t>https://nvd.nist.gov/vuln/detail/CVE-2025-67305</t>
        </is>
      </c>
      <c r="L692" s="193" t="inlineStr">
        <is>
          <t>2026-02-23 23:48</t>
        </is>
      </c>
      <c r="M692" s="193" t="inlineStr">
        <is>
          <t>CHECK_VENDOR</t>
        </is>
      </c>
      <c r="N692" s="193" t="inlineStr">
        <is>
          <t>See NVD references</t>
        </is>
      </c>
      <c r="O692" s="193" t="inlineStr">
        <is>
          <t>Apply vendor patches</t>
        </is>
      </c>
      <c r="P692" s="193" t="inlineStr">
        <is>
          <t>See CVE details</t>
        </is>
      </c>
      <c r="Q692" s="193" t="inlineStr">
        <is>
          <t>P3</t>
        </is>
      </c>
      <c r="R692" s="193" t="inlineStr">
        <is>
          <t>🚨 URGENT: Apply vendor patches immediately | 🔒 Isolate affected systems if patch unavailable | 🛡️ Enable additional monitoring/IDS rules</t>
        </is>
      </c>
      <c r="S692" s="193" t="inlineStr">
        <is>
          <t>CVE - IP enrichment n/a</t>
        </is>
      </c>
      <c r="T692" s="193" t="n">
        <v>0</v>
      </c>
      <c r="U692" s="193" t="n">
        <v>0</v>
      </c>
      <c r="V692" s="193" t="inlineStr">
        <is>
          <t>T1552:Unsecured Credentials</t>
        </is>
      </c>
      <c r="W692" s="193" t="n">
        <v>1</v>
      </c>
      <c r="X692" s="193" t="inlineStr">
        <is>
          <t>LOW (40%)</t>
        </is>
      </c>
      <c r="Y692" s="193" t="inlineStr">
        <is>
          <t>UNLIKELY</t>
        </is>
      </c>
      <c r="Z692" s="193" t="inlineStr">
        <is>
          <t>CHECK_VENDOR</t>
        </is>
      </c>
      <c r="AA692" s="194" t="inlineStr">
        <is>
          <t>https://nvd.nist.gov/vuln/detail/CVE-2025-67305</t>
        </is>
      </c>
      <c r="AB692" s="193" t="inlineStr">
        <is>
          <t>NONE</t>
        </is>
      </c>
      <c r="AC692" s="193" t="n">
        <v>0</v>
      </c>
      <c r="AD692" s="193" t="n"/>
    </row>
    <row r="693">
      <c r="A693" s="191" t="inlineStr">
        <is>
          <t>CVE</t>
        </is>
      </c>
      <c r="B693" s="191" t="inlineStr">
        <is>
          <t>CVE-2026-26282</t>
        </is>
      </c>
      <c r="C693" s="191" t="inlineStr">
        <is>
          <t>NanaZip is an open source file archive Starting in version 5.0.1252.0 and prior to version 6.0.1630.0, NanaZip has an out-of-bounds heap read in `.NET Single File` bundle header parser due to missing bounds check. Opening a crafted file with NanaZip causes a crash or leaks heap data to the user. Version 6.0.1630.0 patches the issue.</t>
        </is>
      </c>
      <c r="D693" s="191" t="n">
        <v>6.6</v>
      </c>
      <c r="E693" s="191" t="inlineStr">
        <is>
          <t>MEDIUM</t>
        </is>
      </c>
      <c r="F693" s="191" t="n">
        <v>2</v>
      </c>
      <c r="G693" s="191" t="n">
        <v>2</v>
      </c>
      <c r="H693" s="191" t="inlineStr">
        <is>
          <t>MEDIUM</t>
        </is>
      </c>
      <c r="I693" s="191" t="n">
        <v>10.6</v>
      </c>
      <c r="J693" s="191" t="inlineStr">
        <is>
          <t>NO</t>
        </is>
      </c>
      <c r="K693" s="192" t="inlineStr">
        <is>
          <t>https://nvd.nist.gov/vuln/detail/CVE-2026-26282</t>
        </is>
      </c>
      <c r="L693" s="191" t="inlineStr">
        <is>
          <t>2026-02-23 23:48</t>
        </is>
      </c>
      <c r="M693" s="191" t="inlineStr">
        <is>
          <t>CHECK_VENDOR</t>
        </is>
      </c>
      <c r="N693" s="191" t="inlineStr">
        <is>
          <t>See NVD references</t>
        </is>
      </c>
      <c r="O693" s="191" t="inlineStr">
        <is>
          <t>Apply vendor patches</t>
        </is>
      </c>
      <c r="P693" s="191" t="inlineStr">
        <is>
          <t>m2team nanazip *</t>
        </is>
      </c>
      <c r="Q693" s="191" t="inlineStr">
        <is>
          <t>P4</t>
        </is>
      </c>
      <c r="R693" s="191" t="inlineStr">
        <is>
          <t>📅 Schedule patch deployment within 30 days | 🔍 Monitor for exploitation attempts</t>
        </is>
      </c>
      <c r="S693" s="191" t="inlineStr">
        <is>
          <t>CVE - IP enrichment n/a</t>
        </is>
      </c>
      <c r="T693" s="191" t="n">
        <v>0</v>
      </c>
      <c r="U693" s="191" t="n">
        <v>0</v>
      </c>
      <c r="V693" s="191" t="inlineStr">
        <is>
          <t>T1203:Exploitation for Client Execution | T1190:Exploit Public-Facing Application</t>
        </is>
      </c>
      <c r="W693" s="191" t="n">
        <v>1</v>
      </c>
      <c r="X693" s="191" t="inlineStr">
        <is>
          <t>LOW (40%)</t>
        </is>
      </c>
      <c r="Y693" s="191" t="inlineStr">
        <is>
          <t>UNLIKELY</t>
        </is>
      </c>
      <c r="Z693" s="191" t="inlineStr">
        <is>
          <t>CHECK_VENDOR</t>
        </is>
      </c>
      <c r="AA693" s="192" t="inlineStr">
        <is>
          <t>https://nvd.nist.gov/vuln/detail/CVE-2026-26282</t>
        </is>
      </c>
      <c r="AB693" s="191" t="inlineStr">
        <is>
          <t>NONE</t>
        </is>
      </c>
      <c r="AC693" s="191" t="n">
        <v>0</v>
      </c>
      <c r="AD693" s="191" t="n"/>
    </row>
    <row r="694">
      <c r="A694" s="189" t="inlineStr">
        <is>
          <t>CVE</t>
        </is>
      </c>
      <c r="B694" s="189" t="inlineStr">
        <is>
          <t>CVE-2026-26286</t>
        </is>
      </c>
      <c r="C694" s="189" t="inlineStr">
        <is>
          <t>SillyTavern is a locally installed user interface that allows users to interact with text generation large language models, image generation engines, and text-to-speech voice models. In versions prior to 1.16.0, a Server-Side Request Forgery (SSRF) vulnerability in the asset download endpoint allows authenticated users to make arbitrary HTTP requests from the server and read the full response body, enabling access to internal services, cloud metadata, and private network resources. The vulnerabi</t>
        </is>
      </c>
      <c r="D694" s="189" t="n">
        <v>8.5</v>
      </c>
      <c r="E694" s="189" t="inlineStr">
        <is>
          <t>HIGH</t>
        </is>
      </c>
      <c r="F694" s="189" t="n">
        <v>2</v>
      </c>
      <c r="G694" s="189" t="n">
        <v>3</v>
      </c>
      <c r="H694" s="189" t="inlineStr">
        <is>
          <t>HIGH</t>
        </is>
      </c>
      <c r="I694" s="189" t="n">
        <v>14.5</v>
      </c>
      <c r="J694" s="189" t="inlineStr">
        <is>
          <t>NO</t>
        </is>
      </c>
      <c r="K694" s="190" t="inlineStr">
        <is>
          <t>https://nvd.nist.gov/vuln/detail/CVE-2026-26286</t>
        </is>
      </c>
      <c r="L694" s="189" t="inlineStr">
        <is>
          <t>2026-02-23 23:48</t>
        </is>
      </c>
      <c r="M694" s="189" t="inlineStr">
        <is>
          <t>YES</t>
        </is>
      </c>
      <c r="N694" s="190" t="inlineStr">
        <is>
          <t>https://github.com/SillyTavern/SillyTavern/security/advisories/GHSA-cccp-94vg-j92r</t>
        </is>
      </c>
      <c r="O694" s="189" t="inlineStr">
        <is>
          <t>Apply vendor patches</t>
        </is>
      </c>
      <c r="P694" s="189" t="inlineStr">
        <is>
          <t>sillytavern sillytavern *</t>
        </is>
      </c>
      <c r="Q694" s="189" t="inlineStr">
        <is>
          <t>P3</t>
        </is>
      </c>
      <c r="R694" s="189" t="inlineStr">
        <is>
          <t>🚨 URGENT: Apply vendor patches immediately | 🔒 Isolate affected systems if patch unavailable | 🛡️ Enable additional monitoring/IDS rules</t>
        </is>
      </c>
      <c r="S694" s="189" t="inlineStr">
        <is>
          <t>CVE - IP enrichment n/a</t>
        </is>
      </c>
      <c r="T694" s="189" t="n">
        <v>0</v>
      </c>
      <c r="U694" s="189" t="n">
        <v>0</v>
      </c>
      <c r="V694" s="189" t="inlineStr">
        <is>
          <t>T1090:Proxy | T1190:Exploit Public-Facing Application</t>
        </is>
      </c>
      <c r="W694" s="189" t="n">
        <v>1</v>
      </c>
      <c r="X694" s="189" t="inlineStr">
        <is>
          <t>LOW (40%)</t>
        </is>
      </c>
      <c r="Y694" s="189" t="inlineStr">
        <is>
          <t>UNLIKELY</t>
        </is>
      </c>
      <c r="Z694" s="189" t="inlineStr">
        <is>
          <t>PATCH_AVAILABLE</t>
        </is>
      </c>
      <c r="AA694" s="190" t="inlineStr">
        <is>
          <t>https://nvd.nist.gov/vuln/detail/CVE-2026-26286</t>
        </is>
      </c>
      <c r="AB694" s="189" t="inlineStr">
        <is>
          <t>NONE</t>
        </is>
      </c>
      <c r="AC694" s="189" t="n">
        <v>0</v>
      </c>
      <c r="AD694" s="189" t="n"/>
    </row>
    <row r="695">
      <c r="A695" s="191" t="inlineStr">
        <is>
          <t>CVE</t>
        </is>
      </c>
      <c r="B695" s="191" t="inlineStr">
        <is>
          <t>CVE-2026-26312</t>
        </is>
      </c>
      <c r="C695" s="191" t="inlineStr">
        <is>
          <t xml:space="preserve">Stalwart is a mail and collaboration server. A denial-of-service vulnerability exists in Stalwart Mail Server versions 0.13.0 through 0.15.4 where accessing a specially crafted email containing malformed nested `message/rfc822` MIME parts via IMAP or JMAP causes excessive CPU and memory consumption, potentially leading to an out-of-memory condition and server crash. The malformed structure causes the `mail-parser` crate to produce cyclical references in its parsed representation, which Stalwart </t>
        </is>
      </c>
      <c r="D695" s="191" t="n">
        <v>6.5</v>
      </c>
      <c r="E695" s="191" t="inlineStr">
        <is>
          <t>MEDIUM</t>
        </is>
      </c>
      <c r="F695" s="191" t="n">
        <v>2</v>
      </c>
      <c r="G695" s="191" t="n">
        <v>2</v>
      </c>
      <c r="H695" s="191" t="inlineStr">
        <is>
          <t>MEDIUM</t>
        </is>
      </c>
      <c r="I695" s="191" t="n">
        <v>10.5</v>
      </c>
      <c r="J695" s="191" t="inlineStr">
        <is>
          <t>NO</t>
        </is>
      </c>
      <c r="K695" s="192" t="inlineStr">
        <is>
          <t>https://nvd.nist.gov/vuln/detail/CVE-2026-26312</t>
        </is>
      </c>
      <c r="L695" s="191" t="inlineStr">
        <is>
          <t>2026-02-23 23:48</t>
        </is>
      </c>
      <c r="M695" s="191" t="inlineStr">
        <is>
          <t>YES</t>
        </is>
      </c>
      <c r="N695" s="192" t="inlineStr">
        <is>
          <t>https://github.com/stalwartlabs/stalwart/security/advisories/GHSA-jm95-876q-c9gw</t>
        </is>
      </c>
      <c r="O695" s="191" t="inlineStr">
        <is>
          <t>Apply vendor patches</t>
        </is>
      </c>
      <c r="P695" s="191" t="inlineStr">
        <is>
          <t>stalw stalwart *</t>
        </is>
      </c>
      <c r="Q695" s="191" t="inlineStr">
        <is>
          <t>P4</t>
        </is>
      </c>
      <c r="R695" s="191" t="inlineStr">
        <is>
          <t>📅 Schedule patch deployment within 30 days | 🔍 Monitor for exploitation attempts</t>
        </is>
      </c>
      <c r="S695" s="191" t="inlineStr">
        <is>
          <t>CVE - IP enrichment n/a</t>
        </is>
      </c>
      <c r="T695" s="191" t="n">
        <v>0</v>
      </c>
      <c r="U695" s="191" t="n">
        <v>0</v>
      </c>
      <c r="V695" s="191" t="inlineStr">
        <is>
          <t>T1190:Exploit Public-Facing Application</t>
        </is>
      </c>
      <c r="W695" s="191" t="n">
        <v>1</v>
      </c>
      <c r="X695" s="191" t="inlineStr">
        <is>
          <t>LOW (40%)</t>
        </is>
      </c>
      <c r="Y695" s="191" t="inlineStr">
        <is>
          <t>UNLIKELY</t>
        </is>
      </c>
      <c r="Z695" s="191" t="inlineStr">
        <is>
          <t>PATCH_AVAILABLE</t>
        </is>
      </c>
      <c r="AA695" s="192" t="inlineStr">
        <is>
          <t>https://nvd.nist.gov/vuln/detail/CVE-2026-26312</t>
        </is>
      </c>
      <c r="AB695" s="191" t="inlineStr">
        <is>
          <t>NONE</t>
        </is>
      </c>
      <c r="AC695" s="191" t="n">
        <v>0</v>
      </c>
      <c r="AD695" s="191" t="n"/>
    </row>
    <row r="696">
      <c r="A696" s="189" t="inlineStr">
        <is>
          <t>CVE</t>
        </is>
      </c>
      <c r="B696" s="189" t="inlineStr">
        <is>
          <t>CVE-2026-26313</t>
        </is>
      </c>
      <c r="C696" s="189" t="inlineStr">
        <is>
          <t>go-ethereum (geth) is a golang execution layer implementation of the Ethereum protocol. Prior to version 1.17.0, an attacker can cause high memory usage by sending a specially-crafted p2p message. The issue is resolved in the v1.17.0 release.</t>
        </is>
      </c>
      <c r="D696" s="189" t="n">
        <v>7.5</v>
      </c>
      <c r="E696" s="189" t="inlineStr">
        <is>
          <t>HIGH</t>
        </is>
      </c>
      <c r="F696" s="189" t="n">
        <v>2</v>
      </c>
      <c r="G696" s="189" t="n">
        <v>3</v>
      </c>
      <c r="H696" s="189" t="inlineStr">
        <is>
          <t>HIGH</t>
        </is>
      </c>
      <c r="I696" s="189" t="n">
        <v>13.5</v>
      </c>
      <c r="J696" s="189" t="inlineStr">
        <is>
          <t>NO</t>
        </is>
      </c>
      <c r="K696" s="190" t="inlineStr">
        <is>
          <t>https://nvd.nist.gov/vuln/detail/CVE-2026-26313</t>
        </is>
      </c>
      <c r="L696" s="189" t="inlineStr">
        <is>
          <t>2026-02-23 23:48</t>
        </is>
      </c>
      <c r="M696" s="189" t="inlineStr">
        <is>
          <t>YES</t>
        </is>
      </c>
      <c r="N696" s="190" t="inlineStr">
        <is>
          <t>https://github.com/ethereum/go-ethereum/security/advisories/GHSA-689v-6xwf-5jf3</t>
        </is>
      </c>
      <c r="O696" s="189" t="inlineStr">
        <is>
          <t>Apply vendor patches</t>
        </is>
      </c>
      <c r="P696" s="189" t="inlineStr">
        <is>
          <t>ethereum go_ethereum *</t>
        </is>
      </c>
      <c r="Q696" s="189" t="inlineStr">
        <is>
          <t>P3</t>
        </is>
      </c>
      <c r="R696" s="189" t="inlineStr">
        <is>
          <t>🚨 URGENT: Apply vendor patches immediately | 🔒 Isolate affected systems if patch unavailable | 🛡️ Enable additional monitoring/IDS rules</t>
        </is>
      </c>
      <c r="S696" s="189" t="inlineStr">
        <is>
          <t>CVE - IP enrichment n/a</t>
        </is>
      </c>
      <c r="T696" s="189" t="n">
        <v>0</v>
      </c>
      <c r="U696" s="189" t="n">
        <v>0</v>
      </c>
      <c r="V696" s="189" t="inlineStr">
        <is>
          <t>T1190:Exploit Public-Facing Application</t>
        </is>
      </c>
      <c r="W696" s="189" t="n">
        <v>1</v>
      </c>
      <c r="X696" s="189" t="inlineStr">
        <is>
          <t>LOW (40%)</t>
        </is>
      </c>
      <c r="Y696" s="189" t="inlineStr">
        <is>
          <t>UNLIKELY</t>
        </is>
      </c>
      <c r="Z696" s="189" t="inlineStr">
        <is>
          <t>PATCH_AVAILABLE</t>
        </is>
      </c>
      <c r="AA696" s="190" t="inlineStr">
        <is>
          <t>https://nvd.nist.gov/vuln/detail/CVE-2026-26313</t>
        </is>
      </c>
      <c r="AB696" s="189" t="inlineStr">
        <is>
          <t>NONE</t>
        </is>
      </c>
      <c r="AC696" s="189" t="n">
        <v>0</v>
      </c>
      <c r="AD696" s="189" t="n"/>
    </row>
    <row r="697">
      <c r="A697" s="191" t="inlineStr">
        <is>
          <t>CVE</t>
        </is>
      </c>
      <c r="B697" s="191" t="inlineStr">
        <is>
          <t>CVE-2026-27014</t>
        </is>
      </c>
      <c r="C697" s="191" t="inlineStr">
        <is>
          <t>NanaZip is an open source file archive Starting in version 5.0.1252.0 and prior to version 6.0.1630.0, circular `NextOffset` chains cause an infinite loop, and deeply nested directories cause unbounded recursion (stack overflow) in the ROMFS archive parser. Version 6.0.1630.0 patches the issue.</t>
        </is>
      </c>
      <c r="D697" s="191" t="n">
        <v>5.5</v>
      </c>
      <c r="E697" s="191" t="inlineStr">
        <is>
          <t>MEDIUM</t>
        </is>
      </c>
      <c r="F697" s="191" t="n">
        <v>2</v>
      </c>
      <c r="G697" s="191" t="n">
        <v>2</v>
      </c>
      <c r="H697" s="191" t="inlineStr">
        <is>
          <t>MEDIUM</t>
        </is>
      </c>
      <c r="I697" s="191" t="n">
        <v>9.5</v>
      </c>
      <c r="J697" s="191" t="inlineStr">
        <is>
          <t>NO</t>
        </is>
      </c>
      <c r="K697" s="192" t="inlineStr">
        <is>
          <t>https://nvd.nist.gov/vuln/detail/CVE-2026-27014</t>
        </is>
      </c>
      <c r="L697" s="191" t="inlineStr">
        <is>
          <t>2026-02-23 23:48</t>
        </is>
      </c>
      <c r="M697" s="191" t="inlineStr">
        <is>
          <t>CHECK_VENDOR</t>
        </is>
      </c>
      <c r="N697" s="191" t="inlineStr">
        <is>
          <t>See NVD references</t>
        </is>
      </c>
      <c r="O697" s="191" t="inlineStr">
        <is>
          <t>Apply vendor patches</t>
        </is>
      </c>
      <c r="P697" s="191" t="inlineStr">
        <is>
          <t>m2team nanazip *</t>
        </is>
      </c>
      <c r="Q697" s="191" t="inlineStr">
        <is>
          <t>P4</t>
        </is>
      </c>
      <c r="R697" s="191" t="inlineStr">
        <is>
          <t>📅 Schedule patch deployment within 30 days | 🔍 Monitor for exploitation attempts</t>
        </is>
      </c>
      <c r="S697" s="191" t="inlineStr">
        <is>
          <t>CVE - IP enrichment n/a</t>
        </is>
      </c>
      <c r="T697" s="191" t="n">
        <v>0</v>
      </c>
      <c r="U697" s="191" t="n">
        <v>0</v>
      </c>
      <c r="V697" s="191" t="inlineStr">
        <is>
          <t>T1190:Exploit Public-Facing Application</t>
        </is>
      </c>
      <c r="W697" s="191" t="n">
        <v>1</v>
      </c>
      <c r="X697" s="191" t="inlineStr">
        <is>
          <t>LOW (40%)</t>
        </is>
      </c>
      <c r="Y697" s="191" t="inlineStr">
        <is>
          <t>UNLIKELY</t>
        </is>
      </c>
      <c r="Z697" s="191" t="inlineStr">
        <is>
          <t>CHECK_VENDOR</t>
        </is>
      </c>
      <c r="AA697" s="192" t="inlineStr">
        <is>
          <t>https://nvd.nist.gov/vuln/detail/CVE-2026-27014</t>
        </is>
      </c>
      <c r="AB697" s="191" t="inlineStr">
        <is>
          <t>NONE</t>
        </is>
      </c>
      <c r="AC697" s="191" t="n">
        <v>0</v>
      </c>
      <c r="AD697" s="191" t="n"/>
    </row>
    <row r="698">
      <c r="A698" s="189" t="inlineStr">
        <is>
          <t>CVE</t>
        </is>
      </c>
      <c r="B698" s="189" t="inlineStr">
        <is>
          <t>CVE-2026-27114</t>
        </is>
      </c>
      <c r="C698" s="189" t="inlineStr">
        <is>
          <t>NanaZip is an open source file archive Starting in version 5.0.1252.0 and prior to version 6.0.1630.0, circular `NextOffset` chains cause an infinite loop in the ROMFS archive parser. Version 6.0.1630.0 patches the issue.</t>
        </is>
      </c>
      <c r="D698" s="189" t="n">
        <v>7.5</v>
      </c>
      <c r="E698" s="189" t="inlineStr">
        <is>
          <t>HIGH</t>
        </is>
      </c>
      <c r="F698" s="189" t="n">
        <v>2</v>
      </c>
      <c r="G698" s="189" t="n">
        <v>3</v>
      </c>
      <c r="H698" s="189" t="inlineStr">
        <is>
          <t>HIGH</t>
        </is>
      </c>
      <c r="I698" s="189" t="n">
        <v>13.5</v>
      </c>
      <c r="J698" s="189" t="inlineStr">
        <is>
          <t>NO</t>
        </is>
      </c>
      <c r="K698" s="190" t="inlineStr">
        <is>
          <t>https://nvd.nist.gov/vuln/detail/CVE-2026-27114</t>
        </is>
      </c>
      <c r="L698" s="189" t="inlineStr">
        <is>
          <t>2026-02-23 23:48</t>
        </is>
      </c>
      <c r="M698" s="189" t="inlineStr">
        <is>
          <t>CHECK_VENDOR</t>
        </is>
      </c>
      <c r="N698" s="189" t="inlineStr">
        <is>
          <t>See NVD references</t>
        </is>
      </c>
      <c r="O698" s="189" t="inlineStr">
        <is>
          <t>Apply vendor patches</t>
        </is>
      </c>
      <c r="P698" s="189" t="inlineStr">
        <is>
          <t>m2team nanazip *</t>
        </is>
      </c>
      <c r="Q698" s="189" t="inlineStr">
        <is>
          <t>P3</t>
        </is>
      </c>
      <c r="R698" s="189" t="inlineStr">
        <is>
          <t>🚨 URGENT: Apply vendor patches immediately | 🔒 Isolate affected systems if patch unavailable | 🛡️ Enable additional monitoring/IDS rules</t>
        </is>
      </c>
      <c r="S698" s="189" t="inlineStr">
        <is>
          <t>CVE - IP enrichment n/a</t>
        </is>
      </c>
      <c r="T698" s="189" t="n">
        <v>0</v>
      </c>
      <c r="U698" s="189" t="n">
        <v>0</v>
      </c>
      <c r="V698" s="189" t="inlineStr">
        <is>
          <t>T1190:Exploit Public-Facing Application</t>
        </is>
      </c>
      <c r="W698" s="189" t="n">
        <v>1</v>
      </c>
      <c r="X698" s="189" t="inlineStr">
        <is>
          <t>LOW (40%)</t>
        </is>
      </c>
      <c r="Y698" s="189" t="inlineStr">
        <is>
          <t>UNLIKELY</t>
        </is>
      </c>
      <c r="Z698" s="189" t="inlineStr">
        <is>
          <t>CHECK_VENDOR</t>
        </is>
      </c>
      <c r="AA698" s="190" t="inlineStr">
        <is>
          <t>https://nvd.nist.gov/vuln/detail/CVE-2026-27114</t>
        </is>
      </c>
      <c r="AB698" s="189" t="inlineStr">
        <is>
          <t>NONE</t>
        </is>
      </c>
      <c r="AC698" s="189" t="n">
        <v>0</v>
      </c>
      <c r="AD698" s="189" t="n"/>
    </row>
    <row r="699">
      <c r="A699" s="189" t="inlineStr">
        <is>
          <t>CVE</t>
        </is>
      </c>
      <c r="B699" s="189" t="inlineStr">
        <is>
          <t>CVE-2026-27327</t>
        </is>
      </c>
      <c r="C699" s="189" t="inlineStr">
        <is>
          <t>Missing Authorization vulnerability in YayCommerce YayMail – WooCommerce Email Customizer yaymail allows Exploiting Incorrectly Configured Access Control Security Levels.This issue affects YayMail – WooCommerce Email Customizer: from n/a through &lt;= 4.3.2.</t>
        </is>
      </c>
      <c r="D699" s="189" t="n">
        <v>8.5</v>
      </c>
      <c r="E699" s="189" t="inlineStr">
        <is>
          <t>HIGH</t>
        </is>
      </c>
      <c r="F699" s="189" t="n">
        <v>2</v>
      </c>
      <c r="G699" s="189" t="n">
        <v>3</v>
      </c>
      <c r="H699" s="189" t="inlineStr">
        <is>
          <t>HIGH</t>
        </is>
      </c>
      <c r="I699" s="189" t="n">
        <v>14.5</v>
      </c>
      <c r="J699" s="189" t="inlineStr">
        <is>
          <t>NO</t>
        </is>
      </c>
      <c r="K699" s="190" t="inlineStr">
        <is>
          <t>https://nvd.nist.gov/vuln/detail/CVE-2026-27327</t>
        </is>
      </c>
      <c r="L699" s="189" t="inlineStr">
        <is>
          <t>2026-02-23 23:48</t>
        </is>
      </c>
      <c r="M699" s="189" t="inlineStr">
        <is>
          <t>CHECK_VENDOR</t>
        </is>
      </c>
      <c r="N699" s="189" t="inlineStr">
        <is>
          <t>See NVD references</t>
        </is>
      </c>
      <c r="O699" s="189" t="inlineStr">
        <is>
          <t>Apply vendor patches</t>
        </is>
      </c>
      <c r="P699" s="189" t="inlineStr">
        <is>
          <t>See CVE details</t>
        </is>
      </c>
      <c r="Q699" s="189" t="inlineStr">
        <is>
          <t>P3</t>
        </is>
      </c>
      <c r="R699" s="189" t="inlineStr">
        <is>
          <t>🚨 URGENT: Apply vendor patches immediately | 🔒 Isolate affected systems if patch unavailable | 🛡️ Enable additional monitoring/IDS rules</t>
        </is>
      </c>
      <c r="S699" s="189" t="inlineStr">
        <is>
          <t>CVE - IP enrichment n/a</t>
        </is>
      </c>
      <c r="T699" s="189" t="n">
        <v>0</v>
      </c>
      <c r="U699" s="189" t="n">
        <v>0</v>
      </c>
      <c r="V699" s="189" t="inlineStr">
        <is>
          <t>T1190:Exploit Public-Facing Application</t>
        </is>
      </c>
      <c r="W699" s="189" t="n">
        <v>1</v>
      </c>
      <c r="X699" s="189" t="inlineStr">
        <is>
          <t>LOW (40%)</t>
        </is>
      </c>
      <c r="Y699" s="189" t="inlineStr">
        <is>
          <t>UNLIKELY</t>
        </is>
      </c>
      <c r="Z699" s="189" t="inlineStr">
        <is>
          <t>CHECK_VENDOR</t>
        </is>
      </c>
      <c r="AA699" s="190" t="inlineStr">
        <is>
          <t>https://nvd.nist.gov/vuln/detail/CVE-2026-27327</t>
        </is>
      </c>
      <c r="AB699" s="189" t="inlineStr">
        <is>
          <t>NONE</t>
        </is>
      </c>
      <c r="AC699" s="189" t="n">
        <v>0</v>
      </c>
      <c r="AD699" s="189" t="n"/>
    </row>
    <row r="700">
      <c r="A700" s="191" t="inlineStr">
        <is>
          <t>CVE</t>
        </is>
      </c>
      <c r="B700" s="191" t="inlineStr">
        <is>
          <t>CVE-2026-27328</t>
        </is>
      </c>
      <c r="C700" s="191" t="inlineStr">
        <is>
          <t>Missing Authorization vulnerability in DevsBlink EduBlink edublink allows Exploiting Incorrectly Configured Access Control Security Levels.This issue affects EduBlink: from n/a through &lt;= 2.0.7.</t>
        </is>
      </c>
      <c r="D700" s="191" t="n">
        <v>5.3</v>
      </c>
      <c r="E700" s="191" t="inlineStr">
        <is>
          <t>MEDIUM</t>
        </is>
      </c>
      <c r="F700" s="191" t="n">
        <v>2</v>
      </c>
      <c r="G700" s="191" t="n">
        <v>2</v>
      </c>
      <c r="H700" s="191" t="inlineStr">
        <is>
          <t>MEDIUM</t>
        </is>
      </c>
      <c r="I700" s="191" t="n">
        <v>9.300000000000001</v>
      </c>
      <c r="J700" s="191" t="inlineStr">
        <is>
          <t>NO</t>
        </is>
      </c>
      <c r="K700" s="192" t="inlineStr">
        <is>
          <t>https://nvd.nist.gov/vuln/detail/CVE-2026-27328</t>
        </is>
      </c>
      <c r="L700" s="191" t="inlineStr">
        <is>
          <t>2026-02-23 23:48</t>
        </is>
      </c>
      <c r="M700" s="191" t="inlineStr">
        <is>
          <t>CHECK_VENDOR</t>
        </is>
      </c>
      <c r="N700" s="191" t="inlineStr">
        <is>
          <t>See NVD references</t>
        </is>
      </c>
      <c r="O700" s="191" t="inlineStr">
        <is>
          <t>Apply vendor patches</t>
        </is>
      </c>
      <c r="P700" s="191" t="inlineStr">
        <is>
          <t>See CVE details</t>
        </is>
      </c>
      <c r="Q700" s="191" t="inlineStr">
        <is>
          <t>P4</t>
        </is>
      </c>
      <c r="R700" s="191" t="inlineStr">
        <is>
          <t>📅 Schedule patch deployment within 30 days | 🔍 Monitor for exploitation attempts</t>
        </is>
      </c>
      <c r="S700" s="191" t="inlineStr">
        <is>
          <t>CVE - IP enrichment n/a</t>
        </is>
      </c>
      <c r="T700" s="191" t="n">
        <v>0</v>
      </c>
      <c r="U700" s="191" t="n">
        <v>0</v>
      </c>
      <c r="V700" s="191" t="inlineStr">
        <is>
          <t>T1190:Exploit Public-Facing Application</t>
        </is>
      </c>
      <c r="W700" s="191" t="n">
        <v>1</v>
      </c>
      <c r="X700" s="191" t="inlineStr">
        <is>
          <t>LOW (40%)</t>
        </is>
      </c>
      <c r="Y700" s="191" t="inlineStr">
        <is>
          <t>UNLIKELY</t>
        </is>
      </c>
      <c r="Z700" s="191" t="inlineStr">
        <is>
          <t>CHECK_VENDOR</t>
        </is>
      </c>
      <c r="AA700" s="192" t="inlineStr">
        <is>
          <t>https://nvd.nist.gov/vuln/detail/CVE-2026-27328</t>
        </is>
      </c>
      <c r="AB700" s="191" t="inlineStr">
        <is>
          <t>NONE</t>
        </is>
      </c>
      <c r="AC700" s="191" t="n">
        <v>0</v>
      </c>
      <c r="AD700" s="191" t="n"/>
    </row>
    <row r="701">
      <c r="A701" s="189" t="inlineStr">
        <is>
          <t>CVE</t>
        </is>
      </c>
      <c r="B701" s="189" t="inlineStr">
        <is>
          <t>CVE-2026-27343</t>
        </is>
      </c>
      <c r="C701" s="189" t="inlineStr">
        <is>
          <t>Improper Control of Filename for Include/Require Statement in PHP Program ('PHP Remote File Inclusion') vulnerability in VanKarWai Airtifact airtifact allows PHP Local File Inclusion.This issue affects Airtifact: from n/a through &lt;= 1.2.91.</t>
        </is>
      </c>
      <c r="D701" s="189" t="n">
        <v>7.5</v>
      </c>
      <c r="E701" s="189" t="inlineStr">
        <is>
          <t>HIGH</t>
        </is>
      </c>
      <c r="F701" s="189" t="n">
        <v>2</v>
      </c>
      <c r="G701" s="189" t="n">
        <v>3</v>
      </c>
      <c r="H701" s="189" t="inlineStr">
        <is>
          <t>HIGH</t>
        </is>
      </c>
      <c r="I701" s="189" t="n">
        <v>13.5</v>
      </c>
      <c r="J701" s="189" t="inlineStr">
        <is>
          <t>NO</t>
        </is>
      </c>
      <c r="K701" s="190" t="inlineStr">
        <is>
          <t>https://nvd.nist.gov/vuln/detail/CVE-2026-27343</t>
        </is>
      </c>
      <c r="L701" s="189" t="inlineStr">
        <is>
          <t>2026-02-23 23:48</t>
        </is>
      </c>
      <c r="M701" s="189" t="inlineStr">
        <is>
          <t>CHECK_VENDOR</t>
        </is>
      </c>
      <c r="N701" s="189" t="inlineStr">
        <is>
          <t>See NVD references</t>
        </is>
      </c>
      <c r="O701" s="189" t="inlineStr">
        <is>
          <t>Apply vendor patches</t>
        </is>
      </c>
      <c r="P701" s="189" t="inlineStr">
        <is>
          <t>See CVE details</t>
        </is>
      </c>
      <c r="Q701" s="189" t="inlineStr">
        <is>
          <t>P3</t>
        </is>
      </c>
      <c r="R701" s="189" t="inlineStr">
        <is>
          <t>🚨 URGENT: Apply vendor patches immediately | 🔒 Isolate affected systems if patch unavailable | 🛡️ Enable additional monitoring/IDS rules</t>
        </is>
      </c>
      <c r="S701" s="189" t="inlineStr">
        <is>
          <t>CVE - IP enrichment n/a</t>
        </is>
      </c>
      <c r="T701" s="189" t="n">
        <v>0</v>
      </c>
      <c r="U701" s="189" t="n">
        <v>0</v>
      </c>
      <c r="V701" s="189" t="inlineStr">
        <is>
          <t>T1190:Exploit Public-Facing Application</t>
        </is>
      </c>
      <c r="W701" s="189" t="n">
        <v>1</v>
      </c>
      <c r="X701" s="189" t="inlineStr">
        <is>
          <t>LOW (40%)</t>
        </is>
      </c>
      <c r="Y701" s="189" t="inlineStr">
        <is>
          <t>UNLIKELY</t>
        </is>
      </c>
      <c r="Z701" s="189" t="inlineStr">
        <is>
          <t>CHECK_VENDOR</t>
        </is>
      </c>
      <c r="AA701" s="190" t="inlineStr">
        <is>
          <t>https://nvd.nist.gov/vuln/detail/CVE-2026-27343</t>
        </is>
      </c>
      <c r="AB701" s="189" t="inlineStr">
        <is>
          <t>NONE</t>
        </is>
      </c>
      <c r="AC701" s="189" t="n">
        <v>0</v>
      </c>
      <c r="AD701" s="189" t="n"/>
    </row>
    <row r="702">
      <c r="A702" s="191" t="inlineStr">
        <is>
          <t>CVE</t>
        </is>
      </c>
      <c r="B702" s="191" t="inlineStr">
        <is>
          <t>CVE-2026-27360</t>
        </is>
      </c>
      <c r="C702" s="191" t="inlineStr">
        <is>
          <t>Improper Neutralization of Input During Web Page Generation ('Cross-site Scripting') vulnerability in 10Web Photo Gallery by 10Web photo-gallery allows Stored XSS.This issue affects Photo Gallery by 10Web: from n/a through &lt;= 1.8.37.</t>
        </is>
      </c>
      <c r="D702" s="191" t="n">
        <v>5.9</v>
      </c>
      <c r="E702" s="191" t="inlineStr">
        <is>
          <t>MEDIUM</t>
        </is>
      </c>
      <c r="F702" s="191" t="n">
        <v>2</v>
      </c>
      <c r="G702" s="191" t="n">
        <v>2</v>
      </c>
      <c r="H702" s="191" t="inlineStr">
        <is>
          <t>MEDIUM</t>
        </is>
      </c>
      <c r="I702" s="191" t="n">
        <v>9.9</v>
      </c>
      <c r="J702" s="191" t="inlineStr">
        <is>
          <t>NO</t>
        </is>
      </c>
      <c r="K702" s="192" t="inlineStr">
        <is>
          <t>https://nvd.nist.gov/vuln/detail/CVE-2026-27360</t>
        </is>
      </c>
      <c r="L702" s="191" t="inlineStr">
        <is>
          <t>2026-02-23 23:48</t>
        </is>
      </c>
      <c r="M702" s="191" t="inlineStr">
        <is>
          <t>CHECK_VENDOR</t>
        </is>
      </c>
      <c r="N702" s="191" t="inlineStr">
        <is>
          <t>See NVD references</t>
        </is>
      </c>
      <c r="O702" s="191" t="inlineStr">
        <is>
          <t>Apply vendor patches</t>
        </is>
      </c>
      <c r="P702" s="191" t="inlineStr">
        <is>
          <t>See CVE details</t>
        </is>
      </c>
      <c r="Q702" s="191" t="inlineStr">
        <is>
          <t>P4</t>
        </is>
      </c>
      <c r="R702" s="191" t="inlineStr">
        <is>
          <t>📅 Schedule patch deployment within 30 days | 🔍 Monitor for exploitation attempts</t>
        </is>
      </c>
      <c r="S702" s="191" t="inlineStr">
        <is>
          <t>CVE - IP enrichment n/a</t>
        </is>
      </c>
      <c r="T702" s="191" t="n">
        <v>0</v>
      </c>
      <c r="U702" s="191" t="n">
        <v>0</v>
      </c>
      <c r="V702" s="191" t="inlineStr">
        <is>
          <t>T1189:Drive-by Compromise</t>
        </is>
      </c>
      <c r="W702" s="191" t="n">
        <v>1</v>
      </c>
      <c r="X702" s="191" t="inlineStr">
        <is>
          <t>LOW (40%)</t>
        </is>
      </c>
      <c r="Y702" s="191" t="inlineStr">
        <is>
          <t>UNLIKELY</t>
        </is>
      </c>
      <c r="Z702" s="191" t="inlineStr">
        <is>
          <t>CHECK_VENDOR</t>
        </is>
      </c>
      <c r="AA702" s="192" t="inlineStr">
        <is>
          <t>https://nvd.nist.gov/vuln/detail/CVE-2026-27360</t>
        </is>
      </c>
      <c r="AB702" s="191" t="inlineStr">
        <is>
          <t>NONE</t>
        </is>
      </c>
      <c r="AC702" s="191" t="n">
        <v>0</v>
      </c>
      <c r="AD702" s="191" t="n"/>
    </row>
    <row r="703">
      <c r="A703" s="191" t="inlineStr">
        <is>
          <t>CVE</t>
        </is>
      </c>
      <c r="B703" s="191" t="inlineStr">
        <is>
          <t>CVE-2026-27368</t>
        </is>
      </c>
      <c r="C703" s="191" t="inlineStr">
        <is>
          <t>Missing Authorization vulnerability in SeedProd Coming Soon Page, Under Construction &amp; Maintenance Mode by SeedProd coming-soon allows Exploiting Incorrectly Configured Access Control Security Levels.This issue affects Coming Soon Page, Under Construction &amp; Maintenance Mode by SeedProd: from n/a through &lt;= 6.19.7.</t>
        </is>
      </c>
      <c r="D703" s="191" t="n">
        <v>5.9</v>
      </c>
      <c r="E703" s="191" t="inlineStr">
        <is>
          <t>MEDIUM</t>
        </is>
      </c>
      <c r="F703" s="191" t="n">
        <v>2</v>
      </c>
      <c r="G703" s="191" t="n">
        <v>2</v>
      </c>
      <c r="H703" s="191" t="inlineStr">
        <is>
          <t>MEDIUM</t>
        </is>
      </c>
      <c r="I703" s="191" t="n">
        <v>9.9</v>
      </c>
      <c r="J703" s="191" t="inlineStr">
        <is>
          <t>NO</t>
        </is>
      </c>
      <c r="K703" s="192" t="inlineStr">
        <is>
          <t>https://nvd.nist.gov/vuln/detail/CVE-2026-27368</t>
        </is>
      </c>
      <c r="L703" s="191" t="inlineStr">
        <is>
          <t>2026-02-23 23:48</t>
        </is>
      </c>
      <c r="M703" s="191" t="inlineStr">
        <is>
          <t>CHECK_VENDOR</t>
        </is>
      </c>
      <c r="N703" s="191" t="inlineStr">
        <is>
          <t>See NVD references</t>
        </is>
      </c>
      <c r="O703" s="191" t="inlineStr">
        <is>
          <t>Apply vendor patches</t>
        </is>
      </c>
      <c r="P703" s="191" t="inlineStr">
        <is>
          <t>See CVE details</t>
        </is>
      </c>
      <c r="Q703" s="191" t="inlineStr">
        <is>
          <t>P1</t>
        </is>
      </c>
      <c r="R703" s="191" t="inlineStr">
        <is>
          <t>📅 Schedule patch deployment within 30 days | 🔍 Monitor for exploitation attempts</t>
        </is>
      </c>
      <c r="S703" s="191" t="inlineStr">
        <is>
          <t>CVE - IP enrichment n/a</t>
        </is>
      </c>
      <c r="T703" s="191" t="n">
        <v>0</v>
      </c>
      <c r="U703" s="191" t="n">
        <v>0</v>
      </c>
      <c r="V703" s="191" t="inlineStr">
        <is>
          <t>T1190:Exploit Public-Facing Application</t>
        </is>
      </c>
      <c r="W703" s="191" t="n">
        <v>2</v>
      </c>
      <c r="X703" s="191" t="inlineStr">
        <is>
          <t>HIGH (72%)</t>
        </is>
      </c>
      <c r="Y703" s="191" t="inlineStr">
        <is>
          <t>HIGH</t>
        </is>
      </c>
      <c r="Z703" s="191" t="inlineStr">
        <is>
          <t>CHECK_VENDOR</t>
        </is>
      </c>
      <c r="AA703" s="192" t="inlineStr">
        <is>
          <t>https://nvd.nist.gov/vuln/detail/CVE-2026-27368</t>
        </is>
      </c>
      <c r="AB703" s="192" t="inlineStr">
        <is>
          <t>http://www.zerodayinitiative.com/advisories/ZDI-26-123/</t>
        </is>
      </c>
      <c r="AC703" s="191" t="n">
        <v>0</v>
      </c>
      <c r="AD703" s="191" t="n"/>
    </row>
    <row r="704">
      <c r="A704" s="191" t="inlineStr">
        <is>
          <t>CVE</t>
        </is>
      </c>
      <c r="B704" s="191" t="inlineStr">
        <is>
          <t>CVE-2026-27387</t>
        </is>
      </c>
      <c r="C704" s="191" t="inlineStr">
        <is>
          <t>Missing Authorization vulnerability in designinvento DirectoryPress directorypress allows Exploiting Incorrectly Configured Access Control Security Levels.This issue affects DirectoryPress: from n/a through &lt;= 3.6.26.</t>
        </is>
      </c>
      <c r="D704" s="191" t="n">
        <v>5.4</v>
      </c>
      <c r="E704" s="191" t="inlineStr">
        <is>
          <t>MEDIUM</t>
        </is>
      </c>
      <c r="F704" s="191" t="n">
        <v>2</v>
      </c>
      <c r="G704" s="191" t="n">
        <v>2</v>
      </c>
      <c r="H704" s="191" t="inlineStr">
        <is>
          <t>MEDIUM</t>
        </is>
      </c>
      <c r="I704" s="191" t="n">
        <v>9.4</v>
      </c>
      <c r="J704" s="191" t="inlineStr">
        <is>
          <t>NO</t>
        </is>
      </c>
      <c r="K704" s="192" t="inlineStr">
        <is>
          <t>https://nvd.nist.gov/vuln/detail/CVE-2026-27387</t>
        </is>
      </c>
      <c r="L704" s="191" t="inlineStr">
        <is>
          <t>2026-02-23 23:48</t>
        </is>
      </c>
      <c r="M704" s="191" t="inlineStr">
        <is>
          <t>CHECK_VENDOR</t>
        </is>
      </c>
      <c r="N704" s="191" t="inlineStr">
        <is>
          <t>See NVD references</t>
        </is>
      </c>
      <c r="O704" s="191" t="inlineStr">
        <is>
          <t>Apply vendor patches</t>
        </is>
      </c>
      <c r="P704" s="191" t="inlineStr">
        <is>
          <t>See CVE details</t>
        </is>
      </c>
      <c r="Q704" s="191" t="inlineStr">
        <is>
          <t>P4</t>
        </is>
      </c>
      <c r="R704" s="191" t="inlineStr">
        <is>
          <t>📅 Schedule patch deployment within 30 days | 🔍 Monitor for exploitation attempts</t>
        </is>
      </c>
      <c r="S704" s="191" t="inlineStr">
        <is>
          <t>CVE - IP enrichment n/a</t>
        </is>
      </c>
      <c r="T704" s="191" t="n">
        <v>0</v>
      </c>
      <c r="U704" s="191" t="n">
        <v>0</v>
      </c>
      <c r="V704" s="191" t="inlineStr">
        <is>
          <t>T1190:Exploit Public-Facing Application</t>
        </is>
      </c>
      <c r="W704" s="191" t="n">
        <v>1</v>
      </c>
      <c r="X704" s="191" t="inlineStr">
        <is>
          <t>LOW (40%)</t>
        </is>
      </c>
      <c r="Y704" s="191" t="inlineStr">
        <is>
          <t>UNLIKELY</t>
        </is>
      </c>
      <c r="Z704" s="191" t="inlineStr">
        <is>
          <t>CHECK_VENDOR</t>
        </is>
      </c>
      <c r="AA704" s="192" t="inlineStr">
        <is>
          <t>https://nvd.nist.gov/vuln/detail/CVE-2026-27387</t>
        </is>
      </c>
      <c r="AB704" s="191" t="inlineStr">
        <is>
          <t>NONE</t>
        </is>
      </c>
      <c r="AC704" s="191" t="n">
        <v>0</v>
      </c>
      <c r="AD704" s="191" t="n"/>
    </row>
    <row r="705">
      <c r="A705" s="191" t="inlineStr">
        <is>
          <t>CVE</t>
        </is>
      </c>
      <c r="B705" s="191" t="inlineStr">
        <is>
          <t>CVE-2026-27440</t>
        </is>
      </c>
      <c r="C705" s="191" t="inlineStr">
        <is>
          <t>Improper Neutralization of Input During Web Page Generation ('Cross-site Scripting') vulnerability in Saad Iqbal myCred mycred allows Stored XSS.This issue affects myCred: from n/a through &lt;= 2.9.7.6.</t>
        </is>
      </c>
      <c r="D705" s="191" t="n">
        <v>6.5</v>
      </c>
      <c r="E705" s="191" t="inlineStr">
        <is>
          <t>MEDIUM</t>
        </is>
      </c>
      <c r="F705" s="191" t="n">
        <v>2</v>
      </c>
      <c r="G705" s="191" t="n">
        <v>2</v>
      </c>
      <c r="H705" s="191" t="inlineStr">
        <is>
          <t>MEDIUM</t>
        </is>
      </c>
      <c r="I705" s="191" t="n">
        <v>10.5</v>
      </c>
      <c r="J705" s="191" t="inlineStr">
        <is>
          <t>NO</t>
        </is>
      </c>
      <c r="K705" s="192" t="inlineStr">
        <is>
          <t>https://nvd.nist.gov/vuln/detail/CVE-2026-27440</t>
        </is>
      </c>
      <c r="L705" s="191" t="inlineStr">
        <is>
          <t>2026-02-23 23:48</t>
        </is>
      </c>
      <c r="M705" s="191" t="inlineStr">
        <is>
          <t>CHECK_VENDOR</t>
        </is>
      </c>
      <c r="N705" s="191" t="inlineStr">
        <is>
          <t>See NVD references</t>
        </is>
      </c>
      <c r="O705" s="191" t="inlineStr">
        <is>
          <t>Apply vendor patches</t>
        </is>
      </c>
      <c r="P705" s="191" t="inlineStr">
        <is>
          <t>See CVE details</t>
        </is>
      </c>
      <c r="Q705" s="191" t="inlineStr">
        <is>
          <t>P4</t>
        </is>
      </c>
      <c r="R705" s="191" t="inlineStr">
        <is>
          <t>📅 Schedule patch deployment within 30 days | 🔍 Monitor for exploitation attempts</t>
        </is>
      </c>
      <c r="S705" s="191" t="inlineStr">
        <is>
          <t>CVE - IP enrichment n/a</t>
        </is>
      </c>
      <c r="T705" s="191" t="n">
        <v>0</v>
      </c>
      <c r="U705" s="191" t="n">
        <v>0</v>
      </c>
      <c r="V705" s="191" t="inlineStr">
        <is>
          <t>T1189:Drive-by Compromise</t>
        </is>
      </c>
      <c r="W705" s="191" t="n">
        <v>1</v>
      </c>
      <c r="X705" s="191" t="inlineStr">
        <is>
          <t>LOW (40%)</t>
        </is>
      </c>
      <c r="Y705" s="191" t="inlineStr">
        <is>
          <t>UNLIKELY</t>
        </is>
      </c>
      <c r="Z705" s="191" t="inlineStr">
        <is>
          <t>CHECK_VENDOR</t>
        </is>
      </c>
      <c r="AA705" s="192" t="inlineStr">
        <is>
          <t>https://nvd.nist.gov/vuln/detail/CVE-2026-27440</t>
        </is>
      </c>
      <c r="AB705" s="191" t="inlineStr">
        <is>
          <t>NONE</t>
        </is>
      </c>
      <c r="AC705" s="191" t="n">
        <v>0</v>
      </c>
      <c r="AD705" s="191" t="n"/>
    </row>
    <row r="706">
      <c r="A706" s="193" t="inlineStr">
        <is>
          <t>CVE</t>
        </is>
      </c>
      <c r="B706" s="193" t="inlineStr">
        <is>
          <t>CVE-2026-27476</t>
        </is>
      </c>
      <c r="C706" s="193" t="inlineStr">
        <is>
          <t>RustFly 2.0.0 contains a command injection vulnerability in its remote UI control mechanism that accepts hex-encoded instructions over UDP port 5005 without proper sanitization. Attackers can send crafted hex-encoded payloads containing system commands to execute arbitrary operations on the target system, including reverse shell establishment and command execution.</t>
        </is>
      </c>
      <c r="D706" s="193" t="n">
        <v>9.800000000000001</v>
      </c>
      <c r="E706" s="193" t="inlineStr">
        <is>
          <t>CRITICAL</t>
        </is>
      </c>
      <c r="F706" s="193" t="n">
        <v>2</v>
      </c>
      <c r="G706" s="193" t="n">
        <v>3</v>
      </c>
      <c r="H706" s="193" t="inlineStr">
        <is>
          <t>HIGH</t>
        </is>
      </c>
      <c r="I706" s="193" t="n">
        <v>15.8</v>
      </c>
      <c r="J706" s="193" t="inlineStr">
        <is>
          <t>NO</t>
        </is>
      </c>
      <c r="K706" s="194" t="inlineStr">
        <is>
          <t>https://nvd.nist.gov/vuln/detail/CVE-2026-27476</t>
        </is>
      </c>
      <c r="L706" s="193" t="inlineStr">
        <is>
          <t>2026-02-23 23:48</t>
        </is>
      </c>
      <c r="M706" s="193" t="inlineStr">
        <is>
          <t>CHECK_VENDOR</t>
        </is>
      </c>
      <c r="N706" s="193" t="inlineStr">
        <is>
          <t>See NVD references</t>
        </is>
      </c>
      <c r="O706" s="193" t="inlineStr">
        <is>
          <t>Apply vendor patches</t>
        </is>
      </c>
      <c r="P706" s="193" t="inlineStr">
        <is>
          <t>See CVE details</t>
        </is>
      </c>
      <c r="Q706" s="193" t="inlineStr">
        <is>
          <t>P3</t>
        </is>
      </c>
      <c r="R706" s="193" t="inlineStr">
        <is>
          <t>🚨 URGENT: Apply vendor patches immediately | 🔒 Isolate affected systems if patch unavailable | 🛡️ Enable additional monitoring/IDS rules</t>
        </is>
      </c>
      <c r="S706" s="193" t="inlineStr">
        <is>
          <t>CVE - IP enrichment n/a</t>
        </is>
      </c>
      <c r="T706" s="193" t="n">
        <v>0</v>
      </c>
      <c r="U706" s="193" t="n">
        <v>0</v>
      </c>
      <c r="V706" s="193" t="inlineStr">
        <is>
          <t>T1059:Command and Scripting Interpreter</t>
        </is>
      </c>
      <c r="W706" s="193" t="n">
        <v>1</v>
      </c>
      <c r="X706" s="193" t="inlineStr">
        <is>
          <t>LOW (40%)</t>
        </is>
      </c>
      <c r="Y706" s="193" t="inlineStr">
        <is>
          <t>UNLIKELY</t>
        </is>
      </c>
      <c r="Z706" s="193" t="inlineStr">
        <is>
          <t>CHECK_VENDOR</t>
        </is>
      </c>
      <c r="AA706" s="194" t="inlineStr">
        <is>
          <t>https://nvd.nist.gov/vuln/detail/CVE-2026-27476</t>
        </is>
      </c>
      <c r="AB706" s="193" t="inlineStr">
        <is>
          <t>NONE</t>
        </is>
      </c>
      <c r="AC706" s="193" t="n">
        <v>0</v>
      </c>
      <c r="AD706" s="193" t="n"/>
    </row>
    <row r="707">
      <c r="A707" s="191" t="inlineStr">
        <is>
          <t>CVE</t>
        </is>
      </c>
      <c r="B707" s="191" t="inlineStr">
        <is>
          <t>CVE-2026-2738</t>
        </is>
      </c>
      <c r="C707" s="191" t="inlineStr">
        <is>
          <t>Buffer overflow in ovpn‑dco‑win version 2.8.0 allows local attackers to cause a system crash by sending too large packets to the remote peer when the AEAD tag appears at the end of the encrypted packet</t>
        </is>
      </c>
      <c r="D707" s="191" t="n">
        <v>5</v>
      </c>
      <c r="E707" s="191" t="inlineStr">
        <is>
          <t>MEDIUM</t>
        </is>
      </c>
      <c r="F707" s="191" t="n">
        <v>2</v>
      </c>
      <c r="G707" s="191" t="n">
        <v>2</v>
      </c>
      <c r="H707" s="191" t="inlineStr">
        <is>
          <t>MEDIUM</t>
        </is>
      </c>
      <c r="I707" s="191" t="n">
        <v>9</v>
      </c>
      <c r="J707" s="191" t="inlineStr">
        <is>
          <t>NO</t>
        </is>
      </c>
      <c r="K707" s="192" t="inlineStr">
        <is>
          <t>https://nvd.nist.gov/vuln/detail/CVE-2026-2738</t>
        </is>
      </c>
      <c r="L707" s="191" t="inlineStr">
        <is>
          <t>2026-02-23 23:48</t>
        </is>
      </c>
      <c r="M707" s="191" t="inlineStr">
        <is>
          <t>CHECK_VENDOR</t>
        </is>
      </c>
      <c r="N707" s="191" t="inlineStr">
        <is>
          <t>See NVD references</t>
        </is>
      </c>
      <c r="O707" s="191" t="inlineStr">
        <is>
          <t>Apply vendor patches</t>
        </is>
      </c>
      <c r="P707" s="191" t="inlineStr">
        <is>
          <t>See CVE details</t>
        </is>
      </c>
      <c r="Q707" s="191" t="inlineStr">
        <is>
          <t>P4</t>
        </is>
      </c>
      <c r="R707" s="191" t="inlineStr">
        <is>
          <t>📅 Schedule patch deployment within 30 days | 🔍 Monitor for exploitation attempts</t>
        </is>
      </c>
      <c r="S707" s="191" t="inlineStr">
        <is>
          <t>CVE - IP enrichment n/a</t>
        </is>
      </c>
      <c r="T707" s="191" t="n">
        <v>0</v>
      </c>
      <c r="U707" s="191" t="n">
        <v>0</v>
      </c>
      <c r="V707" s="191" t="inlineStr">
        <is>
          <t>T1203:Exploitation for Client Execution | T1133:External Remote Services</t>
        </is>
      </c>
      <c r="W707" s="191" t="n">
        <v>1</v>
      </c>
      <c r="X707" s="191" t="inlineStr">
        <is>
          <t>LOW (40%)</t>
        </is>
      </c>
      <c r="Y707" s="191" t="inlineStr">
        <is>
          <t>UNLIKELY</t>
        </is>
      </c>
      <c r="Z707" s="191" t="inlineStr">
        <is>
          <t>CHECK_VENDOR</t>
        </is>
      </c>
      <c r="AA707" s="192" t="inlineStr">
        <is>
          <t>https://nvd.nist.gov/vuln/detail/CVE-2026-2738</t>
        </is>
      </c>
      <c r="AB707" s="191" t="inlineStr">
        <is>
          <t>NONE</t>
        </is>
      </c>
      <c r="AC707" s="191" t="n">
        <v>0</v>
      </c>
      <c r="AD707" s="191" t="n"/>
    </row>
    <row r="708">
      <c r="A708" s="189" t="inlineStr">
        <is>
          <t>CVE</t>
        </is>
      </c>
      <c r="B708" s="189" t="inlineStr">
        <is>
          <t>CVE-2026-26275</t>
        </is>
      </c>
      <c r="C708" s="189" t="inlineStr">
        <is>
          <t>httpsig-hyper is a hyper extension for http message signatures. An issue was discovered in `httpsig-hyper` prior to version 0.0.23 where Digest header verification could incorrectly succeed due to misuse of Rust's `matches!` macro. Specifically, the comparison `if matches!(digest, _expected_digest)` treated `_expected_digest` as a pattern binding rather than a value comparison, resulting in unconditional success of the match expression. As a consequence, digest verification could incorrectly ret</t>
        </is>
      </c>
      <c r="D708" s="189" t="n">
        <v>7.5</v>
      </c>
      <c r="E708" s="189" t="inlineStr">
        <is>
          <t>HIGH</t>
        </is>
      </c>
      <c r="F708" s="189" t="n">
        <v>2</v>
      </c>
      <c r="G708" s="189" t="n">
        <v>3</v>
      </c>
      <c r="H708" s="189" t="inlineStr">
        <is>
          <t>HIGH</t>
        </is>
      </c>
      <c r="I708" s="189" t="n">
        <v>13.5</v>
      </c>
      <c r="J708" s="189" t="inlineStr">
        <is>
          <t>NO</t>
        </is>
      </c>
      <c r="K708" s="190" t="inlineStr">
        <is>
          <t>https://nvd.nist.gov/vuln/detail/CVE-2026-26275</t>
        </is>
      </c>
      <c r="L708" s="189" t="inlineStr">
        <is>
          <t>2026-02-23 23:48</t>
        </is>
      </c>
      <c r="M708" s="189" t="inlineStr">
        <is>
          <t>CHECK_VENDOR</t>
        </is>
      </c>
      <c r="N708" s="189" t="inlineStr">
        <is>
          <t>See NVD references</t>
        </is>
      </c>
      <c r="O708" s="189" t="inlineStr">
        <is>
          <t>Apply vendor patches</t>
        </is>
      </c>
      <c r="P708" s="189" t="inlineStr">
        <is>
          <t>See CVE details</t>
        </is>
      </c>
      <c r="Q708" s="189" t="inlineStr">
        <is>
          <t>P3</t>
        </is>
      </c>
      <c r="R708" s="189" t="inlineStr">
        <is>
          <t>🚨 URGENT: Apply vendor patches immediately | 🔒 Isolate affected systems if patch unavailable | 🛡️ Enable additional monitoring/IDS rules</t>
        </is>
      </c>
      <c r="S708" s="189" t="inlineStr">
        <is>
          <t>CVE - IP enrichment n/a</t>
        </is>
      </c>
      <c r="T708" s="189" t="n">
        <v>0</v>
      </c>
      <c r="U708" s="189" t="n">
        <v>0</v>
      </c>
      <c r="V708" s="189" t="inlineStr">
        <is>
          <t>T1190:Exploit Public-Facing Application</t>
        </is>
      </c>
      <c r="W708" s="189" t="n">
        <v>1</v>
      </c>
      <c r="X708" s="189" t="inlineStr">
        <is>
          <t>LOW (40%)</t>
        </is>
      </c>
      <c r="Y708" s="189" t="inlineStr">
        <is>
          <t>UNLIKELY</t>
        </is>
      </c>
      <c r="Z708" s="189" t="inlineStr">
        <is>
          <t>CHECK_VENDOR</t>
        </is>
      </c>
      <c r="AA708" s="190" t="inlineStr">
        <is>
          <t>https://nvd.nist.gov/vuln/detail/CVE-2026-26275</t>
        </is>
      </c>
      <c r="AB708" s="189" t="inlineStr">
        <is>
          <t>NONE</t>
        </is>
      </c>
      <c r="AC708" s="189" t="n">
        <v>0</v>
      </c>
      <c r="AD708" s="189" t="n"/>
    </row>
    <row r="709">
      <c r="A709" s="189" t="inlineStr">
        <is>
          <t>CVE</t>
        </is>
      </c>
      <c r="B709" s="189" t="inlineStr">
        <is>
          <t>CVE-2026-26314</t>
        </is>
      </c>
      <c r="C709" s="189" t="inlineStr">
        <is>
          <t>go-ethereum (geth) is a golang execution layer implementation of the Ethereum protocol. Prior to version 1.16.9, a vulnerable node can be forced to shutdown/crash using a specially crafted message. The problem is resolved in the v1.16.9 and v1.17.0 releases of Geth.</t>
        </is>
      </c>
      <c r="D709" s="189" t="n">
        <v>7.5</v>
      </c>
      <c r="E709" s="189" t="inlineStr">
        <is>
          <t>HIGH</t>
        </is>
      </c>
      <c r="F709" s="189" t="n">
        <v>2</v>
      </c>
      <c r="G709" s="189" t="n">
        <v>3</v>
      </c>
      <c r="H709" s="189" t="inlineStr">
        <is>
          <t>HIGH</t>
        </is>
      </c>
      <c r="I709" s="189" t="n">
        <v>13.5</v>
      </c>
      <c r="J709" s="189" t="inlineStr">
        <is>
          <t>NO</t>
        </is>
      </c>
      <c r="K709" s="190" t="inlineStr">
        <is>
          <t>https://nvd.nist.gov/vuln/detail/CVE-2026-26314</t>
        </is>
      </c>
      <c r="L709" s="189" t="inlineStr">
        <is>
          <t>2026-02-23 23:48</t>
        </is>
      </c>
      <c r="M709" s="189" t="inlineStr">
        <is>
          <t>YES</t>
        </is>
      </c>
      <c r="N709" s="190" t="inlineStr">
        <is>
          <t>https://github.com/ethereum/go-ethereum/commit/895a8597cb16c02203e38707ed2d1da5c500fe60 | https://github.com/ethereum/go-ethereum/security/advisories/GHSA-2gjw-fg97-vg3r</t>
        </is>
      </c>
      <c r="O709" s="189" t="inlineStr">
        <is>
          <t>Apply vendor patches</t>
        </is>
      </c>
      <c r="P709" s="189" t="inlineStr">
        <is>
          <t>ethereum go_ethereum *</t>
        </is>
      </c>
      <c r="Q709" s="189" t="inlineStr">
        <is>
          <t>P3</t>
        </is>
      </c>
      <c r="R709" s="189" t="inlineStr">
        <is>
          <t>🚨 URGENT: Apply vendor patches immediately | 🔒 Isolate affected systems if patch unavailable | 🛡️ Enable additional monitoring/IDS rules</t>
        </is>
      </c>
      <c r="S709" s="189" t="inlineStr">
        <is>
          <t>CVE - IP enrichment n/a</t>
        </is>
      </c>
      <c r="T709" s="189" t="n">
        <v>0</v>
      </c>
      <c r="U709" s="189" t="n">
        <v>0</v>
      </c>
      <c r="V709" s="189" t="inlineStr">
        <is>
          <t>T1190:Exploit Public-Facing Application</t>
        </is>
      </c>
      <c r="W709" s="189" t="n">
        <v>1</v>
      </c>
      <c r="X709" s="189" t="inlineStr">
        <is>
          <t>LOW (40%)</t>
        </is>
      </c>
      <c r="Y709" s="189" t="inlineStr">
        <is>
          <t>UNLIKELY</t>
        </is>
      </c>
      <c r="Z709" s="189" t="inlineStr">
        <is>
          <t>PATCH_AVAILABLE</t>
        </is>
      </c>
      <c r="AA709" s="190" t="inlineStr">
        <is>
          <t>https://nvd.nist.gov/vuln/detail/CVE-2026-26314</t>
        </is>
      </c>
      <c r="AB709" s="189" t="inlineStr">
        <is>
          <t>NONE</t>
        </is>
      </c>
      <c r="AC709" s="189" t="n">
        <v>0</v>
      </c>
      <c r="AD709" s="189" t="n"/>
    </row>
    <row r="710">
      <c r="A710" s="189" t="inlineStr">
        <is>
          <t>CVE</t>
        </is>
      </c>
      <c r="B710" s="189" t="inlineStr">
        <is>
          <t>CVE-2026-26315</t>
        </is>
      </c>
      <c r="C710" s="189" t="inlineStr">
        <is>
          <t>go-ethereum (Geth) is a golang execution layer implementation of the Ethereum protocol. Prior to version 1.16.9, through a flaw in the ECIES cryptography implementation, an attacker may be able to extract bits of the p2p node key. The issue is resolved in the v1.16.9 and v1.17.0 releases of Geth. Geth maintainers recommend rotating the node key after applying the upgrade, which can be done by removing the file ` /geth/nodekey` before starting Geth.</t>
        </is>
      </c>
      <c r="D710" s="189" t="n">
        <v>7.5</v>
      </c>
      <c r="E710" s="189" t="inlineStr">
        <is>
          <t>HIGH</t>
        </is>
      </c>
      <c r="F710" s="189" t="n">
        <v>2</v>
      </c>
      <c r="G710" s="189" t="n">
        <v>3</v>
      </c>
      <c r="H710" s="189" t="inlineStr">
        <is>
          <t>HIGH</t>
        </is>
      </c>
      <c r="I710" s="189" t="n">
        <v>13.5</v>
      </c>
      <c r="J710" s="189" t="inlineStr">
        <is>
          <t>NO</t>
        </is>
      </c>
      <c r="K710" s="190" t="inlineStr">
        <is>
          <t>https://nvd.nist.gov/vuln/detail/CVE-2026-26315</t>
        </is>
      </c>
      <c r="L710" s="189" t="inlineStr">
        <is>
          <t>2026-02-23 23:48</t>
        </is>
      </c>
      <c r="M710" s="189" t="inlineStr">
        <is>
          <t>YES</t>
        </is>
      </c>
      <c r="N710" s="190" t="inlineStr">
        <is>
          <t>https://github.com/ethereum/go-ethereum/security/advisories/GHSA-m6j8-rg6r-7mv8</t>
        </is>
      </c>
      <c r="O710" s="189" t="inlineStr">
        <is>
          <t>Apply vendor patches</t>
        </is>
      </c>
      <c r="P710" s="189" t="inlineStr">
        <is>
          <t>ethereum go_ethereum *</t>
        </is>
      </c>
      <c r="Q710" s="189" t="inlineStr">
        <is>
          <t>P3</t>
        </is>
      </c>
      <c r="R710" s="189" t="inlineStr">
        <is>
          <t>🚨 URGENT: Apply vendor patches immediately | 🔒 Isolate affected systems if patch unavailable | 🛡️ Enable additional monitoring/IDS rules</t>
        </is>
      </c>
      <c r="S710" s="189" t="inlineStr">
        <is>
          <t>CVE - IP enrichment n/a</t>
        </is>
      </c>
      <c r="T710" s="189" t="n">
        <v>0.0002</v>
      </c>
      <c r="U710" s="189" t="n">
        <v>0.0572</v>
      </c>
      <c r="V710" s="189" t="inlineStr">
        <is>
          <t>T1190:Exploit Public-Facing Application</t>
        </is>
      </c>
      <c r="W710" s="189" t="n">
        <v>1</v>
      </c>
      <c r="X710" s="189" t="inlineStr">
        <is>
          <t>LOW (40%)</t>
        </is>
      </c>
      <c r="Y710" s="189" t="inlineStr">
        <is>
          <t>UNLIKELY</t>
        </is>
      </c>
      <c r="Z710" s="189" t="inlineStr">
        <is>
          <t>PATCH_AVAILABLE</t>
        </is>
      </c>
      <c r="AA710" s="190" t="inlineStr">
        <is>
          <t>https://nvd.nist.gov/vuln/detail/CVE-2026-26315</t>
        </is>
      </c>
      <c r="AB710" s="189" t="inlineStr">
        <is>
          <t>NONE</t>
        </is>
      </c>
      <c r="AC710" s="189" t="n">
        <v>0</v>
      </c>
      <c r="AD710" s="189" t="n"/>
    </row>
    <row r="711">
      <c r="A711" s="189" t="inlineStr">
        <is>
          <t>CVE</t>
        </is>
      </c>
      <c r="B711" s="189" t="inlineStr">
        <is>
          <t>CVE-2026-26316</t>
        </is>
      </c>
      <c r="C711" s="189" t="inlineStr">
        <is>
          <t>OpenClaw is a personal AI assistant. Prior to 2026.2.13, the optional BlueBubbles iMessage channel plugin could accept webhook requests as authenticated based only on the TCP peer address being loopback (`127.0.0.1`, `::1`, `::ffff:127.0.0.1`) even when the configured webhook secret was missing or incorrect. This does not affect the default iMessage integration unless BlueBubbles is installed and enabled. Version 2026.2.13 contains a patch. Other mitigations include setting a non-empty BlueBubbl</t>
        </is>
      </c>
      <c r="D711" s="189" t="n">
        <v>7.5</v>
      </c>
      <c r="E711" s="189" t="inlineStr">
        <is>
          <t>HIGH</t>
        </is>
      </c>
      <c r="F711" s="189" t="n">
        <v>2</v>
      </c>
      <c r="G711" s="189" t="n">
        <v>3</v>
      </c>
      <c r="H711" s="189" t="inlineStr">
        <is>
          <t>HIGH</t>
        </is>
      </c>
      <c r="I711" s="189" t="n">
        <v>13.5</v>
      </c>
      <c r="J711" s="189" t="inlineStr">
        <is>
          <t>NO</t>
        </is>
      </c>
      <c r="K711" s="190" t="inlineStr">
        <is>
          <t>https://nvd.nist.gov/vuln/detail/CVE-2026-26316</t>
        </is>
      </c>
      <c r="L711" s="189" t="inlineStr">
        <is>
          <t>2026-02-23 23:48</t>
        </is>
      </c>
      <c r="M711" s="189" t="inlineStr">
        <is>
          <t>CHECK_VENDOR</t>
        </is>
      </c>
      <c r="N711" s="189" t="inlineStr">
        <is>
          <t>See NVD references</t>
        </is>
      </c>
      <c r="O711" s="189" t="inlineStr">
        <is>
          <t>Apply vendor patches</t>
        </is>
      </c>
      <c r="P711" s="189" t="inlineStr">
        <is>
          <t>See CVE details</t>
        </is>
      </c>
      <c r="Q711" s="189" t="inlineStr">
        <is>
          <t>P3</t>
        </is>
      </c>
      <c r="R711" s="189" t="inlineStr">
        <is>
          <t>🚨 URGENT: Apply vendor patches immediately | 🔒 Isolate affected systems if patch unavailable | 🛡️ Enable additional monitoring/IDS rules</t>
        </is>
      </c>
      <c r="S711" s="189" t="inlineStr">
        <is>
          <t>CVE - IP enrichment n/a</t>
        </is>
      </c>
      <c r="T711" s="189" t="n">
        <v>0</v>
      </c>
      <c r="U711" s="189" t="n">
        <v>0</v>
      </c>
      <c r="V711" s="189" t="inlineStr">
        <is>
          <t>T1190:Exploit Public-Facing Application</t>
        </is>
      </c>
      <c r="W711" s="189" t="n">
        <v>1</v>
      </c>
      <c r="X711" s="189" t="inlineStr">
        <is>
          <t>LOW (40%)</t>
        </is>
      </c>
      <c r="Y711" s="189" t="inlineStr">
        <is>
          <t>UNLIKELY</t>
        </is>
      </c>
      <c r="Z711" s="189" t="inlineStr">
        <is>
          <t>CHECK_VENDOR</t>
        </is>
      </c>
      <c r="AA711" s="190" t="inlineStr">
        <is>
          <t>https://nvd.nist.gov/vuln/detail/CVE-2026-26316</t>
        </is>
      </c>
      <c r="AB711" s="189" t="inlineStr">
        <is>
          <t>NONE</t>
        </is>
      </c>
      <c r="AC711" s="189" t="n">
        <v>0</v>
      </c>
      <c r="AD711" s="189" t="n"/>
    </row>
    <row r="712">
      <c r="A712" s="189" t="inlineStr">
        <is>
          <t>CVE</t>
        </is>
      </c>
      <c r="B712" s="189" t="inlineStr">
        <is>
          <t>CVE-2026-26317</t>
        </is>
      </c>
      <c r="C712" s="189" t="inlineStr">
        <is>
          <t xml:space="preserve">OpenClaw is a personal AI assistant. Prior to 2026.2.14, browser-facing localhost mutation routes accepted cross-origin browser requests without explicit Origin/Referer validation. Loopback binding reduces remote exposure but does not prevent browser-initiated requests from malicious origins. A malicious website can trigger unauthorized state changes against a victim's local OpenClaw browser control plane (for example opening tabs, starting/stopping the browser, mutating storage/cookies) if the </t>
        </is>
      </c>
      <c r="D712" s="189" t="n">
        <v>7.1</v>
      </c>
      <c r="E712" s="189" t="inlineStr">
        <is>
          <t>HIGH</t>
        </is>
      </c>
      <c r="F712" s="189" t="n">
        <v>2</v>
      </c>
      <c r="G712" s="189" t="n">
        <v>3</v>
      </c>
      <c r="H712" s="189" t="inlineStr">
        <is>
          <t>HIGH</t>
        </is>
      </c>
      <c r="I712" s="189" t="n">
        <v>13.1</v>
      </c>
      <c r="J712" s="189" t="inlineStr">
        <is>
          <t>NO</t>
        </is>
      </c>
      <c r="K712" s="190" t="inlineStr">
        <is>
          <t>https://nvd.nist.gov/vuln/detail/CVE-2026-26317</t>
        </is>
      </c>
      <c r="L712" s="189" t="inlineStr">
        <is>
          <t>2026-02-23 23:48</t>
        </is>
      </c>
      <c r="M712" s="189" t="inlineStr">
        <is>
          <t>CHECK_VENDOR</t>
        </is>
      </c>
      <c r="N712" s="189" t="inlineStr">
        <is>
          <t>See NVD references</t>
        </is>
      </c>
      <c r="O712" s="189" t="inlineStr">
        <is>
          <t>Apply vendor patches</t>
        </is>
      </c>
      <c r="P712" s="189" t="inlineStr">
        <is>
          <t>See CVE details</t>
        </is>
      </c>
      <c r="Q712" s="189" t="inlineStr">
        <is>
          <t>P3</t>
        </is>
      </c>
      <c r="R712" s="189" t="inlineStr">
        <is>
          <t>🚨 URGENT: Apply vendor patches immediately | 🔒 Isolate affected systems if patch unavailable | 🛡️ Enable additional monitoring/IDS rules</t>
        </is>
      </c>
      <c r="S712" s="189" t="inlineStr">
        <is>
          <t>CVE - IP enrichment n/a</t>
        </is>
      </c>
      <c r="T712" s="189" t="n">
        <v>0</v>
      </c>
      <c r="U712" s="189" t="n">
        <v>0</v>
      </c>
      <c r="V712" s="189" t="inlineStr">
        <is>
          <t>T1185:Browser Session Hijacking</t>
        </is>
      </c>
      <c r="W712" s="189" t="n">
        <v>1</v>
      </c>
      <c r="X712" s="189" t="inlineStr">
        <is>
          <t>LOW (40%)</t>
        </is>
      </c>
      <c r="Y712" s="189" t="inlineStr">
        <is>
          <t>UNLIKELY</t>
        </is>
      </c>
      <c r="Z712" s="189" t="inlineStr">
        <is>
          <t>CHECK_VENDOR</t>
        </is>
      </c>
      <c r="AA712" s="190" t="inlineStr">
        <is>
          <t>https://nvd.nist.gov/vuln/detail/CVE-2026-26317</t>
        </is>
      </c>
      <c r="AB712" s="189" t="inlineStr">
        <is>
          <t>NONE</t>
        </is>
      </c>
      <c r="AC712" s="189" t="n">
        <v>0</v>
      </c>
      <c r="AD712" s="189" t="n"/>
    </row>
    <row r="713">
      <c r="A713" s="189" t="inlineStr">
        <is>
          <t>CVE</t>
        </is>
      </c>
      <c r="B713" s="189" t="inlineStr">
        <is>
          <t>CVE-2026-26744</t>
        </is>
      </c>
      <c r="C713" s="189" t="inlineStr">
        <is>
          <t>A user enumeration vulnerability exists in FormaLMS 4.1.18 and below in the password recovery functionality accessible via the /lostpwd endpoint. The application returns different error messages for valid and invalid usernames allowing an unauthenticated attacker to determine which usernames are registered in the system through observable response discrepancy.</t>
        </is>
      </c>
      <c r="D713" s="189" t="n">
        <v>8.5</v>
      </c>
      <c r="E713" s="189" t="inlineStr">
        <is>
          <t>HIGH</t>
        </is>
      </c>
      <c r="F713" s="189" t="n">
        <v>2</v>
      </c>
      <c r="G713" s="189" t="n">
        <v>3</v>
      </c>
      <c r="H713" s="189" t="inlineStr">
        <is>
          <t>HIGH</t>
        </is>
      </c>
      <c r="I713" s="189" t="n">
        <v>14.5</v>
      </c>
      <c r="J713" s="189" t="inlineStr">
        <is>
          <t>NO</t>
        </is>
      </c>
      <c r="K713" s="190" t="inlineStr">
        <is>
          <t>https://nvd.nist.gov/vuln/detail/CVE-2026-26744</t>
        </is>
      </c>
      <c r="L713" s="189" t="inlineStr">
        <is>
          <t>2026-02-23 23:48</t>
        </is>
      </c>
      <c r="M713" s="189" t="inlineStr">
        <is>
          <t>CHECK_VENDOR</t>
        </is>
      </c>
      <c r="N713" s="189" t="inlineStr">
        <is>
          <t>See NVD references</t>
        </is>
      </c>
      <c r="O713" s="189" t="inlineStr">
        <is>
          <t>Apply vendor patches</t>
        </is>
      </c>
      <c r="P713" s="189" t="inlineStr">
        <is>
          <t>See CVE details</t>
        </is>
      </c>
      <c r="Q713" s="189" t="inlineStr">
        <is>
          <t>P3</t>
        </is>
      </c>
      <c r="R713" s="189" t="inlineStr">
        <is>
          <t>🚨 URGENT: Apply vendor patches immediately | 🔒 Isolate affected systems if patch unavailable | 🛡️ Enable additional monitoring/IDS rules</t>
        </is>
      </c>
      <c r="S713" s="189" t="inlineStr">
        <is>
          <t>CVE - IP enrichment n/a</t>
        </is>
      </c>
      <c r="T713" s="189" t="n">
        <v>0</v>
      </c>
      <c r="U713" s="189" t="n">
        <v>0</v>
      </c>
      <c r="V713" s="189" t="inlineStr">
        <is>
          <t>T1190:Exploit Public-Facing Application</t>
        </is>
      </c>
      <c r="W713" s="189" t="n">
        <v>1</v>
      </c>
      <c r="X713" s="189" t="inlineStr">
        <is>
          <t>LOW (40%)</t>
        </is>
      </c>
      <c r="Y713" s="189" t="inlineStr">
        <is>
          <t>UNLIKELY</t>
        </is>
      </c>
      <c r="Z713" s="189" t="inlineStr">
        <is>
          <t>CHECK_VENDOR</t>
        </is>
      </c>
      <c r="AA713" s="190" t="inlineStr">
        <is>
          <t>https://nvd.nist.gov/vuln/detail/CVE-2026-26744</t>
        </is>
      </c>
      <c r="AB713" s="189" t="inlineStr">
        <is>
          <t>NONE</t>
        </is>
      </c>
      <c r="AC713" s="189" t="n">
        <v>0</v>
      </c>
      <c r="AD713" s="189" t="n"/>
    </row>
    <row r="714">
      <c r="A714" s="191" t="inlineStr">
        <is>
          <t>CVE</t>
        </is>
      </c>
      <c r="B714" s="191" t="inlineStr">
        <is>
          <t>CVE-2025-13671</t>
        </is>
      </c>
      <c r="C714" s="191" t="inlineStr">
        <is>
          <t>Cross-Site Request Forgery (CSRF) vulnerability in OpenText™ Web Site Management Server allows Cross Site Request Forgery. The vulnerability could make a user, with active session inside the product, click on a page that contains this malicious HTML triggering to perform changes unconsciously.
This issue affects Web Site Management Server: 16.7.0, 16.7.1.</t>
        </is>
      </c>
      <c r="D714" s="191" t="n">
        <v>5</v>
      </c>
      <c r="E714" s="191" t="inlineStr">
        <is>
          <t>MEDIUM</t>
        </is>
      </c>
      <c r="F714" s="191" t="n">
        <v>2</v>
      </c>
      <c r="G714" s="191" t="n">
        <v>2</v>
      </c>
      <c r="H714" s="191" t="inlineStr">
        <is>
          <t>MEDIUM</t>
        </is>
      </c>
      <c r="I714" s="191" t="n">
        <v>9</v>
      </c>
      <c r="J714" s="191" t="inlineStr">
        <is>
          <t>NO</t>
        </is>
      </c>
      <c r="K714" s="192" t="inlineStr">
        <is>
          <t>https://nvd.nist.gov/vuln/detail/CVE-2025-13671</t>
        </is>
      </c>
      <c r="L714" s="191" t="inlineStr">
        <is>
          <t>2026-02-23 23:48</t>
        </is>
      </c>
      <c r="M714" s="191" t="inlineStr">
        <is>
          <t>CHECK_VENDOR</t>
        </is>
      </c>
      <c r="N714" s="191" t="inlineStr">
        <is>
          <t>See NVD references</t>
        </is>
      </c>
      <c r="O714" s="191" t="inlineStr">
        <is>
          <t>Apply vendor patches</t>
        </is>
      </c>
      <c r="P714" s="191" t="inlineStr">
        <is>
          <t>See CVE details</t>
        </is>
      </c>
      <c r="Q714" s="191" t="inlineStr">
        <is>
          <t>P4</t>
        </is>
      </c>
      <c r="R714" s="191" t="inlineStr">
        <is>
          <t>📅 Schedule patch deployment within 30 days | 🔍 Monitor for exploitation attempts</t>
        </is>
      </c>
      <c r="S714" s="191" t="inlineStr">
        <is>
          <t>CVE - IP enrichment n/a</t>
        </is>
      </c>
      <c r="T714" s="191" t="n">
        <v>0</v>
      </c>
      <c r="U714" s="191" t="n">
        <v>0</v>
      </c>
      <c r="V714" s="191" t="inlineStr">
        <is>
          <t>T1185:Browser Session Hijacking</t>
        </is>
      </c>
      <c r="W714" s="191" t="n">
        <v>1</v>
      </c>
      <c r="X714" s="191" t="inlineStr">
        <is>
          <t>LOW (40%)</t>
        </is>
      </c>
      <c r="Y714" s="191" t="inlineStr">
        <is>
          <t>UNLIKELY</t>
        </is>
      </c>
      <c r="Z714" s="191" t="inlineStr">
        <is>
          <t>CHECK_VENDOR</t>
        </is>
      </c>
      <c r="AA714" s="192" t="inlineStr">
        <is>
          <t>https://nvd.nist.gov/vuln/detail/CVE-2025-13671</t>
        </is>
      </c>
      <c r="AB714" s="191" t="inlineStr">
        <is>
          <t>NONE</t>
        </is>
      </c>
      <c r="AC714" s="191" t="n">
        <v>0</v>
      </c>
      <c r="AD714" s="191" t="n"/>
    </row>
    <row r="715">
      <c r="A715" s="191" t="inlineStr">
        <is>
          <t>CVE</t>
        </is>
      </c>
      <c r="B715" s="191" t="inlineStr">
        <is>
          <t>CVE-2025-13672</t>
        </is>
      </c>
      <c r="C715" s="191" t="inlineStr">
        <is>
          <t>Improper Neutralization of Input During Web Page Generation (XSS or 'Cross-site Scripting') vulnerability in OpenText™ Web Site Management Server allows Reflected XSS. The vulnerability could allow injecting malicious JavaScript inside URL parameters that was then rendered with the preview of the page, so that malicious scripts could be executed on the client side.
This issue affects Web Site Management Server: 16.7.0, 16.7.1.</t>
        </is>
      </c>
      <c r="D715" s="191" t="n">
        <v>5</v>
      </c>
      <c r="E715" s="191" t="inlineStr">
        <is>
          <t>MEDIUM</t>
        </is>
      </c>
      <c r="F715" s="191" t="n">
        <v>2</v>
      </c>
      <c r="G715" s="191" t="n">
        <v>2</v>
      </c>
      <c r="H715" s="191" t="inlineStr">
        <is>
          <t>MEDIUM</t>
        </is>
      </c>
      <c r="I715" s="191" t="n">
        <v>9</v>
      </c>
      <c r="J715" s="191" t="inlineStr">
        <is>
          <t>NO</t>
        </is>
      </c>
      <c r="K715" s="192" t="inlineStr">
        <is>
          <t>https://nvd.nist.gov/vuln/detail/CVE-2025-13672</t>
        </is>
      </c>
      <c r="L715" s="191" t="inlineStr">
        <is>
          <t>2026-02-23 23:48</t>
        </is>
      </c>
      <c r="M715" s="191" t="inlineStr">
        <is>
          <t>CHECK_VENDOR</t>
        </is>
      </c>
      <c r="N715" s="191" t="inlineStr">
        <is>
          <t>See NVD references</t>
        </is>
      </c>
      <c r="O715" s="191" t="inlineStr">
        <is>
          <t>Apply vendor patches</t>
        </is>
      </c>
      <c r="P715" s="191" t="inlineStr">
        <is>
          <t>See CVE details</t>
        </is>
      </c>
      <c r="Q715" s="191" t="inlineStr">
        <is>
          <t>P4</t>
        </is>
      </c>
      <c r="R715" s="191" t="inlineStr">
        <is>
          <t>📅 Schedule patch deployment within 30 days | 🔍 Monitor for exploitation attempts</t>
        </is>
      </c>
      <c r="S715" s="191" t="inlineStr">
        <is>
          <t>CVE - IP enrichment n/a</t>
        </is>
      </c>
      <c r="T715" s="191" t="n">
        <v>0</v>
      </c>
      <c r="U715" s="191" t="n">
        <v>0</v>
      </c>
      <c r="V715" s="191" t="inlineStr">
        <is>
          <t>T1189:Drive-by Compromise</t>
        </is>
      </c>
      <c r="W715" s="191" t="n">
        <v>1</v>
      </c>
      <c r="X715" s="191" t="inlineStr">
        <is>
          <t>LOW (40%)</t>
        </is>
      </c>
      <c r="Y715" s="191" t="inlineStr">
        <is>
          <t>UNLIKELY</t>
        </is>
      </c>
      <c r="Z715" s="191" t="inlineStr">
        <is>
          <t>CHECK_VENDOR</t>
        </is>
      </c>
      <c r="AA715" s="192" t="inlineStr">
        <is>
          <t>https://nvd.nist.gov/vuln/detail/CVE-2025-13672</t>
        </is>
      </c>
      <c r="AB715" s="191" t="inlineStr">
        <is>
          <t>NONE</t>
        </is>
      </c>
      <c r="AC715" s="191" t="n">
        <v>0</v>
      </c>
      <c r="AD715" s="191" t="n"/>
    </row>
    <row r="716">
      <c r="A716" s="191" t="inlineStr">
        <is>
          <t>CVE</t>
        </is>
      </c>
      <c r="B716" s="191" t="inlineStr">
        <is>
          <t>CVE-2025-8054</t>
        </is>
      </c>
      <c r="C716" s="191" t="inlineStr">
        <is>
          <t>Improper Limitation of a Pathname to a Restricted Directory ('Path Traversal') vulnerability in OpenText™ XM Fax allows Path Traversal. 
The vulnerability could allow an attacker to arbitrarily disclose content of files on the local filesystem. This issue affects XM Fax: 24.2.</t>
        </is>
      </c>
      <c r="D716" s="191" t="n">
        <v>5</v>
      </c>
      <c r="E716" s="191" t="inlineStr">
        <is>
          <t>MEDIUM</t>
        </is>
      </c>
      <c r="F716" s="191" t="n">
        <v>2</v>
      </c>
      <c r="G716" s="191" t="n">
        <v>2</v>
      </c>
      <c r="H716" s="191" t="inlineStr">
        <is>
          <t>MEDIUM</t>
        </is>
      </c>
      <c r="I716" s="191" t="n">
        <v>9</v>
      </c>
      <c r="J716" s="191" t="inlineStr">
        <is>
          <t>NO</t>
        </is>
      </c>
      <c r="K716" s="192" t="inlineStr">
        <is>
          <t>https://nvd.nist.gov/vuln/detail/CVE-2025-8054</t>
        </is>
      </c>
      <c r="L716" s="191" t="inlineStr">
        <is>
          <t>2026-02-23 23:48</t>
        </is>
      </c>
      <c r="M716" s="191" t="inlineStr">
        <is>
          <t>CHECK_VENDOR</t>
        </is>
      </c>
      <c r="N716" s="191" t="inlineStr">
        <is>
          <t>See NVD references</t>
        </is>
      </c>
      <c r="O716" s="191" t="inlineStr">
        <is>
          <t>Apply vendor patches</t>
        </is>
      </c>
      <c r="P716" s="191" t="inlineStr">
        <is>
          <t>See CVE details</t>
        </is>
      </c>
      <c r="Q716" s="191" t="inlineStr">
        <is>
          <t>P4</t>
        </is>
      </c>
      <c r="R716" s="191" t="inlineStr">
        <is>
          <t>📅 Schedule patch deployment within 30 days | 🔍 Monitor for exploitation attempts</t>
        </is>
      </c>
      <c r="S716" s="191" t="inlineStr">
        <is>
          <t>CVE - IP enrichment n/a</t>
        </is>
      </c>
      <c r="T716" s="191" t="n">
        <v>0</v>
      </c>
      <c r="U716" s="191" t="n">
        <v>0</v>
      </c>
      <c r="V716" s="191" t="inlineStr">
        <is>
          <t>T1083:File and Directory Discovery</t>
        </is>
      </c>
      <c r="W716" s="191" t="n">
        <v>1</v>
      </c>
      <c r="X716" s="191" t="inlineStr">
        <is>
          <t>LOW (40%)</t>
        </is>
      </c>
      <c r="Y716" s="191" t="inlineStr">
        <is>
          <t>UNLIKELY</t>
        </is>
      </c>
      <c r="Z716" s="191" t="inlineStr">
        <is>
          <t>CHECK_VENDOR</t>
        </is>
      </c>
      <c r="AA716" s="192" t="inlineStr">
        <is>
          <t>https://nvd.nist.gov/vuln/detail/CVE-2025-8054</t>
        </is>
      </c>
      <c r="AB716" s="191" t="inlineStr">
        <is>
          <t>NONE</t>
        </is>
      </c>
      <c r="AC716" s="191" t="n">
        <v>0</v>
      </c>
      <c r="AD716" s="191" t="n"/>
    </row>
    <row r="717">
      <c r="A717" s="191" t="inlineStr">
        <is>
          <t>CVE</t>
        </is>
      </c>
      <c r="B717" s="191" t="inlineStr">
        <is>
          <t>CVE-2025-8055</t>
        </is>
      </c>
      <c r="C717" s="191" t="inlineStr">
        <is>
          <t>Server-Side Request Forgery (SSRF) vulnerability in OpenText™ XM Fax allows Server Side Request Forgery. 
The vulnerability could allow an attacker to
perform blind SSRF to other systems accessible from the XM Fax server.
This issue affects XM Fax: 24.2.</t>
        </is>
      </c>
      <c r="D717" s="191" t="n">
        <v>5.3</v>
      </c>
      <c r="E717" s="191" t="inlineStr">
        <is>
          <t>MEDIUM</t>
        </is>
      </c>
      <c r="F717" s="191" t="n">
        <v>2</v>
      </c>
      <c r="G717" s="191" t="n">
        <v>2</v>
      </c>
      <c r="H717" s="191" t="inlineStr">
        <is>
          <t>MEDIUM</t>
        </is>
      </c>
      <c r="I717" s="191" t="n">
        <v>9.300000000000001</v>
      </c>
      <c r="J717" s="191" t="inlineStr">
        <is>
          <t>NO</t>
        </is>
      </c>
      <c r="K717" s="192" t="inlineStr">
        <is>
          <t>https://nvd.nist.gov/vuln/detail/CVE-2025-8055</t>
        </is>
      </c>
      <c r="L717" s="191" t="inlineStr">
        <is>
          <t>2026-02-23 23:48</t>
        </is>
      </c>
      <c r="M717" s="191" t="inlineStr">
        <is>
          <t>CHECK_VENDOR</t>
        </is>
      </c>
      <c r="N717" s="191" t="inlineStr">
        <is>
          <t>See NVD references</t>
        </is>
      </c>
      <c r="O717" s="191" t="inlineStr">
        <is>
          <t>Apply vendor patches</t>
        </is>
      </c>
      <c r="P717" s="191" t="inlineStr">
        <is>
          <t>See CVE details</t>
        </is>
      </c>
      <c r="Q717" s="191" t="inlineStr">
        <is>
          <t>P4</t>
        </is>
      </c>
      <c r="R717" s="191" t="inlineStr">
        <is>
          <t>📅 Schedule patch deployment within 30 days | 🔍 Monitor for exploitation attempts</t>
        </is>
      </c>
      <c r="S717" s="191" t="inlineStr">
        <is>
          <t>CVE - IP enrichment n/a</t>
        </is>
      </c>
      <c r="T717" s="191" t="n">
        <v>0</v>
      </c>
      <c r="U717" s="191" t="n">
        <v>0</v>
      </c>
      <c r="V717" s="191" t="inlineStr">
        <is>
          <t>T1090:Proxy</t>
        </is>
      </c>
      <c r="W717" s="191" t="n">
        <v>1</v>
      </c>
      <c r="X717" s="191" t="inlineStr">
        <is>
          <t>LOW (40%)</t>
        </is>
      </c>
      <c r="Y717" s="191" t="inlineStr">
        <is>
          <t>UNLIKELY</t>
        </is>
      </c>
      <c r="Z717" s="191" t="inlineStr">
        <is>
          <t>CHECK_VENDOR</t>
        </is>
      </c>
      <c r="AA717" s="192" t="inlineStr">
        <is>
          <t>https://nvd.nist.gov/vuln/detail/CVE-2025-8055</t>
        </is>
      </c>
      <c r="AB717" s="191" t="inlineStr">
        <is>
          <t>NONE</t>
        </is>
      </c>
      <c r="AC717" s="191" t="n">
        <v>0</v>
      </c>
      <c r="AD717" s="191" t="n"/>
    </row>
    <row r="718">
      <c r="A718" s="191" t="inlineStr">
        <is>
          <t>CVE</t>
        </is>
      </c>
      <c r="B718" s="191" t="inlineStr">
        <is>
          <t>CVE-2025-9208</t>
        </is>
      </c>
      <c r="C718" s="191" t="inlineStr">
        <is>
          <t>Improper Neutralization of Input During Web Page Generation (XSS or 'Cross-site Scripting') vulnerability in OpenText™ Web Site Management Server allows Stored XSS. The vulnerability could execute malicious scripts on the client side when the download query parameter is removed from the file URL, allowing attackers to compromise user sessions and data.
This issue affects Web Site Management Server: 16.7.X, 16.8, 16.8.1.</t>
        </is>
      </c>
      <c r="D718" s="191" t="n">
        <v>5</v>
      </c>
      <c r="E718" s="191" t="inlineStr">
        <is>
          <t>MEDIUM</t>
        </is>
      </c>
      <c r="F718" s="191" t="n">
        <v>2</v>
      </c>
      <c r="G718" s="191" t="n">
        <v>2</v>
      </c>
      <c r="H718" s="191" t="inlineStr">
        <is>
          <t>MEDIUM</t>
        </is>
      </c>
      <c r="I718" s="191" t="n">
        <v>9</v>
      </c>
      <c r="J718" s="191" t="inlineStr">
        <is>
          <t>NO</t>
        </is>
      </c>
      <c r="K718" s="192" t="inlineStr">
        <is>
          <t>https://nvd.nist.gov/vuln/detail/CVE-2025-9208</t>
        </is>
      </c>
      <c r="L718" s="191" t="inlineStr">
        <is>
          <t>2026-02-23 23:48</t>
        </is>
      </c>
      <c r="M718" s="191" t="inlineStr">
        <is>
          <t>CHECK_VENDOR</t>
        </is>
      </c>
      <c r="N718" s="191" t="inlineStr">
        <is>
          <t>See NVD references</t>
        </is>
      </c>
      <c r="O718" s="191" t="inlineStr">
        <is>
          <t>Apply vendor patches</t>
        </is>
      </c>
      <c r="P718" s="191" t="inlineStr">
        <is>
          <t>See CVE details</t>
        </is>
      </c>
      <c r="Q718" s="191" t="inlineStr">
        <is>
          <t>P4</t>
        </is>
      </c>
      <c r="R718" s="191" t="inlineStr">
        <is>
          <t>📅 Schedule patch deployment within 30 days | 🔍 Monitor for exploitation attempts</t>
        </is>
      </c>
      <c r="S718" s="191" t="inlineStr">
        <is>
          <t>CVE - IP enrichment n/a</t>
        </is>
      </c>
      <c r="T718" s="191" t="n">
        <v>0.0005</v>
      </c>
      <c r="U718" s="191" t="n">
        <v>0.1444</v>
      </c>
      <c r="V718" s="191" t="inlineStr">
        <is>
          <t>T1189:Drive-by Compromise</t>
        </is>
      </c>
      <c r="W718" s="191" t="n">
        <v>1</v>
      </c>
      <c r="X718" s="191" t="inlineStr">
        <is>
          <t>LOW (40%)</t>
        </is>
      </c>
      <c r="Y718" s="191" t="inlineStr">
        <is>
          <t>UNLIKELY</t>
        </is>
      </c>
      <c r="Z718" s="191" t="inlineStr">
        <is>
          <t>CHECK_VENDOR</t>
        </is>
      </c>
      <c r="AA718" s="192" t="inlineStr">
        <is>
          <t>https://nvd.nist.gov/vuln/detail/CVE-2025-9208</t>
        </is>
      </c>
      <c r="AB718" s="191" t="inlineStr">
        <is>
          <t>NONE</t>
        </is>
      </c>
      <c r="AC718" s="191" t="n">
        <v>0</v>
      </c>
      <c r="AD718" s="191" t="n"/>
    </row>
    <row r="719">
      <c r="A719" s="191" t="inlineStr">
        <is>
          <t>CVE</t>
        </is>
      </c>
      <c r="B719" s="191" t="inlineStr">
        <is>
          <t>CVE-2026-1658</t>
        </is>
      </c>
      <c r="C719" s="191" t="inlineStr">
        <is>
          <t>User Interface (UI) Misrepresentation of Critical Information vulnerability in OpenText™ Directory Services allows Cache Poisoning. 
The vulnerability could be exploited by a bad actor to inject manipulated text into the OpenText application, potentially misleading users.
This issue affects Directory Services: from 20.4.1 through 25.2.</t>
        </is>
      </c>
      <c r="D719" s="191" t="n">
        <v>5</v>
      </c>
      <c r="E719" s="191" t="inlineStr">
        <is>
          <t>MEDIUM</t>
        </is>
      </c>
      <c r="F719" s="191" t="n">
        <v>2</v>
      </c>
      <c r="G719" s="191" t="n">
        <v>2</v>
      </c>
      <c r="H719" s="191" t="inlineStr">
        <is>
          <t>MEDIUM</t>
        </is>
      </c>
      <c r="I719" s="191" t="n">
        <v>9</v>
      </c>
      <c r="J719" s="191" t="inlineStr">
        <is>
          <t>NO</t>
        </is>
      </c>
      <c r="K719" s="192" t="inlineStr">
        <is>
          <t>https://nvd.nist.gov/vuln/detail/CVE-2026-1658</t>
        </is>
      </c>
      <c r="L719" s="191" t="inlineStr">
        <is>
          <t>2026-02-23 23:48</t>
        </is>
      </c>
      <c r="M719" s="191" t="inlineStr">
        <is>
          <t>CHECK_VENDOR</t>
        </is>
      </c>
      <c r="N719" s="191" t="inlineStr">
        <is>
          <t>See NVD references</t>
        </is>
      </c>
      <c r="O719" s="191" t="inlineStr">
        <is>
          <t>Apply vendor patches</t>
        </is>
      </c>
      <c r="P719" s="191" t="inlineStr">
        <is>
          <t>See CVE details</t>
        </is>
      </c>
      <c r="Q719" s="191" t="inlineStr">
        <is>
          <t>P4</t>
        </is>
      </c>
      <c r="R719" s="191" t="inlineStr">
        <is>
          <t>📅 Schedule patch deployment within 30 days | 🔍 Monitor for exploitation attempts</t>
        </is>
      </c>
      <c r="S719" s="191" t="inlineStr">
        <is>
          <t>CVE - IP enrichment n/a</t>
        </is>
      </c>
      <c r="T719" s="191" t="n">
        <v>0</v>
      </c>
      <c r="U719" s="191" t="n">
        <v>0</v>
      </c>
      <c r="V719" s="191" t="inlineStr">
        <is>
          <t>T1190:Exploit Public-Facing Application</t>
        </is>
      </c>
      <c r="W719" s="191" t="n">
        <v>1</v>
      </c>
      <c r="X719" s="191" t="inlineStr">
        <is>
          <t>LOW (40%)</t>
        </is>
      </c>
      <c r="Y719" s="191" t="inlineStr">
        <is>
          <t>UNLIKELY</t>
        </is>
      </c>
      <c r="Z719" s="191" t="inlineStr">
        <is>
          <t>CHECK_VENDOR</t>
        </is>
      </c>
      <c r="AA719" s="192" t="inlineStr">
        <is>
          <t>https://nvd.nist.gov/vuln/detail/CVE-2026-1658</t>
        </is>
      </c>
      <c r="AB719" s="191" t="inlineStr">
        <is>
          <t>NONE</t>
        </is>
      </c>
      <c r="AC719" s="191" t="n">
        <v>0</v>
      </c>
      <c r="AD719" s="191" t="n"/>
    </row>
    <row r="720">
      <c r="A720" s="189" t="inlineStr">
        <is>
          <t>CVE</t>
        </is>
      </c>
      <c r="B720" s="189" t="inlineStr">
        <is>
          <t>CVE-2026-21535</t>
        </is>
      </c>
      <c r="C720" s="189" t="inlineStr">
        <is>
          <t>Improper access control in Microsoft Teams allows an unauthorized attacker to disclose information over a network.</t>
        </is>
      </c>
      <c r="D720" s="189" t="n">
        <v>8.199999999999999</v>
      </c>
      <c r="E720" s="189" t="inlineStr">
        <is>
          <t>HIGH</t>
        </is>
      </c>
      <c r="F720" s="189" t="n">
        <v>2</v>
      </c>
      <c r="G720" s="189" t="n">
        <v>3</v>
      </c>
      <c r="H720" s="189" t="inlineStr">
        <is>
          <t>HIGH</t>
        </is>
      </c>
      <c r="I720" s="189" t="n">
        <v>14.2</v>
      </c>
      <c r="J720" s="189" t="inlineStr">
        <is>
          <t>NO</t>
        </is>
      </c>
      <c r="K720" s="190" t="inlineStr">
        <is>
          <t>https://nvd.nist.gov/vuln/detail/CVE-2026-21535</t>
        </is>
      </c>
      <c r="L720" s="189" t="inlineStr">
        <is>
          <t>2026-02-23 23:48</t>
        </is>
      </c>
      <c r="M720" s="189" t="inlineStr">
        <is>
          <t>YES</t>
        </is>
      </c>
      <c r="N720" s="190" t="inlineStr">
        <is>
          <t>https://msrc.microsoft.com/update-guide/vulnerability/CVE-2026-21535</t>
        </is>
      </c>
      <c r="O720" s="189" t="inlineStr">
        <is>
          <t>Apply vendor patches</t>
        </is>
      </c>
      <c r="P720" s="189" t="inlineStr">
        <is>
          <t>microsoft teams -</t>
        </is>
      </c>
      <c r="Q720" s="189" t="inlineStr">
        <is>
          <t>P3</t>
        </is>
      </c>
      <c r="R720" s="189" t="inlineStr">
        <is>
          <t>🚨 URGENT: Apply vendor patches immediately | 🔒 Isolate affected systems if patch unavailable | 🛡️ Enable additional monitoring/IDS rules</t>
        </is>
      </c>
      <c r="S720" s="189" t="inlineStr">
        <is>
          <t>CVE - IP enrichment n/a</t>
        </is>
      </c>
      <c r="T720" s="189" t="n">
        <v>0</v>
      </c>
      <c r="U720" s="189" t="n">
        <v>0</v>
      </c>
      <c r="V720" s="189" t="inlineStr">
        <is>
          <t>T1190:Exploit Public-Facing Application</t>
        </is>
      </c>
      <c r="W720" s="189" t="n">
        <v>1</v>
      </c>
      <c r="X720" s="189" t="inlineStr">
        <is>
          <t>LOW (40%)</t>
        </is>
      </c>
      <c r="Y720" s="189" t="inlineStr">
        <is>
          <t>UNLIKELY</t>
        </is>
      </c>
      <c r="Z720" s="189" t="inlineStr">
        <is>
          <t>PATCH_AVAILABLE</t>
        </is>
      </c>
      <c r="AA720" s="190" t="inlineStr">
        <is>
          <t>https://nvd.nist.gov/vuln/detail/CVE-2026-21535</t>
        </is>
      </c>
      <c r="AB720" s="189" t="inlineStr">
        <is>
          <t>NONE</t>
        </is>
      </c>
      <c r="AC720" s="189" t="n">
        <v>0</v>
      </c>
      <c r="AD720" s="189" t="n"/>
    </row>
    <row r="721">
      <c r="A721" s="195" t="inlineStr">
        <is>
          <t>CVE</t>
        </is>
      </c>
      <c r="B721" s="195" t="inlineStr">
        <is>
          <t>CVE-2026-24122</t>
        </is>
      </c>
      <c r="C721" s="195" t="inlineStr">
        <is>
          <t>Cosign provides code signing and transparency for containers and binaries. In versions 3.0.4 and below, an issuing certificate with a validity that expires before the leaf certificate will be considered valid during verification even if the provided timestamp would mean the issuing certificate should be considered expired. When verifying artifact signatures using a certificate, Cosign first verifies the certificate chain using the leaf certificate's "not before" timestamp and later checks expiry</t>
        </is>
      </c>
      <c r="D721" s="195" t="n">
        <v>3.7</v>
      </c>
      <c r="E721" s="195" t="inlineStr">
        <is>
          <t>LOW</t>
        </is>
      </c>
      <c r="F721" s="195" t="n">
        <v>2</v>
      </c>
      <c r="G721" s="195" t="n">
        <v>1</v>
      </c>
      <c r="H721" s="195" t="inlineStr">
        <is>
          <t>LOW</t>
        </is>
      </c>
      <c r="I721" s="195" t="n">
        <v>5.7</v>
      </c>
      <c r="J721" s="195" t="inlineStr">
        <is>
          <t>NO</t>
        </is>
      </c>
      <c r="K721" s="196" t="inlineStr">
        <is>
          <t>https://nvd.nist.gov/vuln/detail/CVE-2026-24122</t>
        </is>
      </c>
      <c r="L721" s="195" t="inlineStr">
        <is>
          <t>2026-02-23 23:48</t>
        </is>
      </c>
      <c r="M721" s="195" t="inlineStr">
        <is>
          <t>YES</t>
        </is>
      </c>
      <c r="N721" s="196" t="inlineStr">
        <is>
          <t>https://github.com/sigstore/cosign/commit/3c9a7363f563db76d78e2de2cabd945450f3781e | https://github.com/sigstore/cosign/security/advisories/GHSA-wfqv-66vq-46rm</t>
        </is>
      </c>
      <c r="O721" s="195" t="inlineStr">
        <is>
          <t>Apply vendor patches</t>
        </is>
      </c>
      <c r="P721" s="195" t="inlineStr">
        <is>
          <t>sigstore cosign *</t>
        </is>
      </c>
      <c r="Q721" s="195" t="inlineStr">
        <is>
          <t>P4</t>
        </is>
      </c>
      <c r="R721" s="195" t="inlineStr">
        <is>
          <t>📅 Schedule patch deployment within 30 days | 🔍 Monitor for exploitation attempts</t>
        </is>
      </c>
      <c r="S721" s="195" t="inlineStr">
        <is>
          <t>CVE - IP enrichment n/a</t>
        </is>
      </c>
      <c r="T721" s="195" t="n">
        <v>0</v>
      </c>
      <c r="U721" s="195" t="n">
        <v>0</v>
      </c>
      <c r="V721" s="195" t="inlineStr">
        <is>
          <t>T1190:Exploit Public-Facing Application</t>
        </is>
      </c>
      <c r="W721" s="195" t="n">
        <v>1</v>
      </c>
      <c r="X721" s="195" t="inlineStr">
        <is>
          <t>LOW (40%)</t>
        </is>
      </c>
      <c r="Y721" s="195" t="inlineStr">
        <is>
          <t>UNLIKELY</t>
        </is>
      </c>
      <c r="Z721" s="195" t="inlineStr">
        <is>
          <t>PATCH_AVAILABLE</t>
        </is>
      </c>
      <c r="AA721" s="196" t="inlineStr">
        <is>
          <t>https://nvd.nist.gov/vuln/detail/CVE-2026-24122</t>
        </is>
      </c>
      <c r="AB721" s="195" t="inlineStr">
        <is>
          <t>NONE</t>
        </is>
      </c>
      <c r="AC721" s="195" t="n">
        <v>0</v>
      </c>
      <c r="AD721" s="195" t="n"/>
    </row>
    <row r="722">
      <c r="A722" s="189" t="inlineStr">
        <is>
          <t>CVE</t>
        </is>
      </c>
      <c r="B722" s="189" t="inlineStr">
        <is>
          <t>CVE-2026-26319</t>
        </is>
      </c>
      <c r="C722" s="189" t="inlineStr">
        <is>
          <t>OpenClaw is a personal AI assistant. Versions 2026.2.13 and below allow the optional @openclaw/voice-call plugin Telnyx webhook handler to accept unsigned inbound webhook requests when telnyx.publicKey is not configured, enabling unauthenticated callers to forge Telnyx events. Telnyx webhooks are expected to be authenticated via Ed25519 signature verification. In affected versions, TelnyxProvider.verifyWebhook() could effectively fail open when no Telnyx public key was configured, allowing arbit</t>
        </is>
      </c>
      <c r="D722" s="189" t="n">
        <v>7.5</v>
      </c>
      <c r="E722" s="189" t="inlineStr">
        <is>
          <t>HIGH</t>
        </is>
      </c>
      <c r="F722" s="189" t="n">
        <v>2</v>
      </c>
      <c r="G722" s="189" t="n">
        <v>3</v>
      </c>
      <c r="H722" s="189" t="inlineStr">
        <is>
          <t>HIGH</t>
        </is>
      </c>
      <c r="I722" s="189" t="n">
        <v>13.5</v>
      </c>
      <c r="J722" s="189" t="inlineStr">
        <is>
          <t>NO</t>
        </is>
      </c>
      <c r="K722" s="190" t="inlineStr">
        <is>
          <t>https://nvd.nist.gov/vuln/detail/CVE-2026-26319</t>
        </is>
      </c>
      <c r="L722" s="189" t="inlineStr">
        <is>
          <t>2026-02-23 23:48</t>
        </is>
      </c>
      <c r="M722" s="189" t="inlineStr">
        <is>
          <t>YES</t>
        </is>
      </c>
      <c r="N722" s="190" t="inlineStr">
        <is>
          <t>https://github.com/openclaw/openclaw/commit/29b587e73cbdc941caec573facd16e87d52f007b | https://github.com/openclaw/openclaw/commit/f47584fec86d6d73f2d483043a2ad0e7e3c50411 | https://github.com/openclaw/openclaw/security/advisories/GHSA-4hg8-92x6-h2f3</t>
        </is>
      </c>
      <c r="O722" s="190" t="inlineStr">
        <is>
          <t>https://github.com/openclaw/openclaw/security/advisories/GHSA-4hg8-92x6-h2f3</t>
        </is>
      </c>
      <c r="P722" s="189" t="inlineStr">
        <is>
          <t>openclaw openclaw *</t>
        </is>
      </c>
      <c r="Q722" s="189" t="inlineStr">
        <is>
          <t>P3</t>
        </is>
      </c>
      <c r="R722" s="189" t="inlineStr">
        <is>
          <t>🚨 URGENT: Apply vendor patches immediately | 🔒 Isolate affected systems if patch unavailable | 🛡️ Enable additional monitoring/IDS rules</t>
        </is>
      </c>
      <c r="S722" s="189" t="inlineStr">
        <is>
          <t>CVE - IP enrichment n/a</t>
        </is>
      </c>
      <c r="T722" s="189" t="n">
        <v>0</v>
      </c>
      <c r="U722" s="189" t="n">
        <v>0</v>
      </c>
      <c r="V722" s="189" t="inlineStr">
        <is>
          <t>T1078:Valid Accounts</t>
        </is>
      </c>
      <c r="W722" s="189" t="n">
        <v>1</v>
      </c>
      <c r="X722" s="189" t="inlineStr">
        <is>
          <t>LOW (40%)</t>
        </is>
      </c>
      <c r="Y722" s="189" t="inlineStr">
        <is>
          <t>UNLIKELY</t>
        </is>
      </c>
      <c r="Z722" s="189" t="inlineStr">
        <is>
          <t>PATCH_AVAILABLE</t>
        </is>
      </c>
      <c r="AA722" s="190" t="inlineStr">
        <is>
          <t>https://nvd.nist.gov/vuln/detail/CVE-2026-26319</t>
        </is>
      </c>
      <c r="AB722" s="189" t="inlineStr">
        <is>
          <t>NONE</t>
        </is>
      </c>
      <c r="AC722" s="189" t="n">
        <v>0</v>
      </c>
      <c r="AD722" s="189" t="n"/>
    </row>
    <row r="723">
      <c r="A723" s="191" t="inlineStr">
        <is>
          <t>CVE</t>
        </is>
      </c>
      <c r="B723" s="191" t="inlineStr">
        <is>
          <t>CVE-2026-26320</t>
        </is>
      </c>
      <c r="C723" s="191" t="inlineStr">
        <is>
          <t>OpenClaw is a personal AI assistant. OpenClaw macOS desktop client registers the `openclaw://` URL scheme. For `openclaw://agent` deep links without an unattended `key`, the app shows a confirmation dialog that previously displayed only the first 240 characters of the message, but executed the full message after the user clicked "Run." At the time of writing, the OpenClaw macOS desktop client is still in beta. In versions 2026.2.6 through 2026.2.13, an attacker could pad the message with whitesp</t>
        </is>
      </c>
      <c r="D723" s="191" t="n">
        <v>6.5</v>
      </c>
      <c r="E723" s="191" t="inlineStr">
        <is>
          <t>MEDIUM</t>
        </is>
      </c>
      <c r="F723" s="191" t="n">
        <v>2</v>
      </c>
      <c r="G723" s="191" t="n">
        <v>2</v>
      </c>
      <c r="H723" s="191" t="inlineStr">
        <is>
          <t>MEDIUM</t>
        </is>
      </c>
      <c r="I723" s="191" t="n">
        <v>10.5</v>
      </c>
      <c r="J723" s="191" t="inlineStr">
        <is>
          <t>NO</t>
        </is>
      </c>
      <c r="K723" s="192" t="inlineStr">
        <is>
          <t>https://nvd.nist.gov/vuln/detail/CVE-2026-26320</t>
        </is>
      </c>
      <c r="L723" s="191" t="inlineStr">
        <is>
          <t>2026-02-23 23:48</t>
        </is>
      </c>
      <c r="M723" s="191" t="inlineStr">
        <is>
          <t>YES</t>
        </is>
      </c>
      <c r="N723" s="192" t="inlineStr">
        <is>
          <t>https://github.com/openclaw/openclaw/commit/28d9dd7a772501ccc3f71457b4adfee79084fe6f | https://github.com/openclaw/openclaw/security/advisories/GHSA-7q2j-c4q5-rm27</t>
        </is>
      </c>
      <c r="O723" s="192" t="inlineStr">
        <is>
          <t>https://github.com/openclaw/openclaw/security/advisories/GHSA-7q2j-c4q5-rm27</t>
        </is>
      </c>
      <c r="P723" s="191" t="inlineStr">
        <is>
          <t>openclaw openclaw * | apple macos -</t>
        </is>
      </c>
      <c r="Q723" s="191" t="inlineStr">
        <is>
          <t>P4</t>
        </is>
      </c>
      <c r="R723" s="191" t="inlineStr">
        <is>
          <t>📅 Schedule patch deployment within 30 days | 🔍 Monitor for exploitation attempts</t>
        </is>
      </c>
      <c r="S723" s="191" t="inlineStr">
        <is>
          <t>CVE - IP enrichment n/a</t>
        </is>
      </c>
      <c r="T723" s="191" t="n">
        <v>0</v>
      </c>
      <c r="U723" s="191" t="n">
        <v>0</v>
      </c>
      <c r="V723" s="191" t="inlineStr">
        <is>
          <t>T1190:Exploit Public-Facing Application</t>
        </is>
      </c>
      <c r="W723" s="191" t="n">
        <v>1</v>
      </c>
      <c r="X723" s="191" t="inlineStr">
        <is>
          <t>LOW (40%)</t>
        </is>
      </c>
      <c r="Y723" s="191" t="inlineStr">
        <is>
          <t>UNLIKELY</t>
        </is>
      </c>
      <c r="Z723" s="191" t="inlineStr">
        <is>
          <t>PATCH_AVAILABLE</t>
        </is>
      </c>
      <c r="AA723" s="192" t="inlineStr">
        <is>
          <t>https://nvd.nist.gov/vuln/detail/CVE-2026-26320</t>
        </is>
      </c>
      <c r="AB723" s="191" t="inlineStr">
        <is>
          <t>NONE</t>
        </is>
      </c>
      <c r="AC723" s="191" t="n">
        <v>0</v>
      </c>
      <c r="AD723" s="191" t="n"/>
    </row>
    <row r="724">
      <c r="A724" s="189" t="inlineStr">
        <is>
          <t>CVE</t>
        </is>
      </c>
      <c r="B724" s="189" t="inlineStr">
        <is>
          <t>CVE-2026-26321</t>
        </is>
      </c>
      <c r="C724" s="189" t="inlineStr">
        <is>
          <t>OpenClaw is a personal AI assistant. Prior to OpenClaw version 2026.2.14, the Feishu extension previously allowed `sendMediaFeishu` to treat attacker-controlled `mediaUrl` values as local filesystem paths and read them directly. If an attacker can influence tool calls (directly or via prompt injection), they may be able to exfiltrate local files by supplying paths such as `/etc/passwd` as `mediaUrl`. Upgrade to OpenClaw `2026.2.14` or newer to receive a fix. The fix removes direct local file rea</t>
        </is>
      </c>
      <c r="D724" s="189" t="n">
        <v>7.5</v>
      </c>
      <c r="E724" s="189" t="inlineStr">
        <is>
          <t>HIGH</t>
        </is>
      </c>
      <c r="F724" s="189" t="n">
        <v>2</v>
      </c>
      <c r="G724" s="189" t="n">
        <v>3</v>
      </c>
      <c r="H724" s="189" t="inlineStr">
        <is>
          <t>HIGH</t>
        </is>
      </c>
      <c r="I724" s="189" t="n">
        <v>13.5</v>
      </c>
      <c r="J724" s="189" t="inlineStr">
        <is>
          <t>NO</t>
        </is>
      </c>
      <c r="K724" s="190" t="inlineStr">
        <is>
          <t>https://nvd.nist.gov/vuln/detail/CVE-2026-26321</t>
        </is>
      </c>
      <c r="L724" s="189" t="inlineStr">
        <is>
          <t>2026-02-23 23:48</t>
        </is>
      </c>
      <c r="M724" s="189" t="inlineStr">
        <is>
          <t>YES</t>
        </is>
      </c>
      <c r="N724" s="190" t="inlineStr">
        <is>
          <t>https://github.com/openclaw/openclaw/commit/5b4121d6011a48c71e747e3c18197f180b872c5d | https://github.com/openclaw/openclaw/security/advisories/GHSA-8jpq-5h99-ff5r</t>
        </is>
      </c>
      <c r="O724" s="189" t="inlineStr">
        <is>
          <t>Apply vendor patches</t>
        </is>
      </c>
      <c r="P724" s="189" t="inlineStr">
        <is>
          <t>openclaw openclaw *</t>
        </is>
      </c>
      <c r="Q724" s="189" t="inlineStr">
        <is>
          <t>P3</t>
        </is>
      </c>
      <c r="R724" s="189" t="inlineStr">
        <is>
          <t>🚨 URGENT: Apply vendor patches immediately | 🔒 Isolate affected systems if patch unavailable | 🛡️ Enable additional monitoring/IDS rules</t>
        </is>
      </c>
      <c r="S724" s="189" t="inlineStr">
        <is>
          <t>CVE - IP enrichment n/a</t>
        </is>
      </c>
      <c r="T724" s="189" t="n">
        <v>0.0005999999999999999</v>
      </c>
      <c r="U724" s="189" t="n">
        <v>0.1885</v>
      </c>
      <c r="V724" s="189" t="inlineStr">
        <is>
          <t>T1083:File and Directory Discovery | T1190:Exploit Public-Facing Application</t>
        </is>
      </c>
      <c r="W724" s="189" t="n">
        <v>1</v>
      </c>
      <c r="X724" s="189" t="inlineStr">
        <is>
          <t>LOW (40%)</t>
        </is>
      </c>
      <c r="Y724" s="189" t="inlineStr">
        <is>
          <t>UNLIKELY</t>
        </is>
      </c>
      <c r="Z724" s="189" t="inlineStr">
        <is>
          <t>PATCH_AVAILABLE</t>
        </is>
      </c>
      <c r="AA724" s="190" t="inlineStr">
        <is>
          <t>https://nvd.nist.gov/vuln/detail/CVE-2026-26321</t>
        </is>
      </c>
      <c r="AB724" s="189" t="inlineStr">
        <is>
          <t>NONE</t>
        </is>
      </c>
      <c r="AC724" s="189" t="n">
        <v>0</v>
      </c>
      <c r="AD724" s="189" t="n"/>
    </row>
    <row r="725">
      <c r="A725" s="189" t="inlineStr">
        <is>
          <t>CVE</t>
        </is>
      </c>
      <c r="B725" s="189" t="inlineStr">
        <is>
          <t>CVE-2026-26322</t>
        </is>
      </c>
      <c r="C725" s="189" t="inlineStr">
        <is>
          <t xml:space="preserve">OpenClaw is a personal AI assistant. Prior to OpenClaw version 2026.2.14, the Gateway tool accepted a tool-supplied `gatewayUrl` without sufficient restrictions, which could cause the OpenClaw host to attempt outbound WebSocket connections to user-specified targets. This requires the ability to invoke tools that accept `gatewayUrl` overrides (directly or indirectly). In typical setups this is limited to authenticated operators, trusted automation, or environments where tool calls are exposed to </t>
        </is>
      </c>
      <c r="D725" s="189" t="n">
        <v>7.6</v>
      </c>
      <c r="E725" s="189" t="inlineStr">
        <is>
          <t>HIGH</t>
        </is>
      </c>
      <c r="F725" s="189" t="n">
        <v>2</v>
      </c>
      <c r="G725" s="189" t="n">
        <v>3</v>
      </c>
      <c r="H725" s="189" t="inlineStr">
        <is>
          <t>HIGH</t>
        </is>
      </c>
      <c r="I725" s="189" t="n">
        <v>13.6</v>
      </c>
      <c r="J725" s="189" t="inlineStr">
        <is>
          <t>NO</t>
        </is>
      </c>
      <c r="K725" s="190" t="inlineStr">
        <is>
          <t>https://nvd.nist.gov/vuln/detail/CVE-2026-26322</t>
        </is>
      </c>
      <c r="L725" s="189" t="inlineStr">
        <is>
          <t>2026-02-23 23:48</t>
        </is>
      </c>
      <c r="M725" s="189" t="inlineStr">
        <is>
          <t>YES</t>
        </is>
      </c>
      <c r="N725" s="190" t="inlineStr">
        <is>
          <t>https://github.com/openclaw/openclaw/commit/c5406e1d2434be2ef6eb4d26d8f1798d718713f4 | https://github.com/openclaw/openclaw/security/advisories/GHSA-g6q9-8fvw-f7rf</t>
        </is>
      </c>
      <c r="O725" s="189" t="inlineStr">
        <is>
          <t>Apply vendor patches</t>
        </is>
      </c>
      <c r="P725" s="189" t="inlineStr">
        <is>
          <t>openclaw openclaw *</t>
        </is>
      </c>
      <c r="Q725" s="189" t="inlineStr">
        <is>
          <t>P3</t>
        </is>
      </c>
      <c r="R725" s="189" t="inlineStr">
        <is>
          <t>🚨 URGENT: Apply vendor patches immediately | 🔒 Isolate affected systems if patch unavailable | 🛡️ Enable additional monitoring/IDS rules</t>
        </is>
      </c>
      <c r="S725" s="189" t="inlineStr">
        <is>
          <t>CVE - IP enrichment n/a</t>
        </is>
      </c>
      <c r="T725" s="189" t="n">
        <v>0</v>
      </c>
      <c r="U725" s="189" t="n">
        <v>0</v>
      </c>
      <c r="V725" s="189" t="inlineStr">
        <is>
          <t>T1090:Proxy | T1552:Unsecured Credentials</t>
        </is>
      </c>
      <c r="W725" s="189" t="n">
        <v>1</v>
      </c>
      <c r="X725" s="189" t="inlineStr">
        <is>
          <t>LOW (40%)</t>
        </is>
      </c>
      <c r="Y725" s="189" t="inlineStr">
        <is>
          <t>UNLIKELY</t>
        </is>
      </c>
      <c r="Z725" s="189" t="inlineStr">
        <is>
          <t>PATCH_AVAILABLE</t>
        </is>
      </c>
      <c r="AA725" s="190" t="inlineStr">
        <is>
          <t>https://nvd.nist.gov/vuln/detail/CVE-2026-26322</t>
        </is>
      </c>
      <c r="AB725" s="189" t="inlineStr">
        <is>
          <t>NONE</t>
        </is>
      </c>
      <c r="AC725" s="189" t="n">
        <v>0</v>
      </c>
      <c r="AD725" s="189" t="n"/>
    </row>
    <row r="726">
      <c r="A726" s="189" t="inlineStr">
        <is>
          <t>CVE</t>
        </is>
      </c>
      <c r="B726" s="189" t="inlineStr">
        <is>
          <t>CVE-2026-26323</t>
        </is>
      </c>
      <c r="C726" s="189" t="inlineStr">
        <is>
          <t>OpenClaw is a personal AI assistant. Versions 2026.1.8 through 2026.2.13 have a command injection in the maintainer/dev script `scripts/update-clawtributors.ts`. The issue affects contributors/maintainers (or CI) who run `bun scripts/update-clawtributors.ts` in a source checkout that contains a malicious commit author email (e.g. crafted `@users[.]noreply[.]github[.]com` values). Normal CLI usage is not affected (`npm i -g openclaw`): this script is not part of the shipped CLI and is not execute</t>
        </is>
      </c>
      <c r="D726" s="189" t="n">
        <v>8.800000000000001</v>
      </c>
      <c r="E726" s="189" t="inlineStr">
        <is>
          <t>HIGH</t>
        </is>
      </c>
      <c r="F726" s="189" t="n">
        <v>2</v>
      </c>
      <c r="G726" s="189" t="n">
        <v>3</v>
      </c>
      <c r="H726" s="189" t="inlineStr">
        <is>
          <t>HIGH</t>
        </is>
      </c>
      <c r="I726" s="189" t="n">
        <v>14.8</v>
      </c>
      <c r="J726" s="189" t="inlineStr">
        <is>
          <t>NO</t>
        </is>
      </c>
      <c r="K726" s="190" t="inlineStr">
        <is>
          <t>https://nvd.nist.gov/vuln/detail/CVE-2026-26323</t>
        </is>
      </c>
      <c r="L726" s="189" t="inlineStr">
        <is>
          <t>2026-02-23 23:48</t>
        </is>
      </c>
      <c r="M726" s="189" t="inlineStr">
        <is>
          <t>YES</t>
        </is>
      </c>
      <c r="N726" s="190" t="inlineStr">
        <is>
          <t>https://github.com/openclaw/openclaw/commit/a429380e337152746031d290432a4b93aa553d55 | https://github.com/openclaw/openclaw/security/advisories/GHSA-m7x8-2w3w-pr42</t>
        </is>
      </c>
      <c r="O726" s="189" t="inlineStr">
        <is>
          <t>Apply vendor patches</t>
        </is>
      </c>
      <c r="P726" s="189" t="inlineStr">
        <is>
          <t>openclaw openclaw *</t>
        </is>
      </c>
      <c r="Q726" s="189" t="inlineStr">
        <is>
          <t>P3</t>
        </is>
      </c>
      <c r="R726" s="189" t="inlineStr">
        <is>
          <t>🚨 URGENT: Apply vendor patches immediately | 🔒 Isolate affected systems if patch unavailable | 🛡️ Enable additional monitoring/IDS rules</t>
        </is>
      </c>
      <c r="S726" s="189" t="inlineStr">
        <is>
          <t>CVE - IP enrichment n/a</t>
        </is>
      </c>
      <c r="T726" s="189" t="n">
        <v>0.0018</v>
      </c>
      <c r="U726" s="189" t="n">
        <v>0.3886</v>
      </c>
      <c r="V726" s="189" t="inlineStr">
        <is>
          <t>T1059:Command and Scripting Interpreter | T1190:Exploit Public-Facing Application</t>
        </is>
      </c>
      <c r="W726" s="189" t="n">
        <v>1</v>
      </c>
      <c r="X726" s="189" t="inlineStr">
        <is>
          <t>LOW (40%)</t>
        </is>
      </c>
      <c r="Y726" s="189" t="inlineStr">
        <is>
          <t>UNLIKELY</t>
        </is>
      </c>
      <c r="Z726" s="189" t="inlineStr">
        <is>
          <t>PATCH_AVAILABLE</t>
        </is>
      </c>
      <c r="AA726" s="190" t="inlineStr">
        <is>
          <t>https://nvd.nist.gov/vuln/detail/CVE-2026-26323</t>
        </is>
      </c>
      <c r="AB726" s="189" t="inlineStr">
        <is>
          <t>NONE</t>
        </is>
      </c>
      <c r="AC726" s="189" t="n">
        <v>0</v>
      </c>
      <c r="AD726" s="189" t="n"/>
    </row>
    <row r="727">
      <c r="A727" s="189" t="inlineStr">
        <is>
          <t>CVE</t>
        </is>
      </c>
      <c r="B727" s="189" t="inlineStr">
        <is>
          <t>CVE-2026-26324</t>
        </is>
      </c>
      <c r="C727" s="189" t="inlineStr">
        <is>
          <t>OpenClaw is a personal AI assistant. Prior to version 2026.2.14, OpenClaw's SSRF protection could be bypassed using full-form IPv4-mapped IPv6 literals such as `0:0:0:0:0:ffff:7f00:1` (which is `127.0.0.1`). This could allow requests that should be blocked (loopback / private network / link-local metadata) to pass the SSRF guard. Version 2026.2.14 patches the issue.</t>
        </is>
      </c>
      <c r="D727" s="189" t="n">
        <v>7.5</v>
      </c>
      <c r="E727" s="189" t="inlineStr">
        <is>
          <t>HIGH</t>
        </is>
      </c>
      <c r="F727" s="189" t="n">
        <v>2</v>
      </c>
      <c r="G727" s="189" t="n">
        <v>3</v>
      </c>
      <c r="H727" s="189" t="inlineStr">
        <is>
          <t>HIGH</t>
        </is>
      </c>
      <c r="I727" s="189" t="n">
        <v>13.5</v>
      </c>
      <c r="J727" s="189" t="inlineStr">
        <is>
          <t>NO</t>
        </is>
      </c>
      <c r="K727" s="190" t="inlineStr">
        <is>
          <t>https://nvd.nist.gov/vuln/detail/CVE-2026-26324</t>
        </is>
      </c>
      <c r="L727" s="189" t="inlineStr">
        <is>
          <t>2026-02-23 23:48</t>
        </is>
      </c>
      <c r="M727" s="189" t="inlineStr">
        <is>
          <t>YES</t>
        </is>
      </c>
      <c r="N727" s="190" t="inlineStr">
        <is>
          <t>https://github.com/openclaw/openclaw/commit/c0c0e0f9aecb913e738742f73e091f2f72d39a19 | https://github.com/openclaw/openclaw/security/advisories/GHSA-jrvc-8ff5-2f9f</t>
        </is>
      </c>
      <c r="O727" s="189" t="inlineStr">
        <is>
          <t>Apply vendor patches</t>
        </is>
      </c>
      <c r="P727" s="189" t="inlineStr">
        <is>
          <t>openclaw openclaw *</t>
        </is>
      </c>
      <c r="Q727" s="189" t="inlineStr">
        <is>
          <t>P3</t>
        </is>
      </c>
      <c r="R727" s="189" t="inlineStr">
        <is>
          <t>🚨 URGENT: Apply vendor patches immediately | 🔒 Isolate affected systems if patch unavailable | 🛡️ Enable additional monitoring/IDS rules</t>
        </is>
      </c>
      <c r="S727" s="189" t="inlineStr">
        <is>
          <t>CVE - IP enrichment n/a</t>
        </is>
      </c>
      <c r="T727" s="189" t="n">
        <v>0</v>
      </c>
      <c r="U727" s="189" t="n">
        <v>0</v>
      </c>
      <c r="V727" s="189" t="inlineStr">
        <is>
          <t>T1090:Proxy</t>
        </is>
      </c>
      <c r="W727" s="189" t="n">
        <v>1</v>
      </c>
      <c r="X727" s="189" t="inlineStr">
        <is>
          <t>LOW (40%)</t>
        </is>
      </c>
      <c r="Y727" s="189" t="inlineStr">
        <is>
          <t>UNLIKELY</t>
        </is>
      </c>
      <c r="Z727" s="189" t="inlineStr">
        <is>
          <t>PATCH_AVAILABLE</t>
        </is>
      </c>
      <c r="AA727" s="190" t="inlineStr">
        <is>
          <t>https://nvd.nist.gov/vuln/detail/CVE-2026-26324</t>
        </is>
      </c>
      <c r="AB727" s="189" t="inlineStr">
        <is>
          <t>NONE</t>
        </is>
      </c>
      <c r="AC727" s="189" t="n">
        <v>0</v>
      </c>
      <c r="AD727" s="189" t="n"/>
    </row>
    <row r="728">
      <c r="A728" s="189" t="inlineStr">
        <is>
          <t>CVE</t>
        </is>
      </c>
      <c r="B728" s="189" t="inlineStr">
        <is>
          <t>CVE-2026-26325</t>
        </is>
      </c>
      <c r="C728" s="189" t="inlineStr">
        <is>
          <t>OpenClaw is a personal AI assistant. Prior to version 2026.2.14, a mismatch between `rawCommand` and `command[]` in the node host `system.run` handler could cause allowlist/approval evaluation to be performed on one command while executing a different argv. This only impacts deployments that use the node host / companion node execution path (`system.run` on a node), enable allowlist-based exec policy (`security=allowlist`) with approval prompting driven by allowlist misses (for example `ask=on-m</t>
        </is>
      </c>
      <c r="D728" s="189" t="n">
        <v>7.2</v>
      </c>
      <c r="E728" s="189" t="inlineStr">
        <is>
          <t>HIGH</t>
        </is>
      </c>
      <c r="F728" s="189" t="n">
        <v>2</v>
      </c>
      <c r="G728" s="189" t="n">
        <v>3</v>
      </c>
      <c r="H728" s="189" t="inlineStr">
        <is>
          <t>HIGH</t>
        </is>
      </c>
      <c r="I728" s="189" t="n">
        <v>13.2</v>
      </c>
      <c r="J728" s="189" t="inlineStr">
        <is>
          <t>NO</t>
        </is>
      </c>
      <c r="K728" s="190" t="inlineStr">
        <is>
          <t>https://nvd.nist.gov/vuln/detail/CVE-2026-26325</t>
        </is>
      </c>
      <c r="L728" s="189" t="inlineStr">
        <is>
          <t>2026-02-23 23:48</t>
        </is>
      </c>
      <c r="M728" s="189" t="inlineStr">
        <is>
          <t>YES</t>
        </is>
      </c>
      <c r="N728" s="190" t="inlineStr">
        <is>
          <t>https://github.com/openclaw/openclaw/commit/cb3290fca32593956638f161d9776266b90ab891 | https://github.com/openclaw/openclaw/security/advisories/GHSA-h3f9-mjwj-w476</t>
        </is>
      </c>
      <c r="O728" s="189" t="inlineStr">
        <is>
          <t>Apply vendor patches</t>
        </is>
      </c>
      <c r="P728" s="189" t="inlineStr">
        <is>
          <t>openclaw openclaw *</t>
        </is>
      </c>
      <c r="Q728" s="189" t="inlineStr">
        <is>
          <t>P3</t>
        </is>
      </c>
      <c r="R728" s="189" t="inlineStr">
        <is>
          <t>🚨 URGENT: Apply vendor patches immediately | 🔒 Isolate affected systems if patch unavailable | 🛡️ Enable additional monitoring/IDS rules</t>
        </is>
      </c>
      <c r="S728" s="189" t="inlineStr">
        <is>
          <t>CVE - IP enrichment n/a</t>
        </is>
      </c>
      <c r="T728" s="189" t="n">
        <v>0</v>
      </c>
      <c r="U728" s="189" t="n">
        <v>0</v>
      </c>
      <c r="V728" s="189" t="inlineStr">
        <is>
          <t>T1190:Exploit Public-Facing Application</t>
        </is>
      </c>
      <c r="W728" s="189" t="n">
        <v>1</v>
      </c>
      <c r="X728" s="189" t="inlineStr">
        <is>
          <t>LOW (40%)</t>
        </is>
      </c>
      <c r="Y728" s="189" t="inlineStr">
        <is>
          <t>UNLIKELY</t>
        </is>
      </c>
      <c r="Z728" s="189" t="inlineStr">
        <is>
          <t>PATCH_AVAILABLE</t>
        </is>
      </c>
      <c r="AA728" s="190" t="inlineStr">
        <is>
          <t>https://nvd.nist.gov/vuln/detail/CVE-2026-26325</t>
        </is>
      </c>
      <c r="AB728" s="189" t="inlineStr">
        <is>
          <t>NONE</t>
        </is>
      </c>
      <c r="AC728" s="189" t="n">
        <v>0</v>
      </c>
      <c r="AD728" s="189" t="n"/>
    </row>
    <row r="729">
      <c r="A729" s="191" t="inlineStr">
        <is>
          <t>CVE</t>
        </is>
      </c>
      <c r="B729" s="191" t="inlineStr">
        <is>
          <t>CVE-2026-26326</t>
        </is>
      </c>
      <c r="C729" s="191" t="inlineStr">
        <is>
          <t>OpenClaw is a personal AI assistant. Prior to version 2026.2.14, `skills.status` could disclose secrets to `operator.read` clients by returning raw resolved config values in `configChecks` for skill `requires.config` paths. Version 2026.2.14 stops including raw resolved config values in requirement checks (return only `{ path, satisfied }`) and narrows the Discord skill requirement to the token key. In addition to upgrading, users should rotate any Discord tokens that may have been exposed to re</t>
        </is>
      </c>
      <c r="D729" s="191" t="n">
        <v>4.3</v>
      </c>
      <c r="E729" s="191" t="inlineStr">
        <is>
          <t>MEDIUM</t>
        </is>
      </c>
      <c r="F729" s="191" t="n">
        <v>2</v>
      </c>
      <c r="G729" s="191" t="n">
        <v>2</v>
      </c>
      <c r="H729" s="191" t="inlineStr">
        <is>
          <t>MEDIUM</t>
        </is>
      </c>
      <c r="I729" s="191" t="n">
        <v>8.300000000000001</v>
      </c>
      <c r="J729" s="191" t="inlineStr">
        <is>
          <t>NO</t>
        </is>
      </c>
      <c r="K729" s="192" t="inlineStr">
        <is>
          <t>https://nvd.nist.gov/vuln/detail/CVE-2026-26326</t>
        </is>
      </c>
      <c r="L729" s="191" t="inlineStr">
        <is>
          <t>2026-02-23 23:48</t>
        </is>
      </c>
      <c r="M729" s="191" t="inlineStr">
        <is>
          <t>YES</t>
        </is>
      </c>
      <c r="N729" s="192" t="inlineStr">
        <is>
          <t>https://github.com/openclaw/openclaw/commit/d3428053d95eefbe10ecf04f92218ffcba55ae5a | https://github.com/openclaw/openclaw/commit/ebc68861a61067fc37f9298bded3eec9de0ba783 | https://github.com/openclaw/openclaw/security/advisories/GHSA-8mh7-phf8-xgfm</t>
        </is>
      </c>
      <c r="O729" s="191" t="inlineStr">
        <is>
          <t>Apply vendor patches</t>
        </is>
      </c>
      <c r="P729" s="191" t="inlineStr">
        <is>
          <t>openclaw openclaw *</t>
        </is>
      </c>
      <c r="Q729" s="191" t="inlineStr">
        <is>
          <t>P4</t>
        </is>
      </c>
      <c r="R729" s="191" t="inlineStr">
        <is>
          <t>📅 Schedule patch deployment within 30 days | 🔍 Monitor for exploitation attempts</t>
        </is>
      </c>
      <c r="S729" s="191" t="inlineStr">
        <is>
          <t>CVE - IP enrichment n/a</t>
        </is>
      </c>
      <c r="T729" s="191" t="n">
        <v>0.0001</v>
      </c>
      <c r="U729" s="191" t="n">
        <v>0.0239</v>
      </c>
      <c r="V729" s="191" t="inlineStr">
        <is>
          <t>T1213:Data from Information Repositories</t>
        </is>
      </c>
      <c r="W729" s="191" t="n">
        <v>1</v>
      </c>
      <c r="X729" s="191" t="inlineStr">
        <is>
          <t>LOW (40%)</t>
        </is>
      </c>
      <c r="Y729" s="191" t="inlineStr">
        <is>
          <t>UNLIKELY</t>
        </is>
      </c>
      <c r="Z729" s="191" t="inlineStr">
        <is>
          <t>PATCH_AVAILABLE</t>
        </is>
      </c>
      <c r="AA729" s="192" t="inlineStr">
        <is>
          <t>https://nvd.nist.gov/vuln/detail/CVE-2026-26326</t>
        </is>
      </c>
      <c r="AB729" s="191" t="inlineStr">
        <is>
          <t>NONE</t>
        </is>
      </c>
      <c r="AC729" s="191" t="n">
        <v>0</v>
      </c>
      <c r="AD729" s="191" t="n"/>
    </row>
    <row r="730">
      <c r="A730" s="191" t="inlineStr">
        <is>
          <t>CVE</t>
        </is>
      </c>
      <c r="B730" s="191" t="inlineStr">
        <is>
          <t>CVE-2026-26327</t>
        </is>
      </c>
      <c r="C730" s="191" t="inlineStr">
        <is>
          <t>OpenClaw is a personal AI assistant. Discovery beacons (Bonjour/mDNS and DNS-SD) include TXT records such as `lanHost`, `tailnetDns`, `gatewayPort`, and `gatewayTlsSha256`. TXT records are unauthenticated. Prior to version 2026.2.14, some clients treated TXT values as authoritative routing/pinning inputs. iOS and macOS used TXT-provided host hints (`lanHost`/`tailnetDns`) and ports (`gatewayPort`) to build the connection URL. iOS and Android allowed the discovery-provided TLS fingerprint (`gatew</t>
        </is>
      </c>
      <c r="D730" s="191" t="n">
        <v>6.5</v>
      </c>
      <c r="E730" s="191" t="inlineStr">
        <is>
          <t>MEDIUM</t>
        </is>
      </c>
      <c r="F730" s="191" t="n">
        <v>2</v>
      </c>
      <c r="G730" s="191" t="n">
        <v>2</v>
      </c>
      <c r="H730" s="191" t="inlineStr">
        <is>
          <t>MEDIUM</t>
        </is>
      </c>
      <c r="I730" s="191" t="n">
        <v>10.5</v>
      </c>
      <c r="J730" s="191" t="inlineStr">
        <is>
          <t>NO</t>
        </is>
      </c>
      <c r="K730" s="192" t="inlineStr">
        <is>
          <t>https://nvd.nist.gov/vuln/detail/CVE-2026-26327</t>
        </is>
      </c>
      <c r="L730" s="191" t="inlineStr">
        <is>
          <t>2026-02-23 23:48</t>
        </is>
      </c>
      <c r="M730" s="191" t="inlineStr">
        <is>
          <t>YES</t>
        </is>
      </c>
      <c r="N730" s="192" t="inlineStr">
        <is>
          <t>https://github.com/openclaw/openclaw/commit/d583782ee322a6faa1fe87ae52455e0d349de586 | https://github.com/openclaw/openclaw/security/advisories/GHSA-pv58-549p-qh99</t>
        </is>
      </c>
      <c r="O730" s="191" t="inlineStr">
        <is>
          <t>Apply vendor patches</t>
        </is>
      </c>
      <c r="P730" s="191" t="inlineStr">
        <is>
          <t>openclaw openclaw *</t>
        </is>
      </c>
      <c r="Q730" s="191" t="inlineStr">
        <is>
          <t>P4</t>
        </is>
      </c>
      <c r="R730" s="191" t="inlineStr">
        <is>
          <t>📅 Schedule patch deployment within 30 days | 🔍 Monitor for exploitation attempts</t>
        </is>
      </c>
      <c r="S730" s="191" t="inlineStr">
        <is>
          <t>CVE - IP enrichment n/a</t>
        </is>
      </c>
      <c r="T730" s="191" t="n">
        <v>0</v>
      </c>
      <c r="U730" s="191" t="n">
        <v>0</v>
      </c>
      <c r="V730" s="191" t="inlineStr">
        <is>
          <t>T1552:Unsecured Credentials</t>
        </is>
      </c>
      <c r="W730" s="191" t="n">
        <v>1</v>
      </c>
      <c r="X730" s="191" t="inlineStr">
        <is>
          <t>LOW (40%)</t>
        </is>
      </c>
      <c r="Y730" s="191" t="inlineStr">
        <is>
          <t>UNLIKELY</t>
        </is>
      </c>
      <c r="Z730" s="191" t="inlineStr">
        <is>
          <t>PATCH_AVAILABLE</t>
        </is>
      </c>
      <c r="AA730" s="192" t="inlineStr">
        <is>
          <t>https://nvd.nist.gov/vuln/detail/CVE-2026-26327</t>
        </is>
      </c>
      <c r="AB730" s="191" t="inlineStr">
        <is>
          <t>NONE</t>
        </is>
      </c>
      <c r="AC730" s="191" t="n">
        <v>0</v>
      </c>
      <c r="AD730" s="191" t="n"/>
    </row>
    <row r="731">
      <c r="A731" s="191" t="inlineStr">
        <is>
          <t>CVE</t>
        </is>
      </c>
      <c r="B731" s="191" t="inlineStr">
        <is>
          <t>CVE-2026-26952</t>
        </is>
      </c>
      <c r="C731" s="191" t="inlineStr">
        <is>
          <t xml:space="preserve">Pi-hole Admin Interface is a web interface for managing Pi-hole, a network-level ad and internet tracker blocking application. Versions 6.4 and below are vulnerable to stored HTML injection through the local DNS records configuration page, which allows an authenticated administrator to inject code that is stored in the Pi-hole configuration and rendered every time the DNS records table is viewed. The populateDataTable() function contains a data variable with the full DNS record value exactly as </t>
        </is>
      </c>
      <c r="D731" s="191" t="n">
        <v>5.4</v>
      </c>
      <c r="E731" s="191" t="inlineStr">
        <is>
          <t>MEDIUM</t>
        </is>
      </c>
      <c r="F731" s="191" t="n">
        <v>2</v>
      </c>
      <c r="G731" s="191" t="n">
        <v>2</v>
      </c>
      <c r="H731" s="191" t="inlineStr">
        <is>
          <t>MEDIUM</t>
        </is>
      </c>
      <c r="I731" s="191" t="n">
        <v>9.4</v>
      </c>
      <c r="J731" s="191" t="inlineStr">
        <is>
          <t>NO</t>
        </is>
      </c>
      <c r="K731" s="192" t="inlineStr">
        <is>
          <t>https://nvd.nist.gov/vuln/detail/CVE-2026-26952</t>
        </is>
      </c>
      <c r="L731" s="191" t="inlineStr">
        <is>
          <t>2026-02-23 23:48</t>
        </is>
      </c>
      <c r="M731" s="191" t="inlineStr">
        <is>
          <t>CHECK_VENDOR</t>
        </is>
      </c>
      <c r="N731" s="191" t="inlineStr">
        <is>
          <t>See NVD references</t>
        </is>
      </c>
      <c r="O731" s="191" t="inlineStr">
        <is>
          <t>Apply vendor patches</t>
        </is>
      </c>
      <c r="P731" s="191" t="inlineStr">
        <is>
          <t>See CVE details</t>
        </is>
      </c>
      <c r="Q731" s="191" t="inlineStr">
        <is>
          <t>P4</t>
        </is>
      </c>
      <c r="R731" s="191" t="inlineStr">
        <is>
          <t>📅 Schedule patch deployment within 30 days | 🔍 Monitor for exploitation attempts</t>
        </is>
      </c>
      <c r="S731" s="191" t="inlineStr">
        <is>
          <t>CVE - IP enrichment n/a</t>
        </is>
      </c>
      <c r="T731" s="191" t="n">
        <v>0</v>
      </c>
      <c r="U731" s="191" t="n">
        <v>0</v>
      </c>
      <c r="V731" s="191" t="inlineStr">
        <is>
          <t>T1190:Exploit Public-Facing Application</t>
        </is>
      </c>
      <c r="W731" s="191" t="n">
        <v>1</v>
      </c>
      <c r="X731" s="191" t="inlineStr">
        <is>
          <t>LOW (40%)</t>
        </is>
      </c>
      <c r="Y731" s="191" t="inlineStr">
        <is>
          <t>UNLIKELY</t>
        </is>
      </c>
      <c r="Z731" s="191" t="inlineStr">
        <is>
          <t>CHECK_VENDOR</t>
        </is>
      </c>
      <c r="AA731" s="192" t="inlineStr">
        <is>
          <t>https://nvd.nist.gov/vuln/detail/CVE-2026-26952</t>
        </is>
      </c>
      <c r="AB731" s="191" t="inlineStr">
        <is>
          <t>NONE</t>
        </is>
      </c>
      <c r="AC731" s="191" t="n">
        <v>0</v>
      </c>
      <c r="AD731" s="191" t="n"/>
    </row>
    <row r="732">
      <c r="A732" s="191" t="inlineStr">
        <is>
          <t>CVE</t>
        </is>
      </c>
      <c r="B732" s="191" t="inlineStr">
        <is>
          <t>CVE-2026-26953</t>
        </is>
      </c>
      <c r="C732" s="191" t="inlineStr">
        <is>
          <t>Pi-hole Admin Interface is a web interface for managing Pi-hole, a network-level ad and internet tracker blocking application.  Versions 6.0 and above have a Stored HTML Injection vulnerability in the active sessions table located on the API settings page, allowing an attacker with valid credentials to inject arbitrary HTML code that will be rendered in the browser of any administrator who visits the active sessions page. The rowCallback function contains the value data.x_forwarded_for, which is</t>
        </is>
      </c>
      <c r="D732" s="191" t="n">
        <v>5.4</v>
      </c>
      <c r="E732" s="191" t="inlineStr">
        <is>
          <t>MEDIUM</t>
        </is>
      </c>
      <c r="F732" s="191" t="n">
        <v>2</v>
      </c>
      <c r="G732" s="191" t="n">
        <v>2</v>
      </c>
      <c r="H732" s="191" t="inlineStr">
        <is>
          <t>MEDIUM</t>
        </is>
      </c>
      <c r="I732" s="191" t="n">
        <v>9.4</v>
      </c>
      <c r="J732" s="191" t="inlineStr">
        <is>
          <t>NO</t>
        </is>
      </c>
      <c r="K732" s="192" t="inlineStr">
        <is>
          <t>https://nvd.nist.gov/vuln/detail/CVE-2026-26953</t>
        </is>
      </c>
      <c r="L732" s="191" t="inlineStr">
        <is>
          <t>2026-02-23 23:48</t>
        </is>
      </c>
      <c r="M732" s="191" t="inlineStr">
        <is>
          <t>CHECK_VENDOR</t>
        </is>
      </c>
      <c r="N732" s="191" t="inlineStr">
        <is>
          <t>See NVD references</t>
        </is>
      </c>
      <c r="O732" s="191" t="inlineStr">
        <is>
          <t>Apply vendor patches</t>
        </is>
      </c>
      <c r="P732" s="191" t="inlineStr">
        <is>
          <t>See CVE details</t>
        </is>
      </c>
      <c r="Q732" s="191" t="inlineStr">
        <is>
          <t>P4</t>
        </is>
      </c>
      <c r="R732" s="191" t="inlineStr">
        <is>
          <t>📅 Schedule patch deployment within 30 days | 🔍 Monitor for exploitation attempts</t>
        </is>
      </c>
      <c r="S732" s="191" t="inlineStr">
        <is>
          <t>CVE - IP enrichment n/a</t>
        </is>
      </c>
      <c r="T732" s="191" t="n">
        <v>0</v>
      </c>
      <c r="U732" s="191" t="n">
        <v>0</v>
      </c>
      <c r="V732" s="191" t="inlineStr">
        <is>
          <t>T1552:Unsecured Credentials</t>
        </is>
      </c>
      <c r="W732" s="191" t="n">
        <v>1</v>
      </c>
      <c r="X732" s="191" t="inlineStr">
        <is>
          <t>LOW (40%)</t>
        </is>
      </c>
      <c r="Y732" s="191" t="inlineStr">
        <is>
          <t>UNLIKELY</t>
        </is>
      </c>
      <c r="Z732" s="191" t="inlineStr">
        <is>
          <t>CHECK_VENDOR</t>
        </is>
      </c>
      <c r="AA732" s="192" t="inlineStr">
        <is>
          <t>https://nvd.nist.gov/vuln/detail/CVE-2026-26953</t>
        </is>
      </c>
      <c r="AB732" s="191" t="inlineStr">
        <is>
          <t>NONE</t>
        </is>
      </c>
      <c r="AC732" s="191" t="n">
        <v>0</v>
      </c>
      <c r="AD732" s="191" t="n"/>
    </row>
    <row r="733">
      <c r="A733" s="191" t="inlineStr">
        <is>
          <t>CVE</t>
        </is>
      </c>
      <c r="B733" s="191" t="inlineStr">
        <is>
          <t>CVE-2026-26958</t>
        </is>
      </c>
      <c r="C733" s="191" t="inlineStr">
        <is>
          <t>filippo.io/edwards25519 is a Go library implementing the edwards25519 elliptic curve with APIs for building cryptographic primitives. In versions 1.1.0 and earlier, MultiScalarMult produces invalid results or undefined behavior if the receiver is not the identity point. If (*Point).MultiScalarMult is called on an initialized point that is not the identity point, it returns an incorrect result. If the method is called on an uninitialized point, the behavior is undefined. In particular, if the rec</t>
        </is>
      </c>
      <c r="D733" s="191" t="n">
        <v>5</v>
      </c>
      <c r="E733" s="191" t="inlineStr">
        <is>
          <t>MEDIUM</t>
        </is>
      </c>
      <c r="F733" s="191" t="n">
        <v>2</v>
      </c>
      <c r="G733" s="191" t="n">
        <v>2</v>
      </c>
      <c r="H733" s="191" t="inlineStr">
        <is>
          <t>MEDIUM</t>
        </is>
      </c>
      <c r="I733" s="191" t="n">
        <v>9</v>
      </c>
      <c r="J733" s="191" t="inlineStr">
        <is>
          <t>NO</t>
        </is>
      </c>
      <c r="K733" s="192" t="inlineStr">
        <is>
          <t>https://nvd.nist.gov/vuln/detail/CVE-2026-26958</t>
        </is>
      </c>
      <c r="L733" s="191" t="inlineStr">
        <is>
          <t>2026-02-23 23:48</t>
        </is>
      </c>
      <c r="M733" s="191" t="inlineStr">
        <is>
          <t>CHECK_VENDOR</t>
        </is>
      </c>
      <c r="N733" s="191" t="inlineStr">
        <is>
          <t>See NVD references</t>
        </is>
      </c>
      <c r="O733" s="191" t="inlineStr">
        <is>
          <t>Apply vendor patches</t>
        </is>
      </c>
      <c r="P733" s="191" t="inlineStr">
        <is>
          <t>See CVE details</t>
        </is>
      </c>
      <c r="Q733" s="191" t="inlineStr">
        <is>
          <t>P4</t>
        </is>
      </c>
      <c r="R733" s="191" t="inlineStr">
        <is>
          <t>📅 Schedule patch deployment within 30 days | 🔍 Monitor for exploitation attempts</t>
        </is>
      </c>
      <c r="S733" s="191" t="inlineStr">
        <is>
          <t>CVE - IP enrichment n/a</t>
        </is>
      </c>
      <c r="T733" s="191" t="n">
        <v>0</v>
      </c>
      <c r="U733" s="191" t="n">
        <v>0</v>
      </c>
      <c r="V733" s="191" t="inlineStr">
        <is>
          <t>T1600:Weaken Encryption</t>
        </is>
      </c>
      <c r="W733" s="191" t="n">
        <v>1</v>
      </c>
      <c r="X733" s="191" t="inlineStr">
        <is>
          <t>LOW (40%)</t>
        </is>
      </c>
      <c r="Y733" s="191" t="inlineStr">
        <is>
          <t>UNLIKELY</t>
        </is>
      </c>
      <c r="Z733" s="191" t="inlineStr">
        <is>
          <t>CHECK_VENDOR</t>
        </is>
      </c>
      <c r="AA733" s="192" t="inlineStr">
        <is>
          <t>https://nvd.nist.gov/vuln/detail/CVE-2026-26958</t>
        </is>
      </c>
      <c r="AB733" s="191" t="inlineStr">
        <is>
          <t>NONE</t>
        </is>
      </c>
      <c r="AC733" s="191" t="n">
        <v>0</v>
      </c>
      <c r="AD733" s="191" t="n"/>
    </row>
    <row r="734">
      <c r="A734" s="191" t="inlineStr">
        <is>
          <t>CVE</t>
        </is>
      </c>
      <c r="B734" s="191" t="inlineStr">
        <is>
          <t>CVE-2026-1292</t>
        </is>
      </c>
      <c r="C734" s="191" t="inlineStr">
        <is>
          <t>Tanium addressed an insertion of sensitive information into log file vulnerability in Trends.</t>
        </is>
      </c>
      <c r="D734" s="191" t="n">
        <v>6.5</v>
      </c>
      <c r="E734" s="191" t="inlineStr">
        <is>
          <t>MEDIUM</t>
        </is>
      </c>
      <c r="F734" s="191" t="n">
        <v>2</v>
      </c>
      <c r="G734" s="191" t="n">
        <v>2</v>
      </c>
      <c r="H734" s="191" t="inlineStr">
        <is>
          <t>MEDIUM</t>
        </is>
      </c>
      <c r="I734" s="191" t="n">
        <v>10.5</v>
      </c>
      <c r="J734" s="191" t="inlineStr">
        <is>
          <t>NO</t>
        </is>
      </c>
      <c r="K734" s="192" t="inlineStr">
        <is>
          <t>https://nvd.nist.gov/vuln/detail/CVE-2026-1292</t>
        </is>
      </c>
      <c r="L734" s="191" t="inlineStr">
        <is>
          <t>2026-02-23 23:48</t>
        </is>
      </c>
      <c r="M734" s="191" t="inlineStr">
        <is>
          <t>CHECK_VENDOR</t>
        </is>
      </c>
      <c r="N734" s="191" t="inlineStr">
        <is>
          <t>See NVD references</t>
        </is>
      </c>
      <c r="O734" s="191" t="inlineStr">
        <is>
          <t>Apply vendor patches</t>
        </is>
      </c>
      <c r="P734" s="191" t="inlineStr">
        <is>
          <t>See CVE details</t>
        </is>
      </c>
      <c r="Q734" s="191" t="inlineStr">
        <is>
          <t>P4</t>
        </is>
      </c>
      <c r="R734" s="191" t="inlineStr">
        <is>
          <t>📅 Schedule patch deployment within 30 days | 🔍 Monitor for exploitation attempts</t>
        </is>
      </c>
      <c r="S734" s="191" t="inlineStr">
        <is>
          <t>CVE - IP enrichment n/a</t>
        </is>
      </c>
      <c r="T734" s="191" t="n">
        <v>0</v>
      </c>
      <c r="U734" s="191" t="n">
        <v>0</v>
      </c>
      <c r="V734" s="191" t="inlineStr">
        <is>
          <t>T1190:Exploit Public-Facing Application</t>
        </is>
      </c>
      <c r="W734" s="191" t="n">
        <v>1</v>
      </c>
      <c r="X734" s="191" t="inlineStr">
        <is>
          <t>LOW (40%)</t>
        </is>
      </c>
      <c r="Y734" s="191" t="inlineStr">
        <is>
          <t>UNLIKELY</t>
        </is>
      </c>
      <c r="Z734" s="191" t="inlineStr">
        <is>
          <t>CHECK_VENDOR</t>
        </is>
      </c>
      <c r="AA734" s="192" t="inlineStr">
        <is>
          <t>https://nvd.nist.gov/vuln/detail/CVE-2026-1292</t>
        </is>
      </c>
      <c r="AB734" s="191" t="inlineStr">
        <is>
          <t>NONE</t>
        </is>
      </c>
      <c r="AC734" s="191" t="n">
        <v>0</v>
      </c>
      <c r="AD734" s="191" t="n"/>
    </row>
    <row r="735">
      <c r="A735" s="191" t="inlineStr">
        <is>
          <t>CVE</t>
        </is>
      </c>
      <c r="B735" s="191" t="inlineStr">
        <is>
          <t>CVE-2026-26328</t>
        </is>
      </c>
      <c r="C735" s="191" t="inlineStr">
        <is>
          <t>OpenClaw is a personal AI assistant. Prior to version 2026.2.14, under iMessage `groupPolicy=allowlist`, group authorization could be satisfied by sender identities coming from the DM pairing store, broadening DM trust into group contexts. Version 2026.2.14 fixes the issue.</t>
        </is>
      </c>
      <c r="D735" s="191" t="n">
        <v>6.5</v>
      </c>
      <c r="E735" s="191" t="inlineStr">
        <is>
          <t>MEDIUM</t>
        </is>
      </c>
      <c r="F735" s="191" t="n">
        <v>2</v>
      </c>
      <c r="G735" s="191" t="n">
        <v>2</v>
      </c>
      <c r="H735" s="191" t="inlineStr">
        <is>
          <t>MEDIUM</t>
        </is>
      </c>
      <c r="I735" s="191" t="n">
        <v>10.5</v>
      </c>
      <c r="J735" s="191" t="inlineStr">
        <is>
          <t>NO</t>
        </is>
      </c>
      <c r="K735" s="192" t="inlineStr">
        <is>
          <t>https://nvd.nist.gov/vuln/detail/CVE-2026-26328</t>
        </is>
      </c>
      <c r="L735" s="191" t="inlineStr">
        <is>
          <t>2026-02-23 23:48</t>
        </is>
      </c>
      <c r="M735" s="191" t="inlineStr">
        <is>
          <t>CHECK_VENDOR</t>
        </is>
      </c>
      <c r="N735" s="191" t="inlineStr">
        <is>
          <t>See NVD references</t>
        </is>
      </c>
      <c r="O735" s="191" t="inlineStr">
        <is>
          <t>Apply vendor patches</t>
        </is>
      </c>
      <c r="P735" s="191" t="inlineStr">
        <is>
          <t>See CVE details</t>
        </is>
      </c>
      <c r="Q735" s="191" t="inlineStr">
        <is>
          <t>P4</t>
        </is>
      </c>
      <c r="R735" s="191" t="inlineStr">
        <is>
          <t>📅 Schedule patch deployment within 30 days | 🔍 Monitor for exploitation attempts</t>
        </is>
      </c>
      <c r="S735" s="191" t="inlineStr">
        <is>
          <t>CVE - IP enrichment n/a</t>
        </is>
      </c>
      <c r="T735" s="191" t="n">
        <v>0</v>
      </c>
      <c r="U735" s="191" t="n">
        <v>0</v>
      </c>
      <c r="V735" s="191" t="inlineStr">
        <is>
          <t>T1190:Exploit Public-Facing Application</t>
        </is>
      </c>
      <c r="W735" s="191" t="n">
        <v>1</v>
      </c>
      <c r="X735" s="191" t="inlineStr">
        <is>
          <t>LOW (40%)</t>
        </is>
      </c>
      <c r="Y735" s="191" t="inlineStr">
        <is>
          <t>UNLIKELY</t>
        </is>
      </c>
      <c r="Z735" s="191" t="inlineStr">
        <is>
          <t>CHECK_VENDOR</t>
        </is>
      </c>
      <c r="AA735" s="192" t="inlineStr">
        <is>
          <t>https://nvd.nist.gov/vuln/detail/CVE-2026-26328</t>
        </is>
      </c>
      <c r="AB735" s="191" t="inlineStr">
        <is>
          <t>NONE</t>
        </is>
      </c>
      <c r="AC735" s="191" t="n">
        <v>0</v>
      </c>
      <c r="AD735" s="191" t="n"/>
    </row>
    <row r="736">
      <c r="A736" s="191" t="inlineStr">
        <is>
          <t>CVE</t>
        </is>
      </c>
      <c r="B736" s="191" t="inlineStr">
        <is>
          <t>CVE-2026-26329</t>
        </is>
      </c>
      <c r="C736" s="191" t="inlineStr">
        <is>
          <t>OpenClaw is a personal AI assistant. Prior to version 2026.2.14, authenticated attackers can read arbitrary files from the Gateway host by supplying absolute paths or path traversal sequences to the browser tool's `upload` action. The server passed these paths to Playwright's `setInputFiles()` APIs without restricting them to a safe root. An attacker must reach the Gateway HTTP surface (or otherwise invoke the same browser control hook endpoints); present valid Gateway auth (bearer token / passw</t>
        </is>
      </c>
      <c r="D736" s="191" t="n">
        <v>6.5</v>
      </c>
      <c r="E736" s="191" t="inlineStr">
        <is>
          <t>MEDIUM</t>
        </is>
      </c>
      <c r="F736" s="191" t="n">
        <v>2</v>
      </c>
      <c r="G736" s="191" t="n">
        <v>2</v>
      </c>
      <c r="H736" s="191" t="inlineStr">
        <is>
          <t>MEDIUM</t>
        </is>
      </c>
      <c r="I736" s="191" t="n">
        <v>10.5</v>
      </c>
      <c r="J736" s="191" t="inlineStr">
        <is>
          <t>NO</t>
        </is>
      </c>
      <c r="K736" s="192" t="inlineStr">
        <is>
          <t>https://nvd.nist.gov/vuln/detail/CVE-2026-26329</t>
        </is>
      </c>
      <c r="L736" s="191" t="inlineStr">
        <is>
          <t>2026-02-23 23:48</t>
        </is>
      </c>
      <c r="M736" s="191" t="inlineStr">
        <is>
          <t>YES</t>
        </is>
      </c>
      <c r="N736" s="192" t="inlineStr">
        <is>
          <t>https://github.com/openclaw/openclaw/commit/3aa94afcfd12104c683c9cad81faf434d0dadf87 | https://github.com/openclaw/openclaw/security/advisories/GHSA-cv7m-c9jx-vg7q</t>
        </is>
      </c>
      <c r="O736" s="191" t="inlineStr">
        <is>
          <t>Apply vendor patches</t>
        </is>
      </c>
      <c r="P736" s="191" t="inlineStr">
        <is>
          <t>openclaw openclaw *</t>
        </is>
      </c>
      <c r="Q736" s="191" t="inlineStr">
        <is>
          <t>P4</t>
        </is>
      </c>
      <c r="R736" s="191" t="inlineStr">
        <is>
          <t>📅 Schedule patch deployment within 30 days | 🔍 Monitor for exploitation attempts</t>
        </is>
      </c>
      <c r="S736" s="191" t="inlineStr">
        <is>
          <t>CVE - IP enrichment n/a</t>
        </is>
      </c>
      <c r="T736" s="191" t="n">
        <v>0</v>
      </c>
      <c r="U736" s="191" t="n">
        <v>0</v>
      </c>
      <c r="V736" s="191" t="inlineStr">
        <is>
          <t>T1083:File and Directory Discovery</t>
        </is>
      </c>
      <c r="W736" s="191" t="n">
        <v>1</v>
      </c>
      <c r="X736" s="191" t="inlineStr">
        <is>
          <t>LOW (40%)</t>
        </is>
      </c>
      <c r="Y736" s="191" t="inlineStr">
        <is>
          <t>UNLIKELY</t>
        </is>
      </c>
      <c r="Z736" s="191" t="inlineStr">
        <is>
          <t>PATCH_AVAILABLE</t>
        </is>
      </c>
      <c r="AA736" s="192" t="inlineStr">
        <is>
          <t>https://nvd.nist.gov/vuln/detail/CVE-2026-26329</t>
        </is>
      </c>
      <c r="AB736" s="191" t="inlineStr">
        <is>
          <t>NONE</t>
        </is>
      </c>
      <c r="AC736" s="191" t="n">
        <v>0</v>
      </c>
      <c r="AD736" s="191" t="n"/>
    </row>
    <row r="737">
      <c r="A737" s="189" t="inlineStr">
        <is>
          <t>CVE</t>
        </is>
      </c>
      <c r="B737" s="189" t="inlineStr">
        <is>
          <t>CVE-2026-26957</t>
        </is>
      </c>
      <c r="C737" s="189" t="inlineStr">
        <is>
          <t>Libredesk is a self-hosted customer support desk application. Versions prior to 1.0.2-0.20260215211005-727213631ce6 fail to validate destination URLs for webhooks, allowing an attacker posing as an authenticated "Application Admin" to force the server to make HTTP requests to arbitrary internal destinations. This could compromise the underlying cloud infrastructure or internal corporate network where the service is hosted. This issue has been fixed in version 1.0.2-0.20260215211005-727213631ce6.</t>
        </is>
      </c>
      <c r="D737" s="189" t="n">
        <v>8.5</v>
      </c>
      <c r="E737" s="189" t="inlineStr">
        <is>
          <t>HIGH</t>
        </is>
      </c>
      <c r="F737" s="189" t="n">
        <v>2</v>
      </c>
      <c r="G737" s="189" t="n">
        <v>3</v>
      </c>
      <c r="H737" s="189" t="inlineStr">
        <is>
          <t>HIGH</t>
        </is>
      </c>
      <c r="I737" s="189" t="n">
        <v>14.5</v>
      </c>
      <c r="J737" s="189" t="inlineStr">
        <is>
          <t>NO</t>
        </is>
      </c>
      <c r="K737" s="190" t="inlineStr">
        <is>
          <t>https://nvd.nist.gov/vuln/detail/CVE-2026-26957</t>
        </is>
      </c>
      <c r="L737" s="189" t="inlineStr">
        <is>
          <t>2026-02-23 23:48</t>
        </is>
      </c>
      <c r="M737" s="189" t="inlineStr">
        <is>
          <t>CHECK_VENDOR</t>
        </is>
      </c>
      <c r="N737" s="189" t="inlineStr">
        <is>
          <t>See NVD references</t>
        </is>
      </c>
      <c r="O737" s="189" t="inlineStr">
        <is>
          <t>Apply vendor patches</t>
        </is>
      </c>
      <c r="P737" s="189" t="inlineStr">
        <is>
          <t>See CVE details</t>
        </is>
      </c>
      <c r="Q737" s="189" t="inlineStr">
        <is>
          <t>P3</t>
        </is>
      </c>
      <c r="R737" s="189" t="inlineStr">
        <is>
          <t>🚨 URGENT: Apply vendor patches immediately | 🔒 Isolate affected systems if patch unavailable | 🛡️ Enable additional monitoring/IDS rules</t>
        </is>
      </c>
      <c r="S737" s="189" t="inlineStr">
        <is>
          <t>CVE - IP enrichment n/a</t>
        </is>
      </c>
      <c r="T737" s="189" t="n">
        <v>0.0004</v>
      </c>
      <c r="U737" s="189" t="n">
        <v>0.1245</v>
      </c>
      <c r="V737" s="189" t="inlineStr">
        <is>
          <t>T1190:Exploit Public-Facing Application</t>
        </is>
      </c>
      <c r="W737" s="189" t="n">
        <v>1</v>
      </c>
      <c r="X737" s="189" t="inlineStr">
        <is>
          <t>LOW (40%)</t>
        </is>
      </c>
      <c r="Y737" s="189" t="inlineStr">
        <is>
          <t>UNLIKELY</t>
        </is>
      </c>
      <c r="Z737" s="189" t="inlineStr">
        <is>
          <t>CHECK_VENDOR</t>
        </is>
      </c>
      <c r="AA737" s="190" t="inlineStr">
        <is>
          <t>https://nvd.nist.gov/vuln/detail/CVE-2026-26957</t>
        </is>
      </c>
      <c r="AB737" s="189" t="inlineStr">
        <is>
          <t>NONE</t>
        </is>
      </c>
      <c r="AC737" s="189" t="n">
        <v>0</v>
      </c>
      <c r="AD737" s="189" t="n"/>
    </row>
    <row r="738">
      <c r="A738" s="189" t="inlineStr">
        <is>
          <t>CVE</t>
        </is>
      </c>
      <c r="B738" s="189" t="inlineStr">
        <is>
          <t>CVE-2026-26959</t>
        </is>
      </c>
      <c r="C738" s="189" t="inlineStr">
        <is>
          <t>ADB Explorer is a fluent UI for ADB on Windows. Versions 0.9.26020 and below fail to validate the integrity or authenticity of the ADB binary path specified in the ManualAdbPath setting before executing it, allowing arbitrary code execution with the privileges of the current user. An attacker can exploit this by crafting a malicious App.txt settings file that points ManualAdbPath to an arbitrary executable, then convincing a victim to launch the application with a command-line argument directing</t>
        </is>
      </c>
      <c r="D738" s="189" t="n">
        <v>7.8</v>
      </c>
      <c r="E738" s="189" t="inlineStr">
        <is>
          <t>HIGH</t>
        </is>
      </c>
      <c r="F738" s="189" t="n">
        <v>2</v>
      </c>
      <c r="G738" s="189" t="n">
        <v>3</v>
      </c>
      <c r="H738" s="189" t="inlineStr">
        <is>
          <t>HIGH</t>
        </is>
      </c>
      <c r="I738" s="189" t="n">
        <v>13.8</v>
      </c>
      <c r="J738" s="189" t="inlineStr">
        <is>
          <t>NO</t>
        </is>
      </c>
      <c r="K738" s="190" t="inlineStr">
        <is>
          <t>https://nvd.nist.gov/vuln/detail/CVE-2026-26959</t>
        </is>
      </c>
      <c r="L738" s="189" t="inlineStr">
        <is>
          <t>2026-02-23 23:48</t>
        </is>
      </c>
      <c r="M738" s="189" t="inlineStr">
        <is>
          <t>CHECK_VENDOR</t>
        </is>
      </c>
      <c r="N738" s="189" t="inlineStr">
        <is>
          <t>See NVD references</t>
        </is>
      </c>
      <c r="O738" s="189" t="inlineStr">
        <is>
          <t>Apply vendor patches</t>
        </is>
      </c>
      <c r="P738" s="189" t="inlineStr">
        <is>
          <t>See CVE details</t>
        </is>
      </c>
      <c r="Q738" s="189" t="inlineStr">
        <is>
          <t>P3</t>
        </is>
      </c>
      <c r="R738" s="189" t="inlineStr">
        <is>
          <t>🚨 URGENT: Apply vendor patches immediately | 🔒 Isolate affected systems if patch unavailable | 🛡️ Enable additional monitoring/IDS rules</t>
        </is>
      </c>
      <c r="S738" s="189" t="inlineStr">
        <is>
          <t>CVE - IP enrichment n/a</t>
        </is>
      </c>
      <c r="T738" s="189" t="n">
        <v>0</v>
      </c>
      <c r="U738" s="189" t="n">
        <v>0</v>
      </c>
      <c r="V738" s="189" t="inlineStr">
        <is>
          <t>T1190:Exploit Public-Facing Application | T1203:Exploitation for Client Execution</t>
        </is>
      </c>
      <c r="W738" s="189" t="n">
        <v>1</v>
      </c>
      <c r="X738" s="189" t="inlineStr">
        <is>
          <t>LOW (40%)</t>
        </is>
      </c>
      <c r="Y738" s="189" t="inlineStr">
        <is>
          <t>UNLIKELY</t>
        </is>
      </c>
      <c r="Z738" s="189" t="inlineStr">
        <is>
          <t>CHECK_VENDOR</t>
        </is>
      </c>
      <c r="AA738" s="190" t="inlineStr">
        <is>
          <t>https://nvd.nist.gov/vuln/detail/CVE-2026-26959</t>
        </is>
      </c>
      <c r="AB738" s="189" t="inlineStr">
        <is>
          <t>NONE</t>
        </is>
      </c>
      <c r="AC738" s="189" t="n">
        <v>0</v>
      </c>
      <c r="AD738" s="189" t="n"/>
    </row>
    <row r="739">
      <c r="A739" s="191" t="inlineStr">
        <is>
          <t>CVE</t>
        </is>
      </c>
      <c r="B739" s="191" t="inlineStr">
        <is>
          <t>CVE-2026-26963</t>
        </is>
      </c>
      <c r="C739" s="191" t="inlineStr">
        <is>
          <t>Cilium is a networking, observability, and security solution with an eBPF-based dataplane. Versions 1.18.0 through 1.18.5 will incorrectly permit traffic from Pods on other nodes when Native Routing, WireGuard and Node Encryption are enabled. This issue has been fixed in version 1.18.6.</t>
        </is>
      </c>
      <c r="D739" s="191" t="n">
        <v>6.1</v>
      </c>
      <c r="E739" s="191" t="inlineStr">
        <is>
          <t>MEDIUM</t>
        </is>
      </c>
      <c r="F739" s="191" t="n">
        <v>2</v>
      </c>
      <c r="G739" s="191" t="n">
        <v>2</v>
      </c>
      <c r="H739" s="191" t="inlineStr">
        <is>
          <t>MEDIUM</t>
        </is>
      </c>
      <c r="I739" s="191" t="n">
        <v>10.1</v>
      </c>
      <c r="J739" s="191" t="inlineStr">
        <is>
          <t>NO</t>
        </is>
      </c>
      <c r="K739" s="192" t="inlineStr">
        <is>
          <t>https://nvd.nist.gov/vuln/detail/CVE-2026-26963</t>
        </is>
      </c>
      <c r="L739" s="191" t="inlineStr">
        <is>
          <t>2026-02-23 23:48</t>
        </is>
      </c>
      <c r="M739" s="191" t="inlineStr">
        <is>
          <t>YES</t>
        </is>
      </c>
      <c r="N739" s="192" t="inlineStr">
        <is>
          <t>https://github.com/cilium/cilium/commit/88e28e1e62c0b1a02c3f0fc22d888ac9eefbe885 | https://github.com/cilium/cilium/security/advisories/GHSA-5r23-prx4-mqg3</t>
        </is>
      </c>
      <c r="O739" s="191" t="inlineStr">
        <is>
          <t>Apply vendor patches</t>
        </is>
      </c>
      <c r="P739" s="191" t="inlineStr">
        <is>
          <t>cilium cilium *</t>
        </is>
      </c>
      <c r="Q739" s="191" t="inlineStr">
        <is>
          <t>P4</t>
        </is>
      </c>
      <c r="R739" s="191" t="inlineStr">
        <is>
          <t>📅 Schedule patch deployment within 30 days | 🔍 Monitor for exploitation attempts</t>
        </is>
      </c>
      <c r="S739" s="191" t="inlineStr">
        <is>
          <t>CVE - IP enrichment n/a</t>
        </is>
      </c>
      <c r="T739" s="191" t="n">
        <v>0.0001</v>
      </c>
      <c r="U739" s="191" t="n">
        <v>0.0061</v>
      </c>
      <c r="V739" s="191" t="inlineStr">
        <is>
          <t>T1190:Exploit Public-Facing Application</t>
        </is>
      </c>
      <c r="W739" s="191" t="n">
        <v>1</v>
      </c>
      <c r="X739" s="191" t="inlineStr">
        <is>
          <t>LOW (40%)</t>
        </is>
      </c>
      <c r="Y739" s="191" t="inlineStr">
        <is>
          <t>UNLIKELY</t>
        </is>
      </c>
      <c r="Z739" s="191" t="inlineStr">
        <is>
          <t>PATCH_AVAILABLE</t>
        </is>
      </c>
      <c r="AA739" s="192" t="inlineStr">
        <is>
          <t>https://nvd.nist.gov/vuln/detail/CVE-2026-26963</t>
        </is>
      </c>
      <c r="AB739" s="191" t="inlineStr">
        <is>
          <t>NONE</t>
        </is>
      </c>
      <c r="AC739" s="191" t="n">
        <v>0</v>
      </c>
      <c r="AD739" s="191" t="n"/>
    </row>
    <row r="740">
      <c r="A740" s="195" t="inlineStr">
        <is>
          <t>CVE</t>
        </is>
      </c>
      <c r="B740" s="195" t="inlineStr">
        <is>
          <t>CVE-2026-26964</t>
        </is>
      </c>
      <c r="C740" s="195" t="inlineStr">
        <is>
          <t>Windmill is an open-source developer platform for internal code: APIs, background jobs, workflows and UIs. Versions 1.634.6
 and below allow non-admin users to obtain Slack OAuth client secrets, which should only be accessible to workspace administrators. The GET /api/w/{workspace}/workspaces/get_settings endpoint returns the slack_oauth_client_secret to any authenticated workspace member, regardless of their admin status. It is expected behavior for non-admin users see a redacted version of wor</t>
        </is>
      </c>
      <c r="D740" s="195" t="n">
        <v>2.7</v>
      </c>
      <c r="E740" s="195" t="inlineStr">
        <is>
          <t>LOW</t>
        </is>
      </c>
      <c r="F740" s="195" t="n">
        <v>2</v>
      </c>
      <c r="G740" s="195" t="n">
        <v>1</v>
      </c>
      <c r="H740" s="195" t="inlineStr">
        <is>
          <t>LOW</t>
        </is>
      </c>
      <c r="I740" s="195" t="n">
        <v>4.7</v>
      </c>
      <c r="J740" s="195" t="inlineStr">
        <is>
          <t>NO</t>
        </is>
      </c>
      <c r="K740" s="196" t="inlineStr">
        <is>
          <t>https://nvd.nist.gov/vuln/detail/CVE-2026-26964</t>
        </is>
      </c>
      <c r="L740" s="195" t="inlineStr">
        <is>
          <t>2026-02-23 23:48</t>
        </is>
      </c>
      <c r="M740" s="195" t="inlineStr">
        <is>
          <t>CHECK_VENDOR</t>
        </is>
      </c>
      <c r="N740" s="195" t="inlineStr">
        <is>
          <t>See NVD references</t>
        </is>
      </c>
      <c r="O740" s="195" t="inlineStr">
        <is>
          <t>Apply vendor patches</t>
        </is>
      </c>
      <c r="P740" s="195" t="inlineStr">
        <is>
          <t>See CVE details</t>
        </is>
      </c>
      <c r="Q740" s="195" t="inlineStr">
        <is>
          <t>P1</t>
        </is>
      </c>
      <c r="R740" s="195" t="inlineStr">
        <is>
          <t>📅 Schedule patch deployment within 30 days | 🔍 Monitor for exploitation attempts</t>
        </is>
      </c>
      <c r="S740" s="195" t="inlineStr">
        <is>
          <t>CVE - IP enrichment n/a</t>
        </is>
      </c>
      <c r="T740" s="195" t="n">
        <v>0</v>
      </c>
      <c r="U740" s="195" t="n">
        <v>0</v>
      </c>
      <c r="V740" s="195" t="inlineStr">
        <is>
          <t>T1213:Data from Information Repositories | T1190:Exploit Public-Facing Application</t>
        </is>
      </c>
      <c r="W740" s="195" t="n">
        <v>2</v>
      </c>
      <c r="X740" s="195" t="inlineStr">
        <is>
          <t>HIGH (72%)</t>
        </is>
      </c>
      <c r="Y740" s="195" t="inlineStr">
        <is>
          <t>HIGH</t>
        </is>
      </c>
      <c r="Z740" s="195" t="inlineStr">
        <is>
          <t>CHECK_VENDOR</t>
        </is>
      </c>
      <c r="AA740" s="196" t="inlineStr">
        <is>
          <t>https://nvd.nist.gov/vuln/detail/CVE-2026-26964</t>
        </is>
      </c>
      <c r="AB740" s="196" t="inlineStr">
        <is>
          <t>http://www.zerodayinitiative.com/advisories/ZDI-26-123/</t>
        </is>
      </c>
      <c r="AC740" s="195" t="n">
        <v>0</v>
      </c>
      <c r="AD740" s="195" t="n"/>
    </row>
    <row r="741">
      <c r="A741" s="191" t="inlineStr">
        <is>
          <t>CVE</t>
        </is>
      </c>
      <c r="B741" s="191" t="inlineStr">
        <is>
          <t>CVE-2026-26972</t>
        </is>
      </c>
      <c r="C741" s="191" t="inlineStr">
        <is>
          <t>OpenClaw is a personal AI assistant. In versions 2026.1.12 through 2026.2.12, OpenClaw browser download helpers accepted an unsanitized output path. When invoked via the browser control gateway routes, this allowed path traversal to write downloads outside the intended OpenClaw temp downloads directory. This issue is not exposed via the AI agent tool schema (no `download` action). Exploitation requires authenticated CLI access or an authenticated gateway RPC token. Version 2026.2.13 fixes the is</t>
        </is>
      </c>
      <c r="D741" s="191" t="n">
        <v>6.7</v>
      </c>
      <c r="E741" s="191" t="inlineStr">
        <is>
          <t>MEDIUM</t>
        </is>
      </c>
      <c r="F741" s="191" t="n">
        <v>2</v>
      </c>
      <c r="G741" s="191" t="n">
        <v>2</v>
      </c>
      <c r="H741" s="191" t="inlineStr">
        <is>
          <t>MEDIUM</t>
        </is>
      </c>
      <c r="I741" s="191" t="n">
        <v>10.7</v>
      </c>
      <c r="J741" s="191" t="inlineStr">
        <is>
          <t>NO</t>
        </is>
      </c>
      <c r="K741" s="192" t="inlineStr">
        <is>
          <t>https://nvd.nist.gov/vuln/detail/CVE-2026-26972</t>
        </is>
      </c>
      <c r="L741" s="191" t="inlineStr">
        <is>
          <t>2026-02-23 23:48</t>
        </is>
      </c>
      <c r="M741" s="191" t="inlineStr">
        <is>
          <t>YES</t>
        </is>
      </c>
      <c r="N741" s="192" t="inlineStr">
        <is>
          <t>https://github.com/openclaw/openclaw/commit/7f0489e4731c8d965d78d6eac4a60312e46a9426 | https://github.com/openclaw/openclaw/security/advisories/GHSA-xwjm-j929-xq7c</t>
        </is>
      </c>
      <c r="O741" s="191" t="inlineStr">
        <is>
          <t>Apply vendor patches</t>
        </is>
      </c>
      <c r="P741" s="191" t="inlineStr">
        <is>
          <t>openclaw openclaw *</t>
        </is>
      </c>
      <c r="Q741" s="191" t="inlineStr">
        <is>
          <t>P4</t>
        </is>
      </c>
      <c r="R741" s="191" t="inlineStr">
        <is>
          <t>📅 Schedule patch deployment within 30 days | 🔍 Monitor for exploitation attempts</t>
        </is>
      </c>
      <c r="S741" s="191" t="inlineStr">
        <is>
          <t>CVE - IP enrichment n/a</t>
        </is>
      </c>
      <c r="T741" s="191" t="n">
        <v>0</v>
      </c>
      <c r="U741" s="191" t="n">
        <v>0</v>
      </c>
      <c r="V741" s="191" t="inlineStr">
        <is>
          <t>T1083:File and Directory Discovery</t>
        </is>
      </c>
      <c r="W741" s="191" t="n">
        <v>1</v>
      </c>
      <c r="X741" s="191" t="inlineStr">
        <is>
          <t>LOW (40%)</t>
        </is>
      </c>
      <c r="Y741" s="191" t="inlineStr">
        <is>
          <t>UNLIKELY</t>
        </is>
      </c>
      <c r="Z741" s="191" t="inlineStr">
        <is>
          <t>PATCH_AVAILABLE</t>
        </is>
      </c>
      <c r="AA741" s="192" t="inlineStr">
        <is>
          <t>https://nvd.nist.gov/vuln/detail/CVE-2026-26972</t>
        </is>
      </c>
      <c r="AB741" s="191" t="inlineStr">
        <is>
          <t>NONE</t>
        </is>
      </c>
      <c r="AC741" s="191" t="n">
        <v>0</v>
      </c>
      <c r="AD741" s="191" t="n"/>
    </row>
    <row r="742">
      <c r="A742" s="189" t="inlineStr">
        <is>
          <t>CVE</t>
        </is>
      </c>
      <c r="B742" s="189" t="inlineStr">
        <is>
          <t>CVE-2026-27001</t>
        </is>
      </c>
      <c r="C742" s="189" t="inlineStr">
        <is>
          <t>OpenClaw is a personal AI assistant. Prior to version 2026.2.15, OpenClaw embedded the current working directory (workspace path) into the agent system prompt without sanitization. If an attacker can cause OpenClaw to run inside a directory whose name contains control/format characters (for example newlines or Unicode bidi/zero-width markers), those characters could break the prompt structure and inject attacker-controlled instructions. Starting in version 2026.2.15, the workspace path is saniti</t>
        </is>
      </c>
      <c r="D742" s="189" t="n">
        <v>7.8</v>
      </c>
      <c r="E742" s="189" t="inlineStr">
        <is>
          <t>HIGH</t>
        </is>
      </c>
      <c r="F742" s="189" t="n">
        <v>2</v>
      </c>
      <c r="G742" s="189" t="n">
        <v>3</v>
      </c>
      <c r="H742" s="189" t="inlineStr">
        <is>
          <t>HIGH</t>
        </is>
      </c>
      <c r="I742" s="189" t="n">
        <v>13.8</v>
      </c>
      <c r="J742" s="189" t="inlineStr">
        <is>
          <t>NO</t>
        </is>
      </c>
      <c r="K742" s="190" t="inlineStr">
        <is>
          <t>https://nvd.nist.gov/vuln/detail/CVE-2026-27001</t>
        </is>
      </c>
      <c r="L742" s="189" t="inlineStr">
        <is>
          <t>2026-02-23 23:48</t>
        </is>
      </c>
      <c r="M742" s="189" t="inlineStr">
        <is>
          <t>YES</t>
        </is>
      </c>
      <c r="N742" s="190" t="inlineStr">
        <is>
          <t>https://github.com/openclaw/openclaw/commit/6254e96acf16e70ceccc8f9b2abecee44d606f79 | https://github.com/openclaw/openclaw/security/advisories/GHSA-2qj5-gwg2-xwc4</t>
        </is>
      </c>
      <c r="O742" s="189" t="inlineStr">
        <is>
          <t>Apply vendor patches</t>
        </is>
      </c>
      <c r="P742" s="189" t="inlineStr">
        <is>
          <t>openclaw openclaw *</t>
        </is>
      </c>
      <c r="Q742" s="189" t="inlineStr">
        <is>
          <t>P3</t>
        </is>
      </c>
      <c r="R742" s="189" t="inlineStr">
        <is>
          <t>🚨 URGENT: Apply vendor patches immediately | 🔒 Isolate affected systems if patch unavailable | 🛡️ Enable additional monitoring/IDS rules</t>
        </is>
      </c>
      <c r="S742" s="189" t="inlineStr">
        <is>
          <t>CVE - IP enrichment n/a</t>
        </is>
      </c>
      <c r="T742" s="189" t="n">
        <v>0</v>
      </c>
      <c r="U742" s="189" t="n">
        <v>0</v>
      </c>
      <c r="V742" s="189" t="inlineStr">
        <is>
          <t>T1059:Command and Scripting Interpreter</t>
        </is>
      </c>
      <c r="W742" s="189" t="n">
        <v>1</v>
      </c>
      <c r="X742" s="189" t="inlineStr">
        <is>
          <t>LOW (40%)</t>
        </is>
      </c>
      <c r="Y742" s="189" t="inlineStr">
        <is>
          <t>UNLIKELY</t>
        </is>
      </c>
      <c r="Z742" s="189" t="inlineStr">
        <is>
          <t>PATCH_AVAILABLE</t>
        </is>
      </c>
      <c r="AA742" s="190" t="inlineStr">
        <is>
          <t>https://nvd.nist.gov/vuln/detail/CVE-2026-27001</t>
        </is>
      </c>
      <c r="AB742" s="189" t="inlineStr">
        <is>
          <t>NONE</t>
        </is>
      </c>
      <c r="AC742" s="189" t="n">
        <v>0</v>
      </c>
      <c r="AD742" s="189" t="n"/>
    </row>
    <row r="743">
      <c r="A743" s="193" t="inlineStr">
        <is>
          <t>CVE</t>
        </is>
      </c>
      <c r="B743" s="193" t="inlineStr">
        <is>
          <t>CVE-2026-27002</t>
        </is>
      </c>
      <c r="C743" s="193" t="inlineStr">
        <is>
          <t>OpenClaw is a personal AI assistant. Prior to version 2026.2.15, a configuration injection issue in the Docker tool sandbox could allow dangerous Docker options (bind mounts, host networking, unconfined profiles) to be applied, enabling container escape or host data access. OpenClaw 2026.2.15 blocks dangerous sandbox Docker settings and includes runtime enforcement when building `docker create` args; config-schema validation for `network=host`, `seccompProfile=unconfined`, `apparmorProfile=uncon</t>
        </is>
      </c>
      <c r="D743" s="193" t="n">
        <v>9.800000000000001</v>
      </c>
      <c r="E743" s="193" t="inlineStr">
        <is>
          <t>CRITICAL</t>
        </is>
      </c>
      <c r="F743" s="193" t="n">
        <v>2</v>
      </c>
      <c r="G743" s="193" t="n">
        <v>3</v>
      </c>
      <c r="H743" s="193" t="inlineStr">
        <is>
          <t>HIGH</t>
        </is>
      </c>
      <c r="I743" s="193" t="n">
        <v>15.8</v>
      </c>
      <c r="J743" s="193" t="inlineStr">
        <is>
          <t>NO</t>
        </is>
      </c>
      <c r="K743" s="194" t="inlineStr">
        <is>
          <t>https://nvd.nist.gov/vuln/detail/CVE-2026-27002</t>
        </is>
      </c>
      <c r="L743" s="193" t="inlineStr">
        <is>
          <t>2026-02-23 23:48</t>
        </is>
      </c>
      <c r="M743" s="193" t="inlineStr">
        <is>
          <t>YES</t>
        </is>
      </c>
      <c r="N743" s="194" t="inlineStr">
        <is>
          <t>https://github.com/openclaw/openclaw/commit/887b209db47f1f9322fead241a1c0b043fd38339 | https://github.com/openclaw/openclaw/security/advisories/GHSA-w235-x559-36mg</t>
        </is>
      </c>
      <c r="O743" s="194" t="inlineStr">
        <is>
          <t>https://github.com/openclaw/openclaw/security/advisories/GHSA-w235-x559-36mg</t>
        </is>
      </c>
      <c r="P743" s="193" t="inlineStr">
        <is>
          <t>openclaw openclaw *</t>
        </is>
      </c>
      <c r="Q743" s="193" t="inlineStr">
        <is>
          <t>P3</t>
        </is>
      </c>
      <c r="R743" s="193" t="inlineStr">
        <is>
          <t>🚨 URGENT: Apply vendor patches immediately | 🔒 Isolate affected systems if patch unavailable | 🛡️ Enable additional monitoring/IDS rules</t>
        </is>
      </c>
      <c r="S743" s="193" t="inlineStr">
        <is>
          <t>CVE - IP enrichment n/a</t>
        </is>
      </c>
      <c r="T743" s="193" t="n">
        <v>0</v>
      </c>
      <c r="U743" s="193" t="n">
        <v>0</v>
      </c>
      <c r="V743" s="193" t="inlineStr">
        <is>
          <t>T1190:Exploit Public-Facing Application</t>
        </is>
      </c>
      <c r="W743" s="193" t="n">
        <v>1</v>
      </c>
      <c r="X743" s="193" t="inlineStr">
        <is>
          <t>LOW (40%)</t>
        </is>
      </c>
      <c r="Y743" s="193" t="inlineStr">
        <is>
          <t>UNLIKELY</t>
        </is>
      </c>
      <c r="Z743" s="193" t="inlineStr">
        <is>
          <t>PATCH_AVAILABLE</t>
        </is>
      </c>
      <c r="AA743" s="194" t="inlineStr">
        <is>
          <t>https://nvd.nist.gov/vuln/detail/CVE-2026-27002</t>
        </is>
      </c>
      <c r="AB743" s="193" t="inlineStr">
        <is>
          <t>NONE</t>
        </is>
      </c>
      <c r="AC743" s="193" t="n">
        <v>0</v>
      </c>
      <c r="AD743" s="193" t="n"/>
    </row>
    <row r="744">
      <c r="A744" s="191" t="inlineStr">
        <is>
          <t>CVE</t>
        </is>
      </c>
      <c r="B744" s="191" t="inlineStr">
        <is>
          <t>CVE-2026-27003</t>
        </is>
      </c>
      <c r="C744" s="191" t="inlineStr">
        <is>
          <t>OpenClaw is a personal AI assistant. Telegram bot tokens can appear in error messages and stack traces (for example, when request URLs include `https://api.telegram.org/bot /...`). Prior to version 2026.2.15, OpenClaw logged these strings without redaction, which could leak the bot token into logs, crash reports, CI output, or support bundles. Disclosure of a Telegram bot token allows an attacker to impersonate the bot and take over Bot API access. Users should upgrade to version 2026.2.15 to ob</t>
        </is>
      </c>
      <c r="D744" s="191" t="n">
        <v>5.5</v>
      </c>
      <c r="E744" s="191" t="inlineStr">
        <is>
          <t>MEDIUM</t>
        </is>
      </c>
      <c r="F744" s="191" t="n">
        <v>2</v>
      </c>
      <c r="G744" s="191" t="n">
        <v>2</v>
      </c>
      <c r="H744" s="191" t="inlineStr">
        <is>
          <t>MEDIUM</t>
        </is>
      </c>
      <c r="I744" s="191" t="n">
        <v>9.5</v>
      </c>
      <c r="J744" s="191" t="inlineStr">
        <is>
          <t>NO</t>
        </is>
      </c>
      <c r="K744" s="192" t="inlineStr">
        <is>
          <t>https://nvd.nist.gov/vuln/detail/CVE-2026-27003</t>
        </is>
      </c>
      <c r="L744" s="191" t="inlineStr">
        <is>
          <t>2026-02-23 23:48</t>
        </is>
      </c>
      <c r="M744" s="191" t="inlineStr">
        <is>
          <t>YES</t>
        </is>
      </c>
      <c r="N744" s="192" t="inlineStr">
        <is>
          <t>https://github.com/openclaw/openclaw/commit/cf69907015b659e5025efb735ee31bd05c4ee3d5 | https://github.com/openclaw/openclaw/security/advisories/GHSA-chf7-jq6g-qrwv</t>
        </is>
      </c>
      <c r="O744" s="191" t="inlineStr">
        <is>
          <t>Apply vendor patches</t>
        </is>
      </c>
      <c r="P744" s="191" t="inlineStr">
        <is>
          <t>openclaw openclaw *</t>
        </is>
      </c>
      <c r="Q744" s="191" t="inlineStr">
        <is>
          <t>P4</t>
        </is>
      </c>
      <c r="R744" s="191" t="inlineStr">
        <is>
          <t>📅 Schedule patch deployment within 30 days | 🔍 Monitor for exploitation attempts</t>
        </is>
      </c>
      <c r="S744" s="191" t="inlineStr">
        <is>
          <t>CVE - IP enrichment n/a</t>
        </is>
      </c>
      <c r="T744" s="191" t="n">
        <v>0.0001</v>
      </c>
      <c r="U744" s="191" t="n">
        <v>0.0192</v>
      </c>
      <c r="V744" s="191" t="inlineStr">
        <is>
          <t>T1190:Exploit Public-Facing Application</t>
        </is>
      </c>
      <c r="W744" s="191" t="n">
        <v>1</v>
      </c>
      <c r="X744" s="191" t="inlineStr">
        <is>
          <t>LOW (40%)</t>
        </is>
      </c>
      <c r="Y744" s="191" t="inlineStr">
        <is>
          <t>UNLIKELY</t>
        </is>
      </c>
      <c r="Z744" s="191" t="inlineStr">
        <is>
          <t>PATCH_AVAILABLE</t>
        </is>
      </c>
      <c r="AA744" s="192" t="inlineStr">
        <is>
          <t>https://nvd.nist.gov/vuln/detail/CVE-2026-27003</t>
        </is>
      </c>
      <c r="AB744" s="191" t="inlineStr">
        <is>
          <t>NONE</t>
        </is>
      </c>
      <c r="AC744" s="191" t="n">
        <v>0</v>
      </c>
      <c r="AD744" s="191" t="n"/>
    </row>
    <row r="745">
      <c r="A745" s="191" t="inlineStr">
        <is>
          <t>CVE</t>
        </is>
      </c>
      <c r="B745" s="191" t="inlineStr">
        <is>
          <t>CVE-2026-27004</t>
        </is>
      </c>
      <c r="C745" s="191" t="inlineStr">
        <is>
          <t>OpenClaw is a personal AI assistant. Prior to version 2026.2.15, in some shared-agent deployments, OpenClaw session tools (`sessions_list`, `sessions_history`, `sessions_send`) allowed broader session targeting than some operators intended. This is primarily a configuration/visibility-scoping issue in multi-user environments where peers are not equally trusted. In Telegram webhook mode, monitor startup also did not fall back to per-account `webhookSecret` when only the account-level secret was c</t>
        </is>
      </c>
      <c r="D745" s="191" t="n">
        <v>5.5</v>
      </c>
      <c r="E745" s="191" t="inlineStr">
        <is>
          <t>MEDIUM</t>
        </is>
      </c>
      <c r="F745" s="191" t="n">
        <v>2</v>
      </c>
      <c r="G745" s="191" t="n">
        <v>2</v>
      </c>
      <c r="H745" s="191" t="inlineStr">
        <is>
          <t>MEDIUM</t>
        </is>
      </c>
      <c r="I745" s="191" t="n">
        <v>9.5</v>
      </c>
      <c r="J745" s="191" t="inlineStr">
        <is>
          <t>NO</t>
        </is>
      </c>
      <c r="K745" s="192" t="inlineStr">
        <is>
          <t>https://nvd.nist.gov/vuln/detail/CVE-2026-27004</t>
        </is>
      </c>
      <c r="L745" s="191" t="inlineStr">
        <is>
          <t>2026-02-23 23:48</t>
        </is>
      </c>
      <c r="M745" s="191" t="inlineStr">
        <is>
          <t>YES</t>
        </is>
      </c>
      <c r="N745" s="192" t="inlineStr">
        <is>
          <t>https://github.com/openclaw/openclaw/commit/c6c53437f7da033b94a01d492e904974e7bda74c | https://github.com/openclaw/openclaw/security/advisories/GHSA-6hf3-mhgc-cm65</t>
        </is>
      </c>
      <c r="O745" s="192" t="inlineStr">
        <is>
          <t>https://github.com/openclaw/openclaw/security/advisories/GHSA-6hf3-mhgc-cm65</t>
        </is>
      </c>
      <c r="P745" s="191" t="inlineStr">
        <is>
          <t>openclaw openclaw *</t>
        </is>
      </c>
      <c r="Q745" s="191" t="inlineStr">
        <is>
          <t>P4</t>
        </is>
      </c>
      <c r="R745" s="191" t="inlineStr">
        <is>
          <t>📅 Schedule patch deployment within 30 days | 🔍 Monitor for exploitation attempts</t>
        </is>
      </c>
      <c r="S745" s="191" t="inlineStr">
        <is>
          <t>CVE - IP enrichment n/a</t>
        </is>
      </c>
      <c r="T745" s="191" t="n">
        <v>0</v>
      </c>
      <c r="U745" s="191" t="n">
        <v>0</v>
      </c>
      <c r="V745" s="191" t="inlineStr">
        <is>
          <t>T1190:Exploit Public-Facing Application</t>
        </is>
      </c>
      <c r="W745" s="191" t="n">
        <v>1</v>
      </c>
      <c r="X745" s="191" t="inlineStr">
        <is>
          <t>LOW (40%)</t>
        </is>
      </c>
      <c r="Y745" s="191" t="inlineStr">
        <is>
          <t>UNLIKELY</t>
        </is>
      </c>
      <c r="Z745" s="191" t="inlineStr">
        <is>
          <t>PATCH_AVAILABLE</t>
        </is>
      </c>
      <c r="AA745" s="192" t="inlineStr">
        <is>
          <t>https://nvd.nist.gov/vuln/detail/CVE-2026-27004</t>
        </is>
      </c>
      <c r="AB745" s="191" t="inlineStr">
        <is>
          <t>NONE</t>
        </is>
      </c>
      <c r="AC745" s="191" t="n">
        <v>0</v>
      </c>
      <c r="AD745" s="191" t="n"/>
    </row>
    <row r="746">
      <c r="A746" s="195" t="inlineStr">
        <is>
          <t>CVE</t>
        </is>
      </c>
      <c r="B746" s="195" t="inlineStr">
        <is>
          <t>CVE-2026-27007</t>
        </is>
      </c>
      <c r="C746" s="195" t="inlineStr">
        <is>
          <t>OpenClaw is a personal AI assistant. Prior to version 2026.2.15, `normalizeForHash` in `src/agents/sandbox/config-hash.ts` recursively sorted arrays that contained only primitive values. This made order-sensitive sandbox configuration arrays hash to the same value even when order changed. In OpenClaw sandbox flows, this hash is used to decide whether existing sandbox containers should be recreated. As a result, order-only config changes (for example Docker `dns` and `binds` array order) could be</t>
        </is>
      </c>
      <c r="D746" s="195" t="n">
        <v>3.3</v>
      </c>
      <c r="E746" s="195" t="inlineStr">
        <is>
          <t>LOW</t>
        </is>
      </c>
      <c r="F746" s="195" t="n">
        <v>2</v>
      </c>
      <c r="G746" s="195" t="n">
        <v>1</v>
      </c>
      <c r="H746" s="195" t="inlineStr">
        <is>
          <t>LOW</t>
        </is>
      </c>
      <c r="I746" s="195" t="n">
        <v>5.3</v>
      </c>
      <c r="J746" s="195" t="inlineStr">
        <is>
          <t>NO</t>
        </is>
      </c>
      <c r="K746" s="196" t="inlineStr">
        <is>
          <t>https://nvd.nist.gov/vuln/detail/CVE-2026-27007</t>
        </is>
      </c>
      <c r="L746" s="195" t="inlineStr">
        <is>
          <t>2026-02-23 23:48</t>
        </is>
      </c>
      <c r="M746" s="195" t="inlineStr">
        <is>
          <t>YES</t>
        </is>
      </c>
      <c r="N746" s="196" t="inlineStr">
        <is>
          <t>https://github.com/openclaw/openclaw/commit/41ded303b4f6dae5afa854531ff837c3276ad60b | https://github.com/openclaw/openclaw/security/advisories/GHSA-xxvh-5hwj-42pp</t>
        </is>
      </c>
      <c r="O746" s="195" t="inlineStr">
        <is>
          <t>Apply vendor patches</t>
        </is>
      </c>
      <c r="P746" s="195" t="inlineStr">
        <is>
          <t>openclaw openclaw *</t>
        </is>
      </c>
      <c r="Q746" s="195" t="inlineStr">
        <is>
          <t>P4</t>
        </is>
      </c>
      <c r="R746" s="195" t="inlineStr">
        <is>
          <t>📅 Schedule patch deployment within 30 days | 🔍 Monitor for exploitation attempts</t>
        </is>
      </c>
      <c r="S746" s="195" t="inlineStr">
        <is>
          <t>CVE - IP enrichment n/a</t>
        </is>
      </c>
      <c r="T746" s="195" t="n">
        <v>0</v>
      </c>
      <c r="U746" s="195" t="n">
        <v>0</v>
      </c>
      <c r="V746" s="195" t="inlineStr">
        <is>
          <t>T1190:Exploit Public-Facing Application</t>
        </is>
      </c>
      <c r="W746" s="195" t="n">
        <v>1</v>
      </c>
      <c r="X746" s="195" t="inlineStr">
        <is>
          <t>LOW (40%)</t>
        </is>
      </c>
      <c r="Y746" s="195" t="inlineStr">
        <is>
          <t>UNLIKELY</t>
        </is>
      </c>
      <c r="Z746" s="195" t="inlineStr">
        <is>
          <t>PATCH_AVAILABLE</t>
        </is>
      </c>
      <c r="AA746" s="196" t="inlineStr">
        <is>
          <t>https://nvd.nist.gov/vuln/detail/CVE-2026-27007</t>
        </is>
      </c>
      <c r="AB746" s="195" t="inlineStr">
        <is>
          <t>NONE</t>
        </is>
      </c>
      <c r="AC746" s="195" t="n">
        <v>0</v>
      </c>
      <c r="AD746" s="195" t="n"/>
    </row>
    <row r="747">
      <c r="A747" s="191" t="inlineStr">
        <is>
          <t>CVE</t>
        </is>
      </c>
      <c r="B747" s="191" t="inlineStr">
        <is>
          <t>CVE-2026-27008</t>
        </is>
      </c>
      <c r="C747" s="191" t="inlineStr">
        <is>
          <t>OpenClaw is a personal AI assistant. Prior to version 2026.2.15, a bug in `download` skill installation allowed `targetDir` values from skill frontmatter to resolve outside the per-skill tools directory if not strictly validated. In the admin-only `skills.install` flow, this could write files outside the intended install sandbox. Version 2026.2.15 contains a fix for the issue.</t>
        </is>
      </c>
      <c r="D747" s="191" t="n">
        <v>6.7</v>
      </c>
      <c r="E747" s="191" t="inlineStr">
        <is>
          <t>MEDIUM</t>
        </is>
      </c>
      <c r="F747" s="191" t="n">
        <v>2</v>
      </c>
      <c r="G747" s="191" t="n">
        <v>2</v>
      </c>
      <c r="H747" s="191" t="inlineStr">
        <is>
          <t>MEDIUM</t>
        </is>
      </c>
      <c r="I747" s="191" t="n">
        <v>10.7</v>
      </c>
      <c r="J747" s="191" t="inlineStr">
        <is>
          <t>NO</t>
        </is>
      </c>
      <c r="K747" s="192" t="inlineStr">
        <is>
          <t>https://nvd.nist.gov/vuln/detail/CVE-2026-27008</t>
        </is>
      </c>
      <c r="L747" s="191" t="inlineStr">
        <is>
          <t>2026-02-23 23:48</t>
        </is>
      </c>
      <c r="M747" s="191" t="inlineStr">
        <is>
          <t>YES</t>
        </is>
      </c>
      <c r="N747" s="192" t="inlineStr">
        <is>
          <t>https://github.com/openclaw/openclaw/commit/2363e1b0853a028e47f90dcc1066e3e9809d65f1 | https://github.com/openclaw/openclaw/commit/b6305e97256d67e439719faacf5af3de9727d6e1 | https://github.com/openclaw/openclaw/security/advisories/GHSA-h7f7-89mm-pqh6</t>
        </is>
      </c>
      <c r="O747" s="191" t="inlineStr">
        <is>
          <t>Apply vendor patches</t>
        </is>
      </c>
      <c r="P747" s="191" t="inlineStr">
        <is>
          <t>openclaw openclaw *</t>
        </is>
      </c>
      <c r="Q747" s="191" t="inlineStr">
        <is>
          <t>P4</t>
        </is>
      </c>
      <c r="R747" s="191" t="inlineStr">
        <is>
          <t>📅 Schedule patch deployment within 30 days | 🔍 Monitor for exploitation attempts</t>
        </is>
      </c>
      <c r="S747" s="191" t="inlineStr">
        <is>
          <t>CVE - IP enrichment n/a</t>
        </is>
      </c>
      <c r="T747" s="191" t="n">
        <v>0.0001</v>
      </c>
      <c r="U747" s="191" t="n">
        <v>0.0226</v>
      </c>
      <c r="V747" s="191" t="inlineStr">
        <is>
          <t>T1190:Exploit Public-Facing Application</t>
        </is>
      </c>
      <c r="W747" s="191" t="n">
        <v>1</v>
      </c>
      <c r="X747" s="191" t="inlineStr">
        <is>
          <t>LOW (40%)</t>
        </is>
      </c>
      <c r="Y747" s="191" t="inlineStr">
        <is>
          <t>UNLIKELY</t>
        </is>
      </c>
      <c r="Z747" s="191" t="inlineStr">
        <is>
          <t>PATCH_AVAILABLE</t>
        </is>
      </c>
      <c r="AA747" s="192" t="inlineStr">
        <is>
          <t>https://nvd.nist.gov/vuln/detail/CVE-2026-27008</t>
        </is>
      </c>
      <c r="AB747" s="191" t="inlineStr">
        <is>
          <t>NONE</t>
        </is>
      </c>
      <c r="AC747" s="191" t="n">
        <v>0</v>
      </c>
      <c r="AD747" s="191" t="n"/>
    </row>
    <row r="748">
      <c r="A748" s="191" t="inlineStr">
        <is>
          <t>CVE</t>
        </is>
      </c>
      <c r="B748" s="191" t="inlineStr">
        <is>
          <t>CVE-2026-27009</t>
        </is>
      </c>
      <c r="C748" s="191" t="inlineStr">
        <is>
          <t xml:space="preserve">OpenClaw is a personal AI assistant. Prior to version 2026.2.15, a atored XSS issue in the OpenClaw Control UI when rendering assistant identity (name/avatar) into an inline ` ` tag without script-context-safe escaping. A crafted value containing ` ` could break out of the script tag and execute attacker-controlled JavaScript in the Control UI origin. Version 2026.2.15 removed inline script injection and serve bootstrap config from a JSON endpoint and added a restrictive Content Security Policy </t>
        </is>
      </c>
      <c r="D748" s="191" t="n">
        <v>5.8</v>
      </c>
      <c r="E748" s="191" t="inlineStr">
        <is>
          <t>MEDIUM</t>
        </is>
      </c>
      <c r="F748" s="191" t="n">
        <v>2</v>
      </c>
      <c r="G748" s="191" t="n">
        <v>2</v>
      </c>
      <c r="H748" s="191" t="inlineStr">
        <is>
          <t>MEDIUM</t>
        </is>
      </c>
      <c r="I748" s="191" t="n">
        <v>9.800000000000001</v>
      </c>
      <c r="J748" s="191" t="inlineStr">
        <is>
          <t>NO</t>
        </is>
      </c>
      <c r="K748" s="192" t="inlineStr">
        <is>
          <t>https://nvd.nist.gov/vuln/detail/CVE-2026-27009</t>
        </is>
      </c>
      <c r="L748" s="191" t="inlineStr">
        <is>
          <t>2026-02-23 23:48</t>
        </is>
      </c>
      <c r="M748" s="191" t="inlineStr">
        <is>
          <t>YES</t>
        </is>
      </c>
      <c r="N748" s="192" t="inlineStr">
        <is>
          <t>https://github.com/openclaw/openclaw/commit/3b4096e02e7e335f99f5986ec1bd566e90b14a7e | https://github.com/openclaw/openclaw/commit/adc818db4a4b3b8d663e7674ef20436947514e1b | https://github.com/openclaw/openclaw/security/advisories/GHSA-37gc-85xm-2ww6</t>
        </is>
      </c>
      <c r="O748" s="191" t="inlineStr">
        <is>
          <t>Apply vendor patches</t>
        </is>
      </c>
      <c r="P748" s="191" t="inlineStr">
        <is>
          <t>openclaw openclaw *</t>
        </is>
      </c>
      <c r="Q748" s="191" t="inlineStr">
        <is>
          <t>P4</t>
        </is>
      </c>
      <c r="R748" s="191" t="inlineStr">
        <is>
          <t>📅 Schedule patch deployment within 30 days | 🔍 Monitor for exploitation attempts</t>
        </is>
      </c>
      <c r="S748" s="191" t="inlineStr">
        <is>
          <t>CVE - IP enrichment n/a</t>
        </is>
      </c>
      <c r="T748" s="191" t="n">
        <v>0</v>
      </c>
      <c r="U748" s="191" t="n">
        <v>0</v>
      </c>
      <c r="V748" s="191" t="inlineStr">
        <is>
          <t>T1189:Drive-by Compromise</t>
        </is>
      </c>
      <c r="W748" s="191" t="n">
        <v>1</v>
      </c>
      <c r="X748" s="191" t="inlineStr">
        <is>
          <t>LOW (40%)</t>
        </is>
      </c>
      <c r="Y748" s="191" t="inlineStr">
        <is>
          <t>UNLIKELY</t>
        </is>
      </c>
      <c r="Z748" s="191" t="inlineStr">
        <is>
          <t>PATCH_AVAILABLE</t>
        </is>
      </c>
      <c r="AA748" s="192" t="inlineStr">
        <is>
          <t>https://nvd.nist.gov/vuln/detail/CVE-2026-27009</t>
        </is>
      </c>
      <c r="AB748" s="191" t="inlineStr">
        <is>
          <t>NONE</t>
        </is>
      </c>
      <c r="AC748" s="191" t="n">
        <v>0</v>
      </c>
      <c r="AD748" s="191" t="n"/>
    </row>
    <row r="749">
      <c r="A749" s="191" t="inlineStr">
        <is>
          <t>CVE</t>
        </is>
      </c>
      <c r="B749" s="191" t="inlineStr">
        <is>
          <t>CVE-2026-2350</t>
        </is>
      </c>
      <c r="C749" s="191" t="inlineStr">
        <is>
          <t>Tanium addressed an insertion of sensitive information into log file vulnerability in Interact and TDS.</t>
        </is>
      </c>
      <c r="D749" s="191" t="n">
        <v>6.5</v>
      </c>
      <c r="E749" s="191" t="inlineStr">
        <is>
          <t>MEDIUM</t>
        </is>
      </c>
      <c r="F749" s="191" t="n">
        <v>2</v>
      </c>
      <c r="G749" s="191" t="n">
        <v>2</v>
      </c>
      <c r="H749" s="191" t="inlineStr">
        <is>
          <t>MEDIUM</t>
        </is>
      </c>
      <c r="I749" s="191" t="n">
        <v>10.5</v>
      </c>
      <c r="J749" s="191" t="inlineStr">
        <is>
          <t>NO</t>
        </is>
      </c>
      <c r="K749" s="192" t="inlineStr">
        <is>
          <t>https://nvd.nist.gov/vuln/detail/CVE-2026-2350</t>
        </is>
      </c>
      <c r="L749" s="191" t="inlineStr">
        <is>
          <t>2026-02-23 23:48</t>
        </is>
      </c>
      <c r="M749" s="191" t="inlineStr">
        <is>
          <t>CHECK_VENDOR</t>
        </is>
      </c>
      <c r="N749" s="191" t="inlineStr">
        <is>
          <t>See NVD references</t>
        </is>
      </c>
      <c r="O749" s="191" t="inlineStr">
        <is>
          <t>Apply vendor patches</t>
        </is>
      </c>
      <c r="P749" s="191" t="inlineStr">
        <is>
          <t>See CVE details</t>
        </is>
      </c>
      <c r="Q749" s="191" t="inlineStr">
        <is>
          <t>P4</t>
        </is>
      </c>
      <c r="R749" s="191" t="inlineStr">
        <is>
          <t>📅 Schedule patch deployment within 30 days | 🔍 Monitor for exploitation attempts</t>
        </is>
      </c>
      <c r="S749" s="191" t="inlineStr">
        <is>
          <t>CVE - IP enrichment n/a</t>
        </is>
      </c>
      <c r="T749" s="191" t="n">
        <v>0.0003</v>
      </c>
      <c r="U749" s="191" t="n">
        <v>0.08749999999999999</v>
      </c>
      <c r="V749" s="191" t="inlineStr">
        <is>
          <t>T1190:Exploit Public-Facing Application</t>
        </is>
      </c>
      <c r="W749" s="191" t="n">
        <v>1</v>
      </c>
      <c r="X749" s="191" t="inlineStr">
        <is>
          <t>LOW (40%)</t>
        </is>
      </c>
      <c r="Y749" s="191" t="inlineStr">
        <is>
          <t>UNLIKELY</t>
        </is>
      </c>
      <c r="Z749" s="191" t="inlineStr">
        <is>
          <t>CHECK_VENDOR</t>
        </is>
      </c>
      <c r="AA749" s="192" t="inlineStr">
        <is>
          <t>https://nvd.nist.gov/vuln/detail/CVE-2026-2350</t>
        </is>
      </c>
      <c r="AB749" s="191" t="inlineStr">
        <is>
          <t>NONE</t>
        </is>
      </c>
      <c r="AC749" s="191" t="n">
        <v>0</v>
      </c>
      <c r="AD749" s="191" t="n"/>
    </row>
    <row r="750">
      <c r="A750" s="191" t="inlineStr">
        <is>
          <t>CVE</t>
        </is>
      </c>
      <c r="B750" s="191" t="inlineStr">
        <is>
          <t>CVE-2026-2408</t>
        </is>
      </c>
      <c r="C750" s="191" t="inlineStr">
        <is>
          <t>Tanium addressed a use-after-free vulnerability in the Cloud Workloads Enforce client extension.</t>
        </is>
      </c>
      <c r="D750" s="191" t="n">
        <v>4.7</v>
      </c>
      <c r="E750" s="191" t="inlineStr">
        <is>
          <t>MEDIUM</t>
        </is>
      </c>
      <c r="F750" s="191" t="n">
        <v>2</v>
      </c>
      <c r="G750" s="191" t="n">
        <v>2</v>
      </c>
      <c r="H750" s="191" t="inlineStr">
        <is>
          <t>MEDIUM</t>
        </is>
      </c>
      <c r="I750" s="191" t="n">
        <v>8.699999999999999</v>
      </c>
      <c r="J750" s="191" t="inlineStr">
        <is>
          <t>NO</t>
        </is>
      </c>
      <c r="K750" s="192" t="inlineStr">
        <is>
          <t>https://nvd.nist.gov/vuln/detail/CVE-2026-2408</t>
        </is>
      </c>
      <c r="L750" s="191" t="inlineStr">
        <is>
          <t>2026-02-23 23:48</t>
        </is>
      </c>
      <c r="M750" s="191" t="inlineStr">
        <is>
          <t>CHECK_VENDOR</t>
        </is>
      </c>
      <c r="N750" s="191" t="inlineStr">
        <is>
          <t>See NVD references</t>
        </is>
      </c>
      <c r="O750" s="191" t="inlineStr">
        <is>
          <t>Apply vendor patches</t>
        </is>
      </c>
      <c r="P750" s="191" t="inlineStr">
        <is>
          <t>See CVE details</t>
        </is>
      </c>
      <c r="Q750" s="191" t="inlineStr">
        <is>
          <t>P4</t>
        </is>
      </c>
      <c r="R750" s="191" t="inlineStr">
        <is>
          <t>📅 Schedule patch deployment within 30 days | 🔍 Monitor for exploitation attempts</t>
        </is>
      </c>
      <c r="S750" s="191" t="inlineStr">
        <is>
          <t>CVE - IP enrichment n/a</t>
        </is>
      </c>
      <c r="T750" s="191" t="n">
        <v>0</v>
      </c>
      <c r="U750" s="191" t="n">
        <v>0</v>
      </c>
      <c r="V750" s="191" t="inlineStr">
        <is>
          <t>T1203:Exploitation for Client Execution | T1190:Exploit Public-Facing Application</t>
        </is>
      </c>
      <c r="W750" s="191" t="n">
        <v>1</v>
      </c>
      <c r="X750" s="191" t="inlineStr">
        <is>
          <t>LOW (40%)</t>
        </is>
      </c>
      <c r="Y750" s="191" t="inlineStr">
        <is>
          <t>UNLIKELY</t>
        </is>
      </c>
      <c r="Z750" s="191" t="inlineStr">
        <is>
          <t>CHECK_VENDOR</t>
        </is>
      </c>
      <c r="AA750" s="192" t="inlineStr">
        <is>
          <t>https://nvd.nist.gov/vuln/detail/CVE-2026-2408</t>
        </is>
      </c>
      <c r="AB750" s="191" t="inlineStr">
        <is>
          <t>NONE</t>
        </is>
      </c>
      <c r="AC750" s="191" t="n">
        <v>0</v>
      </c>
      <c r="AD750" s="191" t="n"/>
    </row>
    <row r="751">
      <c r="A751" s="191" t="inlineStr">
        <is>
          <t>CVE</t>
        </is>
      </c>
      <c r="B751" s="191" t="inlineStr">
        <is>
          <t>CVE-2026-2435</t>
        </is>
      </c>
      <c r="C751" s="191" t="inlineStr">
        <is>
          <t>Tanium addressed a SQL injection vulnerability in Asset.</t>
        </is>
      </c>
      <c r="D751" s="191" t="n">
        <v>6.3</v>
      </c>
      <c r="E751" s="191" t="inlineStr">
        <is>
          <t>MEDIUM</t>
        </is>
      </c>
      <c r="F751" s="191" t="n">
        <v>2</v>
      </c>
      <c r="G751" s="191" t="n">
        <v>2</v>
      </c>
      <c r="H751" s="191" t="inlineStr">
        <is>
          <t>MEDIUM</t>
        </is>
      </c>
      <c r="I751" s="191" t="n">
        <v>10.3</v>
      </c>
      <c r="J751" s="191" t="inlineStr">
        <is>
          <t>NO</t>
        </is>
      </c>
      <c r="K751" s="192" t="inlineStr">
        <is>
          <t>https://nvd.nist.gov/vuln/detail/CVE-2026-2435</t>
        </is>
      </c>
      <c r="L751" s="191" t="inlineStr">
        <is>
          <t>2026-02-23 23:48</t>
        </is>
      </c>
      <c r="M751" s="191" t="inlineStr">
        <is>
          <t>CHECK_VENDOR</t>
        </is>
      </c>
      <c r="N751" s="191" t="inlineStr">
        <is>
          <t>See NVD references</t>
        </is>
      </c>
      <c r="O751" s="191" t="inlineStr">
        <is>
          <t>Apply vendor patches</t>
        </is>
      </c>
      <c r="P751" s="191" t="inlineStr">
        <is>
          <t>See CVE details</t>
        </is>
      </c>
      <c r="Q751" s="191" t="inlineStr">
        <is>
          <t>P4</t>
        </is>
      </c>
      <c r="R751" s="191" t="inlineStr">
        <is>
          <t>📅 Schedule patch deployment within 30 days | 🔍 Monitor for exploitation attempts</t>
        </is>
      </c>
      <c r="S751" s="191" t="inlineStr">
        <is>
          <t>CVE - IP enrichment n/a</t>
        </is>
      </c>
      <c r="T751" s="191" t="n">
        <v>0</v>
      </c>
      <c r="U751" s="191" t="n">
        <v>0</v>
      </c>
      <c r="V751" s="191" t="inlineStr">
        <is>
          <t>T1190:Exploit Public-Facing Application</t>
        </is>
      </c>
      <c r="W751" s="191" t="n">
        <v>1</v>
      </c>
      <c r="X751" s="191" t="inlineStr">
        <is>
          <t>LOW (40%)</t>
        </is>
      </c>
      <c r="Y751" s="191" t="inlineStr">
        <is>
          <t>UNLIKELY</t>
        </is>
      </c>
      <c r="Z751" s="191" t="inlineStr">
        <is>
          <t>CHECK_VENDOR</t>
        </is>
      </c>
      <c r="AA751" s="192" t="inlineStr">
        <is>
          <t>https://nvd.nist.gov/vuln/detail/CVE-2026-2435</t>
        </is>
      </c>
      <c r="AB751" s="191" t="inlineStr">
        <is>
          <t>NONE</t>
        </is>
      </c>
      <c r="AC751" s="191" t="n">
        <v>0</v>
      </c>
      <c r="AD751" s="191" t="n"/>
    </row>
    <row r="752">
      <c r="A752" s="191" t="inlineStr">
        <is>
          <t>CVE</t>
        </is>
      </c>
      <c r="B752" s="191" t="inlineStr">
        <is>
          <t>CVE-2026-2605</t>
        </is>
      </c>
      <c r="C752" s="191" t="inlineStr">
        <is>
          <t>Tanium addressed an insertion of sensitive information into log file vulnerability in TanOS.</t>
        </is>
      </c>
      <c r="D752" s="191" t="n">
        <v>5.3</v>
      </c>
      <c r="E752" s="191" t="inlineStr">
        <is>
          <t>MEDIUM</t>
        </is>
      </c>
      <c r="F752" s="191" t="n">
        <v>2</v>
      </c>
      <c r="G752" s="191" t="n">
        <v>2</v>
      </c>
      <c r="H752" s="191" t="inlineStr">
        <is>
          <t>MEDIUM</t>
        </is>
      </c>
      <c r="I752" s="191" t="n">
        <v>9.300000000000001</v>
      </c>
      <c r="J752" s="191" t="inlineStr">
        <is>
          <t>NO</t>
        </is>
      </c>
      <c r="K752" s="192" t="inlineStr">
        <is>
          <t>https://nvd.nist.gov/vuln/detail/CVE-2026-2605</t>
        </is>
      </c>
      <c r="L752" s="191" t="inlineStr">
        <is>
          <t>2026-02-23 23:48</t>
        </is>
      </c>
      <c r="M752" s="191" t="inlineStr">
        <is>
          <t>YES</t>
        </is>
      </c>
      <c r="N752" s="192" t="inlineStr">
        <is>
          <t>https://security.tanium.com/TAN-2026-006</t>
        </is>
      </c>
      <c r="O752" s="191" t="inlineStr">
        <is>
          <t>Apply vendor patches</t>
        </is>
      </c>
      <c r="P752" s="191" t="inlineStr">
        <is>
          <t>tanium tanos *</t>
        </is>
      </c>
      <c r="Q752" s="191" t="inlineStr">
        <is>
          <t>P4</t>
        </is>
      </c>
      <c r="R752" s="191" t="inlineStr">
        <is>
          <t>📅 Schedule patch deployment within 30 days | 🔍 Monitor for exploitation attempts</t>
        </is>
      </c>
      <c r="S752" s="191" t="inlineStr">
        <is>
          <t>CVE - IP enrichment n/a</t>
        </is>
      </c>
      <c r="T752" s="191" t="n">
        <v>0</v>
      </c>
      <c r="U752" s="191" t="n">
        <v>0</v>
      </c>
      <c r="V752" s="191" t="inlineStr">
        <is>
          <t>T1190:Exploit Public-Facing Application</t>
        </is>
      </c>
      <c r="W752" s="191" t="n">
        <v>1</v>
      </c>
      <c r="X752" s="191" t="inlineStr">
        <is>
          <t>LOW (40%)</t>
        </is>
      </c>
      <c r="Y752" s="191" t="inlineStr">
        <is>
          <t>UNLIKELY</t>
        </is>
      </c>
      <c r="Z752" s="191" t="inlineStr">
        <is>
          <t>PATCH_AVAILABLE</t>
        </is>
      </c>
      <c r="AA752" s="192" t="inlineStr">
        <is>
          <t>https://nvd.nist.gov/vuln/detail/CVE-2026-2605</t>
        </is>
      </c>
      <c r="AB752" s="191" t="inlineStr">
        <is>
          <t>NONE</t>
        </is>
      </c>
      <c r="AC752" s="191" t="n">
        <v>0</v>
      </c>
      <c r="AD752" s="191" t="n"/>
    </row>
    <row r="753">
      <c r="A753" s="193" t="inlineStr">
        <is>
          <t>CVE</t>
        </is>
      </c>
      <c r="B753" s="193" t="inlineStr">
        <is>
          <t>CVE-2025-30410</t>
        </is>
      </c>
      <c r="C753" s="193" t="inlineStr">
        <is>
          <t>Sensitive data disclosure and manipulation due to missing authentication. The following products are affected: Acronis Cyber Protect Cloud Agent (Linux, macOS, Windows) before build 39870, Acronis Cyber Protect 16 (Linux, macOS, Windows) before build 39938, Acronis Cyber Protect 15 (Linux, macOS, Windows) before build 41800.</t>
        </is>
      </c>
      <c r="D753" s="193" t="n">
        <v>9.800000000000001</v>
      </c>
      <c r="E753" s="193" t="inlineStr">
        <is>
          <t>CRITICAL</t>
        </is>
      </c>
      <c r="F753" s="193" t="n">
        <v>2</v>
      </c>
      <c r="G753" s="193" t="n">
        <v>3</v>
      </c>
      <c r="H753" s="193" t="inlineStr">
        <is>
          <t>HIGH</t>
        </is>
      </c>
      <c r="I753" s="193" t="n">
        <v>15.8</v>
      </c>
      <c r="J753" s="193" t="inlineStr">
        <is>
          <t>NO</t>
        </is>
      </c>
      <c r="K753" s="194" t="inlineStr">
        <is>
          <t>https://nvd.nist.gov/vuln/detail/CVE-2025-30410</t>
        </is>
      </c>
      <c r="L753" s="193" t="inlineStr">
        <is>
          <t>2026-02-23 23:48</t>
        </is>
      </c>
      <c r="M753" s="193" t="inlineStr">
        <is>
          <t>CHECK_VENDOR</t>
        </is>
      </c>
      <c r="N753" s="193" t="inlineStr">
        <is>
          <t>See NVD references</t>
        </is>
      </c>
      <c r="O753" s="193" t="inlineStr">
        <is>
          <t>Apply vendor patches</t>
        </is>
      </c>
      <c r="P753" s="193" t="inlineStr">
        <is>
          <t>See CVE details</t>
        </is>
      </c>
      <c r="Q753" s="193" t="inlineStr">
        <is>
          <t>P3</t>
        </is>
      </c>
      <c r="R753" s="193" t="inlineStr">
        <is>
          <t>🚨 URGENT: Apply vendor patches immediately | 🔒 Isolate affected systems if patch unavailable | 🛡️ Enable additional monitoring/IDS rules</t>
        </is>
      </c>
      <c r="S753" s="193" t="inlineStr">
        <is>
          <t>CVE - IP enrichment n/a</t>
        </is>
      </c>
      <c r="T753" s="193" t="n">
        <v>0</v>
      </c>
      <c r="U753" s="193" t="n">
        <v>0</v>
      </c>
      <c r="V753" s="193" t="inlineStr">
        <is>
          <t>T1078:Valid Accounts</t>
        </is>
      </c>
      <c r="W753" s="193" t="n">
        <v>1</v>
      </c>
      <c r="X753" s="193" t="inlineStr">
        <is>
          <t>LOW (40%)</t>
        </is>
      </c>
      <c r="Y753" s="193" t="inlineStr">
        <is>
          <t>UNLIKELY</t>
        </is>
      </c>
      <c r="Z753" s="193" t="inlineStr">
        <is>
          <t>CHECK_VENDOR</t>
        </is>
      </c>
      <c r="AA753" s="194" t="inlineStr">
        <is>
          <t>https://nvd.nist.gov/vuln/detail/CVE-2025-30410</t>
        </is>
      </c>
      <c r="AB753" s="193" t="inlineStr">
        <is>
          <t>NONE</t>
        </is>
      </c>
      <c r="AC753" s="193" t="n">
        <v>0</v>
      </c>
      <c r="AD753" s="193" t="n"/>
    </row>
    <row r="754">
      <c r="A754" s="193" t="inlineStr">
        <is>
          <t>CVE</t>
        </is>
      </c>
      <c r="B754" s="193" t="inlineStr">
        <is>
          <t>CVE-2025-30411</t>
        </is>
      </c>
      <c r="C754" s="193" t="inlineStr">
        <is>
          <t>Sensitive data disclosure and manipulation due to improper authentication. The following products are affected: Acronis Cyber Protect 16 (Linux, Windows) before build 39938, Acronis Cyber Protect 15 (Linux, Windows) before build 41800.</t>
        </is>
      </c>
      <c r="D754" s="193" t="n">
        <v>10</v>
      </c>
      <c r="E754" s="193" t="inlineStr">
        <is>
          <t>CRITICAL</t>
        </is>
      </c>
      <c r="F754" s="193" t="n">
        <v>2</v>
      </c>
      <c r="G754" s="193" t="n">
        <v>3</v>
      </c>
      <c r="H754" s="193" t="inlineStr">
        <is>
          <t>HIGH</t>
        </is>
      </c>
      <c r="I754" s="193" t="n">
        <v>16</v>
      </c>
      <c r="J754" s="193" t="inlineStr">
        <is>
          <t>NO</t>
        </is>
      </c>
      <c r="K754" s="194" t="inlineStr">
        <is>
          <t>https://nvd.nist.gov/vuln/detail/CVE-2025-30411</t>
        </is>
      </c>
      <c r="L754" s="193" t="inlineStr">
        <is>
          <t>2026-02-23 23:48</t>
        </is>
      </c>
      <c r="M754" s="193" t="inlineStr">
        <is>
          <t>CHECK_VENDOR</t>
        </is>
      </c>
      <c r="N754" s="193" t="inlineStr">
        <is>
          <t>See NVD references</t>
        </is>
      </c>
      <c r="O754" s="193" t="inlineStr">
        <is>
          <t>Apply vendor patches</t>
        </is>
      </c>
      <c r="P754" s="193" t="inlineStr">
        <is>
          <t>See CVE details</t>
        </is>
      </c>
      <c r="Q754" s="193" t="inlineStr">
        <is>
          <t>P3</t>
        </is>
      </c>
      <c r="R754" s="193" t="inlineStr">
        <is>
          <t>🚨 URGENT: Apply vendor patches immediately | 🔒 Isolate affected systems if patch unavailable | 🛡️ Enable additional monitoring/IDS rules</t>
        </is>
      </c>
      <c r="S754" s="193" t="inlineStr">
        <is>
          <t>CVE - IP enrichment n/a</t>
        </is>
      </c>
      <c r="T754" s="193" t="n">
        <v>0</v>
      </c>
      <c r="U754" s="193" t="n">
        <v>0</v>
      </c>
      <c r="V754" s="193" t="inlineStr">
        <is>
          <t>T1190:Exploit Public-Facing Application</t>
        </is>
      </c>
      <c r="W754" s="193" t="n">
        <v>1</v>
      </c>
      <c r="X754" s="193" t="inlineStr">
        <is>
          <t>LOW (40%)</t>
        </is>
      </c>
      <c r="Y754" s="193" t="inlineStr">
        <is>
          <t>UNLIKELY</t>
        </is>
      </c>
      <c r="Z754" s="193" t="inlineStr">
        <is>
          <t>CHECK_VENDOR</t>
        </is>
      </c>
      <c r="AA754" s="194" t="inlineStr">
        <is>
          <t>https://nvd.nist.gov/vuln/detail/CVE-2025-30411</t>
        </is>
      </c>
      <c r="AB754" s="193" t="inlineStr">
        <is>
          <t>NONE</t>
        </is>
      </c>
      <c r="AC754" s="193" t="n">
        <v>0</v>
      </c>
      <c r="AD754" s="193" t="n"/>
    </row>
    <row r="755">
      <c r="A755" s="193" t="inlineStr">
        <is>
          <t>CVE</t>
        </is>
      </c>
      <c r="B755" s="193" t="inlineStr">
        <is>
          <t>CVE-2025-30412</t>
        </is>
      </c>
      <c r="C755" s="193" t="inlineStr">
        <is>
          <t>Sensitive data disclosure and manipulation due to improper authentication. The following products are affected: Acronis Cyber Protect 16 (Linux, Windows) before build 39938, Acronis Cyber Protect 15 (Linux, Windows) before build 41800.</t>
        </is>
      </c>
      <c r="D755" s="193" t="n">
        <v>10</v>
      </c>
      <c r="E755" s="193" t="inlineStr">
        <is>
          <t>CRITICAL</t>
        </is>
      </c>
      <c r="F755" s="193" t="n">
        <v>2</v>
      </c>
      <c r="G755" s="193" t="n">
        <v>3</v>
      </c>
      <c r="H755" s="193" t="inlineStr">
        <is>
          <t>HIGH</t>
        </is>
      </c>
      <c r="I755" s="193" t="n">
        <v>16</v>
      </c>
      <c r="J755" s="193" t="inlineStr">
        <is>
          <t>NO</t>
        </is>
      </c>
      <c r="K755" s="194" t="inlineStr">
        <is>
          <t>https://nvd.nist.gov/vuln/detail/CVE-2025-30412</t>
        </is>
      </c>
      <c r="L755" s="193" t="inlineStr">
        <is>
          <t>2026-02-23 23:48</t>
        </is>
      </c>
      <c r="M755" s="193" t="inlineStr">
        <is>
          <t>CHECK_VENDOR</t>
        </is>
      </c>
      <c r="N755" s="193" t="inlineStr">
        <is>
          <t>See NVD references</t>
        </is>
      </c>
      <c r="O755" s="193" t="inlineStr">
        <is>
          <t>Apply vendor patches</t>
        </is>
      </c>
      <c r="P755" s="193" t="inlineStr">
        <is>
          <t>See CVE details</t>
        </is>
      </c>
      <c r="Q755" s="193" t="inlineStr">
        <is>
          <t>P3</t>
        </is>
      </c>
      <c r="R755" s="193" t="inlineStr">
        <is>
          <t>🚨 URGENT: Apply vendor patches immediately | 🔒 Isolate affected systems if patch unavailable | 🛡️ Enable additional monitoring/IDS rules</t>
        </is>
      </c>
      <c r="S755" s="193" t="inlineStr">
        <is>
          <t>CVE - IP enrichment n/a</t>
        </is>
      </c>
      <c r="T755" s="193" t="n">
        <v>0</v>
      </c>
      <c r="U755" s="193" t="n">
        <v>0</v>
      </c>
      <c r="V755" s="193" t="inlineStr">
        <is>
          <t>T1190:Exploit Public-Facing Application</t>
        </is>
      </c>
      <c r="W755" s="193" t="n">
        <v>1</v>
      </c>
      <c r="X755" s="193" t="inlineStr">
        <is>
          <t>LOW (40%)</t>
        </is>
      </c>
      <c r="Y755" s="193" t="inlineStr">
        <is>
          <t>UNLIKELY</t>
        </is>
      </c>
      <c r="Z755" s="193" t="inlineStr">
        <is>
          <t>CHECK_VENDOR</t>
        </is>
      </c>
      <c r="AA755" s="194" t="inlineStr">
        <is>
          <t>https://nvd.nist.gov/vuln/detail/CVE-2025-30412</t>
        </is>
      </c>
      <c r="AB755" s="193" t="inlineStr">
        <is>
          <t>NONE</t>
        </is>
      </c>
      <c r="AC755" s="193" t="n">
        <v>0</v>
      </c>
      <c r="AD755" s="193" t="n"/>
    </row>
    <row r="756">
      <c r="A756" s="193" t="inlineStr">
        <is>
          <t>CVE</t>
        </is>
      </c>
      <c r="B756" s="193" t="inlineStr">
        <is>
          <t>CVE-2025-30416</t>
        </is>
      </c>
      <c r="C756" s="193" t="inlineStr">
        <is>
          <t>Sensitive data disclosure and manipulation due to missing authorization. The following products are affected: Acronis Cyber Protect 16 (Linux, Windows) before build 39938, Acronis Cyber Protect 15 (Linux, Windows) before build 41800.</t>
        </is>
      </c>
      <c r="D756" s="193" t="n">
        <v>10</v>
      </c>
      <c r="E756" s="193" t="inlineStr">
        <is>
          <t>CRITICAL</t>
        </is>
      </c>
      <c r="F756" s="193" t="n">
        <v>2</v>
      </c>
      <c r="G756" s="193" t="n">
        <v>3</v>
      </c>
      <c r="H756" s="193" t="inlineStr">
        <is>
          <t>HIGH</t>
        </is>
      </c>
      <c r="I756" s="193" t="n">
        <v>16</v>
      </c>
      <c r="J756" s="193" t="inlineStr">
        <is>
          <t>NO</t>
        </is>
      </c>
      <c r="K756" s="194" t="inlineStr">
        <is>
          <t>https://nvd.nist.gov/vuln/detail/CVE-2025-30416</t>
        </is>
      </c>
      <c r="L756" s="193" t="inlineStr">
        <is>
          <t>2026-02-23 23:48</t>
        </is>
      </c>
      <c r="M756" s="193" t="inlineStr">
        <is>
          <t>CHECK_VENDOR</t>
        </is>
      </c>
      <c r="N756" s="193" t="inlineStr">
        <is>
          <t>See NVD references</t>
        </is>
      </c>
      <c r="O756" s="193" t="inlineStr">
        <is>
          <t>Apply vendor patches</t>
        </is>
      </c>
      <c r="P756" s="193" t="inlineStr">
        <is>
          <t>See CVE details</t>
        </is>
      </c>
      <c r="Q756" s="193" t="inlineStr">
        <is>
          <t>P3</t>
        </is>
      </c>
      <c r="R756" s="193" t="inlineStr">
        <is>
          <t>🚨 URGENT: Apply vendor patches immediately | 🔒 Isolate affected systems if patch unavailable | 🛡️ Enable additional monitoring/IDS rules</t>
        </is>
      </c>
      <c r="S756" s="193" t="inlineStr">
        <is>
          <t>CVE - IP enrichment n/a</t>
        </is>
      </c>
      <c r="T756" s="193" t="n">
        <v>0</v>
      </c>
      <c r="U756" s="193" t="n">
        <v>0</v>
      </c>
      <c r="V756" s="193" t="inlineStr">
        <is>
          <t>T1190:Exploit Public-Facing Application</t>
        </is>
      </c>
      <c r="W756" s="193" t="n">
        <v>1</v>
      </c>
      <c r="X756" s="193" t="inlineStr">
        <is>
          <t>LOW (40%)</t>
        </is>
      </c>
      <c r="Y756" s="193" t="inlineStr">
        <is>
          <t>UNLIKELY</t>
        </is>
      </c>
      <c r="Z756" s="193" t="inlineStr">
        <is>
          <t>CHECK_VENDOR</t>
        </is>
      </c>
      <c r="AA756" s="194" t="inlineStr">
        <is>
          <t>https://nvd.nist.gov/vuln/detail/CVE-2025-30416</t>
        </is>
      </c>
      <c r="AB756" s="193" t="inlineStr">
        <is>
          <t>NONE</t>
        </is>
      </c>
      <c r="AC756" s="193" t="n">
        <v>0</v>
      </c>
      <c r="AD756" s="193" t="n"/>
    </row>
    <row r="757">
      <c r="A757" s="191" t="inlineStr">
        <is>
          <t>CVE</t>
        </is>
      </c>
      <c r="B757" s="191" t="inlineStr">
        <is>
          <t>CVE-2026-26967</t>
        </is>
      </c>
      <c r="C757" s="191" t="inlineStr">
        <is>
          <t>PJSIP is a free and open source multimedia communication library written in C. In versions 2.16 and below, there is a critical Heap-based Buffer Overflow vulnerability in PJSIP's H.264 unpacketizer. The bug occurs when processing malformed SRTP packets, where the unpacketizer reads a 2-byte NAL unit size field without validating that both bytes are within the payload buffer bounds. The vulnerability affects applications that receive video using H.264. A patch is available at https://github.com/p</t>
        </is>
      </c>
      <c r="D757" s="191" t="n">
        <v>5.3</v>
      </c>
      <c r="E757" s="191" t="inlineStr">
        <is>
          <t>MEDIUM</t>
        </is>
      </c>
      <c r="F757" s="191" t="n">
        <v>2</v>
      </c>
      <c r="G757" s="191" t="n">
        <v>2</v>
      </c>
      <c r="H757" s="191" t="inlineStr">
        <is>
          <t>MEDIUM</t>
        </is>
      </c>
      <c r="I757" s="191" t="n">
        <v>9.300000000000001</v>
      </c>
      <c r="J757" s="191" t="inlineStr">
        <is>
          <t>NO</t>
        </is>
      </c>
      <c r="K757" s="192" t="inlineStr">
        <is>
          <t>https://nvd.nist.gov/vuln/detail/CVE-2026-26967</t>
        </is>
      </c>
      <c r="L757" s="191" t="inlineStr">
        <is>
          <t>2026-02-23 23:48</t>
        </is>
      </c>
      <c r="M757" s="191" t="inlineStr">
        <is>
          <t>YES</t>
        </is>
      </c>
      <c r="N757" s="192" t="inlineStr">
        <is>
          <t>https://github.com/pjsip/pjproject/commit/f821c214e52b11bae11e4cd3c7f0864538fb5491 | https://github.com/pjsip/pjproject/security/advisories/GHSA-x2hc-6969-g8v6</t>
        </is>
      </c>
      <c r="O757" s="191" t="inlineStr">
        <is>
          <t>Apply vendor patches</t>
        </is>
      </c>
      <c r="P757" s="191" t="inlineStr">
        <is>
          <t>pjsip pjsip *</t>
        </is>
      </c>
      <c r="Q757" s="191" t="inlineStr">
        <is>
          <t>P4</t>
        </is>
      </c>
      <c r="R757" s="191" t="inlineStr">
        <is>
          <t>📅 Schedule patch deployment within 30 days | 🔍 Monitor for exploitation attempts</t>
        </is>
      </c>
      <c r="S757" s="191" t="inlineStr">
        <is>
          <t>CVE - IP enrichment n/a</t>
        </is>
      </c>
      <c r="T757" s="191" t="n">
        <v>0</v>
      </c>
      <c r="U757" s="191" t="n">
        <v>0</v>
      </c>
      <c r="V757" s="191" t="inlineStr">
        <is>
          <t>T1190:Exploit Public-Facing Application | T1203:Exploitation for Client Execution</t>
        </is>
      </c>
      <c r="W757" s="191" t="n">
        <v>1</v>
      </c>
      <c r="X757" s="191" t="inlineStr">
        <is>
          <t>LOW (40%)</t>
        </is>
      </c>
      <c r="Y757" s="191" t="inlineStr">
        <is>
          <t>UNLIKELY</t>
        </is>
      </c>
      <c r="Z757" s="191" t="inlineStr">
        <is>
          <t>PATCH_AVAILABLE</t>
        </is>
      </c>
      <c r="AA757" s="192" t="inlineStr">
        <is>
          <t>https://nvd.nist.gov/vuln/detail/CVE-2026-26967</t>
        </is>
      </c>
      <c r="AB757" s="191" t="inlineStr">
        <is>
          <t>NONE</t>
        </is>
      </c>
      <c r="AC757" s="191" t="n">
        <v>0</v>
      </c>
      <c r="AD757" s="191" t="n"/>
    </row>
    <row r="758">
      <c r="A758" s="191" t="inlineStr">
        <is>
          <t>CVE</t>
        </is>
      </c>
      <c r="B758" s="191" t="inlineStr">
        <is>
          <t>CVE-2026-26974</t>
        </is>
      </c>
      <c r="C758" s="191" t="inlineStr">
        <is>
          <t>Slyde is a program that creates animated presentations from XML. In versions 0.0.4 and below, Node.js automatically imports **/*.plugin.{js,mjs} files including those from node_modules, so any malicious package with a .plugin.js file can execute arbitrary code when installed or required. All projects using this loading behavior are affected, especially those installing untrusted packages. This issue has been fixed in version 0.0.5. To workaround this issue, users can audit and restrict which pac</t>
        </is>
      </c>
      <c r="D758" s="191" t="n">
        <v>5</v>
      </c>
      <c r="E758" s="191" t="inlineStr">
        <is>
          <t>MEDIUM</t>
        </is>
      </c>
      <c r="F758" s="191" t="n">
        <v>2</v>
      </c>
      <c r="G758" s="191" t="n">
        <v>2</v>
      </c>
      <c r="H758" s="191" t="inlineStr">
        <is>
          <t>MEDIUM</t>
        </is>
      </c>
      <c r="I758" s="191" t="n">
        <v>9</v>
      </c>
      <c r="J758" s="191" t="inlineStr">
        <is>
          <t>NO</t>
        </is>
      </c>
      <c r="K758" s="192" t="inlineStr">
        <is>
          <t>https://nvd.nist.gov/vuln/detail/CVE-2026-26974</t>
        </is>
      </c>
      <c r="L758" s="191" t="inlineStr">
        <is>
          <t>2026-02-23 23:48</t>
        </is>
      </c>
      <c r="M758" s="191" t="inlineStr">
        <is>
          <t>CHECK_VENDOR</t>
        </is>
      </c>
      <c r="N758" s="191" t="inlineStr">
        <is>
          <t>See NVD references</t>
        </is>
      </c>
      <c r="O758" s="191" t="inlineStr">
        <is>
          <t>Apply vendor patches</t>
        </is>
      </c>
      <c r="P758" s="191" t="inlineStr">
        <is>
          <t>See CVE details</t>
        </is>
      </c>
      <c r="Q758" s="191" t="inlineStr">
        <is>
          <t>P4</t>
        </is>
      </c>
      <c r="R758" s="191" t="inlineStr">
        <is>
          <t>📅 Schedule patch deployment within 30 days | 🔍 Monitor for exploitation attempts</t>
        </is>
      </c>
      <c r="S758" s="191" t="inlineStr">
        <is>
          <t>CVE - IP enrichment n/a</t>
        </is>
      </c>
      <c r="T758" s="191" t="n">
        <v>0</v>
      </c>
      <c r="U758" s="191" t="n">
        <v>0</v>
      </c>
      <c r="V758" s="191" t="inlineStr">
        <is>
          <t>T1203:Exploitation for Client Execution</t>
        </is>
      </c>
      <c r="W758" s="191" t="n">
        <v>1</v>
      </c>
      <c r="X758" s="191" t="inlineStr">
        <is>
          <t>LOW (40%)</t>
        </is>
      </c>
      <c r="Y758" s="191" t="inlineStr">
        <is>
          <t>UNLIKELY</t>
        </is>
      </c>
      <c r="Z758" s="191" t="inlineStr">
        <is>
          <t>CHECK_VENDOR</t>
        </is>
      </c>
      <c r="AA758" s="192" t="inlineStr">
        <is>
          <t>https://nvd.nist.gov/vuln/detail/CVE-2026-26974</t>
        </is>
      </c>
      <c r="AB758" s="191" t="inlineStr">
        <is>
          <t>NONE</t>
        </is>
      </c>
      <c r="AC758" s="191" t="n">
        <v>0</v>
      </c>
      <c r="AD758" s="191" t="n"/>
    </row>
    <row r="759">
      <c r="A759" s="189" t="inlineStr">
        <is>
          <t>CVE</t>
        </is>
      </c>
      <c r="B759" s="189" t="inlineStr">
        <is>
          <t>CVE-2026-26975</t>
        </is>
      </c>
      <c r="C759" s="189" t="inlineStr">
        <is>
          <t>Music Assistant is an open-source media library manager that integrates streaming services with connected speakers. Versions 2.6.3 and below allow unauthenticated network-adjacent attackers to execute arbitrary code on affected installations. The music/playlists/update API allows users to bypass the .m3u extension enforcement and write files anywhere on the filesystem, which is exacerbated by the container running as root. This can be exploited to achieve Remote Code Execution by writing a malic</t>
        </is>
      </c>
      <c r="D759" s="189" t="n">
        <v>8.800000000000001</v>
      </c>
      <c r="E759" s="189" t="inlineStr">
        <is>
          <t>HIGH</t>
        </is>
      </c>
      <c r="F759" s="189" t="n">
        <v>2</v>
      </c>
      <c r="G759" s="189" t="n">
        <v>3</v>
      </c>
      <c r="H759" s="189" t="inlineStr">
        <is>
          <t>HIGH</t>
        </is>
      </c>
      <c r="I759" s="189" t="n">
        <v>14.8</v>
      </c>
      <c r="J759" s="189" t="inlineStr">
        <is>
          <t>NO</t>
        </is>
      </c>
      <c r="K759" s="190" t="inlineStr">
        <is>
          <t>https://nvd.nist.gov/vuln/detail/CVE-2026-26975</t>
        </is>
      </c>
      <c r="L759" s="189" t="inlineStr">
        <is>
          <t>2026-02-23 23:48</t>
        </is>
      </c>
      <c r="M759" s="189" t="inlineStr">
        <is>
          <t>CHECK_VENDOR</t>
        </is>
      </c>
      <c r="N759" s="189" t="inlineStr">
        <is>
          <t>See NVD references</t>
        </is>
      </c>
      <c r="O759" s="189" t="inlineStr">
        <is>
          <t>Apply vendor patches</t>
        </is>
      </c>
      <c r="P759" s="189" t="inlineStr">
        <is>
          <t>See CVE details</t>
        </is>
      </c>
      <c r="Q759" s="189" t="inlineStr">
        <is>
          <t>P3</t>
        </is>
      </c>
      <c r="R759" s="189" t="inlineStr">
        <is>
          <t>🚨 URGENT: Apply vendor patches immediately | 🔒 Isolate affected systems if patch unavailable | 🛡️ Enable additional monitoring/IDS rules</t>
        </is>
      </c>
      <c r="S759" s="189" t="inlineStr">
        <is>
          <t>CVE - IP enrichment n/a</t>
        </is>
      </c>
      <c r="T759" s="189" t="n">
        <v>0</v>
      </c>
      <c r="U759" s="189" t="n">
        <v>0</v>
      </c>
      <c r="V759" s="189" t="inlineStr">
        <is>
          <t>T1083:File and Directory Discovery | T1190:Exploit Public-Facing Application | T1210:Exploitation of Remote Services</t>
        </is>
      </c>
      <c r="W759" s="189" t="n">
        <v>1</v>
      </c>
      <c r="X759" s="189" t="inlineStr">
        <is>
          <t>LOW (40%)</t>
        </is>
      </c>
      <c r="Y759" s="189" t="inlineStr">
        <is>
          <t>UNLIKELY</t>
        </is>
      </c>
      <c r="Z759" s="189" t="inlineStr">
        <is>
          <t>CHECK_VENDOR</t>
        </is>
      </c>
      <c r="AA759" s="190" t="inlineStr">
        <is>
          <t>https://nvd.nist.gov/vuln/detail/CVE-2026-26975</t>
        </is>
      </c>
      <c r="AB759" s="189" t="inlineStr">
        <is>
          <t>NONE</t>
        </is>
      </c>
      <c r="AC759" s="189" t="n">
        <v>0</v>
      </c>
      <c r="AD759" s="189" t="n"/>
    </row>
    <row r="760">
      <c r="A760" s="189" t="inlineStr">
        <is>
          <t>CVE</t>
        </is>
      </c>
      <c r="B760" s="189" t="inlineStr">
        <is>
          <t>CVE-2026-26064</t>
        </is>
      </c>
      <c r="C760" s="189" t="inlineStr">
        <is>
          <t xml:space="preserve">calibre is a cross-platform e-book manager for viewing, converting, editing, and cataloging e-books. Versions 9.2.1 and below contain a Path Traversal vulnerability that allows arbitrary file writes anywhere the user has write permissions. On Windows, this leads to Remote Code Execution by writing a payload to the Startup folder, which executes on next login. Function extract_pictures only checks startswith('Pictures'), and does not sanitize '..' sequences. calibre's own ZipFile.extractall() in </t>
        </is>
      </c>
      <c r="D760" s="189" t="n">
        <v>8.800000000000001</v>
      </c>
      <c r="E760" s="189" t="inlineStr">
        <is>
          <t>HIGH</t>
        </is>
      </c>
      <c r="F760" s="189" t="n">
        <v>2</v>
      </c>
      <c r="G760" s="189" t="n">
        <v>3</v>
      </c>
      <c r="H760" s="189" t="inlineStr">
        <is>
          <t>HIGH</t>
        </is>
      </c>
      <c r="I760" s="189" t="n">
        <v>14.8</v>
      </c>
      <c r="J760" s="189" t="inlineStr">
        <is>
          <t>NO</t>
        </is>
      </c>
      <c r="K760" s="190" t="inlineStr">
        <is>
          <t>https://nvd.nist.gov/vuln/detail/CVE-2026-26064</t>
        </is>
      </c>
      <c r="L760" s="189" t="inlineStr">
        <is>
          <t>2026-02-23 23:48</t>
        </is>
      </c>
      <c r="M760" s="189" t="inlineStr">
        <is>
          <t>YES</t>
        </is>
      </c>
      <c r="N760" s="190" t="inlineStr">
        <is>
          <t>https://github.com/kovidgoyal/calibre/commit/e1b5f9b45a5e8fa96c136963ad9a1d35e6adac62 | https://github.com/kovidgoyal/calibre/security/advisories/GHSA-72ch-3hqc-pgmp</t>
        </is>
      </c>
      <c r="O760" s="189" t="inlineStr">
        <is>
          <t>Apply vendor patches</t>
        </is>
      </c>
      <c r="P760" s="189" t="inlineStr">
        <is>
          <t>calibre-ebook calibre *</t>
        </is>
      </c>
      <c r="Q760" s="189" t="inlineStr">
        <is>
          <t>P3</t>
        </is>
      </c>
      <c r="R760" s="189" t="inlineStr">
        <is>
          <t>🚨 URGENT: Apply vendor patches immediately | 🔒 Isolate affected systems if patch unavailable | 🛡️ Enable additional monitoring/IDS rules</t>
        </is>
      </c>
      <c r="S760" s="189" t="inlineStr">
        <is>
          <t>CVE - IP enrichment n/a</t>
        </is>
      </c>
      <c r="T760" s="189" t="n">
        <v>0.0005</v>
      </c>
      <c r="U760" s="189" t="n">
        <v>0.1534</v>
      </c>
      <c r="V760" s="189" t="inlineStr">
        <is>
          <t>T1083:File and Directory Discovery | T1190:Exploit Public-Facing Application | T1210:Exploitation of Remote Services</t>
        </is>
      </c>
      <c r="W760" s="189" t="n">
        <v>1</v>
      </c>
      <c r="X760" s="189" t="inlineStr">
        <is>
          <t>LOW (40%)</t>
        </is>
      </c>
      <c r="Y760" s="189" t="inlineStr">
        <is>
          <t>UNLIKELY</t>
        </is>
      </c>
      <c r="Z760" s="189" t="inlineStr">
        <is>
          <t>PATCH_AVAILABLE</t>
        </is>
      </c>
      <c r="AA760" s="190" t="inlineStr">
        <is>
          <t>https://nvd.nist.gov/vuln/detail/CVE-2026-26064</t>
        </is>
      </c>
      <c r="AB760" s="189" t="inlineStr">
        <is>
          <t>NONE</t>
        </is>
      </c>
      <c r="AC760" s="189" t="n">
        <v>0</v>
      </c>
      <c r="AD760" s="189" t="n"/>
    </row>
    <row r="761">
      <c r="A761" s="189" t="inlineStr">
        <is>
          <t>CVE</t>
        </is>
      </c>
      <c r="B761" s="189" t="inlineStr">
        <is>
          <t>CVE-2026-26065</t>
        </is>
      </c>
      <c r="C761" s="189" t="inlineStr">
        <is>
          <t>calibre is a cross-platform e-book manager for viewing, converting, editing, and cataloging e-books. Versions 9.2.1 and below are vulnerable to Path Traversal through PDB readers (both 132-byte and 202-byte header variants) that allow arbitrary file writes with arbitrary extension and arbitrary content anywhere the user has write permissions. Files are written in 'wb' mode, silently overwriting existing files. This can lead to potential code execution and Denial of Service through file corruptio</t>
        </is>
      </c>
      <c r="D761" s="189" t="n">
        <v>8.800000000000001</v>
      </c>
      <c r="E761" s="189" t="inlineStr">
        <is>
          <t>HIGH</t>
        </is>
      </c>
      <c r="F761" s="189" t="n">
        <v>2</v>
      </c>
      <c r="G761" s="189" t="n">
        <v>3</v>
      </c>
      <c r="H761" s="189" t="inlineStr">
        <is>
          <t>HIGH</t>
        </is>
      </c>
      <c r="I761" s="189" t="n">
        <v>14.8</v>
      </c>
      <c r="J761" s="189" t="inlineStr">
        <is>
          <t>NO</t>
        </is>
      </c>
      <c r="K761" s="190" t="inlineStr">
        <is>
          <t>https://nvd.nist.gov/vuln/detail/CVE-2026-26065</t>
        </is>
      </c>
      <c r="L761" s="189" t="inlineStr">
        <is>
          <t>2026-02-23 23:48</t>
        </is>
      </c>
      <c r="M761" s="189" t="inlineStr">
        <is>
          <t>YES</t>
        </is>
      </c>
      <c r="N761" s="190" t="inlineStr">
        <is>
          <t>https://github.com/kovidgoyal/calibre/commit/b6da1c3878c06eb1356cb0ec1106cb66e0e9bfb8</t>
        </is>
      </c>
      <c r="O761" s="189" t="inlineStr">
        <is>
          <t>Apply vendor patches</t>
        </is>
      </c>
      <c r="P761" s="189" t="inlineStr">
        <is>
          <t>calibre-ebook calibre *</t>
        </is>
      </c>
      <c r="Q761" s="189" t="inlineStr">
        <is>
          <t>P3</t>
        </is>
      </c>
      <c r="R761" s="189" t="inlineStr">
        <is>
          <t>🚨 URGENT: Apply vendor patches immediately | 🔒 Isolate affected systems if patch unavailable | 🛡️ Enable additional monitoring/IDS rules</t>
        </is>
      </c>
      <c r="S761" s="189" t="inlineStr">
        <is>
          <t>CVE - IP enrichment n/a</t>
        </is>
      </c>
      <c r="T761" s="189" t="n">
        <v>0</v>
      </c>
      <c r="U761" s="189" t="n">
        <v>0</v>
      </c>
      <c r="V761" s="189" t="inlineStr">
        <is>
          <t>T1083:File and Directory Discovery | T1499:Endpoint Denial of Service</t>
        </is>
      </c>
      <c r="W761" s="189" t="n">
        <v>1</v>
      </c>
      <c r="X761" s="189" t="inlineStr">
        <is>
          <t>LOW (40%)</t>
        </is>
      </c>
      <c r="Y761" s="189" t="inlineStr">
        <is>
          <t>UNLIKELY</t>
        </is>
      </c>
      <c r="Z761" s="189" t="inlineStr">
        <is>
          <t>PATCH_AVAILABLE</t>
        </is>
      </c>
      <c r="AA761" s="190" t="inlineStr">
        <is>
          <t>https://nvd.nist.gov/vuln/detail/CVE-2026-26065</t>
        </is>
      </c>
      <c r="AB761" s="189" t="inlineStr">
        <is>
          <t>NONE</t>
        </is>
      </c>
      <c r="AC761" s="189" t="n">
        <v>0</v>
      </c>
      <c r="AD761" s="189" t="n"/>
    </row>
    <row r="762">
      <c r="A762" s="189" t="inlineStr">
        <is>
          <t>CVE</t>
        </is>
      </c>
      <c r="B762" s="189" t="inlineStr">
        <is>
          <t>CVE-2026-26960</t>
        </is>
      </c>
      <c r="C762" s="189" t="inlineStr">
        <is>
          <t>node-tar is a full-featured Tar for Node.js. When using default options in versions 7.5.7 and below, an attacker-controlled archive can create a hardlink inside the extraction directory that points to a file outside the extraction root, enabling arbitrary file read and write as the extracting user. Severity is high because the primitive bypasses path protections and turns archive extraction into a direct filesystem access primitive. This issue has been fixed in version 7.5.8.</t>
        </is>
      </c>
      <c r="D762" s="189" t="n">
        <v>7.1</v>
      </c>
      <c r="E762" s="189" t="inlineStr">
        <is>
          <t>HIGH</t>
        </is>
      </c>
      <c r="F762" s="189" t="n">
        <v>2</v>
      </c>
      <c r="G762" s="189" t="n">
        <v>3</v>
      </c>
      <c r="H762" s="189" t="inlineStr">
        <is>
          <t>HIGH</t>
        </is>
      </c>
      <c r="I762" s="189" t="n">
        <v>13.1</v>
      </c>
      <c r="J762" s="189" t="inlineStr">
        <is>
          <t>NO</t>
        </is>
      </c>
      <c r="K762" s="190" t="inlineStr">
        <is>
          <t>https://nvd.nist.gov/vuln/detail/CVE-2026-26960</t>
        </is>
      </c>
      <c r="L762" s="189" t="inlineStr">
        <is>
          <t>2026-02-23 23:48</t>
        </is>
      </c>
      <c r="M762" s="189" t="inlineStr">
        <is>
          <t>YES</t>
        </is>
      </c>
      <c r="N762" s="190" t="inlineStr">
        <is>
          <t>https://github.com/isaacs/node-tar/commit/2cb1120bcefe28d7ecc719b41441ade59c52e384 | https://github.com/isaacs/node-tar/commit/d18e4e1f846f4ddddc153b0f536a19c050e7499f | https://github.com/isaacs/node-tar/security/advisories/GHSA-83g3-92jg-28cx</t>
        </is>
      </c>
      <c r="O762" s="189" t="inlineStr">
        <is>
          <t>Apply vendor patches</t>
        </is>
      </c>
      <c r="P762" s="189" t="inlineStr">
        <is>
          <t>isaacs tar *</t>
        </is>
      </c>
      <c r="Q762" s="189" t="inlineStr">
        <is>
          <t>P3</t>
        </is>
      </c>
      <c r="R762" s="189" t="inlineStr">
        <is>
          <t>🚨 URGENT: Apply vendor patches immediately | 🔒 Isolate affected systems if patch unavailable | 🛡️ Enable additional monitoring/IDS rules</t>
        </is>
      </c>
      <c r="S762" s="189" t="inlineStr">
        <is>
          <t>CVE - IP enrichment n/a</t>
        </is>
      </c>
      <c r="T762" s="189" t="n">
        <v>0</v>
      </c>
      <c r="U762" s="189" t="n">
        <v>0</v>
      </c>
      <c r="V762" s="189" t="inlineStr">
        <is>
          <t>T1083:File and Directory Discovery</t>
        </is>
      </c>
      <c r="W762" s="189" t="n">
        <v>2</v>
      </c>
      <c r="X762" s="189" t="inlineStr">
        <is>
          <t>MEDIUM (52%)</t>
        </is>
      </c>
      <c r="Y762" s="189" t="inlineStr">
        <is>
          <t>UNLIKELY</t>
        </is>
      </c>
      <c r="Z762" s="189" t="inlineStr">
        <is>
          <t>PATCH_AVAILABLE</t>
        </is>
      </c>
      <c r="AA762" s="190" t="inlineStr">
        <is>
          <t>https://nvd.nist.gov/vuln/detail/CVE-2026-26960</t>
        </is>
      </c>
      <c r="AB762" s="189" t="inlineStr">
        <is>
          <t>NONE</t>
        </is>
      </c>
      <c r="AC762" s="189" t="n">
        <v>0</v>
      </c>
      <c r="AD762" s="189" t="n"/>
    </row>
    <row r="763">
      <c r="A763" s="191" t="inlineStr">
        <is>
          <t>CVE</t>
        </is>
      </c>
      <c r="B763" s="191" t="inlineStr">
        <is>
          <t>CVE-2026-26977</t>
        </is>
      </c>
      <c r="C763" s="191" t="inlineStr">
        <is>
          <t>Frappe Learning Management System (LMS) is a learning system that helps users structure their content. In versions 2.44.0 and below, unauthorized users are able to access the details of unpublished courses via API endpoints. A fix for this issue is planned for the 2.45.0 release.</t>
        </is>
      </c>
      <c r="D763" s="191" t="n">
        <v>5.3</v>
      </c>
      <c r="E763" s="191" t="inlineStr">
        <is>
          <t>MEDIUM</t>
        </is>
      </c>
      <c r="F763" s="191" t="n">
        <v>2</v>
      </c>
      <c r="G763" s="191" t="n">
        <v>2</v>
      </c>
      <c r="H763" s="191" t="inlineStr">
        <is>
          <t>MEDIUM</t>
        </is>
      </c>
      <c r="I763" s="191" t="n">
        <v>9.300000000000001</v>
      </c>
      <c r="J763" s="191" t="inlineStr">
        <is>
          <t>NO</t>
        </is>
      </c>
      <c r="K763" s="192" t="inlineStr">
        <is>
          <t>https://nvd.nist.gov/vuln/detail/CVE-2026-26977</t>
        </is>
      </c>
      <c r="L763" s="191" t="inlineStr">
        <is>
          <t>2026-02-23 23:48</t>
        </is>
      </c>
      <c r="M763" s="191" t="inlineStr">
        <is>
          <t>YES</t>
        </is>
      </c>
      <c r="N763" s="192" t="inlineStr">
        <is>
          <t>https://github.com/frappe/lms/security/advisories/GHSA-26vf-p39q-frx3</t>
        </is>
      </c>
      <c r="O763" s="191" t="inlineStr">
        <is>
          <t>Apply vendor patches</t>
        </is>
      </c>
      <c r="P763" s="191" t="inlineStr">
        <is>
          <t>frappe learning *</t>
        </is>
      </c>
      <c r="Q763" s="191" t="inlineStr">
        <is>
          <t>P4</t>
        </is>
      </c>
      <c r="R763" s="191" t="inlineStr">
        <is>
          <t>📅 Schedule patch deployment within 30 days | 🔍 Monitor for exploitation attempts</t>
        </is>
      </c>
      <c r="S763" s="191" t="inlineStr">
        <is>
          <t>CVE - IP enrichment n/a</t>
        </is>
      </c>
      <c r="T763" s="191" t="n">
        <v>0</v>
      </c>
      <c r="U763" s="191" t="n">
        <v>0</v>
      </c>
      <c r="V763" s="191" t="inlineStr">
        <is>
          <t>T1190:Exploit Public-Facing Application</t>
        </is>
      </c>
      <c r="W763" s="191" t="n">
        <v>1</v>
      </c>
      <c r="X763" s="191" t="inlineStr">
        <is>
          <t>LOW (40%)</t>
        </is>
      </c>
      <c r="Y763" s="191" t="inlineStr">
        <is>
          <t>UNLIKELY</t>
        </is>
      </c>
      <c r="Z763" s="191" t="inlineStr">
        <is>
          <t>PATCH_AVAILABLE</t>
        </is>
      </c>
      <c r="AA763" s="192" t="inlineStr">
        <is>
          <t>https://nvd.nist.gov/vuln/detail/CVE-2026-26977</t>
        </is>
      </c>
      <c r="AB763" s="191" t="inlineStr">
        <is>
          <t>NONE</t>
        </is>
      </c>
      <c r="AC763" s="191" t="n">
        <v>0</v>
      </c>
      <c r="AD763" s="191" t="n"/>
    </row>
    <row r="764">
      <c r="A764" s="193" t="inlineStr">
        <is>
          <t>CVE</t>
        </is>
      </c>
      <c r="B764" s="193" t="inlineStr">
        <is>
          <t>CVE-2026-26980</t>
        </is>
      </c>
      <c r="C764" s="193" t="inlineStr">
        <is>
          <t>Ghost is a Node.js content management system. Versions 3.24.0 through 6.19.0 allow unauthenticated attackers to perform arbitrary reads from the database. This issue has been fixed in version 6.19.1.</t>
        </is>
      </c>
      <c r="D764" s="193" t="n">
        <v>9.4</v>
      </c>
      <c r="E764" s="193" t="inlineStr">
        <is>
          <t>CRITICAL</t>
        </is>
      </c>
      <c r="F764" s="193" t="n">
        <v>2</v>
      </c>
      <c r="G764" s="193" t="n">
        <v>3</v>
      </c>
      <c r="H764" s="193" t="inlineStr">
        <is>
          <t>HIGH</t>
        </is>
      </c>
      <c r="I764" s="193" t="n">
        <v>15.4</v>
      </c>
      <c r="J764" s="193" t="inlineStr">
        <is>
          <t>NO</t>
        </is>
      </c>
      <c r="K764" s="194" t="inlineStr">
        <is>
          <t>https://nvd.nist.gov/vuln/detail/CVE-2026-26980</t>
        </is>
      </c>
      <c r="L764" s="193" t="inlineStr">
        <is>
          <t>2026-02-23 23:48</t>
        </is>
      </c>
      <c r="M764" s="193" t="inlineStr">
        <is>
          <t>YES</t>
        </is>
      </c>
      <c r="N764" s="194" t="inlineStr">
        <is>
          <t>https://github.com/TryGhost/Ghost/commit/30868d632b2252b638bc8a4c8ebf73964592ed91 | https://github.com/TryGhost/Ghost/security/advisories/GHSA-w52v-v783-gw97</t>
        </is>
      </c>
      <c r="O764" s="194" t="inlineStr">
        <is>
          <t>https://github.com/TryGhost/Ghost/security/advisories/GHSA-w52v-v783-gw97</t>
        </is>
      </c>
      <c r="P764" s="193" t="inlineStr">
        <is>
          <t>ghost ghost *</t>
        </is>
      </c>
      <c r="Q764" s="193" t="inlineStr">
        <is>
          <t>P3</t>
        </is>
      </c>
      <c r="R764" s="193" t="inlineStr">
        <is>
          <t>🚨 URGENT: Apply vendor patches immediately | 🔒 Isolate affected systems if patch unavailable | 🛡️ Enable additional monitoring/IDS rules</t>
        </is>
      </c>
      <c r="S764" s="193" t="inlineStr">
        <is>
          <t>CVE - IP enrichment n/a</t>
        </is>
      </c>
      <c r="T764" s="193" t="n">
        <v>0</v>
      </c>
      <c r="U764" s="193" t="n">
        <v>0</v>
      </c>
      <c r="V764" s="193" t="inlineStr">
        <is>
          <t>T1190:Exploit Public-Facing Application</t>
        </is>
      </c>
      <c r="W764" s="193" t="n">
        <v>1</v>
      </c>
      <c r="X764" s="193" t="inlineStr">
        <is>
          <t>LOW (40%)</t>
        </is>
      </c>
      <c r="Y764" s="193" t="inlineStr">
        <is>
          <t>UNLIKELY</t>
        </is>
      </c>
      <c r="Z764" s="193" t="inlineStr">
        <is>
          <t>PATCH_AVAILABLE</t>
        </is>
      </c>
      <c r="AA764" s="194" t="inlineStr">
        <is>
          <t>https://nvd.nist.gov/vuln/detail/CVE-2026-26980</t>
        </is>
      </c>
      <c r="AB764" s="193" t="inlineStr">
        <is>
          <t>NONE</t>
        </is>
      </c>
      <c r="AC764" s="193" t="n">
        <v>0</v>
      </c>
      <c r="AD764" s="193" t="n"/>
    </row>
    <row r="765">
      <c r="A765" s="191" t="inlineStr">
        <is>
          <t>CVE</t>
        </is>
      </c>
      <c r="B765" s="191" t="inlineStr">
        <is>
          <t>CVE-2026-26987</t>
        </is>
      </c>
      <c r="C765" s="191" t="inlineStr">
        <is>
          <t>LibreNMS is an auto-discovering PHP/MySQL/SNMP based network monitoring tool. Versions 25.12.0 and below are vulnerable to  Reflected XSS attacks via email field. This issue has been fixed in version 26.2.0.</t>
        </is>
      </c>
      <c r="D765" s="191" t="n">
        <v>6.1</v>
      </c>
      <c r="E765" s="191" t="inlineStr">
        <is>
          <t>MEDIUM</t>
        </is>
      </c>
      <c r="F765" s="191" t="n">
        <v>2</v>
      </c>
      <c r="G765" s="191" t="n">
        <v>2</v>
      </c>
      <c r="H765" s="191" t="inlineStr">
        <is>
          <t>MEDIUM</t>
        </is>
      </c>
      <c r="I765" s="191" t="n">
        <v>10.1</v>
      </c>
      <c r="J765" s="191" t="inlineStr">
        <is>
          <t>NO</t>
        </is>
      </c>
      <c r="K765" s="192" t="inlineStr">
        <is>
          <t>https://nvd.nist.gov/vuln/detail/CVE-2026-26987</t>
        </is>
      </c>
      <c r="L765" s="191" t="inlineStr">
        <is>
          <t>2026-02-23 23:48</t>
        </is>
      </c>
      <c r="M765" s="191" t="inlineStr">
        <is>
          <t>YES</t>
        </is>
      </c>
      <c r="N765" s="192" t="inlineStr">
        <is>
          <t>https://github.com/librenms/librenms/commit/8e626b38ef92e240532cdac2ac7e38706a71208b</t>
        </is>
      </c>
      <c r="O765" s="191" t="inlineStr">
        <is>
          <t>Apply vendor patches</t>
        </is>
      </c>
      <c r="P765" s="191" t="inlineStr">
        <is>
          <t>librenms librenms *</t>
        </is>
      </c>
      <c r="Q765" s="191" t="inlineStr">
        <is>
          <t>P4</t>
        </is>
      </c>
      <c r="R765" s="191" t="inlineStr">
        <is>
          <t>📅 Schedule patch deployment within 30 days | 🔍 Monitor for exploitation attempts</t>
        </is>
      </c>
      <c r="S765" s="191" t="inlineStr">
        <is>
          <t>CVE - IP enrichment n/a</t>
        </is>
      </c>
      <c r="T765" s="191" t="n">
        <v>0</v>
      </c>
      <c r="U765" s="191" t="n">
        <v>0</v>
      </c>
      <c r="V765" s="191" t="inlineStr">
        <is>
          <t>T1189:Drive-by Compromise</t>
        </is>
      </c>
      <c r="W765" s="191" t="n">
        <v>1</v>
      </c>
      <c r="X765" s="191" t="inlineStr">
        <is>
          <t>LOW (40%)</t>
        </is>
      </c>
      <c r="Y765" s="191" t="inlineStr">
        <is>
          <t>UNLIKELY</t>
        </is>
      </c>
      <c r="Z765" s="191" t="inlineStr">
        <is>
          <t>PATCH_AVAILABLE</t>
        </is>
      </c>
      <c r="AA765" s="192" t="inlineStr">
        <is>
          <t>https://nvd.nist.gov/vuln/detail/CVE-2026-26987</t>
        </is>
      </c>
      <c r="AB765" s="191" t="inlineStr">
        <is>
          <t>NONE</t>
        </is>
      </c>
      <c r="AC765" s="191" t="n">
        <v>0</v>
      </c>
      <c r="AD765" s="191" t="n"/>
    </row>
    <row r="766">
      <c r="A766" s="193" t="inlineStr">
        <is>
          <t>CVE</t>
        </is>
      </c>
      <c r="B766" s="193" t="inlineStr">
        <is>
          <t>CVE-2026-26988</t>
        </is>
      </c>
      <c r="C766" s="193" t="inlineStr">
        <is>
          <t>LibreNMS is an auto-discovering PHP/MySQL/SNMP based network monitoring tool. Versions 25.12.0 and below contain an SQL Injection vulnerability in the ajax_table.php endpoint. The application fails to properly sanitize or parameterize user input when processing IPv6 address searches. Specifically, the address parameter is split into an address and a prefix, and the prefix portion is directly concatenated into the SQL query string without validation. This allows an attacker to inject arbitrary SQ</t>
        </is>
      </c>
      <c r="D766" s="193" t="n">
        <v>9.1</v>
      </c>
      <c r="E766" s="193" t="inlineStr">
        <is>
          <t>CRITICAL</t>
        </is>
      </c>
      <c r="F766" s="193" t="n">
        <v>2</v>
      </c>
      <c r="G766" s="193" t="n">
        <v>3</v>
      </c>
      <c r="H766" s="193" t="inlineStr">
        <is>
          <t>HIGH</t>
        </is>
      </c>
      <c r="I766" s="193" t="n">
        <v>15.1</v>
      </c>
      <c r="J766" s="193" t="inlineStr">
        <is>
          <t>NO</t>
        </is>
      </c>
      <c r="K766" s="194" t="inlineStr">
        <is>
          <t>https://nvd.nist.gov/vuln/detail/CVE-2026-26988</t>
        </is>
      </c>
      <c r="L766" s="193" t="inlineStr">
        <is>
          <t>2026-02-23 23:48</t>
        </is>
      </c>
      <c r="M766" s="193" t="inlineStr">
        <is>
          <t>YES</t>
        </is>
      </c>
      <c r="N766" s="194" t="inlineStr">
        <is>
          <t>https://github.com/librenms/librenms/commit/15429580baba03ed1dd377bada1bde4b7a1175a1</t>
        </is>
      </c>
      <c r="O766" s="193" t="inlineStr">
        <is>
          <t>Apply vendor patches</t>
        </is>
      </c>
      <c r="P766" s="193" t="inlineStr">
        <is>
          <t>librenms librenms *</t>
        </is>
      </c>
      <c r="Q766" s="193" t="inlineStr">
        <is>
          <t>P3</t>
        </is>
      </c>
      <c r="R766" s="193" t="inlineStr">
        <is>
          <t>🚨 URGENT: Apply vendor patches immediately | 🔒 Isolate affected systems if patch unavailable | 🛡️ Enable additional monitoring/IDS rules</t>
        </is>
      </c>
      <c r="S766" s="193" t="inlineStr">
        <is>
          <t>CVE - IP enrichment n/a</t>
        </is>
      </c>
      <c r="T766" s="193" t="n">
        <v>0</v>
      </c>
      <c r="U766" s="193" t="n">
        <v>0</v>
      </c>
      <c r="V766" s="193" t="inlineStr">
        <is>
          <t>T1190:Exploit Public-Facing Application</t>
        </is>
      </c>
      <c r="W766" s="193" t="n">
        <v>1</v>
      </c>
      <c r="X766" s="193" t="inlineStr">
        <is>
          <t>LOW (40%)</t>
        </is>
      </c>
      <c r="Y766" s="193" t="inlineStr">
        <is>
          <t>UNLIKELY</t>
        </is>
      </c>
      <c r="Z766" s="193" t="inlineStr">
        <is>
          <t>PATCH_AVAILABLE</t>
        </is>
      </c>
      <c r="AA766" s="194" t="inlineStr">
        <is>
          <t>https://nvd.nist.gov/vuln/detail/CVE-2026-26988</t>
        </is>
      </c>
      <c r="AB766" s="193" t="inlineStr">
        <is>
          <t>NONE</t>
        </is>
      </c>
      <c r="AC766" s="193" t="n">
        <v>0</v>
      </c>
      <c r="AD766" s="193" t="n"/>
    </row>
    <row r="767">
      <c r="A767" s="191" t="inlineStr">
        <is>
          <t>CVE</t>
        </is>
      </c>
      <c r="B767" s="191" t="inlineStr">
        <is>
          <t>CVE-2026-26989</t>
        </is>
      </c>
      <c r="C767" s="191" t="inlineStr">
        <is>
          <t>LibreNMS is an auto-discovering PHP/MySQL/SNMP based network monitoring tool. Versions 25.12.0 and below are affected by a Stored Cross-Site Scripting (XSS) vulnerability in the Alert Rules workflow. An attacker with administrative privileges can inject malicious scripts that execute in the browser context of any user who accesses the Alert Rules page. This issue has been fixed in version 26.2.0.</t>
        </is>
      </c>
      <c r="D767" s="191" t="n">
        <v>4.3</v>
      </c>
      <c r="E767" s="191" t="inlineStr">
        <is>
          <t>MEDIUM</t>
        </is>
      </c>
      <c r="F767" s="191" t="n">
        <v>2</v>
      </c>
      <c r="G767" s="191" t="n">
        <v>2</v>
      </c>
      <c r="H767" s="191" t="inlineStr">
        <is>
          <t>MEDIUM</t>
        </is>
      </c>
      <c r="I767" s="191" t="n">
        <v>8.300000000000001</v>
      </c>
      <c r="J767" s="191" t="inlineStr">
        <is>
          <t>NO</t>
        </is>
      </c>
      <c r="K767" s="192" t="inlineStr">
        <is>
          <t>https://nvd.nist.gov/vuln/detail/CVE-2026-26989</t>
        </is>
      </c>
      <c r="L767" s="191" t="inlineStr">
        <is>
          <t>2026-02-23 23:48</t>
        </is>
      </c>
      <c r="M767" s="191" t="inlineStr">
        <is>
          <t>YES</t>
        </is>
      </c>
      <c r="N767" s="192" t="inlineStr">
        <is>
          <t>https://github.com/librenms/librenms/commit/087608cf9f851189847cb8e8e5ad002e59170c58</t>
        </is>
      </c>
      <c r="O767" s="191" t="inlineStr">
        <is>
          <t>Apply vendor patches</t>
        </is>
      </c>
      <c r="P767" s="191" t="inlineStr">
        <is>
          <t>librenms librenms *</t>
        </is>
      </c>
      <c r="Q767" s="191" t="inlineStr">
        <is>
          <t>P4</t>
        </is>
      </c>
      <c r="R767" s="191" t="inlineStr">
        <is>
          <t>📅 Schedule patch deployment within 30 days | 🔍 Monitor for exploitation attempts</t>
        </is>
      </c>
      <c r="S767" s="191" t="inlineStr">
        <is>
          <t>CVE - IP enrichment n/a</t>
        </is>
      </c>
      <c r="T767" s="191" t="n">
        <v>0</v>
      </c>
      <c r="U767" s="191" t="n">
        <v>0</v>
      </c>
      <c r="V767" s="191" t="inlineStr">
        <is>
          <t>T1189:Drive-by Compromise</t>
        </is>
      </c>
      <c r="W767" s="191" t="n">
        <v>1</v>
      </c>
      <c r="X767" s="191" t="inlineStr">
        <is>
          <t>LOW (40%)</t>
        </is>
      </c>
      <c r="Y767" s="191" t="inlineStr">
        <is>
          <t>UNLIKELY</t>
        </is>
      </c>
      <c r="Z767" s="191" t="inlineStr">
        <is>
          <t>PATCH_AVAILABLE</t>
        </is>
      </c>
      <c r="AA767" s="192" t="inlineStr">
        <is>
          <t>https://nvd.nist.gov/vuln/detail/CVE-2026-26989</t>
        </is>
      </c>
      <c r="AB767" s="191" t="inlineStr">
        <is>
          <t>NONE</t>
        </is>
      </c>
      <c r="AC767" s="191" t="n">
        <v>0</v>
      </c>
      <c r="AD767" s="191" t="n"/>
    </row>
    <row r="768">
      <c r="A768" s="189" t="inlineStr">
        <is>
          <t>CVE</t>
        </is>
      </c>
      <c r="B768" s="189" t="inlineStr">
        <is>
          <t>CVE-2026-26990</t>
        </is>
      </c>
      <c r="C768" s="189" t="inlineStr">
        <is>
          <t>LibreNMS is an auto-discovering PHP/MySQL/SNMP based network monitoring tool. Versions 25.12.0 and below have a Time-Based Blind SQL Injection vulnerability in address-search.inc.php via the address parameter. When a crafted subnet prefix is supplied, the prefix value is concatenated directly into an SQL query without proper parameter binding, allowing an attacker to manipulate query logic and infer database information through time-based conditional responses. This vulnerability requires authen</t>
        </is>
      </c>
      <c r="D768" s="189" t="n">
        <v>8.800000000000001</v>
      </c>
      <c r="E768" s="189" t="inlineStr">
        <is>
          <t>HIGH</t>
        </is>
      </c>
      <c r="F768" s="189" t="n">
        <v>2</v>
      </c>
      <c r="G768" s="189" t="n">
        <v>3</v>
      </c>
      <c r="H768" s="189" t="inlineStr">
        <is>
          <t>HIGH</t>
        </is>
      </c>
      <c r="I768" s="189" t="n">
        <v>14.8</v>
      </c>
      <c r="J768" s="189" t="inlineStr">
        <is>
          <t>NO</t>
        </is>
      </c>
      <c r="K768" s="190" t="inlineStr">
        <is>
          <t>https://nvd.nist.gov/vuln/detail/CVE-2026-26990</t>
        </is>
      </c>
      <c r="L768" s="189" t="inlineStr">
        <is>
          <t>2026-02-23 23:48</t>
        </is>
      </c>
      <c r="M768" s="189" t="inlineStr">
        <is>
          <t>YES</t>
        </is>
      </c>
      <c r="N768" s="190" t="inlineStr">
        <is>
          <t>https://github.com/librenms/librenms/commit/15429580baba03ed1dd377bada1bde4b7a1175a1</t>
        </is>
      </c>
      <c r="O768" s="189" t="inlineStr">
        <is>
          <t>Apply vendor patches</t>
        </is>
      </c>
      <c r="P768" s="189" t="inlineStr">
        <is>
          <t>librenms librenms *</t>
        </is>
      </c>
      <c r="Q768" s="189" t="inlineStr">
        <is>
          <t>P3</t>
        </is>
      </c>
      <c r="R768" s="189" t="inlineStr">
        <is>
          <t>🚨 URGENT: Apply vendor patches immediately | 🔒 Isolate affected systems if patch unavailable | 🛡️ Enable additional monitoring/IDS rules</t>
        </is>
      </c>
      <c r="S768" s="189" t="inlineStr">
        <is>
          <t>CVE - IP enrichment n/a</t>
        </is>
      </c>
      <c r="T768" s="189" t="n">
        <v>0</v>
      </c>
      <c r="U768" s="189" t="n">
        <v>0</v>
      </c>
      <c r="V768" s="189" t="inlineStr">
        <is>
          <t>T1190:Exploit Public-Facing Application</t>
        </is>
      </c>
      <c r="W768" s="189" t="n">
        <v>1</v>
      </c>
      <c r="X768" s="189" t="inlineStr">
        <is>
          <t>LOW (40%)</t>
        </is>
      </c>
      <c r="Y768" s="189" t="inlineStr">
        <is>
          <t>UNLIKELY</t>
        </is>
      </c>
      <c r="Z768" s="189" t="inlineStr">
        <is>
          <t>PATCH_AVAILABLE</t>
        </is>
      </c>
      <c r="AA768" s="190" t="inlineStr">
        <is>
          <t>https://nvd.nist.gov/vuln/detail/CVE-2026-26990</t>
        </is>
      </c>
      <c r="AB768" s="189" t="inlineStr">
        <is>
          <t>NONE</t>
        </is>
      </c>
      <c r="AC768" s="189" t="n">
        <v>0</v>
      </c>
      <c r="AD768" s="189" t="n"/>
    </row>
    <row r="769">
      <c r="A769" s="191" t="inlineStr">
        <is>
          <t>CVE</t>
        </is>
      </c>
      <c r="B769" s="191" t="inlineStr">
        <is>
          <t>CVE-2026-27016</t>
        </is>
      </c>
      <c r="C769" s="191" t="inlineStr">
        <is>
          <t>LibreNMS is an auto-discovering PHP/MySQL/SNMP based network monitoring tool. Versions 24.10.0 through 26.1.1 are vulnerable to Stored XSS via the unit parameter in Custom OID. The Custom OID functionality lacks strip_tags() sanitization while other fields (name, oid, datatype) are sanitized. The unsanitized value is stored in the database and rendered without HTML escaping. This issue is fixed in version 26.2.0.</t>
        </is>
      </c>
      <c r="D769" s="191" t="n">
        <v>5.4</v>
      </c>
      <c r="E769" s="191" t="inlineStr">
        <is>
          <t>MEDIUM</t>
        </is>
      </c>
      <c r="F769" s="191" t="n">
        <v>2</v>
      </c>
      <c r="G769" s="191" t="n">
        <v>2</v>
      </c>
      <c r="H769" s="191" t="inlineStr">
        <is>
          <t>MEDIUM</t>
        </is>
      </c>
      <c r="I769" s="191" t="n">
        <v>9.4</v>
      </c>
      <c r="J769" s="191" t="inlineStr">
        <is>
          <t>NO</t>
        </is>
      </c>
      <c r="K769" s="192" t="inlineStr">
        <is>
          <t>https://nvd.nist.gov/vuln/detail/CVE-2026-27016</t>
        </is>
      </c>
      <c r="L769" s="191" t="inlineStr">
        <is>
          <t>2026-02-23 23:48</t>
        </is>
      </c>
      <c r="M769" s="191" t="inlineStr">
        <is>
          <t>YES</t>
        </is>
      </c>
      <c r="N769" s="192" t="inlineStr">
        <is>
          <t>https://github.com/librenms/librenms/commit/3bea263e02441690c01dea7fa3fe6ffec94af335</t>
        </is>
      </c>
      <c r="O769" s="191" t="inlineStr">
        <is>
          <t>Apply vendor patches</t>
        </is>
      </c>
      <c r="P769" s="191" t="inlineStr">
        <is>
          <t>librenms librenms *</t>
        </is>
      </c>
      <c r="Q769" s="191" t="inlineStr">
        <is>
          <t>P4</t>
        </is>
      </c>
      <c r="R769" s="191" t="inlineStr">
        <is>
          <t>📅 Schedule patch deployment within 30 days | 🔍 Monitor for exploitation attempts</t>
        </is>
      </c>
      <c r="S769" s="191" t="inlineStr">
        <is>
          <t>CVE - IP enrichment n/a</t>
        </is>
      </c>
      <c r="T769" s="191" t="n">
        <v>0</v>
      </c>
      <c r="U769" s="191" t="n">
        <v>0</v>
      </c>
      <c r="V769" s="191" t="inlineStr">
        <is>
          <t>T1189:Drive-by Compromise</t>
        </is>
      </c>
      <c r="W769" s="191" t="n">
        <v>1</v>
      </c>
      <c r="X769" s="191" t="inlineStr">
        <is>
          <t>LOW (40%)</t>
        </is>
      </c>
      <c r="Y769" s="191" t="inlineStr">
        <is>
          <t>UNLIKELY</t>
        </is>
      </c>
      <c r="Z769" s="191" t="inlineStr">
        <is>
          <t>PATCH_AVAILABLE</t>
        </is>
      </c>
      <c r="AA769" s="192" t="inlineStr">
        <is>
          <t>https://nvd.nist.gov/vuln/detail/CVE-2026-27016</t>
        </is>
      </c>
      <c r="AB769" s="191" t="inlineStr">
        <is>
          <t>NONE</t>
        </is>
      </c>
      <c r="AC769" s="191" t="n">
        <v>0</v>
      </c>
      <c r="AD769" s="191" t="n"/>
    </row>
    <row r="770">
      <c r="A770" s="191" t="inlineStr">
        <is>
          <t>CVE</t>
        </is>
      </c>
      <c r="B770" s="191" t="inlineStr">
        <is>
          <t>CVE-2026-2819</t>
        </is>
      </c>
      <c r="C770" s="191" t="inlineStr">
        <is>
          <t>A vulnerability was identified in Dromara RuoYi-Vue-Plus up to 5.5.3. This vulnerability affects the function SaServletFilter of the file /workflow/instance/deleteByInstanceIds of the component Workflow Module. The manipulation leads to missing authorization. The attack may be initiated remotely. The exploit is publicly available and might be used. The vendor was contacted early about this disclosure but did not respond in any way.</t>
        </is>
      </c>
      <c r="D770" s="191" t="n">
        <v>6.3</v>
      </c>
      <c r="E770" s="191" t="inlineStr">
        <is>
          <t>MEDIUM</t>
        </is>
      </c>
      <c r="F770" s="191" t="n">
        <v>2</v>
      </c>
      <c r="G770" s="191" t="n">
        <v>2</v>
      </c>
      <c r="H770" s="191" t="inlineStr">
        <is>
          <t>MEDIUM</t>
        </is>
      </c>
      <c r="I770" s="191" t="n">
        <v>10.3</v>
      </c>
      <c r="J770" s="191" t="inlineStr">
        <is>
          <t>NO</t>
        </is>
      </c>
      <c r="K770" s="192" t="inlineStr">
        <is>
          <t>https://nvd.nist.gov/vuln/detail/CVE-2026-2819</t>
        </is>
      </c>
      <c r="L770" s="191" t="inlineStr">
        <is>
          <t>2026-02-23 23:48</t>
        </is>
      </c>
      <c r="M770" s="191" t="inlineStr">
        <is>
          <t>CHECK_VENDOR</t>
        </is>
      </c>
      <c r="N770" s="191" t="inlineStr">
        <is>
          <t>See NVD references</t>
        </is>
      </c>
      <c r="O770" s="191" t="inlineStr">
        <is>
          <t>Apply vendor patches</t>
        </is>
      </c>
      <c r="P770" s="191" t="inlineStr">
        <is>
          <t>See CVE details</t>
        </is>
      </c>
      <c r="Q770" s="191" t="inlineStr">
        <is>
          <t>P4</t>
        </is>
      </c>
      <c r="R770" s="191" t="inlineStr">
        <is>
          <t>📅 Schedule patch deployment within 30 days | 🔍 Monitor for exploitation attempts</t>
        </is>
      </c>
      <c r="S770" s="191" t="inlineStr">
        <is>
          <t>CVE - IP enrichment n/a</t>
        </is>
      </c>
      <c r="T770" s="191" t="n">
        <v>0</v>
      </c>
      <c r="U770" s="191" t="n">
        <v>0</v>
      </c>
      <c r="V770" s="191" t="inlineStr">
        <is>
          <t>T1190:Exploit Public-Facing Application</t>
        </is>
      </c>
      <c r="W770" s="191" t="n">
        <v>1</v>
      </c>
      <c r="X770" s="191" t="inlineStr">
        <is>
          <t>LOW (40%)</t>
        </is>
      </c>
      <c r="Y770" s="191" t="inlineStr">
        <is>
          <t>UNLIKELY</t>
        </is>
      </c>
      <c r="Z770" s="191" t="inlineStr">
        <is>
          <t>CHECK_VENDOR</t>
        </is>
      </c>
      <c r="AA770" s="192" t="inlineStr">
        <is>
          <t>https://nvd.nist.gov/vuln/detail/CVE-2026-2819</t>
        </is>
      </c>
      <c r="AB770" s="191" t="inlineStr">
        <is>
          <t>NONE</t>
        </is>
      </c>
      <c r="AC770" s="191" t="n">
        <v>0</v>
      </c>
      <c r="AD770" s="191" t="n"/>
    </row>
    <row r="771">
      <c r="A771" s="189" t="inlineStr">
        <is>
          <t>CVE</t>
        </is>
      </c>
      <c r="B771" s="189" t="inlineStr">
        <is>
          <t>CVE-2026-2820</t>
        </is>
      </c>
      <c r="C771" s="189" t="inlineStr">
        <is>
          <t>A security flaw has been discovered in Fujian Smart Integrated Management Platform System up to 7.5. This issue affects some unknown processing of the file /Module/CRXT/Controller/XAccessPermissionPlus.ashx. The manipulation of the argument DeviceIDS results in sql injection. The attack may be launched remotely. The exploit has been released to the public and may be used for attacks.</t>
        </is>
      </c>
      <c r="D771" s="189" t="n">
        <v>7.3</v>
      </c>
      <c r="E771" s="189" t="inlineStr">
        <is>
          <t>HIGH</t>
        </is>
      </c>
      <c r="F771" s="189" t="n">
        <v>2</v>
      </c>
      <c r="G771" s="189" t="n">
        <v>3</v>
      </c>
      <c r="H771" s="189" t="inlineStr">
        <is>
          <t>HIGH</t>
        </is>
      </c>
      <c r="I771" s="189" t="n">
        <v>13.3</v>
      </c>
      <c r="J771" s="189" t="inlineStr">
        <is>
          <t>NO</t>
        </is>
      </c>
      <c r="K771" s="190" t="inlineStr">
        <is>
          <t>https://nvd.nist.gov/vuln/detail/CVE-2026-2820</t>
        </is>
      </c>
      <c r="L771" s="189" t="inlineStr">
        <is>
          <t>2026-02-23 23:48</t>
        </is>
      </c>
      <c r="M771" s="189" t="inlineStr">
        <is>
          <t>CHECK_VENDOR</t>
        </is>
      </c>
      <c r="N771" s="189" t="inlineStr">
        <is>
          <t>See NVD references</t>
        </is>
      </c>
      <c r="O771" s="189" t="inlineStr">
        <is>
          <t>Apply vendor patches</t>
        </is>
      </c>
      <c r="P771" s="189" t="inlineStr">
        <is>
          <t>See CVE details</t>
        </is>
      </c>
      <c r="Q771" s="189" t="inlineStr">
        <is>
          <t>P3</t>
        </is>
      </c>
      <c r="R771" s="189" t="inlineStr">
        <is>
          <t>🚨 URGENT: Apply vendor patches immediately | 🔒 Isolate affected systems if patch unavailable | 🛡️ Enable additional monitoring/IDS rules</t>
        </is>
      </c>
      <c r="S771" s="189" t="inlineStr">
        <is>
          <t>CVE - IP enrichment n/a</t>
        </is>
      </c>
      <c r="T771" s="189" t="n">
        <v>0.0001</v>
      </c>
      <c r="U771" s="189" t="n">
        <v>0.0098</v>
      </c>
      <c r="V771" s="189" t="inlineStr">
        <is>
          <t>T1190:Exploit Public-Facing Application</t>
        </is>
      </c>
      <c r="W771" s="189" t="n">
        <v>1</v>
      </c>
      <c r="X771" s="189" t="inlineStr">
        <is>
          <t>LOW (40%)</t>
        </is>
      </c>
      <c r="Y771" s="189" t="inlineStr">
        <is>
          <t>UNLIKELY</t>
        </is>
      </c>
      <c r="Z771" s="189" t="inlineStr">
        <is>
          <t>CHECK_VENDOR</t>
        </is>
      </c>
      <c r="AA771" s="190" t="inlineStr">
        <is>
          <t>https://nvd.nist.gov/vuln/detail/CVE-2026-2820</t>
        </is>
      </c>
      <c r="AB771" s="189" t="inlineStr">
        <is>
          <t>NONE</t>
        </is>
      </c>
      <c r="AC771" s="189" t="n">
        <v>0</v>
      </c>
      <c r="AD771" s="189" t="n"/>
    </row>
    <row r="772">
      <c r="A772" s="191" t="inlineStr">
        <is>
          <t>CVE</t>
        </is>
      </c>
      <c r="B772" s="191" t="inlineStr">
        <is>
          <t>CVE-2026-26991</t>
        </is>
      </c>
      <c r="C772" s="191" t="inlineStr">
        <is>
          <t xml:space="preserve">LibreNMS is an auto-discovering PHP/MySQL/SNMP based network monitoring tool. In versions 26.1.1 and below, the device group name is not sanitized, allowing attackers with admin privileges to perform Stored Cross-Site Scripting (XSS) attacks. When a user adds a device group, an HTTP POST request is sent to the Request-URI "/device-groups". The name of the newly created device group is stored in the value of the name parameter. After the device group is created, the entry is displayed along with </t>
        </is>
      </c>
      <c r="D772" s="191" t="n">
        <v>4.8</v>
      </c>
      <c r="E772" s="191" t="inlineStr">
        <is>
          <t>MEDIUM</t>
        </is>
      </c>
      <c r="F772" s="191" t="n">
        <v>2</v>
      </c>
      <c r="G772" s="191" t="n">
        <v>2</v>
      </c>
      <c r="H772" s="191" t="inlineStr">
        <is>
          <t>MEDIUM</t>
        </is>
      </c>
      <c r="I772" s="191" t="n">
        <v>8.800000000000001</v>
      </c>
      <c r="J772" s="191" t="inlineStr">
        <is>
          <t>NO</t>
        </is>
      </c>
      <c r="K772" s="192" t="inlineStr">
        <is>
          <t>https://nvd.nist.gov/vuln/detail/CVE-2026-26991</t>
        </is>
      </c>
      <c r="L772" s="191" t="inlineStr">
        <is>
          <t>2026-02-23 23:48</t>
        </is>
      </c>
      <c r="M772" s="191" t="inlineStr">
        <is>
          <t>YES</t>
        </is>
      </c>
      <c r="N772" s="192" t="inlineStr">
        <is>
          <t>https://github.com/librenms/librenms/commit/64b31da444369213eb4559ec1c304ebfaa0ba12c</t>
        </is>
      </c>
      <c r="O772" s="191" t="inlineStr">
        <is>
          <t>Apply vendor patches</t>
        </is>
      </c>
      <c r="P772" s="191" t="inlineStr">
        <is>
          <t>librenms librenms *</t>
        </is>
      </c>
      <c r="Q772" s="191" t="inlineStr">
        <is>
          <t>P4</t>
        </is>
      </c>
      <c r="R772" s="191" t="inlineStr">
        <is>
          <t>📅 Schedule patch deployment within 30 days | 🔍 Monitor for exploitation attempts</t>
        </is>
      </c>
      <c r="S772" s="191" t="inlineStr">
        <is>
          <t>CVE - IP enrichment n/a</t>
        </is>
      </c>
      <c r="T772" s="191" t="n">
        <v>0</v>
      </c>
      <c r="U772" s="191" t="n">
        <v>0</v>
      </c>
      <c r="V772" s="191" t="inlineStr">
        <is>
          <t>T1189:Drive-by Compromise</t>
        </is>
      </c>
      <c r="W772" s="191" t="n">
        <v>1</v>
      </c>
      <c r="X772" s="191" t="inlineStr">
        <is>
          <t>LOW (40%)</t>
        </is>
      </c>
      <c r="Y772" s="191" t="inlineStr">
        <is>
          <t>UNLIKELY</t>
        </is>
      </c>
      <c r="Z772" s="191" t="inlineStr">
        <is>
          <t>PATCH_AVAILABLE</t>
        </is>
      </c>
      <c r="AA772" s="192" t="inlineStr">
        <is>
          <t>https://nvd.nist.gov/vuln/detail/CVE-2026-26991</t>
        </is>
      </c>
      <c r="AB772" s="191" t="inlineStr">
        <is>
          <t>NONE</t>
        </is>
      </c>
      <c r="AC772" s="191" t="n">
        <v>0</v>
      </c>
      <c r="AD772" s="191" t="n"/>
    </row>
    <row r="773">
      <c r="A773" s="191" t="inlineStr">
        <is>
          <t>CVE</t>
        </is>
      </c>
      <c r="B773" s="191" t="inlineStr">
        <is>
          <t>CVE-2026-26992</t>
        </is>
      </c>
      <c r="C773" s="191" t="inlineStr">
        <is>
          <t>LibreNMS is an auto-discovering PHP/MySQL/SNMP based network monitoring tool. In versions 26.1.1 and below, the port group name is not sanitized, allowing attackers with admin privileges to perform Stored Cross-Site Scripting (XSS) attacks. When a user adds a port group, an HTTP POST request is sent to the Request-URI "/port-groups". The name of the newly created port group is stored in the value of the name parameter. After the port group is created, the entry is displayed along with relevant b</t>
        </is>
      </c>
      <c r="D773" s="191" t="n">
        <v>4.8</v>
      </c>
      <c r="E773" s="191" t="inlineStr">
        <is>
          <t>MEDIUM</t>
        </is>
      </c>
      <c r="F773" s="191" t="n">
        <v>2</v>
      </c>
      <c r="G773" s="191" t="n">
        <v>2</v>
      </c>
      <c r="H773" s="191" t="inlineStr">
        <is>
          <t>MEDIUM</t>
        </is>
      </c>
      <c r="I773" s="191" t="n">
        <v>8.800000000000001</v>
      </c>
      <c r="J773" s="191" t="inlineStr">
        <is>
          <t>NO</t>
        </is>
      </c>
      <c r="K773" s="192" t="inlineStr">
        <is>
          <t>https://nvd.nist.gov/vuln/detail/CVE-2026-26992</t>
        </is>
      </c>
      <c r="L773" s="191" t="inlineStr">
        <is>
          <t>2026-02-23 23:48</t>
        </is>
      </c>
      <c r="M773" s="191" t="inlineStr">
        <is>
          <t>YES</t>
        </is>
      </c>
      <c r="N773" s="192" t="inlineStr">
        <is>
          <t>https://github.com/librenms/librenms/commit/882fe6f90ea504a3732f83caf89bba7850a5699f</t>
        </is>
      </c>
      <c r="O773" s="191" t="inlineStr">
        <is>
          <t>Apply vendor patches</t>
        </is>
      </c>
      <c r="P773" s="191" t="inlineStr">
        <is>
          <t>librenms librenms *</t>
        </is>
      </c>
      <c r="Q773" s="191" t="inlineStr">
        <is>
          <t>P4</t>
        </is>
      </c>
      <c r="R773" s="191" t="inlineStr">
        <is>
          <t>📅 Schedule patch deployment within 30 days | 🔍 Monitor for exploitation attempts</t>
        </is>
      </c>
      <c r="S773" s="191" t="inlineStr">
        <is>
          <t>CVE - IP enrichment n/a</t>
        </is>
      </c>
      <c r="T773" s="191" t="n">
        <v>0</v>
      </c>
      <c r="U773" s="191" t="n">
        <v>0</v>
      </c>
      <c r="V773" s="191" t="inlineStr">
        <is>
          <t>T1189:Drive-by Compromise</t>
        </is>
      </c>
      <c r="W773" s="191" t="n">
        <v>1</v>
      </c>
      <c r="X773" s="191" t="inlineStr">
        <is>
          <t>LOW (40%)</t>
        </is>
      </c>
      <c r="Y773" s="191" t="inlineStr">
        <is>
          <t>UNLIKELY</t>
        </is>
      </c>
      <c r="Z773" s="191" t="inlineStr">
        <is>
          <t>PATCH_AVAILABLE</t>
        </is>
      </c>
      <c r="AA773" s="192" t="inlineStr">
        <is>
          <t>https://nvd.nist.gov/vuln/detail/CVE-2026-26992</t>
        </is>
      </c>
      <c r="AB773" s="191" t="inlineStr">
        <is>
          <t>NONE</t>
        </is>
      </c>
      <c r="AC773" s="191" t="n">
        <v>0</v>
      </c>
      <c r="AD773" s="191" t="n"/>
    </row>
    <row r="774">
      <c r="A774" s="191" t="inlineStr">
        <is>
          <t>CVE</t>
        </is>
      </c>
      <c r="B774" s="191" t="inlineStr">
        <is>
          <t>CVE-2026-26993</t>
        </is>
      </c>
      <c r="C774" s="191" t="inlineStr">
        <is>
          <t>Flare is a Next.js-based, self-hostable file sharing platform that integrates with screenshot tools. Versions 1.7.0 and below allow users to upload files without proper content validation or sanitization. By embedding malicious JavaScript within an SVG (or other active content formats such as HTML or XML), an attacker can achieve script execution in the context of the application's origin when a victim views the file in “raw” mode. This results in a stored Cross-Site Scripting (XSS) vulnerabilit</t>
        </is>
      </c>
      <c r="D774" s="191" t="n">
        <v>4.6</v>
      </c>
      <c r="E774" s="191" t="inlineStr">
        <is>
          <t>MEDIUM</t>
        </is>
      </c>
      <c r="F774" s="191" t="n">
        <v>2</v>
      </c>
      <c r="G774" s="191" t="n">
        <v>2</v>
      </c>
      <c r="H774" s="191" t="inlineStr">
        <is>
          <t>MEDIUM</t>
        </is>
      </c>
      <c r="I774" s="191" t="n">
        <v>8.6</v>
      </c>
      <c r="J774" s="191" t="inlineStr">
        <is>
          <t>NO</t>
        </is>
      </c>
      <c r="K774" s="192" t="inlineStr">
        <is>
          <t>https://nvd.nist.gov/vuln/detail/CVE-2026-26993</t>
        </is>
      </c>
      <c r="L774" s="191" t="inlineStr">
        <is>
          <t>2026-02-23 23:48</t>
        </is>
      </c>
      <c r="M774" s="191" t="inlineStr">
        <is>
          <t>CHECK_VENDOR</t>
        </is>
      </c>
      <c r="N774" s="191" t="inlineStr">
        <is>
          <t>See NVD references</t>
        </is>
      </c>
      <c r="O774" s="191" t="inlineStr">
        <is>
          <t>Apply vendor patches</t>
        </is>
      </c>
      <c r="P774" s="191" t="inlineStr">
        <is>
          <t>See CVE details</t>
        </is>
      </c>
      <c r="Q774" s="191" t="inlineStr">
        <is>
          <t>P4</t>
        </is>
      </c>
      <c r="R774" s="191" t="inlineStr">
        <is>
          <t>📅 Schedule patch deployment within 30 days | 🔍 Monitor for exploitation attempts</t>
        </is>
      </c>
      <c r="S774" s="191" t="inlineStr">
        <is>
          <t>CVE - IP enrichment n/a</t>
        </is>
      </c>
      <c r="T774" s="191" t="n">
        <v>0</v>
      </c>
      <c r="U774" s="191" t="n">
        <v>0</v>
      </c>
      <c r="V774" s="191" t="inlineStr">
        <is>
          <t>T1189:Drive-by Compromise</t>
        </is>
      </c>
      <c r="W774" s="191" t="n">
        <v>1</v>
      </c>
      <c r="X774" s="191" t="inlineStr">
        <is>
          <t>LOW (40%)</t>
        </is>
      </c>
      <c r="Y774" s="191" t="inlineStr">
        <is>
          <t>UNLIKELY</t>
        </is>
      </c>
      <c r="Z774" s="191" t="inlineStr">
        <is>
          <t>CHECK_VENDOR</t>
        </is>
      </c>
      <c r="AA774" s="192" t="inlineStr">
        <is>
          <t>https://nvd.nist.gov/vuln/detail/CVE-2026-26993</t>
        </is>
      </c>
      <c r="AB774" s="191" t="inlineStr">
        <is>
          <t>NONE</t>
        </is>
      </c>
      <c r="AC774" s="191" t="n">
        <v>0</v>
      </c>
      <c r="AD774" s="191" t="n"/>
    </row>
    <row r="775">
      <c r="A775" s="191" t="inlineStr">
        <is>
          <t>CVE</t>
        </is>
      </c>
      <c r="B775" s="191" t="inlineStr">
        <is>
          <t>CVE-2026-26994</t>
        </is>
      </c>
      <c r="C775" s="191" t="inlineStr">
        <is>
          <t>uTLS is a fork of crypto/tls, created to customize ClientHello for fingerprinting resistance while still using it for the handshake. In versions 1.6.7 and below, uTLS did not implement the TLS 1.3 downgrade protection mechanism specified in RFC 8446 Section 4.1.3 when using a uTLS ClientHello spec. This allowed an active network adversary to downgrade TLS 1.3 connections initiated by a uTLS client to a lower TLS version (e.g., TLS 1.2) by modifying the ClientHello message to exclude the Supporte</t>
        </is>
      </c>
      <c r="D775" s="191" t="n">
        <v>6.5</v>
      </c>
      <c r="E775" s="191" t="inlineStr">
        <is>
          <t>MEDIUM</t>
        </is>
      </c>
      <c r="F775" s="191" t="n">
        <v>2</v>
      </c>
      <c r="G775" s="191" t="n">
        <v>2</v>
      </c>
      <c r="H775" s="191" t="inlineStr">
        <is>
          <t>MEDIUM</t>
        </is>
      </c>
      <c r="I775" s="191" t="n">
        <v>10.5</v>
      </c>
      <c r="J775" s="191" t="inlineStr">
        <is>
          <t>NO</t>
        </is>
      </c>
      <c r="K775" s="192" t="inlineStr">
        <is>
          <t>https://nvd.nist.gov/vuln/detail/CVE-2026-26994</t>
        </is>
      </c>
      <c r="L775" s="191" t="inlineStr">
        <is>
          <t>2026-02-23 23:48</t>
        </is>
      </c>
      <c r="M775" s="191" t="inlineStr">
        <is>
          <t>YES</t>
        </is>
      </c>
      <c r="N775" s="192" t="inlineStr">
        <is>
          <t>https://github.com/refraction-networking/utls/commit/f8892761e2a4d29054264651d3a86fda83bc83f9 | https://github.com/refraction-networking/utls/pull/337 | https://github.com/refraction-networking/utls/security/advisories/GHSA-pmc3-p9hx-jq96</t>
        </is>
      </c>
      <c r="O775" s="191" t="inlineStr">
        <is>
          <t>Apply vendor patches</t>
        </is>
      </c>
      <c r="P775" s="191" t="inlineStr">
        <is>
          <t>refraction-networking utls *</t>
        </is>
      </c>
      <c r="Q775" s="191" t="inlineStr">
        <is>
          <t>P4</t>
        </is>
      </c>
      <c r="R775" s="191" t="inlineStr">
        <is>
          <t>📅 Schedule patch deployment within 30 days | 🔍 Monitor for exploitation attempts</t>
        </is>
      </c>
      <c r="S775" s="191" t="inlineStr">
        <is>
          <t>CVE - IP enrichment n/a</t>
        </is>
      </c>
      <c r="T775" s="191" t="n">
        <v>0</v>
      </c>
      <c r="U775" s="191" t="n">
        <v>0</v>
      </c>
      <c r="V775" s="191" t="inlineStr">
        <is>
          <t>T1190:Exploit Public-Facing Application</t>
        </is>
      </c>
      <c r="W775" s="191" t="n">
        <v>1</v>
      </c>
      <c r="X775" s="191" t="inlineStr">
        <is>
          <t>LOW (40%)</t>
        </is>
      </c>
      <c r="Y775" s="191" t="inlineStr">
        <is>
          <t>UNLIKELY</t>
        </is>
      </c>
      <c r="Z775" s="191" t="inlineStr">
        <is>
          <t>PATCH_AVAILABLE</t>
        </is>
      </c>
      <c r="AA775" s="192" t="inlineStr">
        <is>
          <t>https://nvd.nist.gov/vuln/detail/CVE-2026-26994</t>
        </is>
      </c>
      <c r="AB775" s="191" t="inlineStr">
        <is>
          <t>NONE</t>
        </is>
      </c>
      <c r="AC775" s="191" t="n">
        <v>0</v>
      </c>
      <c r="AD775" s="191" t="n"/>
    </row>
    <row r="776">
      <c r="A776" s="191" t="inlineStr">
        <is>
          <t>CVE</t>
        </is>
      </c>
      <c r="B776" s="191" t="inlineStr">
        <is>
          <t>CVE-2026-26995</t>
        </is>
      </c>
      <c r="C776" s="191" t="inlineStr">
        <is>
          <t>Rejected reason: Further research determined the issue is an external dependency vulnerability.</t>
        </is>
      </c>
      <c r="D776" s="191" t="n">
        <v>5</v>
      </c>
      <c r="E776" s="191" t="inlineStr">
        <is>
          <t>MEDIUM</t>
        </is>
      </c>
      <c r="F776" s="191" t="n">
        <v>2</v>
      </c>
      <c r="G776" s="191" t="n">
        <v>2</v>
      </c>
      <c r="H776" s="191" t="inlineStr">
        <is>
          <t>MEDIUM</t>
        </is>
      </c>
      <c r="I776" s="191" t="n">
        <v>9</v>
      </c>
      <c r="J776" s="191" t="inlineStr">
        <is>
          <t>NO</t>
        </is>
      </c>
      <c r="K776" s="192" t="inlineStr">
        <is>
          <t>https://nvd.nist.gov/vuln/detail/CVE-2026-26995</t>
        </is>
      </c>
      <c r="L776" s="191" t="inlineStr">
        <is>
          <t>2026-02-23 23:48</t>
        </is>
      </c>
      <c r="M776" s="191" t="inlineStr">
        <is>
          <t>CHECK_VENDOR</t>
        </is>
      </c>
      <c r="N776" s="191" t="inlineStr">
        <is>
          <t>See NVD references</t>
        </is>
      </c>
      <c r="O776" s="191" t="inlineStr">
        <is>
          <t>Apply vendor patches</t>
        </is>
      </c>
      <c r="P776" s="191" t="inlineStr">
        <is>
          <t>See CVE details</t>
        </is>
      </c>
      <c r="Q776" s="191" t="inlineStr">
        <is>
          <t>P4</t>
        </is>
      </c>
      <c r="R776" s="191" t="inlineStr">
        <is>
          <t>📅 Schedule patch deployment within 30 days | 🔍 Monitor for exploitation attempts</t>
        </is>
      </c>
      <c r="S776" s="191" t="inlineStr">
        <is>
          <t>CVE - IP enrichment n/a</t>
        </is>
      </c>
      <c r="T776" s="191" t="n">
        <v>0</v>
      </c>
      <c r="U776" s="191" t="n">
        <v>0</v>
      </c>
      <c r="V776" s="191" t="inlineStr">
        <is>
          <t>T1190:Exploit Public-Facing Application</t>
        </is>
      </c>
      <c r="W776" s="191" t="n">
        <v>1</v>
      </c>
      <c r="X776" s="191" t="inlineStr">
        <is>
          <t>LOW (40%)</t>
        </is>
      </c>
      <c r="Y776" s="191" t="inlineStr">
        <is>
          <t>UNLIKELY</t>
        </is>
      </c>
      <c r="Z776" s="191" t="inlineStr">
        <is>
          <t>CHECK_VENDOR</t>
        </is>
      </c>
      <c r="AA776" s="192" t="inlineStr">
        <is>
          <t>https://nvd.nist.gov/vuln/detail/CVE-2026-26995</t>
        </is>
      </c>
      <c r="AB776" s="191" t="inlineStr">
        <is>
          <t>NONE</t>
        </is>
      </c>
      <c r="AC776" s="191" t="n">
        <v>0</v>
      </c>
      <c r="AD776" s="191" t="n"/>
    </row>
    <row r="777">
      <c r="A777" s="189" t="inlineStr">
        <is>
          <t>CVE</t>
        </is>
      </c>
      <c r="B777" s="189" t="inlineStr">
        <is>
          <t>CVE-2026-26996</t>
        </is>
      </c>
      <c r="C777" s="189" t="inlineStr">
        <is>
          <t xml:space="preserve">minimatch is a minimal matching utility for converting glob expressions into JavaScript RegExp objects. Versions 10.2.0 and below are vulnerable to Regular Expression Denial of Service (ReDoS) when a glob pattern contains many consecutive * wildcards followed by a literal character that doesn't appear in the test string. Each * compiles to a separate [^/]*? regex group, and when the match fails, V8's regex engine backtracks exponentially across all possible splits. The time complexity is O(4^N) </t>
        </is>
      </c>
      <c r="D777" s="189" t="n">
        <v>7.5</v>
      </c>
      <c r="E777" s="189" t="inlineStr">
        <is>
          <t>HIGH</t>
        </is>
      </c>
      <c r="F777" s="189" t="n">
        <v>2</v>
      </c>
      <c r="G777" s="189" t="n">
        <v>3</v>
      </c>
      <c r="H777" s="189" t="inlineStr">
        <is>
          <t>HIGH</t>
        </is>
      </c>
      <c r="I777" s="189" t="n">
        <v>13.5</v>
      </c>
      <c r="J777" s="189" t="inlineStr">
        <is>
          <t>NO</t>
        </is>
      </c>
      <c r="K777" s="190" t="inlineStr">
        <is>
          <t>https://nvd.nist.gov/vuln/detail/CVE-2026-26996</t>
        </is>
      </c>
      <c r="L777" s="189" t="inlineStr">
        <is>
          <t>2026-02-23 23:48</t>
        </is>
      </c>
      <c r="M777" s="189" t="inlineStr">
        <is>
          <t>YES</t>
        </is>
      </c>
      <c r="N777" s="190" t="inlineStr">
        <is>
          <t>https://github.com/isaacs/minimatch/commit/2e111f3a79abc00fa73110195de2c0f2351904f5 | https://github.com/isaacs/minimatch/security/advisories/GHSA-3ppc-4f35-3m26</t>
        </is>
      </c>
      <c r="O777" s="189" t="inlineStr">
        <is>
          <t>Apply vendor patches</t>
        </is>
      </c>
      <c r="P777" s="189" t="inlineStr">
        <is>
          <t>minimatch_project minimatch *</t>
        </is>
      </c>
      <c r="Q777" s="189" t="inlineStr">
        <is>
          <t>P3</t>
        </is>
      </c>
      <c r="R777" s="189" t="inlineStr">
        <is>
          <t>🚨 URGENT: Apply vendor patches immediately | 🔒 Isolate affected systems if patch unavailable | 🛡️ Enable additional monitoring/IDS rules</t>
        </is>
      </c>
      <c r="S777" s="189" t="inlineStr">
        <is>
          <t>CVE - IP enrichment n/a</t>
        </is>
      </c>
      <c r="T777" s="189" t="n">
        <v>0</v>
      </c>
      <c r="U777" s="189" t="n">
        <v>0</v>
      </c>
      <c r="V777" s="189" t="inlineStr">
        <is>
          <t>T1499:Endpoint Denial of Service</t>
        </is>
      </c>
      <c r="W777" s="189" t="n">
        <v>2</v>
      </c>
      <c r="X777" s="189" t="inlineStr">
        <is>
          <t>MEDIUM (52%)</t>
        </is>
      </c>
      <c r="Y777" s="189" t="inlineStr">
        <is>
          <t>UNLIKELY</t>
        </is>
      </c>
      <c r="Z777" s="189" t="inlineStr">
        <is>
          <t>PATCH_AVAILABLE</t>
        </is>
      </c>
      <c r="AA777" s="190" t="inlineStr">
        <is>
          <t>https://nvd.nist.gov/vuln/detail/CVE-2026-26996</t>
        </is>
      </c>
      <c r="AB777" s="189" t="inlineStr">
        <is>
          <t>NONE</t>
        </is>
      </c>
      <c r="AC777" s="189" t="n">
        <v>0</v>
      </c>
      <c r="AD777" s="189" t="n"/>
    </row>
    <row r="778">
      <c r="A778" s="191" t="inlineStr">
        <is>
          <t>CVE</t>
        </is>
      </c>
      <c r="B778" s="191" t="inlineStr">
        <is>
          <t>CVE-2026-27017</t>
        </is>
      </c>
      <c r="C778" s="191" t="inlineStr">
        <is>
          <t>uTLS is a fork of crypto/tls, created to customize ClientHello for fingerprinting resistance while still using it for the handshake. Versions 1.6.0 through 1.8.0 contain a fingerprint mismatch with Chrome when using GREASE ECH, related to cipher suite selection. When Chrome selects the preferred cipher suite in the outer ClientHello and for ECH, it does so consistently based on hardware support—for example, if it prefers AES for the outer cipher suite, it also uses AES for ECH. However, the Chro</t>
        </is>
      </c>
      <c r="D778" s="191" t="n">
        <v>5.3</v>
      </c>
      <c r="E778" s="191" t="inlineStr">
        <is>
          <t>MEDIUM</t>
        </is>
      </c>
      <c r="F778" s="191" t="n">
        <v>2</v>
      </c>
      <c r="G778" s="191" t="n">
        <v>2</v>
      </c>
      <c r="H778" s="191" t="inlineStr">
        <is>
          <t>MEDIUM</t>
        </is>
      </c>
      <c r="I778" s="191" t="n">
        <v>9.300000000000001</v>
      </c>
      <c r="J778" s="191" t="inlineStr">
        <is>
          <t>NO</t>
        </is>
      </c>
      <c r="K778" s="192" t="inlineStr">
        <is>
          <t>https://nvd.nist.gov/vuln/detail/CVE-2026-27017</t>
        </is>
      </c>
      <c r="L778" s="191" t="inlineStr">
        <is>
          <t>2026-02-23 23:48</t>
        </is>
      </c>
      <c r="M778" s="191" t="inlineStr">
        <is>
          <t>YES</t>
        </is>
      </c>
      <c r="N778" s="192" t="inlineStr">
        <is>
          <t>https://github.com/refraction-networking/utls/security/advisories/GHSA-7m29-f4hw-g2vx</t>
        </is>
      </c>
      <c r="O778" s="191" t="inlineStr">
        <is>
          <t>Apply vendor patches</t>
        </is>
      </c>
      <c r="P778" s="191" t="inlineStr">
        <is>
          <t>refraction-networking utls *</t>
        </is>
      </c>
      <c r="Q778" s="191" t="inlineStr">
        <is>
          <t>P4</t>
        </is>
      </c>
      <c r="R778" s="191" t="inlineStr">
        <is>
          <t>📅 Schedule patch deployment within 30 days | 🔍 Monitor for exploitation attempts</t>
        </is>
      </c>
      <c r="S778" s="191" t="inlineStr">
        <is>
          <t>CVE - IP enrichment n/a</t>
        </is>
      </c>
      <c r="T778" s="191" t="n">
        <v>0.0002</v>
      </c>
      <c r="U778" s="191" t="n">
        <v>0.0507</v>
      </c>
      <c r="V778" s="191" t="inlineStr">
        <is>
          <t>T1190:Exploit Public-Facing Application</t>
        </is>
      </c>
      <c r="W778" s="191" t="n">
        <v>1</v>
      </c>
      <c r="X778" s="191" t="inlineStr">
        <is>
          <t>LOW (40%)</t>
        </is>
      </c>
      <c r="Y778" s="191" t="inlineStr">
        <is>
          <t>UNLIKELY</t>
        </is>
      </c>
      <c r="Z778" s="191" t="inlineStr">
        <is>
          <t>PATCH_AVAILABLE</t>
        </is>
      </c>
      <c r="AA778" s="192" t="inlineStr">
        <is>
          <t>https://nvd.nist.gov/vuln/detail/CVE-2026-27017</t>
        </is>
      </c>
      <c r="AB778" s="191" t="inlineStr">
        <is>
          <t>NONE</t>
        </is>
      </c>
      <c r="AC778" s="191" t="n">
        <v>0</v>
      </c>
      <c r="AD778" s="191" t="n"/>
    </row>
    <row r="779">
      <c r="A779" s="191" t="inlineStr">
        <is>
          <t>CVE</t>
        </is>
      </c>
      <c r="B779" s="191" t="inlineStr">
        <is>
          <t>CVE-2026-2384</t>
        </is>
      </c>
      <c r="C779" s="191" t="inlineStr">
        <is>
          <t>The Quiz Maker plugin for WordPress is vulnerable to Stored Cross-Site Scripting via the plugin's `vc_quizmaker` shortcode in all versions up to, and including, 6.7.1.7 due to insufficient input sanitization and output escaping on user supplied attributes. This makes it possible for authenticated attackers, with contributor-level access and above, to inject arbitrary web scripts in pages that will execute whenever a user accesses an injected page._x000D_
Note: This vulnerability requires WPBakery Page</t>
        </is>
      </c>
      <c r="D779" s="191" t="n">
        <v>6.4</v>
      </c>
      <c r="E779" s="191" t="inlineStr">
        <is>
          <t>MEDIUM</t>
        </is>
      </c>
      <c r="F779" s="191" t="n">
        <v>2</v>
      </c>
      <c r="G779" s="191" t="n">
        <v>2</v>
      </c>
      <c r="H779" s="191" t="inlineStr">
        <is>
          <t>MEDIUM</t>
        </is>
      </c>
      <c r="I779" s="191" t="n">
        <v>10.4</v>
      </c>
      <c r="J779" s="191" t="inlineStr">
        <is>
          <t>NO</t>
        </is>
      </c>
      <c r="K779" s="192" t="inlineStr">
        <is>
          <t>https://nvd.nist.gov/vuln/detail/CVE-2026-2384</t>
        </is>
      </c>
      <c r="L779" s="191" t="inlineStr">
        <is>
          <t>2026-02-23 23:48</t>
        </is>
      </c>
      <c r="M779" s="191" t="inlineStr">
        <is>
          <t>CHECK_VENDOR</t>
        </is>
      </c>
      <c r="N779" s="191" t="inlineStr">
        <is>
          <t>See NVD references</t>
        </is>
      </c>
      <c r="O779" s="191" t="inlineStr">
        <is>
          <t>Apply vendor patches</t>
        </is>
      </c>
      <c r="P779" s="191" t="inlineStr">
        <is>
          <t>See CVE details</t>
        </is>
      </c>
      <c r="Q779" s="191" t="inlineStr">
        <is>
          <t>P4</t>
        </is>
      </c>
      <c r="R779" s="191" t="inlineStr">
        <is>
          <t>📅 Schedule patch deployment within 30 days | 🔍 Monitor for exploitation attempts</t>
        </is>
      </c>
      <c r="S779" s="191" t="inlineStr">
        <is>
          <t>CVE - IP enrichment n/a</t>
        </is>
      </c>
      <c r="T779" s="191" t="n">
        <v>0</v>
      </c>
      <c r="U779" s="191" t="n">
        <v>0</v>
      </c>
      <c r="V779" s="191" t="inlineStr">
        <is>
          <t>T1189:Drive-by Compromise</t>
        </is>
      </c>
      <c r="W779" s="191" t="n">
        <v>1</v>
      </c>
      <c r="X779" s="191" t="inlineStr">
        <is>
          <t>LOW (40%)</t>
        </is>
      </c>
      <c r="Y779" s="191" t="inlineStr">
        <is>
          <t>UNLIKELY</t>
        </is>
      </c>
      <c r="Z779" s="191" t="inlineStr">
        <is>
          <t>CHECK_VENDOR</t>
        </is>
      </c>
      <c r="AA779" s="192" t="inlineStr">
        <is>
          <t>https://nvd.nist.gov/vuln/detail/CVE-2026-2384</t>
        </is>
      </c>
      <c r="AB779" s="191" t="inlineStr">
        <is>
          <t>NONE</t>
        </is>
      </c>
      <c r="AC779" s="191" t="n">
        <v>0</v>
      </c>
      <c r="AD779" s="191" t="n"/>
    </row>
    <row r="780">
      <c r="A780" s="189" t="inlineStr">
        <is>
          <t>CVE</t>
        </is>
      </c>
      <c r="B780" s="189" t="inlineStr">
        <is>
          <t>CVE-2026-2821</t>
        </is>
      </c>
      <c r="C780" s="189" t="inlineStr">
        <is>
          <t>A weakness has been identified in Fujian Smart Integrated Management Platform System up to 7.5. Impacted is an unknown function of the file /Module/CRXT/Controller/XCamera.ashx. This manipulation of the argument ChannelName causes sql injection. Remote exploitation of the attack is possible. The exploit has been made available to the public and could be used for attacks.</t>
        </is>
      </c>
      <c r="D780" s="189" t="n">
        <v>7.3</v>
      </c>
      <c r="E780" s="189" t="inlineStr">
        <is>
          <t>HIGH</t>
        </is>
      </c>
      <c r="F780" s="189" t="n">
        <v>2</v>
      </c>
      <c r="G780" s="189" t="n">
        <v>3</v>
      </c>
      <c r="H780" s="189" t="inlineStr">
        <is>
          <t>HIGH</t>
        </is>
      </c>
      <c r="I780" s="189" t="n">
        <v>13.3</v>
      </c>
      <c r="J780" s="189" t="inlineStr">
        <is>
          <t>NO</t>
        </is>
      </c>
      <c r="K780" s="190" t="inlineStr">
        <is>
          <t>https://nvd.nist.gov/vuln/detail/CVE-2026-2821</t>
        </is>
      </c>
      <c r="L780" s="189" t="inlineStr">
        <is>
          <t>2026-02-23 23:48</t>
        </is>
      </c>
      <c r="M780" s="189" t="inlineStr">
        <is>
          <t>CHECK_VENDOR</t>
        </is>
      </c>
      <c r="N780" s="189" t="inlineStr">
        <is>
          <t>See NVD references</t>
        </is>
      </c>
      <c r="O780" s="189" t="inlineStr">
        <is>
          <t>Apply vendor patches</t>
        </is>
      </c>
      <c r="P780" s="189" t="inlineStr">
        <is>
          <t>See CVE details</t>
        </is>
      </c>
      <c r="Q780" s="189" t="inlineStr">
        <is>
          <t>P3</t>
        </is>
      </c>
      <c r="R780" s="189" t="inlineStr">
        <is>
          <t>🚨 URGENT: Apply vendor patches immediately | 🔒 Isolate affected systems if patch unavailable | 🛡️ Enable additional monitoring/IDS rules</t>
        </is>
      </c>
      <c r="S780" s="189" t="inlineStr">
        <is>
          <t>CVE - IP enrichment n/a</t>
        </is>
      </c>
      <c r="T780" s="189" t="n">
        <v>0</v>
      </c>
      <c r="U780" s="189" t="n">
        <v>0</v>
      </c>
      <c r="V780" s="189" t="inlineStr">
        <is>
          <t>T1190:Exploit Public-Facing Application</t>
        </is>
      </c>
      <c r="W780" s="189" t="n">
        <v>1</v>
      </c>
      <c r="X780" s="189" t="inlineStr">
        <is>
          <t>LOW (40%)</t>
        </is>
      </c>
      <c r="Y780" s="189" t="inlineStr">
        <is>
          <t>UNLIKELY</t>
        </is>
      </c>
      <c r="Z780" s="189" t="inlineStr">
        <is>
          <t>CHECK_VENDOR</t>
        </is>
      </c>
      <c r="AA780" s="190" t="inlineStr">
        <is>
          <t>https://nvd.nist.gov/vuln/detail/CVE-2026-2821</t>
        </is>
      </c>
      <c r="AB780" s="189" t="inlineStr">
        <is>
          <t>NONE</t>
        </is>
      </c>
      <c r="AC780" s="189" t="n">
        <v>0</v>
      </c>
      <c r="AD780" s="189" t="n"/>
    </row>
    <row r="781">
      <c r="A781" s="191" t="inlineStr">
        <is>
          <t>CVE</t>
        </is>
      </c>
      <c r="B781" s="191" t="inlineStr">
        <is>
          <t>CVE-2026-27317</t>
        </is>
      </c>
      <c r="C781" s="191" t="inlineStr">
        <is>
          <t>Rejected reason: Not used</t>
        </is>
      </c>
      <c r="D781" s="191" t="n">
        <v>5</v>
      </c>
      <c r="E781" s="191" t="inlineStr">
        <is>
          <t>MEDIUM</t>
        </is>
      </c>
      <c r="F781" s="191" t="n">
        <v>2</v>
      </c>
      <c r="G781" s="191" t="n">
        <v>2</v>
      </c>
      <c r="H781" s="191" t="inlineStr">
        <is>
          <t>MEDIUM</t>
        </is>
      </c>
      <c r="I781" s="191" t="n">
        <v>9</v>
      </c>
      <c r="J781" s="191" t="inlineStr">
        <is>
          <t>NO</t>
        </is>
      </c>
      <c r="K781" s="192" t="inlineStr">
        <is>
          <t>https://nvd.nist.gov/vuln/detail/CVE-2026-27317</t>
        </is>
      </c>
      <c r="L781" s="191" t="inlineStr">
        <is>
          <t>2026-02-23 23:48</t>
        </is>
      </c>
      <c r="M781" s="191" t="inlineStr">
        <is>
          <t>CHECK_VENDOR</t>
        </is>
      </c>
      <c r="N781" s="191" t="inlineStr">
        <is>
          <t>See NVD references</t>
        </is>
      </c>
      <c r="O781" s="191" t="inlineStr">
        <is>
          <t>Apply vendor patches</t>
        </is>
      </c>
      <c r="P781" s="191" t="inlineStr">
        <is>
          <t>See CVE details</t>
        </is>
      </c>
      <c r="Q781" s="191" t="inlineStr">
        <is>
          <t>P4</t>
        </is>
      </c>
      <c r="R781" s="191" t="inlineStr">
        <is>
          <t>📅 Schedule patch deployment within 30 days | 🔍 Monitor for exploitation attempts</t>
        </is>
      </c>
      <c r="S781" s="191" t="inlineStr">
        <is>
          <t>CVE - IP enrichment n/a</t>
        </is>
      </c>
      <c r="T781" s="191" t="n">
        <v>0</v>
      </c>
      <c r="U781" s="191" t="n">
        <v>0</v>
      </c>
      <c r="V781" s="191" t="inlineStr">
        <is>
          <t>T1190:Exploit Public-Facing Application</t>
        </is>
      </c>
      <c r="W781" s="191" t="n">
        <v>1</v>
      </c>
      <c r="X781" s="191" t="inlineStr">
        <is>
          <t>LOW (40%)</t>
        </is>
      </c>
      <c r="Y781" s="191" t="inlineStr">
        <is>
          <t>UNLIKELY</t>
        </is>
      </c>
      <c r="Z781" s="191" t="inlineStr">
        <is>
          <t>CHECK_VENDOR</t>
        </is>
      </c>
      <c r="AA781" s="192" t="inlineStr">
        <is>
          <t>https://nvd.nist.gov/vuln/detail/CVE-2026-27317</t>
        </is>
      </c>
      <c r="AB781" s="191" t="inlineStr">
        <is>
          <t>NONE</t>
        </is>
      </c>
      <c r="AC781" s="191" t="n">
        <v>0</v>
      </c>
      <c r="AD781" s="191" t="n"/>
    </row>
    <row r="782">
      <c r="A782" s="191" t="inlineStr">
        <is>
          <t>CVE</t>
        </is>
      </c>
      <c r="B782" s="191" t="inlineStr">
        <is>
          <t>CVE-2026-27318</t>
        </is>
      </c>
      <c r="C782" s="191" t="inlineStr">
        <is>
          <t>Rejected reason: Not used</t>
        </is>
      </c>
      <c r="D782" s="191" t="n">
        <v>5</v>
      </c>
      <c r="E782" s="191" t="inlineStr">
        <is>
          <t>MEDIUM</t>
        </is>
      </c>
      <c r="F782" s="191" t="n">
        <v>2</v>
      </c>
      <c r="G782" s="191" t="n">
        <v>2</v>
      </c>
      <c r="H782" s="191" t="inlineStr">
        <is>
          <t>MEDIUM</t>
        </is>
      </c>
      <c r="I782" s="191" t="n">
        <v>9</v>
      </c>
      <c r="J782" s="191" t="inlineStr">
        <is>
          <t>NO</t>
        </is>
      </c>
      <c r="K782" s="192" t="inlineStr">
        <is>
          <t>https://nvd.nist.gov/vuln/detail/CVE-2026-27318</t>
        </is>
      </c>
      <c r="L782" s="191" t="inlineStr">
        <is>
          <t>2026-02-23 23:48</t>
        </is>
      </c>
      <c r="M782" s="191" t="inlineStr">
        <is>
          <t>CHECK_VENDOR</t>
        </is>
      </c>
      <c r="N782" s="191" t="inlineStr">
        <is>
          <t>See NVD references</t>
        </is>
      </c>
      <c r="O782" s="191" t="inlineStr">
        <is>
          <t>Apply vendor patches</t>
        </is>
      </c>
      <c r="P782" s="191" t="inlineStr">
        <is>
          <t>See CVE details</t>
        </is>
      </c>
      <c r="Q782" s="191" t="inlineStr">
        <is>
          <t>P4</t>
        </is>
      </c>
      <c r="R782" s="191" t="inlineStr">
        <is>
          <t>📅 Schedule patch deployment within 30 days | 🔍 Monitor for exploitation attempts</t>
        </is>
      </c>
      <c r="S782" s="191" t="inlineStr">
        <is>
          <t>CVE - IP enrichment n/a</t>
        </is>
      </c>
      <c r="T782" s="191" t="n">
        <v>0</v>
      </c>
      <c r="U782" s="191" t="n">
        <v>0</v>
      </c>
      <c r="V782" s="191" t="inlineStr">
        <is>
          <t>T1190:Exploit Public-Facing Application</t>
        </is>
      </c>
      <c r="W782" s="191" t="n">
        <v>1</v>
      </c>
      <c r="X782" s="191" t="inlineStr">
        <is>
          <t>LOW (40%)</t>
        </is>
      </c>
      <c r="Y782" s="191" t="inlineStr">
        <is>
          <t>UNLIKELY</t>
        </is>
      </c>
      <c r="Z782" s="191" t="inlineStr">
        <is>
          <t>CHECK_VENDOR</t>
        </is>
      </c>
      <c r="AA782" s="192" t="inlineStr">
        <is>
          <t>https://nvd.nist.gov/vuln/detail/CVE-2026-27318</t>
        </is>
      </c>
      <c r="AB782" s="191" t="inlineStr">
        <is>
          <t>NONE</t>
        </is>
      </c>
      <c r="AC782" s="191" t="n">
        <v>0</v>
      </c>
      <c r="AD782" s="191" t="n"/>
    </row>
    <row r="783">
      <c r="A783" s="191" t="inlineStr">
        <is>
          <t>CVE</t>
        </is>
      </c>
      <c r="B783" s="191" t="inlineStr">
        <is>
          <t>CVE-2026-27319</t>
        </is>
      </c>
      <c r="C783" s="191" t="inlineStr">
        <is>
          <t>Rejected reason: Not used</t>
        </is>
      </c>
      <c r="D783" s="191" t="n">
        <v>5</v>
      </c>
      <c r="E783" s="191" t="inlineStr">
        <is>
          <t>MEDIUM</t>
        </is>
      </c>
      <c r="F783" s="191" t="n">
        <v>2</v>
      </c>
      <c r="G783" s="191" t="n">
        <v>2</v>
      </c>
      <c r="H783" s="191" t="inlineStr">
        <is>
          <t>MEDIUM</t>
        </is>
      </c>
      <c r="I783" s="191" t="n">
        <v>9</v>
      </c>
      <c r="J783" s="191" t="inlineStr">
        <is>
          <t>NO</t>
        </is>
      </c>
      <c r="K783" s="192" t="inlineStr">
        <is>
          <t>https://nvd.nist.gov/vuln/detail/CVE-2026-27319</t>
        </is>
      </c>
      <c r="L783" s="191" t="inlineStr">
        <is>
          <t>2026-02-23 23:48</t>
        </is>
      </c>
      <c r="M783" s="191" t="inlineStr">
        <is>
          <t>CHECK_VENDOR</t>
        </is>
      </c>
      <c r="N783" s="191" t="inlineStr">
        <is>
          <t>See NVD references</t>
        </is>
      </c>
      <c r="O783" s="191" t="inlineStr">
        <is>
          <t>Apply vendor patches</t>
        </is>
      </c>
      <c r="P783" s="191" t="inlineStr">
        <is>
          <t>See CVE details</t>
        </is>
      </c>
      <c r="Q783" s="191" t="inlineStr">
        <is>
          <t>P4</t>
        </is>
      </c>
      <c r="R783" s="191" t="inlineStr">
        <is>
          <t>📅 Schedule patch deployment within 30 days | 🔍 Monitor for exploitation attempts</t>
        </is>
      </c>
      <c r="S783" s="191" t="inlineStr">
        <is>
          <t>CVE - IP enrichment n/a</t>
        </is>
      </c>
      <c r="T783" s="191" t="n">
        <v>0</v>
      </c>
      <c r="U783" s="191" t="n">
        <v>0</v>
      </c>
      <c r="V783" s="191" t="inlineStr">
        <is>
          <t>T1190:Exploit Public-Facing Application</t>
        </is>
      </c>
      <c r="W783" s="191" t="n">
        <v>1</v>
      </c>
      <c r="X783" s="191" t="inlineStr">
        <is>
          <t>LOW (40%)</t>
        </is>
      </c>
      <c r="Y783" s="191" t="inlineStr">
        <is>
          <t>UNLIKELY</t>
        </is>
      </c>
      <c r="Z783" s="191" t="inlineStr">
        <is>
          <t>CHECK_VENDOR</t>
        </is>
      </c>
      <c r="AA783" s="192" t="inlineStr">
        <is>
          <t>https://nvd.nist.gov/vuln/detail/CVE-2026-27319</t>
        </is>
      </c>
      <c r="AB783" s="191" t="inlineStr">
        <is>
          <t>NONE</t>
        </is>
      </c>
      <c r="AC783" s="191" t="n">
        <v>0</v>
      </c>
      <c r="AD783" s="191" t="n"/>
    </row>
    <row r="784">
      <c r="A784" s="191" t="inlineStr">
        <is>
          <t>CVE</t>
        </is>
      </c>
      <c r="B784" s="191" t="inlineStr">
        <is>
          <t>CVE-2026-27320</t>
        </is>
      </c>
      <c r="C784" s="191" t="inlineStr">
        <is>
          <t>Rejected reason: Not used</t>
        </is>
      </c>
      <c r="D784" s="191" t="n">
        <v>5</v>
      </c>
      <c r="E784" s="191" t="inlineStr">
        <is>
          <t>MEDIUM</t>
        </is>
      </c>
      <c r="F784" s="191" t="n">
        <v>2</v>
      </c>
      <c r="G784" s="191" t="n">
        <v>2</v>
      </c>
      <c r="H784" s="191" t="inlineStr">
        <is>
          <t>MEDIUM</t>
        </is>
      </c>
      <c r="I784" s="191" t="n">
        <v>9</v>
      </c>
      <c r="J784" s="191" t="inlineStr">
        <is>
          <t>NO</t>
        </is>
      </c>
      <c r="K784" s="192" t="inlineStr">
        <is>
          <t>https://nvd.nist.gov/vuln/detail/CVE-2026-27320</t>
        </is>
      </c>
      <c r="L784" s="191" t="inlineStr">
        <is>
          <t>2026-02-23 23:48</t>
        </is>
      </c>
      <c r="M784" s="191" t="inlineStr">
        <is>
          <t>CHECK_VENDOR</t>
        </is>
      </c>
      <c r="N784" s="191" t="inlineStr">
        <is>
          <t>See NVD references</t>
        </is>
      </c>
      <c r="O784" s="191" t="inlineStr">
        <is>
          <t>Apply vendor patches</t>
        </is>
      </c>
      <c r="P784" s="191" t="inlineStr">
        <is>
          <t>See CVE details</t>
        </is>
      </c>
      <c r="Q784" s="191" t="inlineStr">
        <is>
          <t>P4</t>
        </is>
      </c>
      <c r="R784" s="191" t="inlineStr">
        <is>
          <t>📅 Schedule patch deployment within 30 days | 🔍 Monitor for exploitation attempts</t>
        </is>
      </c>
      <c r="S784" s="191" t="inlineStr">
        <is>
          <t>CVE - IP enrichment n/a</t>
        </is>
      </c>
      <c r="T784" s="191" t="n">
        <v>0</v>
      </c>
      <c r="U784" s="191" t="n">
        <v>0</v>
      </c>
      <c r="V784" s="191" t="inlineStr">
        <is>
          <t>T1190:Exploit Public-Facing Application</t>
        </is>
      </c>
      <c r="W784" s="191" t="n">
        <v>1</v>
      </c>
      <c r="X784" s="191" t="inlineStr">
        <is>
          <t>LOW (40%)</t>
        </is>
      </c>
      <c r="Y784" s="191" t="inlineStr">
        <is>
          <t>UNLIKELY</t>
        </is>
      </c>
      <c r="Z784" s="191" t="inlineStr">
        <is>
          <t>CHECK_VENDOR</t>
        </is>
      </c>
      <c r="AA784" s="192" t="inlineStr">
        <is>
          <t>https://nvd.nist.gov/vuln/detail/CVE-2026-27320</t>
        </is>
      </c>
      <c r="AB784" s="191" t="inlineStr">
        <is>
          <t>NONE</t>
        </is>
      </c>
      <c r="AC784" s="191" t="n">
        <v>0</v>
      </c>
      <c r="AD784" s="191" t="n"/>
    </row>
    <row r="785">
      <c r="A785" s="191" t="inlineStr">
        <is>
          <t>CVE</t>
        </is>
      </c>
      <c r="B785" s="191" t="inlineStr">
        <is>
          <t>CVE-2026-27321</t>
        </is>
      </c>
      <c r="C785" s="191" t="inlineStr">
        <is>
          <t>Rejected reason: Not used</t>
        </is>
      </c>
      <c r="D785" s="191" t="n">
        <v>5</v>
      </c>
      <c r="E785" s="191" t="inlineStr">
        <is>
          <t>MEDIUM</t>
        </is>
      </c>
      <c r="F785" s="191" t="n">
        <v>2</v>
      </c>
      <c r="G785" s="191" t="n">
        <v>2</v>
      </c>
      <c r="H785" s="191" t="inlineStr">
        <is>
          <t>MEDIUM</t>
        </is>
      </c>
      <c r="I785" s="191" t="n">
        <v>9</v>
      </c>
      <c r="J785" s="191" t="inlineStr">
        <is>
          <t>NO</t>
        </is>
      </c>
      <c r="K785" s="192" t="inlineStr">
        <is>
          <t>https://nvd.nist.gov/vuln/detail/CVE-2026-27321</t>
        </is>
      </c>
      <c r="L785" s="191" t="inlineStr">
        <is>
          <t>2026-02-23 23:48</t>
        </is>
      </c>
      <c r="M785" s="191" t="inlineStr">
        <is>
          <t>CHECK_VENDOR</t>
        </is>
      </c>
      <c r="N785" s="191" t="inlineStr">
        <is>
          <t>See NVD references</t>
        </is>
      </c>
      <c r="O785" s="191" t="inlineStr">
        <is>
          <t>Apply vendor patches</t>
        </is>
      </c>
      <c r="P785" s="191" t="inlineStr">
        <is>
          <t>See CVE details</t>
        </is>
      </c>
      <c r="Q785" s="191" t="inlineStr">
        <is>
          <t>P4</t>
        </is>
      </c>
      <c r="R785" s="191" t="inlineStr">
        <is>
          <t>📅 Schedule patch deployment within 30 days | 🔍 Monitor for exploitation attempts</t>
        </is>
      </c>
      <c r="S785" s="191" t="inlineStr">
        <is>
          <t>CVE - IP enrichment n/a</t>
        </is>
      </c>
      <c r="T785" s="191" t="n">
        <v>0</v>
      </c>
      <c r="U785" s="191" t="n">
        <v>0</v>
      </c>
      <c r="V785" s="191" t="inlineStr">
        <is>
          <t>T1190:Exploit Public-Facing Application</t>
        </is>
      </c>
      <c r="W785" s="191" t="n">
        <v>1</v>
      </c>
      <c r="X785" s="191" t="inlineStr">
        <is>
          <t>LOW (40%)</t>
        </is>
      </c>
      <c r="Y785" s="191" t="inlineStr">
        <is>
          <t>UNLIKELY</t>
        </is>
      </c>
      <c r="Z785" s="191" t="inlineStr">
        <is>
          <t>CHECK_VENDOR</t>
        </is>
      </c>
      <c r="AA785" s="192" t="inlineStr">
        <is>
          <t>https://nvd.nist.gov/vuln/detail/CVE-2026-27321</t>
        </is>
      </c>
      <c r="AB785" s="191" t="inlineStr">
        <is>
          <t>NONE</t>
        </is>
      </c>
      <c r="AC785" s="191" t="n">
        <v>0</v>
      </c>
      <c r="AD785" s="191" t="n"/>
    </row>
    <row r="786">
      <c r="A786" s="191" t="inlineStr">
        <is>
          <t>CVE</t>
        </is>
      </c>
      <c r="B786" s="191" t="inlineStr">
        <is>
          <t>CVE-2026-27322</t>
        </is>
      </c>
      <c r="C786" s="191" t="inlineStr">
        <is>
          <t>Rejected reason: Not used</t>
        </is>
      </c>
      <c r="D786" s="191" t="n">
        <v>5</v>
      </c>
      <c r="E786" s="191" t="inlineStr">
        <is>
          <t>MEDIUM</t>
        </is>
      </c>
      <c r="F786" s="191" t="n">
        <v>2</v>
      </c>
      <c r="G786" s="191" t="n">
        <v>2</v>
      </c>
      <c r="H786" s="191" t="inlineStr">
        <is>
          <t>MEDIUM</t>
        </is>
      </c>
      <c r="I786" s="191" t="n">
        <v>9</v>
      </c>
      <c r="J786" s="191" t="inlineStr">
        <is>
          <t>NO</t>
        </is>
      </c>
      <c r="K786" s="192" t="inlineStr">
        <is>
          <t>https://nvd.nist.gov/vuln/detail/CVE-2026-27322</t>
        </is>
      </c>
      <c r="L786" s="191" t="inlineStr">
        <is>
          <t>2026-02-23 23:48</t>
        </is>
      </c>
      <c r="M786" s="191" t="inlineStr">
        <is>
          <t>CHECK_VENDOR</t>
        </is>
      </c>
      <c r="N786" s="191" t="inlineStr">
        <is>
          <t>See NVD references</t>
        </is>
      </c>
      <c r="O786" s="191" t="inlineStr">
        <is>
          <t>Apply vendor patches</t>
        </is>
      </c>
      <c r="P786" s="191" t="inlineStr">
        <is>
          <t>See CVE details</t>
        </is>
      </c>
      <c r="Q786" s="191" t="inlineStr">
        <is>
          <t>P4</t>
        </is>
      </c>
      <c r="R786" s="191" t="inlineStr">
        <is>
          <t>📅 Schedule patch deployment within 30 days | 🔍 Monitor for exploitation attempts</t>
        </is>
      </c>
      <c r="S786" s="191" t="inlineStr">
        <is>
          <t>CVE - IP enrichment n/a</t>
        </is>
      </c>
      <c r="T786" s="191" t="n">
        <v>0</v>
      </c>
      <c r="U786" s="191" t="n">
        <v>0</v>
      </c>
      <c r="V786" s="191" t="inlineStr">
        <is>
          <t>T1190:Exploit Public-Facing Application</t>
        </is>
      </c>
      <c r="W786" s="191" t="n">
        <v>1</v>
      </c>
      <c r="X786" s="191" t="inlineStr">
        <is>
          <t>LOW (40%)</t>
        </is>
      </c>
      <c r="Y786" s="191" t="inlineStr">
        <is>
          <t>UNLIKELY</t>
        </is>
      </c>
      <c r="Z786" s="191" t="inlineStr">
        <is>
          <t>CHECK_VENDOR</t>
        </is>
      </c>
      <c r="AA786" s="192" t="inlineStr">
        <is>
          <t>https://nvd.nist.gov/vuln/detail/CVE-2026-27322</t>
        </is>
      </c>
      <c r="AB786" s="191" t="inlineStr">
        <is>
          <t>NONE</t>
        </is>
      </c>
      <c r="AC786" s="191" t="n">
        <v>0</v>
      </c>
      <c r="AD786" s="191" t="n"/>
    </row>
    <row r="787">
      <c r="A787" s="191" t="inlineStr">
        <is>
          <t>CVE</t>
        </is>
      </c>
      <c r="B787" s="191" t="inlineStr">
        <is>
          <t>CVE-2026-27323</t>
        </is>
      </c>
      <c r="C787" s="191" t="inlineStr">
        <is>
          <t>Rejected reason: Not used</t>
        </is>
      </c>
      <c r="D787" s="191" t="n">
        <v>5</v>
      </c>
      <c r="E787" s="191" t="inlineStr">
        <is>
          <t>MEDIUM</t>
        </is>
      </c>
      <c r="F787" s="191" t="n">
        <v>2</v>
      </c>
      <c r="G787" s="191" t="n">
        <v>2</v>
      </c>
      <c r="H787" s="191" t="inlineStr">
        <is>
          <t>MEDIUM</t>
        </is>
      </c>
      <c r="I787" s="191" t="n">
        <v>9</v>
      </c>
      <c r="J787" s="191" t="inlineStr">
        <is>
          <t>NO</t>
        </is>
      </c>
      <c r="K787" s="192" t="inlineStr">
        <is>
          <t>https://nvd.nist.gov/vuln/detail/CVE-2026-27323</t>
        </is>
      </c>
      <c r="L787" s="191" t="inlineStr">
        <is>
          <t>2026-02-23 23:48</t>
        </is>
      </c>
      <c r="M787" s="191" t="inlineStr">
        <is>
          <t>CHECK_VENDOR</t>
        </is>
      </c>
      <c r="N787" s="191" t="inlineStr">
        <is>
          <t>See NVD references</t>
        </is>
      </c>
      <c r="O787" s="191" t="inlineStr">
        <is>
          <t>Apply vendor patches</t>
        </is>
      </c>
      <c r="P787" s="191" t="inlineStr">
        <is>
          <t>See CVE details</t>
        </is>
      </c>
      <c r="Q787" s="191" t="inlineStr">
        <is>
          <t>P4</t>
        </is>
      </c>
      <c r="R787" s="191" t="inlineStr">
        <is>
          <t>📅 Schedule patch deployment within 30 days | 🔍 Monitor for exploitation attempts</t>
        </is>
      </c>
      <c r="S787" s="191" t="inlineStr">
        <is>
          <t>CVE - IP enrichment n/a</t>
        </is>
      </c>
      <c r="T787" s="191" t="n">
        <v>0</v>
      </c>
      <c r="U787" s="191" t="n">
        <v>0</v>
      </c>
      <c r="V787" s="191" t="inlineStr">
        <is>
          <t>T1190:Exploit Public-Facing Application</t>
        </is>
      </c>
      <c r="W787" s="191" t="n">
        <v>1</v>
      </c>
      <c r="X787" s="191" t="inlineStr">
        <is>
          <t>LOW (40%)</t>
        </is>
      </c>
      <c r="Y787" s="191" t="inlineStr">
        <is>
          <t>UNLIKELY</t>
        </is>
      </c>
      <c r="Z787" s="191" t="inlineStr">
        <is>
          <t>CHECK_VENDOR</t>
        </is>
      </c>
      <c r="AA787" s="192" t="inlineStr">
        <is>
          <t>https://nvd.nist.gov/vuln/detail/CVE-2026-27323</t>
        </is>
      </c>
      <c r="AB787" s="191" t="inlineStr">
        <is>
          <t>NONE</t>
        </is>
      </c>
      <c r="AC787" s="191" t="n">
        <v>0</v>
      </c>
      <c r="AD787" s="191" t="n"/>
    </row>
    <row r="788">
      <c r="A788" s="191" t="inlineStr">
        <is>
          <t>CVE</t>
        </is>
      </c>
      <c r="B788" s="191" t="inlineStr">
        <is>
          <t>CVE-2026-27324</t>
        </is>
      </c>
      <c r="C788" s="191" t="inlineStr">
        <is>
          <t>Rejected reason: Not used</t>
        </is>
      </c>
      <c r="D788" s="191" t="n">
        <v>5</v>
      </c>
      <c r="E788" s="191" t="inlineStr">
        <is>
          <t>MEDIUM</t>
        </is>
      </c>
      <c r="F788" s="191" t="n">
        <v>2</v>
      </c>
      <c r="G788" s="191" t="n">
        <v>2</v>
      </c>
      <c r="H788" s="191" t="inlineStr">
        <is>
          <t>MEDIUM</t>
        </is>
      </c>
      <c r="I788" s="191" t="n">
        <v>9</v>
      </c>
      <c r="J788" s="191" t="inlineStr">
        <is>
          <t>NO</t>
        </is>
      </c>
      <c r="K788" s="192" t="inlineStr">
        <is>
          <t>https://nvd.nist.gov/vuln/detail/CVE-2026-27324</t>
        </is>
      </c>
      <c r="L788" s="191" t="inlineStr">
        <is>
          <t>2026-02-23 23:48</t>
        </is>
      </c>
      <c r="M788" s="191" t="inlineStr">
        <is>
          <t>CHECK_VENDOR</t>
        </is>
      </c>
      <c r="N788" s="191" t="inlineStr">
        <is>
          <t>See NVD references</t>
        </is>
      </c>
      <c r="O788" s="191" t="inlineStr">
        <is>
          <t>Apply vendor patches</t>
        </is>
      </c>
      <c r="P788" s="191" t="inlineStr">
        <is>
          <t>See CVE details</t>
        </is>
      </c>
      <c r="Q788" s="191" t="inlineStr">
        <is>
          <t>P4</t>
        </is>
      </c>
      <c r="R788" s="191" t="inlineStr">
        <is>
          <t>📅 Schedule patch deployment within 30 days | 🔍 Monitor for exploitation attempts</t>
        </is>
      </c>
      <c r="S788" s="191" t="inlineStr">
        <is>
          <t>CVE - IP enrichment n/a</t>
        </is>
      </c>
      <c r="T788" s="191" t="n">
        <v>0</v>
      </c>
      <c r="U788" s="191" t="n">
        <v>0</v>
      </c>
      <c r="V788" s="191" t="inlineStr">
        <is>
          <t>T1190:Exploit Public-Facing Application</t>
        </is>
      </c>
      <c r="W788" s="191" t="n">
        <v>1</v>
      </c>
      <c r="X788" s="191" t="inlineStr">
        <is>
          <t>LOW (40%)</t>
        </is>
      </c>
      <c r="Y788" s="191" t="inlineStr">
        <is>
          <t>UNLIKELY</t>
        </is>
      </c>
      <c r="Z788" s="191" t="inlineStr">
        <is>
          <t>CHECK_VENDOR</t>
        </is>
      </c>
      <c r="AA788" s="192" t="inlineStr">
        <is>
          <t>https://nvd.nist.gov/vuln/detail/CVE-2026-27324</t>
        </is>
      </c>
      <c r="AB788" s="191" t="inlineStr">
        <is>
          <t>NONE</t>
        </is>
      </c>
      <c r="AC788" s="191" t="n">
        <v>0</v>
      </c>
      <c r="AD788" s="191" t="n"/>
    </row>
    <row r="789">
      <c r="A789" s="191" t="inlineStr">
        <is>
          <t>CVE</t>
        </is>
      </c>
      <c r="B789" s="191" t="inlineStr">
        <is>
          <t>CVE-2026-27325</t>
        </is>
      </c>
      <c r="C789" s="191" t="inlineStr">
        <is>
          <t>Rejected reason: Not used</t>
        </is>
      </c>
      <c r="D789" s="191" t="n">
        <v>5</v>
      </c>
      <c r="E789" s="191" t="inlineStr">
        <is>
          <t>MEDIUM</t>
        </is>
      </c>
      <c r="F789" s="191" t="n">
        <v>2</v>
      </c>
      <c r="G789" s="191" t="n">
        <v>2</v>
      </c>
      <c r="H789" s="191" t="inlineStr">
        <is>
          <t>MEDIUM</t>
        </is>
      </c>
      <c r="I789" s="191" t="n">
        <v>9</v>
      </c>
      <c r="J789" s="191" t="inlineStr">
        <is>
          <t>NO</t>
        </is>
      </c>
      <c r="K789" s="192" t="inlineStr">
        <is>
          <t>https://nvd.nist.gov/vuln/detail/CVE-2026-27325</t>
        </is>
      </c>
      <c r="L789" s="191" t="inlineStr">
        <is>
          <t>2026-02-23 23:48</t>
        </is>
      </c>
      <c r="M789" s="191" t="inlineStr">
        <is>
          <t>CHECK_VENDOR</t>
        </is>
      </c>
      <c r="N789" s="191" t="inlineStr">
        <is>
          <t>See NVD references</t>
        </is>
      </c>
      <c r="O789" s="191" t="inlineStr">
        <is>
          <t>Apply vendor patches</t>
        </is>
      </c>
      <c r="P789" s="191" t="inlineStr">
        <is>
          <t>See CVE details</t>
        </is>
      </c>
      <c r="Q789" s="191" t="inlineStr">
        <is>
          <t>P4</t>
        </is>
      </c>
      <c r="R789" s="191" t="inlineStr">
        <is>
          <t>📅 Schedule patch deployment within 30 days | 🔍 Monitor for exploitation attempts</t>
        </is>
      </c>
      <c r="S789" s="191" t="inlineStr">
        <is>
          <t>CVE - IP enrichment n/a</t>
        </is>
      </c>
      <c r="T789" s="191" t="n">
        <v>0</v>
      </c>
      <c r="U789" s="191" t="n">
        <v>0</v>
      </c>
      <c r="V789" s="191" t="inlineStr">
        <is>
          <t>T1190:Exploit Public-Facing Application</t>
        </is>
      </c>
      <c r="W789" s="191" t="n">
        <v>1</v>
      </c>
      <c r="X789" s="191" t="inlineStr">
        <is>
          <t>LOW (40%)</t>
        </is>
      </c>
      <c r="Y789" s="191" t="inlineStr">
        <is>
          <t>UNLIKELY</t>
        </is>
      </c>
      <c r="Z789" s="191" t="inlineStr">
        <is>
          <t>CHECK_VENDOR</t>
        </is>
      </c>
      <c r="AA789" s="192" t="inlineStr">
        <is>
          <t>https://nvd.nist.gov/vuln/detail/CVE-2026-27325</t>
        </is>
      </c>
      <c r="AB789" s="191" t="inlineStr">
        <is>
          <t>NONE</t>
        </is>
      </c>
      <c r="AC789" s="191" t="n">
        <v>0</v>
      </c>
      <c r="AD789" s="191" t="n"/>
    </row>
    <row r="790">
      <c r="A790" s="191" t="inlineStr">
        <is>
          <t>CVE</t>
        </is>
      </c>
      <c r="B790" s="191" t="inlineStr">
        <is>
          <t>CVE-2026-2739</t>
        </is>
      </c>
      <c r="C790" s="191" t="inlineStr">
        <is>
          <t>This affects versions of the package bn.js before 5.2.3. Calling maskn(0) on any BN instance corrupts the internal state, causing toString(), divmod(), and other methods to enter an infinite loop, hanging the process indefinitely.</t>
        </is>
      </c>
      <c r="D790" s="191" t="n">
        <v>5.3</v>
      </c>
      <c r="E790" s="191" t="inlineStr">
        <is>
          <t>MEDIUM</t>
        </is>
      </c>
      <c r="F790" s="191" t="n">
        <v>2</v>
      </c>
      <c r="G790" s="191" t="n">
        <v>2</v>
      </c>
      <c r="H790" s="191" t="inlineStr">
        <is>
          <t>MEDIUM</t>
        </is>
      </c>
      <c r="I790" s="191" t="n">
        <v>9.300000000000001</v>
      </c>
      <c r="J790" s="191" t="inlineStr">
        <is>
          <t>NO</t>
        </is>
      </c>
      <c r="K790" s="192" t="inlineStr">
        <is>
          <t>https://nvd.nist.gov/vuln/detail/CVE-2026-2739</t>
        </is>
      </c>
      <c r="L790" s="191" t="inlineStr">
        <is>
          <t>2026-02-23 23:48</t>
        </is>
      </c>
      <c r="M790" s="191" t="inlineStr">
        <is>
          <t>CHECK_VENDOR</t>
        </is>
      </c>
      <c r="N790" s="191" t="inlineStr">
        <is>
          <t>See NVD references</t>
        </is>
      </c>
      <c r="O790" s="191" t="inlineStr">
        <is>
          <t>Apply vendor patches</t>
        </is>
      </c>
      <c r="P790" s="191" t="inlineStr">
        <is>
          <t>See CVE details</t>
        </is>
      </c>
      <c r="Q790" s="191" t="inlineStr">
        <is>
          <t>P3</t>
        </is>
      </c>
      <c r="R790" s="191" t="inlineStr">
        <is>
          <t>📅 Schedule patch deployment within 30 days | 🔍 Monitor for exploitation attempts</t>
        </is>
      </c>
      <c r="S790" s="191" t="inlineStr">
        <is>
          <t>CVE - IP enrichment n/a</t>
        </is>
      </c>
      <c r="T790" s="191" t="n">
        <v>0</v>
      </c>
      <c r="U790" s="191" t="n">
        <v>0</v>
      </c>
      <c r="V790" s="191" t="inlineStr">
        <is>
          <t>T1190:Exploit Public-Facing Application</t>
        </is>
      </c>
      <c r="W790" s="191" t="n">
        <v>2</v>
      </c>
      <c r="X790" s="191" t="inlineStr">
        <is>
          <t>MEDIUM (52%)</t>
        </is>
      </c>
      <c r="Y790" s="191" t="inlineStr">
        <is>
          <t>UNLIKELY</t>
        </is>
      </c>
      <c r="Z790" s="191" t="inlineStr">
        <is>
          <t>CHECK_VENDOR</t>
        </is>
      </c>
      <c r="AA790" s="192" t="inlineStr">
        <is>
          <t>https://nvd.nist.gov/vuln/detail/CVE-2026-2739</t>
        </is>
      </c>
      <c r="AB790" s="191" t="inlineStr">
        <is>
          <t>NONE</t>
        </is>
      </c>
      <c r="AC790" s="191" t="n">
        <v>0</v>
      </c>
      <c r="AD790" s="191" t="n"/>
    </row>
    <row r="791">
      <c r="A791" s="191" t="inlineStr">
        <is>
          <t>CVE</t>
        </is>
      </c>
      <c r="B791" s="191" t="inlineStr">
        <is>
          <t>CVE-2026-2822</t>
        </is>
      </c>
      <c r="C791" s="191" t="inlineStr">
        <is>
          <t>A security vulnerability has been detected in JeecgBoot up to 3.9.1. The affected element is an unknown function of the file /jeecgboot/sys/dict/loadDict/airag_app,1,create_by of the component Backend Interface. Such manipulation of the argument keyword leads to sql injection. The attack can be executed remotely. The exploit has been disclosed publicly and may be used.</t>
        </is>
      </c>
      <c r="D791" s="191" t="n">
        <v>6.3</v>
      </c>
      <c r="E791" s="191" t="inlineStr">
        <is>
          <t>MEDIUM</t>
        </is>
      </c>
      <c r="F791" s="191" t="n">
        <v>2</v>
      </c>
      <c r="G791" s="191" t="n">
        <v>2</v>
      </c>
      <c r="H791" s="191" t="inlineStr">
        <is>
          <t>MEDIUM</t>
        </is>
      </c>
      <c r="I791" s="191" t="n">
        <v>10.3</v>
      </c>
      <c r="J791" s="191" t="inlineStr">
        <is>
          <t>NO</t>
        </is>
      </c>
      <c r="K791" s="192" t="inlineStr">
        <is>
          <t>https://nvd.nist.gov/vuln/detail/CVE-2026-2822</t>
        </is>
      </c>
      <c r="L791" s="191" t="inlineStr">
        <is>
          <t>2026-02-23 23:48</t>
        </is>
      </c>
      <c r="M791" s="191" t="inlineStr">
        <is>
          <t>CHECK_VENDOR</t>
        </is>
      </c>
      <c r="N791" s="191" t="inlineStr">
        <is>
          <t>See NVD references</t>
        </is>
      </c>
      <c r="O791" s="191" t="inlineStr">
        <is>
          <t>Apply vendor patches</t>
        </is>
      </c>
      <c r="P791" s="191" t="inlineStr">
        <is>
          <t>See CVE details</t>
        </is>
      </c>
      <c r="Q791" s="191" t="inlineStr">
        <is>
          <t>P4</t>
        </is>
      </c>
      <c r="R791" s="191" t="inlineStr">
        <is>
          <t>📅 Schedule patch deployment within 30 days | 🔍 Monitor for exploitation attempts</t>
        </is>
      </c>
      <c r="S791" s="191" t="inlineStr">
        <is>
          <t>CVE - IP enrichment n/a</t>
        </is>
      </c>
      <c r="T791" s="191" t="n">
        <v>0</v>
      </c>
      <c r="U791" s="191" t="n">
        <v>0</v>
      </c>
      <c r="V791" s="191" t="inlineStr">
        <is>
          <t>T1190:Exploit Public-Facing Application</t>
        </is>
      </c>
      <c r="W791" s="191" t="n">
        <v>1</v>
      </c>
      <c r="X791" s="191" t="inlineStr">
        <is>
          <t>LOW (40%)</t>
        </is>
      </c>
      <c r="Y791" s="191" t="inlineStr">
        <is>
          <t>UNLIKELY</t>
        </is>
      </c>
      <c r="Z791" s="191" t="inlineStr">
        <is>
          <t>CHECK_VENDOR</t>
        </is>
      </c>
      <c r="AA791" s="192" t="inlineStr">
        <is>
          <t>https://nvd.nist.gov/vuln/detail/CVE-2026-2822</t>
        </is>
      </c>
      <c r="AB791" s="191" t="inlineStr">
        <is>
          <t>NONE</t>
        </is>
      </c>
      <c r="AC791" s="191" t="n">
        <v>0</v>
      </c>
      <c r="AD791" s="191" t="n"/>
    </row>
    <row r="792">
      <c r="A792" s="191" t="inlineStr">
        <is>
          <t>CVE</t>
        </is>
      </c>
      <c r="B792" s="191" t="inlineStr">
        <is>
          <t>CVE-2026-2823</t>
        </is>
      </c>
      <c r="C792" s="191" t="inlineStr">
        <is>
          <t>A vulnerability was detected in Comfast CF-E7 2.6.0.9. The impacted element is the function sub_41ACCC of the file /cgi-bin/mbox-config?method=SET&amp;section=ntp_timezone of the component webmggnt. Performing a manipulation of the argument timestr results in command injection. The attack is possible to be carried out remotely. The exploit is now public and may be used. The vendor was contacted early about this disclosure but did not respond in any way.</t>
        </is>
      </c>
      <c r="D792" s="191" t="n">
        <v>6.3</v>
      </c>
      <c r="E792" s="191" t="inlineStr">
        <is>
          <t>MEDIUM</t>
        </is>
      </c>
      <c r="F792" s="191" t="n">
        <v>2</v>
      </c>
      <c r="G792" s="191" t="n">
        <v>2</v>
      </c>
      <c r="H792" s="191" t="inlineStr">
        <is>
          <t>MEDIUM</t>
        </is>
      </c>
      <c r="I792" s="191" t="n">
        <v>10.3</v>
      </c>
      <c r="J792" s="191" t="inlineStr">
        <is>
          <t>NO</t>
        </is>
      </c>
      <c r="K792" s="192" t="inlineStr">
        <is>
          <t>https://nvd.nist.gov/vuln/detail/CVE-2026-2823</t>
        </is>
      </c>
      <c r="L792" s="191" t="inlineStr">
        <is>
          <t>2026-02-23 23:48</t>
        </is>
      </c>
      <c r="M792" s="191" t="inlineStr">
        <is>
          <t>CHECK_VENDOR</t>
        </is>
      </c>
      <c r="N792" s="191" t="inlineStr">
        <is>
          <t>See NVD references</t>
        </is>
      </c>
      <c r="O792" s="191" t="inlineStr">
        <is>
          <t>Apply vendor patches</t>
        </is>
      </c>
      <c r="P792" s="191" t="inlineStr">
        <is>
          <t>comfast cf-e7 - | comfast cf-e7_firmware 2.6.0.9</t>
        </is>
      </c>
      <c r="Q792" s="191" t="inlineStr">
        <is>
          <t>P4</t>
        </is>
      </c>
      <c r="R792" s="191" t="inlineStr">
        <is>
          <t>📅 Schedule patch deployment within 30 days | 🔍 Monitor for exploitation attempts</t>
        </is>
      </c>
      <c r="S792" s="191" t="inlineStr">
        <is>
          <t>CVE - IP enrichment n/a</t>
        </is>
      </c>
      <c r="T792" s="191" t="n">
        <v>0</v>
      </c>
      <c r="U792" s="191" t="n">
        <v>0</v>
      </c>
      <c r="V792" s="191" t="inlineStr">
        <is>
          <t>T1059:Command and Scripting Interpreter</t>
        </is>
      </c>
      <c r="W792" s="191" t="n">
        <v>1</v>
      </c>
      <c r="X792" s="191" t="inlineStr">
        <is>
          <t>LOW (40%)</t>
        </is>
      </c>
      <c r="Y792" s="191" t="inlineStr">
        <is>
          <t>UNLIKELY</t>
        </is>
      </c>
      <c r="Z792" s="191" t="inlineStr">
        <is>
          <t>CHECK_VENDOR</t>
        </is>
      </c>
      <c r="AA792" s="192" t="inlineStr">
        <is>
          <t>https://nvd.nist.gov/vuln/detail/CVE-2026-2823</t>
        </is>
      </c>
      <c r="AB792" s="191" t="inlineStr">
        <is>
          <t>NONE</t>
        </is>
      </c>
      <c r="AC792" s="191" t="n">
        <v>0</v>
      </c>
      <c r="AD792" s="191" t="n"/>
    </row>
    <row r="793">
      <c r="A793" s="191" t="inlineStr">
        <is>
          <t>CVE</t>
        </is>
      </c>
      <c r="B793" s="191" t="inlineStr">
        <is>
          <t>CVE-2026-2824</t>
        </is>
      </c>
      <c r="C793" s="191" t="inlineStr">
        <is>
          <t>A flaw has been found in Comfast CF-E7 2.6.0.9. This affects the function sub_441CF4 of the file /cgi-bin/mbox-config?method=SET&amp;section=ping_config of the component webmggnt. Executing a manipulation of the argument destination can lead to command injection. The attack may be performed from remote. The exploit has been published and may be used. The vendor was contacted early about this disclosure but did not respond in any way.</t>
        </is>
      </c>
      <c r="D793" s="191" t="n">
        <v>6.3</v>
      </c>
      <c r="E793" s="191" t="inlineStr">
        <is>
          <t>MEDIUM</t>
        </is>
      </c>
      <c r="F793" s="191" t="n">
        <v>2</v>
      </c>
      <c r="G793" s="191" t="n">
        <v>2</v>
      </c>
      <c r="H793" s="191" t="inlineStr">
        <is>
          <t>MEDIUM</t>
        </is>
      </c>
      <c r="I793" s="191" t="n">
        <v>10.3</v>
      </c>
      <c r="J793" s="191" t="inlineStr">
        <is>
          <t>NO</t>
        </is>
      </c>
      <c r="K793" s="192" t="inlineStr">
        <is>
          <t>https://nvd.nist.gov/vuln/detail/CVE-2026-2824</t>
        </is>
      </c>
      <c r="L793" s="191" t="inlineStr">
        <is>
          <t>2026-02-23 23:48</t>
        </is>
      </c>
      <c r="M793" s="191" t="inlineStr">
        <is>
          <t>CHECK_VENDOR</t>
        </is>
      </c>
      <c r="N793" s="191" t="inlineStr">
        <is>
          <t>See NVD references</t>
        </is>
      </c>
      <c r="O793" s="191" t="inlineStr">
        <is>
          <t>Apply vendor patches</t>
        </is>
      </c>
      <c r="P793" s="191" t="inlineStr">
        <is>
          <t>comfast cf-e7 - | comfast cf-e7_firmware 2.6.0.9</t>
        </is>
      </c>
      <c r="Q793" s="191" t="inlineStr">
        <is>
          <t>P4</t>
        </is>
      </c>
      <c r="R793" s="191" t="inlineStr">
        <is>
          <t>📅 Schedule patch deployment within 30 days | 🔍 Monitor for exploitation attempts</t>
        </is>
      </c>
      <c r="S793" s="191" t="inlineStr">
        <is>
          <t>CVE - IP enrichment n/a</t>
        </is>
      </c>
      <c r="T793" s="191" t="n">
        <v>0</v>
      </c>
      <c r="U793" s="191" t="n">
        <v>0</v>
      </c>
      <c r="V793" s="191" t="inlineStr">
        <is>
          <t>T1059:Command and Scripting Interpreter</t>
        </is>
      </c>
      <c r="W793" s="191" t="n">
        <v>1</v>
      </c>
      <c r="X793" s="191" t="inlineStr">
        <is>
          <t>LOW (40%)</t>
        </is>
      </c>
      <c r="Y793" s="191" t="inlineStr">
        <is>
          <t>UNLIKELY</t>
        </is>
      </c>
      <c r="Z793" s="191" t="inlineStr">
        <is>
          <t>CHECK_VENDOR</t>
        </is>
      </c>
      <c r="AA793" s="192" t="inlineStr">
        <is>
          <t>https://nvd.nist.gov/vuln/detail/CVE-2026-2824</t>
        </is>
      </c>
      <c r="AB793" s="191" t="inlineStr">
        <is>
          <t>NONE</t>
        </is>
      </c>
      <c r="AC793" s="191" t="n">
        <v>0</v>
      </c>
      <c r="AD793" s="191" t="n"/>
    </row>
    <row r="794">
      <c r="A794" s="195" t="inlineStr">
        <is>
          <t>CVE</t>
        </is>
      </c>
      <c r="B794" s="195" t="inlineStr">
        <is>
          <t>CVE-2026-2825</t>
        </is>
      </c>
      <c r="C794" s="195" t="inlineStr">
        <is>
          <t>A vulnerability has been found in rachelos WeRSS we-mp-rss up to 1.4.8. This impacts the function fix_html of the file tools/fix.py of the component Article Module. The manipulation leads to cross site scripting. It is possible to initiate the attack remotely. The exploit has been disclosed to the public and may be used.</t>
        </is>
      </c>
      <c r="D794" s="195" t="n">
        <v>3.5</v>
      </c>
      <c r="E794" s="195" t="inlineStr">
        <is>
          <t>LOW</t>
        </is>
      </c>
      <c r="F794" s="195" t="n">
        <v>2</v>
      </c>
      <c r="G794" s="195" t="n">
        <v>1</v>
      </c>
      <c r="H794" s="195" t="inlineStr">
        <is>
          <t>LOW</t>
        </is>
      </c>
      <c r="I794" s="195" t="n">
        <v>5.5</v>
      </c>
      <c r="J794" s="195" t="inlineStr">
        <is>
          <t>NO</t>
        </is>
      </c>
      <c r="K794" s="196" t="inlineStr">
        <is>
          <t>https://nvd.nist.gov/vuln/detail/CVE-2026-2825</t>
        </is>
      </c>
      <c r="L794" s="195" t="inlineStr">
        <is>
          <t>2026-02-23 23:48</t>
        </is>
      </c>
      <c r="M794" s="195" t="inlineStr">
        <is>
          <t>CHECK_VENDOR</t>
        </is>
      </c>
      <c r="N794" s="195" t="inlineStr">
        <is>
          <t>See NVD references</t>
        </is>
      </c>
      <c r="O794" s="195" t="inlineStr">
        <is>
          <t>Apply vendor patches</t>
        </is>
      </c>
      <c r="P794" s="195" t="inlineStr">
        <is>
          <t>See CVE details</t>
        </is>
      </c>
      <c r="Q794" s="195" t="inlineStr">
        <is>
          <t>P4</t>
        </is>
      </c>
      <c r="R794" s="195" t="inlineStr">
        <is>
          <t>📅 Schedule patch deployment within 30 days | 🔍 Monitor for exploitation attempts</t>
        </is>
      </c>
      <c r="S794" s="195" t="inlineStr">
        <is>
          <t>CVE - IP enrichment n/a</t>
        </is>
      </c>
      <c r="T794" s="195" t="n">
        <v>0.0003</v>
      </c>
      <c r="U794" s="195" t="n">
        <v>0.081</v>
      </c>
      <c r="V794" s="195" t="inlineStr">
        <is>
          <t>T1189:Drive-by Compromise</t>
        </is>
      </c>
      <c r="W794" s="195" t="n">
        <v>1</v>
      </c>
      <c r="X794" s="195" t="inlineStr">
        <is>
          <t>LOW (40%)</t>
        </is>
      </c>
      <c r="Y794" s="195" t="inlineStr">
        <is>
          <t>UNLIKELY</t>
        </is>
      </c>
      <c r="Z794" s="195" t="inlineStr">
        <is>
          <t>CHECK_VENDOR</t>
        </is>
      </c>
      <c r="AA794" s="196" t="inlineStr">
        <is>
          <t>https://nvd.nist.gov/vuln/detail/CVE-2026-2825</t>
        </is>
      </c>
      <c r="AB794" s="195" t="inlineStr">
        <is>
          <t>NONE</t>
        </is>
      </c>
      <c r="AC794" s="195" t="n">
        <v>0</v>
      </c>
      <c r="AD794" s="195" t="n"/>
    </row>
    <row r="795">
      <c r="A795" s="191" t="inlineStr">
        <is>
          <t>CVE</t>
        </is>
      </c>
      <c r="B795" s="191" t="inlineStr">
        <is>
          <t>CVE-2025-59819</t>
        </is>
      </c>
      <c r="C795" s="191" t="inlineStr">
        <is>
          <t>This vulnerability allows authenticated attackers to read an arbitrary file by changing a filepath parameter into an internal system path.</t>
        </is>
      </c>
      <c r="D795" s="191" t="n">
        <v>6.5</v>
      </c>
      <c r="E795" s="191" t="inlineStr">
        <is>
          <t>MEDIUM</t>
        </is>
      </c>
      <c r="F795" s="191" t="n">
        <v>2</v>
      </c>
      <c r="G795" s="191" t="n">
        <v>2</v>
      </c>
      <c r="H795" s="191" t="inlineStr">
        <is>
          <t>MEDIUM</t>
        </is>
      </c>
      <c r="I795" s="191" t="n">
        <v>10.5</v>
      </c>
      <c r="J795" s="191" t="inlineStr">
        <is>
          <t>NO</t>
        </is>
      </c>
      <c r="K795" s="192" t="inlineStr">
        <is>
          <t>https://nvd.nist.gov/vuln/detail/CVE-2025-59819</t>
        </is>
      </c>
      <c r="L795" s="191" t="inlineStr">
        <is>
          <t>2026-02-23 23:48</t>
        </is>
      </c>
      <c r="M795" s="191" t="inlineStr">
        <is>
          <t>CHECK_VENDOR</t>
        </is>
      </c>
      <c r="N795" s="191" t="inlineStr">
        <is>
          <t>See NVD references</t>
        </is>
      </c>
      <c r="O795" s="191" t="inlineStr">
        <is>
          <t>Apply vendor patches</t>
        </is>
      </c>
      <c r="P795" s="191" t="inlineStr">
        <is>
          <t>See CVE details</t>
        </is>
      </c>
      <c r="Q795" s="191" t="inlineStr">
        <is>
          <t>P4</t>
        </is>
      </c>
      <c r="R795" s="191" t="inlineStr">
        <is>
          <t>📅 Schedule patch deployment within 30 days | 🔍 Monitor for exploitation attempts</t>
        </is>
      </c>
      <c r="S795" s="191" t="inlineStr">
        <is>
          <t>CVE - IP enrichment n/a</t>
        </is>
      </c>
      <c r="T795" s="191" t="n">
        <v>0</v>
      </c>
      <c r="U795" s="191" t="n">
        <v>0</v>
      </c>
      <c r="V795" s="191" t="inlineStr">
        <is>
          <t>T1083:File and Directory Discovery</t>
        </is>
      </c>
      <c r="W795" s="191" t="n">
        <v>1</v>
      </c>
      <c r="X795" s="191" t="inlineStr">
        <is>
          <t>LOW (40%)</t>
        </is>
      </c>
      <c r="Y795" s="191" t="inlineStr">
        <is>
          <t>UNLIKELY</t>
        </is>
      </c>
      <c r="Z795" s="191" t="inlineStr">
        <is>
          <t>CHECK_VENDOR</t>
        </is>
      </c>
      <c r="AA795" s="192" t="inlineStr">
        <is>
          <t>https://nvd.nist.gov/vuln/detail/CVE-2025-59819</t>
        </is>
      </c>
      <c r="AB795" s="191" t="inlineStr">
        <is>
          <t>NONE</t>
        </is>
      </c>
      <c r="AC795" s="191" t="n">
        <v>0</v>
      </c>
      <c r="AD795" s="191" t="n"/>
    </row>
    <row r="796">
      <c r="A796" s="191" t="inlineStr">
        <is>
          <t>CVE</t>
        </is>
      </c>
      <c r="B796" s="191" t="inlineStr">
        <is>
          <t>CVE-2026-26370</t>
        </is>
      </c>
      <c r="C796" s="191" t="inlineStr">
        <is>
          <t>WordPress Plugin "Survey Maker" versions 5.1.7.7 and prior contain a cross-site scripting vulnerability. If this vulnerability is exploited, an arbitrary script may be executed in the user's web browser.</t>
        </is>
      </c>
      <c r="D796" s="191" t="n">
        <v>6.1</v>
      </c>
      <c r="E796" s="191" t="inlineStr">
        <is>
          <t>MEDIUM</t>
        </is>
      </c>
      <c r="F796" s="191" t="n">
        <v>2</v>
      </c>
      <c r="G796" s="191" t="n">
        <v>2</v>
      </c>
      <c r="H796" s="191" t="inlineStr">
        <is>
          <t>MEDIUM</t>
        </is>
      </c>
      <c r="I796" s="191" t="n">
        <v>10.1</v>
      </c>
      <c r="J796" s="191" t="inlineStr">
        <is>
          <t>NO</t>
        </is>
      </c>
      <c r="K796" s="192" t="inlineStr">
        <is>
          <t>https://nvd.nist.gov/vuln/detail/CVE-2026-26370</t>
        </is>
      </c>
      <c r="L796" s="191" t="inlineStr">
        <is>
          <t>2026-02-23 23:48</t>
        </is>
      </c>
      <c r="M796" s="191" t="inlineStr">
        <is>
          <t>CHECK_VENDOR</t>
        </is>
      </c>
      <c r="N796" s="191" t="inlineStr">
        <is>
          <t>See NVD references</t>
        </is>
      </c>
      <c r="O796" s="191" t="inlineStr">
        <is>
          <t>Apply vendor patches</t>
        </is>
      </c>
      <c r="P796" s="191" t="inlineStr">
        <is>
          <t>See CVE details</t>
        </is>
      </c>
      <c r="Q796" s="191" t="inlineStr">
        <is>
          <t>P4</t>
        </is>
      </c>
      <c r="R796" s="191" t="inlineStr">
        <is>
          <t>📅 Schedule patch deployment within 30 days | 🔍 Monitor for exploitation attempts</t>
        </is>
      </c>
      <c r="S796" s="191" t="inlineStr">
        <is>
          <t>CVE - IP enrichment n/a</t>
        </is>
      </c>
      <c r="T796" s="191" t="n">
        <v>0</v>
      </c>
      <c r="U796" s="191" t="n">
        <v>0</v>
      </c>
      <c r="V796" s="191" t="inlineStr">
        <is>
          <t>T1189:Drive-by Compromise</t>
        </is>
      </c>
      <c r="W796" s="191" t="n">
        <v>1</v>
      </c>
      <c r="X796" s="191" t="inlineStr">
        <is>
          <t>LOW (40%)</t>
        </is>
      </c>
      <c r="Y796" s="191" t="inlineStr">
        <is>
          <t>UNLIKELY</t>
        </is>
      </c>
      <c r="Z796" s="191" t="inlineStr">
        <is>
          <t>CHECK_VENDOR</t>
        </is>
      </c>
      <c r="AA796" s="192" t="inlineStr">
        <is>
          <t>https://nvd.nist.gov/vuln/detail/CVE-2026-26370</t>
        </is>
      </c>
      <c r="AB796" s="191" t="inlineStr">
        <is>
          <t>NONE</t>
        </is>
      </c>
      <c r="AC796" s="191" t="n">
        <v>0</v>
      </c>
      <c r="AD796" s="191" t="n"/>
    </row>
    <row r="797">
      <c r="A797" s="189" t="inlineStr">
        <is>
          <t>CVE</t>
        </is>
      </c>
      <c r="B797" s="189" t="inlineStr">
        <is>
          <t>CVE-2026-26050</t>
        </is>
      </c>
      <c r="C797" s="189" t="inlineStr">
        <is>
          <t>The installer for ジョブログ集計/分析ソフトウェア RICOHジョブログ集計ツール versions prior to Ver.1.3.7 contains an issue with the DLL search path, which may lead to insecurely loading Dynamic Link Libraries. As a result, arbitrary code may be executed with administrative privileges.</t>
        </is>
      </c>
      <c r="D797" s="189" t="n">
        <v>7.8</v>
      </c>
      <c r="E797" s="189" t="inlineStr">
        <is>
          <t>HIGH</t>
        </is>
      </c>
      <c r="F797" s="189" t="n">
        <v>2</v>
      </c>
      <c r="G797" s="189" t="n">
        <v>3</v>
      </c>
      <c r="H797" s="189" t="inlineStr">
        <is>
          <t>HIGH</t>
        </is>
      </c>
      <c r="I797" s="189" t="n">
        <v>13.8</v>
      </c>
      <c r="J797" s="189" t="inlineStr">
        <is>
          <t>NO</t>
        </is>
      </c>
      <c r="K797" s="190" t="inlineStr">
        <is>
          <t>https://nvd.nist.gov/vuln/detail/CVE-2026-26050</t>
        </is>
      </c>
      <c r="L797" s="189" t="inlineStr">
        <is>
          <t>2026-02-23 23:48</t>
        </is>
      </c>
      <c r="M797" s="189" t="inlineStr">
        <is>
          <t>CHECK_VENDOR</t>
        </is>
      </c>
      <c r="N797" s="189" t="inlineStr">
        <is>
          <t>See NVD references</t>
        </is>
      </c>
      <c r="O797" s="189" t="inlineStr">
        <is>
          <t>Apply vendor patches</t>
        </is>
      </c>
      <c r="P797" s="189" t="inlineStr">
        <is>
          <t>See CVE details</t>
        </is>
      </c>
      <c r="Q797" s="189" t="inlineStr">
        <is>
          <t>P3</t>
        </is>
      </c>
      <c r="R797" s="189" t="inlineStr">
        <is>
          <t>🚨 URGENT: Apply vendor patches immediately | 🔒 Isolate affected systems if patch unavailable | 🛡️ Enable additional monitoring/IDS rules</t>
        </is>
      </c>
      <c r="S797" s="189" t="inlineStr">
        <is>
          <t>CVE - IP enrichment n/a</t>
        </is>
      </c>
      <c r="T797" s="189" t="n">
        <v>0</v>
      </c>
      <c r="U797" s="189" t="n">
        <v>0</v>
      </c>
      <c r="V797" s="189" t="inlineStr">
        <is>
          <t>T1203:Exploitation for Client Execution</t>
        </is>
      </c>
      <c r="W797" s="189" t="n">
        <v>1</v>
      </c>
      <c r="X797" s="189" t="inlineStr">
        <is>
          <t>LOW (40%)</t>
        </is>
      </c>
      <c r="Y797" s="189" t="inlineStr">
        <is>
          <t>UNLIKELY</t>
        </is>
      </c>
      <c r="Z797" s="189" t="inlineStr">
        <is>
          <t>CHECK_VENDOR</t>
        </is>
      </c>
      <c r="AA797" s="190" t="inlineStr">
        <is>
          <t>https://nvd.nist.gov/vuln/detail/CVE-2026-26050</t>
        </is>
      </c>
      <c r="AB797" s="189" t="inlineStr">
        <is>
          <t>NONE</t>
        </is>
      </c>
      <c r="AC797" s="189" t="n">
        <v>0</v>
      </c>
      <c r="AD797" s="189" t="n"/>
    </row>
    <row r="798">
      <c r="A798" s="191" t="inlineStr">
        <is>
          <t>CVE</t>
        </is>
      </c>
      <c r="B798" s="191" t="inlineStr">
        <is>
          <t>CVE-2026-21620</t>
        </is>
      </c>
      <c r="C798" s="191" t="inlineStr">
        <is>
          <t>Relative Path Traversal, Improper Isolation or Compartmentalization vulnerability in erlang otp erlang/otp (tftp_file modules), erlang otp inets (tftp_file modules), erlang otp tftp (tftp_file modules) allows Relative Path Traversal. This vulnerability is associated with program files lib/tftp/src/tftp_file.erl, src/tftp_file.erl.
This issue affects otp: from 17.0, from 07b8f441ca711f9812fad9e9115bab3c3aa92f79; otp: from 5.10 before 7.0; otp: from 1.0.</t>
        </is>
      </c>
      <c r="D798" s="191" t="n">
        <v>5</v>
      </c>
      <c r="E798" s="191" t="inlineStr">
        <is>
          <t>MEDIUM</t>
        </is>
      </c>
      <c r="F798" s="191" t="n">
        <v>2</v>
      </c>
      <c r="G798" s="191" t="n">
        <v>2</v>
      </c>
      <c r="H798" s="191" t="inlineStr">
        <is>
          <t>MEDIUM</t>
        </is>
      </c>
      <c r="I798" s="191" t="n">
        <v>9</v>
      </c>
      <c r="J798" s="191" t="inlineStr">
        <is>
          <t>NO</t>
        </is>
      </c>
      <c r="K798" s="192" t="inlineStr">
        <is>
          <t>https://nvd.nist.gov/vuln/detail/CVE-2026-21620</t>
        </is>
      </c>
      <c r="L798" s="191" t="inlineStr">
        <is>
          <t>2026-02-23 23:48</t>
        </is>
      </c>
      <c r="M798" s="191" t="inlineStr">
        <is>
          <t>CHECK_VENDOR</t>
        </is>
      </c>
      <c r="N798" s="191" t="inlineStr">
        <is>
          <t>See NVD references</t>
        </is>
      </c>
      <c r="O798" s="191" t="inlineStr">
        <is>
          <t>Apply vendor patches</t>
        </is>
      </c>
      <c r="P798" s="191" t="inlineStr">
        <is>
          <t>See CVE details</t>
        </is>
      </c>
      <c r="Q798" s="191" t="inlineStr">
        <is>
          <t>P3</t>
        </is>
      </c>
      <c r="R798" s="191" t="inlineStr">
        <is>
          <t>📅 Schedule patch deployment within 30 days | 🔍 Monitor for exploitation attempts</t>
        </is>
      </c>
      <c r="S798" s="191" t="inlineStr">
        <is>
          <t>CVE - IP enrichment n/a</t>
        </is>
      </c>
      <c r="T798" s="191" t="n">
        <v>0</v>
      </c>
      <c r="U798" s="191" t="n">
        <v>0</v>
      </c>
      <c r="V798" s="191" t="inlineStr">
        <is>
          <t>T1083:File and Directory Discovery</t>
        </is>
      </c>
      <c r="W798" s="191" t="n">
        <v>2</v>
      </c>
      <c r="X798" s="191" t="inlineStr">
        <is>
          <t>MEDIUM (52%)</t>
        </is>
      </c>
      <c r="Y798" s="191" t="inlineStr">
        <is>
          <t>UNLIKELY</t>
        </is>
      </c>
      <c r="Z798" s="191" t="inlineStr">
        <is>
          <t>CHECK_VENDOR</t>
        </is>
      </c>
      <c r="AA798" s="192" t="inlineStr">
        <is>
          <t>https://nvd.nist.gov/vuln/detail/CVE-2026-21620</t>
        </is>
      </c>
      <c r="AB798" s="191" t="inlineStr">
        <is>
          <t>NONE</t>
        </is>
      </c>
      <c r="AC798" s="191" t="n">
        <v>0</v>
      </c>
      <c r="AD798" s="191" t="n"/>
    </row>
    <row r="799">
      <c r="A799" s="193" t="inlineStr">
        <is>
          <t>CVE</t>
        </is>
      </c>
      <c r="B799" s="193" t="inlineStr">
        <is>
          <t>CVE-2025-10970</t>
        </is>
      </c>
      <c r="C799" s="193" t="inlineStr">
        <is>
          <t>Improper Neutralization of Special Elements used in an SQL Command ('SQL Injection') vulnerability in Kolay Software Inc. Talentics allows Blind SQL Injection.This issue affects Talentics: through 20022026.
NOTE: The vendor was contacted early about this disclosure but did not respond in any way.</t>
        </is>
      </c>
      <c r="D799" s="193" t="n">
        <v>9.800000000000001</v>
      </c>
      <c r="E799" s="193" t="inlineStr">
        <is>
          <t>CRITICAL</t>
        </is>
      </c>
      <c r="F799" s="193" t="n">
        <v>2</v>
      </c>
      <c r="G799" s="193" t="n">
        <v>3</v>
      </c>
      <c r="H799" s="193" t="inlineStr">
        <is>
          <t>HIGH</t>
        </is>
      </c>
      <c r="I799" s="193" t="n">
        <v>15.8</v>
      </c>
      <c r="J799" s="193" t="inlineStr">
        <is>
          <t>NO</t>
        </is>
      </c>
      <c r="K799" s="194" t="inlineStr">
        <is>
          <t>https://nvd.nist.gov/vuln/detail/CVE-2025-10970</t>
        </is>
      </c>
      <c r="L799" s="193" t="inlineStr">
        <is>
          <t>2026-02-23 23:48</t>
        </is>
      </c>
      <c r="M799" s="193" t="inlineStr">
        <is>
          <t>CHECK_VENDOR</t>
        </is>
      </c>
      <c r="N799" s="193" t="inlineStr">
        <is>
          <t>See NVD references</t>
        </is>
      </c>
      <c r="O799" s="193" t="inlineStr">
        <is>
          <t>Apply vendor patches</t>
        </is>
      </c>
      <c r="P799" s="193" t="inlineStr">
        <is>
          <t>See CVE details</t>
        </is>
      </c>
      <c r="Q799" s="193" t="inlineStr">
        <is>
          <t>P3</t>
        </is>
      </c>
      <c r="R799" s="193" t="inlineStr">
        <is>
          <t>🚨 URGENT: Apply vendor patches immediately | 🔒 Isolate affected systems if patch unavailable | 🛡️ Enable additional monitoring/IDS rules</t>
        </is>
      </c>
      <c r="S799" s="193" t="inlineStr">
        <is>
          <t>CVE - IP enrichment n/a</t>
        </is>
      </c>
      <c r="T799" s="193" t="n">
        <v>0</v>
      </c>
      <c r="U799" s="193" t="n">
        <v>0</v>
      </c>
      <c r="V799" s="193" t="inlineStr">
        <is>
          <t>T1190:Exploit Public-Facing Application</t>
        </is>
      </c>
      <c r="W799" s="193" t="n">
        <v>1</v>
      </c>
      <c r="X799" s="193" t="inlineStr">
        <is>
          <t>LOW (40%)</t>
        </is>
      </c>
      <c r="Y799" s="193" t="inlineStr">
        <is>
          <t>UNLIKELY</t>
        </is>
      </c>
      <c r="Z799" s="193" t="inlineStr">
        <is>
          <t>CHECK_VENDOR</t>
        </is>
      </c>
      <c r="AA799" s="194" t="inlineStr">
        <is>
          <t>https://nvd.nist.gov/vuln/detail/CVE-2025-10970</t>
        </is>
      </c>
      <c r="AB799" s="193" t="inlineStr">
        <is>
          <t>NONE</t>
        </is>
      </c>
      <c r="AC799" s="193" t="n">
        <v>0</v>
      </c>
      <c r="AD799" s="193" t="n"/>
    </row>
    <row r="800">
      <c r="A800" s="191" t="inlineStr">
        <is>
          <t>CVE</t>
        </is>
      </c>
      <c r="B800" s="191" t="inlineStr">
        <is>
          <t>CVE-2026-2486</t>
        </is>
      </c>
      <c r="C800" s="191" t="inlineStr">
        <is>
          <t>The Master Addons For Elementor plugin for WordPress is vulnerable to Stored Cross-Site Scripting via the 'ma_el_bh_table_btn_text' parameter in versions up to, and including, 2.1.1 due to insufficient input sanitization and output escaping. This makes it possible for authenticated attackers, with contributor-level access and above, to inject arbitrary web scripts in pages that will execute whenever a user accesses an injected page.</t>
        </is>
      </c>
      <c r="D800" s="191" t="n">
        <v>6.4</v>
      </c>
      <c r="E800" s="191" t="inlineStr">
        <is>
          <t>MEDIUM</t>
        </is>
      </c>
      <c r="F800" s="191" t="n">
        <v>2</v>
      </c>
      <c r="G800" s="191" t="n">
        <v>2</v>
      </c>
      <c r="H800" s="191" t="inlineStr">
        <is>
          <t>MEDIUM</t>
        </is>
      </c>
      <c r="I800" s="191" t="n">
        <v>10.4</v>
      </c>
      <c r="J800" s="191" t="inlineStr">
        <is>
          <t>NO</t>
        </is>
      </c>
      <c r="K800" s="192" t="inlineStr">
        <is>
          <t>https://nvd.nist.gov/vuln/detail/CVE-2026-2486</t>
        </is>
      </c>
      <c r="L800" s="191" t="inlineStr">
        <is>
          <t>2026-02-23 23:48</t>
        </is>
      </c>
      <c r="M800" s="191" t="inlineStr">
        <is>
          <t>CHECK_VENDOR</t>
        </is>
      </c>
      <c r="N800" s="191" t="inlineStr">
        <is>
          <t>See NVD references</t>
        </is>
      </c>
      <c r="O800" s="191" t="inlineStr">
        <is>
          <t>Apply vendor patches</t>
        </is>
      </c>
      <c r="P800" s="191" t="inlineStr">
        <is>
          <t>See CVE details</t>
        </is>
      </c>
      <c r="Q800" s="191" t="inlineStr">
        <is>
          <t>P4</t>
        </is>
      </c>
      <c r="R800" s="191" t="inlineStr">
        <is>
          <t>📅 Schedule patch deployment within 30 days | 🔍 Monitor for exploitation attempts</t>
        </is>
      </c>
      <c r="S800" s="191" t="inlineStr">
        <is>
          <t>CVE - IP enrichment n/a</t>
        </is>
      </c>
      <c r="T800" s="191" t="n">
        <v>0</v>
      </c>
      <c r="U800" s="191" t="n">
        <v>0</v>
      </c>
      <c r="V800" s="191" t="inlineStr">
        <is>
          <t>T1189:Drive-by Compromise</t>
        </is>
      </c>
      <c r="W800" s="191" t="n">
        <v>1</v>
      </c>
      <c r="X800" s="191" t="inlineStr">
        <is>
          <t>LOW (40%)</t>
        </is>
      </c>
      <c r="Y800" s="191" t="inlineStr">
        <is>
          <t>UNLIKELY</t>
        </is>
      </c>
      <c r="Z800" s="191" t="inlineStr">
        <is>
          <t>CHECK_VENDOR</t>
        </is>
      </c>
      <c r="AA800" s="192" t="inlineStr">
        <is>
          <t>https://nvd.nist.gov/vuln/detail/CVE-2026-2486</t>
        </is>
      </c>
      <c r="AB800" s="191" t="inlineStr">
        <is>
          <t>NONE</t>
        </is>
      </c>
      <c r="AC800" s="191" t="n">
        <v>0</v>
      </c>
      <c r="AD800" s="191" t="n"/>
    </row>
    <row r="801">
      <c r="A801" s="191" t="inlineStr">
        <is>
          <t>CVE</t>
        </is>
      </c>
      <c r="B801" s="191" t="inlineStr">
        <is>
          <t>CVE-2025-14055</t>
        </is>
      </c>
      <c r="C801" s="191" t="inlineStr">
        <is>
          <t>An integer underflow vulnerability in Silicon Labs Secure NCP host implementation allows a buffer overread via a specially crafted packet.</t>
        </is>
      </c>
      <c r="D801" s="191" t="n">
        <v>5</v>
      </c>
      <c r="E801" s="191" t="inlineStr">
        <is>
          <t>MEDIUM</t>
        </is>
      </c>
      <c r="F801" s="191" t="n">
        <v>2</v>
      </c>
      <c r="G801" s="191" t="n">
        <v>2</v>
      </c>
      <c r="H801" s="191" t="inlineStr">
        <is>
          <t>MEDIUM</t>
        </is>
      </c>
      <c r="I801" s="191" t="n">
        <v>9</v>
      </c>
      <c r="J801" s="191" t="inlineStr">
        <is>
          <t>NO</t>
        </is>
      </c>
      <c r="K801" s="192" t="inlineStr">
        <is>
          <t>https://nvd.nist.gov/vuln/detail/CVE-2025-14055</t>
        </is>
      </c>
      <c r="L801" s="191" t="inlineStr">
        <is>
          <t>2026-02-23 23:48</t>
        </is>
      </c>
      <c r="M801" s="191" t="inlineStr">
        <is>
          <t>CHECK_VENDOR</t>
        </is>
      </c>
      <c r="N801" s="191" t="inlineStr">
        <is>
          <t>See NVD references</t>
        </is>
      </c>
      <c r="O801" s="191" t="inlineStr">
        <is>
          <t>Apply vendor patches</t>
        </is>
      </c>
      <c r="P801" s="191" t="inlineStr">
        <is>
          <t>See CVE details</t>
        </is>
      </c>
      <c r="Q801" s="191" t="inlineStr">
        <is>
          <t>P4</t>
        </is>
      </c>
      <c r="R801" s="191" t="inlineStr">
        <is>
          <t>📅 Schedule patch deployment within 30 days | 🔍 Monitor for exploitation attempts</t>
        </is>
      </c>
      <c r="S801" s="191" t="inlineStr">
        <is>
          <t>CVE - IP enrichment n/a</t>
        </is>
      </c>
      <c r="T801" s="191" t="n">
        <v>0</v>
      </c>
      <c r="U801" s="191" t="n">
        <v>0</v>
      </c>
      <c r="V801" s="191" t="inlineStr">
        <is>
          <t>T1203:Exploitation for Client Execution</t>
        </is>
      </c>
      <c r="W801" s="191" t="n">
        <v>1</v>
      </c>
      <c r="X801" s="191" t="inlineStr">
        <is>
          <t>LOW (40%)</t>
        </is>
      </c>
      <c r="Y801" s="191" t="inlineStr">
        <is>
          <t>UNLIKELY</t>
        </is>
      </c>
      <c r="Z801" s="191" t="inlineStr">
        <is>
          <t>CHECK_VENDOR</t>
        </is>
      </c>
      <c r="AA801" s="192" t="inlineStr">
        <is>
          <t>https://nvd.nist.gov/vuln/detail/CVE-2025-14055</t>
        </is>
      </c>
      <c r="AB801" s="191" t="inlineStr">
        <is>
          <t>NONE</t>
        </is>
      </c>
      <c r="AC801" s="191" t="n">
        <v>0</v>
      </c>
      <c r="AD801" s="191" t="n"/>
    </row>
    <row r="802">
      <c r="A802" s="191" t="inlineStr">
        <is>
          <t>CVE</t>
        </is>
      </c>
      <c r="B802" s="191" t="inlineStr">
        <is>
          <t>CVE-2025-14547</t>
        </is>
      </c>
      <c r="C802" s="191" t="inlineStr">
        <is>
          <t>An integer underflow vulnerability is present in Silicon Lab’s implementation of PSA Crypto and SE Manager EC-JPAKE APIs during ZKP parsing. Triggering the underflow can lead to a hard fault, causing a temporary denial of service.</t>
        </is>
      </c>
      <c r="D802" s="191" t="n">
        <v>5</v>
      </c>
      <c r="E802" s="191" t="inlineStr">
        <is>
          <t>MEDIUM</t>
        </is>
      </c>
      <c r="F802" s="191" t="n">
        <v>2</v>
      </c>
      <c r="G802" s="191" t="n">
        <v>2</v>
      </c>
      <c r="H802" s="191" t="inlineStr">
        <is>
          <t>MEDIUM</t>
        </is>
      </c>
      <c r="I802" s="191" t="n">
        <v>9</v>
      </c>
      <c r="J802" s="191" t="inlineStr">
        <is>
          <t>NO</t>
        </is>
      </c>
      <c r="K802" s="192" t="inlineStr">
        <is>
          <t>https://nvd.nist.gov/vuln/detail/CVE-2025-14547</t>
        </is>
      </c>
      <c r="L802" s="191" t="inlineStr">
        <is>
          <t>2026-02-23 23:48</t>
        </is>
      </c>
      <c r="M802" s="191" t="inlineStr">
        <is>
          <t>CHECK_VENDOR</t>
        </is>
      </c>
      <c r="N802" s="191" t="inlineStr">
        <is>
          <t>See NVD references</t>
        </is>
      </c>
      <c r="O802" s="191" t="inlineStr">
        <is>
          <t>Apply vendor patches</t>
        </is>
      </c>
      <c r="P802" s="191" t="inlineStr">
        <is>
          <t>See CVE details</t>
        </is>
      </c>
      <c r="Q802" s="191" t="inlineStr">
        <is>
          <t>P4</t>
        </is>
      </c>
      <c r="R802" s="191" t="inlineStr">
        <is>
          <t>📅 Schedule patch deployment within 30 days | 🔍 Monitor for exploitation attempts</t>
        </is>
      </c>
      <c r="S802" s="191" t="inlineStr">
        <is>
          <t>CVE - IP enrichment n/a</t>
        </is>
      </c>
      <c r="T802" s="191" t="n">
        <v>0</v>
      </c>
      <c r="U802" s="191" t="n">
        <v>0</v>
      </c>
      <c r="V802" s="191" t="inlineStr">
        <is>
          <t>T1499:Endpoint Denial of Service</t>
        </is>
      </c>
      <c r="W802" s="191" t="n">
        <v>1</v>
      </c>
      <c r="X802" s="191" t="inlineStr">
        <is>
          <t>LOW (40%)</t>
        </is>
      </c>
      <c r="Y802" s="191" t="inlineStr">
        <is>
          <t>UNLIKELY</t>
        </is>
      </c>
      <c r="Z802" s="191" t="inlineStr">
        <is>
          <t>CHECK_VENDOR</t>
        </is>
      </c>
      <c r="AA802" s="192" t="inlineStr">
        <is>
          <t>https://nvd.nist.gov/vuln/detail/CVE-2025-14547</t>
        </is>
      </c>
      <c r="AB802" s="191" t="inlineStr">
        <is>
          <t>NONE</t>
        </is>
      </c>
      <c r="AC802" s="191" t="n">
        <v>0</v>
      </c>
      <c r="AD802" s="191" t="n"/>
    </row>
    <row r="803">
      <c r="A803" s="191" t="inlineStr">
        <is>
          <t>CVE</t>
        </is>
      </c>
      <c r="B803" s="191" t="inlineStr">
        <is>
          <t>CVE-2026-21627</t>
        </is>
      </c>
      <c r="C803" s="191" t="inlineStr">
        <is>
          <t>The vulnerability was rooted in how the Tassos Framework plugin handled specific AJAX requests through Joomla’s com_ajax entry point. Under certain conditions, internal framework functionality could be invoked without proper restriction.</t>
        </is>
      </c>
      <c r="D803" s="191" t="n">
        <v>5</v>
      </c>
      <c r="E803" s="191" t="inlineStr">
        <is>
          <t>MEDIUM</t>
        </is>
      </c>
      <c r="F803" s="191" t="n">
        <v>2</v>
      </c>
      <c r="G803" s="191" t="n">
        <v>2</v>
      </c>
      <c r="H803" s="191" t="inlineStr">
        <is>
          <t>MEDIUM</t>
        </is>
      </c>
      <c r="I803" s="191" t="n">
        <v>9</v>
      </c>
      <c r="J803" s="191" t="inlineStr">
        <is>
          <t>NO</t>
        </is>
      </c>
      <c r="K803" s="192" t="inlineStr">
        <is>
          <t>https://nvd.nist.gov/vuln/detail/CVE-2026-21627</t>
        </is>
      </c>
      <c r="L803" s="191" t="inlineStr">
        <is>
          <t>2026-02-23 23:48</t>
        </is>
      </c>
      <c r="M803" s="191" t="inlineStr">
        <is>
          <t>CHECK_VENDOR</t>
        </is>
      </c>
      <c r="N803" s="191" t="inlineStr">
        <is>
          <t>See NVD references</t>
        </is>
      </c>
      <c r="O803" s="191" t="inlineStr">
        <is>
          <t>Apply vendor patches</t>
        </is>
      </c>
      <c r="P803" s="191" t="inlineStr">
        <is>
          <t>See CVE details</t>
        </is>
      </c>
      <c r="Q803" s="191" t="inlineStr">
        <is>
          <t>P4</t>
        </is>
      </c>
      <c r="R803" s="191" t="inlineStr">
        <is>
          <t>📅 Schedule patch deployment within 30 days | 🔍 Monitor for exploitation attempts</t>
        </is>
      </c>
      <c r="S803" s="191" t="inlineStr">
        <is>
          <t>CVE - IP enrichment n/a</t>
        </is>
      </c>
      <c r="T803" s="191" t="n">
        <v>0.0001</v>
      </c>
      <c r="U803" s="191" t="n">
        <v>0.0191</v>
      </c>
      <c r="V803" s="191" t="inlineStr">
        <is>
          <t>T1190:Exploit Public-Facing Application</t>
        </is>
      </c>
      <c r="W803" s="191" t="n">
        <v>1</v>
      </c>
      <c r="X803" s="191" t="inlineStr">
        <is>
          <t>LOW (40%)</t>
        </is>
      </c>
      <c r="Y803" s="191" t="inlineStr">
        <is>
          <t>UNLIKELY</t>
        </is>
      </c>
      <c r="Z803" s="191" t="inlineStr">
        <is>
          <t>CHECK_VENDOR</t>
        </is>
      </c>
      <c r="AA803" s="192" t="inlineStr">
        <is>
          <t>https://nvd.nist.gov/vuln/detail/CVE-2026-21627</t>
        </is>
      </c>
      <c r="AB803" s="191" t="inlineStr">
        <is>
          <t>NONE</t>
        </is>
      </c>
      <c r="AC803" s="191" t="n">
        <v>0</v>
      </c>
      <c r="AD803" s="191" t="n"/>
    </row>
    <row r="804">
      <c r="A804" s="191" t="inlineStr">
        <is>
          <t>CVE</t>
        </is>
      </c>
      <c r="B804" s="191" t="inlineStr">
        <is>
          <t>CVE-2024-34438</t>
        </is>
      </c>
      <c r="C804" s="191" t="inlineStr">
        <is>
          <t>Missing Authorization vulnerability in Anssi Laitila Shared Files shared-files.This issue affects Shared Files: from n/a through &lt;= 1.7.19.</t>
        </is>
      </c>
      <c r="D804" s="191" t="n">
        <v>5</v>
      </c>
      <c r="E804" s="191" t="inlineStr">
        <is>
          <t>MEDIUM</t>
        </is>
      </c>
      <c r="F804" s="191" t="n">
        <v>2</v>
      </c>
      <c r="G804" s="191" t="n">
        <v>2</v>
      </c>
      <c r="H804" s="191" t="inlineStr">
        <is>
          <t>MEDIUM</t>
        </is>
      </c>
      <c r="I804" s="191" t="n">
        <v>9</v>
      </c>
      <c r="J804" s="191" t="inlineStr">
        <is>
          <t>NO</t>
        </is>
      </c>
      <c r="K804" s="192" t="inlineStr">
        <is>
          <t>https://nvd.nist.gov/vuln/detail/CVE-2024-34438</t>
        </is>
      </c>
      <c r="L804" s="191" t="inlineStr">
        <is>
          <t>2026-02-23 23:48</t>
        </is>
      </c>
      <c r="M804" s="191" t="inlineStr">
        <is>
          <t>CHECK_VENDOR</t>
        </is>
      </c>
      <c r="N804" s="191" t="inlineStr">
        <is>
          <t>See NVD references</t>
        </is>
      </c>
      <c r="O804" s="191" t="inlineStr">
        <is>
          <t>Apply vendor patches</t>
        </is>
      </c>
      <c r="P804" s="191" t="inlineStr">
        <is>
          <t>See CVE details</t>
        </is>
      </c>
      <c r="Q804" s="191" t="inlineStr">
        <is>
          <t>P4</t>
        </is>
      </c>
      <c r="R804" s="191" t="inlineStr">
        <is>
          <t>📅 Schedule patch deployment within 30 days | 🔍 Monitor for exploitation attempts</t>
        </is>
      </c>
      <c r="S804" s="191" t="inlineStr">
        <is>
          <t>CVE - IP enrichment n/a</t>
        </is>
      </c>
      <c r="T804" s="191" t="n">
        <v>0.0008</v>
      </c>
      <c r="U804" s="191" t="n">
        <v>0.2427</v>
      </c>
      <c r="V804" s="191" t="inlineStr">
        <is>
          <t>T1190:Exploit Public-Facing Application</t>
        </is>
      </c>
      <c r="W804" s="191" t="n">
        <v>1</v>
      </c>
      <c r="X804" s="191" t="inlineStr">
        <is>
          <t>LOW (40%)</t>
        </is>
      </c>
      <c r="Y804" s="191" t="inlineStr">
        <is>
          <t>UNLIKELY</t>
        </is>
      </c>
      <c r="Z804" s="191" t="inlineStr">
        <is>
          <t>CHECK_VENDOR</t>
        </is>
      </c>
      <c r="AA804" s="192" t="inlineStr">
        <is>
          <t>https://nvd.nist.gov/vuln/detail/CVE-2024-34438</t>
        </is>
      </c>
      <c r="AB804" s="191" t="inlineStr">
        <is>
          <t>NONE</t>
        </is>
      </c>
      <c r="AC804" s="191" t="n">
        <v>0</v>
      </c>
      <c r="AD804" s="191" t="n"/>
    </row>
    <row r="805">
      <c r="A805" s="191" t="inlineStr">
        <is>
          <t>CVE</t>
        </is>
      </c>
      <c r="B805" s="191" t="inlineStr">
        <is>
          <t>CVE-2024-43228</t>
        </is>
      </c>
      <c r="C805" s="191" t="inlineStr">
        <is>
          <t>Missing Authorization vulnerability in SecuPress SecuPress Free secupress.This issue affects SecuPress Free: from n/a through &lt;= 2.2.5.3.</t>
        </is>
      </c>
      <c r="D805" s="191" t="n">
        <v>5</v>
      </c>
      <c r="E805" s="191" t="inlineStr">
        <is>
          <t>MEDIUM</t>
        </is>
      </c>
      <c r="F805" s="191" t="n">
        <v>2</v>
      </c>
      <c r="G805" s="191" t="n">
        <v>2</v>
      </c>
      <c r="H805" s="191" t="inlineStr">
        <is>
          <t>MEDIUM</t>
        </is>
      </c>
      <c r="I805" s="191" t="n">
        <v>9</v>
      </c>
      <c r="J805" s="191" t="inlineStr">
        <is>
          <t>NO</t>
        </is>
      </c>
      <c r="K805" s="192" t="inlineStr">
        <is>
          <t>https://nvd.nist.gov/vuln/detail/CVE-2024-43228</t>
        </is>
      </c>
      <c r="L805" s="191" t="inlineStr">
        <is>
          <t>2026-02-23 23:48</t>
        </is>
      </c>
      <c r="M805" s="191" t="inlineStr">
        <is>
          <t>CHECK_VENDOR</t>
        </is>
      </c>
      <c r="N805" s="191" t="inlineStr">
        <is>
          <t>See NVD references</t>
        </is>
      </c>
      <c r="O805" s="191" t="inlineStr">
        <is>
          <t>Apply vendor patches</t>
        </is>
      </c>
      <c r="P805" s="191" t="inlineStr">
        <is>
          <t>See CVE details</t>
        </is>
      </c>
      <c r="Q805" s="191" t="inlineStr">
        <is>
          <t>P4</t>
        </is>
      </c>
      <c r="R805" s="191" t="inlineStr">
        <is>
          <t>📅 Schedule patch deployment within 30 days | 🔍 Monitor for exploitation attempts</t>
        </is>
      </c>
      <c r="S805" s="191" t="inlineStr">
        <is>
          <t>CVE - IP enrichment n/a</t>
        </is>
      </c>
      <c r="T805" s="191" t="n">
        <v>0</v>
      </c>
      <c r="U805" s="191" t="n">
        <v>0</v>
      </c>
      <c r="V805" s="191" t="inlineStr">
        <is>
          <t>T1190:Exploit Public-Facing Application</t>
        </is>
      </c>
      <c r="W805" s="191" t="n">
        <v>1</v>
      </c>
      <c r="X805" s="191" t="inlineStr">
        <is>
          <t>LOW (40%)</t>
        </is>
      </c>
      <c r="Y805" s="191" t="inlineStr">
        <is>
          <t>UNLIKELY</t>
        </is>
      </c>
      <c r="Z805" s="191" t="inlineStr">
        <is>
          <t>CHECK_VENDOR</t>
        </is>
      </c>
      <c r="AA805" s="192" t="inlineStr">
        <is>
          <t>https://nvd.nist.gov/vuln/detail/CVE-2024-43228</t>
        </is>
      </c>
      <c r="AB805" s="191" t="inlineStr">
        <is>
          <t>NONE</t>
        </is>
      </c>
      <c r="AC805" s="191" t="n">
        <v>0</v>
      </c>
      <c r="AD805" s="191" t="n"/>
    </row>
    <row r="806">
      <c r="A806" s="191" t="inlineStr">
        <is>
          <t>CVE</t>
        </is>
      </c>
      <c r="B806" s="191" t="inlineStr">
        <is>
          <t>CVE-2024-50452</t>
        </is>
      </c>
      <c r="C806" s="191" t="inlineStr">
        <is>
          <t>Improper Neutralization of Input During Web Page Generation ('Cross-site Scripting') vulnerability in POSIMYTH Nexter Blocks the-plus-addons-for-block-editor allows Stored XSS.This issue affects Nexter Blocks: from n/a through &lt;= 3.3.3.</t>
        </is>
      </c>
      <c r="D806" s="191" t="n">
        <v>5</v>
      </c>
      <c r="E806" s="191" t="inlineStr">
        <is>
          <t>MEDIUM</t>
        </is>
      </c>
      <c r="F806" s="191" t="n">
        <v>2</v>
      </c>
      <c r="G806" s="191" t="n">
        <v>2</v>
      </c>
      <c r="H806" s="191" t="inlineStr">
        <is>
          <t>MEDIUM</t>
        </is>
      </c>
      <c r="I806" s="191" t="n">
        <v>9</v>
      </c>
      <c r="J806" s="191" t="inlineStr">
        <is>
          <t>NO</t>
        </is>
      </c>
      <c r="K806" s="192" t="inlineStr">
        <is>
          <t>https://nvd.nist.gov/vuln/detail/CVE-2024-50452</t>
        </is>
      </c>
      <c r="L806" s="191" t="inlineStr">
        <is>
          <t>2026-02-23 23:48</t>
        </is>
      </c>
      <c r="M806" s="191" t="inlineStr">
        <is>
          <t>CHECK_VENDOR</t>
        </is>
      </c>
      <c r="N806" s="191" t="inlineStr">
        <is>
          <t>See NVD references</t>
        </is>
      </c>
      <c r="O806" s="191" t="inlineStr">
        <is>
          <t>Apply vendor patches</t>
        </is>
      </c>
      <c r="P806" s="191" t="inlineStr">
        <is>
          <t>See CVE details</t>
        </is>
      </c>
      <c r="Q806" s="191" t="inlineStr">
        <is>
          <t>P4</t>
        </is>
      </c>
      <c r="R806" s="191" t="inlineStr">
        <is>
          <t>📅 Schedule patch deployment within 30 days | 🔍 Monitor for exploitation attempts</t>
        </is>
      </c>
      <c r="S806" s="191" t="inlineStr">
        <is>
          <t>CVE - IP enrichment n/a</t>
        </is>
      </c>
      <c r="T806" s="191" t="n">
        <v>0</v>
      </c>
      <c r="U806" s="191" t="n">
        <v>0</v>
      </c>
      <c r="V806" s="191" t="inlineStr">
        <is>
          <t>T1189:Drive-by Compromise</t>
        </is>
      </c>
      <c r="W806" s="191" t="n">
        <v>1</v>
      </c>
      <c r="X806" s="191" t="inlineStr">
        <is>
          <t>LOW (40%)</t>
        </is>
      </c>
      <c r="Y806" s="191" t="inlineStr">
        <is>
          <t>UNLIKELY</t>
        </is>
      </c>
      <c r="Z806" s="191" t="inlineStr">
        <is>
          <t>CHECK_VENDOR</t>
        </is>
      </c>
      <c r="AA806" s="192" t="inlineStr">
        <is>
          <t>https://nvd.nist.gov/vuln/detail/CVE-2024-50452</t>
        </is>
      </c>
      <c r="AB806" s="191" t="inlineStr">
        <is>
          <t>NONE</t>
        </is>
      </c>
      <c r="AC806" s="191" t="n">
        <v>0</v>
      </c>
      <c r="AD806" s="191" t="n"/>
    </row>
    <row r="807">
      <c r="A807" s="191" t="inlineStr">
        <is>
          <t>CVE</t>
        </is>
      </c>
      <c r="B807" s="191" t="inlineStr">
        <is>
          <t>CVE-2024-50555</t>
        </is>
      </c>
      <c r="C807" s="191" t="inlineStr">
        <is>
          <t>Improper Neutralization of Input During Web Page Generation ('Cross-site Scripting') vulnerability in Elementor Elementor Website Builder elementor allows Stored XSS.This issue affects Elementor Website Builder: from n/a through &lt;= 3.29.0.</t>
        </is>
      </c>
      <c r="D807" s="191" t="n">
        <v>5</v>
      </c>
      <c r="E807" s="191" t="inlineStr">
        <is>
          <t>MEDIUM</t>
        </is>
      </c>
      <c r="F807" s="191" t="n">
        <v>2</v>
      </c>
      <c r="G807" s="191" t="n">
        <v>2</v>
      </c>
      <c r="H807" s="191" t="inlineStr">
        <is>
          <t>MEDIUM</t>
        </is>
      </c>
      <c r="I807" s="191" t="n">
        <v>9</v>
      </c>
      <c r="J807" s="191" t="inlineStr">
        <is>
          <t>NO</t>
        </is>
      </c>
      <c r="K807" s="192" t="inlineStr">
        <is>
          <t>https://nvd.nist.gov/vuln/detail/CVE-2024-50555</t>
        </is>
      </c>
      <c r="L807" s="191" t="inlineStr">
        <is>
          <t>2026-02-23 23:48</t>
        </is>
      </c>
      <c r="M807" s="191" t="inlineStr">
        <is>
          <t>CHECK_VENDOR</t>
        </is>
      </c>
      <c r="N807" s="191" t="inlineStr">
        <is>
          <t>See NVD references</t>
        </is>
      </c>
      <c r="O807" s="191" t="inlineStr">
        <is>
          <t>Apply vendor patches</t>
        </is>
      </c>
      <c r="P807" s="191" t="inlineStr">
        <is>
          <t>See CVE details</t>
        </is>
      </c>
      <c r="Q807" s="191" t="inlineStr">
        <is>
          <t>P4</t>
        </is>
      </c>
      <c r="R807" s="191" t="inlineStr">
        <is>
          <t>📅 Schedule patch deployment within 30 days | 🔍 Monitor for exploitation attempts</t>
        </is>
      </c>
      <c r="S807" s="191" t="inlineStr">
        <is>
          <t>CVE - IP enrichment n/a</t>
        </is>
      </c>
      <c r="T807" s="191" t="n">
        <v>0</v>
      </c>
      <c r="U807" s="191" t="n">
        <v>0</v>
      </c>
      <c r="V807" s="191" t="inlineStr">
        <is>
          <t>T1189:Drive-by Compromise</t>
        </is>
      </c>
      <c r="W807" s="191" t="n">
        <v>1</v>
      </c>
      <c r="X807" s="191" t="inlineStr">
        <is>
          <t>LOW (40%)</t>
        </is>
      </c>
      <c r="Y807" s="191" t="inlineStr">
        <is>
          <t>UNLIKELY</t>
        </is>
      </c>
      <c r="Z807" s="191" t="inlineStr">
        <is>
          <t>CHECK_VENDOR</t>
        </is>
      </c>
      <c r="AA807" s="192" t="inlineStr">
        <is>
          <t>https://nvd.nist.gov/vuln/detail/CVE-2024-50555</t>
        </is>
      </c>
      <c r="AB807" s="191" t="inlineStr">
        <is>
          <t>NONE</t>
        </is>
      </c>
      <c r="AC807" s="191" t="n">
        <v>0</v>
      </c>
      <c r="AD807" s="191" t="n"/>
    </row>
    <row r="808">
      <c r="A808" s="191" t="inlineStr">
        <is>
          <t>CVE</t>
        </is>
      </c>
      <c r="B808" s="191" t="inlineStr">
        <is>
          <t>CVE-2024-51915</t>
        </is>
      </c>
      <c r="C808" s="191" t="inlineStr">
        <is>
          <t>Improper Neutralization of Input During Web Page Generation ('Cross-site Scripting') vulnerability in LiteSpeed Technologies LiteSpeed Cache litespeed-cache allows Stored XSS.This issue affects LiteSpeed Cache: from n/a through &lt;= 6.5.2.</t>
        </is>
      </c>
      <c r="D808" s="191" t="n">
        <v>5</v>
      </c>
      <c r="E808" s="191" t="inlineStr">
        <is>
          <t>MEDIUM</t>
        </is>
      </c>
      <c r="F808" s="191" t="n">
        <v>2</v>
      </c>
      <c r="G808" s="191" t="n">
        <v>2</v>
      </c>
      <c r="H808" s="191" t="inlineStr">
        <is>
          <t>MEDIUM</t>
        </is>
      </c>
      <c r="I808" s="191" t="n">
        <v>9</v>
      </c>
      <c r="J808" s="191" t="inlineStr">
        <is>
          <t>NO</t>
        </is>
      </c>
      <c r="K808" s="192" t="inlineStr">
        <is>
          <t>https://nvd.nist.gov/vuln/detail/CVE-2024-51915</t>
        </is>
      </c>
      <c r="L808" s="191" t="inlineStr">
        <is>
          <t>2026-02-23 23:48</t>
        </is>
      </c>
      <c r="M808" s="191" t="inlineStr">
        <is>
          <t>CHECK_VENDOR</t>
        </is>
      </c>
      <c r="N808" s="191" t="inlineStr">
        <is>
          <t>See NVD references</t>
        </is>
      </c>
      <c r="O808" s="191" t="inlineStr">
        <is>
          <t>Apply vendor patches</t>
        </is>
      </c>
      <c r="P808" s="191" t="inlineStr">
        <is>
          <t>See CVE details</t>
        </is>
      </c>
      <c r="Q808" s="191" t="inlineStr">
        <is>
          <t>P4</t>
        </is>
      </c>
      <c r="R808" s="191" t="inlineStr">
        <is>
          <t>📅 Schedule patch deployment within 30 days | 🔍 Monitor for exploitation attempts</t>
        </is>
      </c>
      <c r="S808" s="191" t="inlineStr">
        <is>
          <t>CVE - IP enrichment n/a</t>
        </is>
      </c>
      <c r="T808" s="191" t="n">
        <v>0</v>
      </c>
      <c r="U808" s="191" t="n">
        <v>0</v>
      </c>
      <c r="V808" s="191" t="inlineStr">
        <is>
          <t>T1189:Drive-by Compromise</t>
        </is>
      </c>
      <c r="W808" s="191" t="n">
        <v>1</v>
      </c>
      <c r="X808" s="191" t="inlineStr">
        <is>
          <t>LOW (40%)</t>
        </is>
      </c>
      <c r="Y808" s="191" t="inlineStr">
        <is>
          <t>UNLIKELY</t>
        </is>
      </c>
      <c r="Z808" s="191" t="inlineStr">
        <is>
          <t>CHECK_VENDOR</t>
        </is>
      </c>
      <c r="AA808" s="192" t="inlineStr">
        <is>
          <t>https://nvd.nist.gov/vuln/detail/CVE-2024-51915</t>
        </is>
      </c>
      <c r="AB808" s="191" t="inlineStr">
        <is>
          <t>NONE</t>
        </is>
      </c>
      <c r="AC808" s="191" t="n">
        <v>0</v>
      </c>
      <c r="AD808" s="191" t="n"/>
    </row>
    <row r="809">
      <c r="A809" s="191" t="inlineStr">
        <is>
          <t>CVE</t>
        </is>
      </c>
      <c r="B809" s="191" t="inlineStr">
        <is>
          <t>CVE-2024-52387</t>
        </is>
      </c>
      <c r="C809" s="191" t="inlineStr">
        <is>
          <t>Improper Neutralization of Input During Web Page Generation ('Cross-site Scripting') vulnerability in Liton Arefin Master Addons for Elementor master-addons allows Stored XSS.This issue affects Master Addons for Elementor: from n/a through &lt;= 2.0.9.9.4.</t>
        </is>
      </c>
      <c r="D809" s="191" t="n">
        <v>5</v>
      </c>
      <c r="E809" s="191" t="inlineStr">
        <is>
          <t>MEDIUM</t>
        </is>
      </c>
      <c r="F809" s="191" t="n">
        <v>2</v>
      </c>
      <c r="G809" s="191" t="n">
        <v>2</v>
      </c>
      <c r="H809" s="191" t="inlineStr">
        <is>
          <t>MEDIUM</t>
        </is>
      </c>
      <c r="I809" s="191" t="n">
        <v>9</v>
      </c>
      <c r="J809" s="191" t="inlineStr">
        <is>
          <t>NO</t>
        </is>
      </c>
      <c r="K809" s="192" t="inlineStr">
        <is>
          <t>https://nvd.nist.gov/vuln/detail/CVE-2024-52387</t>
        </is>
      </c>
      <c r="L809" s="191" t="inlineStr">
        <is>
          <t>2026-02-23 23:48</t>
        </is>
      </c>
      <c r="M809" s="191" t="inlineStr">
        <is>
          <t>CHECK_VENDOR</t>
        </is>
      </c>
      <c r="N809" s="191" t="inlineStr">
        <is>
          <t>See NVD references</t>
        </is>
      </c>
      <c r="O809" s="191" t="inlineStr">
        <is>
          <t>Apply vendor patches</t>
        </is>
      </c>
      <c r="P809" s="191" t="inlineStr">
        <is>
          <t>See CVE details</t>
        </is>
      </c>
      <c r="Q809" s="191" t="inlineStr">
        <is>
          <t>P4</t>
        </is>
      </c>
      <c r="R809" s="191" t="inlineStr">
        <is>
          <t>📅 Schedule patch deployment within 30 days | 🔍 Monitor for exploitation attempts</t>
        </is>
      </c>
      <c r="S809" s="191" t="inlineStr">
        <is>
          <t>CVE - IP enrichment n/a</t>
        </is>
      </c>
      <c r="T809" s="191" t="n">
        <v>0.0013</v>
      </c>
      <c r="U809" s="191" t="n">
        <v>0.3252</v>
      </c>
      <c r="V809" s="191" t="inlineStr">
        <is>
          <t>T1189:Drive-by Compromise</t>
        </is>
      </c>
      <c r="W809" s="191" t="n">
        <v>1</v>
      </c>
      <c r="X809" s="191" t="inlineStr">
        <is>
          <t>LOW (40%)</t>
        </is>
      </c>
      <c r="Y809" s="191" t="inlineStr">
        <is>
          <t>UNLIKELY</t>
        </is>
      </c>
      <c r="Z809" s="191" t="inlineStr">
        <is>
          <t>CHECK_VENDOR</t>
        </is>
      </c>
      <c r="AA809" s="192" t="inlineStr">
        <is>
          <t>https://nvd.nist.gov/vuln/detail/CVE-2024-52387</t>
        </is>
      </c>
      <c r="AB809" s="191" t="inlineStr">
        <is>
          <t>NONE</t>
        </is>
      </c>
      <c r="AC809" s="191" t="n">
        <v>0</v>
      </c>
      <c r="AD809" s="191" t="n"/>
    </row>
    <row r="810">
      <c r="A810" s="191" t="inlineStr">
        <is>
          <t>CVE</t>
        </is>
      </c>
      <c r="B810" s="191" t="inlineStr">
        <is>
          <t>CVE-2024-54222</t>
        </is>
      </c>
      <c r="C810" s="191" t="inlineStr">
        <is>
          <t>Missing Authorization vulnerability in Seraphinite Solutions Seraphinite Accelerator seraphinite-accelerator allows Retrieve Embedded Sensitive Data.This issue affects Seraphinite Accelerator: from n/a through &lt;= 2.22.15.</t>
        </is>
      </c>
      <c r="D810" s="191" t="n">
        <v>5</v>
      </c>
      <c r="E810" s="191" t="inlineStr">
        <is>
          <t>MEDIUM</t>
        </is>
      </c>
      <c r="F810" s="191" t="n">
        <v>2</v>
      </c>
      <c r="G810" s="191" t="n">
        <v>2</v>
      </c>
      <c r="H810" s="191" t="inlineStr">
        <is>
          <t>MEDIUM</t>
        </is>
      </c>
      <c r="I810" s="191" t="n">
        <v>9</v>
      </c>
      <c r="J810" s="191" t="inlineStr">
        <is>
          <t>NO</t>
        </is>
      </c>
      <c r="K810" s="192" t="inlineStr">
        <is>
          <t>https://nvd.nist.gov/vuln/detail/CVE-2024-54222</t>
        </is>
      </c>
      <c r="L810" s="191" t="inlineStr">
        <is>
          <t>2026-02-23 23:48</t>
        </is>
      </c>
      <c r="M810" s="191" t="inlineStr">
        <is>
          <t>CHECK_VENDOR</t>
        </is>
      </c>
      <c r="N810" s="191" t="inlineStr">
        <is>
          <t>See NVD references</t>
        </is>
      </c>
      <c r="O810" s="191" t="inlineStr">
        <is>
          <t>Apply vendor patches</t>
        </is>
      </c>
      <c r="P810" s="191" t="inlineStr">
        <is>
          <t>See CVE details</t>
        </is>
      </c>
      <c r="Q810" s="191" t="inlineStr">
        <is>
          <t>P4</t>
        </is>
      </c>
      <c r="R810" s="191" t="inlineStr">
        <is>
          <t>📅 Schedule patch deployment within 30 days | 🔍 Monitor for exploitation attempts</t>
        </is>
      </c>
      <c r="S810" s="191" t="inlineStr">
        <is>
          <t>CVE - IP enrichment n/a</t>
        </is>
      </c>
      <c r="T810" s="191" t="n">
        <v>0</v>
      </c>
      <c r="U810" s="191" t="n">
        <v>0</v>
      </c>
      <c r="V810" s="191" t="inlineStr">
        <is>
          <t>T1190:Exploit Public-Facing Application</t>
        </is>
      </c>
      <c r="W810" s="191" t="n">
        <v>1</v>
      </c>
      <c r="X810" s="191" t="inlineStr">
        <is>
          <t>LOW (40%)</t>
        </is>
      </c>
      <c r="Y810" s="191" t="inlineStr">
        <is>
          <t>UNLIKELY</t>
        </is>
      </c>
      <c r="Z810" s="191" t="inlineStr">
        <is>
          <t>CHECK_VENDOR</t>
        </is>
      </c>
      <c r="AA810" s="192" t="inlineStr">
        <is>
          <t>https://nvd.nist.gov/vuln/detail/CVE-2024-54222</t>
        </is>
      </c>
      <c r="AB810" s="191" t="inlineStr">
        <is>
          <t>NONE</t>
        </is>
      </c>
      <c r="AC810" s="191" t="n">
        <v>0</v>
      </c>
      <c r="AD810" s="191" t="n"/>
    </row>
    <row r="811">
      <c r="A811" s="191" t="inlineStr">
        <is>
          <t>CVE</t>
        </is>
      </c>
      <c r="B811" s="191" t="inlineStr">
        <is>
          <t>CVE-2024-56208</t>
        </is>
      </c>
      <c r="C811" s="191" t="inlineStr">
        <is>
          <t>Improper Neutralization of Input During Web Page Generation ('Cross-site Scripting') vulnerability in desertthemes NewsMash newsmash allows Stored XSS.This issue affects NewsMash: from n/a through &lt;= 1.0.71.</t>
        </is>
      </c>
      <c r="D811" s="191" t="n">
        <v>5</v>
      </c>
      <c r="E811" s="191" t="inlineStr">
        <is>
          <t>MEDIUM</t>
        </is>
      </c>
      <c r="F811" s="191" t="n">
        <v>2</v>
      </c>
      <c r="G811" s="191" t="n">
        <v>2</v>
      </c>
      <c r="H811" s="191" t="inlineStr">
        <is>
          <t>MEDIUM</t>
        </is>
      </c>
      <c r="I811" s="191" t="n">
        <v>9</v>
      </c>
      <c r="J811" s="191" t="inlineStr">
        <is>
          <t>NO</t>
        </is>
      </c>
      <c r="K811" s="192" t="inlineStr">
        <is>
          <t>https://nvd.nist.gov/vuln/detail/CVE-2024-56208</t>
        </is>
      </c>
      <c r="L811" s="191" t="inlineStr">
        <is>
          <t>2026-02-23 23:48</t>
        </is>
      </c>
      <c r="M811" s="191" t="inlineStr">
        <is>
          <t>CHECK_VENDOR</t>
        </is>
      </c>
      <c r="N811" s="191" t="inlineStr">
        <is>
          <t>See NVD references</t>
        </is>
      </c>
      <c r="O811" s="191" t="inlineStr">
        <is>
          <t>Apply vendor patches</t>
        </is>
      </c>
      <c r="P811" s="191" t="inlineStr">
        <is>
          <t>See CVE details</t>
        </is>
      </c>
      <c r="Q811" s="191" t="inlineStr">
        <is>
          <t>P4</t>
        </is>
      </c>
      <c r="R811" s="191" t="inlineStr">
        <is>
          <t>📅 Schedule patch deployment within 30 days | 🔍 Monitor for exploitation attempts</t>
        </is>
      </c>
      <c r="S811" s="191" t="inlineStr">
        <is>
          <t>CVE - IP enrichment n/a</t>
        </is>
      </c>
      <c r="T811" s="191" t="n">
        <v>0.0013</v>
      </c>
      <c r="U811" s="191" t="n">
        <v>0.3252</v>
      </c>
      <c r="V811" s="191" t="inlineStr">
        <is>
          <t>T1189:Drive-by Compromise</t>
        </is>
      </c>
      <c r="W811" s="191" t="n">
        <v>1</v>
      </c>
      <c r="X811" s="191" t="inlineStr">
        <is>
          <t>LOW (40%)</t>
        </is>
      </c>
      <c r="Y811" s="191" t="inlineStr">
        <is>
          <t>UNLIKELY</t>
        </is>
      </c>
      <c r="Z811" s="191" t="inlineStr">
        <is>
          <t>CHECK_VENDOR</t>
        </is>
      </c>
      <c r="AA811" s="192" t="inlineStr">
        <is>
          <t>https://nvd.nist.gov/vuln/detail/CVE-2024-56208</t>
        </is>
      </c>
      <c r="AB811" s="191" t="inlineStr">
        <is>
          <t>NONE</t>
        </is>
      </c>
      <c r="AC811" s="191" t="n">
        <v>0</v>
      </c>
      <c r="AD811" s="191" t="n"/>
    </row>
    <row r="812">
      <c r="A812" s="195" t="inlineStr">
        <is>
          <t>CVE</t>
        </is>
      </c>
      <c r="B812" s="195" t="inlineStr">
        <is>
          <t>CVE-2025-52603</t>
        </is>
      </c>
      <c r="C812" s="195" t="inlineStr">
        <is>
          <t>HCL Connections is vulnerable to information disclosure.  In a very specific user navigation scenario, this could allow a user to obtain limited information when a single piece of internal metadata is returned in the browser.</t>
        </is>
      </c>
      <c r="D812" s="195" t="n">
        <v>3.5</v>
      </c>
      <c r="E812" s="195" t="inlineStr">
        <is>
          <t>LOW</t>
        </is>
      </c>
      <c r="F812" s="195" t="n">
        <v>2</v>
      </c>
      <c r="G812" s="195" t="n">
        <v>1</v>
      </c>
      <c r="H812" s="195" t="inlineStr">
        <is>
          <t>LOW</t>
        </is>
      </c>
      <c r="I812" s="195" t="n">
        <v>5.5</v>
      </c>
      <c r="J812" s="195" t="inlineStr">
        <is>
          <t>NO</t>
        </is>
      </c>
      <c r="K812" s="196" t="inlineStr">
        <is>
          <t>https://nvd.nist.gov/vuln/detail/CVE-2025-52603</t>
        </is>
      </c>
      <c r="L812" s="195" t="inlineStr">
        <is>
          <t>2026-02-23 23:48</t>
        </is>
      </c>
      <c r="M812" s="195" t="inlineStr">
        <is>
          <t>YES</t>
        </is>
      </c>
      <c r="N812" s="196" t="inlineStr">
        <is>
          <t>https://support.hcl-software.com/csm?id=kb_article&amp;sysparm_article=KB0124242</t>
        </is>
      </c>
      <c r="O812" s="195" t="inlineStr">
        <is>
          <t>Apply vendor patches</t>
        </is>
      </c>
      <c r="P812" s="195" t="inlineStr">
        <is>
          <t>hcltech connections 8.0 | hcltech connections 7.0</t>
        </is>
      </c>
      <c r="Q812" s="195" t="inlineStr">
        <is>
          <t>P4</t>
        </is>
      </c>
      <c r="R812" s="195" t="inlineStr">
        <is>
          <t>📅 Schedule patch deployment within 30 days | 🔍 Monitor for exploitation attempts</t>
        </is>
      </c>
      <c r="S812" s="195" t="inlineStr">
        <is>
          <t>CVE - IP enrichment n/a</t>
        </is>
      </c>
      <c r="T812" s="195" t="n">
        <v>0</v>
      </c>
      <c r="U812" s="195" t="n">
        <v>0</v>
      </c>
      <c r="V812" s="195" t="inlineStr">
        <is>
          <t>T1213:Data from Information Repositories</t>
        </is>
      </c>
      <c r="W812" s="195" t="n">
        <v>1</v>
      </c>
      <c r="X812" s="195" t="inlineStr">
        <is>
          <t>LOW (40%)</t>
        </is>
      </c>
      <c r="Y812" s="195" t="inlineStr">
        <is>
          <t>UNLIKELY</t>
        </is>
      </c>
      <c r="Z812" s="195" t="inlineStr">
        <is>
          <t>PATCH_AVAILABLE</t>
        </is>
      </c>
      <c r="AA812" s="196" t="inlineStr">
        <is>
          <t>https://nvd.nist.gov/vuln/detail/CVE-2025-52603</t>
        </is>
      </c>
      <c r="AB812" s="195" t="inlineStr">
        <is>
          <t>NONE</t>
        </is>
      </c>
      <c r="AC812" s="195" t="n">
        <v>0</v>
      </c>
      <c r="AD812" s="195" t="n"/>
    </row>
    <row r="813">
      <c r="A813" s="191" t="inlineStr">
        <is>
          <t>CVE</t>
        </is>
      </c>
      <c r="B813" s="191" t="inlineStr">
        <is>
          <t>CVE-2025-52744</t>
        </is>
      </c>
      <c r="C813" s="191" t="inlineStr">
        <is>
          <t>Improper Control of Generation of Code ('Code Injection') vulnerability in inpersttion Inpersttion For Theme err-our-team allows Code Injection.This issue affects Inpersttion For Theme: from n/a through &lt;= 1.0.</t>
        </is>
      </c>
      <c r="D813" s="191" t="n">
        <v>5</v>
      </c>
      <c r="E813" s="191" t="inlineStr">
        <is>
          <t>MEDIUM</t>
        </is>
      </c>
      <c r="F813" s="191" t="n">
        <v>2</v>
      </c>
      <c r="G813" s="191" t="n">
        <v>2</v>
      </c>
      <c r="H813" s="191" t="inlineStr">
        <is>
          <t>MEDIUM</t>
        </is>
      </c>
      <c r="I813" s="191" t="n">
        <v>9</v>
      </c>
      <c r="J813" s="191" t="inlineStr">
        <is>
          <t>NO</t>
        </is>
      </c>
      <c r="K813" s="192" t="inlineStr">
        <is>
          <t>https://nvd.nist.gov/vuln/detail/CVE-2025-52744</t>
        </is>
      </c>
      <c r="L813" s="191" t="inlineStr">
        <is>
          <t>2026-02-23 23:48</t>
        </is>
      </c>
      <c r="M813" s="191" t="inlineStr">
        <is>
          <t>CHECK_VENDOR</t>
        </is>
      </c>
      <c r="N813" s="191" t="inlineStr">
        <is>
          <t>See NVD references</t>
        </is>
      </c>
      <c r="O813" s="191" t="inlineStr">
        <is>
          <t>Apply vendor patches</t>
        </is>
      </c>
      <c r="P813" s="191" t="inlineStr">
        <is>
          <t>See CVE details</t>
        </is>
      </c>
      <c r="Q813" s="191" t="inlineStr">
        <is>
          <t>P4</t>
        </is>
      </c>
      <c r="R813" s="191" t="inlineStr">
        <is>
          <t>📅 Schedule patch deployment within 30 days | 🔍 Monitor for exploitation attempts</t>
        </is>
      </c>
      <c r="S813" s="191" t="inlineStr">
        <is>
          <t>CVE - IP enrichment n/a</t>
        </is>
      </c>
      <c r="T813" s="191" t="n">
        <v>0</v>
      </c>
      <c r="U813" s="191" t="n">
        <v>0</v>
      </c>
      <c r="V813" s="191" t="inlineStr">
        <is>
          <t>T1059:Command and Scripting Interpreter</t>
        </is>
      </c>
      <c r="W813" s="191" t="n">
        <v>1</v>
      </c>
      <c r="X813" s="191" t="inlineStr">
        <is>
          <t>LOW (40%)</t>
        </is>
      </c>
      <c r="Y813" s="191" t="inlineStr">
        <is>
          <t>UNLIKELY</t>
        </is>
      </c>
      <c r="Z813" s="191" t="inlineStr">
        <is>
          <t>CHECK_VENDOR</t>
        </is>
      </c>
      <c r="AA813" s="192" t="inlineStr">
        <is>
          <t>https://nvd.nist.gov/vuln/detail/CVE-2025-52744</t>
        </is>
      </c>
      <c r="AB813" s="191" t="inlineStr">
        <is>
          <t>NONE</t>
        </is>
      </c>
      <c r="AC813" s="191" t="n">
        <v>0</v>
      </c>
      <c r="AD813" s="191" t="n"/>
    </row>
    <row r="814">
      <c r="A814" s="191" t="inlineStr">
        <is>
          <t>CVE</t>
        </is>
      </c>
      <c r="B814" s="191" t="inlineStr">
        <is>
          <t>CVE-2025-53217</t>
        </is>
      </c>
      <c r="C814" s="191" t="inlineStr">
        <is>
          <t>Missing Authorization vulnerability in staviravn AIO WP Builder all-in-one-wp-builder allows Exploiting Incorrectly Configured Access Control Security Levels.This issue affects AIO WP Builder: from n/a through &lt;= 2.0.2.</t>
        </is>
      </c>
      <c r="D814" s="191" t="n">
        <v>5</v>
      </c>
      <c r="E814" s="191" t="inlineStr">
        <is>
          <t>MEDIUM</t>
        </is>
      </c>
      <c r="F814" s="191" t="n">
        <v>2</v>
      </c>
      <c r="G814" s="191" t="n">
        <v>2</v>
      </c>
      <c r="H814" s="191" t="inlineStr">
        <is>
          <t>MEDIUM</t>
        </is>
      </c>
      <c r="I814" s="191" t="n">
        <v>9</v>
      </c>
      <c r="J814" s="191" t="inlineStr">
        <is>
          <t>NO</t>
        </is>
      </c>
      <c r="K814" s="192" t="inlineStr">
        <is>
          <t>https://nvd.nist.gov/vuln/detail/CVE-2025-53217</t>
        </is>
      </c>
      <c r="L814" s="191" t="inlineStr">
        <is>
          <t>2026-02-23 23:48</t>
        </is>
      </c>
      <c r="M814" s="191" t="inlineStr">
        <is>
          <t>CHECK_VENDOR</t>
        </is>
      </c>
      <c r="N814" s="191" t="inlineStr">
        <is>
          <t>See NVD references</t>
        </is>
      </c>
      <c r="O814" s="191" t="inlineStr">
        <is>
          <t>Apply vendor patches</t>
        </is>
      </c>
      <c r="P814" s="191" t="inlineStr">
        <is>
          <t>See CVE details</t>
        </is>
      </c>
      <c r="Q814" s="191" t="inlineStr">
        <is>
          <t>P4</t>
        </is>
      </c>
      <c r="R814" s="191" t="inlineStr">
        <is>
          <t>📅 Schedule patch deployment within 30 days | 🔍 Monitor for exploitation attempts</t>
        </is>
      </c>
      <c r="S814" s="191" t="inlineStr">
        <is>
          <t>CVE - IP enrichment n/a</t>
        </is>
      </c>
      <c r="T814" s="191" t="n">
        <v>0</v>
      </c>
      <c r="U814" s="191" t="n">
        <v>0</v>
      </c>
      <c r="V814" s="191" t="inlineStr">
        <is>
          <t>T1190:Exploit Public-Facing Application</t>
        </is>
      </c>
      <c r="W814" s="191" t="n">
        <v>1</v>
      </c>
      <c r="X814" s="191" t="inlineStr">
        <is>
          <t>LOW (40%)</t>
        </is>
      </c>
      <c r="Y814" s="191" t="inlineStr">
        <is>
          <t>UNLIKELY</t>
        </is>
      </c>
      <c r="Z814" s="191" t="inlineStr">
        <is>
          <t>CHECK_VENDOR</t>
        </is>
      </c>
      <c r="AA814" s="192" t="inlineStr">
        <is>
          <t>https://nvd.nist.gov/vuln/detail/CVE-2025-53217</t>
        </is>
      </c>
      <c r="AB814" s="191" t="inlineStr">
        <is>
          <t>NONE</t>
        </is>
      </c>
      <c r="AC814" s="191" t="n">
        <v>0</v>
      </c>
      <c r="AD814" s="191" t="n"/>
    </row>
    <row r="815">
      <c r="A815" s="191" t="inlineStr">
        <is>
          <t>CVE</t>
        </is>
      </c>
      <c r="B815" s="191" t="inlineStr">
        <is>
          <t>CVE-2025-53228</t>
        </is>
      </c>
      <c r="C815" s="191" t="inlineStr">
        <is>
          <t>Improper Neutralization of Input During Web Page Generation ('Cross-site Scripting') vulnerability in jezza101 bbpress Simple Advert Units bbpress-simple-advert-units allows Reflected XSS.This issue affects bbpress Simple Advert Units: from n/a through &lt;= 0.41.</t>
        </is>
      </c>
      <c r="D815" s="191" t="n">
        <v>5</v>
      </c>
      <c r="E815" s="191" t="inlineStr">
        <is>
          <t>MEDIUM</t>
        </is>
      </c>
      <c r="F815" s="191" t="n">
        <v>2</v>
      </c>
      <c r="G815" s="191" t="n">
        <v>2</v>
      </c>
      <c r="H815" s="191" t="inlineStr">
        <is>
          <t>MEDIUM</t>
        </is>
      </c>
      <c r="I815" s="191" t="n">
        <v>9</v>
      </c>
      <c r="J815" s="191" t="inlineStr">
        <is>
          <t>NO</t>
        </is>
      </c>
      <c r="K815" s="192" t="inlineStr">
        <is>
          <t>https://nvd.nist.gov/vuln/detail/CVE-2025-53228</t>
        </is>
      </c>
      <c r="L815" s="191" t="inlineStr">
        <is>
          <t>2026-02-23 23:48</t>
        </is>
      </c>
      <c r="M815" s="191" t="inlineStr">
        <is>
          <t>CHECK_VENDOR</t>
        </is>
      </c>
      <c r="N815" s="191" t="inlineStr">
        <is>
          <t>See NVD references</t>
        </is>
      </c>
      <c r="O815" s="191" t="inlineStr">
        <is>
          <t>Apply vendor patches</t>
        </is>
      </c>
      <c r="P815" s="191" t="inlineStr">
        <is>
          <t>See CVE details</t>
        </is>
      </c>
      <c r="Q815" s="191" t="inlineStr">
        <is>
          <t>P4</t>
        </is>
      </c>
      <c r="R815" s="191" t="inlineStr">
        <is>
          <t>📅 Schedule patch deployment within 30 days | 🔍 Monitor for exploitation attempts</t>
        </is>
      </c>
      <c r="S815" s="191" t="inlineStr">
        <is>
          <t>CVE - IP enrichment n/a</t>
        </is>
      </c>
      <c r="T815" s="191" t="n">
        <v>0</v>
      </c>
      <c r="U815" s="191" t="n">
        <v>0</v>
      </c>
      <c r="V815" s="191" t="inlineStr">
        <is>
          <t>T1189:Drive-by Compromise</t>
        </is>
      </c>
      <c r="W815" s="191" t="n">
        <v>1</v>
      </c>
      <c r="X815" s="191" t="inlineStr">
        <is>
          <t>LOW (40%)</t>
        </is>
      </c>
      <c r="Y815" s="191" t="inlineStr">
        <is>
          <t>UNLIKELY</t>
        </is>
      </c>
      <c r="Z815" s="191" t="inlineStr">
        <is>
          <t>CHECK_VENDOR</t>
        </is>
      </c>
      <c r="AA815" s="192" t="inlineStr">
        <is>
          <t>https://nvd.nist.gov/vuln/detail/CVE-2025-53228</t>
        </is>
      </c>
      <c r="AB815" s="191" t="inlineStr">
        <is>
          <t>NONE</t>
        </is>
      </c>
      <c r="AC815" s="191" t="n">
        <v>0</v>
      </c>
      <c r="AD815" s="191" t="n"/>
    </row>
    <row r="816">
      <c r="A816" s="191" t="inlineStr">
        <is>
          <t>CVE</t>
        </is>
      </c>
      <c r="B816" s="191" t="inlineStr">
        <is>
          <t>CVE-2025-53231</t>
        </is>
      </c>
      <c r="C816" s="191" t="inlineStr">
        <is>
          <t>Improper Neutralization of Input During Web Page Generation ('Cross-site Scripting') vulnerability in wpdevstudio Easy Taxonomy Images easy-taxonomy-images allows Stored XSS.This issue affects Easy Taxonomy Images: from n/a through &lt;= 1.0.1.</t>
        </is>
      </c>
      <c r="D816" s="191" t="n">
        <v>5</v>
      </c>
      <c r="E816" s="191" t="inlineStr">
        <is>
          <t>MEDIUM</t>
        </is>
      </c>
      <c r="F816" s="191" t="n">
        <v>2</v>
      </c>
      <c r="G816" s="191" t="n">
        <v>2</v>
      </c>
      <c r="H816" s="191" t="inlineStr">
        <is>
          <t>MEDIUM</t>
        </is>
      </c>
      <c r="I816" s="191" t="n">
        <v>9</v>
      </c>
      <c r="J816" s="191" t="inlineStr">
        <is>
          <t>NO</t>
        </is>
      </c>
      <c r="K816" s="192" t="inlineStr">
        <is>
          <t>https://nvd.nist.gov/vuln/detail/CVE-2025-53231</t>
        </is>
      </c>
      <c r="L816" s="191" t="inlineStr">
        <is>
          <t>2026-02-23 23:48</t>
        </is>
      </c>
      <c r="M816" s="191" t="inlineStr">
        <is>
          <t>CHECK_VENDOR</t>
        </is>
      </c>
      <c r="N816" s="191" t="inlineStr">
        <is>
          <t>See NVD references</t>
        </is>
      </c>
      <c r="O816" s="191" t="inlineStr">
        <is>
          <t>Apply vendor patches</t>
        </is>
      </c>
      <c r="P816" s="191" t="inlineStr">
        <is>
          <t>See CVE details</t>
        </is>
      </c>
      <c r="Q816" s="191" t="inlineStr">
        <is>
          <t>P4</t>
        </is>
      </c>
      <c r="R816" s="191" t="inlineStr">
        <is>
          <t>📅 Schedule patch deployment within 30 days | 🔍 Monitor for exploitation attempts</t>
        </is>
      </c>
      <c r="S816" s="191" t="inlineStr">
        <is>
          <t>CVE - IP enrichment n/a</t>
        </is>
      </c>
      <c r="T816" s="191" t="n">
        <v>0</v>
      </c>
      <c r="U816" s="191" t="n">
        <v>0</v>
      </c>
      <c r="V816" s="191" t="inlineStr">
        <is>
          <t>T1189:Drive-by Compromise</t>
        </is>
      </c>
      <c r="W816" s="191" t="n">
        <v>1</v>
      </c>
      <c r="X816" s="191" t="inlineStr">
        <is>
          <t>LOW (40%)</t>
        </is>
      </c>
      <c r="Y816" s="191" t="inlineStr">
        <is>
          <t>UNLIKELY</t>
        </is>
      </c>
      <c r="Z816" s="191" t="inlineStr">
        <is>
          <t>CHECK_VENDOR</t>
        </is>
      </c>
      <c r="AA816" s="192" t="inlineStr">
        <is>
          <t>https://nvd.nist.gov/vuln/detail/CVE-2025-53231</t>
        </is>
      </c>
      <c r="AB816" s="191" t="inlineStr">
        <is>
          <t>NONE</t>
        </is>
      </c>
      <c r="AC816" s="191" t="n">
        <v>0</v>
      </c>
      <c r="AD816" s="191" t="n"/>
    </row>
    <row r="817">
      <c r="A817" s="191" t="inlineStr">
        <is>
          <t>CVE</t>
        </is>
      </c>
      <c r="B817" s="191" t="inlineStr">
        <is>
          <t>CVE-2025-53233</t>
        </is>
      </c>
      <c r="C817" s="191" t="inlineStr">
        <is>
          <t>Improper Neutralization of Input During Web Page Generation ('Cross-site Scripting') vulnerability in RylanH Storyform storyform allows Reflected XSS.This issue affects Storyform: from n/a through &lt;= 0.6.14.</t>
        </is>
      </c>
      <c r="D817" s="191" t="n">
        <v>5</v>
      </c>
      <c r="E817" s="191" t="inlineStr">
        <is>
          <t>MEDIUM</t>
        </is>
      </c>
      <c r="F817" s="191" t="n">
        <v>2</v>
      </c>
      <c r="G817" s="191" t="n">
        <v>2</v>
      </c>
      <c r="H817" s="191" t="inlineStr">
        <is>
          <t>MEDIUM</t>
        </is>
      </c>
      <c r="I817" s="191" t="n">
        <v>9</v>
      </c>
      <c r="J817" s="191" t="inlineStr">
        <is>
          <t>NO</t>
        </is>
      </c>
      <c r="K817" s="192" t="inlineStr">
        <is>
          <t>https://nvd.nist.gov/vuln/detail/CVE-2025-53233</t>
        </is>
      </c>
      <c r="L817" s="191" t="inlineStr">
        <is>
          <t>2026-02-23 23:48</t>
        </is>
      </c>
      <c r="M817" s="191" t="inlineStr">
        <is>
          <t>CHECK_VENDOR</t>
        </is>
      </c>
      <c r="N817" s="191" t="inlineStr">
        <is>
          <t>See NVD references</t>
        </is>
      </c>
      <c r="O817" s="191" t="inlineStr">
        <is>
          <t>Apply vendor patches</t>
        </is>
      </c>
      <c r="P817" s="191" t="inlineStr">
        <is>
          <t>See CVE details</t>
        </is>
      </c>
      <c r="Q817" s="191" t="inlineStr">
        <is>
          <t>P4</t>
        </is>
      </c>
      <c r="R817" s="191" t="inlineStr">
        <is>
          <t>📅 Schedule patch deployment within 30 days | 🔍 Monitor for exploitation attempts</t>
        </is>
      </c>
      <c r="S817" s="191" t="inlineStr">
        <is>
          <t>CVE - IP enrichment n/a</t>
        </is>
      </c>
      <c r="T817" s="191" t="n">
        <v>0</v>
      </c>
      <c r="U817" s="191" t="n">
        <v>0</v>
      </c>
      <c r="V817" s="191" t="inlineStr">
        <is>
          <t>T1189:Drive-by Compromise</t>
        </is>
      </c>
      <c r="W817" s="191" t="n">
        <v>1</v>
      </c>
      <c r="X817" s="191" t="inlineStr">
        <is>
          <t>LOW (40%)</t>
        </is>
      </c>
      <c r="Y817" s="191" t="inlineStr">
        <is>
          <t>UNLIKELY</t>
        </is>
      </c>
      <c r="Z817" s="191" t="inlineStr">
        <is>
          <t>CHECK_VENDOR</t>
        </is>
      </c>
      <c r="AA817" s="192" t="inlineStr">
        <is>
          <t>https://nvd.nist.gov/vuln/detail/CVE-2025-53233</t>
        </is>
      </c>
      <c r="AB817" s="191" t="inlineStr">
        <is>
          <t>NONE</t>
        </is>
      </c>
      <c r="AC817" s="191" t="n">
        <v>0</v>
      </c>
      <c r="AD817" s="191" t="n"/>
    </row>
    <row r="818">
      <c r="A818" s="191" t="inlineStr">
        <is>
          <t>CVE</t>
        </is>
      </c>
      <c r="B818" s="191" t="inlineStr">
        <is>
          <t>CVE-2025-53237</t>
        </is>
      </c>
      <c r="C818" s="191" t="inlineStr">
        <is>
          <t>Improper Neutralization of Input During Web Page Generation ('Cross-site Scripting') vulnerability in Soflyy WP Wizard Cloak wp-wizard-cloak allows Reflected XSS.This issue affects WP Wizard Cloak: from n/a through &lt;= 1.0.1.</t>
        </is>
      </c>
      <c r="D818" s="191" t="n">
        <v>5</v>
      </c>
      <c r="E818" s="191" t="inlineStr">
        <is>
          <t>MEDIUM</t>
        </is>
      </c>
      <c r="F818" s="191" t="n">
        <v>2</v>
      </c>
      <c r="G818" s="191" t="n">
        <v>2</v>
      </c>
      <c r="H818" s="191" t="inlineStr">
        <is>
          <t>MEDIUM</t>
        </is>
      </c>
      <c r="I818" s="191" t="n">
        <v>9</v>
      </c>
      <c r="J818" s="191" t="inlineStr">
        <is>
          <t>NO</t>
        </is>
      </c>
      <c r="K818" s="192" t="inlineStr">
        <is>
          <t>https://nvd.nist.gov/vuln/detail/CVE-2025-53237</t>
        </is>
      </c>
      <c r="L818" s="191" t="inlineStr">
        <is>
          <t>2026-02-23 23:48</t>
        </is>
      </c>
      <c r="M818" s="191" t="inlineStr">
        <is>
          <t>CHECK_VENDOR</t>
        </is>
      </c>
      <c r="N818" s="191" t="inlineStr">
        <is>
          <t>See NVD references</t>
        </is>
      </c>
      <c r="O818" s="191" t="inlineStr">
        <is>
          <t>Apply vendor patches</t>
        </is>
      </c>
      <c r="P818" s="191" t="inlineStr">
        <is>
          <t>See CVE details</t>
        </is>
      </c>
      <c r="Q818" s="191" t="inlineStr">
        <is>
          <t>P4</t>
        </is>
      </c>
      <c r="R818" s="191" t="inlineStr">
        <is>
          <t>📅 Schedule patch deployment within 30 days | 🔍 Monitor for exploitation attempts</t>
        </is>
      </c>
      <c r="S818" s="191" t="inlineStr">
        <is>
          <t>CVE - IP enrichment n/a</t>
        </is>
      </c>
      <c r="T818" s="191" t="n">
        <v>0</v>
      </c>
      <c r="U818" s="191" t="n">
        <v>0</v>
      </c>
      <c r="V818" s="191" t="inlineStr">
        <is>
          <t>T1189:Drive-by Compromise</t>
        </is>
      </c>
      <c r="W818" s="191" t="n">
        <v>1</v>
      </c>
      <c r="X818" s="191" t="inlineStr">
        <is>
          <t>LOW (40%)</t>
        </is>
      </c>
      <c r="Y818" s="191" t="inlineStr">
        <is>
          <t>UNLIKELY</t>
        </is>
      </c>
      <c r="Z818" s="191" t="inlineStr">
        <is>
          <t>CHECK_VENDOR</t>
        </is>
      </c>
      <c r="AA818" s="192" t="inlineStr">
        <is>
          <t>https://nvd.nist.gov/vuln/detail/CVE-2025-53237</t>
        </is>
      </c>
      <c r="AB818" s="191" t="inlineStr">
        <is>
          <t>NONE</t>
        </is>
      </c>
      <c r="AC818" s="191" t="n">
        <v>0</v>
      </c>
      <c r="AD818" s="191" t="n"/>
    </row>
    <row r="819">
      <c r="A819" s="191" t="inlineStr">
        <is>
          <t>CVE</t>
        </is>
      </c>
      <c r="B819" s="191" t="inlineStr">
        <is>
          <t>CVE-2025-60087</t>
        </is>
      </c>
      <c r="C819" s="191" t="inlineStr">
        <is>
          <t>Improper Control of Filename for Include/Require Statement in PHP Program ('PHP Remote File Inclusion') vulnerability in Nenad Obradovic Extensive VC Addons for WPBakery page builder extensive-vc-addon allows PHP Local File Inclusion.This issue affects Extensive VC Addons for WPBakery page builder: from n/a through &lt;= 1.9.1.</t>
        </is>
      </c>
      <c r="D819" s="191" t="n">
        <v>5</v>
      </c>
      <c r="E819" s="191" t="inlineStr">
        <is>
          <t>MEDIUM</t>
        </is>
      </c>
      <c r="F819" s="191" t="n">
        <v>2</v>
      </c>
      <c r="G819" s="191" t="n">
        <v>2</v>
      </c>
      <c r="H819" s="191" t="inlineStr">
        <is>
          <t>MEDIUM</t>
        </is>
      </c>
      <c r="I819" s="191" t="n">
        <v>9</v>
      </c>
      <c r="J819" s="191" t="inlineStr">
        <is>
          <t>NO</t>
        </is>
      </c>
      <c r="K819" s="192" t="inlineStr">
        <is>
          <t>https://nvd.nist.gov/vuln/detail/CVE-2025-60087</t>
        </is>
      </c>
      <c r="L819" s="191" t="inlineStr">
        <is>
          <t>2026-02-23 23:48</t>
        </is>
      </c>
      <c r="M819" s="191" t="inlineStr">
        <is>
          <t>CHECK_VENDOR</t>
        </is>
      </c>
      <c r="N819" s="191" t="inlineStr">
        <is>
          <t>See NVD references</t>
        </is>
      </c>
      <c r="O819" s="191" t="inlineStr">
        <is>
          <t>Apply vendor patches</t>
        </is>
      </c>
      <c r="P819" s="191" t="inlineStr">
        <is>
          <t>See CVE details</t>
        </is>
      </c>
      <c r="Q819" s="191" t="inlineStr">
        <is>
          <t>P4</t>
        </is>
      </c>
      <c r="R819" s="191" t="inlineStr">
        <is>
          <t>📅 Schedule patch deployment within 30 days | 🔍 Monitor for exploitation attempts</t>
        </is>
      </c>
      <c r="S819" s="191" t="inlineStr">
        <is>
          <t>CVE - IP enrichment n/a</t>
        </is>
      </c>
      <c r="T819" s="191" t="n">
        <v>0</v>
      </c>
      <c r="U819" s="191" t="n">
        <v>0</v>
      </c>
      <c r="V819" s="191" t="inlineStr">
        <is>
          <t>T1190:Exploit Public-Facing Application</t>
        </is>
      </c>
      <c r="W819" s="191" t="n">
        <v>1</v>
      </c>
      <c r="X819" s="191" t="inlineStr">
        <is>
          <t>LOW (40%)</t>
        </is>
      </c>
      <c r="Y819" s="191" t="inlineStr">
        <is>
          <t>UNLIKELY</t>
        </is>
      </c>
      <c r="Z819" s="191" t="inlineStr">
        <is>
          <t>CHECK_VENDOR</t>
        </is>
      </c>
      <c r="AA819" s="192" t="inlineStr">
        <is>
          <t>https://nvd.nist.gov/vuln/detail/CVE-2025-60087</t>
        </is>
      </c>
      <c r="AB819" s="191" t="inlineStr">
        <is>
          <t>NONE</t>
        </is>
      </c>
      <c r="AC819" s="191" t="n">
        <v>0</v>
      </c>
      <c r="AD819" s="191" t="n"/>
    </row>
    <row r="820">
      <c r="A820" s="191" t="inlineStr">
        <is>
          <t>CVE</t>
        </is>
      </c>
      <c r="B820" s="191" t="inlineStr">
        <is>
          <t>CVE-2025-60183</t>
        </is>
      </c>
      <c r="C820" s="191" t="inlineStr">
        <is>
          <t>Improper Neutralization of Input During Web Page Generation ('Cross-site Scripting') vulnerability in silence Silencesoft RSS Reader external-rss-reader allows Stored XSS.This issue affects Silencesoft RSS Reader: from n/a through &lt;= 0.6.</t>
        </is>
      </c>
      <c r="D820" s="191" t="n">
        <v>5</v>
      </c>
      <c r="E820" s="191" t="inlineStr">
        <is>
          <t>MEDIUM</t>
        </is>
      </c>
      <c r="F820" s="191" t="n">
        <v>2</v>
      </c>
      <c r="G820" s="191" t="n">
        <v>2</v>
      </c>
      <c r="H820" s="191" t="inlineStr">
        <is>
          <t>MEDIUM</t>
        </is>
      </c>
      <c r="I820" s="191" t="n">
        <v>9</v>
      </c>
      <c r="J820" s="191" t="inlineStr">
        <is>
          <t>NO</t>
        </is>
      </c>
      <c r="K820" s="192" t="inlineStr">
        <is>
          <t>https://nvd.nist.gov/vuln/detail/CVE-2025-60183</t>
        </is>
      </c>
      <c r="L820" s="191" t="inlineStr">
        <is>
          <t>2026-02-23 23:48</t>
        </is>
      </c>
      <c r="M820" s="191" t="inlineStr">
        <is>
          <t>CHECK_VENDOR</t>
        </is>
      </c>
      <c r="N820" s="191" t="inlineStr">
        <is>
          <t>See NVD references</t>
        </is>
      </c>
      <c r="O820" s="191" t="inlineStr">
        <is>
          <t>Apply vendor patches</t>
        </is>
      </c>
      <c r="P820" s="191" t="inlineStr">
        <is>
          <t>See CVE details</t>
        </is>
      </c>
      <c r="Q820" s="191" t="inlineStr">
        <is>
          <t>P4</t>
        </is>
      </c>
      <c r="R820" s="191" t="inlineStr">
        <is>
          <t>📅 Schedule patch deployment within 30 days | 🔍 Monitor for exploitation attempts</t>
        </is>
      </c>
      <c r="S820" s="191" t="inlineStr">
        <is>
          <t>CVE - IP enrichment n/a</t>
        </is>
      </c>
      <c r="T820" s="191" t="n">
        <v>0</v>
      </c>
      <c r="U820" s="191" t="n">
        <v>0</v>
      </c>
      <c r="V820" s="191" t="inlineStr">
        <is>
          <t>T1189:Drive-by Compromise</t>
        </is>
      </c>
      <c r="W820" s="191" t="n">
        <v>1</v>
      </c>
      <c r="X820" s="191" t="inlineStr">
        <is>
          <t>LOW (40%)</t>
        </is>
      </c>
      <c r="Y820" s="191" t="inlineStr">
        <is>
          <t>UNLIKELY</t>
        </is>
      </c>
      <c r="Z820" s="191" t="inlineStr">
        <is>
          <t>CHECK_VENDOR</t>
        </is>
      </c>
      <c r="AA820" s="192" t="inlineStr">
        <is>
          <t>https://nvd.nist.gov/vuln/detail/CVE-2025-60183</t>
        </is>
      </c>
      <c r="AB820" s="191" t="inlineStr">
        <is>
          <t>NONE</t>
        </is>
      </c>
      <c r="AC820" s="191" t="n">
        <v>0</v>
      </c>
      <c r="AD820" s="191" t="n"/>
    </row>
    <row r="821">
      <c r="A821" s="191" t="inlineStr">
        <is>
          <t>CVE</t>
        </is>
      </c>
      <c r="B821" s="191" t="inlineStr">
        <is>
          <t>CVE-2025-67438</t>
        </is>
      </c>
      <c r="C821" s="191" t="inlineStr">
        <is>
          <t>A Stored Cross-Site Scripting (XSS) vulnerability in Sync-in Server before 1.9.3 allows an authenticated attacker to execute arbitrary JavaScript in a victim's browser. By uploading a crafted SVG file containing a malicious payload, an attacker can access and exfiltrate sensitive information, including the user's session cookies.</t>
        </is>
      </c>
      <c r="D821" s="191" t="n">
        <v>6.1</v>
      </c>
      <c r="E821" s="191" t="inlineStr">
        <is>
          <t>MEDIUM</t>
        </is>
      </c>
      <c r="F821" s="191" t="n">
        <v>2</v>
      </c>
      <c r="G821" s="191" t="n">
        <v>2</v>
      </c>
      <c r="H821" s="191" t="inlineStr">
        <is>
          <t>MEDIUM</t>
        </is>
      </c>
      <c r="I821" s="191" t="n">
        <v>10.1</v>
      </c>
      <c r="J821" s="191" t="inlineStr">
        <is>
          <t>NO</t>
        </is>
      </c>
      <c r="K821" s="192" t="inlineStr">
        <is>
          <t>https://nvd.nist.gov/vuln/detail/CVE-2025-67438</t>
        </is>
      </c>
      <c r="L821" s="191" t="inlineStr">
        <is>
          <t>2026-02-23 23:48</t>
        </is>
      </c>
      <c r="M821" s="191" t="inlineStr">
        <is>
          <t>CHECK_VENDOR</t>
        </is>
      </c>
      <c r="N821" s="191" t="inlineStr">
        <is>
          <t>See NVD references</t>
        </is>
      </c>
      <c r="O821" s="191" t="inlineStr">
        <is>
          <t>Apply vendor patches</t>
        </is>
      </c>
      <c r="P821" s="191" t="inlineStr">
        <is>
          <t>See CVE details</t>
        </is>
      </c>
      <c r="Q821" s="191" t="inlineStr">
        <is>
          <t>P4</t>
        </is>
      </c>
      <c r="R821" s="191" t="inlineStr">
        <is>
          <t>📅 Schedule patch deployment within 30 days | 🔍 Monitor for exploitation attempts</t>
        </is>
      </c>
      <c r="S821" s="191" t="inlineStr">
        <is>
          <t>CVE - IP enrichment n/a</t>
        </is>
      </c>
      <c r="T821" s="191" t="n">
        <v>0.0002</v>
      </c>
      <c r="U821" s="191" t="n">
        <v>0.0449</v>
      </c>
      <c r="V821" s="191" t="inlineStr">
        <is>
          <t>T1189:Drive-by Compromise</t>
        </is>
      </c>
      <c r="W821" s="191" t="n">
        <v>1</v>
      </c>
      <c r="X821" s="191" t="inlineStr">
        <is>
          <t>LOW (40%)</t>
        </is>
      </c>
      <c r="Y821" s="191" t="inlineStr">
        <is>
          <t>UNLIKELY</t>
        </is>
      </c>
      <c r="Z821" s="191" t="inlineStr">
        <is>
          <t>CHECK_VENDOR</t>
        </is>
      </c>
      <c r="AA821" s="192" t="inlineStr">
        <is>
          <t>https://nvd.nist.gov/vuln/detail/CVE-2025-67438</t>
        </is>
      </c>
      <c r="AB821" s="191" t="inlineStr">
        <is>
          <t>NONE</t>
        </is>
      </c>
      <c r="AC821" s="191" t="n">
        <v>0</v>
      </c>
      <c r="AD821" s="191" t="n"/>
    </row>
    <row r="822">
      <c r="A822" s="191" t="inlineStr">
        <is>
          <t>CVE</t>
        </is>
      </c>
      <c r="B822" s="191" t="inlineStr">
        <is>
          <t>CVE-2025-67547</t>
        </is>
      </c>
      <c r="C822" s="191" t="inlineStr">
        <is>
          <t>Missing Authorization vulnerability in uixthemes Konte konte allows Exploiting Incorrectly Configured Access Control Security Levels.This issue affects Konte: from n/a through &lt;= 2.4.6.</t>
        </is>
      </c>
      <c r="D822" s="191" t="n">
        <v>5</v>
      </c>
      <c r="E822" s="191" t="inlineStr">
        <is>
          <t>MEDIUM</t>
        </is>
      </c>
      <c r="F822" s="191" t="n">
        <v>2</v>
      </c>
      <c r="G822" s="191" t="n">
        <v>2</v>
      </c>
      <c r="H822" s="191" t="inlineStr">
        <is>
          <t>MEDIUM</t>
        </is>
      </c>
      <c r="I822" s="191" t="n">
        <v>9</v>
      </c>
      <c r="J822" s="191" t="inlineStr">
        <is>
          <t>NO</t>
        </is>
      </c>
      <c r="K822" s="192" t="inlineStr">
        <is>
          <t>https://nvd.nist.gov/vuln/detail/CVE-2025-67547</t>
        </is>
      </c>
      <c r="L822" s="191" t="inlineStr">
        <is>
          <t>2026-02-23 23:48</t>
        </is>
      </c>
      <c r="M822" s="191" t="inlineStr">
        <is>
          <t>CHECK_VENDOR</t>
        </is>
      </c>
      <c r="N822" s="191" t="inlineStr">
        <is>
          <t>See NVD references</t>
        </is>
      </c>
      <c r="O822" s="191" t="inlineStr">
        <is>
          <t>Apply vendor patches</t>
        </is>
      </c>
      <c r="P822" s="191" t="inlineStr">
        <is>
          <t>See CVE details</t>
        </is>
      </c>
      <c r="Q822" s="191" t="inlineStr">
        <is>
          <t>P4</t>
        </is>
      </c>
      <c r="R822" s="191" t="inlineStr">
        <is>
          <t>📅 Schedule patch deployment within 30 days | 🔍 Monitor for exploitation attempts</t>
        </is>
      </c>
      <c r="S822" s="191" t="inlineStr">
        <is>
          <t>CVE - IP enrichment n/a</t>
        </is>
      </c>
      <c r="T822" s="191" t="n">
        <v>0</v>
      </c>
      <c r="U822" s="191" t="n">
        <v>0</v>
      </c>
      <c r="V822" s="191" t="inlineStr">
        <is>
          <t>T1190:Exploit Public-Facing Application</t>
        </is>
      </c>
      <c r="W822" s="191" t="n">
        <v>1</v>
      </c>
      <c r="X822" s="191" t="inlineStr">
        <is>
          <t>LOW (40%)</t>
        </is>
      </c>
      <c r="Y822" s="191" t="inlineStr">
        <is>
          <t>UNLIKELY</t>
        </is>
      </c>
      <c r="Z822" s="191" t="inlineStr">
        <is>
          <t>CHECK_VENDOR</t>
        </is>
      </c>
      <c r="AA822" s="192" t="inlineStr">
        <is>
          <t>https://nvd.nist.gov/vuln/detail/CVE-2025-67547</t>
        </is>
      </c>
      <c r="AB822" s="191" t="inlineStr">
        <is>
          <t>NONE</t>
        </is>
      </c>
      <c r="AC822" s="191" t="n">
        <v>0</v>
      </c>
      <c r="AD822" s="191" t="n"/>
    </row>
    <row r="823">
      <c r="A823" s="191" t="inlineStr">
        <is>
          <t>CVE</t>
        </is>
      </c>
      <c r="B823" s="191" t="inlineStr">
        <is>
          <t>CVE-2025-67624</t>
        </is>
      </c>
      <c r="C823" s="191" t="inlineStr">
        <is>
          <t>Missing Authorization vulnerability in Arya Dhiratara Optimize More! &amp;#8211; Images optimize-more-images allows Exploiting Incorrectly Configured Access Control Security Levels.This issue affects Optimize More! &amp;#8211; Images: from n/a through &lt;= 1.1.3.</t>
        </is>
      </c>
      <c r="D823" s="191" t="n">
        <v>5</v>
      </c>
      <c r="E823" s="191" t="inlineStr">
        <is>
          <t>MEDIUM</t>
        </is>
      </c>
      <c r="F823" s="191" t="n">
        <v>2</v>
      </c>
      <c r="G823" s="191" t="n">
        <v>2</v>
      </c>
      <c r="H823" s="191" t="inlineStr">
        <is>
          <t>MEDIUM</t>
        </is>
      </c>
      <c r="I823" s="191" t="n">
        <v>9</v>
      </c>
      <c r="J823" s="191" t="inlineStr">
        <is>
          <t>NO</t>
        </is>
      </c>
      <c r="K823" s="192" t="inlineStr">
        <is>
          <t>https://nvd.nist.gov/vuln/detail/CVE-2025-67624</t>
        </is>
      </c>
      <c r="L823" s="191" t="inlineStr">
        <is>
          <t>2026-02-23 23:48</t>
        </is>
      </c>
      <c r="M823" s="191" t="inlineStr">
        <is>
          <t>CHECK_VENDOR</t>
        </is>
      </c>
      <c r="N823" s="191" t="inlineStr">
        <is>
          <t>See NVD references</t>
        </is>
      </c>
      <c r="O823" s="191" t="inlineStr">
        <is>
          <t>Apply vendor patches</t>
        </is>
      </c>
      <c r="P823" s="191" t="inlineStr">
        <is>
          <t>See CVE details</t>
        </is>
      </c>
      <c r="Q823" s="191" t="inlineStr">
        <is>
          <t>P4</t>
        </is>
      </c>
      <c r="R823" s="191" t="inlineStr">
        <is>
          <t>📅 Schedule patch deployment within 30 days | 🔍 Monitor for exploitation attempts</t>
        </is>
      </c>
      <c r="S823" s="191" t="inlineStr">
        <is>
          <t>CVE - IP enrichment n/a</t>
        </is>
      </c>
      <c r="T823" s="191" t="n">
        <v>0</v>
      </c>
      <c r="U823" s="191" t="n">
        <v>0</v>
      </c>
      <c r="V823" s="191" t="inlineStr">
        <is>
          <t>T1190:Exploit Public-Facing Application</t>
        </is>
      </c>
      <c r="W823" s="191" t="n">
        <v>1</v>
      </c>
      <c r="X823" s="191" t="inlineStr">
        <is>
          <t>LOW (40%)</t>
        </is>
      </c>
      <c r="Y823" s="191" t="inlineStr">
        <is>
          <t>UNLIKELY</t>
        </is>
      </c>
      <c r="Z823" s="191" t="inlineStr">
        <is>
          <t>CHECK_VENDOR</t>
        </is>
      </c>
      <c r="AA823" s="192" t="inlineStr">
        <is>
          <t>https://nvd.nist.gov/vuln/detail/CVE-2025-67624</t>
        </is>
      </c>
      <c r="AB823" s="191" t="inlineStr">
        <is>
          <t>NONE</t>
        </is>
      </c>
      <c r="AC823" s="191" t="n">
        <v>0</v>
      </c>
      <c r="AD823" s="191" t="n"/>
    </row>
    <row r="824">
      <c r="A824" s="189" t="inlineStr">
        <is>
          <t>CVE</t>
        </is>
      </c>
      <c r="B824" s="189" t="inlineStr">
        <is>
          <t>CVE-2025-67969</t>
        </is>
      </c>
      <c r="C824" s="189" t="inlineStr">
        <is>
          <t>Missing Authorization vulnerability in knitpay UPI QR Code Payment Gateway for WooCommerce upi-qr-code-payment-for-woocommerce allows Exploiting Incorrectly Configured Access Control Security Levels.This issue affects UPI QR Code Payment Gateway for WooCommerce: from n/a through &lt;= 1.5.1.</t>
        </is>
      </c>
      <c r="D824" s="189" t="n">
        <v>8.5</v>
      </c>
      <c r="E824" s="189" t="inlineStr">
        <is>
          <t>HIGH</t>
        </is>
      </c>
      <c r="F824" s="189" t="n">
        <v>2</v>
      </c>
      <c r="G824" s="189" t="n">
        <v>3</v>
      </c>
      <c r="H824" s="189" t="inlineStr">
        <is>
          <t>HIGH</t>
        </is>
      </c>
      <c r="I824" s="189" t="n">
        <v>14.5</v>
      </c>
      <c r="J824" s="189" t="inlineStr">
        <is>
          <t>NO</t>
        </is>
      </c>
      <c r="K824" s="190" t="inlineStr">
        <is>
          <t>https://nvd.nist.gov/vuln/detail/CVE-2025-67969</t>
        </is>
      </c>
      <c r="L824" s="189" t="inlineStr">
        <is>
          <t>2026-02-23 23:48</t>
        </is>
      </c>
      <c r="M824" s="189" t="inlineStr">
        <is>
          <t>CHECK_VENDOR</t>
        </is>
      </c>
      <c r="N824" s="189" t="inlineStr">
        <is>
          <t>See NVD references</t>
        </is>
      </c>
      <c r="O824" s="189" t="inlineStr">
        <is>
          <t>Apply vendor patches</t>
        </is>
      </c>
      <c r="P824" s="189" t="inlineStr">
        <is>
          <t>See CVE details</t>
        </is>
      </c>
      <c r="Q824" s="189" t="inlineStr">
        <is>
          <t>P3</t>
        </is>
      </c>
      <c r="R824" s="189" t="inlineStr">
        <is>
          <t>🚨 URGENT: Apply vendor patches immediately | 🔒 Isolate affected systems if patch unavailable | 🛡️ Enable additional monitoring/IDS rules</t>
        </is>
      </c>
      <c r="S824" s="189" t="inlineStr">
        <is>
          <t>CVE - IP enrichment n/a</t>
        </is>
      </c>
      <c r="T824" s="189" t="n">
        <v>0</v>
      </c>
      <c r="U824" s="189" t="n">
        <v>0</v>
      </c>
      <c r="V824" s="189" t="inlineStr">
        <is>
          <t>T1190:Exploit Public-Facing Application</t>
        </is>
      </c>
      <c r="W824" s="189" t="n">
        <v>1</v>
      </c>
      <c r="X824" s="189" t="inlineStr">
        <is>
          <t>LOW (40%)</t>
        </is>
      </c>
      <c r="Y824" s="189" t="inlineStr">
        <is>
          <t>UNLIKELY</t>
        </is>
      </c>
      <c r="Z824" s="189" t="inlineStr">
        <is>
          <t>CHECK_VENDOR</t>
        </is>
      </c>
      <c r="AA824" s="190" t="inlineStr">
        <is>
          <t>https://nvd.nist.gov/vuln/detail/CVE-2025-67969</t>
        </is>
      </c>
      <c r="AB824" s="189" t="inlineStr">
        <is>
          <t>NONE</t>
        </is>
      </c>
      <c r="AC824" s="189" t="n">
        <v>0</v>
      </c>
      <c r="AD824" s="189" t="n"/>
    </row>
    <row r="825">
      <c r="A825" s="191" t="inlineStr">
        <is>
          <t>CVE</t>
        </is>
      </c>
      <c r="B825" s="191" t="inlineStr">
        <is>
          <t>CVE-2025-67970</t>
        </is>
      </c>
      <c r="C825" s="191" t="inlineStr">
        <is>
          <t>Missing Authorization vulnerability in vertim Schedula schedula-smart-appointment-booking allows Exploiting Incorrectly Configured Access Control Security Levels.This issue affects Schedula: from n/a through &lt;= 1.0.</t>
        </is>
      </c>
      <c r="D825" s="191" t="n">
        <v>5</v>
      </c>
      <c r="E825" s="191" t="inlineStr">
        <is>
          <t>MEDIUM</t>
        </is>
      </c>
      <c r="F825" s="191" t="n">
        <v>2</v>
      </c>
      <c r="G825" s="191" t="n">
        <v>2</v>
      </c>
      <c r="H825" s="191" t="inlineStr">
        <is>
          <t>MEDIUM</t>
        </is>
      </c>
      <c r="I825" s="191" t="n">
        <v>9</v>
      </c>
      <c r="J825" s="191" t="inlineStr">
        <is>
          <t>NO</t>
        </is>
      </c>
      <c r="K825" s="192" t="inlineStr">
        <is>
          <t>https://nvd.nist.gov/vuln/detail/CVE-2025-67970</t>
        </is>
      </c>
      <c r="L825" s="191" t="inlineStr">
        <is>
          <t>2026-02-23 23:48</t>
        </is>
      </c>
      <c r="M825" s="191" t="inlineStr">
        <is>
          <t>CHECK_VENDOR</t>
        </is>
      </c>
      <c r="N825" s="191" t="inlineStr">
        <is>
          <t>See NVD references</t>
        </is>
      </c>
      <c r="O825" s="191" t="inlineStr">
        <is>
          <t>Apply vendor patches</t>
        </is>
      </c>
      <c r="P825" s="191" t="inlineStr">
        <is>
          <t>See CVE details</t>
        </is>
      </c>
      <c r="Q825" s="191" t="inlineStr">
        <is>
          <t>P4</t>
        </is>
      </c>
      <c r="R825" s="191" t="inlineStr">
        <is>
          <t>📅 Schedule patch deployment within 30 days | 🔍 Monitor for exploitation attempts</t>
        </is>
      </c>
      <c r="S825" s="191" t="inlineStr">
        <is>
          <t>CVE - IP enrichment n/a</t>
        </is>
      </c>
      <c r="T825" s="191" t="n">
        <v>0.0002</v>
      </c>
      <c r="U825" s="191" t="n">
        <v>0.0381</v>
      </c>
      <c r="V825" s="191" t="inlineStr">
        <is>
          <t>T1190:Exploit Public-Facing Application</t>
        </is>
      </c>
      <c r="W825" s="191" t="n">
        <v>1</v>
      </c>
      <c r="X825" s="191" t="inlineStr">
        <is>
          <t>LOW (40%)</t>
        </is>
      </c>
      <c r="Y825" s="191" t="inlineStr">
        <is>
          <t>UNLIKELY</t>
        </is>
      </c>
      <c r="Z825" s="191" t="inlineStr">
        <is>
          <t>CHECK_VENDOR</t>
        </is>
      </c>
      <c r="AA825" s="192" t="inlineStr">
        <is>
          <t>https://nvd.nist.gov/vuln/detail/CVE-2025-67970</t>
        </is>
      </c>
      <c r="AB825" s="191" t="inlineStr">
        <is>
          <t>NONE</t>
        </is>
      </c>
      <c r="AC825" s="191" t="n">
        <v>0</v>
      </c>
      <c r="AD825" s="191" t="n"/>
    </row>
    <row r="826">
      <c r="A826" s="191" t="inlineStr">
        <is>
          <t>CVE</t>
        </is>
      </c>
      <c r="B826" s="191" t="inlineStr">
        <is>
          <t>CVE-2025-67971</t>
        </is>
      </c>
      <c r="C826" s="191" t="inlineStr">
        <is>
          <t>Improper Neutralization of Input During Web Page Generation ('Cross-site Scripting') vulnerability in WPManageNinja FluentCart fluent-cart allows Reflected XSS.This issue affects FluentCart: from n/a through &lt; 1.3.0.</t>
        </is>
      </c>
      <c r="D826" s="191" t="n">
        <v>5</v>
      </c>
      <c r="E826" s="191" t="inlineStr">
        <is>
          <t>MEDIUM</t>
        </is>
      </c>
      <c r="F826" s="191" t="n">
        <v>2</v>
      </c>
      <c r="G826" s="191" t="n">
        <v>2</v>
      </c>
      <c r="H826" s="191" t="inlineStr">
        <is>
          <t>MEDIUM</t>
        </is>
      </c>
      <c r="I826" s="191" t="n">
        <v>9</v>
      </c>
      <c r="J826" s="191" t="inlineStr">
        <is>
          <t>NO</t>
        </is>
      </c>
      <c r="K826" s="192" t="inlineStr">
        <is>
          <t>https://nvd.nist.gov/vuln/detail/CVE-2025-67971</t>
        </is>
      </c>
      <c r="L826" s="191" t="inlineStr">
        <is>
          <t>2026-02-23 23:48</t>
        </is>
      </c>
      <c r="M826" s="191" t="inlineStr">
        <is>
          <t>CHECK_VENDOR</t>
        </is>
      </c>
      <c r="N826" s="191" t="inlineStr">
        <is>
          <t>See NVD references</t>
        </is>
      </c>
      <c r="O826" s="191" t="inlineStr">
        <is>
          <t>Apply vendor patches</t>
        </is>
      </c>
      <c r="P826" s="191" t="inlineStr">
        <is>
          <t>See CVE details</t>
        </is>
      </c>
      <c r="Q826" s="191" t="inlineStr">
        <is>
          <t>P4</t>
        </is>
      </c>
      <c r="R826" s="191" t="inlineStr">
        <is>
          <t>📅 Schedule patch deployment within 30 days | 🔍 Monitor for exploitation attempts</t>
        </is>
      </c>
      <c r="S826" s="191" t="inlineStr">
        <is>
          <t>CVE - IP enrichment n/a</t>
        </is>
      </c>
      <c r="T826" s="191" t="n">
        <v>0</v>
      </c>
      <c r="U826" s="191" t="n">
        <v>0</v>
      </c>
      <c r="V826" s="191" t="inlineStr">
        <is>
          <t>T1189:Drive-by Compromise</t>
        </is>
      </c>
      <c r="W826" s="191" t="n">
        <v>1</v>
      </c>
      <c r="X826" s="191" t="inlineStr">
        <is>
          <t>LOW (40%)</t>
        </is>
      </c>
      <c r="Y826" s="191" t="inlineStr">
        <is>
          <t>UNLIKELY</t>
        </is>
      </c>
      <c r="Z826" s="191" t="inlineStr">
        <is>
          <t>CHECK_VENDOR</t>
        </is>
      </c>
      <c r="AA826" s="192" t="inlineStr">
        <is>
          <t>https://nvd.nist.gov/vuln/detail/CVE-2025-67971</t>
        </is>
      </c>
      <c r="AB826" s="191" t="inlineStr">
        <is>
          <t>NONE</t>
        </is>
      </c>
      <c r="AC826" s="191" t="n">
        <v>0</v>
      </c>
      <c r="AD826" s="191" t="n"/>
    </row>
    <row r="827">
      <c r="A827" s="191" t="inlineStr">
        <is>
          <t>CVE</t>
        </is>
      </c>
      <c r="B827" s="191" t="inlineStr">
        <is>
          <t>CVE-2025-67972</t>
        </is>
      </c>
      <c r="C827" s="191" t="inlineStr">
        <is>
          <t>Improper Neutralization of Input During Web Page Generation ('Cross-site Scripting') vulnerability in fox-themes Prague prague-plugins allows Reflected XSS.This issue affects Prague: from n/a through &lt;= 2.2.8.</t>
        </is>
      </c>
      <c r="D827" s="191" t="n">
        <v>5</v>
      </c>
      <c r="E827" s="191" t="inlineStr">
        <is>
          <t>MEDIUM</t>
        </is>
      </c>
      <c r="F827" s="191" t="n">
        <v>2</v>
      </c>
      <c r="G827" s="191" t="n">
        <v>2</v>
      </c>
      <c r="H827" s="191" t="inlineStr">
        <is>
          <t>MEDIUM</t>
        </is>
      </c>
      <c r="I827" s="191" t="n">
        <v>9</v>
      </c>
      <c r="J827" s="191" t="inlineStr">
        <is>
          <t>NO</t>
        </is>
      </c>
      <c r="K827" s="192" t="inlineStr">
        <is>
          <t>https://nvd.nist.gov/vuln/detail/CVE-2025-67972</t>
        </is>
      </c>
      <c r="L827" s="191" t="inlineStr">
        <is>
          <t>2026-02-23 23:48</t>
        </is>
      </c>
      <c r="M827" s="191" t="inlineStr">
        <is>
          <t>CHECK_VENDOR</t>
        </is>
      </c>
      <c r="N827" s="191" t="inlineStr">
        <is>
          <t>See NVD references</t>
        </is>
      </c>
      <c r="O827" s="191" t="inlineStr">
        <is>
          <t>Apply vendor patches</t>
        </is>
      </c>
      <c r="P827" s="191" t="inlineStr">
        <is>
          <t>See CVE details</t>
        </is>
      </c>
      <c r="Q827" s="191" t="inlineStr">
        <is>
          <t>P4</t>
        </is>
      </c>
      <c r="R827" s="191" t="inlineStr">
        <is>
          <t>📅 Schedule patch deployment within 30 days | 🔍 Monitor for exploitation attempts</t>
        </is>
      </c>
      <c r="S827" s="191" t="inlineStr">
        <is>
          <t>CVE - IP enrichment n/a</t>
        </is>
      </c>
      <c r="T827" s="191" t="n">
        <v>0.0003</v>
      </c>
      <c r="U827" s="191" t="n">
        <v>0.0808</v>
      </c>
      <c r="V827" s="191" t="inlineStr">
        <is>
          <t>T1189:Drive-by Compromise</t>
        </is>
      </c>
      <c r="W827" s="191" t="n">
        <v>1</v>
      </c>
      <c r="X827" s="191" t="inlineStr">
        <is>
          <t>LOW (40%)</t>
        </is>
      </c>
      <c r="Y827" s="191" t="inlineStr">
        <is>
          <t>UNLIKELY</t>
        </is>
      </c>
      <c r="Z827" s="191" t="inlineStr">
        <is>
          <t>CHECK_VENDOR</t>
        </is>
      </c>
      <c r="AA827" s="192" t="inlineStr">
        <is>
          <t>https://nvd.nist.gov/vuln/detail/CVE-2025-67972</t>
        </is>
      </c>
      <c r="AB827" s="191" t="inlineStr">
        <is>
          <t>NONE</t>
        </is>
      </c>
      <c r="AC827" s="191" t="n">
        <v>0</v>
      </c>
      <c r="AD827" s="191" t="n"/>
    </row>
    <row r="828">
      <c r="A828" s="191" t="inlineStr">
        <is>
          <t>CVE</t>
        </is>
      </c>
      <c r="B828" s="191" t="inlineStr">
        <is>
          <t>CVE-2025-67973</t>
        </is>
      </c>
      <c r="C828" s="191" t="inlineStr">
        <is>
          <t>Missing Authorization vulnerability in sunshinephotocart Sunshine Photo Cart sunshine-photo-cart allows Exploiting Incorrectly Configured Access Control Security Levels.This issue affects Sunshine Photo Cart: from n/a through &lt;= 3.5.6.2.</t>
        </is>
      </c>
      <c r="D828" s="191" t="n">
        <v>5</v>
      </c>
      <c r="E828" s="191" t="inlineStr">
        <is>
          <t>MEDIUM</t>
        </is>
      </c>
      <c r="F828" s="191" t="n">
        <v>2</v>
      </c>
      <c r="G828" s="191" t="n">
        <v>2</v>
      </c>
      <c r="H828" s="191" t="inlineStr">
        <is>
          <t>MEDIUM</t>
        </is>
      </c>
      <c r="I828" s="191" t="n">
        <v>9</v>
      </c>
      <c r="J828" s="191" t="inlineStr">
        <is>
          <t>NO</t>
        </is>
      </c>
      <c r="K828" s="192" t="inlineStr">
        <is>
          <t>https://nvd.nist.gov/vuln/detail/CVE-2025-67973</t>
        </is>
      </c>
      <c r="L828" s="191" t="inlineStr">
        <is>
          <t>2026-02-23 23:48</t>
        </is>
      </c>
      <c r="M828" s="191" t="inlineStr">
        <is>
          <t>CHECK_VENDOR</t>
        </is>
      </c>
      <c r="N828" s="191" t="inlineStr">
        <is>
          <t>See NVD references</t>
        </is>
      </c>
      <c r="O828" s="191" t="inlineStr">
        <is>
          <t>Apply vendor patches</t>
        </is>
      </c>
      <c r="P828" s="191" t="inlineStr">
        <is>
          <t>See CVE details</t>
        </is>
      </c>
      <c r="Q828" s="191" t="inlineStr">
        <is>
          <t>P4</t>
        </is>
      </c>
      <c r="R828" s="191" t="inlineStr">
        <is>
          <t>📅 Schedule patch deployment within 30 days | 🔍 Monitor for exploitation attempts</t>
        </is>
      </c>
      <c r="S828" s="191" t="inlineStr">
        <is>
          <t>CVE - IP enrichment n/a</t>
        </is>
      </c>
      <c r="T828" s="191" t="n">
        <v>0.0002</v>
      </c>
      <c r="U828" s="191" t="n">
        <v>0.0381</v>
      </c>
      <c r="V828" s="191" t="inlineStr">
        <is>
          <t>T1190:Exploit Public-Facing Application</t>
        </is>
      </c>
      <c r="W828" s="191" t="n">
        <v>1</v>
      </c>
      <c r="X828" s="191" t="inlineStr">
        <is>
          <t>LOW (40%)</t>
        </is>
      </c>
      <c r="Y828" s="191" t="inlineStr">
        <is>
          <t>UNLIKELY</t>
        </is>
      </c>
      <c r="Z828" s="191" t="inlineStr">
        <is>
          <t>CHECK_VENDOR</t>
        </is>
      </c>
      <c r="AA828" s="192" t="inlineStr">
        <is>
          <t>https://nvd.nist.gov/vuln/detail/CVE-2025-67973</t>
        </is>
      </c>
      <c r="AB828" s="191" t="inlineStr">
        <is>
          <t>NONE</t>
        </is>
      </c>
      <c r="AC828" s="191" t="n">
        <v>0</v>
      </c>
      <c r="AD828" s="191" t="n"/>
    </row>
    <row r="829">
      <c r="A829" s="191" t="inlineStr">
        <is>
          <t>CVE</t>
        </is>
      </c>
      <c r="B829" s="191" t="inlineStr">
        <is>
          <t>CVE-2025-67974</t>
        </is>
      </c>
      <c r="C829" s="191" t="inlineStr">
        <is>
          <t>Missing Authorization vulnerability in WP Legal Pages WPLegalPages wplegalpages allows Exploiting Incorrectly Configured Access Control Security Levels.This issue affects WPLegalPages: from n/a through &lt;= 3.5.4.</t>
        </is>
      </c>
      <c r="D829" s="191" t="n">
        <v>5</v>
      </c>
      <c r="E829" s="191" t="inlineStr">
        <is>
          <t>MEDIUM</t>
        </is>
      </c>
      <c r="F829" s="191" t="n">
        <v>2</v>
      </c>
      <c r="G829" s="191" t="n">
        <v>2</v>
      </c>
      <c r="H829" s="191" t="inlineStr">
        <is>
          <t>MEDIUM</t>
        </is>
      </c>
      <c r="I829" s="191" t="n">
        <v>9</v>
      </c>
      <c r="J829" s="191" t="inlineStr">
        <is>
          <t>NO</t>
        </is>
      </c>
      <c r="K829" s="192" t="inlineStr">
        <is>
          <t>https://nvd.nist.gov/vuln/detail/CVE-2025-67974</t>
        </is>
      </c>
      <c r="L829" s="191" t="inlineStr">
        <is>
          <t>2026-02-23 23:48</t>
        </is>
      </c>
      <c r="M829" s="191" t="inlineStr">
        <is>
          <t>CHECK_VENDOR</t>
        </is>
      </c>
      <c r="N829" s="191" t="inlineStr">
        <is>
          <t>See NVD references</t>
        </is>
      </c>
      <c r="O829" s="191" t="inlineStr">
        <is>
          <t>Apply vendor patches</t>
        </is>
      </c>
      <c r="P829" s="191" t="inlineStr">
        <is>
          <t>See CVE details</t>
        </is>
      </c>
      <c r="Q829" s="191" t="inlineStr">
        <is>
          <t>P4</t>
        </is>
      </c>
      <c r="R829" s="191" t="inlineStr">
        <is>
          <t>📅 Schedule patch deployment within 30 days | 🔍 Monitor for exploitation attempts</t>
        </is>
      </c>
      <c r="S829" s="191" t="inlineStr">
        <is>
          <t>CVE - IP enrichment n/a</t>
        </is>
      </c>
      <c r="T829" s="191" t="n">
        <v>0</v>
      </c>
      <c r="U829" s="191" t="n">
        <v>0</v>
      </c>
      <c r="V829" s="191" t="inlineStr">
        <is>
          <t>T1190:Exploit Public-Facing Application</t>
        </is>
      </c>
      <c r="W829" s="191" t="n">
        <v>1</v>
      </c>
      <c r="X829" s="191" t="inlineStr">
        <is>
          <t>LOW (40%)</t>
        </is>
      </c>
      <c r="Y829" s="191" t="inlineStr">
        <is>
          <t>UNLIKELY</t>
        </is>
      </c>
      <c r="Z829" s="191" t="inlineStr">
        <is>
          <t>CHECK_VENDOR</t>
        </is>
      </c>
      <c r="AA829" s="192" t="inlineStr">
        <is>
          <t>https://nvd.nist.gov/vuln/detail/CVE-2025-67974</t>
        </is>
      </c>
      <c r="AB829" s="191" t="inlineStr">
        <is>
          <t>NONE</t>
        </is>
      </c>
      <c r="AC829" s="191" t="n">
        <v>0</v>
      </c>
      <c r="AD829" s="191" t="n"/>
    </row>
    <row r="830">
      <c r="A830" s="191" t="inlineStr">
        <is>
          <t>CVE</t>
        </is>
      </c>
      <c r="B830" s="191" t="inlineStr">
        <is>
          <t>CVE-2025-67975</t>
        </is>
      </c>
      <c r="C830" s="191" t="inlineStr">
        <is>
          <t>Missing Authorization vulnerability in aDirectory aDirectory adirectory allows Exploiting Incorrectly Configured Access Control Security Levels.This issue affects aDirectory: from n/a through &lt;= 3.0.3.</t>
        </is>
      </c>
      <c r="D830" s="191" t="n">
        <v>5</v>
      </c>
      <c r="E830" s="191" t="inlineStr">
        <is>
          <t>MEDIUM</t>
        </is>
      </c>
      <c r="F830" s="191" t="n">
        <v>2</v>
      </c>
      <c r="G830" s="191" t="n">
        <v>2</v>
      </c>
      <c r="H830" s="191" t="inlineStr">
        <is>
          <t>MEDIUM</t>
        </is>
      </c>
      <c r="I830" s="191" t="n">
        <v>9</v>
      </c>
      <c r="J830" s="191" t="inlineStr">
        <is>
          <t>NO</t>
        </is>
      </c>
      <c r="K830" s="192" t="inlineStr">
        <is>
          <t>https://nvd.nist.gov/vuln/detail/CVE-2025-67975</t>
        </is>
      </c>
      <c r="L830" s="191" t="inlineStr">
        <is>
          <t>2026-02-23 23:48</t>
        </is>
      </c>
      <c r="M830" s="191" t="inlineStr">
        <is>
          <t>CHECK_VENDOR</t>
        </is>
      </c>
      <c r="N830" s="191" t="inlineStr">
        <is>
          <t>See NVD references</t>
        </is>
      </c>
      <c r="O830" s="191" t="inlineStr">
        <is>
          <t>Apply vendor patches</t>
        </is>
      </c>
      <c r="P830" s="191" t="inlineStr">
        <is>
          <t>See CVE details</t>
        </is>
      </c>
      <c r="Q830" s="191" t="inlineStr">
        <is>
          <t>P4</t>
        </is>
      </c>
      <c r="R830" s="191" t="inlineStr">
        <is>
          <t>📅 Schedule patch deployment within 30 days | 🔍 Monitor for exploitation attempts</t>
        </is>
      </c>
      <c r="S830" s="191" t="inlineStr">
        <is>
          <t>CVE - IP enrichment n/a</t>
        </is>
      </c>
      <c r="T830" s="191" t="n">
        <v>0</v>
      </c>
      <c r="U830" s="191" t="n">
        <v>0</v>
      </c>
      <c r="V830" s="191" t="inlineStr">
        <is>
          <t>T1190:Exploit Public-Facing Application</t>
        </is>
      </c>
      <c r="W830" s="191" t="n">
        <v>1</v>
      </c>
      <c r="X830" s="191" t="inlineStr">
        <is>
          <t>LOW (40%)</t>
        </is>
      </c>
      <c r="Y830" s="191" t="inlineStr">
        <is>
          <t>UNLIKELY</t>
        </is>
      </c>
      <c r="Z830" s="191" t="inlineStr">
        <is>
          <t>CHECK_VENDOR</t>
        </is>
      </c>
      <c r="AA830" s="192" t="inlineStr">
        <is>
          <t>https://nvd.nist.gov/vuln/detail/CVE-2025-67975</t>
        </is>
      </c>
      <c r="AB830" s="191" t="inlineStr">
        <is>
          <t>NONE</t>
        </is>
      </c>
      <c r="AC830" s="191" t="n">
        <v>0</v>
      </c>
      <c r="AD830" s="191" t="n"/>
    </row>
    <row r="831">
      <c r="A831" s="191" t="inlineStr">
        <is>
          <t>CVE</t>
        </is>
      </c>
      <c r="B831" s="191" t="inlineStr">
        <is>
          <t>CVE-2025-67977</t>
        </is>
      </c>
      <c r="C831" s="191" t="inlineStr">
        <is>
          <t>Missing Authorization vulnerability in VillaTheme HAPPY happy-helpdesk-support-ticket-system allows Exploiting Incorrectly Configured Access Control Security Levels.This issue affects HAPPY: from n/a through &lt;= 1.0.8.</t>
        </is>
      </c>
      <c r="D831" s="191" t="n">
        <v>5</v>
      </c>
      <c r="E831" s="191" t="inlineStr">
        <is>
          <t>MEDIUM</t>
        </is>
      </c>
      <c r="F831" s="191" t="n">
        <v>2</v>
      </c>
      <c r="G831" s="191" t="n">
        <v>2</v>
      </c>
      <c r="H831" s="191" t="inlineStr">
        <is>
          <t>MEDIUM</t>
        </is>
      </c>
      <c r="I831" s="191" t="n">
        <v>9</v>
      </c>
      <c r="J831" s="191" t="inlineStr">
        <is>
          <t>NO</t>
        </is>
      </c>
      <c r="K831" s="192" t="inlineStr">
        <is>
          <t>https://nvd.nist.gov/vuln/detail/CVE-2025-67977</t>
        </is>
      </c>
      <c r="L831" s="191" t="inlineStr">
        <is>
          <t>2026-02-23 23:48</t>
        </is>
      </c>
      <c r="M831" s="191" t="inlineStr">
        <is>
          <t>CHECK_VENDOR</t>
        </is>
      </c>
      <c r="N831" s="191" t="inlineStr">
        <is>
          <t>See NVD references</t>
        </is>
      </c>
      <c r="O831" s="191" t="inlineStr">
        <is>
          <t>Apply vendor patches</t>
        </is>
      </c>
      <c r="P831" s="191" t="inlineStr">
        <is>
          <t>See CVE details</t>
        </is>
      </c>
      <c r="Q831" s="191" t="inlineStr">
        <is>
          <t>P4</t>
        </is>
      </c>
      <c r="R831" s="191" t="inlineStr">
        <is>
          <t>📅 Schedule patch deployment within 30 days | 🔍 Monitor for exploitation attempts</t>
        </is>
      </c>
      <c r="S831" s="191" t="inlineStr">
        <is>
          <t>CVE - IP enrichment n/a</t>
        </is>
      </c>
      <c r="T831" s="191" t="n">
        <v>0</v>
      </c>
      <c r="U831" s="191" t="n">
        <v>0</v>
      </c>
      <c r="V831" s="191" t="inlineStr">
        <is>
          <t>T1190:Exploit Public-Facing Application</t>
        </is>
      </c>
      <c r="W831" s="191" t="n">
        <v>1</v>
      </c>
      <c r="X831" s="191" t="inlineStr">
        <is>
          <t>LOW (40%)</t>
        </is>
      </c>
      <c r="Y831" s="191" t="inlineStr">
        <is>
          <t>UNLIKELY</t>
        </is>
      </c>
      <c r="Z831" s="191" t="inlineStr">
        <is>
          <t>CHECK_VENDOR</t>
        </is>
      </c>
      <c r="AA831" s="192" t="inlineStr">
        <is>
          <t>https://nvd.nist.gov/vuln/detail/CVE-2025-67977</t>
        </is>
      </c>
      <c r="AB831" s="191" t="inlineStr">
        <is>
          <t>NONE</t>
        </is>
      </c>
      <c r="AC831" s="191" t="n">
        <v>0</v>
      </c>
      <c r="AD831" s="191" t="n"/>
    </row>
    <row r="832">
      <c r="A832" s="191" t="inlineStr">
        <is>
          <t>CVE</t>
        </is>
      </c>
      <c r="B832" s="191" t="inlineStr">
        <is>
          <t>CVE-2025-67978</t>
        </is>
      </c>
      <c r="C832" s="191" t="inlineStr">
        <is>
          <t>Improper Neutralization of Input During Web Page Generation ('Cross-site Scripting') vulnerability in FixBD Educare educare allows Reflected XSS.This issue affects Educare: from n/a through &lt;= 1.6.1.</t>
        </is>
      </c>
      <c r="D832" s="191" t="n">
        <v>5</v>
      </c>
      <c r="E832" s="191" t="inlineStr">
        <is>
          <t>MEDIUM</t>
        </is>
      </c>
      <c r="F832" s="191" t="n">
        <v>2</v>
      </c>
      <c r="G832" s="191" t="n">
        <v>2</v>
      </c>
      <c r="H832" s="191" t="inlineStr">
        <is>
          <t>MEDIUM</t>
        </is>
      </c>
      <c r="I832" s="191" t="n">
        <v>9</v>
      </c>
      <c r="J832" s="191" t="inlineStr">
        <is>
          <t>NO</t>
        </is>
      </c>
      <c r="K832" s="192" t="inlineStr">
        <is>
          <t>https://nvd.nist.gov/vuln/detail/CVE-2025-67978</t>
        </is>
      </c>
      <c r="L832" s="191" t="inlineStr">
        <is>
          <t>2026-02-23 23:48</t>
        </is>
      </c>
      <c r="M832" s="191" t="inlineStr">
        <is>
          <t>CHECK_VENDOR</t>
        </is>
      </c>
      <c r="N832" s="191" t="inlineStr">
        <is>
          <t>See NVD references</t>
        </is>
      </c>
      <c r="O832" s="191" t="inlineStr">
        <is>
          <t>Apply vendor patches</t>
        </is>
      </c>
      <c r="P832" s="191" t="inlineStr">
        <is>
          <t>See CVE details</t>
        </is>
      </c>
      <c r="Q832" s="191" t="inlineStr">
        <is>
          <t>P4</t>
        </is>
      </c>
      <c r="R832" s="191" t="inlineStr">
        <is>
          <t>📅 Schedule patch deployment within 30 days | 🔍 Monitor for exploitation attempts</t>
        </is>
      </c>
      <c r="S832" s="191" t="inlineStr">
        <is>
          <t>CVE - IP enrichment n/a</t>
        </is>
      </c>
      <c r="T832" s="191" t="n">
        <v>0.0003</v>
      </c>
      <c r="U832" s="191" t="n">
        <v>0.0808</v>
      </c>
      <c r="V832" s="191" t="inlineStr">
        <is>
          <t>T1189:Drive-by Compromise</t>
        </is>
      </c>
      <c r="W832" s="191" t="n">
        <v>1</v>
      </c>
      <c r="X832" s="191" t="inlineStr">
        <is>
          <t>LOW (40%)</t>
        </is>
      </c>
      <c r="Y832" s="191" t="inlineStr">
        <is>
          <t>UNLIKELY</t>
        </is>
      </c>
      <c r="Z832" s="191" t="inlineStr">
        <is>
          <t>CHECK_VENDOR</t>
        </is>
      </c>
      <c r="AA832" s="192" t="inlineStr">
        <is>
          <t>https://nvd.nist.gov/vuln/detail/CVE-2025-67978</t>
        </is>
      </c>
      <c r="AB832" s="191" t="inlineStr">
        <is>
          <t>NONE</t>
        </is>
      </c>
      <c r="AC832" s="191" t="n">
        <v>0</v>
      </c>
      <c r="AD832" s="191" t="n"/>
    </row>
    <row r="833">
      <c r="A833" s="191" t="inlineStr">
        <is>
          <t>CVE</t>
        </is>
      </c>
      <c r="B833" s="191" t="inlineStr">
        <is>
          <t>CVE-2025-67979</t>
        </is>
      </c>
      <c r="C833" s="191" t="inlineStr">
        <is>
          <t>Improper Control of Generation of Code ('Code Injection') vulnerability in WesternDeal WPForms Google Sheet Connector gsheetconnector-wpforms allows Code Injection.This issue affects WPForms Google Sheet Connector: from n/a through &lt;= 4.0.1.</t>
        </is>
      </c>
      <c r="D833" s="191" t="n">
        <v>5</v>
      </c>
      <c r="E833" s="191" t="inlineStr">
        <is>
          <t>MEDIUM</t>
        </is>
      </c>
      <c r="F833" s="191" t="n">
        <v>2</v>
      </c>
      <c r="G833" s="191" t="n">
        <v>2</v>
      </c>
      <c r="H833" s="191" t="inlineStr">
        <is>
          <t>MEDIUM</t>
        </is>
      </c>
      <c r="I833" s="191" t="n">
        <v>9</v>
      </c>
      <c r="J833" s="191" t="inlineStr">
        <is>
          <t>NO</t>
        </is>
      </c>
      <c r="K833" s="192" t="inlineStr">
        <is>
          <t>https://nvd.nist.gov/vuln/detail/CVE-2025-67979</t>
        </is>
      </c>
      <c r="L833" s="191" t="inlineStr">
        <is>
          <t>2026-02-23 23:48</t>
        </is>
      </c>
      <c r="M833" s="191" t="inlineStr">
        <is>
          <t>CHECK_VENDOR</t>
        </is>
      </c>
      <c r="N833" s="191" t="inlineStr">
        <is>
          <t>See NVD references</t>
        </is>
      </c>
      <c r="O833" s="191" t="inlineStr">
        <is>
          <t>Apply vendor patches</t>
        </is>
      </c>
      <c r="P833" s="191" t="inlineStr">
        <is>
          <t>See CVE details</t>
        </is>
      </c>
      <c r="Q833" s="191" t="inlineStr">
        <is>
          <t>P4</t>
        </is>
      </c>
      <c r="R833" s="191" t="inlineStr">
        <is>
          <t>📅 Schedule patch deployment within 30 days | 🔍 Monitor for exploitation attempts</t>
        </is>
      </c>
      <c r="S833" s="191" t="inlineStr">
        <is>
          <t>CVE - IP enrichment n/a</t>
        </is>
      </c>
      <c r="T833" s="191" t="n">
        <v>0</v>
      </c>
      <c r="U833" s="191" t="n">
        <v>0</v>
      </c>
      <c r="V833" s="191" t="inlineStr">
        <is>
          <t>T1059:Command and Scripting Interpreter</t>
        </is>
      </c>
      <c r="W833" s="191" t="n">
        <v>1</v>
      </c>
      <c r="X833" s="191" t="inlineStr">
        <is>
          <t>LOW (40%)</t>
        </is>
      </c>
      <c r="Y833" s="191" t="inlineStr">
        <is>
          <t>UNLIKELY</t>
        </is>
      </c>
      <c r="Z833" s="191" t="inlineStr">
        <is>
          <t>CHECK_VENDOR</t>
        </is>
      </c>
      <c r="AA833" s="192" t="inlineStr">
        <is>
          <t>https://nvd.nist.gov/vuln/detail/CVE-2025-67979</t>
        </is>
      </c>
      <c r="AB833" s="191" t="inlineStr">
        <is>
          <t>NONE</t>
        </is>
      </c>
      <c r="AC833" s="191" t="n">
        <v>0</v>
      </c>
      <c r="AD833" s="191" t="n"/>
    </row>
    <row r="834">
      <c r="A834" s="191" t="inlineStr">
        <is>
          <t>CVE</t>
        </is>
      </c>
      <c r="B834" s="191" t="inlineStr">
        <is>
          <t>CVE-2025-67980</t>
        </is>
      </c>
      <c r="C834" s="191" t="inlineStr">
        <is>
          <t>Improper Control of Filename for Include/Require Statement in PHP Program ('PHP Remote File Inclusion') vulnerability in thembay Hara hara allows PHP Local File Inclusion.This issue affects Hara: from n/a through &lt;= 1.2.17.</t>
        </is>
      </c>
      <c r="D834" s="191" t="n">
        <v>5</v>
      </c>
      <c r="E834" s="191" t="inlineStr">
        <is>
          <t>MEDIUM</t>
        </is>
      </c>
      <c r="F834" s="191" t="n">
        <v>2</v>
      </c>
      <c r="G834" s="191" t="n">
        <v>2</v>
      </c>
      <c r="H834" s="191" t="inlineStr">
        <is>
          <t>MEDIUM</t>
        </is>
      </c>
      <c r="I834" s="191" t="n">
        <v>9</v>
      </c>
      <c r="J834" s="191" t="inlineStr">
        <is>
          <t>NO</t>
        </is>
      </c>
      <c r="K834" s="192" t="inlineStr">
        <is>
          <t>https://nvd.nist.gov/vuln/detail/CVE-2025-67980</t>
        </is>
      </c>
      <c r="L834" s="191" t="inlineStr">
        <is>
          <t>2026-02-23 23:48</t>
        </is>
      </c>
      <c r="M834" s="191" t="inlineStr">
        <is>
          <t>CHECK_VENDOR</t>
        </is>
      </c>
      <c r="N834" s="191" t="inlineStr">
        <is>
          <t>See NVD references</t>
        </is>
      </c>
      <c r="O834" s="191" t="inlineStr">
        <is>
          <t>Apply vendor patches</t>
        </is>
      </c>
      <c r="P834" s="191" t="inlineStr">
        <is>
          <t>See CVE details</t>
        </is>
      </c>
      <c r="Q834" s="191" t="inlineStr">
        <is>
          <t>P4</t>
        </is>
      </c>
      <c r="R834" s="191" t="inlineStr">
        <is>
          <t>📅 Schedule patch deployment within 30 days | 🔍 Monitor for exploitation attempts</t>
        </is>
      </c>
      <c r="S834" s="191" t="inlineStr">
        <is>
          <t>CVE - IP enrichment n/a</t>
        </is>
      </c>
      <c r="T834" s="191" t="n">
        <v>0</v>
      </c>
      <c r="U834" s="191" t="n">
        <v>0</v>
      </c>
      <c r="V834" s="191" t="inlineStr">
        <is>
          <t>T1190:Exploit Public-Facing Application</t>
        </is>
      </c>
      <c r="W834" s="191" t="n">
        <v>1</v>
      </c>
      <c r="X834" s="191" t="inlineStr">
        <is>
          <t>LOW (40%)</t>
        </is>
      </c>
      <c r="Y834" s="191" t="inlineStr">
        <is>
          <t>UNLIKELY</t>
        </is>
      </c>
      <c r="Z834" s="191" t="inlineStr">
        <is>
          <t>CHECK_VENDOR</t>
        </is>
      </c>
      <c r="AA834" s="192" t="inlineStr">
        <is>
          <t>https://nvd.nist.gov/vuln/detail/CVE-2025-67980</t>
        </is>
      </c>
      <c r="AB834" s="191" t="inlineStr">
        <is>
          <t>NONE</t>
        </is>
      </c>
      <c r="AC834" s="191" t="n">
        <v>0</v>
      </c>
      <c r="AD834" s="191" t="n"/>
    </row>
    <row r="835">
      <c r="A835" s="191" t="inlineStr">
        <is>
          <t>CVE</t>
        </is>
      </c>
      <c r="B835" s="191" t="inlineStr">
        <is>
          <t>CVE-2025-67981</t>
        </is>
      </c>
      <c r="C835" s="191" t="inlineStr">
        <is>
          <t>Improper Control of Filename for Include/Require Statement in PHP Program ('PHP Remote File Inclusion') vulnerability in thembay Besa besa allows PHP Local File Inclusion.This issue affects Besa: from n/a through &lt;= 2.3.15.</t>
        </is>
      </c>
      <c r="D835" s="191" t="n">
        <v>5</v>
      </c>
      <c r="E835" s="191" t="inlineStr">
        <is>
          <t>MEDIUM</t>
        </is>
      </c>
      <c r="F835" s="191" t="n">
        <v>2</v>
      </c>
      <c r="G835" s="191" t="n">
        <v>2</v>
      </c>
      <c r="H835" s="191" t="inlineStr">
        <is>
          <t>MEDIUM</t>
        </is>
      </c>
      <c r="I835" s="191" t="n">
        <v>9</v>
      </c>
      <c r="J835" s="191" t="inlineStr">
        <is>
          <t>NO</t>
        </is>
      </c>
      <c r="K835" s="192" t="inlineStr">
        <is>
          <t>https://nvd.nist.gov/vuln/detail/CVE-2025-67981</t>
        </is>
      </c>
      <c r="L835" s="191" t="inlineStr">
        <is>
          <t>2026-02-23 23:48</t>
        </is>
      </c>
      <c r="M835" s="191" t="inlineStr">
        <is>
          <t>CHECK_VENDOR</t>
        </is>
      </c>
      <c r="N835" s="191" t="inlineStr">
        <is>
          <t>See NVD references</t>
        </is>
      </c>
      <c r="O835" s="191" t="inlineStr">
        <is>
          <t>Apply vendor patches</t>
        </is>
      </c>
      <c r="P835" s="191" t="inlineStr">
        <is>
          <t>See CVE details</t>
        </is>
      </c>
      <c r="Q835" s="191" t="inlineStr">
        <is>
          <t>P4</t>
        </is>
      </c>
      <c r="R835" s="191" t="inlineStr">
        <is>
          <t>📅 Schedule patch deployment within 30 days | 🔍 Monitor for exploitation attempts</t>
        </is>
      </c>
      <c r="S835" s="191" t="inlineStr">
        <is>
          <t>CVE - IP enrichment n/a</t>
        </is>
      </c>
      <c r="T835" s="191" t="n">
        <v>0</v>
      </c>
      <c r="U835" s="191" t="n">
        <v>0</v>
      </c>
      <c r="V835" s="191" t="inlineStr">
        <is>
          <t>T1190:Exploit Public-Facing Application</t>
        </is>
      </c>
      <c r="W835" s="191" t="n">
        <v>1</v>
      </c>
      <c r="X835" s="191" t="inlineStr">
        <is>
          <t>LOW (40%)</t>
        </is>
      </c>
      <c r="Y835" s="191" t="inlineStr">
        <is>
          <t>UNLIKELY</t>
        </is>
      </c>
      <c r="Z835" s="191" t="inlineStr">
        <is>
          <t>CHECK_VENDOR</t>
        </is>
      </c>
      <c r="AA835" s="192" t="inlineStr">
        <is>
          <t>https://nvd.nist.gov/vuln/detail/CVE-2025-67981</t>
        </is>
      </c>
      <c r="AB835" s="191" t="inlineStr">
        <is>
          <t>NONE</t>
        </is>
      </c>
      <c r="AC835" s="191" t="n">
        <v>0</v>
      </c>
      <c r="AD835" s="191" t="n"/>
    </row>
    <row r="836">
      <c r="A836" s="191" t="inlineStr">
        <is>
          <t>CVE</t>
        </is>
      </c>
      <c r="B836" s="191" t="inlineStr">
        <is>
          <t>CVE-2025-67982</t>
        </is>
      </c>
      <c r="C836" s="191" t="inlineStr">
        <is>
          <t>Improper Control of Filename for Include/Require Statement in PHP Program ('PHP Remote File Inclusion') vulnerability in thembay Urna urna allows PHP Local File Inclusion.This issue affects Urna: from n/a through &lt;= 2.5.12.</t>
        </is>
      </c>
      <c r="D836" s="191" t="n">
        <v>5</v>
      </c>
      <c r="E836" s="191" t="inlineStr">
        <is>
          <t>MEDIUM</t>
        </is>
      </c>
      <c r="F836" s="191" t="n">
        <v>2</v>
      </c>
      <c r="G836" s="191" t="n">
        <v>2</v>
      </c>
      <c r="H836" s="191" t="inlineStr">
        <is>
          <t>MEDIUM</t>
        </is>
      </c>
      <c r="I836" s="191" t="n">
        <v>9</v>
      </c>
      <c r="J836" s="191" t="inlineStr">
        <is>
          <t>NO</t>
        </is>
      </c>
      <c r="K836" s="192" t="inlineStr">
        <is>
          <t>https://nvd.nist.gov/vuln/detail/CVE-2025-67982</t>
        </is>
      </c>
      <c r="L836" s="191" t="inlineStr">
        <is>
          <t>2026-02-23 23:48</t>
        </is>
      </c>
      <c r="M836" s="191" t="inlineStr">
        <is>
          <t>CHECK_VENDOR</t>
        </is>
      </c>
      <c r="N836" s="191" t="inlineStr">
        <is>
          <t>See NVD references</t>
        </is>
      </c>
      <c r="O836" s="191" t="inlineStr">
        <is>
          <t>Apply vendor patches</t>
        </is>
      </c>
      <c r="P836" s="191" t="inlineStr">
        <is>
          <t>See CVE details</t>
        </is>
      </c>
      <c r="Q836" s="191" t="inlineStr">
        <is>
          <t>P4</t>
        </is>
      </c>
      <c r="R836" s="191" t="inlineStr">
        <is>
          <t>📅 Schedule patch deployment within 30 days | 🔍 Monitor for exploitation attempts</t>
        </is>
      </c>
      <c r="S836" s="191" t="inlineStr">
        <is>
          <t>CVE - IP enrichment n/a</t>
        </is>
      </c>
      <c r="T836" s="191" t="n">
        <v>0</v>
      </c>
      <c r="U836" s="191" t="n">
        <v>0</v>
      </c>
      <c r="V836" s="191" t="inlineStr">
        <is>
          <t>T1190:Exploit Public-Facing Application</t>
        </is>
      </c>
      <c r="W836" s="191" t="n">
        <v>1</v>
      </c>
      <c r="X836" s="191" t="inlineStr">
        <is>
          <t>LOW (40%)</t>
        </is>
      </c>
      <c r="Y836" s="191" t="inlineStr">
        <is>
          <t>UNLIKELY</t>
        </is>
      </c>
      <c r="Z836" s="191" t="inlineStr">
        <is>
          <t>CHECK_VENDOR</t>
        </is>
      </c>
      <c r="AA836" s="192" t="inlineStr">
        <is>
          <t>https://nvd.nist.gov/vuln/detail/CVE-2025-67982</t>
        </is>
      </c>
      <c r="AB836" s="191" t="inlineStr">
        <is>
          <t>NONE</t>
        </is>
      </c>
      <c r="AC836" s="191" t="n">
        <v>0</v>
      </c>
      <c r="AD836" s="191" t="n"/>
    </row>
    <row r="837">
      <c r="A837" s="191" t="inlineStr">
        <is>
          <t>CVE</t>
        </is>
      </c>
      <c r="B837" s="191" t="inlineStr">
        <is>
          <t>CVE-2025-67984</t>
        </is>
      </c>
      <c r="C837" s="191" t="inlineStr">
        <is>
          <t>Improper Neutralization of Input During Web Page Generation ('Cross-site Scripting') vulnerability in calliko NPS computy nps-computy allows DOM-Based XSS.This issue affects NPS computy: from n/a through &lt;= 2.8.2.</t>
        </is>
      </c>
      <c r="D837" s="191" t="n">
        <v>5</v>
      </c>
      <c r="E837" s="191" t="inlineStr">
        <is>
          <t>MEDIUM</t>
        </is>
      </c>
      <c r="F837" s="191" t="n">
        <v>2</v>
      </c>
      <c r="G837" s="191" t="n">
        <v>2</v>
      </c>
      <c r="H837" s="191" t="inlineStr">
        <is>
          <t>MEDIUM</t>
        </is>
      </c>
      <c r="I837" s="191" t="n">
        <v>9</v>
      </c>
      <c r="J837" s="191" t="inlineStr">
        <is>
          <t>NO</t>
        </is>
      </c>
      <c r="K837" s="192" t="inlineStr">
        <is>
          <t>https://nvd.nist.gov/vuln/detail/CVE-2025-67984</t>
        </is>
      </c>
      <c r="L837" s="191" t="inlineStr">
        <is>
          <t>2026-02-23 23:48</t>
        </is>
      </c>
      <c r="M837" s="191" t="inlineStr">
        <is>
          <t>CHECK_VENDOR</t>
        </is>
      </c>
      <c r="N837" s="191" t="inlineStr">
        <is>
          <t>See NVD references</t>
        </is>
      </c>
      <c r="O837" s="191" t="inlineStr">
        <is>
          <t>Apply vendor patches</t>
        </is>
      </c>
      <c r="P837" s="191" t="inlineStr">
        <is>
          <t>See CVE details</t>
        </is>
      </c>
      <c r="Q837" s="191" t="inlineStr">
        <is>
          <t>P4</t>
        </is>
      </c>
      <c r="R837" s="191" t="inlineStr">
        <is>
          <t>📅 Schedule patch deployment within 30 days | 🔍 Monitor for exploitation attempts</t>
        </is>
      </c>
      <c r="S837" s="191" t="inlineStr">
        <is>
          <t>CVE - IP enrichment n/a</t>
        </is>
      </c>
      <c r="T837" s="191" t="n">
        <v>0</v>
      </c>
      <c r="U837" s="191" t="n">
        <v>0</v>
      </c>
      <c r="V837" s="191" t="inlineStr">
        <is>
          <t>T1189:Drive-by Compromise</t>
        </is>
      </c>
      <c r="W837" s="191" t="n">
        <v>1</v>
      </c>
      <c r="X837" s="191" t="inlineStr">
        <is>
          <t>LOW (40%)</t>
        </is>
      </c>
      <c r="Y837" s="191" t="inlineStr">
        <is>
          <t>UNLIKELY</t>
        </is>
      </c>
      <c r="Z837" s="191" t="inlineStr">
        <is>
          <t>CHECK_VENDOR</t>
        </is>
      </c>
      <c r="AA837" s="192" t="inlineStr">
        <is>
          <t>https://nvd.nist.gov/vuln/detail/CVE-2025-67984</t>
        </is>
      </c>
      <c r="AB837" s="191" t="inlineStr">
        <is>
          <t>NONE</t>
        </is>
      </c>
      <c r="AC837" s="191" t="n">
        <v>0</v>
      </c>
      <c r="AD837" s="191" t="n"/>
    </row>
    <row r="838">
      <c r="A838" s="191" t="inlineStr">
        <is>
          <t>CVE</t>
        </is>
      </c>
      <c r="B838" s="191" t="inlineStr">
        <is>
          <t>CVE-2025-67987</t>
        </is>
      </c>
      <c r="C838" s="191" t="inlineStr">
        <is>
          <t>Improper Neutralization of Special Elements used in an SQL Command ('SQL Injection') vulnerability in ExpressTech Systems Quiz And Survey Master quiz-master-next allows SQL Injection.This issue affects Quiz And Survey Master: from n/a through &lt;= 10.3.1.</t>
        </is>
      </c>
      <c r="D838" s="191" t="n">
        <v>5</v>
      </c>
      <c r="E838" s="191" t="inlineStr">
        <is>
          <t>MEDIUM</t>
        </is>
      </c>
      <c r="F838" s="191" t="n">
        <v>2</v>
      </c>
      <c r="G838" s="191" t="n">
        <v>2</v>
      </c>
      <c r="H838" s="191" t="inlineStr">
        <is>
          <t>MEDIUM</t>
        </is>
      </c>
      <c r="I838" s="191" t="n">
        <v>9</v>
      </c>
      <c r="J838" s="191" t="inlineStr">
        <is>
          <t>NO</t>
        </is>
      </c>
      <c r="K838" s="192" t="inlineStr">
        <is>
          <t>https://nvd.nist.gov/vuln/detail/CVE-2025-67987</t>
        </is>
      </c>
      <c r="L838" s="191" t="inlineStr">
        <is>
          <t>2026-02-23 23:48</t>
        </is>
      </c>
      <c r="M838" s="191" t="inlineStr">
        <is>
          <t>CHECK_VENDOR</t>
        </is>
      </c>
      <c r="N838" s="191" t="inlineStr">
        <is>
          <t>See NVD references</t>
        </is>
      </c>
      <c r="O838" s="191" t="inlineStr">
        <is>
          <t>Apply vendor patches</t>
        </is>
      </c>
      <c r="P838" s="191" t="inlineStr">
        <is>
          <t>See CVE details</t>
        </is>
      </c>
      <c r="Q838" s="191" t="inlineStr">
        <is>
          <t>P4</t>
        </is>
      </c>
      <c r="R838" s="191" t="inlineStr">
        <is>
          <t>📅 Schedule patch deployment within 30 days | 🔍 Monitor for exploitation attempts</t>
        </is>
      </c>
      <c r="S838" s="191" t="inlineStr">
        <is>
          <t>CVE - IP enrichment n/a</t>
        </is>
      </c>
      <c r="T838" s="191" t="n">
        <v>0.0002</v>
      </c>
      <c r="U838" s="191" t="n">
        <v>0.0536</v>
      </c>
      <c r="V838" s="191" t="inlineStr">
        <is>
          <t>T1190:Exploit Public-Facing Application</t>
        </is>
      </c>
      <c r="W838" s="191" t="n">
        <v>1</v>
      </c>
      <c r="X838" s="191" t="inlineStr">
        <is>
          <t>LOW (40%)</t>
        </is>
      </c>
      <c r="Y838" s="191" t="inlineStr">
        <is>
          <t>UNLIKELY</t>
        </is>
      </c>
      <c r="Z838" s="191" t="inlineStr">
        <is>
          <t>CHECK_VENDOR</t>
        </is>
      </c>
      <c r="AA838" s="192" t="inlineStr">
        <is>
          <t>https://nvd.nist.gov/vuln/detail/CVE-2025-67987</t>
        </is>
      </c>
      <c r="AB838" s="191" t="inlineStr">
        <is>
          <t>NONE</t>
        </is>
      </c>
      <c r="AC838" s="191" t="n">
        <v>0</v>
      </c>
      <c r="AD838" s="191" t="n"/>
    </row>
    <row r="839">
      <c r="A839" s="191" t="inlineStr">
        <is>
          <t>CVE</t>
        </is>
      </c>
      <c r="B839" s="191" t="inlineStr">
        <is>
          <t>CVE-2025-67988</t>
        </is>
      </c>
      <c r="C839" s="191" t="inlineStr">
        <is>
          <t>Improper Control of Filename for Include/Require Statement in PHP Program ('PHP Remote File Inclusion') vulnerability in LoftOcean CozyStay cozystay allows PHP Local File Inclusion.This issue affects CozyStay: from n/a through &lt; 1.9.1.</t>
        </is>
      </c>
      <c r="D839" s="191" t="n">
        <v>5</v>
      </c>
      <c r="E839" s="191" t="inlineStr">
        <is>
          <t>MEDIUM</t>
        </is>
      </c>
      <c r="F839" s="191" t="n">
        <v>2</v>
      </c>
      <c r="G839" s="191" t="n">
        <v>2</v>
      </c>
      <c r="H839" s="191" t="inlineStr">
        <is>
          <t>MEDIUM</t>
        </is>
      </c>
      <c r="I839" s="191" t="n">
        <v>9</v>
      </c>
      <c r="J839" s="191" t="inlineStr">
        <is>
          <t>NO</t>
        </is>
      </c>
      <c r="K839" s="192" t="inlineStr">
        <is>
          <t>https://nvd.nist.gov/vuln/detail/CVE-2025-67988</t>
        </is>
      </c>
      <c r="L839" s="191" t="inlineStr">
        <is>
          <t>2026-02-23 23:48</t>
        </is>
      </c>
      <c r="M839" s="191" t="inlineStr">
        <is>
          <t>CHECK_VENDOR</t>
        </is>
      </c>
      <c r="N839" s="191" t="inlineStr">
        <is>
          <t>See NVD references</t>
        </is>
      </c>
      <c r="O839" s="191" t="inlineStr">
        <is>
          <t>Apply vendor patches</t>
        </is>
      </c>
      <c r="P839" s="191" t="inlineStr">
        <is>
          <t>See CVE details</t>
        </is>
      </c>
      <c r="Q839" s="191" t="inlineStr">
        <is>
          <t>P4</t>
        </is>
      </c>
      <c r="R839" s="191" t="inlineStr">
        <is>
          <t>📅 Schedule patch deployment within 30 days | 🔍 Monitor for exploitation attempts</t>
        </is>
      </c>
      <c r="S839" s="191" t="inlineStr">
        <is>
          <t>CVE - IP enrichment n/a</t>
        </is>
      </c>
      <c r="T839" s="191" t="n">
        <v>0.0005</v>
      </c>
      <c r="U839" s="191" t="n">
        <v>0.1673</v>
      </c>
      <c r="V839" s="191" t="inlineStr">
        <is>
          <t>T1190:Exploit Public-Facing Application</t>
        </is>
      </c>
      <c r="W839" s="191" t="n">
        <v>1</v>
      </c>
      <c r="X839" s="191" t="inlineStr">
        <is>
          <t>LOW (40%)</t>
        </is>
      </c>
      <c r="Y839" s="191" t="inlineStr">
        <is>
          <t>UNLIKELY</t>
        </is>
      </c>
      <c r="Z839" s="191" t="inlineStr">
        <is>
          <t>CHECK_VENDOR</t>
        </is>
      </c>
      <c r="AA839" s="192" t="inlineStr">
        <is>
          <t>https://nvd.nist.gov/vuln/detail/CVE-2025-67988</t>
        </is>
      </c>
      <c r="AB839" s="191" t="inlineStr">
        <is>
          <t>NONE</t>
        </is>
      </c>
      <c r="AC839" s="191" t="n">
        <v>0</v>
      </c>
      <c r="AD839" s="191" t="n"/>
    </row>
    <row r="840">
      <c r="A840" s="191" t="inlineStr">
        <is>
          <t>CVE</t>
        </is>
      </c>
      <c r="B840" s="191" t="inlineStr">
        <is>
          <t>CVE-2025-67990</t>
        </is>
      </c>
      <c r="C840" s="191" t="inlineStr">
        <is>
          <t>Improper Neutralization of Input During Web Page Generation ('Cross-site Scripting') vulnerability in RealMag777 GMap Targeting gmap-targeting allows Reflected XSS.This issue affects GMap Targeting: from n/a through &lt;= 1.1.7.</t>
        </is>
      </c>
      <c r="D840" s="191" t="n">
        <v>5</v>
      </c>
      <c r="E840" s="191" t="inlineStr">
        <is>
          <t>MEDIUM</t>
        </is>
      </c>
      <c r="F840" s="191" t="n">
        <v>2</v>
      </c>
      <c r="G840" s="191" t="n">
        <v>2</v>
      </c>
      <c r="H840" s="191" t="inlineStr">
        <is>
          <t>MEDIUM</t>
        </is>
      </c>
      <c r="I840" s="191" t="n">
        <v>9</v>
      </c>
      <c r="J840" s="191" t="inlineStr">
        <is>
          <t>NO</t>
        </is>
      </c>
      <c r="K840" s="192" t="inlineStr">
        <is>
          <t>https://nvd.nist.gov/vuln/detail/CVE-2025-67990</t>
        </is>
      </c>
      <c r="L840" s="191" t="inlineStr">
        <is>
          <t>2026-02-23 23:48</t>
        </is>
      </c>
      <c r="M840" s="191" t="inlineStr">
        <is>
          <t>CHECK_VENDOR</t>
        </is>
      </c>
      <c r="N840" s="191" t="inlineStr">
        <is>
          <t>See NVD references</t>
        </is>
      </c>
      <c r="O840" s="191" t="inlineStr">
        <is>
          <t>Apply vendor patches</t>
        </is>
      </c>
      <c r="P840" s="191" t="inlineStr">
        <is>
          <t>See CVE details</t>
        </is>
      </c>
      <c r="Q840" s="191" t="inlineStr">
        <is>
          <t>P4</t>
        </is>
      </c>
      <c r="R840" s="191" t="inlineStr">
        <is>
          <t>📅 Schedule patch deployment within 30 days | 🔍 Monitor for exploitation attempts</t>
        </is>
      </c>
      <c r="S840" s="191" t="inlineStr">
        <is>
          <t>CVE - IP enrichment n/a</t>
        </is>
      </c>
      <c r="T840" s="191" t="n">
        <v>0.0003</v>
      </c>
      <c r="U840" s="191" t="n">
        <v>0.0808</v>
      </c>
      <c r="V840" s="191" t="inlineStr">
        <is>
          <t>T1189:Drive-by Compromise</t>
        </is>
      </c>
      <c r="W840" s="191" t="n">
        <v>1</v>
      </c>
      <c r="X840" s="191" t="inlineStr">
        <is>
          <t>LOW (40%)</t>
        </is>
      </c>
      <c r="Y840" s="191" t="inlineStr">
        <is>
          <t>UNLIKELY</t>
        </is>
      </c>
      <c r="Z840" s="191" t="inlineStr">
        <is>
          <t>CHECK_VENDOR</t>
        </is>
      </c>
      <c r="AA840" s="192" t="inlineStr">
        <is>
          <t>https://nvd.nist.gov/vuln/detail/CVE-2025-67990</t>
        </is>
      </c>
      <c r="AB840" s="191" t="inlineStr">
        <is>
          <t>NONE</t>
        </is>
      </c>
      <c r="AC840" s="191" t="n">
        <v>0</v>
      </c>
      <c r="AD840" s="191" t="n"/>
    </row>
    <row r="841">
      <c r="A841" s="191" t="inlineStr">
        <is>
          <t>CVE</t>
        </is>
      </c>
      <c r="B841" s="191" t="inlineStr">
        <is>
          <t>CVE-2025-67991</t>
        </is>
      </c>
      <c r="C841" s="191" t="inlineStr">
        <is>
          <t>Improper Neutralization of Input During Web Page Generation ('Cross-site Scripting') vulnerability in vanquish User Extra Fields wp-user-extra-fields allows Reflected XSS.This issue affects User Extra Fields: from n/a through &lt;= 16.8.</t>
        </is>
      </c>
      <c r="D841" s="191" t="n">
        <v>5</v>
      </c>
      <c r="E841" s="191" t="inlineStr">
        <is>
          <t>MEDIUM</t>
        </is>
      </c>
      <c r="F841" s="191" t="n">
        <v>2</v>
      </c>
      <c r="G841" s="191" t="n">
        <v>2</v>
      </c>
      <c r="H841" s="191" t="inlineStr">
        <is>
          <t>MEDIUM</t>
        </is>
      </c>
      <c r="I841" s="191" t="n">
        <v>9</v>
      </c>
      <c r="J841" s="191" t="inlineStr">
        <is>
          <t>NO</t>
        </is>
      </c>
      <c r="K841" s="192" t="inlineStr">
        <is>
          <t>https://nvd.nist.gov/vuln/detail/CVE-2025-67991</t>
        </is>
      </c>
      <c r="L841" s="191" t="inlineStr">
        <is>
          <t>2026-02-23 23:48</t>
        </is>
      </c>
      <c r="M841" s="191" t="inlineStr">
        <is>
          <t>CHECK_VENDOR</t>
        </is>
      </c>
      <c r="N841" s="191" t="inlineStr">
        <is>
          <t>See NVD references</t>
        </is>
      </c>
      <c r="O841" s="191" t="inlineStr">
        <is>
          <t>Apply vendor patches</t>
        </is>
      </c>
      <c r="P841" s="191" t="inlineStr">
        <is>
          <t>See CVE details</t>
        </is>
      </c>
      <c r="Q841" s="191" t="inlineStr">
        <is>
          <t>P4</t>
        </is>
      </c>
      <c r="R841" s="191" t="inlineStr">
        <is>
          <t>📅 Schedule patch deployment within 30 days | 🔍 Monitor for exploitation attempts</t>
        </is>
      </c>
      <c r="S841" s="191" t="inlineStr">
        <is>
          <t>CVE - IP enrichment n/a</t>
        </is>
      </c>
      <c r="T841" s="191" t="n">
        <v>0</v>
      </c>
      <c r="U841" s="191" t="n">
        <v>0</v>
      </c>
      <c r="V841" s="191" t="inlineStr">
        <is>
          <t>T1189:Drive-by Compromise</t>
        </is>
      </c>
      <c r="W841" s="191" t="n">
        <v>1</v>
      </c>
      <c r="X841" s="191" t="inlineStr">
        <is>
          <t>LOW (40%)</t>
        </is>
      </c>
      <c r="Y841" s="191" t="inlineStr">
        <is>
          <t>UNLIKELY</t>
        </is>
      </c>
      <c r="Z841" s="191" t="inlineStr">
        <is>
          <t>CHECK_VENDOR</t>
        </is>
      </c>
      <c r="AA841" s="192" t="inlineStr">
        <is>
          <t>https://nvd.nist.gov/vuln/detail/CVE-2025-67991</t>
        </is>
      </c>
      <c r="AB841" s="191" t="inlineStr">
        <is>
          <t>NONE</t>
        </is>
      </c>
      <c r="AC841" s="191" t="n">
        <v>0</v>
      </c>
      <c r="AD841" s="191" t="n"/>
    </row>
    <row r="842">
      <c r="A842" s="191" t="inlineStr">
        <is>
          <t>CVE</t>
        </is>
      </c>
      <c r="B842" s="191" t="inlineStr">
        <is>
          <t>CVE-2025-67992</t>
        </is>
      </c>
      <c r="C842" s="191" t="inlineStr">
        <is>
          <t>Improper Control of Filename for Include/Require Statement in PHP Program ('PHP Remote File Inclusion') vulnerability in LoftOcean PatioTime patiotime allows PHP Local File Inclusion.This issue affects PatioTime: from n/a through &lt; 2.1.</t>
        </is>
      </c>
      <c r="D842" s="191" t="n">
        <v>5</v>
      </c>
      <c r="E842" s="191" t="inlineStr">
        <is>
          <t>MEDIUM</t>
        </is>
      </c>
      <c r="F842" s="191" t="n">
        <v>2</v>
      </c>
      <c r="G842" s="191" t="n">
        <v>2</v>
      </c>
      <c r="H842" s="191" t="inlineStr">
        <is>
          <t>MEDIUM</t>
        </is>
      </c>
      <c r="I842" s="191" t="n">
        <v>9</v>
      </c>
      <c r="J842" s="191" t="inlineStr">
        <is>
          <t>NO</t>
        </is>
      </c>
      <c r="K842" s="192" t="inlineStr">
        <is>
          <t>https://nvd.nist.gov/vuln/detail/CVE-2025-67992</t>
        </is>
      </c>
      <c r="L842" s="191" t="inlineStr">
        <is>
          <t>2026-02-23 23:48</t>
        </is>
      </c>
      <c r="M842" s="191" t="inlineStr">
        <is>
          <t>CHECK_VENDOR</t>
        </is>
      </c>
      <c r="N842" s="191" t="inlineStr">
        <is>
          <t>See NVD references</t>
        </is>
      </c>
      <c r="O842" s="191" t="inlineStr">
        <is>
          <t>Apply vendor patches</t>
        </is>
      </c>
      <c r="P842" s="191" t="inlineStr">
        <is>
          <t>See CVE details</t>
        </is>
      </c>
      <c r="Q842" s="191" t="inlineStr">
        <is>
          <t>P4</t>
        </is>
      </c>
      <c r="R842" s="191" t="inlineStr">
        <is>
          <t>📅 Schedule patch deployment within 30 days | 🔍 Monitor for exploitation attempts</t>
        </is>
      </c>
      <c r="S842" s="191" t="inlineStr">
        <is>
          <t>CVE - IP enrichment n/a</t>
        </is>
      </c>
      <c r="T842" s="191" t="n">
        <v>0</v>
      </c>
      <c r="U842" s="191" t="n">
        <v>0</v>
      </c>
      <c r="V842" s="191" t="inlineStr">
        <is>
          <t>T1190:Exploit Public-Facing Application</t>
        </is>
      </c>
      <c r="W842" s="191" t="n">
        <v>1</v>
      </c>
      <c r="X842" s="191" t="inlineStr">
        <is>
          <t>LOW (40%)</t>
        </is>
      </c>
      <c r="Y842" s="191" t="inlineStr">
        <is>
          <t>UNLIKELY</t>
        </is>
      </c>
      <c r="Z842" s="191" t="inlineStr">
        <is>
          <t>CHECK_VENDOR</t>
        </is>
      </c>
      <c r="AA842" s="192" t="inlineStr">
        <is>
          <t>https://nvd.nist.gov/vuln/detail/CVE-2025-67992</t>
        </is>
      </c>
      <c r="AB842" s="191" t="inlineStr">
        <is>
          <t>NONE</t>
        </is>
      </c>
      <c r="AC842" s="191" t="n">
        <v>0</v>
      </c>
      <c r="AD842" s="191" t="n"/>
    </row>
    <row r="843">
      <c r="A843" s="191" t="inlineStr">
        <is>
          <t>CVE</t>
        </is>
      </c>
      <c r="B843" s="191" t="inlineStr">
        <is>
          <t>CVE-2025-67993</t>
        </is>
      </c>
      <c r="C843" s="191" t="inlineStr">
        <is>
          <t>Missing Authorization vulnerability in Vito Peleg Atarim atarim-visual-collaboration allows Exploiting Incorrectly Configured Access Control Security Levels.This issue affects Atarim: from n/a through &lt;= 4.2.1.</t>
        </is>
      </c>
      <c r="D843" s="191" t="n">
        <v>5</v>
      </c>
      <c r="E843" s="191" t="inlineStr">
        <is>
          <t>MEDIUM</t>
        </is>
      </c>
      <c r="F843" s="191" t="n">
        <v>2</v>
      </c>
      <c r="G843" s="191" t="n">
        <v>2</v>
      </c>
      <c r="H843" s="191" t="inlineStr">
        <is>
          <t>MEDIUM</t>
        </is>
      </c>
      <c r="I843" s="191" t="n">
        <v>9</v>
      </c>
      <c r="J843" s="191" t="inlineStr">
        <is>
          <t>NO</t>
        </is>
      </c>
      <c r="K843" s="192" t="inlineStr">
        <is>
          <t>https://nvd.nist.gov/vuln/detail/CVE-2025-67993</t>
        </is>
      </c>
      <c r="L843" s="191" t="inlineStr">
        <is>
          <t>2026-02-23 23:48</t>
        </is>
      </c>
      <c r="M843" s="191" t="inlineStr">
        <is>
          <t>CHECK_VENDOR</t>
        </is>
      </c>
      <c r="N843" s="191" t="inlineStr">
        <is>
          <t>See NVD references</t>
        </is>
      </c>
      <c r="O843" s="191" t="inlineStr">
        <is>
          <t>Apply vendor patches</t>
        </is>
      </c>
      <c r="P843" s="191" t="inlineStr">
        <is>
          <t>See CVE details</t>
        </is>
      </c>
      <c r="Q843" s="191" t="inlineStr">
        <is>
          <t>P4</t>
        </is>
      </c>
      <c r="R843" s="191" t="inlineStr">
        <is>
          <t>📅 Schedule patch deployment within 30 days | 🔍 Monitor for exploitation attempts</t>
        </is>
      </c>
      <c r="S843" s="191" t="inlineStr">
        <is>
          <t>CVE - IP enrichment n/a</t>
        </is>
      </c>
      <c r="T843" s="191" t="n">
        <v>0</v>
      </c>
      <c r="U843" s="191" t="n">
        <v>0</v>
      </c>
      <c r="V843" s="191" t="inlineStr">
        <is>
          <t>T1190:Exploit Public-Facing Application</t>
        </is>
      </c>
      <c r="W843" s="191" t="n">
        <v>1</v>
      </c>
      <c r="X843" s="191" t="inlineStr">
        <is>
          <t>LOW (40%)</t>
        </is>
      </c>
      <c r="Y843" s="191" t="inlineStr">
        <is>
          <t>UNLIKELY</t>
        </is>
      </c>
      <c r="Z843" s="191" t="inlineStr">
        <is>
          <t>CHECK_VENDOR</t>
        </is>
      </c>
      <c r="AA843" s="192" t="inlineStr">
        <is>
          <t>https://nvd.nist.gov/vuln/detail/CVE-2025-67993</t>
        </is>
      </c>
      <c r="AB843" s="191" t="inlineStr">
        <is>
          <t>NONE</t>
        </is>
      </c>
      <c r="AC843" s="191" t="n">
        <v>0</v>
      </c>
      <c r="AD843" s="191" t="n"/>
    </row>
    <row r="844">
      <c r="A844" s="189" t="inlineStr">
        <is>
          <t>CVE</t>
        </is>
      </c>
      <c r="B844" s="189" t="inlineStr">
        <is>
          <t>CVE-2025-67994</t>
        </is>
      </c>
      <c r="C844" s="189" t="inlineStr">
        <is>
          <t>Missing Authorization vulnerability in YayCommerce YayCurrency yaycurrency allows Exploiting Incorrectly Configured Access Control Security Levels.This issue affects YayCurrency: from n/a through &lt;= 3.3.</t>
        </is>
      </c>
      <c r="D844" s="189" t="n">
        <v>8.5</v>
      </c>
      <c r="E844" s="189" t="inlineStr">
        <is>
          <t>HIGH</t>
        </is>
      </c>
      <c r="F844" s="189" t="n">
        <v>2</v>
      </c>
      <c r="G844" s="189" t="n">
        <v>3</v>
      </c>
      <c r="H844" s="189" t="inlineStr">
        <is>
          <t>HIGH</t>
        </is>
      </c>
      <c r="I844" s="189" t="n">
        <v>14.5</v>
      </c>
      <c r="J844" s="189" t="inlineStr">
        <is>
          <t>NO</t>
        </is>
      </c>
      <c r="K844" s="190" t="inlineStr">
        <is>
          <t>https://nvd.nist.gov/vuln/detail/CVE-2025-67994</t>
        </is>
      </c>
      <c r="L844" s="189" t="inlineStr">
        <is>
          <t>2026-02-23 23:48</t>
        </is>
      </c>
      <c r="M844" s="189" t="inlineStr">
        <is>
          <t>CHECK_VENDOR</t>
        </is>
      </c>
      <c r="N844" s="189" t="inlineStr">
        <is>
          <t>See NVD references</t>
        </is>
      </c>
      <c r="O844" s="189" t="inlineStr">
        <is>
          <t>Apply vendor patches</t>
        </is>
      </c>
      <c r="P844" s="189" t="inlineStr">
        <is>
          <t>See CVE details</t>
        </is>
      </c>
      <c r="Q844" s="189" t="inlineStr">
        <is>
          <t>P3</t>
        </is>
      </c>
      <c r="R844" s="189" t="inlineStr">
        <is>
          <t>🚨 URGENT: Apply vendor patches immediately | 🔒 Isolate affected systems if patch unavailable | 🛡️ Enable additional monitoring/IDS rules</t>
        </is>
      </c>
      <c r="S844" s="189" t="inlineStr">
        <is>
          <t>CVE - IP enrichment n/a</t>
        </is>
      </c>
      <c r="T844" s="189" t="n">
        <v>0.0002</v>
      </c>
      <c r="U844" s="189" t="n">
        <v>0.0381</v>
      </c>
      <c r="V844" s="189" t="inlineStr">
        <is>
          <t>T1190:Exploit Public-Facing Application</t>
        </is>
      </c>
      <c r="W844" s="189" t="n">
        <v>1</v>
      </c>
      <c r="X844" s="189" t="inlineStr">
        <is>
          <t>LOW (40%)</t>
        </is>
      </c>
      <c r="Y844" s="189" t="inlineStr">
        <is>
          <t>UNLIKELY</t>
        </is>
      </c>
      <c r="Z844" s="189" t="inlineStr">
        <is>
          <t>CHECK_VENDOR</t>
        </is>
      </c>
      <c r="AA844" s="190" t="inlineStr">
        <is>
          <t>https://nvd.nist.gov/vuln/detail/CVE-2025-67994</t>
        </is>
      </c>
      <c r="AB844" s="189" t="inlineStr">
        <is>
          <t>NONE</t>
        </is>
      </c>
      <c r="AC844" s="189" t="n">
        <v>0</v>
      </c>
      <c r="AD844" s="189" t="n"/>
    </row>
    <row r="845">
      <c r="A845" s="191" t="inlineStr">
        <is>
          <t>CVE</t>
        </is>
      </c>
      <c r="B845" s="191" t="inlineStr">
        <is>
          <t>CVE-2025-67995</t>
        </is>
      </c>
      <c r="C845" s="191" t="inlineStr">
        <is>
          <t>Deserialization of Untrusted Data vulnerability in LoftOcean PatioTime patiotime allows Object Injection.This issue affects PatioTime: from n/a through &lt; 2.1.</t>
        </is>
      </c>
      <c r="D845" s="191" t="n">
        <v>5</v>
      </c>
      <c r="E845" s="191" t="inlineStr">
        <is>
          <t>MEDIUM</t>
        </is>
      </c>
      <c r="F845" s="191" t="n">
        <v>2</v>
      </c>
      <c r="G845" s="191" t="n">
        <v>2</v>
      </c>
      <c r="H845" s="191" t="inlineStr">
        <is>
          <t>MEDIUM</t>
        </is>
      </c>
      <c r="I845" s="191" t="n">
        <v>9</v>
      </c>
      <c r="J845" s="191" t="inlineStr">
        <is>
          <t>NO</t>
        </is>
      </c>
      <c r="K845" s="192" t="inlineStr">
        <is>
          <t>https://nvd.nist.gov/vuln/detail/CVE-2025-67995</t>
        </is>
      </c>
      <c r="L845" s="191" t="inlineStr">
        <is>
          <t>2026-02-23 23:48</t>
        </is>
      </c>
      <c r="M845" s="191" t="inlineStr">
        <is>
          <t>CHECK_VENDOR</t>
        </is>
      </c>
      <c r="N845" s="191" t="inlineStr">
        <is>
          <t>See NVD references</t>
        </is>
      </c>
      <c r="O845" s="191" t="inlineStr">
        <is>
          <t>Apply vendor patches</t>
        </is>
      </c>
      <c r="P845" s="191" t="inlineStr">
        <is>
          <t>See CVE details</t>
        </is>
      </c>
      <c r="Q845" s="191" t="inlineStr">
        <is>
          <t>P4</t>
        </is>
      </c>
      <c r="R845" s="191" t="inlineStr">
        <is>
          <t>📅 Schedule patch deployment within 30 days | 🔍 Monitor for exploitation attempts</t>
        </is>
      </c>
      <c r="S845" s="191" t="inlineStr">
        <is>
          <t>CVE - IP enrichment n/a</t>
        </is>
      </c>
      <c r="T845" s="191" t="n">
        <v>0.0002</v>
      </c>
      <c r="U845" s="191" t="n">
        <v>0.0636</v>
      </c>
      <c r="V845" s="191" t="inlineStr">
        <is>
          <t>T1059:Command and Scripting Interpreter</t>
        </is>
      </c>
      <c r="W845" s="191" t="n">
        <v>1</v>
      </c>
      <c r="X845" s="191" t="inlineStr">
        <is>
          <t>LOW (40%)</t>
        </is>
      </c>
      <c r="Y845" s="191" t="inlineStr">
        <is>
          <t>UNLIKELY</t>
        </is>
      </c>
      <c r="Z845" s="191" t="inlineStr">
        <is>
          <t>CHECK_VENDOR</t>
        </is>
      </c>
      <c r="AA845" s="192" t="inlineStr">
        <is>
          <t>https://nvd.nist.gov/vuln/detail/CVE-2025-67995</t>
        </is>
      </c>
      <c r="AB845" s="191" t="inlineStr">
        <is>
          <t>NONE</t>
        </is>
      </c>
      <c r="AC845" s="191" t="n">
        <v>0</v>
      </c>
      <c r="AD845" s="191" t="n"/>
    </row>
    <row r="846">
      <c r="A846" s="191" t="inlineStr">
        <is>
          <t>CVE</t>
        </is>
      </c>
      <c r="B846" s="191" t="inlineStr">
        <is>
          <t>CVE-2025-67996</t>
        </is>
      </c>
      <c r="C846" s="191" t="inlineStr">
        <is>
          <t>Deserialization of Untrusted Data vulnerability in BoldThemes Nestin nestin allows Object Injection.This issue affects Nestin: from n/a through &lt; 1.2.6.</t>
        </is>
      </c>
      <c r="D846" s="191" t="n">
        <v>5</v>
      </c>
      <c r="E846" s="191" t="inlineStr">
        <is>
          <t>MEDIUM</t>
        </is>
      </c>
      <c r="F846" s="191" t="n">
        <v>2</v>
      </c>
      <c r="G846" s="191" t="n">
        <v>2</v>
      </c>
      <c r="H846" s="191" t="inlineStr">
        <is>
          <t>MEDIUM</t>
        </is>
      </c>
      <c r="I846" s="191" t="n">
        <v>9</v>
      </c>
      <c r="J846" s="191" t="inlineStr">
        <is>
          <t>NO</t>
        </is>
      </c>
      <c r="K846" s="192" t="inlineStr">
        <is>
          <t>https://nvd.nist.gov/vuln/detail/CVE-2025-67996</t>
        </is>
      </c>
      <c r="L846" s="191" t="inlineStr">
        <is>
          <t>2026-02-23 23:48</t>
        </is>
      </c>
      <c r="M846" s="191" t="inlineStr">
        <is>
          <t>CHECK_VENDOR</t>
        </is>
      </c>
      <c r="N846" s="191" t="inlineStr">
        <is>
          <t>See NVD references</t>
        </is>
      </c>
      <c r="O846" s="191" t="inlineStr">
        <is>
          <t>Apply vendor patches</t>
        </is>
      </c>
      <c r="P846" s="191" t="inlineStr">
        <is>
          <t>See CVE details</t>
        </is>
      </c>
      <c r="Q846" s="191" t="inlineStr">
        <is>
          <t>P4</t>
        </is>
      </c>
      <c r="R846" s="191" t="inlineStr">
        <is>
          <t>📅 Schedule patch deployment within 30 days | 🔍 Monitor for exploitation attempts</t>
        </is>
      </c>
      <c r="S846" s="191" t="inlineStr">
        <is>
          <t>CVE - IP enrichment n/a</t>
        </is>
      </c>
      <c r="T846" s="191" t="n">
        <v>0</v>
      </c>
      <c r="U846" s="191" t="n">
        <v>0</v>
      </c>
      <c r="V846" s="191" t="inlineStr">
        <is>
          <t>T1059:Command and Scripting Interpreter</t>
        </is>
      </c>
      <c r="W846" s="191" t="n">
        <v>1</v>
      </c>
      <c r="X846" s="191" t="inlineStr">
        <is>
          <t>LOW (40%)</t>
        </is>
      </c>
      <c r="Y846" s="191" t="inlineStr">
        <is>
          <t>UNLIKELY</t>
        </is>
      </c>
      <c r="Z846" s="191" t="inlineStr">
        <is>
          <t>CHECK_VENDOR</t>
        </is>
      </c>
      <c r="AA846" s="192" t="inlineStr">
        <is>
          <t>https://nvd.nist.gov/vuln/detail/CVE-2025-67996</t>
        </is>
      </c>
      <c r="AB846" s="191" t="inlineStr">
        <is>
          <t>NONE</t>
        </is>
      </c>
      <c r="AC846" s="191" t="n">
        <v>0</v>
      </c>
      <c r="AD846" s="191" t="n"/>
    </row>
    <row r="847">
      <c r="A847" s="191" t="inlineStr">
        <is>
          <t>CVE</t>
        </is>
      </c>
      <c r="B847" s="191" t="inlineStr">
        <is>
          <t>CVE-2025-67997</t>
        </is>
      </c>
      <c r="C847" s="191" t="inlineStr">
        <is>
          <t>Deserialization of Untrusted Data vulnerability in BoldThemes Travelicious travelicious allows Object Injection.This issue affects Travelicious: from n/a through &lt; 1.6.7.</t>
        </is>
      </c>
      <c r="D847" s="191" t="n">
        <v>5</v>
      </c>
      <c r="E847" s="191" t="inlineStr">
        <is>
          <t>MEDIUM</t>
        </is>
      </c>
      <c r="F847" s="191" t="n">
        <v>2</v>
      </c>
      <c r="G847" s="191" t="n">
        <v>2</v>
      </c>
      <c r="H847" s="191" t="inlineStr">
        <is>
          <t>MEDIUM</t>
        </is>
      </c>
      <c r="I847" s="191" t="n">
        <v>9</v>
      </c>
      <c r="J847" s="191" t="inlineStr">
        <is>
          <t>NO</t>
        </is>
      </c>
      <c r="K847" s="192" t="inlineStr">
        <is>
          <t>https://nvd.nist.gov/vuln/detail/CVE-2025-67997</t>
        </is>
      </c>
      <c r="L847" s="191" t="inlineStr">
        <is>
          <t>2026-02-23 23:48</t>
        </is>
      </c>
      <c r="M847" s="191" t="inlineStr">
        <is>
          <t>CHECK_VENDOR</t>
        </is>
      </c>
      <c r="N847" s="191" t="inlineStr">
        <is>
          <t>See NVD references</t>
        </is>
      </c>
      <c r="O847" s="191" t="inlineStr">
        <is>
          <t>Apply vendor patches</t>
        </is>
      </c>
      <c r="P847" s="191" t="inlineStr">
        <is>
          <t>See CVE details</t>
        </is>
      </c>
      <c r="Q847" s="191" t="inlineStr">
        <is>
          <t>P4</t>
        </is>
      </c>
      <c r="R847" s="191" t="inlineStr">
        <is>
          <t>📅 Schedule patch deployment within 30 days | 🔍 Monitor for exploitation attempts</t>
        </is>
      </c>
      <c r="S847" s="191" t="inlineStr">
        <is>
          <t>CVE - IP enrichment n/a</t>
        </is>
      </c>
      <c r="T847" s="191" t="n">
        <v>0</v>
      </c>
      <c r="U847" s="191" t="n">
        <v>0</v>
      </c>
      <c r="V847" s="191" t="inlineStr">
        <is>
          <t>T1059:Command and Scripting Interpreter</t>
        </is>
      </c>
      <c r="W847" s="191" t="n">
        <v>1</v>
      </c>
      <c r="X847" s="191" t="inlineStr">
        <is>
          <t>LOW (40%)</t>
        </is>
      </c>
      <c r="Y847" s="191" t="inlineStr">
        <is>
          <t>UNLIKELY</t>
        </is>
      </c>
      <c r="Z847" s="191" t="inlineStr">
        <is>
          <t>CHECK_VENDOR</t>
        </is>
      </c>
      <c r="AA847" s="192" t="inlineStr">
        <is>
          <t>https://nvd.nist.gov/vuln/detail/CVE-2025-67997</t>
        </is>
      </c>
      <c r="AB847" s="191" t="inlineStr">
        <is>
          <t>NONE</t>
        </is>
      </c>
      <c r="AC847" s="191" t="n">
        <v>0</v>
      </c>
      <c r="AD847" s="191" t="n"/>
    </row>
    <row r="848">
      <c r="A848" s="191" t="inlineStr">
        <is>
          <t>CVE</t>
        </is>
      </c>
      <c r="B848" s="191" t="inlineStr">
        <is>
          <t>CVE-2025-67998</t>
        </is>
      </c>
      <c r="C848" s="191" t="inlineStr">
        <is>
          <t>Authentication Bypass Using an Alternate Path or Channel vulnerability in kamleshyadav Miraculous Elementor miraculous-el allows Authentication Abuse.This issue affects Miraculous Elementor: from n/a through &lt;= 2.0.7.</t>
        </is>
      </c>
      <c r="D848" s="191" t="n">
        <v>5</v>
      </c>
      <c r="E848" s="191" t="inlineStr">
        <is>
          <t>MEDIUM</t>
        </is>
      </c>
      <c r="F848" s="191" t="n">
        <v>2</v>
      </c>
      <c r="G848" s="191" t="n">
        <v>2</v>
      </c>
      <c r="H848" s="191" t="inlineStr">
        <is>
          <t>MEDIUM</t>
        </is>
      </c>
      <c r="I848" s="191" t="n">
        <v>9</v>
      </c>
      <c r="J848" s="191" t="inlineStr">
        <is>
          <t>NO</t>
        </is>
      </c>
      <c r="K848" s="192" t="inlineStr">
        <is>
          <t>https://nvd.nist.gov/vuln/detail/CVE-2025-67998</t>
        </is>
      </c>
      <c r="L848" s="191" t="inlineStr">
        <is>
          <t>2026-02-23 23:48</t>
        </is>
      </c>
      <c r="M848" s="191" t="inlineStr">
        <is>
          <t>CHECK_VENDOR</t>
        </is>
      </c>
      <c r="N848" s="191" t="inlineStr">
        <is>
          <t>See NVD references</t>
        </is>
      </c>
      <c r="O848" s="191" t="inlineStr">
        <is>
          <t>Apply vendor patches</t>
        </is>
      </c>
      <c r="P848" s="191" t="inlineStr">
        <is>
          <t>See CVE details</t>
        </is>
      </c>
      <c r="Q848" s="191" t="inlineStr">
        <is>
          <t>P4</t>
        </is>
      </c>
      <c r="R848" s="191" t="inlineStr">
        <is>
          <t>📅 Schedule patch deployment within 30 days | 🔍 Monitor for exploitation attempts</t>
        </is>
      </c>
      <c r="S848" s="191" t="inlineStr">
        <is>
          <t>CVE - IP enrichment n/a</t>
        </is>
      </c>
      <c r="T848" s="191" t="n">
        <v>0</v>
      </c>
      <c r="U848" s="191" t="n">
        <v>0</v>
      </c>
      <c r="V848" s="191" t="inlineStr">
        <is>
          <t>T1078:Valid Accounts</t>
        </is>
      </c>
      <c r="W848" s="191" t="n">
        <v>1</v>
      </c>
      <c r="X848" s="191" t="inlineStr">
        <is>
          <t>LOW (40%)</t>
        </is>
      </c>
      <c r="Y848" s="191" t="inlineStr">
        <is>
          <t>UNLIKELY</t>
        </is>
      </c>
      <c r="Z848" s="191" t="inlineStr">
        <is>
          <t>CHECK_VENDOR</t>
        </is>
      </c>
      <c r="AA848" s="192" t="inlineStr">
        <is>
          <t>https://nvd.nist.gov/vuln/detail/CVE-2025-67998</t>
        </is>
      </c>
      <c r="AB848" s="191" t="inlineStr">
        <is>
          <t>NONE</t>
        </is>
      </c>
      <c r="AC848" s="191" t="n">
        <v>0</v>
      </c>
      <c r="AD848" s="191" t="n"/>
    </row>
    <row r="849">
      <c r="A849" s="191" t="inlineStr">
        <is>
          <t>CVE</t>
        </is>
      </c>
      <c r="B849" s="191" t="inlineStr">
        <is>
          <t>CVE-2025-68000</t>
        </is>
      </c>
      <c r="C849" s="191" t="inlineStr">
        <is>
          <t>Missing Authorization vulnerability in PickPlugins Testimonial Slider testimonial allows Exploiting Incorrectly Configured Access Control Security Levels.This issue affects Testimonial Slider: from n/a through &lt;= 2.0.15.</t>
        </is>
      </c>
      <c r="D849" s="191" t="n">
        <v>5</v>
      </c>
      <c r="E849" s="191" t="inlineStr">
        <is>
          <t>MEDIUM</t>
        </is>
      </c>
      <c r="F849" s="191" t="n">
        <v>2</v>
      </c>
      <c r="G849" s="191" t="n">
        <v>2</v>
      </c>
      <c r="H849" s="191" t="inlineStr">
        <is>
          <t>MEDIUM</t>
        </is>
      </c>
      <c r="I849" s="191" t="n">
        <v>9</v>
      </c>
      <c r="J849" s="191" t="inlineStr">
        <is>
          <t>NO</t>
        </is>
      </c>
      <c r="K849" s="192" t="inlineStr">
        <is>
          <t>https://nvd.nist.gov/vuln/detail/CVE-2025-68000</t>
        </is>
      </c>
      <c r="L849" s="191" t="inlineStr">
        <is>
          <t>2026-02-23 23:48</t>
        </is>
      </c>
      <c r="M849" s="191" t="inlineStr">
        <is>
          <t>CHECK_VENDOR</t>
        </is>
      </c>
      <c r="N849" s="191" t="inlineStr">
        <is>
          <t>See NVD references</t>
        </is>
      </c>
      <c r="O849" s="191" t="inlineStr">
        <is>
          <t>Apply vendor patches</t>
        </is>
      </c>
      <c r="P849" s="191" t="inlineStr">
        <is>
          <t>See CVE details</t>
        </is>
      </c>
      <c r="Q849" s="191" t="inlineStr">
        <is>
          <t>P4</t>
        </is>
      </c>
      <c r="R849" s="191" t="inlineStr">
        <is>
          <t>📅 Schedule patch deployment within 30 days | 🔍 Monitor for exploitation attempts</t>
        </is>
      </c>
      <c r="S849" s="191" t="inlineStr">
        <is>
          <t>CVE - IP enrichment n/a</t>
        </is>
      </c>
      <c r="T849" s="191" t="n">
        <v>0</v>
      </c>
      <c r="U849" s="191" t="n">
        <v>0</v>
      </c>
      <c r="V849" s="191" t="inlineStr">
        <is>
          <t>T1190:Exploit Public-Facing Application</t>
        </is>
      </c>
      <c r="W849" s="191" t="n">
        <v>1</v>
      </c>
      <c r="X849" s="191" t="inlineStr">
        <is>
          <t>LOW (40%)</t>
        </is>
      </c>
      <c r="Y849" s="191" t="inlineStr">
        <is>
          <t>UNLIKELY</t>
        </is>
      </c>
      <c r="Z849" s="191" t="inlineStr">
        <is>
          <t>CHECK_VENDOR</t>
        </is>
      </c>
      <c r="AA849" s="192" t="inlineStr">
        <is>
          <t>https://nvd.nist.gov/vuln/detail/CVE-2025-68000</t>
        </is>
      </c>
      <c r="AB849" s="191" t="inlineStr">
        <is>
          <t>NONE</t>
        </is>
      </c>
      <c r="AC849" s="191" t="n">
        <v>0</v>
      </c>
      <c r="AD849" s="191" t="n"/>
    </row>
    <row r="850">
      <c r="A850" s="191" t="inlineStr">
        <is>
          <t>CVE</t>
        </is>
      </c>
      <c r="B850" s="191" t="inlineStr">
        <is>
          <t>CVE-2025-68002</t>
        </is>
      </c>
      <c r="C850" s="191" t="inlineStr">
        <is>
          <t>Improper Limitation of a Pathname to a Restricted Directory ('Path Traversal') vulnerability in 100plugins Open User Map open-user-map allows Path Traversal.This issue affects Open User Map: from n/a through &lt;= 1.4.16.</t>
        </is>
      </c>
      <c r="D850" s="191" t="n">
        <v>5</v>
      </c>
      <c r="E850" s="191" t="inlineStr">
        <is>
          <t>MEDIUM</t>
        </is>
      </c>
      <c r="F850" s="191" t="n">
        <v>2</v>
      </c>
      <c r="G850" s="191" t="n">
        <v>2</v>
      </c>
      <c r="H850" s="191" t="inlineStr">
        <is>
          <t>MEDIUM</t>
        </is>
      </c>
      <c r="I850" s="191" t="n">
        <v>9</v>
      </c>
      <c r="J850" s="191" t="inlineStr">
        <is>
          <t>NO</t>
        </is>
      </c>
      <c r="K850" s="192" t="inlineStr">
        <is>
          <t>https://nvd.nist.gov/vuln/detail/CVE-2025-68002</t>
        </is>
      </c>
      <c r="L850" s="191" t="inlineStr">
        <is>
          <t>2026-02-23 23:48</t>
        </is>
      </c>
      <c r="M850" s="191" t="inlineStr">
        <is>
          <t>CHECK_VENDOR</t>
        </is>
      </c>
      <c r="N850" s="191" t="inlineStr">
        <is>
          <t>See NVD references</t>
        </is>
      </c>
      <c r="O850" s="191" t="inlineStr">
        <is>
          <t>Apply vendor patches</t>
        </is>
      </c>
      <c r="P850" s="191" t="inlineStr">
        <is>
          <t>See CVE details</t>
        </is>
      </c>
      <c r="Q850" s="191" t="inlineStr">
        <is>
          <t>P4</t>
        </is>
      </c>
      <c r="R850" s="191" t="inlineStr">
        <is>
          <t>📅 Schedule patch deployment within 30 days | 🔍 Monitor for exploitation attempts</t>
        </is>
      </c>
      <c r="S850" s="191" t="inlineStr">
        <is>
          <t>CVE - IP enrichment n/a</t>
        </is>
      </c>
      <c r="T850" s="191" t="n">
        <v>0</v>
      </c>
      <c r="U850" s="191" t="n">
        <v>0</v>
      </c>
      <c r="V850" s="191" t="inlineStr">
        <is>
          <t>T1083:File and Directory Discovery</t>
        </is>
      </c>
      <c r="W850" s="191" t="n">
        <v>1</v>
      </c>
      <c r="X850" s="191" t="inlineStr">
        <is>
          <t>LOW (40%)</t>
        </is>
      </c>
      <c r="Y850" s="191" t="inlineStr">
        <is>
          <t>UNLIKELY</t>
        </is>
      </c>
      <c r="Z850" s="191" t="inlineStr">
        <is>
          <t>CHECK_VENDOR</t>
        </is>
      </c>
      <c r="AA850" s="192" t="inlineStr">
        <is>
          <t>https://nvd.nist.gov/vuln/detail/CVE-2025-68002</t>
        </is>
      </c>
      <c r="AB850" s="191" t="inlineStr">
        <is>
          <t>NONE</t>
        </is>
      </c>
      <c r="AC850" s="191" t="n">
        <v>0</v>
      </c>
      <c r="AD850" s="191" t="n"/>
    </row>
    <row r="851">
      <c r="A851" s="191" t="inlineStr">
        <is>
          <t>CVE</t>
        </is>
      </c>
      <c r="B851" s="191" t="inlineStr">
        <is>
          <t>CVE-2025-68005</t>
        </is>
      </c>
      <c r="C851" s="191" t="inlineStr">
        <is>
          <t>Missing Authorization vulnerability in themewant Easy Hotel Booking easy-hotel allows Exploiting Incorrectly Configured Access Control Security Levels.This issue affects Easy Hotel Booking: from n/a through &lt;= 1.8.7.</t>
        </is>
      </c>
      <c r="D851" s="191" t="n">
        <v>5</v>
      </c>
      <c r="E851" s="191" t="inlineStr">
        <is>
          <t>MEDIUM</t>
        </is>
      </c>
      <c r="F851" s="191" t="n">
        <v>2</v>
      </c>
      <c r="G851" s="191" t="n">
        <v>2</v>
      </c>
      <c r="H851" s="191" t="inlineStr">
        <is>
          <t>MEDIUM</t>
        </is>
      </c>
      <c r="I851" s="191" t="n">
        <v>9</v>
      </c>
      <c r="J851" s="191" t="inlineStr">
        <is>
          <t>NO</t>
        </is>
      </c>
      <c r="K851" s="192" t="inlineStr">
        <is>
          <t>https://nvd.nist.gov/vuln/detail/CVE-2025-68005</t>
        </is>
      </c>
      <c r="L851" s="191" t="inlineStr">
        <is>
          <t>2026-02-23 23:48</t>
        </is>
      </c>
      <c r="M851" s="191" t="inlineStr">
        <is>
          <t>CHECK_VENDOR</t>
        </is>
      </c>
      <c r="N851" s="191" t="inlineStr">
        <is>
          <t>See NVD references</t>
        </is>
      </c>
      <c r="O851" s="191" t="inlineStr">
        <is>
          <t>Apply vendor patches</t>
        </is>
      </c>
      <c r="P851" s="191" t="inlineStr">
        <is>
          <t>See CVE details</t>
        </is>
      </c>
      <c r="Q851" s="191" t="inlineStr">
        <is>
          <t>P4</t>
        </is>
      </c>
      <c r="R851" s="191" t="inlineStr">
        <is>
          <t>📅 Schedule patch deployment within 30 days | 🔍 Monitor for exploitation attempts</t>
        </is>
      </c>
      <c r="S851" s="191" t="inlineStr">
        <is>
          <t>CVE - IP enrichment n/a</t>
        </is>
      </c>
      <c r="T851" s="191" t="n">
        <v>0</v>
      </c>
      <c r="U851" s="191" t="n">
        <v>0</v>
      </c>
      <c r="V851" s="191" t="inlineStr">
        <is>
          <t>T1190:Exploit Public-Facing Application</t>
        </is>
      </c>
      <c r="W851" s="191" t="n">
        <v>1</v>
      </c>
      <c r="X851" s="191" t="inlineStr">
        <is>
          <t>LOW (40%)</t>
        </is>
      </c>
      <c r="Y851" s="191" t="inlineStr">
        <is>
          <t>UNLIKELY</t>
        </is>
      </c>
      <c r="Z851" s="191" t="inlineStr">
        <is>
          <t>CHECK_VENDOR</t>
        </is>
      </c>
      <c r="AA851" s="192" t="inlineStr">
        <is>
          <t>https://nvd.nist.gov/vuln/detail/CVE-2025-68005</t>
        </is>
      </c>
      <c r="AB851" s="191" t="inlineStr">
        <is>
          <t>NONE</t>
        </is>
      </c>
      <c r="AC851" s="191" t="n">
        <v>0</v>
      </c>
      <c r="AD851" s="191" t="n"/>
    </row>
    <row r="852">
      <c r="A852" s="191" t="inlineStr">
        <is>
          <t>CVE</t>
        </is>
      </c>
      <c r="B852" s="191" t="inlineStr">
        <is>
          <t>CVE-2025-68021</t>
        </is>
      </c>
      <c r="C852" s="191" t="inlineStr">
        <is>
          <t>Missing Authorization vulnerability in ConveyThis ConveyThis conveythis-translate allows Exploiting Incorrectly Configured Access Control Security Levels.This issue affects ConveyThis: from n/a through &lt;= 269.5.</t>
        </is>
      </c>
      <c r="D852" s="191" t="n">
        <v>5</v>
      </c>
      <c r="E852" s="191" t="inlineStr">
        <is>
          <t>MEDIUM</t>
        </is>
      </c>
      <c r="F852" s="191" t="n">
        <v>2</v>
      </c>
      <c r="G852" s="191" t="n">
        <v>2</v>
      </c>
      <c r="H852" s="191" t="inlineStr">
        <is>
          <t>MEDIUM</t>
        </is>
      </c>
      <c r="I852" s="191" t="n">
        <v>9</v>
      </c>
      <c r="J852" s="191" t="inlineStr">
        <is>
          <t>NO</t>
        </is>
      </c>
      <c r="K852" s="192" t="inlineStr">
        <is>
          <t>https://nvd.nist.gov/vuln/detail/CVE-2025-68021</t>
        </is>
      </c>
      <c r="L852" s="191" t="inlineStr">
        <is>
          <t>2026-02-23 23:48</t>
        </is>
      </c>
      <c r="M852" s="191" t="inlineStr">
        <is>
          <t>CHECK_VENDOR</t>
        </is>
      </c>
      <c r="N852" s="191" t="inlineStr">
        <is>
          <t>See NVD references</t>
        </is>
      </c>
      <c r="O852" s="191" t="inlineStr">
        <is>
          <t>Apply vendor patches</t>
        </is>
      </c>
      <c r="P852" s="191" t="inlineStr">
        <is>
          <t>See CVE details</t>
        </is>
      </c>
      <c r="Q852" s="191" t="inlineStr">
        <is>
          <t>P4</t>
        </is>
      </c>
      <c r="R852" s="191" t="inlineStr">
        <is>
          <t>📅 Schedule patch deployment within 30 days | 🔍 Monitor for exploitation attempts</t>
        </is>
      </c>
      <c r="S852" s="191" t="inlineStr">
        <is>
          <t>CVE - IP enrichment n/a</t>
        </is>
      </c>
      <c r="T852" s="191" t="n">
        <v>0</v>
      </c>
      <c r="U852" s="191" t="n">
        <v>0</v>
      </c>
      <c r="V852" s="191" t="inlineStr">
        <is>
          <t>T1190:Exploit Public-Facing Application</t>
        </is>
      </c>
      <c r="W852" s="191" t="n">
        <v>1</v>
      </c>
      <c r="X852" s="191" t="inlineStr">
        <is>
          <t>LOW (40%)</t>
        </is>
      </c>
      <c r="Y852" s="191" t="inlineStr">
        <is>
          <t>UNLIKELY</t>
        </is>
      </c>
      <c r="Z852" s="191" t="inlineStr">
        <is>
          <t>CHECK_VENDOR</t>
        </is>
      </c>
      <c r="AA852" s="192" t="inlineStr">
        <is>
          <t>https://nvd.nist.gov/vuln/detail/CVE-2025-68021</t>
        </is>
      </c>
      <c r="AB852" s="191" t="inlineStr">
        <is>
          <t>NONE</t>
        </is>
      </c>
      <c r="AC852" s="191" t="n">
        <v>0</v>
      </c>
      <c r="AD852" s="191" t="n"/>
    </row>
    <row r="853">
      <c r="A853" s="189" t="inlineStr">
        <is>
          <t>CVE</t>
        </is>
      </c>
      <c r="B853" s="189" t="inlineStr">
        <is>
          <t>CVE-2025-68022</t>
        </is>
      </c>
      <c r="C853" s="189" t="inlineStr">
        <is>
          <t>Missing Authorization vulnerability in soporteblue Plugin BlueX for WooCommerce bluex-for-woocommerce allows Exploiting Incorrectly Configured Access Control Security Levels.This issue affects Plugin BlueX for WooCommerce: from n/a through &lt;= 3.1.6.</t>
        </is>
      </c>
      <c r="D853" s="189" t="n">
        <v>8.5</v>
      </c>
      <c r="E853" s="189" t="inlineStr">
        <is>
          <t>HIGH</t>
        </is>
      </c>
      <c r="F853" s="189" t="n">
        <v>2</v>
      </c>
      <c r="G853" s="189" t="n">
        <v>3</v>
      </c>
      <c r="H853" s="189" t="inlineStr">
        <is>
          <t>HIGH</t>
        </is>
      </c>
      <c r="I853" s="189" t="n">
        <v>14.5</v>
      </c>
      <c r="J853" s="189" t="inlineStr">
        <is>
          <t>NO</t>
        </is>
      </c>
      <c r="K853" s="190" t="inlineStr">
        <is>
          <t>https://nvd.nist.gov/vuln/detail/CVE-2025-68022</t>
        </is>
      </c>
      <c r="L853" s="189" t="inlineStr">
        <is>
          <t>2026-02-23 23:48</t>
        </is>
      </c>
      <c r="M853" s="189" t="inlineStr">
        <is>
          <t>CHECK_VENDOR</t>
        </is>
      </c>
      <c r="N853" s="189" t="inlineStr">
        <is>
          <t>See NVD references</t>
        </is>
      </c>
      <c r="O853" s="189" t="inlineStr">
        <is>
          <t>Apply vendor patches</t>
        </is>
      </c>
      <c r="P853" s="189" t="inlineStr">
        <is>
          <t>See CVE details</t>
        </is>
      </c>
      <c r="Q853" s="189" t="inlineStr">
        <is>
          <t>P3</t>
        </is>
      </c>
      <c r="R853" s="189" t="inlineStr">
        <is>
          <t>🚨 URGENT: Apply vendor patches immediately | 🔒 Isolate affected systems if patch unavailable | 🛡️ Enable additional monitoring/IDS rules</t>
        </is>
      </c>
      <c r="S853" s="189" t="inlineStr">
        <is>
          <t>CVE - IP enrichment n/a</t>
        </is>
      </c>
      <c r="T853" s="189" t="n">
        <v>0</v>
      </c>
      <c r="U853" s="189" t="n">
        <v>0</v>
      </c>
      <c r="V853" s="189" t="inlineStr">
        <is>
          <t>T1190:Exploit Public-Facing Application</t>
        </is>
      </c>
      <c r="W853" s="189" t="n">
        <v>1</v>
      </c>
      <c r="X853" s="189" t="inlineStr">
        <is>
          <t>LOW (40%)</t>
        </is>
      </c>
      <c r="Y853" s="189" t="inlineStr">
        <is>
          <t>UNLIKELY</t>
        </is>
      </c>
      <c r="Z853" s="189" t="inlineStr">
        <is>
          <t>CHECK_VENDOR</t>
        </is>
      </c>
      <c r="AA853" s="190" t="inlineStr">
        <is>
          <t>https://nvd.nist.gov/vuln/detail/CVE-2025-68022</t>
        </is>
      </c>
      <c r="AB853" s="189" t="inlineStr">
        <is>
          <t>NONE</t>
        </is>
      </c>
      <c r="AC853" s="189" t="n">
        <v>0</v>
      </c>
      <c r="AD853" s="189" t="n"/>
    </row>
    <row r="854">
      <c r="A854" s="189" t="inlineStr">
        <is>
          <t>CVE</t>
        </is>
      </c>
      <c r="B854" s="189" t="inlineStr">
        <is>
          <t>CVE-2025-68023</t>
        </is>
      </c>
      <c r="C854" s="189" t="inlineStr">
        <is>
          <t>Missing Authorization vulnerability in Addonify Addonify &amp;#8211; Compare Products For WooCommerce addonify-compare-products allows Exploiting Incorrectly Configured Access Control Security Levels.This issue affects Addonify &amp;#8211; Compare Products For WooCommerce: from n/a through &lt;= 1.1.17.</t>
        </is>
      </c>
      <c r="D854" s="189" t="n">
        <v>8.5</v>
      </c>
      <c r="E854" s="189" t="inlineStr">
        <is>
          <t>HIGH</t>
        </is>
      </c>
      <c r="F854" s="189" t="n">
        <v>2</v>
      </c>
      <c r="G854" s="189" t="n">
        <v>3</v>
      </c>
      <c r="H854" s="189" t="inlineStr">
        <is>
          <t>HIGH</t>
        </is>
      </c>
      <c r="I854" s="189" t="n">
        <v>14.5</v>
      </c>
      <c r="J854" s="189" t="inlineStr">
        <is>
          <t>NO</t>
        </is>
      </c>
      <c r="K854" s="190" t="inlineStr">
        <is>
          <t>https://nvd.nist.gov/vuln/detail/CVE-2025-68023</t>
        </is>
      </c>
      <c r="L854" s="189" t="inlineStr">
        <is>
          <t>2026-02-23 23:48</t>
        </is>
      </c>
      <c r="M854" s="189" t="inlineStr">
        <is>
          <t>CHECK_VENDOR</t>
        </is>
      </c>
      <c r="N854" s="189" t="inlineStr">
        <is>
          <t>See NVD references</t>
        </is>
      </c>
      <c r="O854" s="189" t="inlineStr">
        <is>
          <t>Apply vendor patches</t>
        </is>
      </c>
      <c r="P854" s="189" t="inlineStr">
        <is>
          <t>See CVE details</t>
        </is>
      </c>
      <c r="Q854" s="189" t="inlineStr">
        <is>
          <t>P3</t>
        </is>
      </c>
      <c r="R854" s="189" t="inlineStr">
        <is>
          <t>🚨 URGENT: Apply vendor patches immediately | 🔒 Isolate affected systems if patch unavailable | 🛡️ Enable additional monitoring/IDS rules</t>
        </is>
      </c>
      <c r="S854" s="189" t="inlineStr">
        <is>
          <t>CVE - IP enrichment n/a</t>
        </is>
      </c>
      <c r="T854" s="189" t="n">
        <v>0</v>
      </c>
      <c r="U854" s="189" t="n">
        <v>0</v>
      </c>
      <c r="V854" s="189" t="inlineStr">
        <is>
          <t>T1190:Exploit Public-Facing Application</t>
        </is>
      </c>
      <c r="W854" s="189" t="n">
        <v>1</v>
      </c>
      <c r="X854" s="189" t="inlineStr">
        <is>
          <t>LOW (40%)</t>
        </is>
      </c>
      <c r="Y854" s="189" t="inlineStr">
        <is>
          <t>UNLIKELY</t>
        </is>
      </c>
      <c r="Z854" s="189" t="inlineStr">
        <is>
          <t>CHECK_VENDOR</t>
        </is>
      </c>
      <c r="AA854" s="190" t="inlineStr">
        <is>
          <t>https://nvd.nist.gov/vuln/detail/CVE-2025-68023</t>
        </is>
      </c>
      <c r="AB854" s="189" t="inlineStr">
        <is>
          <t>NONE</t>
        </is>
      </c>
      <c r="AC854" s="189" t="n">
        <v>0</v>
      </c>
      <c r="AD854" s="189" t="n"/>
    </row>
    <row r="855">
      <c r="A855" s="189" t="inlineStr">
        <is>
          <t>CVE</t>
        </is>
      </c>
      <c r="B855" s="189" t="inlineStr">
        <is>
          <t>CVE-2025-68024</t>
        </is>
      </c>
      <c r="C855" s="189" t="inlineStr">
        <is>
          <t>Missing Authorization vulnerability in Addonify Addonify – WooCommerce Wishlist addonify-wishlist allows Exploiting Incorrectly Configured Access Control Security Levels.This issue affects Addonify – WooCommerce Wishlist: from n/a through &lt;= 2.0.15.</t>
        </is>
      </c>
      <c r="D855" s="189" t="n">
        <v>8.5</v>
      </c>
      <c r="E855" s="189" t="inlineStr">
        <is>
          <t>HIGH</t>
        </is>
      </c>
      <c r="F855" s="189" t="n">
        <v>2</v>
      </c>
      <c r="G855" s="189" t="n">
        <v>3</v>
      </c>
      <c r="H855" s="189" t="inlineStr">
        <is>
          <t>HIGH</t>
        </is>
      </c>
      <c r="I855" s="189" t="n">
        <v>14.5</v>
      </c>
      <c r="J855" s="189" t="inlineStr">
        <is>
          <t>NO</t>
        </is>
      </c>
      <c r="K855" s="190" t="inlineStr">
        <is>
          <t>https://nvd.nist.gov/vuln/detail/CVE-2025-68024</t>
        </is>
      </c>
      <c r="L855" s="189" t="inlineStr">
        <is>
          <t>2026-02-23 23:48</t>
        </is>
      </c>
      <c r="M855" s="189" t="inlineStr">
        <is>
          <t>CHECK_VENDOR</t>
        </is>
      </c>
      <c r="N855" s="189" t="inlineStr">
        <is>
          <t>See NVD references</t>
        </is>
      </c>
      <c r="O855" s="189" t="inlineStr">
        <is>
          <t>Apply vendor patches</t>
        </is>
      </c>
      <c r="P855" s="189" t="inlineStr">
        <is>
          <t>See CVE details</t>
        </is>
      </c>
      <c r="Q855" s="189" t="inlineStr">
        <is>
          <t>P3</t>
        </is>
      </c>
      <c r="R855" s="189" t="inlineStr">
        <is>
          <t>🚨 URGENT: Apply vendor patches immediately | 🔒 Isolate affected systems if patch unavailable | 🛡️ Enable additional monitoring/IDS rules</t>
        </is>
      </c>
      <c r="S855" s="189" t="inlineStr">
        <is>
          <t>CVE - IP enrichment n/a</t>
        </is>
      </c>
      <c r="T855" s="189" t="n">
        <v>0</v>
      </c>
      <c r="U855" s="189" t="n">
        <v>0</v>
      </c>
      <c r="V855" s="189" t="inlineStr">
        <is>
          <t>T1190:Exploit Public-Facing Application</t>
        </is>
      </c>
      <c r="W855" s="189" t="n">
        <v>1</v>
      </c>
      <c r="X855" s="189" t="inlineStr">
        <is>
          <t>LOW (40%)</t>
        </is>
      </c>
      <c r="Y855" s="189" t="inlineStr">
        <is>
          <t>UNLIKELY</t>
        </is>
      </c>
      <c r="Z855" s="189" t="inlineStr">
        <is>
          <t>CHECK_VENDOR</t>
        </is>
      </c>
      <c r="AA855" s="190" t="inlineStr">
        <is>
          <t>https://nvd.nist.gov/vuln/detail/CVE-2025-68024</t>
        </is>
      </c>
      <c r="AB855" s="189" t="inlineStr">
        <is>
          <t>NONE</t>
        </is>
      </c>
      <c r="AC855" s="189" t="n">
        <v>0</v>
      </c>
      <c r="AD855" s="189" t="n"/>
    </row>
    <row r="856">
      <c r="A856" s="189" t="inlineStr">
        <is>
          <t>CVE</t>
        </is>
      </c>
      <c r="B856" s="189" t="inlineStr">
        <is>
          <t>CVE-2025-68025</t>
        </is>
      </c>
      <c r="C856" s="189" t="inlineStr">
        <is>
          <t>Missing Authorization vulnerability in Addonify Addonify Floating Cart For WooCommerce addonify-floating-cart allows Exploiting Incorrectly Configured Access Control Security Levels.This issue affects Addonify Floating Cart For WooCommerce: from n/a through &lt;= 1.2.17.</t>
        </is>
      </c>
      <c r="D856" s="189" t="n">
        <v>8.5</v>
      </c>
      <c r="E856" s="189" t="inlineStr">
        <is>
          <t>HIGH</t>
        </is>
      </c>
      <c r="F856" s="189" t="n">
        <v>2</v>
      </c>
      <c r="G856" s="189" t="n">
        <v>3</v>
      </c>
      <c r="H856" s="189" t="inlineStr">
        <is>
          <t>HIGH</t>
        </is>
      </c>
      <c r="I856" s="189" t="n">
        <v>14.5</v>
      </c>
      <c r="J856" s="189" t="inlineStr">
        <is>
          <t>NO</t>
        </is>
      </c>
      <c r="K856" s="190" t="inlineStr">
        <is>
          <t>https://nvd.nist.gov/vuln/detail/CVE-2025-68025</t>
        </is>
      </c>
      <c r="L856" s="189" t="inlineStr">
        <is>
          <t>2026-02-23 23:48</t>
        </is>
      </c>
      <c r="M856" s="189" t="inlineStr">
        <is>
          <t>CHECK_VENDOR</t>
        </is>
      </c>
      <c r="N856" s="189" t="inlineStr">
        <is>
          <t>See NVD references</t>
        </is>
      </c>
      <c r="O856" s="189" t="inlineStr">
        <is>
          <t>Apply vendor patches</t>
        </is>
      </c>
      <c r="P856" s="189" t="inlineStr">
        <is>
          <t>See CVE details</t>
        </is>
      </c>
      <c r="Q856" s="189" t="inlineStr">
        <is>
          <t>P3</t>
        </is>
      </c>
      <c r="R856" s="189" t="inlineStr">
        <is>
          <t>🚨 URGENT: Apply vendor patches immediately | 🔒 Isolate affected systems if patch unavailable | 🛡️ Enable additional monitoring/IDS rules</t>
        </is>
      </c>
      <c r="S856" s="189" t="inlineStr">
        <is>
          <t>CVE - IP enrichment n/a</t>
        </is>
      </c>
      <c r="T856" s="189" t="n">
        <v>0</v>
      </c>
      <c r="U856" s="189" t="n">
        <v>0</v>
      </c>
      <c r="V856" s="189" t="inlineStr">
        <is>
          <t>T1190:Exploit Public-Facing Application</t>
        </is>
      </c>
      <c r="W856" s="189" t="n">
        <v>1</v>
      </c>
      <c r="X856" s="189" t="inlineStr">
        <is>
          <t>LOW (40%)</t>
        </is>
      </c>
      <c r="Y856" s="189" t="inlineStr">
        <is>
          <t>UNLIKELY</t>
        </is>
      </c>
      <c r="Z856" s="189" t="inlineStr">
        <is>
          <t>CHECK_VENDOR</t>
        </is>
      </c>
      <c r="AA856" s="190" t="inlineStr">
        <is>
          <t>https://nvd.nist.gov/vuln/detail/CVE-2025-68025</t>
        </is>
      </c>
      <c r="AB856" s="189" t="inlineStr">
        <is>
          <t>NONE</t>
        </is>
      </c>
      <c r="AC856" s="189" t="n">
        <v>0</v>
      </c>
      <c r="AD856" s="189" t="n"/>
    </row>
    <row r="857">
      <c r="A857" s="191" t="inlineStr">
        <is>
          <t>CVE</t>
        </is>
      </c>
      <c r="B857" s="191" t="inlineStr">
        <is>
          <t>CVE-2025-68026</t>
        </is>
      </c>
      <c r="C857" s="191" t="inlineStr">
        <is>
          <t>Missing Authorization vulnerability in Niaj Morshed LC Wizard ghl-wizard allows Exploiting Incorrectly Configured Access Control Security Levels.This issue affects LC Wizard: from n/a through &lt;= 2.1.1.</t>
        </is>
      </c>
      <c r="D857" s="191" t="n">
        <v>5</v>
      </c>
      <c r="E857" s="191" t="inlineStr">
        <is>
          <t>MEDIUM</t>
        </is>
      </c>
      <c r="F857" s="191" t="n">
        <v>2</v>
      </c>
      <c r="G857" s="191" t="n">
        <v>2</v>
      </c>
      <c r="H857" s="191" t="inlineStr">
        <is>
          <t>MEDIUM</t>
        </is>
      </c>
      <c r="I857" s="191" t="n">
        <v>9</v>
      </c>
      <c r="J857" s="191" t="inlineStr">
        <is>
          <t>NO</t>
        </is>
      </c>
      <c r="K857" s="192" t="inlineStr">
        <is>
          <t>https://nvd.nist.gov/vuln/detail/CVE-2025-68026</t>
        </is>
      </c>
      <c r="L857" s="191" t="inlineStr">
        <is>
          <t>2026-02-23 23:48</t>
        </is>
      </c>
      <c r="M857" s="191" t="inlineStr">
        <is>
          <t>CHECK_VENDOR</t>
        </is>
      </c>
      <c r="N857" s="191" t="inlineStr">
        <is>
          <t>See NVD references</t>
        </is>
      </c>
      <c r="O857" s="191" t="inlineStr">
        <is>
          <t>Apply vendor patches</t>
        </is>
      </c>
      <c r="P857" s="191" t="inlineStr">
        <is>
          <t>See CVE details</t>
        </is>
      </c>
      <c r="Q857" s="191" t="inlineStr">
        <is>
          <t>P4</t>
        </is>
      </c>
      <c r="R857" s="191" t="inlineStr">
        <is>
          <t>📅 Schedule patch deployment within 30 days | 🔍 Monitor for exploitation attempts</t>
        </is>
      </c>
      <c r="S857" s="191" t="inlineStr">
        <is>
          <t>CVE - IP enrichment n/a</t>
        </is>
      </c>
      <c r="T857" s="191" t="n">
        <v>0.0002</v>
      </c>
      <c r="U857" s="191" t="n">
        <v>0.0381</v>
      </c>
      <c r="V857" s="191" t="inlineStr">
        <is>
          <t>T1190:Exploit Public-Facing Application</t>
        </is>
      </c>
      <c r="W857" s="191" t="n">
        <v>1</v>
      </c>
      <c r="X857" s="191" t="inlineStr">
        <is>
          <t>LOW (40%)</t>
        </is>
      </c>
      <c r="Y857" s="191" t="inlineStr">
        <is>
          <t>UNLIKELY</t>
        </is>
      </c>
      <c r="Z857" s="191" t="inlineStr">
        <is>
          <t>CHECK_VENDOR</t>
        </is>
      </c>
      <c r="AA857" s="192" t="inlineStr">
        <is>
          <t>https://nvd.nist.gov/vuln/detail/CVE-2025-68026</t>
        </is>
      </c>
      <c r="AB857" s="191" t="inlineStr">
        <is>
          <t>NONE</t>
        </is>
      </c>
      <c r="AC857" s="191" t="n">
        <v>0</v>
      </c>
      <c r="AD857" s="191" t="n"/>
    </row>
    <row r="858">
      <c r="A858" s="191" t="inlineStr">
        <is>
          <t>CVE</t>
        </is>
      </c>
      <c r="B858" s="191" t="inlineStr">
        <is>
          <t>CVE-2025-68028</t>
        </is>
      </c>
      <c r="C858" s="191" t="inlineStr">
        <is>
          <t>Missing Authorization vulnerability in Passionate Brains GA4WP: Google Analytics for WordPress ga-for-wp allows Exploiting Incorrectly Configured Access Control Security Levels.This issue affects GA4WP: Google Analytics for WordPress: from n/a through &lt;= 2.10.0.</t>
        </is>
      </c>
      <c r="D858" s="191" t="n">
        <v>5</v>
      </c>
      <c r="E858" s="191" t="inlineStr">
        <is>
          <t>MEDIUM</t>
        </is>
      </c>
      <c r="F858" s="191" t="n">
        <v>2</v>
      </c>
      <c r="G858" s="191" t="n">
        <v>2</v>
      </c>
      <c r="H858" s="191" t="inlineStr">
        <is>
          <t>MEDIUM</t>
        </is>
      </c>
      <c r="I858" s="191" t="n">
        <v>9</v>
      </c>
      <c r="J858" s="191" t="inlineStr">
        <is>
          <t>NO</t>
        </is>
      </c>
      <c r="K858" s="192" t="inlineStr">
        <is>
          <t>https://nvd.nist.gov/vuln/detail/CVE-2025-68028</t>
        </is>
      </c>
      <c r="L858" s="191" t="inlineStr">
        <is>
          <t>2026-02-23 23:48</t>
        </is>
      </c>
      <c r="M858" s="191" t="inlineStr">
        <is>
          <t>CHECK_VENDOR</t>
        </is>
      </c>
      <c r="N858" s="191" t="inlineStr">
        <is>
          <t>See NVD references</t>
        </is>
      </c>
      <c r="O858" s="191" t="inlineStr">
        <is>
          <t>Apply vendor patches</t>
        </is>
      </c>
      <c r="P858" s="191" t="inlineStr">
        <is>
          <t>See CVE details</t>
        </is>
      </c>
      <c r="Q858" s="191" t="inlineStr">
        <is>
          <t>P4</t>
        </is>
      </c>
      <c r="R858" s="191" t="inlineStr">
        <is>
          <t>📅 Schedule patch deployment within 30 days | 🔍 Monitor for exploitation attempts</t>
        </is>
      </c>
      <c r="S858" s="191" t="inlineStr">
        <is>
          <t>CVE - IP enrichment n/a</t>
        </is>
      </c>
      <c r="T858" s="191" t="n">
        <v>0.0002</v>
      </c>
      <c r="U858" s="191" t="n">
        <v>0.0381</v>
      </c>
      <c r="V858" s="191" t="inlineStr">
        <is>
          <t>T1190:Exploit Public-Facing Application</t>
        </is>
      </c>
      <c r="W858" s="191" t="n">
        <v>1</v>
      </c>
      <c r="X858" s="191" t="inlineStr">
        <is>
          <t>LOW (40%)</t>
        </is>
      </c>
      <c r="Y858" s="191" t="inlineStr">
        <is>
          <t>UNLIKELY</t>
        </is>
      </c>
      <c r="Z858" s="191" t="inlineStr">
        <is>
          <t>CHECK_VENDOR</t>
        </is>
      </c>
      <c r="AA858" s="192" t="inlineStr">
        <is>
          <t>https://nvd.nist.gov/vuln/detail/CVE-2025-68028</t>
        </is>
      </c>
      <c r="AB858" s="191" t="inlineStr">
        <is>
          <t>NONE</t>
        </is>
      </c>
      <c r="AC858" s="191" t="n">
        <v>0</v>
      </c>
      <c r="AD858" s="191" t="n"/>
    </row>
    <row r="859">
      <c r="A859" s="191" t="inlineStr">
        <is>
          <t>CVE</t>
        </is>
      </c>
      <c r="B859" s="191" t="inlineStr">
        <is>
          <t>CVE-2025-68031</t>
        </is>
      </c>
      <c r="C859" s="191" t="inlineStr">
        <is>
          <t>Improper Neutralization of Input During Web Page Generation ('Cross-site Scripting') vulnerability in faraz sms افزونه پیامک حرفه ای فراز اس ام اس farazsms allows Reflected XSS.This issue affects افزونه پیامک حرفه ای فراز اس ام اس: from n/a through &lt;= 2.7.3.</t>
        </is>
      </c>
      <c r="D859" s="191" t="n">
        <v>5</v>
      </c>
      <c r="E859" s="191" t="inlineStr">
        <is>
          <t>MEDIUM</t>
        </is>
      </c>
      <c r="F859" s="191" t="n">
        <v>2</v>
      </c>
      <c r="G859" s="191" t="n">
        <v>2</v>
      </c>
      <c r="H859" s="191" t="inlineStr">
        <is>
          <t>MEDIUM</t>
        </is>
      </c>
      <c r="I859" s="191" t="n">
        <v>9</v>
      </c>
      <c r="J859" s="191" t="inlineStr">
        <is>
          <t>NO</t>
        </is>
      </c>
      <c r="K859" s="192" t="inlineStr">
        <is>
          <t>https://nvd.nist.gov/vuln/detail/CVE-2025-68031</t>
        </is>
      </c>
      <c r="L859" s="191" t="inlineStr">
        <is>
          <t>2026-02-23 23:48</t>
        </is>
      </c>
      <c r="M859" s="191" t="inlineStr">
        <is>
          <t>CHECK_VENDOR</t>
        </is>
      </c>
      <c r="N859" s="191" t="inlineStr">
        <is>
          <t>See NVD references</t>
        </is>
      </c>
      <c r="O859" s="191" t="inlineStr">
        <is>
          <t>Apply vendor patches</t>
        </is>
      </c>
      <c r="P859" s="191" t="inlineStr">
        <is>
          <t>See CVE details</t>
        </is>
      </c>
      <c r="Q859" s="191" t="inlineStr">
        <is>
          <t>P4</t>
        </is>
      </c>
      <c r="R859" s="191" t="inlineStr">
        <is>
          <t>📅 Schedule patch deployment within 30 days | 🔍 Monitor for exploitation attempts</t>
        </is>
      </c>
      <c r="S859" s="191" t="inlineStr">
        <is>
          <t>CVE - IP enrichment n/a</t>
        </is>
      </c>
      <c r="T859" s="191" t="n">
        <v>0</v>
      </c>
      <c r="U859" s="191" t="n">
        <v>0</v>
      </c>
      <c r="V859" s="191" t="inlineStr">
        <is>
          <t>T1189:Drive-by Compromise</t>
        </is>
      </c>
      <c r="W859" s="191" t="n">
        <v>1</v>
      </c>
      <c r="X859" s="191" t="inlineStr">
        <is>
          <t>LOW (40%)</t>
        </is>
      </c>
      <c r="Y859" s="191" t="inlineStr">
        <is>
          <t>UNLIKELY</t>
        </is>
      </c>
      <c r="Z859" s="191" t="inlineStr">
        <is>
          <t>CHECK_VENDOR</t>
        </is>
      </c>
      <c r="AA859" s="192" t="inlineStr">
        <is>
          <t>https://nvd.nist.gov/vuln/detail/CVE-2025-68031</t>
        </is>
      </c>
      <c r="AB859" s="191" t="inlineStr">
        <is>
          <t>NONE</t>
        </is>
      </c>
      <c r="AC859" s="191" t="n">
        <v>0</v>
      </c>
      <c r="AD859" s="191" t="n"/>
    </row>
    <row r="860">
      <c r="A860" s="191" t="inlineStr">
        <is>
          <t>CVE</t>
        </is>
      </c>
      <c r="B860" s="191" t="inlineStr">
        <is>
          <t>CVE-2025-68032</t>
        </is>
      </c>
      <c r="C860" s="191" t="inlineStr">
        <is>
          <t>Missing Authorization vulnerability in Passionate Brains Advanced WC Analytics advance-wc-analytics allows Exploiting Incorrectly Configured Access Control Security Levels.This issue affects Advanced WC Analytics: from n/a through &lt;= 3.19.0.</t>
        </is>
      </c>
      <c r="D860" s="191" t="n">
        <v>5</v>
      </c>
      <c r="E860" s="191" t="inlineStr">
        <is>
          <t>MEDIUM</t>
        </is>
      </c>
      <c r="F860" s="191" t="n">
        <v>2</v>
      </c>
      <c r="G860" s="191" t="n">
        <v>2</v>
      </c>
      <c r="H860" s="191" t="inlineStr">
        <is>
          <t>MEDIUM</t>
        </is>
      </c>
      <c r="I860" s="191" t="n">
        <v>9</v>
      </c>
      <c r="J860" s="191" t="inlineStr">
        <is>
          <t>NO</t>
        </is>
      </c>
      <c r="K860" s="192" t="inlineStr">
        <is>
          <t>https://nvd.nist.gov/vuln/detail/CVE-2025-68032</t>
        </is>
      </c>
      <c r="L860" s="191" t="inlineStr">
        <is>
          <t>2026-02-23 23:48</t>
        </is>
      </c>
      <c r="M860" s="191" t="inlineStr">
        <is>
          <t>CHECK_VENDOR</t>
        </is>
      </c>
      <c r="N860" s="191" t="inlineStr">
        <is>
          <t>See NVD references</t>
        </is>
      </c>
      <c r="O860" s="191" t="inlineStr">
        <is>
          <t>Apply vendor patches</t>
        </is>
      </c>
      <c r="P860" s="191" t="inlineStr">
        <is>
          <t>See CVE details</t>
        </is>
      </c>
      <c r="Q860" s="191" t="inlineStr">
        <is>
          <t>P4</t>
        </is>
      </c>
      <c r="R860" s="191" t="inlineStr">
        <is>
          <t>📅 Schedule patch deployment within 30 days | 🔍 Monitor for exploitation attempts</t>
        </is>
      </c>
      <c r="S860" s="191" t="inlineStr">
        <is>
          <t>CVE - IP enrichment n/a</t>
        </is>
      </c>
      <c r="T860" s="191" t="n">
        <v>0</v>
      </c>
      <c r="U860" s="191" t="n">
        <v>0</v>
      </c>
      <c r="V860" s="191" t="inlineStr">
        <is>
          <t>T1190:Exploit Public-Facing Application</t>
        </is>
      </c>
      <c r="W860" s="191" t="n">
        <v>1</v>
      </c>
      <c r="X860" s="191" t="inlineStr">
        <is>
          <t>LOW (40%)</t>
        </is>
      </c>
      <c r="Y860" s="191" t="inlineStr">
        <is>
          <t>UNLIKELY</t>
        </is>
      </c>
      <c r="Z860" s="191" t="inlineStr">
        <is>
          <t>CHECK_VENDOR</t>
        </is>
      </c>
      <c r="AA860" s="192" t="inlineStr">
        <is>
          <t>https://nvd.nist.gov/vuln/detail/CVE-2025-68032</t>
        </is>
      </c>
      <c r="AB860" s="191" t="inlineStr">
        <is>
          <t>NONE</t>
        </is>
      </c>
      <c r="AC860" s="191" t="n">
        <v>0</v>
      </c>
      <c r="AD860" s="191" t="n"/>
    </row>
    <row r="861">
      <c r="A861" s="191" t="inlineStr">
        <is>
          <t>CVE</t>
        </is>
      </c>
      <c r="B861" s="191" t="inlineStr">
        <is>
          <t>CVE-2025-68037</t>
        </is>
      </c>
      <c r="C861" s="191" t="inlineStr">
        <is>
          <t>Improper Neutralization of Input During Web Page Generation ('Cross-site Scripting') vulnerability in Atlas Gondal Export Media URLs export-media-urls allows Reflected XSS.This issue affects Export Media URLs: from n/a through &lt;= 2.2.</t>
        </is>
      </c>
      <c r="D861" s="191" t="n">
        <v>5</v>
      </c>
      <c r="E861" s="191" t="inlineStr">
        <is>
          <t>MEDIUM</t>
        </is>
      </c>
      <c r="F861" s="191" t="n">
        <v>2</v>
      </c>
      <c r="G861" s="191" t="n">
        <v>2</v>
      </c>
      <c r="H861" s="191" t="inlineStr">
        <is>
          <t>MEDIUM</t>
        </is>
      </c>
      <c r="I861" s="191" t="n">
        <v>9</v>
      </c>
      <c r="J861" s="191" t="inlineStr">
        <is>
          <t>NO</t>
        </is>
      </c>
      <c r="K861" s="192" t="inlineStr">
        <is>
          <t>https://nvd.nist.gov/vuln/detail/CVE-2025-68037</t>
        </is>
      </c>
      <c r="L861" s="191" t="inlineStr">
        <is>
          <t>2026-02-23 23:48</t>
        </is>
      </c>
      <c r="M861" s="191" t="inlineStr">
        <is>
          <t>CHECK_VENDOR</t>
        </is>
      </c>
      <c r="N861" s="191" t="inlineStr">
        <is>
          <t>See NVD references</t>
        </is>
      </c>
      <c r="O861" s="191" t="inlineStr">
        <is>
          <t>Apply vendor patches</t>
        </is>
      </c>
      <c r="P861" s="191" t="inlineStr">
        <is>
          <t>See CVE details</t>
        </is>
      </c>
      <c r="Q861" s="191" t="inlineStr">
        <is>
          <t>P4</t>
        </is>
      </c>
      <c r="R861" s="191" t="inlineStr">
        <is>
          <t>📅 Schedule patch deployment within 30 days | 🔍 Monitor for exploitation attempts</t>
        </is>
      </c>
      <c r="S861" s="191" t="inlineStr">
        <is>
          <t>CVE - IP enrichment n/a</t>
        </is>
      </c>
      <c r="T861" s="191" t="n">
        <v>0</v>
      </c>
      <c r="U861" s="191" t="n">
        <v>0</v>
      </c>
      <c r="V861" s="191" t="inlineStr">
        <is>
          <t>T1189:Drive-by Compromise</t>
        </is>
      </c>
      <c r="W861" s="191" t="n">
        <v>1</v>
      </c>
      <c r="X861" s="191" t="inlineStr">
        <is>
          <t>LOW (40%)</t>
        </is>
      </c>
      <c r="Y861" s="191" t="inlineStr">
        <is>
          <t>UNLIKELY</t>
        </is>
      </c>
      <c r="Z861" s="191" t="inlineStr">
        <is>
          <t>CHECK_VENDOR</t>
        </is>
      </c>
      <c r="AA861" s="192" t="inlineStr">
        <is>
          <t>https://nvd.nist.gov/vuln/detail/CVE-2025-68037</t>
        </is>
      </c>
      <c r="AB861" s="191" t="inlineStr">
        <is>
          <t>NONE</t>
        </is>
      </c>
      <c r="AC861" s="191" t="n">
        <v>0</v>
      </c>
      <c r="AD861" s="191" t="n"/>
    </row>
    <row r="862">
      <c r="A862" s="191" t="inlineStr">
        <is>
          <t>CVE</t>
        </is>
      </c>
      <c r="B862" s="191" t="inlineStr">
        <is>
          <t>CVE-2025-68042</t>
        </is>
      </c>
      <c r="C862" s="191" t="inlineStr">
        <is>
          <t>Missing Authorization vulnerability in Travelpayouts Travelpayouts travelpayouts allows Exploiting Incorrectly Configured Access Control Security Levels.This issue affects Travelpayouts: from n/a through &lt;= 1.2.1.</t>
        </is>
      </c>
      <c r="D862" s="191" t="n">
        <v>5</v>
      </c>
      <c r="E862" s="191" t="inlineStr">
        <is>
          <t>MEDIUM</t>
        </is>
      </c>
      <c r="F862" s="191" t="n">
        <v>2</v>
      </c>
      <c r="G862" s="191" t="n">
        <v>2</v>
      </c>
      <c r="H862" s="191" t="inlineStr">
        <is>
          <t>MEDIUM</t>
        </is>
      </c>
      <c r="I862" s="191" t="n">
        <v>9</v>
      </c>
      <c r="J862" s="191" t="inlineStr">
        <is>
          <t>NO</t>
        </is>
      </c>
      <c r="K862" s="192" t="inlineStr">
        <is>
          <t>https://nvd.nist.gov/vuln/detail/CVE-2025-68042</t>
        </is>
      </c>
      <c r="L862" s="191" t="inlineStr">
        <is>
          <t>2026-02-23 23:48</t>
        </is>
      </c>
      <c r="M862" s="191" t="inlineStr">
        <is>
          <t>CHECK_VENDOR</t>
        </is>
      </c>
      <c r="N862" s="191" t="inlineStr">
        <is>
          <t>See NVD references</t>
        </is>
      </c>
      <c r="O862" s="191" t="inlineStr">
        <is>
          <t>Apply vendor patches</t>
        </is>
      </c>
      <c r="P862" s="191" t="inlineStr">
        <is>
          <t>See CVE details</t>
        </is>
      </c>
      <c r="Q862" s="191" t="inlineStr">
        <is>
          <t>P4</t>
        </is>
      </c>
      <c r="R862" s="191" t="inlineStr">
        <is>
          <t>📅 Schedule patch deployment within 30 days | 🔍 Monitor for exploitation attempts</t>
        </is>
      </c>
      <c r="S862" s="191" t="inlineStr">
        <is>
          <t>CVE - IP enrichment n/a</t>
        </is>
      </c>
      <c r="T862" s="191" t="n">
        <v>0</v>
      </c>
      <c r="U862" s="191" t="n">
        <v>0</v>
      </c>
      <c r="V862" s="191" t="inlineStr">
        <is>
          <t>T1190:Exploit Public-Facing Application</t>
        </is>
      </c>
      <c r="W862" s="191" t="n">
        <v>1</v>
      </c>
      <c r="X862" s="191" t="inlineStr">
        <is>
          <t>LOW (40%)</t>
        </is>
      </c>
      <c r="Y862" s="191" t="inlineStr">
        <is>
          <t>UNLIKELY</t>
        </is>
      </c>
      <c r="Z862" s="191" t="inlineStr">
        <is>
          <t>CHECK_VENDOR</t>
        </is>
      </c>
      <c r="AA862" s="192" t="inlineStr">
        <is>
          <t>https://nvd.nist.gov/vuln/detail/CVE-2025-68042</t>
        </is>
      </c>
      <c r="AB862" s="191" t="inlineStr">
        <is>
          <t>NONE</t>
        </is>
      </c>
      <c r="AC862" s="191" t="n">
        <v>0</v>
      </c>
      <c r="AD862" s="191" t="n"/>
    </row>
    <row r="863">
      <c r="A863" s="191" t="inlineStr">
        <is>
          <t>CVE</t>
        </is>
      </c>
      <c r="B863" s="191" t="inlineStr">
        <is>
          <t>CVE-2025-68043</t>
        </is>
      </c>
      <c r="C863" s="191" t="inlineStr">
        <is>
          <t>Missing Authorization vulnerability in LottieFiles LottieFiles lottiefiles allows Exploiting Incorrectly Configured Access Control Security Levels.This issue affects LottieFiles: from n/a through &lt;= 3.0.0.</t>
        </is>
      </c>
      <c r="D863" s="191" t="n">
        <v>5</v>
      </c>
      <c r="E863" s="191" t="inlineStr">
        <is>
          <t>MEDIUM</t>
        </is>
      </c>
      <c r="F863" s="191" t="n">
        <v>2</v>
      </c>
      <c r="G863" s="191" t="n">
        <v>2</v>
      </c>
      <c r="H863" s="191" t="inlineStr">
        <is>
          <t>MEDIUM</t>
        </is>
      </c>
      <c r="I863" s="191" t="n">
        <v>9</v>
      </c>
      <c r="J863" s="191" t="inlineStr">
        <is>
          <t>NO</t>
        </is>
      </c>
      <c r="K863" s="192" t="inlineStr">
        <is>
          <t>https://nvd.nist.gov/vuln/detail/CVE-2025-68043</t>
        </is>
      </c>
      <c r="L863" s="191" t="inlineStr">
        <is>
          <t>2026-02-23 23:48</t>
        </is>
      </c>
      <c r="M863" s="191" t="inlineStr">
        <is>
          <t>CHECK_VENDOR</t>
        </is>
      </c>
      <c r="N863" s="191" t="inlineStr">
        <is>
          <t>See NVD references</t>
        </is>
      </c>
      <c r="O863" s="191" t="inlineStr">
        <is>
          <t>Apply vendor patches</t>
        </is>
      </c>
      <c r="P863" s="191" t="inlineStr">
        <is>
          <t>See CVE details</t>
        </is>
      </c>
      <c r="Q863" s="191" t="inlineStr">
        <is>
          <t>P4</t>
        </is>
      </c>
      <c r="R863" s="191" t="inlineStr">
        <is>
          <t>📅 Schedule patch deployment within 30 days | 🔍 Monitor for exploitation attempts</t>
        </is>
      </c>
      <c r="S863" s="191" t="inlineStr">
        <is>
          <t>CVE - IP enrichment n/a</t>
        </is>
      </c>
      <c r="T863" s="191" t="n">
        <v>0</v>
      </c>
      <c r="U863" s="191" t="n">
        <v>0</v>
      </c>
      <c r="V863" s="191" t="inlineStr">
        <is>
          <t>T1190:Exploit Public-Facing Application</t>
        </is>
      </c>
      <c r="W863" s="191" t="n">
        <v>1</v>
      </c>
      <c r="X863" s="191" t="inlineStr">
        <is>
          <t>LOW (40%)</t>
        </is>
      </c>
      <c r="Y863" s="191" t="inlineStr">
        <is>
          <t>UNLIKELY</t>
        </is>
      </c>
      <c r="Z863" s="191" t="inlineStr">
        <is>
          <t>CHECK_VENDOR</t>
        </is>
      </c>
      <c r="AA863" s="192" t="inlineStr">
        <is>
          <t>https://nvd.nist.gov/vuln/detail/CVE-2025-68043</t>
        </is>
      </c>
      <c r="AB863" s="191" t="inlineStr">
        <is>
          <t>NONE</t>
        </is>
      </c>
      <c r="AC863" s="191" t="n">
        <v>0</v>
      </c>
      <c r="AD863" s="191" t="n"/>
    </row>
    <row r="864">
      <c r="A864" s="191" t="inlineStr">
        <is>
          <t>CVE</t>
        </is>
      </c>
      <c r="B864" s="191" t="inlineStr">
        <is>
          <t>CVE-2025-68048</t>
        </is>
      </c>
      <c r="C864" s="191" t="inlineStr">
        <is>
          <t>Missing Authorization vulnerability in XLPlugins NextMove Lite woo-thank-you-page-nextmove-lite allows Exploiting Incorrectly Configured Access Control Security Levels.This issue affects NextMove Lite: from n/a through &lt;= 2.23.0.</t>
        </is>
      </c>
      <c r="D864" s="191" t="n">
        <v>5</v>
      </c>
      <c r="E864" s="191" t="inlineStr">
        <is>
          <t>MEDIUM</t>
        </is>
      </c>
      <c r="F864" s="191" t="n">
        <v>2</v>
      </c>
      <c r="G864" s="191" t="n">
        <v>2</v>
      </c>
      <c r="H864" s="191" t="inlineStr">
        <is>
          <t>MEDIUM</t>
        </is>
      </c>
      <c r="I864" s="191" t="n">
        <v>9</v>
      </c>
      <c r="J864" s="191" t="inlineStr">
        <is>
          <t>NO</t>
        </is>
      </c>
      <c r="K864" s="192" t="inlineStr">
        <is>
          <t>https://nvd.nist.gov/vuln/detail/CVE-2025-68048</t>
        </is>
      </c>
      <c r="L864" s="191" t="inlineStr">
        <is>
          <t>2026-02-23 23:48</t>
        </is>
      </c>
      <c r="M864" s="191" t="inlineStr">
        <is>
          <t>CHECK_VENDOR</t>
        </is>
      </c>
      <c r="N864" s="191" t="inlineStr">
        <is>
          <t>See NVD references</t>
        </is>
      </c>
      <c r="O864" s="191" t="inlineStr">
        <is>
          <t>Apply vendor patches</t>
        </is>
      </c>
      <c r="P864" s="191" t="inlineStr">
        <is>
          <t>See CVE details</t>
        </is>
      </c>
      <c r="Q864" s="191" t="inlineStr">
        <is>
          <t>P4</t>
        </is>
      </c>
      <c r="R864" s="191" t="inlineStr">
        <is>
          <t>📅 Schedule patch deployment within 30 days | 🔍 Monitor for exploitation attempts</t>
        </is>
      </c>
      <c r="S864" s="191" t="inlineStr">
        <is>
          <t>CVE - IP enrichment n/a</t>
        </is>
      </c>
      <c r="T864" s="191" t="n">
        <v>0.0002</v>
      </c>
      <c r="U864" s="191" t="n">
        <v>0.0381</v>
      </c>
      <c r="V864" s="191" t="inlineStr">
        <is>
          <t>T1190:Exploit Public-Facing Application</t>
        </is>
      </c>
      <c r="W864" s="191" t="n">
        <v>1</v>
      </c>
      <c r="X864" s="191" t="inlineStr">
        <is>
          <t>LOW (40%)</t>
        </is>
      </c>
      <c r="Y864" s="191" t="inlineStr">
        <is>
          <t>UNLIKELY</t>
        </is>
      </c>
      <c r="Z864" s="191" t="inlineStr">
        <is>
          <t>CHECK_VENDOR</t>
        </is>
      </c>
      <c r="AA864" s="192" t="inlineStr">
        <is>
          <t>https://nvd.nist.gov/vuln/detail/CVE-2025-68048</t>
        </is>
      </c>
      <c r="AB864" s="191" t="inlineStr">
        <is>
          <t>NONE</t>
        </is>
      </c>
      <c r="AC864" s="191" t="n">
        <v>0</v>
      </c>
      <c r="AD864" s="191" t="n"/>
    </row>
    <row r="865">
      <c r="A865" s="191" t="inlineStr">
        <is>
          <t>CVE</t>
        </is>
      </c>
      <c r="B865" s="191" t="inlineStr">
        <is>
          <t>CVE-2025-68050</t>
        </is>
      </c>
      <c r="C865" s="191" t="inlineStr">
        <is>
          <t>Missing Authorization vulnerability in Leadpages Leadpages leadpages allows Exploiting Incorrectly Configured Access Control Security Levels.This issue affects Leadpages: from n/a through &lt;= 1.1.3.</t>
        </is>
      </c>
      <c r="D865" s="191" t="n">
        <v>5</v>
      </c>
      <c r="E865" s="191" t="inlineStr">
        <is>
          <t>MEDIUM</t>
        </is>
      </c>
      <c r="F865" s="191" t="n">
        <v>2</v>
      </c>
      <c r="G865" s="191" t="n">
        <v>2</v>
      </c>
      <c r="H865" s="191" t="inlineStr">
        <is>
          <t>MEDIUM</t>
        </is>
      </c>
      <c r="I865" s="191" t="n">
        <v>9</v>
      </c>
      <c r="J865" s="191" t="inlineStr">
        <is>
          <t>NO</t>
        </is>
      </c>
      <c r="K865" s="192" t="inlineStr">
        <is>
          <t>https://nvd.nist.gov/vuln/detail/CVE-2025-68050</t>
        </is>
      </c>
      <c r="L865" s="191" t="inlineStr">
        <is>
          <t>2026-02-23 23:48</t>
        </is>
      </c>
      <c r="M865" s="191" t="inlineStr">
        <is>
          <t>CHECK_VENDOR</t>
        </is>
      </c>
      <c r="N865" s="191" t="inlineStr">
        <is>
          <t>See NVD references</t>
        </is>
      </c>
      <c r="O865" s="191" t="inlineStr">
        <is>
          <t>Apply vendor patches</t>
        </is>
      </c>
      <c r="P865" s="191" t="inlineStr">
        <is>
          <t>See CVE details</t>
        </is>
      </c>
      <c r="Q865" s="191" t="inlineStr">
        <is>
          <t>P4</t>
        </is>
      </c>
      <c r="R865" s="191" t="inlineStr">
        <is>
          <t>📅 Schedule patch deployment within 30 days | 🔍 Monitor for exploitation attempts</t>
        </is>
      </c>
      <c r="S865" s="191" t="inlineStr">
        <is>
          <t>CVE - IP enrichment n/a</t>
        </is>
      </c>
      <c r="T865" s="191" t="n">
        <v>0</v>
      </c>
      <c r="U865" s="191" t="n">
        <v>0</v>
      </c>
      <c r="V865" s="191" t="inlineStr">
        <is>
          <t>T1190:Exploit Public-Facing Application</t>
        </is>
      </c>
      <c r="W865" s="191" t="n">
        <v>1</v>
      </c>
      <c r="X865" s="191" t="inlineStr">
        <is>
          <t>LOW (40%)</t>
        </is>
      </c>
      <c r="Y865" s="191" t="inlineStr">
        <is>
          <t>UNLIKELY</t>
        </is>
      </c>
      <c r="Z865" s="191" t="inlineStr">
        <is>
          <t>CHECK_VENDOR</t>
        </is>
      </c>
      <c r="AA865" s="192" t="inlineStr">
        <is>
          <t>https://nvd.nist.gov/vuln/detail/CVE-2025-68050</t>
        </is>
      </c>
      <c r="AB865" s="191" t="inlineStr">
        <is>
          <t>NONE</t>
        </is>
      </c>
      <c r="AC865" s="191" t="n">
        <v>0</v>
      </c>
      <c r="AD865" s="191" t="n"/>
    </row>
    <row r="866">
      <c r="A866" s="191" t="inlineStr">
        <is>
          <t>CVE</t>
        </is>
      </c>
      <c r="B866" s="191" t="inlineStr">
        <is>
          <t>CVE-2025-68051</t>
        </is>
      </c>
      <c r="C866" s="191" t="inlineStr">
        <is>
          <t>Authorization Bypass Through User-Controlled Key vulnerability in Shiprocket Shiprocket shiprocket allows Exploiting Incorrectly Configured Access Control Security Levels.This issue affects Shiprocket: from n/a through &lt;= 2.0.8.</t>
        </is>
      </c>
      <c r="D866" s="191" t="n">
        <v>5</v>
      </c>
      <c r="E866" s="191" t="inlineStr">
        <is>
          <t>MEDIUM</t>
        </is>
      </c>
      <c r="F866" s="191" t="n">
        <v>2</v>
      </c>
      <c r="G866" s="191" t="n">
        <v>2</v>
      </c>
      <c r="H866" s="191" t="inlineStr">
        <is>
          <t>MEDIUM</t>
        </is>
      </c>
      <c r="I866" s="191" t="n">
        <v>9</v>
      </c>
      <c r="J866" s="191" t="inlineStr">
        <is>
          <t>NO</t>
        </is>
      </c>
      <c r="K866" s="192" t="inlineStr">
        <is>
          <t>https://nvd.nist.gov/vuln/detail/CVE-2025-68051</t>
        </is>
      </c>
      <c r="L866" s="191" t="inlineStr">
        <is>
          <t>2026-02-23 23:48</t>
        </is>
      </c>
      <c r="M866" s="191" t="inlineStr">
        <is>
          <t>CHECK_VENDOR</t>
        </is>
      </c>
      <c r="N866" s="191" t="inlineStr">
        <is>
          <t>See NVD references</t>
        </is>
      </c>
      <c r="O866" s="191" t="inlineStr">
        <is>
          <t>Apply vendor patches</t>
        </is>
      </c>
      <c r="P866" s="191" t="inlineStr">
        <is>
          <t>See CVE details</t>
        </is>
      </c>
      <c r="Q866" s="191" t="inlineStr">
        <is>
          <t>P4</t>
        </is>
      </c>
      <c r="R866" s="191" t="inlineStr">
        <is>
          <t>📅 Schedule patch deployment within 30 days | 🔍 Monitor for exploitation attempts</t>
        </is>
      </c>
      <c r="S866" s="191" t="inlineStr">
        <is>
          <t>CVE - IP enrichment n/a</t>
        </is>
      </c>
      <c r="T866" s="191" t="n">
        <v>0</v>
      </c>
      <c r="U866" s="191" t="n">
        <v>0</v>
      </c>
      <c r="V866" s="191" t="inlineStr">
        <is>
          <t>T1190:Exploit Public-Facing Application</t>
        </is>
      </c>
      <c r="W866" s="191" t="n">
        <v>1</v>
      </c>
      <c r="X866" s="191" t="inlineStr">
        <is>
          <t>LOW (40%)</t>
        </is>
      </c>
      <c r="Y866" s="191" t="inlineStr">
        <is>
          <t>UNLIKELY</t>
        </is>
      </c>
      <c r="Z866" s="191" t="inlineStr">
        <is>
          <t>CHECK_VENDOR</t>
        </is>
      </c>
      <c r="AA866" s="192" t="inlineStr">
        <is>
          <t>https://nvd.nist.gov/vuln/detail/CVE-2025-68051</t>
        </is>
      </c>
      <c r="AB866" s="191" t="inlineStr">
        <is>
          <t>NONE</t>
        </is>
      </c>
      <c r="AC866" s="191" t="n">
        <v>0</v>
      </c>
      <c r="AD866" s="191" t="n"/>
    </row>
    <row r="867">
      <c r="A867" s="191" t="inlineStr">
        <is>
          <t>CVE</t>
        </is>
      </c>
      <c r="B867" s="191" t="inlineStr">
        <is>
          <t>CVE-2025-68069</t>
        </is>
      </c>
      <c r="C867" s="191" t="inlineStr">
        <is>
          <t>Missing Authorization vulnerability in wpWax Directorist directorist allows Exploiting Incorrectly Configured Access Control Security Levels.This issue affects Directorist: from n/a through &lt;= 8.5.10.</t>
        </is>
      </c>
      <c r="D867" s="191" t="n">
        <v>5</v>
      </c>
      <c r="E867" s="191" t="inlineStr">
        <is>
          <t>MEDIUM</t>
        </is>
      </c>
      <c r="F867" s="191" t="n">
        <v>2</v>
      </c>
      <c r="G867" s="191" t="n">
        <v>2</v>
      </c>
      <c r="H867" s="191" t="inlineStr">
        <is>
          <t>MEDIUM</t>
        </is>
      </c>
      <c r="I867" s="191" t="n">
        <v>9</v>
      </c>
      <c r="J867" s="191" t="inlineStr">
        <is>
          <t>NO</t>
        </is>
      </c>
      <c r="K867" s="192" t="inlineStr">
        <is>
          <t>https://nvd.nist.gov/vuln/detail/CVE-2025-68069</t>
        </is>
      </c>
      <c r="L867" s="191" t="inlineStr">
        <is>
          <t>2026-02-23 23:48</t>
        </is>
      </c>
      <c r="M867" s="191" t="inlineStr">
        <is>
          <t>CHECK_VENDOR</t>
        </is>
      </c>
      <c r="N867" s="191" t="inlineStr">
        <is>
          <t>See NVD references</t>
        </is>
      </c>
      <c r="O867" s="191" t="inlineStr">
        <is>
          <t>Apply vendor patches</t>
        </is>
      </c>
      <c r="P867" s="191" t="inlineStr">
        <is>
          <t>See CVE details</t>
        </is>
      </c>
      <c r="Q867" s="191" t="inlineStr">
        <is>
          <t>P4</t>
        </is>
      </c>
      <c r="R867" s="191" t="inlineStr">
        <is>
          <t>📅 Schedule patch deployment within 30 days | 🔍 Monitor for exploitation attempts</t>
        </is>
      </c>
      <c r="S867" s="191" t="inlineStr">
        <is>
          <t>CVE - IP enrichment n/a</t>
        </is>
      </c>
      <c r="T867" s="191" t="n">
        <v>0</v>
      </c>
      <c r="U867" s="191" t="n">
        <v>0</v>
      </c>
      <c r="V867" s="191" t="inlineStr">
        <is>
          <t>T1190:Exploit Public-Facing Application</t>
        </is>
      </c>
      <c r="W867" s="191" t="n">
        <v>1</v>
      </c>
      <c r="X867" s="191" t="inlineStr">
        <is>
          <t>LOW (40%)</t>
        </is>
      </c>
      <c r="Y867" s="191" t="inlineStr">
        <is>
          <t>UNLIKELY</t>
        </is>
      </c>
      <c r="Z867" s="191" t="inlineStr">
        <is>
          <t>CHECK_VENDOR</t>
        </is>
      </c>
      <c r="AA867" s="192" t="inlineStr">
        <is>
          <t>https://nvd.nist.gov/vuln/detail/CVE-2025-68069</t>
        </is>
      </c>
      <c r="AB867" s="191" t="inlineStr">
        <is>
          <t>NONE</t>
        </is>
      </c>
      <c r="AC867" s="191" t="n">
        <v>0</v>
      </c>
      <c r="AD867" s="191" t="n"/>
    </row>
    <row r="868">
      <c r="A868" s="191" t="inlineStr">
        <is>
          <t>CVE</t>
        </is>
      </c>
      <c r="B868" s="191" t="inlineStr">
        <is>
          <t>CVE-2025-68495</t>
        </is>
      </c>
      <c r="C868" s="191" t="inlineStr">
        <is>
          <t>Improper Neutralization of Input During Web Page Generation ('Cross-site Scripting') vulnerability in Crocoblock JetEngine jet-engine allows Reflected XSS.This issue affects JetEngine: from n/a through &lt;= 3.8.0.</t>
        </is>
      </c>
      <c r="D868" s="191" t="n">
        <v>5</v>
      </c>
      <c r="E868" s="191" t="inlineStr">
        <is>
          <t>MEDIUM</t>
        </is>
      </c>
      <c r="F868" s="191" t="n">
        <v>2</v>
      </c>
      <c r="G868" s="191" t="n">
        <v>2</v>
      </c>
      <c r="H868" s="191" t="inlineStr">
        <is>
          <t>MEDIUM</t>
        </is>
      </c>
      <c r="I868" s="191" t="n">
        <v>9</v>
      </c>
      <c r="J868" s="191" t="inlineStr">
        <is>
          <t>NO</t>
        </is>
      </c>
      <c r="K868" s="192" t="inlineStr">
        <is>
          <t>https://nvd.nist.gov/vuln/detail/CVE-2025-68495</t>
        </is>
      </c>
      <c r="L868" s="191" t="inlineStr">
        <is>
          <t>2026-02-23 23:48</t>
        </is>
      </c>
      <c r="M868" s="191" t="inlineStr">
        <is>
          <t>CHECK_VENDOR</t>
        </is>
      </c>
      <c r="N868" s="191" t="inlineStr">
        <is>
          <t>See NVD references</t>
        </is>
      </c>
      <c r="O868" s="191" t="inlineStr">
        <is>
          <t>Apply vendor patches</t>
        </is>
      </c>
      <c r="P868" s="191" t="inlineStr">
        <is>
          <t>See CVE details</t>
        </is>
      </c>
      <c r="Q868" s="191" t="inlineStr">
        <is>
          <t>P4</t>
        </is>
      </c>
      <c r="R868" s="191" t="inlineStr">
        <is>
          <t>📅 Schedule patch deployment within 30 days | 🔍 Monitor for exploitation attempts</t>
        </is>
      </c>
      <c r="S868" s="191" t="inlineStr">
        <is>
          <t>CVE - IP enrichment n/a</t>
        </is>
      </c>
      <c r="T868" s="191" t="n">
        <v>0</v>
      </c>
      <c r="U868" s="191" t="n">
        <v>0</v>
      </c>
      <c r="V868" s="191" t="inlineStr">
        <is>
          <t>T1189:Drive-by Compromise</t>
        </is>
      </c>
      <c r="W868" s="191" t="n">
        <v>1</v>
      </c>
      <c r="X868" s="191" t="inlineStr">
        <is>
          <t>LOW (40%)</t>
        </is>
      </c>
      <c r="Y868" s="191" t="inlineStr">
        <is>
          <t>UNLIKELY</t>
        </is>
      </c>
      <c r="Z868" s="191" t="inlineStr">
        <is>
          <t>CHECK_VENDOR</t>
        </is>
      </c>
      <c r="AA868" s="192" t="inlineStr">
        <is>
          <t>https://nvd.nist.gov/vuln/detail/CVE-2025-68495</t>
        </is>
      </c>
      <c r="AB868" s="191" t="inlineStr">
        <is>
          <t>NONE</t>
        </is>
      </c>
      <c r="AC868" s="191" t="n">
        <v>0</v>
      </c>
      <c r="AD868" s="191" t="n"/>
    </row>
    <row r="869">
      <c r="A869" s="189" t="inlineStr">
        <is>
          <t>CVE</t>
        </is>
      </c>
      <c r="B869" s="189" t="inlineStr">
        <is>
          <t>CVE-2025-68501</t>
        </is>
      </c>
      <c r="C869" s="189" t="inlineStr">
        <is>
          <t>Improper Neutralization of Input During Web Page Generation ('Cross-site Scripting') vulnerability in Mollie Mollie Payments for WooCommerce mollie-payments-for-woocommerce allows Reflected XSS.This issue affects Mollie Payments for WooCommerce: from n/a through &lt;= 8.1.1.</t>
        </is>
      </c>
      <c r="D869" s="189" t="n">
        <v>8.5</v>
      </c>
      <c r="E869" s="189" t="inlineStr">
        <is>
          <t>HIGH</t>
        </is>
      </c>
      <c r="F869" s="189" t="n">
        <v>2</v>
      </c>
      <c r="G869" s="189" t="n">
        <v>3</v>
      </c>
      <c r="H869" s="189" t="inlineStr">
        <is>
          <t>HIGH</t>
        </is>
      </c>
      <c r="I869" s="189" t="n">
        <v>14.5</v>
      </c>
      <c r="J869" s="189" t="inlineStr">
        <is>
          <t>NO</t>
        </is>
      </c>
      <c r="K869" s="190" t="inlineStr">
        <is>
          <t>https://nvd.nist.gov/vuln/detail/CVE-2025-68501</t>
        </is>
      </c>
      <c r="L869" s="189" t="inlineStr">
        <is>
          <t>2026-02-23 23:48</t>
        </is>
      </c>
      <c r="M869" s="189" t="inlineStr">
        <is>
          <t>CHECK_VENDOR</t>
        </is>
      </c>
      <c r="N869" s="189" t="inlineStr">
        <is>
          <t>See NVD references</t>
        </is>
      </c>
      <c r="O869" s="189" t="inlineStr">
        <is>
          <t>Apply vendor patches</t>
        </is>
      </c>
      <c r="P869" s="189" t="inlineStr">
        <is>
          <t>See CVE details</t>
        </is>
      </c>
      <c r="Q869" s="189" t="inlineStr">
        <is>
          <t>P3</t>
        </is>
      </c>
      <c r="R869" s="189" t="inlineStr">
        <is>
          <t>🚨 URGENT: Apply vendor patches immediately | 🔒 Isolate affected systems if patch unavailable | 🛡️ Enable additional monitoring/IDS rules</t>
        </is>
      </c>
      <c r="S869" s="189" t="inlineStr">
        <is>
          <t>CVE - IP enrichment n/a</t>
        </is>
      </c>
      <c r="T869" s="189" t="n">
        <v>0</v>
      </c>
      <c r="U869" s="189" t="n">
        <v>0</v>
      </c>
      <c r="V869" s="189" t="inlineStr">
        <is>
          <t>T1189:Drive-by Compromise | T1190:Exploit Public-Facing Application</t>
        </is>
      </c>
      <c r="W869" s="189" t="n">
        <v>1</v>
      </c>
      <c r="X869" s="189" t="inlineStr">
        <is>
          <t>LOW (40%)</t>
        </is>
      </c>
      <c r="Y869" s="189" t="inlineStr">
        <is>
          <t>UNLIKELY</t>
        </is>
      </c>
      <c r="Z869" s="189" t="inlineStr">
        <is>
          <t>CHECK_VENDOR</t>
        </is>
      </c>
      <c r="AA869" s="190" t="inlineStr">
        <is>
          <t>https://nvd.nist.gov/vuln/detail/CVE-2025-68501</t>
        </is>
      </c>
      <c r="AB869" s="189" t="inlineStr">
        <is>
          <t>NONE</t>
        </is>
      </c>
      <c r="AC869" s="189" t="n">
        <v>0</v>
      </c>
      <c r="AD869" s="189" t="n"/>
    </row>
    <row r="870">
      <c r="A870" s="191" t="inlineStr">
        <is>
          <t>CVE</t>
        </is>
      </c>
      <c r="B870" s="191" t="inlineStr">
        <is>
          <t>CVE-2025-68514</t>
        </is>
      </c>
      <c r="C870" s="191" t="inlineStr">
        <is>
          <t>Authorization Bypass Through User-Controlled Key vulnerability in Cozmoslabs Paid Member Subscriptions paid-member-subscriptions allows Exploiting Incorrectly Configured Access Control Security Levels.This issue affects Paid Member Subscriptions: from n/a through &lt;= 2.16.8.</t>
        </is>
      </c>
      <c r="D870" s="191" t="n">
        <v>5</v>
      </c>
      <c r="E870" s="191" t="inlineStr">
        <is>
          <t>MEDIUM</t>
        </is>
      </c>
      <c r="F870" s="191" t="n">
        <v>2</v>
      </c>
      <c r="G870" s="191" t="n">
        <v>2</v>
      </c>
      <c r="H870" s="191" t="inlineStr">
        <is>
          <t>MEDIUM</t>
        </is>
      </c>
      <c r="I870" s="191" t="n">
        <v>9</v>
      </c>
      <c r="J870" s="191" t="inlineStr">
        <is>
          <t>NO</t>
        </is>
      </c>
      <c r="K870" s="192" t="inlineStr">
        <is>
          <t>https://nvd.nist.gov/vuln/detail/CVE-2025-68514</t>
        </is>
      </c>
      <c r="L870" s="191" t="inlineStr">
        <is>
          <t>2026-02-23 23:48</t>
        </is>
      </c>
      <c r="M870" s="191" t="inlineStr">
        <is>
          <t>CHECK_VENDOR</t>
        </is>
      </c>
      <c r="N870" s="191" t="inlineStr">
        <is>
          <t>See NVD references</t>
        </is>
      </c>
      <c r="O870" s="191" t="inlineStr">
        <is>
          <t>Apply vendor patches</t>
        </is>
      </c>
      <c r="P870" s="191" t="inlineStr">
        <is>
          <t>See CVE details</t>
        </is>
      </c>
      <c r="Q870" s="191" t="inlineStr">
        <is>
          <t>P4</t>
        </is>
      </c>
      <c r="R870" s="191" t="inlineStr">
        <is>
          <t>📅 Schedule patch deployment within 30 days | 🔍 Monitor for exploitation attempts</t>
        </is>
      </c>
      <c r="S870" s="191" t="inlineStr">
        <is>
          <t>CVE - IP enrichment n/a</t>
        </is>
      </c>
      <c r="T870" s="191" t="n">
        <v>0.0002</v>
      </c>
      <c r="U870" s="191" t="n">
        <v>0.0381</v>
      </c>
      <c r="V870" s="191" t="inlineStr">
        <is>
          <t>T1190:Exploit Public-Facing Application</t>
        </is>
      </c>
      <c r="W870" s="191" t="n">
        <v>1</v>
      </c>
      <c r="X870" s="191" t="inlineStr">
        <is>
          <t>LOW (40%)</t>
        </is>
      </c>
      <c r="Y870" s="191" t="inlineStr">
        <is>
          <t>UNLIKELY</t>
        </is>
      </c>
      <c r="Z870" s="191" t="inlineStr">
        <is>
          <t>CHECK_VENDOR</t>
        </is>
      </c>
      <c r="AA870" s="192" t="inlineStr">
        <is>
          <t>https://nvd.nist.gov/vuln/detail/CVE-2025-68514</t>
        </is>
      </c>
      <c r="AB870" s="191" t="inlineStr">
        <is>
          <t>NONE</t>
        </is>
      </c>
      <c r="AC870" s="191" t="n">
        <v>0</v>
      </c>
      <c r="AD870" s="191" t="n"/>
    </row>
    <row r="871">
      <c r="A871" s="191" t="inlineStr">
        <is>
          <t>CVE</t>
        </is>
      </c>
      <c r="B871" s="191" t="inlineStr">
        <is>
          <t>CVE-2025-68526</t>
        </is>
      </c>
      <c r="C871" s="191" t="inlineStr">
        <is>
          <t>Deserialization of Untrusted Data vulnerability in A WP Life Modal Popup Box modal-popup-box allows Object Injection.This issue affects Modal Popup Box: from n/a through &lt;= 1.6.1.</t>
        </is>
      </c>
      <c r="D871" s="191" t="n">
        <v>5</v>
      </c>
      <c r="E871" s="191" t="inlineStr">
        <is>
          <t>MEDIUM</t>
        </is>
      </c>
      <c r="F871" s="191" t="n">
        <v>2</v>
      </c>
      <c r="G871" s="191" t="n">
        <v>2</v>
      </c>
      <c r="H871" s="191" t="inlineStr">
        <is>
          <t>MEDIUM</t>
        </is>
      </c>
      <c r="I871" s="191" t="n">
        <v>9</v>
      </c>
      <c r="J871" s="191" t="inlineStr">
        <is>
          <t>NO</t>
        </is>
      </c>
      <c r="K871" s="192" t="inlineStr">
        <is>
          <t>https://nvd.nist.gov/vuln/detail/CVE-2025-68526</t>
        </is>
      </c>
      <c r="L871" s="191" t="inlineStr">
        <is>
          <t>2026-02-23 23:48</t>
        </is>
      </c>
      <c r="M871" s="191" t="inlineStr">
        <is>
          <t>CHECK_VENDOR</t>
        </is>
      </c>
      <c r="N871" s="191" t="inlineStr">
        <is>
          <t>See NVD references</t>
        </is>
      </c>
      <c r="O871" s="191" t="inlineStr">
        <is>
          <t>Apply vendor patches</t>
        </is>
      </c>
      <c r="P871" s="191" t="inlineStr">
        <is>
          <t>See CVE details</t>
        </is>
      </c>
      <c r="Q871" s="191" t="inlineStr">
        <is>
          <t>P4</t>
        </is>
      </c>
      <c r="R871" s="191" t="inlineStr">
        <is>
          <t>📅 Schedule patch deployment within 30 days | 🔍 Monitor for exploitation attempts</t>
        </is>
      </c>
      <c r="S871" s="191" t="inlineStr">
        <is>
          <t>CVE - IP enrichment n/a</t>
        </is>
      </c>
      <c r="T871" s="191" t="n">
        <v>0.0002</v>
      </c>
      <c r="U871" s="191" t="n">
        <v>0.0636</v>
      </c>
      <c r="V871" s="191" t="inlineStr">
        <is>
          <t>T1059:Command and Scripting Interpreter</t>
        </is>
      </c>
      <c r="W871" s="191" t="n">
        <v>1</v>
      </c>
      <c r="X871" s="191" t="inlineStr">
        <is>
          <t>LOW (40%)</t>
        </is>
      </c>
      <c r="Y871" s="191" t="inlineStr">
        <is>
          <t>UNLIKELY</t>
        </is>
      </c>
      <c r="Z871" s="191" t="inlineStr">
        <is>
          <t>CHECK_VENDOR</t>
        </is>
      </c>
      <c r="AA871" s="192" t="inlineStr">
        <is>
          <t>https://nvd.nist.gov/vuln/detail/CVE-2025-68526</t>
        </is>
      </c>
      <c r="AB871" s="191" t="inlineStr">
        <is>
          <t>NONE</t>
        </is>
      </c>
      <c r="AC871" s="191" t="n">
        <v>0</v>
      </c>
      <c r="AD871" s="191" t="n"/>
    </row>
    <row r="872">
      <c r="A872" s="191" t="inlineStr">
        <is>
          <t>CVE</t>
        </is>
      </c>
      <c r="B872" s="191" t="inlineStr">
        <is>
          <t>CVE-2025-68531</t>
        </is>
      </c>
      <c r="C872" s="191" t="inlineStr">
        <is>
          <t>Deserialization of Untrusted Data vulnerability in modeltheme ModelTheme Addons for WPBakery and Elementor modeltheme-addons-for-wpbakery allows Object Injection.This issue affects ModelTheme Addons for WPBakery and Elementor: from n/a through &lt; 1.5.6.</t>
        </is>
      </c>
      <c r="D872" s="191" t="n">
        <v>5</v>
      </c>
      <c r="E872" s="191" t="inlineStr">
        <is>
          <t>MEDIUM</t>
        </is>
      </c>
      <c r="F872" s="191" t="n">
        <v>2</v>
      </c>
      <c r="G872" s="191" t="n">
        <v>2</v>
      </c>
      <c r="H872" s="191" t="inlineStr">
        <is>
          <t>MEDIUM</t>
        </is>
      </c>
      <c r="I872" s="191" t="n">
        <v>9</v>
      </c>
      <c r="J872" s="191" t="inlineStr">
        <is>
          <t>NO</t>
        </is>
      </c>
      <c r="K872" s="192" t="inlineStr">
        <is>
          <t>https://nvd.nist.gov/vuln/detail/CVE-2025-68531</t>
        </is>
      </c>
      <c r="L872" s="191" t="inlineStr">
        <is>
          <t>2026-02-23 23:48</t>
        </is>
      </c>
      <c r="M872" s="191" t="inlineStr">
        <is>
          <t>CHECK_VENDOR</t>
        </is>
      </c>
      <c r="N872" s="191" t="inlineStr">
        <is>
          <t>See NVD references</t>
        </is>
      </c>
      <c r="O872" s="191" t="inlineStr">
        <is>
          <t>Apply vendor patches</t>
        </is>
      </c>
      <c r="P872" s="191" t="inlineStr">
        <is>
          <t>See CVE details</t>
        </is>
      </c>
      <c r="Q872" s="191" t="inlineStr">
        <is>
          <t>P4</t>
        </is>
      </c>
      <c r="R872" s="191" t="inlineStr">
        <is>
          <t>📅 Schedule patch deployment within 30 days | 🔍 Monitor for exploitation attempts</t>
        </is>
      </c>
      <c r="S872" s="191" t="inlineStr">
        <is>
          <t>CVE - IP enrichment n/a</t>
        </is>
      </c>
      <c r="T872" s="191" t="n">
        <v>0</v>
      </c>
      <c r="U872" s="191" t="n">
        <v>0</v>
      </c>
      <c r="V872" s="191" t="inlineStr">
        <is>
          <t>T1059:Command and Scripting Interpreter</t>
        </is>
      </c>
      <c r="W872" s="191" t="n">
        <v>1</v>
      </c>
      <c r="X872" s="191" t="inlineStr">
        <is>
          <t>LOW (40%)</t>
        </is>
      </c>
      <c r="Y872" s="191" t="inlineStr">
        <is>
          <t>UNLIKELY</t>
        </is>
      </c>
      <c r="Z872" s="191" t="inlineStr">
        <is>
          <t>CHECK_VENDOR</t>
        </is>
      </c>
      <c r="AA872" s="192" t="inlineStr">
        <is>
          <t>https://nvd.nist.gov/vuln/detail/CVE-2025-68531</t>
        </is>
      </c>
      <c r="AB872" s="191" t="inlineStr">
        <is>
          <t>NONE</t>
        </is>
      </c>
      <c r="AC872" s="191" t="n">
        <v>0</v>
      </c>
      <c r="AD872" s="191" t="n"/>
    </row>
    <row r="873">
      <c r="A873" s="191" t="inlineStr">
        <is>
          <t>CVE</t>
        </is>
      </c>
      <c r="B873" s="191" t="inlineStr">
        <is>
          <t>CVE-2025-68534</t>
        </is>
      </c>
      <c r="C873" s="191" t="inlineStr">
        <is>
          <t>Missing Authorization vulnerability in add-ons.org PDF for WPForms pdf-for-wpforms allows Exploiting Incorrectly Configured Access Control Security Levels.This issue affects PDF for WPForms: from n/a through &lt;= 6.3.0.</t>
        </is>
      </c>
      <c r="D873" s="191" t="n">
        <v>5</v>
      </c>
      <c r="E873" s="191" t="inlineStr">
        <is>
          <t>MEDIUM</t>
        </is>
      </c>
      <c r="F873" s="191" t="n">
        <v>2</v>
      </c>
      <c r="G873" s="191" t="n">
        <v>2</v>
      </c>
      <c r="H873" s="191" t="inlineStr">
        <is>
          <t>MEDIUM</t>
        </is>
      </c>
      <c r="I873" s="191" t="n">
        <v>9</v>
      </c>
      <c r="J873" s="191" t="inlineStr">
        <is>
          <t>NO</t>
        </is>
      </c>
      <c r="K873" s="192" t="inlineStr">
        <is>
          <t>https://nvd.nist.gov/vuln/detail/CVE-2025-68534</t>
        </is>
      </c>
      <c r="L873" s="191" t="inlineStr">
        <is>
          <t>2026-02-23 23:48</t>
        </is>
      </c>
      <c r="M873" s="191" t="inlineStr">
        <is>
          <t>CHECK_VENDOR</t>
        </is>
      </c>
      <c r="N873" s="191" t="inlineStr">
        <is>
          <t>See NVD references</t>
        </is>
      </c>
      <c r="O873" s="191" t="inlineStr">
        <is>
          <t>Apply vendor patches</t>
        </is>
      </c>
      <c r="P873" s="191" t="inlineStr">
        <is>
          <t>See CVE details</t>
        </is>
      </c>
      <c r="Q873" s="191" t="inlineStr">
        <is>
          <t>P4</t>
        </is>
      </c>
      <c r="R873" s="191" t="inlineStr">
        <is>
          <t>📅 Schedule patch deployment within 30 days | 🔍 Monitor for exploitation attempts</t>
        </is>
      </c>
      <c r="S873" s="191" t="inlineStr">
        <is>
          <t>CVE - IP enrichment n/a</t>
        </is>
      </c>
      <c r="T873" s="191" t="n">
        <v>0</v>
      </c>
      <c r="U873" s="191" t="n">
        <v>0</v>
      </c>
      <c r="V873" s="191" t="inlineStr">
        <is>
          <t>T1190:Exploit Public-Facing Application</t>
        </is>
      </c>
      <c r="W873" s="191" t="n">
        <v>1</v>
      </c>
      <c r="X873" s="191" t="inlineStr">
        <is>
          <t>LOW (40%)</t>
        </is>
      </c>
      <c r="Y873" s="191" t="inlineStr">
        <is>
          <t>UNLIKELY</t>
        </is>
      </c>
      <c r="Z873" s="191" t="inlineStr">
        <is>
          <t>CHECK_VENDOR</t>
        </is>
      </c>
      <c r="AA873" s="192" t="inlineStr">
        <is>
          <t>https://nvd.nist.gov/vuln/detail/CVE-2025-68534</t>
        </is>
      </c>
      <c r="AB873" s="191" t="inlineStr">
        <is>
          <t>NONE</t>
        </is>
      </c>
      <c r="AC873" s="191" t="n">
        <v>0</v>
      </c>
      <c r="AD873" s="191" t="n"/>
    </row>
    <row r="874">
      <c r="A874" s="191" t="inlineStr">
        <is>
          <t>CVE</t>
        </is>
      </c>
      <c r="B874" s="191" t="inlineStr">
        <is>
          <t>CVE-2025-68536</t>
        </is>
      </c>
      <c r="C874" s="191" t="inlineStr">
        <is>
          <t>Improper Control of Filename for Include/Require Statement in PHP Program ('PHP Remote File Inclusion') vulnerability in thembay Zota zota allows PHP Local File Inclusion.This issue affects Zota: from n/a through &lt;= 1.3.14.</t>
        </is>
      </c>
      <c r="D874" s="191" t="n">
        <v>5</v>
      </c>
      <c r="E874" s="191" t="inlineStr">
        <is>
          <t>MEDIUM</t>
        </is>
      </c>
      <c r="F874" s="191" t="n">
        <v>2</v>
      </c>
      <c r="G874" s="191" t="n">
        <v>2</v>
      </c>
      <c r="H874" s="191" t="inlineStr">
        <is>
          <t>MEDIUM</t>
        </is>
      </c>
      <c r="I874" s="191" t="n">
        <v>9</v>
      </c>
      <c r="J874" s="191" t="inlineStr">
        <is>
          <t>NO</t>
        </is>
      </c>
      <c r="K874" s="192" t="inlineStr">
        <is>
          <t>https://nvd.nist.gov/vuln/detail/CVE-2025-68536</t>
        </is>
      </c>
      <c r="L874" s="191" t="inlineStr">
        <is>
          <t>2026-02-23 23:48</t>
        </is>
      </c>
      <c r="M874" s="191" t="inlineStr">
        <is>
          <t>CHECK_VENDOR</t>
        </is>
      </c>
      <c r="N874" s="191" t="inlineStr">
        <is>
          <t>See NVD references</t>
        </is>
      </c>
      <c r="O874" s="191" t="inlineStr">
        <is>
          <t>Apply vendor patches</t>
        </is>
      </c>
      <c r="P874" s="191" t="inlineStr">
        <is>
          <t>See CVE details</t>
        </is>
      </c>
      <c r="Q874" s="191" t="inlineStr">
        <is>
          <t>P4</t>
        </is>
      </c>
      <c r="R874" s="191" t="inlineStr">
        <is>
          <t>📅 Schedule patch deployment within 30 days | 🔍 Monitor for exploitation attempts</t>
        </is>
      </c>
      <c r="S874" s="191" t="inlineStr">
        <is>
          <t>CVE - IP enrichment n/a</t>
        </is>
      </c>
      <c r="T874" s="191" t="n">
        <v>0</v>
      </c>
      <c r="U874" s="191" t="n">
        <v>0</v>
      </c>
      <c r="V874" s="191" t="inlineStr">
        <is>
          <t>T1190:Exploit Public-Facing Application</t>
        </is>
      </c>
      <c r="W874" s="191" t="n">
        <v>1</v>
      </c>
      <c r="X874" s="191" t="inlineStr">
        <is>
          <t>LOW (40%)</t>
        </is>
      </c>
      <c r="Y874" s="191" t="inlineStr">
        <is>
          <t>UNLIKELY</t>
        </is>
      </c>
      <c r="Z874" s="191" t="inlineStr">
        <is>
          <t>CHECK_VENDOR</t>
        </is>
      </c>
      <c r="AA874" s="192" t="inlineStr">
        <is>
          <t>https://nvd.nist.gov/vuln/detail/CVE-2025-68536</t>
        </is>
      </c>
      <c r="AB874" s="191" t="inlineStr">
        <is>
          <t>NONE</t>
        </is>
      </c>
      <c r="AC874" s="191" t="n">
        <v>0</v>
      </c>
      <c r="AD874" s="191" t="n"/>
    </row>
    <row r="875">
      <c r="A875" s="191" t="inlineStr">
        <is>
          <t>CVE</t>
        </is>
      </c>
      <c r="B875" s="191" t="inlineStr">
        <is>
          <t>CVE-2025-68539</t>
        </is>
      </c>
      <c r="C875" s="191" t="inlineStr">
        <is>
          <t>Improper Control of Filename for Include/Require Statement in PHP Program ('PHP Remote File Inclusion') vulnerability in thembay Fana fana allows PHP Local File Inclusion.This issue affects Fana: from n/a through &lt;= 1.1.35.</t>
        </is>
      </c>
      <c r="D875" s="191" t="n">
        <v>5</v>
      </c>
      <c r="E875" s="191" t="inlineStr">
        <is>
          <t>MEDIUM</t>
        </is>
      </c>
      <c r="F875" s="191" t="n">
        <v>2</v>
      </c>
      <c r="G875" s="191" t="n">
        <v>2</v>
      </c>
      <c r="H875" s="191" t="inlineStr">
        <is>
          <t>MEDIUM</t>
        </is>
      </c>
      <c r="I875" s="191" t="n">
        <v>9</v>
      </c>
      <c r="J875" s="191" t="inlineStr">
        <is>
          <t>NO</t>
        </is>
      </c>
      <c r="K875" s="192" t="inlineStr">
        <is>
          <t>https://nvd.nist.gov/vuln/detail/CVE-2025-68539</t>
        </is>
      </c>
      <c r="L875" s="191" t="inlineStr">
        <is>
          <t>2026-02-23 23:48</t>
        </is>
      </c>
      <c r="M875" s="191" t="inlineStr">
        <is>
          <t>CHECK_VENDOR</t>
        </is>
      </c>
      <c r="N875" s="191" t="inlineStr">
        <is>
          <t>See NVD references</t>
        </is>
      </c>
      <c r="O875" s="191" t="inlineStr">
        <is>
          <t>Apply vendor patches</t>
        </is>
      </c>
      <c r="P875" s="191" t="inlineStr">
        <is>
          <t>See CVE details</t>
        </is>
      </c>
      <c r="Q875" s="191" t="inlineStr">
        <is>
          <t>P4</t>
        </is>
      </c>
      <c r="R875" s="191" t="inlineStr">
        <is>
          <t>📅 Schedule patch deployment within 30 days | 🔍 Monitor for exploitation attempts</t>
        </is>
      </c>
      <c r="S875" s="191" t="inlineStr">
        <is>
          <t>CVE - IP enrichment n/a</t>
        </is>
      </c>
      <c r="T875" s="191" t="n">
        <v>0</v>
      </c>
      <c r="U875" s="191" t="n">
        <v>0</v>
      </c>
      <c r="V875" s="191" t="inlineStr">
        <is>
          <t>T1190:Exploit Public-Facing Application</t>
        </is>
      </c>
      <c r="W875" s="191" t="n">
        <v>1</v>
      </c>
      <c r="X875" s="191" t="inlineStr">
        <is>
          <t>LOW (40%)</t>
        </is>
      </c>
      <c r="Y875" s="191" t="inlineStr">
        <is>
          <t>UNLIKELY</t>
        </is>
      </c>
      <c r="Z875" s="191" t="inlineStr">
        <is>
          <t>CHECK_VENDOR</t>
        </is>
      </c>
      <c r="AA875" s="192" t="inlineStr">
        <is>
          <t>https://nvd.nist.gov/vuln/detail/CVE-2025-68539</t>
        </is>
      </c>
      <c r="AB875" s="191" t="inlineStr">
        <is>
          <t>NONE</t>
        </is>
      </c>
      <c r="AC875" s="191" t="n">
        <v>0</v>
      </c>
      <c r="AD875" s="191" t="n"/>
    </row>
    <row r="876">
      <c r="A876" s="191" t="inlineStr">
        <is>
          <t>CVE</t>
        </is>
      </c>
      <c r="B876" s="191" t="inlineStr">
        <is>
          <t>CVE-2025-68541</t>
        </is>
      </c>
      <c r="C876" s="191" t="inlineStr">
        <is>
          <t>Deserialization of Untrusted Data vulnerability in BoldThemes Ippsum ippsum allows Object Injection.This issue affects Ippsum: from n/a through &lt;= 1.2.0.</t>
        </is>
      </c>
      <c r="D876" s="191" t="n">
        <v>5</v>
      </c>
      <c r="E876" s="191" t="inlineStr">
        <is>
          <t>MEDIUM</t>
        </is>
      </c>
      <c r="F876" s="191" t="n">
        <v>2</v>
      </c>
      <c r="G876" s="191" t="n">
        <v>2</v>
      </c>
      <c r="H876" s="191" t="inlineStr">
        <is>
          <t>MEDIUM</t>
        </is>
      </c>
      <c r="I876" s="191" t="n">
        <v>9</v>
      </c>
      <c r="J876" s="191" t="inlineStr">
        <is>
          <t>NO</t>
        </is>
      </c>
      <c r="K876" s="192" t="inlineStr">
        <is>
          <t>https://nvd.nist.gov/vuln/detail/CVE-2025-68541</t>
        </is>
      </c>
      <c r="L876" s="191" t="inlineStr">
        <is>
          <t>2026-02-23 23:48</t>
        </is>
      </c>
      <c r="M876" s="191" t="inlineStr">
        <is>
          <t>CHECK_VENDOR</t>
        </is>
      </c>
      <c r="N876" s="191" t="inlineStr">
        <is>
          <t>See NVD references</t>
        </is>
      </c>
      <c r="O876" s="191" t="inlineStr">
        <is>
          <t>Apply vendor patches</t>
        </is>
      </c>
      <c r="P876" s="191" t="inlineStr">
        <is>
          <t>See CVE details</t>
        </is>
      </c>
      <c r="Q876" s="191" t="inlineStr">
        <is>
          <t>P4</t>
        </is>
      </c>
      <c r="R876" s="191" t="inlineStr">
        <is>
          <t>📅 Schedule patch deployment within 30 days | 🔍 Monitor for exploitation attempts</t>
        </is>
      </c>
      <c r="S876" s="191" t="inlineStr">
        <is>
          <t>CVE - IP enrichment n/a</t>
        </is>
      </c>
      <c r="T876" s="191" t="n">
        <v>0.0002</v>
      </c>
      <c r="U876" s="191" t="n">
        <v>0.0636</v>
      </c>
      <c r="V876" s="191" t="inlineStr">
        <is>
          <t>T1059:Command and Scripting Interpreter</t>
        </is>
      </c>
      <c r="W876" s="191" t="n">
        <v>1</v>
      </c>
      <c r="X876" s="191" t="inlineStr">
        <is>
          <t>LOW (40%)</t>
        </is>
      </c>
      <c r="Y876" s="191" t="inlineStr">
        <is>
          <t>UNLIKELY</t>
        </is>
      </c>
      <c r="Z876" s="191" t="inlineStr">
        <is>
          <t>CHECK_VENDOR</t>
        </is>
      </c>
      <c r="AA876" s="192" t="inlineStr">
        <is>
          <t>https://nvd.nist.gov/vuln/detail/CVE-2025-68541</t>
        </is>
      </c>
      <c r="AB876" s="191" t="inlineStr">
        <is>
          <t>NONE</t>
        </is>
      </c>
      <c r="AC876" s="191" t="n">
        <v>0</v>
      </c>
      <c r="AD876" s="191" t="n"/>
    </row>
    <row r="877">
      <c r="A877" s="191" t="inlineStr">
        <is>
          <t>CVE</t>
        </is>
      </c>
      <c r="B877" s="191" t="inlineStr">
        <is>
          <t>CVE-2025-68542</t>
        </is>
      </c>
      <c r="C877" s="191" t="inlineStr">
        <is>
          <t>Missing Authorization vulnerability in vgdevsolutions Checkout Gateway for IRIS checkout-gateway-iris allows Exploiting Incorrectly Configured Access Control Security Levels.This issue affects Checkout Gateway for IRIS: from n/a through &lt;= 1.3.</t>
        </is>
      </c>
      <c r="D877" s="191" t="n">
        <v>5</v>
      </c>
      <c r="E877" s="191" t="inlineStr">
        <is>
          <t>MEDIUM</t>
        </is>
      </c>
      <c r="F877" s="191" t="n">
        <v>2</v>
      </c>
      <c r="G877" s="191" t="n">
        <v>2</v>
      </c>
      <c r="H877" s="191" t="inlineStr">
        <is>
          <t>MEDIUM</t>
        </is>
      </c>
      <c r="I877" s="191" t="n">
        <v>9</v>
      </c>
      <c r="J877" s="191" t="inlineStr">
        <is>
          <t>NO</t>
        </is>
      </c>
      <c r="K877" s="192" t="inlineStr">
        <is>
          <t>https://nvd.nist.gov/vuln/detail/CVE-2025-68542</t>
        </is>
      </c>
      <c r="L877" s="191" t="inlineStr">
        <is>
          <t>2026-02-23 23:48</t>
        </is>
      </c>
      <c r="M877" s="191" t="inlineStr">
        <is>
          <t>CHECK_VENDOR</t>
        </is>
      </c>
      <c r="N877" s="191" t="inlineStr">
        <is>
          <t>See NVD references</t>
        </is>
      </c>
      <c r="O877" s="191" t="inlineStr">
        <is>
          <t>Apply vendor patches</t>
        </is>
      </c>
      <c r="P877" s="191" t="inlineStr">
        <is>
          <t>See CVE details</t>
        </is>
      </c>
      <c r="Q877" s="191" t="inlineStr">
        <is>
          <t>P4</t>
        </is>
      </c>
      <c r="R877" s="191" t="inlineStr">
        <is>
          <t>📅 Schedule patch deployment within 30 days | 🔍 Monitor for exploitation attempts</t>
        </is>
      </c>
      <c r="S877" s="191" t="inlineStr">
        <is>
          <t>CVE - IP enrichment n/a</t>
        </is>
      </c>
      <c r="T877" s="191" t="n">
        <v>0</v>
      </c>
      <c r="U877" s="191" t="n">
        <v>0</v>
      </c>
      <c r="V877" s="191" t="inlineStr">
        <is>
          <t>T1190:Exploit Public-Facing Application</t>
        </is>
      </c>
      <c r="W877" s="191" t="n">
        <v>1</v>
      </c>
      <c r="X877" s="191" t="inlineStr">
        <is>
          <t>LOW (40%)</t>
        </is>
      </c>
      <c r="Y877" s="191" t="inlineStr">
        <is>
          <t>UNLIKELY</t>
        </is>
      </c>
      <c r="Z877" s="191" t="inlineStr">
        <is>
          <t>CHECK_VENDOR</t>
        </is>
      </c>
      <c r="AA877" s="192" t="inlineStr">
        <is>
          <t>https://nvd.nist.gov/vuln/detail/CVE-2025-68542</t>
        </is>
      </c>
      <c r="AB877" s="191" t="inlineStr">
        <is>
          <t>NONE</t>
        </is>
      </c>
      <c r="AC877" s="191" t="n">
        <v>0</v>
      </c>
      <c r="AD877" s="191" t="n"/>
    </row>
    <row r="878">
      <c r="A878" s="191" t="inlineStr">
        <is>
          <t>CVE</t>
        </is>
      </c>
      <c r="B878" s="191" t="inlineStr">
        <is>
          <t>CVE-2025-68543</t>
        </is>
      </c>
      <c r="C878" s="191" t="inlineStr">
        <is>
          <t>Improper Control of Filename for Include/Require Statement in PHP Program ('PHP Remote File Inclusion') vulnerability in thembay Diza diza allows PHP Local File Inclusion.This issue affects Diza: from n/a through &lt;= 1.3.15.</t>
        </is>
      </c>
      <c r="D878" s="191" t="n">
        <v>5</v>
      </c>
      <c r="E878" s="191" t="inlineStr">
        <is>
          <t>MEDIUM</t>
        </is>
      </c>
      <c r="F878" s="191" t="n">
        <v>2</v>
      </c>
      <c r="G878" s="191" t="n">
        <v>2</v>
      </c>
      <c r="H878" s="191" t="inlineStr">
        <is>
          <t>MEDIUM</t>
        </is>
      </c>
      <c r="I878" s="191" t="n">
        <v>9</v>
      </c>
      <c r="J878" s="191" t="inlineStr">
        <is>
          <t>NO</t>
        </is>
      </c>
      <c r="K878" s="192" t="inlineStr">
        <is>
          <t>https://nvd.nist.gov/vuln/detail/CVE-2025-68543</t>
        </is>
      </c>
      <c r="L878" s="191" t="inlineStr">
        <is>
          <t>2026-02-23 23:48</t>
        </is>
      </c>
      <c r="M878" s="191" t="inlineStr">
        <is>
          <t>CHECK_VENDOR</t>
        </is>
      </c>
      <c r="N878" s="191" t="inlineStr">
        <is>
          <t>See NVD references</t>
        </is>
      </c>
      <c r="O878" s="191" t="inlineStr">
        <is>
          <t>Apply vendor patches</t>
        </is>
      </c>
      <c r="P878" s="191" t="inlineStr">
        <is>
          <t>See CVE details</t>
        </is>
      </c>
      <c r="Q878" s="191" t="inlineStr">
        <is>
          <t>P4</t>
        </is>
      </c>
      <c r="R878" s="191" t="inlineStr">
        <is>
          <t>📅 Schedule patch deployment within 30 days | 🔍 Monitor for exploitation attempts</t>
        </is>
      </c>
      <c r="S878" s="191" t="inlineStr">
        <is>
          <t>CVE - IP enrichment n/a</t>
        </is>
      </c>
      <c r="T878" s="191" t="n">
        <v>0</v>
      </c>
      <c r="U878" s="191" t="n">
        <v>0</v>
      </c>
      <c r="V878" s="191" t="inlineStr">
        <is>
          <t>T1190:Exploit Public-Facing Application</t>
        </is>
      </c>
      <c r="W878" s="191" t="n">
        <v>1</v>
      </c>
      <c r="X878" s="191" t="inlineStr">
        <is>
          <t>LOW (40%)</t>
        </is>
      </c>
      <c r="Y878" s="191" t="inlineStr">
        <is>
          <t>UNLIKELY</t>
        </is>
      </c>
      <c r="Z878" s="191" t="inlineStr">
        <is>
          <t>CHECK_VENDOR</t>
        </is>
      </c>
      <c r="AA878" s="192" t="inlineStr">
        <is>
          <t>https://nvd.nist.gov/vuln/detail/CVE-2025-68543</t>
        </is>
      </c>
      <c r="AB878" s="191" t="inlineStr">
        <is>
          <t>NONE</t>
        </is>
      </c>
      <c r="AC878" s="191" t="n">
        <v>0</v>
      </c>
      <c r="AD878" s="191" t="n"/>
    </row>
    <row r="879">
      <c r="A879" s="191" t="inlineStr">
        <is>
          <t>CVE</t>
        </is>
      </c>
      <c r="B879" s="191" t="inlineStr">
        <is>
          <t>CVE-2025-68545</t>
        </is>
      </c>
      <c r="C879" s="191" t="inlineStr">
        <is>
          <t>Improper Control of Filename for Include/Require Statement in PHP Program ('PHP Remote File Inclusion') vulnerability in thembay Nika nika allows PHP Local File Inclusion.This issue affects Nika: from n/a through &lt;= 1.2.14.</t>
        </is>
      </c>
      <c r="D879" s="191" t="n">
        <v>5</v>
      </c>
      <c r="E879" s="191" t="inlineStr">
        <is>
          <t>MEDIUM</t>
        </is>
      </c>
      <c r="F879" s="191" t="n">
        <v>2</v>
      </c>
      <c r="G879" s="191" t="n">
        <v>2</v>
      </c>
      <c r="H879" s="191" t="inlineStr">
        <is>
          <t>MEDIUM</t>
        </is>
      </c>
      <c r="I879" s="191" t="n">
        <v>9</v>
      </c>
      <c r="J879" s="191" t="inlineStr">
        <is>
          <t>NO</t>
        </is>
      </c>
      <c r="K879" s="192" t="inlineStr">
        <is>
          <t>https://nvd.nist.gov/vuln/detail/CVE-2025-68545</t>
        </is>
      </c>
      <c r="L879" s="191" t="inlineStr">
        <is>
          <t>2026-02-23 23:48</t>
        </is>
      </c>
      <c r="M879" s="191" t="inlineStr">
        <is>
          <t>CHECK_VENDOR</t>
        </is>
      </c>
      <c r="N879" s="191" t="inlineStr">
        <is>
          <t>See NVD references</t>
        </is>
      </c>
      <c r="O879" s="191" t="inlineStr">
        <is>
          <t>Apply vendor patches</t>
        </is>
      </c>
      <c r="P879" s="191" t="inlineStr">
        <is>
          <t>See CVE details</t>
        </is>
      </c>
      <c r="Q879" s="191" t="inlineStr">
        <is>
          <t>P4</t>
        </is>
      </c>
      <c r="R879" s="191" t="inlineStr">
        <is>
          <t>📅 Schedule patch deployment within 30 days | 🔍 Monitor for exploitation attempts</t>
        </is>
      </c>
      <c r="S879" s="191" t="inlineStr">
        <is>
          <t>CVE - IP enrichment n/a</t>
        </is>
      </c>
      <c r="T879" s="191" t="n">
        <v>0.0005</v>
      </c>
      <c r="U879" s="191" t="n">
        <v>0.1673</v>
      </c>
      <c r="V879" s="191" t="inlineStr">
        <is>
          <t>T1190:Exploit Public-Facing Application</t>
        </is>
      </c>
      <c r="W879" s="191" t="n">
        <v>1</v>
      </c>
      <c r="X879" s="191" t="inlineStr">
        <is>
          <t>LOW (40%)</t>
        </is>
      </c>
      <c r="Y879" s="191" t="inlineStr">
        <is>
          <t>UNLIKELY</t>
        </is>
      </c>
      <c r="Z879" s="191" t="inlineStr">
        <is>
          <t>CHECK_VENDOR</t>
        </is>
      </c>
      <c r="AA879" s="192" t="inlineStr">
        <is>
          <t>https://nvd.nist.gov/vuln/detail/CVE-2025-68545</t>
        </is>
      </c>
      <c r="AB879" s="191" t="inlineStr">
        <is>
          <t>NONE</t>
        </is>
      </c>
      <c r="AC879" s="191" t="n">
        <v>0</v>
      </c>
      <c r="AD879" s="191" t="n"/>
    </row>
    <row r="880">
      <c r="A880" s="191" t="inlineStr">
        <is>
          <t>CVE</t>
        </is>
      </c>
      <c r="B880" s="191" t="inlineStr">
        <is>
          <t>CVE-2025-68549</t>
        </is>
      </c>
      <c r="C880" s="191" t="inlineStr">
        <is>
          <t>Unrestricted Upload of File with Dangerous Type vulnerability in zozothemes Wiguard wiguard allows Upload a Web Shell to a Web Server.This issue affects Wiguard: from n/a through &lt; 2.0.1.</t>
        </is>
      </c>
      <c r="D880" s="191" t="n">
        <v>5</v>
      </c>
      <c r="E880" s="191" t="inlineStr">
        <is>
          <t>MEDIUM</t>
        </is>
      </c>
      <c r="F880" s="191" t="n">
        <v>2</v>
      </c>
      <c r="G880" s="191" t="n">
        <v>2</v>
      </c>
      <c r="H880" s="191" t="inlineStr">
        <is>
          <t>MEDIUM</t>
        </is>
      </c>
      <c r="I880" s="191" t="n">
        <v>9</v>
      </c>
      <c r="J880" s="191" t="inlineStr">
        <is>
          <t>NO</t>
        </is>
      </c>
      <c r="K880" s="192" t="inlineStr">
        <is>
          <t>https://nvd.nist.gov/vuln/detail/CVE-2025-68549</t>
        </is>
      </c>
      <c r="L880" s="191" t="inlineStr">
        <is>
          <t>2026-02-23 23:48</t>
        </is>
      </c>
      <c r="M880" s="191" t="inlineStr">
        <is>
          <t>CHECK_VENDOR</t>
        </is>
      </c>
      <c r="N880" s="191" t="inlineStr">
        <is>
          <t>See NVD references</t>
        </is>
      </c>
      <c r="O880" s="191" t="inlineStr">
        <is>
          <t>Apply vendor patches</t>
        </is>
      </c>
      <c r="P880" s="191" t="inlineStr">
        <is>
          <t>See CVE details</t>
        </is>
      </c>
      <c r="Q880" s="191" t="inlineStr">
        <is>
          <t>P4</t>
        </is>
      </c>
      <c r="R880" s="191" t="inlineStr">
        <is>
          <t>📅 Schedule patch deployment within 30 days | 🔍 Monitor for exploitation attempts</t>
        </is>
      </c>
      <c r="S880" s="191" t="inlineStr">
        <is>
          <t>CVE - IP enrichment n/a</t>
        </is>
      </c>
      <c r="T880" s="191" t="n">
        <v>0</v>
      </c>
      <c r="U880" s="191" t="n">
        <v>0</v>
      </c>
      <c r="V880" s="191" t="inlineStr">
        <is>
          <t>T1190:Exploit Public-Facing Application</t>
        </is>
      </c>
      <c r="W880" s="191" t="n">
        <v>1</v>
      </c>
      <c r="X880" s="191" t="inlineStr">
        <is>
          <t>LOW (40%)</t>
        </is>
      </c>
      <c r="Y880" s="191" t="inlineStr">
        <is>
          <t>UNLIKELY</t>
        </is>
      </c>
      <c r="Z880" s="191" t="inlineStr">
        <is>
          <t>CHECK_VENDOR</t>
        </is>
      </c>
      <c r="AA880" s="192" t="inlineStr">
        <is>
          <t>https://nvd.nist.gov/vuln/detail/CVE-2025-68549</t>
        </is>
      </c>
      <c r="AB880" s="191" t="inlineStr">
        <is>
          <t>NONE</t>
        </is>
      </c>
      <c r="AC880" s="191" t="n">
        <v>0</v>
      </c>
      <c r="AD880" s="191" t="n"/>
    </row>
    <row r="881">
      <c r="A881" s="189" t="inlineStr">
        <is>
          <t>CVE</t>
        </is>
      </c>
      <c r="B881" s="189" t="inlineStr">
        <is>
          <t>CVE-2025-68552</t>
        </is>
      </c>
      <c r="C881" s="189" t="inlineStr">
        <is>
          <t>Improper Control of Filename for Include/Require Statement in PHP Program ('PHP Remote File Inclusion') vulnerability in WebCodingPlace WooCommerce Coming Soon Product with Countdown woo-coming-soon-product allows PHP Local File Inclusion.This issue affects WooCommerce Coming Soon Product with Countdown: from n/a through &lt;= 5.0.</t>
        </is>
      </c>
      <c r="D881" s="189" t="n">
        <v>8.5</v>
      </c>
      <c r="E881" s="189" t="inlineStr">
        <is>
          <t>HIGH</t>
        </is>
      </c>
      <c r="F881" s="189" t="n">
        <v>2</v>
      </c>
      <c r="G881" s="189" t="n">
        <v>3</v>
      </c>
      <c r="H881" s="189" t="inlineStr">
        <is>
          <t>HIGH</t>
        </is>
      </c>
      <c r="I881" s="189" t="n">
        <v>14.5</v>
      </c>
      <c r="J881" s="189" t="inlineStr">
        <is>
          <t>NO</t>
        </is>
      </c>
      <c r="K881" s="190" t="inlineStr">
        <is>
          <t>https://nvd.nist.gov/vuln/detail/CVE-2025-68552</t>
        </is>
      </c>
      <c r="L881" s="189" t="inlineStr">
        <is>
          <t>2026-02-23 23:48</t>
        </is>
      </c>
      <c r="M881" s="189" t="inlineStr">
        <is>
          <t>CHECK_VENDOR</t>
        </is>
      </c>
      <c r="N881" s="189" t="inlineStr">
        <is>
          <t>See NVD references</t>
        </is>
      </c>
      <c r="O881" s="189" t="inlineStr">
        <is>
          <t>Apply vendor patches</t>
        </is>
      </c>
      <c r="P881" s="189" t="inlineStr">
        <is>
          <t>See CVE details</t>
        </is>
      </c>
      <c r="Q881" s="189" t="inlineStr">
        <is>
          <t>P3</t>
        </is>
      </c>
      <c r="R881" s="189" t="inlineStr">
        <is>
          <t>🚨 URGENT: Apply vendor patches immediately | 🔒 Isolate affected systems if patch unavailable | 🛡️ Enable additional monitoring/IDS rules</t>
        </is>
      </c>
      <c r="S881" s="189" t="inlineStr">
        <is>
          <t>CVE - IP enrichment n/a</t>
        </is>
      </c>
      <c r="T881" s="189" t="n">
        <v>0</v>
      </c>
      <c r="U881" s="189" t="n">
        <v>0</v>
      </c>
      <c r="V881" s="189" t="inlineStr">
        <is>
          <t>T1190:Exploit Public-Facing Application</t>
        </is>
      </c>
      <c r="W881" s="189" t="n">
        <v>1</v>
      </c>
      <c r="X881" s="189" t="inlineStr">
        <is>
          <t>LOW (40%)</t>
        </is>
      </c>
      <c r="Y881" s="189" t="inlineStr">
        <is>
          <t>UNLIKELY</t>
        </is>
      </c>
      <c r="Z881" s="189" t="inlineStr">
        <is>
          <t>CHECK_VENDOR</t>
        </is>
      </c>
      <c r="AA881" s="190" t="inlineStr">
        <is>
          <t>https://nvd.nist.gov/vuln/detail/CVE-2025-68552</t>
        </is>
      </c>
      <c r="AB881" s="189" t="inlineStr">
        <is>
          <t>NONE</t>
        </is>
      </c>
      <c r="AC881" s="189" t="n">
        <v>0</v>
      </c>
      <c r="AD881" s="189" t="n"/>
    </row>
    <row r="882">
      <c r="A882" s="191" t="inlineStr">
        <is>
          <t>CVE</t>
        </is>
      </c>
      <c r="B882" s="191" t="inlineStr">
        <is>
          <t>CVE-2025-68564</t>
        </is>
      </c>
      <c r="C882" s="191" t="inlineStr">
        <is>
          <t>Missing Authorization vulnerability in sendy Sendy sendy allows Exploiting Incorrectly Configured Access Control Security Levels.This issue affects Sendy: from n/a through &lt;= 3.4.2.</t>
        </is>
      </c>
      <c r="D882" s="191" t="n">
        <v>5</v>
      </c>
      <c r="E882" s="191" t="inlineStr">
        <is>
          <t>MEDIUM</t>
        </is>
      </c>
      <c r="F882" s="191" t="n">
        <v>2</v>
      </c>
      <c r="G882" s="191" t="n">
        <v>2</v>
      </c>
      <c r="H882" s="191" t="inlineStr">
        <is>
          <t>MEDIUM</t>
        </is>
      </c>
      <c r="I882" s="191" t="n">
        <v>9</v>
      </c>
      <c r="J882" s="191" t="inlineStr">
        <is>
          <t>NO</t>
        </is>
      </c>
      <c r="K882" s="192" t="inlineStr">
        <is>
          <t>https://nvd.nist.gov/vuln/detail/CVE-2025-68564</t>
        </is>
      </c>
      <c r="L882" s="191" t="inlineStr">
        <is>
          <t>2026-02-23 23:48</t>
        </is>
      </c>
      <c r="M882" s="191" t="inlineStr">
        <is>
          <t>CHECK_VENDOR</t>
        </is>
      </c>
      <c r="N882" s="191" t="inlineStr">
        <is>
          <t>See NVD references</t>
        </is>
      </c>
      <c r="O882" s="191" t="inlineStr">
        <is>
          <t>Apply vendor patches</t>
        </is>
      </c>
      <c r="P882" s="191" t="inlineStr">
        <is>
          <t>See CVE details</t>
        </is>
      </c>
      <c r="Q882" s="191" t="inlineStr">
        <is>
          <t>P4</t>
        </is>
      </c>
      <c r="R882" s="191" t="inlineStr">
        <is>
          <t>📅 Schedule patch deployment within 30 days | 🔍 Monitor for exploitation attempts</t>
        </is>
      </c>
      <c r="S882" s="191" t="inlineStr">
        <is>
          <t>CVE - IP enrichment n/a</t>
        </is>
      </c>
      <c r="T882" s="191" t="n">
        <v>0</v>
      </c>
      <c r="U882" s="191" t="n">
        <v>0</v>
      </c>
      <c r="V882" s="191" t="inlineStr">
        <is>
          <t>T1190:Exploit Public-Facing Application</t>
        </is>
      </c>
      <c r="W882" s="191" t="n">
        <v>1</v>
      </c>
      <c r="X882" s="191" t="inlineStr">
        <is>
          <t>LOW (40%)</t>
        </is>
      </c>
      <c r="Y882" s="191" t="inlineStr">
        <is>
          <t>UNLIKELY</t>
        </is>
      </c>
      <c r="Z882" s="191" t="inlineStr">
        <is>
          <t>CHECK_VENDOR</t>
        </is>
      </c>
      <c r="AA882" s="192" t="inlineStr">
        <is>
          <t>https://nvd.nist.gov/vuln/detail/CVE-2025-68564</t>
        </is>
      </c>
      <c r="AB882" s="191" t="inlineStr">
        <is>
          <t>NONE</t>
        </is>
      </c>
      <c r="AC882" s="191" t="n">
        <v>0</v>
      </c>
      <c r="AD882" s="191" t="n"/>
    </row>
    <row r="883">
      <c r="A883" s="189" t="inlineStr">
        <is>
          <t>CVE</t>
        </is>
      </c>
      <c r="B883" s="189" t="inlineStr">
        <is>
          <t>CVE-2025-68834</t>
        </is>
      </c>
      <c r="C883" s="189" t="inlineStr">
        <is>
          <t>Missing Authorization vulnerability in Saiful Islam Sync Master Sheet &amp;#8211; Product Sync with Google Sheet for WooCommerce product-sync-master-sheet allows Exploiting Incorrectly Configured Access Control Security Levels.This issue affects Sync Master Sheet &amp;#8211; Product Sync with Google Sheet for WooCommerce: from n/a through &lt;= 1.1.3.</t>
        </is>
      </c>
      <c r="D883" s="189" t="n">
        <v>8.5</v>
      </c>
      <c r="E883" s="189" t="inlineStr">
        <is>
          <t>HIGH</t>
        </is>
      </c>
      <c r="F883" s="189" t="n">
        <v>2</v>
      </c>
      <c r="G883" s="189" t="n">
        <v>3</v>
      </c>
      <c r="H883" s="189" t="inlineStr">
        <is>
          <t>HIGH</t>
        </is>
      </c>
      <c r="I883" s="189" t="n">
        <v>14.5</v>
      </c>
      <c r="J883" s="189" t="inlineStr">
        <is>
          <t>NO</t>
        </is>
      </c>
      <c r="K883" s="190" t="inlineStr">
        <is>
          <t>https://nvd.nist.gov/vuln/detail/CVE-2025-68834</t>
        </is>
      </c>
      <c r="L883" s="189" t="inlineStr">
        <is>
          <t>2026-02-23 23:48</t>
        </is>
      </c>
      <c r="M883" s="189" t="inlineStr">
        <is>
          <t>CHECK_VENDOR</t>
        </is>
      </c>
      <c r="N883" s="189" t="inlineStr">
        <is>
          <t>See NVD references</t>
        </is>
      </c>
      <c r="O883" s="189" t="inlineStr">
        <is>
          <t>Apply vendor patches</t>
        </is>
      </c>
      <c r="P883" s="189" t="inlineStr">
        <is>
          <t>See CVE details</t>
        </is>
      </c>
      <c r="Q883" s="189" t="inlineStr">
        <is>
          <t>P3</t>
        </is>
      </c>
      <c r="R883" s="189" t="inlineStr">
        <is>
          <t>🚨 URGENT: Apply vendor patches immediately | 🔒 Isolate affected systems if patch unavailable | 🛡️ Enable additional monitoring/IDS rules</t>
        </is>
      </c>
      <c r="S883" s="189" t="inlineStr">
        <is>
          <t>CVE - IP enrichment n/a</t>
        </is>
      </c>
      <c r="T883" s="189" t="n">
        <v>0</v>
      </c>
      <c r="U883" s="189" t="n">
        <v>0</v>
      </c>
      <c r="V883" s="189" t="inlineStr">
        <is>
          <t>T1190:Exploit Public-Facing Application</t>
        </is>
      </c>
      <c r="W883" s="189" t="n">
        <v>1</v>
      </c>
      <c r="X883" s="189" t="inlineStr">
        <is>
          <t>LOW (40%)</t>
        </is>
      </c>
      <c r="Y883" s="189" t="inlineStr">
        <is>
          <t>UNLIKELY</t>
        </is>
      </c>
      <c r="Z883" s="189" t="inlineStr">
        <is>
          <t>CHECK_VENDOR</t>
        </is>
      </c>
      <c r="AA883" s="190" t="inlineStr">
        <is>
          <t>https://nvd.nist.gov/vuln/detail/CVE-2025-68834</t>
        </is>
      </c>
      <c r="AB883" s="189" t="inlineStr">
        <is>
          <t>NONE</t>
        </is>
      </c>
      <c r="AC883" s="189" t="n">
        <v>0</v>
      </c>
      <c r="AD883" s="189" t="n"/>
    </row>
    <row r="884">
      <c r="A884" s="191" t="inlineStr">
        <is>
          <t>CVE</t>
        </is>
      </c>
      <c r="B884" s="191" t="inlineStr">
        <is>
          <t>CVE-2025-68837</t>
        </is>
      </c>
      <c r="C884" s="191" t="inlineStr">
        <is>
          <t>Missing Authorization vulnerability in ELEXtensions ELEX WordPress HelpDesk &amp; Customer Ticketing System elex-helpdesk-customer-support-ticket-system allows Exploiting Incorrectly Configured Access Control Security Levels.This issue affects ELEX WordPress HelpDesk &amp; Customer Ticketing System: from n/a through &lt;= 3.3.5.</t>
        </is>
      </c>
      <c r="D884" s="191" t="n">
        <v>5</v>
      </c>
      <c r="E884" s="191" t="inlineStr">
        <is>
          <t>MEDIUM</t>
        </is>
      </c>
      <c r="F884" s="191" t="n">
        <v>2</v>
      </c>
      <c r="G884" s="191" t="n">
        <v>2</v>
      </c>
      <c r="H884" s="191" t="inlineStr">
        <is>
          <t>MEDIUM</t>
        </is>
      </c>
      <c r="I884" s="191" t="n">
        <v>9</v>
      </c>
      <c r="J884" s="191" t="inlineStr">
        <is>
          <t>NO</t>
        </is>
      </c>
      <c r="K884" s="192" t="inlineStr">
        <is>
          <t>https://nvd.nist.gov/vuln/detail/CVE-2025-68837</t>
        </is>
      </c>
      <c r="L884" s="191" t="inlineStr">
        <is>
          <t>2026-02-23 23:48</t>
        </is>
      </c>
      <c r="M884" s="191" t="inlineStr">
        <is>
          <t>CHECK_VENDOR</t>
        </is>
      </c>
      <c r="N884" s="191" t="inlineStr">
        <is>
          <t>See NVD references</t>
        </is>
      </c>
      <c r="O884" s="191" t="inlineStr">
        <is>
          <t>Apply vendor patches</t>
        </is>
      </c>
      <c r="P884" s="191" t="inlineStr">
        <is>
          <t>See CVE details</t>
        </is>
      </c>
      <c r="Q884" s="191" t="inlineStr">
        <is>
          <t>P4</t>
        </is>
      </c>
      <c r="R884" s="191" t="inlineStr">
        <is>
          <t>📅 Schedule patch deployment within 30 days | 🔍 Monitor for exploitation attempts</t>
        </is>
      </c>
      <c r="S884" s="191" t="inlineStr">
        <is>
          <t>CVE - IP enrichment n/a</t>
        </is>
      </c>
      <c r="T884" s="191" t="n">
        <v>0</v>
      </c>
      <c r="U884" s="191" t="n">
        <v>0</v>
      </c>
      <c r="V884" s="191" t="inlineStr">
        <is>
          <t>T1190:Exploit Public-Facing Application</t>
        </is>
      </c>
      <c r="W884" s="191" t="n">
        <v>1</v>
      </c>
      <c r="X884" s="191" t="inlineStr">
        <is>
          <t>LOW (40%)</t>
        </is>
      </c>
      <c r="Y884" s="191" t="inlineStr">
        <is>
          <t>UNLIKELY</t>
        </is>
      </c>
      <c r="Z884" s="191" t="inlineStr">
        <is>
          <t>CHECK_VENDOR</t>
        </is>
      </c>
      <c r="AA884" s="192" t="inlineStr">
        <is>
          <t>https://nvd.nist.gov/vuln/detail/CVE-2025-68837</t>
        </is>
      </c>
      <c r="AB884" s="191" t="inlineStr">
        <is>
          <t>NONE</t>
        </is>
      </c>
      <c r="AC884" s="191" t="n">
        <v>0</v>
      </c>
      <c r="AD884" s="191" t="n"/>
    </row>
    <row r="885">
      <c r="A885" s="191" t="inlineStr">
        <is>
          <t>CVE</t>
        </is>
      </c>
      <c r="B885" s="191" t="inlineStr">
        <is>
          <t>CVE-2025-68841</t>
        </is>
      </c>
      <c r="C885" s="191" t="inlineStr">
        <is>
          <t>Improper Control of Filename for Include/Require Statement in PHP Program ('PHP Remote File Inclusion') vulnerability in Themepul TopperPack – Complete Elementor Addons, Theme &amp; CPT Builder topper-pack allows PHP Local File Inclusion.This issue affects TopperPack – Complete Elementor Addons, Theme &amp; CPT Builder: from n/a through &lt;= 1.2.1.</t>
        </is>
      </c>
      <c r="D885" s="191" t="n">
        <v>5</v>
      </c>
      <c r="E885" s="191" t="inlineStr">
        <is>
          <t>MEDIUM</t>
        </is>
      </c>
      <c r="F885" s="191" t="n">
        <v>2</v>
      </c>
      <c r="G885" s="191" t="n">
        <v>2</v>
      </c>
      <c r="H885" s="191" t="inlineStr">
        <is>
          <t>MEDIUM</t>
        </is>
      </c>
      <c r="I885" s="191" t="n">
        <v>9</v>
      </c>
      <c r="J885" s="191" t="inlineStr">
        <is>
          <t>NO</t>
        </is>
      </c>
      <c r="K885" s="192" t="inlineStr">
        <is>
          <t>https://nvd.nist.gov/vuln/detail/CVE-2025-68841</t>
        </is>
      </c>
      <c r="L885" s="191" t="inlineStr">
        <is>
          <t>2026-02-23 23:48</t>
        </is>
      </c>
      <c r="M885" s="191" t="inlineStr">
        <is>
          <t>CHECK_VENDOR</t>
        </is>
      </c>
      <c r="N885" s="191" t="inlineStr">
        <is>
          <t>See NVD references</t>
        </is>
      </c>
      <c r="O885" s="191" t="inlineStr">
        <is>
          <t>Apply vendor patches</t>
        </is>
      </c>
      <c r="P885" s="191" t="inlineStr">
        <is>
          <t>See CVE details</t>
        </is>
      </c>
      <c r="Q885" s="191" t="inlineStr">
        <is>
          <t>P4</t>
        </is>
      </c>
      <c r="R885" s="191" t="inlineStr">
        <is>
          <t>📅 Schedule patch deployment within 30 days | 🔍 Monitor for exploitation attempts</t>
        </is>
      </c>
      <c r="S885" s="191" t="inlineStr">
        <is>
          <t>CVE - IP enrichment n/a</t>
        </is>
      </c>
      <c r="T885" s="191" t="n">
        <v>0.0005</v>
      </c>
      <c r="U885" s="191" t="n">
        <v>0.1673</v>
      </c>
      <c r="V885" s="191" t="inlineStr">
        <is>
          <t>T1190:Exploit Public-Facing Application</t>
        </is>
      </c>
      <c r="W885" s="191" t="n">
        <v>1</v>
      </c>
      <c r="X885" s="191" t="inlineStr">
        <is>
          <t>LOW (40%)</t>
        </is>
      </c>
      <c r="Y885" s="191" t="inlineStr">
        <is>
          <t>UNLIKELY</t>
        </is>
      </c>
      <c r="Z885" s="191" t="inlineStr">
        <is>
          <t>CHECK_VENDOR</t>
        </is>
      </c>
      <c r="AA885" s="192" t="inlineStr">
        <is>
          <t>https://nvd.nist.gov/vuln/detail/CVE-2025-68841</t>
        </is>
      </c>
      <c r="AB885" s="191" t="inlineStr">
        <is>
          <t>NONE</t>
        </is>
      </c>
      <c r="AC885" s="191" t="n">
        <v>0</v>
      </c>
      <c r="AD885" s="191" t="n"/>
    </row>
    <row r="886">
      <c r="A886" s="191" t="inlineStr">
        <is>
          <t>CVE</t>
        </is>
      </c>
      <c r="B886" s="191" t="inlineStr">
        <is>
          <t>CVE-2025-68842</t>
        </is>
      </c>
      <c r="C886" s="191" t="inlineStr">
        <is>
          <t>Improper Neutralization of Input During Web Page Generation ('Cross-site Scripting') vulnerability in totalbounty Widget Logic Visual widget-logic-visual allows Reflected XSS.This issue affects Widget Logic Visual: from n/a through &lt;= 1.52.</t>
        </is>
      </c>
      <c r="D886" s="191" t="n">
        <v>5</v>
      </c>
      <c r="E886" s="191" t="inlineStr">
        <is>
          <t>MEDIUM</t>
        </is>
      </c>
      <c r="F886" s="191" t="n">
        <v>2</v>
      </c>
      <c r="G886" s="191" t="n">
        <v>2</v>
      </c>
      <c r="H886" s="191" t="inlineStr">
        <is>
          <t>MEDIUM</t>
        </is>
      </c>
      <c r="I886" s="191" t="n">
        <v>9</v>
      </c>
      <c r="J886" s="191" t="inlineStr">
        <is>
          <t>NO</t>
        </is>
      </c>
      <c r="K886" s="192" t="inlineStr">
        <is>
          <t>https://nvd.nist.gov/vuln/detail/CVE-2025-68842</t>
        </is>
      </c>
      <c r="L886" s="191" t="inlineStr">
        <is>
          <t>2026-02-23 23:48</t>
        </is>
      </c>
      <c r="M886" s="191" t="inlineStr">
        <is>
          <t>CHECK_VENDOR</t>
        </is>
      </c>
      <c r="N886" s="191" t="inlineStr">
        <is>
          <t>See NVD references</t>
        </is>
      </c>
      <c r="O886" s="191" t="inlineStr">
        <is>
          <t>Apply vendor patches</t>
        </is>
      </c>
      <c r="P886" s="191" t="inlineStr">
        <is>
          <t>See CVE details</t>
        </is>
      </c>
      <c r="Q886" s="191" t="inlineStr">
        <is>
          <t>P4</t>
        </is>
      </c>
      <c r="R886" s="191" t="inlineStr">
        <is>
          <t>📅 Schedule patch deployment within 30 days | 🔍 Monitor for exploitation attempts</t>
        </is>
      </c>
      <c r="S886" s="191" t="inlineStr">
        <is>
          <t>CVE - IP enrichment n/a</t>
        </is>
      </c>
      <c r="T886" s="191" t="n">
        <v>0</v>
      </c>
      <c r="U886" s="191" t="n">
        <v>0</v>
      </c>
      <c r="V886" s="191" t="inlineStr">
        <is>
          <t>T1189:Drive-by Compromise</t>
        </is>
      </c>
      <c r="W886" s="191" t="n">
        <v>1</v>
      </c>
      <c r="X886" s="191" t="inlineStr">
        <is>
          <t>LOW (40%)</t>
        </is>
      </c>
      <c r="Y886" s="191" t="inlineStr">
        <is>
          <t>UNLIKELY</t>
        </is>
      </c>
      <c r="Z886" s="191" t="inlineStr">
        <is>
          <t>CHECK_VENDOR</t>
        </is>
      </c>
      <c r="AA886" s="192" t="inlineStr">
        <is>
          <t>https://nvd.nist.gov/vuln/detail/CVE-2025-68842</t>
        </is>
      </c>
      <c r="AB886" s="191" t="inlineStr">
        <is>
          <t>NONE</t>
        </is>
      </c>
      <c r="AC886" s="191" t="n">
        <v>0</v>
      </c>
      <c r="AD886" s="191" t="n"/>
    </row>
    <row r="887">
      <c r="A887" s="191" t="inlineStr">
        <is>
          <t>CVE</t>
        </is>
      </c>
      <c r="B887" s="191" t="inlineStr">
        <is>
          <t>CVE-2025-68843</t>
        </is>
      </c>
      <c r="C887" s="191" t="inlineStr">
        <is>
          <t>Improper Neutralization of Input During Web Page Generation ('Cross-site Scripting') vulnerability in Bas Schuiling FeedWordPress Advanced Filters faf allows Reflected XSS.This issue affects FeedWordPress Advanced Filters: from n/a through &lt;= 0.6.2.</t>
        </is>
      </c>
      <c r="D887" s="191" t="n">
        <v>5</v>
      </c>
      <c r="E887" s="191" t="inlineStr">
        <is>
          <t>MEDIUM</t>
        </is>
      </c>
      <c r="F887" s="191" t="n">
        <v>2</v>
      </c>
      <c r="G887" s="191" t="n">
        <v>2</v>
      </c>
      <c r="H887" s="191" t="inlineStr">
        <is>
          <t>MEDIUM</t>
        </is>
      </c>
      <c r="I887" s="191" t="n">
        <v>9</v>
      </c>
      <c r="J887" s="191" t="inlineStr">
        <is>
          <t>NO</t>
        </is>
      </c>
      <c r="K887" s="192" t="inlineStr">
        <is>
          <t>https://nvd.nist.gov/vuln/detail/CVE-2025-68843</t>
        </is>
      </c>
      <c r="L887" s="191" t="inlineStr">
        <is>
          <t>2026-02-23 23:48</t>
        </is>
      </c>
      <c r="M887" s="191" t="inlineStr">
        <is>
          <t>CHECK_VENDOR</t>
        </is>
      </c>
      <c r="N887" s="191" t="inlineStr">
        <is>
          <t>See NVD references</t>
        </is>
      </c>
      <c r="O887" s="191" t="inlineStr">
        <is>
          <t>Apply vendor patches</t>
        </is>
      </c>
      <c r="P887" s="191" t="inlineStr">
        <is>
          <t>See CVE details</t>
        </is>
      </c>
      <c r="Q887" s="191" t="inlineStr">
        <is>
          <t>P4</t>
        </is>
      </c>
      <c r="R887" s="191" t="inlineStr">
        <is>
          <t>📅 Schedule patch deployment within 30 days | 🔍 Monitor for exploitation attempts</t>
        </is>
      </c>
      <c r="S887" s="191" t="inlineStr">
        <is>
          <t>CVE - IP enrichment n/a</t>
        </is>
      </c>
      <c r="T887" s="191" t="n">
        <v>0</v>
      </c>
      <c r="U887" s="191" t="n">
        <v>0</v>
      </c>
      <c r="V887" s="191" t="inlineStr">
        <is>
          <t>T1189:Drive-by Compromise</t>
        </is>
      </c>
      <c r="W887" s="191" t="n">
        <v>1</v>
      </c>
      <c r="X887" s="191" t="inlineStr">
        <is>
          <t>LOW (40%)</t>
        </is>
      </c>
      <c r="Y887" s="191" t="inlineStr">
        <is>
          <t>UNLIKELY</t>
        </is>
      </c>
      <c r="Z887" s="191" t="inlineStr">
        <is>
          <t>CHECK_VENDOR</t>
        </is>
      </c>
      <c r="AA887" s="192" t="inlineStr">
        <is>
          <t>https://nvd.nist.gov/vuln/detail/CVE-2025-68843</t>
        </is>
      </c>
      <c r="AB887" s="191" t="inlineStr">
        <is>
          <t>NONE</t>
        </is>
      </c>
      <c r="AC887" s="191" t="n">
        <v>0</v>
      </c>
      <c r="AD887" s="191" t="n"/>
    </row>
    <row r="888">
      <c r="A888" s="191" t="inlineStr">
        <is>
          <t>CVE</t>
        </is>
      </c>
      <c r="B888" s="191" t="inlineStr">
        <is>
          <t>CVE-2025-68844</t>
        </is>
      </c>
      <c r="C888" s="191" t="inlineStr">
        <is>
          <t>Improper Neutralization of Input During Web Page Generation ('Cross-site Scripting') vulnerability in DaleAB Membee Login membees-member-login-widget allows Reflected XSS.This issue affects Membee Login: from n/a through &lt;= 2.3.6.</t>
        </is>
      </c>
      <c r="D888" s="191" t="n">
        <v>5</v>
      </c>
      <c r="E888" s="191" t="inlineStr">
        <is>
          <t>MEDIUM</t>
        </is>
      </c>
      <c r="F888" s="191" t="n">
        <v>2</v>
      </c>
      <c r="G888" s="191" t="n">
        <v>2</v>
      </c>
      <c r="H888" s="191" t="inlineStr">
        <is>
          <t>MEDIUM</t>
        </is>
      </c>
      <c r="I888" s="191" t="n">
        <v>9</v>
      </c>
      <c r="J888" s="191" t="inlineStr">
        <is>
          <t>NO</t>
        </is>
      </c>
      <c r="K888" s="192" t="inlineStr">
        <is>
          <t>https://nvd.nist.gov/vuln/detail/CVE-2025-68844</t>
        </is>
      </c>
      <c r="L888" s="191" t="inlineStr">
        <is>
          <t>2026-02-23 23:48</t>
        </is>
      </c>
      <c r="M888" s="191" t="inlineStr">
        <is>
          <t>CHECK_VENDOR</t>
        </is>
      </c>
      <c r="N888" s="191" t="inlineStr">
        <is>
          <t>See NVD references</t>
        </is>
      </c>
      <c r="O888" s="191" t="inlineStr">
        <is>
          <t>Apply vendor patches</t>
        </is>
      </c>
      <c r="P888" s="191" t="inlineStr">
        <is>
          <t>See CVE details</t>
        </is>
      </c>
      <c r="Q888" s="191" t="inlineStr">
        <is>
          <t>P4</t>
        </is>
      </c>
      <c r="R888" s="191" t="inlineStr">
        <is>
          <t>📅 Schedule patch deployment within 30 days | 🔍 Monitor for exploitation attempts</t>
        </is>
      </c>
      <c r="S888" s="191" t="inlineStr">
        <is>
          <t>CVE - IP enrichment n/a</t>
        </is>
      </c>
      <c r="T888" s="191" t="n">
        <v>0</v>
      </c>
      <c r="U888" s="191" t="n">
        <v>0</v>
      </c>
      <c r="V888" s="191" t="inlineStr">
        <is>
          <t>T1189:Drive-by Compromise</t>
        </is>
      </c>
      <c r="W888" s="191" t="n">
        <v>1</v>
      </c>
      <c r="X888" s="191" t="inlineStr">
        <is>
          <t>LOW (40%)</t>
        </is>
      </c>
      <c r="Y888" s="191" t="inlineStr">
        <is>
          <t>UNLIKELY</t>
        </is>
      </c>
      <c r="Z888" s="191" t="inlineStr">
        <is>
          <t>CHECK_VENDOR</t>
        </is>
      </c>
      <c r="AA888" s="192" t="inlineStr">
        <is>
          <t>https://nvd.nist.gov/vuln/detail/CVE-2025-68844</t>
        </is>
      </c>
      <c r="AB888" s="191" t="inlineStr">
        <is>
          <t>NONE</t>
        </is>
      </c>
      <c r="AC888" s="191" t="n">
        <v>0</v>
      </c>
      <c r="AD888" s="191" t="n"/>
    </row>
    <row r="889">
      <c r="A889" s="191" t="inlineStr">
        <is>
          <t>CVE</t>
        </is>
      </c>
      <c r="B889" s="191" t="inlineStr">
        <is>
          <t>CVE-2025-68845</t>
        </is>
      </c>
      <c r="C889" s="191" t="inlineStr">
        <is>
          <t>Improper Neutralization of Input During Web Page Generation ('Cross-site Scripting') vulnerability in aThemeArt Translations eDS Responsive Menu eds-responsive-menu allows Reflected XSS.This issue affects eDS Responsive Menu: from n/a through &lt;= 1.2.</t>
        </is>
      </c>
      <c r="D889" s="191" t="n">
        <v>5</v>
      </c>
      <c r="E889" s="191" t="inlineStr">
        <is>
          <t>MEDIUM</t>
        </is>
      </c>
      <c r="F889" s="191" t="n">
        <v>2</v>
      </c>
      <c r="G889" s="191" t="n">
        <v>2</v>
      </c>
      <c r="H889" s="191" t="inlineStr">
        <is>
          <t>MEDIUM</t>
        </is>
      </c>
      <c r="I889" s="191" t="n">
        <v>9</v>
      </c>
      <c r="J889" s="191" t="inlineStr">
        <is>
          <t>NO</t>
        </is>
      </c>
      <c r="K889" s="192" t="inlineStr">
        <is>
          <t>https://nvd.nist.gov/vuln/detail/CVE-2025-68845</t>
        </is>
      </c>
      <c r="L889" s="191" t="inlineStr">
        <is>
          <t>2026-02-23 23:48</t>
        </is>
      </c>
      <c r="M889" s="191" t="inlineStr">
        <is>
          <t>CHECK_VENDOR</t>
        </is>
      </c>
      <c r="N889" s="191" t="inlineStr">
        <is>
          <t>See NVD references</t>
        </is>
      </c>
      <c r="O889" s="191" t="inlineStr">
        <is>
          <t>Apply vendor patches</t>
        </is>
      </c>
      <c r="P889" s="191" t="inlineStr">
        <is>
          <t>See CVE details</t>
        </is>
      </c>
      <c r="Q889" s="191" t="inlineStr">
        <is>
          <t>P4</t>
        </is>
      </c>
      <c r="R889" s="191" t="inlineStr">
        <is>
          <t>📅 Schedule patch deployment within 30 days | 🔍 Monitor for exploitation attempts</t>
        </is>
      </c>
      <c r="S889" s="191" t="inlineStr">
        <is>
          <t>CVE - IP enrichment n/a</t>
        </is>
      </c>
      <c r="T889" s="191" t="n">
        <v>0.0003</v>
      </c>
      <c r="U889" s="191" t="n">
        <v>0.0808</v>
      </c>
      <c r="V889" s="191" t="inlineStr">
        <is>
          <t>T1189:Drive-by Compromise</t>
        </is>
      </c>
      <c r="W889" s="191" t="n">
        <v>1</v>
      </c>
      <c r="X889" s="191" t="inlineStr">
        <is>
          <t>LOW (40%)</t>
        </is>
      </c>
      <c r="Y889" s="191" t="inlineStr">
        <is>
          <t>UNLIKELY</t>
        </is>
      </c>
      <c r="Z889" s="191" t="inlineStr">
        <is>
          <t>CHECK_VENDOR</t>
        </is>
      </c>
      <c r="AA889" s="192" t="inlineStr">
        <is>
          <t>https://nvd.nist.gov/vuln/detail/CVE-2025-68845</t>
        </is>
      </c>
      <c r="AB889" s="191" t="inlineStr">
        <is>
          <t>NONE</t>
        </is>
      </c>
      <c r="AC889" s="191" t="n">
        <v>0</v>
      </c>
      <c r="AD889" s="191" t="n"/>
    </row>
    <row r="890">
      <c r="A890" s="191" t="inlineStr">
        <is>
          <t>CVE</t>
        </is>
      </c>
      <c r="B890" s="191" t="inlineStr">
        <is>
          <t>CVE-2025-68846</t>
        </is>
      </c>
      <c r="C890" s="191" t="inlineStr">
        <is>
          <t>Improper Neutralization of Input During Web Page Generation ('Cross-site Scripting') vulnerability in Paris Holley Asynchronous Javascript asynchronous-javascript allows Reflected XSS.This issue affects Asynchronous Javascript: from n/a through &lt;= 1.3.5.</t>
        </is>
      </c>
      <c r="D890" s="191" t="n">
        <v>5</v>
      </c>
      <c r="E890" s="191" t="inlineStr">
        <is>
          <t>MEDIUM</t>
        </is>
      </c>
      <c r="F890" s="191" t="n">
        <v>2</v>
      </c>
      <c r="G890" s="191" t="n">
        <v>2</v>
      </c>
      <c r="H890" s="191" t="inlineStr">
        <is>
          <t>MEDIUM</t>
        </is>
      </c>
      <c r="I890" s="191" t="n">
        <v>9</v>
      </c>
      <c r="J890" s="191" t="inlineStr">
        <is>
          <t>NO</t>
        </is>
      </c>
      <c r="K890" s="192" t="inlineStr">
        <is>
          <t>https://nvd.nist.gov/vuln/detail/CVE-2025-68846</t>
        </is>
      </c>
      <c r="L890" s="191" t="inlineStr">
        <is>
          <t>2026-02-23 23:48</t>
        </is>
      </c>
      <c r="M890" s="191" t="inlineStr">
        <is>
          <t>CHECK_VENDOR</t>
        </is>
      </c>
      <c r="N890" s="191" t="inlineStr">
        <is>
          <t>See NVD references</t>
        </is>
      </c>
      <c r="O890" s="191" t="inlineStr">
        <is>
          <t>Apply vendor patches</t>
        </is>
      </c>
      <c r="P890" s="191" t="inlineStr">
        <is>
          <t>See CVE details</t>
        </is>
      </c>
      <c r="Q890" s="191" t="inlineStr">
        <is>
          <t>P4</t>
        </is>
      </c>
      <c r="R890" s="191" t="inlineStr">
        <is>
          <t>📅 Schedule patch deployment within 30 days | 🔍 Monitor for exploitation attempts</t>
        </is>
      </c>
      <c r="S890" s="191" t="inlineStr">
        <is>
          <t>CVE - IP enrichment n/a</t>
        </is>
      </c>
      <c r="T890" s="191" t="n">
        <v>0</v>
      </c>
      <c r="U890" s="191" t="n">
        <v>0</v>
      </c>
      <c r="V890" s="191" t="inlineStr">
        <is>
          <t>T1189:Drive-by Compromise</t>
        </is>
      </c>
      <c r="W890" s="191" t="n">
        <v>1</v>
      </c>
      <c r="X890" s="191" t="inlineStr">
        <is>
          <t>LOW (40%)</t>
        </is>
      </c>
      <c r="Y890" s="191" t="inlineStr">
        <is>
          <t>UNLIKELY</t>
        </is>
      </c>
      <c r="Z890" s="191" t="inlineStr">
        <is>
          <t>CHECK_VENDOR</t>
        </is>
      </c>
      <c r="AA890" s="192" t="inlineStr">
        <is>
          <t>https://nvd.nist.gov/vuln/detail/CVE-2025-68846</t>
        </is>
      </c>
      <c r="AB890" s="191" t="inlineStr">
        <is>
          <t>NONE</t>
        </is>
      </c>
      <c r="AC890" s="191" t="n">
        <v>0</v>
      </c>
      <c r="AD890" s="191" t="n"/>
    </row>
    <row r="891">
      <c r="A891" s="191" t="inlineStr">
        <is>
          <t>CVE</t>
        </is>
      </c>
      <c r="B891" s="191" t="inlineStr">
        <is>
          <t>CVE-2025-68847</t>
        </is>
      </c>
      <c r="C891" s="191" t="inlineStr">
        <is>
          <t>Improper Neutralization of Input During Web Page Generation ('Cross-site Scripting') vulnerability in itex iSape isape allows Reflected XSS.This issue affects iSape: from n/a through &lt;= 0.72.</t>
        </is>
      </c>
      <c r="D891" s="191" t="n">
        <v>5</v>
      </c>
      <c r="E891" s="191" t="inlineStr">
        <is>
          <t>MEDIUM</t>
        </is>
      </c>
      <c r="F891" s="191" t="n">
        <v>2</v>
      </c>
      <c r="G891" s="191" t="n">
        <v>2</v>
      </c>
      <c r="H891" s="191" t="inlineStr">
        <is>
          <t>MEDIUM</t>
        </is>
      </c>
      <c r="I891" s="191" t="n">
        <v>9</v>
      </c>
      <c r="J891" s="191" t="inlineStr">
        <is>
          <t>NO</t>
        </is>
      </c>
      <c r="K891" s="192" t="inlineStr">
        <is>
          <t>https://nvd.nist.gov/vuln/detail/CVE-2025-68847</t>
        </is>
      </c>
      <c r="L891" s="191" t="inlineStr">
        <is>
          <t>2026-02-23 23:48</t>
        </is>
      </c>
      <c r="M891" s="191" t="inlineStr">
        <is>
          <t>CHECK_VENDOR</t>
        </is>
      </c>
      <c r="N891" s="191" t="inlineStr">
        <is>
          <t>See NVD references</t>
        </is>
      </c>
      <c r="O891" s="191" t="inlineStr">
        <is>
          <t>Apply vendor patches</t>
        </is>
      </c>
      <c r="P891" s="191" t="inlineStr">
        <is>
          <t>See CVE details</t>
        </is>
      </c>
      <c r="Q891" s="191" t="inlineStr">
        <is>
          <t>P4</t>
        </is>
      </c>
      <c r="R891" s="191" t="inlineStr">
        <is>
          <t>📅 Schedule patch deployment within 30 days | 🔍 Monitor for exploitation attempts</t>
        </is>
      </c>
      <c r="S891" s="191" t="inlineStr">
        <is>
          <t>CVE - IP enrichment n/a</t>
        </is>
      </c>
      <c r="T891" s="191" t="n">
        <v>0</v>
      </c>
      <c r="U891" s="191" t="n">
        <v>0</v>
      </c>
      <c r="V891" s="191" t="inlineStr">
        <is>
          <t>T1189:Drive-by Compromise</t>
        </is>
      </c>
      <c r="W891" s="191" t="n">
        <v>1</v>
      </c>
      <c r="X891" s="191" t="inlineStr">
        <is>
          <t>LOW (40%)</t>
        </is>
      </c>
      <c r="Y891" s="191" t="inlineStr">
        <is>
          <t>UNLIKELY</t>
        </is>
      </c>
      <c r="Z891" s="191" t="inlineStr">
        <is>
          <t>CHECK_VENDOR</t>
        </is>
      </c>
      <c r="AA891" s="192" t="inlineStr">
        <is>
          <t>https://nvd.nist.gov/vuln/detail/CVE-2025-68847</t>
        </is>
      </c>
      <c r="AB891" s="191" t="inlineStr">
        <is>
          <t>NONE</t>
        </is>
      </c>
      <c r="AC891" s="191" t="n">
        <v>0</v>
      </c>
      <c r="AD891" s="191" t="n"/>
    </row>
    <row r="892">
      <c r="A892" s="191" t="inlineStr">
        <is>
          <t>CVE</t>
        </is>
      </c>
      <c r="B892" s="191" t="inlineStr">
        <is>
          <t>CVE-2025-68848</t>
        </is>
      </c>
      <c r="C892" s="191" t="inlineStr">
        <is>
          <t>Improper Neutralization of Input During Web Page Generation ('Cross-site Scripting') vulnerability in anmari amr cron manager amr-cron-manager allows Reflected XSS.This issue affects amr cron manager: from n/a through &lt;= 2.3.</t>
        </is>
      </c>
      <c r="D892" s="191" t="n">
        <v>5</v>
      </c>
      <c r="E892" s="191" t="inlineStr">
        <is>
          <t>MEDIUM</t>
        </is>
      </c>
      <c r="F892" s="191" t="n">
        <v>2</v>
      </c>
      <c r="G892" s="191" t="n">
        <v>2</v>
      </c>
      <c r="H892" s="191" t="inlineStr">
        <is>
          <t>MEDIUM</t>
        </is>
      </c>
      <c r="I892" s="191" t="n">
        <v>9</v>
      </c>
      <c r="J892" s="191" t="inlineStr">
        <is>
          <t>NO</t>
        </is>
      </c>
      <c r="K892" s="192" t="inlineStr">
        <is>
          <t>https://nvd.nist.gov/vuln/detail/CVE-2025-68848</t>
        </is>
      </c>
      <c r="L892" s="191" t="inlineStr">
        <is>
          <t>2026-02-23 23:48</t>
        </is>
      </c>
      <c r="M892" s="191" t="inlineStr">
        <is>
          <t>CHECK_VENDOR</t>
        </is>
      </c>
      <c r="N892" s="191" t="inlineStr">
        <is>
          <t>See NVD references</t>
        </is>
      </c>
      <c r="O892" s="191" t="inlineStr">
        <is>
          <t>Apply vendor patches</t>
        </is>
      </c>
      <c r="P892" s="191" t="inlineStr">
        <is>
          <t>See CVE details</t>
        </is>
      </c>
      <c r="Q892" s="191" t="inlineStr">
        <is>
          <t>P4</t>
        </is>
      </c>
      <c r="R892" s="191" t="inlineStr">
        <is>
          <t>📅 Schedule patch deployment within 30 days | 🔍 Monitor for exploitation attempts</t>
        </is>
      </c>
      <c r="S892" s="191" t="inlineStr">
        <is>
          <t>CVE - IP enrichment n/a</t>
        </is>
      </c>
      <c r="T892" s="191" t="n">
        <v>0.0003</v>
      </c>
      <c r="U892" s="191" t="n">
        <v>0.0808</v>
      </c>
      <c r="V892" s="191" t="inlineStr">
        <is>
          <t>T1189:Drive-by Compromise</t>
        </is>
      </c>
      <c r="W892" s="191" t="n">
        <v>1</v>
      </c>
      <c r="X892" s="191" t="inlineStr">
        <is>
          <t>LOW (40%)</t>
        </is>
      </c>
      <c r="Y892" s="191" t="inlineStr">
        <is>
          <t>UNLIKELY</t>
        </is>
      </c>
      <c r="Z892" s="191" t="inlineStr">
        <is>
          <t>CHECK_VENDOR</t>
        </is>
      </c>
      <c r="AA892" s="192" t="inlineStr">
        <is>
          <t>https://nvd.nist.gov/vuln/detail/CVE-2025-68848</t>
        </is>
      </c>
      <c r="AB892" s="191" t="inlineStr">
        <is>
          <t>NONE</t>
        </is>
      </c>
      <c r="AC892" s="191" t="n">
        <v>0</v>
      </c>
      <c r="AD892" s="191" t="n"/>
    </row>
    <row r="893">
      <c r="A893" s="191" t="inlineStr">
        <is>
          <t>CVE</t>
        </is>
      </c>
      <c r="B893" s="191" t="inlineStr">
        <is>
          <t>CVE-2025-68852</t>
        </is>
      </c>
      <c r="C893" s="191" t="inlineStr">
        <is>
          <t>Improper Neutralization of Input During Web Page Generation ('Cross-site Scripting') vulnerability in webmuehle Court Reservation court-reservation allows Reflected XSS.This issue affects Court Reservation: from n/a through &lt;= 1.10.9.</t>
        </is>
      </c>
      <c r="D893" s="191" t="n">
        <v>5</v>
      </c>
      <c r="E893" s="191" t="inlineStr">
        <is>
          <t>MEDIUM</t>
        </is>
      </c>
      <c r="F893" s="191" t="n">
        <v>2</v>
      </c>
      <c r="G893" s="191" t="n">
        <v>2</v>
      </c>
      <c r="H893" s="191" t="inlineStr">
        <is>
          <t>MEDIUM</t>
        </is>
      </c>
      <c r="I893" s="191" t="n">
        <v>9</v>
      </c>
      <c r="J893" s="191" t="inlineStr">
        <is>
          <t>NO</t>
        </is>
      </c>
      <c r="K893" s="192" t="inlineStr">
        <is>
          <t>https://nvd.nist.gov/vuln/detail/CVE-2025-68852</t>
        </is>
      </c>
      <c r="L893" s="191" t="inlineStr">
        <is>
          <t>2026-02-23 23:48</t>
        </is>
      </c>
      <c r="M893" s="191" t="inlineStr">
        <is>
          <t>CHECK_VENDOR</t>
        </is>
      </c>
      <c r="N893" s="191" t="inlineStr">
        <is>
          <t>See NVD references</t>
        </is>
      </c>
      <c r="O893" s="191" t="inlineStr">
        <is>
          <t>Apply vendor patches</t>
        </is>
      </c>
      <c r="P893" s="191" t="inlineStr">
        <is>
          <t>See CVE details</t>
        </is>
      </c>
      <c r="Q893" s="191" t="inlineStr">
        <is>
          <t>P4</t>
        </is>
      </c>
      <c r="R893" s="191" t="inlineStr">
        <is>
          <t>📅 Schedule patch deployment within 30 days | 🔍 Monitor for exploitation attempts</t>
        </is>
      </c>
      <c r="S893" s="191" t="inlineStr">
        <is>
          <t>CVE - IP enrichment n/a</t>
        </is>
      </c>
      <c r="T893" s="191" t="n">
        <v>0</v>
      </c>
      <c r="U893" s="191" t="n">
        <v>0</v>
      </c>
      <c r="V893" s="191" t="inlineStr">
        <is>
          <t>T1189:Drive-by Compromise</t>
        </is>
      </c>
      <c r="W893" s="191" t="n">
        <v>1</v>
      </c>
      <c r="X893" s="191" t="inlineStr">
        <is>
          <t>LOW (40%)</t>
        </is>
      </c>
      <c r="Y893" s="191" t="inlineStr">
        <is>
          <t>UNLIKELY</t>
        </is>
      </c>
      <c r="Z893" s="191" t="inlineStr">
        <is>
          <t>CHECK_VENDOR</t>
        </is>
      </c>
      <c r="AA893" s="192" t="inlineStr">
        <is>
          <t>https://nvd.nist.gov/vuln/detail/CVE-2025-68852</t>
        </is>
      </c>
      <c r="AB893" s="191" t="inlineStr">
        <is>
          <t>NONE</t>
        </is>
      </c>
      <c r="AC893" s="191" t="n">
        <v>0</v>
      </c>
      <c r="AD893" s="191" t="n"/>
    </row>
    <row r="894">
      <c r="A894" s="191" t="inlineStr">
        <is>
          <t>CVE</t>
        </is>
      </c>
      <c r="B894" s="191" t="inlineStr">
        <is>
          <t>CVE-2025-68853</t>
        </is>
      </c>
      <c r="C894" s="191" t="inlineStr">
        <is>
          <t>Deserialization of Untrusted Data vulnerability in Kleor Contact Manager contact-manager allows Object Injection.This issue affects Contact Manager: from n/a through &lt;= 9.1.1.</t>
        </is>
      </c>
      <c r="D894" s="191" t="n">
        <v>5</v>
      </c>
      <c r="E894" s="191" t="inlineStr">
        <is>
          <t>MEDIUM</t>
        </is>
      </c>
      <c r="F894" s="191" t="n">
        <v>2</v>
      </c>
      <c r="G894" s="191" t="n">
        <v>2</v>
      </c>
      <c r="H894" s="191" t="inlineStr">
        <is>
          <t>MEDIUM</t>
        </is>
      </c>
      <c r="I894" s="191" t="n">
        <v>9</v>
      </c>
      <c r="J894" s="191" t="inlineStr">
        <is>
          <t>NO</t>
        </is>
      </c>
      <c r="K894" s="192" t="inlineStr">
        <is>
          <t>https://nvd.nist.gov/vuln/detail/CVE-2025-68853</t>
        </is>
      </c>
      <c r="L894" s="191" t="inlineStr">
        <is>
          <t>2026-02-23 23:48</t>
        </is>
      </c>
      <c r="M894" s="191" t="inlineStr">
        <is>
          <t>CHECK_VENDOR</t>
        </is>
      </c>
      <c r="N894" s="191" t="inlineStr">
        <is>
          <t>See NVD references</t>
        </is>
      </c>
      <c r="O894" s="191" t="inlineStr">
        <is>
          <t>Apply vendor patches</t>
        </is>
      </c>
      <c r="P894" s="191" t="inlineStr">
        <is>
          <t>See CVE details</t>
        </is>
      </c>
      <c r="Q894" s="191" t="inlineStr">
        <is>
          <t>P4</t>
        </is>
      </c>
      <c r="R894" s="191" t="inlineStr">
        <is>
          <t>📅 Schedule patch deployment within 30 days | 🔍 Monitor for exploitation attempts</t>
        </is>
      </c>
      <c r="S894" s="191" t="inlineStr">
        <is>
          <t>CVE - IP enrichment n/a</t>
        </is>
      </c>
      <c r="T894" s="191" t="n">
        <v>0</v>
      </c>
      <c r="U894" s="191" t="n">
        <v>0</v>
      </c>
      <c r="V894" s="191" t="inlineStr">
        <is>
          <t>T1059:Command and Scripting Interpreter</t>
        </is>
      </c>
      <c r="W894" s="191" t="n">
        <v>1</v>
      </c>
      <c r="X894" s="191" t="inlineStr">
        <is>
          <t>LOW (40%)</t>
        </is>
      </c>
      <c r="Y894" s="191" t="inlineStr">
        <is>
          <t>UNLIKELY</t>
        </is>
      </c>
      <c r="Z894" s="191" t="inlineStr">
        <is>
          <t>CHECK_VENDOR</t>
        </is>
      </c>
      <c r="AA894" s="192" t="inlineStr">
        <is>
          <t>https://nvd.nist.gov/vuln/detail/CVE-2025-68853</t>
        </is>
      </c>
      <c r="AB894" s="191" t="inlineStr">
        <is>
          <t>NONE</t>
        </is>
      </c>
      <c r="AC894" s="191" t="n">
        <v>0</v>
      </c>
      <c r="AD894" s="191" t="n"/>
    </row>
    <row r="895">
      <c r="A895" s="191" t="inlineStr">
        <is>
          <t>CVE</t>
        </is>
      </c>
      <c r="B895" s="191" t="inlineStr">
        <is>
          <t>CVE-2025-68854</t>
        </is>
      </c>
      <c r="C895" s="191" t="inlineStr">
        <is>
          <t>Improper Neutralization of Input During Web Page Generation ('Cross-site Scripting') vulnerability in harman79 ID Arrays id-arrays allows DOM-Based XSS.This issue affects ID Arrays: from n/a through &lt;= 2.1.2.</t>
        </is>
      </c>
      <c r="D895" s="191" t="n">
        <v>5</v>
      </c>
      <c r="E895" s="191" t="inlineStr">
        <is>
          <t>MEDIUM</t>
        </is>
      </c>
      <c r="F895" s="191" t="n">
        <v>2</v>
      </c>
      <c r="G895" s="191" t="n">
        <v>2</v>
      </c>
      <c r="H895" s="191" t="inlineStr">
        <is>
          <t>MEDIUM</t>
        </is>
      </c>
      <c r="I895" s="191" t="n">
        <v>9</v>
      </c>
      <c r="J895" s="191" t="inlineStr">
        <is>
          <t>NO</t>
        </is>
      </c>
      <c r="K895" s="192" t="inlineStr">
        <is>
          <t>https://nvd.nist.gov/vuln/detail/CVE-2025-68854</t>
        </is>
      </c>
      <c r="L895" s="191" t="inlineStr">
        <is>
          <t>2026-02-23 23:48</t>
        </is>
      </c>
      <c r="M895" s="191" t="inlineStr">
        <is>
          <t>CHECK_VENDOR</t>
        </is>
      </c>
      <c r="N895" s="191" t="inlineStr">
        <is>
          <t>See NVD references</t>
        </is>
      </c>
      <c r="O895" s="191" t="inlineStr">
        <is>
          <t>Apply vendor patches</t>
        </is>
      </c>
      <c r="P895" s="191" t="inlineStr">
        <is>
          <t>See CVE details</t>
        </is>
      </c>
      <c r="Q895" s="191" t="inlineStr">
        <is>
          <t>P4</t>
        </is>
      </c>
      <c r="R895" s="191" t="inlineStr">
        <is>
          <t>📅 Schedule patch deployment within 30 days | 🔍 Monitor for exploitation attempts</t>
        </is>
      </c>
      <c r="S895" s="191" t="inlineStr">
        <is>
          <t>CVE - IP enrichment n/a</t>
        </is>
      </c>
      <c r="T895" s="191" t="n">
        <v>0</v>
      </c>
      <c r="U895" s="191" t="n">
        <v>0</v>
      </c>
      <c r="V895" s="191" t="inlineStr">
        <is>
          <t>T1189:Drive-by Compromise</t>
        </is>
      </c>
      <c r="W895" s="191" t="n">
        <v>1</v>
      </c>
      <c r="X895" s="191" t="inlineStr">
        <is>
          <t>LOW (40%)</t>
        </is>
      </c>
      <c r="Y895" s="191" t="inlineStr">
        <is>
          <t>UNLIKELY</t>
        </is>
      </c>
      <c r="Z895" s="191" t="inlineStr">
        <is>
          <t>CHECK_VENDOR</t>
        </is>
      </c>
      <c r="AA895" s="192" t="inlineStr">
        <is>
          <t>https://nvd.nist.gov/vuln/detail/CVE-2025-68854</t>
        </is>
      </c>
      <c r="AB895" s="191" t="inlineStr">
        <is>
          <t>NONE</t>
        </is>
      </c>
      <c r="AC895" s="191" t="n">
        <v>0</v>
      </c>
      <c r="AD895" s="191" t="n"/>
    </row>
    <row r="896">
      <c r="A896" s="191" t="inlineStr">
        <is>
          <t>CVE</t>
        </is>
      </c>
      <c r="B896" s="191" t="inlineStr">
        <is>
          <t>CVE-2025-68855</t>
        </is>
      </c>
      <c r="C896" s="191" t="inlineStr">
        <is>
          <t>Insertion of Sensitive Information Into Sent Data vulnerability in themeglow JobBoard Job listing job-board-light allows Retrieve Embedded Sensitive Data.This issue affects JobBoard Job listing: from n/a through &lt;= 1.2.8.</t>
        </is>
      </c>
      <c r="D896" s="191" t="n">
        <v>5</v>
      </c>
      <c r="E896" s="191" t="inlineStr">
        <is>
          <t>MEDIUM</t>
        </is>
      </c>
      <c r="F896" s="191" t="n">
        <v>2</v>
      </c>
      <c r="G896" s="191" t="n">
        <v>2</v>
      </c>
      <c r="H896" s="191" t="inlineStr">
        <is>
          <t>MEDIUM</t>
        </is>
      </c>
      <c r="I896" s="191" t="n">
        <v>9</v>
      </c>
      <c r="J896" s="191" t="inlineStr">
        <is>
          <t>NO</t>
        </is>
      </c>
      <c r="K896" s="192" t="inlineStr">
        <is>
          <t>https://nvd.nist.gov/vuln/detail/CVE-2025-68855</t>
        </is>
      </c>
      <c r="L896" s="191" t="inlineStr">
        <is>
          <t>2026-02-23 23:48</t>
        </is>
      </c>
      <c r="M896" s="191" t="inlineStr">
        <is>
          <t>CHECK_VENDOR</t>
        </is>
      </c>
      <c r="N896" s="191" t="inlineStr">
        <is>
          <t>See NVD references</t>
        </is>
      </c>
      <c r="O896" s="191" t="inlineStr">
        <is>
          <t>Apply vendor patches</t>
        </is>
      </c>
      <c r="P896" s="191" t="inlineStr">
        <is>
          <t>See CVE details</t>
        </is>
      </c>
      <c r="Q896" s="191" t="inlineStr">
        <is>
          <t>P4</t>
        </is>
      </c>
      <c r="R896" s="191" t="inlineStr">
        <is>
          <t>📅 Schedule patch deployment within 30 days | 🔍 Monitor for exploitation attempts</t>
        </is>
      </c>
      <c r="S896" s="191" t="inlineStr">
        <is>
          <t>CVE - IP enrichment n/a</t>
        </is>
      </c>
      <c r="T896" s="191" t="n">
        <v>0.0002</v>
      </c>
      <c r="U896" s="191" t="n">
        <v>0.0449</v>
      </c>
      <c r="V896" s="191" t="inlineStr">
        <is>
          <t>T1190:Exploit Public-Facing Application</t>
        </is>
      </c>
      <c r="W896" s="191" t="n">
        <v>1</v>
      </c>
      <c r="X896" s="191" t="inlineStr">
        <is>
          <t>LOW (40%)</t>
        </is>
      </c>
      <c r="Y896" s="191" t="inlineStr">
        <is>
          <t>UNLIKELY</t>
        </is>
      </c>
      <c r="Z896" s="191" t="inlineStr">
        <is>
          <t>CHECK_VENDOR</t>
        </is>
      </c>
      <c r="AA896" s="192" t="inlineStr">
        <is>
          <t>https://nvd.nist.gov/vuln/detail/CVE-2025-68855</t>
        </is>
      </c>
      <c r="AB896" s="191" t="inlineStr">
        <is>
          <t>NONE</t>
        </is>
      </c>
      <c r="AC896" s="191" t="n">
        <v>0</v>
      </c>
      <c r="AD896" s="191" t="n"/>
    </row>
    <row r="897">
      <c r="A897" s="191" t="inlineStr">
        <is>
          <t>CVE</t>
        </is>
      </c>
      <c r="B897" s="191" t="inlineStr">
        <is>
          <t>CVE-2025-68856</t>
        </is>
      </c>
      <c r="C897" s="191" t="inlineStr">
        <is>
          <t>Improper Neutralization of Input During Web Page Generation ('Cross-site Scripting') vulnerability in keeswolters Mopinion Feedback Form mopinion-feedback-form allows DOM-Based XSS.This issue affects Mopinion Feedback Form: from n/a through &lt;= 1.1.1.</t>
        </is>
      </c>
      <c r="D897" s="191" t="n">
        <v>5</v>
      </c>
      <c r="E897" s="191" t="inlineStr">
        <is>
          <t>MEDIUM</t>
        </is>
      </c>
      <c r="F897" s="191" t="n">
        <v>2</v>
      </c>
      <c r="G897" s="191" t="n">
        <v>2</v>
      </c>
      <c r="H897" s="191" t="inlineStr">
        <is>
          <t>MEDIUM</t>
        </is>
      </c>
      <c r="I897" s="191" t="n">
        <v>9</v>
      </c>
      <c r="J897" s="191" t="inlineStr">
        <is>
          <t>NO</t>
        </is>
      </c>
      <c r="K897" s="192" t="inlineStr">
        <is>
          <t>https://nvd.nist.gov/vuln/detail/CVE-2025-68856</t>
        </is>
      </c>
      <c r="L897" s="191" t="inlineStr">
        <is>
          <t>2026-02-23 23:48</t>
        </is>
      </c>
      <c r="M897" s="191" t="inlineStr">
        <is>
          <t>CHECK_VENDOR</t>
        </is>
      </c>
      <c r="N897" s="191" t="inlineStr">
        <is>
          <t>See NVD references</t>
        </is>
      </c>
      <c r="O897" s="191" t="inlineStr">
        <is>
          <t>Apply vendor patches</t>
        </is>
      </c>
      <c r="P897" s="191" t="inlineStr">
        <is>
          <t>See CVE details</t>
        </is>
      </c>
      <c r="Q897" s="191" t="inlineStr">
        <is>
          <t>P4</t>
        </is>
      </c>
      <c r="R897" s="191" t="inlineStr">
        <is>
          <t>📅 Schedule patch deployment within 30 days | 🔍 Monitor for exploitation attempts</t>
        </is>
      </c>
      <c r="S897" s="191" t="inlineStr">
        <is>
          <t>CVE - IP enrichment n/a</t>
        </is>
      </c>
      <c r="T897" s="191" t="n">
        <v>0</v>
      </c>
      <c r="U897" s="191" t="n">
        <v>0</v>
      </c>
      <c r="V897" s="191" t="inlineStr">
        <is>
          <t>T1189:Drive-by Compromise</t>
        </is>
      </c>
      <c r="W897" s="191" t="n">
        <v>1</v>
      </c>
      <c r="X897" s="191" t="inlineStr">
        <is>
          <t>LOW (40%)</t>
        </is>
      </c>
      <c r="Y897" s="191" t="inlineStr">
        <is>
          <t>UNLIKELY</t>
        </is>
      </c>
      <c r="Z897" s="191" t="inlineStr">
        <is>
          <t>CHECK_VENDOR</t>
        </is>
      </c>
      <c r="AA897" s="192" t="inlineStr">
        <is>
          <t>https://nvd.nist.gov/vuln/detail/CVE-2025-68856</t>
        </is>
      </c>
      <c r="AB897" s="191" t="inlineStr">
        <is>
          <t>NONE</t>
        </is>
      </c>
      <c r="AC897" s="191" t="n">
        <v>0</v>
      </c>
      <c r="AD897" s="191" t="n"/>
    </row>
    <row r="898">
      <c r="A898" s="191" t="inlineStr">
        <is>
          <t>CVE</t>
        </is>
      </c>
      <c r="B898" s="191" t="inlineStr">
        <is>
          <t>CVE-2025-68862</t>
        </is>
      </c>
      <c r="C898" s="191" t="inlineStr">
        <is>
          <t>Improper Limitation of a Pathname to a Restricted Directory ('Path Traversal') vulnerability in Murtaza Bhurgri Woo File Dropzone woo-file-dropzone allows Path Traversal.This issue affects Woo File Dropzone: from n/a through &lt;= 1.1.7.</t>
        </is>
      </c>
      <c r="D898" s="191" t="n">
        <v>5</v>
      </c>
      <c r="E898" s="191" t="inlineStr">
        <is>
          <t>MEDIUM</t>
        </is>
      </c>
      <c r="F898" s="191" t="n">
        <v>2</v>
      </c>
      <c r="G898" s="191" t="n">
        <v>2</v>
      </c>
      <c r="H898" s="191" t="inlineStr">
        <is>
          <t>MEDIUM</t>
        </is>
      </c>
      <c r="I898" s="191" t="n">
        <v>9</v>
      </c>
      <c r="J898" s="191" t="inlineStr">
        <is>
          <t>NO</t>
        </is>
      </c>
      <c r="K898" s="192" t="inlineStr">
        <is>
          <t>https://nvd.nist.gov/vuln/detail/CVE-2025-68862</t>
        </is>
      </c>
      <c r="L898" s="191" t="inlineStr">
        <is>
          <t>2026-02-23 23:48</t>
        </is>
      </c>
      <c r="M898" s="191" t="inlineStr">
        <is>
          <t>CHECK_VENDOR</t>
        </is>
      </c>
      <c r="N898" s="191" t="inlineStr">
        <is>
          <t>See NVD references</t>
        </is>
      </c>
      <c r="O898" s="191" t="inlineStr">
        <is>
          <t>Apply vendor patches</t>
        </is>
      </c>
      <c r="P898" s="191" t="inlineStr">
        <is>
          <t>See CVE details</t>
        </is>
      </c>
      <c r="Q898" s="191" t="inlineStr">
        <is>
          <t>P4</t>
        </is>
      </c>
      <c r="R898" s="191" t="inlineStr">
        <is>
          <t>📅 Schedule patch deployment within 30 days | 🔍 Monitor for exploitation attempts</t>
        </is>
      </c>
      <c r="S898" s="191" t="inlineStr">
        <is>
          <t>CVE - IP enrichment n/a</t>
        </is>
      </c>
      <c r="T898" s="191" t="n">
        <v>0</v>
      </c>
      <c r="U898" s="191" t="n">
        <v>0</v>
      </c>
      <c r="V898" s="191" t="inlineStr">
        <is>
          <t>T1083:File and Directory Discovery</t>
        </is>
      </c>
      <c r="W898" s="191" t="n">
        <v>1</v>
      </c>
      <c r="X898" s="191" t="inlineStr">
        <is>
          <t>LOW (40%)</t>
        </is>
      </c>
      <c r="Y898" s="191" t="inlineStr">
        <is>
          <t>UNLIKELY</t>
        </is>
      </c>
      <c r="Z898" s="191" t="inlineStr">
        <is>
          <t>CHECK_VENDOR</t>
        </is>
      </c>
      <c r="AA898" s="192" t="inlineStr">
        <is>
          <t>https://nvd.nist.gov/vuln/detail/CVE-2025-68862</t>
        </is>
      </c>
      <c r="AB898" s="191" t="inlineStr">
        <is>
          <t>NONE</t>
        </is>
      </c>
      <c r="AC898" s="191" t="n">
        <v>0</v>
      </c>
      <c r="AD898" s="191" t="n"/>
    </row>
    <row r="899">
      <c r="A899" s="191" t="inlineStr">
        <is>
          <t>CVE</t>
        </is>
      </c>
      <c r="B899" s="191" t="inlineStr">
        <is>
          <t>CVE-2025-68863</t>
        </is>
      </c>
      <c r="C899" s="191" t="inlineStr">
        <is>
          <t>Improper Neutralization of Input During Web Page Generation ('Cross-site Scripting') vulnerability in Zack Katz iContact for Gravity Forms gravity-forms-icontact allows Reflected XSS.This issue affects iContact for Gravity Forms: from n/a through &lt;= 1.3.2.</t>
        </is>
      </c>
      <c r="D899" s="191" t="n">
        <v>5</v>
      </c>
      <c r="E899" s="191" t="inlineStr">
        <is>
          <t>MEDIUM</t>
        </is>
      </c>
      <c r="F899" s="191" t="n">
        <v>2</v>
      </c>
      <c r="G899" s="191" t="n">
        <v>2</v>
      </c>
      <c r="H899" s="191" t="inlineStr">
        <is>
          <t>MEDIUM</t>
        </is>
      </c>
      <c r="I899" s="191" t="n">
        <v>9</v>
      </c>
      <c r="J899" s="191" t="inlineStr">
        <is>
          <t>NO</t>
        </is>
      </c>
      <c r="K899" s="192" t="inlineStr">
        <is>
          <t>https://nvd.nist.gov/vuln/detail/CVE-2025-68863</t>
        </is>
      </c>
      <c r="L899" s="191" t="inlineStr">
        <is>
          <t>2026-02-23 23:48</t>
        </is>
      </c>
      <c r="M899" s="191" t="inlineStr">
        <is>
          <t>CHECK_VENDOR</t>
        </is>
      </c>
      <c r="N899" s="191" t="inlineStr">
        <is>
          <t>See NVD references</t>
        </is>
      </c>
      <c r="O899" s="191" t="inlineStr">
        <is>
          <t>Apply vendor patches</t>
        </is>
      </c>
      <c r="P899" s="191" t="inlineStr">
        <is>
          <t>See CVE details</t>
        </is>
      </c>
      <c r="Q899" s="191" t="inlineStr">
        <is>
          <t>P4</t>
        </is>
      </c>
      <c r="R899" s="191" t="inlineStr">
        <is>
          <t>📅 Schedule patch deployment within 30 days | 🔍 Monitor for exploitation attempts</t>
        </is>
      </c>
      <c r="S899" s="191" t="inlineStr">
        <is>
          <t>CVE - IP enrichment n/a</t>
        </is>
      </c>
      <c r="T899" s="191" t="n">
        <v>0</v>
      </c>
      <c r="U899" s="191" t="n">
        <v>0</v>
      </c>
      <c r="V899" s="191" t="inlineStr">
        <is>
          <t>T1189:Drive-by Compromise</t>
        </is>
      </c>
      <c r="W899" s="191" t="n">
        <v>1</v>
      </c>
      <c r="X899" s="191" t="inlineStr">
        <is>
          <t>LOW (40%)</t>
        </is>
      </c>
      <c r="Y899" s="191" t="inlineStr">
        <is>
          <t>UNLIKELY</t>
        </is>
      </c>
      <c r="Z899" s="191" t="inlineStr">
        <is>
          <t>CHECK_VENDOR</t>
        </is>
      </c>
      <c r="AA899" s="192" t="inlineStr">
        <is>
          <t>https://nvd.nist.gov/vuln/detail/CVE-2025-68863</t>
        </is>
      </c>
      <c r="AB899" s="191" t="inlineStr">
        <is>
          <t>NONE</t>
        </is>
      </c>
      <c r="AC899" s="191" t="n">
        <v>0</v>
      </c>
      <c r="AD899" s="191" t="n"/>
    </row>
    <row r="900">
      <c r="A900" s="191" t="inlineStr">
        <is>
          <t>CVE</t>
        </is>
      </c>
      <c r="B900" s="191" t="inlineStr">
        <is>
          <t>CVE-2025-68880</t>
        </is>
      </c>
      <c r="C900" s="191" t="inlineStr">
        <is>
          <t>Improper Neutralization of Input During Web Page Generation ('Cross-site Scripting') vulnerability in peterwsterling Simple Archive Generator simple-archive-generator allows Reflected XSS.This issue affects Simple Archive Generator: from n/a through &lt;= 5.2.</t>
        </is>
      </c>
      <c r="D900" s="191" t="n">
        <v>5</v>
      </c>
      <c r="E900" s="191" t="inlineStr">
        <is>
          <t>MEDIUM</t>
        </is>
      </c>
      <c r="F900" s="191" t="n">
        <v>2</v>
      </c>
      <c r="G900" s="191" t="n">
        <v>2</v>
      </c>
      <c r="H900" s="191" t="inlineStr">
        <is>
          <t>MEDIUM</t>
        </is>
      </c>
      <c r="I900" s="191" t="n">
        <v>9</v>
      </c>
      <c r="J900" s="191" t="inlineStr">
        <is>
          <t>NO</t>
        </is>
      </c>
      <c r="K900" s="192" t="inlineStr">
        <is>
          <t>https://nvd.nist.gov/vuln/detail/CVE-2025-68880</t>
        </is>
      </c>
      <c r="L900" s="191" t="inlineStr">
        <is>
          <t>2026-02-23 23:48</t>
        </is>
      </c>
      <c r="M900" s="191" t="inlineStr">
        <is>
          <t>CHECK_VENDOR</t>
        </is>
      </c>
      <c r="N900" s="191" t="inlineStr">
        <is>
          <t>See NVD references</t>
        </is>
      </c>
      <c r="O900" s="191" t="inlineStr">
        <is>
          <t>Apply vendor patches</t>
        </is>
      </c>
      <c r="P900" s="191" t="inlineStr">
        <is>
          <t>See CVE details</t>
        </is>
      </c>
      <c r="Q900" s="191" t="inlineStr">
        <is>
          <t>P4</t>
        </is>
      </c>
      <c r="R900" s="191" t="inlineStr">
        <is>
          <t>📅 Schedule patch deployment within 30 days | 🔍 Monitor for exploitation attempts</t>
        </is>
      </c>
      <c r="S900" s="191" t="inlineStr">
        <is>
          <t>CVE - IP enrichment n/a</t>
        </is>
      </c>
      <c r="T900" s="191" t="n">
        <v>0.0003</v>
      </c>
      <c r="U900" s="191" t="n">
        <v>0.0808</v>
      </c>
      <c r="V900" s="191" t="inlineStr">
        <is>
          <t>T1189:Drive-by Compromise</t>
        </is>
      </c>
      <c r="W900" s="191" t="n">
        <v>1</v>
      </c>
      <c r="X900" s="191" t="inlineStr">
        <is>
          <t>LOW (40%)</t>
        </is>
      </c>
      <c r="Y900" s="191" t="inlineStr">
        <is>
          <t>UNLIKELY</t>
        </is>
      </c>
      <c r="Z900" s="191" t="inlineStr">
        <is>
          <t>CHECK_VENDOR</t>
        </is>
      </c>
      <c r="AA900" s="192" t="inlineStr">
        <is>
          <t>https://nvd.nist.gov/vuln/detail/CVE-2025-68880</t>
        </is>
      </c>
      <c r="AB900" s="191" t="inlineStr">
        <is>
          <t>NONE</t>
        </is>
      </c>
      <c r="AC900" s="191" t="n">
        <v>0</v>
      </c>
      <c r="AD900" s="191" t="n"/>
    </row>
    <row r="901">
      <c r="A901" s="191" t="inlineStr">
        <is>
          <t>CVE</t>
        </is>
      </c>
      <c r="B901" s="191" t="inlineStr">
        <is>
          <t>CVE-2025-68895</t>
        </is>
      </c>
      <c r="C901" s="191" t="inlineStr">
        <is>
          <t>Authentication Bypass Using an Alternate Path or Channel vulnerability in ahachat AhaChat Messenger Marketing ahachat-messenger-marketing allows Password Recovery Exploitation.This issue affects AhaChat Messenger Marketing: from n/a through &lt;= 1.1.</t>
        </is>
      </c>
      <c r="D901" s="191" t="n">
        <v>5</v>
      </c>
      <c r="E901" s="191" t="inlineStr">
        <is>
          <t>MEDIUM</t>
        </is>
      </c>
      <c r="F901" s="191" t="n">
        <v>2</v>
      </c>
      <c r="G901" s="191" t="n">
        <v>2</v>
      </c>
      <c r="H901" s="191" t="inlineStr">
        <is>
          <t>MEDIUM</t>
        </is>
      </c>
      <c r="I901" s="191" t="n">
        <v>9</v>
      </c>
      <c r="J901" s="191" t="inlineStr">
        <is>
          <t>NO</t>
        </is>
      </c>
      <c r="K901" s="192" t="inlineStr">
        <is>
          <t>https://nvd.nist.gov/vuln/detail/CVE-2025-68895</t>
        </is>
      </c>
      <c r="L901" s="191" t="inlineStr">
        <is>
          <t>2026-02-23 23:48</t>
        </is>
      </c>
      <c r="M901" s="191" t="inlineStr">
        <is>
          <t>CHECK_VENDOR</t>
        </is>
      </c>
      <c r="N901" s="191" t="inlineStr">
        <is>
          <t>See NVD references</t>
        </is>
      </c>
      <c r="O901" s="191" t="inlineStr">
        <is>
          <t>Apply vendor patches</t>
        </is>
      </c>
      <c r="P901" s="191" t="inlineStr">
        <is>
          <t>See CVE details</t>
        </is>
      </c>
      <c r="Q901" s="191" t="inlineStr">
        <is>
          <t>P4</t>
        </is>
      </c>
      <c r="R901" s="191" t="inlineStr">
        <is>
          <t>📅 Schedule patch deployment within 30 days | 🔍 Monitor for exploitation attempts</t>
        </is>
      </c>
      <c r="S901" s="191" t="inlineStr">
        <is>
          <t>CVE - IP enrichment n/a</t>
        </is>
      </c>
      <c r="T901" s="191" t="n">
        <v>0</v>
      </c>
      <c r="U901" s="191" t="n">
        <v>0</v>
      </c>
      <c r="V901" s="191" t="inlineStr">
        <is>
          <t>T1078:Valid Accounts</t>
        </is>
      </c>
      <c r="W901" s="191" t="n">
        <v>1</v>
      </c>
      <c r="X901" s="191" t="inlineStr">
        <is>
          <t>LOW (40%)</t>
        </is>
      </c>
      <c r="Y901" s="191" t="inlineStr">
        <is>
          <t>UNLIKELY</t>
        </is>
      </c>
      <c r="Z901" s="191" t="inlineStr">
        <is>
          <t>CHECK_VENDOR</t>
        </is>
      </c>
      <c r="AA901" s="192" t="inlineStr">
        <is>
          <t>https://nvd.nist.gov/vuln/detail/CVE-2025-68895</t>
        </is>
      </c>
      <c r="AB901" s="191" t="inlineStr">
        <is>
          <t>NONE</t>
        </is>
      </c>
      <c r="AC901" s="191" t="n">
        <v>0</v>
      </c>
      <c r="AD901" s="191" t="n"/>
    </row>
    <row r="902">
      <c r="A902" s="191" t="inlineStr">
        <is>
          <t>CVE</t>
        </is>
      </c>
      <c r="B902" s="191" t="inlineStr">
        <is>
          <t>CVE-2025-69011</t>
        </is>
      </c>
      <c r="C902" s="191" t="inlineStr">
        <is>
          <t>Improper Neutralization of Input During Web Page Generation ('Cross-site Scripting') vulnerability in WPKube Cool Tag Cloud cool-tag-cloud allows Stored XSS.This issue affects Cool Tag Cloud: from n/a through &lt;= 2.29.</t>
        </is>
      </c>
      <c r="D902" s="191" t="n">
        <v>5</v>
      </c>
      <c r="E902" s="191" t="inlineStr">
        <is>
          <t>MEDIUM</t>
        </is>
      </c>
      <c r="F902" s="191" t="n">
        <v>2</v>
      </c>
      <c r="G902" s="191" t="n">
        <v>2</v>
      </c>
      <c r="H902" s="191" t="inlineStr">
        <is>
          <t>MEDIUM</t>
        </is>
      </c>
      <c r="I902" s="191" t="n">
        <v>9</v>
      </c>
      <c r="J902" s="191" t="inlineStr">
        <is>
          <t>NO</t>
        </is>
      </c>
      <c r="K902" s="192" t="inlineStr">
        <is>
          <t>https://nvd.nist.gov/vuln/detail/CVE-2025-69011</t>
        </is>
      </c>
      <c r="L902" s="191" t="inlineStr">
        <is>
          <t>2026-02-23 23:48</t>
        </is>
      </c>
      <c r="M902" s="191" t="inlineStr">
        <is>
          <t>CHECK_VENDOR</t>
        </is>
      </c>
      <c r="N902" s="191" t="inlineStr">
        <is>
          <t>See NVD references</t>
        </is>
      </c>
      <c r="O902" s="191" t="inlineStr">
        <is>
          <t>Apply vendor patches</t>
        </is>
      </c>
      <c r="P902" s="191" t="inlineStr">
        <is>
          <t>See CVE details</t>
        </is>
      </c>
      <c r="Q902" s="191" t="inlineStr">
        <is>
          <t>P4</t>
        </is>
      </c>
      <c r="R902" s="191" t="inlineStr">
        <is>
          <t>📅 Schedule patch deployment within 30 days | 🔍 Monitor for exploitation attempts</t>
        </is>
      </c>
      <c r="S902" s="191" t="inlineStr">
        <is>
          <t>CVE - IP enrichment n/a</t>
        </is>
      </c>
      <c r="T902" s="191" t="n">
        <v>0.0003</v>
      </c>
      <c r="U902" s="191" t="n">
        <v>0.0808</v>
      </c>
      <c r="V902" s="191" t="inlineStr">
        <is>
          <t>T1189:Drive-by Compromise</t>
        </is>
      </c>
      <c r="W902" s="191" t="n">
        <v>1</v>
      </c>
      <c r="X902" s="191" t="inlineStr">
        <is>
          <t>LOW (40%)</t>
        </is>
      </c>
      <c r="Y902" s="191" t="inlineStr">
        <is>
          <t>UNLIKELY</t>
        </is>
      </c>
      <c r="Z902" s="191" t="inlineStr">
        <is>
          <t>CHECK_VENDOR</t>
        </is>
      </c>
      <c r="AA902" s="192" t="inlineStr">
        <is>
          <t>https://nvd.nist.gov/vuln/detail/CVE-2025-69011</t>
        </is>
      </c>
      <c r="AB902" s="191" t="inlineStr">
        <is>
          <t>NONE</t>
        </is>
      </c>
      <c r="AC902" s="191" t="n">
        <v>0</v>
      </c>
      <c r="AD902" s="191" t="n"/>
    </row>
    <row r="903">
      <c r="A903" s="191" t="inlineStr">
        <is>
          <t>CVE</t>
        </is>
      </c>
      <c r="B903" s="191" t="inlineStr">
        <is>
          <t>CVE-2025-69063</t>
        </is>
      </c>
      <c r="C903" s="191" t="inlineStr">
        <is>
          <t>Missing Authorization vulnerability in Saad Iqbal New User Approve new-user-approve allows Exploiting Incorrectly Configured Access Control Security Levels.This issue affects New User Approve: from n/a through &lt;= 3.2.0.</t>
        </is>
      </c>
      <c r="D903" s="191" t="n">
        <v>5</v>
      </c>
      <c r="E903" s="191" t="inlineStr">
        <is>
          <t>MEDIUM</t>
        </is>
      </c>
      <c r="F903" s="191" t="n">
        <v>2</v>
      </c>
      <c r="G903" s="191" t="n">
        <v>2</v>
      </c>
      <c r="H903" s="191" t="inlineStr">
        <is>
          <t>MEDIUM</t>
        </is>
      </c>
      <c r="I903" s="191" t="n">
        <v>9</v>
      </c>
      <c r="J903" s="191" t="inlineStr">
        <is>
          <t>NO</t>
        </is>
      </c>
      <c r="K903" s="192" t="inlineStr">
        <is>
          <t>https://nvd.nist.gov/vuln/detail/CVE-2025-69063</t>
        </is>
      </c>
      <c r="L903" s="191" t="inlineStr">
        <is>
          <t>2026-02-23 23:48</t>
        </is>
      </c>
      <c r="M903" s="191" t="inlineStr">
        <is>
          <t>CHECK_VENDOR</t>
        </is>
      </c>
      <c r="N903" s="191" t="inlineStr">
        <is>
          <t>See NVD references</t>
        </is>
      </c>
      <c r="O903" s="191" t="inlineStr">
        <is>
          <t>Apply vendor patches</t>
        </is>
      </c>
      <c r="P903" s="191" t="inlineStr">
        <is>
          <t>See CVE details</t>
        </is>
      </c>
      <c r="Q903" s="191" t="inlineStr">
        <is>
          <t>P4</t>
        </is>
      </c>
      <c r="R903" s="191" t="inlineStr">
        <is>
          <t>📅 Schedule patch deployment within 30 days | 🔍 Monitor for exploitation attempts</t>
        </is>
      </c>
      <c r="S903" s="191" t="inlineStr">
        <is>
          <t>CVE - IP enrichment n/a</t>
        </is>
      </c>
      <c r="T903" s="191" t="n">
        <v>0.0002</v>
      </c>
      <c r="U903" s="191" t="n">
        <v>0.0381</v>
      </c>
      <c r="V903" s="191" t="inlineStr">
        <is>
          <t>T1190:Exploit Public-Facing Application</t>
        </is>
      </c>
      <c r="W903" s="191" t="n">
        <v>1</v>
      </c>
      <c r="X903" s="191" t="inlineStr">
        <is>
          <t>LOW (40%)</t>
        </is>
      </c>
      <c r="Y903" s="191" t="inlineStr">
        <is>
          <t>UNLIKELY</t>
        </is>
      </c>
      <c r="Z903" s="191" t="inlineStr">
        <is>
          <t>CHECK_VENDOR</t>
        </is>
      </c>
      <c r="AA903" s="192" t="inlineStr">
        <is>
          <t>https://nvd.nist.gov/vuln/detail/CVE-2025-69063</t>
        </is>
      </c>
      <c r="AB903" s="191" t="inlineStr">
        <is>
          <t>NONE</t>
        </is>
      </c>
      <c r="AC903" s="191" t="n">
        <v>0</v>
      </c>
      <c r="AD903" s="191" t="n"/>
    </row>
    <row r="904">
      <c r="A904" s="191" t="inlineStr">
        <is>
          <t>CVE</t>
        </is>
      </c>
      <c r="B904" s="191" t="inlineStr">
        <is>
          <t>CVE-2025-69294</t>
        </is>
      </c>
      <c r="C904" s="191" t="inlineStr">
        <is>
          <t>Deserialization of Untrusted Data vulnerability in fuelthemes PeakShops peakshops allows Object Injection.This issue affects PeakShops: from n/a through &lt;= 1.5.9.</t>
        </is>
      </c>
      <c r="D904" s="191" t="n">
        <v>5</v>
      </c>
      <c r="E904" s="191" t="inlineStr">
        <is>
          <t>MEDIUM</t>
        </is>
      </c>
      <c r="F904" s="191" t="n">
        <v>2</v>
      </c>
      <c r="G904" s="191" t="n">
        <v>2</v>
      </c>
      <c r="H904" s="191" t="inlineStr">
        <is>
          <t>MEDIUM</t>
        </is>
      </c>
      <c r="I904" s="191" t="n">
        <v>9</v>
      </c>
      <c r="J904" s="191" t="inlineStr">
        <is>
          <t>NO</t>
        </is>
      </c>
      <c r="K904" s="192" t="inlineStr">
        <is>
          <t>https://nvd.nist.gov/vuln/detail/CVE-2025-69294</t>
        </is>
      </c>
      <c r="L904" s="191" t="inlineStr">
        <is>
          <t>2026-02-23 23:48</t>
        </is>
      </c>
      <c r="M904" s="191" t="inlineStr">
        <is>
          <t>CHECK_VENDOR</t>
        </is>
      </c>
      <c r="N904" s="191" t="inlineStr">
        <is>
          <t>See NVD references</t>
        </is>
      </c>
      <c r="O904" s="191" t="inlineStr">
        <is>
          <t>Apply vendor patches</t>
        </is>
      </c>
      <c r="P904" s="191" t="inlineStr">
        <is>
          <t>See CVE details</t>
        </is>
      </c>
      <c r="Q904" s="191" t="inlineStr">
        <is>
          <t>P4</t>
        </is>
      </c>
      <c r="R904" s="191" t="inlineStr">
        <is>
          <t>📅 Schedule patch deployment within 30 days | 🔍 Monitor for exploitation attempts</t>
        </is>
      </c>
      <c r="S904" s="191" t="inlineStr">
        <is>
          <t>CVE - IP enrichment n/a</t>
        </is>
      </c>
      <c r="T904" s="191" t="n">
        <v>0.0002</v>
      </c>
      <c r="U904" s="191" t="n">
        <v>0.0636</v>
      </c>
      <c r="V904" s="191" t="inlineStr">
        <is>
          <t>T1059:Command and Scripting Interpreter</t>
        </is>
      </c>
      <c r="W904" s="191" t="n">
        <v>1</v>
      </c>
      <c r="X904" s="191" t="inlineStr">
        <is>
          <t>LOW (40%)</t>
        </is>
      </c>
      <c r="Y904" s="191" t="inlineStr">
        <is>
          <t>UNLIKELY</t>
        </is>
      </c>
      <c r="Z904" s="191" t="inlineStr">
        <is>
          <t>CHECK_VENDOR</t>
        </is>
      </c>
      <c r="AA904" s="192" t="inlineStr">
        <is>
          <t>https://nvd.nist.gov/vuln/detail/CVE-2025-69294</t>
        </is>
      </c>
      <c r="AB904" s="191" t="inlineStr">
        <is>
          <t>NONE</t>
        </is>
      </c>
      <c r="AC904" s="191" t="n">
        <v>0</v>
      </c>
      <c r="AD904" s="191" t="n"/>
    </row>
    <row r="905">
      <c r="A905" s="191" t="inlineStr">
        <is>
          <t>CVE</t>
        </is>
      </c>
      <c r="B905" s="191" t="inlineStr">
        <is>
          <t>CVE-2025-69295</t>
        </is>
      </c>
      <c r="C905" s="191" t="inlineStr">
        <is>
          <t>Improper Neutralization of Special Elements used in an SQL Command ('SQL Injection') vulnerability in TeconceTheme Coven Core coven-core allows Blind SQL Injection.This issue affects Coven Core: from n/a through &lt;= 1.3.</t>
        </is>
      </c>
      <c r="D905" s="191" t="n">
        <v>5</v>
      </c>
      <c r="E905" s="191" t="inlineStr">
        <is>
          <t>MEDIUM</t>
        </is>
      </c>
      <c r="F905" s="191" t="n">
        <v>2</v>
      </c>
      <c r="G905" s="191" t="n">
        <v>2</v>
      </c>
      <c r="H905" s="191" t="inlineStr">
        <is>
          <t>MEDIUM</t>
        </is>
      </c>
      <c r="I905" s="191" t="n">
        <v>9</v>
      </c>
      <c r="J905" s="191" t="inlineStr">
        <is>
          <t>NO</t>
        </is>
      </c>
      <c r="K905" s="192" t="inlineStr">
        <is>
          <t>https://nvd.nist.gov/vuln/detail/CVE-2025-69295</t>
        </is>
      </c>
      <c r="L905" s="191" t="inlineStr">
        <is>
          <t>2026-02-23 23:48</t>
        </is>
      </c>
      <c r="M905" s="191" t="inlineStr">
        <is>
          <t>CHECK_VENDOR</t>
        </is>
      </c>
      <c r="N905" s="191" t="inlineStr">
        <is>
          <t>See NVD references</t>
        </is>
      </c>
      <c r="O905" s="191" t="inlineStr">
        <is>
          <t>Apply vendor patches</t>
        </is>
      </c>
      <c r="P905" s="191" t="inlineStr">
        <is>
          <t>See CVE details</t>
        </is>
      </c>
      <c r="Q905" s="191" t="inlineStr">
        <is>
          <t>P4</t>
        </is>
      </c>
      <c r="R905" s="191" t="inlineStr">
        <is>
          <t>📅 Schedule patch deployment within 30 days | 🔍 Monitor for exploitation attempts</t>
        </is>
      </c>
      <c r="S905" s="191" t="inlineStr">
        <is>
          <t>CVE - IP enrichment n/a</t>
        </is>
      </c>
      <c r="T905" s="191" t="n">
        <v>0.0002</v>
      </c>
      <c r="U905" s="191" t="n">
        <v>0.0536</v>
      </c>
      <c r="V905" s="191" t="inlineStr">
        <is>
          <t>T1190:Exploit Public-Facing Application</t>
        </is>
      </c>
      <c r="W905" s="191" t="n">
        <v>1</v>
      </c>
      <c r="X905" s="191" t="inlineStr">
        <is>
          <t>LOW (40%)</t>
        </is>
      </c>
      <c r="Y905" s="191" t="inlineStr">
        <is>
          <t>UNLIKELY</t>
        </is>
      </c>
      <c r="Z905" s="191" t="inlineStr">
        <is>
          <t>CHECK_VENDOR</t>
        </is>
      </c>
      <c r="AA905" s="192" t="inlineStr">
        <is>
          <t>https://nvd.nist.gov/vuln/detail/CVE-2025-69295</t>
        </is>
      </c>
      <c r="AB905" s="191" t="inlineStr">
        <is>
          <t>NONE</t>
        </is>
      </c>
      <c r="AC905" s="191" t="n">
        <v>0</v>
      </c>
      <c r="AD905" s="191" t="n"/>
    </row>
    <row r="906">
      <c r="A906" s="191" t="inlineStr">
        <is>
          <t>CVE</t>
        </is>
      </c>
      <c r="B906" s="191" t="inlineStr">
        <is>
          <t>CVE-2025-69296</t>
        </is>
      </c>
      <c r="C906" s="191" t="inlineStr">
        <is>
          <t>Improper Neutralization of Input During Web Page Generation ('Cross-site Scripting') vulnerability in GhostPool Aardvark aardvark allows Reflected XSS.This issue affects Aardvark: from n/a through &lt;= 4.6.3.</t>
        </is>
      </c>
      <c r="D906" s="191" t="n">
        <v>5</v>
      </c>
      <c r="E906" s="191" t="inlineStr">
        <is>
          <t>MEDIUM</t>
        </is>
      </c>
      <c r="F906" s="191" t="n">
        <v>2</v>
      </c>
      <c r="G906" s="191" t="n">
        <v>2</v>
      </c>
      <c r="H906" s="191" t="inlineStr">
        <is>
          <t>MEDIUM</t>
        </is>
      </c>
      <c r="I906" s="191" t="n">
        <v>9</v>
      </c>
      <c r="J906" s="191" t="inlineStr">
        <is>
          <t>NO</t>
        </is>
      </c>
      <c r="K906" s="192" t="inlineStr">
        <is>
          <t>https://nvd.nist.gov/vuln/detail/CVE-2025-69296</t>
        </is>
      </c>
      <c r="L906" s="191" t="inlineStr">
        <is>
          <t>2026-02-23 23:48</t>
        </is>
      </c>
      <c r="M906" s="191" t="inlineStr">
        <is>
          <t>CHECK_VENDOR</t>
        </is>
      </c>
      <c r="N906" s="191" t="inlineStr">
        <is>
          <t>See NVD references</t>
        </is>
      </c>
      <c r="O906" s="191" t="inlineStr">
        <is>
          <t>Apply vendor patches</t>
        </is>
      </c>
      <c r="P906" s="191" t="inlineStr">
        <is>
          <t>See CVE details</t>
        </is>
      </c>
      <c r="Q906" s="191" t="inlineStr">
        <is>
          <t>P4</t>
        </is>
      </c>
      <c r="R906" s="191" t="inlineStr">
        <is>
          <t>📅 Schedule patch deployment within 30 days | 🔍 Monitor for exploitation attempts</t>
        </is>
      </c>
      <c r="S906" s="191" t="inlineStr">
        <is>
          <t>CVE - IP enrichment n/a</t>
        </is>
      </c>
      <c r="T906" s="191" t="n">
        <v>0.0003</v>
      </c>
      <c r="U906" s="191" t="n">
        <v>0.0808</v>
      </c>
      <c r="V906" s="191" t="inlineStr">
        <is>
          <t>T1189:Drive-by Compromise</t>
        </is>
      </c>
      <c r="W906" s="191" t="n">
        <v>1</v>
      </c>
      <c r="X906" s="191" t="inlineStr">
        <is>
          <t>LOW (40%)</t>
        </is>
      </c>
      <c r="Y906" s="191" t="inlineStr">
        <is>
          <t>UNLIKELY</t>
        </is>
      </c>
      <c r="Z906" s="191" t="inlineStr">
        <is>
          <t>CHECK_VENDOR</t>
        </is>
      </c>
      <c r="AA906" s="192" t="inlineStr">
        <is>
          <t>https://nvd.nist.gov/vuln/detail/CVE-2025-69296</t>
        </is>
      </c>
      <c r="AB906" s="191" t="inlineStr">
        <is>
          <t>NONE</t>
        </is>
      </c>
      <c r="AC906" s="191" t="n">
        <v>0</v>
      </c>
      <c r="AD906" s="191" t="n"/>
    </row>
    <row r="907">
      <c r="A907" s="191" t="inlineStr">
        <is>
          <t>CVE</t>
        </is>
      </c>
      <c r="B907" s="191" t="inlineStr">
        <is>
          <t>CVE-2025-69297</t>
        </is>
      </c>
      <c r="C907" s="191" t="inlineStr">
        <is>
          <t>Missing Authorization vulnerability in GhostPool Aardvark Plugin aardvark-plugin allows Exploiting Incorrectly Configured Access Control Security Levels.This issue affects Aardvark Plugin: from n/a through &lt;= 2.19.</t>
        </is>
      </c>
      <c r="D907" s="191" t="n">
        <v>5</v>
      </c>
      <c r="E907" s="191" t="inlineStr">
        <is>
          <t>MEDIUM</t>
        </is>
      </c>
      <c r="F907" s="191" t="n">
        <v>2</v>
      </c>
      <c r="G907" s="191" t="n">
        <v>2</v>
      </c>
      <c r="H907" s="191" t="inlineStr">
        <is>
          <t>MEDIUM</t>
        </is>
      </c>
      <c r="I907" s="191" t="n">
        <v>9</v>
      </c>
      <c r="J907" s="191" t="inlineStr">
        <is>
          <t>NO</t>
        </is>
      </c>
      <c r="K907" s="192" t="inlineStr">
        <is>
          <t>https://nvd.nist.gov/vuln/detail/CVE-2025-69297</t>
        </is>
      </c>
      <c r="L907" s="191" t="inlineStr">
        <is>
          <t>2026-02-23 23:48</t>
        </is>
      </c>
      <c r="M907" s="191" t="inlineStr">
        <is>
          <t>CHECK_VENDOR</t>
        </is>
      </c>
      <c r="N907" s="191" t="inlineStr">
        <is>
          <t>See NVD references</t>
        </is>
      </c>
      <c r="O907" s="191" t="inlineStr">
        <is>
          <t>Apply vendor patches</t>
        </is>
      </c>
      <c r="P907" s="191" t="inlineStr">
        <is>
          <t>See CVE details</t>
        </is>
      </c>
      <c r="Q907" s="191" t="inlineStr">
        <is>
          <t>P4</t>
        </is>
      </c>
      <c r="R907" s="191" t="inlineStr">
        <is>
          <t>📅 Schedule patch deployment within 30 days | 🔍 Monitor for exploitation attempts</t>
        </is>
      </c>
      <c r="S907" s="191" t="inlineStr">
        <is>
          <t>CVE - IP enrichment n/a</t>
        </is>
      </c>
      <c r="T907" s="191" t="n">
        <v>0</v>
      </c>
      <c r="U907" s="191" t="n">
        <v>0</v>
      </c>
      <c r="V907" s="191" t="inlineStr">
        <is>
          <t>T1190:Exploit Public-Facing Application</t>
        </is>
      </c>
      <c r="W907" s="191" t="n">
        <v>1</v>
      </c>
      <c r="X907" s="191" t="inlineStr">
        <is>
          <t>LOW (40%)</t>
        </is>
      </c>
      <c r="Y907" s="191" t="inlineStr">
        <is>
          <t>UNLIKELY</t>
        </is>
      </c>
      <c r="Z907" s="191" t="inlineStr">
        <is>
          <t>CHECK_VENDOR</t>
        </is>
      </c>
      <c r="AA907" s="192" t="inlineStr">
        <is>
          <t>https://nvd.nist.gov/vuln/detail/CVE-2025-69297</t>
        </is>
      </c>
      <c r="AB907" s="191" t="inlineStr">
        <is>
          <t>NONE</t>
        </is>
      </c>
      <c r="AC907" s="191" t="n">
        <v>0</v>
      </c>
      <c r="AD907" s="191" t="n"/>
    </row>
    <row r="908">
      <c r="A908" s="191" t="inlineStr">
        <is>
          <t>CVE</t>
        </is>
      </c>
      <c r="B908" s="191" t="inlineStr">
        <is>
          <t>CVE-2025-69298</t>
        </is>
      </c>
      <c r="C908" s="191" t="inlineStr">
        <is>
          <t>Missing Authorization vulnerability in GhostPool Gauge gauge allows Exploiting Incorrectly Configured Access Control Security Levels.This issue affects Gauge: from n/a through &lt;= 6.56.4.</t>
        </is>
      </c>
      <c r="D908" s="191" t="n">
        <v>5</v>
      </c>
      <c r="E908" s="191" t="inlineStr">
        <is>
          <t>MEDIUM</t>
        </is>
      </c>
      <c r="F908" s="191" t="n">
        <v>2</v>
      </c>
      <c r="G908" s="191" t="n">
        <v>2</v>
      </c>
      <c r="H908" s="191" t="inlineStr">
        <is>
          <t>MEDIUM</t>
        </is>
      </c>
      <c r="I908" s="191" t="n">
        <v>9</v>
      </c>
      <c r="J908" s="191" t="inlineStr">
        <is>
          <t>NO</t>
        </is>
      </c>
      <c r="K908" s="192" t="inlineStr">
        <is>
          <t>https://nvd.nist.gov/vuln/detail/CVE-2025-69298</t>
        </is>
      </c>
      <c r="L908" s="191" t="inlineStr">
        <is>
          <t>2026-02-23 23:48</t>
        </is>
      </c>
      <c r="M908" s="191" t="inlineStr">
        <is>
          <t>CHECK_VENDOR</t>
        </is>
      </c>
      <c r="N908" s="191" t="inlineStr">
        <is>
          <t>See NVD references</t>
        </is>
      </c>
      <c r="O908" s="191" t="inlineStr">
        <is>
          <t>Apply vendor patches</t>
        </is>
      </c>
      <c r="P908" s="191" t="inlineStr">
        <is>
          <t>See CVE details</t>
        </is>
      </c>
      <c r="Q908" s="191" t="inlineStr">
        <is>
          <t>P4</t>
        </is>
      </c>
      <c r="R908" s="191" t="inlineStr">
        <is>
          <t>📅 Schedule patch deployment within 30 days | 🔍 Monitor for exploitation attempts</t>
        </is>
      </c>
      <c r="S908" s="191" t="inlineStr">
        <is>
          <t>CVE - IP enrichment n/a</t>
        </is>
      </c>
      <c r="T908" s="191" t="n">
        <v>0</v>
      </c>
      <c r="U908" s="191" t="n">
        <v>0</v>
      </c>
      <c r="V908" s="191" t="inlineStr">
        <is>
          <t>T1190:Exploit Public-Facing Application</t>
        </is>
      </c>
      <c r="W908" s="191" t="n">
        <v>1</v>
      </c>
      <c r="X908" s="191" t="inlineStr">
        <is>
          <t>LOW (40%)</t>
        </is>
      </c>
      <c r="Y908" s="191" t="inlineStr">
        <is>
          <t>UNLIKELY</t>
        </is>
      </c>
      <c r="Z908" s="191" t="inlineStr">
        <is>
          <t>CHECK_VENDOR</t>
        </is>
      </c>
      <c r="AA908" s="192" t="inlineStr">
        <is>
          <t>https://nvd.nist.gov/vuln/detail/CVE-2025-69298</t>
        </is>
      </c>
      <c r="AB908" s="191" t="inlineStr">
        <is>
          <t>NONE</t>
        </is>
      </c>
      <c r="AC908" s="191" t="n">
        <v>0</v>
      </c>
      <c r="AD908" s="191" t="n"/>
    </row>
    <row r="909">
      <c r="A909" s="191" t="inlineStr">
        <is>
          <t>CVE</t>
        </is>
      </c>
      <c r="B909" s="191" t="inlineStr">
        <is>
          <t>CVE-2025-69299</t>
        </is>
      </c>
      <c r="C909" s="191" t="inlineStr">
        <is>
          <t>Server-Side Request Forgery (SSRF) vulnerability in Laborator Oxygen oxygen allows Server Side Request Forgery.This issue affects Oxygen: from n/a through &lt;= 6.0.8.</t>
        </is>
      </c>
      <c r="D909" s="191" t="n">
        <v>5</v>
      </c>
      <c r="E909" s="191" t="inlineStr">
        <is>
          <t>MEDIUM</t>
        </is>
      </c>
      <c r="F909" s="191" t="n">
        <v>2</v>
      </c>
      <c r="G909" s="191" t="n">
        <v>2</v>
      </c>
      <c r="H909" s="191" t="inlineStr">
        <is>
          <t>MEDIUM</t>
        </is>
      </c>
      <c r="I909" s="191" t="n">
        <v>9</v>
      </c>
      <c r="J909" s="191" t="inlineStr">
        <is>
          <t>NO</t>
        </is>
      </c>
      <c r="K909" s="192" t="inlineStr">
        <is>
          <t>https://nvd.nist.gov/vuln/detail/CVE-2025-69299</t>
        </is>
      </c>
      <c r="L909" s="191" t="inlineStr">
        <is>
          <t>2026-02-23 23:48</t>
        </is>
      </c>
      <c r="M909" s="191" t="inlineStr">
        <is>
          <t>CHECK_VENDOR</t>
        </is>
      </c>
      <c r="N909" s="191" t="inlineStr">
        <is>
          <t>See NVD references</t>
        </is>
      </c>
      <c r="O909" s="191" t="inlineStr">
        <is>
          <t>Apply vendor patches</t>
        </is>
      </c>
      <c r="P909" s="191" t="inlineStr">
        <is>
          <t>See CVE details</t>
        </is>
      </c>
      <c r="Q909" s="191" t="inlineStr">
        <is>
          <t>P4</t>
        </is>
      </c>
      <c r="R909" s="191" t="inlineStr">
        <is>
          <t>📅 Schedule patch deployment within 30 days | 🔍 Monitor for exploitation attempts</t>
        </is>
      </c>
      <c r="S909" s="191" t="inlineStr">
        <is>
          <t>CVE - IP enrichment n/a</t>
        </is>
      </c>
      <c r="T909" s="191" t="n">
        <v>0</v>
      </c>
      <c r="U909" s="191" t="n">
        <v>0</v>
      </c>
      <c r="V909" s="191" t="inlineStr">
        <is>
          <t>T1090:Proxy</t>
        </is>
      </c>
      <c r="W909" s="191" t="n">
        <v>1</v>
      </c>
      <c r="X909" s="191" t="inlineStr">
        <is>
          <t>LOW (40%)</t>
        </is>
      </c>
      <c r="Y909" s="191" t="inlineStr">
        <is>
          <t>UNLIKELY</t>
        </is>
      </c>
      <c r="Z909" s="191" t="inlineStr">
        <is>
          <t>CHECK_VENDOR</t>
        </is>
      </c>
      <c r="AA909" s="192" t="inlineStr">
        <is>
          <t>https://nvd.nist.gov/vuln/detail/CVE-2025-69299</t>
        </is>
      </c>
      <c r="AB909" s="191" t="inlineStr">
        <is>
          <t>NONE</t>
        </is>
      </c>
      <c r="AC909" s="191" t="n">
        <v>0</v>
      </c>
      <c r="AD909" s="191" t="n"/>
    </row>
    <row r="910">
      <c r="A910" s="191" t="inlineStr">
        <is>
          <t>CVE</t>
        </is>
      </c>
      <c r="B910" s="191" t="inlineStr">
        <is>
          <t>CVE-2025-69301</t>
        </is>
      </c>
      <c r="C910" s="191" t="inlineStr">
        <is>
          <t>Deserialization of Untrusted Data vulnerability in ThemeGoods PhotoMe photome allows Object Injection.This issue affects PhotoMe: from n/a through &lt;= 5.6.11.</t>
        </is>
      </c>
      <c r="D910" s="191" t="n">
        <v>5</v>
      </c>
      <c r="E910" s="191" t="inlineStr">
        <is>
          <t>MEDIUM</t>
        </is>
      </c>
      <c r="F910" s="191" t="n">
        <v>2</v>
      </c>
      <c r="G910" s="191" t="n">
        <v>2</v>
      </c>
      <c r="H910" s="191" t="inlineStr">
        <is>
          <t>MEDIUM</t>
        </is>
      </c>
      <c r="I910" s="191" t="n">
        <v>9</v>
      </c>
      <c r="J910" s="191" t="inlineStr">
        <is>
          <t>NO</t>
        </is>
      </c>
      <c r="K910" s="192" t="inlineStr">
        <is>
          <t>https://nvd.nist.gov/vuln/detail/CVE-2025-69301</t>
        </is>
      </c>
      <c r="L910" s="191" t="inlineStr">
        <is>
          <t>2026-02-23 23:48</t>
        </is>
      </c>
      <c r="M910" s="191" t="inlineStr">
        <is>
          <t>CHECK_VENDOR</t>
        </is>
      </c>
      <c r="N910" s="191" t="inlineStr">
        <is>
          <t>See NVD references</t>
        </is>
      </c>
      <c r="O910" s="191" t="inlineStr">
        <is>
          <t>Apply vendor patches</t>
        </is>
      </c>
      <c r="P910" s="191" t="inlineStr">
        <is>
          <t>See CVE details</t>
        </is>
      </c>
      <c r="Q910" s="191" t="inlineStr">
        <is>
          <t>P4</t>
        </is>
      </c>
      <c r="R910" s="191" t="inlineStr">
        <is>
          <t>📅 Schedule patch deployment within 30 days | 🔍 Monitor for exploitation attempts</t>
        </is>
      </c>
      <c r="S910" s="191" t="inlineStr">
        <is>
          <t>CVE - IP enrichment n/a</t>
        </is>
      </c>
      <c r="T910" s="191" t="n">
        <v>0</v>
      </c>
      <c r="U910" s="191" t="n">
        <v>0</v>
      </c>
      <c r="V910" s="191" t="inlineStr">
        <is>
          <t>T1059:Command and Scripting Interpreter</t>
        </is>
      </c>
      <c r="W910" s="191" t="n">
        <v>1</v>
      </c>
      <c r="X910" s="191" t="inlineStr">
        <is>
          <t>LOW (40%)</t>
        </is>
      </c>
      <c r="Y910" s="191" t="inlineStr">
        <is>
          <t>UNLIKELY</t>
        </is>
      </c>
      <c r="Z910" s="191" t="inlineStr">
        <is>
          <t>CHECK_VENDOR</t>
        </is>
      </c>
      <c r="AA910" s="192" t="inlineStr">
        <is>
          <t>https://nvd.nist.gov/vuln/detail/CVE-2025-69301</t>
        </is>
      </c>
      <c r="AB910" s="191" t="inlineStr">
        <is>
          <t>NONE</t>
        </is>
      </c>
      <c r="AC910" s="191" t="n">
        <v>0</v>
      </c>
      <c r="AD910" s="191" t="n"/>
    </row>
    <row r="911">
      <c r="A911" s="191" t="inlineStr">
        <is>
          <t>CVE</t>
        </is>
      </c>
      <c r="B911" s="191" t="inlineStr">
        <is>
          <t>CVE-2025-69302</t>
        </is>
      </c>
      <c r="C911" s="191" t="inlineStr">
        <is>
          <t>Improper Neutralization of Input During Web Page Generation ('Cross-site Scripting') vulnerability in designthemes DesignThemes Core Features designthemes-core-features allows Reflected XSS.This issue affects DesignThemes Core Features: from n/a through &lt;= 2.3.</t>
        </is>
      </c>
      <c r="D911" s="191" t="n">
        <v>5</v>
      </c>
      <c r="E911" s="191" t="inlineStr">
        <is>
          <t>MEDIUM</t>
        </is>
      </c>
      <c r="F911" s="191" t="n">
        <v>2</v>
      </c>
      <c r="G911" s="191" t="n">
        <v>2</v>
      </c>
      <c r="H911" s="191" t="inlineStr">
        <is>
          <t>MEDIUM</t>
        </is>
      </c>
      <c r="I911" s="191" t="n">
        <v>9</v>
      </c>
      <c r="J911" s="191" t="inlineStr">
        <is>
          <t>NO</t>
        </is>
      </c>
      <c r="K911" s="192" t="inlineStr">
        <is>
          <t>https://nvd.nist.gov/vuln/detail/CVE-2025-69302</t>
        </is>
      </c>
      <c r="L911" s="191" t="inlineStr">
        <is>
          <t>2026-02-23 23:48</t>
        </is>
      </c>
      <c r="M911" s="191" t="inlineStr">
        <is>
          <t>CHECK_VENDOR</t>
        </is>
      </c>
      <c r="N911" s="191" t="inlineStr">
        <is>
          <t>See NVD references</t>
        </is>
      </c>
      <c r="O911" s="191" t="inlineStr">
        <is>
          <t>Apply vendor patches</t>
        </is>
      </c>
      <c r="P911" s="191" t="inlineStr">
        <is>
          <t>See CVE details</t>
        </is>
      </c>
      <c r="Q911" s="191" t="inlineStr">
        <is>
          <t>P4</t>
        </is>
      </c>
      <c r="R911" s="191" t="inlineStr">
        <is>
          <t>📅 Schedule patch deployment within 30 days | 🔍 Monitor for exploitation attempts</t>
        </is>
      </c>
      <c r="S911" s="191" t="inlineStr">
        <is>
          <t>CVE - IP enrichment n/a</t>
        </is>
      </c>
      <c r="T911" s="191" t="n">
        <v>0</v>
      </c>
      <c r="U911" s="191" t="n">
        <v>0</v>
      </c>
      <c r="V911" s="191" t="inlineStr">
        <is>
          <t>T1189:Drive-by Compromise</t>
        </is>
      </c>
      <c r="W911" s="191" t="n">
        <v>1</v>
      </c>
      <c r="X911" s="191" t="inlineStr">
        <is>
          <t>LOW (40%)</t>
        </is>
      </c>
      <c r="Y911" s="191" t="inlineStr">
        <is>
          <t>UNLIKELY</t>
        </is>
      </c>
      <c r="Z911" s="191" t="inlineStr">
        <is>
          <t>CHECK_VENDOR</t>
        </is>
      </c>
      <c r="AA911" s="192" t="inlineStr">
        <is>
          <t>https://nvd.nist.gov/vuln/detail/CVE-2025-69302</t>
        </is>
      </c>
      <c r="AB911" s="191" t="inlineStr">
        <is>
          <t>NONE</t>
        </is>
      </c>
      <c r="AC911" s="191" t="n">
        <v>0</v>
      </c>
      <c r="AD911" s="191" t="n"/>
    </row>
    <row r="912">
      <c r="A912" s="191" t="inlineStr">
        <is>
          <t>CVE</t>
        </is>
      </c>
      <c r="B912" s="191" t="inlineStr">
        <is>
          <t>CVE-2025-69303</t>
        </is>
      </c>
      <c r="C912" s="191" t="inlineStr">
        <is>
          <t>Missing Authorization vulnerability in modeltheme ModelTheme Framework modeltheme-framework allows Exploiting Incorrectly Configured Access Control Security Levels.This issue affects ModelTheme Framework: from n/a through &lt;= 1.9.2.</t>
        </is>
      </c>
      <c r="D912" s="191" t="n">
        <v>5</v>
      </c>
      <c r="E912" s="191" t="inlineStr">
        <is>
          <t>MEDIUM</t>
        </is>
      </c>
      <c r="F912" s="191" t="n">
        <v>2</v>
      </c>
      <c r="G912" s="191" t="n">
        <v>2</v>
      </c>
      <c r="H912" s="191" t="inlineStr">
        <is>
          <t>MEDIUM</t>
        </is>
      </c>
      <c r="I912" s="191" t="n">
        <v>9</v>
      </c>
      <c r="J912" s="191" t="inlineStr">
        <is>
          <t>NO</t>
        </is>
      </c>
      <c r="K912" s="192" t="inlineStr">
        <is>
          <t>https://nvd.nist.gov/vuln/detail/CVE-2025-69303</t>
        </is>
      </c>
      <c r="L912" s="191" t="inlineStr">
        <is>
          <t>2026-02-23 23:48</t>
        </is>
      </c>
      <c r="M912" s="191" t="inlineStr">
        <is>
          <t>CHECK_VENDOR</t>
        </is>
      </c>
      <c r="N912" s="191" t="inlineStr">
        <is>
          <t>See NVD references</t>
        </is>
      </c>
      <c r="O912" s="191" t="inlineStr">
        <is>
          <t>Apply vendor patches</t>
        </is>
      </c>
      <c r="P912" s="191" t="inlineStr">
        <is>
          <t>See CVE details</t>
        </is>
      </c>
      <c r="Q912" s="191" t="inlineStr">
        <is>
          <t>P4</t>
        </is>
      </c>
      <c r="R912" s="191" t="inlineStr">
        <is>
          <t>📅 Schedule patch deployment within 30 days | 🔍 Monitor for exploitation attempts</t>
        </is>
      </c>
      <c r="S912" s="191" t="inlineStr">
        <is>
          <t>CVE - IP enrichment n/a</t>
        </is>
      </c>
      <c r="T912" s="191" t="n">
        <v>0</v>
      </c>
      <c r="U912" s="191" t="n">
        <v>0</v>
      </c>
      <c r="V912" s="191" t="inlineStr">
        <is>
          <t>T1190:Exploit Public-Facing Application</t>
        </is>
      </c>
      <c r="W912" s="191" t="n">
        <v>1</v>
      </c>
      <c r="X912" s="191" t="inlineStr">
        <is>
          <t>LOW (40%)</t>
        </is>
      </c>
      <c r="Y912" s="191" t="inlineStr">
        <is>
          <t>UNLIKELY</t>
        </is>
      </c>
      <c r="Z912" s="191" t="inlineStr">
        <is>
          <t>CHECK_VENDOR</t>
        </is>
      </c>
      <c r="AA912" s="192" t="inlineStr">
        <is>
          <t>https://nvd.nist.gov/vuln/detail/CVE-2025-69303</t>
        </is>
      </c>
      <c r="AB912" s="191" t="inlineStr">
        <is>
          <t>NONE</t>
        </is>
      </c>
      <c r="AC912" s="191" t="n">
        <v>0</v>
      </c>
      <c r="AD912" s="191" t="n"/>
    </row>
    <row r="913">
      <c r="A913" s="191" t="inlineStr">
        <is>
          <t>CVE</t>
        </is>
      </c>
      <c r="B913" s="191" t="inlineStr">
        <is>
          <t>CVE-2025-69304</t>
        </is>
      </c>
      <c r="C913" s="191" t="inlineStr">
        <is>
          <t>Improper Neutralization of Special Elements used in an SQL Command ('SQL Injection') vulnerability in TeconceTheme Allmart allmart-core allows Blind SQL Injection.This issue affects Allmart: from n/a through &lt;= 1.1.</t>
        </is>
      </c>
      <c r="D913" s="191" t="n">
        <v>5</v>
      </c>
      <c r="E913" s="191" t="inlineStr">
        <is>
          <t>MEDIUM</t>
        </is>
      </c>
      <c r="F913" s="191" t="n">
        <v>2</v>
      </c>
      <c r="G913" s="191" t="n">
        <v>2</v>
      </c>
      <c r="H913" s="191" t="inlineStr">
        <is>
          <t>MEDIUM</t>
        </is>
      </c>
      <c r="I913" s="191" t="n">
        <v>9</v>
      </c>
      <c r="J913" s="191" t="inlineStr">
        <is>
          <t>NO</t>
        </is>
      </c>
      <c r="K913" s="192" t="inlineStr">
        <is>
          <t>https://nvd.nist.gov/vuln/detail/CVE-2025-69304</t>
        </is>
      </c>
      <c r="L913" s="191" t="inlineStr">
        <is>
          <t>2026-02-23 23:48</t>
        </is>
      </c>
      <c r="M913" s="191" t="inlineStr">
        <is>
          <t>CHECK_VENDOR</t>
        </is>
      </c>
      <c r="N913" s="191" t="inlineStr">
        <is>
          <t>See NVD references</t>
        </is>
      </c>
      <c r="O913" s="191" t="inlineStr">
        <is>
          <t>Apply vendor patches</t>
        </is>
      </c>
      <c r="P913" s="191" t="inlineStr">
        <is>
          <t>See CVE details</t>
        </is>
      </c>
      <c r="Q913" s="191" t="inlineStr">
        <is>
          <t>P4</t>
        </is>
      </c>
      <c r="R913" s="191" t="inlineStr">
        <is>
          <t>📅 Schedule patch deployment within 30 days | 🔍 Monitor for exploitation attempts</t>
        </is>
      </c>
      <c r="S913" s="191" t="inlineStr">
        <is>
          <t>CVE - IP enrichment n/a</t>
        </is>
      </c>
      <c r="T913" s="191" t="n">
        <v>0.0002</v>
      </c>
      <c r="U913" s="191" t="n">
        <v>0.0536</v>
      </c>
      <c r="V913" s="191" t="inlineStr">
        <is>
          <t>T1190:Exploit Public-Facing Application</t>
        </is>
      </c>
      <c r="W913" s="191" t="n">
        <v>1</v>
      </c>
      <c r="X913" s="191" t="inlineStr">
        <is>
          <t>LOW (40%)</t>
        </is>
      </c>
      <c r="Y913" s="191" t="inlineStr">
        <is>
          <t>UNLIKELY</t>
        </is>
      </c>
      <c r="Z913" s="191" t="inlineStr">
        <is>
          <t>CHECK_VENDOR</t>
        </is>
      </c>
      <c r="AA913" s="192" t="inlineStr">
        <is>
          <t>https://nvd.nist.gov/vuln/detail/CVE-2025-69304</t>
        </is>
      </c>
      <c r="AB913" s="191" t="inlineStr">
        <is>
          <t>NONE</t>
        </is>
      </c>
      <c r="AC913" s="191" t="n">
        <v>0</v>
      </c>
      <c r="AD913" s="191" t="n"/>
    </row>
    <row r="914">
      <c r="A914" s="191" t="inlineStr">
        <is>
          <t>CVE</t>
        </is>
      </c>
      <c r="B914" s="191" t="inlineStr">
        <is>
          <t>CVE-2025-69305</t>
        </is>
      </c>
      <c r="C914" s="191" t="inlineStr">
        <is>
          <t>Improper Neutralization of Special Elements used in an SQL Command ('SQL Injection') vulnerability in TeconceTheme Crete Core crete-core allows Blind SQL Injection.This issue affects Crete Core: from n/a through &lt;= 1.4.3.</t>
        </is>
      </c>
      <c r="D914" s="191" t="n">
        <v>5</v>
      </c>
      <c r="E914" s="191" t="inlineStr">
        <is>
          <t>MEDIUM</t>
        </is>
      </c>
      <c r="F914" s="191" t="n">
        <v>2</v>
      </c>
      <c r="G914" s="191" t="n">
        <v>2</v>
      </c>
      <c r="H914" s="191" t="inlineStr">
        <is>
          <t>MEDIUM</t>
        </is>
      </c>
      <c r="I914" s="191" t="n">
        <v>9</v>
      </c>
      <c r="J914" s="191" t="inlineStr">
        <is>
          <t>NO</t>
        </is>
      </c>
      <c r="K914" s="192" t="inlineStr">
        <is>
          <t>https://nvd.nist.gov/vuln/detail/CVE-2025-69305</t>
        </is>
      </c>
      <c r="L914" s="191" t="inlineStr">
        <is>
          <t>2026-02-23 23:48</t>
        </is>
      </c>
      <c r="M914" s="191" t="inlineStr">
        <is>
          <t>CHECK_VENDOR</t>
        </is>
      </c>
      <c r="N914" s="191" t="inlineStr">
        <is>
          <t>See NVD references</t>
        </is>
      </c>
      <c r="O914" s="191" t="inlineStr">
        <is>
          <t>Apply vendor patches</t>
        </is>
      </c>
      <c r="P914" s="191" t="inlineStr">
        <is>
          <t>See CVE details</t>
        </is>
      </c>
      <c r="Q914" s="191" t="inlineStr">
        <is>
          <t>P4</t>
        </is>
      </c>
      <c r="R914" s="191" t="inlineStr">
        <is>
          <t>📅 Schedule patch deployment within 30 days | 🔍 Monitor for exploitation attempts</t>
        </is>
      </c>
      <c r="S914" s="191" t="inlineStr">
        <is>
          <t>CVE - IP enrichment n/a</t>
        </is>
      </c>
      <c r="T914" s="191" t="n">
        <v>0.0002</v>
      </c>
      <c r="U914" s="191" t="n">
        <v>0.0536</v>
      </c>
      <c r="V914" s="191" t="inlineStr">
        <is>
          <t>T1190:Exploit Public-Facing Application</t>
        </is>
      </c>
      <c r="W914" s="191" t="n">
        <v>1</v>
      </c>
      <c r="X914" s="191" t="inlineStr">
        <is>
          <t>LOW (40%)</t>
        </is>
      </c>
      <c r="Y914" s="191" t="inlineStr">
        <is>
          <t>UNLIKELY</t>
        </is>
      </c>
      <c r="Z914" s="191" t="inlineStr">
        <is>
          <t>CHECK_VENDOR</t>
        </is>
      </c>
      <c r="AA914" s="192" t="inlineStr">
        <is>
          <t>https://nvd.nist.gov/vuln/detail/CVE-2025-69305</t>
        </is>
      </c>
      <c r="AB914" s="191" t="inlineStr">
        <is>
          <t>NONE</t>
        </is>
      </c>
      <c r="AC914" s="191" t="n">
        <v>0</v>
      </c>
      <c r="AD914" s="191" t="n"/>
    </row>
    <row r="915">
      <c r="A915" s="191" t="inlineStr">
        <is>
          <t>CVE</t>
        </is>
      </c>
      <c r="B915" s="191" t="inlineStr">
        <is>
          <t>CVE-2025-69306</t>
        </is>
      </c>
      <c r="C915" s="191" t="inlineStr">
        <is>
          <t>Improper Neutralization of Special Elements used in an SQL Command ('SQL Injection') vulnerability in TeconceTheme Electio Core electio-core allows Blind SQL Injection.This issue affects Electio Core: from n/a through &lt;= 1.4.</t>
        </is>
      </c>
      <c r="D915" s="191" t="n">
        <v>5</v>
      </c>
      <c r="E915" s="191" t="inlineStr">
        <is>
          <t>MEDIUM</t>
        </is>
      </c>
      <c r="F915" s="191" t="n">
        <v>2</v>
      </c>
      <c r="G915" s="191" t="n">
        <v>2</v>
      </c>
      <c r="H915" s="191" t="inlineStr">
        <is>
          <t>MEDIUM</t>
        </is>
      </c>
      <c r="I915" s="191" t="n">
        <v>9</v>
      </c>
      <c r="J915" s="191" t="inlineStr">
        <is>
          <t>NO</t>
        </is>
      </c>
      <c r="K915" s="192" t="inlineStr">
        <is>
          <t>https://nvd.nist.gov/vuln/detail/CVE-2025-69306</t>
        </is>
      </c>
      <c r="L915" s="191" t="inlineStr">
        <is>
          <t>2026-02-23 23:48</t>
        </is>
      </c>
      <c r="M915" s="191" t="inlineStr">
        <is>
          <t>CHECK_VENDOR</t>
        </is>
      </c>
      <c r="N915" s="191" t="inlineStr">
        <is>
          <t>See NVD references</t>
        </is>
      </c>
      <c r="O915" s="191" t="inlineStr">
        <is>
          <t>Apply vendor patches</t>
        </is>
      </c>
      <c r="P915" s="191" t="inlineStr">
        <is>
          <t>See CVE details</t>
        </is>
      </c>
      <c r="Q915" s="191" t="inlineStr">
        <is>
          <t>P4</t>
        </is>
      </c>
      <c r="R915" s="191" t="inlineStr">
        <is>
          <t>📅 Schedule patch deployment within 30 days | 🔍 Monitor for exploitation attempts</t>
        </is>
      </c>
      <c r="S915" s="191" t="inlineStr">
        <is>
          <t>CVE - IP enrichment n/a</t>
        </is>
      </c>
      <c r="T915" s="191" t="n">
        <v>0.0002</v>
      </c>
      <c r="U915" s="191" t="n">
        <v>0.0536</v>
      </c>
      <c r="V915" s="191" t="inlineStr">
        <is>
          <t>T1190:Exploit Public-Facing Application</t>
        </is>
      </c>
      <c r="W915" s="191" t="n">
        <v>1</v>
      </c>
      <c r="X915" s="191" t="inlineStr">
        <is>
          <t>LOW (40%)</t>
        </is>
      </c>
      <c r="Y915" s="191" t="inlineStr">
        <is>
          <t>UNLIKELY</t>
        </is>
      </c>
      <c r="Z915" s="191" t="inlineStr">
        <is>
          <t>CHECK_VENDOR</t>
        </is>
      </c>
      <c r="AA915" s="192" t="inlineStr">
        <is>
          <t>https://nvd.nist.gov/vuln/detail/CVE-2025-69306</t>
        </is>
      </c>
      <c r="AB915" s="191" t="inlineStr">
        <is>
          <t>NONE</t>
        </is>
      </c>
      <c r="AC915" s="191" t="n">
        <v>0</v>
      </c>
      <c r="AD915" s="191" t="n"/>
    </row>
    <row r="916">
      <c r="A916" s="191" t="inlineStr">
        <is>
          <t>CVE</t>
        </is>
      </c>
      <c r="B916" s="191" t="inlineStr">
        <is>
          <t>CVE-2025-69307</t>
        </is>
      </c>
      <c r="C916" s="191" t="inlineStr">
        <is>
          <t>Improper Neutralization of Special Elements used in an SQL Command ('SQL Injection') vulnerability in TeconceTheme Medinik Core medinik-core allows Blind SQL Injection.This issue affects Medinik Core: from n/a through &lt;= 1.3.6.</t>
        </is>
      </c>
      <c r="D916" s="191" t="n">
        <v>5</v>
      </c>
      <c r="E916" s="191" t="inlineStr">
        <is>
          <t>MEDIUM</t>
        </is>
      </c>
      <c r="F916" s="191" t="n">
        <v>2</v>
      </c>
      <c r="G916" s="191" t="n">
        <v>2</v>
      </c>
      <c r="H916" s="191" t="inlineStr">
        <is>
          <t>MEDIUM</t>
        </is>
      </c>
      <c r="I916" s="191" t="n">
        <v>9</v>
      </c>
      <c r="J916" s="191" t="inlineStr">
        <is>
          <t>NO</t>
        </is>
      </c>
      <c r="K916" s="192" t="inlineStr">
        <is>
          <t>https://nvd.nist.gov/vuln/detail/CVE-2025-69307</t>
        </is>
      </c>
      <c r="L916" s="191" t="inlineStr">
        <is>
          <t>2026-02-23 23:48</t>
        </is>
      </c>
      <c r="M916" s="191" t="inlineStr">
        <is>
          <t>CHECK_VENDOR</t>
        </is>
      </c>
      <c r="N916" s="191" t="inlineStr">
        <is>
          <t>See NVD references</t>
        </is>
      </c>
      <c r="O916" s="191" t="inlineStr">
        <is>
          <t>Apply vendor patches</t>
        </is>
      </c>
      <c r="P916" s="191" t="inlineStr">
        <is>
          <t>See CVE details</t>
        </is>
      </c>
      <c r="Q916" s="191" t="inlineStr">
        <is>
          <t>P4</t>
        </is>
      </c>
      <c r="R916" s="191" t="inlineStr">
        <is>
          <t>📅 Schedule patch deployment within 30 days | 🔍 Monitor for exploitation attempts</t>
        </is>
      </c>
      <c r="S916" s="191" t="inlineStr">
        <is>
          <t>CVE - IP enrichment n/a</t>
        </is>
      </c>
      <c r="T916" s="191" t="n">
        <v>0</v>
      </c>
      <c r="U916" s="191" t="n">
        <v>0</v>
      </c>
      <c r="V916" s="191" t="inlineStr">
        <is>
          <t>T1190:Exploit Public-Facing Application</t>
        </is>
      </c>
      <c r="W916" s="191" t="n">
        <v>1</v>
      </c>
      <c r="X916" s="191" t="inlineStr">
        <is>
          <t>LOW (40%)</t>
        </is>
      </c>
      <c r="Y916" s="191" t="inlineStr">
        <is>
          <t>UNLIKELY</t>
        </is>
      </c>
      <c r="Z916" s="191" t="inlineStr">
        <is>
          <t>CHECK_VENDOR</t>
        </is>
      </c>
      <c r="AA916" s="192" t="inlineStr">
        <is>
          <t>https://nvd.nist.gov/vuln/detail/CVE-2025-69307</t>
        </is>
      </c>
      <c r="AB916" s="191" t="inlineStr">
        <is>
          <t>NONE</t>
        </is>
      </c>
      <c r="AC916" s="191" t="n">
        <v>0</v>
      </c>
      <c r="AD916" s="191" t="n"/>
    </row>
    <row r="917">
      <c r="A917" s="191" t="inlineStr">
        <is>
          <t>CVE</t>
        </is>
      </c>
      <c r="B917" s="191" t="inlineStr">
        <is>
          <t>CVE-2025-69308</t>
        </is>
      </c>
      <c r="C917" s="191" t="inlineStr">
        <is>
          <t>Improper Neutralization of Special Elements used in an SQL Command ('SQL Injection') vulnerability in TeconceTheme Nestbyte Core nestbyte-core allows Blind SQL Injection.This issue affects Nestbyte Core: from n/a through &lt;= 1.2.</t>
        </is>
      </c>
      <c r="D917" s="191" t="n">
        <v>5</v>
      </c>
      <c r="E917" s="191" t="inlineStr">
        <is>
          <t>MEDIUM</t>
        </is>
      </c>
      <c r="F917" s="191" t="n">
        <v>2</v>
      </c>
      <c r="G917" s="191" t="n">
        <v>2</v>
      </c>
      <c r="H917" s="191" t="inlineStr">
        <is>
          <t>MEDIUM</t>
        </is>
      </c>
      <c r="I917" s="191" t="n">
        <v>9</v>
      </c>
      <c r="J917" s="191" t="inlineStr">
        <is>
          <t>NO</t>
        </is>
      </c>
      <c r="K917" s="192" t="inlineStr">
        <is>
          <t>https://nvd.nist.gov/vuln/detail/CVE-2025-69308</t>
        </is>
      </c>
      <c r="L917" s="191" t="inlineStr">
        <is>
          <t>2026-02-23 23:48</t>
        </is>
      </c>
      <c r="M917" s="191" t="inlineStr">
        <is>
          <t>CHECK_VENDOR</t>
        </is>
      </c>
      <c r="N917" s="191" t="inlineStr">
        <is>
          <t>See NVD references</t>
        </is>
      </c>
      <c r="O917" s="191" t="inlineStr">
        <is>
          <t>Apply vendor patches</t>
        </is>
      </c>
      <c r="P917" s="191" t="inlineStr">
        <is>
          <t>See CVE details</t>
        </is>
      </c>
      <c r="Q917" s="191" t="inlineStr">
        <is>
          <t>P4</t>
        </is>
      </c>
      <c r="R917" s="191" t="inlineStr">
        <is>
          <t>📅 Schedule patch deployment within 30 days | 🔍 Monitor for exploitation attempts</t>
        </is>
      </c>
      <c r="S917" s="191" t="inlineStr">
        <is>
          <t>CVE - IP enrichment n/a</t>
        </is>
      </c>
      <c r="T917" s="191" t="n">
        <v>0.0002</v>
      </c>
      <c r="U917" s="191" t="n">
        <v>0.0536</v>
      </c>
      <c r="V917" s="191" t="inlineStr">
        <is>
          <t>T1190:Exploit Public-Facing Application</t>
        </is>
      </c>
      <c r="W917" s="191" t="n">
        <v>1</v>
      </c>
      <c r="X917" s="191" t="inlineStr">
        <is>
          <t>LOW (40%)</t>
        </is>
      </c>
      <c r="Y917" s="191" t="inlineStr">
        <is>
          <t>UNLIKELY</t>
        </is>
      </c>
      <c r="Z917" s="191" t="inlineStr">
        <is>
          <t>CHECK_VENDOR</t>
        </is>
      </c>
      <c r="AA917" s="192" t="inlineStr">
        <is>
          <t>https://nvd.nist.gov/vuln/detail/CVE-2025-69308</t>
        </is>
      </c>
      <c r="AB917" s="191" t="inlineStr">
        <is>
          <t>NONE</t>
        </is>
      </c>
      <c r="AC917" s="191" t="n">
        <v>0</v>
      </c>
      <c r="AD917" s="191" t="n"/>
    </row>
    <row r="918">
      <c r="A918" s="191" t="inlineStr">
        <is>
          <t>CVE</t>
        </is>
      </c>
      <c r="B918" s="191" t="inlineStr">
        <is>
          <t>CVE-2025-69309</t>
        </is>
      </c>
      <c r="C918" s="191" t="inlineStr">
        <is>
          <t>Improper Neutralization of Special Elements used in an SQL Command ('SQL Injection') vulnerability in TeconceTheme Saasplate Core saasplate-core allows Blind SQL Injection.This issue affects Saasplate Core: from n/a through &lt;= 1.2.8.</t>
        </is>
      </c>
      <c r="D918" s="191" t="n">
        <v>5</v>
      </c>
      <c r="E918" s="191" t="inlineStr">
        <is>
          <t>MEDIUM</t>
        </is>
      </c>
      <c r="F918" s="191" t="n">
        <v>2</v>
      </c>
      <c r="G918" s="191" t="n">
        <v>2</v>
      </c>
      <c r="H918" s="191" t="inlineStr">
        <is>
          <t>MEDIUM</t>
        </is>
      </c>
      <c r="I918" s="191" t="n">
        <v>9</v>
      </c>
      <c r="J918" s="191" t="inlineStr">
        <is>
          <t>NO</t>
        </is>
      </c>
      <c r="K918" s="192" t="inlineStr">
        <is>
          <t>https://nvd.nist.gov/vuln/detail/CVE-2025-69309</t>
        </is>
      </c>
      <c r="L918" s="191" t="inlineStr">
        <is>
          <t>2026-02-23 23:48</t>
        </is>
      </c>
      <c r="M918" s="191" t="inlineStr">
        <is>
          <t>CHECK_VENDOR</t>
        </is>
      </c>
      <c r="N918" s="191" t="inlineStr">
        <is>
          <t>See NVD references</t>
        </is>
      </c>
      <c r="O918" s="191" t="inlineStr">
        <is>
          <t>Apply vendor patches</t>
        </is>
      </c>
      <c r="P918" s="191" t="inlineStr">
        <is>
          <t>See CVE details</t>
        </is>
      </c>
      <c r="Q918" s="191" t="inlineStr">
        <is>
          <t>P4</t>
        </is>
      </c>
      <c r="R918" s="191" t="inlineStr">
        <is>
          <t>📅 Schedule patch deployment within 30 days | 🔍 Monitor for exploitation attempts</t>
        </is>
      </c>
      <c r="S918" s="191" t="inlineStr">
        <is>
          <t>CVE - IP enrichment n/a</t>
        </is>
      </c>
      <c r="T918" s="191" t="n">
        <v>0</v>
      </c>
      <c r="U918" s="191" t="n">
        <v>0</v>
      </c>
      <c r="V918" s="191" t="inlineStr">
        <is>
          <t>T1190:Exploit Public-Facing Application</t>
        </is>
      </c>
      <c r="W918" s="191" t="n">
        <v>1</v>
      </c>
      <c r="X918" s="191" t="inlineStr">
        <is>
          <t>LOW (40%)</t>
        </is>
      </c>
      <c r="Y918" s="191" t="inlineStr">
        <is>
          <t>UNLIKELY</t>
        </is>
      </c>
      <c r="Z918" s="191" t="inlineStr">
        <is>
          <t>CHECK_VENDOR</t>
        </is>
      </c>
      <c r="AA918" s="192" t="inlineStr">
        <is>
          <t>https://nvd.nist.gov/vuln/detail/CVE-2025-69309</t>
        </is>
      </c>
      <c r="AB918" s="191" t="inlineStr">
        <is>
          <t>NONE</t>
        </is>
      </c>
      <c r="AC918" s="191" t="n">
        <v>0</v>
      </c>
      <c r="AD918" s="191" t="n"/>
    </row>
    <row r="919">
      <c r="A919" s="191" t="inlineStr">
        <is>
          <t>CVE</t>
        </is>
      </c>
      <c r="B919" s="191" t="inlineStr">
        <is>
          <t>CVE-2025-69310</t>
        </is>
      </c>
      <c r="C919" s="191" t="inlineStr">
        <is>
          <t>Improper Neutralization of Special Elements used in an SQL Command ('SQL Injection') vulnerability in TeconceTheme Woodly Core woodly-core allows Blind SQL Injection.This issue affects Woodly Core: from n/a through &lt;= 1.4.</t>
        </is>
      </c>
      <c r="D919" s="191" t="n">
        <v>5</v>
      </c>
      <c r="E919" s="191" t="inlineStr">
        <is>
          <t>MEDIUM</t>
        </is>
      </c>
      <c r="F919" s="191" t="n">
        <v>2</v>
      </c>
      <c r="G919" s="191" t="n">
        <v>2</v>
      </c>
      <c r="H919" s="191" t="inlineStr">
        <is>
          <t>MEDIUM</t>
        </is>
      </c>
      <c r="I919" s="191" t="n">
        <v>9</v>
      </c>
      <c r="J919" s="191" t="inlineStr">
        <is>
          <t>NO</t>
        </is>
      </c>
      <c r="K919" s="192" t="inlineStr">
        <is>
          <t>https://nvd.nist.gov/vuln/detail/CVE-2025-69310</t>
        </is>
      </c>
      <c r="L919" s="191" t="inlineStr">
        <is>
          <t>2026-02-23 23:48</t>
        </is>
      </c>
      <c r="M919" s="191" t="inlineStr">
        <is>
          <t>CHECK_VENDOR</t>
        </is>
      </c>
      <c r="N919" s="191" t="inlineStr">
        <is>
          <t>See NVD references</t>
        </is>
      </c>
      <c r="O919" s="191" t="inlineStr">
        <is>
          <t>Apply vendor patches</t>
        </is>
      </c>
      <c r="P919" s="191" t="inlineStr">
        <is>
          <t>See CVE details</t>
        </is>
      </c>
      <c r="Q919" s="191" t="inlineStr">
        <is>
          <t>P4</t>
        </is>
      </c>
      <c r="R919" s="191" t="inlineStr">
        <is>
          <t>📅 Schedule patch deployment within 30 days | 🔍 Monitor for exploitation attempts</t>
        </is>
      </c>
      <c r="S919" s="191" t="inlineStr">
        <is>
          <t>CVE - IP enrichment n/a</t>
        </is>
      </c>
      <c r="T919" s="191" t="n">
        <v>0</v>
      </c>
      <c r="U919" s="191" t="n">
        <v>0</v>
      </c>
      <c r="V919" s="191" t="inlineStr">
        <is>
          <t>T1190:Exploit Public-Facing Application</t>
        </is>
      </c>
      <c r="W919" s="191" t="n">
        <v>1</v>
      </c>
      <c r="X919" s="191" t="inlineStr">
        <is>
          <t>LOW (40%)</t>
        </is>
      </c>
      <c r="Y919" s="191" t="inlineStr">
        <is>
          <t>UNLIKELY</t>
        </is>
      </c>
      <c r="Z919" s="191" t="inlineStr">
        <is>
          <t>CHECK_VENDOR</t>
        </is>
      </c>
      <c r="AA919" s="192" t="inlineStr">
        <is>
          <t>https://nvd.nist.gov/vuln/detail/CVE-2025-69310</t>
        </is>
      </c>
      <c r="AB919" s="191" t="inlineStr">
        <is>
          <t>NONE</t>
        </is>
      </c>
      <c r="AC919" s="191" t="n">
        <v>0</v>
      </c>
      <c r="AD919" s="191" t="n"/>
    </row>
    <row r="920">
      <c r="A920" s="191" t="inlineStr">
        <is>
          <t>CVE</t>
        </is>
      </c>
      <c r="B920" s="191" t="inlineStr">
        <is>
          <t>CVE-2025-69322</t>
        </is>
      </c>
      <c r="C920" s="191" t="inlineStr">
        <is>
          <t>Improper Control of Filename for Include/Require Statement in PHP Program ('PHP Remote File Inclusion') vulnerability in fuelthemes PeakShops peakshops allows PHP Local File Inclusion.This issue affects PeakShops: from n/a through &lt; 1.5.9.</t>
        </is>
      </c>
      <c r="D920" s="191" t="n">
        <v>5</v>
      </c>
      <c r="E920" s="191" t="inlineStr">
        <is>
          <t>MEDIUM</t>
        </is>
      </c>
      <c r="F920" s="191" t="n">
        <v>2</v>
      </c>
      <c r="G920" s="191" t="n">
        <v>2</v>
      </c>
      <c r="H920" s="191" t="inlineStr">
        <is>
          <t>MEDIUM</t>
        </is>
      </c>
      <c r="I920" s="191" t="n">
        <v>9</v>
      </c>
      <c r="J920" s="191" t="inlineStr">
        <is>
          <t>NO</t>
        </is>
      </c>
      <c r="K920" s="192" t="inlineStr">
        <is>
          <t>https://nvd.nist.gov/vuln/detail/CVE-2025-69322</t>
        </is>
      </c>
      <c r="L920" s="191" t="inlineStr">
        <is>
          <t>2026-02-23 23:48</t>
        </is>
      </c>
      <c r="M920" s="191" t="inlineStr">
        <is>
          <t>CHECK_VENDOR</t>
        </is>
      </c>
      <c r="N920" s="191" t="inlineStr">
        <is>
          <t>See NVD references</t>
        </is>
      </c>
      <c r="O920" s="191" t="inlineStr">
        <is>
          <t>Apply vendor patches</t>
        </is>
      </c>
      <c r="P920" s="191" t="inlineStr">
        <is>
          <t>See CVE details</t>
        </is>
      </c>
      <c r="Q920" s="191" t="inlineStr">
        <is>
          <t>P4</t>
        </is>
      </c>
      <c r="R920" s="191" t="inlineStr">
        <is>
          <t>📅 Schedule patch deployment within 30 days | 🔍 Monitor for exploitation attempts</t>
        </is>
      </c>
      <c r="S920" s="191" t="inlineStr">
        <is>
          <t>CVE - IP enrichment n/a</t>
        </is>
      </c>
      <c r="T920" s="191" t="n">
        <v>0</v>
      </c>
      <c r="U920" s="191" t="n">
        <v>0</v>
      </c>
      <c r="V920" s="191" t="inlineStr">
        <is>
          <t>T1190:Exploit Public-Facing Application</t>
        </is>
      </c>
      <c r="W920" s="191" t="n">
        <v>1</v>
      </c>
      <c r="X920" s="191" t="inlineStr">
        <is>
          <t>LOW (40%)</t>
        </is>
      </c>
      <c r="Y920" s="191" t="inlineStr">
        <is>
          <t>UNLIKELY</t>
        </is>
      </c>
      <c r="Z920" s="191" t="inlineStr">
        <is>
          <t>CHECK_VENDOR</t>
        </is>
      </c>
      <c r="AA920" s="192" t="inlineStr">
        <is>
          <t>https://nvd.nist.gov/vuln/detail/CVE-2025-69322</t>
        </is>
      </c>
      <c r="AB920" s="191" t="inlineStr">
        <is>
          <t>NONE</t>
        </is>
      </c>
      <c r="AC920" s="191" t="n">
        <v>0</v>
      </c>
      <c r="AD920" s="191" t="n"/>
    </row>
    <row r="921">
      <c r="A921" s="191" t="inlineStr">
        <is>
          <t>CVE</t>
        </is>
      </c>
      <c r="B921" s="191" t="inlineStr">
        <is>
          <t>CVE-2025-69323</t>
        </is>
      </c>
      <c r="C921" s="191" t="inlineStr">
        <is>
          <t>Improper Neutralization of Input During Web Page Generation ('Cross-site Scripting') vulnerability in VeronaLabs Slimstat Analytics wp-slimstat allows Reflected XSS.This issue affects Slimstat Analytics: from n/a through &lt;= 5.3.2.</t>
        </is>
      </c>
      <c r="D921" s="191" t="n">
        <v>5</v>
      </c>
      <c r="E921" s="191" t="inlineStr">
        <is>
          <t>MEDIUM</t>
        </is>
      </c>
      <c r="F921" s="191" t="n">
        <v>2</v>
      </c>
      <c r="G921" s="191" t="n">
        <v>2</v>
      </c>
      <c r="H921" s="191" t="inlineStr">
        <is>
          <t>MEDIUM</t>
        </is>
      </c>
      <c r="I921" s="191" t="n">
        <v>9</v>
      </c>
      <c r="J921" s="191" t="inlineStr">
        <is>
          <t>NO</t>
        </is>
      </c>
      <c r="K921" s="192" t="inlineStr">
        <is>
          <t>https://nvd.nist.gov/vuln/detail/CVE-2025-69323</t>
        </is>
      </c>
      <c r="L921" s="191" t="inlineStr">
        <is>
          <t>2026-02-23 23:48</t>
        </is>
      </c>
      <c r="M921" s="191" t="inlineStr">
        <is>
          <t>CHECK_VENDOR</t>
        </is>
      </c>
      <c r="N921" s="191" t="inlineStr">
        <is>
          <t>See NVD references</t>
        </is>
      </c>
      <c r="O921" s="191" t="inlineStr">
        <is>
          <t>Apply vendor patches</t>
        </is>
      </c>
      <c r="P921" s="191" t="inlineStr">
        <is>
          <t>See CVE details</t>
        </is>
      </c>
      <c r="Q921" s="191" t="inlineStr">
        <is>
          <t>P4</t>
        </is>
      </c>
      <c r="R921" s="191" t="inlineStr">
        <is>
          <t>📅 Schedule patch deployment within 30 days | 🔍 Monitor for exploitation attempts</t>
        </is>
      </c>
      <c r="S921" s="191" t="inlineStr">
        <is>
          <t>CVE - IP enrichment n/a</t>
        </is>
      </c>
      <c r="T921" s="191" t="n">
        <v>0</v>
      </c>
      <c r="U921" s="191" t="n">
        <v>0</v>
      </c>
      <c r="V921" s="191" t="inlineStr">
        <is>
          <t>T1189:Drive-by Compromise</t>
        </is>
      </c>
      <c r="W921" s="191" t="n">
        <v>1</v>
      </c>
      <c r="X921" s="191" t="inlineStr">
        <is>
          <t>LOW (40%)</t>
        </is>
      </c>
      <c r="Y921" s="191" t="inlineStr">
        <is>
          <t>UNLIKELY</t>
        </is>
      </c>
      <c r="Z921" s="191" t="inlineStr">
        <is>
          <t>CHECK_VENDOR</t>
        </is>
      </c>
      <c r="AA921" s="192" t="inlineStr">
        <is>
          <t>https://nvd.nist.gov/vuln/detail/CVE-2025-69323</t>
        </is>
      </c>
      <c r="AB921" s="191" t="inlineStr">
        <is>
          <t>NONE</t>
        </is>
      </c>
      <c r="AC921" s="191" t="n">
        <v>0</v>
      </c>
      <c r="AD921" s="191" t="n"/>
    </row>
    <row r="922">
      <c r="A922" s="191" t="inlineStr">
        <is>
          <t>CVE</t>
        </is>
      </c>
      <c r="B922" s="191" t="inlineStr">
        <is>
          <t>CVE-2025-69324</t>
        </is>
      </c>
      <c r="C922" s="191" t="inlineStr">
        <is>
          <t>Improper Neutralization of Input During Web Page Generation ('Cross-site Scripting') vulnerability in Basix NEX-Forms nex-forms-express-wp-form-builder allows Stored XSS.This issue affects NEX-Forms: from n/a through &lt;= 9.1.7.</t>
        </is>
      </c>
      <c r="D922" s="191" t="n">
        <v>5</v>
      </c>
      <c r="E922" s="191" t="inlineStr">
        <is>
          <t>MEDIUM</t>
        </is>
      </c>
      <c r="F922" s="191" t="n">
        <v>2</v>
      </c>
      <c r="G922" s="191" t="n">
        <v>2</v>
      </c>
      <c r="H922" s="191" t="inlineStr">
        <is>
          <t>MEDIUM</t>
        </is>
      </c>
      <c r="I922" s="191" t="n">
        <v>9</v>
      </c>
      <c r="J922" s="191" t="inlineStr">
        <is>
          <t>NO</t>
        </is>
      </c>
      <c r="K922" s="192" t="inlineStr">
        <is>
          <t>https://nvd.nist.gov/vuln/detail/CVE-2025-69324</t>
        </is>
      </c>
      <c r="L922" s="191" t="inlineStr">
        <is>
          <t>2026-02-23 23:48</t>
        </is>
      </c>
      <c r="M922" s="191" t="inlineStr">
        <is>
          <t>CHECK_VENDOR</t>
        </is>
      </c>
      <c r="N922" s="191" t="inlineStr">
        <is>
          <t>See NVD references</t>
        </is>
      </c>
      <c r="O922" s="191" t="inlineStr">
        <is>
          <t>Apply vendor patches</t>
        </is>
      </c>
      <c r="P922" s="191" t="inlineStr">
        <is>
          <t>See CVE details</t>
        </is>
      </c>
      <c r="Q922" s="191" t="inlineStr">
        <is>
          <t>P4</t>
        </is>
      </c>
      <c r="R922" s="191" t="inlineStr">
        <is>
          <t>📅 Schedule patch deployment within 30 days | 🔍 Monitor for exploitation attempts</t>
        </is>
      </c>
      <c r="S922" s="191" t="inlineStr">
        <is>
          <t>CVE - IP enrichment n/a</t>
        </is>
      </c>
      <c r="T922" s="191" t="n">
        <v>0</v>
      </c>
      <c r="U922" s="191" t="n">
        <v>0</v>
      </c>
      <c r="V922" s="191" t="inlineStr">
        <is>
          <t>T1189:Drive-by Compromise</t>
        </is>
      </c>
      <c r="W922" s="191" t="n">
        <v>1</v>
      </c>
      <c r="X922" s="191" t="inlineStr">
        <is>
          <t>LOW (40%)</t>
        </is>
      </c>
      <c r="Y922" s="191" t="inlineStr">
        <is>
          <t>UNLIKELY</t>
        </is>
      </c>
      <c r="Z922" s="191" t="inlineStr">
        <is>
          <t>CHECK_VENDOR</t>
        </is>
      </c>
      <c r="AA922" s="192" t="inlineStr">
        <is>
          <t>https://nvd.nist.gov/vuln/detail/CVE-2025-69324</t>
        </is>
      </c>
      <c r="AB922" s="191" t="inlineStr">
        <is>
          <t>NONE</t>
        </is>
      </c>
      <c r="AC922" s="191" t="n">
        <v>0</v>
      </c>
      <c r="AD922" s="191" t="n"/>
    </row>
    <row r="923">
      <c r="A923" s="189" t="inlineStr">
        <is>
          <t>CVE</t>
        </is>
      </c>
      <c r="B923" s="189" t="inlineStr">
        <is>
          <t>CVE-2025-69325</t>
        </is>
      </c>
      <c r="C923" s="189" t="inlineStr">
        <is>
          <t>Path Traversal: '.../...//' vulnerability in primersoftware Primer MyData for Woocommerce primer-mydata allows Path Traversal.This issue affects Primer MyData for Woocommerce: from n/a through &lt;= 4.2.8.</t>
        </is>
      </c>
      <c r="D923" s="189" t="n">
        <v>8.5</v>
      </c>
      <c r="E923" s="189" t="inlineStr">
        <is>
          <t>HIGH</t>
        </is>
      </c>
      <c r="F923" s="189" t="n">
        <v>2</v>
      </c>
      <c r="G923" s="189" t="n">
        <v>3</v>
      </c>
      <c r="H923" s="189" t="inlineStr">
        <is>
          <t>HIGH</t>
        </is>
      </c>
      <c r="I923" s="189" t="n">
        <v>14.5</v>
      </c>
      <c r="J923" s="189" t="inlineStr">
        <is>
          <t>NO</t>
        </is>
      </c>
      <c r="K923" s="190" t="inlineStr">
        <is>
          <t>https://nvd.nist.gov/vuln/detail/CVE-2025-69325</t>
        </is>
      </c>
      <c r="L923" s="189" t="inlineStr">
        <is>
          <t>2026-02-23 23:48</t>
        </is>
      </c>
      <c r="M923" s="189" t="inlineStr">
        <is>
          <t>CHECK_VENDOR</t>
        </is>
      </c>
      <c r="N923" s="189" t="inlineStr">
        <is>
          <t>See NVD references</t>
        </is>
      </c>
      <c r="O923" s="189" t="inlineStr">
        <is>
          <t>Apply vendor patches</t>
        </is>
      </c>
      <c r="P923" s="189" t="inlineStr">
        <is>
          <t>See CVE details</t>
        </is>
      </c>
      <c r="Q923" s="189" t="inlineStr">
        <is>
          <t>P3</t>
        </is>
      </c>
      <c r="R923" s="189" t="inlineStr">
        <is>
          <t>🚨 URGENT: Apply vendor patches immediately | 🔒 Isolate affected systems if patch unavailable | 🛡️ Enable additional monitoring/IDS rules</t>
        </is>
      </c>
      <c r="S923" s="189" t="inlineStr">
        <is>
          <t>CVE - IP enrichment n/a</t>
        </is>
      </c>
      <c r="T923" s="189" t="n">
        <v>0</v>
      </c>
      <c r="U923" s="189" t="n">
        <v>0</v>
      </c>
      <c r="V923" s="189" t="inlineStr">
        <is>
          <t>T1190:Exploit Public-Facing Application | T1083:File and Directory Discovery</t>
        </is>
      </c>
      <c r="W923" s="189" t="n">
        <v>1</v>
      </c>
      <c r="X923" s="189" t="inlineStr">
        <is>
          <t>LOW (40%)</t>
        </is>
      </c>
      <c r="Y923" s="189" t="inlineStr">
        <is>
          <t>UNLIKELY</t>
        </is>
      </c>
      <c r="Z923" s="189" t="inlineStr">
        <is>
          <t>CHECK_VENDOR</t>
        </is>
      </c>
      <c r="AA923" s="190" t="inlineStr">
        <is>
          <t>https://nvd.nist.gov/vuln/detail/CVE-2025-69325</t>
        </is>
      </c>
      <c r="AB923" s="189" t="inlineStr">
        <is>
          <t>NONE</t>
        </is>
      </c>
      <c r="AC923" s="189" t="n">
        <v>0</v>
      </c>
      <c r="AD923" s="189" t="n"/>
    </row>
    <row r="924">
      <c r="A924" s="191" t="inlineStr">
        <is>
          <t>CVE</t>
        </is>
      </c>
      <c r="B924" s="191" t="inlineStr">
        <is>
          <t>CVE-2025-69326</t>
        </is>
      </c>
      <c r="C924" s="191" t="inlineStr">
        <is>
          <t>Improper Neutralization of Input During Web Page Generation ('Cross-site Scripting') vulnerability in Basix NEX-Forms nex-forms-express-wp-form-builder allows Reflected XSS.This issue affects NEX-Forms: from n/a through &lt;= 9.1.7.</t>
        </is>
      </c>
      <c r="D924" s="191" t="n">
        <v>5</v>
      </c>
      <c r="E924" s="191" t="inlineStr">
        <is>
          <t>MEDIUM</t>
        </is>
      </c>
      <c r="F924" s="191" t="n">
        <v>2</v>
      </c>
      <c r="G924" s="191" t="n">
        <v>2</v>
      </c>
      <c r="H924" s="191" t="inlineStr">
        <is>
          <t>MEDIUM</t>
        </is>
      </c>
      <c r="I924" s="191" t="n">
        <v>9</v>
      </c>
      <c r="J924" s="191" t="inlineStr">
        <is>
          <t>NO</t>
        </is>
      </c>
      <c r="K924" s="192" t="inlineStr">
        <is>
          <t>https://nvd.nist.gov/vuln/detail/CVE-2025-69326</t>
        </is>
      </c>
      <c r="L924" s="191" t="inlineStr">
        <is>
          <t>2026-02-23 23:48</t>
        </is>
      </c>
      <c r="M924" s="191" t="inlineStr">
        <is>
          <t>CHECK_VENDOR</t>
        </is>
      </c>
      <c r="N924" s="191" t="inlineStr">
        <is>
          <t>See NVD references</t>
        </is>
      </c>
      <c r="O924" s="191" t="inlineStr">
        <is>
          <t>Apply vendor patches</t>
        </is>
      </c>
      <c r="P924" s="191" t="inlineStr">
        <is>
          <t>See CVE details</t>
        </is>
      </c>
      <c r="Q924" s="191" t="inlineStr">
        <is>
          <t>P4</t>
        </is>
      </c>
      <c r="R924" s="191" t="inlineStr">
        <is>
          <t>📅 Schedule patch deployment within 30 days | 🔍 Monitor for exploitation attempts</t>
        </is>
      </c>
      <c r="S924" s="191" t="inlineStr">
        <is>
          <t>CVE - IP enrichment n/a</t>
        </is>
      </c>
      <c r="T924" s="191" t="n">
        <v>0</v>
      </c>
      <c r="U924" s="191" t="n">
        <v>0</v>
      </c>
      <c r="V924" s="191" t="inlineStr">
        <is>
          <t>T1189:Drive-by Compromise</t>
        </is>
      </c>
      <c r="W924" s="191" t="n">
        <v>1</v>
      </c>
      <c r="X924" s="191" t="inlineStr">
        <is>
          <t>LOW (40%)</t>
        </is>
      </c>
      <c r="Y924" s="191" t="inlineStr">
        <is>
          <t>UNLIKELY</t>
        </is>
      </c>
      <c r="Z924" s="191" t="inlineStr">
        <is>
          <t>CHECK_VENDOR</t>
        </is>
      </c>
      <c r="AA924" s="192" t="inlineStr">
        <is>
          <t>https://nvd.nist.gov/vuln/detail/CVE-2025-69326</t>
        </is>
      </c>
      <c r="AB924" s="191" t="inlineStr">
        <is>
          <t>NONE</t>
        </is>
      </c>
      <c r="AC924" s="191" t="n">
        <v>0</v>
      </c>
      <c r="AD924" s="191" t="n"/>
    </row>
    <row r="925">
      <c r="A925" s="189" t="inlineStr">
        <is>
          <t>CVE</t>
        </is>
      </c>
      <c r="B925" s="189" t="inlineStr">
        <is>
          <t>CVE-2025-69328</t>
        </is>
      </c>
      <c r="C925" s="189" t="inlineStr">
        <is>
          <t>Deserialization of Untrusted Data vulnerability in magepeopleteam Booking and Rental Manager booking-and-rental-manager-for-woocommerce allows Object Injection.This issue affects Booking and Rental Manager: from n/a through &lt;= 2.5.9.</t>
        </is>
      </c>
      <c r="D925" s="189" t="n">
        <v>8.5</v>
      </c>
      <c r="E925" s="189" t="inlineStr">
        <is>
          <t>HIGH</t>
        </is>
      </c>
      <c r="F925" s="189" t="n">
        <v>2</v>
      </c>
      <c r="G925" s="189" t="n">
        <v>3</v>
      </c>
      <c r="H925" s="189" t="inlineStr">
        <is>
          <t>HIGH</t>
        </is>
      </c>
      <c r="I925" s="189" t="n">
        <v>14.5</v>
      </c>
      <c r="J925" s="189" t="inlineStr">
        <is>
          <t>NO</t>
        </is>
      </c>
      <c r="K925" s="190" t="inlineStr">
        <is>
          <t>https://nvd.nist.gov/vuln/detail/CVE-2025-69328</t>
        </is>
      </c>
      <c r="L925" s="189" t="inlineStr">
        <is>
          <t>2026-02-23 23:48</t>
        </is>
      </c>
      <c r="M925" s="189" t="inlineStr">
        <is>
          <t>CHECK_VENDOR</t>
        </is>
      </c>
      <c r="N925" s="189" t="inlineStr">
        <is>
          <t>See NVD references</t>
        </is>
      </c>
      <c r="O925" s="189" t="inlineStr">
        <is>
          <t>Apply vendor patches</t>
        </is>
      </c>
      <c r="P925" s="189" t="inlineStr">
        <is>
          <t>See CVE details</t>
        </is>
      </c>
      <c r="Q925" s="189" t="inlineStr">
        <is>
          <t>P3</t>
        </is>
      </c>
      <c r="R925" s="189" t="inlineStr">
        <is>
          <t>🚨 URGENT: Apply vendor patches immediately | 🔒 Isolate affected systems if patch unavailable | 🛡️ Enable additional monitoring/IDS rules</t>
        </is>
      </c>
      <c r="S925" s="189" t="inlineStr">
        <is>
          <t>CVE - IP enrichment n/a</t>
        </is>
      </c>
      <c r="T925" s="189" t="n">
        <v>0</v>
      </c>
      <c r="U925" s="189" t="n">
        <v>0</v>
      </c>
      <c r="V925" s="189" t="inlineStr">
        <is>
          <t>T1059:Command and Scripting Interpreter | T1190:Exploit Public-Facing Application</t>
        </is>
      </c>
      <c r="W925" s="189" t="n">
        <v>1</v>
      </c>
      <c r="X925" s="189" t="inlineStr">
        <is>
          <t>LOW (40%)</t>
        </is>
      </c>
      <c r="Y925" s="189" t="inlineStr">
        <is>
          <t>UNLIKELY</t>
        </is>
      </c>
      <c r="Z925" s="189" t="inlineStr">
        <is>
          <t>CHECK_VENDOR</t>
        </is>
      </c>
      <c r="AA925" s="190" t="inlineStr">
        <is>
          <t>https://nvd.nist.gov/vuln/detail/CVE-2025-69328</t>
        </is>
      </c>
      <c r="AB925" s="189" t="inlineStr">
        <is>
          <t>NONE</t>
        </is>
      </c>
      <c r="AC925" s="189" t="n">
        <v>0</v>
      </c>
      <c r="AD925" s="189" t="n"/>
    </row>
    <row r="926">
      <c r="A926" s="191" t="inlineStr">
        <is>
          <t>CVE</t>
        </is>
      </c>
      <c r="B926" s="191" t="inlineStr">
        <is>
          <t>CVE-2025-69329</t>
        </is>
      </c>
      <c r="C926" s="191" t="inlineStr">
        <is>
          <t>Deserialization of Untrusted Data vulnerability in Jthemes Prestige prestige allows Object Injection.This issue affects Prestige: from n/a through &lt; 1.4.1.</t>
        </is>
      </c>
      <c r="D926" s="191" t="n">
        <v>5</v>
      </c>
      <c r="E926" s="191" t="inlineStr">
        <is>
          <t>MEDIUM</t>
        </is>
      </c>
      <c r="F926" s="191" t="n">
        <v>2</v>
      </c>
      <c r="G926" s="191" t="n">
        <v>2</v>
      </c>
      <c r="H926" s="191" t="inlineStr">
        <is>
          <t>MEDIUM</t>
        </is>
      </c>
      <c r="I926" s="191" t="n">
        <v>9</v>
      </c>
      <c r="J926" s="191" t="inlineStr">
        <is>
          <t>NO</t>
        </is>
      </c>
      <c r="K926" s="192" t="inlineStr">
        <is>
          <t>https://nvd.nist.gov/vuln/detail/CVE-2025-69329</t>
        </is>
      </c>
      <c r="L926" s="191" t="inlineStr">
        <is>
          <t>2026-02-23 23:48</t>
        </is>
      </c>
      <c r="M926" s="191" t="inlineStr">
        <is>
          <t>CHECK_VENDOR</t>
        </is>
      </c>
      <c r="N926" s="191" t="inlineStr">
        <is>
          <t>See NVD references</t>
        </is>
      </c>
      <c r="O926" s="191" t="inlineStr">
        <is>
          <t>Apply vendor patches</t>
        </is>
      </c>
      <c r="P926" s="191" t="inlineStr">
        <is>
          <t>See CVE details</t>
        </is>
      </c>
      <c r="Q926" s="191" t="inlineStr">
        <is>
          <t>P4</t>
        </is>
      </c>
      <c r="R926" s="191" t="inlineStr">
        <is>
          <t>📅 Schedule patch deployment within 30 days | 🔍 Monitor for exploitation attempts</t>
        </is>
      </c>
      <c r="S926" s="191" t="inlineStr">
        <is>
          <t>CVE - IP enrichment n/a</t>
        </is>
      </c>
      <c r="T926" s="191" t="n">
        <v>0</v>
      </c>
      <c r="U926" s="191" t="n">
        <v>0</v>
      </c>
      <c r="V926" s="191" t="inlineStr">
        <is>
          <t>T1059:Command and Scripting Interpreter</t>
        </is>
      </c>
      <c r="W926" s="191" t="n">
        <v>1</v>
      </c>
      <c r="X926" s="191" t="inlineStr">
        <is>
          <t>LOW (40%)</t>
        </is>
      </c>
      <c r="Y926" s="191" t="inlineStr">
        <is>
          <t>UNLIKELY</t>
        </is>
      </c>
      <c r="Z926" s="191" t="inlineStr">
        <is>
          <t>CHECK_VENDOR</t>
        </is>
      </c>
      <c r="AA926" s="192" t="inlineStr">
        <is>
          <t>https://nvd.nist.gov/vuln/detail/CVE-2025-69329</t>
        </is>
      </c>
      <c r="AB926" s="191" t="inlineStr">
        <is>
          <t>NONE</t>
        </is>
      </c>
      <c r="AC926" s="191" t="n">
        <v>0</v>
      </c>
      <c r="AD926" s="191" t="n"/>
    </row>
    <row r="927">
      <c r="A927" s="191" t="inlineStr">
        <is>
          <t>CVE</t>
        </is>
      </c>
      <c r="B927" s="191" t="inlineStr">
        <is>
          <t>CVE-2025-69330</t>
        </is>
      </c>
      <c r="C927" s="191" t="inlineStr">
        <is>
          <t>Improper Neutralization of Input During Web Page Generation ('Cross-site Scripting') vulnerability in Jthemes Prestige prestige allows Reflected XSS.This issue affects Prestige: from n/a through &lt; 1.4.1.</t>
        </is>
      </c>
      <c r="D927" s="191" t="n">
        <v>5</v>
      </c>
      <c r="E927" s="191" t="inlineStr">
        <is>
          <t>MEDIUM</t>
        </is>
      </c>
      <c r="F927" s="191" t="n">
        <v>2</v>
      </c>
      <c r="G927" s="191" t="n">
        <v>2</v>
      </c>
      <c r="H927" s="191" t="inlineStr">
        <is>
          <t>MEDIUM</t>
        </is>
      </c>
      <c r="I927" s="191" t="n">
        <v>9</v>
      </c>
      <c r="J927" s="191" t="inlineStr">
        <is>
          <t>NO</t>
        </is>
      </c>
      <c r="K927" s="192" t="inlineStr">
        <is>
          <t>https://nvd.nist.gov/vuln/detail/CVE-2025-69330</t>
        </is>
      </c>
      <c r="L927" s="191" t="inlineStr">
        <is>
          <t>2026-02-23 23:48</t>
        </is>
      </c>
      <c r="M927" s="191" t="inlineStr">
        <is>
          <t>CHECK_VENDOR</t>
        </is>
      </c>
      <c r="N927" s="191" t="inlineStr">
        <is>
          <t>See NVD references</t>
        </is>
      </c>
      <c r="O927" s="191" t="inlineStr">
        <is>
          <t>Apply vendor patches</t>
        </is>
      </c>
      <c r="P927" s="191" t="inlineStr">
        <is>
          <t>See CVE details</t>
        </is>
      </c>
      <c r="Q927" s="191" t="inlineStr">
        <is>
          <t>P4</t>
        </is>
      </c>
      <c r="R927" s="191" t="inlineStr">
        <is>
          <t>📅 Schedule patch deployment within 30 days | 🔍 Monitor for exploitation attempts</t>
        </is>
      </c>
      <c r="S927" s="191" t="inlineStr">
        <is>
          <t>CVE - IP enrichment n/a</t>
        </is>
      </c>
      <c r="T927" s="191" t="n">
        <v>0</v>
      </c>
      <c r="U927" s="191" t="n">
        <v>0</v>
      </c>
      <c r="V927" s="191" t="inlineStr">
        <is>
          <t>T1189:Drive-by Compromise</t>
        </is>
      </c>
      <c r="W927" s="191" t="n">
        <v>1</v>
      </c>
      <c r="X927" s="191" t="inlineStr">
        <is>
          <t>LOW (40%)</t>
        </is>
      </c>
      <c r="Y927" s="191" t="inlineStr">
        <is>
          <t>UNLIKELY</t>
        </is>
      </c>
      <c r="Z927" s="191" t="inlineStr">
        <is>
          <t>CHECK_VENDOR</t>
        </is>
      </c>
      <c r="AA927" s="192" t="inlineStr">
        <is>
          <t>https://nvd.nist.gov/vuln/detail/CVE-2025-69330</t>
        </is>
      </c>
      <c r="AB927" s="191" t="inlineStr">
        <is>
          <t>NONE</t>
        </is>
      </c>
      <c r="AC927" s="191" t="n">
        <v>0</v>
      </c>
      <c r="AD927" s="191" t="n"/>
    </row>
    <row r="928">
      <c r="A928" s="191" t="inlineStr">
        <is>
          <t>CVE</t>
        </is>
      </c>
      <c r="B928" s="191" t="inlineStr">
        <is>
          <t>CVE-2025-69337</t>
        </is>
      </c>
      <c r="C928" s="191" t="inlineStr">
        <is>
          <t>Improper Neutralization of Special Elements used in an SQL Command ('SQL Injection') vulnerability in don-themes Wolmart Core wolmart-core allows Blind SQL Injection.This issue affects Wolmart Core: from n/a through &lt;= 1.9.6.</t>
        </is>
      </c>
      <c r="D928" s="191" t="n">
        <v>5</v>
      </c>
      <c r="E928" s="191" t="inlineStr">
        <is>
          <t>MEDIUM</t>
        </is>
      </c>
      <c r="F928" s="191" t="n">
        <v>2</v>
      </c>
      <c r="G928" s="191" t="n">
        <v>2</v>
      </c>
      <c r="H928" s="191" t="inlineStr">
        <is>
          <t>MEDIUM</t>
        </is>
      </c>
      <c r="I928" s="191" t="n">
        <v>9</v>
      </c>
      <c r="J928" s="191" t="inlineStr">
        <is>
          <t>NO</t>
        </is>
      </c>
      <c r="K928" s="192" t="inlineStr">
        <is>
          <t>https://nvd.nist.gov/vuln/detail/CVE-2025-69337</t>
        </is>
      </c>
      <c r="L928" s="191" t="inlineStr">
        <is>
          <t>2026-02-23 23:48</t>
        </is>
      </c>
      <c r="M928" s="191" t="inlineStr">
        <is>
          <t>CHECK_VENDOR</t>
        </is>
      </c>
      <c r="N928" s="191" t="inlineStr">
        <is>
          <t>See NVD references</t>
        </is>
      </c>
      <c r="O928" s="191" t="inlineStr">
        <is>
          <t>Apply vendor patches</t>
        </is>
      </c>
      <c r="P928" s="191" t="inlineStr">
        <is>
          <t>See CVE details</t>
        </is>
      </c>
      <c r="Q928" s="191" t="inlineStr">
        <is>
          <t>P4</t>
        </is>
      </c>
      <c r="R928" s="191" t="inlineStr">
        <is>
          <t>📅 Schedule patch deployment within 30 days | 🔍 Monitor for exploitation attempts</t>
        </is>
      </c>
      <c r="S928" s="191" t="inlineStr">
        <is>
          <t>CVE - IP enrichment n/a</t>
        </is>
      </c>
      <c r="T928" s="191" t="n">
        <v>0</v>
      </c>
      <c r="U928" s="191" t="n">
        <v>0</v>
      </c>
      <c r="V928" s="191" t="inlineStr">
        <is>
          <t>T1190:Exploit Public-Facing Application</t>
        </is>
      </c>
      <c r="W928" s="191" t="n">
        <v>1</v>
      </c>
      <c r="X928" s="191" t="inlineStr">
        <is>
          <t>LOW (40%)</t>
        </is>
      </c>
      <c r="Y928" s="191" t="inlineStr">
        <is>
          <t>UNLIKELY</t>
        </is>
      </c>
      <c r="Z928" s="191" t="inlineStr">
        <is>
          <t>CHECK_VENDOR</t>
        </is>
      </c>
      <c r="AA928" s="192" t="inlineStr">
        <is>
          <t>https://nvd.nist.gov/vuln/detail/CVE-2025-69337</t>
        </is>
      </c>
      <c r="AB928" s="191" t="inlineStr">
        <is>
          <t>NONE</t>
        </is>
      </c>
      <c r="AC928" s="191" t="n">
        <v>0</v>
      </c>
      <c r="AD928" s="191" t="n"/>
    </row>
    <row r="929">
      <c r="A929" s="191" t="inlineStr">
        <is>
          <t>CVE</t>
        </is>
      </c>
      <c r="B929" s="191" t="inlineStr">
        <is>
          <t>CVE-2025-69365</t>
        </is>
      </c>
      <c r="C929" s="191" t="inlineStr">
        <is>
          <t>Improper Neutralization of Special Elements used in an SQL Command ('SQL Injection') vulnerability in TeconceTheme Uroan Core uroan-core allows Blind SQL Injection.This issue affects Uroan Core: from n/a through &lt;= 1.4.4.</t>
        </is>
      </c>
      <c r="D929" s="191" t="n">
        <v>5</v>
      </c>
      <c r="E929" s="191" t="inlineStr">
        <is>
          <t>MEDIUM</t>
        </is>
      </c>
      <c r="F929" s="191" t="n">
        <v>2</v>
      </c>
      <c r="G929" s="191" t="n">
        <v>2</v>
      </c>
      <c r="H929" s="191" t="inlineStr">
        <is>
          <t>MEDIUM</t>
        </is>
      </c>
      <c r="I929" s="191" t="n">
        <v>9</v>
      </c>
      <c r="J929" s="191" t="inlineStr">
        <is>
          <t>NO</t>
        </is>
      </c>
      <c r="K929" s="192" t="inlineStr">
        <is>
          <t>https://nvd.nist.gov/vuln/detail/CVE-2025-69365</t>
        </is>
      </c>
      <c r="L929" s="191" t="inlineStr">
        <is>
          <t>2026-02-23 23:48</t>
        </is>
      </c>
      <c r="M929" s="191" t="inlineStr">
        <is>
          <t>CHECK_VENDOR</t>
        </is>
      </c>
      <c r="N929" s="191" t="inlineStr">
        <is>
          <t>See NVD references</t>
        </is>
      </c>
      <c r="O929" s="191" t="inlineStr">
        <is>
          <t>Apply vendor patches</t>
        </is>
      </c>
      <c r="P929" s="191" t="inlineStr">
        <is>
          <t>See CVE details</t>
        </is>
      </c>
      <c r="Q929" s="191" t="inlineStr">
        <is>
          <t>P4</t>
        </is>
      </c>
      <c r="R929" s="191" t="inlineStr">
        <is>
          <t>📅 Schedule patch deployment within 30 days | 🔍 Monitor for exploitation attempts</t>
        </is>
      </c>
      <c r="S929" s="191" t="inlineStr">
        <is>
          <t>CVE - IP enrichment n/a</t>
        </is>
      </c>
      <c r="T929" s="191" t="n">
        <v>0</v>
      </c>
      <c r="U929" s="191" t="n">
        <v>0</v>
      </c>
      <c r="V929" s="191" t="inlineStr">
        <is>
          <t>T1190:Exploit Public-Facing Application</t>
        </is>
      </c>
      <c r="W929" s="191" t="n">
        <v>1</v>
      </c>
      <c r="X929" s="191" t="inlineStr">
        <is>
          <t>LOW (40%)</t>
        </is>
      </c>
      <c r="Y929" s="191" t="inlineStr">
        <is>
          <t>UNLIKELY</t>
        </is>
      </c>
      <c r="Z929" s="191" t="inlineStr">
        <is>
          <t>CHECK_VENDOR</t>
        </is>
      </c>
      <c r="AA929" s="192" t="inlineStr">
        <is>
          <t>https://nvd.nist.gov/vuln/detail/CVE-2025-69365</t>
        </is>
      </c>
      <c r="AB929" s="191" t="inlineStr">
        <is>
          <t>NONE</t>
        </is>
      </c>
      <c r="AC929" s="191" t="n">
        <v>0</v>
      </c>
      <c r="AD929" s="191" t="n"/>
    </row>
    <row r="930">
      <c r="A930" s="189" t="inlineStr">
        <is>
          <t>CVE</t>
        </is>
      </c>
      <c r="B930" s="189" t="inlineStr">
        <is>
          <t>CVE-2025-69366</t>
        </is>
      </c>
      <c r="C930" s="189" t="inlineStr">
        <is>
          <t>Improper Neutralization of Special Elements used in an SQL Command ('SQL Injection') vulnerability in TeconceTheme Emerce Core emerce-core allows Blind SQL Injection.This issue affects Emerce Core: from n/a through &lt;= 1.8.</t>
        </is>
      </c>
      <c r="D930" s="189" t="n">
        <v>8.5</v>
      </c>
      <c r="E930" s="189" t="inlineStr">
        <is>
          <t>HIGH</t>
        </is>
      </c>
      <c r="F930" s="189" t="n">
        <v>2</v>
      </c>
      <c r="G930" s="189" t="n">
        <v>3</v>
      </c>
      <c r="H930" s="189" t="inlineStr">
        <is>
          <t>HIGH</t>
        </is>
      </c>
      <c r="I930" s="189" t="n">
        <v>14.5</v>
      </c>
      <c r="J930" s="189" t="inlineStr">
        <is>
          <t>NO</t>
        </is>
      </c>
      <c r="K930" s="190" t="inlineStr">
        <is>
          <t>https://nvd.nist.gov/vuln/detail/CVE-2025-69366</t>
        </is>
      </c>
      <c r="L930" s="189" t="inlineStr">
        <is>
          <t>2026-02-23 23:48</t>
        </is>
      </c>
      <c r="M930" s="189" t="inlineStr">
        <is>
          <t>CHECK_VENDOR</t>
        </is>
      </c>
      <c r="N930" s="189" t="inlineStr">
        <is>
          <t>See NVD references</t>
        </is>
      </c>
      <c r="O930" s="189" t="inlineStr">
        <is>
          <t>Apply vendor patches</t>
        </is>
      </c>
      <c r="P930" s="189" t="inlineStr">
        <is>
          <t>See CVE details</t>
        </is>
      </c>
      <c r="Q930" s="189" t="inlineStr">
        <is>
          <t>P3</t>
        </is>
      </c>
      <c r="R930" s="189" t="inlineStr">
        <is>
          <t>🚨 URGENT: Apply vendor patches immediately | 🔒 Isolate affected systems if patch unavailable | 🛡️ Enable additional monitoring/IDS rules</t>
        </is>
      </c>
      <c r="S930" s="189" t="inlineStr">
        <is>
          <t>CVE - IP enrichment n/a</t>
        </is>
      </c>
      <c r="T930" s="189" t="n">
        <v>0</v>
      </c>
      <c r="U930" s="189" t="n">
        <v>0</v>
      </c>
      <c r="V930" s="189" t="inlineStr">
        <is>
          <t>T1190:Exploit Public-Facing Application</t>
        </is>
      </c>
      <c r="W930" s="189" t="n">
        <v>1</v>
      </c>
      <c r="X930" s="189" t="inlineStr">
        <is>
          <t>LOW (40%)</t>
        </is>
      </c>
      <c r="Y930" s="189" t="inlineStr">
        <is>
          <t>UNLIKELY</t>
        </is>
      </c>
      <c r="Z930" s="189" t="inlineStr">
        <is>
          <t>CHECK_VENDOR</t>
        </is>
      </c>
      <c r="AA930" s="190" t="inlineStr">
        <is>
          <t>https://nvd.nist.gov/vuln/detail/CVE-2025-69366</t>
        </is>
      </c>
      <c r="AB930" s="189" t="inlineStr">
        <is>
          <t>NONE</t>
        </is>
      </c>
      <c r="AC930" s="189" t="n">
        <v>0</v>
      </c>
      <c r="AD930" s="189" t="n"/>
    </row>
    <row r="931">
      <c r="A931" s="191" t="inlineStr">
        <is>
          <t>CVE</t>
        </is>
      </c>
      <c r="B931" s="191" t="inlineStr">
        <is>
          <t>CVE-2025-69367</t>
        </is>
      </c>
      <c r="C931" s="191" t="inlineStr">
        <is>
          <t>Improper Neutralization of Input During Web Page Generation ('Cross-site Scripting') vulnerability in GT3themes Oyster - Photography WordPress Theme oyster allows DOM-Based XSS.This issue affects Oyster - Photography WordPress Theme: from n/a through &lt;= 4.4.3.</t>
        </is>
      </c>
      <c r="D931" s="191" t="n">
        <v>5</v>
      </c>
      <c r="E931" s="191" t="inlineStr">
        <is>
          <t>MEDIUM</t>
        </is>
      </c>
      <c r="F931" s="191" t="n">
        <v>2</v>
      </c>
      <c r="G931" s="191" t="n">
        <v>2</v>
      </c>
      <c r="H931" s="191" t="inlineStr">
        <is>
          <t>MEDIUM</t>
        </is>
      </c>
      <c r="I931" s="191" t="n">
        <v>9</v>
      </c>
      <c r="J931" s="191" t="inlineStr">
        <is>
          <t>NO</t>
        </is>
      </c>
      <c r="K931" s="192" t="inlineStr">
        <is>
          <t>https://nvd.nist.gov/vuln/detail/CVE-2025-69367</t>
        </is>
      </c>
      <c r="L931" s="191" t="inlineStr">
        <is>
          <t>2026-02-23 23:48</t>
        </is>
      </c>
      <c r="M931" s="191" t="inlineStr">
        <is>
          <t>CHECK_VENDOR</t>
        </is>
      </c>
      <c r="N931" s="191" t="inlineStr">
        <is>
          <t>See NVD references</t>
        </is>
      </c>
      <c r="O931" s="191" t="inlineStr">
        <is>
          <t>Apply vendor patches</t>
        </is>
      </c>
      <c r="P931" s="191" t="inlineStr">
        <is>
          <t>See CVE details</t>
        </is>
      </c>
      <c r="Q931" s="191" t="inlineStr">
        <is>
          <t>P4</t>
        </is>
      </c>
      <c r="R931" s="191" t="inlineStr">
        <is>
          <t>📅 Schedule patch deployment within 30 days | 🔍 Monitor for exploitation attempts</t>
        </is>
      </c>
      <c r="S931" s="191" t="inlineStr">
        <is>
          <t>CVE - IP enrichment n/a</t>
        </is>
      </c>
      <c r="T931" s="191" t="n">
        <v>0</v>
      </c>
      <c r="U931" s="191" t="n">
        <v>0</v>
      </c>
      <c r="V931" s="191" t="inlineStr">
        <is>
          <t>T1189:Drive-by Compromise</t>
        </is>
      </c>
      <c r="W931" s="191" t="n">
        <v>1</v>
      </c>
      <c r="X931" s="191" t="inlineStr">
        <is>
          <t>LOW (40%)</t>
        </is>
      </c>
      <c r="Y931" s="191" t="inlineStr">
        <is>
          <t>UNLIKELY</t>
        </is>
      </c>
      <c r="Z931" s="191" t="inlineStr">
        <is>
          <t>CHECK_VENDOR</t>
        </is>
      </c>
      <c r="AA931" s="192" t="inlineStr">
        <is>
          <t>https://nvd.nist.gov/vuln/detail/CVE-2025-69367</t>
        </is>
      </c>
      <c r="AB931" s="191" t="inlineStr">
        <is>
          <t>NONE</t>
        </is>
      </c>
      <c r="AC931" s="191" t="n">
        <v>0</v>
      </c>
      <c r="AD931" s="191" t="n"/>
    </row>
    <row r="932">
      <c r="A932" s="191" t="inlineStr">
        <is>
          <t>CVE</t>
        </is>
      </c>
      <c r="B932" s="191" t="inlineStr">
        <is>
          <t>CVE-2025-69368</t>
        </is>
      </c>
      <c r="C932" s="191" t="inlineStr">
        <is>
          <t>Improper Neutralization of Input During Web Page Generation ('Cross-site Scripting') vulnerability in GT3themes SOHO - Photography WordPress Theme soho allows DOM-Based XSS.This issue affects SOHO - Photography WordPress Theme: from n/a through &lt;= 3.0.3.</t>
        </is>
      </c>
      <c r="D932" s="191" t="n">
        <v>5</v>
      </c>
      <c r="E932" s="191" t="inlineStr">
        <is>
          <t>MEDIUM</t>
        </is>
      </c>
      <c r="F932" s="191" t="n">
        <v>2</v>
      </c>
      <c r="G932" s="191" t="n">
        <v>2</v>
      </c>
      <c r="H932" s="191" t="inlineStr">
        <is>
          <t>MEDIUM</t>
        </is>
      </c>
      <c r="I932" s="191" t="n">
        <v>9</v>
      </c>
      <c r="J932" s="191" t="inlineStr">
        <is>
          <t>NO</t>
        </is>
      </c>
      <c r="K932" s="192" t="inlineStr">
        <is>
          <t>https://nvd.nist.gov/vuln/detail/CVE-2025-69368</t>
        </is>
      </c>
      <c r="L932" s="191" t="inlineStr">
        <is>
          <t>2026-02-23 23:48</t>
        </is>
      </c>
      <c r="M932" s="191" t="inlineStr">
        <is>
          <t>CHECK_VENDOR</t>
        </is>
      </c>
      <c r="N932" s="191" t="inlineStr">
        <is>
          <t>See NVD references</t>
        </is>
      </c>
      <c r="O932" s="191" t="inlineStr">
        <is>
          <t>Apply vendor patches</t>
        </is>
      </c>
      <c r="P932" s="191" t="inlineStr">
        <is>
          <t>See CVE details</t>
        </is>
      </c>
      <c r="Q932" s="191" t="inlineStr">
        <is>
          <t>P4</t>
        </is>
      </c>
      <c r="R932" s="191" t="inlineStr">
        <is>
          <t>📅 Schedule patch deployment within 30 days | 🔍 Monitor for exploitation attempts</t>
        </is>
      </c>
      <c r="S932" s="191" t="inlineStr">
        <is>
          <t>CVE - IP enrichment n/a</t>
        </is>
      </c>
      <c r="T932" s="191" t="n">
        <v>0.0003</v>
      </c>
      <c r="U932" s="191" t="n">
        <v>0.0808</v>
      </c>
      <c r="V932" s="191" t="inlineStr">
        <is>
          <t>T1189:Drive-by Compromise</t>
        </is>
      </c>
      <c r="W932" s="191" t="n">
        <v>1</v>
      </c>
      <c r="X932" s="191" t="inlineStr">
        <is>
          <t>LOW (40%)</t>
        </is>
      </c>
      <c r="Y932" s="191" t="inlineStr">
        <is>
          <t>UNLIKELY</t>
        </is>
      </c>
      <c r="Z932" s="191" t="inlineStr">
        <is>
          <t>CHECK_VENDOR</t>
        </is>
      </c>
      <c r="AA932" s="192" t="inlineStr">
        <is>
          <t>https://nvd.nist.gov/vuln/detail/CVE-2025-69368</t>
        </is>
      </c>
      <c r="AB932" s="191" t="inlineStr">
        <is>
          <t>NONE</t>
        </is>
      </c>
      <c r="AC932" s="191" t="n">
        <v>0</v>
      </c>
      <c r="AD932" s="191" t="n"/>
    </row>
    <row r="933">
      <c r="A933" s="191" t="inlineStr">
        <is>
          <t>CVE</t>
        </is>
      </c>
      <c r="B933" s="191" t="inlineStr">
        <is>
          <t>CVE-2025-69370</t>
        </is>
      </c>
      <c r="C933" s="191" t="inlineStr">
        <is>
          <t>Deserialization of Untrusted Data vulnerability in ThemeGoods Capella capella allows Object Injection.This issue affects Capella: from n/a through &lt;= 2.5.5.</t>
        </is>
      </c>
      <c r="D933" s="191" t="n">
        <v>5</v>
      </c>
      <c r="E933" s="191" t="inlineStr">
        <is>
          <t>MEDIUM</t>
        </is>
      </c>
      <c r="F933" s="191" t="n">
        <v>2</v>
      </c>
      <c r="G933" s="191" t="n">
        <v>2</v>
      </c>
      <c r="H933" s="191" t="inlineStr">
        <is>
          <t>MEDIUM</t>
        </is>
      </c>
      <c r="I933" s="191" t="n">
        <v>9</v>
      </c>
      <c r="J933" s="191" t="inlineStr">
        <is>
          <t>NO</t>
        </is>
      </c>
      <c r="K933" s="192" t="inlineStr">
        <is>
          <t>https://nvd.nist.gov/vuln/detail/CVE-2025-69370</t>
        </is>
      </c>
      <c r="L933" s="191" t="inlineStr">
        <is>
          <t>2026-02-23 23:48</t>
        </is>
      </c>
      <c r="M933" s="191" t="inlineStr">
        <is>
          <t>CHECK_VENDOR</t>
        </is>
      </c>
      <c r="N933" s="191" t="inlineStr">
        <is>
          <t>See NVD references</t>
        </is>
      </c>
      <c r="O933" s="191" t="inlineStr">
        <is>
          <t>Apply vendor patches</t>
        </is>
      </c>
      <c r="P933" s="191" t="inlineStr">
        <is>
          <t>See CVE details</t>
        </is>
      </c>
      <c r="Q933" s="191" t="inlineStr">
        <is>
          <t>P4</t>
        </is>
      </c>
      <c r="R933" s="191" t="inlineStr">
        <is>
          <t>📅 Schedule patch deployment within 30 days | 🔍 Monitor for exploitation attempts</t>
        </is>
      </c>
      <c r="S933" s="191" t="inlineStr">
        <is>
          <t>CVE - IP enrichment n/a</t>
        </is>
      </c>
      <c r="T933" s="191" t="n">
        <v>0.0002</v>
      </c>
      <c r="U933" s="191" t="n">
        <v>0.0636</v>
      </c>
      <c r="V933" s="191" t="inlineStr">
        <is>
          <t>T1059:Command and Scripting Interpreter</t>
        </is>
      </c>
      <c r="W933" s="191" t="n">
        <v>1</v>
      </c>
      <c r="X933" s="191" t="inlineStr">
        <is>
          <t>LOW (40%)</t>
        </is>
      </c>
      <c r="Y933" s="191" t="inlineStr">
        <is>
          <t>UNLIKELY</t>
        </is>
      </c>
      <c r="Z933" s="191" t="inlineStr">
        <is>
          <t>CHECK_VENDOR</t>
        </is>
      </c>
      <c r="AA933" s="192" t="inlineStr">
        <is>
          <t>https://nvd.nist.gov/vuln/detail/CVE-2025-69370</t>
        </is>
      </c>
      <c r="AB933" s="191" t="inlineStr">
        <is>
          <t>NONE</t>
        </is>
      </c>
      <c r="AC933" s="191" t="n">
        <v>0</v>
      </c>
      <c r="AD933" s="191" t="n"/>
    </row>
    <row r="934">
      <c r="A934" s="191" t="inlineStr">
        <is>
          <t>CVE</t>
        </is>
      </c>
      <c r="B934" s="191" t="inlineStr">
        <is>
          <t>CVE-2025-69371</t>
        </is>
      </c>
      <c r="C934" s="191" t="inlineStr">
        <is>
          <t>Deserialization of Untrusted Data vulnerability in AncoraThemes KindlyCare kindlycare allows Object Injection.This issue affects KindlyCare: from n/a through &lt;= 1.6.1.</t>
        </is>
      </c>
      <c r="D934" s="191" t="n">
        <v>5</v>
      </c>
      <c r="E934" s="191" t="inlineStr">
        <is>
          <t>MEDIUM</t>
        </is>
      </c>
      <c r="F934" s="191" t="n">
        <v>2</v>
      </c>
      <c r="G934" s="191" t="n">
        <v>2</v>
      </c>
      <c r="H934" s="191" t="inlineStr">
        <is>
          <t>MEDIUM</t>
        </is>
      </c>
      <c r="I934" s="191" t="n">
        <v>9</v>
      </c>
      <c r="J934" s="191" t="inlineStr">
        <is>
          <t>NO</t>
        </is>
      </c>
      <c r="K934" s="192" t="inlineStr">
        <is>
          <t>https://nvd.nist.gov/vuln/detail/CVE-2025-69371</t>
        </is>
      </c>
      <c r="L934" s="191" t="inlineStr">
        <is>
          <t>2026-02-23 23:48</t>
        </is>
      </c>
      <c r="M934" s="191" t="inlineStr">
        <is>
          <t>CHECK_VENDOR</t>
        </is>
      </c>
      <c r="N934" s="191" t="inlineStr">
        <is>
          <t>See NVD references</t>
        </is>
      </c>
      <c r="O934" s="191" t="inlineStr">
        <is>
          <t>Apply vendor patches</t>
        </is>
      </c>
      <c r="P934" s="191" t="inlineStr">
        <is>
          <t>See CVE details</t>
        </is>
      </c>
      <c r="Q934" s="191" t="inlineStr">
        <is>
          <t>P4</t>
        </is>
      </c>
      <c r="R934" s="191" t="inlineStr">
        <is>
          <t>📅 Schedule patch deployment within 30 days | 🔍 Monitor for exploitation attempts</t>
        </is>
      </c>
      <c r="S934" s="191" t="inlineStr">
        <is>
          <t>CVE - IP enrichment n/a</t>
        </is>
      </c>
      <c r="T934" s="191" t="n">
        <v>0</v>
      </c>
      <c r="U934" s="191" t="n">
        <v>0</v>
      </c>
      <c r="V934" s="191" t="inlineStr">
        <is>
          <t>T1059:Command and Scripting Interpreter</t>
        </is>
      </c>
      <c r="W934" s="191" t="n">
        <v>1</v>
      </c>
      <c r="X934" s="191" t="inlineStr">
        <is>
          <t>LOW (40%)</t>
        </is>
      </c>
      <c r="Y934" s="191" t="inlineStr">
        <is>
          <t>UNLIKELY</t>
        </is>
      </c>
      <c r="Z934" s="191" t="inlineStr">
        <is>
          <t>CHECK_VENDOR</t>
        </is>
      </c>
      <c r="AA934" s="192" t="inlineStr">
        <is>
          <t>https://nvd.nist.gov/vuln/detail/CVE-2025-69371</t>
        </is>
      </c>
      <c r="AB934" s="191" t="inlineStr">
        <is>
          <t>NONE</t>
        </is>
      </c>
      <c r="AC934" s="191" t="n">
        <v>0</v>
      </c>
      <c r="AD934" s="191" t="n"/>
    </row>
    <row r="935">
      <c r="A935" s="191" t="inlineStr">
        <is>
          <t>CVE</t>
        </is>
      </c>
      <c r="B935" s="191" t="inlineStr">
        <is>
          <t>CVE-2025-69372</t>
        </is>
      </c>
      <c r="C935" s="191" t="inlineStr">
        <is>
          <t>Deserialization of Untrusted Data vulnerability in AncoraThemes SevenHills sevenhills allows Object Injection.This issue affects SevenHills: from n/a through &lt;= 1.6.2.</t>
        </is>
      </c>
      <c r="D935" s="191" t="n">
        <v>5</v>
      </c>
      <c r="E935" s="191" t="inlineStr">
        <is>
          <t>MEDIUM</t>
        </is>
      </c>
      <c r="F935" s="191" t="n">
        <v>2</v>
      </c>
      <c r="G935" s="191" t="n">
        <v>2</v>
      </c>
      <c r="H935" s="191" t="inlineStr">
        <is>
          <t>MEDIUM</t>
        </is>
      </c>
      <c r="I935" s="191" t="n">
        <v>9</v>
      </c>
      <c r="J935" s="191" t="inlineStr">
        <is>
          <t>NO</t>
        </is>
      </c>
      <c r="K935" s="192" t="inlineStr">
        <is>
          <t>https://nvd.nist.gov/vuln/detail/CVE-2025-69372</t>
        </is>
      </c>
      <c r="L935" s="191" t="inlineStr">
        <is>
          <t>2026-02-23 23:48</t>
        </is>
      </c>
      <c r="M935" s="191" t="inlineStr">
        <is>
          <t>CHECK_VENDOR</t>
        </is>
      </c>
      <c r="N935" s="191" t="inlineStr">
        <is>
          <t>See NVD references</t>
        </is>
      </c>
      <c r="O935" s="191" t="inlineStr">
        <is>
          <t>Apply vendor patches</t>
        </is>
      </c>
      <c r="P935" s="191" t="inlineStr">
        <is>
          <t>See CVE details</t>
        </is>
      </c>
      <c r="Q935" s="191" t="inlineStr">
        <is>
          <t>P4</t>
        </is>
      </c>
      <c r="R935" s="191" t="inlineStr">
        <is>
          <t>📅 Schedule patch deployment within 30 days | 🔍 Monitor for exploitation attempts</t>
        </is>
      </c>
      <c r="S935" s="191" t="inlineStr">
        <is>
          <t>CVE - IP enrichment n/a</t>
        </is>
      </c>
      <c r="T935" s="191" t="n">
        <v>0</v>
      </c>
      <c r="U935" s="191" t="n">
        <v>0</v>
      </c>
      <c r="V935" s="191" t="inlineStr">
        <is>
          <t>T1059:Command and Scripting Interpreter</t>
        </is>
      </c>
      <c r="W935" s="191" t="n">
        <v>1</v>
      </c>
      <c r="X935" s="191" t="inlineStr">
        <is>
          <t>LOW (40%)</t>
        </is>
      </c>
      <c r="Y935" s="191" t="inlineStr">
        <is>
          <t>UNLIKELY</t>
        </is>
      </c>
      <c r="Z935" s="191" t="inlineStr">
        <is>
          <t>CHECK_VENDOR</t>
        </is>
      </c>
      <c r="AA935" s="192" t="inlineStr">
        <is>
          <t>https://nvd.nist.gov/vuln/detail/CVE-2025-69372</t>
        </is>
      </c>
      <c r="AB935" s="191" t="inlineStr">
        <is>
          <t>NONE</t>
        </is>
      </c>
      <c r="AC935" s="191" t="n">
        <v>0</v>
      </c>
      <c r="AD935" s="191" t="n"/>
    </row>
    <row r="936">
      <c r="A936" s="191" t="inlineStr">
        <is>
          <t>CVE</t>
        </is>
      </c>
      <c r="B936" s="191" t="inlineStr">
        <is>
          <t>CVE-2025-69373</t>
        </is>
      </c>
      <c r="C936" s="191" t="inlineStr">
        <is>
          <t>Improper Control of Filename for Include/Require Statement in PHP Program ('PHP Remote File Inclusion') vulnerability in beeteam368 VidoRev vidorev allows PHP Local File Inclusion.This issue affects VidoRev: from n/a through &lt;= 2.9.9.9.9.9.7.</t>
        </is>
      </c>
      <c r="D936" s="191" t="n">
        <v>5</v>
      </c>
      <c r="E936" s="191" t="inlineStr">
        <is>
          <t>MEDIUM</t>
        </is>
      </c>
      <c r="F936" s="191" t="n">
        <v>2</v>
      </c>
      <c r="G936" s="191" t="n">
        <v>2</v>
      </c>
      <c r="H936" s="191" t="inlineStr">
        <is>
          <t>MEDIUM</t>
        </is>
      </c>
      <c r="I936" s="191" t="n">
        <v>9</v>
      </c>
      <c r="J936" s="191" t="inlineStr">
        <is>
          <t>NO</t>
        </is>
      </c>
      <c r="K936" s="192" t="inlineStr">
        <is>
          <t>https://nvd.nist.gov/vuln/detail/CVE-2025-69373</t>
        </is>
      </c>
      <c r="L936" s="191" t="inlineStr">
        <is>
          <t>2026-02-23 23:48</t>
        </is>
      </c>
      <c r="M936" s="191" t="inlineStr">
        <is>
          <t>CHECK_VENDOR</t>
        </is>
      </c>
      <c r="N936" s="191" t="inlineStr">
        <is>
          <t>See NVD references</t>
        </is>
      </c>
      <c r="O936" s="191" t="inlineStr">
        <is>
          <t>Apply vendor patches</t>
        </is>
      </c>
      <c r="P936" s="191" t="inlineStr">
        <is>
          <t>See CVE details</t>
        </is>
      </c>
      <c r="Q936" s="191" t="inlineStr">
        <is>
          <t>P4</t>
        </is>
      </c>
      <c r="R936" s="191" t="inlineStr">
        <is>
          <t>📅 Schedule patch deployment within 30 days | 🔍 Monitor for exploitation attempts</t>
        </is>
      </c>
      <c r="S936" s="191" t="inlineStr">
        <is>
          <t>CVE - IP enrichment n/a</t>
        </is>
      </c>
      <c r="T936" s="191" t="n">
        <v>0</v>
      </c>
      <c r="U936" s="191" t="n">
        <v>0</v>
      </c>
      <c r="V936" s="191" t="inlineStr">
        <is>
          <t>T1190:Exploit Public-Facing Application</t>
        </is>
      </c>
      <c r="W936" s="191" t="n">
        <v>1</v>
      </c>
      <c r="X936" s="191" t="inlineStr">
        <is>
          <t>LOW (40%)</t>
        </is>
      </c>
      <c r="Y936" s="191" t="inlineStr">
        <is>
          <t>UNLIKELY</t>
        </is>
      </c>
      <c r="Z936" s="191" t="inlineStr">
        <is>
          <t>CHECK_VENDOR</t>
        </is>
      </c>
      <c r="AA936" s="192" t="inlineStr">
        <is>
          <t>https://nvd.nist.gov/vuln/detail/CVE-2025-69373</t>
        </is>
      </c>
      <c r="AB936" s="191" t="inlineStr">
        <is>
          <t>NONE</t>
        </is>
      </c>
      <c r="AC936" s="191" t="n">
        <v>0</v>
      </c>
      <c r="AD936" s="191" t="n"/>
    </row>
    <row r="937">
      <c r="A937" s="191" t="inlineStr">
        <is>
          <t>CVE</t>
        </is>
      </c>
      <c r="B937" s="191" t="inlineStr">
        <is>
          <t>CVE-2025-69374</t>
        </is>
      </c>
      <c r="C937" s="191" t="inlineStr">
        <is>
          <t>Improper Control of Filename for Include/Require Statement in PHP Program ('PHP Remote File Inclusion') vulnerability in SolverWp Eleblog – Elementor Blog And Magazine Addons ele-blog allows PHP Local File Inclusion.This issue affects Eleblog – Elementor Blog And Magazine Addons: from n/a through &lt;= 2.0.3.</t>
        </is>
      </c>
      <c r="D937" s="191" t="n">
        <v>5</v>
      </c>
      <c r="E937" s="191" t="inlineStr">
        <is>
          <t>MEDIUM</t>
        </is>
      </c>
      <c r="F937" s="191" t="n">
        <v>2</v>
      </c>
      <c r="G937" s="191" t="n">
        <v>2</v>
      </c>
      <c r="H937" s="191" t="inlineStr">
        <is>
          <t>MEDIUM</t>
        </is>
      </c>
      <c r="I937" s="191" t="n">
        <v>9</v>
      </c>
      <c r="J937" s="191" t="inlineStr">
        <is>
          <t>NO</t>
        </is>
      </c>
      <c r="K937" s="192" t="inlineStr">
        <is>
          <t>https://nvd.nist.gov/vuln/detail/CVE-2025-69374</t>
        </is>
      </c>
      <c r="L937" s="191" t="inlineStr">
        <is>
          <t>2026-02-23 23:48</t>
        </is>
      </c>
      <c r="M937" s="191" t="inlineStr">
        <is>
          <t>CHECK_VENDOR</t>
        </is>
      </c>
      <c r="N937" s="191" t="inlineStr">
        <is>
          <t>See NVD references</t>
        </is>
      </c>
      <c r="O937" s="191" t="inlineStr">
        <is>
          <t>Apply vendor patches</t>
        </is>
      </c>
      <c r="P937" s="191" t="inlineStr">
        <is>
          <t>See CVE details</t>
        </is>
      </c>
      <c r="Q937" s="191" t="inlineStr">
        <is>
          <t>P4</t>
        </is>
      </c>
      <c r="R937" s="191" t="inlineStr">
        <is>
          <t>📅 Schedule patch deployment within 30 days | 🔍 Monitor for exploitation attempts</t>
        </is>
      </c>
      <c r="S937" s="191" t="inlineStr">
        <is>
          <t>CVE - IP enrichment n/a</t>
        </is>
      </c>
      <c r="T937" s="191" t="n">
        <v>0</v>
      </c>
      <c r="U937" s="191" t="n">
        <v>0</v>
      </c>
      <c r="V937" s="191" t="inlineStr">
        <is>
          <t>T1190:Exploit Public-Facing Application</t>
        </is>
      </c>
      <c r="W937" s="191" t="n">
        <v>1</v>
      </c>
      <c r="X937" s="191" t="inlineStr">
        <is>
          <t>LOW (40%)</t>
        </is>
      </c>
      <c r="Y937" s="191" t="inlineStr">
        <is>
          <t>UNLIKELY</t>
        </is>
      </c>
      <c r="Z937" s="191" t="inlineStr">
        <is>
          <t>CHECK_VENDOR</t>
        </is>
      </c>
      <c r="AA937" s="192" t="inlineStr">
        <is>
          <t>https://nvd.nist.gov/vuln/detail/CVE-2025-69374</t>
        </is>
      </c>
      <c r="AB937" s="191" t="inlineStr">
        <is>
          <t>NONE</t>
        </is>
      </c>
      <c r="AC937" s="191" t="n">
        <v>0</v>
      </c>
      <c r="AD937" s="191" t="n"/>
    </row>
    <row r="938">
      <c r="A938" s="191" t="inlineStr">
        <is>
          <t>CVE</t>
        </is>
      </c>
      <c r="B938" s="191" t="inlineStr">
        <is>
          <t>CVE-2025-69375</t>
        </is>
      </c>
      <c r="C938" s="191" t="inlineStr">
        <is>
          <t>Improper Control of Filename for Include/Require Statement in PHP Program ('PHP Remote File Inclusion') vulnerability in SolverWp Portfolio Builder swp-portfolio allows PHP Local File Inclusion.This issue affects Portfolio Builder: from n/a through &lt;= 1.2.5.</t>
        </is>
      </c>
      <c r="D938" s="191" t="n">
        <v>5</v>
      </c>
      <c r="E938" s="191" t="inlineStr">
        <is>
          <t>MEDIUM</t>
        </is>
      </c>
      <c r="F938" s="191" t="n">
        <v>2</v>
      </c>
      <c r="G938" s="191" t="n">
        <v>2</v>
      </c>
      <c r="H938" s="191" t="inlineStr">
        <is>
          <t>MEDIUM</t>
        </is>
      </c>
      <c r="I938" s="191" t="n">
        <v>9</v>
      </c>
      <c r="J938" s="191" t="inlineStr">
        <is>
          <t>NO</t>
        </is>
      </c>
      <c r="K938" s="192" t="inlineStr">
        <is>
          <t>https://nvd.nist.gov/vuln/detail/CVE-2025-69375</t>
        </is>
      </c>
      <c r="L938" s="191" t="inlineStr">
        <is>
          <t>2026-02-23 23:48</t>
        </is>
      </c>
      <c r="M938" s="191" t="inlineStr">
        <is>
          <t>CHECK_VENDOR</t>
        </is>
      </c>
      <c r="N938" s="191" t="inlineStr">
        <is>
          <t>See NVD references</t>
        </is>
      </c>
      <c r="O938" s="191" t="inlineStr">
        <is>
          <t>Apply vendor patches</t>
        </is>
      </c>
      <c r="P938" s="191" t="inlineStr">
        <is>
          <t>See CVE details</t>
        </is>
      </c>
      <c r="Q938" s="191" t="inlineStr">
        <is>
          <t>P4</t>
        </is>
      </c>
      <c r="R938" s="191" t="inlineStr">
        <is>
          <t>📅 Schedule patch deployment within 30 days | 🔍 Monitor for exploitation attempts</t>
        </is>
      </c>
      <c r="S938" s="191" t="inlineStr">
        <is>
          <t>CVE - IP enrichment n/a</t>
        </is>
      </c>
      <c r="T938" s="191" t="n">
        <v>0</v>
      </c>
      <c r="U938" s="191" t="n">
        <v>0</v>
      </c>
      <c r="V938" s="191" t="inlineStr">
        <is>
          <t>T1190:Exploit Public-Facing Application</t>
        </is>
      </c>
      <c r="W938" s="191" t="n">
        <v>1</v>
      </c>
      <c r="X938" s="191" t="inlineStr">
        <is>
          <t>LOW (40%)</t>
        </is>
      </c>
      <c r="Y938" s="191" t="inlineStr">
        <is>
          <t>UNLIKELY</t>
        </is>
      </c>
      <c r="Z938" s="191" t="inlineStr">
        <is>
          <t>CHECK_VENDOR</t>
        </is>
      </c>
      <c r="AA938" s="192" t="inlineStr">
        <is>
          <t>https://nvd.nist.gov/vuln/detail/CVE-2025-69375</t>
        </is>
      </c>
      <c r="AB938" s="191" t="inlineStr">
        <is>
          <t>NONE</t>
        </is>
      </c>
      <c r="AC938" s="191" t="n">
        <v>0</v>
      </c>
      <c r="AD938" s="191" t="n"/>
    </row>
    <row r="939">
      <c r="A939" s="191" t="inlineStr">
        <is>
          <t>CVE</t>
        </is>
      </c>
      <c r="B939" s="191" t="inlineStr">
        <is>
          <t>CVE-2025-69376</t>
        </is>
      </c>
      <c r="C939" s="191" t="inlineStr">
        <is>
          <t>Improper Limitation of a Pathname to a Restricted Directory ('Path Traversal') vulnerability in vanquish User Extra Fields wp-user-extra-fields allows Path Traversal.This issue affects User Extra Fields: from n/a through &lt;= 17.0.</t>
        </is>
      </c>
      <c r="D939" s="191" t="n">
        <v>5</v>
      </c>
      <c r="E939" s="191" t="inlineStr">
        <is>
          <t>MEDIUM</t>
        </is>
      </c>
      <c r="F939" s="191" t="n">
        <v>2</v>
      </c>
      <c r="G939" s="191" t="n">
        <v>2</v>
      </c>
      <c r="H939" s="191" t="inlineStr">
        <is>
          <t>MEDIUM</t>
        </is>
      </c>
      <c r="I939" s="191" t="n">
        <v>9</v>
      </c>
      <c r="J939" s="191" t="inlineStr">
        <is>
          <t>NO</t>
        </is>
      </c>
      <c r="K939" s="192" t="inlineStr">
        <is>
          <t>https://nvd.nist.gov/vuln/detail/CVE-2025-69376</t>
        </is>
      </c>
      <c r="L939" s="191" t="inlineStr">
        <is>
          <t>2026-02-23 23:48</t>
        </is>
      </c>
      <c r="M939" s="191" t="inlineStr">
        <is>
          <t>CHECK_VENDOR</t>
        </is>
      </c>
      <c r="N939" s="191" t="inlineStr">
        <is>
          <t>See NVD references</t>
        </is>
      </c>
      <c r="O939" s="191" t="inlineStr">
        <is>
          <t>Apply vendor patches</t>
        </is>
      </c>
      <c r="P939" s="191" t="inlineStr">
        <is>
          <t>See CVE details</t>
        </is>
      </c>
      <c r="Q939" s="191" t="inlineStr">
        <is>
          <t>P4</t>
        </is>
      </c>
      <c r="R939" s="191" t="inlineStr">
        <is>
          <t>📅 Schedule patch deployment within 30 days | 🔍 Monitor for exploitation attempts</t>
        </is>
      </c>
      <c r="S939" s="191" t="inlineStr">
        <is>
          <t>CVE - IP enrichment n/a</t>
        </is>
      </c>
      <c r="T939" s="191" t="n">
        <v>0</v>
      </c>
      <c r="U939" s="191" t="n">
        <v>0</v>
      </c>
      <c r="V939" s="191" t="inlineStr">
        <is>
          <t>T1083:File and Directory Discovery</t>
        </is>
      </c>
      <c r="W939" s="191" t="n">
        <v>1</v>
      </c>
      <c r="X939" s="191" t="inlineStr">
        <is>
          <t>LOW (40%)</t>
        </is>
      </c>
      <c r="Y939" s="191" t="inlineStr">
        <is>
          <t>UNLIKELY</t>
        </is>
      </c>
      <c r="Z939" s="191" t="inlineStr">
        <is>
          <t>CHECK_VENDOR</t>
        </is>
      </c>
      <c r="AA939" s="192" t="inlineStr">
        <is>
          <t>https://nvd.nist.gov/vuln/detail/CVE-2025-69376</t>
        </is>
      </c>
      <c r="AB939" s="191" t="inlineStr">
        <is>
          <t>NONE</t>
        </is>
      </c>
      <c r="AC939" s="191" t="n">
        <v>0</v>
      </c>
      <c r="AD939" s="191" t="n"/>
    </row>
    <row r="940">
      <c r="A940" s="191" t="inlineStr">
        <is>
          <t>CVE</t>
        </is>
      </c>
      <c r="B940" s="191" t="inlineStr">
        <is>
          <t>CVE-2025-69377</t>
        </is>
      </c>
      <c r="C940" s="191" t="inlineStr">
        <is>
          <t>Improper Limitation of a Pathname to a Restricted Directory ('Path Traversal') vulnerability in vanquish User Extra Fields wp-user-extra-fields allows Path Traversal.This issue affects User Extra Fields: from n/a through &lt;= 17.0.</t>
        </is>
      </c>
      <c r="D940" s="191" t="n">
        <v>5</v>
      </c>
      <c r="E940" s="191" t="inlineStr">
        <is>
          <t>MEDIUM</t>
        </is>
      </c>
      <c r="F940" s="191" t="n">
        <v>2</v>
      </c>
      <c r="G940" s="191" t="n">
        <v>2</v>
      </c>
      <c r="H940" s="191" t="inlineStr">
        <is>
          <t>MEDIUM</t>
        </is>
      </c>
      <c r="I940" s="191" t="n">
        <v>9</v>
      </c>
      <c r="J940" s="191" t="inlineStr">
        <is>
          <t>NO</t>
        </is>
      </c>
      <c r="K940" s="192" t="inlineStr">
        <is>
          <t>https://nvd.nist.gov/vuln/detail/CVE-2025-69377</t>
        </is>
      </c>
      <c r="L940" s="191" t="inlineStr">
        <is>
          <t>2026-02-23 23:48</t>
        </is>
      </c>
      <c r="M940" s="191" t="inlineStr">
        <is>
          <t>CHECK_VENDOR</t>
        </is>
      </c>
      <c r="N940" s="191" t="inlineStr">
        <is>
          <t>See NVD references</t>
        </is>
      </c>
      <c r="O940" s="191" t="inlineStr">
        <is>
          <t>Apply vendor patches</t>
        </is>
      </c>
      <c r="P940" s="191" t="inlineStr">
        <is>
          <t>See CVE details</t>
        </is>
      </c>
      <c r="Q940" s="191" t="inlineStr">
        <is>
          <t>P4</t>
        </is>
      </c>
      <c r="R940" s="191" t="inlineStr">
        <is>
          <t>📅 Schedule patch deployment within 30 days | 🔍 Monitor for exploitation attempts</t>
        </is>
      </c>
      <c r="S940" s="191" t="inlineStr">
        <is>
          <t>CVE - IP enrichment n/a</t>
        </is>
      </c>
      <c r="T940" s="191" t="n">
        <v>0</v>
      </c>
      <c r="U940" s="191" t="n">
        <v>0</v>
      </c>
      <c r="V940" s="191" t="inlineStr">
        <is>
          <t>T1083:File and Directory Discovery</t>
        </is>
      </c>
      <c r="W940" s="191" t="n">
        <v>1</v>
      </c>
      <c r="X940" s="191" t="inlineStr">
        <is>
          <t>LOW (40%)</t>
        </is>
      </c>
      <c r="Y940" s="191" t="inlineStr">
        <is>
          <t>UNLIKELY</t>
        </is>
      </c>
      <c r="Z940" s="191" t="inlineStr">
        <is>
          <t>CHECK_VENDOR</t>
        </is>
      </c>
      <c r="AA940" s="192" t="inlineStr">
        <is>
          <t>https://nvd.nist.gov/vuln/detail/CVE-2025-69377</t>
        </is>
      </c>
      <c r="AB940" s="191" t="inlineStr">
        <is>
          <t>NONE</t>
        </is>
      </c>
      <c r="AC940" s="191" t="n">
        <v>0</v>
      </c>
      <c r="AD940" s="191" t="n"/>
    </row>
    <row r="941">
      <c r="A941" s="189" t="inlineStr">
        <is>
          <t>CVE</t>
        </is>
      </c>
      <c r="B941" s="189" t="inlineStr">
        <is>
          <t>CVE-2025-69378</t>
        </is>
      </c>
      <c r="C941" s="189" t="inlineStr">
        <is>
          <t>Incorrect Privilege Assignment vulnerability in XforWooCommerce Product Filter for WooCommerce prdctfltr allows Privilege Escalation.This issue affects Product Filter for WooCommerce: from n/a through &lt;= 9.1.2.</t>
        </is>
      </c>
      <c r="D941" s="189" t="n">
        <v>8.5</v>
      </c>
      <c r="E941" s="189" t="inlineStr">
        <is>
          <t>HIGH</t>
        </is>
      </c>
      <c r="F941" s="189" t="n">
        <v>2</v>
      </c>
      <c r="G941" s="189" t="n">
        <v>3</v>
      </c>
      <c r="H941" s="189" t="inlineStr">
        <is>
          <t>HIGH</t>
        </is>
      </c>
      <c r="I941" s="189" t="n">
        <v>14.5</v>
      </c>
      <c r="J941" s="189" t="inlineStr">
        <is>
          <t>NO</t>
        </is>
      </c>
      <c r="K941" s="190" t="inlineStr">
        <is>
          <t>https://nvd.nist.gov/vuln/detail/CVE-2025-69378</t>
        </is>
      </c>
      <c r="L941" s="189" t="inlineStr">
        <is>
          <t>2026-02-23 23:48</t>
        </is>
      </c>
      <c r="M941" s="189" t="inlineStr">
        <is>
          <t>CHECK_VENDOR</t>
        </is>
      </c>
      <c r="N941" s="189" t="inlineStr">
        <is>
          <t>See NVD references</t>
        </is>
      </c>
      <c r="O941" s="189" t="inlineStr">
        <is>
          <t>Apply vendor patches</t>
        </is>
      </c>
      <c r="P941" s="189" t="inlineStr">
        <is>
          <t>See CVE details</t>
        </is>
      </c>
      <c r="Q941" s="189" t="inlineStr">
        <is>
          <t>P3</t>
        </is>
      </c>
      <c r="R941" s="189" t="inlineStr">
        <is>
          <t>🚨 URGENT: Apply vendor patches immediately | 🔒 Isolate affected systems if patch unavailable | 🛡️ Enable additional monitoring/IDS rules</t>
        </is>
      </c>
      <c r="S941" s="189" t="inlineStr">
        <is>
          <t>CVE - IP enrichment n/a</t>
        </is>
      </c>
      <c r="T941" s="189" t="n">
        <v>0</v>
      </c>
      <c r="U941" s="189" t="n">
        <v>0</v>
      </c>
      <c r="V941" s="189" t="inlineStr">
        <is>
          <t>T1190:Exploit Public-Facing Application | T1068:Exploitation for Privilege Escalation</t>
        </is>
      </c>
      <c r="W941" s="189" t="n">
        <v>1</v>
      </c>
      <c r="X941" s="189" t="inlineStr">
        <is>
          <t>LOW (40%)</t>
        </is>
      </c>
      <c r="Y941" s="189" t="inlineStr">
        <is>
          <t>UNLIKELY</t>
        </is>
      </c>
      <c r="Z941" s="189" t="inlineStr">
        <is>
          <t>CHECK_VENDOR</t>
        </is>
      </c>
      <c r="AA941" s="190" t="inlineStr">
        <is>
          <t>https://nvd.nist.gov/vuln/detail/CVE-2025-69378</t>
        </is>
      </c>
      <c r="AB941" s="189" t="inlineStr">
        <is>
          <t>NONE</t>
        </is>
      </c>
      <c r="AC941" s="189" t="n">
        <v>0</v>
      </c>
      <c r="AD941" s="189" t="n"/>
    </row>
    <row r="942">
      <c r="A942" s="191" t="inlineStr">
        <is>
          <t>CVE</t>
        </is>
      </c>
      <c r="B942" s="191" t="inlineStr">
        <is>
          <t>CVE-2025-69379</t>
        </is>
      </c>
      <c r="C942" s="191" t="inlineStr">
        <is>
          <t>Improper Limitation of a Pathname to a Restricted Directory ('Path Traversal') vulnerability in vanquish Upload Files Anywhere wp-upload-files-anywhere allows Path Traversal.This issue affects Upload Files Anywhere: from n/a through &lt;= 2.8.</t>
        </is>
      </c>
      <c r="D942" s="191" t="n">
        <v>5</v>
      </c>
      <c r="E942" s="191" t="inlineStr">
        <is>
          <t>MEDIUM</t>
        </is>
      </c>
      <c r="F942" s="191" t="n">
        <v>2</v>
      </c>
      <c r="G942" s="191" t="n">
        <v>2</v>
      </c>
      <c r="H942" s="191" t="inlineStr">
        <is>
          <t>MEDIUM</t>
        </is>
      </c>
      <c r="I942" s="191" t="n">
        <v>9</v>
      </c>
      <c r="J942" s="191" t="inlineStr">
        <is>
          <t>NO</t>
        </is>
      </c>
      <c r="K942" s="192" t="inlineStr">
        <is>
          <t>https://nvd.nist.gov/vuln/detail/CVE-2025-69379</t>
        </is>
      </c>
      <c r="L942" s="191" t="inlineStr">
        <is>
          <t>2026-02-23 23:48</t>
        </is>
      </c>
      <c r="M942" s="191" t="inlineStr">
        <is>
          <t>CHECK_VENDOR</t>
        </is>
      </c>
      <c r="N942" s="191" t="inlineStr">
        <is>
          <t>See NVD references</t>
        </is>
      </c>
      <c r="O942" s="191" t="inlineStr">
        <is>
          <t>Apply vendor patches</t>
        </is>
      </c>
      <c r="P942" s="191" t="inlineStr">
        <is>
          <t>See CVE details</t>
        </is>
      </c>
      <c r="Q942" s="191" t="inlineStr">
        <is>
          <t>P4</t>
        </is>
      </c>
      <c r="R942" s="191" t="inlineStr">
        <is>
          <t>📅 Schedule patch deployment within 30 days | 🔍 Monitor for exploitation attempts</t>
        </is>
      </c>
      <c r="S942" s="191" t="inlineStr">
        <is>
          <t>CVE - IP enrichment n/a</t>
        </is>
      </c>
      <c r="T942" s="191" t="n">
        <v>0</v>
      </c>
      <c r="U942" s="191" t="n">
        <v>0</v>
      </c>
      <c r="V942" s="191" t="inlineStr">
        <is>
          <t>T1083:File and Directory Discovery</t>
        </is>
      </c>
      <c r="W942" s="191" t="n">
        <v>1</v>
      </c>
      <c r="X942" s="191" t="inlineStr">
        <is>
          <t>LOW (40%)</t>
        </is>
      </c>
      <c r="Y942" s="191" t="inlineStr">
        <is>
          <t>UNLIKELY</t>
        </is>
      </c>
      <c r="Z942" s="191" t="inlineStr">
        <is>
          <t>CHECK_VENDOR</t>
        </is>
      </c>
      <c r="AA942" s="192" t="inlineStr">
        <is>
          <t>https://nvd.nist.gov/vuln/detail/CVE-2025-69379</t>
        </is>
      </c>
      <c r="AB942" s="191" t="inlineStr">
        <is>
          <t>NONE</t>
        </is>
      </c>
      <c r="AC942" s="191" t="n">
        <v>0</v>
      </c>
      <c r="AD942" s="191" t="n"/>
    </row>
    <row r="943">
      <c r="A943" s="189" t="inlineStr">
        <is>
          <t>CVE</t>
        </is>
      </c>
      <c r="B943" s="189" t="inlineStr">
        <is>
          <t>CVE-2025-69380</t>
        </is>
      </c>
      <c r="C943" s="189" t="inlineStr">
        <is>
          <t>Improper Limitation of a Pathname to a Restricted Directory ('Path Traversal') vulnerability in vanquish Upload Files Anywhere wp-upload-files-anywhere allows Path Traversal.This issue affects Upload Files Anywhere: from n/a through &lt;= 2.8.</t>
        </is>
      </c>
      <c r="D943" s="189" t="n">
        <v>7.5</v>
      </c>
      <c r="E943" s="189" t="inlineStr">
        <is>
          <t>HIGH</t>
        </is>
      </c>
      <c r="F943" s="189" t="n">
        <v>2</v>
      </c>
      <c r="G943" s="189" t="n">
        <v>3</v>
      </c>
      <c r="H943" s="189" t="inlineStr">
        <is>
          <t>HIGH</t>
        </is>
      </c>
      <c r="I943" s="189" t="n">
        <v>13.5</v>
      </c>
      <c r="J943" s="189" t="inlineStr">
        <is>
          <t>NO</t>
        </is>
      </c>
      <c r="K943" s="190" t="inlineStr">
        <is>
          <t>https://nvd.nist.gov/vuln/detail/CVE-2025-69380</t>
        </is>
      </c>
      <c r="L943" s="189" t="inlineStr">
        <is>
          <t>2026-02-23 23:48</t>
        </is>
      </c>
      <c r="M943" s="189" t="inlineStr">
        <is>
          <t>CHECK_VENDOR</t>
        </is>
      </c>
      <c r="N943" s="189" t="inlineStr">
        <is>
          <t>See NVD references</t>
        </is>
      </c>
      <c r="O943" s="189" t="inlineStr">
        <is>
          <t>Apply vendor patches</t>
        </is>
      </c>
      <c r="P943" s="189" t="inlineStr">
        <is>
          <t>See CVE details</t>
        </is>
      </c>
      <c r="Q943" s="189" t="inlineStr">
        <is>
          <t>P3</t>
        </is>
      </c>
      <c r="R943" s="189" t="inlineStr">
        <is>
          <t>🚨 URGENT: Apply vendor patches immediately | 🔒 Isolate affected systems if patch unavailable | 🛡️ Enable additional monitoring/IDS rules</t>
        </is>
      </c>
      <c r="S943" s="189" t="inlineStr">
        <is>
          <t>CVE - IP enrichment n/a</t>
        </is>
      </c>
      <c r="T943" s="189" t="n">
        <v>0</v>
      </c>
      <c r="U943" s="189" t="n">
        <v>0</v>
      </c>
      <c r="V943" s="189" t="inlineStr">
        <is>
          <t>T1083:File and Directory Discovery</t>
        </is>
      </c>
      <c r="W943" s="189" t="n">
        <v>1</v>
      </c>
      <c r="X943" s="189" t="inlineStr">
        <is>
          <t>LOW (40%)</t>
        </is>
      </c>
      <c r="Y943" s="189" t="inlineStr">
        <is>
          <t>UNLIKELY</t>
        </is>
      </c>
      <c r="Z943" s="189" t="inlineStr">
        <is>
          <t>CHECK_VENDOR</t>
        </is>
      </c>
      <c r="AA943" s="190" t="inlineStr">
        <is>
          <t>https://nvd.nist.gov/vuln/detail/CVE-2025-69380</t>
        </is>
      </c>
      <c r="AB943" s="189" t="inlineStr">
        <is>
          <t>NONE</t>
        </is>
      </c>
      <c r="AC943" s="189" t="n">
        <v>0</v>
      </c>
      <c r="AD943" s="189" t="n"/>
    </row>
    <row r="944">
      <c r="A944" s="189" t="inlineStr">
        <is>
          <t>CVE</t>
        </is>
      </c>
      <c r="B944" s="189" t="inlineStr">
        <is>
          <t>CVE-2025-69381</t>
        </is>
      </c>
      <c r="C944" s="189" t="inlineStr">
        <is>
          <t>Missing Authorization vulnerability in vanquish WooCommerce Bulk Product Editor woocommerce-quick-product-editor allows Exploiting Incorrectly Configured Access Control Security Levels.This issue affects WooCommerce Bulk Product Editor: from n/a through &lt;= 3.0.</t>
        </is>
      </c>
      <c r="D944" s="189" t="n">
        <v>8.5</v>
      </c>
      <c r="E944" s="189" t="inlineStr">
        <is>
          <t>HIGH</t>
        </is>
      </c>
      <c r="F944" s="189" t="n">
        <v>2</v>
      </c>
      <c r="G944" s="189" t="n">
        <v>3</v>
      </c>
      <c r="H944" s="189" t="inlineStr">
        <is>
          <t>HIGH</t>
        </is>
      </c>
      <c r="I944" s="189" t="n">
        <v>14.5</v>
      </c>
      <c r="J944" s="189" t="inlineStr">
        <is>
          <t>NO</t>
        </is>
      </c>
      <c r="K944" s="190" t="inlineStr">
        <is>
          <t>https://nvd.nist.gov/vuln/detail/CVE-2025-69381</t>
        </is>
      </c>
      <c r="L944" s="189" t="inlineStr">
        <is>
          <t>2026-02-23 23:48</t>
        </is>
      </c>
      <c r="M944" s="189" t="inlineStr">
        <is>
          <t>CHECK_VENDOR</t>
        </is>
      </c>
      <c r="N944" s="189" t="inlineStr">
        <is>
          <t>See NVD references</t>
        </is>
      </c>
      <c r="O944" s="189" t="inlineStr">
        <is>
          <t>Apply vendor patches</t>
        </is>
      </c>
      <c r="P944" s="189" t="inlineStr">
        <is>
          <t>See CVE details</t>
        </is>
      </c>
      <c r="Q944" s="189" t="inlineStr">
        <is>
          <t>P3</t>
        </is>
      </c>
      <c r="R944" s="189" t="inlineStr">
        <is>
          <t>🚨 URGENT: Apply vendor patches immediately | 🔒 Isolate affected systems if patch unavailable | 🛡️ Enable additional monitoring/IDS rules</t>
        </is>
      </c>
      <c r="S944" s="189" t="inlineStr">
        <is>
          <t>CVE - IP enrichment n/a</t>
        </is>
      </c>
      <c r="T944" s="189" t="n">
        <v>0</v>
      </c>
      <c r="U944" s="189" t="n">
        <v>0</v>
      </c>
      <c r="V944" s="189" t="inlineStr">
        <is>
          <t>T1190:Exploit Public-Facing Application</t>
        </is>
      </c>
      <c r="W944" s="189" t="n">
        <v>1</v>
      </c>
      <c r="X944" s="189" t="inlineStr">
        <is>
          <t>LOW (40%)</t>
        </is>
      </c>
      <c r="Y944" s="189" t="inlineStr">
        <is>
          <t>UNLIKELY</t>
        </is>
      </c>
      <c r="Z944" s="189" t="inlineStr">
        <is>
          <t>CHECK_VENDOR</t>
        </is>
      </c>
      <c r="AA944" s="190" t="inlineStr">
        <is>
          <t>https://nvd.nist.gov/vuln/detail/CVE-2025-69381</t>
        </is>
      </c>
      <c r="AB944" s="189" t="inlineStr">
        <is>
          <t>NONE</t>
        </is>
      </c>
      <c r="AC944" s="189" t="n">
        <v>0</v>
      </c>
      <c r="AD944" s="189" t="n"/>
    </row>
    <row r="945">
      <c r="A945" s="191" t="inlineStr">
        <is>
          <t>CVE</t>
        </is>
      </c>
      <c r="B945" s="191" t="inlineStr">
        <is>
          <t>CVE-2025-69382</t>
        </is>
      </c>
      <c r="C945" s="191" t="inlineStr">
        <is>
          <t>Deserialization of Untrusted Data vulnerability in themesflat Themesflat Elementor themesflat-elementor allows Object Injection.This issue affects Themesflat Elementor: from n/a through &lt;= 1.0.1.</t>
        </is>
      </c>
      <c r="D945" s="191" t="n">
        <v>5</v>
      </c>
      <c r="E945" s="191" t="inlineStr">
        <is>
          <t>MEDIUM</t>
        </is>
      </c>
      <c r="F945" s="191" t="n">
        <v>2</v>
      </c>
      <c r="G945" s="191" t="n">
        <v>2</v>
      </c>
      <c r="H945" s="191" t="inlineStr">
        <is>
          <t>MEDIUM</t>
        </is>
      </c>
      <c r="I945" s="191" t="n">
        <v>9</v>
      </c>
      <c r="J945" s="191" t="inlineStr">
        <is>
          <t>NO</t>
        </is>
      </c>
      <c r="K945" s="192" t="inlineStr">
        <is>
          <t>https://nvd.nist.gov/vuln/detail/CVE-2025-69382</t>
        </is>
      </c>
      <c r="L945" s="191" t="inlineStr">
        <is>
          <t>2026-02-23 23:48</t>
        </is>
      </c>
      <c r="M945" s="191" t="inlineStr">
        <is>
          <t>CHECK_VENDOR</t>
        </is>
      </c>
      <c r="N945" s="191" t="inlineStr">
        <is>
          <t>See NVD references</t>
        </is>
      </c>
      <c r="O945" s="191" t="inlineStr">
        <is>
          <t>Apply vendor patches</t>
        </is>
      </c>
      <c r="P945" s="191" t="inlineStr">
        <is>
          <t>See CVE details</t>
        </is>
      </c>
      <c r="Q945" s="191" t="inlineStr">
        <is>
          <t>P4</t>
        </is>
      </c>
      <c r="R945" s="191" t="inlineStr">
        <is>
          <t>📅 Schedule patch deployment within 30 days | 🔍 Monitor for exploitation attempts</t>
        </is>
      </c>
      <c r="S945" s="191" t="inlineStr">
        <is>
          <t>CVE - IP enrichment n/a</t>
        </is>
      </c>
      <c r="T945" s="191" t="n">
        <v>0</v>
      </c>
      <c r="U945" s="191" t="n">
        <v>0</v>
      </c>
      <c r="V945" s="191" t="inlineStr">
        <is>
          <t>T1059:Command and Scripting Interpreter</t>
        </is>
      </c>
      <c r="W945" s="191" t="n">
        <v>1</v>
      </c>
      <c r="X945" s="191" t="inlineStr">
        <is>
          <t>LOW (40%)</t>
        </is>
      </c>
      <c r="Y945" s="191" t="inlineStr">
        <is>
          <t>UNLIKELY</t>
        </is>
      </c>
      <c r="Z945" s="191" t="inlineStr">
        <is>
          <t>CHECK_VENDOR</t>
        </is>
      </c>
      <c r="AA945" s="192" t="inlineStr">
        <is>
          <t>https://nvd.nist.gov/vuln/detail/CVE-2025-69382</t>
        </is>
      </c>
      <c r="AB945" s="191" t="inlineStr">
        <is>
          <t>NONE</t>
        </is>
      </c>
      <c r="AC945" s="191" t="n">
        <v>0</v>
      </c>
      <c r="AD945" s="191" t="n"/>
    </row>
    <row r="946">
      <c r="A946" s="191" t="inlineStr">
        <is>
          <t>CVE</t>
        </is>
      </c>
      <c r="B946" s="191" t="inlineStr">
        <is>
          <t>CVE-2025-69383</t>
        </is>
      </c>
      <c r="C946" s="191" t="inlineStr">
        <is>
          <t>Improper Control of Filename for Include/Require Statement in PHP Program ('PHP Remote File Inclusion') vulnerability in Agence web Eoxia - Montpellier WP shop wpshop allows PHP Local File Inclusion.This issue affects WP shop: from n/a through &lt;= 2.6.1.</t>
        </is>
      </c>
      <c r="D946" s="191" t="n">
        <v>5</v>
      </c>
      <c r="E946" s="191" t="inlineStr">
        <is>
          <t>MEDIUM</t>
        </is>
      </c>
      <c r="F946" s="191" t="n">
        <v>2</v>
      </c>
      <c r="G946" s="191" t="n">
        <v>2</v>
      </c>
      <c r="H946" s="191" t="inlineStr">
        <is>
          <t>MEDIUM</t>
        </is>
      </c>
      <c r="I946" s="191" t="n">
        <v>9</v>
      </c>
      <c r="J946" s="191" t="inlineStr">
        <is>
          <t>NO</t>
        </is>
      </c>
      <c r="K946" s="192" t="inlineStr">
        <is>
          <t>https://nvd.nist.gov/vuln/detail/CVE-2025-69383</t>
        </is>
      </c>
      <c r="L946" s="191" t="inlineStr">
        <is>
          <t>2026-02-23 23:48</t>
        </is>
      </c>
      <c r="M946" s="191" t="inlineStr">
        <is>
          <t>CHECK_VENDOR</t>
        </is>
      </c>
      <c r="N946" s="191" t="inlineStr">
        <is>
          <t>See NVD references</t>
        </is>
      </c>
      <c r="O946" s="191" t="inlineStr">
        <is>
          <t>Apply vendor patches</t>
        </is>
      </c>
      <c r="P946" s="191" t="inlineStr">
        <is>
          <t>See CVE details</t>
        </is>
      </c>
      <c r="Q946" s="191" t="inlineStr">
        <is>
          <t>P4</t>
        </is>
      </c>
      <c r="R946" s="191" t="inlineStr">
        <is>
          <t>📅 Schedule patch deployment within 30 days | 🔍 Monitor for exploitation attempts</t>
        </is>
      </c>
      <c r="S946" s="191" t="inlineStr">
        <is>
          <t>CVE - IP enrichment n/a</t>
        </is>
      </c>
      <c r="T946" s="191" t="n">
        <v>0</v>
      </c>
      <c r="U946" s="191" t="n">
        <v>0</v>
      </c>
      <c r="V946" s="191" t="inlineStr">
        <is>
          <t>T1190:Exploit Public-Facing Application</t>
        </is>
      </c>
      <c r="W946" s="191" t="n">
        <v>1</v>
      </c>
      <c r="X946" s="191" t="inlineStr">
        <is>
          <t>LOW (40%)</t>
        </is>
      </c>
      <c r="Y946" s="191" t="inlineStr">
        <is>
          <t>UNLIKELY</t>
        </is>
      </c>
      <c r="Z946" s="191" t="inlineStr">
        <is>
          <t>CHECK_VENDOR</t>
        </is>
      </c>
      <c r="AA946" s="192" t="inlineStr">
        <is>
          <t>https://nvd.nist.gov/vuln/detail/CVE-2025-69383</t>
        </is>
      </c>
      <c r="AB946" s="191" t="inlineStr">
        <is>
          <t>NONE</t>
        </is>
      </c>
      <c r="AC946" s="191" t="n">
        <v>0</v>
      </c>
      <c r="AD946" s="191" t="n"/>
    </row>
    <row r="947">
      <c r="A947" s="191" t="inlineStr">
        <is>
          <t>CVE</t>
        </is>
      </c>
      <c r="B947" s="191" t="inlineStr">
        <is>
          <t>CVE-2025-69384</t>
        </is>
      </c>
      <c r="C947" s="191" t="inlineStr">
        <is>
          <t>Improper Neutralization of Input During Web Page Generation ('Cross-site Scripting') vulnerability in wpdiscover Timeline Event History timeline-event-history allows Reflected XSS.This issue affects Timeline Event History: from n/a through &lt;= 3.2.</t>
        </is>
      </c>
      <c r="D947" s="191" t="n">
        <v>5</v>
      </c>
      <c r="E947" s="191" t="inlineStr">
        <is>
          <t>MEDIUM</t>
        </is>
      </c>
      <c r="F947" s="191" t="n">
        <v>2</v>
      </c>
      <c r="G947" s="191" t="n">
        <v>2</v>
      </c>
      <c r="H947" s="191" t="inlineStr">
        <is>
          <t>MEDIUM</t>
        </is>
      </c>
      <c r="I947" s="191" t="n">
        <v>9</v>
      </c>
      <c r="J947" s="191" t="inlineStr">
        <is>
          <t>NO</t>
        </is>
      </c>
      <c r="K947" s="192" t="inlineStr">
        <is>
          <t>https://nvd.nist.gov/vuln/detail/CVE-2025-69384</t>
        </is>
      </c>
      <c r="L947" s="191" t="inlineStr">
        <is>
          <t>2026-02-23 23:48</t>
        </is>
      </c>
      <c r="M947" s="191" t="inlineStr">
        <is>
          <t>CHECK_VENDOR</t>
        </is>
      </c>
      <c r="N947" s="191" t="inlineStr">
        <is>
          <t>See NVD references</t>
        </is>
      </c>
      <c r="O947" s="191" t="inlineStr">
        <is>
          <t>Apply vendor patches</t>
        </is>
      </c>
      <c r="P947" s="191" t="inlineStr">
        <is>
          <t>See CVE details</t>
        </is>
      </c>
      <c r="Q947" s="191" t="inlineStr">
        <is>
          <t>P4</t>
        </is>
      </c>
      <c r="R947" s="191" t="inlineStr">
        <is>
          <t>📅 Schedule patch deployment within 30 days | 🔍 Monitor for exploitation attempts</t>
        </is>
      </c>
      <c r="S947" s="191" t="inlineStr">
        <is>
          <t>CVE - IP enrichment n/a</t>
        </is>
      </c>
      <c r="T947" s="191" t="n">
        <v>0.0003</v>
      </c>
      <c r="U947" s="191" t="n">
        <v>0.0808</v>
      </c>
      <c r="V947" s="191" t="inlineStr">
        <is>
          <t>T1189:Drive-by Compromise</t>
        </is>
      </c>
      <c r="W947" s="191" t="n">
        <v>1</v>
      </c>
      <c r="X947" s="191" t="inlineStr">
        <is>
          <t>LOW (40%)</t>
        </is>
      </c>
      <c r="Y947" s="191" t="inlineStr">
        <is>
          <t>UNLIKELY</t>
        </is>
      </c>
      <c r="Z947" s="191" t="inlineStr">
        <is>
          <t>CHECK_VENDOR</t>
        </is>
      </c>
      <c r="AA947" s="192" t="inlineStr">
        <is>
          <t>https://nvd.nist.gov/vuln/detail/CVE-2025-69384</t>
        </is>
      </c>
      <c r="AB947" s="191" t="inlineStr">
        <is>
          <t>NONE</t>
        </is>
      </c>
      <c r="AC947" s="191" t="n">
        <v>0</v>
      </c>
      <c r="AD947" s="191" t="n"/>
    </row>
    <row r="948">
      <c r="A948" s="189" t="inlineStr">
        <is>
          <t>CVE</t>
        </is>
      </c>
      <c r="B948" s="189" t="inlineStr">
        <is>
          <t>CVE-2025-69385</t>
        </is>
      </c>
      <c r="C948" s="189" t="inlineStr">
        <is>
          <t>Missing Authorization vulnerability in AgniHD Cartify - WooCommerce Gutenberg WordPress Theme cartify allows Exploiting Incorrectly Configured Access Control Security Levels.This issue affects Cartify - WooCommerce Gutenberg WordPress Theme: from n/a through &lt;= 1.3.</t>
        </is>
      </c>
      <c r="D948" s="189" t="n">
        <v>8.5</v>
      </c>
      <c r="E948" s="189" t="inlineStr">
        <is>
          <t>HIGH</t>
        </is>
      </c>
      <c r="F948" s="189" t="n">
        <v>2</v>
      </c>
      <c r="G948" s="189" t="n">
        <v>3</v>
      </c>
      <c r="H948" s="189" t="inlineStr">
        <is>
          <t>HIGH</t>
        </is>
      </c>
      <c r="I948" s="189" t="n">
        <v>14.5</v>
      </c>
      <c r="J948" s="189" t="inlineStr">
        <is>
          <t>NO</t>
        </is>
      </c>
      <c r="K948" s="190" t="inlineStr">
        <is>
          <t>https://nvd.nist.gov/vuln/detail/CVE-2025-69385</t>
        </is>
      </c>
      <c r="L948" s="189" t="inlineStr">
        <is>
          <t>2026-02-23 23:48</t>
        </is>
      </c>
      <c r="M948" s="189" t="inlineStr">
        <is>
          <t>CHECK_VENDOR</t>
        </is>
      </c>
      <c r="N948" s="189" t="inlineStr">
        <is>
          <t>See NVD references</t>
        </is>
      </c>
      <c r="O948" s="189" t="inlineStr">
        <is>
          <t>Apply vendor patches</t>
        </is>
      </c>
      <c r="P948" s="189" t="inlineStr">
        <is>
          <t>See CVE details</t>
        </is>
      </c>
      <c r="Q948" s="189" t="inlineStr">
        <is>
          <t>P3</t>
        </is>
      </c>
      <c r="R948" s="189" t="inlineStr">
        <is>
          <t>🚨 URGENT: Apply vendor patches immediately | 🔒 Isolate affected systems if patch unavailable | 🛡️ Enable additional monitoring/IDS rules</t>
        </is>
      </c>
      <c r="S948" s="189" t="inlineStr">
        <is>
          <t>CVE - IP enrichment n/a</t>
        </is>
      </c>
      <c r="T948" s="189" t="n">
        <v>0</v>
      </c>
      <c r="U948" s="189" t="n">
        <v>0</v>
      </c>
      <c r="V948" s="189" t="inlineStr">
        <is>
          <t>T1190:Exploit Public-Facing Application</t>
        </is>
      </c>
      <c r="W948" s="189" t="n">
        <v>1</v>
      </c>
      <c r="X948" s="189" t="inlineStr">
        <is>
          <t>LOW (40%)</t>
        </is>
      </c>
      <c r="Y948" s="189" t="inlineStr">
        <is>
          <t>UNLIKELY</t>
        </is>
      </c>
      <c r="Z948" s="189" t="inlineStr">
        <is>
          <t>CHECK_VENDOR</t>
        </is>
      </c>
      <c r="AA948" s="190" t="inlineStr">
        <is>
          <t>https://nvd.nist.gov/vuln/detail/CVE-2025-69385</t>
        </is>
      </c>
      <c r="AB948" s="189" t="inlineStr">
        <is>
          <t>NONE</t>
        </is>
      </c>
      <c r="AC948" s="189" t="n">
        <v>0</v>
      </c>
      <c r="AD948" s="189" t="n"/>
    </row>
    <row r="949">
      <c r="A949" s="189" t="inlineStr">
        <is>
          <t>CVE</t>
        </is>
      </c>
      <c r="B949" s="189" t="inlineStr">
        <is>
          <t>CVE-2025-69386</t>
        </is>
      </c>
      <c r="C949" s="189" t="inlineStr">
        <is>
          <t>Improper Neutralization of Input During Web Page Generation ('Cross-site Scripting') vulnerability in realvirtualmx RVCFDI para Woocommerce rvcfdi-para-woocommerce allows Reflected XSS.This issue affects RVCFDI para Woocommerce: from n/a through &lt;= 8.1.8.</t>
        </is>
      </c>
      <c r="D949" s="189" t="n">
        <v>8.5</v>
      </c>
      <c r="E949" s="189" t="inlineStr">
        <is>
          <t>HIGH</t>
        </is>
      </c>
      <c r="F949" s="189" t="n">
        <v>2</v>
      </c>
      <c r="G949" s="189" t="n">
        <v>3</v>
      </c>
      <c r="H949" s="189" t="inlineStr">
        <is>
          <t>HIGH</t>
        </is>
      </c>
      <c r="I949" s="189" t="n">
        <v>14.5</v>
      </c>
      <c r="J949" s="189" t="inlineStr">
        <is>
          <t>NO</t>
        </is>
      </c>
      <c r="K949" s="190" t="inlineStr">
        <is>
          <t>https://nvd.nist.gov/vuln/detail/CVE-2025-69386</t>
        </is>
      </c>
      <c r="L949" s="189" t="inlineStr">
        <is>
          <t>2026-02-23 23:48</t>
        </is>
      </c>
      <c r="M949" s="189" t="inlineStr">
        <is>
          <t>CHECK_VENDOR</t>
        </is>
      </c>
      <c r="N949" s="189" t="inlineStr">
        <is>
          <t>See NVD references</t>
        </is>
      </c>
      <c r="O949" s="189" t="inlineStr">
        <is>
          <t>Apply vendor patches</t>
        </is>
      </c>
      <c r="P949" s="189" t="inlineStr">
        <is>
          <t>See CVE details</t>
        </is>
      </c>
      <c r="Q949" s="189" t="inlineStr">
        <is>
          <t>P3</t>
        </is>
      </c>
      <c r="R949" s="189" t="inlineStr">
        <is>
          <t>🚨 URGENT: Apply vendor patches immediately | 🔒 Isolate affected systems if patch unavailable | 🛡️ Enable additional monitoring/IDS rules</t>
        </is>
      </c>
      <c r="S949" s="189" t="inlineStr">
        <is>
          <t>CVE - IP enrichment n/a</t>
        </is>
      </c>
      <c r="T949" s="189" t="n">
        <v>0</v>
      </c>
      <c r="U949" s="189" t="n">
        <v>0</v>
      </c>
      <c r="V949" s="189" t="inlineStr">
        <is>
          <t>T1189:Drive-by Compromise | T1190:Exploit Public-Facing Application</t>
        </is>
      </c>
      <c r="W949" s="189" t="n">
        <v>1</v>
      </c>
      <c r="X949" s="189" t="inlineStr">
        <is>
          <t>LOW (40%)</t>
        </is>
      </c>
      <c r="Y949" s="189" t="inlineStr">
        <is>
          <t>UNLIKELY</t>
        </is>
      </c>
      <c r="Z949" s="189" t="inlineStr">
        <is>
          <t>CHECK_VENDOR</t>
        </is>
      </c>
      <c r="AA949" s="190" t="inlineStr">
        <is>
          <t>https://nvd.nist.gov/vuln/detail/CVE-2025-69386</t>
        </is>
      </c>
      <c r="AB949" s="189" t="inlineStr">
        <is>
          <t>NONE</t>
        </is>
      </c>
      <c r="AC949" s="189" t="n">
        <v>0</v>
      </c>
      <c r="AD949" s="189" t="n"/>
    </row>
    <row r="950">
      <c r="A950" s="191" t="inlineStr">
        <is>
          <t>CVE</t>
        </is>
      </c>
      <c r="B950" s="191" t="inlineStr">
        <is>
          <t>CVE-2025-69387</t>
        </is>
      </c>
      <c r="C950" s="191" t="inlineStr">
        <is>
          <t>Improper Control of Filename for Include/Require Statement in PHP Program ('PHP Remote File Inclusion') vulnerability in whatwouldjessedo Simple Retail Menus simple-retail-menus allows PHP Local File Inclusion.This issue affects Simple Retail Menus: from n/a through &lt;= 4.2.1.</t>
        </is>
      </c>
      <c r="D950" s="191" t="n">
        <v>5</v>
      </c>
      <c r="E950" s="191" t="inlineStr">
        <is>
          <t>MEDIUM</t>
        </is>
      </c>
      <c r="F950" s="191" t="n">
        <v>2</v>
      </c>
      <c r="G950" s="191" t="n">
        <v>2</v>
      </c>
      <c r="H950" s="191" t="inlineStr">
        <is>
          <t>MEDIUM</t>
        </is>
      </c>
      <c r="I950" s="191" t="n">
        <v>9</v>
      </c>
      <c r="J950" s="191" t="inlineStr">
        <is>
          <t>NO</t>
        </is>
      </c>
      <c r="K950" s="192" t="inlineStr">
        <is>
          <t>https://nvd.nist.gov/vuln/detail/CVE-2025-69387</t>
        </is>
      </c>
      <c r="L950" s="191" t="inlineStr">
        <is>
          <t>2026-02-23 23:48</t>
        </is>
      </c>
      <c r="M950" s="191" t="inlineStr">
        <is>
          <t>CHECK_VENDOR</t>
        </is>
      </c>
      <c r="N950" s="191" t="inlineStr">
        <is>
          <t>See NVD references</t>
        </is>
      </c>
      <c r="O950" s="191" t="inlineStr">
        <is>
          <t>Apply vendor patches</t>
        </is>
      </c>
      <c r="P950" s="191" t="inlineStr">
        <is>
          <t>See CVE details</t>
        </is>
      </c>
      <c r="Q950" s="191" t="inlineStr">
        <is>
          <t>P4</t>
        </is>
      </c>
      <c r="R950" s="191" t="inlineStr">
        <is>
          <t>📅 Schedule patch deployment within 30 days | 🔍 Monitor for exploitation attempts</t>
        </is>
      </c>
      <c r="S950" s="191" t="inlineStr">
        <is>
          <t>CVE - IP enrichment n/a</t>
        </is>
      </c>
      <c r="T950" s="191" t="n">
        <v>0</v>
      </c>
      <c r="U950" s="191" t="n">
        <v>0</v>
      </c>
      <c r="V950" s="191" t="inlineStr">
        <is>
          <t>T1190:Exploit Public-Facing Application</t>
        </is>
      </c>
      <c r="W950" s="191" t="n">
        <v>1</v>
      </c>
      <c r="X950" s="191" t="inlineStr">
        <is>
          <t>LOW (40%)</t>
        </is>
      </c>
      <c r="Y950" s="191" t="inlineStr">
        <is>
          <t>UNLIKELY</t>
        </is>
      </c>
      <c r="Z950" s="191" t="inlineStr">
        <is>
          <t>CHECK_VENDOR</t>
        </is>
      </c>
      <c r="AA950" s="192" t="inlineStr">
        <is>
          <t>https://nvd.nist.gov/vuln/detail/CVE-2025-69387</t>
        </is>
      </c>
      <c r="AB950" s="191" t="inlineStr">
        <is>
          <t>NONE</t>
        </is>
      </c>
      <c r="AC950" s="191" t="n">
        <v>0</v>
      </c>
      <c r="AD950" s="191" t="n"/>
    </row>
    <row r="951">
      <c r="A951" s="191" t="inlineStr">
        <is>
          <t>CVE</t>
        </is>
      </c>
      <c r="B951" s="191" t="inlineStr">
        <is>
          <t>CVE-2025-69388</t>
        </is>
      </c>
      <c r="C951" s="191" t="inlineStr">
        <is>
          <t>Missing Authorization vulnerability in cliengo Cliengo – Chatbot cliengo allows Exploiting Incorrectly Configured Access Control Security Levels.This issue affects Cliengo – Chatbot: from n/a through &lt;= 3.0.4.</t>
        </is>
      </c>
      <c r="D951" s="191" t="n">
        <v>5</v>
      </c>
      <c r="E951" s="191" t="inlineStr">
        <is>
          <t>MEDIUM</t>
        </is>
      </c>
      <c r="F951" s="191" t="n">
        <v>2</v>
      </c>
      <c r="G951" s="191" t="n">
        <v>2</v>
      </c>
      <c r="H951" s="191" t="inlineStr">
        <is>
          <t>MEDIUM</t>
        </is>
      </c>
      <c r="I951" s="191" t="n">
        <v>9</v>
      </c>
      <c r="J951" s="191" t="inlineStr">
        <is>
          <t>NO</t>
        </is>
      </c>
      <c r="K951" s="192" t="inlineStr">
        <is>
          <t>https://nvd.nist.gov/vuln/detail/CVE-2025-69388</t>
        </is>
      </c>
      <c r="L951" s="191" t="inlineStr">
        <is>
          <t>2026-02-23 23:48</t>
        </is>
      </c>
      <c r="M951" s="191" t="inlineStr">
        <is>
          <t>CHECK_VENDOR</t>
        </is>
      </c>
      <c r="N951" s="191" t="inlineStr">
        <is>
          <t>See NVD references</t>
        </is>
      </c>
      <c r="O951" s="191" t="inlineStr">
        <is>
          <t>Apply vendor patches</t>
        </is>
      </c>
      <c r="P951" s="191" t="inlineStr">
        <is>
          <t>See CVE details</t>
        </is>
      </c>
      <c r="Q951" s="191" t="inlineStr">
        <is>
          <t>P4</t>
        </is>
      </c>
      <c r="R951" s="191" t="inlineStr">
        <is>
          <t>📅 Schedule patch deployment within 30 days | 🔍 Monitor for exploitation attempts</t>
        </is>
      </c>
      <c r="S951" s="191" t="inlineStr">
        <is>
          <t>CVE - IP enrichment n/a</t>
        </is>
      </c>
      <c r="T951" s="191" t="n">
        <v>0</v>
      </c>
      <c r="U951" s="191" t="n">
        <v>0</v>
      </c>
      <c r="V951" s="191" t="inlineStr">
        <is>
          <t>T1190:Exploit Public-Facing Application</t>
        </is>
      </c>
      <c r="W951" s="191" t="n">
        <v>1</v>
      </c>
      <c r="X951" s="191" t="inlineStr">
        <is>
          <t>LOW (40%)</t>
        </is>
      </c>
      <c r="Y951" s="191" t="inlineStr">
        <is>
          <t>UNLIKELY</t>
        </is>
      </c>
      <c r="Z951" s="191" t="inlineStr">
        <is>
          <t>CHECK_VENDOR</t>
        </is>
      </c>
      <c r="AA951" s="192" t="inlineStr">
        <is>
          <t>https://nvd.nist.gov/vuln/detail/CVE-2025-69388</t>
        </is>
      </c>
      <c r="AB951" s="191" t="inlineStr">
        <is>
          <t>NONE</t>
        </is>
      </c>
      <c r="AC951" s="191" t="n">
        <v>0</v>
      </c>
      <c r="AD951" s="191" t="n"/>
    </row>
    <row r="952">
      <c r="A952" s="191" t="inlineStr">
        <is>
          <t>CVE</t>
        </is>
      </c>
      <c r="B952" s="191" t="inlineStr">
        <is>
          <t>CVE-2025-69389</t>
        </is>
      </c>
      <c r="C952" s="191" t="inlineStr">
        <is>
          <t>Improper Neutralization of Input During Web Page Generation ('Cross-site Scripting') vulnerability in Hugh Mungus Visitor Maps Extended Referer Field visitor-maps-extended-referer-field allows Reflected XSS.This issue affects Visitor Maps Extended Referer Field: from n/a through &lt;= 1.2.6.</t>
        </is>
      </c>
      <c r="D952" s="191" t="n">
        <v>5</v>
      </c>
      <c r="E952" s="191" t="inlineStr">
        <is>
          <t>MEDIUM</t>
        </is>
      </c>
      <c r="F952" s="191" t="n">
        <v>2</v>
      </c>
      <c r="G952" s="191" t="n">
        <v>2</v>
      </c>
      <c r="H952" s="191" t="inlineStr">
        <is>
          <t>MEDIUM</t>
        </is>
      </c>
      <c r="I952" s="191" t="n">
        <v>9</v>
      </c>
      <c r="J952" s="191" t="inlineStr">
        <is>
          <t>NO</t>
        </is>
      </c>
      <c r="K952" s="192" t="inlineStr">
        <is>
          <t>https://nvd.nist.gov/vuln/detail/CVE-2025-69389</t>
        </is>
      </c>
      <c r="L952" s="191" t="inlineStr">
        <is>
          <t>2026-02-23 23:48</t>
        </is>
      </c>
      <c r="M952" s="191" t="inlineStr">
        <is>
          <t>CHECK_VENDOR</t>
        </is>
      </c>
      <c r="N952" s="191" t="inlineStr">
        <is>
          <t>See NVD references</t>
        </is>
      </c>
      <c r="O952" s="191" t="inlineStr">
        <is>
          <t>Apply vendor patches</t>
        </is>
      </c>
      <c r="P952" s="191" t="inlineStr">
        <is>
          <t>See CVE details</t>
        </is>
      </c>
      <c r="Q952" s="191" t="inlineStr">
        <is>
          <t>P4</t>
        </is>
      </c>
      <c r="R952" s="191" t="inlineStr">
        <is>
          <t>📅 Schedule patch deployment within 30 days | 🔍 Monitor for exploitation attempts</t>
        </is>
      </c>
      <c r="S952" s="191" t="inlineStr">
        <is>
          <t>CVE - IP enrichment n/a</t>
        </is>
      </c>
      <c r="T952" s="191" t="n">
        <v>0</v>
      </c>
      <c r="U952" s="191" t="n">
        <v>0</v>
      </c>
      <c r="V952" s="191" t="inlineStr">
        <is>
          <t>T1189:Drive-by Compromise</t>
        </is>
      </c>
      <c r="W952" s="191" t="n">
        <v>1</v>
      </c>
      <c r="X952" s="191" t="inlineStr">
        <is>
          <t>LOW (40%)</t>
        </is>
      </c>
      <c r="Y952" s="191" t="inlineStr">
        <is>
          <t>UNLIKELY</t>
        </is>
      </c>
      <c r="Z952" s="191" t="inlineStr">
        <is>
          <t>CHECK_VENDOR</t>
        </is>
      </c>
      <c r="AA952" s="192" t="inlineStr">
        <is>
          <t>https://nvd.nist.gov/vuln/detail/CVE-2025-69389</t>
        </is>
      </c>
      <c r="AB952" s="191" t="inlineStr">
        <is>
          <t>NONE</t>
        </is>
      </c>
      <c r="AC952" s="191" t="n">
        <v>0</v>
      </c>
      <c r="AD952" s="191" t="n"/>
    </row>
    <row r="953">
      <c r="A953" s="191" t="inlineStr">
        <is>
          <t>CVE</t>
        </is>
      </c>
      <c r="B953" s="191" t="inlineStr">
        <is>
          <t>CVE-2025-69390</t>
        </is>
      </c>
      <c r="C953" s="191" t="inlineStr">
        <is>
          <t>Improper Neutralization of Input During Web Page Generation ('Cross-site Scripting') vulnerability in themebon Business Template Blocks for WPBakery (Visual Composer) Page Builder templates-and-addons-for-wpbakery-page-builder allows Reflected XSS.This issue affects Business Template Blocks for WPBakery (Visual Composer) Page Builder: from n/a through &lt;= 1.3.2.</t>
        </is>
      </c>
      <c r="D953" s="191" t="n">
        <v>5</v>
      </c>
      <c r="E953" s="191" t="inlineStr">
        <is>
          <t>MEDIUM</t>
        </is>
      </c>
      <c r="F953" s="191" t="n">
        <v>2</v>
      </c>
      <c r="G953" s="191" t="n">
        <v>2</v>
      </c>
      <c r="H953" s="191" t="inlineStr">
        <is>
          <t>MEDIUM</t>
        </is>
      </c>
      <c r="I953" s="191" t="n">
        <v>9</v>
      </c>
      <c r="J953" s="191" t="inlineStr">
        <is>
          <t>NO</t>
        </is>
      </c>
      <c r="K953" s="192" t="inlineStr">
        <is>
          <t>https://nvd.nist.gov/vuln/detail/CVE-2025-69390</t>
        </is>
      </c>
      <c r="L953" s="191" t="inlineStr">
        <is>
          <t>2026-02-23 23:48</t>
        </is>
      </c>
      <c r="M953" s="191" t="inlineStr">
        <is>
          <t>CHECK_VENDOR</t>
        </is>
      </c>
      <c r="N953" s="191" t="inlineStr">
        <is>
          <t>See NVD references</t>
        </is>
      </c>
      <c r="O953" s="191" t="inlineStr">
        <is>
          <t>Apply vendor patches</t>
        </is>
      </c>
      <c r="P953" s="191" t="inlineStr">
        <is>
          <t>See CVE details</t>
        </is>
      </c>
      <c r="Q953" s="191" t="inlineStr">
        <is>
          <t>P4</t>
        </is>
      </c>
      <c r="R953" s="191" t="inlineStr">
        <is>
          <t>📅 Schedule patch deployment within 30 days | 🔍 Monitor for exploitation attempts</t>
        </is>
      </c>
      <c r="S953" s="191" t="inlineStr">
        <is>
          <t>CVE - IP enrichment n/a</t>
        </is>
      </c>
      <c r="T953" s="191" t="n">
        <v>0.0003</v>
      </c>
      <c r="U953" s="191" t="n">
        <v>0.0808</v>
      </c>
      <c r="V953" s="191" t="inlineStr">
        <is>
          <t>T1189:Drive-by Compromise</t>
        </is>
      </c>
      <c r="W953" s="191" t="n">
        <v>1</v>
      </c>
      <c r="X953" s="191" t="inlineStr">
        <is>
          <t>LOW (40%)</t>
        </is>
      </c>
      <c r="Y953" s="191" t="inlineStr">
        <is>
          <t>UNLIKELY</t>
        </is>
      </c>
      <c r="Z953" s="191" t="inlineStr">
        <is>
          <t>CHECK_VENDOR</t>
        </is>
      </c>
      <c r="AA953" s="192" t="inlineStr">
        <is>
          <t>https://nvd.nist.gov/vuln/detail/CVE-2025-69390</t>
        </is>
      </c>
      <c r="AB953" s="191" t="inlineStr">
        <is>
          <t>NONE</t>
        </is>
      </c>
      <c r="AC953" s="191" t="n">
        <v>0</v>
      </c>
      <c r="AD953" s="191" t="n"/>
    </row>
    <row r="954">
      <c r="A954" s="191" t="inlineStr">
        <is>
          <t>CVE</t>
        </is>
      </c>
      <c r="B954" s="191" t="inlineStr">
        <is>
          <t>CVE-2025-69391</t>
        </is>
      </c>
      <c r="C954" s="191" t="inlineStr">
        <is>
          <t>Improper Neutralization of Input During Web Page Generation ('Cross-site Scripting') vulnerability in GT3themes Diamond diamond allows Reflected XSS.This issue affects Diamond: from n/a through &lt;= 2.4.8.</t>
        </is>
      </c>
      <c r="D954" s="191" t="n">
        <v>5</v>
      </c>
      <c r="E954" s="191" t="inlineStr">
        <is>
          <t>MEDIUM</t>
        </is>
      </c>
      <c r="F954" s="191" t="n">
        <v>2</v>
      </c>
      <c r="G954" s="191" t="n">
        <v>2</v>
      </c>
      <c r="H954" s="191" t="inlineStr">
        <is>
          <t>MEDIUM</t>
        </is>
      </c>
      <c r="I954" s="191" t="n">
        <v>9</v>
      </c>
      <c r="J954" s="191" t="inlineStr">
        <is>
          <t>NO</t>
        </is>
      </c>
      <c r="K954" s="192" t="inlineStr">
        <is>
          <t>https://nvd.nist.gov/vuln/detail/CVE-2025-69391</t>
        </is>
      </c>
      <c r="L954" s="191" t="inlineStr">
        <is>
          <t>2026-02-23 23:48</t>
        </is>
      </c>
      <c r="M954" s="191" t="inlineStr">
        <is>
          <t>CHECK_VENDOR</t>
        </is>
      </c>
      <c r="N954" s="191" t="inlineStr">
        <is>
          <t>See NVD references</t>
        </is>
      </c>
      <c r="O954" s="191" t="inlineStr">
        <is>
          <t>Apply vendor patches</t>
        </is>
      </c>
      <c r="P954" s="191" t="inlineStr">
        <is>
          <t>See CVE details</t>
        </is>
      </c>
      <c r="Q954" s="191" t="inlineStr">
        <is>
          <t>P4</t>
        </is>
      </c>
      <c r="R954" s="191" t="inlineStr">
        <is>
          <t>📅 Schedule patch deployment within 30 days | 🔍 Monitor for exploitation attempts</t>
        </is>
      </c>
      <c r="S954" s="191" t="inlineStr">
        <is>
          <t>CVE - IP enrichment n/a</t>
        </is>
      </c>
      <c r="T954" s="191" t="n">
        <v>0.0003</v>
      </c>
      <c r="U954" s="191" t="n">
        <v>0.0808</v>
      </c>
      <c r="V954" s="191" t="inlineStr">
        <is>
          <t>T1189:Drive-by Compromise</t>
        </is>
      </c>
      <c r="W954" s="191" t="n">
        <v>1</v>
      </c>
      <c r="X954" s="191" t="inlineStr">
        <is>
          <t>LOW (40%)</t>
        </is>
      </c>
      <c r="Y954" s="191" t="inlineStr">
        <is>
          <t>UNLIKELY</t>
        </is>
      </c>
      <c r="Z954" s="191" t="inlineStr">
        <is>
          <t>CHECK_VENDOR</t>
        </is>
      </c>
      <c r="AA954" s="192" t="inlineStr">
        <is>
          <t>https://nvd.nist.gov/vuln/detail/CVE-2025-69391</t>
        </is>
      </c>
      <c r="AB954" s="191" t="inlineStr">
        <is>
          <t>NONE</t>
        </is>
      </c>
      <c r="AC954" s="191" t="n">
        <v>0</v>
      </c>
      <c r="AD954" s="191" t="n"/>
    </row>
    <row r="955">
      <c r="A955" s="191" t="inlineStr">
        <is>
          <t>CVE</t>
        </is>
      </c>
      <c r="B955" s="191" t="inlineStr">
        <is>
          <t>CVE-2025-69392</t>
        </is>
      </c>
      <c r="C955" s="191" t="inlineStr">
        <is>
          <t>Improper Neutralization of Input During Web Page Generation ('Cross-site Scripting') vulnerability in itex iMoney imoney allows Reflected XSS.This issue affects iMoney: from n/a through &lt;= 0.36.</t>
        </is>
      </c>
      <c r="D955" s="191" t="n">
        <v>5</v>
      </c>
      <c r="E955" s="191" t="inlineStr">
        <is>
          <t>MEDIUM</t>
        </is>
      </c>
      <c r="F955" s="191" t="n">
        <v>2</v>
      </c>
      <c r="G955" s="191" t="n">
        <v>2</v>
      </c>
      <c r="H955" s="191" t="inlineStr">
        <is>
          <t>MEDIUM</t>
        </is>
      </c>
      <c r="I955" s="191" t="n">
        <v>9</v>
      </c>
      <c r="J955" s="191" t="inlineStr">
        <is>
          <t>NO</t>
        </is>
      </c>
      <c r="K955" s="192" t="inlineStr">
        <is>
          <t>https://nvd.nist.gov/vuln/detail/CVE-2025-69392</t>
        </is>
      </c>
      <c r="L955" s="191" t="inlineStr">
        <is>
          <t>2026-02-23 23:48</t>
        </is>
      </c>
      <c r="M955" s="191" t="inlineStr">
        <is>
          <t>CHECK_VENDOR</t>
        </is>
      </c>
      <c r="N955" s="191" t="inlineStr">
        <is>
          <t>See NVD references</t>
        </is>
      </c>
      <c r="O955" s="191" t="inlineStr">
        <is>
          <t>Apply vendor patches</t>
        </is>
      </c>
      <c r="P955" s="191" t="inlineStr">
        <is>
          <t>See CVE details</t>
        </is>
      </c>
      <c r="Q955" s="191" t="inlineStr">
        <is>
          <t>P4</t>
        </is>
      </c>
      <c r="R955" s="191" t="inlineStr">
        <is>
          <t>📅 Schedule patch deployment within 30 days | 🔍 Monitor for exploitation attempts</t>
        </is>
      </c>
      <c r="S955" s="191" t="inlineStr">
        <is>
          <t>CVE - IP enrichment n/a</t>
        </is>
      </c>
      <c r="T955" s="191" t="n">
        <v>0</v>
      </c>
      <c r="U955" s="191" t="n">
        <v>0</v>
      </c>
      <c r="V955" s="191" t="inlineStr">
        <is>
          <t>T1189:Drive-by Compromise</t>
        </is>
      </c>
      <c r="W955" s="191" t="n">
        <v>1</v>
      </c>
      <c r="X955" s="191" t="inlineStr">
        <is>
          <t>LOW (40%)</t>
        </is>
      </c>
      <c r="Y955" s="191" t="inlineStr">
        <is>
          <t>UNLIKELY</t>
        </is>
      </c>
      <c r="Z955" s="191" t="inlineStr">
        <is>
          <t>CHECK_VENDOR</t>
        </is>
      </c>
      <c r="AA955" s="192" t="inlineStr">
        <is>
          <t>https://nvd.nist.gov/vuln/detail/CVE-2025-69392</t>
        </is>
      </c>
      <c r="AB955" s="191" t="inlineStr">
        <is>
          <t>NONE</t>
        </is>
      </c>
      <c r="AC955" s="191" t="n">
        <v>0</v>
      </c>
      <c r="AD955" s="191" t="n"/>
    </row>
    <row r="956">
      <c r="A956" s="189" t="inlineStr">
        <is>
          <t>CVE</t>
        </is>
      </c>
      <c r="B956" s="189" t="inlineStr">
        <is>
          <t>CVE-2025-69393</t>
        </is>
      </c>
      <c r="C956" s="189" t="inlineStr">
        <is>
          <t>Missing Authorization vulnerability in Jthemes Exzo exzo allows Exploiting Incorrectly Configured Access Control Security Levels.This issue affects Exzo: from n/a through &lt;= 1.2.4.</t>
        </is>
      </c>
      <c r="D956" s="189" t="n">
        <v>7.5</v>
      </c>
      <c r="E956" s="189" t="inlineStr">
        <is>
          <t>HIGH</t>
        </is>
      </c>
      <c r="F956" s="189" t="n">
        <v>2</v>
      </c>
      <c r="G956" s="189" t="n">
        <v>3</v>
      </c>
      <c r="H956" s="189" t="inlineStr">
        <is>
          <t>HIGH</t>
        </is>
      </c>
      <c r="I956" s="189" t="n">
        <v>13.5</v>
      </c>
      <c r="J956" s="189" t="inlineStr">
        <is>
          <t>NO</t>
        </is>
      </c>
      <c r="K956" s="190" t="inlineStr">
        <is>
          <t>https://nvd.nist.gov/vuln/detail/CVE-2025-69393</t>
        </is>
      </c>
      <c r="L956" s="189" t="inlineStr">
        <is>
          <t>2026-02-23 23:48</t>
        </is>
      </c>
      <c r="M956" s="189" t="inlineStr">
        <is>
          <t>CHECK_VENDOR</t>
        </is>
      </c>
      <c r="N956" s="189" t="inlineStr">
        <is>
          <t>See NVD references</t>
        </is>
      </c>
      <c r="O956" s="189" t="inlineStr">
        <is>
          <t>Apply vendor patches</t>
        </is>
      </c>
      <c r="P956" s="189" t="inlineStr">
        <is>
          <t>See CVE details</t>
        </is>
      </c>
      <c r="Q956" s="189" t="inlineStr">
        <is>
          <t>P3</t>
        </is>
      </c>
      <c r="R956" s="189" t="inlineStr">
        <is>
          <t>🚨 URGENT: Apply vendor patches immediately | 🔒 Isolate affected systems if patch unavailable | 🛡️ Enable additional monitoring/IDS rules</t>
        </is>
      </c>
      <c r="S956" s="189" t="inlineStr">
        <is>
          <t>CVE - IP enrichment n/a</t>
        </is>
      </c>
      <c r="T956" s="189" t="n">
        <v>0</v>
      </c>
      <c r="U956" s="189" t="n">
        <v>0</v>
      </c>
      <c r="V956" s="189" t="inlineStr">
        <is>
          <t>T1190:Exploit Public-Facing Application</t>
        </is>
      </c>
      <c r="W956" s="189" t="n">
        <v>1</v>
      </c>
      <c r="X956" s="189" t="inlineStr">
        <is>
          <t>LOW (40%)</t>
        </is>
      </c>
      <c r="Y956" s="189" t="inlineStr">
        <is>
          <t>UNLIKELY</t>
        </is>
      </c>
      <c r="Z956" s="189" t="inlineStr">
        <is>
          <t>CHECK_VENDOR</t>
        </is>
      </c>
      <c r="AA956" s="190" t="inlineStr">
        <is>
          <t>https://nvd.nist.gov/vuln/detail/CVE-2025-69393</t>
        </is>
      </c>
      <c r="AB956" s="189" t="inlineStr">
        <is>
          <t>NONE</t>
        </is>
      </c>
      <c r="AC956" s="189" t="n">
        <v>0</v>
      </c>
      <c r="AD956" s="189" t="n"/>
    </row>
    <row r="957">
      <c r="A957" s="191" t="inlineStr">
        <is>
          <t>CVE</t>
        </is>
      </c>
      <c r="B957" s="191" t="inlineStr">
        <is>
          <t>CVE-2025-69394</t>
        </is>
      </c>
      <c r="C957" s="191" t="inlineStr">
        <is>
          <t>Authorization Bypass Through User-Controlled Key vulnerability in cnvrse Cnvrse cnvrse allows Exploiting Incorrectly Configured Access Control Security Levels.This issue affects Cnvrse: from n/a through &lt;= 026.02.10.20.</t>
        </is>
      </c>
      <c r="D957" s="191" t="n">
        <v>5</v>
      </c>
      <c r="E957" s="191" t="inlineStr">
        <is>
          <t>MEDIUM</t>
        </is>
      </c>
      <c r="F957" s="191" t="n">
        <v>2</v>
      </c>
      <c r="G957" s="191" t="n">
        <v>2</v>
      </c>
      <c r="H957" s="191" t="inlineStr">
        <is>
          <t>MEDIUM</t>
        </is>
      </c>
      <c r="I957" s="191" t="n">
        <v>9</v>
      </c>
      <c r="J957" s="191" t="inlineStr">
        <is>
          <t>NO</t>
        </is>
      </c>
      <c r="K957" s="192" t="inlineStr">
        <is>
          <t>https://nvd.nist.gov/vuln/detail/CVE-2025-69394</t>
        </is>
      </c>
      <c r="L957" s="191" t="inlineStr">
        <is>
          <t>2026-02-23 23:48</t>
        </is>
      </c>
      <c r="M957" s="191" t="inlineStr">
        <is>
          <t>CHECK_VENDOR</t>
        </is>
      </c>
      <c r="N957" s="191" t="inlineStr">
        <is>
          <t>See NVD references</t>
        </is>
      </c>
      <c r="O957" s="191" t="inlineStr">
        <is>
          <t>Apply vendor patches</t>
        </is>
      </c>
      <c r="P957" s="191" t="inlineStr">
        <is>
          <t>See CVE details</t>
        </is>
      </c>
      <c r="Q957" s="191" t="inlineStr">
        <is>
          <t>P4</t>
        </is>
      </c>
      <c r="R957" s="191" t="inlineStr">
        <is>
          <t>📅 Schedule patch deployment within 30 days | 🔍 Monitor for exploitation attempts</t>
        </is>
      </c>
      <c r="S957" s="191" t="inlineStr">
        <is>
          <t>CVE - IP enrichment n/a</t>
        </is>
      </c>
      <c r="T957" s="191" t="n">
        <v>0</v>
      </c>
      <c r="U957" s="191" t="n">
        <v>0</v>
      </c>
      <c r="V957" s="191" t="inlineStr">
        <is>
          <t>T1190:Exploit Public-Facing Application</t>
        </is>
      </c>
      <c r="W957" s="191" t="n">
        <v>1</v>
      </c>
      <c r="X957" s="191" t="inlineStr">
        <is>
          <t>LOW (40%)</t>
        </is>
      </c>
      <c r="Y957" s="191" t="inlineStr">
        <is>
          <t>UNLIKELY</t>
        </is>
      </c>
      <c r="Z957" s="191" t="inlineStr">
        <is>
          <t>CHECK_VENDOR</t>
        </is>
      </c>
      <c r="AA957" s="192" t="inlineStr">
        <is>
          <t>https://nvd.nist.gov/vuln/detail/CVE-2025-69394</t>
        </is>
      </c>
      <c r="AB957" s="191" t="inlineStr">
        <is>
          <t>NONE</t>
        </is>
      </c>
      <c r="AC957" s="191" t="n">
        <v>0</v>
      </c>
      <c r="AD957" s="191" t="n"/>
    </row>
    <row r="958">
      <c r="A958" s="191" t="inlineStr">
        <is>
          <t>CVE</t>
        </is>
      </c>
      <c r="B958" s="191" t="inlineStr">
        <is>
          <t>CVE-2025-69395</t>
        </is>
      </c>
      <c r="C958" s="191" t="inlineStr">
        <is>
          <t>Improper Control of Filename for Include/Require Statement in PHP Program ('PHP Remote File Inclusion') vulnerability in ThemeREX Gable gable allows PHP Local File Inclusion.This issue affects Gable: from n/a through &lt;= 1.5.</t>
        </is>
      </c>
      <c r="D958" s="191" t="n">
        <v>5</v>
      </c>
      <c r="E958" s="191" t="inlineStr">
        <is>
          <t>MEDIUM</t>
        </is>
      </c>
      <c r="F958" s="191" t="n">
        <v>2</v>
      </c>
      <c r="G958" s="191" t="n">
        <v>2</v>
      </c>
      <c r="H958" s="191" t="inlineStr">
        <is>
          <t>MEDIUM</t>
        </is>
      </c>
      <c r="I958" s="191" t="n">
        <v>9</v>
      </c>
      <c r="J958" s="191" t="inlineStr">
        <is>
          <t>NO</t>
        </is>
      </c>
      <c r="K958" s="192" t="inlineStr">
        <is>
          <t>https://nvd.nist.gov/vuln/detail/CVE-2025-69395</t>
        </is>
      </c>
      <c r="L958" s="191" t="inlineStr">
        <is>
          <t>2026-02-23 23:48</t>
        </is>
      </c>
      <c r="M958" s="191" t="inlineStr">
        <is>
          <t>CHECK_VENDOR</t>
        </is>
      </c>
      <c r="N958" s="191" t="inlineStr">
        <is>
          <t>See NVD references</t>
        </is>
      </c>
      <c r="O958" s="191" t="inlineStr">
        <is>
          <t>Apply vendor patches</t>
        </is>
      </c>
      <c r="P958" s="191" t="inlineStr">
        <is>
          <t>See CVE details</t>
        </is>
      </c>
      <c r="Q958" s="191" t="inlineStr">
        <is>
          <t>P4</t>
        </is>
      </c>
      <c r="R958" s="191" t="inlineStr">
        <is>
          <t>📅 Schedule patch deployment within 30 days | 🔍 Monitor for exploitation attempts</t>
        </is>
      </c>
      <c r="S958" s="191" t="inlineStr">
        <is>
          <t>CVE - IP enrichment n/a</t>
        </is>
      </c>
      <c r="T958" s="191" t="n">
        <v>0</v>
      </c>
      <c r="U958" s="191" t="n">
        <v>0</v>
      </c>
      <c r="V958" s="191" t="inlineStr">
        <is>
          <t>T1190:Exploit Public-Facing Application</t>
        </is>
      </c>
      <c r="W958" s="191" t="n">
        <v>1</v>
      </c>
      <c r="X958" s="191" t="inlineStr">
        <is>
          <t>LOW (40%)</t>
        </is>
      </c>
      <c r="Y958" s="191" t="inlineStr">
        <is>
          <t>UNLIKELY</t>
        </is>
      </c>
      <c r="Z958" s="191" t="inlineStr">
        <is>
          <t>CHECK_VENDOR</t>
        </is>
      </c>
      <c r="AA958" s="192" t="inlineStr">
        <is>
          <t>https://nvd.nist.gov/vuln/detail/CVE-2025-69395</t>
        </is>
      </c>
      <c r="AB958" s="191" t="inlineStr">
        <is>
          <t>NONE</t>
        </is>
      </c>
      <c r="AC958" s="191" t="n">
        <v>0</v>
      </c>
      <c r="AD958" s="191" t="n"/>
    </row>
    <row r="959">
      <c r="A959" s="191" t="inlineStr">
        <is>
          <t>CVE</t>
        </is>
      </c>
      <c r="B959" s="191" t="inlineStr">
        <is>
          <t>CVE-2025-69396</t>
        </is>
      </c>
      <c r="C959" s="191" t="inlineStr">
        <is>
          <t>Improper Control of Filename for Include/Require Statement in PHP Program ('PHP Remote File Inclusion') vulnerability in ThemeREX Splendour splendour allows PHP Local File Inclusion.This issue affects Splendour: from n/a through &lt;= 1.23.</t>
        </is>
      </c>
      <c r="D959" s="191" t="n">
        <v>5</v>
      </c>
      <c r="E959" s="191" t="inlineStr">
        <is>
          <t>MEDIUM</t>
        </is>
      </c>
      <c r="F959" s="191" t="n">
        <v>2</v>
      </c>
      <c r="G959" s="191" t="n">
        <v>2</v>
      </c>
      <c r="H959" s="191" t="inlineStr">
        <is>
          <t>MEDIUM</t>
        </is>
      </c>
      <c r="I959" s="191" t="n">
        <v>9</v>
      </c>
      <c r="J959" s="191" t="inlineStr">
        <is>
          <t>NO</t>
        </is>
      </c>
      <c r="K959" s="192" t="inlineStr">
        <is>
          <t>https://nvd.nist.gov/vuln/detail/CVE-2025-69396</t>
        </is>
      </c>
      <c r="L959" s="191" t="inlineStr">
        <is>
          <t>2026-02-23 23:48</t>
        </is>
      </c>
      <c r="M959" s="191" t="inlineStr">
        <is>
          <t>CHECK_VENDOR</t>
        </is>
      </c>
      <c r="N959" s="191" t="inlineStr">
        <is>
          <t>See NVD references</t>
        </is>
      </c>
      <c r="O959" s="191" t="inlineStr">
        <is>
          <t>Apply vendor patches</t>
        </is>
      </c>
      <c r="P959" s="191" t="inlineStr">
        <is>
          <t>See CVE details</t>
        </is>
      </c>
      <c r="Q959" s="191" t="inlineStr">
        <is>
          <t>P4</t>
        </is>
      </c>
      <c r="R959" s="191" t="inlineStr">
        <is>
          <t>📅 Schedule patch deployment within 30 days | 🔍 Monitor for exploitation attempts</t>
        </is>
      </c>
      <c r="S959" s="191" t="inlineStr">
        <is>
          <t>CVE - IP enrichment n/a</t>
        </is>
      </c>
      <c r="T959" s="191" t="n">
        <v>0</v>
      </c>
      <c r="U959" s="191" t="n">
        <v>0</v>
      </c>
      <c r="V959" s="191" t="inlineStr">
        <is>
          <t>T1190:Exploit Public-Facing Application</t>
        </is>
      </c>
      <c r="W959" s="191" t="n">
        <v>1</v>
      </c>
      <c r="X959" s="191" t="inlineStr">
        <is>
          <t>LOW (40%)</t>
        </is>
      </c>
      <c r="Y959" s="191" t="inlineStr">
        <is>
          <t>UNLIKELY</t>
        </is>
      </c>
      <c r="Z959" s="191" t="inlineStr">
        <is>
          <t>CHECK_VENDOR</t>
        </is>
      </c>
      <c r="AA959" s="192" t="inlineStr">
        <is>
          <t>https://nvd.nist.gov/vuln/detail/CVE-2025-69396</t>
        </is>
      </c>
      <c r="AB959" s="191" t="inlineStr">
        <is>
          <t>NONE</t>
        </is>
      </c>
      <c r="AC959" s="191" t="n">
        <v>0</v>
      </c>
      <c r="AD959" s="191" t="n"/>
    </row>
    <row r="960">
      <c r="A960" s="191" t="inlineStr">
        <is>
          <t>CVE</t>
        </is>
      </c>
      <c r="B960" s="191" t="inlineStr">
        <is>
          <t>CVE-2025-69397</t>
        </is>
      </c>
      <c r="C960" s="191" t="inlineStr">
        <is>
          <t>Improper Control of Filename for Include/Require Statement in PHP Program ('PHP Remote File Inclusion') vulnerability in ThemeREX Tint tint allows PHP Local File Inclusion.This issue affects Tint: from n/a through &lt;= 1.7.</t>
        </is>
      </c>
      <c r="D960" s="191" t="n">
        <v>5</v>
      </c>
      <c r="E960" s="191" t="inlineStr">
        <is>
          <t>MEDIUM</t>
        </is>
      </c>
      <c r="F960" s="191" t="n">
        <v>2</v>
      </c>
      <c r="G960" s="191" t="n">
        <v>2</v>
      </c>
      <c r="H960" s="191" t="inlineStr">
        <is>
          <t>MEDIUM</t>
        </is>
      </c>
      <c r="I960" s="191" t="n">
        <v>9</v>
      </c>
      <c r="J960" s="191" t="inlineStr">
        <is>
          <t>NO</t>
        </is>
      </c>
      <c r="K960" s="192" t="inlineStr">
        <is>
          <t>https://nvd.nist.gov/vuln/detail/CVE-2025-69397</t>
        </is>
      </c>
      <c r="L960" s="191" t="inlineStr">
        <is>
          <t>2026-02-23 23:48</t>
        </is>
      </c>
      <c r="M960" s="191" t="inlineStr">
        <is>
          <t>CHECK_VENDOR</t>
        </is>
      </c>
      <c r="N960" s="191" t="inlineStr">
        <is>
          <t>See NVD references</t>
        </is>
      </c>
      <c r="O960" s="191" t="inlineStr">
        <is>
          <t>Apply vendor patches</t>
        </is>
      </c>
      <c r="P960" s="191" t="inlineStr">
        <is>
          <t>See CVE details</t>
        </is>
      </c>
      <c r="Q960" s="191" t="inlineStr">
        <is>
          <t>P4</t>
        </is>
      </c>
      <c r="R960" s="191" t="inlineStr">
        <is>
          <t>📅 Schedule patch deployment within 30 days | 🔍 Monitor for exploitation attempts</t>
        </is>
      </c>
      <c r="S960" s="191" t="inlineStr">
        <is>
          <t>CVE - IP enrichment n/a</t>
        </is>
      </c>
      <c r="T960" s="191" t="n">
        <v>0</v>
      </c>
      <c r="U960" s="191" t="n">
        <v>0</v>
      </c>
      <c r="V960" s="191" t="inlineStr">
        <is>
          <t>T1190:Exploit Public-Facing Application</t>
        </is>
      </c>
      <c r="W960" s="191" t="n">
        <v>1</v>
      </c>
      <c r="X960" s="191" t="inlineStr">
        <is>
          <t>LOW (40%)</t>
        </is>
      </c>
      <c r="Y960" s="191" t="inlineStr">
        <is>
          <t>UNLIKELY</t>
        </is>
      </c>
      <c r="Z960" s="191" t="inlineStr">
        <is>
          <t>CHECK_VENDOR</t>
        </is>
      </c>
      <c r="AA960" s="192" t="inlineStr">
        <is>
          <t>https://nvd.nist.gov/vuln/detail/CVE-2025-69397</t>
        </is>
      </c>
      <c r="AB960" s="191" t="inlineStr">
        <is>
          <t>NONE</t>
        </is>
      </c>
      <c r="AC960" s="191" t="n">
        <v>0</v>
      </c>
      <c r="AD960" s="191" t="n"/>
    </row>
    <row r="961">
      <c r="A961" s="191" t="inlineStr">
        <is>
          <t>CVE</t>
        </is>
      </c>
      <c r="B961" s="191" t="inlineStr">
        <is>
          <t>CVE-2025-69398</t>
        </is>
      </c>
      <c r="C961" s="191" t="inlineStr">
        <is>
          <t>Improper Control of Filename for Include/Require Statement in PHP Program ('PHP Remote File Inclusion') vulnerability in ThemeREX Plank plank allows PHP Local File Inclusion.This issue affects Plank: from n/a through &lt;= 1.7.</t>
        </is>
      </c>
      <c r="D961" s="191" t="n">
        <v>5</v>
      </c>
      <c r="E961" s="191" t="inlineStr">
        <is>
          <t>MEDIUM</t>
        </is>
      </c>
      <c r="F961" s="191" t="n">
        <v>2</v>
      </c>
      <c r="G961" s="191" t="n">
        <v>2</v>
      </c>
      <c r="H961" s="191" t="inlineStr">
        <is>
          <t>MEDIUM</t>
        </is>
      </c>
      <c r="I961" s="191" t="n">
        <v>9</v>
      </c>
      <c r="J961" s="191" t="inlineStr">
        <is>
          <t>NO</t>
        </is>
      </c>
      <c r="K961" s="192" t="inlineStr">
        <is>
          <t>https://nvd.nist.gov/vuln/detail/CVE-2025-69398</t>
        </is>
      </c>
      <c r="L961" s="191" t="inlineStr">
        <is>
          <t>2026-02-23 23:48</t>
        </is>
      </c>
      <c r="M961" s="191" t="inlineStr">
        <is>
          <t>CHECK_VENDOR</t>
        </is>
      </c>
      <c r="N961" s="191" t="inlineStr">
        <is>
          <t>See NVD references</t>
        </is>
      </c>
      <c r="O961" s="191" t="inlineStr">
        <is>
          <t>Apply vendor patches</t>
        </is>
      </c>
      <c r="P961" s="191" t="inlineStr">
        <is>
          <t>See CVE details</t>
        </is>
      </c>
      <c r="Q961" s="191" t="inlineStr">
        <is>
          <t>P4</t>
        </is>
      </c>
      <c r="R961" s="191" t="inlineStr">
        <is>
          <t>📅 Schedule patch deployment within 30 days | 🔍 Monitor for exploitation attempts</t>
        </is>
      </c>
      <c r="S961" s="191" t="inlineStr">
        <is>
          <t>CVE - IP enrichment n/a</t>
        </is>
      </c>
      <c r="T961" s="191" t="n">
        <v>0.0005</v>
      </c>
      <c r="U961" s="191" t="n">
        <v>0.1673</v>
      </c>
      <c r="V961" s="191" t="inlineStr">
        <is>
          <t>T1190:Exploit Public-Facing Application</t>
        </is>
      </c>
      <c r="W961" s="191" t="n">
        <v>1</v>
      </c>
      <c r="X961" s="191" t="inlineStr">
        <is>
          <t>LOW (40%)</t>
        </is>
      </c>
      <c r="Y961" s="191" t="inlineStr">
        <is>
          <t>UNLIKELY</t>
        </is>
      </c>
      <c r="Z961" s="191" t="inlineStr">
        <is>
          <t>CHECK_VENDOR</t>
        </is>
      </c>
      <c r="AA961" s="192" t="inlineStr">
        <is>
          <t>https://nvd.nist.gov/vuln/detail/CVE-2025-69398</t>
        </is>
      </c>
      <c r="AB961" s="191" t="inlineStr">
        <is>
          <t>NONE</t>
        </is>
      </c>
      <c r="AC961" s="191" t="n">
        <v>0</v>
      </c>
      <c r="AD961" s="191" t="n"/>
    </row>
    <row r="962">
      <c r="A962" s="191" t="inlineStr">
        <is>
          <t>CVE</t>
        </is>
      </c>
      <c r="B962" s="191" t="inlineStr">
        <is>
          <t>CVE-2025-69399</t>
        </is>
      </c>
      <c r="C962" s="191" t="inlineStr">
        <is>
          <t>Improper Control of Filename for Include/Require Statement in PHP Program ('PHP Remote File Inclusion') vulnerability in ThemeREX Cobble cobble allows PHP Local File Inclusion.This issue affects Cobble: from n/a through &lt;= 1.7.</t>
        </is>
      </c>
      <c r="D962" s="191" t="n">
        <v>5</v>
      </c>
      <c r="E962" s="191" t="inlineStr">
        <is>
          <t>MEDIUM</t>
        </is>
      </c>
      <c r="F962" s="191" t="n">
        <v>2</v>
      </c>
      <c r="G962" s="191" t="n">
        <v>2</v>
      </c>
      <c r="H962" s="191" t="inlineStr">
        <is>
          <t>MEDIUM</t>
        </is>
      </c>
      <c r="I962" s="191" t="n">
        <v>9</v>
      </c>
      <c r="J962" s="191" t="inlineStr">
        <is>
          <t>NO</t>
        </is>
      </c>
      <c r="K962" s="192" t="inlineStr">
        <is>
          <t>https://nvd.nist.gov/vuln/detail/CVE-2025-69399</t>
        </is>
      </c>
      <c r="L962" s="191" t="inlineStr">
        <is>
          <t>2026-02-23 23:48</t>
        </is>
      </c>
      <c r="M962" s="191" t="inlineStr">
        <is>
          <t>CHECK_VENDOR</t>
        </is>
      </c>
      <c r="N962" s="191" t="inlineStr">
        <is>
          <t>See NVD references</t>
        </is>
      </c>
      <c r="O962" s="191" t="inlineStr">
        <is>
          <t>Apply vendor patches</t>
        </is>
      </c>
      <c r="P962" s="191" t="inlineStr">
        <is>
          <t>See CVE details</t>
        </is>
      </c>
      <c r="Q962" s="191" t="inlineStr">
        <is>
          <t>P4</t>
        </is>
      </c>
      <c r="R962" s="191" t="inlineStr">
        <is>
          <t>📅 Schedule patch deployment within 30 days | 🔍 Monitor for exploitation attempts</t>
        </is>
      </c>
      <c r="S962" s="191" t="inlineStr">
        <is>
          <t>CVE - IP enrichment n/a</t>
        </is>
      </c>
      <c r="T962" s="191" t="n">
        <v>0</v>
      </c>
      <c r="U962" s="191" t="n">
        <v>0</v>
      </c>
      <c r="V962" s="191" t="inlineStr">
        <is>
          <t>T1190:Exploit Public-Facing Application</t>
        </is>
      </c>
      <c r="W962" s="191" t="n">
        <v>1</v>
      </c>
      <c r="X962" s="191" t="inlineStr">
        <is>
          <t>LOW (40%)</t>
        </is>
      </c>
      <c r="Y962" s="191" t="inlineStr">
        <is>
          <t>UNLIKELY</t>
        </is>
      </c>
      <c r="Z962" s="191" t="inlineStr">
        <is>
          <t>CHECK_VENDOR</t>
        </is>
      </c>
      <c r="AA962" s="192" t="inlineStr">
        <is>
          <t>https://nvd.nist.gov/vuln/detail/CVE-2025-69399</t>
        </is>
      </c>
      <c r="AB962" s="191" t="inlineStr">
        <is>
          <t>NONE</t>
        </is>
      </c>
      <c r="AC962" s="191" t="n">
        <v>0</v>
      </c>
      <c r="AD962" s="191" t="n"/>
    </row>
    <row r="963">
      <c r="A963" s="191" t="inlineStr">
        <is>
          <t>CVE</t>
        </is>
      </c>
      <c r="B963" s="191" t="inlineStr">
        <is>
          <t>CVE-2025-69400</t>
        </is>
      </c>
      <c r="C963" s="191" t="inlineStr">
        <is>
          <t>Improper Control of Filename for Include/Require Statement in PHP Program ('PHP Remote File Inclusion') vulnerability in ThemeREX Yokoo yokoo allows PHP Local File Inclusion.This issue affects Yokoo: from n/a through &lt;= 1.1.11.</t>
        </is>
      </c>
      <c r="D963" s="191" t="n">
        <v>5</v>
      </c>
      <c r="E963" s="191" t="inlineStr">
        <is>
          <t>MEDIUM</t>
        </is>
      </c>
      <c r="F963" s="191" t="n">
        <v>2</v>
      </c>
      <c r="G963" s="191" t="n">
        <v>2</v>
      </c>
      <c r="H963" s="191" t="inlineStr">
        <is>
          <t>MEDIUM</t>
        </is>
      </c>
      <c r="I963" s="191" t="n">
        <v>9</v>
      </c>
      <c r="J963" s="191" t="inlineStr">
        <is>
          <t>NO</t>
        </is>
      </c>
      <c r="K963" s="192" t="inlineStr">
        <is>
          <t>https://nvd.nist.gov/vuln/detail/CVE-2025-69400</t>
        </is>
      </c>
      <c r="L963" s="191" t="inlineStr">
        <is>
          <t>2026-02-23 23:48</t>
        </is>
      </c>
      <c r="M963" s="191" t="inlineStr">
        <is>
          <t>CHECK_VENDOR</t>
        </is>
      </c>
      <c r="N963" s="191" t="inlineStr">
        <is>
          <t>See NVD references</t>
        </is>
      </c>
      <c r="O963" s="191" t="inlineStr">
        <is>
          <t>Apply vendor patches</t>
        </is>
      </c>
      <c r="P963" s="191" t="inlineStr">
        <is>
          <t>See CVE details</t>
        </is>
      </c>
      <c r="Q963" s="191" t="inlineStr">
        <is>
          <t>P4</t>
        </is>
      </c>
      <c r="R963" s="191" t="inlineStr">
        <is>
          <t>📅 Schedule patch deployment within 30 days | 🔍 Monitor for exploitation attempts</t>
        </is>
      </c>
      <c r="S963" s="191" t="inlineStr">
        <is>
          <t>CVE - IP enrichment n/a</t>
        </is>
      </c>
      <c r="T963" s="191" t="n">
        <v>0</v>
      </c>
      <c r="U963" s="191" t="n">
        <v>0</v>
      </c>
      <c r="V963" s="191" t="inlineStr">
        <is>
          <t>T1190:Exploit Public-Facing Application</t>
        </is>
      </c>
      <c r="W963" s="191" t="n">
        <v>1</v>
      </c>
      <c r="X963" s="191" t="inlineStr">
        <is>
          <t>LOW (40%)</t>
        </is>
      </c>
      <c r="Y963" s="191" t="inlineStr">
        <is>
          <t>UNLIKELY</t>
        </is>
      </c>
      <c r="Z963" s="191" t="inlineStr">
        <is>
          <t>CHECK_VENDOR</t>
        </is>
      </c>
      <c r="AA963" s="192" t="inlineStr">
        <is>
          <t>https://nvd.nist.gov/vuln/detail/CVE-2025-69400</t>
        </is>
      </c>
      <c r="AB963" s="191" t="inlineStr">
        <is>
          <t>NONE</t>
        </is>
      </c>
      <c r="AC963" s="191" t="n">
        <v>0</v>
      </c>
      <c r="AD963" s="191" t="n"/>
    </row>
    <row r="964">
      <c r="A964" s="191" t="inlineStr">
        <is>
          <t>CVE</t>
        </is>
      </c>
      <c r="B964" s="191" t="inlineStr">
        <is>
          <t>CVE-2025-69401</t>
        </is>
      </c>
      <c r="C964" s="191" t="inlineStr">
        <is>
          <t>Authentication Bypass by Spoofing vulnerability in mdalabar WooODT Lite byconsole-woo-order-delivery-time allows Identity Spoofing.This issue affects WooODT Lite: from n/a through &lt;= 2.5.2.</t>
        </is>
      </c>
      <c r="D964" s="191" t="n">
        <v>5</v>
      </c>
      <c r="E964" s="191" t="inlineStr">
        <is>
          <t>MEDIUM</t>
        </is>
      </c>
      <c r="F964" s="191" t="n">
        <v>2</v>
      </c>
      <c r="G964" s="191" t="n">
        <v>2</v>
      </c>
      <c r="H964" s="191" t="inlineStr">
        <is>
          <t>MEDIUM</t>
        </is>
      </c>
      <c r="I964" s="191" t="n">
        <v>9</v>
      </c>
      <c r="J964" s="191" t="inlineStr">
        <is>
          <t>NO</t>
        </is>
      </c>
      <c r="K964" s="192" t="inlineStr">
        <is>
          <t>https://nvd.nist.gov/vuln/detail/CVE-2025-69401</t>
        </is>
      </c>
      <c r="L964" s="191" t="inlineStr">
        <is>
          <t>2026-02-23 23:48</t>
        </is>
      </c>
      <c r="M964" s="191" t="inlineStr">
        <is>
          <t>CHECK_VENDOR</t>
        </is>
      </c>
      <c r="N964" s="191" t="inlineStr">
        <is>
          <t>See NVD references</t>
        </is>
      </c>
      <c r="O964" s="191" t="inlineStr">
        <is>
          <t>Apply vendor patches</t>
        </is>
      </c>
      <c r="P964" s="191" t="inlineStr">
        <is>
          <t>See CVE details</t>
        </is>
      </c>
      <c r="Q964" s="191" t="inlineStr">
        <is>
          <t>P4</t>
        </is>
      </c>
      <c r="R964" s="191" t="inlineStr">
        <is>
          <t>📅 Schedule patch deployment within 30 days | 🔍 Monitor for exploitation attempts</t>
        </is>
      </c>
      <c r="S964" s="191" t="inlineStr">
        <is>
          <t>CVE - IP enrichment n/a</t>
        </is>
      </c>
      <c r="T964" s="191" t="n">
        <v>0</v>
      </c>
      <c r="U964" s="191" t="n">
        <v>0</v>
      </c>
      <c r="V964" s="191" t="inlineStr">
        <is>
          <t>T1078:Valid Accounts</t>
        </is>
      </c>
      <c r="W964" s="191" t="n">
        <v>1</v>
      </c>
      <c r="X964" s="191" t="inlineStr">
        <is>
          <t>LOW (40%)</t>
        </is>
      </c>
      <c r="Y964" s="191" t="inlineStr">
        <is>
          <t>UNLIKELY</t>
        </is>
      </c>
      <c r="Z964" s="191" t="inlineStr">
        <is>
          <t>CHECK_VENDOR</t>
        </is>
      </c>
      <c r="AA964" s="192" t="inlineStr">
        <is>
          <t>https://nvd.nist.gov/vuln/detail/CVE-2025-69401</t>
        </is>
      </c>
      <c r="AB964" s="191" t="inlineStr">
        <is>
          <t>NONE</t>
        </is>
      </c>
      <c r="AC964" s="191" t="n">
        <v>0</v>
      </c>
      <c r="AD964" s="191" t="n"/>
    </row>
    <row r="965">
      <c r="A965" s="191" t="inlineStr">
        <is>
          <t>CVE</t>
        </is>
      </c>
      <c r="B965" s="191" t="inlineStr">
        <is>
          <t>CVE-2025-69402</t>
        </is>
      </c>
      <c r="C965" s="191" t="inlineStr">
        <is>
          <t>Improper Control of Filename for Include/Require Statement in PHP Program ('PHP Remote File Inclusion') vulnerability in ThemeREX R&amp;F rf allows PHP Local File Inclusion.This issue affects R&amp;F: from n/a through &lt;= 1.5.</t>
        </is>
      </c>
      <c r="D965" s="191" t="n">
        <v>5</v>
      </c>
      <c r="E965" s="191" t="inlineStr">
        <is>
          <t>MEDIUM</t>
        </is>
      </c>
      <c r="F965" s="191" t="n">
        <v>2</v>
      </c>
      <c r="G965" s="191" t="n">
        <v>2</v>
      </c>
      <c r="H965" s="191" t="inlineStr">
        <is>
          <t>MEDIUM</t>
        </is>
      </c>
      <c r="I965" s="191" t="n">
        <v>9</v>
      </c>
      <c r="J965" s="191" t="inlineStr">
        <is>
          <t>NO</t>
        </is>
      </c>
      <c r="K965" s="192" t="inlineStr">
        <is>
          <t>https://nvd.nist.gov/vuln/detail/CVE-2025-69402</t>
        </is>
      </c>
      <c r="L965" s="191" t="inlineStr">
        <is>
          <t>2026-02-23 23:48</t>
        </is>
      </c>
      <c r="M965" s="191" t="inlineStr">
        <is>
          <t>CHECK_VENDOR</t>
        </is>
      </c>
      <c r="N965" s="191" t="inlineStr">
        <is>
          <t>See NVD references</t>
        </is>
      </c>
      <c r="O965" s="191" t="inlineStr">
        <is>
          <t>Apply vendor patches</t>
        </is>
      </c>
      <c r="P965" s="191" t="inlineStr">
        <is>
          <t>See CVE details</t>
        </is>
      </c>
      <c r="Q965" s="191" t="inlineStr">
        <is>
          <t>P4</t>
        </is>
      </c>
      <c r="R965" s="191" t="inlineStr">
        <is>
          <t>📅 Schedule patch deployment within 30 days | 🔍 Monitor for exploitation attempts</t>
        </is>
      </c>
      <c r="S965" s="191" t="inlineStr">
        <is>
          <t>CVE - IP enrichment n/a</t>
        </is>
      </c>
      <c r="T965" s="191" t="n">
        <v>0</v>
      </c>
      <c r="U965" s="191" t="n">
        <v>0</v>
      </c>
      <c r="V965" s="191" t="inlineStr">
        <is>
          <t>T1190:Exploit Public-Facing Application</t>
        </is>
      </c>
      <c r="W965" s="191" t="n">
        <v>1</v>
      </c>
      <c r="X965" s="191" t="inlineStr">
        <is>
          <t>LOW (40%)</t>
        </is>
      </c>
      <c r="Y965" s="191" t="inlineStr">
        <is>
          <t>UNLIKELY</t>
        </is>
      </c>
      <c r="Z965" s="191" t="inlineStr">
        <is>
          <t>CHECK_VENDOR</t>
        </is>
      </c>
      <c r="AA965" s="192" t="inlineStr">
        <is>
          <t>https://nvd.nist.gov/vuln/detail/CVE-2025-69402</t>
        </is>
      </c>
      <c r="AB965" s="191" t="inlineStr">
        <is>
          <t>NONE</t>
        </is>
      </c>
      <c r="AC965" s="191" t="n">
        <v>0</v>
      </c>
      <c r="AD965" s="191" t="n"/>
    </row>
    <row r="966">
      <c r="A966" s="191" t="inlineStr">
        <is>
          <t>CVE</t>
        </is>
      </c>
      <c r="B966" s="191" t="inlineStr">
        <is>
          <t>CVE-2025-69403</t>
        </is>
      </c>
      <c r="C966" s="191" t="inlineStr">
        <is>
          <t>Unrestricted Upload of File with Dangerous Type vulnerability in Bravis-Themes Bravis Addons bravis-addons allows Using Malicious Files.This issue affects Bravis Addons: from n/a through &lt;= 1.1.9.</t>
        </is>
      </c>
      <c r="D966" s="191" t="n">
        <v>5</v>
      </c>
      <c r="E966" s="191" t="inlineStr">
        <is>
          <t>MEDIUM</t>
        </is>
      </c>
      <c r="F966" s="191" t="n">
        <v>2</v>
      </c>
      <c r="G966" s="191" t="n">
        <v>2</v>
      </c>
      <c r="H966" s="191" t="inlineStr">
        <is>
          <t>MEDIUM</t>
        </is>
      </c>
      <c r="I966" s="191" t="n">
        <v>9</v>
      </c>
      <c r="J966" s="191" t="inlineStr">
        <is>
          <t>NO</t>
        </is>
      </c>
      <c r="K966" s="192" t="inlineStr">
        <is>
          <t>https://nvd.nist.gov/vuln/detail/CVE-2025-69403</t>
        </is>
      </c>
      <c r="L966" s="191" t="inlineStr">
        <is>
          <t>2026-02-23 23:48</t>
        </is>
      </c>
      <c r="M966" s="191" t="inlineStr">
        <is>
          <t>CHECK_VENDOR</t>
        </is>
      </c>
      <c r="N966" s="191" t="inlineStr">
        <is>
          <t>See NVD references</t>
        </is>
      </c>
      <c r="O966" s="191" t="inlineStr">
        <is>
          <t>Apply vendor patches</t>
        </is>
      </c>
      <c r="P966" s="191" t="inlineStr">
        <is>
          <t>See CVE details</t>
        </is>
      </c>
      <c r="Q966" s="191" t="inlineStr">
        <is>
          <t>P4</t>
        </is>
      </c>
      <c r="R966" s="191" t="inlineStr">
        <is>
          <t>📅 Schedule patch deployment within 30 days | 🔍 Monitor for exploitation attempts</t>
        </is>
      </c>
      <c r="S966" s="191" t="inlineStr">
        <is>
          <t>CVE - IP enrichment n/a</t>
        </is>
      </c>
      <c r="T966" s="191" t="n">
        <v>0</v>
      </c>
      <c r="U966" s="191" t="n">
        <v>0</v>
      </c>
      <c r="V966" s="191" t="inlineStr">
        <is>
          <t>T1190:Exploit Public-Facing Application</t>
        </is>
      </c>
      <c r="W966" s="191" t="n">
        <v>1</v>
      </c>
      <c r="X966" s="191" t="inlineStr">
        <is>
          <t>LOW (40%)</t>
        </is>
      </c>
      <c r="Y966" s="191" t="inlineStr">
        <is>
          <t>UNLIKELY</t>
        </is>
      </c>
      <c r="Z966" s="191" t="inlineStr">
        <is>
          <t>CHECK_VENDOR</t>
        </is>
      </c>
      <c r="AA966" s="192" t="inlineStr">
        <is>
          <t>https://nvd.nist.gov/vuln/detail/CVE-2025-69403</t>
        </is>
      </c>
      <c r="AB966" s="191" t="inlineStr">
        <is>
          <t>NONE</t>
        </is>
      </c>
      <c r="AC966" s="191" t="n">
        <v>0</v>
      </c>
      <c r="AD966" s="191" t="n"/>
    </row>
    <row r="967">
      <c r="A967" s="191" t="inlineStr">
        <is>
          <t>CVE</t>
        </is>
      </c>
      <c r="B967" s="191" t="inlineStr">
        <is>
          <t>CVE-2025-69404</t>
        </is>
      </c>
      <c r="C967" s="191" t="inlineStr">
        <is>
          <t>Deserialization of Untrusted Data vulnerability in ThemeREX Extreme Store extremestore allows Object Injection.This issue affects Extreme Store: from n/a through &lt;= 1.5.7.</t>
        </is>
      </c>
      <c r="D967" s="191" t="n">
        <v>5</v>
      </c>
      <c r="E967" s="191" t="inlineStr">
        <is>
          <t>MEDIUM</t>
        </is>
      </c>
      <c r="F967" s="191" t="n">
        <v>2</v>
      </c>
      <c r="G967" s="191" t="n">
        <v>2</v>
      </c>
      <c r="H967" s="191" t="inlineStr">
        <is>
          <t>MEDIUM</t>
        </is>
      </c>
      <c r="I967" s="191" t="n">
        <v>9</v>
      </c>
      <c r="J967" s="191" t="inlineStr">
        <is>
          <t>NO</t>
        </is>
      </c>
      <c r="K967" s="192" t="inlineStr">
        <is>
          <t>https://nvd.nist.gov/vuln/detail/CVE-2025-69404</t>
        </is>
      </c>
      <c r="L967" s="191" t="inlineStr">
        <is>
          <t>2026-02-23 23:48</t>
        </is>
      </c>
      <c r="M967" s="191" t="inlineStr">
        <is>
          <t>CHECK_VENDOR</t>
        </is>
      </c>
      <c r="N967" s="191" t="inlineStr">
        <is>
          <t>See NVD references</t>
        </is>
      </c>
      <c r="O967" s="191" t="inlineStr">
        <is>
          <t>Apply vendor patches</t>
        </is>
      </c>
      <c r="P967" s="191" t="inlineStr">
        <is>
          <t>See CVE details</t>
        </is>
      </c>
      <c r="Q967" s="191" t="inlineStr">
        <is>
          <t>P4</t>
        </is>
      </c>
      <c r="R967" s="191" t="inlineStr">
        <is>
          <t>📅 Schedule patch deployment within 30 days | 🔍 Monitor for exploitation attempts</t>
        </is>
      </c>
      <c r="S967" s="191" t="inlineStr">
        <is>
          <t>CVE - IP enrichment n/a</t>
        </is>
      </c>
      <c r="T967" s="191" t="n">
        <v>0</v>
      </c>
      <c r="U967" s="191" t="n">
        <v>0</v>
      </c>
      <c r="V967" s="191" t="inlineStr">
        <is>
          <t>T1059:Command and Scripting Interpreter</t>
        </is>
      </c>
      <c r="W967" s="191" t="n">
        <v>1</v>
      </c>
      <c r="X967" s="191" t="inlineStr">
        <is>
          <t>LOW (40%)</t>
        </is>
      </c>
      <c r="Y967" s="191" t="inlineStr">
        <is>
          <t>UNLIKELY</t>
        </is>
      </c>
      <c r="Z967" s="191" t="inlineStr">
        <is>
          <t>CHECK_VENDOR</t>
        </is>
      </c>
      <c r="AA967" s="192" t="inlineStr">
        <is>
          <t>https://nvd.nist.gov/vuln/detail/CVE-2025-69404</t>
        </is>
      </c>
      <c r="AB967" s="191" t="inlineStr">
        <is>
          <t>NONE</t>
        </is>
      </c>
      <c r="AC967" s="191" t="n">
        <v>0</v>
      </c>
      <c r="AD967" s="191" t="n"/>
    </row>
    <row r="968">
      <c r="A968" s="191" t="inlineStr">
        <is>
          <t>CVE</t>
        </is>
      </c>
      <c r="B968" s="191" t="inlineStr">
        <is>
          <t>CVE-2025-69405</t>
        </is>
      </c>
      <c r="C968" s="191" t="inlineStr">
        <is>
          <t>Deserialization of Untrusted Data vulnerability in ThemeREX Lorem Ipsum | Books &amp; Media Store lorem-ipsum-books-media-store allows Object Injection.This issue affects Lorem Ipsum | Books &amp; Media Store: from n/a through &lt;= 1.2.6.</t>
        </is>
      </c>
      <c r="D968" s="191" t="n">
        <v>5</v>
      </c>
      <c r="E968" s="191" t="inlineStr">
        <is>
          <t>MEDIUM</t>
        </is>
      </c>
      <c r="F968" s="191" t="n">
        <v>2</v>
      </c>
      <c r="G968" s="191" t="n">
        <v>2</v>
      </c>
      <c r="H968" s="191" t="inlineStr">
        <is>
          <t>MEDIUM</t>
        </is>
      </c>
      <c r="I968" s="191" t="n">
        <v>9</v>
      </c>
      <c r="J968" s="191" t="inlineStr">
        <is>
          <t>NO</t>
        </is>
      </c>
      <c r="K968" s="192" t="inlineStr">
        <is>
          <t>https://nvd.nist.gov/vuln/detail/CVE-2025-69405</t>
        </is>
      </c>
      <c r="L968" s="191" t="inlineStr">
        <is>
          <t>2026-02-23 23:48</t>
        </is>
      </c>
      <c r="M968" s="191" t="inlineStr">
        <is>
          <t>CHECK_VENDOR</t>
        </is>
      </c>
      <c r="N968" s="191" t="inlineStr">
        <is>
          <t>See NVD references</t>
        </is>
      </c>
      <c r="O968" s="191" t="inlineStr">
        <is>
          <t>Apply vendor patches</t>
        </is>
      </c>
      <c r="P968" s="191" t="inlineStr">
        <is>
          <t>See CVE details</t>
        </is>
      </c>
      <c r="Q968" s="191" t="inlineStr">
        <is>
          <t>P4</t>
        </is>
      </c>
      <c r="R968" s="191" t="inlineStr">
        <is>
          <t>📅 Schedule patch deployment within 30 days | 🔍 Monitor for exploitation attempts</t>
        </is>
      </c>
      <c r="S968" s="191" t="inlineStr">
        <is>
          <t>CVE - IP enrichment n/a</t>
        </is>
      </c>
      <c r="T968" s="191" t="n">
        <v>0</v>
      </c>
      <c r="U968" s="191" t="n">
        <v>0</v>
      </c>
      <c r="V968" s="191" t="inlineStr">
        <is>
          <t>T1059:Command and Scripting Interpreter</t>
        </is>
      </c>
      <c r="W968" s="191" t="n">
        <v>1</v>
      </c>
      <c r="X968" s="191" t="inlineStr">
        <is>
          <t>LOW (40%)</t>
        </is>
      </c>
      <c r="Y968" s="191" t="inlineStr">
        <is>
          <t>UNLIKELY</t>
        </is>
      </c>
      <c r="Z968" s="191" t="inlineStr">
        <is>
          <t>CHECK_VENDOR</t>
        </is>
      </c>
      <c r="AA968" s="192" t="inlineStr">
        <is>
          <t>https://nvd.nist.gov/vuln/detail/CVE-2025-69405</t>
        </is>
      </c>
      <c r="AB968" s="191" t="inlineStr">
        <is>
          <t>NONE</t>
        </is>
      </c>
      <c r="AC968" s="191" t="n">
        <v>0</v>
      </c>
      <c r="AD968" s="191" t="n"/>
    </row>
    <row r="969">
      <c r="A969" s="191" t="inlineStr">
        <is>
          <t>CVE</t>
        </is>
      </c>
      <c r="B969" s="191" t="inlineStr">
        <is>
          <t>CVE-2025-69406</t>
        </is>
      </c>
      <c r="C969" s="191" t="inlineStr">
        <is>
          <t>Improper Control of Filename for Include/Require Statement in PHP Program ('PHP Remote File Inclusion') vulnerability in ThemeREX FreightCo freightco allows PHP Local File Inclusion.This issue affects FreightCo: from n/a through &lt;= 1.1.7.</t>
        </is>
      </c>
      <c r="D969" s="191" t="n">
        <v>5</v>
      </c>
      <c r="E969" s="191" t="inlineStr">
        <is>
          <t>MEDIUM</t>
        </is>
      </c>
      <c r="F969" s="191" t="n">
        <v>2</v>
      </c>
      <c r="G969" s="191" t="n">
        <v>2</v>
      </c>
      <c r="H969" s="191" t="inlineStr">
        <is>
          <t>MEDIUM</t>
        </is>
      </c>
      <c r="I969" s="191" t="n">
        <v>9</v>
      </c>
      <c r="J969" s="191" t="inlineStr">
        <is>
          <t>NO</t>
        </is>
      </c>
      <c r="K969" s="192" t="inlineStr">
        <is>
          <t>https://nvd.nist.gov/vuln/detail/CVE-2025-69406</t>
        </is>
      </c>
      <c r="L969" s="191" t="inlineStr">
        <is>
          <t>2026-02-23 23:48</t>
        </is>
      </c>
      <c r="M969" s="191" t="inlineStr">
        <is>
          <t>CHECK_VENDOR</t>
        </is>
      </c>
      <c r="N969" s="191" t="inlineStr">
        <is>
          <t>See NVD references</t>
        </is>
      </c>
      <c r="O969" s="191" t="inlineStr">
        <is>
          <t>Apply vendor patches</t>
        </is>
      </c>
      <c r="P969" s="191" t="inlineStr">
        <is>
          <t>See CVE details</t>
        </is>
      </c>
      <c r="Q969" s="191" t="inlineStr">
        <is>
          <t>P4</t>
        </is>
      </c>
      <c r="R969" s="191" t="inlineStr">
        <is>
          <t>📅 Schedule patch deployment within 30 days | 🔍 Monitor for exploitation attempts</t>
        </is>
      </c>
      <c r="S969" s="191" t="inlineStr">
        <is>
          <t>CVE - IP enrichment n/a</t>
        </is>
      </c>
      <c r="T969" s="191" t="n">
        <v>0</v>
      </c>
      <c r="U969" s="191" t="n">
        <v>0</v>
      </c>
      <c r="V969" s="191" t="inlineStr">
        <is>
          <t>T1190:Exploit Public-Facing Application</t>
        </is>
      </c>
      <c r="W969" s="191" t="n">
        <v>1</v>
      </c>
      <c r="X969" s="191" t="inlineStr">
        <is>
          <t>LOW (40%)</t>
        </is>
      </c>
      <c r="Y969" s="191" t="inlineStr">
        <is>
          <t>UNLIKELY</t>
        </is>
      </c>
      <c r="Z969" s="191" t="inlineStr">
        <is>
          <t>CHECK_VENDOR</t>
        </is>
      </c>
      <c r="AA969" s="192" t="inlineStr">
        <is>
          <t>https://nvd.nist.gov/vuln/detail/CVE-2025-69406</t>
        </is>
      </c>
      <c r="AB969" s="191" t="inlineStr">
        <is>
          <t>NONE</t>
        </is>
      </c>
      <c r="AC969" s="191" t="n">
        <v>0</v>
      </c>
      <c r="AD969" s="191" t="n"/>
    </row>
    <row r="970">
      <c r="A970" s="191" t="inlineStr">
        <is>
          <t>CVE</t>
        </is>
      </c>
      <c r="B970" s="191" t="inlineStr">
        <is>
          <t>CVE-2025-69407</t>
        </is>
      </c>
      <c r="C970" s="191" t="inlineStr">
        <is>
          <t>Improper Control of Filename for Include/Require Statement in PHP Program ('PHP Remote File Inclusion') vulnerability in Select-Themes Struktur struktur allows PHP Local File Inclusion.This issue affects Struktur: from n/a through &lt;= 2.5.1.</t>
        </is>
      </c>
      <c r="D970" s="191" t="n">
        <v>5</v>
      </c>
      <c r="E970" s="191" t="inlineStr">
        <is>
          <t>MEDIUM</t>
        </is>
      </c>
      <c r="F970" s="191" t="n">
        <v>2</v>
      </c>
      <c r="G970" s="191" t="n">
        <v>2</v>
      </c>
      <c r="H970" s="191" t="inlineStr">
        <is>
          <t>MEDIUM</t>
        </is>
      </c>
      <c r="I970" s="191" t="n">
        <v>9</v>
      </c>
      <c r="J970" s="191" t="inlineStr">
        <is>
          <t>NO</t>
        </is>
      </c>
      <c r="K970" s="192" t="inlineStr">
        <is>
          <t>https://nvd.nist.gov/vuln/detail/CVE-2025-69407</t>
        </is>
      </c>
      <c r="L970" s="191" t="inlineStr">
        <is>
          <t>2026-02-23 23:48</t>
        </is>
      </c>
      <c r="M970" s="191" t="inlineStr">
        <is>
          <t>CHECK_VENDOR</t>
        </is>
      </c>
      <c r="N970" s="191" t="inlineStr">
        <is>
          <t>See NVD references</t>
        </is>
      </c>
      <c r="O970" s="191" t="inlineStr">
        <is>
          <t>Apply vendor patches</t>
        </is>
      </c>
      <c r="P970" s="191" t="inlineStr">
        <is>
          <t>See CVE details</t>
        </is>
      </c>
      <c r="Q970" s="191" t="inlineStr">
        <is>
          <t>P4</t>
        </is>
      </c>
      <c r="R970" s="191" t="inlineStr">
        <is>
          <t>📅 Schedule patch deployment within 30 days | 🔍 Monitor for exploitation attempts</t>
        </is>
      </c>
      <c r="S970" s="191" t="inlineStr">
        <is>
          <t>CVE - IP enrichment n/a</t>
        </is>
      </c>
      <c r="T970" s="191" t="n">
        <v>0</v>
      </c>
      <c r="U970" s="191" t="n">
        <v>0</v>
      </c>
      <c r="V970" s="191" t="inlineStr">
        <is>
          <t>T1190:Exploit Public-Facing Application</t>
        </is>
      </c>
      <c r="W970" s="191" t="n">
        <v>1</v>
      </c>
      <c r="X970" s="191" t="inlineStr">
        <is>
          <t>LOW (40%)</t>
        </is>
      </c>
      <c r="Y970" s="191" t="inlineStr">
        <is>
          <t>UNLIKELY</t>
        </is>
      </c>
      <c r="Z970" s="191" t="inlineStr">
        <is>
          <t>CHECK_VENDOR</t>
        </is>
      </c>
      <c r="AA970" s="192" t="inlineStr">
        <is>
          <t>https://nvd.nist.gov/vuln/detail/CVE-2025-69407</t>
        </is>
      </c>
      <c r="AB970" s="191" t="inlineStr">
        <is>
          <t>NONE</t>
        </is>
      </c>
      <c r="AC970" s="191" t="n">
        <v>0</v>
      </c>
      <c r="AD970" s="191" t="n"/>
    </row>
    <row r="971">
      <c r="A971" s="191" t="inlineStr">
        <is>
          <t>CVE</t>
        </is>
      </c>
      <c r="B971" s="191" t="inlineStr">
        <is>
          <t>CVE-2025-69408</t>
        </is>
      </c>
      <c r="C971" s="191" t="inlineStr">
        <is>
          <t>Improper Control of Filename for Include/Require Statement in PHP Program ('PHP Remote File Inclusion') vulnerability in Mikado-Themes HealthFirst healthfirst allows PHP Local File Inclusion.This issue affects HealthFirst: from n/a through &lt;= 1.0.1.</t>
        </is>
      </c>
      <c r="D971" s="191" t="n">
        <v>5</v>
      </c>
      <c r="E971" s="191" t="inlineStr">
        <is>
          <t>MEDIUM</t>
        </is>
      </c>
      <c r="F971" s="191" t="n">
        <v>2</v>
      </c>
      <c r="G971" s="191" t="n">
        <v>2</v>
      </c>
      <c r="H971" s="191" t="inlineStr">
        <is>
          <t>MEDIUM</t>
        </is>
      </c>
      <c r="I971" s="191" t="n">
        <v>9</v>
      </c>
      <c r="J971" s="191" t="inlineStr">
        <is>
          <t>NO</t>
        </is>
      </c>
      <c r="K971" s="192" t="inlineStr">
        <is>
          <t>https://nvd.nist.gov/vuln/detail/CVE-2025-69408</t>
        </is>
      </c>
      <c r="L971" s="191" t="inlineStr">
        <is>
          <t>2026-02-23 23:48</t>
        </is>
      </c>
      <c r="M971" s="191" t="inlineStr">
        <is>
          <t>CHECK_VENDOR</t>
        </is>
      </c>
      <c r="N971" s="191" t="inlineStr">
        <is>
          <t>See NVD references</t>
        </is>
      </c>
      <c r="O971" s="191" t="inlineStr">
        <is>
          <t>Apply vendor patches</t>
        </is>
      </c>
      <c r="P971" s="191" t="inlineStr">
        <is>
          <t>See CVE details</t>
        </is>
      </c>
      <c r="Q971" s="191" t="inlineStr">
        <is>
          <t>P4</t>
        </is>
      </c>
      <c r="R971" s="191" t="inlineStr">
        <is>
          <t>📅 Schedule patch deployment within 30 days | 🔍 Monitor for exploitation attempts</t>
        </is>
      </c>
      <c r="S971" s="191" t="inlineStr">
        <is>
          <t>CVE - IP enrichment n/a</t>
        </is>
      </c>
      <c r="T971" s="191" t="n">
        <v>0.0005</v>
      </c>
      <c r="U971" s="191" t="n">
        <v>0.1673</v>
      </c>
      <c r="V971" s="191" t="inlineStr">
        <is>
          <t>T1190:Exploit Public-Facing Application</t>
        </is>
      </c>
      <c r="W971" s="191" t="n">
        <v>1</v>
      </c>
      <c r="X971" s="191" t="inlineStr">
        <is>
          <t>LOW (40%)</t>
        </is>
      </c>
      <c r="Y971" s="191" t="inlineStr">
        <is>
          <t>UNLIKELY</t>
        </is>
      </c>
      <c r="Z971" s="191" t="inlineStr">
        <is>
          <t>CHECK_VENDOR</t>
        </is>
      </c>
      <c r="AA971" s="192" t="inlineStr">
        <is>
          <t>https://nvd.nist.gov/vuln/detail/CVE-2025-69408</t>
        </is>
      </c>
      <c r="AB971" s="191" t="inlineStr">
        <is>
          <t>NONE</t>
        </is>
      </c>
      <c r="AC971" s="191" t="n">
        <v>0</v>
      </c>
      <c r="AD971" s="191" t="n"/>
    </row>
    <row r="972">
      <c r="A972" s="191" t="inlineStr">
        <is>
          <t>CVE</t>
        </is>
      </c>
      <c r="B972" s="191" t="inlineStr">
        <is>
          <t>CVE-2025-69409</t>
        </is>
      </c>
      <c r="C972" s="191" t="inlineStr">
        <is>
          <t>Improper Control of Filename for Include/Require Statement in PHP Program ('PHP Remote File Inclusion') vulnerability in axiomthemes PJ | Life &amp; Business Coaching pj allows PHP Local File Inclusion.This issue affects PJ | Life &amp; Business Coaching: from n/a through &lt;= 3.0.0.</t>
        </is>
      </c>
      <c r="D972" s="191" t="n">
        <v>5</v>
      </c>
      <c r="E972" s="191" t="inlineStr">
        <is>
          <t>MEDIUM</t>
        </is>
      </c>
      <c r="F972" s="191" t="n">
        <v>2</v>
      </c>
      <c r="G972" s="191" t="n">
        <v>2</v>
      </c>
      <c r="H972" s="191" t="inlineStr">
        <is>
          <t>MEDIUM</t>
        </is>
      </c>
      <c r="I972" s="191" t="n">
        <v>9</v>
      </c>
      <c r="J972" s="191" t="inlineStr">
        <is>
          <t>NO</t>
        </is>
      </c>
      <c r="K972" s="192" t="inlineStr">
        <is>
          <t>https://nvd.nist.gov/vuln/detail/CVE-2025-69409</t>
        </is>
      </c>
      <c r="L972" s="191" t="inlineStr">
        <is>
          <t>2026-02-23 23:48</t>
        </is>
      </c>
      <c r="M972" s="191" t="inlineStr">
        <is>
          <t>CHECK_VENDOR</t>
        </is>
      </c>
      <c r="N972" s="191" t="inlineStr">
        <is>
          <t>See NVD references</t>
        </is>
      </c>
      <c r="O972" s="191" t="inlineStr">
        <is>
          <t>Apply vendor patches</t>
        </is>
      </c>
      <c r="P972" s="191" t="inlineStr">
        <is>
          <t>See CVE details</t>
        </is>
      </c>
      <c r="Q972" s="191" t="inlineStr">
        <is>
          <t>P4</t>
        </is>
      </c>
      <c r="R972" s="191" t="inlineStr">
        <is>
          <t>📅 Schedule patch deployment within 30 days | 🔍 Monitor for exploitation attempts</t>
        </is>
      </c>
      <c r="S972" s="191" t="inlineStr">
        <is>
          <t>CVE - IP enrichment n/a</t>
        </is>
      </c>
      <c r="T972" s="191" t="n">
        <v>0.0005</v>
      </c>
      <c r="U972" s="191" t="n">
        <v>0.1673</v>
      </c>
      <c r="V972" s="191" t="inlineStr">
        <is>
          <t>T1190:Exploit Public-Facing Application</t>
        </is>
      </c>
      <c r="W972" s="191" t="n">
        <v>1</v>
      </c>
      <c r="X972" s="191" t="inlineStr">
        <is>
          <t>LOW (40%)</t>
        </is>
      </c>
      <c r="Y972" s="191" t="inlineStr">
        <is>
          <t>UNLIKELY</t>
        </is>
      </c>
      <c r="Z972" s="191" t="inlineStr">
        <is>
          <t>CHECK_VENDOR</t>
        </is>
      </c>
      <c r="AA972" s="192" t="inlineStr">
        <is>
          <t>https://nvd.nist.gov/vuln/detail/CVE-2025-69409</t>
        </is>
      </c>
      <c r="AB972" s="191" t="inlineStr">
        <is>
          <t>NONE</t>
        </is>
      </c>
      <c r="AC972" s="191" t="n">
        <v>0</v>
      </c>
      <c r="AD972" s="191" t="n"/>
    </row>
    <row r="973">
      <c r="A973" s="191" t="inlineStr">
        <is>
          <t>CVE</t>
        </is>
      </c>
      <c r="B973" s="191" t="inlineStr">
        <is>
          <t>CVE-2025-69410</t>
        </is>
      </c>
      <c r="C973" s="191" t="inlineStr">
        <is>
          <t>Improper Control of Filename for Include/Require Statement in PHP Program ('PHP Remote File Inclusion') vulnerability in Edge-Themes Belletrist belletrist allows PHP Local File Inclusion.This issue affects Belletrist: from n/a through &lt;= 1.2.</t>
        </is>
      </c>
      <c r="D973" s="191" t="n">
        <v>5</v>
      </c>
      <c r="E973" s="191" t="inlineStr">
        <is>
          <t>MEDIUM</t>
        </is>
      </c>
      <c r="F973" s="191" t="n">
        <v>2</v>
      </c>
      <c r="G973" s="191" t="n">
        <v>2</v>
      </c>
      <c r="H973" s="191" t="inlineStr">
        <is>
          <t>MEDIUM</t>
        </is>
      </c>
      <c r="I973" s="191" t="n">
        <v>9</v>
      </c>
      <c r="J973" s="191" t="inlineStr">
        <is>
          <t>NO</t>
        </is>
      </c>
      <c r="K973" s="192" t="inlineStr">
        <is>
          <t>https://nvd.nist.gov/vuln/detail/CVE-2025-69410</t>
        </is>
      </c>
      <c r="L973" s="191" t="inlineStr">
        <is>
          <t>2026-02-23 23:48</t>
        </is>
      </c>
      <c r="M973" s="191" t="inlineStr">
        <is>
          <t>CHECK_VENDOR</t>
        </is>
      </c>
      <c r="N973" s="191" t="inlineStr">
        <is>
          <t>See NVD references</t>
        </is>
      </c>
      <c r="O973" s="191" t="inlineStr">
        <is>
          <t>Apply vendor patches</t>
        </is>
      </c>
      <c r="P973" s="191" t="inlineStr">
        <is>
          <t>See CVE details</t>
        </is>
      </c>
      <c r="Q973" s="191" t="inlineStr">
        <is>
          <t>P4</t>
        </is>
      </c>
      <c r="R973" s="191" t="inlineStr">
        <is>
          <t>📅 Schedule patch deployment within 30 days | 🔍 Monitor for exploitation attempts</t>
        </is>
      </c>
      <c r="S973" s="191" t="inlineStr">
        <is>
          <t>CVE - IP enrichment n/a</t>
        </is>
      </c>
      <c r="T973" s="191" t="n">
        <v>0</v>
      </c>
      <c r="U973" s="191" t="n">
        <v>0</v>
      </c>
      <c r="V973" s="191" t="inlineStr">
        <is>
          <t>T1190:Exploit Public-Facing Application</t>
        </is>
      </c>
      <c r="W973" s="191" t="n">
        <v>1</v>
      </c>
      <c r="X973" s="191" t="inlineStr">
        <is>
          <t>LOW (40%)</t>
        </is>
      </c>
      <c r="Y973" s="191" t="inlineStr">
        <is>
          <t>UNLIKELY</t>
        </is>
      </c>
      <c r="Z973" s="191" t="inlineStr">
        <is>
          <t>CHECK_VENDOR</t>
        </is>
      </c>
      <c r="AA973" s="192" t="inlineStr">
        <is>
          <t>https://nvd.nist.gov/vuln/detail/CVE-2025-69410</t>
        </is>
      </c>
      <c r="AB973" s="191" t="inlineStr">
        <is>
          <t>NONE</t>
        </is>
      </c>
      <c r="AC973" s="191" t="n">
        <v>0</v>
      </c>
      <c r="AD973" s="191" t="n"/>
    </row>
    <row r="974">
      <c r="A974" s="193" t="inlineStr">
        <is>
          <t>CVE</t>
        </is>
      </c>
      <c r="B974" s="193" t="inlineStr">
        <is>
          <t>CVE-2025-70831</t>
        </is>
      </c>
      <c r="C974" s="193" t="inlineStr">
        <is>
          <t>A Remote Code Execution (RCE) vulnerability was found in Smanga 3.2.7 in the /php/path/rescan.php interface. The application fails to properly sanitize user-supplied input in the mediaId parameter before using it in a system shell command. This allows an unauthenticated attacker to inject arbitrary operating system commands, leading to complete server compromise.</t>
        </is>
      </c>
      <c r="D974" s="193" t="n">
        <v>9.800000000000001</v>
      </c>
      <c r="E974" s="193" t="inlineStr">
        <is>
          <t>CRITICAL</t>
        </is>
      </c>
      <c r="F974" s="193" t="n">
        <v>2</v>
      </c>
      <c r="G974" s="193" t="n">
        <v>3</v>
      </c>
      <c r="H974" s="193" t="inlineStr">
        <is>
          <t>HIGH</t>
        </is>
      </c>
      <c r="I974" s="193" t="n">
        <v>15.8</v>
      </c>
      <c r="J974" s="193" t="inlineStr">
        <is>
          <t>NO</t>
        </is>
      </c>
      <c r="K974" s="194" t="inlineStr">
        <is>
          <t>https://nvd.nist.gov/vuln/detail/CVE-2025-70831</t>
        </is>
      </c>
      <c r="L974" s="193" t="inlineStr">
        <is>
          <t>2026-02-23 23:48</t>
        </is>
      </c>
      <c r="M974" s="193" t="inlineStr">
        <is>
          <t>CHECK_VENDOR</t>
        </is>
      </c>
      <c r="N974" s="193" t="inlineStr">
        <is>
          <t>See NVD references</t>
        </is>
      </c>
      <c r="O974" s="193" t="inlineStr">
        <is>
          <t>Apply vendor patches</t>
        </is>
      </c>
      <c r="P974" s="193" t="inlineStr">
        <is>
          <t>See CVE details</t>
        </is>
      </c>
      <c r="Q974" s="193" t="inlineStr">
        <is>
          <t>P3</t>
        </is>
      </c>
      <c r="R974" s="193" t="inlineStr">
        <is>
          <t>🚨 URGENT: Apply vendor patches immediately | 🔒 Isolate affected systems if patch unavailable | 🛡️ Enable additional monitoring/IDS rules</t>
        </is>
      </c>
      <c r="S974" s="193" t="inlineStr">
        <is>
          <t>CVE - IP enrichment n/a</t>
        </is>
      </c>
      <c r="T974" s="193" t="n">
        <v>0</v>
      </c>
      <c r="U974" s="193" t="n">
        <v>0</v>
      </c>
      <c r="V974" s="193" t="inlineStr">
        <is>
          <t>T1059:Command and Scripting Interpreter | T1190:Exploit Public-Facing Application | T1210:Exploitation of Remote Services</t>
        </is>
      </c>
      <c r="W974" s="193" t="n">
        <v>1</v>
      </c>
      <c r="X974" s="193" t="inlineStr">
        <is>
          <t>LOW (40%)</t>
        </is>
      </c>
      <c r="Y974" s="193" t="inlineStr">
        <is>
          <t>UNLIKELY</t>
        </is>
      </c>
      <c r="Z974" s="193" t="inlineStr">
        <is>
          <t>CHECK_VENDOR</t>
        </is>
      </c>
      <c r="AA974" s="194" t="inlineStr">
        <is>
          <t>https://nvd.nist.gov/vuln/detail/CVE-2025-70831</t>
        </is>
      </c>
      <c r="AB974" s="193" t="inlineStr">
        <is>
          <t>NONE</t>
        </is>
      </c>
      <c r="AC974" s="193" t="n">
        <v>0</v>
      </c>
      <c r="AD974" s="193" t="n"/>
    </row>
    <row r="975">
      <c r="A975" s="189" t="inlineStr">
        <is>
          <t>CVE</t>
        </is>
      </c>
      <c r="B975" s="189" t="inlineStr">
        <is>
          <t>CVE-2026-20761</t>
        </is>
      </c>
      <c r="C975" s="189" t="inlineStr">
        <is>
          <t>A vulnerability exists in EnOcean SmartServer IoT version 4.60.009 and 
prior, which would allow remote attackers, in the LON IP-852 management 
messages, to send specially crafted IP-852 messages resulting in 
arbitrary OS command execution on the device.</t>
        </is>
      </c>
      <c r="D975" s="189" t="n">
        <v>8.1</v>
      </c>
      <c r="E975" s="189" t="inlineStr">
        <is>
          <t>HIGH</t>
        </is>
      </c>
      <c r="F975" s="189" t="n">
        <v>2</v>
      </c>
      <c r="G975" s="189" t="n">
        <v>3</v>
      </c>
      <c r="H975" s="189" t="inlineStr">
        <is>
          <t>HIGH</t>
        </is>
      </c>
      <c r="I975" s="189" t="n">
        <v>14.1</v>
      </c>
      <c r="J975" s="189" t="inlineStr">
        <is>
          <t>NO</t>
        </is>
      </c>
      <c r="K975" s="190" t="inlineStr">
        <is>
          <t>https://nvd.nist.gov/vuln/detail/CVE-2026-20761</t>
        </is>
      </c>
      <c r="L975" s="189" t="inlineStr">
        <is>
          <t>2026-02-23 23:48</t>
        </is>
      </c>
      <c r="M975" s="189" t="inlineStr">
        <is>
          <t>CHECK_VENDOR</t>
        </is>
      </c>
      <c r="N975" s="189" t="inlineStr">
        <is>
          <t>See NVD references</t>
        </is>
      </c>
      <c r="O975" s="189" t="inlineStr">
        <is>
          <t>Apply vendor patches</t>
        </is>
      </c>
      <c r="P975" s="189" t="inlineStr">
        <is>
          <t>See CVE details</t>
        </is>
      </c>
      <c r="Q975" s="189" t="inlineStr">
        <is>
          <t>P3</t>
        </is>
      </c>
      <c r="R975" s="189" t="inlineStr">
        <is>
          <t>🚨 URGENT: Apply vendor patches immediately | 🔒 Isolate affected systems if patch unavailable | 🛡️ Enable additional monitoring/IDS rules</t>
        </is>
      </c>
      <c r="S975" s="189" t="inlineStr">
        <is>
          <t>CVE - IP enrichment n/a</t>
        </is>
      </c>
      <c r="T975" s="189" t="n">
        <v>0</v>
      </c>
      <c r="U975" s="189" t="n">
        <v>0</v>
      </c>
      <c r="V975" s="189" t="inlineStr">
        <is>
          <t>T1059:Command and Scripting Interpreter</t>
        </is>
      </c>
      <c r="W975" s="189" t="n">
        <v>1</v>
      </c>
      <c r="X975" s="189" t="inlineStr">
        <is>
          <t>LOW (40%)</t>
        </is>
      </c>
      <c r="Y975" s="189" t="inlineStr">
        <is>
          <t>UNLIKELY</t>
        </is>
      </c>
      <c r="Z975" s="189" t="inlineStr">
        <is>
          <t>CHECK_VENDOR</t>
        </is>
      </c>
      <c r="AA975" s="190" t="inlineStr">
        <is>
          <t>https://nvd.nist.gov/vuln/detail/CVE-2026-20761</t>
        </is>
      </c>
      <c r="AB975" s="189" t="inlineStr">
        <is>
          <t>NONE</t>
        </is>
      </c>
      <c r="AC975" s="189" t="n">
        <v>0</v>
      </c>
      <c r="AD975" s="189" t="n"/>
    </row>
    <row r="976">
      <c r="A976" s="191" t="inlineStr">
        <is>
          <t>CVE</t>
        </is>
      </c>
      <c r="B976" s="191" t="inlineStr">
        <is>
          <t>CVE-2026-22341</t>
        </is>
      </c>
      <c r="C976" s="191" t="inlineStr">
        <is>
          <t>Authentication Bypass Using an Alternate Path or Channel vulnerability in Case-Themes Booked booked allows Authentication Abuse.This issue affects Booked: from n/a through &lt;= 3.0.0.</t>
        </is>
      </c>
      <c r="D976" s="191" t="n">
        <v>5</v>
      </c>
      <c r="E976" s="191" t="inlineStr">
        <is>
          <t>MEDIUM</t>
        </is>
      </c>
      <c r="F976" s="191" t="n">
        <v>2</v>
      </c>
      <c r="G976" s="191" t="n">
        <v>2</v>
      </c>
      <c r="H976" s="191" t="inlineStr">
        <is>
          <t>MEDIUM</t>
        </is>
      </c>
      <c r="I976" s="191" t="n">
        <v>9</v>
      </c>
      <c r="J976" s="191" t="inlineStr">
        <is>
          <t>NO</t>
        </is>
      </c>
      <c r="K976" s="192" t="inlineStr">
        <is>
          <t>https://nvd.nist.gov/vuln/detail/CVE-2026-22341</t>
        </is>
      </c>
      <c r="L976" s="191" t="inlineStr">
        <is>
          <t>2026-02-23 23:48</t>
        </is>
      </c>
      <c r="M976" s="191" t="inlineStr">
        <is>
          <t>CHECK_VENDOR</t>
        </is>
      </c>
      <c r="N976" s="191" t="inlineStr">
        <is>
          <t>See NVD references</t>
        </is>
      </c>
      <c r="O976" s="191" t="inlineStr">
        <is>
          <t>Apply vendor patches</t>
        </is>
      </c>
      <c r="P976" s="191" t="inlineStr">
        <is>
          <t>See CVE details</t>
        </is>
      </c>
      <c r="Q976" s="191" t="inlineStr">
        <is>
          <t>P4</t>
        </is>
      </c>
      <c r="R976" s="191" t="inlineStr">
        <is>
          <t>📅 Schedule patch deployment within 30 days | 🔍 Monitor for exploitation attempts</t>
        </is>
      </c>
      <c r="S976" s="191" t="inlineStr">
        <is>
          <t>CVE - IP enrichment n/a</t>
        </is>
      </c>
      <c r="T976" s="191" t="n">
        <v>0</v>
      </c>
      <c r="U976" s="191" t="n">
        <v>0</v>
      </c>
      <c r="V976" s="191" t="inlineStr">
        <is>
          <t>T1078:Valid Accounts</t>
        </is>
      </c>
      <c r="W976" s="191" t="n">
        <v>1</v>
      </c>
      <c r="X976" s="191" t="inlineStr">
        <is>
          <t>LOW (40%)</t>
        </is>
      </c>
      <c r="Y976" s="191" t="inlineStr">
        <is>
          <t>UNLIKELY</t>
        </is>
      </c>
      <c r="Z976" s="191" t="inlineStr">
        <is>
          <t>CHECK_VENDOR</t>
        </is>
      </c>
      <c r="AA976" s="192" t="inlineStr">
        <is>
          <t>https://nvd.nist.gov/vuln/detail/CVE-2026-22341</t>
        </is>
      </c>
      <c r="AB976" s="191" t="inlineStr">
        <is>
          <t>NONE</t>
        </is>
      </c>
      <c r="AC976" s="191" t="n">
        <v>0</v>
      </c>
      <c r="AD976" s="191" t="n"/>
    </row>
    <row r="977">
      <c r="A977" s="191" t="inlineStr">
        <is>
          <t>CVE</t>
        </is>
      </c>
      <c r="B977" s="191" t="inlineStr">
        <is>
          <t>CVE-2026-22344</t>
        </is>
      </c>
      <c r="C977" s="191" t="inlineStr">
        <is>
          <t>Improper Control of Filename for Include/Require Statement in PHP Program ('PHP Remote File Inclusion') vulnerability in Mikado-Themes FiveStar fivestar allows PHP Local File Inclusion.This issue affects FiveStar: from n/a through &lt;= 1.7.</t>
        </is>
      </c>
      <c r="D977" s="191" t="n">
        <v>5</v>
      </c>
      <c r="E977" s="191" t="inlineStr">
        <is>
          <t>MEDIUM</t>
        </is>
      </c>
      <c r="F977" s="191" t="n">
        <v>2</v>
      </c>
      <c r="G977" s="191" t="n">
        <v>2</v>
      </c>
      <c r="H977" s="191" t="inlineStr">
        <is>
          <t>MEDIUM</t>
        </is>
      </c>
      <c r="I977" s="191" t="n">
        <v>9</v>
      </c>
      <c r="J977" s="191" t="inlineStr">
        <is>
          <t>NO</t>
        </is>
      </c>
      <c r="K977" s="192" t="inlineStr">
        <is>
          <t>https://nvd.nist.gov/vuln/detail/CVE-2026-22344</t>
        </is>
      </c>
      <c r="L977" s="191" t="inlineStr">
        <is>
          <t>2026-02-23 23:48</t>
        </is>
      </c>
      <c r="M977" s="191" t="inlineStr">
        <is>
          <t>CHECK_VENDOR</t>
        </is>
      </c>
      <c r="N977" s="191" t="inlineStr">
        <is>
          <t>See NVD references</t>
        </is>
      </c>
      <c r="O977" s="191" t="inlineStr">
        <is>
          <t>Apply vendor patches</t>
        </is>
      </c>
      <c r="P977" s="191" t="inlineStr">
        <is>
          <t>See CVE details</t>
        </is>
      </c>
      <c r="Q977" s="191" t="inlineStr">
        <is>
          <t>P4</t>
        </is>
      </c>
      <c r="R977" s="191" t="inlineStr">
        <is>
          <t>📅 Schedule patch deployment within 30 days | 🔍 Monitor for exploitation attempts</t>
        </is>
      </c>
      <c r="S977" s="191" t="inlineStr">
        <is>
          <t>CVE - IP enrichment n/a</t>
        </is>
      </c>
      <c r="T977" s="191" t="n">
        <v>0</v>
      </c>
      <c r="U977" s="191" t="n">
        <v>0</v>
      </c>
      <c r="V977" s="191" t="inlineStr">
        <is>
          <t>T1190:Exploit Public-Facing Application</t>
        </is>
      </c>
      <c r="W977" s="191" t="n">
        <v>1</v>
      </c>
      <c r="X977" s="191" t="inlineStr">
        <is>
          <t>LOW (40%)</t>
        </is>
      </c>
      <c r="Y977" s="191" t="inlineStr">
        <is>
          <t>UNLIKELY</t>
        </is>
      </c>
      <c r="Z977" s="191" t="inlineStr">
        <is>
          <t>CHECK_VENDOR</t>
        </is>
      </c>
      <c r="AA977" s="192" t="inlineStr">
        <is>
          <t>https://nvd.nist.gov/vuln/detail/CVE-2026-22344</t>
        </is>
      </c>
      <c r="AB977" s="191" t="inlineStr">
        <is>
          <t>NONE</t>
        </is>
      </c>
      <c r="AC977" s="191" t="n">
        <v>0</v>
      </c>
      <c r="AD977" s="191" t="n"/>
    </row>
    <row r="978">
      <c r="A978" s="191" t="inlineStr">
        <is>
          <t>CVE</t>
        </is>
      </c>
      <c r="B978" s="191" t="inlineStr">
        <is>
          <t>CVE-2026-22345</t>
        </is>
      </c>
      <c r="C978" s="191" t="inlineStr">
        <is>
          <t>Deserialization of Untrusted Data vulnerability in A WP Life Image Gallery – Lightbox Gallery, Responsive Photo Gallery, Masonry Gallery new-image-gallery allows Object Injection.This issue affects Image Gallery – Lightbox Gallery, Responsive Photo Gallery, Masonry Gallery: from n/a through &lt;= 1.6.0.</t>
        </is>
      </c>
      <c r="D978" s="191" t="n">
        <v>5</v>
      </c>
      <c r="E978" s="191" t="inlineStr">
        <is>
          <t>MEDIUM</t>
        </is>
      </c>
      <c r="F978" s="191" t="n">
        <v>2</v>
      </c>
      <c r="G978" s="191" t="n">
        <v>2</v>
      </c>
      <c r="H978" s="191" t="inlineStr">
        <is>
          <t>MEDIUM</t>
        </is>
      </c>
      <c r="I978" s="191" t="n">
        <v>9</v>
      </c>
      <c r="J978" s="191" t="inlineStr">
        <is>
          <t>NO</t>
        </is>
      </c>
      <c r="K978" s="192" t="inlineStr">
        <is>
          <t>https://nvd.nist.gov/vuln/detail/CVE-2026-22345</t>
        </is>
      </c>
      <c r="L978" s="191" t="inlineStr">
        <is>
          <t>2026-02-23 23:48</t>
        </is>
      </c>
      <c r="M978" s="191" t="inlineStr">
        <is>
          <t>CHECK_VENDOR</t>
        </is>
      </c>
      <c r="N978" s="191" t="inlineStr">
        <is>
          <t>See NVD references</t>
        </is>
      </c>
      <c r="O978" s="191" t="inlineStr">
        <is>
          <t>Apply vendor patches</t>
        </is>
      </c>
      <c r="P978" s="191" t="inlineStr">
        <is>
          <t>See CVE details</t>
        </is>
      </c>
      <c r="Q978" s="191" t="inlineStr">
        <is>
          <t>P4</t>
        </is>
      </c>
      <c r="R978" s="191" t="inlineStr">
        <is>
          <t>📅 Schedule patch deployment within 30 days | 🔍 Monitor for exploitation attempts</t>
        </is>
      </c>
      <c r="S978" s="191" t="inlineStr">
        <is>
          <t>CVE - IP enrichment n/a</t>
        </is>
      </c>
      <c r="T978" s="191" t="n">
        <v>0</v>
      </c>
      <c r="U978" s="191" t="n">
        <v>0</v>
      </c>
      <c r="V978" s="191" t="inlineStr">
        <is>
          <t>T1059:Command and Scripting Interpreter</t>
        </is>
      </c>
      <c r="W978" s="191" t="n">
        <v>1</v>
      </c>
      <c r="X978" s="191" t="inlineStr">
        <is>
          <t>LOW (40%)</t>
        </is>
      </c>
      <c r="Y978" s="191" t="inlineStr">
        <is>
          <t>UNLIKELY</t>
        </is>
      </c>
      <c r="Z978" s="191" t="inlineStr">
        <is>
          <t>CHECK_VENDOR</t>
        </is>
      </c>
      <c r="AA978" s="192" t="inlineStr">
        <is>
          <t>https://nvd.nist.gov/vuln/detail/CVE-2026-22345</t>
        </is>
      </c>
      <c r="AB978" s="191" t="inlineStr">
        <is>
          <t>NONE</t>
        </is>
      </c>
      <c r="AC978" s="191" t="n">
        <v>0</v>
      </c>
      <c r="AD978" s="191" t="n"/>
    </row>
    <row r="979">
      <c r="A979" s="191" t="inlineStr">
        <is>
          <t>CVE</t>
        </is>
      </c>
      <c r="B979" s="191" t="inlineStr">
        <is>
          <t>CVE-2026-22346</t>
        </is>
      </c>
      <c r="C979" s="191" t="inlineStr">
        <is>
          <t>Deserialization of Untrusted Data vulnerability in A WP Life Slider Responsive Slideshow – Image slider, Gallery slideshow slider-responsive-slideshow allows Object Injection.This issue affects Slider Responsive Slideshow – Image slider, Gallery slideshow: from n/a through &lt;= 1.5.4.</t>
        </is>
      </c>
      <c r="D979" s="191" t="n">
        <v>5</v>
      </c>
      <c r="E979" s="191" t="inlineStr">
        <is>
          <t>MEDIUM</t>
        </is>
      </c>
      <c r="F979" s="191" t="n">
        <v>2</v>
      </c>
      <c r="G979" s="191" t="n">
        <v>2</v>
      </c>
      <c r="H979" s="191" t="inlineStr">
        <is>
          <t>MEDIUM</t>
        </is>
      </c>
      <c r="I979" s="191" t="n">
        <v>9</v>
      </c>
      <c r="J979" s="191" t="inlineStr">
        <is>
          <t>NO</t>
        </is>
      </c>
      <c r="K979" s="192" t="inlineStr">
        <is>
          <t>https://nvd.nist.gov/vuln/detail/CVE-2026-22346</t>
        </is>
      </c>
      <c r="L979" s="191" t="inlineStr">
        <is>
          <t>2026-02-23 23:48</t>
        </is>
      </c>
      <c r="M979" s="191" t="inlineStr">
        <is>
          <t>CHECK_VENDOR</t>
        </is>
      </c>
      <c r="N979" s="191" t="inlineStr">
        <is>
          <t>See NVD references</t>
        </is>
      </c>
      <c r="O979" s="191" t="inlineStr">
        <is>
          <t>Apply vendor patches</t>
        </is>
      </c>
      <c r="P979" s="191" t="inlineStr">
        <is>
          <t>See CVE details</t>
        </is>
      </c>
      <c r="Q979" s="191" t="inlineStr">
        <is>
          <t>P4</t>
        </is>
      </c>
      <c r="R979" s="191" t="inlineStr">
        <is>
          <t>📅 Schedule patch deployment within 30 days | 🔍 Monitor for exploitation attempts</t>
        </is>
      </c>
      <c r="S979" s="191" t="inlineStr">
        <is>
          <t>CVE - IP enrichment n/a</t>
        </is>
      </c>
      <c r="T979" s="191" t="n">
        <v>0</v>
      </c>
      <c r="U979" s="191" t="n">
        <v>0</v>
      </c>
      <c r="V979" s="191" t="inlineStr">
        <is>
          <t>T1059:Command and Scripting Interpreter</t>
        </is>
      </c>
      <c r="W979" s="191" t="n">
        <v>1</v>
      </c>
      <c r="X979" s="191" t="inlineStr">
        <is>
          <t>LOW (40%)</t>
        </is>
      </c>
      <c r="Y979" s="191" t="inlineStr">
        <is>
          <t>UNLIKELY</t>
        </is>
      </c>
      <c r="Z979" s="191" t="inlineStr">
        <is>
          <t>CHECK_VENDOR</t>
        </is>
      </c>
      <c r="AA979" s="192" t="inlineStr">
        <is>
          <t>https://nvd.nist.gov/vuln/detail/CVE-2026-22346</t>
        </is>
      </c>
      <c r="AB979" s="191" t="inlineStr">
        <is>
          <t>NONE</t>
        </is>
      </c>
      <c r="AC979" s="191" t="n">
        <v>0</v>
      </c>
      <c r="AD979" s="191" t="n"/>
    </row>
    <row r="980">
      <c r="A980" s="191" t="inlineStr">
        <is>
          <t>CVE</t>
        </is>
      </c>
      <c r="B980" s="191" t="inlineStr">
        <is>
          <t>CVE-2026-22350</t>
        </is>
      </c>
      <c r="C980" s="191" t="inlineStr">
        <is>
          <t>Missing Authorization vulnerability in add-ons.org PDF for Elementor Forms + Drag And Drop Template Builder pdf-for-elementor-forms allows Exploiting Incorrectly Configured Access Control Security Levels.This issue affects PDF for Elementor Forms + Drag And Drop Template Builder: from n/a through &lt;= 6.3.1.</t>
        </is>
      </c>
      <c r="D980" s="191" t="n">
        <v>5</v>
      </c>
      <c r="E980" s="191" t="inlineStr">
        <is>
          <t>MEDIUM</t>
        </is>
      </c>
      <c r="F980" s="191" t="n">
        <v>2</v>
      </c>
      <c r="G980" s="191" t="n">
        <v>2</v>
      </c>
      <c r="H980" s="191" t="inlineStr">
        <is>
          <t>MEDIUM</t>
        </is>
      </c>
      <c r="I980" s="191" t="n">
        <v>9</v>
      </c>
      <c r="J980" s="191" t="inlineStr">
        <is>
          <t>NO</t>
        </is>
      </c>
      <c r="K980" s="192" t="inlineStr">
        <is>
          <t>https://nvd.nist.gov/vuln/detail/CVE-2026-22350</t>
        </is>
      </c>
      <c r="L980" s="191" t="inlineStr">
        <is>
          <t>2026-02-23 23:48</t>
        </is>
      </c>
      <c r="M980" s="191" t="inlineStr">
        <is>
          <t>CHECK_VENDOR</t>
        </is>
      </c>
      <c r="N980" s="191" t="inlineStr">
        <is>
          <t>See NVD references</t>
        </is>
      </c>
      <c r="O980" s="191" t="inlineStr">
        <is>
          <t>Apply vendor patches</t>
        </is>
      </c>
      <c r="P980" s="191" t="inlineStr">
        <is>
          <t>See CVE details</t>
        </is>
      </c>
      <c r="Q980" s="191" t="inlineStr">
        <is>
          <t>P4</t>
        </is>
      </c>
      <c r="R980" s="191" t="inlineStr">
        <is>
          <t>📅 Schedule patch deployment within 30 days | 🔍 Monitor for exploitation attempts</t>
        </is>
      </c>
      <c r="S980" s="191" t="inlineStr">
        <is>
          <t>CVE - IP enrichment n/a</t>
        </is>
      </c>
      <c r="T980" s="191" t="n">
        <v>0</v>
      </c>
      <c r="U980" s="191" t="n">
        <v>0</v>
      </c>
      <c r="V980" s="191" t="inlineStr">
        <is>
          <t>T1190:Exploit Public-Facing Application</t>
        </is>
      </c>
      <c r="W980" s="191" t="n">
        <v>1</v>
      </c>
      <c r="X980" s="191" t="inlineStr">
        <is>
          <t>LOW (40%)</t>
        </is>
      </c>
      <c r="Y980" s="191" t="inlineStr">
        <is>
          <t>UNLIKELY</t>
        </is>
      </c>
      <c r="Z980" s="191" t="inlineStr">
        <is>
          <t>CHECK_VENDOR</t>
        </is>
      </c>
      <c r="AA980" s="192" t="inlineStr">
        <is>
          <t>https://nvd.nist.gov/vuln/detail/CVE-2026-22350</t>
        </is>
      </c>
      <c r="AB980" s="191" t="inlineStr">
        <is>
          <t>NONE</t>
        </is>
      </c>
      <c r="AC980" s="191" t="n">
        <v>0</v>
      </c>
      <c r="AD980" s="191" t="n"/>
    </row>
    <row r="981">
      <c r="A981" s="191" t="inlineStr">
        <is>
          <t>CVE</t>
        </is>
      </c>
      <c r="B981" s="191" t="inlineStr">
        <is>
          <t>CVE-2026-22351</t>
        </is>
      </c>
      <c r="C981" s="191" t="inlineStr">
        <is>
          <t>Missing Authorization vulnerability in Marcus (aka @msykes) WP FullCalendar wp-fullcalendar allows Exploiting Incorrectly Configured Access Control Security Levels.This issue affects WP FullCalendar: from n/a through &lt;= 1.6.</t>
        </is>
      </c>
      <c r="D981" s="191" t="n">
        <v>6.5</v>
      </c>
      <c r="E981" s="191" t="inlineStr">
        <is>
          <t>MEDIUM</t>
        </is>
      </c>
      <c r="F981" s="191" t="n">
        <v>2</v>
      </c>
      <c r="G981" s="191" t="n">
        <v>2</v>
      </c>
      <c r="H981" s="191" t="inlineStr">
        <is>
          <t>MEDIUM</t>
        </is>
      </c>
      <c r="I981" s="191" t="n">
        <v>10.5</v>
      </c>
      <c r="J981" s="191" t="inlineStr">
        <is>
          <t>NO</t>
        </is>
      </c>
      <c r="K981" s="192" t="inlineStr">
        <is>
          <t>https://nvd.nist.gov/vuln/detail/CVE-2026-22351</t>
        </is>
      </c>
      <c r="L981" s="191" t="inlineStr">
        <is>
          <t>2026-02-23 23:48</t>
        </is>
      </c>
      <c r="M981" s="191" t="inlineStr">
        <is>
          <t>CHECK_VENDOR</t>
        </is>
      </c>
      <c r="N981" s="191" t="inlineStr">
        <is>
          <t>See NVD references</t>
        </is>
      </c>
      <c r="O981" s="191" t="inlineStr">
        <is>
          <t>Apply vendor patches</t>
        </is>
      </c>
      <c r="P981" s="191" t="inlineStr">
        <is>
          <t>See CVE details</t>
        </is>
      </c>
      <c r="Q981" s="191" t="inlineStr">
        <is>
          <t>P4</t>
        </is>
      </c>
      <c r="R981" s="191" t="inlineStr">
        <is>
          <t>📅 Schedule patch deployment within 30 days | 🔍 Monitor for exploitation attempts</t>
        </is>
      </c>
      <c r="S981" s="191" t="inlineStr">
        <is>
          <t>CVE - IP enrichment n/a</t>
        </is>
      </c>
      <c r="T981" s="191" t="n">
        <v>0</v>
      </c>
      <c r="U981" s="191" t="n">
        <v>0</v>
      </c>
      <c r="V981" s="191" t="inlineStr">
        <is>
          <t>T1190:Exploit Public-Facing Application</t>
        </is>
      </c>
      <c r="W981" s="191" t="n">
        <v>1</v>
      </c>
      <c r="X981" s="191" t="inlineStr">
        <is>
          <t>LOW (40%)</t>
        </is>
      </c>
      <c r="Y981" s="191" t="inlineStr">
        <is>
          <t>UNLIKELY</t>
        </is>
      </c>
      <c r="Z981" s="191" t="inlineStr">
        <is>
          <t>CHECK_VENDOR</t>
        </is>
      </c>
      <c r="AA981" s="192" t="inlineStr">
        <is>
          <t>https://nvd.nist.gov/vuln/detail/CVE-2026-22351</t>
        </is>
      </c>
      <c r="AB981" s="191" t="inlineStr">
        <is>
          <t>NONE</t>
        </is>
      </c>
      <c r="AC981" s="191" t="n">
        <v>0</v>
      </c>
      <c r="AD981" s="191" t="n"/>
    </row>
    <row r="982">
      <c r="A982" s="189" t="inlineStr">
        <is>
          <t>CVE</t>
        </is>
      </c>
      <c r="B982" s="189" t="inlineStr">
        <is>
          <t>CVE-2026-22352</t>
        </is>
      </c>
      <c r="C982" s="189" t="inlineStr">
        <is>
          <t>Improper Neutralization of Input During Web Page Generation ('Cross-site Scripting') vulnerability in PersianScript Persian Woocommerce SMS persian-woocommerce-sms allows Reflected XSS.This issue affects Persian Woocommerce SMS: from n/a through &lt;= 7.1.1.</t>
        </is>
      </c>
      <c r="D982" s="189" t="n">
        <v>8.5</v>
      </c>
      <c r="E982" s="189" t="inlineStr">
        <is>
          <t>HIGH</t>
        </is>
      </c>
      <c r="F982" s="189" t="n">
        <v>2</v>
      </c>
      <c r="G982" s="189" t="n">
        <v>3</v>
      </c>
      <c r="H982" s="189" t="inlineStr">
        <is>
          <t>HIGH</t>
        </is>
      </c>
      <c r="I982" s="189" t="n">
        <v>14.5</v>
      </c>
      <c r="J982" s="189" t="inlineStr">
        <is>
          <t>NO</t>
        </is>
      </c>
      <c r="K982" s="190" t="inlineStr">
        <is>
          <t>https://nvd.nist.gov/vuln/detail/CVE-2026-22352</t>
        </is>
      </c>
      <c r="L982" s="189" t="inlineStr">
        <is>
          <t>2026-02-23 23:48</t>
        </is>
      </c>
      <c r="M982" s="189" t="inlineStr">
        <is>
          <t>CHECK_VENDOR</t>
        </is>
      </c>
      <c r="N982" s="189" t="inlineStr">
        <is>
          <t>See NVD references</t>
        </is>
      </c>
      <c r="O982" s="189" t="inlineStr">
        <is>
          <t>Apply vendor patches</t>
        </is>
      </c>
      <c r="P982" s="189" t="inlineStr">
        <is>
          <t>See CVE details</t>
        </is>
      </c>
      <c r="Q982" s="189" t="inlineStr">
        <is>
          <t>P3</t>
        </is>
      </c>
      <c r="R982" s="189" t="inlineStr">
        <is>
          <t>🚨 URGENT: Apply vendor patches immediately | 🔒 Isolate affected systems if patch unavailable | 🛡️ Enable additional monitoring/IDS rules</t>
        </is>
      </c>
      <c r="S982" s="189" t="inlineStr">
        <is>
          <t>CVE - IP enrichment n/a</t>
        </is>
      </c>
      <c r="T982" s="189" t="n">
        <v>0.0003</v>
      </c>
      <c r="U982" s="189" t="n">
        <v>0.0808</v>
      </c>
      <c r="V982" s="189" t="inlineStr">
        <is>
          <t>T1189:Drive-by Compromise | T1190:Exploit Public-Facing Application</t>
        </is>
      </c>
      <c r="W982" s="189" t="n">
        <v>1</v>
      </c>
      <c r="X982" s="189" t="inlineStr">
        <is>
          <t>LOW (40%)</t>
        </is>
      </c>
      <c r="Y982" s="189" t="inlineStr">
        <is>
          <t>UNLIKELY</t>
        </is>
      </c>
      <c r="Z982" s="189" t="inlineStr">
        <is>
          <t>CHECK_VENDOR</t>
        </is>
      </c>
      <c r="AA982" s="190" t="inlineStr">
        <is>
          <t>https://nvd.nist.gov/vuln/detail/CVE-2026-22352</t>
        </is>
      </c>
      <c r="AB982" s="189" t="inlineStr">
        <is>
          <t>NONE</t>
        </is>
      </c>
      <c r="AC982" s="189" t="n">
        <v>0</v>
      </c>
      <c r="AD982" s="189" t="n"/>
    </row>
    <row r="983">
      <c r="A983" s="189" t="inlineStr">
        <is>
          <t>CVE</t>
        </is>
      </c>
      <c r="B983" s="189" t="inlineStr">
        <is>
          <t>CVE-2026-22354</t>
        </is>
      </c>
      <c r="C983" s="189" t="inlineStr">
        <is>
          <t>Deserialization of Untrusted Data vulnerability in Dotstore Woocommerce Category Banner Management banner-management-for-woocommerce allows Object Injection.This issue affects Woocommerce Category Banner Management: from n/a through &lt;= 2.5.1.</t>
        </is>
      </c>
      <c r="D983" s="189" t="n">
        <v>8.5</v>
      </c>
      <c r="E983" s="189" t="inlineStr">
        <is>
          <t>HIGH</t>
        </is>
      </c>
      <c r="F983" s="189" t="n">
        <v>2</v>
      </c>
      <c r="G983" s="189" t="n">
        <v>3</v>
      </c>
      <c r="H983" s="189" t="inlineStr">
        <is>
          <t>HIGH</t>
        </is>
      </c>
      <c r="I983" s="189" t="n">
        <v>14.5</v>
      </c>
      <c r="J983" s="189" t="inlineStr">
        <is>
          <t>NO</t>
        </is>
      </c>
      <c r="K983" s="190" t="inlineStr">
        <is>
          <t>https://nvd.nist.gov/vuln/detail/CVE-2026-22354</t>
        </is>
      </c>
      <c r="L983" s="189" t="inlineStr">
        <is>
          <t>2026-02-23 23:48</t>
        </is>
      </c>
      <c r="M983" s="189" t="inlineStr">
        <is>
          <t>CHECK_VENDOR</t>
        </is>
      </c>
      <c r="N983" s="189" t="inlineStr">
        <is>
          <t>See NVD references</t>
        </is>
      </c>
      <c r="O983" s="189" t="inlineStr">
        <is>
          <t>Apply vendor patches</t>
        </is>
      </c>
      <c r="P983" s="189" t="inlineStr">
        <is>
          <t>See CVE details</t>
        </is>
      </c>
      <c r="Q983" s="189" t="inlineStr">
        <is>
          <t>P3</t>
        </is>
      </c>
      <c r="R983" s="189" t="inlineStr">
        <is>
          <t>🚨 URGENT: Apply vendor patches immediately | 🔒 Isolate affected systems if patch unavailable | 🛡️ Enable additional monitoring/IDS rules</t>
        </is>
      </c>
      <c r="S983" s="189" t="inlineStr">
        <is>
          <t>CVE - IP enrichment n/a</t>
        </is>
      </c>
      <c r="T983" s="189" t="n">
        <v>0</v>
      </c>
      <c r="U983" s="189" t="n">
        <v>0</v>
      </c>
      <c r="V983" s="189" t="inlineStr">
        <is>
          <t>T1059:Command and Scripting Interpreter | T1190:Exploit Public-Facing Application</t>
        </is>
      </c>
      <c r="W983" s="189" t="n">
        <v>1</v>
      </c>
      <c r="X983" s="189" t="inlineStr">
        <is>
          <t>LOW (40%)</t>
        </is>
      </c>
      <c r="Y983" s="189" t="inlineStr">
        <is>
          <t>UNLIKELY</t>
        </is>
      </c>
      <c r="Z983" s="189" t="inlineStr">
        <is>
          <t>CHECK_VENDOR</t>
        </is>
      </c>
      <c r="AA983" s="190" t="inlineStr">
        <is>
          <t>https://nvd.nist.gov/vuln/detail/CVE-2026-22354</t>
        </is>
      </c>
      <c r="AB983" s="189" t="inlineStr">
        <is>
          <t>NONE</t>
        </is>
      </c>
      <c r="AC983" s="189" t="n">
        <v>0</v>
      </c>
      <c r="AD983" s="189" t="n"/>
    </row>
    <row r="984">
      <c r="A984" s="191" t="inlineStr">
        <is>
          <t>CVE</t>
        </is>
      </c>
      <c r="B984" s="191" t="inlineStr">
        <is>
          <t>CVE-2026-22356</t>
        </is>
      </c>
      <c r="C984" s="191" t="inlineStr">
        <is>
          <t>Improper Control of Filename for Include/Require Statement in PHP Program ('PHP Remote File Inclusion') vulnerability in Automattic Jetpack CRM zero-bs-crm allows PHP Local File Inclusion.This issue affects Jetpack CRM: from n/a through &lt;= 6.7.0.</t>
        </is>
      </c>
      <c r="D984" s="191" t="n">
        <v>5</v>
      </c>
      <c r="E984" s="191" t="inlineStr">
        <is>
          <t>MEDIUM</t>
        </is>
      </c>
      <c r="F984" s="191" t="n">
        <v>2</v>
      </c>
      <c r="G984" s="191" t="n">
        <v>2</v>
      </c>
      <c r="H984" s="191" t="inlineStr">
        <is>
          <t>MEDIUM</t>
        </is>
      </c>
      <c r="I984" s="191" t="n">
        <v>9</v>
      </c>
      <c r="J984" s="191" t="inlineStr">
        <is>
          <t>NO</t>
        </is>
      </c>
      <c r="K984" s="192" t="inlineStr">
        <is>
          <t>https://nvd.nist.gov/vuln/detail/CVE-2026-22356</t>
        </is>
      </c>
      <c r="L984" s="191" t="inlineStr">
        <is>
          <t>2026-02-23 23:48</t>
        </is>
      </c>
      <c r="M984" s="191" t="inlineStr">
        <is>
          <t>CHECK_VENDOR</t>
        </is>
      </c>
      <c r="N984" s="191" t="inlineStr">
        <is>
          <t>See NVD references</t>
        </is>
      </c>
      <c r="O984" s="191" t="inlineStr">
        <is>
          <t>Apply vendor patches</t>
        </is>
      </c>
      <c r="P984" s="191" t="inlineStr">
        <is>
          <t>See CVE details</t>
        </is>
      </c>
      <c r="Q984" s="191" t="inlineStr">
        <is>
          <t>P4</t>
        </is>
      </c>
      <c r="R984" s="191" t="inlineStr">
        <is>
          <t>📅 Schedule patch deployment within 30 days | 🔍 Monitor for exploitation attempts</t>
        </is>
      </c>
      <c r="S984" s="191" t="inlineStr">
        <is>
          <t>CVE - IP enrichment n/a</t>
        </is>
      </c>
      <c r="T984" s="191" t="n">
        <v>0.0005</v>
      </c>
      <c r="U984" s="191" t="n">
        <v>0.1673</v>
      </c>
      <c r="V984" s="191" t="inlineStr">
        <is>
          <t>T1190:Exploit Public-Facing Application</t>
        </is>
      </c>
      <c r="W984" s="191" t="n">
        <v>1</v>
      </c>
      <c r="X984" s="191" t="inlineStr">
        <is>
          <t>LOW (40%)</t>
        </is>
      </c>
      <c r="Y984" s="191" t="inlineStr">
        <is>
          <t>UNLIKELY</t>
        </is>
      </c>
      <c r="Z984" s="191" t="inlineStr">
        <is>
          <t>CHECK_VENDOR</t>
        </is>
      </c>
      <c r="AA984" s="192" t="inlineStr">
        <is>
          <t>https://nvd.nist.gov/vuln/detail/CVE-2026-22356</t>
        </is>
      </c>
      <c r="AB984" s="191" t="inlineStr">
        <is>
          <t>NONE</t>
        </is>
      </c>
      <c r="AC984" s="191" t="n">
        <v>0</v>
      </c>
      <c r="AD984" s="191" t="n"/>
    </row>
    <row r="985">
      <c r="A985" s="189" t="inlineStr">
        <is>
          <t>CVE</t>
        </is>
      </c>
      <c r="B985" s="189" t="inlineStr">
        <is>
          <t>CVE-2026-22357</t>
        </is>
      </c>
      <c r="C985" s="189" t="inlineStr">
        <is>
          <t>Improper Neutralization of Input During Web Page Generation ('Cross-site Scripting') vulnerability in Spencer Haws Link Whisper Free link-whisper allows Reflected XSS.This issue affects Link Whisper Free: from n/a through &lt;= 0.9.0.</t>
        </is>
      </c>
      <c r="D985" s="189" t="n">
        <v>7.1</v>
      </c>
      <c r="E985" s="189" t="inlineStr">
        <is>
          <t>HIGH</t>
        </is>
      </c>
      <c r="F985" s="189" t="n">
        <v>2</v>
      </c>
      <c r="G985" s="189" t="n">
        <v>3</v>
      </c>
      <c r="H985" s="189" t="inlineStr">
        <is>
          <t>HIGH</t>
        </is>
      </c>
      <c r="I985" s="189" t="n">
        <v>13.1</v>
      </c>
      <c r="J985" s="189" t="inlineStr">
        <is>
          <t>NO</t>
        </is>
      </c>
      <c r="K985" s="190" t="inlineStr">
        <is>
          <t>https://nvd.nist.gov/vuln/detail/CVE-2026-22357</t>
        </is>
      </c>
      <c r="L985" s="189" t="inlineStr">
        <is>
          <t>2026-02-23 23:48</t>
        </is>
      </c>
      <c r="M985" s="189" t="inlineStr">
        <is>
          <t>CHECK_VENDOR</t>
        </is>
      </c>
      <c r="N985" s="189" t="inlineStr">
        <is>
          <t>See NVD references</t>
        </is>
      </c>
      <c r="O985" s="189" t="inlineStr">
        <is>
          <t>Apply vendor patches</t>
        </is>
      </c>
      <c r="P985" s="189" t="inlineStr">
        <is>
          <t>See CVE details</t>
        </is>
      </c>
      <c r="Q985" s="189" t="inlineStr">
        <is>
          <t>P3</t>
        </is>
      </c>
      <c r="R985" s="189" t="inlineStr">
        <is>
          <t>🚨 URGENT: Apply vendor patches immediately | 🔒 Isolate affected systems if patch unavailable | 🛡️ Enable additional monitoring/IDS rules</t>
        </is>
      </c>
      <c r="S985" s="189" t="inlineStr">
        <is>
          <t>CVE - IP enrichment n/a</t>
        </is>
      </c>
      <c r="T985" s="189" t="n">
        <v>0.0003</v>
      </c>
      <c r="U985" s="189" t="n">
        <v>0.0808</v>
      </c>
      <c r="V985" s="189" t="inlineStr">
        <is>
          <t>T1189:Drive-by Compromise</t>
        </is>
      </c>
      <c r="W985" s="189" t="n">
        <v>1</v>
      </c>
      <c r="X985" s="189" t="inlineStr">
        <is>
          <t>LOW (40%)</t>
        </is>
      </c>
      <c r="Y985" s="189" t="inlineStr">
        <is>
          <t>UNLIKELY</t>
        </is>
      </c>
      <c r="Z985" s="189" t="inlineStr">
        <is>
          <t>CHECK_VENDOR</t>
        </is>
      </c>
      <c r="AA985" s="190" t="inlineStr">
        <is>
          <t>https://nvd.nist.gov/vuln/detail/CVE-2026-22357</t>
        </is>
      </c>
      <c r="AB985" s="189" t="inlineStr">
        <is>
          <t>NONE</t>
        </is>
      </c>
      <c r="AC985" s="189" t="n">
        <v>0</v>
      </c>
      <c r="AD985" s="189" t="n"/>
    </row>
    <row r="986">
      <c r="A986" s="191" t="inlineStr">
        <is>
          <t>CVE</t>
        </is>
      </c>
      <c r="B986" s="191" t="inlineStr">
        <is>
          <t>CVE-2026-22361</t>
        </is>
      </c>
      <c r="C986" s="191" t="inlineStr">
        <is>
          <t>Improper Control of Filename for Include/Require Statement in PHP Program ('PHP Remote File Inclusion') vulnerability in axiomthemes A-Mart a-mart allows PHP Local File Inclusion.This issue affects A-Mart: from n/a through &lt;= 1.0.2.</t>
        </is>
      </c>
      <c r="D986" s="191" t="n">
        <v>5</v>
      </c>
      <c r="E986" s="191" t="inlineStr">
        <is>
          <t>MEDIUM</t>
        </is>
      </c>
      <c r="F986" s="191" t="n">
        <v>2</v>
      </c>
      <c r="G986" s="191" t="n">
        <v>2</v>
      </c>
      <c r="H986" s="191" t="inlineStr">
        <is>
          <t>MEDIUM</t>
        </is>
      </c>
      <c r="I986" s="191" t="n">
        <v>9</v>
      </c>
      <c r="J986" s="191" t="inlineStr">
        <is>
          <t>NO</t>
        </is>
      </c>
      <c r="K986" s="192" t="inlineStr">
        <is>
          <t>https://nvd.nist.gov/vuln/detail/CVE-2026-22361</t>
        </is>
      </c>
      <c r="L986" s="191" t="inlineStr">
        <is>
          <t>2026-02-23 23:48</t>
        </is>
      </c>
      <c r="M986" s="191" t="inlineStr">
        <is>
          <t>CHECK_VENDOR</t>
        </is>
      </c>
      <c r="N986" s="191" t="inlineStr">
        <is>
          <t>See NVD references</t>
        </is>
      </c>
      <c r="O986" s="191" t="inlineStr">
        <is>
          <t>Apply vendor patches</t>
        </is>
      </c>
      <c r="P986" s="191" t="inlineStr">
        <is>
          <t>See CVE details</t>
        </is>
      </c>
      <c r="Q986" s="191" t="inlineStr">
        <is>
          <t>P4</t>
        </is>
      </c>
      <c r="R986" s="191" t="inlineStr">
        <is>
          <t>📅 Schedule patch deployment within 30 days | 🔍 Monitor for exploitation attempts</t>
        </is>
      </c>
      <c r="S986" s="191" t="inlineStr">
        <is>
          <t>CVE - IP enrichment n/a</t>
        </is>
      </c>
      <c r="T986" s="191" t="n">
        <v>0</v>
      </c>
      <c r="U986" s="191" t="n">
        <v>0</v>
      </c>
      <c r="V986" s="191" t="inlineStr">
        <is>
          <t>T1190:Exploit Public-Facing Application</t>
        </is>
      </c>
      <c r="W986" s="191" t="n">
        <v>1</v>
      </c>
      <c r="X986" s="191" t="inlineStr">
        <is>
          <t>LOW (40%)</t>
        </is>
      </c>
      <c r="Y986" s="191" t="inlineStr">
        <is>
          <t>UNLIKELY</t>
        </is>
      </c>
      <c r="Z986" s="191" t="inlineStr">
        <is>
          <t>CHECK_VENDOR</t>
        </is>
      </c>
      <c r="AA986" s="192" t="inlineStr">
        <is>
          <t>https://nvd.nist.gov/vuln/detail/CVE-2026-22361</t>
        </is>
      </c>
      <c r="AB986" s="191" t="inlineStr">
        <is>
          <t>NONE</t>
        </is>
      </c>
      <c r="AC986" s="191" t="n">
        <v>0</v>
      </c>
      <c r="AD986" s="191" t="n"/>
    </row>
    <row r="987">
      <c r="A987" s="189" t="inlineStr">
        <is>
          <t>CVE</t>
        </is>
      </c>
      <c r="B987" s="189" t="inlineStr">
        <is>
          <t>CVE-2026-22362</t>
        </is>
      </c>
      <c r="C987" s="189" t="inlineStr">
        <is>
          <t>Improper Control of Filename for Include/Require Statement in PHP Program ('PHP Remote File Inclusion') vulnerability in axiomthemes Photolia photolia allows PHP Local File Inclusion.This issue affects Photolia: from n/a through &lt;= 1.0.3.</t>
        </is>
      </c>
      <c r="D987" s="189" t="n">
        <v>8.1</v>
      </c>
      <c r="E987" s="189" t="inlineStr">
        <is>
          <t>HIGH</t>
        </is>
      </c>
      <c r="F987" s="189" t="n">
        <v>2</v>
      </c>
      <c r="G987" s="189" t="n">
        <v>3</v>
      </c>
      <c r="H987" s="189" t="inlineStr">
        <is>
          <t>HIGH</t>
        </is>
      </c>
      <c r="I987" s="189" t="n">
        <v>14.1</v>
      </c>
      <c r="J987" s="189" t="inlineStr">
        <is>
          <t>NO</t>
        </is>
      </c>
      <c r="K987" s="190" t="inlineStr">
        <is>
          <t>https://nvd.nist.gov/vuln/detail/CVE-2026-22362</t>
        </is>
      </c>
      <c r="L987" s="189" t="inlineStr">
        <is>
          <t>2026-02-23 23:48</t>
        </is>
      </c>
      <c r="M987" s="189" t="inlineStr">
        <is>
          <t>CHECK_VENDOR</t>
        </is>
      </c>
      <c r="N987" s="189" t="inlineStr">
        <is>
          <t>See NVD references</t>
        </is>
      </c>
      <c r="O987" s="189" t="inlineStr">
        <is>
          <t>Apply vendor patches</t>
        </is>
      </c>
      <c r="P987" s="189" t="inlineStr">
        <is>
          <t>See CVE details</t>
        </is>
      </c>
      <c r="Q987" s="189" t="inlineStr">
        <is>
          <t>P3</t>
        </is>
      </c>
      <c r="R987" s="189" t="inlineStr">
        <is>
          <t>🚨 URGENT: Apply vendor patches immediately | 🔒 Isolate affected systems if patch unavailable | 🛡️ Enable additional monitoring/IDS rules</t>
        </is>
      </c>
      <c r="S987" s="189" t="inlineStr">
        <is>
          <t>CVE - IP enrichment n/a</t>
        </is>
      </c>
      <c r="T987" s="189" t="n">
        <v>0</v>
      </c>
      <c r="U987" s="189" t="n">
        <v>0</v>
      </c>
      <c r="V987" s="189" t="inlineStr">
        <is>
          <t>T1190:Exploit Public-Facing Application</t>
        </is>
      </c>
      <c r="W987" s="189" t="n">
        <v>1</v>
      </c>
      <c r="X987" s="189" t="inlineStr">
        <is>
          <t>LOW (40%)</t>
        </is>
      </c>
      <c r="Y987" s="189" t="inlineStr">
        <is>
          <t>UNLIKELY</t>
        </is>
      </c>
      <c r="Z987" s="189" t="inlineStr">
        <is>
          <t>CHECK_VENDOR</t>
        </is>
      </c>
      <c r="AA987" s="190" t="inlineStr">
        <is>
          <t>https://nvd.nist.gov/vuln/detail/CVE-2026-22362</t>
        </is>
      </c>
      <c r="AB987" s="189" t="inlineStr">
        <is>
          <t>NONE</t>
        </is>
      </c>
      <c r="AC987" s="189" t="n">
        <v>0</v>
      </c>
      <c r="AD987" s="189" t="n"/>
    </row>
    <row r="988">
      <c r="A988" s="191" t="inlineStr">
        <is>
          <t>CVE</t>
        </is>
      </c>
      <c r="B988" s="191" t="inlineStr">
        <is>
          <t>CVE-2026-22363</t>
        </is>
      </c>
      <c r="C988" s="191" t="inlineStr">
        <is>
          <t>Improper Control of Filename for Include/Require Statement in PHP Program ('PHP Remote File Inclusion') vulnerability in axiomthemes Rhodos rhodos allows PHP Local File Inclusion.This issue affects Rhodos: from n/a through &lt;= 1.3.3.</t>
        </is>
      </c>
      <c r="D988" s="191" t="n">
        <v>5</v>
      </c>
      <c r="E988" s="191" t="inlineStr">
        <is>
          <t>MEDIUM</t>
        </is>
      </c>
      <c r="F988" s="191" t="n">
        <v>2</v>
      </c>
      <c r="G988" s="191" t="n">
        <v>2</v>
      </c>
      <c r="H988" s="191" t="inlineStr">
        <is>
          <t>MEDIUM</t>
        </is>
      </c>
      <c r="I988" s="191" t="n">
        <v>9</v>
      </c>
      <c r="J988" s="191" t="inlineStr">
        <is>
          <t>NO</t>
        </is>
      </c>
      <c r="K988" s="192" t="inlineStr">
        <is>
          <t>https://nvd.nist.gov/vuln/detail/CVE-2026-22363</t>
        </is>
      </c>
      <c r="L988" s="191" t="inlineStr">
        <is>
          <t>2026-02-23 23:48</t>
        </is>
      </c>
      <c r="M988" s="191" t="inlineStr">
        <is>
          <t>CHECK_VENDOR</t>
        </is>
      </c>
      <c r="N988" s="191" t="inlineStr">
        <is>
          <t>See NVD references</t>
        </is>
      </c>
      <c r="O988" s="191" t="inlineStr">
        <is>
          <t>Apply vendor patches</t>
        </is>
      </c>
      <c r="P988" s="191" t="inlineStr">
        <is>
          <t>See CVE details</t>
        </is>
      </c>
      <c r="Q988" s="191" t="inlineStr">
        <is>
          <t>P4</t>
        </is>
      </c>
      <c r="R988" s="191" t="inlineStr">
        <is>
          <t>📅 Schedule patch deployment within 30 days | 🔍 Monitor for exploitation attempts</t>
        </is>
      </c>
      <c r="S988" s="191" t="inlineStr">
        <is>
          <t>CVE - IP enrichment n/a</t>
        </is>
      </c>
      <c r="T988" s="191" t="n">
        <v>0</v>
      </c>
      <c r="U988" s="191" t="n">
        <v>0</v>
      </c>
      <c r="V988" s="191" t="inlineStr">
        <is>
          <t>T1190:Exploit Public-Facing Application</t>
        </is>
      </c>
      <c r="W988" s="191" t="n">
        <v>1</v>
      </c>
      <c r="X988" s="191" t="inlineStr">
        <is>
          <t>LOW (40%)</t>
        </is>
      </c>
      <c r="Y988" s="191" t="inlineStr">
        <is>
          <t>UNLIKELY</t>
        </is>
      </c>
      <c r="Z988" s="191" t="inlineStr">
        <is>
          <t>CHECK_VENDOR</t>
        </is>
      </c>
      <c r="AA988" s="192" t="inlineStr">
        <is>
          <t>https://nvd.nist.gov/vuln/detail/CVE-2026-22363</t>
        </is>
      </c>
      <c r="AB988" s="191" t="inlineStr">
        <is>
          <t>NONE</t>
        </is>
      </c>
      <c r="AC988" s="191" t="n">
        <v>0</v>
      </c>
      <c r="AD988" s="191" t="n"/>
    </row>
    <row r="989">
      <c r="A989" s="189" t="inlineStr">
        <is>
          <t>CVE</t>
        </is>
      </c>
      <c r="B989" s="189" t="inlineStr">
        <is>
          <t>CVE-2026-22364</t>
        </is>
      </c>
      <c r="C989" s="189" t="inlineStr">
        <is>
          <t>Improper Control of Filename for Include/Require Statement in PHP Program ('PHP Remote File Inclusion') vulnerability in axiomthemes SevenTrees seventrees allows PHP Local File Inclusion.This issue affects SevenTrees: from n/a through &lt;=1.0.2.</t>
        </is>
      </c>
      <c r="D989" s="189" t="n">
        <v>8.1</v>
      </c>
      <c r="E989" s="189" t="inlineStr">
        <is>
          <t>HIGH</t>
        </is>
      </c>
      <c r="F989" s="189" t="n">
        <v>2</v>
      </c>
      <c r="G989" s="189" t="n">
        <v>3</v>
      </c>
      <c r="H989" s="189" t="inlineStr">
        <is>
          <t>HIGH</t>
        </is>
      </c>
      <c r="I989" s="189" t="n">
        <v>14.1</v>
      </c>
      <c r="J989" s="189" t="inlineStr">
        <is>
          <t>NO</t>
        </is>
      </c>
      <c r="K989" s="190" t="inlineStr">
        <is>
          <t>https://nvd.nist.gov/vuln/detail/CVE-2026-22364</t>
        </is>
      </c>
      <c r="L989" s="189" t="inlineStr">
        <is>
          <t>2026-02-23 23:48</t>
        </is>
      </c>
      <c r="M989" s="189" t="inlineStr">
        <is>
          <t>CHECK_VENDOR</t>
        </is>
      </c>
      <c r="N989" s="189" t="inlineStr">
        <is>
          <t>See NVD references</t>
        </is>
      </c>
      <c r="O989" s="189" t="inlineStr">
        <is>
          <t>Apply vendor patches</t>
        </is>
      </c>
      <c r="P989" s="189" t="inlineStr">
        <is>
          <t>See CVE details</t>
        </is>
      </c>
      <c r="Q989" s="189" t="inlineStr">
        <is>
          <t>P3</t>
        </is>
      </c>
      <c r="R989" s="189" t="inlineStr">
        <is>
          <t>🚨 URGENT: Apply vendor patches immediately | 🔒 Isolate affected systems if patch unavailable | 🛡️ Enable additional monitoring/IDS rules</t>
        </is>
      </c>
      <c r="S989" s="189" t="inlineStr">
        <is>
          <t>CVE - IP enrichment n/a</t>
        </is>
      </c>
      <c r="T989" s="189" t="n">
        <v>0.0011</v>
      </c>
      <c r="U989" s="189" t="n">
        <v>0.3027</v>
      </c>
      <c r="V989" s="189" t="inlineStr">
        <is>
          <t>T1190:Exploit Public-Facing Application</t>
        </is>
      </c>
      <c r="W989" s="189" t="n">
        <v>1</v>
      </c>
      <c r="X989" s="189" t="inlineStr">
        <is>
          <t>LOW (40%)</t>
        </is>
      </c>
      <c r="Y989" s="189" t="inlineStr">
        <is>
          <t>UNLIKELY</t>
        </is>
      </c>
      <c r="Z989" s="189" t="inlineStr">
        <is>
          <t>CHECK_VENDOR</t>
        </is>
      </c>
      <c r="AA989" s="190" t="inlineStr">
        <is>
          <t>https://nvd.nist.gov/vuln/detail/CVE-2026-22364</t>
        </is>
      </c>
      <c r="AB989" s="189" t="inlineStr">
        <is>
          <t>NONE</t>
        </is>
      </c>
      <c r="AC989" s="189" t="n">
        <v>0</v>
      </c>
      <c r="AD989" s="189" t="n"/>
    </row>
    <row r="990">
      <c r="A990" s="191" t="inlineStr">
        <is>
          <t>CVE</t>
        </is>
      </c>
      <c r="B990" s="191" t="inlineStr">
        <is>
          <t>CVE-2026-22365</t>
        </is>
      </c>
      <c r="C990" s="191" t="inlineStr">
        <is>
          <t>Improper Control of Filename for Include/Require Statement in PHP Program ('PHP Remote File Inclusion') vulnerability in axiomthemes Soleng soleng allows PHP Local File Inclusion.This issue affects Soleng: from n/a through &lt;= 1.0.5.</t>
        </is>
      </c>
      <c r="D990" s="191" t="n">
        <v>5</v>
      </c>
      <c r="E990" s="191" t="inlineStr">
        <is>
          <t>MEDIUM</t>
        </is>
      </c>
      <c r="F990" s="191" t="n">
        <v>2</v>
      </c>
      <c r="G990" s="191" t="n">
        <v>2</v>
      </c>
      <c r="H990" s="191" t="inlineStr">
        <is>
          <t>MEDIUM</t>
        </is>
      </c>
      <c r="I990" s="191" t="n">
        <v>9</v>
      </c>
      <c r="J990" s="191" t="inlineStr">
        <is>
          <t>NO</t>
        </is>
      </c>
      <c r="K990" s="192" t="inlineStr">
        <is>
          <t>https://nvd.nist.gov/vuln/detail/CVE-2026-22365</t>
        </is>
      </c>
      <c r="L990" s="191" t="inlineStr">
        <is>
          <t>2026-02-23 23:48</t>
        </is>
      </c>
      <c r="M990" s="191" t="inlineStr">
        <is>
          <t>CHECK_VENDOR</t>
        </is>
      </c>
      <c r="N990" s="191" t="inlineStr">
        <is>
          <t>See NVD references</t>
        </is>
      </c>
      <c r="O990" s="191" t="inlineStr">
        <is>
          <t>Apply vendor patches</t>
        </is>
      </c>
      <c r="P990" s="191" t="inlineStr">
        <is>
          <t>See CVE details</t>
        </is>
      </c>
      <c r="Q990" s="191" t="inlineStr">
        <is>
          <t>P4</t>
        </is>
      </c>
      <c r="R990" s="191" t="inlineStr">
        <is>
          <t>📅 Schedule patch deployment within 30 days | 🔍 Monitor for exploitation attempts</t>
        </is>
      </c>
      <c r="S990" s="191" t="inlineStr">
        <is>
          <t>CVE - IP enrichment n/a</t>
        </is>
      </c>
      <c r="T990" s="191" t="n">
        <v>0</v>
      </c>
      <c r="U990" s="191" t="n">
        <v>0</v>
      </c>
      <c r="V990" s="191" t="inlineStr">
        <is>
          <t>T1190:Exploit Public-Facing Application</t>
        </is>
      </c>
      <c r="W990" s="191" t="n">
        <v>1</v>
      </c>
      <c r="X990" s="191" t="inlineStr">
        <is>
          <t>LOW (40%)</t>
        </is>
      </c>
      <c r="Y990" s="191" t="inlineStr">
        <is>
          <t>UNLIKELY</t>
        </is>
      </c>
      <c r="Z990" s="191" t="inlineStr">
        <is>
          <t>CHECK_VENDOR</t>
        </is>
      </c>
      <c r="AA990" s="192" t="inlineStr">
        <is>
          <t>https://nvd.nist.gov/vuln/detail/CVE-2026-22365</t>
        </is>
      </c>
      <c r="AB990" s="191" t="inlineStr">
        <is>
          <t>NONE</t>
        </is>
      </c>
      <c r="AC990" s="191" t="n">
        <v>0</v>
      </c>
      <c r="AD990" s="191" t="n"/>
    </row>
    <row r="991">
      <c r="A991" s="189" t="inlineStr">
        <is>
          <t>CVE</t>
        </is>
      </c>
      <c r="B991" s="189" t="inlineStr">
        <is>
          <t>CVE-2026-22366</t>
        </is>
      </c>
      <c r="C991" s="189" t="inlineStr">
        <is>
          <t>Improper Control of Filename for Include/Require Statement in PHP Program ('PHP Remote File Inclusion') vulnerability in axiomthemes Jude jude allows PHP Local File Inclusion.This issue affects Jude: from n/a through &lt;= 1.3.0.</t>
        </is>
      </c>
      <c r="D991" s="189" t="n">
        <v>8.1</v>
      </c>
      <c r="E991" s="189" t="inlineStr">
        <is>
          <t>HIGH</t>
        </is>
      </c>
      <c r="F991" s="189" t="n">
        <v>2</v>
      </c>
      <c r="G991" s="189" t="n">
        <v>3</v>
      </c>
      <c r="H991" s="189" t="inlineStr">
        <is>
          <t>HIGH</t>
        </is>
      </c>
      <c r="I991" s="189" t="n">
        <v>14.1</v>
      </c>
      <c r="J991" s="189" t="inlineStr">
        <is>
          <t>NO</t>
        </is>
      </c>
      <c r="K991" s="190" t="inlineStr">
        <is>
          <t>https://nvd.nist.gov/vuln/detail/CVE-2026-22366</t>
        </is>
      </c>
      <c r="L991" s="189" t="inlineStr">
        <is>
          <t>2026-02-23 23:48</t>
        </is>
      </c>
      <c r="M991" s="189" t="inlineStr">
        <is>
          <t>CHECK_VENDOR</t>
        </is>
      </c>
      <c r="N991" s="189" t="inlineStr">
        <is>
          <t>See NVD references</t>
        </is>
      </c>
      <c r="O991" s="189" t="inlineStr">
        <is>
          <t>Apply vendor patches</t>
        </is>
      </c>
      <c r="P991" s="189" t="inlineStr">
        <is>
          <t>See CVE details</t>
        </is>
      </c>
      <c r="Q991" s="189" t="inlineStr">
        <is>
          <t>P3</t>
        </is>
      </c>
      <c r="R991" s="189" t="inlineStr">
        <is>
          <t>🚨 URGENT: Apply vendor patches immediately | 🔒 Isolate affected systems if patch unavailable | 🛡️ Enable additional monitoring/IDS rules</t>
        </is>
      </c>
      <c r="S991" s="189" t="inlineStr">
        <is>
          <t>CVE - IP enrichment n/a</t>
        </is>
      </c>
      <c r="T991" s="189" t="n">
        <v>0.0011</v>
      </c>
      <c r="U991" s="189" t="n">
        <v>0.3027</v>
      </c>
      <c r="V991" s="189" t="inlineStr">
        <is>
          <t>T1190:Exploit Public-Facing Application</t>
        </is>
      </c>
      <c r="W991" s="189" t="n">
        <v>1</v>
      </c>
      <c r="X991" s="189" t="inlineStr">
        <is>
          <t>LOW (40%)</t>
        </is>
      </c>
      <c r="Y991" s="189" t="inlineStr">
        <is>
          <t>UNLIKELY</t>
        </is>
      </c>
      <c r="Z991" s="189" t="inlineStr">
        <is>
          <t>CHECK_VENDOR</t>
        </is>
      </c>
      <c r="AA991" s="190" t="inlineStr">
        <is>
          <t>https://nvd.nist.gov/vuln/detail/CVE-2026-22366</t>
        </is>
      </c>
      <c r="AB991" s="189" t="inlineStr">
        <is>
          <t>NONE</t>
        </is>
      </c>
      <c r="AC991" s="189" t="n">
        <v>0</v>
      </c>
      <c r="AD991" s="189" t="n"/>
    </row>
    <row r="992">
      <c r="A992" s="191" t="inlineStr">
        <is>
          <t>CVE</t>
        </is>
      </c>
      <c r="B992" s="191" t="inlineStr">
        <is>
          <t>CVE-2026-22367</t>
        </is>
      </c>
      <c r="C992" s="191" t="inlineStr">
        <is>
          <t>Improper Control of Filename for Include/Require Statement in PHP Program ('PHP Remote File Inclusion') vulnerability in AncoraThemes Coworking coworking allows PHP Local File Inclusion.This issue affects Coworking: from n/a through &lt;= 1.6.1.</t>
        </is>
      </c>
      <c r="D992" s="191" t="n">
        <v>5</v>
      </c>
      <c r="E992" s="191" t="inlineStr">
        <is>
          <t>MEDIUM</t>
        </is>
      </c>
      <c r="F992" s="191" t="n">
        <v>2</v>
      </c>
      <c r="G992" s="191" t="n">
        <v>2</v>
      </c>
      <c r="H992" s="191" t="inlineStr">
        <is>
          <t>MEDIUM</t>
        </is>
      </c>
      <c r="I992" s="191" t="n">
        <v>9</v>
      </c>
      <c r="J992" s="191" t="inlineStr">
        <is>
          <t>NO</t>
        </is>
      </c>
      <c r="K992" s="192" t="inlineStr">
        <is>
          <t>https://nvd.nist.gov/vuln/detail/CVE-2026-22367</t>
        </is>
      </c>
      <c r="L992" s="191" t="inlineStr">
        <is>
          <t>2026-02-23 23:48</t>
        </is>
      </c>
      <c r="M992" s="191" t="inlineStr">
        <is>
          <t>CHECK_VENDOR</t>
        </is>
      </c>
      <c r="N992" s="191" t="inlineStr">
        <is>
          <t>See NVD references</t>
        </is>
      </c>
      <c r="O992" s="191" t="inlineStr">
        <is>
          <t>Apply vendor patches</t>
        </is>
      </c>
      <c r="P992" s="191" t="inlineStr">
        <is>
          <t>See CVE details</t>
        </is>
      </c>
      <c r="Q992" s="191" t="inlineStr">
        <is>
          <t>P4</t>
        </is>
      </c>
      <c r="R992" s="191" t="inlineStr">
        <is>
          <t>📅 Schedule patch deployment within 30 days | 🔍 Monitor for exploitation attempts</t>
        </is>
      </c>
      <c r="S992" s="191" t="inlineStr">
        <is>
          <t>CVE - IP enrichment n/a</t>
        </is>
      </c>
      <c r="T992" s="191" t="n">
        <v>0</v>
      </c>
      <c r="U992" s="191" t="n">
        <v>0</v>
      </c>
      <c r="V992" s="191" t="inlineStr">
        <is>
          <t>T1190:Exploit Public-Facing Application</t>
        </is>
      </c>
      <c r="W992" s="191" t="n">
        <v>1</v>
      </c>
      <c r="X992" s="191" t="inlineStr">
        <is>
          <t>LOW (40%)</t>
        </is>
      </c>
      <c r="Y992" s="191" t="inlineStr">
        <is>
          <t>UNLIKELY</t>
        </is>
      </c>
      <c r="Z992" s="191" t="inlineStr">
        <is>
          <t>CHECK_VENDOR</t>
        </is>
      </c>
      <c r="AA992" s="192" t="inlineStr">
        <is>
          <t>https://nvd.nist.gov/vuln/detail/CVE-2026-22367</t>
        </is>
      </c>
      <c r="AB992" s="191" t="inlineStr">
        <is>
          <t>NONE</t>
        </is>
      </c>
      <c r="AC992" s="191" t="n">
        <v>0</v>
      </c>
      <c r="AD992" s="191" t="n"/>
    </row>
    <row r="993">
      <c r="A993" s="189" t="inlineStr">
        <is>
          <t>CVE</t>
        </is>
      </c>
      <c r="B993" s="189" t="inlineStr">
        <is>
          <t>CVE-2026-22368</t>
        </is>
      </c>
      <c r="C993" s="189" t="inlineStr">
        <is>
          <t>Improper Control of Filename for Include/Require Statement in PHP Program ('PHP Remote File Inclusion') vulnerability in axiomthemes Redy redy allows PHP Local File Inclusion.This issue affects Redy: from n/a through &lt;= 1.0.2.</t>
        </is>
      </c>
      <c r="D993" s="189" t="n">
        <v>8.1</v>
      </c>
      <c r="E993" s="189" t="inlineStr">
        <is>
          <t>HIGH</t>
        </is>
      </c>
      <c r="F993" s="189" t="n">
        <v>2</v>
      </c>
      <c r="G993" s="189" t="n">
        <v>3</v>
      </c>
      <c r="H993" s="189" t="inlineStr">
        <is>
          <t>HIGH</t>
        </is>
      </c>
      <c r="I993" s="189" t="n">
        <v>14.1</v>
      </c>
      <c r="J993" s="189" t="inlineStr">
        <is>
          <t>NO</t>
        </is>
      </c>
      <c r="K993" s="190" t="inlineStr">
        <is>
          <t>https://nvd.nist.gov/vuln/detail/CVE-2026-22368</t>
        </is>
      </c>
      <c r="L993" s="189" t="inlineStr">
        <is>
          <t>2026-02-23 23:48</t>
        </is>
      </c>
      <c r="M993" s="189" t="inlineStr">
        <is>
          <t>CHECK_VENDOR</t>
        </is>
      </c>
      <c r="N993" s="189" t="inlineStr">
        <is>
          <t>See NVD references</t>
        </is>
      </c>
      <c r="O993" s="189" t="inlineStr">
        <is>
          <t>Apply vendor patches</t>
        </is>
      </c>
      <c r="P993" s="189" t="inlineStr">
        <is>
          <t>See CVE details</t>
        </is>
      </c>
      <c r="Q993" s="189" t="inlineStr">
        <is>
          <t>P3</t>
        </is>
      </c>
      <c r="R993" s="189" t="inlineStr">
        <is>
          <t>🚨 URGENT: Apply vendor patches immediately | 🔒 Isolate affected systems if patch unavailable | 🛡️ Enable additional monitoring/IDS rules</t>
        </is>
      </c>
      <c r="S993" s="189" t="inlineStr">
        <is>
          <t>CVE - IP enrichment n/a</t>
        </is>
      </c>
      <c r="T993" s="189" t="n">
        <v>0</v>
      </c>
      <c r="U993" s="189" t="n">
        <v>0</v>
      </c>
      <c r="V993" s="189" t="inlineStr">
        <is>
          <t>T1190:Exploit Public-Facing Application</t>
        </is>
      </c>
      <c r="W993" s="189" t="n">
        <v>1</v>
      </c>
      <c r="X993" s="189" t="inlineStr">
        <is>
          <t>LOW (40%)</t>
        </is>
      </c>
      <c r="Y993" s="189" t="inlineStr">
        <is>
          <t>UNLIKELY</t>
        </is>
      </c>
      <c r="Z993" s="189" t="inlineStr">
        <is>
          <t>CHECK_VENDOR</t>
        </is>
      </c>
      <c r="AA993" s="190" t="inlineStr">
        <is>
          <t>https://nvd.nist.gov/vuln/detail/CVE-2026-22368</t>
        </is>
      </c>
      <c r="AB993" s="189" t="inlineStr">
        <is>
          <t>NONE</t>
        </is>
      </c>
      <c r="AC993" s="189" t="n">
        <v>0</v>
      </c>
      <c r="AD993" s="189" t="n"/>
    </row>
    <row r="994">
      <c r="A994" s="191" t="inlineStr">
        <is>
          <t>CVE</t>
        </is>
      </c>
      <c r="B994" s="191" t="inlineStr">
        <is>
          <t>CVE-2026-22369</t>
        </is>
      </c>
      <c r="C994" s="191" t="inlineStr">
        <is>
          <t>Improper Control of Filename for Include/Require Statement in PHP Program ('PHP Remote File Inclusion') vulnerability in AncoraThemes Ironfit ironfit allows PHP Local File Inclusion.This issue affects Ironfit: from n/a through &lt;= 1.5.</t>
        </is>
      </c>
      <c r="D994" s="191" t="n">
        <v>5</v>
      </c>
      <c r="E994" s="191" t="inlineStr">
        <is>
          <t>MEDIUM</t>
        </is>
      </c>
      <c r="F994" s="191" t="n">
        <v>2</v>
      </c>
      <c r="G994" s="191" t="n">
        <v>2</v>
      </c>
      <c r="H994" s="191" t="inlineStr">
        <is>
          <t>MEDIUM</t>
        </is>
      </c>
      <c r="I994" s="191" t="n">
        <v>9</v>
      </c>
      <c r="J994" s="191" t="inlineStr">
        <is>
          <t>NO</t>
        </is>
      </c>
      <c r="K994" s="192" t="inlineStr">
        <is>
          <t>https://nvd.nist.gov/vuln/detail/CVE-2026-22369</t>
        </is>
      </c>
      <c r="L994" s="191" t="inlineStr">
        <is>
          <t>2026-02-23 23:48</t>
        </is>
      </c>
      <c r="M994" s="191" t="inlineStr">
        <is>
          <t>CHECK_VENDOR</t>
        </is>
      </c>
      <c r="N994" s="191" t="inlineStr">
        <is>
          <t>See NVD references</t>
        </is>
      </c>
      <c r="O994" s="191" t="inlineStr">
        <is>
          <t>Apply vendor patches</t>
        </is>
      </c>
      <c r="P994" s="191" t="inlineStr">
        <is>
          <t>See CVE details</t>
        </is>
      </c>
      <c r="Q994" s="191" t="inlineStr">
        <is>
          <t>P4</t>
        </is>
      </c>
      <c r="R994" s="191" t="inlineStr">
        <is>
          <t>📅 Schedule patch deployment within 30 days | 🔍 Monitor for exploitation attempts</t>
        </is>
      </c>
      <c r="S994" s="191" t="inlineStr">
        <is>
          <t>CVE - IP enrichment n/a</t>
        </is>
      </c>
      <c r="T994" s="191" t="n">
        <v>0</v>
      </c>
      <c r="U994" s="191" t="n">
        <v>0</v>
      </c>
      <c r="V994" s="191" t="inlineStr">
        <is>
          <t>T1190:Exploit Public-Facing Application</t>
        </is>
      </c>
      <c r="W994" s="191" t="n">
        <v>1</v>
      </c>
      <c r="X994" s="191" t="inlineStr">
        <is>
          <t>LOW (40%)</t>
        </is>
      </c>
      <c r="Y994" s="191" t="inlineStr">
        <is>
          <t>UNLIKELY</t>
        </is>
      </c>
      <c r="Z994" s="191" t="inlineStr">
        <is>
          <t>CHECK_VENDOR</t>
        </is>
      </c>
      <c r="AA994" s="192" t="inlineStr">
        <is>
          <t>https://nvd.nist.gov/vuln/detail/CVE-2026-22369</t>
        </is>
      </c>
      <c r="AB994" s="191" t="inlineStr">
        <is>
          <t>NONE</t>
        </is>
      </c>
      <c r="AC994" s="191" t="n">
        <v>0</v>
      </c>
      <c r="AD994" s="191" t="n"/>
    </row>
    <row r="995">
      <c r="A995" s="189" t="inlineStr">
        <is>
          <t>CVE</t>
        </is>
      </c>
      <c r="B995" s="189" t="inlineStr">
        <is>
          <t>CVE-2026-22370</t>
        </is>
      </c>
      <c r="C995" s="189" t="inlineStr">
        <is>
          <t>Improper Control of Filename for Include/Require Statement in PHP Program ('PHP Remote File Inclusion') vulnerability in axiomthemes Marveland marveland allows PHP Local File Inclusion.This issue affects Marveland: from n/a through &lt;= 1.3.0.</t>
        </is>
      </c>
      <c r="D995" s="189" t="n">
        <v>8.1</v>
      </c>
      <c r="E995" s="189" t="inlineStr">
        <is>
          <t>HIGH</t>
        </is>
      </c>
      <c r="F995" s="189" t="n">
        <v>2</v>
      </c>
      <c r="G995" s="189" t="n">
        <v>3</v>
      </c>
      <c r="H995" s="189" t="inlineStr">
        <is>
          <t>HIGH</t>
        </is>
      </c>
      <c r="I995" s="189" t="n">
        <v>14.1</v>
      </c>
      <c r="J995" s="189" t="inlineStr">
        <is>
          <t>NO</t>
        </is>
      </c>
      <c r="K995" s="190" t="inlineStr">
        <is>
          <t>https://nvd.nist.gov/vuln/detail/CVE-2026-22370</t>
        </is>
      </c>
      <c r="L995" s="189" t="inlineStr">
        <is>
          <t>2026-02-23 23:48</t>
        </is>
      </c>
      <c r="M995" s="189" t="inlineStr">
        <is>
          <t>CHECK_VENDOR</t>
        </is>
      </c>
      <c r="N995" s="189" t="inlineStr">
        <is>
          <t>See NVD references</t>
        </is>
      </c>
      <c r="O995" s="189" t="inlineStr">
        <is>
          <t>Apply vendor patches</t>
        </is>
      </c>
      <c r="P995" s="189" t="inlineStr">
        <is>
          <t>See CVE details</t>
        </is>
      </c>
      <c r="Q995" s="189" t="inlineStr">
        <is>
          <t>P3</t>
        </is>
      </c>
      <c r="R995" s="189" t="inlineStr">
        <is>
          <t>🚨 URGENT: Apply vendor patches immediately | 🔒 Isolate affected systems if patch unavailable | 🛡️ Enable additional monitoring/IDS rules</t>
        </is>
      </c>
      <c r="S995" s="189" t="inlineStr">
        <is>
          <t>CVE - IP enrichment n/a</t>
        </is>
      </c>
      <c r="T995" s="189" t="n">
        <v>0</v>
      </c>
      <c r="U995" s="189" t="n">
        <v>0</v>
      </c>
      <c r="V995" s="189" t="inlineStr">
        <is>
          <t>T1190:Exploit Public-Facing Application</t>
        </is>
      </c>
      <c r="W995" s="189" t="n">
        <v>1</v>
      </c>
      <c r="X995" s="189" t="inlineStr">
        <is>
          <t>LOW (40%)</t>
        </is>
      </c>
      <c r="Y995" s="189" t="inlineStr">
        <is>
          <t>UNLIKELY</t>
        </is>
      </c>
      <c r="Z995" s="189" t="inlineStr">
        <is>
          <t>CHECK_VENDOR</t>
        </is>
      </c>
      <c r="AA995" s="190" t="inlineStr">
        <is>
          <t>https://nvd.nist.gov/vuln/detail/CVE-2026-22370</t>
        </is>
      </c>
      <c r="AB995" s="189" t="inlineStr">
        <is>
          <t>NONE</t>
        </is>
      </c>
      <c r="AC995" s="189" t="n">
        <v>0</v>
      </c>
      <c r="AD995" s="189" t="n"/>
    </row>
    <row r="996">
      <c r="A996" s="191" t="inlineStr">
        <is>
          <t>CVE</t>
        </is>
      </c>
      <c r="B996" s="191" t="inlineStr">
        <is>
          <t>CVE-2026-22371</t>
        </is>
      </c>
      <c r="C996" s="191" t="inlineStr">
        <is>
          <t>Improper Control of Filename for Include/Require Statement in PHP Program ('PHP Remote File Inclusion') vulnerability in AncoraThemes Gustavo gustavo allows PHP Local File Inclusion.This issue affects Gustavo: from n/a through &lt;= 1.2.2.</t>
        </is>
      </c>
      <c r="D996" s="191" t="n">
        <v>5</v>
      </c>
      <c r="E996" s="191" t="inlineStr">
        <is>
          <t>MEDIUM</t>
        </is>
      </c>
      <c r="F996" s="191" t="n">
        <v>2</v>
      </c>
      <c r="G996" s="191" t="n">
        <v>2</v>
      </c>
      <c r="H996" s="191" t="inlineStr">
        <is>
          <t>MEDIUM</t>
        </is>
      </c>
      <c r="I996" s="191" t="n">
        <v>9</v>
      </c>
      <c r="J996" s="191" t="inlineStr">
        <is>
          <t>NO</t>
        </is>
      </c>
      <c r="K996" s="192" t="inlineStr">
        <is>
          <t>https://nvd.nist.gov/vuln/detail/CVE-2026-22371</t>
        </is>
      </c>
      <c r="L996" s="191" t="inlineStr">
        <is>
          <t>2026-02-23 23:48</t>
        </is>
      </c>
      <c r="M996" s="191" t="inlineStr">
        <is>
          <t>CHECK_VENDOR</t>
        </is>
      </c>
      <c r="N996" s="191" t="inlineStr">
        <is>
          <t>See NVD references</t>
        </is>
      </c>
      <c r="O996" s="191" t="inlineStr">
        <is>
          <t>Apply vendor patches</t>
        </is>
      </c>
      <c r="P996" s="191" t="inlineStr">
        <is>
          <t>See CVE details</t>
        </is>
      </c>
      <c r="Q996" s="191" t="inlineStr">
        <is>
          <t>P4</t>
        </is>
      </c>
      <c r="R996" s="191" t="inlineStr">
        <is>
          <t>📅 Schedule patch deployment within 30 days | 🔍 Monitor for exploitation attempts</t>
        </is>
      </c>
      <c r="S996" s="191" t="inlineStr">
        <is>
          <t>CVE - IP enrichment n/a</t>
        </is>
      </c>
      <c r="T996" s="191" t="n">
        <v>0</v>
      </c>
      <c r="U996" s="191" t="n">
        <v>0</v>
      </c>
      <c r="V996" s="191" t="inlineStr">
        <is>
          <t>T1190:Exploit Public-Facing Application</t>
        </is>
      </c>
      <c r="W996" s="191" t="n">
        <v>1</v>
      </c>
      <c r="X996" s="191" t="inlineStr">
        <is>
          <t>LOW (40%)</t>
        </is>
      </c>
      <c r="Y996" s="191" t="inlineStr">
        <is>
          <t>UNLIKELY</t>
        </is>
      </c>
      <c r="Z996" s="191" t="inlineStr">
        <is>
          <t>CHECK_VENDOR</t>
        </is>
      </c>
      <c r="AA996" s="192" t="inlineStr">
        <is>
          <t>https://nvd.nist.gov/vuln/detail/CVE-2026-22371</t>
        </is>
      </c>
      <c r="AB996" s="191" t="inlineStr">
        <is>
          <t>NONE</t>
        </is>
      </c>
      <c r="AC996" s="191" t="n">
        <v>0</v>
      </c>
      <c r="AD996" s="191" t="n"/>
    </row>
    <row r="997">
      <c r="A997" s="189" t="inlineStr">
        <is>
          <t>CVE</t>
        </is>
      </c>
      <c r="B997" s="189" t="inlineStr">
        <is>
          <t>CVE-2026-22372</t>
        </is>
      </c>
      <c r="C997" s="189" t="inlineStr">
        <is>
          <t>Improper Control of Filename for Include/Require Statement in PHP Program ('PHP Remote File Inclusion') vulnerability in AncoraThemes Isida isida allows PHP Local File Inclusion.This issue affects Isida: from n/a through &lt;= 1.4.2.</t>
        </is>
      </c>
      <c r="D997" s="189" t="n">
        <v>8.1</v>
      </c>
      <c r="E997" s="189" t="inlineStr">
        <is>
          <t>HIGH</t>
        </is>
      </c>
      <c r="F997" s="189" t="n">
        <v>2</v>
      </c>
      <c r="G997" s="189" t="n">
        <v>3</v>
      </c>
      <c r="H997" s="189" t="inlineStr">
        <is>
          <t>HIGH</t>
        </is>
      </c>
      <c r="I997" s="189" t="n">
        <v>14.1</v>
      </c>
      <c r="J997" s="189" t="inlineStr">
        <is>
          <t>NO</t>
        </is>
      </c>
      <c r="K997" s="190" t="inlineStr">
        <is>
          <t>https://nvd.nist.gov/vuln/detail/CVE-2026-22372</t>
        </is>
      </c>
      <c r="L997" s="189" t="inlineStr">
        <is>
          <t>2026-02-23 23:48</t>
        </is>
      </c>
      <c r="M997" s="189" t="inlineStr">
        <is>
          <t>CHECK_VENDOR</t>
        </is>
      </c>
      <c r="N997" s="189" t="inlineStr">
        <is>
          <t>See NVD references</t>
        </is>
      </c>
      <c r="O997" s="189" t="inlineStr">
        <is>
          <t>Apply vendor patches</t>
        </is>
      </c>
      <c r="P997" s="189" t="inlineStr">
        <is>
          <t>See CVE details</t>
        </is>
      </c>
      <c r="Q997" s="189" t="inlineStr">
        <is>
          <t>P3</t>
        </is>
      </c>
      <c r="R997" s="189" t="inlineStr">
        <is>
          <t>🚨 URGENT: Apply vendor patches immediately | 🔒 Isolate affected systems if patch unavailable | 🛡️ Enable additional monitoring/IDS rules</t>
        </is>
      </c>
      <c r="S997" s="189" t="inlineStr">
        <is>
          <t>CVE - IP enrichment n/a</t>
        </is>
      </c>
      <c r="T997" s="189" t="n">
        <v>0</v>
      </c>
      <c r="U997" s="189" t="n">
        <v>0</v>
      </c>
      <c r="V997" s="189" t="inlineStr">
        <is>
          <t>T1190:Exploit Public-Facing Application</t>
        </is>
      </c>
      <c r="W997" s="189" t="n">
        <v>1</v>
      </c>
      <c r="X997" s="189" t="inlineStr">
        <is>
          <t>LOW (40%)</t>
        </is>
      </c>
      <c r="Y997" s="189" t="inlineStr">
        <is>
          <t>UNLIKELY</t>
        </is>
      </c>
      <c r="Z997" s="189" t="inlineStr">
        <is>
          <t>CHECK_VENDOR</t>
        </is>
      </c>
      <c r="AA997" s="190" t="inlineStr">
        <is>
          <t>https://nvd.nist.gov/vuln/detail/CVE-2026-22372</t>
        </is>
      </c>
      <c r="AB997" s="189" t="inlineStr">
        <is>
          <t>NONE</t>
        </is>
      </c>
      <c r="AC997" s="189" t="n">
        <v>0</v>
      </c>
      <c r="AD997" s="189" t="n"/>
    </row>
    <row r="998">
      <c r="A998" s="191" t="inlineStr">
        <is>
          <t>CVE</t>
        </is>
      </c>
      <c r="B998" s="191" t="inlineStr">
        <is>
          <t>CVE-2026-22373</t>
        </is>
      </c>
      <c r="C998" s="191" t="inlineStr">
        <is>
          <t>Improper Control of Filename for Include/Require Statement in PHP Program ('PHP Remote File Inclusion') vulnerability in AncoraThemes Fooddy fooddy allows PHP Local File Inclusion.This issue affects Fooddy: from n/a through &lt;= 1.3.10.</t>
        </is>
      </c>
      <c r="D998" s="191" t="n">
        <v>5</v>
      </c>
      <c r="E998" s="191" t="inlineStr">
        <is>
          <t>MEDIUM</t>
        </is>
      </c>
      <c r="F998" s="191" t="n">
        <v>2</v>
      </c>
      <c r="G998" s="191" t="n">
        <v>2</v>
      </c>
      <c r="H998" s="191" t="inlineStr">
        <is>
          <t>MEDIUM</t>
        </is>
      </c>
      <c r="I998" s="191" t="n">
        <v>9</v>
      </c>
      <c r="J998" s="191" t="inlineStr">
        <is>
          <t>NO</t>
        </is>
      </c>
      <c r="K998" s="192" t="inlineStr">
        <is>
          <t>https://nvd.nist.gov/vuln/detail/CVE-2026-22373</t>
        </is>
      </c>
      <c r="L998" s="191" t="inlineStr">
        <is>
          <t>2026-02-23 23:48</t>
        </is>
      </c>
      <c r="M998" s="191" t="inlineStr">
        <is>
          <t>CHECK_VENDOR</t>
        </is>
      </c>
      <c r="N998" s="191" t="inlineStr">
        <is>
          <t>See NVD references</t>
        </is>
      </c>
      <c r="O998" s="191" t="inlineStr">
        <is>
          <t>Apply vendor patches</t>
        </is>
      </c>
      <c r="P998" s="191" t="inlineStr">
        <is>
          <t>See CVE details</t>
        </is>
      </c>
      <c r="Q998" s="191" t="inlineStr">
        <is>
          <t>P4</t>
        </is>
      </c>
      <c r="R998" s="191" t="inlineStr">
        <is>
          <t>📅 Schedule patch deployment within 30 days | 🔍 Monitor for exploitation attempts</t>
        </is>
      </c>
      <c r="S998" s="191" t="inlineStr">
        <is>
          <t>CVE - IP enrichment n/a</t>
        </is>
      </c>
      <c r="T998" s="191" t="n">
        <v>0</v>
      </c>
      <c r="U998" s="191" t="n">
        <v>0</v>
      </c>
      <c r="V998" s="191" t="inlineStr">
        <is>
          <t>T1190:Exploit Public-Facing Application</t>
        </is>
      </c>
      <c r="W998" s="191" t="n">
        <v>1</v>
      </c>
      <c r="X998" s="191" t="inlineStr">
        <is>
          <t>LOW (40%)</t>
        </is>
      </c>
      <c r="Y998" s="191" t="inlineStr">
        <is>
          <t>UNLIKELY</t>
        </is>
      </c>
      <c r="Z998" s="191" t="inlineStr">
        <is>
          <t>CHECK_VENDOR</t>
        </is>
      </c>
      <c r="AA998" s="192" t="inlineStr">
        <is>
          <t>https://nvd.nist.gov/vuln/detail/CVE-2026-22373</t>
        </is>
      </c>
      <c r="AB998" s="191" t="inlineStr">
        <is>
          <t>NONE</t>
        </is>
      </c>
      <c r="AC998" s="191" t="n">
        <v>0</v>
      </c>
      <c r="AD998" s="191" t="n"/>
    </row>
    <row r="999">
      <c r="A999" s="189" t="inlineStr">
        <is>
          <t>CVE</t>
        </is>
      </c>
      <c r="B999" s="189" t="inlineStr">
        <is>
          <t>CVE-2026-22374</t>
        </is>
      </c>
      <c r="C999" s="189" t="inlineStr">
        <is>
          <t>Improper Control of Filename for Include/Require Statement in PHP Program ('PHP Remote File Inclusion') vulnerability in AncoraThemes Zio Alberto zioalberto allows PHP Local File Inclusion.This issue affects Zio Alberto: from n/a through &lt;= 1.2.2.</t>
        </is>
      </c>
      <c r="D999" s="189" t="n">
        <v>8.1</v>
      </c>
      <c r="E999" s="189" t="inlineStr">
        <is>
          <t>HIGH</t>
        </is>
      </c>
      <c r="F999" s="189" t="n">
        <v>2</v>
      </c>
      <c r="G999" s="189" t="n">
        <v>3</v>
      </c>
      <c r="H999" s="189" t="inlineStr">
        <is>
          <t>HIGH</t>
        </is>
      </c>
      <c r="I999" s="189" t="n">
        <v>14.1</v>
      </c>
      <c r="J999" s="189" t="inlineStr">
        <is>
          <t>NO</t>
        </is>
      </c>
      <c r="K999" s="190" t="inlineStr">
        <is>
          <t>https://nvd.nist.gov/vuln/detail/CVE-2026-22374</t>
        </is>
      </c>
      <c r="L999" s="189" t="inlineStr">
        <is>
          <t>2026-02-23 23:48</t>
        </is>
      </c>
      <c r="M999" s="189" t="inlineStr">
        <is>
          <t>CHECK_VENDOR</t>
        </is>
      </c>
      <c r="N999" s="189" t="inlineStr">
        <is>
          <t>See NVD references</t>
        </is>
      </c>
      <c r="O999" s="189" t="inlineStr">
        <is>
          <t>Apply vendor patches</t>
        </is>
      </c>
      <c r="P999" s="189" t="inlineStr">
        <is>
          <t>See CVE details</t>
        </is>
      </c>
      <c r="Q999" s="189" t="inlineStr">
        <is>
          <t>P3</t>
        </is>
      </c>
      <c r="R999" s="189" t="inlineStr">
        <is>
          <t>🚨 URGENT: Apply vendor patches immediately | 🔒 Isolate affected systems if patch unavailable | 🛡️ Enable additional monitoring/IDS rules</t>
        </is>
      </c>
      <c r="S999" s="189" t="inlineStr">
        <is>
          <t>CVE - IP enrichment n/a</t>
        </is>
      </c>
      <c r="T999" s="189" t="n">
        <v>0.0011</v>
      </c>
      <c r="U999" s="189" t="n">
        <v>0.3027</v>
      </c>
      <c r="V999" s="189" t="inlineStr">
        <is>
          <t>T1190:Exploit Public-Facing Application</t>
        </is>
      </c>
      <c r="W999" s="189" t="n">
        <v>1</v>
      </c>
      <c r="X999" s="189" t="inlineStr">
        <is>
          <t>LOW (40%)</t>
        </is>
      </c>
      <c r="Y999" s="189" t="inlineStr">
        <is>
          <t>UNLIKELY</t>
        </is>
      </c>
      <c r="Z999" s="189" t="inlineStr">
        <is>
          <t>CHECK_VENDOR</t>
        </is>
      </c>
      <c r="AA999" s="190" t="inlineStr">
        <is>
          <t>https://nvd.nist.gov/vuln/detail/CVE-2026-22374</t>
        </is>
      </c>
      <c r="AB999" s="189" t="inlineStr">
        <is>
          <t>NONE</t>
        </is>
      </c>
      <c r="AC999" s="189" t="n">
        <v>0</v>
      </c>
      <c r="AD999" s="189" t="n"/>
    </row>
    <row r="1000">
      <c r="A1000" s="191" t="inlineStr">
        <is>
          <t>CVE</t>
        </is>
      </c>
      <c r="B1000" s="191" t="inlineStr">
        <is>
          <t>CVE-2026-22375</t>
        </is>
      </c>
      <c r="C1000" s="191" t="inlineStr">
        <is>
          <t>Improper Control of Filename for Include/Require Statement in PHP Program ('PHP Remote File Inclusion') vulnerability in AncoraThemes Impacto Patronus impacto-patronus allows PHP Local File Inclusion.This issue affects Impacto Patronus: from n/a through &lt;= 1.2.3.</t>
        </is>
      </c>
      <c r="D1000" s="191" t="n">
        <v>5</v>
      </c>
      <c r="E1000" s="191" t="inlineStr">
        <is>
          <t>MEDIUM</t>
        </is>
      </c>
      <c r="F1000" s="191" t="n">
        <v>2</v>
      </c>
      <c r="G1000" s="191" t="n">
        <v>2</v>
      </c>
      <c r="H1000" s="191" t="inlineStr">
        <is>
          <t>MEDIUM</t>
        </is>
      </c>
      <c r="I1000" s="191" t="n">
        <v>9</v>
      </c>
      <c r="J1000" s="191" t="inlineStr">
        <is>
          <t>NO</t>
        </is>
      </c>
      <c r="K1000" s="192" t="inlineStr">
        <is>
          <t>https://nvd.nist.gov/vuln/detail/CVE-2026-22375</t>
        </is>
      </c>
      <c r="L1000" s="191" t="inlineStr">
        <is>
          <t>2026-02-23 23:48</t>
        </is>
      </c>
      <c r="M1000" s="191" t="inlineStr">
        <is>
          <t>CHECK_VENDOR</t>
        </is>
      </c>
      <c r="N1000" s="191" t="inlineStr">
        <is>
          <t>See NVD references</t>
        </is>
      </c>
      <c r="O1000" s="191" t="inlineStr">
        <is>
          <t>Apply vendor patches</t>
        </is>
      </c>
      <c r="P1000" s="191" t="inlineStr">
        <is>
          <t>See CVE details</t>
        </is>
      </c>
      <c r="Q1000" s="191" t="inlineStr">
        <is>
          <t>P4</t>
        </is>
      </c>
      <c r="R1000" s="191" t="inlineStr">
        <is>
          <t>📅 Schedule patch deployment within 30 days | 🔍 Monitor for exploitation attempts</t>
        </is>
      </c>
      <c r="S1000" s="191" t="inlineStr">
        <is>
          <t>CVE - IP enrichment n/a</t>
        </is>
      </c>
      <c r="T1000" s="191" t="n">
        <v>0.0005</v>
      </c>
      <c r="U1000" s="191" t="n">
        <v>0.1673</v>
      </c>
      <c r="V1000" s="191" t="inlineStr">
        <is>
          <t>T1190:Exploit Public-Facing Application</t>
        </is>
      </c>
      <c r="W1000" s="191" t="n">
        <v>1</v>
      </c>
      <c r="X1000" s="191" t="inlineStr">
        <is>
          <t>LOW (40%)</t>
        </is>
      </c>
      <c r="Y1000" s="191" t="inlineStr">
        <is>
          <t>UNLIKELY</t>
        </is>
      </c>
      <c r="Z1000" s="191" t="inlineStr">
        <is>
          <t>CHECK_VENDOR</t>
        </is>
      </c>
      <c r="AA1000" s="192" t="inlineStr">
        <is>
          <t>https://nvd.nist.gov/vuln/detail/CVE-2026-22375</t>
        </is>
      </c>
      <c r="AB1000" s="191" t="inlineStr">
        <is>
          <t>NONE</t>
        </is>
      </c>
      <c r="AC1000" s="191" t="n">
        <v>0</v>
      </c>
      <c r="AD1000" s="191" t="n"/>
    </row>
    <row r="1001">
      <c r="A1001" s="189" t="inlineStr">
        <is>
          <t>CVE</t>
        </is>
      </c>
      <c r="B1001" s="189" t="inlineStr">
        <is>
          <t>CVE-2026-22376</t>
        </is>
      </c>
      <c r="C1001" s="189" t="inlineStr">
        <is>
          <t>Improper Control of Filename for Include/Require Statement in PHP Program ('PHP Remote File Inclusion') vulnerability in AncoraThemes Parkivia parkivia allows PHP Local File Inclusion.This issue affects Parkivia: from n/a through &lt;= 1.1.9.</t>
        </is>
      </c>
      <c r="D1001" s="189" t="n">
        <v>8.1</v>
      </c>
      <c r="E1001" s="189" t="inlineStr">
        <is>
          <t>HIGH</t>
        </is>
      </c>
      <c r="F1001" s="189" t="n">
        <v>2</v>
      </c>
      <c r="G1001" s="189" t="n">
        <v>3</v>
      </c>
      <c r="H1001" s="189" t="inlineStr">
        <is>
          <t>HIGH</t>
        </is>
      </c>
      <c r="I1001" s="189" t="n">
        <v>14.1</v>
      </c>
      <c r="J1001" s="189" t="inlineStr">
        <is>
          <t>NO</t>
        </is>
      </c>
      <c r="K1001" s="190" t="inlineStr">
        <is>
          <t>https://nvd.nist.gov/vuln/detail/CVE-2026-22376</t>
        </is>
      </c>
      <c r="L1001" s="189" t="inlineStr">
        <is>
          <t>2026-02-23 23:48</t>
        </is>
      </c>
      <c r="M1001" s="189" t="inlineStr">
        <is>
          <t>CHECK_VENDOR</t>
        </is>
      </c>
      <c r="N1001" s="189" t="inlineStr">
        <is>
          <t>See NVD references</t>
        </is>
      </c>
      <c r="O1001" s="189" t="inlineStr">
        <is>
          <t>Apply vendor patches</t>
        </is>
      </c>
      <c r="P1001" s="189" t="inlineStr">
        <is>
          <t>See CVE details</t>
        </is>
      </c>
      <c r="Q1001" s="189" t="inlineStr">
        <is>
          <t>P3</t>
        </is>
      </c>
      <c r="R1001" s="189" t="inlineStr">
        <is>
          <t>🚨 URGENT: Apply vendor patches immediately | 🔒 Isolate affected systems if patch unavailable | 🛡️ Enable additional monitoring/IDS rules</t>
        </is>
      </c>
      <c r="S1001" s="189" t="inlineStr">
        <is>
          <t>CVE - IP enrichment n/a</t>
        </is>
      </c>
      <c r="T1001" s="189" t="n">
        <v>0</v>
      </c>
      <c r="U1001" s="189" t="n">
        <v>0</v>
      </c>
      <c r="V1001" s="189" t="inlineStr">
        <is>
          <t>T1190:Exploit Public-Facing Application</t>
        </is>
      </c>
      <c r="W1001" s="189" t="n">
        <v>1</v>
      </c>
      <c r="X1001" s="189" t="inlineStr">
        <is>
          <t>LOW (40%)</t>
        </is>
      </c>
      <c r="Y1001" s="189" t="inlineStr">
        <is>
          <t>UNLIKELY</t>
        </is>
      </c>
      <c r="Z1001" s="189" t="inlineStr">
        <is>
          <t>CHECK_VENDOR</t>
        </is>
      </c>
      <c r="AA1001" s="190" t="inlineStr">
        <is>
          <t>https://nvd.nist.gov/vuln/detail/CVE-2026-22376</t>
        </is>
      </c>
      <c r="AB1001" s="189" t="inlineStr">
        <is>
          <t>NONE</t>
        </is>
      </c>
      <c r="AC1001" s="189" t="n">
        <v>0</v>
      </c>
      <c r="AD1001" s="189" t="n"/>
    </row>
    <row r="1002">
      <c r="A1002" s="191" t="inlineStr">
        <is>
          <t>CVE</t>
        </is>
      </c>
      <c r="B1002" s="191" t="inlineStr">
        <is>
          <t>CVE-2026-22377</t>
        </is>
      </c>
      <c r="C1002" s="191" t="inlineStr">
        <is>
          <t>Improper Control of Filename for Include/Require Statement in PHP Program ('PHP Remote File Inclusion') vulnerability in AncoraThemes Saveo saveo allows PHP Local File Inclusion.This issue affects Saveo: from n/a through &lt;= 1.1.2.</t>
        </is>
      </c>
      <c r="D1002" s="191" t="n">
        <v>5</v>
      </c>
      <c r="E1002" s="191" t="inlineStr">
        <is>
          <t>MEDIUM</t>
        </is>
      </c>
      <c r="F1002" s="191" t="n">
        <v>2</v>
      </c>
      <c r="G1002" s="191" t="n">
        <v>2</v>
      </c>
      <c r="H1002" s="191" t="inlineStr">
        <is>
          <t>MEDIUM</t>
        </is>
      </c>
      <c r="I1002" s="191" t="n">
        <v>9</v>
      </c>
      <c r="J1002" s="191" t="inlineStr">
        <is>
          <t>NO</t>
        </is>
      </c>
      <c r="K1002" s="192" t="inlineStr">
        <is>
          <t>https://nvd.nist.gov/vuln/detail/CVE-2026-22377</t>
        </is>
      </c>
      <c r="L1002" s="191" t="inlineStr">
        <is>
          <t>2026-02-23 23:48</t>
        </is>
      </c>
      <c r="M1002" s="191" t="inlineStr">
        <is>
          <t>CHECK_VENDOR</t>
        </is>
      </c>
      <c r="N1002" s="191" t="inlineStr">
        <is>
          <t>See NVD references</t>
        </is>
      </c>
      <c r="O1002" s="191" t="inlineStr">
        <is>
          <t>Apply vendor patches</t>
        </is>
      </c>
      <c r="P1002" s="191" t="inlineStr">
        <is>
          <t>See CVE details</t>
        </is>
      </c>
      <c r="Q1002" s="191" t="inlineStr">
        <is>
          <t>P4</t>
        </is>
      </c>
      <c r="R1002" s="191" t="inlineStr">
        <is>
          <t>📅 Schedule patch deployment within 30 days | 🔍 Monitor for exploitation attempts</t>
        </is>
      </c>
      <c r="S1002" s="191" t="inlineStr">
        <is>
          <t>CVE - IP enrichment n/a</t>
        </is>
      </c>
      <c r="T1002" s="191" t="n">
        <v>0</v>
      </c>
      <c r="U1002" s="191" t="n">
        <v>0</v>
      </c>
      <c r="V1002" s="191" t="inlineStr">
        <is>
          <t>T1190:Exploit Public-Facing Application</t>
        </is>
      </c>
      <c r="W1002" s="191" t="n">
        <v>1</v>
      </c>
      <c r="X1002" s="191" t="inlineStr">
        <is>
          <t>LOW (40%)</t>
        </is>
      </c>
      <c r="Y1002" s="191" t="inlineStr">
        <is>
          <t>UNLIKELY</t>
        </is>
      </c>
      <c r="Z1002" s="191" t="inlineStr">
        <is>
          <t>CHECK_VENDOR</t>
        </is>
      </c>
      <c r="AA1002" s="192" t="inlineStr">
        <is>
          <t>https://nvd.nist.gov/vuln/detail/CVE-2026-22377</t>
        </is>
      </c>
      <c r="AB1002" s="191" t="inlineStr">
        <is>
          <t>NONE</t>
        </is>
      </c>
      <c r="AC1002" s="191" t="n">
        <v>0</v>
      </c>
      <c r="AD1002" s="191" t="n"/>
    </row>
    <row r="1003">
      <c r="A1003" s="189" t="inlineStr">
        <is>
          <t>CVE</t>
        </is>
      </c>
      <c r="B1003" s="189" t="inlineStr">
        <is>
          <t>CVE-2026-22378</t>
        </is>
      </c>
      <c r="C1003" s="189" t="inlineStr">
        <is>
          <t>Improper Control of Filename for Include/Require Statement in PHP Program ('PHP Remote File Inclusion') vulnerability in AncoraThemes Blabber blabber allows PHP Local File Inclusion.This issue affects Blabber: from n/a through &lt;= 1.7.0.</t>
        </is>
      </c>
      <c r="D1003" s="189" t="n">
        <v>8.1</v>
      </c>
      <c r="E1003" s="189" t="inlineStr">
        <is>
          <t>HIGH</t>
        </is>
      </c>
      <c r="F1003" s="189" t="n">
        <v>2</v>
      </c>
      <c r="G1003" s="189" t="n">
        <v>3</v>
      </c>
      <c r="H1003" s="189" t="inlineStr">
        <is>
          <t>HIGH</t>
        </is>
      </c>
      <c r="I1003" s="189" t="n">
        <v>14.1</v>
      </c>
      <c r="J1003" s="189" t="inlineStr">
        <is>
          <t>NO</t>
        </is>
      </c>
      <c r="K1003" s="190" t="inlineStr">
        <is>
          <t>https://nvd.nist.gov/vuln/detail/CVE-2026-22378</t>
        </is>
      </c>
      <c r="L1003" s="189" t="inlineStr">
        <is>
          <t>2026-02-23 23:48</t>
        </is>
      </c>
      <c r="M1003" s="189" t="inlineStr">
        <is>
          <t>CHECK_VENDOR</t>
        </is>
      </c>
      <c r="N1003" s="189" t="inlineStr">
        <is>
          <t>See NVD references</t>
        </is>
      </c>
      <c r="O1003" s="189" t="inlineStr">
        <is>
          <t>Apply vendor patches</t>
        </is>
      </c>
      <c r="P1003" s="189" t="inlineStr">
        <is>
          <t>See CVE details</t>
        </is>
      </c>
      <c r="Q1003" s="189" t="inlineStr">
        <is>
          <t>P3</t>
        </is>
      </c>
      <c r="R1003" s="189" t="inlineStr">
        <is>
          <t>🚨 URGENT: Apply vendor patches immediately | 🔒 Isolate affected systems if patch unavailable | 🛡️ Enable additional monitoring/IDS rules</t>
        </is>
      </c>
      <c r="S1003" s="189" t="inlineStr">
        <is>
          <t>CVE - IP enrichment n/a</t>
        </is>
      </c>
      <c r="T1003" s="189" t="n">
        <v>0</v>
      </c>
      <c r="U1003" s="189" t="n">
        <v>0</v>
      </c>
      <c r="V1003" s="189" t="inlineStr">
        <is>
          <t>T1190:Exploit Public-Facing Application</t>
        </is>
      </c>
      <c r="W1003" s="189" t="n">
        <v>1</v>
      </c>
      <c r="X1003" s="189" t="inlineStr">
        <is>
          <t>LOW (40%)</t>
        </is>
      </c>
      <c r="Y1003" s="189" t="inlineStr">
        <is>
          <t>UNLIKELY</t>
        </is>
      </c>
      <c r="Z1003" s="189" t="inlineStr">
        <is>
          <t>CHECK_VENDOR</t>
        </is>
      </c>
      <c r="AA1003" s="190" t="inlineStr">
        <is>
          <t>https://nvd.nist.gov/vuln/detail/CVE-2026-22378</t>
        </is>
      </c>
      <c r="AB1003" s="189" t="inlineStr">
        <is>
          <t>NONE</t>
        </is>
      </c>
      <c r="AC1003" s="189" t="n">
        <v>0</v>
      </c>
      <c r="AD1003" s="189" t="n"/>
    </row>
    <row r="1004">
      <c r="A1004" s="191" t="inlineStr">
        <is>
          <t>CVE</t>
        </is>
      </c>
      <c r="B1004" s="191" t="inlineStr">
        <is>
          <t>CVE-2026-22379</t>
        </is>
      </c>
      <c r="C1004" s="191" t="inlineStr">
        <is>
          <t>Improper Control of Filename for Include/Require Statement in PHP Program ('PHP Remote File Inclusion') vulnerability in AncoraThemes Netmix netmix allows PHP Local File Inclusion.This issue affects Netmix: from n/a through &lt;= 1.0.10.</t>
        </is>
      </c>
      <c r="D1004" s="191" t="n">
        <v>5</v>
      </c>
      <c r="E1004" s="191" t="inlineStr">
        <is>
          <t>MEDIUM</t>
        </is>
      </c>
      <c r="F1004" s="191" t="n">
        <v>2</v>
      </c>
      <c r="G1004" s="191" t="n">
        <v>2</v>
      </c>
      <c r="H1004" s="191" t="inlineStr">
        <is>
          <t>MEDIUM</t>
        </is>
      </c>
      <c r="I1004" s="191" t="n">
        <v>9</v>
      </c>
      <c r="J1004" s="191" t="inlineStr">
        <is>
          <t>NO</t>
        </is>
      </c>
      <c r="K1004" s="192" t="inlineStr">
        <is>
          <t>https://nvd.nist.gov/vuln/detail/CVE-2026-22379</t>
        </is>
      </c>
      <c r="L1004" s="191" t="inlineStr">
        <is>
          <t>2026-02-23 23:48</t>
        </is>
      </c>
      <c r="M1004" s="191" t="inlineStr">
        <is>
          <t>CHECK_VENDOR</t>
        </is>
      </c>
      <c r="N1004" s="191" t="inlineStr">
        <is>
          <t>See NVD references</t>
        </is>
      </c>
      <c r="O1004" s="191" t="inlineStr">
        <is>
          <t>Apply vendor patches</t>
        </is>
      </c>
      <c r="P1004" s="191" t="inlineStr">
        <is>
          <t>See CVE details</t>
        </is>
      </c>
      <c r="Q1004" s="191" t="inlineStr">
        <is>
          <t>P4</t>
        </is>
      </c>
      <c r="R1004" s="191" t="inlineStr">
        <is>
          <t>📅 Schedule patch deployment within 30 days | 🔍 Monitor for exploitation attempts</t>
        </is>
      </c>
      <c r="S1004" s="191" t="inlineStr">
        <is>
          <t>CVE - IP enrichment n/a</t>
        </is>
      </c>
      <c r="T1004" s="191" t="n">
        <v>0</v>
      </c>
      <c r="U1004" s="191" t="n">
        <v>0</v>
      </c>
      <c r="V1004" s="191" t="inlineStr">
        <is>
          <t>T1190:Exploit Public-Facing Application</t>
        </is>
      </c>
      <c r="W1004" s="191" t="n">
        <v>1</v>
      </c>
      <c r="X1004" s="191" t="inlineStr">
        <is>
          <t>LOW (40%)</t>
        </is>
      </c>
      <c r="Y1004" s="191" t="inlineStr">
        <is>
          <t>UNLIKELY</t>
        </is>
      </c>
      <c r="Z1004" s="191" t="inlineStr">
        <is>
          <t>CHECK_VENDOR</t>
        </is>
      </c>
      <c r="AA1004" s="192" t="inlineStr">
        <is>
          <t>https://nvd.nist.gov/vuln/detail/CVE-2026-22379</t>
        </is>
      </c>
      <c r="AB1004" s="191" t="inlineStr">
        <is>
          <t>NONE</t>
        </is>
      </c>
      <c r="AC1004" s="191" t="n">
        <v>0</v>
      </c>
      <c r="AD1004" s="191" t="n"/>
    </row>
    <row r="1005">
      <c r="A1005" s="189" t="inlineStr">
        <is>
          <t>CVE</t>
        </is>
      </c>
      <c r="B1005" s="189" t="inlineStr">
        <is>
          <t>CVE-2026-22380</t>
        </is>
      </c>
      <c r="C1005" s="189" t="inlineStr">
        <is>
          <t>Improper Control of Filename for Include/Require Statement in PHP Program ('PHP Remote File Inclusion') vulnerability in AncoraThemes UnlimHost unlimhost allows PHP Local File Inclusion.This issue affects UnlimHost: from n/a through &lt;= 1.2.3.</t>
        </is>
      </c>
      <c r="D1005" s="189" t="n">
        <v>8.1</v>
      </c>
      <c r="E1005" s="189" t="inlineStr">
        <is>
          <t>HIGH</t>
        </is>
      </c>
      <c r="F1005" s="189" t="n">
        <v>2</v>
      </c>
      <c r="G1005" s="189" t="n">
        <v>3</v>
      </c>
      <c r="H1005" s="189" t="inlineStr">
        <is>
          <t>HIGH</t>
        </is>
      </c>
      <c r="I1005" s="189" t="n">
        <v>14.1</v>
      </c>
      <c r="J1005" s="189" t="inlineStr">
        <is>
          <t>NO</t>
        </is>
      </c>
      <c r="K1005" s="190" t="inlineStr">
        <is>
          <t>https://nvd.nist.gov/vuln/detail/CVE-2026-22380</t>
        </is>
      </c>
      <c r="L1005" s="189" t="inlineStr">
        <is>
          <t>2026-02-23 23:48</t>
        </is>
      </c>
      <c r="M1005" s="189" t="inlineStr">
        <is>
          <t>CHECK_VENDOR</t>
        </is>
      </c>
      <c r="N1005" s="189" t="inlineStr">
        <is>
          <t>See NVD references</t>
        </is>
      </c>
      <c r="O1005" s="189" t="inlineStr">
        <is>
          <t>Apply vendor patches</t>
        </is>
      </c>
      <c r="P1005" s="189" t="inlineStr">
        <is>
          <t>See CVE details</t>
        </is>
      </c>
      <c r="Q1005" s="189" t="inlineStr">
        <is>
          <t>P3</t>
        </is>
      </c>
      <c r="R1005" s="189" t="inlineStr">
        <is>
          <t>🚨 URGENT: Apply vendor patches immediately | 🔒 Isolate affected systems if patch unavailable | 🛡️ Enable additional monitoring/IDS rules</t>
        </is>
      </c>
      <c r="S1005" s="189" t="inlineStr">
        <is>
          <t>CVE - IP enrichment n/a</t>
        </is>
      </c>
      <c r="T1005" s="189" t="n">
        <v>0</v>
      </c>
      <c r="U1005" s="189" t="n">
        <v>0</v>
      </c>
      <c r="V1005" s="189" t="inlineStr">
        <is>
          <t>T1190:Exploit Public-Facing Application</t>
        </is>
      </c>
      <c r="W1005" s="189" t="n">
        <v>1</v>
      </c>
      <c r="X1005" s="189" t="inlineStr">
        <is>
          <t>LOW (40%)</t>
        </is>
      </c>
      <c r="Y1005" s="189" t="inlineStr">
        <is>
          <t>UNLIKELY</t>
        </is>
      </c>
      <c r="Z1005" s="189" t="inlineStr">
        <is>
          <t>CHECK_VENDOR</t>
        </is>
      </c>
      <c r="AA1005" s="190" t="inlineStr">
        <is>
          <t>https://nvd.nist.gov/vuln/detail/CVE-2026-22380</t>
        </is>
      </c>
      <c r="AB1005" s="189" t="inlineStr">
        <is>
          <t>NONE</t>
        </is>
      </c>
      <c r="AC1005" s="189" t="n">
        <v>0</v>
      </c>
      <c r="AD1005" s="189" t="n"/>
    </row>
    <row r="1006">
      <c r="A1006" s="191" t="inlineStr">
        <is>
          <t>CVE</t>
        </is>
      </c>
      <c r="B1006" s="191" t="inlineStr">
        <is>
          <t>CVE-2026-22381</t>
        </is>
      </c>
      <c r="C1006" s="191" t="inlineStr">
        <is>
          <t>Improper Control of Filename for Include/Require Statement in PHP Program ('PHP Remote File Inclusion') vulnerability in Mikado-Themes PawFriends - Pet Shop and Veterinary WordPress Theme pawfriends allows PHP Local File Inclusion.This issue affects PawFriends - Pet Shop and Veterinary WordPress Theme: from n/a through &lt;= 1.3.</t>
        </is>
      </c>
      <c r="D1006" s="191" t="n">
        <v>5</v>
      </c>
      <c r="E1006" s="191" t="inlineStr">
        <is>
          <t>MEDIUM</t>
        </is>
      </c>
      <c r="F1006" s="191" t="n">
        <v>2</v>
      </c>
      <c r="G1006" s="191" t="n">
        <v>2</v>
      </c>
      <c r="H1006" s="191" t="inlineStr">
        <is>
          <t>MEDIUM</t>
        </is>
      </c>
      <c r="I1006" s="191" t="n">
        <v>9</v>
      </c>
      <c r="J1006" s="191" t="inlineStr">
        <is>
          <t>NO</t>
        </is>
      </c>
      <c r="K1006" s="192" t="inlineStr">
        <is>
          <t>https://nvd.nist.gov/vuln/detail/CVE-2026-22381</t>
        </is>
      </c>
      <c r="L1006" s="191" t="inlineStr">
        <is>
          <t>2026-02-23 23:48</t>
        </is>
      </c>
      <c r="M1006" s="191" t="inlineStr">
        <is>
          <t>CHECK_VENDOR</t>
        </is>
      </c>
      <c r="N1006" s="191" t="inlineStr">
        <is>
          <t>See NVD references</t>
        </is>
      </c>
      <c r="O1006" s="191" t="inlineStr">
        <is>
          <t>Apply vendor patches</t>
        </is>
      </c>
      <c r="P1006" s="191" t="inlineStr">
        <is>
          <t>See CVE details</t>
        </is>
      </c>
      <c r="Q1006" s="191" t="inlineStr">
        <is>
          <t>P4</t>
        </is>
      </c>
      <c r="R1006" s="191" t="inlineStr">
        <is>
          <t>📅 Schedule patch deployment within 30 days | 🔍 Monitor for exploitation attempts</t>
        </is>
      </c>
      <c r="S1006" s="191" t="inlineStr">
        <is>
          <t>CVE - IP enrichment n/a</t>
        </is>
      </c>
      <c r="T1006" s="191" t="n">
        <v>0</v>
      </c>
      <c r="U1006" s="191" t="n">
        <v>0</v>
      </c>
      <c r="V1006" s="191" t="inlineStr">
        <is>
          <t>T1190:Exploit Public-Facing Application</t>
        </is>
      </c>
      <c r="W1006" s="191" t="n">
        <v>1</v>
      </c>
      <c r="X1006" s="191" t="inlineStr">
        <is>
          <t>LOW (40%)</t>
        </is>
      </c>
      <c r="Y1006" s="191" t="inlineStr">
        <is>
          <t>UNLIKELY</t>
        </is>
      </c>
      <c r="Z1006" s="191" t="inlineStr">
        <is>
          <t>CHECK_VENDOR</t>
        </is>
      </c>
      <c r="AA1006" s="192" t="inlineStr">
        <is>
          <t>https://nvd.nist.gov/vuln/detail/CVE-2026-22381</t>
        </is>
      </c>
      <c r="AB1006" s="191" t="inlineStr">
        <is>
          <t>NONE</t>
        </is>
      </c>
      <c r="AC1006" s="191" t="n">
        <v>0</v>
      </c>
      <c r="AD1006" s="191" t="n"/>
    </row>
    <row r="1007">
      <c r="A1007" s="189" t="inlineStr">
        <is>
          <t>CVE</t>
        </is>
      </c>
      <c r="B1007" s="189" t="inlineStr">
        <is>
          <t>CVE-2026-22383</t>
        </is>
      </c>
      <c r="C1007" s="189" t="inlineStr">
        <is>
          <t>Authorization Bypass Through User-Controlled Key vulnerability in Mikado-Themes PawFriends - Pet Shop and Veterinary WordPress Theme pawfriends allows Exploiting Incorrectly Configured Access Control Security Levels.This issue affects PawFriends - Pet Shop and Veterinary WordPress Theme: from n/a through &lt;= 1.3.</t>
        </is>
      </c>
      <c r="D1007" s="189" t="n">
        <v>7.5</v>
      </c>
      <c r="E1007" s="189" t="inlineStr">
        <is>
          <t>HIGH</t>
        </is>
      </c>
      <c r="F1007" s="189" t="n">
        <v>2</v>
      </c>
      <c r="G1007" s="189" t="n">
        <v>3</v>
      </c>
      <c r="H1007" s="189" t="inlineStr">
        <is>
          <t>HIGH</t>
        </is>
      </c>
      <c r="I1007" s="189" t="n">
        <v>13.5</v>
      </c>
      <c r="J1007" s="189" t="inlineStr">
        <is>
          <t>NO</t>
        </is>
      </c>
      <c r="K1007" s="190" t="inlineStr">
        <is>
          <t>https://nvd.nist.gov/vuln/detail/CVE-2026-22383</t>
        </is>
      </c>
      <c r="L1007" s="189" t="inlineStr">
        <is>
          <t>2026-02-23 23:48</t>
        </is>
      </c>
      <c r="M1007" s="189" t="inlineStr">
        <is>
          <t>CHECK_VENDOR</t>
        </is>
      </c>
      <c r="N1007" s="189" t="inlineStr">
        <is>
          <t>See NVD references</t>
        </is>
      </c>
      <c r="O1007" s="189" t="inlineStr">
        <is>
          <t>Apply vendor patches</t>
        </is>
      </c>
      <c r="P1007" s="189" t="inlineStr">
        <is>
          <t>See CVE details</t>
        </is>
      </c>
      <c r="Q1007" s="189" t="inlineStr">
        <is>
          <t>P3</t>
        </is>
      </c>
      <c r="R1007" s="189" t="inlineStr">
        <is>
          <t>🚨 URGENT: Apply vendor patches immediately | 🔒 Isolate affected systems if patch unavailable | 🛡️ Enable additional monitoring/IDS rules</t>
        </is>
      </c>
      <c r="S1007" s="189" t="inlineStr">
        <is>
          <t>CVE - IP enrichment n/a</t>
        </is>
      </c>
      <c r="T1007" s="189" t="n">
        <v>0</v>
      </c>
      <c r="U1007" s="189" t="n">
        <v>0</v>
      </c>
      <c r="V1007" s="189" t="inlineStr">
        <is>
          <t>T1190:Exploit Public-Facing Application</t>
        </is>
      </c>
      <c r="W1007" s="189" t="n">
        <v>1</v>
      </c>
      <c r="X1007" s="189" t="inlineStr">
        <is>
          <t>LOW (40%)</t>
        </is>
      </c>
      <c r="Y1007" s="189" t="inlineStr">
        <is>
          <t>UNLIKELY</t>
        </is>
      </c>
      <c r="Z1007" s="189" t="inlineStr">
        <is>
          <t>CHECK_VENDOR</t>
        </is>
      </c>
      <c r="AA1007" s="190" t="inlineStr">
        <is>
          <t>https://nvd.nist.gov/vuln/detail/CVE-2026-22383</t>
        </is>
      </c>
      <c r="AB1007" s="189" t="inlineStr">
        <is>
          <t>NONE</t>
        </is>
      </c>
      <c r="AC1007" s="189" t="n">
        <v>0</v>
      </c>
      <c r="AD1007" s="189" t="n"/>
    </row>
    <row r="1008">
      <c r="A1008" s="191" t="inlineStr">
        <is>
          <t>CVE</t>
        </is>
      </c>
      <c r="B1008" s="191" t="inlineStr">
        <is>
          <t>CVE-2026-22384</t>
        </is>
      </c>
      <c r="C1008" s="191" t="inlineStr">
        <is>
          <t>Deserialization of Untrusted Data vulnerability in leafcolor Applay - Shortcodes applay-shortcodes allows Object Injection.This issue affects Applay - Shortcodes: from n/a through &lt;= 3.7.</t>
        </is>
      </c>
      <c r="D1008" s="191" t="n">
        <v>5</v>
      </c>
      <c r="E1008" s="191" t="inlineStr">
        <is>
          <t>MEDIUM</t>
        </is>
      </c>
      <c r="F1008" s="191" t="n">
        <v>2</v>
      </c>
      <c r="G1008" s="191" t="n">
        <v>2</v>
      </c>
      <c r="H1008" s="191" t="inlineStr">
        <is>
          <t>MEDIUM</t>
        </is>
      </c>
      <c r="I1008" s="191" t="n">
        <v>9</v>
      </c>
      <c r="J1008" s="191" t="inlineStr">
        <is>
          <t>NO</t>
        </is>
      </c>
      <c r="K1008" s="192" t="inlineStr">
        <is>
          <t>https://nvd.nist.gov/vuln/detail/CVE-2026-22384</t>
        </is>
      </c>
      <c r="L1008" s="191" t="inlineStr">
        <is>
          <t>2026-02-23 23:48</t>
        </is>
      </c>
      <c r="M1008" s="191" t="inlineStr">
        <is>
          <t>CHECK_VENDOR</t>
        </is>
      </c>
      <c r="N1008" s="191" t="inlineStr">
        <is>
          <t>See NVD references</t>
        </is>
      </c>
      <c r="O1008" s="191" t="inlineStr">
        <is>
          <t>Apply vendor patches</t>
        </is>
      </c>
      <c r="P1008" s="191" t="inlineStr">
        <is>
          <t>See CVE details</t>
        </is>
      </c>
      <c r="Q1008" s="191" t="inlineStr">
        <is>
          <t>P4</t>
        </is>
      </c>
      <c r="R1008" s="191" t="inlineStr">
        <is>
          <t>📅 Schedule patch deployment within 30 days | 🔍 Monitor for exploitation attempts</t>
        </is>
      </c>
      <c r="S1008" s="191" t="inlineStr">
        <is>
          <t>CVE - IP enrichment n/a</t>
        </is>
      </c>
      <c r="T1008" s="191" t="n">
        <v>0</v>
      </c>
      <c r="U1008" s="191" t="n">
        <v>0</v>
      </c>
      <c r="V1008" s="191" t="inlineStr">
        <is>
          <t>T1059:Command and Scripting Interpreter</t>
        </is>
      </c>
      <c r="W1008" s="191" t="n">
        <v>1</v>
      </c>
      <c r="X1008" s="191" t="inlineStr">
        <is>
          <t>LOW (40%)</t>
        </is>
      </c>
      <c r="Y1008" s="191" t="inlineStr">
        <is>
          <t>UNLIKELY</t>
        </is>
      </c>
      <c r="Z1008" s="191" t="inlineStr">
        <is>
          <t>CHECK_VENDOR</t>
        </is>
      </c>
      <c r="AA1008" s="192" t="inlineStr">
        <is>
          <t>https://nvd.nist.gov/vuln/detail/CVE-2026-22384</t>
        </is>
      </c>
      <c r="AB1008" s="191" t="inlineStr">
        <is>
          <t>NONE</t>
        </is>
      </c>
      <c r="AC1008" s="191" t="n">
        <v>0</v>
      </c>
      <c r="AD1008" s="191" t="n"/>
    </row>
    <row r="1009">
      <c r="A1009" s="195" t="inlineStr">
        <is>
          <t>CVE</t>
        </is>
      </c>
      <c r="B1009" s="195" t="inlineStr">
        <is>
          <t>CVE-2026-22885</t>
        </is>
      </c>
      <c r="C1009" s="195" t="inlineStr">
        <is>
          <t>A vulnerability exists in EnOcean SmartServer IoT version 4.60.009 and 
prior, which would allow remote attackers, in the LON IP-852 management 
messages, to send specially crafted IP-852 messages resulting in a 
memory leak from the program's memory.</t>
        </is>
      </c>
      <c r="D1009" s="195" t="n">
        <v>3.7</v>
      </c>
      <c r="E1009" s="195" t="inlineStr">
        <is>
          <t>LOW</t>
        </is>
      </c>
      <c r="F1009" s="195" t="n">
        <v>2</v>
      </c>
      <c r="G1009" s="195" t="n">
        <v>1</v>
      </c>
      <c r="H1009" s="195" t="inlineStr">
        <is>
          <t>LOW</t>
        </is>
      </c>
      <c r="I1009" s="195" t="n">
        <v>5.7</v>
      </c>
      <c r="J1009" s="195" t="inlineStr">
        <is>
          <t>NO</t>
        </is>
      </c>
      <c r="K1009" s="196" t="inlineStr">
        <is>
          <t>https://nvd.nist.gov/vuln/detail/CVE-2026-22885</t>
        </is>
      </c>
      <c r="L1009" s="195" t="inlineStr">
        <is>
          <t>2026-02-23 23:48</t>
        </is>
      </c>
      <c r="M1009" s="195" t="inlineStr">
        <is>
          <t>CHECK_VENDOR</t>
        </is>
      </c>
      <c r="N1009" s="195" t="inlineStr">
        <is>
          <t>See NVD references</t>
        </is>
      </c>
      <c r="O1009" s="195" t="inlineStr">
        <is>
          <t>Apply vendor patches</t>
        </is>
      </c>
      <c r="P1009" s="195" t="inlineStr">
        <is>
          <t>See CVE details</t>
        </is>
      </c>
      <c r="Q1009" s="195" t="inlineStr">
        <is>
          <t>P4</t>
        </is>
      </c>
      <c r="R1009" s="195" t="inlineStr">
        <is>
          <t>📅 Schedule patch deployment within 30 days | 🔍 Monitor for exploitation attempts</t>
        </is>
      </c>
      <c r="S1009" s="195" t="inlineStr">
        <is>
          <t>CVE - IP enrichment n/a</t>
        </is>
      </c>
      <c r="T1009" s="195" t="n">
        <v>0</v>
      </c>
      <c r="U1009" s="195" t="n">
        <v>0</v>
      </c>
      <c r="V1009" s="195" t="inlineStr">
        <is>
          <t>T1203:Exploitation for Client Execution</t>
        </is>
      </c>
      <c r="W1009" s="195" t="n">
        <v>1</v>
      </c>
      <c r="X1009" s="195" t="inlineStr">
        <is>
          <t>LOW (40%)</t>
        </is>
      </c>
      <c r="Y1009" s="195" t="inlineStr">
        <is>
          <t>UNLIKELY</t>
        </is>
      </c>
      <c r="Z1009" s="195" t="inlineStr">
        <is>
          <t>CHECK_VENDOR</t>
        </is>
      </c>
      <c r="AA1009" s="196" t="inlineStr">
        <is>
          <t>https://nvd.nist.gov/vuln/detail/CVE-2026-22885</t>
        </is>
      </c>
      <c r="AB1009" s="195" t="inlineStr">
        <is>
          <t>NONE</t>
        </is>
      </c>
      <c r="AC1009" s="195" t="n">
        <v>0</v>
      </c>
      <c r="AD1009" s="195" t="n"/>
    </row>
    <row r="1010">
      <c r="A1010" s="189" t="inlineStr">
        <is>
          <t>CVE</t>
        </is>
      </c>
      <c r="B1010" s="189" t="inlineStr">
        <is>
          <t>CVE-2026-24941</t>
        </is>
      </c>
      <c r="C1010" s="189" t="inlineStr">
        <is>
          <t>Missing Authorization vulnerability in wpjobportal WP Job Portal wp-job-portal allows Exploiting Incorrectly Configured Access Control Security Levels.This issue affects WP Job Portal: from n/a through &lt;= 2.4.4.</t>
        </is>
      </c>
      <c r="D1010" s="189" t="n">
        <v>7.5</v>
      </c>
      <c r="E1010" s="189" t="inlineStr">
        <is>
          <t>HIGH</t>
        </is>
      </c>
      <c r="F1010" s="189" t="n">
        <v>2</v>
      </c>
      <c r="G1010" s="189" t="n">
        <v>3</v>
      </c>
      <c r="H1010" s="189" t="inlineStr">
        <is>
          <t>HIGH</t>
        </is>
      </c>
      <c r="I1010" s="189" t="n">
        <v>13.5</v>
      </c>
      <c r="J1010" s="189" t="inlineStr">
        <is>
          <t>NO</t>
        </is>
      </c>
      <c r="K1010" s="190" t="inlineStr">
        <is>
          <t>https://nvd.nist.gov/vuln/detail/CVE-2026-24941</t>
        </is>
      </c>
      <c r="L1010" s="189" t="inlineStr">
        <is>
          <t>2026-02-23 23:48</t>
        </is>
      </c>
      <c r="M1010" s="189" t="inlineStr">
        <is>
          <t>CHECK_VENDOR</t>
        </is>
      </c>
      <c r="N1010" s="189" t="inlineStr">
        <is>
          <t>See NVD references</t>
        </is>
      </c>
      <c r="O1010" s="189" t="inlineStr">
        <is>
          <t>Apply vendor patches</t>
        </is>
      </c>
      <c r="P1010" s="189" t="inlineStr">
        <is>
          <t>See CVE details</t>
        </is>
      </c>
      <c r="Q1010" s="189" t="inlineStr">
        <is>
          <t>P3</t>
        </is>
      </c>
      <c r="R1010" s="189" t="inlineStr">
        <is>
          <t>🚨 URGENT: Apply vendor patches immediately | 🔒 Isolate affected systems if patch unavailable | 🛡️ Enable additional monitoring/IDS rules</t>
        </is>
      </c>
      <c r="S1010" s="189" t="inlineStr">
        <is>
          <t>CVE - IP enrichment n/a</t>
        </is>
      </c>
      <c r="T1010" s="189" t="n">
        <v>0</v>
      </c>
      <c r="U1010" s="189" t="n">
        <v>0</v>
      </c>
      <c r="V1010" s="189" t="inlineStr">
        <is>
          <t>T1190:Exploit Public-Facing Application</t>
        </is>
      </c>
      <c r="W1010" s="189" t="n">
        <v>1</v>
      </c>
      <c r="X1010" s="189" t="inlineStr">
        <is>
          <t>LOW (40%)</t>
        </is>
      </c>
      <c r="Y1010" s="189" t="inlineStr">
        <is>
          <t>UNLIKELY</t>
        </is>
      </c>
      <c r="Z1010" s="189" t="inlineStr">
        <is>
          <t>CHECK_VENDOR</t>
        </is>
      </c>
      <c r="AA1010" s="190" t="inlineStr">
        <is>
          <t>https://nvd.nist.gov/vuln/detail/CVE-2026-24941</t>
        </is>
      </c>
      <c r="AB1010" s="189" t="inlineStr">
        <is>
          <t>NONE</t>
        </is>
      </c>
      <c r="AC1010" s="189" t="n">
        <v>0</v>
      </c>
      <c r="AD1010" s="189" t="n"/>
    </row>
    <row r="1011">
      <c r="A1011" s="191" t="inlineStr">
        <is>
          <t>CVE</t>
        </is>
      </c>
      <c r="B1011" s="191" t="inlineStr">
        <is>
          <t>CVE-2026-24943</t>
        </is>
      </c>
      <c r="C1011" s="191" t="inlineStr">
        <is>
          <t>Improper Neutralization of Input During Web Page Generation ('Cross-site Scripting') vulnerability in ThemeGoods Grand Conference grandconference allows Reflected XSS.This issue affects Grand Conference: from n/a through &lt;= 5.3.4.</t>
        </is>
      </c>
      <c r="D1011" s="191" t="n">
        <v>5</v>
      </c>
      <c r="E1011" s="191" t="inlineStr">
        <is>
          <t>MEDIUM</t>
        </is>
      </c>
      <c r="F1011" s="191" t="n">
        <v>2</v>
      </c>
      <c r="G1011" s="191" t="n">
        <v>2</v>
      </c>
      <c r="H1011" s="191" t="inlineStr">
        <is>
          <t>MEDIUM</t>
        </is>
      </c>
      <c r="I1011" s="191" t="n">
        <v>9</v>
      </c>
      <c r="J1011" s="191" t="inlineStr">
        <is>
          <t>NO</t>
        </is>
      </c>
      <c r="K1011" s="192" t="inlineStr">
        <is>
          <t>https://nvd.nist.gov/vuln/detail/CVE-2026-24943</t>
        </is>
      </c>
      <c r="L1011" s="191" t="inlineStr">
        <is>
          <t>2026-02-23 23:48</t>
        </is>
      </c>
      <c r="M1011" s="191" t="inlineStr">
        <is>
          <t>CHECK_VENDOR</t>
        </is>
      </c>
      <c r="N1011" s="191" t="inlineStr">
        <is>
          <t>See NVD references</t>
        </is>
      </c>
      <c r="O1011" s="191" t="inlineStr">
        <is>
          <t>Apply vendor patches</t>
        </is>
      </c>
      <c r="P1011" s="191" t="inlineStr">
        <is>
          <t>See CVE details</t>
        </is>
      </c>
      <c r="Q1011" s="191" t="inlineStr">
        <is>
          <t>P4</t>
        </is>
      </c>
      <c r="R1011" s="191" t="inlineStr">
        <is>
          <t>📅 Schedule patch deployment within 30 days | 🔍 Monitor for exploitation attempts</t>
        </is>
      </c>
      <c r="S1011" s="191" t="inlineStr">
        <is>
          <t>CVE - IP enrichment n/a</t>
        </is>
      </c>
      <c r="T1011" s="191" t="n">
        <v>0</v>
      </c>
      <c r="U1011" s="191" t="n">
        <v>0</v>
      </c>
      <c r="V1011" s="191" t="inlineStr">
        <is>
          <t>T1189:Drive-by Compromise</t>
        </is>
      </c>
      <c r="W1011" s="191" t="n">
        <v>1</v>
      </c>
      <c r="X1011" s="191" t="inlineStr">
        <is>
          <t>LOW (40%)</t>
        </is>
      </c>
      <c r="Y1011" s="191" t="inlineStr">
        <is>
          <t>UNLIKELY</t>
        </is>
      </c>
      <c r="Z1011" s="191" t="inlineStr">
        <is>
          <t>CHECK_VENDOR</t>
        </is>
      </c>
      <c r="AA1011" s="192" t="inlineStr">
        <is>
          <t>https://nvd.nist.gov/vuln/detail/CVE-2026-24943</t>
        </is>
      </c>
      <c r="AB1011" s="191" t="inlineStr">
        <is>
          <t>NONE</t>
        </is>
      </c>
      <c r="AC1011" s="191" t="n">
        <v>0</v>
      </c>
      <c r="AD1011" s="191" t="n"/>
    </row>
    <row r="1012">
      <c r="A1012" s="191" t="inlineStr">
        <is>
          <t>CVE</t>
        </is>
      </c>
      <c r="B1012" s="191" t="inlineStr">
        <is>
          <t>CVE-2026-24944</t>
        </is>
      </c>
      <c r="C1012" s="191" t="inlineStr">
        <is>
          <t>Missing Authorization vulnerability in weDevs Subscribe2 subscribe2 allows Exploiting Incorrectly Configured Access Control Security Levels.This issue affects Subscribe2: from n/a through &lt;= 10.44.</t>
        </is>
      </c>
      <c r="D1012" s="191" t="n">
        <v>6.5</v>
      </c>
      <c r="E1012" s="191" t="inlineStr">
        <is>
          <t>MEDIUM</t>
        </is>
      </c>
      <c r="F1012" s="191" t="n">
        <v>2</v>
      </c>
      <c r="G1012" s="191" t="n">
        <v>2</v>
      </c>
      <c r="H1012" s="191" t="inlineStr">
        <is>
          <t>MEDIUM</t>
        </is>
      </c>
      <c r="I1012" s="191" t="n">
        <v>10.5</v>
      </c>
      <c r="J1012" s="191" t="inlineStr">
        <is>
          <t>NO</t>
        </is>
      </c>
      <c r="K1012" s="192" t="inlineStr">
        <is>
          <t>https://nvd.nist.gov/vuln/detail/CVE-2026-24944</t>
        </is>
      </c>
      <c r="L1012" s="191" t="inlineStr">
        <is>
          <t>2026-02-23 23:48</t>
        </is>
      </c>
      <c r="M1012" s="191" t="inlineStr">
        <is>
          <t>CHECK_VENDOR</t>
        </is>
      </c>
      <c r="N1012" s="191" t="inlineStr">
        <is>
          <t>See NVD references</t>
        </is>
      </c>
      <c r="O1012" s="191" t="inlineStr">
        <is>
          <t>Apply vendor patches</t>
        </is>
      </c>
      <c r="P1012" s="191" t="inlineStr">
        <is>
          <t>See CVE details</t>
        </is>
      </c>
      <c r="Q1012" s="191" t="inlineStr">
        <is>
          <t>P4</t>
        </is>
      </c>
      <c r="R1012" s="191" t="inlineStr">
        <is>
          <t>📅 Schedule patch deployment within 30 days | 🔍 Monitor for exploitation attempts</t>
        </is>
      </c>
      <c r="S1012" s="191" t="inlineStr">
        <is>
          <t>CVE - IP enrichment n/a</t>
        </is>
      </c>
      <c r="T1012" s="191" t="n">
        <v>0.0003</v>
      </c>
      <c r="U1012" s="191" t="n">
        <v>0.0857</v>
      </c>
      <c r="V1012" s="191" t="inlineStr">
        <is>
          <t>T1190:Exploit Public-Facing Application</t>
        </is>
      </c>
      <c r="W1012" s="191" t="n">
        <v>1</v>
      </c>
      <c r="X1012" s="191" t="inlineStr">
        <is>
          <t>LOW (40%)</t>
        </is>
      </c>
      <c r="Y1012" s="191" t="inlineStr">
        <is>
          <t>UNLIKELY</t>
        </is>
      </c>
      <c r="Z1012" s="191" t="inlineStr">
        <is>
          <t>CHECK_VENDOR</t>
        </is>
      </c>
      <c r="AA1012" s="192" t="inlineStr">
        <is>
          <t>https://nvd.nist.gov/vuln/detail/CVE-2026-24944</t>
        </is>
      </c>
      <c r="AB1012" s="191" t="inlineStr">
        <is>
          <t>NONE</t>
        </is>
      </c>
      <c r="AC1012" s="191" t="n">
        <v>0</v>
      </c>
      <c r="AD1012" s="191" t="n"/>
    </row>
    <row r="1013">
      <c r="A1013" s="189" t="inlineStr">
        <is>
          <t>CVE</t>
        </is>
      </c>
      <c r="B1013" s="189" t="inlineStr">
        <is>
          <t>CVE-2026-24946</t>
        </is>
      </c>
      <c r="C1013" s="189" t="inlineStr">
        <is>
          <t>Missing Authorization vulnerability in tychesoftwares Print Invoice &amp; Delivery Notes for WooCommerce woocommerce-delivery-notes allows Exploiting Incorrectly Configured Access Control Security Levels.This issue affects Print Invoice &amp; Delivery Notes for WooCommerce: from n/a through &lt;= 5.8.0.</t>
        </is>
      </c>
      <c r="D1013" s="189" t="n">
        <v>8.5</v>
      </c>
      <c r="E1013" s="189" t="inlineStr">
        <is>
          <t>HIGH</t>
        </is>
      </c>
      <c r="F1013" s="189" t="n">
        <v>2</v>
      </c>
      <c r="G1013" s="189" t="n">
        <v>3</v>
      </c>
      <c r="H1013" s="189" t="inlineStr">
        <is>
          <t>HIGH</t>
        </is>
      </c>
      <c r="I1013" s="189" t="n">
        <v>14.5</v>
      </c>
      <c r="J1013" s="189" t="inlineStr">
        <is>
          <t>NO</t>
        </is>
      </c>
      <c r="K1013" s="190" t="inlineStr">
        <is>
          <t>https://nvd.nist.gov/vuln/detail/CVE-2026-24946</t>
        </is>
      </c>
      <c r="L1013" s="189" t="inlineStr">
        <is>
          <t>2026-02-23 23:48</t>
        </is>
      </c>
      <c r="M1013" s="189" t="inlineStr">
        <is>
          <t>CHECK_VENDOR</t>
        </is>
      </c>
      <c r="N1013" s="189" t="inlineStr">
        <is>
          <t>See NVD references</t>
        </is>
      </c>
      <c r="O1013" s="189" t="inlineStr">
        <is>
          <t>Apply vendor patches</t>
        </is>
      </c>
      <c r="P1013" s="189" t="inlineStr">
        <is>
          <t>See CVE details</t>
        </is>
      </c>
      <c r="Q1013" s="189" t="inlineStr">
        <is>
          <t>P3</t>
        </is>
      </c>
      <c r="R1013" s="189" t="inlineStr">
        <is>
          <t>🚨 URGENT: Apply vendor patches immediately | 🔒 Isolate affected systems if patch unavailable | 🛡️ Enable additional monitoring/IDS rules</t>
        </is>
      </c>
      <c r="S1013" s="189" t="inlineStr">
        <is>
          <t>CVE - IP enrichment n/a</t>
        </is>
      </c>
      <c r="T1013" s="189" t="n">
        <v>0</v>
      </c>
      <c r="U1013" s="189" t="n">
        <v>0</v>
      </c>
      <c r="V1013" s="189" t="inlineStr">
        <is>
          <t>T1190:Exploit Public-Facing Application</t>
        </is>
      </c>
      <c r="W1013" s="189" t="n">
        <v>1</v>
      </c>
      <c r="X1013" s="189" t="inlineStr">
        <is>
          <t>LOW (40%)</t>
        </is>
      </c>
      <c r="Y1013" s="189" t="inlineStr">
        <is>
          <t>UNLIKELY</t>
        </is>
      </c>
      <c r="Z1013" s="189" t="inlineStr">
        <is>
          <t>CHECK_VENDOR</t>
        </is>
      </c>
      <c r="AA1013" s="190" t="inlineStr">
        <is>
          <t>https://nvd.nist.gov/vuln/detail/CVE-2026-24946</t>
        </is>
      </c>
      <c r="AB1013" s="189" t="inlineStr">
        <is>
          <t>NONE</t>
        </is>
      </c>
      <c r="AC1013" s="189" t="n">
        <v>0</v>
      </c>
      <c r="AD1013" s="189" t="n"/>
    </row>
    <row r="1014">
      <c r="A1014" s="189" t="inlineStr">
        <is>
          <t>CVE</t>
        </is>
      </c>
      <c r="B1014" s="189" t="inlineStr">
        <is>
          <t>CVE-2026-24948</t>
        </is>
      </c>
      <c r="C1014" s="189" t="inlineStr">
        <is>
          <t>Improper Neutralization of Input During Web Page Generation ('Cross-site Scripting') vulnerability in fox-themes Reflector reflector-plugins allows Reflected XSS.This issue affects Reflector: from n/a through &lt;= 1.2.2.</t>
        </is>
      </c>
      <c r="D1014" s="189" t="n">
        <v>7.1</v>
      </c>
      <c r="E1014" s="189" t="inlineStr">
        <is>
          <t>HIGH</t>
        </is>
      </c>
      <c r="F1014" s="189" t="n">
        <v>2</v>
      </c>
      <c r="G1014" s="189" t="n">
        <v>3</v>
      </c>
      <c r="H1014" s="189" t="inlineStr">
        <is>
          <t>HIGH</t>
        </is>
      </c>
      <c r="I1014" s="189" t="n">
        <v>13.1</v>
      </c>
      <c r="J1014" s="189" t="inlineStr">
        <is>
          <t>NO</t>
        </is>
      </c>
      <c r="K1014" s="190" t="inlineStr">
        <is>
          <t>https://nvd.nist.gov/vuln/detail/CVE-2026-24948</t>
        </is>
      </c>
      <c r="L1014" s="189" t="inlineStr">
        <is>
          <t>2026-02-23 23:48</t>
        </is>
      </c>
      <c r="M1014" s="189" t="inlineStr">
        <is>
          <t>CHECK_VENDOR</t>
        </is>
      </c>
      <c r="N1014" s="189" t="inlineStr">
        <is>
          <t>See NVD references</t>
        </is>
      </c>
      <c r="O1014" s="189" t="inlineStr">
        <is>
          <t>Apply vendor patches</t>
        </is>
      </c>
      <c r="P1014" s="189" t="inlineStr">
        <is>
          <t>See CVE details</t>
        </is>
      </c>
      <c r="Q1014" s="189" t="inlineStr">
        <is>
          <t>P3</t>
        </is>
      </c>
      <c r="R1014" s="189" t="inlineStr">
        <is>
          <t>🚨 URGENT: Apply vendor patches immediately | 🔒 Isolate affected systems if patch unavailable | 🛡️ Enable additional monitoring/IDS rules</t>
        </is>
      </c>
      <c r="S1014" s="189" t="inlineStr">
        <is>
          <t>CVE - IP enrichment n/a</t>
        </is>
      </c>
      <c r="T1014" s="189" t="n">
        <v>0</v>
      </c>
      <c r="U1014" s="189" t="n">
        <v>0</v>
      </c>
      <c r="V1014" s="189" t="inlineStr">
        <is>
          <t>T1189:Drive-by Compromise</t>
        </is>
      </c>
      <c r="W1014" s="189" t="n">
        <v>1</v>
      </c>
      <c r="X1014" s="189" t="inlineStr">
        <is>
          <t>LOW (40%)</t>
        </is>
      </c>
      <c r="Y1014" s="189" t="inlineStr">
        <is>
          <t>UNLIKELY</t>
        </is>
      </c>
      <c r="Z1014" s="189" t="inlineStr">
        <is>
          <t>CHECK_VENDOR</t>
        </is>
      </c>
      <c r="AA1014" s="190" t="inlineStr">
        <is>
          <t>https://nvd.nist.gov/vuln/detail/CVE-2026-24948</t>
        </is>
      </c>
      <c r="AB1014" s="189" t="inlineStr">
        <is>
          <t>NONE</t>
        </is>
      </c>
      <c r="AC1014" s="189" t="n">
        <v>0</v>
      </c>
      <c r="AD1014" s="189" t="n"/>
    </row>
    <row r="1015">
      <c r="A1015" s="191" t="inlineStr">
        <is>
          <t>CVE</t>
        </is>
      </c>
      <c r="B1015" s="191" t="inlineStr">
        <is>
          <t>CVE-2026-24949</t>
        </is>
      </c>
      <c r="C1015" s="191" t="inlineStr">
        <is>
          <t>Improper Neutralization of Input During Web Page Generation ('Cross-site Scripting') vulnerability in ThemeGoods PhotoMe photome allows DOM-Based XSS.This issue affects PhotoMe: from n/a through &lt;= 5.7.1.</t>
        </is>
      </c>
      <c r="D1015" s="191" t="n">
        <v>5</v>
      </c>
      <c r="E1015" s="191" t="inlineStr">
        <is>
          <t>MEDIUM</t>
        </is>
      </c>
      <c r="F1015" s="191" t="n">
        <v>2</v>
      </c>
      <c r="G1015" s="191" t="n">
        <v>2</v>
      </c>
      <c r="H1015" s="191" t="inlineStr">
        <is>
          <t>MEDIUM</t>
        </is>
      </c>
      <c r="I1015" s="191" t="n">
        <v>9</v>
      </c>
      <c r="J1015" s="191" t="inlineStr">
        <is>
          <t>NO</t>
        </is>
      </c>
      <c r="K1015" s="192" t="inlineStr">
        <is>
          <t>https://nvd.nist.gov/vuln/detail/CVE-2026-24949</t>
        </is>
      </c>
      <c r="L1015" s="191" t="inlineStr">
        <is>
          <t>2026-02-23 23:48</t>
        </is>
      </c>
      <c r="M1015" s="191" t="inlineStr">
        <is>
          <t>CHECK_VENDOR</t>
        </is>
      </c>
      <c r="N1015" s="191" t="inlineStr">
        <is>
          <t>See NVD references</t>
        </is>
      </c>
      <c r="O1015" s="191" t="inlineStr">
        <is>
          <t>Apply vendor patches</t>
        </is>
      </c>
      <c r="P1015" s="191" t="inlineStr">
        <is>
          <t>See CVE details</t>
        </is>
      </c>
      <c r="Q1015" s="191" t="inlineStr">
        <is>
          <t>P4</t>
        </is>
      </c>
      <c r="R1015" s="191" t="inlineStr">
        <is>
          <t>📅 Schedule patch deployment within 30 days | 🔍 Monitor for exploitation attempts</t>
        </is>
      </c>
      <c r="S1015" s="191" t="inlineStr">
        <is>
          <t>CVE - IP enrichment n/a</t>
        </is>
      </c>
      <c r="T1015" s="191" t="n">
        <v>0</v>
      </c>
      <c r="U1015" s="191" t="n">
        <v>0</v>
      </c>
      <c r="V1015" s="191" t="inlineStr">
        <is>
          <t>T1189:Drive-by Compromise</t>
        </is>
      </c>
      <c r="W1015" s="191" t="n">
        <v>1</v>
      </c>
      <c r="X1015" s="191" t="inlineStr">
        <is>
          <t>LOW (40%)</t>
        </is>
      </c>
      <c r="Y1015" s="191" t="inlineStr">
        <is>
          <t>UNLIKELY</t>
        </is>
      </c>
      <c r="Z1015" s="191" t="inlineStr">
        <is>
          <t>CHECK_VENDOR</t>
        </is>
      </c>
      <c r="AA1015" s="192" t="inlineStr">
        <is>
          <t>https://nvd.nist.gov/vuln/detail/CVE-2026-24949</t>
        </is>
      </c>
      <c r="AB1015" s="191" t="inlineStr">
        <is>
          <t>NONE</t>
        </is>
      </c>
      <c r="AC1015" s="191" t="n">
        <v>0</v>
      </c>
      <c r="AD1015" s="191" t="n"/>
    </row>
    <row r="1016">
      <c r="A1016" s="189" t="inlineStr">
        <is>
          <t>CVE</t>
        </is>
      </c>
      <c r="B1016" s="189" t="inlineStr">
        <is>
          <t>CVE-2026-24950</t>
        </is>
      </c>
      <c r="C1016" s="189" t="inlineStr">
        <is>
          <t>Authorization Bypass Through User-Controlled Key vulnerability in themeplugs Authorsy authorsy allows Exploiting Incorrectly Configured Access Control Security Levels.This issue affects Authorsy: from n/a through &lt;= 1.0.6.</t>
        </is>
      </c>
      <c r="D1016" s="189" t="n">
        <v>7.5</v>
      </c>
      <c r="E1016" s="189" t="inlineStr">
        <is>
          <t>HIGH</t>
        </is>
      </c>
      <c r="F1016" s="189" t="n">
        <v>2</v>
      </c>
      <c r="G1016" s="189" t="n">
        <v>3</v>
      </c>
      <c r="H1016" s="189" t="inlineStr">
        <is>
          <t>HIGH</t>
        </is>
      </c>
      <c r="I1016" s="189" t="n">
        <v>13.5</v>
      </c>
      <c r="J1016" s="189" t="inlineStr">
        <is>
          <t>NO</t>
        </is>
      </c>
      <c r="K1016" s="190" t="inlineStr">
        <is>
          <t>https://nvd.nist.gov/vuln/detail/CVE-2026-24950</t>
        </is>
      </c>
      <c r="L1016" s="189" t="inlineStr">
        <is>
          <t>2026-02-23 23:48</t>
        </is>
      </c>
      <c r="M1016" s="189" t="inlineStr">
        <is>
          <t>CHECK_VENDOR</t>
        </is>
      </c>
      <c r="N1016" s="189" t="inlineStr">
        <is>
          <t>See NVD references</t>
        </is>
      </c>
      <c r="O1016" s="189" t="inlineStr">
        <is>
          <t>Apply vendor patches</t>
        </is>
      </c>
      <c r="P1016" s="189" t="inlineStr">
        <is>
          <t>See CVE details</t>
        </is>
      </c>
      <c r="Q1016" s="189" t="inlineStr">
        <is>
          <t>P3</t>
        </is>
      </c>
      <c r="R1016" s="189" t="inlineStr">
        <is>
          <t>🚨 URGENT: Apply vendor patches immediately | 🔒 Isolate affected systems if patch unavailable | 🛡️ Enable additional monitoring/IDS rules</t>
        </is>
      </c>
      <c r="S1016" s="189" t="inlineStr">
        <is>
          <t>CVE - IP enrichment n/a</t>
        </is>
      </c>
      <c r="T1016" s="189" t="n">
        <v>0</v>
      </c>
      <c r="U1016" s="189" t="n">
        <v>0</v>
      </c>
      <c r="V1016" s="189" t="inlineStr">
        <is>
          <t>T1190:Exploit Public-Facing Application</t>
        </is>
      </c>
      <c r="W1016" s="189" t="n">
        <v>1</v>
      </c>
      <c r="X1016" s="189" t="inlineStr">
        <is>
          <t>LOW (40%)</t>
        </is>
      </c>
      <c r="Y1016" s="189" t="inlineStr">
        <is>
          <t>UNLIKELY</t>
        </is>
      </c>
      <c r="Z1016" s="189" t="inlineStr">
        <is>
          <t>CHECK_VENDOR</t>
        </is>
      </c>
      <c r="AA1016" s="190" t="inlineStr">
        <is>
          <t>https://nvd.nist.gov/vuln/detail/CVE-2026-24950</t>
        </is>
      </c>
      <c r="AB1016" s="189" t="inlineStr">
        <is>
          <t>NONE</t>
        </is>
      </c>
      <c r="AC1016" s="189" t="n">
        <v>0</v>
      </c>
      <c r="AD1016" s="189" t="n"/>
    </row>
    <row r="1017">
      <c r="A1017" s="191" t="inlineStr">
        <is>
          <t>CVE</t>
        </is>
      </c>
      <c r="B1017" s="191" t="inlineStr">
        <is>
          <t>CVE-2026-24953</t>
        </is>
      </c>
      <c r="C1017" s="191" t="inlineStr">
        <is>
          <t>Improper Limitation of a Pathname to a Restricted Directory ('Path Traversal') vulnerability in Mitchell Bennis Simple File List simple-file-list allows Path Traversal.This issue affects Simple File List: from n/a through &lt;= 6.1.15.</t>
        </is>
      </c>
      <c r="D1017" s="191" t="n">
        <v>5</v>
      </c>
      <c r="E1017" s="191" t="inlineStr">
        <is>
          <t>MEDIUM</t>
        </is>
      </c>
      <c r="F1017" s="191" t="n">
        <v>2</v>
      </c>
      <c r="G1017" s="191" t="n">
        <v>2</v>
      </c>
      <c r="H1017" s="191" t="inlineStr">
        <is>
          <t>MEDIUM</t>
        </is>
      </c>
      <c r="I1017" s="191" t="n">
        <v>9</v>
      </c>
      <c r="J1017" s="191" t="inlineStr">
        <is>
          <t>NO</t>
        </is>
      </c>
      <c r="K1017" s="192" t="inlineStr">
        <is>
          <t>https://nvd.nist.gov/vuln/detail/CVE-2026-24953</t>
        </is>
      </c>
      <c r="L1017" s="191" t="inlineStr">
        <is>
          <t>2026-02-23 23:48</t>
        </is>
      </c>
      <c r="M1017" s="191" t="inlineStr">
        <is>
          <t>CHECK_VENDOR</t>
        </is>
      </c>
      <c r="N1017" s="191" t="inlineStr">
        <is>
          <t>See NVD references</t>
        </is>
      </c>
      <c r="O1017" s="191" t="inlineStr">
        <is>
          <t>Apply vendor patches</t>
        </is>
      </c>
      <c r="P1017" s="191" t="inlineStr">
        <is>
          <t>See CVE details</t>
        </is>
      </c>
      <c r="Q1017" s="191" t="inlineStr">
        <is>
          <t>P4</t>
        </is>
      </c>
      <c r="R1017" s="191" t="inlineStr">
        <is>
          <t>📅 Schedule patch deployment within 30 days | 🔍 Monitor for exploitation attempts</t>
        </is>
      </c>
      <c r="S1017" s="191" t="inlineStr">
        <is>
          <t>CVE - IP enrichment n/a</t>
        </is>
      </c>
      <c r="T1017" s="191" t="n">
        <v>0</v>
      </c>
      <c r="U1017" s="191" t="n">
        <v>0</v>
      </c>
      <c r="V1017" s="191" t="inlineStr">
        <is>
          <t>T1083:File and Directory Discovery</t>
        </is>
      </c>
      <c r="W1017" s="191" t="n">
        <v>1</v>
      </c>
      <c r="X1017" s="191" t="inlineStr">
        <is>
          <t>LOW (40%)</t>
        </is>
      </c>
      <c r="Y1017" s="191" t="inlineStr">
        <is>
          <t>UNLIKELY</t>
        </is>
      </c>
      <c r="Z1017" s="191" t="inlineStr">
        <is>
          <t>CHECK_VENDOR</t>
        </is>
      </c>
      <c r="AA1017" s="192" t="inlineStr">
        <is>
          <t>https://nvd.nist.gov/vuln/detail/CVE-2026-24953</t>
        </is>
      </c>
      <c r="AB1017" s="191" t="inlineStr">
        <is>
          <t>NONE</t>
        </is>
      </c>
      <c r="AC1017" s="191" t="n">
        <v>0</v>
      </c>
      <c r="AD1017" s="191" t="n"/>
    </row>
    <row r="1018">
      <c r="A1018" s="189" t="inlineStr">
        <is>
          <t>CVE</t>
        </is>
      </c>
      <c r="B1018" s="189" t="inlineStr">
        <is>
          <t>CVE-2026-24955</t>
        </is>
      </c>
      <c r="C1018" s="189" t="inlineStr">
        <is>
          <t>Improper Neutralization of Input During Web Page Generation ('Cross-site Scripting') vulnerability in fox-themes Whizz Plugins whizz-plugins allows Reflected XSS.This issue affects Whizz Plugins: from n/a through &lt;= 1.9.</t>
        </is>
      </c>
      <c r="D1018" s="189" t="n">
        <v>7.1</v>
      </c>
      <c r="E1018" s="189" t="inlineStr">
        <is>
          <t>HIGH</t>
        </is>
      </c>
      <c r="F1018" s="189" t="n">
        <v>2</v>
      </c>
      <c r="G1018" s="189" t="n">
        <v>3</v>
      </c>
      <c r="H1018" s="189" t="inlineStr">
        <is>
          <t>HIGH</t>
        </is>
      </c>
      <c r="I1018" s="189" t="n">
        <v>13.1</v>
      </c>
      <c r="J1018" s="189" t="inlineStr">
        <is>
          <t>NO</t>
        </is>
      </c>
      <c r="K1018" s="190" t="inlineStr">
        <is>
          <t>https://nvd.nist.gov/vuln/detail/CVE-2026-24955</t>
        </is>
      </c>
      <c r="L1018" s="189" t="inlineStr">
        <is>
          <t>2026-02-23 23:48</t>
        </is>
      </c>
      <c r="M1018" s="189" t="inlineStr">
        <is>
          <t>CHECK_VENDOR</t>
        </is>
      </c>
      <c r="N1018" s="189" t="inlineStr">
        <is>
          <t>See NVD references</t>
        </is>
      </c>
      <c r="O1018" s="189" t="inlineStr">
        <is>
          <t>Apply vendor patches</t>
        </is>
      </c>
      <c r="P1018" s="189" t="inlineStr">
        <is>
          <t>See CVE details</t>
        </is>
      </c>
      <c r="Q1018" s="189" t="inlineStr">
        <is>
          <t>P3</t>
        </is>
      </c>
      <c r="R1018" s="189" t="inlineStr">
        <is>
          <t>🚨 URGENT: Apply vendor patches immediately | 🔒 Isolate affected systems if patch unavailable | 🛡️ Enable additional monitoring/IDS rules</t>
        </is>
      </c>
      <c r="S1018" s="189" t="inlineStr">
        <is>
          <t>CVE - IP enrichment n/a</t>
        </is>
      </c>
      <c r="T1018" s="189" t="n">
        <v>0.0003</v>
      </c>
      <c r="U1018" s="189" t="n">
        <v>0.0968</v>
      </c>
      <c r="V1018" s="189" t="inlineStr">
        <is>
          <t>T1189:Drive-by Compromise</t>
        </is>
      </c>
      <c r="W1018" s="189" t="n">
        <v>1</v>
      </c>
      <c r="X1018" s="189" t="inlineStr">
        <is>
          <t>LOW (40%)</t>
        </is>
      </c>
      <c r="Y1018" s="189" t="inlineStr">
        <is>
          <t>UNLIKELY</t>
        </is>
      </c>
      <c r="Z1018" s="189" t="inlineStr">
        <is>
          <t>CHECK_VENDOR</t>
        </is>
      </c>
      <c r="AA1018" s="190" t="inlineStr">
        <is>
          <t>https://nvd.nist.gov/vuln/detail/CVE-2026-24955</t>
        </is>
      </c>
      <c r="AB1018" s="189" t="inlineStr">
        <is>
          <t>NONE</t>
        </is>
      </c>
      <c r="AC1018" s="189" t="n">
        <v>0</v>
      </c>
      <c r="AD1018" s="189" t="n"/>
    </row>
    <row r="1019">
      <c r="A1019" s="193" t="inlineStr">
        <is>
          <t>CVE</t>
        </is>
      </c>
      <c r="B1019" s="193" t="inlineStr">
        <is>
          <t>CVE-2026-24956</t>
        </is>
      </c>
      <c r="C1019" s="193" t="inlineStr">
        <is>
          <t>Improper Neutralization of Special Elements used in an SQL Command ('SQL Injection') vulnerability in Shahjada Download Manager Addons for Elementor wpdm-elementor allows Blind SQL Injection.This issue affects Download Manager Addons for Elementor: from n/a through &lt;= 1.3.0.</t>
        </is>
      </c>
      <c r="D1019" s="193" t="n">
        <v>9.300000000000001</v>
      </c>
      <c r="E1019" s="193" t="inlineStr">
        <is>
          <t>CRITICAL</t>
        </is>
      </c>
      <c r="F1019" s="193" t="n">
        <v>2</v>
      </c>
      <c r="G1019" s="193" t="n">
        <v>3</v>
      </c>
      <c r="H1019" s="193" t="inlineStr">
        <is>
          <t>HIGH</t>
        </is>
      </c>
      <c r="I1019" s="193" t="n">
        <v>15.3</v>
      </c>
      <c r="J1019" s="193" t="inlineStr">
        <is>
          <t>NO</t>
        </is>
      </c>
      <c r="K1019" s="194" t="inlineStr">
        <is>
          <t>https://nvd.nist.gov/vuln/detail/CVE-2026-24956</t>
        </is>
      </c>
      <c r="L1019" s="193" t="inlineStr">
        <is>
          <t>2026-02-23 23:48</t>
        </is>
      </c>
      <c r="M1019" s="193" t="inlineStr">
        <is>
          <t>CHECK_VENDOR</t>
        </is>
      </c>
      <c r="N1019" s="193" t="inlineStr">
        <is>
          <t>See NVD references</t>
        </is>
      </c>
      <c r="O1019" s="193" t="inlineStr">
        <is>
          <t>Apply vendor patches</t>
        </is>
      </c>
      <c r="P1019" s="193" t="inlineStr">
        <is>
          <t>See CVE details</t>
        </is>
      </c>
      <c r="Q1019" s="193" t="inlineStr">
        <is>
          <t>P3</t>
        </is>
      </c>
      <c r="R1019" s="193" t="inlineStr">
        <is>
          <t>🚨 URGENT: Apply vendor patches immediately | 🔒 Isolate affected systems if patch unavailable | 🛡️ Enable additional monitoring/IDS rules</t>
        </is>
      </c>
      <c r="S1019" s="193" t="inlineStr">
        <is>
          <t>CVE - IP enrichment n/a</t>
        </is>
      </c>
      <c r="T1019" s="193" t="n">
        <v>0</v>
      </c>
      <c r="U1019" s="193" t="n">
        <v>0</v>
      </c>
      <c r="V1019" s="193" t="inlineStr">
        <is>
          <t>T1190:Exploit Public-Facing Application</t>
        </is>
      </c>
      <c r="W1019" s="193" t="n">
        <v>1</v>
      </c>
      <c r="X1019" s="193" t="inlineStr">
        <is>
          <t>LOW (40%)</t>
        </is>
      </c>
      <c r="Y1019" s="193" t="inlineStr">
        <is>
          <t>UNLIKELY</t>
        </is>
      </c>
      <c r="Z1019" s="193" t="inlineStr">
        <is>
          <t>CHECK_VENDOR</t>
        </is>
      </c>
      <c r="AA1019" s="194" t="inlineStr">
        <is>
          <t>https://nvd.nist.gov/vuln/detail/CVE-2026-24956</t>
        </is>
      </c>
      <c r="AB1019" s="193" t="inlineStr">
        <is>
          <t>NONE</t>
        </is>
      </c>
      <c r="AC1019" s="193" t="n">
        <v>0</v>
      </c>
      <c r="AD1019" s="193" t="n"/>
    </row>
    <row r="1020">
      <c r="A1020" s="189" t="inlineStr">
        <is>
          <t>CVE</t>
        </is>
      </c>
      <c r="B1020" s="189" t="inlineStr">
        <is>
          <t>CVE-2026-24959</t>
        </is>
      </c>
      <c r="C1020" s="189" t="inlineStr">
        <is>
          <t>Improper Neutralization of Special Elements used in an SQL Command ('SQL Injection') vulnerability in JoomSky JS Help Desk js-support-ticket allows Blind SQL Injection.This issue affects JS Help Desk: from n/a through &lt;= 3.0.1.</t>
        </is>
      </c>
      <c r="D1020" s="189" t="n">
        <v>8.5</v>
      </c>
      <c r="E1020" s="189" t="inlineStr">
        <is>
          <t>HIGH</t>
        </is>
      </c>
      <c r="F1020" s="189" t="n">
        <v>2</v>
      </c>
      <c r="G1020" s="189" t="n">
        <v>3</v>
      </c>
      <c r="H1020" s="189" t="inlineStr">
        <is>
          <t>HIGH</t>
        </is>
      </c>
      <c r="I1020" s="189" t="n">
        <v>14.5</v>
      </c>
      <c r="J1020" s="189" t="inlineStr">
        <is>
          <t>NO</t>
        </is>
      </c>
      <c r="K1020" s="190" t="inlineStr">
        <is>
          <t>https://nvd.nist.gov/vuln/detail/CVE-2026-24959</t>
        </is>
      </c>
      <c r="L1020" s="189" t="inlineStr">
        <is>
          <t>2026-02-23 23:48</t>
        </is>
      </c>
      <c r="M1020" s="189" t="inlineStr">
        <is>
          <t>CHECK_VENDOR</t>
        </is>
      </c>
      <c r="N1020" s="189" t="inlineStr">
        <is>
          <t>See NVD references</t>
        </is>
      </c>
      <c r="O1020" s="189" t="inlineStr">
        <is>
          <t>Apply vendor patches</t>
        </is>
      </c>
      <c r="P1020" s="189" t="inlineStr">
        <is>
          <t>See CVE details</t>
        </is>
      </c>
      <c r="Q1020" s="189" t="inlineStr">
        <is>
          <t>P3</t>
        </is>
      </c>
      <c r="R1020" s="189" t="inlineStr">
        <is>
          <t>🚨 URGENT: Apply vendor patches immediately | 🔒 Isolate affected systems if patch unavailable | 🛡️ Enable additional monitoring/IDS rules</t>
        </is>
      </c>
      <c r="S1020" s="189" t="inlineStr">
        <is>
          <t>CVE - IP enrichment n/a</t>
        </is>
      </c>
      <c r="T1020" s="189" t="n">
        <v>0.0003</v>
      </c>
      <c r="U1020" s="189" t="n">
        <v>0.08450000000000001</v>
      </c>
      <c r="V1020" s="189" t="inlineStr">
        <is>
          <t>T1190:Exploit Public-Facing Application</t>
        </is>
      </c>
      <c r="W1020" s="189" t="n">
        <v>1</v>
      </c>
      <c r="X1020" s="189" t="inlineStr">
        <is>
          <t>LOW (40%)</t>
        </is>
      </c>
      <c r="Y1020" s="189" t="inlineStr">
        <is>
          <t>UNLIKELY</t>
        </is>
      </c>
      <c r="Z1020" s="189" t="inlineStr">
        <is>
          <t>CHECK_VENDOR</t>
        </is>
      </c>
      <c r="AA1020" s="190" t="inlineStr">
        <is>
          <t>https://nvd.nist.gov/vuln/detail/CVE-2026-24959</t>
        </is>
      </c>
      <c r="AB1020" s="189" t="inlineStr">
        <is>
          <t>NONE</t>
        </is>
      </c>
      <c r="AC1020" s="189" t="n">
        <v>0</v>
      </c>
      <c r="AD1020" s="189" t="n"/>
    </row>
    <row r="1021">
      <c r="A1021" s="189" t="inlineStr">
        <is>
          <t>CVE</t>
        </is>
      </c>
      <c r="B1021" s="189" t="inlineStr">
        <is>
          <t>CVE-2026-27072</t>
        </is>
      </c>
      <c r="C1021" s="189" t="inlineStr">
        <is>
          <t>Improper Neutralization of Input During Web Page Generation ('Cross-site Scripting') vulnerability in PixelYourSite PixelYourSite – Your smart PIXEL (TAG) Manager pixelyoursite allows Stored XSS.This issue affects PixelYourSite – Your smart PIXEL (TAG) Manager: from n/a through &lt;= 11.2.0.1.</t>
        </is>
      </c>
      <c r="D1021" s="189" t="n">
        <v>7.1</v>
      </c>
      <c r="E1021" s="189" t="inlineStr">
        <is>
          <t>HIGH</t>
        </is>
      </c>
      <c r="F1021" s="189" t="n">
        <v>2</v>
      </c>
      <c r="G1021" s="189" t="n">
        <v>3</v>
      </c>
      <c r="H1021" s="189" t="inlineStr">
        <is>
          <t>HIGH</t>
        </is>
      </c>
      <c r="I1021" s="189" t="n">
        <v>13.1</v>
      </c>
      <c r="J1021" s="189" t="inlineStr">
        <is>
          <t>NO</t>
        </is>
      </c>
      <c r="K1021" s="190" t="inlineStr">
        <is>
          <t>https://nvd.nist.gov/vuln/detail/CVE-2026-27072</t>
        </is>
      </c>
      <c r="L1021" s="189" t="inlineStr">
        <is>
          <t>2026-02-23 23:48</t>
        </is>
      </c>
      <c r="M1021" s="189" t="inlineStr">
        <is>
          <t>CHECK_VENDOR</t>
        </is>
      </c>
      <c r="N1021" s="189" t="inlineStr">
        <is>
          <t>See NVD references</t>
        </is>
      </c>
      <c r="O1021" s="189" t="inlineStr">
        <is>
          <t>Apply vendor patches</t>
        </is>
      </c>
      <c r="P1021" s="189" t="inlineStr">
        <is>
          <t>See CVE details</t>
        </is>
      </c>
      <c r="Q1021" s="189" t="inlineStr">
        <is>
          <t>P3</t>
        </is>
      </c>
      <c r="R1021" s="189" t="inlineStr">
        <is>
          <t>🚨 URGENT: Apply vendor patches immediately | 🔒 Isolate affected systems if patch unavailable | 🛡️ Enable additional monitoring/IDS rules</t>
        </is>
      </c>
      <c r="S1021" s="189" t="inlineStr">
        <is>
          <t>CVE - IP enrichment n/a</t>
        </is>
      </c>
      <c r="T1021" s="189" t="n">
        <v>0</v>
      </c>
      <c r="U1021" s="189" t="n">
        <v>0</v>
      </c>
      <c r="V1021" s="189" t="inlineStr">
        <is>
          <t>T1189:Drive-by Compromise</t>
        </is>
      </c>
      <c r="W1021" s="189" t="n">
        <v>1</v>
      </c>
      <c r="X1021" s="189" t="inlineStr">
        <is>
          <t>LOW (40%)</t>
        </is>
      </c>
      <c r="Y1021" s="189" t="inlineStr">
        <is>
          <t>UNLIKELY</t>
        </is>
      </c>
      <c r="Z1021" s="189" t="inlineStr">
        <is>
          <t>CHECK_VENDOR</t>
        </is>
      </c>
      <c r="AA1021" s="190" t="inlineStr">
        <is>
          <t>https://nvd.nist.gov/vuln/detail/CVE-2026-27072</t>
        </is>
      </c>
      <c r="AB1021" s="189" t="inlineStr">
        <is>
          <t>NONE</t>
        </is>
      </c>
      <c r="AC1021" s="189" t="n">
        <v>0</v>
      </c>
      <c r="AD1021" s="189" t="n"/>
    </row>
    <row r="1022">
      <c r="A1022" s="189" t="inlineStr">
        <is>
          <t>CVE</t>
        </is>
      </c>
      <c r="B1022" s="189" t="inlineStr">
        <is>
          <t>CVE-2026-2846</t>
        </is>
      </c>
      <c r="C1022" s="189" t="inlineStr">
        <is>
          <t>A security vulnerability has been detected in UTT HiPER 520 1.7.7-160105. This impacts the function sub_44D264 of the file /goform/formPdbUpConfig of the component Web Management Interface. The manipulation of the argument policyNames leads to os command injection. The attack can be initiated remotely. The exploit has been disclosed publicly and may be used.</t>
        </is>
      </c>
      <c r="D1022" s="189" t="n">
        <v>7.2</v>
      </c>
      <c r="E1022" s="189" t="inlineStr">
        <is>
          <t>HIGH</t>
        </is>
      </c>
      <c r="F1022" s="189" t="n">
        <v>2</v>
      </c>
      <c r="G1022" s="189" t="n">
        <v>3</v>
      </c>
      <c r="H1022" s="189" t="inlineStr">
        <is>
          <t>HIGH</t>
        </is>
      </c>
      <c r="I1022" s="189" t="n">
        <v>13.2</v>
      </c>
      <c r="J1022" s="189" t="inlineStr">
        <is>
          <t>NO</t>
        </is>
      </c>
      <c r="K1022" s="190" t="inlineStr">
        <is>
          <t>https://nvd.nist.gov/vuln/detail/CVE-2026-2846</t>
        </is>
      </c>
      <c r="L1022" s="189" t="inlineStr">
        <is>
          <t>2026-02-23 23:48</t>
        </is>
      </c>
      <c r="M1022" s="189" t="inlineStr">
        <is>
          <t>CHECK_VENDOR</t>
        </is>
      </c>
      <c r="N1022" s="189" t="inlineStr">
        <is>
          <t>See NVD references</t>
        </is>
      </c>
      <c r="O1022" s="189" t="inlineStr">
        <is>
          <t>Apply vendor patches</t>
        </is>
      </c>
      <c r="P1022" s="189" t="inlineStr">
        <is>
          <t>See CVE details</t>
        </is>
      </c>
      <c r="Q1022" s="189" t="inlineStr">
        <is>
          <t>P3</t>
        </is>
      </c>
      <c r="R1022" s="189" t="inlineStr">
        <is>
          <t>🚨 URGENT: Apply vendor patches immediately | 🔒 Isolate affected systems if patch unavailable | 🛡️ Enable additional monitoring/IDS rules</t>
        </is>
      </c>
      <c r="S1022" s="189" t="inlineStr">
        <is>
          <t>CVE - IP enrichment n/a</t>
        </is>
      </c>
      <c r="T1022" s="189" t="n">
        <v>0.0012</v>
      </c>
      <c r="U1022" s="189" t="n">
        <v>0.3152</v>
      </c>
      <c r="V1022" s="189" t="inlineStr">
        <is>
          <t>T1059:Command and Scripting Interpreter</t>
        </is>
      </c>
      <c r="W1022" s="189" t="n">
        <v>1</v>
      </c>
      <c r="X1022" s="189" t="inlineStr">
        <is>
          <t>LOW (40%)</t>
        </is>
      </c>
      <c r="Y1022" s="189" t="inlineStr">
        <is>
          <t>UNLIKELY</t>
        </is>
      </c>
      <c r="Z1022" s="189" t="inlineStr">
        <is>
          <t>CHECK_VENDOR</t>
        </is>
      </c>
      <c r="AA1022" s="190" t="inlineStr">
        <is>
          <t>https://nvd.nist.gov/vuln/detail/CVE-2026-2846</t>
        </is>
      </c>
      <c r="AB1022" s="189" t="inlineStr">
        <is>
          <t>NONE</t>
        </is>
      </c>
      <c r="AC1022" s="189" t="n">
        <v>0</v>
      </c>
      <c r="AD1022" s="189" t="n"/>
    </row>
    <row r="1023">
      <c r="A1023" s="189" t="inlineStr">
        <is>
          <t>CVE</t>
        </is>
      </c>
      <c r="B1023" s="189" t="inlineStr">
        <is>
          <t>CVE-2026-2847</t>
        </is>
      </c>
      <c r="C1023" s="189" t="inlineStr">
        <is>
          <t>A vulnerability was detected in UTT HiPER 520 1.7.7-160105. Affected is the function sub_44EFB4 of the file /goform/formReleaseConnect of the component Web Management Interface. The manipulation of the argument Isp_Name results in os command injection. The attack can be launched remotely. The exploit is now public and may be used.</t>
        </is>
      </c>
      <c r="D1023" s="189" t="n">
        <v>7.2</v>
      </c>
      <c r="E1023" s="189" t="inlineStr">
        <is>
          <t>HIGH</t>
        </is>
      </c>
      <c r="F1023" s="189" t="n">
        <v>2</v>
      </c>
      <c r="G1023" s="189" t="n">
        <v>3</v>
      </c>
      <c r="H1023" s="189" t="inlineStr">
        <is>
          <t>HIGH</t>
        </is>
      </c>
      <c r="I1023" s="189" t="n">
        <v>13.2</v>
      </c>
      <c r="J1023" s="189" t="inlineStr">
        <is>
          <t>NO</t>
        </is>
      </c>
      <c r="K1023" s="190" t="inlineStr">
        <is>
          <t>https://nvd.nist.gov/vuln/detail/CVE-2026-2847</t>
        </is>
      </c>
      <c r="L1023" s="189" t="inlineStr">
        <is>
          <t>2026-02-23 23:48</t>
        </is>
      </c>
      <c r="M1023" s="189" t="inlineStr">
        <is>
          <t>CHECK_VENDOR</t>
        </is>
      </c>
      <c r="N1023" s="189" t="inlineStr">
        <is>
          <t>See NVD references</t>
        </is>
      </c>
      <c r="O1023" s="189" t="inlineStr">
        <is>
          <t>Apply vendor patches</t>
        </is>
      </c>
      <c r="P1023" s="189" t="inlineStr">
        <is>
          <t>See CVE details</t>
        </is>
      </c>
      <c r="Q1023" s="189" t="inlineStr">
        <is>
          <t>P3</t>
        </is>
      </c>
      <c r="R1023" s="189" t="inlineStr">
        <is>
          <t>🚨 URGENT: Apply vendor patches immediately | 🔒 Isolate affected systems if patch unavailable | 🛡️ Enable additional monitoring/IDS rules</t>
        </is>
      </c>
      <c r="S1023" s="189" t="inlineStr">
        <is>
          <t>CVE - IP enrichment n/a</t>
        </is>
      </c>
      <c r="T1023" s="189" t="n">
        <v>0</v>
      </c>
      <c r="U1023" s="189" t="n">
        <v>0</v>
      </c>
      <c r="V1023" s="189" t="inlineStr">
        <is>
          <t>T1059:Command and Scripting Interpreter</t>
        </is>
      </c>
      <c r="W1023" s="189" t="n">
        <v>1</v>
      </c>
      <c r="X1023" s="189" t="inlineStr">
        <is>
          <t>LOW (40%)</t>
        </is>
      </c>
      <c r="Y1023" s="189" t="inlineStr">
        <is>
          <t>UNLIKELY</t>
        </is>
      </c>
      <c r="Z1023" s="189" t="inlineStr">
        <is>
          <t>CHECK_VENDOR</t>
        </is>
      </c>
      <c r="AA1023" s="190" t="inlineStr">
        <is>
          <t>https://nvd.nist.gov/vuln/detail/CVE-2026-2847</t>
        </is>
      </c>
      <c r="AB1023" s="189" t="inlineStr">
        <is>
          <t>NONE</t>
        </is>
      </c>
      <c r="AC1023" s="189" t="n">
        <v>0</v>
      </c>
      <c r="AD1023" s="189" t="n"/>
    </row>
    <row r="1024">
      <c r="A1024" s="191" t="inlineStr">
        <is>
          <t>CVE</t>
        </is>
      </c>
      <c r="B1024" s="191" t="inlineStr">
        <is>
          <t>CVE-2025-15582</t>
        </is>
      </c>
      <c r="C1024" s="191" t="inlineStr">
        <is>
          <t>A security flaw has been discovered in detronetdip E-commerce 1.0.0. The impacted element is the function Delete/Update of the component Product Management Module. Performing a manipulation of the argument ID results in authorization bypass. Remote exploitation of the attack is possible. The exploit has been released to the public and may be used for attacks. The project was informed of the problem early through an issue report but has not responded yet.</t>
        </is>
      </c>
      <c r="D1024" s="191" t="n">
        <v>5.4</v>
      </c>
      <c r="E1024" s="191" t="inlineStr">
        <is>
          <t>MEDIUM</t>
        </is>
      </c>
      <c r="F1024" s="191" t="n">
        <v>2</v>
      </c>
      <c r="G1024" s="191" t="n">
        <v>2</v>
      </c>
      <c r="H1024" s="191" t="inlineStr">
        <is>
          <t>MEDIUM</t>
        </is>
      </c>
      <c r="I1024" s="191" t="n">
        <v>9.4</v>
      </c>
      <c r="J1024" s="191" t="inlineStr">
        <is>
          <t>NO</t>
        </is>
      </c>
      <c r="K1024" s="192" t="inlineStr">
        <is>
          <t>https://nvd.nist.gov/vuln/detail/CVE-2025-15582</t>
        </is>
      </c>
      <c r="L1024" s="191" t="inlineStr">
        <is>
          <t>2026-02-23 23:48</t>
        </is>
      </c>
      <c r="M1024" s="191" t="inlineStr">
        <is>
          <t>CHECK_VENDOR</t>
        </is>
      </c>
      <c r="N1024" s="191" t="inlineStr">
        <is>
          <t>See NVD references</t>
        </is>
      </c>
      <c r="O1024" s="191" t="inlineStr">
        <is>
          <t>Apply vendor patches</t>
        </is>
      </c>
      <c r="P1024" s="191" t="inlineStr">
        <is>
          <t>See CVE details</t>
        </is>
      </c>
      <c r="Q1024" s="191" t="inlineStr">
        <is>
          <t>P4</t>
        </is>
      </c>
      <c r="R1024" s="191" t="inlineStr">
        <is>
          <t>📅 Schedule patch deployment within 30 days | 🔍 Monitor for exploitation attempts</t>
        </is>
      </c>
      <c r="S1024" s="191" t="inlineStr">
        <is>
          <t>CVE - IP enrichment n/a</t>
        </is>
      </c>
      <c r="T1024" s="191" t="n">
        <v>0.0004</v>
      </c>
      <c r="U1024" s="191" t="n">
        <v>0.1309</v>
      </c>
      <c r="V1024" s="191" t="inlineStr">
        <is>
          <t>T1190:Exploit Public-Facing Application</t>
        </is>
      </c>
      <c r="W1024" s="191" t="n">
        <v>1</v>
      </c>
      <c r="X1024" s="191" t="inlineStr">
        <is>
          <t>LOW (40%)</t>
        </is>
      </c>
      <c r="Y1024" s="191" t="inlineStr">
        <is>
          <t>UNLIKELY</t>
        </is>
      </c>
      <c r="Z1024" s="191" t="inlineStr">
        <is>
          <t>CHECK_VENDOR</t>
        </is>
      </c>
      <c r="AA1024" s="192" t="inlineStr">
        <is>
          <t>https://nvd.nist.gov/vuln/detail/CVE-2025-15582</t>
        </is>
      </c>
      <c r="AB1024" s="191" t="inlineStr">
        <is>
          <t>NONE</t>
        </is>
      </c>
      <c r="AC1024" s="191" t="n">
        <v>0</v>
      </c>
      <c r="AD1024" s="191" t="n"/>
    </row>
    <row r="1025">
      <c r="A1025" s="195" t="inlineStr">
        <is>
          <t>CVE</t>
        </is>
      </c>
      <c r="B1025" s="195" t="inlineStr">
        <is>
          <t>CVE-2025-15583</t>
        </is>
      </c>
      <c r="C1025" s="195" t="inlineStr">
        <is>
          <t>A weakness has been identified in detronetdip E-commerce 1.0.0. This affects the function get_safe_value of the file utility/function.php. Executing a manipulation can lead to cross site scripting. The attack can be executed remotely. The exploit has been made available to the public and could be used for attacks. The project was informed of the problem early through an issue report but has not responded yet.</t>
        </is>
      </c>
      <c r="D1025" s="195" t="n">
        <v>3.5</v>
      </c>
      <c r="E1025" s="195" t="inlineStr">
        <is>
          <t>LOW</t>
        </is>
      </c>
      <c r="F1025" s="195" t="n">
        <v>2</v>
      </c>
      <c r="G1025" s="195" t="n">
        <v>1</v>
      </c>
      <c r="H1025" s="195" t="inlineStr">
        <is>
          <t>LOW</t>
        </is>
      </c>
      <c r="I1025" s="195" t="n">
        <v>5.5</v>
      </c>
      <c r="J1025" s="195" t="inlineStr">
        <is>
          <t>NO</t>
        </is>
      </c>
      <c r="K1025" s="196" t="inlineStr">
        <is>
          <t>https://nvd.nist.gov/vuln/detail/CVE-2025-15583</t>
        </is>
      </c>
      <c r="L1025" s="195" t="inlineStr">
        <is>
          <t>2026-02-23 23:48</t>
        </is>
      </c>
      <c r="M1025" s="195" t="inlineStr">
        <is>
          <t>CHECK_VENDOR</t>
        </is>
      </c>
      <c r="N1025" s="195" t="inlineStr">
        <is>
          <t>See NVD references</t>
        </is>
      </c>
      <c r="O1025" s="195" t="inlineStr">
        <is>
          <t>Apply vendor patches</t>
        </is>
      </c>
      <c r="P1025" s="195" t="inlineStr">
        <is>
          <t>See CVE details</t>
        </is>
      </c>
      <c r="Q1025" s="195" t="inlineStr">
        <is>
          <t>P4</t>
        </is>
      </c>
      <c r="R1025" s="195" t="inlineStr">
        <is>
          <t>📅 Schedule patch deployment within 30 days | 🔍 Monitor for exploitation attempts</t>
        </is>
      </c>
      <c r="S1025" s="195" t="inlineStr">
        <is>
          <t>CVE - IP enrichment n/a</t>
        </is>
      </c>
      <c r="T1025" s="195" t="n">
        <v>0</v>
      </c>
      <c r="U1025" s="195" t="n">
        <v>0</v>
      </c>
      <c r="V1025" s="195" t="inlineStr">
        <is>
          <t>T1189:Drive-by Compromise | T1190:Exploit Public-Facing Application</t>
        </is>
      </c>
      <c r="W1025" s="195" t="n">
        <v>1</v>
      </c>
      <c r="X1025" s="195" t="inlineStr">
        <is>
          <t>LOW (40%)</t>
        </is>
      </c>
      <c r="Y1025" s="195" t="inlineStr">
        <is>
          <t>UNLIKELY</t>
        </is>
      </c>
      <c r="Z1025" s="195" t="inlineStr">
        <is>
          <t>CHECK_VENDOR</t>
        </is>
      </c>
      <c r="AA1025" s="196" t="inlineStr">
        <is>
          <t>https://nvd.nist.gov/vuln/detail/CVE-2025-15583</t>
        </is>
      </c>
      <c r="AB1025" s="195" t="inlineStr">
        <is>
          <t>NONE</t>
        </is>
      </c>
      <c r="AC1025" s="195" t="n">
        <v>0</v>
      </c>
      <c r="AD1025" s="195" t="n"/>
    </row>
    <row r="1026">
      <c r="A1026" s="193" t="inlineStr">
        <is>
          <t>CVE</t>
        </is>
      </c>
      <c r="B1026" s="193" t="inlineStr">
        <is>
          <t>CVE-2025-70833</t>
        </is>
      </c>
      <c r="C1026" s="193" t="inlineStr">
        <is>
          <t>An Authentication Bypass vulnerability in Smanga 3.2.7 allows an unauthenticated attacker to reset the password of any user (including the administrator) and fully takeover the account by manipulating POST parameters. The issue stems from insecure permission validation in check-power.php.</t>
        </is>
      </c>
      <c r="D1026" s="193" t="n">
        <v>9.4</v>
      </c>
      <c r="E1026" s="193" t="inlineStr">
        <is>
          <t>CRITICAL</t>
        </is>
      </c>
      <c r="F1026" s="193" t="n">
        <v>2</v>
      </c>
      <c r="G1026" s="193" t="n">
        <v>3</v>
      </c>
      <c r="H1026" s="193" t="inlineStr">
        <is>
          <t>HIGH</t>
        </is>
      </c>
      <c r="I1026" s="193" t="n">
        <v>15.4</v>
      </c>
      <c r="J1026" s="193" t="inlineStr">
        <is>
          <t>NO</t>
        </is>
      </c>
      <c r="K1026" s="194" t="inlineStr">
        <is>
          <t>https://nvd.nist.gov/vuln/detail/CVE-2025-70833</t>
        </is>
      </c>
      <c r="L1026" s="193" t="inlineStr">
        <is>
          <t>2026-02-23 23:48</t>
        </is>
      </c>
      <c r="M1026" s="193" t="inlineStr">
        <is>
          <t>CHECK_VENDOR</t>
        </is>
      </c>
      <c r="N1026" s="193" t="inlineStr">
        <is>
          <t>See NVD references</t>
        </is>
      </c>
      <c r="O1026" s="193" t="inlineStr">
        <is>
          <t>Apply vendor patches</t>
        </is>
      </c>
      <c r="P1026" s="193" t="inlineStr">
        <is>
          <t>See CVE details</t>
        </is>
      </c>
      <c r="Q1026" s="193" t="inlineStr">
        <is>
          <t>P3</t>
        </is>
      </c>
      <c r="R1026" s="193" t="inlineStr">
        <is>
          <t>🚨 URGENT: Apply vendor patches immediately | 🔒 Isolate affected systems if patch unavailable | 🛡️ Enable additional monitoring/IDS rules</t>
        </is>
      </c>
      <c r="S1026" s="193" t="inlineStr">
        <is>
          <t>CVE - IP enrichment n/a</t>
        </is>
      </c>
      <c r="T1026" s="193" t="n">
        <v>0.0004</v>
      </c>
      <c r="U1026" s="193" t="n">
        <v>0.1153</v>
      </c>
      <c r="V1026" s="193" t="inlineStr">
        <is>
          <t>T1078:Valid Accounts | T1110:Brute Force</t>
        </is>
      </c>
      <c r="W1026" s="193" t="n">
        <v>1</v>
      </c>
      <c r="X1026" s="193" t="inlineStr">
        <is>
          <t>LOW (40%)</t>
        </is>
      </c>
      <c r="Y1026" s="193" t="inlineStr">
        <is>
          <t>UNLIKELY</t>
        </is>
      </c>
      <c r="Z1026" s="193" t="inlineStr">
        <is>
          <t>CHECK_VENDOR</t>
        </is>
      </c>
      <c r="AA1026" s="194" t="inlineStr">
        <is>
          <t>https://nvd.nist.gov/vuln/detail/CVE-2025-70833</t>
        </is>
      </c>
      <c r="AB1026" s="193" t="inlineStr">
        <is>
          <t>NONE</t>
        </is>
      </c>
      <c r="AC1026" s="193" t="n">
        <v>0</v>
      </c>
      <c r="AD1026" s="193" t="n"/>
    </row>
    <row r="1027">
      <c r="A1027" s="189" t="inlineStr">
        <is>
          <t>CVE</t>
        </is>
      </c>
      <c r="B1027" s="189" t="inlineStr">
        <is>
          <t>CVE-2026-1842</t>
        </is>
      </c>
      <c r="C1027" s="189" t="inlineStr">
        <is>
          <t>HyperCloud versions 2.3.5 through 2.6.8 improperly allowed refresh tokens to be used directly for resource access and failed to invalidate previously issued access tokens when a refresh token was used. Because refresh tokens have a significantly longer lifetime (default one year), an authenticated client could use a refresh token in place of an access token to maintain long-term access without token rotation. Additionally, old access tokens remained valid after refresh, enabling concurrent or ex</t>
        </is>
      </c>
      <c r="D1027" s="189" t="n">
        <v>8.5</v>
      </c>
      <c r="E1027" s="189" t="inlineStr">
        <is>
          <t>HIGH</t>
        </is>
      </c>
      <c r="F1027" s="189" t="n">
        <v>2</v>
      </c>
      <c r="G1027" s="189" t="n">
        <v>3</v>
      </c>
      <c r="H1027" s="189" t="inlineStr">
        <is>
          <t>HIGH</t>
        </is>
      </c>
      <c r="I1027" s="189" t="n">
        <v>14.5</v>
      </c>
      <c r="J1027" s="189" t="inlineStr">
        <is>
          <t>NO</t>
        </is>
      </c>
      <c r="K1027" s="190" t="inlineStr">
        <is>
          <t>https://nvd.nist.gov/vuln/detail/CVE-2026-1842</t>
        </is>
      </c>
      <c r="L1027" s="189" t="inlineStr">
        <is>
          <t>2026-02-23 23:48</t>
        </is>
      </c>
      <c r="M1027" s="189" t="inlineStr">
        <is>
          <t>CHECK_VENDOR</t>
        </is>
      </c>
      <c r="N1027" s="189" t="inlineStr">
        <is>
          <t>See NVD references</t>
        </is>
      </c>
      <c r="O1027" s="189" t="inlineStr">
        <is>
          <t>Apply vendor patches</t>
        </is>
      </c>
      <c r="P1027" s="189" t="inlineStr">
        <is>
          <t>See CVE details</t>
        </is>
      </c>
      <c r="Q1027" s="189" t="inlineStr">
        <is>
          <t>P3</t>
        </is>
      </c>
      <c r="R1027" s="189" t="inlineStr">
        <is>
          <t>🚨 URGENT: Apply vendor patches immediately | 🔒 Isolate affected systems if patch unavailable | 🛡️ Enable additional monitoring/IDS rules</t>
        </is>
      </c>
      <c r="S1027" s="189" t="inlineStr">
        <is>
          <t>CVE - IP enrichment n/a</t>
        </is>
      </c>
      <c r="T1027" s="189" t="n">
        <v>0</v>
      </c>
      <c r="U1027" s="189" t="n">
        <v>0</v>
      </c>
      <c r="V1027" s="189" t="inlineStr">
        <is>
          <t>T1190:Exploit Public-Facing Application</t>
        </is>
      </c>
      <c r="W1027" s="189" t="n">
        <v>1</v>
      </c>
      <c r="X1027" s="189" t="inlineStr">
        <is>
          <t>LOW (40%)</t>
        </is>
      </c>
      <c r="Y1027" s="189" t="inlineStr">
        <is>
          <t>UNLIKELY</t>
        </is>
      </c>
      <c r="Z1027" s="189" t="inlineStr">
        <is>
          <t>CHECK_VENDOR</t>
        </is>
      </c>
      <c r="AA1027" s="190" t="inlineStr">
        <is>
          <t>https://nvd.nist.gov/vuln/detail/CVE-2026-1842</t>
        </is>
      </c>
      <c r="AB1027" s="189" t="inlineStr">
        <is>
          <t>NONE</t>
        </is>
      </c>
      <c r="AC1027" s="189" t="n">
        <v>0</v>
      </c>
      <c r="AD1027" s="189" t="n"/>
    </row>
    <row r="1028">
      <c r="A1028" s="189" t="inlineStr">
        <is>
          <t>CVE</t>
        </is>
      </c>
      <c r="B1028" s="189" t="inlineStr">
        <is>
          <t>CVE-2026-24455</t>
        </is>
      </c>
      <c r="C1028" s="189" t="inlineStr">
        <is>
          <t>The embedded web interface of the device does not support HTTPS/TLS for 
authentication and uses HTTP Basic Authentication. Traffic is encoded 
but not encrypted, exposing user credentials to passive interception by 
attackers on the same network.</t>
        </is>
      </c>
      <c r="D1028" s="189" t="n">
        <v>7.5</v>
      </c>
      <c r="E1028" s="189" t="inlineStr">
        <is>
          <t>HIGH</t>
        </is>
      </c>
      <c r="F1028" s="189" t="n">
        <v>2</v>
      </c>
      <c r="G1028" s="189" t="n">
        <v>3</v>
      </c>
      <c r="H1028" s="189" t="inlineStr">
        <is>
          <t>HIGH</t>
        </is>
      </c>
      <c r="I1028" s="189" t="n">
        <v>13.5</v>
      </c>
      <c r="J1028" s="189" t="inlineStr">
        <is>
          <t>NO</t>
        </is>
      </c>
      <c r="K1028" s="190" t="inlineStr">
        <is>
          <t>https://nvd.nist.gov/vuln/detail/CVE-2026-24455</t>
        </is>
      </c>
      <c r="L1028" s="189" t="inlineStr">
        <is>
          <t>2026-02-23 23:48</t>
        </is>
      </c>
      <c r="M1028" s="189" t="inlineStr">
        <is>
          <t>CHECK_VENDOR</t>
        </is>
      </c>
      <c r="N1028" s="189" t="inlineStr">
        <is>
          <t>See NVD references</t>
        </is>
      </c>
      <c r="O1028" s="189" t="inlineStr">
        <is>
          <t>Apply vendor patches</t>
        </is>
      </c>
      <c r="P1028" s="189" t="inlineStr">
        <is>
          <t>See CVE details</t>
        </is>
      </c>
      <c r="Q1028" s="189" t="inlineStr">
        <is>
          <t>P3</t>
        </is>
      </c>
      <c r="R1028" s="189" t="inlineStr">
        <is>
          <t>🚨 URGENT: Apply vendor patches immediately | 🔒 Isolate affected systems if patch unavailable | 🛡️ Enable additional monitoring/IDS rules</t>
        </is>
      </c>
      <c r="S1028" s="189" t="inlineStr">
        <is>
          <t>CVE - IP enrichment n/a</t>
        </is>
      </c>
      <c r="T1028" s="189" t="n">
        <v>0</v>
      </c>
      <c r="U1028" s="189" t="n">
        <v>0</v>
      </c>
      <c r="V1028" s="189" t="inlineStr">
        <is>
          <t>T1190:Exploit Public-Facing Application | T1552:Unsecured Credentials</t>
        </is>
      </c>
      <c r="W1028" s="189" t="n">
        <v>1</v>
      </c>
      <c r="X1028" s="189" t="inlineStr">
        <is>
          <t>LOW (40%)</t>
        </is>
      </c>
      <c r="Y1028" s="189" t="inlineStr">
        <is>
          <t>UNLIKELY</t>
        </is>
      </c>
      <c r="Z1028" s="189" t="inlineStr">
        <is>
          <t>CHECK_VENDOR</t>
        </is>
      </c>
      <c r="AA1028" s="190" t="inlineStr">
        <is>
          <t>https://nvd.nist.gov/vuln/detail/CVE-2026-24455</t>
        </is>
      </c>
      <c r="AB1028" s="189" t="inlineStr">
        <is>
          <t>NONE</t>
        </is>
      </c>
      <c r="AC1028" s="189" t="n">
        <v>0</v>
      </c>
      <c r="AD1028" s="189" t="n"/>
    </row>
    <row r="1029">
      <c r="A1029" s="189" t="inlineStr">
        <is>
          <t>CVE</t>
        </is>
      </c>
      <c r="B1029" s="189" t="inlineStr">
        <is>
          <t>CVE-2026-24790</t>
        </is>
      </c>
      <c r="C1029" s="189" t="inlineStr">
        <is>
          <t>The underlying PLC of the device can be remotely influenced, without proper safeguards or authentication.</t>
        </is>
      </c>
      <c r="D1029" s="189" t="n">
        <v>8.199999999999999</v>
      </c>
      <c r="E1029" s="189" t="inlineStr">
        <is>
          <t>HIGH</t>
        </is>
      </c>
      <c r="F1029" s="189" t="n">
        <v>2</v>
      </c>
      <c r="G1029" s="189" t="n">
        <v>3</v>
      </c>
      <c r="H1029" s="189" t="inlineStr">
        <is>
          <t>HIGH</t>
        </is>
      </c>
      <c r="I1029" s="189" t="n">
        <v>14.2</v>
      </c>
      <c r="J1029" s="189" t="inlineStr">
        <is>
          <t>NO</t>
        </is>
      </c>
      <c r="K1029" s="190" t="inlineStr">
        <is>
          <t>https://nvd.nist.gov/vuln/detail/CVE-2026-24790</t>
        </is>
      </c>
      <c r="L1029" s="189" t="inlineStr">
        <is>
          <t>2026-02-23 23:48</t>
        </is>
      </c>
      <c r="M1029" s="189" t="inlineStr">
        <is>
          <t>CHECK_VENDOR</t>
        </is>
      </c>
      <c r="N1029" s="189" t="inlineStr">
        <is>
          <t>See NVD references</t>
        </is>
      </c>
      <c r="O1029" s="189" t="inlineStr">
        <is>
          <t>Apply vendor patches</t>
        </is>
      </c>
      <c r="P1029" s="189" t="inlineStr">
        <is>
          <t>See CVE details</t>
        </is>
      </c>
      <c r="Q1029" s="189" t="inlineStr">
        <is>
          <t>P3</t>
        </is>
      </c>
      <c r="R1029" s="189" t="inlineStr">
        <is>
          <t>🚨 URGENT: Apply vendor patches immediately | 🔒 Isolate affected systems if patch unavailable | 🛡️ Enable additional monitoring/IDS rules</t>
        </is>
      </c>
      <c r="S1029" s="189" t="inlineStr">
        <is>
          <t>CVE - IP enrichment n/a</t>
        </is>
      </c>
      <c r="T1029" s="189" t="n">
        <v>0</v>
      </c>
      <c r="U1029" s="189" t="n">
        <v>0</v>
      </c>
      <c r="V1029" s="189" t="inlineStr">
        <is>
          <t>T1078:Valid Accounts</t>
        </is>
      </c>
      <c r="W1029" s="189" t="n">
        <v>1</v>
      </c>
      <c r="X1029" s="189" t="inlineStr">
        <is>
          <t>LOW (40%)</t>
        </is>
      </c>
      <c r="Y1029" s="189" t="inlineStr">
        <is>
          <t>UNLIKELY</t>
        </is>
      </c>
      <c r="Z1029" s="189" t="inlineStr">
        <is>
          <t>CHECK_VENDOR</t>
        </is>
      </c>
      <c r="AA1029" s="190" t="inlineStr">
        <is>
          <t>https://nvd.nist.gov/vuln/detail/CVE-2026-24790</t>
        </is>
      </c>
      <c r="AB1029" s="189" t="inlineStr">
        <is>
          <t>NONE</t>
        </is>
      </c>
      <c r="AC1029" s="189" t="n">
        <v>0</v>
      </c>
      <c r="AD1029" s="189" t="n"/>
    </row>
    <row r="1030">
      <c r="A1030" s="193" t="inlineStr">
        <is>
          <t>CVE</t>
        </is>
      </c>
      <c r="B1030" s="193" t="inlineStr">
        <is>
          <t>CVE-2026-25715</t>
        </is>
      </c>
      <c r="C1030" s="193" t="inlineStr">
        <is>
          <t>The web management interface of the device allows the administrator 
username and password to be set to blank values. Once applied, the 
device permits authentication with empty credentials over the web 
management interface and Telnet service. This effectively disables 
authentication across all critical management channels, allowing any 
network-adjacent attacker to gain full administrative control without 
credentials.</t>
        </is>
      </c>
      <c r="D1030" s="193" t="n">
        <v>9.800000000000001</v>
      </c>
      <c r="E1030" s="193" t="inlineStr">
        <is>
          <t>CRITICAL</t>
        </is>
      </c>
      <c r="F1030" s="193" t="n">
        <v>2</v>
      </c>
      <c r="G1030" s="193" t="n">
        <v>3</v>
      </c>
      <c r="H1030" s="193" t="inlineStr">
        <is>
          <t>HIGH</t>
        </is>
      </c>
      <c r="I1030" s="193" t="n">
        <v>15.8</v>
      </c>
      <c r="J1030" s="193" t="inlineStr">
        <is>
          <t>NO</t>
        </is>
      </c>
      <c r="K1030" s="194" t="inlineStr">
        <is>
          <t>https://nvd.nist.gov/vuln/detail/CVE-2026-25715</t>
        </is>
      </c>
      <c r="L1030" s="193" t="inlineStr">
        <is>
          <t>2026-02-23 23:48</t>
        </is>
      </c>
      <c r="M1030" s="193" t="inlineStr">
        <is>
          <t>CHECK_VENDOR</t>
        </is>
      </c>
      <c r="N1030" s="193" t="inlineStr">
        <is>
          <t>See NVD references</t>
        </is>
      </c>
      <c r="O1030" s="193" t="inlineStr">
        <is>
          <t>Apply vendor patches</t>
        </is>
      </c>
      <c r="P1030" s="193" t="inlineStr">
        <is>
          <t>See CVE details</t>
        </is>
      </c>
      <c r="Q1030" s="193" t="inlineStr">
        <is>
          <t>P3</t>
        </is>
      </c>
      <c r="R1030" s="193" t="inlineStr">
        <is>
          <t>🚨 URGENT: Apply vendor patches immediately | 🔒 Isolate affected systems if patch unavailable | 🛡️ Enable additional monitoring/IDS rules</t>
        </is>
      </c>
      <c r="S1030" s="193" t="inlineStr">
        <is>
          <t>CVE - IP enrichment n/a</t>
        </is>
      </c>
      <c r="T1030" s="193" t="n">
        <v>0</v>
      </c>
      <c r="U1030" s="193" t="n">
        <v>0</v>
      </c>
      <c r="V1030" s="193" t="inlineStr">
        <is>
          <t>T1552:Unsecured Credentials</t>
        </is>
      </c>
      <c r="W1030" s="193" t="n">
        <v>1</v>
      </c>
      <c r="X1030" s="193" t="inlineStr">
        <is>
          <t>LOW (40%)</t>
        </is>
      </c>
      <c r="Y1030" s="193" t="inlineStr">
        <is>
          <t>UNLIKELY</t>
        </is>
      </c>
      <c r="Z1030" s="193" t="inlineStr">
        <is>
          <t>CHECK_VENDOR</t>
        </is>
      </c>
      <c r="AA1030" s="194" t="inlineStr">
        <is>
          <t>https://nvd.nist.gov/vuln/detail/CVE-2026-25715</t>
        </is>
      </c>
      <c r="AB1030" s="193" t="inlineStr">
        <is>
          <t>NONE</t>
        </is>
      </c>
      <c r="AC1030" s="193" t="n">
        <v>0</v>
      </c>
      <c r="AD1030" s="193" t="n"/>
    </row>
    <row r="1031">
      <c r="A1031" s="189" t="inlineStr">
        <is>
          <t>CVE</t>
        </is>
      </c>
      <c r="B1031" s="189" t="inlineStr">
        <is>
          <t>CVE-2026-26048</t>
        </is>
      </c>
      <c r="C1031" s="189" t="inlineStr">
        <is>
          <t>The Wi-Fi router is vulnerable to de-authentication attacks due to the 
absence of management frame protection, allowing forged deauthentication
 and disassociation frames to be broadcast without authentication or 
encryption. An attacker can use this to cause unauthorized disruptions 
and create a denial-of-service condition.</t>
        </is>
      </c>
      <c r="D1031" s="189" t="n">
        <v>7.5</v>
      </c>
      <c r="E1031" s="189" t="inlineStr">
        <is>
          <t>HIGH</t>
        </is>
      </c>
      <c r="F1031" s="189" t="n">
        <v>2</v>
      </c>
      <c r="G1031" s="189" t="n">
        <v>3</v>
      </c>
      <c r="H1031" s="189" t="inlineStr">
        <is>
          <t>HIGH</t>
        </is>
      </c>
      <c r="I1031" s="189" t="n">
        <v>13.5</v>
      </c>
      <c r="J1031" s="189" t="inlineStr">
        <is>
          <t>NO</t>
        </is>
      </c>
      <c r="K1031" s="190" t="inlineStr">
        <is>
          <t>https://nvd.nist.gov/vuln/detail/CVE-2026-26048</t>
        </is>
      </c>
      <c r="L1031" s="189" t="inlineStr">
        <is>
          <t>2026-02-23 23:48</t>
        </is>
      </c>
      <c r="M1031" s="189" t="inlineStr">
        <is>
          <t>CHECK_VENDOR</t>
        </is>
      </c>
      <c r="N1031" s="189" t="inlineStr">
        <is>
          <t>See NVD references</t>
        </is>
      </c>
      <c r="O1031" s="189" t="inlineStr">
        <is>
          <t>Apply vendor patches</t>
        </is>
      </c>
      <c r="P1031" s="189" t="inlineStr">
        <is>
          <t>See CVE details</t>
        </is>
      </c>
      <c r="Q1031" s="189" t="inlineStr">
        <is>
          <t>P3</t>
        </is>
      </c>
      <c r="R1031" s="189" t="inlineStr">
        <is>
          <t>🚨 URGENT: Apply vendor patches immediately | 🔒 Isolate affected systems if patch unavailable | 🛡️ Enable additional monitoring/IDS rules</t>
        </is>
      </c>
      <c r="S1031" s="189" t="inlineStr">
        <is>
          <t>CVE - IP enrichment n/a</t>
        </is>
      </c>
      <c r="T1031" s="189" t="n">
        <v>0.0003</v>
      </c>
      <c r="U1031" s="189" t="n">
        <v>0.06569999999999999</v>
      </c>
      <c r="V1031" s="189" t="inlineStr">
        <is>
          <t>T1078:Valid Accounts</t>
        </is>
      </c>
      <c r="W1031" s="189" t="n">
        <v>1</v>
      </c>
      <c r="X1031" s="189" t="inlineStr">
        <is>
          <t>LOW (40%)</t>
        </is>
      </c>
      <c r="Y1031" s="189" t="inlineStr">
        <is>
          <t>UNLIKELY</t>
        </is>
      </c>
      <c r="Z1031" s="189" t="inlineStr">
        <is>
          <t>CHECK_VENDOR</t>
        </is>
      </c>
      <c r="AA1031" s="190" t="inlineStr">
        <is>
          <t>https://nvd.nist.gov/vuln/detail/CVE-2026-26048</t>
        </is>
      </c>
      <c r="AB1031" s="189" t="inlineStr">
        <is>
          <t>NONE</t>
        </is>
      </c>
      <c r="AC1031" s="189" t="n">
        <v>0</v>
      </c>
      <c r="AD1031" s="189" t="n"/>
    </row>
    <row r="1032">
      <c r="A1032" s="191" t="inlineStr">
        <is>
          <t>CVE</t>
        </is>
      </c>
      <c r="B1032" s="191" t="inlineStr">
        <is>
          <t>CVE-2026-26049</t>
        </is>
      </c>
      <c r="C1032" s="191" t="inlineStr">
        <is>
          <t>The web management interface of the device renders the passwords in a 
plaintext input field. The current password is directly visible to 
anyone with access to the UI, potentially exposing administrator 
credentials to unauthorized observation via shoulder surfing, 
screenshots, or browser form caching.</t>
        </is>
      </c>
      <c r="D1032" s="191" t="n">
        <v>5.7</v>
      </c>
      <c r="E1032" s="191" t="inlineStr">
        <is>
          <t>MEDIUM</t>
        </is>
      </c>
      <c r="F1032" s="191" t="n">
        <v>2</v>
      </c>
      <c r="G1032" s="191" t="n">
        <v>2</v>
      </c>
      <c r="H1032" s="191" t="inlineStr">
        <is>
          <t>MEDIUM</t>
        </is>
      </c>
      <c r="I1032" s="191" t="n">
        <v>9.699999999999999</v>
      </c>
      <c r="J1032" s="191" t="inlineStr">
        <is>
          <t>NO</t>
        </is>
      </c>
      <c r="K1032" s="192" t="inlineStr">
        <is>
          <t>https://nvd.nist.gov/vuln/detail/CVE-2026-26049</t>
        </is>
      </c>
      <c r="L1032" s="191" t="inlineStr">
        <is>
          <t>2026-02-23 23:48</t>
        </is>
      </c>
      <c r="M1032" s="191" t="inlineStr">
        <is>
          <t>CHECK_VENDOR</t>
        </is>
      </c>
      <c r="N1032" s="191" t="inlineStr">
        <is>
          <t>See NVD references</t>
        </is>
      </c>
      <c r="O1032" s="191" t="inlineStr">
        <is>
          <t>Apply vendor patches</t>
        </is>
      </c>
      <c r="P1032" s="191" t="inlineStr">
        <is>
          <t>See CVE details</t>
        </is>
      </c>
      <c r="Q1032" s="191" t="inlineStr">
        <is>
          <t>P4</t>
        </is>
      </c>
      <c r="R1032" s="191" t="inlineStr">
        <is>
          <t>📅 Schedule patch deployment within 30 days | 🔍 Monitor for exploitation attempts</t>
        </is>
      </c>
      <c r="S1032" s="191" t="inlineStr">
        <is>
          <t>CVE - IP enrichment n/a</t>
        </is>
      </c>
      <c r="T1032" s="191" t="n">
        <v>0</v>
      </c>
      <c r="U1032" s="191" t="n">
        <v>0</v>
      </c>
      <c r="V1032" s="191" t="inlineStr">
        <is>
          <t>T1552:Unsecured Credentials</t>
        </is>
      </c>
      <c r="W1032" s="191" t="n">
        <v>1</v>
      </c>
      <c r="X1032" s="191" t="inlineStr">
        <is>
          <t>LOW (40%)</t>
        </is>
      </c>
      <c r="Y1032" s="191" t="inlineStr">
        <is>
          <t>UNLIKELY</t>
        </is>
      </c>
      <c r="Z1032" s="191" t="inlineStr">
        <is>
          <t>CHECK_VENDOR</t>
        </is>
      </c>
      <c r="AA1032" s="192" t="inlineStr">
        <is>
          <t>https://nvd.nist.gov/vuln/detail/CVE-2026-26049</t>
        </is>
      </c>
      <c r="AB1032" s="191" t="inlineStr">
        <is>
          <t>NONE</t>
        </is>
      </c>
      <c r="AC1032" s="191" t="n">
        <v>0</v>
      </c>
      <c r="AD1032" s="191" t="n"/>
    </row>
    <row r="1033">
      <c r="A1033" s="191" t="inlineStr">
        <is>
          <t>CVE</t>
        </is>
      </c>
      <c r="B1033" s="191" t="inlineStr">
        <is>
          <t>CVE-2026-26093</t>
        </is>
      </c>
      <c r="C1033" s="191" t="inlineStr">
        <is>
          <t>Improper Neutralization of Special Elements used in a Command ('Command Injection') in Owl opds 2.2.0.4 allows Command Injection via a crafted network request.</t>
        </is>
      </c>
      <c r="D1033" s="191" t="n">
        <v>5</v>
      </c>
      <c r="E1033" s="191" t="inlineStr">
        <is>
          <t>MEDIUM</t>
        </is>
      </c>
      <c r="F1033" s="191" t="n">
        <v>2</v>
      </c>
      <c r="G1033" s="191" t="n">
        <v>2</v>
      </c>
      <c r="H1033" s="191" t="inlineStr">
        <is>
          <t>MEDIUM</t>
        </is>
      </c>
      <c r="I1033" s="191" t="n">
        <v>9</v>
      </c>
      <c r="J1033" s="191" t="inlineStr">
        <is>
          <t>NO</t>
        </is>
      </c>
      <c r="K1033" s="192" t="inlineStr">
        <is>
          <t>https://nvd.nist.gov/vuln/detail/CVE-2026-26093</t>
        </is>
      </c>
      <c r="L1033" s="191" t="inlineStr">
        <is>
          <t>2026-02-23 23:48</t>
        </is>
      </c>
      <c r="M1033" s="191" t="inlineStr">
        <is>
          <t>CHECK_VENDOR</t>
        </is>
      </c>
      <c r="N1033" s="191" t="inlineStr">
        <is>
          <t>See NVD references</t>
        </is>
      </c>
      <c r="O1033" s="191" t="inlineStr">
        <is>
          <t>Apply vendor patches</t>
        </is>
      </c>
      <c r="P1033" s="191" t="inlineStr">
        <is>
          <t>See CVE details</t>
        </is>
      </c>
      <c r="Q1033" s="191" t="inlineStr">
        <is>
          <t>P4</t>
        </is>
      </c>
      <c r="R1033" s="191" t="inlineStr">
        <is>
          <t>📅 Schedule patch deployment within 30 days | 🔍 Monitor for exploitation attempts</t>
        </is>
      </c>
      <c r="S1033" s="191" t="inlineStr">
        <is>
          <t>CVE - IP enrichment n/a</t>
        </is>
      </c>
      <c r="T1033" s="191" t="n">
        <v>0.0046</v>
      </c>
      <c r="U1033" s="191" t="n">
        <v>0.635</v>
      </c>
      <c r="V1033" s="191" t="inlineStr">
        <is>
          <t>T1059:Command and Scripting Interpreter</t>
        </is>
      </c>
      <c r="W1033" s="191" t="n">
        <v>1</v>
      </c>
      <c r="X1033" s="191" t="inlineStr">
        <is>
          <t>LOW (40%)</t>
        </is>
      </c>
      <c r="Y1033" s="191" t="inlineStr">
        <is>
          <t>UNLIKELY</t>
        </is>
      </c>
      <c r="Z1033" s="191" t="inlineStr">
        <is>
          <t>CHECK_VENDOR</t>
        </is>
      </c>
      <c r="AA1033" s="192" t="inlineStr">
        <is>
          <t>https://nvd.nist.gov/vuln/detail/CVE-2026-26093</t>
        </is>
      </c>
      <c r="AB1033" s="191" t="inlineStr">
        <is>
          <t>NONE</t>
        </is>
      </c>
      <c r="AC1033" s="191" t="n">
        <v>0</v>
      </c>
      <c r="AD1033" s="191" t="n"/>
    </row>
    <row r="1034">
      <c r="A1034" s="189" t="inlineStr">
        <is>
          <t>CVE</t>
        </is>
      </c>
      <c r="B1034" s="189" t="inlineStr">
        <is>
          <t>CVE-2026-26095</t>
        </is>
      </c>
      <c r="C1034" s="189" t="inlineStr">
        <is>
          <t>Incorrect Permission Assignment for Critical Resource in Owl opds 2.2.0.4 allows File Manipulation via a crafted network request.</t>
        </is>
      </c>
      <c r="D1034" s="189" t="n">
        <v>8.5</v>
      </c>
      <c r="E1034" s="189" t="inlineStr">
        <is>
          <t>HIGH</t>
        </is>
      </c>
      <c r="F1034" s="189" t="n">
        <v>2</v>
      </c>
      <c r="G1034" s="189" t="n">
        <v>3</v>
      </c>
      <c r="H1034" s="189" t="inlineStr">
        <is>
          <t>HIGH</t>
        </is>
      </c>
      <c r="I1034" s="189" t="n">
        <v>14.5</v>
      </c>
      <c r="J1034" s="189" t="inlineStr">
        <is>
          <t>NO</t>
        </is>
      </c>
      <c r="K1034" s="190" t="inlineStr">
        <is>
          <t>https://nvd.nist.gov/vuln/detail/CVE-2026-26095</t>
        </is>
      </c>
      <c r="L1034" s="189" t="inlineStr">
        <is>
          <t>2026-02-23 23:48</t>
        </is>
      </c>
      <c r="M1034" s="189" t="inlineStr">
        <is>
          <t>CHECK_VENDOR</t>
        </is>
      </c>
      <c r="N1034" s="189" t="inlineStr">
        <is>
          <t>See NVD references</t>
        </is>
      </c>
      <c r="O1034" s="189" t="inlineStr">
        <is>
          <t>Apply vendor patches</t>
        </is>
      </c>
      <c r="P1034" s="189" t="inlineStr">
        <is>
          <t>See CVE details</t>
        </is>
      </c>
      <c r="Q1034" s="189" t="inlineStr">
        <is>
          <t>P3</t>
        </is>
      </c>
      <c r="R1034" s="189" t="inlineStr">
        <is>
          <t>🚨 URGENT: Apply vendor patches immediately | 🔒 Isolate affected systems if patch unavailable | 🛡️ Enable additional monitoring/IDS rules</t>
        </is>
      </c>
      <c r="S1034" s="189" t="inlineStr">
        <is>
          <t>CVE - IP enrichment n/a</t>
        </is>
      </c>
      <c r="T1034" s="189" t="n">
        <v>0</v>
      </c>
      <c r="U1034" s="189" t="n">
        <v>0</v>
      </c>
      <c r="V1034" s="189" t="inlineStr">
        <is>
          <t>T1190:Exploit Public-Facing Application</t>
        </is>
      </c>
      <c r="W1034" s="189" t="n">
        <v>1</v>
      </c>
      <c r="X1034" s="189" t="inlineStr">
        <is>
          <t>LOW (40%)</t>
        </is>
      </c>
      <c r="Y1034" s="189" t="inlineStr">
        <is>
          <t>UNLIKELY</t>
        </is>
      </c>
      <c r="Z1034" s="189" t="inlineStr">
        <is>
          <t>CHECK_VENDOR</t>
        </is>
      </c>
      <c r="AA1034" s="190" t="inlineStr">
        <is>
          <t>https://nvd.nist.gov/vuln/detail/CVE-2026-26095</t>
        </is>
      </c>
      <c r="AB1034" s="189" t="inlineStr">
        <is>
          <t>NONE</t>
        </is>
      </c>
      <c r="AC1034" s="189" t="n">
        <v>0</v>
      </c>
      <c r="AD1034" s="189" t="n"/>
    </row>
    <row r="1035">
      <c r="A1035" s="189" t="inlineStr">
        <is>
          <t>CVE</t>
        </is>
      </c>
      <c r="B1035" s="189" t="inlineStr">
        <is>
          <t>CVE-2026-26096</t>
        </is>
      </c>
      <c r="C1035" s="189" t="inlineStr">
        <is>
          <t>Incorrect Permission Assignment for Critical Resource in Owl opds 2.2.0.4 allows File Manipulation via a crafted network request.</t>
        </is>
      </c>
      <c r="D1035" s="189" t="n">
        <v>8.5</v>
      </c>
      <c r="E1035" s="189" t="inlineStr">
        <is>
          <t>HIGH</t>
        </is>
      </c>
      <c r="F1035" s="189" t="n">
        <v>2</v>
      </c>
      <c r="G1035" s="189" t="n">
        <v>3</v>
      </c>
      <c r="H1035" s="189" t="inlineStr">
        <is>
          <t>HIGH</t>
        </is>
      </c>
      <c r="I1035" s="189" t="n">
        <v>14.5</v>
      </c>
      <c r="J1035" s="189" t="inlineStr">
        <is>
          <t>NO</t>
        </is>
      </c>
      <c r="K1035" s="190" t="inlineStr">
        <is>
          <t>https://nvd.nist.gov/vuln/detail/CVE-2026-26096</t>
        </is>
      </c>
      <c r="L1035" s="189" t="inlineStr">
        <is>
          <t>2026-02-23 23:48</t>
        </is>
      </c>
      <c r="M1035" s="189" t="inlineStr">
        <is>
          <t>CHECK_VENDOR</t>
        </is>
      </c>
      <c r="N1035" s="189" t="inlineStr">
        <is>
          <t>See NVD references</t>
        </is>
      </c>
      <c r="O1035" s="189" t="inlineStr">
        <is>
          <t>Apply vendor patches</t>
        </is>
      </c>
      <c r="P1035" s="189" t="inlineStr">
        <is>
          <t>See CVE details</t>
        </is>
      </c>
      <c r="Q1035" s="189" t="inlineStr">
        <is>
          <t>P3</t>
        </is>
      </c>
      <c r="R1035" s="189" t="inlineStr">
        <is>
          <t>🚨 URGENT: Apply vendor patches immediately | 🔒 Isolate affected systems if patch unavailable | 🛡️ Enable additional monitoring/IDS rules</t>
        </is>
      </c>
      <c r="S1035" s="189" t="inlineStr">
        <is>
          <t>CVE - IP enrichment n/a</t>
        </is>
      </c>
      <c r="T1035" s="189" t="n">
        <v>0</v>
      </c>
      <c r="U1035" s="189" t="n">
        <v>0</v>
      </c>
      <c r="V1035" s="189" t="inlineStr">
        <is>
          <t>T1190:Exploit Public-Facing Application</t>
        </is>
      </c>
      <c r="W1035" s="189" t="n">
        <v>1</v>
      </c>
      <c r="X1035" s="189" t="inlineStr">
        <is>
          <t>LOW (40%)</t>
        </is>
      </c>
      <c r="Y1035" s="189" t="inlineStr">
        <is>
          <t>UNLIKELY</t>
        </is>
      </c>
      <c r="Z1035" s="189" t="inlineStr">
        <is>
          <t>CHECK_VENDOR</t>
        </is>
      </c>
      <c r="AA1035" s="190" t="inlineStr">
        <is>
          <t>https://nvd.nist.gov/vuln/detail/CVE-2026-26096</t>
        </is>
      </c>
      <c r="AB1035" s="189" t="inlineStr">
        <is>
          <t>NONE</t>
        </is>
      </c>
      <c r="AC1035" s="189" t="n">
        <v>0</v>
      </c>
      <c r="AD1035" s="189" t="n"/>
    </row>
    <row r="1036">
      <c r="A1036" s="191" t="inlineStr">
        <is>
          <t>CVE</t>
        </is>
      </c>
      <c r="B1036" s="191" t="inlineStr">
        <is>
          <t>CVE-2026-26097</t>
        </is>
      </c>
      <c r="C1036" s="191" t="inlineStr">
        <is>
          <t>Uncontrolled Search Path Element in Owl opds 2.2.0.4 allows Leveraging/Manipulating Configuration File Search Paths via a crafted network request.</t>
        </is>
      </c>
      <c r="D1036" s="191" t="n">
        <v>5</v>
      </c>
      <c r="E1036" s="191" t="inlineStr">
        <is>
          <t>MEDIUM</t>
        </is>
      </c>
      <c r="F1036" s="191" t="n">
        <v>2</v>
      </c>
      <c r="G1036" s="191" t="n">
        <v>2</v>
      </c>
      <c r="H1036" s="191" t="inlineStr">
        <is>
          <t>MEDIUM</t>
        </is>
      </c>
      <c r="I1036" s="191" t="n">
        <v>9</v>
      </c>
      <c r="J1036" s="191" t="inlineStr">
        <is>
          <t>NO</t>
        </is>
      </c>
      <c r="K1036" s="192" t="inlineStr">
        <is>
          <t>https://nvd.nist.gov/vuln/detail/CVE-2026-26097</t>
        </is>
      </c>
      <c r="L1036" s="191" t="inlineStr">
        <is>
          <t>2026-02-23 23:48</t>
        </is>
      </c>
      <c r="M1036" s="191" t="inlineStr">
        <is>
          <t>CHECK_VENDOR</t>
        </is>
      </c>
      <c r="N1036" s="191" t="inlineStr">
        <is>
          <t>See NVD references</t>
        </is>
      </c>
      <c r="O1036" s="191" t="inlineStr">
        <is>
          <t>Apply vendor patches</t>
        </is>
      </c>
      <c r="P1036" s="191" t="inlineStr">
        <is>
          <t>See CVE details</t>
        </is>
      </c>
      <c r="Q1036" s="191" t="inlineStr">
        <is>
          <t>P4</t>
        </is>
      </c>
      <c r="R1036" s="191" t="inlineStr">
        <is>
          <t>📅 Schedule patch deployment within 30 days | 🔍 Monitor for exploitation attempts</t>
        </is>
      </c>
      <c r="S1036" s="191" t="inlineStr">
        <is>
          <t>CVE - IP enrichment n/a</t>
        </is>
      </c>
      <c r="T1036" s="191" t="n">
        <v>0</v>
      </c>
      <c r="U1036" s="191" t="n">
        <v>0</v>
      </c>
      <c r="V1036" s="191" t="inlineStr">
        <is>
          <t>T1190:Exploit Public-Facing Application</t>
        </is>
      </c>
      <c r="W1036" s="191" t="n">
        <v>1</v>
      </c>
      <c r="X1036" s="191" t="inlineStr">
        <is>
          <t>LOW (40%)</t>
        </is>
      </c>
      <c r="Y1036" s="191" t="inlineStr">
        <is>
          <t>UNLIKELY</t>
        </is>
      </c>
      <c r="Z1036" s="191" t="inlineStr">
        <is>
          <t>CHECK_VENDOR</t>
        </is>
      </c>
      <c r="AA1036" s="192" t="inlineStr">
        <is>
          <t>https://nvd.nist.gov/vuln/detail/CVE-2026-26097</t>
        </is>
      </c>
      <c r="AB1036" s="191" t="inlineStr">
        <is>
          <t>NONE</t>
        </is>
      </c>
      <c r="AC1036" s="191" t="n">
        <v>0</v>
      </c>
      <c r="AD1036" s="191" t="n"/>
    </row>
    <row r="1037">
      <c r="A1037" s="191" t="inlineStr">
        <is>
          <t>CVE</t>
        </is>
      </c>
      <c r="B1037" s="191" t="inlineStr">
        <is>
          <t>CVE-2026-26098</t>
        </is>
      </c>
      <c r="C1037" s="191" t="inlineStr">
        <is>
          <t>Uncontrolled Search Path Element in Owl opds 2.2.0.4 allows Leveraging/Manipulating Configuration File Search Paths via a crafted network request.</t>
        </is>
      </c>
      <c r="D1037" s="191" t="n">
        <v>5</v>
      </c>
      <c r="E1037" s="191" t="inlineStr">
        <is>
          <t>MEDIUM</t>
        </is>
      </c>
      <c r="F1037" s="191" t="n">
        <v>2</v>
      </c>
      <c r="G1037" s="191" t="n">
        <v>2</v>
      </c>
      <c r="H1037" s="191" t="inlineStr">
        <is>
          <t>MEDIUM</t>
        </is>
      </c>
      <c r="I1037" s="191" t="n">
        <v>9</v>
      </c>
      <c r="J1037" s="191" t="inlineStr">
        <is>
          <t>NO</t>
        </is>
      </c>
      <c r="K1037" s="192" t="inlineStr">
        <is>
          <t>https://nvd.nist.gov/vuln/detail/CVE-2026-26098</t>
        </is>
      </c>
      <c r="L1037" s="191" t="inlineStr">
        <is>
          <t>2026-02-23 23:48</t>
        </is>
      </c>
      <c r="M1037" s="191" t="inlineStr">
        <is>
          <t>CHECK_VENDOR</t>
        </is>
      </c>
      <c r="N1037" s="191" t="inlineStr">
        <is>
          <t>See NVD references</t>
        </is>
      </c>
      <c r="O1037" s="191" t="inlineStr">
        <is>
          <t>Apply vendor patches</t>
        </is>
      </c>
      <c r="P1037" s="191" t="inlineStr">
        <is>
          <t>See CVE details</t>
        </is>
      </c>
      <c r="Q1037" s="191" t="inlineStr">
        <is>
          <t>P4</t>
        </is>
      </c>
      <c r="R1037" s="191" t="inlineStr">
        <is>
          <t>📅 Schedule patch deployment within 30 days | 🔍 Monitor for exploitation attempts</t>
        </is>
      </c>
      <c r="S1037" s="191" t="inlineStr">
        <is>
          <t>CVE - IP enrichment n/a</t>
        </is>
      </c>
      <c r="T1037" s="191" t="n">
        <v>0</v>
      </c>
      <c r="U1037" s="191" t="n">
        <v>0</v>
      </c>
      <c r="V1037" s="191" t="inlineStr">
        <is>
          <t>T1190:Exploit Public-Facing Application</t>
        </is>
      </c>
      <c r="W1037" s="191" t="n">
        <v>1</v>
      </c>
      <c r="X1037" s="191" t="inlineStr">
        <is>
          <t>LOW (40%)</t>
        </is>
      </c>
      <c r="Y1037" s="191" t="inlineStr">
        <is>
          <t>UNLIKELY</t>
        </is>
      </c>
      <c r="Z1037" s="191" t="inlineStr">
        <is>
          <t>CHECK_VENDOR</t>
        </is>
      </c>
      <c r="AA1037" s="192" t="inlineStr">
        <is>
          <t>https://nvd.nist.gov/vuln/detail/CVE-2026-26098</t>
        </is>
      </c>
      <c r="AB1037" s="191" t="inlineStr">
        <is>
          <t>NONE</t>
        </is>
      </c>
      <c r="AC1037" s="191" t="n">
        <v>0</v>
      </c>
      <c r="AD1037" s="191" t="n"/>
    </row>
    <row r="1038">
      <c r="A1038" s="191" t="inlineStr">
        <is>
          <t>CVE</t>
        </is>
      </c>
      <c r="B1038" s="191" t="inlineStr">
        <is>
          <t>CVE-2026-26099</t>
        </is>
      </c>
      <c r="C1038" s="191" t="inlineStr">
        <is>
          <t>Uncontrolled Search Path Element in Owl opds 2.2.0.4 allows Leveraging/Manipulating Configuration File Search Paths via a crafted network request.</t>
        </is>
      </c>
      <c r="D1038" s="191" t="n">
        <v>5</v>
      </c>
      <c r="E1038" s="191" t="inlineStr">
        <is>
          <t>MEDIUM</t>
        </is>
      </c>
      <c r="F1038" s="191" t="n">
        <v>2</v>
      </c>
      <c r="G1038" s="191" t="n">
        <v>2</v>
      </c>
      <c r="H1038" s="191" t="inlineStr">
        <is>
          <t>MEDIUM</t>
        </is>
      </c>
      <c r="I1038" s="191" t="n">
        <v>9</v>
      </c>
      <c r="J1038" s="191" t="inlineStr">
        <is>
          <t>NO</t>
        </is>
      </c>
      <c r="K1038" s="192" t="inlineStr">
        <is>
          <t>https://nvd.nist.gov/vuln/detail/CVE-2026-26099</t>
        </is>
      </c>
      <c r="L1038" s="191" t="inlineStr">
        <is>
          <t>2026-02-23 23:48</t>
        </is>
      </c>
      <c r="M1038" s="191" t="inlineStr">
        <is>
          <t>CHECK_VENDOR</t>
        </is>
      </c>
      <c r="N1038" s="191" t="inlineStr">
        <is>
          <t>See NVD references</t>
        </is>
      </c>
      <c r="O1038" s="191" t="inlineStr">
        <is>
          <t>Apply vendor patches</t>
        </is>
      </c>
      <c r="P1038" s="191" t="inlineStr">
        <is>
          <t>See CVE details</t>
        </is>
      </c>
      <c r="Q1038" s="191" t="inlineStr">
        <is>
          <t>P4</t>
        </is>
      </c>
      <c r="R1038" s="191" t="inlineStr">
        <is>
          <t>📅 Schedule patch deployment within 30 days | 🔍 Monitor for exploitation attempts</t>
        </is>
      </c>
      <c r="S1038" s="191" t="inlineStr">
        <is>
          <t>CVE - IP enrichment n/a</t>
        </is>
      </c>
      <c r="T1038" s="191" t="n">
        <v>0</v>
      </c>
      <c r="U1038" s="191" t="n">
        <v>0</v>
      </c>
      <c r="V1038" s="191" t="inlineStr">
        <is>
          <t>T1190:Exploit Public-Facing Application</t>
        </is>
      </c>
      <c r="W1038" s="191" t="n">
        <v>1</v>
      </c>
      <c r="X1038" s="191" t="inlineStr">
        <is>
          <t>LOW (40%)</t>
        </is>
      </c>
      <c r="Y1038" s="191" t="inlineStr">
        <is>
          <t>UNLIKELY</t>
        </is>
      </c>
      <c r="Z1038" s="191" t="inlineStr">
        <is>
          <t>CHECK_VENDOR</t>
        </is>
      </c>
      <c r="AA1038" s="192" t="inlineStr">
        <is>
          <t>https://nvd.nist.gov/vuln/detail/CVE-2026-26099</t>
        </is>
      </c>
      <c r="AB1038" s="191" t="inlineStr">
        <is>
          <t>NONE</t>
        </is>
      </c>
      <c r="AC1038" s="191" t="n">
        <v>0</v>
      </c>
      <c r="AD1038" s="191" t="n"/>
    </row>
    <row r="1039">
      <c r="A1039" s="189" t="inlineStr">
        <is>
          <t>CVE</t>
        </is>
      </c>
      <c r="B1039" s="189" t="inlineStr">
        <is>
          <t>CVE-2026-26100</t>
        </is>
      </c>
      <c r="C1039" s="189" t="inlineStr">
        <is>
          <t>Incorrect Permission Assignment for Critical Resource in Owl opds 2.2.0.4 allows File Manipulation via a crafted network request.</t>
        </is>
      </c>
      <c r="D1039" s="189" t="n">
        <v>8.5</v>
      </c>
      <c r="E1039" s="189" t="inlineStr">
        <is>
          <t>HIGH</t>
        </is>
      </c>
      <c r="F1039" s="189" t="n">
        <v>2</v>
      </c>
      <c r="G1039" s="189" t="n">
        <v>3</v>
      </c>
      <c r="H1039" s="189" t="inlineStr">
        <is>
          <t>HIGH</t>
        </is>
      </c>
      <c r="I1039" s="189" t="n">
        <v>14.5</v>
      </c>
      <c r="J1039" s="189" t="inlineStr">
        <is>
          <t>NO</t>
        </is>
      </c>
      <c r="K1039" s="190" t="inlineStr">
        <is>
          <t>https://nvd.nist.gov/vuln/detail/CVE-2026-26100</t>
        </is>
      </c>
      <c r="L1039" s="189" t="inlineStr">
        <is>
          <t>2026-02-23 23:48</t>
        </is>
      </c>
      <c r="M1039" s="189" t="inlineStr">
        <is>
          <t>CHECK_VENDOR</t>
        </is>
      </c>
      <c r="N1039" s="189" t="inlineStr">
        <is>
          <t>See NVD references</t>
        </is>
      </c>
      <c r="O1039" s="189" t="inlineStr">
        <is>
          <t>Apply vendor patches</t>
        </is>
      </c>
      <c r="P1039" s="189" t="inlineStr">
        <is>
          <t>See CVE details</t>
        </is>
      </c>
      <c r="Q1039" s="189" t="inlineStr">
        <is>
          <t>P3</t>
        </is>
      </c>
      <c r="R1039" s="189" t="inlineStr">
        <is>
          <t>🚨 URGENT: Apply vendor patches immediately | 🔒 Isolate affected systems if patch unavailable | 🛡️ Enable additional monitoring/IDS rules</t>
        </is>
      </c>
      <c r="S1039" s="189" t="inlineStr">
        <is>
          <t>CVE - IP enrichment n/a</t>
        </is>
      </c>
      <c r="T1039" s="189" t="n">
        <v>0</v>
      </c>
      <c r="U1039" s="189" t="n">
        <v>0</v>
      </c>
      <c r="V1039" s="189" t="inlineStr">
        <is>
          <t>T1190:Exploit Public-Facing Application</t>
        </is>
      </c>
      <c r="W1039" s="189" t="n">
        <v>1</v>
      </c>
      <c r="X1039" s="189" t="inlineStr">
        <is>
          <t>LOW (40%)</t>
        </is>
      </c>
      <c r="Y1039" s="189" t="inlineStr">
        <is>
          <t>UNLIKELY</t>
        </is>
      </c>
      <c r="Z1039" s="189" t="inlineStr">
        <is>
          <t>CHECK_VENDOR</t>
        </is>
      </c>
      <c r="AA1039" s="190" t="inlineStr">
        <is>
          <t>https://nvd.nist.gov/vuln/detail/CVE-2026-26100</t>
        </is>
      </c>
      <c r="AB1039" s="189" t="inlineStr">
        <is>
          <t>NONE</t>
        </is>
      </c>
      <c r="AC1039" s="189" t="n">
        <v>0</v>
      </c>
      <c r="AD1039" s="189" t="n"/>
    </row>
    <row r="1040">
      <c r="A1040" s="189" t="inlineStr">
        <is>
          <t>CVE</t>
        </is>
      </c>
      <c r="B1040" s="189" t="inlineStr">
        <is>
          <t>CVE-2026-26101</t>
        </is>
      </c>
      <c r="C1040" s="189" t="inlineStr">
        <is>
          <t>Incorrect Permission Assignment for Critical Resource in Owl opds 2.2.0.4 allows File Manipulation via a crafted network request.</t>
        </is>
      </c>
      <c r="D1040" s="189" t="n">
        <v>8.5</v>
      </c>
      <c r="E1040" s="189" t="inlineStr">
        <is>
          <t>HIGH</t>
        </is>
      </c>
      <c r="F1040" s="189" t="n">
        <v>2</v>
      </c>
      <c r="G1040" s="189" t="n">
        <v>3</v>
      </c>
      <c r="H1040" s="189" t="inlineStr">
        <is>
          <t>HIGH</t>
        </is>
      </c>
      <c r="I1040" s="189" t="n">
        <v>14.5</v>
      </c>
      <c r="J1040" s="189" t="inlineStr">
        <is>
          <t>NO</t>
        </is>
      </c>
      <c r="K1040" s="190" t="inlineStr">
        <is>
          <t>https://nvd.nist.gov/vuln/detail/CVE-2026-26101</t>
        </is>
      </c>
      <c r="L1040" s="189" t="inlineStr">
        <is>
          <t>2026-02-23 23:48</t>
        </is>
      </c>
      <c r="M1040" s="189" t="inlineStr">
        <is>
          <t>CHECK_VENDOR</t>
        </is>
      </c>
      <c r="N1040" s="189" t="inlineStr">
        <is>
          <t>See NVD references</t>
        </is>
      </c>
      <c r="O1040" s="189" t="inlineStr">
        <is>
          <t>Apply vendor patches</t>
        </is>
      </c>
      <c r="P1040" s="189" t="inlineStr">
        <is>
          <t>See CVE details</t>
        </is>
      </c>
      <c r="Q1040" s="189" t="inlineStr">
        <is>
          <t>P3</t>
        </is>
      </c>
      <c r="R1040" s="189" t="inlineStr">
        <is>
          <t>🚨 URGENT: Apply vendor patches immediately | 🔒 Isolate affected systems if patch unavailable | 🛡️ Enable additional monitoring/IDS rules</t>
        </is>
      </c>
      <c r="S1040" s="189" t="inlineStr">
        <is>
          <t>CVE - IP enrichment n/a</t>
        </is>
      </c>
      <c r="T1040" s="189" t="n">
        <v>0</v>
      </c>
      <c r="U1040" s="189" t="n">
        <v>0</v>
      </c>
      <c r="V1040" s="189" t="inlineStr">
        <is>
          <t>T1190:Exploit Public-Facing Application</t>
        </is>
      </c>
      <c r="W1040" s="189" t="n">
        <v>1</v>
      </c>
      <c r="X1040" s="189" t="inlineStr">
        <is>
          <t>LOW (40%)</t>
        </is>
      </c>
      <c r="Y1040" s="189" t="inlineStr">
        <is>
          <t>UNLIKELY</t>
        </is>
      </c>
      <c r="Z1040" s="189" t="inlineStr">
        <is>
          <t>CHECK_VENDOR</t>
        </is>
      </c>
      <c r="AA1040" s="190" t="inlineStr">
        <is>
          <t>https://nvd.nist.gov/vuln/detail/CVE-2026-26101</t>
        </is>
      </c>
      <c r="AB1040" s="189" t="inlineStr">
        <is>
          <t>NONE</t>
        </is>
      </c>
      <c r="AC1040" s="189" t="n">
        <v>0</v>
      </c>
      <c r="AD1040" s="189" t="n"/>
    </row>
    <row r="1041">
      <c r="A1041" s="189" t="inlineStr">
        <is>
          <t>CVE</t>
        </is>
      </c>
      <c r="B1041" s="189" t="inlineStr">
        <is>
          <t>CVE-2026-26102</t>
        </is>
      </c>
      <c r="C1041" s="189" t="inlineStr">
        <is>
          <t>Incorrect Permission Assignment for Critical Resource in Owl opds 2.2.0.4 allows File Manipulation via a crafted network request.</t>
        </is>
      </c>
      <c r="D1041" s="189" t="n">
        <v>8.5</v>
      </c>
      <c r="E1041" s="189" t="inlineStr">
        <is>
          <t>HIGH</t>
        </is>
      </c>
      <c r="F1041" s="189" t="n">
        <v>2</v>
      </c>
      <c r="G1041" s="189" t="n">
        <v>3</v>
      </c>
      <c r="H1041" s="189" t="inlineStr">
        <is>
          <t>HIGH</t>
        </is>
      </c>
      <c r="I1041" s="189" t="n">
        <v>14.5</v>
      </c>
      <c r="J1041" s="189" t="inlineStr">
        <is>
          <t>NO</t>
        </is>
      </c>
      <c r="K1041" s="190" t="inlineStr">
        <is>
          <t>https://nvd.nist.gov/vuln/detail/CVE-2026-26102</t>
        </is>
      </c>
      <c r="L1041" s="189" t="inlineStr">
        <is>
          <t>2026-02-23 23:48</t>
        </is>
      </c>
      <c r="M1041" s="189" t="inlineStr">
        <is>
          <t>CHECK_VENDOR</t>
        </is>
      </c>
      <c r="N1041" s="189" t="inlineStr">
        <is>
          <t>See NVD references</t>
        </is>
      </c>
      <c r="O1041" s="189" t="inlineStr">
        <is>
          <t>Apply vendor patches</t>
        </is>
      </c>
      <c r="P1041" s="189" t="inlineStr">
        <is>
          <t>See CVE details</t>
        </is>
      </c>
      <c r="Q1041" s="189" t="inlineStr">
        <is>
          <t>P3</t>
        </is>
      </c>
      <c r="R1041" s="189" t="inlineStr">
        <is>
          <t>🚨 URGENT: Apply vendor patches immediately | 🔒 Isolate affected systems if patch unavailable | 🛡️ Enable additional monitoring/IDS rules</t>
        </is>
      </c>
      <c r="S1041" s="189" t="inlineStr">
        <is>
          <t>CVE - IP enrichment n/a</t>
        </is>
      </c>
      <c r="T1041" s="189" t="n">
        <v>0</v>
      </c>
      <c r="U1041" s="189" t="n">
        <v>0</v>
      </c>
      <c r="V1041" s="189" t="inlineStr">
        <is>
          <t>T1190:Exploit Public-Facing Application</t>
        </is>
      </c>
      <c r="W1041" s="189" t="n">
        <v>1</v>
      </c>
      <c r="X1041" s="189" t="inlineStr">
        <is>
          <t>LOW (40%)</t>
        </is>
      </c>
      <c r="Y1041" s="189" t="inlineStr">
        <is>
          <t>UNLIKELY</t>
        </is>
      </c>
      <c r="Z1041" s="189" t="inlineStr">
        <is>
          <t>CHECK_VENDOR</t>
        </is>
      </c>
      <c r="AA1041" s="190" t="inlineStr">
        <is>
          <t>https://nvd.nist.gov/vuln/detail/CVE-2026-26102</t>
        </is>
      </c>
      <c r="AB1041" s="189" t="inlineStr">
        <is>
          <t>NONE</t>
        </is>
      </c>
      <c r="AC1041" s="189" t="n">
        <v>0</v>
      </c>
      <c r="AD1041" s="189" t="n"/>
    </row>
    <row r="1042">
      <c r="A1042" s="189" t="inlineStr">
        <is>
          <t>CVE</t>
        </is>
      </c>
      <c r="B1042" s="189" t="inlineStr">
        <is>
          <t>CVE-2026-26721</t>
        </is>
      </c>
      <c r="C1042" s="189" t="inlineStr">
        <is>
          <t>An issue in Key Systems Inc Global Facilities Management Software v.20230721a allows a remote attacker to obtain sensitive information via the sid query parameter.</t>
        </is>
      </c>
      <c r="D1042" s="189" t="n">
        <v>7.1</v>
      </c>
      <c r="E1042" s="189" t="inlineStr">
        <is>
          <t>HIGH</t>
        </is>
      </c>
      <c r="F1042" s="189" t="n">
        <v>2</v>
      </c>
      <c r="G1042" s="189" t="n">
        <v>3</v>
      </c>
      <c r="H1042" s="189" t="inlineStr">
        <is>
          <t>HIGH</t>
        </is>
      </c>
      <c r="I1042" s="189" t="n">
        <v>13.1</v>
      </c>
      <c r="J1042" s="189" t="inlineStr">
        <is>
          <t>NO</t>
        </is>
      </c>
      <c r="K1042" s="190" t="inlineStr">
        <is>
          <t>https://nvd.nist.gov/vuln/detail/CVE-2026-26721</t>
        </is>
      </c>
      <c r="L1042" s="189" t="inlineStr">
        <is>
          <t>2026-02-23 23:48</t>
        </is>
      </c>
      <c r="M1042" s="189" t="inlineStr">
        <is>
          <t>CHECK_VENDOR</t>
        </is>
      </c>
      <c r="N1042" s="189" t="inlineStr">
        <is>
          <t>See NVD references</t>
        </is>
      </c>
      <c r="O1042" s="189" t="inlineStr">
        <is>
          <t>Apply vendor patches</t>
        </is>
      </c>
      <c r="P1042" s="189" t="inlineStr">
        <is>
          <t>See CVE details</t>
        </is>
      </c>
      <c r="Q1042" s="189" t="inlineStr">
        <is>
          <t>P3</t>
        </is>
      </c>
      <c r="R1042" s="189" t="inlineStr">
        <is>
          <t>🚨 URGENT: Apply vendor patches immediately | 🔒 Isolate affected systems if patch unavailable | 🛡️ Enable additional monitoring/IDS rules</t>
        </is>
      </c>
      <c r="S1042" s="189" t="inlineStr">
        <is>
          <t>CVE - IP enrichment n/a</t>
        </is>
      </c>
      <c r="T1042" s="189" t="n">
        <v>0</v>
      </c>
      <c r="U1042" s="189" t="n">
        <v>0</v>
      </c>
      <c r="V1042" s="189" t="inlineStr">
        <is>
          <t>T1190:Exploit Public-Facing Application</t>
        </is>
      </c>
      <c r="W1042" s="189" t="n">
        <v>1</v>
      </c>
      <c r="X1042" s="189" t="inlineStr">
        <is>
          <t>LOW (40%)</t>
        </is>
      </c>
      <c r="Y1042" s="189" t="inlineStr">
        <is>
          <t>UNLIKELY</t>
        </is>
      </c>
      <c r="Z1042" s="189" t="inlineStr">
        <is>
          <t>CHECK_VENDOR</t>
        </is>
      </c>
      <c r="AA1042" s="190" t="inlineStr">
        <is>
          <t>https://nvd.nist.gov/vuln/detail/CVE-2026-26721</t>
        </is>
      </c>
      <c r="AB1042" s="189" t="inlineStr">
        <is>
          <t>NONE</t>
        </is>
      </c>
      <c r="AC1042" s="189" t="n">
        <v>0</v>
      </c>
      <c r="AD1042" s="189" t="n"/>
    </row>
    <row r="1043">
      <c r="A1043" s="193" t="inlineStr">
        <is>
          <t>CVE</t>
        </is>
      </c>
      <c r="B1043" s="193" t="inlineStr">
        <is>
          <t>CVE-2026-26722</t>
        </is>
      </c>
      <c r="C1043" s="193" t="inlineStr">
        <is>
          <t>An issue in Key Systems Inc Global Facilities Management Software v.20230721a allows a remote attacker to escalate privileges via PIN component of the login functionality.</t>
        </is>
      </c>
      <c r="D1043" s="193" t="n">
        <v>9.4</v>
      </c>
      <c r="E1043" s="193" t="inlineStr">
        <is>
          <t>CRITICAL</t>
        </is>
      </c>
      <c r="F1043" s="193" t="n">
        <v>2</v>
      </c>
      <c r="G1043" s="193" t="n">
        <v>3</v>
      </c>
      <c r="H1043" s="193" t="inlineStr">
        <is>
          <t>HIGH</t>
        </is>
      </c>
      <c r="I1043" s="193" t="n">
        <v>15.4</v>
      </c>
      <c r="J1043" s="193" t="inlineStr">
        <is>
          <t>NO</t>
        </is>
      </c>
      <c r="K1043" s="194" t="inlineStr">
        <is>
          <t>https://nvd.nist.gov/vuln/detail/CVE-2026-26722</t>
        </is>
      </c>
      <c r="L1043" s="193" t="inlineStr">
        <is>
          <t>2026-02-23 23:48</t>
        </is>
      </c>
      <c r="M1043" s="193" t="inlineStr">
        <is>
          <t>CHECK_VENDOR</t>
        </is>
      </c>
      <c r="N1043" s="193" t="inlineStr">
        <is>
          <t>See NVD references</t>
        </is>
      </c>
      <c r="O1043" s="193" t="inlineStr">
        <is>
          <t>Apply vendor patches</t>
        </is>
      </c>
      <c r="P1043" s="193" t="inlineStr">
        <is>
          <t>See CVE details</t>
        </is>
      </c>
      <c r="Q1043" s="193" t="inlineStr">
        <is>
          <t>P3</t>
        </is>
      </c>
      <c r="R1043" s="193" t="inlineStr">
        <is>
          <t>🚨 URGENT: Apply vendor patches immediately | 🔒 Isolate affected systems if patch unavailable | 🛡️ Enable additional monitoring/IDS rules</t>
        </is>
      </c>
      <c r="S1043" s="193" t="inlineStr">
        <is>
          <t>CVE - IP enrichment n/a</t>
        </is>
      </c>
      <c r="T1043" s="193" t="n">
        <v>0</v>
      </c>
      <c r="U1043" s="193" t="n">
        <v>0</v>
      </c>
      <c r="V1043" s="193" t="inlineStr">
        <is>
          <t>T1190:Exploit Public-Facing Application</t>
        </is>
      </c>
      <c r="W1043" s="193" t="n">
        <v>1</v>
      </c>
      <c r="X1043" s="193" t="inlineStr">
        <is>
          <t>LOW (40%)</t>
        </is>
      </c>
      <c r="Y1043" s="193" t="inlineStr">
        <is>
          <t>UNLIKELY</t>
        </is>
      </c>
      <c r="Z1043" s="193" t="inlineStr">
        <is>
          <t>CHECK_VENDOR</t>
        </is>
      </c>
      <c r="AA1043" s="194" t="inlineStr">
        <is>
          <t>https://nvd.nist.gov/vuln/detail/CVE-2026-26722</t>
        </is>
      </c>
      <c r="AB1043" s="193" t="inlineStr">
        <is>
          <t>NONE</t>
        </is>
      </c>
      <c r="AC1043" s="193" t="n">
        <v>0</v>
      </c>
      <c r="AD1043" s="193" t="n"/>
    </row>
    <row r="1044">
      <c r="A1044" s="189" t="inlineStr">
        <is>
          <t>CVE</t>
        </is>
      </c>
      <c r="B1044" s="189" t="inlineStr">
        <is>
          <t>CVE-2026-26723</t>
        </is>
      </c>
      <c r="C1044" s="189" t="inlineStr">
        <is>
          <t>Cross Site Scripting vulnerability in Key Systems Inc Global Facilities Management Software v. 20230721a allows a remote attacker to execute arbitrary code via the function parameter.</t>
        </is>
      </c>
      <c r="D1044" s="189" t="n">
        <v>8.199999999999999</v>
      </c>
      <c r="E1044" s="189" t="inlineStr">
        <is>
          <t>HIGH</t>
        </is>
      </c>
      <c r="F1044" s="189" t="n">
        <v>2</v>
      </c>
      <c r="G1044" s="189" t="n">
        <v>3</v>
      </c>
      <c r="H1044" s="189" t="inlineStr">
        <is>
          <t>HIGH</t>
        </is>
      </c>
      <c r="I1044" s="189" t="n">
        <v>14.2</v>
      </c>
      <c r="J1044" s="189" t="inlineStr">
        <is>
          <t>NO</t>
        </is>
      </c>
      <c r="K1044" s="190" t="inlineStr">
        <is>
          <t>https://nvd.nist.gov/vuln/detail/CVE-2026-26723</t>
        </is>
      </c>
      <c r="L1044" s="189" t="inlineStr">
        <is>
          <t>2026-02-23 23:48</t>
        </is>
      </c>
      <c r="M1044" s="189" t="inlineStr">
        <is>
          <t>CHECK_VENDOR</t>
        </is>
      </c>
      <c r="N1044" s="189" t="inlineStr">
        <is>
          <t>See NVD references</t>
        </is>
      </c>
      <c r="O1044" s="189" t="inlineStr">
        <is>
          <t>Apply vendor patches</t>
        </is>
      </c>
      <c r="P1044" s="189" t="inlineStr">
        <is>
          <t>See CVE details</t>
        </is>
      </c>
      <c r="Q1044" s="189" t="inlineStr">
        <is>
          <t>P3</t>
        </is>
      </c>
      <c r="R1044" s="189" t="inlineStr">
        <is>
          <t>🚨 URGENT: Apply vendor patches immediately | 🔒 Isolate affected systems if patch unavailable | 🛡️ Enable additional monitoring/IDS rules</t>
        </is>
      </c>
      <c r="S1044" s="189" t="inlineStr">
        <is>
          <t>CVE - IP enrichment n/a</t>
        </is>
      </c>
      <c r="T1044" s="189" t="n">
        <v>0</v>
      </c>
      <c r="U1044" s="189" t="n">
        <v>0</v>
      </c>
      <c r="V1044" s="189" t="inlineStr">
        <is>
          <t>T1189:Drive-by Compromise | T1203:Exploitation for Client Execution</t>
        </is>
      </c>
      <c r="W1044" s="189" t="n">
        <v>1</v>
      </c>
      <c r="X1044" s="189" t="inlineStr">
        <is>
          <t>LOW (40%)</t>
        </is>
      </c>
      <c r="Y1044" s="189" t="inlineStr">
        <is>
          <t>UNLIKELY</t>
        </is>
      </c>
      <c r="Z1044" s="189" t="inlineStr">
        <is>
          <t>CHECK_VENDOR</t>
        </is>
      </c>
      <c r="AA1044" s="190" t="inlineStr">
        <is>
          <t>https://nvd.nist.gov/vuln/detail/CVE-2026-26723</t>
        </is>
      </c>
      <c r="AB1044" s="189" t="inlineStr">
        <is>
          <t>NONE</t>
        </is>
      </c>
      <c r="AC1044" s="189" t="n">
        <v>0</v>
      </c>
      <c r="AD1044" s="189" t="n"/>
    </row>
    <row r="1045">
      <c r="A1045" s="189" t="inlineStr">
        <is>
          <t>CVE</t>
        </is>
      </c>
      <c r="B1045" s="189" t="inlineStr">
        <is>
          <t>CVE-2026-26724</t>
        </is>
      </c>
      <c r="C1045" s="189" t="inlineStr">
        <is>
          <t>Cross Site Scripting vulnerability in Key Systems Inc Global Facilities Management Software v. 20230721a allows a remote attacker to execute arbitrary code via the selectgroup and gn parameters on the /?Function=Groups endpoint.</t>
        </is>
      </c>
      <c r="D1045" s="189" t="n">
        <v>7.6</v>
      </c>
      <c r="E1045" s="189" t="inlineStr">
        <is>
          <t>HIGH</t>
        </is>
      </c>
      <c r="F1045" s="189" t="n">
        <v>2</v>
      </c>
      <c r="G1045" s="189" t="n">
        <v>3</v>
      </c>
      <c r="H1045" s="189" t="inlineStr">
        <is>
          <t>HIGH</t>
        </is>
      </c>
      <c r="I1045" s="189" t="n">
        <v>13.6</v>
      </c>
      <c r="J1045" s="189" t="inlineStr">
        <is>
          <t>NO</t>
        </is>
      </c>
      <c r="K1045" s="190" t="inlineStr">
        <is>
          <t>https://nvd.nist.gov/vuln/detail/CVE-2026-26724</t>
        </is>
      </c>
      <c r="L1045" s="189" t="inlineStr">
        <is>
          <t>2026-02-23 23:48</t>
        </is>
      </c>
      <c r="M1045" s="189" t="inlineStr">
        <is>
          <t>CHECK_VENDOR</t>
        </is>
      </c>
      <c r="N1045" s="189" t="inlineStr">
        <is>
          <t>See NVD references</t>
        </is>
      </c>
      <c r="O1045" s="189" t="inlineStr">
        <is>
          <t>Apply vendor patches</t>
        </is>
      </c>
      <c r="P1045" s="189" t="inlineStr">
        <is>
          <t>See CVE details</t>
        </is>
      </c>
      <c r="Q1045" s="189" t="inlineStr">
        <is>
          <t>P3</t>
        </is>
      </c>
      <c r="R1045" s="189" t="inlineStr">
        <is>
          <t>🚨 URGENT: Apply vendor patches immediately | 🔒 Isolate affected systems if patch unavailable | 🛡️ Enable additional monitoring/IDS rules</t>
        </is>
      </c>
      <c r="S1045" s="189" t="inlineStr">
        <is>
          <t>CVE - IP enrichment n/a</t>
        </is>
      </c>
      <c r="T1045" s="189" t="n">
        <v>0.0005999999999999999</v>
      </c>
      <c r="U1045" s="189" t="n">
        <v>0.1801</v>
      </c>
      <c r="V1045" s="189" t="inlineStr">
        <is>
          <t>T1203:Exploitation for Client Execution</t>
        </is>
      </c>
      <c r="W1045" s="189" t="n">
        <v>1</v>
      </c>
      <c r="X1045" s="189" t="inlineStr">
        <is>
          <t>LOW (40%)</t>
        </is>
      </c>
      <c r="Y1045" s="189" t="inlineStr">
        <is>
          <t>UNLIKELY</t>
        </is>
      </c>
      <c r="Z1045" s="189" t="inlineStr">
        <is>
          <t>CHECK_VENDOR</t>
        </is>
      </c>
      <c r="AA1045" s="190" t="inlineStr">
        <is>
          <t>https://nvd.nist.gov/vuln/detail/CVE-2026-26724</t>
        </is>
      </c>
      <c r="AB1045" s="189" t="inlineStr">
        <is>
          <t>NONE</t>
        </is>
      </c>
      <c r="AC1045" s="189" t="n">
        <v>0</v>
      </c>
      <c r="AD1045" s="189" t="n"/>
    </row>
    <row r="1046">
      <c r="A1046" s="193" t="inlineStr">
        <is>
          <t>CVE</t>
        </is>
      </c>
      <c r="B1046" s="193" t="inlineStr">
        <is>
          <t>CVE-2026-26725</t>
        </is>
      </c>
      <c r="C1046" s="193" t="inlineStr">
        <is>
          <t>An issue in edu Business Solutions Print Shop Pro WebDesk v.18.34 allows a remote attacker to escalate privileges via the AccessID parameter.</t>
        </is>
      </c>
      <c r="D1046" s="193" t="n">
        <v>9.800000000000001</v>
      </c>
      <c r="E1046" s="193" t="inlineStr">
        <is>
          <t>CRITICAL</t>
        </is>
      </c>
      <c r="F1046" s="193" t="n">
        <v>2</v>
      </c>
      <c r="G1046" s="193" t="n">
        <v>3</v>
      </c>
      <c r="H1046" s="193" t="inlineStr">
        <is>
          <t>HIGH</t>
        </is>
      </c>
      <c r="I1046" s="193" t="n">
        <v>15.8</v>
      </c>
      <c r="J1046" s="193" t="inlineStr">
        <is>
          <t>NO</t>
        </is>
      </c>
      <c r="K1046" s="194" t="inlineStr">
        <is>
          <t>https://nvd.nist.gov/vuln/detail/CVE-2026-26725</t>
        </is>
      </c>
      <c r="L1046" s="193" t="inlineStr">
        <is>
          <t>2026-02-23 23:48</t>
        </is>
      </c>
      <c r="M1046" s="193" t="inlineStr">
        <is>
          <t>CHECK_VENDOR</t>
        </is>
      </c>
      <c r="N1046" s="193" t="inlineStr">
        <is>
          <t>See NVD references</t>
        </is>
      </c>
      <c r="O1046" s="193" t="inlineStr">
        <is>
          <t>Apply vendor patches</t>
        </is>
      </c>
      <c r="P1046" s="193" t="inlineStr">
        <is>
          <t>See CVE details</t>
        </is>
      </c>
      <c r="Q1046" s="193" t="inlineStr">
        <is>
          <t>P3</t>
        </is>
      </c>
      <c r="R1046" s="193" t="inlineStr">
        <is>
          <t>🚨 URGENT: Apply vendor patches immediately | 🔒 Isolate affected systems if patch unavailable | 🛡️ Enable additional monitoring/IDS rules</t>
        </is>
      </c>
      <c r="S1046" s="193" t="inlineStr">
        <is>
          <t>CVE - IP enrichment n/a</t>
        </is>
      </c>
      <c r="T1046" s="193" t="n">
        <v>0.0005</v>
      </c>
      <c r="U1046" s="193" t="n">
        <v>0.1531</v>
      </c>
      <c r="V1046" s="193" t="inlineStr">
        <is>
          <t>T1190:Exploit Public-Facing Application</t>
        </is>
      </c>
      <c r="W1046" s="193" t="n">
        <v>1</v>
      </c>
      <c r="X1046" s="193" t="inlineStr">
        <is>
          <t>LOW (40%)</t>
        </is>
      </c>
      <c r="Y1046" s="193" t="inlineStr">
        <is>
          <t>UNLIKELY</t>
        </is>
      </c>
      <c r="Z1046" s="193" t="inlineStr">
        <is>
          <t>CHECK_VENDOR</t>
        </is>
      </c>
      <c r="AA1046" s="194" t="inlineStr">
        <is>
          <t>https://nvd.nist.gov/vuln/detail/CVE-2026-26725</t>
        </is>
      </c>
      <c r="AB1046" s="193" t="inlineStr">
        <is>
          <t>NONE</t>
        </is>
      </c>
      <c r="AC1046" s="193" t="n">
        <v>0</v>
      </c>
      <c r="AD1046" s="193" t="n"/>
    </row>
    <row r="1047">
      <c r="A1047" s="191" t="inlineStr">
        <is>
          <t>CVE</t>
        </is>
      </c>
      <c r="B1047" s="191" t="inlineStr">
        <is>
          <t>CVE-2026-26745</t>
        </is>
      </c>
      <c r="C1047" s="191" t="inlineStr">
        <is>
          <t>OpenSourcePOS 3.4.1 has a second order SQL Injection vulnerability in the handling of the currency_symbol configuration field. Although the input is initially stored without immediate execution, it is later concatenated into a dynamically constructed SQL query without proper sanitization or parameter binding. This allows an attacker with access to modify the currency_symbol value to inject arbitrary SQL expressions, which are executed when the affected query is subsequently processed.</t>
        </is>
      </c>
      <c r="D1047" s="191" t="n">
        <v>5.3</v>
      </c>
      <c r="E1047" s="191" t="inlineStr">
        <is>
          <t>MEDIUM</t>
        </is>
      </c>
      <c r="F1047" s="191" t="n">
        <v>2</v>
      </c>
      <c r="G1047" s="191" t="n">
        <v>2</v>
      </c>
      <c r="H1047" s="191" t="inlineStr">
        <is>
          <t>MEDIUM</t>
        </is>
      </c>
      <c r="I1047" s="191" t="n">
        <v>9.300000000000001</v>
      </c>
      <c r="J1047" s="191" t="inlineStr">
        <is>
          <t>NO</t>
        </is>
      </c>
      <c r="K1047" s="192" t="inlineStr">
        <is>
          <t>https://nvd.nist.gov/vuln/detail/CVE-2026-26745</t>
        </is>
      </c>
      <c r="L1047" s="191" t="inlineStr">
        <is>
          <t>2026-02-23 23:48</t>
        </is>
      </c>
      <c r="M1047" s="191" t="inlineStr">
        <is>
          <t>CHECK_VENDOR</t>
        </is>
      </c>
      <c r="N1047" s="191" t="inlineStr">
        <is>
          <t>See NVD references</t>
        </is>
      </c>
      <c r="O1047" s="191" t="inlineStr">
        <is>
          <t>Apply vendor patches</t>
        </is>
      </c>
      <c r="P1047" s="191" t="inlineStr">
        <is>
          <t>See CVE details</t>
        </is>
      </c>
      <c r="Q1047" s="191" t="inlineStr">
        <is>
          <t>P4</t>
        </is>
      </c>
      <c r="R1047" s="191" t="inlineStr">
        <is>
          <t>📅 Schedule patch deployment within 30 days | 🔍 Monitor for exploitation attempts</t>
        </is>
      </c>
      <c r="S1047" s="191" t="inlineStr">
        <is>
          <t>CVE - IP enrichment n/a</t>
        </is>
      </c>
      <c r="T1047" s="191" t="n">
        <v>0</v>
      </c>
      <c r="U1047" s="191" t="n">
        <v>0</v>
      </c>
      <c r="V1047" s="191" t="inlineStr">
        <is>
          <t>T1190:Exploit Public-Facing Application</t>
        </is>
      </c>
      <c r="W1047" s="191" t="n">
        <v>1</v>
      </c>
      <c r="X1047" s="191" t="inlineStr">
        <is>
          <t>LOW (40%)</t>
        </is>
      </c>
      <c r="Y1047" s="191" t="inlineStr">
        <is>
          <t>UNLIKELY</t>
        </is>
      </c>
      <c r="Z1047" s="191" t="inlineStr">
        <is>
          <t>CHECK_VENDOR</t>
        </is>
      </c>
      <c r="AA1047" s="192" t="inlineStr">
        <is>
          <t>https://nvd.nist.gov/vuln/detail/CVE-2026-26745</t>
        </is>
      </c>
      <c r="AB1047" s="191" t="inlineStr">
        <is>
          <t>NONE</t>
        </is>
      </c>
      <c r="AC1047" s="191" t="n">
        <v>0</v>
      </c>
      <c r="AD1047" s="191" t="n"/>
    </row>
    <row r="1048">
      <c r="A1048" s="189" t="inlineStr">
        <is>
          <t>CVE</t>
        </is>
      </c>
      <c r="B1048" s="189" t="inlineStr">
        <is>
          <t>CVE-2026-26746</t>
        </is>
      </c>
      <c r="C1048" s="189" t="inlineStr">
        <is>
          <t>OpenSourcePOS 3.4.1 contains a Local File Inclusion (LFI) vulnerability in the Sales.php::getInvoice() function. An attacker can read arbitrary files on the web server by manipulating the Invoice Type configuration. This issue can be chained with the file upload functionality to achieve Remote Code Execution (RCE).</t>
        </is>
      </c>
      <c r="D1048" s="189" t="n">
        <v>8.800000000000001</v>
      </c>
      <c r="E1048" s="189" t="inlineStr">
        <is>
          <t>HIGH</t>
        </is>
      </c>
      <c r="F1048" s="189" t="n">
        <v>2</v>
      </c>
      <c r="G1048" s="189" t="n">
        <v>3</v>
      </c>
      <c r="H1048" s="189" t="inlineStr">
        <is>
          <t>HIGH</t>
        </is>
      </c>
      <c r="I1048" s="189" t="n">
        <v>14.8</v>
      </c>
      <c r="J1048" s="189" t="inlineStr">
        <is>
          <t>NO</t>
        </is>
      </c>
      <c r="K1048" s="190" t="inlineStr">
        <is>
          <t>https://nvd.nist.gov/vuln/detail/CVE-2026-26746</t>
        </is>
      </c>
      <c r="L1048" s="189" t="inlineStr">
        <is>
          <t>2026-02-23 23:48</t>
        </is>
      </c>
      <c r="M1048" s="189" t="inlineStr">
        <is>
          <t>CHECK_VENDOR</t>
        </is>
      </c>
      <c r="N1048" s="189" t="inlineStr">
        <is>
          <t>See NVD references</t>
        </is>
      </c>
      <c r="O1048" s="189" t="inlineStr">
        <is>
          <t>Apply vendor patches</t>
        </is>
      </c>
      <c r="P1048" s="189" t="inlineStr">
        <is>
          <t>See CVE details</t>
        </is>
      </c>
      <c r="Q1048" s="189" t="inlineStr">
        <is>
          <t>P3</t>
        </is>
      </c>
      <c r="R1048" s="189" t="inlineStr">
        <is>
          <t>🚨 URGENT: Apply vendor patches immediately | 🔒 Isolate affected systems if patch unavailable | 🛡️ Enable additional monitoring/IDS rules</t>
        </is>
      </c>
      <c r="S1048" s="189" t="inlineStr">
        <is>
          <t>CVE - IP enrichment n/a</t>
        </is>
      </c>
      <c r="T1048" s="189" t="n">
        <v>0.0005</v>
      </c>
      <c r="U1048" s="189" t="n">
        <v>0.1589</v>
      </c>
      <c r="V1048" s="189" t="inlineStr">
        <is>
          <t>T1190:Exploit Public-Facing Application | T1210:Exploitation of Remote Services</t>
        </is>
      </c>
      <c r="W1048" s="189" t="n">
        <v>1</v>
      </c>
      <c r="X1048" s="189" t="inlineStr">
        <is>
          <t>LOW (40%)</t>
        </is>
      </c>
      <c r="Y1048" s="189" t="inlineStr">
        <is>
          <t>UNLIKELY</t>
        </is>
      </c>
      <c r="Z1048" s="189" t="inlineStr">
        <is>
          <t>CHECK_VENDOR</t>
        </is>
      </c>
      <c r="AA1048" s="190" t="inlineStr">
        <is>
          <t>https://nvd.nist.gov/vuln/detail/CVE-2026-26746</t>
        </is>
      </c>
      <c r="AB1048" s="189" t="inlineStr">
        <is>
          <t>NONE</t>
        </is>
      </c>
      <c r="AC1048" s="189" t="n">
        <v>0</v>
      </c>
      <c r="AD1048" s="189" t="n"/>
    </row>
    <row r="1049">
      <c r="A1049" s="193" t="inlineStr">
        <is>
          <t>CVE</t>
        </is>
      </c>
      <c r="B1049" s="193" t="inlineStr">
        <is>
          <t>CVE-2026-26747</t>
        </is>
      </c>
      <c r="C1049" s="193" t="inlineStr">
        <is>
          <t>A Host Header Poisoning vulnerability exists in Monica 4.1.2 due to improper handling of the HTTP Host header in app/Providers/AppServiceProvider.php, combined with the default misconfiguration where the "app.force_url" is not set and default is "false". The application generates absolute URLs (such as those used in password reset emails) using the user-supplied Host header. This allows remote attackers to poison the password reset link sent to a victim,</t>
        </is>
      </c>
      <c r="D1049" s="193" t="n">
        <v>9.1</v>
      </c>
      <c r="E1049" s="193" t="inlineStr">
        <is>
          <t>CRITICAL</t>
        </is>
      </c>
      <c r="F1049" s="193" t="n">
        <v>2</v>
      </c>
      <c r="G1049" s="193" t="n">
        <v>3</v>
      </c>
      <c r="H1049" s="193" t="inlineStr">
        <is>
          <t>HIGH</t>
        </is>
      </c>
      <c r="I1049" s="193" t="n">
        <v>15.1</v>
      </c>
      <c r="J1049" s="193" t="inlineStr">
        <is>
          <t>NO</t>
        </is>
      </c>
      <c r="K1049" s="194" t="inlineStr">
        <is>
          <t>https://nvd.nist.gov/vuln/detail/CVE-2026-26747</t>
        </is>
      </c>
      <c r="L1049" s="193" t="inlineStr">
        <is>
          <t>2026-02-23 23:48</t>
        </is>
      </c>
      <c r="M1049" s="193" t="inlineStr">
        <is>
          <t>CHECK_VENDOR</t>
        </is>
      </c>
      <c r="N1049" s="193" t="inlineStr">
        <is>
          <t>See NVD references</t>
        </is>
      </c>
      <c r="O1049" s="193" t="inlineStr">
        <is>
          <t>Apply vendor patches</t>
        </is>
      </c>
      <c r="P1049" s="193" t="inlineStr">
        <is>
          <t>See CVE details</t>
        </is>
      </c>
      <c r="Q1049" s="193" t="inlineStr">
        <is>
          <t>P3</t>
        </is>
      </c>
      <c r="R1049" s="193" t="inlineStr">
        <is>
          <t>🚨 URGENT: Apply vendor patches immediately | 🔒 Isolate affected systems if patch unavailable | 🛡️ Enable additional monitoring/IDS rules</t>
        </is>
      </c>
      <c r="S1049" s="193" t="inlineStr">
        <is>
          <t>CVE - IP enrichment n/a</t>
        </is>
      </c>
      <c r="T1049" s="193" t="n">
        <v>0</v>
      </c>
      <c r="U1049" s="193" t="n">
        <v>0</v>
      </c>
      <c r="V1049" s="193" t="inlineStr">
        <is>
          <t>T1190:Exploit Public-Facing Application</t>
        </is>
      </c>
      <c r="W1049" s="193" t="n">
        <v>1</v>
      </c>
      <c r="X1049" s="193" t="inlineStr">
        <is>
          <t>LOW (40%)</t>
        </is>
      </c>
      <c r="Y1049" s="193" t="inlineStr">
        <is>
          <t>UNLIKELY</t>
        </is>
      </c>
      <c r="Z1049" s="193" t="inlineStr">
        <is>
          <t>CHECK_VENDOR</t>
        </is>
      </c>
      <c r="AA1049" s="194" t="inlineStr">
        <is>
          <t>https://nvd.nist.gov/vuln/detail/CVE-2026-26747</t>
        </is>
      </c>
      <c r="AB1049" s="193" t="inlineStr">
        <is>
          <t>NONE</t>
        </is>
      </c>
      <c r="AC1049" s="193" t="n">
        <v>0</v>
      </c>
      <c r="AD1049" s="193" t="n"/>
    </row>
    <row r="1050">
      <c r="A1050" s="191" t="inlineStr">
        <is>
          <t>CVE</t>
        </is>
      </c>
      <c r="B1050" s="191" t="inlineStr">
        <is>
          <t>CVE-2026-27502</t>
        </is>
      </c>
      <c r="C1050" s="191" t="inlineStr">
        <is>
          <t>SVXportal version 2.5 and prior contain a reflected cross-site scripting vulnerability in log.php via the search query parameter. The application embeds the unsanitized parameter value directly into an HTML input value attribute, allowing an unauthenticated remote attacker to inject and execute arbitrary JavaScript in a victim's browser if the victim visits a crafted URL. This can be used to steal session data, perform actions as the victim, or modify displayed content.</t>
        </is>
      </c>
      <c r="D1050" s="191" t="n">
        <v>6.1</v>
      </c>
      <c r="E1050" s="191" t="inlineStr">
        <is>
          <t>MEDIUM</t>
        </is>
      </c>
      <c r="F1050" s="191" t="n">
        <v>2</v>
      </c>
      <c r="G1050" s="191" t="n">
        <v>2</v>
      </c>
      <c r="H1050" s="191" t="inlineStr">
        <is>
          <t>MEDIUM</t>
        </is>
      </c>
      <c r="I1050" s="191" t="n">
        <v>10.1</v>
      </c>
      <c r="J1050" s="191" t="inlineStr">
        <is>
          <t>NO</t>
        </is>
      </c>
      <c r="K1050" s="192" t="inlineStr">
        <is>
          <t>https://nvd.nist.gov/vuln/detail/CVE-2026-27502</t>
        </is>
      </c>
      <c r="L1050" s="191" t="inlineStr">
        <is>
          <t>2026-02-23 23:48</t>
        </is>
      </c>
      <c r="M1050" s="191" t="inlineStr">
        <is>
          <t>CHECK_VENDOR</t>
        </is>
      </c>
      <c r="N1050" s="191" t="inlineStr">
        <is>
          <t>See NVD references</t>
        </is>
      </c>
      <c r="O1050" s="191" t="inlineStr">
        <is>
          <t>Apply vendor patches</t>
        </is>
      </c>
      <c r="P1050" s="191" t="inlineStr">
        <is>
          <t>radioinorr svxportal *</t>
        </is>
      </c>
      <c r="Q1050" s="191" t="inlineStr">
        <is>
          <t>P4</t>
        </is>
      </c>
      <c r="R1050" s="191" t="inlineStr">
        <is>
          <t>📅 Schedule patch deployment within 30 days | 🔍 Monitor for exploitation attempts</t>
        </is>
      </c>
      <c r="S1050" s="191" t="inlineStr">
        <is>
          <t>CVE - IP enrichment n/a</t>
        </is>
      </c>
      <c r="T1050" s="191" t="n">
        <v>0</v>
      </c>
      <c r="U1050" s="191" t="n">
        <v>0</v>
      </c>
      <c r="V1050" s="191" t="inlineStr">
        <is>
          <t>T1189:Drive-by Compromise</t>
        </is>
      </c>
      <c r="W1050" s="191" t="n">
        <v>1</v>
      </c>
      <c r="X1050" s="191" t="inlineStr">
        <is>
          <t>LOW (40%)</t>
        </is>
      </c>
      <c r="Y1050" s="191" t="inlineStr">
        <is>
          <t>UNLIKELY</t>
        </is>
      </c>
      <c r="Z1050" s="191" t="inlineStr">
        <is>
          <t>CHECK_VENDOR</t>
        </is>
      </c>
      <c r="AA1050" s="192" t="inlineStr">
        <is>
          <t>https://nvd.nist.gov/vuln/detail/CVE-2026-27502</t>
        </is>
      </c>
      <c r="AB1050" s="191" t="inlineStr">
        <is>
          <t>NONE</t>
        </is>
      </c>
      <c r="AC1050" s="191" t="n">
        <v>0</v>
      </c>
      <c r="AD1050" s="191" t="n"/>
    </row>
    <row r="1051">
      <c r="A1051" s="191" t="inlineStr">
        <is>
          <t>CVE</t>
        </is>
      </c>
      <c r="B1051" s="191" t="inlineStr">
        <is>
          <t>CVE-2026-27503</t>
        </is>
      </c>
      <c r="C1051" s="191" t="inlineStr">
        <is>
          <t>SVXportal version 2.5 and prior contain a reflected cross-site scripting vulnerability in admin/log.php via the search query parameter. When an authenticated administrator views a crafted URL, the application embeds the unsanitized parameter value directly into an HTML input value attribute, allowing attacker-supplied JavaScript to execute in the administrator's browser. This can enable session theft, administrative action forgery, or other browser-based compromise in the context of an admin use</t>
        </is>
      </c>
      <c r="D1051" s="191" t="n">
        <v>6.1</v>
      </c>
      <c r="E1051" s="191" t="inlineStr">
        <is>
          <t>MEDIUM</t>
        </is>
      </c>
      <c r="F1051" s="191" t="n">
        <v>2</v>
      </c>
      <c r="G1051" s="191" t="n">
        <v>2</v>
      </c>
      <c r="H1051" s="191" t="inlineStr">
        <is>
          <t>MEDIUM</t>
        </is>
      </c>
      <c r="I1051" s="191" t="n">
        <v>10.1</v>
      </c>
      <c r="J1051" s="191" t="inlineStr">
        <is>
          <t>NO</t>
        </is>
      </c>
      <c r="K1051" s="192" t="inlineStr">
        <is>
          <t>https://nvd.nist.gov/vuln/detail/CVE-2026-27503</t>
        </is>
      </c>
      <c r="L1051" s="191" t="inlineStr">
        <is>
          <t>2026-02-23 23:48</t>
        </is>
      </c>
      <c r="M1051" s="191" t="inlineStr">
        <is>
          <t>CHECK_VENDOR</t>
        </is>
      </c>
      <c r="N1051" s="191" t="inlineStr">
        <is>
          <t>See NVD references</t>
        </is>
      </c>
      <c r="O1051" s="191" t="inlineStr">
        <is>
          <t>Apply vendor patches</t>
        </is>
      </c>
      <c r="P1051" s="191" t="inlineStr">
        <is>
          <t>radioinorr svxportal *</t>
        </is>
      </c>
      <c r="Q1051" s="191" t="inlineStr">
        <is>
          <t>P4</t>
        </is>
      </c>
      <c r="R1051" s="191" t="inlineStr">
        <is>
          <t>📅 Schedule patch deployment within 30 days | 🔍 Monitor for exploitation attempts</t>
        </is>
      </c>
      <c r="S1051" s="191" t="inlineStr">
        <is>
          <t>CVE - IP enrichment n/a</t>
        </is>
      </c>
      <c r="T1051" s="191" t="n">
        <v>0</v>
      </c>
      <c r="U1051" s="191" t="n">
        <v>0</v>
      </c>
      <c r="V1051" s="191" t="inlineStr">
        <is>
          <t>T1189:Drive-by Compromise</t>
        </is>
      </c>
      <c r="W1051" s="191" t="n">
        <v>1</v>
      </c>
      <c r="X1051" s="191" t="inlineStr">
        <is>
          <t>LOW (40%)</t>
        </is>
      </c>
      <c r="Y1051" s="191" t="inlineStr">
        <is>
          <t>UNLIKELY</t>
        </is>
      </c>
      <c r="Z1051" s="191" t="inlineStr">
        <is>
          <t>CHECK_VENDOR</t>
        </is>
      </c>
      <c r="AA1051" s="192" t="inlineStr">
        <is>
          <t>https://nvd.nist.gov/vuln/detail/CVE-2026-27503</t>
        </is>
      </c>
      <c r="AB1051" s="191" t="inlineStr">
        <is>
          <t>NONE</t>
        </is>
      </c>
      <c r="AC1051" s="191" t="n">
        <v>0</v>
      </c>
      <c r="AD1051" s="191" t="n"/>
    </row>
    <row r="1052">
      <c r="A1052" s="191" t="inlineStr">
        <is>
          <t>CVE</t>
        </is>
      </c>
      <c r="B1052" s="191" t="inlineStr">
        <is>
          <t>CVE-2026-27504</t>
        </is>
      </c>
      <c r="C1052" s="191" t="inlineStr">
        <is>
          <t>SVXportal version 2.5 and prior contain a reflected cross-site scripting vulnerability in radiomobile_front.php via the stationid query parameter. When an authenticated administrator views a crafted URL, the application embeds the unsanitized parameter value into a hidden input value field, allowing attacker-supplied script injection and execution in the administrator's browser. This can be used to compromise admin sessions or perform unauthorized actions via the administrator's authenticated co</t>
        </is>
      </c>
      <c r="D1052" s="191" t="n">
        <v>6.1</v>
      </c>
      <c r="E1052" s="191" t="inlineStr">
        <is>
          <t>MEDIUM</t>
        </is>
      </c>
      <c r="F1052" s="191" t="n">
        <v>2</v>
      </c>
      <c r="G1052" s="191" t="n">
        <v>2</v>
      </c>
      <c r="H1052" s="191" t="inlineStr">
        <is>
          <t>MEDIUM</t>
        </is>
      </c>
      <c r="I1052" s="191" t="n">
        <v>10.1</v>
      </c>
      <c r="J1052" s="191" t="inlineStr">
        <is>
          <t>NO</t>
        </is>
      </c>
      <c r="K1052" s="192" t="inlineStr">
        <is>
          <t>https://nvd.nist.gov/vuln/detail/CVE-2026-27504</t>
        </is>
      </c>
      <c r="L1052" s="191" t="inlineStr">
        <is>
          <t>2026-02-23 23:48</t>
        </is>
      </c>
      <c r="M1052" s="191" t="inlineStr">
        <is>
          <t>CHECK_VENDOR</t>
        </is>
      </c>
      <c r="N1052" s="191" t="inlineStr">
        <is>
          <t>See NVD references</t>
        </is>
      </c>
      <c r="O1052" s="191" t="inlineStr">
        <is>
          <t>Apply vendor patches</t>
        </is>
      </c>
      <c r="P1052" s="191" t="inlineStr">
        <is>
          <t>radioinorr svxportal *</t>
        </is>
      </c>
      <c r="Q1052" s="191" t="inlineStr">
        <is>
          <t>P4</t>
        </is>
      </c>
      <c r="R1052" s="191" t="inlineStr">
        <is>
          <t>📅 Schedule patch deployment within 30 days | 🔍 Monitor for exploitation attempts</t>
        </is>
      </c>
      <c r="S1052" s="191" t="inlineStr">
        <is>
          <t>CVE - IP enrichment n/a</t>
        </is>
      </c>
      <c r="T1052" s="191" t="n">
        <v>0</v>
      </c>
      <c r="U1052" s="191" t="n">
        <v>0</v>
      </c>
      <c r="V1052" s="191" t="inlineStr">
        <is>
          <t>T1189:Drive-by Compromise</t>
        </is>
      </c>
      <c r="W1052" s="191" t="n">
        <v>1</v>
      </c>
      <c r="X1052" s="191" t="inlineStr">
        <is>
          <t>LOW (40%)</t>
        </is>
      </c>
      <c r="Y1052" s="191" t="inlineStr">
        <is>
          <t>UNLIKELY</t>
        </is>
      </c>
      <c r="Z1052" s="191" t="inlineStr">
        <is>
          <t>CHECK_VENDOR</t>
        </is>
      </c>
      <c r="AA1052" s="192" t="inlineStr">
        <is>
          <t>https://nvd.nist.gov/vuln/detail/CVE-2026-27504</t>
        </is>
      </c>
      <c r="AB1052" s="191" t="inlineStr">
        <is>
          <t>NONE</t>
        </is>
      </c>
      <c r="AC1052" s="191" t="n">
        <v>0</v>
      </c>
      <c r="AD1052" s="191" t="n"/>
    </row>
    <row r="1053">
      <c r="A1053" s="191" t="inlineStr">
        <is>
          <t>CVE</t>
        </is>
      </c>
      <c r="B1053" s="191" t="inlineStr">
        <is>
          <t>CVE-2026-27505</t>
        </is>
      </c>
      <c r="C1053" s="191" t="inlineStr">
        <is>
          <t xml:space="preserve">SVXportal version 2.5 and prior contain a stored cross-site scripting vulnerability in the user registration workflow (index.php submitting to admin/user_action.php). User-supplied fields such as Firstname, lastname, and email are stored in the backend database without adequate output encoding and are later rendered in the administrator interface (admin/users.php), allowing an unauthenticated remote attacker to inject arbitrary JavaScript that executes in an administrator's browser upon viewing </t>
        </is>
      </c>
      <c r="D1053" s="191" t="n">
        <v>6.1</v>
      </c>
      <c r="E1053" s="191" t="inlineStr">
        <is>
          <t>MEDIUM</t>
        </is>
      </c>
      <c r="F1053" s="191" t="n">
        <v>2</v>
      </c>
      <c r="G1053" s="191" t="n">
        <v>2</v>
      </c>
      <c r="H1053" s="191" t="inlineStr">
        <is>
          <t>MEDIUM</t>
        </is>
      </c>
      <c r="I1053" s="191" t="n">
        <v>10.1</v>
      </c>
      <c r="J1053" s="191" t="inlineStr">
        <is>
          <t>NO</t>
        </is>
      </c>
      <c r="K1053" s="192" t="inlineStr">
        <is>
          <t>https://nvd.nist.gov/vuln/detail/CVE-2026-27505</t>
        </is>
      </c>
      <c r="L1053" s="191" t="inlineStr">
        <is>
          <t>2026-02-23 23:48</t>
        </is>
      </c>
      <c r="M1053" s="191" t="inlineStr">
        <is>
          <t>CHECK_VENDOR</t>
        </is>
      </c>
      <c r="N1053" s="191" t="inlineStr">
        <is>
          <t>See NVD references</t>
        </is>
      </c>
      <c r="O1053" s="191" t="inlineStr">
        <is>
          <t>Apply vendor patches</t>
        </is>
      </c>
      <c r="P1053" s="191" t="inlineStr">
        <is>
          <t>radioinorr svxportal *</t>
        </is>
      </c>
      <c r="Q1053" s="191" t="inlineStr">
        <is>
          <t>P4</t>
        </is>
      </c>
      <c r="R1053" s="191" t="inlineStr">
        <is>
          <t>📅 Schedule patch deployment within 30 days | 🔍 Monitor for exploitation attempts</t>
        </is>
      </c>
      <c r="S1053" s="191" t="inlineStr">
        <is>
          <t>CVE - IP enrichment n/a</t>
        </is>
      </c>
      <c r="T1053" s="191" t="n">
        <v>0</v>
      </c>
      <c r="U1053" s="191" t="n">
        <v>0</v>
      </c>
      <c r="V1053" s="191" t="inlineStr">
        <is>
          <t>T1189:Drive-by Compromise</t>
        </is>
      </c>
      <c r="W1053" s="191" t="n">
        <v>1</v>
      </c>
      <c r="X1053" s="191" t="inlineStr">
        <is>
          <t>LOW (40%)</t>
        </is>
      </c>
      <c r="Y1053" s="191" t="inlineStr">
        <is>
          <t>UNLIKELY</t>
        </is>
      </c>
      <c r="Z1053" s="191" t="inlineStr">
        <is>
          <t>CHECK_VENDOR</t>
        </is>
      </c>
      <c r="AA1053" s="192" t="inlineStr">
        <is>
          <t>https://nvd.nist.gov/vuln/detail/CVE-2026-27505</t>
        </is>
      </c>
      <c r="AB1053" s="191" t="inlineStr">
        <is>
          <t>NONE</t>
        </is>
      </c>
      <c r="AC1053" s="191" t="n">
        <v>0</v>
      </c>
      <c r="AD1053" s="191" t="n"/>
    </row>
    <row r="1054">
      <c r="A1054" s="191" t="inlineStr">
        <is>
          <t>CVE</t>
        </is>
      </c>
      <c r="B1054" s="191" t="inlineStr">
        <is>
          <t>CVE-2026-27506</t>
        </is>
      </c>
      <c r="C1054" s="191" t="inlineStr">
        <is>
          <t>SVXportal version 2.5 and prior contain a stored cross-site scripting vulnerability in the user profile update workflow (user_settings.php submitting to admin/update_user.php). Authenticated users can store malicious HTML/JavaScript in fields such as Firstname, lastname, email, and image_url, which are later rendered without adequate output encoding in the administrator interface (admin/users.php), resulting in JavaScript execution in an administrator's browser when the affected page is viewed.</t>
        </is>
      </c>
      <c r="D1054" s="191" t="n">
        <v>6.1</v>
      </c>
      <c r="E1054" s="191" t="inlineStr">
        <is>
          <t>MEDIUM</t>
        </is>
      </c>
      <c r="F1054" s="191" t="n">
        <v>2</v>
      </c>
      <c r="G1054" s="191" t="n">
        <v>2</v>
      </c>
      <c r="H1054" s="191" t="inlineStr">
        <is>
          <t>MEDIUM</t>
        </is>
      </c>
      <c r="I1054" s="191" t="n">
        <v>10.1</v>
      </c>
      <c r="J1054" s="191" t="inlineStr">
        <is>
          <t>NO</t>
        </is>
      </c>
      <c r="K1054" s="192" t="inlineStr">
        <is>
          <t>https://nvd.nist.gov/vuln/detail/CVE-2026-27506</t>
        </is>
      </c>
      <c r="L1054" s="191" t="inlineStr">
        <is>
          <t>2026-02-23 23:48</t>
        </is>
      </c>
      <c r="M1054" s="191" t="inlineStr">
        <is>
          <t>CHECK_VENDOR</t>
        </is>
      </c>
      <c r="N1054" s="191" t="inlineStr">
        <is>
          <t>See NVD references</t>
        </is>
      </c>
      <c r="O1054" s="191" t="inlineStr">
        <is>
          <t>Apply vendor patches</t>
        </is>
      </c>
      <c r="P1054" s="191" t="inlineStr">
        <is>
          <t>radioinorr svxportal *</t>
        </is>
      </c>
      <c r="Q1054" s="191" t="inlineStr">
        <is>
          <t>P4</t>
        </is>
      </c>
      <c r="R1054" s="191" t="inlineStr">
        <is>
          <t>📅 Schedule patch deployment within 30 days | 🔍 Monitor for exploitation attempts</t>
        </is>
      </c>
      <c r="S1054" s="191" t="inlineStr">
        <is>
          <t>CVE - IP enrichment n/a</t>
        </is>
      </c>
      <c r="T1054" s="191" t="n">
        <v>0</v>
      </c>
      <c r="U1054" s="191" t="n">
        <v>0</v>
      </c>
      <c r="V1054" s="191" t="inlineStr">
        <is>
          <t>T1189:Drive-by Compromise</t>
        </is>
      </c>
      <c r="W1054" s="191" t="n">
        <v>1</v>
      </c>
      <c r="X1054" s="191" t="inlineStr">
        <is>
          <t>LOW (40%)</t>
        </is>
      </c>
      <c r="Y1054" s="191" t="inlineStr">
        <is>
          <t>UNLIKELY</t>
        </is>
      </c>
      <c r="Z1054" s="191" t="inlineStr">
        <is>
          <t>CHECK_VENDOR</t>
        </is>
      </c>
      <c r="AA1054" s="192" t="inlineStr">
        <is>
          <t>https://nvd.nist.gov/vuln/detail/CVE-2026-27506</t>
        </is>
      </c>
      <c r="AB1054" s="191" t="inlineStr">
        <is>
          <t>NONE</t>
        </is>
      </c>
      <c r="AC1054" s="191" t="n">
        <v>0</v>
      </c>
      <c r="AD1054" s="191" t="n"/>
    </row>
    <row r="1055">
      <c r="A1055" s="191" t="inlineStr">
        <is>
          <t>CVE</t>
        </is>
      </c>
      <c r="B1055" s="191" t="inlineStr">
        <is>
          <t>CVE-2026-2333</t>
        </is>
      </c>
      <c r="C1055" s="191" t="inlineStr">
        <is>
          <t>Improper Neutralization of Special Elements used in a Command ('Command Injection') in Owl opds 2.2.0.4 allows Command Injection via a crafted network request.</t>
        </is>
      </c>
      <c r="D1055" s="191" t="n">
        <v>5</v>
      </c>
      <c r="E1055" s="191" t="inlineStr">
        <is>
          <t>MEDIUM</t>
        </is>
      </c>
      <c r="F1055" s="191" t="n">
        <v>2</v>
      </c>
      <c r="G1055" s="191" t="n">
        <v>2</v>
      </c>
      <c r="H1055" s="191" t="inlineStr">
        <is>
          <t>MEDIUM</t>
        </is>
      </c>
      <c r="I1055" s="191" t="n">
        <v>9</v>
      </c>
      <c r="J1055" s="191" t="inlineStr">
        <is>
          <t>NO</t>
        </is>
      </c>
      <c r="K1055" s="192" t="inlineStr">
        <is>
          <t>https://nvd.nist.gov/vuln/detail/CVE-2026-2333</t>
        </is>
      </c>
      <c r="L1055" s="191" t="inlineStr">
        <is>
          <t>2026-02-23 23:48</t>
        </is>
      </c>
      <c r="M1055" s="191" t="inlineStr">
        <is>
          <t>CHECK_VENDOR</t>
        </is>
      </c>
      <c r="N1055" s="191" t="inlineStr">
        <is>
          <t>See NVD references</t>
        </is>
      </c>
      <c r="O1055" s="191" t="inlineStr">
        <is>
          <t>Apply vendor patches</t>
        </is>
      </c>
      <c r="P1055" s="191" t="inlineStr">
        <is>
          <t>See CVE details</t>
        </is>
      </c>
      <c r="Q1055" s="191" t="inlineStr">
        <is>
          <t>P4</t>
        </is>
      </c>
      <c r="R1055" s="191" t="inlineStr">
        <is>
          <t>📅 Schedule patch deployment within 30 days | 🔍 Monitor for exploitation attempts</t>
        </is>
      </c>
      <c r="S1055" s="191" t="inlineStr">
        <is>
          <t>CVE - IP enrichment n/a</t>
        </is>
      </c>
      <c r="T1055" s="191" t="n">
        <v>0</v>
      </c>
      <c r="U1055" s="191" t="n">
        <v>0</v>
      </c>
      <c r="V1055" s="191" t="inlineStr">
        <is>
          <t>T1059:Command and Scripting Interpreter</t>
        </is>
      </c>
      <c r="W1055" s="191" t="n">
        <v>1</v>
      </c>
      <c r="X1055" s="191" t="inlineStr">
        <is>
          <t>LOW (40%)</t>
        </is>
      </c>
      <c r="Y1055" s="191" t="inlineStr">
        <is>
          <t>UNLIKELY</t>
        </is>
      </c>
      <c r="Z1055" s="191" t="inlineStr">
        <is>
          <t>CHECK_VENDOR</t>
        </is>
      </c>
      <c r="AA1055" s="192" t="inlineStr">
        <is>
          <t>https://nvd.nist.gov/vuln/detail/CVE-2026-2333</t>
        </is>
      </c>
      <c r="AB1055" s="191" t="inlineStr">
        <is>
          <t>NONE</t>
        </is>
      </c>
      <c r="AC1055" s="191" t="n">
        <v>0</v>
      </c>
      <c r="AD1055" s="191" t="n"/>
    </row>
    <row r="1056">
      <c r="A1056" s="189" t="inlineStr">
        <is>
          <t>CVE</t>
        </is>
      </c>
      <c r="B1056" s="189" t="inlineStr">
        <is>
          <t>CVE-2026-2818</t>
        </is>
      </c>
      <c r="C1056" s="189" t="inlineStr">
        <is>
          <t>A zip-slip path traversal vulnerability in Spring Data Geode's import snapshot functionality allows attackers to write files outside the intended extraction directory. This vulnerability appears to be susceptible on Windows OS only.</t>
        </is>
      </c>
      <c r="D1056" s="189" t="n">
        <v>8.199999999999999</v>
      </c>
      <c r="E1056" s="189" t="inlineStr">
        <is>
          <t>HIGH</t>
        </is>
      </c>
      <c r="F1056" s="189" t="n">
        <v>2</v>
      </c>
      <c r="G1056" s="189" t="n">
        <v>3</v>
      </c>
      <c r="H1056" s="189" t="inlineStr">
        <is>
          <t>HIGH</t>
        </is>
      </c>
      <c r="I1056" s="189" t="n">
        <v>14.2</v>
      </c>
      <c r="J1056" s="189" t="inlineStr">
        <is>
          <t>NO</t>
        </is>
      </c>
      <c r="K1056" s="190" t="inlineStr">
        <is>
          <t>https://nvd.nist.gov/vuln/detail/CVE-2026-2818</t>
        </is>
      </c>
      <c r="L1056" s="189" t="inlineStr">
        <is>
          <t>2026-02-23 23:48</t>
        </is>
      </c>
      <c r="M1056" s="189" t="inlineStr">
        <is>
          <t>CHECK_VENDOR</t>
        </is>
      </c>
      <c r="N1056" s="189" t="inlineStr">
        <is>
          <t>See NVD references</t>
        </is>
      </c>
      <c r="O1056" s="189" t="inlineStr">
        <is>
          <t>Apply vendor patches</t>
        </is>
      </c>
      <c r="P1056" s="189" t="inlineStr">
        <is>
          <t>See CVE details</t>
        </is>
      </c>
      <c r="Q1056" s="189" t="inlineStr">
        <is>
          <t>P3</t>
        </is>
      </c>
      <c r="R1056" s="189" t="inlineStr">
        <is>
          <t>🚨 URGENT: Apply vendor patches immediately | 🔒 Isolate affected systems if patch unavailable | 🛡️ Enable additional monitoring/IDS rules</t>
        </is>
      </c>
      <c r="S1056" s="189" t="inlineStr">
        <is>
          <t>CVE - IP enrichment n/a</t>
        </is>
      </c>
      <c r="T1056" s="189" t="n">
        <v>0</v>
      </c>
      <c r="U1056" s="189" t="n">
        <v>0</v>
      </c>
      <c r="V1056" s="189" t="inlineStr">
        <is>
          <t>T1083:File and Directory Discovery</t>
        </is>
      </c>
      <c r="W1056" s="189" t="n">
        <v>2</v>
      </c>
      <c r="X1056" s="189" t="inlineStr">
        <is>
          <t>MEDIUM (52%)</t>
        </is>
      </c>
      <c r="Y1056" s="189" t="inlineStr">
        <is>
          <t>UNLIKELY</t>
        </is>
      </c>
      <c r="Z1056" s="189" t="inlineStr">
        <is>
          <t>CHECK_VENDOR</t>
        </is>
      </c>
      <c r="AA1056" s="190" t="inlineStr">
        <is>
          <t>https://nvd.nist.gov/vuln/detail/CVE-2026-2818</t>
        </is>
      </c>
      <c r="AB1056" s="189" t="inlineStr">
        <is>
          <t>NONE</t>
        </is>
      </c>
      <c r="AC1056" s="189" t="n">
        <v>0</v>
      </c>
      <c r="AD1056" s="189" t="n"/>
    </row>
    <row r="1057">
      <c r="A1057" s="189" t="inlineStr">
        <is>
          <t>CVE</t>
        </is>
      </c>
      <c r="B1057" s="189" t="inlineStr">
        <is>
          <t>CVE-2026-2848</t>
        </is>
      </c>
      <c r="C1057" s="189" t="inlineStr">
        <is>
          <t>A flaw has been found in SourceCodester Simple Responsive Tourism Website 1.0. Affected by this vulnerability is an unknown functionality of the file /classes/Master.php?f=register of the component Registration. This manipulation of the argument Username causes sql injection. The attack may be initiated remotely. The exploit has been published and may be used.</t>
        </is>
      </c>
      <c r="D1057" s="189" t="n">
        <v>7.3</v>
      </c>
      <c r="E1057" s="189" t="inlineStr">
        <is>
          <t>HIGH</t>
        </is>
      </c>
      <c r="F1057" s="189" t="n">
        <v>2</v>
      </c>
      <c r="G1057" s="189" t="n">
        <v>3</v>
      </c>
      <c r="H1057" s="189" t="inlineStr">
        <is>
          <t>HIGH</t>
        </is>
      </c>
      <c r="I1057" s="189" t="n">
        <v>13.3</v>
      </c>
      <c r="J1057" s="189" t="inlineStr">
        <is>
          <t>NO</t>
        </is>
      </c>
      <c r="K1057" s="190" t="inlineStr">
        <is>
          <t>https://nvd.nist.gov/vuln/detail/CVE-2026-2848</t>
        </is>
      </c>
      <c r="L1057" s="189" t="inlineStr">
        <is>
          <t>2026-02-23 23:48</t>
        </is>
      </c>
      <c r="M1057" s="189" t="inlineStr">
        <is>
          <t>CHECK_VENDOR</t>
        </is>
      </c>
      <c r="N1057" s="189" t="inlineStr">
        <is>
          <t>See NVD references</t>
        </is>
      </c>
      <c r="O1057" s="189" t="inlineStr">
        <is>
          <t>Apply vendor patches</t>
        </is>
      </c>
      <c r="P1057" s="189" t="inlineStr">
        <is>
          <t>oretnom23 simple_responsive_tourism_website 1.0</t>
        </is>
      </c>
      <c r="Q1057" s="189" t="inlineStr">
        <is>
          <t>P3</t>
        </is>
      </c>
      <c r="R1057" s="189" t="inlineStr">
        <is>
          <t>🚨 URGENT: Apply vendor patches immediately | 🔒 Isolate affected systems if patch unavailable | 🛡️ Enable additional monitoring/IDS rules</t>
        </is>
      </c>
      <c r="S1057" s="189" t="inlineStr">
        <is>
          <t>CVE - IP enrichment n/a</t>
        </is>
      </c>
      <c r="T1057" s="189" t="n">
        <v>0.0003</v>
      </c>
      <c r="U1057" s="189" t="n">
        <v>0.07290000000000001</v>
      </c>
      <c r="V1057" s="189" t="inlineStr">
        <is>
          <t>T1190:Exploit Public-Facing Application</t>
        </is>
      </c>
      <c r="W1057" s="189" t="n">
        <v>1</v>
      </c>
      <c r="X1057" s="189" t="inlineStr">
        <is>
          <t>LOW (40%)</t>
        </is>
      </c>
      <c r="Y1057" s="189" t="inlineStr">
        <is>
          <t>UNLIKELY</t>
        </is>
      </c>
      <c r="Z1057" s="189" t="inlineStr">
        <is>
          <t>CHECK_VENDOR</t>
        </is>
      </c>
      <c r="AA1057" s="190" t="inlineStr">
        <is>
          <t>https://nvd.nist.gov/vuln/detail/CVE-2026-2848</t>
        </is>
      </c>
      <c r="AB1057" s="189" t="inlineStr">
        <is>
          <t>NONE</t>
        </is>
      </c>
      <c r="AC1057" s="189" t="n">
        <v>0</v>
      </c>
      <c r="AD1057" s="189" t="n"/>
    </row>
    <row r="1058">
      <c r="A1058" s="191" t="inlineStr">
        <is>
          <t>CVE</t>
        </is>
      </c>
      <c r="B1058" s="191" t="inlineStr">
        <is>
          <t>CVE-2026-2849</t>
        </is>
      </c>
      <c r="C1058" s="191" t="inlineStr">
        <is>
          <t>A vulnerability has been found in yeqifu warehouse up to aaf29962ba407d22d991781de28796ee7b4670e4. Affected by this issue is the function deleteCache/removeAllCache/syncCache of the file dataset\repos\warehouse\src\main\java\com\yeqifu\sys\controller\CacheController.java of the component Cache Sync Handler. Such manipulation leads to improper access controls. The attack may be launched remotely. The exploit has been disclosed to the public and may be used. This product operates on a rolling rele</t>
        </is>
      </c>
      <c r="D1058" s="191" t="n">
        <v>5.4</v>
      </c>
      <c r="E1058" s="191" t="inlineStr">
        <is>
          <t>MEDIUM</t>
        </is>
      </c>
      <c r="F1058" s="191" t="n">
        <v>2</v>
      </c>
      <c r="G1058" s="191" t="n">
        <v>2</v>
      </c>
      <c r="H1058" s="191" t="inlineStr">
        <is>
          <t>MEDIUM</t>
        </is>
      </c>
      <c r="I1058" s="191" t="n">
        <v>9.4</v>
      </c>
      <c r="J1058" s="191" t="inlineStr">
        <is>
          <t>NO</t>
        </is>
      </c>
      <c r="K1058" s="192" t="inlineStr">
        <is>
          <t>https://nvd.nist.gov/vuln/detail/CVE-2026-2849</t>
        </is>
      </c>
      <c r="L1058" s="191" t="inlineStr">
        <is>
          <t>2026-02-23 23:48</t>
        </is>
      </c>
      <c r="M1058" s="191" t="inlineStr">
        <is>
          <t>CHECK_VENDOR</t>
        </is>
      </c>
      <c r="N1058" s="191" t="inlineStr">
        <is>
          <t>See NVD references</t>
        </is>
      </c>
      <c r="O1058" s="191" t="inlineStr">
        <is>
          <t>Apply vendor patches</t>
        </is>
      </c>
      <c r="P1058" s="191" t="inlineStr">
        <is>
          <t>See CVE details</t>
        </is>
      </c>
      <c r="Q1058" s="191" t="inlineStr">
        <is>
          <t>P4</t>
        </is>
      </c>
      <c r="R1058" s="191" t="inlineStr">
        <is>
          <t>📅 Schedule patch deployment within 30 days | 🔍 Monitor for exploitation attempts</t>
        </is>
      </c>
      <c r="S1058" s="191" t="inlineStr">
        <is>
          <t>CVE - IP enrichment n/a</t>
        </is>
      </c>
      <c r="T1058" s="191" t="n">
        <v>0</v>
      </c>
      <c r="U1058" s="191" t="n">
        <v>0</v>
      </c>
      <c r="V1058" s="191" t="inlineStr">
        <is>
          <t>T1190:Exploit Public-Facing Application</t>
        </is>
      </c>
      <c r="W1058" s="191" t="n">
        <v>1</v>
      </c>
      <c r="X1058" s="191" t="inlineStr">
        <is>
          <t>LOW (40%)</t>
        </is>
      </c>
      <c r="Y1058" s="191" t="inlineStr">
        <is>
          <t>UNLIKELY</t>
        </is>
      </c>
      <c r="Z1058" s="191" t="inlineStr">
        <is>
          <t>CHECK_VENDOR</t>
        </is>
      </c>
      <c r="AA1058" s="192" t="inlineStr">
        <is>
          <t>https://nvd.nist.gov/vuln/detail/CVE-2026-2849</t>
        </is>
      </c>
      <c r="AB1058" s="191" t="inlineStr">
        <is>
          <t>NONE</t>
        </is>
      </c>
      <c r="AC1058" s="191" t="n">
        <v>0</v>
      </c>
      <c r="AD1058" s="191" t="n"/>
    </row>
    <row r="1059">
      <c r="A1059" s="189" t="inlineStr">
        <is>
          <t>CVE</t>
        </is>
      </c>
      <c r="B1059" s="189" t="inlineStr">
        <is>
          <t>CVE-2026-24891</t>
        </is>
      </c>
      <c r="C1059" s="189" t="inlineStr">
        <is>
          <t>openITCOCKPIT is an open source monitoring tool built for different monitoring engines like Nagios, Naemon and Prometheus. Versions 5.3.1 and below contain an unsafe deserialization sink in the Gearman worker implementation. The worker function registered as oitc_gearman calls PHP's unserialize() on job payloads without enforcing class restrictions or validating data origin. While the intended deployment assumes only trusted internal components enqueue Gearman jobs, this trust boundary is not en</t>
        </is>
      </c>
      <c r="D1059" s="189" t="n">
        <v>7.5</v>
      </c>
      <c r="E1059" s="189" t="inlineStr">
        <is>
          <t>HIGH</t>
        </is>
      </c>
      <c r="F1059" s="189" t="n">
        <v>2</v>
      </c>
      <c r="G1059" s="189" t="n">
        <v>3</v>
      </c>
      <c r="H1059" s="189" t="inlineStr">
        <is>
          <t>HIGH</t>
        </is>
      </c>
      <c r="I1059" s="189" t="n">
        <v>13.5</v>
      </c>
      <c r="J1059" s="189" t="inlineStr">
        <is>
          <t>NO</t>
        </is>
      </c>
      <c r="K1059" s="190" t="inlineStr">
        <is>
          <t>https://nvd.nist.gov/vuln/detail/CVE-2026-24891</t>
        </is>
      </c>
      <c r="L1059" s="189" t="inlineStr">
        <is>
          <t>2026-02-23 23:48</t>
        </is>
      </c>
      <c r="M1059" s="189" t="inlineStr">
        <is>
          <t>CHECK_VENDOR</t>
        </is>
      </c>
      <c r="N1059" s="189" t="inlineStr">
        <is>
          <t>See NVD references</t>
        </is>
      </c>
      <c r="O1059" s="189" t="inlineStr">
        <is>
          <t>Apply vendor patches</t>
        </is>
      </c>
      <c r="P1059" s="189" t="inlineStr">
        <is>
          <t>See CVE details</t>
        </is>
      </c>
      <c r="Q1059" s="189" t="inlineStr">
        <is>
          <t>P3</t>
        </is>
      </c>
      <c r="R1059" s="189" t="inlineStr">
        <is>
          <t>🚨 URGENT: Apply vendor patches immediately | 🔒 Isolate affected systems if patch unavailable | 🛡️ Enable additional monitoring/IDS rules</t>
        </is>
      </c>
      <c r="S1059" s="189" t="inlineStr">
        <is>
          <t>CVE - IP enrichment n/a</t>
        </is>
      </c>
      <c r="T1059" s="189" t="n">
        <v>0</v>
      </c>
      <c r="U1059" s="189" t="n">
        <v>0</v>
      </c>
      <c r="V1059" s="189" t="inlineStr">
        <is>
          <t>T1059:Command and Scripting Interpreter | T1190:Exploit Public-Facing Application</t>
        </is>
      </c>
      <c r="W1059" s="189" t="n">
        <v>1</v>
      </c>
      <c r="X1059" s="189" t="inlineStr">
        <is>
          <t>LOW (40%)</t>
        </is>
      </c>
      <c r="Y1059" s="189" t="inlineStr">
        <is>
          <t>UNLIKELY</t>
        </is>
      </c>
      <c r="Z1059" s="189" t="inlineStr">
        <is>
          <t>CHECK_VENDOR</t>
        </is>
      </c>
      <c r="AA1059" s="190" t="inlineStr">
        <is>
          <t>https://nvd.nist.gov/vuln/detail/CVE-2026-24891</t>
        </is>
      </c>
      <c r="AB1059" s="189" t="inlineStr">
        <is>
          <t>NONE</t>
        </is>
      </c>
      <c r="AC1059" s="189" t="n">
        <v>0</v>
      </c>
      <c r="AD1059" s="189" t="n"/>
    </row>
    <row r="1060">
      <c r="A1060" s="189" t="inlineStr">
        <is>
          <t>CVE</t>
        </is>
      </c>
      <c r="B1060" s="189" t="inlineStr">
        <is>
          <t>CVE-2026-27115</t>
        </is>
      </c>
      <c r="C1060" s="189" t="inlineStr">
        <is>
          <t>ADB Explorer is a fluent UI for ADB on Windows. Versions 0.9.26020 and below have an unvalidated command-line argument that allows any user to trigger recursive deletion of arbitrary directories on the Windows filesystem. ADB Explorer accepts an optional path argument to set a custom data directory, but only check whether the path exists. The ClearDrag() method calls Directory.Delete(dir, true) on every subdirectory of that path at both application startup and exit. An attacker can craft a malic</t>
        </is>
      </c>
      <c r="D1060" s="189" t="n">
        <v>7.1</v>
      </c>
      <c r="E1060" s="189" t="inlineStr">
        <is>
          <t>HIGH</t>
        </is>
      </c>
      <c r="F1060" s="189" t="n">
        <v>2</v>
      </c>
      <c r="G1060" s="189" t="n">
        <v>3</v>
      </c>
      <c r="H1060" s="189" t="inlineStr">
        <is>
          <t>HIGH</t>
        </is>
      </c>
      <c r="I1060" s="189" t="n">
        <v>13.1</v>
      </c>
      <c r="J1060" s="189" t="inlineStr">
        <is>
          <t>NO</t>
        </is>
      </c>
      <c r="K1060" s="190" t="inlineStr">
        <is>
          <t>https://nvd.nist.gov/vuln/detail/CVE-2026-27115</t>
        </is>
      </c>
      <c r="L1060" s="189" t="inlineStr">
        <is>
          <t>2026-02-23 23:48</t>
        </is>
      </c>
      <c r="M1060" s="189" t="inlineStr">
        <is>
          <t>CHECK_VENDOR</t>
        </is>
      </c>
      <c r="N1060" s="189" t="inlineStr">
        <is>
          <t>See NVD references</t>
        </is>
      </c>
      <c r="O1060" s="189" t="inlineStr">
        <is>
          <t>Apply vendor patches</t>
        </is>
      </c>
      <c r="P1060" s="189" t="inlineStr">
        <is>
          <t>See CVE details</t>
        </is>
      </c>
      <c r="Q1060" s="189" t="inlineStr">
        <is>
          <t>P3</t>
        </is>
      </c>
      <c r="R1060" s="189" t="inlineStr">
        <is>
          <t>🚨 URGENT: Apply vendor patches immediately | 🔒 Isolate affected systems if patch unavailable | 🛡️ Enable additional monitoring/IDS rules</t>
        </is>
      </c>
      <c r="S1060" s="189" t="inlineStr">
        <is>
          <t>CVE - IP enrichment n/a</t>
        </is>
      </c>
      <c r="T1060" s="189" t="n">
        <v>0.0001</v>
      </c>
      <c r="U1060" s="189" t="n">
        <v>0.008999999999999999</v>
      </c>
      <c r="V1060" s="189" t="inlineStr">
        <is>
          <t>T1083:File and Directory Discovery</t>
        </is>
      </c>
      <c r="W1060" s="189" t="n">
        <v>1</v>
      </c>
      <c r="X1060" s="189" t="inlineStr">
        <is>
          <t>LOW (40%)</t>
        </is>
      </c>
      <c r="Y1060" s="189" t="inlineStr">
        <is>
          <t>UNLIKELY</t>
        </is>
      </c>
      <c r="Z1060" s="189" t="inlineStr">
        <is>
          <t>CHECK_VENDOR</t>
        </is>
      </c>
      <c r="AA1060" s="190" t="inlineStr">
        <is>
          <t>https://nvd.nist.gov/vuln/detail/CVE-2026-27115</t>
        </is>
      </c>
      <c r="AB1060" s="189" t="inlineStr">
        <is>
          <t>NONE</t>
        </is>
      </c>
      <c r="AC1060" s="189" t="n">
        <v>0</v>
      </c>
      <c r="AD1060" s="189" t="n"/>
    </row>
    <row r="1061">
      <c r="A1061" s="191" t="inlineStr">
        <is>
          <t>CVE</t>
        </is>
      </c>
      <c r="B1061" s="191" t="inlineStr">
        <is>
          <t>CVE-2026-2832</t>
        </is>
      </c>
      <c r="C1061" s="191" t="inlineStr">
        <is>
          <t>Certain Samsung MultiXpress Multifunction Printers may be vulnerable to information disclosure, potentially exposing address book entries and other device configuration information through specific APIs without proper authorization.</t>
        </is>
      </c>
      <c r="D1061" s="191" t="n">
        <v>5</v>
      </c>
      <c r="E1061" s="191" t="inlineStr">
        <is>
          <t>MEDIUM</t>
        </is>
      </c>
      <c r="F1061" s="191" t="n">
        <v>2</v>
      </c>
      <c r="G1061" s="191" t="n">
        <v>2</v>
      </c>
      <c r="H1061" s="191" t="inlineStr">
        <is>
          <t>MEDIUM</t>
        </is>
      </c>
      <c r="I1061" s="191" t="n">
        <v>9</v>
      </c>
      <c r="J1061" s="191" t="inlineStr">
        <is>
          <t>NO</t>
        </is>
      </c>
      <c r="K1061" s="192" t="inlineStr">
        <is>
          <t>https://nvd.nist.gov/vuln/detail/CVE-2026-2832</t>
        </is>
      </c>
      <c r="L1061" s="191" t="inlineStr">
        <is>
          <t>2026-02-23 23:48</t>
        </is>
      </c>
      <c r="M1061" s="191" t="inlineStr">
        <is>
          <t>CHECK_VENDOR</t>
        </is>
      </c>
      <c r="N1061" s="191" t="inlineStr">
        <is>
          <t>See NVD references</t>
        </is>
      </c>
      <c r="O1061" s="191" t="inlineStr">
        <is>
          <t>Apply vendor patches</t>
        </is>
      </c>
      <c r="P1061" s="191" t="inlineStr">
        <is>
          <t>See CVE details</t>
        </is>
      </c>
      <c r="Q1061" s="191" t="inlineStr">
        <is>
          <t>P4</t>
        </is>
      </c>
      <c r="R1061" s="191" t="inlineStr">
        <is>
          <t>📅 Schedule patch deployment within 30 days | 🔍 Monitor for exploitation attempts</t>
        </is>
      </c>
      <c r="S1061" s="191" t="inlineStr">
        <is>
          <t>CVE - IP enrichment n/a</t>
        </is>
      </c>
      <c r="T1061" s="191" t="n">
        <v>0</v>
      </c>
      <c r="U1061" s="191" t="n">
        <v>0</v>
      </c>
      <c r="V1061" s="191" t="inlineStr">
        <is>
          <t>T1213:Data from Information Repositories</t>
        </is>
      </c>
      <c r="W1061" s="191" t="n">
        <v>1</v>
      </c>
      <c r="X1061" s="191" t="inlineStr">
        <is>
          <t>LOW (40%)</t>
        </is>
      </c>
      <c r="Y1061" s="191" t="inlineStr">
        <is>
          <t>UNLIKELY</t>
        </is>
      </c>
      <c r="Z1061" s="191" t="inlineStr">
        <is>
          <t>CHECK_VENDOR</t>
        </is>
      </c>
      <c r="AA1061" s="192" t="inlineStr">
        <is>
          <t>https://nvd.nist.gov/vuln/detail/CVE-2026-2832</t>
        </is>
      </c>
      <c r="AB1061" s="191" t="inlineStr">
        <is>
          <t>NONE</t>
        </is>
      </c>
      <c r="AC1061" s="191" t="n">
        <v>0</v>
      </c>
      <c r="AD1061" s="191" t="n"/>
    </row>
    <row r="1062">
      <c r="A1062" s="191" t="inlineStr">
        <is>
          <t>CVE</t>
        </is>
      </c>
      <c r="B1062" s="191" t="inlineStr">
        <is>
          <t>CVE-2026-2850</t>
        </is>
      </c>
      <c r="C1062" s="191" t="inlineStr">
        <is>
          <t>A vulnerability was found in yeqifu warehouse up to aaf29962ba407d22d991781de28796ee7b4670e4. This affects the function addCustomer/updateCustomer/deleteCustomer of the file dataset\repos\warehouse\src\main\java\com\yeqifu\bus\controller\CustomerController.java of the component Customer Endpoint. Performing a manipulation results in improper access controls. Remote exploitation of the attack is possible. The exploit has been made public and could be used. This product follows a rolling release a</t>
        </is>
      </c>
      <c r="D1062" s="191" t="n">
        <v>6.3</v>
      </c>
      <c r="E1062" s="191" t="inlineStr">
        <is>
          <t>MEDIUM</t>
        </is>
      </c>
      <c r="F1062" s="191" t="n">
        <v>2</v>
      </c>
      <c r="G1062" s="191" t="n">
        <v>2</v>
      </c>
      <c r="H1062" s="191" t="inlineStr">
        <is>
          <t>MEDIUM</t>
        </is>
      </c>
      <c r="I1062" s="191" t="n">
        <v>10.3</v>
      </c>
      <c r="J1062" s="191" t="inlineStr">
        <is>
          <t>NO</t>
        </is>
      </c>
      <c r="K1062" s="192" t="inlineStr">
        <is>
          <t>https://nvd.nist.gov/vuln/detail/CVE-2026-2850</t>
        </is>
      </c>
      <c r="L1062" s="191" t="inlineStr">
        <is>
          <t>2026-02-23 23:48</t>
        </is>
      </c>
      <c r="M1062" s="191" t="inlineStr">
        <is>
          <t>CHECK_VENDOR</t>
        </is>
      </c>
      <c r="N1062" s="191" t="inlineStr">
        <is>
          <t>See NVD references</t>
        </is>
      </c>
      <c r="O1062" s="191" t="inlineStr">
        <is>
          <t>Apply vendor patches</t>
        </is>
      </c>
      <c r="P1062" s="191" t="inlineStr">
        <is>
          <t>See CVE details</t>
        </is>
      </c>
      <c r="Q1062" s="191" t="inlineStr">
        <is>
          <t>P4</t>
        </is>
      </c>
      <c r="R1062" s="191" t="inlineStr">
        <is>
          <t>📅 Schedule patch deployment within 30 days | 🔍 Monitor for exploitation attempts</t>
        </is>
      </c>
      <c r="S1062" s="191" t="inlineStr">
        <is>
          <t>CVE - IP enrichment n/a</t>
        </is>
      </c>
      <c r="T1062" s="191" t="n">
        <v>0</v>
      </c>
      <c r="U1062" s="191" t="n">
        <v>0</v>
      </c>
      <c r="V1062" s="191" t="inlineStr">
        <is>
          <t>T1190:Exploit Public-Facing Application</t>
        </is>
      </c>
      <c r="W1062" s="191" t="n">
        <v>1</v>
      </c>
      <c r="X1062" s="191" t="inlineStr">
        <is>
          <t>LOW (40%)</t>
        </is>
      </c>
      <c r="Y1062" s="191" t="inlineStr">
        <is>
          <t>UNLIKELY</t>
        </is>
      </c>
      <c r="Z1062" s="191" t="inlineStr">
        <is>
          <t>CHECK_VENDOR</t>
        </is>
      </c>
      <c r="AA1062" s="192" t="inlineStr">
        <is>
          <t>https://nvd.nist.gov/vuln/detail/CVE-2026-2850</t>
        </is>
      </c>
      <c r="AB1062" s="191" t="inlineStr">
        <is>
          <t>NONE</t>
        </is>
      </c>
      <c r="AC1062" s="191" t="n">
        <v>0</v>
      </c>
      <c r="AD1062" s="191" t="n"/>
    </row>
    <row r="1063">
      <c r="A1063" s="191" t="inlineStr">
        <is>
          <t>CVE</t>
        </is>
      </c>
      <c r="B1063" s="191" t="inlineStr">
        <is>
          <t>CVE-2026-2851</t>
        </is>
      </c>
      <c r="C1063" s="191" t="inlineStr">
        <is>
          <t>A vulnerability was determined in yeqifu warehouse up to aaf29962ba407d22d991781de28796ee7b4670e4. This vulnerability affects the function addInport/updateInport/deleteInport of the file dataset\repos\warehouse\src\main\java\com\yeqifu\bus\controller\InportController.java of the component Inport Endpoint. Executing a manipulation can lead to improper access controls. The attack can be executed remotely. The exploit has been publicly disclosed and may be utilized. This product implements a rollin</t>
        </is>
      </c>
      <c r="D1063" s="191" t="n">
        <v>6.3</v>
      </c>
      <c r="E1063" s="191" t="inlineStr">
        <is>
          <t>MEDIUM</t>
        </is>
      </c>
      <c r="F1063" s="191" t="n">
        <v>2</v>
      </c>
      <c r="G1063" s="191" t="n">
        <v>2</v>
      </c>
      <c r="H1063" s="191" t="inlineStr">
        <is>
          <t>MEDIUM</t>
        </is>
      </c>
      <c r="I1063" s="191" t="n">
        <v>10.3</v>
      </c>
      <c r="J1063" s="191" t="inlineStr">
        <is>
          <t>NO</t>
        </is>
      </c>
      <c r="K1063" s="192" t="inlineStr">
        <is>
          <t>https://nvd.nist.gov/vuln/detail/CVE-2026-2851</t>
        </is>
      </c>
      <c r="L1063" s="191" t="inlineStr">
        <is>
          <t>2026-02-23 23:48</t>
        </is>
      </c>
      <c r="M1063" s="191" t="inlineStr">
        <is>
          <t>CHECK_VENDOR</t>
        </is>
      </c>
      <c r="N1063" s="191" t="inlineStr">
        <is>
          <t>See NVD references</t>
        </is>
      </c>
      <c r="O1063" s="191" t="inlineStr">
        <is>
          <t>Apply vendor patches</t>
        </is>
      </c>
      <c r="P1063" s="191" t="inlineStr">
        <is>
          <t>See CVE details</t>
        </is>
      </c>
      <c r="Q1063" s="191" t="inlineStr">
        <is>
          <t>P4</t>
        </is>
      </c>
      <c r="R1063" s="191" t="inlineStr">
        <is>
          <t>📅 Schedule patch deployment within 30 days | 🔍 Monitor for exploitation attempts</t>
        </is>
      </c>
      <c r="S1063" s="191" t="inlineStr">
        <is>
          <t>CVE - IP enrichment n/a</t>
        </is>
      </c>
      <c r="T1063" s="191" t="n">
        <v>0.0004</v>
      </c>
      <c r="U1063" s="191" t="n">
        <v>0.1306</v>
      </c>
      <c r="V1063" s="191" t="inlineStr">
        <is>
          <t>T1190:Exploit Public-Facing Application</t>
        </is>
      </c>
      <c r="W1063" s="191" t="n">
        <v>1</v>
      </c>
      <c r="X1063" s="191" t="inlineStr">
        <is>
          <t>LOW (40%)</t>
        </is>
      </c>
      <c r="Y1063" s="191" t="inlineStr">
        <is>
          <t>UNLIKELY</t>
        </is>
      </c>
      <c r="Z1063" s="191" t="inlineStr">
        <is>
          <t>CHECK_VENDOR</t>
        </is>
      </c>
      <c r="AA1063" s="192" t="inlineStr">
        <is>
          <t>https://nvd.nist.gov/vuln/detail/CVE-2026-2851</t>
        </is>
      </c>
      <c r="AB1063" s="191" t="inlineStr">
        <is>
          <t>NONE</t>
        </is>
      </c>
      <c r="AC1063" s="191" t="n">
        <v>0</v>
      </c>
      <c r="AD1063" s="191" t="n"/>
    </row>
    <row r="1064">
      <c r="A1064" s="189" t="inlineStr">
        <is>
          <t>CVE</t>
        </is>
      </c>
      <c r="B1064" s="189" t="inlineStr">
        <is>
          <t>CVE-2019-25444</t>
        </is>
      </c>
      <c r="C1064" s="189" t="inlineStr">
        <is>
          <t>Fiverr Clone Script 1.2.2 contains an SQL injection vulnerability that allows unauthenticated attackers to manipulate database queries by injecting SQL code through the page parameter. Attackers can supply malicious SQL syntax in the page parameter to extract sensitive database information or modify database contents.</t>
        </is>
      </c>
      <c r="D1064" s="189" t="n">
        <v>8.199999999999999</v>
      </c>
      <c r="E1064" s="189" t="inlineStr">
        <is>
          <t>HIGH</t>
        </is>
      </c>
      <c r="F1064" s="189" t="n">
        <v>2</v>
      </c>
      <c r="G1064" s="189" t="n">
        <v>3</v>
      </c>
      <c r="H1064" s="189" t="inlineStr">
        <is>
          <t>HIGH</t>
        </is>
      </c>
      <c r="I1064" s="189" t="n">
        <v>14.2</v>
      </c>
      <c r="J1064" s="189" t="inlineStr">
        <is>
          <t>NO</t>
        </is>
      </c>
      <c r="K1064" s="190" t="inlineStr">
        <is>
          <t>https://nvd.nist.gov/vuln/detail/CVE-2019-25444</t>
        </is>
      </c>
      <c r="L1064" s="189" t="inlineStr">
        <is>
          <t>2026-02-23 23:48</t>
        </is>
      </c>
      <c r="M1064" s="189" t="inlineStr">
        <is>
          <t>CHECK_VENDOR</t>
        </is>
      </c>
      <c r="N1064" s="189" t="inlineStr">
        <is>
          <t>See NVD references</t>
        </is>
      </c>
      <c r="O1064" s="189" t="inlineStr">
        <is>
          <t>Apply vendor patches</t>
        </is>
      </c>
      <c r="P1064" s="189" t="inlineStr">
        <is>
          <t>See CVE details</t>
        </is>
      </c>
      <c r="Q1064" s="189" t="inlineStr">
        <is>
          <t>P3</t>
        </is>
      </c>
      <c r="R1064" s="189" t="inlineStr">
        <is>
          <t>🚨 URGENT: Apply vendor patches immediately | 🔒 Isolate affected systems if patch unavailable | 🛡️ Enable additional monitoring/IDS rules</t>
        </is>
      </c>
      <c r="S1064" s="189" t="inlineStr">
        <is>
          <t>CVE - IP enrichment n/a</t>
        </is>
      </c>
      <c r="T1064" s="189" t="n">
        <v>0</v>
      </c>
      <c r="U1064" s="189" t="n">
        <v>0</v>
      </c>
      <c r="V1064" s="189" t="inlineStr">
        <is>
          <t>T1190:Exploit Public-Facing Application</t>
        </is>
      </c>
      <c r="W1064" s="189" t="n">
        <v>1</v>
      </c>
      <c r="X1064" s="189" t="inlineStr">
        <is>
          <t>LOW (40%)</t>
        </is>
      </c>
      <c r="Y1064" s="189" t="inlineStr">
        <is>
          <t>UNLIKELY</t>
        </is>
      </c>
      <c r="Z1064" s="189" t="inlineStr">
        <is>
          <t>CHECK_VENDOR</t>
        </is>
      </c>
      <c r="AA1064" s="190" t="inlineStr">
        <is>
          <t>https://nvd.nist.gov/vuln/detail/CVE-2019-25444</t>
        </is>
      </c>
      <c r="AB1064" s="189" t="inlineStr">
        <is>
          <t>NONE</t>
        </is>
      </c>
      <c r="AC1064" s="189" t="n">
        <v>0</v>
      </c>
      <c r="AD1064" s="189" t="n"/>
    </row>
    <row r="1065">
      <c r="A1065" s="191" t="inlineStr">
        <is>
          <t>CVE</t>
        </is>
      </c>
      <c r="B1065" s="191" t="inlineStr">
        <is>
          <t>CVE-2019-25445</t>
        </is>
      </c>
      <c r="C1065" s="191" t="inlineStr">
        <is>
          <t>Fiverr Clone Script 1.2.2 contains a cross-site scripting vulnerability that allows unauthenticated attackers to inject malicious scripts by manipulating the keyword parameter. Attackers can craft URLs with script tags in the keyword parameter of search-results.php to execute arbitrary JavaScript in users' browsers.</t>
        </is>
      </c>
      <c r="D1065" s="191" t="n">
        <v>6.1</v>
      </c>
      <c r="E1065" s="191" t="inlineStr">
        <is>
          <t>MEDIUM</t>
        </is>
      </c>
      <c r="F1065" s="191" t="n">
        <v>2</v>
      </c>
      <c r="G1065" s="191" t="n">
        <v>2</v>
      </c>
      <c r="H1065" s="191" t="inlineStr">
        <is>
          <t>MEDIUM</t>
        </is>
      </c>
      <c r="I1065" s="191" t="n">
        <v>10.1</v>
      </c>
      <c r="J1065" s="191" t="inlineStr">
        <is>
          <t>NO</t>
        </is>
      </c>
      <c r="K1065" s="192" t="inlineStr">
        <is>
          <t>https://nvd.nist.gov/vuln/detail/CVE-2019-25445</t>
        </is>
      </c>
      <c r="L1065" s="191" t="inlineStr">
        <is>
          <t>2026-02-23 23:48</t>
        </is>
      </c>
      <c r="M1065" s="191" t="inlineStr">
        <is>
          <t>CHECK_VENDOR</t>
        </is>
      </c>
      <c r="N1065" s="191" t="inlineStr">
        <is>
          <t>See NVD references</t>
        </is>
      </c>
      <c r="O1065" s="191" t="inlineStr">
        <is>
          <t>Apply vendor patches</t>
        </is>
      </c>
      <c r="P1065" s="191" t="inlineStr">
        <is>
          <t>See CVE details</t>
        </is>
      </c>
      <c r="Q1065" s="191" t="inlineStr">
        <is>
          <t>P4</t>
        </is>
      </c>
      <c r="R1065" s="191" t="inlineStr">
        <is>
          <t>📅 Schedule patch deployment within 30 days | 🔍 Monitor for exploitation attempts</t>
        </is>
      </c>
      <c r="S1065" s="191" t="inlineStr">
        <is>
          <t>CVE - IP enrichment n/a</t>
        </is>
      </c>
      <c r="T1065" s="191" t="n">
        <v>0.0007</v>
      </c>
      <c r="U1065" s="191" t="n">
        <v>0.2234</v>
      </c>
      <c r="V1065" s="191" t="inlineStr">
        <is>
          <t>T1189:Drive-by Compromise</t>
        </is>
      </c>
      <c r="W1065" s="191" t="n">
        <v>1</v>
      </c>
      <c r="X1065" s="191" t="inlineStr">
        <is>
          <t>LOW (40%)</t>
        </is>
      </c>
      <c r="Y1065" s="191" t="inlineStr">
        <is>
          <t>UNLIKELY</t>
        </is>
      </c>
      <c r="Z1065" s="191" t="inlineStr">
        <is>
          <t>CHECK_VENDOR</t>
        </is>
      </c>
      <c r="AA1065" s="192" t="inlineStr">
        <is>
          <t>https://nvd.nist.gov/vuln/detail/CVE-2019-25445</t>
        </is>
      </c>
      <c r="AB1065" s="191" t="inlineStr">
        <is>
          <t>NONE</t>
        </is>
      </c>
      <c r="AC1065" s="191" t="n">
        <v>0</v>
      </c>
      <c r="AD1065" s="191" t="n"/>
    </row>
    <row r="1066">
      <c r="A1066" s="193" t="inlineStr">
        <is>
          <t>CVE</t>
        </is>
      </c>
      <c r="B1066" s="193" t="inlineStr">
        <is>
          <t>CVE-2021-35402</t>
        </is>
      </c>
      <c r="C1066" s="193" t="inlineStr">
        <is>
          <t>PROLiNK PRC2402M 20190909 before 2021-06-13 allows live_api.cgi?page=satellite_list OS command injection via shell metacharacters in the ip parameter (for satellite_status).</t>
        </is>
      </c>
      <c r="D1066" s="193" t="n">
        <v>10</v>
      </c>
      <c r="E1066" s="193" t="inlineStr">
        <is>
          <t>CRITICAL</t>
        </is>
      </c>
      <c r="F1066" s="193" t="n">
        <v>2</v>
      </c>
      <c r="G1066" s="193" t="n">
        <v>3</v>
      </c>
      <c r="H1066" s="193" t="inlineStr">
        <is>
          <t>HIGH</t>
        </is>
      </c>
      <c r="I1066" s="193" t="n">
        <v>16</v>
      </c>
      <c r="J1066" s="193" t="inlineStr">
        <is>
          <t>NO</t>
        </is>
      </c>
      <c r="K1066" s="194" t="inlineStr">
        <is>
          <t>https://nvd.nist.gov/vuln/detail/CVE-2021-35402</t>
        </is>
      </c>
      <c r="L1066" s="193" t="inlineStr">
        <is>
          <t>2026-02-23 23:48</t>
        </is>
      </c>
      <c r="M1066" s="193" t="inlineStr">
        <is>
          <t>CHECK_VENDOR</t>
        </is>
      </c>
      <c r="N1066" s="193" t="inlineStr">
        <is>
          <t>See NVD references</t>
        </is>
      </c>
      <c r="O1066" s="193" t="inlineStr">
        <is>
          <t>Apply vendor patches</t>
        </is>
      </c>
      <c r="P1066" s="193" t="inlineStr">
        <is>
          <t>See CVE details</t>
        </is>
      </c>
      <c r="Q1066" s="193" t="inlineStr">
        <is>
          <t>P3</t>
        </is>
      </c>
      <c r="R1066" s="193" t="inlineStr">
        <is>
          <t>🚨 URGENT: Apply vendor patches immediately | 🔒 Isolate affected systems if patch unavailable | 🛡️ Enable additional monitoring/IDS rules</t>
        </is>
      </c>
      <c r="S1066" s="193" t="inlineStr">
        <is>
          <t>CVE - IP enrichment n/a</t>
        </is>
      </c>
      <c r="T1066" s="193" t="n">
        <v>0</v>
      </c>
      <c r="U1066" s="193" t="n">
        <v>0</v>
      </c>
      <c r="V1066" s="193" t="inlineStr">
        <is>
          <t>T1059:Command and Scripting Interpreter</t>
        </is>
      </c>
      <c r="W1066" s="193" t="n">
        <v>1</v>
      </c>
      <c r="X1066" s="193" t="inlineStr">
        <is>
          <t>LOW (40%)</t>
        </is>
      </c>
      <c r="Y1066" s="193" t="inlineStr">
        <is>
          <t>UNLIKELY</t>
        </is>
      </c>
      <c r="Z1066" s="193" t="inlineStr">
        <is>
          <t>CHECK_VENDOR</t>
        </is>
      </c>
      <c r="AA1066" s="194" t="inlineStr">
        <is>
          <t>https://nvd.nist.gov/vuln/detail/CVE-2021-35402</t>
        </is>
      </c>
      <c r="AB1066" s="193" t="inlineStr">
        <is>
          <t>NONE</t>
        </is>
      </c>
      <c r="AC1066" s="193" t="n">
        <v>0</v>
      </c>
      <c r="AD1066" s="193" t="n"/>
    </row>
    <row r="1067">
      <c r="A1067" s="191" t="inlineStr">
        <is>
          <t>CVE</t>
        </is>
      </c>
      <c r="B1067" s="191" t="inlineStr">
        <is>
          <t>CVE-2026-2852</t>
        </is>
      </c>
      <c r="C1067" s="191" t="inlineStr">
        <is>
          <t xml:space="preserve">A vulnerability was identified in yeqifu warehouse up to aaf29962ba407d22d991781de28796ee7b4670e4. This issue affects the function addSales/updateSales/deleteSales of the file dataset\repos\warehouse\src\main\java\com\yeqifu\bus\controller\SalesController.java of the component Sales Endpoint. The manipulation leads to improper access controls. The attack is possible to be carried out remotely. The exploit is publicly available and might be used. This product adopts a rolling release strategy to </t>
        </is>
      </c>
      <c r="D1067" s="191" t="n">
        <v>6.3</v>
      </c>
      <c r="E1067" s="191" t="inlineStr">
        <is>
          <t>MEDIUM</t>
        </is>
      </c>
      <c r="F1067" s="191" t="n">
        <v>2</v>
      </c>
      <c r="G1067" s="191" t="n">
        <v>2</v>
      </c>
      <c r="H1067" s="191" t="inlineStr">
        <is>
          <t>MEDIUM</t>
        </is>
      </c>
      <c r="I1067" s="191" t="n">
        <v>10.3</v>
      </c>
      <c r="J1067" s="191" t="inlineStr">
        <is>
          <t>NO</t>
        </is>
      </c>
      <c r="K1067" s="192" t="inlineStr">
        <is>
          <t>https://nvd.nist.gov/vuln/detail/CVE-2026-2852</t>
        </is>
      </c>
      <c r="L1067" s="191" t="inlineStr">
        <is>
          <t>2026-02-23 23:48</t>
        </is>
      </c>
      <c r="M1067" s="191" t="inlineStr">
        <is>
          <t>CHECK_VENDOR</t>
        </is>
      </c>
      <c r="N1067" s="191" t="inlineStr">
        <is>
          <t>See NVD references</t>
        </is>
      </c>
      <c r="O1067" s="191" t="inlineStr">
        <is>
          <t>Apply vendor patches</t>
        </is>
      </c>
      <c r="P1067" s="191" t="inlineStr">
        <is>
          <t>See CVE details</t>
        </is>
      </c>
      <c r="Q1067" s="191" t="inlineStr">
        <is>
          <t>P4</t>
        </is>
      </c>
      <c r="R1067" s="191" t="inlineStr">
        <is>
          <t>📅 Schedule patch deployment within 30 days | 🔍 Monitor for exploitation attempts</t>
        </is>
      </c>
      <c r="S1067" s="191" t="inlineStr">
        <is>
          <t>CVE - IP enrichment n/a</t>
        </is>
      </c>
      <c r="T1067" s="191" t="n">
        <v>0</v>
      </c>
      <c r="U1067" s="191" t="n">
        <v>0</v>
      </c>
      <c r="V1067" s="191" t="inlineStr">
        <is>
          <t>T1190:Exploit Public-Facing Application</t>
        </is>
      </c>
      <c r="W1067" s="191" t="n">
        <v>1</v>
      </c>
      <c r="X1067" s="191" t="inlineStr">
        <is>
          <t>LOW (40%)</t>
        </is>
      </c>
      <c r="Y1067" s="191" t="inlineStr">
        <is>
          <t>UNLIKELY</t>
        </is>
      </c>
      <c r="Z1067" s="191" t="inlineStr">
        <is>
          <t>CHECK_VENDOR</t>
        </is>
      </c>
      <c r="AA1067" s="192" t="inlineStr">
        <is>
          <t>https://nvd.nist.gov/vuln/detail/CVE-2026-2852</t>
        </is>
      </c>
      <c r="AB1067" s="191" t="inlineStr">
        <is>
          <t>NONE</t>
        </is>
      </c>
      <c r="AC1067" s="191" t="n">
        <v>0</v>
      </c>
      <c r="AD1067" s="191" t="n"/>
    </row>
    <row r="1068">
      <c r="A1068" s="191" t="inlineStr">
        <is>
          <t>CVE</t>
        </is>
      </c>
      <c r="B1068" s="191" t="inlineStr">
        <is>
          <t>CVE-2025-62326</t>
        </is>
      </c>
      <c r="C1068" s="191" t="inlineStr">
        <is>
          <t>HCL Digital Experience is susceptible to stored cross-site scripting (XSS) in the administrative user interface which would require elevated privileges to exploit.</t>
        </is>
      </c>
      <c r="D1068" s="191" t="n">
        <v>6.1</v>
      </c>
      <c r="E1068" s="191" t="inlineStr">
        <is>
          <t>MEDIUM</t>
        </is>
      </c>
      <c r="F1068" s="191" t="n">
        <v>2</v>
      </c>
      <c r="G1068" s="191" t="n">
        <v>2</v>
      </c>
      <c r="H1068" s="191" t="inlineStr">
        <is>
          <t>MEDIUM</t>
        </is>
      </c>
      <c r="I1068" s="191" t="n">
        <v>10.1</v>
      </c>
      <c r="J1068" s="191" t="inlineStr">
        <is>
          <t>NO</t>
        </is>
      </c>
      <c r="K1068" s="192" t="inlineStr">
        <is>
          <t>https://nvd.nist.gov/vuln/detail/CVE-2025-62326</t>
        </is>
      </c>
      <c r="L1068" s="191" t="inlineStr">
        <is>
          <t>2026-02-23 23:48</t>
        </is>
      </c>
      <c r="M1068" s="191" t="inlineStr">
        <is>
          <t>CHECK_VENDOR</t>
        </is>
      </c>
      <c r="N1068" s="191" t="inlineStr">
        <is>
          <t>See NVD references</t>
        </is>
      </c>
      <c r="O1068" s="191" t="inlineStr">
        <is>
          <t>Apply vendor patches</t>
        </is>
      </c>
      <c r="P1068" s="191" t="inlineStr">
        <is>
          <t>See CVE details</t>
        </is>
      </c>
      <c r="Q1068" s="191" t="inlineStr">
        <is>
          <t>P4</t>
        </is>
      </c>
      <c r="R1068" s="191" t="inlineStr">
        <is>
          <t>📅 Schedule patch deployment within 30 days | 🔍 Monitor for exploitation attempts</t>
        </is>
      </c>
      <c r="S1068" s="191" t="inlineStr">
        <is>
          <t>CVE - IP enrichment n/a</t>
        </is>
      </c>
      <c r="T1068" s="191" t="n">
        <v>0</v>
      </c>
      <c r="U1068" s="191" t="n">
        <v>0</v>
      </c>
      <c r="V1068" s="191" t="inlineStr">
        <is>
          <t>T1189:Drive-by Compromise</t>
        </is>
      </c>
      <c r="W1068" s="191" t="n">
        <v>1</v>
      </c>
      <c r="X1068" s="191" t="inlineStr">
        <is>
          <t>LOW (40%)</t>
        </is>
      </c>
      <c r="Y1068" s="191" t="inlineStr">
        <is>
          <t>UNLIKELY</t>
        </is>
      </c>
      <c r="Z1068" s="191" t="inlineStr">
        <is>
          <t>CHECK_VENDOR</t>
        </is>
      </c>
      <c r="AA1068" s="192" t="inlineStr">
        <is>
          <t>https://nvd.nist.gov/vuln/detail/CVE-2025-62326</t>
        </is>
      </c>
      <c r="AB1068" s="191" t="inlineStr">
        <is>
          <t>NONE</t>
        </is>
      </c>
      <c r="AC1068" s="191" t="n">
        <v>0</v>
      </c>
      <c r="AD1068" s="191" t="n"/>
    </row>
    <row r="1069">
      <c r="A1069" s="189" t="inlineStr">
        <is>
          <t>CVE</t>
        </is>
      </c>
      <c r="B1069" s="189" t="inlineStr">
        <is>
          <t>CVE-2026-2472</t>
        </is>
      </c>
      <c r="C1069" s="189" t="inlineStr">
        <is>
          <t>Stored Cross-Site Scripting (XSS) in the _genai/_evals_visualization component of Google Cloud Vertex AI SDK (google-cloud-aiplatform) versions from 1.98.0 up to (but not including) 1.131.0 allows an unauthenticated remote attacker to execute arbitrary JavaScript in a victim's Jupyter or Colab environment via injecting script escape sequences into model evaluation results or dataset JSON data.</t>
        </is>
      </c>
      <c r="D1069" s="189" t="n">
        <v>8.5</v>
      </c>
      <c r="E1069" s="189" t="inlineStr">
        <is>
          <t>HIGH</t>
        </is>
      </c>
      <c r="F1069" s="189" t="n">
        <v>2</v>
      </c>
      <c r="G1069" s="189" t="n">
        <v>3</v>
      </c>
      <c r="H1069" s="189" t="inlineStr">
        <is>
          <t>HIGH</t>
        </is>
      </c>
      <c r="I1069" s="189" t="n">
        <v>14.5</v>
      </c>
      <c r="J1069" s="189" t="inlineStr">
        <is>
          <t>NO</t>
        </is>
      </c>
      <c r="K1069" s="190" t="inlineStr">
        <is>
          <t>https://nvd.nist.gov/vuln/detail/CVE-2026-2472</t>
        </is>
      </c>
      <c r="L1069" s="189" t="inlineStr">
        <is>
          <t>2026-02-23 23:48</t>
        </is>
      </c>
      <c r="M1069" s="189" t="inlineStr">
        <is>
          <t>CHECK_VENDOR</t>
        </is>
      </c>
      <c r="N1069" s="189" t="inlineStr">
        <is>
          <t>See NVD references</t>
        </is>
      </c>
      <c r="O1069" s="189" t="inlineStr">
        <is>
          <t>Apply vendor patches</t>
        </is>
      </c>
      <c r="P1069" s="189" t="inlineStr">
        <is>
          <t>See CVE details</t>
        </is>
      </c>
      <c r="Q1069" s="189" t="inlineStr">
        <is>
          <t>P3</t>
        </is>
      </c>
      <c r="R1069" s="189" t="inlineStr">
        <is>
          <t>🚨 URGENT: Apply vendor patches immediately | 🔒 Isolate affected systems if patch unavailable | 🛡️ Enable additional monitoring/IDS rules</t>
        </is>
      </c>
      <c r="S1069" s="189" t="inlineStr">
        <is>
          <t>CVE - IP enrichment n/a</t>
        </is>
      </c>
      <c r="T1069" s="189" t="n">
        <v>0</v>
      </c>
      <c r="U1069" s="189" t="n">
        <v>0</v>
      </c>
      <c r="V1069" s="189" t="inlineStr">
        <is>
          <t>T1189:Drive-by Compromise</t>
        </is>
      </c>
      <c r="W1069" s="189" t="n">
        <v>2</v>
      </c>
      <c r="X1069" s="189" t="inlineStr">
        <is>
          <t>MEDIUM (52%)</t>
        </is>
      </c>
      <c r="Y1069" s="189" t="inlineStr">
        <is>
          <t>UNLIKELY</t>
        </is>
      </c>
      <c r="Z1069" s="189" t="inlineStr">
        <is>
          <t>CHECK_VENDOR</t>
        </is>
      </c>
      <c r="AA1069" s="190" t="inlineStr">
        <is>
          <t>https://nvd.nist.gov/vuln/detail/CVE-2026-2472</t>
        </is>
      </c>
      <c r="AB1069" s="189" t="inlineStr">
        <is>
          <t>NONE</t>
        </is>
      </c>
      <c r="AC1069" s="189" t="n">
        <v>0</v>
      </c>
      <c r="AD1069" s="189" t="n"/>
    </row>
    <row r="1070">
      <c r="A1070" s="189" t="inlineStr">
        <is>
          <t>CVE</t>
        </is>
      </c>
      <c r="B1070" s="189" t="inlineStr">
        <is>
          <t>CVE-2026-2473</t>
        </is>
      </c>
      <c r="C1070" s="189" t="inlineStr">
        <is>
          <t>Predictable bucket naming in Vertex AI Experiments in Google Cloud Vertex AI from version 1.21.0 up to (but not including) 1.133.0 on Google Cloud Platform allows an unauthenticated remote attacker to achieve cross-tenant remote code execution, model theft, and poisoning via pre-creating predictably named Cloud Storage buckets (Bucket Squatting).
This vulnerability was patched and no customer action is needed.</t>
        </is>
      </c>
      <c r="D1070" s="189" t="n">
        <v>8.5</v>
      </c>
      <c r="E1070" s="189" t="inlineStr">
        <is>
          <t>HIGH</t>
        </is>
      </c>
      <c r="F1070" s="189" t="n">
        <v>2</v>
      </c>
      <c r="G1070" s="189" t="n">
        <v>3</v>
      </c>
      <c r="H1070" s="189" t="inlineStr">
        <is>
          <t>HIGH</t>
        </is>
      </c>
      <c r="I1070" s="189" t="n">
        <v>14.5</v>
      </c>
      <c r="J1070" s="189" t="inlineStr">
        <is>
          <t>NO</t>
        </is>
      </c>
      <c r="K1070" s="190" t="inlineStr">
        <is>
          <t>https://nvd.nist.gov/vuln/detail/CVE-2026-2473</t>
        </is>
      </c>
      <c r="L1070" s="189" t="inlineStr">
        <is>
          <t>2026-02-23 23:48</t>
        </is>
      </c>
      <c r="M1070" s="189" t="inlineStr">
        <is>
          <t>CHECK_VENDOR</t>
        </is>
      </c>
      <c r="N1070" s="189" t="inlineStr">
        <is>
          <t>See NVD references</t>
        </is>
      </c>
      <c r="O1070" s="189" t="inlineStr">
        <is>
          <t>Apply vendor patches</t>
        </is>
      </c>
      <c r="P1070" s="189" t="inlineStr">
        <is>
          <t>See CVE details</t>
        </is>
      </c>
      <c r="Q1070" s="189" t="inlineStr">
        <is>
          <t>P3</t>
        </is>
      </c>
      <c r="R1070" s="189" t="inlineStr">
        <is>
          <t>🚨 URGENT: Apply vendor patches immediately | 🔒 Isolate affected systems if patch unavailable | 🛡️ Enable additional monitoring/IDS rules</t>
        </is>
      </c>
      <c r="S1070" s="189" t="inlineStr">
        <is>
          <t>CVE - IP enrichment n/a</t>
        </is>
      </c>
      <c r="T1070" s="189" t="n">
        <v>0</v>
      </c>
      <c r="U1070" s="189" t="n">
        <v>0</v>
      </c>
      <c r="V1070" s="189" t="inlineStr">
        <is>
          <t>T1190:Exploit Public-Facing Application | T1210:Exploitation of Remote Services</t>
        </is>
      </c>
      <c r="W1070" s="189" t="n">
        <v>1</v>
      </c>
      <c r="X1070" s="189" t="inlineStr">
        <is>
          <t>LOW (40%)</t>
        </is>
      </c>
      <c r="Y1070" s="189" t="inlineStr">
        <is>
          <t>UNLIKELY</t>
        </is>
      </c>
      <c r="Z1070" s="189" t="inlineStr">
        <is>
          <t>CHECK_VENDOR</t>
        </is>
      </c>
      <c r="AA1070" s="190" t="inlineStr">
        <is>
          <t>https://nvd.nist.gov/vuln/detail/CVE-2026-2473</t>
        </is>
      </c>
      <c r="AB1070" s="189" t="inlineStr">
        <is>
          <t>NONE</t>
        </is>
      </c>
      <c r="AC1070" s="189" t="n">
        <v>0</v>
      </c>
      <c r="AD1070" s="189" t="n"/>
    </row>
    <row r="1071">
      <c r="A1071" s="189" t="inlineStr">
        <is>
          <t>CVE</t>
        </is>
      </c>
      <c r="B1071" s="189" t="inlineStr">
        <is>
          <t>CVE-2026-2853</t>
        </is>
      </c>
      <c r="C1071" s="189" t="inlineStr">
        <is>
          <t>A vulnerability was detected in D-Link DWR-M960 1.01.07. This affects the function sub_462E14 of the file /boafrm/formSysLog of the component System Log Configuration Endpoint. Performing a manipulation of the argument submit-url results in stack-based buffer overflow. The attack can be initiated remotely. The exploit is now public and may be used.</t>
        </is>
      </c>
      <c r="D1071" s="189" t="n">
        <v>8.800000000000001</v>
      </c>
      <c r="E1071" s="189" t="inlineStr">
        <is>
          <t>HIGH</t>
        </is>
      </c>
      <c r="F1071" s="189" t="n">
        <v>2</v>
      </c>
      <c r="G1071" s="189" t="n">
        <v>3</v>
      </c>
      <c r="H1071" s="189" t="inlineStr">
        <is>
          <t>HIGH</t>
        </is>
      </c>
      <c r="I1071" s="189" t="n">
        <v>14.8</v>
      </c>
      <c r="J1071" s="189" t="inlineStr">
        <is>
          <t>NO</t>
        </is>
      </c>
      <c r="K1071" s="190" t="inlineStr">
        <is>
          <t>https://nvd.nist.gov/vuln/detail/CVE-2026-2853</t>
        </is>
      </c>
      <c r="L1071" s="189" t="inlineStr">
        <is>
          <t>2026-02-23 23:48</t>
        </is>
      </c>
      <c r="M1071" s="189" t="inlineStr">
        <is>
          <t>CHECK_VENDOR</t>
        </is>
      </c>
      <c r="N1071" s="189" t="inlineStr">
        <is>
          <t>See NVD references</t>
        </is>
      </c>
      <c r="O1071" s="189" t="inlineStr">
        <is>
          <t>Apply vendor patches</t>
        </is>
      </c>
      <c r="P1071" s="189" t="inlineStr">
        <is>
          <t>dlink dwr-m960 b1 | dlink dwr-m960_firmware 1.01.07</t>
        </is>
      </c>
      <c r="Q1071" s="189" t="inlineStr">
        <is>
          <t>P3</t>
        </is>
      </c>
      <c r="R1071" s="189" t="inlineStr">
        <is>
          <t>🚨 URGENT: Apply vendor patches immediately | 🔒 Isolate affected systems if patch unavailable | 🛡️ Enable additional monitoring/IDS rules</t>
        </is>
      </c>
      <c r="S1071" s="189" t="inlineStr">
        <is>
          <t>CVE - IP enrichment n/a</t>
        </is>
      </c>
      <c r="T1071" s="189" t="n">
        <v>0</v>
      </c>
      <c r="U1071" s="189" t="n">
        <v>0</v>
      </c>
      <c r="V1071" s="189" t="inlineStr">
        <is>
          <t>T1203:Exploitation for Client Execution</t>
        </is>
      </c>
      <c r="W1071" s="189" t="n">
        <v>1</v>
      </c>
      <c r="X1071" s="189" t="inlineStr">
        <is>
          <t>LOW (40%)</t>
        </is>
      </c>
      <c r="Y1071" s="189" t="inlineStr">
        <is>
          <t>UNLIKELY</t>
        </is>
      </c>
      <c r="Z1071" s="189" t="inlineStr">
        <is>
          <t>CHECK_VENDOR</t>
        </is>
      </c>
      <c r="AA1071" s="190" t="inlineStr">
        <is>
          <t>https://nvd.nist.gov/vuln/detail/CVE-2026-2853</t>
        </is>
      </c>
      <c r="AB1071" s="189" t="inlineStr">
        <is>
          <t>NONE</t>
        </is>
      </c>
      <c r="AC1071" s="189" t="n">
        <v>0</v>
      </c>
      <c r="AD1071" s="189" t="n"/>
    </row>
    <row r="1072">
      <c r="A1072" s="189" t="inlineStr">
        <is>
          <t>CVE</t>
        </is>
      </c>
      <c r="B1072" s="189" t="inlineStr">
        <is>
          <t>CVE-2026-2854</t>
        </is>
      </c>
      <c r="C1072" s="189" t="inlineStr">
        <is>
          <t>A flaw has been found in D-Link DWR-M960 1.01.07. This impacts the function sub_4611CC of the file /boafrm/formNtp of the component NTP Configuration Endpoint. Executing a manipulation of the argument submit-url can lead to stack-based buffer overflow. The attack can be launched remotely. The exploit has been published and may be used.</t>
        </is>
      </c>
      <c r="D1072" s="189" t="n">
        <v>8.800000000000001</v>
      </c>
      <c r="E1072" s="189" t="inlineStr">
        <is>
          <t>HIGH</t>
        </is>
      </c>
      <c r="F1072" s="189" t="n">
        <v>2</v>
      </c>
      <c r="G1072" s="189" t="n">
        <v>3</v>
      </c>
      <c r="H1072" s="189" t="inlineStr">
        <is>
          <t>HIGH</t>
        </is>
      </c>
      <c r="I1072" s="189" t="n">
        <v>14.8</v>
      </c>
      <c r="J1072" s="189" t="inlineStr">
        <is>
          <t>NO</t>
        </is>
      </c>
      <c r="K1072" s="190" t="inlineStr">
        <is>
          <t>https://nvd.nist.gov/vuln/detail/CVE-2026-2854</t>
        </is>
      </c>
      <c r="L1072" s="189" t="inlineStr">
        <is>
          <t>2026-02-23 23:48</t>
        </is>
      </c>
      <c r="M1072" s="189" t="inlineStr">
        <is>
          <t>CHECK_VENDOR</t>
        </is>
      </c>
      <c r="N1072" s="189" t="inlineStr">
        <is>
          <t>See NVD references</t>
        </is>
      </c>
      <c r="O1072" s="189" t="inlineStr">
        <is>
          <t>Apply vendor patches</t>
        </is>
      </c>
      <c r="P1072" s="189" t="inlineStr">
        <is>
          <t>dlink dwr-m960 b1 | dlink dwr-m960_firmware 1.01.07</t>
        </is>
      </c>
      <c r="Q1072" s="189" t="inlineStr">
        <is>
          <t>P3</t>
        </is>
      </c>
      <c r="R1072" s="189" t="inlineStr">
        <is>
          <t>🚨 URGENT: Apply vendor patches immediately | 🔒 Isolate affected systems if patch unavailable | 🛡️ Enable additional monitoring/IDS rules</t>
        </is>
      </c>
      <c r="S1072" s="189" t="inlineStr">
        <is>
          <t>CVE - IP enrichment n/a</t>
        </is>
      </c>
      <c r="T1072" s="189" t="n">
        <v>0</v>
      </c>
      <c r="U1072" s="189" t="n">
        <v>0</v>
      </c>
      <c r="V1072" s="189" t="inlineStr">
        <is>
          <t>T1203:Exploitation for Client Execution</t>
        </is>
      </c>
      <c r="W1072" s="189" t="n">
        <v>1</v>
      </c>
      <c r="X1072" s="189" t="inlineStr">
        <is>
          <t>LOW (40%)</t>
        </is>
      </c>
      <c r="Y1072" s="189" t="inlineStr">
        <is>
          <t>UNLIKELY</t>
        </is>
      </c>
      <c r="Z1072" s="189" t="inlineStr">
        <is>
          <t>CHECK_VENDOR</t>
        </is>
      </c>
      <c r="AA1072" s="190" t="inlineStr">
        <is>
          <t>https://nvd.nist.gov/vuln/detail/CVE-2026-2854</t>
        </is>
      </c>
      <c r="AB1072" s="189" t="inlineStr">
        <is>
          <t>NONE</t>
        </is>
      </c>
      <c r="AC1072" s="189" t="n">
        <v>0</v>
      </c>
      <c r="AD1072" s="189" t="n"/>
    </row>
    <row r="1073">
      <c r="A1073" s="189" t="inlineStr">
        <is>
          <t>CVE</t>
        </is>
      </c>
      <c r="B1073" s="189" t="inlineStr">
        <is>
          <t>CVE-2026-2855</t>
        </is>
      </c>
      <c r="C1073" s="189" t="inlineStr">
        <is>
          <t>A vulnerability has been found in D-Link DWR-M960 1.01.07. Affected is the function sub_4648F0 of the file /boafrm/formDdns of the component DDNS Settings Handler. The manipulation of the argument submit-url leads to stack-based buffer overflow. The attack may be initiated remotely. The exploit has been disclosed to the public and may be used.</t>
        </is>
      </c>
      <c r="D1073" s="189" t="n">
        <v>8.800000000000001</v>
      </c>
      <c r="E1073" s="189" t="inlineStr">
        <is>
          <t>HIGH</t>
        </is>
      </c>
      <c r="F1073" s="189" t="n">
        <v>2</v>
      </c>
      <c r="G1073" s="189" t="n">
        <v>3</v>
      </c>
      <c r="H1073" s="189" t="inlineStr">
        <is>
          <t>HIGH</t>
        </is>
      </c>
      <c r="I1073" s="189" t="n">
        <v>14.8</v>
      </c>
      <c r="J1073" s="189" t="inlineStr">
        <is>
          <t>NO</t>
        </is>
      </c>
      <c r="K1073" s="190" t="inlineStr">
        <is>
          <t>https://nvd.nist.gov/vuln/detail/CVE-2026-2855</t>
        </is>
      </c>
      <c r="L1073" s="189" t="inlineStr">
        <is>
          <t>2026-02-23 23:48</t>
        </is>
      </c>
      <c r="M1073" s="189" t="inlineStr">
        <is>
          <t>CHECK_VENDOR</t>
        </is>
      </c>
      <c r="N1073" s="189" t="inlineStr">
        <is>
          <t>See NVD references</t>
        </is>
      </c>
      <c r="O1073" s="189" t="inlineStr">
        <is>
          <t>Apply vendor patches</t>
        </is>
      </c>
      <c r="P1073" s="189" t="inlineStr">
        <is>
          <t>dlink dwr-m960 b1 | dlink dwr-m960_firmware 1.01.07</t>
        </is>
      </c>
      <c r="Q1073" s="189" t="inlineStr">
        <is>
          <t>P3</t>
        </is>
      </c>
      <c r="R1073" s="189" t="inlineStr">
        <is>
          <t>🚨 URGENT: Apply vendor patches immediately | 🔒 Isolate affected systems if patch unavailable | 🛡️ Enable additional monitoring/IDS rules</t>
        </is>
      </c>
      <c r="S1073" s="189" t="inlineStr">
        <is>
          <t>CVE - IP enrichment n/a</t>
        </is>
      </c>
      <c r="T1073" s="189" t="n">
        <v>0</v>
      </c>
      <c r="U1073" s="189" t="n">
        <v>0</v>
      </c>
      <c r="V1073" s="189" t="inlineStr">
        <is>
          <t>T1203:Exploitation for Client Execution</t>
        </is>
      </c>
      <c r="W1073" s="189" t="n">
        <v>1</v>
      </c>
      <c r="X1073" s="189" t="inlineStr">
        <is>
          <t>LOW (40%)</t>
        </is>
      </c>
      <c r="Y1073" s="189" t="inlineStr">
        <is>
          <t>UNLIKELY</t>
        </is>
      </c>
      <c r="Z1073" s="189" t="inlineStr">
        <is>
          <t>CHECK_VENDOR</t>
        </is>
      </c>
      <c r="AA1073" s="190" t="inlineStr">
        <is>
          <t>https://nvd.nist.gov/vuln/detail/CVE-2026-2855</t>
        </is>
      </c>
      <c r="AB1073" s="189" t="inlineStr">
        <is>
          <t>NONE</t>
        </is>
      </c>
      <c r="AC1073" s="189" t="n">
        <v>0</v>
      </c>
      <c r="AD1073" s="189" t="n"/>
    </row>
    <row r="1074">
      <c r="A1074" s="189" t="inlineStr">
        <is>
          <t>CVE</t>
        </is>
      </c>
      <c r="B1074" s="189" t="inlineStr">
        <is>
          <t>CVE-2026-24892</t>
        </is>
      </c>
      <c r="C1074" s="189" t="inlineStr">
        <is>
          <t xml:space="preserve">openITCOCKPIT is an open source monitoring tool built for different monitoring engines like Nagios, Naemon and Prometheus. openITCOCKPIT Community Edition 5.3.1 and earlier contains an unsafe PHP deserialization pattern in the processing of changelog entries. Serialized changelog data derived from attacker-influenced application state is unserialized without restricting allowed classes. Although no current application endpoint was found to introduce PHP objects into this data path, the presence </t>
        </is>
      </c>
      <c r="D1074" s="189" t="n">
        <v>7.5</v>
      </c>
      <c r="E1074" s="189" t="inlineStr">
        <is>
          <t>HIGH</t>
        </is>
      </c>
      <c r="F1074" s="189" t="n">
        <v>2</v>
      </c>
      <c r="G1074" s="189" t="n">
        <v>3</v>
      </c>
      <c r="H1074" s="189" t="inlineStr">
        <is>
          <t>HIGH</t>
        </is>
      </c>
      <c r="I1074" s="189" t="n">
        <v>13.5</v>
      </c>
      <c r="J1074" s="189" t="inlineStr">
        <is>
          <t>NO</t>
        </is>
      </c>
      <c r="K1074" s="190" t="inlineStr">
        <is>
          <t>https://nvd.nist.gov/vuln/detail/CVE-2026-24892</t>
        </is>
      </c>
      <c r="L1074" s="189" t="inlineStr">
        <is>
          <t>2026-02-23 23:48</t>
        </is>
      </c>
      <c r="M1074" s="189" t="inlineStr">
        <is>
          <t>CHECK_VENDOR</t>
        </is>
      </c>
      <c r="N1074" s="189" t="inlineStr">
        <is>
          <t>See NVD references</t>
        </is>
      </c>
      <c r="O1074" s="189" t="inlineStr">
        <is>
          <t>Apply vendor patches</t>
        </is>
      </c>
      <c r="P1074" s="189" t="inlineStr">
        <is>
          <t>See CVE details</t>
        </is>
      </c>
      <c r="Q1074" s="189" t="inlineStr">
        <is>
          <t>P3</t>
        </is>
      </c>
      <c r="R1074" s="189" t="inlineStr">
        <is>
          <t>🚨 URGENT: Apply vendor patches immediately | 🔒 Isolate affected systems if patch unavailable | 🛡️ Enable additional monitoring/IDS rules</t>
        </is>
      </c>
      <c r="S1074" s="189" t="inlineStr">
        <is>
          <t>CVE - IP enrichment n/a</t>
        </is>
      </c>
      <c r="T1074" s="189" t="n">
        <v>0.0031</v>
      </c>
      <c r="U1074" s="189" t="n">
        <v>0.5415</v>
      </c>
      <c r="V1074" s="189" t="inlineStr">
        <is>
          <t>T1059:Command and Scripting Interpreter | T1190:Exploit Public-Facing Application | T1210:Exploitation of Remote Services</t>
        </is>
      </c>
      <c r="W1074" s="189" t="n">
        <v>1</v>
      </c>
      <c r="X1074" s="189" t="inlineStr">
        <is>
          <t>LOW (40%)</t>
        </is>
      </c>
      <c r="Y1074" s="189" t="inlineStr">
        <is>
          <t>UNLIKELY</t>
        </is>
      </c>
      <c r="Z1074" s="189" t="inlineStr">
        <is>
          <t>CHECK_VENDOR</t>
        </is>
      </c>
      <c r="AA1074" s="190" t="inlineStr">
        <is>
          <t>https://nvd.nist.gov/vuln/detail/CVE-2026-24892</t>
        </is>
      </c>
      <c r="AB1074" s="189" t="inlineStr">
        <is>
          <t>NONE</t>
        </is>
      </c>
      <c r="AC1074" s="189" t="n">
        <v>0</v>
      </c>
      <c r="AD1074" s="189" t="n"/>
    </row>
    <row r="1075">
      <c r="A1075" s="193" t="inlineStr">
        <is>
          <t>CVE</t>
        </is>
      </c>
      <c r="B1075" s="193" t="inlineStr">
        <is>
          <t>CVE-2026-25896</t>
        </is>
      </c>
      <c r="C1075" s="193" t="inlineStr">
        <is>
          <t>fast-xml-parser allows users to validate XML, parse XML to JS object, or build XML from JS object without C/C++ based libraries and no callback. From 4.1.3to before 5.3.5, a dot (.) in a DOCTYPE entity name is treated as a regex wildcard during entity replacement, allowing an attacker to shadow built-in XML entities (&amp;lt;, &amp;gt;, &amp;amp;, &amp;quot;, &amp;apos;) with arbitrary values. This bypasses entity encoding and leads to XSS when parsed output is rendered. This vulnerability is fixed in 5.3.5.</t>
        </is>
      </c>
      <c r="D1075" s="193" t="n">
        <v>9.300000000000001</v>
      </c>
      <c r="E1075" s="193" t="inlineStr">
        <is>
          <t>CRITICAL</t>
        </is>
      </c>
      <c r="F1075" s="193" t="n">
        <v>2</v>
      </c>
      <c r="G1075" s="193" t="n">
        <v>3</v>
      </c>
      <c r="H1075" s="193" t="inlineStr">
        <is>
          <t>HIGH</t>
        </is>
      </c>
      <c r="I1075" s="193" t="n">
        <v>15.3</v>
      </c>
      <c r="J1075" s="193" t="inlineStr">
        <is>
          <t>NO</t>
        </is>
      </c>
      <c r="K1075" s="194" t="inlineStr">
        <is>
          <t>https://nvd.nist.gov/vuln/detail/CVE-2026-25896</t>
        </is>
      </c>
      <c r="L1075" s="193" t="inlineStr">
        <is>
          <t>2026-02-23 23:48</t>
        </is>
      </c>
      <c r="M1075" s="193" t="inlineStr">
        <is>
          <t>CHECK_VENDOR</t>
        </is>
      </c>
      <c r="N1075" s="193" t="inlineStr">
        <is>
          <t>See NVD references</t>
        </is>
      </c>
      <c r="O1075" s="193" t="inlineStr">
        <is>
          <t>Apply vendor patches</t>
        </is>
      </c>
      <c r="P1075" s="193" t="inlineStr">
        <is>
          <t>See CVE details</t>
        </is>
      </c>
      <c r="Q1075" s="193" t="inlineStr">
        <is>
          <t>P3</t>
        </is>
      </c>
      <c r="R1075" s="193" t="inlineStr">
        <is>
          <t>🚨 URGENT: Apply vendor patches immediately | 🔒 Isolate affected systems if patch unavailable | 🛡️ Enable additional monitoring/IDS rules</t>
        </is>
      </c>
      <c r="S1075" s="193" t="inlineStr">
        <is>
          <t>CVE - IP enrichment n/a</t>
        </is>
      </c>
      <c r="T1075" s="193" t="n">
        <v>0</v>
      </c>
      <c r="U1075" s="193" t="n">
        <v>0</v>
      </c>
      <c r="V1075" s="193" t="inlineStr">
        <is>
          <t>T1189:Drive-by Compromise</t>
        </is>
      </c>
      <c r="W1075" s="193" t="n">
        <v>2</v>
      </c>
      <c r="X1075" s="193" t="inlineStr">
        <is>
          <t>MEDIUM (52%)</t>
        </is>
      </c>
      <c r="Y1075" s="193" t="inlineStr">
        <is>
          <t>UNLIKELY</t>
        </is>
      </c>
      <c r="Z1075" s="193" t="inlineStr">
        <is>
          <t>CHECK_VENDOR</t>
        </is>
      </c>
      <c r="AA1075" s="194" t="inlineStr">
        <is>
          <t>https://nvd.nist.gov/vuln/detail/CVE-2026-25896</t>
        </is>
      </c>
      <c r="AB1075" s="193" t="inlineStr">
        <is>
          <t>NONE</t>
        </is>
      </c>
      <c r="AC1075" s="193" t="n">
        <v>0</v>
      </c>
      <c r="AD1075" s="193" t="n"/>
    </row>
    <row r="1076">
      <c r="A1076" s="191" t="inlineStr">
        <is>
          <t>CVE</t>
        </is>
      </c>
      <c r="B1076" s="191" t="inlineStr">
        <is>
          <t>CVE-2026-27020</t>
        </is>
      </c>
      <c r="C1076" s="191" t="inlineStr">
        <is>
          <t>Photobooth prior to 1.0.1 has a cross-site scripting (XSS) vulnerability in user input fields. Malicious users could inject scripts through unvalidated form inputs. This vulnerability is fixed in 1.0.1.</t>
        </is>
      </c>
      <c r="D1076" s="191" t="n">
        <v>5</v>
      </c>
      <c r="E1076" s="191" t="inlineStr">
        <is>
          <t>MEDIUM</t>
        </is>
      </c>
      <c r="F1076" s="191" t="n">
        <v>2</v>
      </c>
      <c r="G1076" s="191" t="n">
        <v>2</v>
      </c>
      <c r="H1076" s="191" t="inlineStr">
        <is>
          <t>MEDIUM</t>
        </is>
      </c>
      <c r="I1076" s="191" t="n">
        <v>9</v>
      </c>
      <c r="J1076" s="191" t="inlineStr">
        <is>
          <t>NO</t>
        </is>
      </c>
      <c r="K1076" s="192" t="inlineStr">
        <is>
          <t>https://nvd.nist.gov/vuln/detail/CVE-2026-27020</t>
        </is>
      </c>
      <c r="L1076" s="191" t="inlineStr">
        <is>
          <t>2026-02-23 23:48</t>
        </is>
      </c>
      <c r="M1076" s="191" t="inlineStr">
        <is>
          <t>CHECK_VENDOR</t>
        </is>
      </c>
      <c r="N1076" s="191" t="inlineStr">
        <is>
          <t>See NVD references</t>
        </is>
      </c>
      <c r="O1076" s="191" t="inlineStr">
        <is>
          <t>Apply vendor patches</t>
        </is>
      </c>
      <c r="P1076" s="191" t="inlineStr">
        <is>
          <t>See CVE details</t>
        </is>
      </c>
      <c r="Q1076" s="191" t="inlineStr">
        <is>
          <t>P4</t>
        </is>
      </c>
      <c r="R1076" s="191" t="inlineStr">
        <is>
          <t>📅 Schedule patch deployment within 30 days | 🔍 Monitor for exploitation attempts</t>
        </is>
      </c>
      <c r="S1076" s="191" t="inlineStr">
        <is>
          <t>CVE - IP enrichment n/a</t>
        </is>
      </c>
      <c r="T1076" s="191" t="n">
        <v>0</v>
      </c>
      <c r="U1076" s="191" t="n">
        <v>0</v>
      </c>
      <c r="V1076" s="191" t="inlineStr">
        <is>
          <t>T1189:Drive-by Compromise</t>
        </is>
      </c>
      <c r="W1076" s="191" t="n">
        <v>1</v>
      </c>
      <c r="X1076" s="191" t="inlineStr">
        <is>
          <t>LOW (40%)</t>
        </is>
      </c>
      <c r="Y1076" s="191" t="inlineStr">
        <is>
          <t>UNLIKELY</t>
        </is>
      </c>
      <c r="Z1076" s="191" t="inlineStr">
        <is>
          <t>CHECK_VENDOR</t>
        </is>
      </c>
      <c r="AA1076" s="192" t="inlineStr">
        <is>
          <t>https://nvd.nist.gov/vuln/detail/CVE-2026-27020</t>
        </is>
      </c>
      <c r="AB1076" s="191" t="inlineStr">
        <is>
          <t>NONE</t>
        </is>
      </c>
      <c r="AC1076" s="191" t="n">
        <v>0</v>
      </c>
      <c r="AD1076" s="191" t="n"/>
    </row>
    <row r="1077">
      <c r="A1077" s="189" t="inlineStr">
        <is>
          <t>CVE</t>
        </is>
      </c>
      <c r="B1077" s="189" t="inlineStr">
        <is>
          <t>CVE-2026-27190</t>
        </is>
      </c>
      <c r="C1077" s="189" t="inlineStr">
        <is>
          <t>Deno is a JavaScript, TypeScript, and WebAssembly runtime. Prior to 2.6.8, a command injection vulnerability exists in Deno's node:child_process implementation. This vulnerability is fixed in 2.6.8.</t>
        </is>
      </c>
      <c r="D1077" s="189" t="n">
        <v>8.1</v>
      </c>
      <c r="E1077" s="189" t="inlineStr">
        <is>
          <t>HIGH</t>
        </is>
      </c>
      <c r="F1077" s="189" t="n">
        <v>2</v>
      </c>
      <c r="G1077" s="189" t="n">
        <v>3</v>
      </c>
      <c r="H1077" s="189" t="inlineStr">
        <is>
          <t>HIGH</t>
        </is>
      </c>
      <c r="I1077" s="189" t="n">
        <v>14.1</v>
      </c>
      <c r="J1077" s="189" t="inlineStr">
        <is>
          <t>NO</t>
        </is>
      </c>
      <c r="K1077" s="190" t="inlineStr">
        <is>
          <t>https://nvd.nist.gov/vuln/detail/CVE-2026-27190</t>
        </is>
      </c>
      <c r="L1077" s="189" t="inlineStr">
        <is>
          <t>2026-02-23 23:48</t>
        </is>
      </c>
      <c r="M1077" s="189" t="inlineStr">
        <is>
          <t>CHECK_VENDOR</t>
        </is>
      </c>
      <c r="N1077" s="189" t="inlineStr">
        <is>
          <t>See NVD references</t>
        </is>
      </c>
      <c r="O1077" s="189" t="inlineStr">
        <is>
          <t>Apply vendor patches</t>
        </is>
      </c>
      <c r="P1077" s="189" t="inlineStr">
        <is>
          <t>See CVE details</t>
        </is>
      </c>
      <c r="Q1077" s="189" t="inlineStr">
        <is>
          <t>P3</t>
        </is>
      </c>
      <c r="R1077" s="189" t="inlineStr">
        <is>
          <t>🚨 URGENT: Apply vendor patches immediately | 🔒 Isolate affected systems if patch unavailable | 🛡️ Enable additional monitoring/IDS rules</t>
        </is>
      </c>
      <c r="S1077" s="189" t="inlineStr">
        <is>
          <t>CVE - IP enrichment n/a</t>
        </is>
      </c>
      <c r="T1077" s="189" t="n">
        <v>0</v>
      </c>
      <c r="U1077" s="189" t="n">
        <v>0</v>
      </c>
      <c r="V1077" s="189" t="inlineStr">
        <is>
          <t>T1059:Command and Scripting Interpreter</t>
        </is>
      </c>
      <c r="W1077" s="189" t="n">
        <v>1</v>
      </c>
      <c r="X1077" s="189" t="inlineStr">
        <is>
          <t>LOW (40%)</t>
        </is>
      </c>
      <c r="Y1077" s="189" t="inlineStr">
        <is>
          <t>UNLIKELY</t>
        </is>
      </c>
      <c r="Z1077" s="189" t="inlineStr">
        <is>
          <t>CHECK_VENDOR</t>
        </is>
      </c>
      <c r="AA1077" s="190" t="inlineStr">
        <is>
          <t>https://nvd.nist.gov/vuln/detail/CVE-2026-27190</t>
        </is>
      </c>
      <c r="AB1077" s="189" t="inlineStr">
        <is>
          <t>NONE</t>
        </is>
      </c>
      <c r="AC1077" s="189" t="n">
        <v>0</v>
      </c>
      <c r="AD1077" s="189" t="n"/>
    </row>
    <row r="1078">
      <c r="A1078" s="189" t="inlineStr">
        <is>
          <t>CVE</t>
        </is>
      </c>
      <c r="B1078" s="189" t="inlineStr">
        <is>
          <t>CVE-2026-2856</t>
        </is>
      </c>
      <c r="C1078" s="189" t="inlineStr">
        <is>
          <t>A vulnerability was found in D-Link DWR-M960 1.01.07. Affected by this vulnerability is the function sub_424AFC of the file /boafrm/formFilter of the component Filter Configuration Endpoint. The manipulation of the argument submit-url results in stack-based buffer overflow. The attack may be launched remotely. The exploit has been made public and could be used.</t>
        </is>
      </c>
      <c r="D1078" s="189" t="n">
        <v>8.800000000000001</v>
      </c>
      <c r="E1078" s="189" t="inlineStr">
        <is>
          <t>HIGH</t>
        </is>
      </c>
      <c r="F1078" s="189" t="n">
        <v>2</v>
      </c>
      <c r="G1078" s="189" t="n">
        <v>3</v>
      </c>
      <c r="H1078" s="189" t="inlineStr">
        <is>
          <t>HIGH</t>
        </is>
      </c>
      <c r="I1078" s="189" t="n">
        <v>14.8</v>
      </c>
      <c r="J1078" s="189" t="inlineStr">
        <is>
          <t>NO</t>
        </is>
      </c>
      <c r="K1078" s="190" t="inlineStr">
        <is>
          <t>https://nvd.nist.gov/vuln/detail/CVE-2026-2856</t>
        </is>
      </c>
      <c r="L1078" s="189" t="inlineStr">
        <is>
          <t>2026-02-23 23:48</t>
        </is>
      </c>
      <c r="M1078" s="189" t="inlineStr">
        <is>
          <t>CHECK_VENDOR</t>
        </is>
      </c>
      <c r="N1078" s="189" t="inlineStr">
        <is>
          <t>See NVD references</t>
        </is>
      </c>
      <c r="O1078" s="189" t="inlineStr">
        <is>
          <t>Apply vendor patches</t>
        </is>
      </c>
      <c r="P1078" s="189" t="inlineStr">
        <is>
          <t>dlink dwr-m960 b1 | dlink dwr-m960_firmware 1.01.07</t>
        </is>
      </c>
      <c r="Q1078" s="189" t="inlineStr">
        <is>
          <t>P3</t>
        </is>
      </c>
      <c r="R1078" s="189" t="inlineStr">
        <is>
          <t>🚨 URGENT: Apply vendor patches immediately | 🔒 Isolate affected systems if patch unavailable | 🛡️ Enable additional monitoring/IDS rules</t>
        </is>
      </c>
      <c r="S1078" s="189" t="inlineStr">
        <is>
          <t>CVE - IP enrichment n/a</t>
        </is>
      </c>
      <c r="T1078" s="189" t="n">
        <v>0</v>
      </c>
      <c r="U1078" s="189" t="n">
        <v>0</v>
      </c>
      <c r="V1078" s="189" t="inlineStr">
        <is>
          <t>T1203:Exploitation for Client Execution</t>
        </is>
      </c>
      <c r="W1078" s="189" t="n">
        <v>1</v>
      </c>
      <c r="X1078" s="189" t="inlineStr">
        <is>
          <t>LOW (40%)</t>
        </is>
      </c>
      <c r="Y1078" s="189" t="inlineStr">
        <is>
          <t>UNLIKELY</t>
        </is>
      </c>
      <c r="Z1078" s="189" t="inlineStr">
        <is>
          <t>CHECK_VENDOR</t>
        </is>
      </c>
      <c r="AA1078" s="190" t="inlineStr">
        <is>
          <t>https://nvd.nist.gov/vuln/detail/CVE-2026-2856</t>
        </is>
      </c>
      <c r="AB1078" s="189" t="inlineStr">
        <is>
          <t>NONE</t>
        </is>
      </c>
      <c r="AC1078" s="189" t="n">
        <v>0</v>
      </c>
      <c r="AD1078" s="189" t="n"/>
    </row>
    <row r="1079">
      <c r="A1079" s="189" t="inlineStr">
        <is>
          <t>CVE</t>
        </is>
      </c>
      <c r="B1079" s="189" t="inlineStr">
        <is>
          <t>CVE-2026-2857</t>
        </is>
      </c>
      <c r="C1079" s="189" t="inlineStr">
        <is>
          <t>A vulnerability was determined in D-Link DWR-M960 1.01.07. Affected by this issue is the function sub_423E00 of the file /boafrm/formPortFw of the component Port Forwarding Configuration Endpoint. This manipulation of the argument submit-url causes stack-based buffer overflow. Remote exploitation of the attack is possible. The exploit has been publicly disclosed and may be utilized.</t>
        </is>
      </c>
      <c r="D1079" s="189" t="n">
        <v>8.800000000000001</v>
      </c>
      <c r="E1079" s="189" t="inlineStr">
        <is>
          <t>HIGH</t>
        </is>
      </c>
      <c r="F1079" s="189" t="n">
        <v>2</v>
      </c>
      <c r="G1079" s="189" t="n">
        <v>3</v>
      </c>
      <c r="H1079" s="189" t="inlineStr">
        <is>
          <t>HIGH</t>
        </is>
      </c>
      <c r="I1079" s="189" t="n">
        <v>14.8</v>
      </c>
      <c r="J1079" s="189" t="inlineStr">
        <is>
          <t>NO</t>
        </is>
      </c>
      <c r="K1079" s="190" t="inlineStr">
        <is>
          <t>https://nvd.nist.gov/vuln/detail/CVE-2026-2857</t>
        </is>
      </c>
      <c r="L1079" s="189" t="inlineStr">
        <is>
          <t>2026-02-23 23:48</t>
        </is>
      </c>
      <c r="M1079" s="189" t="inlineStr">
        <is>
          <t>CHECK_VENDOR</t>
        </is>
      </c>
      <c r="N1079" s="189" t="inlineStr">
        <is>
          <t>See NVD references</t>
        </is>
      </c>
      <c r="O1079" s="189" t="inlineStr">
        <is>
          <t>Apply vendor patches</t>
        </is>
      </c>
      <c r="P1079" s="189" t="inlineStr">
        <is>
          <t>dlink dwr-m960 b1 | dlink dwr-m960_firmware 1.01.07</t>
        </is>
      </c>
      <c r="Q1079" s="189" t="inlineStr">
        <is>
          <t>P3</t>
        </is>
      </c>
      <c r="R1079" s="189" t="inlineStr">
        <is>
          <t>🚨 URGENT: Apply vendor patches immediately | 🔒 Isolate affected systems if patch unavailable | 🛡️ Enable additional monitoring/IDS rules</t>
        </is>
      </c>
      <c r="S1079" s="189" t="inlineStr">
        <is>
          <t>CVE - IP enrichment n/a</t>
        </is>
      </c>
      <c r="T1079" s="189" t="n">
        <v>0</v>
      </c>
      <c r="U1079" s="189" t="n">
        <v>0</v>
      </c>
      <c r="V1079" s="189" t="inlineStr">
        <is>
          <t>T1203:Exploitation for Client Execution</t>
        </is>
      </c>
      <c r="W1079" s="189" t="n">
        <v>1</v>
      </c>
      <c r="X1079" s="189" t="inlineStr">
        <is>
          <t>LOW (40%)</t>
        </is>
      </c>
      <c r="Y1079" s="189" t="inlineStr">
        <is>
          <t>UNLIKELY</t>
        </is>
      </c>
      <c r="Z1079" s="189" t="inlineStr">
        <is>
          <t>CHECK_VENDOR</t>
        </is>
      </c>
      <c r="AA1079" s="190" t="inlineStr">
        <is>
          <t>https://nvd.nist.gov/vuln/detail/CVE-2026-2857</t>
        </is>
      </c>
      <c r="AB1079" s="189" t="inlineStr">
        <is>
          <t>NONE</t>
        </is>
      </c>
      <c r="AC1079" s="189" t="n">
        <v>0</v>
      </c>
      <c r="AD1079" s="189" t="n"/>
    </row>
    <row r="1080">
      <c r="A1080" s="189" t="inlineStr">
        <is>
          <t>CVE</t>
        </is>
      </c>
      <c r="B1080" s="189" t="inlineStr">
        <is>
          <t>CVE-2026-0777</t>
        </is>
      </c>
      <c r="C1080" s="189" t="inlineStr">
        <is>
          <t>Xmind Attachment Insufficient UI Warning Remote Code Execution Vulnerability. This vulnerability allows remote attackers to execute arbitrary code on affected installations of Xmind. User interaction is required to exploit this vulnerability in that the target must visit a malicious page or open a malicious file.
The specific flaw exists within the handling of attachments. When opening an attachment, the user interface fails to warn the user of unsafe actions. An attacker can leverage this vuln</t>
        </is>
      </c>
      <c r="D1080" s="189" t="n">
        <v>7.8</v>
      </c>
      <c r="E1080" s="189" t="inlineStr">
        <is>
          <t>HIGH</t>
        </is>
      </c>
      <c r="F1080" s="189" t="n">
        <v>2</v>
      </c>
      <c r="G1080" s="189" t="n">
        <v>3</v>
      </c>
      <c r="H1080" s="189" t="inlineStr">
        <is>
          <t>HIGH</t>
        </is>
      </c>
      <c r="I1080" s="189" t="n">
        <v>13.8</v>
      </c>
      <c r="J1080" s="189" t="inlineStr">
        <is>
          <t>NO</t>
        </is>
      </c>
      <c r="K1080" s="190" t="inlineStr">
        <is>
          <t>https://nvd.nist.gov/vuln/detail/CVE-2026-0777</t>
        </is>
      </c>
      <c r="L1080" s="189" t="inlineStr">
        <is>
          <t>2026-02-23 23:48</t>
        </is>
      </c>
      <c r="M1080" s="189" t="inlineStr">
        <is>
          <t>CHECK_VENDOR</t>
        </is>
      </c>
      <c r="N1080" s="189" t="inlineStr">
        <is>
          <t>See NVD references</t>
        </is>
      </c>
      <c r="O1080" s="189" t="inlineStr">
        <is>
          <t>Apply vendor patches</t>
        </is>
      </c>
      <c r="P1080" s="189" t="inlineStr">
        <is>
          <t>See CVE details</t>
        </is>
      </c>
      <c r="Q1080" s="189" t="inlineStr">
        <is>
          <t>P1</t>
        </is>
      </c>
      <c r="R1080" s="189" t="inlineStr">
        <is>
          <t>🚨 URGENT: Apply vendor patches immediately | 🔒 Isolate affected systems if patch unavailable | 🛡️ Enable additional monitoring/IDS rules</t>
        </is>
      </c>
      <c r="S1080" s="189" t="inlineStr">
        <is>
          <t>CVE - IP enrichment n/a</t>
        </is>
      </c>
      <c r="T1080" s="189" t="n">
        <v>0</v>
      </c>
      <c r="U1080" s="189" t="n">
        <v>0</v>
      </c>
      <c r="V1080" s="189" t="inlineStr">
        <is>
          <t>T1190:Exploit Public-Facing Application | T1210:Exploitation of Remote Services | T1203:Exploitation for Client Execution</t>
        </is>
      </c>
      <c r="W1080" s="189" t="n">
        <v>2</v>
      </c>
      <c r="X1080" s="189" t="inlineStr">
        <is>
          <t>HIGH (72%)</t>
        </is>
      </c>
      <c r="Y1080" s="189" t="inlineStr">
        <is>
          <t>HIGH</t>
        </is>
      </c>
      <c r="Z1080" s="189" t="inlineStr">
        <is>
          <t>CHECK_VENDOR</t>
        </is>
      </c>
      <c r="AA1080" s="190" t="inlineStr">
        <is>
          <t>https://nvd.nist.gov/vuln/detail/CVE-2026-0777</t>
        </is>
      </c>
      <c r="AB1080" s="190" t="inlineStr">
        <is>
          <t>http://www.zerodayinitiative.com/advisories/ZDI-26-123/</t>
        </is>
      </c>
      <c r="AC1080" s="189" t="n">
        <v>0</v>
      </c>
      <c r="AD1080" s="189" t="n"/>
    </row>
    <row r="1081">
      <c r="A1081" s="189" t="inlineStr">
        <is>
          <t>CVE</t>
        </is>
      </c>
      <c r="B1081" s="189" t="inlineStr">
        <is>
          <t>CVE-2026-0797</t>
        </is>
      </c>
      <c r="C1081" s="189" t="inlineStr">
        <is>
          <t>GIMP ICO File Parsing Heap-based Buffer Overflow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ICO files. The issue results from the lack of proper validation of the length of user-supplied data prior to copying it to a heap-</t>
        </is>
      </c>
      <c r="D1081" s="189" t="n">
        <v>7.8</v>
      </c>
      <c r="E1081" s="189" t="inlineStr">
        <is>
          <t>HIGH</t>
        </is>
      </c>
      <c r="F1081" s="189" t="n">
        <v>2</v>
      </c>
      <c r="G1081" s="189" t="n">
        <v>3</v>
      </c>
      <c r="H1081" s="189" t="inlineStr">
        <is>
          <t>HIGH</t>
        </is>
      </c>
      <c r="I1081" s="189" t="n">
        <v>13.8</v>
      </c>
      <c r="J1081" s="189" t="inlineStr">
        <is>
          <t>NO</t>
        </is>
      </c>
      <c r="K1081" s="190" t="inlineStr">
        <is>
          <t>https://nvd.nist.gov/vuln/detail/CVE-2026-0797</t>
        </is>
      </c>
      <c r="L1081" s="189" t="inlineStr">
        <is>
          <t>2026-02-23 23:48</t>
        </is>
      </c>
      <c r="M1081" s="189" t="inlineStr">
        <is>
          <t>CHECK_VENDOR</t>
        </is>
      </c>
      <c r="N1081" s="189" t="inlineStr">
        <is>
          <t>See NVD references</t>
        </is>
      </c>
      <c r="O1081" s="189" t="inlineStr">
        <is>
          <t>Apply vendor patches</t>
        </is>
      </c>
      <c r="P1081" s="189" t="inlineStr">
        <is>
          <t>See CVE details</t>
        </is>
      </c>
      <c r="Q1081" s="189" t="inlineStr">
        <is>
          <t>P2</t>
        </is>
      </c>
      <c r="R1081" s="189" t="inlineStr">
        <is>
          <t>🚨 URGENT: Apply vendor patches immediately | 🔒 Isolate affected systems if patch unavailable | 🛡️ Enable additional monitoring/IDS rules</t>
        </is>
      </c>
      <c r="S1081" s="189" t="inlineStr">
        <is>
          <t>CVE - IP enrichment n/a</t>
        </is>
      </c>
      <c r="T1081" s="189" t="n">
        <v>0</v>
      </c>
      <c r="U1081" s="189" t="n">
        <v>0</v>
      </c>
      <c r="V1081" s="189" t="inlineStr">
        <is>
          <t>T1190:Exploit Public-Facing Application | T1210:Exploitation of Remote Services | T1203:Exploitation for Client Execution</t>
        </is>
      </c>
      <c r="W1081" s="189" t="n">
        <v>3</v>
      </c>
      <c r="X1081" s="189" t="inlineStr">
        <is>
          <t>HIGH (85%)</t>
        </is>
      </c>
      <c r="Y1081" s="189" t="inlineStr">
        <is>
          <t>HIGH</t>
        </is>
      </c>
      <c r="Z1081" s="189" t="inlineStr">
        <is>
          <t>CHECK_VENDOR</t>
        </is>
      </c>
      <c r="AA1081" s="190" t="inlineStr">
        <is>
          <t>https://nvd.nist.gov/vuln/detail/CVE-2026-0797</t>
        </is>
      </c>
      <c r="AB1081" s="189" t="inlineStr">
        <is>
          <t>NONE</t>
        </is>
      </c>
      <c r="AC1081" s="189" t="n">
        <v>0</v>
      </c>
      <c r="AD1081" s="189" t="n"/>
    </row>
    <row r="1082">
      <c r="A1082" s="191" t="inlineStr">
        <is>
          <t>CVE</t>
        </is>
      </c>
      <c r="B1082" s="191" t="inlineStr">
        <is>
          <t>CVE-2026-27022</t>
        </is>
      </c>
      <c r="C1082" s="191" t="inlineStr">
        <is>
          <t>@langchain/langgraph-checkpoint-redis is the Redis checkpoint and store implementation for LangGraph. A query injection vulnerability exists in the @langchain/langgraph-checkpoint-redis package's filter handling. The RedisSaver and ShallowRedisSaver classes construct RediSearch queries by directly interpolating user-provided filter keys and values without proper escaping. RediSearch has special syntax characters that can modify query behavior, and when user-controlled data contains these charact</t>
        </is>
      </c>
      <c r="D1082" s="191" t="n">
        <v>6.5</v>
      </c>
      <c r="E1082" s="191" t="inlineStr">
        <is>
          <t>MEDIUM</t>
        </is>
      </c>
      <c r="F1082" s="191" t="n">
        <v>2</v>
      </c>
      <c r="G1082" s="191" t="n">
        <v>2</v>
      </c>
      <c r="H1082" s="191" t="inlineStr">
        <is>
          <t>MEDIUM</t>
        </is>
      </c>
      <c r="I1082" s="191" t="n">
        <v>10.5</v>
      </c>
      <c r="J1082" s="191" t="inlineStr">
        <is>
          <t>NO</t>
        </is>
      </c>
      <c r="K1082" s="192" t="inlineStr">
        <is>
          <t>https://nvd.nist.gov/vuln/detail/CVE-2026-27022</t>
        </is>
      </c>
      <c r="L1082" s="191" t="inlineStr">
        <is>
          <t>2026-02-23 23:48</t>
        </is>
      </c>
      <c r="M1082" s="191" t="inlineStr">
        <is>
          <t>CHECK_VENDOR</t>
        </is>
      </c>
      <c r="N1082" s="191" t="inlineStr">
        <is>
          <t>See NVD references</t>
        </is>
      </c>
      <c r="O1082" s="191" t="inlineStr">
        <is>
          <t>Apply vendor patches</t>
        </is>
      </c>
      <c r="P1082" s="191" t="inlineStr">
        <is>
          <t>See CVE details</t>
        </is>
      </c>
      <c r="Q1082" s="191" t="inlineStr">
        <is>
          <t>P4</t>
        </is>
      </c>
      <c r="R1082" s="191" t="inlineStr">
        <is>
          <t>📅 Schedule patch deployment within 30 days | 🔍 Monitor for exploitation attempts</t>
        </is>
      </c>
      <c r="S1082" s="191" t="inlineStr">
        <is>
          <t>CVE - IP enrichment n/a</t>
        </is>
      </c>
      <c r="T1082" s="191" t="n">
        <v>0.0003</v>
      </c>
      <c r="U1082" s="191" t="n">
        <v>0.0906</v>
      </c>
      <c r="V1082" s="191" t="inlineStr">
        <is>
          <t>T1190:Exploit Public-Facing Application</t>
        </is>
      </c>
      <c r="W1082" s="191" t="n">
        <v>1</v>
      </c>
      <c r="X1082" s="191" t="inlineStr">
        <is>
          <t>LOW (40%)</t>
        </is>
      </c>
      <c r="Y1082" s="191" t="inlineStr">
        <is>
          <t>UNLIKELY</t>
        </is>
      </c>
      <c r="Z1082" s="191" t="inlineStr">
        <is>
          <t>CHECK_VENDOR</t>
        </is>
      </c>
      <c r="AA1082" s="192" t="inlineStr">
        <is>
          <t>https://nvd.nist.gov/vuln/detail/CVE-2026-27022</t>
        </is>
      </c>
      <c r="AB1082" s="191" t="inlineStr">
        <is>
          <t>NONE</t>
        </is>
      </c>
      <c r="AC1082" s="191" t="n">
        <v>0</v>
      </c>
      <c r="AD1082" s="191" t="n"/>
    </row>
    <row r="1083">
      <c r="A1083" s="189" t="inlineStr">
        <is>
          <t>CVE</t>
        </is>
      </c>
      <c r="B1083" s="189" t="inlineStr">
        <is>
          <t>CVE-2026-27024</t>
        </is>
      </c>
      <c r="C1083" s="189" t="inlineStr">
        <is>
          <t>pypdf is a free and open-source pure-python PDF library. Prior to 6.7.1, an attacker who uses this vulnerability can craft a PDF which leads to an infinite loop. This requires accessing the children of a TreeObject, for example as part of outlines. This vulnerability is fixed in 6.7.1.</t>
        </is>
      </c>
      <c r="D1083" s="189" t="n">
        <v>8.5</v>
      </c>
      <c r="E1083" s="189" t="inlineStr">
        <is>
          <t>HIGH</t>
        </is>
      </c>
      <c r="F1083" s="189" t="n">
        <v>2</v>
      </c>
      <c r="G1083" s="189" t="n">
        <v>3</v>
      </c>
      <c r="H1083" s="189" t="inlineStr">
        <is>
          <t>HIGH</t>
        </is>
      </c>
      <c r="I1083" s="189" t="n">
        <v>14.5</v>
      </c>
      <c r="J1083" s="189" t="inlineStr">
        <is>
          <t>NO</t>
        </is>
      </c>
      <c r="K1083" s="190" t="inlineStr">
        <is>
          <t>https://nvd.nist.gov/vuln/detail/CVE-2026-27024</t>
        </is>
      </c>
      <c r="L1083" s="189" t="inlineStr">
        <is>
          <t>2026-02-23 23:48</t>
        </is>
      </c>
      <c r="M1083" s="189" t="inlineStr">
        <is>
          <t>CHECK_VENDOR</t>
        </is>
      </c>
      <c r="N1083" s="189" t="inlineStr">
        <is>
          <t>See NVD references</t>
        </is>
      </c>
      <c r="O1083" s="189" t="inlineStr">
        <is>
          <t>Apply vendor patches</t>
        </is>
      </c>
      <c r="P1083" s="189" t="inlineStr">
        <is>
          <t>See CVE details</t>
        </is>
      </c>
      <c r="Q1083" s="189" t="inlineStr">
        <is>
          <t>P3</t>
        </is>
      </c>
      <c r="R1083" s="189" t="inlineStr">
        <is>
          <t>🚨 URGENT: Apply vendor patches immediately | 🔒 Isolate affected systems if patch unavailable | 🛡️ Enable additional monitoring/IDS rules</t>
        </is>
      </c>
      <c r="S1083" s="189" t="inlineStr">
        <is>
          <t>CVE - IP enrichment n/a</t>
        </is>
      </c>
      <c r="T1083" s="189" t="n">
        <v>0</v>
      </c>
      <c r="U1083" s="189" t="n">
        <v>0</v>
      </c>
      <c r="V1083" s="189" t="inlineStr">
        <is>
          <t>T1190:Exploit Public-Facing Application</t>
        </is>
      </c>
      <c r="W1083" s="189" t="n">
        <v>2</v>
      </c>
      <c r="X1083" s="189" t="inlineStr">
        <is>
          <t>MEDIUM (52%)</t>
        </is>
      </c>
      <c r="Y1083" s="189" t="inlineStr">
        <is>
          <t>UNLIKELY</t>
        </is>
      </c>
      <c r="Z1083" s="189" t="inlineStr">
        <is>
          <t>CHECK_VENDOR</t>
        </is>
      </c>
      <c r="AA1083" s="190" t="inlineStr">
        <is>
          <t>https://nvd.nist.gov/vuln/detail/CVE-2026-27024</t>
        </is>
      </c>
      <c r="AB1083" s="189" t="inlineStr">
        <is>
          <t>NONE</t>
        </is>
      </c>
      <c r="AC1083" s="189" t="n">
        <v>0</v>
      </c>
      <c r="AD1083" s="189" t="n"/>
    </row>
    <row r="1084">
      <c r="A1084" s="189" t="inlineStr">
        <is>
          <t>CVE</t>
        </is>
      </c>
      <c r="B1084" s="189" t="inlineStr">
        <is>
          <t>CVE-2026-27025</t>
        </is>
      </c>
      <c r="C1084" s="189" t="inlineStr">
        <is>
          <t>pypdf is a free and open-source pure-python PDF library. Prior to 6.7.1, an attacker who uses this vulnerability can craft a PDF which leads to long runtimes and large memory consumption. This requires parsing the /ToUnicode entry of a font with unusually large values, for example during text extraction. This vulnerability is fixed in 6.7.1.</t>
        </is>
      </c>
      <c r="D1084" s="189" t="n">
        <v>8.5</v>
      </c>
      <c r="E1084" s="189" t="inlineStr">
        <is>
          <t>HIGH</t>
        </is>
      </c>
      <c r="F1084" s="189" t="n">
        <v>2</v>
      </c>
      <c r="G1084" s="189" t="n">
        <v>3</v>
      </c>
      <c r="H1084" s="189" t="inlineStr">
        <is>
          <t>HIGH</t>
        </is>
      </c>
      <c r="I1084" s="189" t="n">
        <v>14.5</v>
      </c>
      <c r="J1084" s="189" t="inlineStr">
        <is>
          <t>NO</t>
        </is>
      </c>
      <c r="K1084" s="190" t="inlineStr">
        <is>
          <t>https://nvd.nist.gov/vuln/detail/CVE-2026-27025</t>
        </is>
      </c>
      <c r="L1084" s="189" t="inlineStr">
        <is>
          <t>2026-02-23 23:48</t>
        </is>
      </c>
      <c r="M1084" s="189" t="inlineStr">
        <is>
          <t>CHECK_VENDOR</t>
        </is>
      </c>
      <c r="N1084" s="189" t="inlineStr">
        <is>
          <t>See NVD references</t>
        </is>
      </c>
      <c r="O1084" s="189" t="inlineStr">
        <is>
          <t>Apply vendor patches</t>
        </is>
      </c>
      <c r="P1084" s="189" t="inlineStr">
        <is>
          <t>See CVE details</t>
        </is>
      </c>
      <c r="Q1084" s="189" t="inlineStr">
        <is>
          <t>P3</t>
        </is>
      </c>
      <c r="R1084" s="189" t="inlineStr">
        <is>
          <t>🚨 URGENT: Apply vendor patches immediately | 🔒 Isolate affected systems if patch unavailable | 🛡️ Enable additional monitoring/IDS rules</t>
        </is>
      </c>
      <c r="S1084" s="189" t="inlineStr">
        <is>
          <t>CVE - IP enrichment n/a</t>
        </is>
      </c>
      <c r="T1084" s="189" t="n">
        <v>0</v>
      </c>
      <c r="U1084" s="189" t="n">
        <v>0</v>
      </c>
      <c r="V1084" s="189" t="inlineStr">
        <is>
          <t>T1190:Exploit Public-Facing Application</t>
        </is>
      </c>
      <c r="W1084" s="189" t="n">
        <v>2</v>
      </c>
      <c r="X1084" s="189" t="inlineStr">
        <is>
          <t>MEDIUM (52%)</t>
        </is>
      </c>
      <c r="Y1084" s="189" t="inlineStr">
        <is>
          <t>UNLIKELY</t>
        </is>
      </c>
      <c r="Z1084" s="189" t="inlineStr">
        <is>
          <t>CHECK_VENDOR</t>
        </is>
      </c>
      <c r="AA1084" s="190" t="inlineStr">
        <is>
          <t>https://nvd.nist.gov/vuln/detail/CVE-2026-27025</t>
        </is>
      </c>
      <c r="AB1084" s="189" t="inlineStr">
        <is>
          <t>NONE</t>
        </is>
      </c>
      <c r="AC1084" s="189" t="n">
        <v>0</v>
      </c>
      <c r="AD1084" s="189" t="n"/>
    </row>
    <row r="1085">
      <c r="A1085" s="189" t="inlineStr">
        <is>
          <t>CVE</t>
        </is>
      </c>
      <c r="B1085" s="189" t="inlineStr">
        <is>
          <t>CVE-2026-27026</t>
        </is>
      </c>
      <c r="C1085" s="189" t="inlineStr">
        <is>
          <t>pypdf is a free and open-source pure-python PDF library. Prior to 6.7.1, an attacker who uses this vulnerability can craft a PDF which leads to long runtimes. This requires a malformed /FlateDecode stream, where the byte-by-byte decompression is used. This vulnerability is fixed in 6.7.1.</t>
        </is>
      </c>
      <c r="D1085" s="189" t="n">
        <v>8.5</v>
      </c>
      <c r="E1085" s="189" t="inlineStr">
        <is>
          <t>HIGH</t>
        </is>
      </c>
      <c r="F1085" s="189" t="n">
        <v>2</v>
      </c>
      <c r="G1085" s="189" t="n">
        <v>3</v>
      </c>
      <c r="H1085" s="189" t="inlineStr">
        <is>
          <t>HIGH</t>
        </is>
      </c>
      <c r="I1085" s="189" t="n">
        <v>14.5</v>
      </c>
      <c r="J1085" s="189" t="inlineStr">
        <is>
          <t>NO</t>
        </is>
      </c>
      <c r="K1085" s="190" t="inlineStr">
        <is>
          <t>https://nvd.nist.gov/vuln/detail/CVE-2026-27026</t>
        </is>
      </c>
      <c r="L1085" s="189" t="inlineStr">
        <is>
          <t>2026-02-23 23:48</t>
        </is>
      </c>
      <c r="M1085" s="189" t="inlineStr">
        <is>
          <t>CHECK_VENDOR</t>
        </is>
      </c>
      <c r="N1085" s="189" t="inlineStr">
        <is>
          <t>See NVD references</t>
        </is>
      </c>
      <c r="O1085" s="189" t="inlineStr">
        <is>
          <t>Apply vendor patches</t>
        </is>
      </c>
      <c r="P1085" s="189" t="inlineStr">
        <is>
          <t>See CVE details</t>
        </is>
      </c>
      <c r="Q1085" s="189" t="inlineStr">
        <is>
          <t>P3</t>
        </is>
      </c>
      <c r="R1085" s="189" t="inlineStr">
        <is>
          <t>🚨 URGENT: Apply vendor patches immediately | 🔒 Isolate affected systems if patch unavailable | 🛡️ Enable additional monitoring/IDS rules</t>
        </is>
      </c>
      <c r="S1085" s="189" t="inlineStr">
        <is>
          <t>CVE - IP enrichment n/a</t>
        </is>
      </c>
      <c r="T1085" s="189" t="n">
        <v>0</v>
      </c>
      <c r="U1085" s="189" t="n">
        <v>0</v>
      </c>
      <c r="V1085" s="189" t="inlineStr">
        <is>
          <t>T1190:Exploit Public-Facing Application</t>
        </is>
      </c>
      <c r="W1085" s="189" t="n">
        <v>2</v>
      </c>
      <c r="X1085" s="189" t="inlineStr">
        <is>
          <t>MEDIUM (52%)</t>
        </is>
      </c>
      <c r="Y1085" s="189" t="inlineStr">
        <is>
          <t>UNLIKELY</t>
        </is>
      </c>
      <c r="Z1085" s="189" t="inlineStr">
        <is>
          <t>CHECK_VENDOR</t>
        </is>
      </c>
      <c r="AA1085" s="190" t="inlineStr">
        <is>
          <t>https://nvd.nist.gov/vuln/detail/CVE-2026-27026</t>
        </is>
      </c>
      <c r="AB1085" s="189" t="inlineStr">
        <is>
          <t>NONE</t>
        </is>
      </c>
      <c r="AC1085" s="189" t="n">
        <v>0</v>
      </c>
      <c r="AD1085" s="189" t="n"/>
    </row>
    <row r="1086">
      <c r="A1086" s="189" t="inlineStr">
        <is>
          <t>CVE</t>
        </is>
      </c>
      <c r="B1086" s="189" t="inlineStr">
        <is>
          <t>CVE-2026-27111</t>
        </is>
      </c>
      <c r="C1086" s="189" t="inlineStr">
        <is>
          <t>Kargo manages and automates the promotion of software artifacts. From v1.9.0 to v1.9.2, Kargo's authorization model includes a promote verb -- a non-standard Kubernetes "dolphin verb" -- that gates the ability to advance Freight through a promotion pipeline. This verb exists to separate the ability to manage promotion-related resources from the ability to trigger promotions, enabling fine-grained access control over what is often a sensitive operation. The promote verb is correctly enforced in K</t>
        </is>
      </c>
      <c r="D1086" s="189" t="n">
        <v>8.5</v>
      </c>
      <c r="E1086" s="189" t="inlineStr">
        <is>
          <t>HIGH</t>
        </is>
      </c>
      <c r="F1086" s="189" t="n">
        <v>2</v>
      </c>
      <c r="G1086" s="189" t="n">
        <v>3</v>
      </c>
      <c r="H1086" s="189" t="inlineStr">
        <is>
          <t>HIGH</t>
        </is>
      </c>
      <c r="I1086" s="189" t="n">
        <v>14.5</v>
      </c>
      <c r="J1086" s="189" t="inlineStr">
        <is>
          <t>NO</t>
        </is>
      </c>
      <c r="K1086" s="190" t="inlineStr">
        <is>
          <t>https://nvd.nist.gov/vuln/detail/CVE-2026-27111</t>
        </is>
      </c>
      <c r="L1086" s="189" t="inlineStr">
        <is>
          <t>2026-02-23 23:48</t>
        </is>
      </c>
      <c r="M1086" s="189" t="inlineStr">
        <is>
          <t>CHECK_VENDOR</t>
        </is>
      </c>
      <c r="N1086" s="189" t="inlineStr">
        <is>
          <t>See NVD references</t>
        </is>
      </c>
      <c r="O1086" s="189" t="inlineStr">
        <is>
          <t>Apply vendor patches</t>
        </is>
      </c>
      <c r="P1086" s="189" t="inlineStr">
        <is>
          <t>See CVE details</t>
        </is>
      </c>
      <c r="Q1086" s="189" t="inlineStr">
        <is>
          <t>P3</t>
        </is>
      </c>
      <c r="R1086" s="189" t="inlineStr">
        <is>
          <t>🚨 URGENT: Apply vendor patches immediately | 🔒 Isolate affected systems if patch unavailable | 🛡️ Enable additional monitoring/IDS rules</t>
        </is>
      </c>
      <c r="S1086" s="189" t="inlineStr">
        <is>
          <t>CVE - IP enrichment n/a</t>
        </is>
      </c>
      <c r="T1086" s="189" t="n">
        <v>0</v>
      </c>
      <c r="U1086" s="189" t="n">
        <v>0</v>
      </c>
      <c r="V1086" s="189" t="inlineStr">
        <is>
          <t>T1190:Exploit Public-Facing Application</t>
        </is>
      </c>
      <c r="W1086" s="189" t="n">
        <v>1</v>
      </c>
      <c r="X1086" s="189" t="inlineStr">
        <is>
          <t>LOW (40%)</t>
        </is>
      </c>
      <c r="Y1086" s="189" t="inlineStr">
        <is>
          <t>UNLIKELY</t>
        </is>
      </c>
      <c r="Z1086" s="189" t="inlineStr">
        <is>
          <t>CHECK_VENDOR</t>
        </is>
      </c>
      <c r="AA1086" s="190" t="inlineStr">
        <is>
          <t>https://nvd.nist.gov/vuln/detail/CVE-2026-27111</t>
        </is>
      </c>
      <c r="AB1086" s="189" t="inlineStr">
        <is>
          <t>NONE</t>
        </is>
      </c>
      <c r="AC1086" s="189" t="n">
        <v>0</v>
      </c>
      <c r="AD1086" s="189" t="n"/>
    </row>
    <row r="1087">
      <c r="A1087" s="189" t="inlineStr">
        <is>
          <t>CVE</t>
        </is>
      </c>
      <c r="B1087" s="189" t="inlineStr">
        <is>
          <t>CVE-2026-27112</t>
        </is>
      </c>
      <c r="C1087" s="189" t="inlineStr">
        <is>
          <t xml:space="preserve">Kargo manages and automates the promotion of software artifacts. From 1.7.0 to before v1.7.8, v1.8.11, and v1.9.3, the batch resource creation endpoints of both Kargo's legacy gRPC API and newer REST API accept multi-document YAML payloads. Specially crafted payloads can manifest a bug present in the logic of both endpoints to inject arbitrary resources (of specific types only) into the underlying namespace of an existing Project using the API server's own permissions when that behavior was not </t>
        </is>
      </c>
      <c r="D1087" s="189" t="n">
        <v>8.5</v>
      </c>
      <c r="E1087" s="189" t="inlineStr">
        <is>
          <t>HIGH</t>
        </is>
      </c>
      <c r="F1087" s="189" t="n">
        <v>2</v>
      </c>
      <c r="G1087" s="189" t="n">
        <v>3</v>
      </c>
      <c r="H1087" s="189" t="inlineStr">
        <is>
          <t>HIGH</t>
        </is>
      </c>
      <c r="I1087" s="189" t="n">
        <v>14.5</v>
      </c>
      <c r="J1087" s="189" t="inlineStr">
        <is>
          <t>NO</t>
        </is>
      </c>
      <c r="K1087" s="190" t="inlineStr">
        <is>
          <t>https://nvd.nist.gov/vuln/detail/CVE-2026-27112</t>
        </is>
      </c>
      <c r="L1087" s="189" t="inlineStr">
        <is>
          <t>2026-02-23 23:48</t>
        </is>
      </c>
      <c r="M1087" s="189" t="inlineStr">
        <is>
          <t>CHECK_VENDOR</t>
        </is>
      </c>
      <c r="N1087" s="189" t="inlineStr">
        <is>
          <t>See NVD references</t>
        </is>
      </c>
      <c r="O1087" s="189" t="inlineStr">
        <is>
          <t>Apply vendor patches</t>
        </is>
      </c>
      <c r="P1087" s="189" t="inlineStr">
        <is>
          <t>See CVE details</t>
        </is>
      </c>
      <c r="Q1087" s="189" t="inlineStr">
        <is>
          <t>P3</t>
        </is>
      </c>
      <c r="R1087" s="189" t="inlineStr">
        <is>
          <t>🚨 URGENT: Apply vendor patches immediately | 🔒 Isolate affected systems if patch unavailable | 🛡️ Enable additional monitoring/IDS rules</t>
        </is>
      </c>
      <c r="S1087" s="189" t="inlineStr">
        <is>
          <t>CVE - IP enrichment n/a</t>
        </is>
      </c>
      <c r="T1087" s="189" t="n">
        <v>0</v>
      </c>
      <c r="U1087" s="189" t="n">
        <v>0</v>
      </c>
      <c r="V1087" s="189" t="inlineStr">
        <is>
          <t>T1190:Exploit Public-Facing Application | T1210:Exploitation of Remote Services | T1552:Unsecured Credentials</t>
        </is>
      </c>
      <c r="W1087" s="189" t="n">
        <v>1</v>
      </c>
      <c r="X1087" s="189" t="inlineStr">
        <is>
          <t>LOW (40%)</t>
        </is>
      </c>
      <c r="Y1087" s="189" t="inlineStr">
        <is>
          <t>UNLIKELY</t>
        </is>
      </c>
      <c r="Z1087" s="189" t="inlineStr">
        <is>
          <t>CHECK_VENDOR</t>
        </is>
      </c>
      <c r="AA1087" s="190" t="inlineStr">
        <is>
          <t>https://nvd.nist.gov/vuln/detail/CVE-2026-27112</t>
        </is>
      </c>
      <c r="AB1087" s="189" t="inlineStr">
        <is>
          <t>NONE</t>
        </is>
      </c>
      <c r="AC1087" s="189" t="n">
        <v>0</v>
      </c>
      <c r="AD1087" s="189" t="n"/>
    </row>
    <row r="1088">
      <c r="A1088" s="191" t="inlineStr">
        <is>
          <t>CVE</t>
        </is>
      </c>
      <c r="B1088" s="191" t="inlineStr">
        <is>
          <t>CVE-2026-27113</t>
        </is>
      </c>
      <c r="C1088" s="191" t="inlineStr">
        <is>
          <t>Liquid Prompt is an adaptive prompt for Bash and Zsh. Starting in commit cf3441250bb5d8b45f6f8b389fcdf427a99ac28a and prior to commit a4f6b8d8c90b3eaa33d13dfd1093062ab9c4b30c on the master branch, arbitrary command injection can lead to code execution when a user enters a directory in a Git repository containing a crafted branch name. Exploitation requires the LP_ENABLE_GITSTATUSD config option to be enabled (enabled by default), gitstatusd to be installed and started before Liquid Prompt is loa</t>
        </is>
      </c>
      <c r="D1088" s="191" t="n">
        <v>6.3</v>
      </c>
      <c r="E1088" s="191" t="inlineStr">
        <is>
          <t>MEDIUM</t>
        </is>
      </c>
      <c r="F1088" s="191" t="n">
        <v>2</v>
      </c>
      <c r="G1088" s="191" t="n">
        <v>2</v>
      </c>
      <c r="H1088" s="191" t="inlineStr">
        <is>
          <t>MEDIUM</t>
        </is>
      </c>
      <c r="I1088" s="191" t="n">
        <v>10.3</v>
      </c>
      <c r="J1088" s="191" t="inlineStr">
        <is>
          <t>NO</t>
        </is>
      </c>
      <c r="K1088" s="192" t="inlineStr">
        <is>
          <t>https://nvd.nist.gov/vuln/detail/CVE-2026-27113</t>
        </is>
      </c>
      <c r="L1088" s="191" t="inlineStr">
        <is>
          <t>2026-02-23 23:48</t>
        </is>
      </c>
      <c r="M1088" s="191" t="inlineStr">
        <is>
          <t>CHECK_VENDOR</t>
        </is>
      </c>
      <c r="N1088" s="191" t="inlineStr">
        <is>
          <t>See NVD references</t>
        </is>
      </c>
      <c r="O1088" s="191" t="inlineStr">
        <is>
          <t>Apply vendor patches</t>
        </is>
      </c>
      <c r="P1088" s="191" t="inlineStr">
        <is>
          <t>See CVE details</t>
        </is>
      </c>
      <c r="Q1088" s="191" t="inlineStr">
        <is>
          <t>P4</t>
        </is>
      </c>
      <c r="R1088" s="191" t="inlineStr">
        <is>
          <t>📅 Schedule patch deployment within 30 days | 🔍 Monitor for exploitation attempts</t>
        </is>
      </c>
      <c r="S1088" s="191" t="inlineStr">
        <is>
          <t>CVE - IP enrichment n/a</t>
        </is>
      </c>
      <c r="T1088" s="191" t="n">
        <v>0.0003</v>
      </c>
      <c r="U1088" s="191" t="n">
        <v>0.0946</v>
      </c>
      <c r="V1088" s="191" t="inlineStr">
        <is>
          <t>T1059:Command and Scripting Interpreter</t>
        </is>
      </c>
      <c r="W1088" s="191" t="n">
        <v>1</v>
      </c>
      <c r="X1088" s="191" t="inlineStr">
        <is>
          <t>LOW (40%)</t>
        </is>
      </c>
      <c r="Y1088" s="191" t="inlineStr">
        <is>
          <t>UNLIKELY</t>
        </is>
      </c>
      <c r="Z1088" s="191" t="inlineStr">
        <is>
          <t>CHECK_VENDOR</t>
        </is>
      </c>
      <c r="AA1088" s="192" t="inlineStr">
        <is>
          <t>https://nvd.nist.gov/vuln/detail/CVE-2026-27113</t>
        </is>
      </c>
      <c r="AB1088" s="191" t="inlineStr">
        <is>
          <t>NONE</t>
        </is>
      </c>
      <c r="AC1088" s="191" t="n">
        <v>0</v>
      </c>
      <c r="AD1088" s="191" t="n"/>
    </row>
    <row r="1089">
      <c r="A1089" s="189" t="inlineStr">
        <is>
          <t>CVE</t>
        </is>
      </c>
      <c r="B1089" s="189" t="inlineStr">
        <is>
          <t>CVE-2026-27118</t>
        </is>
      </c>
      <c r="C1089" s="189" t="inlineStr">
        <is>
          <t>SvelteKit is a framework for rapidly developing robust, performant web applications using Svelte. Versions of @sveltejs/adapter-vercel prior to 6.3.2 are vulnerable to cache poisoning. An internal query parameter intended for Incremental Static Regeneration (ISR) is accessible on all routes, allowing an attacker to cause sensitive user-specific responses to be cached and served to other users. Successful exploitation requires a victim to visit an attacker-controlled link while authenticated. Exi</t>
        </is>
      </c>
      <c r="D1089" s="189" t="n">
        <v>8.5</v>
      </c>
      <c r="E1089" s="189" t="inlineStr">
        <is>
          <t>HIGH</t>
        </is>
      </c>
      <c r="F1089" s="189" t="n">
        <v>2</v>
      </c>
      <c r="G1089" s="189" t="n">
        <v>3</v>
      </c>
      <c r="H1089" s="189" t="inlineStr">
        <is>
          <t>HIGH</t>
        </is>
      </c>
      <c r="I1089" s="189" t="n">
        <v>14.5</v>
      </c>
      <c r="J1089" s="189" t="inlineStr">
        <is>
          <t>NO</t>
        </is>
      </c>
      <c r="K1089" s="190" t="inlineStr">
        <is>
          <t>https://nvd.nist.gov/vuln/detail/CVE-2026-27118</t>
        </is>
      </c>
      <c r="L1089" s="189" t="inlineStr">
        <is>
          <t>2026-02-23 23:48</t>
        </is>
      </c>
      <c r="M1089" s="189" t="inlineStr">
        <is>
          <t>CHECK_VENDOR</t>
        </is>
      </c>
      <c r="N1089" s="189" t="inlineStr">
        <is>
          <t>See NVD references</t>
        </is>
      </c>
      <c r="O1089" s="189" t="inlineStr">
        <is>
          <t>Apply vendor patches</t>
        </is>
      </c>
      <c r="P1089" s="189" t="inlineStr">
        <is>
          <t>See CVE details</t>
        </is>
      </c>
      <c r="Q1089" s="189" t="inlineStr">
        <is>
          <t>P3</t>
        </is>
      </c>
      <c r="R1089" s="189" t="inlineStr">
        <is>
          <t>🚨 URGENT: Apply vendor patches immediately | 🔒 Isolate affected systems if patch unavailable | 🛡️ Enable additional monitoring/IDS rules</t>
        </is>
      </c>
      <c r="S1089" s="189" t="inlineStr">
        <is>
          <t>CVE - IP enrichment n/a</t>
        </is>
      </c>
      <c r="T1089" s="189" t="n">
        <v>0</v>
      </c>
      <c r="U1089" s="189" t="n">
        <v>0</v>
      </c>
      <c r="V1089" s="189" t="inlineStr">
        <is>
          <t>T1190:Exploit Public-Facing Application</t>
        </is>
      </c>
      <c r="W1089" s="189" t="n">
        <v>1</v>
      </c>
      <c r="X1089" s="189" t="inlineStr">
        <is>
          <t>LOW (40%)</t>
        </is>
      </c>
      <c r="Y1089" s="189" t="inlineStr">
        <is>
          <t>UNLIKELY</t>
        </is>
      </c>
      <c r="Z1089" s="189" t="inlineStr">
        <is>
          <t>CHECK_VENDOR</t>
        </is>
      </c>
      <c r="AA1089" s="190" t="inlineStr">
        <is>
          <t>https://nvd.nist.gov/vuln/detail/CVE-2026-27118</t>
        </is>
      </c>
      <c r="AB1089" s="189" t="inlineStr">
        <is>
          <t>NONE</t>
        </is>
      </c>
      <c r="AC1089" s="189" t="n">
        <v>0</v>
      </c>
      <c r="AD1089" s="189" t="n"/>
    </row>
    <row r="1090">
      <c r="A1090" s="191" t="inlineStr">
        <is>
          <t>CVE</t>
        </is>
      </c>
      <c r="B1090" s="191" t="inlineStr">
        <is>
          <t>CVE-2026-27120</t>
        </is>
      </c>
      <c r="C1090" s="191" t="inlineStr">
        <is>
          <t>Leafkit is a templating language with Swift-inspired syntax. Prior to 1.4.1, htmlEscaped in leaf-kit will only escape html special characters if the extended grapheme clusters match, which allows bypassing escaping by using an extended grapheme cluster containing both the special html character and some additional characters. In the case of html attributes, this can lead to XSS if there is a leaf variable in the attribute that is user controlled. This vulnerability is fixed in 1.4.1.</t>
        </is>
      </c>
      <c r="D1090" s="191" t="n">
        <v>6.1</v>
      </c>
      <c r="E1090" s="191" t="inlineStr">
        <is>
          <t>MEDIUM</t>
        </is>
      </c>
      <c r="F1090" s="191" t="n">
        <v>2</v>
      </c>
      <c r="G1090" s="191" t="n">
        <v>2</v>
      </c>
      <c r="H1090" s="191" t="inlineStr">
        <is>
          <t>MEDIUM</t>
        </is>
      </c>
      <c r="I1090" s="191" t="n">
        <v>10.1</v>
      </c>
      <c r="J1090" s="191" t="inlineStr">
        <is>
          <t>NO</t>
        </is>
      </c>
      <c r="K1090" s="192" t="inlineStr">
        <is>
          <t>https://nvd.nist.gov/vuln/detail/CVE-2026-27120</t>
        </is>
      </c>
      <c r="L1090" s="191" t="inlineStr">
        <is>
          <t>2026-02-23 23:48</t>
        </is>
      </c>
      <c r="M1090" s="191" t="inlineStr">
        <is>
          <t>CHECK_VENDOR</t>
        </is>
      </c>
      <c r="N1090" s="191" t="inlineStr">
        <is>
          <t>See NVD references</t>
        </is>
      </c>
      <c r="O1090" s="191" t="inlineStr">
        <is>
          <t>Apply vendor patches</t>
        </is>
      </c>
      <c r="P1090" s="191" t="inlineStr">
        <is>
          <t>See CVE details</t>
        </is>
      </c>
      <c r="Q1090" s="191" t="inlineStr">
        <is>
          <t>P4</t>
        </is>
      </c>
      <c r="R1090" s="191" t="inlineStr">
        <is>
          <t>📅 Schedule patch deployment within 30 days | 🔍 Monitor for exploitation attempts</t>
        </is>
      </c>
      <c r="S1090" s="191" t="inlineStr">
        <is>
          <t>CVE - IP enrichment n/a</t>
        </is>
      </c>
      <c r="T1090" s="191" t="n">
        <v>0.0003</v>
      </c>
      <c r="U1090" s="191" t="n">
        <v>0.0823</v>
      </c>
      <c r="V1090" s="191" t="inlineStr">
        <is>
          <t>T1189:Drive-by Compromise</t>
        </is>
      </c>
      <c r="W1090" s="191" t="n">
        <v>1</v>
      </c>
      <c r="X1090" s="191" t="inlineStr">
        <is>
          <t>LOW (40%)</t>
        </is>
      </c>
      <c r="Y1090" s="191" t="inlineStr">
        <is>
          <t>UNLIKELY</t>
        </is>
      </c>
      <c r="Z1090" s="191" t="inlineStr">
        <is>
          <t>CHECK_VENDOR</t>
        </is>
      </c>
      <c r="AA1090" s="192" t="inlineStr">
        <is>
          <t>https://nvd.nist.gov/vuln/detail/CVE-2026-27120</t>
        </is>
      </c>
      <c r="AB1090" s="191" t="inlineStr">
        <is>
          <t>NONE</t>
        </is>
      </c>
      <c r="AC1090" s="191" t="n">
        <v>0</v>
      </c>
      <c r="AD1090" s="191" t="n"/>
    </row>
    <row r="1091">
      <c r="A1091" s="195" t="inlineStr">
        <is>
          <t>CVE</t>
        </is>
      </c>
      <c r="B1091" s="195" t="inlineStr">
        <is>
          <t>CVE-2026-2858</t>
        </is>
      </c>
      <c r="C1091" s="195" t="inlineStr">
        <is>
          <t>A vulnerability was identified in wren-lang wren up to 0.4.0. This affects the function peekChar of the file src/vm/wren_compiler.c of the component Source File Parser. Such manipulation leads to out-of-bounds read. The attack needs to be performed locally. The exploit is publicly available and might be used. The project was informed of the problem early through an issue report but has not responded yet.</t>
        </is>
      </c>
      <c r="D1091" s="195" t="n">
        <v>3.3</v>
      </c>
      <c r="E1091" s="195" t="inlineStr">
        <is>
          <t>LOW</t>
        </is>
      </c>
      <c r="F1091" s="195" t="n">
        <v>2</v>
      </c>
      <c r="G1091" s="195" t="n">
        <v>1</v>
      </c>
      <c r="H1091" s="195" t="inlineStr">
        <is>
          <t>LOW</t>
        </is>
      </c>
      <c r="I1091" s="195" t="n">
        <v>5.3</v>
      </c>
      <c r="J1091" s="195" t="inlineStr">
        <is>
          <t>NO</t>
        </is>
      </c>
      <c r="K1091" s="196" t="inlineStr">
        <is>
          <t>https://nvd.nist.gov/vuln/detail/CVE-2026-2858</t>
        </is>
      </c>
      <c r="L1091" s="195" t="inlineStr">
        <is>
          <t>2026-02-23 23:48</t>
        </is>
      </c>
      <c r="M1091" s="195" t="inlineStr">
        <is>
          <t>CHECK_VENDOR</t>
        </is>
      </c>
      <c r="N1091" s="195" t="inlineStr">
        <is>
          <t>See NVD references</t>
        </is>
      </c>
      <c r="O1091" s="195" t="inlineStr">
        <is>
          <t>Apply vendor patches</t>
        </is>
      </c>
      <c r="P1091" s="195" t="inlineStr">
        <is>
          <t>See CVE details</t>
        </is>
      </c>
      <c r="Q1091" s="195" t="inlineStr">
        <is>
          <t>P4</t>
        </is>
      </c>
      <c r="R1091" s="195" t="inlineStr">
        <is>
          <t>📅 Schedule patch deployment within 30 days | 🔍 Monitor for exploitation attempts</t>
        </is>
      </c>
      <c r="S1091" s="195" t="inlineStr">
        <is>
          <t>CVE - IP enrichment n/a</t>
        </is>
      </c>
      <c r="T1091" s="195" t="n">
        <v>0</v>
      </c>
      <c r="U1091" s="195" t="n">
        <v>0</v>
      </c>
      <c r="V1091" s="195" t="inlineStr">
        <is>
          <t>T1203:Exploitation for Client Execution | T1190:Exploit Public-Facing Application</t>
        </is>
      </c>
      <c r="W1091" s="195" t="n">
        <v>1</v>
      </c>
      <c r="X1091" s="195" t="inlineStr">
        <is>
          <t>LOW (40%)</t>
        </is>
      </c>
      <c r="Y1091" s="195" t="inlineStr">
        <is>
          <t>UNLIKELY</t>
        </is>
      </c>
      <c r="Z1091" s="195" t="inlineStr">
        <is>
          <t>CHECK_VENDOR</t>
        </is>
      </c>
      <c r="AA1091" s="196" t="inlineStr">
        <is>
          <t>https://nvd.nist.gov/vuln/detail/CVE-2026-2858</t>
        </is>
      </c>
      <c r="AB1091" s="195" t="inlineStr">
        <is>
          <t>NONE</t>
        </is>
      </c>
      <c r="AC1091" s="195" t="n">
        <v>0</v>
      </c>
      <c r="AD1091" s="195" t="n"/>
    </row>
    <row r="1092">
      <c r="A1092" s="189" t="inlineStr">
        <is>
          <t>CVE</t>
        </is>
      </c>
      <c r="B1092" s="189" t="inlineStr">
        <is>
          <t>CVE-2018-25158</t>
        </is>
      </c>
      <c r="C1092" s="189" t="inlineStr">
        <is>
          <t>Chamilo LMS 1.11.8 contains an arbitrary file upload vulnerability that allows authenticated users to upload and execute PHP files through the elfinder filemanager module. Attackers can upload files with image headers in the social myfiles section, rename them to PHP extensions, and execute arbitrary code by accessing the uploaded files.</t>
        </is>
      </c>
      <c r="D1092" s="189" t="n">
        <v>8.800000000000001</v>
      </c>
      <c r="E1092" s="189" t="inlineStr">
        <is>
          <t>HIGH</t>
        </is>
      </c>
      <c r="F1092" s="189" t="n">
        <v>2</v>
      </c>
      <c r="G1092" s="189" t="n">
        <v>3</v>
      </c>
      <c r="H1092" s="189" t="inlineStr">
        <is>
          <t>HIGH</t>
        </is>
      </c>
      <c r="I1092" s="189" t="n">
        <v>14.8</v>
      </c>
      <c r="J1092" s="189" t="inlineStr">
        <is>
          <t>NO</t>
        </is>
      </c>
      <c r="K1092" s="190" t="inlineStr">
        <is>
          <t>https://nvd.nist.gov/vuln/detail/CVE-2018-25158</t>
        </is>
      </c>
      <c r="L1092" s="189" t="inlineStr">
        <is>
          <t>2026-02-23 23:48</t>
        </is>
      </c>
      <c r="M1092" s="189" t="inlineStr">
        <is>
          <t>CHECK_VENDOR</t>
        </is>
      </c>
      <c r="N1092" s="189" t="inlineStr">
        <is>
          <t>See NVD references</t>
        </is>
      </c>
      <c r="O1092" s="189" t="inlineStr">
        <is>
          <t>Apply vendor patches</t>
        </is>
      </c>
      <c r="P1092" s="189" t="inlineStr">
        <is>
          <t>See CVE details</t>
        </is>
      </c>
      <c r="Q1092" s="189" t="inlineStr">
        <is>
          <t>P3</t>
        </is>
      </c>
      <c r="R1092" s="189" t="inlineStr">
        <is>
          <t>🚨 URGENT: Apply vendor patches immediately | 🔒 Isolate affected systems if patch unavailable | 🛡️ Enable additional monitoring/IDS rules</t>
        </is>
      </c>
      <c r="S1092" s="189" t="inlineStr">
        <is>
          <t>CVE - IP enrichment n/a</t>
        </is>
      </c>
      <c r="T1092" s="189" t="n">
        <v>0</v>
      </c>
      <c r="U1092" s="189" t="n">
        <v>0</v>
      </c>
      <c r="V1092" s="189" t="inlineStr">
        <is>
          <t>T1190:Exploit Public-Facing Application | T1203:Exploitation for Client Execution</t>
        </is>
      </c>
      <c r="W1092" s="189" t="n">
        <v>1</v>
      </c>
      <c r="X1092" s="189" t="inlineStr">
        <is>
          <t>LOW (40%)</t>
        </is>
      </c>
      <c r="Y1092" s="189" t="inlineStr">
        <is>
          <t>UNLIKELY</t>
        </is>
      </c>
      <c r="Z1092" s="189" t="inlineStr">
        <is>
          <t>CHECK_VENDOR</t>
        </is>
      </c>
      <c r="AA1092" s="190" t="inlineStr">
        <is>
          <t>https://nvd.nist.gov/vuln/detail/CVE-2018-25158</t>
        </is>
      </c>
      <c r="AB1092" s="189" t="inlineStr">
        <is>
          <t>NONE</t>
        </is>
      </c>
      <c r="AC1092" s="189" t="n">
        <v>0</v>
      </c>
      <c r="AD1092" s="189" t="n"/>
    </row>
    <row r="1093">
      <c r="A1093" s="189" t="inlineStr">
        <is>
          <t>CVE</t>
        </is>
      </c>
      <c r="B1093" s="189" t="inlineStr">
        <is>
          <t>CVE-2019-25431</t>
        </is>
      </c>
      <c r="C1093" s="189" t="inlineStr">
        <is>
          <t>delpino73 Blue-Smiley-Organizer 1.32 contains an SQL injection vulnerability in the datetime parameter that allows unauthenticated attackers to manipulate database queries. Attackers can inject SQL code through POST requests to extract sensitive data using boolean-based blind and time-based blind techniques, or write files to the server using INTO OUTFILE statements.</t>
        </is>
      </c>
      <c r="D1093" s="189" t="n">
        <v>8.199999999999999</v>
      </c>
      <c r="E1093" s="189" t="inlineStr">
        <is>
          <t>HIGH</t>
        </is>
      </c>
      <c r="F1093" s="189" t="n">
        <v>2</v>
      </c>
      <c r="G1093" s="189" t="n">
        <v>3</v>
      </c>
      <c r="H1093" s="189" t="inlineStr">
        <is>
          <t>HIGH</t>
        </is>
      </c>
      <c r="I1093" s="189" t="n">
        <v>14.2</v>
      </c>
      <c r="J1093" s="189" t="inlineStr">
        <is>
          <t>NO</t>
        </is>
      </c>
      <c r="K1093" s="190" t="inlineStr">
        <is>
          <t>https://nvd.nist.gov/vuln/detail/CVE-2019-25431</t>
        </is>
      </c>
      <c r="L1093" s="189" t="inlineStr">
        <is>
          <t>2026-02-23 23:48</t>
        </is>
      </c>
      <c r="M1093" s="189" t="inlineStr">
        <is>
          <t>CHECK_VENDOR</t>
        </is>
      </c>
      <c r="N1093" s="189" t="inlineStr">
        <is>
          <t>See NVD references</t>
        </is>
      </c>
      <c r="O1093" s="189" t="inlineStr">
        <is>
          <t>Apply vendor patches</t>
        </is>
      </c>
      <c r="P1093" s="189" t="inlineStr">
        <is>
          <t>See CVE details</t>
        </is>
      </c>
      <c r="Q1093" s="189" t="inlineStr">
        <is>
          <t>P3</t>
        </is>
      </c>
      <c r="R1093" s="189" t="inlineStr">
        <is>
          <t>🚨 URGENT: Apply vendor patches immediately | 🔒 Isolate affected systems if patch unavailable | 🛡️ Enable additional monitoring/IDS rules</t>
        </is>
      </c>
      <c r="S1093" s="189" t="inlineStr">
        <is>
          <t>CVE - IP enrichment n/a</t>
        </is>
      </c>
      <c r="T1093" s="189" t="n">
        <v>0</v>
      </c>
      <c r="U1093" s="189" t="n">
        <v>0</v>
      </c>
      <c r="V1093" s="189" t="inlineStr">
        <is>
          <t>T1190:Exploit Public-Facing Application</t>
        </is>
      </c>
      <c r="W1093" s="189" t="n">
        <v>1</v>
      </c>
      <c r="X1093" s="189" t="inlineStr">
        <is>
          <t>LOW (40%)</t>
        </is>
      </c>
      <c r="Y1093" s="189" t="inlineStr">
        <is>
          <t>UNLIKELY</t>
        </is>
      </c>
      <c r="Z1093" s="189" t="inlineStr">
        <is>
          <t>CHECK_VENDOR</t>
        </is>
      </c>
      <c r="AA1093" s="190" t="inlineStr">
        <is>
          <t>https://nvd.nist.gov/vuln/detail/CVE-2019-25431</t>
        </is>
      </c>
      <c r="AB1093" s="189" t="inlineStr">
        <is>
          <t>NONE</t>
        </is>
      </c>
      <c r="AC1093" s="189" t="n">
        <v>0</v>
      </c>
      <c r="AD1093" s="189" t="n"/>
    </row>
    <row r="1094">
      <c r="A1094" s="189" t="inlineStr">
        <is>
          <t>CVE</t>
        </is>
      </c>
      <c r="B1094" s="189" t="inlineStr">
        <is>
          <t>CVE-2019-25432</t>
        </is>
      </c>
      <c r="C1094" s="189" t="inlineStr">
        <is>
          <t>Part-DB 0.4 contains an authentication bypass vulnerability that allows unauthenticated attackers to login by injecting SQL syntax into authentication parameters. Attackers can submit a single quote followed by 'or' in the login form to bypass credential validation and gain unauthorized access to the application.</t>
        </is>
      </c>
      <c r="D1094" s="189" t="n">
        <v>7.5</v>
      </c>
      <c r="E1094" s="189" t="inlineStr">
        <is>
          <t>HIGH</t>
        </is>
      </c>
      <c r="F1094" s="189" t="n">
        <v>2</v>
      </c>
      <c r="G1094" s="189" t="n">
        <v>3</v>
      </c>
      <c r="H1094" s="189" t="inlineStr">
        <is>
          <t>HIGH</t>
        </is>
      </c>
      <c r="I1094" s="189" t="n">
        <v>13.5</v>
      </c>
      <c r="J1094" s="189" t="inlineStr">
        <is>
          <t>NO</t>
        </is>
      </c>
      <c r="K1094" s="190" t="inlineStr">
        <is>
          <t>https://nvd.nist.gov/vuln/detail/CVE-2019-25432</t>
        </is>
      </c>
      <c r="L1094" s="189" t="inlineStr">
        <is>
          <t>2026-02-23 23:48</t>
        </is>
      </c>
      <c r="M1094" s="189" t="inlineStr">
        <is>
          <t>CHECK_VENDOR</t>
        </is>
      </c>
      <c r="N1094" s="189" t="inlineStr">
        <is>
          <t>See NVD references</t>
        </is>
      </c>
      <c r="O1094" s="189" t="inlineStr">
        <is>
          <t>Apply vendor patches</t>
        </is>
      </c>
      <c r="P1094" s="189" t="inlineStr">
        <is>
          <t>See CVE details</t>
        </is>
      </c>
      <c r="Q1094" s="189" t="inlineStr">
        <is>
          <t>P3</t>
        </is>
      </c>
      <c r="R1094" s="189" t="inlineStr">
        <is>
          <t>🚨 URGENT: Apply vendor patches immediately | 🔒 Isolate affected systems if patch unavailable | 🛡️ Enable additional monitoring/IDS rules</t>
        </is>
      </c>
      <c r="S1094" s="189" t="inlineStr">
        <is>
          <t>CVE - IP enrichment n/a</t>
        </is>
      </c>
      <c r="T1094" s="189" t="n">
        <v>0.0016</v>
      </c>
      <c r="U1094" s="189" t="n">
        <v>0.3652</v>
      </c>
      <c r="V1094" s="189" t="inlineStr">
        <is>
          <t>T1190:Exploit Public-Facing Application | T1078:Valid Accounts | T1552:Unsecured Credentials</t>
        </is>
      </c>
      <c r="W1094" s="189" t="n">
        <v>1</v>
      </c>
      <c r="X1094" s="189" t="inlineStr">
        <is>
          <t>LOW (40%)</t>
        </is>
      </c>
      <c r="Y1094" s="189" t="inlineStr">
        <is>
          <t>UNLIKELY</t>
        </is>
      </c>
      <c r="Z1094" s="189" t="inlineStr">
        <is>
          <t>CHECK_VENDOR</t>
        </is>
      </c>
      <c r="AA1094" s="190" t="inlineStr">
        <is>
          <t>https://nvd.nist.gov/vuln/detail/CVE-2019-25432</t>
        </is>
      </c>
      <c r="AB1094" s="189" t="inlineStr">
        <is>
          <t>NONE</t>
        </is>
      </c>
      <c r="AC1094" s="189" t="n">
        <v>0</v>
      </c>
      <c r="AD1094" s="189" t="n"/>
    </row>
    <row r="1095">
      <c r="A1095" s="189" t="inlineStr">
        <is>
          <t>CVE</t>
        </is>
      </c>
      <c r="B1095" s="189" t="inlineStr">
        <is>
          <t>CVE-2019-25434</t>
        </is>
      </c>
      <c r="C1095" s="189" t="inlineStr">
        <is>
          <t>SpotAuditor 5.3.1.0 contains a denial of service vulnerability that allows unauthenticated attackers to crash the application by submitting excessive data in the registration name field. Attackers can enter a large string of characters (5000 bytes or more) in the name field during registration to trigger an unhandled exception that crashes the application.</t>
        </is>
      </c>
      <c r="D1095" s="189" t="n">
        <v>7.5</v>
      </c>
      <c r="E1095" s="189" t="inlineStr">
        <is>
          <t>HIGH</t>
        </is>
      </c>
      <c r="F1095" s="189" t="n">
        <v>2</v>
      </c>
      <c r="G1095" s="189" t="n">
        <v>3</v>
      </c>
      <c r="H1095" s="189" t="inlineStr">
        <is>
          <t>HIGH</t>
        </is>
      </c>
      <c r="I1095" s="189" t="n">
        <v>13.5</v>
      </c>
      <c r="J1095" s="189" t="inlineStr">
        <is>
          <t>NO</t>
        </is>
      </c>
      <c r="K1095" s="190" t="inlineStr">
        <is>
          <t>https://nvd.nist.gov/vuln/detail/CVE-2019-25434</t>
        </is>
      </c>
      <c r="L1095" s="189" t="inlineStr">
        <is>
          <t>2026-02-23 23:48</t>
        </is>
      </c>
      <c r="M1095" s="189" t="inlineStr">
        <is>
          <t>CHECK_VENDOR</t>
        </is>
      </c>
      <c r="N1095" s="189" t="inlineStr">
        <is>
          <t>See NVD references</t>
        </is>
      </c>
      <c r="O1095" s="189" t="inlineStr">
        <is>
          <t>Apply vendor patches</t>
        </is>
      </c>
      <c r="P1095" s="189" t="inlineStr">
        <is>
          <t>See CVE details</t>
        </is>
      </c>
      <c r="Q1095" s="189" t="inlineStr">
        <is>
          <t>P3</t>
        </is>
      </c>
      <c r="R1095" s="189" t="inlineStr">
        <is>
          <t>🚨 URGENT: Apply vendor patches immediately | 🔒 Isolate affected systems if patch unavailable | 🛡️ Enable additional monitoring/IDS rules</t>
        </is>
      </c>
      <c r="S1095" s="189" t="inlineStr">
        <is>
          <t>CVE - IP enrichment n/a</t>
        </is>
      </c>
      <c r="T1095" s="189" t="n">
        <v>0</v>
      </c>
      <c r="U1095" s="189" t="n">
        <v>0</v>
      </c>
      <c r="V1095" s="189" t="inlineStr">
        <is>
          <t>T1190:Exploit Public-Facing Application | T1499:Endpoint Denial of Service</t>
        </is>
      </c>
      <c r="W1095" s="189" t="n">
        <v>1</v>
      </c>
      <c r="X1095" s="189" t="inlineStr">
        <is>
          <t>LOW (40%)</t>
        </is>
      </c>
      <c r="Y1095" s="189" t="inlineStr">
        <is>
          <t>UNLIKELY</t>
        </is>
      </c>
      <c r="Z1095" s="189" t="inlineStr">
        <is>
          <t>CHECK_VENDOR</t>
        </is>
      </c>
      <c r="AA1095" s="190" t="inlineStr">
        <is>
          <t>https://nvd.nist.gov/vuln/detail/CVE-2019-25434</t>
        </is>
      </c>
      <c r="AB1095" s="189" t="inlineStr">
        <is>
          <t>NONE</t>
        </is>
      </c>
      <c r="AC1095" s="189" t="n">
        <v>0</v>
      </c>
      <c r="AD1095" s="189" t="n"/>
    </row>
    <row r="1096">
      <c r="A1096" s="189" t="inlineStr">
        <is>
          <t>CVE</t>
        </is>
      </c>
      <c r="B1096" s="189" t="inlineStr">
        <is>
          <t>CVE-2019-25435</t>
        </is>
      </c>
      <c r="C1096" s="189" t="inlineStr">
        <is>
          <t>Sricam DeviceViewer 3.12.0.1 contains a local buffer overflow vulnerability in the user management add user function that allows authenticated attackers to execute arbitrary code by bypassing data execution prevention. Attackers can inject a malicious payload through the Username field in User Management to trigger a stack-based buffer overflow and execute commands via ROP chain gadgets.</t>
        </is>
      </c>
      <c r="D1096" s="189" t="n">
        <v>7.8</v>
      </c>
      <c r="E1096" s="189" t="inlineStr">
        <is>
          <t>HIGH</t>
        </is>
      </c>
      <c r="F1096" s="189" t="n">
        <v>2</v>
      </c>
      <c r="G1096" s="189" t="n">
        <v>3</v>
      </c>
      <c r="H1096" s="189" t="inlineStr">
        <is>
          <t>HIGH</t>
        </is>
      </c>
      <c r="I1096" s="189" t="n">
        <v>13.8</v>
      </c>
      <c r="J1096" s="189" t="inlineStr">
        <is>
          <t>NO</t>
        </is>
      </c>
      <c r="K1096" s="190" t="inlineStr">
        <is>
          <t>https://nvd.nist.gov/vuln/detail/CVE-2019-25435</t>
        </is>
      </c>
      <c r="L1096" s="189" t="inlineStr">
        <is>
          <t>2026-02-23 23:48</t>
        </is>
      </c>
      <c r="M1096" s="189" t="inlineStr">
        <is>
          <t>CHECK_VENDOR</t>
        </is>
      </c>
      <c r="N1096" s="189" t="inlineStr">
        <is>
          <t>See NVD references</t>
        </is>
      </c>
      <c r="O1096" s="189" t="inlineStr">
        <is>
          <t>Apply vendor patches</t>
        </is>
      </c>
      <c r="P1096" s="189" t="inlineStr">
        <is>
          <t>See CVE details</t>
        </is>
      </c>
      <c r="Q1096" s="189" t="inlineStr">
        <is>
          <t>P3</t>
        </is>
      </c>
      <c r="R1096" s="189" t="inlineStr">
        <is>
          <t>🚨 URGENT: Apply vendor patches immediately | 🔒 Isolate affected systems if patch unavailable | 🛡️ Enable additional monitoring/IDS rules</t>
        </is>
      </c>
      <c r="S1096" s="189" t="inlineStr">
        <is>
          <t>CVE - IP enrichment n/a</t>
        </is>
      </c>
      <c r="T1096" s="189" t="n">
        <v>0</v>
      </c>
      <c r="U1096" s="189" t="n">
        <v>0</v>
      </c>
      <c r="V1096" s="189" t="inlineStr">
        <is>
          <t>T1190:Exploit Public-Facing Application | T1203:Exploitation for Client Execution</t>
        </is>
      </c>
      <c r="W1096" s="189" t="n">
        <v>1</v>
      </c>
      <c r="X1096" s="189" t="inlineStr">
        <is>
          <t>LOW (40%)</t>
        </is>
      </c>
      <c r="Y1096" s="189" t="inlineStr">
        <is>
          <t>UNLIKELY</t>
        </is>
      </c>
      <c r="Z1096" s="189" t="inlineStr">
        <is>
          <t>CHECK_VENDOR</t>
        </is>
      </c>
      <c r="AA1096" s="190" t="inlineStr">
        <is>
          <t>https://nvd.nist.gov/vuln/detail/CVE-2019-25435</t>
        </is>
      </c>
      <c r="AB1096" s="189" t="inlineStr">
        <is>
          <t>NONE</t>
        </is>
      </c>
      <c r="AC1096" s="189" t="n">
        <v>0</v>
      </c>
      <c r="AD1096" s="189" t="n"/>
    </row>
    <row r="1097">
      <c r="A1097" s="191" t="inlineStr">
        <is>
          <t>CVE</t>
        </is>
      </c>
      <c r="B1097" s="191" t="inlineStr">
        <is>
          <t>CVE-2019-25436</t>
        </is>
      </c>
      <c r="C1097" s="191" t="inlineStr">
        <is>
          <t>Sricam DeviceViewer 3.12.0.1 contains a password change security bypass vulnerability that allows authenticated users to change passwords without proper validation of the old password field. Attackers can inject a large payload into the old password parameter during the change password process to bypass validation and set an arbitrary new password.</t>
        </is>
      </c>
      <c r="D1097" s="191" t="n">
        <v>6.5</v>
      </c>
      <c r="E1097" s="191" t="inlineStr">
        <is>
          <t>MEDIUM</t>
        </is>
      </c>
      <c r="F1097" s="191" t="n">
        <v>2</v>
      </c>
      <c r="G1097" s="191" t="n">
        <v>2</v>
      </c>
      <c r="H1097" s="191" t="inlineStr">
        <is>
          <t>MEDIUM</t>
        </is>
      </c>
      <c r="I1097" s="191" t="n">
        <v>10.5</v>
      </c>
      <c r="J1097" s="191" t="inlineStr">
        <is>
          <t>NO</t>
        </is>
      </c>
      <c r="K1097" s="192" t="inlineStr">
        <is>
          <t>https://nvd.nist.gov/vuln/detail/CVE-2019-25436</t>
        </is>
      </c>
      <c r="L1097" s="191" t="inlineStr">
        <is>
          <t>2026-02-23 23:48</t>
        </is>
      </c>
      <c r="M1097" s="191" t="inlineStr">
        <is>
          <t>CHECK_VENDOR</t>
        </is>
      </c>
      <c r="N1097" s="191" t="inlineStr">
        <is>
          <t>See NVD references</t>
        </is>
      </c>
      <c r="O1097" s="191" t="inlineStr">
        <is>
          <t>Apply vendor patches</t>
        </is>
      </c>
      <c r="P1097" s="191" t="inlineStr">
        <is>
          <t>See CVE details</t>
        </is>
      </c>
      <c r="Q1097" s="191" t="inlineStr">
        <is>
          <t>P4</t>
        </is>
      </c>
      <c r="R1097" s="191" t="inlineStr">
        <is>
          <t>📅 Schedule patch deployment within 30 days | 🔍 Monitor for exploitation attempts</t>
        </is>
      </c>
      <c r="S1097" s="191" t="inlineStr">
        <is>
          <t>CVE - IP enrichment n/a</t>
        </is>
      </c>
      <c r="T1097" s="191" t="n">
        <v>0</v>
      </c>
      <c r="U1097" s="191" t="n">
        <v>0</v>
      </c>
      <c r="V1097" s="191" t="inlineStr">
        <is>
          <t>T1190:Exploit Public-Facing Application</t>
        </is>
      </c>
      <c r="W1097" s="191" t="n">
        <v>1</v>
      </c>
      <c r="X1097" s="191" t="inlineStr">
        <is>
          <t>LOW (40%)</t>
        </is>
      </c>
      <c r="Y1097" s="191" t="inlineStr">
        <is>
          <t>UNLIKELY</t>
        </is>
      </c>
      <c r="Z1097" s="191" t="inlineStr">
        <is>
          <t>CHECK_VENDOR</t>
        </is>
      </c>
      <c r="AA1097" s="192" t="inlineStr">
        <is>
          <t>https://nvd.nist.gov/vuln/detail/CVE-2019-25436</t>
        </is>
      </c>
      <c r="AB1097" s="191" t="inlineStr">
        <is>
          <t>NONE</t>
        </is>
      </c>
      <c r="AC1097" s="191" t="n">
        <v>0</v>
      </c>
      <c r="AD1097" s="191" t="n"/>
    </row>
    <row r="1098">
      <c r="A1098" s="191" t="inlineStr">
        <is>
          <t>CVE</t>
        </is>
      </c>
      <c r="B1098" s="191" t="inlineStr">
        <is>
          <t>CVE-2019-25437</t>
        </is>
      </c>
      <c r="C1098" s="191" t="inlineStr">
        <is>
          <t>Foscam Video Management System 1.1.6.6 contains a buffer overflow vulnerability in the UID field that allows local attackers to crash the application by supplying an excessively long string. Attackers can input a 5000-character buffer into the UID parameter during device addition to trigger an application crash when the Login Check function is invoked.</t>
        </is>
      </c>
      <c r="D1098" s="191" t="n">
        <v>6.2</v>
      </c>
      <c r="E1098" s="191" t="inlineStr">
        <is>
          <t>MEDIUM</t>
        </is>
      </c>
      <c r="F1098" s="191" t="n">
        <v>2</v>
      </c>
      <c r="G1098" s="191" t="n">
        <v>2</v>
      </c>
      <c r="H1098" s="191" t="inlineStr">
        <is>
          <t>MEDIUM</t>
        </is>
      </c>
      <c r="I1098" s="191" t="n">
        <v>10.2</v>
      </c>
      <c r="J1098" s="191" t="inlineStr">
        <is>
          <t>NO</t>
        </is>
      </c>
      <c r="K1098" s="192" t="inlineStr">
        <is>
          <t>https://nvd.nist.gov/vuln/detail/CVE-2019-25437</t>
        </is>
      </c>
      <c r="L1098" s="191" t="inlineStr">
        <is>
          <t>2026-02-23 23:48</t>
        </is>
      </c>
      <c r="M1098" s="191" t="inlineStr">
        <is>
          <t>CHECK_VENDOR</t>
        </is>
      </c>
      <c r="N1098" s="191" t="inlineStr">
        <is>
          <t>See NVD references</t>
        </is>
      </c>
      <c r="O1098" s="191" t="inlineStr">
        <is>
          <t>Apply vendor patches</t>
        </is>
      </c>
      <c r="P1098" s="191" t="inlineStr">
        <is>
          <t>See CVE details</t>
        </is>
      </c>
      <c r="Q1098" s="191" t="inlineStr">
        <is>
          <t>P4</t>
        </is>
      </c>
      <c r="R1098" s="191" t="inlineStr">
        <is>
          <t>📅 Schedule patch deployment within 30 days | 🔍 Monitor for exploitation attempts</t>
        </is>
      </c>
      <c r="S1098" s="191" t="inlineStr">
        <is>
          <t>CVE - IP enrichment n/a</t>
        </is>
      </c>
      <c r="T1098" s="191" t="n">
        <v>0</v>
      </c>
      <c r="U1098" s="191" t="n">
        <v>0</v>
      </c>
      <c r="V1098" s="191" t="inlineStr">
        <is>
          <t>T1190:Exploit Public-Facing Application | T1203:Exploitation for Client Execution</t>
        </is>
      </c>
      <c r="W1098" s="191" t="n">
        <v>1</v>
      </c>
      <c r="X1098" s="191" t="inlineStr">
        <is>
          <t>LOW (40%)</t>
        </is>
      </c>
      <c r="Y1098" s="191" t="inlineStr">
        <is>
          <t>UNLIKELY</t>
        </is>
      </c>
      <c r="Z1098" s="191" t="inlineStr">
        <is>
          <t>CHECK_VENDOR</t>
        </is>
      </c>
      <c r="AA1098" s="192" t="inlineStr">
        <is>
          <t>https://nvd.nist.gov/vuln/detail/CVE-2019-25437</t>
        </is>
      </c>
      <c r="AB1098" s="191" t="inlineStr">
        <is>
          <t>NONE</t>
        </is>
      </c>
      <c r="AC1098" s="191" t="n">
        <v>0</v>
      </c>
      <c r="AD1098" s="191" t="n"/>
    </row>
    <row r="1099">
      <c r="A1099" s="189" t="inlineStr">
        <is>
          <t>CVE</t>
        </is>
      </c>
      <c r="B1099" s="189" t="inlineStr">
        <is>
          <t>CVE-2019-25438</t>
        </is>
      </c>
      <c r="C1099" s="189" t="inlineStr">
        <is>
          <t>LabCollector 5.423 contains multiple SQL injection vulnerabilities that allow unauthenticated attackers to execute arbitrary SQL commands by injecting malicious code through POST parameters. Attackers can submit crafted SQL payloads in the login parameter of login.php or the user_name parameter of retrieve_password.php to extract sensitive database information without authentication.</t>
        </is>
      </c>
      <c r="D1099" s="189" t="n">
        <v>8.199999999999999</v>
      </c>
      <c r="E1099" s="189" t="inlineStr">
        <is>
          <t>HIGH</t>
        </is>
      </c>
      <c r="F1099" s="189" t="n">
        <v>2</v>
      </c>
      <c r="G1099" s="189" t="n">
        <v>3</v>
      </c>
      <c r="H1099" s="189" t="inlineStr">
        <is>
          <t>HIGH</t>
        </is>
      </c>
      <c r="I1099" s="189" t="n">
        <v>14.2</v>
      </c>
      <c r="J1099" s="189" t="inlineStr">
        <is>
          <t>NO</t>
        </is>
      </c>
      <c r="K1099" s="190" t="inlineStr">
        <is>
          <t>https://nvd.nist.gov/vuln/detail/CVE-2019-25438</t>
        </is>
      </c>
      <c r="L1099" s="189" t="inlineStr">
        <is>
          <t>2026-02-23 23:48</t>
        </is>
      </c>
      <c r="M1099" s="189" t="inlineStr">
        <is>
          <t>CHECK_VENDOR</t>
        </is>
      </c>
      <c r="N1099" s="189" t="inlineStr">
        <is>
          <t>See NVD references</t>
        </is>
      </c>
      <c r="O1099" s="189" t="inlineStr">
        <is>
          <t>Apply vendor patches</t>
        </is>
      </c>
      <c r="P1099" s="189" t="inlineStr">
        <is>
          <t>See CVE details</t>
        </is>
      </c>
      <c r="Q1099" s="189" t="inlineStr">
        <is>
          <t>P3</t>
        </is>
      </c>
      <c r="R1099" s="189" t="inlineStr">
        <is>
          <t>🚨 URGENT: Apply vendor patches immediately | 🔒 Isolate affected systems if patch unavailable | 🛡️ Enable additional monitoring/IDS rules</t>
        </is>
      </c>
      <c r="S1099" s="189" t="inlineStr">
        <is>
          <t>CVE - IP enrichment n/a</t>
        </is>
      </c>
      <c r="T1099" s="189" t="n">
        <v>0.0012</v>
      </c>
      <c r="U1099" s="189" t="n">
        <v>0.3153</v>
      </c>
      <c r="V1099" s="189" t="inlineStr">
        <is>
          <t>T1190:Exploit Public-Facing Application</t>
        </is>
      </c>
      <c r="W1099" s="189" t="n">
        <v>1</v>
      </c>
      <c r="X1099" s="189" t="inlineStr">
        <is>
          <t>LOW (40%)</t>
        </is>
      </c>
      <c r="Y1099" s="189" t="inlineStr">
        <is>
          <t>UNLIKELY</t>
        </is>
      </c>
      <c r="Z1099" s="189" t="inlineStr">
        <is>
          <t>CHECK_VENDOR</t>
        </is>
      </c>
      <c r="AA1099" s="190" t="inlineStr">
        <is>
          <t>https://nvd.nist.gov/vuln/detail/CVE-2019-25438</t>
        </is>
      </c>
      <c r="AB1099" s="189" t="inlineStr">
        <is>
          <t>NONE</t>
        </is>
      </c>
      <c r="AC1099" s="189" t="n">
        <v>0</v>
      </c>
      <c r="AD1099" s="189" t="n"/>
    </row>
    <row r="1100">
      <c r="A1100" s="193" t="inlineStr">
        <is>
          <t>CVE</t>
        </is>
      </c>
      <c r="B1100" s="193" t="inlineStr">
        <is>
          <t>CVE-2019-25441</t>
        </is>
      </c>
      <c r="C1100" s="193" t="inlineStr">
        <is>
          <t>thesystem 1.0 contains a command injection vulnerability that allows unauthenticated attackers to execute arbitrary system commands by submitting malicious input to the run_command endpoint. Attackers can send POST requests with shell commands in the command parameter to execute arbitrary code on the server without authentication.</t>
        </is>
      </c>
      <c r="D1100" s="193" t="n">
        <v>9.800000000000001</v>
      </c>
      <c r="E1100" s="193" t="inlineStr">
        <is>
          <t>CRITICAL</t>
        </is>
      </c>
      <c r="F1100" s="193" t="n">
        <v>2</v>
      </c>
      <c r="G1100" s="193" t="n">
        <v>3</v>
      </c>
      <c r="H1100" s="193" t="inlineStr">
        <is>
          <t>HIGH</t>
        </is>
      </c>
      <c r="I1100" s="193" t="n">
        <v>15.8</v>
      </c>
      <c r="J1100" s="193" t="inlineStr">
        <is>
          <t>NO</t>
        </is>
      </c>
      <c r="K1100" s="194" t="inlineStr">
        <is>
          <t>https://nvd.nist.gov/vuln/detail/CVE-2019-25441</t>
        </is>
      </c>
      <c r="L1100" s="193" t="inlineStr">
        <is>
          <t>2026-02-23 23:48</t>
        </is>
      </c>
      <c r="M1100" s="193" t="inlineStr">
        <is>
          <t>CHECK_VENDOR</t>
        </is>
      </c>
      <c r="N1100" s="193" t="inlineStr">
        <is>
          <t>See NVD references</t>
        </is>
      </c>
      <c r="O1100" s="193" t="inlineStr">
        <is>
          <t>Apply vendor patches</t>
        </is>
      </c>
      <c r="P1100" s="193" t="inlineStr">
        <is>
          <t>See CVE details</t>
        </is>
      </c>
      <c r="Q1100" s="193" t="inlineStr">
        <is>
          <t>P3</t>
        </is>
      </c>
      <c r="R1100" s="193" t="inlineStr">
        <is>
          <t>🚨 URGENT: Apply vendor patches immediately | 🔒 Isolate affected systems if patch unavailable | 🛡️ Enable additional monitoring/IDS rules</t>
        </is>
      </c>
      <c r="S1100" s="193" t="inlineStr">
        <is>
          <t>CVE - IP enrichment n/a</t>
        </is>
      </c>
      <c r="T1100" s="193" t="n">
        <v>0</v>
      </c>
      <c r="U1100" s="193" t="n">
        <v>0</v>
      </c>
      <c r="V1100" s="193" t="inlineStr">
        <is>
          <t>T1059:Command and Scripting Interpreter | T1203:Exploitation for Client Execution</t>
        </is>
      </c>
      <c r="W1100" s="193" t="n">
        <v>1</v>
      </c>
      <c r="X1100" s="193" t="inlineStr">
        <is>
          <t>LOW (40%)</t>
        </is>
      </c>
      <c r="Y1100" s="193" t="inlineStr">
        <is>
          <t>UNLIKELY</t>
        </is>
      </c>
      <c r="Z1100" s="193" t="inlineStr">
        <is>
          <t>CHECK_VENDOR</t>
        </is>
      </c>
      <c r="AA1100" s="194" t="inlineStr">
        <is>
          <t>https://nvd.nist.gov/vuln/detail/CVE-2019-25441</t>
        </is>
      </c>
      <c r="AB1100" s="193" t="inlineStr">
        <is>
          <t>NONE</t>
        </is>
      </c>
      <c r="AC1100" s="193" t="n">
        <v>0</v>
      </c>
      <c r="AD1100" s="193" t="n"/>
    </row>
    <row r="1101">
      <c r="A1101" s="191" t="inlineStr">
        <is>
          <t>CVE</t>
        </is>
      </c>
      <c r="B1101" s="191" t="inlineStr">
        <is>
          <t>CVE-2019-25447</t>
        </is>
      </c>
      <c r="C1101" s="191" t="inlineStr">
        <is>
          <t>OrientDB 3.0.17 GA Community Edition contains cross-site request forgery vulnerabilities that allow attackers to perform unauthorized actions by crafting malicious requests to endpoints like /database/, /command/, and /document/. Attackers can create or delete databases, modify schema classes, manage users, and create functions by sending authenticated requests without token validation, combined with reflected and stored cross-site scripting vulnerabilities in the web interface.</t>
        </is>
      </c>
      <c r="D1101" s="191" t="n">
        <v>4.3</v>
      </c>
      <c r="E1101" s="191" t="inlineStr">
        <is>
          <t>MEDIUM</t>
        </is>
      </c>
      <c r="F1101" s="191" t="n">
        <v>2</v>
      </c>
      <c r="G1101" s="191" t="n">
        <v>2</v>
      </c>
      <c r="H1101" s="191" t="inlineStr">
        <is>
          <t>MEDIUM</t>
        </is>
      </c>
      <c r="I1101" s="191" t="n">
        <v>8.300000000000001</v>
      </c>
      <c r="J1101" s="191" t="inlineStr">
        <is>
          <t>NO</t>
        </is>
      </c>
      <c r="K1101" s="192" t="inlineStr">
        <is>
          <t>https://nvd.nist.gov/vuln/detail/CVE-2019-25447</t>
        </is>
      </c>
      <c r="L1101" s="191" t="inlineStr">
        <is>
          <t>2026-02-23 23:48</t>
        </is>
      </c>
      <c r="M1101" s="191" t="inlineStr">
        <is>
          <t>CHECK_VENDOR</t>
        </is>
      </c>
      <c r="N1101" s="191" t="inlineStr">
        <is>
          <t>See NVD references</t>
        </is>
      </c>
      <c r="O1101" s="191" t="inlineStr">
        <is>
          <t>Apply vendor patches</t>
        </is>
      </c>
      <c r="P1101" s="191" t="inlineStr">
        <is>
          <t>See CVE details</t>
        </is>
      </c>
      <c r="Q1101" s="191" t="inlineStr">
        <is>
          <t>P4</t>
        </is>
      </c>
      <c r="R1101" s="191" t="inlineStr">
        <is>
          <t>📅 Schedule patch deployment within 30 days | 🔍 Monitor for exploitation attempts</t>
        </is>
      </c>
      <c r="S1101" s="191" t="inlineStr">
        <is>
          <t>CVE - IP enrichment n/a</t>
        </is>
      </c>
      <c r="T1101" s="191" t="n">
        <v>0</v>
      </c>
      <c r="U1101" s="191" t="n">
        <v>0</v>
      </c>
      <c r="V1101" s="191" t="inlineStr">
        <is>
          <t>T1185:Browser Session Hijacking | T1189:Drive-by Compromise</t>
        </is>
      </c>
      <c r="W1101" s="191" t="n">
        <v>1</v>
      </c>
      <c r="X1101" s="191" t="inlineStr">
        <is>
          <t>LOW (40%)</t>
        </is>
      </c>
      <c r="Y1101" s="191" t="inlineStr">
        <is>
          <t>UNLIKELY</t>
        </is>
      </c>
      <c r="Z1101" s="191" t="inlineStr">
        <is>
          <t>CHECK_VENDOR</t>
        </is>
      </c>
      <c r="AA1101" s="192" t="inlineStr">
        <is>
          <t>https://nvd.nist.gov/vuln/detail/CVE-2019-25447</t>
        </is>
      </c>
      <c r="AB1101" s="191" t="inlineStr">
        <is>
          <t>NONE</t>
        </is>
      </c>
      <c r="AC1101" s="191" t="n">
        <v>0</v>
      </c>
      <c r="AD1101" s="191" t="n"/>
    </row>
    <row r="1102">
      <c r="A1102" s="191" t="inlineStr">
        <is>
          <t>CVE</t>
        </is>
      </c>
      <c r="B1102" s="191" t="inlineStr">
        <is>
          <t>CVE-2019-25448</t>
        </is>
      </c>
      <c r="C1102" s="191" t="inlineStr">
        <is>
          <t>OrientDB 3.0.17 contains a stored cross-site scripting vulnerability that allows authenticated attackers to inject malicious scripts by creating users with script payloads in the name parameter. Attackers can send POST requests to the document endpoint with JavaScript code in the name field to execute arbitrary scripts when users view the application.</t>
        </is>
      </c>
      <c r="D1102" s="191" t="n">
        <v>6.4</v>
      </c>
      <c r="E1102" s="191" t="inlineStr">
        <is>
          <t>MEDIUM</t>
        </is>
      </c>
      <c r="F1102" s="191" t="n">
        <v>2</v>
      </c>
      <c r="G1102" s="191" t="n">
        <v>2</v>
      </c>
      <c r="H1102" s="191" t="inlineStr">
        <is>
          <t>MEDIUM</t>
        </is>
      </c>
      <c r="I1102" s="191" t="n">
        <v>10.4</v>
      </c>
      <c r="J1102" s="191" t="inlineStr">
        <is>
          <t>NO</t>
        </is>
      </c>
      <c r="K1102" s="192" t="inlineStr">
        <is>
          <t>https://nvd.nist.gov/vuln/detail/CVE-2019-25448</t>
        </is>
      </c>
      <c r="L1102" s="191" t="inlineStr">
        <is>
          <t>2026-02-23 23:48</t>
        </is>
      </c>
      <c r="M1102" s="191" t="inlineStr">
        <is>
          <t>CHECK_VENDOR</t>
        </is>
      </c>
      <c r="N1102" s="191" t="inlineStr">
        <is>
          <t>See NVD references</t>
        </is>
      </c>
      <c r="O1102" s="191" t="inlineStr">
        <is>
          <t>Apply vendor patches</t>
        </is>
      </c>
      <c r="P1102" s="191" t="inlineStr">
        <is>
          <t>See CVE details</t>
        </is>
      </c>
      <c r="Q1102" s="191" t="inlineStr">
        <is>
          <t>P4</t>
        </is>
      </c>
      <c r="R1102" s="191" t="inlineStr">
        <is>
          <t>📅 Schedule patch deployment within 30 days | 🔍 Monitor for exploitation attempts</t>
        </is>
      </c>
      <c r="S1102" s="191" t="inlineStr">
        <is>
          <t>CVE - IP enrichment n/a</t>
        </is>
      </c>
      <c r="T1102" s="191" t="n">
        <v>0</v>
      </c>
      <c r="U1102" s="191" t="n">
        <v>0</v>
      </c>
      <c r="V1102" s="191" t="inlineStr">
        <is>
          <t>T1189:Drive-by Compromise</t>
        </is>
      </c>
      <c r="W1102" s="191" t="n">
        <v>1</v>
      </c>
      <c r="X1102" s="191" t="inlineStr">
        <is>
          <t>LOW (40%)</t>
        </is>
      </c>
      <c r="Y1102" s="191" t="inlineStr">
        <is>
          <t>UNLIKELY</t>
        </is>
      </c>
      <c r="Z1102" s="191" t="inlineStr">
        <is>
          <t>CHECK_VENDOR</t>
        </is>
      </c>
      <c r="AA1102" s="192" t="inlineStr">
        <is>
          <t>https://nvd.nist.gov/vuln/detail/CVE-2019-25448</t>
        </is>
      </c>
      <c r="AB1102" s="191" t="inlineStr">
        <is>
          <t>NONE</t>
        </is>
      </c>
      <c r="AC1102" s="191" t="n">
        <v>0</v>
      </c>
      <c r="AD1102" s="191" t="n"/>
    </row>
    <row r="1103">
      <c r="A1103" s="191" t="inlineStr">
        <is>
          <t>CVE</t>
        </is>
      </c>
      <c r="B1103" s="191" t="inlineStr">
        <is>
          <t>CVE-2019-25449</t>
        </is>
      </c>
      <c r="C1103" s="191" t="inlineStr">
        <is>
          <t>OrientDB 3.0.17 contains a reflected cross-site scripting vulnerability that allows attackers to inject malicious scripts by submitting crafted JSON payloads to the document endpoint. Attackers can send POST requests to /document/demodb/-1:-1 with script tags in the name parameter to execute arbitrary JavaScript in users' browsers.</t>
        </is>
      </c>
      <c r="D1103" s="191" t="n">
        <v>6.1</v>
      </c>
      <c r="E1103" s="191" t="inlineStr">
        <is>
          <t>MEDIUM</t>
        </is>
      </c>
      <c r="F1103" s="191" t="n">
        <v>2</v>
      </c>
      <c r="G1103" s="191" t="n">
        <v>2</v>
      </c>
      <c r="H1103" s="191" t="inlineStr">
        <is>
          <t>MEDIUM</t>
        </is>
      </c>
      <c r="I1103" s="191" t="n">
        <v>10.1</v>
      </c>
      <c r="J1103" s="191" t="inlineStr">
        <is>
          <t>NO</t>
        </is>
      </c>
      <c r="K1103" s="192" t="inlineStr">
        <is>
          <t>https://nvd.nist.gov/vuln/detail/CVE-2019-25449</t>
        </is>
      </c>
      <c r="L1103" s="191" t="inlineStr">
        <is>
          <t>2026-02-23 23:48</t>
        </is>
      </c>
      <c r="M1103" s="191" t="inlineStr">
        <is>
          <t>CHECK_VENDOR</t>
        </is>
      </c>
      <c r="N1103" s="191" t="inlineStr">
        <is>
          <t>See NVD references</t>
        </is>
      </c>
      <c r="O1103" s="191" t="inlineStr">
        <is>
          <t>Apply vendor patches</t>
        </is>
      </c>
      <c r="P1103" s="191" t="inlineStr">
        <is>
          <t>See CVE details</t>
        </is>
      </c>
      <c r="Q1103" s="191" t="inlineStr">
        <is>
          <t>P4</t>
        </is>
      </c>
      <c r="R1103" s="191" t="inlineStr">
        <is>
          <t>📅 Schedule patch deployment within 30 days | 🔍 Monitor for exploitation attempts</t>
        </is>
      </c>
      <c r="S1103" s="191" t="inlineStr">
        <is>
          <t>CVE - IP enrichment n/a</t>
        </is>
      </c>
      <c r="T1103" s="191" t="n">
        <v>0</v>
      </c>
      <c r="U1103" s="191" t="n">
        <v>0</v>
      </c>
      <c r="V1103" s="191" t="inlineStr">
        <is>
          <t>T1189:Drive-by Compromise</t>
        </is>
      </c>
      <c r="W1103" s="191" t="n">
        <v>1</v>
      </c>
      <c r="X1103" s="191" t="inlineStr">
        <is>
          <t>LOW (40%)</t>
        </is>
      </c>
      <c r="Y1103" s="191" t="inlineStr">
        <is>
          <t>UNLIKELY</t>
        </is>
      </c>
      <c r="Z1103" s="191" t="inlineStr">
        <is>
          <t>CHECK_VENDOR</t>
        </is>
      </c>
      <c r="AA1103" s="192" t="inlineStr">
        <is>
          <t>https://nvd.nist.gov/vuln/detail/CVE-2019-25449</t>
        </is>
      </c>
      <c r="AB1103" s="191" t="inlineStr">
        <is>
          <t>NONE</t>
        </is>
      </c>
      <c r="AC1103" s="191" t="n">
        <v>0</v>
      </c>
      <c r="AD1103" s="191" t="n"/>
    </row>
    <row r="1104">
      <c r="A1104" s="191" t="inlineStr">
        <is>
          <t>CVE</t>
        </is>
      </c>
      <c r="B1104" s="191" t="inlineStr">
        <is>
          <t>CVE-2019-25451</t>
        </is>
      </c>
      <c r="C1104" s="191" t="inlineStr">
        <is>
          <t>phpMoAdmin 1.1.5 contains a cross-site request forgery vulnerability that allows attackers to perform unauthorized database operations by crafting malicious requests. Attackers can trick authenticated users into submitting GET requests to moadmin.php with parameters like action, db, and collection to create, drop, or repair databases and collections without user consent.</t>
        </is>
      </c>
      <c r="D1104" s="191" t="n">
        <v>4.3</v>
      </c>
      <c r="E1104" s="191" t="inlineStr">
        <is>
          <t>MEDIUM</t>
        </is>
      </c>
      <c r="F1104" s="191" t="n">
        <v>2</v>
      </c>
      <c r="G1104" s="191" t="n">
        <v>2</v>
      </c>
      <c r="H1104" s="191" t="inlineStr">
        <is>
          <t>MEDIUM</t>
        </is>
      </c>
      <c r="I1104" s="191" t="n">
        <v>8.300000000000001</v>
      </c>
      <c r="J1104" s="191" t="inlineStr">
        <is>
          <t>NO</t>
        </is>
      </c>
      <c r="K1104" s="192" t="inlineStr">
        <is>
          <t>https://nvd.nist.gov/vuln/detail/CVE-2019-25451</t>
        </is>
      </c>
      <c r="L1104" s="191" t="inlineStr">
        <is>
          <t>2026-02-23 23:48</t>
        </is>
      </c>
      <c r="M1104" s="191" t="inlineStr">
        <is>
          <t>CHECK_VENDOR</t>
        </is>
      </c>
      <c r="N1104" s="191" t="inlineStr">
        <is>
          <t>See NVD references</t>
        </is>
      </c>
      <c r="O1104" s="191" t="inlineStr">
        <is>
          <t>Apply vendor patches</t>
        </is>
      </c>
      <c r="P1104" s="191" t="inlineStr">
        <is>
          <t>See CVE details</t>
        </is>
      </c>
      <c r="Q1104" s="191" t="inlineStr">
        <is>
          <t>P4</t>
        </is>
      </c>
      <c r="R1104" s="191" t="inlineStr">
        <is>
          <t>📅 Schedule patch deployment within 30 days | 🔍 Monitor for exploitation attempts</t>
        </is>
      </c>
      <c r="S1104" s="191" t="inlineStr">
        <is>
          <t>CVE - IP enrichment n/a</t>
        </is>
      </c>
      <c r="T1104" s="191" t="n">
        <v>0.0003</v>
      </c>
      <c r="U1104" s="191" t="n">
        <v>0.0672</v>
      </c>
      <c r="V1104" s="191" t="inlineStr">
        <is>
          <t>T1090:Proxy</t>
        </is>
      </c>
      <c r="W1104" s="191" t="n">
        <v>1</v>
      </c>
      <c r="X1104" s="191" t="inlineStr">
        <is>
          <t>LOW (40%)</t>
        </is>
      </c>
      <c r="Y1104" s="191" t="inlineStr">
        <is>
          <t>UNLIKELY</t>
        </is>
      </c>
      <c r="Z1104" s="191" t="inlineStr">
        <is>
          <t>CHECK_VENDOR</t>
        </is>
      </c>
      <c r="AA1104" s="192" t="inlineStr">
        <is>
          <t>https://nvd.nist.gov/vuln/detail/CVE-2019-25451</t>
        </is>
      </c>
      <c r="AB1104" s="191" t="inlineStr">
        <is>
          <t>NONE</t>
        </is>
      </c>
      <c r="AC1104" s="191" t="n">
        <v>0</v>
      </c>
      <c r="AD1104" s="191" t="n"/>
    </row>
    <row r="1105">
      <c r="A1105" s="191" t="inlineStr">
        <is>
          <t>CVE</t>
        </is>
      </c>
      <c r="B1105" s="191" t="inlineStr">
        <is>
          <t>CVE-2019-25453</t>
        </is>
      </c>
      <c r="C1105" s="191" t="inlineStr">
        <is>
          <t>phpMoAdmin 1.1.5 contains a reflected cross-site scripting vulnerability that allows unauthenticated attackers to inject malicious scripts by manipulating the newdb parameter. Attackers can craft URLs with JavaScript payloads in the newdb parameter of moadmin.php to execute arbitrary code in users' browsers when they visit the malicious link.</t>
        </is>
      </c>
      <c r="D1105" s="191" t="n">
        <v>6.1</v>
      </c>
      <c r="E1105" s="191" t="inlineStr">
        <is>
          <t>MEDIUM</t>
        </is>
      </c>
      <c r="F1105" s="191" t="n">
        <v>2</v>
      </c>
      <c r="G1105" s="191" t="n">
        <v>2</v>
      </c>
      <c r="H1105" s="191" t="inlineStr">
        <is>
          <t>MEDIUM</t>
        </is>
      </c>
      <c r="I1105" s="191" t="n">
        <v>10.1</v>
      </c>
      <c r="J1105" s="191" t="inlineStr">
        <is>
          <t>NO</t>
        </is>
      </c>
      <c r="K1105" s="192" t="inlineStr">
        <is>
          <t>https://nvd.nist.gov/vuln/detail/CVE-2019-25453</t>
        </is>
      </c>
      <c r="L1105" s="191" t="inlineStr">
        <is>
          <t>2026-02-23 23:48</t>
        </is>
      </c>
      <c r="M1105" s="191" t="inlineStr">
        <is>
          <t>CHECK_VENDOR</t>
        </is>
      </c>
      <c r="N1105" s="191" t="inlineStr">
        <is>
          <t>See NVD references</t>
        </is>
      </c>
      <c r="O1105" s="191" t="inlineStr">
        <is>
          <t>Apply vendor patches</t>
        </is>
      </c>
      <c r="P1105" s="191" t="inlineStr">
        <is>
          <t>See CVE details</t>
        </is>
      </c>
      <c r="Q1105" s="191" t="inlineStr">
        <is>
          <t>P4</t>
        </is>
      </c>
      <c r="R1105" s="191" t="inlineStr">
        <is>
          <t>📅 Schedule patch deployment within 30 days | 🔍 Monitor for exploitation attempts</t>
        </is>
      </c>
      <c r="S1105" s="191" t="inlineStr">
        <is>
          <t>CVE - IP enrichment n/a</t>
        </is>
      </c>
      <c r="T1105" s="191" t="n">
        <v>0</v>
      </c>
      <c r="U1105" s="191" t="n">
        <v>0</v>
      </c>
      <c r="V1105" s="191" t="inlineStr">
        <is>
          <t>T1189:Drive-by Compromise | T1203:Exploitation for Client Execution</t>
        </is>
      </c>
      <c r="W1105" s="191" t="n">
        <v>1</v>
      </c>
      <c r="X1105" s="191" t="inlineStr">
        <is>
          <t>LOW (40%)</t>
        </is>
      </c>
      <c r="Y1105" s="191" t="inlineStr">
        <is>
          <t>UNLIKELY</t>
        </is>
      </c>
      <c r="Z1105" s="191" t="inlineStr">
        <is>
          <t>CHECK_VENDOR</t>
        </is>
      </c>
      <c r="AA1105" s="192" t="inlineStr">
        <is>
          <t>https://nvd.nist.gov/vuln/detail/CVE-2019-25453</t>
        </is>
      </c>
      <c r="AB1105" s="191" t="inlineStr">
        <is>
          <t>NONE</t>
        </is>
      </c>
      <c r="AC1105" s="191" t="n">
        <v>0</v>
      </c>
      <c r="AD1105" s="191" t="n"/>
    </row>
    <row r="1106">
      <c r="A1106" s="189" t="inlineStr">
        <is>
          <t>CVE</t>
        </is>
      </c>
      <c r="B1106" s="189" t="inlineStr">
        <is>
          <t>CVE-2019-25454</t>
        </is>
      </c>
      <c r="C1106" s="189" t="inlineStr">
        <is>
          <t>phpMoAdmin 1.1.5 contains a stored cross-site scripting vulnerability that allows unauthenticated attackers to inject malicious scripts by manipulating the collection parameter. Attackers can send GET requests to moadmin.php with script payloads in the collection parameter during collection creation to execute arbitrary JavaScript in users' browsers.</t>
        </is>
      </c>
      <c r="D1106" s="189" t="n">
        <v>7.2</v>
      </c>
      <c r="E1106" s="189" t="inlineStr">
        <is>
          <t>HIGH</t>
        </is>
      </c>
      <c r="F1106" s="189" t="n">
        <v>2</v>
      </c>
      <c r="G1106" s="189" t="n">
        <v>3</v>
      </c>
      <c r="H1106" s="189" t="inlineStr">
        <is>
          <t>HIGH</t>
        </is>
      </c>
      <c r="I1106" s="189" t="n">
        <v>13.2</v>
      </c>
      <c r="J1106" s="189" t="inlineStr">
        <is>
          <t>NO</t>
        </is>
      </c>
      <c r="K1106" s="190" t="inlineStr">
        <is>
          <t>https://nvd.nist.gov/vuln/detail/CVE-2019-25454</t>
        </is>
      </c>
      <c r="L1106" s="189" t="inlineStr">
        <is>
          <t>2026-02-23 23:48</t>
        </is>
      </c>
      <c r="M1106" s="189" t="inlineStr">
        <is>
          <t>CHECK_VENDOR</t>
        </is>
      </c>
      <c r="N1106" s="189" t="inlineStr">
        <is>
          <t>See NVD references</t>
        </is>
      </c>
      <c r="O1106" s="189" t="inlineStr">
        <is>
          <t>Apply vendor patches</t>
        </is>
      </c>
      <c r="P1106" s="189" t="inlineStr">
        <is>
          <t>See CVE details</t>
        </is>
      </c>
      <c r="Q1106" s="189" t="inlineStr">
        <is>
          <t>P3</t>
        </is>
      </c>
      <c r="R1106" s="189" t="inlineStr">
        <is>
          <t>🚨 URGENT: Apply vendor patches immediately | 🔒 Isolate affected systems if patch unavailable | 🛡️ Enable additional monitoring/IDS rules</t>
        </is>
      </c>
      <c r="S1106" s="189" t="inlineStr">
        <is>
          <t>CVE - IP enrichment n/a</t>
        </is>
      </c>
      <c r="T1106" s="189" t="n">
        <v>0</v>
      </c>
      <c r="U1106" s="189" t="n">
        <v>0</v>
      </c>
      <c r="V1106" s="189" t="inlineStr">
        <is>
          <t>T1189:Drive-by Compromise</t>
        </is>
      </c>
      <c r="W1106" s="189" t="n">
        <v>1</v>
      </c>
      <c r="X1106" s="189" t="inlineStr">
        <is>
          <t>LOW (40%)</t>
        </is>
      </c>
      <c r="Y1106" s="189" t="inlineStr">
        <is>
          <t>UNLIKELY</t>
        </is>
      </c>
      <c r="Z1106" s="189" t="inlineStr">
        <is>
          <t>CHECK_VENDOR</t>
        </is>
      </c>
      <c r="AA1106" s="190" t="inlineStr">
        <is>
          <t>https://nvd.nist.gov/vuln/detail/CVE-2019-25454</t>
        </is>
      </c>
      <c r="AB1106" s="189" t="inlineStr">
        <is>
          <t>NONE</t>
        </is>
      </c>
      <c r="AC1106" s="189" t="n">
        <v>0</v>
      </c>
      <c r="AD1106" s="189" t="n"/>
    </row>
    <row r="1107">
      <c r="A1107" s="191" t="inlineStr">
        <is>
          <t>CVE</t>
        </is>
      </c>
      <c r="B1107" s="191" t="inlineStr">
        <is>
          <t>CVE-2026-27119</t>
        </is>
      </c>
      <c r="C1107" s="191" t="inlineStr">
        <is>
          <t>svelte performance oriented web framework. From 5.39.3, element does not properly escape its content, potentially allowing HTML injection in the SSR output. Client-side rendering is not affected. This vulnerability is fixed in 5.51.5.</t>
        </is>
      </c>
      <c r="D1107" s="191" t="n">
        <v>5.4</v>
      </c>
      <c r="E1107" s="191" t="inlineStr">
        <is>
          <t>MEDIUM</t>
        </is>
      </c>
      <c r="F1107" s="191" t="n">
        <v>2</v>
      </c>
      <c r="G1107" s="191" t="n">
        <v>2</v>
      </c>
      <c r="H1107" s="191" t="inlineStr">
        <is>
          <t>MEDIUM</t>
        </is>
      </c>
      <c r="I1107" s="191" t="n">
        <v>9.4</v>
      </c>
      <c r="J1107" s="191" t="inlineStr">
        <is>
          <t>NO</t>
        </is>
      </c>
      <c r="K1107" s="192" t="inlineStr">
        <is>
          <t>https://nvd.nist.gov/vuln/detail/CVE-2026-27119</t>
        </is>
      </c>
      <c r="L1107" s="191" t="inlineStr">
        <is>
          <t>2026-02-23 23:48</t>
        </is>
      </c>
      <c r="M1107" s="191" t="inlineStr">
        <is>
          <t>YES</t>
        </is>
      </c>
      <c r="N1107" s="192" t="inlineStr">
        <is>
          <t>https://github.com/sveltejs/svelte/security/advisories/GHSA-h7h7-mm68-gmrc</t>
        </is>
      </c>
      <c r="O1107" s="191" t="inlineStr">
        <is>
          <t>Apply vendor patches</t>
        </is>
      </c>
      <c r="P1107" s="191" t="inlineStr">
        <is>
          <t>svelte svelte *</t>
        </is>
      </c>
      <c r="Q1107" s="191" t="inlineStr">
        <is>
          <t>P3</t>
        </is>
      </c>
      <c r="R1107" s="191" t="inlineStr">
        <is>
          <t>📅 Schedule patch deployment within 30 days | 🔍 Monitor for exploitation attempts</t>
        </is>
      </c>
      <c r="S1107" s="191" t="inlineStr">
        <is>
          <t>CVE - IP enrichment n/a</t>
        </is>
      </c>
      <c r="T1107" s="191" t="n">
        <v>0.0004</v>
      </c>
      <c r="U1107" s="191" t="n">
        <v>0.1326</v>
      </c>
      <c r="V1107" s="191" t="inlineStr">
        <is>
          <t>T1189:Drive-by Compromise</t>
        </is>
      </c>
      <c r="W1107" s="191" t="n">
        <v>2</v>
      </c>
      <c r="X1107" s="191" t="inlineStr">
        <is>
          <t>MEDIUM (52%)</t>
        </is>
      </c>
      <c r="Y1107" s="191" t="inlineStr">
        <is>
          <t>UNLIKELY</t>
        </is>
      </c>
      <c r="Z1107" s="191" t="inlineStr">
        <is>
          <t>PATCH_AVAILABLE</t>
        </is>
      </c>
      <c r="AA1107" s="192" t="inlineStr">
        <is>
          <t>https://nvd.nist.gov/vuln/detail/CVE-2026-27119</t>
        </is>
      </c>
      <c r="AB1107" s="191" t="inlineStr">
        <is>
          <t>NONE</t>
        </is>
      </c>
      <c r="AC1107" s="191" t="n">
        <v>0</v>
      </c>
      <c r="AD1107" s="191" t="n"/>
    </row>
    <row r="1108">
      <c r="A1108" s="191" t="inlineStr">
        <is>
          <t>CVE</t>
        </is>
      </c>
      <c r="B1108" s="191" t="inlineStr">
        <is>
          <t>CVE-2026-27121</t>
        </is>
      </c>
      <c r="C1108" s="191" t="inlineStr">
        <is>
          <t>svelte performance oriented web framework. Versions of svelte prior to 5.51.5 are vulnerable to cross-site scripting (XSS) during server-side rendering. When using spread syntax to render attributes from untrusted data, event handler properties are included in the rendered HTML output. If an application spreads user-controlled or external data as element attributes, an attacker can inject malicious event handlers that execute in victims' browsers. This vulnerability is fixed in 5.51.5.</t>
        </is>
      </c>
      <c r="D1108" s="191" t="n">
        <v>5.4</v>
      </c>
      <c r="E1108" s="191" t="inlineStr">
        <is>
          <t>MEDIUM</t>
        </is>
      </c>
      <c r="F1108" s="191" t="n">
        <v>2</v>
      </c>
      <c r="G1108" s="191" t="n">
        <v>2</v>
      </c>
      <c r="H1108" s="191" t="inlineStr">
        <is>
          <t>MEDIUM</t>
        </is>
      </c>
      <c r="I1108" s="191" t="n">
        <v>9.4</v>
      </c>
      <c r="J1108" s="191" t="inlineStr">
        <is>
          <t>NO</t>
        </is>
      </c>
      <c r="K1108" s="192" t="inlineStr">
        <is>
          <t>https://nvd.nist.gov/vuln/detail/CVE-2026-27121</t>
        </is>
      </c>
      <c r="L1108" s="191" t="inlineStr">
        <is>
          <t>2026-02-23 23:48</t>
        </is>
      </c>
      <c r="M1108" s="191" t="inlineStr">
        <is>
          <t>YES</t>
        </is>
      </c>
      <c r="N1108" s="192" t="inlineStr">
        <is>
          <t>https://github.com/sveltejs/svelte/security/advisories/GHSA-f7gr-6p89-r883</t>
        </is>
      </c>
      <c r="O1108" s="191" t="inlineStr">
        <is>
          <t>Apply vendor patches</t>
        </is>
      </c>
      <c r="P1108" s="191" t="inlineStr">
        <is>
          <t>svelte svelte *</t>
        </is>
      </c>
      <c r="Q1108" s="191" t="inlineStr">
        <is>
          <t>P3</t>
        </is>
      </c>
      <c r="R1108" s="191" t="inlineStr">
        <is>
          <t>📅 Schedule patch deployment within 30 days | 🔍 Monitor for exploitation attempts</t>
        </is>
      </c>
      <c r="S1108" s="191" t="inlineStr">
        <is>
          <t>CVE - IP enrichment n/a</t>
        </is>
      </c>
      <c r="T1108" s="191" t="n">
        <v>0.0004</v>
      </c>
      <c r="U1108" s="191" t="n">
        <v>0.1326</v>
      </c>
      <c r="V1108" s="191" t="inlineStr">
        <is>
          <t>T1189:Drive-by Compromise</t>
        </is>
      </c>
      <c r="W1108" s="191" t="n">
        <v>2</v>
      </c>
      <c r="X1108" s="191" t="inlineStr">
        <is>
          <t>MEDIUM (52%)</t>
        </is>
      </c>
      <c r="Y1108" s="191" t="inlineStr">
        <is>
          <t>UNLIKELY</t>
        </is>
      </c>
      <c r="Z1108" s="191" t="inlineStr">
        <is>
          <t>PATCH_AVAILABLE</t>
        </is>
      </c>
      <c r="AA1108" s="192" t="inlineStr">
        <is>
          <t>https://nvd.nist.gov/vuln/detail/CVE-2026-27121</t>
        </is>
      </c>
      <c r="AB1108" s="191" t="inlineStr">
        <is>
          <t>NONE</t>
        </is>
      </c>
      <c r="AC1108" s="191" t="n">
        <v>0</v>
      </c>
      <c r="AD1108" s="191" t="n"/>
    </row>
    <row r="1109">
      <c r="A1109" s="191" t="inlineStr">
        <is>
          <t>CVE</t>
        </is>
      </c>
      <c r="B1109" s="191" t="inlineStr">
        <is>
          <t>CVE-2026-27122</t>
        </is>
      </c>
      <c r="C1109" s="191" t="inlineStr">
        <is>
          <t>svelte performance oriented web framework. Prior to 5.51.5, when using in server-side rendering, the provided tag name is not validated or sanitized before being emitted into the HTML output. If the tag string contains unexpected characters, it can result in HTML injection in the SSR output. Client-side rendering is not affected. This vulnerability is fixed in 5.51.5.</t>
        </is>
      </c>
      <c r="D1109" s="191" t="n">
        <v>5.4</v>
      </c>
      <c r="E1109" s="191" t="inlineStr">
        <is>
          <t>MEDIUM</t>
        </is>
      </c>
      <c r="F1109" s="191" t="n">
        <v>2</v>
      </c>
      <c r="G1109" s="191" t="n">
        <v>2</v>
      </c>
      <c r="H1109" s="191" t="inlineStr">
        <is>
          <t>MEDIUM</t>
        </is>
      </c>
      <c r="I1109" s="191" t="n">
        <v>9.4</v>
      </c>
      <c r="J1109" s="191" t="inlineStr">
        <is>
          <t>NO</t>
        </is>
      </c>
      <c r="K1109" s="192" t="inlineStr">
        <is>
          <t>https://nvd.nist.gov/vuln/detail/CVE-2026-27122</t>
        </is>
      </c>
      <c r="L1109" s="191" t="inlineStr">
        <is>
          <t>2026-02-23 23:48</t>
        </is>
      </c>
      <c r="M1109" s="191" t="inlineStr">
        <is>
          <t>YES</t>
        </is>
      </c>
      <c r="N1109" s="192" t="inlineStr">
        <is>
          <t>https://github.com/sveltejs/svelte/security/advisories/GHSA-m56q-vw4c-c2cp</t>
        </is>
      </c>
      <c r="O1109" s="191" t="inlineStr">
        <is>
          <t>Apply vendor patches</t>
        </is>
      </c>
      <c r="P1109" s="191" t="inlineStr">
        <is>
          <t>svelte svelte *</t>
        </is>
      </c>
      <c r="Q1109" s="191" t="inlineStr">
        <is>
          <t>P3</t>
        </is>
      </c>
      <c r="R1109" s="191" t="inlineStr">
        <is>
          <t>📅 Schedule patch deployment within 30 days | 🔍 Monitor for exploitation attempts</t>
        </is>
      </c>
      <c r="S1109" s="191" t="inlineStr">
        <is>
          <t>CVE - IP enrichment n/a</t>
        </is>
      </c>
      <c r="T1109" s="191" t="n">
        <v>0.0004</v>
      </c>
      <c r="U1109" s="191" t="n">
        <v>0.1326</v>
      </c>
      <c r="V1109" s="191" t="inlineStr">
        <is>
          <t>T1189:Drive-by Compromise</t>
        </is>
      </c>
      <c r="W1109" s="191" t="n">
        <v>2</v>
      </c>
      <c r="X1109" s="191" t="inlineStr">
        <is>
          <t>MEDIUM (52%)</t>
        </is>
      </c>
      <c r="Y1109" s="191" t="inlineStr">
        <is>
          <t>UNLIKELY</t>
        </is>
      </c>
      <c r="Z1109" s="191" t="inlineStr">
        <is>
          <t>PATCH_AVAILABLE</t>
        </is>
      </c>
      <c r="AA1109" s="192" t="inlineStr">
        <is>
          <t>https://nvd.nist.gov/vuln/detail/CVE-2026-27122</t>
        </is>
      </c>
      <c r="AB1109" s="191" t="inlineStr">
        <is>
          <t>NONE</t>
        </is>
      </c>
      <c r="AC1109" s="191" t="n">
        <v>0</v>
      </c>
      <c r="AD1109" s="191" t="n"/>
    </row>
    <row r="1110">
      <c r="A1110" s="191" t="inlineStr">
        <is>
          <t>CVE</t>
        </is>
      </c>
      <c r="B1110" s="191" t="inlineStr">
        <is>
          <t>CVE-2026-27125</t>
        </is>
      </c>
      <c r="C1110" s="191" t="inlineStr">
        <is>
          <t>svelte performance oriented web framework. Prior to 5.51.5, in server-side rendering, attribute spreading on elements (e.g. ) enumerates inherited properties from the object's prototype chain rather than only own properties. In environments where Object.prototype has already been polluted — a precondition outside of Svelte's control — this can cause unexpected attributes to appear in SSR output or cause SSR to throw errors. Client-side rendering is not affected. This vulnerability is fixed in 5.</t>
        </is>
      </c>
      <c r="D1110" s="191" t="n">
        <v>6.8</v>
      </c>
      <c r="E1110" s="191" t="inlineStr">
        <is>
          <t>MEDIUM</t>
        </is>
      </c>
      <c r="F1110" s="191" t="n">
        <v>2</v>
      </c>
      <c r="G1110" s="191" t="n">
        <v>2</v>
      </c>
      <c r="H1110" s="191" t="inlineStr">
        <is>
          <t>MEDIUM</t>
        </is>
      </c>
      <c r="I1110" s="191" t="n">
        <v>10.8</v>
      </c>
      <c r="J1110" s="191" t="inlineStr">
        <is>
          <t>NO</t>
        </is>
      </c>
      <c r="K1110" s="192" t="inlineStr">
        <is>
          <t>https://nvd.nist.gov/vuln/detail/CVE-2026-27125</t>
        </is>
      </c>
      <c r="L1110" s="191" t="inlineStr">
        <is>
          <t>2026-02-23 23:48</t>
        </is>
      </c>
      <c r="M1110" s="191" t="inlineStr">
        <is>
          <t>YES</t>
        </is>
      </c>
      <c r="N1110" s="192" t="inlineStr">
        <is>
          <t>https://github.com/sveltejs/svelte/commit/73098bb26c6f06e7fd1b0746d817d2c5ee90755f | https://github.com/sveltejs/svelte/security/advisories/GHSA-crpf-4hrx-3jrp</t>
        </is>
      </c>
      <c r="O1110" s="191" t="inlineStr">
        <is>
          <t>Apply vendor patches</t>
        </is>
      </c>
      <c r="P1110" s="191" t="inlineStr">
        <is>
          <t>svelte svelte *</t>
        </is>
      </c>
      <c r="Q1110" s="191" t="inlineStr">
        <is>
          <t>P3</t>
        </is>
      </c>
      <c r="R1110" s="191" t="inlineStr">
        <is>
          <t>📅 Schedule patch deployment within 30 days | 🔍 Monitor for exploitation attempts</t>
        </is>
      </c>
      <c r="S1110" s="191" t="inlineStr">
        <is>
          <t>CVE - IP enrichment n/a</t>
        </is>
      </c>
      <c r="T1110" s="191" t="n">
        <v>0</v>
      </c>
      <c r="U1110" s="191" t="n">
        <v>0</v>
      </c>
      <c r="V1110" s="191" t="inlineStr">
        <is>
          <t>T1190:Exploit Public-Facing Application</t>
        </is>
      </c>
      <c r="W1110" s="191" t="n">
        <v>2</v>
      </c>
      <c r="X1110" s="191" t="inlineStr">
        <is>
          <t>MEDIUM (52%)</t>
        </is>
      </c>
      <c r="Y1110" s="191" t="inlineStr">
        <is>
          <t>UNLIKELY</t>
        </is>
      </c>
      <c r="Z1110" s="191" t="inlineStr">
        <is>
          <t>PATCH_AVAILABLE</t>
        </is>
      </c>
      <c r="AA1110" s="192" t="inlineStr">
        <is>
          <t>https://nvd.nist.gov/vuln/detail/CVE-2026-27125</t>
        </is>
      </c>
      <c r="AB1110" s="191" t="inlineStr">
        <is>
          <t>NONE</t>
        </is>
      </c>
      <c r="AC1110" s="191" t="n">
        <v>0</v>
      </c>
      <c r="AD1110" s="191" t="n"/>
    </row>
    <row r="1111">
      <c r="A1111" s="191" t="inlineStr">
        <is>
          <t>CVE</t>
        </is>
      </c>
      <c r="B1111" s="191" t="inlineStr">
        <is>
          <t>CVE-2026-27133</t>
        </is>
      </c>
      <c r="C1111" s="191" t="inlineStr">
        <is>
          <t>Strimzi provides a way to run an Apache Kafka cluster on Kubernetes or OpenShift in various deployment configurations. From 0.47.0 to before 0.50.1, when a chain consisting of multiple CA (Certificate Authority) certificates is used in the trusted certificates configuration of a Kafka Connect operand or of the target cluster in the Kafka MirrorMaker 2 operand, all of the certificates that are part of the CA chain will be trusted individually when connecting to the Apache Kafka cluster. Due to th</t>
        </is>
      </c>
      <c r="D1111" s="191" t="n">
        <v>5.9</v>
      </c>
      <c r="E1111" s="191" t="inlineStr">
        <is>
          <t>MEDIUM</t>
        </is>
      </c>
      <c r="F1111" s="191" t="n">
        <v>2</v>
      </c>
      <c r="G1111" s="191" t="n">
        <v>2</v>
      </c>
      <c r="H1111" s="191" t="inlineStr">
        <is>
          <t>MEDIUM</t>
        </is>
      </c>
      <c r="I1111" s="191" t="n">
        <v>9.9</v>
      </c>
      <c r="J1111" s="191" t="inlineStr">
        <is>
          <t>NO</t>
        </is>
      </c>
      <c r="K1111" s="192" t="inlineStr">
        <is>
          <t>https://nvd.nist.gov/vuln/detail/CVE-2026-27133</t>
        </is>
      </c>
      <c r="L1111" s="191" t="inlineStr">
        <is>
          <t>2026-02-23 23:48</t>
        </is>
      </c>
      <c r="M1111" s="191" t="inlineStr">
        <is>
          <t>CHECK_VENDOR</t>
        </is>
      </c>
      <c r="N1111" s="191" t="inlineStr">
        <is>
          <t>See NVD references</t>
        </is>
      </c>
      <c r="O1111" s="191" t="inlineStr">
        <is>
          <t>Apply vendor patches</t>
        </is>
      </c>
      <c r="P1111" s="191" t="inlineStr">
        <is>
          <t>See CVE details</t>
        </is>
      </c>
      <c r="Q1111" s="191" t="inlineStr">
        <is>
          <t>P4</t>
        </is>
      </c>
      <c r="R1111" s="191" t="inlineStr">
        <is>
          <t>📅 Schedule patch deployment within 30 days | 🔍 Monitor for exploitation attempts</t>
        </is>
      </c>
      <c r="S1111" s="191" t="inlineStr">
        <is>
          <t>CVE - IP enrichment n/a</t>
        </is>
      </c>
      <c r="T1111" s="191" t="n">
        <v>0</v>
      </c>
      <c r="U1111" s="191" t="n">
        <v>0</v>
      </c>
      <c r="V1111" s="191" t="inlineStr">
        <is>
          <t>T1190:Exploit Public-Facing Application</t>
        </is>
      </c>
      <c r="W1111" s="191" t="n">
        <v>1</v>
      </c>
      <c r="X1111" s="191" t="inlineStr">
        <is>
          <t>LOW (40%)</t>
        </is>
      </c>
      <c r="Y1111" s="191" t="inlineStr">
        <is>
          <t>UNLIKELY</t>
        </is>
      </c>
      <c r="Z1111" s="191" t="inlineStr">
        <is>
          <t>CHECK_VENDOR</t>
        </is>
      </c>
      <c r="AA1111" s="192" t="inlineStr">
        <is>
          <t>https://nvd.nist.gov/vuln/detail/CVE-2026-27133</t>
        </is>
      </c>
      <c r="AB1111" s="191" t="inlineStr">
        <is>
          <t>NONE</t>
        </is>
      </c>
      <c r="AC1111" s="191" t="n">
        <v>0</v>
      </c>
      <c r="AD1111" s="191" t="n"/>
    </row>
    <row r="1112">
      <c r="A1112" s="189" t="inlineStr">
        <is>
          <t>CVE</t>
        </is>
      </c>
      <c r="B1112" s="189" t="inlineStr">
        <is>
          <t>CVE-2026-2033</t>
        </is>
      </c>
      <c r="C1112" s="189" t="inlineStr">
        <is>
          <t>MLflow Tracking Server Artifact Handler Directory Traversal Remote Code Execution Vulnerability. This vulnerability allows remote attackers to execute arbitrary code on affected installations of MLflow Tracking Server. Authentication is not required to exploit this vulnerability.
The specific flaw exists within the handling of artifact file paths. The issue results from the lack of proper validation of a user-supplied path prior to using it in file operations. An attacker can leverage this vuln</t>
        </is>
      </c>
      <c r="D1112" s="189" t="n">
        <v>8.1</v>
      </c>
      <c r="E1112" s="189" t="inlineStr">
        <is>
          <t>HIGH</t>
        </is>
      </c>
      <c r="F1112" s="189" t="n">
        <v>2</v>
      </c>
      <c r="G1112" s="189" t="n">
        <v>3</v>
      </c>
      <c r="H1112" s="189" t="inlineStr">
        <is>
          <t>HIGH</t>
        </is>
      </c>
      <c r="I1112" s="189" t="n">
        <v>14.1</v>
      </c>
      <c r="J1112" s="189" t="inlineStr">
        <is>
          <t>NO</t>
        </is>
      </c>
      <c r="K1112" s="190" t="inlineStr">
        <is>
          <t>https://nvd.nist.gov/vuln/detail/CVE-2026-2033</t>
        </is>
      </c>
      <c r="L1112" s="189" t="inlineStr">
        <is>
          <t>2026-02-23 23:48</t>
        </is>
      </c>
      <c r="M1112" s="189" t="inlineStr">
        <is>
          <t>CHECK_VENDOR</t>
        </is>
      </c>
      <c r="N1112" s="189" t="inlineStr">
        <is>
          <t>See NVD references</t>
        </is>
      </c>
      <c r="O1112" s="189" t="inlineStr">
        <is>
          <t>Apply vendor patches</t>
        </is>
      </c>
      <c r="P1112" s="189" t="inlineStr">
        <is>
          <t>See CVE details</t>
        </is>
      </c>
      <c r="Q1112" s="189" t="inlineStr">
        <is>
          <t>P1</t>
        </is>
      </c>
      <c r="R1112" s="189" t="inlineStr">
        <is>
          <t>🚨 URGENT: Apply vendor patches immediately | 🔒 Isolate affected systems if patch unavailable | 🛡️ Enable additional monitoring/IDS rules</t>
        </is>
      </c>
      <c r="S1112" s="189" t="inlineStr">
        <is>
          <t>CVE - IP enrichment n/a</t>
        </is>
      </c>
      <c r="T1112" s="189" t="n">
        <v>0</v>
      </c>
      <c r="U1112" s="189" t="n">
        <v>0</v>
      </c>
      <c r="V1112" s="189" t="inlineStr">
        <is>
          <t>T1083:File and Directory Discovery | T1190:Exploit Public-Facing Application | T1210:Exploitation of Remote Services</t>
        </is>
      </c>
      <c r="W1112" s="189" t="n">
        <v>2</v>
      </c>
      <c r="X1112" s="189" t="inlineStr">
        <is>
          <t>HIGH (72%)</t>
        </is>
      </c>
      <c r="Y1112" s="189" t="inlineStr">
        <is>
          <t>HIGH</t>
        </is>
      </c>
      <c r="Z1112" s="189" t="inlineStr">
        <is>
          <t>CHECK_VENDOR</t>
        </is>
      </c>
      <c r="AA1112" s="190" t="inlineStr">
        <is>
          <t>https://nvd.nist.gov/vuln/detail/CVE-2026-2033</t>
        </is>
      </c>
      <c r="AB1112" s="190" t="inlineStr">
        <is>
          <t>http://www.zerodayinitiative.com/advisories/ZDI-26-105/</t>
        </is>
      </c>
      <c r="AC1112" s="189" t="n">
        <v>0</v>
      </c>
      <c r="AD1112" s="189" t="n"/>
    </row>
    <row r="1113">
      <c r="A1113" s="189" t="inlineStr">
        <is>
          <t>CVE</t>
        </is>
      </c>
      <c r="B1113" s="189" t="inlineStr">
        <is>
          <t>CVE-2026-2034</t>
        </is>
      </c>
      <c r="C1113" s="189" t="inlineStr">
        <is>
          <t>Sante DICOM Viewer Pro DCM File Parsing Buffer Overflow Remote Code Execution Vulnerability. This vulnerability allows remote attackers to execute arbitrary code on affected installations of Sante DICOM Viewer Pro. User interaction is required to exploit this vulnerability in that the target must visit a malicious page or open a malicious file.
The specific flaw exists within the parsing of DCM files. The issue results from the lack of proper validation of the length of user-supplied data prior</t>
        </is>
      </c>
      <c r="D1113" s="189" t="n">
        <v>7.8</v>
      </c>
      <c r="E1113" s="189" t="inlineStr">
        <is>
          <t>HIGH</t>
        </is>
      </c>
      <c r="F1113" s="189" t="n">
        <v>2</v>
      </c>
      <c r="G1113" s="189" t="n">
        <v>3</v>
      </c>
      <c r="H1113" s="189" t="inlineStr">
        <is>
          <t>HIGH</t>
        </is>
      </c>
      <c r="I1113" s="189" t="n">
        <v>13.8</v>
      </c>
      <c r="J1113" s="189" t="inlineStr">
        <is>
          <t>NO</t>
        </is>
      </c>
      <c r="K1113" s="190" t="inlineStr">
        <is>
          <t>https://nvd.nist.gov/vuln/detail/CVE-2026-2034</t>
        </is>
      </c>
      <c r="L1113" s="189" t="inlineStr">
        <is>
          <t>2026-02-23 23:48</t>
        </is>
      </c>
      <c r="M1113" s="189" t="inlineStr">
        <is>
          <t>CHECK_VENDOR</t>
        </is>
      </c>
      <c r="N1113" s="189" t="inlineStr">
        <is>
          <t>See NVD references</t>
        </is>
      </c>
      <c r="O1113" s="189" t="inlineStr">
        <is>
          <t>Apply vendor patches</t>
        </is>
      </c>
      <c r="P1113" s="189" t="inlineStr">
        <is>
          <t>See CVE details</t>
        </is>
      </c>
      <c r="Q1113" s="189" t="inlineStr">
        <is>
          <t>P1</t>
        </is>
      </c>
      <c r="R1113" s="189" t="inlineStr">
        <is>
          <t>🚨 URGENT: Apply vendor patches immediately | 🔒 Isolate affected systems if patch unavailable | 🛡️ Enable additional monitoring/IDS rules</t>
        </is>
      </c>
      <c r="S1113" s="189" t="inlineStr">
        <is>
          <t>CVE - IP enrichment n/a</t>
        </is>
      </c>
      <c r="T1113" s="189" t="n">
        <v>0</v>
      </c>
      <c r="U1113" s="189" t="n">
        <v>0</v>
      </c>
      <c r="V1113" s="189" t="inlineStr">
        <is>
          <t>T1203:Exploitation for Client Execution | T1190:Exploit Public-Facing Application | T1210:Exploitation of Remote Services</t>
        </is>
      </c>
      <c r="W1113" s="189" t="n">
        <v>2</v>
      </c>
      <c r="X1113" s="189" t="inlineStr">
        <is>
          <t>HIGH (72%)</t>
        </is>
      </c>
      <c r="Y1113" s="189" t="inlineStr">
        <is>
          <t>HIGH</t>
        </is>
      </c>
      <c r="Z1113" s="189" t="inlineStr">
        <is>
          <t>CHECK_VENDOR</t>
        </is>
      </c>
      <c r="AA1113" s="190" t="inlineStr">
        <is>
          <t>https://nvd.nist.gov/vuln/detail/CVE-2026-2034</t>
        </is>
      </c>
      <c r="AB1113" s="190" t="inlineStr">
        <is>
          <t>http://www.zerodayinitiative.com/advisories/ZDI-26-104/</t>
        </is>
      </c>
      <c r="AC1113" s="189" t="n">
        <v>0</v>
      </c>
      <c r="AD1113" s="189" t="n"/>
    </row>
    <row r="1114">
      <c r="A1114" s="191" t="inlineStr">
        <is>
          <t>CVE</t>
        </is>
      </c>
      <c r="B1114" s="191" t="inlineStr">
        <is>
          <t>CVE-2026-2035</t>
        </is>
      </c>
      <c r="C1114" s="191" t="inlineStr">
        <is>
          <t>Deciso OPNsense diag_backup.php filename Command Injection Remote Code Execution Vulnerability. This vulnerability allows network-adjacent attackers to execute arbitrary code on affected installations of Deciso OPNsense. Authentication is required to exploit this vulnerability.
The specific flaw exists within the handling of backup configuration files. The issue results from the lack of proper validation of a user-supplied string before using it to execute a system call. An attacker can leverag</t>
        </is>
      </c>
      <c r="D1114" s="191" t="n">
        <v>6.8</v>
      </c>
      <c r="E1114" s="191" t="inlineStr">
        <is>
          <t>MEDIUM</t>
        </is>
      </c>
      <c r="F1114" s="191" t="n">
        <v>2</v>
      </c>
      <c r="G1114" s="191" t="n">
        <v>2</v>
      </c>
      <c r="H1114" s="191" t="inlineStr">
        <is>
          <t>MEDIUM</t>
        </is>
      </c>
      <c r="I1114" s="191" t="n">
        <v>10.8</v>
      </c>
      <c r="J1114" s="191" t="inlineStr">
        <is>
          <t>NO</t>
        </is>
      </c>
      <c r="K1114" s="192" t="inlineStr">
        <is>
          <t>https://nvd.nist.gov/vuln/detail/CVE-2026-2035</t>
        </is>
      </c>
      <c r="L1114" s="191" t="inlineStr">
        <is>
          <t>2026-02-23 23:48</t>
        </is>
      </c>
      <c r="M1114" s="191" t="inlineStr">
        <is>
          <t>CHECK_VENDOR</t>
        </is>
      </c>
      <c r="N1114" s="191" t="inlineStr">
        <is>
          <t>See NVD references</t>
        </is>
      </c>
      <c r="O1114" s="191" t="inlineStr">
        <is>
          <t>Apply vendor patches</t>
        </is>
      </c>
      <c r="P1114" s="191" t="inlineStr">
        <is>
          <t>See CVE details</t>
        </is>
      </c>
      <c r="Q1114" s="191" t="inlineStr">
        <is>
          <t>P1</t>
        </is>
      </c>
      <c r="R1114" s="191" t="inlineStr">
        <is>
          <t>📅 Schedule patch deployment within 30 days | 🔍 Monitor for exploitation attempts</t>
        </is>
      </c>
      <c r="S1114" s="191" t="inlineStr">
        <is>
          <t>CVE - IP enrichment n/a</t>
        </is>
      </c>
      <c r="T1114" s="191" t="n">
        <v>0.0017</v>
      </c>
      <c r="U1114" s="191" t="n">
        <v>0.3764</v>
      </c>
      <c r="V1114" s="191" t="inlineStr">
        <is>
          <t>T1059:Command and Scripting Interpreter | T1190:Exploit Public-Facing Application | T1210:Exploitation of Remote Services</t>
        </is>
      </c>
      <c r="W1114" s="191" t="n">
        <v>2</v>
      </c>
      <c r="X1114" s="191" t="inlineStr">
        <is>
          <t>HIGH (72%)</t>
        </is>
      </c>
      <c r="Y1114" s="191" t="inlineStr">
        <is>
          <t>HIGH</t>
        </is>
      </c>
      <c r="Z1114" s="191" t="inlineStr">
        <is>
          <t>CHECK_VENDOR</t>
        </is>
      </c>
      <c r="AA1114" s="192" t="inlineStr">
        <is>
          <t>https://nvd.nist.gov/vuln/detail/CVE-2026-2035</t>
        </is>
      </c>
      <c r="AB1114" s="192" t="inlineStr">
        <is>
          <t>http://www.zerodayinitiative.com/advisories/ZDI-26-123/</t>
        </is>
      </c>
      <c r="AC1114" s="191" t="n">
        <v>0</v>
      </c>
      <c r="AD1114" s="191" t="n"/>
    </row>
    <row r="1115">
      <c r="A1115" s="189" t="inlineStr">
        <is>
          <t>CVE</t>
        </is>
      </c>
      <c r="B1115" s="189" t="inlineStr">
        <is>
          <t>CVE-2026-2036</t>
        </is>
      </c>
      <c r="C1115" s="189" t="inlineStr">
        <is>
          <t>GFI Archiver MArc.Store Deserialization of Untrusted Data Remote Code Execution Vulnerability. This vulnerability allows remote attackers to execute arbitrary code on affected installations of GFI Archiver. Although authentication is required to exploit this vulnerability, the existing authentication mechanism can be bypassed.
The specific flaw exists within the configuration of the MArc.Store.Remoting.exe process. The issue results from the lack of proper validation of user-supplied data, whic</t>
        </is>
      </c>
      <c r="D1115" s="189" t="n">
        <v>8.800000000000001</v>
      </c>
      <c r="E1115" s="189" t="inlineStr">
        <is>
          <t>HIGH</t>
        </is>
      </c>
      <c r="F1115" s="189" t="n">
        <v>2</v>
      </c>
      <c r="G1115" s="189" t="n">
        <v>3</v>
      </c>
      <c r="H1115" s="189" t="inlineStr">
        <is>
          <t>HIGH</t>
        </is>
      </c>
      <c r="I1115" s="189" t="n">
        <v>14.8</v>
      </c>
      <c r="J1115" s="189" t="inlineStr">
        <is>
          <t>NO</t>
        </is>
      </c>
      <c r="K1115" s="190" t="inlineStr">
        <is>
          <t>https://nvd.nist.gov/vuln/detail/CVE-2026-2036</t>
        </is>
      </c>
      <c r="L1115" s="189" t="inlineStr">
        <is>
          <t>2026-02-23 23:48</t>
        </is>
      </c>
      <c r="M1115" s="189" t="inlineStr">
        <is>
          <t>CHECK_VENDOR</t>
        </is>
      </c>
      <c r="N1115" s="189" t="inlineStr">
        <is>
          <t>See NVD references</t>
        </is>
      </c>
      <c r="O1115" s="189" t="inlineStr">
        <is>
          <t>Apply vendor patches</t>
        </is>
      </c>
      <c r="P1115" s="189" t="inlineStr">
        <is>
          <t>See CVE details</t>
        </is>
      </c>
      <c r="Q1115" s="189" t="inlineStr">
        <is>
          <t>P1</t>
        </is>
      </c>
      <c r="R1115" s="189" t="inlineStr">
        <is>
          <t>🚨 URGENT: Apply vendor patches immediately | 🔒 Isolate affected systems if patch unavailable | 🛡️ Enable additional monitoring/IDS rules</t>
        </is>
      </c>
      <c r="S1115" s="189" t="inlineStr">
        <is>
          <t>CVE - IP enrichment n/a</t>
        </is>
      </c>
      <c r="T1115" s="189" t="n">
        <v>0</v>
      </c>
      <c r="U1115" s="189" t="n">
        <v>0</v>
      </c>
      <c r="V1115" s="189" t="inlineStr">
        <is>
          <t>T1059:Command and Scripting Interpreter | T1190:Exploit Public-Facing Application | T1210:Exploitation of Remote Services</t>
        </is>
      </c>
      <c r="W1115" s="189" t="n">
        <v>2</v>
      </c>
      <c r="X1115" s="189" t="inlineStr">
        <is>
          <t>HIGH (72%)</t>
        </is>
      </c>
      <c r="Y1115" s="189" t="inlineStr">
        <is>
          <t>HIGH</t>
        </is>
      </c>
      <c r="Z1115" s="189" t="inlineStr">
        <is>
          <t>CHECK_VENDOR</t>
        </is>
      </c>
      <c r="AA1115" s="190" t="inlineStr">
        <is>
          <t>https://nvd.nist.gov/vuln/detail/CVE-2026-2036</t>
        </is>
      </c>
      <c r="AB1115" s="190" t="inlineStr">
        <is>
          <t>http://www.zerodayinitiative.com/advisories/ZDI-26-123/</t>
        </is>
      </c>
      <c r="AC1115" s="189" t="n">
        <v>0</v>
      </c>
      <c r="AD1115" s="189" t="n"/>
    </row>
    <row r="1116">
      <c r="A1116" s="189" t="inlineStr">
        <is>
          <t>CVE</t>
        </is>
      </c>
      <c r="B1116" s="189" t="inlineStr">
        <is>
          <t>CVE-2026-2037</t>
        </is>
      </c>
      <c r="C1116" s="189" t="inlineStr">
        <is>
          <t>GFI Archiver MArc.Core Deserialization of Untrusted Data Remote Code Execution Vulnerability. This vulnerability allows remote attackers to execute arbitrary code on affected installations of GFI Archiver. Although authentication is required to exploit this vulnerability, the existing authentication mechanism can be bypassed.
The specific flaw exists within the configuration of the MArc.Core.Remoting.exe process, which listens on port 8017. The issue results from the lack of proper validation o</t>
        </is>
      </c>
      <c r="D1116" s="189" t="n">
        <v>8.800000000000001</v>
      </c>
      <c r="E1116" s="189" t="inlineStr">
        <is>
          <t>HIGH</t>
        </is>
      </c>
      <c r="F1116" s="189" t="n">
        <v>2</v>
      </c>
      <c r="G1116" s="189" t="n">
        <v>3</v>
      </c>
      <c r="H1116" s="189" t="inlineStr">
        <is>
          <t>HIGH</t>
        </is>
      </c>
      <c r="I1116" s="189" t="n">
        <v>14.8</v>
      </c>
      <c r="J1116" s="189" t="inlineStr">
        <is>
          <t>NO</t>
        </is>
      </c>
      <c r="K1116" s="190" t="inlineStr">
        <is>
          <t>https://nvd.nist.gov/vuln/detail/CVE-2026-2037</t>
        </is>
      </c>
      <c r="L1116" s="189" t="inlineStr">
        <is>
          <t>2026-02-23 23:48</t>
        </is>
      </c>
      <c r="M1116" s="189" t="inlineStr">
        <is>
          <t>CHECK_VENDOR</t>
        </is>
      </c>
      <c r="N1116" s="189" t="inlineStr">
        <is>
          <t>See NVD references</t>
        </is>
      </c>
      <c r="O1116" s="189" t="inlineStr">
        <is>
          <t>Apply vendor patches</t>
        </is>
      </c>
      <c r="P1116" s="189" t="inlineStr">
        <is>
          <t>See CVE details</t>
        </is>
      </c>
      <c r="Q1116" s="189" t="inlineStr">
        <is>
          <t>P1</t>
        </is>
      </c>
      <c r="R1116" s="189" t="inlineStr">
        <is>
          <t>🚨 URGENT: Apply vendor patches immediately | 🔒 Isolate affected systems if patch unavailable | 🛡️ Enable additional monitoring/IDS rules</t>
        </is>
      </c>
      <c r="S1116" s="189" t="inlineStr">
        <is>
          <t>CVE - IP enrichment n/a</t>
        </is>
      </c>
      <c r="T1116" s="189" t="n">
        <v>0</v>
      </c>
      <c r="U1116" s="189" t="n">
        <v>0</v>
      </c>
      <c r="V1116" s="189" t="inlineStr">
        <is>
          <t>T1059:Command and Scripting Interpreter | T1190:Exploit Public-Facing Application | T1210:Exploitation of Remote Services</t>
        </is>
      </c>
      <c r="W1116" s="189" t="n">
        <v>2</v>
      </c>
      <c r="X1116" s="189" t="inlineStr">
        <is>
          <t>HIGH (72%)</t>
        </is>
      </c>
      <c r="Y1116" s="189" t="inlineStr">
        <is>
          <t>HIGH</t>
        </is>
      </c>
      <c r="Z1116" s="189" t="inlineStr">
        <is>
          <t>CHECK_VENDOR</t>
        </is>
      </c>
      <c r="AA1116" s="190" t="inlineStr">
        <is>
          <t>https://nvd.nist.gov/vuln/detail/CVE-2026-2037</t>
        </is>
      </c>
      <c r="AB1116" s="190" t="inlineStr">
        <is>
          <t>http://www.zerodayinitiative.com/advisories/ZDI-26-123/</t>
        </is>
      </c>
      <c r="AC1116" s="189" t="n">
        <v>0</v>
      </c>
      <c r="AD1116" s="189" t="n"/>
    </row>
    <row r="1117">
      <c r="A1117" s="189" t="inlineStr">
        <is>
          <t>CVE</t>
        </is>
      </c>
      <c r="B1117" s="189" t="inlineStr">
        <is>
          <t>CVE-2026-2038</t>
        </is>
      </c>
      <c r="C1117" s="189" t="inlineStr">
        <is>
          <t>GFI Archiver MArc.Core Missing Authorization Authentication Bypass Vulnerability. This vulnerability allows remote attackers to bypass authentication on affected installations of GFI Archiver. Authentication is not required to exploit this vulnerability.
The specific flaw exists within the configuration of the MArc.Core.Remoting.exe process, which listens on port 8017. The issue results from the lack of authorization prior to allowing access to functionality. An attacker can leverage this in co</t>
        </is>
      </c>
      <c r="D1117" s="189" t="n">
        <v>7.3</v>
      </c>
      <c r="E1117" s="189" t="inlineStr">
        <is>
          <t>HIGH</t>
        </is>
      </c>
      <c r="F1117" s="189" t="n">
        <v>2</v>
      </c>
      <c r="G1117" s="189" t="n">
        <v>3</v>
      </c>
      <c r="H1117" s="189" t="inlineStr">
        <is>
          <t>HIGH</t>
        </is>
      </c>
      <c r="I1117" s="189" t="n">
        <v>13.3</v>
      </c>
      <c r="J1117" s="189" t="inlineStr">
        <is>
          <t>NO</t>
        </is>
      </c>
      <c r="K1117" s="190" t="inlineStr">
        <is>
          <t>https://nvd.nist.gov/vuln/detail/CVE-2026-2038</t>
        </is>
      </c>
      <c r="L1117" s="189" t="inlineStr">
        <is>
          <t>2026-02-23 23:48</t>
        </is>
      </c>
      <c r="M1117" s="189" t="inlineStr">
        <is>
          <t>CHECK_VENDOR</t>
        </is>
      </c>
      <c r="N1117" s="189" t="inlineStr">
        <is>
          <t>See NVD references</t>
        </is>
      </c>
      <c r="O1117" s="189" t="inlineStr">
        <is>
          <t>Apply vendor patches</t>
        </is>
      </c>
      <c r="P1117" s="189" t="inlineStr">
        <is>
          <t>See CVE details</t>
        </is>
      </c>
      <c r="Q1117" s="189" t="inlineStr">
        <is>
          <t>P1</t>
        </is>
      </c>
      <c r="R1117" s="189" t="inlineStr">
        <is>
          <t>🚨 URGENT: Apply vendor patches immediately | 🔒 Isolate affected systems if patch unavailable | 🛡️ Enable additional monitoring/IDS rules</t>
        </is>
      </c>
      <c r="S1117" s="189" t="inlineStr">
        <is>
          <t>CVE - IP enrichment n/a</t>
        </is>
      </c>
      <c r="T1117" s="189" t="n">
        <v>0</v>
      </c>
      <c r="U1117" s="189" t="n">
        <v>0</v>
      </c>
      <c r="V1117" s="189" t="inlineStr">
        <is>
          <t>T1078:Valid Accounts</t>
        </is>
      </c>
      <c r="W1117" s="189" t="n">
        <v>2</v>
      </c>
      <c r="X1117" s="189" t="inlineStr">
        <is>
          <t>HIGH (72%)</t>
        </is>
      </c>
      <c r="Y1117" s="189" t="inlineStr">
        <is>
          <t>HIGH</t>
        </is>
      </c>
      <c r="Z1117" s="189" t="inlineStr">
        <is>
          <t>CHECK_VENDOR</t>
        </is>
      </c>
      <c r="AA1117" s="190" t="inlineStr">
        <is>
          <t>https://nvd.nist.gov/vuln/detail/CVE-2026-2038</t>
        </is>
      </c>
      <c r="AB1117" s="190" t="inlineStr">
        <is>
          <t>http://www.zerodayinitiative.com/advisories/ZDI-26-123/</t>
        </is>
      </c>
      <c r="AC1117" s="189" t="n">
        <v>0</v>
      </c>
      <c r="AD1117" s="189" t="n"/>
    </row>
    <row r="1118">
      <c r="A1118" s="189" t="inlineStr">
        <is>
          <t>CVE</t>
        </is>
      </c>
      <c r="B1118" s="189" t="inlineStr">
        <is>
          <t>CVE-2026-2039</t>
        </is>
      </c>
      <c r="C1118" s="189" t="inlineStr">
        <is>
          <t xml:space="preserve">GFI Archiver MArc.Store Missing Authorization Authentication Bypass Vulnerability. This vulnerability allows remote attackers to bypass authentication on affected installations of GFI Archiver. Authentication is not required to exploit this vulnerability.
The specific flaw exists within the configuration of the MArc.Store.Remoting.exe process, which listens on port 8018. The issue results from the lack of authorization prior to allowing access to functionality. An attacker can leverage this in </t>
        </is>
      </c>
      <c r="D1118" s="189" t="n">
        <v>7.3</v>
      </c>
      <c r="E1118" s="189" t="inlineStr">
        <is>
          <t>HIGH</t>
        </is>
      </c>
      <c r="F1118" s="189" t="n">
        <v>2</v>
      </c>
      <c r="G1118" s="189" t="n">
        <v>3</v>
      </c>
      <c r="H1118" s="189" t="inlineStr">
        <is>
          <t>HIGH</t>
        </is>
      </c>
      <c r="I1118" s="189" t="n">
        <v>13.3</v>
      </c>
      <c r="J1118" s="189" t="inlineStr">
        <is>
          <t>NO</t>
        </is>
      </c>
      <c r="K1118" s="190" t="inlineStr">
        <is>
          <t>https://nvd.nist.gov/vuln/detail/CVE-2026-2039</t>
        </is>
      </c>
      <c r="L1118" s="189" t="inlineStr">
        <is>
          <t>2026-02-23 23:48</t>
        </is>
      </c>
      <c r="M1118" s="189" t="inlineStr">
        <is>
          <t>CHECK_VENDOR</t>
        </is>
      </c>
      <c r="N1118" s="189" t="inlineStr">
        <is>
          <t>See NVD references</t>
        </is>
      </c>
      <c r="O1118" s="189" t="inlineStr">
        <is>
          <t>Apply vendor patches</t>
        </is>
      </c>
      <c r="P1118" s="189" t="inlineStr">
        <is>
          <t>See CVE details</t>
        </is>
      </c>
      <c r="Q1118" s="189" t="inlineStr">
        <is>
          <t>P1</t>
        </is>
      </c>
      <c r="R1118" s="189" t="inlineStr">
        <is>
          <t>🚨 URGENT: Apply vendor patches immediately | 🔒 Isolate affected systems if patch unavailable | 🛡️ Enable additional monitoring/IDS rules</t>
        </is>
      </c>
      <c r="S1118" s="189" t="inlineStr">
        <is>
          <t>CVE - IP enrichment n/a</t>
        </is>
      </c>
      <c r="T1118" s="189" t="n">
        <v>0</v>
      </c>
      <c r="U1118" s="189" t="n">
        <v>0</v>
      </c>
      <c r="V1118" s="189" t="inlineStr">
        <is>
          <t>T1078:Valid Accounts</t>
        </is>
      </c>
      <c r="W1118" s="189" t="n">
        <v>2</v>
      </c>
      <c r="X1118" s="189" t="inlineStr">
        <is>
          <t>HIGH (72%)</t>
        </is>
      </c>
      <c r="Y1118" s="189" t="inlineStr">
        <is>
          <t>HIGH</t>
        </is>
      </c>
      <c r="Z1118" s="189" t="inlineStr">
        <is>
          <t>CHECK_VENDOR</t>
        </is>
      </c>
      <c r="AA1118" s="190" t="inlineStr">
        <is>
          <t>https://nvd.nist.gov/vuln/detail/CVE-2026-2039</t>
        </is>
      </c>
      <c r="AB1118" s="190" t="inlineStr">
        <is>
          <t>http://www.zerodayinitiative.com/advisories/ZDI-26-123/</t>
        </is>
      </c>
      <c r="AC1118" s="189" t="n">
        <v>0</v>
      </c>
      <c r="AD1118" s="189" t="n"/>
    </row>
    <row r="1119">
      <c r="A1119" s="189" t="inlineStr">
        <is>
          <t>CVE</t>
        </is>
      </c>
      <c r="B1119" s="189" t="inlineStr">
        <is>
          <t>CVE-2026-2040</t>
        </is>
      </c>
      <c r="C1119" s="189" t="inlineStr">
        <is>
          <t>PDF-XChange Editor TrackerUpdate Uncontrolled Search Path Element Local Privilege Escalation Vulnerability. This vulnerability allows local attackers to escalate privileges on affected installations of PDF-XChange Editor. An attacker must first obtain the ability to execute low-privileged code on the target system in order to exploit this vulnerability.
The specific flaw exists within the TrackerUpdate process. The product loads a library from an unsecured location. An attacker can leverage thi</t>
        </is>
      </c>
      <c r="D1119" s="189" t="n">
        <v>7.3</v>
      </c>
      <c r="E1119" s="189" t="inlineStr">
        <is>
          <t>HIGH</t>
        </is>
      </c>
      <c r="F1119" s="189" t="n">
        <v>2</v>
      </c>
      <c r="G1119" s="189" t="n">
        <v>3</v>
      </c>
      <c r="H1119" s="189" t="inlineStr">
        <is>
          <t>HIGH</t>
        </is>
      </c>
      <c r="I1119" s="189" t="n">
        <v>13.3</v>
      </c>
      <c r="J1119" s="189" t="inlineStr">
        <is>
          <t>NO</t>
        </is>
      </c>
      <c r="K1119" s="190" t="inlineStr">
        <is>
          <t>https://nvd.nist.gov/vuln/detail/CVE-2026-2040</t>
        </is>
      </c>
      <c r="L1119" s="189" t="inlineStr">
        <is>
          <t>2026-02-23 23:48</t>
        </is>
      </c>
      <c r="M1119" s="189" t="inlineStr">
        <is>
          <t>CHECK_VENDOR</t>
        </is>
      </c>
      <c r="N1119" s="189" t="inlineStr">
        <is>
          <t>See NVD references</t>
        </is>
      </c>
      <c r="O1119" s="189" t="inlineStr">
        <is>
          <t>Apply vendor patches</t>
        </is>
      </c>
      <c r="P1119" s="189" t="inlineStr">
        <is>
          <t>See CVE details</t>
        </is>
      </c>
      <c r="Q1119" s="189" t="inlineStr">
        <is>
          <t>P1</t>
        </is>
      </c>
      <c r="R1119" s="189" t="inlineStr">
        <is>
          <t>🚨 URGENT: Apply vendor patches immediately | 🔒 Isolate affected systems if patch unavailable | 🛡️ Enable additional monitoring/IDS rules</t>
        </is>
      </c>
      <c r="S1119" s="189" t="inlineStr">
        <is>
          <t>CVE - IP enrichment n/a</t>
        </is>
      </c>
      <c r="T1119" s="189" t="n">
        <v>0.0001</v>
      </c>
      <c r="U1119" s="189" t="n">
        <v>0.0248</v>
      </c>
      <c r="V1119" s="189" t="inlineStr">
        <is>
          <t>T1068:Exploitation for Privilege Escalation</t>
        </is>
      </c>
      <c r="W1119" s="189" t="n">
        <v>2</v>
      </c>
      <c r="X1119" s="189" t="inlineStr">
        <is>
          <t>HIGH (72%)</t>
        </is>
      </c>
      <c r="Y1119" s="189" t="inlineStr">
        <is>
          <t>HIGH</t>
        </is>
      </c>
      <c r="Z1119" s="189" t="inlineStr">
        <is>
          <t>CHECK_VENDOR</t>
        </is>
      </c>
      <c r="AA1119" s="190" t="inlineStr">
        <is>
          <t>https://nvd.nist.gov/vuln/detail/CVE-2026-2040</t>
        </is>
      </c>
      <c r="AB1119" s="190" t="inlineStr">
        <is>
          <t>http://www.zerodayinitiative.com/advisories/ZDI-26-122/</t>
        </is>
      </c>
      <c r="AC1119" s="189" t="n">
        <v>0</v>
      </c>
      <c r="AD1119" s="189" t="n"/>
    </row>
    <row r="1120">
      <c r="A1120" s="189" t="inlineStr">
        <is>
          <t>CVE</t>
        </is>
      </c>
      <c r="B1120" s="189" t="inlineStr">
        <is>
          <t>CVE-2026-2041</t>
        </is>
      </c>
      <c r="C1120" s="189" t="inlineStr">
        <is>
          <t>Nagios Host zabbixagent_configwizard_func Command Injection Remote Code Execution Vulnerability. This vulnerability allows remote attackers to execute arbitrary code on affected installations of Nagios Host. Authentication is required to exploit this vulnerability.
The specific flaw exists within the zabbixagent_configwizard_func method. The issue results from the lack of proper validation of a user-supplied string before using it to execute a system call. An attacker can leverage this vulnerab</t>
        </is>
      </c>
      <c r="D1120" s="189" t="n">
        <v>7.2</v>
      </c>
      <c r="E1120" s="189" t="inlineStr">
        <is>
          <t>HIGH</t>
        </is>
      </c>
      <c r="F1120" s="189" t="n">
        <v>2</v>
      </c>
      <c r="G1120" s="189" t="n">
        <v>3</v>
      </c>
      <c r="H1120" s="189" t="inlineStr">
        <is>
          <t>HIGH</t>
        </is>
      </c>
      <c r="I1120" s="189" t="n">
        <v>13.2</v>
      </c>
      <c r="J1120" s="189" t="inlineStr">
        <is>
          <t>NO</t>
        </is>
      </c>
      <c r="K1120" s="190" t="inlineStr">
        <is>
          <t>https://nvd.nist.gov/vuln/detail/CVE-2026-2041</t>
        </is>
      </c>
      <c r="L1120" s="189" t="inlineStr">
        <is>
          <t>2026-02-23 23:48</t>
        </is>
      </c>
      <c r="M1120" s="189" t="inlineStr">
        <is>
          <t>CHECK_VENDOR</t>
        </is>
      </c>
      <c r="N1120" s="189" t="inlineStr">
        <is>
          <t>See NVD references</t>
        </is>
      </c>
      <c r="O1120" s="189" t="inlineStr">
        <is>
          <t>Apply vendor patches</t>
        </is>
      </c>
      <c r="P1120" s="189" t="inlineStr">
        <is>
          <t>See CVE details</t>
        </is>
      </c>
      <c r="Q1120" s="189" t="inlineStr">
        <is>
          <t>P1</t>
        </is>
      </c>
      <c r="R1120" s="189" t="inlineStr">
        <is>
          <t>🚨 URGENT: Apply vendor patches immediately | 🔒 Isolate affected systems if patch unavailable | 🛡️ Enable additional monitoring/IDS rules</t>
        </is>
      </c>
      <c r="S1120" s="189" t="inlineStr">
        <is>
          <t>CVE - IP enrichment n/a</t>
        </is>
      </c>
      <c r="T1120" s="189" t="n">
        <v>0</v>
      </c>
      <c r="U1120" s="189" t="n">
        <v>0</v>
      </c>
      <c r="V1120" s="189" t="inlineStr">
        <is>
          <t>T1059:Command and Scripting Interpreter | T1190:Exploit Public-Facing Application | T1210:Exploitation of Remote Services</t>
        </is>
      </c>
      <c r="W1120" s="189" t="n">
        <v>2</v>
      </c>
      <c r="X1120" s="189" t="inlineStr">
        <is>
          <t>HIGH (72%)</t>
        </is>
      </c>
      <c r="Y1120" s="189" t="inlineStr">
        <is>
          <t>HIGH</t>
        </is>
      </c>
      <c r="Z1120" s="189" t="inlineStr">
        <is>
          <t>CHECK_VENDOR</t>
        </is>
      </c>
      <c r="AA1120" s="190" t="inlineStr">
        <is>
          <t>https://nvd.nist.gov/vuln/detail/CVE-2026-2041</t>
        </is>
      </c>
      <c r="AB1120" s="190" t="inlineStr">
        <is>
          <t>http://www.zerodayinitiative.com/advisories/ZDI-26-123/</t>
        </is>
      </c>
      <c r="AC1120" s="189" t="n">
        <v>0</v>
      </c>
      <c r="AD1120" s="189" t="n"/>
    </row>
    <row r="1121">
      <c r="A1121" s="189" t="inlineStr">
        <is>
          <t>CVE</t>
        </is>
      </c>
      <c r="B1121" s="189" t="inlineStr">
        <is>
          <t>CVE-2026-2042</t>
        </is>
      </c>
      <c r="C1121" s="189" t="inlineStr">
        <is>
          <t>Nagios Host monitoringwizard Command Injection Remote Code Execution Vulnerability. This vulnerability allows remote attackers to execute arbitrary code on affected installations of Nagios Host. Authentication is required to exploit this vulnerability.
The specific flaw exists within the monitoringwizard module. The issue results from the lack of proper validation of a user-supplied string before using it to execute a system call. An attacker can leverage this vulnerability to execute code in t</t>
        </is>
      </c>
      <c r="D1121" s="189" t="n">
        <v>7.2</v>
      </c>
      <c r="E1121" s="189" t="inlineStr">
        <is>
          <t>HIGH</t>
        </is>
      </c>
      <c r="F1121" s="189" t="n">
        <v>2</v>
      </c>
      <c r="G1121" s="189" t="n">
        <v>3</v>
      </c>
      <c r="H1121" s="189" t="inlineStr">
        <is>
          <t>HIGH</t>
        </is>
      </c>
      <c r="I1121" s="189" t="n">
        <v>13.2</v>
      </c>
      <c r="J1121" s="189" t="inlineStr">
        <is>
          <t>NO</t>
        </is>
      </c>
      <c r="K1121" s="190" t="inlineStr">
        <is>
          <t>https://nvd.nist.gov/vuln/detail/CVE-2026-2042</t>
        </is>
      </c>
      <c r="L1121" s="189" t="inlineStr">
        <is>
          <t>2026-02-23 23:48</t>
        </is>
      </c>
      <c r="M1121" s="189" t="inlineStr">
        <is>
          <t>CHECK_VENDOR</t>
        </is>
      </c>
      <c r="N1121" s="189" t="inlineStr">
        <is>
          <t>See NVD references</t>
        </is>
      </c>
      <c r="O1121" s="189" t="inlineStr">
        <is>
          <t>Apply vendor patches</t>
        </is>
      </c>
      <c r="P1121" s="189" t="inlineStr">
        <is>
          <t>See CVE details</t>
        </is>
      </c>
      <c r="Q1121" s="189" t="inlineStr">
        <is>
          <t>P1</t>
        </is>
      </c>
      <c r="R1121" s="189" t="inlineStr">
        <is>
          <t>🚨 URGENT: Apply vendor patches immediately | 🔒 Isolate affected systems if patch unavailable | 🛡️ Enable additional monitoring/IDS rules</t>
        </is>
      </c>
      <c r="S1121" s="189" t="inlineStr">
        <is>
          <t>CVE - IP enrichment n/a</t>
        </is>
      </c>
      <c r="T1121" s="189" t="n">
        <v>0</v>
      </c>
      <c r="U1121" s="189" t="n">
        <v>0</v>
      </c>
      <c r="V1121" s="189" t="inlineStr">
        <is>
          <t>T1059:Command and Scripting Interpreter | T1190:Exploit Public-Facing Application | T1210:Exploitation of Remote Services</t>
        </is>
      </c>
      <c r="W1121" s="189" t="n">
        <v>2</v>
      </c>
      <c r="X1121" s="189" t="inlineStr">
        <is>
          <t>HIGH (72%)</t>
        </is>
      </c>
      <c r="Y1121" s="189" t="inlineStr">
        <is>
          <t>HIGH</t>
        </is>
      </c>
      <c r="Z1121" s="189" t="inlineStr">
        <is>
          <t>CHECK_VENDOR</t>
        </is>
      </c>
      <c r="AA1121" s="190" t="inlineStr">
        <is>
          <t>https://nvd.nist.gov/vuln/detail/CVE-2026-2042</t>
        </is>
      </c>
      <c r="AB1121" s="190" t="inlineStr">
        <is>
          <t>http://www.zerodayinitiative.com/advisories/ZDI-26-123/</t>
        </is>
      </c>
      <c r="AC1121" s="189" t="n">
        <v>0</v>
      </c>
      <c r="AD1121" s="189" t="n"/>
    </row>
    <row r="1122">
      <c r="A1122" s="189" t="inlineStr">
        <is>
          <t>CVE</t>
        </is>
      </c>
      <c r="B1122" s="189" t="inlineStr">
        <is>
          <t>CVE-2026-2043</t>
        </is>
      </c>
      <c r="C1122" s="189" t="inlineStr">
        <is>
          <t>Nagios Host esensors_websensor_configwizard_func Command Injection Remote Code Execution Vulnerability. This vulnerability allows remote attackers to execute arbitrary code on affected installations of Nagios Host. Authentication is required to exploit this vulnerability.
The specific flaw exists within the esensors_websensor_configwizard_func method. The issue results from the lack of proper validation of a user-supplied string before using it to execute a system call. An attacker can leverage</t>
        </is>
      </c>
      <c r="D1122" s="189" t="n">
        <v>7.2</v>
      </c>
      <c r="E1122" s="189" t="inlineStr">
        <is>
          <t>HIGH</t>
        </is>
      </c>
      <c r="F1122" s="189" t="n">
        <v>2</v>
      </c>
      <c r="G1122" s="189" t="n">
        <v>3</v>
      </c>
      <c r="H1122" s="189" t="inlineStr">
        <is>
          <t>HIGH</t>
        </is>
      </c>
      <c r="I1122" s="189" t="n">
        <v>13.2</v>
      </c>
      <c r="J1122" s="189" t="inlineStr">
        <is>
          <t>NO</t>
        </is>
      </c>
      <c r="K1122" s="190" t="inlineStr">
        <is>
          <t>https://nvd.nist.gov/vuln/detail/CVE-2026-2043</t>
        </is>
      </c>
      <c r="L1122" s="189" t="inlineStr">
        <is>
          <t>2026-02-23 23:48</t>
        </is>
      </c>
      <c r="M1122" s="189" t="inlineStr">
        <is>
          <t>CHECK_VENDOR</t>
        </is>
      </c>
      <c r="N1122" s="189" t="inlineStr">
        <is>
          <t>See NVD references</t>
        </is>
      </c>
      <c r="O1122" s="189" t="inlineStr">
        <is>
          <t>Apply vendor patches</t>
        </is>
      </c>
      <c r="P1122" s="189" t="inlineStr">
        <is>
          <t>See CVE details</t>
        </is>
      </c>
      <c r="Q1122" s="189" t="inlineStr">
        <is>
          <t>P1</t>
        </is>
      </c>
      <c r="R1122" s="189" t="inlineStr">
        <is>
          <t>🚨 URGENT: Apply vendor patches immediately | 🔒 Isolate affected systems if patch unavailable | 🛡️ Enable additional monitoring/IDS rules</t>
        </is>
      </c>
      <c r="S1122" s="189" t="inlineStr">
        <is>
          <t>CVE - IP enrichment n/a</t>
        </is>
      </c>
      <c r="T1122" s="189" t="n">
        <v>0</v>
      </c>
      <c r="U1122" s="189" t="n">
        <v>0</v>
      </c>
      <c r="V1122" s="189" t="inlineStr">
        <is>
          <t>T1059:Command and Scripting Interpreter | T1190:Exploit Public-Facing Application | T1210:Exploitation of Remote Services</t>
        </is>
      </c>
      <c r="W1122" s="189" t="n">
        <v>2</v>
      </c>
      <c r="X1122" s="189" t="inlineStr">
        <is>
          <t>HIGH (72%)</t>
        </is>
      </c>
      <c r="Y1122" s="189" t="inlineStr">
        <is>
          <t>HIGH</t>
        </is>
      </c>
      <c r="Z1122" s="189" t="inlineStr">
        <is>
          <t>CHECK_VENDOR</t>
        </is>
      </c>
      <c r="AA1122" s="190" t="inlineStr">
        <is>
          <t>https://nvd.nist.gov/vuln/detail/CVE-2026-2043</t>
        </is>
      </c>
      <c r="AB1122" s="190" t="inlineStr">
        <is>
          <t>http://www.zerodayinitiative.com/advisories/ZDI-26-123/</t>
        </is>
      </c>
      <c r="AC1122" s="189" t="n">
        <v>0</v>
      </c>
      <c r="AD1122" s="189" t="n"/>
    </row>
    <row r="1123">
      <c r="A1123" s="189" t="inlineStr">
        <is>
          <t>CVE</t>
        </is>
      </c>
      <c r="B1123" s="189" t="inlineStr">
        <is>
          <t>CVE-2026-2044</t>
        </is>
      </c>
      <c r="C1123" s="189" t="inlineStr">
        <is>
          <t>GIMP PGM File Parsing Uninitialized Memory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PGM files. The issue results from the lack of proper initialization of memory prior to accessing it. An attacker can leverage this vulne</t>
        </is>
      </c>
      <c r="D1123" s="189" t="n">
        <v>7.8</v>
      </c>
      <c r="E1123" s="189" t="inlineStr">
        <is>
          <t>HIGH</t>
        </is>
      </c>
      <c r="F1123" s="189" t="n">
        <v>2</v>
      </c>
      <c r="G1123" s="189" t="n">
        <v>3</v>
      </c>
      <c r="H1123" s="189" t="inlineStr">
        <is>
          <t>HIGH</t>
        </is>
      </c>
      <c r="I1123" s="189" t="n">
        <v>13.8</v>
      </c>
      <c r="J1123" s="189" t="inlineStr">
        <is>
          <t>NO</t>
        </is>
      </c>
      <c r="K1123" s="190" t="inlineStr">
        <is>
          <t>https://nvd.nist.gov/vuln/detail/CVE-2026-2044</t>
        </is>
      </c>
      <c r="L1123" s="189" t="inlineStr">
        <is>
          <t>2026-02-23 23:48</t>
        </is>
      </c>
      <c r="M1123" s="189" t="inlineStr">
        <is>
          <t>CHECK_VENDOR</t>
        </is>
      </c>
      <c r="N1123" s="189" t="inlineStr">
        <is>
          <t>See NVD references</t>
        </is>
      </c>
      <c r="O1123" s="189" t="inlineStr">
        <is>
          <t>Apply vendor patches</t>
        </is>
      </c>
      <c r="P1123" s="189" t="inlineStr">
        <is>
          <t>See CVE details</t>
        </is>
      </c>
      <c r="Q1123" s="189" t="inlineStr">
        <is>
          <t>P1</t>
        </is>
      </c>
      <c r="R1123" s="189" t="inlineStr">
        <is>
          <t>🚨 URGENT: Apply vendor patches immediately | 🔒 Isolate affected systems if patch unavailable | 🛡️ Enable additional monitoring/IDS rules</t>
        </is>
      </c>
      <c r="S1123" s="189" t="inlineStr">
        <is>
          <t>CVE - IP enrichment n/a</t>
        </is>
      </c>
      <c r="T1123" s="189" t="n">
        <v>0</v>
      </c>
      <c r="U1123" s="189" t="n">
        <v>0</v>
      </c>
      <c r="V1123" s="189" t="inlineStr">
        <is>
          <t>T1190:Exploit Public-Facing Application | T1210:Exploitation of Remote Services | T1203:Exploitation for Client Execution</t>
        </is>
      </c>
      <c r="W1123" s="189" t="n">
        <v>3</v>
      </c>
      <c r="X1123" s="189" t="inlineStr">
        <is>
          <t>HIGH (85%)</t>
        </is>
      </c>
      <c r="Y1123" s="189" t="inlineStr">
        <is>
          <t>HIGH</t>
        </is>
      </c>
      <c r="Z1123" s="189" t="inlineStr">
        <is>
          <t>CHECK_VENDOR</t>
        </is>
      </c>
      <c r="AA1123" s="190" t="inlineStr">
        <is>
          <t>https://nvd.nist.gov/vuln/detail/CVE-2026-2044</t>
        </is>
      </c>
      <c r="AB1123" s="190" t="inlineStr">
        <is>
          <t>http://www.zerodayinitiative.com/advisories/ZDI-26-118/</t>
        </is>
      </c>
      <c r="AC1123" s="189" t="n">
        <v>0</v>
      </c>
      <c r="AD1123" s="189" t="n"/>
    </row>
    <row r="1124">
      <c r="A1124" s="189" t="inlineStr">
        <is>
          <t>CVE</t>
        </is>
      </c>
      <c r="B1124" s="189" t="inlineStr">
        <is>
          <t>CVE-2026-2045</t>
        </is>
      </c>
      <c r="C1124" s="189" t="inlineStr">
        <is>
          <t>GIMP XWD File Parsing Out-Of-Bounds Write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XWD files. The issue results from the lack of proper validation of user-supplied data, which can result in a write past the end of an all</t>
        </is>
      </c>
      <c r="D1124" s="189" t="n">
        <v>7.8</v>
      </c>
      <c r="E1124" s="189" t="inlineStr">
        <is>
          <t>HIGH</t>
        </is>
      </c>
      <c r="F1124" s="189" t="n">
        <v>2</v>
      </c>
      <c r="G1124" s="189" t="n">
        <v>3</v>
      </c>
      <c r="H1124" s="189" t="inlineStr">
        <is>
          <t>HIGH</t>
        </is>
      </c>
      <c r="I1124" s="189" t="n">
        <v>13.8</v>
      </c>
      <c r="J1124" s="189" t="inlineStr">
        <is>
          <t>NO</t>
        </is>
      </c>
      <c r="K1124" s="190" t="inlineStr">
        <is>
          <t>https://nvd.nist.gov/vuln/detail/CVE-2026-2045</t>
        </is>
      </c>
      <c r="L1124" s="189" t="inlineStr">
        <is>
          <t>2026-02-23 23:48</t>
        </is>
      </c>
      <c r="M1124" s="189" t="inlineStr">
        <is>
          <t>CHECK_VENDOR</t>
        </is>
      </c>
      <c r="N1124" s="189" t="inlineStr">
        <is>
          <t>See NVD references</t>
        </is>
      </c>
      <c r="O1124" s="189" t="inlineStr">
        <is>
          <t>Apply vendor patches</t>
        </is>
      </c>
      <c r="P1124" s="189" t="inlineStr">
        <is>
          <t>See CVE details</t>
        </is>
      </c>
      <c r="Q1124" s="189" t="inlineStr">
        <is>
          <t>P1</t>
        </is>
      </c>
      <c r="R1124" s="189" t="inlineStr">
        <is>
          <t>🚨 URGENT: Apply vendor patches immediately | 🔒 Isolate affected systems if patch unavailable | 🛡️ Enable additional monitoring/IDS rules</t>
        </is>
      </c>
      <c r="S1124" s="189" t="inlineStr">
        <is>
          <t>CVE - IP enrichment n/a</t>
        </is>
      </c>
      <c r="T1124" s="189" t="n">
        <v>0</v>
      </c>
      <c r="U1124" s="189" t="n">
        <v>0</v>
      </c>
      <c r="V1124" s="189" t="inlineStr">
        <is>
          <t>T1203:Exploitation for Client Execution | T1190:Exploit Public-Facing Application | T1210:Exploitation of Remote Services</t>
        </is>
      </c>
      <c r="W1124" s="189" t="n">
        <v>3</v>
      </c>
      <c r="X1124" s="189" t="inlineStr">
        <is>
          <t>HIGH (85%)</t>
        </is>
      </c>
      <c r="Y1124" s="189" t="inlineStr">
        <is>
          <t>HIGH</t>
        </is>
      </c>
      <c r="Z1124" s="189" t="inlineStr">
        <is>
          <t>CHECK_VENDOR</t>
        </is>
      </c>
      <c r="AA1124" s="190" t="inlineStr">
        <is>
          <t>https://nvd.nist.gov/vuln/detail/CVE-2026-2045</t>
        </is>
      </c>
      <c r="AB1124" s="190" t="inlineStr">
        <is>
          <t>http://www.zerodayinitiative.com/advisories/ZDI-26-119/</t>
        </is>
      </c>
      <c r="AC1124" s="189" t="n">
        <v>0</v>
      </c>
      <c r="AD1124" s="189" t="n"/>
    </row>
    <row r="1125">
      <c r="A1125" s="189" t="inlineStr">
        <is>
          <t>CVE</t>
        </is>
      </c>
      <c r="B1125" s="189" t="inlineStr">
        <is>
          <t>CVE-2026-2047</t>
        </is>
      </c>
      <c r="C1125" s="189" t="inlineStr">
        <is>
          <t>GIMP ICNS File Parsing Heap-based Buffer Overflow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ICNS files. The issue results from the lack of proper validation of the length of user-supplied data prior to copying it to a hea</t>
        </is>
      </c>
      <c r="D1125" s="189" t="n">
        <v>7.8</v>
      </c>
      <c r="E1125" s="189" t="inlineStr">
        <is>
          <t>HIGH</t>
        </is>
      </c>
      <c r="F1125" s="189" t="n">
        <v>2</v>
      </c>
      <c r="G1125" s="189" t="n">
        <v>3</v>
      </c>
      <c r="H1125" s="189" t="inlineStr">
        <is>
          <t>HIGH</t>
        </is>
      </c>
      <c r="I1125" s="189" t="n">
        <v>13.8</v>
      </c>
      <c r="J1125" s="189" t="inlineStr">
        <is>
          <t>NO</t>
        </is>
      </c>
      <c r="K1125" s="190" t="inlineStr">
        <is>
          <t>https://nvd.nist.gov/vuln/detail/CVE-2026-2047</t>
        </is>
      </c>
      <c r="L1125" s="189" t="inlineStr">
        <is>
          <t>2026-02-23 23:48</t>
        </is>
      </c>
      <c r="M1125" s="189" t="inlineStr">
        <is>
          <t>CHECK_VENDOR</t>
        </is>
      </c>
      <c r="N1125" s="189" t="inlineStr">
        <is>
          <t>See NVD references</t>
        </is>
      </c>
      <c r="O1125" s="189" t="inlineStr">
        <is>
          <t>Apply vendor patches</t>
        </is>
      </c>
      <c r="P1125" s="189" t="inlineStr">
        <is>
          <t>See CVE details</t>
        </is>
      </c>
      <c r="Q1125" s="189" t="inlineStr">
        <is>
          <t>P1</t>
        </is>
      </c>
      <c r="R1125" s="189" t="inlineStr">
        <is>
          <t>🚨 URGENT: Apply vendor patches immediately | 🔒 Isolate affected systems if patch unavailable | 🛡️ Enable additional monitoring/IDS rules</t>
        </is>
      </c>
      <c r="S1125" s="189" t="inlineStr">
        <is>
          <t>CVE - IP enrichment n/a</t>
        </is>
      </c>
      <c r="T1125" s="189" t="n">
        <v>0</v>
      </c>
      <c r="U1125" s="189" t="n">
        <v>0</v>
      </c>
      <c r="V1125" s="189" t="inlineStr">
        <is>
          <t>T1190:Exploit Public-Facing Application | T1210:Exploitation of Remote Services | T1203:Exploitation for Client Execution</t>
        </is>
      </c>
      <c r="W1125" s="189" t="n">
        <v>3</v>
      </c>
      <c r="X1125" s="189" t="inlineStr">
        <is>
          <t>HIGH (85%)</t>
        </is>
      </c>
      <c r="Y1125" s="189" t="inlineStr">
        <is>
          <t>HIGH</t>
        </is>
      </c>
      <c r="Z1125" s="189" t="inlineStr">
        <is>
          <t>CHECK_VENDOR</t>
        </is>
      </c>
      <c r="AA1125" s="190" t="inlineStr">
        <is>
          <t>https://nvd.nist.gov/vuln/detail/CVE-2026-2047</t>
        </is>
      </c>
      <c r="AB1125" s="190" t="inlineStr">
        <is>
          <t>http://www.zerodayinitiative.com/advisories/ZDI-26-120/</t>
        </is>
      </c>
      <c r="AC1125" s="189" t="n">
        <v>0</v>
      </c>
      <c r="AD1125" s="189" t="n"/>
    </row>
    <row r="1126">
      <c r="A1126" s="189" t="inlineStr">
        <is>
          <t>CVE</t>
        </is>
      </c>
      <c r="B1126" s="189" t="inlineStr">
        <is>
          <t>CVE-2026-2048</t>
        </is>
      </c>
      <c r="C1126" s="189" t="inlineStr">
        <is>
          <t>GIMP XWD File Parsing Out-Of-Bounds Write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XWD files. The issue results from the lack of proper validation of user-supplied data, which can result in a write past the end of an all</t>
        </is>
      </c>
      <c r="D1126" s="189" t="n">
        <v>7.8</v>
      </c>
      <c r="E1126" s="189" t="inlineStr">
        <is>
          <t>HIGH</t>
        </is>
      </c>
      <c r="F1126" s="189" t="n">
        <v>2</v>
      </c>
      <c r="G1126" s="189" t="n">
        <v>3</v>
      </c>
      <c r="H1126" s="189" t="inlineStr">
        <is>
          <t>HIGH</t>
        </is>
      </c>
      <c r="I1126" s="189" t="n">
        <v>13.8</v>
      </c>
      <c r="J1126" s="189" t="inlineStr">
        <is>
          <t>NO</t>
        </is>
      </c>
      <c r="K1126" s="190" t="inlineStr">
        <is>
          <t>https://nvd.nist.gov/vuln/detail/CVE-2026-2048</t>
        </is>
      </c>
      <c r="L1126" s="189" t="inlineStr">
        <is>
          <t>2026-02-23 23:48</t>
        </is>
      </c>
      <c r="M1126" s="189" t="inlineStr">
        <is>
          <t>CHECK_VENDOR</t>
        </is>
      </c>
      <c r="N1126" s="189" t="inlineStr">
        <is>
          <t>See NVD references</t>
        </is>
      </c>
      <c r="O1126" s="189" t="inlineStr">
        <is>
          <t>Apply vendor patches</t>
        </is>
      </c>
      <c r="P1126" s="189" t="inlineStr">
        <is>
          <t>See CVE details</t>
        </is>
      </c>
      <c r="Q1126" s="189" t="inlineStr">
        <is>
          <t>P1</t>
        </is>
      </c>
      <c r="R1126" s="189" t="inlineStr">
        <is>
          <t>🚨 URGENT: Apply vendor patches immediately | 🔒 Isolate affected systems if patch unavailable | 🛡️ Enable additional monitoring/IDS rules</t>
        </is>
      </c>
      <c r="S1126" s="189" t="inlineStr">
        <is>
          <t>CVE - IP enrichment n/a</t>
        </is>
      </c>
      <c r="T1126" s="189" t="n">
        <v>0</v>
      </c>
      <c r="U1126" s="189" t="n">
        <v>0</v>
      </c>
      <c r="V1126" s="189" t="inlineStr">
        <is>
          <t>T1203:Exploitation for Client Execution | T1190:Exploit Public-Facing Application | T1210:Exploitation of Remote Services</t>
        </is>
      </c>
      <c r="W1126" s="189" t="n">
        <v>3</v>
      </c>
      <c r="X1126" s="189" t="inlineStr">
        <is>
          <t>HIGH (85%)</t>
        </is>
      </c>
      <c r="Y1126" s="189" t="inlineStr">
        <is>
          <t>HIGH</t>
        </is>
      </c>
      <c r="Z1126" s="189" t="inlineStr">
        <is>
          <t>CHECK_VENDOR</t>
        </is>
      </c>
      <c r="AA1126" s="190" t="inlineStr">
        <is>
          <t>https://nvd.nist.gov/vuln/detail/CVE-2026-2048</t>
        </is>
      </c>
      <c r="AB1126" s="190" t="inlineStr">
        <is>
          <t>http://www.zerodayinitiative.com/advisories/ZDI-26-121/</t>
        </is>
      </c>
      <c r="AC1126" s="189" t="n">
        <v>0</v>
      </c>
      <c r="AD1126" s="189" t="n"/>
    </row>
    <row r="1127">
      <c r="A1127" s="191" t="inlineStr">
        <is>
          <t>CVE</t>
        </is>
      </c>
      <c r="B1127" s="191" t="inlineStr">
        <is>
          <t>CVE-2026-2490</t>
        </is>
      </c>
      <c r="C1127" s="191" t="inlineStr">
        <is>
          <t>RustDesk Client for Windows Transfer File Link Following Information Disclosure Vulnerability. This vulnerability allows local attackers to disclose sensitive information on affected installations of RustDesk Client for Windows. An attacker must first obtain the ability to execute low-privileged code on the target system in order to exploit this vulnerability.
The specific flaw exists within the Transfer File feature. By uploading a symbolic link, an attacker can abuse the service to read arbit</t>
        </is>
      </c>
      <c r="D1127" s="191" t="n">
        <v>5.5</v>
      </c>
      <c r="E1127" s="191" t="inlineStr">
        <is>
          <t>MEDIUM</t>
        </is>
      </c>
      <c r="F1127" s="191" t="n">
        <v>2</v>
      </c>
      <c r="G1127" s="191" t="n">
        <v>2</v>
      </c>
      <c r="H1127" s="191" t="inlineStr">
        <is>
          <t>MEDIUM</t>
        </is>
      </c>
      <c r="I1127" s="191" t="n">
        <v>9.5</v>
      </c>
      <c r="J1127" s="191" t="inlineStr">
        <is>
          <t>NO</t>
        </is>
      </c>
      <c r="K1127" s="192" t="inlineStr">
        <is>
          <t>https://nvd.nist.gov/vuln/detail/CVE-2026-2490</t>
        </is>
      </c>
      <c r="L1127" s="191" t="inlineStr">
        <is>
          <t>2026-02-23 23:48</t>
        </is>
      </c>
      <c r="M1127" s="191" t="inlineStr">
        <is>
          <t>CHECK_VENDOR</t>
        </is>
      </c>
      <c r="N1127" s="191" t="inlineStr">
        <is>
          <t>See NVD references</t>
        </is>
      </c>
      <c r="O1127" s="191" t="inlineStr">
        <is>
          <t>Apply vendor patches</t>
        </is>
      </c>
      <c r="P1127" s="191" t="inlineStr">
        <is>
          <t>See CVE details</t>
        </is>
      </c>
      <c r="Q1127" s="191" t="inlineStr">
        <is>
          <t>P1</t>
        </is>
      </c>
      <c r="R1127" s="191" t="inlineStr">
        <is>
          <t>📅 Schedule patch deployment within 30 days | 🔍 Monitor for exploitation attempts</t>
        </is>
      </c>
      <c r="S1127" s="191" t="inlineStr">
        <is>
          <t>CVE - IP enrichment n/a</t>
        </is>
      </c>
      <c r="T1127" s="191" t="n">
        <v>0.0001</v>
      </c>
      <c r="U1127" s="191" t="n">
        <v>0.0293</v>
      </c>
      <c r="V1127" s="191" t="inlineStr">
        <is>
          <t>T1213:Data from Information Repositories</t>
        </is>
      </c>
      <c r="W1127" s="191" t="n">
        <v>2</v>
      </c>
      <c r="X1127" s="191" t="inlineStr">
        <is>
          <t>HIGH (72%)</t>
        </is>
      </c>
      <c r="Y1127" s="191" t="inlineStr">
        <is>
          <t>HIGH</t>
        </is>
      </c>
      <c r="Z1127" s="191" t="inlineStr">
        <is>
          <t>CHECK_VENDOR</t>
        </is>
      </c>
      <c r="AA1127" s="192" t="inlineStr">
        <is>
          <t>https://nvd.nist.gov/vuln/detail/CVE-2026-2490</t>
        </is>
      </c>
      <c r="AB1127" s="192" t="inlineStr">
        <is>
          <t>http://www.zerodayinitiative.com/advisories/ZDI-26-117/</t>
        </is>
      </c>
      <c r="AC1127" s="191" t="n">
        <v>0</v>
      </c>
      <c r="AD1127" s="191" t="n"/>
    </row>
    <row r="1128">
      <c r="A1128" s="189" t="inlineStr">
        <is>
          <t>CVE</t>
        </is>
      </c>
      <c r="B1128" s="189" t="inlineStr">
        <is>
          <t>CVE-2026-2492</t>
        </is>
      </c>
      <c r="C1128" s="189" t="inlineStr">
        <is>
          <t>TensorFlow HDF5 Library Uncontrolled Search Path Element Local Privilege Escalation Vulnerability. This vulnerability allows local attackers to escalate privileges on affected installations of TensorFlow. An attacker must first obtain the ability to execute low-privileged code on the target system in order to exploit this vulnerability.
The specific flaw exists within the handling of plugins. The application loads plugins from an unsecured location. An attacker can leverage this vulnerability t</t>
        </is>
      </c>
      <c r="D1128" s="189" t="n">
        <v>7</v>
      </c>
      <c r="E1128" s="189" t="inlineStr">
        <is>
          <t>HIGH</t>
        </is>
      </c>
      <c r="F1128" s="189" t="n">
        <v>2</v>
      </c>
      <c r="G1128" s="189" t="n">
        <v>3</v>
      </c>
      <c r="H1128" s="189" t="inlineStr">
        <is>
          <t>HIGH</t>
        </is>
      </c>
      <c r="I1128" s="189" t="n">
        <v>13</v>
      </c>
      <c r="J1128" s="189" t="inlineStr">
        <is>
          <t>NO</t>
        </is>
      </c>
      <c r="K1128" s="190" t="inlineStr">
        <is>
          <t>https://nvd.nist.gov/vuln/detail/CVE-2026-2492</t>
        </is>
      </c>
      <c r="L1128" s="189" t="inlineStr">
        <is>
          <t>2026-02-23 23:48</t>
        </is>
      </c>
      <c r="M1128" s="189" t="inlineStr">
        <is>
          <t>CHECK_VENDOR</t>
        </is>
      </c>
      <c r="N1128" s="189" t="inlineStr">
        <is>
          <t>See NVD references</t>
        </is>
      </c>
      <c r="O1128" s="189" t="inlineStr">
        <is>
          <t>Apply vendor patches</t>
        </is>
      </c>
      <c r="P1128" s="189" t="inlineStr">
        <is>
          <t>See CVE details</t>
        </is>
      </c>
      <c r="Q1128" s="189" t="inlineStr">
        <is>
          <t>P1</t>
        </is>
      </c>
      <c r="R1128" s="189" t="inlineStr">
        <is>
          <t>🚨 URGENT: Apply vendor patches immediately | 🔒 Isolate affected systems if patch unavailable | 🛡️ Enable additional monitoring/IDS rules</t>
        </is>
      </c>
      <c r="S1128" s="189" t="inlineStr">
        <is>
          <t>CVE - IP enrichment n/a</t>
        </is>
      </c>
      <c r="T1128" s="189" t="n">
        <v>0</v>
      </c>
      <c r="U1128" s="189" t="n">
        <v>0</v>
      </c>
      <c r="V1128" s="189" t="inlineStr">
        <is>
          <t>T1068:Exploitation for Privilege Escalation | T1203:Exploitation for Client Execution</t>
        </is>
      </c>
      <c r="W1128" s="189" t="n">
        <v>3</v>
      </c>
      <c r="X1128" s="189" t="inlineStr">
        <is>
          <t>HIGH (85%)</t>
        </is>
      </c>
      <c r="Y1128" s="189" t="inlineStr">
        <is>
          <t>HIGH</t>
        </is>
      </c>
      <c r="Z1128" s="189" t="inlineStr">
        <is>
          <t>CHECK_VENDOR</t>
        </is>
      </c>
      <c r="AA1128" s="190" t="inlineStr">
        <is>
          <t>https://nvd.nist.gov/vuln/detail/CVE-2026-2492</t>
        </is>
      </c>
      <c r="AB1128" s="190" t="inlineStr">
        <is>
          <t>http://www.zerodayinitiative.com/advisories/ZDI-26-116/</t>
        </is>
      </c>
      <c r="AC1128" s="189" t="n">
        <v>0</v>
      </c>
      <c r="AD1128" s="189" t="n"/>
    </row>
    <row r="1129">
      <c r="A1129" s="193" t="inlineStr">
        <is>
          <t>CVE</t>
        </is>
      </c>
      <c r="B1129" s="193" t="inlineStr">
        <is>
          <t>CVE-2026-2635</t>
        </is>
      </c>
      <c r="C1129" s="193" t="inlineStr">
        <is>
          <t>MLflow Use of Default Password Authentication Bypass Vulnerability. This vulnerability allows remote attackers to bypass authentication on affected installations of MLflow. Authentication is not required to exploit this vulnerability.
The specific flaw exists within the basic_auth.ini file. The file contains hard-coded default credentials. An attacker can leverage this vulnerability to bypass authentication and execute arbitrary code in the context of the administrator. Was ZDI-CAN-28256.</t>
        </is>
      </c>
      <c r="D1129" s="193" t="n">
        <v>9.800000000000001</v>
      </c>
      <c r="E1129" s="193" t="inlineStr">
        <is>
          <t>CRITICAL</t>
        </is>
      </c>
      <c r="F1129" s="193" t="n">
        <v>2</v>
      </c>
      <c r="G1129" s="193" t="n">
        <v>3</v>
      </c>
      <c r="H1129" s="193" t="inlineStr">
        <is>
          <t>HIGH</t>
        </is>
      </c>
      <c r="I1129" s="193" t="n">
        <v>15.8</v>
      </c>
      <c r="J1129" s="193" t="inlineStr">
        <is>
          <t>NO</t>
        </is>
      </c>
      <c r="K1129" s="194" t="inlineStr">
        <is>
          <t>https://nvd.nist.gov/vuln/detail/CVE-2026-2635</t>
        </is>
      </c>
      <c r="L1129" s="193" t="inlineStr">
        <is>
          <t>2026-02-23 23:48</t>
        </is>
      </c>
      <c r="M1129" s="193" t="inlineStr">
        <is>
          <t>CHECK_VENDOR</t>
        </is>
      </c>
      <c r="N1129" s="193" t="inlineStr">
        <is>
          <t>See NVD references</t>
        </is>
      </c>
      <c r="O1129" s="193" t="inlineStr">
        <is>
          <t>Apply vendor patches</t>
        </is>
      </c>
      <c r="P1129" s="193" t="inlineStr">
        <is>
          <t>See CVE details</t>
        </is>
      </c>
      <c r="Q1129" s="193" t="inlineStr">
        <is>
          <t>P1</t>
        </is>
      </c>
      <c r="R1129" s="193" t="inlineStr">
        <is>
          <t>🚨 URGENT: Apply vendor patches immediately | 🔒 Isolate affected systems if patch unavailable | 🛡️ Enable additional monitoring/IDS rules</t>
        </is>
      </c>
      <c r="S1129" s="193" t="inlineStr">
        <is>
          <t>CVE - IP enrichment n/a</t>
        </is>
      </c>
      <c r="T1129" s="193" t="n">
        <v>0</v>
      </c>
      <c r="U1129" s="193" t="n">
        <v>0</v>
      </c>
      <c r="V1129" s="193" t="inlineStr">
        <is>
          <t>T1078:Valid Accounts | T1552:Unsecured Credentials | T1203:Exploitation for Client Execution</t>
        </is>
      </c>
      <c r="W1129" s="193" t="n">
        <v>2</v>
      </c>
      <c r="X1129" s="193" t="inlineStr">
        <is>
          <t>HIGH (72%)</t>
        </is>
      </c>
      <c r="Y1129" s="193" t="inlineStr">
        <is>
          <t>HIGH</t>
        </is>
      </c>
      <c r="Z1129" s="193" t="inlineStr">
        <is>
          <t>CHECK_VENDOR</t>
        </is>
      </c>
      <c r="AA1129" s="194" t="inlineStr">
        <is>
          <t>https://nvd.nist.gov/vuln/detail/CVE-2026-2635</t>
        </is>
      </c>
      <c r="AB1129" s="194" t="inlineStr">
        <is>
          <t>http://www.zerodayinitiative.com/advisories/ZDI-26-111/</t>
        </is>
      </c>
      <c r="AC1129" s="193" t="n">
        <v>0</v>
      </c>
      <c r="AD1129" s="193" t="n"/>
    </row>
    <row r="1130">
      <c r="A1130" s="189" t="inlineStr">
        <is>
          <t>CVE</t>
        </is>
      </c>
      <c r="B1130" s="189" t="inlineStr">
        <is>
          <t>CVE-2026-27134</t>
        </is>
      </c>
      <c r="C1130" s="189" t="inlineStr">
        <is>
          <t xml:space="preserve">Strimzi provides a way to run an Apache Kafka cluster on Kubernetes or OpenShift in various deployment configurations. In versions  0.49.0 through 0.50.0, when using a custom Cluster or Clients CA with a multistage CA chain consisting of multiple CAs, Strimzi incorrectly configures the trusted certificates for mTLS authentication on the internal as well as user-configured listeners. All CAs from the CA chain will be trusted. And users with certificates signed by any of the CAs in the chain will </t>
        </is>
      </c>
      <c r="D1130" s="189" t="n">
        <v>8.1</v>
      </c>
      <c r="E1130" s="189" t="inlineStr">
        <is>
          <t>HIGH</t>
        </is>
      </c>
      <c r="F1130" s="189" t="n">
        <v>2</v>
      </c>
      <c r="G1130" s="189" t="n">
        <v>3</v>
      </c>
      <c r="H1130" s="189" t="inlineStr">
        <is>
          <t>HIGH</t>
        </is>
      </c>
      <c r="I1130" s="189" t="n">
        <v>14.1</v>
      </c>
      <c r="J1130" s="189" t="inlineStr">
        <is>
          <t>NO</t>
        </is>
      </c>
      <c r="K1130" s="190" t="inlineStr">
        <is>
          <t>https://nvd.nist.gov/vuln/detail/CVE-2026-27134</t>
        </is>
      </c>
      <c r="L1130" s="189" t="inlineStr">
        <is>
          <t>2026-02-23 23:48</t>
        </is>
      </c>
      <c r="M1130" s="189" t="inlineStr">
        <is>
          <t>CHECK_VENDOR</t>
        </is>
      </c>
      <c r="N1130" s="189" t="inlineStr">
        <is>
          <t>See NVD references</t>
        </is>
      </c>
      <c r="O1130" s="189" t="inlineStr">
        <is>
          <t>Apply vendor patches</t>
        </is>
      </c>
      <c r="P1130" s="189" t="inlineStr">
        <is>
          <t>See CVE details</t>
        </is>
      </c>
      <c r="Q1130" s="189" t="inlineStr">
        <is>
          <t>P3</t>
        </is>
      </c>
      <c r="R1130" s="189" t="inlineStr">
        <is>
          <t>🚨 URGENT: Apply vendor patches immediately | 🔒 Isolate affected systems if patch unavailable | 🛡️ Enable additional monitoring/IDS rules</t>
        </is>
      </c>
      <c r="S1130" s="189" t="inlineStr">
        <is>
          <t>CVE - IP enrichment n/a</t>
        </is>
      </c>
      <c r="T1130" s="189" t="n">
        <v>0</v>
      </c>
      <c r="U1130" s="189" t="n">
        <v>0</v>
      </c>
      <c r="V1130" s="189" t="inlineStr">
        <is>
          <t>T1078:Valid Accounts | T1110:Brute Force</t>
        </is>
      </c>
      <c r="W1130" s="189" t="n">
        <v>1</v>
      </c>
      <c r="X1130" s="189" t="inlineStr">
        <is>
          <t>LOW (40%)</t>
        </is>
      </c>
      <c r="Y1130" s="189" t="inlineStr">
        <is>
          <t>UNLIKELY</t>
        </is>
      </c>
      <c r="Z1130" s="189" t="inlineStr">
        <is>
          <t>CHECK_VENDOR</t>
        </is>
      </c>
      <c r="AA1130" s="190" t="inlineStr">
        <is>
          <t>https://nvd.nist.gov/vuln/detail/CVE-2026-27134</t>
        </is>
      </c>
      <c r="AB1130" s="189" t="inlineStr">
        <is>
          <t>NONE</t>
        </is>
      </c>
      <c r="AC1130" s="189" t="n">
        <v>0</v>
      </c>
      <c r="AD1130" s="189" t="n"/>
    </row>
    <row r="1131">
      <c r="A1131" s="191" t="inlineStr">
        <is>
          <t>CVE</t>
        </is>
      </c>
      <c r="B1131" s="191" t="inlineStr">
        <is>
          <t>CVE-2026-27146</t>
        </is>
      </c>
      <c r="C1131" s="191" t="inlineStr">
        <is>
          <t>GetSimple CMS is a content management system. All versions of GetSimple CMS do not implement CSRF protection on the administrative file upload endpoint. As a result, an attacker can craft a malicious web page that silently triggers a file upload request from an authenticated victim’s browser. The request is accepted without requiring a CSRF token or origin validation. This allows an attacker to upload arbitrary files to the application without the victim’s knowledge or consent. In order to explo</t>
        </is>
      </c>
      <c r="D1131" s="191" t="n">
        <v>5</v>
      </c>
      <c r="E1131" s="191" t="inlineStr">
        <is>
          <t>MEDIUM</t>
        </is>
      </c>
      <c r="F1131" s="191" t="n">
        <v>2</v>
      </c>
      <c r="G1131" s="191" t="n">
        <v>2</v>
      </c>
      <c r="H1131" s="191" t="inlineStr">
        <is>
          <t>MEDIUM</t>
        </is>
      </c>
      <c r="I1131" s="191" t="n">
        <v>9</v>
      </c>
      <c r="J1131" s="191" t="inlineStr">
        <is>
          <t>NO</t>
        </is>
      </c>
      <c r="K1131" s="192" t="inlineStr">
        <is>
          <t>https://nvd.nist.gov/vuln/detail/CVE-2026-27146</t>
        </is>
      </c>
      <c r="L1131" s="191" t="inlineStr">
        <is>
          <t>2026-02-23 23:48</t>
        </is>
      </c>
      <c r="M1131" s="191" t="inlineStr">
        <is>
          <t>CHECK_VENDOR</t>
        </is>
      </c>
      <c r="N1131" s="191" t="inlineStr">
        <is>
          <t>See NVD references</t>
        </is>
      </c>
      <c r="O1131" s="191" t="inlineStr">
        <is>
          <t>Apply vendor patches</t>
        </is>
      </c>
      <c r="P1131" s="191" t="inlineStr">
        <is>
          <t>See CVE details</t>
        </is>
      </c>
      <c r="Q1131" s="191" t="inlineStr">
        <is>
          <t>P4</t>
        </is>
      </c>
      <c r="R1131" s="191" t="inlineStr">
        <is>
          <t>📅 Schedule patch deployment within 30 days | 🔍 Monitor for exploitation attempts</t>
        </is>
      </c>
      <c r="S1131" s="191" t="inlineStr">
        <is>
          <t>CVE - IP enrichment n/a</t>
        </is>
      </c>
      <c r="T1131" s="191" t="n">
        <v>0</v>
      </c>
      <c r="U1131" s="191" t="n">
        <v>0</v>
      </c>
      <c r="V1131" s="191" t="inlineStr">
        <is>
          <t>T1185:Browser Session Hijacking</t>
        </is>
      </c>
      <c r="W1131" s="191" t="n">
        <v>1</v>
      </c>
      <c r="X1131" s="191" t="inlineStr">
        <is>
          <t>LOW (40%)</t>
        </is>
      </c>
      <c r="Y1131" s="191" t="inlineStr">
        <is>
          <t>UNLIKELY</t>
        </is>
      </c>
      <c r="Z1131" s="191" t="inlineStr">
        <is>
          <t>CHECK_VENDOR</t>
        </is>
      </c>
      <c r="AA1131" s="192" t="inlineStr">
        <is>
          <t>https://nvd.nist.gov/vuln/detail/CVE-2026-27146</t>
        </is>
      </c>
      <c r="AB1131" s="191" t="inlineStr">
        <is>
          <t>NONE</t>
        </is>
      </c>
      <c r="AC1131" s="191" t="n">
        <v>0</v>
      </c>
      <c r="AD1131" s="191" t="n"/>
    </row>
    <row r="1132">
      <c r="A1132" s="191" t="inlineStr">
        <is>
          <t>CVE</t>
        </is>
      </c>
      <c r="B1132" s="191" t="inlineStr">
        <is>
          <t>CVE-2026-27147</t>
        </is>
      </c>
      <c r="C1132" s="191" t="inlineStr">
        <is>
          <t>GetSimple CMS is a content management system. All versions of GetSimple CMS are vulnerable to XSS through SVG file uploads. Authenticated users can upload SVG files via the administrative upload functionality, but they are not properly sanitized or restricted, allowing an attacker to embed malicious JavaScript. When the uploaded SVG file is accessed, the script executes in the browser. This issue does not have a fix at the time of publication.</t>
        </is>
      </c>
      <c r="D1132" s="191" t="n">
        <v>5</v>
      </c>
      <c r="E1132" s="191" t="inlineStr">
        <is>
          <t>MEDIUM</t>
        </is>
      </c>
      <c r="F1132" s="191" t="n">
        <v>2</v>
      </c>
      <c r="G1132" s="191" t="n">
        <v>2</v>
      </c>
      <c r="H1132" s="191" t="inlineStr">
        <is>
          <t>MEDIUM</t>
        </is>
      </c>
      <c r="I1132" s="191" t="n">
        <v>9</v>
      </c>
      <c r="J1132" s="191" t="inlineStr">
        <is>
          <t>NO</t>
        </is>
      </c>
      <c r="K1132" s="192" t="inlineStr">
        <is>
          <t>https://nvd.nist.gov/vuln/detail/CVE-2026-27147</t>
        </is>
      </c>
      <c r="L1132" s="191" t="inlineStr">
        <is>
          <t>2026-02-23 23:48</t>
        </is>
      </c>
      <c r="M1132" s="191" t="inlineStr">
        <is>
          <t>CHECK_VENDOR</t>
        </is>
      </c>
      <c r="N1132" s="191" t="inlineStr">
        <is>
          <t>See NVD references</t>
        </is>
      </c>
      <c r="O1132" s="191" t="inlineStr">
        <is>
          <t>Apply vendor patches</t>
        </is>
      </c>
      <c r="P1132" s="191" t="inlineStr">
        <is>
          <t>See CVE details</t>
        </is>
      </c>
      <c r="Q1132" s="191" t="inlineStr">
        <is>
          <t>P4</t>
        </is>
      </c>
      <c r="R1132" s="191" t="inlineStr">
        <is>
          <t>📅 Schedule patch deployment within 30 days | 🔍 Monitor for exploitation attempts</t>
        </is>
      </c>
      <c r="S1132" s="191" t="inlineStr">
        <is>
          <t>CVE - IP enrichment n/a</t>
        </is>
      </c>
      <c r="T1132" s="191" t="n">
        <v>0</v>
      </c>
      <c r="U1132" s="191" t="n">
        <v>0</v>
      </c>
      <c r="V1132" s="191" t="inlineStr">
        <is>
          <t>T1189:Drive-by Compromise</t>
        </is>
      </c>
      <c r="W1132" s="191" t="n">
        <v>1</v>
      </c>
      <c r="X1132" s="191" t="inlineStr">
        <is>
          <t>LOW (40%)</t>
        </is>
      </c>
      <c r="Y1132" s="191" t="inlineStr">
        <is>
          <t>UNLIKELY</t>
        </is>
      </c>
      <c r="Z1132" s="191" t="inlineStr">
        <is>
          <t>CHECK_VENDOR</t>
        </is>
      </c>
      <c r="AA1132" s="192" t="inlineStr">
        <is>
          <t>https://nvd.nist.gov/vuln/detail/CVE-2026-27147</t>
        </is>
      </c>
      <c r="AB1132" s="191" t="inlineStr">
        <is>
          <t>NONE</t>
        </is>
      </c>
      <c r="AC1132" s="191" t="n">
        <v>0</v>
      </c>
      <c r="AD1132" s="191" t="n"/>
    </row>
    <row r="1133">
      <c r="A1133" s="189" t="inlineStr">
        <is>
          <t>CVE</t>
        </is>
      </c>
      <c r="B1133" s="189" t="inlineStr">
        <is>
          <t>CVE-2026-27161</t>
        </is>
      </c>
      <c r="C1133" s="189" t="inlineStr">
        <is>
          <t>GetSimple CMS is a content management system. All versions of GetSimple CMS rely on .htaccess files to restrict access to sensitive directories such as /data/ and /backups/. If Apache AllowOverride is disabled (common in hardened or shared hosting environments), these protections are silently ignored, allowing unauthenticated attackers to list and download sensitive files including authorization.xml, which contains cryptographic salts and API keys. This issue does not have a fix at the time of p</t>
        </is>
      </c>
      <c r="D1133" s="189" t="n">
        <v>8.5</v>
      </c>
      <c r="E1133" s="189" t="inlineStr">
        <is>
          <t>HIGH</t>
        </is>
      </c>
      <c r="F1133" s="189" t="n">
        <v>2</v>
      </c>
      <c r="G1133" s="189" t="n">
        <v>3</v>
      </c>
      <c r="H1133" s="189" t="inlineStr">
        <is>
          <t>HIGH</t>
        </is>
      </c>
      <c r="I1133" s="189" t="n">
        <v>14.5</v>
      </c>
      <c r="J1133" s="189" t="inlineStr">
        <is>
          <t>NO</t>
        </is>
      </c>
      <c r="K1133" s="190" t="inlineStr">
        <is>
          <t>https://nvd.nist.gov/vuln/detail/CVE-2026-27161</t>
        </is>
      </c>
      <c r="L1133" s="189" t="inlineStr">
        <is>
          <t>2026-02-23 23:48</t>
        </is>
      </c>
      <c r="M1133" s="189" t="inlineStr">
        <is>
          <t>CHECK_VENDOR</t>
        </is>
      </c>
      <c r="N1133" s="189" t="inlineStr">
        <is>
          <t>See NVD references</t>
        </is>
      </c>
      <c r="O1133" s="189" t="inlineStr">
        <is>
          <t>Apply vendor patches</t>
        </is>
      </c>
      <c r="P1133" s="189" t="inlineStr">
        <is>
          <t>See CVE details</t>
        </is>
      </c>
      <c r="Q1133" s="189" t="inlineStr">
        <is>
          <t>P3</t>
        </is>
      </c>
      <c r="R1133" s="189" t="inlineStr">
        <is>
          <t>🚨 URGENT: Apply vendor patches immediately | 🔒 Isolate affected systems if patch unavailable | 🛡️ Enable additional monitoring/IDS rules</t>
        </is>
      </c>
      <c r="S1133" s="189" t="inlineStr">
        <is>
          <t>CVE - IP enrichment n/a</t>
        </is>
      </c>
      <c r="T1133" s="189" t="n">
        <v>0.0007</v>
      </c>
      <c r="U1133" s="189" t="n">
        <v>0.2114</v>
      </c>
      <c r="V1133" s="189" t="inlineStr">
        <is>
          <t>T1213:Data from Information Repositories | T1600:Weaken Encryption</t>
        </is>
      </c>
      <c r="W1133" s="189" t="n">
        <v>1</v>
      </c>
      <c r="X1133" s="189" t="inlineStr">
        <is>
          <t>LOW (40%)</t>
        </is>
      </c>
      <c r="Y1133" s="189" t="inlineStr">
        <is>
          <t>UNLIKELY</t>
        </is>
      </c>
      <c r="Z1133" s="189" t="inlineStr">
        <is>
          <t>CHECK_VENDOR</t>
        </is>
      </c>
      <c r="AA1133" s="190" t="inlineStr">
        <is>
          <t>https://nvd.nist.gov/vuln/detail/CVE-2026-27161</t>
        </is>
      </c>
      <c r="AB1133" s="189" t="inlineStr">
        <is>
          <t>NONE</t>
        </is>
      </c>
      <c r="AC1133" s="189" t="n">
        <v>0</v>
      </c>
      <c r="AD1133" s="189" t="n"/>
    </row>
    <row r="1134">
      <c r="A1134" s="189" t="inlineStr">
        <is>
          <t>CVE</t>
        </is>
      </c>
      <c r="B1134" s="189" t="inlineStr">
        <is>
          <t>CVE-2026-27168</t>
        </is>
      </c>
      <c r="C1134" s="189" t="inlineStr">
        <is>
          <t>SAIL is a cross-platform library for loading and saving images with support for animation, metadata, and ICC profiles. All versions are vulnerable to Heap-based Buffer Overflow through the XWD parser's use of the bytes_per_line value. The value os read directly from the file as the read size in io-&gt;strict_read(), and is never compared to the actual size of the destination buffer. An attacker can provide an XWD file with an arbitrarily large bytes_per_line, causing a massive write operation beyon</t>
        </is>
      </c>
      <c r="D1134" s="189" t="n">
        <v>8.800000000000001</v>
      </c>
      <c r="E1134" s="189" t="inlineStr">
        <is>
          <t>HIGH</t>
        </is>
      </c>
      <c r="F1134" s="189" t="n">
        <v>2</v>
      </c>
      <c r="G1134" s="189" t="n">
        <v>3</v>
      </c>
      <c r="H1134" s="189" t="inlineStr">
        <is>
          <t>HIGH</t>
        </is>
      </c>
      <c r="I1134" s="189" t="n">
        <v>14.8</v>
      </c>
      <c r="J1134" s="189" t="inlineStr">
        <is>
          <t>NO</t>
        </is>
      </c>
      <c r="K1134" s="190" t="inlineStr">
        <is>
          <t>https://nvd.nist.gov/vuln/detail/CVE-2026-27168</t>
        </is>
      </c>
      <c r="L1134" s="189" t="inlineStr">
        <is>
          <t>2026-02-23 23:48</t>
        </is>
      </c>
      <c r="M1134" s="189" t="inlineStr">
        <is>
          <t>CHECK_VENDOR</t>
        </is>
      </c>
      <c r="N1134" s="189" t="inlineStr">
        <is>
          <t>See NVD references</t>
        </is>
      </c>
      <c r="O1134" s="189" t="inlineStr">
        <is>
          <t>Apply vendor patches</t>
        </is>
      </c>
      <c r="P1134" s="189" t="inlineStr">
        <is>
          <t>See CVE details</t>
        </is>
      </c>
      <c r="Q1134" s="189" t="inlineStr">
        <is>
          <t>P3</t>
        </is>
      </c>
      <c r="R1134" s="189" t="inlineStr">
        <is>
          <t>🚨 URGENT: Apply vendor patches immediately | 🔒 Isolate affected systems if patch unavailable | 🛡️ Enable additional monitoring/IDS rules</t>
        </is>
      </c>
      <c r="S1134" s="189" t="inlineStr">
        <is>
          <t>CVE - IP enrichment n/a</t>
        </is>
      </c>
      <c r="T1134" s="189" t="n">
        <v>0</v>
      </c>
      <c r="U1134" s="189" t="n">
        <v>0</v>
      </c>
      <c r="V1134" s="189" t="inlineStr">
        <is>
          <t>T1203:Exploitation for Client Execution</t>
        </is>
      </c>
      <c r="W1134" s="189" t="n">
        <v>1</v>
      </c>
      <c r="X1134" s="189" t="inlineStr">
        <is>
          <t>LOW (40%)</t>
        </is>
      </c>
      <c r="Y1134" s="189" t="inlineStr">
        <is>
          <t>UNLIKELY</t>
        </is>
      </c>
      <c r="Z1134" s="189" t="inlineStr">
        <is>
          <t>CHECK_VENDOR</t>
        </is>
      </c>
      <c r="AA1134" s="190" t="inlineStr">
        <is>
          <t>https://nvd.nist.gov/vuln/detail/CVE-2026-27168</t>
        </is>
      </c>
      <c r="AB1134" s="189" t="inlineStr">
        <is>
          <t>NONE</t>
        </is>
      </c>
      <c r="AC1134" s="189" t="n">
        <v>0</v>
      </c>
      <c r="AD1134" s="189" t="n"/>
    </row>
    <row r="1135">
      <c r="A1135" s="189" t="inlineStr">
        <is>
          <t>CVE</t>
        </is>
      </c>
      <c r="B1135" s="189" t="inlineStr">
        <is>
          <t>CVE-2026-27169</t>
        </is>
      </c>
      <c r="C1135" s="189" t="inlineStr">
        <is>
          <t>OpenSift is an AI study tool that sifts through large datasets using semantic search and generative AI. Versions 1.1.2-alpha and below render untrusted user/model content in chat tool UI surfaces using unsafe HTML interpolation patterns, leading to XSS. Stored content can execute JavaScript when later viewed in authenticated sessions. An attacker who can influence stored study/quiz/flashcard content could trigger script execution in a victim’s browser, potentially performing actions as that user</t>
        </is>
      </c>
      <c r="D1135" s="189" t="n">
        <v>8.9</v>
      </c>
      <c r="E1135" s="189" t="inlineStr">
        <is>
          <t>HIGH</t>
        </is>
      </c>
      <c r="F1135" s="189" t="n">
        <v>2</v>
      </c>
      <c r="G1135" s="189" t="n">
        <v>3</v>
      </c>
      <c r="H1135" s="189" t="inlineStr">
        <is>
          <t>HIGH</t>
        </is>
      </c>
      <c r="I1135" s="189" t="n">
        <v>14.9</v>
      </c>
      <c r="J1135" s="189" t="inlineStr">
        <is>
          <t>NO</t>
        </is>
      </c>
      <c r="K1135" s="190" t="inlineStr">
        <is>
          <t>https://nvd.nist.gov/vuln/detail/CVE-2026-27169</t>
        </is>
      </c>
      <c r="L1135" s="189" t="inlineStr">
        <is>
          <t>2026-02-23 23:48</t>
        </is>
      </c>
      <c r="M1135" s="189" t="inlineStr">
        <is>
          <t>YES</t>
        </is>
      </c>
      <c r="N1135" s="190" t="inlineStr">
        <is>
          <t>https://github.com/OpenSift/OpenSift/security/advisories/GHSA-qrpx-7cmv-5gv5</t>
        </is>
      </c>
      <c r="O1135" s="189" t="inlineStr">
        <is>
          <t>Apply vendor patches</t>
        </is>
      </c>
      <c r="P1135" s="189" t="inlineStr">
        <is>
          <t>opensift opensift *</t>
        </is>
      </c>
      <c r="Q1135" s="189" t="inlineStr">
        <is>
          <t>P3</t>
        </is>
      </c>
      <c r="R1135" s="189" t="inlineStr">
        <is>
          <t>🚨 URGENT: Apply vendor patches immediately | 🔒 Isolate affected systems if patch unavailable | 🛡️ Enable additional monitoring/IDS rules</t>
        </is>
      </c>
      <c r="S1135" s="189" t="inlineStr">
        <is>
          <t>CVE - IP enrichment n/a</t>
        </is>
      </c>
      <c r="T1135" s="189" t="n">
        <v>0</v>
      </c>
      <c r="U1135" s="189" t="n">
        <v>0</v>
      </c>
      <c r="V1135" s="189" t="inlineStr">
        <is>
          <t>T1189:Drive-by Compromise</t>
        </is>
      </c>
      <c r="W1135" s="189" t="n">
        <v>1</v>
      </c>
      <c r="X1135" s="189" t="inlineStr">
        <is>
          <t>LOW (40%)</t>
        </is>
      </c>
      <c r="Y1135" s="189" t="inlineStr">
        <is>
          <t>UNLIKELY</t>
        </is>
      </c>
      <c r="Z1135" s="189" t="inlineStr">
        <is>
          <t>PATCH_AVAILABLE</t>
        </is>
      </c>
      <c r="AA1135" s="190" t="inlineStr">
        <is>
          <t>https://nvd.nist.gov/vuln/detail/CVE-2026-27169</t>
        </is>
      </c>
      <c r="AB1135" s="189" t="inlineStr">
        <is>
          <t>NONE</t>
        </is>
      </c>
      <c r="AC1135" s="189" t="n">
        <v>0</v>
      </c>
      <c r="AD1135" s="189" t="n"/>
    </row>
    <row r="1136">
      <c r="A1136" s="189" t="inlineStr">
        <is>
          <t>CVE</t>
        </is>
      </c>
      <c r="B1136" s="189" t="inlineStr">
        <is>
          <t>CVE-2026-27170</t>
        </is>
      </c>
      <c r="C1136" s="189" t="inlineStr">
        <is>
          <t>OpenSift is an AI study tool that sifts through large datasets using semantic search and generative AI. In versions 1.1.2-alpha and below, URL ingest allows overly permissive server-side fetch behavior and can be coerced into requesting unsafe targets. Potential access/probing of private/local network resources from the OpenSift host process when ingesting attacker-controlled URLs. This issue has been fixed in version 1.1.3-alpha. To workaround when using trusted local-only exceptions, use OPENS</t>
        </is>
      </c>
      <c r="D1136" s="189" t="n">
        <v>7.1</v>
      </c>
      <c r="E1136" s="189" t="inlineStr">
        <is>
          <t>HIGH</t>
        </is>
      </c>
      <c r="F1136" s="189" t="n">
        <v>2</v>
      </c>
      <c r="G1136" s="189" t="n">
        <v>3</v>
      </c>
      <c r="H1136" s="189" t="inlineStr">
        <is>
          <t>HIGH</t>
        </is>
      </c>
      <c r="I1136" s="189" t="n">
        <v>13.1</v>
      </c>
      <c r="J1136" s="189" t="inlineStr">
        <is>
          <t>NO</t>
        </is>
      </c>
      <c r="K1136" s="190" t="inlineStr">
        <is>
          <t>https://nvd.nist.gov/vuln/detail/CVE-2026-27170</t>
        </is>
      </c>
      <c r="L1136" s="189" t="inlineStr">
        <is>
          <t>2026-02-23 23:48</t>
        </is>
      </c>
      <c r="M1136" s="189" t="inlineStr">
        <is>
          <t>YES</t>
        </is>
      </c>
      <c r="N1136" s="190" t="inlineStr">
        <is>
          <t>https://github.com/OpenSift/OpenSift/security/advisories/GHSA-3w2r-hj5p-h6pp</t>
        </is>
      </c>
      <c r="O1136" s="189" t="inlineStr">
        <is>
          <t>Apply vendor patches</t>
        </is>
      </c>
      <c r="P1136" s="189" t="inlineStr">
        <is>
          <t>opensift opensift *</t>
        </is>
      </c>
      <c r="Q1136" s="189" t="inlineStr">
        <is>
          <t>P3</t>
        </is>
      </c>
      <c r="R1136" s="189" t="inlineStr">
        <is>
          <t>🚨 URGENT: Apply vendor patches immediately | 🔒 Isolate affected systems if patch unavailable | 🛡️ Enable additional monitoring/IDS rules</t>
        </is>
      </c>
      <c r="S1136" s="189" t="inlineStr">
        <is>
          <t>CVE - IP enrichment n/a</t>
        </is>
      </c>
      <c r="T1136" s="189" t="n">
        <v>0</v>
      </c>
      <c r="U1136" s="189" t="n">
        <v>0</v>
      </c>
      <c r="V1136" s="189" t="inlineStr">
        <is>
          <t>T1190:Exploit Public-Facing Application</t>
        </is>
      </c>
      <c r="W1136" s="189" t="n">
        <v>1</v>
      </c>
      <c r="X1136" s="189" t="inlineStr">
        <is>
          <t>LOW (40%)</t>
        </is>
      </c>
      <c r="Y1136" s="189" t="inlineStr">
        <is>
          <t>UNLIKELY</t>
        </is>
      </c>
      <c r="Z1136" s="189" t="inlineStr">
        <is>
          <t>PATCH_AVAILABLE</t>
        </is>
      </c>
      <c r="AA1136" s="190" t="inlineStr">
        <is>
          <t>https://nvd.nist.gov/vuln/detail/CVE-2026-27170</t>
        </is>
      </c>
      <c r="AB1136" s="189" t="inlineStr">
        <is>
          <t>NONE</t>
        </is>
      </c>
      <c r="AC1136" s="189" t="n">
        <v>0</v>
      </c>
      <c r="AD1136" s="189" t="n"/>
    </row>
    <row r="1137">
      <c r="A1137" s="191" t="inlineStr">
        <is>
          <t>CVE</t>
        </is>
      </c>
      <c r="B1137" s="191" t="inlineStr">
        <is>
          <t>CVE-2026-27189</t>
        </is>
      </c>
      <c r="C1137" s="191" t="inlineStr">
        <is>
          <t>OpenSift is an AI study tool that sifts through large datasets using semantic search and generative AI. Versions 1.1.2-alpha and below, use non-atomic and insufficiently synchronized local JSON persistence flows, potentially causing concurrent operations to lose updates or corrupt local state across sessions/study/quiz/flashcard/wellness/auth stores. This issue has been fixed in version 1.1.3-alpha.</t>
        </is>
      </c>
      <c r="D1137" s="191" t="n">
        <v>6.6</v>
      </c>
      <c r="E1137" s="191" t="inlineStr">
        <is>
          <t>MEDIUM</t>
        </is>
      </c>
      <c r="F1137" s="191" t="n">
        <v>2</v>
      </c>
      <c r="G1137" s="191" t="n">
        <v>2</v>
      </c>
      <c r="H1137" s="191" t="inlineStr">
        <is>
          <t>MEDIUM</t>
        </is>
      </c>
      <c r="I1137" s="191" t="n">
        <v>10.6</v>
      </c>
      <c r="J1137" s="191" t="inlineStr">
        <is>
          <t>NO</t>
        </is>
      </c>
      <c r="K1137" s="192" t="inlineStr">
        <is>
          <t>https://nvd.nist.gov/vuln/detail/CVE-2026-27189</t>
        </is>
      </c>
      <c r="L1137" s="191" t="inlineStr">
        <is>
          <t>2026-02-23 23:48</t>
        </is>
      </c>
      <c r="M1137" s="191" t="inlineStr">
        <is>
          <t>YES</t>
        </is>
      </c>
      <c r="N1137" s="192" t="inlineStr">
        <is>
          <t>https://github.com/OpenSift/OpenSift/security/advisories/GHSA-3pmp-j953-whxq</t>
        </is>
      </c>
      <c r="O1137" s="191" t="inlineStr">
        <is>
          <t>Apply vendor patches</t>
        </is>
      </c>
      <c r="P1137" s="191" t="inlineStr">
        <is>
          <t>opensift opensift *</t>
        </is>
      </c>
      <c r="Q1137" s="191" t="inlineStr">
        <is>
          <t>P4</t>
        </is>
      </c>
      <c r="R1137" s="191" t="inlineStr">
        <is>
          <t>📅 Schedule patch deployment within 30 days | 🔍 Monitor for exploitation attempts</t>
        </is>
      </c>
      <c r="S1137" s="191" t="inlineStr">
        <is>
          <t>CVE - IP enrichment n/a</t>
        </is>
      </c>
      <c r="T1137" s="191" t="n">
        <v>0.0001</v>
      </c>
      <c r="U1137" s="191" t="n">
        <v>0.0143</v>
      </c>
      <c r="V1137" s="191" t="inlineStr">
        <is>
          <t>T1068:Exploitation for Privilege Escalation</t>
        </is>
      </c>
      <c r="W1137" s="191" t="n">
        <v>1</v>
      </c>
      <c r="X1137" s="191" t="inlineStr">
        <is>
          <t>LOW (40%)</t>
        </is>
      </c>
      <c r="Y1137" s="191" t="inlineStr">
        <is>
          <t>UNLIKELY</t>
        </is>
      </c>
      <c r="Z1137" s="191" t="inlineStr">
        <is>
          <t>PATCH_AVAILABLE</t>
        </is>
      </c>
      <c r="AA1137" s="192" t="inlineStr">
        <is>
          <t>https://nvd.nist.gov/vuln/detail/CVE-2026-27189</t>
        </is>
      </c>
      <c r="AB1137" s="191" t="inlineStr">
        <is>
          <t>NONE</t>
        </is>
      </c>
      <c r="AC1137" s="191" t="n">
        <v>0</v>
      </c>
      <c r="AD1137" s="191" t="n"/>
    </row>
    <row r="1138">
      <c r="A1138" s="191" t="inlineStr">
        <is>
          <t>CVE</t>
        </is>
      </c>
      <c r="B1138" s="191" t="inlineStr">
        <is>
          <t>CVE-2026-27202</t>
        </is>
      </c>
      <c r="C1138" s="191" t="inlineStr">
        <is>
          <t>GetSimple CMS is a content management system. All versions of GetSimple CMS have a flaw in the Uploaded Files feature that allows for arbitrary file reads. This issue has not been fixed at the time of publication.</t>
        </is>
      </c>
      <c r="D1138" s="191" t="n">
        <v>5</v>
      </c>
      <c r="E1138" s="191" t="inlineStr">
        <is>
          <t>MEDIUM</t>
        </is>
      </c>
      <c r="F1138" s="191" t="n">
        <v>2</v>
      </c>
      <c r="G1138" s="191" t="n">
        <v>2</v>
      </c>
      <c r="H1138" s="191" t="inlineStr">
        <is>
          <t>MEDIUM</t>
        </is>
      </c>
      <c r="I1138" s="191" t="n">
        <v>9</v>
      </c>
      <c r="J1138" s="191" t="inlineStr">
        <is>
          <t>NO</t>
        </is>
      </c>
      <c r="K1138" s="192" t="inlineStr">
        <is>
          <t>https://nvd.nist.gov/vuln/detail/CVE-2026-27202</t>
        </is>
      </c>
      <c r="L1138" s="191" t="inlineStr">
        <is>
          <t>2026-02-23 23:48</t>
        </is>
      </c>
      <c r="M1138" s="191" t="inlineStr">
        <is>
          <t>CHECK_VENDOR</t>
        </is>
      </c>
      <c r="N1138" s="191" t="inlineStr">
        <is>
          <t>See NVD references</t>
        </is>
      </c>
      <c r="O1138" s="191" t="inlineStr">
        <is>
          <t>Apply vendor patches</t>
        </is>
      </c>
      <c r="P1138" s="191" t="inlineStr">
        <is>
          <t>See CVE details</t>
        </is>
      </c>
      <c r="Q1138" s="191" t="inlineStr">
        <is>
          <t>P4</t>
        </is>
      </c>
      <c r="R1138" s="191" t="inlineStr">
        <is>
          <t>📅 Schedule patch deployment within 30 days | 🔍 Monitor for exploitation attempts</t>
        </is>
      </c>
      <c r="S1138" s="191" t="inlineStr">
        <is>
          <t>CVE - IP enrichment n/a</t>
        </is>
      </c>
      <c r="T1138" s="191" t="n">
        <v>0.0005999999999999999</v>
      </c>
      <c r="U1138" s="191" t="n">
        <v>0.1951</v>
      </c>
      <c r="V1138" s="191" t="inlineStr">
        <is>
          <t>T1083:File and Directory Discovery</t>
        </is>
      </c>
      <c r="W1138" s="191" t="n">
        <v>1</v>
      </c>
      <c r="X1138" s="191" t="inlineStr">
        <is>
          <t>LOW (40%)</t>
        </is>
      </c>
      <c r="Y1138" s="191" t="inlineStr">
        <is>
          <t>UNLIKELY</t>
        </is>
      </c>
      <c r="Z1138" s="191" t="inlineStr">
        <is>
          <t>CHECK_VENDOR</t>
        </is>
      </c>
      <c r="AA1138" s="192" t="inlineStr">
        <is>
          <t>https://nvd.nist.gov/vuln/detail/CVE-2026-27202</t>
        </is>
      </c>
      <c r="AB1138" s="191" t="inlineStr">
        <is>
          <t>NONE</t>
        </is>
      </c>
      <c r="AC1138" s="191" t="n">
        <v>0</v>
      </c>
      <c r="AD1138" s="191" t="n"/>
    </row>
    <row r="1139">
      <c r="A1139" s="189" t="inlineStr">
        <is>
          <t>CVE</t>
        </is>
      </c>
      <c r="B1139" s="189" t="inlineStr">
        <is>
          <t>CVE-2026-27203</t>
        </is>
      </c>
      <c r="C1139" s="189" t="inlineStr">
        <is>
          <t>eBay API MCP Server is an open source local MCP server providing AI assistants with comprehensive access to eBay's Sell APIs. All versions are vulnerable to Environment Variable Injection through the updateEnvFile function. The ebay_set_user_tokens tool allows updating the .env file with new tokens. The updateEnvFile function in src/auth/oauth.ts blindly appends or replaces values without validating them for newlines or quotes. This allows an attacker to inject arbitrary environment variables in</t>
        </is>
      </c>
      <c r="D1139" s="189" t="n">
        <v>8.300000000000001</v>
      </c>
      <c r="E1139" s="189" t="inlineStr">
        <is>
          <t>HIGH</t>
        </is>
      </c>
      <c r="F1139" s="189" t="n">
        <v>2</v>
      </c>
      <c r="G1139" s="189" t="n">
        <v>3</v>
      </c>
      <c r="H1139" s="189" t="inlineStr">
        <is>
          <t>HIGH</t>
        </is>
      </c>
      <c r="I1139" s="189" t="n">
        <v>14.3</v>
      </c>
      <c r="J1139" s="189" t="inlineStr">
        <is>
          <t>NO</t>
        </is>
      </c>
      <c r="K1139" s="190" t="inlineStr">
        <is>
          <t>https://nvd.nist.gov/vuln/detail/CVE-2026-27203</t>
        </is>
      </c>
      <c r="L1139" s="189" t="inlineStr">
        <is>
          <t>2026-02-23 23:48</t>
        </is>
      </c>
      <c r="M1139" s="189" t="inlineStr">
        <is>
          <t>CHECK_VENDOR</t>
        </is>
      </c>
      <c r="N1139" s="189" t="inlineStr">
        <is>
          <t>See NVD references</t>
        </is>
      </c>
      <c r="O1139" s="189" t="inlineStr">
        <is>
          <t>Apply vendor patches</t>
        </is>
      </c>
      <c r="P1139" s="189" t="inlineStr">
        <is>
          <t>See CVE details</t>
        </is>
      </c>
      <c r="Q1139" s="189" t="inlineStr">
        <is>
          <t>P3</t>
        </is>
      </c>
      <c r="R1139" s="189" t="inlineStr">
        <is>
          <t>🚨 URGENT: Apply vendor patches immediately | 🔒 Isolate affected systems if patch unavailable | 🛡️ Enable additional monitoring/IDS rules</t>
        </is>
      </c>
      <c r="S1139" s="189" t="inlineStr">
        <is>
          <t>CVE - IP enrichment n/a</t>
        </is>
      </c>
      <c r="T1139" s="189" t="n">
        <v>0</v>
      </c>
      <c r="U1139" s="189" t="n">
        <v>0</v>
      </c>
      <c r="V1139" s="189" t="inlineStr">
        <is>
          <t>T1190:Exploit Public-Facing Application | T1499:Endpoint Denial of Service</t>
        </is>
      </c>
      <c r="W1139" s="189" t="n">
        <v>1</v>
      </c>
      <c r="X1139" s="189" t="inlineStr">
        <is>
          <t>LOW (40%)</t>
        </is>
      </c>
      <c r="Y1139" s="189" t="inlineStr">
        <is>
          <t>UNLIKELY</t>
        </is>
      </c>
      <c r="Z1139" s="189" t="inlineStr">
        <is>
          <t>CHECK_VENDOR</t>
        </is>
      </c>
      <c r="AA1139" s="190" t="inlineStr">
        <is>
          <t>https://nvd.nist.gov/vuln/detail/CVE-2026-27203</t>
        </is>
      </c>
      <c r="AB1139" s="189" t="inlineStr">
        <is>
          <t>NONE</t>
        </is>
      </c>
      <c r="AC1139" s="189" t="n">
        <v>0</v>
      </c>
      <c r="AD1139" s="189" t="n"/>
    </row>
    <row r="1140">
      <c r="A1140" s="191" t="inlineStr">
        <is>
          <t>CVE</t>
        </is>
      </c>
      <c r="B1140" s="191" t="inlineStr">
        <is>
          <t>CVE-2025-65995</t>
        </is>
      </c>
      <c r="C1140" s="191" t="inlineStr">
        <is>
          <t>When a DAG failed during parsing, Airflow’s error-reporting in the UI could include the full kwargs passed to the operators. If those kwargs contained sensitive values (such as secrets), they might be exposed in the UI tracebacks to authenticated users who had permission to view that DAG. 
The issue has been fixed in Airflow 3.1.4 and 2.11.1, and users are strongly advised to upgrade to prevent potential disclosure of sensitive information.</t>
        </is>
      </c>
      <c r="D1140" s="191" t="n">
        <v>6.5</v>
      </c>
      <c r="E1140" s="191" t="inlineStr">
        <is>
          <t>MEDIUM</t>
        </is>
      </c>
      <c r="F1140" s="191" t="n">
        <v>2</v>
      </c>
      <c r="G1140" s="191" t="n">
        <v>2</v>
      </c>
      <c r="H1140" s="191" t="inlineStr">
        <is>
          <t>MEDIUM</t>
        </is>
      </c>
      <c r="I1140" s="191" t="n">
        <v>10.5</v>
      </c>
      <c r="J1140" s="191" t="inlineStr">
        <is>
          <t>NO</t>
        </is>
      </c>
      <c r="K1140" s="192" t="inlineStr">
        <is>
          <t>https://nvd.nist.gov/vuln/detail/CVE-2025-65995</t>
        </is>
      </c>
      <c r="L1140" s="191" t="inlineStr">
        <is>
          <t>2026-02-23 23:48</t>
        </is>
      </c>
      <c r="M1140" s="191" t="inlineStr">
        <is>
          <t>CHECK_VENDOR</t>
        </is>
      </c>
      <c r="N1140" s="191" t="inlineStr">
        <is>
          <t>See NVD references</t>
        </is>
      </c>
      <c r="O1140" s="191" t="inlineStr">
        <is>
          <t>Apply vendor patches</t>
        </is>
      </c>
      <c r="P1140" s="191" t="inlineStr">
        <is>
          <t>See CVE details</t>
        </is>
      </c>
      <c r="Q1140" s="191" t="inlineStr">
        <is>
          <t>P4</t>
        </is>
      </c>
      <c r="R1140" s="191" t="inlineStr">
        <is>
          <t>📅 Schedule patch deployment within 30 days | 🔍 Monitor for exploitation attempts</t>
        </is>
      </c>
      <c r="S1140" s="191" t="inlineStr">
        <is>
          <t>CVE - IP enrichment n/a</t>
        </is>
      </c>
      <c r="T1140" s="191" t="n">
        <v>0</v>
      </c>
      <c r="U1140" s="191" t="n">
        <v>0</v>
      </c>
      <c r="V1140" s="191" t="inlineStr">
        <is>
          <t>T1190:Exploit Public-Facing Application</t>
        </is>
      </c>
      <c r="W1140" s="191" t="n">
        <v>1</v>
      </c>
      <c r="X1140" s="191" t="inlineStr">
        <is>
          <t>LOW (40%)</t>
        </is>
      </c>
      <c r="Y1140" s="191" t="inlineStr">
        <is>
          <t>UNLIKELY</t>
        </is>
      </c>
      <c r="Z1140" s="191" t="inlineStr">
        <is>
          <t>CHECK_VENDOR</t>
        </is>
      </c>
      <c r="AA1140" s="192" t="inlineStr">
        <is>
          <t>https://nvd.nist.gov/vuln/detail/CVE-2025-65995</t>
        </is>
      </c>
      <c r="AB1140" s="191" t="inlineStr">
        <is>
          <t>NONE</t>
        </is>
      </c>
      <c r="AC1140" s="191" t="n">
        <v>0</v>
      </c>
      <c r="AD1140" s="191" t="n"/>
    </row>
    <row r="1141">
      <c r="A1141" s="191" t="inlineStr">
        <is>
          <t>CVE</t>
        </is>
      </c>
      <c r="B1141" s="191" t="inlineStr">
        <is>
          <t>CVE-2026-27191</t>
        </is>
      </c>
      <c r="C1141" s="191" t="inlineStr">
        <is>
          <t>Feathersjs is a framework for creating web APIs and real-time applications with TypeScript or JavaScript. Versions 5.0.39 and below the redirect query parameter is appended to the base origin without validation, allowing attackers to steal access tokens via URL authority injection. This leads to full account takeover, as the attacker obtains the victim's access token and can impersonate them. The application constructs the final redirect URL by concatenating the base origin with the user-supplie</t>
        </is>
      </c>
      <c r="D1141" s="191" t="n">
        <v>5</v>
      </c>
      <c r="E1141" s="191" t="inlineStr">
        <is>
          <t>MEDIUM</t>
        </is>
      </c>
      <c r="F1141" s="191" t="n">
        <v>2</v>
      </c>
      <c r="G1141" s="191" t="n">
        <v>2</v>
      </c>
      <c r="H1141" s="191" t="inlineStr">
        <is>
          <t>MEDIUM</t>
        </is>
      </c>
      <c r="I1141" s="191" t="n">
        <v>9</v>
      </c>
      <c r="J1141" s="191" t="inlineStr">
        <is>
          <t>NO</t>
        </is>
      </c>
      <c r="K1141" s="192" t="inlineStr">
        <is>
          <t>https://nvd.nist.gov/vuln/detail/CVE-2026-27191</t>
        </is>
      </c>
      <c r="L1141" s="191" t="inlineStr">
        <is>
          <t>2026-02-23 23:48</t>
        </is>
      </c>
      <c r="M1141" s="191" t="inlineStr">
        <is>
          <t>CHECK_VENDOR</t>
        </is>
      </c>
      <c r="N1141" s="191" t="inlineStr">
        <is>
          <t>See NVD references</t>
        </is>
      </c>
      <c r="O1141" s="191" t="inlineStr">
        <is>
          <t>Apply vendor patches</t>
        </is>
      </c>
      <c r="P1141" s="191" t="inlineStr">
        <is>
          <t>See CVE details</t>
        </is>
      </c>
      <c r="Q1141" s="191" t="inlineStr">
        <is>
          <t>P4</t>
        </is>
      </c>
      <c r="R1141" s="191" t="inlineStr">
        <is>
          <t>📅 Schedule patch deployment within 30 days | 🔍 Monitor for exploitation attempts</t>
        </is>
      </c>
      <c r="S1141" s="191" t="inlineStr">
        <is>
          <t>CVE - IP enrichment n/a</t>
        </is>
      </c>
      <c r="T1141" s="191" t="n">
        <v>0</v>
      </c>
      <c r="U1141" s="191" t="n">
        <v>0</v>
      </c>
      <c r="V1141" s="191" t="inlineStr">
        <is>
          <t>T1189:Drive-by Compromise</t>
        </is>
      </c>
      <c r="W1141" s="191" t="n">
        <v>1</v>
      </c>
      <c r="X1141" s="191" t="inlineStr">
        <is>
          <t>LOW (40%)</t>
        </is>
      </c>
      <c r="Y1141" s="191" t="inlineStr">
        <is>
          <t>UNLIKELY</t>
        </is>
      </c>
      <c r="Z1141" s="191" t="inlineStr">
        <is>
          <t>CHECK_VENDOR</t>
        </is>
      </c>
      <c r="AA1141" s="192" t="inlineStr">
        <is>
          <t>https://nvd.nist.gov/vuln/detail/CVE-2026-27191</t>
        </is>
      </c>
      <c r="AB1141" s="191" t="inlineStr">
        <is>
          <t>NONE</t>
        </is>
      </c>
      <c r="AC1141" s="191" t="n">
        <v>0</v>
      </c>
      <c r="AD1141" s="191" t="n"/>
    </row>
    <row r="1142">
      <c r="A1142" s="191" t="inlineStr">
        <is>
          <t>CVE</t>
        </is>
      </c>
      <c r="B1142" s="191" t="inlineStr">
        <is>
          <t>CVE-2026-27192</t>
        </is>
      </c>
      <c r="C1142" s="191" t="inlineStr">
        <is>
          <t>Feathersjs is a framework for creating web APIs and real-time applications with TypeScript or JavaScript. In versions 5.0.39 and below, origin validation uses startsWith() for comparison, allowing attackers to bypass the check by registering a domain that shares a common prefix with an allowed origin.The getAllowedOrigin() function checks if the Referer header starts with any allowed origin, and this comparison is insufficient as it only validates the prefix. This is exploitable when the origins</t>
        </is>
      </c>
      <c r="D1142" s="191" t="n">
        <v>5</v>
      </c>
      <c r="E1142" s="191" t="inlineStr">
        <is>
          <t>MEDIUM</t>
        </is>
      </c>
      <c r="F1142" s="191" t="n">
        <v>2</v>
      </c>
      <c r="G1142" s="191" t="n">
        <v>2</v>
      </c>
      <c r="H1142" s="191" t="inlineStr">
        <is>
          <t>MEDIUM</t>
        </is>
      </c>
      <c r="I1142" s="191" t="n">
        <v>9</v>
      </c>
      <c r="J1142" s="191" t="inlineStr">
        <is>
          <t>NO</t>
        </is>
      </c>
      <c r="K1142" s="192" t="inlineStr">
        <is>
          <t>https://nvd.nist.gov/vuln/detail/CVE-2026-27192</t>
        </is>
      </c>
      <c r="L1142" s="191" t="inlineStr">
        <is>
          <t>2026-02-23 23:48</t>
        </is>
      </c>
      <c r="M1142" s="191" t="inlineStr">
        <is>
          <t>CHECK_VENDOR</t>
        </is>
      </c>
      <c r="N1142" s="191" t="inlineStr">
        <is>
          <t>See NVD references</t>
        </is>
      </c>
      <c r="O1142" s="191" t="inlineStr">
        <is>
          <t>Apply vendor patches</t>
        </is>
      </c>
      <c r="P1142" s="191" t="inlineStr">
        <is>
          <t>See CVE details</t>
        </is>
      </c>
      <c r="Q1142" s="191" t="inlineStr">
        <is>
          <t>P4</t>
        </is>
      </c>
      <c r="R1142" s="191" t="inlineStr">
        <is>
          <t>📅 Schedule patch deployment within 30 days | 🔍 Monitor for exploitation attempts</t>
        </is>
      </c>
      <c r="S1142" s="191" t="inlineStr">
        <is>
          <t>CVE - IP enrichment n/a</t>
        </is>
      </c>
      <c r="T1142" s="191" t="n">
        <v>0.0002</v>
      </c>
      <c r="U1142" s="191" t="n">
        <v>0.0426</v>
      </c>
      <c r="V1142" s="191" t="inlineStr">
        <is>
          <t>T1190:Exploit Public-Facing Application</t>
        </is>
      </c>
      <c r="W1142" s="191" t="n">
        <v>1</v>
      </c>
      <c r="X1142" s="191" t="inlineStr">
        <is>
          <t>LOW (40%)</t>
        </is>
      </c>
      <c r="Y1142" s="191" t="inlineStr">
        <is>
          <t>UNLIKELY</t>
        </is>
      </c>
      <c r="Z1142" s="191" t="inlineStr">
        <is>
          <t>CHECK_VENDOR</t>
        </is>
      </c>
      <c r="AA1142" s="192" t="inlineStr">
        <is>
          <t>https://nvd.nist.gov/vuln/detail/CVE-2026-27192</t>
        </is>
      </c>
      <c r="AB1142" s="191" t="inlineStr">
        <is>
          <t>NONE</t>
        </is>
      </c>
      <c r="AC1142" s="191" t="n">
        <v>0</v>
      </c>
      <c r="AD1142" s="191" t="n"/>
    </row>
    <row r="1143">
      <c r="A1143" s="191" t="inlineStr">
        <is>
          <t>CVE</t>
        </is>
      </c>
      <c r="B1143" s="191" t="inlineStr">
        <is>
          <t>CVE-2026-27193</t>
        </is>
      </c>
      <c r="C1143" s="191" t="inlineStr">
        <is>
          <t xml:space="preserve">Feathersjs is a framework for creating web APIs and real-time applications with TypeScript or JavaScript. In versions 5.0.39 and below, all HTTP request headers are stored in the session cookie, which is signed but not encrypted, exposing internal proxy/gateway headers to clients. The OAuth service stores the complete headers object in the session, then the session is persisted using cookie-session, which base64-encodes the data. While the cookie is signed to prevent tampering, the contents are </t>
        </is>
      </c>
      <c r="D1143" s="191" t="n">
        <v>5</v>
      </c>
      <c r="E1143" s="191" t="inlineStr">
        <is>
          <t>MEDIUM</t>
        </is>
      </c>
      <c r="F1143" s="191" t="n">
        <v>2</v>
      </c>
      <c r="G1143" s="191" t="n">
        <v>2</v>
      </c>
      <c r="H1143" s="191" t="inlineStr">
        <is>
          <t>MEDIUM</t>
        </is>
      </c>
      <c r="I1143" s="191" t="n">
        <v>9</v>
      </c>
      <c r="J1143" s="191" t="inlineStr">
        <is>
          <t>NO</t>
        </is>
      </c>
      <c r="K1143" s="192" t="inlineStr">
        <is>
          <t>https://nvd.nist.gov/vuln/detail/CVE-2026-27193</t>
        </is>
      </c>
      <c r="L1143" s="191" t="inlineStr">
        <is>
          <t>2026-02-23 23:48</t>
        </is>
      </c>
      <c r="M1143" s="191" t="inlineStr">
        <is>
          <t>CHECK_VENDOR</t>
        </is>
      </c>
      <c r="N1143" s="191" t="inlineStr">
        <is>
          <t>See NVD references</t>
        </is>
      </c>
      <c r="O1143" s="191" t="inlineStr">
        <is>
          <t>Apply vendor patches</t>
        </is>
      </c>
      <c r="P1143" s="191" t="inlineStr">
        <is>
          <t>See CVE details</t>
        </is>
      </c>
      <c r="Q1143" s="191" t="inlineStr">
        <is>
          <t>P4</t>
        </is>
      </c>
      <c r="R1143" s="191" t="inlineStr">
        <is>
          <t>📅 Schedule patch deployment within 30 days | 🔍 Monitor for exploitation attempts</t>
        </is>
      </c>
      <c r="S1143" s="191" t="inlineStr">
        <is>
          <t>CVE - IP enrichment n/a</t>
        </is>
      </c>
      <c r="T1143" s="191" t="n">
        <v>0</v>
      </c>
      <c r="U1143" s="191" t="n">
        <v>0</v>
      </c>
      <c r="V1143" s="191" t="inlineStr">
        <is>
          <t>T1213:Data from Information Repositories</t>
        </is>
      </c>
      <c r="W1143" s="191" t="n">
        <v>1</v>
      </c>
      <c r="X1143" s="191" t="inlineStr">
        <is>
          <t>LOW (40%)</t>
        </is>
      </c>
      <c r="Y1143" s="191" t="inlineStr">
        <is>
          <t>UNLIKELY</t>
        </is>
      </c>
      <c r="Z1143" s="191" t="inlineStr">
        <is>
          <t>CHECK_VENDOR</t>
        </is>
      </c>
      <c r="AA1143" s="192" t="inlineStr">
        <is>
          <t>https://nvd.nist.gov/vuln/detail/CVE-2026-27193</t>
        </is>
      </c>
      <c r="AB1143" s="191" t="inlineStr">
        <is>
          <t>NONE</t>
        </is>
      </c>
      <c r="AC1143" s="191" t="n">
        <v>0</v>
      </c>
      <c r="AD1143" s="191" t="n"/>
    </row>
    <row r="1144">
      <c r="A1144" s="193" t="inlineStr">
        <is>
          <t>CVE</t>
        </is>
      </c>
      <c r="B1144" s="193" t="inlineStr">
        <is>
          <t>CVE-2026-27194</t>
        </is>
      </c>
      <c r="C1144" s="193" t="inlineStr">
        <is>
          <t>D-Tale is a visualizer for pandas data structures. Versions prior to 3.20.0 are vulnerable to Remote Code Execution through the /save-column-filter endpoint. Users hosting D-Tale publicly can be vulnerable to remote code execution allowing attackers to run malicious code on the server. This issue has been fixed in version 3.20.0.</t>
        </is>
      </c>
      <c r="D1144" s="193" t="n">
        <v>9.800000000000001</v>
      </c>
      <c r="E1144" s="193" t="inlineStr">
        <is>
          <t>CRITICAL</t>
        </is>
      </c>
      <c r="F1144" s="193" t="n">
        <v>2</v>
      </c>
      <c r="G1144" s="193" t="n">
        <v>3</v>
      </c>
      <c r="H1144" s="193" t="inlineStr">
        <is>
          <t>HIGH</t>
        </is>
      </c>
      <c r="I1144" s="193" t="n">
        <v>15.8</v>
      </c>
      <c r="J1144" s="193" t="inlineStr">
        <is>
          <t>NO</t>
        </is>
      </c>
      <c r="K1144" s="194" t="inlineStr">
        <is>
          <t>https://nvd.nist.gov/vuln/detail/CVE-2026-27194</t>
        </is>
      </c>
      <c r="L1144" s="193" t="inlineStr">
        <is>
          <t>2026-02-23 23:48</t>
        </is>
      </c>
      <c r="M1144" s="193" t="inlineStr">
        <is>
          <t>YES</t>
        </is>
      </c>
      <c r="N1144" s="194" t="inlineStr">
        <is>
          <t>https://github.com/man-group/dtale/commit/431c6148d3c799de20e1dec86c4432f48e3d0746 | https://github.com/man-group/dtale/security/advisories/GHSA-c87c-78rc-vmv2</t>
        </is>
      </c>
      <c r="O1144" s="193" t="inlineStr">
        <is>
          <t>Apply vendor patches</t>
        </is>
      </c>
      <c r="P1144" s="193" t="inlineStr">
        <is>
          <t>man d-tale *</t>
        </is>
      </c>
      <c r="Q1144" s="193" t="inlineStr">
        <is>
          <t>P3</t>
        </is>
      </c>
      <c r="R1144" s="193" t="inlineStr">
        <is>
          <t>🚨 URGENT: Apply vendor patches immediately | 🔒 Isolate affected systems if patch unavailable | 🛡️ Enable additional monitoring/IDS rules</t>
        </is>
      </c>
      <c r="S1144" s="193" t="inlineStr">
        <is>
          <t>CVE - IP enrichment n/a</t>
        </is>
      </c>
      <c r="T1144" s="193" t="n">
        <v>0</v>
      </c>
      <c r="U1144" s="193" t="n">
        <v>0</v>
      </c>
      <c r="V1144" s="193" t="inlineStr">
        <is>
          <t>T1190:Exploit Public-Facing Application | T1210:Exploitation of Remote Services</t>
        </is>
      </c>
      <c r="W1144" s="193" t="n">
        <v>1</v>
      </c>
      <c r="X1144" s="193" t="inlineStr">
        <is>
          <t>LOW (40%)</t>
        </is>
      </c>
      <c r="Y1144" s="193" t="inlineStr">
        <is>
          <t>UNLIKELY</t>
        </is>
      </c>
      <c r="Z1144" s="193" t="inlineStr">
        <is>
          <t>PATCH_AVAILABLE</t>
        </is>
      </c>
      <c r="AA1144" s="194" t="inlineStr">
        <is>
          <t>https://nvd.nist.gov/vuln/detail/CVE-2026-27194</t>
        </is>
      </c>
      <c r="AB1144" s="193" t="inlineStr">
        <is>
          <t>NONE</t>
        </is>
      </c>
      <c r="AC1144" s="193" t="n">
        <v>0</v>
      </c>
      <c r="AD1144" s="193" t="n"/>
    </row>
    <row r="1145">
      <c r="A1145" s="189" t="inlineStr">
        <is>
          <t>CVE</t>
        </is>
      </c>
      <c r="B1145" s="189" t="inlineStr">
        <is>
          <t>CVE-2026-27196</t>
        </is>
      </c>
      <c r="C1145" s="189" t="inlineStr">
        <is>
          <t>Statmatic is a Laravel and Git powered content management system (CMS). Versions 5.73.8 and below in addition to 6.0.0-alpha.1 through 6.3.1 have a Stored XSS vulnerability in html fieldtypes which allows authenticated users with field management permissions to inject malicious JavaScript that executes when viewed by higher-privileged users. This issue has been fixed in 6.3.2 and 5.73.9.</t>
        </is>
      </c>
      <c r="D1145" s="189" t="n">
        <v>8.1</v>
      </c>
      <c r="E1145" s="189" t="inlineStr">
        <is>
          <t>HIGH</t>
        </is>
      </c>
      <c r="F1145" s="189" t="n">
        <v>2</v>
      </c>
      <c r="G1145" s="189" t="n">
        <v>3</v>
      </c>
      <c r="H1145" s="189" t="inlineStr">
        <is>
          <t>HIGH</t>
        </is>
      </c>
      <c r="I1145" s="189" t="n">
        <v>14.1</v>
      </c>
      <c r="J1145" s="189" t="inlineStr">
        <is>
          <t>NO</t>
        </is>
      </c>
      <c r="K1145" s="190" t="inlineStr">
        <is>
          <t>https://nvd.nist.gov/vuln/detail/CVE-2026-27196</t>
        </is>
      </c>
      <c r="L1145" s="189" t="inlineStr">
        <is>
          <t>2026-02-23 23:48</t>
        </is>
      </c>
      <c r="M1145" s="189" t="inlineStr">
        <is>
          <t>CHECK_VENDOR</t>
        </is>
      </c>
      <c r="N1145" s="189" t="inlineStr">
        <is>
          <t>See NVD references</t>
        </is>
      </c>
      <c r="O1145" s="189" t="inlineStr">
        <is>
          <t>Apply vendor patches</t>
        </is>
      </c>
      <c r="P1145" s="189" t="inlineStr">
        <is>
          <t>See CVE details</t>
        </is>
      </c>
      <c r="Q1145" s="189" t="inlineStr">
        <is>
          <t>P3</t>
        </is>
      </c>
      <c r="R1145" s="189" t="inlineStr">
        <is>
          <t>🚨 URGENT: Apply vendor patches immediately | 🔒 Isolate affected systems if patch unavailable | 🛡️ Enable additional monitoring/IDS rules</t>
        </is>
      </c>
      <c r="S1145" s="189" t="inlineStr">
        <is>
          <t>CVE - IP enrichment n/a</t>
        </is>
      </c>
      <c r="T1145" s="189" t="n">
        <v>0</v>
      </c>
      <c r="U1145" s="189" t="n">
        <v>0</v>
      </c>
      <c r="V1145" s="189" t="inlineStr">
        <is>
          <t>T1189:Drive-by Compromise</t>
        </is>
      </c>
      <c r="W1145" s="189" t="n">
        <v>1</v>
      </c>
      <c r="X1145" s="189" t="inlineStr">
        <is>
          <t>LOW (40%)</t>
        </is>
      </c>
      <c r="Y1145" s="189" t="inlineStr">
        <is>
          <t>UNLIKELY</t>
        </is>
      </c>
      <c r="Z1145" s="189" t="inlineStr">
        <is>
          <t>CHECK_VENDOR</t>
        </is>
      </c>
      <c r="AA1145" s="190" t="inlineStr">
        <is>
          <t>https://nvd.nist.gov/vuln/detail/CVE-2026-27196</t>
        </is>
      </c>
      <c r="AB1145" s="189" t="inlineStr">
        <is>
          <t>NONE</t>
        </is>
      </c>
      <c r="AC1145" s="189" t="n">
        <v>0</v>
      </c>
      <c r="AD1145" s="189" t="n"/>
    </row>
    <row r="1146">
      <c r="A1146" s="193" t="inlineStr">
        <is>
          <t>CVE</t>
        </is>
      </c>
      <c r="B1146" s="193" t="inlineStr">
        <is>
          <t>CVE-2026-27197</t>
        </is>
      </c>
      <c r="C1146" s="193" t="inlineStr">
        <is>
          <t>Sentry is a developer-first error tracking and performance monitoring tool. Versions 21.12.0 through 26.1.0 have a critical vulnerability in its SAML SSO implementation  which allows an attacker to take over any user account by using a malicious SAML Identity Provider and another organization on the same Sentry instance. Self-hosted users are only at risk if the following criteria is met: ore than one organizations are configured (SENTRY_SINGLE_ORGANIZATION = True), or malicious user has existin</t>
        </is>
      </c>
      <c r="D1146" s="193" t="n">
        <v>9.1</v>
      </c>
      <c r="E1146" s="193" t="inlineStr">
        <is>
          <t>CRITICAL</t>
        </is>
      </c>
      <c r="F1146" s="193" t="n">
        <v>2</v>
      </c>
      <c r="G1146" s="193" t="n">
        <v>3</v>
      </c>
      <c r="H1146" s="193" t="inlineStr">
        <is>
          <t>HIGH</t>
        </is>
      </c>
      <c r="I1146" s="193" t="n">
        <v>15.1</v>
      </c>
      <c r="J1146" s="193" t="inlineStr">
        <is>
          <t>NO</t>
        </is>
      </c>
      <c r="K1146" s="194" t="inlineStr">
        <is>
          <t>https://nvd.nist.gov/vuln/detail/CVE-2026-27197</t>
        </is>
      </c>
      <c r="L1146" s="193" t="inlineStr">
        <is>
          <t>2026-02-23 23:48</t>
        </is>
      </c>
      <c r="M1146" s="193" t="inlineStr">
        <is>
          <t>YES</t>
        </is>
      </c>
      <c r="N1146" s="194" t="inlineStr">
        <is>
          <t>https://github.com/getsentry/sentry/security/advisories/GHSA-ggmg-cqg6-j45g</t>
        </is>
      </c>
      <c r="O1146" s="194" t="inlineStr">
        <is>
          <t>https://github.com/getsentry/sentry/security/advisories/GHSA-ggmg-cqg6-j45g</t>
        </is>
      </c>
      <c r="P1146" s="193" t="inlineStr">
        <is>
          <t>sentry sentry *</t>
        </is>
      </c>
      <c r="Q1146" s="193" t="inlineStr">
        <is>
          <t>P3</t>
        </is>
      </c>
      <c r="R1146" s="193" t="inlineStr">
        <is>
          <t>🚨 URGENT: Apply vendor patches immediately | 🔒 Isolate affected systems if patch unavailable | 🛡️ Enable additional monitoring/IDS rules</t>
        </is>
      </c>
      <c r="S1146" s="193" t="inlineStr">
        <is>
          <t>CVE - IP enrichment n/a</t>
        </is>
      </c>
      <c r="T1146" s="193" t="n">
        <v>0.0004</v>
      </c>
      <c r="U1146" s="193" t="n">
        <v>0.1167</v>
      </c>
      <c r="V1146" s="193" t="inlineStr">
        <is>
          <t>T1078:Valid Accounts | T1110:Brute Force</t>
        </is>
      </c>
      <c r="W1146" s="193" t="n">
        <v>1</v>
      </c>
      <c r="X1146" s="193" t="inlineStr">
        <is>
          <t>LOW (40%)</t>
        </is>
      </c>
      <c r="Y1146" s="193" t="inlineStr">
        <is>
          <t>UNLIKELY</t>
        </is>
      </c>
      <c r="Z1146" s="193" t="inlineStr">
        <is>
          <t>PATCH_AVAILABLE</t>
        </is>
      </c>
      <c r="AA1146" s="194" t="inlineStr">
        <is>
          <t>https://nvd.nist.gov/vuln/detail/CVE-2026-27197</t>
        </is>
      </c>
      <c r="AB1146" s="193" t="inlineStr">
        <is>
          <t>NONE</t>
        </is>
      </c>
      <c r="AC1146" s="193" t="n">
        <v>0</v>
      </c>
      <c r="AD1146" s="193" t="n"/>
    </row>
    <row r="1147">
      <c r="A1147" s="191" t="inlineStr">
        <is>
          <t>CVE</t>
        </is>
      </c>
      <c r="B1147" s="191" t="inlineStr">
        <is>
          <t>CVE-2026-27527</t>
        </is>
      </c>
      <c r="C1147" s="191" t="inlineStr">
        <is>
          <t>Rejected reason: Not used</t>
        </is>
      </c>
      <c r="D1147" s="191" t="n">
        <v>5</v>
      </c>
      <c r="E1147" s="191" t="inlineStr">
        <is>
          <t>MEDIUM</t>
        </is>
      </c>
      <c r="F1147" s="191" t="n">
        <v>2</v>
      </c>
      <c r="G1147" s="191" t="n">
        <v>2</v>
      </c>
      <c r="H1147" s="191" t="inlineStr">
        <is>
          <t>MEDIUM</t>
        </is>
      </c>
      <c r="I1147" s="191" t="n">
        <v>9</v>
      </c>
      <c r="J1147" s="191" t="inlineStr">
        <is>
          <t>NO</t>
        </is>
      </c>
      <c r="K1147" s="192" t="inlineStr">
        <is>
          <t>https://nvd.nist.gov/vuln/detail/CVE-2026-27527</t>
        </is>
      </c>
      <c r="L1147" s="191" t="inlineStr">
        <is>
          <t>2026-02-23 23:48</t>
        </is>
      </c>
      <c r="M1147" s="191" t="inlineStr">
        <is>
          <t>CHECK_VENDOR</t>
        </is>
      </c>
      <c r="N1147" s="191" t="inlineStr">
        <is>
          <t>See NVD references</t>
        </is>
      </c>
      <c r="O1147" s="191" t="inlineStr">
        <is>
          <t>Apply vendor patches</t>
        </is>
      </c>
      <c r="P1147" s="191" t="inlineStr">
        <is>
          <t>See CVE details</t>
        </is>
      </c>
      <c r="Q1147" s="191" t="inlineStr">
        <is>
          <t>P4</t>
        </is>
      </c>
      <c r="R1147" s="191" t="inlineStr">
        <is>
          <t>📅 Schedule patch deployment within 30 days | 🔍 Monitor for exploitation attempts</t>
        </is>
      </c>
      <c r="S1147" s="191" t="inlineStr">
        <is>
          <t>CVE - IP enrichment n/a</t>
        </is>
      </c>
      <c r="T1147" s="191" t="n">
        <v>0</v>
      </c>
      <c r="U1147" s="191" t="n">
        <v>0</v>
      </c>
      <c r="V1147" s="191" t="inlineStr">
        <is>
          <t>T1190:Exploit Public-Facing Application</t>
        </is>
      </c>
      <c r="W1147" s="191" t="n">
        <v>1</v>
      </c>
      <c r="X1147" s="191" t="inlineStr">
        <is>
          <t>LOW (40%)</t>
        </is>
      </c>
      <c r="Y1147" s="191" t="inlineStr">
        <is>
          <t>UNLIKELY</t>
        </is>
      </c>
      <c r="Z1147" s="191" t="inlineStr">
        <is>
          <t>CHECK_VENDOR</t>
        </is>
      </c>
      <c r="AA1147" s="192" t="inlineStr">
        <is>
          <t>https://nvd.nist.gov/vuln/detail/CVE-2026-27527</t>
        </is>
      </c>
      <c r="AB1147" s="191" t="inlineStr">
        <is>
          <t>NONE</t>
        </is>
      </c>
      <c r="AC1147" s="191" t="n">
        <v>0</v>
      </c>
      <c r="AD1147" s="191" t="n"/>
    </row>
    <row r="1148">
      <c r="A1148" s="191" t="inlineStr">
        <is>
          <t>CVE</t>
        </is>
      </c>
      <c r="B1148" s="191" t="inlineStr">
        <is>
          <t>CVE-2026-27528</t>
        </is>
      </c>
      <c r="C1148" s="191" t="inlineStr">
        <is>
          <t>Rejected reason: Not used</t>
        </is>
      </c>
      <c r="D1148" s="191" t="n">
        <v>5</v>
      </c>
      <c r="E1148" s="191" t="inlineStr">
        <is>
          <t>MEDIUM</t>
        </is>
      </c>
      <c r="F1148" s="191" t="n">
        <v>2</v>
      </c>
      <c r="G1148" s="191" t="n">
        <v>2</v>
      </c>
      <c r="H1148" s="191" t="inlineStr">
        <is>
          <t>MEDIUM</t>
        </is>
      </c>
      <c r="I1148" s="191" t="n">
        <v>9</v>
      </c>
      <c r="J1148" s="191" t="inlineStr">
        <is>
          <t>NO</t>
        </is>
      </c>
      <c r="K1148" s="192" t="inlineStr">
        <is>
          <t>https://nvd.nist.gov/vuln/detail/CVE-2026-27528</t>
        </is>
      </c>
      <c r="L1148" s="191" t="inlineStr">
        <is>
          <t>2026-02-23 23:48</t>
        </is>
      </c>
      <c r="M1148" s="191" t="inlineStr">
        <is>
          <t>CHECK_VENDOR</t>
        </is>
      </c>
      <c r="N1148" s="191" t="inlineStr">
        <is>
          <t>See NVD references</t>
        </is>
      </c>
      <c r="O1148" s="191" t="inlineStr">
        <is>
          <t>Apply vendor patches</t>
        </is>
      </c>
      <c r="P1148" s="191" t="inlineStr">
        <is>
          <t>See CVE details</t>
        </is>
      </c>
      <c r="Q1148" s="191" t="inlineStr">
        <is>
          <t>P4</t>
        </is>
      </c>
      <c r="R1148" s="191" t="inlineStr">
        <is>
          <t>📅 Schedule patch deployment within 30 days | 🔍 Monitor for exploitation attempts</t>
        </is>
      </c>
      <c r="S1148" s="191" t="inlineStr">
        <is>
          <t>CVE - IP enrichment n/a</t>
        </is>
      </c>
      <c r="T1148" s="191" t="n">
        <v>0</v>
      </c>
      <c r="U1148" s="191" t="n">
        <v>0</v>
      </c>
      <c r="V1148" s="191" t="inlineStr">
        <is>
          <t>T1190:Exploit Public-Facing Application</t>
        </is>
      </c>
      <c r="W1148" s="191" t="n">
        <v>1</v>
      </c>
      <c r="X1148" s="191" t="inlineStr">
        <is>
          <t>LOW (40%)</t>
        </is>
      </c>
      <c r="Y1148" s="191" t="inlineStr">
        <is>
          <t>UNLIKELY</t>
        </is>
      </c>
      <c r="Z1148" s="191" t="inlineStr">
        <is>
          <t>CHECK_VENDOR</t>
        </is>
      </c>
      <c r="AA1148" s="192" t="inlineStr">
        <is>
          <t>https://nvd.nist.gov/vuln/detail/CVE-2026-27528</t>
        </is>
      </c>
      <c r="AB1148" s="191" t="inlineStr">
        <is>
          <t>NONE</t>
        </is>
      </c>
      <c r="AC1148" s="191" t="n">
        <v>0</v>
      </c>
      <c r="AD1148" s="191" t="n"/>
    </row>
    <row r="1149">
      <c r="A1149" s="191" t="inlineStr">
        <is>
          <t>CVE</t>
        </is>
      </c>
      <c r="B1149" s="191" t="inlineStr">
        <is>
          <t>CVE-2026-27529</t>
        </is>
      </c>
      <c r="C1149" s="191" t="inlineStr">
        <is>
          <t>Rejected reason: Not used</t>
        </is>
      </c>
      <c r="D1149" s="191" t="n">
        <v>5</v>
      </c>
      <c r="E1149" s="191" t="inlineStr">
        <is>
          <t>MEDIUM</t>
        </is>
      </c>
      <c r="F1149" s="191" t="n">
        <v>2</v>
      </c>
      <c r="G1149" s="191" t="n">
        <v>2</v>
      </c>
      <c r="H1149" s="191" t="inlineStr">
        <is>
          <t>MEDIUM</t>
        </is>
      </c>
      <c r="I1149" s="191" t="n">
        <v>9</v>
      </c>
      <c r="J1149" s="191" t="inlineStr">
        <is>
          <t>NO</t>
        </is>
      </c>
      <c r="K1149" s="192" t="inlineStr">
        <is>
          <t>https://nvd.nist.gov/vuln/detail/CVE-2026-27529</t>
        </is>
      </c>
      <c r="L1149" s="191" t="inlineStr">
        <is>
          <t>2026-02-23 23:48</t>
        </is>
      </c>
      <c r="M1149" s="191" t="inlineStr">
        <is>
          <t>CHECK_VENDOR</t>
        </is>
      </c>
      <c r="N1149" s="191" t="inlineStr">
        <is>
          <t>See NVD references</t>
        </is>
      </c>
      <c r="O1149" s="191" t="inlineStr">
        <is>
          <t>Apply vendor patches</t>
        </is>
      </c>
      <c r="P1149" s="191" t="inlineStr">
        <is>
          <t>See CVE details</t>
        </is>
      </c>
      <c r="Q1149" s="191" t="inlineStr">
        <is>
          <t>P4</t>
        </is>
      </c>
      <c r="R1149" s="191" t="inlineStr">
        <is>
          <t>📅 Schedule patch deployment within 30 days | 🔍 Monitor for exploitation attempts</t>
        </is>
      </c>
      <c r="S1149" s="191" t="inlineStr">
        <is>
          <t>CVE - IP enrichment n/a</t>
        </is>
      </c>
      <c r="T1149" s="191" t="n">
        <v>0</v>
      </c>
      <c r="U1149" s="191" t="n">
        <v>0</v>
      </c>
      <c r="V1149" s="191" t="inlineStr">
        <is>
          <t>T1190:Exploit Public-Facing Application</t>
        </is>
      </c>
      <c r="W1149" s="191" t="n">
        <v>1</v>
      </c>
      <c r="X1149" s="191" t="inlineStr">
        <is>
          <t>LOW (40%)</t>
        </is>
      </c>
      <c r="Y1149" s="191" t="inlineStr">
        <is>
          <t>UNLIKELY</t>
        </is>
      </c>
      <c r="Z1149" s="191" t="inlineStr">
        <is>
          <t>CHECK_VENDOR</t>
        </is>
      </c>
      <c r="AA1149" s="192" t="inlineStr">
        <is>
          <t>https://nvd.nist.gov/vuln/detail/CVE-2026-27529</t>
        </is>
      </c>
      <c r="AB1149" s="191" t="inlineStr">
        <is>
          <t>NONE</t>
        </is>
      </c>
      <c r="AC1149" s="191" t="n">
        <v>0</v>
      </c>
      <c r="AD1149" s="191" t="n"/>
    </row>
    <row r="1150">
      <c r="A1150" s="191" t="inlineStr">
        <is>
          <t>CVE</t>
        </is>
      </c>
      <c r="B1150" s="191" t="inlineStr">
        <is>
          <t>CVE-2026-27530</t>
        </is>
      </c>
      <c r="C1150" s="191" t="inlineStr">
        <is>
          <t>Rejected reason: Not used</t>
        </is>
      </c>
      <c r="D1150" s="191" t="n">
        <v>5</v>
      </c>
      <c r="E1150" s="191" t="inlineStr">
        <is>
          <t>MEDIUM</t>
        </is>
      </c>
      <c r="F1150" s="191" t="n">
        <v>2</v>
      </c>
      <c r="G1150" s="191" t="n">
        <v>2</v>
      </c>
      <c r="H1150" s="191" t="inlineStr">
        <is>
          <t>MEDIUM</t>
        </is>
      </c>
      <c r="I1150" s="191" t="n">
        <v>9</v>
      </c>
      <c r="J1150" s="191" t="inlineStr">
        <is>
          <t>NO</t>
        </is>
      </c>
      <c r="K1150" s="192" t="inlineStr">
        <is>
          <t>https://nvd.nist.gov/vuln/detail/CVE-2026-27530</t>
        </is>
      </c>
      <c r="L1150" s="191" t="inlineStr">
        <is>
          <t>2026-02-23 23:48</t>
        </is>
      </c>
      <c r="M1150" s="191" t="inlineStr">
        <is>
          <t>CHECK_VENDOR</t>
        </is>
      </c>
      <c r="N1150" s="191" t="inlineStr">
        <is>
          <t>See NVD references</t>
        </is>
      </c>
      <c r="O1150" s="191" t="inlineStr">
        <is>
          <t>Apply vendor patches</t>
        </is>
      </c>
      <c r="P1150" s="191" t="inlineStr">
        <is>
          <t>See CVE details</t>
        </is>
      </c>
      <c r="Q1150" s="191" t="inlineStr">
        <is>
          <t>P4</t>
        </is>
      </c>
      <c r="R1150" s="191" t="inlineStr">
        <is>
          <t>📅 Schedule patch deployment within 30 days | 🔍 Monitor for exploitation attempts</t>
        </is>
      </c>
      <c r="S1150" s="191" t="inlineStr">
        <is>
          <t>CVE - IP enrichment n/a</t>
        </is>
      </c>
      <c r="T1150" s="191" t="n">
        <v>0</v>
      </c>
      <c r="U1150" s="191" t="n">
        <v>0</v>
      </c>
      <c r="V1150" s="191" t="inlineStr">
        <is>
          <t>T1190:Exploit Public-Facing Application</t>
        </is>
      </c>
      <c r="W1150" s="191" t="n">
        <v>1</v>
      </c>
      <c r="X1150" s="191" t="inlineStr">
        <is>
          <t>LOW (40%)</t>
        </is>
      </c>
      <c r="Y1150" s="191" t="inlineStr">
        <is>
          <t>UNLIKELY</t>
        </is>
      </c>
      <c r="Z1150" s="191" t="inlineStr">
        <is>
          <t>CHECK_VENDOR</t>
        </is>
      </c>
      <c r="AA1150" s="192" t="inlineStr">
        <is>
          <t>https://nvd.nist.gov/vuln/detail/CVE-2026-27530</t>
        </is>
      </c>
      <c r="AB1150" s="191" t="inlineStr">
        <is>
          <t>NONE</t>
        </is>
      </c>
      <c r="AC1150" s="191" t="n">
        <v>0</v>
      </c>
      <c r="AD1150" s="191" t="n"/>
    </row>
    <row r="1151">
      <c r="A1151" s="191" t="inlineStr">
        <is>
          <t>CVE</t>
        </is>
      </c>
      <c r="B1151" s="191" t="inlineStr">
        <is>
          <t>CVE-2026-27531</t>
        </is>
      </c>
      <c r="C1151" s="191" t="inlineStr">
        <is>
          <t>Rejected reason: Not used</t>
        </is>
      </c>
      <c r="D1151" s="191" t="n">
        <v>5</v>
      </c>
      <c r="E1151" s="191" t="inlineStr">
        <is>
          <t>MEDIUM</t>
        </is>
      </c>
      <c r="F1151" s="191" t="n">
        <v>2</v>
      </c>
      <c r="G1151" s="191" t="n">
        <v>2</v>
      </c>
      <c r="H1151" s="191" t="inlineStr">
        <is>
          <t>MEDIUM</t>
        </is>
      </c>
      <c r="I1151" s="191" t="n">
        <v>9</v>
      </c>
      <c r="J1151" s="191" t="inlineStr">
        <is>
          <t>NO</t>
        </is>
      </c>
      <c r="K1151" s="192" t="inlineStr">
        <is>
          <t>https://nvd.nist.gov/vuln/detail/CVE-2026-27531</t>
        </is>
      </c>
      <c r="L1151" s="191" t="inlineStr">
        <is>
          <t>2026-02-23 23:48</t>
        </is>
      </c>
      <c r="M1151" s="191" t="inlineStr">
        <is>
          <t>CHECK_VENDOR</t>
        </is>
      </c>
      <c r="N1151" s="191" t="inlineStr">
        <is>
          <t>See NVD references</t>
        </is>
      </c>
      <c r="O1151" s="191" t="inlineStr">
        <is>
          <t>Apply vendor patches</t>
        </is>
      </c>
      <c r="P1151" s="191" t="inlineStr">
        <is>
          <t>See CVE details</t>
        </is>
      </c>
      <c r="Q1151" s="191" t="inlineStr">
        <is>
          <t>P4</t>
        </is>
      </c>
      <c r="R1151" s="191" t="inlineStr">
        <is>
          <t>📅 Schedule patch deployment within 30 days | 🔍 Monitor for exploitation attempts</t>
        </is>
      </c>
      <c r="S1151" s="191" t="inlineStr">
        <is>
          <t>CVE - IP enrichment n/a</t>
        </is>
      </c>
      <c r="T1151" s="191" t="n">
        <v>0</v>
      </c>
      <c r="U1151" s="191" t="n">
        <v>0</v>
      </c>
      <c r="V1151" s="191" t="inlineStr">
        <is>
          <t>T1190:Exploit Public-Facing Application</t>
        </is>
      </c>
      <c r="W1151" s="191" t="n">
        <v>1</v>
      </c>
      <c r="X1151" s="191" t="inlineStr">
        <is>
          <t>LOW (40%)</t>
        </is>
      </c>
      <c r="Y1151" s="191" t="inlineStr">
        <is>
          <t>UNLIKELY</t>
        </is>
      </c>
      <c r="Z1151" s="191" t="inlineStr">
        <is>
          <t>CHECK_VENDOR</t>
        </is>
      </c>
      <c r="AA1151" s="192" t="inlineStr">
        <is>
          <t>https://nvd.nist.gov/vuln/detail/CVE-2026-27531</t>
        </is>
      </c>
      <c r="AB1151" s="191" t="inlineStr">
        <is>
          <t>NONE</t>
        </is>
      </c>
      <c r="AC1151" s="191" t="n">
        <v>0</v>
      </c>
      <c r="AD1151" s="191" t="n"/>
    </row>
    <row r="1152">
      <c r="A1152" s="191" t="inlineStr">
        <is>
          <t>CVE</t>
        </is>
      </c>
      <c r="B1152" s="191" t="inlineStr">
        <is>
          <t>CVE-2026-27532</t>
        </is>
      </c>
      <c r="C1152" s="191" t="inlineStr">
        <is>
          <t>Rejected reason: Not used</t>
        </is>
      </c>
      <c r="D1152" s="191" t="n">
        <v>5</v>
      </c>
      <c r="E1152" s="191" t="inlineStr">
        <is>
          <t>MEDIUM</t>
        </is>
      </c>
      <c r="F1152" s="191" t="n">
        <v>2</v>
      </c>
      <c r="G1152" s="191" t="n">
        <v>2</v>
      </c>
      <c r="H1152" s="191" t="inlineStr">
        <is>
          <t>MEDIUM</t>
        </is>
      </c>
      <c r="I1152" s="191" t="n">
        <v>9</v>
      </c>
      <c r="J1152" s="191" t="inlineStr">
        <is>
          <t>NO</t>
        </is>
      </c>
      <c r="K1152" s="192" t="inlineStr">
        <is>
          <t>https://nvd.nist.gov/vuln/detail/CVE-2026-27532</t>
        </is>
      </c>
      <c r="L1152" s="191" t="inlineStr">
        <is>
          <t>2026-02-23 23:48</t>
        </is>
      </c>
      <c r="M1152" s="191" t="inlineStr">
        <is>
          <t>CHECK_VENDOR</t>
        </is>
      </c>
      <c r="N1152" s="191" t="inlineStr">
        <is>
          <t>See NVD references</t>
        </is>
      </c>
      <c r="O1152" s="191" t="inlineStr">
        <is>
          <t>Apply vendor patches</t>
        </is>
      </c>
      <c r="P1152" s="191" t="inlineStr">
        <is>
          <t>See CVE details</t>
        </is>
      </c>
      <c r="Q1152" s="191" t="inlineStr">
        <is>
          <t>P4</t>
        </is>
      </c>
      <c r="R1152" s="191" t="inlineStr">
        <is>
          <t>📅 Schedule patch deployment within 30 days | 🔍 Monitor for exploitation attempts</t>
        </is>
      </c>
      <c r="S1152" s="191" t="inlineStr">
        <is>
          <t>CVE - IP enrichment n/a</t>
        </is>
      </c>
      <c r="T1152" s="191" t="n">
        <v>0</v>
      </c>
      <c r="U1152" s="191" t="n">
        <v>0</v>
      </c>
      <c r="V1152" s="191" t="inlineStr">
        <is>
          <t>T1190:Exploit Public-Facing Application</t>
        </is>
      </c>
      <c r="W1152" s="191" t="n">
        <v>1</v>
      </c>
      <c r="X1152" s="191" t="inlineStr">
        <is>
          <t>LOW (40%)</t>
        </is>
      </c>
      <c r="Y1152" s="191" t="inlineStr">
        <is>
          <t>UNLIKELY</t>
        </is>
      </c>
      <c r="Z1152" s="191" t="inlineStr">
        <is>
          <t>CHECK_VENDOR</t>
        </is>
      </c>
      <c r="AA1152" s="192" t="inlineStr">
        <is>
          <t>https://nvd.nist.gov/vuln/detail/CVE-2026-27532</t>
        </is>
      </c>
      <c r="AB1152" s="191" t="inlineStr">
        <is>
          <t>NONE</t>
        </is>
      </c>
      <c r="AC1152" s="191" t="n">
        <v>0</v>
      </c>
      <c r="AD1152" s="191" t="n"/>
    </row>
    <row r="1153">
      <c r="A1153" s="191" t="inlineStr">
        <is>
          <t>CVE</t>
        </is>
      </c>
      <c r="B1153" s="191" t="inlineStr">
        <is>
          <t>CVE-2026-27533</t>
        </is>
      </c>
      <c r="C1153" s="191" t="inlineStr">
        <is>
          <t>Rejected reason: Not used</t>
        </is>
      </c>
      <c r="D1153" s="191" t="n">
        <v>5</v>
      </c>
      <c r="E1153" s="191" t="inlineStr">
        <is>
          <t>MEDIUM</t>
        </is>
      </c>
      <c r="F1153" s="191" t="n">
        <v>2</v>
      </c>
      <c r="G1153" s="191" t="n">
        <v>2</v>
      </c>
      <c r="H1153" s="191" t="inlineStr">
        <is>
          <t>MEDIUM</t>
        </is>
      </c>
      <c r="I1153" s="191" t="n">
        <v>9</v>
      </c>
      <c r="J1153" s="191" t="inlineStr">
        <is>
          <t>NO</t>
        </is>
      </c>
      <c r="K1153" s="192" t="inlineStr">
        <is>
          <t>https://nvd.nist.gov/vuln/detail/CVE-2026-27533</t>
        </is>
      </c>
      <c r="L1153" s="191" t="inlineStr">
        <is>
          <t>2026-02-23 23:48</t>
        </is>
      </c>
      <c r="M1153" s="191" t="inlineStr">
        <is>
          <t>CHECK_VENDOR</t>
        </is>
      </c>
      <c r="N1153" s="191" t="inlineStr">
        <is>
          <t>See NVD references</t>
        </is>
      </c>
      <c r="O1153" s="191" t="inlineStr">
        <is>
          <t>Apply vendor patches</t>
        </is>
      </c>
      <c r="P1153" s="191" t="inlineStr">
        <is>
          <t>See CVE details</t>
        </is>
      </c>
      <c r="Q1153" s="191" t="inlineStr">
        <is>
          <t>P4</t>
        </is>
      </c>
      <c r="R1153" s="191" t="inlineStr">
        <is>
          <t>📅 Schedule patch deployment within 30 days | 🔍 Monitor for exploitation attempts</t>
        </is>
      </c>
      <c r="S1153" s="191" t="inlineStr">
        <is>
          <t>CVE - IP enrichment n/a</t>
        </is>
      </c>
      <c r="T1153" s="191" t="n">
        <v>0</v>
      </c>
      <c r="U1153" s="191" t="n">
        <v>0</v>
      </c>
      <c r="V1153" s="191" t="inlineStr">
        <is>
          <t>T1190:Exploit Public-Facing Application</t>
        </is>
      </c>
      <c r="W1153" s="191" t="n">
        <v>1</v>
      </c>
      <c r="X1153" s="191" t="inlineStr">
        <is>
          <t>LOW (40%)</t>
        </is>
      </c>
      <c r="Y1153" s="191" t="inlineStr">
        <is>
          <t>UNLIKELY</t>
        </is>
      </c>
      <c r="Z1153" s="191" t="inlineStr">
        <is>
          <t>CHECK_VENDOR</t>
        </is>
      </c>
      <c r="AA1153" s="192" t="inlineStr">
        <is>
          <t>https://nvd.nist.gov/vuln/detail/CVE-2026-27533</t>
        </is>
      </c>
      <c r="AB1153" s="191" t="inlineStr">
        <is>
          <t>NONE</t>
        </is>
      </c>
      <c r="AC1153" s="191" t="n">
        <v>0</v>
      </c>
      <c r="AD1153" s="191" t="n"/>
    </row>
    <row r="1154">
      <c r="A1154" s="191" t="inlineStr">
        <is>
          <t>CVE</t>
        </is>
      </c>
      <c r="B1154" s="191" t="inlineStr">
        <is>
          <t>CVE-2026-27534</t>
        </is>
      </c>
      <c r="C1154" s="191" t="inlineStr">
        <is>
          <t>Rejected reason: Not used</t>
        </is>
      </c>
      <c r="D1154" s="191" t="n">
        <v>5</v>
      </c>
      <c r="E1154" s="191" t="inlineStr">
        <is>
          <t>MEDIUM</t>
        </is>
      </c>
      <c r="F1154" s="191" t="n">
        <v>2</v>
      </c>
      <c r="G1154" s="191" t="n">
        <v>2</v>
      </c>
      <c r="H1154" s="191" t="inlineStr">
        <is>
          <t>MEDIUM</t>
        </is>
      </c>
      <c r="I1154" s="191" t="n">
        <v>9</v>
      </c>
      <c r="J1154" s="191" t="inlineStr">
        <is>
          <t>NO</t>
        </is>
      </c>
      <c r="K1154" s="192" t="inlineStr">
        <is>
          <t>https://nvd.nist.gov/vuln/detail/CVE-2026-27534</t>
        </is>
      </c>
      <c r="L1154" s="191" t="inlineStr">
        <is>
          <t>2026-02-23 23:48</t>
        </is>
      </c>
      <c r="M1154" s="191" t="inlineStr">
        <is>
          <t>CHECK_VENDOR</t>
        </is>
      </c>
      <c r="N1154" s="191" t="inlineStr">
        <is>
          <t>See NVD references</t>
        </is>
      </c>
      <c r="O1154" s="191" t="inlineStr">
        <is>
          <t>Apply vendor patches</t>
        </is>
      </c>
      <c r="P1154" s="191" t="inlineStr">
        <is>
          <t>See CVE details</t>
        </is>
      </c>
      <c r="Q1154" s="191" t="inlineStr">
        <is>
          <t>P4</t>
        </is>
      </c>
      <c r="R1154" s="191" t="inlineStr">
        <is>
          <t>📅 Schedule patch deployment within 30 days | 🔍 Monitor for exploitation attempts</t>
        </is>
      </c>
      <c r="S1154" s="191" t="inlineStr">
        <is>
          <t>CVE - IP enrichment n/a</t>
        </is>
      </c>
      <c r="T1154" s="191" t="n">
        <v>0</v>
      </c>
      <c r="U1154" s="191" t="n">
        <v>0</v>
      </c>
      <c r="V1154" s="191" t="inlineStr">
        <is>
          <t>T1190:Exploit Public-Facing Application</t>
        </is>
      </c>
      <c r="W1154" s="191" t="n">
        <v>1</v>
      </c>
      <c r="X1154" s="191" t="inlineStr">
        <is>
          <t>LOW (40%)</t>
        </is>
      </c>
      <c r="Y1154" s="191" t="inlineStr">
        <is>
          <t>UNLIKELY</t>
        </is>
      </c>
      <c r="Z1154" s="191" t="inlineStr">
        <is>
          <t>CHECK_VENDOR</t>
        </is>
      </c>
      <c r="AA1154" s="192" t="inlineStr">
        <is>
          <t>https://nvd.nist.gov/vuln/detail/CVE-2026-27534</t>
        </is>
      </c>
      <c r="AB1154" s="191" t="inlineStr">
        <is>
          <t>NONE</t>
        </is>
      </c>
      <c r="AC1154" s="191" t="n">
        <v>0</v>
      </c>
      <c r="AD1154" s="191" t="n"/>
    </row>
    <row r="1155">
      <c r="A1155" s="191" t="inlineStr">
        <is>
          <t>CVE</t>
        </is>
      </c>
      <c r="B1155" s="191" t="inlineStr">
        <is>
          <t>CVE-2026-2860</t>
        </is>
      </c>
      <c r="C1155" s="191" t="inlineStr">
        <is>
          <t xml:space="preserve">A security vulnerability has been detected in feng_ha_ha/megagao ssm-erp and production_ssm up to 4288d53bd35757b27f2d070057aefb2c07bdd097. Impacted is an unknown function of the file EmployeeController.java. The manipulation leads to improper authorization. It is possible to initiate the attack remotely. The exploit has been disclosed publicly and may be used. This product is using a rolling release to provide continious delivery. Therefore, no version details for affected nor updated releases </t>
        </is>
      </c>
      <c r="D1155" s="191" t="n">
        <v>6.3</v>
      </c>
      <c r="E1155" s="191" t="inlineStr">
        <is>
          <t>MEDIUM</t>
        </is>
      </c>
      <c r="F1155" s="191" t="n">
        <v>2</v>
      </c>
      <c r="G1155" s="191" t="n">
        <v>2</v>
      </c>
      <c r="H1155" s="191" t="inlineStr">
        <is>
          <t>MEDIUM</t>
        </is>
      </c>
      <c r="I1155" s="191" t="n">
        <v>10.3</v>
      </c>
      <c r="J1155" s="191" t="inlineStr">
        <is>
          <t>NO</t>
        </is>
      </c>
      <c r="K1155" s="192" t="inlineStr">
        <is>
          <t>https://nvd.nist.gov/vuln/detail/CVE-2026-2860</t>
        </is>
      </c>
      <c r="L1155" s="191" t="inlineStr">
        <is>
          <t>2026-02-23 23:48</t>
        </is>
      </c>
      <c r="M1155" s="191" t="inlineStr">
        <is>
          <t>CHECK_VENDOR</t>
        </is>
      </c>
      <c r="N1155" s="191" t="inlineStr">
        <is>
          <t>See NVD references</t>
        </is>
      </c>
      <c r="O1155" s="191" t="inlineStr">
        <is>
          <t>Apply vendor patches</t>
        </is>
      </c>
      <c r="P1155" s="191" t="inlineStr">
        <is>
          <t>See CVE details</t>
        </is>
      </c>
      <c r="Q1155" s="191" t="inlineStr">
        <is>
          <t>P4</t>
        </is>
      </c>
      <c r="R1155" s="191" t="inlineStr">
        <is>
          <t>📅 Schedule patch deployment within 30 days | 🔍 Monitor for exploitation attempts</t>
        </is>
      </c>
      <c r="S1155" s="191" t="inlineStr">
        <is>
          <t>CVE - IP enrichment n/a</t>
        </is>
      </c>
      <c r="T1155" s="191" t="n">
        <v>0</v>
      </c>
      <c r="U1155" s="191" t="n">
        <v>0</v>
      </c>
      <c r="V1155" s="191" t="inlineStr">
        <is>
          <t>T1190:Exploit Public-Facing Application</t>
        </is>
      </c>
      <c r="W1155" s="191" t="n">
        <v>1</v>
      </c>
      <c r="X1155" s="191" t="inlineStr">
        <is>
          <t>LOW (40%)</t>
        </is>
      </c>
      <c r="Y1155" s="191" t="inlineStr">
        <is>
          <t>UNLIKELY</t>
        </is>
      </c>
      <c r="Z1155" s="191" t="inlineStr">
        <is>
          <t>CHECK_VENDOR</t>
        </is>
      </c>
      <c r="AA1155" s="192" t="inlineStr">
        <is>
          <t>https://nvd.nist.gov/vuln/detail/CVE-2026-2860</t>
        </is>
      </c>
      <c r="AB1155" s="191" t="inlineStr">
        <is>
          <t>NONE</t>
        </is>
      </c>
      <c r="AC1155" s="191" t="n">
        <v>0</v>
      </c>
      <c r="AD1155" s="191" t="n"/>
    </row>
    <row r="1156">
      <c r="A1156" s="189" t="inlineStr">
        <is>
          <t>CVE</t>
        </is>
      </c>
      <c r="B1156" s="189" t="inlineStr">
        <is>
          <t>CVE-2026-26045</t>
        </is>
      </c>
      <c r="C1156" s="189" t="inlineStr">
        <is>
          <t>A flaw was identified in Moodle’s backup restore functionality where specially crafted backup files were not properly validated during processing. If a malicious backup file is restored, it could lead to unintended execution of server-side code. Since restore capabilities are typically available to privileged users, exploitation requires authenticated access. Successful exploitation could result in full compromise of the Moodle server.</t>
        </is>
      </c>
      <c r="D1156" s="189" t="n">
        <v>7.2</v>
      </c>
      <c r="E1156" s="189" t="inlineStr">
        <is>
          <t>HIGH</t>
        </is>
      </c>
      <c r="F1156" s="189" t="n">
        <v>2</v>
      </c>
      <c r="G1156" s="189" t="n">
        <v>3</v>
      </c>
      <c r="H1156" s="189" t="inlineStr">
        <is>
          <t>HIGH</t>
        </is>
      </c>
      <c r="I1156" s="189" t="n">
        <v>13.2</v>
      </c>
      <c r="J1156" s="189" t="inlineStr">
        <is>
          <t>NO</t>
        </is>
      </c>
      <c r="K1156" s="190" t="inlineStr">
        <is>
          <t>https://nvd.nist.gov/vuln/detail/CVE-2026-26045</t>
        </is>
      </c>
      <c r="L1156" s="189" t="inlineStr">
        <is>
          <t>2026-02-23 23:48</t>
        </is>
      </c>
      <c r="M1156" s="189" t="inlineStr">
        <is>
          <t>CHECK_VENDOR</t>
        </is>
      </c>
      <c r="N1156" s="189" t="inlineStr">
        <is>
          <t>See NVD references</t>
        </is>
      </c>
      <c r="O1156" s="189" t="inlineStr">
        <is>
          <t>Apply vendor patches</t>
        </is>
      </c>
      <c r="P1156" s="189" t="inlineStr">
        <is>
          <t>See CVE details</t>
        </is>
      </c>
      <c r="Q1156" s="189" t="inlineStr">
        <is>
          <t>P3</t>
        </is>
      </c>
      <c r="R1156" s="189" t="inlineStr">
        <is>
          <t>🚨 URGENT: Apply vendor patches immediately | 🔒 Isolate affected systems if patch unavailable | 🛡️ Enable additional monitoring/IDS rules</t>
        </is>
      </c>
      <c r="S1156" s="189" t="inlineStr">
        <is>
          <t>CVE - IP enrichment n/a</t>
        </is>
      </c>
      <c r="T1156" s="189" t="n">
        <v>0</v>
      </c>
      <c r="U1156" s="189" t="n">
        <v>0</v>
      </c>
      <c r="V1156" s="189" t="inlineStr">
        <is>
          <t>T1059:Command and Scripting Interpreter</t>
        </is>
      </c>
      <c r="W1156" s="189" t="n">
        <v>1</v>
      </c>
      <c r="X1156" s="189" t="inlineStr">
        <is>
          <t>LOW (40%)</t>
        </is>
      </c>
      <c r="Y1156" s="189" t="inlineStr">
        <is>
          <t>UNLIKELY</t>
        </is>
      </c>
      <c r="Z1156" s="189" t="inlineStr">
        <is>
          <t>CHECK_VENDOR</t>
        </is>
      </c>
      <c r="AA1156" s="190" t="inlineStr">
        <is>
          <t>https://nvd.nist.gov/vuln/detail/CVE-2026-26045</t>
        </is>
      </c>
      <c r="AB1156" s="189" t="inlineStr">
        <is>
          <t>NONE</t>
        </is>
      </c>
      <c r="AC1156" s="189" t="n">
        <v>0</v>
      </c>
      <c r="AD1156" s="189" t="n"/>
    </row>
    <row r="1157">
      <c r="A1157" s="189" t="inlineStr">
        <is>
          <t>CVE</t>
        </is>
      </c>
      <c r="B1157" s="189" t="inlineStr">
        <is>
          <t>CVE-2026-26046</t>
        </is>
      </c>
      <c r="C1157" s="189" t="inlineStr">
        <is>
          <t>A vulnerability was found in a Moodle TeX filter administrative setting where insufficient sanitization of configuration input could allow command injection. On sites where the TeX filter is enabled and ImageMagick is installed, a maliciously crafted setting value entered by an administrator could result in unintended system command execution. While exploitation requires administrative privileges, successful compromise could affect the entire Moodle server.</t>
        </is>
      </c>
      <c r="D1157" s="189" t="n">
        <v>7.2</v>
      </c>
      <c r="E1157" s="189" t="inlineStr">
        <is>
          <t>HIGH</t>
        </is>
      </c>
      <c r="F1157" s="189" t="n">
        <v>2</v>
      </c>
      <c r="G1157" s="189" t="n">
        <v>3</v>
      </c>
      <c r="H1157" s="189" t="inlineStr">
        <is>
          <t>HIGH</t>
        </is>
      </c>
      <c r="I1157" s="189" t="n">
        <v>13.2</v>
      </c>
      <c r="J1157" s="189" t="inlineStr">
        <is>
          <t>NO</t>
        </is>
      </c>
      <c r="K1157" s="190" t="inlineStr">
        <is>
          <t>https://nvd.nist.gov/vuln/detail/CVE-2026-26046</t>
        </is>
      </c>
      <c r="L1157" s="189" t="inlineStr">
        <is>
          <t>2026-02-23 23:48</t>
        </is>
      </c>
      <c r="M1157" s="189" t="inlineStr">
        <is>
          <t>CHECK_VENDOR</t>
        </is>
      </c>
      <c r="N1157" s="189" t="inlineStr">
        <is>
          <t>See NVD references</t>
        </is>
      </c>
      <c r="O1157" s="189" t="inlineStr">
        <is>
          <t>Apply vendor patches</t>
        </is>
      </c>
      <c r="P1157" s="189" t="inlineStr">
        <is>
          <t>See CVE details</t>
        </is>
      </c>
      <c r="Q1157" s="189" t="inlineStr">
        <is>
          <t>P3</t>
        </is>
      </c>
      <c r="R1157" s="189" t="inlineStr">
        <is>
          <t>🚨 URGENT: Apply vendor patches immediately | 🔒 Isolate affected systems if patch unavailable | 🛡️ Enable additional monitoring/IDS rules</t>
        </is>
      </c>
      <c r="S1157" s="189" t="inlineStr">
        <is>
          <t>CVE - IP enrichment n/a</t>
        </is>
      </c>
      <c r="T1157" s="189" t="n">
        <v>0</v>
      </c>
      <c r="U1157" s="189" t="n">
        <v>0</v>
      </c>
      <c r="V1157" s="189" t="inlineStr">
        <is>
          <t>T1059:Command and Scripting Interpreter</t>
        </is>
      </c>
      <c r="W1157" s="189" t="n">
        <v>1</v>
      </c>
      <c r="X1157" s="189" t="inlineStr">
        <is>
          <t>LOW (40%)</t>
        </is>
      </c>
      <c r="Y1157" s="189" t="inlineStr">
        <is>
          <t>UNLIKELY</t>
        </is>
      </c>
      <c r="Z1157" s="189" t="inlineStr">
        <is>
          <t>CHECK_VENDOR</t>
        </is>
      </c>
      <c r="AA1157" s="190" t="inlineStr">
        <is>
          <t>https://nvd.nist.gov/vuln/detail/CVE-2026-26046</t>
        </is>
      </c>
      <c r="AB1157" s="189" t="inlineStr">
        <is>
          <t>NONE</t>
        </is>
      </c>
      <c r="AC1157" s="189" t="n">
        <v>0</v>
      </c>
      <c r="AD1157" s="189" t="n"/>
    </row>
    <row r="1158">
      <c r="A1158" s="191" t="inlineStr">
        <is>
          <t>CVE</t>
        </is>
      </c>
      <c r="B1158" s="191" t="inlineStr">
        <is>
          <t>CVE-2026-26047</t>
        </is>
      </c>
      <c r="C1158" s="191" t="inlineStr">
        <is>
          <t>A denial-of-service vulnerability was identified in Moodle’s TeX formula editor. When rendering TeX content using mimetex, insufficient execution time limits could allow specially crafted formulas to consume excessive server resources. An authenticated user could abuse this behavior to degrade performance or cause service interruption.</t>
        </is>
      </c>
      <c r="D1158" s="191" t="n">
        <v>6.5</v>
      </c>
      <c r="E1158" s="191" t="inlineStr">
        <is>
          <t>MEDIUM</t>
        </is>
      </c>
      <c r="F1158" s="191" t="n">
        <v>2</v>
      </c>
      <c r="G1158" s="191" t="n">
        <v>2</v>
      </c>
      <c r="H1158" s="191" t="inlineStr">
        <is>
          <t>MEDIUM</t>
        </is>
      </c>
      <c r="I1158" s="191" t="n">
        <v>10.5</v>
      </c>
      <c r="J1158" s="191" t="inlineStr">
        <is>
          <t>NO</t>
        </is>
      </c>
      <c r="K1158" s="192" t="inlineStr">
        <is>
          <t>https://nvd.nist.gov/vuln/detail/CVE-2026-26047</t>
        </is>
      </c>
      <c r="L1158" s="191" t="inlineStr">
        <is>
          <t>2026-02-23 23:48</t>
        </is>
      </c>
      <c r="M1158" s="191" t="inlineStr">
        <is>
          <t>CHECK_VENDOR</t>
        </is>
      </c>
      <c r="N1158" s="191" t="inlineStr">
        <is>
          <t>See NVD references</t>
        </is>
      </c>
      <c r="O1158" s="191" t="inlineStr">
        <is>
          <t>Apply vendor patches</t>
        </is>
      </c>
      <c r="P1158" s="191" t="inlineStr">
        <is>
          <t>See CVE details</t>
        </is>
      </c>
      <c r="Q1158" s="191" t="inlineStr">
        <is>
          <t>P4</t>
        </is>
      </c>
      <c r="R1158" s="191" t="inlineStr">
        <is>
          <t>📅 Schedule patch deployment within 30 days | 🔍 Monitor for exploitation attempts</t>
        </is>
      </c>
      <c r="S1158" s="191" t="inlineStr">
        <is>
          <t>CVE - IP enrichment n/a</t>
        </is>
      </c>
      <c r="T1158" s="191" t="n">
        <v>0</v>
      </c>
      <c r="U1158" s="191" t="n">
        <v>0</v>
      </c>
      <c r="V1158" s="191" t="inlineStr">
        <is>
          <t>T1190:Exploit Public-Facing Application</t>
        </is>
      </c>
      <c r="W1158" s="191" t="n">
        <v>1</v>
      </c>
      <c r="X1158" s="191" t="inlineStr">
        <is>
          <t>LOW (40%)</t>
        </is>
      </c>
      <c r="Y1158" s="191" t="inlineStr">
        <is>
          <t>UNLIKELY</t>
        </is>
      </c>
      <c r="Z1158" s="191" t="inlineStr">
        <is>
          <t>CHECK_VENDOR</t>
        </is>
      </c>
      <c r="AA1158" s="192" t="inlineStr">
        <is>
          <t>https://nvd.nist.gov/vuln/detail/CVE-2026-26047</t>
        </is>
      </c>
      <c r="AB1158" s="191" t="inlineStr">
        <is>
          <t>NONE</t>
        </is>
      </c>
      <c r="AC1158" s="191" t="n">
        <v>0</v>
      </c>
      <c r="AD1158" s="191" t="n"/>
    </row>
    <row r="1159">
      <c r="A1159" s="189" t="inlineStr">
        <is>
          <t>CVE</t>
        </is>
      </c>
      <c r="B1159" s="189" t="inlineStr">
        <is>
          <t>CVE-2026-27198</t>
        </is>
      </c>
      <c r="C1159" s="189" t="inlineStr">
        <is>
          <t>Formwork is a flat file-based Content Management System (CMS). In versions 2.0.0 through 2.3.3, the application fails to properly enforce role-based authorization during account creation. Although the system validates that the specified role exists, it does not verify whether the current user has sufficient privileges to assign highly privileged roles such as admin. As a result, an authenticated user with the editor role can create a new account with administrative privileges, leading to full ad</t>
        </is>
      </c>
      <c r="D1159" s="189" t="n">
        <v>8.800000000000001</v>
      </c>
      <c r="E1159" s="189" t="inlineStr">
        <is>
          <t>HIGH</t>
        </is>
      </c>
      <c r="F1159" s="189" t="n">
        <v>2</v>
      </c>
      <c r="G1159" s="189" t="n">
        <v>3</v>
      </c>
      <c r="H1159" s="189" t="inlineStr">
        <is>
          <t>HIGH</t>
        </is>
      </c>
      <c r="I1159" s="189" t="n">
        <v>14.8</v>
      </c>
      <c r="J1159" s="189" t="inlineStr">
        <is>
          <t>NO</t>
        </is>
      </c>
      <c r="K1159" s="190" t="inlineStr">
        <is>
          <t>https://nvd.nist.gov/vuln/detail/CVE-2026-27198</t>
        </is>
      </c>
      <c r="L1159" s="189" t="inlineStr">
        <is>
          <t>2026-02-23 23:48</t>
        </is>
      </c>
      <c r="M1159" s="189" t="inlineStr">
        <is>
          <t>CHECK_VENDOR</t>
        </is>
      </c>
      <c r="N1159" s="189" t="inlineStr">
        <is>
          <t>See NVD references</t>
        </is>
      </c>
      <c r="O1159" s="189" t="inlineStr">
        <is>
          <t>Apply vendor patches</t>
        </is>
      </c>
      <c r="P1159" s="189" t="inlineStr">
        <is>
          <t>See CVE details</t>
        </is>
      </c>
      <c r="Q1159" s="189" t="inlineStr">
        <is>
          <t>P3</t>
        </is>
      </c>
      <c r="R1159" s="189" t="inlineStr">
        <is>
          <t>🚨 URGENT: Apply vendor patches immediately | 🔒 Isolate affected systems if patch unavailable | 🛡️ Enable additional monitoring/IDS rules</t>
        </is>
      </c>
      <c r="S1159" s="189" t="inlineStr">
        <is>
          <t>CVE - IP enrichment n/a</t>
        </is>
      </c>
      <c r="T1159" s="189" t="n">
        <v>0.0004</v>
      </c>
      <c r="U1159" s="189" t="n">
        <v>0.1097</v>
      </c>
      <c r="V1159" s="189" t="inlineStr">
        <is>
          <t>T1190:Exploit Public-Facing Application</t>
        </is>
      </c>
      <c r="W1159" s="189" t="n">
        <v>1</v>
      </c>
      <c r="X1159" s="189" t="inlineStr">
        <is>
          <t>LOW (40%)</t>
        </is>
      </c>
      <c r="Y1159" s="189" t="inlineStr">
        <is>
          <t>UNLIKELY</t>
        </is>
      </c>
      <c r="Z1159" s="189" t="inlineStr">
        <is>
          <t>CHECK_VENDOR</t>
        </is>
      </c>
      <c r="AA1159" s="190" t="inlineStr">
        <is>
          <t>https://nvd.nist.gov/vuln/detail/CVE-2026-27198</t>
        </is>
      </c>
      <c r="AB1159" s="189" t="inlineStr">
        <is>
          <t>NONE</t>
        </is>
      </c>
      <c r="AC1159" s="189" t="n">
        <v>0</v>
      </c>
      <c r="AD1159" s="189" t="n"/>
    </row>
    <row r="1160">
      <c r="A1160" s="191" t="inlineStr">
        <is>
          <t>CVE</t>
        </is>
      </c>
      <c r="B1160" s="191" t="inlineStr">
        <is>
          <t>CVE-2026-27199</t>
        </is>
      </c>
      <c r="C1160" s="191" t="inlineStr">
        <is>
          <t>Werkzeug is a comprehensive WSGI web application library. Versions 3.1.5 and below, the safe_join function allows Windows device names as filenames if preceded by other path segments. This was previously reported as GHSA-hgf8-39gv-g3f2, but the added filtering failed to account for the fact that safe_join accepts paths with multiple segments, such as example/NUL. The function send_from_directory uses safe_join to safely serve files at user-specified paths under a directory. If the application is</t>
        </is>
      </c>
      <c r="D1160" s="191" t="n">
        <v>5</v>
      </c>
      <c r="E1160" s="191" t="inlineStr">
        <is>
          <t>MEDIUM</t>
        </is>
      </c>
      <c r="F1160" s="191" t="n">
        <v>2</v>
      </c>
      <c r="G1160" s="191" t="n">
        <v>2</v>
      </c>
      <c r="H1160" s="191" t="inlineStr">
        <is>
          <t>MEDIUM</t>
        </is>
      </c>
      <c r="I1160" s="191" t="n">
        <v>9</v>
      </c>
      <c r="J1160" s="191" t="inlineStr">
        <is>
          <t>NO</t>
        </is>
      </c>
      <c r="K1160" s="192" t="inlineStr">
        <is>
          <t>https://nvd.nist.gov/vuln/detail/CVE-2026-27199</t>
        </is>
      </c>
      <c r="L1160" s="191" t="inlineStr">
        <is>
          <t>2026-02-23 23:48</t>
        </is>
      </c>
      <c r="M1160" s="191" t="inlineStr">
        <is>
          <t>CHECK_VENDOR</t>
        </is>
      </c>
      <c r="N1160" s="191" t="inlineStr">
        <is>
          <t>See NVD references</t>
        </is>
      </c>
      <c r="O1160" s="191" t="inlineStr">
        <is>
          <t>Apply vendor patches</t>
        </is>
      </c>
      <c r="P1160" s="191" t="inlineStr">
        <is>
          <t>See CVE details</t>
        </is>
      </c>
      <c r="Q1160" s="191" t="inlineStr">
        <is>
          <t>P4</t>
        </is>
      </c>
      <c r="R1160" s="191" t="inlineStr">
        <is>
          <t>📅 Schedule patch deployment within 30 days | 🔍 Monitor for exploitation attempts</t>
        </is>
      </c>
      <c r="S1160" s="191" t="inlineStr">
        <is>
          <t>CVE - IP enrichment n/a</t>
        </is>
      </c>
      <c r="T1160" s="191" t="n">
        <v>0.0005999999999999999</v>
      </c>
      <c r="U1160" s="191" t="n">
        <v>0.1852</v>
      </c>
      <c r="V1160" s="191" t="inlineStr">
        <is>
          <t>T1190:Exploit Public-Facing Application</t>
        </is>
      </c>
      <c r="W1160" s="191" t="n">
        <v>1</v>
      </c>
      <c r="X1160" s="191" t="inlineStr">
        <is>
          <t>LOW (40%)</t>
        </is>
      </c>
      <c r="Y1160" s="191" t="inlineStr">
        <is>
          <t>UNLIKELY</t>
        </is>
      </c>
      <c r="Z1160" s="191" t="inlineStr">
        <is>
          <t>CHECK_VENDOR</t>
        </is>
      </c>
      <c r="AA1160" s="192" t="inlineStr">
        <is>
          <t>https://nvd.nist.gov/vuln/detail/CVE-2026-27199</t>
        </is>
      </c>
      <c r="AB1160" s="191" t="inlineStr">
        <is>
          <t>NONE</t>
        </is>
      </c>
      <c r="AC1160" s="191" t="n">
        <v>0</v>
      </c>
      <c r="AD1160" s="191" t="n"/>
    </row>
    <row r="1161">
      <c r="A1161" s="191" t="inlineStr">
        <is>
          <t>CVE</t>
        </is>
      </c>
      <c r="B1161" s="191" t="inlineStr">
        <is>
          <t>CVE-2026-27205</t>
        </is>
      </c>
      <c r="C1161" s="191" t="inlineStr">
        <is>
          <t>Flask is a web server gateway interface (WSGI) web application framework. In versions 3.1.2 and below, when the session object is accessed, Flask should set the Vary: Cookie header., resulting in a Use of Cache Containing Sensitive Information vulnerability. The logic instructs caches not to cache the response, as it may contain information specific to a logged in user. This is handled in most cases, but some forms of access such as the Python in operator were overlooked. The severity and risk d</t>
        </is>
      </c>
      <c r="D1161" s="191" t="n">
        <v>5</v>
      </c>
      <c r="E1161" s="191" t="inlineStr">
        <is>
          <t>MEDIUM</t>
        </is>
      </c>
      <c r="F1161" s="191" t="n">
        <v>2</v>
      </c>
      <c r="G1161" s="191" t="n">
        <v>2</v>
      </c>
      <c r="H1161" s="191" t="inlineStr">
        <is>
          <t>MEDIUM</t>
        </is>
      </c>
      <c r="I1161" s="191" t="n">
        <v>9</v>
      </c>
      <c r="J1161" s="191" t="inlineStr">
        <is>
          <t>NO</t>
        </is>
      </c>
      <c r="K1161" s="192" t="inlineStr">
        <is>
          <t>https://nvd.nist.gov/vuln/detail/CVE-2026-27205</t>
        </is>
      </c>
      <c r="L1161" s="191" t="inlineStr">
        <is>
          <t>2026-02-23 23:48</t>
        </is>
      </c>
      <c r="M1161" s="191" t="inlineStr">
        <is>
          <t>CHECK_VENDOR</t>
        </is>
      </c>
      <c r="N1161" s="191" t="inlineStr">
        <is>
          <t>See NVD references</t>
        </is>
      </c>
      <c r="O1161" s="191" t="inlineStr">
        <is>
          <t>Apply vendor patches</t>
        </is>
      </c>
      <c r="P1161" s="191" t="inlineStr">
        <is>
          <t>See CVE details</t>
        </is>
      </c>
      <c r="Q1161" s="191" t="inlineStr">
        <is>
          <t>P4</t>
        </is>
      </c>
      <c r="R1161" s="191" t="inlineStr">
        <is>
          <t>📅 Schedule patch deployment within 30 days | 🔍 Monitor for exploitation attempts</t>
        </is>
      </c>
      <c r="S1161" s="191" t="inlineStr">
        <is>
          <t>CVE - IP enrichment n/a</t>
        </is>
      </c>
      <c r="T1161" s="191" t="n">
        <v>0</v>
      </c>
      <c r="U1161" s="191" t="n">
        <v>0</v>
      </c>
      <c r="V1161" s="191" t="inlineStr">
        <is>
          <t>T1190:Exploit Public-Facing Application</t>
        </is>
      </c>
      <c r="W1161" s="191" t="n">
        <v>1</v>
      </c>
      <c r="X1161" s="191" t="inlineStr">
        <is>
          <t>LOW (40%)</t>
        </is>
      </c>
      <c r="Y1161" s="191" t="inlineStr">
        <is>
          <t>UNLIKELY</t>
        </is>
      </c>
      <c r="Z1161" s="191" t="inlineStr">
        <is>
          <t>CHECK_VENDOR</t>
        </is>
      </c>
      <c r="AA1161" s="192" t="inlineStr">
        <is>
          <t>https://nvd.nist.gov/vuln/detail/CVE-2026-27205</t>
        </is>
      </c>
      <c r="AB1161" s="191" t="inlineStr">
        <is>
          <t>NONE</t>
        </is>
      </c>
      <c r="AC1161" s="191" t="n">
        <v>0</v>
      </c>
      <c r="AD1161" s="191" t="n"/>
    </row>
    <row r="1162">
      <c r="A1162" s="189" t="inlineStr">
        <is>
          <t>CVE</t>
        </is>
      </c>
      <c r="B1162" s="189" t="inlineStr">
        <is>
          <t>CVE-2026-27210</t>
        </is>
      </c>
      <c r="C1162" s="189" t="inlineStr">
        <is>
          <t>Pannellum is a lightweight, free, and open source panorama viewer for the web. In versions 3.5.0 through 2.5.6, the hot spot attributes configuration property allowed any attribute to be set, including HTML event handler attributes, allowing for potential XSS attacks. This affects websites hosting the standalone viewer HTML file and any other use of untrusted JSON config files (bypassing the protections of the escapeHTML parameter). As certain events fire without any additional user interaction,</t>
        </is>
      </c>
      <c r="D1162" s="189" t="n">
        <v>8.5</v>
      </c>
      <c r="E1162" s="189" t="inlineStr">
        <is>
          <t>HIGH</t>
        </is>
      </c>
      <c r="F1162" s="189" t="n">
        <v>2</v>
      </c>
      <c r="G1162" s="189" t="n">
        <v>3</v>
      </c>
      <c r="H1162" s="189" t="inlineStr">
        <is>
          <t>HIGH</t>
        </is>
      </c>
      <c r="I1162" s="189" t="n">
        <v>14.5</v>
      </c>
      <c r="J1162" s="189" t="inlineStr">
        <is>
          <t>NO</t>
        </is>
      </c>
      <c r="K1162" s="190" t="inlineStr">
        <is>
          <t>https://nvd.nist.gov/vuln/detail/CVE-2026-27210</t>
        </is>
      </c>
      <c r="L1162" s="189" t="inlineStr">
        <is>
          <t>2026-02-23 23:48</t>
        </is>
      </c>
      <c r="M1162" s="189" t="inlineStr">
        <is>
          <t>CHECK_VENDOR</t>
        </is>
      </c>
      <c r="N1162" s="189" t="inlineStr">
        <is>
          <t>See NVD references</t>
        </is>
      </c>
      <c r="O1162" s="189" t="inlineStr">
        <is>
          <t>Apply vendor patches</t>
        </is>
      </c>
      <c r="P1162" s="189" t="inlineStr">
        <is>
          <t>See CVE details</t>
        </is>
      </c>
      <c r="Q1162" s="189" t="inlineStr">
        <is>
          <t>P3</t>
        </is>
      </c>
      <c r="R1162" s="189" t="inlineStr">
        <is>
          <t>🚨 URGENT: Apply vendor patches immediately | 🔒 Isolate affected systems if patch unavailable | 🛡️ Enable additional monitoring/IDS rules</t>
        </is>
      </c>
      <c r="S1162" s="189" t="inlineStr">
        <is>
          <t>CVE - IP enrichment n/a</t>
        </is>
      </c>
      <c r="T1162" s="189" t="n">
        <v>0</v>
      </c>
      <c r="U1162" s="189" t="n">
        <v>0</v>
      </c>
      <c r="V1162" s="189" t="inlineStr">
        <is>
          <t>T1189:Drive-by Compromise | T1190:Exploit Public-Facing Application</t>
        </is>
      </c>
      <c r="W1162" s="189" t="n">
        <v>1</v>
      </c>
      <c r="X1162" s="189" t="inlineStr">
        <is>
          <t>LOW (40%)</t>
        </is>
      </c>
      <c r="Y1162" s="189" t="inlineStr">
        <is>
          <t>UNLIKELY</t>
        </is>
      </c>
      <c r="Z1162" s="189" t="inlineStr">
        <is>
          <t>CHECK_VENDOR</t>
        </is>
      </c>
      <c r="AA1162" s="190" t="inlineStr">
        <is>
          <t>https://nvd.nist.gov/vuln/detail/CVE-2026-27210</t>
        </is>
      </c>
      <c r="AB1162" s="189" t="inlineStr">
        <is>
          <t>NONE</t>
        </is>
      </c>
      <c r="AC1162" s="189" t="n">
        <v>0</v>
      </c>
      <c r="AD1162" s="189" t="n"/>
    </row>
    <row r="1163">
      <c r="A1163" s="189" t="inlineStr">
        <is>
          <t>CVE</t>
        </is>
      </c>
      <c r="B1163" s="189" t="inlineStr">
        <is>
          <t>CVE-2026-27211</t>
        </is>
      </c>
      <c r="C1163" s="189" t="inlineStr">
        <is>
          <t>Cloud Hypervisor is a Virtual Machine Monitor for Cloud workloads. Versions 34.0 through 50.0 arevulnerable to arbitrary host file exfiltration (constrained by process privileges) when using virtio-block devices backed by raw images. A malicious guest can overwrite its disk header with a crafted QCOW2 structure pointing to a sensitive host path. Upon the next VM boot or disk scan, the image format auto-detection parses this header and serves the host file's contents to the guest. Guest-initiated</t>
        </is>
      </c>
      <c r="D1163" s="189" t="n">
        <v>8.5</v>
      </c>
      <c r="E1163" s="189" t="inlineStr">
        <is>
          <t>HIGH</t>
        </is>
      </c>
      <c r="F1163" s="189" t="n">
        <v>2</v>
      </c>
      <c r="G1163" s="189" t="n">
        <v>3</v>
      </c>
      <c r="H1163" s="189" t="inlineStr">
        <is>
          <t>HIGH</t>
        </is>
      </c>
      <c r="I1163" s="189" t="n">
        <v>14.5</v>
      </c>
      <c r="J1163" s="189" t="inlineStr">
        <is>
          <t>NO</t>
        </is>
      </c>
      <c r="K1163" s="190" t="inlineStr">
        <is>
          <t>https://nvd.nist.gov/vuln/detail/CVE-2026-27211</t>
        </is>
      </c>
      <c r="L1163" s="189" t="inlineStr">
        <is>
          <t>2026-02-23 23:48</t>
        </is>
      </c>
      <c r="M1163" s="189" t="inlineStr">
        <is>
          <t>CHECK_VENDOR</t>
        </is>
      </c>
      <c r="N1163" s="189" t="inlineStr">
        <is>
          <t>See NVD references</t>
        </is>
      </c>
      <c r="O1163" s="189" t="inlineStr">
        <is>
          <t>Apply vendor patches</t>
        </is>
      </c>
      <c r="P1163" s="189" t="inlineStr">
        <is>
          <t>See CVE details</t>
        </is>
      </c>
      <c r="Q1163" s="189" t="inlineStr">
        <is>
          <t>P3</t>
        </is>
      </c>
      <c r="R1163" s="189" t="inlineStr">
        <is>
          <t>🚨 URGENT: Apply vendor patches immediately | 🔒 Isolate affected systems if patch unavailable | 🛡️ Enable additional monitoring/IDS rules</t>
        </is>
      </c>
      <c r="S1163" s="189" t="inlineStr">
        <is>
          <t>CVE - IP enrichment n/a</t>
        </is>
      </c>
      <c r="T1163" s="189" t="n">
        <v>0</v>
      </c>
      <c r="U1163" s="189" t="n">
        <v>0</v>
      </c>
      <c r="V1163" s="189" t="inlineStr">
        <is>
          <t>T1190:Exploit Public-Facing Application</t>
        </is>
      </c>
      <c r="W1163" s="189" t="n">
        <v>1</v>
      </c>
      <c r="X1163" s="189" t="inlineStr">
        <is>
          <t>LOW (40%)</t>
        </is>
      </c>
      <c r="Y1163" s="189" t="inlineStr">
        <is>
          <t>UNLIKELY</t>
        </is>
      </c>
      <c r="Z1163" s="189" t="inlineStr">
        <is>
          <t>CHECK_VENDOR</t>
        </is>
      </c>
      <c r="AA1163" s="190" t="inlineStr">
        <is>
          <t>https://nvd.nist.gov/vuln/detail/CVE-2026-27211</t>
        </is>
      </c>
      <c r="AB1163" s="189" t="inlineStr">
        <is>
          <t>NONE</t>
        </is>
      </c>
      <c r="AC1163" s="189" t="n">
        <v>0</v>
      </c>
      <c r="AD1163" s="189" t="n"/>
    </row>
    <row r="1164">
      <c r="A1164" s="189" t="inlineStr">
        <is>
          <t>CVE</t>
        </is>
      </c>
      <c r="B1164" s="189" t="inlineStr">
        <is>
          <t>CVE-2026-27212</t>
        </is>
      </c>
      <c r="C1164" s="189" t="inlineStr">
        <is>
          <t>Swiper is a free and mobile touch slider with hardware accelerated transitions and native behavior. Versions 6.5.1 through 12.1.1 have a Prototype pollution vulnerability. The vulnerability resides in line 94 of shared/utils.mjs, where the indexOf() function is used to check whether user provided input contain forbidden strings. Despite a previous fix that attempted to mitigate prototype pollution by checking whether user input contained a forbidden key, it is still possible to pollute Object.pr</t>
        </is>
      </c>
      <c r="D1164" s="189" t="n">
        <v>8.5</v>
      </c>
      <c r="E1164" s="189" t="inlineStr">
        <is>
          <t>HIGH</t>
        </is>
      </c>
      <c r="F1164" s="189" t="n">
        <v>2</v>
      </c>
      <c r="G1164" s="189" t="n">
        <v>3</v>
      </c>
      <c r="H1164" s="189" t="inlineStr">
        <is>
          <t>HIGH</t>
        </is>
      </c>
      <c r="I1164" s="189" t="n">
        <v>14.5</v>
      </c>
      <c r="J1164" s="189" t="inlineStr">
        <is>
          <t>NO</t>
        </is>
      </c>
      <c r="K1164" s="190" t="inlineStr">
        <is>
          <t>https://nvd.nist.gov/vuln/detail/CVE-2026-27212</t>
        </is>
      </c>
      <c r="L1164" s="189" t="inlineStr">
        <is>
          <t>2026-02-23 23:48</t>
        </is>
      </c>
      <c r="M1164" s="189" t="inlineStr">
        <is>
          <t>CHECK_VENDOR</t>
        </is>
      </c>
      <c r="N1164" s="189" t="inlineStr">
        <is>
          <t>See NVD references</t>
        </is>
      </c>
      <c r="O1164" s="189" t="inlineStr">
        <is>
          <t>Apply vendor patches</t>
        </is>
      </c>
      <c r="P1164" s="189" t="inlineStr">
        <is>
          <t>See CVE details</t>
        </is>
      </c>
      <c r="Q1164" s="189" t="inlineStr">
        <is>
          <t>P3</t>
        </is>
      </c>
      <c r="R1164" s="189" t="inlineStr">
        <is>
          <t>🚨 URGENT: Apply vendor patches immediately | 🔒 Isolate affected systems if patch unavailable | 🛡️ Enable additional monitoring/IDS rules</t>
        </is>
      </c>
      <c r="S1164" s="189" t="inlineStr">
        <is>
          <t>CVE - IP enrichment n/a</t>
        </is>
      </c>
      <c r="T1164" s="189" t="n">
        <v>0</v>
      </c>
      <c r="U1164" s="189" t="n">
        <v>0</v>
      </c>
      <c r="V1164" s="189" t="inlineStr">
        <is>
          <t>T1190:Exploit Public-Facing Application | T1078:Valid Accounts | T1499:Endpoint Denial of Service</t>
        </is>
      </c>
      <c r="W1164" s="189" t="n">
        <v>1</v>
      </c>
      <c r="X1164" s="189" t="inlineStr">
        <is>
          <t>LOW (40%)</t>
        </is>
      </c>
      <c r="Y1164" s="189" t="inlineStr">
        <is>
          <t>UNLIKELY</t>
        </is>
      </c>
      <c r="Z1164" s="189" t="inlineStr">
        <is>
          <t>CHECK_VENDOR</t>
        </is>
      </c>
      <c r="AA1164" s="190" t="inlineStr">
        <is>
          <t>https://nvd.nist.gov/vuln/detail/CVE-2026-27212</t>
        </is>
      </c>
      <c r="AB1164" s="189" t="inlineStr">
        <is>
          <t>NONE</t>
        </is>
      </c>
      <c r="AC1164" s="189" t="n">
        <v>0</v>
      </c>
      <c r="AD1164" s="189" t="n"/>
    </row>
    <row r="1165">
      <c r="A1165" s="191" t="inlineStr">
        <is>
          <t>CVE</t>
        </is>
      </c>
      <c r="B1165" s="191" t="inlineStr">
        <is>
          <t>CVE-2026-2861</t>
        </is>
      </c>
      <c r="C1165" s="191" t="inlineStr">
        <is>
          <t>A vulnerability was detected in Foswiki up to 2.1.10. The affected element is an unknown function of the component Changes/Viewfile/Oops. The manipulation results in information disclosure. It is possible to launch the attack remotely. The exploit is now public and may be used. Upgrading to version 2.1.11 is sufficient to fix this issue. The patch is identified as 31aeecb58b64/d8ed86b10e46. Upgrading the affected component is recommended.</t>
        </is>
      </c>
      <c r="D1165" s="191" t="n">
        <v>5.3</v>
      </c>
      <c r="E1165" s="191" t="inlineStr">
        <is>
          <t>MEDIUM</t>
        </is>
      </c>
      <c r="F1165" s="191" t="n">
        <v>2</v>
      </c>
      <c r="G1165" s="191" t="n">
        <v>2</v>
      </c>
      <c r="H1165" s="191" t="inlineStr">
        <is>
          <t>MEDIUM</t>
        </is>
      </c>
      <c r="I1165" s="191" t="n">
        <v>9.300000000000001</v>
      </c>
      <c r="J1165" s="191" t="inlineStr">
        <is>
          <t>NO</t>
        </is>
      </c>
      <c r="K1165" s="192" t="inlineStr">
        <is>
          <t>https://nvd.nist.gov/vuln/detail/CVE-2026-2861</t>
        </is>
      </c>
      <c r="L1165" s="191" t="inlineStr">
        <is>
          <t>2026-02-23 23:48</t>
        </is>
      </c>
      <c r="M1165" s="191" t="inlineStr">
        <is>
          <t>CHECK_VENDOR</t>
        </is>
      </c>
      <c r="N1165" s="191" t="inlineStr">
        <is>
          <t>See NVD references</t>
        </is>
      </c>
      <c r="O1165" s="191" t="inlineStr">
        <is>
          <t>Apply vendor patches</t>
        </is>
      </c>
      <c r="P1165" s="191" t="inlineStr">
        <is>
          <t>See CVE details</t>
        </is>
      </c>
      <c r="Q1165" s="191" t="inlineStr">
        <is>
          <t>P4</t>
        </is>
      </c>
      <c r="R1165" s="191" t="inlineStr">
        <is>
          <t>📅 Schedule patch deployment within 30 days | 🔍 Monitor for exploitation attempts</t>
        </is>
      </c>
      <c r="S1165" s="191" t="inlineStr">
        <is>
          <t>CVE - IP enrichment n/a</t>
        </is>
      </c>
      <c r="T1165" s="191" t="n">
        <v>0</v>
      </c>
      <c r="U1165" s="191" t="n">
        <v>0</v>
      </c>
      <c r="V1165" s="191" t="inlineStr">
        <is>
          <t>T1213:Data from Information Repositories</t>
        </is>
      </c>
      <c r="W1165" s="191" t="n">
        <v>1</v>
      </c>
      <c r="X1165" s="191" t="inlineStr">
        <is>
          <t>LOW (40%)</t>
        </is>
      </c>
      <c r="Y1165" s="191" t="inlineStr">
        <is>
          <t>UNLIKELY</t>
        </is>
      </c>
      <c r="Z1165" s="191" t="inlineStr">
        <is>
          <t>CHECK_VENDOR</t>
        </is>
      </c>
      <c r="AA1165" s="192" t="inlineStr">
        <is>
          <t>https://nvd.nist.gov/vuln/detail/CVE-2026-2861</t>
        </is>
      </c>
      <c r="AB1165" s="191" t="inlineStr">
        <is>
          <t>NONE</t>
        </is>
      </c>
      <c r="AC1165" s="191" t="n">
        <v>0</v>
      </c>
      <c r="AD1165" s="191" t="n"/>
    </row>
    <row r="1166">
      <c r="A1166" s="191" t="inlineStr">
        <is>
          <t>CVE</t>
        </is>
      </c>
      <c r="B1166" s="191" t="inlineStr">
        <is>
          <t>CVE-2026-2863</t>
        </is>
      </c>
      <c r="C1166" s="191" t="inlineStr">
        <is>
          <t>A flaw has been found in feng_ha_ha/megagao ssm-erp and production_ssm up to 4288d53bd35757b27f2d070057aefb2c07bdd097. The impacted element is the function deleteFile of the file FileServiceImpl.java. This manipulation causes path traversal. The attack can be initiated remotely. The exploit has been published and may be used. Continious delivery with rolling releases is used by this product. Therefore, no version details of affected nor updated releases are available. This product is distributed</t>
        </is>
      </c>
      <c r="D1166" s="191" t="n">
        <v>5.4</v>
      </c>
      <c r="E1166" s="191" t="inlineStr">
        <is>
          <t>MEDIUM</t>
        </is>
      </c>
      <c r="F1166" s="191" t="n">
        <v>2</v>
      </c>
      <c r="G1166" s="191" t="n">
        <v>2</v>
      </c>
      <c r="H1166" s="191" t="inlineStr">
        <is>
          <t>MEDIUM</t>
        </is>
      </c>
      <c r="I1166" s="191" t="n">
        <v>9.4</v>
      </c>
      <c r="J1166" s="191" t="inlineStr">
        <is>
          <t>NO</t>
        </is>
      </c>
      <c r="K1166" s="192" t="inlineStr">
        <is>
          <t>https://nvd.nist.gov/vuln/detail/CVE-2026-2863</t>
        </is>
      </c>
      <c r="L1166" s="191" t="inlineStr">
        <is>
          <t>2026-02-23 23:48</t>
        </is>
      </c>
      <c r="M1166" s="191" t="inlineStr">
        <is>
          <t>CHECK_VENDOR</t>
        </is>
      </c>
      <c r="N1166" s="191" t="inlineStr">
        <is>
          <t>See NVD references</t>
        </is>
      </c>
      <c r="O1166" s="191" t="inlineStr">
        <is>
          <t>Apply vendor patches</t>
        </is>
      </c>
      <c r="P1166" s="191" t="inlineStr">
        <is>
          <t>See CVE details</t>
        </is>
      </c>
      <c r="Q1166" s="191" t="inlineStr">
        <is>
          <t>P4</t>
        </is>
      </c>
      <c r="R1166" s="191" t="inlineStr">
        <is>
          <t>📅 Schedule patch deployment within 30 days | 🔍 Monitor for exploitation attempts</t>
        </is>
      </c>
      <c r="S1166" s="191" t="inlineStr">
        <is>
          <t>CVE - IP enrichment n/a</t>
        </is>
      </c>
      <c r="T1166" s="191" t="n">
        <v>0.0005999999999999999</v>
      </c>
      <c r="U1166" s="191" t="n">
        <v>0.1823</v>
      </c>
      <c r="V1166" s="191" t="inlineStr">
        <is>
          <t>T1083:File and Directory Discovery</t>
        </is>
      </c>
      <c r="W1166" s="191" t="n">
        <v>1</v>
      </c>
      <c r="X1166" s="191" t="inlineStr">
        <is>
          <t>LOW (40%)</t>
        </is>
      </c>
      <c r="Y1166" s="191" t="inlineStr">
        <is>
          <t>UNLIKELY</t>
        </is>
      </c>
      <c r="Z1166" s="191" t="inlineStr">
        <is>
          <t>CHECK_VENDOR</t>
        </is>
      </c>
      <c r="AA1166" s="192" t="inlineStr">
        <is>
          <t>https://nvd.nist.gov/vuln/detail/CVE-2026-2863</t>
        </is>
      </c>
      <c r="AB1166" s="191" t="inlineStr">
        <is>
          <t>NONE</t>
        </is>
      </c>
      <c r="AC1166" s="191" t="n">
        <v>0</v>
      </c>
      <c r="AD1166" s="191" t="n"/>
    </row>
    <row r="1167">
      <c r="A1167" s="189" t="inlineStr">
        <is>
          <t>CVE</t>
        </is>
      </c>
      <c r="B1167" s="189" t="inlineStr">
        <is>
          <t>CVE-2026-27206</t>
        </is>
      </c>
      <c r="C1167" s="189" t="inlineStr">
        <is>
          <t>Zumba Json Serializer is a library to serialize PHP variables in JSON format. In versions 3.2.2 and below, the library allows deserialization of PHP objects from JSON using a special @type field. The deserializer instantiates any class specified in the @type field without restriction. When processing untrusted JSON input, this behavior may allow an attacker to instantiate arbitrary classes available in the application. If a vulnerable application passes attacker-controlled JSON into JsonSerializ</t>
        </is>
      </c>
      <c r="D1167" s="189" t="n">
        <v>8.1</v>
      </c>
      <c r="E1167" s="189" t="inlineStr">
        <is>
          <t>HIGH</t>
        </is>
      </c>
      <c r="F1167" s="189" t="n">
        <v>2</v>
      </c>
      <c r="G1167" s="189" t="n">
        <v>3</v>
      </c>
      <c r="H1167" s="189" t="inlineStr">
        <is>
          <t>HIGH</t>
        </is>
      </c>
      <c r="I1167" s="189" t="n">
        <v>14.1</v>
      </c>
      <c r="J1167" s="189" t="inlineStr">
        <is>
          <t>NO</t>
        </is>
      </c>
      <c r="K1167" s="190" t="inlineStr">
        <is>
          <t>https://nvd.nist.gov/vuln/detail/CVE-2026-27206</t>
        </is>
      </c>
      <c r="L1167" s="189" t="inlineStr">
        <is>
          <t>2026-02-23 23:48</t>
        </is>
      </c>
      <c r="M1167" s="189" t="inlineStr">
        <is>
          <t>CHECK_VENDOR</t>
        </is>
      </c>
      <c r="N1167" s="189" t="inlineStr">
        <is>
          <t>See NVD references</t>
        </is>
      </c>
      <c r="O1167" s="189" t="inlineStr">
        <is>
          <t>Apply vendor patches</t>
        </is>
      </c>
      <c r="P1167" s="189" t="inlineStr">
        <is>
          <t>See CVE details</t>
        </is>
      </c>
      <c r="Q1167" s="189" t="inlineStr">
        <is>
          <t>P3</t>
        </is>
      </c>
      <c r="R1167" s="189" t="inlineStr">
        <is>
          <t>🚨 URGENT: Apply vendor patches immediately | 🔒 Isolate affected systems if patch unavailable | 🛡️ Enable additional monitoring/IDS rules</t>
        </is>
      </c>
      <c r="S1167" s="189" t="inlineStr">
        <is>
          <t>CVE - IP enrichment n/a</t>
        </is>
      </c>
      <c r="T1167" s="189" t="n">
        <v>0</v>
      </c>
      <c r="U1167" s="189" t="n">
        <v>0</v>
      </c>
      <c r="V1167" s="189" t="inlineStr">
        <is>
          <t>T1059:Command and Scripting Interpreter | T1190:Exploit Public-Facing Application | T1210:Exploitation of Remote Services</t>
        </is>
      </c>
      <c r="W1167" s="189" t="n">
        <v>1</v>
      </c>
      <c r="X1167" s="189" t="inlineStr">
        <is>
          <t>LOW (40%)</t>
        </is>
      </c>
      <c r="Y1167" s="189" t="inlineStr">
        <is>
          <t>UNLIKELY</t>
        </is>
      </c>
      <c r="Z1167" s="189" t="inlineStr">
        <is>
          <t>CHECK_VENDOR</t>
        </is>
      </c>
      <c r="AA1167" s="190" t="inlineStr">
        <is>
          <t>https://nvd.nist.gov/vuln/detail/CVE-2026-27206</t>
        </is>
      </c>
      <c r="AB1167" s="189" t="inlineStr">
        <is>
          <t>NONE</t>
        </is>
      </c>
      <c r="AC1167" s="189" t="n">
        <v>0</v>
      </c>
      <c r="AD1167" s="189" t="n"/>
    </row>
    <row r="1168">
      <c r="A1168" s="191" t="inlineStr">
        <is>
          <t>CVE</t>
        </is>
      </c>
      <c r="B1168" s="191" t="inlineStr">
        <is>
          <t>CVE-2026-27452</t>
        </is>
      </c>
      <c r="C1168" s="191" t="inlineStr">
        <is>
          <t>ASN.1 TypeScript ESM library, including codecs for Basic Encoding Rules (BER) and Distinguished Encoding Rules (DER). In versions 11.0.5 and below, in some cases, decoding an INTEGER could leak the underlying ArrayBuffer. This issue is expected to be fixed in version 11.0.6.</t>
        </is>
      </c>
      <c r="D1168" s="191" t="n">
        <v>5</v>
      </c>
      <c r="E1168" s="191" t="inlineStr">
        <is>
          <t>MEDIUM</t>
        </is>
      </c>
      <c r="F1168" s="191" t="n">
        <v>2</v>
      </c>
      <c r="G1168" s="191" t="n">
        <v>2</v>
      </c>
      <c r="H1168" s="191" t="inlineStr">
        <is>
          <t>MEDIUM</t>
        </is>
      </c>
      <c r="I1168" s="191" t="n">
        <v>9</v>
      </c>
      <c r="J1168" s="191" t="inlineStr">
        <is>
          <t>NO</t>
        </is>
      </c>
      <c r="K1168" s="192" t="inlineStr">
        <is>
          <t>https://nvd.nist.gov/vuln/detail/CVE-2026-27452</t>
        </is>
      </c>
      <c r="L1168" s="191" t="inlineStr">
        <is>
          <t>2026-02-23 23:48</t>
        </is>
      </c>
      <c r="M1168" s="191" t="inlineStr">
        <is>
          <t>CHECK_VENDOR</t>
        </is>
      </c>
      <c r="N1168" s="191" t="inlineStr">
        <is>
          <t>See NVD references</t>
        </is>
      </c>
      <c r="O1168" s="191" t="inlineStr">
        <is>
          <t>Apply vendor patches</t>
        </is>
      </c>
      <c r="P1168" s="191" t="inlineStr">
        <is>
          <t>See CVE details</t>
        </is>
      </c>
      <c r="Q1168" s="191" t="inlineStr">
        <is>
          <t>P4</t>
        </is>
      </c>
      <c r="R1168" s="191" t="inlineStr">
        <is>
          <t>📅 Schedule patch deployment within 30 days | 🔍 Monitor for exploitation attempts</t>
        </is>
      </c>
      <c r="S1168" s="191" t="inlineStr">
        <is>
          <t>CVE - IP enrichment n/a</t>
        </is>
      </c>
      <c r="T1168" s="191" t="n">
        <v>0</v>
      </c>
      <c r="U1168" s="191" t="n">
        <v>0</v>
      </c>
      <c r="V1168" s="191" t="inlineStr">
        <is>
          <t>T1213:Data from Information Repositories</t>
        </is>
      </c>
      <c r="W1168" s="191" t="n">
        <v>1</v>
      </c>
      <c r="X1168" s="191" t="inlineStr">
        <is>
          <t>LOW (40%)</t>
        </is>
      </c>
      <c r="Y1168" s="191" t="inlineStr">
        <is>
          <t>UNLIKELY</t>
        </is>
      </c>
      <c r="Z1168" s="191" t="inlineStr">
        <is>
          <t>CHECK_VENDOR</t>
        </is>
      </c>
      <c r="AA1168" s="192" t="inlineStr">
        <is>
          <t>https://nvd.nist.gov/vuln/detail/CVE-2026-27452</t>
        </is>
      </c>
      <c r="AB1168" s="191" t="inlineStr">
        <is>
          <t>NONE</t>
        </is>
      </c>
      <c r="AC1168" s="191" t="n">
        <v>0</v>
      </c>
      <c r="AD1168" s="191" t="n"/>
    </row>
    <row r="1169">
      <c r="A1169" s="191" t="inlineStr">
        <is>
          <t>CVE</t>
        </is>
      </c>
      <c r="B1169" s="191" t="inlineStr">
        <is>
          <t>CVE-2026-27458</t>
        </is>
      </c>
      <c r="C1169" s="191" t="inlineStr">
        <is>
          <t>LinkAce is a self-hosted archive to collect website links. Versions 2.4.2 and below have a Stored Cross-site Scripting vulnerability through the Atom feed endpoint for lists (/lists/feed). An authenticated user can inject a CDATA-breaking payload into a list description that escapes the XML CDATA section, injects a native SVG element into the Atom XML document, and executes arbitrary JavaScript directly in the browser when the feed URL is visited. No RSS reader or additional rendering context is</t>
        </is>
      </c>
      <c r="D1169" s="191" t="n">
        <v>5</v>
      </c>
      <c r="E1169" s="191" t="inlineStr">
        <is>
          <t>MEDIUM</t>
        </is>
      </c>
      <c r="F1169" s="191" t="n">
        <v>2</v>
      </c>
      <c r="G1169" s="191" t="n">
        <v>2</v>
      </c>
      <c r="H1169" s="191" t="inlineStr">
        <is>
          <t>MEDIUM</t>
        </is>
      </c>
      <c r="I1169" s="191" t="n">
        <v>9</v>
      </c>
      <c r="J1169" s="191" t="inlineStr">
        <is>
          <t>NO</t>
        </is>
      </c>
      <c r="K1169" s="192" t="inlineStr">
        <is>
          <t>https://nvd.nist.gov/vuln/detail/CVE-2026-27458</t>
        </is>
      </c>
      <c r="L1169" s="191" t="inlineStr">
        <is>
          <t>2026-02-23 23:48</t>
        </is>
      </c>
      <c r="M1169" s="191" t="inlineStr">
        <is>
          <t>CHECK_VENDOR</t>
        </is>
      </c>
      <c r="N1169" s="191" t="inlineStr">
        <is>
          <t>See NVD references</t>
        </is>
      </c>
      <c r="O1169" s="191" t="inlineStr">
        <is>
          <t>Apply vendor patches</t>
        </is>
      </c>
      <c r="P1169" s="191" t="inlineStr">
        <is>
          <t>See CVE details</t>
        </is>
      </c>
      <c r="Q1169" s="191" t="inlineStr">
        <is>
          <t>P4</t>
        </is>
      </c>
      <c r="R1169" s="191" t="inlineStr">
        <is>
          <t>📅 Schedule patch deployment within 30 days | 🔍 Monitor for exploitation attempts</t>
        </is>
      </c>
      <c r="S1169" s="191" t="inlineStr">
        <is>
          <t>CVE - IP enrichment n/a</t>
        </is>
      </c>
      <c r="T1169" s="191" t="n">
        <v>0.0005</v>
      </c>
      <c r="U1169" s="191" t="n">
        <v>0.1444</v>
      </c>
      <c r="V1169" s="191" t="inlineStr">
        <is>
          <t>T1189:Drive-by Compromise</t>
        </is>
      </c>
      <c r="W1169" s="191" t="n">
        <v>1</v>
      </c>
      <c r="X1169" s="191" t="inlineStr">
        <is>
          <t>LOW (40%)</t>
        </is>
      </c>
      <c r="Y1169" s="191" t="inlineStr">
        <is>
          <t>UNLIKELY</t>
        </is>
      </c>
      <c r="Z1169" s="191" t="inlineStr">
        <is>
          <t>CHECK_VENDOR</t>
        </is>
      </c>
      <c r="AA1169" s="192" t="inlineStr">
        <is>
          <t>https://nvd.nist.gov/vuln/detail/CVE-2026-27458</t>
        </is>
      </c>
      <c r="AB1169" s="191" t="inlineStr">
        <is>
          <t>NONE</t>
        </is>
      </c>
      <c r="AC1169" s="191" t="n">
        <v>0</v>
      </c>
      <c r="AD1169" s="191" t="n"/>
    </row>
    <row r="1170">
      <c r="A1170" s="189" t="inlineStr">
        <is>
          <t>CVE</t>
        </is>
      </c>
      <c r="B1170" s="189" t="inlineStr">
        <is>
          <t>CVE-2026-27471</t>
        </is>
      </c>
      <c r="C1170" s="189" t="inlineStr">
        <is>
          <t>ERP is a free and open source Enterprise Resource Planning tool. In versions up to 15.98.0 and 16.0.0-rc.1 and through 16.6.0, certain endpoints lacked access validation which allowed for unauthorized document access. This issue has been fixed in versions 15.98.1 and 16.6.1.</t>
        </is>
      </c>
      <c r="D1170" s="189" t="n">
        <v>8.5</v>
      </c>
      <c r="E1170" s="189" t="inlineStr">
        <is>
          <t>HIGH</t>
        </is>
      </c>
      <c r="F1170" s="189" t="n">
        <v>2</v>
      </c>
      <c r="G1170" s="189" t="n">
        <v>3</v>
      </c>
      <c r="H1170" s="189" t="inlineStr">
        <is>
          <t>HIGH</t>
        </is>
      </c>
      <c r="I1170" s="189" t="n">
        <v>14.5</v>
      </c>
      <c r="J1170" s="189" t="inlineStr">
        <is>
          <t>NO</t>
        </is>
      </c>
      <c r="K1170" s="190" t="inlineStr">
        <is>
          <t>https://nvd.nist.gov/vuln/detail/CVE-2026-27471</t>
        </is>
      </c>
      <c r="L1170" s="189" t="inlineStr">
        <is>
          <t>2026-02-23 23:48</t>
        </is>
      </c>
      <c r="M1170" s="189" t="inlineStr">
        <is>
          <t>CHECK_VENDOR</t>
        </is>
      </c>
      <c r="N1170" s="189" t="inlineStr">
        <is>
          <t>See NVD references</t>
        </is>
      </c>
      <c r="O1170" s="189" t="inlineStr">
        <is>
          <t>Apply vendor patches</t>
        </is>
      </c>
      <c r="P1170" s="189" t="inlineStr">
        <is>
          <t>See CVE details</t>
        </is>
      </c>
      <c r="Q1170" s="189" t="inlineStr">
        <is>
          <t>P3</t>
        </is>
      </c>
      <c r="R1170" s="189" t="inlineStr">
        <is>
          <t>🚨 URGENT: Apply vendor patches immediately | 🔒 Isolate affected systems if patch unavailable | 🛡️ Enable additional monitoring/IDS rules</t>
        </is>
      </c>
      <c r="S1170" s="189" t="inlineStr">
        <is>
          <t>CVE - IP enrichment n/a</t>
        </is>
      </c>
      <c r="T1170" s="189" t="n">
        <v>0.0004</v>
      </c>
      <c r="U1170" s="189" t="n">
        <v>0.1245</v>
      </c>
      <c r="V1170" s="189" t="inlineStr">
        <is>
          <t>T1190:Exploit Public-Facing Application</t>
        </is>
      </c>
      <c r="W1170" s="189" t="n">
        <v>1</v>
      </c>
      <c r="X1170" s="189" t="inlineStr">
        <is>
          <t>LOW (40%)</t>
        </is>
      </c>
      <c r="Y1170" s="189" t="inlineStr">
        <is>
          <t>UNLIKELY</t>
        </is>
      </c>
      <c r="Z1170" s="189" t="inlineStr">
        <is>
          <t>CHECK_VENDOR</t>
        </is>
      </c>
      <c r="AA1170" s="190" t="inlineStr">
        <is>
          <t>https://nvd.nist.gov/vuln/detail/CVE-2026-27471</t>
        </is>
      </c>
      <c r="AB1170" s="189" t="inlineStr">
        <is>
          <t>NONE</t>
        </is>
      </c>
      <c r="AC1170" s="189" t="n">
        <v>0</v>
      </c>
      <c r="AD1170" s="189" t="n"/>
    </row>
    <row r="1171">
      <c r="A1171" s="189" t="inlineStr">
        <is>
          <t>CVE</t>
        </is>
      </c>
      <c r="B1171" s="189" t="inlineStr">
        <is>
          <t>CVE-2026-27464</t>
        </is>
      </c>
      <c r="C1171" s="189" t="inlineStr">
        <is>
          <t xml:space="preserve">Metabase is an open-source data analytics platform. In versions prior to 0.57.13 and versions 0.58.x through 0.58.6, authenticated users are able to retrieve sensitive information from a Metabase instance, including database access credentials. During testing, it was confirmed that a low-privileged user can extract sensitive information including database credentials, into the email body via template evaluation. This issue has been fixed in versions 0.57.13 and 0.58.7. To workaround this issue, </t>
        </is>
      </c>
      <c r="D1171" s="189" t="n">
        <v>7.7</v>
      </c>
      <c r="E1171" s="189" t="inlineStr">
        <is>
          <t>HIGH</t>
        </is>
      </c>
      <c r="F1171" s="189" t="n">
        <v>2</v>
      </c>
      <c r="G1171" s="189" t="n">
        <v>3</v>
      </c>
      <c r="H1171" s="189" t="inlineStr">
        <is>
          <t>HIGH</t>
        </is>
      </c>
      <c r="I1171" s="189" t="n">
        <v>13.7</v>
      </c>
      <c r="J1171" s="189" t="inlineStr">
        <is>
          <t>NO</t>
        </is>
      </c>
      <c r="K1171" s="190" t="inlineStr">
        <is>
          <t>https://nvd.nist.gov/vuln/detail/CVE-2026-27464</t>
        </is>
      </c>
      <c r="L1171" s="189" t="inlineStr">
        <is>
          <t>2026-02-23 23:48</t>
        </is>
      </c>
      <c r="M1171" s="189" t="inlineStr">
        <is>
          <t>CHECK_VENDOR</t>
        </is>
      </c>
      <c r="N1171" s="189" t="inlineStr">
        <is>
          <t>See NVD references</t>
        </is>
      </c>
      <c r="O1171" s="189" t="inlineStr">
        <is>
          <t>Apply vendor patches</t>
        </is>
      </c>
      <c r="P1171" s="189" t="inlineStr">
        <is>
          <t>See CVE details</t>
        </is>
      </c>
      <c r="Q1171" s="189" t="inlineStr">
        <is>
          <t>P3</t>
        </is>
      </c>
      <c r="R1171" s="189" t="inlineStr">
        <is>
          <t>🚨 URGENT: Apply vendor patches immediately | 🔒 Isolate affected systems if patch unavailable | 🛡️ Enable additional monitoring/IDS rules</t>
        </is>
      </c>
      <c r="S1171" s="189" t="inlineStr">
        <is>
          <t>CVE - IP enrichment n/a</t>
        </is>
      </c>
      <c r="T1171" s="189" t="n">
        <v>0</v>
      </c>
      <c r="U1171" s="189" t="n">
        <v>0</v>
      </c>
      <c r="V1171" s="189" t="inlineStr">
        <is>
          <t>T1059:Command and Scripting Interpreter | T1190:Exploit Public-Facing Application | T1552:Unsecured Credentials</t>
        </is>
      </c>
      <c r="W1171" s="189" t="n">
        <v>1</v>
      </c>
      <c r="X1171" s="189" t="inlineStr">
        <is>
          <t>LOW (40%)</t>
        </is>
      </c>
      <c r="Y1171" s="189" t="inlineStr">
        <is>
          <t>UNLIKELY</t>
        </is>
      </c>
      <c r="Z1171" s="189" t="inlineStr">
        <is>
          <t>CHECK_VENDOR</t>
        </is>
      </c>
      <c r="AA1171" s="190" t="inlineStr">
        <is>
          <t>https://nvd.nist.gov/vuln/detail/CVE-2026-27464</t>
        </is>
      </c>
      <c r="AB1171" s="189" t="inlineStr">
        <is>
          <t>NONE</t>
        </is>
      </c>
      <c r="AC1171" s="189" t="n">
        <v>0</v>
      </c>
      <c r="AD1171" s="189" t="n"/>
    </row>
    <row r="1172">
      <c r="A1172" s="189" t="inlineStr">
        <is>
          <t>CVE</t>
        </is>
      </c>
      <c r="B1172" s="189" t="inlineStr">
        <is>
          <t>CVE-2026-27466</t>
        </is>
      </c>
      <c r="C1172" s="189" t="inlineStr">
        <is>
          <t>BigBlueButton is an open-source virtual classroom. In versions 3.0.21 and below, the official documentation for "Server Customization" on Support for ClamAV as presentation file scanner contains instructions that leave a BBB server vulnerable for Denial of Service. The flawed command exposes both ports (3310 and 7357) to the internet. A remote attacker can use this to send complex or large documents to clamd and waste server resources, or shutdown the clamd process. The clamd documentation expli</t>
        </is>
      </c>
      <c r="D1172" s="189" t="n">
        <v>7.2</v>
      </c>
      <c r="E1172" s="189" t="inlineStr">
        <is>
          <t>HIGH</t>
        </is>
      </c>
      <c r="F1172" s="189" t="n">
        <v>2</v>
      </c>
      <c r="G1172" s="189" t="n">
        <v>3</v>
      </c>
      <c r="H1172" s="189" t="inlineStr">
        <is>
          <t>HIGH</t>
        </is>
      </c>
      <c r="I1172" s="189" t="n">
        <v>13.2</v>
      </c>
      <c r="J1172" s="189" t="inlineStr">
        <is>
          <t>NO</t>
        </is>
      </c>
      <c r="K1172" s="190" t="inlineStr">
        <is>
          <t>https://nvd.nist.gov/vuln/detail/CVE-2026-27466</t>
        </is>
      </c>
      <c r="L1172" s="189" t="inlineStr">
        <is>
          <t>2026-02-23 23:48</t>
        </is>
      </c>
      <c r="M1172" s="189" t="inlineStr">
        <is>
          <t>CHECK_VENDOR</t>
        </is>
      </c>
      <c r="N1172" s="189" t="inlineStr">
        <is>
          <t>See NVD references</t>
        </is>
      </c>
      <c r="O1172" s="189" t="inlineStr">
        <is>
          <t>Apply vendor patches</t>
        </is>
      </c>
      <c r="P1172" s="189" t="inlineStr">
        <is>
          <t>See CVE details</t>
        </is>
      </c>
      <c r="Q1172" s="189" t="inlineStr">
        <is>
          <t>P3</t>
        </is>
      </c>
      <c r="R1172" s="189" t="inlineStr">
        <is>
          <t>🚨 URGENT: Apply vendor patches immediately | 🔒 Isolate affected systems if patch unavailable | 🛡️ Enable additional monitoring/IDS rules</t>
        </is>
      </c>
      <c r="S1172" s="189" t="inlineStr">
        <is>
          <t>CVE - IP enrichment n/a</t>
        </is>
      </c>
      <c r="T1172" s="189" t="n">
        <v>0</v>
      </c>
      <c r="U1172" s="189" t="n">
        <v>0</v>
      </c>
      <c r="V1172" s="189" t="inlineStr">
        <is>
          <t>T1190:Exploit Public-Facing Application | T1499:Endpoint Denial of Service | T1562:Impair Defenses</t>
        </is>
      </c>
      <c r="W1172" s="189" t="n">
        <v>1</v>
      </c>
      <c r="X1172" s="189" t="inlineStr">
        <is>
          <t>LOW (40%)</t>
        </is>
      </c>
      <c r="Y1172" s="189" t="inlineStr">
        <is>
          <t>UNLIKELY</t>
        </is>
      </c>
      <c r="Z1172" s="189" t="inlineStr">
        <is>
          <t>CHECK_VENDOR</t>
        </is>
      </c>
      <c r="AA1172" s="190" t="inlineStr">
        <is>
          <t>https://nvd.nist.gov/vuln/detail/CVE-2026-27466</t>
        </is>
      </c>
      <c r="AB1172" s="189" t="inlineStr">
        <is>
          <t>NONE</t>
        </is>
      </c>
      <c r="AC1172" s="189" t="n">
        <v>0</v>
      </c>
      <c r="AD1172" s="189" t="n"/>
    </row>
    <row r="1173">
      <c r="A1173" s="195" t="inlineStr">
        <is>
          <t>CVE</t>
        </is>
      </c>
      <c r="B1173" s="195" t="inlineStr">
        <is>
          <t>CVE-2026-27467</t>
        </is>
      </c>
      <c r="C1173" s="195" t="inlineStr">
        <is>
          <t>BigBlueButton is an open-source virtual classroom. In versions 3.0.19 and below, when first joining a session with the microphone muted, the client sends audio to the server regardless of mute state. Media is discarded at the server side, so it isn't audible to any participants, but this may allow for malicious server operators to access audio data. The behavior is only incorrect between joining the meeting and the first time the user unmutes. This issue has been fixed in version 3.0.20.</t>
        </is>
      </c>
      <c r="D1173" s="195" t="n">
        <v>2</v>
      </c>
      <c r="E1173" s="195" t="inlineStr">
        <is>
          <t>LOW</t>
        </is>
      </c>
      <c r="F1173" s="195" t="n">
        <v>2</v>
      </c>
      <c r="G1173" s="195" t="n">
        <v>1</v>
      </c>
      <c r="H1173" s="195" t="inlineStr">
        <is>
          <t>LOW</t>
        </is>
      </c>
      <c r="I1173" s="195" t="n">
        <v>4</v>
      </c>
      <c r="J1173" s="195" t="inlineStr">
        <is>
          <t>NO</t>
        </is>
      </c>
      <c r="K1173" s="196" t="inlineStr">
        <is>
          <t>https://nvd.nist.gov/vuln/detail/CVE-2026-27467</t>
        </is>
      </c>
      <c r="L1173" s="195" t="inlineStr">
        <is>
          <t>2026-02-23 23:48</t>
        </is>
      </c>
      <c r="M1173" s="195" t="inlineStr">
        <is>
          <t>CHECK_VENDOR</t>
        </is>
      </c>
      <c r="N1173" s="195" t="inlineStr">
        <is>
          <t>See NVD references</t>
        </is>
      </c>
      <c r="O1173" s="195" t="inlineStr">
        <is>
          <t>Apply vendor patches</t>
        </is>
      </c>
      <c r="P1173" s="195" t="inlineStr">
        <is>
          <t>See CVE details</t>
        </is>
      </c>
      <c r="Q1173" s="195" t="inlineStr">
        <is>
          <t>P4</t>
        </is>
      </c>
      <c r="R1173" s="195" t="inlineStr">
        <is>
          <t>📅 Schedule patch deployment within 30 days | 🔍 Monitor for exploitation attempts</t>
        </is>
      </c>
      <c r="S1173" s="195" t="inlineStr">
        <is>
          <t>CVE - IP enrichment n/a</t>
        </is>
      </c>
      <c r="T1173" s="195" t="n">
        <v>0</v>
      </c>
      <c r="U1173" s="195" t="n">
        <v>0</v>
      </c>
      <c r="V1173" s="195" t="inlineStr">
        <is>
          <t>T1213:Data from Information Repositories | T1190:Exploit Public-Facing Application</t>
        </is>
      </c>
      <c r="W1173" s="195" t="n">
        <v>1</v>
      </c>
      <c r="X1173" s="195" t="inlineStr">
        <is>
          <t>LOW (40%)</t>
        </is>
      </c>
      <c r="Y1173" s="195" t="inlineStr">
        <is>
          <t>UNLIKELY</t>
        </is>
      </c>
      <c r="Z1173" s="195" t="inlineStr">
        <is>
          <t>CHECK_VENDOR</t>
        </is>
      </c>
      <c r="AA1173" s="196" t="inlineStr">
        <is>
          <t>https://nvd.nist.gov/vuln/detail/CVE-2026-27467</t>
        </is>
      </c>
      <c r="AB1173" s="195" t="inlineStr">
        <is>
          <t>NONE</t>
        </is>
      </c>
      <c r="AC1173" s="195" t="n">
        <v>0</v>
      </c>
      <c r="AD1173" s="195" t="n"/>
    </row>
    <row r="1174">
      <c r="A1174" s="191" t="inlineStr">
        <is>
          <t>CVE</t>
        </is>
      </c>
      <c r="B1174" s="191" t="inlineStr">
        <is>
          <t>CVE-2026-27469</t>
        </is>
      </c>
      <c r="C1174" s="191" t="inlineStr">
        <is>
          <t>Isso is a lightweight commenting server written in Python and JavaScript. In commits before 0afbfe0691ee237963e8fb0b2ee01c9e55ca2144, there is a stored Cross-Site Scripting (XSS) vulnerability affecting the website and author comment fields. The website field was HTML-escaped using quote=False, which left single and double quotes unescaped. Since the frontend inserts the website value directly into a single-quoted href attribute via string concatenation, a single quote in the URL breaks out of t</t>
        </is>
      </c>
      <c r="D1174" s="191" t="n">
        <v>6.1</v>
      </c>
      <c r="E1174" s="191" t="inlineStr">
        <is>
          <t>MEDIUM</t>
        </is>
      </c>
      <c r="F1174" s="191" t="n">
        <v>2</v>
      </c>
      <c r="G1174" s="191" t="n">
        <v>2</v>
      </c>
      <c r="H1174" s="191" t="inlineStr">
        <is>
          <t>MEDIUM</t>
        </is>
      </c>
      <c r="I1174" s="191" t="n">
        <v>10.1</v>
      </c>
      <c r="J1174" s="191" t="inlineStr">
        <is>
          <t>NO</t>
        </is>
      </c>
      <c r="K1174" s="192" t="inlineStr">
        <is>
          <t>https://nvd.nist.gov/vuln/detail/CVE-2026-27469</t>
        </is>
      </c>
      <c r="L1174" s="191" t="inlineStr">
        <is>
          <t>2026-02-23 23:48</t>
        </is>
      </c>
      <c r="M1174" s="191" t="inlineStr">
        <is>
          <t>CHECK_VENDOR</t>
        </is>
      </c>
      <c r="N1174" s="191" t="inlineStr">
        <is>
          <t>See NVD references</t>
        </is>
      </c>
      <c r="O1174" s="191" t="inlineStr">
        <is>
          <t>Apply vendor patches</t>
        </is>
      </c>
      <c r="P1174" s="191" t="inlineStr">
        <is>
          <t>See CVE details</t>
        </is>
      </c>
      <c r="Q1174" s="191" t="inlineStr">
        <is>
          <t>P4</t>
        </is>
      </c>
      <c r="R1174" s="191" t="inlineStr">
        <is>
          <t>📅 Schedule patch deployment within 30 days | 🔍 Monitor for exploitation attempts</t>
        </is>
      </c>
      <c r="S1174" s="191" t="inlineStr">
        <is>
          <t>CVE - IP enrichment n/a</t>
        </is>
      </c>
      <c r="T1174" s="191" t="n">
        <v>0.0005999999999999999</v>
      </c>
      <c r="U1174" s="191" t="n">
        <v>0.1866</v>
      </c>
      <c r="V1174" s="191" t="inlineStr">
        <is>
          <t>T1189:Drive-by Compromise</t>
        </is>
      </c>
      <c r="W1174" s="191" t="n">
        <v>1</v>
      </c>
      <c r="X1174" s="191" t="inlineStr">
        <is>
          <t>LOW (40%)</t>
        </is>
      </c>
      <c r="Y1174" s="191" t="inlineStr">
        <is>
          <t>UNLIKELY</t>
        </is>
      </c>
      <c r="Z1174" s="191" t="inlineStr">
        <is>
          <t>CHECK_VENDOR</t>
        </is>
      </c>
      <c r="AA1174" s="192" t="inlineStr">
        <is>
          <t>https://nvd.nist.gov/vuln/detail/CVE-2026-27469</t>
        </is>
      </c>
      <c r="AB1174" s="191" t="inlineStr">
        <is>
          <t>NONE</t>
        </is>
      </c>
      <c r="AC1174" s="191" t="n">
        <v>0</v>
      </c>
      <c r="AD1174" s="191" t="n"/>
    </row>
    <row r="1175">
      <c r="A1175" s="189" t="inlineStr">
        <is>
          <t>CVE</t>
        </is>
      </c>
      <c r="B1175" s="189" t="inlineStr">
        <is>
          <t>CVE-2026-27470</t>
        </is>
      </c>
      <c r="C1175" s="189" t="inlineStr">
        <is>
          <t>ZoneMinder is a free, open source closed-circuit television software application. In versions 1.36.37 and below and 1.37.61 through 1.38.0, there is a second-order SQL Injection vulnerability in the web/ajax/status.php file within the getNearEvents() function. Event field values (specifically Name and Cause) are stored safely via parameterized queries but are later retrieved and concatenated directly into SQL WHERE clauses without escaping. An authenticated user with Events edit and view permiss</t>
        </is>
      </c>
      <c r="D1175" s="189" t="n">
        <v>8.800000000000001</v>
      </c>
      <c r="E1175" s="189" t="inlineStr">
        <is>
          <t>HIGH</t>
        </is>
      </c>
      <c r="F1175" s="189" t="n">
        <v>2</v>
      </c>
      <c r="G1175" s="189" t="n">
        <v>3</v>
      </c>
      <c r="H1175" s="189" t="inlineStr">
        <is>
          <t>HIGH</t>
        </is>
      </c>
      <c r="I1175" s="189" t="n">
        <v>14.8</v>
      </c>
      <c r="J1175" s="189" t="inlineStr">
        <is>
          <t>NO</t>
        </is>
      </c>
      <c r="K1175" s="190" t="inlineStr">
        <is>
          <t>https://nvd.nist.gov/vuln/detail/CVE-2026-27470</t>
        </is>
      </c>
      <c r="L1175" s="189" t="inlineStr">
        <is>
          <t>2026-02-23 23:48</t>
        </is>
      </c>
      <c r="M1175" s="189" t="inlineStr">
        <is>
          <t>CHECK_VENDOR</t>
        </is>
      </c>
      <c r="N1175" s="189" t="inlineStr">
        <is>
          <t>See NVD references</t>
        </is>
      </c>
      <c r="O1175" s="189" t="inlineStr">
        <is>
          <t>Apply vendor patches</t>
        </is>
      </c>
      <c r="P1175" s="189" t="inlineStr">
        <is>
          <t>See CVE details</t>
        </is>
      </c>
      <c r="Q1175" s="189" t="inlineStr">
        <is>
          <t>P3</t>
        </is>
      </c>
      <c r="R1175" s="189" t="inlineStr">
        <is>
          <t>🚨 URGENT: Apply vendor patches immediately | 🔒 Isolate affected systems if patch unavailable | 🛡️ Enable additional monitoring/IDS rules</t>
        </is>
      </c>
      <c r="S1175" s="189" t="inlineStr">
        <is>
          <t>CVE - IP enrichment n/a</t>
        </is>
      </c>
      <c r="T1175" s="189" t="n">
        <v>0</v>
      </c>
      <c r="U1175" s="189" t="n">
        <v>0</v>
      </c>
      <c r="V1175" s="189" t="inlineStr">
        <is>
          <t>T1190:Exploit Public-Facing Application</t>
        </is>
      </c>
      <c r="W1175" s="189" t="n">
        <v>1</v>
      </c>
      <c r="X1175" s="189" t="inlineStr">
        <is>
          <t>LOW (40%)</t>
        </is>
      </c>
      <c r="Y1175" s="189" t="inlineStr">
        <is>
          <t>UNLIKELY</t>
        </is>
      </c>
      <c r="Z1175" s="189" t="inlineStr">
        <is>
          <t>CHECK_VENDOR</t>
        </is>
      </c>
      <c r="AA1175" s="190" t="inlineStr">
        <is>
          <t>https://nvd.nist.gov/vuln/detail/CVE-2026-27470</t>
        </is>
      </c>
      <c r="AB1175" s="189" t="inlineStr">
        <is>
          <t>NONE</t>
        </is>
      </c>
      <c r="AC1175" s="189" t="n">
        <v>0</v>
      </c>
      <c r="AD1175" s="189" t="n"/>
    </row>
    <row r="1176">
      <c r="A1176" s="191" t="inlineStr">
        <is>
          <t>CVE</t>
        </is>
      </c>
      <c r="B1176" s="191" t="inlineStr">
        <is>
          <t>CVE-2026-2864</t>
        </is>
      </c>
      <c r="C1176" s="191" t="inlineStr">
        <is>
          <t>A vulnerability has been found in feng_ha_ha/megagao ssm-erp and production_ssm up to 4288d53bd35757b27f2d070057aefb2c07bdd097. This affects the function pictureDelete of the file PictureController.java. Such manipulation of the argument picName leads to path traversal. The attack can be launched remotely. The exploit has been disclosed to the public and may be used. This product does not use versioning. This is why information about affected and unaffected releases are unavailable. This product</t>
        </is>
      </c>
      <c r="D1176" s="191" t="n">
        <v>5.4</v>
      </c>
      <c r="E1176" s="191" t="inlineStr">
        <is>
          <t>MEDIUM</t>
        </is>
      </c>
      <c r="F1176" s="191" t="n">
        <v>2</v>
      </c>
      <c r="G1176" s="191" t="n">
        <v>2</v>
      </c>
      <c r="H1176" s="191" t="inlineStr">
        <is>
          <t>MEDIUM</t>
        </is>
      </c>
      <c r="I1176" s="191" t="n">
        <v>9.4</v>
      </c>
      <c r="J1176" s="191" t="inlineStr">
        <is>
          <t>NO</t>
        </is>
      </c>
      <c r="K1176" s="192" t="inlineStr">
        <is>
          <t>https://nvd.nist.gov/vuln/detail/CVE-2026-2864</t>
        </is>
      </c>
      <c r="L1176" s="191" t="inlineStr">
        <is>
          <t>2026-02-23 23:48</t>
        </is>
      </c>
      <c r="M1176" s="191" t="inlineStr">
        <is>
          <t>CHECK_VENDOR</t>
        </is>
      </c>
      <c r="N1176" s="191" t="inlineStr">
        <is>
          <t>See NVD references</t>
        </is>
      </c>
      <c r="O1176" s="191" t="inlineStr">
        <is>
          <t>Apply vendor patches</t>
        </is>
      </c>
      <c r="P1176" s="191" t="inlineStr">
        <is>
          <t>See CVE details</t>
        </is>
      </c>
      <c r="Q1176" s="191" t="inlineStr">
        <is>
          <t>P4</t>
        </is>
      </c>
      <c r="R1176" s="191" t="inlineStr">
        <is>
          <t>📅 Schedule patch deployment within 30 days | 🔍 Monitor for exploitation attempts</t>
        </is>
      </c>
      <c r="S1176" s="191" t="inlineStr">
        <is>
          <t>CVE - IP enrichment n/a</t>
        </is>
      </c>
      <c r="T1176" s="191" t="n">
        <v>0</v>
      </c>
      <c r="U1176" s="191" t="n">
        <v>0</v>
      </c>
      <c r="V1176" s="191" t="inlineStr">
        <is>
          <t>T1083:File and Directory Discovery</t>
        </is>
      </c>
      <c r="W1176" s="191" t="n">
        <v>1</v>
      </c>
      <c r="X1176" s="191" t="inlineStr">
        <is>
          <t>LOW (40%)</t>
        </is>
      </c>
      <c r="Y1176" s="191" t="inlineStr">
        <is>
          <t>UNLIKELY</t>
        </is>
      </c>
      <c r="Z1176" s="191" t="inlineStr">
        <is>
          <t>CHECK_VENDOR</t>
        </is>
      </c>
      <c r="AA1176" s="192" t="inlineStr">
        <is>
          <t>https://nvd.nist.gov/vuln/detail/CVE-2026-2864</t>
        </is>
      </c>
      <c r="AB1176" s="191" t="inlineStr">
        <is>
          <t>NONE</t>
        </is>
      </c>
      <c r="AC1176" s="191" t="n">
        <v>0</v>
      </c>
      <c r="AD1176" s="191" t="n"/>
    </row>
    <row r="1177">
      <c r="A1177" s="189" t="inlineStr">
        <is>
          <t>CVE</t>
        </is>
      </c>
      <c r="B1177" s="189" t="inlineStr">
        <is>
          <t>CVE-2026-2865</t>
        </is>
      </c>
      <c r="C1177" s="189" t="inlineStr">
        <is>
          <t>A vulnerability was found in itsourcecode Agri-Trading Online Shopping System 1.0. This impacts an unknown function of the file admin/productcontroller.php of the component HTTP POST Request Handler. Performing a manipulation of the argument Product results in sql injection. The attack may be initiated remotely. The exploit has been made public and could be used.</t>
        </is>
      </c>
      <c r="D1177" s="189" t="n">
        <v>7.3</v>
      </c>
      <c r="E1177" s="189" t="inlineStr">
        <is>
          <t>HIGH</t>
        </is>
      </c>
      <c r="F1177" s="189" t="n">
        <v>2</v>
      </c>
      <c r="G1177" s="189" t="n">
        <v>3</v>
      </c>
      <c r="H1177" s="189" t="inlineStr">
        <is>
          <t>HIGH</t>
        </is>
      </c>
      <c r="I1177" s="189" t="n">
        <v>13.3</v>
      </c>
      <c r="J1177" s="189" t="inlineStr">
        <is>
          <t>NO</t>
        </is>
      </c>
      <c r="K1177" s="190" t="inlineStr">
        <is>
          <t>https://nvd.nist.gov/vuln/detail/CVE-2026-2865</t>
        </is>
      </c>
      <c r="L1177" s="189" t="inlineStr">
        <is>
          <t>2026-02-23 23:48</t>
        </is>
      </c>
      <c r="M1177" s="189" t="inlineStr">
        <is>
          <t>CHECK_VENDOR</t>
        </is>
      </c>
      <c r="N1177" s="189" t="inlineStr">
        <is>
          <t>See NVD references</t>
        </is>
      </c>
      <c r="O1177" s="189" t="inlineStr">
        <is>
          <t>Apply vendor patches</t>
        </is>
      </c>
      <c r="P1177" s="189" t="inlineStr">
        <is>
          <t>See CVE details</t>
        </is>
      </c>
      <c r="Q1177" s="189" t="inlineStr">
        <is>
          <t>P3</t>
        </is>
      </c>
      <c r="R1177" s="189" t="inlineStr">
        <is>
          <t>🚨 URGENT: Apply vendor patches immediately | 🔒 Isolate affected systems if patch unavailable | 🛡️ Enable additional monitoring/IDS rules</t>
        </is>
      </c>
      <c r="S1177" s="189" t="inlineStr">
        <is>
          <t>CVE - IP enrichment n/a</t>
        </is>
      </c>
      <c r="T1177" s="189" t="n">
        <v>0.0003</v>
      </c>
      <c r="U1177" s="189" t="n">
        <v>0.08599999999999999</v>
      </c>
      <c r="V1177" s="189" t="inlineStr">
        <is>
          <t>T1190:Exploit Public-Facing Application</t>
        </is>
      </c>
      <c r="W1177" s="189" t="n">
        <v>1</v>
      </c>
      <c r="X1177" s="189" t="inlineStr">
        <is>
          <t>LOW (40%)</t>
        </is>
      </c>
      <c r="Y1177" s="189" t="inlineStr">
        <is>
          <t>UNLIKELY</t>
        </is>
      </c>
      <c r="Z1177" s="189" t="inlineStr">
        <is>
          <t>CHECK_VENDOR</t>
        </is>
      </c>
      <c r="AA1177" s="190" t="inlineStr">
        <is>
          <t>https://nvd.nist.gov/vuln/detail/CVE-2026-2865</t>
        </is>
      </c>
      <c r="AB1177" s="189" t="inlineStr">
        <is>
          <t>NONE</t>
        </is>
      </c>
      <c r="AC1177" s="189" t="n">
        <v>0</v>
      </c>
      <c r="AD1177" s="189" t="n"/>
    </row>
    <row r="1178">
      <c r="A1178" s="189" t="inlineStr">
        <is>
          <t>CVE</t>
        </is>
      </c>
      <c r="B1178" s="189" t="inlineStr">
        <is>
          <t>CVE-2026-27479</t>
        </is>
      </c>
      <c r="C1178" s="189" t="inlineStr">
        <is>
          <t>Wallos is an open-source, self-hostable personal subscription tracker. Versions 4.6.0 and below contain a Server-Side Request Forgery (SSRF) vulnerability in the subscription and payment logo/icon upload functionality. The application validates the IP address of the provided URL before making the request, but allows HTTP redirects (CURLOPT_FOLLOWLOCATION = true), enabling an attacker to bypass the IP validation and access internal resources, including cloud instance metadata endpoints. The getLo</t>
        </is>
      </c>
      <c r="D1178" s="189" t="n">
        <v>7.7</v>
      </c>
      <c r="E1178" s="189" t="inlineStr">
        <is>
          <t>HIGH</t>
        </is>
      </c>
      <c r="F1178" s="189" t="n">
        <v>2</v>
      </c>
      <c r="G1178" s="189" t="n">
        <v>3</v>
      </c>
      <c r="H1178" s="189" t="inlineStr">
        <is>
          <t>HIGH</t>
        </is>
      </c>
      <c r="I1178" s="189" t="n">
        <v>13.7</v>
      </c>
      <c r="J1178" s="189" t="inlineStr">
        <is>
          <t>NO</t>
        </is>
      </c>
      <c r="K1178" s="190" t="inlineStr">
        <is>
          <t>https://nvd.nist.gov/vuln/detail/CVE-2026-27479</t>
        </is>
      </c>
      <c r="L1178" s="189" t="inlineStr">
        <is>
          <t>2026-02-23 23:48</t>
        </is>
      </c>
      <c r="M1178" s="189" t="inlineStr">
        <is>
          <t>CHECK_VENDOR</t>
        </is>
      </c>
      <c r="N1178" s="189" t="inlineStr">
        <is>
          <t>See NVD references</t>
        </is>
      </c>
      <c r="O1178" s="189" t="inlineStr">
        <is>
          <t>Apply vendor patches</t>
        </is>
      </c>
      <c r="P1178" s="189" t="inlineStr">
        <is>
          <t>See CVE details</t>
        </is>
      </c>
      <c r="Q1178" s="189" t="inlineStr">
        <is>
          <t>P3</t>
        </is>
      </c>
      <c r="R1178" s="189" t="inlineStr">
        <is>
          <t>🚨 URGENT: Apply vendor patches immediately | 🔒 Isolate affected systems if patch unavailable | 🛡️ Enable additional monitoring/IDS rules</t>
        </is>
      </c>
      <c r="S1178" s="189" t="inlineStr">
        <is>
          <t>CVE - IP enrichment n/a</t>
        </is>
      </c>
      <c r="T1178" s="189" t="n">
        <v>0</v>
      </c>
      <c r="U1178" s="189" t="n">
        <v>0</v>
      </c>
      <c r="V1178" s="189" t="inlineStr">
        <is>
          <t>T1090:Proxy | T1190:Exploit Public-Facing Application</t>
        </is>
      </c>
      <c r="W1178" s="189" t="n">
        <v>1</v>
      </c>
      <c r="X1178" s="189" t="inlineStr">
        <is>
          <t>LOW (40%)</t>
        </is>
      </c>
      <c r="Y1178" s="189" t="inlineStr">
        <is>
          <t>UNLIKELY</t>
        </is>
      </c>
      <c r="Z1178" s="189" t="inlineStr">
        <is>
          <t>CHECK_VENDOR</t>
        </is>
      </c>
      <c r="AA1178" s="190" t="inlineStr">
        <is>
          <t>https://nvd.nist.gov/vuln/detail/CVE-2026-27479</t>
        </is>
      </c>
      <c r="AB1178" s="189" t="inlineStr">
        <is>
          <t>NONE</t>
        </is>
      </c>
      <c r="AC1178" s="189" t="n">
        <v>0</v>
      </c>
      <c r="AD1178" s="189" t="n"/>
    </row>
    <row r="1179">
      <c r="A1179" s="191" t="inlineStr">
        <is>
          <t>CVE</t>
        </is>
      </c>
      <c r="B1179" s="191" t="inlineStr">
        <is>
          <t>CVE-2025-14339</t>
        </is>
      </c>
      <c r="C1179" s="191" t="inlineStr">
        <is>
          <t>The weMail - Email Marketing, Lead Generation, Optin Forms, Email Newsletters, A/B Testing, and Automation plugin for WordPress is vulnerable to unauthorized form deletion in all versions up to, and including, 2.0.7. This is due to the `Forms::permission()` callback only validating the `X-WP-Nonce` header without checking user capabilities. Since the REST nonce is exposed to unauthenticated visitors via the `weMail` JavaScript object on pages with weMail forms, any unauthenticated user can perma</t>
        </is>
      </c>
      <c r="D1179" s="191" t="n">
        <v>6.5</v>
      </c>
      <c r="E1179" s="191" t="inlineStr">
        <is>
          <t>MEDIUM</t>
        </is>
      </c>
      <c r="F1179" s="191" t="n">
        <v>2</v>
      </c>
      <c r="G1179" s="191" t="n">
        <v>2</v>
      </c>
      <c r="H1179" s="191" t="inlineStr">
        <is>
          <t>MEDIUM</t>
        </is>
      </c>
      <c r="I1179" s="191" t="n">
        <v>10.5</v>
      </c>
      <c r="J1179" s="191" t="inlineStr">
        <is>
          <t>NO</t>
        </is>
      </c>
      <c r="K1179" s="192" t="inlineStr">
        <is>
          <t>https://nvd.nist.gov/vuln/detail/CVE-2025-14339</t>
        </is>
      </c>
      <c r="L1179" s="191" t="inlineStr">
        <is>
          <t>2026-02-23 23:48</t>
        </is>
      </c>
      <c r="M1179" s="191" t="inlineStr">
        <is>
          <t>CHECK_VENDOR</t>
        </is>
      </c>
      <c r="N1179" s="191" t="inlineStr">
        <is>
          <t>See NVD references</t>
        </is>
      </c>
      <c r="O1179" s="191" t="inlineStr">
        <is>
          <t>Apply vendor patches</t>
        </is>
      </c>
      <c r="P1179" s="191" t="inlineStr">
        <is>
          <t>See CVE details</t>
        </is>
      </c>
      <c r="Q1179" s="191" t="inlineStr">
        <is>
          <t>P4</t>
        </is>
      </c>
      <c r="R1179" s="191" t="inlineStr">
        <is>
          <t>📅 Schedule patch deployment within 30 days | 🔍 Monitor for exploitation attempts</t>
        </is>
      </c>
      <c r="S1179" s="191" t="inlineStr">
        <is>
          <t>CVE - IP enrichment n/a</t>
        </is>
      </c>
      <c r="T1179" s="191" t="n">
        <v>0</v>
      </c>
      <c r="U1179" s="191" t="n">
        <v>0</v>
      </c>
      <c r="V1179" s="191" t="inlineStr">
        <is>
          <t>T1190:Exploit Public-Facing Application</t>
        </is>
      </c>
      <c r="W1179" s="191" t="n">
        <v>1</v>
      </c>
      <c r="X1179" s="191" t="inlineStr">
        <is>
          <t>LOW (40%)</t>
        </is>
      </c>
      <c r="Y1179" s="191" t="inlineStr">
        <is>
          <t>UNLIKELY</t>
        </is>
      </c>
      <c r="Z1179" s="191" t="inlineStr">
        <is>
          <t>CHECK_VENDOR</t>
        </is>
      </c>
      <c r="AA1179" s="192" t="inlineStr">
        <is>
          <t>https://nvd.nist.gov/vuln/detail/CVE-2025-14339</t>
        </is>
      </c>
      <c r="AB1179" s="191" t="inlineStr">
        <is>
          <t>NONE</t>
        </is>
      </c>
      <c r="AC1179" s="191" t="n">
        <v>0</v>
      </c>
      <c r="AD1179" s="191" t="n"/>
    </row>
    <row r="1180">
      <c r="A1180" s="191" t="inlineStr">
        <is>
          <t>CVE</t>
        </is>
      </c>
      <c r="B1180" s="191" t="inlineStr">
        <is>
          <t>CVE-2026-27480</t>
        </is>
      </c>
      <c r="C1180" s="191" t="inlineStr">
        <is>
          <t>Static Web Server (SWS) is a production-ready web server suitable for static web files or assets. In versions 2.1.0 through 2.40.1, a timing-based username enumeration vulnerability in Basic Authentication allows attackers to identify valid users by exploiting early responses for invalid usernames, enabling targeted brute-force or credential-stuffing attacks. SWS checks whether a username exists before verifying the password, causing valid usernames to follow a slower code path (e.g., bcrypt has</t>
        </is>
      </c>
      <c r="D1180" s="191" t="n">
        <v>5.3</v>
      </c>
      <c r="E1180" s="191" t="inlineStr">
        <is>
          <t>MEDIUM</t>
        </is>
      </c>
      <c r="F1180" s="191" t="n">
        <v>2</v>
      </c>
      <c r="G1180" s="191" t="n">
        <v>2</v>
      </c>
      <c r="H1180" s="191" t="inlineStr">
        <is>
          <t>MEDIUM</t>
        </is>
      </c>
      <c r="I1180" s="191" t="n">
        <v>9.300000000000001</v>
      </c>
      <c r="J1180" s="191" t="inlineStr">
        <is>
          <t>NO</t>
        </is>
      </c>
      <c r="K1180" s="192" t="inlineStr">
        <is>
          <t>https://nvd.nist.gov/vuln/detail/CVE-2026-27480</t>
        </is>
      </c>
      <c r="L1180" s="191" t="inlineStr">
        <is>
          <t>2026-02-23 23:48</t>
        </is>
      </c>
      <c r="M1180" s="191" t="inlineStr">
        <is>
          <t>CHECK_VENDOR</t>
        </is>
      </c>
      <c r="N1180" s="191" t="inlineStr">
        <is>
          <t>See NVD references</t>
        </is>
      </c>
      <c r="O1180" s="191" t="inlineStr">
        <is>
          <t>Apply vendor patches</t>
        </is>
      </c>
      <c r="P1180" s="191" t="inlineStr">
        <is>
          <t>See CVE details</t>
        </is>
      </c>
      <c r="Q1180" s="191" t="inlineStr">
        <is>
          <t>P4</t>
        </is>
      </c>
      <c r="R1180" s="191" t="inlineStr">
        <is>
          <t>📅 Schedule patch deployment within 30 days | 🔍 Monitor for exploitation attempts</t>
        </is>
      </c>
      <c r="S1180" s="191" t="inlineStr">
        <is>
          <t>CVE - IP enrichment n/a</t>
        </is>
      </c>
      <c r="T1180" s="191" t="n">
        <v>0</v>
      </c>
      <c r="U1180" s="191" t="n">
        <v>0</v>
      </c>
      <c r="V1180" s="191" t="inlineStr">
        <is>
          <t>T1190:Exploit Public-Facing Application | T1552:Unsecured Credentials</t>
        </is>
      </c>
      <c r="W1180" s="191" t="n">
        <v>1</v>
      </c>
      <c r="X1180" s="191" t="inlineStr">
        <is>
          <t>LOW (40%)</t>
        </is>
      </c>
      <c r="Y1180" s="191" t="inlineStr">
        <is>
          <t>UNLIKELY</t>
        </is>
      </c>
      <c r="Z1180" s="191" t="inlineStr">
        <is>
          <t>CHECK_VENDOR</t>
        </is>
      </c>
      <c r="AA1180" s="192" t="inlineStr">
        <is>
          <t>https://nvd.nist.gov/vuln/detail/CVE-2026-27480</t>
        </is>
      </c>
      <c r="AB1180" s="191" t="inlineStr">
        <is>
          <t>NONE</t>
        </is>
      </c>
      <c r="AC1180" s="191" t="n">
        <v>0</v>
      </c>
      <c r="AD1180" s="191" t="n"/>
    </row>
    <row r="1181">
      <c r="A1181" s="191" t="inlineStr">
        <is>
          <t>CVE</t>
        </is>
      </c>
      <c r="B1181" s="191" t="inlineStr">
        <is>
          <t>CVE-2026-27482</t>
        </is>
      </c>
      <c r="C1181" s="191" t="inlineStr">
        <is>
          <t xml:space="preserve">Ray is an AI compute engine. In versions 2.53.0 and below, thedashboard HTTP server blocks browser-origin POST/PUT but does not cover DELETE, and key DELETE endpoints are unauthenticated by default. If the dashboard/agent is reachable (e.g., --dashboard-host=0.0.0.0), a web page via DNS rebinding or same-network access can issue DELETE requests that shut down Serve or delete jobs without user interaction. This is a drive-by availability impact. The fix for this vulnerability is to update to Ray </t>
        </is>
      </c>
      <c r="D1181" s="191" t="n">
        <v>5.9</v>
      </c>
      <c r="E1181" s="191" t="inlineStr">
        <is>
          <t>MEDIUM</t>
        </is>
      </c>
      <c r="F1181" s="191" t="n">
        <v>2</v>
      </c>
      <c r="G1181" s="191" t="n">
        <v>2</v>
      </c>
      <c r="H1181" s="191" t="inlineStr">
        <is>
          <t>MEDIUM</t>
        </is>
      </c>
      <c r="I1181" s="191" t="n">
        <v>9.9</v>
      </c>
      <c r="J1181" s="191" t="inlineStr">
        <is>
          <t>NO</t>
        </is>
      </c>
      <c r="K1181" s="192" t="inlineStr">
        <is>
          <t>https://nvd.nist.gov/vuln/detail/CVE-2026-27482</t>
        </is>
      </c>
      <c r="L1181" s="191" t="inlineStr">
        <is>
          <t>2026-02-23 23:48</t>
        </is>
      </c>
      <c r="M1181" s="191" t="inlineStr">
        <is>
          <t>CHECK_VENDOR</t>
        </is>
      </c>
      <c r="N1181" s="191" t="inlineStr">
        <is>
          <t>See NVD references</t>
        </is>
      </c>
      <c r="O1181" s="191" t="inlineStr">
        <is>
          <t>Apply vendor patches</t>
        </is>
      </c>
      <c r="P1181" s="191" t="inlineStr">
        <is>
          <t>See CVE details</t>
        </is>
      </c>
      <c r="Q1181" s="191" t="inlineStr">
        <is>
          <t>P4</t>
        </is>
      </c>
      <c r="R1181" s="191" t="inlineStr">
        <is>
          <t>📅 Schedule patch deployment within 30 days | 🔍 Monitor for exploitation attempts</t>
        </is>
      </c>
      <c r="S1181" s="191" t="inlineStr">
        <is>
          <t>CVE - IP enrichment n/a</t>
        </is>
      </c>
      <c r="T1181" s="191" t="n">
        <v>0.0003</v>
      </c>
      <c r="U1181" s="191" t="n">
        <v>0.09669999999999999</v>
      </c>
      <c r="V1181" s="191" t="inlineStr">
        <is>
          <t>T1190:Exploit Public-Facing Application</t>
        </is>
      </c>
      <c r="W1181" s="191" t="n">
        <v>1</v>
      </c>
      <c r="X1181" s="191" t="inlineStr">
        <is>
          <t>LOW (40%)</t>
        </is>
      </c>
      <c r="Y1181" s="191" t="inlineStr">
        <is>
          <t>UNLIKELY</t>
        </is>
      </c>
      <c r="Z1181" s="191" t="inlineStr">
        <is>
          <t>CHECK_VENDOR</t>
        </is>
      </c>
      <c r="AA1181" s="192" t="inlineStr">
        <is>
          <t>https://nvd.nist.gov/vuln/detail/CVE-2026-27482</t>
        </is>
      </c>
      <c r="AB1181" s="191" t="inlineStr">
        <is>
          <t>NONE</t>
        </is>
      </c>
      <c r="AC1181" s="191" t="n">
        <v>0</v>
      </c>
      <c r="AD1181" s="191" t="n"/>
    </row>
    <row r="1182">
      <c r="A1182" s="191" t="inlineStr">
        <is>
          <t>CVE</t>
        </is>
      </c>
      <c r="B1182" s="191" t="inlineStr">
        <is>
          <t>CVE-2026-27484</t>
        </is>
      </c>
      <c r="C1182" s="191" t="inlineStr">
        <is>
          <t>OpenClaw is a personal AI assistant. In versions 2026.2.17 and below, the Discord moderation action handling (timeout, kick, ban) uses sender identity from request parameters in tool-driven flows, instead of trusted runtime sender context. In setups where Discord moderation actions are enabled and the bot has the necessary guild permissions, a non-admin user can request moderation actions by spoofing sender identity fields. This issue has been fixed in version 2026.2.18.</t>
        </is>
      </c>
      <c r="D1182" s="191" t="n">
        <v>4.3</v>
      </c>
      <c r="E1182" s="191" t="inlineStr">
        <is>
          <t>MEDIUM</t>
        </is>
      </c>
      <c r="F1182" s="191" t="n">
        <v>2</v>
      </c>
      <c r="G1182" s="191" t="n">
        <v>2</v>
      </c>
      <c r="H1182" s="191" t="inlineStr">
        <is>
          <t>MEDIUM</t>
        </is>
      </c>
      <c r="I1182" s="191" t="n">
        <v>8.300000000000001</v>
      </c>
      <c r="J1182" s="191" t="inlineStr">
        <is>
          <t>NO</t>
        </is>
      </c>
      <c r="K1182" s="192" t="inlineStr">
        <is>
          <t>https://nvd.nist.gov/vuln/detail/CVE-2026-27484</t>
        </is>
      </c>
      <c r="L1182" s="191" t="inlineStr">
        <is>
          <t>2026-02-23 23:48</t>
        </is>
      </c>
      <c r="M1182" s="191" t="inlineStr">
        <is>
          <t>YES</t>
        </is>
      </c>
      <c r="N1182" s="192" t="inlineStr">
        <is>
          <t>https://github.com/openclaw/openclaw/commit/775816035ecc6bb243843f8000c9a58ff609e32d | https://github.com/openclaw/openclaw/security/advisories/GHSA-wh94-p5m6-mr7j</t>
        </is>
      </c>
      <c r="O1182" s="191" t="inlineStr">
        <is>
          <t>Apply vendor patches</t>
        </is>
      </c>
      <c r="P1182" s="191" t="inlineStr">
        <is>
          <t>openclaw openclaw *</t>
        </is>
      </c>
      <c r="Q1182" s="191" t="inlineStr">
        <is>
          <t>P4</t>
        </is>
      </c>
      <c r="R1182" s="191" t="inlineStr">
        <is>
          <t>📅 Schedule patch deployment within 30 days | 🔍 Monitor for exploitation attempts</t>
        </is>
      </c>
      <c r="S1182" s="191" t="inlineStr">
        <is>
          <t>CVE - IP enrichment n/a</t>
        </is>
      </c>
      <c r="T1182" s="191" t="n">
        <v>0</v>
      </c>
      <c r="U1182" s="191" t="n">
        <v>0</v>
      </c>
      <c r="V1182" s="191" t="inlineStr">
        <is>
          <t>T1190:Exploit Public-Facing Application</t>
        </is>
      </c>
      <c r="W1182" s="191" t="n">
        <v>1</v>
      </c>
      <c r="X1182" s="191" t="inlineStr">
        <is>
          <t>LOW (40%)</t>
        </is>
      </c>
      <c r="Y1182" s="191" t="inlineStr">
        <is>
          <t>UNLIKELY</t>
        </is>
      </c>
      <c r="Z1182" s="191" t="inlineStr">
        <is>
          <t>PATCH_AVAILABLE</t>
        </is>
      </c>
      <c r="AA1182" s="192" t="inlineStr">
        <is>
          <t>https://nvd.nist.gov/vuln/detail/CVE-2026-27484</t>
        </is>
      </c>
      <c r="AB1182" s="191" t="inlineStr">
        <is>
          <t>NONE</t>
        </is>
      </c>
      <c r="AC1182" s="191" t="n">
        <v>0</v>
      </c>
      <c r="AD1182" s="191" t="n"/>
    </row>
    <row r="1183">
      <c r="A1183" s="191" t="inlineStr">
        <is>
          <t>CVE</t>
        </is>
      </c>
      <c r="B1183" s="191" t="inlineStr">
        <is>
          <t>CVE-2026-27485</t>
        </is>
      </c>
      <c r="C1183" s="191" t="inlineStr">
        <is>
          <t>OpenClaw is a personal AI assistant. In versions 2026.2.17 and below, skills/skill-creator/scripts/package_skill.py (a local helper script used when authors package skills) previously followed symlinks while building .skill archives. If an author runs this script on a crafted local skill directory containing symlinks to files outside the skill root, the resulting archive can include unintended file contents. If exploited, this vulnerability can lead to potential unintentional disclosure of local</t>
        </is>
      </c>
      <c r="D1183" s="191" t="n">
        <v>4.4</v>
      </c>
      <c r="E1183" s="191" t="inlineStr">
        <is>
          <t>MEDIUM</t>
        </is>
      </c>
      <c r="F1183" s="191" t="n">
        <v>2</v>
      </c>
      <c r="G1183" s="191" t="n">
        <v>2</v>
      </c>
      <c r="H1183" s="191" t="inlineStr">
        <is>
          <t>MEDIUM</t>
        </is>
      </c>
      <c r="I1183" s="191" t="n">
        <v>8.4</v>
      </c>
      <c r="J1183" s="191" t="inlineStr">
        <is>
          <t>NO</t>
        </is>
      </c>
      <c r="K1183" s="192" t="inlineStr">
        <is>
          <t>https://nvd.nist.gov/vuln/detail/CVE-2026-27485</t>
        </is>
      </c>
      <c r="L1183" s="191" t="inlineStr">
        <is>
          <t>2026-02-23 23:48</t>
        </is>
      </c>
      <c r="M1183" s="191" t="inlineStr">
        <is>
          <t>YES</t>
        </is>
      </c>
      <c r="N1183" s="192" t="inlineStr">
        <is>
          <t>https://github.com/openclaw/openclaw/commit/c275932aa4230fb7a8212fe1b9d2a18424874b3f | https://github.com/openclaw/openclaw/commit/ee1d6427b544ccadd73e02b1630ea5c29ba9a9f0 | https://github.com/openclaw/openclaw/security/advisories/GHSA-r6h2-5gqq-v5v6</t>
        </is>
      </c>
      <c r="O1183" s="192" t="inlineStr">
        <is>
          <t>https://github.com/openclaw/openclaw/security/advisories/GHSA-r6h2-5gqq-v5v6</t>
        </is>
      </c>
      <c r="P1183" s="191" t="inlineStr">
        <is>
          <t>openclaw openclaw *</t>
        </is>
      </c>
      <c r="Q1183" s="191" t="inlineStr">
        <is>
          <t>P4</t>
        </is>
      </c>
      <c r="R1183" s="191" t="inlineStr">
        <is>
          <t>📅 Schedule patch deployment within 30 days | 🔍 Monitor for exploitation attempts</t>
        </is>
      </c>
      <c r="S1183" s="191" t="inlineStr">
        <is>
          <t>CVE - IP enrichment n/a</t>
        </is>
      </c>
      <c r="T1183" s="191" t="n">
        <v>0.0001</v>
      </c>
      <c r="U1183" s="191" t="n">
        <v>0.0044</v>
      </c>
      <c r="V1183" s="191" t="inlineStr">
        <is>
          <t>T1190:Exploit Public-Facing Application</t>
        </is>
      </c>
      <c r="W1183" s="191" t="n">
        <v>1</v>
      </c>
      <c r="X1183" s="191" t="inlineStr">
        <is>
          <t>LOW (40%)</t>
        </is>
      </c>
      <c r="Y1183" s="191" t="inlineStr">
        <is>
          <t>UNLIKELY</t>
        </is>
      </c>
      <c r="Z1183" s="191" t="inlineStr">
        <is>
          <t>PATCH_AVAILABLE</t>
        </is>
      </c>
      <c r="AA1183" s="192" t="inlineStr">
        <is>
          <t>https://nvd.nist.gov/vuln/detail/CVE-2026-27485</t>
        </is>
      </c>
      <c r="AB1183" s="191" t="inlineStr">
        <is>
          <t>NONE</t>
        </is>
      </c>
      <c r="AC1183" s="191" t="n">
        <v>0</v>
      </c>
      <c r="AD1183" s="191" t="n"/>
    </row>
    <row r="1184">
      <c r="A1184" s="191" t="inlineStr">
        <is>
          <t>CVE</t>
        </is>
      </c>
      <c r="B1184" s="191" t="inlineStr">
        <is>
          <t>CVE-2026-27486</t>
        </is>
      </c>
      <c r="C1184" s="191" t="inlineStr">
        <is>
          <t xml:space="preserve">OpenClaw is a personal AI assistant. In versions 2026.2.13 and below of the OpenClaw CLI, the process cleanup uses system-wide process enumeration and pattern matching to terminate processes without verifying if they are owned by the current OpenClaw process. On shared hosts, unrelated processes can be terminated if they match the pattern. The CLI runner cleanup helpers can kill processes matched by command-line patterns without validating process ownership. This issue has been fixed in version </t>
        </is>
      </c>
      <c r="D1184" s="191" t="n">
        <v>5</v>
      </c>
      <c r="E1184" s="191" t="inlineStr">
        <is>
          <t>MEDIUM</t>
        </is>
      </c>
      <c r="F1184" s="191" t="n">
        <v>2</v>
      </c>
      <c r="G1184" s="191" t="n">
        <v>2</v>
      </c>
      <c r="H1184" s="191" t="inlineStr">
        <is>
          <t>MEDIUM</t>
        </is>
      </c>
      <c r="I1184" s="191" t="n">
        <v>9</v>
      </c>
      <c r="J1184" s="191" t="inlineStr">
        <is>
          <t>NO</t>
        </is>
      </c>
      <c r="K1184" s="192" t="inlineStr">
        <is>
          <t>https://nvd.nist.gov/vuln/detail/CVE-2026-27486</t>
        </is>
      </c>
      <c r="L1184" s="191" t="inlineStr">
        <is>
          <t>2026-02-23 23:48</t>
        </is>
      </c>
      <c r="M1184" s="191" t="inlineStr">
        <is>
          <t>CHECK_VENDOR</t>
        </is>
      </c>
      <c r="N1184" s="191" t="inlineStr">
        <is>
          <t>See NVD references</t>
        </is>
      </c>
      <c r="O1184" s="191" t="inlineStr">
        <is>
          <t>Apply vendor patches</t>
        </is>
      </c>
      <c r="P1184" s="191" t="inlineStr">
        <is>
          <t>See CVE details</t>
        </is>
      </c>
      <c r="Q1184" s="191" t="inlineStr">
        <is>
          <t>P4</t>
        </is>
      </c>
      <c r="R1184" s="191" t="inlineStr">
        <is>
          <t>📅 Schedule patch deployment within 30 days | 🔍 Monitor for exploitation attempts</t>
        </is>
      </c>
      <c r="S1184" s="191" t="inlineStr">
        <is>
          <t>CVE - IP enrichment n/a</t>
        </is>
      </c>
      <c r="T1184" s="191" t="n">
        <v>0.0001</v>
      </c>
      <c r="U1184" s="191" t="n">
        <v>0.0189</v>
      </c>
      <c r="V1184" s="191" t="inlineStr">
        <is>
          <t>T1190:Exploit Public-Facing Application</t>
        </is>
      </c>
      <c r="W1184" s="191" t="n">
        <v>1</v>
      </c>
      <c r="X1184" s="191" t="inlineStr">
        <is>
          <t>LOW (40%)</t>
        </is>
      </c>
      <c r="Y1184" s="191" t="inlineStr">
        <is>
          <t>UNLIKELY</t>
        </is>
      </c>
      <c r="Z1184" s="191" t="inlineStr">
        <is>
          <t>CHECK_VENDOR</t>
        </is>
      </c>
      <c r="AA1184" s="192" t="inlineStr">
        <is>
          <t>https://nvd.nist.gov/vuln/detail/CVE-2026-27486</t>
        </is>
      </c>
      <c r="AB1184" s="191" t="inlineStr">
        <is>
          <t>NONE</t>
        </is>
      </c>
      <c r="AC1184" s="191" t="n">
        <v>0</v>
      </c>
      <c r="AD1184" s="191" t="n"/>
    </row>
    <row r="1185">
      <c r="A1185" s="189" t="inlineStr">
        <is>
          <t>CVE</t>
        </is>
      </c>
      <c r="B1185" s="189" t="inlineStr">
        <is>
          <t>CVE-2026-27487</t>
        </is>
      </c>
      <c r="C1185" s="189" t="inlineStr">
        <is>
          <t>OpenClaw is a personal AI assistant. In versions 2026.2.13 and below, when using macOS, the Claude CLI keychain credential refresh path constructed a shell command to write the updated JSON blob into Keychain via security add-generic-password -w .... Because OAuth tokens are user-controlled data, this created an OS command injection risk. This issue has been fixed in version 2026.2.14.</t>
        </is>
      </c>
      <c r="D1185" s="189" t="n">
        <v>7.6</v>
      </c>
      <c r="E1185" s="189" t="inlineStr">
        <is>
          <t>HIGH</t>
        </is>
      </c>
      <c r="F1185" s="189" t="n">
        <v>2</v>
      </c>
      <c r="G1185" s="189" t="n">
        <v>3</v>
      </c>
      <c r="H1185" s="189" t="inlineStr">
        <is>
          <t>HIGH</t>
        </is>
      </c>
      <c r="I1185" s="189" t="n">
        <v>13.6</v>
      </c>
      <c r="J1185" s="189" t="inlineStr">
        <is>
          <t>NO</t>
        </is>
      </c>
      <c r="K1185" s="190" t="inlineStr">
        <is>
          <t>https://nvd.nist.gov/vuln/detail/CVE-2026-27487</t>
        </is>
      </c>
      <c r="L1185" s="189" t="inlineStr">
        <is>
          <t>2026-02-23 23:48</t>
        </is>
      </c>
      <c r="M1185" s="189" t="inlineStr">
        <is>
          <t>YES</t>
        </is>
      </c>
      <c r="N1185" s="190" t="inlineStr">
        <is>
          <t>https://github.com/openclaw/openclaw/commit/66d7178f2d6f9d60abad35797f97f3e61389b70c | https://github.com/openclaw/openclaw/commit/9dce3d8bf83f13c067bc3c32291643d2f1f10a06 | https://github.com/openclaw/openclaw/commit/b908388245764fb3586859f44d1dff5372b19caf</t>
        </is>
      </c>
      <c r="O1185" s="189" t="inlineStr">
        <is>
          <t>Apply vendor patches</t>
        </is>
      </c>
      <c r="P1185" s="189" t="inlineStr">
        <is>
          <t>openclaw openclaw * | apple macos -</t>
        </is>
      </c>
      <c r="Q1185" s="189" t="inlineStr">
        <is>
          <t>P3</t>
        </is>
      </c>
      <c r="R1185" s="189" t="inlineStr">
        <is>
          <t>🚨 URGENT: Apply vendor patches immediately | 🔒 Isolate affected systems if patch unavailable | 🛡️ Enable additional monitoring/IDS rules</t>
        </is>
      </c>
      <c r="S1185" s="189" t="inlineStr">
        <is>
          <t>CVE - IP enrichment n/a</t>
        </is>
      </c>
      <c r="T1185" s="189" t="n">
        <v>0</v>
      </c>
      <c r="U1185" s="189" t="n">
        <v>0</v>
      </c>
      <c r="V1185" s="189" t="inlineStr">
        <is>
          <t>T1059:Command and Scripting Interpreter | T1552:Unsecured Credentials</t>
        </is>
      </c>
      <c r="W1185" s="189" t="n">
        <v>1</v>
      </c>
      <c r="X1185" s="189" t="inlineStr">
        <is>
          <t>LOW (40%)</t>
        </is>
      </c>
      <c r="Y1185" s="189" t="inlineStr">
        <is>
          <t>UNLIKELY</t>
        </is>
      </c>
      <c r="Z1185" s="189" t="inlineStr">
        <is>
          <t>PATCH_AVAILABLE</t>
        </is>
      </c>
      <c r="AA1185" s="190" t="inlineStr">
        <is>
          <t>https://nvd.nist.gov/vuln/detail/CVE-2026-27487</t>
        </is>
      </c>
      <c r="AB1185" s="189" t="inlineStr">
        <is>
          <t>NONE</t>
        </is>
      </c>
      <c r="AC1185" s="189" t="n">
        <v>0</v>
      </c>
      <c r="AD1185" s="189" t="n"/>
    </row>
    <row r="1186">
      <c r="A1186" s="189" t="inlineStr">
        <is>
          <t>CVE</t>
        </is>
      </c>
      <c r="B1186" s="189" t="inlineStr">
        <is>
          <t>CVE-2026-27488</t>
        </is>
      </c>
      <c r="C1186" s="189" t="inlineStr">
        <is>
          <t>OpenClaw is a personal AI assistant. In versions 2026.2.17 and below, Cron webhook delivery in src/gateway/server-cron.ts uses fetch() directly, so webhook targets can reach private/metadata/internal endpoints without SSRF policy checks. This issue was fixed in version 2026.2.19.</t>
        </is>
      </c>
      <c r="D1186" s="189" t="n">
        <v>7.3</v>
      </c>
      <c r="E1186" s="189" t="inlineStr">
        <is>
          <t>HIGH</t>
        </is>
      </c>
      <c r="F1186" s="189" t="n">
        <v>2</v>
      </c>
      <c r="G1186" s="189" t="n">
        <v>3</v>
      </c>
      <c r="H1186" s="189" t="inlineStr">
        <is>
          <t>HIGH</t>
        </is>
      </c>
      <c r="I1186" s="189" t="n">
        <v>13.3</v>
      </c>
      <c r="J1186" s="189" t="inlineStr">
        <is>
          <t>NO</t>
        </is>
      </c>
      <c r="K1186" s="190" t="inlineStr">
        <is>
          <t>https://nvd.nist.gov/vuln/detail/CVE-2026-27488</t>
        </is>
      </c>
      <c r="L1186" s="189" t="inlineStr">
        <is>
          <t>2026-02-23 23:48</t>
        </is>
      </c>
      <c r="M1186" s="189" t="inlineStr">
        <is>
          <t>YES</t>
        </is>
      </c>
      <c r="N1186" s="190" t="inlineStr">
        <is>
          <t>https://github.com/openclaw/openclaw/commit/99db4d13e5c139883ef0def9ff963e9273179655 | https://github.com/openclaw/openclaw/security/advisories/GHSA-w45g-5746-x9fp</t>
        </is>
      </c>
      <c r="O1186" s="189" t="inlineStr">
        <is>
          <t>Apply vendor patches</t>
        </is>
      </c>
      <c r="P1186" s="189" t="inlineStr">
        <is>
          <t>openclaw openclaw *</t>
        </is>
      </c>
      <c r="Q1186" s="189" t="inlineStr">
        <is>
          <t>P3</t>
        </is>
      </c>
      <c r="R1186" s="189" t="inlineStr">
        <is>
          <t>🚨 URGENT: Apply vendor patches immediately | 🔒 Isolate affected systems if patch unavailable | 🛡️ Enable additional monitoring/IDS rules</t>
        </is>
      </c>
      <c r="S1186" s="189" t="inlineStr">
        <is>
          <t>CVE - IP enrichment n/a</t>
        </is>
      </c>
      <c r="T1186" s="189" t="n">
        <v>0.0001</v>
      </c>
      <c r="U1186" s="189" t="n">
        <v>0.019</v>
      </c>
      <c r="V1186" s="189" t="inlineStr">
        <is>
          <t>T1090:Proxy</t>
        </is>
      </c>
      <c r="W1186" s="189" t="n">
        <v>1</v>
      </c>
      <c r="X1186" s="189" t="inlineStr">
        <is>
          <t>LOW (40%)</t>
        </is>
      </c>
      <c r="Y1186" s="189" t="inlineStr">
        <is>
          <t>UNLIKELY</t>
        </is>
      </c>
      <c r="Z1186" s="189" t="inlineStr">
        <is>
          <t>PATCH_AVAILABLE</t>
        </is>
      </c>
      <c r="AA1186" s="190" t="inlineStr">
        <is>
          <t>https://nvd.nist.gov/vuln/detail/CVE-2026-27488</t>
        </is>
      </c>
      <c r="AB1186" s="189" t="inlineStr">
        <is>
          <t>NONE</t>
        </is>
      </c>
      <c r="AC1186" s="189" t="n">
        <v>0</v>
      </c>
      <c r="AD1186" s="189" t="n"/>
    </row>
    <row r="1187">
      <c r="A1187" s="191" t="inlineStr">
        <is>
          <t>CVE</t>
        </is>
      </c>
      <c r="B1187" s="191" t="inlineStr">
        <is>
          <t>CVE-2026-27576</t>
        </is>
      </c>
      <c r="C1187" s="191" t="inlineStr">
        <is>
          <t>OpenClaw is a personal AI assistant. In versions 2026.2.17 and below, the ACP bridge accepts very large prompt text blocks and can assemble oversized prompt payloads before forwarding them to chat.send. Because ACP runs over local stdio, this mainly affects local ACP clients (for example IDE integrations) that send unusually large inputs. This issue has been fixed in version 2026.2.19.</t>
        </is>
      </c>
      <c r="D1187" s="191" t="n">
        <v>4</v>
      </c>
      <c r="E1187" s="191" t="inlineStr">
        <is>
          <t>MEDIUM</t>
        </is>
      </c>
      <c r="F1187" s="191" t="n">
        <v>2</v>
      </c>
      <c r="G1187" s="191" t="n">
        <v>2</v>
      </c>
      <c r="H1187" s="191" t="inlineStr">
        <is>
          <t>MEDIUM</t>
        </is>
      </c>
      <c r="I1187" s="191" t="n">
        <v>8</v>
      </c>
      <c r="J1187" s="191" t="inlineStr">
        <is>
          <t>NO</t>
        </is>
      </c>
      <c r="K1187" s="192" t="inlineStr">
        <is>
          <t>https://nvd.nist.gov/vuln/detail/CVE-2026-27576</t>
        </is>
      </c>
      <c r="L1187" s="191" t="inlineStr">
        <is>
          <t>2026-02-23 23:48</t>
        </is>
      </c>
      <c r="M1187" s="191" t="inlineStr">
        <is>
          <t>YES</t>
        </is>
      </c>
      <c r="N1187" s="192" t="inlineStr">
        <is>
          <t>https://github.com/openclaw/openclaw/commit/63e39d7f57ac4ad4a5e38d17e7394ae7c4dd0b9c | https://github.com/openclaw/openclaw/commit/8ae2d5110f6ceadef73822aa3db194fb60d2ba68 | https://github.com/openclaw/openclaw/commit/ebcf19746f5c500a41817e03abecadea8655654a</t>
        </is>
      </c>
      <c r="O1187" s="191" t="inlineStr">
        <is>
          <t>Apply vendor patches</t>
        </is>
      </c>
      <c r="P1187" s="191" t="inlineStr">
        <is>
          <t>openclaw openclaw *</t>
        </is>
      </c>
      <c r="Q1187" s="191" t="inlineStr">
        <is>
          <t>P4</t>
        </is>
      </c>
      <c r="R1187" s="191" t="inlineStr">
        <is>
          <t>📅 Schedule patch deployment within 30 days | 🔍 Monitor for exploitation attempts</t>
        </is>
      </c>
      <c r="S1187" s="191" t="inlineStr">
        <is>
          <t>CVE - IP enrichment n/a</t>
        </is>
      </c>
      <c r="T1187" s="191" t="n">
        <v>0</v>
      </c>
      <c r="U1187" s="191" t="n">
        <v>0</v>
      </c>
      <c r="V1187" s="191" t="inlineStr">
        <is>
          <t>T1190:Exploit Public-Facing Application</t>
        </is>
      </c>
      <c r="W1187" s="191" t="n">
        <v>1</v>
      </c>
      <c r="X1187" s="191" t="inlineStr">
        <is>
          <t>LOW (40%)</t>
        </is>
      </c>
      <c r="Y1187" s="191" t="inlineStr">
        <is>
          <t>UNLIKELY</t>
        </is>
      </c>
      <c r="Z1187" s="191" t="inlineStr">
        <is>
          <t>PATCH_AVAILABLE</t>
        </is>
      </c>
      <c r="AA1187" s="192" t="inlineStr">
        <is>
          <t>https://nvd.nist.gov/vuln/detail/CVE-2026-27576</t>
        </is>
      </c>
      <c r="AB1187" s="191" t="inlineStr">
        <is>
          <t>NONE</t>
        </is>
      </c>
      <c r="AC1187" s="191" t="n">
        <v>0</v>
      </c>
      <c r="AD1187" s="191" t="n"/>
    </row>
    <row r="1188">
      <c r="A1188" s="191" t="inlineStr">
        <is>
          <t>CVE</t>
        </is>
      </c>
      <c r="B1188" s="191" t="inlineStr">
        <is>
          <t>CVE-2026-1787</t>
        </is>
      </c>
      <c r="C1188" s="191" t="inlineStr">
        <is>
          <t>The LearnPress Export Import – WordPress extension for LearnPress plugin for WordPress is vulnerable to unauthorized loss of data due to a missing capability check on the 'delete_migrated_data' function in all versions up to, and including, 4.1.0. This makes it possible for unauthenticated attackers to delete course that have been migrated from Tutor LMS. The Tutor LMS plugin must be installed and activated in order to exploit the vulnerability.</t>
        </is>
      </c>
      <c r="D1188" s="191" t="n">
        <v>4.8</v>
      </c>
      <c r="E1188" s="191" t="inlineStr">
        <is>
          <t>MEDIUM</t>
        </is>
      </c>
      <c r="F1188" s="191" t="n">
        <v>2</v>
      </c>
      <c r="G1188" s="191" t="n">
        <v>2</v>
      </c>
      <c r="H1188" s="191" t="inlineStr">
        <is>
          <t>MEDIUM</t>
        </is>
      </c>
      <c r="I1188" s="191" t="n">
        <v>8.800000000000001</v>
      </c>
      <c r="J1188" s="191" t="inlineStr">
        <is>
          <t>NO</t>
        </is>
      </c>
      <c r="K1188" s="192" t="inlineStr">
        <is>
          <t>https://nvd.nist.gov/vuln/detail/CVE-2026-1787</t>
        </is>
      </c>
      <c r="L1188" s="191" t="inlineStr">
        <is>
          <t>2026-02-23 23:48</t>
        </is>
      </c>
      <c r="M1188" s="191" t="inlineStr">
        <is>
          <t>CHECK_VENDOR</t>
        </is>
      </c>
      <c r="N1188" s="191" t="inlineStr">
        <is>
          <t>See NVD references</t>
        </is>
      </c>
      <c r="O1188" s="191" t="inlineStr">
        <is>
          <t>Apply vendor patches</t>
        </is>
      </c>
      <c r="P1188" s="191" t="inlineStr">
        <is>
          <t>See CVE details</t>
        </is>
      </c>
      <c r="Q1188" s="191" t="inlineStr">
        <is>
          <t>P4</t>
        </is>
      </c>
      <c r="R1188" s="191" t="inlineStr">
        <is>
          <t>📅 Schedule patch deployment within 30 days | 🔍 Monitor for exploitation attempts</t>
        </is>
      </c>
      <c r="S1188" s="191" t="inlineStr">
        <is>
          <t>CVE - IP enrichment n/a</t>
        </is>
      </c>
      <c r="T1188" s="191" t="n">
        <v>0</v>
      </c>
      <c r="U1188" s="191" t="n">
        <v>0</v>
      </c>
      <c r="V1188" s="191" t="inlineStr">
        <is>
          <t>T1190:Exploit Public-Facing Application</t>
        </is>
      </c>
      <c r="W1188" s="191" t="n">
        <v>1</v>
      </c>
      <c r="X1188" s="191" t="inlineStr">
        <is>
          <t>LOW (40%)</t>
        </is>
      </c>
      <c r="Y1188" s="191" t="inlineStr">
        <is>
          <t>UNLIKELY</t>
        </is>
      </c>
      <c r="Z1188" s="191" t="inlineStr">
        <is>
          <t>CHECK_VENDOR</t>
        </is>
      </c>
      <c r="AA1188" s="192" t="inlineStr">
        <is>
          <t>https://nvd.nist.gov/vuln/detail/CVE-2026-1787</t>
        </is>
      </c>
      <c r="AB1188" s="191" t="inlineStr">
        <is>
          <t>NONE</t>
        </is>
      </c>
      <c r="AC1188" s="191" t="n">
        <v>0</v>
      </c>
      <c r="AD1188" s="191" t="n"/>
    </row>
    <row r="1189">
      <c r="A1189" s="191" t="inlineStr">
        <is>
          <t>CVE</t>
        </is>
      </c>
      <c r="B1189" s="191" t="inlineStr">
        <is>
          <t>CVE-2026-27492</t>
        </is>
      </c>
      <c r="C1189" s="191" t="inlineStr">
        <is>
          <t>Lettermint Node.js SDK is the official Node.js SDK for Lettermint. In versions 1.5.0 and below, email properties (such as to, subject, html, text, and attachments) are not reset between sends when a single client instance is reused across multiple .send() calls. This can cause properties from a previous send to leak into a subsequent one, potentially delivering content or recipient addresses to unintended parties. Applications sending emails to different recipients in sequence — such as transact</t>
        </is>
      </c>
      <c r="D1189" s="191" t="n">
        <v>4.7</v>
      </c>
      <c r="E1189" s="191" t="inlineStr">
        <is>
          <t>MEDIUM</t>
        </is>
      </c>
      <c r="F1189" s="191" t="n">
        <v>2</v>
      </c>
      <c r="G1189" s="191" t="n">
        <v>2</v>
      </c>
      <c r="H1189" s="191" t="inlineStr">
        <is>
          <t>MEDIUM</t>
        </is>
      </c>
      <c r="I1189" s="191" t="n">
        <v>8.699999999999999</v>
      </c>
      <c r="J1189" s="191" t="inlineStr">
        <is>
          <t>NO</t>
        </is>
      </c>
      <c r="K1189" s="192" t="inlineStr">
        <is>
          <t>https://nvd.nist.gov/vuln/detail/CVE-2026-27492</t>
        </is>
      </c>
      <c r="L1189" s="191" t="inlineStr">
        <is>
          <t>2026-02-23 23:48</t>
        </is>
      </c>
      <c r="M1189" s="191" t="inlineStr">
        <is>
          <t>CHECK_VENDOR</t>
        </is>
      </c>
      <c r="N1189" s="191" t="inlineStr">
        <is>
          <t>See NVD references</t>
        </is>
      </c>
      <c r="O1189" s="191" t="inlineStr">
        <is>
          <t>Apply vendor patches</t>
        </is>
      </c>
      <c r="P1189" s="191" t="inlineStr">
        <is>
          <t>See CVE details</t>
        </is>
      </c>
      <c r="Q1189" s="191" t="inlineStr">
        <is>
          <t>P4</t>
        </is>
      </c>
      <c r="R1189" s="191" t="inlineStr">
        <is>
          <t>📅 Schedule patch deployment within 30 days | 🔍 Monitor for exploitation attempts</t>
        </is>
      </c>
      <c r="S1189" s="191" t="inlineStr">
        <is>
          <t>CVE - IP enrichment n/a</t>
        </is>
      </c>
      <c r="T1189" s="191" t="n">
        <v>0</v>
      </c>
      <c r="U1189" s="191" t="n">
        <v>0</v>
      </c>
      <c r="V1189" s="191" t="inlineStr">
        <is>
          <t>T1190:Exploit Public-Facing Application</t>
        </is>
      </c>
      <c r="W1189" s="191" t="n">
        <v>1</v>
      </c>
      <c r="X1189" s="191" t="inlineStr">
        <is>
          <t>LOW (40%)</t>
        </is>
      </c>
      <c r="Y1189" s="191" t="inlineStr">
        <is>
          <t>UNLIKELY</t>
        </is>
      </c>
      <c r="Z1189" s="191" t="inlineStr">
        <is>
          <t>CHECK_VENDOR</t>
        </is>
      </c>
      <c r="AA1189" s="192" t="inlineStr">
        <is>
          <t>https://nvd.nist.gov/vuln/detail/CVE-2026-27492</t>
        </is>
      </c>
      <c r="AB1189" s="191" t="inlineStr">
        <is>
          <t>NONE</t>
        </is>
      </c>
      <c r="AC1189" s="191" t="n">
        <v>0</v>
      </c>
      <c r="AD1189" s="191" t="n"/>
    </row>
    <row r="1190">
      <c r="A1190" s="193" t="inlineStr">
        <is>
          <t>CVE</t>
        </is>
      </c>
      <c r="B1190" s="193" t="inlineStr">
        <is>
          <t>CVE-2026-27574</t>
        </is>
      </c>
      <c r="C1190" s="193" t="inlineStr">
        <is>
          <t>OneUptime is a solution for monitoring and managing online services. In versions 9.5.13 and below, custom JavaScript monitor feature uses Node.js's node:vm module (explicitly documented as not a security mechanism) to execute user-supplied code, allowing trivial sandbox escape via a well-known one-liner that grants full access to the underlying process. Because the probe runs with host networking and holds all cluster credentials (ONEUPTIME_SECRET, DATABASE_PASSWORD, REDIS_PASSWORD, CLICKHOUSE_P</t>
        </is>
      </c>
      <c r="D1190" s="193" t="n">
        <v>9.9</v>
      </c>
      <c r="E1190" s="193" t="inlineStr">
        <is>
          <t>CRITICAL</t>
        </is>
      </c>
      <c r="F1190" s="193" t="n">
        <v>2</v>
      </c>
      <c r="G1190" s="193" t="n">
        <v>3</v>
      </c>
      <c r="H1190" s="193" t="inlineStr">
        <is>
          <t>HIGH</t>
        </is>
      </c>
      <c r="I1190" s="193" t="n">
        <v>15.9</v>
      </c>
      <c r="J1190" s="193" t="inlineStr">
        <is>
          <t>NO</t>
        </is>
      </c>
      <c r="K1190" s="194" t="inlineStr">
        <is>
          <t>https://nvd.nist.gov/vuln/detail/CVE-2026-27574</t>
        </is>
      </c>
      <c r="L1190" s="193" t="inlineStr">
        <is>
          <t>2026-02-23 23:48</t>
        </is>
      </c>
      <c r="M1190" s="193" t="inlineStr">
        <is>
          <t>YES</t>
        </is>
      </c>
      <c r="N1190" s="194" t="inlineStr">
        <is>
          <t>https://github.com/OneUptime/oneuptime/commit/7f9ed4d43945574702a26b7c206e38cc344fe427 | https://github.com/OneUptime/oneuptime/security/advisories/GHSA-v264-xqh4-9xmm</t>
        </is>
      </c>
      <c r="O1190" s="193" t="inlineStr">
        <is>
          <t>Apply vendor patches</t>
        </is>
      </c>
      <c r="P1190" s="193" t="inlineStr">
        <is>
          <t>hackerbay oneuptime *</t>
        </is>
      </c>
      <c r="Q1190" s="193" t="inlineStr">
        <is>
          <t>P3</t>
        </is>
      </c>
      <c r="R1190" s="193" t="inlineStr">
        <is>
          <t>🚨 URGENT: Apply vendor patches immediately | 🔒 Isolate affected systems if patch unavailable | 🛡️ Enable additional monitoring/IDS rules</t>
        </is>
      </c>
      <c r="S1190" s="193" t="inlineStr">
        <is>
          <t>CVE - IP enrichment n/a</t>
        </is>
      </c>
      <c r="T1190" s="193" t="n">
        <v>0</v>
      </c>
      <c r="U1190" s="193" t="n">
        <v>0</v>
      </c>
      <c r="V1190" s="193" t="inlineStr">
        <is>
          <t>T1059:Command and Scripting Interpreter | T1552:Unsecured Credentials</t>
        </is>
      </c>
      <c r="W1190" s="193" t="n">
        <v>1</v>
      </c>
      <c r="X1190" s="193" t="inlineStr">
        <is>
          <t>LOW (40%)</t>
        </is>
      </c>
      <c r="Y1190" s="193" t="inlineStr">
        <is>
          <t>UNLIKELY</t>
        </is>
      </c>
      <c r="Z1190" s="193" t="inlineStr">
        <is>
          <t>PATCH_AVAILABLE</t>
        </is>
      </c>
      <c r="AA1190" s="194" t="inlineStr">
        <is>
          <t>https://nvd.nist.gov/vuln/detail/CVE-2026-27574</t>
        </is>
      </c>
      <c r="AB1190" s="193" t="inlineStr">
        <is>
          <t>NONE</t>
        </is>
      </c>
      <c r="AC1190" s="193" t="n">
        <v>0</v>
      </c>
      <c r="AD1190" s="193" t="n"/>
    </row>
    <row r="1191">
      <c r="A1191" s="189" t="inlineStr">
        <is>
          <t>CVE</t>
        </is>
      </c>
      <c r="B1191" s="189" t="inlineStr">
        <is>
          <t>CVE-2026-27579</t>
        </is>
      </c>
      <c r="C1191" s="189" t="inlineStr">
        <is>
          <t>CollabPlatform is a full-stack, real-time doc collaboration platform. In all versions of CollabPlatform, the Appwrite project used by the application is misconfigured to allow arbitrary origins in CORS responses while also permitting credentialed requests. An attacker-controlled domain can issue authenticated cross-origin requests and read sensitive user account information, including email address, account identifiers, and MFA status. The issue did not have a fix at the time of publication.</t>
        </is>
      </c>
      <c r="D1191" s="189" t="n">
        <v>7.4</v>
      </c>
      <c r="E1191" s="189" t="inlineStr">
        <is>
          <t>HIGH</t>
        </is>
      </c>
      <c r="F1191" s="189" t="n">
        <v>2</v>
      </c>
      <c r="G1191" s="189" t="n">
        <v>3</v>
      </c>
      <c r="H1191" s="189" t="inlineStr">
        <is>
          <t>HIGH</t>
        </is>
      </c>
      <c r="I1191" s="189" t="n">
        <v>13.4</v>
      </c>
      <c r="J1191" s="189" t="inlineStr">
        <is>
          <t>NO</t>
        </is>
      </c>
      <c r="K1191" s="190" t="inlineStr">
        <is>
          <t>https://nvd.nist.gov/vuln/detail/CVE-2026-27579</t>
        </is>
      </c>
      <c r="L1191" s="189" t="inlineStr">
        <is>
          <t>2026-02-23 23:48</t>
        </is>
      </c>
      <c r="M1191" s="189" t="inlineStr">
        <is>
          <t>CHECK_VENDOR</t>
        </is>
      </c>
      <c r="N1191" s="189" t="inlineStr">
        <is>
          <t>See NVD references</t>
        </is>
      </c>
      <c r="O1191" s="189" t="inlineStr">
        <is>
          <t>Apply vendor patches</t>
        </is>
      </c>
      <c r="P1191" s="189" t="inlineStr">
        <is>
          <t>See CVE details</t>
        </is>
      </c>
      <c r="Q1191" s="189" t="inlineStr">
        <is>
          <t>P3</t>
        </is>
      </c>
      <c r="R1191" s="189" t="inlineStr">
        <is>
          <t>🚨 URGENT: Apply vendor patches immediately | 🔒 Isolate affected systems if patch unavailable | 🛡️ Enable additional monitoring/IDS rules</t>
        </is>
      </c>
      <c r="S1191" s="189" t="inlineStr">
        <is>
          <t>CVE - IP enrichment n/a</t>
        </is>
      </c>
      <c r="T1191" s="189" t="n">
        <v>0</v>
      </c>
      <c r="U1191" s="189" t="n">
        <v>0</v>
      </c>
      <c r="V1191" s="189" t="inlineStr">
        <is>
          <t>T1552:Unsecured Credentials</t>
        </is>
      </c>
      <c r="W1191" s="189" t="n">
        <v>1</v>
      </c>
      <c r="X1191" s="189" t="inlineStr">
        <is>
          <t>LOW (40%)</t>
        </is>
      </c>
      <c r="Y1191" s="189" t="inlineStr">
        <is>
          <t>UNLIKELY</t>
        </is>
      </c>
      <c r="Z1191" s="189" t="inlineStr">
        <is>
          <t>CHECK_VENDOR</t>
        </is>
      </c>
      <c r="AA1191" s="190" t="inlineStr">
        <is>
          <t>https://nvd.nist.gov/vuln/detail/CVE-2026-27579</t>
        </is>
      </c>
      <c r="AB1191" s="189" t="inlineStr">
        <is>
          <t>NONE</t>
        </is>
      </c>
      <c r="AC1191" s="189" t="n">
        <v>0</v>
      </c>
      <c r="AD1191" s="189" t="n"/>
    </row>
    <row r="1192">
      <c r="A1192" s="189" t="inlineStr">
        <is>
          <t>CVE</t>
        </is>
      </c>
      <c r="B1192" s="189" t="inlineStr">
        <is>
          <t>CVE-2026-2867</t>
        </is>
      </c>
      <c r="C1192" s="189" t="inlineStr">
        <is>
          <t>A vulnerability was determined in itsourcecode Vehicle Management System 1.0. Affected is an unknown function of the file /billaction.php. Executing a manipulation of the argument ID can lead to sql injection. The attack may be launched remotely. The exploit has been publicly disclosed and may be utilized.</t>
        </is>
      </c>
      <c r="D1192" s="189" t="n">
        <v>7.3</v>
      </c>
      <c r="E1192" s="189" t="inlineStr">
        <is>
          <t>HIGH</t>
        </is>
      </c>
      <c r="F1192" s="189" t="n">
        <v>2</v>
      </c>
      <c r="G1192" s="189" t="n">
        <v>3</v>
      </c>
      <c r="H1192" s="189" t="inlineStr">
        <is>
          <t>HIGH</t>
        </is>
      </c>
      <c r="I1192" s="189" t="n">
        <v>13.3</v>
      </c>
      <c r="J1192" s="189" t="inlineStr">
        <is>
          <t>NO</t>
        </is>
      </c>
      <c r="K1192" s="190" t="inlineStr">
        <is>
          <t>https://nvd.nist.gov/vuln/detail/CVE-2026-2867</t>
        </is>
      </c>
      <c r="L1192" s="189" t="inlineStr">
        <is>
          <t>2026-02-23 23:48</t>
        </is>
      </c>
      <c r="M1192" s="189" t="inlineStr">
        <is>
          <t>CHECK_VENDOR</t>
        </is>
      </c>
      <c r="N1192" s="189" t="inlineStr">
        <is>
          <t>See NVD references</t>
        </is>
      </c>
      <c r="O1192" s="189" t="inlineStr">
        <is>
          <t>Apply vendor patches</t>
        </is>
      </c>
      <c r="P1192" s="189" t="inlineStr">
        <is>
          <t>admerc vehicle_management_system 1.0</t>
        </is>
      </c>
      <c r="Q1192" s="189" t="inlineStr">
        <is>
          <t>P3</t>
        </is>
      </c>
      <c r="R1192" s="189" t="inlineStr">
        <is>
          <t>🚨 URGENT: Apply vendor patches immediately | 🔒 Isolate affected systems if patch unavailable | 🛡️ Enable additional monitoring/IDS rules</t>
        </is>
      </c>
      <c r="S1192" s="189" t="inlineStr">
        <is>
          <t>CVE - IP enrichment n/a</t>
        </is>
      </c>
      <c r="T1192" s="189" t="n">
        <v>0</v>
      </c>
      <c r="U1192" s="189" t="n">
        <v>0</v>
      </c>
      <c r="V1192" s="189" t="inlineStr">
        <is>
          <t>T1190:Exploit Public-Facing Application</t>
        </is>
      </c>
      <c r="W1192" s="189" t="n">
        <v>1</v>
      </c>
      <c r="X1192" s="189" t="inlineStr">
        <is>
          <t>LOW (40%)</t>
        </is>
      </c>
      <c r="Y1192" s="189" t="inlineStr">
        <is>
          <t>UNLIKELY</t>
        </is>
      </c>
      <c r="Z1192" s="189" t="inlineStr">
        <is>
          <t>CHECK_VENDOR</t>
        </is>
      </c>
      <c r="AA1192" s="190" t="inlineStr">
        <is>
          <t>https://nvd.nist.gov/vuln/detail/CVE-2026-2867</t>
        </is>
      </c>
      <c r="AB1192" s="189" t="inlineStr">
        <is>
          <t>NONE</t>
        </is>
      </c>
      <c r="AC1192" s="189" t="n">
        <v>0</v>
      </c>
      <c r="AD1192" s="189" t="n"/>
    </row>
    <row r="1193">
      <c r="A1193" s="195" t="inlineStr">
        <is>
          <t>CVE</t>
        </is>
      </c>
      <c r="B1193" s="195" t="inlineStr">
        <is>
          <t>CVE-2026-2869</t>
        </is>
      </c>
      <c r="C1193" s="195" t="inlineStr">
        <is>
          <t>A vulnerability was identified in janet-lang janet up to 1.40.1. Affected by this vulnerability is the function janetc_varset of the file src/core/specials.c of the component handleattr Handler. The manipulation leads to out-of-bounds read. The attack can only be performed from a local environment. The exploit is publicly available and might be used. Upgrading to version 1.41.0 addresses this issue. The identifier of the patch is 2fabc80151a2b8834ee59cda8a70453f848b40e5. The affected component s</t>
        </is>
      </c>
      <c r="D1193" s="195" t="n">
        <v>3.3</v>
      </c>
      <c r="E1193" s="195" t="inlineStr">
        <is>
          <t>LOW</t>
        </is>
      </c>
      <c r="F1193" s="195" t="n">
        <v>2</v>
      </c>
      <c r="G1193" s="195" t="n">
        <v>1</v>
      </c>
      <c r="H1193" s="195" t="inlineStr">
        <is>
          <t>LOW</t>
        </is>
      </c>
      <c r="I1193" s="195" t="n">
        <v>5.3</v>
      </c>
      <c r="J1193" s="195" t="inlineStr">
        <is>
          <t>NO</t>
        </is>
      </c>
      <c r="K1193" s="196" t="inlineStr">
        <is>
          <t>https://nvd.nist.gov/vuln/detail/CVE-2026-2869</t>
        </is>
      </c>
      <c r="L1193" s="195" t="inlineStr">
        <is>
          <t>2026-02-23 23:48</t>
        </is>
      </c>
      <c r="M1193" s="195" t="inlineStr">
        <is>
          <t>CHECK_VENDOR</t>
        </is>
      </c>
      <c r="N1193" s="195" t="inlineStr">
        <is>
          <t>See NVD references</t>
        </is>
      </c>
      <c r="O1193" s="195" t="inlineStr">
        <is>
          <t>Apply vendor patches</t>
        </is>
      </c>
      <c r="P1193" s="195" t="inlineStr">
        <is>
          <t>See CVE details</t>
        </is>
      </c>
      <c r="Q1193" s="195" t="inlineStr">
        <is>
          <t>P4</t>
        </is>
      </c>
      <c r="R1193" s="195" t="inlineStr">
        <is>
          <t>📅 Schedule patch deployment within 30 days | 🔍 Monitor for exploitation attempts</t>
        </is>
      </c>
      <c r="S1193" s="195" t="inlineStr">
        <is>
          <t>CVE - IP enrichment n/a</t>
        </is>
      </c>
      <c r="T1193" s="195" t="n">
        <v>0.0001</v>
      </c>
      <c r="U1193" s="195" t="n">
        <v>0.0199</v>
      </c>
      <c r="V1193" s="195" t="inlineStr">
        <is>
          <t>T1203:Exploitation for Client Execution</t>
        </is>
      </c>
      <c r="W1193" s="195" t="n">
        <v>1</v>
      </c>
      <c r="X1193" s="195" t="inlineStr">
        <is>
          <t>LOW (40%)</t>
        </is>
      </c>
      <c r="Y1193" s="195" t="inlineStr">
        <is>
          <t>UNLIKELY</t>
        </is>
      </c>
      <c r="Z1193" s="195" t="inlineStr">
        <is>
          <t>CHECK_VENDOR</t>
        </is>
      </c>
      <c r="AA1193" s="196" t="inlineStr">
        <is>
          <t>https://nvd.nist.gov/vuln/detail/CVE-2026-2869</t>
        </is>
      </c>
      <c r="AB1193" s="195" t="inlineStr">
        <is>
          <t>NONE</t>
        </is>
      </c>
      <c r="AC1193" s="195" t="n">
        <v>0</v>
      </c>
      <c r="AD1193" s="195" t="n"/>
    </row>
    <row r="1194">
      <c r="A1194" s="189" t="inlineStr">
        <is>
          <t>CVE</t>
        </is>
      </c>
      <c r="B1194" s="189" t="inlineStr">
        <is>
          <t>CVE-2026-2870</t>
        </is>
      </c>
      <c r="C1194" s="189" t="inlineStr">
        <is>
          <t>A security flaw has been discovered in Tenda A21 1.0.0.0. Affected by this issue is the function set_qosMib_list of the file /goform/formSetQosBand. The manipulation of the argument list results in stack-based buffer overflow. The attack can be executed remotely. The exploit has been released to the public and may be used for attacks.</t>
        </is>
      </c>
      <c r="D1194" s="189" t="n">
        <v>8.800000000000001</v>
      </c>
      <c r="E1194" s="189" t="inlineStr">
        <is>
          <t>HIGH</t>
        </is>
      </c>
      <c r="F1194" s="189" t="n">
        <v>2</v>
      </c>
      <c r="G1194" s="189" t="n">
        <v>3</v>
      </c>
      <c r="H1194" s="189" t="inlineStr">
        <is>
          <t>HIGH</t>
        </is>
      </c>
      <c r="I1194" s="189" t="n">
        <v>14.8</v>
      </c>
      <c r="J1194" s="189" t="inlineStr">
        <is>
          <t>NO</t>
        </is>
      </c>
      <c r="K1194" s="190" t="inlineStr">
        <is>
          <t>https://nvd.nist.gov/vuln/detail/CVE-2026-2870</t>
        </is>
      </c>
      <c r="L1194" s="189" t="inlineStr">
        <is>
          <t>2026-02-23 23:48</t>
        </is>
      </c>
      <c r="M1194" s="189" t="inlineStr">
        <is>
          <t>YES</t>
        </is>
      </c>
      <c r="N1194" s="190" t="inlineStr">
        <is>
          <t>https://github.com/QIU-DIE/cve-nneeww/issues/1</t>
        </is>
      </c>
      <c r="O1194" s="190" t="inlineStr">
        <is>
          <t>https://github.com/QIU-DIE/cve-nneeww/issues/1</t>
        </is>
      </c>
      <c r="P1194" s="189" t="inlineStr">
        <is>
          <t>tenda a21_firmware 1.0.0.0 | tenda a21 -</t>
        </is>
      </c>
      <c r="Q1194" s="189" t="inlineStr">
        <is>
          <t>P3</t>
        </is>
      </c>
      <c r="R1194" s="189" t="inlineStr">
        <is>
          <t>🚨 URGENT: Apply vendor patches immediately | 🔒 Isolate affected systems if patch unavailable | 🛡️ Enable additional monitoring/IDS rules</t>
        </is>
      </c>
      <c r="S1194" s="189" t="inlineStr">
        <is>
          <t>CVE - IP enrichment n/a</t>
        </is>
      </c>
      <c r="T1194" s="189" t="n">
        <v>0.0005</v>
      </c>
      <c r="U1194" s="189" t="n">
        <v>0.1437</v>
      </c>
      <c r="V1194" s="189" t="inlineStr">
        <is>
          <t>T1203:Exploitation for Client Execution</t>
        </is>
      </c>
      <c r="W1194" s="189" t="n">
        <v>1</v>
      </c>
      <c r="X1194" s="189" t="inlineStr">
        <is>
          <t>LOW (40%)</t>
        </is>
      </c>
      <c r="Y1194" s="189" t="inlineStr">
        <is>
          <t>UNLIKELY</t>
        </is>
      </c>
      <c r="Z1194" s="189" t="inlineStr">
        <is>
          <t>PATCH_AVAILABLE</t>
        </is>
      </c>
      <c r="AA1194" s="190" t="inlineStr">
        <is>
          <t>https://nvd.nist.gov/vuln/detail/CVE-2026-2870</t>
        </is>
      </c>
      <c r="AB1194" s="189" t="inlineStr">
        <is>
          <t>NONE</t>
        </is>
      </c>
      <c r="AC1194" s="189" t="n">
        <v>0</v>
      </c>
      <c r="AD1194" s="189" t="n"/>
    </row>
    <row r="1195">
      <c r="A1195" s="189" t="inlineStr">
        <is>
          <t>CVE</t>
        </is>
      </c>
      <c r="B1195" s="189" t="inlineStr">
        <is>
          <t>CVE-2026-2871</t>
        </is>
      </c>
      <c r="C1195" s="189" t="inlineStr">
        <is>
          <t>A weakness has been identified in Tenda A21 1.0.0.0. This affects the function fromSetIpMacBind of the file /goform/SetIpMacBind. This manipulation of the argument list causes stack-based buffer overflow. The attack is possible to be carried out remotely. The exploit has been made available to the public and could be used for attacks.</t>
        </is>
      </c>
      <c r="D1195" s="189" t="n">
        <v>8.800000000000001</v>
      </c>
      <c r="E1195" s="189" t="inlineStr">
        <is>
          <t>HIGH</t>
        </is>
      </c>
      <c r="F1195" s="189" t="n">
        <v>2</v>
      </c>
      <c r="G1195" s="189" t="n">
        <v>3</v>
      </c>
      <c r="H1195" s="189" t="inlineStr">
        <is>
          <t>HIGH</t>
        </is>
      </c>
      <c r="I1195" s="189" t="n">
        <v>14.8</v>
      </c>
      <c r="J1195" s="189" t="inlineStr">
        <is>
          <t>NO</t>
        </is>
      </c>
      <c r="K1195" s="190" t="inlineStr">
        <is>
          <t>https://nvd.nist.gov/vuln/detail/CVE-2026-2871</t>
        </is>
      </c>
      <c r="L1195" s="189" t="inlineStr">
        <is>
          <t>2026-02-23 23:48</t>
        </is>
      </c>
      <c r="M1195" s="189" t="inlineStr">
        <is>
          <t>YES</t>
        </is>
      </c>
      <c r="N1195" s="190" t="inlineStr">
        <is>
          <t>https://github.com/QIU-DIE/cve-nneeww/issues/2</t>
        </is>
      </c>
      <c r="O1195" s="190" t="inlineStr">
        <is>
          <t>https://github.com/QIU-DIE/cve-nneeww/issues/2</t>
        </is>
      </c>
      <c r="P1195" s="189" t="inlineStr">
        <is>
          <t>tenda a21_firmware 1.0.0.0 | tenda a21 -</t>
        </is>
      </c>
      <c r="Q1195" s="189" t="inlineStr">
        <is>
          <t>P3</t>
        </is>
      </c>
      <c r="R1195" s="189" t="inlineStr">
        <is>
          <t>🚨 URGENT: Apply vendor patches immediately | 🔒 Isolate affected systems if patch unavailable | 🛡️ Enable additional monitoring/IDS rules</t>
        </is>
      </c>
      <c r="S1195" s="189" t="inlineStr">
        <is>
          <t>CVE - IP enrichment n/a</t>
        </is>
      </c>
      <c r="T1195" s="189" t="n">
        <v>0</v>
      </c>
      <c r="U1195" s="189" t="n">
        <v>0</v>
      </c>
      <c r="V1195" s="189" t="inlineStr">
        <is>
          <t>T1203:Exploitation for Client Execution</t>
        </is>
      </c>
      <c r="W1195" s="189" t="n">
        <v>1</v>
      </c>
      <c r="X1195" s="189" t="inlineStr">
        <is>
          <t>LOW (40%)</t>
        </is>
      </c>
      <c r="Y1195" s="189" t="inlineStr">
        <is>
          <t>UNLIKELY</t>
        </is>
      </c>
      <c r="Z1195" s="189" t="inlineStr">
        <is>
          <t>PATCH_AVAILABLE</t>
        </is>
      </c>
      <c r="AA1195" s="190" t="inlineStr">
        <is>
          <t>https://nvd.nist.gov/vuln/detail/CVE-2026-2871</t>
        </is>
      </c>
      <c r="AB1195" s="189" t="inlineStr">
        <is>
          <t>NONE</t>
        </is>
      </c>
      <c r="AC1195" s="189" t="n">
        <v>0</v>
      </c>
      <c r="AD1195" s="189" t="n"/>
    </row>
    <row r="1196">
      <c r="A1196" s="189" t="inlineStr">
        <is>
          <t>CVE</t>
        </is>
      </c>
      <c r="B1196" s="189" t="inlineStr">
        <is>
          <t>CVE-2026-2872</t>
        </is>
      </c>
      <c r="C1196" s="189" t="inlineStr">
        <is>
          <t>A security vulnerability has been detected in Tenda A21 1.0.0.0. This vulnerability affects the function set_device_name of the file /goform/setBlackRule of the component MAC Filtering Configuration Endpoint. Such manipulation of the argument devName/mac leads to stack-based buffer overflow. The attack may be performed from remote. The exploit has been disclosed publicly and may be used.</t>
        </is>
      </c>
      <c r="D1196" s="189" t="n">
        <v>8.800000000000001</v>
      </c>
      <c r="E1196" s="189" t="inlineStr">
        <is>
          <t>HIGH</t>
        </is>
      </c>
      <c r="F1196" s="189" t="n">
        <v>2</v>
      </c>
      <c r="G1196" s="189" t="n">
        <v>3</v>
      </c>
      <c r="H1196" s="189" t="inlineStr">
        <is>
          <t>HIGH</t>
        </is>
      </c>
      <c r="I1196" s="189" t="n">
        <v>14.8</v>
      </c>
      <c r="J1196" s="189" t="inlineStr">
        <is>
          <t>NO</t>
        </is>
      </c>
      <c r="K1196" s="190" t="inlineStr">
        <is>
          <t>https://nvd.nist.gov/vuln/detail/CVE-2026-2872</t>
        </is>
      </c>
      <c r="L1196" s="189" t="inlineStr">
        <is>
          <t>2026-02-23 23:48</t>
        </is>
      </c>
      <c r="M1196" s="189" t="inlineStr">
        <is>
          <t>YES</t>
        </is>
      </c>
      <c r="N1196" s="190" t="inlineStr">
        <is>
          <t>https://github.com/QIU-DIE/cve-nneeww/issues/3</t>
        </is>
      </c>
      <c r="O1196" s="190" t="inlineStr">
        <is>
          <t>https://github.com/QIU-DIE/cve-nneeww/issues/3</t>
        </is>
      </c>
      <c r="P1196" s="189" t="inlineStr">
        <is>
          <t>tenda a21_firmware 1.0.0.0 | tenda a21 -</t>
        </is>
      </c>
      <c r="Q1196" s="189" t="inlineStr">
        <is>
          <t>P3</t>
        </is>
      </c>
      <c r="R1196" s="189" t="inlineStr">
        <is>
          <t>🚨 URGENT: Apply vendor patches immediately | 🔒 Isolate affected systems if patch unavailable | 🛡️ Enable additional monitoring/IDS rules</t>
        </is>
      </c>
      <c r="S1196" s="189" t="inlineStr">
        <is>
          <t>CVE - IP enrichment n/a</t>
        </is>
      </c>
      <c r="T1196" s="189" t="n">
        <v>0</v>
      </c>
      <c r="U1196" s="189" t="n">
        <v>0</v>
      </c>
      <c r="V1196" s="189" t="inlineStr">
        <is>
          <t>T1203:Exploitation for Client Execution</t>
        </is>
      </c>
      <c r="W1196" s="189" t="n">
        <v>1</v>
      </c>
      <c r="X1196" s="189" t="inlineStr">
        <is>
          <t>LOW (40%)</t>
        </is>
      </c>
      <c r="Y1196" s="189" t="inlineStr">
        <is>
          <t>UNLIKELY</t>
        </is>
      </c>
      <c r="Z1196" s="189" t="inlineStr">
        <is>
          <t>PATCH_AVAILABLE</t>
        </is>
      </c>
      <c r="AA1196" s="190" t="inlineStr">
        <is>
          <t>https://nvd.nist.gov/vuln/detail/CVE-2026-2872</t>
        </is>
      </c>
      <c r="AB1196" s="189" t="inlineStr">
        <is>
          <t>NONE</t>
        </is>
      </c>
      <c r="AC1196" s="189" t="n">
        <v>0</v>
      </c>
      <c r="AD1196" s="189" t="n"/>
    </row>
    <row r="1197">
      <c r="A1197" s="189" t="inlineStr">
        <is>
          <t>CVE</t>
        </is>
      </c>
      <c r="B1197" s="189" t="inlineStr">
        <is>
          <t>CVE-2026-2873</t>
        </is>
      </c>
      <c r="C1197" s="189" t="inlineStr">
        <is>
          <t>A vulnerability was detected in Tenda A21 1.0.0.0. This issue affects the function setSchedWifi of the file /goform/openSchedWifi. Performing a manipulation of the argument schedStartTime/schedEndTime results in stack-based buffer overflow. It is possible to initiate the attack remotely. The exploit is now public and may be used.</t>
        </is>
      </c>
      <c r="D1197" s="189" t="n">
        <v>8.800000000000001</v>
      </c>
      <c r="E1197" s="189" t="inlineStr">
        <is>
          <t>HIGH</t>
        </is>
      </c>
      <c r="F1197" s="189" t="n">
        <v>2</v>
      </c>
      <c r="G1197" s="189" t="n">
        <v>3</v>
      </c>
      <c r="H1197" s="189" t="inlineStr">
        <is>
          <t>HIGH</t>
        </is>
      </c>
      <c r="I1197" s="189" t="n">
        <v>14.8</v>
      </c>
      <c r="J1197" s="189" t="inlineStr">
        <is>
          <t>NO</t>
        </is>
      </c>
      <c r="K1197" s="190" t="inlineStr">
        <is>
          <t>https://nvd.nist.gov/vuln/detail/CVE-2026-2873</t>
        </is>
      </c>
      <c r="L1197" s="189" t="inlineStr">
        <is>
          <t>2026-02-23 23:48</t>
        </is>
      </c>
      <c r="M1197" s="189" t="inlineStr">
        <is>
          <t>YES</t>
        </is>
      </c>
      <c r="N1197" s="190" t="inlineStr">
        <is>
          <t>https://github.com/QIU-DIE/cve-nneeww/issues/4</t>
        </is>
      </c>
      <c r="O1197" s="190" t="inlineStr">
        <is>
          <t>https://github.com/QIU-DIE/cve-nneeww/issues/4</t>
        </is>
      </c>
      <c r="P1197" s="189" t="inlineStr">
        <is>
          <t>tenda a21_firmware 1.0.0.0 | tenda a21 -</t>
        </is>
      </c>
      <c r="Q1197" s="189" t="inlineStr">
        <is>
          <t>P3</t>
        </is>
      </c>
      <c r="R1197" s="189" t="inlineStr">
        <is>
          <t>🚨 URGENT: Apply vendor patches immediately | 🔒 Isolate affected systems if patch unavailable | 🛡️ Enable additional monitoring/IDS rules</t>
        </is>
      </c>
      <c r="S1197" s="189" t="inlineStr">
        <is>
          <t>CVE - IP enrichment n/a</t>
        </is>
      </c>
      <c r="T1197" s="189" t="n">
        <v>0</v>
      </c>
      <c r="U1197" s="189" t="n">
        <v>0</v>
      </c>
      <c r="V1197" s="189" t="inlineStr">
        <is>
          <t>T1203:Exploitation for Client Execution</t>
        </is>
      </c>
      <c r="W1197" s="189" t="n">
        <v>1</v>
      </c>
      <c r="X1197" s="189" t="inlineStr">
        <is>
          <t>LOW (40%)</t>
        </is>
      </c>
      <c r="Y1197" s="189" t="inlineStr">
        <is>
          <t>UNLIKELY</t>
        </is>
      </c>
      <c r="Z1197" s="189" t="inlineStr">
        <is>
          <t>PATCH_AVAILABLE</t>
        </is>
      </c>
      <c r="AA1197" s="190" t="inlineStr">
        <is>
          <t>https://nvd.nist.gov/vuln/detail/CVE-2026-2873</t>
        </is>
      </c>
      <c r="AB1197" s="189" t="inlineStr">
        <is>
          <t>NONE</t>
        </is>
      </c>
      <c r="AC1197" s="189" t="n">
        <v>0</v>
      </c>
      <c r="AD1197" s="189" t="n"/>
    </row>
    <row r="1198">
      <c r="A1198" s="189" t="inlineStr">
        <is>
          <t>CVE</t>
        </is>
      </c>
      <c r="B1198" s="189" t="inlineStr">
        <is>
          <t>CVE-2026-2874</t>
        </is>
      </c>
      <c r="C1198" s="189" t="inlineStr">
        <is>
          <t>A flaw has been found in Tenda A21 1.0.0.0. Impacted is the function form_fast_setting_wifi_set of the file /goform/fast_setting_wifi_set. Executing a manipulation of the argument ssid can lead to stack-based buffer overflow. It is possible to launch the attack remotely. The exploit has been published and may be used.</t>
        </is>
      </c>
      <c r="D1198" s="189" t="n">
        <v>8.800000000000001</v>
      </c>
      <c r="E1198" s="189" t="inlineStr">
        <is>
          <t>HIGH</t>
        </is>
      </c>
      <c r="F1198" s="189" t="n">
        <v>2</v>
      </c>
      <c r="G1198" s="189" t="n">
        <v>3</v>
      </c>
      <c r="H1198" s="189" t="inlineStr">
        <is>
          <t>HIGH</t>
        </is>
      </c>
      <c r="I1198" s="189" t="n">
        <v>14.8</v>
      </c>
      <c r="J1198" s="189" t="inlineStr">
        <is>
          <t>NO</t>
        </is>
      </c>
      <c r="K1198" s="190" t="inlineStr">
        <is>
          <t>https://nvd.nist.gov/vuln/detail/CVE-2026-2874</t>
        </is>
      </c>
      <c r="L1198" s="189" t="inlineStr">
        <is>
          <t>2026-02-23 23:48</t>
        </is>
      </c>
      <c r="M1198" s="189" t="inlineStr">
        <is>
          <t>YES</t>
        </is>
      </c>
      <c r="N1198" s="190" t="inlineStr">
        <is>
          <t>https://github.com/QIU-DIE/cve-nneeww/issues/5</t>
        </is>
      </c>
      <c r="O1198" s="190" t="inlineStr">
        <is>
          <t>https://github.com/QIU-DIE/cve-nneeww/issues/5</t>
        </is>
      </c>
      <c r="P1198" s="189" t="inlineStr">
        <is>
          <t>tenda a21_firmware 1.0.0.0 | tenda a21 -</t>
        </is>
      </c>
      <c r="Q1198" s="189" t="inlineStr">
        <is>
          <t>P3</t>
        </is>
      </c>
      <c r="R1198" s="189" t="inlineStr">
        <is>
          <t>🚨 URGENT: Apply vendor patches immediately | 🔒 Isolate affected systems if patch unavailable | 🛡️ Enable additional monitoring/IDS rules</t>
        </is>
      </c>
      <c r="S1198" s="189" t="inlineStr">
        <is>
          <t>CVE - IP enrichment n/a</t>
        </is>
      </c>
      <c r="T1198" s="189" t="n">
        <v>0</v>
      </c>
      <c r="U1198" s="189" t="n">
        <v>0</v>
      </c>
      <c r="V1198" s="189" t="inlineStr">
        <is>
          <t>T1203:Exploitation for Client Execution</t>
        </is>
      </c>
      <c r="W1198" s="189" t="n">
        <v>1</v>
      </c>
      <c r="X1198" s="189" t="inlineStr">
        <is>
          <t>LOW (40%)</t>
        </is>
      </c>
      <c r="Y1198" s="189" t="inlineStr">
        <is>
          <t>UNLIKELY</t>
        </is>
      </c>
      <c r="Z1198" s="189" t="inlineStr">
        <is>
          <t>PATCH_AVAILABLE</t>
        </is>
      </c>
      <c r="AA1198" s="190" t="inlineStr">
        <is>
          <t>https://nvd.nist.gov/vuln/detail/CVE-2026-2874</t>
        </is>
      </c>
      <c r="AB1198" s="189" t="inlineStr">
        <is>
          <t>NONE</t>
        </is>
      </c>
      <c r="AC1198" s="189" t="n">
        <v>0</v>
      </c>
      <c r="AD1198" s="189" t="n"/>
    </row>
    <row r="1199">
      <c r="A1199" s="189" t="inlineStr">
        <is>
          <t>CVE</t>
        </is>
      </c>
      <c r="B1199" s="189" t="inlineStr">
        <is>
          <t>CVE-2026-2876</t>
        </is>
      </c>
      <c r="C1199" s="189" t="inlineStr">
        <is>
          <t>A vulnerability was determined in Tenda A18 15.13.07.13. This affects the function parse_macfilter_rule of the file /goform/setBlackRule. This manipulation of the argument deviceList causes stack-based buffer overflow. The attack may be initiated remotely. The exploit has been publicly disclosed and may be utilized.</t>
        </is>
      </c>
      <c r="D1199" s="189" t="n">
        <v>8.800000000000001</v>
      </c>
      <c r="E1199" s="189" t="inlineStr">
        <is>
          <t>HIGH</t>
        </is>
      </c>
      <c r="F1199" s="189" t="n">
        <v>2</v>
      </c>
      <c r="G1199" s="189" t="n">
        <v>3</v>
      </c>
      <c r="H1199" s="189" t="inlineStr">
        <is>
          <t>HIGH</t>
        </is>
      </c>
      <c r="I1199" s="189" t="n">
        <v>14.8</v>
      </c>
      <c r="J1199" s="189" t="inlineStr">
        <is>
          <t>NO</t>
        </is>
      </c>
      <c r="K1199" s="190" t="inlineStr">
        <is>
          <t>https://nvd.nist.gov/vuln/detail/CVE-2026-2876</t>
        </is>
      </c>
      <c r="L1199" s="189" t="inlineStr">
        <is>
          <t>2026-02-23 23:48</t>
        </is>
      </c>
      <c r="M1199" s="189" t="inlineStr">
        <is>
          <t>CHECK_VENDOR</t>
        </is>
      </c>
      <c r="N1199" s="189" t="inlineStr">
        <is>
          <t>See NVD references</t>
        </is>
      </c>
      <c r="O1199" s="189" t="inlineStr">
        <is>
          <t>Apply vendor patches</t>
        </is>
      </c>
      <c r="P1199" s="189" t="inlineStr">
        <is>
          <t>tenda a18 - | tenda a18_firmware 15.13.07.13</t>
        </is>
      </c>
      <c r="Q1199" s="189" t="inlineStr">
        <is>
          <t>P3</t>
        </is>
      </c>
      <c r="R1199" s="189" t="inlineStr">
        <is>
          <t>🚨 URGENT: Apply vendor patches immediately | 🔒 Isolate affected systems if patch unavailable | 🛡️ Enable additional monitoring/IDS rules</t>
        </is>
      </c>
      <c r="S1199" s="189" t="inlineStr">
        <is>
          <t>CVE - IP enrichment n/a</t>
        </is>
      </c>
      <c r="T1199" s="189" t="n">
        <v>0</v>
      </c>
      <c r="U1199" s="189" t="n">
        <v>0</v>
      </c>
      <c r="V1199" s="189" t="inlineStr">
        <is>
          <t>T1203:Exploitation for Client Execution</t>
        </is>
      </c>
      <c r="W1199" s="189" t="n">
        <v>1</v>
      </c>
      <c r="X1199" s="189" t="inlineStr">
        <is>
          <t>LOW (40%)</t>
        </is>
      </c>
      <c r="Y1199" s="189" t="inlineStr">
        <is>
          <t>UNLIKELY</t>
        </is>
      </c>
      <c r="Z1199" s="189" t="inlineStr">
        <is>
          <t>CHECK_VENDOR</t>
        </is>
      </c>
      <c r="AA1199" s="190" t="inlineStr">
        <is>
          <t>https://nvd.nist.gov/vuln/detail/CVE-2026-2876</t>
        </is>
      </c>
      <c r="AB1199" s="189" t="inlineStr">
        <is>
          <t>NONE</t>
        </is>
      </c>
      <c r="AC1199" s="189" t="n">
        <v>0</v>
      </c>
      <c r="AD1199" s="189" t="n"/>
    </row>
    <row r="1200">
      <c r="A1200" s="189" t="inlineStr">
        <is>
          <t>CVE</t>
        </is>
      </c>
      <c r="B1200" s="189" t="inlineStr">
        <is>
          <t>CVE-2026-2877</t>
        </is>
      </c>
      <c r="C1200" s="189" t="inlineStr">
        <is>
          <t>A vulnerability has been found in Tenda A18 15.13.07.13. This affects the function strcpy of the file /goform/WifiExtraSet of the component Httpd Service. The manipulation of the argument wpapsk_crypto5g leads to stack-based buffer overflow. It is possible to initiate the attack remotely. The exploit has been disclosed to the public and may be used.</t>
        </is>
      </c>
      <c r="D1200" s="189" t="n">
        <v>8.800000000000001</v>
      </c>
      <c r="E1200" s="189" t="inlineStr">
        <is>
          <t>HIGH</t>
        </is>
      </c>
      <c r="F1200" s="189" t="n">
        <v>2</v>
      </c>
      <c r="G1200" s="189" t="n">
        <v>3</v>
      </c>
      <c r="H1200" s="189" t="inlineStr">
        <is>
          <t>HIGH</t>
        </is>
      </c>
      <c r="I1200" s="189" t="n">
        <v>14.8</v>
      </c>
      <c r="J1200" s="189" t="inlineStr">
        <is>
          <t>NO</t>
        </is>
      </c>
      <c r="K1200" s="190" t="inlineStr">
        <is>
          <t>https://nvd.nist.gov/vuln/detail/CVE-2026-2877</t>
        </is>
      </c>
      <c r="L1200" s="189" t="inlineStr">
        <is>
          <t>2026-02-23 23:48</t>
        </is>
      </c>
      <c r="M1200" s="189" t="inlineStr">
        <is>
          <t>CHECK_VENDOR</t>
        </is>
      </c>
      <c r="N1200" s="189" t="inlineStr">
        <is>
          <t>See NVD references</t>
        </is>
      </c>
      <c r="O1200" s="189" t="inlineStr">
        <is>
          <t>Apply vendor patches</t>
        </is>
      </c>
      <c r="P1200" s="189" t="inlineStr">
        <is>
          <t>tenda a18 - | tenda a18_firmware 15.13.07.13</t>
        </is>
      </c>
      <c r="Q1200" s="189" t="inlineStr">
        <is>
          <t>P3</t>
        </is>
      </c>
      <c r="R1200" s="189" t="inlineStr">
        <is>
          <t>🚨 URGENT: Apply vendor patches immediately | 🔒 Isolate affected systems if patch unavailable | 🛡️ Enable additional monitoring/IDS rules</t>
        </is>
      </c>
      <c r="S1200" s="189" t="inlineStr">
        <is>
          <t>CVE - IP enrichment n/a</t>
        </is>
      </c>
      <c r="T1200" s="189" t="n">
        <v>0</v>
      </c>
      <c r="U1200" s="189" t="n">
        <v>0</v>
      </c>
      <c r="V1200" s="189" t="inlineStr">
        <is>
          <t>T1203:Exploitation for Client Execution</t>
        </is>
      </c>
      <c r="W1200" s="189" t="n">
        <v>1</v>
      </c>
      <c r="X1200" s="189" t="inlineStr">
        <is>
          <t>LOW (40%)</t>
        </is>
      </c>
      <c r="Y1200" s="189" t="inlineStr">
        <is>
          <t>UNLIKELY</t>
        </is>
      </c>
      <c r="Z1200" s="189" t="inlineStr">
        <is>
          <t>CHECK_VENDOR</t>
        </is>
      </c>
      <c r="AA1200" s="190" t="inlineStr">
        <is>
          <t>https://nvd.nist.gov/vuln/detail/CVE-2026-2877</t>
        </is>
      </c>
      <c r="AB1200" s="189" t="inlineStr">
        <is>
          <t>NONE</t>
        </is>
      </c>
      <c r="AC1200" s="189" t="n">
        <v>0</v>
      </c>
      <c r="AD1200" s="189" t="n"/>
    </row>
    <row r="1201">
      <c r="A1201" s="189" t="inlineStr">
        <is>
          <t>CVE</t>
        </is>
      </c>
      <c r="B1201" s="189" t="inlineStr">
        <is>
          <t>CVE-2026-2881</t>
        </is>
      </c>
      <c r="C1201" s="189" t="inlineStr">
        <is>
          <t>A vulnerability has been found in D-Link DWR-M960 1.01.07. This vulnerability affects the function sub_425FF8 of the file /boafrm/formFirewallAdv of the component Advanced Firewall Configuration Endpoint. Such manipulation of the argument submit-url leads to stack-based buffer overflow. The attack may be launched remotely. The exploit has been disclosed to the public and may be used.</t>
        </is>
      </c>
      <c r="D1201" s="189" t="n">
        <v>8.800000000000001</v>
      </c>
      <c r="E1201" s="189" t="inlineStr">
        <is>
          <t>HIGH</t>
        </is>
      </c>
      <c r="F1201" s="189" t="n">
        <v>2</v>
      </c>
      <c r="G1201" s="189" t="n">
        <v>3</v>
      </c>
      <c r="H1201" s="189" t="inlineStr">
        <is>
          <t>HIGH</t>
        </is>
      </c>
      <c r="I1201" s="189" t="n">
        <v>14.8</v>
      </c>
      <c r="J1201" s="189" t="inlineStr">
        <is>
          <t>NO</t>
        </is>
      </c>
      <c r="K1201" s="190" t="inlineStr">
        <is>
          <t>https://nvd.nist.gov/vuln/detail/CVE-2026-2881</t>
        </is>
      </c>
      <c r="L1201" s="189" t="inlineStr">
        <is>
          <t>2026-02-23 23:48</t>
        </is>
      </c>
      <c r="M1201" s="189" t="inlineStr">
        <is>
          <t>CHECK_VENDOR</t>
        </is>
      </c>
      <c r="N1201" s="189" t="inlineStr">
        <is>
          <t>See NVD references</t>
        </is>
      </c>
      <c r="O1201" s="189" t="inlineStr">
        <is>
          <t>Apply vendor patches</t>
        </is>
      </c>
      <c r="P1201" s="189" t="inlineStr">
        <is>
          <t>dlink dwr-m960 b1 | dlink dwr-m960_firmware 1.01.07</t>
        </is>
      </c>
      <c r="Q1201" s="189" t="inlineStr">
        <is>
          <t>P3</t>
        </is>
      </c>
      <c r="R1201" s="189" t="inlineStr">
        <is>
          <t>🚨 URGENT: Apply vendor patches immediately | 🔒 Isolate affected systems if patch unavailable | 🛡️ Enable additional monitoring/IDS rules</t>
        </is>
      </c>
      <c r="S1201" s="189" t="inlineStr">
        <is>
          <t>CVE - IP enrichment n/a</t>
        </is>
      </c>
      <c r="T1201" s="189" t="n">
        <v>0.0004</v>
      </c>
      <c r="U1201" s="189" t="n">
        <v>0.1368</v>
      </c>
      <c r="V1201" s="189" t="inlineStr">
        <is>
          <t>T1203:Exploitation for Client Execution | T1562:Impair Defenses</t>
        </is>
      </c>
      <c r="W1201" s="189" t="n">
        <v>1</v>
      </c>
      <c r="X1201" s="189" t="inlineStr">
        <is>
          <t>LOW (40%)</t>
        </is>
      </c>
      <c r="Y1201" s="189" t="inlineStr">
        <is>
          <t>UNLIKELY</t>
        </is>
      </c>
      <c r="Z1201" s="189" t="inlineStr">
        <is>
          <t>CHECK_VENDOR</t>
        </is>
      </c>
      <c r="AA1201" s="190" t="inlineStr">
        <is>
          <t>https://nvd.nist.gov/vuln/detail/CVE-2026-2881</t>
        </is>
      </c>
      <c r="AB1201" s="189" t="inlineStr">
        <is>
          <t>NONE</t>
        </is>
      </c>
      <c r="AC1201" s="189" t="n">
        <v>0</v>
      </c>
      <c r="AD1201" s="189" t="n"/>
    </row>
    <row r="1202">
      <c r="A1202" s="189" t="inlineStr">
        <is>
          <t>CVE</t>
        </is>
      </c>
      <c r="B1202" s="189" t="inlineStr">
        <is>
          <t>CVE-2026-2882</t>
        </is>
      </c>
      <c r="C1202" s="189" t="inlineStr">
        <is>
          <t>A vulnerability was found in D-Link DWR-M960 1.01.07. This issue affects the function sub_46385C of the file /boafrm/formDosCfg. Performing a manipulation of the argument submit-url results in stack-based buffer overflow. Remote exploitation of the attack is possible. The exploit has been made public and could be used.</t>
        </is>
      </c>
      <c r="D1202" s="189" t="n">
        <v>8.800000000000001</v>
      </c>
      <c r="E1202" s="189" t="inlineStr">
        <is>
          <t>HIGH</t>
        </is>
      </c>
      <c r="F1202" s="189" t="n">
        <v>2</v>
      </c>
      <c r="G1202" s="189" t="n">
        <v>3</v>
      </c>
      <c r="H1202" s="189" t="inlineStr">
        <is>
          <t>HIGH</t>
        </is>
      </c>
      <c r="I1202" s="189" t="n">
        <v>14.8</v>
      </c>
      <c r="J1202" s="189" t="inlineStr">
        <is>
          <t>NO</t>
        </is>
      </c>
      <c r="K1202" s="190" t="inlineStr">
        <is>
          <t>https://nvd.nist.gov/vuln/detail/CVE-2026-2882</t>
        </is>
      </c>
      <c r="L1202" s="189" t="inlineStr">
        <is>
          <t>2026-02-23 23:48</t>
        </is>
      </c>
      <c r="M1202" s="189" t="inlineStr">
        <is>
          <t>CHECK_VENDOR</t>
        </is>
      </c>
      <c r="N1202" s="189" t="inlineStr">
        <is>
          <t>See NVD references</t>
        </is>
      </c>
      <c r="O1202" s="189" t="inlineStr">
        <is>
          <t>Apply vendor patches</t>
        </is>
      </c>
      <c r="P1202" s="189" t="inlineStr">
        <is>
          <t>dlink dwr-m960 b1 | dlink dwr-m960_firmware 1.01.07</t>
        </is>
      </c>
      <c r="Q1202" s="189" t="inlineStr">
        <is>
          <t>P3</t>
        </is>
      </c>
      <c r="R1202" s="189" t="inlineStr">
        <is>
          <t>🚨 URGENT: Apply vendor patches immediately | 🔒 Isolate affected systems if patch unavailable | 🛡️ Enable additional monitoring/IDS rules</t>
        </is>
      </c>
      <c r="S1202" s="189" t="inlineStr">
        <is>
          <t>CVE - IP enrichment n/a</t>
        </is>
      </c>
      <c r="T1202" s="189" t="n">
        <v>0.0004</v>
      </c>
      <c r="U1202" s="189" t="n">
        <v>0.1368</v>
      </c>
      <c r="V1202" s="189" t="inlineStr">
        <is>
          <t>T1203:Exploitation for Client Execution</t>
        </is>
      </c>
      <c r="W1202" s="189" t="n">
        <v>1</v>
      </c>
      <c r="X1202" s="189" t="inlineStr">
        <is>
          <t>LOW (40%)</t>
        </is>
      </c>
      <c r="Y1202" s="189" t="inlineStr">
        <is>
          <t>UNLIKELY</t>
        </is>
      </c>
      <c r="Z1202" s="189" t="inlineStr">
        <is>
          <t>CHECK_VENDOR</t>
        </is>
      </c>
      <c r="AA1202" s="190" t="inlineStr">
        <is>
          <t>https://nvd.nist.gov/vuln/detail/CVE-2026-2882</t>
        </is>
      </c>
      <c r="AB1202" s="189" t="inlineStr">
        <is>
          <t>NONE</t>
        </is>
      </c>
      <c r="AC1202" s="189" t="n">
        <v>0</v>
      </c>
      <c r="AD1202" s="189" t="n"/>
    </row>
    <row r="1203">
      <c r="A1203" s="189" t="inlineStr">
        <is>
          <t>CVE</t>
        </is>
      </c>
      <c r="B1203" s="189" t="inlineStr">
        <is>
          <t>CVE-2026-2883</t>
        </is>
      </c>
      <c r="C1203" s="189" t="inlineStr">
        <is>
          <t>A vulnerability was determined in D-Link DWR-M960 1.01.07. Impacted is the function sub_427D74 of the file /boafrm/formIpQoS. Executing a manipulation of the argument submit-url can lead to stack-based buffer overflow. The attack can be executed remotely. The exploit has been publicly disclosed and may be utilized.</t>
        </is>
      </c>
      <c r="D1203" s="189" t="n">
        <v>8.800000000000001</v>
      </c>
      <c r="E1203" s="189" t="inlineStr">
        <is>
          <t>HIGH</t>
        </is>
      </c>
      <c r="F1203" s="189" t="n">
        <v>2</v>
      </c>
      <c r="G1203" s="189" t="n">
        <v>3</v>
      </c>
      <c r="H1203" s="189" t="inlineStr">
        <is>
          <t>HIGH</t>
        </is>
      </c>
      <c r="I1203" s="189" t="n">
        <v>14.8</v>
      </c>
      <c r="J1203" s="189" t="inlineStr">
        <is>
          <t>NO</t>
        </is>
      </c>
      <c r="K1203" s="190" t="inlineStr">
        <is>
          <t>https://nvd.nist.gov/vuln/detail/CVE-2026-2883</t>
        </is>
      </c>
      <c r="L1203" s="189" t="inlineStr">
        <is>
          <t>2026-02-23 23:48</t>
        </is>
      </c>
      <c r="M1203" s="189" t="inlineStr">
        <is>
          <t>CHECK_VENDOR</t>
        </is>
      </c>
      <c r="N1203" s="189" t="inlineStr">
        <is>
          <t>See NVD references</t>
        </is>
      </c>
      <c r="O1203" s="189" t="inlineStr">
        <is>
          <t>Apply vendor patches</t>
        </is>
      </c>
      <c r="P1203" s="189" t="inlineStr">
        <is>
          <t>dlink dwr-m960 b1 | dlink dwr-m960_firmware 1.01.07</t>
        </is>
      </c>
      <c r="Q1203" s="189" t="inlineStr">
        <is>
          <t>P3</t>
        </is>
      </c>
      <c r="R1203" s="189" t="inlineStr">
        <is>
          <t>🚨 URGENT: Apply vendor patches immediately | 🔒 Isolate affected systems if patch unavailable | 🛡️ Enable additional monitoring/IDS rules</t>
        </is>
      </c>
      <c r="S1203" s="189" t="inlineStr">
        <is>
          <t>CVE - IP enrichment n/a</t>
        </is>
      </c>
      <c r="T1203" s="189" t="n">
        <v>0</v>
      </c>
      <c r="U1203" s="189" t="n">
        <v>0</v>
      </c>
      <c r="V1203" s="189" t="inlineStr">
        <is>
          <t>T1203:Exploitation for Client Execution</t>
        </is>
      </c>
      <c r="W1203" s="189" t="n">
        <v>1</v>
      </c>
      <c r="X1203" s="189" t="inlineStr">
        <is>
          <t>LOW (40%)</t>
        </is>
      </c>
      <c r="Y1203" s="189" t="inlineStr">
        <is>
          <t>UNLIKELY</t>
        </is>
      </c>
      <c r="Z1203" s="189" t="inlineStr">
        <is>
          <t>CHECK_VENDOR</t>
        </is>
      </c>
      <c r="AA1203" s="190" t="inlineStr">
        <is>
          <t>https://nvd.nist.gov/vuln/detail/CVE-2026-2883</t>
        </is>
      </c>
      <c r="AB1203" s="189" t="inlineStr">
        <is>
          <t>NONE</t>
        </is>
      </c>
      <c r="AC1203" s="189" t="n">
        <v>0</v>
      </c>
      <c r="AD1203" s="189" t="n"/>
    </row>
    <row r="1204">
      <c r="A1204" s="189" t="inlineStr">
        <is>
          <t>CVE</t>
        </is>
      </c>
      <c r="B1204" s="189" t="inlineStr">
        <is>
          <t>CVE-2026-2884</t>
        </is>
      </c>
      <c r="C1204" s="189" t="inlineStr">
        <is>
          <t>A vulnerability was identified in D-Link DWR-M960 1.01.07. The affected element is the function sub_41914C of the file /boafrm/formWanConfigSetup of the component WAN Interface Setting Handler. The manipulation of the argument submit-url leads to stack-based buffer overflow. The attack is possible to be carried out remotely. The exploit is publicly available and might be used.</t>
        </is>
      </c>
      <c r="D1204" s="189" t="n">
        <v>8.800000000000001</v>
      </c>
      <c r="E1204" s="189" t="inlineStr">
        <is>
          <t>HIGH</t>
        </is>
      </c>
      <c r="F1204" s="189" t="n">
        <v>2</v>
      </c>
      <c r="G1204" s="189" t="n">
        <v>3</v>
      </c>
      <c r="H1204" s="189" t="inlineStr">
        <is>
          <t>HIGH</t>
        </is>
      </c>
      <c r="I1204" s="189" t="n">
        <v>14.8</v>
      </c>
      <c r="J1204" s="189" t="inlineStr">
        <is>
          <t>NO</t>
        </is>
      </c>
      <c r="K1204" s="190" t="inlineStr">
        <is>
          <t>https://nvd.nist.gov/vuln/detail/CVE-2026-2884</t>
        </is>
      </c>
      <c r="L1204" s="189" t="inlineStr">
        <is>
          <t>2026-02-23 23:48</t>
        </is>
      </c>
      <c r="M1204" s="189" t="inlineStr">
        <is>
          <t>CHECK_VENDOR</t>
        </is>
      </c>
      <c r="N1204" s="189" t="inlineStr">
        <is>
          <t>See NVD references</t>
        </is>
      </c>
      <c r="O1204" s="189" t="inlineStr">
        <is>
          <t>Apply vendor patches</t>
        </is>
      </c>
      <c r="P1204" s="189" t="inlineStr">
        <is>
          <t>dlink dwr-m960 b1 | dlink dwr-m960_firmware 1.01.07</t>
        </is>
      </c>
      <c r="Q1204" s="189" t="inlineStr">
        <is>
          <t>P3</t>
        </is>
      </c>
      <c r="R1204" s="189" t="inlineStr">
        <is>
          <t>🚨 URGENT: Apply vendor patches immediately | 🔒 Isolate affected systems if patch unavailable | 🛡️ Enable additional monitoring/IDS rules</t>
        </is>
      </c>
      <c r="S1204" s="189" t="inlineStr">
        <is>
          <t>CVE - IP enrichment n/a</t>
        </is>
      </c>
      <c r="T1204" s="189" t="n">
        <v>0</v>
      </c>
      <c r="U1204" s="189" t="n">
        <v>0</v>
      </c>
      <c r="V1204" s="189" t="inlineStr">
        <is>
          <t>T1203:Exploitation for Client Execution</t>
        </is>
      </c>
      <c r="W1204" s="189" t="n">
        <v>1</v>
      </c>
      <c r="X1204" s="189" t="inlineStr">
        <is>
          <t>LOW (40%)</t>
        </is>
      </c>
      <c r="Y1204" s="189" t="inlineStr">
        <is>
          <t>UNLIKELY</t>
        </is>
      </c>
      <c r="Z1204" s="189" t="inlineStr">
        <is>
          <t>CHECK_VENDOR</t>
        </is>
      </c>
      <c r="AA1204" s="190" t="inlineStr">
        <is>
          <t>https://nvd.nist.gov/vuln/detail/CVE-2026-2884</t>
        </is>
      </c>
      <c r="AB1204" s="189" t="inlineStr">
        <is>
          <t>NONE</t>
        </is>
      </c>
      <c r="AC1204" s="189" t="n">
        <v>0</v>
      </c>
      <c r="AD1204" s="189" t="n"/>
    </row>
    <row r="1205">
      <c r="A1205" s="189" t="inlineStr">
        <is>
          <t>CVE</t>
        </is>
      </c>
      <c r="B1205" s="189" t="inlineStr">
        <is>
          <t>CVE-2026-2885</t>
        </is>
      </c>
      <c r="C1205" s="189" t="inlineStr">
        <is>
          <t>A security flaw has been discovered in D-Link DWR-M960 1.01.07. The impacted element is the function sub_469104 of the file /boafrm/formIpv6Setup. The manipulation of the argument submit-url results in stack-based buffer overflow. The attack may be performed from remote. The exploit has been released to the public and may be used for attacks.</t>
        </is>
      </c>
      <c r="D1205" s="189" t="n">
        <v>8.800000000000001</v>
      </c>
      <c r="E1205" s="189" t="inlineStr">
        <is>
          <t>HIGH</t>
        </is>
      </c>
      <c r="F1205" s="189" t="n">
        <v>2</v>
      </c>
      <c r="G1205" s="189" t="n">
        <v>3</v>
      </c>
      <c r="H1205" s="189" t="inlineStr">
        <is>
          <t>HIGH</t>
        </is>
      </c>
      <c r="I1205" s="189" t="n">
        <v>14.8</v>
      </c>
      <c r="J1205" s="189" t="inlineStr">
        <is>
          <t>NO</t>
        </is>
      </c>
      <c r="K1205" s="190" t="inlineStr">
        <is>
          <t>https://nvd.nist.gov/vuln/detail/CVE-2026-2885</t>
        </is>
      </c>
      <c r="L1205" s="189" t="inlineStr">
        <is>
          <t>2026-02-23 23:48</t>
        </is>
      </c>
      <c r="M1205" s="189" t="inlineStr">
        <is>
          <t>CHECK_VENDOR</t>
        </is>
      </c>
      <c r="N1205" s="189" t="inlineStr">
        <is>
          <t>See NVD references</t>
        </is>
      </c>
      <c r="O1205" s="189" t="inlineStr">
        <is>
          <t>Apply vendor patches</t>
        </is>
      </c>
      <c r="P1205" s="189" t="inlineStr">
        <is>
          <t>dlink dwr-m960 b1 | dlink dwr-m960_firmware 1.01.07</t>
        </is>
      </c>
      <c r="Q1205" s="189" t="inlineStr">
        <is>
          <t>P3</t>
        </is>
      </c>
      <c r="R1205" s="189" t="inlineStr">
        <is>
          <t>🚨 URGENT: Apply vendor patches immediately | 🔒 Isolate affected systems if patch unavailable | 🛡️ Enable additional monitoring/IDS rules</t>
        </is>
      </c>
      <c r="S1205" s="189" t="inlineStr">
        <is>
          <t>CVE - IP enrichment n/a</t>
        </is>
      </c>
      <c r="T1205" s="189" t="n">
        <v>0</v>
      </c>
      <c r="U1205" s="189" t="n">
        <v>0</v>
      </c>
      <c r="V1205" s="189" t="inlineStr">
        <is>
          <t>T1203:Exploitation for Client Execution</t>
        </is>
      </c>
      <c r="W1205" s="189" t="n">
        <v>1</v>
      </c>
      <c r="X1205" s="189" t="inlineStr">
        <is>
          <t>LOW (40%)</t>
        </is>
      </c>
      <c r="Y1205" s="189" t="inlineStr">
        <is>
          <t>UNLIKELY</t>
        </is>
      </c>
      <c r="Z1205" s="189" t="inlineStr">
        <is>
          <t>CHECK_VENDOR</t>
        </is>
      </c>
      <c r="AA1205" s="190" t="inlineStr">
        <is>
          <t>https://nvd.nist.gov/vuln/detail/CVE-2026-2885</t>
        </is>
      </c>
      <c r="AB1205" s="189" t="inlineStr">
        <is>
          <t>NONE</t>
        </is>
      </c>
      <c r="AC1205" s="189" t="n">
        <v>0</v>
      </c>
      <c r="AD1205" s="189" t="n"/>
    </row>
    <row r="1206">
      <c r="A1206" s="189" t="inlineStr">
        <is>
          <t>CVE</t>
        </is>
      </c>
      <c r="B1206" s="189" t="inlineStr">
        <is>
          <t>CVE-2026-2886</t>
        </is>
      </c>
      <c r="C1206" s="189" t="inlineStr">
        <is>
          <t>A weakness has been identified in Tenda A21 1.0.0.0. This affects the function set_device_name of the file /goform/SetOnlineDevName. This manipulation of the argument devName causes stack-based buffer overflow. It is possible to initiate the attack remotely. The exploit has been made available to the public and could be used for attacks.</t>
        </is>
      </c>
      <c r="D1206" s="189" t="n">
        <v>8.800000000000001</v>
      </c>
      <c r="E1206" s="189" t="inlineStr">
        <is>
          <t>HIGH</t>
        </is>
      </c>
      <c r="F1206" s="189" t="n">
        <v>2</v>
      </c>
      <c r="G1206" s="189" t="n">
        <v>3</v>
      </c>
      <c r="H1206" s="189" t="inlineStr">
        <is>
          <t>HIGH</t>
        </is>
      </c>
      <c r="I1206" s="189" t="n">
        <v>14.8</v>
      </c>
      <c r="J1206" s="189" t="inlineStr">
        <is>
          <t>NO</t>
        </is>
      </c>
      <c r="K1206" s="190" t="inlineStr">
        <is>
          <t>https://nvd.nist.gov/vuln/detail/CVE-2026-2886</t>
        </is>
      </c>
      <c r="L1206" s="189" t="inlineStr">
        <is>
          <t>2026-02-23 23:48</t>
        </is>
      </c>
      <c r="M1206" s="189" t="inlineStr">
        <is>
          <t>YES</t>
        </is>
      </c>
      <c r="N1206" s="190" t="inlineStr">
        <is>
          <t>https://github.com/QIU-DIE/cve-nneeww/issues/6</t>
        </is>
      </c>
      <c r="O1206" s="190" t="inlineStr">
        <is>
          <t>https://github.com/QIU-DIE/cve-nneeww/issues/6</t>
        </is>
      </c>
      <c r="P1206" s="189" t="inlineStr">
        <is>
          <t>tenda a21_firmware 1.0.0.0 | tenda a21 -</t>
        </is>
      </c>
      <c r="Q1206" s="189" t="inlineStr">
        <is>
          <t>P3</t>
        </is>
      </c>
      <c r="R1206" s="189" t="inlineStr">
        <is>
          <t>🚨 URGENT: Apply vendor patches immediately | 🔒 Isolate affected systems if patch unavailable | 🛡️ Enable additional monitoring/IDS rules</t>
        </is>
      </c>
      <c r="S1206" s="189" t="inlineStr">
        <is>
          <t>CVE - IP enrichment n/a</t>
        </is>
      </c>
      <c r="T1206" s="189" t="n">
        <v>0</v>
      </c>
      <c r="U1206" s="189" t="n">
        <v>0</v>
      </c>
      <c r="V1206" s="189" t="inlineStr">
        <is>
          <t>T1203:Exploitation for Client Execution</t>
        </is>
      </c>
      <c r="W1206" s="189" t="n">
        <v>1</v>
      </c>
      <c r="X1206" s="189" t="inlineStr">
        <is>
          <t>LOW (40%)</t>
        </is>
      </c>
      <c r="Y1206" s="189" t="inlineStr">
        <is>
          <t>UNLIKELY</t>
        </is>
      </c>
      <c r="Z1206" s="189" t="inlineStr">
        <is>
          <t>PATCH_AVAILABLE</t>
        </is>
      </c>
      <c r="AA1206" s="190" t="inlineStr">
        <is>
          <t>https://nvd.nist.gov/vuln/detail/CVE-2026-2886</t>
        </is>
      </c>
      <c r="AB1206" s="189" t="inlineStr">
        <is>
          <t>NONE</t>
        </is>
      </c>
      <c r="AC1206" s="189" t="n">
        <v>0</v>
      </c>
      <c r="AD1206" s="189" t="n"/>
    </row>
    <row r="1207">
      <c r="A1207" s="195" t="inlineStr">
        <is>
          <t>CVE</t>
        </is>
      </c>
      <c r="B1207" s="195" t="inlineStr">
        <is>
          <t>CVE-2026-2887</t>
        </is>
      </c>
      <c r="C1207" s="195" t="inlineStr">
        <is>
          <t>A security vulnerability has been detected in aardappel lobster up to 2025.4. This impacts the function lobster::TypeName in the library dev/src/lobster/idents.h. Such manipulation leads to uncontrolled recursion. The attack can only be performed from a local environment. The exploit has been disclosed publicly and may be used. Upgrading to version 2026.1 will fix this issue. The name of the patch is 8ba49f98ccfc9734ef352146806433a41d9f9aa6. It is advisable to upgrade the affected component.</t>
        </is>
      </c>
      <c r="D1207" s="195" t="n">
        <v>3.3</v>
      </c>
      <c r="E1207" s="195" t="inlineStr">
        <is>
          <t>LOW</t>
        </is>
      </c>
      <c r="F1207" s="195" t="n">
        <v>2</v>
      </c>
      <c r="G1207" s="195" t="n">
        <v>1</v>
      </c>
      <c r="H1207" s="195" t="inlineStr">
        <is>
          <t>LOW</t>
        </is>
      </c>
      <c r="I1207" s="195" t="n">
        <v>5.3</v>
      </c>
      <c r="J1207" s="195" t="inlineStr">
        <is>
          <t>NO</t>
        </is>
      </c>
      <c r="K1207" s="196" t="inlineStr">
        <is>
          <t>https://nvd.nist.gov/vuln/detail/CVE-2026-2887</t>
        </is>
      </c>
      <c r="L1207" s="195" t="inlineStr">
        <is>
          <t>2026-02-23 23:48</t>
        </is>
      </c>
      <c r="M1207" s="195" t="inlineStr">
        <is>
          <t>CHECK_VENDOR</t>
        </is>
      </c>
      <c r="N1207" s="195" t="inlineStr">
        <is>
          <t>See NVD references</t>
        </is>
      </c>
      <c r="O1207" s="195" t="inlineStr">
        <is>
          <t>Apply vendor patches</t>
        </is>
      </c>
      <c r="P1207" s="195" t="inlineStr">
        <is>
          <t>See CVE details</t>
        </is>
      </c>
      <c r="Q1207" s="195" t="inlineStr">
        <is>
          <t>P4</t>
        </is>
      </c>
      <c r="R1207" s="195" t="inlineStr">
        <is>
          <t>📅 Schedule patch deployment within 30 days | 🔍 Monitor for exploitation attempts</t>
        </is>
      </c>
      <c r="S1207" s="195" t="inlineStr">
        <is>
          <t>CVE - IP enrichment n/a</t>
        </is>
      </c>
      <c r="T1207" s="195" t="n">
        <v>0</v>
      </c>
      <c r="U1207" s="195" t="n">
        <v>0</v>
      </c>
      <c r="V1207" s="195" t="inlineStr">
        <is>
          <t>T1190:Exploit Public-Facing Application</t>
        </is>
      </c>
      <c r="W1207" s="195" t="n">
        <v>1</v>
      </c>
      <c r="X1207" s="195" t="inlineStr">
        <is>
          <t>LOW (40%)</t>
        </is>
      </c>
      <c r="Y1207" s="195" t="inlineStr">
        <is>
          <t>UNLIKELY</t>
        </is>
      </c>
      <c r="Z1207" s="195" t="inlineStr">
        <is>
          <t>CHECK_VENDOR</t>
        </is>
      </c>
      <c r="AA1207" s="196" t="inlineStr">
        <is>
          <t>https://nvd.nist.gov/vuln/detail/CVE-2026-2887</t>
        </is>
      </c>
      <c r="AB1207" s="195" t="inlineStr">
        <is>
          <t>NONE</t>
        </is>
      </c>
      <c r="AC1207" s="195" t="n">
        <v>0</v>
      </c>
      <c r="AD1207" s="195" t="n"/>
    </row>
    <row r="1208">
      <c r="A1208" s="195" t="inlineStr">
        <is>
          <t>CVE</t>
        </is>
      </c>
      <c r="B1208" s="195" t="inlineStr">
        <is>
          <t>CVE-2026-2889</t>
        </is>
      </c>
      <c r="C1208" s="195" t="inlineStr">
        <is>
          <t>A vulnerability was detected in CCExtractor up to 0.96.5. Affected is the function processmp4 in the library src/lib_ccx/mp4.c. Performing a manipulation results in use after free. The attack is only possible with local access. The exploit is now public and may be used. Upgrading to version 0.96.6 is able to address this issue. The patch is named fd7271bae238ccb3ae8a71304ea64f0886324925. You should upgrade the affected component.</t>
        </is>
      </c>
      <c r="D1208" s="195" t="n">
        <v>3.3</v>
      </c>
      <c r="E1208" s="195" t="inlineStr">
        <is>
          <t>LOW</t>
        </is>
      </c>
      <c r="F1208" s="195" t="n">
        <v>2</v>
      </c>
      <c r="G1208" s="195" t="n">
        <v>1</v>
      </c>
      <c r="H1208" s="195" t="inlineStr">
        <is>
          <t>LOW</t>
        </is>
      </c>
      <c r="I1208" s="195" t="n">
        <v>5.3</v>
      </c>
      <c r="J1208" s="195" t="inlineStr">
        <is>
          <t>NO</t>
        </is>
      </c>
      <c r="K1208" s="196" t="inlineStr">
        <is>
          <t>https://nvd.nist.gov/vuln/detail/CVE-2026-2889</t>
        </is>
      </c>
      <c r="L1208" s="195" t="inlineStr">
        <is>
          <t>2026-02-23 23:48</t>
        </is>
      </c>
      <c r="M1208" s="195" t="inlineStr">
        <is>
          <t>CHECK_VENDOR</t>
        </is>
      </c>
      <c r="N1208" s="195" t="inlineStr">
        <is>
          <t>See NVD references</t>
        </is>
      </c>
      <c r="O1208" s="195" t="inlineStr">
        <is>
          <t>Apply vendor patches</t>
        </is>
      </c>
      <c r="P1208" s="195" t="inlineStr">
        <is>
          <t>See CVE details</t>
        </is>
      </c>
      <c r="Q1208" s="195" t="inlineStr">
        <is>
          <t>P4</t>
        </is>
      </c>
      <c r="R1208" s="195" t="inlineStr">
        <is>
          <t>📅 Schedule patch deployment within 30 days | 🔍 Monitor for exploitation attempts</t>
        </is>
      </c>
      <c r="S1208" s="195" t="inlineStr">
        <is>
          <t>CVE - IP enrichment n/a</t>
        </is>
      </c>
      <c r="T1208" s="195" t="n">
        <v>0.0001</v>
      </c>
      <c r="U1208" s="195" t="n">
        <v>0.0176</v>
      </c>
      <c r="V1208" s="195" t="inlineStr">
        <is>
          <t>T1203:Exploitation for Client Execution</t>
        </is>
      </c>
      <c r="W1208" s="195" t="n">
        <v>1</v>
      </c>
      <c r="X1208" s="195" t="inlineStr">
        <is>
          <t>LOW (40%)</t>
        </is>
      </c>
      <c r="Y1208" s="195" t="inlineStr">
        <is>
          <t>UNLIKELY</t>
        </is>
      </c>
      <c r="Z1208" s="195" t="inlineStr">
        <is>
          <t>CHECK_VENDOR</t>
        </is>
      </c>
      <c r="AA1208" s="196" t="inlineStr">
        <is>
          <t>https://nvd.nist.gov/vuln/detail/CVE-2026-2889</t>
        </is>
      </c>
      <c r="AB1208" s="195" t="inlineStr">
        <is>
          <t>NONE</t>
        </is>
      </c>
      <c r="AC1208" s="195" t="n">
        <v>0</v>
      </c>
      <c r="AD1208" s="195" t="n"/>
    </row>
    <row r="1209">
      <c r="A1209" s="191" t="inlineStr">
        <is>
          <t>CVE</t>
        </is>
      </c>
      <c r="B1209" s="191" t="inlineStr">
        <is>
          <t>CVE-2026-2894</t>
        </is>
      </c>
      <c r="C1209" s="191" t="inlineStr">
        <is>
          <t>A vulnerability was identified in funadmin up to 7.1.0-rc4. Affected by this vulnerability is the function getMember of the file app/frontend/view/login/forget.html. Such manipulation leads to information disclosure. The attack may be launched remotely. The exploit is publicly available and might be used. The vendor was contacted early about this disclosure but did not respond in any way.</t>
        </is>
      </c>
      <c r="D1209" s="191" t="n">
        <v>5.3</v>
      </c>
      <c r="E1209" s="191" t="inlineStr">
        <is>
          <t>MEDIUM</t>
        </is>
      </c>
      <c r="F1209" s="191" t="n">
        <v>2</v>
      </c>
      <c r="G1209" s="191" t="n">
        <v>2</v>
      </c>
      <c r="H1209" s="191" t="inlineStr">
        <is>
          <t>MEDIUM</t>
        </is>
      </c>
      <c r="I1209" s="191" t="n">
        <v>9.300000000000001</v>
      </c>
      <c r="J1209" s="191" t="inlineStr">
        <is>
          <t>NO</t>
        </is>
      </c>
      <c r="K1209" s="192" t="inlineStr">
        <is>
          <t>https://nvd.nist.gov/vuln/detail/CVE-2026-2894</t>
        </is>
      </c>
      <c r="L1209" s="191" t="inlineStr">
        <is>
          <t>2026-02-23 23:48</t>
        </is>
      </c>
      <c r="M1209" s="191" t="inlineStr">
        <is>
          <t>CHECK_VENDOR</t>
        </is>
      </c>
      <c r="N1209" s="191" t="inlineStr">
        <is>
          <t>See NVD references</t>
        </is>
      </c>
      <c r="O1209" s="191" t="inlineStr">
        <is>
          <t>Apply vendor patches</t>
        </is>
      </c>
      <c r="P1209" s="191" t="inlineStr">
        <is>
          <t>See CVE details</t>
        </is>
      </c>
      <c r="Q1209" s="191" t="inlineStr">
        <is>
          <t>P4</t>
        </is>
      </c>
      <c r="R1209" s="191" t="inlineStr">
        <is>
          <t>📅 Schedule patch deployment within 30 days | 🔍 Monitor for exploitation attempts</t>
        </is>
      </c>
      <c r="S1209" s="191" t="inlineStr">
        <is>
          <t>CVE - IP enrichment n/a</t>
        </is>
      </c>
      <c r="T1209" s="191" t="n">
        <v>0</v>
      </c>
      <c r="U1209" s="191" t="n">
        <v>0</v>
      </c>
      <c r="V1209" s="191" t="inlineStr">
        <is>
          <t>T1213:Data from Information Repositories</t>
        </is>
      </c>
      <c r="W1209" s="191" t="n">
        <v>1</v>
      </c>
      <c r="X1209" s="191" t="inlineStr">
        <is>
          <t>LOW (40%)</t>
        </is>
      </c>
      <c r="Y1209" s="191" t="inlineStr">
        <is>
          <t>UNLIKELY</t>
        </is>
      </c>
      <c r="Z1209" s="191" t="inlineStr">
        <is>
          <t>CHECK_VENDOR</t>
        </is>
      </c>
      <c r="AA1209" s="192" t="inlineStr">
        <is>
          <t>https://nvd.nist.gov/vuln/detail/CVE-2026-2894</t>
        </is>
      </c>
      <c r="AB1209" s="191" t="inlineStr">
        <is>
          <t>NONE</t>
        </is>
      </c>
      <c r="AC1209" s="191" t="n">
        <v>0</v>
      </c>
      <c r="AD1209" s="191" t="n"/>
    </row>
    <row r="1210">
      <c r="A1210" s="195" t="inlineStr">
        <is>
          <t>CVE</t>
        </is>
      </c>
      <c r="B1210" s="195" t="inlineStr">
        <is>
          <t>CVE-2026-2895</t>
        </is>
      </c>
      <c r="C1210" s="195" t="inlineStr">
        <is>
          <t>A security flaw has been discovered in funadmin up to 7.1.0-rc4. Affected by this issue is the function repass of the file app/frontend/controller/Member.php. Performing a manipulation of the argument forget_code/vercode results in weak password recovery. Remote exploitation of the attack is possible. The attack's complexity is rated as high. The exploitation is known to be difficult. The exploit has been released to the public and may be used for attacks. The vendor was contacted early about th</t>
        </is>
      </c>
      <c r="D1210" s="195" t="n">
        <v>3.7</v>
      </c>
      <c r="E1210" s="195" t="inlineStr">
        <is>
          <t>LOW</t>
        </is>
      </c>
      <c r="F1210" s="195" t="n">
        <v>2</v>
      </c>
      <c r="G1210" s="195" t="n">
        <v>1</v>
      </c>
      <c r="H1210" s="195" t="inlineStr">
        <is>
          <t>LOW</t>
        </is>
      </c>
      <c r="I1210" s="195" t="n">
        <v>5.7</v>
      </c>
      <c r="J1210" s="195" t="inlineStr">
        <is>
          <t>NO</t>
        </is>
      </c>
      <c r="K1210" s="196" t="inlineStr">
        <is>
          <t>https://nvd.nist.gov/vuln/detail/CVE-2026-2895</t>
        </is>
      </c>
      <c r="L1210" s="195" t="inlineStr">
        <is>
          <t>2026-02-23 23:48</t>
        </is>
      </c>
      <c r="M1210" s="195" t="inlineStr">
        <is>
          <t>CHECK_VENDOR</t>
        </is>
      </c>
      <c r="N1210" s="195" t="inlineStr">
        <is>
          <t>See NVD references</t>
        </is>
      </c>
      <c r="O1210" s="195" t="inlineStr">
        <is>
          <t>Apply vendor patches</t>
        </is>
      </c>
      <c r="P1210" s="195" t="inlineStr">
        <is>
          <t>See CVE details</t>
        </is>
      </c>
      <c r="Q1210" s="195" t="inlineStr">
        <is>
          <t>P4</t>
        </is>
      </c>
      <c r="R1210" s="195" t="inlineStr">
        <is>
          <t>📅 Schedule patch deployment within 30 days | 🔍 Monitor for exploitation attempts</t>
        </is>
      </c>
      <c r="S1210" s="195" t="inlineStr">
        <is>
          <t>CVE - IP enrichment n/a</t>
        </is>
      </c>
      <c r="T1210" s="195" t="n">
        <v>0</v>
      </c>
      <c r="U1210" s="195" t="n">
        <v>0</v>
      </c>
      <c r="V1210" s="195" t="inlineStr">
        <is>
          <t>T1190:Exploit Public-Facing Application</t>
        </is>
      </c>
      <c r="W1210" s="195" t="n">
        <v>1</v>
      </c>
      <c r="X1210" s="195" t="inlineStr">
        <is>
          <t>LOW (40%)</t>
        </is>
      </c>
      <c r="Y1210" s="195" t="inlineStr">
        <is>
          <t>UNLIKELY</t>
        </is>
      </c>
      <c r="Z1210" s="195" t="inlineStr">
        <is>
          <t>CHECK_VENDOR</t>
        </is>
      </c>
      <c r="AA1210" s="196" t="inlineStr">
        <is>
          <t>https://nvd.nist.gov/vuln/detail/CVE-2026-2895</t>
        </is>
      </c>
      <c r="AB1210" s="195" t="inlineStr">
        <is>
          <t>NONE</t>
        </is>
      </c>
      <c r="AC1210" s="195" t="n">
        <v>0</v>
      </c>
      <c r="AD1210" s="195" t="n"/>
    </row>
    <row r="1211">
      <c r="A1211" s="189" t="inlineStr">
        <is>
          <t>CVE</t>
        </is>
      </c>
      <c r="B1211" s="189" t="inlineStr">
        <is>
          <t>CVE-2026-2896</t>
        </is>
      </c>
      <c r="C1211" s="189" t="inlineStr">
        <is>
          <t>A weakness has been identified in funadmin up to 7.1.0-rc4. This affects the function setConfig of the file app/backend/controller/Ajax.php of the component Configuration Handler. Executing a manipulation can lead to improper authorization. The attack can be executed remotely. The exploit has been made available to the public and could be used for attacks. The vendor was contacted early about this disclosure but did not respond in any way.</t>
        </is>
      </c>
      <c r="D1211" s="189" t="n">
        <v>7.3</v>
      </c>
      <c r="E1211" s="189" t="inlineStr">
        <is>
          <t>HIGH</t>
        </is>
      </c>
      <c r="F1211" s="189" t="n">
        <v>2</v>
      </c>
      <c r="G1211" s="189" t="n">
        <v>3</v>
      </c>
      <c r="H1211" s="189" t="inlineStr">
        <is>
          <t>HIGH</t>
        </is>
      </c>
      <c r="I1211" s="189" t="n">
        <v>13.3</v>
      </c>
      <c r="J1211" s="189" t="inlineStr">
        <is>
          <t>NO</t>
        </is>
      </c>
      <c r="K1211" s="190" t="inlineStr">
        <is>
          <t>https://nvd.nist.gov/vuln/detail/CVE-2026-2896</t>
        </is>
      </c>
      <c r="L1211" s="189" t="inlineStr">
        <is>
          <t>2026-02-23 23:48</t>
        </is>
      </c>
      <c r="M1211" s="189" t="inlineStr">
        <is>
          <t>CHECK_VENDOR</t>
        </is>
      </c>
      <c r="N1211" s="189" t="inlineStr">
        <is>
          <t>See NVD references</t>
        </is>
      </c>
      <c r="O1211" s="189" t="inlineStr">
        <is>
          <t>Apply vendor patches</t>
        </is>
      </c>
      <c r="P1211" s="189" t="inlineStr">
        <is>
          <t>See CVE details</t>
        </is>
      </c>
      <c r="Q1211" s="189" t="inlineStr">
        <is>
          <t>P3</t>
        </is>
      </c>
      <c r="R1211" s="189" t="inlineStr">
        <is>
          <t>🚨 URGENT: Apply vendor patches immediately | 🔒 Isolate affected systems if patch unavailable | 🛡️ Enable additional monitoring/IDS rules</t>
        </is>
      </c>
      <c r="S1211" s="189" t="inlineStr">
        <is>
          <t>CVE - IP enrichment n/a</t>
        </is>
      </c>
      <c r="T1211" s="189" t="n">
        <v>0</v>
      </c>
      <c r="U1211" s="189" t="n">
        <v>0</v>
      </c>
      <c r="V1211" s="189" t="inlineStr">
        <is>
          <t>T1190:Exploit Public-Facing Application</t>
        </is>
      </c>
      <c r="W1211" s="189" t="n">
        <v>1</v>
      </c>
      <c r="X1211" s="189" t="inlineStr">
        <is>
          <t>LOW (40%)</t>
        </is>
      </c>
      <c r="Y1211" s="189" t="inlineStr">
        <is>
          <t>UNLIKELY</t>
        </is>
      </c>
      <c r="Z1211" s="189" t="inlineStr">
        <is>
          <t>CHECK_VENDOR</t>
        </is>
      </c>
      <c r="AA1211" s="190" t="inlineStr">
        <is>
          <t>https://nvd.nist.gov/vuln/detail/CVE-2026-2896</t>
        </is>
      </c>
      <c r="AB1211" s="189" t="inlineStr">
        <is>
          <t>NONE</t>
        </is>
      </c>
      <c r="AC1211" s="189" t="n">
        <v>0</v>
      </c>
      <c r="AD1211" s="189" t="n"/>
    </row>
    <row r="1212">
      <c r="A1212" s="195" t="inlineStr">
        <is>
          <t>CVE</t>
        </is>
      </c>
      <c r="B1212" s="195" t="inlineStr">
        <is>
          <t>CVE-2026-2897</t>
        </is>
      </c>
      <c r="C1212" s="195" t="inlineStr">
        <is>
          <t>A security vulnerability has been detected in funadmin up to 7.1.0-rc4. This vulnerability affects unknown code of the file app/backend/view/index/index.html of the component Backend Interface. The manipulation of the argument Value leads to cross site scripting. The attack is possible to be carried out remotely. The exploit has been disclosed publicly and may be used. The vendor was contacted early about this disclosure but did not respond in any way.</t>
        </is>
      </c>
      <c r="D1212" s="195" t="n">
        <v>2.4</v>
      </c>
      <c r="E1212" s="195" t="inlineStr">
        <is>
          <t>LOW</t>
        </is>
      </c>
      <c r="F1212" s="195" t="n">
        <v>2</v>
      </c>
      <c r="G1212" s="195" t="n">
        <v>1</v>
      </c>
      <c r="H1212" s="195" t="inlineStr">
        <is>
          <t>LOW</t>
        </is>
      </c>
      <c r="I1212" s="195" t="n">
        <v>4.4</v>
      </c>
      <c r="J1212" s="195" t="inlineStr">
        <is>
          <t>NO</t>
        </is>
      </c>
      <c r="K1212" s="196" t="inlineStr">
        <is>
          <t>https://nvd.nist.gov/vuln/detail/CVE-2026-2897</t>
        </is>
      </c>
      <c r="L1212" s="195" t="inlineStr">
        <is>
          <t>2026-02-23 23:48</t>
        </is>
      </c>
      <c r="M1212" s="195" t="inlineStr">
        <is>
          <t>CHECK_VENDOR</t>
        </is>
      </c>
      <c r="N1212" s="195" t="inlineStr">
        <is>
          <t>See NVD references</t>
        </is>
      </c>
      <c r="O1212" s="195" t="inlineStr">
        <is>
          <t>Apply vendor patches</t>
        </is>
      </c>
      <c r="P1212" s="195" t="inlineStr">
        <is>
          <t>See CVE details</t>
        </is>
      </c>
      <c r="Q1212" s="195" t="inlineStr">
        <is>
          <t>P4</t>
        </is>
      </c>
      <c r="R1212" s="195" t="inlineStr">
        <is>
          <t>📅 Schedule patch deployment within 30 days | 🔍 Monitor for exploitation attempts</t>
        </is>
      </c>
      <c r="S1212" s="195" t="inlineStr">
        <is>
          <t>CVE - IP enrichment n/a</t>
        </is>
      </c>
      <c r="T1212" s="195" t="n">
        <v>0.0003</v>
      </c>
      <c r="U1212" s="195" t="n">
        <v>0.08599999999999999</v>
      </c>
      <c r="V1212" s="195" t="inlineStr">
        <is>
          <t>T1189:Drive-by Compromise</t>
        </is>
      </c>
      <c r="W1212" s="195" t="n">
        <v>1</v>
      </c>
      <c r="X1212" s="195" t="inlineStr">
        <is>
          <t>LOW (40%)</t>
        </is>
      </c>
      <c r="Y1212" s="195" t="inlineStr">
        <is>
          <t>UNLIKELY</t>
        </is>
      </c>
      <c r="Z1212" s="195" t="inlineStr">
        <is>
          <t>CHECK_VENDOR</t>
        </is>
      </c>
      <c r="AA1212" s="196" t="inlineStr">
        <is>
          <t>https://nvd.nist.gov/vuln/detail/CVE-2026-2897</t>
        </is>
      </c>
      <c r="AB1212" s="195" t="inlineStr">
        <is>
          <t>NONE</t>
        </is>
      </c>
      <c r="AC1212" s="195" t="n">
        <v>0</v>
      </c>
      <c r="AD1212" s="195" t="n"/>
    </row>
    <row r="1213">
      <c r="A1213" s="191" t="inlineStr">
        <is>
          <t>CVE</t>
        </is>
      </c>
      <c r="B1213" s="191" t="inlineStr">
        <is>
          <t>CVE-2026-2898</t>
        </is>
      </c>
      <c r="C1213" s="191" t="inlineStr">
        <is>
          <t>A vulnerability was detected in funadmin up to 7.1.0-rc4. This issue affects the function getMember of the file app/common/service/AuthCloudService.php of the component Backend Endpoint. The manipulation of the argument cloud_account results in deserialization. The attack may be performed from remote. The exploit is now public and may be used. The vendor was contacted early about this disclosure but did not respond in any way.</t>
        </is>
      </c>
      <c r="D1213" s="191" t="n">
        <v>5.5</v>
      </c>
      <c r="E1213" s="191" t="inlineStr">
        <is>
          <t>MEDIUM</t>
        </is>
      </c>
      <c r="F1213" s="191" t="n">
        <v>2</v>
      </c>
      <c r="G1213" s="191" t="n">
        <v>2</v>
      </c>
      <c r="H1213" s="191" t="inlineStr">
        <is>
          <t>MEDIUM</t>
        </is>
      </c>
      <c r="I1213" s="191" t="n">
        <v>9.5</v>
      </c>
      <c r="J1213" s="191" t="inlineStr">
        <is>
          <t>NO</t>
        </is>
      </c>
      <c r="K1213" s="192" t="inlineStr">
        <is>
          <t>https://nvd.nist.gov/vuln/detail/CVE-2026-2898</t>
        </is>
      </c>
      <c r="L1213" s="191" t="inlineStr">
        <is>
          <t>2026-02-23 23:48</t>
        </is>
      </c>
      <c r="M1213" s="191" t="inlineStr">
        <is>
          <t>CHECK_VENDOR</t>
        </is>
      </c>
      <c r="N1213" s="191" t="inlineStr">
        <is>
          <t>See NVD references</t>
        </is>
      </c>
      <c r="O1213" s="191" t="inlineStr">
        <is>
          <t>Apply vendor patches</t>
        </is>
      </c>
      <c r="P1213" s="191" t="inlineStr">
        <is>
          <t>See CVE details</t>
        </is>
      </c>
      <c r="Q1213" s="191" t="inlineStr">
        <is>
          <t>P4</t>
        </is>
      </c>
      <c r="R1213" s="191" t="inlineStr">
        <is>
          <t>📅 Schedule patch deployment within 30 days | 🔍 Monitor for exploitation attempts</t>
        </is>
      </c>
      <c r="S1213" s="191" t="inlineStr">
        <is>
          <t>CVE - IP enrichment n/a</t>
        </is>
      </c>
      <c r="T1213" s="191" t="n">
        <v>0</v>
      </c>
      <c r="U1213" s="191" t="n">
        <v>0</v>
      </c>
      <c r="V1213" s="191" t="inlineStr">
        <is>
          <t>T1059:Command and Scripting Interpreter</t>
        </is>
      </c>
      <c r="W1213" s="191" t="n">
        <v>1</v>
      </c>
      <c r="X1213" s="191" t="inlineStr">
        <is>
          <t>LOW (40%)</t>
        </is>
      </c>
      <c r="Y1213" s="191" t="inlineStr">
        <is>
          <t>UNLIKELY</t>
        </is>
      </c>
      <c r="Z1213" s="191" t="inlineStr">
        <is>
          <t>CHECK_VENDOR</t>
        </is>
      </c>
      <c r="AA1213" s="192" t="inlineStr">
        <is>
          <t>https://nvd.nist.gov/vuln/detail/CVE-2026-2898</t>
        </is>
      </c>
      <c r="AB1213" s="191" t="inlineStr">
        <is>
          <t>NONE</t>
        </is>
      </c>
      <c r="AC1213" s="191" t="n">
        <v>0</v>
      </c>
      <c r="AD1213" s="191" t="n"/>
    </row>
    <row r="1214">
      <c r="A1214" s="195" t="inlineStr">
        <is>
          <t>CVE</t>
        </is>
      </c>
      <c r="B1214" s="195" t="inlineStr">
        <is>
          <t>CVE-2026-2903</t>
        </is>
      </c>
      <c r="C1214" s="195" t="inlineStr">
        <is>
          <t>A flaw has been found in skvadrik re2c up to 4.4. Impacted is the function check_and_merge_special_rules of the file src/parse/ast.cc. This manipulation causes null pointer dereference. The attack can only be executed locally. The exploit has been published and may be used. Patch name: febeb977936f9519a25d9fbd10ff8256358cdb97. It is suggested to install a patch to address this issue.</t>
        </is>
      </c>
      <c r="D1214" s="195" t="n">
        <v>3.3</v>
      </c>
      <c r="E1214" s="195" t="inlineStr">
        <is>
          <t>LOW</t>
        </is>
      </c>
      <c r="F1214" s="195" t="n">
        <v>2</v>
      </c>
      <c r="G1214" s="195" t="n">
        <v>1</v>
      </c>
      <c r="H1214" s="195" t="inlineStr">
        <is>
          <t>LOW</t>
        </is>
      </c>
      <c r="I1214" s="195" t="n">
        <v>5.3</v>
      </c>
      <c r="J1214" s="195" t="inlineStr">
        <is>
          <t>NO</t>
        </is>
      </c>
      <c r="K1214" s="196" t="inlineStr">
        <is>
          <t>https://nvd.nist.gov/vuln/detail/CVE-2026-2903</t>
        </is>
      </c>
      <c r="L1214" s="195" t="inlineStr">
        <is>
          <t>2026-02-23 23:48</t>
        </is>
      </c>
      <c r="M1214" s="195" t="inlineStr">
        <is>
          <t>CHECK_VENDOR</t>
        </is>
      </c>
      <c r="N1214" s="195" t="inlineStr">
        <is>
          <t>See NVD references</t>
        </is>
      </c>
      <c r="O1214" s="195" t="inlineStr">
        <is>
          <t>Apply vendor patches</t>
        </is>
      </c>
      <c r="P1214" s="195" t="inlineStr">
        <is>
          <t>See CVE details</t>
        </is>
      </c>
      <c r="Q1214" s="195" t="inlineStr">
        <is>
          <t>P4</t>
        </is>
      </c>
      <c r="R1214" s="195" t="inlineStr">
        <is>
          <t>📅 Schedule patch deployment within 30 days | 🔍 Monitor for exploitation attempts</t>
        </is>
      </c>
      <c r="S1214" s="195" t="inlineStr">
        <is>
          <t>CVE - IP enrichment n/a</t>
        </is>
      </c>
      <c r="T1214" s="195" t="n">
        <v>0.0001</v>
      </c>
      <c r="U1214" s="195" t="n">
        <v>0.0199</v>
      </c>
      <c r="V1214" s="195" t="inlineStr">
        <is>
          <t>T1190:Exploit Public-Facing Application</t>
        </is>
      </c>
      <c r="W1214" s="195" t="n">
        <v>1</v>
      </c>
      <c r="X1214" s="195" t="inlineStr">
        <is>
          <t>LOW (40%)</t>
        </is>
      </c>
      <c r="Y1214" s="195" t="inlineStr">
        <is>
          <t>UNLIKELY</t>
        </is>
      </c>
      <c r="Z1214" s="195" t="inlineStr">
        <is>
          <t>CHECK_VENDOR</t>
        </is>
      </c>
      <c r="AA1214" s="196" t="inlineStr">
        <is>
          <t>https://nvd.nist.gov/vuln/detail/CVE-2026-2903</t>
        </is>
      </c>
      <c r="AB1214" s="195" t="inlineStr">
        <is>
          <t>NONE</t>
        </is>
      </c>
      <c r="AC1214" s="195" t="n">
        <v>0</v>
      </c>
      <c r="AD1214" s="195" t="n"/>
    </row>
    <row r="1215">
      <c r="A1215" s="189" t="inlineStr">
        <is>
          <t>CVE</t>
        </is>
      </c>
      <c r="B1215" s="189" t="inlineStr">
        <is>
          <t>CVE-2026-2904</t>
        </is>
      </c>
      <c r="C1215" s="189" t="inlineStr">
        <is>
          <t>A vulnerability was determined in UTT HiPER 810G 1.7.7-171114. This affects the function strcpy of the file /goform/ConfigExceptAli. Executing a manipulation can lead to buffer overflow. The attack can be launched remotely. The exploit has been publicly disclosed and may be utilized.</t>
        </is>
      </c>
      <c r="D1215" s="189" t="n">
        <v>8.800000000000001</v>
      </c>
      <c r="E1215" s="189" t="inlineStr">
        <is>
          <t>HIGH</t>
        </is>
      </c>
      <c r="F1215" s="189" t="n">
        <v>2</v>
      </c>
      <c r="G1215" s="189" t="n">
        <v>3</v>
      </c>
      <c r="H1215" s="189" t="inlineStr">
        <is>
          <t>HIGH</t>
        </is>
      </c>
      <c r="I1215" s="189" t="n">
        <v>14.8</v>
      </c>
      <c r="J1215" s="189" t="inlineStr">
        <is>
          <t>NO</t>
        </is>
      </c>
      <c r="K1215" s="190" t="inlineStr">
        <is>
          <t>https://nvd.nist.gov/vuln/detail/CVE-2026-2904</t>
        </is>
      </c>
      <c r="L1215" s="189" t="inlineStr">
        <is>
          <t>2026-02-23 23:48</t>
        </is>
      </c>
      <c r="M1215" s="189" t="inlineStr">
        <is>
          <t>CHECK_VENDOR</t>
        </is>
      </c>
      <c r="N1215" s="189" t="inlineStr">
        <is>
          <t>See NVD references</t>
        </is>
      </c>
      <c r="O1215" s="189" t="inlineStr">
        <is>
          <t>Apply vendor patches</t>
        </is>
      </c>
      <c r="P1215" s="189" t="inlineStr">
        <is>
          <t>See CVE details</t>
        </is>
      </c>
      <c r="Q1215" s="189" t="inlineStr">
        <is>
          <t>P3</t>
        </is>
      </c>
      <c r="R1215" s="189" t="inlineStr">
        <is>
          <t>🚨 URGENT: Apply vendor patches immediately | 🔒 Isolate affected systems if patch unavailable | 🛡️ Enable additional monitoring/IDS rules</t>
        </is>
      </c>
      <c r="S1215" s="189" t="inlineStr">
        <is>
          <t>CVE - IP enrichment n/a</t>
        </is>
      </c>
      <c r="T1215" s="189" t="n">
        <v>0</v>
      </c>
      <c r="U1215" s="189" t="n">
        <v>0</v>
      </c>
      <c r="V1215" s="189" t="inlineStr">
        <is>
          <t>T1203:Exploitation for Client Execution</t>
        </is>
      </c>
      <c r="W1215" s="189" t="n">
        <v>1</v>
      </c>
      <c r="X1215" s="189" t="inlineStr">
        <is>
          <t>LOW (40%)</t>
        </is>
      </c>
      <c r="Y1215" s="189" t="inlineStr">
        <is>
          <t>UNLIKELY</t>
        </is>
      </c>
      <c r="Z1215" s="189" t="inlineStr">
        <is>
          <t>CHECK_VENDOR</t>
        </is>
      </c>
      <c r="AA1215" s="190" t="inlineStr">
        <is>
          <t>https://nvd.nist.gov/vuln/detail/CVE-2026-2904</t>
        </is>
      </c>
      <c r="AB1215" s="189" t="inlineStr">
        <is>
          <t>NONE</t>
        </is>
      </c>
      <c r="AC1215" s="189" t="n">
        <v>0</v>
      </c>
      <c r="AD1215" s="189" t="n"/>
    </row>
    <row r="1216">
      <c r="A1216" s="189" t="inlineStr">
        <is>
          <t>CVE</t>
        </is>
      </c>
      <c r="B1216" s="189" t="inlineStr">
        <is>
          <t>CVE-2026-2905</t>
        </is>
      </c>
      <c r="C1216" s="189" t="inlineStr">
        <is>
          <t>A vulnerability was identified in Tenda HG9 300001138. This impacts an unknown function of the file /boaform/formWlanSetup of the component Wireless Configuration Endpoint. The manipulation of the argument ssid leads to stack-based buffer overflow. The attack may be initiated remotely. The exploit is publicly available and might be used.</t>
        </is>
      </c>
      <c r="D1216" s="189" t="n">
        <v>8.800000000000001</v>
      </c>
      <c r="E1216" s="189" t="inlineStr">
        <is>
          <t>HIGH</t>
        </is>
      </c>
      <c r="F1216" s="189" t="n">
        <v>2</v>
      </c>
      <c r="G1216" s="189" t="n">
        <v>3</v>
      </c>
      <c r="H1216" s="189" t="inlineStr">
        <is>
          <t>HIGH</t>
        </is>
      </c>
      <c r="I1216" s="189" t="n">
        <v>14.8</v>
      </c>
      <c r="J1216" s="189" t="inlineStr">
        <is>
          <t>NO</t>
        </is>
      </c>
      <c r="K1216" s="190" t="inlineStr">
        <is>
          <t>https://nvd.nist.gov/vuln/detail/CVE-2026-2905</t>
        </is>
      </c>
      <c r="L1216" s="189" t="inlineStr">
        <is>
          <t>2026-02-23 23:48</t>
        </is>
      </c>
      <c r="M1216" s="189" t="inlineStr">
        <is>
          <t>YES</t>
        </is>
      </c>
      <c r="N1216" s="190" t="inlineStr">
        <is>
          <t>https://github.com/QIU-DIE/cve-nneeww/issues/7</t>
        </is>
      </c>
      <c r="O1216" s="190" t="inlineStr">
        <is>
          <t>https://github.com/QIU-DIE/cve-nneeww/issues/7</t>
        </is>
      </c>
      <c r="P1216" s="189" t="inlineStr">
        <is>
          <t>tenda hg9_firmware 300001138 | tenda hg9 -</t>
        </is>
      </c>
      <c r="Q1216" s="189" t="inlineStr">
        <is>
          <t>P3</t>
        </is>
      </c>
      <c r="R1216" s="189" t="inlineStr">
        <is>
          <t>🚨 URGENT: Apply vendor patches immediately | 🔒 Isolate affected systems if patch unavailable | 🛡️ Enable additional monitoring/IDS rules</t>
        </is>
      </c>
      <c r="S1216" s="189" t="inlineStr">
        <is>
          <t>CVE - IP enrichment n/a</t>
        </is>
      </c>
      <c r="T1216" s="189" t="n">
        <v>0</v>
      </c>
      <c r="U1216" s="189" t="n">
        <v>0</v>
      </c>
      <c r="V1216" s="189" t="inlineStr">
        <is>
          <t>T1203:Exploitation for Client Execution</t>
        </is>
      </c>
      <c r="W1216" s="189" t="n">
        <v>1</v>
      </c>
      <c r="X1216" s="189" t="inlineStr">
        <is>
          <t>LOW (40%)</t>
        </is>
      </c>
      <c r="Y1216" s="189" t="inlineStr">
        <is>
          <t>UNLIKELY</t>
        </is>
      </c>
      <c r="Z1216" s="189" t="inlineStr">
        <is>
          <t>PATCH_AVAILABLE</t>
        </is>
      </c>
      <c r="AA1216" s="190" t="inlineStr">
        <is>
          <t>https://nvd.nist.gov/vuln/detail/CVE-2026-2905</t>
        </is>
      </c>
      <c r="AB1216" s="189" t="inlineStr">
        <is>
          <t>NONE</t>
        </is>
      </c>
      <c r="AC1216" s="189" t="n">
        <v>0</v>
      </c>
      <c r="AD1216" s="189" t="n"/>
    </row>
    <row r="1217">
      <c r="A1217" s="189" t="inlineStr">
        <is>
          <t>CVE</t>
        </is>
      </c>
      <c r="B1217" s="189" t="inlineStr">
        <is>
          <t>CVE-2026-2906</t>
        </is>
      </c>
      <c r="C1217" s="189" t="inlineStr">
        <is>
          <t>A security flaw has been discovered in Tenda HG9 300001138. Affected is an unknown function of the file /boaform/formSamba of the component Samba Configuration Endpoint. The manipulation of the argument sambaCap results in stack-based buffer overflow. The attack may be launched remotely. The exploit has been released to the public and may be used for attacks.</t>
        </is>
      </c>
      <c r="D1217" s="189" t="n">
        <v>8.800000000000001</v>
      </c>
      <c r="E1217" s="189" t="inlineStr">
        <is>
          <t>HIGH</t>
        </is>
      </c>
      <c r="F1217" s="189" t="n">
        <v>2</v>
      </c>
      <c r="G1217" s="189" t="n">
        <v>3</v>
      </c>
      <c r="H1217" s="189" t="inlineStr">
        <is>
          <t>HIGH</t>
        </is>
      </c>
      <c r="I1217" s="189" t="n">
        <v>14.8</v>
      </c>
      <c r="J1217" s="189" t="inlineStr">
        <is>
          <t>NO</t>
        </is>
      </c>
      <c r="K1217" s="190" t="inlineStr">
        <is>
          <t>https://nvd.nist.gov/vuln/detail/CVE-2026-2906</t>
        </is>
      </c>
      <c r="L1217" s="189" t="inlineStr">
        <is>
          <t>2026-02-23 23:48</t>
        </is>
      </c>
      <c r="M1217" s="189" t="inlineStr">
        <is>
          <t>YES</t>
        </is>
      </c>
      <c r="N1217" s="190" t="inlineStr">
        <is>
          <t>https://github.com/QIU-DIE/cve-nneeww/issues/8</t>
        </is>
      </c>
      <c r="O1217" s="190" t="inlineStr">
        <is>
          <t>https://github.com/QIU-DIE/cve-nneeww/issues/8</t>
        </is>
      </c>
      <c r="P1217" s="189" t="inlineStr">
        <is>
          <t>tenda hg9_firmware 300001138 | tenda hg9 -</t>
        </is>
      </c>
      <c r="Q1217" s="189" t="inlineStr">
        <is>
          <t>P3</t>
        </is>
      </c>
      <c r="R1217" s="189" t="inlineStr">
        <is>
          <t>🚨 URGENT: Apply vendor patches immediately | 🔒 Isolate affected systems if patch unavailable | 🛡️ Enable additional monitoring/IDS rules</t>
        </is>
      </c>
      <c r="S1217" s="189" t="inlineStr">
        <is>
          <t>CVE - IP enrichment n/a</t>
        </is>
      </c>
      <c r="T1217" s="189" t="n">
        <v>0</v>
      </c>
      <c r="U1217" s="189" t="n">
        <v>0</v>
      </c>
      <c r="V1217" s="189" t="inlineStr">
        <is>
          <t>T1203:Exploitation for Client Execution</t>
        </is>
      </c>
      <c r="W1217" s="189" t="n">
        <v>1</v>
      </c>
      <c r="X1217" s="189" t="inlineStr">
        <is>
          <t>LOW (40%)</t>
        </is>
      </c>
      <c r="Y1217" s="189" t="inlineStr">
        <is>
          <t>UNLIKELY</t>
        </is>
      </c>
      <c r="Z1217" s="189" t="inlineStr">
        <is>
          <t>PATCH_AVAILABLE</t>
        </is>
      </c>
      <c r="AA1217" s="190" t="inlineStr">
        <is>
          <t>https://nvd.nist.gov/vuln/detail/CVE-2026-2906</t>
        </is>
      </c>
      <c r="AB1217" s="189" t="inlineStr">
        <is>
          <t>NONE</t>
        </is>
      </c>
      <c r="AC1217" s="189" t="n">
        <v>0</v>
      </c>
      <c r="AD1217" s="189" t="n"/>
    </row>
    <row r="1218">
      <c r="A1218" s="189" t="inlineStr">
        <is>
          <t>CVE</t>
        </is>
      </c>
      <c r="B1218" s="189" t="inlineStr">
        <is>
          <t>CVE-2026-2907</t>
        </is>
      </c>
      <c r="C1218" s="189" t="inlineStr">
        <is>
          <t>A weakness has been identified in Tenda HG9 300001138. Affected by this vulnerability is an unknown functionality of the file /boaform/formgponConf of the component GPON Configuration Endpoint. This manipulation of the argument fmgpon_loid/fmgpon_loid_password causes stack-based buffer overflow. Remote exploitation of the attack is possible. The exploit has been made available to the public and could be used for attacks.</t>
        </is>
      </c>
      <c r="D1218" s="189" t="n">
        <v>8.800000000000001</v>
      </c>
      <c r="E1218" s="189" t="inlineStr">
        <is>
          <t>HIGH</t>
        </is>
      </c>
      <c r="F1218" s="189" t="n">
        <v>2</v>
      </c>
      <c r="G1218" s="189" t="n">
        <v>3</v>
      </c>
      <c r="H1218" s="189" t="inlineStr">
        <is>
          <t>HIGH</t>
        </is>
      </c>
      <c r="I1218" s="189" t="n">
        <v>14.8</v>
      </c>
      <c r="J1218" s="189" t="inlineStr">
        <is>
          <t>NO</t>
        </is>
      </c>
      <c r="K1218" s="190" t="inlineStr">
        <is>
          <t>https://nvd.nist.gov/vuln/detail/CVE-2026-2907</t>
        </is>
      </c>
      <c r="L1218" s="189" t="inlineStr">
        <is>
          <t>2026-02-23 23:48</t>
        </is>
      </c>
      <c r="M1218" s="189" t="inlineStr">
        <is>
          <t>YES</t>
        </is>
      </c>
      <c r="N1218" s="190" t="inlineStr">
        <is>
          <t>https://github.com/QIU-DIE/cve-nneeww/issues/9</t>
        </is>
      </c>
      <c r="O1218" s="190" t="inlineStr">
        <is>
          <t>https://github.com/QIU-DIE/cve-nneeww/issues/9</t>
        </is>
      </c>
      <c r="P1218" s="189" t="inlineStr">
        <is>
          <t>tenda hg9_firmware 300001138 | tenda hg9 -</t>
        </is>
      </c>
      <c r="Q1218" s="189" t="inlineStr">
        <is>
          <t>P3</t>
        </is>
      </c>
      <c r="R1218" s="189" t="inlineStr">
        <is>
          <t>🚨 URGENT: Apply vendor patches immediately | 🔒 Isolate affected systems if patch unavailable | 🛡️ Enable additional monitoring/IDS rules</t>
        </is>
      </c>
      <c r="S1218" s="189" t="inlineStr">
        <is>
          <t>CVE - IP enrichment n/a</t>
        </is>
      </c>
      <c r="T1218" s="189" t="n">
        <v>0</v>
      </c>
      <c r="U1218" s="189" t="n">
        <v>0</v>
      </c>
      <c r="V1218" s="189" t="inlineStr">
        <is>
          <t>T1203:Exploitation for Client Execution</t>
        </is>
      </c>
      <c r="W1218" s="189" t="n">
        <v>1</v>
      </c>
      <c r="X1218" s="189" t="inlineStr">
        <is>
          <t>LOW (40%)</t>
        </is>
      </c>
      <c r="Y1218" s="189" t="inlineStr">
        <is>
          <t>UNLIKELY</t>
        </is>
      </c>
      <c r="Z1218" s="189" t="inlineStr">
        <is>
          <t>PATCH_AVAILABLE</t>
        </is>
      </c>
      <c r="AA1218" s="190" t="inlineStr">
        <is>
          <t>https://nvd.nist.gov/vuln/detail/CVE-2026-2907</t>
        </is>
      </c>
      <c r="AB1218" s="189" t="inlineStr">
        <is>
          <t>NONE</t>
        </is>
      </c>
      <c r="AC1218" s="189" t="n">
        <v>0</v>
      </c>
      <c r="AD1218" s="189" t="n"/>
    </row>
    <row r="1219">
      <c r="A1219" s="189" t="inlineStr">
        <is>
          <t>CVE</t>
        </is>
      </c>
      <c r="B1219" s="189" t="inlineStr">
        <is>
          <t>CVE-2026-2908</t>
        </is>
      </c>
      <c r="C1219" s="189" t="inlineStr">
        <is>
          <t>A security vulnerability has been detected in Tenda HG9 300001138. Affected by this issue is some unknown functionality of the file /boaform/formLoopBack of the component Loopback Detection Configuration Endpoint. Such manipulation of the argument Ethtype leads to stack-based buffer overflow. The attack can be executed remotely. The exploit has been disclosed publicly and may be used.</t>
        </is>
      </c>
      <c r="D1219" s="189" t="n">
        <v>8.800000000000001</v>
      </c>
      <c r="E1219" s="189" t="inlineStr">
        <is>
          <t>HIGH</t>
        </is>
      </c>
      <c r="F1219" s="189" t="n">
        <v>2</v>
      </c>
      <c r="G1219" s="189" t="n">
        <v>3</v>
      </c>
      <c r="H1219" s="189" t="inlineStr">
        <is>
          <t>HIGH</t>
        </is>
      </c>
      <c r="I1219" s="189" t="n">
        <v>14.8</v>
      </c>
      <c r="J1219" s="189" t="inlineStr">
        <is>
          <t>NO</t>
        </is>
      </c>
      <c r="K1219" s="190" t="inlineStr">
        <is>
          <t>https://nvd.nist.gov/vuln/detail/CVE-2026-2908</t>
        </is>
      </c>
      <c r="L1219" s="189" t="inlineStr">
        <is>
          <t>2026-02-23 23:48</t>
        </is>
      </c>
      <c r="M1219" s="189" t="inlineStr">
        <is>
          <t>YES</t>
        </is>
      </c>
      <c r="N1219" s="190" t="inlineStr">
        <is>
          <t>https://github.com/QIU-DIE/cve-nneeww/issues/10</t>
        </is>
      </c>
      <c r="O1219" s="190" t="inlineStr">
        <is>
          <t>https://github.com/QIU-DIE/cve-nneeww/issues/10</t>
        </is>
      </c>
      <c r="P1219" s="189" t="inlineStr">
        <is>
          <t>tenda hg9_firmware 300001138 | tenda hg9 -</t>
        </is>
      </c>
      <c r="Q1219" s="189" t="inlineStr">
        <is>
          <t>P3</t>
        </is>
      </c>
      <c r="R1219" s="189" t="inlineStr">
        <is>
          <t>🚨 URGENT: Apply vendor patches immediately | 🔒 Isolate affected systems if patch unavailable | 🛡️ Enable additional monitoring/IDS rules</t>
        </is>
      </c>
      <c r="S1219" s="189" t="inlineStr">
        <is>
          <t>CVE - IP enrichment n/a</t>
        </is>
      </c>
      <c r="T1219" s="189" t="n">
        <v>0</v>
      </c>
      <c r="U1219" s="189" t="n">
        <v>0</v>
      </c>
      <c r="V1219" s="189" t="inlineStr">
        <is>
          <t>T1203:Exploitation for Client Execution</t>
        </is>
      </c>
      <c r="W1219" s="189" t="n">
        <v>1</v>
      </c>
      <c r="X1219" s="189" t="inlineStr">
        <is>
          <t>LOW (40%)</t>
        </is>
      </c>
      <c r="Y1219" s="189" t="inlineStr">
        <is>
          <t>UNLIKELY</t>
        </is>
      </c>
      <c r="Z1219" s="189" t="inlineStr">
        <is>
          <t>PATCH_AVAILABLE</t>
        </is>
      </c>
      <c r="AA1219" s="190" t="inlineStr">
        <is>
          <t>https://nvd.nist.gov/vuln/detail/CVE-2026-2908</t>
        </is>
      </c>
      <c r="AB1219" s="189" t="inlineStr">
        <is>
          <t>NONE</t>
        </is>
      </c>
      <c r="AC1219" s="189" t="n">
        <v>0</v>
      </c>
      <c r="AD1219" s="189" t="n"/>
    </row>
    <row r="1220">
      <c r="A1220" s="189" t="inlineStr">
        <is>
          <t>CVE</t>
        </is>
      </c>
      <c r="B1220" s="189" t="inlineStr">
        <is>
          <t>CVE-2026-2909</t>
        </is>
      </c>
      <c r="C1220" s="189" t="inlineStr">
        <is>
          <t>A vulnerability was detected in Tenda HG9 300001138. This affects an unknown part of the file /boaform/formPing of the component Diagnostic Ping Endpoint. Performing a manipulation of the argument pingAddr results in stack-based buffer overflow. The attack is possible to be carried out remotely. The exploit is now public and may be used.</t>
        </is>
      </c>
      <c r="D1220" s="189" t="n">
        <v>8.800000000000001</v>
      </c>
      <c r="E1220" s="189" t="inlineStr">
        <is>
          <t>HIGH</t>
        </is>
      </c>
      <c r="F1220" s="189" t="n">
        <v>2</v>
      </c>
      <c r="G1220" s="189" t="n">
        <v>3</v>
      </c>
      <c r="H1220" s="189" t="inlineStr">
        <is>
          <t>HIGH</t>
        </is>
      </c>
      <c r="I1220" s="189" t="n">
        <v>14.8</v>
      </c>
      <c r="J1220" s="189" t="inlineStr">
        <is>
          <t>NO</t>
        </is>
      </c>
      <c r="K1220" s="190" t="inlineStr">
        <is>
          <t>https://nvd.nist.gov/vuln/detail/CVE-2026-2909</t>
        </is>
      </c>
      <c r="L1220" s="189" t="inlineStr">
        <is>
          <t>2026-02-23 23:48</t>
        </is>
      </c>
      <c r="M1220" s="189" t="inlineStr">
        <is>
          <t>YES</t>
        </is>
      </c>
      <c r="N1220" s="190" t="inlineStr">
        <is>
          <t>https://github.com/QIU-DIE/cve-nneeww/issues/11</t>
        </is>
      </c>
      <c r="O1220" s="190" t="inlineStr">
        <is>
          <t>https://github.com/QIU-DIE/cve-nneeww/issues/11</t>
        </is>
      </c>
      <c r="P1220" s="189" t="inlineStr">
        <is>
          <t>tenda hg9_firmware 300001138 | tenda hg9 -</t>
        </is>
      </c>
      <c r="Q1220" s="189" t="inlineStr">
        <is>
          <t>P3</t>
        </is>
      </c>
      <c r="R1220" s="189" t="inlineStr">
        <is>
          <t>🚨 URGENT: Apply vendor patches immediately | 🔒 Isolate affected systems if patch unavailable | 🛡️ Enable additional monitoring/IDS rules</t>
        </is>
      </c>
      <c r="S1220" s="189" t="inlineStr">
        <is>
          <t>CVE - IP enrichment n/a</t>
        </is>
      </c>
      <c r="T1220" s="189" t="n">
        <v>0.0005</v>
      </c>
      <c r="U1220" s="189" t="n">
        <v>0.1437</v>
      </c>
      <c r="V1220" s="189" t="inlineStr">
        <is>
          <t>T1203:Exploitation for Client Execution</t>
        </is>
      </c>
      <c r="W1220" s="189" t="n">
        <v>1</v>
      </c>
      <c r="X1220" s="189" t="inlineStr">
        <is>
          <t>LOW (40%)</t>
        </is>
      </c>
      <c r="Y1220" s="189" t="inlineStr">
        <is>
          <t>UNLIKELY</t>
        </is>
      </c>
      <c r="Z1220" s="189" t="inlineStr">
        <is>
          <t>PATCH_AVAILABLE</t>
        </is>
      </c>
      <c r="AA1220" s="190" t="inlineStr">
        <is>
          <t>https://nvd.nist.gov/vuln/detail/CVE-2026-2909</t>
        </is>
      </c>
      <c r="AB1220" s="189" t="inlineStr">
        <is>
          <t>NONE</t>
        </is>
      </c>
      <c r="AC1220" s="189" t="n">
        <v>0</v>
      </c>
      <c r="AD1220" s="189" t="n"/>
    </row>
    <row r="1221">
      <c r="A1221" s="189" t="inlineStr">
        <is>
          <t>CVE</t>
        </is>
      </c>
      <c r="B1221" s="189" t="inlineStr">
        <is>
          <t>CVE-2026-2910</t>
        </is>
      </c>
      <c r="C1221" s="189" t="inlineStr">
        <is>
          <t>A flaw has been found in Tenda HG9 300001138. This vulnerability affects unknown code of the file /boaform/formPing6. Executing a manipulation of the argument pingAddr can lead to stack-based buffer overflow. The attack may be performed from remote. The exploit has been published and may be used.</t>
        </is>
      </c>
      <c r="D1221" s="189" t="n">
        <v>8.800000000000001</v>
      </c>
      <c r="E1221" s="189" t="inlineStr">
        <is>
          <t>HIGH</t>
        </is>
      </c>
      <c r="F1221" s="189" t="n">
        <v>2</v>
      </c>
      <c r="G1221" s="189" t="n">
        <v>3</v>
      </c>
      <c r="H1221" s="189" t="inlineStr">
        <is>
          <t>HIGH</t>
        </is>
      </c>
      <c r="I1221" s="189" t="n">
        <v>14.8</v>
      </c>
      <c r="J1221" s="189" t="inlineStr">
        <is>
          <t>NO</t>
        </is>
      </c>
      <c r="K1221" s="190" t="inlineStr">
        <is>
          <t>https://nvd.nist.gov/vuln/detail/CVE-2026-2910</t>
        </is>
      </c>
      <c r="L1221" s="189" t="inlineStr">
        <is>
          <t>2026-02-23 23:48</t>
        </is>
      </c>
      <c r="M1221" s="189" t="inlineStr">
        <is>
          <t>YES</t>
        </is>
      </c>
      <c r="N1221" s="190" t="inlineStr">
        <is>
          <t>https://github.com/QIU-DIE/cve-nneeww/issues/12</t>
        </is>
      </c>
      <c r="O1221" s="190" t="inlineStr">
        <is>
          <t>https://github.com/QIU-DIE/cve-nneeww/issues/12</t>
        </is>
      </c>
      <c r="P1221" s="189" t="inlineStr">
        <is>
          <t>tenda hg9_firmware 300001138 | tenda hg9 -</t>
        </is>
      </c>
      <c r="Q1221" s="189" t="inlineStr">
        <is>
          <t>P3</t>
        </is>
      </c>
      <c r="R1221" s="189" t="inlineStr">
        <is>
          <t>🚨 URGENT: Apply vendor patches immediately | 🔒 Isolate affected systems if patch unavailable | 🛡️ Enable additional monitoring/IDS rules</t>
        </is>
      </c>
      <c r="S1221" s="189" t="inlineStr">
        <is>
          <t>CVE - IP enrichment n/a</t>
        </is>
      </c>
      <c r="T1221" s="189" t="n">
        <v>0</v>
      </c>
      <c r="U1221" s="189" t="n">
        <v>0</v>
      </c>
      <c r="V1221" s="189" t="inlineStr">
        <is>
          <t>T1203:Exploitation for Client Execution</t>
        </is>
      </c>
      <c r="W1221" s="189" t="n">
        <v>1</v>
      </c>
      <c r="X1221" s="189" t="inlineStr">
        <is>
          <t>LOW (40%)</t>
        </is>
      </c>
      <c r="Y1221" s="189" t="inlineStr">
        <is>
          <t>UNLIKELY</t>
        </is>
      </c>
      <c r="Z1221" s="189" t="inlineStr">
        <is>
          <t>PATCH_AVAILABLE</t>
        </is>
      </c>
      <c r="AA1221" s="190" t="inlineStr">
        <is>
          <t>https://nvd.nist.gov/vuln/detail/CVE-2026-2910</t>
        </is>
      </c>
      <c r="AB1221" s="189" t="inlineStr">
        <is>
          <t>NONE</t>
        </is>
      </c>
      <c r="AC1221" s="189" t="n">
        <v>0</v>
      </c>
      <c r="AD1221" s="189" t="n"/>
    </row>
    <row r="1222">
      <c r="A1222" s="189" t="inlineStr">
        <is>
          <t>CVE</t>
        </is>
      </c>
      <c r="B1222" s="189" t="inlineStr">
        <is>
          <t>CVE-2026-2911</t>
        </is>
      </c>
      <c r="C1222" s="189" t="inlineStr">
        <is>
          <t>A vulnerability has been found in Tenda FH451 up to 1.0.0.9. This issue affects some unknown processing of the file /goform/GstDhcpSetSer. The manipulation leads to buffer overflow. It is possible to initiate the attack remotely. The exploit has been disclosed to the public and may be used.</t>
        </is>
      </c>
      <c r="D1222" s="189" t="n">
        <v>8.800000000000001</v>
      </c>
      <c r="E1222" s="189" t="inlineStr">
        <is>
          <t>HIGH</t>
        </is>
      </c>
      <c r="F1222" s="189" t="n">
        <v>2</v>
      </c>
      <c r="G1222" s="189" t="n">
        <v>3</v>
      </c>
      <c r="H1222" s="189" t="inlineStr">
        <is>
          <t>HIGH</t>
        </is>
      </c>
      <c r="I1222" s="189" t="n">
        <v>14.8</v>
      </c>
      <c r="J1222" s="189" t="inlineStr">
        <is>
          <t>NO</t>
        </is>
      </c>
      <c r="K1222" s="190" t="inlineStr">
        <is>
          <t>https://nvd.nist.gov/vuln/detail/CVE-2026-2911</t>
        </is>
      </c>
      <c r="L1222" s="189" t="inlineStr">
        <is>
          <t>2026-02-23 23:48</t>
        </is>
      </c>
      <c r="M1222" s="189" t="inlineStr">
        <is>
          <t>CHECK_VENDOR</t>
        </is>
      </c>
      <c r="N1222" s="189" t="inlineStr">
        <is>
          <t>See NVD references</t>
        </is>
      </c>
      <c r="O1222" s="189" t="inlineStr">
        <is>
          <t>Apply vendor patches</t>
        </is>
      </c>
      <c r="P1222" s="189" t="inlineStr">
        <is>
          <t>tenda fh451_firmware 1.0.0.9 | tenda fh451 -</t>
        </is>
      </c>
      <c r="Q1222" s="189" t="inlineStr">
        <is>
          <t>P3</t>
        </is>
      </c>
      <c r="R1222" s="189" t="inlineStr">
        <is>
          <t>🚨 URGENT: Apply vendor patches immediately | 🔒 Isolate affected systems if patch unavailable | 🛡️ Enable additional monitoring/IDS rules</t>
        </is>
      </c>
      <c r="S1222" s="189" t="inlineStr">
        <is>
          <t>CVE - IP enrichment n/a</t>
        </is>
      </c>
      <c r="T1222" s="189" t="n">
        <v>0</v>
      </c>
      <c r="U1222" s="189" t="n">
        <v>0</v>
      </c>
      <c r="V1222" s="189" t="inlineStr">
        <is>
          <t>T1203:Exploitation for Client Execution</t>
        </is>
      </c>
      <c r="W1222" s="189" t="n">
        <v>1</v>
      </c>
      <c r="X1222" s="189" t="inlineStr">
        <is>
          <t>LOW (40%)</t>
        </is>
      </c>
      <c r="Y1222" s="189" t="inlineStr">
        <is>
          <t>UNLIKELY</t>
        </is>
      </c>
      <c r="Z1222" s="189" t="inlineStr">
        <is>
          <t>CHECK_VENDOR</t>
        </is>
      </c>
      <c r="AA1222" s="190" t="inlineStr">
        <is>
          <t>https://nvd.nist.gov/vuln/detail/CVE-2026-2911</t>
        </is>
      </c>
      <c r="AB1222" s="189" t="inlineStr">
        <is>
          <t>NONE</t>
        </is>
      </c>
      <c r="AC1222" s="189" t="n">
        <v>0</v>
      </c>
      <c r="AD1222" s="189" t="n"/>
    </row>
    <row r="1223">
      <c r="A1223" s="189" t="inlineStr">
        <is>
          <t>CVE</t>
        </is>
      </c>
      <c r="B1223" s="189" t="inlineStr">
        <is>
          <t>CVE-2026-2912</t>
        </is>
      </c>
      <c r="C1223" s="189" t="inlineStr">
        <is>
          <t>A vulnerability was found in code-projects Online Reviewer System 1.0. Impacted is an unknown function of the file /system/system/students/assessments/results/studentresult-view.php. The manipulation of the argument test_id results in sql injection. It is possible to launch the attack remotely. The exploit has been made public and could be used.</t>
        </is>
      </c>
      <c r="D1223" s="189" t="n">
        <v>7.3</v>
      </c>
      <c r="E1223" s="189" t="inlineStr">
        <is>
          <t>HIGH</t>
        </is>
      </c>
      <c r="F1223" s="189" t="n">
        <v>2</v>
      </c>
      <c r="G1223" s="189" t="n">
        <v>3</v>
      </c>
      <c r="H1223" s="189" t="inlineStr">
        <is>
          <t>HIGH</t>
        </is>
      </c>
      <c r="I1223" s="189" t="n">
        <v>13.3</v>
      </c>
      <c r="J1223" s="189" t="inlineStr">
        <is>
          <t>NO</t>
        </is>
      </c>
      <c r="K1223" s="190" t="inlineStr">
        <is>
          <t>https://nvd.nist.gov/vuln/detail/CVE-2026-2912</t>
        </is>
      </c>
      <c r="L1223" s="189" t="inlineStr">
        <is>
          <t>2026-02-23 23:48</t>
        </is>
      </c>
      <c r="M1223" s="189" t="inlineStr">
        <is>
          <t>CHECK_VENDOR</t>
        </is>
      </c>
      <c r="N1223" s="189" t="inlineStr">
        <is>
          <t>See NVD references</t>
        </is>
      </c>
      <c r="O1223" s="189" t="inlineStr">
        <is>
          <t>Apply vendor patches</t>
        </is>
      </c>
      <c r="P1223" s="189" t="inlineStr">
        <is>
          <t>fabian online_reviewer_system 1.0</t>
        </is>
      </c>
      <c r="Q1223" s="189" t="inlineStr">
        <is>
          <t>P3</t>
        </is>
      </c>
      <c r="R1223" s="189" t="inlineStr">
        <is>
          <t>🚨 URGENT: Apply vendor patches immediately | 🔒 Isolate affected systems if patch unavailable | 🛡️ Enable additional monitoring/IDS rules</t>
        </is>
      </c>
      <c r="S1223" s="189" t="inlineStr">
        <is>
          <t>CVE - IP enrichment n/a</t>
        </is>
      </c>
      <c r="T1223" s="189" t="n">
        <v>0</v>
      </c>
      <c r="U1223" s="189" t="n">
        <v>0</v>
      </c>
      <c r="V1223" s="189" t="inlineStr">
        <is>
          <t>T1190:Exploit Public-Facing Application</t>
        </is>
      </c>
      <c r="W1223" s="189" t="n">
        <v>1</v>
      </c>
      <c r="X1223" s="189" t="inlineStr">
        <is>
          <t>LOW (40%)</t>
        </is>
      </c>
      <c r="Y1223" s="189" t="inlineStr">
        <is>
          <t>UNLIKELY</t>
        </is>
      </c>
      <c r="Z1223" s="189" t="inlineStr">
        <is>
          <t>CHECK_VENDOR</t>
        </is>
      </c>
      <c r="AA1223" s="190" t="inlineStr">
        <is>
          <t>https://nvd.nist.gov/vuln/detail/CVE-2026-2912</t>
        </is>
      </c>
      <c r="AB1223" s="189" t="inlineStr">
        <is>
          <t>NONE</t>
        </is>
      </c>
      <c r="AC1223" s="189" t="n">
        <v>0</v>
      </c>
      <c r="AD1223" s="189" t="n"/>
    </row>
    <row r="1224">
      <c r="A1224" s="195" t="inlineStr">
        <is>
          <t>CVE</t>
        </is>
      </c>
      <c r="B1224" s="195" t="inlineStr">
        <is>
          <t>CVE-2026-2913</t>
        </is>
      </c>
      <c r="C1224" s="195" t="inlineStr">
        <is>
          <t>A vulnerability was determined in libvips up to 8.19.0. The affected element is the function vips_source_read_to_memory of the file libvips/iofuncs/source.c. This manipulation causes heap-based buffer overflow. It is possible to launch the attack on the local host. The attack's complexity is rated as high. The exploitability is described as difficult. The exploit has been publicly disclosed and may be utilized. Patch name: a56feecbe9ed66521d9647ec9fbcd2546eccd7ee. Applying a patch is the recomme</t>
        </is>
      </c>
      <c r="D1224" s="195" t="n">
        <v>2.5</v>
      </c>
      <c r="E1224" s="195" t="inlineStr">
        <is>
          <t>LOW</t>
        </is>
      </c>
      <c r="F1224" s="195" t="n">
        <v>2</v>
      </c>
      <c r="G1224" s="195" t="n">
        <v>1</v>
      </c>
      <c r="H1224" s="195" t="inlineStr">
        <is>
          <t>LOW</t>
        </is>
      </c>
      <c r="I1224" s="195" t="n">
        <v>4.5</v>
      </c>
      <c r="J1224" s="195" t="inlineStr">
        <is>
          <t>NO</t>
        </is>
      </c>
      <c r="K1224" s="196" t="inlineStr">
        <is>
          <t>https://nvd.nist.gov/vuln/detail/CVE-2026-2913</t>
        </is>
      </c>
      <c r="L1224" s="195" t="inlineStr">
        <is>
          <t>2026-02-23 23:48</t>
        </is>
      </c>
      <c r="M1224" s="195" t="inlineStr">
        <is>
          <t>CHECK_VENDOR</t>
        </is>
      </c>
      <c r="N1224" s="195" t="inlineStr">
        <is>
          <t>See NVD references</t>
        </is>
      </c>
      <c r="O1224" s="195" t="inlineStr">
        <is>
          <t>Apply vendor patches</t>
        </is>
      </c>
      <c r="P1224" s="195" t="inlineStr">
        <is>
          <t>See CVE details</t>
        </is>
      </c>
      <c r="Q1224" s="195" t="inlineStr">
        <is>
          <t>P1</t>
        </is>
      </c>
      <c r="R1224" s="195" t="inlineStr">
        <is>
          <t>📅 Schedule patch deployment within 30 days | 🔍 Monitor for exploitation attempts</t>
        </is>
      </c>
      <c r="S1224" s="195" t="inlineStr">
        <is>
          <t>CVE - IP enrichment n/a</t>
        </is>
      </c>
      <c r="T1224" s="195" t="n">
        <v>0</v>
      </c>
      <c r="U1224" s="195" t="n">
        <v>0</v>
      </c>
      <c r="V1224" s="195" t="inlineStr">
        <is>
          <t>T1203:Exploitation for Client Execution | T1190:Exploit Public-Facing Application</t>
        </is>
      </c>
      <c r="W1224" s="195" t="n">
        <v>2</v>
      </c>
      <c r="X1224" s="195" t="inlineStr">
        <is>
          <t>HIGH (72%)</t>
        </is>
      </c>
      <c r="Y1224" s="195" t="inlineStr">
        <is>
          <t>HIGH</t>
        </is>
      </c>
      <c r="Z1224" s="195" t="inlineStr">
        <is>
          <t>CHECK_VENDOR</t>
        </is>
      </c>
      <c r="AA1224" s="196" t="inlineStr">
        <is>
          <t>https://nvd.nist.gov/vuln/detail/CVE-2026-2913</t>
        </is>
      </c>
      <c r="AB1224" s="196" t="inlineStr">
        <is>
          <t>http://www.zerodayinitiative.com/advisories/ZDI-26-123/</t>
        </is>
      </c>
      <c r="AC1224" s="195" t="n">
        <v>0</v>
      </c>
      <c r="AD1224" s="195" t="n"/>
    </row>
    <row r="1225">
      <c r="A1225" s="189" t="inlineStr">
        <is>
          <t>CVE</t>
        </is>
      </c>
      <c r="B1225" s="189" t="inlineStr">
        <is>
          <t>CVE-2026-2925</t>
        </is>
      </c>
      <c r="C1225" s="189" t="inlineStr">
        <is>
          <t>A vulnerability was detected in D-Link DWR-M960 1.01.07. Affected by this issue is the function sub_42B5A0 of the file /boafrm/formBridgeVlan of the component Bridge VLAN Configuration Endpoint. Performing a manipulation of the argument submit-url results in stack-based buffer overflow. The attack can be initiated remotely. The exploit is now public and may be used.</t>
        </is>
      </c>
      <c r="D1225" s="189" t="n">
        <v>8.800000000000001</v>
      </c>
      <c r="E1225" s="189" t="inlineStr">
        <is>
          <t>HIGH</t>
        </is>
      </c>
      <c r="F1225" s="189" t="n">
        <v>2</v>
      </c>
      <c r="G1225" s="189" t="n">
        <v>3</v>
      </c>
      <c r="H1225" s="189" t="inlineStr">
        <is>
          <t>HIGH</t>
        </is>
      </c>
      <c r="I1225" s="189" t="n">
        <v>14.8</v>
      </c>
      <c r="J1225" s="189" t="inlineStr">
        <is>
          <t>NO</t>
        </is>
      </c>
      <c r="K1225" s="190" t="inlineStr">
        <is>
          <t>https://nvd.nist.gov/vuln/detail/CVE-2026-2925</t>
        </is>
      </c>
      <c r="L1225" s="189" t="inlineStr">
        <is>
          <t>2026-02-23 23:48</t>
        </is>
      </c>
      <c r="M1225" s="189" t="inlineStr">
        <is>
          <t>CHECK_VENDOR</t>
        </is>
      </c>
      <c r="N1225" s="189" t="inlineStr">
        <is>
          <t>See NVD references</t>
        </is>
      </c>
      <c r="O1225" s="189" t="inlineStr">
        <is>
          <t>Apply vendor patches</t>
        </is>
      </c>
      <c r="P1225" s="189" t="inlineStr">
        <is>
          <t>dlink dwr-m960 b1 | dlink dwr-m960_firmware 1.01.07</t>
        </is>
      </c>
      <c r="Q1225" s="189" t="inlineStr">
        <is>
          <t>P3</t>
        </is>
      </c>
      <c r="R1225" s="189" t="inlineStr">
        <is>
          <t>🚨 URGENT: Apply vendor patches immediately | 🔒 Isolate affected systems if patch unavailable | 🛡️ Enable additional monitoring/IDS rules</t>
        </is>
      </c>
      <c r="S1225" s="189" t="inlineStr">
        <is>
          <t>CVE - IP enrichment n/a</t>
        </is>
      </c>
      <c r="T1225" s="189" t="n">
        <v>0</v>
      </c>
      <c r="U1225" s="189" t="n">
        <v>0</v>
      </c>
      <c r="V1225" s="189" t="inlineStr">
        <is>
          <t>T1203:Exploitation for Client Execution</t>
        </is>
      </c>
      <c r="W1225" s="189" t="n">
        <v>1</v>
      </c>
      <c r="X1225" s="189" t="inlineStr">
        <is>
          <t>LOW (40%)</t>
        </is>
      </c>
      <c r="Y1225" s="189" t="inlineStr">
        <is>
          <t>UNLIKELY</t>
        </is>
      </c>
      <c r="Z1225" s="189" t="inlineStr">
        <is>
          <t>CHECK_VENDOR</t>
        </is>
      </c>
      <c r="AA1225" s="190" t="inlineStr">
        <is>
          <t>https://nvd.nist.gov/vuln/detail/CVE-2026-2925</t>
        </is>
      </c>
      <c r="AB1225" s="189" t="inlineStr">
        <is>
          <t>NONE</t>
        </is>
      </c>
      <c r="AC1225" s="189" t="n">
        <v>0</v>
      </c>
      <c r="AD1225" s="189" t="n"/>
    </row>
    <row r="1226">
      <c r="A1226" s="189" t="inlineStr">
        <is>
          <t>CVE</t>
        </is>
      </c>
      <c r="B1226" s="189" t="inlineStr">
        <is>
          <t>CVE-2026-2926</t>
        </is>
      </c>
      <c r="C1226" s="189" t="inlineStr">
        <is>
          <t>A flaw has been found in D-Link DWR-M960 1.01.07. This affects the function sub_4237AC of the file /boafrm/formLteSetup of the component LTE Configuration Endpoint. Executing a manipulation of the argument submit-url can lead to stack-based buffer overflow. The attack can be launched remotely. The exploit has been published and may be used.</t>
        </is>
      </c>
      <c r="D1226" s="189" t="n">
        <v>8.800000000000001</v>
      </c>
      <c r="E1226" s="189" t="inlineStr">
        <is>
          <t>HIGH</t>
        </is>
      </c>
      <c r="F1226" s="189" t="n">
        <v>2</v>
      </c>
      <c r="G1226" s="189" t="n">
        <v>3</v>
      </c>
      <c r="H1226" s="189" t="inlineStr">
        <is>
          <t>HIGH</t>
        </is>
      </c>
      <c r="I1226" s="189" t="n">
        <v>14.8</v>
      </c>
      <c r="J1226" s="189" t="inlineStr">
        <is>
          <t>NO</t>
        </is>
      </c>
      <c r="K1226" s="190" t="inlineStr">
        <is>
          <t>https://nvd.nist.gov/vuln/detail/CVE-2026-2926</t>
        </is>
      </c>
      <c r="L1226" s="189" t="inlineStr">
        <is>
          <t>2026-02-23 23:48</t>
        </is>
      </c>
      <c r="M1226" s="189" t="inlineStr">
        <is>
          <t>CHECK_VENDOR</t>
        </is>
      </c>
      <c r="N1226" s="189" t="inlineStr">
        <is>
          <t>See NVD references</t>
        </is>
      </c>
      <c r="O1226" s="189" t="inlineStr">
        <is>
          <t>Apply vendor patches</t>
        </is>
      </c>
      <c r="P1226" s="189" t="inlineStr">
        <is>
          <t>dlink dwr-m960 b1 | dlink dwr-m960_firmware 1.01.07</t>
        </is>
      </c>
      <c r="Q1226" s="189" t="inlineStr">
        <is>
          <t>P3</t>
        </is>
      </c>
      <c r="R1226" s="189" t="inlineStr">
        <is>
          <t>🚨 URGENT: Apply vendor patches immediately | 🔒 Isolate affected systems if patch unavailable | 🛡️ Enable additional monitoring/IDS rules</t>
        </is>
      </c>
      <c r="S1226" s="189" t="inlineStr">
        <is>
          <t>CVE - IP enrichment n/a</t>
        </is>
      </c>
      <c r="T1226" s="189" t="n">
        <v>0</v>
      </c>
      <c r="U1226" s="189" t="n">
        <v>0</v>
      </c>
      <c r="V1226" s="189" t="inlineStr">
        <is>
          <t>T1203:Exploitation for Client Execution</t>
        </is>
      </c>
      <c r="W1226" s="189" t="n">
        <v>1</v>
      </c>
      <c r="X1226" s="189" t="inlineStr">
        <is>
          <t>LOW (40%)</t>
        </is>
      </c>
      <c r="Y1226" s="189" t="inlineStr">
        <is>
          <t>UNLIKELY</t>
        </is>
      </c>
      <c r="Z1226" s="189" t="inlineStr">
        <is>
          <t>CHECK_VENDOR</t>
        </is>
      </c>
      <c r="AA1226" s="190" t="inlineStr">
        <is>
          <t>https://nvd.nist.gov/vuln/detail/CVE-2026-2926</t>
        </is>
      </c>
      <c r="AB1226" s="189" t="inlineStr">
        <is>
          <t>NONE</t>
        </is>
      </c>
      <c r="AC1226" s="189" t="n">
        <v>0</v>
      </c>
      <c r="AD1226" s="189" t="n"/>
    </row>
    <row r="1227">
      <c r="A1227" s="189" t="inlineStr">
        <is>
          <t>CVE</t>
        </is>
      </c>
      <c r="B1227" s="189" t="inlineStr">
        <is>
          <t>CVE-2026-2927</t>
        </is>
      </c>
      <c r="C1227" s="189" t="inlineStr">
        <is>
          <t>A vulnerability has been found in D-Link DWR-M960 1.01.07. This vulnerability affects the function sub_462590 of the file /boafrm/formOpMode of the component Operation Mode Configuration Endpoint. The manipulation of the argument submit-url leads to stack-based buffer overflow. The attack may be initiated remotely. The exploit has been disclosed to the public and may be used.</t>
        </is>
      </c>
      <c r="D1227" s="189" t="n">
        <v>8.800000000000001</v>
      </c>
      <c r="E1227" s="189" t="inlineStr">
        <is>
          <t>HIGH</t>
        </is>
      </c>
      <c r="F1227" s="189" t="n">
        <v>2</v>
      </c>
      <c r="G1227" s="189" t="n">
        <v>3</v>
      </c>
      <c r="H1227" s="189" t="inlineStr">
        <is>
          <t>HIGH</t>
        </is>
      </c>
      <c r="I1227" s="189" t="n">
        <v>14.8</v>
      </c>
      <c r="J1227" s="189" t="inlineStr">
        <is>
          <t>NO</t>
        </is>
      </c>
      <c r="K1227" s="190" t="inlineStr">
        <is>
          <t>https://nvd.nist.gov/vuln/detail/CVE-2026-2927</t>
        </is>
      </c>
      <c r="L1227" s="189" t="inlineStr">
        <is>
          <t>2026-02-23 23:48</t>
        </is>
      </c>
      <c r="M1227" s="189" t="inlineStr">
        <is>
          <t>CHECK_VENDOR</t>
        </is>
      </c>
      <c r="N1227" s="189" t="inlineStr">
        <is>
          <t>See NVD references</t>
        </is>
      </c>
      <c r="O1227" s="189" t="inlineStr">
        <is>
          <t>Apply vendor patches</t>
        </is>
      </c>
      <c r="P1227" s="189" t="inlineStr">
        <is>
          <t>dlink dwr-m960 b1 | dlink dwr-m960_firmware 1.01.07</t>
        </is>
      </c>
      <c r="Q1227" s="189" t="inlineStr">
        <is>
          <t>P3</t>
        </is>
      </c>
      <c r="R1227" s="189" t="inlineStr">
        <is>
          <t>🚨 URGENT: Apply vendor patches immediately | 🔒 Isolate affected systems if patch unavailable | 🛡️ Enable additional monitoring/IDS rules</t>
        </is>
      </c>
      <c r="S1227" s="189" t="inlineStr">
        <is>
          <t>CVE - IP enrichment n/a</t>
        </is>
      </c>
      <c r="T1227" s="189" t="n">
        <v>0</v>
      </c>
      <c r="U1227" s="189" t="n">
        <v>0</v>
      </c>
      <c r="V1227" s="189" t="inlineStr">
        <is>
          <t>T1203:Exploitation for Client Execution</t>
        </is>
      </c>
      <c r="W1227" s="189" t="n">
        <v>1</v>
      </c>
      <c r="X1227" s="189" t="inlineStr">
        <is>
          <t>LOW (40%)</t>
        </is>
      </c>
      <c r="Y1227" s="189" t="inlineStr">
        <is>
          <t>UNLIKELY</t>
        </is>
      </c>
      <c r="Z1227" s="189" t="inlineStr">
        <is>
          <t>CHECK_VENDOR</t>
        </is>
      </c>
      <c r="AA1227" s="190" t="inlineStr">
        <is>
          <t>https://nvd.nist.gov/vuln/detail/CVE-2026-2927</t>
        </is>
      </c>
      <c r="AB1227" s="189" t="inlineStr">
        <is>
          <t>NONE</t>
        </is>
      </c>
      <c r="AC1227" s="189" t="n">
        <v>0</v>
      </c>
      <c r="AD1227" s="189" t="n"/>
    </row>
    <row r="1228">
      <c r="A1228" s="189" t="inlineStr">
        <is>
          <t>CVE</t>
        </is>
      </c>
      <c r="B1228" s="189" t="inlineStr">
        <is>
          <t>CVE-2026-2928</t>
        </is>
      </c>
      <c r="C1228" s="189" t="inlineStr">
        <is>
          <t>A vulnerability was found in D-Link DWR-M960 1.01.07. This issue affects the function sub_452CCC of the file /boafrm/formWlEncrypt of the component WLAN Encryption Configuration Endpoint. The manipulation of the argument submit-url results in stack-based buffer overflow. The attack may be launched remotely. The exploit has been made public and could be used.</t>
        </is>
      </c>
      <c r="D1228" s="189" t="n">
        <v>8.800000000000001</v>
      </c>
      <c r="E1228" s="189" t="inlineStr">
        <is>
          <t>HIGH</t>
        </is>
      </c>
      <c r="F1228" s="189" t="n">
        <v>2</v>
      </c>
      <c r="G1228" s="189" t="n">
        <v>3</v>
      </c>
      <c r="H1228" s="189" t="inlineStr">
        <is>
          <t>HIGH</t>
        </is>
      </c>
      <c r="I1228" s="189" t="n">
        <v>14.8</v>
      </c>
      <c r="J1228" s="189" t="inlineStr">
        <is>
          <t>NO</t>
        </is>
      </c>
      <c r="K1228" s="190" t="inlineStr">
        <is>
          <t>https://nvd.nist.gov/vuln/detail/CVE-2026-2928</t>
        </is>
      </c>
      <c r="L1228" s="189" t="inlineStr">
        <is>
          <t>2026-02-23 23:48</t>
        </is>
      </c>
      <c r="M1228" s="189" t="inlineStr">
        <is>
          <t>CHECK_VENDOR</t>
        </is>
      </c>
      <c r="N1228" s="189" t="inlineStr">
        <is>
          <t>See NVD references</t>
        </is>
      </c>
      <c r="O1228" s="189" t="inlineStr">
        <is>
          <t>Apply vendor patches</t>
        </is>
      </c>
      <c r="P1228" s="189" t="inlineStr">
        <is>
          <t>dlink dwr-m960 b1 | dlink dwr-m960_firmware 1.01.07</t>
        </is>
      </c>
      <c r="Q1228" s="189" t="inlineStr">
        <is>
          <t>P3</t>
        </is>
      </c>
      <c r="R1228" s="189" t="inlineStr">
        <is>
          <t>🚨 URGENT: Apply vendor patches immediately | 🔒 Isolate affected systems if patch unavailable | 🛡️ Enable additional monitoring/IDS rules</t>
        </is>
      </c>
      <c r="S1228" s="189" t="inlineStr">
        <is>
          <t>CVE - IP enrichment n/a</t>
        </is>
      </c>
      <c r="T1228" s="189" t="n">
        <v>0</v>
      </c>
      <c r="U1228" s="189" t="n">
        <v>0</v>
      </c>
      <c r="V1228" s="189" t="inlineStr">
        <is>
          <t>T1203:Exploitation for Client Execution</t>
        </is>
      </c>
      <c r="W1228" s="189" t="n">
        <v>1</v>
      </c>
      <c r="X1228" s="189" t="inlineStr">
        <is>
          <t>LOW (40%)</t>
        </is>
      </c>
      <c r="Y1228" s="189" t="inlineStr">
        <is>
          <t>UNLIKELY</t>
        </is>
      </c>
      <c r="Z1228" s="189" t="inlineStr">
        <is>
          <t>CHECK_VENDOR</t>
        </is>
      </c>
      <c r="AA1228" s="190" t="inlineStr">
        <is>
          <t>https://nvd.nist.gov/vuln/detail/CVE-2026-2928</t>
        </is>
      </c>
      <c r="AB1228" s="189" t="inlineStr">
        <is>
          <t>NONE</t>
        </is>
      </c>
      <c r="AC1228" s="189" t="n">
        <v>0</v>
      </c>
      <c r="AD1228" s="189" t="n"/>
    </row>
    <row r="1229">
      <c r="A1229" s="191" t="inlineStr">
        <is>
          <t>CVE</t>
        </is>
      </c>
      <c r="B1229" s="191" t="inlineStr">
        <is>
          <t>CVE-2026-1369</t>
        </is>
      </c>
      <c r="C1229" s="191" t="inlineStr">
        <is>
          <t>The Conditional CAPTCHA WordPress plugin through 4.0.0 does not validate a parameter before redirecting the user to its value, leading to an Open Redirect issue</t>
        </is>
      </c>
      <c r="D1229" s="191" t="n">
        <v>4.3</v>
      </c>
      <c r="E1229" s="191" t="inlineStr">
        <is>
          <t>MEDIUM</t>
        </is>
      </c>
      <c r="F1229" s="191" t="n">
        <v>2</v>
      </c>
      <c r="G1229" s="191" t="n">
        <v>2</v>
      </c>
      <c r="H1229" s="191" t="inlineStr">
        <is>
          <t>MEDIUM</t>
        </is>
      </c>
      <c r="I1229" s="191" t="n">
        <v>8.300000000000001</v>
      </c>
      <c r="J1229" s="191" t="inlineStr">
        <is>
          <t>NO</t>
        </is>
      </c>
      <c r="K1229" s="192" t="inlineStr">
        <is>
          <t>https://nvd.nist.gov/vuln/detail/CVE-2026-1369</t>
        </is>
      </c>
      <c r="L1229" s="191" t="inlineStr">
        <is>
          <t>2026-02-23 23:48</t>
        </is>
      </c>
      <c r="M1229" s="191" t="inlineStr">
        <is>
          <t>CHECK_VENDOR</t>
        </is>
      </c>
      <c r="N1229" s="191" t="inlineStr">
        <is>
          <t>See NVD references</t>
        </is>
      </c>
      <c r="O1229" s="191" t="inlineStr">
        <is>
          <t>Apply vendor patches</t>
        </is>
      </c>
      <c r="P1229" s="191" t="inlineStr">
        <is>
          <t>See CVE details</t>
        </is>
      </c>
      <c r="Q1229" s="191" t="inlineStr">
        <is>
          <t>P4</t>
        </is>
      </c>
      <c r="R1229" s="191" t="inlineStr">
        <is>
          <t>📅 Schedule patch deployment within 30 days | 🔍 Monitor for exploitation attempts</t>
        </is>
      </c>
      <c r="S1229" s="191" t="inlineStr">
        <is>
          <t>CVE - IP enrichment n/a</t>
        </is>
      </c>
      <c r="T1229" s="191" t="n">
        <v>0.0002</v>
      </c>
      <c r="U1229" s="191" t="n">
        <v>0.0381</v>
      </c>
      <c r="V1229" s="191" t="inlineStr">
        <is>
          <t>T1189:Drive-by Compromise</t>
        </is>
      </c>
      <c r="W1229" s="191" t="n">
        <v>1</v>
      </c>
      <c r="X1229" s="191" t="inlineStr">
        <is>
          <t>LOW (40%)</t>
        </is>
      </c>
      <c r="Y1229" s="191" t="inlineStr">
        <is>
          <t>UNLIKELY</t>
        </is>
      </c>
      <c r="Z1229" s="191" t="inlineStr">
        <is>
          <t>CHECK_VENDOR</t>
        </is>
      </c>
      <c r="AA1229" s="192" t="inlineStr">
        <is>
          <t>https://nvd.nist.gov/vuln/detail/CVE-2026-1369</t>
        </is>
      </c>
      <c r="AB1229" s="191" t="inlineStr">
        <is>
          <t>NONE</t>
        </is>
      </c>
      <c r="AC1229" s="191" t="n">
        <v>0</v>
      </c>
      <c r="AD1229" s="191" t="n"/>
    </row>
    <row r="1230">
      <c r="A1230" s="189" t="inlineStr">
        <is>
          <t>CVE</t>
        </is>
      </c>
      <c r="B1230" s="189" t="inlineStr">
        <is>
          <t>CVE-2026-2929</t>
        </is>
      </c>
      <c r="C1230" s="189" t="inlineStr">
        <is>
          <t>A vulnerability was determined in D-Link DWR-M960 1.01.07. Impacted is the function sub_453140 of the file /boafrm/formWlAc of the component Wireless Access Control Endpoint. This manipulation of the argument submit-url causes stack-based buffer overflow. Remote exploitation of the attack is possible. The exploit has been publicly disclosed and may be utilized.</t>
        </is>
      </c>
      <c r="D1230" s="189" t="n">
        <v>8.800000000000001</v>
      </c>
      <c r="E1230" s="189" t="inlineStr">
        <is>
          <t>HIGH</t>
        </is>
      </c>
      <c r="F1230" s="189" t="n">
        <v>2</v>
      </c>
      <c r="G1230" s="189" t="n">
        <v>3</v>
      </c>
      <c r="H1230" s="189" t="inlineStr">
        <is>
          <t>HIGH</t>
        </is>
      </c>
      <c r="I1230" s="189" t="n">
        <v>14.8</v>
      </c>
      <c r="J1230" s="189" t="inlineStr">
        <is>
          <t>NO</t>
        </is>
      </c>
      <c r="K1230" s="190" t="inlineStr">
        <is>
          <t>https://nvd.nist.gov/vuln/detail/CVE-2026-2929</t>
        </is>
      </c>
      <c r="L1230" s="189" t="inlineStr">
        <is>
          <t>2026-02-23 23:48</t>
        </is>
      </c>
      <c r="M1230" s="189" t="inlineStr">
        <is>
          <t>CHECK_VENDOR</t>
        </is>
      </c>
      <c r="N1230" s="189" t="inlineStr">
        <is>
          <t>See NVD references</t>
        </is>
      </c>
      <c r="O1230" s="189" t="inlineStr">
        <is>
          <t>Apply vendor patches</t>
        </is>
      </c>
      <c r="P1230" s="189" t="inlineStr">
        <is>
          <t>dlink dwr-m960 b1 | dlink dwr-m960_firmware 1.01.07</t>
        </is>
      </c>
      <c r="Q1230" s="189" t="inlineStr">
        <is>
          <t>P3</t>
        </is>
      </c>
      <c r="R1230" s="189" t="inlineStr">
        <is>
          <t>🚨 URGENT: Apply vendor patches immediately | 🔒 Isolate affected systems if patch unavailable | 🛡️ Enable additional monitoring/IDS rules</t>
        </is>
      </c>
      <c r="S1230" s="189" t="inlineStr">
        <is>
          <t>CVE - IP enrichment n/a</t>
        </is>
      </c>
      <c r="T1230" s="189" t="n">
        <v>0</v>
      </c>
      <c r="U1230" s="189" t="n">
        <v>0</v>
      </c>
      <c r="V1230" s="189" t="inlineStr">
        <is>
          <t>T1203:Exploitation for Client Execution</t>
        </is>
      </c>
      <c r="W1230" s="189" t="n">
        <v>1</v>
      </c>
      <c r="X1230" s="189" t="inlineStr">
        <is>
          <t>LOW (40%)</t>
        </is>
      </c>
      <c r="Y1230" s="189" t="inlineStr">
        <is>
          <t>UNLIKELY</t>
        </is>
      </c>
      <c r="Z1230" s="189" t="inlineStr">
        <is>
          <t>CHECK_VENDOR</t>
        </is>
      </c>
      <c r="AA1230" s="190" t="inlineStr">
        <is>
          <t>https://nvd.nist.gov/vuln/detail/CVE-2026-2929</t>
        </is>
      </c>
      <c r="AB1230" s="189" t="inlineStr">
        <is>
          <t>NONE</t>
        </is>
      </c>
      <c r="AC1230" s="189" t="n">
        <v>0</v>
      </c>
      <c r="AD1230" s="189" t="n"/>
    </row>
    <row r="1231">
      <c r="A1231" s="191" t="inlineStr">
        <is>
          <t>CVE</t>
        </is>
      </c>
      <c r="B1231" s="191" t="inlineStr">
        <is>
          <t>CVE-2026-2930</t>
        </is>
      </c>
      <c r="C1231" s="191" t="inlineStr">
        <is>
          <t>A vulnerability was identified in Tenda A18 15.13.07.13. The affected element is the function webCgiGetUploadFile of the file /cgi-bin/UploadCfg of the component Httpd Service. Such manipulation of the argument boundary leads to stack-based buffer overflow. The attack can be executed remotely. The exploit is publicly available and might be used.</t>
        </is>
      </c>
      <c r="D1231" s="191" t="n">
        <v>6.3</v>
      </c>
      <c r="E1231" s="191" t="inlineStr">
        <is>
          <t>MEDIUM</t>
        </is>
      </c>
      <c r="F1231" s="191" t="n">
        <v>2</v>
      </c>
      <c r="G1231" s="191" t="n">
        <v>2</v>
      </c>
      <c r="H1231" s="191" t="inlineStr">
        <is>
          <t>MEDIUM</t>
        </is>
      </c>
      <c r="I1231" s="191" t="n">
        <v>10.3</v>
      </c>
      <c r="J1231" s="191" t="inlineStr">
        <is>
          <t>NO</t>
        </is>
      </c>
      <c r="K1231" s="192" t="inlineStr">
        <is>
          <t>https://nvd.nist.gov/vuln/detail/CVE-2026-2930</t>
        </is>
      </c>
      <c r="L1231" s="191" t="inlineStr">
        <is>
          <t>2026-02-23 23:48</t>
        </is>
      </c>
      <c r="M1231" s="191" t="inlineStr">
        <is>
          <t>CHECK_VENDOR</t>
        </is>
      </c>
      <c r="N1231" s="191" t="inlineStr">
        <is>
          <t>See NVD references</t>
        </is>
      </c>
      <c r="O1231" s="191" t="inlineStr">
        <is>
          <t>Apply vendor patches</t>
        </is>
      </c>
      <c r="P1231" s="191" t="inlineStr">
        <is>
          <t>tenda a18 - | tenda a18_firmware 15.13.07.13</t>
        </is>
      </c>
      <c r="Q1231" s="191" t="inlineStr">
        <is>
          <t>P4</t>
        </is>
      </c>
      <c r="R1231" s="191" t="inlineStr">
        <is>
          <t>📅 Schedule patch deployment within 30 days | 🔍 Monitor for exploitation attempts</t>
        </is>
      </c>
      <c r="S1231" s="191" t="inlineStr">
        <is>
          <t>CVE - IP enrichment n/a</t>
        </is>
      </c>
      <c r="T1231" s="191" t="n">
        <v>0</v>
      </c>
      <c r="U1231" s="191" t="n">
        <v>0</v>
      </c>
      <c r="V1231" s="191" t="inlineStr">
        <is>
          <t>T1203:Exploitation for Client Execution</t>
        </is>
      </c>
      <c r="W1231" s="191" t="n">
        <v>1</v>
      </c>
      <c r="X1231" s="191" t="inlineStr">
        <is>
          <t>LOW (40%)</t>
        </is>
      </c>
      <c r="Y1231" s="191" t="inlineStr">
        <is>
          <t>UNLIKELY</t>
        </is>
      </c>
      <c r="Z1231" s="191" t="inlineStr">
        <is>
          <t>CHECK_VENDOR</t>
        </is>
      </c>
      <c r="AA1231" s="192" t="inlineStr">
        <is>
          <t>https://nvd.nist.gov/vuln/detail/CVE-2026-2930</t>
        </is>
      </c>
      <c r="AB1231" s="191" t="inlineStr">
        <is>
          <t>NONE</t>
        </is>
      </c>
      <c r="AC1231" s="191" t="n">
        <v>0</v>
      </c>
      <c r="AD1231" s="191" t="n"/>
    </row>
    <row r="1232">
      <c r="A1232" s="195" t="inlineStr">
        <is>
          <t>CVE</t>
        </is>
      </c>
      <c r="B1232" s="195" t="inlineStr">
        <is>
          <t>CVE-2026-2932</t>
        </is>
      </c>
      <c r="C1232" s="195" t="inlineStr">
        <is>
          <t>A security flaw has been discovered in YiFang CMS up to 2.0.5. The impacted element is the function update of the file app/db/admin/D_adPosition.php of the component Extended Management Module. Performing a manipulation of the argument name/index results in cross site scripting. The attack is possible to be carried out remotely. The exploit has been released to the public and may be used for attacks.</t>
        </is>
      </c>
      <c r="D1232" s="195" t="n">
        <v>2.4</v>
      </c>
      <c r="E1232" s="195" t="inlineStr">
        <is>
          <t>LOW</t>
        </is>
      </c>
      <c r="F1232" s="195" t="n">
        <v>2</v>
      </c>
      <c r="G1232" s="195" t="n">
        <v>1</v>
      </c>
      <c r="H1232" s="195" t="inlineStr">
        <is>
          <t>LOW</t>
        </is>
      </c>
      <c r="I1232" s="195" t="n">
        <v>4.4</v>
      </c>
      <c r="J1232" s="195" t="inlineStr">
        <is>
          <t>NO</t>
        </is>
      </c>
      <c r="K1232" s="196" t="inlineStr">
        <is>
          <t>https://nvd.nist.gov/vuln/detail/CVE-2026-2932</t>
        </is>
      </c>
      <c r="L1232" s="195" t="inlineStr">
        <is>
          <t>2026-02-23 23:48</t>
        </is>
      </c>
      <c r="M1232" s="195" t="inlineStr">
        <is>
          <t>CHECK_VENDOR</t>
        </is>
      </c>
      <c r="N1232" s="195" t="inlineStr">
        <is>
          <t>See NVD references</t>
        </is>
      </c>
      <c r="O1232" s="195" t="inlineStr">
        <is>
          <t>Apply vendor patches</t>
        </is>
      </c>
      <c r="P1232" s="195" t="inlineStr">
        <is>
          <t>See CVE details</t>
        </is>
      </c>
      <c r="Q1232" s="195" t="inlineStr">
        <is>
          <t>P4</t>
        </is>
      </c>
      <c r="R1232" s="195" t="inlineStr">
        <is>
          <t>📅 Schedule patch deployment within 30 days | 🔍 Monitor for exploitation attempts</t>
        </is>
      </c>
      <c r="S1232" s="195" t="inlineStr">
        <is>
          <t>CVE - IP enrichment n/a</t>
        </is>
      </c>
      <c r="T1232" s="195" t="n">
        <v>0</v>
      </c>
      <c r="U1232" s="195" t="n">
        <v>0</v>
      </c>
      <c r="V1232" s="195" t="inlineStr">
        <is>
          <t>T1189:Drive-by Compromise</t>
        </is>
      </c>
      <c r="W1232" s="195" t="n">
        <v>1</v>
      </c>
      <c r="X1232" s="195" t="inlineStr">
        <is>
          <t>LOW (40%)</t>
        </is>
      </c>
      <c r="Y1232" s="195" t="inlineStr">
        <is>
          <t>UNLIKELY</t>
        </is>
      </c>
      <c r="Z1232" s="195" t="inlineStr">
        <is>
          <t>CHECK_VENDOR</t>
        </is>
      </c>
      <c r="AA1232" s="196" t="inlineStr">
        <is>
          <t>https://nvd.nist.gov/vuln/detail/CVE-2026-2932</t>
        </is>
      </c>
      <c r="AB1232" s="195" t="inlineStr">
        <is>
          <t>NONE</t>
        </is>
      </c>
      <c r="AC1232" s="195" t="n">
        <v>0</v>
      </c>
      <c r="AD1232" s="195" t="n"/>
    </row>
    <row r="1233">
      <c r="A1233" s="195" t="inlineStr">
        <is>
          <t>CVE</t>
        </is>
      </c>
      <c r="B1233" s="195" t="inlineStr">
        <is>
          <t>CVE-2026-2933</t>
        </is>
      </c>
      <c r="C1233" s="195" t="inlineStr">
        <is>
          <t>A weakness has been identified in YiFang CMS up to 2.0.5. This affects the function update of the file app/db/admin/D_adManage.php of the component Extended Management Module. Executing a manipulation of the argument Name can lead to cross site scripting. The attack may be performed from remote. The exploit has been made available to the public and could be used for attacks.</t>
        </is>
      </c>
      <c r="D1233" s="195" t="n">
        <v>2.4</v>
      </c>
      <c r="E1233" s="195" t="inlineStr">
        <is>
          <t>LOW</t>
        </is>
      </c>
      <c r="F1233" s="195" t="n">
        <v>2</v>
      </c>
      <c r="G1233" s="195" t="n">
        <v>1</v>
      </c>
      <c r="H1233" s="195" t="inlineStr">
        <is>
          <t>LOW</t>
        </is>
      </c>
      <c r="I1233" s="195" t="n">
        <v>4.4</v>
      </c>
      <c r="J1233" s="195" t="inlineStr">
        <is>
          <t>NO</t>
        </is>
      </c>
      <c r="K1233" s="196" t="inlineStr">
        <is>
          <t>https://nvd.nist.gov/vuln/detail/CVE-2026-2933</t>
        </is>
      </c>
      <c r="L1233" s="195" t="inlineStr">
        <is>
          <t>2026-02-23 23:48</t>
        </is>
      </c>
      <c r="M1233" s="195" t="inlineStr">
        <is>
          <t>CHECK_VENDOR</t>
        </is>
      </c>
      <c r="N1233" s="195" t="inlineStr">
        <is>
          <t>See NVD references</t>
        </is>
      </c>
      <c r="O1233" s="195" t="inlineStr">
        <is>
          <t>Apply vendor patches</t>
        </is>
      </c>
      <c r="P1233" s="195" t="inlineStr">
        <is>
          <t>See CVE details</t>
        </is>
      </c>
      <c r="Q1233" s="195" t="inlineStr">
        <is>
          <t>P4</t>
        </is>
      </c>
      <c r="R1233" s="195" t="inlineStr">
        <is>
          <t>📅 Schedule patch deployment within 30 days | 🔍 Monitor for exploitation attempts</t>
        </is>
      </c>
      <c r="S1233" s="195" t="inlineStr">
        <is>
          <t>CVE - IP enrichment n/a</t>
        </is>
      </c>
      <c r="T1233" s="195" t="n">
        <v>0</v>
      </c>
      <c r="U1233" s="195" t="n">
        <v>0</v>
      </c>
      <c r="V1233" s="195" t="inlineStr">
        <is>
          <t>T1189:Drive-by Compromise</t>
        </is>
      </c>
      <c r="W1233" s="195" t="n">
        <v>1</v>
      </c>
      <c r="X1233" s="195" t="inlineStr">
        <is>
          <t>LOW (40%)</t>
        </is>
      </c>
      <c r="Y1233" s="195" t="inlineStr">
        <is>
          <t>UNLIKELY</t>
        </is>
      </c>
      <c r="Z1233" s="195" t="inlineStr">
        <is>
          <t>CHECK_VENDOR</t>
        </is>
      </c>
      <c r="AA1233" s="196" t="inlineStr">
        <is>
          <t>https://nvd.nist.gov/vuln/detail/CVE-2026-2933</t>
        </is>
      </c>
      <c r="AB1233" s="195" t="inlineStr">
        <is>
          <t>NONE</t>
        </is>
      </c>
      <c r="AC1233" s="195" t="n">
        <v>0</v>
      </c>
      <c r="AD1233" s="195" t="n"/>
    </row>
    <row r="1234">
      <c r="A1234" s="191" t="inlineStr">
        <is>
          <t>CVE</t>
        </is>
      </c>
      <c r="B1234" s="191" t="inlineStr">
        <is>
          <t>CVE-2026-2385</t>
        </is>
      </c>
      <c r="C1234" s="191" t="inlineStr">
        <is>
          <t>The The Plus Addons for Elementor – Addons for Elementor, Page Templates, Widgets, Mega Menu, WooCommerce plugin for WordPress is vulnerable to Insufficient Verification of Data Authenticity in all versions up to, and including, 6.4.7. This is due to the plugin decrypting and trusting attacker-controlled email_data in an unauthenticated AJAX handler without cryptographic authenticity guarantees. This makes it possible for unauthenticated attackers to tamper with form email routing and redirectio</t>
        </is>
      </c>
      <c r="D1234" s="191" t="n">
        <v>5.3</v>
      </c>
      <c r="E1234" s="191" t="inlineStr">
        <is>
          <t>MEDIUM</t>
        </is>
      </c>
      <c r="F1234" s="191" t="n">
        <v>2</v>
      </c>
      <c r="G1234" s="191" t="n">
        <v>2</v>
      </c>
      <c r="H1234" s="191" t="inlineStr">
        <is>
          <t>MEDIUM</t>
        </is>
      </c>
      <c r="I1234" s="191" t="n">
        <v>9.300000000000001</v>
      </c>
      <c r="J1234" s="191" t="inlineStr">
        <is>
          <t>NO</t>
        </is>
      </c>
      <c r="K1234" s="192" t="inlineStr">
        <is>
          <t>https://nvd.nist.gov/vuln/detail/CVE-2026-2385</t>
        </is>
      </c>
      <c r="L1234" s="191" t="inlineStr">
        <is>
          <t>2026-02-23 23:48</t>
        </is>
      </c>
      <c r="M1234" s="191" t="inlineStr">
        <is>
          <t>CHECK_VENDOR</t>
        </is>
      </c>
      <c r="N1234" s="191" t="inlineStr">
        <is>
          <t>See NVD references</t>
        </is>
      </c>
      <c r="O1234" s="191" t="inlineStr">
        <is>
          <t>Apply vendor patches</t>
        </is>
      </c>
      <c r="P1234" s="191" t="inlineStr">
        <is>
          <t>See CVE details</t>
        </is>
      </c>
      <c r="Q1234" s="191" t="inlineStr">
        <is>
          <t>P4</t>
        </is>
      </c>
      <c r="R1234" s="191" t="inlineStr">
        <is>
          <t>📅 Schedule patch deployment within 30 days | 🔍 Monitor for exploitation attempts</t>
        </is>
      </c>
      <c r="S1234" s="191" t="inlineStr">
        <is>
          <t>CVE - IP enrichment n/a</t>
        </is>
      </c>
      <c r="T1234" s="191" t="n">
        <v>0</v>
      </c>
      <c r="U1234" s="191" t="n">
        <v>0</v>
      </c>
      <c r="V1234" s="191" t="inlineStr">
        <is>
          <t>T1190:Exploit Public-Facing Application | T1600:Weaken Encryption</t>
        </is>
      </c>
      <c r="W1234" s="191" t="n">
        <v>1</v>
      </c>
      <c r="X1234" s="191" t="inlineStr">
        <is>
          <t>LOW (40%)</t>
        </is>
      </c>
      <c r="Y1234" s="191" t="inlineStr">
        <is>
          <t>UNLIKELY</t>
        </is>
      </c>
      <c r="Z1234" s="191" t="inlineStr">
        <is>
          <t>CHECK_VENDOR</t>
        </is>
      </c>
      <c r="AA1234" s="192" t="inlineStr">
        <is>
          <t>https://nvd.nist.gov/vuln/detail/CVE-2026-2385</t>
        </is>
      </c>
      <c r="AB1234" s="191" t="inlineStr">
        <is>
          <t>NONE</t>
        </is>
      </c>
      <c r="AC1234" s="191" t="n">
        <v>0</v>
      </c>
      <c r="AD1234" s="191" t="n"/>
    </row>
    <row r="1235">
      <c r="A1235" s="195" t="inlineStr">
        <is>
          <t>CVE</t>
        </is>
      </c>
      <c r="B1235" s="195" t="inlineStr">
        <is>
          <t>CVE-2026-2934</t>
        </is>
      </c>
      <c r="C1235" s="195" t="inlineStr">
        <is>
          <t>A security vulnerability has been detected in YiFang CMS up to 2.0.5. This impacts the function update of the file app/db/admin/D_friendLinkGroup.php of the component Extended Management Module. The manipulation of the argument Name leads to cross site scripting. It is possible to initiate the attack remotely. The exploit has been disclosed publicly and may be used.</t>
        </is>
      </c>
      <c r="D1235" s="195" t="n">
        <v>2.4</v>
      </c>
      <c r="E1235" s="195" t="inlineStr">
        <is>
          <t>LOW</t>
        </is>
      </c>
      <c r="F1235" s="195" t="n">
        <v>2</v>
      </c>
      <c r="G1235" s="195" t="n">
        <v>1</v>
      </c>
      <c r="H1235" s="195" t="inlineStr">
        <is>
          <t>LOW</t>
        </is>
      </c>
      <c r="I1235" s="195" t="n">
        <v>4.4</v>
      </c>
      <c r="J1235" s="195" t="inlineStr">
        <is>
          <t>NO</t>
        </is>
      </c>
      <c r="K1235" s="196" t="inlineStr">
        <is>
          <t>https://nvd.nist.gov/vuln/detail/CVE-2026-2934</t>
        </is>
      </c>
      <c r="L1235" s="195" t="inlineStr">
        <is>
          <t>2026-02-23 23:48</t>
        </is>
      </c>
      <c r="M1235" s="195" t="inlineStr">
        <is>
          <t>CHECK_VENDOR</t>
        </is>
      </c>
      <c r="N1235" s="195" t="inlineStr">
        <is>
          <t>See NVD references</t>
        </is>
      </c>
      <c r="O1235" s="195" t="inlineStr">
        <is>
          <t>Apply vendor patches</t>
        </is>
      </c>
      <c r="P1235" s="195" t="inlineStr">
        <is>
          <t>See CVE details</t>
        </is>
      </c>
      <c r="Q1235" s="195" t="inlineStr">
        <is>
          <t>P4</t>
        </is>
      </c>
      <c r="R1235" s="195" t="inlineStr">
        <is>
          <t>📅 Schedule patch deployment within 30 days | 🔍 Monitor for exploitation attempts</t>
        </is>
      </c>
      <c r="S1235" s="195" t="inlineStr">
        <is>
          <t>CVE - IP enrichment n/a</t>
        </is>
      </c>
      <c r="T1235" s="195" t="n">
        <v>0</v>
      </c>
      <c r="U1235" s="195" t="n">
        <v>0</v>
      </c>
      <c r="V1235" s="195" t="inlineStr">
        <is>
          <t>T1189:Drive-by Compromise</t>
        </is>
      </c>
      <c r="W1235" s="195" t="n">
        <v>1</v>
      </c>
      <c r="X1235" s="195" t="inlineStr">
        <is>
          <t>LOW (40%)</t>
        </is>
      </c>
      <c r="Y1235" s="195" t="inlineStr">
        <is>
          <t>UNLIKELY</t>
        </is>
      </c>
      <c r="Z1235" s="195" t="inlineStr">
        <is>
          <t>CHECK_VENDOR</t>
        </is>
      </c>
      <c r="AA1235" s="196" t="inlineStr">
        <is>
          <t>https://nvd.nist.gov/vuln/detail/CVE-2026-2934</t>
        </is>
      </c>
      <c r="AB1235" s="195" t="inlineStr">
        <is>
          <t>NONE</t>
        </is>
      </c>
      <c r="AC1235" s="195" t="n">
        <v>0</v>
      </c>
      <c r="AD1235" s="195" t="n"/>
    </row>
    <row r="1236">
      <c r="A1236" s="189" t="inlineStr">
        <is>
          <t>CVE</t>
        </is>
      </c>
      <c r="B1236" s="189" t="inlineStr">
        <is>
          <t>CVE-2026-2935</t>
        </is>
      </c>
      <c r="C1236" s="189" t="inlineStr">
        <is>
          <t>A weakness has been identified in UTT HiPER 810G up to 1.7.7-171114. This issue affects the function strcpy of the file /goform/ConfigExceptMSN. Executing a manipulation of the argument remark can lead to buffer overflow. The attack can be executed remotely. The exploit has been made available to the public and could be used for attacks.</t>
        </is>
      </c>
      <c r="D1236" s="189" t="n">
        <v>7.2</v>
      </c>
      <c r="E1236" s="189" t="inlineStr">
        <is>
          <t>HIGH</t>
        </is>
      </c>
      <c r="F1236" s="189" t="n">
        <v>2</v>
      </c>
      <c r="G1236" s="189" t="n">
        <v>3</v>
      </c>
      <c r="H1236" s="189" t="inlineStr">
        <is>
          <t>HIGH</t>
        </is>
      </c>
      <c r="I1236" s="189" t="n">
        <v>13.2</v>
      </c>
      <c r="J1236" s="189" t="inlineStr">
        <is>
          <t>NO</t>
        </is>
      </c>
      <c r="K1236" s="190" t="inlineStr">
        <is>
          <t>https://nvd.nist.gov/vuln/detail/CVE-2026-2935</t>
        </is>
      </c>
      <c r="L1236" s="189" t="inlineStr">
        <is>
          <t>2026-02-23 23:48</t>
        </is>
      </c>
      <c r="M1236" s="189" t="inlineStr">
        <is>
          <t>CHECK_VENDOR</t>
        </is>
      </c>
      <c r="N1236" s="189" t="inlineStr">
        <is>
          <t>See NVD references</t>
        </is>
      </c>
      <c r="O1236" s="189" t="inlineStr">
        <is>
          <t>Apply vendor patches</t>
        </is>
      </c>
      <c r="P1236" s="189" t="inlineStr">
        <is>
          <t>See CVE details</t>
        </is>
      </c>
      <c r="Q1236" s="189" t="inlineStr">
        <is>
          <t>P3</t>
        </is>
      </c>
      <c r="R1236" s="189" t="inlineStr">
        <is>
          <t>🚨 URGENT: Apply vendor patches immediately | 🔒 Isolate affected systems if patch unavailable | 🛡️ Enable additional monitoring/IDS rules</t>
        </is>
      </c>
      <c r="S1236" s="189" t="inlineStr">
        <is>
          <t>CVE - IP enrichment n/a</t>
        </is>
      </c>
      <c r="T1236" s="189" t="n">
        <v>0</v>
      </c>
      <c r="U1236" s="189" t="n">
        <v>0</v>
      </c>
      <c r="V1236" s="189" t="inlineStr">
        <is>
          <t>T1203:Exploitation for Client Execution</t>
        </is>
      </c>
      <c r="W1236" s="189" t="n">
        <v>1</v>
      </c>
      <c r="X1236" s="189" t="inlineStr">
        <is>
          <t>LOW (40%)</t>
        </is>
      </c>
      <c r="Y1236" s="189" t="inlineStr">
        <is>
          <t>UNLIKELY</t>
        </is>
      </c>
      <c r="Z1236" s="189" t="inlineStr">
        <is>
          <t>CHECK_VENDOR</t>
        </is>
      </c>
      <c r="AA1236" s="190" t="inlineStr">
        <is>
          <t>https://nvd.nist.gov/vuln/detail/CVE-2026-2935</t>
        </is>
      </c>
      <c r="AB1236" s="189" t="inlineStr">
        <is>
          <t>NONE</t>
        </is>
      </c>
      <c r="AC1236" s="189" t="n">
        <v>0</v>
      </c>
      <c r="AD1236" s="189" t="n"/>
    </row>
    <row r="1237">
      <c r="A1237" s="189" t="inlineStr">
        <is>
          <t>CVE</t>
        </is>
      </c>
      <c r="B1237" s="189" t="inlineStr">
        <is>
          <t>CVE-2026-2938</t>
        </is>
      </c>
      <c r="C1237" s="189" t="inlineStr">
        <is>
          <t>A vulnerability has been found in SourceCodester Student Result Management System 1.0. The affected element is an unknown function of the file /srms/script/admin/core/update_smtp.php. The manipulation leads to improper access controls. It is possible to initiate the attack remotely. The exploit has been disclosed to the public and may be used.</t>
        </is>
      </c>
      <c r="D1237" s="189" t="n">
        <v>7.3</v>
      </c>
      <c r="E1237" s="189" t="inlineStr">
        <is>
          <t>HIGH</t>
        </is>
      </c>
      <c r="F1237" s="189" t="n">
        <v>2</v>
      </c>
      <c r="G1237" s="189" t="n">
        <v>3</v>
      </c>
      <c r="H1237" s="189" t="inlineStr">
        <is>
          <t>HIGH</t>
        </is>
      </c>
      <c r="I1237" s="189" t="n">
        <v>13.3</v>
      </c>
      <c r="J1237" s="189" t="inlineStr">
        <is>
          <t>NO</t>
        </is>
      </c>
      <c r="K1237" s="190" t="inlineStr">
        <is>
          <t>https://nvd.nist.gov/vuln/detail/CVE-2026-2938</t>
        </is>
      </c>
      <c r="L1237" s="189" t="inlineStr">
        <is>
          <t>2026-02-23 23:48</t>
        </is>
      </c>
      <c r="M1237" s="189" t="inlineStr">
        <is>
          <t>CHECK_VENDOR</t>
        </is>
      </c>
      <c r="N1237" s="189" t="inlineStr">
        <is>
          <t>See NVD references</t>
        </is>
      </c>
      <c r="O1237" s="189" t="inlineStr">
        <is>
          <t>Apply vendor patches</t>
        </is>
      </c>
      <c r="P1237" s="189" t="inlineStr">
        <is>
          <t>munyweki student_result_management_system 1.0</t>
        </is>
      </c>
      <c r="Q1237" s="189" t="inlineStr">
        <is>
          <t>P3</t>
        </is>
      </c>
      <c r="R1237" s="189" t="inlineStr">
        <is>
          <t>🚨 URGENT: Apply vendor patches immediately | 🔒 Isolate affected systems if patch unavailable | 🛡️ Enable additional monitoring/IDS rules</t>
        </is>
      </c>
      <c r="S1237" s="189" t="inlineStr">
        <is>
          <t>CVE - IP enrichment n/a</t>
        </is>
      </c>
      <c r="T1237" s="189" t="n">
        <v>0</v>
      </c>
      <c r="U1237" s="189" t="n">
        <v>0</v>
      </c>
      <c r="V1237" s="189" t="inlineStr">
        <is>
          <t>T1190:Exploit Public-Facing Application</t>
        </is>
      </c>
      <c r="W1237" s="189" t="n">
        <v>1</v>
      </c>
      <c r="X1237" s="189" t="inlineStr">
        <is>
          <t>LOW (40%)</t>
        </is>
      </c>
      <c r="Y1237" s="189" t="inlineStr">
        <is>
          <t>UNLIKELY</t>
        </is>
      </c>
      <c r="Z1237" s="189" t="inlineStr">
        <is>
          <t>CHECK_VENDOR</t>
        </is>
      </c>
      <c r="AA1237" s="190" t="inlineStr">
        <is>
          <t>https://nvd.nist.gov/vuln/detail/CVE-2026-2938</t>
        </is>
      </c>
      <c r="AB1237" s="189" t="inlineStr">
        <is>
          <t>NONE</t>
        </is>
      </c>
      <c r="AC1237" s="189" t="n">
        <v>0</v>
      </c>
      <c r="AD1237" s="189" t="n"/>
    </row>
    <row r="1238">
      <c r="A1238" s="195" t="inlineStr">
        <is>
          <t>CVE</t>
        </is>
      </c>
      <c r="B1238" s="195" t="inlineStr">
        <is>
          <t>CVE-2026-2939</t>
        </is>
      </c>
      <c r="C1238" s="195" t="inlineStr">
        <is>
          <t>A vulnerability was found in itsourcecode Student Management System 1.0. The impacted element is an unknown function of the file /add_student/ of the component Add Student Module. The manipulation results in cross site scripting. It is possible to launch the attack remotely. The exploit has been made public and could be used.</t>
        </is>
      </c>
      <c r="D1238" s="195" t="n">
        <v>2.4</v>
      </c>
      <c r="E1238" s="195" t="inlineStr">
        <is>
          <t>LOW</t>
        </is>
      </c>
      <c r="F1238" s="195" t="n">
        <v>2</v>
      </c>
      <c r="G1238" s="195" t="n">
        <v>1</v>
      </c>
      <c r="H1238" s="195" t="inlineStr">
        <is>
          <t>LOW</t>
        </is>
      </c>
      <c r="I1238" s="195" t="n">
        <v>4.4</v>
      </c>
      <c r="J1238" s="195" t="inlineStr">
        <is>
          <t>NO</t>
        </is>
      </c>
      <c r="K1238" s="196" t="inlineStr">
        <is>
          <t>https://nvd.nist.gov/vuln/detail/CVE-2026-2939</t>
        </is>
      </c>
      <c r="L1238" s="195" t="inlineStr">
        <is>
          <t>2026-02-23 23:48</t>
        </is>
      </c>
      <c r="M1238" s="195" t="inlineStr">
        <is>
          <t>CHECK_VENDOR</t>
        </is>
      </c>
      <c r="N1238" s="195" t="inlineStr">
        <is>
          <t>See NVD references</t>
        </is>
      </c>
      <c r="O1238" s="195" t="inlineStr">
        <is>
          <t>Apply vendor patches</t>
        </is>
      </c>
      <c r="P1238" s="195" t="inlineStr">
        <is>
          <t>itsourcecode student_management_system 1.0</t>
        </is>
      </c>
      <c r="Q1238" s="195" t="inlineStr">
        <is>
          <t>P4</t>
        </is>
      </c>
      <c r="R1238" s="195" t="inlineStr">
        <is>
          <t>📅 Schedule patch deployment within 30 days | 🔍 Monitor for exploitation attempts</t>
        </is>
      </c>
      <c r="S1238" s="195" t="inlineStr">
        <is>
          <t>CVE - IP enrichment n/a</t>
        </is>
      </c>
      <c r="T1238" s="195" t="n">
        <v>0</v>
      </c>
      <c r="U1238" s="195" t="n">
        <v>0</v>
      </c>
      <c r="V1238" s="195" t="inlineStr">
        <is>
          <t>T1189:Drive-by Compromise | T1190:Exploit Public-Facing Application</t>
        </is>
      </c>
      <c r="W1238" s="195" t="n">
        <v>1</v>
      </c>
      <c r="X1238" s="195" t="inlineStr">
        <is>
          <t>LOW (40%)</t>
        </is>
      </c>
      <c r="Y1238" s="195" t="inlineStr">
        <is>
          <t>UNLIKELY</t>
        </is>
      </c>
      <c r="Z1238" s="195" t="inlineStr">
        <is>
          <t>CHECK_VENDOR</t>
        </is>
      </c>
      <c r="AA1238" s="196" t="inlineStr">
        <is>
          <t>https://nvd.nist.gov/vuln/detail/CVE-2026-2939</t>
        </is>
      </c>
      <c r="AB1238" s="195" t="inlineStr">
        <is>
          <t>NONE</t>
        </is>
      </c>
      <c r="AC1238" s="195" t="n">
        <v>0</v>
      </c>
      <c r="AD1238" s="195" t="n"/>
    </row>
    <row r="1239">
      <c r="A1239" s="189" t="inlineStr">
        <is>
          <t>CVE</t>
        </is>
      </c>
      <c r="B1239" s="189" t="inlineStr">
        <is>
          <t>CVE-2026-2940</t>
        </is>
      </c>
      <c r="C1239" s="189" t="inlineStr">
        <is>
          <t>A vulnerability was determined in Zaher1307 tiny_web_server up to 8d77b1044a0ca3a5297d8726ac8aa2cf944d481b. This affects the function tiny_web_server/tiny.c of the file tiny_web_server/tiny.c of the component URL Handler. This manipulation causes out-of-bounds write. The attack can be initiated remotely. The exploit has been publicly disclosed and may be utilized. Continious delivery with rolling releases is used by this product. Therefore, no version details of affected nor updated releases are</t>
        </is>
      </c>
      <c r="D1239" s="189" t="n">
        <v>7.3</v>
      </c>
      <c r="E1239" s="189" t="inlineStr">
        <is>
          <t>HIGH</t>
        </is>
      </c>
      <c r="F1239" s="189" t="n">
        <v>2</v>
      </c>
      <c r="G1239" s="189" t="n">
        <v>3</v>
      </c>
      <c r="H1239" s="189" t="inlineStr">
        <is>
          <t>HIGH</t>
        </is>
      </c>
      <c r="I1239" s="189" t="n">
        <v>13.3</v>
      </c>
      <c r="J1239" s="189" t="inlineStr">
        <is>
          <t>NO</t>
        </is>
      </c>
      <c r="K1239" s="190" t="inlineStr">
        <is>
          <t>https://nvd.nist.gov/vuln/detail/CVE-2026-2940</t>
        </is>
      </c>
      <c r="L1239" s="189" t="inlineStr">
        <is>
          <t>2026-02-23 23:48</t>
        </is>
      </c>
      <c r="M1239" s="189" t="inlineStr">
        <is>
          <t>CHECK_VENDOR</t>
        </is>
      </c>
      <c r="N1239" s="189" t="inlineStr">
        <is>
          <t>See NVD references</t>
        </is>
      </c>
      <c r="O1239" s="189" t="inlineStr">
        <is>
          <t>Apply vendor patches</t>
        </is>
      </c>
      <c r="P1239" s="189" t="inlineStr">
        <is>
          <t>See CVE details</t>
        </is>
      </c>
      <c r="Q1239" s="189" t="inlineStr">
        <is>
          <t>P3</t>
        </is>
      </c>
      <c r="R1239" s="189" t="inlineStr">
        <is>
          <t>🚨 URGENT: Apply vendor patches immediately | 🔒 Isolate affected systems if patch unavailable | 🛡️ Enable additional monitoring/IDS rules</t>
        </is>
      </c>
      <c r="S1239" s="189" t="inlineStr">
        <is>
          <t>CVE - IP enrichment n/a</t>
        </is>
      </c>
      <c r="T1239" s="189" t="n">
        <v>0</v>
      </c>
      <c r="U1239" s="189" t="n">
        <v>0</v>
      </c>
      <c r="V1239" s="189" t="inlineStr">
        <is>
          <t>T1203:Exploitation for Client Execution</t>
        </is>
      </c>
      <c r="W1239" s="189" t="n">
        <v>1</v>
      </c>
      <c r="X1239" s="189" t="inlineStr">
        <is>
          <t>LOW (40%)</t>
        </is>
      </c>
      <c r="Y1239" s="189" t="inlineStr">
        <is>
          <t>UNLIKELY</t>
        </is>
      </c>
      <c r="Z1239" s="189" t="inlineStr">
        <is>
          <t>CHECK_VENDOR</t>
        </is>
      </c>
      <c r="AA1239" s="190" t="inlineStr">
        <is>
          <t>https://nvd.nist.gov/vuln/detail/CVE-2026-2940</t>
        </is>
      </c>
      <c r="AB1239" s="189" t="inlineStr">
        <is>
          <t>NONE</t>
        </is>
      </c>
      <c r="AC1239" s="189" t="n">
        <v>0</v>
      </c>
      <c r="AD1239" s="189" t="n"/>
    </row>
    <row r="1240">
      <c r="A1240" s="191" t="inlineStr">
        <is>
          <t>CVE</t>
        </is>
      </c>
      <c r="B1240" s="191" t="inlineStr">
        <is>
          <t>CVE-2026-2943</t>
        </is>
      </c>
      <c r="C1240" s="191" t="inlineStr">
        <is>
          <t>A vulnerability was identified in SapneshNaik Student Management System up to f4b4f0928f0b5551a28ee81ae7e7fe47d9345318. This impacts an unknown function of the file index.php. Such manipulation of the argument Error leads to cross site scripting. The attack can be launched remotely. The exploit is publicly available and might be used. This product does not use versioning. This is why information about affected and unaffected releases are unavailable. The vendor was contacted early about this dis</t>
        </is>
      </c>
      <c r="D1240" s="191" t="n">
        <v>4.3</v>
      </c>
      <c r="E1240" s="191" t="inlineStr">
        <is>
          <t>MEDIUM</t>
        </is>
      </c>
      <c r="F1240" s="191" t="n">
        <v>2</v>
      </c>
      <c r="G1240" s="191" t="n">
        <v>2</v>
      </c>
      <c r="H1240" s="191" t="inlineStr">
        <is>
          <t>MEDIUM</t>
        </is>
      </c>
      <c r="I1240" s="191" t="n">
        <v>8.300000000000001</v>
      </c>
      <c r="J1240" s="191" t="inlineStr">
        <is>
          <t>NO</t>
        </is>
      </c>
      <c r="K1240" s="192" t="inlineStr">
        <is>
          <t>https://nvd.nist.gov/vuln/detail/CVE-2026-2943</t>
        </is>
      </c>
      <c r="L1240" s="191" t="inlineStr">
        <is>
          <t>2026-02-23 23:48</t>
        </is>
      </c>
      <c r="M1240" s="191" t="inlineStr">
        <is>
          <t>CHECK_VENDOR</t>
        </is>
      </c>
      <c r="N1240" s="191" t="inlineStr">
        <is>
          <t>See NVD references</t>
        </is>
      </c>
      <c r="O1240" s="191" t="inlineStr">
        <is>
          <t>Apply vendor patches</t>
        </is>
      </c>
      <c r="P1240" s="191" t="inlineStr">
        <is>
          <t>See CVE details</t>
        </is>
      </c>
      <c r="Q1240" s="191" t="inlineStr">
        <is>
          <t>P4</t>
        </is>
      </c>
      <c r="R1240" s="191" t="inlineStr">
        <is>
          <t>📅 Schedule patch deployment within 30 days | 🔍 Monitor for exploitation attempts</t>
        </is>
      </c>
      <c r="S1240" s="191" t="inlineStr">
        <is>
          <t>CVE - IP enrichment n/a</t>
        </is>
      </c>
      <c r="T1240" s="191" t="n">
        <v>0</v>
      </c>
      <c r="U1240" s="191" t="n">
        <v>0</v>
      </c>
      <c r="V1240" s="191" t="inlineStr">
        <is>
          <t>T1189:Drive-by Compromise</t>
        </is>
      </c>
      <c r="W1240" s="191" t="n">
        <v>1</v>
      </c>
      <c r="X1240" s="191" t="inlineStr">
        <is>
          <t>LOW (40%)</t>
        </is>
      </c>
      <c r="Y1240" s="191" t="inlineStr">
        <is>
          <t>UNLIKELY</t>
        </is>
      </c>
      <c r="Z1240" s="191" t="inlineStr">
        <is>
          <t>CHECK_VENDOR</t>
        </is>
      </c>
      <c r="AA1240" s="192" t="inlineStr">
        <is>
          <t>https://nvd.nist.gov/vuln/detail/CVE-2026-2943</t>
        </is>
      </c>
      <c r="AB1240" s="191" t="inlineStr">
        <is>
          <t>NONE</t>
        </is>
      </c>
      <c r="AC1240" s="191" t="n">
        <v>0</v>
      </c>
      <c r="AD1240" s="191" t="n"/>
    </row>
    <row r="1241">
      <c r="A1241" s="189" t="inlineStr">
        <is>
          <t>CVE</t>
        </is>
      </c>
      <c r="B1241" s="189" t="inlineStr">
        <is>
          <t>CVE-2026-2944</t>
        </is>
      </c>
      <c r="C1241" s="189" t="inlineStr">
        <is>
          <t>A security flaw has been discovered in Tosei Online Store Management System ネット店舗管理システム 1.01. Affected is the function system of the file /cgi-bin/monitor.php of the component HTTP POST Request Handler. Performing a manipulation of the argument DevId results in os command injection. The attack may be initiated remotely. The exploit has been released to the public and may be used for attacks. The vendor was contacted early about this disclosure but did not respond in any way.</t>
        </is>
      </c>
      <c r="D1241" s="189" t="n">
        <v>7.3</v>
      </c>
      <c r="E1241" s="189" t="inlineStr">
        <is>
          <t>HIGH</t>
        </is>
      </c>
      <c r="F1241" s="189" t="n">
        <v>2</v>
      </c>
      <c r="G1241" s="189" t="n">
        <v>3</v>
      </c>
      <c r="H1241" s="189" t="inlineStr">
        <is>
          <t>HIGH</t>
        </is>
      </c>
      <c r="I1241" s="189" t="n">
        <v>13.3</v>
      </c>
      <c r="J1241" s="189" t="inlineStr">
        <is>
          <t>NO</t>
        </is>
      </c>
      <c r="K1241" s="190" t="inlineStr">
        <is>
          <t>https://nvd.nist.gov/vuln/detail/CVE-2026-2944</t>
        </is>
      </c>
      <c r="L1241" s="189" t="inlineStr">
        <is>
          <t>2026-02-23 23:48</t>
        </is>
      </c>
      <c r="M1241" s="189" t="inlineStr">
        <is>
          <t>CHECK_VENDOR</t>
        </is>
      </c>
      <c r="N1241" s="189" t="inlineStr">
        <is>
          <t>See NVD references</t>
        </is>
      </c>
      <c r="O1241" s="189" t="inlineStr">
        <is>
          <t>Apply vendor patches</t>
        </is>
      </c>
      <c r="P1241" s="189" t="inlineStr">
        <is>
          <t>See CVE details</t>
        </is>
      </c>
      <c r="Q1241" s="189" t="inlineStr">
        <is>
          <t>P2</t>
        </is>
      </c>
      <c r="R1241" s="189" t="inlineStr">
        <is>
          <t>🚨 URGENT: Apply vendor patches immediately | 🔒 Isolate affected systems if patch unavailable | 🛡️ Enable additional monitoring/IDS rules</t>
        </is>
      </c>
      <c r="S1241" s="189" t="inlineStr">
        <is>
          <t>CVE - IP enrichment n/a</t>
        </is>
      </c>
      <c r="T1241" s="189" t="n">
        <v>0.0102</v>
      </c>
      <c r="U1241" s="189" t="n">
        <v>0.769</v>
      </c>
      <c r="V1241" s="189" t="inlineStr">
        <is>
          <t>T1059:Command and Scripting Interpreter</t>
        </is>
      </c>
      <c r="W1241" s="189" t="n">
        <v>1</v>
      </c>
      <c r="X1241" s="189" t="inlineStr">
        <is>
          <t>LOW (40%)</t>
        </is>
      </c>
      <c r="Y1241" s="189" t="inlineStr">
        <is>
          <t>UNLIKELY</t>
        </is>
      </c>
      <c r="Z1241" s="189" t="inlineStr">
        <is>
          <t>CHECK_VENDOR</t>
        </is>
      </c>
      <c r="AA1241" s="190" t="inlineStr">
        <is>
          <t>https://nvd.nist.gov/vuln/detail/CVE-2026-2944</t>
        </is>
      </c>
      <c r="AB1241" s="189" t="inlineStr">
        <is>
          <t>NONE</t>
        </is>
      </c>
      <c r="AC1241" s="189" t="n">
        <v>0</v>
      </c>
      <c r="AD1241" s="189" t="n"/>
    </row>
    <row r="1242">
      <c r="A1242" s="191" t="inlineStr">
        <is>
          <t>CVE</t>
        </is>
      </c>
      <c r="B1242" s="191" t="inlineStr">
        <is>
          <t>CVE-2026-2945</t>
        </is>
      </c>
      <c r="C1242" s="191" t="inlineStr">
        <is>
          <t>A weakness has been identified in JeecgBoot 3.9.0. Affected by this vulnerability is an unknown functionality of the file /sys/common/uploadImgByHttp. Executing a manipulation of the argument fileUrl can lead to server-side request forgery. The attack may be launched remotely. The exploit has been made available to the public and could be used for attacks. The vendor was contacted early about this disclosure but did not respond in any way.</t>
        </is>
      </c>
      <c r="D1242" s="191" t="n">
        <v>6.3</v>
      </c>
      <c r="E1242" s="191" t="inlineStr">
        <is>
          <t>MEDIUM</t>
        </is>
      </c>
      <c r="F1242" s="191" t="n">
        <v>2</v>
      </c>
      <c r="G1242" s="191" t="n">
        <v>2</v>
      </c>
      <c r="H1242" s="191" t="inlineStr">
        <is>
          <t>MEDIUM</t>
        </is>
      </c>
      <c r="I1242" s="191" t="n">
        <v>10.3</v>
      </c>
      <c r="J1242" s="191" t="inlineStr">
        <is>
          <t>NO</t>
        </is>
      </c>
      <c r="K1242" s="192" t="inlineStr">
        <is>
          <t>https://nvd.nist.gov/vuln/detail/CVE-2026-2945</t>
        </is>
      </c>
      <c r="L1242" s="191" t="inlineStr">
        <is>
          <t>2026-02-23 23:48</t>
        </is>
      </c>
      <c r="M1242" s="191" t="inlineStr">
        <is>
          <t>CHECK_VENDOR</t>
        </is>
      </c>
      <c r="N1242" s="191" t="inlineStr">
        <is>
          <t>See NVD references</t>
        </is>
      </c>
      <c r="O1242" s="191" t="inlineStr">
        <is>
          <t>Apply vendor patches</t>
        </is>
      </c>
      <c r="P1242" s="191" t="inlineStr">
        <is>
          <t>See CVE details</t>
        </is>
      </c>
      <c r="Q1242" s="191" t="inlineStr">
        <is>
          <t>P4</t>
        </is>
      </c>
      <c r="R1242" s="191" t="inlineStr">
        <is>
          <t>📅 Schedule patch deployment within 30 days | 🔍 Monitor for exploitation attempts</t>
        </is>
      </c>
      <c r="S1242" s="191" t="inlineStr">
        <is>
          <t>CVE - IP enrichment n/a</t>
        </is>
      </c>
      <c r="T1242" s="191" t="n">
        <v>0</v>
      </c>
      <c r="U1242" s="191" t="n">
        <v>0</v>
      </c>
      <c r="V1242" s="191" t="inlineStr">
        <is>
          <t>T1090:Proxy</t>
        </is>
      </c>
      <c r="W1242" s="191" t="n">
        <v>1</v>
      </c>
      <c r="X1242" s="191" t="inlineStr">
        <is>
          <t>LOW (40%)</t>
        </is>
      </c>
      <c r="Y1242" s="191" t="inlineStr">
        <is>
          <t>UNLIKELY</t>
        </is>
      </c>
      <c r="Z1242" s="191" t="inlineStr">
        <is>
          <t>CHECK_VENDOR</t>
        </is>
      </c>
      <c r="AA1242" s="192" t="inlineStr">
        <is>
          <t>https://nvd.nist.gov/vuln/detail/CVE-2026-2945</t>
        </is>
      </c>
      <c r="AB1242" s="191" t="inlineStr">
        <is>
          <t>NONE</t>
        </is>
      </c>
      <c r="AC1242" s="191" t="n">
        <v>0</v>
      </c>
      <c r="AD1242" s="191" t="n"/>
    </row>
    <row r="1243">
      <c r="A1243" s="195" t="inlineStr">
        <is>
          <t>CVE</t>
        </is>
      </c>
      <c r="B1243" s="195" t="inlineStr">
        <is>
          <t>CVE-2026-2946</t>
        </is>
      </c>
      <c r="C1243" s="195" t="inlineStr">
        <is>
          <t>A security vulnerability has been detected in rymcu forest up to 0.0.5. Affected by this issue is the function XssUtils.replaceHtmlCode of the file src/main/java/com/rymcu/forest/util/XssUtils.java of the component Article Content/Comments/Portfolio. The manipulation leads to cross site scripting. Remote exploitation of the attack is possible. The exploit has been disclosed publicly and may be used. The vendor was contacted early about this disclosure but did not respond in any way.</t>
        </is>
      </c>
      <c r="D1243" s="195" t="n">
        <v>3.5</v>
      </c>
      <c r="E1243" s="195" t="inlineStr">
        <is>
          <t>LOW</t>
        </is>
      </c>
      <c r="F1243" s="195" t="n">
        <v>2</v>
      </c>
      <c r="G1243" s="195" t="n">
        <v>1</v>
      </c>
      <c r="H1243" s="195" t="inlineStr">
        <is>
          <t>LOW</t>
        </is>
      </c>
      <c r="I1243" s="195" t="n">
        <v>5.5</v>
      </c>
      <c r="J1243" s="195" t="inlineStr">
        <is>
          <t>NO</t>
        </is>
      </c>
      <c r="K1243" s="196" t="inlineStr">
        <is>
          <t>https://nvd.nist.gov/vuln/detail/CVE-2026-2946</t>
        </is>
      </c>
      <c r="L1243" s="195" t="inlineStr">
        <is>
          <t>2026-02-23 23:48</t>
        </is>
      </c>
      <c r="M1243" s="195" t="inlineStr">
        <is>
          <t>CHECK_VENDOR</t>
        </is>
      </c>
      <c r="N1243" s="195" t="inlineStr">
        <is>
          <t>See NVD references</t>
        </is>
      </c>
      <c r="O1243" s="195" t="inlineStr">
        <is>
          <t>Apply vendor patches</t>
        </is>
      </c>
      <c r="P1243" s="195" t="inlineStr">
        <is>
          <t>See CVE details</t>
        </is>
      </c>
      <c r="Q1243" s="195" t="inlineStr">
        <is>
          <t>P4</t>
        </is>
      </c>
      <c r="R1243" s="195" t="inlineStr">
        <is>
          <t>📅 Schedule patch deployment within 30 days | 🔍 Monitor for exploitation attempts</t>
        </is>
      </c>
      <c r="S1243" s="195" t="inlineStr">
        <is>
          <t>CVE - IP enrichment n/a</t>
        </is>
      </c>
      <c r="T1243" s="195" t="n">
        <v>0</v>
      </c>
      <c r="U1243" s="195" t="n">
        <v>0</v>
      </c>
      <c r="V1243" s="195" t="inlineStr">
        <is>
          <t>T1189:Drive-by Compromise</t>
        </is>
      </c>
      <c r="W1243" s="195" t="n">
        <v>1</v>
      </c>
      <c r="X1243" s="195" t="inlineStr">
        <is>
          <t>LOW (40%)</t>
        </is>
      </c>
      <c r="Y1243" s="195" t="inlineStr">
        <is>
          <t>UNLIKELY</t>
        </is>
      </c>
      <c r="Z1243" s="195" t="inlineStr">
        <is>
          <t>CHECK_VENDOR</t>
        </is>
      </c>
      <c r="AA1243" s="196" t="inlineStr">
        <is>
          <t>https://nvd.nist.gov/vuln/detail/CVE-2026-2946</t>
        </is>
      </c>
      <c r="AB1243" s="195" t="inlineStr">
        <is>
          <t>NONE</t>
        </is>
      </c>
      <c r="AC1243" s="195" t="n">
        <v>0</v>
      </c>
      <c r="AD1243" s="195" t="n"/>
    </row>
    <row r="1244">
      <c r="A1244" s="189" t="inlineStr">
        <is>
          <t>CVE</t>
        </is>
      </c>
      <c r="B1244" s="189" t="inlineStr">
        <is>
          <t>CVE-2019-25366</t>
        </is>
      </c>
      <c r="C1244" s="189" t="inlineStr">
        <is>
          <t>microASP Portal+ CMS contains an SQL injection vulnerability that allows unauthenticated attackers to execute arbitrary SQL queries by injecting malicious code into the explode_tree parameter. Attackers can send crafted requests to pagina.phtml with SQL injection payloads using extractvalue and concat functions to extract sensitive database information like the current database name.</t>
        </is>
      </c>
      <c r="D1244" s="189" t="n">
        <v>8.199999999999999</v>
      </c>
      <c r="E1244" s="189" t="inlineStr">
        <is>
          <t>HIGH</t>
        </is>
      </c>
      <c r="F1244" s="189" t="n">
        <v>2</v>
      </c>
      <c r="G1244" s="189" t="n">
        <v>3</v>
      </c>
      <c r="H1244" s="189" t="inlineStr">
        <is>
          <t>HIGH</t>
        </is>
      </c>
      <c r="I1244" s="189" t="n">
        <v>14.2</v>
      </c>
      <c r="J1244" s="189" t="inlineStr">
        <is>
          <t>NO</t>
        </is>
      </c>
      <c r="K1244" s="190" t="inlineStr">
        <is>
          <t>https://nvd.nist.gov/vuln/detail/CVE-2019-25366</t>
        </is>
      </c>
      <c r="L1244" s="189" t="inlineStr">
        <is>
          <t>2026-02-23 23:48</t>
        </is>
      </c>
      <c r="M1244" s="189" t="inlineStr">
        <is>
          <t>CHECK_VENDOR</t>
        </is>
      </c>
      <c r="N1244" s="189" t="inlineStr">
        <is>
          <t>See NVD references</t>
        </is>
      </c>
      <c r="O1244" s="189" t="inlineStr">
        <is>
          <t>Apply vendor patches</t>
        </is>
      </c>
      <c r="P1244" s="189" t="inlineStr">
        <is>
          <t>See CVE details</t>
        </is>
      </c>
      <c r="Q1244" s="189" t="inlineStr">
        <is>
          <t>P3</t>
        </is>
      </c>
      <c r="R1244" s="189" t="inlineStr">
        <is>
          <t>🚨 URGENT: Apply vendor patches immediately | 🔒 Isolate affected systems if patch unavailable | 🛡️ Enable additional monitoring/IDS rules</t>
        </is>
      </c>
      <c r="S1244" s="189" t="inlineStr">
        <is>
          <t>CVE - IP enrichment n/a</t>
        </is>
      </c>
      <c r="T1244" s="189" t="n">
        <v>0.0002</v>
      </c>
      <c r="U1244" s="189" t="n">
        <v>0.061</v>
      </c>
      <c r="V1244" s="189" t="inlineStr">
        <is>
          <t>T1190:Exploit Public-Facing Application</t>
        </is>
      </c>
      <c r="W1244" s="189" t="n">
        <v>1</v>
      </c>
      <c r="X1244" s="189" t="inlineStr">
        <is>
          <t>LOW (40%)</t>
        </is>
      </c>
      <c r="Y1244" s="189" t="inlineStr">
        <is>
          <t>UNLIKELY</t>
        </is>
      </c>
      <c r="Z1244" s="189" t="inlineStr">
        <is>
          <t>CHECK_VENDOR</t>
        </is>
      </c>
      <c r="AA1244" s="190" t="inlineStr">
        <is>
          <t>https://nvd.nist.gov/vuln/detail/CVE-2019-25366</t>
        </is>
      </c>
      <c r="AB1244" s="189" t="inlineStr">
        <is>
          <t>NONE</t>
        </is>
      </c>
      <c r="AC1244" s="189" t="n">
        <v>0</v>
      </c>
      <c r="AD1244" s="189" t="n"/>
    </row>
    <row r="1245">
      <c r="A1245" s="189" t="inlineStr">
        <is>
          <t>CVE</t>
        </is>
      </c>
      <c r="B1245" s="189" t="inlineStr">
        <is>
          <t>CVE-2019-25391</t>
        </is>
      </c>
      <c r="C1245" s="189" t="inlineStr">
        <is>
          <t>Ashop Shopping Cart Software contains a time-based blind SQL injection vulnerability that allows attackers to manipulate database queries through the blacklistitemid parameter. Attackers can send POST requests to the admin/bannedcustomers.php endpoint with crafted SQL payloads using SLEEP functions to extract sensitive database information.</t>
        </is>
      </c>
      <c r="D1245" s="189" t="n">
        <v>8.199999999999999</v>
      </c>
      <c r="E1245" s="189" t="inlineStr">
        <is>
          <t>HIGH</t>
        </is>
      </c>
      <c r="F1245" s="189" t="n">
        <v>2</v>
      </c>
      <c r="G1245" s="189" t="n">
        <v>3</v>
      </c>
      <c r="H1245" s="189" t="inlineStr">
        <is>
          <t>HIGH</t>
        </is>
      </c>
      <c r="I1245" s="189" t="n">
        <v>14.2</v>
      </c>
      <c r="J1245" s="189" t="inlineStr">
        <is>
          <t>NO</t>
        </is>
      </c>
      <c r="K1245" s="190" t="inlineStr">
        <is>
          <t>https://nvd.nist.gov/vuln/detail/CVE-2019-25391</t>
        </is>
      </c>
      <c r="L1245" s="189" t="inlineStr">
        <is>
          <t>2026-02-23 23:48</t>
        </is>
      </c>
      <c r="M1245" s="189" t="inlineStr">
        <is>
          <t>CHECK_VENDOR</t>
        </is>
      </c>
      <c r="N1245" s="189" t="inlineStr">
        <is>
          <t>See NVD references</t>
        </is>
      </c>
      <c r="O1245" s="189" t="inlineStr">
        <is>
          <t>Apply vendor patches</t>
        </is>
      </c>
      <c r="P1245" s="189" t="inlineStr">
        <is>
          <t>See CVE details</t>
        </is>
      </c>
      <c r="Q1245" s="189" t="inlineStr">
        <is>
          <t>P3</t>
        </is>
      </c>
      <c r="R1245" s="189" t="inlineStr">
        <is>
          <t>🚨 URGENT: Apply vendor patches immediately | 🔒 Isolate affected systems if patch unavailable | 🛡️ Enable additional monitoring/IDS rules</t>
        </is>
      </c>
      <c r="S1245" s="189" t="inlineStr">
        <is>
          <t>CVE - IP enrichment n/a</t>
        </is>
      </c>
      <c r="T1245" s="189" t="n">
        <v>0.0003</v>
      </c>
      <c r="U1245" s="189" t="n">
        <v>0.1038</v>
      </c>
      <c r="V1245" s="189" t="inlineStr">
        <is>
          <t>T1190:Exploit Public-Facing Application</t>
        </is>
      </c>
      <c r="W1245" s="189" t="n">
        <v>1</v>
      </c>
      <c r="X1245" s="189" t="inlineStr">
        <is>
          <t>LOW (40%)</t>
        </is>
      </c>
      <c r="Y1245" s="189" t="inlineStr">
        <is>
          <t>UNLIKELY</t>
        </is>
      </c>
      <c r="Z1245" s="189" t="inlineStr">
        <is>
          <t>CHECK_VENDOR</t>
        </is>
      </c>
      <c r="AA1245" s="190" t="inlineStr">
        <is>
          <t>https://nvd.nist.gov/vuln/detail/CVE-2019-25391</t>
        </is>
      </c>
      <c r="AB1245" s="189" t="inlineStr">
        <is>
          <t>NONE</t>
        </is>
      </c>
      <c r="AC1245" s="189" t="n">
        <v>0</v>
      </c>
      <c r="AD1245" s="189" t="n"/>
    </row>
    <row r="1246">
      <c r="A1246" s="189" t="inlineStr">
        <is>
          <t>CVE</t>
        </is>
      </c>
      <c r="B1246" s="189" t="inlineStr">
        <is>
          <t>CVE-2019-25433</t>
        </is>
      </c>
      <c r="C1246" s="189" t="inlineStr">
        <is>
          <t>XOOPS CMS 2.5.9 contains an SQL injection vulnerability that allows unauthenticated attackers to manipulate database queries by injecting SQL code through the cid parameter. Attackers can send GET requests to the gerar_pdf.php endpoint with malicious cid values to extract sensitive database information.</t>
        </is>
      </c>
      <c r="D1246" s="189" t="n">
        <v>8.199999999999999</v>
      </c>
      <c r="E1246" s="189" t="inlineStr">
        <is>
          <t>HIGH</t>
        </is>
      </c>
      <c r="F1246" s="189" t="n">
        <v>2</v>
      </c>
      <c r="G1246" s="189" t="n">
        <v>3</v>
      </c>
      <c r="H1246" s="189" t="inlineStr">
        <is>
          <t>HIGH</t>
        </is>
      </c>
      <c r="I1246" s="189" t="n">
        <v>14.2</v>
      </c>
      <c r="J1246" s="189" t="inlineStr">
        <is>
          <t>NO</t>
        </is>
      </c>
      <c r="K1246" s="190" t="inlineStr">
        <is>
          <t>https://nvd.nist.gov/vuln/detail/CVE-2019-25433</t>
        </is>
      </c>
      <c r="L1246" s="189" t="inlineStr">
        <is>
          <t>2026-02-23 23:48</t>
        </is>
      </c>
      <c r="M1246" s="189" t="inlineStr">
        <is>
          <t>CHECK_VENDOR</t>
        </is>
      </c>
      <c r="N1246" s="189" t="inlineStr">
        <is>
          <t>See NVD references</t>
        </is>
      </c>
      <c r="O1246" s="189" t="inlineStr">
        <is>
          <t>Apply vendor patches</t>
        </is>
      </c>
      <c r="P1246" s="189" t="inlineStr">
        <is>
          <t>See CVE details</t>
        </is>
      </c>
      <c r="Q1246" s="189" t="inlineStr">
        <is>
          <t>P3</t>
        </is>
      </c>
      <c r="R1246" s="189" t="inlineStr">
        <is>
          <t>🚨 URGENT: Apply vendor patches immediately | 🔒 Isolate affected systems if patch unavailable | 🛡️ Enable additional monitoring/IDS rules</t>
        </is>
      </c>
      <c r="S1246" s="189" t="inlineStr">
        <is>
          <t>CVE - IP enrichment n/a</t>
        </is>
      </c>
      <c r="T1246" s="189" t="n">
        <v>0</v>
      </c>
      <c r="U1246" s="189" t="n">
        <v>0</v>
      </c>
      <c r="V1246" s="189" t="inlineStr">
        <is>
          <t>T1190:Exploit Public-Facing Application</t>
        </is>
      </c>
      <c r="W1246" s="189" t="n">
        <v>1</v>
      </c>
      <c r="X1246" s="189" t="inlineStr">
        <is>
          <t>LOW (40%)</t>
        </is>
      </c>
      <c r="Y1246" s="189" t="inlineStr">
        <is>
          <t>UNLIKELY</t>
        </is>
      </c>
      <c r="Z1246" s="189" t="inlineStr">
        <is>
          <t>CHECK_VENDOR</t>
        </is>
      </c>
      <c r="AA1246" s="190" t="inlineStr">
        <is>
          <t>https://nvd.nist.gov/vuln/detail/CVE-2019-25433</t>
        </is>
      </c>
      <c r="AB1246" s="189" t="inlineStr">
        <is>
          <t>NONE</t>
        </is>
      </c>
      <c r="AC1246" s="189" t="n">
        <v>0</v>
      </c>
      <c r="AD1246" s="189" t="n"/>
    </row>
    <row r="1247">
      <c r="A1247" s="189" t="inlineStr">
        <is>
          <t>CVE</t>
        </is>
      </c>
      <c r="B1247" s="189" t="inlineStr">
        <is>
          <t>CVE-2019-25439</t>
        </is>
      </c>
      <c r="C1247" s="189" t="inlineStr">
        <is>
          <t>NoviSmart CMS contains an SQL injection vulnerability that allows remote attackers to execute arbitrary SQL queries by injecting malicious code through the Referer HTTP header field. Attackers can craft requests with time-based SQL injection payloads in the Referer header to extract sensitive database information or cause denial of service.</t>
        </is>
      </c>
      <c r="D1247" s="189" t="n">
        <v>8.199999999999999</v>
      </c>
      <c r="E1247" s="189" t="inlineStr">
        <is>
          <t>HIGH</t>
        </is>
      </c>
      <c r="F1247" s="189" t="n">
        <v>2</v>
      </c>
      <c r="G1247" s="189" t="n">
        <v>3</v>
      </c>
      <c r="H1247" s="189" t="inlineStr">
        <is>
          <t>HIGH</t>
        </is>
      </c>
      <c r="I1247" s="189" t="n">
        <v>14.2</v>
      </c>
      <c r="J1247" s="189" t="inlineStr">
        <is>
          <t>NO</t>
        </is>
      </c>
      <c r="K1247" s="190" t="inlineStr">
        <is>
          <t>https://nvd.nist.gov/vuln/detail/CVE-2019-25439</t>
        </is>
      </c>
      <c r="L1247" s="189" t="inlineStr">
        <is>
          <t>2026-02-23 23:48</t>
        </is>
      </c>
      <c r="M1247" s="189" t="inlineStr">
        <is>
          <t>CHECK_VENDOR</t>
        </is>
      </c>
      <c r="N1247" s="189" t="inlineStr">
        <is>
          <t>See NVD references</t>
        </is>
      </c>
      <c r="O1247" s="189" t="inlineStr">
        <is>
          <t>Apply vendor patches</t>
        </is>
      </c>
      <c r="P1247" s="189" t="inlineStr">
        <is>
          <t>See CVE details</t>
        </is>
      </c>
      <c r="Q1247" s="189" t="inlineStr">
        <is>
          <t>P3</t>
        </is>
      </c>
      <c r="R1247" s="189" t="inlineStr">
        <is>
          <t>🚨 URGENT: Apply vendor patches immediately | 🔒 Isolate affected systems if patch unavailable | 🛡️ Enable additional monitoring/IDS rules</t>
        </is>
      </c>
      <c r="S1247" s="189" t="inlineStr">
        <is>
          <t>CVE - IP enrichment n/a</t>
        </is>
      </c>
      <c r="T1247" s="189" t="n">
        <v>0</v>
      </c>
      <c r="U1247" s="189" t="n">
        <v>0</v>
      </c>
      <c r="V1247" s="189" t="inlineStr">
        <is>
          <t>T1190:Exploit Public-Facing Application | T1499:Endpoint Denial of Service</t>
        </is>
      </c>
      <c r="W1247" s="189" t="n">
        <v>1</v>
      </c>
      <c r="X1247" s="189" t="inlineStr">
        <is>
          <t>LOW (40%)</t>
        </is>
      </c>
      <c r="Y1247" s="189" t="inlineStr">
        <is>
          <t>UNLIKELY</t>
        </is>
      </c>
      <c r="Z1247" s="189" t="inlineStr">
        <is>
          <t>CHECK_VENDOR</t>
        </is>
      </c>
      <c r="AA1247" s="190" t="inlineStr">
        <is>
          <t>https://nvd.nist.gov/vuln/detail/CVE-2019-25439</t>
        </is>
      </c>
      <c r="AB1247" s="189" t="inlineStr">
        <is>
          <t>NONE</t>
        </is>
      </c>
      <c r="AC1247" s="189" t="n">
        <v>0</v>
      </c>
      <c r="AD1247" s="189" t="n"/>
    </row>
    <row r="1248">
      <c r="A1248" s="189" t="inlineStr">
        <is>
          <t>CVE</t>
        </is>
      </c>
      <c r="B1248" s="189" t="inlineStr">
        <is>
          <t>CVE-2019-25440</t>
        </is>
      </c>
      <c r="C1248" s="189" t="inlineStr">
        <is>
          <t>WebIncorp ERP contains an SQL injection vulnerability that allows unauthenticated attackers to manipulate database queries by injecting SQL code through the prod_id parameter. Attackers can send GET requests to product_detail.php with malicious prod_id values to extract sensitive database information.</t>
        </is>
      </c>
      <c r="D1248" s="189" t="n">
        <v>8.199999999999999</v>
      </c>
      <c r="E1248" s="189" t="inlineStr">
        <is>
          <t>HIGH</t>
        </is>
      </c>
      <c r="F1248" s="189" t="n">
        <v>2</v>
      </c>
      <c r="G1248" s="189" t="n">
        <v>3</v>
      </c>
      <c r="H1248" s="189" t="inlineStr">
        <is>
          <t>HIGH</t>
        </is>
      </c>
      <c r="I1248" s="189" t="n">
        <v>14.2</v>
      </c>
      <c r="J1248" s="189" t="inlineStr">
        <is>
          <t>NO</t>
        </is>
      </c>
      <c r="K1248" s="190" t="inlineStr">
        <is>
          <t>https://nvd.nist.gov/vuln/detail/CVE-2019-25440</t>
        </is>
      </c>
      <c r="L1248" s="189" t="inlineStr">
        <is>
          <t>2026-02-23 23:48</t>
        </is>
      </c>
      <c r="M1248" s="189" t="inlineStr">
        <is>
          <t>CHECK_VENDOR</t>
        </is>
      </c>
      <c r="N1248" s="189" t="inlineStr">
        <is>
          <t>See NVD references</t>
        </is>
      </c>
      <c r="O1248" s="189" t="inlineStr">
        <is>
          <t>Apply vendor patches</t>
        </is>
      </c>
      <c r="P1248" s="189" t="inlineStr">
        <is>
          <t>See CVE details</t>
        </is>
      </c>
      <c r="Q1248" s="189" t="inlineStr">
        <is>
          <t>P3</t>
        </is>
      </c>
      <c r="R1248" s="189" t="inlineStr">
        <is>
          <t>🚨 URGENT: Apply vendor patches immediately | 🔒 Isolate affected systems if patch unavailable | 🛡️ Enable additional monitoring/IDS rules</t>
        </is>
      </c>
      <c r="S1248" s="189" t="inlineStr">
        <is>
          <t>CVE - IP enrichment n/a</t>
        </is>
      </c>
      <c r="T1248" s="189" t="n">
        <v>0</v>
      </c>
      <c r="U1248" s="189" t="n">
        <v>0</v>
      </c>
      <c r="V1248" s="189" t="inlineStr">
        <is>
          <t>T1190:Exploit Public-Facing Application</t>
        </is>
      </c>
      <c r="W1248" s="189" t="n">
        <v>1</v>
      </c>
      <c r="X1248" s="189" t="inlineStr">
        <is>
          <t>LOW (40%)</t>
        </is>
      </c>
      <c r="Y1248" s="189" t="inlineStr">
        <is>
          <t>UNLIKELY</t>
        </is>
      </c>
      <c r="Z1248" s="189" t="inlineStr">
        <is>
          <t>CHECK_VENDOR</t>
        </is>
      </c>
      <c r="AA1248" s="190" t="inlineStr">
        <is>
          <t>https://nvd.nist.gov/vuln/detail/CVE-2019-25440</t>
        </is>
      </c>
      <c r="AB1248" s="189" t="inlineStr">
        <is>
          <t>NONE</t>
        </is>
      </c>
      <c r="AC1248" s="189" t="n">
        <v>0</v>
      </c>
      <c r="AD1248" s="189" t="n"/>
    </row>
    <row r="1249">
      <c r="A1249" s="189" t="inlineStr">
        <is>
          <t>CVE</t>
        </is>
      </c>
      <c r="B1249" s="189" t="inlineStr">
        <is>
          <t>CVE-2019-25442</t>
        </is>
      </c>
      <c r="C1249" s="189" t="inlineStr">
        <is>
          <t>Web Wiz Forums 12.01 contains an SQL injection vulnerability that allows unauthenticated attackers to manipulate database queries by injecting SQL code through the PF parameter. Attackers can send GET requests to member_profile.asp with malicious PF values to extract sensitive database information.</t>
        </is>
      </c>
      <c r="D1249" s="189" t="n">
        <v>8.199999999999999</v>
      </c>
      <c r="E1249" s="189" t="inlineStr">
        <is>
          <t>HIGH</t>
        </is>
      </c>
      <c r="F1249" s="189" t="n">
        <v>2</v>
      </c>
      <c r="G1249" s="189" t="n">
        <v>3</v>
      </c>
      <c r="H1249" s="189" t="inlineStr">
        <is>
          <t>HIGH</t>
        </is>
      </c>
      <c r="I1249" s="189" t="n">
        <v>14.2</v>
      </c>
      <c r="J1249" s="189" t="inlineStr">
        <is>
          <t>NO</t>
        </is>
      </c>
      <c r="K1249" s="190" t="inlineStr">
        <is>
          <t>https://nvd.nist.gov/vuln/detail/CVE-2019-25442</t>
        </is>
      </c>
      <c r="L1249" s="189" t="inlineStr">
        <is>
          <t>2026-02-23 23:48</t>
        </is>
      </c>
      <c r="M1249" s="189" t="inlineStr">
        <is>
          <t>CHECK_VENDOR</t>
        </is>
      </c>
      <c r="N1249" s="189" t="inlineStr">
        <is>
          <t>See NVD references</t>
        </is>
      </c>
      <c r="O1249" s="189" t="inlineStr">
        <is>
          <t>Apply vendor patches</t>
        </is>
      </c>
      <c r="P1249" s="189" t="inlineStr">
        <is>
          <t>See CVE details</t>
        </is>
      </c>
      <c r="Q1249" s="189" t="inlineStr">
        <is>
          <t>P3</t>
        </is>
      </c>
      <c r="R1249" s="189" t="inlineStr">
        <is>
          <t>🚨 URGENT: Apply vendor patches immediately | 🔒 Isolate affected systems if patch unavailable | 🛡️ Enable additional monitoring/IDS rules</t>
        </is>
      </c>
      <c r="S1249" s="189" t="inlineStr">
        <is>
          <t>CVE - IP enrichment n/a</t>
        </is>
      </c>
      <c r="T1249" s="189" t="n">
        <v>0.0007</v>
      </c>
      <c r="U1249" s="189" t="n">
        <v>0.2054</v>
      </c>
      <c r="V1249" s="189" t="inlineStr">
        <is>
          <t>T1190:Exploit Public-Facing Application</t>
        </is>
      </c>
      <c r="W1249" s="189" t="n">
        <v>1</v>
      </c>
      <c r="X1249" s="189" t="inlineStr">
        <is>
          <t>LOW (40%)</t>
        </is>
      </c>
      <c r="Y1249" s="189" t="inlineStr">
        <is>
          <t>UNLIKELY</t>
        </is>
      </c>
      <c r="Z1249" s="189" t="inlineStr">
        <is>
          <t>CHECK_VENDOR</t>
        </is>
      </c>
      <c r="AA1249" s="190" t="inlineStr">
        <is>
          <t>https://nvd.nist.gov/vuln/detail/CVE-2019-25442</t>
        </is>
      </c>
      <c r="AB1249" s="189" t="inlineStr">
        <is>
          <t>NONE</t>
        </is>
      </c>
      <c r="AC1249" s="189" t="n">
        <v>0</v>
      </c>
      <c r="AD1249" s="189" t="n"/>
    </row>
    <row r="1250">
      <c r="A1250" s="189" t="inlineStr">
        <is>
          <t>CVE</t>
        </is>
      </c>
      <c r="B1250" s="189" t="inlineStr">
        <is>
          <t>CVE-2019-25443</t>
        </is>
      </c>
      <c r="C1250" s="189" t="inlineStr">
        <is>
          <t>Inventory Webapp contains an SQL injection vulnerability that allows unauthenticated attackers to manipulate database queries by injecting SQL code through GET parameters. Attackers can supply malicious SQL payloads in the name, description, quantity, or cat_id parameters to add-item.php to execute arbitrary database commands.</t>
        </is>
      </c>
      <c r="D1250" s="189" t="n">
        <v>8.199999999999999</v>
      </c>
      <c r="E1250" s="189" t="inlineStr">
        <is>
          <t>HIGH</t>
        </is>
      </c>
      <c r="F1250" s="189" t="n">
        <v>2</v>
      </c>
      <c r="G1250" s="189" t="n">
        <v>3</v>
      </c>
      <c r="H1250" s="189" t="inlineStr">
        <is>
          <t>HIGH</t>
        </is>
      </c>
      <c r="I1250" s="189" t="n">
        <v>14.2</v>
      </c>
      <c r="J1250" s="189" t="inlineStr">
        <is>
          <t>NO</t>
        </is>
      </c>
      <c r="K1250" s="190" t="inlineStr">
        <is>
          <t>https://nvd.nist.gov/vuln/detail/CVE-2019-25443</t>
        </is>
      </c>
      <c r="L1250" s="189" t="inlineStr">
        <is>
          <t>2026-02-23 23:48</t>
        </is>
      </c>
      <c r="M1250" s="189" t="inlineStr">
        <is>
          <t>CHECK_VENDOR</t>
        </is>
      </c>
      <c r="N1250" s="189" t="inlineStr">
        <is>
          <t>See NVD references</t>
        </is>
      </c>
      <c r="O1250" s="189" t="inlineStr">
        <is>
          <t>Apply vendor patches</t>
        </is>
      </c>
      <c r="P1250" s="189" t="inlineStr">
        <is>
          <t>See CVE details</t>
        </is>
      </c>
      <c r="Q1250" s="189" t="inlineStr">
        <is>
          <t>P3</t>
        </is>
      </c>
      <c r="R1250" s="189" t="inlineStr">
        <is>
          <t>🚨 URGENT: Apply vendor patches immediately | 🔒 Isolate affected systems if patch unavailable | 🛡️ Enable additional monitoring/IDS rules</t>
        </is>
      </c>
      <c r="S1250" s="189" t="inlineStr">
        <is>
          <t>CVE - IP enrichment n/a</t>
        </is>
      </c>
      <c r="T1250" s="189" t="n">
        <v>0</v>
      </c>
      <c r="U1250" s="189" t="n">
        <v>0</v>
      </c>
      <c r="V1250" s="189" t="inlineStr">
        <is>
          <t>T1190:Exploit Public-Facing Application</t>
        </is>
      </c>
      <c r="W1250" s="189" t="n">
        <v>1</v>
      </c>
      <c r="X1250" s="189" t="inlineStr">
        <is>
          <t>LOW (40%)</t>
        </is>
      </c>
      <c r="Y1250" s="189" t="inlineStr">
        <is>
          <t>UNLIKELY</t>
        </is>
      </c>
      <c r="Z1250" s="189" t="inlineStr">
        <is>
          <t>CHECK_VENDOR</t>
        </is>
      </c>
      <c r="AA1250" s="190" t="inlineStr">
        <is>
          <t>https://nvd.nist.gov/vuln/detail/CVE-2019-25443</t>
        </is>
      </c>
      <c r="AB1250" s="189" t="inlineStr">
        <is>
          <t>NONE</t>
        </is>
      </c>
      <c r="AC1250" s="189" t="n">
        <v>0</v>
      </c>
      <c r="AD1250" s="189" t="n"/>
    </row>
    <row r="1251">
      <c r="A1251" s="189" t="inlineStr">
        <is>
          <t>CVE</t>
        </is>
      </c>
      <c r="B1251" s="189" t="inlineStr">
        <is>
          <t>CVE-2019-25446</t>
        </is>
      </c>
      <c r="C1251" s="189" t="inlineStr">
        <is>
          <t>DIGIT CENTRIS ERP contains an SQL injection vulnerability that allows unauthenticated attackers to manipulate database queries by injecting SQL code through the datum1, datum2, KID, and PID parameters. Attackers can send POST requests to /korisnikinfo.php with malicious SQL syntax in these parameters to extract or modify sensitive database information.</t>
        </is>
      </c>
      <c r="D1251" s="189" t="n">
        <v>8.199999999999999</v>
      </c>
      <c r="E1251" s="189" t="inlineStr">
        <is>
          <t>HIGH</t>
        </is>
      </c>
      <c r="F1251" s="189" t="n">
        <v>2</v>
      </c>
      <c r="G1251" s="189" t="n">
        <v>3</v>
      </c>
      <c r="H1251" s="189" t="inlineStr">
        <is>
          <t>HIGH</t>
        </is>
      </c>
      <c r="I1251" s="189" t="n">
        <v>14.2</v>
      </c>
      <c r="J1251" s="189" t="inlineStr">
        <is>
          <t>NO</t>
        </is>
      </c>
      <c r="K1251" s="190" t="inlineStr">
        <is>
          <t>https://nvd.nist.gov/vuln/detail/CVE-2019-25446</t>
        </is>
      </c>
      <c r="L1251" s="189" t="inlineStr">
        <is>
          <t>2026-02-23 23:48</t>
        </is>
      </c>
      <c r="M1251" s="189" t="inlineStr">
        <is>
          <t>CHECK_VENDOR</t>
        </is>
      </c>
      <c r="N1251" s="189" t="inlineStr">
        <is>
          <t>See NVD references</t>
        </is>
      </c>
      <c r="O1251" s="189" t="inlineStr">
        <is>
          <t>Apply vendor patches</t>
        </is>
      </c>
      <c r="P1251" s="189" t="inlineStr">
        <is>
          <t>See CVE details</t>
        </is>
      </c>
      <c r="Q1251" s="189" t="inlineStr">
        <is>
          <t>P3</t>
        </is>
      </c>
      <c r="R1251" s="189" t="inlineStr">
        <is>
          <t>🚨 URGENT: Apply vendor patches immediately | 🔒 Isolate affected systems if patch unavailable | 🛡️ Enable additional monitoring/IDS rules</t>
        </is>
      </c>
      <c r="S1251" s="189" t="inlineStr">
        <is>
          <t>CVE - IP enrichment n/a</t>
        </is>
      </c>
      <c r="T1251" s="189" t="n">
        <v>0</v>
      </c>
      <c r="U1251" s="189" t="n">
        <v>0</v>
      </c>
      <c r="V1251" s="189" t="inlineStr">
        <is>
          <t>T1190:Exploit Public-Facing Application</t>
        </is>
      </c>
      <c r="W1251" s="189" t="n">
        <v>1</v>
      </c>
      <c r="X1251" s="189" t="inlineStr">
        <is>
          <t>LOW (40%)</t>
        </is>
      </c>
      <c r="Y1251" s="189" t="inlineStr">
        <is>
          <t>UNLIKELY</t>
        </is>
      </c>
      <c r="Z1251" s="189" t="inlineStr">
        <is>
          <t>CHECK_VENDOR</t>
        </is>
      </c>
      <c r="AA1251" s="190" t="inlineStr">
        <is>
          <t>https://nvd.nist.gov/vuln/detail/CVE-2019-25446</t>
        </is>
      </c>
      <c r="AB1251" s="189" t="inlineStr">
        <is>
          <t>NONE</t>
        </is>
      </c>
      <c r="AC1251" s="189" t="n">
        <v>0</v>
      </c>
      <c r="AD1251" s="189" t="n"/>
    </row>
    <row r="1252">
      <c r="A1252" s="189" t="inlineStr">
        <is>
          <t>CVE</t>
        </is>
      </c>
      <c r="B1252" s="189" t="inlineStr">
        <is>
          <t>CVE-2019-25450</t>
        </is>
      </c>
      <c r="C1252" s="189" t="inlineStr">
        <is>
          <t>Dolibarr ERP/CRM 10.0.1 contains multiple SQL injection vulnerabilities that allow authenticated attackers to manipulate database queries by injecting SQL code through POST parameters. Attackers can inject malicious SQL through parameters like actioncode, demand_reason_id, and availability_id in card.php endpoints to extract sensitive database information using boolean-based blind, error-based, and time-based blind techniques.</t>
        </is>
      </c>
      <c r="D1252" s="189" t="n">
        <v>7.1</v>
      </c>
      <c r="E1252" s="189" t="inlineStr">
        <is>
          <t>HIGH</t>
        </is>
      </c>
      <c r="F1252" s="189" t="n">
        <v>2</v>
      </c>
      <c r="G1252" s="189" t="n">
        <v>3</v>
      </c>
      <c r="H1252" s="189" t="inlineStr">
        <is>
          <t>HIGH</t>
        </is>
      </c>
      <c r="I1252" s="189" t="n">
        <v>13.1</v>
      </c>
      <c r="J1252" s="189" t="inlineStr">
        <is>
          <t>NO</t>
        </is>
      </c>
      <c r="K1252" s="190" t="inlineStr">
        <is>
          <t>https://nvd.nist.gov/vuln/detail/CVE-2019-25450</t>
        </is>
      </c>
      <c r="L1252" s="189" t="inlineStr">
        <is>
          <t>2026-02-23 23:48</t>
        </is>
      </c>
      <c r="M1252" s="189" t="inlineStr">
        <is>
          <t>CHECK_VENDOR</t>
        </is>
      </c>
      <c r="N1252" s="189" t="inlineStr">
        <is>
          <t>See NVD references</t>
        </is>
      </c>
      <c r="O1252" s="189" t="inlineStr">
        <is>
          <t>Apply vendor patches</t>
        </is>
      </c>
      <c r="P1252" s="189" t="inlineStr">
        <is>
          <t>See CVE details</t>
        </is>
      </c>
      <c r="Q1252" s="189" t="inlineStr">
        <is>
          <t>P3</t>
        </is>
      </c>
      <c r="R1252" s="189" t="inlineStr">
        <is>
          <t>🚨 URGENT: Apply vendor patches immediately | 🔒 Isolate affected systems if patch unavailable | 🛡️ Enable additional monitoring/IDS rules</t>
        </is>
      </c>
      <c r="S1252" s="189" t="inlineStr">
        <is>
          <t>CVE - IP enrichment n/a</t>
        </is>
      </c>
      <c r="T1252" s="189" t="n">
        <v>0</v>
      </c>
      <c r="U1252" s="189" t="n">
        <v>0</v>
      </c>
      <c r="V1252" s="189" t="inlineStr">
        <is>
          <t>T1190:Exploit Public-Facing Application</t>
        </is>
      </c>
      <c r="W1252" s="189" t="n">
        <v>1</v>
      </c>
      <c r="X1252" s="189" t="inlineStr">
        <is>
          <t>LOW (40%)</t>
        </is>
      </c>
      <c r="Y1252" s="189" t="inlineStr">
        <is>
          <t>UNLIKELY</t>
        </is>
      </c>
      <c r="Z1252" s="189" t="inlineStr">
        <is>
          <t>CHECK_VENDOR</t>
        </is>
      </c>
      <c r="AA1252" s="190" t="inlineStr">
        <is>
          <t>https://nvd.nist.gov/vuln/detail/CVE-2019-25450</t>
        </is>
      </c>
      <c r="AB1252" s="189" t="inlineStr">
        <is>
          <t>NONE</t>
        </is>
      </c>
      <c r="AC1252" s="189" t="n">
        <v>0</v>
      </c>
      <c r="AD1252" s="189" t="n"/>
    </row>
    <row r="1253">
      <c r="A1253" s="189" t="inlineStr">
        <is>
          <t>CVE</t>
        </is>
      </c>
      <c r="B1253" s="189" t="inlineStr">
        <is>
          <t>CVE-2019-25452</t>
        </is>
      </c>
      <c r="C1253" s="189" t="inlineStr">
        <is>
          <t>Dolibarr ERP/CRM 10.0.1 contains an SQL injection vulnerability in the elemid POST parameter of the viewcat.php endpoint that allows unauthenticated attackers to execute arbitrary SQL queries. Attackers can submit crafted POST requests with malicious SQL payloads in the elemid parameter to extract sensitive database information using error-based or time-based blind SQL injection techniques.</t>
        </is>
      </c>
      <c r="D1253" s="189" t="n">
        <v>8.199999999999999</v>
      </c>
      <c r="E1253" s="189" t="inlineStr">
        <is>
          <t>HIGH</t>
        </is>
      </c>
      <c r="F1253" s="189" t="n">
        <v>2</v>
      </c>
      <c r="G1253" s="189" t="n">
        <v>3</v>
      </c>
      <c r="H1253" s="189" t="inlineStr">
        <is>
          <t>HIGH</t>
        </is>
      </c>
      <c r="I1253" s="189" t="n">
        <v>14.2</v>
      </c>
      <c r="J1253" s="189" t="inlineStr">
        <is>
          <t>NO</t>
        </is>
      </c>
      <c r="K1253" s="190" t="inlineStr">
        <is>
          <t>https://nvd.nist.gov/vuln/detail/CVE-2019-25452</t>
        </is>
      </c>
      <c r="L1253" s="189" t="inlineStr">
        <is>
          <t>2026-02-23 23:48</t>
        </is>
      </c>
      <c r="M1253" s="189" t="inlineStr">
        <is>
          <t>CHECK_VENDOR</t>
        </is>
      </c>
      <c r="N1253" s="189" t="inlineStr">
        <is>
          <t>See NVD references</t>
        </is>
      </c>
      <c r="O1253" s="189" t="inlineStr">
        <is>
          <t>Apply vendor patches</t>
        </is>
      </c>
      <c r="P1253" s="189" t="inlineStr">
        <is>
          <t>See CVE details</t>
        </is>
      </c>
      <c r="Q1253" s="189" t="inlineStr">
        <is>
          <t>P3</t>
        </is>
      </c>
      <c r="R1253" s="189" t="inlineStr">
        <is>
          <t>🚨 URGENT: Apply vendor patches immediately | 🔒 Isolate affected systems if patch unavailable | 🛡️ Enable additional monitoring/IDS rules</t>
        </is>
      </c>
      <c r="S1253" s="189" t="inlineStr">
        <is>
          <t>CVE - IP enrichment n/a</t>
        </is>
      </c>
      <c r="T1253" s="189" t="n">
        <v>0</v>
      </c>
      <c r="U1253" s="189" t="n">
        <v>0</v>
      </c>
      <c r="V1253" s="189" t="inlineStr">
        <is>
          <t>T1190:Exploit Public-Facing Application</t>
        </is>
      </c>
      <c r="W1253" s="189" t="n">
        <v>1</v>
      </c>
      <c r="X1253" s="189" t="inlineStr">
        <is>
          <t>LOW (40%)</t>
        </is>
      </c>
      <c r="Y1253" s="189" t="inlineStr">
        <is>
          <t>UNLIKELY</t>
        </is>
      </c>
      <c r="Z1253" s="189" t="inlineStr">
        <is>
          <t>CHECK_VENDOR</t>
        </is>
      </c>
      <c r="AA1253" s="190" t="inlineStr">
        <is>
          <t>https://nvd.nist.gov/vuln/detail/CVE-2019-25452</t>
        </is>
      </c>
      <c r="AB1253" s="189" t="inlineStr">
        <is>
          <t>NONE</t>
        </is>
      </c>
      <c r="AC1253" s="189" t="n">
        <v>0</v>
      </c>
      <c r="AD1253" s="189" t="n"/>
    </row>
    <row r="1254">
      <c r="A1254" s="195" t="inlineStr">
        <is>
          <t>CVE</t>
        </is>
      </c>
      <c r="B1254" s="195" t="inlineStr">
        <is>
          <t>CVE-2026-2947</t>
        </is>
      </c>
      <c r="C1254" s="195" t="inlineStr">
        <is>
          <t>A vulnerability was detected in rymcu forest up to 0.0.5. This affects the function updateUserInfo of the file - src/main/java/com/rymcu/forest/web/api/user/UserInfoController.java of the component User Profile Handler. The manipulation results in cross site scripting. The attack can be executed remotely. The exploit is now public and may be used. The vendor was contacted early about this disclosure but did not respond in any way.</t>
        </is>
      </c>
      <c r="D1254" s="195" t="n">
        <v>3.5</v>
      </c>
      <c r="E1254" s="195" t="inlineStr">
        <is>
          <t>LOW</t>
        </is>
      </c>
      <c r="F1254" s="195" t="n">
        <v>2</v>
      </c>
      <c r="G1254" s="195" t="n">
        <v>1</v>
      </c>
      <c r="H1254" s="195" t="inlineStr">
        <is>
          <t>LOW</t>
        </is>
      </c>
      <c r="I1254" s="195" t="n">
        <v>5.5</v>
      </c>
      <c r="J1254" s="195" t="inlineStr">
        <is>
          <t>NO</t>
        </is>
      </c>
      <c r="K1254" s="196" t="inlineStr">
        <is>
          <t>https://nvd.nist.gov/vuln/detail/CVE-2026-2947</t>
        </is>
      </c>
      <c r="L1254" s="195" t="inlineStr">
        <is>
          <t>2026-02-23 23:48</t>
        </is>
      </c>
      <c r="M1254" s="195" t="inlineStr">
        <is>
          <t>CHECK_VENDOR</t>
        </is>
      </c>
      <c r="N1254" s="195" t="inlineStr">
        <is>
          <t>See NVD references</t>
        </is>
      </c>
      <c r="O1254" s="195" t="inlineStr">
        <is>
          <t>Apply vendor patches</t>
        </is>
      </c>
      <c r="P1254" s="195" t="inlineStr">
        <is>
          <t>See CVE details</t>
        </is>
      </c>
      <c r="Q1254" s="195" t="inlineStr">
        <is>
          <t>P4</t>
        </is>
      </c>
      <c r="R1254" s="195" t="inlineStr">
        <is>
          <t>📅 Schedule patch deployment within 30 days | 🔍 Monitor for exploitation attempts</t>
        </is>
      </c>
      <c r="S1254" s="195" t="inlineStr">
        <is>
          <t>CVE - IP enrichment n/a</t>
        </is>
      </c>
      <c r="T1254" s="195" t="n">
        <v>0</v>
      </c>
      <c r="U1254" s="195" t="n">
        <v>0</v>
      </c>
      <c r="V1254" s="195" t="inlineStr">
        <is>
          <t>T1189:Drive-by Compromise</t>
        </is>
      </c>
      <c r="W1254" s="195" t="n">
        <v>1</v>
      </c>
      <c r="X1254" s="195" t="inlineStr">
        <is>
          <t>LOW (40%)</t>
        </is>
      </c>
      <c r="Y1254" s="195" t="inlineStr">
        <is>
          <t>UNLIKELY</t>
        </is>
      </c>
      <c r="Z1254" s="195" t="inlineStr">
        <is>
          <t>CHECK_VENDOR</t>
        </is>
      </c>
      <c r="AA1254" s="196" t="inlineStr">
        <is>
          <t>https://nvd.nist.gov/vuln/detail/CVE-2026-2947</t>
        </is>
      </c>
      <c r="AB1254" s="195" t="inlineStr">
        <is>
          <t>NONE</t>
        </is>
      </c>
      <c r="AC1254" s="195" t="n">
        <v>0</v>
      </c>
      <c r="AD1254" s="195" t="n"/>
    </row>
    <row r="1255">
      <c r="A1255" s="189" t="inlineStr">
        <is>
          <t>CVE</t>
        </is>
      </c>
      <c r="B1255" s="189" t="inlineStr">
        <is>
          <t>CVE-2026-2952</t>
        </is>
      </c>
      <c r="C1255" s="189" t="inlineStr">
        <is>
          <t>A flaw has been found in Vaelsys 4.1.0. This vulnerability affects unknown code of the file /tree/tree_server.php of the component HTTP POST Request Handler. This manipulation of the argument xajaxargs causes os command injection. The attack is possible to be carried out remotely. The exploit has been published and may be used. The vendor was contacted early about this disclosure but did not respond in any way.</t>
        </is>
      </c>
      <c r="D1255" s="189" t="n">
        <v>7.3</v>
      </c>
      <c r="E1255" s="189" t="inlineStr">
        <is>
          <t>HIGH</t>
        </is>
      </c>
      <c r="F1255" s="189" t="n">
        <v>2</v>
      </c>
      <c r="G1255" s="189" t="n">
        <v>3</v>
      </c>
      <c r="H1255" s="189" t="inlineStr">
        <is>
          <t>HIGH</t>
        </is>
      </c>
      <c r="I1255" s="189" t="n">
        <v>13.3</v>
      </c>
      <c r="J1255" s="189" t="inlineStr">
        <is>
          <t>NO</t>
        </is>
      </c>
      <c r="K1255" s="190" t="inlineStr">
        <is>
          <t>https://nvd.nist.gov/vuln/detail/CVE-2026-2952</t>
        </is>
      </c>
      <c r="L1255" s="189" t="inlineStr">
        <is>
          <t>2026-02-23 23:48</t>
        </is>
      </c>
      <c r="M1255" s="189" t="inlineStr">
        <is>
          <t>CHECK_VENDOR</t>
        </is>
      </c>
      <c r="N1255" s="189" t="inlineStr">
        <is>
          <t>See NVD references</t>
        </is>
      </c>
      <c r="O1255" s="189" t="inlineStr">
        <is>
          <t>Apply vendor patches</t>
        </is>
      </c>
      <c r="P1255" s="189" t="inlineStr">
        <is>
          <t>See CVE details</t>
        </is>
      </c>
      <c r="Q1255" s="189" t="inlineStr">
        <is>
          <t>P3</t>
        </is>
      </c>
      <c r="R1255" s="189" t="inlineStr">
        <is>
          <t>🚨 URGENT: Apply vendor patches immediately | 🔒 Isolate affected systems if patch unavailable | 🛡️ Enable additional monitoring/IDS rules</t>
        </is>
      </c>
      <c r="S1255" s="189" t="inlineStr">
        <is>
          <t>CVE - IP enrichment n/a</t>
        </is>
      </c>
      <c r="T1255" s="189" t="n">
        <v>0</v>
      </c>
      <c r="U1255" s="189" t="n">
        <v>0</v>
      </c>
      <c r="V1255" s="189" t="inlineStr">
        <is>
          <t>T1059:Command and Scripting Interpreter</t>
        </is>
      </c>
      <c r="W1255" s="189" t="n">
        <v>1</v>
      </c>
      <c r="X1255" s="189" t="inlineStr">
        <is>
          <t>LOW (40%)</t>
        </is>
      </c>
      <c r="Y1255" s="189" t="inlineStr">
        <is>
          <t>UNLIKELY</t>
        </is>
      </c>
      <c r="Z1255" s="189" t="inlineStr">
        <is>
          <t>CHECK_VENDOR</t>
        </is>
      </c>
      <c r="AA1255" s="190" t="inlineStr">
        <is>
          <t>https://nvd.nist.gov/vuln/detail/CVE-2026-2952</t>
        </is>
      </c>
      <c r="AB1255" s="189" t="inlineStr">
        <is>
          <t>NONE</t>
        </is>
      </c>
      <c r="AC1255" s="189" t="n">
        <v>0</v>
      </c>
      <c r="AD1255" s="189" t="n"/>
    </row>
    <row r="1256">
      <c r="A1256" s="191" t="inlineStr">
        <is>
          <t>CVE</t>
        </is>
      </c>
      <c r="B1256" s="191" t="inlineStr">
        <is>
          <t>CVE-2026-2953</t>
        </is>
      </c>
      <c r="C1256" s="191" t="inlineStr">
        <is>
          <t>A vulnerability has been found in Dromara UJCMS 101.2. This issue affects the function deleteDirectory of the file WebFileTemplateController.delete of the component Template Handler. Such manipulation leads to path traversal. The attack may be performed from remote. The exploit has been disclosed to the public and may be used. The vendor was contacted early about this disclosure but did not respond in any way.</t>
        </is>
      </c>
      <c r="D1256" s="191" t="n">
        <v>5.4</v>
      </c>
      <c r="E1256" s="191" t="inlineStr">
        <is>
          <t>MEDIUM</t>
        </is>
      </c>
      <c r="F1256" s="191" t="n">
        <v>2</v>
      </c>
      <c r="G1256" s="191" t="n">
        <v>2</v>
      </c>
      <c r="H1256" s="191" t="inlineStr">
        <is>
          <t>MEDIUM</t>
        </is>
      </c>
      <c r="I1256" s="191" t="n">
        <v>9.4</v>
      </c>
      <c r="J1256" s="191" t="inlineStr">
        <is>
          <t>NO</t>
        </is>
      </c>
      <c r="K1256" s="192" t="inlineStr">
        <is>
          <t>https://nvd.nist.gov/vuln/detail/CVE-2026-2953</t>
        </is>
      </c>
      <c r="L1256" s="191" t="inlineStr">
        <is>
          <t>2026-02-23 23:48</t>
        </is>
      </c>
      <c r="M1256" s="191" t="inlineStr">
        <is>
          <t>CHECK_VENDOR</t>
        </is>
      </c>
      <c r="N1256" s="191" t="inlineStr">
        <is>
          <t>See NVD references</t>
        </is>
      </c>
      <c r="O1256" s="191" t="inlineStr">
        <is>
          <t>Apply vendor patches</t>
        </is>
      </c>
      <c r="P1256" s="191" t="inlineStr">
        <is>
          <t>See CVE details</t>
        </is>
      </c>
      <c r="Q1256" s="191" t="inlineStr">
        <is>
          <t>P4</t>
        </is>
      </c>
      <c r="R1256" s="191" t="inlineStr">
        <is>
          <t>📅 Schedule patch deployment within 30 days | 🔍 Monitor for exploitation attempts</t>
        </is>
      </c>
      <c r="S1256" s="191" t="inlineStr">
        <is>
          <t>CVE - IP enrichment n/a</t>
        </is>
      </c>
      <c r="T1256" s="191" t="n">
        <v>0.0004</v>
      </c>
      <c r="U1256" s="191" t="n">
        <v>0.1389</v>
      </c>
      <c r="V1256" s="191" t="inlineStr">
        <is>
          <t>T1083:File and Directory Discovery</t>
        </is>
      </c>
      <c r="W1256" s="191" t="n">
        <v>1</v>
      </c>
      <c r="X1256" s="191" t="inlineStr">
        <is>
          <t>LOW (40%)</t>
        </is>
      </c>
      <c r="Y1256" s="191" t="inlineStr">
        <is>
          <t>UNLIKELY</t>
        </is>
      </c>
      <c r="Z1256" s="191" t="inlineStr">
        <is>
          <t>CHECK_VENDOR</t>
        </is>
      </c>
      <c r="AA1256" s="192" t="inlineStr">
        <is>
          <t>https://nvd.nist.gov/vuln/detail/CVE-2026-2953</t>
        </is>
      </c>
      <c r="AB1256" s="191" t="inlineStr">
        <is>
          <t>NONE</t>
        </is>
      </c>
      <c r="AC1256" s="191" t="n">
        <v>0</v>
      </c>
      <c r="AD1256" s="191" t="n"/>
    </row>
    <row r="1257">
      <c r="A1257" s="189" t="inlineStr">
        <is>
          <t>CVE</t>
        </is>
      </c>
      <c r="B1257" s="189" t="inlineStr">
        <is>
          <t>CVE-2019-25455</t>
        </is>
      </c>
      <c r="C1257" s="189" t="inlineStr">
        <is>
          <t>Web Ofisi E-Ticaret v3 contains an SQL injection vulnerability that allows unauthenticated attackers to manipulate database queries by injecting SQL code through the 'a' parameter. Attackers can send GET requests to with malicious 'a' parameter values to extract sensitive database information.</t>
        </is>
      </c>
      <c r="D1257" s="189" t="n">
        <v>8.199999999999999</v>
      </c>
      <c r="E1257" s="189" t="inlineStr">
        <is>
          <t>HIGH</t>
        </is>
      </c>
      <c r="F1257" s="189" t="n">
        <v>2</v>
      </c>
      <c r="G1257" s="189" t="n">
        <v>3</v>
      </c>
      <c r="H1257" s="189" t="inlineStr">
        <is>
          <t>HIGH</t>
        </is>
      </c>
      <c r="I1257" s="189" t="n">
        <v>14.2</v>
      </c>
      <c r="J1257" s="189" t="inlineStr">
        <is>
          <t>NO</t>
        </is>
      </c>
      <c r="K1257" s="190" t="inlineStr">
        <is>
          <t>https://nvd.nist.gov/vuln/detail/CVE-2019-25455</t>
        </is>
      </c>
      <c r="L1257" s="189" t="inlineStr">
        <is>
          <t>2026-02-23 23:48</t>
        </is>
      </c>
      <c r="M1257" s="189" t="inlineStr">
        <is>
          <t>CHECK_VENDOR</t>
        </is>
      </c>
      <c r="N1257" s="189" t="inlineStr">
        <is>
          <t>See NVD references</t>
        </is>
      </c>
      <c r="O1257" s="189" t="inlineStr">
        <is>
          <t>Apply vendor patches</t>
        </is>
      </c>
      <c r="P1257" s="189" t="inlineStr">
        <is>
          <t>See CVE details</t>
        </is>
      </c>
      <c r="Q1257" s="189" t="inlineStr">
        <is>
          <t>P3</t>
        </is>
      </c>
      <c r="R1257" s="189" t="inlineStr">
        <is>
          <t>🚨 URGENT: Apply vendor patches immediately | 🔒 Isolate affected systems if patch unavailable | 🛡️ Enable additional monitoring/IDS rules</t>
        </is>
      </c>
      <c r="S1257" s="189" t="inlineStr">
        <is>
          <t>CVE - IP enrichment n/a</t>
        </is>
      </c>
      <c r="T1257" s="189" t="n">
        <v>0.0007</v>
      </c>
      <c r="U1257" s="189" t="n">
        <v>0.2142</v>
      </c>
      <c r="V1257" s="189" t="inlineStr">
        <is>
          <t>T1190:Exploit Public-Facing Application</t>
        </is>
      </c>
      <c r="W1257" s="189" t="n">
        <v>1</v>
      </c>
      <c r="X1257" s="189" t="inlineStr">
        <is>
          <t>LOW (40%)</t>
        </is>
      </c>
      <c r="Y1257" s="189" t="inlineStr">
        <is>
          <t>UNLIKELY</t>
        </is>
      </c>
      <c r="Z1257" s="189" t="inlineStr">
        <is>
          <t>CHECK_VENDOR</t>
        </is>
      </c>
      <c r="AA1257" s="190" t="inlineStr">
        <is>
          <t>https://nvd.nist.gov/vuln/detail/CVE-2019-25455</t>
        </is>
      </c>
      <c r="AB1257" s="189" t="inlineStr">
        <is>
          <t>NONE</t>
        </is>
      </c>
      <c r="AC1257" s="189" t="n">
        <v>0</v>
      </c>
      <c r="AD1257" s="189" t="n"/>
    </row>
    <row r="1258">
      <c r="A1258" s="189" t="inlineStr">
        <is>
          <t>CVE</t>
        </is>
      </c>
      <c r="B1258" s="189" t="inlineStr">
        <is>
          <t>CVE-2019-25456</t>
        </is>
      </c>
      <c r="C1258" s="189" t="inlineStr">
        <is>
          <t>Web Ofisi Emlak v2 contains an SQL injection vulnerability that allows unauthenticated attackers to manipulate database queries by injecting SQL code through the 'ara' GET parameter. Attackers can send requests to with time-based SQL injection payloads to extract sensitive database information or cause denial of service.</t>
        </is>
      </c>
      <c r="D1258" s="189" t="n">
        <v>8.199999999999999</v>
      </c>
      <c r="E1258" s="189" t="inlineStr">
        <is>
          <t>HIGH</t>
        </is>
      </c>
      <c r="F1258" s="189" t="n">
        <v>2</v>
      </c>
      <c r="G1258" s="189" t="n">
        <v>3</v>
      </c>
      <c r="H1258" s="189" t="inlineStr">
        <is>
          <t>HIGH</t>
        </is>
      </c>
      <c r="I1258" s="189" t="n">
        <v>14.2</v>
      </c>
      <c r="J1258" s="189" t="inlineStr">
        <is>
          <t>NO</t>
        </is>
      </c>
      <c r="K1258" s="190" t="inlineStr">
        <is>
          <t>https://nvd.nist.gov/vuln/detail/CVE-2019-25456</t>
        </is>
      </c>
      <c r="L1258" s="189" t="inlineStr">
        <is>
          <t>2026-02-23 23:48</t>
        </is>
      </c>
      <c r="M1258" s="189" t="inlineStr">
        <is>
          <t>CHECK_VENDOR</t>
        </is>
      </c>
      <c r="N1258" s="189" t="inlineStr">
        <is>
          <t>See NVD references</t>
        </is>
      </c>
      <c r="O1258" s="189" t="inlineStr">
        <is>
          <t>Apply vendor patches</t>
        </is>
      </c>
      <c r="P1258" s="189" t="inlineStr">
        <is>
          <t>See CVE details</t>
        </is>
      </c>
      <c r="Q1258" s="189" t="inlineStr">
        <is>
          <t>P3</t>
        </is>
      </c>
      <c r="R1258" s="189" t="inlineStr">
        <is>
          <t>🚨 URGENT: Apply vendor patches immediately | 🔒 Isolate affected systems if patch unavailable | 🛡️ Enable additional monitoring/IDS rules</t>
        </is>
      </c>
      <c r="S1258" s="189" t="inlineStr">
        <is>
          <t>CVE - IP enrichment n/a</t>
        </is>
      </c>
      <c r="T1258" s="189" t="n">
        <v>0.0005999999999999999</v>
      </c>
      <c r="U1258" s="189" t="n">
        <v>0.2026</v>
      </c>
      <c r="V1258" s="189" t="inlineStr">
        <is>
          <t>T1190:Exploit Public-Facing Application | T1499:Endpoint Denial of Service</t>
        </is>
      </c>
      <c r="W1258" s="189" t="n">
        <v>1</v>
      </c>
      <c r="X1258" s="189" t="inlineStr">
        <is>
          <t>LOW (40%)</t>
        </is>
      </c>
      <c r="Y1258" s="189" t="inlineStr">
        <is>
          <t>UNLIKELY</t>
        </is>
      </c>
      <c r="Z1258" s="189" t="inlineStr">
        <is>
          <t>CHECK_VENDOR</t>
        </is>
      </c>
      <c r="AA1258" s="190" t="inlineStr">
        <is>
          <t>https://nvd.nist.gov/vuln/detail/CVE-2019-25456</t>
        </is>
      </c>
      <c r="AB1258" s="189" t="inlineStr">
        <is>
          <t>NONE</t>
        </is>
      </c>
      <c r="AC1258" s="189" t="n">
        <v>0</v>
      </c>
      <c r="AD1258" s="189" t="n"/>
    </row>
    <row r="1259">
      <c r="A1259" s="189" t="inlineStr">
        <is>
          <t>CVE</t>
        </is>
      </c>
      <c r="B1259" s="189" t="inlineStr">
        <is>
          <t>CVE-2019-25457</t>
        </is>
      </c>
      <c r="C1259" s="189" t="inlineStr">
        <is>
          <t>Web Ofisi Firma v13 contains an SQL injection vulnerability that allows unauthenticated attackers to manipulate database queries by injecting SQL code through the 'oz' array parameter. Attackers can send GET requests to category pages with malicious 'oz[]' values using time-based blind SQL injection payloads to extract sensitive database information.</t>
        </is>
      </c>
      <c r="D1259" s="189" t="n">
        <v>8.199999999999999</v>
      </c>
      <c r="E1259" s="189" t="inlineStr">
        <is>
          <t>HIGH</t>
        </is>
      </c>
      <c r="F1259" s="189" t="n">
        <v>2</v>
      </c>
      <c r="G1259" s="189" t="n">
        <v>3</v>
      </c>
      <c r="H1259" s="189" t="inlineStr">
        <is>
          <t>HIGH</t>
        </is>
      </c>
      <c r="I1259" s="189" t="n">
        <v>14.2</v>
      </c>
      <c r="J1259" s="189" t="inlineStr">
        <is>
          <t>NO</t>
        </is>
      </c>
      <c r="K1259" s="190" t="inlineStr">
        <is>
          <t>https://nvd.nist.gov/vuln/detail/CVE-2019-25457</t>
        </is>
      </c>
      <c r="L1259" s="189" t="inlineStr">
        <is>
          <t>2026-02-23 23:48</t>
        </is>
      </c>
      <c r="M1259" s="189" t="inlineStr">
        <is>
          <t>CHECK_VENDOR</t>
        </is>
      </c>
      <c r="N1259" s="189" t="inlineStr">
        <is>
          <t>See NVD references</t>
        </is>
      </c>
      <c r="O1259" s="189" t="inlineStr">
        <is>
          <t>Apply vendor patches</t>
        </is>
      </c>
      <c r="P1259" s="189" t="inlineStr">
        <is>
          <t>See CVE details</t>
        </is>
      </c>
      <c r="Q1259" s="189" t="inlineStr">
        <is>
          <t>P3</t>
        </is>
      </c>
      <c r="R1259" s="189" t="inlineStr">
        <is>
          <t>🚨 URGENT: Apply vendor patches immediately | 🔒 Isolate affected systems if patch unavailable | 🛡️ Enable additional monitoring/IDS rules</t>
        </is>
      </c>
      <c r="S1259" s="189" t="inlineStr">
        <is>
          <t>CVE - IP enrichment n/a</t>
        </is>
      </c>
      <c r="T1259" s="189" t="n">
        <v>0</v>
      </c>
      <c r="U1259" s="189" t="n">
        <v>0</v>
      </c>
      <c r="V1259" s="189" t="inlineStr">
        <is>
          <t>T1190:Exploit Public-Facing Application</t>
        </is>
      </c>
      <c r="W1259" s="189" t="n">
        <v>1</v>
      </c>
      <c r="X1259" s="189" t="inlineStr">
        <is>
          <t>LOW (40%)</t>
        </is>
      </c>
      <c r="Y1259" s="189" t="inlineStr">
        <is>
          <t>UNLIKELY</t>
        </is>
      </c>
      <c r="Z1259" s="189" t="inlineStr">
        <is>
          <t>CHECK_VENDOR</t>
        </is>
      </c>
      <c r="AA1259" s="190" t="inlineStr">
        <is>
          <t>https://nvd.nist.gov/vuln/detail/CVE-2019-25457</t>
        </is>
      </c>
      <c r="AB1259" s="189" t="inlineStr">
        <is>
          <t>NONE</t>
        </is>
      </c>
      <c r="AC1259" s="189" t="n">
        <v>0</v>
      </c>
      <c r="AD1259" s="189" t="n"/>
    </row>
    <row r="1260">
      <c r="A1260" s="189" t="inlineStr">
        <is>
          <t>CVE</t>
        </is>
      </c>
      <c r="B1260" s="189" t="inlineStr">
        <is>
          <t>CVE-2019-25458</t>
        </is>
      </c>
      <c r="C1260" s="189" t="inlineStr">
        <is>
          <t>Web Ofisi Firma Rehberi v1 contains an SQL injection vulnerability that allows unauthenticated attackers to manipulate database queries by injecting SQL code through GET parameters. Attackers can send requests to with malicious payloads in the 'il', 'kat', or 'kelime' parameters to extract sensitive database information or perform time-based blind SQL injection attacks.</t>
        </is>
      </c>
      <c r="D1260" s="189" t="n">
        <v>8.199999999999999</v>
      </c>
      <c r="E1260" s="189" t="inlineStr">
        <is>
          <t>HIGH</t>
        </is>
      </c>
      <c r="F1260" s="189" t="n">
        <v>2</v>
      </c>
      <c r="G1260" s="189" t="n">
        <v>3</v>
      </c>
      <c r="H1260" s="189" t="inlineStr">
        <is>
          <t>HIGH</t>
        </is>
      </c>
      <c r="I1260" s="189" t="n">
        <v>14.2</v>
      </c>
      <c r="J1260" s="189" t="inlineStr">
        <is>
          <t>NO</t>
        </is>
      </c>
      <c r="K1260" s="190" t="inlineStr">
        <is>
          <t>https://nvd.nist.gov/vuln/detail/CVE-2019-25458</t>
        </is>
      </c>
      <c r="L1260" s="189" t="inlineStr">
        <is>
          <t>2026-02-23 23:48</t>
        </is>
      </c>
      <c r="M1260" s="189" t="inlineStr">
        <is>
          <t>CHECK_VENDOR</t>
        </is>
      </c>
      <c r="N1260" s="189" t="inlineStr">
        <is>
          <t>See NVD references</t>
        </is>
      </c>
      <c r="O1260" s="189" t="inlineStr">
        <is>
          <t>Apply vendor patches</t>
        </is>
      </c>
      <c r="P1260" s="189" t="inlineStr">
        <is>
          <t>See CVE details</t>
        </is>
      </c>
      <c r="Q1260" s="189" t="inlineStr">
        <is>
          <t>P3</t>
        </is>
      </c>
      <c r="R1260" s="189" t="inlineStr">
        <is>
          <t>🚨 URGENT: Apply vendor patches immediately | 🔒 Isolate affected systems if patch unavailable | 🛡️ Enable additional monitoring/IDS rules</t>
        </is>
      </c>
      <c r="S1260" s="189" t="inlineStr">
        <is>
          <t>CVE - IP enrichment n/a</t>
        </is>
      </c>
      <c r="T1260" s="189" t="n">
        <v>0</v>
      </c>
      <c r="U1260" s="189" t="n">
        <v>0</v>
      </c>
      <c r="V1260" s="189" t="inlineStr">
        <is>
          <t>T1190:Exploit Public-Facing Application</t>
        </is>
      </c>
      <c r="W1260" s="189" t="n">
        <v>1</v>
      </c>
      <c r="X1260" s="189" t="inlineStr">
        <is>
          <t>LOW (40%)</t>
        </is>
      </c>
      <c r="Y1260" s="189" t="inlineStr">
        <is>
          <t>UNLIKELY</t>
        </is>
      </c>
      <c r="Z1260" s="189" t="inlineStr">
        <is>
          <t>CHECK_VENDOR</t>
        </is>
      </c>
      <c r="AA1260" s="190" t="inlineStr">
        <is>
          <t>https://nvd.nist.gov/vuln/detail/CVE-2019-25458</t>
        </is>
      </c>
      <c r="AB1260" s="189" t="inlineStr">
        <is>
          <t>NONE</t>
        </is>
      </c>
      <c r="AC1260" s="189" t="n">
        <v>0</v>
      </c>
      <c r="AD1260" s="189" t="n"/>
    </row>
    <row r="1261">
      <c r="A1261" s="189" t="inlineStr">
        <is>
          <t>CVE</t>
        </is>
      </c>
      <c r="B1261" s="189" t="inlineStr">
        <is>
          <t>CVE-2019-25459</t>
        </is>
      </c>
      <c r="C1261" s="189" t="inlineStr">
        <is>
          <t>Web Ofisi Emlak V2 contains multiple SQL injection vulnerabilities in the endpoint that allow unauthenticated attackers to manipulate database queries through GET parameters. Attackers can inject SQL code into parameters like emlak_durumu, emlak_tipi, il, ilce, kelime, and semt to extract sensitive database information or perform time-based blind SQL injection attacks.</t>
        </is>
      </c>
      <c r="D1261" s="189" t="n">
        <v>8.199999999999999</v>
      </c>
      <c r="E1261" s="189" t="inlineStr">
        <is>
          <t>HIGH</t>
        </is>
      </c>
      <c r="F1261" s="189" t="n">
        <v>2</v>
      </c>
      <c r="G1261" s="189" t="n">
        <v>3</v>
      </c>
      <c r="H1261" s="189" t="inlineStr">
        <is>
          <t>HIGH</t>
        </is>
      </c>
      <c r="I1261" s="189" t="n">
        <v>14.2</v>
      </c>
      <c r="J1261" s="189" t="inlineStr">
        <is>
          <t>NO</t>
        </is>
      </c>
      <c r="K1261" s="190" t="inlineStr">
        <is>
          <t>https://nvd.nist.gov/vuln/detail/CVE-2019-25459</t>
        </is>
      </c>
      <c r="L1261" s="189" t="inlineStr">
        <is>
          <t>2026-02-23 23:48</t>
        </is>
      </c>
      <c r="M1261" s="189" t="inlineStr">
        <is>
          <t>CHECK_VENDOR</t>
        </is>
      </c>
      <c r="N1261" s="189" t="inlineStr">
        <is>
          <t>See NVD references</t>
        </is>
      </c>
      <c r="O1261" s="189" t="inlineStr">
        <is>
          <t>Apply vendor patches</t>
        </is>
      </c>
      <c r="P1261" s="189" t="inlineStr">
        <is>
          <t>See CVE details</t>
        </is>
      </c>
      <c r="Q1261" s="189" t="inlineStr">
        <is>
          <t>P3</t>
        </is>
      </c>
      <c r="R1261" s="189" t="inlineStr">
        <is>
          <t>🚨 URGENT: Apply vendor patches immediately | 🔒 Isolate affected systems if patch unavailable | 🛡️ Enable additional monitoring/IDS rules</t>
        </is>
      </c>
      <c r="S1261" s="189" t="inlineStr">
        <is>
          <t>CVE - IP enrichment n/a</t>
        </is>
      </c>
      <c r="T1261" s="189" t="n">
        <v>0</v>
      </c>
      <c r="U1261" s="189" t="n">
        <v>0</v>
      </c>
      <c r="V1261" s="189" t="inlineStr">
        <is>
          <t>T1190:Exploit Public-Facing Application</t>
        </is>
      </c>
      <c r="W1261" s="189" t="n">
        <v>1</v>
      </c>
      <c r="X1261" s="189" t="inlineStr">
        <is>
          <t>LOW (40%)</t>
        </is>
      </c>
      <c r="Y1261" s="189" t="inlineStr">
        <is>
          <t>UNLIKELY</t>
        </is>
      </c>
      <c r="Z1261" s="189" t="inlineStr">
        <is>
          <t>CHECK_VENDOR</t>
        </is>
      </c>
      <c r="AA1261" s="190" t="inlineStr">
        <is>
          <t>https://nvd.nist.gov/vuln/detail/CVE-2019-25459</t>
        </is>
      </c>
      <c r="AB1261" s="189" t="inlineStr">
        <is>
          <t>NONE</t>
        </is>
      </c>
      <c r="AC1261" s="189" t="n">
        <v>0</v>
      </c>
      <c r="AD1261" s="189" t="n"/>
    </row>
    <row r="1262">
      <c r="A1262" s="189" t="inlineStr">
        <is>
          <t>CVE</t>
        </is>
      </c>
      <c r="B1262" s="189" t="inlineStr">
        <is>
          <t>CVE-2019-25460</t>
        </is>
      </c>
      <c r="C1262" s="189" t="inlineStr">
        <is>
          <t>Web Ofisi Platinum E-Ticaret v5 contains an SQL injection vulnerability that allows unauthenticated attackers to manipulate database queries by injecting SQL code through the 'q' GET parameter. Attackers can send requests to the arama endpoint with malicious 'q' values using time-based SQL injection techniques to extract sensitive database information.</t>
        </is>
      </c>
      <c r="D1262" s="189" t="n">
        <v>8.199999999999999</v>
      </c>
      <c r="E1262" s="189" t="inlineStr">
        <is>
          <t>HIGH</t>
        </is>
      </c>
      <c r="F1262" s="189" t="n">
        <v>2</v>
      </c>
      <c r="G1262" s="189" t="n">
        <v>3</v>
      </c>
      <c r="H1262" s="189" t="inlineStr">
        <is>
          <t>HIGH</t>
        </is>
      </c>
      <c r="I1262" s="189" t="n">
        <v>14.2</v>
      </c>
      <c r="J1262" s="189" t="inlineStr">
        <is>
          <t>NO</t>
        </is>
      </c>
      <c r="K1262" s="190" t="inlineStr">
        <is>
          <t>https://nvd.nist.gov/vuln/detail/CVE-2019-25460</t>
        </is>
      </c>
      <c r="L1262" s="189" t="inlineStr">
        <is>
          <t>2026-02-23 23:48</t>
        </is>
      </c>
      <c r="M1262" s="189" t="inlineStr">
        <is>
          <t>CHECK_VENDOR</t>
        </is>
      </c>
      <c r="N1262" s="189" t="inlineStr">
        <is>
          <t>See NVD references</t>
        </is>
      </c>
      <c r="O1262" s="189" t="inlineStr">
        <is>
          <t>Apply vendor patches</t>
        </is>
      </c>
      <c r="P1262" s="189" t="inlineStr">
        <is>
          <t>See CVE details</t>
        </is>
      </c>
      <c r="Q1262" s="189" t="inlineStr">
        <is>
          <t>P3</t>
        </is>
      </c>
      <c r="R1262" s="189" t="inlineStr">
        <is>
          <t>🚨 URGENT: Apply vendor patches immediately | 🔒 Isolate affected systems if patch unavailable | 🛡️ Enable additional monitoring/IDS rules</t>
        </is>
      </c>
      <c r="S1262" s="189" t="inlineStr">
        <is>
          <t>CVE - IP enrichment n/a</t>
        </is>
      </c>
      <c r="T1262" s="189" t="n">
        <v>0</v>
      </c>
      <c r="U1262" s="189" t="n">
        <v>0</v>
      </c>
      <c r="V1262" s="189" t="inlineStr">
        <is>
          <t>T1190:Exploit Public-Facing Application</t>
        </is>
      </c>
      <c r="W1262" s="189" t="n">
        <v>1</v>
      </c>
      <c r="X1262" s="189" t="inlineStr">
        <is>
          <t>LOW (40%)</t>
        </is>
      </c>
      <c r="Y1262" s="189" t="inlineStr">
        <is>
          <t>UNLIKELY</t>
        </is>
      </c>
      <c r="Z1262" s="189" t="inlineStr">
        <is>
          <t>CHECK_VENDOR</t>
        </is>
      </c>
      <c r="AA1262" s="190" t="inlineStr">
        <is>
          <t>https://nvd.nist.gov/vuln/detail/CVE-2019-25460</t>
        </is>
      </c>
      <c r="AB1262" s="189" t="inlineStr">
        <is>
          <t>NONE</t>
        </is>
      </c>
      <c r="AC1262" s="189" t="n">
        <v>0</v>
      </c>
      <c r="AD1262" s="189" t="n"/>
    </row>
    <row r="1263">
      <c r="A1263" s="189" t="inlineStr">
        <is>
          <t>CVE</t>
        </is>
      </c>
      <c r="B1263" s="189" t="inlineStr">
        <is>
          <t>CVE-2019-25461</t>
        </is>
      </c>
      <c r="C1263" s="189" t="inlineStr">
        <is>
          <t>Web Ofisi Platinum E-Ticaret v5 contains an SQL injection vulnerability that allows unauthenticated attackers to manipulate database queries by injecting SQL code through the 'q' parameter. Attackers can send POST requests to the ajax/productsFilterSearch endpoint with malicious 'q' values using time-based blind SQL injection techniques to extract sensitive database information.</t>
        </is>
      </c>
      <c r="D1263" s="189" t="n">
        <v>8.199999999999999</v>
      </c>
      <c r="E1263" s="189" t="inlineStr">
        <is>
          <t>HIGH</t>
        </is>
      </c>
      <c r="F1263" s="189" t="n">
        <v>2</v>
      </c>
      <c r="G1263" s="189" t="n">
        <v>3</v>
      </c>
      <c r="H1263" s="189" t="inlineStr">
        <is>
          <t>HIGH</t>
        </is>
      </c>
      <c r="I1263" s="189" t="n">
        <v>14.2</v>
      </c>
      <c r="J1263" s="189" t="inlineStr">
        <is>
          <t>NO</t>
        </is>
      </c>
      <c r="K1263" s="190" t="inlineStr">
        <is>
          <t>https://nvd.nist.gov/vuln/detail/CVE-2019-25461</t>
        </is>
      </c>
      <c r="L1263" s="189" t="inlineStr">
        <is>
          <t>2026-02-23 23:48</t>
        </is>
      </c>
      <c r="M1263" s="189" t="inlineStr">
        <is>
          <t>CHECK_VENDOR</t>
        </is>
      </c>
      <c r="N1263" s="189" t="inlineStr">
        <is>
          <t>See NVD references</t>
        </is>
      </c>
      <c r="O1263" s="189" t="inlineStr">
        <is>
          <t>Apply vendor patches</t>
        </is>
      </c>
      <c r="P1263" s="189" t="inlineStr">
        <is>
          <t>See CVE details</t>
        </is>
      </c>
      <c r="Q1263" s="189" t="inlineStr">
        <is>
          <t>P3</t>
        </is>
      </c>
      <c r="R1263" s="189" t="inlineStr">
        <is>
          <t>🚨 URGENT: Apply vendor patches immediately | 🔒 Isolate affected systems if patch unavailable | 🛡️ Enable additional monitoring/IDS rules</t>
        </is>
      </c>
      <c r="S1263" s="189" t="inlineStr">
        <is>
          <t>CVE - IP enrichment n/a</t>
        </is>
      </c>
      <c r="T1263" s="189" t="n">
        <v>0</v>
      </c>
      <c r="U1263" s="189" t="n">
        <v>0</v>
      </c>
      <c r="V1263" s="189" t="inlineStr">
        <is>
          <t>T1190:Exploit Public-Facing Application</t>
        </is>
      </c>
      <c r="W1263" s="189" t="n">
        <v>1</v>
      </c>
      <c r="X1263" s="189" t="inlineStr">
        <is>
          <t>LOW (40%)</t>
        </is>
      </c>
      <c r="Y1263" s="189" t="inlineStr">
        <is>
          <t>UNLIKELY</t>
        </is>
      </c>
      <c r="Z1263" s="189" t="inlineStr">
        <is>
          <t>CHECK_VENDOR</t>
        </is>
      </c>
      <c r="AA1263" s="190" t="inlineStr">
        <is>
          <t>https://nvd.nist.gov/vuln/detail/CVE-2019-25461</t>
        </is>
      </c>
      <c r="AB1263" s="189" t="inlineStr">
        <is>
          <t>NONE</t>
        </is>
      </c>
      <c r="AC1263" s="189" t="n">
        <v>0</v>
      </c>
      <c r="AD1263" s="189" t="n"/>
    </row>
    <row r="1264">
      <c r="A1264" s="189" t="inlineStr">
        <is>
          <t>CVE</t>
        </is>
      </c>
      <c r="B1264" s="189" t="inlineStr">
        <is>
          <t>CVE-2019-25462</t>
        </is>
      </c>
      <c r="C1264" s="189" t="inlineStr">
        <is>
          <t>Web Ofisi Rent a Car v3 contains an SQL injection vulnerability that allows unauthenticated attackers to manipulate database queries by injecting SQL code through the 'klima' parameter. Attackers can send GET requests to with malicious 'klima' values to extract sensitive database information or cause denial of service.</t>
        </is>
      </c>
      <c r="D1264" s="189" t="n">
        <v>8.199999999999999</v>
      </c>
      <c r="E1264" s="189" t="inlineStr">
        <is>
          <t>HIGH</t>
        </is>
      </c>
      <c r="F1264" s="189" t="n">
        <v>2</v>
      </c>
      <c r="G1264" s="189" t="n">
        <v>3</v>
      </c>
      <c r="H1264" s="189" t="inlineStr">
        <is>
          <t>HIGH</t>
        </is>
      </c>
      <c r="I1264" s="189" t="n">
        <v>14.2</v>
      </c>
      <c r="J1264" s="189" t="inlineStr">
        <is>
          <t>NO</t>
        </is>
      </c>
      <c r="K1264" s="190" t="inlineStr">
        <is>
          <t>https://nvd.nist.gov/vuln/detail/CVE-2019-25462</t>
        </is>
      </c>
      <c r="L1264" s="189" t="inlineStr">
        <is>
          <t>2026-02-23 23:48</t>
        </is>
      </c>
      <c r="M1264" s="189" t="inlineStr">
        <is>
          <t>CHECK_VENDOR</t>
        </is>
      </c>
      <c r="N1264" s="189" t="inlineStr">
        <is>
          <t>See NVD references</t>
        </is>
      </c>
      <c r="O1264" s="189" t="inlineStr">
        <is>
          <t>Apply vendor patches</t>
        </is>
      </c>
      <c r="P1264" s="189" t="inlineStr">
        <is>
          <t>See CVE details</t>
        </is>
      </c>
      <c r="Q1264" s="189" t="inlineStr">
        <is>
          <t>P3</t>
        </is>
      </c>
      <c r="R1264" s="189" t="inlineStr">
        <is>
          <t>🚨 URGENT: Apply vendor patches immediately | 🔒 Isolate affected systems if patch unavailable | 🛡️ Enable additional monitoring/IDS rules</t>
        </is>
      </c>
      <c r="S1264" s="189" t="inlineStr">
        <is>
          <t>CVE - IP enrichment n/a</t>
        </is>
      </c>
      <c r="T1264" s="189" t="n">
        <v>0</v>
      </c>
      <c r="U1264" s="189" t="n">
        <v>0</v>
      </c>
      <c r="V1264" s="189" t="inlineStr">
        <is>
          <t>T1190:Exploit Public-Facing Application | T1499:Endpoint Denial of Service</t>
        </is>
      </c>
      <c r="W1264" s="189" t="n">
        <v>1</v>
      </c>
      <c r="X1264" s="189" t="inlineStr">
        <is>
          <t>LOW (40%)</t>
        </is>
      </c>
      <c r="Y1264" s="189" t="inlineStr">
        <is>
          <t>UNLIKELY</t>
        </is>
      </c>
      <c r="Z1264" s="189" t="inlineStr">
        <is>
          <t>CHECK_VENDOR</t>
        </is>
      </c>
      <c r="AA1264" s="190" t="inlineStr">
        <is>
          <t>https://nvd.nist.gov/vuln/detail/CVE-2019-25462</t>
        </is>
      </c>
      <c r="AB1264" s="189" t="inlineStr">
        <is>
          <t>NONE</t>
        </is>
      </c>
      <c r="AC1264" s="189" t="n">
        <v>0</v>
      </c>
      <c r="AD1264" s="189" t="n"/>
    </row>
    <row r="1265">
      <c r="A1265" s="191" t="inlineStr">
        <is>
          <t>CVE</t>
        </is>
      </c>
      <c r="B1265" s="191" t="inlineStr">
        <is>
          <t>CVE-2026-2954</t>
        </is>
      </c>
      <c r="C1265" s="191" t="inlineStr">
        <is>
          <t>A vulnerability was found in Dromara UJCMS 10.0.2. Impacted is the function importChanel of the file /api/backend/ext/import-data/import-channel of the component ImportDataController. Performing a manipulation of the argument driverClassName/url results in injection. It is possible to initiate the attack remotely. The exploit has been made public and could be used. The vendor was contacted early about this disclosure but did not respond in any way.</t>
        </is>
      </c>
      <c r="D1265" s="191" t="n">
        <v>6.3</v>
      </c>
      <c r="E1265" s="191" t="inlineStr">
        <is>
          <t>MEDIUM</t>
        </is>
      </c>
      <c r="F1265" s="191" t="n">
        <v>2</v>
      </c>
      <c r="G1265" s="191" t="n">
        <v>2</v>
      </c>
      <c r="H1265" s="191" t="inlineStr">
        <is>
          <t>MEDIUM</t>
        </is>
      </c>
      <c r="I1265" s="191" t="n">
        <v>10.3</v>
      </c>
      <c r="J1265" s="191" t="inlineStr">
        <is>
          <t>NO</t>
        </is>
      </c>
      <c r="K1265" s="192" t="inlineStr">
        <is>
          <t>https://nvd.nist.gov/vuln/detail/CVE-2026-2954</t>
        </is>
      </c>
      <c r="L1265" s="191" t="inlineStr">
        <is>
          <t>2026-02-23 23:48</t>
        </is>
      </c>
      <c r="M1265" s="191" t="inlineStr">
        <is>
          <t>CHECK_VENDOR</t>
        </is>
      </c>
      <c r="N1265" s="191" t="inlineStr">
        <is>
          <t>See NVD references</t>
        </is>
      </c>
      <c r="O1265" s="191" t="inlineStr">
        <is>
          <t>Apply vendor patches</t>
        </is>
      </c>
      <c r="P1265" s="191" t="inlineStr">
        <is>
          <t>See CVE details</t>
        </is>
      </c>
      <c r="Q1265" s="191" t="inlineStr">
        <is>
          <t>P4</t>
        </is>
      </c>
      <c r="R1265" s="191" t="inlineStr">
        <is>
          <t>📅 Schedule patch deployment within 30 days | 🔍 Monitor for exploitation attempts</t>
        </is>
      </c>
      <c r="S1265" s="191" t="inlineStr">
        <is>
          <t>CVE - IP enrichment n/a</t>
        </is>
      </c>
      <c r="T1265" s="191" t="n">
        <v>0</v>
      </c>
      <c r="U1265" s="191" t="n">
        <v>0</v>
      </c>
      <c r="V1265" s="191" t="inlineStr">
        <is>
          <t>T1190:Exploit Public-Facing Application</t>
        </is>
      </c>
      <c r="W1265" s="191" t="n">
        <v>1</v>
      </c>
      <c r="X1265" s="191" t="inlineStr">
        <is>
          <t>LOW (40%)</t>
        </is>
      </c>
      <c r="Y1265" s="191" t="inlineStr">
        <is>
          <t>UNLIKELY</t>
        </is>
      </c>
      <c r="Z1265" s="191" t="inlineStr">
        <is>
          <t>CHECK_VENDOR</t>
        </is>
      </c>
      <c r="AA1265" s="192" t="inlineStr">
        <is>
          <t>https://nvd.nist.gov/vuln/detail/CVE-2026-2954</t>
        </is>
      </c>
      <c r="AB1265" s="191" t="inlineStr">
        <is>
          <t>NONE</t>
        </is>
      </c>
      <c r="AC1265" s="191" t="n">
        <v>0</v>
      </c>
      <c r="AD1265" s="191" t="n"/>
    </row>
    <row r="1266">
      <c r="A1266" s="191" t="inlineStr">
        <is>
          <t>CVE</t>
        </is>
      </c>
      <c r="B1266" s="191" t="inlineStr">
        <is>
          <t>CVE-2026-2956</t>
        </is>
      </c>
      <c r="C1266" s="191" t="inlineStr">
        <is>
          <t>A security flaw has been discovered in qinming99 dst-admin up to 1.5.0. This affects the function revertBackup of the file /home/restore. The manipulation of the argument Name results in command injection. The attack can be launched remotely. The exploit has been released to the public and may be used for attacks. The vendor was contacted early about this disclosure but did not respond in any way.</t>
        </is>
      </c>
      <c r="D1266" s="191" t="n">
        <v>6.3</v>
      </c>
      <c r="E1266" s="191" t="inlineStr">
        <is>
          <t>MEDIUM</t>
        </is>
      </c>
      <c r="F1266" s="191" t="n">
        <v>2</v>
      </c>
      <c r="G1266" s="191" t="n">
        <v>2</v>
      </c>
      <c r="H1266" s="191" t="inlineStr">
        <is>
          <t>MEDIUM</t>
        </is>
      </c>
      <c r="I1266" s="191" t="n">
        <v>10.3</v>
      </c>
      <c r="J1266" s="191" t="inlineStr">
        <is>
          <t>NO</t>
        </is>
      </c>
      <c r="K1266" s="192" t="inlineStr">
        <is>
          <t>https://nvd.nist.gov/vuln/detail/CVE-2026-2956</t>
        </is>
      </c>
      <c r="L1266" s="191" t="inlineStr">
        <is>
          <t>2026-02-23 23:48</t>
        </is>
      </c>
      <c r="M1266" s="191" t="inlineStr">
        <is>
          <t>CHECK_VENDOR</t>
        </is>
      </c>
      <c r="N1266" s="191" t="inlineStr">
        <is>
          <t>See NVD references</t>
        </is>
      </c>
      <c r="O1266" s="191" t="inlineStr">
        <is>
          <t>Apply vendor patches</t>
        </is>
      </c>
      <c r="P1266" s="191" t="inlineStr">
        <is>
          <t>See CVE details</t>
        </is>
      </c>
      <c r="Q1266" s="191" t="inlineStr">
        <is>
          <t>P4</t>
        </is>
      </c>
      <c r="R1266" s="191" t="inlineStr">
        <is>
          <t>📅 Schedule patch deployment within 30 days | 🔍 Monitor for exploitation attempts</t>
        </is>
      </c>
      <c r="S1266" s="191" t="inlineStr">
        <is>
          <t>CVE - IP enrichment n/a</t>
        </is>
      </c>
      <c r="T1266" s="191" t="n">
        <v>0</v>
      </c>
      <c r="U1266" s="191" t="n">
        <v>0</v>
      </c>
      <c r="V1266" s="191" t="inlineStr">
        <is>
          <t>T1059:Command and Scripting Interpreter</t>
        </is>
      </c>
      <c r="W1266" s="191" t="n">
        <v>1</v>
      </c>
      <c r="X1266" s="191" t="inlineStr">
        <is>
          <t>LOW (40%)</t>
        </is>
      </c>
      <c r="Y1266" s="191" t="inlineStr">
        <is>
          <t>UNLIKELY</t>
        </is>
      </c>
      <c r="Z1266" s="191" t="inlineStr">
        <is>
          <t>CHECK_VENDOR</t>
        </is>
      </c>
      <c r="AA1266" s="192" t="inlineStr">
        <is>
          <t>https://nvd.nist.gov/vuln/detail/CVE-2026-2956</t>
        </is>
      </c>
      <c r="AB1266" s="191" t="inlineStr">
        <is>
          <t>NONE</t>
        </is>
      </c>
      <c r="AC1266" s="191" t="n">
        <v>0</v>
      </c>
      <c r="AD1266" s="191" t="n"/>
    </row>
    <row r="1267">
      <c r="A1267" s="191" t="inlineStr">
        <is>
          <t>CVE</t>
        </is>
      </c>
      <c r="B1267" s="191" t="inlineStr">
        <is>
          <t>CVE-2026-2957</t>
        </is>
      </c>
      <c r="C1267" s="191" t="inlineStr">
        <is>
          <t>A weakness has been identified in qinming99 dst-admin up to 1.5.0. This impacts the function deleteBackup of the file src/main/java/com/tugos/dst/admin/controller/BackupController.java of the component File Handler. This manipulation causes denial of service. The attack may be initiated remotely. The exploit has been made available to the public and could be used for attacks. The vendor was contacted early about this disclosure but did not respond in any way.</t>
        </is>
      </c>
      <c r="D1267" s="191" t="n">
        <v>5.4</v>
      </c>
      <c r="E1267" s="191" t="inlineStr">
        <is>
          <t>MEDIUM</t>
        </is>
      </c>
      <c r="F1267" s="191" t="n">
        <v>2</v>
      </c>
      <c r="G1267" s="191" t="n">
        <v>2</v>
      </c>
      <c r="H1267" s="191" t="inlineStr">
        <is>
          <t>MEDIUM</t>
        </is>
      </c>
      <c r="I1267" s="191" t="n">
        <v>9.4</v>
      </c>
      <c r="J1267" s="191" t="inlineStr">
        <is>
          <t>NO</t>
        </is>
      </c>
      <c r="K1267" s="192" t="inlineStr">
        <is>
          <t>https://nvd.nist.gov/vuln/detail/CVE-2026-2957</t>
        </is>
      </c>
      <c r="L1267" s="191" t="inlineStr">
        <is>
          <t>2026-02-23 23:48</t>
        </is>
      </c>
      <c r="M1267" s="191" t="inlineStr">
        <is>
          <t>CHECK_VENDOR</t>
        </is>
      </c>
      <c r="N1267" s="191" t="inlineStr">
        <is>
          <t>See NVD references</t>
        </is>
      </c>
      <c r="O1267" s="191" t="inlineStr">
        <is>
          <t>Apply vendor patches</t>
        </is>
      </c>
      <c r="P1267" s="191" t="inlineStr">
        <is>
          <t>See CVE details</t>
        </is>
      </c>
      <c r="Q1267" s="191" t="inlineStr">
        <is>
          <t>P4</t>
        </is>
      </c>
      <c r="R1267" s="191" t="inlineStr">
        <is>
          <t>📅 Schedule patch deployment within 30 days | 🔍 Monitor for exploitation attempts</t>
        </is>
      </c>
      <c r="S1267" s="191" t="inlineStr">
        <is>
          <t>CVE - IP enrichment n/a</t>
        </is>
      </c>
      <c r="T1267" s="191" t="n">
        <v>0</v>
      </c>
      <c r="U1267" s="191" t="n">
        <v>0</v>
      </c>
      <c r="V1267" s="191" t="inlineStr">
        <is>
          <t>T1499:Endpoint Denial of Service</t>
        </is>
      </c>
      <c r="W1267" s="191" t="n">
        <v>1</v>
      </c>
      <c r="X1267" s="191" t="inlineStr">
        <is>
          <t>LOW (40%)</t>
        </is>
      </c>
      <c r="Y1267" s="191" t="inlineStr">
        <is>
          <t>UNLIKELY</t>
        </is>
      </c>
      <c r="Z1267" s="191" t="inlineStr">
        <is>
          <t>CHECK_VENDOR</t>
        </is>
      </c>
      <c r="AA1267" s="192" t="inlineStr">
        <is>
          <t>https://nvd.nist.gov/vuln/detail/CVE-2026-2957</t>
        </is>
      </c>
      <c r="AB1267" s="191" t="inlineStr">
        <is>
          <t>NONE</t>
        </is>
      </c>
      <c r="AC1267" s="191" t="n">
        <v>0</v>
      </c>
      <c r="AD1267" s="191" t="n"/>
    </row>
    <row r="1268">
      <c r="A1268" s="193" t="inlineStr">
        <is>
          <t>CVE</t>
        </is>
      </c>
      <c r="B1268" s="193" t="inlineStr">
        <is>
          <t>CVE-2026-2588</t>
        </is>
      </c>
      <c r="C1268" s="193" t="inlineStr">
        <is>
          <t>Crypt::NaCl::Sodium versions through 2.001 for Perl has an integer overflow flaw on 32-bit systems.
Sodium.xs casts a STRLEN (size_t) to unsigned long long when passing a length pointer to libsodium functions.  On 32-bit systems size_t is typically 32-bits while an unsigned long long is at least 64-bits.</t>
        </is>
      </c>
      <c r="D1268" s="193" t="n">
        <v>9.1</v>
      </c>
      <c r="E1268" s="193" t="inlineStr">
        <is>
          <t>CRITICAL</t>
        </is>
      </c>
      <c r="F1268" s="193" t="n">
        <v>2</v>
      </c>
      <c r="G1268" s="193" t="n">
        <v>3</v>
      </c>
      <c r="H1268" s="193" t="inlineStr">
        <is>
          <t>HIGH</t>
        </is>
      </c>
      <c r="I1268" s="193" t="n">
        <v>15.1</v>
      </c>
      <c r="J1268" s="193" t="inlineStr">
        <is>
          <t>NO</t>
        </is>
      </c>
      <c r="K1268" s="194" t="inlineStr">
        <is>
          <t>https://nvd.nist.gov/vuln/detail/CVE-2026-2588</t>
        </is>
      </c>
      <c r="L1268" s="193" t="inlineStr">
        <is>
          <t>2026-02-23 23:48</t>
        </is>
      </c>
      <c r="M1268" s="193" t="inlineStr">
        <is>
          <t>CHECK_VENDOR</t>
        </is>
      </c>
      <c r="N1268" s="193" t="inlineStr">
        <is>
          <t>See NVD references</t>
        </is>
      </c>
      <c r="O1268" s="193" t="inlineStr">
        <is>
          <t>Apply vendor patches</t>
        </is>
      </c>
      <c r="P1268" s="193" t="inlineStr">
        <is>
          <t>See CVE details</t>
        </is>
      </c>
      <c r="Q1268" s="193" t="inlineStr">
        <is>
          <t>P3</t>
        </is>
      </c>
      <c r="R1268" s="193" t="inlineStr">
        <is>
          <t>🚨 URGENT: Apply vendor patches immediately | 🔒 Isolate affected systems if patch unavailable | 🛡️ Enable additional monitoring/IDS rules</t>
        </is>
      </c>
      <c r="S1268" s="193" t="inlineStr">
        <is>
          <t>CVE - IP enrichment n/a</t>
        </is>
      </c>
      <c r="T1268" s="193" t="n">
        <v>0</v>
      </c>
      <c r="U1268" s="193" t="n">
        <v>0</v>
      </c>
      <c r="V1268" s="193" t="inlineStr">
        <is>
          <t>T1190:Exploit Public-Facing Application | T1203:Exploitation for Client Execution</t>
        </is>
      </c>
      <c r="W1268" s="193" t="n">
        <v>1</v>
      </c>
      <c r="X1268" s="193" t="inlineStr">
        <is>
          <t>LOW (40%)</t>
        </is>
      </c>
      <c r="Y1268" s="193" t="inlineStr">
        <is>
          <t>UNLIKELY</t>
        </is>
      </c>
      <c r="Z1268" s="193" t="inlineStr">
        <is>
          <t>CHECK_VENDOR</t>
        </is>
      </c>
      <c r="AA1268" s="194" t="inlineStr">
        <is>
          <t>https://nvd.nist.gov/vuln/detail/CVE-2026-2588</t>
        </is>
      </c>
      <c r="AB1268" s="193" t="inlineStr">
        <is>
          <t>NONE</t>
        </is>
      </c>
      <c r="AC1268" s="193" t="n">
        <v>0</v>
      </c>
      <c r="AD1268" s="193" t="n"/>
    </row>
    <row r="1269">
      <c r="A1269" s="189" t="inlineStr">
        <is>
          <t>CVE</t>
        </is>
      </c>
      <c r="B1269" s="189" t="inlineStr">
        <is>
          <t>CVE-2026-2958</t>
        </is>
      </c>
      <c r="C1269" s="189" t="inlineStr">
        <is>
          <t>A security vulnerability has been detected in D-Link DWR-M960 1.01.07. Affected is the function sub_457C5C of the file /boafrm/formWsc. Such manipulation of the argument save_apply leads to stack-based buffer overflow. The attack may be launched remotely. The exploit has been disclosed publicly and may be used.</t>
        </is>
      </c>
      <c r="D1269" s="189" t="n">
        <v>8.800000000000001</v>
      </c>
      <c r="E1269" s="189" t="inlineStr">
        <is>
          <t>HIGH</t>
        </is>
      </c>
      <c r="F1269" s="189" t="n">
        <v>2</v>
      </c>
      <c r="G1269" s="189" t="n">
        <v>3</v>
      </c>
      <c r="H1269" s="189" t="inlineStr">
        <is>
          <t>HIGH</t>
        </is>
      </c>
      <c r="I1269" s="189" t="n">
        <v>14.8</v>
      </c>
      <c r="J1269" s="189" t="inlineStr">
        <is>
          <t>NO</t>
        </is>
      </c>
      <c r="K1269" s="190" t="inlineStr">
        <is>
          <t>https://nvd.nist.gov/vuln/detail/CVE-2026-2958</t>
        </is>
      </c>
      <c r="L1269" s="189" t="inlineStr">
        <is>
          <t>2026-02-23 23:48</t>
        </is>
      </c>
      <c r="M1269" s="189" t="inlineStr">
        <is>
          <t>CHECK_VENDOR</t>
        </is>
      </c>
      <c r="N1269" s="189" t="inlineStr">
        <is>
          <t>See NVD references</t>
        </is>
      </c>
      <c r="O1269" s="189" t="inlineStr">
        <is>
          <t>Apply vendor patches</t>
        </is>
      </c>
      <c r="P1269" s="189" t="inlineStr">
        <is>
          <t>dlink dwr-m960 b1 | dlink dwr-m960_firmware 1.01.07</t>
        </is>
      </c>
      <c r="Q1269" s="189" t="inlineStr">
        <is>
          <t>P3</t>
        </is>
      </c>
      <c r="R1269" s="189" t="inlineStr">
        <is>
          <t>🚨 URGENT: Apply vendor patches immediately | 🔒 Isolate affected systems if patch unavailable | 🛡️ Enable additional monitoring/IDS rules</t>
        </is>
      </c>
      <c r="S1269" s="189" t="inlineStr">
        <is>
          <t>CVE - IP enrichment n/a</t>
        </is>
      </c>
      <c r="T1269" s="189" t="n">
        <v>0</v>
      </c>
      <c r="U1269" s="189" t="n">
        <v>0</v>
      </c>
      <c r="V1269" s="189" t="inlineStr">
        <is>
          <t>T1203:Exploitation for Client Execution</t>
        </is>
      </c>
      <c r="W1269" s="189" t="n">
        <v>1</v>
      </c>
      <c r="X1269" s="189" t="inlineStr">
        <is>
          <t>LOW (40%)</t>
        </is>
      </c>
      <c r="Y1269" s="189" t="inlineStr">
        <is>
          <t>UNLIKELY</t>
        </is>
      </c>
      <c r="Z1269" s="189" t="inlineStr">
        <is>
          <t>CHECK_VENDOR</t>
        </is>
      </c>
      <c r="AA1269" s="190" t="inlineStr">
        <is>
          <t>https://nvd.nist.gov/vuln/detail/CVE-2026-2958</t>
        </is>
      </c>
      <c r="AB1269" s="189" t="inlineStr">
        <is>
          <t>NONE</t>
        </is>
      </c>
      <c r="AC1269" s="189" t="n">
        <v>0</v>
      </c>
      <c r="AD1269" s="189" t="n"/>
    </row>
    <row r="1270">
      <c r="A1270" s="189" t="inlineStr">
        <is>
          <t>CVE</t>
        </is>
      </c>
      <c r="B1270" s="189" t="inlineStr">
        <is>
          <t>CVE-2026-2959</t>
        </is>
      </c>
      <c r="C1270" s="189" t="inlineStr">
        <is>
          <t>A vulnerability was detected in D-Link DWR-M960 1.01.07. Affected by this vulnerability is the function sub_44E0F8 of the file /boafrm/formNewSchedule. Performing a manipulation of the argument url results in stack-based buffer overflow. Remote exploitation of the attack is possible. The exploit is now public and may be used.</t>
        </is>
      </c>
      <c r="D1270" s="189" t="n">
        <v>8.800000000000001</v>
      </c>
      <c r="E1270" s="189" t="inlineStr">
        <is>
          <t>HIGH</t>
        </is>
      </c>
      <c r="F1270" s="189" t="n">
        <v>2</v>
      </c>
      <c r="G1270" s="189" t="n">
        <v>3</v>
      </c>
      <c r="H1270" s="189" t="inlineStr">
        <is>
          <t>HIGH</t>
        </is>
      </c>
      <c r="I1270" s="189" t="n">
        <v>14.8</v>
      </c>
      <c r="J1270" s="189" t="inlineStr">
        <is>
          <t>NO</t>
        </is>
      </c>
      <c r="K1270" s="190" t="inlineStr">
        <is>
          <t>https://nvd.nist.gov/vuln/detail/CVE-2026-2959</t>
        </is>
      </c>
      <c r="L1270" s="189" t="inlineStr">
        <is>
          <t>2026-02-23 23:48</t>
        </is>
      </c>
      <c r="M1270" s="189" t="inlineStr">
        <is>
          <t>CHECK_VENDOR</t>
        </is>
      </c>
      <c r="N1270" s="189" t="inlineStr">
        <is>
          <t>See NVD references</t>
        </is>
      </c>
      <c r="O1270" s="189" t="inlineStr">
        <is>
          <t>Apply vendor patches</t>
        </is>
      </c>
      <c r="P1270" s="189" t="inlineStr">
        <is>
          <t>dlink dwr-m960 b1 | dlink dwr-m960_firmware 1.01.07</t>
        </is>
      </c>
      <c r="Q1270" s="189" t="inlineStr">
        <is>
          <t>P3</t>
        </is>
      </c>
      <c r="R1270" s="189" t="inlineStr">
        <is>
          <t>🚨 URGENT: Apply vendor patches immediately | 🔒 Isolate affected systems if patch unavailable | 🛡️ Enable additional monitoring/IDS rules</t>
        </is>
      </c>
      <c r="S1270" s="189" t="inlineStr">
        <is>
          <t>CVE - IP enrichment n/a</t>
        </is>
      </c>
      <c r="T1270" s="189" t="n">
        <v>0.0004</v>
      </c>
      <c r="U1270" s="189" t="n">
        <v>0.1368</v>
      </c>
      <c r="V1270" s="189" t="inlineStr">
        <is>
          <t>T1203:Exploitation for Client Execution</t>
        </is>
      </c>
      <c r="W1270" s="189" t="n">
        <v>1</v>
      </c>
      <c r="X1270" s="189" t="inlineStr">
        <is>
          <t>LOW (40%)</t>
        </is>
      </c>
      <c r="Y1270" s="189" t="inlineStr">
        <is>
          <t>UNLIKELY</t>
        </is>
      </c>
      <c r="Z1270" s="189" t="inlineStr">
        <is>
          <t>CHECK_VENDOR</t>
        </is>
      </c>
      <c r="AA1270" s="190" t="inlineStr">
        <is>
          <t>https://nvd.nist.gov/vuln/detail/CVE-2026-2959</t>
        </is>
      </c>
      <c r="AB1270" s="189" t="inlineStr">
        <is>
          <t>NONE</t>
        </is>
      </c>
      <c r="AC1270" s="189" t="n">
        <v>0</v>
      </c>
      <c r="AD1270" s="189" t="n"/>
    </row>
    <row r="1271">
      <c r="A1271" s="189" t="inlineStr">
        <is>
          <t>CVE</t>
        </is>
      </c>
      <c r="B1271" s="189" t="inlineStr">
        <is>
          <t>CVE-2026-2960</t>
        </is>
      </c>
      <c r="C1271" s="189" t="inlineStr">
        <is>
          <t>A flaw has been found in D-Link DWR-M960 1.01.07. Affected by this issue is the function sub_468D64 of the file /boafrm/formDhcpv6s. Executing a manipulation of the argument submit-url can lead to stack-based buffer overflow. The attack can be executed remotely. The exploit has been published and may be used.</t>
        </is>
      </c>
      <c r="D1271" s="189" t="n">
        <v>8.800000000000001</v>
      </c>
      <c r="E1271" s="189" t="inlineStr">
        <is>
          <t>HIGH</t>
        </is>
      </c>
      <c r="F1271" s="189" t="n">
        <v>2</v>
      </c>
      <c r="G1271" s="189" t="n">
        <v>3</v>
      </c>
      <c r="H1271" s="189" t="inlineStr">
        <is>
          <t>HIGH</t>
        </is>
      </c>
      <c r="I1271" s="189" t="n">
        <v>14.8</v>
      </c>
      <c r="J1271" s="189" t="inlineStr">
        <is>
          <t>NO</t>
        </is>
      </c>
      <c r="K1271" s="190" t="inlineStr">
        <is>
          <t>https://nvd.nist.gov/vuln/detail/CVE-2026-2960</t>
        </is>
      </c>
      <c r="L1271" s="189" t="inlineStr">
        <is>
          <t>2026-02-23 23:48</t>
        </is>
      </c>
      <c r="M1271" s="189" t="inlineStr">
        <is>
          <t>CHECK_VENDOR</t>
        </is>
      </c>
      <c r="N1271" s="189" t="inlineStr">
        <is>
          <t>See NVD references</t>
        </is>
      </c>
      <c r="O1271" s="189" t="inlineStr">
        <is>
          <t>Apply vendor patches</t>
        </is>
      </c>
      <c r="P1271" s="189" t="inlineStr">
        <is>
          <t>dlink dwr-m960 b1 | dlink dwr-m960_firmware 1.01.07</t>
        </is>
      </c>
      <c r="Q1271" s="189" t="inlineStr">
        <is>
          <t>P3</t>
        </is>
      </c>
      <c r="R1271" s="189" t="inlineStr">
        <is>
          <t>🚨 URGENT: Apply vendor patches immediately | 🔒 Isolate affected systems if patch unavailable | 🛡️ Enable additional monitoring/IDS rules</t>
        </is>
      </c>
      <c r="S1271" s="189" t="inlineStr">
        <is>
          <t>CVE - IP enrichment n/a</t>
        </is>
      </c>
      <c r="T1271" s="189" t="n">
        <v>0</v>
      </c>
      <c r="U1271" s="189" t="n">
        <v>0</v>
      </c>
      <c r="V1271" s="189" t="inlineStr">
        <is>
          <t>T1203:Exploitation for Client Execution</t>
        </is>
      </c>
      <c r="W1271" s="189" t="n">
        <v>1</v>
      </c>
      <c r="X1271" s="189" t="inlineStr">
        <is>
          <t>LOW (40%)</t>
        </is>
      </c>
      <c r="Y1271" s="189" t="inlineStr">
        <is>
          <t>UNLIKELY</t>
        </is>
      </c>
      <c r="Z1271" s="189" t="inlineStr">
        <is>
          <t>CHECK_VENDOR</t>
        </is>
      </c>
      <c r="AA1271" s="190" t="inlineStr">
        <is>
          <t>https://nvd.nist.gov/vuln/detail/CVE-2026-2960</t>
        </is>
      </c>
      <c r="AB1271" s="189" t="inlineStr">
        <is>
          <t>NONE</t>
        </is>
      </c>
      <c r="AC1271" s="189" t="n">
        <v>0</v>
      </c>
      <c r="AD1271" s="189" t="n"/>
    </row>
    <row r="1272">
      <c r="A1272" s="189" t="inlineStr">
        <is>
          <t>CVE</t>
        </is>
      </c>
      <c r="B1272" s="189" t="inlineStr">
        <is>
          <t>CVE-2026-2961</t>
        </is>
      </c>
      <c r="C1272" s="189" t="inlineStr">
        <is>
          <t>A vulnerability has been found in D-Link DWR-M960 1.01.07. This affects the function sub_4196C4 of the file /boafrm/formVpnConfigSetup of the component VPN Configuration Endpoint. The manipulation of the argument submit-url leads to stack-based buffer overflow. The attack is possible to be carried out remotely. The exploit has been disclosed to the public and may be used.</t>
        </is>
      </c>
      <c r="D1272" s="189" t="n">
        <v>8.800000000000001</v>
      </c>
      <c r="E1272" s="189" t="inlineStr">
        <is>
          <t>HIGH</t>
        </is>
      </c>
      <c r="F1272" s="189" t="n">
        <v>2</v>
      </c>
      <c r="G1272" s="189" t="n">
        <v>3</v>
      </c>
      <c r="H1272" s="189" t="inlineStr">
        <is>
          <t>HIGH</t>
        </is>
      </c>
      <c r="I1272" s="189" t="n">
        <v>14.8</v>
      </c>
      <c r="J1272" s="189" t="inlineStr">
        <is>
          <t>NO</t>
        </is>
      </c>
      <c r="K1272" s="190" t="inlineStr">
        <is>
          <t>https://nvd.nist.gov/vuln/detail/CVE-2026-2961</t>
        </is>
      </c>
      <c r="L1272" s="189" t="inlineStr">
        <is>
          <t>2026-02-23 23:48</t>
        </is>
      </c>
      <c r="M1272" s="189" t="inlineStr">
        <is>
          <t>CHECK_VENDOR</t>
        </is>
      </c>
      <c r="N1272" s="189" t="inlineStr">
        <is>
          <t>See NVD references</t>
        </is>
      </c>
      <c r="O1272" s="189" t="inlineStr">
        <is>
          <t>Apply vendor patches</t>
        </is>
      </c>
      <c r="P1272" s="189" t="inlineStr">
        <is>
          <t>dlink dwr-m960 b1 | dlink dwr-m960_firmware 1.01.07</t>
        </is>
      </c>
      <c r="Q1272" s="189" t="inlineStr">
        <is>
          <t>P3</t>
        </is>
      </c>
      <c r="R1272" s="189" t="inlineStr">
        <is>
          <t>🚨 URGENT: Apply vendor patches immediately | 🔒 Isolate affected systems if patch unavailable | 🛡️ Enable additional monitoring/IDS rules</t>
        </is>
      </c>
      <c r="S1272" s="189" t="inlineStr">
        <is>
          <t>CVE - IP enrichment n/a</t>
        </is>
      </c>
      <c r="T1272" s="189" t="n">
        <v>0</v>
      </c>
      <c r="U1272" s="189" t="n">
        <v>0</v>
      </c>
      <c r="V1272" s="189" t="inlineStr">
        <is>
          <t>T1203:Exploitation for Client Execution | T1133:External Remote Services</t>
        </is>
      </c>
      <c r="W1272" s="189" t="n">
        <v>1</v>
      </c>
      <c r="X1272" s="189" t="inlineStr">
        <is>
          <t>LOW (40%)</t>
        </is>
      </c>
      <c r="Y1272" s="189" t="inlineStr">
        <is>
          <t>UNLIKELY</t>
        </is>
      </c>
      <c r="Z1272" s="189" t="inlineStr">
        <is>
          <t>CHECK_VENDOR</t>
        </is>
      </c>
      <c r="AA1272" s="190" t="inlineStr">
        <is>
          <t>https://nvd.nist.gov/vuln/detail/CVE-2026-2961</t>
        </is>
      </c>
      <c r="AB1272" s="189" t="inlineStr">
        <is>
          <t>NONE</t>
        </is>
      </c>
      <c r="AC1272" s="189" t="n">
        <v>0</v>
      </c>
      <c r="AD1272" s="189" t="n"/>
    </row>
    <row r="1273">
      <c r="A1273" s="189" t="inlineStr">
        <is>
          <t>CVE</t>
        </is>
      </c>
      <c r="B1273" s="189" t="inlineStr">
        <is>
          <t>CVE-2026-2962</t>
        </is>
      </c>
      <c r="C1273" s="189" t="inlineStr">
        <is>
          <t>A vulnerability was found in D-Link DWR-M960 1.01.07. This vulnerability affects the function sub_460F30 of the file /boafrm/formDateReboot of the component Scheduled Reboot Configuration Endpoint. The manipulation of the argument submit-url results in stack-based buffer overflow. The attack may be performed from remote. The exploit has been made public and could be used.</t>
        </is>
      </c>
      <c r="D1273" s="189" t="n">
        <v>8.800000000000001</v>
      </c>
      <c r="E1273" s="189" t="inlineStr">
        <is>
          <t>HIGH</t>
        </is>
      </c>
      <c r="F1273" s="189" t="n">
        <v>2</v>
      </c>
      <c r="G1273" s="189" t="n">
        <v>3</v>
      </c>
      <c r="H1273" s="189" t="inlineStr">
        <is>
          <t>HIGH</t>
        </is>
      </c>
      <c r="I1273" s="189" t="n">
        <v>14.8</v>
      </c>
      <c r="J1273" s="189" t="inlineStr">
        <is>
          <t>NO</t>
        </is>
      </c>
      <c r="K1273" s="190" t="inlineStr">
        <is>
          <t>https://nvd.nist.gov/vuln/detail/CVE-2026-2962</t>
        </is>
      </c>
      <c r="L1273" s="189" t="inlineStr">
        <is>
          <t>2026-02-23 23:48</t>
        </is>
      </c>
      <c r="M1273" s="189" t="inlineStr">
        <is>
          <t>CHECK_VENDOR</t>
        </is>
      </c>
      <c r="N1273" s="189" t="inlineStr">
        <is>
          <t>See NVD references</t>
        </is>
      </c>
      <c r="O1273" s="189" t="inlineStr">
        <is>
          <t>Apply vendor patches</t>
        </is>
      </c>
      <c r="P1273" s="189" t="inlineStr">
        <is>
          <t>dlink dwr-m960 b1 | dlink dwr-m960_firmware 1.01.07</t>
        </is>
      </c>
      <c r="Q1273" s="189" t="inlineStr">
        <is>
          <t>P3</t>
        </is>
      </c>
      <c r="R1273" s="189" t="inlineStr">
        <is>
          <t>🚨 URGENT: Apply vendor patches immediately | 🔒 Isolate affected systems if patch unavailable | 🛡️ Enable additional monitoring/IDS rules</t>
        </is>
      </c>
      <c r="S1273" s="189" t="inlineStr">
        <is>
          <t>CVE - IP enrichment n/a</t>
        </is>
      </c>
      <c r="T1273" s="189" t="n">
        <v>0.0004</v>
      </c>
      <c r="U1273" s="189" t="n">
        <v>0.1368</v>
      </c>
      <c r="V1273" s="189" t="inlineStr">
        <is>
          <t>T1203:Exploitation for Client Execution</t>
        </is>
      </c>
      <c r="W1273" s="189" t="n">
        <v>1</v>
      </c>
      <c r="X1273" s="189" t="inlineStr">
        <is>
          <t>LOW (40%)</t>
        </is>
      </c>
      <c r="Y1273" s="189" t="inlineStr">
        <is>
          <t>UNLIKELY</t>
        </is>
      </c>
      <c r="Z1273" s="189" t="inlineStr">
        <is>
          <t>CHECK_VENDOR</t>
        </is>
      </c>
      <c r="AA1273" s="190" t="inlineStr">
        <is>
          <t>https://nvd.nist.gov/vuln/detail/CVE-2026-2962</t>
        </is>
      </c>
      <c r="AB1273" s="189" t="inlineStr">
        <is>
          <t>NONE</t>
        </is>
      </c>
      <c r="AC1273" s="189" t="n">
        <v>0</v>
      </c>
      <c r="AD1273" s="189" t="n"/>
    </row>
    <row r="1274">
      <c r="A1274" s="191" t="inlineStr">
        <is>
          <t>CVE</t>
        </is>
      </c>
      <c r="B1274" s="191" t="inlineStr">
        <is>
          <t>CVE-2026-2963</t>
        </is>
      </c>
      <c r="C1274" s="191" t="inlineStr">
        <is>
          <t>A vulnerability was determined in Jinher OA C6 up to 20260210. This issue affects some unknown processing of the file /C6/Jhsoft.Web.officesupply/OfficeSupplyTypeRight.aspx. This manipulation of the argument id/offsnum causes sql injection. It is possible to initiate the attack remotely. The exploit has been publicly disclosed and may be utilized. It is suggested to install a patch to address this issue. The vendor was contacted early about this disclosure but did not respond in any way.</t>
        </is>
      </c>
      <c r="D1274" s="191" t="n">
        <v>6.3</v>
      </c>
      <c r="E1274" s="191" t="inlineStr">
        <is>
          <t>MEDIUM</t>
        </is>
      </c>
      <c r="F1274" s="191" t="n">
        <v>2</v>
      </c>
      <c r="G1274" s="191" t="n">
        <v>2</v>
      </c>
      <c r="H1274" s="191" t="inlineStr">
        <is>
          <t>MEDIUM</t>
        </is>
      </c>
      <c r="I1274" s="191" t="n">
        <v>10.3</v>
      </c>
      <c r="J1274" s="191" t="inlineStr">
        <is>
          <t>NO</t>
        </is>
      </c>
      <c r="K1274" s="192" t="inlineStr">
        <is>
          <t>https://nvd.nist.gov/vuln/detail/CVE-2026-2963</t>
        </is>
      </c>
      <c r="L1274" s="191" t="inlineStr">
        <is>
          <t>2026-02-23 23:48</t>
        </is>
      </c>
      <c r="M1274" s="191" t="inlineStr">
        <is>
          <t>CHECK_VENDOR</t>
        </is>
      </c>
      <c r="N1274" s="191" t="inlineStr">
        <is>
          <t>See NVD references</t>
        </is>
      </c>
      <c r="O1274" s="191" t="inlineStr">
        <is>
          <t>Apply vendor patches</t>
        </is>
      </c>
      <c r="P1274" s="191" t="inlineStr">
        <is>
          <t>See CVE details</t>
        </is>
      </c>
      <c r="Q1274" s="191" t="inlineStr">
        <is>
          <t>P4</t>
        </is>
      </c>
      <c r="R1274" s="191" t="inlineStr">
        <is>
          <t>📅 Schedule patch deployment within 30 days | 🔍 Monitor for exploitation attempts</t>
        </is>
      </c>
      <c r="S1274" s="191" t="inlineStr">
        <is>
          <t>CVE - IP enrichment n/a</t>
        </is>
      </c>
      <c r="T1274" s="191" t="n">
        <v>0</v>
      </c>
      <c r="U1274" s="191" t="n">
        <v>0</v>
      </c>
      <c r="V1274" s="191" t="inlineStr">
        <is>
          <t>T1190:Exploit Public-Facing Application</t>
        </is>
      </c>
      <c r="W1274" s="191" t="n">
        <v>1</v>
      </c>
      <c r="X1274" s="191" t="inlineStr">
        <is>
          <t>LOW (40%)</t>
        </is>
      </c>
      <c r="Y1274" s="191" t="inlineStr">
        <is>
          <t>UNLIKELY</t>
        </is>
      </c>
      <c r="Z1274" s="191" t="inlineStr">
        <is>
          <t>CHECK_VENDOR</t>
        </is>
      </c>
      <c r="AA1274" s="192" t="inlineStr">
        <is>
          <t>https://nvd.nist.gov/vuln/detail/CVE-2026-2963</t>
        </is>
      </c>
      <c r="AB1274" s="191" t="inlineStr">
        <is>
          <t>NONE</t>
        </is>
      </c>
      <c r="AC1274" s="191" t="n">
        <v>0</v>
      </c>
      <c r="AD1274" s="191" t="n"/>
    </row>
    <row r="1275">
      <c r="A1275" s="193" t="inlineStr">
        <is>
          <t>CVE</t>
        </is>
      </c>
      <c r="B1275" s="193" t="inlineStr">
        <is>
          <t>CVE-2026-24494</t>
        </is>
      </c>
      <c r="C1275" s="193" t="inlineStr">
        <is>
          <t>SQL Injection vulnerability in the /api/integrations/getintegrations endpoint of Order Up Online Ordering System 1.0 allows an unauthenticated attacker to access sensitive backend database data via a crafted store_id parameter in a POST request.</t>
        </is>
      </c>
      <c r="D1275" s="193" t="n">
        <v>9.800000000000001</v>
      </c>
      <c r="E1275" s="193" t="inlineStr">
        <is>
          <t>CRITICAL</t>
        </is>
      </c>
      <c r="F1275" s="193" t="n">
        <v>2</v>
      </c>
      <c r="G1275" s="193" t="n">
        <v>3</v>
      </c>
      <c r="H1275" s="193" t="inlineStr">
        <is>
          <t>HIGH</t>
        </is>
      </c>
      <c r="I1275" s="193" t="n">
        <v>15.8</v>
      </c>
      <c r="J1275" s="193" t="inlineStr">
        <is>
          <t>NO</t>
        </is>
      </c>
      <c r="K1275" s="194" t="inlineStr">
        <is>
          <t>https://nvd.nist.gov/vuln/detail/CVE-2026-24494</t>
        </is>
      </c>
      <c r="L1275" s="193" t="inlineStr">
        <is>
          <t>2026-02-23 23:48</t>
        </is>
      </c>
      <c r="M1275" s="193" t="inlineStr">
        <is>
          <t>CHECK_VENDOR</t>
        </is>
      </c>
      <c r="N1275" s="193" t="inlineStr">
        <is>
          <t>See NVD references</t>
        </is>
      </c>
      <c r="O1275" s="193" t="inlineStr">
        <is>
          <t>Apply vendor patches</t>
        </is>
      </c>
      <c r="P1275" s="193" t="inlineStr">
        <is>
          <t>See CVE details</t>
        </is>
      </c>
      <c r="Q1275" s="193" t="inlineStr">
        <is>
          <t>P3</t>
        </is>
      </c>
      <c r="R1275" s="193" t="inlineStr">
        <is>
          <t>🚨 URGENT: Apply vendor patches immediately | 🔒 Isolate affected systems if patch unavailable | 🛡️ Enable additional monitoring/IDS rules</t>
        </is>
      </c>
      <c r="S1275" s="193" t="inlineStr">
        <is>
          <t>CVE - IP enrichment n/a</t>
        </is>
      </c>
      <c r="T1275" s="193" t="n">
        <v>0.0005</v>
      </c>
      <c r="U1275" s="193" t="n">
        <v>0.1626</v>
      </c>
      <c r="V1275" s="193" t="inlineStr">
        <is>
          <t>T1190:Exploit Public-Facing Application</t>
        </is>
      </c>
      <c r="W1275" s="193" t="n">
        <v>1</v>
      </c>
      <c r="X1275" s="193" t="inlineStr">
        <is>
          <t>LOW (40%)</t>
        </is>
      </c>
      <c r="Y1275" s="193" t="inlineStr">
        <is>
          <t>UNLIKELY</t>
        </is>
      </c>
      <c r="Z1275" s="193" t="inlineStr">
        <is>
          <t>CHECK_VENDOR</t>
        </is>
      </c>
      <c r="AA1275" s="194" t="inlineStr">
        <is>
          <t>https://nvd.nist.gov/vuln/detail/CVE-2026-24494</t>
        </is>
      </c>
      <c r="AB1275" s="193" t="inlineStr">
        <is>
          <t>NONE</t>
        </is>
      </c>
      <c r="AC1275" s="193" t="n">
        <v>0</v>
      </c>
      <c r="AD1275" s="193" t="n"/>
    </row>
    <row r="1276">
      <c r="A1276" s="191" t="inlineStr">
        <is>
          <t>CVE</t>
        </is>
      </c>
      <c r="B1276" s="191" t="inlineStr">
        <is>
          <t>CVE-2026-2964</t>
        </is>
      </c>
      <c r="C1276" s="191" t="inlineStr">
        <is>
          <t>A vulnerability was identified in higuma web-audio-recorder-js 0.1/0.1.1. Impacted is the function extend in the library lib/WebAudioRecorder.js of the component Dynamic Config Handling. Such manipulation leads to improperly controlled modification of object prototype attributes. It is possible to launch the attack remotely. Attacks of this nature are highly complex. The exploitability is considered difficult. The exploit is publicly available and might be used. The vendor was contacted early ab</t>
        </is>
      </c>
      <c r="D1276" s="191" t="n">
        <v>5</v>
      </c>
      <c r="E1276" s="191" t="inlineStr">
        <is>
          <t>MEDIUM</t>
        </is>
      </c>
      <c r="F1276" s="191" t="n">
        <v>2</v>
      </c>
      <c r="G1276" s="191" t="n">
        <v>2</v>
      </c>
      <c r="H1276" s="191" t="inlineStr">
        <is>
          <t>MEDIUM</t>
        </is>
      </c>
      <c r="I1276" s="191" t="n">
        <v>9</v>
      </c>
      <c r="J1276" s="191" t="inlineStr">
        <is>
          <t>NO</t>
        </is>
      </c>
      <c r="K1276" s="192" t="inlineStr">
        <is>
          <t>https://nvd.nist.gov/vuln/detail/CVE-2026-2964</t>
        </is>
      </c>
      <c r="L1276" s="191" t="inlineStr">
        <is>
          <t>2026-02-23 23:48</t>
        </is>
      </c>
      <c r="M1276" s="191" t="inlineStr">
        <is>
          <t>CHECK_VENDOR</t>
        </is>
      </c>
      <c r="N1276" s="191" t="inlineStr">
        <is>
          <t>See NVD references</t>
        </is>
      </c>
      <c r="O1276" s="191" t="inlineStr">
        <is>
          <t>Apply vendor patches</t>
        </is>
      </c>
      <c r="P1276" s="191" t="inlineStr">
        <is>
          <t>See CVE details</t>
        </is>
      </c>
      <c r="Q1276" s="191" t="inlineStr">
        <is>
          <t>P4</t>
        </is>
      </c>
      <c r="R1276" s="191" t="inlineStr">
        <is>
          <t>📅 Schedule patch deployment within 30 days | 🔍 Monitor for exploitation attempts</t>
        </is>
      </c>
      <c r="S1276" s="191" t="inlineStr">
        <is>
          <t>CVE - IP enrichment n/a</t>
        </is>
      </c>
      <c r="T1276" s="191" t="n">
        <v>0</v>
      </c>
      <c r="U1276" s="191" t="n">
        <v>0</v>
      </c>
      <c r="V1276" s="191" t="inlineStr">
        <is>
          <t>T1059:Command and Scripting Interpreter</t>
        </is>
      </c>
      <c r="W1276" s="191" t="n">
        <v>1</v>
      </c>
      <c r="X1276" s="191" t="inlineStr">
        <is>
          <t>LOW (40%)</t>
        </is>
      </c>
      <c r="Y1276" s="191" t="inlineStr">
        <is>
          <t>UNLIKELY</t>
        </is>
      </c>
      <c r="Z1276" s="191" t="inlineStr">
        <is>
          <t>CHECK_VENDOR</t>
        </is>
      </c>
      <c r="AA1276" s="192" t="inlineStr">
        <is>
          <t>https://nvd.nist.gov/vuln/detail/CVE-2026-2964</t>
        </is>
      </c>
      <c r="AB1276" s="191" t="inlineStr">
        <is>
          <t>NONE</t>
        </is>
      </c>
      <c r="AC1276" s="191" t="n">
        <v>0</v>
      </c>
      <c r="AD1276" s="191" t="n"/>
    </row>
    <row r="1277">
      <c r="A1277" s="195" t="inlineStr">
        <is>
          <t>CVE</t>
        </is>
      </c>
      <c r="B1277" s="195" t="inlineStr">
        <is>
          <t>CVE-2026-2965</t>
        </is>
      </c>
      <c r="C1277" s="195" t="inlineStr">
        <is>
          <t>A security flaw has been discovered in 07FLYCMS, 07FLY-CMS and 07FlyCRM up to 1.2.9. The affected element is an unknown function of the file /admin/SysModule/edit.html of the component System Extension Module. Performing a manipulation of the argument Title results in cross site scripting. The attack can be initiated remotely. The exploit has been released to the public and may be used for attacks. This product is published under multiple names. The vendor was contacted early about this disclosu</t>
        </is>
      </c>
      <c r="D1277" s="195" t="n">
        <v>2.4</v>
      </c>
      <c r="E1277" s="195" t="inlineStr">
        <is>
          <t>LOW</t>
        </is>
      </c>
      <c r="F1277" s="195" t="n">
        <v>2</v>
      </c>
      <c r="G1277" s="195" t="n">
        <v>1</v>
      </c>
      <c r="H1277" s="195" t="inlineStr">
        <is>
          <t>LOW</t>
        </is>
      </c>
      <c r="I1277" s="195" t="n">
        <v>4.4</v>
      </c>
      <c r="J1277" s="195" t="inlineStr">
        <is>
          <t>NO</t>
        </is>
      </c>
      <c r="K1277" s="196" t="inlineStr">
        <is>
          <t>https://nvd.nist.gov/vuln/detail/CVE-2026-2965</t>
        </is>
      </c>
      <c r="L1277" s="195" t="inlineStr">
        <is>
          <t>2026-02-23 23:48</t>
        </is>
      </c>
      <c r="M1277" s="195" t="inlineStr">
        <is>
          <t>CHECK_VENDOR</t>
        </is>
      </c>
      <c r="N1277" s="195" t="inlineStr">
        <is>
          <t>See NVD references</t>
        </is>
      </c>
      <c r="O1277" s="195" t="inlineStr">
        <is>
          <t>Apply vendor patches</t>
        </is>
      </c>
      <c r="P1277" s="195" t="inlineStr">
        <is>
          <t>See CVE details</t>
        </is>
      </c>
      <c r="Q1277" s="195" t="inlineStr">
        <is>
          <t>P4</t>
        </is>
      </c>
      <c r="R1277" s="195" t="inlineStr">
        <is>
          <t>📅 Schedule patch deployment within 30 days | 🔍 Monitor for exploitation attempts</t>
        </is>
      </c>
      <c r="S1277" s="195" t="inlineStr">
        <is>
          <t>CVE - IP enrichment n/a</t>
        </is>
      </c>
      <c r="T1277" s="195" t="n">
        <v>0.0003</v>
      </c>
      <c r="U1277" s="195" t="n">
        <v>0.07770000000000001</v>
      </c>
      <c r="V1277" s="195" t="inlineStr">
        <is>
          <t>T1189:Drive-by Compromise</t>
        </is>
      </c>
      <c r="W1277" s="195" t="n">
        <v>1</v>
      </c>
      <c r="X1277" s="195" t="inlineStr">
        <is>
          <t>LOW (40%)</t>
        </is>
      </c>
      <c r="Y1277" s="195" t="inlineStr">
        <is>
          <t>UNLIKELY</t>
        </is>
      </c>
      <c r="Z1277" s="195" t="inlineStr">
        <is>
          <t>CHECK_VENDOR</t>
        </is>
      </c>
      <c r="AA1277" s="196" t="inlineStr">
        <is>
          <t>https://nvd.nist.gov/vuln/detail/CVE-2026-2965</t>
        </is>
      </c>
      <c r="AB1277" s="195" t="inlineStr">
        <is>
          <t>NONE</t>
        </is>
      </c>
      <c r="AC1277" s="195" t="n">
        <v>0</v>
      </c>
      <c r="AD1277" s="195" t="n"/>
    </row>
    <row r="1278">
      <c r="A1278" s="195" t="inlineStr">
        <is>
          <t>CVE</t>
        </is>
      </c>
      <c r="B1278" s="195" t="inlineStr">
        <is>
          <t>CVE-2026-2966</t>
        </is>
      </c>
      <c r="C1278" s="195" t="inlineStr">
        <is>
          <t>A weakness has been identified in Cesanta Mongoose up to 7.20. The impacted element is the function mg_sendnsreq of the file /src/dns.c of the component DNS Transaction ID Handler. Executing a manipulation of the argument random can lead to insufficiently random values. The attack can be launched remotely. The attack requires a high level of complexity. The exploitability is regarded as difficult. The exploit has been made available to the public and could be used for attacks. The vendor was con</t>
        </is>
      </c>
      <c r="D1278" s="195" t="n">
        <v>3.7</v>
      </c>
      <c r="E1278" s="195" t="inlineStr">
        <is>
          <t>LOW</t>
        </is>
      </c>
      <c r="F1278" s="195" t="n">
        <v>2</v>
      </c>
      <c r="G1278" s="195" t="n">
        <v>1</v>
      </c>
      <c r="H1278" s="195" t="inlineStr">
        <is>
          <t>LOW</t>
        </is>
      </c>
      <c r="I1278" s="195" t="n">
        <v>5.7</v>
      </c>
      <c r="J1278" s="195" t="inlineStr">
        <is>
          <t>NO</t>
        </is>
      </c>
      <c r="K1278" s="196" t="inlineStr">
        <is>
          <t>https://nvd.nist.gov/vuln/detail/CVE-2026-2966</t>
        </is>
      </c>
      <c r="L1278" s="195" t="inlineStr">
        <is>
          <t>2026-02-23 23:48</t>
        </is>
      </c>
      <c r="M1278" s="195" t="inlineStr">
        <is>
          <t>CHECK_VENDOR</t>
        </is>
      </c>
      <c r="N1278" s="195" t="inlineStr">
        <is>
          <t>See NVD references</t>
        </is>
      </c>
      <c r="O1278" s="195" t="inlineStr">
        <is>
          <t>Apply vendor patches</t>
        </is>
      </c>
      <c r="P1278" s="195" t="inlineStr">
        <is>
          <t>cesanta mongoose *</t>
        </is>
      </c>
      <c r="Q1278" s="195" t="inlineStr">
        <is>
          <t>P4</t>
        </is>
      </c>
      <c r="R1278" s="195" t="inlineStr">
        <is>
          <t>📅 Schedule patch deployment within 30 days | 🔍 Monitor for exploitation attempts</t>
        </is>
      </c>
      <c r="S1278" s="195" t="inlineStr">
        <is>
          <t>CVE - IP enrichment n/a</t>
        </is>
      </c>
      <c r="T1278" s="195" t="n">
        <v>0</v>
      </c>
      <c r="U1278" s="195" t="n">
        <v>0</v>
      </c>
      <c r="V1278" s="195" t="inlineStr">
        <is>
          <t>T1190:Exploit Public-Facing Application</t>
        </is>
      </c>
      <c r="W1278" s="195" t="n">
        <v>1</v>
      </c>
      <c r="X1278" s="195" t="inlineStr">
        <is>
          <t>LOW (40%)</t>
        </is>
      </c>
      <c r="Y1278" s="195" t="inlineStr">
        <is>
          <t>UNLIKELY</t>
        </is>
      </c>
      <c r="Z1278" s="195" t="inlineStr">
        <is>
          <t>CHECK_VENDOR</t>
        </is>
      </c>
      <c r="AA1278" s="196" t="inlineStr">
        <is>
          <t>https://nvd.nist.gov/vuln/detail/CVE-2026-2966</t>
        </is>
      </c>
      <c r="AB1278" s="195" t="inlineStr">
        <is>
          <t>NONE</t>
        </is>
      </c>
      <c r="AC1278" s="195" t="n">
        <v>0</v>
      </c>
      <c r="AD1278" s="195" t="n"/>
    </row>
    <row r="1279">
      <c r="A1279" s="191" t="inlineStr">
        <is>
          <t>CVE</t>
        </is>
      </c>
      <c r="B1279" s="191" t="inlineStr">
        <is>
          <t>CVE-2026-2997</t>
        </is>
      </c>
      <c r="C1279" s="191" t="inlineStr">
        <is>
          <t>Tronclass developed by WisdomGarden has a Insecure Direct Object Reference vulnerability. After obtaining a course ID, authenticated remote attackers to modify a specific parameter to obtain a course invitation code, thereby joining any course.</t>
        </is>
      </c>
      <c r="D1279" s="191" t="n">
        <v>5.4</v>
      </c>
      <c r="E1279" s="191" t="inlineStr">
        <is>
          <t>MEDIUM</t>
        </is>
      </c>
      <c r="F1279" s="191" t="n">
        <v>2</v>
      </c>
      <c r="G1279" s="191" t="n">
        <v>2</v>
      </c>
      <c r="H1279" s="191" t="inlineStr">
        <is>
          <t>MEDIUM</t>
        </is>
      </c>
      <c r="I1279" s="191" t="n">
        <v>9.4</v>
      </c>
      <c r="J1279" s="191" t="inlineStr">
        <is>
          <t>NO</t>
        </is>
      </c>
      <c r="K1279" s="192" t="inlineStr">
        <is>
          <t>https://nvd.nist.gov/vuln/detail/CVE-2026-2997</t>
        </is>
      </c>
      <c r="L1279" s="191" t="inlineStr">
        <is>
          <t>2026-02-23 23:48</t>
        </is>
      </c>
      <c r="M1279" s="191" t="inlineStr">
        <is>
          <t>CHECK_VENDOR</t>
        </is>
      </c>
      <c r="N1279" s="191" t="inlineStr">
        <is>
          <t>See NVD references</t>
        </is>
      </c>
      <c r="O1279" s="191" t="inlineStr">
        <is>
          <t>Apply vendor patches</t>
        </is>
      </c>
      <c r="P1279" s="191" t="inlineStr">
        <is>
          <t>See CVE details</t>
        </is>
      </c>
      <c r="Q1279" s="191" t="inlineStr">
        <is>
          <t>P4</t>
        </is>
      </c>
      <c r="R1279" s="191" t="inlineStr">
        <is>
          <t>📅 Schedule patch deployment within 30 days | 🔍 Monitor for exploitation attempts</t>
        </is>
      </c>
      <c r="S1279" s="191" t="inlineStr">
        <is>
          <t>CVE - IP enrichment n/a</t>
        </is>
      </c>
      <c r="T1279" s="191" t="n">
        <v>0</v>
      </c>
      <c r="U1279" s="191" t="n">
        <v>0</v>
      </c>
      <c r="V1279" s="191" t="inlineStr">
        <is>
          <t>T1190:Exploit Public-Facing Application</t>
        </is>
      </c>
      <c r="W1279" s="191" t="n">
        <v>1</v>
      </c>
      <c r="X1279" s="191" t="inlineStr">
        <is>
          <t>LOW (40%)</t>
        </is>
      </c>
      <c r="Y1279" s="191" t="inlineStr">
        <is>
          <t>UNLIKELY</t>
        </is>
      </c>
      <c r="Z1279" s="191" t="inlineStr">
        <is>
          <t>CHECK_VENDOR</t>
        </is>
      </c>
      <c r="AA1279" s="192" t="inlineStr">
        <is>
          <t>https://nvd.nist.gov/vuln/detail/CVE-2026-2997</t>
        </is>
      </c>
      <c r="AB1279" s="191" t="inlineStr">
        <is>
          <t>NONE</t>
        </is>
      </c>
      <c r="AC1279" s="191" t="n">
        <v>0</v>
      </c>
      <c r="AD1279" s="191" t="n"/>
    </row>
    <row r="1280">
      <c r="A1280" s="195" t="inlineStr">
        <is>
          <t>CVE</t>
        </is>
      </c>
      <c r="B1280" s="195" t="inlineStr">
        <is>
          <t>CVE-2026-2967</t>
        </is>
      </c>
      <c r="C1280" s="195" t="inlineStr">
        <is>
          <t>A security vulnerability has been detected in Cesanta Mongoose up to 7.20. This affects the function getpeer of the file /src/net_builtin.c of the component TCP Sequence Number Handler. The manipulation leads to improper verification of source of a communication channel. The attack may be initiated remotely. The attack's complexity is rated as high. The exploitability is reported as difficult. The exploit has been disclosed publicly and may be used. The vendor was contacted early about this disc</t>
        </is>
      </c>
      <c r="D1280" s="195" t="n">
        <v>3.7</v>
      </c>
      <c r="E1280" s="195" t="inlineStr">
        <is>
          <t>LOW</t>
        </is>
      </c>
      <c r="F1280" s="195" t="n">
        <v>2</v>
      </c>
      <c r="G1280" s="195" t="n">
        <v>1</v>
      </c>
      <c r="H1280" s="195" t="inlineStr">
        <is>
          <t>LOW</t>
        </is>
      </c>
      <c r="I1280" s="195" t="n">
        <v>5.7</v>
      </c>
      <c r="J1280" s="195" t="inlineStr">
        <is>
          <t>NO</t>
        </is>
      </c>
      <c r="K1280" s="196" t="inlineStr">
        <is>
          <t>https://nvd.nist.gov/vuln/detail/CVE-2026-2967</t>
        </is>
      </c>
      <c r="L1280" s="195" t="inlineStr">
        <is>
          <t>2026-02-23 23:48</t>
        </is>
      </c>
      <c r="M1280" s="195" t="inlineStr">
        <is>
          <t>CHECK_VENDOR</t>
        </is>
      </c>
      <c r="N1280" s="195" t="inlineStr">
        <is>
          <t>See NVD references</t>
        </is>
      </c>
      <c r="O1280" s="195" t="inlineStr">
        <is>
          <t>Apply vendor patches</t>
        </is>
      </c>
      <c r="P1280" s="195" t="inlineStr">
        <is>
          <t>cesanta mongoose *</t>
        </is>
      </c>
      <c r="Q1280" s="195" t="inlineStr">
        <is>
          <t>P4</t>
        </is>
      </c>
      <c r="R1280" s="195" t="inlineStr">
        <is>
          <t>📅 Schedule patch deployment within 30 days | 🔍 Monitor for exploitation attempts</t>
        </is>
      </c>
      <c r="S1280" s="195" t="inlineStr">
        <is>
          <t>CVE - IP enrichment n/a</t>
        </is>
      </c>
      <c r="T1280" s="195" t="n">
        <v>0</v>
      </c>
      <c r="U1280" s="195" t="n">
        <v>0</v>
      </c>
      <c r="V1280" s="195" t="inlineStr">
        <is>
          <t>T1190:Exploit Public-Facing Application</t>
        </is>
      </c>
      <c r="W1280" s="195" t="n">
        <v>1</v>
      </c>
      <c r="X1280" s="195" t="inlineStr">
        <is>
          <t>LOW (40%)</t>
        </is>
      </c>
      <c r="Y1280" s="195" t="inlineStr">
        <is>
          <t>UNLIKELY</t>
        </is>
      </c>
      <c r="Z1280" s="195" t="inlineStr">
        <is>
          <t>CHECK_VENDOR</t>
        </is>
      </c>
      <c r="AA1280" s="196" t="inlineStr">
        <is>
          <t>https://nvd.nist.gov/vuln/detail/CVE-2026-2967</t>
        </is>
      </c>
      <c r="AB1280" s="195" t="inlineStr">
        <is>
          <t>NONE</t>
        </is>
      </c>
      <c r="AC1280" s="195" t="n">
        <v>0</v>
      </c>
      <c r="AD1280" s="195" t="n"/>
    </row>
    <row r="1281">
      <c r="A1281" s="195" t="inlineStr">
        <is>
          <t>CVE</t>
        </is>
      </c>
      <c r="B1281" s="195" t="inlineStr">
        <is>
          <t>CVE-2026-2968</t>
        </is>
      </c>
      <c r="C1281" s="195" t="inlineStr">
        <is>
          <t>A vulnerability was detected in Cesanta Mongoose up to 7.20. This impacts the function mg_chacha20_poly1305_decrypt of the file /src/tls_chacha20.c of the component Poly1305 Authentication Tag Handler. The manipulation results in improper verification of cryptographic signature. The attack may be launched remotely. This attack is characterized by high complexity. The exploitability is said to be difficult. The exploit is now public and may be used. The vendor was contacted early about this discl</t>
        </is>
      </c>
      <c r="D1281" s="195" t="n">
        <v>3.7</v>
      </c>
      <c r="E1281" s="195" t="inlineStr">
        <is>
          <t>LOW</t>
        </is>
      </c>
      <c r="F1281" s="195" t="n">
        <v>2</v>
      </c>
      <c r="G1281" s="195" t="n">
        <v>1</v>
      </c>
      <c r="H1281" s="195" t="inlineStr">
        <is>
          <t>LOW</t>
        </is>
      </c>
      <c r="I1281" s="195" t="n">
        <v>5.7</v>
      </c>
      <c r="J1281" s="195" t="inlineStr">
        <is>
          <t>NO</t>
        </is>
      </c>
      <c r="K1281" s="196" t="inlineStr">
        <is>
          <t>https://nvd.nist.gov/vuln/detail/CVE-2026-2968</t>
        </is>
      </c>
      <c r="L1281" s="195" t="inlineStr">
        <is>
          <t>2026-02-23 23:48</t>
        </is>
      </c>
      <c r="M1281" s="195" t="inlineStr">
        <is>
          <t>CHECK_VENDOR</t>
        </is>
      </c>
      <c r="N1281" s="195" t="inlineStr">
        <is>
          <t>See NVD references</t>
        </is>
      </c>
      <c r="O1281" s="195" t="inlineStr">
        <is>
          <t>Apply vendor patches</t>
        </is>
      </c>
      <c r="P1281" s="195" t="inlineStr">
        <is>
          <t>cesanta mongoose *</t>
        </is>
      </c>
      <c r="Q1281" s="195" t="inlineStr">
        <is>
          <t>P4</t>
        </is>
      </c>
      <c r="R1281" s="195" t="inlineStr">
        <is>
          <t>📅 Schedule patch deployment within 30 days | 🔍 Monitor for exploitation attempts</t>
        </is>
      </c>
      <c r="S1281" s="195" t="inlineStr">
        <is>
          <t>CVE - IP enrichment n/a</t>
        </is>
      </c>
      <c r="T1281" s="195" t="n">
        <v>0</v>
      </c>
      <c r="U1281" s="195" t="n">
        <v>0</v>
      </c>
      <c r="V1281" s="195" t="inlineStr">
        <is>
          <t>T1600:Weaken Encryption</t>
        </is>
      </c>
      <c r="W1281" s="195" t="n">
        <v>1</v>
      </c>
      <c r="X1281" s="195" t="inlineStr">
        <is>
          <t>LOW (40%)</t>
        </is>
      </c>
      <c r="Y1281" s="195" t="inlineStr">
        <is>
          <t>UNLIKELY</t>
        </is>
      </c>
      <c r="Z1281" s="195" t="inlineStr">
        <is>
          <t>CHECK_VENDOR</t>
        </is>
      </c>
      <c r="AA1281" s="196" t="inlineStr">
        <is>
          <t>https://nvd.nist.gov/vuln/detail/CVE-2026-2968</t>
        </is>
      </c>
      <c r="AB1281" s="195" t="inlineStr">
        <is>
          <t>NONE</t>
        </is>
      </c>
      <c r="AC1281" s="195" t="n">
        <v>0</v>
      </c>
      <c r="AD1281" s="195" t="n"/>
    </row>
    <row r="1282">
      <c r="A1282" s="189" t="inlineStr">
        <is>
          <t>CVE</t>
        </is>
      </c>
      <c r="B1282" s="189" t="inlineStr">
        <is>
          <t>CVE-2026-2998</t>
        </is>
      </c>
      <c r="C1282" s="189" t="inlineStr">
        <is>
          <t>ERP developed by eAI Technologies has a DLL Hijacking vulnerability, allowing authenticated local attackers to place a crafted DLL file in the same directory as the program, thereby executing arbitrary code.</t>
        </is>
      </c>
      <c r="D1282" s="189" t="n">
        <v>7.8</v>
      </c>
      <c r="E1282" s="189" t="inlineStr">
        <is>
          <t>HIGH</t>
        </is>
      </c>
      <c r="F1282" s="189" t="n">
        <v>2</v>
      </c>
      <c r="G1282" s="189" t="n">
        <v>3</v>
      </c>
      <c r="H1282" s="189" t="inlineStr">
        <is>
          <t>HIGH</t>
        </is>
      </c>
      <c r="I1282" s="189" t="n">
        <v>13.8</v>
      </c>
      <c r="J1282" s="189" t="inlineStr">
        <is>
          <t>NO</t>
        </is>
      </c>
      <c r="K1282" s="190" t="inlineStr">
        <is>
          <t>https://nvd.nist.gov/vuln/detail/CVE-2026-2998</t>
        </is>
      </c>
      <c r="L1282" s="189" t="inlineStr">
        <is>
          <t>2026-02-23 23:48</t>
        </is>
      </c>
      <c r="M1282" s="189" t="inlineStr">
        <is>
          <t>CHECK_VENDOR</t>
        </is>
      </c>
      <c r="N1282" s="189" t="inlineStr">
        <is>
          <t>See NVD references</t>
        </is>
      </c>
      <c r="O1282" s="189" t="inlineStr">
        <is>
          <t>Apply vendor patches</t>
        </is>
      </c>
      <c r="P1282" s="189" t="inlineStr">
        <is>
          <t>See CVE details</t>
        </is>
      </c>
      <c r="Q1282" s="189" t="inlineStr">
        <is>
          <t>P3</t>
        </is>
      </c>
      <c r="R1282" s="189" t="inlineStr">
        <is>
          <t>🚨 URGENT: Apply vendor patches immediately | 🔒 Isolate affected systems if patch unavailable | 🛡️ Enable additional monitoring/IDS rules</t>
        </is>
      </c>
      <c r="S1282" s="189" t="inlineStr">
        <is>
          <t>CVE - IP enrichment n/a</t>
        </is>
      </c>
      <c r="T1282" s="189" t="n">
        <v>0</v>
      </c>
      <c r="U1282" s="189" t="n">
        <v>0</v>
      </c>
      <c r="V1282" s="189" t="inlineStr">
        <is>
          <t>T1203:Exploitation for Client Execution</t>
        </is>
      </c>
      <c r="W1282" s="189" t="n">
        <v>1</v>
      </c>
      <c r="X1282" s="189" t="inlineStr">
        <is>
          <t>LOW (40%)</t>
        </is>
      </c>
      <c r="Y1282" s="189" t="inlineStr">
        <is>
          <t>UNLIKELY</t>
        </is>
      </c>
      <c r="Z1282" s="189" t="inlineStr">
        <is>
          <t>CHECK_VENDOR</t>
        </is>
      </c>
      <c r="AA1282" s="190" t="inlineStr">
        <is>
          <t>https://nvd.nist.gov/vuln/detail/CVE-2026-2998</t>
        </is>
      </c>
      <c r="AB1282" s="189" t="inlineStr">
        <is>
          <t>NONE</t>
        </is>
      </c>
      <c r="AC1282" s="189" t="n">
        <v>0</v>
      </c>
      <c r="AD1282" s="189" t="n"/>
    </row>
    <row r="1283">
      <c r="A1283" s="191" t="inlineStr">
        <is>
          <t>CVE</t>
        </is>
      </c>
      <c r="B1283" s="191" t="inlineStr">
        <is>
          <t>CVE-2026-2969</t>
        </is>
      </c>
      <c r="C1283" s="191" t="inlineStr">
        <is>
          <t>A flaw has been found in datapizza-labs datapizza-ai 0.0.2. Affected is the function ChatPromptTemplate of the file datapizza-ai-core/datapizza/modules/prompt/prompt.py of the component Jinja2 Template Handler. This manipulation of the argument Prompt causes improper neutralization of special elements used in a template engine. Remote exploitation of the attack is possible. The exploit has been published and may be used. The vendor was contacted early about this disclosure but did not respond in</t>
        </is>
      </c>
      <c r="D1283" s="191" t="n">
        <v>4.7</v>
      </c>
      <c r="E1283" s="191" t="inlineStr">
        <is>
          <t>MEDIUM</t>
        </is>
      </c>
      <c r="F1283" s="191" t="n">
        <v>2</v>
      </c>
      <c r="G1283" s="191" t="n">
        <v>2</v>
      </c>
      <c r="H1283" s="191" t="inlineStr">
        <is>
          <t>MEDIUM</t>
        </is>
      </c>
      <c r="I1283" s="191" t="n">
        <v>8.699999999999999</v>
      </c>
      <c r="J1283" s="191" t="inlineStr">
        <is>
          <t>NO</t>
        </is>
      </c>
      <c r="K1283" s="192" t="inlineStr">
        <is>
          <t>https://nvd.nist.gov/vuln/detail/CVE-2026-2969</t>
        </is>
      </c>
      <c r="L1283" s="191" t="inlineStr">
        <is>
          <t>2026-02-23 23:48</t>
        </is>
      </c>
      <c r="M1283" s="191" t="inlineStr">
        <is>
          <t>CHECK_VENDOR</t>
        </is>
      </c>
      <c r="N1283" s="191" t="inlineStr">
        <is>
          <t>See NVD references</t>
        </is>
      </c>
      <c r="O1283" s="191" t="inlineStr">
        <is>
          <t>Apply vendor patches</t>
        </is>
      </c>
      <c r="P1283" s="191" t="inlineStr">
        <is>
          <t>See CVE details</t>
        </is>
      </c>
      <c r="Q1283" s="191" t="inlineStr">
        <is>
          <t>P4</t>
        </is>
      </c>
      <c r="R1283" s="191" t="inlineStr">
        <is>
          <t>📅 Schedule patch deployment within 30 days | 🔍 Monitor for exploitation attempts</t>
        </is>
      </c>
      <c r="S1283" s="191" t="inlineStr">
        <is>
          <t>CVE - IP enrichment n/a</t>
        </is>
      </c>
      <c r="T1283" s="191" t="n">
        <v>0</v>
      </c>
      <c r="U1283" s="191" t="n">
        <v>0</v>
      </c>
      <c r="V1283" s="191" t="inlineStr">
        <is>
          <t>T1190:Exploit Public-Facing Application</t>
        </is>
      </c>
      <c r="W1283" s="191" t="n">
        <v>1</v>
      </c>
      <c r="X1283" s="191" t="inlineStr">
        <is>
          <t>LOW (40%)</t>
        </is>
      </c>
      <c r="Y1283" s="191" t="inlineStr">
        <is>
          <t>UNLIKELY</t>
        </is>
      </c>
      <c r="Z1283" s="191" t="inlineStr">
        <is>
          <t>CHECK_VENDOR</t>
        </is>
      </c>
      <c r="AA1283" s="192" t="inlineStr">
        <is>
          <t>https://nvd.nist.gov/vuln/detail/CVE-2026-2969</t>
        </is>
      </c>
      <c r="AB1283" s="191" t="inlineStr">
        <is>
          <t>NONE</t>
        </is>
      </c>
      <c r="AC1283" s="191" t="n">
        <v>0</v>
      </c>
      <c r="AD1283" s="191" t="n"/>
    </row>
    <row r="1284">
      <c r="A1284" s="191" t="inlineStr">
        <is>
          <t>CVE</t>
        </is>
      </c>
      <c r="B1284" s="191" t="inlineStr">
        <is>
          <t>CVE-2026-2970</t>
        </is>
      </c>
      <c r="C1284" s="191" t="inlineStr">
        <is>
          <t>A vulnerability has been found in datapizza-labs datapizza-ai 0.0.2. Affected by this vulnerability is the function RedisCache of the file datapizza-ai-cache/redis/datapizza/cache/redis/cache.py. Such manipulation leads to deserialization. The attack requires being on the local network. A high complexity level is associated with this attack. The exploitation appears to be difficult. The exploit has been disclosed to the public and may be used. The vendor was contacted early about this disclosure</t>
        </is>
      </c>
      <c r="D1284" s="191" t="n">
        <v>4.6</v>
      </c>
      <c r="E1284" s="191" t="inlineStr">
        <is>
          <t>MEDIUM</t>
        </is>
      </c>
      <c r="F1284" s="191" t="n">
        <v>2</v>
      </c>
      <c r="G1284" s="191" t="n">
        <v>2</v>
      </c>
      <c r="H1284" s="191" t="inlineStr">
        <is>
          <t>MEDIUM</t>
        </is>
      </c>
      <c r="I1284" s="191" t="n">
        <v>8.6</v>
      </c>
      <c r="J1284" s="191" t="inlineStr">
        <is>
          <t>NO</t>
        </is>
      </c>
      <c r="K1284" s="192" t="inlineStr">
        <is>
          <t>https://nvd.nist.gov/vuln/detail/CVE-2026-2970</t>
        </is>
      </c>
      <c r="L1284" s="191" t="inlineStr">
        <is>
          <t>2026-02-23 23:48</t>
        </is>
      </c>
      <c r="M1284" s="191" t="inlineStr">
        <is>
          <t>CHECK_VENDOR</t>
        </is>
      </c>
      <c r="N1284" s="191" t="inlineStr">
        <is>
          <t>See NVD references</t>
        </is>
      </c>
      <c r="O1284" s="191" t="inlineStr">
        <is>
          <t>Apply vendor patches</t>
        </is>
      </c>
      <c r="P1284" s="191" t="inlineStr">
        <is>
          <t>See CVE details</t>
        </is>
      </c>
      <c r="Q1284" s="191" t="inlineStr">
        <is>
          <t>P4</t>
        </is>
      </c>
      <c r="R1284" s="191" t="inlineStr">
        <is>
          <t>📅 Schedule patch deployment within 30 days | 🔍 Monitor for exploitation attempts</t>
        </is>
      </c>
      <c r="S1284" s="191" t="inlineStr">
        <is>
          <t>CVE - IP enrichment n/a</t>
        </is>
      </c>
      <c r="T1284" s="191" t="n">
        <v>0.0003</v>
      </c>
      <c r="U1284" s="191" t="n">
        <v>0.0895</v>
      </c>
      <c r="V1284" s="191" t="inlineStr">
        <is>
          <t>T1059:Command and Scripting Interpreter</t>
        </is>
      </c>
      <c r="W1284" s="191" t="n">
        <v>1</v>
      </c>
      <c r="X1284" s="191" t="inlineStr">
        <is>
          <t>LOW (40%)</t>
        </is>
      </c>
      <c r="Y1284" s="191" t="inlineStr">
        <is>
          <t>UNLIKELY</t>
        </is>
      </c>
      <c r="Z1284" s="191" t="inlineStr">
        <is>
          <t>CHECK_VENDOR</t>
        </is>
      </c>
      <c r="AA1284" s="192" t="inlineStr">
        <is>
          <t>https://nvd.nist.gov/vuln/detail/CVE-2026-2970</t>
        </is>
      </c>
      <c r="AB1284" s="191" t="inlineStr">
        <is>
          <t>NONE</t>
        </is>
      </c>
      <c r="AC1284" s="191" t="n">
        <v>0</v>
      </c>
      <c r="AD1284" s="191" t="n"/>
    </row>
    <row r="1285">
      <c r="A1285" s="191" t="inlineStr">
        <is>
          <t>CVE</t>
        </is>
      </c>
      <c r="B1285" s="191" t="inlineStr">
        <is>
          <t>CVE-2026-2971</t>
        </is>
      </c>
      <c r="C1285" s="191" t="inlineStr">
        <is>
          <t>A vulnerability was found in a466350665 Smart-SSO up to 2.1.1. Affected by this issue is some unknown functionality of the file smart-sso-server/src/main/resources/templates/login.html of the component Login. Performing a manipulation of the argument redirectUri results in cross site scripting. The attack is possible to be carried out remotely. The exploit has been made public and could be used. The vendor was contacted early about this disclosure but did not respond in any way.</t>
        </is>
      </c>
      <c r="D1285" s="191" t="n">
        <v>4.3</v>
      </c>
      <c r="E1285" s="191" t="inlineStr">
        <is>
          <t>MEDIUM</t>
        </is>
      </c>
      <c r="F1285" s="191" t="n">
        <v>2</v>
      </c>
      <c r="G1285" s="191" t="n">
        <v>2</v>
      </c>
      <c r="H1285" s="191" t="inlineStr">
        <is>
          <t>MEDIUM</t>
        </is>
      </c>
      <c r="I1285" s="191" t="n">
        <v>8.300000000000001</v>
      </c>
      <c r="J1285" s="191" t="inlineStr">
        <is>
          <t>NO</t>
        </is>
      </c>
      <c r="K1285" s="192" t="inlineStr">
        <is>
          <t>https://nvd.nist.gov/vuln/detail/CVE-2026-2971</t>
        </is>
      </c>
      <c r="L1285" s="191" t="inlineStr">
        <is>
          <t>2026-02-23 23:48</t>
        </is>
      </c>
      <c r="M1285" s="191" t="inlineStr">
        <is>
          <t>CHECK_VENDOR</t>
        </is>
      </c>
      <c r="N1285" s="191" t="inlineStr">
        <is>
          <t>See NVD references</t>
        </is>
      </c>
      <c r="O1285" s="191" t="inlineStr">
        <is>
          <t>Apply vendor patches</t>
        </is>
      </c>
      <c r="P1285" s="191" t="inlineStr">
        <is>
          <t>See CVE details</t>
        </is>
      </c>
      <c r="Q1285" s="191" t="inlineStr">
        <is>
          <t>P4</t>
        </is>
      </c>
      <c r="R1285" s="191" t="inlineStr">
        <is>
          <t>📅 Schedule patch deployment within 30 days | 🔍 Monitor for exploitation attempts</t>
        </is>
      </c>
      <c r="S1285" s="191" t="inlineStr">
        <is>
          <t>CVE - IP enrichment n/a</t>
        </is>
      </c>
      <c r="T1285" s="191" t="n">
        <v>0</v>
      </c>
      <c r="U1285" s="191" t="n">
        <v>0</v>
      </c>
      <c r="V1285" s="191" t="inlineStr">
        <is>
          <t>T1189:Drive-by Compromise | T1190:Exploit Public-Facing Application</t>
        </is>
      </c>
      <c r="W1285" s="191" t="n">
        <v>1</v>
      </c>
      <c r="X1285" s="191" t="inlineStr">
        <is>
          <t>LOW (40%)</t>
        </is>
      </c>
      <c r="Y1285" s="191" t="inlineStr">
        <is>
          <t>UNLIKELY</t>
        </is>
      </c>
      <c r="Z1285" s="191" t="inlineStr">
        <is>
          <t>CHECK_VENDOR</t>
        </is>
      </c>
      <c r="AA1285" s="192" t="inlineStr">
        <is>
          <t>https://nvd.nist.gov/vuln/detail/CVE-2026-2971</t>
        </is>
      </c>
      <c r="AB1285" s="191" t="inlineStr">
        <is>
          <t>NONE</t>
        </is>
      </c>
      <c r="AC1285" s="191" t="n">
        <v>0</v>
      </c>
      <c r="AD1285" s="191" t="n"/>
    </row>
    <row r="1286">
      <c r="A1286" s="195" t="inlineStr">
        <is>
          <t>CVE</t>
        </is>
      </c>
      <c r="B1286" s="195" t="inlineStr">
        <is>
          <t>CVE-2026-2972</t>
        </is>
      </c>
      <c r="C1286" s="195" t="inlineStr">
        <is>
          <t>A vulnerability was determined in a466350665 Smart-SSO up to 2.1.1. This affects the function Save of the file smart-sso-server/src/main/java/openjoe/smart/sso/server/controller/admin/UserController.java of the component Role Edit Page. Executing a manipulation can lead to cross site scripting. The attack may be performed from remote. The exploit has been publicly disclosed and may be utilized. The vendor was contacted early about this disclosure but did not respond in any way.</t>
        </is>
      </c>
      <c r="D1286" s="195" t="n">
        <v>2.4</v>
      </c>
      <c r="E1286" s="195" t="inlineStr">
        <is>
          <t>LOW</t>
        </is>
      </c>
      <c r="F1286" s="195" t="n">
        <v>2</v>
      </c>
      <c r="G1286" s="195" t="n">
        <v>1</v>
      </c>
      <c r="H1286" s="195" t="inlineStr">
        <is>
          <t>LOW</t>
        </is>
      </c>
      <c r="I1286" s="195" t="n">
        <v>4.4</v>
      </c>
      <c r="J1286" s="195" t="inlineStr">
        <is>
          <t>NO</t>
        </is>
      </c>
      <c r="K1286" s="196" t="inlineStr">
        <is>
          <t>https://nvd.nist.gov/vuln/detail/CVE-2026-2972</t>
        </is>
      </c>
      <c r="L1286" s="195" t="inlineStr">
        <is>
          <t>2026-02-23 23:48</t>
        </is>
      </c>
      <c r="M1286" s="195" t="inlineStr">
        <is>
          <t>CHECK_VENDOR</t>
        </is>
      </c>
      <c r="N1286" s="195" t="inlineStr">
        <is>
          <t>See NVD references</t>
        </is>
      </c>
      <c r="O1286" s="195" t="inlineStr">
        <is>
          <t>Apply vendor patches</t>
        </is>
      </c>
      <c r="P1286" s="195" t="inlineStr">
        <is>
          <t>See CVE details</t>
        </is>
      </c>
      <c r="Q1286" s="195" t="inlineStr">
        <is>
          <t>P4</t>
        </is>
      </c>
      <c r="R1286" s="195" t="inlineStr">
        <is>
          <t>📅 Schedule patch deployment within 30 days | 🔍 Monitor for exploitation attempts</t>
        </is>
      </c>
      <c r="S1286" s="195" t="inlineStr">
        <is>
          <t>CVE - IP enrichment n/a</t>
        </is>
      </c>
      <c r="T1286" s="195" t="n">
        <v>0</v>
      </c>
      <c r="U1286" s="195" t="n">
        <v>0</v>
      </c>
      <c r="V1286" s="195" t="inlineStr">
        <is>
          <t>T1189:Drive-by Compromise</t>
        </is>
      </c>
      <c r="W1286" s="195" t="n">
        <v>1</v>
      </c>
      <c r="X1286" s="195" t="inlineStr">
        <is>
          <t>LOW (40%)</t>
        </is>
      </c>
      <c r="Y1286" s="195" t="inlineStr">
        <is>
          <t>UNLIKELY</t>
        </is>
      </c>
      <c r="Z1286" s="195" t="inlineStr">
        <is>
          <t>CHECK_VENDOR</t>
        </is>
      </c>
      <c r="AA1286" s="196" t="inlineStr">
        <is>
          <t>https://nvd.nist.gov/vuln/detail/CVE-2026-2972</t>
        </is>
      </c>
      <c r="AB1286" s="195" t="inlineStr">
        <is>
          <t>NONE</t>
        </is>
      </c>
      <c r="AC1286" s="195" t="n">
        <v>0</v>
      </c>
      <c r="AD1286" s="195" t="n"/>
    </row>
    <row r="1287">
      <c r="A1287" s="195" t="inlineStr">
        <is>
          <t>CVE</t>
        </is>
      </c>
      <c r="B1287" s="195" t="inlineStr">
        <is>
          <t>CVE-2026-2974</t>
        </is>
      </c>
      <c r="C1287" s="195" t="inlineStr">
        <is>
          <t>A vulnerability was identified in AliasVault App up to 0.25.3 on Android/iOS. This vulnerability affects unknown code of the file shared_prefs/aliasvault.xml of the component Backup Handler. The manipulation of the argument accessToken/refreshToken/metadata/key_derivation_params/auth_methods leads to exposure of backup file to an unauthorized control sphere. An attack has to be approached locally. The attack is considered to have high complexity. It is stated that the exploitability is difficult</t>
        </is>
      </c>
      <c r="D1287" s="195" t="n">
        <v>2.5</v>
      </c>
      <c r="E1287" s="195" t="inlineStr">
        <is>
          <t>LOW</t>
        </is>
      </c>
      <c r="F1287" s="195" t="n">
        <v>2</v>
      </c>
      <c r="G1287" s="195" t="n">
        <v>1</v>
      </c>
      <c r="H1287" s="195" t="inlineStr">
        <is>
          <t>LOW</t>
        </is>
      </c>
      <c r="I1287" s="195" t="n">
        <v>4.5</v>
      </c>
      <c r="J1287" s="195" t="inlineStr">
        <is>
          <t>NO</t>
        </is>
      </c>
      <c r="K1287" s="196" t="inlineStr">
        <is>
          <t>https://nvd.nist.gov/vuln/detail/CVE-2026-2974</t>
        </is>
      </c>
      <c r="L1287" s="195" t="inlineStr">
        <is>
          <t>2026-02-23 23:48</t>
        </is>
      </c>
      <c r="M1287" s="195" t="inlineStr">
        <is>
          <t>CHECK_VENDOR</t>
        </is>
      </c>
      <c r="N1287" s="195" t="inlineStr">
        <is>
          <t>See NVD references</t>
        </is>
      </c>
      <c r="O1287" s="195" t="inlineStr">
        <is>
          <t>Apply vendor patches</t>
        </is>
      </c>
      <c r="P1287" s="195" t="inlineStr">
        <is>
          <t>See CVE details</t>
        </is>
      </c>
      <c r="Q1287" s="195" t="inlineStr">
        <is>
          <t>P4</t>
        </is>
      </c>
      <c r="R1287" s="195" t="inlineStr">
        <is>
          <t>📅 Schedule patch deployment within 30 days | 🔍 Monitor for exploitation attempts</t>
        </is>
      </c>
      <c r="S1287" s="195" t="inlineStr">
        <is>
          <t>CVE - IP enrichment n/a</t>
        </is>
      </c>
      <c r="T1287" s="195" t="n">
        <v>0</v>
      </c>
      <c r="U1287" s="195" t="n">
        <v>0</v>
      </c>
      <c r="V1287" s="195" t="inlineStr">
        <is>
          <t>T1190:Exploit Public-Facing Application</t>
        </is>
      </c>
      <c r="W1287" s="195" t="n">
        <v>1</v>
      </c>
      <c r="X1287" s="195" t="inlineStr">
        <is>
          <t>LOW (40%)</t>
        </is>
      </c>
      <c r="Y1287" s="195" t="inlineStr">
        <is>
          <t>UNLIKELY</t>
        </is>
      </c>
      <c r="Z1287" s="195" t="inlineStr">
        <is>
          <t>CHECK_VENDOR</t>
        </is>
      </c>
      <c r="AA1287" s="196" t="inlineStr">
        <is>
          <t>https://nvd.nist.gov/vuln/detail/CVE-2026-2974</t>
        </is>
      </c>
      <c r="AB1287" s="195" t="inlineStr">
        <is>
          <t>NONE</t>
        </is>
      </c>
      <c r="AC1287" s="195" t="n">
        <v>0</v>
      </c>
      <c r="AD1287" s="195" t="n"/>
    </row>
    <row r="1288">
      <c r="A1288" s="191" t="inlineStr">
        <is>
          <t>CVE</t>
        </is>
      </c>
      <c r="B1288" s="191" t="inlineStr">
        <is>
          <t>CVE-2026-2975</t>
        </is>
      </c>
      <c r="C1288" s="191" t="inlineStr">
        <is>
          <t>A security flaw has been discovered in FastApiAdmin up to 2.2.0. Affected by this vulnerability is the function reset_api_docs of the file /backend/app/plugin/init_app.py of the component Custom Documentation Endpoint. The manipulation results in information disclosure. The attack may be performed from remote. The exploit has been released to the public and may be used for attacks.</t>
        </is>
      </c>
      <c r="D1288" s="191" t="n">
        <v>5.3</v>
      </c>
      <c r="E1288" s="191" t="inlineStr">
        <is>
          <t>MEDIUM</t>
        </is>
      </c>
      <c r="F1288" s="191" t="n">
        <v>2</v>
      </c>
      <c r="G1288" s="191" t="n">
        <v>2</v>
      </c>
      <c r="H1288" s="191" t="inlineStr">
        <is>
          <t>MEDIUM</t>
        </is>
      </c>
      <c r="I1288" s="191" t="n">
        <v>9.300000000000001</v>
      </c>
      <c r="J1288" s="191" t="inlineStr">
        <is>
          <t>NO</t>
        </is>
      </c>
      <c r="K1288" s="192" t="inlineStr">
        <is>
          <t>https://nvd.nist.gov/vuln/detail/CVE-2026-2975</t>
        </is>
      </c>
      <c r="L1288" s="191" t="inlineStr">
        <is>
          <t>2026-02-23 23:48</t>
        </is>
      </c>
      <c r="M1288" s="191" t="inlineStr">
        <is>
          <t>CHECK_VENDOR</t>
        </is>
      </c>
      <c r="N1288" s="191" t="inlineStr">
        <is>
          <t>See NVD references</t>
        </is>
      </c>
      <c r="O1288" s="191" t="inlineStr">
        <is>
          <t>Apply vendor patches</t>
        </is>
      </c>
      <c r="P1288" s="191" t="inlineStr">
        <is>
          <t>See CVE details</t>
        </is>
      </c>
      <c r="Q1288" s="191" t="inlineStr">
        <is>
          <t>P4</t>
        </is>
      </c>
      <c r="R1288" s="191" t="inlineStr">
        <is>
          <t>📅 Schedule patch deployment within 30 days | 🔍 Monitor for exploitation attempts</t>
        </is>
      </c>
      <c r="S1288" s="191" t="inlineStr">
        <is>
          <t>CVE - IP enrichment n/a</t>
        </is>
      </c>
      <c r="T1288" s="191" t="n">
        <v>0</v>
      </c>
      <c r="U1288" s="191" t="n">
        <v>0</v>
      </c>
      <c r="V1288" s="191" t="inlineStr">
        <is>
          <t>T1213:Data from Information Repositories</t>
        </is>
      </c>
      <c r="W1288" s="191" t="n">
        <v>1</v>
      </c>
      <c r="X1288" s="191" t="inlineStr">
        <is>
          <t>LOW (40%)</t>
        </is>
      </c>
      <c r="Y1288" s="191" t="inlineStr">
        <is>
          <t>UNLIKELY</t>
        </is>
      </c>
      <c r="Z1288" s="191" t="inlineStr">
        <is>
          <t>CHECK_VENDOR</t>
        </is>
      </c>
      <c r="AA1288" s="192" t="inlineStr">
        <is>
          <t>https://nvd.nist.gov/vuln/detail/CVE-2026-2975</t>
        </is>
      </c>
      <c r="AB1288" s="191" t="inlineStr">
        <is>
          <t>NONE</t>
        </is>
      </c>
      <c r="AC1288" s="191" t="n">
        <v>0</v>
      </c>
      <c r="AD1288" s="191" t="n"/>
    </row>
    <row r="1289">
      <c r="A1289" s="191" t="inlineStr">
        <is>
          <t>CVE</t>
        </is>
      </c>
      <c r="B1289" s="191" t="inlineStr">
        <is>
          <t>CVE-2026-2976</t>
        </is>
      </c>
      <c r="C1289" s="191" t="inlineStr">
        <is>
          <t>A weakness has been identified in FastApiAdmin up to 2.2.0. Affected by this issue is the function download_controller of the file /backend/app/api/v1/module_common/file/controller.py of the component Download Endpoint. This manipulation of the argument file_path causes information disclosure. It is possible to initiate the attack remotely. The exploit has been made available to the public and could be used for attacks.</t>
        </is>
      </c>
      <c r="D1289" s="191" t="n">
        <v>4.3</v>
      </c>
      <c r="E1289" s="191" t="inlineStr">
        <is>
          <t>MEDIUM</t>
        </is>
      </c>
      <c r="F1289" s="191" t="n">
        <v>2</v>
      </c>
      <c r="G1289" s="191" t="n">
        <v>2</v>
      </c>
      <c r="H1289" s="191" t="inlineStr">
        <is>
          <t>MEDIUM</t>
        </is>
      </c>
      <c r="I1289" s="191" t="n">
        <v>8.300000000000001</v>
      </c>
      <c r="J1289" s="191" t="inlineStr">
        <is>
          <t>NO</t>
        </is>
      </c>
      <c r="K1289" s="192" t="inlineStr">
        <is>
          <t>https://nvd.nist.gov/vuln/detail/CVE-2026-2976</t>
        </is>
      </c>
      <c r="L1289" s="191" t="inlineStr">
        <is>
          <t>2026-02-23 23:48</t>
        </is>
      </c>
      <c r="M1289" s="191" t="inlineStr">
        <is>
          <t>CHECK_VENDOR</t>
        </is>
      </c>
      <c r="N1289" s="191" t="inlineStr">
        <is>
          <t>See NVD references</t>
        </is>
      </c>
      <c r="O1289" s="191" t="inlineStr">
        <is>
          <t>Apply vendor patches</t>
        </is>
      </c>
      <c r="P1289" s="191" t="inlineStr">
        <is>
          <t>See CVE details</t>
        </is>
      </c>
      <c r="Q1289" s="191" t="inlineStr">
        <is>
          <t>P4</t>
        </is>
      </c>
      <c r="R1289" s="191" t="inlineStr">
        <is>
          <t>📅 Schedule patch deployment within 30 days | 🔍 Monitor for exploitation attempts</t>
        </is>
      </c>
      <c r="S1289" s="191" t="inlineStr">
        <is>
          <t>CVE - IP enrichment n/a</t>
        </is>
      </c>
      <c r="T1289" s="191" t="n">
        <v>0</v>
      </c>
      <c r="U1289" s="191" t="n">
        <v>0</v>
      </c>
      <c r="V1289" s="191" t="inlineStr">
        <is>
          <t>T1213:Data from Information Repositories</t>
        </is>
      </c>
      <c r="W1289" s="191" t="n">
        <v>1</v>
      </c>
      <c r="X1289" s="191" t="inlineStr">
        <is>
          <t>LOW (40%)</t>
        </is>
      </c>
      <c r="Y1289" s="191" t="inlineStr">
        <is>
          <t>UNLIKELY</t>
        </is>
      </c>
      <c r="Z1289" s="191" t="inlineStr">
        <is>
          <t>CHECK_VENDOR</t>
        </is>
      </c>
      <c r="AA1289" s="192" t="inlineStr">
        <is>
          <t>https://nvd.nist.gov/vuln/detail/CVE-2026-2976</t>
        </is>
      </c>
      <c r="AB1289" s="191" t="inlineStr">
        <is>
          <t>NONE</t>
        </is>
      </c>
      <c r="AC1289" s="191" t="n">
        <v>0</v>
      </c>
      <c r="AD1289" s="191" t="n"/>
    </row>
    <row r="1290">
      <c r="A1290" s="189" t="inlineStr">
        <is>
          <t>CVE</t>
        </is>
      </c>
      <c r="B1290" s="189" t="inlineStr">
        <is>
          <t>CVE-2026-1367</t>
        </is>
      </c>
      <c r="C1290" s="189" t="inlineStr">
        <is>
          <t>Zohocorp ManageEngine ADSelfService Plus versions 6522 and below are vulnerable to authenticated SQL Injection in the search report option.</t>
        </is>
      </c>
      <c r="D1290" s="189" t="n">
        <v>8.300000000000001</v>
      </c>
      <c r="E1290" s="189" t="inlineStr">
        <is>
          <t>HIGH</t>
        </is>
      </c>
      <c r="F1290" s="189" t="n">
        <v>2</v>
      </c>
      <c r="G1290" s="189" t="n">
        <v>3</v>
      </c>
      <c r="H1290" s="189" t="inlineStr">
        <is>
          <t>HIGH</t>
        </is>
      </c>
      <c r="I1290" s="189" t="n">
        <v>14.3</v>
      </c>
      <c r="J1290" s="189" t="inlineStr">
        <is>
          <t>NO</t>
        </is>
      </c>
      <c r="K1290" s="190" t="inlineStr">
        <is>
          <t>https://nvd.nist.gov/vuln/detail/CVE-2026-1367</t>
        </is>
      </c>
      <c r="L1290" s="189" t="inlineStr">
        <is>
          <t>2026-02-23 23:48</t>
        </is>
      </c>
      <c r="M1290" s="189" t="inlineStr">
        <is>
          <t>CHECK_VENDOR</t>
        </is>
      </c>
      <c r="N1290" s="189" t="inlineStr">
        <is>
          <t>See NVD references</t>
        </is>
      </c>
      <c r="O1290" s="189" t="inlineStr">
        <is>
          <t>Apply vendor patches</t>
        </is>
      </c>
      <c r="P1290" s="189" t="inlineStr">
        <is>
          <t>See CVE details</t>
        </is>
      </c>
      <c r="Q1290" s="189" t="inlineStr">
        <is>
          <t>P3</t>
        </is>
      </c>
      <c r="R1290" s="189" t="inlineStr">
        <is>
          <t>🚨 URGENT: Apply vendor patches immediately | 🔒 Isolate affected systems if patch unavailable | 🛡️ Enable additional monitoring/IDS rules</t>
        </is>
      </c>
      <c r="S1290" s="189" t="inlineStr">
        <is>
          <t>CVE - IP enrichment n/a</t>
        </is>
      </c>
      <c r="T1290" s="189" t="n">
        <v>0</v>
      </c>
      <c r="U1290" s="189" t="n">
        <v>0</v>
      </c>
      <c r="V1290" s="189" t="inlineStr">
        <is>
          <t>T1190:Exploit Public-Facing Application</t>
        </is>
      </c>
      <c r="W1290" s="189" t="n">
        <v>1</v>
      </c>
      <c r="X1290" s="189" t="inlineStr">
        <is>
          <t>LOW (40%)</t>
        </is>
      </c>
      <c r="Y1290" s="189" t="inlineStr">
        <is>
          <t>UNLIKELY</t>
        </is>
      </c>
      <c r="Z1290" s="189" t="inlineStr">
        <is>
          <t>CHECK_VENDOR</t>
        </is>
      </c>
      <c r="AA1290" s="190" t="inlineStr">
        <is>
          <t>https://nvd.nist.gov/vuln/detail/CVE-2026-1367</t>
        </is>
      </c>
      <c r="AB1290" s="189" t="inlineStr">
        <is>
          <t>NONE</t>
        </is>
      </c>
      <c r="AC1290" s="189" t="n">
        <v>0</v>
      </c>
      <c r="AD1290" s="189" t="n"/>
    </row>
    <row r="1291">
      <c r="A1291" s="191" t="inlineStr">
        <is>
          <t>CVE</t>
        </is>
      </c>
      <c r="B1291" s="191" t="inlineStr">
        <is>
          <t>CVE-2026-2977</t>
        </is>
      </c>
      <c r="C1291" s="191" t="inlineStr">
        <is>
          <t>A security vulnerability has been detected in FastApiAdmin up to 2.2.0. This affects the function upload_controller of the file /backend/app/api/v1/module_common/file/controller.py of the component Scheduled Task API. Such manipulation leads to unrestricted upload. It is possible to launch the attack remotely. The exploit has been disclosed publicly and may be used.</t>
        </is>
      </c>
      <c r="D1291" s="191" t="n">
        <v>6.3</v>
      </c>
      <c r="E1291" s="191" t="inlineStr">
        <is>
          <t>MEDIUM</t>
        </is>
      </c>
      <c r="F1291" s="191" t="n">
        <v>2</v>
      </c>
      <c r="G1291" s="191" t="n">
        <v>2</v>
      </c>
      <c r="H1291" s="191" t="inlineStr">
        <is>
          <t>MEDIUM</t>
        </is>
      </c>
      <c r="I1291" s="191" t="n">
        <v>10.3</v>
      </c>
      <c r="J1291" s="191" t="inlineStr">
        <is>
          <t>NO</t>
        </is>
      </c>
      <c r="K1291" s="192" t="inlineStr">
        <is>
          <t>https://nvd.nist.gov/vuln/detail/CVE-2026-2977</t>
        </is>
      </c>
      <c r="L1291" s="191" t="inlineStr">
        <is>
          <t>2026-02-23 23:48</t>
        </is>
      </c>
      <c r="M1291" s="191" t="inlineStr">
        <is>
          <t>CHECK_VENDOR</t>
        </is>
      </c>
      <c r="N1291" s="191" t="inlineStr">
        <is>
          <t>See NVD references</t>
        </is>
      </c>
      <c r="O1291" s="191" t="inlineStr">
        <is>
          <t>Apply vendor patches</t>
        </is>
      </c>
      <c r="P1291" s="191" t="inlineStr">
        <is>
          <t>See CVE details</t>
        </is>
      </c>
      <c r="Q1291" s="191" t="inlineStr">
        <is>
          <t>P4</t>
        </is>
      </c>
      <c r="R1291" s="191" t="inlineStr">
        <is>
          <t>📅 Schedule patch deployment within 30 days | 🔍 Monitor for exploitation attempts</t>
        </is>
      </c>
      <c r="S1291" s="191" t="inlineStr">
        <is>
          <t>CVE - IP enrichment n/a</t>
        </is>
      </c>
      <c r="T1291" s="191" t="n">
        <v>0</v>
      </c>
      <c r="U1291" s="191" t="n">
        <v>0</v>
      </c>
      <c r="V1291" s="191" t="inlineStr">
        <is>
          <t>T1190:Exploit Public-Facing Application</t>
        </is>
      </c>
      <c r="W1291" s="191" t="n">
        <v>1</v>
      </c>
      <c r="X1291" s="191" t="inlineStr">
        <is>
          <t>LOW (40%)</t>
        </is>
      </c>
      <c r="Y1291" s="191" t="inlineStr">
        <is>
          <t>UNLIKELY</t>
        </is>
      </c>
      <c r="Z1291" s="191" t="inlineStr">
        <is>
          <t>CHECK_VENDOR</t>
        </is>
      </c>
      <c r="AA1291" s="192" t="inlineStr">
        <is>
          <t>https://nvd.nist.gov/vuln/detail/CVE-2026-2977</t>
        </is>
      </c>
      <c r="AB1291" s="191" t="inlineStr">
        <is>
          <t>NONE</t>
        </is>
      </c>
      <c r="AC1291" s="191" t="n">
        <v>0</v>
      </c>
      <c r="AD1291" s="191" t="n"/>
    </row>
    <row r="1292">
      <c r="A1292" s="191" t="inlineStr">
        <is>
          <t>CVE</t>
        </is>
      </c>
      <c r="B1292" s="191" t="inlineStr">
        <is>
          <t>CVE-2026-2978</t>
        </is>
      </c>
      <c r="C1292" s="191" t="inlineStr">
        <is>
          <t>A vulnerability was detected in FastApiAdmin up to 2.2.0. This vulnerability affects the function upload_file_controller of the file /backend/app/api/v1/module_system/params/controller.py of the component Scheduled Task API. Performing a manipulation results in unrestricted upload. The attack can be initiated remotely. The exploit is now public and may be used.</t>
        </is>
      </c>
      <c r="D1292" s="191" t="n">
        <v>6.3</v>
      </c>
      <c r="E1292" s="191" t="inlineStr">
        <is>
          <t>MEDIUM</t>
        </is>
      </c>
      <c r="F1292" s="191" t="n">
        <v>2</v>
      </c>
      <c r="G1292" s="191" t="n">
        <v>2</v>
      </c>
      <c r="H1292" s="191" t="inlineStr">
        <is>
          <t>MEDIUM</t>
        </is>
      </c>
      <c r="I1292" s="191" t="n">
        <v>10.3</v>
      </c>
      <c r="J1292" s="191" t="inlineStr">
        <is>
          <t>NO</t>
        </is>
      </c>
      <c r="K1292" s="192" t="inlineStr">
        <is>
          <t>https://nvd.nist.gov/vuln/detail/CVE-2026-2978</t>
        </is>
      </c>
      <c r="L1292" s="191" t="inlineStr">
        <is>
          <t>2026-02-23 23:48</t>
        </is>
      </c>
      <c r="M1292" s="191" t="inlineStr">
        <is>
          <t>CHECK_VENDOR</t>
        </is>
      </c>
      <c r="N1292" s="191" t="inlineStr">
        <is>
          <t>See NVD references</t>
        </is>
      </c>
      <c r="O1292" s="191" t="inlineStr">
        <is>
          <t>Apply vendor patches</t>
        </is>
      </c>
      <c r="P1292" s="191" t="inlineStr">
        <is>
          <t>See CVE details</t>
        </is>
      </c>
      <c r="Q1292" s="191" t="inlineStr">
        <is>
          <t>P4</t>
        </is>
      </c>
      <c r="R1292" s="191" t="inlineStr">
        <is>
          <t>📅 Schedule patch deployment within 30 days | 🔍 Monitor for exploitation attempts</t>
        </is>
      </c>
      <c r="S1292" s="191" t="inlineStr">
        <is>
          <t>CVE - IP enrichment n/a</t>
        </is>
      </c>
      <c r="T1292" s="191" t="n">
        <v>0</v>
      </c>
      <c r="U1292" s="191" t="n">
        <v>0</v>
      </c>
      <c r="V1292" s="191" t="inlineStr">
        <is>
          <t>T1190:Exploit Public-Facing Application</t>
        </is>
      </c>
      <c r="W1292" s="191" t="n">
        <v>1</v>
      </c>
      <c r="X1292" s="191" t="inlineStr">
        <is>
          <t>LOW (40%)</t>
        </is>
      </c>
      <c r="Y1292" s="191" t="inlineStr">
        <is>
          <t>UNLIKELY</t>
        </is>
      </c>
      <c r="Z1292" s="191" t="inlineStr">
        <is>
          <t>CHECK_VENDOR</t>
        </is>
      </c>
      <c r="AA1292" s="192" t="inlineStr">
        <is>
          <t>https://nvd.nist.gov/vuln/detail/CVE-2026-2978</t>
        </is>
      </c>
      <c r="AB1292" s="191" t="inlineStr">
        <is>
          <t>NONE</t>
        </is>
      </c>
      <c r="AC1292" s="191" t="n">
        <v>0</v>
      </c>
      <c r="AD1292" s="191" t="n"/>
    </row>
    <row r="1293">
      <c r="A1293" s="193" t="inlineStr">
        <is>
          <t>CVE</t>
        </is>
      </c>
      <c r="B1293" s="193" t="inlineStr">
        <is>
          <t>CVE-2026-23552</t>
        </is>
      </c>
      <c r="C1293" s="193" t="inlineStr">
        <is>
          <t>Cross-Realm Token Acceptance Bypass in KeycloakSecurityPolicy Apache Camel Keycloak component. 
The Camel-Keycloak KeycloakSecurityPolicy does not validate the iss (issuer) claim of JWT tokens against the configured realm. A token issued by one Keycloak realm is silently accepted by a policy configured for a completely different realm, breaking tenant isolation.
This issue affects Apache Camel: from 4.15.0 before 4.18.0.
Users are recommended to upgrade to version 4.18.0, which fixes the issue</t>
        </is>
      </c>
      <c r="D1293" s="193" t="n">
        <v>9.1</v>
      </c>
      <c r="E1293" s="193" t="inlineStr">
        <is>
          <t>CRITICAL</t>
        </is>
      </c>
      <c r="F1293" s="193" t="n">
        <v>2</v>
      </c>
      <c r="G1293" s="193" t="n">
        <v>3</v>
      </c>
      <c r="H1293" s="193" t="inlineStr">
        <is>
          <t>HIGH</t>
        </is>
      </c>
      <c r="I1293" s="193" t="n">
        <v>15.1</v>
      </c>
      <c r="J1293" s="193" t="inlineStr">
        <is>
          <t>NO</t>
        </is>
      </c>
      <c r="K1293" s="194" t="inlineStr">
        <is>
          <t>https://nvd.nist.gov/vuln/detail/CVE-2026-23552</t>
        </is>
      </c>
      <c r="L1293" s="193" t="inlineStr">
        <is>
          <t>2026-02-23 23:48</t>
        </is>
      </c>
      <c r="M1293" s="193" t="inlineStr">
        <is>
          <t>CHECK_VENDOR</t>
        </is>
      </c>
      <c r="N1293" s="193" t="inlineStr">
        <is>
          <t>See NVD references</t>
        </is>
      </c>
      <c r="O1293" s="193" t="inlineStr">
        <is>
          <t>Apply vendor patches</t>
        </is>
      </c>
      <c r="P1293" s="193" t="inlineStr">
        <is>
          <t>See CVE details</t>
        </is>
      </c>
      <c r="Q1293" s="193" t="inlineStr">
        <is>
          <t>P3</t>
        </is>
      </c>
      <c r="R1293" s="193" t="inlineStr">
        <is>
          <t>🚨 URGENT: Apply vendor patches immediately | 🔒 Isolate affected systems if patch unavailable | 🛡️ Enable additional monitoring/IDS rules</t>
        </is>
      </c>
      <c r="S1293" s="193" t="inlineStr">
        <is>
          <t>CVE - IP enrichment n/a</t>
        </is>
      </c>
      <c r="T1293" s="193" t="n">
        <v>0</v>
      </c>
      <c r="U1293" s="193" t="n">
        <v>0</v>
      </c>
      <c r="V1293" s="193" t="inlineStr">
        <is>
          <t>T1190:Exploit Public-Facing Application</t>
        </is>
      </c>
      <c r="W1293" s="193" t="n">
        <v>1</v>
      </c>
      <c r="X1293" s="193" t="inlineStr">
        <is>
          <t>LOW (40%)</t>
        </is>
      </c>
      <c r="Y1293" s="193" t="inlineStr">
        <is>
          <t>UNLIKELY</t>
        </is>
      </c>
      <c r="Z1293" s="193" t="inlineStr">
        <is>
          <t>CHECK_VENDOR</t>
        </is>
      </c>
      <c r="AA1293" s="194" t="inlineStr">
        <is>
          <t>https://nvd.nist.gov/vuln/detail/CVE-2026-23552</t>
        </is>
      </c>
      <c r="AB1293" s="193" t="inlineStr">
        <is>
          <t>NONE</t>
        </is>
      </c>
      <c r="AC1293" s="193" t="n">
        <v>0</v>
      </c>
      <c r="AD1293" s="193" t="n"/>
    </row>
    <row r="1294">
      <c r="A1294" s="191" t="inlineStr">
        <is>
          <t>CVE</t>
        </is>
      </c>
      <c r="B1294" s="191" t="inlineStr">
        <is>
          <t>CVE-2026-25747</t>
        </is>
      </c>
      <c r="C1294" s="191" t="inlineStr">
        <is>
          <t>Deserialization of Untrusted Data vulnerability in Apache Camel LevelDB component.
The Camel-LevelDB DefaultLevelDBSerializer class deserializes data read from the LevelDB aggregation repository using java.io.ObjectInputStream without applying any ObjectInputFilter or class-loading restrictions. An attacker who can write to the LevelDB database files used by a Camel application can inject a crafted serialized Java object that, when deserialized during normal aggregation repository operations, r</t>
        </is>
      </c>
      <c r="D1294" s="191" t="n">
        <v>5</v>
      </c>
      <c r="E1294" s="191" t="inlineStr">
        <is>
          <t>MEDIUM</t>
        </is>
      </c>
      <c r="F1294" s="191" t="n">
        <v>2</v>
      </c>
      <c r="G1294" s="191" t="n">
        <v>2</v>
      </c>
      <c r="H1294" s="191" t="inlineStr">
        <is>
          <t>MEDIUM</t>
        </is>
      </c>
      <c r="I1294" s="191" t="n">
        <v>9</v>
      </c>
      <c r="J1294" s="191" t="inlineStr">
        <is>
          <t>NO</t>
        </is>
      </c>
      <c r="K1294" s="192" t="inlineStr">
        <is>
          <t>https://nvd.nist.gov/vuln/detail/CVE-2026-25747</t>
        </is>
      </c>
      <c r="L1294" s="191" t="inlineStr">
        <is>
          <t>2026-02-23 23:48</t>
        </is>
      </c>
      <c r="M1294" s="191" t="inlineStr">
        <is>
          <t>CHECK_VENDOR</t>
        </is>
      </c>
      <c r="N1294" s="191" t="inlineStr">
        <is>
          <t>See NVD references</t>
        </is>
      </c>
      <c r="O1294" s="191" t="inlineStr">
        <is>
          <t>Apply vendor patches</t>
        </is>
      </c>
      <c r="P1294" s="191" t="inlineStr">
        <is>
          <t>See CVE details</t>
        </is>
      </c>
      <c r="Q1294" s="191" t="inlineStr">
        <is>
          <t>P4</t>
        </is>
      </c>
      <c r="R1294" s="191" t="inlineStr">
        <is>
          <t>📅 Schedule patch deployment within 30 days | 🔍 Monitor for exploitation attempts</t>
        </is>
      </c>
      <c r="S1294" s="191" t="inlineStr">
        <is>
          <t>CVE - IP enrichment n/a</t>
        </is>
      </c>
      <c r="T1294" s="191" t="n">
        <v>0.0008</v>
      </c>
      <c r="U1294" s="191" t="n">
        <v>0.2251</v>
      </c>
      <c r="V1294" s="191" t="inlineStr">
        <is>
          <t>T1059:Command and Scripting Interpreter | T1203:Exploitation for Client Execution</t>
        </is>
      </c>
      <c r="W1294" s="191" t="n">
        <v>1</v>
      </c>
      <c r="X1294" s="191" t="inlineStr">
        <is>
          <t>LOW (40%)</t>
        </is>
      </c>
      <c r="Y1294" s="191" t="inlineStr">
        <is>
          <t>UNLIKELY</t>
        </is>
      </c>
      <c r="Z1294" s="191" t="inlineStr">
        <is>
          <t>CHECK_VENDOR</t>
        </is>
      </c>
      <c r="AA1294" s="192" t="inlineStr">
        <is>
          <t>https://nvd.nist.gov/vuln/detail/CVE-2026-25747</t>
        </is>
      </c>
      <c r="AB1294" s="191" t="inlineStr">
        <is>
          <t>NONE</t>
        </is>
      </c>
      <c r="AC1294" s="191" t="n">
        <v>0</v>
      </c>
      <c r="AD1294" s="191" t="n"/>
    </row>
    <row r="1295">
      <c r="A1295" s="191" t="inlineStr">
        <is>
          <t>CVE</t>
        </is>
      </c>
      <c r="B1295" s="191" t="inlineStr">
        <is>
          <t>CVE-2026-26365</t>
        </is>
      </c>
      <c r="C1295" s="191" t="inlineStr">
        <is>
          <t>Akamai Ghost on Akamai CDN edge servers before 2026-02-06 mishandles processing of custom hop-by-hop HTTP headers, where an incoming request containing the header "Connection: Transfer-Encoding" could result in a forward request with invalid message framing, depending on the Akamai processing path. This could result in the origin server parsing the request body incorrectly, leading to HTTP request smuggling.</t>
        </is>
      </c>
      <c r="D1295" s="191" t="n">
        <v>4</v>
      </c>
      <c r="E1295" s="191" t="inlineStr">
        <is>
          <t>MEDIUM</t>
        </is>
      </c>
      <c r="F1295" s="191" t="n">
        <v>2</v>
      </c>
      <c r="G1295" s="191" t="n">
        <v>2</v>
      </c>
      <c r="H1295" s="191" t="inlineStr">
        <is>
          <t>MEDIUM</t>
        </is>
      </c>
      <c r="I1295" s="191" t="n">
        <v>8</v>
      </c>
      <c r="J1295" s="191" t="inlineStr">
        <is>
          <t>NO</t>
        </is>
      </c>
      <c r="K1295" s="192" t="inlineStr">
        <is>
          <t>https://nvd.nist.gov/vuln/detail/CVE-2026-26365</t>
        </is>
      </c>
      <c r="L1295" s="191" t="inlineStr">
        <is>
          <t>2026-02-23 23:48</t>
        </is>
      </c>
      <c r="M1295" s="191" t="inlineStr">
        <is>
          <t>CHECK_VENDOR</t>
        </is>
      </c>
      <c r="N1295" s="191" t="inlineStr">
        <is>
          <t>See NVD references</t>
        </is>
      </c>
      <c r="O1295" s="191" t="inlineStr">
        <is>
          <t>Apply vendor patches</t>
        </is>
      </c>
      <c r="P1295" s="191" t="inlineStr">
        <is>
          <t>See CVE details</t>
        </is>
      </c>
      <c r="Q1295" s="191" t="inlineStr">
        <is>
          <t>P4</t>
        </is>
      </c>
      <c r="R1295" s="191" t="inlineStr">
        <is>
          <t>📅 Schedule patch deployment within 30 days | 🔍 Monitor for exploitation attempts</t>
        </is>
      </c>
      <c r="S1295" s="191" t="inlineStr">
        <is>
          <t>CVE - IP enrichment n/a</t>
        </is>
      </c>
      <c r="T1295" s="191" t="n">
        <v>0.0003</v>
      </c>
      <c r="U1295" s="191" t="n">
        <v>0.0814</v>
      </c>
      <c r="V1295" s="191" t="inlineStr">
        <is>
          <t>T1190:Exploit Public-Facing Application</t>
        </is>
      </c>
      <c r="W1295" s="191" t="n">
        <v>1</v>
      </c>
      <c r="X1295" s="191" t="inlineStr">
        <is>
          <t>LOW (40%)</t>
        </is>
      </c>
      <c r="Y1295" s="191" t="inlineStr">
        <is>
          <t>UNLIKELY</t>
        </is>
      </c>
      <c r="Z1295" s="191" t="inlineStr">
        <is>
          <t>CHECK_VENDOR</t>
        </is>
      </c>
      <c r="AA1295" s="192" t="inlineStr">
        <is>
          <t>https://nvd.nist.gov/vuln/detail/CVE-2026-26365</t>
        </is>
      </c>
      <c r="AB1295" s="191" t="inlineStr">
        <is>
          <t>NONE</t>
        </is>
      </c>
      <c r="AC1295" s="191" t="n">
        <v>0</v>
      </c>
      <c r="AD1295" s="191" t="n"/>
    </row>
    <row r="1296">
      <c r="A1296" s="191" t="inlineStr">
        <is>
          <t>CVE</t>
        </is>
      </c>
      <c r="B1296" s="191" t="inlineStr">
        <is>
          <t>CVE-2026-2979</t>
        </is>
      </c>
      <c r="C1296" s="191" t="inlineStr">
        <is>
          <t>A flaw has been found in FastApiAdmin up to 2.2.0. This issue affects the function user_avatar_upload_controller of the file /backend/app/api/v1/module_system/user/controller.py of the component Scheduled Task API. Executing a manipulation can lead to unrestricted upload. The attack can be launched remotely. The exploit has been published and may be used.</t>
        </is>
      </c>
      <c r="D1296" s="191" t="n">
        <v>6.3</v>
      </c>
      <c r="E1296" s="191" t="inlineStr">
        <is>
          <t>MEDIUM</t>
        </is>
      </c>
      <c r="F1296" s="191" t="n">
        <v>2</v>
      </c>
      <c r="G1296" s="191" t="n">
        <v>2</v>
      </c>
      <c r="H1296" s="191" t="inlineStr">
        <is>
          <t>MEDIUM</t>
        </is>
      </c>
      <c r="I1296" s="191" t="n">
        <v>10.3</v>
      </c>
      <c r="J1296" s="191" t="inlineStr">
        <is>
          <t>NO</t>
        </is>
      </c>
      <c r="K1296" s="192" t="inlineStr">
        <is>
          <t>https://nvd.nist.gov/vuln/detail/CVE-2026-2979</t>
        </is>
      </c>
      <c r="L1296" s="191" t="inlineStr">
        <is>
          <t>2026-02-23 23:48</t>
        </is>
      </c>
      <c r="M1296" s="191" t="inlineStr">
        <is>
          <t>CHECK_VENDOR</t>
        </is>
      </c>
      <c r="N1296" s="191" t="inlineStr">
        <is>
          <t>See NVD references</t>
        </is>
      </c>
      <c r="O1296" s="191" t="inlineStr">
        <is>
          <t>Apply vendor patches</t>
        </is>
      </c>
      <c r="P1296" s="191" t="inlineStr">
        <is>
          <t>See CVE details</t>
        </is>
      </c>
      <c r="Q1296" s="191" t="inlineStr">
        <is>
          <t>P4</t>
        </is>
      </c>
      <c r="R1296" s="191" t="inlineStr">
        <is>
          <t>📅 Schedule patch deployment within 30 days | 🔍 Monitor for exploitation attempts</t>
        </is>
      </c>
      <c r="S1296" s="191" t="inlineStr">
        <is>
          <t>CVE - IP enrichment n/a</t>
        </is>
      </c>
      <c r="T1296" s="191" t="n">
        <v>0</v>
      </c>
      <c r="U1296" s="191" t="n">
        <v>0</v>
      </c>
      <c r="V1296" s="191" t="inlineStr">
        <is>
          <t>T1190:Exploit Public-Facing Application</t>
        </is>
      </c>
      <c r="W1296" s="191" t="n">
        <v>1</v>
      </c>
      <c r="X1296" s="191" t="inlineStr">
        <is>
          <t>LOW (40%)</t>
        </is>
      </c>
      <c r="Y1296" s="191" t="inlineStr">
        <is>
          <t>UNLIKELY</t>
        </is>
      </c>
      <c r="Z1296" s="191" t="inlineStr">
        <is>
          <t>CHECK_VENDOR</t>
        </is>
      </c>
      <c r="AA1296" s="192" t="inlineStr">
        <is>
          <t>https://nvd.nist.gov/vuln/detail/CVE-2026-2979</t>
        </is>
      </c>
      <c r="AB1296" s="191" t="inlineStr">
        <is>
          <t>NONE</t>
        </is>
      </c>
      <c r="AC1296" s="191" t="n">
        <v>0</v>
      </c>
      <c r="AD1296" s="191" t="n"/>
    </row>
    <row r="1297">
      <c r="A1297" s="189" t="inlineStr">
        <is>
          <t>CVE</t>
        </is>
      </c>
      <c r="B1297" s="189" t="inlineStr">
        <is>
          <t>CVE-2026-2980</t>
        </is>
      </c>
      <c r="C1297" s="189" t="inlineStr">
        <is>
          <t>A vulnerability has been found in UTT HiPER 810G up to 1.7.7-1711. Impacted is the function strcpy of the file /goform/setSysAdm. The manipulation of the argument passwd1 leads to buffer overflow. The attack may be initiated remotely. The exploit has been disclosed to the public and may be used.</t>
        </is>
      </c>
      <c r="D1297" s="189" t="n">
        <v>7.2</v>
      </c>
      <c r="E1297" s="189" t="inlineStr">
        <is>
          <t>HIGH</t>
        </is>
      </c>
      <c r="F1297" s="189" t="n">
        <v>2</v>
      </c>
      <c r="G1297" s="189" t="n">
        <v>3</v>
      </c>
      <c r="H1297" s="189" t="inlineStr">
        <is>
          <t>HIGH</t>
        </is>
      </c>
      <c r="I1297" s="189" t="n">
        <v>13.2</v>
      </c>
      <c r="J1297" s="189" t="inlineStr">
        <is>
          <t>NO</t>
        </is>
      </c>
      <c r="K1297" s="190" t="inlineStr">
        <is>
          <t>https://nvd.nist.gov/vuln/detail/CVE-2026-2980</t>
        </is>
      </c>
      <c r="L1297" s="189" t="inlineStr">
        <is>
          <t>2026-02-23 23:48</t>
        </is>
      </c>
      <c r="M1297" s="189" t="inlineStr">
        <is>
          <t>CHECK_VENDOR</t>
        </is>
      </c>
      <c r="N1297" s="189" t="inlineStr">
        <is>
          <t>See NVD references</t>
        </is>
      </c>
      <c r="O1297" s="189" t="inlineStr">
        <is>
          <t>Apply vendor patches</t>
        </is>
      </c>
      <c r="P1297" s="189" t="inlineStr">
        <is>
          <t>See CVE details</t>
        </is>
      </c>
      <c r="Q1297" s="189" t="inlineStr">
        <is>
          <t>P3</t>
        </is>
      </c>
      <c r="R1297" s="189" t="inlineStr">
        <is>
          <t>🚨 URGENT: Apply vendor patches immediately | 🔒 Isolate affected systems if patch unavailable | 🛡️ Enable additional monitoring/IDS rules</t>
        </is>
      </c>
      <c r="S1297" s="189" t="inlineStr">
        <is>
          <t>CVE - IP enrichment n/a</t>
        </is>
      </c>
      <c r="T1297" s="189" t="n">
        <v>0</v>
      </c>
      <c r="U1297" s="189" t="n">
        <v>0</v>
      </c>
      <c r="V1297" s="189" t="inlineStr">
        <is>
          <t>T1203:Exploitation for Client Execution</t>
        </is>
      </c>
      <c r="W1297" s="189" t="n">
        <v>1</v>
      </c>
      <c r="X1297" s="189" t="inlineStr">
        <is>
          <t>LOW (40%)</t>
        </is>
      </c>
      <c r="Y1297" s="189" t="inlineStr">
        <is>
          <t>UNLIKELY</t>
        </is>
      </c>
      <c r="Z1297" s="189" t="inlineStr">
        <is>
          <t>CHECK_VENDOR</t>
        </is>
      </c>
      <c r="AA1297" s="190" t="inlineStr">
        <is>
          <t>https://nvd.nist.gov/vuln/detail/CVE-2026-2980</t>
        </is>
      </c>
      <c r="AB1297" s="189" t="inlineStr">
        <is>
          <t>NONE</t>
        </is>
      </c>
      <c r="AC1297" s="189" t="n">
        <v>0</v>
      </c>
      <c r="AD1297" s="189" t="n"/>
    </row>
    <row r="1298">
      <c r="A1298" s="189" t="inlineStr">
        <is>
          <t>CVE</t>
        </is>
      </c>
      <c r="B1298" s="189" t="inlineStr">
        <is>
          <t>CVE-2026-2981</t>
        </is>
      </c>
      <c r="C1298" s="189" t="inlineStr">
        <is>
          <t>A vulnerability was found in UTT HiPER 810G up to 1.7.7-1711. The affected element is the function strcpy of the file /goform/formTaskEdit_ap. The manipulation of the argument txtMin2 results in buffer overflow. The attack may be launched remotely. The exploit has been made public and could be used.</t>
        </is>
      </c>
      <c r="D1298" s="189" t="n">
        <v>8.800000000000001</v>
      </c>
      <c r="E1298" s="189" t="inlineStr">
        <is>
          <t>HIGH</t>
        </is>
      </c>
      <c r="F1298" s="189" t="n">
        <v>2</v>
      </c>
      <c r="G1298" s="189" t="n">
        <v>3</v>
      </c>
      <c r="H1298" s="189" t="inlineStr">
        <is>
          <t>HIGH</t>
        </is>
      </c>
      <c r="I1298" s="189" t="n">
        <v>14.8</v>
      </c>
      <c r="J1298" s="189" t="inlineStr">
        <is>
          <t>NO</t>
        </is>
      </c>
      <c r="K1298" s="190" t="inlineStr">
        <is>
          <t>https://nvd.nist.gov/vuln/detail/CVE-2026-2981</t>
        </is>
      </c>
      <c r="L1298" s="189" t="inlineStr">
        <is>
          <t>2026-02-23 23:48</t>
        </is>
      </c>
      <c r="M1298" s="189" t="inlineStr">
        <is>
          <t>CHECK_VENDOR</t>
        </is>
      </c>
      <c r="N1298" s="189" t="inlineStr">
        <is>
          <t>See NVD references</t>
        </is>
      </c>
      <c r="O1298" s="189" t="inlineStr">
        <is>
          <t>Apply vendor patches</t>
        </is>
      </c>
      <c r="P1298" s="189" t="inlineStr">
        <is>
          <t>See CVE details</t>
        </is>
      </c>
      <c r="Q1298" s="189" t="inlineStr">
        <is>
          <t>P3</t>
        </is>
      </c>
      <c r="R1298" s="189" t="inlineStr">
        <is>
          <t>🚨 URGENT: Apply vendor patches immediately | 🔒 Isolate affected systems if patch unavailable | 🛡️ Enable additional monitoring/IDS rules</t>
        </is>
      </c>
      <c r="S1298" s="189" t="inlineStr">
        <is>
          <t>CVE - IP enrichment n/a</t>
        </is>
      </c>
      <c r="T1298" s="189" t="n">
        <v>0</v>
      </c>
      <c r="U1298" s="189" t="n">
        <v>0</v>
      </c>
      <c r="V1298" s="189" t="inlineStr">
        <is>
          <t>T1203:Exploitation for Client Execution</t>
        </is>
      </c>
      <c r="W1298" s="189" t="n">
        <v>1</v>
      </c>
      <c r="X1298" s="189" t="inlineStr">
        <is>
          <t>LOW (40%)</t>
        </is>
      </c>
      <c r="Y1298" s="189" t="inlineStr">
        <is>
          <t>UNLIKELY</t>
        </is>
      </c>
      <c r="Z1298" s="189" t="inlineStr">
        <is>
          <t>CHECK_VENDOR</t>
        </is>
      </c>
      <c r="AA1298" s="190" t="inlineStr">
        <is>
          <t>https://nvd.nist.gov/vuln/detail/CVE-2026-2981</t>
        </is>
      </c>
      <c r="AB1298" s="189" t="inlineStr">
        <is>
          <t>NONE</t>
        </is>
      </c>
      <c r="AC1298" s="189" t="n">
        <v>0</v>
      </c>
      <c r="AD1298" s="189" t="n"/>
    </row>
    <row r="1299">
      <c r="A1299" s="189" t="inlineStr">
        <is>
          <t>CVE</t>
        </is>
      </c>
      <c r="B1299" s="189" t="inlineStr">
        <is>
          <t>CVE-2025-41002</t>
        </is>
      </c>
      <c r="C1299" s="189" t="inlineStr">
        <is>
          <t>SQL injection vulnerability in Infoticketing. This vulnerability allows
 an unauthenticated attacker to retrieve, create, update, and delete the
 database by sending a POST request using the 'code' parameter in '/components/cart/cartApplyDiscount.php'.</t>
        </is>
      </c>
      <c r="D1299" s="189" t="n">
        <v>8.5</v>
      </c>
      <c r="E1299" s="189" t="inlineStr">
        <is>
          <t>HIGH</t>
        </is>
      </c>
      <c r="F1299" s="189" t="n">
        <v>2</v>
      </c>
      <c r="G1299" s="189" t="n">
        <v>3</v>
      </c>
      <c r="H1299" s="189" t="inlineStr">
        <is>
          <t>HIGH</t>
        </is>
      </c>
      <c r="I1299" s="189" t="n">
        <v>14.5</v>
      </c>
      <c r="J1299" s="189" t="inlineStr">
        <is>
          <t>NO</t>
        </is>
      </c>
      <c r="K1299" s="190" t="inlineStr">
        <is>
          <t>https://nvd.nist.gov/vuln/detail/CVE-2025-41002</t>
        </is>
      </c>
      <c r="L1299" s="189" t="inlineStr">
        <is>
          <t>2026-02-23 23:48</t>
        </is>
      </c>
      <c r="M1299" s="189" t="inlineStr">
        <is>
          <t>CHECK_VENDOR</t>
        </is>
      </c>
      <c r="N1299" s="189" t="inlineStr">
        <is>
          <t>See NVD references</t>
        </is>
      </c>
      <c r="O1299" s="189" t="inlineStr">
        <is>
          <t>Apply vendor patches</t>
        </is>
      </c>
      <c r="P1299" s="189" t="inlineStr">
        <is>
          <t>See CVE details</t>
        </is>
      </c>
      <c r="Q1299" s="189" t="inlineStr">
        <is>
          <t>P3</t>
        </is>
      </c>
      <c r="R1299" s="189" t="inlineStr">
        <is>
          <t>🚨 URGENT: Apply vendor patches immediately | 🔒 Isolate affected systems if patch unavailable | 🛡️ Enable additional monitoring/IDS rules</t>
        </is>
      </c>
      <c r="S1299" s="189" t="inlineStr">
        <is>
          <t>CVE - IP enrichment n/a</t>
        </is>
      </c>
      <c r="T1299" s="189" t="n">
        <v>0</v>
      </c>
      <c r="U1299" s="189" t="n">
        <v>0</v>
      </c>
      <c r="V1299" s="189" t="inlineStr">
        <is>
          <t>T1190:Exploit Public-Facing Application</t>
        </is>
      </c>
      <c r="W1299" s="189" t="n">
        <v>1</v>
      </c>
      <c r="X1299" s="189" t="inlineStr">
        <is>
          <t>LOW (40%)</t>
        </is>
      </c>
      <c r="Y1299" s="189" t="inlineStr">
        <is>
          <t>UNLIKELY</t>
        </is>
      </c>
      <c r="Z1299" s="189" t="inlineStr">
        <is>
          <t>CHECK_VENDOR</t>
        </is>
      </c>
      <c r="AA1299" s="190" t="inlineStr">
        <is>
          <t>https://nvd.nist.gov/vuln/detail/CVE-2025-41002</t>
        </is>
      </c>
      <c r="AB1299" s="189" t="inlineStr">
        <is>
          <t>NONE</t>
        </is>
      </c>
      <c r="AC1299" s="189" t="n">
        <v>0</v>
      </c>
      <c r="AD1299" s="189" t="n"/>
    </row>
    <row r="1300">
      <c r="A1300" s="189" t="inlineStr">
        <is>
          <t>CVE</t>
        </is>
      </c>
      <c r="B1300" s="189" t="inlineStr">
        <is>
          <t>CVE-2026-2983</t>
        </is>
      </c>
      <c r="C1300" s="189" t="inlineStr">
        <is>
          <t>A vulnerability was determined in SourceCodester Student Result Management System 1.0. The impacted element is an unknown function of the file /admin/core/import_users.php of the component Bulk Import. This manipulation of the argument File causes improper access controls. Remote exploitation of the attack is possible. The exploit has been publicly disclosed and may be utilized.</t>
        </is>
      </c>
      <c r="D1300" s="189" t="n">
        <v>7.3</v>
      </c>
      <c r="E1300" s="189" t="inlineStr">
        <is>
          <t>HIGH</t>
        </is>
      </c>
      <c r="F1300" s="189" t="n">
        <v>2</v>
      </c>
      <c r="G1300" s="189" t="n">
        <v>3</v>
      </c>
      <c r="H1300" s="189" t="inlineStr">
        <is>
          <t>HIGH</t>
        </is>
      </c>
      <c r="I1300" s="189" t="n">
        <v>13.3</v>
      </c>
      <c r="J1300" s="189" t="inlineStr">
        <is>
          <t>NO</t>
        </is>
      </c>
      <c r="K1300" s="190" t="inlineStr">
        <is>
          <t>https://nvd.nist.gov/vuln/detail/CVE-2026-2983</t>
        </is>
      </c>
      <c r="L1300" s="189" t="inlineStr">
        <is>
          <t>2026-02-23 23:48</t>
        </is>
      </c>
      <c r="M1300" s="189" t="inlineStr">
        <is>
          <t>CHECK_VENDOR</t>
        </is>
      </c>
      <c r="N1300" s="189" t="inlineStr">
        <is>
          <t>See NVD references</t>
        </is>
      </c>
      <c r="O1300" s="189" t="inlineStr">
        <is>
          <t>Apply vendor patches</t>
        </is>
      </c>
      <c r="P1300" s="189" t="inlineStr">
        <is>
          <t>See CVE details</t>
        </is>
      </c>
      <c r="Q1300" s="189" t="inlineStr">
        <is>
          <t>P3</t>
        </is>
      </c>
      <c r="R1300" s="189" t="inlineStr">
        <is>
          <t>🚨 URGENT: Apply vendor patches immediately | 🔒 Isolate affected systems if patch unavailable | 🛡️ Enable additional monitoring/IDS rules</t>
        </is>
      </c>
      <c r="S1300" s="189" t="inlineStr">
        <is>
          <t>CVE - IP enrichment n/a</t>
        </is>
      </c>
      <c r="T1300" s="189" t="n">
        <v>0</v>
      </c>
      <c r="U1300" s="189" t="n">
        <v>0</v>
      </c>
      <c r="V1300" s="189" t="inlineStr">
        <is>
          <t>T1190:Exploit Public-Facing Application</t>
        </is>
      </c>
      <c r="W1300" s="189" t="n">
        <v>1</v>
      </c>
      <c r="X1300" s="189" t="inlineStr">
        <is>
          <t>LOW (40%)</t>
        </is>
      </c>
      <c r="Y1300" s="189" t="inlineStr">
        <is>
          <t>UNLIKELY</t>
        </is>
      </c>
      <c r="Z1300" s="189" t="inlineStr">
        <is>
          <t>CHECK_VENDOR</t>
        </is>
      </c>
      <c r="AA1300" s="190" t="inlineStr">
        <is>
          <t>https://nvd.nist.gov/vuln/detail/CVE-2026-2983</t>
        </is>
      </c>
      <c r="AB1300" s="189" t="inlineStr">
        <is>
          <t>NONE</t>
        </is>
      </c>
      <c r="AC1300" s="189" t="n">
        <v>0</v>
      </c>
      <c r="AD1300" s="189" t="n"/>
    </row>
    <row r="1301">
      <c r="A1301" s="191" t="inlineStr">
        <is>
          <t>CVE</t>
        </is>
      </c>
      <c r="B1301" s="191" t="inlineStr">
        <is>
          <t>CVE-2025-40701</t>
        </is>
      </c>
      <c r="C1301" s="191" t="inlineStr">
        <is>
          <t>Reflected Cross-Site Scripting vulnerability in SOTESHOP, version 8.3.4. THis vulnerability allows an attacker execute JavaScript code in the victim's browser when a malicious URL with the 'id' parameter in '/adsTracker/checkAds' is sent to the victim. The vulnerability can be exploited to steal sensitive user information such as session cookies, or to perform actions on their behalf.</t>
        </is>
      </c>
      <c r="D1301" s="191" t="n">
        <v>5</v>
      </c>
      <c r="E1301" s="191" t="inlineStr">
        <is>
          <t>MEDIUM</t>
        </is>
      </c>
      <c r="F1301" s="191" t="n">
        <v>2</v>
      </c>
      <c r="G1301" s="191" t="n">
        <v>2</v>
      </c>
      <c r="H1301" s="191" t="inlineStr">
        <is>
          <t>MEDIUM</t>
        </is>
      </c>
      <c r="I1301" s="191" t="n">
        <v>9</v>
      </c>
      <c r="J1301" s="191" t="inlineStr">
        <is>
          <t>NO</t>
        </is>
      </c>
      <c r="K1301" s="192" t="inlineStr">
        <is>
          <t>https://nvd.nist.gov/vuln/detail/CVE-2025-40701</t>
        </is>
      </c>
      <c r="L1301" s="191" t="inlineStr">
        <is>
          <t>2026-02-23 23:48</t>
        </is>
      </c>
      <c r="M1301" s="191" t="inlineStr">
        <is>
          <t>CHECK_VENDOR</t>
        </is>
      </c>
      <c r="N1301" s="191" t="inlineStr">
        <is>
          <t>See NVD references</t>
        </is>
      </c>
      <c r="O1301" s="191" t="inlineStr">
        <is>
          <t>Apply vendor patches</t>
        </is>
      </c>
      <c r="P1301" s="191" t="inlineStr">
        <is>
          <t>See CVE details</t>
        </is>
      </c>
      <c r="Q1301" s="191" t="inlineStr">
        <is>
          <t>P4</t>
        </is>
      </c>
      <c r="R1301" s="191" t="inlineStr">
        <is>
          <t>📅 Schedule patch deployment within 30 days | 🔍 Monitor for exploitation attempts</t>
        </is>
      </c>
      <c r="S1301" s="191" t="inlineStr">
        <is>
          <t>CVE - IP enrichment n/a</t>
        </is>
      </c>
      <c r="T1301" s="191" t="n">
        <v>0</v>
      </c>
      <c r="U1301" s="191" t="n">
        <v>0</v>
      </c>
      <c r="V1301" s="191" t="inlineStr">
        <is>
          <t>T1189:Drive-by Compromise</t>
        </is>
      </c>
      <c r="W1301" s="191" t="n">
        <v>1</v>
      </c>
      <c r="X1301" s="191" t="inlineStr">
        <is>
          <t>LOW (40%)</t>
        </is>
      </c>
      <c r="Y1301" s="191" t="inlineStr">
        <is>
          <t>UNLIKELY</t>
        </is>
      </c>
      <c r="Z1301" s="191" t="inlineStr">
        <is>
          <t>CHECK_VENDOR</t>
        </is>
      </c>
      <c r="AA1301" s="192" t="inlineStr">
        <is>
          <t>https://nvd.nist.gov/vuln/detail/CVE-2025-40701</t>
        </is>
      </c>
      <c r="AB1301" s="191" t="inlineStr">
        <is>
          <t>NONE</t>
        </is>
      </c>
      <c r="AC1301" s="191" t="n">
        <v>0</v>
      </c>
      <c r="AD1301" s="191" t="n"/>
    </row>
    <row r="1302">
      <c r="A1302" s="191" t="inlineStr">
        <is>
          <t>CVE</t>
        </is>
      </c>
      <c r="B1302" s="191" t="inlineStr">
        <is>
          <t>CVE-2025-40986</t>
        </is>
      </c>
      <c r="C1302" s="191" t="inlineStr">
        <is>
          <t>Reflected Cross-Site Scripting (XSS) vulnerability in PideTuCita. This vulnerability allows an attacker to execute JavaScript code in the victim's browser by sending him/her a malicious URL using the endpoint 'cookies/indes.php/ '. This vulnerability can be exploited to steal confidential user data, such as session cookies or to perform actions on behalf of the user.</t>
        </is>
      </c>
      <c r="D1302" s="191" t="n">
        <v>5</v>
      </c>
      <c r="E1302" s="191" t="inlineStr">
        <is>
          <t>MEDIUM</t>
        </is>
      </c>
      <c r="F1302" s="191" t="n">
        <v>2</v>
      </c>
      <c r="G1302" s="191" t="n">
        <v>2</v>
      </c>
      <c r="H1302" s="191" t="inlineStr">
        <is>
          <t>MEDIUM</t>
        </is>
      </c>
      <c r="I1302" s="191" t="n">
        <v>9</v>
      </c>
      <c r="J1302" s="191" t="inlineStr">
        <is>
          <t>NO</t>
        </is>
      </c>
      <c r="K1302" s="192" t="inlineStr">
        <is>
          <t>https://nvd.nist.gov/vuln/detail/CVE-2025-40986</t>
        </is>
      </c>
      <c r="L1302" s="191" t="inlineStr">
        <is>
          <t>2026-02-23 23:48</t>
        </is>
      </c>
      <c r="M1302" s="191" t="inlineStr">
        <is>
          <t>CHECK_VENDOR</t>
        </is>
      </c>
      <c r="N1302" s="191" t="inlineStr">
        <is>
          <t>See NVD references</t>
        </is>
      </c>
      <c r="O1302" s="191" t="inlineStr">
        <is>
          <t>Apply vendor patches</t>
        </is>
      </c>
      <c r="P1302" s="191" t="inlineStr">
        <is>
          <t>See CVE details</t>
        </is>
      </c>
      <c r="Q1302" s="191" t="inlineStr">
        <is>
          <t>P4</t>
        </is>
      </c>
      <c r="R1302" s="191" t="inlineStr">
        <is>
          <t>📅 Schedule patch deployment within 30 days | 🔍 Monitor for exploitation attempts</t>
        </is>
      </c>
      <c r="S1302" s="191" t="inlineStr">
        <is>
          <t>CVE - IP enrichment n/a</t>
        </is>
      </c>
      <c r="T1302" s="191" t="n">
        <v>0</v>
      </c>
      <c r="U1302" s="191" t="n">
        <v>0</v>
      </c>
      <c r="V1302" s="191" t="inlineStr">
        <is>
          <t>T1189:Drive-by Compromise</t>
        </is>
      </c>
      <c r="W1302" s="191" t="n">
        <v>1</v>
      </c>
      <c r="X1302" s="191" t="inlineStr">
        <is>
          <t>LOW (40%)</t>
        </is>
      </c>
      <c r="Y1302" s="191" t="inlineStr">
        <is>
          <t>UNLIKELY</t>
        </is>
      </c>
      <c r="Z1302" s="191" t="inlineStr">
        <is>
          <t>CHECK_VENDOR</t>
        </is>
      </c>
      <c r="AA1302" s="192" t="inlineStr">
        <is>
          <t>https://nvd.nist.gov/vuln/detail/CVE-2025-40986</t>
        </is>
      </c>
      <c r="AB1302" s="191" t="inlineStr">
        <is>
          <t>NONE</t>
        </is>
      </c>
      <c r="AC1302" s="191" t="n">
        <v>0</v>
      </c>
      <c r="AD1302" s="191" t="n"/>
    </row>
    <row r="1303">
      <c r="A1303" s="191" t="inlineStr">
        <is>
          <t>CVE</t>
        </is>
      </c>
      <c r="B1303" s="191" t="inlineStr">
        <is>
          <t>CVE-2025-59873</t>
        </is>
      </c>
      <c r="C1303" s="191" t="inlineStr">
        <is>
          <t>An information exposure vulnerability exists in
Vulnerability in HCL Software ZIE for Web.
The application transmits sensitive session tokens and authentication identifiers within the URL query parameters . An attacker who gains access to any network log or operates a site linked from the application can hijack user sessions
This issue affects ZIE for Web: v16.</t>
        </is>
      </c>
      <c r="D1303" s="191" t="n">
        <v>5.9</v>
      </c>
      <c r="E1303" s="191" t="inlineStr">
        <is>
          <t>MEDIUM</t>
        </is>
      </c>
      <c r="F1303" s="191" t="n">
        <v>2</v>
      </c>
      <c r="G1303" s="191" t="n">
        <v>2</v>
      </c>
      <c r="H1303" s="191" t="inlineStr">
        <is>
          <t>MEDIUM</t>
        </is>
      </c>
      <c r="I1303" s="191" t="n">
        <v>9.9</v>
      </c>
      <c r="J1303" s="191" t="inlineStr">
        <is>
          <t>NO</t>
        </is>
      </c>
      <c r="K1303" s="192" t="inlineStr">
        <is>
          <t>https://nvd.nist.gov/vuln/detail/CVE-2025-59873</t>
        </is>
      </c>
      <c r="L1303" s="191" t="inlineStr">
        <is>
          <t>2026-02-23 23:48</t>
        </is>
      </c>
      <c r="M1303" s="191" t="inlineStr">
        <is>
          <t>CHECK_VENDOR</t>
        </is>
      </c>
      <c r="N1303" s="191" t="inlineStr">
        <is>
          <t>See NVD references</t>
        </is>
      </c>
      <c r="O1303" s="191" t="inlineStr">
        <is>
          <t>Apply vendor patches</t>
        </is>
      </c>
      <c r="P1303" s="191" t="inlineStr">
        <is>
          <t>See CVE details</t>
        </is>
      </c>
      <c r="Q1303" s="191" t="inlineStr">
        <is>
          <t>P4</t>
        </is>
      </c>
      <c r="R1303" s="191" t="inlineStr">
        <is>
          <t>📅 Schedule patch deployment within 30 days | 🔍 Monitor for exploitation attempts</t>
        </is>
      </c>
      <c r="S1303" s="191" t="inlineStr">
        <is>
          <t>CVE - IP enrichment n/a</t>
        </is>
      </c>
      <c r="T1303" s="191" t="n">
        <v>0</v>
      </c>
      <c r="U1303" s="191" t="n">
        <v>0</v>
      </c>
      <c r="V1303" s="191" t="inlineStr">
        <is>
          <t>T1190:Exploit Public-Facing Application</t>
        </is>
      </c>
      <c r="W1303" s="191" t="n">
        <v>1</v>
      </c>
      <c r="X1303" s="191" t="inlineStr">
        <is>
          <t>LOW (40%)</t>
        </is>
      </c>
      <c r="Y1303" s="191" t="inlineStr">
        <is>
          <t>UNLIKELY</t>
        </is>
      </c>
      <c r="Z1303" s="191" t="inlineStr">
        <is>
          <t>CHECK_VENDOR</t>
        </is>
      </c>
      <c r="AA1303" s="192" t="inlineStr">
        <is>
          <t>https://nvd.nist.gov/vuln/detail/CVE-2025-59873</t>
        </is>
      </c>
      <c r="AB1303" s="191" t="inlineStr">
        <is>
          <t>NONE</t>
        </is>
      </c>
      <c r="AC1303" s="191" t="n">
        <v>0</v>
      </c>
      <c r="AD1303" s="191" t="n"/>
    </row>
    <row r="1304">
      <c r="A1304" s="191" t="inlineStr">
        <is>
          <t>CVE</t>
        </is>
      </c>
      <c r="B1304" s="191" t="inlineStr">
        <is>
          <t>CVE-2026-2984</t>
        </is>
      </c>
      <c r="C1304" s="191" t="inlineStr">
        <is>
          <t>A vulnerability was identified in SourceCodester Student Result Management System 1.0. This affects an unknown function of the file /admin/core/drop_user.php. Such manipulation of the argument ID leads to denial of service. The attack can be executed remotely. The exploit is publicly available and might be used.</t>
        </is>
      </c>
      <c r="D1304" s="191" t="n">
        <v>6.5</v>
      </c>
      <c r="E1304" s="191" t="inlineStr">
        <is>
          <t>MEDIUM</t>
        </is>
      </c>
      <c r="F1304" s="191" t="n">
        <v>2</v>
      </c>
      <c r="G1304" s="191" t="n">
        <v>2</v>
      </c>
      <c r="H1304" s="191" t="inlineStr">
        <is>
          <t>MEDIUM</t>
        </is>
      </c>
      <c r="I1304" s="191" t="n">
        <v>10.5</v>
      </c>
      <c r="J1304" s="191" t="inlineStr">
        <is>
          <t>NO</t>
        </is>
      </c>
      <c r="K1304" s="192" t="inlineStr">
        <is>
          <t>https://nvd.nist.gov/vuln/detail/CVE-2026-2984</t>
        </is>
      </c>
      <c r="L1304" s="191" t="inlineStr">
        <is>
          <t>2026-02-23 23:48</t>
        </is>
      </c>
      <c r="M1304" s="191" t="inlineStr">
        <is>
          <t>CHECK_VENDOR</t>
        </is>
      </c>
      <c r="N1304" s="191" t="inlineStr">
        <is>
          <t>See NVD references</t>
        </is>
      </c>
      <c r="O1304" s="191" t="inlineStr">
        <is>
          <t>Apply vendor patches</t>
        </is>
      </c>
      <c r="P1304" s="191" t="inlineStr">
        <is>
          <t>See CVE details</t>
        </is>
      </c>
      <c r="Q1304" s="191" t="inlineStr">
        <is>
          <t>P4</t>
        </is>
      </c>
      <c r="R1304" s="191" t="inlineStr">
        <is>
          <t>📅 Schedule patch deployment within 30 days | 🔍 Monitor for exploitation attempts</t>
        </is>
      </c>
      <c r="S1304" s="191" t="inlineStr">
        <is>
          <t>CVE - IP enrichment n/a</t>
        </is>
      </c>
      <c r="T1304" s="191" t="n">
        <v>0</v>
      </c>
      <c r="U1304" s="191" t="n">
        <v>0</v>
      </c>
      <c r="V1304" s="191" t="inlineStr">
        <is>
          <t>T1190:Exploit Public-Facing Application | T1499:Endpoint Denial of Service</t>
        </is>
      </c>
      <c r="W1304" s="191" t="n">
        <v>1</v>
      </c>
      <c r="X1304" s="191" t="inlineStr">
        <is>
          <t>LOW (40%)</t>
        </is>
      </c>
      <c r="Y1304" s="191" t="inlineStr">
        <is>
          <t>UNLIKELY</t>
        </is>
      </c>
      <c r="Z1304" s="191" t="inlineStr">
        <is>
          <t>CHECK_VENDOR</t>
        </is>
      </c>
      <c r="AA1304" s="192" t="inlineStr">
        <is>
          <t>https://nvd.nist.gov/vuln/detail/CVE-2026-2984</t>
        </is>
      </c>
      <c r="AB1304" s="191" t="inlineStr">
        <is>
          <t>NONE</t>
        </is>
      </c>
      <c r="AC1304" s="191" t="n">
        <v>0</v>
      </c>
      <c r="AD1304" s="191" t="n"/>
    </row>
    <row r="1305">
      <c r="A1305" s="191" t="inlineStr">
        <is>
          <t>CVE</t>
        </is>
      </c>
      <c r="B1305" s="191" t="inlineStr">
        <is>
          <t>CVE-2026-2985</t>
        </is>
      </c>
      <c r="C1305" s="191" t="inlineStr">
        <is>
          <t>A security flaw has been discovered in Tiandy Video Surveillance System 视频监控平台 7.17.0. This impacts the function downloadImage of the file /com/tiandy/easy7/core/bo/CLSBODownLoad.java. Performing a manipulation of the argument urlPath results in server-side request forgery. The attack is possible to be carried out remotely. The exploit has been released to the public and may be used for attacks. The vendor was contacted early about this disclosure but did not respond in any way.</t>
        </is>
      </c>
      <c r="D1305" s="191" t="n">
        <v>6.3</v>
      </c>
      <c r="E1305" s="191" t="inlineStr">
        <is>
          <t>MEDIUM</t>
        </is>
      </c>
      <c r="F1305" s="191" t="n">
        <v>2</v>
      </c>
      <c r="G1305" s="191" t="n">
        <v>2</v>
      </c>
      <c r="H1305" s="191" t="inlineStr">
        <is>
          <t>MEDIUM</t>
        </is>
      </c>
      <c r="I1305" s="191" t="n">
        <v>10.3</v>
      </c>
      <c r="J1305" s="191" t="inlineStr">
        <is>
          <t>NO</t>
        </is>
      </c>
      <c r="K1305" s="192" t="inlineStr">
        <is>
          <t>https://nvd.nist.gov/vuln/detail/CVE-2026-2985</t>
        </is>
      </c>
      <c r="L1305" s="191" t="inlineStr">
        <is>
          <t>2026-02-23 23:48</t>
        </is>
      </c>
      <c r="M1305" s="191" t="inlineStr">
        <is>
          <t>CHECK_VENDOR</t>
        </is>
      </c>
      <c r="N1305" s="191" t="inlineStr">
        <is>
          <t>See NVD references</t>
        </is>
      </c>
      <c r="O1305" s="191" t="inlineStr">
        <is>
          <t>Apply vendor patches</t>
        </is>
      </c>
      <c r="P1305" s="191" t="inlineStr">
        <is>
          <t>See CVE details</t>
        </is>
      </c>
      <c r="Q1305" s="191" t="inlineStr">
        <is>
          <t>P4</t>
        </is>
      </c>
      <c r="R1305" s="191" t="inlineStr">
        <is>
          <t>📅 Schedule patch deployment within 30 days | 🔍 Monitor for exploitation attempts</t>
        </is>
      </c>
      <c r="S1305" s="191" t="inlineStr">
        <is>
          <t>CVE - IP enrichment n/a</t>
        </is>
      </c>
      <c r="T1305" s="191" t="n">
        <v>0</v>
      </c>
      <c r="U1305" s="191" t="n">
        <v>0</v>
      </c>
      <c r="V1305" s="191" t="inlineStr">
        <is>
          <t>T1090:Proxy</t>
        </is>
      </c>
      <c r="W1305" s="191" t="n">
        <v>1</v>
      </c>
      <c r="X1305" s="191" t="inlineStr">
        <is>
          <t>LOW (40%)</t>
        </is>
      </c>
      <c r="Y1305" s="191" t="inlineStr">
        <is>
          <t>UNLIKELY</t>
        </is>
      </c>
      <c r="Z1305" s="191" t="inlineStr">
        <is>
          <t>CHECK_VENDOR</t>
        </is>
      </c>
      <c r="AA1305" s="192" t="inlineStr">
        <is>
          <t>https://nvd.nist.gov/vuln/detail/CVE-2026-2985</t>
        </is>
      </c>
      <c r="AB1305" s="191" t="inlineStr">
        <is>
          <t>NONE</t>
        </is>
      </c>
      <c r="AC1305" s="191" t="n">
        <v>0</v>
      </c>
      <c r="AD1305" s="191" t="n"/>
    </row>
    <row r="1306">
      <c r="A1306" s="189" t="inlineStr">
        <is>
          <t>CVE</t>
        </is>
      </c>
      <c r="B1306" s="189" t="inlineStr">
        <is>
          <t>CVE-2025-69700</t>
        </is>
      </c>
      <c r="C1306" s="189" t="inlineStr">
        <is>
          <t>Tenda FH1203 V2.0.1.6 contains a stack-based buffer overflow vulnerability in the modify_add_client_prio function, which is reachable via the formSetClientPrio CGI handler.</t>
        </is>
      </c>
      <c r="D1306" s="189" t="n">
        <v>7.5</v>
      </c>
      <c r="E1306" s="189" t="inlineStr">
        <is>
          <t>HIGH</t>
        </is>
      </c>
      <c r="F1306" s="189" t="n">
        <v>2</v>
      </c>
      <c r="G1306" s="189" t="n">
        <v>3</v>
      </c>
      <c r="H1306" s="189" t="inlineStr">
        <is>
          <t>HIGH</t>
        </is>
      </c>
      <c r="I1306" s="189" t="n">
        <v>13.5</v>
      </c>
      <c r="J1306" s="189" t="inlineStr">
        <is>
          <t>NO</t>
        </is>
      </c>
      <c r="K1306" s="190" t="inlineStr">
        <is>
          <t>https://nvd.nist.gov/vuln/detail/CVE-2025-69700</t>
        </is>
      </c>
      <c r="L1306" s="189" t="inlineStr">
        <is>
          <t>2026-02-23 23:48</t>
        </is>
      </c>
      <c r="M1306" s="189" t="inlineStr">
        <is>
          <t>CHECK_VENDOR</t>
        </is>
      </c>
      <c r="N1306" s="189" t="inlineStr">
        <is>
          <t>See NVD references</t>
        </is>
      </c>
      <c r="O1306" s="189" t="inlineStr">
        <is>
          <t>Apply vendor patches</t>
        </is>
      </c>
      <c r="P1306" s="189" t="inlineStr">
        <is>
          <t>See CVE details</t>
        </is>
      </c>
      <c r="Q1306" s="189" t="inlineStr">
        <is>
          <t>P3</t>
        </is>
      </c>
      <c r="R1306" s="189" t="inlineStr">
        <is>
          <t>🚨 URGENT: Apply vendor patches immediately | 🔒 Isolate affected systems if patch unavailable | 🛡️ Enable additional monitoring/IDS rules</t>
        </is>
      </c>
      <c r="S1306" s="189" t="inlineStr">
        <is>
          <t>CVE - IP enrichment n/a</t>
        </is>
      </c>
      <c r="T1306" s="189" t="n">
        <v>0</v>
      </c>
      <c r="U1306" s="189" t="n">
        <v>0</v>
      </c>
      <c r="V1306" s="189" t="inlineStr">
        <is>
          <t>T1190:Exploit Public-Facing Application | T1203:Exploitation for Client Execution</t>
        </is>
      </c>
      <c r="W1306" s="189" t="n">
        <v>1</v>
      </c>
      <c r="X1306" s="189" t="inlineStr">
        <is>
          <t>LOW (40%)</t>
        </is>
      </c>
      <c r="Y1306" s="189" t="inlineStr">
        <is>
          <t>UNLIKELY</t>
        </is>
      </c>
      <c r="Z1306" s="189" t="inlineStr">
        <is>
          <t>CHECK_VENDOR</t>
        </is>
      </c>
      <c r="AA1306" s="190" t="inlineStr">
        <is>
          <t>https://nvd.nist.gov/vuln/detail/CVE-2025-69700</t>
        </is>
      </c>
      <c r="AB1306" s="189" t="inlineStr">
        <is>
          <t>NONE</t>
        </is>
      </c>
      <c r="AC1306" s="189" t="n">
        <v>0</v>
      </c>
      <c r="AD1306" s="189" t="n"/>
    </row>
    <row r="1307">
      <c r="A1307" s="189" t="inlineStr">
        <is>
          <t>CVE</t>
        </is>
      </c>
      <c r="B1307" s="189" t="inlineStr">
        <is>
          <t>CVE-2026-21420</t>
        </is>
      </c>
      <c r="C1307" s="189" t="inlineStr">
        <is>
          <t>Dell Repository Manager (DRM), versions prior to 3.4.8, contains an Uncontrolled Search Path Element vulnerability. A low privileged attacker with local access could potentially exploit this vulnerability, leading to arbitrary code execution and escalation of privileges.</t>
        </is>
      </c>
      <c r="D1307" s="189" t="n">
        <v>7.3</v>
      </c>
      <c r="E1307" s="189" t="inlineStr">
        <is>
          <t>HIGH</t>
        </is>
      </c>
      <c r="F1307" s="189" t="n">
        <v>2</v>
      </c>
      <c r="G1307" s="189" t="n">
        <v>3</v>
      </c>
      <c r="H1307" s="189" t="inlineStr">
        <is>
          <t>HIGH</t>
        </is>
      </c>
      <c r="I1307" s="189" t="n">
        <v>13.3</v>
      </c>
      <c r="J1307" s="189" t="inlineStr">
        <is>
          <t>NO</t>
        </is>
      </c>
      <c r="K1307" s="190" t="inlineStr">
        <is>
          <t>https://nvd.nist.gov/vuln/detail/CVE-2026-21420</t>
        </is>
      </c>
      <c r="L1307" s="189" t="inlineStr">
        <is>
          <t>2026-02-23 23:48</t>
        </is>
      </c>
      <c r="M1307" s="189" t="inlineStr">
        <is>
          <t>CHECK_VENDOR</t>
        </is>
      </c>
      <c r="N1307" s="189" t="inlineStr">
        <is>
          <t>See NVD references</t>
        </is>
      </c>
      <c r="O1307" s="189" t="inlineStr">
        <is>
          <t>Apply vendor patches</t>
        </is>
      </c>
      <c r="P1307" s="189" t="inlineStr">
        <is>
          <t>See CVE details</t>
        </is>
      </c>
      <c r="Q1307" s="189" t="inlineStr">
        <is>
          <t>P3</t>
        </is>
      </c>
      <c r="R1307" s="189" t="inlineStr">
        <is>
          <t>🚨 URGENT: Apply vendor patches immediately | 🔒 Isolate affected systems if patch unavailable | 🛡️ Enable additional monitoring/IDS rules</t>
        </is>
      </c>
      <c r="S1307" s="189" t="inlineStr">
        <is>
          <t>CVE - IP enrichment n/a</t>
        </is>
      </c>
      <c r="T1307" s="189" t="n">
        <v>0</v>
      </c>
      <c r="U1307" s="189" t="n">
        <v>0</v>
      </c>
      <c r="V1307" s="189" t="inlineStr">
        <is>
          <t>T1203:Exploitation for Client Execution</t>
        </is>
      </c>
      <c r="W1307" s="189" t="n">
        <v>1</v>
      </c>
      <c r="X1307" s="189" t="inlineStr">
        <is>
          <t>LOW (40%)</t>
        </is>
      </c>
      <c r="Y1307" s="189" t="inlineStr">
        <is>
          <t>UNLIKELY</t>
        </is>
      </c>
      <c r="Z1307" s="189" t="inlineStr">
        <is>
          <t>CHECK_VENDOR</t>
        </is>
      </c>
      <c r="AA1307" s="190" t="inlineStr">
        <is>
          <t>https://nvd.nist.gov/vuln/detail/CVE-2026-21420</t>
        </is>
      </c>
      <c r="AB1307" s="189" t="inlineStr">
        <is>
          <t>NONE</t>
        </is>
      </c>
      <c r="AC1307" s="189" t="n">
        <v>0</v>
      </c>
      <c r="AD1307" s="189" t="n"/>
    </row>
    <row r="1308">
      <c r="A1308" s="189" t="inlineStr">
        <is>
          <t>CVE</t>
        </is>
      </c>
      <c r="B1308" s="189" t="inlineStr">
        <is>
          <t>CVE-2025-14905</t>
        </is>
      </c>
      <c r="C1308" s="189" t="inlineStr">
        <is>
          <t>A flaw was found in the 389-ds-base server. A heap buffer overflow vulnerability exists in the `schema_attr_enum_callback` function within the `schema.c` file. This occurs because the code incorrectly calculates the buffer size by summing alias string lengths without accounting for additional formatting characters. When a large number of aliases are processed, this oversight can lead to a heap overflow, potentially allowing a remote attacker to cause a Denial of Service (DoS) or achieve Remote C</t>
        </is>
      </c>
      <c r="D1308" s="189" t="n">
        <v>7.2</v>
      </c>
      <c r="E1308" s="189" t="inlineStr">
        <is>
          <t>HIGH</t>
        </is>
      </c>
      <c r="F1308" s="189" t="n">
        <v>2</v>
      </c>
      <c r="G1308" s="189" t="n">
        <v>3</v>
      </c>
      <c r="H1308" s="189" t="inlineStr">
        <is>
          <t>HIGH</t>
        </is>
      </c>
      <c r="I1308" s="189" t="n">
        <v>13.2</v>
      </c>
      <c r="J1308" s="189" t="inlineStr">
        <is>
          <t>NO</t>
        </is>
      </c>
      <c r="K1308" s="190" t="inlineStr">
        <is>
          <t>https://nvd.nist.gov/vuln/detail/CVE-2025-14905</t>
        </is>
      </c>
      <c r="L1308" s="189" t="inlineStr">
        <is>
          <t>2026-02-23 23:48</t>
        </is>
      </c>
      <c r="M1308" s="189" t="inlineStr">
        <is>
          <t>CHECK_VENDOR</t>
        </is>
      </c>
      <c r="N1308" s="189" t="inlineStr">
        <is>
          <t>See NVD references</t>
        </is>
      </c>
      <c r="O1308" s="189" t="inlineStr">
        <is>
          <t>Apply vendor patches</t>
        </is>
      </c>
      <c r="P1308" s="189" t="inlineStr">
        <is>
          <t>See CVE details</t>
        </is>
      </c>
      <c r="Q1308" s="189" t="inlineStr">
        <is>
          <t>P3</t>
        </is>
      </c>
      <c r="R1308" s="189" t="inlineStr">
        <is>
          <t>🚨 URGENT: Apply vendor patches immediately | 🔒 Isolate affected systems if patch unavailable | 🛡️ Enable additional monitoring/IDS rules</t>
        </is>
      </c>
      <c r="S1308" s="189" t="inlineStr">
        <is>
          <t>CVE - IP enrichment n/a</t>
        </is>
      </c>
      <c r="T1308" s="189" t="n">
        <v>0</v>
      </c>
      <c r="U1308" s="189" t="n">
        <v>0</v>
      </c>
      <c r="V1308" s="189" t="inlineStr">
        <is>
          <t>T1190:Exploit Public-Facing Application | T1210:Exploitation of Remote Services | T1203:Exploitation for Client Execution</t>
        </is>
      </c>
      <c r="W1308" s="189" t="n">
        <v>1</v>
      </c>
      <c r="X1308" s="189" t="inlineStr">
        <is>
          <t>LOW (40%)</t>
        </is>
      </c>
      <c r="Y1308" s="189" t="inlineStr">
        <is>
          <t>UNLIKELY</t>
        </is>
      </c>
      <c r="Z1308" s="189" t="inlineStr">
        <is>
          <t>CHECK_VENDOR</t>
        </is>
      </c>
      <c r="AA1308" s="190" t="inlineStr">
        <is>
          <t>https://nvd.nist.gov/vuln/detail/CVE-2025-14905</t>
        </is>
      </c>
      <c r="AB1308" s="189" t="inlineStr">
        <is>
          <t>NONE</t>
        </is>
      </c>
      <c r="AC1308" s="189" t="n">
        <v>0</v>
      </c>
      <c r="AD1308" s="189" t="n"/>
    </row>
    <row r="1309">
      <c r="A1309" s="193" t="inlineStr">
        <is>
          <t>CVE</t>
        </is>
      </c>
      <c r="B1309" s="193" t="inlineStr">
        <is>
          <t>CVE-2025-70043</t>
        </is>
      </c>
      <c r="C1309" s="193" t="inlineStr">
        <is>
          <t>An issue pertaining to CWE-295: Improper Certificate Validation was discovered in Ayms node-To master. The application disables TLS/SSL certificate validation by setting 'rejectUnauthorized': false in TLS socket options</t>
        </is>
      </c>
      <c r="D1309" s="193" t="n">
        <v>9.1</v>
      </c>
      <c r="E1309" s="193" t="inlineStr">
        <is>
          <t>CRITICAL</t>
        </is>
      </c>
      <c r="F1309" s="193" t="n">
        <v>2</v>
      </c>
      <c r="G1309" s="193" t="n">
        <v>3</v>
      </c>
      <c r="H1309" s="193" t="inlineStr">
        <is>
          <t>HIGH</t>
        </is>
      </c>
      <c r="I1309" s="193" t="n">
        <v>15.1</v>
      </c>
      <c r="J1309" s="193" t="inlineStr">
        <is>
          <t>NO</t>
        </is>
      </c>
      <c r="K1309" s="194" t="inlineStr">
        <is>
          <t>https://nvd.nist.gov/vuln/detail/CVE-2025-70043</t>
        </is>
      </c>
      <c r="L1309" s="193" t="inlineStr">
        <is>
          <t>2026-02-23 23:48</t>
        </is>
      </c>
      <c r="M1309" s="193" t="inlineStr">
        <is>
          <t>CHECK_VENDOR</t>
        </is>
      </c>
      <c r="N1309" s="193" t="inlineStr">
        <is>
          <t>See NVD references</t>
        </is>
      </c>
      <c r="O1309" s="193" t="inlineStr">
        <is>
          <t>Apply vendor patches</t>
        </is>
      </c>
      <c r="P1309" s="193" t="inlineStr">
        <is>
          <t>See CVE details</t>
        </is>
      </c>
      <c r="Q1309" s="193" t="inlineStr">
        <is>
          <t>P3</t>
        </is>
      </c>
      <c r="R1309" s="193" t="inlineStr">
        <is>
          <t>🚨 URGENT: Apply vendor patches immediately | 🔒 Isolate affected systems if patch unavailable | 🛡️ Enable additional monitoring/IDS rules</t>
        </is>
      </c>
      <c r="S1309" s="193" t="inlineStr">
        <is>
          <t>CVE - IP enrichment n/a</t>
        </is>
      </c>
      <c r="T1309" s="193" t="n">
        <v>0</v>
      </c>
      <c r="U1309" s="193" t="n">
        <v>0</v>
      </c>
      <c r="V1309" s="193" t="inlineStr">
        <is>
          <t>T1190:Exploit Public-Facing Application</t>
        </is>
      </c>
      <c r="W1309" s="193" t="n">
        <v>1</v>
      </c>
      <c r="X1309" s="193" t="inlineStr">
        <is>
          <t>LOW (40%)</t>
        </is>
      </c>
      <c r="Y1309" s="193" t="inlineStr">
        <is>
          <t>UNLIKELY</t>
        </is>
      </c>
      <c r="Z1309" s="193" t="inlineStr">
        <is>
          <t>CHECK_VENDOR</t>
        </is>
      </c>
      <c r="AA1309" s="194" t="inlineStr">
        <is>
          <t>https://nvd.nist.gov/vuln/detail/CVE-2025-70043</t>
        </is>
      </c>
      <c r="AB1309" s="193" t="inlineStr">
        <is>
          <t>NONE</t>
        </is>
      </c>
      <c r="AC1309" s="193" t="n">
        <v>0</v>
      </c>
      <c r="AD1309" s="193" t="n"/>
    </row>
    <row r="1310">
      <c r="A1310" s="191" t="inlineStr">
        <is>
          <t>CVE</t>
        </is>
      </c>
      <c r="B1310" s="191" t="inlineStr">
        <is>
          <t>CVE-2025-70044</t>
        </is>
      </c>
      <c r="C1310" s="191" t="inlineStr">
        <is>
          <t>An issue pertaining to CWE-295: Improper Certificate Validation was discovered in fofolee uTools-quickcommand 5.0.3.</t>
        </is>
      </c>
      <c r="D1310" s="191" t="n">
        <v>6.5</v>
      </c>
      <c r="E1310" s="191" t="inlineStr">
        <is>
          <t>MEDIUM</t>
        </is>
      </c>
      <c r="F1310" s="191" t="n">
        <v>2</v>
      </c>
      <c r="G1310" s="191" t="n">
        <v>2</v>
      </c>
      <c r="H1310" s="191" t="inlineStr">
        <is>
          <t>MEDIUM</t>
        </is>
      </c>
      <c r="I1310" s="191" t="n">
        <v>10.5</v>
      </c>
      <c r="J1310" s="191" t="inlineStr">
        <is>
          <t>NO</t>
        </is>
      </c>
      <c r="K1310" s="192" t="inlineStr">
        <is>
          <t>https://nvd.nist.gov/vuln/detail/CVE-2025-70044</t>
        </is>
      </c>
      <c r="L1310" s="191" t="inlineStr">
        <is>
          <t>2026-02-23 23:48</t>
        </is>
      </c>
      <c r="M1310" s="191" t="inlineStr">
        <is>
          <t>CHECK_VENDOR</t>
        </is>
      </c>
      <c r="N1310" s="191" t="inlineStr">
        <is>
          <t>See NVD references</t>
        </is>
      </c>
      <c r="O1310" s="191" t="inlineStr">
        <is>
          <t>Apply vendor patches</t>
        </is>
      </c>
      <c r="P1310" s="191" t="inlineStr">
        <is>
          <t>See CVE details</t>
        </is>
      </c>
      <c r="Q1310" s="191" t="inlineStr">
        <is>
          <t>P4</t>
        </is>
      </c>
      <c r="R1310" s="191" t="inlineStr">
        <is>
          <t>📅 Schedule patch deployment within 30 days | 🔍 Monitor for exploitation attempts</t>
        </is>
      </c>
      <c r="S1310" s="191" t="inlineStr">
        <is>
          <t>CVE - IP enrichment n/a</t>
        </is>
      </c>
      <c r="T1310" s="191" t="n">
        <v>0</v>
      </c>
      <c r="U1310" s="191" t="n">
        <v>0</v>
      </c>
      <c r="V1310" s="191" t="inlineStr">
        <is>
          <t>T1190:Exploit Public-Facing Application</t>
        </is>
      </c>
      <c r="W1310" s="191" t="n">
        <v>1</v>
      </c>
      <c r="X1310" s="191" t="inlineStr">
        <is>
          <t>LOW (40%)</t>
        </is>
      </c>
      <c r="Y1310" s="191" t="inlineStr">
        <is>
          <t>UNLIKELY</t>
        </is>
      </c>
      <c r="Z1310" s="191" t="inlineStr">
        <is>
          <t>CHECK_VENDOR</t>
        </is>
      </c>
      <c r="AA1310" s="192" t="inlineStr">
        <is>
          <t>https://nvd.nist.gov/vuln/detail/CVE-2025-70044</t>
        </is>
      </c>
      <c r="AB1310" s="191" t="inlineStr">
        <is>
          <t>NONE</t>
        </is>
      </c>
      <c r="AC1310" s="191" t="n">
        <v>0</v>
      </c>
      <c r="AD1310" s="191" t="n"/>
    </row>
    <row r="1311">
      <c r="A1311" s="189" t="inlineStr">
        <is>
          <t>CVE</t>
        </is>
      </c>
      <c r="B1311" s="189" t="inlineStr">
        <is>
          <t>CVE-2025-70045</t>
        </is>
      </c>
      <c r="C1311" s="189" t="inlineStr">
        <is>
          <t>An issue pertaining to CWE-295: Improper Certificate Validation was discovered in jxcore jxm master. The application disables TLS/SSL certificate validation by setting 'rejectUnauthorized': false in HTTPS request options when 'jx_obj.IsSecure' is true</t>
        </is>
      </c>
      <c r="D1311" s="189" t="n">
        <v>7.4</v>
      </c>
      <c r="E1311" s="189" t="inlineStr">
        <is>
          <t>HIGH</t>
        </is>
      </c>
      <c r="F1311" s="189" t="n">
        <v>2</v>
      </c>
      <c r="G1311" s="189" t="n">
        <v>3</v>
      </c>
      <c r="H1311" s="189" t="inlineStr">
        <is>
          <t>HIGH</t>
        </is>
      </c>
      <c r="I1311" s="189" t="n">
        <v>13.4</v>
      </c>
      <c r="J1311" s="189" t="inlineStr">
        <is>
          <t>NO</t>
        </is>
      </c>
      <c r="K1311" s="190" t="inlineStr">
        <is>
          <t>https://nvd.nist.gov/vuln/detail/CVE-2025-70045</t>
        </is>
      </c>
      <c r="L1311" s="189" t="inlineStr">
        <is>
          <t>2026-02-23 23:48</t>
        </is>
      </c>
      <c r="M1311" s="189" t="inlineStr">
        <is>
          <t>CHECK_VENDOR</t>
        </is>
      </c>
      <c r="N1311" s="189" t="inlineStr">
        <is>
          <t>See NVD references</t>
        </is>
      </c>
      <c r="O1311" s="189" t="inlineStr">
        <is>
          <t>Apply vendor patches</t>
        </is>
      </c>
      <c r="P1311" s="189" t="inlineStr">
        <is>
          <t>See CVE details</t>
        </is>
      </c>
      <c r="Q1311" s="189" t="inlineStr">
        <is>
          <t>P3</t>
        </is>
      </c>
      <c r="R1311" s="189" t="inlineStr">
        <is>
          <t>🚨 URGENT: Apply vendor patches immediately | 🔒 Isolate affected systems if patch unavailable | 🛡️ Enable additional monitoring/IDS rules</t>
        </is>
      </c>
      <c r="S1311" s="189" t="inlineStr">
        <is>
          <t>CVE - IP enrichment n/a</t>
        </is>
      </c>
      <c r="T1311" s="189" t="n">
        <v>0</v>
      </c>
      <c r="U1311" s="189" t="n">
        <v>0</v>
      </c>
      <c r="V1311" s="189" t="inlineStr">
        <is>
          <t>T1190:Exploit Public-Facing Application</t>
        </is>
      </c>
      <c r="W1311" s="189" t="n">
        <v>1</v>
      </c>
      <c r="X1311" s="189" t="inlineStr">
        <is>
          <t>LOW (40%)</t>
        </is>
      </c>
      <c r="Y1311" s="189" t="inlineStr">
        <is>
          <t>UNLIKELY</t>
        </is>
      </c>
      <c r="Z1311" s="189" t="inlineStr">
        <is>
          <t>CHECK_VENDOR</t>
        </is>
      </c>
      <c r="AA1311" s="190" t="inlineStr">
        <is>
          <t>https://nvd.nist.gov/vuln/detail/CVE-2025-70045</t>
        </is>
      </c>
      <c r="AB1311" s="189" t="inlineStr">
        <is>
          <t>NONE</t>
        </is>
      </c>
      <c r="AC1311" s="189" t="n">
        <v>0</v>
      </c>
      <c r="AD1311" s="189" t="n"/>
    </row>
    <row r="1312">
      <c r="A1312" s="191" t="inlineStr">
        <is>
          <t>CVE</t>
        </is>
      </c>
      <c r="B1312" s="191" t="inlineStr">
        <is>
          <t>CVE-2025-70058</t>
        </is>
      </c>
      <c r="C1312" s="191" t="inlineStr">
        <is>
          <t>An issue pertaining to CWE-295: Improper Certificate Validation was discovered in YMFE yapi v1.12.0. The application disables TLS/SSL certificate validation by setting 'rejectUnauthorized': false in the HTTPS agent configuration for Axios requests</t>
        </is>
      </c>
      <c r="D1312" s="191" t="n">
        <v>5</v>
      </c>
      <c r="E1312" s="191" t="inlineStr">
        <is>
          <t>MEDIUM</t>
        </is>
      </c>
      <c r="F1312" s="191" t="n">
        <v>2</v>
      </c>
      <c r="G1312" s="191" t="n">
        <v>2</v>
      </c>
      <c r="H1312" s="191" t="inlineStr">
        <is>
          <t>MEDIUM</t>
        </is>
      </c>
      <c r="I1312" s="191" t="n">
        <v>9</v>
      </c>
      <c r="J1312" s="191" t="inlineStr">
        <is>
          <t>NO</t>
        </is>
      </c>
      <c r="K1312" s="192" t="inlineStr">
        <is>
          <t>https://nvd.nist.gov/vuln/detail/CVE-2025-70058</t>
        </is>
      </c>
      <c r="L1312" s="191" t="inlineStr">
        <is>
          <t>2026-02-23 23:48</t>
        </is>
      </c>
      <c r="M1312" s="191" t="inlineStr">
        <is>
          <t>CHECK_VENDOR</t>
        </is>
      </c>
      <c r="N1312" s="191" t="inlineStr">
        <is>
          <t>See NVD references</t>
        </is>
      </c>
      <c r="O1312" s="191" t="inlineStr">
        <is>
          <t>Apply vendor patches</t>
        </is>
      </c>
      <c r="P1312" s="191" t="inlineStr">
        <is>
          <t>See CVE details</t>
        </is>
      </c>
      <c r="Q1312" s="191" t="inlineStr">
        <is>
          <t>P4</t>
        </is>
      </c>
      <c r="R1312" s="191" t="inlineStr">
        <is>
          <t>📅 Schedule patch deployment within 30 days | 🔍 Monitor for exploitation attempts</t>
        </is>
      </c>
      <c r="S1312" s="191" t="inlineStr">
        <is>
          <t>CVE - IP enrichment n/a</t>
        </is>
      </c>
      <c r="T1312" s="191" t="n">
        <v>0</v>
      </c>
      <c r="U1312" s="191" t="n">
        <v>0</v>
      </c>
      <c r="V1312" s="191" t="inlineStr">
        <is>
          <t>T1190:Exploit Public-Facing Application</t>
        </is>
      </c>
      <c r="W1312" s="191" t="n">
        <v>1</v>
      </c>
      <c r="X1312" s="191" t="inlineStr">
        <is>
          <t>LOW (40%)</t>
        </is>
      </c>
      <c r="Y1312" s="191" t="inlineStr">
        <is>
          <t>UNLIKELY</t>
        </is>
      </c>
      <c r="Z1312" s="191" t="inlineStr">
        <is>
          <t>CHECK_VENDOR</t>
        </is>
      </c>
      <c r="AA1312" s="192" t="inlineStr">
        <is>
          <t>https://nvd.nist.gov/vuln/detail/CVE-2025-70058</t>
        </is>
      </c>
      <c r="AB1312" s="191" t="inlineStr">
        <is>
          <t>NONE</t>
        </is>
      </c>
      <c r="AC1312" s="191" t="n">
        <v>0</v>
      </c>
      <c r="AD1312" s="191" t="n"/>
    </row>
    <row r="1313">
      <c r="A1313" s="191" t="inlineStr">
        <is>
          <t>CVE</t>
        </is>
      </c>
      <c r="B1313" s="191" t="inlineStr">
        <is>
          <t>CVE-2026-2697</t>
        </is>
      </c>
      <c r="C1313" s="191" t="inlineStr">
        <is>
          <t>An Indirect Object Reference (IDOR) in Security Center allows an authenticated remote attacker to escalate privileges via the 'owner' parameter.</t>
        </is>
      </c>
      <c r="D1313" s="191" t="n">
        <v>6.3</v>
      </c>
      <c r="E1313" s="191" t="inlineStr">
        <is>
          <t>MEDIUM</t>
        </is>
      </c>
      <c r="F1313" s="191" t="n">
        <v>2</v>
      </c>
      <c r="G1313" s="191" t="n">
        <v>2</v>
      </c>
      <c r="H1313" s="191" t="inlineStr">
        <is>
          <t>MEDIUM</t>
        </is>
      </c>
      <c r="I1313" s="191" t="n">
        <v>10.3</v>
      </c>
      <c r="J1313" s="191" t="inlineStr">
        <is>
          <t>NO</t>
        </is>
      </c>
      <c r="K1313" s="192" t="inlineStr">
        <is>
          <t>https://nvd.nist.gov/vuln/detail/CVE-2026-2697</t>
        </is>
      </c>
      <c r="L1313" s="191" t="inlineStr">
        <is>
          <t>2026-02-23 23:48</t>
        </is>
      </c>
      <c r="M1313" s="191" t="inlineStr">
        <is>
          <t>CHECK_VENDOR</t>
        </is>
      </c>
      <c r="N1313" s="191" t="inlineStr">
        <is>
          <t>See NVD references</t>
        </is>
      </c>
      <c r="O1313" s="191" t="inlineStr">
        <is>
          <t>Apply vendor patches</t>
        </is>
      </c>
      <c r="P1313" s="191" t="inlineStr">
        <is>
          <t>See CVE details</t>
        </is>
      </c>
      <c r="Q1313" s="191" t="inlineStr">
        <is>
          <t>P4</t>
        </is>
      </c>
      <c r="R1313" s="191" t="inlineStr">
        <is>
          <t>📅 Schedule patch deployment within 30 days | 🔍 Monitor for exploitation attempts</t>
        </is>
      </c>
      <c r="S1313" s="191" t="inlineStr">
        <is>
          <t>CVE - IP enrichment n/a</t>
        </is>
      </c>
      <c r="T1313" s="191" t="n">
        <v>0</v>
      </c>
      <c r="U1313" s="191" t="n">
        <v>0</v>
      </c>
      <c r="V1313" s="191" t="inlineStr">
        <is>
          <t>T1190:Exploit Public-Facing Application</t>
        </is>
      </c>
      <c r="W1313" s="191" t="n">
        <v>1</v>
      </c>
      <c r="X1313" s="191" t="inlineStr">
        <is>
          <t>LOW (40%)</t>
        </is>
      </c>
      <c r="Y1313" s="191" t="inlineStr">
        <is>
          <t>UNLIKELY</t>
        </is>
      </c>
      <c r="Z1313" s="191" t="inlineStr">
        <is>
          <t>CHECK_VENDOR</t>
        </is>
      </c>
      <c r="AA1313" s="192" t="inlineStr">
        <is>
          <t>https://nvd.nist.gov/vuln/detail/CVE-2026-2697</t>
        </is>
      </c>
      <c r="AB1313" s="191" t="inlineStr">
        <is>
          <t>NONE</t>
        </is>
      </c>
      <c r="AC1313" s="191" t="n">
        <v>0</v>
      </c>
      <c r="AD1313" s="191" t="n"/>
    </row>
    <row r="1314">
      <c r="A1314" s="189" t="inlineStr">
        <is>
          <t>CVE</t>
        </is>
      </c>
      <c r="B1314" s="189" t="inlineStr">
        <is>
          <t>CVE-2026-3015</t>
        </is>
      </c>
      <c r="C1314" s="189" t="inlineStr">
        <is>
          <t>A vulnerability was determined in UTT HiPER 810G up to 1.7.7-171114. Impacted is the function strcpy of the file /goform/formPolicyRouteConf. Executing a manipulation of the argument GroupName can lead to buffer overflow. The attack may be launched remotely. The exploit has been publicly disclosed and may be utilized.</t>
        </is>
      </c>
      <c r="D1314" s="189" t="n">
        <v>8.800000000000001</v>
      </c>
      <c r="E1314" s="189" t="inlineStr">
        <is>
          <t>HIGH</t>
        </is>
      </c>
      <c r="F1314" s="189" t="n">
        <v>2</v>
      </c>
      <c r="G1314" s="189" t="n">
        <v>3</v>
      </c>
      <c r="H1314" s="189" t="inlineStr">
        <is>
          <t>HIGH</t>
        </is>
      </c>
      <c r="I1314" s="189" t="n">
        <v>14.8</v>
      </c>
      <c r="J1314" s="189" t="inlineStr">
        <is>
          <t>NO</t>
        </is>
      </c>
      <c r="K1314" s="190" t="inlineStr">
        <is>
          <t>https://nvd.nist.gov/vuln/detail/CVE-2026-3015</t>
        </is>
      </c>
      <c r="L1314" s="189" t="inlineStr">
        <is>
          <t>2026-02-23 23:48</t>
        </is>
      </c>
      <c r="M1314" s="189" t="inlineStr">
        <is>
          <t>CHECK_VENDOR</t>
        </is>
      </c>
      <c r="N1314" s="189" t="inlineStr">
        <is>
          <t>See NVD references</t>
        </is>
      </c>
      <c r="O1314" s="189" t="inlineStr">
        <is>
          <t>Apply vendor patches</t>
        </is>
      </c>
      <c r="P1314" s="189" t="inlineStr">
        <is>
          <t>See CVE details</t>
        </is>
      </c>
      <c r="Q1314" s="189" t="inlineStr">
        <is>
          <t>P3</t>
        </is>
      </c>
      <c r="R1314" s="189" t="inlineStr">
        <is>
          <t>🚨 URGENT: Apply vendor patches immediately | 🔒 Isolate affected systems if patch unavailable | 🛡️ Enable additional monitoring/IDS rules</t>
        </is>
      </c>
      <c r="S1314" s="189" t="inlineStr">
        <is>
          <t>CVE - IP enrichment n/a</t>
        </is>
      </c>
      <c r="T1314" s="189" t="n">
        <v>0</v>
      </c>
      <c r="U1314" s="189" t="n">
        <v>0</v>
      </c>
      <c r="V1314" s="189" t="inlineStr">
        <is>
          <t>T1203:Exploitation for Client Execution</t>
        </is>
      </c>
      <c r="W1314" s="189" t="n">
        <v>1</v>
      </c>
      <c r="X1314" s="189" t="inlineStr">
        <is>
          <t>LOW (40%)</t>
        </is>
      </c>
      <c r="Y1314" s="189" t="inlineStr">
        <is>
          <t>UNLIKELY</t>
        </is>
      </c>
      <c r="Z1314" s="189" t="inlineStr">
        <is>
          <t>CHECK_VENDOR</t>
        </is>
      </c>
      <c r="AA1314" s="190" t="inlineStr">
        <is>
          <t>https://nvd.nist.gov/vuln/detail/CVE-2026-3015</t>
        </is>
      </c>
      <c r="AB1314" s="189" t="inlineStr">
        <is>
          <t>NONE</t>
        </is>
      </c>
      <c r="AC1314" s="189" t="n">
        <v>0</v>
      </c>
      <c r="AD1314" s="189" t="n"/>
    </row>
    <row r="1315">
      <c r="A1315" s="189" t="inlineStr">
        <is>
          <t>CVE</t>
        </is>
      </c>
      <c r="B1315" s="189" t="inlineStr">
        <is>
          <t>CVE-2026-3016</t>
        </is>
      </c>
      <c r="C1315" s="189" t="inlineStr">
        <is>
          <t>A vulnerability was identified in UTT HiPER 810G up to 1.7.7-171114. The affected element is the function strcpy of the file /goform/formP2PLimitConfig. The manipulation of the argument except leads to buffer overflow. Remote exploitation of the attack is possible. The exploit is publicly available and might be used.</t>
        </is>
      </c>
      <c r="D1315" s="189" t="n">
        <v>8.800000000000001</v>
      </c>
      <c r="E1315" s="189" t="inlineStr">
        <is>
          <t>HIGH</t>
        </is>
      </c>
      <c r="F1315" s="189" t="n">
        <v>2</v>
      </c>
      <c r="G1315" s="189" t="n">
        <v>3</v>
      </c>
      <c r="H1315" s="189" t="inlineStr">
        <is>
          <t>HIGH</t>
        </is>
      </c>
      <c r="I1315" s="189" t="n">
        <v>14.8</v>
      </c>
      <c r="J1315" s="189" t="inlineStr">
        <is>
          <t>NO</t>
        </is>
      </c>
      <c r="K1315" s="190" t="inlineStr">
        <is>
          <t>https://nvd.nist.gov/vuln/detail/CVE-2026-3016</t>
        </is>
      </c>
      <c r="L1315" s="189" t="inlineStr">
        <is>
          <t>2026-02-23 23:48</t>
        </is>
      </c>
      <c r="M1315" s="189" t="inlineStr">
        <is>
          <t>CHECK_VENDOR</t>
        </is>
      </c>
      <c r="N1315" s="189" t="inlineStr">
        <is>
          <t>See NVD references</t>
        </is>
      </c>
      <c r="O1315" s="189" t="inlineStr">
        <is>
          <t>Apply vendor patches</t>
        </is>
      </c>
      <c r="P1315" s="189" t="inlineStr">
        <is>
          <t>See CVE details</t>
        </is>
      </c>
      <c r="Q1315" s="189" t="inlineStr">
        <is>
          <t>P3</t>
        </is>
      </c>
      <c r="R1315" s="189" t="inlineStr">
        <is>
          <t>🚨 URGENT: Apply vendor patches immediately | 🔒 Isolate affected systems if patch unavailable | 🛡️ Enable additional monitoring/IDS rules</t>
        </is>
      </c>
      <c r="S1315" s="189" t="inlineStr">
        <is>
          <t>CVE - IP enrichment n/a</t>
        </is>
      </c>
      <c r="T1315" s="189" t="n">
        <v>0</v>
      </c>
      <c r="U1315" s="189" t="n">
        <v>0</v>
      </c>
      <c r="V1315" s="189" t="inlineStr">
        <is>
          <t>T1203:Exploitation for Client Execution</t>
        </is>
      </c>
      <c r="W1315" s="189" t="n">
        <v>1</v>
      </c>
      <c r="X1315" s="189" t="inlineStr">
        <is>
          <t>LOW (40%)</t>
        </is>
      </c>
      <c r="Y1315" s="189" t="inlineStr">
        <is>
          <t>UNLIKELY</t>
        </is>
      </c>
      <c r="Z1315" s="189" t="inlineStr">
        <is>
          <t>CHECK_VENDOR</t>
        </is>
      </c>
      <c r="AA1315" s="190" t="inlineStr">
        <is>
          <t>https://nvd.nist.gov/vuln/detail/CVE-2026-3016</t>
        </is>
      </c>
      <c r="AB1315" s="189" t="inlineStr">
        <is>
          <t>NONE</t>
        </is>
      </c>
      <c r="AC1315" s="189" t="n">
        <v>0</v>
      </c>
      <c r="AD1315" s="189" t="n"/>
    </row>
    <row r="1316">
      <c r="A1316" s="189" t="inlineStr">
        <is>
          <t>CVE</t>
        </is>
      </c>
      <c r="B1316" s="189" t="inlineStr">
        <is>
          <t>CVE-2026-22567</t>
        </is>
      </c>
      <c r="C1316" s="189" t="inlineStr">
        <is>
          <t>Improper validation of user-supplied input in the ZIA Admin UI could allow an authenticated administrator to initiate backend functions through specific input fields in limited scenarios.</t>
        </is>
      </c>
      <c r="D1316" s="189" t="n">
        <v>7.6</v>
      </c>
      <c r="E1316" s="189" t="inlineStr">
        <is>
          <t>HIGH</t>
        </is>
      </c>
      <c r="F1316" s="189" t="n">
        <v>2</v>
      </c>
      <c r="G1316" s="189" t="n">
        <v>3</v>
      </c>
      <c r="H1316" s="189" t="inlineStr">
        <is>
          <t>HIGH</t>
        </is>
      </c>
      <c r="I1316" s="189" t="n">
        <v>13.6</v>
      </c>
      <c r="J1316" s="189" t="inlineStr">
        <is>
          <t>NO</t>
        </is>
      </c>
      <c r="K1316" s="190" t="inlineStr">
        <is>
          <t>https://nvd.nist.gov/vuln/detail/CVE-2026-22567</t>
        </is>
      </c>
      <c r="L1316" s="189" t="inlineStr">
        <is>
          <t>2026-02-23 23:48</t>
        </is>
      </c>
      <c r="M1316" s="189" t="inlineStr">
        <is>
          <t>CHECK_VENDOR</t>
        </is>
      </c>
      <c r="N1316" s="189" t="inlineStr">
        <is>
          <t>See NVD references</t>
        </is>
      </c>
      <c r="O1316" s="189" t="inlineStr">
        <is>
          <t>Apply vendor patches</t>
        </is>
      </c>
      <c r="P1316" s="189" t="inlineStr">
        <is>
          <t>See CVE details</t>
        </is>
      </c>
      <c r="Q1316" s="189" t="inlineStr">
        <is>
          <t>P3</t>
        </is>
      </c>
      <c r="R1316" s="189" t="inlineStr">
        <is>
          <t>🚨 URGENT: Apply vendor patches immediately | 🔒 Isolate affected systems if patch unavailable | 🛡️ Enable additional monitoring/IDS rules</t>
        </is>
      </c>
      <c r="S1316" s="189" t="inlineStr">
        <is>
          <t>CVE - IP enrichment n/a</t>
        </is>
      </c>
      <c r="T1316" s="189" t="n">
        <v>0</v>
      </c>
      <c r="U1316" s="189" t="n">
        <v>0</v>
      </c>
      <c r="V1316" s="189" t="inlineStr">
        <is>
          <t>T1190:Exploit Public-Facing Application</t>
        </is>
      </c>
      <c r="W1316" s="189" t="n">
        <v>1</v>
      </c>
      <c r="X1316" s="189" t="inlineStr">
        <is>
          <t>LOW (40%)</t>
        </is>
      </c>
      <c r="Y1316" s="189" t="inlineStr">
        <is>
          <t>UNLIKELY</t>
        </is>
      </c>
      <c r="Z1316" s="189" t="inlineStr">
        <is>
          <t>CHECK_VENDOR</t>
        </is>
      </c>
      <c r="AA1316" s="190" t="inlineStr">
        <is>
          <t>https://nvd.nist.gov/vuln/detail/CVE-2026-22567</t>
        </is>
      </c>
      <c r="AB1316" s="189" t="inlineStr">
        <is>
          <t>NONE</t>
        </is>
      </c>
      <c r="AC1316" s="189" t="n">
        <v>0</v>
      </c>
      <c r="AD1316" s="189" t="n"/>
    </row>
    <row r="1317">
      <c r="A1317" s="191" t="inlineStr">
        <is>
          <t>CVE</t>
        </is>
      </c>
      <c r="B1317" s="191" t="inlineStr">
        <is>
          <t>CVE-2026-22568</t>
        </is>
      </c>
      <c r="C1317" s="191" t="inlineStr">
        <is>
          <t>Improper neutralization of special elements in user-supplied input within the ZIA Admin UI could allow an authenticated administrator to access or retrieve unauthorized internal information in rare conditions.</t>
        </is>
      </c>
      <c r="D1317" s="191" t="n">
        <v>5.5</v>
      </c>
      <c r="E1317" s="191" t="inlineStr">
        <is>
          <t>MEDIUM</t>
        </is>
      </c>
      <c r="F1317" s="191" t="n">
        <v>2</v>
      </c>
      <c r="G1317" s="191" t="n">
        <v>2</v>
      </c>
      <c r="H1317" s="191" t="inlineStr">
        <is>
          <t>MEDIUM</t>
        </is>
      </c>
      <c r="I1317" s="191" t="n">
        <v>9.5</v>
      </c>
      <c r="J1317" s="191" t="inlineStr">
        <is>
          <t>NO</t>
        </is>
      </c>
      <c r="K1317" s="192" t="inlineStr">
        <is>
          <t>https://nvd.nist.gov/vuln/detail/CVE-2026-22568</t>
        </is>
      </c>
      <c r="L1317" s="191" t="inlineStr">
        <is>
          <t>2026-02-23 23:48</t>
        </is>
      </c>
      <c r="M1317" s="191" t="inlineStr">
        <is>
          <t>CHECK_VENDOR</t>
        </is>
      </c>
      <c r="N1317" s="191" t="inlineStr">
        <is>
          <t>See NVD references</t>
        </is>
      </c>
      <c r="O1317" s="191" t="inlineStr">
        <is>
          <t>Apply vendor patches</t>
        </is>
      </c>
      <c r="P1317" s="191" t="inlineStr">
        <is>
          <t>See CVE details</t>
        </is>
      </c>
      <c r="Q1317" s="191" t="inlineStr">
        <is>
          <t>P4</t>
        </is>
      </c>
      <c r="R1317" s="191" t="inlineStr">
        <is>
          <t>📅 Schedule patch deployment within 30 days | 🔍 Monitor for exploitation attempts</t>
        </is>
      </c>
      <c r="S1317" s="191" t="inlineStr">
        <is>
          <t>CVE - IP enrichment n/a</t>
        </is>
      </c>
      <c r="T1317" s="191" t="n">
        <v>0</v>
      </c>
      <c r="U1317" s="191" t="n">
        <v>0</v>
      </c>
      <c r="V1317" s="191" t="inlineStr">
        <is>
          <t>T1190:Exploit Public-Facing Application</t>
        </is>
      </c>
      <c r="W1317" s="191" t="n">
        <v>1</v>
      </c>
      <c r="X1317" s="191" t="inlineStr">
        <is>
          <t>LOW (40%)</t>
        </is>
      </c>
      <c r="Y1317" s="191" t="inlineStr">
        <is>
          <t>UNLIKELY</t>
        </is>
      </c>
      <c r="Z1317" s="191" t="inlineStr">
        <is>
          <t>CHECK_VENDOR</t>
        </is>
      </c>
      <c r="AA1317" s="192" t="inlineStr">
        <is>
          <t>https://nvd.nist.gov/vuln/detail/CVE-2026-22568</t>
        </is>
      </c>
      <c r="AB1317" s="191" t="inlineStr">
        <is>
          <t>NONE</t>
        </is>
      </c>
      <c r="AC1317" s="191" t="n">
        <v>0</v>
      </c>
      <c r="AD1317" s="191" t="n"/>
    </row>
    <row r="1318">
      <c r="A1318" s="191" t="inlineStr">
        <is>
          <t>CVE</t>
        </is>
      </c>
      <c r="B1318" s="191" t="inlineStr">
        <is>
          <t>CVE-2026-27511</t>
        </is>
      </c>
      <c r="C1318" s="191" t="inlineStr">
        <is>
          <t>Shenzhen Tenda F3 Wireless Router firmware V12.01.01.55_multi contains a clickjacking vulnerability in the web-based administrative interface. The interface does not set the X-Frame-Options header, allowing attacker-controlled sites to embed administrative pages in an iframe and trick an authenticated administrator into unintended interactions that may result in unauthorized configuration changes.</t>
        </is>
      </c>
      <c r="D1318" s="191" t="n">
        <v>4.3</v>
      </c>
      <c r="E1318" s="191" t="inlineStr">
        <is>
          <t>MEDIUM</t>
        </is>
      </c>
      <c r="F1318" s="191" t="n">
        <v>2</v>
      </c>
      <c r="G1318" s="191" t="n">
        <v>2</v>
      </c>
      <c r="H1318" s="191" t="inlineStr">
        <is>
          <t>MEDIUM</t>
        </is>
      </c>
      <c r="I1318" s="191" t="n">
        <v>8.300000000000001</v>
      </c>
      <c r="J1318" s="191" t="inlineStr">
        <is>
          <t>NO</t>
        </is>
      </c>
      <c r="K1318" s="192" t="inlineStr">
        <is>
          <t>https://nvd.nist.gov/vuln/detail/CVE-2026-27511</t>
        </is>
      </c>
      <c r="L1318" s="191" t="inlineStr">
        <is>
          <t>2026-02-23 23:48</t>
        </is>
      </c>
      <c r="M1318" s="191" t="inlineStr">
        <is>
          <t>CHECK_VENDOR</t>
        </is>
      </c>
      <c r="N1318" s="191" t="inlineStr">
        <is>
          <t>See NVD references</t>
        </is>
      </c>
      <c r="O1318" s="191" t="inlineStr">
        <is>
          <t>Apply vendor patches</t>
        </is>
      </c>
      <c r="P1318" s="191" t="inlineStr">
        <is>
          <t>tenda f3 - | tenda f3_firmware *</t>
        </is>
      </c>
      <c r="Q1318" s="191" t="inlineStr">
        <is>
          <t>P4</t>
        </is>
      </c>
      <c r="R1318" s="191" t="inlineStr">
        <is>
          <t>📅 Schedule patch deployment within 30 days | 🔍 Monitor for exploitation attempts</t>
        </is>
      </c>
      <c r="S1318" s="191" t="inlineStr">
        <is>
          <t>CVE - IP enrichment n/a</t>
        </is>
      </c>
      <c r="T1318" s="191" t="n">
        <v>0</v>
      </c>
      <c r="U1318" s="191" t="n">
        <v>0</v>
      </c>
      <c r="V1318" s="191" t="inlineStr">
        <is>
          <t>T1190:Exploit Public-Facing Application</t>
        </is>
      </c>
      <c r="W1318" s="191" t="n">
        <v>1</v>
      </c>
      <c r="X1318" s="191" t="inlineStr">
        <is>
          <t>LOW (40%)</t>
        </is>
      </c>
      <c r="Y1318" s="191" t="inlineStr">
        <is>
          <t>UNLIKELY</t>
        </is>
      </c>
      <c r="Z1318" s="191" t="inlineStr">
        <is>
          <t>CHECK_VENDOR</t>
        </is>
      </c>
      <c r="AA1318" s="192" t="inlineStr">
        <is>
          <t>https://nvd.nist.gov/vuln/detail/CVE-2026-27511</t>
        </is>
      </c>
      <c r="AB1318" s="191" t="inlineStr">
        <is>
          <t>NONE</t>
        </is>
      </c>
      <c r="AC1318" s="191" t="n">
        <v>0</v>
      </c>
      <c r="AD1318" s="191" t="n"/>
    </row>
    <row r="1319">
      <c r="A1319" s="191" t="inlineStr">
        <is>
          <t>CVE</t>
        </is>
      </c>
      <c r="B1319" s="191" t="inlineStr">
        <is>
          <t>CVE-2026-27512</t>
        </is>
      </c>
      <c r="C1319" s="191" t="inlineStr">
        <is>
          <t>Shenzhen Tenda F3 Wireless Router firmware V12.01.01.55_multi contains a content-type confusion vulnerability in the administrative interface. Responses omit the X-Content-Type-Options: nosniff header and include attacker-influenced content that can be reflected into the response body. Under affected browser behaviors, MIME sniffing may cause the response to be interpreted as active HTML, enabling script execution in the context of the administrative interface.</t>
        </is>
      </c>
      <c r="D1319" s="191" t="n">
        <v>6.1</v>
      </c>
      <c r="E1319" s="191" t="inlineStr">
        <is>
          <t>MEDIUM</t>
        </is>
      </c>
      <c r="F1319" s="191" t="n">
        <v>2</v>
      </c>
      <c r="G1319" s="191" t="n">
        <v>2</v>
      </c>
      <c r="H1319" s="191" t="inlineStr">
        <is>
          <t>MEDIUM</t>
        </is>
      </c>
      <c r="I1319" s="191" t="n">
        <v>10.1</v>
      </c>
      <c r="J1319" s="191" t="inlineStr">
        <is>
          <t>NO</t>
        </is>
      </c>
      <c r="K1319" s="192" t="inlineStr">
        <is>
          <t>https://nvd.nist.gov/vuln/detail/CVE-2026-27512</t>
        </is>
      </c>
      <c r="L1319" s="191" t="inlineStr">
        <is>
          <t>2026-02-23 23:48</t>
        </is>
      </c>
      <c r="M1319" s="191" t="inlineStr">
        <is>
          <t>CHECK_VENDOR</t>
        </is>
      </c>
      <c r="N1319" s="191" t="inlineStr">
        <is>
          <t>See NVD references</t>
        </is>
      </c>
      <c r="O1319" s="191" t="inlineStr">
        <is>
          <t>Apply vendor patches</t>
        </is>
      </c>
      <c r="P1319" s="191" t="inlineStr">
        <is>
          <t>tenda f3 - | tenda f3_firmware *</t>
        </is>
      </c>
      <c r="Q1319" s="191" t="inlineStr">
        <is>
          <t>P4</t>
        </is>
      </c>
      <c r="R1319" s="191" t="inlineStr">
        <is>
          <t>📅 Schedule patch deployment within 30 days | 🔍 Monitor for exploitation attempts</t>
        </is>
      </c>
      <c r="S1319" s="191" t="inlineStr">
        <is>
          <t>CVE - IP enrichment n/a</t>
        </is>
      </c>
      <c r="T1319" s="191" t="n">
        <v>0</v>
      </c>
      <c r="U1319" s="191" t="n">
        <v>0</v>
      </c>
      <c r="V1319" s="191" t="inlineStr">
        <is>
          <t>T1189:Drive-by Compromise</t>
        </is>
      </c>
      <c r="W1319" s="191" t="n">
        <v>1</v>
      </c>
      <c r="X1319" s="191" t="inlineStr">
        <is>
          <t>LOW (40%)</t>
        </is>
      </c>
      <c r="Y1319" s="191" t="inlineStr">
        <is>
          <t>UNLIKELY</t>
        </is>
      </c>
      <c r="Z1319" s="191" t="inlineStr">
        <is>
          <t>CHECK_VENDOR</t>
        </is>
      </c>
      <c r="AA1319" s="192" t="inlineStr">
        <is>
          <t>https://nvd.nist.gov/vuln/detail/CVE-2026-27512</t>
        </is>
      </c>
      <c r="AB1319" s="191" t="inlineStr">
        <is>
          <t>NONE</t>
        </is>
      </c>
      <c r="AC1319" s="191" t="n">
        <v>0</v>
      </c>
      <c r="AD1319" s="191" t="n"/>
    </row>
    <row r="1320">
      <c r="A1320" s="191" t="inlineStr">
        <is>
          <t>CVE</t>
        </is>
      </c>
      <c r="B1320" s="191" t="inlineStr">
        <is>
          <t>CVE-2026-27513</t>
        </is>
      </c>
      <c r="C1320" s="191" t="inlineStr">
        <is>
          <t>Shenzhen Tenda F3 Wireless Router firmware V12.01.01.55_multi contains a cross-site request forgery (CSRF) vulnerability in the web-based administrative interface. The interface does not implement anti-CSRF protections, allowing an attacker to induce an authenticated administrator to submit state-changing requests, which can result in unauthorized configuration changes.</t>
        </is>
      </c>
      <c r="D1320" s="191" t="n">
        <v>4.3</v>
      </c>
      <c r="E1320" s="191" t="inlineStr">
        <is>
          <t>MEDIUM</t>
        </is>
      </c>
      <c r="F1320" s="191" t="n">
        <v>2</v>
      </c>
      <c r="G1320" s="191" t="n">
        <v>2</v>
      </c>
      <c r="H1320" s="191" t="inlineStr">
        <is>
          <t>MEDIUM</t>
        </is>
      </c>
      <c r="I1320" s="191" t="n">
        <v>8.300000000000001</v>
      </c>
      <c r="J1320" s="191" t="inlineStr">
        <is>
          <t>NO</t>
        </is>
      </c>
      <c r="K1320" s="192" t="inlineStr">
        <is>
          <t>https://nvd.nist.gov/vuln/detail/CVE-2026-27513</t>
        </is>
      </c>
      <c r="L1320" s="191" t="inlineStr">
        <is>
          <t>2026-02-23 23:48</t>
        </is>
      </c>
      <c r="M1320" s="191" t="inlineStr">
        <is>
          <t>CHECK_VENDOR</t>
        </is>
      </c>
      <c r="N1320" s="191" t="inlineStr">
        <is>
          <t>See NVD references</t>
        </is>
      </c>
      <c r="O1320" s="191" t="inlineStr">
        <is>
          <t>Apply vendor patches</t>
        </is>
      </c>
      <c r="P1320" s="191" t="inlineStr">
        <is>
          <t>tenda f3 - | tenda f3_firmware *</t>
        </is>
      </c>
      <c r="Q1320" s="191" t="inlineStr">
        <is>
          <t>P4</t>
        </is>
      </c>
      <c r="R1320" s="191" t="inlineStr">
        <is>
          <t>📅 Schedule patch deployment within 30 days | 🔍 Monitor for exploitation attempts</t>
        </is>
      </c>
      <c r="S1320" s="191" t="inlineStr">
        <is>
          <t>CVE - IP enrichment n/a</t>
        </is>
      </c>
      <c r="T1320" s="191" t="n">
        <v>0</v>
      </c>
      <c r="U1320" s="191" t="n">
        <v>0</v>
      </c>
      <c r="V1320" s="191" t="inlineStr">
        <is>
          <t>T1185:Browser Session Hijacking</t>
        </is>
      </c>
      <c r="W1320" s="191" t="n">
        <v>1</v>
      </c>
      <c r="X1320" s="191" t="inlineStr">
        <is>
          <t>LOW (40%)</t>
        </is>
      </c>
      <c r="Y1320" s="191" t="inlineStr">
        <is>
          <t>UNLIKELY</t>
        </is>
      </c>
      <c r="Z1320" s="191" t="inlineStr">
        <is>
          <t>CHECK_VENDOR</t>
        </is>
      </c>
      <c r="AA1320" s="192" t="inlineStr">
        <is>
          <t>https://nvd.nist.gov/vuln/detail/CVE-2026-27513</t>
        </is>
      </c>
      <c r="AB1320" s="191" t="inlineStr">
        <is>
          <t>NONE</t>
        </is>
      </c>
      <c r="AC1320" s="191" t="n">
        <v>0</v>
      </c>
      <c r="AD1320" s="191" t="n"/>
    </row>
    <row r="1321">
      <c r="A1321" s="191" t="inlineStr">
        <is>
          <t>CVE</t>
        </is>
      </c>
      <c r="B1321" s="191" t="inlineStr">
        <is>
          <t>CVE-2026-27514</t>
        </is>
      </c>
      <c r="C1321" s="191" t="inlineStr">
        <is>
          <t>Shenzhen Tenda F3 Wireless Router firmware V12.01.01.55_multi contains a sensitive information exposure vulnerability in the configuration download functionality. The configuration download response includes the router password and administrative password in plaintext. The endpoint also omits appropriate Cache-Control directives, which can allow the response to be stored in client-side caches and recovered by other local users or processes with access to cached browser data.</t>
        </is>
      </c>
      <c r="D1321" s="191" t="n">
        <v>6.5</v>
      </c>
      <c r="E1321" s="191" t="inlineStr">
        <is>
          <t>MEDIUM</t>
        </is>
      </c>
      <c r="F1321" s="191" t="n">
        <v>2</v>
      </c>
      <c r="G1321" s="191" t="n">
        <v>2</v>
      </c>
      <c r="H1321" s="191" t="inlineStr">
        <is>
          <t>MEDIUM</t>
        </is>
      </c>
      <c r="I1321" s="191" t="n">
        <v>10.5</v>
      </c>
      <c r="J1321" s="191" t="inlineStr">
        <is>
          <t>NO</t>
        </is>
      </c>
      <c r="K1321" s="192" t="inlineStr">
        <is>
          <t>https://nvd.nist.gov/vuln/detail/CVE-2026-27514</t>
        </is>
      </c>
      <c r="L1321" s="191" t="inlineStr">
        <is>
          <t>2026-02-23 23:48</t>
        </is>
      </c>
      <c r="M1321" s="191" t="inlineStr">
        <is>
          <t>CHECK_VENDOR</t>
        </is>
      </c>
      <c r="N1321" s="191" t="inlineStr">
        <is>
          <t>See NVD references</t>
        </is>
      </c>
      <c r="O1321" s="191" t="inlineStr">
        <is>
          <t>Apply vendor patches</t>
        </is>
      </c>
      <c r="P1321" s="191" t="inlineStr">
        <is>
          <t>tenda f3 - | tenda f3_firmware *</t>
        </is>
      </c>
      <c r="Q1321" s="191" t="inlineStr">
        <is>
          <t>P4</t>
        </is>
      </c>
      <c r="R1321" s="191" t="inlineStr">
        <is>
          <t>📅 Schedule patch deployment within 30 days | 🔍 Monitor for exploitation attempts</t>
        </is>
      </c>
      <c r="S1321" s="191" t="inlineStr">
        <is>
          <t>CVE - IP enrichment n/a</t>
        </is>
      </c>
      <c r="T1321" s="191" t="n">
        <v>0</v>
      </c>
      <c r="U1321" s="191" t="n">
        <v>0</v>
      </c>
      <c r="V1321" s="191" t="inlineStr">
        <is>
          <t>T1190:Exploit Public-Facing Application</t>
        </is>
      </c>
      <c r="W1321" s="191" t="n">
        <v>1</v>
      </c>
      <c r="X1321" s="191" t="inlineStr">
        <is>
          <t>LOW (40%)</t>
        </is>
      </c>
      <c r="Y1321" s="191" t="inlineStr">
        <is>
          <t>UNLIKELY</t>
        </is>
      </c>
      <c r="Z1321" s="191" t="inlineStr">
        <is>
          <t>CHECK_VENDOR</t>
        </is>
      </c>
      <c r="AA1321" s="192" t="inlineStr">
        <is>
          <t>https://nvd.nist.gov/vuln/detail/CVE-2026-27514</t>
        </is>
      </c>
      <c r="AB1321" s="191" t="inlineStr">
        <is>
          <t>NONE</t>
        </is>
      </c>
      <c r="AC1321" s="191" t="n">
        <v>0</v>
      </c>
      <c r="AD1321" s="191" t="n"/>
    </row>
    <row r="1322">
      <c r="A1322" s="191" t="inlineStr">
        <is>
          <t>CVE</t>
        </is>
      </c>
      <c r="B1322" s="191" t="inlineStr">
        <is>
          <t>CVE-2026-2698</t>
        </is>
      </c>
      <c r="C1322" s="191" t="inlineStr">
        <is>
          <t>An improper access control vulnerability exists where an authenticated user could access areas outside of their authorized scope.</t>
        </is>
      </c>
      <c r="D1322" s="191" t="n">
        <v>6.5</v>
      </c>
      <c r="E1322" s="191" t="inlineStr">
        <is>
          <t>MEDIUM</t>
        </is>
      </c>
      <c r="F1322" s="191" t="n">
        <v>2</v>
      </c>
      <c r="G1322" s="191" t="n">
        <v>2</v>
      </c>
      <c r="H1322" s="191" t="inlineStr">
        <is>
          <t>MEDIUM</t>
        </is>
      </c>
      <c r="I1322" s="191" t="n">
        <v>10.5</v>
      </c>
      <c r="J1322" s="191" t="inlineStr">
        <is>
          <t>NO</t>
        </is>
      </c>
      <c r="K1322" s="192" t="inlineStr">
        <is>
          <t>https://nvd.nist.gov/vuln/detail/CVE-2026-2698</t>
        </is>
      </c>
      <c r="L1322" s="191" t="inlineStr">
        <is>
          <t>2026-02-23 23:48</t>
        </is>
      </c>
      <c r="M1322" s="191" t="inlineStr">
        <is>
          <t>CHECK_VENDOR</t>
        </is>
      </c>
      <c r="N1322" s="191" t="inlineStr">
        <is>
          <t>See NVD references</t>
        </is>
      </c>
      <c r="O1322" s="191" t="inlineStr">
        <is>
          <t>Apply vendor patches</t>
        </is>
      </c>
      <c r="P1322" s="191" t="inlineStr">
        <is>
          <t>See CVE details</t>
        </is>
      </c>
      <c r="Q1322" s="191" t="inlineStr">
        <is>
          <t>P4</t>
        </is>
      </c>
      <c r="R1322" s="191" t="inlineStr">
        <is>
          <t>📅 Schedule patch deployment within 30 days | 🔍 Monitor for exploitation attempts</t>
        </is>
      </c>
      <c r="S1322" s="191" t="inlineStr">
        <is>
          <t>CVE - IP enrichment n/a</t>
        </is>
      </c>
      <c r="T1322" s="191" t="n">
        <v>0</v>
      </c>
      <c r="U1322" s="191" t="n">
        <v>0</v>
      </c>
      <c r="V1322" s="191" t="inlineStr">
        <is>
          <t>T1190:Exploit Public-Facing Application</t>
        </is>
      </c>
      <c r="W1322" s="191" t="n">
        <v>1</v>
      </c>
      <c r="X1322" s="191" t="inlineStr">
        <is>
          <t>LOW (40%)</t>
        </is>
      </c>
      <c r="Y1322" s="191" t="inlineStr">
        <is>
          <t>UNLIKELY</t>
        </is>
      </c>
      <c r="Z1322" s="191" t="inlineStr">
        <is>
          <t>CHECK_VENDOR</t>
        </is>
      </c>
      <c r="AA1322" s="192" t="inlineStr">
        <is>
          <t>https://nvd.nist.gov/vuln/detail/CVE-2026-2698</t>
        </is>
      </c>
      <c r="AB1322" s="191" t="inlineStr">
        <is>
          <t>NONE</t>
        </is>
      </c>
      <c r="AC1322" s="191" t="n">
        <v>0</v>
      </c>
      <c r="AD1322" s="191" t="n"/>
    </row>
    <row r="1323">
      <c r="A1323" s="191" t="inlineStr">
        <is>
          <t>CVE</t>
        </is>
      </c>
      <c r="B1323" s="191" t="inlineStr">
        <is>
          <t>CVE-2026-26464</t>
        </is>
      </c>
      <c r="C1323" s="191" t="inlineStr">
        <is>
          <t>Stored Cross-Site Scripting (XSS) was found in the /admin/edit_user.php page of Society Management System Portal V1.0, which allows remote attackers to inject and store arbitrary JavaScript code that is executed in users' browsers. This vulnerability can be exploited via the name parameter in a POST HTTP request, leading to execution of malicious scripts when the affected content is viewed by other users, including administrators.</t>
        </is>
      </c>
      <c r="D1323" s="191" t="n">
        <v>6.1</v>
      </c>
      <c r="E1323" s="191" t="inlineStr">
        <is>
          <t>MEDIUM</t>
        </is>
      </c>
      <c r="F1323" s="191" t="n">
        <v>2</v>
      </c>
      <c r="G1323" s="191" t="n">
        <v>2</v>
      </c>
      <c r="H1323" s="191" t="inlineStr">
        <is>
          <t>MEDIUM</t>
        </is>
      </c>
      <c r="I1323" s="191" t="n">
        <v>10.1</v>
      </c>
      <c r="J1323" s="191" t="inlineStr">
        <is>
          <t>NO</t>
        </is>
      </c>
      <c r="K1323" s="192" t="inlineStr">
        <is>
          <t>https://nvd.nist.gov/vuln/detail/CVE-2026-26464</t>
        </is>
      </c>
      <c r="L1323" s="191" t="inlineStr">
        <is>
          <t>2026-02-23 23:48</t>
        </is>
      </c>
      <c r="M1323" s="191" t="inlineStr">
        <is>
          <t>CHECK_VENDOR</t>
        </is>
      </c>
      <c r="N1323" s="191" t="inlineStr">
        <is>
          <t>See NVD references</t>
        </is>
      </c>
      <c r="O1323" s="191" t="inlineStr">
        <is>
          <t>Apply vendor patches</t>
        </is>
      </c>
      <c r="P1323" s="191" t="inlineStr">
        <is>
          <t>See CVE details</t>
        </is>
      </c>
      <c r="Q1323" s="191" t="inlineStr">
        <is>
          <t>P4</t>
        </is>
      </c>
      <c r="R1323" s="191" t="inlineStr">
        <is>
          <t>📅 Schedule patch deployment within 30 days | 🔍 Monitor for exploitation attempts</t>
        </is>
      </c>
      <c r="S1323" s="191" t="inlineStr">
        <is>
          <t>CVE - IP enrichment n/a</t>
        </is>
      </c>
      <c r="T1323" s="191" t="n">
        <v>0</v>
      </c>
      <c r="U1323" s="191" t="n">
        <v>0</v>
      </c>
      <c r="V1323" s="191" t="inlineStr">
        <is>
          <t>T1189:Drive-by Compromise</t>
        </is>
      </c>
      <c r="W1323" s="191" t="n">
        <v>1</v>
      </c>
      <c r="X1323" s="191" t="inlineStr">
        <is>
          <t>LOW (40%)</t>
        </is>
      </c>
      <c r="Y1323" s="191" t="inlineStr">
        <is>
          <t>UNLIKELY</t>
        </is>
      </c>
      <c r="Z1323" s="191" t="inlineStr">
        <is>
          <t>CHECK_VENDOR</t>
        </is>
      </c>
      <c r="AA1323" s="192" t="inlineStr">
        <is>
          <t>https://nvd.nist.gov/vuln/detail/CVE-2026-26464</t>
        </is>
      </c>
      <c r="AB1323" s="191" t="inlineStr">
        <is>
          <t>NONE</t>
        </is>
      </c>
      <c r="AC1323" s="191" t="n">
        <v>0</v>
      </c>
      <c r="AD1323" s="191" t="n"/>
    </row>
    <row r="1324">
      <c r="A1324" s="191" t="inlineStr">
        <is>
          <t>CVE</t>
        </is>
      </c>
      <c r="B1324" s="191" t="inlineStr">
        <is>
          <t>CVE-2025-61143</t>
        </is>
      </c>
      <c r="C1324" s="191" t="inlineStr">
        <is>
          <t>libtiff up to v4.7.1 was discovered to contain a NULL pointer dereference via the component libtiff/tif_open.c.</t>
        </is>
      </c>
      <c r="D1324" s="191" t="n">
        <v>5</v>
      </c>
      <c r="E1324" s="191" t="inlineStr">
        <is>
          <t>MEDIUM</t>
        </is>
      </c>
      <c r="F1324" s="191" t="n">
        <v>2</v>
      </c>
      <c r="G1324" s="191" t="n">
        <v>2</v>
      </c>
      <c r="H1324" s="191" t="inlineStr">
        <is>
          <t>MEDIUM</t>
        </is>
      </c>
      <c r="I1324" s="191" t="n">
        <v>9</v>
      </c>
      <c r="J1324" s="191" t="inlineStr">
        <is>
          <t>NO</t>
        </is>
      </c>
      <c r="K1324" s="192" t="inlineStr">
        <is>
          <t>https://nvd.nist.gov/vuln/detail/CVE-2025-61143</t>
        </is>
      </c>
      <c r="L1324" s="191" t="inlineStr">
        <is>
          <t>2026-02-23 23:48</t>
        </is>
      </c>
      <c r="M1324" s="191" t="inlineStr">
        <is>
          <t>CHECK_VENDOR</t>
        </is>
      </c>
      <c r="N1324" s="191" t="inlineStr">
        <is>
          <t>See NVD references</t>
        </is>
      </c>
      <c r="O1324" s="191" t="inlineStr">
        <is>
          <t>Apply vendor patches</t>
        </is>
      </c>
      <c r="P1324" s="191" t="inlineStr">
        <is>
          <t>See CVE details</t>
        </is>
      </c>
      <c r="Q1324" s="191" t="inlineStr">
        <is>
          <t>P4</t>
        </is>
      </c>
      <c r="R1324" s="191" t="inlineStr">
        <is>
          <t>📅 Schedule patch deployment within 30 days | 🔍 Monitor for exploitation attempts</t>
        </is>
      </c>
      <c r="S1324" s="191" t="inlineStr">
        <is>
          <t>CVE - IP enrichment n/a</t>
        </is>
      </c>
      <c r="T1324" s="191" t="n">
        <v>0</v>
      </c>
      <c r="U1324" s="191" t="n">
        <v>0</v>
      </c>
      <c r="V1324" s="191" t="inlineStr">
        <is>
          <t>T1190:Exploit Public-Facing Application</t>
        </is>
      </c>
      <c r="W1324" s="191" t="n">
        <v>1</v>
      </c>
      <c r="X1324" s="191" t="inlineStr">
        <is>
          <t>LOW (40%)</t>
        </is>
      </c>
      <c r="Y1324" s="191" t="inlineStr">
        <is>
          <t>UNLIKELY</t>
        </is>
      </c>
      <c r="Z1324" s="191" t="inlineStr">
        <is>
          <t>CHECK_VENDOR</t>
        </is>
      </c>
      <c r="AA1324" s="192" t="inlineStr">
        <is>
          <t>https://nvd.nist.gov/vuln/detail/CVE-2025-61143</t>
        </is>
      </c>
      <c r="AB1324" s="191" t="inlineStr">
        <is>
          <t>NONE</t>
        </is>
      </c>
      <c r="AC1324" s="191" t="n">
        <v>0</v>
      </c>
      <c r="AD1324" s="191" t="n"/>
    </row>
    <row r="1325">
      <c r="A1325" s="191" t="inlineStr">
        <is>
          <t>CVE</t>
        </is>
      </c>
      <c r="B1325" s="191" t="inlineStr">
        <is>
          <t>CVE-2025-61144</t>
        </is>
      </c>
      <c r="C1325" s="191" t="inlineStr">
        <is>
          <t>libtiff up to v4.7.1 was discovered to contain a stack overflow via the readSeparateStripsIntoBuffer function.</t>
        </is>
      </c>
      <c r="D1325" s="191" t="n">
        <v>5</v>
      </c>
      <c r="E1325" s="191" t="inlineStr">
        <is>
          <t>MEDIUM</t>
        </is>
      </c>
      <c r="F1325" s="191" t="n">
        <v>2</v>
      </c>
      <c r="G1325" s="191" t="n">
        <v>2</v>
      </c>
      <c r="H1325" s="191" t="inlineStr">
        <is>
          <t>MEDIUM</t>
        </is>
      </c>
      <c r="I1325" s="191" t="n">
        <v>9</v>
      </c>
      <c r="J1325" s="191" t="inlineStr">
        <is>
          <t>NO</t>
        </is>
      </c>
      <c r="K1325" s="192" t="inlineStr">
        <is>
          <t>https://nvd.nist.gov/vuln/detail/CVE-2025-61144</t>
        </is>
      </c>
      <c r="L1325" s="191" t="inlineStr">
        <is>
          <t>2026-02-23 23:48</t>
        </is>
      </c>
      <c r="M1325" s="191" t="inlineStr">
        <is>
          <t>CHECK_VENDOR</t>
        </is>
      </c>
      <c r="N1325" s="191" t="inlineStr">
        <is>
          <t>See NVD references</t>
        </is>
      </c>
      <c r="O1325" s="191" t="inlineStr">
        <is>
          <t>Apply vendor patches</t>
        </is>
      </c>
      <c r="P1325" s="191" t="inlineStr">
        <is>
          <t>See CVE details</t>
        </is>
      </c>
      <c r="Q1325" s="191" t="inlineStr">
        <is>
          <t>P4</t>
        </is>
      </c>
      <c r="R1325" s="191" t="inlineStr">
        <is>
          <t>📅 Schedule patch deployment within 30 days | 🔍 Monitor for exploitation attempts</t>
        </is>
      </c>
      <c r="S1325" s="191" t="inlineStr">
        <is>
          <t>CVE - IP enrichment n/a</t>
        </is>
      </c>
      <c r="T1325" s="191" t="n">
        <v>0</v>
      </c>
      <c r="U1325" s="191" t="n">
        <v>0</v>
      </c>
      <c r="V1325" s="191" t="inlineStr">
        <is>
          <t>T1190:Exploit Public-Facing Application</t>
        </is>
      </c>
      <c r="W1325" s="191" t="n">
        <v>1</v>
      </c>
      <c r="X1325" s="191" t="inlineStr">
        <is>
          <t>LOW (40%)</t>
        </is>
      </c>
      <c r="Y1325" s="191" t="inlineStr">
        <is>
          <t>UNLIKELY</t>
        </is>
      </c>
      <c r="Z1325" s="191" t="inlineStr">
        <is>
          <t>CHECK_VENDOR</t>
        </is>
      </c>
      <c r="AA1325" s="192" t="inlineStr">
        <is>
          <t>https://nvd.nist.gov/vuln/detail/CVE-2025-61144</t>
        </is>
      </c>
      <c r="AB1325" s="191" t="inlineStr">
        <is>
          <t>NONE</t>
        </is>
      </c>
      <c r="AC1325" s="191" t="n">
        <v>0</v>
      </c>
      <c r="AD1325" s="191" t="n"/>
    </row>
    <row r="1326">
      <c r="A1326" s="191" t="inlineStr">
        <is>
          <t>CVE</t>
        </is>
      </c>
      <c r="B1326" s="191" t="inlineStr">
        <is>
          <t>CVE-2025-61145</t>
        </is>
      </c>
      <c r="C1326" s="191" t="inlineStr">
        <is>
          <t>libtiff up to v4.7.1 was discovered to contain a double free via the component tools/tiffcrop.c.</t>
        </is>
      </c>
      <c r="D1326" s="191" t="n">
        <v>5</v>
      </c>
      <c r="E1326" s="191" t="inlineStr">
        <is>
          <t>MEDIUM</t>
        </is>
      </c>
      <c r="F1326" s="191" t="n">
        <v>2</v>
      </c>
      <c r="G1326" s="191" t="n">
        <v>2</v>
      </c>
      <c r="H1326" s="191" t="inlineStr">
        <is>
          <t>MEDIUM</t>
        </is>
      </c>
      <c r="I1326" s="191" t="n">
        <v>9</v>
      </c>
      <c r="J1326" s="191" t="inlineStr">
        <is>
          <t>NO</t>
        </is>
      </c>
      <c r="K1326" s="192" t="inlineStr">
        <is>
          <t>https://nvd.nist.gov/vuln/detail/CVE-2025-61145</t>
        </is>
      </c>
      <c r="L1326" s="191" t="inlineStr">
        <is>
          <t>2026-02-23 23:48</t>
        </is>
      </c>
      <c r="M1326" s="191" t="inlineStr">
        <is>
          <t>CHECK_VENDOR</t>
        </is>
      </c>
      <c r="N1326" s="191" t="inlineStr">
        <is>
          <t>See NVD references</t>
        </is>
      </c>
      <c r="O1326" s="191" t="inlineStr">
        <is>
          <t>Apply vendor patches</t>
        </is>
      </c>
      <c r="P1326" s="191" t="inlineStr">
        <is>
          <t>See CVE details</t>
        </is>
      </c>
      <c r="Q1326" s="191" t="inlineStr">
        <is>
          <t>P4</t>
        </is>
      </c>
      <c r="R1326" s="191" t="inlineStr">
        <is>
          <t>📅 Schedule patch deployment within 30 days | 🔍 Monitor for exploitation attempts</t>
        </is>
      </c>
      <c r="S1326" s="191" t="inlineStr">
        <is>
          <t>CVE - IP enrichment n/a</t>
        </is>
      </c>
      <c r="T1326" s="191" t="n">
        <v>0</v>
      </c>
      <c r="U1326" s="191" t="n">
        <v>0</v>
      </c>
      <c r="V1326" s="191" t="inlineStr">
        <is>
          <t>T1190:Exploit Public-Facing Application</t>
        </is>
      </c>
      <c r="W1326" s="191" t="n">
        <v>1</v>
      </c>
      <c r="X1326" s="191" t="inlineStr">
        <is>
          <t>LOW (40%)</t>
        </is>
      </c>
      <c r="Y1326" s="191" t="inlineStr">
        <is>
          <t>UNLIKELY</t>
        </is>
      </c>
      <c r="Z1326" s="191" t="inlineStr">
        <is>
          <t>CHECK_VENDOR</t>
        </is>
      </c>
      <c r="AA1326" s="192" t="inlineStr">
        <is>
          <t>https://nvd.nist.gov/vuln/detail/CVE-2025-61145</t>
        </is>
      </c>
      <c r="AB1326" s="191" t="inlineStr">
        <is>
          <t>NONE</t>
        </is>
      </c>
      <c r="AC1326" s="191" t="n">
        <v>0</v>
      </c>
      <c r="AD1326" s="191" t="n"/>
    </row>
    <row r="1327">
      <c r="A1327" s="191" t="inlineStr">
        <is>
          <t>CVE</t>
        </is>
      </c>
      <c r="B1327" s="191" t="inlineStr">
        <is>
          <t>CVE-2025-61146</t>
        </is>
      </c>
      <c r="C1327" s="191" t="inlineStr">
        <is>
          <t>saitoha libsixel until v1.8.7 was discovered to contain a memory leak via the component malloc_stub.c.</t>
        </is>
      </c>
      <c r="D1327" s="191" t="n">
        <v>4</v>
      </c>
      <c r="E1327" s="191" t="inlineStr">
        <is>
          <t>MEDIUM</t>
        </is>
      </c>
      <c r="F1327" s="191" t="n">
        <v>2</v>
      </c>
      <c r="G1327" s="191" t="n">
        <v>2</v>
      </c>
      <c r="H1327" s="191" t="inlineStr">
        <is>
          <t>MEDIUM</t>
        </is>
      </c>
      <c r="I1327" s="191" t="n">
        <v>8</v>
      </c>
      <c r="J1327" s="191" t="inlineStr">
        <is>
          <t>NO</t>
        </is>
      </c>
      <c r="K1327" s="192" t="inlineStr">
        <is>
          <t>https://nvd.nist.gov/vuln/detail/CVE-2025-61146</t>
        </is>
      </c>
      <c r="L1327" s="191" t="inlineStr">
        <is>
          <t>2026-02-23 23:48</t>
        </is>
      </c>
      <c r="M1327" s="191" t="inlineStr">
        <is>
          <t>CHECK_VENDOR</t>
        </is>
      </c>
      <c r="N1327" s="191" t="inlineStr">
        <is>
          <t>See NVD references</t>
        </is>
      </c>
      <c r="O1327" s="191" t="inlineStr">
        <is>
          <t>Apply vendor patches</t>
        </is>
      </c>
      <c r="P1327" s="191" t="inlineStr">
        <is>
          <t>See CVE details</t>
        </is>
      </c>
      <c r="Q1327" s="191" t="inlineStr">
        <is>
          <t>P4</t>
        </is>
      </c>
      <c r="R1327" s="191" t="inlineStr">
        <is>
          <t>📅 Schedule patch deployment within 30 days | 🔍 Monitor for exploitation attempts</t>
        </is>
      </c>
      <c r="S1327" s="191" t="inlineStr">
        <is>
          <t>CVE - IP enrichment n/a</t>
        </is>
      </c>
      <c r="T1327" s="191" t="n">
        <v>0</v>
      </c>
      <c r="U1327" s="191" t="n">
        <v>0</v>
      </c>
      <c r="V1327" s="191" t="inlineStr">
        <is>
          <t>T1190:Exploit Public-Facing Application</t>
        </is>
      </c>
      <c r="W1327" s="191" t="n">
        <v>1</v>
      </c>
      <c r="X1327" s="191" t="inlineStr">
        <is>
          <t>LOW (40%)</t>
        </is>
      </c>
      <c r="Y1327" s="191" t="inlineStr">
        <is>
          <t>UNLIKELY</t>
        </is>
      </c>
      <c r="Z1327" s="191" t="inlineStr">
        <is>
          <t>CHECK_VENDOR</t>
        </is>
      </c>
      <c r="AA1327" s="192" t="inlineStr">
        <is>
          <t>https://nvd.nist.gov/vuln/detail/CVE-2025-61146</t>
        </is>
      </c>
      <c r="AB1327" s="191" t="inlineStr">
        <is>
          <t>NONE</t>
        </is>
      </c>
      <c r="AC1327" s="191" t="n">
        <v>0</v>
      </c>
      <c r="AD1327" s="191" t="n"/>
    </row>
    <row r="1328">
      <c r="A1328" s="191" t="inlineStr">
        <is>
          <t>CVE</t>
        </is>
      </c>
      <c r="B1328" s="191" t="inlineStr">
        <is>
          <t>CVE-2025-61147</t>
        </is>
      </c>
      <c r="C1328" s="191" t="inlineStr">
        <is>
          <t>strukturag libde265 commit d9fea9d wa discovered to contain a segmentation fault via the component decoder_context::compute_framedrop_table().</t>
        </is>
      </c>
      <c r="D1328" s="191" t="n">
        <v>6.2</v>
      </c>
      <c r="E1328" s="191" t="inlineStr">
        <is>
          <t>MEDIUM</t>
        </is>
      </c>
      <c r="F1328" s="191" t="n">
        <v>2</v>
      </c>
      <c r="G1328" s="191" t="n">
        <v>2</v>
      </c>
      <c r="H1328" s="191" t="inlineStr">
        <is>
          <t>MEDIUM</t>
        </is>
      </c>
      <c r="I1328" s="191" t="n">
        <v>10.2</v>
      </c>
      <c r="J1328" s="191" t="inlineStr">
        <is>
          <t>NO</t>
        </is>
      </c>
      <c r="K1328" s="192" t="inlineStr">
        <is>
          <t>https://nvd.nist.gov/vuln/detail/CVE-2025-61147</t>
        </is>
      </c>
      <c r="L1328" s="191" t="inlineStr">
        <is>
          <t>2026-02-23 23:48</t>
        </is>
      </c>
      <c r="M1328" s="191" t="inlineStr">
        <is>
          <t>CHECK_VENDOR</t>
        </is>
      </c>
      <c r="N1328" s="191" t="inlineStr">
        <is>
          <t>See NVD references</t>
        </is>
      </c>
      <c r="O1328" s="191" t="inlineStr">
        <is>
          <t>Apply vendor patches</t>
        </is>
      </c>
      <c r="P1328" s="191" t="inlineStr">
        <is>
          <t>See CVE details</t>
        </is>
      </c>
      <c r="Q1328" s="191" t="inlineStr">
        <is>
          <t>P4</t>
        </is>
      </c>
      <c r="R1328" s="191" t="inlineStr">
        <is>
          <t>📅 Schedule patch deployment within 30 days | 🔍 Monitor for exploitation attempts</t>
        </is>
      </c>
      <c r="S1328" s="191" t="inlineStr">
        <is>
          <t>CVE - IP enrichment n/a</t>
        </is>
      </c>
      <c r="T1328" s="191" t="n">
        <v>0</v>
      </c>
      <c r="U1328" s="191" t="n">
        <v>0</v>
      </c>
      <c r="V1328" s="191" t="inlineStr">
        <is>
          <t>T1203:Exploitation for Client Execution</t>
        </is>
      </c>
      <c r="W1328" s="191" t="n">
        <v>1</v>
      </c>
      <c r="X1328" s="191" t="inlineStr">
        <is>
          <t>LOW (40%)</t>
        </is>
      </c>
      <c r="Y1328" s="191" t="inlineStr">
        <is>
          <t>UNLIKELY</t>
        </is>
      </c>
      <c r="Z1328" s="191" t="inlineStr">
        <is>
          <t>CHECK_VENDOR</t>
        </is>
      </c>
      <c r="AA1328" s="192" t="inlineStr">
        <is>
          <t>https://nvd.nist.gov/vuln/detail/CVE-2025-61147</t>
        </is>
      </c>
      <c r="AB1328" s="191" t="inlineStr">
        <is>
          <t>NONE</t>
        </is>
      </c>
      <c r="AC1328" s="191" t="n">
        <v>0</v>
      </c>
      <c r="AD1328" s="191" t="n"/>
    </row>
    <row r="1329">
      <c r="A1329" s="189" t="inlineStr">
        <is>
          <t>CVE</t>
        </is>
      </c>
      <c r="B1329" s="189" t="inlineStr">
        <is>
          <t>CVE-2025-63945</t>
        </is>
      </c>
      <c r="C1329" s="189" t="inlineStr">
        <is>
          <t>A privilege escalation (PE) vulnerability in the Tencent iOA app thru 210.9.28693.621001 on Windows devices enables a local user to execute programs with elevated privileges. However, execution requires that the local user is able to successfully exploit a race condition.</t>
        </is>
      </c>
      <c r="D1329" s="189" t="n">
        <v>7.4</v>
      </c>
      <c r="E1329" s="189" t="inlineStr">
        <is>
          <t>HIGH</t>
        </is>
      </c>
      <c r="F1329" s="189" t="n">
        <v>2</v>
      </c>
      <c r="G1329" s="189" t="n">
        <v>3</v>
      </c>
      <c r="H1329" s="189" t="inlineStr">
        <is>
          <t>HIGH</t>
        </is>
      </c>
      <c r="I1329" s="189" t="n">
        <v>13.4</v>
      </c>
      <c r="J1329" s="189" t="inlineStr">
        <is>
          <t>NO</t>
        </is>
      </c>
      <c r="K1329" s="190" t="inlineStr">
        <is>
          <t>https://nvd.nist.gov/vuln/detail/CVE-2025-63945</t>
        </is>
      </c>
      <c r="L1329" s="189" t="inlineStr">
        <is>
          <t>2026-02-23 23:48</t>
        </is>
      </c>
      <c r="M1329" s="189" t="inlineStr">
        <is>
          <t>CHECK_VENDOR</t>
        </is>
      </c>
      <c r="N1329" s="189" t="inlineStr">
        <is>
          <t>See NVD references</t>
        </is>
      </c>
      <c r="O1329" s="189" t="inlineStr">
        <is>
          <t>Apply vendor patches</t>
        </is>
      </c>
      <c r="P1329" s="189" t="inlineStr">
        <is>
          <t>See CVE details</t>
        </is>
      </c>
      <c r="Q1329" s="189" t="inlineStr">
        <is>
          <t>P3</t>
        </is>
      </c>
      <c r="R1329" s="189" t="inlineStr">
        <is>
          <t>🚨 URGENT: Apply vendor patches immediately | 🔒 Isolate affected systems if patch unavailable | 🛡️ Enable additional monitoring/IDS rules</t>
        </is>
      </c>
      <c r="S1329" s="189" t="inlineStr">
        <is>
          <t>CVE - IP enrichment n/a</t>
        </is>
      </c>
      <c r="T1329" s="189" t="n">
        <v>0</v>
      </c>
      <c r="U1329" s="189" t="n">
        <v>0</v>
      </c>
      <c r="V1329" s="189" t="inlineStr">
        <is>
          <t>T1068:Exploitation for Privilege Escalation</t>
        </is>
      </c>
      <c r="W1329" s="189" t="n">
        <v>1</v>
      </c>
      <c r="X1329" s="189" t="inlineStr">
        <is>
          <t>LOW (40%)</t>
        </is>
      </c>
      <c r="Y1329" s="189" t="inlineStr">
        <is>
          <t>UNLIKELY</t>
        </is>
      </c>
      <c r="Z1329" s="189" t="inlineStr">
        <is>
          <t>CHECK_VENDOR</t>
        </is>
      </c>
      <c r="AA1329" s="190" t="inlineStr">
        <is>
          <t>https://nvd.nist.gov/vuln/detail/CVE-2025-63945</t>
        </is>
      </c>
      <c r="AB1329" s="189" t="inlineStr">
        <is>
          <t>NONE</t>
        </is>
      </c>
      <c r="AC1329" s="189" t="n">
        <v>0</v>
      </c>
      <c r="AD1329" s="189" t="n"/>
    </row>
    <row r="1330">
      <c r="A1330" s="189" t="inlineStr">
        <is>
          <t>CVE</t>
        </is>
      </c>
      <c r="B1330" s="189" t="inlineStr">
        <is>
          <t>CVE-2025-63946</t>
        </is>
      </c>
      <c r="C1330" s="189" t="inlineStr">
        <is>
          <t>A privilege escalation (PE) vulnerability in the Tencent PC Manager app thru 17.10.28554.205 on Windows devices enables a local user to execute programs with elevated privileges. However, execution requires that the local user is able to successfully exploit a race condition.</t>
        </is>
      </c>
      <c r="D1330" s="189" t="n">
        <v>7.4</v>
      </c>
      <c r="E1330" s="189" t="inlineStr">
        <is>
          <t>HIGH</t>
        </is>
      </c>
      <c r="F1330" s="189" t="n">
        <v>2</v>
      </c>
      <c r="G1330" s="189" t="n">
        <v>3</v>
      </c>
      <c r="H1330" s="189" t="inlineStr">
        <is>
          <t>HIGH</t>
        </is>
      </c>
      <c r="I1330" s="189" t="n">
        <v>13.4</v>
      </c>
      <c r="J1330" s="189" t="inlineStr">
        <is>
          <t>NO</t>
        </is>
      </c>
      <c r="K1330" s="190" t="inlineStr">
        <is>
          <t>https://nvd.nist.gov/vuln/detail/CVE-2025-63946</t>
        </is>
      </c>
      <c r="L1330" s="189" t="inlineStr">
        <is>
          <t>2026-02-23 23:48</t>
        </is>
      </c>
      <c r="M1330" s="189" t="inlineStr">
        <is>
          <t>CHECK_VENDOR</t>
        </is>
      </c>
      <c r="N1330" s="189" t="inlineStr">
        <is>
          <t>See NVD references</t>
        </is>
      </c>
      <c r="O1330" s="189" t="inlineStr">
        <is>
          <t>Apply vendor patches</t>
        </is>
      </c>
      <c r="P1330" s="189" t="inlineStr">
        <is>
          <t>See CVE details</t>
        </is>
      </c>
      <c r="Q1330" s="189" t="inlineStr">
        <is>
          <t>P3</t>
        </is>
      </c>
      <c r="R1330" s="189" t="inlineStr">
        <is>
          <t>🚨 URGENT: Apply vendor patches immediately | 🔒 Isolate affected systems if patch unavailable | 🛡️ Enable additional monitoring/IDS rules</t>
        </is>
      </c>
      <c r="S1330" s="189" t="inlineStr">
        <is>
          <t>CVE - IP enrichment n/a</t>
        </is>
      </c>
      <c r="T1330" s="189" t="n">
        <v>0</v>
      </c>
      <c r="U1330" s="189" t="n">
        <v>0</v>
      </c>
      <c r="V1330" s="189" t="inlineStr">
        <is>
          <t>T1068:Exploitation for Privilege Escalation</t>
        </is>
      </c>
      <c r="W1330" s="189" t="n">
        <v>1</v>
      </c>
      <c r="X1330" s="189" t="inlineStr">
        <is>
          <t>LOW (40%)</t>
        </is>
      </c>
      <c r="Y1330" s="189" t="inlineStr">
        <is>
          <t>UNLIKELY</t>
        </is>
      </c>
      <c r="Z1330" s="189" t="inlineStr">
        <is>
          <t>CHECK_VENDOR</t>
        </is>
      </c>
      <c r="AA1330" s="190" t="inlineStr">
        <is>
          <t>https://nvd.nist.gov/vuln/detail/CVE-2025-63946</t>
        </is>
      </c>
      <c r="AB1330" s="189" t="inlineStr">
        <is>
          <t>NONE</t>
        </is>
      </c>
      <c r="AC1330" s="189" t="n">
        <v>0</v>
      </c>
      <c r="AD1330" s="189" t="n"/>
    </row>
    <row r="1331">
      <c r="A1331" s="189" t="inlineStr">
        <is>
          <t>CVE</t>
        </is>
      </c>
      <c r="B1331" s="189" t="inlineStr">
        <is>
          <t>CVE-2025-67733</t>
        </is>
      </c>
      <c r="C1331" s="189" t="inlineStr">
        <is>
          <t>Valkey is a distributed key-value database. Prior to versions 9.0.2, 8.1.6, 8.0.7, and 7.2.12, a malicious user can use scripting commands to inject arbitrary information into the response stream for the given client, potentially corrupting or returning tampered data to other users on the same connection. The error handling code for lua scripts does not properly handle null characters. Versions 9.0.2, 8.1.6, 8.0.7, and 7.2.12 fix the issue.</t>
        </is>
      </c>
      <c r="D1331" s="189" t="n">
        <v>8.5</v>
      </c>
      <c r="E1331" s="189" t="inlineStr">
        <is>
          <t>HIGH</t>
        </is>
      </c>
      <c r="F1331" s="189" t="n">
        <v>2</v>
      </c>
      <c r="G1331" s="189" t="n">
        <v>3</v>
      </c>
      <c r="H1331" s="189" t="inlineStr">
        <is>
          <t>HIGH</t>
        </is>
      </c>
      <c r="I1331" s="189" t="n">
        <v>14.5</v>
      </c>
      <c r="J1331" s="189" t="inlineStr">
        <is>
          <t>NO</t>
        </is>
      </c>
      <c r="K1331" s="190" t="inlineStr">
        <is>
          <t>https://nvd.nist.gov/vuln/detail/CVE-2025-67733</t>
        </is>
      </c>
      <c r="L1331" s="189" t="inlineStr">
        <is>
          <t>2026-02-23 23:48</t>
        </is>
      </c>
      <c r="M1331" s="189" t="inlineStr">
        <is>
          <t>CHECK_VENDOR</t>
        </is>
      </c>
      <c r="N1331" s="189" t="inlineStr">
        <is>
          <t>See NVD references</t>
        </is>
      </c>
      <c r="O1331" s="189" t="inlineStr">
        <is>
          <t>Apply vendor patches</t>
        </is>
      </c>
      <c r="P1331" s="189" t="inlineStr">
        <is>
          <t>See CVE details</t>
        </is>
      </c>
      <c r="Q1331" s="189" t="inlineStr">
        <is>
          <t>P3</t>
        </is>
      </c>
      <c r="R1331" s="189" t="inlineStr">
        <is>
          <t>🚨 URGENT: Apply vendor patches immediately | 🔒 Isolate affected systems if patch unavailable | 🛡️ Enable additional monitoring/IDS rules</t>
        </is>
      </c>
      <c r="S1331" s="189" t="inlineStr">
        <is>
          <t>CVE - IP enrichment n/a</t>
        </is>
      </c>
      <c r="T1331" s="189" t="n">
        <v>0</v>
      </c>
      <c r="U1331" s="189" t="n">
        <v>0</v>
      </c>
      <c r="V1331" s="189" t="inlineStr">
        <is>
          <t>T1190:Exploit Public-Facing Application</t>
        </is>
      </c>
      <c r="W1331" s="189" t="n">
        <v>1</v>
      </c>
      <c r="X1331" s="189" t="inlineStr">
        <is>
          <t>LOW (40%)</t>
        </is>
      </c>
      <c r="Y1331" s="189" t="inlineStr">
        <is>
          <t>UNLIKELY</t>
        </is>
      </c>
      <c r="Z1331" s="189" t="inlineStr">
        <is>
          <t>CHECK_VENDOR</t>
        </is>
      </c>
      <c r="AA1331" s="190" t="inlineStr">
        <is>
          <t>https://nvd.nist.gov/vuln/detail/CVE-2025-67733</t>
        </is>
      </c>
      <c r="AB1331" s="189" t="inlineStr">
        <is>
          <t>NONE</t>
        </is>
      </c>
      <c r="AC1331" s="189" t="n">
        <v>0</v>
      </c>
      <c r="AD1331" s="189" t="n"/>
    </row>
    <row r="1332">
      <c r="A1332" s="189" t="inlineStr">
        <is>
          <t>CVE</t>
        </is>
      </c>
      <c r="B1332" s="189" t="inlineStr">
        <is>
          <t>CVE-2025-70329</t>
        </is>
      </c>
      <c r="C1332" s="189" t="inlineStr">
        <is>
          <t>TOTOLink X5000R v9.1.0cu_2415_B20250515 contains an OS command injection vulnerability in the setIptvCfg handler of the /usr/sbin/lighttpd executable. The vlanVidLan1 (and other vlanVidLanX) parameters are retrieved via Uci_Get_Str and passed to the CsteSystem function without adequate validation or filtering. This allows an authenticated attacker to execute arbitrary shell commands with root privileges by injecting shell metacharacters into the affected parameters.</t>
        </is>
      </c>
      <c r="D1332" s="189" t="n">
        <v>8</v>
      </c>
      <c r="E1332" s="189" t="inlineStr">
        <is>
          <t>HIGH</t>
        </is>
      </c>
      <c r="F1332" s="189" t="n">
        <v>2</v>
      </c>
      <c r="G1332" s="189" t="n">
        <v>3</v>
      </c>
      <c r="H1332" s="189" t="inlineStr">
        <is>
          <t>HIGH</t>
        </is>
      </c>
      <c r="I1332" s="189" t="n">
        <v>14</v>
      </c>
      <c r="J1332" s="189" t="inlineStr">
        <is>
          <t>NO</t>
        </is>
      </c>
      <c r="K1332" s="190" t="inlineStr">
        <is>
          <t>https://nvd.nist.gov/vuln/detail/CVE-2025-70329</t>
        </is>
      </c>
      <c r="L1332" s="189" t="inlineStr">
        <is>
          <t>2026-02-23 23:48</t>
        </is>
      </c>
      <c r="M1332" s="189" t="inlineStr">
        <is>
          <t>CHECK_VENDOR</t>
        </is>
      </c>
      <c r="N1332" s="189" t="inlineStr">
        <is>
          <t>See NVD references</t>
        </is>
      </c>
      <c r="O1332" s="189" t="inlineStr">
        <is>
          <t>Apply vendor patches</t>
        </is>
      </c>
      <c r="P1332" s="189" t="inlineStr">
        <is>
          <t>See CVE details</t>
        </is>
      </c>
      <c r="Q1332" s="189" t="inlineStr">
        <is>
          <t>P3</t>
        </is>
      </c>
      <c r="R1332" s="189" t="inlineStr">
        <is>
          <t>🚨 URGENT: Apply vendor patches immediately | 🔒 Isolate affected systems if patch unavailable | 🛡️ Enable additional monitoring/IDS rules</t>
        </is>
      </c>
      <c r="S1332" s="189" t="inlineStr">
        <is>
          <t>CVE - IP enrichment n/a</t>
        </is>
      </c>
      <c r="T1332" s="189" t="n">
        <v>0</v>
      </c>
      <c r="U1332" s="189" t="n">
        <v>0</v>
      </c>
      <c r="V1332" s="189" t="inlineStr">
        <is>
          <t>T1059:Command and Scripting Interpreter</t>
        </is>
      </c>
      <c r="W1332" s="189" t="n">
        <v>1</v>
      </c>
      <c r="X1332" s="189" t="inlineStr">
        <is>
          <t>LOW (40%)</t>
        </is>
      </c>
      <c r="Y1332" s="189" t="inlineStr">
        <is>
          <t>UNLIKELY</t>
        </is>
      </c>
      <c r="Z1332" s="189" t="inlineStr">
        <is>
          <t>CHECK_VENDOR</t>
        </is>
      </c>
      <c r="AA1332" s="190" t="inlineStr">
        <is>
          <t>https://nvd.nist.gov/vuln/detail/CVE-2025-70329</t>
        </is>
      </c>
      <c r="AB1332" s="189" t="inlineStr">
        <is>
          <t>NONE</t>
        </is>
      </c>
      <c r="AC1332" s="189" t="n">
        <v>0</v>
      </c>
      <c r="AD1332" s="189" t="n"/>
    </row>
    <row r="1333">
      <c r="A1333" s="189" t="inlineStr">
        <is>
          <t>CVE</t>
        </is>
      </c>
      <c r="B1333" s="189" t="inlineStr">
        <is>
          <t>CVE-2026-21863</t>
        </is>
      </c>
      <c r="C1333" s="189" t="inlineStr">
        <is>
          <t>Valkey is a distributed key-value database. Prior to versions 9.0.2, 8.1.6, 8.0.7, and 7.2.12, a malicious actor with access to the Valkey clusterbus port can send an invalid packet that may cause an out bound read, which might result in the system crashing. The Valkey clusterbus packet processing code does not validate that a clusterbus ping extension packet is located within buffer of the clusterbus packet before attempting to read it. Versions 9.0.2, 8.1.6, 8.0.7, and 7.2.12 fix the issue. As</t>
        </is>
      </c>
      <c r="D1333" s="189" t="n">
        <v>7.5</v>
      </c>
      <c r="E1333" s="189" t="inlineStr">
        <is>
          <t>HIGH</t>
        </is>
      </c>
      <c r="F1333" s="189" t="n">
        <v>2</v>
      </c>
      <c r="G1333" s="189" t="n">
        <v>3</v>
      </c>
      <c r="H1333" s="189" t="inlineStr">
        <is>
          <t>HIGH</t>
        </is>
      </c>
      <c r="I1333" s="189" t="n">
        <v>13.5</v>
      </c>
      <c r="J1333" s="189" t="inlineStr">
        <is>
          <t>NO</t>
        </is>
      </c>
      <c r="K1333" s="190" t="inlineStr">
        <is>
          <t>https://nvd.nist.gov/vuln/detail/CVE-2026-21863</t>
        </is>
      </c>
      <c r="L1333" s="189" t="inlineStr">
        <is>
          <t>2026-02-23 23:48</t>
        </is>
      </c>
      <c r="M1333" s="189" t="inlineStr">
        <is>
          <t>CHECK_VENDOR</t>
        </is>
      </c>
      <c r="N1333" s="189" t="inlineStr">
        <is>
          <t>See NVD references</t>
        </is>
      </c>
      <c r="O1333" s="189" t="inlineStr">
        <is>
          <t>Apply vendor patches</t>
        </is>
      </c>
      <c r="P1333" s="189" t="inlineStr">
        <is>
          <t>See CVE details</t>
        </is>
      </c>
      <c r="Q1333" s="189" t="inlineStr">
        <is>
          <t>P3</t>
        </is>
      </c>
      <c r="R1333" s="189" t="inlineStr">
        <is>
          <t>🚨 URGENT: Apply vendor patches immediately | 🔒 Isolate affected systems if patch unavailable | 🛡️ Enable additional monitoring/IDS rules</t>
        </is>
      </c>
      <c r="S1333" s="189" t="inlineStr">
        <is>
          <t>CVE - IP enrichment n/a</t>
        </is>
      </c>
      <c r="T1333" s="189" t="n">
        <v>0</v>
      </c>
      <c r="U1333" s="189" t="n">
        <v>0</v>
      </c>
      <c r="V1333" s="189" t="inlineStr">
        <is>
          <t>T1203:Exploitation for Client Execution</t>
        </is>
      </c>
      <c r="W1333" s="189" t="n">
        <v>1</v>
      </c>
      <c r="X1333" s="189" t="inlineStr">
        <is>
          <t>LOW (40%)</t>
        </is>
      </c>
      <c r="Y1333" s="189" t="inlineStr">
        <is>
          <t>UNLIKELY</t>
        </is>
      </c>
      <c r="Z1333" s="189" t="inlineStr">
        <is>
          <t>CHECK_VENDOR</t>
        </is>
      </c>
      <c r="AA1333" s="190" t="inlineStr">
        <is>
          <t>https://nvd.nist.gov/vuln/detail/CVE-2026-21863</t>
        </is>
      </c>
      <c r="AB1333" s="189" t="inlineStr">
        <is>
          <t>NONE</t>
        </is>
      </c>
      <c r="AC1333" s="189" t="n">
        <v>0</v>
      </c>
      <c r="AD1333" s="189" t="n"/>
    </row>
    <row r="1334">
      <c r="A1334" s="189" t="inlineStr">
        <is>
          <t>CVE</t>
        </is>
      </c>
      <c r="B1334" s="189" t="inlineStr">
        <is>
          <t>CVE-2026-27623</t>
        </is>
      </c>
      <c r="C1334" s="189" t="inlineStr">
        <is>
          <t>Valkey is a distributed key-value database. Starting in version 9.0.0 and prior to version 9.0.3, a malicious actor with network access to Valkey can cause the system to abort by triggering an assertion. When processing incoming requests, the Valkey system does not properly reset the networking state after processing an empty request. A malicious actor can then send a request that the server incorrectly identifies as breaking server side invariants, which results in the server shutting down. Ver</t>
        </is>
      </c>
      <c r="D1334" s="189" t="n">
        <v>7.5</v>
      </c>
      <c r="E1334" s="189" t="inlineStr">
        <is>
          <t>HIGH</t>
        </is>
      </c>
      <c r="F1334" s="189" t="n">
        <v>2</v>
      </c>
      <c r="G1334" s="189" t="n">
        <v>3</v>
      </c>
      <c r="H1334" s="189" t="inlineStr">
        <is>
          <t>HIGH</t>
        </is>
      </c>
      <c r="I1334" s="189" t="n">
        <v>13.5</v>
      </c>
      <c r="J1334" s="189" t="inlineStr">
        <is>
          <t>NO</t>
        </is>
      </c>
      <c r="K1334" s="190" t="inlineStr">
        <is>
          <t>https://nvd.nist.gov/vuln/detail/CVE-2026-27623</t>
        </is>
      </c>
      <c r="L1334" s="189" t="inlineStr">
        <is>
          <t>2026-02-23 23:48</t>
        </is>
      </c>
      <c r="M1334" s="189" t="inlineStr">
        <is>
          <t>CHECK_VENDOR</t>
        </is>
      </c>
      <c r="N1334" s="189" t="inlineStr">
        <is>
          <t>See NVD references</t>
        </is>
      </c>
      <c r="O1334" s="189" t="inlineStr">
        <is>
          <t>Apply vendor patches</t>
        </is>
      </c>
      <c r="P1334" s="189" t="inlineStr">
        <is>
          <t>See CVE details</t>
        </is>
      </c>
      <c r="Q1334" s="189" t="inlineStr">
        <is>
          <t>P3</t>
        </is>
      </c>
      <c r="R1334" s="189" t="inlineStr">
        <is>
          <t>🚨 URGENT: Apply vendor patches immediately | 🔒 Isolate affected systems if patch unavailable | 🛡️ Enable additional monitoring/IDS rules</t>
        </is>
      </c>
      <c r="S1334" s="189" t="inlineStr">
        <is>
          <t>CVE - IP enrichment n/a</t>
        </is>
      </c>
      <c r="T1334" s="189" t="n">
        <v>0</v>
      </c>
      <c r="U1334" s="189" t="n">
        <v>0</v>
      </c>
      <c r="V1334" s="189" t="inlineStr">
        <is>
          <t>T1190:Exploit Public-Facing Application</t>
        </is>
      </c>
      <c r="W1334" s="189" t="n">
        <v>1</v>
      </c>
      <c r="X1334" s="189" t="inlineStr">
        <is>
          <t>LOW (40%)</t>
        </is>
      </c>
      <c r="Y1334" s="189" t="inlineStr">
        <is>
          <t>UNLIKELY</t>
        </is>
      </c>
      <c r="Z1334" s="189" t="inlineStr">
        <is>
          <t>CHECK_VENDOR</t>
        </is>
      </c>
      <c r="AA1334" s="190" t="inlineStr">
        <is>
          <t>https://nvd.nist.gov/vuln/detail/CVE-2026-27623</t>
        </is>
      </c>
      <c r="AB1334" s="189" t="inlineStr">
        <is>
          <t>NONE</t>
        </is>
      </c>
      <c r="AC1334" s="189" t="n">
        <v>0</v>
      </c>
      <c r="AD1334" s="189" t="n"/>
    </row>
    <row r="1335">
      <c r="A1335" s="189" t="inlineStr">
        <is>
          <t>CVE</t>
        </is>
      </c>
      <c r="B1335" s="189" t="inlineStr">
        <is>
          <t>CVE-2025-68930</t>
        </is>
      </c>
      <c r="C1335" s="189" t="inlineStr">
        <is>
          <t>Versions of the Traccar open-source GPS tracking system up to and including 6.11.1 contain a Cross-Site WebSocket Hijacking (CSWSH) vulnerability in the `/api/socket` endpoint. The application fails to validate the `Origin` header during the WebSocket handshake. This allows a remote attacker to bypass the Same Origin Policy (SOP) and establish a full-duplex WebSocket connection using a legitimate user's credentials (JSESSIONID). As of time of publication, it is unclear whether a fix is available</t>
        </is>
      </c>
      <c r="D1335" s="189" t="n">
        <v>7.1</v>
      </c>
      <c r="E1335" s="189" t="inlineStr">
        <is>
          <t>HIGH</t>
        </is>
      </c>
      <c r="F1335" s="189" t="n">
        <v>2</v>
      </c>
      <c r="G1335" s="189" t="n">
        <v>3</v>
      </c>
      <c r="H1335" s="189" t="inlineStr">
        <is>
          <t>HIGH</t>
        </is>
      </c>
      <c r="I1335" s="189" t="n">
        <v>13.1</v>
      </c>
      <c r="J1335" s="189" t="inlineStr">
        <is>
          <t>NO</t>
        </is>
      </c>
      <c r="K1335" s="190" t="inlineStr">
        <is>
          <t>https://nvd.nist.gov/vuln/detail/CVE-2025-68930</t>
        </is>
      </c>
      <c r="L1335" s="189" t="inlineStr">
        <is>
          <t>2026-02-23 23:48</t>
        </is>
      </c>
      <c r="M1335" s="189" t="inlineStr">
        <is>
          <t>CHECK_VENDOR</t>
        </is>
      </c>
      <c r="N1335" s="189" t="inlineStr">
        <is>
          <t>See NVD references</t>
        </is>
      </c>
      <c r="O1335" s="189" t="inlineStr">
        <is>
          <t>Apply vendor patches</t>
        </is>
      </c>
      <c r="P1335" s="189" t="inlineStr">
        <is>
          <t>See CVE details</t>
        </is>
      </c>
      <c r="Q1335" s="189" t="inlineStr">
        <is>
          <t>P3</t>
        </is>
      </c>
      <c r="R1335" s="189" t="inlineStr">
        <is>
          <t>🚨 URGENT: Apply vendor patches immediately | 🔒 Isolate affected systems if patch unavailable | 🛡️ Enable additional monitoring/IDS rules</t>
        </is>
      </c>
      <c r="S1335" s="189" t="inlineStr">
        <is>
          <t>CVE - IP enrichment n/a</t>
        </is>
      </c>
      <c r="T1335" s="189" t="n">
        <v>0</v>
      </c>
      <c r="U1335" s="189" t="n">
        <v>0</v>
      </c>
      <c r="V1335" s="189" t="inlineStr">
        <is>
          <t>T1190:Exploit Public-Facing Application | T1552:Unsecured Credentials</t>
        </is>
      </c>
      <c r="W1335" s="189" t="n">
        <v>1</v>
      </c>
      <c r="X1335" s="189" t="inlineStr">
        <is>
          <t>LOW (40%)</t>
        </is>
      </c>
      <c r="Y1335" s="189" t="inlineStr">
        <is>
          <t>UNLIKELY</t>
        </is>
      </c>
      <c r="Z1335" s="189" t="inlineStr">
        <is>
          <t>CHECK_VENDOR</t>
        </is>
      </c>
      <c r="AA1335" s="190" t="inlineStr">
        <is>
          <t>https://nvd.nist.gov/vuln/detail/CVE-2025-68930</t>
        </is>
      </c>
      <c r="AB1335" s="189" t="inlineStr">
        <is>
          <t>NONE</t>
        </is>
      </c>
      <c r="AC1335" s="189" t="n">
        <v>0</v>
      </c>
      <c r="AD1335" s="189" t="n"/>
    </row>
    <row r="1336">
      <c r="A1336" s="189" t="inlineStr">
        <is>
          <t>CVE</t>
        </is>
      </c>
      <c r="B1336" s="189" t="inlineStr">
        <is>
          <t>CVE-2025-70327</t>
        </is>
      </c>
      <c r="C1336" s="189" t="inlineStr">
        <is>
          <t>TOTOLINK X5000R v9.1.0cu_2415_B20250515 contains an argument injection vulnerability in the setDiagnosisCfg handler of the /usr/sbin/lighttpd executable. The ip parameter is retrieved via websGetVar and passed to a ping command through CsteSystem without validating if the input starts with a hyphen (-). This allows remote authenticated attackers to inject arbitrary command-line options into the ping utility, potentially leading to a Denial of Service (DoS) by causing excessive resource consumpti</t>
        </is>
      </c>
      <c r="D1336" s="189" t="n">
        <v>8.5</v>
      </c>
      <c r="E1336" s="189" t="inlineStr">
        <is>
          <t>HIGH</t>
        </is>
      </c>
      <c r="F1336" s="189" t="n">
        <v>2</v>
      </c>
      <c r="G1336" s="189" t="n">
        <v>3</v>
      </c>
      <c r="H1336" s="189" t="inlineStr">
        <is>
          <t>HIGH</t>
        </is>
      </c>
      <c r="I1336" s="189" t="n">
        <v>14.5</v>
      </c>
      <c r="J1336" s="189" t="inlineStr">
        <is>
          <t>NO</t>
        </is>
      </c>
      <c r="K1336" s="190" t="inlineStr">
        <is>
          <t>https://nvd.nist.gov/vuln/detail/CVE-2025-70327</t>
        </is>
      </c>
      <c r="L1336" s="189" t="inlineStr">
        <is>
          <t>2026-02-23 23:48</t>
        </is>
      </c>
      <c r="M1336" s="189" t="inlineStr">
        <is>
          <t>CHECK_VENDOR</t>
        </is>
      </c>
      <c r="N1336" s="189" t="inlineStr">
        <is>
          <t>See NVD references</t>
        </is>
      </c>
      <c r="O1336" s="189" t="inlineStr">
        <is>
          <t>Apply vendor patches</t>
        </is>
      </c>
      <c r="P1336" s="189" t="inlineStr">
        <is>
          <t>See CVE details</t>
        </is>
      </c>
      <c r="Q1336" s="189" t="inlineStr">
        <is>
          <t>P3</t>
        </is>
      </c>
      <c r="R1336" s="189" t="inlineStr">
        <is>
          <t>🚨 URGENT: Apply vendor patches immediately | 🔒 Isolate affected systems if patch unavailable | 🛡️ Enable additional monitoring/IDS rules</t>
        </is>
      </c>
      <c r="S1336" s="189" t="inlineStr">
        <is>
          <t>CVE - IP enrichment n/a</t>
        </is>
      </c>
      <c r="T1336" s="189" t="n">
        <v>0</v>
      </c>
      <c r="U1336" s="189" t="n">
        <v>0</v>
      </c>
      <c r="V1336" s="189" t="inlineStr">
        <is>
          <t>T1190:Exploit Public-Facing Application | T1499:Endpoint Denial of Service</t>
        </is>
      </c>
      <c r="W1336" s="189" t="n">
        <v>1</v>
      </c>
      <c r="X1336" s="189" t="inlineStr">
        <is>
          <t>LOW (40%)</t>
        </is>
      </c>
      <c r="Y1336" s="189" t="inlineStr">
        <is>
          <t>UNLIKELY</t>
        </is>
      </c>
      <c r="Z1336" s="189" t="inlineStr">
        <is>
          <t>CHECK_VENDOR</t>
        </is>
      </c>
      <c r="AA1336" s="190" t="inlineStr">
        <is>
          <t>https://nvd.nist.gov/vuln/detail/CVE-2025-70327</t>
        </is>
      </c>
      <c r="AB1336" s="189" t="inlineStr">
        <is>
          <t>NONE</t>
        </is>
      </c>
      <c r="AC1336" s="189" t="n">
        <v>0</v>
      </c>
      <c r="AD1336" s="189" t="n"/>
    </row>
    <row r="1337">
      <c r="A1337" s="191" t="inlineStr">
        <is>
          <t>CVE</t>
        </is>
      </c>
      <c r="B1337" s="191" t="inlineStr">
        <is>
          <t>CVE-2025-70328</t>
        </is>
      </c>
      <c r="C1337" s="191" t="inlineStr">
        <is>
          <t>TOTOLINK X6000R v9.4.0cu.1498_B20250826 contains an OS command injection vulnerability in the NTPSyncWithHost handler of the /usr/sbin/shttpd executable. The host_time parameter is retrieved via sub_40C404 and passed to a date -s shell command through CsteSystem. While the first two tokens of the input are validated, the remainder of the string is not sanitized, allowing authenticated attackers to execute arbitrary shell commands via shell metacharacters.</t>
        </is>
      </c>
      <c r="D1337" s="191" t="n">
        <v>5</v>
      </c>
      <c r="E1337" s="191" t="inlineStr">
        <is>
          <t>MEDIUM</t>
        </is>
      </c>
      <c r="F1337" s="191" t="n">
        <v>2</v>
      </c>
      <c r="G1337" s="191" t="n">
        <v>2</v>
      </c>
      <c r="H1337" s="191" t="inlineStr">
        <is>
          <t>MEDIUM</t>
        </is>
      </c>
      <c r="I1337" s="191" t="n">
        <v>9</v>
      </c>
      <c r="J1337" s="191" t="inlineStr">
        <is>
          <t>NO</t>
        </is>
      </c>
      <c r="K1337" s="192" t="inlineStr">
        <is>
          <t>https://nvd.nist.gov/vuln/detail/CVE-2025-70328</t>
        </is>
      </c>
      <c r="L1337" s="191" t="inlineStr">
        <is>
          <t>2026-02-23 23:48</t>
        </is>
      </c>
      <c r="M1337" s="191" t="inlineStr">
        <is>
          <t>CHECK_VENDOR</t>
        </is>
      </c>
      <c r="N1337" s="191" t="inlineStr">
        <is>
          <t>See NVD references</t>
        </is>
      </c>
      <c r="O1337" s="191" t="inlineStr">
        <is>
          <t>Apply vendor patches</t>
        </is>
      </c>
      <c r="P1337" s="191" t="inlineStr">
        <is>
          <t>See CVE details</t>
        </is>
      </c>
      <c r="Q1337" s="191" t="inlineStr">
        <is>
          <t>P4</t>
        </is>
      </c>
      <c r="R1337" s="191" t="inlineStr">
        <is>
          <t>📅 Schedule patch deployment within 30 days | 🔍 Monitor for exploitation attempts</t>
        </is>
      </c>
      <c r="S1337" s="191" t="inlineStr">
        <is>
          <t>CVE - IP enrichment n/a</t>
        </is>
      </c>
      <c r="T1337" s="191" t="n">
        <v>0</v>
      </c>
      <c r="U1337" s="191" t="n">
        <v>0</v>
      </c>
      <c r="V1337" s="191" t="inlineStr">
        <is>
          <t>T1059:Command and Scripting Interpreter</t>
        </is>
      </c>
      <c r="W1337" s="191" t="n">
        <v>1</v>
      </c>
      <c r="X1337" s="191" t="inlineStr">
        <is>
          <t>LOW (40%)</t>
        </is>
      </c>
      <c r="Y1337" s="191" t="inlineStr">
        <is>
          <t>UNLIKELY</t>
        </is>
      </c>
      <c r="Z1337" s="191" t="inlineStr">
        <is>
          <t>CHECK_VENDOR</t>
        </is>
      </c>
      <c r="AA1337" s="192" t="inlineStr">
        <is>
          <t>https://nvd.nist.gov/vuln/detail/CVE-2025-70328</t>
        </is>
      </c>
      <c r="AB1337" s="191" t="inlineStr">
        <is>
          <t>NONE</t>
        </is>
      </c>
      <c r="AC1337" s="191" t="n">
        <v>0</v>
      </c>
      <c r="AD1337" s="191" t="n"/>
    </row>
    <row r="1338">
      <c r="A1338" s="191" t="inlineStr">
        <is>
          <t>CVE</t>
        </is>
      </c>
      <c r="B1338" s="191" t="inlineStr">
        <is>
          <t>CVE-2025-71056</t>
        </is>
      </c>
      <c r="C1338" s="191" t="inlineStr">
        <is>
          <t>Improper session management in GCOM EPON 1GE ONU version C00R371V00B01 allows attackers to execute a session hijacking attack via spoofing the IP address of an authenticated user.</t>
        </is>
      </c>
      <c r="D1338" s="191" t="n">
        <v>5</v>
      </c>
      <c r="E1338" s="191" t="inlineStr">
        <is>
          <t>MEDIUM</t>
        </is>
      </c>
      <c r="F1338" s="191" t="n">
        <v>2</v>
      </c>
      <c r="G1338" s="191" t="n">
        <v>2</v>
      </c>
      <c r="H1338" s="191" t="inlineStr">
        <is>
          <t>MEDIUM</t>
        </is>
      </c>
      <c r="I1338" s="191" t="n">
        <v>9</v>
      </c>
      <c r="J1338" s="191" t="inlineStr">
        <is>
          <t>NO</t>
        </is>
      </c>
      <c r="K1338" s="192" t="inlineStr">
        <is>
          <t>https://nvd.nist.gov/vuln/detail/CVE-2025-71056</t>
        </is>
      </c>
      <c r="L1338" s="191" t="inlineStr">
        <is>
          <t>2026-02-23 23:48</t>
        </is>
      </c>
      <c r="M1338" s="191" t="inlineStr">
        <is>
          <t>CHECK_VENDOR</t>
        </is>
      </c>
      <c r="N1338" s="191" t="inlineStr">
        <is>
          <t>See NVD references</t>
        </is>
      </c>
      <c r="O1338" s="191" t="inlineStr">
        <is>
          <t>Apply vendor patches</t>
        </is>
      </c>
      <c r="P1338" s="191" t="inlineStr">
        <is>
          <t>See CVE details</t>
        </is>
      </c>
      <c r="Q1338" s="191" t="inlineStr">
        <is>
          <t>P4</t>
        </is>
      </c>
      <c r="R1338" s="191" t="inlineStr">
        <is>
          <t>📅 Schedule patch deployment within 30 days | 🔍 Monitor for exploitation attempts</t>
        </is>
      </c>
      <c r="S1338" s="191" t="inlineStr">
        <is>
          <t>CVE - IP enrichment n/a</t>
        </is>
      </c>
      <c r="T1338" s="191" t="n">
        <v>0</v>
      </c>
      <c r="U1338" s="191" t="n">
        <v>0</v>
      </c>
      <c r="V1338" s="191" t="inlineStr">
        <is>
          <t>T1190:Exploit Public-Facing Application</t>
        </is>
      </c>
      <c r="W1338" s="191" t="n">
        <v>1</v>
      </c>
      <c r="X1338" s="191" t="inlineStr">
        <is>
          <t>LOW (40%)</t>
        </is>
      </c>
      <c r="Y1338" s="191" t="inlineStr">
        <is>
          <t>UNLIKELY</t>
        </is>
      </c>
      <c r="Z1338" s="191" t="inlineStr">
        <is>
          <t>CHECK_VENDOR</t>
        </is>
      </c>
      <c r="AA1338" s="192" t="inlineStr">
        <is>
          <t>https://nvd.nist.gov/vuln/detail/CVE-2025-71056</t>
        </is>
      </c>
      <c r="AB1338" s="191" t="inlineStr">
        <is>
          <t>NONE</t>
        </is>
      </c>
      <c r="AC1338" s="191" t="n">
        <v>0</v>
      </c>
      <c r="AD1338" s="191" t="n"/>
    </row>
    <row r="1339">
      <c r="A1339" s="191" t="inlineStr">
        <is>
          <t>CVE</t>
        </is>
      </c>
      <c r="B1339" s="191" t="inlineStr">
        <is>
          <t>CVE-2026-23521</t>
        </is>
      </c>
      <c r="C1339" s="191" t="inlineStr">
        <is>
          <t>Versions of the Traccar open-source GPS tracking system up to and including 6.11.1 contain an issue in which authenticated users who can create or edit devices can set a device `uniqueId` to an absolute path. When uploading a device image, Traccar uses that `uniqueId` to build the filesystem path without enforcing that the resolved path stays under the media root. This allows writing files outside the media directory. As of time of publication, it is unclear whether a fix is available.</t>
        </is>
      </c>
      <c r="D1339" s="191" t="n">
        <v>6.5</v>
      </c>
      <c r="E1339" s="191" t="inlineStr">
        <is>
          <t>MEDIUM</t>
        </is>
      </c>
      <c r="F1339" s="191" t="n">
        <v>2</v>
      </c>
      <c r="G1339" s="191" t="n">
        <v>2</v>
      </c>
      <c r="H1339" s="191" t="inlineStr">
        <is>
          <t>MEDIUM</t>
        </is>
      </c>
      <c r="I1339" s="191" t="n">
        <v>10.5</v>
      </c>
      <c r="J1339" s="191" t="inlineStr">
        <is>
          <t>NO</t>
        </is>
      </c>
      <c r="K1339" s="192" t="inlineStr">
        <is>
          <t>https://nvd.nist.gov/vuln/detail/CVE-2026-23521</t>
        </is>
      </c>
      <c r="L1339" s="191" t="inlineStr">
        <is>
          <t>2026-02-23 23:48</t>
        </is>
      </c>
      <c r="M1339" s="191" t="inlineStr">
        <is>
          <t>CHECK_VENDOR</t>
        </is>
      </c>
      <c r="N1339" s="191" t="inlineStr">
        <is>
          <t>See NVD references</t>
        </is>
      </c>
      <c r="O1339" s="191" t="inlineStr">
        <is>
          <t>Apply vendor patches</t>
        </is>
      </c>
      <c r="P1339" s="191" t="inlineStr">
        <is>
          <t>See CVE details</t>
        </is>
      </c>
      <c r="Q1339" s="191" t="inlineStr">
        <is>
          <t>P4</t>
        </is>
      </c>
      <c r="R1339" s="191" t="inlineStr">
        <is>
          <t>📅 Schedule patch deployment within 30 days | 🔍 Monitor for exploitation attempts</t>
        </is>
      </c>
      <c r="S1339" s="191" t="inlineStr">
        <is>
          <t>CVE - IP enrichment n/a</t>
        </is>
      </c>
      <c r="T1339" s="191" t="n">
        <v>0</v>
      </c>
      <c r="U1339" s="191" t="n">
        <v>0</v>
      </c>
      <c r="V1339" s="191" t="inlineStr">
        <is>
          <t>T1083:File and Directory Discovery | T1190:Exploit Public-Facing Application</t>
        </is>
      </c>
      <c r="W1339" s="191" t="n">
        <v>1</v>
      </c>
      <c r="X1339" s="191" t="inlineStr">
        <is>
          <t>LOW (40%)</t>
        </is>
      </c>
      <c r="Y1339" s="191" t="inlineStr">
        <is>
          <t>UNLIKELY</t>
        </is>
      </c>
      <c r="Z1339" s="191" t="inlineStr">
        <is>
          <t>CHECK_VENDOR</t>
        </is>
      </c>
      <c r="AA1339" s="192" t="inlineStr">
        <is>
          <t>https://nvd.nist.gov/vuln/detail/CVE-2026-23521</t>
        </is>
      </c>
      <c r="AB1339" s="191" t="inlineStr">
        <is>
          <t>NONE</t>
        </is>
      </c>
      <c r="AC1339" s="191" t="n">
        <v>0</v>
      </c>
      <c r="AD1339" s="191" t="n"/>
    </row>
    <row r="1340">
      <c r="A1340" s="193" t="inlineStr">
        <is>
          <t>CVE</t>
        </is>
      </c>
      <c r="B1340" s="193" t="inlineStr">
        <is>
          <t>CVE-2026-23693</t>
        </is>
      </c>
      <c r="C1340" s="193" t="inlineStr">
        <is>
          <t>ElementsKit Lite (elementskit-lite) WordPress plugin versions prior to 3.7.9 expose the REST endpoint /wp-json/elementskit/v1/widget/mailchimp/subscribe without authentication. The endpoint accepts client-supplied Mailchimp API credentials and insufficiently validates certain parameters, including the list parameter, when constructing upstream Mailchimp API requests. An unauthenticated attacker can abuse the endpoint as an open proxy to Mailchimp, potentially triggering unauthorized API calls, m</t>
        </is>
      </c>
      <c r="D1340" s="193" t="n">
        <v>10</v>
      </c>
      <c r="E1340" s="193" t="inlineStr">
        <is>
          <t>CRITICAL</t>
        </is>
      </c>
      <c r="F1340" s="193" t="n">
        <v>2</v>
      </c>
      <c r="G1340" s="193" t="n">
        <v>3</v>
      </c>
      <c r="H1340" s="193" t="inlineStr">
        <is>
          <t>HIGH</t>
        </is>
      </c>
      <c r="I1340" s="193" t="n">
        <v>16</v>
      </c>
      <c r="J1340" s="193" t="inlineStr">
        <is>
          <t>NO</t>
        </is>
      </c>
      <c r="K1340" s="194" t="inlineStr">
        <is>
          <t>https://nvd.nist.gov/vuln/detail/CVE-2026-23693</t>
        </is>
      </c>
      <c r="L1340" s="193" t="inlineStr">
        <is>
          <t>2026-02-23 23:48</t>
        </is>
      </c>
      <c r="M1340" s="193" t="inlineStr">
        <is>
          <t>CHECK_VENDOR</t>
        </is>
      </c>
      <c r="N1340" s="193" t="inlineStr">
        <is>
          <t>See NVD references</t>
        </is>
      </c>
      <c r="O1340" s="193" t="inlineStr">
        <is>
          <t>Apply vendor patches</t>
        </is>
      </c>
      <c r="P1340" s="193" t="inlineStr">
        <is>
          <t>See CVE details</t>
        </is>
      </c>
      <c r="Q1340" s="193" t="inlineStr">
        <is>
          <t>P3</t>
        </is>
      </c>
      <c r="R1340" s="193" t="inlineStr">
        <is>
          <t>🚨 URGENT: Apply vendor patches immediately | 🔒 Isolate affected systems if patch unavailable | 🛡️ Enable additional monitoring/IDS rules</t>
        </is>
      </c>
      <c r="S1340" s="193" t="inlineStr">
        <is>
          <t>CVE - IP enrichment n/a</t>
        </is>
      </c>
      <c r="T1340" s="193" t="n">
        <v>0</v>
      </c>
      <c r="U1340" s="193" t="n">
        <v>0</v>
      </c>
      <c r="V1340" s="193" t="inlineStr">
        <is>
          <t>T1078:Valid Accounts | T1190:Exploit Public-Facing Application | T1552:Unsecured Credentials</t>
        </is>
      </c>
      <c r="W1340" s="193" t="n">
        <v>1</v>
      </c>
      <c r="X1340" s="193" t="inlineStr">
        <is>
          <t>LOW (40%)</t>
        </is>
      </c>
      <c r="Y1340" s="193" t="inlineStr">
        <is>
          <t>UNLIKELY</t>
        </is>
      </c>
      <c r="Z1340" s="193" t="inlineStr">
        <is>
          <t>CHECK_VENDOR</t>
        </is>
      </c>
      <c r="AA1340" s="194" t="inlineStr">
        <is>
          <t>https://nvd.nist.gov/vuln/detail/CVE-2026-23693</t>
        </is>
      </c>
      <c r="AB1340" s="193" t="inlineStr">
        <is>
          <t>NONE</t>
        </is>
      </c>
      <c r="AC1340" s="193" t="n">
        <v>0</v>
      </c>
      <c r="AD1340" s="193" t="n"/>
    </row>
    <row r="1341">
      <c r="A1341" s="191" t="inlineStr">
        <is>
          <t>CVE</t>
        </is>
      </c>
      <c r="B1341" s="191" t="inlineStr">
        <is>
          <t>CVE-2026-23694</t>
        </is>
      </c>
      <c r="C1341" s="191" t="inlineStr">
        <is>
          <t>Aruba HiSpeed Cache (aruba-hispeed-cache) WordPress plugin versions prior to 3.0.5 contain a cross-site request forgery (CSRF) vulnerability affecting multiple administrative AJAX actions. The handlers for ahsc_reset_options, ahsc_debug_status, and ahsc_enable_purge perform authentication and capability checks but do not verify a WordPress nonce for state-changing requests. An attacker can induce a logged-in administrator to visit a malicious webpage that submits forged requests to admin-ajax.ph</t>
        </is>
      </c>
      <c r="D1341" s="191" t="n">
        <v>5</v>
      </c>
      <c r="E1341" s="191" t="inlineStr">
        <is>
          <t>MEDIUM</t>
        </is>
      </c>
      <c r="F1341" s="191" t="n">
        <v>2</v>
      </c>
      <c r="G1341" s="191" t="n">
        <v>2</v>
      </c>
      <c r="H1341" s="191" t="inlineStr">
        <is>
          <t>MEDIUM</t>
        </is>
      </c>
      <c r="I1341" s="191" t="n">
        <v>9</v>
      </c>
      <c r="J1341" s="191" t="inlineStr">
        <is>
          <t>NO</t>
        </is>
      </c>
      <c r="K1341" s="192" t="inlineStr">
        <is>
          <t>https://nvd.nist.gov/vuln/detail/CVE-2026-23694</t>
        </is>
      </c>
      <c r="L1341" s="191" t="inlineStr">
        <is>
          <t>2026-02-23 23:48</t>
        </is>
      </c>
      <c r="M1341" s="191" t="inlineStr">
        <is>
          <t>CHECK_VENDOR</t>
        </is>
      </c>
      <c r="N1341" s="191" t="inlineStr">
        <is>
          <t>See NVD references</t>
        </is>
      </c>
      <c r="O1341" s="191" t="inlineStr">
        <is>
          <t>Apply vendor patches</t>
        </is>
      </c>
      <c r="P1341" s="191" t="inlineStr">
        <is>
          <t>See CVE details</t>
        </is>
      </c>
      <c r="Q1341" s="191" t="inlineStr">
        <is>
          <t>P4</t>
        </is>
      </c>
      <c r="R1341" s="191" t="inlineStr">
        <is>
          <t>📅 Schedule patch deployment within 30 days | 🔍 Monitor for exploitation attempts</t>
        </is>
      </c>
      <c r="S1341" s="191" t="inlineStr">
        <is>
          <t>CVE - IP enrichment n/a</t>
        </is>
      </c>
      <c r="T1341" s="191" t="n">
        <v>0</v>
      </c>
      <c r="U1341" s="191" t="n">
        <v>0</v>
      </c>
      <c r="V1341" s="191" t="inlineStr">
        <is>
          <t>T1185:Browser Session Hijacking</t>
        </is>
      </c>
      <c r="W1341" s="191" t="n">
        <v>1</v>
      </c>
      <c r="X1341" s="191" t="inlineStr">
        <is>
          <t>LOW (40%)</t>
        </is>
      </c>
      <c r="Y1341" s="191" t="inlineStr">
        <is>
          <t>UNLIKELY</t>
        </is>
      </c>
      <c r="Z1341" s="191" t="inlineStr">
        <is>
          <t>CHECK_VENDOR</t>
        </is>
      </c>
      <c r="AA1341" s="192" t="inlineStr">
        <is>
          <t>https://nvd.nist.gov/vuln/detail/CVE-2026-23694</t>
        </is>
      </c>
      <c r="AB1341" s="191" t="inlineStr">
        <is>
          <t>NONE</t>
        </is>
      </c>
      <c r="AC1341" s="191" t="n">
        <v>0</v>
      </c>
      <c r="AD1341" s="191" t="n"/>
    </row>
    <row r="1342">
      <c r="A1342" s="189" t="inlineStr">
        <is>
          <t>CVE</t>
        </is>
      </c>
      <c r="B1342" s="189" t="inlineStr">
        <is>
          <t>CVE-2026-25648</t>
        </is>
      </c>
      <c r="C1342" s="189" t="inlineStr">
        <is>
          <t>Versions of the Traccar open-source GPS tracking system starting with 6.11.1 contain an issue in which authenticated users can execute arbitrary JavaScript in the context of other users' browsers by uploading malicious SVG files as device images. The application accepts SVG file uploads without sanitization and serves them with the `image/svg+xml` Content-Type, allowing embedded JavaScript to execute when victims view the image. As of time of publication, it is unclear whether a fix is available</t>
        </is>
      </c>
      <c r="D1342" s="189" t="n">
        <v>8.699999999999999</v>
      </c>
      <c r="E1342" s="189" t="inlineStr">
        <is>
          <t>HIGH</t>
        </is>
      </c>
      <c r="F1342" s="189" t="n">
        <v>2</v>
      </c>
      <c r="G1342" s="189" t="n">
        <v>3</v>
      </c>
      <c r="H1342" s="189" t="inlineStr">
        <is>
          <t>HIGH</t>
        </is>
      </c>
      <c r="I1342" s="189" t="n">
        <v>14.7</v>
      </c>
      <c r="J1342" s="189" t="inlineStr">
        <is>
          <t>NO</t>
        </is>
      </c>
      <c r="K1342" s="190" t="inlineStr">
        <is>
          <t>https://nvd.nist.gov/vuln/detail/CVE-2026-25648</t>
        </is>
      </c>
      <c r="L1342" s="189" t="inlineStr">
        <is>
          <t>2026-02-23 23:48</t>
        </is>
      </c>
      <c r="M1342" s="189" t="inlineStr">
        <is>
          <t>CHECK_VENDOR</t>
        </is>
      </c>
      <c r="N1342" s="189" t="inlineStr">
        <is>
          <t>See NVD references</t>
        </is>
      </c>
      <c r="O1342" s="189" t="inlineStr">
        <is>
          <t>Apply vendor patches</t>
        </is>
      </c>
      <c r="P1342" s="189" t="inlineStr">
        <is>
          <t>See CVE details</t>
        </is>
      </c>
      <c r="Q1342" s="189" t="inlineStr">
        <is>
          <t>P3</t>
        </is>
      </c>
      <c r="R1342" s="189" t="inlineStr">
        <is>
          <t>🚨 URGENT: Apply vendor patches immediately | 🔒 Isolate affected systems if patch unavailable | 🛡️ Enable additional monitoring/IDS rules</t>
        </is>
      </c>
      <c r="S1342" s="189" t="inlineStr">
        <is>
          <t>CVE - IP enrichment n/a</t>
        </is>
      </c>
      <c r="T1342" s="189" t="n">
        <v>0</v>
      </c>
      <c r="U1342" s="189" t="n">
        <v>0</v>
      </c>
      <c r="V1342" s="189" t="inlineStr">
        <is>
          <t>T1189:Drive-by Compromise | T1190:Exploit Public-Facing Application</t>
        </is>
      </c>
      <c r="W1342" s="189" t="n">
        <v>1</v>
      </c>
      <c r="X1342" s="189" t="inlineStr">
        <is>
          <t>LOW (40%)</t>
        </is>
      </c>
      <c r="Y1342" s="189" t="inlineStr">
        <is>
          <t>UNLIKELY</t>
        </is>
      </c>
      <c r="Z1342" s="189" t="inlineStr">
        <is>
          <t>CHECK_VENDOR</t>
        </is>
      </c>
      <c r="AA1342" s="190" t="inlineStr">
        <is>
          <t>https://nvd.nist.gov/vuln/detail/CVE-2026-25648</t>
        </is>
      </c>
      <c r="AB1342" s="189" t="inlineStr">
        <is>
          <t>NONE</t>
        </is>
      </c>
      <c r="AC1342" s="189" t="n">
        <v>0</v>
      </c>
      <c r="AD1342" s="189" t="n"/>
    </row>
    <row r="1343">
      <c r="A1343" s="189" t="inlineStr">
        <is>
          <t>CVE</t>
        </is>
      </c>
      <c r="B1343" s="189" t="inlineStr">
        <is>
          <t>CVE-2026-3025</t>
        </is>
      </c>
      <c r="C1343" s="189" t="inlineStr">
        <is>
          <t>A flaw has been found in ShuoRen Smart Heating Integrated Management Platform 1.0.0. Affected by this vulnerability is an unknown functionality of the file /MP/Service/Webservice/ExampleNodeService.asmx. Executing a manipulation of the argument File can lead to unrestricted upload. It is possible to launch the attack remotely. The exploit has been published and may be used. The vendor was contacted early about this disclosure but did not respond in any way.</t>
        </is>
      </c>
      <c r="D1343" s="189" t="n">
        <v>7.3</v>
      </c>
      <c r="E1343" s="189" t="inlineStr">
        <is>
          <t>HIGH</t>
        </is>
      </c>
      <c r="F1343" s="189" t="n">
        <v>2</v>
      </c>
      <c r="G1343" s="189" t="n">
        <v>3</v>
      </c>
      <c r="H1343" s="189" t="inlineStr">
        <is>
          <t>HIGH</t>
        </is>
      </c>
      <c r="I1343" s="189" t="n">
        <v>13.3</v>
      </c>
      <c r="J1343" s="189" t="inlineStr">
        <is>
          <t>NO</t>
        </is>
      </c>
      <c r="K1343" s="190" t="inlineStr">
        <is>
          <t>https://nvd.nist.gov/vuln/detail/CVE-2026-3025</t>
        </is>
      </c>
      <c r="L1343" s="189" t="inlineStr">
        <is>
          <t>2026-02-23 23:48</t>
        </is>
      </c>
      <c r="M1343" s="189" t="inlineStr">
        <is>
          <t>CHECK_VENDOR</t>
        </is>
      </c>
      <c r="N1343" s="189" t="inlineStr">
        <is>
          <t>See NVD references</t>
        </is>
      </c>
      <c r="O1343" s="189" t="inlineStr">
        <is>
          <t>Apply vendor patches</t>
        </is>
      </c>
      <c r="P1343" s="189" t="inlineStr">
        <is>
          <t>See CVE details</t>
        </is>
      </c>
      <c r="Q1343" s="189" t="inlineStr">
        <is>
          <t>P3</t>
        </is>
      </c>
      <c r="R1343" s="189" t="inlineStr">
        <is>
          <t>🚨 URGENT: Apply vendor patches immediately | 🔒 Isolate affected systems if patch unavailable | 🛡️ Enable additional monitoring/IDS rules</t>
        </is>
      </c>
      <c r="S1343" s="189" t="inlineStr">
        <is>
          <t>CVE - IP enrichment n/a</t>
        </is>
      </c>
      <c r="T1343" s="189" t="n">
        <v>0</v>
      </c>
      <c r="U1343" s="189" t="n">
        <v>0</v>
      </c>
      <c r="V1343" s="189" t="inlineStr">
        <is>
          <t>T1190:Exploit Public-Facing Application</t>
        </is>
      </c>
      <c r="W1343" s="189" t="n">
        <v>1</v>
      </c>
      <c r="X1343" s="189" t="inlineStr">
        <is>
          <t>LOW (40%)</t>
        </is>
      </c>
      <c r="Y1343" s="189" t="inlineStr">
        <is>
          <t>UNLIKELY</t>
        </is>
      </c>
      <c r="Z1343" s="189" t="inlineStr">
        <is>
          <t>CHECK_VENDOR</t>
        </is>
      </c>
      <c r="AA1343" s="190" t="inlineStr">
        <is>
          <t>https://nvd.nist.gov/vuln/detail/CVE-2026-3025</t>
        </is>
      </c>
      <c r="AB1343" s="189" t="inlineStr">
        <is>
          <t>NONE</t>
        </is>
      </c>
      <c r="AC1343" s="189" t="n">
        <v>0</v>
      </c>
      <c r="AD1343" s="189" t="n"/>
    </row>
    <row r="1344">
      <c r="A1344" s="189" t="inlineStr">
        <is>
          <t>CVE</t>
        </is>
      </c>
      <c r="B1344" s="189" t="inlineStr">
        <is>
          <t>CVE-2026-3026</t>
        </is>
      </c>
      <c r="C1344" s="189" t="inlineStr">
        <is>
          <t>A vulnerability has been found in erzhongxmu JEEWMS 3.7. Affected by this issue is some unknown functionality of the file /plug-in/ueditor/jsp/getRemoteImage.jsp of the component UEditor. The manipulation of the argument upfile leads to server-side request forgery. The attack can be initiated remotely. The exploit has been disclosed to the public and may be used. The vendor was contacted early about this disclosure but did not respond in any way.</t>
        </is>
      </c>
      <c r="D1344" s="189" t="n">
        <v>7.3</v>
      </c>
      <c r="E1344" s="189" t="inlineStr">
        <is>
          <t>HIGH</t>
        </is>
      </c>
      <c r="F1344" s="189" t="n">
        <v>2</v>
      </c>
      <c r="G1344" s="189" t="n">
        <v>3</v>
      </c>
      <c r="H1344" s="189" t="inlineStr">
        <is>
          <t>HIGH</t>
        </is>
      </c>
      <c r="I1344" s="189" t="n">
        <v>13.3</v>
      </c>
      <c r="J1344" s="189" t="inlineStr">
        <is>
          <t>NO</t>
        </is>
      </c>
      <c r="K1344" s="190" t="inlineStr">
        <is>
          <t>https://nvd.nist.gov/vuln/detail/CVE-2026-3026</t>
        </is>
      </c>
      <c r="L1344" s="189" t="inlineStr">
        <is>
          <t>2026-02-23 23:48</t>
        </is>
      </c>
      <c r="M1344" s="189" t="inlineStr">
        <is>
          <t>CHECK_VENDOR</t>
        </is>
      </c>
      <c r="N1344" s="189" t="inlineStr">
        <is>
          <t>See NVD references</t>
        </is>
      </c>
      <c r="O1344" s="189" t="inlineStr">
        <is>
          <t>Apply vendor patches</t>
        </is>
      </c>
      <c r="P1344" s="189" t="inlineStr">
        <is>
          <t>See CVE details</t>
        </is>
      </c>
      <c r="Q1344" s="189" t="inlineStr">
        <is>
          <t>P3</t>
        </is>
      </c>
      <c r="R1344" s="189" t="inlineStr">
        <is>
          <t>🚨 URGENT: Apply vendor patches immediately | 🔒 Isolate affected systems if patch unavailable | 🛡️ Enable additional monitoring/IDS rules</t>
        </is>
      </c>
      <c r="S1344" s="189" t="inlineStr">
        <is>
          <t>CVE - IP enrichment n/a</t>
        </is>
      </c>
      <c r="T1344" s="189" t="n">
        <v>0</v>
      </c>
      <c r="U1344" s="189" t="n">
        <v>0</v>
      </c>
      <c r="V1344" s="189" t="inlineStr">
        <is>
          <t>T1090:Proxy</t>
        </is>
      </c>
      <c r="W1344" s="189" t="n">
        <v>1</v>
      </c>
      <c r="X1344" s="189" t="inlineStr">
        <is>
          <t>LOW (40%)</t>
        </is>
      </c>
      <c r="Y1344" s="189" t="inlineStr">
        <is>
          <t>UNLIKELY</t>
        </is>
      </c>
      <c r="Z1344" s="189" t="inlineStr">
        <is>
          <t>CHECK_VENDOR</t>
        </is>
      </c>
      <c r="AA1344" s="190" t="inlineStr">
        <is>
          <t>https://nvd.nist.gov/vuln/detail/CVE-2026-3026</t>
        </is>
      </c>
      <c r="AB1344" s="189" t="inlineStr">
        <is>
          <t>NONE</t>
        </is>
      </c>
      <c r="AC1344" s="189" t="n">
        <v>0</v>
      </c>
      <c r="AD1344" s="189" t="n"/>
    </row>
    <row r="1345">
      <c r="A1345" s="191" t="inlineStr">
        <is>
          <t>CVE</t>
        </is>
      </c>
      <c r="B1345" s="191" t="inlineStr">
        <is>
          <t>CVE-2026-3027</t>
        </is>
      </c>
      <c r="C1345" s="191" t="inlineStr">
        <is>
          <t>A vulnerability was found in erzhongxmu JEEWMS up to 3.7. This affects an unknown part of the file src/main/webapp/plug-in/ueditor/jsp/getContent.jsp of the component UEditor. The manipulation of the argument myEditor results in cross site scripting. The attack can be launched remotely. The exploit has been made public and could be used. The vendor was contacted early about this disclosure but did not respond in any way.</t>
        </is>
      </c>
      <c r="D1345" s="191" t="n">
        <v>4.3</v>
      </c>
      <c r="E1345" s="191" t="inlineStr">
        <is>
          <t>MEDIUM</t>
        </is>
      </c>
      <c r="F1345" s="191" t="n">
        <v>2</v>
      </c>
      <c r="G1345" s="191" t="n">
        <v>2</v>
      </c>
      <c r="H1345" s="191" t="inlineStr">
        <is>
          <t>MEDIUM</t>
        </is>
      </c>
      <c r="I1345" s="191" t="n">
        <v>8.300000000000001</v>
      </c>
      <c r="J1345" s="191" t="inlineStr">
        <is>
          <t>NO</t>
        </is>
      </c>
      <c r="K1345" s="192" t="inlineStr">
        <is>
          <t>https://nvd.nist.gov/vuln/detail/CVE-2026-3027</t>
        </is>
      </c>
      <c r="L1345" s="191" t="inlineStr">
        <is>
          <t>2026-02-23 23:48</t>
        </is>
      </c>
      <c r="M1345" s="191" t="inlineStr">
        <is>
          <t>CHECK_VENDOR</t>
        </is>
      </c>
      <c r="N1345" s="191" t="inlineStr">
        <is>
          <t>See NVD references</t>
        </is>
      </c>
      <c r="O1345" s="191" t="inlineStr">
        <is>
          <t>Apply vendor patches</t>
        </is>
      </c>
      <c r="P1345" s="191" t="inlineStr">
        <is>
          <t>See CVE details</t>
        </is>
      </c>
      <c r="Q1345" s="191" t="inlineStr">
        <is>
          <t>P4</t>
        </is>
      </c>
      <c r="R1345" s="191" t="inlineStr">
        <is>
          <t>📅 Schedule patch deployment within 30 days | 🔍 Monitor for exploitation attempts</t>
        </is>
      </c>
      <c r="S1345" s="191" t="inlineStr">
        <is>
          <t>CVE - IP enrichment n/a</t>
        </is>
      </c>
      <c r="T1345" s="191" t="n">
        <v>0</v>
      </c>
      <c r="U1345" s="191" t="n">
        <v>0</v>
      </c>
      <c r="V1345" s="191" t="inlineStr">
        <is>
          <t>T1189:Drive-by Compromise</t>
        </is>
      </c>
      <c r="W1345" s="191" t="n">
        <v>1</v>
      </c>
      <c r="X1345" s="191" t="inlineStr">
        <is>
          <t>LOW (40%)</t>
        </is>
      </c>
      <c r="Y1345" s="191" t="inlineStr">
        <is>
          <t>UNLIKELY</t>
        </is>
      </c>
      <c r="Z1345" s="191" t="inlineStr">
        <is>
          <t>CHECK_VENDOR</t>
        </is>
      </c>
      <c r="AA1345" s="192" t="inlineStr">
        <is>
          <t>https://nvd.nist.gov/vuln/detail/CVE-2026-3027</t>
        </is>
      </c>
      <c r="AB1345" s="191" t="inlineStr">
        <is>
          <t>NONE</t>
        </is>
      </c>
      <c r="AC1345" s="191" t="n">
        <v>0</v>
      </c>
      <c r="AD1345" s="191" t="n"/>
    </row>
    <row r="1346">
      <c r="A1346" s="191" t="inlineStr">
        <is>
          <t>CVE</t>
        </is>
      </c>
      <c r="B1346" s="191" t="inlineStr">
        <is>
          <t>CVE-2026-3075</t>
        </is>
      </c>
      <c r="C1346" s="191" t="inlineStr">
        <is>
          <t>Exposure of Sensitive System Information to an Unauthorized Control Sphere vulnerability in Jeff Starr Simple Ajax Chat simple-ajax-chat allows Retrieve Embedded Sensitive Data.This issue affects Simple Ajax Chat: from n/a through &lt;= 20251121.</t>
        </is>
      </c>
      <c r="D1346" s="191" t="n">
        <v>5</v>
      </c>
      <c r="E1346" s="191" t="inlineStr">
        <is>
          <t>MEDIUM</t>
        </is>
      </c>
      <c r="F1346" s="191" t="n">
        <v>2</v>
      </c>
      <c r="G1346" s="191" t="n">
        <v>2</v>
      </c>
      <c r="H1346" s="191" t="inlineStr">
        <is>
          <t>MEDIUM</t>
        </is>
      </c>
      <c r="I1346" s="191" t="n">
        <v>9</v>
      </c>
      <c r="J1346" s="191" t="inlineStr">
        <is>
          <t>NO</t>
        </is>
      </c>
      <c r="K1346" s="192" t="inlineStr">
        <is>
          <t>https://nvd.nist.gov/vuln/detail/CVE-2026-3075</t>
        </is>
      </c>
      <c r="L1346" s="191" t="inlineStr">
        <is>
          <t>2026-02-23 23:48</t>
        </is>
      </c>
      <c r="M1346" s="191" t="inlineStr">
        <is>
          <t>CHECK_VENDOR</t>
        </is>
      </c>
      <c r="N1346" s="191" t="inlineStr">
        <is>
          <t>See NVD references</t>
        </is>
      </c>
      <c r="O1346" s="191" t="inlineStr">
        <is>
          <t>Apply vendor patches</t>
        </is>
      </c>
      <c r="P1346" s="191" t="inlineStr">
        <is>
          <t>See CVE details</t>
        </is>
      </c>
      <c r="Q1346" s="191" t="inlineStr">
        <is>
          <t>P4</t>
        </is>
      </c>
      <c r="R1346" s="191" t="inlineStr">
        <is>
          <t>📅 Schedule patch deployment within 30 days | 🔍 Monitor for exploitation attempts</t>
        </is>
      </c>
      <c r="S1346" s="191" t="inlineStr">
        <is>
          <t>CVE - IP enrichment n/a</t>
        </is>
      </c>
      <c r="T1346" s="191" t="n">
        <v>0</v>
      </c>
      <c r="U1346" s="191" t="n">
        <v>0</v>
      </c>
      <c r="V1346" s="191" t="inlineStr">
        <is>
          <t>T1190:Exploit Public-Facing Application</t>
        </is>
      </c>
      <c r="W1346" s="191" t="n">
        <v>1</v>
      </c>
      <c r="X1346" s="191" t="inlineStr">
        <is>
          <t>LOW (40%)</t>
        </is>
      </c>
      <c r="Y1346" s="191" t="inlineStr">
        <is>
          <t>UNLIKELY</t>
        </is>
      </c>
      <c r="Z1346" s="191" t="inlineStr">
        <is>
          <t>CHECK_VENDOR</t>
        </is>
      </c>
      <c r="AA1346" s="192" t="inlineStr">
        <is>
          <t>https://nvd.nist.gov/vuln/detail/CVE-2026-3075</t>
        </is>
      </c>
      <c r="AB1346" s="191" t="inlineStr">
        <is>
          <t>NONE</t>
        </is>
      </c>
      <c r="AC1346" s="191" t="n">
        <v>0</v>
      </c>
      <c r="AD1346" s="191" t="n"/>
    </row>
    <row r="1347">
      <c r="A1347" s="189" t="inlineStr">
        <is>
          <t>EXPLOIT</t>
        </is>
      </c>
      <c r="B1347" s="189" t="inlineStr">
        <is>
          <t>264ee764a350</t>
        </is>
      </c>
      <c r="C1347" s="189" t="inlineStr">
        <is>
          <t>[webapps] motionEye 0.43.1b4 - RCE</t>
        </is>
      </c>
      <c r="D1347" s="189" t="n">
        <v>7.5</v>
      </c>
      <c r="E1347" s="189" t="inlineStr">
        <is>
          <t>HIGH</t>
        </is>
      </c>
      <c r="F1347" s="189" t="n">
        <v>3</v>
      </c>
      <c r="G1347" s="189" t="n">
        <v>3</v>
      </c>
      <c r="H1347" s="189" t="inlineStr">
        <is>
          <t>CRITICAL</t>
        </is>
      </c>
      <c r="I1347" s="189" t="n">
        <v>16.5</v>
      </c>
      <c r="J1347" s="189" t="inlineStr">
        <is>
          <t>NO</t>
        </is>
      </c>
      <c r="K1347" s="190" t="inlineStr">
        <is>
          <t>https://www.exploit-db.com/exploits/52481</t>
        </is>
      </c>
      <c r="L1347" s="189" t="inlineStr">
        <is>
          <t>2026-02-11 00:00</t>
        </is>
      </c>
      <c r="M1347" s="189" t="inlineStr">
        <is>
          <t>CHECK_VENDOR</t>
        </is>
      </c>
      <c r="N1347" s="190" t="inlineStr">
        <is>
          <t>https://www.exploit-db.com/exploits/52481</t>
        </is>
      </c>
      <c r="O1347" s="189" t="inlineStr">
        <is>
          <t>Block exploit signatures at perimeter</t>
        </is>
      </c>
      <c r="P1347" s="189" t="inlineStr">
        <is>
          <t>Various</t>
        </is>
      </c>
      <c r="Q1347" s="189" t="inlineStr">
        <is>
          <t>P1</t>
        </is>
      </c>
      <c r="R1347" s="189" t="inlineStr">
        <is>
          <t>⚠️ Active exploit detected - prioritize patching | 🚫 Block exploit signatures at perimeter | 🔎 Scan environment for IOCs</t>
        </is>
      </c>
      <c r="S1347" s="189" t="inlineStr">
        <is>
          <t>Exploit - IP enrichment N/A</t>
        </is>
      </c>
      <c r="T1347" s="189" t="n">
        <v>0</v>
      </c>
      <c r="U1347" s="189" t="n">
        <v>0</v>
      </c>
      <c r="V1347" s="189" t="inlineStr">
        <is>
          <t>T1203:Exploitation for Client Execution</t>
        </is>
      </c>
      <c r="W1347" s="189" t="n">
        <v>1</v>
      </c>
      <c r="X1347" s="189" t="inlineStr">
        <is>
          <t>LOW (40%)</t>
        </is>
      </c>
      <c r="Y1347" s="189" t="inlineStr">
        <is>
          <t>YES</t>
        </is>
      </c>
      <c r="Z1347" s="189" t="inlineStr">
        <is>
          <t>CHECK_VENDOR</t>
        </is>
      </c>
      <c r="AA1347" s="190" t="inlineStr">
        <is>
          <t>https://www.exploit-db.com/exploits/52481</t>
        </is>
      </c>
      <c r="AB1347" s="189" t="inlineStr">
        <is>
          <t>NONE</t>
        </is>
      </c>
      <c r="AC1347" s="189" t="n">
        <v>0</v>
      </c>
      <c r="AD1347" s="189" t="n"/>
    </row>
    <row r="1348">
      <c r="A1348" s="189" t="inlineStr">
        <is>
          <t>EXPLOIT</t>
        </is>
      </c>
      <c r="B1348" s="189" t="inlineStr">
        <is>
          <t>16c218acca5e</t>
        </is>
      </c>
      <c r="C1348" s="189" t="inlineStr">
        <is>
          <t>[remote] Windows 10.0.17763.7009 - spoofing vulnerability</t>
        </is>
      </c>
      <c r="D1348" s="189" t="n">
        <v>7.5</v>
      </c>
      <c r="E1348" s="189" t="inlineStr">
        <is>
          <t>HIGH</t>
        </is>
      </c>
      <c r="F1348" s="189" t="n">
        <v>3</v>
      </c>
      <c r="G1348" s="189" t="n">
        <v>3</v>
      </c>
      <c r="H1348" s="189" t="inlineStr">
        <is>
          <t>CRITICAL</t>
        </is>
      </c>
      <c r="I1348" s="189" t="n">
        <v>16.5</v>
      </c>
      <c r="J1348" s="189" t="inlineStr">
        <is>
          <t>NO</t>
        </is>
      </c>
      <c r="K1348" s="190" t="inlineStr">
        <is>
          <t>https://www.exploit-db.com/exploits/52480</t>
        </is>
      </c>
      <c r="L1348" s="189" t="inlineStr">
        <is>
          <t>2026-02-11 00:00</t>
        </is>
      </c>
      <c r="M1348" s="189" t="inlineStr">
        <is>
          <t>CHECK_VENDOR</t>
        </is>
      </c>
      <c r="N1348" s="190" t="inlineStr">
        <is>
          <t>https://www.exploit-db.com/exploits/52480</t>
        </is>
      </c>
      <c r="O1348" s="189" t="inlineStr">
        <is>
          <t>Block exploit signatures at perimeter</t>
        </is>
      </c>
      <c r="P1348" s="189" t="inlineStr">
        <is>
          <t>Various</t>
        </is>
      </c>
      <c r="Q1348" s="189" t="inlineStr">
        <is>
          <t>P1</t>
        </is>
      </c>
      <c r="R1348" s="189" t="inlineStr">
        <is>
          <t>⚠️ Active exploit detected - prioritize patching | 🚫 Block exploit signatures at perimeter | 🔎 Scan environment for IOCs</t>
        </is>
      </c>
      <c r="S1348" s="189" t="inlineStr">
        <is>
          <t>Exploit - IP enrichment N/A</t>
        </is>
      </c>
      <c r="T1348" s="189" t="n">
        <v>0</v>
      </c>
      <c r="U1348" s="189" t="n">
        <v>0</v>
      </c>
      <c r="V1348" s="189" t="inlineStr">
        <is>
          <t>T1203:Exploitation for Client Execution</t>
        </is>
      </c>
      <c r="W1348" s="189" t="n">
        <v>1</v>
      </c>
      <c r="X1348" s="189" t="inlineStr">
        <is>
          <t>LOW (40%)</t>
        </is>
      </c>
      <c r="Y1348" s="189" t="inlineStr">
        <is>
          <t>YES</t>
        </is>
      </c>
      <c r="Z1348" s="189" t="inlineStr">
        <is>
          <t>CHECK_VENDOR</t>
        </is>
      </c>
      <c r="AA1348" s="190" t="inlineStr">
        <is>
          <t>https://www.exploit-db.com/exploits/52480</t>
        </is>
      </c>
      <c r="AB1348" s="189" t="inlineStr">
        <is>
          <t>NONE</t>
        </is>
      </c>
      <c r="AC1348" s="189" t="n">
        <v>0</v>
      </c>
      <c r="AD1348" s="189" t="n"/>
    </row>
    <row r="1349">
      <c r="A1349" s="189" t="inlineStr">
        <is>
          <t>EXPLOIT</t>
        </is>
      </c>
      <c r="B1349" s="189" t="inlineStr">
        <is>
          <t>08ba2a1cd543</t>
        </is>
      </c>
      <c r="C1349" s="189" t="inlineStr">
        <is>
          <t>[local] glibc 2.38 - Buffer Overflow</t>
        </is>
      </c>
      <c r="D1349" s="189" t="n">
        <v>7.5</v>
      </c>
      <c r="E1349" s="189" t="inlineStr">
        <is>
          <t>HIGH</t>
        </is>
      </c>
      <c r="F1349" s="189" t="n">
        <v>3</v>
      </c>
      <c r="G1349" s="189" t="n">
        <v>3</v>
      </c>
      <c r="H1349" s="189" t="inlineStr">
        <is>
          <t>CRITICAL</t>
        </is>
      </c>
      <c r="I1349" s="189" t="n">
        <v>16.5</v>
      </c>
      <c r="J1349" s="189" t="inlineStr">
        <is>
          <t>NO</t>
        </is>
      </c>
      <c r="K1349" s="190" t="inlineStr">
        <is>
          <t>https://www.exploit-db.com/exploits/52479</t>
        </is>
      </c>
      <c r="L1349" s="189" t="inlineStr">
        <is>
          <t>2026-02-11 00:00</t>
        </is>
      </c>
      <c r="M1349" s="189" t="inlineStr">
        <is>
          <t>CHECK_VENDOR</t>
        </is>
      </c>
      <c r="N1349" s="190" t="inlineStr">
        <is>
          <t>https://www.exploit-db.com/exploits/52479</t>
        </is>
      </c>
      <c r="O1349" s="189" t="inlineStr">
        <is>
          <t>Block exploit signatures at perimeter</t>
        </is>
      </c>
      <c r="P1349" s="189" t="inlineStr">
        <is>
          <t>Various</t>
        </is>
      </c>
      <c r="Q1349" s="189" t="inlineStr">
        <is>
          <t>P1</t>
        </is>
      </c>
      <c r="R1349" s="189" t="inlineStr">
        <is>
          <t>⚠️ Active exploit detected - prioritize patching | 🚫 Block exploit signatures at perimeter | 🔎 Scan environment for IOCs</t>
        </is>
      </c>
      <c r="S1349" s="189" t="inlineStr">
        <is>
          <t>Exploit - IP enrichment N/A</t>
        </is>
      </c>
      <c r="T1349" s="189" t="n">
        <v>0</v>
      </c>
      <c r="U1349" s="189" t="n">
        <v>0</v>
      </c>
      <c r="V1349" s="189" t="inlineStr">
        <is>
          <t>T1203:Exploitation for Client Execution</t>
        </is>
      </c>
      <c r="W1349" s="189" t="n">
        <v>1</v>
      </c>
      <c r="X1349" s="189" t="inlineStr">
        <is>
          <t>LOW (40%)</t>
        </is>
      </c>
      <c r="Y1349" s="189" t="inlineStr">
        <is>
          <t>YES</t>
        </is>
      </c>
      <c r="Z1349" s="189" t="inlineStr">
        <is>
          <t>CHECK_VENDOR</t>
        </is>
      </c>
      <c r="AA1349" s="190" t="inlineStr">
        <is>
          <t>https://www.exploit-db.com/exploits/52479</t>
        </is>
      </c>
      <c r="AB1349" s="189" t="inlineStr">
        <is>
          <t>NONE</t>
        </is>
      </c>
      <c r="AC1349" s="189" t="n">
        <v>0</v>
      </c>
      <c r="AD1349" s="189" t="n"/>
    </row>
    <row r="1350">
      <c r="A1350" s="189" t="inlineStr">
        <is>
          <t>EXPLOIT</t>
        </is>
      </c>
      <c r="B1350" s="189" t="inlineStr">
        <is>
          <t>e684f84451aa</t>
        </is>
      </c>
      <c r="C1350" s="189" t="inlineStr">
        <is>
          <t>[remote] windows 10/11 - NTLM Hash Disclosure Spoofing</t>
        </is>
      </c>
      <c r="D1350" s="189" t="n">
        <v>7.5</v>
      </c>
      <c r="E1350" s="189" t="inlineStr">
        <is>
          <t>HIGH</t>
        </is>
      </c>
      <c r="F1350" s="189" t="n">
        <v>3</v>
      </c>
      <c r="G1350" s="189" t="n">
        <v>3</v>
      </c>
      <c r="H1350" s="189" t="inlineStr">
        <is>
          <t>CRITICAL</t>
        </is>
      </c>
      <c r="I1350" s="189" t="n">
        <v>16.5</v>
      </c>
      <c r="J1350" s="189" t="inlineStr">
        <is>
          <t>NO</t>
        </is>
      </c>
      <c r="K1350" s="190" t="inlineStr">
        <is>
          <t>https://www.exploit-db.com/exploits/52478</t>
        </is>
      </c>
      <c r="L1350" s="189" t="inlineStr">
        <is>
          <t>2026-02-04 00:00</t>
        </is>
      </c>
      <c r="M1350" s="189" t="inlineStr">
        <is>
          <t>CHECK_VENDOR</t>
        </is>
      </c>
      <c r="N1350" s="190" t="inlineStr">
        <is>
          <t>https://www.exploit-db.com/exploits/52478</t>
        </is>
      </c>
      <c r="O1350" s="189" t="inlineStr">
        <is>
          <t>Block exploit signatures at perimeter</t>
        </is>
      </c>
      <c r="P1350" s="189" t="inlineStr">
        <is>
          <t>Various</t>
        </is>
      </c>
      <c r="Q1350" s="189" t="inlineStr">
        <is>
          <t>P1</t>
        </is>
      </c>
      <c r="R1350" s="189" t="inlineStr">
        <is>
          <t>⚠️ Active exploit detected - prioritize patching | 🚫 Block exploit signatures at perimeter | 🔎 Scan environment for IOCs</t>
        </is>
      </c>
      <c r="S1350" s="189" t="inlineStr">
        <is>
          <t>Exploit - IP enrichment N/A</t>
        </is>
      </c>
      <c r="T1350" s="189" t="n">
        <v>0</v>
      </c>
      <c r="U1350" s="189" t="n">
        <v>0</v>
      </c>
      <c r="V1350" s="189" t="inlineStr">
        <is>
          <t>T1203:Exploitation for Client Execution</t>
        </is>
      </c>
      <c r="W1350" s="189" t="n">
        <v>1</v>
      </c>
      <c r="X1350" s="189" t="inlineStr">
        <is>
          <t>LOW (40%)</t>
        </is>
      </c>
      <c r="Y1350" s="189" t="inlineStr">
        <is>
          <t>YES</t>
        </is>
      </c>
      <c r="Z1350" s="189" t="inlineStr">
        <is>
          <t>CHECK_VENDOR</t>
        </is>
      </c>
      <c r="AA1350" s="190" t="inlineStr">
        <is>
          <t>https://www.exploit-db.com/exploits/52478</t>
        </is>
      </c>
      <c r="AB1350" s="189" t="inlineStr">
        <is>
          <t>NONE</t>
        </is>
      </c>
      <c r="AC1350" s="189" t="n">
        <v>0</v>
      </c>
      <c r="AD1350" s="189" t="n"/>
    </row>
    <row r="1351">
      <c r="A1351" s="189" t="inlineStr">
        <is>
          <t>EXPLOIT</t>
        </is>
      </c>
      <c r="B1351" s="189" t="inlineStr">
        <is>
          <t>fdac721057d5</t>
        </is>
      </c>
      <c r="C1351" s="189" t="inlineStr">
        <is>
          <t>[remote] Redis 8.0.2 - RCE</t>
        </is>
      </c>
      <c r="D1351" s="189" t="n">
        <v>7.5</v>
      </c>
      <c r="E1351" s="189" t="inlineStr">
        <is>
          <t>HIGH</t>
        </is>
      </c>
      <c r="F1351" s="189" t="n">
        <v>3</v>
      </c>
      <c r="G1351" s="189" t="n">
        <v>3</v>
      </c>
      <c r="H1351" s="189" t="inlineStr">
        <is>
          <t>CRITICAL</t>
        </is>
      </c>
      <c r="I1351" s="189" t="n">
        <v>16.5</v>
      </c>
      <c r="J1351" s="189" t="inlineStr">
        <is>
          <t>NO</t>
        </is>
      </c>
      <c r="K1351" s="190" t="inlineStr">
        <is>
          <t>https://www.exploit-db.com/exploits/52477</t>
        </is>
      </c>
      <c r="L1351" s="189" t="inlineStr">
        <is>
          <t>2026-02-04 00:00</t>
        </is>
      </c>
      <c r="M1351" s="189" t="inlineStr">
        <is>
          <t>CHECK_VENDOR</t>
        </is>
      </c>
      <c r="N1351" s="190" t="inlineStr">
        <is>
          <t>https://www.exploit-db.com/exploits/52477</t>
        </is>
      </c>
      <c r="O1351" s="189" t="inlineStr">
        <is>
          <t>Block exploit signatures at perimeter</t>
        </is>
      </c>
      <c r="P1351" s="189" t="inlineStr">
        <is>
          <t>Various</t>
        </is>
      </c>
      <c r="Q1351" s="189" t="inlineStr">
        <is>
          <t>P1</t>
        </is>
      </c>
      <c r="R1351" s="189" t="inlineStr">
        <is>
          <t>⚠️ Active exploit detected - prioritize patching | 🚫 Block exploit signatures at perimeter | 🔎 Scan environment for IOCs</t>
        </is>
      </c>
      <c r="S1351" s="189" t="inlineStr">
        <is>
          <t>Exploit - IP enrichment N/A</t>
        </is>
      </c>
      <c r="T1351" s="189" t="n">
        <v>0</v>
      </c>
      <c r="U1351" s="189" t="n">
        <v>0</v>
      </c>
      <c r="V1351" s="189" t="inlineStr">
        <is>
          <t>T1203:Exploitation for Client Execution</t>
        </is>
      </c>
      <c r="W1351" s="189" t="n">
        <v>1</v>
      </c>
      <c r="X1351" s="189" t="inlineStr">
        <is>
          <t>LOW (40%)</t>
        </is>
      </c>
      <c r="Y1351" s="189" t="inlineStr">
        <is>
          <t>YES</t>
        </is>
      </c>
      <c r="Z1351" s="189" t="inlineStr">
        <is>
          <t>CHECK_VENDOR</t>
        </is>
      </c>
      <c r="AA1351" s="190" t="inlineStr">
        <is>
          <t>https://www.exploit-db.com/exploits/52477</t>
        </is>
      </c>
      <c r="AB1351" s="189" t="inlineStr">
        <is>
          <t>NONE</t>
        </is>
      </c>
      <c r="AC1351" s="189" t="n">
        <v>0</v>
      </c>
      <c r="AD1351" s="189" t="n"/>
    </row>
    <row r="1352">
      <c r="A1352" s="189" t="inlineStr">
        <is>
          <t>EXPLOIT</t>
        </is>
      </c>
      <c r="B1352" s="189" t="inlineStr">
        <is>
          <t>b844108c7945</t>
        </is>
      </c>
      <c r="C1352" s="189" t="inlineStr">
        <is>
          <t>[webapps] OctoPrint 1.11.2 - File Upload</t>
        </is>
      </c>
      <c r="D1352" s="189" t="n">
        <v>7.5</v>
      </c>
      <c r="E1352" s="189" t="inlineStr">
        <is>
          <t>HIGH</t>
        </is>
      </c>
      <c r="F1352" s="189" t="n">
        <v>3</v>
      </c>
      <c r="G1352" s="189" t="n">
        <v>3</v>
      </c>
      <c r="H1352" s="189" t="inlineStr">
        <is>
          <t>CRITICAL</t>
        </is>
      </c>
      <c r="I1352" s="189" t="n">
        <v>16.5</v>
      </c>
      <c r="J1352" s="189" t="inlineStr">
        <is>
          <t>NO</t>
        </is>
      </c>
      <c r="K1352" s="190" t="inlineStr">
        <is>
          <t>https://www.exploit-db.com/exploits/52476</t>
        </is>
      </c>
      <c r="L1352" s="189" t="inlineStr">
        <is>
          <t>2026-02-04 00:00</t>
        </is>
      </c>
      <c r="M1352" s="189" t="inlineStr">
        <is>
          <t>CHECK_VENDOR</t>
        </is>
      </c>
      <c r="N1352" s="190" t="inlineStr">
        <is>
          <t>https://www.exploit-db.com/exploits/52476</t>
        </is>
      </c>
      <c r="O1352" s="189" t="inlineStr">
        <is>
          <t>Block exploit signatures at perimeter</t>
        </is>
      </c>
      <c r="P1352" s="189" t="inlineStr">
        <is>
          <t>Various</t>
        </is>
      </c>
      <c r="Q1352" s="189" t="inlineStr">
        <is>
          <t>P1</t>
        </is>
      </c>
      <c r="R1352" s="189" t="inlineStr">
        <is>
          <t>⚠️ Active exploit detected - prioritize patching | 🚫 Block exploit signatures at perimeter | 🔎 Scan environment for IOCs</t>
        </is>
      </c>
      <c r="S1352" s="189" t="inlineStr">
        <is>
          <t>Exploit - IP enrichment N/A</t>
        </is>
      </c>
      <c r="T1352" s="189" t="n">
        <v>0</v>
      </c>
      <c r="U1352" s="189" t="n">
        <v>0</v>
      </c>
      <c r="V1352" s="189" t="inlineStr">
        <is>
          <t>T1203:Exploitation for Client Execution</t>
        </is>
      </c>
      <c r="W1352" s="189" t="n">
        <v>1</v>
      </c>
      <c r="X1352" s="189" t="inlineStr">
        <is>
          <t>LOW (40%)</t>
        </is>
      </c>
      <c r="Y1352" s="189" t="inlineStr">
        <is>
          <t>YES</t>
        </is>
      </c>
      <c r="Z1352" s="189" t="inlineStr">
        <is>
          <t>CHECK_VENDOR</t>
        </is>
      </c>
      <c r="AA1352" s="190" t="inlineStr">
        <is>
          <t>https://www.exploit-db.com/exploits/52476</t>
        </is>
      </c>
      <c r="AB1352" s="189" t="inlineStr">
        <is>
          <t>NONE</t>
        </is>
      </c>
      <c r="AC1352" s="189" t="n">
        <v>0</v>
      </c>
      <c r="AD1352" s="189" t="n"/>
    </row>
    <row r="1353">
      <c r="A1353" s="189" t="inlineStr">
        <is>
          <t>EXPLOIT</t>
        </is>
      </c>
      <c r="B1353" s="189" t="inlineStr">
        <is>
          <t>1453e19b6a2e</t>
        </is>
      </c>
      <c r="C1353" s="189" t="inlineStr">
        <is>
          <t>[remote] Ingress-NGINX Admission Controller v1.11.1 - FD Injection to RCE</t>
        </is>
      </c>
      <c r="D1353" s="189" t="n">
        <v>7.5</v>
      </c>
      <c r="E1353" s="189" t="inlineStr">
        <is>
          <t>HIGH</t>
        </is>
      </c>
      <c r="F1353" s="189" t="n">
        <v>3</v>
      </c>
      <c r="G1353" s="189" t="n">
        <v>3</v>
      </c>
      <c r="H1353" s="189" t="inlineStr">
        <is>
          <t>CRITICAL</t>
        </is>
      </c>
      <c r="I1353" s="189" t="n">
        <v>16.5</v>
      </c>
      <c r="J1353" s="189" t="inlineStr">
        <is>
          <t>NO</t>
        </is>
      </c>
      <c r="K1353" s="190" t="inlineStr">
        <is>
          <t>https://www.exploit-db.com/exploits/52475</t>
        </is>
      </c>
      <c r="L1353" s="189" t="inlineStr">
        <is>
          <t>2026-02-04 00:00</t>
        </is>
      </c>
      <c r="M1353" s="189" t="inlineStr">
        <is>
          <t>CHECK_VENDOR</t>
        </is>
      </c>
      <c r="N1353" s="190" t="inlineStr">
        <is>
          <t>https://www.exploit-db.com/exploits/52475</t>
        </is>
      </c>
      <c r="O1353" s="189" t="inlineStr">
        <is>
          <t>Block exploit signatures at perimeter</t>
        </is>
      </c>
      <c r="P1353" s="189" t="inlineStr">
        <is>
          <t>Various</t>
        </is>
      </c>
      <c r="Q1353" s="189" t="inlineStr">
        <is>
          <t>P1</t>
        </is>
      </c>
      <c r="R1353" s="189" t="inlineStr">
        <is>
          <t>⚠️ Active exploit detected - prioritize patching | 🚫 Block exploit signatures at perimeter | 🔎 Scan environment for IOCs</t>
        </is>
      </c>
      <c r="S1353" s="189" t="inlineStr">
        <is>
          <t>Exploit - IP enrichment N/A</t>
        </is>
      </c>
      <c r="T1353" s="189" t="n">
        <v>0</v>
      </c>
      <c r="U1353" s="189" t="n">
        <v>0</v>
      </c>
      <c r="V1353" s="189" t="inlineStr">
        <is>
          <t>T1203:Exploitation for Client Execution</t>
        </is>
      </c>
      <c r="W1353" s="189" t="n">
        <v>1</v>
      </c>
      <c r="X1353" s="189" t="inlineStr">
        <is>
          <t>LOW (40%)</t>
        </is>
      </c>
      <c r="Y1353" s="189" t="inlineStr">
        <is>
          <t>YES</t>
        </is>
      </c>
      <c r="Z1353" s="189" t="inlineStr">
        <is>
          <t>CHECK_VENDOR</t>
        </is>
      </c>
      <c r="AA1353" s="190" t="inlineStr">
        <is>
          <t>https://www.exploit-db.com/exploits/52475</t>
        </is>
      </c>
      <c r="AB1353" s="189" t="inlineStr">
        <is>
          <t>NONE</t>
        </is>
      </c>
      <c r="AC1353" s="189" t="n">
        <v>0</v>
      </c>
      <c r="AD1353" s="189" t="n"/>
    </row>
    <row r="1354">
      <c r="A1354" s="189" t="inlineStr">
        <is>
          <t>EXPLOIT</t>
        </is>
      </c>
      <c r="B1354" s="189" t="inlineStr">
        <is>
          <t>4430cf019b0f</t>
        </is>
      </c>
      <c r="C1354" s="189" t="inlineStr">
        <is>
          <t>[webapps] aiohttp 3.9.1 - directory traversal PoC</t>
        </is>
      </c>
      <c r="D1354" s="189" t="n">
        <v>7.5</v>
      </c>
      <c r="E1354" s="189" t="inlineStr">
        <is>
          <t>HIGH</t>
        </is>
      </c>
      <c r="F1354" s="189" t="n">
        <v>3</v>
      </c>
      <c r="G1354" s="189" t="n">
        <v>3</v>
      </c>
      <c r="H1354" s="189" t="inlineStr">
        <is>
          <t>CRITICAL</t>
        </is>
      </c>
      <c r="I1354" s="189" t="n">
        <v>16.5</v>
      </c>
      <c r="J1354" s="189" t="inlineStr">
        <is>
          <t>NO</t>
        </is>
      </c>
      <c r="K1354" s="190" t="inlineStr">
        <is>
          <t>https://www.exploit-db.com/exploits/52474</t>
        </is>
      </c>
      <c r="L1354" s="189" t="inlineStr">
        <is>
          <t>2026-02-04 00:00</t>
        </is>
      </c>
      <c r="M1354" s="189" t="inlineStr">
        <is>
          <t>CHECK_VENDOR</t>
        </is>
      </c>
      <c r="N1354" s="190" t="inlineStr">
        <is>
          <t>https://www.exploit-db.com/exploits/52474</t>
        </is>
      </c>
      <c r="O1354" s="189" t="inlineStr">
        <is>
          <t>Block exploit signatures at perimeter</t>
        </is>
      </c>
      <c r="P1354" s="189" t="inlineStr">
        <is>
          <t>Various</t>
        </is>
      </c>
      <c r="Q1354" s="189" t="inlineStr">
        <is>
          <t>P1</t>
        </is>
      </c>
      <c r="R1354" s="189" t="inlineStr">
        <is>
          <t>⚠️ Active exploit detected - prioritize patching | 🚫 Block exploit signatures at perimeter | 🔎 Scan environment for IOCs</t>
        </is>
      </c>
      <c r="S1354" s="189" t="inlineStr">
        <is>
          <t>Exploit - IP enrichment N/A</t>
        </is>
      </c>
      <c r="T1354" s="189" t="n">
        <v>0</v>
      </c>
      <c r="U1354" s="189" t="n">
        <v>0</v>
      </c>
      <c r="V1354" s="189" t="inlineStr">
        <is>
          <t>T1203:Exploitation for Client Execution</t>
        </is>
      </c>
      <c r="W1354" s="189" t="n">
        <v>1</v>
      </c>
      <c r="X1354" s="189" t="inlineStr">
        <is>
          <t>LOW (40%)</t>
        </is>
      </c>
      <c r="Y1354" s="189" t="inlineStr">
        <is>
          <t>YES</t>
        </is>
      </c>
      <c r="Z1354" s="189" t="inlineStr">
        <is>
          <t>CHECK_VENDOR</t>
        </is>
      </c>
      <c r="AA1354" s="190" t="inlineStr">
        <is>
          <t>https://www.exploit-db.com/exploits/52474</t>
        </is>
      </c>
      <c r="AB1354" s="189" t="inlineStr">
        <is>
          <t>NONE</t>
        </is>
      </c>
      <c r="AC1354" s="189" t="n">
        <v>0</v>
      </c>
      <c r="AD1354" s="189" t="n"/>
    </row>
    <row r="1355">
      <c r="A1355" s="189" t="inlineStr">
        <is>
          <t>EXPLOIT</t>
        </is>
      </c>
      <c r="B1355" s="189" t="inlineStr">
        <is>
          <t>6789a52381fc</t>
        </is>
      </c>
      <c r="C1355" s="189" t="inlineStr">
        <is>
          <t>[webapps] FortiWeb Fabric Connector 7.6.x - SQL Injection to Remote Code Execution</t>
        </is>
      </c>
      <c r="D1355" s="189" t="n">
        <v>7.5</v>
      </c>
      <c r="E1355" s="189" t="inlineStr">
        <is>
          <t>HIGH</t>
        </is>
      </c>
      <c r="F1355" s="189" t="n">
        <v>3</v>
      </c>
      <c r="G1355" s="189" t="n">
        <v>3</v>
      </c>
      <c r="H1355" s="189" t="inlineStr">
        <is>
          <t>CRITICAL</t>
        </is>
      </c>
      <c r="I1355" s="189" t="n">
        <v>16.5</v>
      </c>
      <c r="J1355" s="189" t="inlineStr">
        <is>
          <t>NO</t>
        </is>
      </c>
      <c r="K1355" s="190" t="inlineStr">
        <is>
          <t>https://www.exploit-db.com/exploits/52473</t>
        </is>
      </c>
      <c r="L1355" s="189" t="inlineStr">
        <is>
          <t>2026-02-04 00:00</t>
        </is>
      </c>
      <c r="M1355" s="189" t="inlineStr">
        <is>
          <t>CHECK_VENDOR</t>
        </is>
      </c>
      <c r="N1355" s="190" t="inlineStr">
        <is>
          <t>https://www.exploit-db.com/exploits/52473</t>
        </is>
      </c>
      <c r="O1355" s="189" t="inlineStr">
        <is>
          <t>Block exploit signatures at perimeter</t>
        </is>
      </c>
      <c r="P1355" s="189" t="inlineStr">
        <is>
          <t>Various</t>
        </is>
      </c>
      <c r="Q1355" s="189" t="inlineStr">
        <is>
          <t>P1</t>
        </is>
      </c>
      <c r="R1355" s="189" t="inlineStr">
        <is>
          <t>⚠️ Active exploit detected - prioritize patching | 🚫 Block exploit signatures at perimeter | 🔎 Scan environment for IOCs</t>
        </is>
      </c>
      <c r="S1355" s="189" t="inlineStr">
        <is>
          <t>Exploit - IP enrichment N/A</t>
        </is>
      </c>
      <c r="T1355" s="189" t="n">
        <v>0</v>
      </c>
      <c r="U1355" s="189" t="n">
        <v>0</v>
      </c>
      <c r="V1355" s="189" t="inlineStr">
        <is>
          <t>T1203:Exploitation for Client Execution</t>
        </is>
      </c>
      <c r="W1355" s="189" t="n">
        <v>1</v>
      </c>
      <c r="X1355" s="189" t="inlineStr">
        <is>
          <t>LOW (40%)</t>
        </is>
      </c>
      <c r="Y1355" s="189" t="inlineStr">
        <is>
          <t>YES</t>
        </is>
      </c>
      <c r="Z1355" s="189" t="inlineStr">
        <is>
          <t>CHECK_VENDOR</t>
        </is>
      </c>
      <c r="AA1355" s="190" t="inlineStr">
        <is>
          <t>https://www.exploit-db.com/exploits/52473</t>
        </is>
      </c>
      <c r="AB1355" s="189" t="inlineStr">
        <is>
          <t>NONE</t>
        </is>
      </c>
      <c r="AC1355" s="189" t="n">
        <v>0</v>
      </c>
      <c r="AD1355" s="189" t="n"/>
    </row>
    <row r="1356">
      <c r="A1356" s="189" t="inlineStr">
        <is>
          <t>EXPLOIT</t>
        </is>
      </c>
      <c r="B1356" s="189" t="inlineStr">
        <is>
          <t>8aa4096ab8cc</t>
        </is>
      </c>
      <c r="C1356" s="189" t="inlineStr">
        <is>
          <t>[local] Docker Desktop 4.44.3 - Unauthenticated  API Exposure</t>
        </is>
      </c>
      <c r="D1356" s="189" t="n">
        <v>7.5</v>
      </c>
      <c r="E1356" s="189" t="inlineStr">
        <is>
          <t>HIGH</t>
        </is>
      </c>
      <c r="F1356" s="189" t="n">
        <v>3</v>
      </c>
      <c r="G1356" s="189" t="n">
        <v>3</v>
      </c>
      <c r="H1356" s="189" t="inlineStr">
        <is>
          <t>CRITICAL</t>
        </is>
      </c>
      <c r="I1356" s="189" t="n">
        <v>16.5</v>
      </c>
      <c r="J1356" s="189" t="inlineStr">
        <is>
          <t>NO</t>
        </is>
      </c>
      <c r="K1356" s="190" t="inlineStr">
        <is>
          <t>https://www.exploit-db.com/exploits/52472</t>
        </is>
      </c>
      <c r="L1356" s="189" t="inlineStr">
        <is>
          <t>2026-02-04 00:00</t>
        </is>
      </c>
      <c r="M1356" s="189" t="inlineStr">
        <is>
          <t>CHECK_VENDOR</t>
        </is>
      </c>
      <c r="N1356" s="190" t="inlineStr">
        <is>
          <t>https://www.exploit-db.com/exploits/52472</t>
        </is>
      </c>
      <c r="O1356" s="189" t="inlineStr">
        <is>
          <t>Block exploit signatures at perimeter</t>
        </is>
      </c>
      <c r="P1356" s="189" t="inlineStr">
        <is>
          <t>Various</t>
        </is>
      </c>
      <c r="Q1356" s="189" t="inlineStr">
        <is>
          <t>P1</t>
        </is>
      </c>
      <c r="R1356" s="189" t="inlineStr">
        <is>
          <t>⚠️ Active exploit detected - prioritize patching | 🚫 Block exploit signatures at perimeter | 🔎 Scan environment for IOCs</t>
        </is>
      </c>
      <c r="S1356" s="189" t="inlineStr">
        <is>
          <t>Exploit - IP enrichment N/A</t>
        </is>
      </c>
      <c r="T1356" s="189" t="n">
        <v>0</v>
      </c>
      <c r="U1356" s="189" t="n">
        <v>0</v>
      </c>
      <c r="V1356" s="189" t="inlineStr">
        <is>
          <t>T1203:Exploitation for Client Execution</t>
        </is>
      </c>
      <c r="W1356" s="189" t="n">
        <v>1</v>
      </c>
      <c r="X1356" s="189" t="inlineStr">
        <is>
          <t>LOW (40%)</t>
        </is>
      </c>
      <c r="Y1356" s="189" t="inlineStr">
        <is>
          <t>YES</t>
        </is>
      </c>
      <c r="Z1356" s="189" t="inlineStr">
        <is>
          <t>CHECK_VENDOR</t>
        </is>
      </c>
      <c r="AA1356" s="190" t="inlineStr">
        <is>
          <t>https://www.exploit-db.com/exploits/52472</t>
        </is>
      </c>
      <c r="AB1356" s="189" t="inlineStr">
        <is>
          <t>NONE</t>
        </is>
      </c>
      <c r="AC1356" s="189" t="n">
        <v>0</v>
      </c>
      <c r="AD1356" s="189" t="n"/>
    </row>
    <row r="1357">
      <c r="A1357" s="189" t="inlineStr">
        <is>
          <t>EXPLOIT</t>
        </is>
      </c>
      <c r="B1357" s="189" t="inlineStr">
        <is>
          <t>76316903045d</t>
        </is>
      </c>
      <c r="C1357" s="189" t="inlineStr">
        <is>
          <t>[webapps] Piranha CMS 12.0 - Stored XSS in Text Block</t>
        </is>
      </c>
      <c r="D1357" s="189" t="n">
        <v>7.5</v>
      </c>
      <c r="E1357" s="189" t="inlineStr">
        <is>
          <t>HIGH</t>
        </is>
      </c>
      <c r="F1357" s="189" t="n">
        <v>3</v>
      </c>
      <c r="G1357" s="189" t="n">
        <v>3</v>
      </c>
      <c r="H1357" s="189" t="inlineStr">
        <is>
          <t>CRITICAL</t>
        </is>
      </c>
      <c r="I1357" s="189" t="n">
        <v>16.5</v>
      </c>
      <c r="J1357" s="189" t="inlineStr">
        <is>
          <t>NO</t>
        </is>
      </c>
      <c r="K1357" s="190" t="inlineStr">
        <is>
          <t>https://www.exploit-db.com/exploits/52471</t>
        </is>
      </c>
      <c r="L1357" s="189" t="inlineStr">
        <is>
          <t>2026-02-02 00:00</t>
        </is>
      </c>
      <c r="M1357" s="189" t="inlineStr">
        <is>
          <t>CHECK_VENDOR</t>
        </is>
      </c>
      <c r="N1357" s="190" t="inlineStr">
        <is>
          <t>https://www.exploit-db.com/exploits/52471</t>
        </is>
      </c>
      <c r="O1357" s="189" t="inlineStr">
        <is>
          <t>Block exploit signatures at perimeter</t>
        </is>
      </c>
      <c r="P1357" s="189" t="inlineStr">
        <is>
          <t>Various</t>
        </is>
      </c>
      <c r="Q1357" s="189" t="inlineStr">
        <is>
          <t>P1</t>
        </is>
      </c>
      <c r="R1357" s="189" t="inlineStr">
        <is>
          <t>⚠️ Active exploit detected - prioritize patching | 🚫 Block exploit signatures at perimeter | 🔎 Scan environment for IOCs</t>
        </is>
      </c>
      <c r="S1357" s="189" t="inlineStr">
        <is>
          <t>Exploit - IP enrichment N/A</t>
        </is>
      </c>
      <c r="T1357" s="189" t="n">
        <v>0</v>
      </c>
      <c r="U1357" s="189" t="n">
        <v>0</v>
      </c>
      <c r="V1357" s="189" t="inlineStr">
        <is>
          <t>T1203:Exploitation for Client Execution</t>
        </is>
      </c>
      <c r="W1357" s="189" t="n">
        <v>1</v>
      </c>
      <c r="X1357" s="189" t="inlineStr">
        <is>
          <t>LOW (40%)</t>
        </is>
      </c>
      <c r="Y1357" s="189" t="inlineStr">
        <is>
          <t>YES</t>
        </is>
      </c>
      <c r="Z1357" s="189" t="inlineStr">
        <is>
          <t>CHECK_VENDOR</t>
        </is>
      </c>
      <c r="AA1357" s="190" t="inlineStr">
        <is>
          <t>https://www.exploit-db.com/exploits/52471</t>
        </is>
      </c>
      <c r="AB1357" s="189" t="inlineStr">
        <is>
          <t>NONE</t>
        </is>
      </c>
      <c r="AC1357" s="189" t="n">
        <v>0</v>
      </c>
      <c r="AD1357" s="189" t="n"/>
    </row>
    <row r="1358">
      <c r="A1358" s="189" t="inlineStr">
        <is>
          <t>EXPLOIT</t>
        </is>
      </c>
      <c r="B1358" s="189" t="inlineStr">
        <is>
          <t>e89317565977</t>
        </is>
      </c>
      <c r="C1358" s="189" t="inlineStr">
        <is>
          <t>[webapps] RPi-Jukebox-RFID 2.8.0 - Stored Cross-Site Scripting (XSS)</t>
        </is>
      </c>
      <c r="D1358" s="189" t="n">
        <v>7.5</v>
      </c>
      <c r="E1358" s="189" t="inlineStr">
        <is>
          <t>HIGH</t>
        </is>
      </c>
      <c r="F1358" s="189" t="n">
        <v>3</v>
      </c>
      <c r="G1358" s="189" t="n">
        <v>3</v>
      </c>
      <c r="H1358" s="189" t="inlineStr">
        <is>
          <t>CRITICAL</t>
        </is>
      </c>
      <c r="I1358" s="189" t="n">
        <v>16.5</v>
      </c>
      <c r="J1358" s="189" t="inlineStr">
        <is>
          <t>NO</t>
        </is>
      </c>
      <c r="K1358" s="190" t="inlineStr">
        <is>
          <t>https://www.exploit-db.com/exploits/52470</t>
        </is>
      </c>
      <c r="L1358" s="189" t="inlineStr">
        <is>
          <t>2026-02-02 00:00</t>
        </is>
      </c>
      <c r="M1358" s="189" t="inlineStr">
        <is>
          <t>CHECK_VENDOR</t>
        </is>
      </c>
      <c r="N1358" s="190" t="inlineStr">
        <is>
          <t>https://www.exploit-db.com/exploits/52470</t>
        </is>
      </c>
      <c r="O1358" s="189" t="inlineStr">
        <is>
          <t>Block exploit signatures at perimeter</t>
        </is>
      </c>
      <c r="P1358" s="189" t="inlineStr">
        <is>
          <t>Various</t>
        </is>
      </c>
      <c r="Q1358" s="189" t="inlineStr">
        <is>
          <t>P1</t>
        </is>
      </c>
      <c r="R1358" s="189" t="inlineStr">
        <is>
          <t>⚠️ Active exploit detected - prioritize patching | 🚫 Block exploit signatures at perimeter | 🔎 Scan environment for IOCs</t>
        </is>
      </c>
      <c r="S1358" s="189" t="inlineStr">
        <is>
          <t>Exploit - IP enrichment N/A</t>
        </is>
      </c>
      <c r="T1358" s="189" t="n">
        <v>0</v>
      </c>
      <c r="U1358" s="189" t="n">
        <v>0</v>
      </c>
      <c r="V1358" s="189" t="inlineStr">
        <is>
          <t>T1203:Exploitation for Client Execution</t>
        </is>
      </c>
      <c r="W1358" s="189" t="n">
        <v>1</v>
      </c>
      <c r="X1358" s="189" t="inlineStr">
        <is>
          <t>LOW (40%)</t>
        </is>
      </c>
      <c r="Y1358" s="189" t="inlineStr">
        <is>
          <t>YES</t>
        </is>
      </c>
      <c r="Z1358" s="189" t="inlineStr">
        <is>
          <t>CHECK_VENDOR</t>
        </is>
      </c>
      <c r="AA1358" s="190" t="inlineStr">
        <is>
          <t>https://www.exploit-db.com/exploits/52470</t>
        </is>
      </c>
      <c r="AB1358" s="189" t="inlineStr">
        <is>
          <t>NONE</t>
        </is>
      </c>
      <c r="AC1358" s="189" t="n">
        <v>0</v>
      </c>
      <c r="AD1358" s="189" t="n"/>
    </row>
    <row r="1359">
      <c r="A1359" s="189" t="inlineStr">
        <is>
          <t>EXPLOIT</t>
        </is>
      </c>
      <c r="B1359" s="189" t="inlineStr">
        <is>
          <t>1c351f3b56ac</t>
        </is>
      </c>
      <c r="C1359" s="189" t="inlineStr">
        <is>
          <t>[hardware] D-Link DIR-825 Rev.B 2.10 - Stack Buffer Overflow (DoS)</t>
        </is>
      </c>
      <c r="D1359" s="189" t="n">
        <v>7.5</v>
      </c>
      <c r="E1359" s="189" t="inlineStr">
        <is>
          <t>HIGH</t>
        </is>
      </c>
      <c r="F1359" s="189" t="n">
        <v>3</v>
      </c>
      <c r="G1359" s="189" t="n">
        <v>3</v>
      </c>
      <c r="H1359" s="189" t="inlineStr">
        <is>
          <t>CRITICAL</t>
        </is>
      </c>
      <c r="I1359" s="189" t="n">
        <v>16.5</v>
      </c>
      <c r="J1359" s="189" t="inlineStr">
        <is>
          <t>NO</t>
        </is>
      </c>
      <c r="K1359" s="190" t="inlineStr">
        <is>
          <t>https://www.exploit-db.com/exploits/52469</t>
        </is>
      </c>
      <c r="L1359" s="189" t="inlineStr">
        <is>
          <t>2026-02-02 00:00</t>
        </is>
      </c>
      <c r="M1359" s="189" t="inlineStr">
        <is>
          <t>CHECK_VENDOR</t>
        </is>
      </c>
      <c r="N1359" s="190" t="inlineStr">
        <is>
          <t>https://www.exploit-db.com/exploits/52469</t>
        </is>
      </c>
      <c r="O1359" s="189" t="inlineStr">
        <is>
          <t>Block exploit signatures at perimeter</t>
        </is>
      </c>
      <c r="P1359" s="189" t="inlineStr">
        <is>
          <t>Various</t>
        </is>
      </c>
      <c r="Q1359" s="189" t="inlineStr">
        <is>
          <t>P1</t>
        </is>
      </c>
      <c r="R1359" s="189" t="inlineStr">
        <is>
          <t>⚠️ Active exploit detected - prioritize patching | 🚫 Block exploit signatures at perimeter | 🔎 Scan environment for IOCs</t>
        </is>
      </c>
      <c r="S1359" s="189" t="inlineStr">
        <is>
          <t>Exploit - IP enrichment N/A</t>
        </is>
      </c>
      <c r="T1359" s="189" t="n">
        <v>0</v>
      </c>
      <c r="U1359" s="189" t="n">
        <v>0</v>
      </c>
      <c r="V1359" s="189" t="inlineStr">
        <is>
          <t>T1203:Exploitation for Client Execution</t>
        </is>
      </c>
      <c r="W1359" s="189" t="n">
        <v>1</v>
      </c>
      <c r="X1359" s="189" t="inlineStr">
        <is>
          <t>LOW (40%)</t>
        </is>
      </c>
      <c r="Y1359" s="189" t="inlineStr">
        <is>
          <t>YES</t>
        </is>
      </c>
      <c r="Z1359" s="189" t="inlineStr">
        <is>
          <t>CHECK_VENDOR</t>
        </is>
      </c>
      <c r="AA1359" s="190" t="inlineStr">
        <is>
          <t>https://www.exploit-db.com/exploits/52469</t>
        </is>
      </c>
      <c r="AB1359" s="189" t="inlineStr">
        <is>
          <t>NONE</t>
        </is>
      </c>
      <c r="AC1359" s="189" t="n">
        <v>0</v>
      </c>
      <c r="AD1359" s="189" t="n"/>
    </row>
    <row r="1360">
      <c r="A1360" s="191" t="inlineStr">
        <is>
          <t>GH_ADVISORY</t>
        </is>
      </c>
      <c r="B1360" s="191" t="inlineStr">
        <is>
          <t>GHSA-cxpw-2g23-2vgw</t>
        </is>
      </c>
      <c r="C1360" s="191" t="inlineStr">
        <is>
          <t>OpenClaw: ACP prompt-size checks missing in local stdio bridge could reduce responsiveness with very large inputs</t>
        </is>
      </c>
      <c r="D1360" s="191" t="n">
        <v>7</v>
      </c>
      <c r="E1360" s="191" t="inlineStr">
        <is>
          <t>MEDIUM</t>
        </is>
      </c>
      <c r="F1360" s="191" t="n">
        <v>2</v>
      </c>
      <c r="G1360" s="191" t="n">
        <v>2</v>
      </c>
      <c r="H1360" s="191" t="inlineStr">
        <is>
          <t>MEDIUM</t>
        </is>
      </c>
      <c r="I1360" s="191" t="n">
        <v>11</v>
      </c>
      <c r="J1360" s="191" t="inlineStr">
        <is>
          <t>NO</t>
        </is>
      </c>
      <c r="K1360" s="192" t="inlineStr">
        <is>
          <t>https://github.com/advisories/GHSA-cxpw-2g23-2vgw</t>
        </is>
      </c>
      <c r="L1360" s="191" t="inlineStr">
        <is>
          <t>2026-02-20T21:52:44Z</t>
        </is>
      </c>
      <c r="M1360" s="191" t="inlineStr">
        <is>
          <t>CHECK_GITHUB</t>
        </is>
      </c>
      <c r="N1360" s="192" t="inlineStr">
        <is>
          <t>https://github.com/advisories/GHSA-cxpw-2g23-2vgw</t>
        </is>
      </c>
      <c r="O1360" s="191" t="inlineStr">
        <is>
          <t>Update affected packages per GitHub advisory</t>
        </is>
      </c>
      <c r="P1360" s="191" t="inlineStr">
        <is>
          <t>openclaw</t>
        </is>
      </c>
      <c r="Q1360" s="191" t="inlineStr">
        <is>
          <t>P4</t>
        </is>
      </c>
      <c r="R1360" s="191" t="inlineStr">
        <is>
          <t>🔍 Investigate and apply appropriate controls</t>
        </is>
      </c>
      <c r="S1360" s="191" t="inlineStr">
        <is>
          <t>Advisory - IP enrichment N/A</t>
        </is>
      </c>
      <c r="T1360" s="191" t="n">
        <v>0</v>
      </c>
      <c r="U1360" s="191" t="n">
        <v>0</v>
      </c>
      <c r="V1360" s="191" t="inlineStr">
        <is>
          <t>T1190:Exploit Public-Facing Application</t>
        </is>
      </c>
      <c r="W1360" s="191" t="n">
        <v>1</v>
      </c>
      <c r="X1360" s="191" t="inlineStr">
        <is>
          <t>LOW (40%)</t>
        </is>
      </c>
      <c r="Y1360" s="191" t="inlineStr">
        <is>
          <t>CHECK_GITHUB</t>
        </is>
      </c>
      <c r="Z1360" s="191" t="inlineStr">
        <is>
          <t>YES</t>
        </is>
      </c>
      <c r="AA1360" s="192" t="inlineStr">
        <is>
          <t>https://github.com/advisories/GHSA-cxpw-2g23-2vgw</t>
        </is>
      </c>
      <c r="AB1360" s="191" t="inlineStr">
        <is>
          <t>NONE</t>
        </is>
      </c>
      <c r="AC1360" s="191" t="n">
        <v>0</v>
      </c>
      <c r="AD1360" s="191" t="n"/>
    </row>
    <row r="1361">
      <c r="A1361" s="189" t="inlineStr">
        <is>
          <t>GH_ADVISORY</t>
        </is>
      </c>
      <c r="B1361" s="189" t="inlineStr">
        <is>
          <t>GHSA-qv8j-hgpc-vrq8</t>
        </is>
      </c>
      <c r="C1361" s="189" t="inlineStr">
        <is>
          <t>Google Cloud Vertex AI SDK affected by Stored Cross-Site Scripting (XSS)</t>
        </is>
      </c>
      <c r="D1361" s="189" t="n">
        <v>7</v>
      </c>
      <c r="E1361" s="189" t="inlineStr">
        <is>
          <t>HIGH</t>
        </is>
      </c>
      <c r="F1361" s="189" t="n">
        <v>2</v>
      </c>
      <c r="G1361" s="189" t="n">
        <v>2</v>
      </c>
      <c r="H1361" s="189" t="inlineStr">
        <is>
          <t>MEDIUM</t>
        </is>
      </c>
      <c r="I1361" s="189" t="n">
        <v>11</v>
      </c>
      <c r="J1361" s="189" t="inlineStr">
        <is>
          <t>NO</t>
        </is>
      </c>
      <c r="K1361" s="190" t="inlineStr">
        <is>
          <t>https://github.com/advisories/GHSA-qv8j-hgpc-vrq8</t>
        </is>
      </c>
      <c r="L1361" s="189" t="inlineStr">
        <is>
          <t>2026-02-20T21:31:24Z</t>
        </is>
      </c>
      <c r="M1361" s="189" t="inlineStr">
        <is>
          <t>CHECK_GITHUB</t>
        </is>
      </c>
      <c r="N1361" s="190" t="inlineStr">
        <is>
          <t>https://github.com/advisories/GHSA-qv8j-hgpc-vrq8</t>
        </is>
      </c>
      <c r="O1361" s="189" t="inlineStr">
        <is>
          <t>Update affected packages per GitHub advisory</t>
        </is>
      </c>
      <c r="P1361" s="189" t="inlineStr">
        <is>
          <t>google-cloud-aiplatform</t>
        </is>
      </c>
      <c r="Q1361" s="189" t="inlineStr">
        <is>
          <t>P4</t>
        </is>
      </c>
      <c r="R1361" s="189" t="inlineStr">
        <is>
          <t>🔍 Investigate and apply appropriate controls</t>
        </is>
      </c>
      <c r="S1361" s="189" t="inlineStr">
        <is>
          <t>Advisory - IP enrichment N/A</t>
        </is>
      </c>
      <c r="T1361" s="189" t="n">
        <v>0</v>
      </c>
      <c r="U1361" s="189" t="n">
        <v>0</v>
      </c>
      <c r="V1361" s="189" t="inlineStr">
        <is>
          <t>T1190:Exploit Public-Facing Application</t>
        </is>
      </c>
      <c r="W1361" s="189" t="n">
        <v>1</v>
      </c>
      <c r="X1361" s="189" t="inlineStr">
        <is>
          <t>LOW (40%)</t>
        </is>
      </c>
      <c r="Y1361" s="189" t="inlineStr">
        <is>
          <t>CHECK_GITHUB</t>
        </is>
      </c>
      <c r="Z1361" s="189" t="inlineStr">
        <is>
          <t>YES</t>
        </is>
      </c>
      <c r="AA1361" s="190" t="inlineStr">
        <is>
          <t>https://github.com/advisories/GHSA-qv8j-hgpc-vrq8</t>
        </is>
      </c>
      <c r="AB1361" s="189" t="inlineStr">
        <is>
          <t>NONE</t>
        </is>
      </c>
      <c r="AC1361" s="189" t="n">
        <v>0</v>
      </c>
      <c r="AD1361" s="189" t="n"/>
    </row>
    <row r="1362">
      <c r="A1362" s="189" t="inlineStr">
        <is>
          <t>GH_ADVISORY</t>
        </is>
      </c>
      <c r="B1362" s="189" t="inlineStr">
        <is>
          <t>GHSA-wh2j-26j7-9728</t>
        </is>
      </c>
      <c r="C1362" s="189" t="inlineStr">
        <is>
          <t>Google Cloud Vertex AI has a a vulnerability involving predictable bucket naming</t>
        </is>
      </c>
      <c r="D1362" s="189" t="n">
        <v>7</v>
      </c>
      <c r="E1362" s="189" t="inlineStr">
        <is>
          <t>HIGH</t>
        </is>
      </c>
      <c r="F1362" s="189" t="n">
        <v>2</v>
      </c>
      <c r="G1362" s="189" t="n">
        <v>2</v>
      </c>
      <c r="H1362" s="189" t="inlineStr">
        <is>
          <t>MEDIUM</t>
        </is>
      </c>
      <c r="I1362" s="189" t="n">
        <v>11</v>
      </c>
      <c r="J1362" s="189" t="inlineStr">
        <is>
          <t>NO</t>
        </is>
      </c>
      <c r="K1362" s="190" t="inlineStr">
        <is>
          <t>https://github.com/advisories/GHSA-wh2j-26j7-9728</t>
        </is>
      </c>
      <c r="L1362" s="189" t="inlineStr">
        <is>
          <t>2026-02-20T21:31:24Z</t>
        </is>
      </c>
      <c r="M1362" s="189" t="inlineStr">
        <is>
          <t>CHECK_GITHUB</t>
        </is>
      </c>
      <c r="N1362" s="190" t="inlineStr">
        <is>
          <t>https://github.com/advisories/GHSA-wh2j-26j7-9728</t>
        </is>
      </c>
      <c r="O1362" s="189" t="inlineStr">
        <is>
          <t>Update affected packages per GitHub advisory</t>
        </is>
      </c>
      <c r="P1362" s="189" t="inlineStr">
        <is>
          <t>google-cloud-aiplatform</t>
        </is>
      </c>
      <c r="Q1362" s="189" t="inlineStr">
        <is>
          <t>P4</t>
        </is>
      </c>
      <c r="R1362" s="189" t="inlineStr">
        <is>
          <t>🔍 Investigate and apply appropriate controls</t>
        </is>
      </c>
      <c r="S1362" s="189" t="inlineStr">
        <is>
          <t>Advisory - IP enrichment N/A</t>
        </is>
      </c>
      <c r="T1362" s="189" t="n">
        <v>0</v>
      </c>
      <c r="U1362" s="189" t="n">
        <v>0</v>
      </c>
      <c r="V1362" s="189" t="inlineStr">
        <is>
          <t>T1190:Exploit Public-Facing Application</t>
        </is>
      </c>
      <c r="W1362" s="189" t="n">
        <v>1</v>
      </c>
      <c r="X1362" s="189" t="inlineStr">
        <is>
          <t>LOW (40%)</t>
        </is>
      </c>
      <c r="Y1362" s="189" t="inlineStr">
        <is>
          <t>CHECK_GITHUB</t>
        </is>
      </c>
      <c r="Z1362" s="189" t="inlineStr">
        <is>
          <t>YES</t>
        </is>
      </c>
      <c r="AA1362" s="190" t="inlineStr">
        <is>
          <t>https://github.com/advisories/GHSA-wh2j-26j7-9728</t>
        </is>
      </c>
      <c r="AB1362" s="189" t="inlineStr">
        <is>
          <t>NONE</t>
        </is>
      </c>
      <c r="AC1362" s="189" t="n">
        <v>0</v>
      </c>
      <c r="AD1362" s="189" t="n"/>
    </row>
    <row r="1363">
      <c r="A1363" s="191" t="inlineStr">
        <is>
          <t>GH_ADVISORY</t>
        </is>
      </c>
      <c r="B1363" s="191" t="inlineStr">
        <is>
          <t>GHSA-q5fh-2hc8-f6rq</t>
        </is>
      </c>
      <c r="C1363" s="191" t="inlineStr">
        <is>
          <t>Ray dashboard DELETE endpoints allow unauthenticated browser-triggered DoS (Serve shutdown / job deletion)</t>
        </is>
      </c>
      <c r="D1363" s="191" t="n">
        <v>5.9</v>
      </c>
      <c r="E1363" s="191" t="inlineStr">
        <is>
          <t>MEDIUM</t>
        </is>
      </c>
      <c r="F1363" s="191" t="n">
        <v>2</v>
      </c>
      <c r="G1363" s="191" t="n">
        <v>2</v>
      </c>
      <c r="H1363" s="191" t="inlineStr">
        <is>
          <t>MEDIUM</t>
        </is>
      </c>
      <c r="I1363" s="191" t="n">
        <v>9.9</v>
      </c>
      <c r="J1363" s="191" t="inlineStr">
        <is>
          <t>NO</t>
        </is>
      </c>
      <c r="K1363" s="192" t="inlineStr">
        <is>
          <t>https://github.com/advisories/GHSA-q5fh-2hc8-f6rq</t>
        </is>
      </c>
      <c r="L1363" s="191" t="inlineStr">
        <is>
          <t>2026-02-20T21:15:25Z</t>
        </is>
      </c>
      <c r="M1363" s="191" t="inlineStr">
        <is>
          <t>CHECK_GITHUB</t>
        </is>
      </c>
      <c r="N1363" s="192" t="inlineStr">
        <is>
          <t>https://github.com/advisories/GHSA-q5fh-2hc8-f6rq</t>
        </is>
      </c>
      <c r="O1363" s="191" t="inlineStr">
        <is>
          <t>Update affected packages per GitHub advisory</t>
        </is>
      </c>
      <c r="P1363" s="191" t="inlineStr">
        <is>
          <t>ray</t>
        </is>
      </c>
      <c r="Q1363" s="191" t="inlineStr">
        <is>
          <t>P4</t>
        </is>
      </c>
      <c r="R1363" s="191" t="inlineStr">
        <is>
          <t>🔍 Investigate and apply appropriate controls</t>
        </is>
      </c>
      <c r="S1363" s="191" t="inlineStr">
        <is>
          <t>Advisory - IP enrichment N/A</t>
        </is>
      </c>
      <c r="T1363" s="191" t="n">
        <v>0</v>
      </c>
      <c r="U1363" s="191" t="n">
        <v>0</v>
      </c>
      <c r="V1363" s="191" t="inlineStr">
        <is>
          <t>T1190:Exploit Public-Facing Application</t>
        </is>
      </c>
      <c r="W1363" s="191" t="n">
        <v>1</v>
      </c>
      <c r="X1363" s="191" t="inlineStr">
        <is>
          <t>LOW (40%)</t>
        </is>
      </c>
      <c r="Y1363" s="191" t="inlineStr">
        <is>
          <t>CHECK_GITHUB</t>
        </is>
      </c>
      <c r="Z1363" s="191" t="inlineStr">
        <is>
          <t>YES</t>
        </is>
      </c>
      <c r="AA1363" s="192" t="inlineStr">
        <is>
          <t>https://github.com/advisories/GHSA-q5fh-2hc8-f6rq</t>
        </is>
      </c>
      <c r="AB1363" s="191" t="inlineStr">
        <is>
          <t>NONE</t>
        </is>
      </c>
      <c r="AC1363" s="191" t="n">
        <v>0</v>
      </c>
      <c r="AD1363" s="191" t="n"/>
    </row>
    <row r="1364">
      <c r="A1364" s="191" t="inlineStr">
        <is>
          <t>GH_ADVISORY</t>
        </is>
      </c>
      <c r="B1364" s="191" t="inlineStr">
        <is>
          <t>GHSA-rcqw-6466-3mv7</t>
        </is>
      </c>
      <c r="C1364" s="191" t="inlineStr">
        <is>
          <t>AVideo has Stored Cross-Site Scripting via Markdown Comment Injection</t>
        </is>
      </c>
      <c r="D1364" s="191" t="n">
        <v>7</v>
      </c>
      <c r="E1364" s="191" t="inlineStr">
        <is>
          <t>MEDIUM</t>
        </is>
      </c>
      <c r="F1364" s="191" t="n">
        <v>2</v>
      </c>
      <c r="G1364" s="191" t="n">
        <v>2</v>
      </c>
      <c r="H1364" s="191" t="inlineStr">
        <is>
          <t>MEDIUM</t>
        </is>
      </c>
      <c r="I1364" s="191" t="n">
        <v>11</v>
      </c>
      <c r="J1364" s="191" t="inlineStr">
        <is>
          <t>NO</t>
        </is>
      </c>
      <c r="K1364" s="192" t="inlineStr">
        <is>
          <t>https://github.com/advisories/GHSA-rcqw-6466-3mv7</t>
        </is>
      </c>
      <c r="L1364" s="191" t="inlineStr">
        <is>
          <t>2026-02-20T21:15:06Z</t>
        </is>
      </c>
      <c r="M1364" s="191" t="inlineStr">
        <is>
          <t>CHECK_GITHUB</t>
        </is>
      </c>
      <c r="N1364" s="192" t="inlineStr">
        <is>
          <t>https://github.com/advisories/GHSA-rcqw-6466-3mv7</t>
        </is>
      </c>
      <c r="O1364" s="191" t="inlineStr">
        <is>
          <t>Update affected packages per GitHub advisory</t>
        </is>
      </c>
      <c r="P1364" s="191" t="inlineStr">
        <is>
          <t>wwbn/avideo</t>
        </is>
      </c>
      <c r="Q1364" s="191" t="inlineStr">
        <is>
          <t>P4</t>
        </is>
      </c>
      <c r="R1364" s="191" t="inlineStr">
        <is>
          <t>🔍 Investigate and apply appropriate controls</t>
        </is>
      </c>
      <c r="S1364" s="191" t="inlineStr">
        <is>
          <t>Advisory - IP enrichment N/A</t>
        </is>
      </c>
      <c r="T1364" s="191" t="n">
        <v>0</v>
      </c>
      <c r="U1364" s="191" t="n">
        <v>0</v>
      </c>
      <c r="V1364" s="191" t="inlineStr">
        <is>
          <t>T1190:Exploit Public-Facing Application</t>
        </is>
      </c>
      <c r="W1364" s="191" t="n">
        <v>1</v>
      </c>
      <c r="X1364" s="191" t="inlineStr">
        <is>
          <t>LOW (40%)</t>
        </is>
      </c>
      <c r="Y1364" s="191" t="inlineStr">
        <is>
          <t>CHECK_GITHUB</t>
        </is>
      </c>
      <c r="Z1364" s="191" t="inlineStr">
        <is>
          <t>YES</t>
        </is>
      </c>
      <c r="AA1364" s="192" t="inlineStr">
        <is>
          <t>https://github.com/advisories/GHSA-rcqw-6466-3mv7</t>
        </is>
      </c>
      <c r="AB1364" s="191" t="inlineStr">
        <is>
          <t>NONE</t>
        </is>
      </c>
      <c r="AC1364" s="191" t="n">
        <v>0</v>
      </c>
      <c r="AD1364" s="191" t="n"/>
    </row>
    <row r="1365">
      <c r="A1365" s="191" t="inlineStr">
        <is>
          <t>GH_ADVISORY</t>
        </is>
      </c>
      <c r="B1365" s="191" t="inlineStr">
        <is>
          <t>GHSA-49pc-8936-wvfp</t>
        </is>
      </c>
      <c r="C1365" s="191" t="inlineStr">
        <is>
          <t>Lettermint Node.js SDK leaks email properties to unintended recipients when client instance is reused</t>
        </is>
      </c>
      <c r="D1365" s="191" t="n">
        <v>4.7</v>
      </c>
      <c r="E1365" s="191" t="inlineStr">
        <is>
          <t>MEDIUM</t>
        </is>
      </c>
      <c r="F1365" s="191" t="n">
        <v>2</v>
      </c>
      <c r="G1365" s="191" t="n">
        <v>2</v>
      </c>
      <c r="H1365" s="191" t="inlineStr">
        <is>
          <t>MEDIUM</t>
        </is>
      </c>
      <c r="I1365" s="191" t="n">
        <v>8.699999999999999</v>
      </c>
      <c r="J1365" s="191" t="inlineStr">
        <is>
          <t>NO</t>
        </is>
      </c>
      <c r="K1365" s="192" t="inlineStr">
        <is>
          <t>https://github.com/advisories/GHSA-49pc-8936-wvfp</t>
        </is>
      </c>
      <c r="L1365" s="191" t="inlineStr">
        <is>
          <t>2026-02-20T21:14:49Z</t>
        </is>
      </c>
      <c r="M1365" s="191" t="inlineStr">
        <is>
          <t>CHECK_GITHUB</t>
        </is>
      </c>
      <c r="N1365" s="192" t="inlineStr">
        <is>
          <t>https://github.com/advisories/GHSA-49pc-8936-wvfp</t>
        </is>
      </c>
      <c r="O1365" s="191" t="inlineStr">
        <is>
          <t>Update affected packages per GitHub advisory</t>
        </is>
      </c>
      <c r="P1365" s="191" t="inlineStr">
        <is>
          <t>lettermint</t>
        </is>
      </c>
      <c r="Q1365" s="191" t="inlineStr">
        <is>
          <t>P4</t>
        </is>
      </c>
      <c r="R1365" s="191" t="inlineStr">
        <is>
          <t>🔍 Investigate and apply appropriate controls</t>
        </is>
      </c>
      <c r="S1365" s="191" t="inlineStr">
        <is>
          <t>Advisory - IP enrichment N/A</t>
        </is>
      </c>
      <c r="T1365" s="191" t="n">
        <v>0</v>
      </c>
      <c r="U1365" s="191" t="n">
        <v>0</v>
      </c>
      <c r="V1365" s="191" t="inlineStr">
        <is>
          <t>T1190:Exploit Public-Facing Application</t>
        </is>
      </c>
      <c r="W1365" s="191" t="n">
        <v>1</v>
      </c>
      <c r="X1365" s="191" t="inlineStr">
        <is>
          <t>LOW (40%)</t>
        </is>
      </c>
      <c r="Y1365" s="191" t="inlineStr">
        <is>
          <t>CHECK_GITHUB</t>
        </is>
      </c>
      <c r="Z1365" s="191" t="inlineStr">
        <is>
          <t>YES</t>
        </is>
      </c>
      <c r="AA1365" s="192" t="inlineStr">
        <is>
          <t>https://github.com/advisories/GHSA-49pc-8936-wvfp</t>
        </is>
      </c>
      <c r="AB1365" s="191" t="inlineStr">
        <is>
          <t>NONE</t>
        </is>
      </c>
      <c r="AC1365" s="191" t="n">
        <v>0</v>
      </c>
      <c r="AD1365" s="191" t="n"/>
    </row>
    <row r="1366">
      <c r="A1366" s="193" t="inlineStr">
        <is>
          <t>GH_ADVISORY</t>
        </is>
      </c>
      <c r="B1366" s="193" t="inlineStr">
        <is>
          <t>GHSA-gv8r-9rw9-9697</t>
        </is>
      </c>
      <c r="C1366" s="193" t="inlineStr">
        <is>
          <t>Traefik affected by TLS ClientAuth Bypass on HTTP/3</t>
        </is>
      </c>
      <c r="D1366" s="193" t="n">
        <v>10</v>
      </c>
      <c r="E1366" s="193" t="inlineStr">
        <is>
          <t>CRITICAL</t>
        </is>
      </c>
      <c r="F1366" s="193" t="n">
        <v>2</v>
      </c>
      <c r="G1366" s="193" t="n">
        <v>2</v>
      </c>
      <c r="H1366" s="193" t="inlineStr">
        <is>
          <t>MEDIUM</t>
        </is>
      </c>
      <c r="I1366" s="193" t="n">
        <v>14</v>
      </c>
      <c r="J1366" s="193" t="inlineStr">
        <is>
          <t>NO</t>
        </is>
      </c>
      <c r="K1366" s="194" t="inlineStr">
        <is>
          <t>https://github.com/advisories/GHSA-gv8r-9rw9-9697</t>
        </is>
      </c>
      <c r="L1366" s="193" t="inlineStr">
        <is>
          <t>2026-02-20T21:14:27Z</t>
        </is>
      </c>
      <c r="M1366" s="193" t="inlineStr">
        <is>
          <t>CHECK_GITHUB</t>
        </is>
      </c>
      <c r="N1366" s="194" t="inlineStr">
        <is>
          <t>https://github.com/advisories/GHSA-gv8r-9rw9-9697</t>
        </is>
      </c>
      <c r="O1366" s="193" t="inlineStr">
        <is>
          <t>Update affected packages per GitHub advisory</t>
        </is>
      </c>
      <c r="P1366" s="193" t="inlineStr">
        <is>
          <t>github.com/traefik/traefik, github.com/traefik/traefik/v2, github.com/traefik/traefik/v3</t>
        </is>
      </c>
      <c r="Q1366" s="193" t="inlineStr">
        <is>
          <t>P4</t>
        </is>
      </c>
      <c r="R1366" s="193" t="inlineStr">
        <is>
          <t>🔍 Investigate and apply appropriate controls</t>
        </is>
      </c>
      <c r="S1366" s="193" t="inlineStr">
        <is>
          <t>Advisory - IP enrichment N/A</t>
        </is>
      </c>
      <c r="T1366" s="193" t="n">
        <v>0</v>
      </c>
      <c r="U1366" s="193" t="n">
        <v>0</v>
      </c>
      <c r="V1366" s="193" t="inlineStr">
        <is>
          <t>T1190:Exploit Public-Facing Application</t>
        </is>
      </c>
      <c r="W1366" s="193" t="n">
        <v>1</v>
      </c>
      <c r="X1366" s="193" t="inlineStr">
        <is>
          <t>LOW (40%)</t>
        </is>
      </c>
      <c r="Y1366" s="193" t="inlineStr">
        <is>
          <t>CHECK_GITHUB</t>
        </is>
      </c>
      <c r="Z1366" s="193" t="inlineStr">
        <is>
          <t>YES</t>
        </is>
      </c>
      <c r="AA1366" s="194" t="inlineStr">
        <is>
          <t>https://github.com/advisories/GHSA-gv8r-9rw9-9697</t>
        </is>
      </c>
      <c r="AB1366" s="193" t="inlineStr">
        <is>
          <t>NONE</t>
        </is>
      </c>
      <c r="AC1366" s="193" t="n">
        <v>0</v>
      </c>
      <c r="AD1366" s="193" t="n"/>
    </row>
    <row r="1367">
      <c r="A1367" s="191" t="inlineStr">
        <is>
          <t>GH_ADVISORY</t>
        </is>
      </c>
      <c r="B1367" s="191" t="inlineStr">
        <is>
          <t>GHSA-w45g-5746-x9fp</t>
        </is>
      </c>
      <c r="C1367" s="191" t="inlineStr">
        <is>
          <t>OpenClaw hardened cron webhook delivery against SSRF</t>
        </is>
      </c>
      <c r="D1367" s="191" t="n">
        <v>7</v>
      </c>
      <c r="E1367" s="191" t="inlineStr">
        <is>
          <t>MEDIUM</t>
        </is>
      </c>
      <c r="F1367" s="191" t="n">
        <v>2</v>
      </c>
      <c r="G1367" s="191" t="n">
        <v>2</v>
      </c>
      <c r="H1367" s="191" t="inlineStr">
        <is>
          <t>MEDIUM</t>
        </is>
      </c>
      <c r="I1367" s="191" t="n">
        <v>11</v>
      </c>
      <c r="J1367" s="191" t="inlineStr">
        <is>
          <t>NO</t>
        </is>
      </c>
      <c r="K1367" s="192" t="inlineStr">
        <is>
          <t>https://github.com/advisories/GHSA-w45g-5746-x9fp</t>
        </is>
      </c>
      <c r="L1367" s="191" t="inlineStr">
        <is>
          <t>2026-02-20T21:13:03Z</t>
        </is>
      </c>
      <c r="M1367" s="191" t="inlineStr">
        <is>
          <t>CHECK_GITHUB</t>
        </is>
      </c>
      <c r="N1367" s="192" t="inlineStr">
        <is>
          <t>https://github.com/advisories/GHSA-w45g-5746-x9fp</t>
        </is>
      </c>
      <c r="O1367" s="191" t="inlineStr">
        <is>
          <t>Update affected packages per GitHub advisory</t>
        </is>
      </c>
      <c r="P1367" s="191" t="inlineStr">
        <is>
          <t>openclaw</t>
        </is>
      </c>
      <c r="Q1367" s="191" t="inlineStr">
        <is>
          <t>P4</t>
        </is>
      </c>
      <c r="R1367" s="191" t="inlineStr">
        <is>
          <t>🔍 Investigate and apply appropriate controls</t>
        </is>
      </c>
      <c r="S1367" s="191" t="inlineStr">
        <is>
          <t>Advisory - IP enrichment N/A</t>
        </is>
      </c>
      <c r="T1367" s="191" t="n">
        <v>0</v>
      </c>
      <c r="U1367" s="191" t="n">
        <v>0</v>
      </c>
      <c r="V1367" s="191" t="inlineStr">
        <is>
          <t>T1190:Exploit Public-Facing Application</t>
        </is>
      </c>
      <c r="W1367" s="191" t="n">
        <v>1</v>
      </c>
      <c r="X1367" s="191" t="inlineStr">
        <is>
          <t>LOW (40%)</t>
        </is>
      </c>
      <c r="Y1367" s="191" t="inlineStr">
        <is>
          <t>CHECK_GITHUB</t>
        </is>
      </c>
      <c r="Z1367" s="191" t="inlineStr">
        <is>
          <t>YES</t>
        </is>
      </c>
      <c r="AA1367" s="192" t="inlineStr">
        <is>
          <t>https://github.com/advisories/GHSA-w45g-5746-x9fp</t>
        </is>
      </c>
      <c r="AB1367" s="191" t="inlineStr">
        <is>
          <t>NONE</t>
        </is>
      </c>
      <c r="AC1367" s="191" t="n">
        <v>0</v>
      </c>
      <c r="AD1367" s="191" t="n"/>
    </row>
    <row r="1368">
      <c r="A1368" s="191" t="inlineStr">
        <is>
          <t>GH_ADVISORY</t>
        </is>
      </c>
      <c r="B1368" s="191" t="inlineStr">
        <is>
          <t>GHSA-r6h2-5gqq-v5v6</t>
        </is>
      </c>
      <c r="C1368" s="191" t="inlineStr">
        <is>
          <t>OpenClaw: Reject symlinks in local skill packaging script</t>
        </is>
      </c>
      <c r="D1368" s="191" t="n">
        <v>7</v>
      </c>
      <c r="E1368" s="191" t="inlineStr">
        <is>
          <t>MEDIUM</t>
        </is>
      </c>
      <c r="F1368" s="191" t="n">
        <v>2</v>
      </c>
      <c r="G1368" s="191" t="n">
        <v>2</v>
      </c>
      <c r="H1368" s="191" t="inlineStr">
        <is>
          <t>MEDIUM</t>
        </is>
      </c>
      <c r="I1368" s="191" t="n">
        <v>11</v>
      </c>
      <c r="J1368" s="191" t="inlineStr">
        <is>
          <t>NO</t>
        </is>
      </c>
      <c r="K1368" s="192" t="inlineStr">
        <is>
          <t>https://github.com/advisories/GHSA-r6h2-5gqq-v5v6</t>
        </is>
      </c>
      <c r="L1368" s="191" t="inlineStr">
        <is>
          <t>2026-02-20T21:05:45Z</t>
        </is>
      </c>
      <c r="M1368" s="191" t="inlineStr">
        <is>
          <t>CHECK_GITHUB</t>
        </is>
      </c>
      <c r="N1368" s="192" t="inlineStr">
        <is>
          <t>https://github.com/advisories/GHSA-r6h2-5gqq-v5v6</t>
        </is>
      </c>
      <c r="O1368" s="191" t="inlineStr">
        <is>
          <t>Update affected packages per GitHub advisory</t>
        </is>
      </c>
      <c r="P1368" s="191" t="inlineStr">
        <is>
          <t>openclaw</t>
        </is>
      </c>
      <c r="Q1368" s="191" t="inlineStr">
        <is>
          <t>P4</t>
        </is>
      </c>
      <c r="R1368" s="191" t="inlineStr">
        <is>
          <t>🔍 Investigate and apply appropriate controls</t>
        </is>
      </c>
      <c r="S1368" s="191" t="inlineStr">
        <is>
          <t>Advisory - IP enrichment N/A</t>
        </is>
      </c>
      <c r="T1368" s="191" t="n">
        <v>0</v>
      </c>
      <c r="U1368" s="191" t="n">
        <v>0</v>
      </c>
      <c r="V1368" s="191" t="inlineStr">
        <is>
          <t>T1190:Exploit Public-Facing Application</t>
        </is>
      </c>
      <c r="W1368" s="191" t="n">
        <v>1</v>
      </c>
      <c r="X1368" s="191" t="inlineStr">
        <is>
          <t>LOW (40%)</t>
        </is>
      </c>
      <c r="Y1368" s="191" t="inlineStr">
        <is>
          <t>CHECK_GITHUB</t>
        </is>
      </c>
      <c r="Z1368" s="191" t="inlineStr">
        <is>
          <t>YES</t>
        </is>
      </c>
      <c r="AA1368" s="192" t="inlineStr">
        <is>
          <t>https://github.com/advisories/GHSA-r6h2-5gqq-v5v6</t>
        </is>
      </c>
      <c r="AB1368" s="191" t="inlineStr">
        <is>
          <t>NONE</t>
        </is>
      </c>
      <c r="AC1368" s="191" t="n">
        <v>0</v>
      </c>
      <c r="AD1368" s="191" t="n"/>
    </row>
    <row r="1369">
      <c r="A1369" s="195" t="inlineStr">
        <is>
          <t>GH_ADVISORY</t>
        </is>
      </c>
      <c r="B1369" s="195" t="inlineStr">
        <is>
          <t>GHSA-wh94-p5m6-mr7j</t>
        </is>
      </c>
      <c r="C1369" s="195" t="inlineStr">
        <is>
          <t>OpenClaw Discord moderation authorization used untrusted sender identity in tool-driven flows</t>
        </is>
      </c>
      <c r="D1369" s="195" t="n">
        <v>7</v>
      </c>
      <c r="E1369" s="195" t="inlineStr">
        <is>
          <t>LOW</t>
        </is>
      </c>
      <c r="F1369" s="195" t="n">
        <v>2</v>
      </c>
      <c r="G1369" s="195" t="n">
        <v>2</v>
      </c>
      <c r="H1369" s="195" t="inlineStr">
        <is>
          <t>MEDIUM</t>
        </is>
      </c>
      <c r="I1369" s="195" t="n">
        <v>11</v>
      </c>
      <c r="J1369" s="195" t="inlineStr">
        <is>
          <t>NO</t>
        </is>
      </c>
      <c r="K1369" s="196" t="inlineStr">
        <is>
          <t>https://github.com/advisories/GHSA-wh94-p5m6-mr7j</t>
        </is>
      </c>
      <c r="L1369" s="195" t="inlineStr">
        <is>
          <t>2026-02-20T21:02:31Z</t>
        </is>
      </c>
      <c r="M1369" s="195" t="inlineStr">
        <is>
          <t>CHECK_GITHUB</t>
        </is>
      </c>
      <c r="N1369" s="196" t="inlineStr">
        <is>
          <t>https://github.com/advisories/GHSA-wh94-p5m6-mr7j</t>
        </is>
      </c>
      <c r="O1369" s="195" t="inlineStr">
        <is>
          <t>Update affected packages per GitHub advisory</t>
        </is>
      </c>
      <c r="P1369" s="195" t="inlineStr">
        <is>
          <t>openclaw</t>
        </is>
      </c>
      <c r="Q1369" s="195" t="inlineStr">
        <is>
          <t>P4</t>
        </is>
      </c>
      <c r="R1369" s="195" t="inlineStr">
        <is>
          <t>🔍 Investigate and apply appropriate controls</t>
        </is>
      </c>
      <c r="S1369" s="195" t="inlineStr">
        <is>
          <t>Advisory - IP enrichment N/A</t>
        </is>
      </c>
      <c r="T1369" s="195" t="n">
        <v>0</v>
      </c>
      <c r="U1369" s="195" t="n">
        <v>0</v>
      </c>
      <c r="V1369" s="195" t="inlineStr">
        <is>
          <t>T1190:Exploit Public-Facing Application</t>
        </is>
      </c>
      <c r="W1369" s="195" t="n">
        <v>1</v>
      </c>
      <c r="X1369" s="195" t="inlineStr">
        <is>
          <t>LOW (40%)</t>
        </is>
      </c>
      <c r="Y1369" s="195" t="inlineStr">
        <is>
          <t>CHECK_GITHUB</t>
        </is>
      </c>
      <c r="Z1369" s="195" t="inlineStr">
        <is>
          <t>YES</t>
        </is>
      </c>
      <c r="AA1369" s="196" t="inlineStr">
        <is>
          <t>https://github.com/advisories/GHSA-wh94-p5m6-mr7j</t>
        </is>
      </c>
      <c r="AB1369" s="195" t="inlineStr">
        <is>
          <t>NONE</t>
        </is>
      </c>
      <c r="AC1369" s="195" t="n">
        <v>0</v>
      </c>
      <c r="AD1369" s="195" t="n"/>
    </row>
    <row r="1370">
      <c r="A1370" s="191" t="inlineStr">
        <is>
          <t>GH_ADVISORY</t>
        </is>
      </c>
      <c r="B1370" s="191" t="inlineStr">
        <is>
          <t>GHSA-9jmq-xgjm-p8c2</t>
        </is>
      </c>
      <c r="C1370" s="191" t="inlineStr">
        <is>
          <t>Sync-in Server has a stored cross-site scripting (XSS) vulnerability</t>
        </is>
      </c>
      <c r="D1370" s="191" t="n">
        <v>7</v>
      </c>
      <c r="E1370" s="191" t="inlineStr">
        <is>
          <t>MEDIUM</t>
        </is>
      </c>
      <c r="F1370" s="191" t="n">
        <v>2</v>
      </c>
      <c r="G1370" s="191" t="n">
        <v>2</v>
      </c>
      <c r="H1370" s="191" t="inlineStr">
        <is>
          <t>MEDIUM</t>
        </is>
      </c>
      <c r="I1370" s="191" t="n">
        <v>11</v>
      </c>
      <c r="J1370" s="191" t="inlineStr">
        <is>
          <t>NO</t>
        </is>
      </c>
      <c r="K1370" s="192" t="inlineStr">
        <is>
          <t>https://github.com/advisories/GHSA-9jmq-xgjm-p8c2</t>
        </is>
      </c>
      <c r="L1370" s="191" t="inlineStr">
        <is>
          <t>2026-02-20T18:31:33Z</t>
        </is>
      </c>
      <c r="M1370" s="191" t="inlineStr">
        <is>
          <t>CHECK_GITHUB</t>
        </is>
      </c>
      <c r="N1370" s="192" t="inlineStr">
        <is>
          <t>https://github.com/advisories/GHSA-9jmq-xgjm-p8c2</t>
        </is>
      </c>
      <c r="O1370" s="191" t="inlineStr">
        <is>
          <t>Update affected packages per GitHub advisory</t>
        </is>
      </c>
      <c r="P1370" s="191" t="inlineStr">
        <is>
          <t>@sync-in/server</t>
        </is>
      </c>
      <c r="Q1370" s="191" t="inlineStr">
        <is>
          <t>P4</t>
        </is>
      </c>
      <c r="R1370" s="191" t="inlineStr">
        <is>
          <t>🔍 Investigate and apply appropriate controls</t>
        </is>
      </c>
      <c r="S1370" s="191" t="inlineStr">
        <is>
          <t>Advisory - IP enrichment N/A</t>
        </is>
      </c>
      <c r="T1370" s="191" t="n">
        <v>0</v>
      </c>
      <c r="U1370" s="191" t="n">
        <v>0</v>
      </c>
      <c r="V1370" s="191" t="inlineStr">
        <is>
          <t>T1190:Exploit Public-Facing Application</t>
        </is>
      </c>
      <c r="W1370" s="191" t="n">
        <v>1</v>
      </c>
      <c r="X1370" s="191" t="inlineStr">
        <is>
          <t>LOW (40%)</t>
        </is>
      </c>
      <c r="Y1370" s="191" t="inlineStr">
        <is>
          <t>CHECK_GITHUB</t>
        </is>
      </c>
      <c r="Z1370" s="191" t="inlineStr">
        <is>
          <t>YES</t>
        </is>
      </c>
      <c r="AA1370" s="192" t="inlineStr">
        <is>
          <t>https://github.com/advisories/GHSA-9jmq-xgjm-p8c2</t>
        </is>
      </c>
      <c r="AB1370" s="191" t="inlineStr">
        <is>
          <t>NONE</t>
        </is>
      </c>
      <c r="AC1370" s="191" t="n">
        <v>0</v>
      </c>
      <c r="AD1370" s="191" t="n"/>
    </row>
    <row r="1371">
      <c r="A1371" s="191" t="inlineStr">
        <is>
          <t>GH_ADVISORY</t>
        </is>
      </c>
      <c r="B1371" s="191" t="inlineStr">
        <is>
          <t>GHSA-qhp6-635j-x7r2</t>
        </is>
      </c>
      <c r="C1371" s="191" t="inlineStr">
        <is>
          <t>Static Web Server affected by timing-based username enumeration in Basic Authentication due to early response on invalid usernames</t>
        </is>
      </c>
      <c r="D1371" s="191" t="n">
        <v>5.3</v>
      </c>
      <c r="E1371" s="191" t="inlineStr">
        <is>
          <t>MEDIUM</t>
        </is>
      </c>
      <c r="F1371" s="191" t="n">
        <v>2</v>
      </c>
      <c r="G1371" s="191" t="n">
        <v>2</v>
      </c>
      <c r="H1371" s="191" t="inlineStr">
        <is>
          <t>MEDIUM</t>
        </is>
      </c>
      <c r="I1371" s="191" t="n">
        <v>9.300000000000001</v>
      </c>
      <c r="J1371" s="191" t="inlineStr">
        <is>
          <t>NO</t>
        </is>
      </c>
      <c r="K1371" s="192" t="inlineStr">
        <is>
          <t>https://github.com/advisories/GHSA-qhp6-635j-x7r2</t>
        </is>
      </c>
      <c r="L1371" s="191" t="inlineStr">
        <is>
          <t>2026-02-20T18:25:27Z</t>
        </is>
      </c>
      <c r="M1371" s="191" t="inlineStr">
        <is>
          <t>CHECK_GITHUB</t>
        </is>
      </c>
      <c r="N1371" s="192" t="inlineStr">
        <is>
          <t>https://github.com/advisories/GHSA-qhp6-635j-x7r2</t>
        </is>
      </c>
      <c r="O1371" s="191" t="inlineStr">
        <is>
          <t>Update affected packages per GitHub advisory</t>
        </is>
      </c>
      <c r="P1371" s="191" t="inlineStr">
        <is>
          <t>static-web-server</t>
        </is>
      </c>
      <c r="Q1371" s="191" t="inlineStr">
        <is>
          <t>P4</t>
        </is>
      </c>
      <c r="R1371" s="191" t="inlineStr">
        <is>
          <t>🔍 Investigate and apply appropriate controls</t>
        </is>
      </c>
      <c r="S1371" s="191" t="inlineStr">
        <is>
          <t>Advisory - IP enrichment N/A</t>
        </is>
      </c>
      <c r="T1371" s="191" t="n">
        <v>0</v>
      </c>
      <c r="U1371" s="191" t="n">
        <v>0</v>
      </c>
      <c r="V1371" s="191" t="inlineStr">
        <is>
          <t>T1190:Exploit Public-Facing Application</t>
        </is>
      </c>
      <c r="W1371" s="191" t="n">
        <v>1</v>
      </c>
      <c r="X1371" s="191" t="inlineStr">
        <is>
          <t>LOW (40%)</t>
        </is>
      </c>
      <c r="Y1371" s="191" t="inlineStr">
        <is>
          <t>CHECK_GITHUB</t>
        </is>
      </c>
      <c r="Z1371" s="191" t="inlineStr">
        <is>
          <t>YES</t>
        </is>
      </c>
      <c r="AA1371" s="192" t="inlineStr">
        <is>
          <t>https://github.com/advisories/GHSA-qhp6-635j-x7r2</t>
        </is>
      </c>
      <c r="AB1371" s="191" t="inlineStr">
        <is>
          <t>NONE</t>
        </is>
      </c>
      <c r="AC1371" s="191" t="n">
        <v>0</v>
      </c>
      <c r="AD1371" s="191" t="n"/>
    </row>
    <row r="1372">
      <c r="A1372" s="195" t="inlineStr">
        <is>
          <t>GH_ADVISORY</t>
        </is>
      </c>
      <c r="B1372" s="195" t="inlineStr">
        <is>
          <t>GHSA-83pf-v6qq-pwmr</t>
        </is>
      </c>
      <c r="C1372" s="195" t="inlineStr">
        <is>
          <t>Fickling has a detection bypass via stdlib network-protocol constructors</t>
        </is>
      </c>
      <c r="D1372" s="195" t="n">
        <v>7</v>
      </c>
      <c r="E1372" s="195" t="inlineStr">
        <is>
          <t>LOW</t>
        </is>
      </c>
      <c r="F1372" s="195" t="n">
        <v>2</v>
      </c>
      <c r="G1372" s="195" t="n">
        <v>2</v>
      </c>
      <c r="H1372" s="195" t="inlineStr">
        <is>
          <t>MEDIUM</t>
        </is>
      </c>
      <c r="I1372" s="195" t="n">
        <v>11</v>
      </c>
      <c r="J1372" s="195" t="inlineStr">
        <is>
          <t>NO</t>
        </is>
      </c>
      <c r="K1372" s="196" t="inlineStr">
        <is>
          <t>https://github.com/advisories/GHSA-83pf-v6qq-pwmr</t>
        </is>
      </c>
      <c r="L1372" s="195" t="inlineStr">
        <is>
          <t>2026-02-20T18:24:46Z</t>
        </is>
      </c>
      <c r="M1372" s="195" t="inlineStr">
        <is>
          <t>CHECK_GITHUB</t>
        </is>
      </c>
      <c r="N1372" s="196" t="inlineStr">
        <is>
          <t>https://github.com/advisories/GHSA-83pf-v6qq-pwmr</t>
        </is>
      </c>
      <c r="O1372" s="195" t="inlineStr">
        <is>
          <t>Update affected packages per GitHub advisory</t>
        </is>
      </c>
      <c r="P1372" s="195" t="inlineStr">
        <is>
          <t>fickling</t>
        </is>
      </c>
      <c r="Q1372" s="195" t="inlineStr">
        <is>
          <t>P4</t>
        </is>
      </c>
      <c r="R1372" s="195" t="inlineStr">
        <is>
          <t>🔍 Investigate and apply appropriate controls</t>
        </is>
      </c>
      <c r="S1372" s="195" t="inlineStr">
        <is>
          <t>Advisory - IP enrichment N/A</t>
        </is>
      </c>
      <c r="T1372" s="195" t="n">
        <v>0</v>
      </c>
      <c r="U1372" s="195" t="n">
        <v>0</v>
      </c>
      <c r="V1372" s="195" t="inlineStr">
        <is>
          <t>T1190:Exploit Public-Facing Application</t>
        </is>
      </c>
      <c r="W1372" s="195" t="n">
        <v>1</v>
      </c>
      <c r="X1372" s="195" t="inlineStr">
        <is>
          <t>LOW (40%)</t>
        </is>
      </c>
      <c r="Y1372" s="195" t="inlineStr">
        <is>
          <t>CHECK_GITHUB</t>
        </is>
      </c>
      <c r="Z1372" s="195" t="inlineStr">
        <is>
          <t>YES</t>
        </is>
      </c>
      <c r="AA1372" s="196" t="inlineStr">
        <is>
          <t>https://github.com/advisories/GHSA-83pf-v6qq-pwmr</t>
        </is>
      </c>
      <c r="AB1372" s="195" t="inlineStr">
        <is>
          <t>NONE</t>
        </is>
      </c>
      <c r="AC1372" s="195" t="n">
        <v>0</v>
      </c>
      <c r="AD1372" s="195" t="n"/>
    </row>
    <row r="1373">
      <c r="A1373" s="193" t="inlineStr">
        <is>
          <t>GH_ADVISORY</t>
        </is>
      </c>
      <c r="B1373" s="193" t="inlineStr">
        <is>
          <t>GHSA-m7jm-9gc2-mpf2</t>
        </is>
      </c>
      <c r="C1373" s="193" t="inlineStr">
        <is>
          <t>fast-xml-parser has an entity encoding bypass via regex injection in DOCTYPE entity names</t>
        </is>
      </c>
      <c r="D1373" s="193" t="n">
        <v>9.300000000000001</v>
      </c>
      <c r="E1373" s="193" t="inlineStr">
        <is>
          <t>CRITICAL</t>
        </is>
      </c>
      <c r="F1373" s="193" t="n">
        <v>2</v>
      </c>
      <c r="G1373" s="193" t="n">
        <v>2</v>
      </c>
      <c r="H1373" s="193" t="inlineStr">
        <is>
          <t>MEDIUM</t>
        </is>
      </c>
      <c r="I1373" s="193" t="n">
        <v>13.3</v>
      </c>
      <c r="J1373" s="193" t="inlineStr">
        <is>
          <t>NO</t>
        </is>
      </c>
      <c r="K1373" s="194" t="inlineStr">
        <is>
          <t>https://github.com/advisories/GHSA-m7jm-9gc2-mpf2</t>
        </is>
      </c>
      <c r="L1373" s="193" t="inlineStr">
        <is>
          <t>2026-02-20T18:23:54Z</t>
        </is>
      </c>
      <c r="M1373" s="193" t="inlineStr">
        <is>
          <t>CHECK_GITHUB</t>
        </is>
      </c>
      <c r="N1373" s="194" t="inlineStr">
        <is>
          <t>https://github.com/advisories/GHSA-m7jm-9gc2-mpf2</t>
        </is>
      </c>
      <c r="O1373" s="193" t="inlineStr">
        <is>
          <t>Update affected packages per GitHub advisory</t>
        </is>
      </c>
      <c r="P1373" s="193" t="inlineStr">
        <is>
          <t>fast-xml-parser</t>
        </is>
      </c>
      <c r="Q1373" s="193" t="inlineStr">
        <is>
          <t>P4</t>
        </is>
      </c>
      <c r="R1373" s="193" t="inlineStr">
        <is>
          <t>🔍 Investigate and apply appropriate controls</t>
        </is>
      </c>
      <c r="S1373" s="193" t="inlineStr">
        <is>
          <t>Advisory - IP enrichment N/A</t>
        </is>
      </c>
      <c r="T1373" s="193" t="n">
        <v>0</v>
      </c>
      <c r="U1373" s="193" t="n">
        <v>0</v>
      </c>
      <c r="V1373" s="193" t="inlineStr">
        <is>
          <t>T1190:Exploit Public-Facing Application</t>
        </is>
      </c>
      <c r="W1373" s="193" t="n">
        <v>1</v>
      </c>
      <c r="X1373" s="193" t="inlineStr">
        <is>
          <t>LOW (40%)</t>
        </is>
      </c>
      <c r="Y1373" s="193" t="inlineStr">
        <is>
          <t>CHECK_GITHUB</t>
        </is>
      </c>
      <c r="Z1373" s="193" t="inlineStr">
        <is>
          <t>YES</t>
        </is>
      </c>
      <c r="AA1373" s="194" t="inlineStr">
        <is>
          <t>https://github.com/advisories/GHSA-m7jm-9gc2-mpf2</t>
        </is>
      </c>
      <c r="AB1373" s="193" t="inlineStr">
        <is>
          <t>NONE</t>
        </is>
      </c>
      <c r="AC1373" s="193" t="n">
        <v>0</v>
      </c>
      <c r="AD1373" s="193" t="n"/>
    </row>
    <row r="1374">
      <c r="A1374" s="191" t="inlineStr">
        <is>
          <t>GH_ADVISORY</t>
        </is>
      </c>
      <c r="B1374" s="191" t="inlineStr">
        <is>
          <t>GHSA-378v-28hj-76wf</t>
        </is>
      </c>
      <c r="C1374" s="191" t="inlineStr">
        <is>
          <t>bn.js affected by an infinite loop</t>
        </is>
      </c>
      <c r="D1374" s="191" t="n">
        <v>5.3</v>
      </c>
      <c r="E1374" s="191" t="inlineStr">
        <is>
          <t>MEDIUM</t>
        </is>
      </c>
      <c r="F1374" s="191" t="n">
        <v>2</v>
      </c>
      <c r="G1374" s="191" t="n">
        <v>2</v>
      </c>
      <c r="H1374" s="191" t="inlineStr">
        <is>
          <t>MEDIUM</t>
        </is>
      </c>
      <c r="I1374" s="191" t="n">
        <v>9.300000000000001</v>
      </c>
      <c r="J1374" s="191" t="inlineStr">
        <is>
          <t>NO</t>
        </is>
      </c>
      <c r="K1374" s="192" t="inlineStr">
        <is>
          <t>https://github.com/advisories/GHSA-378v-28hj-76wf</t>
        </is>
      </c>
      <c r="L1374" s="191" t="inlineStr">
        <is>
          <t>2026-02-20T06:30:39Z</t>
        </is>
      </c>
      <c r="M1374" s="191" t="inlineStr">
        <is>
          <t>CHECK_GITHUB</t>
        </is>
      </c>
      <c r="N1374" s="192" t="inlineStr">
        <is>
          <t>https://github.com/advisories/GHSA-378v-28hj-76wf</t>
        </is>
      </c>
      <c r="O1374" s="191" t="inlineStr">
        <is>
          <t>Update affected packages per GitHub advisory</t>
        </is>
      </c>
      <c r="P1374" s="191" t="inlineStr">
        <is>
          <t>bn.js</t>
        </is>
      </c>
      <c r="Q1374" s="191" t="inlineStr">
        <is>
          <t>P4</t>
        </is>
      </c>
      <c r="R1374" s="191" t="inlineStr">
        <is>
          <t>🔍 Investigate and apply appropriate controls</t>
        </is>
      </c>
      <c r="S1374" s="191" t="inlineStr">
        <is>
          <t>Advisory - IP enrichment N/A</t>
        </is>
      </c>
      <c r="T1374" s="191" t="n">
        <v>0</v>
      </c>
      <c r="U1374" s="191" t="n">
        <v>0</v>
      </c>
      <c r="V1374" s="191" t="inlineStr">
        <is>
          <t>T1190:Exploit Public-Facing Application</t>
        </is>
      </c>
      <c r="W1374" s="191" t="n">
        <v>1</v>
      </c>
      <c r="X1374" s="191" t="inlineStr">
        <is>
          <t>LOW (40%)</t>
        </is>
      </c>
      <c r="Y1374" s="191" t="inlineStr">
        <is>
          <t>CHECK_GITHUB</t>
        </is>
      </c>
      <c r="Z1374" s="191" t="inlineStr">
        <is>
          <t>YES</t>
        </is>
      </c>
      <c r="AA1374" s="192" t="inlineStr">
        <is>
          <t>https://github.com/advisories/GHSA-378v-28hj-76wf</t>
        </is>
      </c>
      <c r="AB1374" s="191" t="inlineStr">
        <is>
          <t>NONE</t>
        </is>
      </c>
      <c r="AC1374" s="191" t="n">
        <v>0</v>
      </c>
      <c r="AD1374" s="191" t="n"/>
    </row>
    <row r="1375">
      <c r="A1375" s="195" t="inlineStr">
        <is>
          <t>GH_ADVISORY</t>
        </is>
      </c>
      <c r="B1375" s="195" t="inlineStr">
        <is>
          <t>GHSA-wfqv-66vq-46rm</t>
        </is>
      </c>
      <c r="C1375" s="195" t="inlineStr">
        <is>
          <t>Cosign considered signatures valid with expired intermediate certificates when transparency log verification is skipped</t>
        </is>
      </c>
      <c r="D1375" s="195" t="n">
        <v>3.7</v>
      </c>
      <c r="E1375" s="195" t="inlineStr">
        <is>
          <t>LOW</t>
        </is>
      </c>
      <c r="F1375" s="195" t="n">
        <v>2</v>
      </c>
      <c r="G1375" s="195" t="n">
        <v>2</v>
      </c>
      <c r="H1375" s="195" t="inlineStr">
        <is>
          <t>MEDIUM</t>
        </is>
      </c>
      <c r="I1375" s="195" t="n">
        <v>7.7</v>
      </c>
      <c r="J1375" s="195" t="inlineStr">
        <is>
          <t>NO</t>
        </is>
      </c>
      <c r="K1375" s="196" t="inlineStr">
        <is>
          <t>https://github.com/advisories/GHSA-wfqv-66vq-46rm</t>
        </is>
      </c>
      <c r="L1375" s="195" t="inlineStr">
        <is>
          <t>2026-02-19T22:09:12Z</t>
        </is>
      </c>
      <c r="M1375" s="195" t="inlineStr">
        <is>
          <t>CHECK_GITHUB</t>
        </is>
      </c>
      <c r="N1375" s="196" t="inlineStr">
        <is>
          <t>https://github.com/advisories/GHSA-wfqv-66vq-46rm</t>
        </is>
      </c>
      <c r="O1375" s="195" t="inlineStr">
        <is>
          <t>Update affected packages per GitHub advisory</t>
        </is>
      </c>
      <c r="P1375" s="195" t="inlineStr">
        <is>
          <t>github.com/sigstore/cosign</t>
        </is>
      </c>
      <c r="Q1375" s="195" t="inlineStr">
        <is>
          <t>P4</t>
        </is>
      </c>
      <c r="R1375" s="195" t="inlineStr">
        <is>
          <t>🔍 Investigate and apply appropriate controls</t>
        </is>
      </c>
      <c r="S1375" s="195" t="inlineStr">
        <is>
          <t>Advisory - IP enrichment N/A</t>
        </is>
      </c>
      <c r="T1375" s="195" t="n">
        <v>0</v>
      </c>
      <c r="U1375" s="195" t="n">
        <v>0</v>
      </c>
      <c r="V1375" s="195" t="inlineStr">
        <is>
          <t>T1190:Exploit Public-Facing Application</t>
        </is>
      </c>
      <c r="W1375" s="195" t="n">
        <v>1</v>
      </c>
      <c r="X1375" s="195" t="inlineStr">
        <is>
          <t>LOW (40%)</t>
        </is>
      </c>
      <c r="Y1375" s="195" t="inlineStr">
        <is>
          <t>CHECK_GITHUB</t>
        </is>
      </c>
      <c r="Z1375" s="195" t="inlineStr">
        <is>
          <t>YES</t>
        </is>
      </c>
      <c r="AA1375" s="196" t="inlineStr">
        <is>
          <t>https://github.com/advisories/GHSA-wfqv-66vq-46rm</t>
        </is>
      </c>
      <c r="AB1375" s="195" t="inlineStr">
        <is>
          <t>NONE</t>
        </is>
      </c>
      <c r="AC1375" s="195" t="n">
        <v>0</v>
      </c>
      <c r="AD1375" s="195" t="n"/>
    </row>
    <row r="1376">
      <c r="A1376" s="191" t="inlineStr">
        <is>
          <t>GH_ADVISORY</t>
        </is>
      </c>
      <c r="B1376" s="191" t="inlineStr">
        <is>
          <t>GHSA-j9wf-6r2x-hqmx</t>
        </is>
      </c>
      <c r="C1376" s="191" t="inlineStr">
        <is>
          <t>Centrifugo v6.6.0 dependency vulnerabilities</t>
        </is>
      </c>
      <c r="D1376" s="191" t="n">
        <v>7</v>
      </c>
      <c r="E1376" s="191" t="inlineStr">
        <is>
          <t>MEDIUM</t>
        </is>
      </c>
      <c r="F1376" s="191" t="n">
        <v>2</v>
      </c>
      <c r="G1376" s="191" t="n">
        <v>2</v>
      </c>
      <c r="H1376" s="191" t="inlineStr">
        <is>
          <t>MEDIUM</t>
        </is>
      </c>
      <c r="I1376" s="191" t="n">
        <v>11</v>
      </c>
      <c r="J1376" s="191" t="inlineStr">
        <is>
          <t>NO</t>
        </is>
      </c>
      <c r="K1376" s="192" t="inlineStr">
        <is>
          <t>https://github.com/advisories/GHSA-j9wf-6r2x-hqmx</t>
        </is>
      </c>
      <c r="L1376" s="191" t="inlineStr">
        <is>
          <t>2026-02-19T22:07:13Z</t>
        </is>
      </c>
      <c r="M1376" s="191" t="inlineStr">
        <is>
          <t>CHECK_GITHUB</t>
        </is>
      </c>
      <c r="N1376" s="192" t="inlineStr">
        <is>
          <t>https://github.com/advisories/GHSA-j9wf-6r2x-hqmx</t>
        </is>
      </c>
      <c r="O1376" s="191" t="inlineStr">
        <is>
          <t>Update affected packages per GitHub advisory</t>
        </is>
      </c>
      <c r="P1376" s="191" t="inlineStr">
        <is>
          <t>github.com/centrifugal/centrifugo/v6</t>
        </is>
      </c>
      <c r="Q1376" s="191" t="inlineStr">
        <is>
          <t>P4</t>
        </is>
      </c>
      <c r="R1376" s="191" t="inlineStr">
        <is>
          <t>🔍 Investigate and apply appropriate controls</t>
        </is>
      </c>
      <c r="S1376" s="191" t="inlineStr">
        <is>
          <t>Advisory - IP enrichment N/A</t>
        </is>
      </c>
      <c r="T1376" s="191" t="n">
        <v>0</v>
      </c>
      <c r="U1376" s="191" t="n">
        <v>0</v>
      </c>
      <c r="V1376" s="191" t="inlineStr">
        <is>
          <t>T1190:Exploit Public-Facing Application</t>
        </is>
      </c>
      <c r="W1376" s="191" t="n">
        <v>1</v>
      </c>
      <c r="X1376" s="191" t="inlineStr">
        <is>
          <t>LOW (40%)</t>
        </is>
      </c>
      <c r="Y1376" s="191" t="inlineStr">
        <is>
          <t>CHECK_GITHUB</t>
        </is>
      </c>
      <c r="Z1376" s="191" t="inlineStr">
        <is>
          <t>YES</t>
        </is>
      </c>
      <c r="AA1376" s="192" t="inlineStr">
        <is>
          <t>https://github.com/advisories/GHSA-j9wf-6r2x-hqmx</t>
        </is>
      </c>
      <c r="AB1376" s="191" t="inlineStr">
        <is>
          <t>NONE</t>
        </is>
      </c>
      <c r="AC1376" s="191" t="n">
        <v>0</v>
      </c>
      <c r="AD1376" s="191" t="n"/>
    </row>
    <row r="1377">
      <c r="A1377" s="191" t="inlineStr">
        <is>
          <t>GH_ADVISORY</t>
        </is>
      </c>
      <c r="B1377" s="191" t="inlineStr">
        <is>
          <t>GHSA-6c9j-x93c-rw6j</t>
        </is>
      </c>
      <c r="C1377" s="191" t="inlineStr">
        <is>
          <t>OpenClaw safeBins file-existence oracle information disclosure</t>
        </is>
      </c>
      <c r="D1377" s="191" t="n">
        <v>4.3</v>
      </c>
      <c r="E1377" s="191" t="inlineStr">
        <is>
          <t>MEDIUM</t>
        </is>
      </c>
      <c r="F1377" s="191" t="n">
        <v>2</v>
      </c>
      <c r="G1377" s="191" t="n">
        <v>2</v>
      </c>
      <c r="H1377" s="191" t="inlineStr">
        <is>
          <t>MEDIUM</t>
        </is>
      </c>
      <c r="I1377" s="191" t="n">
        <v>8.300000000000001</v>
      </c>
      <c r="J1377" s="191" t="inlineStr">
        <is>
          <t>NO</t>
        </is>
      </c>
      <c r="K1377" s="192" t="inlineStr">
        <is>
          <t>https://github.com/advisories/GHSA-6c9j-x93c-rw6j</t>
        </is>
      </c>
      <c r="L1377" s="191" t="inlineStr">
        <is>
          <t>2026-02-19T22:06:26Z</t>
        </is>
      </c>
      <c r="M1377" s="191" t="inlineStr">
        <is>
          <t>CHECK_GITHUB</t>
        </is>
      </c>
      <c r="N1377" s="192" t="inlineStr">
        <is>
          <t>https://github.com/advisories/GHSA-6c9j-x93c-rw6j</t>
        </is>
      </c>
      <c r="O1377" s="191" t="inlineStr">
        <is>
          <t>Update affected packages per GitHub advisory</t>
        </is>
      </c>
      <c r="P1377" s="191" t="inlineStr">
        <is>
          <t>openclaw</t>
        </is>
      </c>
      <c r="Q1377" s="191" t="inlineStr">
        <is>
          <t>P4</t>
        </is>
      </c>
      <c r="R1377" s="191" t="inlineStr">
        <is>
          <t>🔍 Investigate and apply appropriate controls</t>
        </is>
      </c>
      <c r="S1377" s="191" t="inlineStr">
        <is>
          <t>Advisory - IP enrichment N/A</t>
        </is>
      </c>
      <c r="T1377" s="191" t="n">
        <v>0</v>
      </c>
      <c r="U1377" s="191" t="n">
        <v>0</v>
      </c>
      <c r="V1377" s="191" t="inlineStr">
        <is>
          <t>T1190:Exploit Public-Facing Application</t>
        </is>
      </c>
      <c r="W1377" s="191" t="n">
        <v>1</v>
      </c>
      <c r="X1377" s="191" t="inlineStr">
        <is>
          <t>LOW (40%)</t>
        </is>
      </c>
      <c r="Y1377" s="191" t="inlineStr">
        <is>
          <t>CHECK_GITHUB</t>
        </is>
      </c>
      <c r="Z1377" s="191" t="inlineStr">
        <is>
          <t>YES</t>
        </is>
      </c>
      <c r="AA1377" s="192" t="inlineStr">
        <is>
          <t>https://github.com/advisories/GHSA-6c9j-x93c-rw6j</t>
        </is>
      </c>
      <c r="AB1377" s="191" t="inlineStr">
        <is>
          <t>NONE</t>
        </is>
      </c>
      <c r="AC1377" s="191" t="n">
        <v>0</v>
      </c>
      <c r="AD1377" s="191" t="n"/>
    </row>
    <row r="1378">
      <c r="A1378" s="195" t="inlineStr">
        <is>
          <t>GH_ADVISORY</t>
        </is>
      </c>
      <c r="B1378" s="195" t="inlineStr">
        <is>
          <t>GHSA-4685-c5cp-vp95</t>
        </is>
      </c>
      <c r="C1378" s="195" t="inlineStr">
        <is>
          <t>OpenClaw safeBins stdin-only bypass via sort output and recursive grep flags</t>
        </is>
      </c>
      <c r="D1378" s="195" t="n">
        <v>3.6</v>
      </c>
      <c r="E1378" s="195" t="inlineStr">
        <is>
          <t>LOW</t>
        </is>
      </c>
      <c r="F1378" s="195" t="n">
        <v>2</v>
      </c>
      <c r="G1378" s="195" t="n">
        <v>2</v>
      </c>
      <c r="H1378" s="195" t="inlineStr">
        <is>
          <t>MEDIUM</t>
        </is>
      </c>
      <c r="I1378" s="195" t="n">
        <v>7.6</v>
      </c>
      <c r="J1378" s="195" t="inlineStr">
        <is>
          <t>NO</t>
        </is>
      </c>
      <c r="K1378" s="196" t="inlineStr">
        <is>
          <t>https://github.com/advisories/GHSA-4685-c5cp-vp95</t>
        </is>
      </c>
      <c r="L1378" s="195" t="inlineStr">
        <is>
          <t>2026-02-19T22:06:00Z</t>
        </is>
      </c>
      <c r="M1378" s="195" t="inlineStr">
        <is>
          <t>CHECK_GITHUB</t>
        </is>
      </c>
      <c r="N1378" s="196" t="inlineStr">
        <is>
          <t>https://github.com/advisories/GHSA-4685-c5cp-vp95</t>
        </is>
      </c>
      <c r="O1378" s="195" t="inlineStr">
        <is>
          <t>Update affected packages per GitHub advisory</t>
        </is>
      </c>
      <c r="P1378" s="195" t="inlineStr">
        <is>
          <t>openclaw</t>
        </is>
      </c>
      <c r="Q1378" s="195" t="inlineStr">
        <is>
          <t>P4</t>
        </is>
      </c>
      <c r="R1378" s="195" t="inlineStr">
        <is>
          <t>🔍 Investigate and apply appropriate controls</t>
        </is>
      </c>
      <c r="S1378" s="195" t="inlineStr">
        <is>
          <t>Advisory - IP enrichment N/A</t>
        </is>
      </c>
      <c r="T1378" s="195" t="n">
        <v>0</v>
      </c>
      <c r="U1378" s="195" t="n">
        <v>0</v>
      </c>
      <c r="V1378" s="195" t="inlineStr">
        <is>
          <t>T1190:Exploit Public-Facing Application</t>
        </is>
      </c>
      <c r="W1378" s="195" t="n">
        <v>1</v>
      </c>
      <c r="X1378" s="195" t="inlineStr">
        <is>
          <t>LOW (40%)</t>
        </is>
      </c>
      <c r="Y1378" s="195" t="inlineStr">
        <is>
          <t>CHECK_GITHUB</t>
        </is>
      </c>
      <c r="Z1378" s="195" t="inlineStr">
        <is>
          <t>YES</t>
        </is>
      </c>
      <c r="AA1378" s="196" t="inlineStr">
        <is>
          <t>https://github.com/advisories/GHSA-4685-c5cp-vp95</t>
        </is>
      </c>
      <c r="AB1378" s="195" t="inlineStr">
        <is>
          <t>NONE</t>
        </is>
      </c>
      <c r="AC1378" s="195" t="n">
        <v>0</v>
      </c>
      <c r="AD1378" s="195" t="n"/>
    </row>
    <row r="1379">
      <c r="A1379" s="189" t="inlineStr">
        <is>
          <t>GH_ADVISORY</t>
        </is>
      </c>
      <c r="B1379" s="189" t="inlineStr">
        <is>
          <t>GHSA-v7m3-fpcr-h7m2</t>
        </is>
      </c>
      <c r="C1379" s="189" t="inlineStr">
        <is>
          <t>Zumba Json Serializer has a potential PHP Object Injection via Unrestricted @type in unserialize()</t>
        </is>
      </c>
      <c r="D1379" s="189" t="n">
        <v>8.1</v>
      </c>
      <c r="E1379" s="189" t="inlineStr">
        <is>
          <t>HIGH</t>
        </is>
      </c>
      <c r="F1379" s="189" t="n">
        <v>2</v>
      </c>
      <c r="G1379" s="189" t="n">
        <v>2</v>
      </c>
      <c r="H1379" s="189" t="inlineStr">
        <is>
          <t>MEDIUM</t>
        </is>
      </c>
      <c r="I1379" s="189" t="n">
        <v>12.1</v>
      </c>
      <c r="J1379" s="189" t="inlineStr">
        <is>
          <t>NO</t>
        </is>
      </c>
      <c r="K1379" s="190" t="inlineStr">
        <is>
          <t>https://github.com/advisories/GHSA-v7m3-fpcr-h7m2</t>
        </is>
      </c>
      <c r="L1379" s="189" t="inlineStr">
        <is>
          <t>2026-02-19T22:05:40Z</t>
        </is>
      </c>
      <c r="M1379" s="189" t="inlineStr">
        <is>
          <t>CHECK_GITHUB</t>
        </is>
      </c>
      <c r="N1379" s="190" t="inlineStr">
        <is>
          <t>https://github.com/advisories/GHSA-v7m3-fpcr-h7m2</t>
        </is>
      </c>
      <c r="O1379" s="189" t="inlineStr">
        <is>
          <t>Update affected packages per GitHub advisory</t>
        </is>
      </c>
      <c r="P1379" s="189" t="inlineStr">
        <is>
          <t>zumba/json-serializer</t>
        </is>
      </c>
      <c r="Q1379" s="189" t="inlineStr">
        <is>
          <t>P4</t>
        </is>
      </c>
      <c r="R1379" s="189" t="inlineStr">
        <is>
          <t>🔍 Investigate and apply appropriate controls</t>
        </is>
      </c>
      <c r="S1379" s="189" t="inlineStr">
        <is>
          <t>Advisory - IP enrichment N/A</t>
        </is>
      </c>
      <c r="T1379" s="189" t="n">
        <v>0</v>
      </c>
      <c r="U1379" s="189" t="n">
        <v>0</v>
      </c>
      <c r="V1379" s="189" t="inlineStr">
        <is>
          <t>T1190:Exploit Public-Facing Application</t>
        </is>
      </c>
      <c r="W1379" s="189" t="n">
        <v>1</v>
      </c>
      <c r="X1379" s="189" t="inlineStr">
        <is>
          <t>LOW (40%)</t>
        </is>
      </c>
      <c r="Y1379" s="189" t="inlineStr">
        <is>
          <t>CHECK_GITHUB</t>
        </is>
      </c>
      <c r="Z1379" s="189" t="inlineStr">
        <is>
          <t>YES</t>
        </is>
      </c>
      <c r="AA1379" s="190" t="inlineStr">
        <is>
          <t>https://github.com/advisories/GHSA-v7m3-fpcr-h7m2</t>
        </is>
      </c>
      <c r="AB1379" s="189" t="inlineStr">
        <is>
          <t>NONE</t>
        </is>
      </c>
      <c r="AC1379" s="189" t="n">
        <v>0</v>
      </c>
      <c r="AD1379" s="189" t="n"/>
    </row>
    <row r="1380">
      <c r="A1380" s="189" t="inlineStr">
        <is>
          <t>MAL_URL</t>
        </is>
      </c>
      <c r="B1380" s="189" t="inlineStr">
        <is>
          <t>3784528</t>
        </is>
      </c>
      <c r="C1380" s="189" t="inlineStr">
        <is>
          <t>Malware Host [online]: https://direct-access-line.silverpath.in.net/service/verification.google | Threat: malware_download | Tags: ClearFake</t>
        </is>
      </c>
      <c r="D1380" s="189" t="n">
        <v>7.5</v>
      </c>
      <c r="E1380" s="189" t="inlineStr">
        <is>
          <t>HIGH</t>
        </is>
      </c>
      <c r="F1380" s="189" t="n">
        <v>3</v>
      </c>
      <c r="G1380" s="189" t="n">
        <v>2</v>
      </c>
      <c r="H1380" s="189" t="inlineStr">
        <is>
          <t>HIGH</t>
        </is>
      </c>
      <c r="I1380" s="189" t="n">
        <v>13.5</v>
      </c>
      <c r="J1380" s="189" t="inlineStr">
        <is>
          <t>NO</t>
        </is>
      </c>
      <c r="K1380" s="190" t="inlineStr">
        <is>
          <t>https://urlhaus.abuse.ch/url/3784528/</t>
        </is>
      </c>
      <c r="L1380" s="189" t="inlineStr">
        <is>
          <t>2026-02-23 21:34:07</t>
        </is>
      </c>
      <c r="M1380" s="189" t="inlineStr">
        <is>
          <t>Block URL</t>
        </is>
      </c>
      <c r="N1380" s="190" t="inlineStr">
        <is>
          <t>https://urlhaus.abuse.ch/url/3784528/</t>
        </is>
      </c>
      <c r="O1380" s="189" t="inlineStr">
        <is>
          <t>Block URL in proxy/firewall: https://direct-access-line.silverpath.in.net/service/verification.google</t>
        </is>
      </c>
      <c r="P1380" s="189" t="inlineStr">
        <is>
          <t>Network/Web Proxy</t>
        </is>
      </c>
      <c r="Q1380" s="189" t="inlineStr">
        <is>
          <t>P3</t>
        </is>
      </c>
      <c r="R1380" s="189" t="inlineStr">
        <is>
          <t>🚫 Block URLs in web proxy/firewall | 📧 Update email security filters | 👥 User awareness training recommended</t>
        </is>
      </c>
      <c r="S1380" s="189" t="inlineStr">
        <is>
          <t>URL IOC - check host IP separately</t>
        </is>
      </c>
      <c r="T1380" s="189" t="n">
        <v>0</v>
      </c>
      <c r="U1380" s="189" t="n">
        <v>0</v>
      </c>
      <c r="V1380" s="189" t="inlineStr">
        <is>
          <t>T1189:Drive-by Compromise | T1566:Phishing</t>
        </is>
      </c>
      <c r="W1380" s="189" t="n">
        <v>1</v>
      </c>
      <c r="X1380" s="189" t="inlineStr">
        <is>
          <t>LOW (40%)</t>
        </is>
      </c>
      <c r="Y1380" s="189" t="inlineStr">
        <is>
          <t>YES</t>
        </is>
      </c>
      <c r="Z1380" s="189" t="inlineStr">
        <is>
          <t>Block URL</t>
        </is>
      </c>
      <c r="AA1380" s="190" t="inlineStr">
        <is>
          <t>https://urlhaus.abuse.ch/url/3784528/</t>
        </is>
      </c>
      <c r="AB1380" s="189" t="inlineStr">
        <is>
          <t>NONE</t>
        </is>
      </c>
      <c r="AC1380" s="189" t="n">
        <v>0</v>
      </c>
      <c r="AD1380" s="189" t="n"/>
    </row>
    <row r="1381">
      <c r="A1381" s="189" t="inlineStr">
        <is>
          <t>MAL_URL</t>
        </is>
      </c>
      <c r="B1381" s="189" t="inlineStr">
        <is>
          <t>3784527</t>
        </is>
      </c>
      <c r="C1381" s="189" t="inlineStr">
        <is>
          <t>Malware Host [online]: http://130.12.180.43/files/7290860719/f1FlzK6.exe | Threat: malware_download | Tags: dropped-by-amadey,fbf543</t>
        </is>
      </c>
      <c r="D1381" s="189" t="n">
        <v>7.5</v>
      </c>
      <c r="E1381" s="189" t="inlineStr">
        <is>
          <t>HIGH</t>
        </is>
      </c>
      <c r="F1381" s="189" t="n">
        <v>3</v>
      </c>
      <c r="G1381" s="189" t="n">
        <v>2</v>
      </c>
      <c r="H1381" s="189" t="inlineStr">
        <is>
          <t>HIGH</t>
        </is>
      </c>
      <c r="I1381" s="189" t="n">
        <v>13.5</v>
      </c>
      <c r="J1381" s="189" t="inlineStr">
        <is>
          <t>NO</t>
        </is>
      </c>
      <c r="K1381" s="190" t="inlineStr">
        <is>
          <t>https://urlhaus.abuse.ch/url/3784527/</t>
        </is>
      </c>
      <c r="L1381" s="189" t="inlineStr">
        <is>
          <t>2026-02-23 21:26:06</t>
        </is>
      </c>
      <c r="M1381" s="189" t="inlineStr">
        <is>
          <t>Block URL</t>
        </is>
      </c>
      <c r="N1381" s="190" t="inlineStr">
        <is>
          <t>https://urlhaus.abuse.ch/url/3784527/</t>
        </is>
      </c>
      <c r="O1381" s="189" t="inlineStr">
        <is>
          <t>Block URL in proxy/firewall: http://130.12.180.43/files/7290860719/f1FlzK6.exe</t>
        </is>
      </c>
      <c r="P1381" s="189" t="inlineStr">
        <is>
          <t>Network/Web Proxy</t>
        </is>
      </c>
      <c r="Q1381" s="189" t="inlineStr">
        <is>
          <t>P3</t>
        </is>
      </c>
      <c r="R1381" s="189" t="inlineStr">
        <is>
          <t>🚫 Block URLs in web proxy/firewall | 📧 Update email security filters | 👥 User awareness training recommended</t>
        </is>
      </c>
      <c r="S1381" s="189" t="inlineStr">
        <is>
          <t>URL IOC - check host IP separately</t>
        </is>
      </c>
      <c r="T1381" s="189" t="n">
        <v>0</v>
      </c>
      <c r="U1381" s="189" t="n">
        <v>0</v>
      </c>
      <c r="V1381" s="189" t="inlineStr">
        <is>
          <t>T1189:Drive-by Compromise | T1566:Phishing</t>
        </is>
      </c>
      <c r="W1381" s="189" t="n">
        <v>1</v>
      </c>
      <c r="X1381" s="189" t="inlineStr">
        <is>
          <t>LOW (40%)</t>
        </is>
      </c>
      <c r="Y1381" s="189" t="inlineStr">
        <is>
          <t>YES</t>
        </is>
      </c>
      <c r="Z1381" s="189" t="inlineStr">
        <is>
          <t>Block URL</t>
        </is>
      </c>
      <c r="AA1381" s="190" t="inlineStr">
        <is>
          <t>https://urlhaus.abuse.ch/url/3784527/</t>
        </is>
      </c>
      <c r="AB1381" s="189" t="inlineStr">
        <is>
          <t>NONE</t>
        </is>
      </c>
      <c r="AC1381" s="189" t="n">
        <v>0</v>
      </c>
      <c r="AD1381" s="189" t="n"/>
    </row>
    <row r="1382">
      <c r="A1382" s="189" t="inlineStr">
        <is>
          <t>MAL_URL</t>
        </is>
      </c>
      <c r="B1382" s="189" t="inlineStr">
        <is>
          <t>3784526</t>
        </is>
      </c>
      <c r="C1382" s="189" t="inlineStr">
        <is>
          <t>Malware Host [online]: https://silver-path-way.silverpath.in.net/service/verification.google | Threat: malware_download | Tags: ClearFake</t>
        </is>
      </c>
      <c r="D1382" s="189" t="n">
        <v>7.5</v>
      </c>
      <c r="E1382" s="189" t="inlineStr">
        <is>
          <t>HIGH</t>
        </is>
      </c>
      <c r="F1382" s="189" t="n">
        <v>3</v>
      </c>
      <c r="G1382" s="189" t="n">
        <v>2</v>
      </c>
      <c r="H1382" s="189" t="inlineStr">
        <is>
          <t>HIGH</t>
        </is>
      </c>
      <c r="I1382" s="189" t="n">
        <v>13.5</v>
      </c>
      <c r="J1382" s="189" t="inlineStr">
        <is>
          <t>NO</t>
        </is>
      </c>
      <c r="K1382" s="190" t="inlineStr">
        <is>
          <t>https://urlhaus.abuse.ch/url/3784526/</t>
        </is>
      </c>
      <c r="L1382" s="189" t="inlineStr">
        <is>
          <t>2026-02-23 21:24:07</t>
        </is>
      </c>
      <c r="M1382" s="189" t="inlineStr">
        <is>
          <t>Block URL</t>
        </is>
      </c>
      <c r="N1382" s="190" t="inlineStr">
        <is>
          <t>https://urlhaus.abuse.ch/url/3784526/</t>
        </is>
      </c>
      <c r="O1382" s="189" t="inlineStr">
        <is>
          <t>Block URL in proxy/firewall: https://silver-path-way.silverpath.in.net/service/verification.google</t>
        </is>
      </c>
      <c r="P1382" s="189" t="inlineStr">
        <is>
          <t>Network/Web Proxy</t>
        </is>
      </c>
      <c r="Q1382" s="189" t="inlineStr">
        <is>
          <t>P3</t>
        </is>
      </c>
      <c r="R1382" s="189" t="inlineStr">
        <is>
          <t>🚫 Block URLs in web proxy/firewall | 📧 Update email security filters | 👥 User awareness training recommended</t>
        </is>
      </c>
      <c r="S1382" s="189" t="inlineStr">
        <is>
          <t>URL IOC - check host IP separately</t>
        </is>
      </c>
      <c r="T1382" s="189" t="n">
        <v>0</v>
      </c>
      <c r="U1382" s="189" t="n">
        <v>0</v>
      </c>
      <c r="V1382" s="189" t="inlineStr">
        <is>
          <t>T1189:Drive-by Compromise | T1566:Phishing</t>
        </is>
      </c>
      <c r="W1382" s="189" t="n">
        <v>1</v>
      </c>
      <c r="X1382" s="189" t="inlineStr">
        <is>
          <t>LOW (40%)</t>
        </is>
      </c>
      <c r="Y1382" s="189" t="inlineStr">
        <is>
          <t>YES</t>
        </is>
      </c>
      <c r="Z1382" s="189" t="inlineStr">
        <is>
          <t>Block URL</t>
        </is>
      </c>
      <c r="AA1382" s="190" t="inlineStr">
        <is>
          <t>https://urlhaus.abuse.ch/url/3784526/</t>
        </is>
      </c>
      <c r="AB1382" s="189" t="inlineStr">
        <is>
          <t>NONE</t>
        </is>
      </c>
      <c r="AC1382" s="189" t="n">
        <v>0</v>
      </c>
      <c r="AD1382" s="189" t="n"/>
    </row>
    <row r="1383">
      <c r="A1383" s="189" t="inlineStr">
        <is>
          <t>MAL_URL</t>
        </is>
      </c>
      <c r="B1383" s="189" t="inlineStr">
        <is>
          <t>3784525</t>
        </is>
      </c>
      <c r="C1383" s="189" t="inlineStr">
        <is>
          <t>Malware Host [online]: http://27.215.47.228:46927/i | Threat: malware_download | Tags: 32-bit,elf,mips,Mozi</t>
        </is>
      </c>
      <c r="D1383" s="189" t="n">
        <v>7.5</v>
      </c>
      <c r="E1383" s="189" t="inlineStr">
        <is>
          <t>HIGH</t>
        </is>
      </c>
      <c r="F1383" s="189" t="n">
        <v>3</v>
      </c>
      <c r="G1383" s="189" t="n">
        <v>2</v>
      </c>
      <c r="H1383" s="189" t="inlineStr">
        <is>
          <t>HIGH</t>
        </is>
      </c>
      <c r="I1383" s="189" t="n">
        <v>13.5</v>
      </c>
      <c r="J1383" s="189" t="inlineStr">
        <is>
          <t>NO</t>
        </is>
      </c>
      <c r="K1383" s="190" t="inlineStr">
        <is>
          <t>https://urlhaus.abuse.ch/url/3784525/</t>
        </is>
      </c>
      <c r="L1383" s="189" t="inlineStr">
        <is>
          <t>2026-02-23 21:23:19</t>
        </is>
      </c>
      <c r="M1383" s="189" t="inlineStr">
        <is>
          <t>Block URL</t>
        </is>
      </c>
      <c r="N1383" s="190" t="inlineStr">
        <is>
          <t>https://urlhaus.abuse.ch/url/3784525/</t>
        </is>
      </c>
      <c r="O1383" s="189" t="inlineStr">
        <is>
          <t>Block URL in proxy/firewall: http://27.215.47.228:46927/i</t>
        </is>
      </c>
      <c r="P1383" s="189" t="inlineStr">
        <is>
          <t>Network/Web Proxy</t>
        </is>
      </c>
      <c r="Q1383" s="189" t="inlineStr">
        <is>
          <t>P3</t>
        </is>
      </c>
      <c r="R1383" s="189" t="inlineStr">
        <is>
          <t>🚫 Block URLs in web proxy/firewall | 📧 Update email security filters | 👥 User awareness training recommended</t>
        </is>
      </c>
      <c r="S1383" s="189" t="inlineStr">
        <is>
          <t>URL IOC - check host IP separately</t>
        </is>
      </c>
      <c r="T1383" s="189" t="n">
        <v>0</v>
      </c>
      <c r="U1383" s="189" t="n">
        <v>0</v>
      </c>
      <c r="V1383" s="189" t="inlineStr">
        <is>
          <t>T1189:Drive-by Compromise | T1566:Phishing</t>
        </is>
      </c>
      <c r="W1383" s="189" t="n">
        <v>1</v>
      </c>
      <c r="X1383" s="189" t="inlineStr">
        <is>
          <t>LOW (40%)</t>
        </is>
      </c>
      <c r="Y1383" s="189" t="inlineStr">
        <is>
          <t>YES</t>
        </is>
      </c>
      <c r="Z1383" s="189" t="inlineStr">
        <is>
          <t>Block URL</t>
        </is>
      </c>
      <c r="AA1383" s="190" t="inlineStr">
        <is>
          <t>https://urlhaus.abuse.ch/url/3784525/</t>
        </is>
      </c>
      <c r="AB1383" s="189" t="inlineStr">
        <is>
          <t>NONE</t>
        </is>
      </c>
      <c r="AC1383" s="189" t="n">
        <v>0</v>
      </c>
      <c r="AD1383" s="189" t="n"/>
    </row>
    <row r="1384">
      <c r="A1384" s="189" t="inlineStr">
        <is>
          <t>MAL_URL</t>
        </is>
      </c>
      <c r="B1384" s="189" t="inlineStr">
        <is>
          <t>3784524</t>
        </is>
      </c>
      <c r="C1384" s="189" t="inlineStr">
        <is>
          <t>Malware Host [online]: https://swift-flow-node.swiftcanyon.ru/service/verification.google | Threat: malware_download | Tags: ClearFake</t>
        </is>
      </c>
      <c r="D1384" s="189" t="n">
        <v>7.5</v>
      </c>
      <c r="E1384" s="189" t="inlineStr">
        <is>
          <t>HIGH</t>
        </is>
      </c>
      <c r="F1384" s="189" t="n">
        <v>3</v>
      </c>
      <c r="G1384" s="189" t="n">
        <v>2</v>
      </c>
      <c r="H1384" s="189" t="inlineStr">
        <is>
          <t>HIGH</t>
        </is>
      </c>
      <c r="I1384" s="189" t="n">
        <v>13.5</v>
      </c>
      <c r="J1384" s="189" t="inlineStr">
        <is>
          <t>NO</t>
        </is>
      </c>
      <c r="K1384" s="190" t="inlineStr">
        <is>
          <t>https://urlhaus.abuse.ch/url/3784524/</t>
        </is>
      </c>
      <c r="L1384" s="189" t="inlineStr">
        <is>
          <t>2026-02-23 21:21:07</t>
        </is>
      </c>
      <c r="M1384" s="189" t="inlineStr">
        <is>
          <t>Block URL</t>
        </is>
      </c>
      <c r="N1384" s="190" t="inlineStr">
        <is>
          <t>https://urlhaus.abuse.ch/url/3784524/</t>
        </is>
      </c>
      <c r="O1384" s="189" t="inlineStr">
        <is>
          <t>Block URL in proxy/firewall: https://swift-flow-node.swiftcanyon.ru/service/verification.google</t>
        </is>
      </c>
      <c r="P1384" s="189" t="inlineStr">
        <is>
          <t>Network/Web Proxy</t>
        </is>
      </c>
      <c r="Q1384" s="189" t="inlineStr">
        <is>
          <t>P3</t>
        </is>
      </c>
      <c r="R1384" s="189" t="inlineStr">
        <is>
          <t>🚫 Block URLs in web proxy/firewall | 📧 Update email security filters | 👥 User awareness training recommended</t>
        </is>
      </c>
      <c r="S1384" s="189" t="inlineStr">
        <is>
          <t>URL IOC - check host IP separately</t>
        </is>
      </c>
      <c r="T1384" s="189" t="n">
        <v>0</v>
      </c>
      <c r="U1384" s="189" t="n">
        <v>0</v>
      </c>
      <c r="V1384" s="189" t="inlineStr">
        <is>
          <t>T1189:Drive-by Compromise | T1566:Phishing</t>
        </is>
      </c>
      <c r="W1384" s="189" t="n">
        <v>1</v>
      </c>
      <c r="X1384" s="189" t="inlineStr">
        <is>
          <t>LOW (40%)</t>
        </is>
      </c>
      <c r="Y1384" s="189" t="inlineStr">
        <is>
          <t>YES</t>
        </is>
      </c>
      <c r="Z1384" s="189" t="inlineStr">
        <is>
          <t>Block URL</t>
        </is>
      </c>
      <c r="AA1384" s="190" t="inlineStr">
        <is>
          <t>https://urlhaus.abuse.ch/url/3784524/</t>
        </is>
      </c>
      <c r="AB1384" s="189" t="inlineStr">
        <is>
          <t>NONE</t>
        </is>
      </c>
      <c r="AC1384" s="189" t="n">
        <v>0</v>
      </c>
      <c r="AD1384" s="189" t="n"/>
    </row>
    <row r="1385">
      <c r="A1385" s="189" t="inlineStr">
        <is>
          <t>MAL_URL</t>
        </is>
      </c>
      <c r="B1385" s="189" t="inlineStr">
        <is>
          <t>3784523</t>
        </is>
      </c>
      <c r="C1385" s="189" t="inlineStr">
        <is>
          <t>Malware Host [online]: http://27.215.47.228:46927/bin.sh | Threat: malware_download | Tags: 32-bit,elf,mips,Mozi</t>
        </is>
      </c>
      <c r="D1385" s="189" t="n">
        <v>7.5</v>
      </c>
      <c r="E1385" s="189" t="inlineStr">
        <is>
          <t>HIGH</t>
        </is>
      </c>
      <c r="F1385" s="189" t="n">
        <v>3</v>
      </c>
      <c r="G1385" s="189" t="n">
        <v>2</v>
      </c>
      <c r="H1385" s="189" t="inlineStr">
        <is>
          <t>HIGH</t>
        </is>
      </c>
      <c r="I1385" s="189" t="n">
        <v>13.5</v>
      </c>
      <c r="J1385" s="189" t="inlineStr">
        <is>
          <t>NO</t>
        </is>
      </c>
      <c r="K1385" s="190" t="inlineStr">
        <is>
          <t>https://urlhaus.abuse.ch/url/3784523/</t>
        </is>
      </c>
      <c r="L1385" s="189" t="inlineStr">
        <is>
          <t>2026-02-23 21:19:18</t>
        </is>
      </c>
      <c r="M1385" s="189" t="inlineStr">
        <is>
          <t>Block URL</t>
        </is>
      </c>
      <c r="N1385" s="190" t="inlineStr">
        <is>
          <t>https://urlhaus.abuse.ch/url/3784523/</t>
        </is>
      </c>
      <c r="O1385" s="189" t="inlineStr">
        <is>
          <t>Block URL in proxy/firewall: http://27.215.47.228:46927/bin.sh</t>
        </is>
      </c>
      <c r="P1385" s="189" t="inlineStr">
        <is>
          <t>Network/Web Proxy</t>
        </is>
      </c>
      <c r="Q1385" s="189" t="inlineStr">
        <is>
          <t>P3</t>
        </is>
      </c>
      <c r="R1385" s="189" t="inlineStr">
        <is>
          <t>🚫 Block URLs in web proxy/firewall | 📧 Update email security filters | 👥 User awareness training recommended</t>
        </is>
      </c>
      <c r="S1385" s="189" t="inlineStr">
        <is>
          <t>URL IOC - check host IP separately</t>
        </is>
      </c>
      <c r="T1385" s="189" t="n">
        <v>0</v>
      </c>
      <c r="U1385" s="189" t="n">
        <v>0</v>
      </c>
      <c r="V1385" s="189" t="inlineStr">
        <is>
          <t>T1189:Drive-by Compromise | T1566:Phishing</t>
        </is>
      </c>
      <c r="W1385" s="189" t="n">
        <v>1</v>
      </c>
      <c r="X1385" s="189" t="inlineStr">
        <is>
          <t>LOW (40%)</t>
        </is>
      </c>
      <c r="Y1385" s="189" t="inlineStr">
        <is>
          <t>YES</t>
        </is>
      </c>
      <c r="Z1385" s="189" t="inlineStr">
        <is>
          <t>Block URL</t>
        </is>
      </c>
      <c r="AA1385" s="190" t="inlineStr">
        <is>
          <t>https://urlhaus.abuse.ch/url/3784523/</t>
        </is>
      </c>
      <c r="AB1385" s="189" t="inlineStr">
        <is>
          <t>NONE</t>
        </is>
      </c>
      <c r="AC1385" s="189" t="n">
        <v>0</v>
      </c>
      <c r="AD1385" s="189" t="n"/>
    </row>
    <row r="1386">
      <c r="A1386" s="189" t="inlineStr">
        <is>
          <t>MAL_URL</t>
        </is>
      </c>
      <c r="B1386" s="189" t="inlineStr">
        <is>
          <t>3784522</t>
        </is>
      </c>
      <c r="C1386" s="189" t="inlineStr">
        <is>
          <t>Malware Host [online]: https://geo-rock-sync-base.swiftcanyon.ru/service/verification.google | Threat: malware_download | Tags: ClearFake</t>
        </is>
      </c>
      <c r="D1386" s="189" t="n">
        <v>7.5</v>
      </c>
      <c r="E1386" s="189" t="inlineStr">
        <is>
          <t>HIGH</t>
        </is>
      </c>
      <c r="F1386" s="189" t="n">
        <v>3</v>
      </c>
      <c r="G1386" s="189" t="n">
        <v>2</v>
      </c>
      <c r="H1386" s="189" t="inlineStr">
        <is>
          <t>HIGH</t>
        </is>
      </c>
      <c r="I1386" s="189" t="n">
        <v>13.5</v>
      </c>
      <c r="J1386" s="189" t="inlineStr">
        <is>
          <t>NO</t>
        </is>
      </c>
      <c r="K1386" s="190" t="inlineStr">
        <is>
          <t>https://urlhaus.abuse.ch/url/3784522/</t>
        </is>
      </c>
      <c r="L1386" s="189" t="inlineStr">
        <is>
          <t>2026-02-23 21:15:07</t>
        </is>
      </c>
      <c r="M1386" s="189" t="inlineStr">
        <is>
          <t>Block URL</t>
        </is>
      </c>
      <c r="N1386" s="190" t="inlineStr">
        <is>
          <t>https://urlhaus.abuse.ch/url/3784522/</t>
        </is>
      </c>
      <c r="O1386" s="189" t="inlineStr">
        <is>
          <t>Block URL in proxy/firewall: https://geo-rock-sync-base.swiftcanyon.ru/service/verification.google</t>
        </is>
      </c>
      <c r="P1386" s="189" t="inlineStr">
        <is>
          <t>Network/Web Proxy</t>
        </is>
      </c>
      <c r="Q1386" s="189" t="inlineStr">
        <is>
          <t>P3</t>
        </is>
      </c>
      <c r="R1386" s="189" t="inlineStr">
        <is>
          <t>🚫 Block URLs in web proxy/firewall | 📧 Update email security filters | 👥 User awareness training recommended</t>
        </is>
      </c>
      <c r="S1386" s="189" t="inlineStr">
        <is>
          <t>URL IOC - check host IP separately</t>
        </is>
      </c>
      <c r="T1386" s="189" t="n">
        <v>0</v>
      </c>
      <c r="U1386" s="189" t="n">
        <v>0</v>
      </c>
      <c r="V1386" s="189" t="inlineStr">
        <is>
          <t>T1189:Drive-by Compromise | T1566:Phishing</t>
        </is>
      </c>
      <c r="W1386" s="189" t="n">
        <v>1</v>
      </c>
      <c r="X1386" s="189" t="inlineStr">
        <is>
          <t>LOW (40%)</t>
        </is>
      </c>
      <c r="Y1386" s="189" t="inlineStr">
        <is>
          <t>YES</t>
        </is>
      </c>
      <c r="Z1386" s="189" t="inlineStr">
        <is>
          <t>Block URL</t>
        </is>
      </c>
      <c r="AA1386" s="190" t="inlineStr">
        <is>
          <t>https://urlhaus.abuse.ch/url/3784522/</t>
        </is>
      </c>
      <c r="AB1386" s="189" t="inlineStr">
        <is>
          <t>NONE</t>
        </is>
      </c>
      <c r="AC1386" s="189" t="n">
        <v>0</v>
      </c>
      <c r="AD1386" s="189" t="n"/>
    </row>
    <row r="1387">
      <c r="A1387" s="189" t="inlineStr">
        <is>
          <t>MAL_URL</t>
        </is>
      </c>
      <c r="B1387" s="189" t="inlineStr">
        <is>
          <t>3784521</t>
        </is>
      </c>
      <c r="C1387" s="189" t="inlineStr">
        <is>
          <t>Malware Host [online]: http://110.39.233.78:39309/bin.sh | Threat: malware_download | Tags: 32-bit,elf,mips,Mozi</t>
        </is>
      </c>
      <c r="D1387" s="189" t="n">
        <v>7.5</v>
      </c>
      <c r="E1387" s="189" t="inlineStr">
        <is>
          <t>HIGH</t>
        </is>
      </c>
      <c r="F1387" s="189" t="n">
        <v>3</v>
      </c>
      <c r="G1387" s="189" t="n">
        <v>2</v>
      </c>
      <c r="H1387" s="189" t="inlineStr">
        <is>
          <t>HIGH</t>
        </is>
      </c>
      <c r="I1387" s="189" t="n">
        <v>13.5</v>
      </c>
      <c r="J1387" s="189" t="inlineStr">
        <is>
          <t>NO</t>
        </is>
      </c>
      <c r="K1387" s="190" t="inlineStr">
        <is>
          <t>https://urlhaus.abuse.ch/url/3784521/</t>
        </is>
      </c>
      <c r="L1387" s="189" t="inlineStr">
        <is>
          <t>2026-02-23 21:12:05</t>
        </is>
      </c>
      <c r="M1387" s="189" t="inlineStr">
        <is>
          <t>Block URL</t>
        </is>
      </c>
      <c r="N1387" s="190" t="inlineStr">
        <is>
          <t>https://urlhaus.abuse.ch/url/3784521/</t>
        </is>
      </c>
      <c r="O1387" s="189" t="inlineStr">
        <is>
          <t>Block URL in proxy/firewall: http://110.39.233.78:39309/bin.sh</t>
        </is>
      </c>
      <c r="P1387" s="189" t="inlineStr">
        <is>
          <t>Network/Web Proxy</t>
        </is>
      </c>
      <c r="Q1387" s="189" t="inlineStr">
        <is>
          <t>P3</t>
        </is>
      </c>
      <c r="R1387" s="189" t="inlineStr">
        <is>
          <t>🚫 Block URLs in web proxy/firewall | 📧 Update email security filters | 👥 User awareness training recommended</t>
        </is>
      </c>
      <c r="S1387" s="189" t="inlineStr">
        <is>
          <t>URL IOC - check host IP separately</t>
        </is>
      </c>
      <c r="T1387" s="189" t="n">
        <v>0</v>
      </c>
      <c r="U1387" s="189" t="n">
        <v>0</v>
      </c>
      <c r="V1387" s="189" t="inlineStr">
        <is>
          <t>T1189:Drive-by Compromise | T1566:Phishing</t>
        </is>
      </c>
      <c r="W1387" s="189" t="n">
        <v>1</v>
      </c>
      <c r="X1387" s="189" t="inlineStr">
        <is>
          <t>LOW (40%)</t>
        </is>
      </c>
      <c r="Y1387" s="189" t="inlineStr">
        <is>
          <t>YES</t>
        </is>
      </c>
      <c r="Z1387" s="189" t="inlineStr">
        <is>
          <t>Block URL</t>
        </is>
      </c>
      <c r="AA1387" s="190" t="inlineStr">
        <is>
          <t>https://urlhaus.abuse.ch/url/3784521/</t>
        </is>
      </c>
      <c r="AB1387" s="189" t="inlineStr">
        <is>
          <t>NONE</t>
        </is>
      </c>
      <c r="AC1387" s="189" t="n">
        <v>0</v>
      </c>
      <c r="AD1387" s="189" t="n"/>
    </row>
    <row r="1388">
      <c r="A1388" s="189" t="inlineStr">
        <is>
          <t>MAL_URL</t>
        </is>
      </c>
      <c r="B1388" s="189" t="inlineStr">
        <is>
          <t>3784520</t>
        </is>
      </c>
      <c r="C1388" s="189" t="inlineStr">
        <is>
          <t>Malware Host [online]: http://27.215.176.66:56386/i | Threat: malware_download | Tags: 32-bit,elf,mips,Mozi</t>
        </is>
      </c>
      <c r="D1388" s="189" t="n">
        <v>7.5</v>
      </c>
      <c r="E1388" s="189" t="inlineStr">
        <is>
          <t>HIGH</t>
        </is>
      </c>
      <c r="F1388" s="189" t="n">
        <v>3</v>
      </c>
      <c r="G1388" s="189" t="n">
        <v>2</v>
      </c>
      <c r="H1388" s="189" t="inlineStr">
        <is>
          <t>HIGH</t>
        </is>
      </c>
      <c r="I1388" s="189" t="n">
        <v>13.5</v>
      </c>
      <c r="J1388" s="189" t="inlineStr">
        <is>
          <t>NO</t>
        </is>
      </c>
      <c r="K1388" s="190" t="inlineStr">
        <is>
          <t>https://urlhaus.abuse.ch/url/3784520/</t>
        </is>
      </c>
      <c r="L1388" s="189" t="inlineStr">
        <is>
          <t>2026-02-23 21:08:18</t>
        </is>
      </c>
      <c r="M1388" s="189" t="inlineStr">
        <is>
          <t>Block URL</t>
        </is>
      </c>
      <c r="N1388" s="190" t="inlineStr">
        <is>
          <t>https://urlhaus.abuse.ch/url/3784520/</t>
        </is>
      </c>
      <c r="O1388" s="189" t="inlineStr">
        <is>
          <t>Block URL in proxy/firewall: http://27.215.176.66:56386/i</t>
        </is>
      </c>
      <c r="P1388" s="189" t="inlineStr">
        <is>
          <t>Network/Web Proxy</t>
        </is>
      </c>
      <c r="Q1388" s="189" t="inlineStr">
        <is>
          <t>P3</t>
        </is>
      </c>
      <c r="R1388" s="189" t="inlineStr">
        <is>
          <t>🚫 Block URLs in web proxy/firewall | 📧 Update email security filters | 👥 User awareness training recommended</t>
        </is>
      </c>
      <c r="S1388" s="189" t="inlineStr">
        <is>
          <t>URL IOC - check host IP separately</t>
        </is>
      </c>
      <c r="T1388" s="189" t="n">
        <v>0</v>
      </c>
      <c r="U1388" s="189" t="n">
        <v>0</v>
      </c>
      <c r="V1388" s="189" t="inlineStr">
        <is>
          <t>T1189:Drive-by Compromise | T1566:Phishing</t>
        </is>
      </c>
      <c r="W1388" s="189" t="n">
        <v>1</v>
      </c>
      <c r="X1388" s="189" t="inlineStr">
        <is>
          <t>LOW (40%)</t>
        </is>
      </c>
      <c r="Y1388" s="189" t="inlineStr">
        <is>
          <t>YES</t>
        </is>
      </c>
      <c r="Z1388" s="189" t="inlineStr">
        <is>
          <t>Block URL</t>
        </is>
      </c>
      <c r="AA1388" s="190" t="inlineStr">
        <is>
          <t>https://urlhaus.abuse.ch/url/3784520/</t>
        </is>
      </c>
      <c r="AB1388" s="189" t="inlineStr">
        <is>
          <t>NONE</t>
        </is>
      </c>
      <c r="AC1388" s="189" t="n">
        <v>0</v>
      </c>
      <c r="AD1388" s="189" t="n"/>
    </row>
    <row r="1389">
      <c r="A1389" s="189" t="inlineStr">
        <is>
          <t>MAL_URL</t>
        </is>
      </c>
      <c r="B1389" s="189" t="inlineStr">
        <is>
          <t>3784519</t>
        </is>
      </c>
      <c r="C1389" s="189" t="inlineStr">
        <is>
          <t>Malware Host [online]: http://110.39.233.78:39309/i | Threat: malware_download | Tags: 32-bit,elf,mips,Mozi</t>
        </is>
      </c>
      <c r="D1389" s="189" t="n">
        <v>7.5</v>
      </c>
      <c r="E1389" s="189" t="inlineStr">
        <is>
          <t>HIGH</t>
        </is>
      </c>
      <c r="F1389" s="189" t="n">
        <v>3</v>
      </c>
      <c r="G1389" s="189" t="n">
        <v>2</v>
      </c>
      <c r="H1389" s="189" t="inlineStr">
        <is>
          <t>HIGH</t>
        </is>
      </c>
      <c r="I1389" s="189" t="n">
        <v>13.5</v>
      </c>
      <c r="J1389" s="189" t="inlineStr">
        <is>
          <t>NO</t>
        </is>
      </c>
      <c r="K1389" s="190" t="inlineStr">
        <is>
          <t>https://urlhaus.abuse.ch/url/3784519/</t>
        </is>
      </c>
      <c r="L1389" s="189" t="inlineStr">
        <is>
          <t>2026-02-23 21:07:18</t>
        </is>
      </c>
      <c r="M1389" s="189" t="inlineStr">
        <is>
          <t>Block URL</t>
        </is>
      </c>
      <c r="N1389" s="190" t="inlineStr">
        <is>
          <t>https://urlhaus.abuse.ch/url/3784519/</t>
        </is>
      </c>
      <c r="O1389" s="189" t="inlineStr">
        <is>
          <t>Block URL in proxy/firewall: http://110.39.233.78:39309/i</t>
        </is>
      </c>
      <c r="P1389" s="189" t="inlineStr">
        <is>
          <t>Network/Web Proxy</t>
        </is>
      </c>
      <c r="Q1389" s="189" t="inlineStr">
        <is>
          <t>P3</t>
        </is>
      </c>
      <c r="R1389" s="189" t="inlineStr">
        <is>
          <t>🚫 Block URLs in web proxy/firewall | 📧 Update email security filters | 👥 User awareness training recommended</t>
        </is>
      </c>
      <c r="S1389" s="189" t="inlineStr">
        <is>
          <t>URL IOC - check host IP separately</t>
        </is>
      </c>
      <c r="T1389" s="189" t="n">
        <v>0</v>
      </c>
      <c r="U1389" s="189" t="n">
        <v>0</v>
      </c>
      <c r="V1389" s="189" t="inlineStr">
        <is>
          <t>T1189:Drive-by Compromise | T1566:Phishing</t>
        </is>
      </c>
      <c r="W1389" s="189" t="n">
        <v>1</v>
      </c>
      <c r="X1389" s="189" t="inlineStr">
        <is>
          <t>LOW (40%)</t>
        </is>
      </c>
      <c r="Y1389" s="189" t="inlineStr">
        <is>
          <t>YES</t>
        </is>
      </c>
      <c r="Z1389" s="189" t="inlineStr">
        <is>
          <t>Block URL</t>
        </is>
      </c>
      <c r="AA1389" s="190" t="inlineStr">
        <is>
          <t>https://urlhaus.abuse.ch/url/3784519/</t>
        </is>
      </c>
      <c r="AB1389" s="189" t="inlineStr">
        <is>
          <t>NONE</t>
        </is>
      </c>
      <c r="AC1389" s="189" t="n">
        <v>0</v>
      </c>
      <c r="AD1389" s="189" t="n"/>
    </row>
    <row r="1390">
      <c r="A1390" s="189" t="inlineStr">
        <is>
          <t>MAL_URL</t>
        </is>
      </c>
      <c r="B1390" s="189" t="inlineStr">
        <is>
          <t>3784518</t>
        </is>
      </c>
      <c r="C1390" s="189" t="inlineStr">
        <is>
          <t>Malware Host [online]: https://depth-canyon-monitor.swiftcanyon.ru/service/verification.google | Threat: malware_download | Tags: ClearFake</t>
        </is>
      </c>
      <c r="D1390" s="189" t="n">
        <v>7.5</v>
      </c>
      <c r="E1390" s="189" t="inlineStr">
        <is>
          <t>HIGH</t>
        </is>
      </c>
      <c r="F1390" s="189" t="n">
        <v>3</v>
      </c>
      <c r="G1390" s="189" t="n">
        <v>2</v>
      </c>
      <c r="H1390" s="189" t="inlineStr">
        <is>
          <t>HIGH</t>
        </is>
      </c>
      <c r="I1390" s="189" t="n">
        <v>13.5</v>
      </c>
      <c r="J1390" s="189" t="inlineStr">
        <is>
          <t>NO</t>
        </is>
      </c>
      <c r="K1390" s="190" t="inlineStr">
        <is>
          <t>https://urlhaus.abuse.ch/url/3784518/</t>
        </is>
      </c>
      <c r="L1390" s="189" t="inlineStr">
        <is>
          <t>2026-02-23 21:06:07</t>
        </is>
      </c>
      <c r="M1390" s="189" t="inlineStr">
        <is>
          <t>Block URL</t>
        </is>
      </c>
      <c r="N1390" s="190" t="inlineStr">
        <is>
          <t>https://urlhaus.abuse.ch/url/3784518/</t>
        </is>
      </c>
      <c r="O1390" s="189" t="inlineStr">
        <is>
          <t>Block URL in proxy/firewall: https://depth-canyon-monitor.swiftcanyon.ru/service/verification.google</t>
        </is>
      </c>
      <c r="P1390" s="189" t="inlineStr">
        <is>
          <t>Network/Web Proxy</t>
        </is>
      </c>
      <c r="Q1390" s="189" t="inlineStr">
        <is>
          <t>P3</t>
        </is>
      </c>
      <c r="R1390" s="189" t="inlineStr">
        <is>
          <t>🚫 Block URLs in web proxy/firewall | 📧 Update email security filters | 👥 User awareness training recommended</t>
        </is>
      </c>
      <c r="S1390" s="189" t="inlineStr">
        <is>
          <t>URL IOC - check host IP separately</t>
        </is>
      </c>
      <c r="T1390" s="189" t="n">
        <v>0</v>
      </c>
      <c r="U1390" s="189" t="n">
        <v>0</v>
      </c>
      <c r="V1390" s="189" t="inlineStr">
        <is>
          <t>T1189:Drive-by Compromise | T1566:Phishing</t>
        </is>
      </c>
      <c r="W1390" s="189" t="n">
        <v>1</v>
      </c>
      <c r="X1390" s="189" t="inlineStr">
        <is>
          <t>LOW (40%)</t>
        </is>
      </c>
      <c r="Y1390" s="189" t="inlineStr">
        <is>
          <t>YES</t>
        </is>
      </c>
      <c r="Z1390" s="189" t="inlineStr">
        <is>
          <t>Block URL</t>
        </is>
      </c>
      <c r="AA1390" s="190" t="inlineStr">
        <is>
          <t>https://urlhaus.abuse.ch/url/3784518/</t>
        </is>
      </c>
      <c r="AB1390" s="189" t="inlineStr">
        <is>
          <t>NONE</t>
        </is>
      </c>
      <c r="AC1390" s="189" t="n">
        <v>0</v>
      </c>
      <c r="AD1390" s="189" t="n"/>
    </row>
    <row r="1391">
      <c r="A1391" s="189" t="inlineStr">
        <is>
          <t>MAL_URL</t>
        </is>
      </c>
      <c r="B1391" s="189" t="inlineStr">
        <is>
          <t>3784517</t>
        </is>
      </c>
      <c r="C1391" s="189" t="inlineStr">
        <is>
          <t>Malware Host [online]: http://115.50.69.58:38363/i | Threat: malware_download | Tags: 32-bit,elf,mips,Mozi</t>
        </is>
      </c>
      <c r="D1391" s="189" t="n">
        <v>7.5</v>
      </c>
      <c r="E1391" s="189" t="inlineStr">
        <is>
          <t>HIGH</t>
        </is>
      </c>
      <c r="F1391" s="189" t="n">
        <v>3</v>
      </c>
      <c r="G1391" s="189" t="n">
        <v>2</v>
      </c>
      <c r="H1391" s="189" t="inlineStr">
        <is>
          <t>HIGH</t>
        </is>
      </c>
      <c r="I1391" s="189" t="n">
        <v>13.5</v>
      </c>
      <c r="J1391" s="189" t="inlineStr">
        <is>
          <t>NO</t>
        </is>
      </c>
      <c r="K1391" s="190" t="inlineStr">
        <is>
          <t>https://urlhaus.abuse.ch/url/3784517/</t>
        </is>
      </c>
      <c r="L1391" s="189" t="inlineStr">
        <is>
          <t>2026-02-23 21:03:16</t>
        </is>
      </c>
      <c r="M1391" s="189" t="inlineStr">
        <is>
          <t>Block URL</t>
        </is>
      </c>
      <c r="N1391" s="190" t="inlineStr">
        <is>
          <t>https://urlhaus.abuse.ch/url/3784517/</t>
        </is>
      </c>
      <c r="O1391" s="189" t="inlineStr">
        <is>
          <t>Block URL in proxy/firewall: http://115.50.69.58:38363/i</t>
        </is>
      </c>
      <c r="P1391" s="189" t="inlineStr">
        <is>
          <t>Network/Web Proxy</t>
        </is>
      </c>
      <c r="Q1391" s="189" t="inlineStr">
        <is>
          <t>P3</t>
        </is>
      </c>
      <c r="R1391" s="189" t="inlineStr">
        <is>
          <t>🚫 Block URLs in web proxy/firewall | 📧 Update email security filters | 👥 User awareness training recommended</t>
        </is>
      </c>
      <c r="S1391" s="189" t="inlineStr">
        <is>
          <t>URL IOC - check host IP separately</t>
        </is>
      </c>
      <c r="T1391" s="189" t="n">
        <v>0</v>
      </c>
      <c r="U1391" s="189" t="n">
        <v>0</v>
      </c>
      <c r="V1391" s="189" t="inlineStr">
        <is>
          <t>T1189:Drive-by Compromise | T1566:Phishing</t>
        </is>
      </c>
      <c r="W1391" s="189" t="n">
        <v>1</v>
      </c>
      <c r="X1391" s="189" t="inlineStr">
        <is>
          <t>LOW (40%)</t>
        </is>
      </c>
      <c r="Y1391" s="189" t="inlineStr">
        <is>
          <t>YES</t>
        </is>
      </c>
      <c r="Z1391" s="189" t="inlineStr">
        <is>
          <t>Block URL</t>
        </is>
      </c>
      <c r="AA1391" s="190" t="inlineStr">
        <is>
          <t>https://urlhaus.abuse.ch/url/3784517/</t>
        </is>
      </c>
      <c r="AB1391" s="189" t="inlineStr">
        <is>
          <t>NONE</t>
        </is>
      </c>
      <c r="AC1391" s="189" t="n">
        <v>0</v>
      </c>
      <c r="AD1391" s="189" t="n"/>
    </row>
    <row r="1392">
      <c r="A1392" s="189" t="inlineStr">
        <is>
          <t>MAL_URL</t>
        </is>
      </c>
      <c r="B1392" s="189" t="inlineStr">
        <is>
          <t>3784516</t>
        </is>
      </c>
      <c r="C1392" s="189" t="inlineStr">
        <is>
          <t>Malware Host [online]: https://swift-canyon-pass.swiftcanyon.ru/service/verification.google | Threat: malware_download | Tags: ClearFake</t>
        </is>
      </c>
      <c r="D1392" s="189" t="n">
        <v>7.5</v>
      </c>
      <c r="E1392" s="189" t="inlineStr">
        <is>
          <t>HIGH</t>
        </is>
      </c>
      <c r="F1392" s="189" t="n">
        <v>3</v>
      </c>
      <c r="G1392" s="189" t="n">
        <v>2</v>
      </c>
      <c r="H1392" s="189" t="inlineStr">
        <is>
          <t>HIGH</t>
        </is>
      </c>
      <c r="I1392" s="189" t="n">
        <v>13.5</v>
      </c>
      <c r="J1392" s="189" t="inlineStr">
        <is>
          <t>NO</t>
        </is>
      </c>
      <c r="K1392" s="190" t="inlineStr">
        <is>
          <t>https://urlhaus.abuse.ch/url/3784516/</t>
        </is>
      </c>
      <c r="L1392" s="189" t="inlineStr">
        <is>
          <t>2026-02-23 21:02:08</t>
        </is>
      </c>
      <c r="M1392" s="189" t="inlineStr">
        <is>
          <t>Block URL</t>
        </is>
      </c>
      <c r="N1392" s="190" t="inlineStr">
        <is>
          <t>https://urlhaus.abuse.ch/url/3784516/</t>
        </is>
      </c>
      <c r="O1392" s="189" t="inlineStr">
        <is>
          <t>Block URL in proxy/firewall: https://swift-canyon-pass.swiftcanyon.ru/service/verification.google</t>
        </is>
      </c>
      <c r="P1392" s="189" t="inlineStr">
        <is>
          <t>Network/Web Proxy</t>
        </is>
      </c>
      <c r="Q1392" s="189" t="inlineStr">
        <is>
          <t>P3</t>
        </is>
      </c>
      <c r="R1392" s="189" t="inlineStr">
        <is>
          <t>🚫 Block URLs in web proxy/firewall | 📧 Update email security filters | 👥 User awareness training recommended</t>
        </is>
      </c>
      <c r="S1392" s="189" t="inlineStr">
        <is>
          <t>URL IOC - check host IP separately</t>
        </is>
      </c>
      <c r="T1392" s="189" t="n">
        <v>0</v>
      </c>
      <c r="U1392" s="189" t="n">
        <v>0</v>
      </c>
      <c r="V1392" s="189" t="inlineStr">
        <is>
          <t>T1189:Drive-by Compromise | T1566:Phishing</t>
        </is>
      </c>
      <c r="W1392" s="189" t="n">
        <v>1</v>
      </c>
      <c r="X1392" s="189" t="inlineStr">
        <is>
          <t>LOW (40%)</t>
        </is>
      </c>
      <c r="Y1392" s="189" t="inlineStr">
        <is>
          <t>YES</t>
        </is>
      </c>
      <c r="Z1392" s="189" t="inlineStr">
        <is>
          <t>Block URL</t>
        </is>
      </c>
      <c r="AA1392" s="190" t="inlineStr">
        <is>
          <t>https://urlhaus.abuse.ch/url/3784516/</t>
        </is>
      </c>
      <c r="AB1392" s="189" t="inlineStr">
        <is>
          <t>NONE</t>
        </is>
      </c>
      <c r="AC1392" s="189" t="n">
        <v>0</v>
      </c>
      <c r="AD1392" s="189" t="n"/>
    </row>
    <row r="1393">
      <c r="A1393" s="189" t="inlineStr">
        <is>
          <t>MAL_URL</t>
        </is>
      </c>
      <c r="B1393" s="189" t="inlineStr">
        <is>
          <t>3784515</t>
        </is>
      </c>
      <c r="C1393" s="189" t="inlineStr">
        <is>
          <t>Malware Host [online]: https://main-quick-dock.quickharbor.in.net/service/verification.google | Threat: malware_download | Tags: ClearFake</t>
        </is>
      </c>
      <c r="D1393" s="189" t="n">
        <v>7.5</v>
      </c>
      <c r="E1393" s="189" t="inlineStr">
        <is>
          <t>HIGH</t>
        </is>
      </c>
      <c r="F1393" s="189" t="n">
        <v>3</v>
      </c>
      <c r="G1393" s="189" t="n">
        <v>2</v>
      </c>
      <c r="H1393" s="189" t="inlineStr">
        <is>
          <t>HIGH</t>
        </is>
      </c>
      <c r="I1393" s="189" t="n">
        <v>13.5</v>
      </c>
      <c r="J1393" s="189" t="inlineStr">
        <is>
          <t>NO</t>
        </is>
      </c>
      <c r="K1393" s="190" t="inlineStr">
        <is>
          <t>https://urlhaus.abuse.ch/url/3784515/</t>
        </is>
      </c>
      <c r="L1393" s="189" t="inlineStr">
        <is>
          <t>2026-02-23 20:58:08</t>
        </is>
      </c>
      <c r="M1393" s="189" t="inlineStr">
        <is>
          <t>Block URL</t>
        </is>
      </c>
      <c r="N1393" s="190" t="inlineStr">
        <is>
          <t>https://urlhaus.abuse.ch/url/3784515/</t>
        </is>
      </c>
      <c r="O1393" s="189" t="inlineStr">
        <is>
          <t>Block URL in proxy/firewall: https://main-quick-dock.quickharbor.in.net/service/verification.google</t>
        </is>
      </c>
      <c r="P1393" s="189" t="inlineStr">
        <is>
          <t>Network/Web Proxy</t>
        </is>
      </c>
      <c r="Q1393" s="189" t="inlineStr">
        <is>
          <t>P3</t>
        </is>
      </c>
      <c r="R1393" s="189" t="inlineStr">
        <is>
          <t>🚫 Block URLs in web proxy/firewall | 📧 Update email security filters | 👥 User awareness training recommended</t>
        </is>
      </c>
      <c r="S1393" s="189" t="inlineStr">
        <is>
          <t>URL IOC - check host IP separately</t>
        </is>
      </c>
      <c r="T1393" s="189" t="n">
        <v>0</v>
      </c>
      <c r="U1393" s="189" t="n">
        <v>0</v>
      </c>
      <c r="V1393" s="189" t="inlineStr">
        <is>
          <t>T1189:Drive-by Compromise | T1566:Phishing</t>
        </is>
      </c>
      <c r="W1393" s="189" t="n">
        <v>1</v>
      </c>
      <c r="X1393" s="189" t="inlineStr">
        <is>
          <t>LOW (40%)</t>
        </is>
      </c>
      <c r="Y1393" s="189" t="inlineStr">
        <is>
          <t>YES</t>
        </is>
      </c>
      <c r="Z1393" s="189" t="inlineStr">
        <is>
          <t>Block URL</t>
        </is>
      </c>
      <c r="AA1393" s="190" t="inlineStr">
        <is>
          <t>https://urlhaus.abuse.ch/url/3784515/</t>
        </is>
      </c>
      <c r="AB1393" s="189" t="inlineStr">
        <is>
          <t>NONE</t>
        </is>
      </c>
      <c r="AC1393" s="189" t="n">
        <v>0</v>
      </c>
      <c r="AD1393" s="189" t="n"/>
    </row>
    <row r="1394">
      <c r="A1394" s="189" t="inlineStr">
        <is>
          <t>MAL_URL</t>
        </is>
      </c>
      <c r="B1394" s="189" t="inlineStr">
        <is>
          <t>3784514</t>
        </is>
      </c>
      <c r="C1394" s="189" t="inlineStr">
        <is>
          <t>Malware Host [online]: http://221.14.175.205:53696/bin.sh | Threat: malware_download | Tags: 32-bit,elf,mips,Mozi</t>
        </is>
      </c>
      <c r="D1394" s="189" t="n">
        <v>7.5</v>
      </c>
      <c r="E1394" s="189" t="inlineStr">
        <is>
          <t>HIGH</t>
        </is>
      </c>
      <c r="F1394" s="189" t="n">
        <v>3</v>
      </c>
      <c r="G1394" s="189" t="n">
        <v>2</v>
      </c>
      <c r="H1394" s="189" t="inlineStr">
        <is>
          <t>HIGH</t>
        </is>
      </c>
      <c r="I1394" s="189" t="n">
        <v>13.5</v>
      </c>
      <c r="J1394" s="189" t="inlineStr">
        <is>
          <t>NO</t>
        </is>
      </c>
      <c r="K1394" s="190" t="inlineStr">
        <is>
          <t>https://urlhaus.abuse.ch/url/3784514/</t>
        </is>
      </c>
      <c r="L1394" s="189" t="inlineStr">
        <is>
          <t>2026-02-23 20:53:20</t>
        </is>
      </c>
      <c r="M1394" s="189" t="inlineStr">
        <is>
          <t>Block URL</t>
        </is>
      </c>
      <c r="N1394" s="190" t="inlineStr">
        <is>
          <t>https://urlhaus.abuse.ch/url/3784514/</t>
        </is>
      </c>
      <c r="O1394" s="189" t="inlineStr">
        <is>
          <t>Block URL in proxy/firewall: http://221.14.175.205:53696/bin.sh</t>
        </is>
      </c>
      <c r="P1394" s="189" t="inlineStr">
        <is>
          <t>Network/Web Proxy</t>
        </is>
      </c>
      <c r="Q1394" s="189" t="inlineStr">
        <is>
          <t>P3</t>
        </is>
      </c>
      <c r="R1394" s="189" t="inlineStr">
        <is>
          <t>🚫 Block URLs in web proxy/firewall | 📧 Update email security filters | 👥 User awareness training recommended</t>
        </is>
      </c>
      <c r="S1394" s="189" t="inlineStr">
        <is>
          <t>URL IOC - check host IP separately</t>
        </is>
      </c>
      <c r="T1394" s="189" t="n">
        <v>0</v>
      </c>
      <c r="U1394" s="189" t="n">
        <v>0</v>
      </c>
      <c r="V1394" s="189" t="inlineStr">
        <is>
          <t>T1189:Drive-by Compromise | T1566:Phishing</t>
        </is>
      </c>
      <c r="W1394" s="189" t="n">
        <v>1</v>
      </c>
      <c r="X1394" s="189" t="inlineStr">
        <is>
          <t>LOW (40%)</t>
        </is>
      </c>
      <c r="Y1394" s="189" t="inlineStr">
        <is>
          <t>YES</t>
        </is>
      </c>
      <c r="Z1394" s="189" t="inlineStr">
        <is>
          <t>Block URL</t>
        </is>
      </c>
      <c r="AA1394" s="190" t="inlineStr">
        <is>
          <t>https://urlhaus.abuse.ch/url/3784514/</t>
        </is>
      </c>
      <c r="AB1394" s="189" t="inlineStr">
        <is>
          <t>NONE</t>
        </is>
      </c>
      <c r="AC1394" s="189" t="n">
        <v>0</v>
      </c>
      <c r="AD1394" s="189" t="n"/>
    </row>
    <row r="1395">
      <c r="A1395" s="189" t="inlineStr">
        <is>
          <t>MAL_URL</t>
        </is>
      </c>
      <c r="B1395" s="189" t="inlineStr">
        <is>
          <t>3784513</t>
        </is>
      </c>
      <c r="C1395" s="189" t="inlineStr">
        <is>
          <t>Malware Host [online]: http://196.251.107.104/build1.exe | Threat: malware_download | Tags: c2-monitor-auto,dropped-by-amadey,Stealc</t>
        </is>
      </c>
      <c r="D1395" s="189" t="n">
        <v>7.5</v>
      </c>
      <c r="E1395" s="189" t="inlineStr">
        <is>
          <t>HIGH</t>
        </is>
      </c>
      <c r="F1395" s="189" t="n">
        <v>3</v>
      </c>
      <c r="G1395" s="189" t="n">
        <v>2</v>
      </c>
      <c r="H1395" s="189" t="inlineStr">
        <is>
          <t>HIGH</t>
        </is>
      </c>
      <c r="I1395" s="189" t="n">
        <v>13.5</v>
      </c>
      <c r="J1395" s="189" t="inlineStr">
        <is>
          <t>NO</t>
        </is>
      </c>
      <c r="K1395" s="190" t="inlineStr">
        <is>
          <t>https://urlhaus.abuse.ch/url/3784513/</t>
        </is>
      </c>
      <c r="L1395" s="189" t="inlineStr">
        <is>
          <t>2026-02-23 20:44:05</t>
        </is>
      </c>
      <c r="M1395" s="189" t="inlineStr">
        <is>
          <t>Block URL</t>
        </is>
      </c>
      <c r="N1395" s="190" t="inlineStr">
        <is>
          <t>https://urlhaus.abuse.ch/url/3784513/</t>
        </is>
      </c>
      <c r="O1395" s="189" t="inlineStr">
        <is>
          <t>Block URL in proxy/firewall: http://196.251.107.104/build1.exe</t>
        </is>
      </c>
      <c r="P1395" s="189" t="inlineStr">
        <is>
          <t>Network/Web Proxy</t>
        </is>
      </c>
      <c r="Q1395" s="189" t="inlineStr">
        <is>
          <t>P3</t>
        </is>
      </c>
      <c r="R1395" s="189" t="inlineStr">
        <is>
          <t>🚫 Block URLs in web proxy/firewall | 📧 Update email security filters | 👥 User awareness training recommended</t>
        </is>
      </c>
      <c r="S1395" s="189" t="inlineStr">
        <is>
          <t>URL IOC - check host IP separately</t>
        </is>
      </c>
      <c r="T1395" s="189" t="n">
        <v>0</v>
      </c>
      <c r="U1395" s="189" t="n">
        <v>0</v>
      </c>
      <c r="V1395" s="189" t="inlineStr">
        <is>
          <t>T1189:Drive-by Compromise | T1566:Phishing</t>
        </is>
      </c>
      <c r="W1395" s="189" t="n">
        <v>1</v>
      </c>
      <c r="X1395" s="189" t="inlineStr">
        <is>
          <t>LOW (40%)</t>
        </is>
      </c>
      <c r="Y1395" s="189" t="inlineStr">
        <is>
          <t>YES</t>
        </is>
      </c>
      <c r="Z1395" s="189" t="inlineStr">
        <is>
          <t>Block URL</t>
        </is>
      </c>
      <c r="AA1395" s="190" t="inlineStr">
        <is>
          <t>https://urlhaus.abuse.ch/url/3784513/</t>
        </is>
      </c>
      <c r="AB1395" s="189" t="inlineStr">
        <is>
          <t>NONE</t>
        </is>
      </c>
      <c r="AC1395" s="189" t="n">
        <v>0</v>
      </c>
      <c r="AD1395" s="189" t="n"/>
    </row>
    <row r="1396">
      <c r="A1396" s="189" t="inlineStr">
        <is>
          <t>MAL_URL</t>
        </is>
      </c>
      <c r="B1396" s="189" t="inlineStr">
        <is>
          <t>3784512</t>
        </is>
      </c>
      <c r="C1396" s="189" t="inlineStr">
        <is>
          <t>Malware Host [online]: https://transit-harbor-node.quickharbor.in.net/service/verification.google | Threat: malware_download | Tags: ClearFake</t>
        </is>
      </c>
      <c r="D1396" s="189" t="n">
        <v>7.5</v>
      </c>
      <c r="E1396" s="189" t="inlineStr">
        <is>
          <t>HIGH</t>
        </is>
      </c>
      <c r="F1396" s="189" t="n">
        <v>3</v>
      </c>
      <c r="G1396" s="189" t="n">
        <v>2</v>
      </c>
      <c r="H1396" s="189" t="inlineStr">
        <is>
          <t>HIGH</t>
        </is>
      </c>
      <c r="I1396" s="189" t="n">
        <v>13.5</v>
      </c>
      <c r="J1396" s="189" t="inlineStr">
        <is>
          <t>NO</t>
        </is>
      </c>
      <c r="K1396" s="190" t="inlineStr">
        <is>
          <t>https://urlhaus.abuse.ch/url/3784512/</t>
        </is>
      </c>
      <c r="L1396" s="189" t="inlineStr">
        <is>
          <t>2026-02-23 20:43:08</t>
        </is>
      </c>
      <c r="M1396" s="189" t="inlineStr">
        <is>
          <t>Block URL</t>
        </is>
      </c>
      <c r="N1396" s="190" t="inlineStr">
        <is>
          <t>https://urlhaus.abuse.ch/url/3784512/</t>
        </is>
      </c>
      <c r="O1396" s="189" t="inlineStr">
        <is>
          <t>Block URL in proxy/firewall: https://transit-harbor-node.quickharbor.in.net/service/verification.google</t>
        </is>
      </c>
      <c r="P1396" s="189" t="inlineStr">
        <is>
          <t>Network/Web Proxy</t>
        </is>
      </c>
      <c r="Q1396" s="189" t="inlineStr">
        <is>
          <t>P3</t>
        </is>
      </c>
      <c r="R1396" s="189" t="inlineStr">
        <is>
          <t>🚫 Block URLs in web proxy/firewall | 📧 Update email security filters | 👥 User awareness training recommended</t>
        </is>
      </c>
      <c r="S1396" s="189" t="inlineStr">
        <is>
          <t>URL IOC - check host IP separately</t>
        </is>
      </c>
      <c r="T1396" s="189" t="n">
        <v>0</v>
      </c>
      <c r="U1396" s="189" t="n">
        <v>0</v>
      </c>
      <c r="V1396" s="189" t="inlineStr">
        <is>
          <t>T1189:Drive-by Compromise | T1566:Phishing</t>
        </is>
      </c>
      <c r="W1396" s="189" t="n">
        <v>1</v>
      </c>
      <c r="X1396" s="189" t="inlineStr">
        <is>
          <t>LOW (40%)</t>
        </is>
      </c>
      <c r="Y1396" s="189" t="inlineStr">
        <is>
          <t>YES</t>
        </is>
      </c>
      <c r="Z1396" s="189" t="inlineStr">
        <is>
          <t>Block URL</t>
        </is>
      </c>
      <c r="AA1396" s="190" t="inlineStr">
        <is>
          <t>https://urlhaus.abuse.ch/url/3784512/</t>
        </is>
      </c>
      <c r="AB1396" s="189" t="inlineStr">
        <is>
          <t>NONE</t>
        </is>
      </c>
      <c r="AC1396" s="189" t="n">
        <v>0</v>
      </c>
      <c r="AD1396" s="189" t="n"/>
    </row>
    <row r="1397">
      <c r="A1397" s="189" t="inlineStr">
        <is>
          <t>MAL_URL</t>
        </is>
      </c>
      <c r="B1397" s="189" t="inlineStr">
        <is>
          <t>3784510</t>
        </is>
      </c>
      <c r="C1397" s="189" t="inlineStr">
        <is>
          <t>Malware Host [online]: http://182.114.51.109:33285/i | Threat: malware_download | Tags: 32-bit,elf,mips,Mozi</t>
        </is>
      </c>
      <c r="D1397" s="189" t="n">
        <v>7.5</v>
      </c>
      <c r="E1397" s="189" t="inlineStr">
        <is>
          <t>HIGH</t>
        </is>
      </c>
      <c r="F1397" s="189" t="n">
        <v>3</v>
      </c>
      <c r="G1397" s="189" t="n">
        <v>2</v>
      </c>
      <c r="H1397" s="189" t="inlineStr">
        <is>
          <t>HIGH</t>
        </is>
      </c>
      <c r="I1397" s="189" t="n">
        <v>13.5</v>
      </c>
      <c r="J1397" s="189" t="inlineStr">
        <is>
          <t>NO</t>
        </is>
      </c>
      <c r="K1397" s="190" t="inlineStr">
        <is>
          <t>https://urlhaus.abuse.ch/url/3784510/</t>
        </is>
      </c>
      <c r="L1397" s="189" t="inlineStr">
        <is>
          <t>2026-02-23 20:42:18</t>
        </is>
      </c>
      <c r="M1397" s="189" t="inlineStr">
        <is>
          <t>Block URL</t>
        </is>
      </c>
      <c r="N1397" s="190" t="inlineStr">
        <is>
          <t>https://urlhaus.abuse.ch/url/3784510/</t>
        </is>
      </c>
      <c r="O1397" s="189" t="inlineStr">
        <is>
          <t>Block URL in proxy/firewall: http://182.114.51.109:33285/i</t>
        </is>
      </c>
      <c r="P1397" s="189" t="inlineStr">
        <is>
          <t>Network/Web Proxy</t>
        </is>
      </c>
      <c r="Q1397" s="189" t="inlineStr">
        <is>
          <t>P3</t>
        </is>
      </c>
      <c r="R1397" s="189" t="inlineStr">
        <is>
          <t>🚫 Block URLs in web proxy/firewall | 📧 Update email security filters | 👥 User awareness training recommended</t>
        </is>
      </c>
      <c r="S1397" s="189" t="inlineStr">
        <is>
          <t>URL IOC - check host IP separately</t>
        </is>
      </c>
      <c r="T1397" s="189" t="n">
        <v>0</v>
      </c>
      <c r="U1397" s="189" t="n">
        <v>0</v>
      </c>
      <c r="V1397" s="189" t="inlineStr">
        <is>
          <t>T1189:Drive-by Compromise | T1566:Phishing</t>
        </is>
      </c>
      <c r="W1397" s="189" t="n">
        <v>1</v>
      </c>
      <c r="X1397" s="189" t="inlineStr">
        <is>
          <t>LOW (40%)</t>
        </is>
      </c>
      <c r="Y1397" s="189" t="inlineStr">
        <is>
          <t>YES</t>
        </is>
      </c>
      <c r="Z1397" s="189" t="inlineStr">
        <is>
          <t>Block URL</t>
        </is>
      </c>
      <c r="AA1397" s="190" t="inlineStr">
        <is>
          <t>https://urlhaus.abuse.ch/url/3784510/</t>
        </is>
      </c>
      <c r="AB1397" s="189" t="inlineStr">
        <is>
          <t>NONE</t>
        </is>
      </c>
      <c r="AC1397" s="189" t="n">
        <v>0</v>
      </c>
      <c r="AD1397" s="189" t="n"/>
    </row>
    <row r="1398">
      <c r="A1398" s="189" t="inlineStr">
        <is>
          <t>MAL_URL</t>
        </is>
      </c>
      <c r="B1398" s="189" t="inlineStr">
        <is>
          <t>3784511</t>
        </is>
      </c>
      <c r="C1398" s="189" t="inlineStr">
        <is>
          <t>Malware Host [online]: http://115.50.69.58:38363/bin.sh | Threat: malware_download | Tags: 32-bit,elf,mips,Mozi</t>
        </is>
      </c>
      <c r="D1398" s="189" t="n">
        <v>7.5</v>
      </c>
      <c r="E1398" s="189" t="inlineStr">
        <is>
          <t>HIGH</t>
        </is>
      </c>
      <c r="F1398" s="189" t="n">
        <v>3</v>
      </c>
      <c r="G1398" s="189" t="n">
        <v>2</v>
      </c>
      <c r="H1398" s="189" t="inlineStr">
        <is>
          <t>HIGH</t>
        </is>
      </c>
      <c r="I1398" s="189" t="n">
        <v>13.5</v>
      </c>
      <c r="J1398" s="189" t="inlineStr">
        <is>
          <t>NO</t>
        </is>
      </c>
      <c r="K1398" s="190" t="inlineStr">
        <is>
          <t>https://urlhaus.abuse.ch/url/3784511/</t>
        </is>
      </c>
      <c r="L1398" s="189" t="inlineStr">
        <is>
          <t>2026-02-23 20:42:18</t>
        </is>
      </c>
      <c r="M1398" s="189" t="inlineStr">
        <is>
          <t>Block URL</t>
        </is>
      </c>
      <c r="N1398" s="190" t="inlineStr">
        <is>
          <t>https://urlhaus.abuse.ch/url/3784511/</t>
        </is>
      </c>
      <c r="O1398" s="189" t="inlineStr">
        <is>
          <t>Block URL in proxy/firewall: http://115.50.69.58:38363/bin.sh</t>
        </is>
      </c>
      <c r="P1398" s="189" t="inlineStr">
        <is>
          <t>Network/Web Proxy</t>
        </is>
      </c>
      <c r="Q1398" s="189" t="inlineStr">
        <is>
          <t>P3</t>
        </is>
      </c>
      <c r="R1398" s="189" t="inlineStr">
        <is>
          <t>🚫 Block URLs in web proxy/firewall | 📧 Update email security filters | 👥 User awareness training recommended</t>
        </is>
      </c>
      <c r="S1398" s="189" t="inlineStr">
        <is>
          <t>URL IOC - check host IP separately</t>
        </is>
      </c>
      <c r="T1398" s="189" t="n">
        <v>0</v>
      </c>
      <c r="U1398" s="189" t="n">
        <v>0</v>
      </c>
      <c r="V1398" s="189" t="inlineStr">
        <is>
          <t>T1189:Drive-by Compromise | T1566:Phishing</t>
        </is>
      </c>
      <c r="W1398" s="189" t="n">
        <v>1</v>
      </c>
      <c r="X1398" s="189" t="inlineStr">
        <is>
          <t>LOW (40%)</t>
        </is>
      </c>
      <c r="Y1398" s="189" t="inlineStr">
        <is>
          <t>YES</t>
        </is>
      </c>
      <c r="Z1398" s="189" t="inlineStr">
        <is>
          <t>Block URL</t>
        </is>
      </c>
      <c r="AA1398" s="190" t="inlineStr">
        <is>
          <t>https://urlhaus.abuse.ch/url/3784511/</t>
        </is>
      </c>
      <c r="AB1398" s="189" t="inlineStr">
        <is>
          <t>NONE</t>
        </is>
      </c>
      <c r="AC1398" s="189" t="n">
        <v>0</v>
      </c>
      <c r="AD1398" s="189" t="n"/>
    </row>
    <row r="1399">
      <c r="A1399" s="189" t="inlineStr">
        <is>
          <t>MAL_URL</t>
        </is>
      </c>
      <c r="B1399" s="189" t="inlineStr">
        <is>
          <t>3784509</t>
        </is>
      </c>
      <c r="C1399" s="189" t="inlineStr">
        <is>
          <t>Malware Host [online]: http://115.55.129.35:37434/bin.sh | Threat: malware_download | Tags: 32-bit,elf,mips,Mozi</t>
        </is>
      </c>
      <c r="D1399" s="189" t="n">
        <v>7.5</v>
      </c>
      <c r="E1399" s="189" t="inlineStr">
        <is>
          <t>HIGH</t>
        </is>
      </c>
      <c r="F1399" s="189" t="n">
        <v>3</v>
      </c>
      <c r="G1399" s="189" t="n">
        <v>2</v>
      </c>
      <c r="H1399" s="189" t="inlineStr">
        <is>
          <t>HIGH</t>
        </is>
      </c>
      <c r="I1399" s="189" t="n">
        <v>13.5</v>
      </c>
      <c r="J1399" s="189" t="inlineStr">
        <is>
          <t>NO</t>
        </is>
      </c>
      <c r="K1399" s="190" t="inlineStr">
        <is>
          <t>https://urlhaus.abuse.ch/url/3784509/</t>
        </is>
      </c>
      <c r="L1399" s="189" t="inlineStr">
        <is>
          <t>2026-02-23 20:40:24</t>
        </is>
      </c>
      <c r="M1399" s="189" t="inlineStr">
        <is>
          <t>Block URL</t>
        </is>
      </c>
      <c r="N1399" s="190" t="inlineStr">
        <is>
          <t>https://urlhaus.abuse.ch/url/3784509/</t>
        </is>
      </c>
      <c r="O1399" s="189" t="inlineStr">
        <is>
          <t>Block URL in proxy/firewall: http://115.55.129.35:37434/bin.sh</t>
        </is>
      </c>
      <c r="P1399" s="189" t="inlineStr">
        <is>
          <t>Network/Web Proxy</t>
        </is>
      </c>
      <c r="Q1399" s="189" t="inlineStr">
        <is>
          <t>P3</t>
        </is>
      </c>
      <c r="R1399" s="189" t="inlineStr">
        <is>
          <t>🚫 Block URLs in web proxy/firewall | 📧 Update email security filters | 👥 User awareness training recommended</t>
        </is>
      </c>
      <c r="S1399" s="189" t="inlineStr">
        <is>
          <t>URL IOC - check host IP separately</t>
        </is>
      </c>
      <c r="T1399" s="189" t="n">
        <v>0</v>
      </c>
      <c r="U1399" s="189" t="n">
        <v>0</v>
      </c>
      <c r="V1399" s="189" t="inlineStr">
        <is>
          <t>T1189:Drive-by Compromise | T1566:Phishing</t>
        </is>
      </c>
      <c r="W1399" s="189" t="n">
        <v>1</v>
      </c>
      <c r="X1399" s="189" t="inlineStr">
        <is>
          <t>LOW (40%)</t>
        </is>
      </c>
      <c r="Y1399" s="189" t="inlineStr">
        <is>
          <t>YES</t>
        </is>
      </c>
      <c r="Z1399" s="189" t="inlineStr">
        <is>
          <t>Block URL</t>
        </is>
      </c>
      <c r="AA1399" s="190" t="inlineStr">
        <is>
          <t>https://urlhaus.abuse.ch/url/3784509/</t>
        </is>
      </c>
      <c r="AB1399" s="189" t="inlineStr">
        <is>
          <t>NONE</t>
        </is>
      </c>
      <c r="AC1399" s="189" t="n">
        <v>0</v>
      </c>
      <c r="AD1399" s="189" t="n"/>
    </row>
    <row r="1400">
      <c r="A1400" s="189" t="inlineStr">
        <is>
          <t>MAL_URL</t>
        </is>
      </c>
      <c r="B1400" s="189" t="inlineStr">
        <is>
          <t>3784508</t>
        </is>
      </c>
      <c r="C1400" s="189" t="inlineStr">
        <is>
          <t>Malware Host [online]: http://27.215.176.66:56386/bin.sh | Threat: malware_download | Tags: 32-bit,elf,mips,Mozi</t>
        </is>
      </c>
      <c r="D1400" s="189" t="n">
        <v>7.5</v>
      </c>
      <c r="E1400" s="189" t="inlineStr">
        <is>
          <t>HIGH</t>
        </is>
      </c>
      <c r="F1400" s="189" t="n">
        <v>3</v>
      </c>
      <c r="G1400" s="189" t="n">
        <v>2</v>
      </c>
      <c r="H1400" s="189" t="inlineStr">
        <is>
          <t>HIGH</t>
        </is>
      </c>
      <c r="I1400" s="189" t="n">
        <v>13.5</v>
      </c>
      <c r="J1400" s="189" t="inlineStr">
        <is>
          <t>NO</t>
        </is>
      </c>
      <c r="K1400" s="190" t="inlineStr">
        <is>
          <t>https://urlhaus.abuse.ch/url/3784508/</t>
        </is>
      </c>
      <c r="L1400" s="189" t="inlineStr">
        <is>
          <t>2026-02-23 20:40:23</t>
        </is>
      </c>
      <c r="M1400" s="189" t="inlineStr">
        <is>
          <t>Block URL</t>
        </is>
      </c>
      <c r="N1400" s="190" t="inlineStr">
        <is>
          <t>https://urlhaus.abuse.ch/url/3784508/</t>
        </is>
      </c>
      <c r="O1400" s="189" t="inlineStr">
        <is>
          <t>Block URL in proxy/firewall: http://27.215.176.66:56386/bin.sh</t>
        </is>
      </c>
      <c r="P1400" s="189" t="inlineStr">
        <is>
          <t>Network/Web Proxy</t>
        </is>
      </c>
      <c r="Q1400" s="189" t="inlineStr">
        <is>
          <t>P3</t>
        </is>
      </c>
      <c r="R1400" s="189" t="inlineStr">
        <is>
          <t>🚫 Block URLs in web proxy/firewall | 📧 Update email security filters | 👥 User awareness training recommended</t>
        </is>
      </c>
      <c r="S1400" s="189" t="inlineStr">
        <is>
          <t>URL IOC - check host IP separately</t>
        </is>
      </c>
      <c r="T1400" s="189" t="n">
        <v>0</v>
      </c>
      <c r="U1400" s="189" t="n">
        <v>0</v>
      </c>
      <c r="V1400" s="189" t="inlineStr">
        <is>
          <t>T1189:Drive-by Compromise | T1566:Phishing</t>
        </is>
      </c>
      <c r="W1400" s="189" t="n">
        <v>1</v>
      </c>
      <c r="X1400" s="189" t="inlineStr">
        <is>
          <t>LOW (40%)</t>
        </is>
      </c>
      <c r="Y1400" s="189" t="inlineStr">
        <is>
          <t>YES</t>
        </is>
      </c>
      <c r="Z1400" s="189" t="inlineStr">
        <is>
          <t>Block URL</t>
        </is>
      </c>
      <c r="AA1400" s="190" t="inlineStr">
        <is>
          <t>https://urlhaus.abuse.ch/url/3784508/</t>
        </is>
      </c>
      <c r="AB1400" s="189" t="inlineStr">
        <is>
          <t>NONE</t>
        </is>
      </c>
      <c r="AC1400" s="189" t="n">
        <v>0</v>
      </c>
      <c r="AD1400" s="189" t="n"/>
    </row>
    <row r="1401">
      <c r="A1401" s="189" t="inlineStr">
        <is>
          <t>MAL_URL</t>
        </is>
      </c>
      <c r="B1401" s="189" t="inlineStr">
        <is>
          <t>3784507</t>
        </is>
      </c>
      <c r="C1401" s="189" t="inlineStr">
        <is>
          <t>Malware Host [online]: https://fast-port-logic.quickharbor.in.net/service/verification.google | Threat: malware_download | Tags: ClearFake</t>
        </is>
      </c>
      <c r="D1401" s="189" t="n">
        <v>7.5</v>
      </c>
      <c r="E1401" s="189" t="inlineStr">
        <is>
          <t>HIGH</t>
        </is>
      </c>
      <c r="F1401" s="189" t="n">
        <v>3</v>
      </c>
      <c r="G1401" s="189" t="n">
        <v>2</v>
      </c>
      <c r="H1401" s="189" t="inlineStr">
        <is>
          <t>HIGH</t>
        </is>
      </c>
      <c r="I1401" s="189" t="n">
        <v>13.5</v>
      </c>
      <c r="J1401" s="189" t="inlineStr">
        <is>
          <t>NO</t>
        </is>
      </c>
      <c r="K1401" s="190" t="inlineStr">
        <is>
          <t>https://urlhaus.abuse.ch/url/3784507/</t>
        </is>
      </c>
      <c r="L1401" s="189" t="inlineStr">
        <is>
          <t>2026-02-23 20:35:23</t>
        </is>
      </c>
      <c r="M1401" s="189" t="inlineStr">
        <is>
          <t>Block URL</t>
        </is>
      </c>
      <c r="N1401" s="190" t="inlineStr">
        <is>
          <t>https://urlhaus.abuse.ch/url/3784507/</t>
        </is>
      </c>
      <c r="O1401" s="189" t="inlineStr">
        <is>
          <t>Block URL in proxy/firewall: https://fast-port-logic.quickharbor.in.net/service/verification.google</t>
        </is>
      </c>
      <c r="P1401" s="189" t="inlineStr">
        <is>
          <t>Network/Web Proxy</t>
        </is>
      </c>
      <c r="Q1401" s="189" t="inlineStr">
        <is>
          <t>P3</t>
        </is>
      </c>
      <c r="R1401" s="189" t="inlineStr">
        <is>
          <t>🚫 Block URLs in web proxy/firewall | 📧 Update email security filters | 👥 User awareness training recommended</t>
        </is>
      </c>
      <c r="S1401" s="189" t="inlineStr">
        <is>
          <t>URL IOC - check host IP separately</t>
        </is>
      </c>
      <c r="T1401" s="189" t="n">
        <v>0</v>
      </c>
      <c r="U1401" s="189" t="n">
        <v>0</v>
      </c>
      <c r="V1401" s="189" t="inlineStr">
        <is>
          <t>T1189:Drive-by Compromise | T1566:Phishing</t>
        </is>
      </c>
      <c r="W1401" s="189" t="n">
        <v>1</v>
      </c>
      <c r="X1401" s="189" t="inlineStr">
        <is>
          <t>LOW (40%)</t>
        </is>
      </c>
      <c r="Y1401" s="189" t="inlineStr">
        <is>
          <t>YES</t>
        </is>
      </c>
      <c r="Z1401" s="189" t="inlineStr">
        <is>
          <t>Block URL</t>
        </is>
      </c>
      <c r="AA1401" s="190" t="inlineStr">
        <is>
          <t>https://urlhaus.abuse.ch/url/3784507/</t>
        </is>
      </c>
      <c r="AB1401" s="189" t="inlineStr">
        <is>
          <t>NONE</t>
        </is>
      </c>
      <c r="AC1401" s="189" t="n">
        <v>0</v>
      </c>
      <c r="AD1401" s="189" t="n"/>
    </row>
    <row r="1402">
      <c r="A1402" s="189" t="inlineStr">
        <is>
          <t>MAL_URL</t>
        </is>
      </c>
      <c r="B1402" s="189" t="inlineStr">
        <is>
          <t>3784506</t>
        </is>
      </c>
      <c r="C1402" s="189" t="inlineStr">
        <is>
          <t>Malware Host [online]: http://219.157.16.104:56666/i | Threat: malware_download | Tags: 32-bit,elf,mips,Mozi</t>
        </is>
      </c>
      <c r="D1402" s="189" t="n">
        <v>7.5</v>
      </c>
      <c r="E1402" s="189" t="inlineStr">
        <is>
          <t>HIGH</t>
        </is>
      </c>
      <c r="F1402" s="189" t="n">
        <v>3</v>
      </c>
      <c r="G1402" s="189" t="n">
        <v>2</v>
      </c>
      <c r="H1402" s="189" t="inlineStr">
        <is>
          <t>HIGH</t>
        </is>
      </c>
      <c r="I1402" s="189" t="n">
        <v>13.5</v>
      </c>
      <c r="J1402" s="189" t="inlineStr">
        <is>
          <t>NO</t>
        </is>
      </c>
      <c r="K1402" s="190" t="inlineStr">
        <is>
          <t>https://urlhaus.abuse.ch/url/3784506/</t>
        </is>
      </c>
      <c r="L1402" s="189" t="inlineStr">
        <is>
          <t>2026-02-23 20:32:11</t>
        </is>
      </c>
      <c r="M1402" s="189" t="inlineStr">
        <is>
          <t>Block URL</t>
        </is>
      </c>
      <c r="N1402" s="190" t="inlineStr">
        <is>
          <t>https://urlhaus.abuse.ch/url/3784506/</t>
        </is>
      </c>
      <c r="O1402" s="189" t="inlineStr">
        <is>
          <t>Block URL in proxy/firewall: http://219.157.16.104:56666/i</t>
        </is>
      </c>
      <c r="P1402" s="189" t="inlineStr">
        <is>
          <t>Network/Web Proxy</t>
        </is>
      </c>
      <c r="Q1402" s="189" t="inlineStr">
        <is>
          <t>P3</t>
        </is>
      </c>
      <c r="R1402" s="189" t="inlineStr">
        <is>
          <t>🚫 Block URLs in web proxy/firewall | 📧 Update email security filters | 👥 User awareness training recommended</t>
        </is>
      </c>
      <c r="S1402" s="189" t="inlineStr">
        <is>
          <t>URL IOC - check host IP separately</t>
        </is>
      </c>
      <c r="T1402" s="189" t="n">
        <v>0</v>
      </c>
      <c r="U1402" s="189" t="n">
        <v>0</v>
      </c>
      <c r="V1402" s="189" t="inlineStr">
        <is>
          <t>T1189:Drive-by Compromise | T1566:Phishing</t>
        </is>
      </c>
      <c r="W1402" s="189" t="n">
        <v>1</v>
      </c>
      <c r="X1402" s="189" t="inlineStr">
        <is>
          <t>LOW (40%)</t>
        </is>
      </c>
      <c r="Y1402" s="189" t="inlineStr">
        <is>
          <t>YES</t>
        </is>
      </c>
      <c r="Z1402" s="189" t="inlineStr">
        <is>
          <t>Block URL</t>
        </is>
      </c>
      <c r="AA1402" s="190" t="inlineStr">
        <is>
          <t>https://urlhaus.abuse.ch/url/3784506/</t>
        </is>
      </c>
      <c r="AB1402" s="189" t="inlineStr">
        <is>
          <t>NONE</t>
        </is>
      </c>
      <c r="AC1402" s="189" t="n">
        <v>0</v>
      </c>
      <c r="AD1402" s="189" t="n"/>
    </row>
    <row r="1403">
      <c r="A1403" s="189" t="inlineStr">
        <is>
          <t>MAL_URL</t>
        </is>
      </c>
      <c r="B1403" s="189" t="inlineStr">
        <is>
          <t>3784505</t>
        </is>
      </c>
      <c r="C1403" s="189" t="inlineStr">
        <is>
          <t>Malware Host [online]: http://110.37.102.167:35315/i | Threat: malware_download | Tags: 32-bit,elf,mips,Mozi</t>
        </is>
      </c>
      <c r="D1403" s="189" t="n">
        <v>7.5</v>
      </c>
      <c r="E1403" s="189" t="inlineStr">
        <is>
          <t>HIGH</t>
        </is>
      </c>
      <c r="F1403" s="189" t="n">
        <v>3</v>
      </c>
      <c r="G1403" s="189" t="n">
        <v>2</v>
      </c>
      <c r="H1403" s="189" t="inlineStr">
        <is>
          <t>HIGH</t>
        </is>
      </c>
      <c r="I1403" s="189" t="n">
        <v>13.5</v>
      </c>
      <c r="J1403" s="189" t="inlineStr">
        <is>
          <t>NO</t>
        </is>
      </c>
      <c r="K1403" s="190" t="inlineStr">
        <is>
          <t>https://urlhaus.abuse.ch/url/3784505/</t>
        </is>
      </c>
      <c r="L1403" s="189" t="inlineStr">
        <is>
          <t>2026-02-23 20:29:21</t>
        </is>
      </c>
      <c r="M1403" s="189" t="inlineStr">
        <is>
          <t>Block URL</t>
        </is>
      </c>
      <c r="N1403" s="190" t="inlineStr">
        <is>
          <t>https://urlhaus.abuse.ch/url/3784505/</t>
        </is>
      </c>
      <c r="O1403" s="189" t="inlineStr">
        <is>
          <t>Block URL in proxy/firewall: http://110.37.102.167:35315/i</t>
        </is>
      </c>
      <c r="P1403" s="189" t="inlineStr">
        <is>
          <t>Network/Web Proxy</t>
        </is>
      </c>
      <c r="Q1403" s="189" t="inlineStr">
        <is>
          <t>P3</t>
        </is>
      </c>
      <c r="R1403" s="189" t="inlineStr">
        <is>
          <t>🚫 Block URLs in web proxy/firewall | 📧 Update email security filters | 👥 User awareness training recommended</t>
        </is>
      </c>
      <c r="S1403" s="189" t="inlineStr">
        <is>
          <t>URL IOC - check host IP separately</t>
        </is>
      </c>
      <c r="T1403" s="189" t="n">
        <v>0</v>
      </c>
      <c r="U1403" s="189" t="n">
        <v>0</v>
      </c>
      <c r="V1403" s="189" t="inlineStr">
        <is>
          <t>T1189:Drive-by Compromise | T1566:Phishing</t>
        </is>
      </c>
      <c r="W1403" s="189" t="n">
        <v>1</v>
      </c>
      <c r="X1403" s="189" t="inlineStr">
        <is>
          <t>LOW (40%)</t>
        </is>
      </c>
      <c r="Y1403" s="189" t="inlineStr">
        <is>
          <t>YES</t>
        </is>
      </c>
      <c r="Z1403" s="189" t="inlineStr">
        <is>
          <t>Block URL</t>
        </is>
      </c>
      <c r="AA1403" s="190" t="inlineStr">
        <is>
          <t>https://urlhaus.abuse.ch/url/3784505/</t>
        </is>
      </c>
      <c r="AB1403" s="189" t="inlineStr">
        <is>
          <t>NONE</t>
        </is>
      </c>
      <c r="AC1403" s="189" t="n">
        <v>0</v>
      </c>
      <c r="AD1403" s="189" t="n"/>
    </row>
    <row r="1404">
      <c r="A1404" s="189" t="inlineStr">
        <is>
          <t>MAL_URL</t>
        </is>
      </c>
      <c r="B1404" s="189" t="inlineStr">
        <is>
          <t>3784504</t>
        </is>
      </c>
      <c r="C1404" s="189" t="inlineStr">
        <is>
          <t>Malware Host [online]: http://112.238.199.55:56645/bin.sh | Threat: malware_download | Tags: 32-bit,elf,mips,Mozi</t>
        </is>
      </c>
      <c r="D1404" s="189" t="n">
        <v>7.5</v>
      </c>
      <c r="E1404" s="189" t="inlineStr">
        <is>
          <t>HIGH</t>
        </is>
      </c>
      <c r="F1404" s="189" t="n">
        <v>3</v>
      </c>
      <c r="G1404" s="189" t="n">
        <v>2</v>
      </c>
      <c r="H1404" s="189" t="inlineStr">
        <is>
          <t>HIGH</t>
        </is>
      </c>
      <c r="I1404" s="189" t="n">
        <v>13.5</v>
      </c>
      <c r="J1404" s="189" t="inlineStr">
        <is>
          <t>NO</t>
        </is>
      </c>
      <c r="K1404" s="190" t="inlineStr">
        <is>
          <t>https://urlhaus.abuse.ch/url/3784504/</t>
        </is>
      </c>
      <c r="L1404" s="189" t="inlineStr">
        <is>
          <t>2026-02-23 20:26:40</t>
        </is>
      </c>
      <c r="M1404" s="189" t="inlineStr">
        <is>
          <t>Block URL</t>
        </is>
      </c>
      <c r="N1404" s="190" t="inlineStr">
        <is>
          <t>https://urlhaus.abuse.ch/url/3784504/</t>
        </is>
      </c>
      <c r="O1404" s="189" t="inlineStr">
        <is>
          <t>Block URL in proxy/firewall: http://112.238.199.55:56645/bin.sh</t>
        </is>
      </c>
      <c r="P1404" s="189" t="inlineStr">
        <is>
          <t>Network/Web Proxy</t>
        </is>
      </c>
      <c r="Q1404" s="189" t="inlineStr">
        <is>
          <t>P3</t>
        </is>
      </c>
      <c r="R1404" s="189" t="inlineStr">
        <is>
          <t>🚫 Block URLs in web proxy/firewall | 📧 Update email security filters | 👥 User awareness training recommended</t>
        </is>
      </c>
      <c r="S1404" s="189" t="inlineStr">
        <is>
          <t>URL IOC - check host IP separately</t>
        </is>
      </c>
      <c r="T1404" s="189" t="n">
        <v>0</v>
      </c>
      <c r="U1404" s="189" t="n">
        <v>0</v>
      </c>
      <c r="V1404" s="189" t="inlineStr">
        <is>
          <t>T1189:Drive-by Compromise | T1566:Phishing</t>
        </is>
      </c>
      <c r="W1404" s="189" t="n">
        <v>1</v>
      </c>
      <c r="X1404" s="189" t="inlineStr">
        <is>
          <t>LOW (40%)</t>
        </is>
      </c>
      <c r="Y1404" s="189" t="inlineStr">
        <is>
          <t>YES</t>
        </is>
      </c>
      <c r="Z1404" s="189" t="inlineStr">
        <is>
          <t>Block URL</t>
        </is>
      </c>
      <c r="AA1404" s="190" t="inlineStr">
        <is>
          <t>https://urlhaus.abuse.ch/url/3784504/</t>
        </is>
      </c>
      <c r="AB1404" s="189" t="inlineStr">
        <is>
          <t>NONE</t>
        </is>
      </c>
      <c r="AC1404" s="189" t="n">
        <v>0</v>
      </c>
      <c r="AD1404" s="189" t="n"/>
    </row>
    <row r="1405">
      <c r="A1405" s="189" t="inlineStr">
        <is>
          <t>MAL_URL</t>
        </is>
      </c>
      <c r="B1405" s="189" t="inlineStr">
        <is>
          <t>3784503</t>
        </is>
      </c>
      <c r="C1405" s="189" t="inlineStr">
        <is>
          <t>Malware Host [online]: http://222.141.135.86:39416/i | Threat: malware_download | Tags: 32-bit,elf,mips,Mozi</t>
        </is>
      </c>
      <c r="D1405" s="189" t="n">
        <v>7.5</v>
      </c>
      <c r="E1405" s="189" t="inlineStr">
        <is>
          <t>HIGH</t>
        </is>
      </c>
      <c r="F1405" s="189" t="n">
        <v>3</v>
      </c>
      <c r="G1405" s="189" t="n">
        <v>2</v>
      </c>
      <c r="H1405" s="189" t="inlineStr">
        <is>
          <t>HIGH</t>
        </is>
      </c>
      <c r="I1405" s="189" t="n">
        <v>13.5</v>
      </c>
      <c r="J1405" s="189" t="inlineStr">
        <is>
          <t>NO</t>
        </is>
      </c>
      <c r="K1405" s="190" t="inlineStr">
        <is>
          <t>https://urlhaus.abuse.ch/url/3784503/</t>
        </is>
      </c>
      <c r="L1405" s="189" t="inlineStr">
        <is>
          <t>2026-02-23 20:26:22</t>
        </is>
      </c>
      <c r="M1405" s="189" t="inlineStr">
        <is>
          <t>Block URL</t>
        </is>
      </c>
      <c r="N1405" s="190" t="inlineStr">
        <is>
          <t>https://urlhaus.abuse.ch/url/3784503/</t>
        </is>
      </c>
      <c r="O1405" s="189" t="inlineStr">
        <is>
          <t>Block URL in proxy/firewall: http://222.141.135.86:39416/i</t>
        </is>
      </c>
      <c r="P1405" s="189" t="inlineStr">
        <is>
          <t>Network/Web Proxy</t>
        </is>
      </c>
      <c r="Q1405" s="189" t="inlineStr">
        <is>
          <t>P3</t>
        </is>
      </c>
      <c r="R1405" s="189" t="inlineStr">
        <is>
          <t>🚫 Block URLs in web proxy/firewall | 📧 Update email security filters | 👥 User awareness training recommended</t>
        </is>
      </c>
      <c r="S1405" s="189" t="inlineStr">
        <is>
          <t>URL IOC - check host IP separately</t>
        </is>
      </c>
      <c r="T1405" s="189" t="n">
        <v>0</v>
      </c>
      <c r="U1405" s="189" t="n">
        <v>0</v>
      </c>
      <c r="V1405" s="189" t="inlineStr">
        <is>
          <t>T1189:Drive-by Compromise | T1566:Phishing</t>
        </is>
      </c>
      <c r="W1405" s="189" t="n">
        <v>1</v>
      </c>
      <c r="X1405" s="189" t="inlineStr">
        <is>
          <t>LOW (40%)</t>
        </is>
      </c>
      <c r="Y1405" s="189" t="inlineStr">
        <is>
          <t>YES</t>
        </is>
      </c>
      <c r="Z1405" s="189" t="inlineStr">
        <is>
          <t>Block URL</t>
        </is>
      </c>
      <c r="AA1405" s="190" t="inlineStr">
        <is>
          <t>https://urlhaus.abuse.ch/url/3784503/</t>
        </is>
      </c>
      <c r="AB1405" s="189" t="inlineStr">
        <is>
          <t>NONE</t>
        </is>
      </c>
      <c r="AC1405" s="189" t="n">
        <v>0</v>
      </c>
      <c r="AD1405" s="189" t="n"/>
    </row>
    <row r="1406">
      <c r="A1406" s="189" t="inlineStr">
        <is>
          <t>MAL_URL</t>
        </is>
      </c>
      <c r="B1406" s="189" t="inlineStr">
        <is>
          <t>3784502</t>
        </is>
      </c>
      <c r="C1406" s="189" t="inlineStr">
        <is>
          <t>Malware Host [online]: http://219.157.16.104:56666/bin.sh | Threat: malware_download | Tags: 32-bit,elf,mips,Mozi</t>
        </is>
      </c>
      <c r="D1406" s="189" t="n">
        <v>7.5</v>
      </c>
      <c r="E1406" s="189" t="inlineStr">
        <is>
          <t>HIGH</t>
        </is>
      </c>
      <c r="F1406" s="189" t="n">
        <v>3</v>
      </c>
      <c r="G1406" s="189" t="n">
        <v>2</v>
      </c>
      <c r="H1406" s="189" t="inlineStr">
        <is>
          <t>HIGH</t>
        </is>
      </c>
      <c r="I1406" s="189" t="n">
        <v>13.5</v>
      </c>
      <c r="J1406" s="189" t="inlineStr">
        <is>
          <t>NO</t>
        </is>
      </c>
      <c r="K1406" s="190" t="inlineStr">
        <is>
          <t>https://urlhaus.abuse.ch/url/3784502/</t>
        </is>
      </c>
      <c r="L1406" s="189" t="inlineStr">
        <is>
          <t>2026-02-23 20:21:21</t>
        </is>
      </c>
      <c r="M1406" s="189" t="inlineStr">
        <is>
          <t>Block URL</t>
        </is>
      </c>
      <c r="N1406" s="190" t="inlineStr">
        <is>
          <t>https://urlhaus.abuse.ch/url/3784502/</t>
        </is>
      </c>
      <c r="O1406" s="189" t="inlineStr">
        <is>
          <t>Block URL in proxy/firewall: http://219.157.16.104:56666/bin.sh</t>
        </is>
      </c>
      <c r="P1406" s="189" t="inlineStr">
        <is>
          <t>Network/Web Proxy</t>
        </is>
      </c>
      <c r="Q1406" s="189" t="inlineStr">
        <is>
          <t>P3</t>
        </is>
      </c>
      <c r="R1406" s="189" t="inlineStr">
        <is>
          <t>🚫 Block URLs in web proxy/firewall | 📧 Update email security filters | 👥 User awareness training recommended</t>
        </is>
      </c>
      <c r="S1406" s="189" t="inlineStr">
        <is>
          <t>URL IOC - check host IP separately</t>
        </is>
      </c>
      <c r="T1406" s="189" t="n">
        <v>0</v>
      </c>
      <c r="U1406" s="189" t="n">
        <v>0</v>
      </c>
      <c r="V1406" s="189" t="inlineStr">
        <is>
          <t>T1189:Drive-by Compromise | T1566:Phishing</t>
        </is>
      </c>
      <c r="W1406" s="189" t="n">
        <v>1</v>
      </c>
      <c r="X1406" s="189" t="inlineStr">
        <is>
          <t>LOW (40%)</t>
        </is>
      </c>
      <c r="Y1406" s="189" t="inlineStr">
        <is>
          <t>YES</t>
        </is>
      </c>
      <c r="Z1406" s="189" t="inlineStr">
        <is>
          <t>Block URL</t>
        </is>
      </c>
      <c r="AA1406" s="190" t="inlineStr">
        <is>
          <t>https://urlhaus.abuse.ch/url/3784502/</t>
        </is>
      </c>
      <c r="AB1406" s="189" t="inlineStr">
        <is>
          <t>NONE</t>
        </is>
      </c>
      <c r="AC1406" s="189" t="n">
        <v>0</v>
      </c>
      <c r="AD1406" s="189" t="n"/>
    </row>
    <row r="1407">
      <c r="A1407" s="189" t="inlineStr">
        <is>
          <t>MAL_URL</t>
        </is>
      </c>
      <c r="B1407" s="189" t="inlineStr">
        <is>
          <t>3784501</t>
        </is>
      </c>
      <c r="C1407" s="189" t="inlineStr">
        <is>
          <t>Malware Host [online]: http://182.121.170.205:35255/i | Threat: malware_download | Tags: 32-bit,elf,mips,Mozi</t>
        </is>
      </c>
      <c r="D1407" s="189" t="n">
        <v>7.5</v>
      </c>
      <c r="E1407" s="189" t="inlineStr">
        <is>
          <t>HIGH</t>
        </is>
      </c>
      <c r="F1407" s="189" t="n">
        <v>3</v>
      </c>
      <c r="G1407" s="189" t="n">
        <v>2</v>
      </c>
      <c r="H1407" s="189" t="inlineStr">
        <is>
          <t>HIGH</t>
        </is>
      </c>
      <c r="I1407" s="189" t="n">
        <v>13.5</v>
      </c>
      <c r="J1407" s="189" t="inlineStr">
        <is>
          <t>NO</t>
        </is>
      </c>
      <c r="K1407" s="190" t="inlineStr">
        <is>
          <t>https://urlhaus.abuse.ch/url/3784501/</t>
        </is>
      </c>
      <c r="L1407" s="189" t="inlineStr">
        <is>
          <t>2026-02-23 20:19:17</t>
        </is>
      </c>
      <c r="M1407" s="189" t="inlineStr">
        <is>
          <t>Block URL</t>
        </is>
      </c>
      <c r="N1407" s="190" t="inlineStr">
        <is>
          <t>https://urlhaus.abuse.ch/url/3784501/</t>
        </is>
      </c>
      <c r="O1407" s="189" t="inlineStr">
        <is>
          <t>Block URL in proxy/firewall: http://182.121.170.205:35255/i</t>
        </is>
      </c>
      <c r="P1407" s="189" t="inlineStr">
        <is>
          <t>Network/Web Proxy</t>
        </is>
      </c>
      <c r="Q1407" s="189" t="inlineStr">
        <is>
          <t>P3</t>
        </is>
      </c>
      <c r="R1407" s="189" t="inlineStr">
        <is>
          <t>🚫 Block URLs in web proxy/firewall | 📧 Update email security filters | 👥 User awareness training recommended</t>
        </is>
      </c>
      <c r="S1407" s="189" t="inlineStr">
        <is>
          <t>URL IOC - check host IP separately</t>
        </is>
      </c>
      <c r="T1407" s="189" t="n">
        <v>0</v>
      </c>
      <c r="U1407" s="189" t="n">
        <v>0</v>
      </c>
      <c r="V1407" s="189" t="inlineStr">
        <is>
          <t>T1189:Drive-by Compromise | T1566:Phishing</t>
        </is>
      </c>
      <c r="W1407" s="189" t="n">
        <v>1</v>
      </c>
      <c r="X1407" s="189" t="inlineStr">
        <is>
          <t>LOW (40%)</t>
        </is>
      </c>
      <c r="Y1407" s="189" t="inlineStr">
        <is>
          <t>YES</t>
        </is>
      </c>
      <c r="Z1407" s="189" t="inlineStr">
        <is>
          <t>Block URL</t>
        </is>
      </c>
      <c r="AA1407" s="190" t="inlineStr">
        <is>
          <t>https://urlhaus.abuse.ch/url/3784501/</t>
        </is>
      </c>
      <c r="AB1407" s="189" t="inlineStr">
        <is>
          <t>NONE</t>
        </is>
      </c>
      <c r="AC1407" s="189" t="n">
        <v>0</v>
      </c>
      <c r="AD1407" s="189" t="n"/>
    </row>
    <row r="1408">
      <c r="A1408" s="189" t="inlineStr">
        <is>
          <t>MAL_URL</t>
        </is>
      </c>
      <c r="B1408" s="189" t="inlineStr">
        <is>
          <t>3784500</t>
        </is>
      </c>
      <c r="C1408" s="189" t="inlineStr">
        <is>
          <t>Malware Host [online]: https://quick-harbor-unit.quickharbor.in.net/service/verification.google | Threat: malware_download | Tags: ClearFake</t>
        </is>
      </c>
      <c r="D1408" s="189" t="n">
        <v>7.5</v>
      </c>
      <c r="E1408" s="189" t="inlineStr">
        <is>
          <t>HIGH</t>
        </is>
      </c>
      <c r="F1408" s="189" t="n">
        <v>3</v>
      </c>
      <c r="G1408" s="189" t="n">
        <v>2</v>
      </c>
      <c r="H1408" s="189" t="inlineStr">
        <is>
          <t>HIGH</t>
        </is>
      </c>
      <c r="I1408" s="189" t="n">
        <v>13.5</v>
      </c>
      <c r="J1408" s="189" t="inlineStr">
        <is>
          <t>NO</t>
        </is>
      </c>
      <c r="K1408" s="190" t="inlineStr">
        <is>
          <t>https://urlhaus.abuse.ch/url/3784500/</t>
        </is>
      </c>
      <c r="L1408" s="189" t="inlineStr">
        <is>
          <t>2026-02-23 20:18:08</t>
        </is>
      </c>
      <c r="M1408" s="189" t="inlineStr">
        <is>
          <t>Block URL</t>
        </is>
      </c>
      <c r="N1408" s="190" t="inlineStr">
        <is>
          <t>https://urlhaus.abuse.ch/url/3784500/</t>
        </is>
      </c>
      <c r="O1408" s="189" t="inlineStr">
        <is>
          <t>Block URL in proxy/firewall: https://quick-harbor-unit.quickharbor.in.net/service/verification.google</t>
        </is>
      </c>
      <c r="P1408" s="189" t="inlineStr">
        <is>
          <t>Network/Web Proxy</t>
        </is>
      </c>
      <c r="Q1408" s="189" t="inlineStr">
        <is>
          <t>P3</t>
        </is>
      </c>
      <c r="R1408" s="189" t="inlineStr">
        <is>
          <t>🚫 Block URLs in web proxy/firewall | 📧 Update email security filters | 👥 User awareness training recommended</t>
        </is>
      </c>
      <c r="S1408" s="189" t="inlineStr">
        <is>
          <t>URL IOC - check host IP separately</t>
        </is>
      </c>
      <c r="T1408" s="189" t="n">
        <v>0</v>
      </c>
      <c r="U1408" s="189" t="n">
        <v>0</v>
      </c>
      <c r="V1408" s="189" t="inlineStr">
        <is>
          <t>T1189:Drive-by Compromise | T1566:Phishing</t>
        </is>
      </c>
      <c r="W1408" s="189" t="n">
        <v>1</v>
      </c>
      <c r="X1408" s="189" t="inlineStr">
        <is>
          <t>LOW (40%)</t>
        </is>
      </c>
      <c r="Y1408" s="189" t="inlineStr">
        <is>
          <t>YES</t>
        </is>
      </c>
      <c r="Z1408" s="189" t="inlineStr">
        <is>
          <t>Block URL</t>
        </is>
      </c>
      <c r="AA1408" s="190" t="inlineStr">
        <is>
          <t>https://urlhaus.abuse.ch/url/3784500/</t>
        </is>
      </c>
      <c r="AB1408" s="189" t="inlineStr">
        <is>
          <t>NONE</t>
        </is>
      </c>
      <c r="AC1408" s="189" t="n">
        <v>0</v>
      </c>
      <c r="AD1408" s="189" t="n"/>
    </row>
    <row r="1409">
      <c r="A1409" s="189" t="inlineStr">
        <is>
          <t>MAL_URL</t>
        </is>
      </c>
      <c r="B1409" s="189" t="inlineStr">
        <is>
          <t>3784499</t>
        </is>
      </c>
      <c r="C1409" s="189" t="inlineStr">
        <is>
          <t>Malware Host [online]: http://42.224.169.44:55398/bin.sh | Threat: malware_download | Tags: 32-bit,elf,mips,Mozi</t>
        </is>
      </c>
      <c r="D1409" s="189" t="n">
        <v>7.5</v>
      </c>
      <c r="E1409" s="189" t="inlineStr">
        <is>
          <t>HIGH</t>
        </is>
      </c>
      <c r="F1409" s="189" t="n">
        <v>3</v>
      </c>
      <c r="G1409" s="189" t="n">
        <v>2</v>
      </c>
      <c r="H1409" s="189" t="inlineStr">
        <is>
          <t>HIGH</t>
        </is>
      </c>
      <c r="I1409" s="189" t="n">
        <v>13.5</v>
      </c>
      <c r="J1409" s="189" t="inlineStr">
        <is>
          <t>NO</t>
        </is>
      </c>
      <c r="K1409" s="190" t="inlineStr">
        <is>
          <t>https://urlhaus.abuse.ch/url/3784499/</t>
        </is>
      </c>
      <c r="L1409" s="189" t="inlineStr">
        <is>
          <t>2026-02-23 20:12:20</t>
        </is>
      </c>
      <c r="M1409" s="189" t="inlineStr">
        <is>
          <t>Block URL</t>
        </is>
      </c>
      <c r="N1409" s="190" t="inlineStr">
        <is>
          <t>https://urlhaus.abuse.ch/url/3784499/</t>
        </is>
      </c>
      <c r="O1409" s="189" t="inlineStr">
        <is>
          <t>Block URL in proxy/firewall: http://42.224.169.44:55398/bin.sh</t>
        </is>
      </c>
      <c r="P1409" s="189" t="inlineStr">
        <is>
          <t>Network/Web Proxy</t>
        </is>
      </c>
      <c r="Q1409" s="189" t="inlineStr">
        <is>
          <t>P3</t>
        </is>
      </c>
      <c r="R1409" s="189" t="inlineStr">
        <is>
          <t>🚫 Block URLs in web proxy/firewall | 📧 Update email security filters | 👥 User awareness training recommended</t>
        </is>
      </c>
      <c r="S1409" s="189" t="inlineStr">
        <is>
          <t>URL IOC - check host IP separately</t>
        </is>
      </c>
      <c r="T1409" s="189" t="n">
        <v>0</v>
      </c>
      <c r="U1409" s="189" t="n">
        <v>0</v>
      </c>
      <c r="V1409" s="189" t="inlineStr">
        <is>
          <t>T1189:Drive-by Compromise | T1566:Phishing</t>
        </is>
      </c>
      <c r="W1409" s="189" t="n">
        <v>1</v>
      </c>
      <c r="X1409" s="189" t="inlineStr">
        <is>
          <t>LOW (40%)</t>
        </is>
      </c>
      <c r="Y1409" s="189" t="inlineStr">
        <is>
          <t>YES</t>
        </is>
      </c>
      <c r="Z1409" s="189" t="inlineStr">
        <is>
          <t>Block URL</t>
        </is>
      </c>
      <c r="AA1409" s="190" t="inlineStr">
        <is>
          <t>https://urlhaus.abuse.ch/url/3784499/</t>
        </is>
      </c>
      <c r="AB1409" s="189" t="inlineStr">
        <is>
          <t>NONE</t>
        </is>
      </c>
      <c r="AC1409" s="189" t="n">
        <v>0</v>
      </c>
      <c r="AD1409" s="189" t="n"/>
    </row>
    <row r="1410">
      <c r="A1410" s="191" t="inlineStr">
        <is>
          <t>PHISH</t>
        </is>
      </c>
      <c r="B1410" s="191" t="n"/>
      <c r="C1410" s="191" t="inlineStr">
        <is>
          <t>Phishing site targeting: mypost.ycaskp.help | URL: https://mypost.ycaskp.help/au/service/22/</t>
        </is>
      </c>
      <c r="D1410" s="191" t="n">
        <v>6</v>
      </c>
      <c r="E1410" s="191" t="inlineStr">
        <is>
          <t>MEDIUM</t>
        </is>
      </c>
      <c r="F1410" s="191" t="n">
        <v>3</v>
      </c>
      <c r="G1410" s="191" t="n">
        <v>1</v>
      </c>
      <c r="H1410" s="191" t="inlineStr">
        <is>
          <t>MEDIUM</t>
        </is>
      </c>
      <c r="I1410" s="191" t="n">
        <v>9</v>
      </c>
      <c r="J1410" s="191" t="inlineStr">
        <is>
          <t>NO</t>
        </is>
      </c>
      <c r="K1410" s="192" t="inlineStr">
        <is>
          <t>https://mypost.ycaskp.help/au/service/22/</t>
        </is>
      </c>
      <c r="L1410" s="191" t="inlineStr">
        <is>
          <t>2026-02-23T23:44:47+00:00</t>
        </is>
      </c>
      <c r="M1410" s="191" t="inlineStr">
        <is>
          <t>Block URL</t>
        </is>
      </c>
      <c r="N1410" s="192" t="inlineStr">
        <is>
          <t>https://mypost.ycaskp.help/au/service/22/</t>
        </is>
      </c>
      <c r="O1410" s="191" t="inlineStr">
        <is>
          <t>Block phishing URL | Warn users about mypost.ycaskp.help impersonation</t>
        </is>
      </c>
      <c r="P1410" s="191" t="inlineStr">
        <is>
          <t>Email users / mypost.ycaskp.help</t>
        </is>
      </c>
      <c r="Q1410" s="191" t="inlineStr">
        <is>
          <t>P4</t>
        </is>
      </c>
      <c r="R1410" s="191" t="inlineStr">
        <is>
          <t>🚫 Block URLs in web proxy/firewall | 📧 Update email security filters | 👥 User awareness training recommended</t>
        </is>
      </c>
      <c r="S1410" s="191" t="inlineStr">
        <is>
          <t>Phishing URL</t>
        </is>
      </c>
      <c r="T1410" s="191" t="n">
        <v>0</v>
      </c>
      <c r="U1410" s="191" t="n">
        <v>0</v>
      </c>
      <c r="V1410" s="191" t="inlineStr">
        <is>
          <t>T1566:Phishing | T1566.002:Spearphishing Link</t>
        </is>
      </c>
      <c r="W1410" s="191" t="n">
        <v>1</v>
      </c>
      <c r="X1410" s="191" t="inlineStr">
        <is>
          <t>LOW (40%)</t>
        </is>
      </c>
      <c r="Y1410" s="191" t="inlineStr">
        <is>
          <t>NONE</t>
        </is>
      </c>
      <c r="Z1410" s="191" t="inlineStr">
        <is>
          <t>NONE</t>
        </is>
      </c>
      <c r="AA1410" s="192" t="inlineStr">
        <is>
          <t>https://mypost.ycaskp.help/au/service/22/</t>
        </is>
      </c>
      <c r="AB1410" s="191" t="inlineStr">
        <is>
          <t>NONE</t>
        </is>
      </c>
      <c r="AC1410" s="191" t="n">
        <v>0</v>
      </c>
      <c r="AD1410" s="191" t="n"/>
    </row>
    <row r="1411">
      <c r="A1411" s="191" t="inlineStr">
        <is>
          <t>PHISH</t>
        </is>
      </c>
      <c r="B1411" s="191" t="n"/>
      <c r="C1411" s="191" t="inlineStr">
        <is>
          <t>Phishing site targeting: www.bduedu.in | URL: http://www.bduedu.in/pay-fees/</t>
        </is>
      </c>
      <c r="D1411" s="191" t="n">
        <v>6</v>
      </c>
      <c r="E1411" s="191" t="inlineStr">
        <is>
          <t>MEDIUM</t>
        </is>
      </c>
      <c r="F1411" s="191" t="n">
        <v>3</v>
      </c>
      <c r="G1411" s="191" t="n">
        <v>1</v>
      </c>
      <c r="H1411" s="191" t="inlineStr">
        <is>
          <t>MEDIUM</t>
        </is>
      </c>
      <c r="I1411" s="191" t="n">
        <v>9</v>
      </c>
      <c r="J1411" s="191" t="inlineStr">
        <is>
          <t>NO</t>
        </is>
      </c>
      <c r="K1411" s="192" t="inlineStr">
        <is>
          <t>http://www.bduedu.in/pay-fees/</t>
        </is>
      </c>
      <c r="L1411" s="191" t="inlineStr">
        <is>
          <t>2026-02-23T23:44:47+00:00</t>
        </is>
      </c>
      <c r="M1411" s="191" t="inlineStr">
        <is>
          <t>Block URL</t>
        </is>
      </c>
      <c r="N1411" s="192" t="inlineStr">
        <is>
          <t>http://www.bduedu.in/pay-fees/</t>
        </is>
      </c>
      <c r="O1411" s="191" t="inlineStr">
        <is>
          <t>Block phishing URL | Warn users about www.bduedu.in impersonation</t>
        </is>
      </c>
      <c r="P1411" s="191" t="inlineStr">
        <is>
          <t>Email users / www.bduedu.in</t>
        </is>
      </c>
      <c r="Q1411" s="191" t="inlineStr">
        <is>
          <t>P4</t>
        </is>
      </c>
      <c r="R1411" s="191" t="inlineStr">
        <is>
          <t>🚫 Block URLs in web proxy/firewall | 📧 Update email security filters | 👥 User awareness training recommended</t>
        </is>
      </c>
      <c r="S1411" s="191" t="inlineStr">
        <is>
          <t>Phishing URL</t>
        </is>
      </c>
      <c r="T1411" s="191" t="n">
        <v>0</v>
      </c>
      <c r="U1411" s="191" t="n">
        <v>0</v>
      </c>
      <c r="V1411" s="191" t="inlineStr">
        <is>
          <t>T1566:Phishing | T1566.002:Spearphishing Link</t>
        </is>
      </c>
      <c r="W1411" s="191" t="n">
        <v>1</v>
      </c>
      <c r="X1411" s="191" t="inlineStr">
        <is>
          <t>LOW (40%)</t>
        </is>
      </c>
      <c r="Y1411" s="191" t="inlineStr">
        <is>
          <t>NONE</t>
        </is>
      </c>
      <c r="Z1411" s="191" t="inlineStr">
        <is>
          <t>NONE</t>
        </is>
      </c>
      <c r="AA1411" s="192" t="inlineStr">
        <is>
          <t>http://www.bduedu.in/pay-fees/</t>
        </is>
      </c>
      <c r="AB1411" s="191" t="inlineStr">
        <is>
          <t>NONE</t>
        </is>
      </c>
      <c r="AC1411" s="191" t="n">
        <v>0</v>
      </c>
      <c r="AD1411" s="191" t="n"/>
    </row>
    <row r="1412">
      <c r="A1412" s="191" t="inlineStr">
        <is>
          <t>PHISH</t>
        </is>
      </c>
      <c r="B1412" s="191" t="n"/>
      <c r="C1412" s="191" t="inlineStr">
        <is>
          <t>Phishing site targeting: geminibalance.520131401.xyz | URL: https://geminibalance.520131401.xyz/</t>
        </is>
      </c>
      <c r="D1412" s="191" t="n">
        <v>6</v>
      </c>
      <c r="E1412" s="191" t="inlineStr">
        <is>
          <t>MEDIUM</t>
        </is>
      </c>
      <c r="F1412" s="191" t="n">
        <v>3</v>
      </c>
      <c r="G1412" s="191" t="n">
        <v>1</v>
      </c>
      <c r="H1412" s="191" t="inlineStr">
        <is>
          <t>MEDIUM</t>
        </is>
      </c>
      <c r="I1412" s="191" t="n">
        <v>9</v>
      </c>
      <c r="J1412" s="191" t="inlineStr">
        <is>
          <t>NO</t>
        </is>
      </c>
      <c r="K1412" s="192" t="inlineStr">
        <is>
          <t>https://geminibalance.520131401.xyz/</t>
        </is>
      </c>
      <c r="L1412" s="191" t="inlineStr">
        <is>
          <t>2026-02-23T23:44:47+00:00</t>
        </is>
      </c>
      <c r="M1412" s="191" t="inlineStr">
        <is>
          <t>Block URL</t>
        </is>
      </c>
      <c r="N1412" s="192" t="inlineStr">
        <is>
          <t>https://geminibalance.520131401.xyz/</t>
        </is>
      </c>
      <c r="O1412" s="191" t="inlineStr">
        <is>
          <t>Block phishing URL | Warn users about geminibalance.520131401.xyz impersonation</t>
        </is>
      </c>
      <c r="P1412" s="191" t="inlineStr">
        <is>
          <t>Email users / geminibalance.520131401.xyz</t>
        </is>
      </c>
      <c r="Q1412" s="191" t="inlineStr">
        <is>
          <t>P4</t>
        </is>
      </c>
      <c r="R1412" s="191" t="inlineStr">
        <is>
          <t>🚫 Block URLs in web proxy/firewall | 📧 Update email security filters | 👥 User awareness training recommended</t>
        </is>
      </c>
      <c r="S1412" s="191" t="inlineStr">
        <is>
          <t>Phishing URL</t>
        </is>
      </c>
      <c r="T1412" s="191" t="n">
        <v>0</v>
      </c>
      <c r="U1412" s="191" t="n">
        <v>0</v>
      </c>
      <c r="V1412" s="191" t="inlineStr">
        <is>
          <t>T1566:Phishing | T1566.002:Spearphishing Link</t>
        </is>
      </c>
      <c r="W1412" s="191" t="n">
        <v>1</v>
      </c>
      <c r="X1412" s="191" t="inlineStr">
        <is>
          <t>LOW (40%)</t>
        </is>
      </c>
      <c r="Y1412" s="191" t="inlineStr">
        <is>
          <t>NONE</t>
        </is>
      </c>
      <c r="Z1412" s="191" t="inlineStr">
        <is>
          <t>NONE</t>
        </is>
      </c>
      <c r="AA1412" s="192" t="inlineStr">
        <is>
          <t>https://geminibalance.520131401.xyz/</t>
        </is>
      </c>
      <c r="AB1412" s="191" t="inlineStr">
        <is>
          <t>NONE</t>
        </is>
      </c>
      <c r="AC1412" s="191" t="n">
        <v>0</v>
      </c>
      <c r="AD1412" s="191" t="n"/>
    </row>
    <row r="1413">
      <c r="A1413" s="191" t="inlineStr">
        <is>
          <t>PHISH</t>
        </is>
      </c>
      <c r="B1413" s="191" t="n"/>
      <c r="C1413" s="191" t="inlineStr">
        <is>
          <t>Phishing site targeting: robloxr.com.es | URL: https://robloxr.com.es/users/1140465374/profile</t>
        </is>
      </c>
      <c r="D1413" s="191" t="n">
        <v>6</v>
      </c>
      <c r="E1413" s="191" t="inlineStr">
        <is>
          <t>MEDIUM</t>
        </is>
      </c>
      <c r="F1413" s="191" t="n">
        <v>3</v>
      </c>
      <c r="G1413" s="191" t="n">
        <v>1</v>
      </c>
      <c r="H1413" s="191" t="inlineStr">
        <is>
          <t>MEDIUM</t>
        </is>
      </c>
      <c r="I1413" s="191" t="n">
        <v>9</v>
      </c>
      <c r="J1413" s="191" t="inlineStr">
        <is>
          <t>NO</t>
        </is>
      </c>
      <c r="K1413" s="192" t="inlineStr">
        <is>
          <t>https://robloxr.com.es/users/1140465374/profile</t>
        </is>
      </c>
      <c r="L1413" s="191" t="inlineStr">
        <is>
          <t>2026-02-23T23:44:47+00:00</t>
        </is>
      </c>
      <c r="M1413" s="191" t="inlineStr">
        <is>
          <t>Block URL</t>
        </is>
      </c>
      <c r="N1413" s="192" t="inlineStr">
        <is>
          <t>https://robloxr.com.es/users/1140465374/profile</t>
        </is>
      </c>
      <c r="O1413" s="191" t="inlineStr">
        <is>
          <t>Block phishing URL | Warn users about robloxr.com.es impersonation</t>
        </is>
      </c>
      <c r="P1413" s="191" t="inlineStr">
        <is>
          <t>Email users / robloxr.com.es</t>
        </is>
      </c>
      <c r="Q1413" s="191" t="inlineStr">
        <is>
          <t>P4</t>
        </is>
      </c>
      <c r="R1413" s="191" t="inlineStr">
        <is>
          <t>🚫 Block URLs in web proxy/firewall | 📧 Update email security filters | 👥 User awareness training recommended</t>
        </is>
      </c>
      <c r="S1413" s="191" t="inlineStr">
        <is>
          <t>Phishing URL</t>
        </is>
      </c>
      <c r="T1413" s="191" t="n">
        <v>0</v>
      </c>
      <c r="U1413" s="191" t="n">
        <v>0</v>
      </c>
      <c r="V1413" s="191" t="inlineStr">
        <is>
          <t>T1566:Phishing | T1566.002:Spearphishing Link</t>
        </is>
      </c>
      <c r="W1413" s="191" t="n">
        <v>1</v>
      </c>
      <c r="X1413" s="191" t="inlineStr">
        <is>
          <t>LOW (40%)</t>
        </is>
      </c>
      <c r="Y1413" s="191" t="inlineStr">
        <is>
          <t>NONE</t>
        </is>
      </c>
      <c r="Z1413" s="191" t="inlineStr">
        <is>
          <t>NONE</t>
        </is>
      </c>
      <c r="AA1413" s="192" t="inlineStr">
        <is>
          <t>https://robloxr.com.es/users/1140465374/profile</t>
        </is>
      </c>
      <c r="AB1413" s="191" t="inlineStr">
        <is>
          <t>NONE</t>
        </is>
      </c>
      <c r="AC1413" s="191" t="n">
        <v>0</v>
      </c>
      <c r="AD1413" s="191" t="n"/>
    </row>
    <row r="1414">
      <c r="A1414" s="191" t="inlineStr">
        <is>
          <t>PHISH</t>
        </is>
      </c>
      <c r="B1414" s="191" t="n"/>
      <c r="C1414" s="191" t="inlineStr">
        <is>
          <t>Phishing site targeting: www.robiox.com.py | URL: https://www.robiox.com.py/users/225612695322/profile</t>
        </is>
      </c>
      <c r="D1414" s="191" t="n">
        <v>6</v>
      </c>
      <c r="E1414" s="191" t="inlineStr">
        <is>
          <t>MEDIUM</t>
        </is>
      </c>
      <c r="F1414" s="191" t="n">
        <v>3</v>
      </c>
      <c r="G1414" s="191" t="n">
        <v>1</v>
      </c>
      <c r="H1414" s="191" t="inlineStr">
        <is>
          <t>MEDIUM</t>
        </is>
      </c>
      <c r="I1414" s="191" t="n">
        <v>9</v>
      </c>
      <c r="J1414" s="191" t="inlineStr">
        <is>
          <t>NO</t>
        </is>
      </c>
      <c r="K1414" s="192" t="inlineStr">
        <is>
          <t>https://www.robiox.com.py/users/225612695322/profile</t>
        </is>
      </c>
      <c r="L1414" s="191" t="inlineStr">
        <is>
          <t>2026-02-23T23:44:47+00:00</t>
        </is>
      </c>
      <c r="M1414" s="191" t="inlineStr">
        <is>
          <t>Block URL</t>
        </is>
      </c>
      <c r="N1414" s="192" t="inlineStr">
        <is>
          <t>https://www.robiox.com.py/users/225612695322/profile</t>
        </is>
      </c>
      <c r="O1414" s="191" t="inlineStr">
        <is>
          <t>Block phishing URL | Warn users about www.robiox.com.py impersonation</t>
        </is>
      </c>
      <c r="P1414" s="191" t="inlineStr">
        <is>
          <t>Email users / www.robiox.com.py</t>
        </is>
      </c>
      <c r="Q1414" s="191" t="inlineStr">
        <is>
          <t>P4</t>
        </is>
      </c>
      <c r="R1414" s="191" t="inlineStr">
        <is>
          <t>🚫 Block URLs in web proxy/firewall | 📧 Update email security filters | 👥 User awareness training recommended</t>
        </is>
      </c>
      <c r="S1414" s="191" t="inlineStr">
        <is>
          <t>Phishing URL</t>
        </is>
      </c>
      <c r="T1414" s="191" t="n">
        <v>0</v>
      </c>
      <c r="U1414" s="191" t="n">
        <v>0</v>
      </c>
      <c r="V1414" s="191" t="inlineStr">
        <is>
          <t>T1566:Phishing | T1566.002:Spearphishing Link</t>
        </is>
      </c>
      <c r="W1414" s="191" t="n">
        <v>1</v>
      </c>
      <c r="X1414" s="191" t="inlineStr">
        <is>
          <t>LOW (40%)</t>
        </is>
      </c>
      <c r="Y1414" s="191" t="inlineStr">
        <is>
          <t>NONE</t>
        </is>
      </c>
      <c r="Z1414" s="191" t="inlineStr">
        <is>
          <t>NONE</t>
        </is>
      </c>
      <c r="AA1414" s="192" t="inlineStr">
        <is>
          <t>https://www.robiox.com.py/users/225612695322/profile</t>
        </is>
      </c>
      <c r="AB1414" s="191" t="inlineStr">
        <is>
          <t>NONE</t>
        </is>
      </c>
      <c r="AC1414" s="191" t="n">
        <v>0</v>
      </c>
      <c r="AD1414" s="191" t="n"/>
    </row>
    <row r="1415">
      <c r="A1415" s="191" t="inlineStr">
        <is>
          <t>PHISH</t>
        </is>
      </c>
      <c r="B1415" s="191" t="n"/>
      <c r="C1415" s="191" t="inlineStr">
        <is>
          <t>Phishing site targeting: ofertascomvalor.online | URL: https://ofertascomvalor.online/</t>
        </is>
      </c>
      <c r="D1415" s="191" t="n">
        <v>6</v>
      </c>
      <c r="E1415" s="191" t="inlineStr">
        <is>
          <t>MEDIUM</t>
        </is>
      </c>
      <c r="F1415" s="191" t="n">
        <v>3</v>
      </c>
      <c r="G1415" s="191" t="n">
        <v>1</v>
      </c>
      <c r="H1415" s="191" t="inlineStr">
        <is>
          <t>MEDIUM</t>
        </is>
      </c>
      <c r="I1415" s="191" t="n">
        <v>9</v>
      </c>
      <c r="J1415" s="191" t="inlineStr">
        <is>
          <t>NO</t>
        </is>
      </c>
      <c r="K1415" s="192" t="inlineStr">
        <is>
          <t>https://ofertascomvalor.online/</t>
        </is>
      </c>
      <c r="L1415" s="191" t="inlineStr">
        <is>
          <t>2026-02-23T23:44:47+00:00</t>
        </is>
      </c>
      <c r="M1415" s="191" t="inlineStr">
        <is>
          <t>Block URL</t>
        </is>
      </c>
      <c r="N1415" s="192" t="inlineStr">
        <is>
          <t>https://ofertascomvalor.online/</t>
        </is>
      </c>
      <c r="O1415" s="191" t="inlineStr">
        <is>
          <t>Block phishing URL | Warn users about ofertascomvalor.online impersonation</t>
        </is>
      </c>
      <c r="P1415" s="191" t="inlineStr">
        <is>
          <t>Email users / ofertascomvalor.online</t>
        </is>
      </c>
      <c r="Q1415" s="191" t="inlineStr">
        <is>
          <t>P4</t>
        </is>
      </c>
      <c r="R1415" s="191" t="inlineStr">
        <is>
          <t>🚫 Block URLs in web proxy/firewall | 📧 Update email security filters | 👥 User awareness training recommended</t>
        </is>
      </c>
      <c r="S1415" s="191" t="inlineStr">
        <is>
          <t>Phishing URL</t>
        </is>
      </c>
      <c r="T1415" s="191" t="n">
        <v>0</v>
      </c>
      <c r="U1415" s="191" t="n">
        <v>0</v>
      </c>
      <c r="V1415" s="191" t="inlineStr">
        <is>
          <t>T1566:Phishing | T1566.002:Spearphishing Link</t>
        </is>
      </c>
      <c r="W1415" s="191" t="n">
        <v>1</v>
      </c>
      <c r="X1415" s="191" t="inlineStr">
        <is>
          <t>LOW (40%)</t>
        </is>
      </c>
      <c r="Y1415" s="191" t="inlineStr">
        <is>
          <t>NONE</t>
        </is>
      </c>
      <c r="Z1415" s="191" t="inlineStr">
        <is>
          <t>NONE</t>
        </is>
      </c>
      <c r="AA1415" s="192" t="inlineStr">
        <is>
          <t>https://ofertascomvalor.online/</t>
        </is>
      </c>
      <c r="AB1415" s="191" t="inlineStr">
        <is>
          <t>NONE</t>
        </is>
      </c>
      <c r="AC1415" s="191" t="n">
        <v>0</v>
      </c>
      <c r="AD1415" s="191" t="n"/>
    </row>
    <row r="1416">
      <c r="A1416" s="191" t="inlineStr">
        <is>
          <t>PHISH</t>
        </is>
      </c>
      <c r="B1416" s="191" t="n"/>
      <c r="C1416" s="191" t="inlineStr">
        <is>
          <t>Phishing site targeting: notafakedomain.org | URL: https://notafakedomain.org/landing/form/4fc26f2a-8ba7-4a4f-be6e-c28ed289a769</t>
        </is>
      </c>
      <c r="D1416" s="191" t="n">
        <v>6</v>
      </c>
      <c r="E1416" s="191" t="inlineStr">
        <is>
          <t>MEDIUM</t>
        </is>
      </c>
      <c r="F1416" s="191" t="n">
        <v>3</v>
      </c>
      <c r="G1416" s="191" t="n">
        <v>1</v>
      </c>
      <c r="H1416" s="191" t="inlineStr">
        <is>
          <t>MEDIUM</t>
        </is>
      </c>
      <c r="I1416" s="191" t="n">
        <v>9</v>
      </c>
      <c r="J1416" s="191" t="inlineStr">
        <is>
          <t>NO</t>
        </is>
      </c>
      <c r="K1416" s="192" t="inlineStr">
        <is>
          <t>https://notafakedomain.org/landing/form/4fc26f2a-8ba7-4a4f-be6e-c28ed289a769</t>
        </is>
      </c>
      <c r="L1416" s="191" t="inlineStr">
        <is>
          <t>2026-02-23T23:44:47+00:00</t>
        </is>
      </c>
      <c r="M1416" s="191" t="inlineStr">
        <is>
          <t>Block URL</t>
        </is>
      </c>
      <c r="N1416" s="192" t="inlineStr">
        <is>
          <t>https://notafakedomain.org/landing/form/4fc26f2a-8ba7-4a4f-be6e-c28ed289a769</t>
        </is>
      </c>
      <c r="O1416" s="191" t="inlineStr">
        <is>
          <t>Block phishing URL | Warn users about notafakedomain.org impersonation</t>
        </is>
      </c>
      <c r="P1416" s="191" t="inlineStr">
        <is>
          <t>Email users / notafakedomain.org</t>
        </is>
      </c>
      <c r="Q1416" s="191" t="inlineStr">
        <is>
          <t>P4</t>
        </is>
      </c>
      <c r="R1416" s="191" t="inlineStr">
        <is>
          <t>🚫 Block URLs in web proxy/firewall | 📧 Update email security filters | 👥 User awareness training recommended</t>
        </is>
      </c>
      <c r="S1416" s="191" t="inlineStr">
        <is>
          <t>Phishing URL</t>
        </is>
      </c>
      <c r="T1416" s="191" t="n">
        <v>0</v>
      </c>
      <c r="U1416" s="191" t="n">
        <v>0</v>
      </c>
      <c r="V1416" s="191" t="inlineStr">
        <is>
          <t>T1566:Phishing | T1566.002:Spearphishing Link</t>
        </is>
      </c>
      <c r="W1416" s="191" t="n">
        <v>1</v>
      </c>
      <c r="X1416" s="191" t="inlineStr">
        <is>
          <t>LOW (40%)</t>
        </is>
      </c>
      <c r="Y1416" s="191" t="inlineStr">
        <is>
          <t>NONE</t>
        </is>
      </c>
      <c r="Z1416" s="191" t="inlineStr">
        <is>
          <t>NONE</t>
        </is>
      </c>
      <c r="AA1416" s="192" t="inlineStr">
        <is>
          <t>https://notafakedomain.org/landing/form/4fc26f2a-8ba7-4a4f-be6e-c28ed289a769</t>
        </is>
      </c>
      <c r="AB1416" s="191" t="inlineStr">
        <is>
          <t>NONE</t>
        </is>
      </c>
      <c r="AC1416" s="191" t="n">
        <v>0</v>
      </c>
      <c r="AD1416" s="191" t="n"/>
    </row>
    <row r="1417">
      <c r="A1417" s="191" t="inlineStr">
        <is>
          <t>PHISH</t>
        </is>
      </c>
      <c r="B1417" s="191" t="n"/>
      <c r="C1417" s="191" t="inlineStr">
        <is>
          <t>Phishing site targeting: facebooken.login.piotrpiotr.pl | URL: https://facebooken.login.piotrpiotr.pl/</t>
        </is>
      </c>
      <c r="D1417" s="191" t="n">
        <v>6</v>
      </c>
      <c r="E1417" s="191" t="inlineStr">
        <is>
          <t>MEDIUM</t>
        </is>
      </c>
      <c r="F1417" s="191" t="n">
        <v>3</v>
      </c>
      <c r="G1417" s="191" t="n">
        <v>1</v>
      </c>
      <c r="H1417" s="191" t="inlineStr">
        <is>
          <t>MEDIUM</t>
        </is>
      </c>
      <c r="I1417" s="191" t="n">
        <v>9</v>
      </c>
      <c r="J1417" s="191" t="inlineStr">
        <is>
          <t>NO</t>
        </is>
      </c>
      <c r="K1417" s="192" t="inlineStr">
        <is>
          <t>https://facebooken.login.piotrpiotr.pl/</t>
        </is>
      </c>
      <c r="L1417" s="191" t="inlineStr">
        <is>
          <t>2026-02-23T23:44:47+00:00</t>
        </is>
      </c>
      <c r="M1417" s="191" t="inlineStr">
        <is>
          <t>Block URL</t>
        </is>
      </c>
      <c r="N1417" s="192" t="inlineStr">
        <is>
          <t>https://facebooken.login.piotrpiotr.pl/</t>
        </is>
      </c>
      <c r="O1417" s="191" t="inlineStr">
        <is>
          <t>Block phishing URL | Warn users about facebooken.login.piotrpiotr.pl impersonation</t>
        </is>
      </c>
      <c r="P1417" s="191" t="inlineStr">
        <is>
          <t>Email users / facebooken.login.piotrpiotr.pl</t>
        </is>
      </c>
      <c r="Q1417" s="191" t="inlineStr">
        <is>
          <t>P4</t>
        </is>
      </c>
      <c r="R1417" s="191" t="inlineStr">
        <is>
          <t>🚫 Block URLs in web proxy/firewall | 📧 Update email security filters | 👥 User awareness training recommended</t>
        </is>
      </c>
      <c r="S1417" s="191" t="inlineStr">
        <is>
          <t>Phishing URL</t>
        </is>
      </c>
      <c r="T1417" s="191" t="n">
        <v>0</v>
      </c>
      <c r="U1417" s="191" t="n">
        <v>0</v>
      </c>
      <c r="V1417" s="191" t="inlineStr">
        <is>
          <t>T1566:Phishing | T1566.002:Spearphishing Link</t>
        </is>
      </c>
      <c r="W1417" s="191" t="n">
        <v>1</v>
      </c>
      <c r="X1417" s="191" t="inlineStr">
        <is>
          <t>LOW (40%)</t>
        </is>
      </c>
      <c r="Y1417" s="191" t="inlineStr">
        <is>
          <t>NONE</t>
        </is>
      </c>
      <c r="Z1417" s="191" t="inlineStr">
        <is>
          <t>NONE</t>
        </is>
      </c>
      <c r="AA1417" s="192" t="inlineStr">
        <is>
          <t>https://facebooken.login.piotrpiotr.pl/</t>
        </is>
      </c>
      <c r="AB1417" s="191" t="inlineStr">
        <is>
          <t>NONE</t>
        </is>
      </c>
      <c r="AC1417" s="191" t="n">
        <v>0</v>
      </c>
      <c r="AD1417" s="191" t="n"/>
    </row>
    <row r="1418">
      <c r="A1418" s="191" t="inlineStr">
        <is>
          <t>PHISH</t>
        </is>
      </c>
      <c r="B1418" s="191" t="n"/>
      <c r="C1418" s="191" t="inlineStr">
        <is>
          <t>Phishing site targeting: notafakedomain.org | URL: https://notafakedomain.org/landing/form/1324ac96-1f7e-4857-a6e6-c2c2412c3d95</t>
        </is>
      </c>
      <c r="D1418" s="191" t="n">
        <v>6</v>
      </c>
      <c r="E1418" s="191" t="inlineStr">
        <is>
          <t>MEDIUM</t>
        </is>
      </c>
      <c r="F1418" s="191" t="n">
        <v>3</v>
      </c>
      <c r="G1418" s="191" t="n">
        <v>1</v>
      </c>
      <c r="H1418" s="191" t="inlineStr">
        <is>
          <t>MEDIUM</t>
        </is>
      </c>
      <c r="I1418" s="191" t="n">
        <v>9</v>
      </c>
      <c r="J1418" s="191" t="inlineStr">
        <is>
          <t>NO</t>
        </is>
      </c>
      <c r="K1418" s="192" t="inlineStr">
        <is>
          <t>https://notafakedomain.org/landing/form/1324ac96-1f7e-4857-a6e6-c2c2412c3d95</t>
        </is>
      </c>
      <c r="L1418" s="191" t="inlineStr">
        <is>
          <t>2026-02-23T23:44:47+00:00</t>
        </is>
      </c>
      <c r="M1418" s="191" t="inlineStr">
        <is>
          <t>Block URL</t>
        </is>
      </c>
      <c r="N1418" s="192" t="inlineStr">
        <is>
          <t>https://notafakedomain.org/landing/form/1324ac96-1f7e-4857-a6e6-c2c2412c3d95</t>
        </is>
      </c>
      <c r="O1418" s="191" t="inlineStr">
        <is>
          <t>Block phishing URL | Warn users about notafakedomain.org impersonation</t>
        </is>
      </c>
      <c r="P1418" s="191" t="inlineStr">
        <is>
          <t>Email users / notafakedomain.org</t>
        </is>
      </c>
      <c r="Q1418" s="191" t="inlineStr">
        <is>
          <t>P4</t>
        </is>
      </c>
      <c r="R1418" s="191" t="inlineStr">
        <is>
          <t>🚫 Block URLs in web proxy/firewall | 📧 Update email security filters | 👥 User awareness training recommended</t>
        </is>
      </c>
      <c r="S1418" s="191" t="inlineStr">
        <is>
          <t>Phishing URL</t>
        </is>
      </c>
      <c r="T1418" s="191" t="n">
        <v>0</v>
      </c>
      <c r="U1418" s="191" t="n">
        <v>0</v>
      </c>
      <c r="V1418" s="191" t="inlineStr">
        <is>
          <t>T1566:Phishing | T1566.002:Spearphishing Link</t>
        </is>
      </c>
      <c r="W1418" s="191" t="n">
        <v>1</v>
      </c>
      <c r="X1418" s="191" t="inlineStr">
        <is>
          <t>LOW (40%)</t>
        </is>
      </c>
      <c r="Y1418" s="191" t="inlineStr">
        <is>
          <t>NONE</t>
        </is>
      </c>
      <c r="Z1418" s="191" t="inlineStr">
        <is>
          <t>NONE</t>
        </is>
      </c>
      <c r="AA1418" s="192" t="inlineStr">
        <is>
          <t>https://notafakedomain.org/landing/form/1324ac96-1f7e-4857-a6e6-c2c2412c3d95</t>
        </is>
      </c>
      <c r="AB1418" s="191" t="inlineStr">
        <is>
          <t>NONE</t>
        </is>
      </c>
      <c r="AC1418" s="191" t="n">
        <v>0</v>
      </c>
      <c r="AD1418" s="191" t="n"/>
    </row>
    <row r="1419">
      <c r="A1419" s="191" t="inlineStr">
        <is>
          <t>PHISH</t>
        </is>
      </c>
      <c r="B1419" s="191" t="n"/>
      <c r="C1419" s="191" t="inlineStr">
        <is>
          <t>Phishing site targeting: www.rnicrosoft-exchange.com | URL: https://www.rnicrosoft-exchange.com/terms-office@austrogate.net.html</t>
        </is>
      </c>
      <c r="D1419" s="191" t="n">
        <v>6</v>
      </c>
      <c r="E1419" s="191" t="inlineStr">
        <is>
          <t>MEDIUM</t>
        </is>
      </c>
      <c r="F1419" s="191" t="n">
        <v>3</v>
      </c>
      <c r="G1419" s="191" t="n">
        <v>1</v>
      </c>
      <c r="H1419" s="191" t="inlineStr">
        <is>
          <t>MEDIUM</t>
        </is>
      </c>
      <c r="I1419" s="191" t="n">
        <v>9</v>
      </c>
      <c r="J1419" s="191" t="inlineStr">
        <is>
          <t>NO</t>
        </is>
      </c>
      <c r="K1419" s="192" t="inlineStr">
        <is>
          <t>https://www.rnicrosoft-exchange.com/terms-office@austrogate.net.html</t>
        </is>
      </c>
      <c r="L1419" s="191" t="inlineStr">
        <is>
          <t>2026-02-23T23:44:47+00:00</t>
        </is>
      </c>
      <c r="M1419" s="191" t="inlineStr">
        <is>
          <t>Block URL</t>
        </is>
      </c>
      <c r="N1419" s="192" t="inlineStr">
        <is>
          <t>https://www.rnicrosoft-exchange.com/terms-office@austrogate.net.html</t>
        </is>
      </c>
      <c r="O1419" s="191" t="inlineStr">
        <is>
          <t>Block phishing URL | Warn users about www.rnicrosoft-exchange.com impersonation</t>
        </is>
      </c>
      <c r="P1419" s="191" t="inlineStr">
        <is>
          <t>Email users / www.rnicrosoft-exchange.com</t>
        </is>
      </c>
      <c r="Q1419" s="191" t="inlineStr">
        <is>
          <t>P4</t>
        </is>
      </c>
      <c r="R1419" s="191" t="inlineStr">
        <is>
          <t>🚫 Block URLs in web proxy/firewall | 📧 Update email security filters | 👥 User awareness training recommended</t>
        </is>
      </c>
      <c r="S1419" s="191" t="inlineStr">
        <is>
          <t>Phishing URL</t>
        </is>
      </c>
      <c r="T1419" s="191" t="n">
        <v>0</v>
      </c>
      <c r="U1419" s="191" t="n">
        <v>0</v>
      </c>
      <c r="V1419" s="191" t="inlineStr">
        <is>
          <t>T1566:Phishing | T1566.002:Spearphishing Link</t>
        </is>
      </c>
      <c r="W1419" s="191" t="n">
        <v>1</v>
      </c>
      <c r="X1419" s="191" t="inlineStr">
        <is>
          <t>LOW (40%)</t>
        </is>
      </c>
      <c r="Y1419" s="191" t="inlineStr">
        <is>
          <t>NONE</t>
        </is>
      </c>
      <c r="Z1419" s="191" t="inlineStr">
        <is>
          <t>NONE</t>
        </is>
      </c>
      <c r="AA1419" s="192" t="inlineStr">
        <is>
          <t>https://www.rnicrosoft-exchange.com/terms-office@austrogate.net.html</t>
        </is>
      </c>
      <c r="AB1419" s="191" t="inlineStr">
        <is>
          <t>NONE</t>
        </is>
      </c>
      <c r="AC1419" s="191" t="n">
        <v>0</v>
      </c>
      <c r="AD1419" s="191" t="n"/>
    </row>
    <row r="1420">
      <c r="A1420" s="191" t="inlineStr">
        <is>
          <t>PHISH</t>
        </is>
      </c>
      <c r="B1420" s="191" t="n"/>
      <c r="C1420" s="191" t="inlineStr">
        <is>
          <t>Phishing site targeting: 20-215-200-29.cprapid.com | URL: https://20-215-200-29.cprapid.com/ch/update.php?zv15hvqkprpwp29hkqa1</t>
        </is>
      </c>
      <c r="D1420" s="191" t="n">
        <v>6</v>
      </c>
      <c r="E1420" s="191" t="inlineStr">
        <is>
          <t>MEDIUM</t>
        </is>
      </c>
      <c r="F1420" s="191" t="n">
        <v>3</v>
      </c>
      <c r="G1420" s="191" t="n">
        <v>1</v>
      </c>
      <c r="H1420" s="191" t="inlineStr">
        <is>
          <t>MEDIUM</t>
        </is>
      </c>
      <c r="I1420" s="191" t="n">
        <v>9</v>
      </c>
      <c r="J1420" s="191" t="inlineStr">
        <is>
          <t>NO</t>
        </is>
      </c>
      <c r="K1420" s="192" t="inlineStr">
        <is>
          <t>https://20-215-200-29.cprapid.com/ch/update.php?zv15hvqkprpwp29hkqa1</t>
        </is>
      </c>
      <c r="L1420" s="191" t="inlineStr">
        <is>
          <t>2026-02-23T23:44:47+00:00</t>
        </is>
      </c>
      <c r="M1420" s="191" t="inlineStr">
        <is>
          <t>Block URL</t>
        </is>
      </c>
      <c r="N1420" s="192" t="inlineStr">
        <is>
          <t>https://20-215-200-29.cprapid.com/ch/update.php?zv15hvqkprpwp29hkqa1</t>
        </is>
      </c>
      <c r="O1420" s="191" t="inlineStr">
        <is>
          <t>Block phishing URL | Warn users about 20-215-200-29.cprapid.com impersonation</t>
        </is>
      </c>
      <c r="P1420" s="191" t="inlineStr">
        <is>
          <t>Email users / 20-215-200-29.cprapid.com</t>
        </is>
      </c>
      <c r="Q1420" s="191" t="inlineStr">
        <is>
          <t>P4</t>
        </is>
      </c>
      <c r="R1420" s="191" t="inlineStr">
        <is>
          <t>🚫 Block URLs in web proxy/firewall | 📧 Update email security filters | 👥 User awareness training recommended</t>
        </is>
      </c>
      <c r="S1420" s="191" t="inlineStr">
        <is>
          <t>Phishing URL</t>
        </is>
      </c>
      <c r="T1420" s="191" t="n">
        <v>0</v>
      </c>
      <c r="U1420" s="191" t="n">
        <v>0</v>
      </c>
      <c r="V1420" s="191" t="inlineStr">
        <is>
          <t>T1566:Phishing | T1566.002:Spearphishing Link</t>
        </is>
      </c>
      <c r="W1420" s="191" t="n">
        <v>1</v>
      </c>
      <c r="X1420" s="191" t="inlineStr">
        <is>
          <t>LOW (40%)</t>
        </is>
      </c>
      <c r="Y1420" s="191" t="inlineStr">
        <is>
          <t>NONE</t>
        </is>
      </c>
      <c r="Z1420" s="191" t="inlineStr">
        <is>
          <t>NONE</t>
        </is>
      </c>
      <c r="AA1420" s="192" t="inlineStr">
        <is>
          <t>https://20-215-200-29.cprapid.com/ch/update.php?zv15hvqkprpwp29hkqa1</t>
        </is>
      </c>
      <c r="AB1420" s="191" t="inlineStr">
        <is>
          <t>NONE</t>
        </is>
      </c>
      <c r="AC1420" s="191" t="n">
        <v>0</v>
      </c>
      <c r="AD1420" s="191" t="n"/>
    </row>
    <row r="1421">
      <c r="A1421" s="191" t="inlineStr">
        <is>
          <t>PHISH</t>
        </is>
      </c>
      <c r="B1421" s="191" t="n"/>
      <c r="C1421" s="191" t="inlineStr">
        <is>
          <t>Phishing site targeting: rozy.standard.us-east-1.oortstorages.com | URL: https://rozy.standard.us-east-1.oortstorages.com/chuk.znc?eta=3mail@a.b.c0/</t>
        </is>
      </c>
      <c r="D1421" s="191" t="n">
        <v>6</v>
      </c>
      <c r="E1421" s="191" t="inlineStr">
        <is>
          <t>MEDIUM</t>
        </is>
      </c>
      <c r="F1421" s="191" t="n">
        <v>3</v>
      </c>
      <c r="G1421" s="191" t="n">
        <v>1</v>
      </c>
      <c r="H1421" s="191" t="inlineStr">
        <is>
          <t>MEDIUM</t>
        </is>
      </c>
      <c r="I1421" s="191" t="n">
        <v>9</v>
      </c>
      <c r="J1421" s="191" t="inlineStr">
        <is>
          <t>NO</t>
        </is>
      </c>
      <c r="K1421" s="192" t="inlineStr">
        <is>
          <t>https://rozy.standard.us-east-1.oortstorages.com/chuk.znc?eta=3mail@a.b.c0/</t>
        </is>
      </c>
      <c r="L1421" s="191" t="inlineStr">
        <is>
          <t>2026-02-23T23:44:47+00:00</t>
        </is>
      </c>
      <c r="M1421" s="191" t="inlineStr">
        <is>
          <t>Block URL</t>
        </is>
      </c>
      <c r="N1421" s="192" t="inlineStr">
        <is>
          <t>https://rozy.standard.us-east-1.oortstorages.com/chuk.znc?eta=3mail@a.b.c0/</t>
        </is>
      </c>
      <c r="O1421" s="191" t="inlineStr">
        <is>
          <t>Block phishing URL | Warn users about rozy.standard.us-east-1.oortstorages.com impersonation</t>
        </is>
      </c>
      <c r="P1421" s="191" t="inlineStr">
        <is>
          <t>Email users / rozy.standard.us-east-1.oortstorages.com</t>
        </is>
      </c>
      <c r="Q1421" s="191" t="inlineStr">
        <is>
          <t>P4</t>
        </is>
      </c>
      <c r="R1421" s="191" t="inlineStr">
        <is>
          <t>🚫 Block URLs in web proxy/firewall | 📧 Update email security filters | 👥 User awareness training recommended</t>
        </is>
      </c>
      <c r="S1421" s="191" t="inlineStr">
        <is>
          <t>Phishing URL</t>
        </is>
      </c>
      <c r="T1421" s="191" t="n">
        <v>0</v>
      </c>
      <c r="U1421" s="191" t="n">
        <v>0</v>
      </c>
      <c r="V1421" s="191" t="inlineStr">
        <is>
          <t>T1566:Phishing | T1566.002:Spearphishing Link</t>
        </is>
      </c>
      <c r="W1421" s="191" t="n">
        <v>1</v>
      </c>
      <c r="X1421" s="191" t="inlineStr">
        <is>
          <t>LOW (40%)</t>
        </is>
      </c>
      <c r="Y1421" s="191" t="inlineStr">
        <is>
          <t>NONE</t>
        </is>
      </c>
      <c r="Z1421" s="191" t="inlineStr">
        <is>
          <t>NONE</t>
        </is>
      </c>
      <c r="AA1421" s="192" t="inlineStr">
        <is>
          <t>https://rozy.standard.us-east-1.oortstorages.com/chuk.znc?eta=3mail@a.b.c0/</t>
        </is>
      </c>
      <c r="AB1421" s="191" t="inlineStr">
        <is>
          <t>NONE</t>
        </is>
      </c>
      <c r="AC1421" s="191" t="n">
        <v>0</v>
      </c>
      <c r="AD1421" s="191" t="n"/>
    </row>
    <row r="1422">
      <c r="A1422" s="191" t="inlineStr">
        <is>
          <t>PHISH</t>
        </is>
      </c>
      <c r="B1422" s="191" t="n"/>
      <c r="C1422" s="191" t="inlineStr">
        <is>
          <t>Phishing site targeting: rozy.standard.us-east-1.oortstorages.com | URL: https://rozy.standard.us-east-1.oortstorages.com/rozz.znc?eta=3mail@a.b.c0/</t>
        </is>
      </c>
      <c r="D1422" s="191" t="n">
        <v>6</v>
      </c>
      <c r="E1422" s="191" t="inlineStr">
        <is>
          <t>MEDIUM</t>
        </is>
      </c>
      <c r="F1422" s="191" t="n">
        <v>3</v>
      </c>
      <c r="G1422" s="191" t="n">
        <v>1</v>
      </c>
      <c r="H1422" s="191" t="inlineStr">
        <is>
          <t>MEDIUM</t>
        </is>
      </c>
      <c r="I1422" s="191" t="n">
        <v>9</v>
      </c>
      <c r="J1422" s="191" t="inlineStr">
        <is>
          <t>NO</t>
        </is>
      </c>
      <c r="K1422" s="192" t="inlineStr">
        <is>
          <t>https://rozy.standard.us-east-1.oortstorages.com/rozz.znc?eta=3mail@a.b.c0/</t>
        </is>
      </c>
      <c r="L1422" s="191" t="inlineStr">
        <is>
          <t>2026-02-23T23:44:47+00:00</t>
        </is>
      </c>
      <c r="M1422" s="191" t="inlineStr">
        <is>
          <t>Block URL</t>
        </is>
      </c>
      <c r="N1422" s="192" t="inlineStr">
        <is>
          <t>https://rozy.standard.us-east-1.oortstorages.com/rozz.znc?eta=3mail@a.b.c0/</t>
        </is>
      </c>
      <c r="O1422" s="191" t="inlineStr">
        <is>
          <t>Block phishing URL | Warn users about rozy.standard.us-east-1.oortstorages.com impersonation</t>
        </is>
      </c>
      <c r="P1422" s="191" t="inlineStr">
        <is>
          <t>Email users / rozy.standard.us-east-1.oortstorages.com</t>
        </is>
      </c>
      <c r="Q1422" s="191" t="inlineStr">
        <is>
          <t>P4</t>
        </is>
      </c>
      <c r="R1422" s="191" t="inlineStr">
        <is>
          <t>🚫 Block URLs in web proxy/firewall | 📧 Update email security filters | 👥 User awareness training recommended</t>
        </is>
      </c>
      <c r="S1422" s="191" t="inlineStr">
        <is>
          <t>Phishing URL</t>
        </is>
      </c>
      <c r="T1422" s="191" t="n">
        <v>0</v>
      </c>
      <c r="U1422" s="191" t="n">
        <v>0</v>
      </c>
      <c r="V1422" s="191" t="inlineStr">
        <is>
          <t>T1566:Phishing | T1566.002:Spearphishing Link</t>
        </is>
      </c>
      <c r="W1422" s="191" t="n">
        <v>1</v>
      </c>
      <c r="X1422" s="191" t="inlineStr">
        <is>
          <t>LOW (40%)</t>
        </is>
      </c>
      <c r="Y1422" s="191" t="inlineStr">
        <is>
          <t>NONE</t>
        </is>
      </c>
      <c r="Z1422" s="191" t="inlineStr">
        <is>
          <t>NONE</t>
        </is>
      </c>
      <c r="AA1422" s="192" t="inlineStr">
        <is>
          <t>https://rozy.standard.us-east-1.oortstorages.com/rozz.znc?eta=3mail@a.b.c0/</t>
        </is>
      </c>
      <c r="AB1422" s="191" t="inlineStr">
        <is>
          <t>NONE</t>
        </is>
      </c>
      <c r="AC1422" s="191" t="n">
        <v>0</v>
      </c>
      <c r="AD1422" s="191" t="n"/>
    </row>
    <row r="1423">
      <c r="A1423" s="191" t="inlineStr">
        <is>
          <t>PHISH</t>
        </is>
      </c>
      <c r="B1423" s="191" t="n"/>
      <c r="C1423" s="191" t="inlineStr">
        <is>
          <t>Phishing site targeting: 4a60b417-zimbra-8d7f-web-o4286-fd24f6.netlify.app | URL: http://4a60b417-zimbra-8d7f-web-o4286-fd24f6.netlify.app/zm/</t>
        </is>
      </c>
      <c r="D1423" s="191" t="n">
        <v>6</v>
      </c>
      <c r="E1423" s="191" t="inlineStr">
        <is>
          <t>MEDIUM</t>
        </is>
      </c>
      <c r="F1423" s="191" t="n">
        <v>3</v>
      </c>
      <c r="G1423" s="191" t="n">
        <v>1</v>
      </c>
      <c r="H1423" s="191" t="inlineStr">
        <is>
          <t>MEDIUM</t>
        </is>
      </c>
      <c r="I1423" s="191" t="n">
        <v>9</v>
      </c>
      <c r="J1423" s="191" t="inlineStr">
        <is>
          <t>NO</t>
        </is>
      </c>
      <c r="K1423" s="192" t="inlineStr">
        <is>
          <t>http://4a60b417-zimbra-8d7f-web-o4286-fd24f6.netlify.app/zm/</t>
        </is>
      </c>
      <c r="L1423" s="191" t="inlineStr">
        <is>
          <t>2026-02-23T23:44:47+00:00</t>
        </is>
      </c>
      <c r="M1423" s="191" t="inlineStr">
        <is>
          <t>Block URL</t>
        </is>
      </c>
      <c r="N1423" s="192" t="inlineStr">
        <is>
          <t>http://4a60b417-zimbra-8d7f-web-o4286-fd24f6.netlify.app/zm/</t>
        </is>
      </c>
      <c r="O1423" s="191" t="inlineStr">
        <is>
          <t>Block phishing URL | Warn users about 4a60b417-zimbra-8d7f-web-o4286-fd24f6.netlify.app impersonation</t>
        </is>
      </c>
      <c r="P1423" s="191" t="inlineStr">
        <is>
          <t>Email users / 4a60b417-zimbra-8d7f-web-o4286-fd24f6.netlify.app</t>
        </is>
      </c>
      <c r="Q1423" s="191" t="inlineStr">
        <is>
          <t>P4</t>
        </is>
      </c>
      <c r="R1423" s="191" t="inlineStr">
        <is>
          <t>🚫 Block URLs in web proxy/firewall | 📧 Update email security filters | 👥 User awareness training recommended</t>
        </is>
      </c>
      <c r="S1423" s="191" t="inlineStr">
        <is>
          <t>Phishing URL</t>
        </is>
      </c>
      <c r="T1423" s="191" t="n">
        <v>0</v>
      </c>
      <c r="U1423" s="191" t="n">
        <v>0</v>
      </c>
      <c r="V1423" s="191" t="inlineStr">
        <is>
          <t>T1566:Phishing | T1566.002:Spearphishing Link</t>
        </is>
      </c>
      <c r="W1423" s="191" t="n">
        <v>1</v>
      </c>
      <c r="X1423" s="191" t="inlineStr">
        <is>
          <t>LOW (40%)</t>
        </is>
      </c>
      <c r="Y1423" s="191" t="inlineStr">
        <is>
          <t>NONE</t>
        </is>
      </c>
      <c r="Z1423" s="191" t="inlineStr">
        <is>
          <t>NONE</t>
        </is>
      </c>
      <c r="AA1423" s="192" t="inlineStr">
        <is>
          <t>http://4a60b417-zimbra-8d7f-web-o4286-fd24f6.netlify.app/zm/</t>
        </is>
      </c>
      <c r="AB1423" s="191" t="inlineStr">
        <is>
          <t>NONE</t>
        </is>
      </c>
      <c r="AC1423" s="191" t="n">
        <v>0</v>
      </c>
      <c r="AD1423" s="191" t="n"/>
    </row>
    <row r="1424">
      <c r="A1424" s="191" t="inlineStr">
        <is>
          <t>PHISH</t>
        </is>
      </c>
      <c r="B1424" s="191" t="n"/>
      <c r="C1424" s="191" t="inlineStr">
        <is>
          <t>Phishing site targeting: pyro.sg | URL: https://pyro.sg/--/infos.php</t>
        </is>
      </c>
      <c r="D1424" s="191" t="n">
        <v>6</v>
      </c>
      <c r="E1424" s="191" t="inlineStr">
        <is>
          <t>MEDIUM</t>
        </is>
      </c>
      <c r="F1424" s="191" t="n">
        <v>3</v>
      </c>
      <c r="G1424" s="191" t="n">
        <v>1</v>
      </c>
      <c r="H1424" s="191" t="inlineStr">
        <is>
          <t>MEDIUM</t>
        </is>
      </c>
      <c r="I1424" s="191" t="n">
        <v>9</v>
      </c>
      <c r="J1424" s="191" t="inlineStr">
        <is>
          <t>NO</t>
        </is>
      </c>
      <c r="K1424" s="192" t="inlineStr">
        <is>
          <t>https://pyro.sg/--/infos.php</t>
        </is>
      </c>
      <c r="L1424" s="191" t="inlineStr">
        <is>
          <t>2026-02-23T23:44:47+00:00</t>
        </is>
      </c>
      <c r="M1424" s="191" t="inlineStr">
        <is>
          <t>Block URL</t>
        </is>
      </c>
      <c r="N1424" s="192" t="inlineStr">
        <is>
          <t>https://pyro.sg/--/infos.php</t>
        </is>
      </c>
      <c r="O1424" s="191" t="inlineStr">
        <is>
          <t>Block phishing URL | Warn users about pyro.sg impersonation</t>
        </is>
      </c>
      <c r="P1424" s="191" t="inlineStr">
        <is>
          <t>Email users / pyro.sg</t>
        </is>
      </c>
      <c r="Q1424" s="191" t="inlineStr">
        <is>
          <t>P4</t>
        </is>
      </c>
      <c r="R1424" s="191" t="inlineStr">
        <is>
          <t>🚫 Block URLs in web proxy/firewall | 📧 Update email security filters | 👥 User awareness training recommended</t>
        </is>
      </c>
      <c r="S1424" s="191" t="inlineStr">
        <is>
          <t>Phishing URL</t>
        </is>
      </c>
      <c r="T1424" s="191" t="n">
        <v>0</v>
      </c>
      <c r="U1424" s="191" t="n">
        <v>0</v>
      </c>
      <c r="V1424" s="191" t="inlineStr">
        <is>
          <t>T1566:Phishing | T1566.002:Spearphishing Link</t>
        </is>
      </c>
      <c r="W1424" s="191" t="n">
        <v>1</v>
      </c>
      <c r="X1424" s="191" t="inlineStr">
        <is>
          <t>LOW (40%)</t>
        </is>
      </c>
      <c r="Y1424" s="191" t="inlineStr">
        <is>
          <t>NONE</t>
        </is>
      </c>
      <c r="Z1424" s="191" t="inlineStr">
        <is>
          <t>NONE</t>
        </is>
      </c>
      <c r="AA1424" s="192" t="inlineStr">
        <is>
          <t>https://pyro.sg/--/infos.php</t>
        </is>
      </c>
      <c r="AB1424" s="191" t="inlineStr">
        <is>
          <t>NONE</t>
        </is>
      </c>
      <c r="AC1424" s="191" t="n">
        <v>0</v>
      </c>
      <c r="AD1424" s="191" t="n"/>
    </row>
    <row r="1425">
      <c r="A1425" s="191" t="inlineStr">
        <is>
          <t>PHISH</t>
        </is>
      </c>
      <c r="B1425" s="191" t="n"/>
      <c r="C1425" s="191" t="inlineStr">
        <is>
          <t>Phishing site targeting: robiox.com.af | URL: https://robiox.com.af/users/3526449442/profile</t>
        </is>
      </c>
      <c r="D1425" s="191" t="n">
        <v>6</v>
      </c>
      <c r="E1425" s="191" t="inlineStr">
        <is>
          <t>MEDIUM</t>
        </is>
      </c>
      <c r="F1425" s="191" t="n">
        <v>3</v>
      </c>
      <c r="G1425" s="191" t="n">
        <v>1</v>
      </c>
      <c r="H1425" s="191" t="inlineStr">
        <is>
          <t>MEDIUM</t>
        </is>
      </c>
      <c r="I1425" s="191" t="n">
        <v>9</v>
      </c>
      <c r="J1425" s="191" t="inlineStr">
        <is>
          <t>NO</t>
        </is>
      </c>
      <c r="K1425" s="192" t="inlineStr">
        <is>
          <t>https://robiox.com.af/users/3526449442/profile</t>
        </is>
      </c>
      <c r="L1425" s="191" t="inlineStr">
        <is>
          <t>2026-02-23T23:44:47+00:00</t>
        </is>
      </c>
      <c r="M1425" s="191" t="inlineStr">
        <is>
          <t>Block URL</t>
        </is>
      </c>
      <c r="N1425" s="192" t="inlineStr">
        <is>
          <t>https://robiox.com.af/users/3526449442/profile</t>
        </is>
      </c>
      <c r="O1425" s="191" t="inlineStr">
        <is>
          <t>Block phishing URL | Warn users about robiox.com.af impersonation</t>
        </is>
      </c>
      <c r="P1425" s="191" t="inlineStr">
        <is>
          <t>Email users / robiox.com.af</t>
        </is>
      </c>
      <c r="Q1425" s="191" t="inlineStr">
        <is>
          <t>P4</t>
        </is>
      </c>
      <c r="R1425" s="191" t="inlineStr">
        <is>
          <t>🚫 Block URLs in web proxy/firewall | 📧 Update email security filters | 👥 User awareness training recommended</t>
        </is>
      </c>
      <c r="S1425" s="191" t="inlineStr">
        <is>
          <t>Phishing URL</t>
        </is>
      </c>
      <c r="T1425" s="191" t="n">
        <v>0</v>
      </c>
      <c r="U1425" s="191" t="n">
        <v>0</v>
      </c>
      <c r="V1425" s="191" t="inlineStr">
        <is>
          <t>T1566:Phishing | T1566.002:Spearphishing Link</t>
        </is>
      </c>
      <c r="W1425" s="191" t="n">
        <v>1</v>
      </c>
      <c r="X1425" s="191" t="inlineStr">
        <is>
          <t>LOW (40%)</t>
        </is>
      </c>
      <c r="Y1425" s="191" t="inlineStr">
        <is>
          <t>NONE</t>
        </is>
      </c>
      <c r="Z1425" s="191" t="inlineStr">
        <is>
          <t>NONE</t>
        </is>
      </c>
      <c r="AA1425" s="192" t="inlineStr">
        <is>
          <t>https://robiox.com.af/users/3526449442/profile</t>
        </is>
      </c>
      <c r="AB1425" s="191" t="inlineStr">
        <is>
          <t>NONE</t>
        </is>
      </c>
      <c r="AC1425" s="191" t="n">
        <v>0</v>
      </c>
      <c r="AD1425" s="191" t="n"/>
    </row>
    <row r="1426">
      <c r="A1426" s="191" t="inlineStr">
        <is>
          <t>PHISH</t>
        </is>
      </c>
      <c r="B1426" s="191" t="n"/>
      <c r="C1426" s="191" t="inlineStr">
        <is>
          <t>Phishing site targeting: pub-7286888a4a30420ca43a0a3961b944c0.r2.dev | URL: http://pub-7286888a4a30420ca43a0a3961b944c0.r2.dev/index.html</t>
        </is>
      </c>
      <c r="D1426" s="191" t="n">
        <v>6</v>
      </c>
      <c r="E1426" s="191" t="inlineStr">
        <is>
          <t>MEDIUM</t>
        </is>
      </c>
      <c r="F1426" s="191" t="n">
        <v>3</v>
      </c>
      <c r="G1426" s="191" t="n">
        <v>1</v>
      </c>
      <c r="H1426" s="191" t="inlineStr">
        <is>
          <t>MEDIUM</t>
        </is>
      </c>
      <c r="I1426" s="191" t="n">
        <v>9</v>
      </c>
      <c r="J1426" s="191" t="inlineStr">
        <is>
          <t>NO</t>
        </is>
      </c>
      <c r="K1426" s="192" t="inlineStr">
        <is>
          <t>http://pub-7286888a4a30420ca43a0a3961b944c0.r2.dev/index.html</t>
        </is>
      </c>
      <c r="L1426" s="191" t="inlineStr">
        <is>
          <t>2026-02-23T23:44:47+00:00</t>
        </is>
      </c>
      <c r="M1426" s="191" t="inlineStr">
        <is>
          <t>Block URL</t>
        </is>
      </c>
      <c r="N1426" s="192" t="inlineStr">
        <is>
          <t>http://pub-7286888a4a30420ca43a0a3961b944c0.r2.dev/index.html</t>
        </is>
      </c>
      <c r="O1426" s="191" t="inlineStr">
        <is>
          <t>Block phishing URL | Warn users about pub-7286888a4a30420ca43a0a3961b944c0.r2.dev impersonation</t>
        </is>
      </c>
      <c r="P1426" s="191" t="inlineStr">
        <is>
          <t>Email users / pub-7286888a4a30420ca43a0a3961b944c0.r2.dev</t>
        </is>
      </c>
      <c r="Q1426" s="191" t="inlineStr">
        <is>
          <t>P4</t>
        </is>
      </c>
      <c r="R1426" s="191" t="inlineStr">
        <is>
          <t>🚫 Block URLs in web proxy/firewall | 📧 Update email security filters | 👥 User awareness training recommended</t>
        </is>
      </c>
      <c r="S1426" s="191" t="inlineStr">
        <is>
          <t>Phishing URL</t>
        </is>
      </c>
      <c r="T1426" s="191" t="n">
        <v>0</v>
      </c>
      <c r="U1426" s="191" t="n">
        <v>0</v>
      </c>
      <c r="V1426" s="191" t="inlineStr">
        <is>
          <t>T1566:Phishing | T1566.002:Spearphishing Link</t>
        </is>
      </c>
      <c r="W1426" s="191" t="n">
        <v>1</v>
      </c>
      <c r="X1426" s="191" t="inlineStr">
        <is>
          <t>LOW (40%)</t>
        </is>
      </c>
      <c r="Y1426" s="191" t="inlineStr">
        <is>
          <t>NONE</t>
        </is>
      </c>
      <c r="Z1426" s="191" t="inlineStr">
        <is>
          <t>NONE</t>
        </is>
      </c>
      <c r="AA1426" s="192" t="inlineStr">
        <is>
          <t>http://pub-7286888a4a30420ca43a0a3961b944c0.r2.dev/index.html</t>
        </is>
      </c>
      <c r="AB1426" s="191" t="inlineStr">
        <is>
          <t>NONE</t>
        </is>
      </c>
      <c r="AC1426" s="191" t="n">
        <v>0</v>
      </c>
      <c r="AD1426" s="191" t="n"/>
    </row>
    <row r="1427">
      <c r="A1427" s="191" t="inlineStr">
        <is>
          <t>PHISH</t>
        </is>
      </c>
      <c r="B1427" s="191" t="n"/>
      <c r="C1427" s="191" t="inlineStr">
        <is>
          <t>Phishing site targeting: notafakedomain.org | URL: https://notafakedomain.org/landing/form/a3227ad0-60e6-45a7-ad36-90be3bfb0da8</t>
        </is>
      </c>
      <c r="D1427" s="191" t="n">
        <v>6</v>
      </c>
      <c r="E1427" s="191" t="inlineStr">
        <is>
          <t>MEDIUM</t>
        </is>
      </c>
      <c r="F1427" s="191" t="n">
        <v>3</v>
      </c>
      <c r="G1427" s="191" t="n">
        <v>1</v>
      </c>
      <c r="H1427" s="191" t="inlineStr">
        <is>
          <t>MEDIUM</t>
        </is>
      </c>
      <c r="I1427" s="191" t="n">
        <v>9</v>
      </c>
      <c r="J1427" s="191" t="inlineStr">
        <is>
          <t>NO</t>
        </is>
      </c>
      <c r="K1427" s="192" t="inlineStr">
        <is>
          <t>https://notafakedomain.org/landing/form/a3227ad0-60e6-45a7-ad36-90be3bfb0da8</t>
        </is>
      </c>
      <c r="L1427" s="191" t="inlineStr">
        <is>
          <t>2026-02-23T23:44:47+00:00</t>
        </is>
      </c>
      <c r="M1427" s="191" t="inlineStr">
        <is>
          <t>Block URL</t>
        </is>
      </c>
      <c r="N1427" s="192" t="inlineStr">
        <is>
          <t>https://notafakedomain.org/landing/form/a3227ad0-60e6-45a7-ad36-90be3bfb0da8</t>
        </is>
      </c>
      <c r="O1427" s="191" t="inlineStr">
        <is>
          <t>Block phishing URL | Warn users about notafakedomain.org impersonation</t>
        </is>
      </c>
      <c r="P1427" s="191" t="inlineStr">
        <is>
          <t>Email users / notafakedomain.org</t>
        </is>
      </c>
      <c r="Q1427" s="191" t="inlineStr">
        <is>
          <t>P4</t>
        </is>
      </c>
      <c r="R1427" s="191" t="inlineStr">
        <is>
          <t>🚫 Block URLs in web proxy/firewall | 📧 Update email security filters | 👥 User awareness training recommended</t>
        </is>
      </c>
      <c r="S1427" s="191" t="inlineStr">
        <is>
          <t>Phishing URL</t>
        </is>
      </c>
      <c r="T1427" s="191" t="n">
        <v>0</v>
      </c>
      <c r="U1427" s="191" t="n">
        <v>0</v>
      </c>
      <c r="V1427" s="191" t="inlineStr">
        <is>
          <t>T1566:Phishing | T1566.002:Spearphishing Link</t>
        </is>
      </c>
      <c r="W1427" s="191" t="n">
        <v>1</v>
      </c>
      <c r="X1427" s="191" t="inlineStr">
        <is>
          <t>LOW (40%)</t>
        </is>
      </c>
      <c r="Y1427" s="191" t="inlineStr">
        <is>
          <t>NONE</t>
        </is>
      </c>
      <c r="Z1427" s="191" t="inlineStr">
        <is>
          <t>NONE</t>
        </is>
      </c>
      <c r="AA1427" s="192" t="inlineStr">
        <is>
          <t>https://notafakedomain.org/landing/form/a3227ad0-60e6-45a7-ad36-90be3bfb0da8</t>
        </is>
      </c>
      <c r="AB1427" s="191" t="inlineStr">
        <is>
          <t>NONE</t>
        </is>
      </c>
      <c r="AC1427" s="191" t="n">
        <v>0</v>
      </c>
      <c r="AD1427" s="191" t="n"/>
    </row>
    <row r="1428">
      <c r="A1428" s="191" t="inlineStr">
        <is>
          <t>PHISH</t>
        </is>
      </c>
      <c r="B1428" s="191" t="n"/>
      <c r="C1428" s="191" t="inlineStr">
        <is>
          <t>Phishing site targeting: mdfarhan2550.github.io | URL: https://mdfarhan2550.github.io/amazon-clone/</t>
        </is>
      </c>
      <c r="D1428" s="191" t="n">
        <v>6</v>
      </c>
      <c r="E1428" s="191" t="inlineStr">
        <is>
          <t>MEDIUM</t>
        </is>
      </c>
      <c r="F1428" s="191" t="n">
        <v>3</v>
      </c>
      <c r="G1428" s="191" t="n">
        <v>1</v>
      </c>
      <c r="H1428" s="191" t="inlineStr">
        <is>
          <t>MEDIUM</t>
        </is>
      </c>
      <c r="I1428" s="191" t="n">
        <v>9</v>
      </c>
      <c r="J1428" s="191" t="inlineStr">
        <is>
          <t>NO</t>
        </is>
      </c>
      <c r="K1428" s="192" t="inlineStr">
        <is>
          <t>https://mdfarhan2550.github.io/amazon-clone/</t>
        </is>
      </c>
      <c r="L1428" s="191" t="inlineStr">
        <is>
          <t>2026-02-23T23:44:47+00:00</t>
        </is>
      </c>
      <c r="M1428" s="191" t="inlineStr">
        <is>
          <t>Block URL</t>
        </is>
      </c>
      <c r="N1428" s="192" t="inlineStr">
        <is>
          <t>https://mdfarhan2550.github.io/amazon-clone/</t>
        </is>
      </c>
      <c r="O1428" s="191" t="inlineStr">
        <is>
          <t>Block phishing URL | Warn users about mdfarhan2550.github.io impersonation</t>
        </is>
      </c>
      <c r="P1428" s="191" t="inlineStr">
        <is>
          <t>Email users / mdfarhan2550.github.io</t>
        </is>
      </c>
      <c r="Q1428" s="191" t="inlineStr">
        <is>
          <t>P4</t>
        </is>
      </c>
      <c r="R1428" s="191" t="inlineStr">
        <is>
          <t>🚫 Block URLs in web proxy/firewall | 📧 Update email security filters | 👥 User awareness training recommended</t>
        </is>
      </c>
      <c r="S1428" s="191" t="inlineStr">
        <is>
          <t>Phishing URL</t>
        </is>
      </c>
      <c r="T1428" s="191" t="n">
        <v>0</v>
      </c>
      <c r="U1428" s="191" t="n">
        <v>0</v>
      </c>
      <c r="V1428" s="191" t="inlineStr">
        <is>
          <t>T1566:Phishing | T1566.002:Spearphishing Link</t>
        </is>
      </c>
      <c r="W1428" s="191" t="n">
        <v>1</v>
      </c>
      <c r="X1428" s="191" t="inlineStr">
        <is>
          <t>LOW (40%)</t>
        </is>
      </c>
      <c r="Y1428" s="191" t="inlineStr">
        <is>
          <t>NONE</t>
        </is>
      </c>
      <c r="Z1428" s="191" t="inlineStr">
        <is>
          <t>NONE</t>
        </is>
      </c>
      <c r="AA1428" s="192" t="inlineStr">
        <is>
          <t>https://mdfarhan2550.github.io/amazon-clone/</t>
        </is>
      </c>
      <c r="AB1428" s="191" t="inlineStr">
        <is>
          <t>NONE</t>
        </is>
      </c>
      <c r="AC1428" s="191" t="n">
        <v>0</v>
      </c>
      <c r="AD1428" s="191" t="n"/>
    </row>
    <row r="1429">
      <c r="A1429" s="191" t="inlineStr">
        <is>
          <t>PHISH</t>
        </is>
      </c>
      <c r="B1429" s="191" t="n"/>
      <c r="C1429" s="191" t="inlineStr">
        <is>
          <t>Phishing site targeting: gigorup.com | URL: https://gigorup.com/Slcmu/</t>
        </is>
      </c>
      <c r="D1429" s="191" t="n">
        <v>6</v>
      </c>
      <c r="E1429" s="191" t="inlineStr">
        <is>
          <t>MEDIUM</t>
        </is>
      </c>
      <c r="F1429" s="191" t="n">
        <v>3</v>
      </c>
      <c r="G1429" s="191" t="n">
        <v>1</v>
      </c>
      <c r="H1429" s="191" t="inlineStr">
        <is>
          <t>MEDIUM</t>
        </is>
      </c>
      <c r="I1429" s="191" t="n">
        <v>9</v>
      </c>
      <c r="J1429" s="191" t="inlineStr">
        <is>
          <t>NO</t>
        </is>
      </c>
      <c r="K1429" s="192" t="inlineStr">
        <is>
          <t>https://gigorup.com/Slcmu/</t>
        </is>
      </c>
      <c r="L1429" s="191" t="inlineStr">
        <is>
          <t>2026-02-23T23:44:47+00:00</t>
        </is>
      </c>
      <c r="M1429" s="191" t="inlineStr">
        <is>
          <t>Block URL</t>
        </is>
      </c>
      <c r="N1429" s="192" t="inlineStr">
        <is>
          <t>https://gigorup.com/Slcmu/</t>
        </is>
      </c>
      <c r="O1429" s="191" t="inlineStr">
        <is>
          <t>Block phishing URL | Warn users about gigorup.com impersonation</t>
        </is>
      </c>
      <c r="P1429" s="191" t="inlineStr">
        <is>
          <t>Email users / gigorup.com</t>
        </is>
      </c>
      <c r="Q1429" s="191" t="inlineStr">
        <is>
          <t>P4</t>
        </is>
      </c>
      <c r="R1429" s="191" t="inlineStr">
        <is>
          <t>🚫 Block URLs in web proxy/firewall | 📧 Update email security filters | 👥 User awareness training recommended</t>
        </is>
      </c>
      <c r="S1429" s="191" t="inlineStr">
        <is>
          <t>Phishing URL</t>
        </is>
      </c>
      <c r="T1429" s="191" t="n">
        <v>0</v>
      </c>
      <c r="U1429" s="191" t="n">
        <v>0</v>
      </c>
      <c r="V1429" s="191" t="inlineStr">
        <is>
          <t>T1566:Phishing | T1566.002:Spearphishing Link</t>
        </is>
      </c>
      <c r="W1429" s="191" t="n">
        <v>1</v>
      </c>
      <c r="X1429" s="191" t="inlineStr">
        <is>
          <t>LOW (40%)</t>
        </is>
      </c>
      <c r="Y1429" s="191" t="inlineStr">
        <is>
          <t>NONE</t>
        </is>
      </c>
      <c r="Z1429" s="191" t="inlineStr">
        <is>
          <t>NONE</t>
        </is>
      </c>
      <c r="AA1429" s="192" t="inlineStr">
        <is>
          <t>https://gigorup.com/Slcmu/</t>
        </is>
      </c>
      <c r="AB1429" s="191" t="inlineStr">
        <is>
          <t>NONE</t>
        </is>
      </c>
      <c r="AC1429" s="191" t="n">
        <v>0</v>
      </c>
      <c r="AD1429" s="191" t="n"/>
    </row>
    <row r="1430">
      <c r="A1430" s="191" t="inlineStr">
        <is>
          <t>PHISH</t>
        </is>
      </c>
      <c r="B1430" s="191" t="n"/>
      <c r="C1430" s="191" t="inlineStr">
        <is>
          <t>Phishing site targeting: www.rnicrosoft-exchange.com | URL: https://www.rnicrosoft-exchange.com/terms-info@antiphishing.ch.html</t>
        </is>
      </c>
      <c r="D1430" s="191" t="n">
        <v>6</v>
      </c>
      <c r="E1430" s="191" t="inlineStr">
        <is>
          <t>MEDIUM</t>
        </is>
      </c>
      <c r="F1430" s="191" t="n">
        <v>3</v>
      </c>
      <c r="G1430" s="191" t="n">
        <v>1</v>
      </c>
      <c r="H1430" s="191" t="inlineStr">
        <is>
          <t>MEDIUM</t>
        </is>
      </c>
      <c r="I1430" s="191" t="n">
        <v>9</v>
      </c>
      <c r="J1430" s="191" t="inlineStr">
        <is>
          <t>NO</t>
        </is>
      </c>
      <c r="K1430" s="192" t="inlineStr">
        <is>
          <t>https://www.rnicrosoft-exchange.com/terms-info@antiphishing.ch.html</t>
        </is>
      </c>
      <c r="L1430" s="191" t="inlineStr">
        <is>
          <t>2026-02-23T23:44:47+00:00</t>
        </is>
      </c>
      <c r="M1430" s="191" t="inlineStr">
        <is>
          <t>Block URL</t>
        </is>
      </c>
      <c r="N1430" s="192" t="inlineStr">
        <is>
          <t>https://www.rnicrosoft-exchange.com/terms-info@antiphishing.ch.html</t>
        </is>
      </c>
      <c r="O1430" s="191" t="inlineStr">
        <is>
          <t>Block phishing URL | Warn users about www.rnicrosoft-exchange.com impersonation</t>
        </is>
      </c>
      <c r="P1430" s="191" t="inlineStr">
        <is>
          <t>Email users / www.rnicrosoft-exchange.com</t>
        </is>
      </c>
      <c r="Q1430" s="191" t="inlineStr">
        <is>
          <t>P4</t>
        </is>
      </c>
      <c r="R1430" s="191" t="inlineStr">
        <is>
          <t>🚫 Block URLs in web proxy/firewall | 📧 Update email security filters | 👥 User awareness training recommended</t>
        </is>
      </c>
      <c r="S1430" s="191" t="inlineStr">
        <is>
          <t>Phishing URL</t>
        </is>
      </c>
      <c r="T1430" s="191" t="n">
        <v>0</v>
      </c>
      <c r="U1430" s="191" t="n">
        <v>0</v>
      </c>
      <c r="V1430" s="191" t="inlineStr">
        <is>
          <t>T1566:Phishing | T1566.002:Spearphishing Link</t>
        </is>
      </c>
      <c r="W1430" s="191" t="n">
        <v>1</v>
      </c>
      <c r="X1430" s="191" t="inlineStr">
        <is>
          <t>LOW (40%)</t>
        </is>
      </c>
      <c r="Y1430" s="191" t="inlineStr">
        <is>
          <t>NONE</t>
        </is>
      </c>
      <c r="Z1430" s="191" t="inlineStr">
        <is>
          <t>NONE</t>
        </is>
      </c>
      <c r="AA1430" s="192" t="inlineStr">
        <is>
          <t>https://www.rnicrosoft-exchange.com/terms-info@antiphishing.ch.html</t>
        </is>
      </c>
      <c r="AB1430" s="191" t="inlineStr">
        <is>
          <t>NONE</t>
        </is>
      </c>
      <c r="AC1430" s="191" t="n">
        <v>0</v>
      </c>
      <c r="AD1430" s="191" t="n"/>
    </row>
    <row r="1431">
      <c r="A1431" s="191" t="inlineStr">
        <is>
          <t>PHISH</t>
        </is>
      </c>
      <c r="B1431" s="191" t="n"/>
      <c r="C1431" s="191" t="inlineStr">
        <is>
          <t>Phishing site targeting: www.rnicrosoft-exchange.com | URL: https://www.rnicrosoft-exchange.com/terms-info@admin.ch.html</t>
        </is>
      </c>
      <c r="D1431" s="191" t="n">
        <v>6</v>
      </c>
      <c r="E1431" s="191" t="inlineStr">
        <is>
          <t>MEDIUM</t>
        </is>
      </c>
      <c r="F1431" s="191" t="n">
        <v>3</v>
      </c>
      <c r="G1431" s="191" t="n">
        <v>1</v>
      </c>
      <c r="H1431" s="191" t="inlineStr">
        <is>
          <t>MEDIUM</t>
        </is>
      </c>
      <c r="I1431" s="191" t="n">
        <v>9</v>
      </c>
      <c r="J1431" s="191" t="inlineStr">
        <is>
          <t>NO</t>
        </is>
      </c>
      <c r="K1431" s="192" t="inlineStr">
        <is>
          <t>https://www.rnicrosoft-exchange.com/terms-info@admin.ch.html</t>
        </is>
      </c>
      <c r="L1431" s="191" t="inlineStr">
        <is>
          <t>2026-02-23T23:44:47+00:00</t>
        </is>
      </c>
      <c r="M1431" s="191" t="inlineStr">
        <is>
          <t>Block URL</t>
        </is>
      </c>
      <c r="N1431" s="192" t="inlineStr">
        <is>
          <t>https://www.rnicrosoft-exchange.com/terms-info@admin.ch.html</t>
        </is>
      </c>
      <c r="O1431" s="191" t="inlineStr">
        <is>
          <t>Block phishing URL | Warn users about www.rnicrosoft-exchange.com impersonation</t>
        </is>
      </c>
      <c r="P1431" s="191" t="inlineStr">
        <is>
          <t>Email users / www.rnicrosoft-exchange.com</t>
        </is>
      </c>
      <c r="Q1431" s="191" t="inlineStr">
        <is>
          <t>P4</t>
        </is>
      </c>
      <c r="R1431" s="191" t="inlineStr">
        <is>
          <t>🚫 Block URLs in web proxy/firewall | 📧 Update email security filters | 👥 User awareness training recommended</t>
        </is>
      </c>
      <c r="S1431" s="191" t="inlineStr">
        <is>
          <t>Phishing URL</t>
        </is>
      </c>
      <c r="T1431" s="191" t="n">
        <v>0</v>
      </c>
      <c r="U1431" s="191" t="n">
        <v>0</v>
      </c>
      <c r="V1431" s="191" t="inlineStr">
        <is>
          <t>T1566:Phishing | T1566.002:Spearphishing Link</t>
        </is>
      </c>
      <c r="W1431" s="191" t="n">
        <v>1</v>
      </c>
      <c r="X1431" s="191" t="inlineStr">
        <is>
          <t>LOW (40%)</t>
        </is>
      </c>
      <c r="Y1431" s="191" t="inlineStr">
        <is>
          <t>NONE</t>
        </is>
      </c>
      <c r="Z1431" s="191" t="inlineStr">
        <is>
          <t>NONE</t>
        </is>
      </c>
      <c r="AA1431" s="192" t="inlineStr">
        <is>
          <t>https://www.rnicrosoft-exchange.com/terms-info@admin.ch.html</t>
        </is>
      </c>
      <c r="AB1431" s="191" t="inlineStr">
        <is>
          <t>NONE</t>
        </is>
      </c>
      <c r="AC1431" s="191" t="n">
        <v>0</v>
      </c>
      <c r="AD1431" s="191" t="n"/>
    </row>
    <row r="1432">
      <c r="A1432" s="191" t="inlineStr">
        <is>
          <t>PHISH</t>
        </is>
      </c>
      <c r="B1432" s="191" t="n"/>
      <c r="C1432" s="191" t="inlineStr">
        <is>
          <t>Phishing site targeting: hiyaa1501.github.io | URL: https://hiyaa1501.github.io/Amazon-clone/</t>
        </is>
      </c>
      <c r="D1432" s="191" t="n">
        <v>6</v>
      </c>
      <c r="E1432" s="191" t="inlineStr">
        <is>
          <t>MEDIUM</t>
        </is>
      </c>
      <c r="F1432" s="191" t="n">
        <v>3</v>
      </c>
      <c r="G1432" s="191" t="n">
        <v>1</v>
      </c>
      <c r="H1432" s="191" t="inlineStr">
        <is>
          <t>MEDIUM</t>
        </is>
      </c>
      <c r="I1432" s="191" t="n">
        <v>9</v>
      </c>
      <c r="J1432" s="191" t="inlineStr">
        <is>
          <t>NO</t>
        </is>
      </c>
      <c r="K1432" s="192" t="inlineStr">
        <is>
          <t>https://hiyaa1501.github.io/Amazon-clone/</t>
        </is>
      </c>
      <c r="L1432" s="191" t="inlineStr">
        <is>
          <t>2026-02-23T23:44:47+00:00</t>
        </is>
      </c>
      <c r="M1432" s="191" t="inlineStr">
        <is>
          <t>Block URL</t>
        </is>
      </c>
      <c r="N1432" s="192" t="inlineStr">
        <is>
          <t>https://hiyaa1501.github.io/Amazon-clone/</t>
        </is>
      </c>
      <c r="O1432" s="191" t="inlineStr">
        <is>
          <t>Block phishing URL | Warn users about hiyaa1501.github.io impersonation</t>
        </is>
      </c>
      <c r="P1432" s="191" t="inlineStr">
        <is>
          <t>Email users / hiyaa1501.github.io</t>
        </is>
      </c>
      <c r="Q1432" s="191" t="inlineStr">
        <is>
          <t>P4</t>
        </is>
      </c>
      <c r="R1432" s="191" t="inlineStr">
        <is>
          <t>🚫 Block URLs in web proxy/firewall | 📧 Update email security filters | 👥 User awareness training recommended</t>
        </is>
      </c>
      <c r="S1432" s="191" t="inlineStr">
        <is>
          <t>Phishing URL</t>
        </is>
      </c>
      <c r="T1432" s="191" t="n">
        <v>0</v>
      </c>
      <c r="U1432" s="191" t="n">
        <v>0</v>
      </c>
      <c r="V1432" s="191" t="inlineStr">
        <is>
          <t>T1566:Phishing | T1566.002:Spearphishing Link</t>
        </is>
      </c>
      <c r="W1432" s="191" t="n">
        <v>1</v>
      </c>
      <c r="X1432" s="191" t="inlineStr">
        <is>
          <t>LOW (40%)</t>
        </is>
      </c>
      <c r="Y1432" s="191" t="inlineStr">
        <is>
          <t>NONE</t>
        </is>
      </c>
      <c r="Z1432" s="191" t="inlineStr">
        <is>
          <t>NONE</t>
        </is>
      </c>
      <c r="AA1432" s="192" t="inlineStr">
        <is>
          <t>https://hiyaa1501.github.io/Amazon-clone/</t>
        </is>
      </c>
      <c r="AB1432" s="191" t="inlineStr">
        <is>
          <t>NONE</t>
        </is>
      </c>
      <c r="AC1432" s="191" t="n">
        <v>0</v>
      </c>
      <c r="AD1432" s="191" t="n"/>
    </row>
    <row r="1433">
      <c r="A1433" s="191" t="inlineStr">
        <is>
          <t>PHISH</t>
        </is>
      </c>
      <c r="B1433" s="191" t="n"/>
      <c r="C1433" s="191" t="inlineStr">
        <is>
          <t>Phishing site targeting: glistening-platypus-505378.netlify.app | URL: https://glistening-platypus-505378.netlify.app/</t>
        </is>
      </c>
      <c r="D1433" s="191" t="n">
        <v>6</v>
      </c>
      <c r="E1433" s="191" t="inlineStr">
        <is>
          <t>MEDIUM</t>
        </is>
      </c>
      <c r="F1433" s="191" t="n">
        <v>3</v>
      </c>
      <c r="G1433" s="191" t="n">
        <v>1</v>
      </c>
      <c r="H1433" s="191" t="inlineStr">
        <is>
          <t>MEDIUM</t>
        </is>
      </c>
      <c r="I1433" s="191" t="n">
        <v>9</v>
      </c>
      <c r="J1433" s="191" t="inlineStr">
        <is>
          <t>NO</t>
        </is>
      </c>
      <c r="K1433" s="192" t="inlineStr">
        <is>
          <t>https://glistening-platypus-505378.netlify.app/</t>
        </is>
      </c>
      <c r="L1433" s="191" t="inlineStr">
        <is>
          <t>2026-02-23T23:44:47+00:00</t>
        </is>
      </c>
      <c r="M1433" s="191" t="inlineStr">
        <is>
          <t>Block URL</t>
        </is>
      </c>
      <c r="N1433" s="192" t="inlineStr">
        <is>
          <t>https://glistening-platypus-505378.netlify.app/</t>
        </is>
      </c>
      <c r="O1433" s="191" t="inlineStr">
        <is>
          <t>Block phishing URL | Warn users about glistening-platypus-505378.netlify.app impersonation</t>
        </is>
      </c>
      <c r="P1433" s="191" t="inlineStr">
        <is>
          <t>Email users / glistening-platypus-505378.netlify.app</t>
        </is>
      </c>
      <c r="Q1433" s="191" t="inlineStr">
        <is>
          <t>P4</t>
        </is>
      </c>
      <c r="R1433" s="191" t="inlineStr">
        <is>
          <t>🚫 Block URLs in web proxy/firewall | 📧 Update email security filters | 👥 User awareness training recommended</t>
        </is>
      </c>
      <c r="S1433" s="191" t="inlineStr">
        <is>
          <t>Phishing URL</t>
        </is>
      </c>
      <c r="T1433" s="191" t="n">
        <v>0</v>
      </c>
      <c r="U1433" s="191" t="n">
        <v>0</v>
      </c>
      <c r="V1433" s="191" t="inlineStr">
        <is>
          <t>T1566:Phishing | T1566.002:Spearphishing Link</t>
        </is>
      </c>
      <c r="W1433" s="191" t="n">
        <v>1</v>
      </c>
      <c r="X1433" s="191" t="inlineStr">
        <is>
          <t>LOW (40%)</t>
        </is>
      </c>
      <c r="Y1433" s="191" t="inlineStr">
        <is>
          <t>NONE</t>
        </is>
      </c>
      <c r="Z1433" s="191" t="inlineStr">
        <is>
          <t>NONE</t>
        </is>
      </c>
      <c r="AA1433" s="192" t="inlineStr">
        <is>
          <t>https://glistening-platypus-505378.netlify.app/</t>
        </is>
      </c>
      <c r="AB1433" s="191" t="inlineStr">
        <is>
          <t>NONE</t>
        </is>
      </c>
      <c r="AC1433" s="191" t="n">
        <v>0</v>
      </c>
      <c r="AD1433" s="191" t="n"/>
    </row>
    <row r="1434">
      <c r="A1434" s="191" t="inlineStr">
        <is>
          <t>PHISH</t>
        </is>
      </c>
      <c r="B1434" s="191" t="n"/>
      <c r="C1434" s="191" t="inlineStr">
        <is>
          <t>Phishing site targeting: 699a26ca1eae9cec8700576e--glistening-platypus-505378.netlify.app | URL: https://699a26ca1eae9cec8700576e--glistening-platypus-505378.netlify.app/</t>
        </is>
      </c>
      <c r="D1434" s="191" t="n">
        <v>6</v>
      </c>
      <c r="E1434" s="191" t="inlineStr">
        <is>
          <t>MEDIUM</t>
        </is>
      </c>
      <c r="F1434" s="191" t="n">
        <v>3</v>
      </c>
      <c r="G1434" s="191" t="n">
        <v>1</v>
      </c>
      <c r="H1434" s="191" t="inlineStr">
        <is>
          <t>MEDIUM</t>
        </is>
      </c>
      <c r="I1434" s="191" t="n">
        <v>9</v>
      </c>
      <c r="J1434" s="191" t="inlineStr">
        <is>
          <t>NO</t>
        </is>
      </c>
      <c r="K1434" s="192" t="inlineStr">
        <is>
          <t>https://699a26ca1eae9cec8700576e--glistening-platypus-505378.netlify.app/</t>
        </is>
      </c>
      <c r="L1434" s="191" t="inlineStr">
        <is>
          <t>2026-02-23T23:44:47+00:00</t>
        </is>
      </c>
      <c r="M1434" s="191" t="inlineStr">
        <is>
          <t>Block URL</t>
        </is>
      </c>
      <c r="N1434" s="192" t="inlineStr">
        <is>
          <t>https://699a26ca1eae9cec8700576e--glistening-platypus-505378.netlify.app/</t>
        </is>
      </c>
      <c r="O1434" s="191" t="inlineStr">
        <is>
          <t>Block phishing URL | Warn users about 699a26ca1eae9cec8700576e--glistening-platypus-505378.netlify.app impersonation</t>
        </is>
      </c>
      <c r="P1434" s="191" t="inlineStr">
        <is>
          <t>Email users / 699a26ca1eae9cec8700576e--glistening-platypus-505378.netlify.app</t>
        </is>
      </c>
      <c r="Q1434" s="191" t="inlineStr">
        <is>
          <t>P4</t>
        </is>
      </c>
      <c r="R1434" s="191" t="inlineStr">
        <is>
          <t>🚫 Block URLs in web proxy/firewall | 📧 Update email security filters | 👥 User awareness training recommended</t>
        </is>
      </c>
      <c r="S1434" s="191" t="inlineStr">
        <is>
          <t>Phishing URL</t>
        </is>
      </c>
      <c r="T1434" s="191" t="n">
        <v>0</v>
      </c>
      <c r="U1434" s="191" t="n">
        <v>0</v>
      </c>
      <c r="V1434" s="191" t="inlineStr">
        <is>
          <t>T1566:Phishing | T1566.002:Spearphishing Link</t>
        </is>
      </c>
      <c r="W1434" s="191" t="n">
        <v>1</v>
      </c>
      <c r="X1434" s="191" t="inlineStr">
        <is>
          <t>LOW (40%)</t>
        </is>
      </c>
      <c r="Y1434" s="191" t="inlineStr">
        <is>
          <t>NONE</t>
        </is>
      </c>
      <c r="Z1434" s="191" t="inlineStr">
        <is>
          <t>NONE</t>
        </is>
      </c>
      <c r="AA1434" s="192" t="inlineStr">
        <is>
          <t>https://699a26ca1eae9cec8700576e--glistening-platypus-505378.netlify.app/</t>
        </is>
      </c>
      <c r="AB1434" s="191" t="inlineStr">
        <is>
          <t>NONE</t>
        </is>
      </c>
      <c r="AC1434" s="191" t="n">
        <v>0</v>
      </c>
      <c r="AD1434" s="191" t="n"/>
    </row>
    <row r="1435">
      <c r="A1435" s="191" t="inlineStr">
        <is>
          <t>PHISH</t>
        </is>
      </c>
      <c r="B1435" s="191" t="n"/>
      <c r="C1435" s="191" t="inlineStr">
        <is>
          <t>Phishing site targeting: slippy0.github.io | URL: https://slippy0.github.io/login-verification/</t>
        </is>
      </c>
      <c r="D1435" s="191" t="n">
        <v>6</v>
      </c>
      <c r="E1435" s="191" t="inlineStr">
        <is>
          <t>MEDIUM</t>
        </is>
      </c>
      <c r="F1435" s="191" t="n">
        <v>3</v>
      </c>
      <c r="G1435" s="191" t="n">
        <v>1</v>
      </c>
      <c r="H1435" s="191" t="inlineStr">
        <is>
          <t>MEDIUM</t>
        </is>
      </c>
      <c r="I1435" s="191" t="n">
        <v>9</v>
      </c>
      <c r="J1435" s="191" t="inlineStr">
        <is>
          <t>NO</t>
        </is>
      </c>
      <c r="K1435" s="192" t="inlineStr">
        <is>
          <t>https://slippy0.github.io/login-verification/</t>
        </is>
      </c>
      <c r="L1435" s="191" t="inlineStr">
        <is>
          <t>2026-02-23T23:44:47+00:00</t>
        </is>
      </c>
      <c r="M1435" s="191" t="inlineStr">
        <is>
          <t>Block URL</t>
        </is>
      </c>
      <c r="N1435" s="192" t="inlineStr">
        <is>
          <t>https://slippy0.github.io/login-verification/</t>
        </is>
      </c>
      <c r="O1435" s="191" t="inlineStr">
        <is>
          <t>Block phishing URL | Warn users about slippy0.github.io impersonation</t>
        </is>
      </c>
      <c r="P1435" s="191" t="inlineStr">
        <is>
          <t>Email users / slippy0.github.io</t>
        </is>
      </c>
      <c r="Q1435" s="191" t="inlineStr">
        <is>
          <t>P4</t>
        </is>
      </c>
      <c r="R1435" s="191" t="inlineStr">
        <is>
          <t>🚫 Block URLs in web proxy/firewall | 📧 Update email security filters | 👥 User awareness training recommended</t>
        </is>
      </c>
      <c r="S1435" s="191" t="inlineStr">
        <is>
          <t>Phishing URL</t>
        </is>
      </c>
      <c r="T1435" s="191" t="n">
        <v>0</v>
      </c>
      <c r="U1435" s="191" t="n">
        <v>0</v>
      </c>
      <c r="V1435" s="191" t="inlineStr">
        <is>
          <t>T1566:Phishing | T1566.002:Spearphishing Link</t>
        </is>
      </c>
      <c r="W1435" s="191" t="n">
        <v>1</v>
      </c>
      <c r="X1435" s="191" t="inlineStr">
        <is>
          <t>LOW (40%)</t>
        </is>
      </c>
      <c r="Y1435" s="191" t="inlineStr">
        <is>
          <t>NONE</t>
        </is>
      </c>
      <c r="Z1435" s="191" t="inlineStr">
        <is>
          <t>NONE</t>
        </is>
      </c>
      <c r="AA1435" s="192" t="inlineStr">
        <is>
          <t>https://slippy0.github.io/login-verification/</t>
        </is>
      </c>
      <c r="AB1435" s="191" t="inlineStr">
        <is>
          <t>NONE</t>
        </is>
      </c>
      <c r="AC1435" s="191" t="n">
        <v>0</v>
      </c>
      <c r="AD1435" s="191" t="n"/>
    </row>
    <row r="1436">
      <c r="A1436" s="191" t="inlineStr">
        <is>
          <t>PHISH</t>
        </is>
      </c>
      <c r="B1436" s="191" t="n"/>
      <c r="C1436" s="191" t="inlineStr">
        <is>
          <t>Phishing site targeting: one.link | URL: https://one.link/kalashnikprod/</t>
        </is>
      </c>
      <c r="D1436" s="191" t="n">
        <v>6</v>
      </c>
      <c r="E1436" s="191" t="inlineStr">
        <is>
          <t>MEDIUM</t>
        </is>
      </c>
      <c r="F1436" s="191" t="n">
        <v>3</v>
      </c>
      <c r="G1436" s="191" t="n">
        <v>1</v>
      </c>
      <c r="H1436" s="191" t="inlineStr">
        <is>
          <t>MEDIUM</t>
        </is>
      </c>
      <c r="I1436" s="191" t="n">
        <v>9</v>
      </c>
      <c r="J1436" s="191" t="inlineStr">
        <is>
          <t>NO</t>
        </is>
      </c>
      <c r="K1436" s="192" t="inlineStr">
        <is>
          <t>https://one.link/kalashnikprod/</t>
        </is>
      </c>
      <c r="L1436" s="191" t="inlineStr">
        <is>
          <t>2026-02-23T23:44:47+00:00</t>
        </is>
      </c>
      <c r="M1436" s="191" t="inlineStr">
        <is>
          <t>Block URL</t>
        </is>
      </c>
      <c r="N1436" s="192" t="inlineStr">
        <is>
          <t>https://one.link/kalashnikprod/</t>
        </is>
      </c>
      <c r="O1436" s="191" t="inlineStr">
        <is>
          <t>Block phishing URL | Warn users about one.link impersonation</t>
        </is>
      </c>
      <c r="P1436" s="191" t="inlineStr">
        <is>
          <t>Email users / one.link</t>
        </is>
      </c>
      <c r="Q1436" s="191" t="inlineStr">
        <is>
          <t>P4</t>
        </is>
      </c>
      <c r="R1436" s="191" t="inlineStr">
        <is>
          <t>🚫 Block URLs in web proxy/firewall | 📧 Update email security filters | 👥 User awareness training recommended</t>
        </is>
      </c>
      <c r="S1436" s="191" t="inlineStr">
        <is>
          <t>Phishing URL</t>
        </is>
      </c>
      <c r="T1436" s="191" t="n">
        <v>0</v>
      </c>
      <c r="U1436" s="191" t="n">
        <v>0</v>
      </c>
      <c r="V1436" s="191" t="inlineStr">
        <is>
          <t>T1566:Phishing | T1566.002:Spearphishing Link</t>
        </is>
      </c>
      <c r="W1436" s="191" t="n">
        <v>1</v>
      </c>
      <c r="X1436" s="191" t="inlineStr">
        <is>
          <t>LOW (40%)</t>
        </is>
      </c>
      <c r="Y1436" s="191" t="inlineStr">
        <is>
          <t>NONE</t>
        </is>
      </c>
      <c r="Z1436" s="191" t="inlineStr">
        <is>
          <t>NONE</t>
        </is>
      </c>
      <c r="AA1436" s="192" t="inlineStr">
        <is>
          <t>https://one.link/kalashnikprod/</t>
        </is>
      </c>
      <c r="AB1436" s="191" t="inlineStr">
        <is>
          <t>NONE</t>
        </is>
      </c>
      <c r="AC1436" s="191" t="n">
        <v>0</v>
      </c>
      <c r="AD1436" s="191" t="n"/>
    </row>
    <row r="1437">
      <c r="A1437" s="191" t="inlineStr">
        <is>
          <t>PHISH</t>
        </is>
      </c>
      <c r="B1437" s="191" t="n"/>
      <c r="C1437" s="191" t="inlineStr">
        <is>
          <t>Phishing site targeting: roblox.com.py | URL: https://roblox.com.py/users/138990910/profile</t>
        </is>
      </c>
      <c r="D1437" s="191" t="n">
        <v>6</v>
      </c>
      <c r="E1437" s="191" t="inlineStr">
        <is>
          <t>MEDIUM</t>
        </is>
      </c>
      <c r="F1437" s="191" t="n">
        <v>3</v>
      </c>
      <c r="G1437" s="191" t="n">
        <v>1</v>
      </c>
      <c r="H1437" s="191" t="inlineStr">
        <is>
          <t>MEDIUM</t>
        </is>
      </c>
      <c r="I1437" s="191" t="n">
        <v>9</v>
      </c>
      <c r="J1437" s="191" t="inlineStr">
        <is>
          <t>NO</t>
        </is>
      </c>
      <c r="K1437" s="192" t="inlineStr">
        <is>
          <t>https://roblox.com.py/users/138990910/profile</t>
        </is>
      </c>
      <c r="L1437" s="191" t="inlineStr">
        <is>
          <t>2026-02-23T23:44:47+00:00</t>
        </is>
      </c>
      <c r="M1437" s="191" t="inlineStr">
        <is>
          <t>Block URL</t>
        </is>
      </c>
      <c r="N1437" s="192" t="inlineStr">
        <is>
          <t>https://roblox.com.py/users/138990910/profile</t>
        </is>
      </c>
      <c r="O1437" s="191" t="inlineStr">
        <is>
          <t>Block phishing URL | Warn users about roblox.com.py impersonation</t>
        </is>
      </c>
      <c r="P1437" s="191" t="inlineStr">
        <is>
          <t>Email users / roblox.com.py</t>
        </is>
      </c>
      <c r="Q1437" s="191" t="inlineStr">
        <is>
          <t>P4</t>
        </is>
      </c>
      <c r="R1437" s="191" t="inlineStr">
        <is>
          <t>🚫 Block URLs in web proxy/firewall | 📧 Update email security filters | 👥 User awareness training recommended</t>
        </is>
      </c>
      <c r="S1437" s="191" t="inlineStr">
        <is>
          <t>Phishing URL</t>
        </is>
      </c>
      <c r="T1437" s="191" t="n">
        <v>0</v>
      </c>
      <c r="U1437" s="191" t="n">
        <v>0</v>
      </c>
      <c r="V1437" s="191" t="inlineStr">
        <is>
          <t>T1566:Phishing | T1566.002:Spearphishing Link</t>
        </is>
      </c>
      <c r="W1437" s="191" t="n">
        <v>1</v>
      </c>
      <c r="X1437" s="191" t="inlineStr">
        <is>
          <t>LOW (40%)</t>
        </is>
      </c>
      <c r="Y1437" s="191" t="inlineStr">
        <is>
          <t>NONE</t>
        </is>
      </c>
      <c r="Z1437" s="191" t="inlineStr">
        <is>
          <t>NONE</t>
        </is>
      </c>
      <c r="AA1437" s="192" t="inlineStr">
        <is>
          <t>https://roblox.com.py/users/138990910/profile</t>
        </is>
      </c>
      <c r="AB1437" s="191" t="inlineStr">
        <is>
          <t>NONE</t>
        </is>
      </c>
      <c r="AC1437" s="191" t="n">
        <v>0</v>
      </c>
      <c r="AD1437" s="191" t="n"/>
    </row>
    <row r="1438">
      <c r="A1438" s="191" t="inlineStr">
        <is>
          <t>PHISH</t>
        </is>
      </c>
      <c r="B1438" s="191" t="n"/>
      <c r="C1438" s="191" t="inlineStr">
        <is>
          <t>Phishing site targeting: roblox.com.ge | URL: https://roblox.com.ge/games/17812058042/Very-dirty?privateServerLinkCode=59503397180471389350351663796083</t>
        </is>
      </c>
      <c r="D1438" s="191" t="n">
        <v>6</v>
      </c>
      <c r="E1438" s="191" t="inlineStr">
        <is>
          <t>MEDIUM</t>
        </is>
      </c>
      <c r="F1438" s="191" t="n">
        <v>3</v>
      </c>
      <c r="G1438" s="191" t="n">
        <v>1</v>
      </c>
      <c r="H1438" s="191" t="inlineStr">
        <is>
          <t>MEDIUM</t>
        </is>
      </c>
      <c r="I1438" s="191" t="n">
        <v>9</v>
      </c>
      <c r="J1438" s="191" t="inlineStr">
        <is>
          <t>NO</t>
        </is>
      </c>
      <c r="K1438" s="192" t="inlineStr">
        <is>
          <t>https://roblox.com.ge/games/17812058042/Very-dirty?privateServerLinkCode=59503397180471389350351663796083</t>
        </is>
      </c>
      <c r="L1438" s="191" t="inlineStr">
        <is>
          <t>2026-02-23T23:44:47+00:00</t>
        </is>
      </c>
      <c r="M1438" s="191" t="inlineStr">
        <is>
          <t>Block URL</t>
        </is>
      </c>
      <c r="N1438" s="192" t="inlineStr">
        <is>
          <t>https://roblox.com.ge/games/17812058042/Very-dirty?privateServerLinkCode=59503397180471389350351663796083</t>
        </is>
      </c>
      <c r="O1438" s="191" t="inlineStr">
        <is>
          <t>Block phishing URL | Warn users about roblox.com.ge impersonation</t>
        </is>
      </c>
      <c r="P1438" s="191" t="inlineStr">
        <is>
          <t>Email users / roblox.com.ge</t>
        </is>
      </c>
      <c r="Q1438" s="191" t="inlineStr">
        <is>
          <t>P4</t>
        </is>
      </c>
      <c r="R1438" s="191" t="inlineStr">
        <is>
          <t>🚫 Block URLs in web proxy/firewall | 📧 Update email security filters | 👥 User awareness training recommended</t>
        </is>
      </c>
      <c r="S1438" s="191" t="inlineStr">
        <is>
          <t>Phishing URL</t>
        </is>
      </c>
      <c r="T1438" s="191" t="n">
        <v>0</v>
      </c>
      <c r="U1438" s="191" t="n">
        <v>0</v>
      </c>
      <c r="V1438" s="191" t="inlineStr">
        <is>
          <t>T1566:Phishing | T1566.002:Spearphishing Link</t>
        </is>
      </c>
      <c r="W1438" s="191" t="n">
        <v>1</v>
      </c>
      <c r="X1438" s="191" t="inlineStr">
        <is>
          <t>LOW (40%)</t>
        </is>
      </c>
      <c r="Y1438" s="191" t="inlineStr">
        <is>
          <t>NONE</t>
        </is>
      </c>
      <c r="Z1438" s="191" t="inlineStr">
        <is>
          <t>NONE</t>
        </is>
      </c>
      <c r="AA1438" s="192" t="inlineStr">
        <is>
          <t>https://roblox.com.ge/games/17812058042/Very-dirty?privateServerLinkCode=59503397180471389350351663796083</t>
        </is>
      </c>
      <c r="AB1438" s="191" t="inlineStr">
        <is>
          <t>NONE</t>
        </is>
      </c>
      <c r="AC1438" s="191" t="n">
        <v>0</v>
      </c>
      <c r="AD1438" s="191" t="n"/>
    </row>
    <row r="1439">
      <c r="A1439" s="191" t="inlineStr">
        <is>
          <t>PHISH</t>
        </is>
      </c>
      <c r="B1439" s="191" t="n"/>
      <c r="C1439" s="191" t="inlineStr">
        <is>
          <t>Phishing site targeting: faceb000k.duckdns.org | URL: https://faceb000k.duckdns.org/</t>
        </is>
      </c>
      <c r="D1439" s="191" t="n">
        <v>6</v>
      </c>
      <c r="E1439" s="191" t="inlineStr">
        <is>
          <t>MEDIUM</t>
        </is>
      </c>
      <c r="F1439" s="191" t="n">
        <v>3</v>
      </c>
      <c r="G1439" s="191" t="n">
        <v>1</v>
      </c>
      <c r="H1439" s="191" t="inlineStr">
        <is>
          <t>MEDIUM</t>
        </is>
      </c>
      <c r="I1439" s="191" t="n">
        <v>9</v>
      </c>
      <c r="J1439" s="191" t="inlineStr">
        <is>
          <t>NO</t>
        </is>
      </c>
      <c r="K1439" s="192" t="inlineStr">
        <is>
          <t>https://faceb000k.duckdns.org/</t>
        </is>
      </c>
      <c r="L1439" s="191" t="inlineStr">
        <is>
          <t>2026-02-23T23:44:47+00:00</t>
        </is>
      </c>
      <c r="M1439" s="191" t="inlineStr">
        <is>
          <t>Block URL</t>
        </is>
      </c>
      <c r="N1439" s="192" t="inlineStr">
        <is>
          <t>https://faceb000k.duckdns.org/</t>
        </is>
      </c>
      <c r="O1439" s="191" t="inlineStr">
        <is>
          <t>Block phishing URL | Warn users about faceb000k.duckdns.org impersonation</t>
        </is>
      </c>
      <c r="P1439" s="191" t="inlineStr">
        <is>
          <t>Email users / faceb000k.duckdns.org</t>
        </is>
      </c>
      <c r="Q1439" s="191" t="inlineStr">
        <is>
          <t>P4</t>
        </is>
      </c>
      <c r="R1439" s="191" t="inlineStr">
        <is>
          <t>🚫 Block URLs in web proxy/firewall | 📧 Update email security filters | 👥 User awareness training recommended</t>
        </is>
      </c>
      <c r="S1439" s="191" t="inlineStr">
        <is>
          <t>Phishing URL</t>
        </is>
      </c>
      <c r="T1439" s="191" t="n">
        <v>0</v>
      </c>
      <c r="U1439" s="191" t="n">
        <v>0</v>
      </c>
      <c r="V1439" s="191" t="inlineStr">
        <is>
          <t>T1566:Phishing | T1566.002:Spearphishing Link</t>
        </is>
      </c>
      <c r="W1439" s="191" t="n">
        <v>1</v>
      </c>
      <c r="X1439" s="191" t="inlineStr">
        <is>
          <t>LOW (40%)</t>
        </is>
      </c>
      <c r="Y1439" s="191" t="inlineStr">
        <is>
          <t>NONE</t>
        </is>
      </c>
      <c r="Z1439" s="191" t="inlineStr">
        <is>
          <t>NONE</t>
        </is>
      </c>
      <c r="AA1439" s="192" t="inlineStr">
        <is>
          <t>https://faceb000k.duckdns.org/</t>
        </is>
      </c>
      <c r="AB1439" s="191" t="inlineStr">
        <is>
          <t>NONE</t>
        </is>
      </c>
      <c r="AC1439" s="191" t="n">
        <v>0</v>
      </c>
      <c r="AD1439" s="191" t="n"/>
    </row>
    <row r="1440">
      <c r="A1440" s="189" t="inlineStr">
        <is>
          <t>OTX_PULSE</t>
        </is>
      </c>
      <c r="B1440" s="189" t="inlineStr">
        <is>
          <t>689455e11e25236fe810364b</t>
        </is>
      </c>
      <c r="C1440" s="189" t="inlineStr">
        <is>
          <t>Infrastructure of Interest: Medium Confidence Command And Control: These indicators of compromise (IOCs) were identified through LevelBlue Labs' proprietary collection and threat hunting processes, leveraging AI-driven heuristics to detect anomalous patterns, behavioral analysis of malicious activity, and cross-referenced intelligence from endpoint telemetry and external sources. The IOCs included in this pulse are associated with command and control (C2) infrastructure, facilitating malware com</t>
        </is>
      </c>
      <c r="D1440" s="189" t="n">
        <v>7</v>
      </c>
      <c r="E1440" s="189" t="inlineStr">
        <is>
          <t>HIGH</t>
        </is>
      </c>
      <c r="F1440" s="189" t="n">
        <v>3</v>
      </c>
      <c r="G1440" s="189" t="n">
        <v>2</v>
      </c>
      <c r="H1440" s="189" t="inlineStr">
        <is>
          <t>HIGH</t>
        </is>
      </c>
      <c r="I1440" s="189" t="n">
        <v>13</v>
      </c>
      <c r="J1440" s="189" t="inlineStr">
        <is>
          <t>NO</t>
        </is>
      </c>
      <c r="K1440" s="190" t="inlineStr">
        <is>
          <t>https://otx.alienvault.com</t>
        </is>
      </c>
      <c r="L1440" s="189" t="inlineStr">
        <is>
          <t>2025-08-07T07:29:37.542000</t>
        </is>
      </c>
      <c r="M1440" s="189" t="inlineStr">
        <is>
          <t>SEE_PULSE</t>
        </is>
      </c>
      <c r="N1440" s="190" t="inlineStr">
        <is>
          <t>https://otx.alienvault.com</t>
        </is>
      </c>
      <c r="O1440" s="189" t="inlineStr">
        <is>
          <t>Block IOCs from pulse | Review pulse for indicators</t>
        </is>
      </c>
      <c r="P1440" s="189" t="inlineStr">
        <is>
          <t>Various</t>
        </is>
      </c>
      <c r="Q1440" s="189" t="inlineStr">
        <is>
          <t>P3</t>
        </is>
      </c>
      <c r="R1440" s="189" t="inlineStr">
        <is>
          <t>🔍 Investigate and apply appropriate controls</t>
        </is>
      </c>
      <c r="S1440" s="189" t="inlineStr">
        <is>
          <t>OTX Pulse - check IP IOCs separately</t>
        </is>
      </c>
      <c r="T1440" s="189" t="n">
        <v>0</v>
      </c>
      <c r="U1440" s="189" t="n">
        <v>0</v>
      </c>
      <c r="V1440" s="189" t="inlineStr">
        <is>
          <t>See OTX pulse tags</t>
        </is>
      </c>
      <c r="W1440" s="189" t="n">
        <v>1</v>
      </c>
      <c r="X1440" s="189" t="inlineStr">
        <is>
          <t>LOW (40%)</t>
        </is>
      </c>
      <c r="Y1440" s="189" t="inlineStr">
        <is>
          <t>NONE</t>
        </is>
      </c>
      <c r="Z1440" s="189" t="inlineStr">
        <is>
          <t>NONE</t>
        </is>
      </c>
      <c r="AA1440" s="189" t="inlineStr">
        <is>
          <t>NONE</t>
        </is>
      </c>
      <c r="AB1440" s="189" t="inlineStr">
        <is>
          <t>NONE</t>
        </is>
      </c>
      <c r="AC1440" s="189" t="n">
        <v>0</v>
      </c>
      <c r="AD1440" s="189" t="n"/>
    </row>
    <row r="1441">
      <c r="A1441" s="189" t="inlineStr">
        <is>
          <t>OTX_PULSE</t>
        </is>
      </c>
      <c r="B1441" s="189" t="inlineStr">
        <is>
          <t>699c2852f2e41e1678d750b5</t>
        </is>
      </c>
      <c r="C1441" s="189" t="inlineStr">
        <is>
          <t>Operation Olalampo: Inside MuddyWater's Latest Campaign: MuddyWater APT has launched Operation Olalampo, targeting organizations in the MENA region. The campaign involves new malware variants, including a Rust backdoor called CHAR, downloaders GhostFetch and HTTP_VIP, and an advanced backdoor GhostBackDoor. Notably, the group is using Telegram bots for command-and-control, revealing insights into their post-exploitation tactics. The operation, first observed on January 26, 2026, shows tactical a</t>
        </is>
      </c>
      <c r="D1441" s="189" t="n">
        <v>7</v>
      </c>
      <c r="E1441" s="189" t="inlineStr">
        <is>
          <t>HIGH</t>
        </is>
      </c>
      <c r="F1441" s="189" t="n">
        <v>3</v>
      </c>
      <c r="G1441" s="189" t="n">
        <v>2</v>
      </c>
      <c r="H1441" s="189" t="inlineStr">
        <is>
          <t>HIGH</t>
        </is>
      </c>
      <c r="I1441" s="189" t="n">
        <v>13</v>
      </c>
      <c r="J1441" s="189" t="inlineStr">
        <is>
          <t>NO</t>
        </is>
      </c>
      <c r="K1441" s="190" t="inlineStr">
        <is>
          <t>https://www.group-ib.com/blog/muddywater-operation-olalampo/</t>
        </is>
      </c>
      <c r="L1441" s="189" t="inlineStr">
        <is>
          <t>2026-02-23T10:13:38.700000</t>
        </is>
      </c>
      <c r="M1441" s="189" t="inlineStr">
        <is>
          <t>SEE_PULSE</t>
        </is>
      </c>
      <c r="N1441" s="190" t="inlineStr">
        <is>
          <t>https://www.group-ib.com/blog/muddywater-operation-olalampo/</t>
        </is>
      </c>
      <c r="O1441" s="189" t="inlineStr">
        <is>
          <t>Block IOCs from pulse | Review pulse for indicators</t>
        </is>
      </c>
      <c r="P1441" s="189" t="inlineStr">
        <is>
          <t>ghostbackdoor, ai-assisted, operation olalampo, http_vip, rust backdoor, charmpower, telegram bot, post-exploitation, mena, apt, c2, ghostfetch</t>
        </is>
      </c>
      <c r="Q1441" s="189" t="inlineStr">
        <is>
          <t>P3</t>
        </is>
      </c>
      <c r="R1441" s="189" t="inlineStr">
        <is>
          <t>🔍 Investigate and apply appropriate controls</t>
        </is>
      </c>
      <c r="S1441" s="189" t="inlineStr">
        <is>
          <t>OTX Pulse - check IP IOCs separately</t>
        </is>
      </c>
      <c r="T1441" s="189" t="n">
        <v>0</v>
      </c>
      <c r="U1441" s="189" t="n">
        <v>0</v>
      </c>
      <c r="V1441" s="189" t="inlineStr">
        <is>
          <t>See OTX pulse tags</t>
        </is>
      </c>
      <c r="W1441" s="189" t="n">
        <v>1</v>
      </c>
      <c r="X1441" s="189" t="inlineStr">
        <is>
          <t>LOW (40%)</t>
        </is>
      </c>
      <c r="Y1441" s="189" t="inlineStr">
        <is>
          <t>NONE</t>
        </is>
      </c>
      <c r="Z1441" s="189" t="inlineStr">
        <is>
          <t>NONE</t>
        </is>
      </c>
      <c r="AA1441" s="189" t="inlineStr">
        <is>
          <t>NONE</t>
        </is>
      </c>
      <c r="AB1441" s="189" t="inlineStr">
        <is>
          <t>NONE</t>
        </is>
      </c>
      <c r="AC1441" s="189" t="n">
        <v>0</v>
      </c>
      <c r="AD1441" s="189" t="n"/>
    </row>
    <row r="1442">
      <c r="A1442" s="189" t="inlineStr">
        <is>
          <t>OTX_PULSE</t>
        </is>
      </c>
      <c r="B1442" s="189" t="inlineStr">
        <is>
          <t>699c26263923e786afff5330</t>
        </is>
      </c>
      <c r="C1442" s="189" t="inlineStr">
        <is>
          <t>SANDWORM_MODE: Shai-Hulud-Style npm Worm Hijacks CI Workflows and Poisons AI Toolchains: An active supply chain worm campaign, dubbed SANDWORM_MODE, is spreading through typosquatting and AI toolchain poisoning across at least 19 malicious npm packages. The worm exhibits Shai-Hulud characteristics, incorporating GitHub API exfiltration with DNS fallback, hook-based persistence, SSH propagation, and MCP server injection targeting AI coding assistants. It harvests credentials from developer and CI</t>
        </is>
      </c>
      <c r="D1442" s="189" t="n">
        <v>7</v>
      </c>
      <c r="E1442" s="189" t="inlineStr">
        <is>
          <t>HIGH</t>
        </is>
      </c>
      <c r="F1442" s="189" t="n">
        <v>3</v>
      </c>
      <c r="G1442" s="189" t="n">
        <v>2</v>
      </c>
      <c r="H1442" s="189" t="inlineStr">
        <is>
          <t>HIGH</t>
        </is>
      </c>
      <c r="I1442" s="189" t="n">
        <v>13</v>
      </c>
      <c r="J1442" s="189" t="inlineStr">
        <is>
          <t>NO</t>
        </is>
      </c>
      <c r="K1442" s="190" t="inlineStr">
        <is>
          <t>https://socket.dev/blog/sandworm-mode-npm-worm-ai-toolchain-poisoning</t>
        </is>
      </c>
      <c r="L1442" s="189" t="inlineStr">
        <is>
          <t>2026-02-23T10:04:22.815000</t>
        </is>
      </c>
      <c r="M1442" s="189" t="inlineStr">
        <is>
          <t>SEE_PULSE</t>
        </is>
      </c>
      <c r="N1442" s="190" t="inlineStr">
        <is>
          <t>https://socket.dev/blog/sandworm-mode-npm-worm-ai-toolchain-poisoning</t>
        </is>
      </c>
      <c r="O1442" s="189" t="inlineStr">
        <is>
          <t>Block IOCs from pulse | Review pulse for indicators</t>
        </is>
      </c>
      <c r="P1442" s="189" t="inlineStr">
        <is>
          <t>supply-chain, typosquatting, worm, sandworm_mode, exfiltration, credential-theft, github, ai, npm, ci</t>
        </is>
      </c>
      <c r="Q1442" s="189" t="inlineStr">
        <is>
          <t>P3</t>
        </is>
      </c>
      <c r="R1442" s="189" t="inlineStr">
        <is>
          <t>🔍 Investigate and apply appropriate controls</t>
        </is>
      </c>
      <c r="S1442" s="189" t="inlineStr">
        <is>
          <t>OTX Pulse - check IP IOCs separately</t>
        </is>
      </c>
      <c r="T1442" s="189" t="n">
        <v>0</v>
      </c>
      <c r="U1442" s="189" t="n">
        <v>0</v>
      </c>
      <c r="V1442" s="189" t="inlineStr">
        <is>
          <t>See OTX pulse tags</t>
        </is>
      </c>
      <c r="W1442" s="189" t="n">
        <v>1</v>
      </c>
      <c r="X1442" s="189" t="inlineStr">
        <is>
          <t>LOW (40%)</t>
        </is>
      </c>
      <c r="Y1442" s="189" t="inlineStr">
        <is>
          <t>NONE</t>
        </is>
      </c>
      <c r="Z1442" s="189" t="inlineStr">
        <is>
          <t>NONE</t>
        </is>
      </c>
      <c r="AA1442" s="189" t="inlineStr">
        <is>
          <t>NONE</t>
        </is>
      </c>
      <c r="AB1442" s="189" t="inlineStr">
        <is>
          <t>NONE</t>
        </is>
      </c>
      <c r="AC1442" s="189" t="n">
        <v>0</v>
      </c>
      <c r="AD1442" s="189" t="n"/>
    </row>
    <row r="1443">
      <c r="A1443" s="189" t="inlineStr">
        <is>
          <t>OTX_PULSE</t>
        </is>
      </c>
      <c r="B1443" s="189" t="inlineStr">
        <is>
          <t>699c2539b33fbe17058937b3</t>
        </is>
      </c>
      <c r="C1443" s="189" t="inlineStr">
        <is>
          <t xml:space="preserve">Cloud Atlas: Analysis of Phishing Campaign and VBShower Backdoor: The article analyzes a phishing campaign by the Cloud Atlas APT group targeting Russian organizations. It details five successful attacks on the same system over time, using malicious Microsoft Office documents to deliver the VBShower backdoor. The attackers used alternate data streams to hide malicious code and maintained persistence through registry modifications. The analysis covers the evolution of the attack chain, including </t>
        </is>
      </c>
      <c r="D1443" s="189" t="n">
        <v>7</v>
      </c>
      <c r="E1443" s="189" t="inlineStr">
        <is>
          <t>HIGH</t>
        </is>
      </c>
      <c r="F1443" s="189" t="n">
        <v>3</v>
      </c>
      <c r="G1443" s="189" t="n">
        <v>2</v>
      </c>
      <c r="H1443" s="189" t="inlineStr">
        <is>
          <t>HIGH</t>
        </is>
      </c>
      <c r="I1443" s="189" t="n">
        <v>13</v>
      </c>
      <c r="J1443" s="189" t="inlineStr">
        <is>
          <t>NO</t>
        </is>
      </c>
      <c r="K1443" s="190" t="inlineStr">
        <is>
          <t>https://rt-solar.ru/solar-4rays/blog/6397/</t>
        </is>
      </c>
      <c r="L1443" s="189" t="inlineStr">
        <is>
          <t>2026-02-23T10:00:25.771000</t>
        </is>
      </c>
      <c r="M1443" s="189" t="inlineStr">
        <is>
          <t>SEE_PULSE</t>
        </is>
      </c>
      <c r="N1443" s="190" t="inlineStr">
        <is>
          <t>https://rt-solar.ru/solar-4rays/blog/6397/</t>
        </is>
      </c>
      <c r="O1443" s="189" t="inlineStr">
        <is>
          <t>Block IOCs from pulse | Review pulse for indicators</t>
        </is>
      </c>
      <c r="P1443" s="189" t="inlineStr">
        <is>
          <t>vbshower, microsoft office, apt, cve-2018-0802, alternate data streams, phishing, vbcloud, backdoor</t>
        </is>
      </c>
      <c r="Q1443" s="189" t="inlineStr">
        <is>
          <t>P3</t>
        </is>
      </c>
      <c r="R1443" s="189" t="inlineStr">
        <is>
          <t>🔍 Investigate and apply appropriate controls</t>
        </is>
      </c>
      <c r="S1443" s="189" t="inlineStr">
        <is>
          <t>OTX Pulse - check IP IOCs separately</t>
        </is>
      </c>
      <c r="T1443" s="189" t="n">
        <v>0</v>
      </c>
      <c r="U1443" s="189" t="n">
        <v>0</v>
      </c>
      <c r="V1443" s="189" t="inlineStr">
        <is>
          <t>See OTX pulse tags</t>
        </is>
      </c>
      <c r="W1443" s="189" t="n">
        <v>1</v>
      </c>
      <c r="X1443" s="189" t="inlineStr">
        <is>
          <t>LOW (40%)</t>
        </is>
      </c>
      <c r="Y1443" s="189" t="inlineStr">
        <is>
          <t>NONE</t>
        </is>
      </c>
      <c r="Z1443" s="189" t="inlineStr">
        <is>
          <t>NONE</t>
        </is>
      </c>
      <c r="AA1443" s="189" t="inlineStr">
        <is>
          <t>NONE</t>
        </is>
      </c>
      <c r="AB1443" s="189" t="inlineStr">
        <is>
          <t>NONE</t>
        </is>
      </c>
      <c r="AC1443" s="189" t="n">
        <v>0</v>
      </c>
      <c r="AD1443" s="189" t="n"/>
    </row>
    <row r="1444">
      <c r="A1444" s="189" t="inlineStr">
        <is>
          <t>OTX_PULSE</t>
        </is>
      </c>
      <c r="B1444" s="189" t="inlineStr">
        <is>
          <t>699c1f410e4279a65c5a7b06</t>
        </is>
      </c>
      <c r="C1444" s="189" t="inlineStr">
        <is>
          <t>Chronology of MuddyWater APT Attacks Targeting the Middle East: This report analyzes the recent activities of the MuddyWater APT group, which primarily targets organizations in the Middle East. The group employs sophisticated spear-phishing techniques, often impersonating legitimate entities and using malicious documents to gain initial access. Their attacks focus on long-term infiltration and intelligence gathering rather than immediate disruption. The report details several attack cases from 2</t>
        </is>
      </c>
      <c r="D1444" s="189" t="n">
        <v>7</v>
      </c>
      <c r="E1444" s="189" t="inlineStr">
        <is>
          <t>HIGH</t>
        </is>
      </c>
      <c r="F1444" s="189" t="n">
        <v>3</v>
      </c>
      <c r="G1444" s="189" t="n">
        <v>2</v>
      </c>
      <c r="H1444" s="189" t="inlineStr">
        <is>
          <t>HIGH</t>
        </is>
      </c>
      <c r="I1444" s="189" t="n">
        <v>13</v>
      </c>
      <c r="J1444" s="189" t="inlineStr">
        <is>
          <t>NO</t>
        </is>
      </c>
      <c r="K1444" s="190" t="inlineStr">
        <is>
          <t>https://www.genians.co.kr/en/blog/threat_intelligence/muddywater-apt?hs_amp=true</t>
        </is>
      </c>
      <c r="L1444" s="189" t="inlineStr">
        <is>
          <t>2026-02-23T09:34:57.906000</t>
        </is>
      </c>
      <c r="M1444" s="189" t="inlineStr">
        <is>
          <t>SEE_PULSE</t>
        </is>
      </c>
      <c r="N1444" s="190" t="inlineStr">
        <is>
          <t>https://www.genians.co.kr/en/blog/threat_intelligence/muddywater-apt?hs_amp=true</t>
        </is>
      </c>
      <c r="O1444" s="189" t="inlineStr">
        <is>
          <t>Block IOCs from pulse | Review pulse for indicators</t>
        </is>
      </c>
      <c r="P1444" s="189" t="inlineStr">
        <is>
          <t>anydesk, edr, middle east, syncro, apt, spear-phishing, intelligence gathering, teamviewer, screenconnect, initial access, remote management tools, atera, splashtop, rust-based malware</t>
        </is>
      </c>
      <c r="Q1444" s="189" t="inlineStr">
        <is>
          <t>P3</t>
        </is>
      </c>
      <c r="R1444" s="189" t="inlineStr">
        <is>
          <t>🔍 Investigate and apply appropriate controls</t>
        </is>
      </c>
      <c r="S1444" s="189" t="inlineStr">
        <is>
          <t>OTX Pulse - check IP IOCs separately</t>
        </is>
      </c>
      <c r="T1444" s="189" t="n">
        <v>0</v>
      </c>
      <c r="U1444" s="189" t="n">
        <v>0</v>
      </c>
      <c r="V1444" s="189" t="inlineStr">
        <is>
          <t>See OTX pulse tags</t>
        </is>
      </c>
      <c r="W1444" s="189" t="n">
        <v>1</v>
      </c>
      <c r="X1444" s="189" t="inlineStr">
        <is>
          <t>LOW (40%)</t>
        </is>
      </c>
      <c r="Y1444" s="189" t="inlineStr">
        <is>
          <t>NONE</t>
        </is>
      </c>
      <c r="Z1444" s="189" t="inlineStr">
        <is>
          <t>NONE</t>
        </is>
      </c>
      <c r="AA1444" s="189" t="inlineStr">
        <is>
          <t>NONE</t>
        </is>
      </c>
      <c r="AB1444" s="189" t="inlineStr">
        <is>
          <t>NONE</t>
        </is>
      </c>
      <c r="AC1444" s="189" t="n">
        <v>0</v>
      </c>
      <c r="AD1444" s="189" t="n"/>
    </row>
    <row r="1445">
      <c r="A1445" s="189" t="inlineStr">
        <is>
          <t>OTX_PULSE</t>
        </is>
      </c>
      <c r="B1445" s="189" t="inlineStr">
        <is>
          <t>699a6ee1425f8f4a6e583f31</t>
        </is>
      </c>
      <c r="C1445" s="189" t="inlineStr">
        <is>
          <t>Massive Winos 4.0 Campaigns Target Taiwan: A series of targeted phishing campaigns in Taiwan have been observed disseminating Winos 4.0 (ValleyRat) malware and associated plugins. The attacks exploit local business processes using themes like tax audits and e-invoices. The campaigns employ various techniques including malicious LNK files, DLL sideloading, and Bring Your Own Vulnerable Driver (BYOVD) attacks. The malware utilizes UAC bypassing, driver loading, and process termination to evade det</t>
        </is>
      </c>
      <c r="D1445" s="189" t="n">
        <v>7</v>
      </c>
      <c r="E1445" s="189" t="inlineStr">
        <is>
          <t>HIGH</t>
        </is>
      </c>
      <c r="F1445" s="189" t="n">
        <v>3</v>
      </c>
      <c r="G1445" s="189" t="n">
        <v>2</v>
      </c>
      <c r="H1445" s="189" t="inlineStr">
        <is>
          <t>HIGH</t>
        </is>
      </c>
      <c r="I1445" s="189" t="n">
        <v>13</v>
      </c>
      <c r="J1445" s="189" t="inlineStr">
        <is>
          <t>NO</t>
        </is>
      </c>
      <c r="K1445" s="190" t="inlineStr">
        <is>
          <t>https://www.fortinet.com/blog/threat-research/massive-winos-40-campaigns-target-taiwan</t>
        </is>
      </c>
      <c r="L1445" s="189" t="inlineStr">
        <is>
          <t>2026-02-22T02:50:09.203000</t>
        </is>
      </c>
      <c r="M1445" s="189" t="inlineStr">
        <is>
          <t>SEE_PULSE</t>
        </is>
      </c>
      <c r="N1445" s="190" t="inlineStr">
        <is>
          <t>https://www.fortinet.com/blog/threat-research/massive-winos-40-campaigns-target-taiwan</t>
        </is>
      </c>
      <c r="O1445" s="189" t="inlineStr">
        <is>
          <t>Block IOCs from pulse | Review pulse for indicators</t>
        </is>
      </c>
      <c r="P1445" s="189" t="inlineStr">
        <is>
          <t>dll sideloading, valleyrat, byovd, taiwan, apt, uac bypass, winos 4.0, phishing</t>
        </is>
      </c>
      <c r="Q1445" s="189" t="inlineStr">
        <is>
          <t>P3</t>
        </is>
      </c>
      <c r="R1445" s="189" t="inlineStr">
        <is>
          <t>🔍 Investigate and apply appropriate controls</t>
        </is>
      </c>
      <c r="S1445" s="189" t="inlineStr">
        <is>
          <t>OTX Pulse - check IP IOCs separately</t>
        </is>
      </c>
      <c r="T1445" s="189" t="n">
        <v>0</v>
      </c>
      <c r="U1445" s="189" t="n">
        <v>0</v>
      </c>
      <c r="V1445" s="189" t="inlineStr">
        <is>
          <t>See OTX pulse tags</t>
        </is>
      </c>
      <c r="W1445" s="189" t="n">
        <v>1</v>
      </c>
      <c r="X1445" s="189" t="inlineStr">
        <is>
          <t>LOW (40%)</t>
        </is>
      </c>
      <c r="Y1445" s="189" t="inlineStr">
        <is>
          <t>NONE</t>
        </is>
      </c>
      <c r="Z1445" s="189" t="inlineStr">
        <is>
          <t>NONE</t>
        </is>
      </c>
      <c r="AA1445" s="189" t="inlineStr">
        <is>
          <t>NONE</t>
        </is>
      </c>
      <c r="AB1445" s="189" t="inlineStr">
        <is>
          <t>NONE</t>
        </is>
      </c>
      <c r="AC1445" s="189" t="n">
        <v>0</v>
      </c>
      <c r="AD1445" s="189" t="n"/>
    </row>
    <row r="1446">
      <c r="A1446" s="189" t="inlineStr">
        <is>
          <t>OTX_PULSE</t>
        </is>
      </c>
      <c r="B1446" s="189" t="inlineStr">
        <is>
          <t>697a54c83114b3a03ef8a8cd</t>
        </is>
      </c>
      <c r="C1446" s="189" t="inlineStr">
        <is>
          <t>Love? Actually: Fake dating app used as lure in targeted spyware campaign in Pakistan: A sophisticated Android spyware campaign targeting individuals in Pakistan has been uncovered, using romance scam tactics as a lure. The malicious app, named GhostChat, poses as a chat platform with fake female profiles, requiring hardcoded passcodes to access. Once installed, it enables covert surveillance and data exfiltration. The campaign is part of a broader spy operation, including a ClickFix attack comp</t>
        </is>
      </c>
      <c r="D1446" s="189" t="n">
        <v>7</v>
      </c>
      <c r="E1446" s="189" t="inlineStr">
        <is>
          <t>HIGH</t>
        </is>
      </c>
      <c r="F1446" s="189" t="n">
        <v>3</v>
      </c>
      <c r="G1446" s="189" t="n">
        <v>2</v>
      </c>
      <c r="H1446" s="189" t="inlineStr">
        <is>
          <t>HIGH</t>
        </is>
      </c>
      <c r="I1446" s="189" t="n">
        <v>13</v>
      </c>
      <c r="J1446" s="189" t="inlineStr">
        <is>
          <t>NO</t>
        </is>
      </c>
      <c r="K1446" s="190" t="inlineStr">
        <is>
          <t>https://www.welivesecurity.com/en/eset-research/love-actually-fake-dating-app-used-lure-targeted-spyware-campaign-pakistan</t>
        </is>
      </c>
      <c r="L1446" s="189" t="inlineStr">
        <is>
          <t>2026-01-28T18:26:16.374000</t>
        </is>
      </c>
      <c r="M1446" s="189" t="inlineStr">
        <is>
          <t>SEE_PULSE</t>
        </is>
      </c>
      <c r="N1446" s="190" t="inlineStr">
        <is>
          <t>https://www.welivesecurity.com/en/eset-research/love-actually-fake-dating-app-used-lure-targeted-spyware-campaign-pakistan</t>
        </is>
      </c>
      <c r="O1446" s="189" t="inlineStr">
        <is>
          <t>Block IOCs from pulse | Review pulse for indicators</t>
        </is>
      </c>
      <c r="P1446" s="189" t="inlineStr">
        <is>
          <t>whatsapp, pakistan, romance scam, android, spyware, clickfix, data exfiltration, badbazaar, ghostchat, social engineering</t>
        </is>
      </c>
      <c r="Q1446" s="189" t="inlineStr">
        <is>
          <t>P3</t>
        </is>
      </c>
      <c r="R1446" s="189" t="inlineStr">
        <is>
          <t>🔍 Investigate and apply appropriate controls</t>
        </is>
      </c>
      <c r="S1446" s="189" t="inlineStr">
        <is>
          <t>OTX Pulse - check IP IOCs separately</t>
        </is>
      </c>
      <c r="T1446" s="189" t="n">
        <v>0</v>
      </c>
      <c r="U1446" s="189" t="n">
        <v>0</v>
      </c>
      <c r="V1446" s="189" t="inlineStr">
        <is>
          <t>See OTX pulse tags</t>
        </is>
      </c>
      <c r="W1446" s="189" t="n">
        <v>1</v>
      </c>
      <c r="X1446" s="189" t="inlineStr">
        <is>
          <t>LOW (40%)</t>
        </is>
      </c>
      <c r="Y1446" s="189" t="inlineStr">
        <is>
          <t>NONE</t>
        </is>
      </c>
      <c r="Z1446" s="189" t="inlineStr">
        <is>
          <t>NONE</t>
        </is>
      </c>
      <c r="AA1446" s="189" t="inlineStr">
        <is>
          <t>NONE</t>
        </is>
      </c>
      <c r="AB1446" s="189" t="inlineStr">
        <is>
          <t>NONE</t>
        </is>
      </c>
      <c r="AC1446" s="189" t="n">
        <v>0</v>
      </c>
      <c r="AD1446" s="189" t="n"/>
    </row>
    <row r="1447">
      <c r="A1447" s="189" t="inlineStr">
        <is>
          <t>OTX_PULSE</t>
        </is>
      </c>
      <c r="B1447" s="189" t="inlineStr">
        <is>
          <t>697349701703321b49a6437b</t>
        </is>
      </c>
      <c r="C1447" s="189" t="inlineStr">
        <is>
          <t>Restless Spirit: New Attacks on Russian Companies: PhantomCore, a hacking group targeting Russian and Belarusian companies since 2022, launched a new wave of malicious email campaigns on January 19 and 21, 2026. The attacks targeted various sectors including utilities, finance, urban infrastructure, aerospace, consumer digital services, chemical industry, construction, consumer goods manufacturing, and e-commerce. The campaign used phishing emails with malicious attachments, leveraging compromis</t>
        </is>
      </c>
      <c r="D1447" s="189" t="n">
        <v>7</v>
      </c>
      <c r="E1447" s="189" t="inlineStr">
        <is>
          <t>HIGH</t>
        </is>
      </c>
      <c r="F1447" s="189" t="n">
        <v>3</v>
      </c>
      <c r="G1447" s="189" t="n">
        <v>2</v>
      </c>
      <c r="H1447" s="189" t="inlineStr">
        <is>
          <t>HIGH</t>
        </is>
      </c>
      <c r="I1447" s="189" t="n">
        <v>13</v>
      </c>
      <c r="J1447" s="189" t="inlineStr">
        <is>
          <t>NO</t>
        </is>
      </c>
      <c r="K1447" s="190" t="inlineStr">
        <is>
          <t>https://habr.com/ru/companies/F6/articles/987734/</t>
        </is>
      </c>
      <c r="L1447" s="189" t="inlineStr">
        <is>
          <t>2026-01-23T10:12:00.002000</t>
        </is>
      </c>
      <c r="M1447" s="189" t="inlineStr">
        <is>
          <t>SEE_PULSE</t>
        </is>
      </c>
      <c r="N1447" s="190" t="inlineStr">
        <is>
          <t>https://habr.com/ru/companies/F6/articles/987734/</t>
        </is>
      </c>
      <c r="O1447" s="189" t="inlineStr">
        <is>
          <t>Block IOCs from pulse | Review pulse for indicators</t>
        </is>
      </c>
      <c r="P1447" s="189" t="inlineStr">
        <is>
          <t>russian targets, powershell, phishing, persistent threat, phantomcore.polldl, scheduled tasks, phantomcore, command and control, multi-stage attack, decoy documents</t>
        </is>
      </c>
      <c r="Q1447" s="189" t="inlineStr">
        <is>
          <t>P3</t>
        </is>
      </c>
      <c r="R1447" s="189" t="inlineStr">
        <is>
          <t>🔍 Investigate and apply appropriate controls</t>
        </is>
      </c>
      <c r="S1447" s="189" t="inlineStr">
        <is>
          <t>OTX Pulse - check IP IOCs separately</t>
        </is>
      </c>
      <c r="T1447" s="189" t="n">
        <v>0</v>
      </c>
      <c r="U1447" s="189" t="n">
        <v>0</v>
      </c>
      <c r="V1447" s="189" t="inlineStr">
        <is>
          <t>See OTX pulse tags</t>
        </is>
      </c>
      <c r="W1447" s="189" t="n">
        <v>1</v>
      </c>
      <c r="X1447" s="189" t="inlineStr">
        <is>
          <t>LOW (40%)</t>
        </is>
      </c>
      <c r="Y1447" s="189" t="inlineStr">
        <is>
          <t>NONE</t>
        </is>
      </c>
      <c r="Z1447" s="189" t="inlineStr">
        <is>
          <t>NONE</t>
        </is>
      </c>
      <c r="AA1447" s="189" t="inlineStr">
        <is>
          <t>NONE</t>
        </is>
      </c>
      <c r="AB1447" s="189" t="inlineStr">
        <is>
          <t>NONE</t>
        </is>
      </c>
      <c r="AC1447" s="189" t="n">
        <v>0</v>
      </c>
      <c r="AD1447" s="189" t="n"/>
    </row>
    <row r="1448">
      <c r="A1448" s="189" t="inlineStr">
        <is>
          <t>OTX_PULSE</t>
        </is>
      </c>
      <c r="B1448" s="189" t="inlineStr">
        <is>
          <t>69734904476c08abeb44c4b8</t>
        </is>
      </c>
      <c r="C1448" s="189" t="inlineStr">
        <is>
          <t xml:space="preserve">ShadowRelay: New Modular Backdoor in the Public Sector: A new modular backdoor called ShadowRelay was discovered on a compromised Exchange server in a government organization. The backdoor allows loading different plugins and demonstrates sophisticated design indicative of well-prepared attackers. It uses packet injection to hide network activity and can spy covertly in protected network segments by communicating through infected machines. The backdoor can inject itself into other processes and </t>
        </is>
      </c>
      <c r="D1448" s="189" t="n">
        <v>7</v>
      </c>
      <c r="E1448" s="189" t="inlineStr">
        <is>
          <t>HIGH</t>
        </is>
      </c>
      <c r="F1448" s="189" t="n">
        <v>3</v>
      </c>
      <c r="G1448" s="189" t="n">
        <v>2</v>
      </c>
      <c r="H1448" s="189" t="inlineStr">
        <is>
          <t>HIGH</t>
        </is>
      </c>
      <c r="I1448" s="189" t="n">
        <v>13</v>
      </c>
      <c r="J1448" s="189" t="inlineStr">
        <is>
          <t>NO</t>
        </is>
      </c>
      <c r="K1448" s="190" t="inlineStr">
        <is>
          <t>https://rt-solar.ru/solar-4rays/blog/6328/</t>
        </is>
      </c>
      <c r="L1448" s="189" t="inlineStr">
        <is>
          <t>2026-01-23T10:10:12.656000</t>
        </is>
      </c>
      <c r="M1448" s="189" t="inlineStr">
        <is>
          <t>SEE_PULSE</t>
        </is>
      </c>
      <c r="N1448" s="190" t="inlineStr">
        <is>
          <t>https://rt-solar.ru/solar-4rays/blog/6328/</t>
        </is>
      </c>
      <c r="O1448" s="189" t="inlineStr">
        <is>
          <t>Block IOCs from pulse | Review pulse for indicators</t>
        </is>
      </c>
      <c r="P1448" s="189" t="inlineStr">
        <is>
          <t>shadowpad light, apt, exchange, donnect, modular, espionage, cve-2021-34523, shadowrelay, backdoor, packet injection, mythic agent, shadowpad, cve-2021-31207, government, cve-2021-34473</t>
        </is>
      </c>
      <c r="Q1448" s="189" t="inlineStr">
        <is>
          <t>P3</t>
        </is>
      </c>
      <c r="R1448" s="189" t="inlineStr">
        <is>
          <t>🔍 Investigate and apply appropriate controls</t>
        </is>
      </c>
      <c r="S1448" s="189" t="inlineStr">
        <is>
          <t>OTX Pulse - check IP IOCs separately</t>
        </is>
      </c>
      <c r="T1448" s="189" t="n">
        <v>0</v>
      </c>
      <c r="U1448" s="189" t="n">
        <v>0</v>
      </c>
      <c r="V1448" s="189" t="inlineStr">
        <is>
          <t>See OTX pulse tags</t>
        </is>
      </c>
      <c r="W1448" s="189" t="n">
        <v>1</v>
      </c>
      <c r="X1448" s="189" t="inlineStr">
        <is>
          <t>LOW (40%)</t>
        </is>
      </c>
      <c r="Y1448" s="189" t="inlineStr">
        <is>
          <t>NONE</t>
        </is>
      </c>
      <c r="Z1448" s="189" t="inlineStr">
        <is>
          <t>NONE</t>
        </is>
      </c>
      <c r="AA1448" s="189" t="inlineStr">
        <is>
          <t>NONE</t>
        </is>
      </c>
      <c r="AB1448" s="189" t="inlineStr">
        <is>
          <t>NONE</t>
        </is>
      </c>
      <c r="AC1448" s="189" t="n">
        <v>0</v>
      </c>
      <c r="AD1448" s="189" t="n"/>
    </row>
    <row r="1449">
      <c r="A1449" s="189" t="inlineStr">
        <is>
          <t>OTX_PULSE</t>
        </is>
      </c>
      <c r="B1449" s="189" t="inlineStr">
        <is>
          <t>69726ae65cfcf0a192c03c35</t>
        </is>
      </c>
      <c r="C1449" s="189" t="inlineStr">
        <is>
          <t>KONNI Adopts AI to Generate PowerShell Backdoors: A North Korea-linked threat actor known as KONNI has been observed conducting a phishing campaign targeting software developers and engineering teams, particularly those with blockchain expertise. The campaign uses AI-generated PowerShell backdoors and targets a broader range of countries in the APAC region. The infection chain begins with a Discord-hosted link downloading a ZIP archive containing a PDF lure and a malicious LNK file. The LNK file</t>
        </is>
      </c>
      <c r="D1449" s="189" t="n">
        <v>7</v>
      </c>
      <c r="E1449" s="189" t="inlineStr">
        <is>
          <t>HIGH</t>
        </is>
      </c>
      <c r="F1449" s="189" t="n">
        <v>3</v>
      </c>
      <c r="G1449" s="189" t="n">
        <v>2</v>
      </c>
      <c r="H1449" s="189" t="inlineStr">
        <is>
          <t>HIGH</t>
        </is>
      </c>
      <c r="I1449" s="189" t="n">
        <v>13</v>
      </c>
      <c r="J1449" s="189" t="inlineStr">
        <is>
          <t>NO</t>
        </is>
      </c>
      <c r="K1449" s="190" t="inlineStr">
        <is>
          <t>https://research.checkpoint.com/2026/konni-targets-developers-with-ai-malware</t>
        </is>
      </c>
      <c r="L1449" s="189" t="inlineStr">
        <is>
          <t>2026-01-22T18:22:30.740000</t>
        </is>
      </c>
      <c r="M1449" s="189" t="inlineStr">
        <is>
          <t>SEE_PULSE</t>
        </is>
      </c>
      <c r="N1449" s="190" t="inlineStr">
        <is>
          <t>https://research.checkpoint.com/2026/konni-targets-developers-with-ai-malware</t>
        </is>
      </c>
      <c r="O1449" s="189" t="inlineStr">
        <is>
          <t>Block IOCs from pulse | Review pulse for indicators</t>
        </is>
      </c>
      <c r="P1449" s="189" t="inlineStr">
        <is>
          <t>blockchain, ai-generated, software developers, simplehelp, apac, north korea, powershell backdoor, backdoor, powershell, phishing</t>
        </is>
      </c>
      <c r="Q1449" s="189" t="inlineStr">
        <is>
          <t>P3</t>
        </is>
      </c>
      <c r="R1449" s="189" t="inlineStr">
        <is>
          <t>🔍 Investigate and apply appropriate controls</t>
        </is>
      </c>
      <c r="S1449" s="189" t="inlineStr">
        <is>
          <t>OTX Pulse - check IP IOCs separately</t>
        </is>
      </c>
      <c r="T1449" s="189" t="n">
        <v>0</v>
      </c>
      <c r="U1449" s="189" t="n">
        <v>0</v>
      </c>
      <c r="V1449" s="189" t="inlineStr">
        <is>
          <t>See OTX pulse tags</t>
        </is>
      </c>
      <c r="W1449" s="189" t="n">
        <v>1</v>
      </c>
      <c r="X1449" s="189" t="inlineStr">
        <is>
          <t>LOW (40%)</t>
        </is>
      </c>
      <c r="Y1449" s="189" t="inlineStr">
        <is>
          <t>NONE</t>
        </is>
      </c>
      <c r="Z1449" s="189" t="inlineStr">
        <is>
          <t>NONE</t>
        </is>
      </c>
      <c r="AA1449" s="189" t="inlineStr">
        <is>
          <t>NONE</t>
        </is>
      </c>
      <c r="AB1449" s="189" t="inlineStr">
        <is>
          <t>NONE</t>
        </is>
      </c>
      <c r="AC1449" s="189" t="n">
        <v>0</v>
      </c>
      <c r="AD1449" s="189" t="n"/>
    </row>
    <row r="1450">
      <c r="A1450" s="189" t="inlineStr">
        <is>
          <t>OTX_PULSE</t>
        </is>
      </c>
      <c r="B1450" s="189" t="inlineStr">
        <is>
          <t>697171c9e4aec4d7963e9440</t>
        </is>
      </c>
      <c r="C1450" s="189" t="inlineStr">
        <is>
          <t>Malicious Configuration Changes Observed On Fortinet FortiGate Devices via SSO Accounts: A new cluster of automated malicious activity involving unauthorized firewall configuration changes on FortiGate devices has been observed. The activity includes creation of generic accounts for persistence, configuration changes granting VPN access, and exfiltration of firewall configurations. The campaign bears similarities to a previous one described in December 2025, involving SSO login activity for admi</t>
        </is>
      </c>
      <c r="D1450" s="189" t="n">
        <v>7</v>
      </c>
      <c r="E1450" s="189" t="inlineStr">
        <is>
          <t>HIGH</t>
        </is>
      </c>
      <c r="F1450" s="189" t="n">
        <v>3</v>
      </c>
      <c r="G1450" s="189" t="n">
        <v>2</v>
      </c>
      <c r="H1450" s="189" t="inlineStr">
        <is>
          <t>HIGH</t>
        </is>
      </c>
      <c r="I1450" s="189" t="n">
        <v>13</v>
      </c>
      <c r="J1450" s="189" t="inlineStr">
        <is>
          <t>NO</t>
        </is>
      </c>
      <c r="K1450" s="190" t="inlineStr">
        <is>
          <t>https://arcticwolf.com/resources/blog/arctic-wolf-observes-malicious-configuration-changes-fortinet-fortigate-devices-via-sso-accounts</t>
        </is>
      </c>
      <c r="L1450" s="189" t="inlineStr">
        <is>
          <t>2026-01-22T00:39:37.387000</t>
        </is>
      </c>
      <c r="M1450" s="189" t="inlineStr">
        <is>
          <t>SEE_PULSE</t>
        </is>
      </c>
      <c r="N1450" s="190" t="inlineStr">
        <is>
          <t>https://arcticwolf.com/resources/blog/arctic-wolf-observes-malicious-configuration-changes-fortinet-fortigate-devices-via-sso-accounts</t>
        </is>
      </c>
      <c r="O1450" s="189" t="inlineStr">
        <is>
          <t>Block IOCs from pulse | Review pulse for indicators</t>
        </is>
      </c>
      <c r="P1450" s="189" t="inlineStr">
        <is>
          <t>sso, cve-2025-59719, unauthorized access, firewall, exfiltration, cve-2025-59718, fortigate, configuration changes, persistence, vpn</t>
        </is>
      </c>
      <c r="Q1450" s="189" t="inlineStr">
        <is>
          <t>P3</t>
        </is>
      </c>
      <c r="R1450" s="189" t="inlineStr">
        <is>
          <t>🔍 Investigate and apply appropriate controls</t>
        </is>
      </c>
      <c r="S1450" s="189" t="inlineStr">
        <is>
          <t>OTX Pulse - check IP IOCs separately</t>
        </is>
      </c>
      <c r="T1450" s="189" t="n">
        <v>0</v>
      </c>
      <c r="U1450" s="189" t="n">
        <v>0</v>
      </c>
      <c r="V1450" s="189" t="inlineStr">
        <is>
          <t>See OTX pulse tags</t>
        </is>
      </c>
      <c r="W1450" s="189" t="n">
        <v>1</v>
      </c>
      <c r="X1450" s="189" t="inlineStr">
        <is>
          <t>LOW (40%)</t>
        </is>
      </c>
      <c r="Y1450" s="189" t="inlineStr">
        <is>
          <t>NONE</t>
        </is>
      </c>
      <c r="Z1450" s="189" t="inlineStr">
        <is>
          <t>NONE</t>
        </is>
      </c>
      <c r="AA1450" s="189" t="inlineStr">
        <is>
          <t>NONE</t>
        </is>
      </c>
      <c r="AB1450" s="189" t="inlineStr">
        <is>
          <t>NONE</t>
        </is>
      </c>
      <c r="AC1450" s="189" t="n">
        <v>0</v>
      </c>
      <c r="AD1450" s="189" t="n"/>
    </row>
    <row r="1451">
      <c r="A1451" s="189" t="inlineStr">
        <is>
          <t>OTX_PULSE</t>
        </is>
      </c>
      <c r="B1451" s="189" t="inlineStr">
        <is>
          <t>6971529d93b2db0678d1b8cc</t>
        </is>
      </c>
      <c r="C1451" s="189" t="inlineStr">
        <is>
          <t>PurpleBravo’s Targeting of the IT Software Supply Chain: PurpleBravo, a North Korean state-sponsored threat group, targets software developers through fake recruitment efforts, particularly in cryptocurrency and software development sectors. Their toolkit includes BeaverTail, PyLangGhost, and GolangGhost, designed for stealing browser credentials and cryptocurrency information. The group has affected 3,136 IP addresses, mainly in South Asia and North America, compromising 20 organizations across</t>
        </is>
      </c>
      <c r="D1451" s="189" t="n">
        <v>7</v>
      </c>
      <c r="E1451" s="189" t="inlineStr">
        <is>
          <t>HIGH</t>
        </is>
      </c>
      <c r="F1451" s="189" t="n">
        <v>3</v>
      </c>
      <c r="G1451" s="189" t="n">
        <v>2</v>
      </c>
      <c r="H1451" s="189" t="inlineStr">
        <is>
          <t>HIGH</t>
        </is>
      </c>
      <c r="I1451" s="189" t="n">
        <v>13</v>
      </c>
      <c r="J1451" s="189" t="inlineStr">
        <is>
          <t>NO</t>
        </is>
      </c>
      <c r="K1451" s="190" t="inlineStr">
        <is>
          <t>https://www.recordedfuture.com/research/purplebravos-targeting-it-software-supply-chain</t>
        </is>
      </c>
      <c r="L1451" s="189" t="inlineStr">
        <is>
          <t>2026-01-21T22:26:37.394000</t>
        </is>
      </c>
      <c r="M1451" s="189" t="inlineStr">
        <is>
          <t>SEE_PULSE</t>
        </is>
      </c>
      <c r="N1451" s="190" t="inlineStr">
        <is>
          <t>https://www.recordedfuture.com/research/purplebravos-targeting-it-software-supply-chain</t>
        </is>
      </c>
      <c r="O1451" s="189" t="inlineStr">
        <is>
          <t>Block IOCs from pulse | Review pulse for indicators</t>
        </is>
      </c>
      <c r="P1451" s="189" t="inlineStr">
        <is>
          <t>cryptocurrency, it services, social engineering, browser credential theft, invisibleferret, north korea, beavertail, remote access trojan, pylangghost, golangghost, software supply chain, github, astrill vpn</t>
        </is>
      </c>
      <c r="Q1451" s="189" t="inlineStr">
        <is>
          <t>P3</t>
        </is>
      </c>
      <c r="R1451" s="189" t="inlineStr">
        <is>
          <t>🔍 Investigate and apply appropriate controls</t>
        </is>
      </c>
      <c r="S1451" s="189" t="inlineStr">
        <is>
          <t>OTX Pulse - check IP IOCs separately</t>
        </is>
      </c>
      <c r="T1451" s="189" t="n">
        <v>0</v>
      </c>
      <c r="U1451" s="189" t="n">
        <v>0</v>
      </c>
      <c r="V1451" s="189" t="inlineStr">
        <is>
          <t>See OTX pulse tags</t>
        </is>
      </c>
      <c r="W1451" s="189" t="n">
        <v>1</v>
      </c>
      <c r="X1451" s="189" t="inlineStr">
        <is>
          <t>LOW (40%)</t>
        </is>
      </c>
      <c r="Y1451" s="189" t="inlineStr">
        <is>
          <t>NONE</t>
        </is>
      </c>
      <c r="Z1451" s="189" t="inlineStr">
        <is>
          <t>NONE</t>
        </is>
      </c>
      <c r="AA1451" s="189" t="inlineStr">
        <is>
          <t>NONE</t>
        </is>
      </c>
      <c r="AB1451" s="189" t="inlineStr">
        <is>
          <t>NONE</t>
        </is>
      </c>
      <c r="AC1451" s="189" t="n">
        <v>0</v>
      </c>
      <c r="AD1451" s="189" t="n"/>
    </row>
    <row r="1452">
      <c r="A1452" s="189" t="inlineStr">
        <is>
          <t>OTX_PULSE</t>
        </is>
      </c>
      <c r="B1452" s="189" t="inlineStr">
        <is>
          <t>699874fdcc7eaabe6bb130ac</t>
        </is>
      </c>
      <c r="C1452" s="189" t="inlineStr">
        <is>
          <t>MIMICRAT: ClickFix Campaign Delivers Custom RAT via Compromised Legitimate Websites: A sophisticated ClickFix campaign has been uncovered, compromising legitimate websites to deliver a multi-stage malware chain. The attack culminates in MIMICRAT, a custom remote access trojan with advanced capabilities. The campaign uses compromised sites across industries and geographies for delivery, employing a five-stage PowerShell chain that bypasses security measures before deploying a Lua-scripted shellco</t>
        </is>
      </c>
      <c r="D1452" s="189" t="n">
        <v>7</v>
      </c>
      <c r="E1452" s="189" t="inlineStr">
        <is>
          <t>HIGH</t>
        </is>
      </c>
      <c r="F1452" s="189" t="n">
        <v>3</v>
      </c>
      <c r="G1452" s="189" t="n">
        <v>2</v>
      </c>
      <c r="H1452" s="189" t="inlineStr">
        <is>
          <t>HIGH</t>
        </is>
      </c>
      <c r="I1452" s="189" t="n">
        <v>13</v>
      </c>
      <c r="J1452" s="189" t="inlineStr">
        <is>
          <t>NO</t>
        </is>
      </c>
      <c r="K1452" s="190" t="inlineStr">
        <is>
          <t>https://www.elastic.co/security-labs/mimicrat-custom-rat-mimics-c2-frameworks</t>
        </is>
      </c>
      <c r="L1452" s="189" t="inlineStr">
        <is>
          <t>2026-02-20T14:51:41.673000</t>
        </is>
      </c>
      <c r="M1452" s="189" t="inlineStr">
        <is>
          <t>SEE_PULSE</t>
        </is>
      </c>
      <c r="N1452" s="190" t="inlineStr">
        <is>
          <t>https://www.elastic.co/security-labs/mimicrat-custom-rat-mimics-c2-frameworks</t>
        </is>
      </c>
      <c r="O1452" s="189" t="inlineStr">
        <is>
          <t>Block IOCs from pulse | Review pulse for indicators</t>
        </is>
      </c>
      <c r="P1452" s="189" t="inlineStr">
        <is>
          <t>lua loader, compromised websites, token theft, rat, multi-stage attack, clickfix, mimicrat, socks5 proxy, powershell</t>
        </is>
      </c>
      <c r="Q1452" s="189" t="inlineStr">
        <is>
          <t>P3</t>
        </is>
      </c>
      <c r="R1452" s="189" t="inlineStr">
        <is>
          <t>🔍 Investigate and apply appropriate controls</t>
        </is>
      </c>
      <c r="S1452" s="189" t="inlineStr">
        <is>
          <t>OTX Pulse - check IP IOCs separately</t>
        </is>
      </c>
      <c r="T1452" s="189" t="n">
        <v>0</v>
      </c>
      <c r="U1452" s="189" t="n">
        <v>0</v>
      </c>
      <c r="V1452" s="189" t="inlineStr">
        <is>
          <t>See OTX pulse tags</t>
        </is>
      </c>
      <c r="W1452" s="189" t="n">
        <v>1</v>
      </c>
      <c r="X1452" s="189" t="inlineStr">
        <is>
          <t>LOW (40%)</t>
        </is>
      </c>
      <c r="Y1452" s="189" t="inlineStr">
        <is>
          <t>NONE</t>
        </is>
      </c>
      <c r="Z1452" s="189" t="inlineStr">
        <is>
          <t>NONE</t>
        </is>
      </c>
      <c r="AA1452" s="189" t="inlineStr">
        <is>
          <t>NONE</t>
        </is>
      </c>
      <c r="AB1452" s="189" t="inlineStr">
        <is>
          <t>NONE</t>
        </is>
      </c>
      <c r="AC1452" s="189" t="n">
        <v>0</v>
      </c>
      <c r="AD1452" s="189" t="n"/>
    </row>
    <row r="1453">
      <c r="A1453" s="189" t="inlineStr">
        <is>
          <t>OTX_PULSE</t>
        </is>
      </c>
      <c r="B1453" s="189" t="inlineStr">
        <is>
          <t>69972ba4edeee60b22933086</t>
        </is>
      </c>
      <c r="C1453" s="189" t="inlineStr">
        <is>
          <t>ClickFix in action: how fake captcha can encrypt an entire company: The report details a malware attack on a large Polish organization involving fake CAPTCHA techniques. It describes the initial infection vector, where users were tricked into running malicious code through a Windows+R shortcut. The analysis covers two main malware families: Latrodectus (version 2.3) and Supper. The report provides technical details on the malware's functionality, communication protocols, and persistence mechanis</t>
        </is>
      </c>
      <c r="D1453" s="189" t="n">
        <v>7</v>
      </c>
      <c r="E1453" s="189" t="inlineStr">
        <is>
          <t>HIGH</t>
        </is>
      </c>
      <c r="F1453" s="189" t="n">
        <v>3</v>
      </c>
      <c r="G1453" s="189" t="n">
        <v>2</v>
      </c>
      <c r="H1453" s="189" t="inlineStr">
        <is>
          <t>HIGH</t>
        </is>
      </c>
      <c r="I1453" s="189" t="n">
        <v>13</v>
      </c>
      <c r="J1453" s="189" t="inlineStr">
        <is>
          <t>NO</t>
        </is>
      </c>
      <c r="K1453" s="190" t="inlineStr">
        <is>
          <t>https://cert.pl/posts/2026/02/fake-captcha-in-action</t>
        </is>
      </c>
      <c r="L1453" s="189" t="inlineStr">
        <is>
          <t>2026-02-19T15:26:28.037000</t>
        </is>
      </c>
      <c r="M1453" s="189" t="inlineStr">
        <is>
          <t>SEE_PULSE</t>
        </is>
      </c>
      <c r="N1453" s="190" t="inlineStr">
        <is>
          <t>https://cert.pl/posts/2026/02/fake-captcha-in-action</t>
        </is>
      </c>
      <c r="O1453" s="189" t="inlineStr">
        <is>
          <t>Block IOCs from pulse | Review pulse for indicators</t>
        </is>
      </c>
      <c r="P1453" s="189" t="inlineStr">
        <is>
          <t>fake captcha, latrodectus, c2 communication, side-loading, clickfix, malware analysis, supper, ransomware, persistence</t>
        </is>
      </c>
      <c r="Q1453" s="189" t="inlineStr">
        <is>
          <t>P3</t>
        </is>
      </c>
      <c r="R1453" s="189" t="inlineStr">
        <is>
          <t>🔍 Investigate and apply appropriate controls</t>
        </is>
      </c>
      <c r="S1453" s="189" t="inlineStr">
        <is>
          <t>OTX Pulse - check IP IOCs separately</t>
        </is>
      </c>
      <c r="T1453" s="189" t="n">
        <v>0</v>
      </c>
      <c r="U1453" s="189" t="n">
        <v>0</v>
      </c>
      <c r="V1453" s="189" t="inlineStr">
        <is>
          <t>See OTX pulse tags</t>
        </is>
      </c>
      <c r="W1453" s="189" t="n">
        <v>1</v>
      </c>
      <c r="X1453" s="189" t="inlineStr">
        <is>
          <t>LOW (40%)</t>
        </is>
      </c>
      <c r="Y1453" s="189" t="inlineStr">
        <is>
          <t>NONE</t>
        </is>
      </c>
      <c r="Z1453" s="189" t="inlineStr">
        <is>
          <t>NONE</t>
        </is>
      </c>
      <c r="AA1453" s="189" t="inlineStr">
        <is>
          <t>NONE</t>
        </is>
      </c>
      <c r="AB1453" s="189" t="inlineStr">
        <is>
          <t>NONE</t>
        </is>
      </c>
      <c r="AC1453" s="189" t="n">
        <v>0</v>
      </c>
      <c r="AD1453" s="189" t="n"/>
    </row>
    <row r="1454">
      <c r="A1454" s="189" t="inlineStr">
        <is>
          <t>OTX_PULSE</t>
        </is>
      </c>
      <c r="B1454" s="189" t="inlineStr">
        <is>
          <t>6997aaa340e2e5c6cdac145f</t>
        </is>
      </c>
      <c r="C1454" s="189" t="inlineStr">
        <is>
          <t>VShell and SparkRAT Observed in Exploitation of BeyondTrust Critical Vulnerability (CVE-2026-1731): A critical remote code execution vulnerability (CVE-2026-1731) in BeyondTrust remote support software is being actively exploited. The flaw allows unauthenticated attackers to execute arbitrary OS commands with high privileges. Observed attacker activities include network reconnaissance, account creation, webshell deployment, C2 traffic, backdoor installation, lateral movement, and data theft. Aff</t>
        </is>
      </c>
      <c r="D1454" s="189" t="n">
        <v>7</v>
      </c>
      <c r="E1454" s="189" t="inlineStr">
        <is>
          <t>HIGH</t>
        </is>
      </c>
      <c r="F1454" s="189" t="n">
        <v>3</v>
      </c>
      <c r="G1454" s="189" t="n">
        <v>2</v>
      </c>
      <c r="H1454" s="189" t="inlineStr">
        <is>
          <t>HIGH</t>
        </is>
      </c>
      <c r="I1454" s="189" t="n">
        <v>13</v>
      </c>
      <c r="J1454" s="189" t="inlineStr">
        <is>
          <t>NO</t>
        </is>
      </c>
      <c r="K1454" s="190" t="inlineStr">
        <is>
          <t>https://unit42.paloaltonetworks.com/beyondtrust-cve-2026-1731/</t>
        </is>
      </c>
      <c r="L1454" s="189" t="inlineStr">
        <is>
          <t>2026-02-20T00:28:19.348000</t>
        </is>
      </c>
      <c r="M1454" s="189" t="inlineStr">
        <is>
          <t>SEE_PULSE</t>
        </is>
      </c>
      <c r="N1454" s="190" t="inlineStr">
        <is>
          <t>https://unit42.paloaltonetworks.com/beyondtrust-cve-2026-1731/</t>
        </is>
      </c>
      <c r="O1454" s="189" t="inlineStr">
        <is>
          <t>Block IOCs from pulse | Review pulse for indicators</t>
        </is>
      </c>
      <c r="P1454" s="189" t="inlineStr">
        <is>
          <t>beyondtrust, vshell, webshell, cve-2026-1731, lateral movement, data theft, remote code execution, sparkrat</t>
        </is>
      </c>
      <c r="Q1454" s="189" t="inlineStr">
        <is>
          <t>P3</t>
        </is>
      </c>
      <c r="R1454" s="189" t="inlineStr">
        <is>
          <t>🔍 Investigate and apply appropriate controls</t>
        </is>
      </c>
      <c r="S1454" s="189" t="inlineStr">
        <is>
          <t>OTX Pulse - check IP IOCs separately</t>
        </is>
      </c>
      <c r="T1454" s="189" t="n">
        <v>0</v>
      </c>
      <c r="U1454" s="189" t="n">
        <v>0</v>
      </c>
      <c r="V1454" s="189" t="inlineStr">
        <is>
          <t>See OTX pulse tags</t>
        </is>
      </c>
      <c r="W1454" s="189" t="n">
        <v>1</v>
      </c>
      <c r="X1454" s="189" t="inlineStr">
        <is>
          <t>LOW (40%)</t>
        </is>
      </c>
      <c r="Y1454" s="189" t="inlineStr">
        <is>
          <t>NONE</t>
        </is>
      </c>
      <c r="Z1454" s="189" t="inlineStr">
        <is>
          <t>NONE</t>
        </is>
      </c>
      <c r="AA1454" s="189" t="inlineStr">
        <is>
          <t>NONE</t>
        </is>
      </c>
      <c r="AB1454" s="189" t="inlineStr">
        <is>
          <t>NONE</t>
        </is>
      </c>
      <c r="AC1454" s="189" t="n">
        <v>0</v>
      </c>
      <c r="AD1454" s="189" t="n"/>
    </row>
    <row r="1455">
      <c r="A1455" s="189" t="inlineStr">
        <is>
          <t>OTX_PULSE</t>
        </is>
      </c>
      <c r="B1455" s="189" t="inlineStr">
        <is>
          <t>69976fb1e346dadacfae5133</t>
        </is>
      </c>
      <c r="C1455" s="189" t="inlineStr">
        <is>
          <t>Zero-day in Dell RecoverPoint for Virtual Machines (CVE-2026-22769): A critical zero-day vulnerability in Dell RecoverPoint for Virtual Machines has been discovered and actively exploited. The flaw, identified as CVE-2026-22769, allows attackers to gain root-level access on affected systems. China-linked threat actor UNC6201 has been leveraging this vulnerability in targeted intrusions since mid-2024, deploying custom backdoors like GRIMBOLT and BRICKSTORM for persistence and further compromise.</t>
        </is>
      </c>
      <c r="D1455" s="189" t="n">
        <v>7</v>
      </c>
      <c r="E1455" s="189" t="inlineStr">
        <is>
          <t>HIGH</t>
        </is>
      </c>
      <c r="F1455" s="189" t="n">
        <v>3</v>
      </c>
      <c r="G1455" s="189" t="n">
        <v>2</v>
      </c>
      <c r="H1455" s="189" t="inlineStr">
        <is>
          <t>HIGH</t>
        </is>
      </c>
      <c r="I1455" s="189" t="n">
        <v>13</v>
      </c>
      <c r="J1455" s="189" t="inlineStr">
        <is>
          <t>NO</t>
        </is>
      </c>
      <c r="K1455" s="190" t="inlineStr">
        <is>
          <t>https://www.truesec.com/hub/blog/zero-day-dell-recoverpoint-for-virtual-machines-cve-2026-22769</t>
        </is>
      </c>
      <c r="L1455" s="189" t="inlineStr">
        <is>
          <t>2026-02-19T20:16:49.235000</t>
        </is>
      </c>
      <c r="M1455" s="189" t="inlineStr">
        <is>
          <t>SEE_PULSE</t>
        </is>
      </c>
      <c r="N1455" s="190" t="inlineStr">
        <is>
          <t>https://www.truesec.com/hub/blog/zero-day-dell-recoverpoint-for-virtual-machines-cve-2026-22769</t>
        </is>
      </c>
      <c r="O1455" s="189" t="inlineStr">
        <is>
          <t>Block IOCs from pulse | Review pulse for indicators</t>
        </is>
      </c>
      <c r="P1455" s="189" t="inlineStr">
        <is>
          <t>china, vulnerability, vmware, brickstorm, slaystyle, recoverpoint, dell, grimbolt, cve-2026-22769, patch, backdoor, zero-day, root access</t>
        </is>
      </c>
      <c r="Q1455" s="189" t="inlineStr">
        <is>
          <t>P3</t>
        </is>
      </c>
      <c r="R1455" s="189" t="inlineStr">
        <is>
          <t>🔍 Investigate and apply appropriate controls</t>
        </is>
      </c>
      <c r="S1455" s="189" t="inlineStr">
        <is>
          <t>OTX Pulse - check IP IOCs separately</t>
        </is>
      </c>
      <c r="T1455" s="189" t="n">
        <v>0</v>
      </c>
      <c r="U1455" s="189" t="n">
        <v>0</v>
      </c>
      <c r="V1455" s="189" t="inlineStr">
        <is>
          <t>See OTX pulse tags</t>
        </is>
      </c>
      <c r="W1455" s="189" t="n">
        <v>1</v>
      </c>
      <c r="X1455" s="189" t="inlineStr">
        <is>
          <t>LOW (40%)</t>
        </is>
      </c>
      <c r="Y1455" s="189" t="inlineStr">
        <is>
          <t>NONE</t>
        </is>
      </c>
      <c r="Z1455" s="189" t="inlineStr">
        <is>
          <t>NONE</t>
        </is>
      </c>
      <c r="AA1455" s="189" t="inlineStr">
        <is>
          <t>NONE</t>
        </is>
      </c>
      <c r="AB1455" s="189" t="inlineStr">
        <is>
          <t>NONE</t>
        </is>
      </c>
      <c r="AC1455" s="189" t="n">
        <v>0</v>
      </c>
      <c r="AD1455" s="189" t="n"/>
    </row>
    <row r="1456">
      <c r="A1456" s="189" t="inlineStr">
        <is>
          <t>OTX_PULSE</t>
        </is>
      </c>
      <c r="B1456" s="189" t="inlineStr">
        <is>
          <t>69976fb12f41d2de862d4683</t>
        </is>
      </c>
      <c r="C1456" s="189" t="inlineStr">
        <is>
          <t xml:space="preserve">Android threats using GenAI usher in a new era: ESET researchers have discovered PromptSpy, the first known Android malware to abuse generative AI in its execution flow. This malware uses Google's Gemini AI to analyze screen content and provide instructions for UI manipulation, allowing it to adapt to various devices and layouts. PromptSpy's main purpose is to deploy a VNC module for remote access to the victim's device. It also abuses the Accessibility Service to block uninstallation, captures </t>
        </is>
      </c>
      <c r="D1456" s="189" t="n">
        <v>7</v>
      </c>
      <c r="E1456" s="189" t="inlineStr">
        <is>
          <t>HIGH</t>
        </is>
      </c>
      <c r="F1456" s="189" t="n">
        <v>3</v>
      </c>
      <c r="G1456" s="189" t="n">
        <v>2</v>
      </c>
      <c r="H1456" s="189" t="inlineStr">
        <is>
          <t>HIGH</t>
        </is>
      </c>
      <c r="I1456" s="189" t="n">
        <v>13</v>
      </c>
      <c r="J1456" s="189" t="inlineStr">
        <is>
          <t>NO</t>
        </is>
      </c>
      <c r="K1456" s="190" t="inlineStr">
        <is>
          <t>https://www.welivesecurity.com/en/eset-research/promptspy-ushers-in-era-android-threats-using-genai</t>
        </is>
      </c>
      <c r="L1456" s="189" t="inlineStr">
        <is>
          <t>2026-02-19T20:16:49.814000</t>
        </is>
      </c>
      <c r="M1456" s="189" t="inlineStr">
        <is>
          <t>SEE_PULSE</t>
        </is>
      </c>
      <c r="N1456" s="190" t="inlineStr">
        <is>
          <t>https://www.welivesecurity.com/en/eset-research/promptspy-ushers-in-era-android-threats-using-genai</t>
        </is>
      </c>
      <c r="O1456" s="189" t="inlineStr">
        <is>
          <t>Block IOCs from pulse | Review pulse for indicators</t>
        </is>
      </c>
      <c r="P1456" s="189" t="inlineStr">
        <is>
          <t>remote access, gemini, generative ai, argentina, promptspy, android, accessibility service, vnc, vncspy</t>
        </is>
      </c>
      <c r="Q1456" s="189" t="inlineStr">
        <is>
          <t>P3</t>
        </is>
      </c>
      <c r="R1456" s="189" t="inlineStr">
        <is>
          <t>🔍 Investigate and apply appropriate controls</t>
        </is>
      </c>
      <c r="S1456" s="189" t="inlineStr">
        <is>
          <t>OTX Pulse - check IP IOCs separately</t>
        </is>
      </c>
      <c r="T1456" s="189" t="n">
        <v>0</v>
      </c>
      <c r="U1456" s="189" t="n">
        <v>0</v>
      </c>
      <c r="V1456" s="189" t="inlineStr">
        <is>
          <t>See OTX pulse tags</t>
        </is>
      </c>
      <c r="W1456" s="189" t="n">
        <v>1</v>
      </c>
      <c r="X1456" s="189" t="inlineStr">
        <is>
          <t>LOW (40%)</t>
        </is>
      </c>
      <c r="Y1456" s="189" t="inlineStr">
        <is>
          <t>NONE</t>
        </is>
      </c>
      <c r="Z1456" s="189" t="inlineStr">
        <is>
          <t>NONE</t>
        </is>
      </c>
      <c r="AA1456" s="189" t="inlineStr">
        <is>
          <t>NONE</t>
        </is>
      </c>
      <c r="AB1456" s="189" t="inlineStr">
        <is>
          <t>NONE</t>
        </is>
      </c>
      <c r="AC1456" s="189" t="n">
        <v>0</v>
      </c>
      <c r="AD1456" s="189" t="n"/>
    </row>
    <row r="1457">
      <c r="A1457" s="189" t="inlineStr">
        <is>
          <t>OTX_PULSE</t>
        </is>
      </c>
      <c r="B1457" s="189" t="inlineStr">
        <is>
          <t>6970c8be406455823a3d9652</t>
        </is>
      </c>
      <c r="C1457" s="189" t="inlineStr">
        <is>
          <t>Threat Actors Expand Abuse of Microsoft Visual Studio Code: North Korean threat actors have evolved their techniques in the Contagious Interview campaign, now abusing Microsoft Visual Studio Code task configuration files. The infection chain begins when a victim opens a malicious Git repository, often disguised as part of a recruitment process. If trust is granted, arbitrary commands are executed on the system. The malware uses JavaScript payloads hosted on vercel.app to implement backdoor logic</t>
        </is>
      </c>
      <c r="D1457" s="189" t="n">
        <v>7</v>
      </c>
      <c r="E1457" s="189" t="inlineStr">
        <is>
          <t>HIGH</t>
        </is>
      </c>
      <c r="F1457" s="189" t="n">
        <v>3</v>
      </c>
      <c r="G1457" s="189" t="n">
        <v>2</v>
      </c>
      <c r="H1457" s="189" t="inlineStr">
        <is>
          <t>HIGH</t>
        </is>
      </c>
      <c r="I1457" s="189" t="n">
        <v>13</v>
      </c>
      <c r="J1457" s="189" t="inlineStr">
        <is>
          <t>NO</t>
        </is>
      </c>
      <c r="K1457" s="190" t="inlineStr">
        <is>
          <t>https://www.jamf.com/blog/threat-actors-expand-abuse-of-visual-studio-code</t>
        </is>
      </c>
      <c r="L1457" s="189" t="inlineStr">
        <is>
          <t>2026-01-21T12:38:22.046000</t>
        </is>
      </c>
      <c r="M1457" s="189" t="inlineStr">
        <is>
          <t>SEE_PULSE</t>
        </is>
      </c>
      <c r="N1457" s="190" t="inlineStr">
        <is>
          <t>https://www.jamf.com/blog/threat-actors-expand-abuse-of-visual-studio-code</t>
        </is>
      </c>
      <c r="O1457" s="189" t="inlineStr">
        <is>
          <t>Block IOCs from pulse | Review pulse for indicators</t>
        </is>
      </c>
      <c r="P1457" s="189" t="inlineStr">
        <is>
          <t>macos, c2, github, visual studio code, backdoor, node.js, gitlab, contagious interview, javascript</t>
        </is>
      </c>
      <c r="Q1457" s="189" t="inlineStr">
        <is>
          <t>P3</t>
        </is>
      </c>
      <c r="R1457" s="189" t="inlineStr">
        <is>
          <t>🔍 Investigate and apply appropriate controls</t>
        </is>
      </c>
      <c r="S1457" s="189" t="inlineStr">
        <is>
          <t>OTX Pulse - check IP IOCs separately</t>
        </is>
      </c>
      <c r="T1457" s="189" t="n">
        <v>0</v>
      </c>
      <c r="U1457" s="189" t="n">
        <v>0</v>
      </c>
      <c r="V1457" s="189" t="inlineStr">
        <is>
          <t>See OTX pulse tags</t>
        </is>
      </c>
      <c r="W1457" s="189" t="n">
        <v>1</v>
      </c>
      <c r="X1457" s="189" t="inlineStr">
        <is>
          <t>LOW (40%)</t>
        </is>
      </c>
      <c r="Y1457" s="189" t="inlineStr">
        <is>
          <t>NONE</t>
        </is>
      </c>
      <c r="Z1457" s="189" t="inlineStr">
        <is>
          <t>NONE</t>
        </is>
      </c>
      <c r="AA1457" s="189" t="inlineStr">
        <is>
          <t>NONE</t>
        </is>
      </c>
      <c r="AB1457" s="189" t="inlineStr">
        <is>
          <t>NONE</t>
        </is>
      </c>
      <c r="AC1457" s="189" t="n">
        <v>0</v>
      </c>
      <c r="AD1457" s="189" t="n"/>
    </row>
    <row r="1458">
      <c r="A1458" s="189" t="inlineStr">
        <is>
          <t>OTX_PULSE</t>
        </is>
      </c>
      <c r="B1458" s="189" t="inlineStr">
        <is>
          <t>6970c8427c1fd561ba4d962a</t>
        </is>
      </c>
      <c r="C1458" s="189" t="inlineStr">
        <is>
          <t>EtherRAT Targeting Windows Disguised as a Game Mod Installer: A Windows variant of EtherRAT, a JavaScript-based malware, has been discovered disguised as game mod installers. The malware uses MSI files to create and execute obfuscated scripts that decrypt and run the main payload. EtherRAT retrieves its Command and Control (C2) server addresses dynamically through Ethereum smart contracts, employing anti-analysis techniques and establishing persistence via Registry Run keys. The malware's infras</t>
        </is>
      </c>
      <c r="D1458" s="189" t="n">
        <v>7</v>
      </c>
      <c r="E1458" s="189" t="inlineStr">
        <is>
          <t>HIGH</t>
        </is>
      </c>
      <c r="F1458" s="189" t="n">
        <v>3</v>
      </c>
      <c r="G1458" s="189" t="n">
        <v>2</v>
      </c>
      <c r="H1458" s="189" t="inlineStr">
        <is>
          <t>HIGH</t>
        </is>
      </c>
      <c r="I1458" s="189" t="n">
        <v>13</v>
      </c>
      <c r="J1458" s="189" t="inlineStr">
        <is>
          <t>NO</t>
        </is>
      </c>
      <c r="K1458" s="190" t="inlineStr">
        <is>
          <t>https://www.enki.co.kr/en/media-center/blog/etherrat-targeting-windows-disguised-as-a-game-mod-installer</t>
        </is>
      </c>
      <c r="L1458" s="189" t="inlineStr">
        <is>
          <t>2026-01-21T12:36:18.399000</t>
        </is>
      </c>
      <c r="M1458" s="189" t="inlineStr">
        <is>
          <t>SEE_PULSE</t>
        </is>
      </c>
      <c r="N1458" s="190" t="inlineStr">
        <is>
          <t>https://www.enki.co.kr/en/media-center/blog/etherrat-targeting-windows-disguised-as-a-game-mod-installer</t>
        </is>
      </c>
      <c r="O1458" s="189" t="inlineStr">
        <is>
          <t>Block IOCs from pulse | Review pulse for indicators</t>
        </is>
      </c>
      <c r="P1458" s="189" t="inlineStr">
        <is>
          <t>msi, obfuscation, ethereum, 123 stealer, windows, smart contract, c2 communication, tsundere botnet, persistence, cve-2025-55182, game mod, etherrat</t>
        </is>
      </c>
      <c r="Q1458" s="189" t="inlineStr">
        <is>
          <t>P3</t>
        </is>
      </c>
      <c r="R1458" s="189" t="inlineStr">
        <is>
          <t>🔍 Investigate and apply appropriate controls</t>
        </is>
      </c>
      <c r="S1458" s="189" t="inlineStr">
        <is>
          <t>OTX Pulse - check IP IOCs separately</t>
        </is>
      </c>
      <c r="T1458" s="189" t="n">
        <v>0</v>
      </c>
      <c r="U1458" s="189" t="n">
        <v>0</v>
      </c>
      <c r="V1458" s="189" t="inlineStr">
        <is>
          <t>See OTX pulse tags</t>
        </is>
      </c>
      <c r="W1458" s="189" t="n">
        <v>1</v>
      </c>
      <c r="X1458" s="189" t="inlineStr">
        <is>
          <t>LOW (40%)</t>
        </is>
      </c>
      <c r="Y1458" s="189" t="inlineStr">
        <is>
          <t>NONE</t>
        </is>
      </c>
      <c r="Z1458" s="189" t="inlineStr">
        <is>
          <t>NONE</t>
        </is>
      </c>
      <c r="AA1458" s="189" t="inlineStr">
        <is>
          <t>NONE</t>
        </is>
      </c>
      <c r="AB1458" s="189" t="inlineStr">
        <is>
          <t>NONE</t>
        </is>
      </c>
      <c r="AC1458" s="189" t="n">
        <v>0</v>
      </c>
      <c r="AD1458" s="189" t="n"/>
    </row>
    <row r="1459">
      <c r="A1459" s="189" t="inlineStr">
        <is>
          <t>OTX_PULSE</t>
        </is>
      </c>
      <c r="B1459" s="189" t="inlineStr">
        <is>
          <t>69972ba1adf91cc8babfab81</t>
        </is>
      </c>
      <c r="C1459" s="189" t="inlineStr">
        <is>
          <t>Invitation to Trouble: The Rise of Calendar Phishing Attacks: A new phishing tactic involving fake Microsoft and Google Calendar invites has been identified, aimed at stealing login credentials. These sophisticated attacks mimic designs from well-known platforms, exploiting routine business activities like scheduling meetings. Threat actors use email spoofing and create fake urgent calendar invitations to deceive employees. The phishing emails often contain buttons or links that redirect to fake</t>
        </is>
      </c>
      <c r="D1459" s="189" t="n">
        <v>7</v>
      </c>
      <c r="E1459" s="189" t="inlineStr">
        <is>
          <t>HIGH</t>
        </is>
      </c>
      <c r="F1459" s="189" t="n">
        <v>3</v>
      </c>
      <c r="G1459" s="189" t="n">
        <v>2</v>
      </c>
      <c r="H1459" s="189" t="inlineStr">
        <is>
          <t>HIGH</t>
        </is>
      </c>
      <c r="I1459" s="189" t="n">
        <v>13</v>
      </c>
      <c r="J1459" s="189" t="inlineStr">
        <is>
          <t>NO</t>
        </is>
      </c>
      <c r="K1459" s="190" t="inlineStr">
        <is>
          <t>https://cofense.com/blog/invitation-to-trouble-the-rise-of-calendar-phishing-attacks</t>
        </is>
      </c>
      <c r="L1459" s="189" t="inlineStr">
        <is>
          <t>2026-02-19T15:26:25.602000</t>
        </is>
      </c>
      <c r="M1459" s="189" t="inlineStr">
        <is>
          <t>SEE_PULSE</t>
        </is>
      </c>
      <c r="N1459" s="190" t="inlineStr">
        <is>
          <t>https://cofense.com/blog/invitation-to-trouble-the-rise-of-calendar-phishing-attacks</t>
        </is>
      </c>
      <c r="O1459" s="189" t="inlineStr">
        <is>
          <t>Block IOCs from pulse | Review pulse for indicators</t>
        </is>
      </c>
      <c r="P1459" s="189" t="inlineStr">
        <is>
          <t>social engineering, fake invitations, google, calendar phishing, credential theft, microsoft, corporate targeting, email spoofing</t>
        </is>
      </c>
      <c r="Q1459" s="189" t="inlineStr">
        <is>
          <t>P3</t>
        </is>
      </c>
      <c r="R1459" s="189" t="inlineStr">
        <is>
          <t>🔍 Investigate and apply appropriate controls</t>
        </is>
      </c>
      <c r="S1459" s="189" t="inlineStr">
        <is>
          <t>OTX Pulse - check IP IOCs separately</t>
        </is>
      </c>
      <c r="T1459" s="189" t="n">
        <v>0</v>
      </c>
      <c r="U1459" s="189" t="n">
        <v>0</v>
      </c>
      <c r="V1459" s="189" t="inlineStr">
        <is>
          <t>See OTX pulse tags</t>
        </is>
      </c>
      <c r="W1459" s="189" t="n">
        <v>1</v>
      </c>
      <c r="X1459" s="189" t="inlineStr">
        <is>
          <t>LOW (40%)</t>
        </is>
      </c>
      <c r="Y1459" s="189" t="inlineStr">
        <is>
          <t>NONE</t>
        </is>
      </c>
      <c r="Z1459" s="189" t="inlineStr">
        <is>
          <t>NONE</t>
        </is>
      </c>
      <c r="AA1459" s="189" t="inlineStr">
        <is>
          <t>NONE</t>
        </is>
      </c>
      <c r="AB1459" s="189" t="inlineStr">
        <is>
          <t>NONE</t>
        </is>
      </c>
      <c r="AC1459" s="189" t="n">
        <v>0</v>
      </c>
      <c r="AD1459" s="189" t="n"/>
    </row>
    <row r="1460">
      <c r="A1460" s="189" t="inlineStr">
        <is>
          <t>THREATFOX_IOC</t>
        </is>
      </c>
      <c r="B1460" s="189" t="inlineStr">
        <is>
          <t>1753830</t>
        </is>
      </c>
      <c r="C1460" s="189" t="inlineStr">
        <is>
          <t>domain IOC:  | Malware: ClearFake | Confidence: 100%</t>
        </is>
      </c>
      <c r="D1460" s="189" t="n">
        <v>7.5</v>
      </c>
      <c r="E1460" s="189" t="inlineStr">
        <is>
          <t>HIGH</t>
        </is>
      </c>
      <c r="F1460" s="189" t="n">
        <v>3</v>
      </c>
      <c r="G1460" s="189" t="n">
        <v>2</v>
      </c>
      <c r="H1460" s="189" t="inlineStr">
        <is>
          <t>HIGH</t>
        </is>
      </c>
      <c r="I1460" s="189" t="n">
        <v>13.5</v>
      </c>
      <c r="J1460" s="189" t="inlineStr">
        <is>
          <t>NO</t>
        </is>
      </c>
      <c r="K1460" s="190" t="inlineStr">
        <is>
          <t>https://threatfox.abuse.ch/ioc/1753830/</t>
        </is>
      </c>
      <c r="L1460" s="189" t="inlineStr">
        <is>
          <t>2026-02-23 21:39:33 UTC</t>
        </is>
      </c>
      <c r="M1460" s="189" t="inlineStr">
        <is>
          <t>Block IOC</t>
        </is>
      </c>
      <c r="N1460" s="190" t="inlineStr">
        <is>
          <t>https://threatfox.abuse.ch/ioc/1753830/</t>
        </is>
      </c>
      <c r="O1460" s="189" t="inlineStr">
        <is>
          <t>Block domain:</t>
        </is>
      </c>
      <c r="P1460" s="189" t="inlineStr">
        <is>
          <t>payload_delivery</t>
        </is>
      </c>
      <c r="Q1460" s="189" t="inlineStr">
        <is>
          <t>P3</t>
        </is>
      </c>
      <c r="R1460" s="189" t="inlineStr">
        <is>
          <t>🚫 Block IOC at network perimeter | 🔎 Hunt for IOC across environment | 📋 Document and share with threat intel team</t>
        </is>
      </c>
      <c r="S1460" s="189" t="inlineStr">
        <is>
          <t>Classification: Not checked | Context: Not enriched | Name: Not indexed</t>
        </is>
      </c>
      <c r="T1460" s="189" t="n">
        <v>0</v>
      </c>
      <c r="U1460" s="189" t="n">
        <v>0</v>
      </c>
      <c r="V1460" s="189" t="inlineStr">
        <is>
          <t>T1071:Application Layer Protocol | T1102:Web Service</t>
        </is>
      </c>
      <c r="W1460" s="189" t="n">
        <v>1</v>
      </c>
      <c r="X1460" s="189" t="inlineStr">
        <is>
          <t>LOW (40%)</t>
        </is>
      </c>
      <c r="Y1460" s="189" t="inlineStr">
        <is>
          <t>NONE</t>
        </is>
      </c>
      <c r="Z1460" s="189" t="inlineStr">
        <is>
          <t>NONE</t>
        </is>
      </c>
      <c r="AA1460" s="189" t="inlineStr">
        <is>
          <t>NONE</t>
        </is>
      </c>
      <c r="AB1460" s="189" t="inlineStr">
        <is>
          <t>NONE</t>
        </is>
      </c>
      <c r="AC1460" s="189" t="n">
        <v>0</v>
      </c>
      <c r="AD1460" s="189" t="n"/>
    </row>
    <row r="1461">
      <c r="A1461" s="189" t="inlineStr">
        <is>
          <t>THREATFOX_IOC</t>
        </is>
      </c>
      <c r="B1461" s="189" t="inlineStr">
        <is>
          <t>1753829</t>
        </is>
      </c>
      <c r="C1461" s="189" t="inlineStr">
        <is>
          <t>domain IOC:  | Malware: ClearFake | Confidence: 100%</t>
        </is>
      </c>
      <c r="D1461" s="189" t="n">
        <v>7.5</v>
      </c>
      <c r="E1461" s="189" t="inlineStr">
        <is>
          <t>HIGH</t>
        </is>
      </c>
      <c r="F1461" s="189" t="n">
        <v>3</v>
      </c>
      <c r="G1461" s="189" t="n">
        <v>2</v>
      </c>
      <c r="H1461" s="189" t="inlineStr">
        <is>
          <t>HIGH</t>
        </is>
      </c>
      <c r="I1461" s="189" t="n">
        <v>13.5</v>
      </c>
      <c r="J1461" s="189" t="inlineStr">
        <is>
          <t>NO</t>
        </is>
      </c>
      <c r="K1461" s="190" t="inlineStr">
        <is>
          <t>https://threatfox.abuse.ch/ioc/1753829/</t>
        </is>
      </c>
      <c r="L1461" s="189" t="inlineStr">
        <is>
          <t>2026-02-23 21:33:40 UTC</t>
        </is>
      </c>
      <c r="M1461" s="189" t="inlineStr">
        <is>
          <t>Block IOC</t>
        </is>
      </c>
      <c r="N1461" s="190" t="inlineStr">
        <is>
          <t>https://threatfox.abuse.ch/ioc/1753829/</t>
        </is>
      </c>
      <c r="O1461" s="189" t="inlineStr">
        <is>
          <t>Block domain:</t>
        </is>
      </c>
      <c r="P1461" s="189" t="inlineStr">
        <is>
          <t>payload_delivery</t>
        </is>
      </c>
      <c r="Q1461" s="189" t="inlineStr">
        <is>
          <t>P3</t>
        </is>
      </c>
      <c r="R1461" s="189" t="inlineStr">
        <is>
          <t>🚫 Block IOC at network perimeter | 🔎 Hunt for IOC across environment | 📋 Document and share with threat intel team</t>
        </is>
      </c>
      <c r="S1461" s="189" t="inlineStr">
        <is>
          <t>Classification: Not checked | Context: Not enriched | Name: Not indexed</t>
        </is>
      </c>
      <c r="T1461" s="189" t="n">
        <v>0</v>
      </c>
      <c r="U1461" s="189" t="n">
        <v>0</v>
      </c>
      <c r="V1461" s="189" t="inlineStr">
        <is>
          <t>T1071:Application Layer Protocol | T1102:Web Service</t>
        </is>
      </c>
      <c r="W1461" s="189" t="n">
        <v>1</v>
      </c>
      <c r="X1461" s="189" t="inlineStr">
        <is>
          <t>LOW (40%)</t>
        </is>
      </c>
      <c r="Y1461" s="189" t="inlineStr">
        <is>
          <t>NONE</t>
        </is>
      </c>
      <c r="Z1461" s="189" t="inlineStr">
        <is>
          <t>NONE</t>
        </is>
      </c>
      <c r="AA1461" s="189" t="inlineStr">
        <is>
          <t>NONE</t>
        </is>
      </c>
      <c r="AB1461" s="189" t="inlineStr">
        <is>
          <t>NONE</t>
        </is>
      </c>
      <c r="AC1461" s="189" t="n">
        <v>0</v>
      </c>
      <c r="AD1461" s="189" t="n"/>
    </row>
    <row r="1462">
      <c r="A1462" s="189" t="inlineStr">
        <is>
          <t>THREATFOX_IOC</t>
        </is>
      </c>
      <c r="B1462" s="189" t="inlineStr">
        <is>
          <t>1753828</t>
        </is>
      </c>
      <c r="C1462" s="189" t="inlineStr">
        <is>
          <t>domain IOC:  | Malware: ClearFake | Confidence: 100%</t>
        </is>
      </c>
      <c r="D1462" s="189" t="n">
        <v>7.5</v>
      </c>
      <c r="E1462" s="189" t="inlineStr">
        <is>
          <t>HIGH</t>
        </is>
      </c>
      <c r="F1462" s="189" t="n">
        <v>3</v>
      </c>
      <c r="G1462" s="189" t="n">
        <v>2</v>
      </c>
      <c r="H1462" s="189" t="inlineStr">
        <is>
          <t>HIGH</t>
        </is>
      </c>
      <c r="I1462" s="189" t="n">
        <v>13.5</v>
      </c>
      <c r="J1462" s="189" t="inlineStr">
        <is>
          <t>NO</t>
        </is>
      </c>
      <c r="K1462" s="190" t="inlineStr">
        <is>
          <t>https://threatfox.abuse.ch/ioc/1753828/</t>
        </is>
      </c>
      <c r="L1462" s="189" t="inlineStr">
        <is>
          <t>2026-02-23 21:23:44 UTC</t>
        </is>
      </c>
      <c r="M1462" s="189" t="inlineStr">
        <is>
          <t>Block IOC</t>
        </is>
      </c>
      <c r="N1462" s="190" t="inlineStr">
        <is>
          <t>https://threatfox.abuse.ch/ioc/1753828/</t>
        </is>
      </c>
      <c r="O1462" s="189" t="inlineStr">
        <is>
          <t>Block domain:</t>
        </is>
      </c>
      <c r="P1462" s="189" t="inlineStr">
        <is>
          <t>payload_delivery</t>
        </is>
      </c>
      <c r="Q1462" s="189" t="inlineStr">
        <is>
          <t>P3</t>
        </is>
      </c>
      <c r="R1462" s="189" t="inlineStr">
        <is>
          <t>🚫 Block IOC at network perimeter | 🔎 Hunt for IOC across environment | 📋 Document and share with threat intel team</t>
        </is>
      </c>
      <c r="S1462" s="189" t="inlineStr">
        <is>
          <t>Classification: Not checked | Context: Not enriched | Name: Not indexed</t>
        </is>
      </c>
      <c r="T1462" s="189" t="n">
        <v>0</v>
      </c>
      <c r="U1462" s="189" t="n">
        <v>0</v>
      </c>
      <c r="V1462" s="189" t="inlineStr">
        <is>
          <t>T1071:Application Layer Protocol | T1102:Web Service</t>
        </is>
      </c>
      <c r="W1462" s="189" t="n">
        <v>1</v>
      </c>
      <c r="X1462" s="189" t="inlineStr">
        <is>
          <t>LOW (40%)</t>
        </is>
      </c>
      <c r="Y1462" s="189" t="inlineStr">
        <is>
          <t>NONE</t>
        </is>
      </c>
      <c r="Z1462" s="189" t="inlineStr">
        <is>
          <t>NONE</t>
        </is>
      </c>
      <c r="AA1462" s="189" t="inlineStr">
        <is>
          <t>NONE</t>
        </is>
      </c>
      <c r="AB1462" s="189" t="inlineStr">
        <is>
          <t>NONE</t>
        </is>
      </c>
      <c r="AC1462" s="189" t="n">
        <v>0</v>
      </c>
      <c r="AD1462" s="189" t="n"/>
    </row>
    <row r="1463">
      <c r="A1463" s="189" t="inlineStr">
        <is>
          <t>THREATFOX_IOC</t>
        </is>
      </c>
      <c r="B1463" s="189" t="inlineStr">
        <is>
          <t>1753827</t>
        </is>
      </c>
      <c r="C1463" s="189" t="inlineStr">
        <is>
          <t>domain IOC:  | Malware: ClearFake | Confidence: 100%</t>
        </is>
      </c>
      <c r="D1463" s="189" t="n">
        <v>7.5</v>
      </c>
      <c r="E1463" s="189" t="inlineStr">
        <is>
          <t>HIGH</t>
        </is>
      </c>
      <c r="F1463" s="189" t="n">
        <v>3</v>
      </c>
      <c r="G1463" s="189" t="n">
        <v>2</v>
      </c>
      <c r="H1463" s="189" t="inlineStr">
        <is>
          <t>HIGH</t>
        </is>
      </c>
      <c r="I1463" s="189" t="n">
        <v>13.5</v>
      </c>
      <c r="J1463" s="189" t="inlineStr">
        <is>
          <t>NO</t>
        </is>
      </c>
      <c r="K1463" s="190" t="inlineStr">
        <is>
          <t>https://threatfox.abuse.ch/ioc/1753827/</t>
        </is>
      </c>
      <c r="L1463" s="189" t="inlineStr">
        <is>
          <t>2026-02-23 21:18:55 UTC</t>
        </is>
      </c>
      <c r="M1463" s="189" t="inlineStr">
        <is>
          <t>Block IOC</t>
        </is>
      </c>
      <c r="N1463" s="190" t="inlineStr">
        <is>
          <t>https://threatfox.abuse.ch/ioc/1753827/</t>
        </is>
      </c>
      <c r="O1463" s="189" t="inlineStr">
        <is>
          <t>Block domain:</t>
        </is>
      </c>
      <c r="P1463" s="189" t="inlineStr">
        <is>
          <t>payload_delivery</t>
        </is>
      </c>
      <c r="Q1463" s="189" t="inlineStr">
        <is>
          <t>P3</t>
        </is>
      </c>
      <c r="R1463" s="189" t="inlineStr">
        <is>
          <t>🚫 Block IOC at network perimeter | 🔎 Hunt for IOC across environment | 📋 Document and share with threat intel team</t>
        </is>
      </c>
      <c r="S1463" s="189" t="inlineStr">
        <is>
          <t>Classification: Not checked | Context: Not enriched | Name: Not indexed</t>
        </is>
      </c>
      <c r="T1463" s="189" t="n">
        <v>0</v>
      </c>
      <c r="U1463" s="189" t="n">
        <v>0</v>
      </c>
      <c r="V1463" s="189" t="inlineStr">
        <is>
          <t>T1071:Application Layer Protocol | T1102:Web Service</t>
        </is>
      </c>
      <c r="W1463" s="189" t="n">
        <v>1</v>
      </c>
      <c r="X1463" s="189" t="inlineStr">
        <is>
          <t>LOW (40%)</t>
        </is>
      </c>
      <c r="Y1463" s="189" t="inlineStr">
        <is>
          <t>NONE</t>
        </is>
      </c>
      <c r="Z1463" s="189" t="inlineStr">
        <is>
          <t>NONE</t>
        </is>
      </c>
      <c r="AA1463" s="189" t="inlineStr">
        <is>
          <t>NONE</t>
        </is>
      </c>
      <c r="AB1463" s="189" t="inlineStr">
        <is>
          <t>NONE</t>
        </is>
      </c>
      <c r="AC1463" s="189" t="n">
        <v>0</v>
      </c>
      <c r="AD1463" s="189" t="n"/>
    </row>
    <row r="1464">
      <c r="A1464" s="189" t="inlineStr">
        <is>
          <t>THREATFOX_IOC</t>
        </is>
      </c>
      <c r="B1464" s="189" t="inlineStr">
        <is>
          <t>1753826</t>
        </is>
      </c>
      <c r="C1464" s="189" t="inlineStr">
        <is>
          <t>domain IOC:  | Malware: ClearFake | Confidence: 100%</t>
        </is>
      </c>
      <c r="D1464" s="189" t="n">
        <v>7.5</v>
      </c>
      <c r="E1464" s="189" t="inlineStr">
        <is>
          <t>HIGH</t>
        </is>
      </c>
      <c r="F1464" s="189" t="n">
        <v>3</v>
      </c>
      <c r="G1464" s="189" t="n">
        <v>2</v>
      </c>
      <c r="H1464" s="189" t="inlineStr">
        <is>
          <t>HIGH</t>
        </is>
      </c>
      <c r="I1464" s="189" t="n">
        <v>13.5</v>
      </c>
      <c r="J1464" s="189" t="inlineStr">
        <is>
          <t>NO</t>
        </is>
      </c>
      <c r="K1464" s="190" t="inlineStr">
        <is>
          <t>https://threatfox.abuse.ch/ioc/1753826/</t>
        </is>
      </c>
      <c r="L1464" s="189" t="inlineStr">
        <is>
          <t>2026-02-23 21:14:10 UTC</t>
        </is>
      </c>
      <c r="M1464" s="189" t="inlineStr">
        <is>
          <t>Block IOC</t>
        </is>
      </c>
      <c r="N1464" s="190" t="inlineStr">
        <is>
          <t>https://threatfox.abuse.ch/ioc/1753826/</t>
        </is>
      </c>
      <c r="O1464" s="189" t="inlineStr">
        <is>
          <t>Block domain:</t>
        </is>
      </c>
      <c r="P1464" s="189" t="inlineStr">
        <is>
          <t>payload_delivery</t>
        </is>
      </c>
      <c r="Q1464" s="189" t="inlineStr">
        <is>
          <t>P3</t>
        </is>
      </c>
      <c r="R1464" s="189" t="inlineStr">
        <is>
          <t>🚫 Block IOC at network perimeter | 🔎 Hunt for IOC across environment | 📋 Document and share with threat intel team</t>
        </is>
      </c>
      <c r="S1464" s="189" t="inlineStr">
        <is>
          <t>Classification: Not checked | Context: Not enriched | Name: Not indexed</t>
        </is>
      </c>
      <c r="T1464" s="189" t="n">
        <v>0</v>
      </c>
      <c r="U1464" s="189" t="n">
        <v>0</v>
      </c>
      <c r="V1464" s="189" t="inlineStr">
        <is>
          <t>T1071:Application Layer Protocol | T1102:Web Service</t>
        </is>
      </c>
      <c r="W1464" s="189" t="n">
        <v>1</v>
      </c>
      <c r="X1464" s="189" t="inlineStr">
        <is>
          <t>LOW (40%)</t>
        </is>
      </c>
      <c r="Y1464" s="189" t="inlineStr">
        <is>
          <t>NONE</t>
        </is>
      </c>
      <c r="Z1464" s="189" t="inlineStr">
        <is>
          <t>NONE</t>
        </is>
      </c>
      <c r="AA1464" s="189" t="inlineStr">
        <is>
          <t>NONE</t>
        </is>
      </c>
      <c r="AB1464" s="189" t="inlineStr">
        <is>
          <t>NONE</t>
        </is>
      </c>
      <c r="AC1464" s="189" t="n">
        <v>0</v>
      </c>
      <c r="AD1464" s="189" t="n"/>
    </row>
    <row r="1465">
      <c r="A1465" s="189" t="inlineStr">
        <is>
          <t>THREATFOX_IOC</t>
        </is>
      </c>
      <c r="B1465" s="189" t="inlineStr">
        <is>
          <t>1753825</t>
        </is>
      </c>
      <c r="C1465" s="189" t="inlineStr">
        <is>
          <t>domain IOC:  | Malware: ClearFake | Confidence: 100%</t>
        </is>
      </c>
      <c r="D1465" s="189" t="n">
        <v>7.5</v>
      </c>
      <c r="E1465" s="189" t="inlineStr">
        <is>
          <t>HIGH</t>
        </is>
      </c>
      <c r="F1465" s="189" t="n">
        <v>3</v>
      </c>
      <c r="G1465" s="189" t="n">
        <v>2</v>
      </c>
      <c r="H1465" s="189" t="inlineStr">
        <is>
          <t>HIGH</t>
        </is>
      </c>
      <c r="I1465" s="189" t="n">
        <v>13.5</v>
      </c>
      <c r="J1465" s="189" t="inlineStr">
        <is>
          <t>NO</t>
        </is>
      </c>
      <c r="K1465" s="190" t="inlineStr">
        <is>
          <t>https://threatfox.abuse.ch/ioc/1753825/</t>
        </is>
      </c>
      <c r="L1465" s="189" t="inlineStr">
        <is>
          <t>2026-02-23 21:04:33 UTC</t>
        </is>
      </c>
      <c r="M1465" s="189" t="inlineStr">
        <is>
          <t>Block IOC</t>
        </is>
      </c>
      <c r="N1465" s="190" t="inlineStr">
        <is>
          <t>https://threatfox.abuse.ch/ioc/1753825/</t>
        </is>
      </c>
      <c r="O1465" s="189" t="inlineStr">
        <is>
          <t>Block domain:</t>
        </is>
      </c>
      <c r="P1465" s="189" t="inlineStr">
        <is>
          <t>payload_delivery</t>
        </is>
      </c>
      <c r="Q1465" s="189" t="inlineStr">
        <is>
          <t>P3</t>
        </is>
      </c>
      <c r="R1465" s="189" t="inlineStr">
        <is>
          <t>🚫 Block IOC at network perimeter | 🔎 Hunt for IOC across environment | 📋 Document and share with threat intel team</t>
        </is>
      </c>
      <c r="S1465" s="189" t="inlineStr">
        <is>
          <t>Classification: Not checked | Context: Not enriched | Name: Not indexed</t>
        </is>
      </c>
      <c r="T1465" s="189" t="n">
        <v>0</v>
      </c>
      <c r="U1465" s="189" t="n">
        <v>0</v>
      </c>
      <c r="V1465" s="189" t="inlineStr">
        <is>
          <t>T1071:Application Layer Protocol | T1102:Web Service</t>
        </is>
      </c>
      <c r="W1465" s="189" t="n">
        <v>1</v>
      </c>
      <c r="X1465" s="189" t="inlineStr">
        <is>
          <t>LOW (40%)</t>
        </is>
      </c>
      <c r="Y1465" s="189" t="inlineStr">
        <is>
          <t>NONE</t>
        </is>
      </c>
      <c r="Z1465" s="189" t="inlineStr">
        <is>
          <t>NONE</t>
        </is>
      </c>
      <c r="AA1465" s="189" t="inlineStr">
        <is>
          <t>NONE</t>
        </is>
      </c>
      <c r="AB1465" s="189" t="inlineStr">
        <is>
          <t>NONE</t>
        </is>
      </c>
      <c r="AC1465" s="189" t="n">
        <v>0</v>
      </c>
      <c r="AD1465" s="189" t="n"/>
    </row>
    <row r="1466">
      <c r="A1466" s="189" t="inlineStr">
        <is>
          <t>THREATFOX_IOC</t>
        </is>
      </c>
      <c r="B1466" s="189" t="inlineStr">
        <is>
          <t>1753824</t>
        </is>
      </c>
      <c r="C1466" s="189" t="inlineStr">
        <is>
          <t>domain IOC:  | Malware: DeerStealer | Confidence: 100%</t>
        </is>
      </c>
      <c r="D1466" s="189" t="n">
        <v>7.5</v>
      </c>
      <c r="E1466" s="189" t="inlineStr">
        <is>
          <t>HIGH</t>
        </is>
      </c>
      <c r="F1466" s="189" t="n">
        <v>3</v>
      </c>
      <c r="G1466" s="189" t="n">
        <v>2</v>
      </c>
      <c r="H1466" s="189" t="inlineStr">
        <is>
          <t>HIGH</t>
        </is>
      </c>
      <c r="I1466" s="189" t="n">
        <v>13.5</v>
      </c>
      <c r="J1466" s="189" t="inlineStr">
        <is>
          <t>NO</t>
        </is>
      </c>
      <c r="K1466" s="190" t="inlineStr">
        <is>
          <t>https://threatfox.abuse.ch/ioc/1753824/</t>
        </is>
      </c>
      <c r="L1466" s="189" t="inlineStr">
        <is>
          <t>2026-02-23 21:03:18 UTC</t>
        </is>
      </c>
      <c r="M1466" s="189" t="inlineStr">
        <is>
          <t>Block IOC</t>
        </is>
      </c>
      <c r="N1466" s="190" t="inlineStr">
        <is>
          <t>https://threatfox.abuse.ch/ioc/1753824/</t>
        </is>
      </c>
      <c r="O1466" s="189" t="inlineStr">
        <is>
          <t>Block domain:</t>
        </is>
      </c>
      <c r="P1466" s="189" t="inlineStr">
        <is>
          <t>botnet_cc</t>
        </is>
      </c>
      <c r="Q1466" s="189" t="inlineStr">
        <is>
          <t>P3</t>
        </is>
      </c>
      <c r="R1466" s="189" t="inlineStr">
        <is>
          <t>🚫 Block IOC at network perimeter | 🔎 Hunt for IOC across environment | 📋 Document and share with threat intel team</t>
        </is>
      </c>
      <c r="S1466" s="189" t="inlineStr">
        <is>
          <t>Classification: Not checked | Context: Not enriched | Name: Not indexed</t>
        </is>
      </c>
      <c r="T1466" s="189" t="n">
        <v>0</v>
      </c>
      <c r="U1466" s="189" t="n">
        <v>0</v>
      </c>
      <c r="V1466" s="189" t="inlineStr">
        <is>
          <t>T1071:Application Layer Protocol | T1102:Web Service</t>
        </is>
      </c>
      <c r="W1466" s="189" t="n">
        <v>1</v>
      </c>
      <c r="X1466" s="189" t="inlineStr">
        <is>
          <t>LOW (40%)</t>
        </is>
      </c>
      <c r="Y1466" s="189" t="inlineStr">
        <is>
          <t>NONE</t>
        </is>
      </c>
      <c r="Z1466" s="189" t="inlineStr">
        <is>
          <t>NONE</t>
        </is>
      </c>
      <c r="AA1466" s="189" t="inlineStr">
        <is>
          <t>NONE</t>
        </is>
      </c>
      <c r="AB1466" s="189" t="inlineStr">
        <is>
          <t>NONE</t>
        </is>
      </c>
      <c r="AC1466" s="189" t="n">
        <v>0</v>
      </c>
      <c r="AD1466" s="189" t="n"/>
    </row>
    <row r="1467">
      <c r="A1467" s="189" t="inlineStr">
        <is>
          <t>THREATFOX_IOC</t>
        </is>
      </c>
      <c r="B1467" s="189" t="inlineStr">
        <is>
          <t>1753823</t>
        </is>
      </c>
      <c r="C1467" s="189" t="inlineStr">
        <is>
          <t>domain IOC:  | Malware: DeerStealer | Confidence: 100%</t>
        </is>
      </c>
      <c r="D1467" s="189" t="n">
        <v>7.5</v>
      </c>
      <c r="E1467" s="189" t="inlineStr">
        <is>
          <t>HIGH</t>
        </is>
      </c>
      <c r="F1467" s="189" t="n">
        <v>3</v>
      </c>
      <c r="G1467" s="189" t="n">
        <v>2</v>
      </c>
      <c r="H1467" s="189" t="inlineStr">
        <is>
          <t>HIGH</t>
        </is>
      </c>
      <c r="I1467" s="189" t="n">
        <v>13.5</v>
      </c>
      <c r="J1467" s="189" t="inlineStr">
        <is>
          <t>NO</t>
        </is>
      </c>
      <c r="K1467" s="190" t="inlineStr">
        <is>
          <t>https://threatfox.abuse.ch/ioc/1753823/</t>
        </is>
      </c>
      <c r="L1467" s="189" t="inlineStr">
        <is>
          <t>2026-02-23 21:01:12 UTC</t>
        </is>
      </c>
      <c r="M1467" s="189" t="inlineStr">
        <is>
          <t>Block IOC</t>
        </is>
      </c>
      <c r="N1467" s="190" t="inlineStr">
        <is>
          <t>https://threatfox.abuse.ch/ioc/1753823/</t>
        </is>
      </c>
      <c r="O1467" s="189" t="inlineStr">
        <is>
          <t>Block domain:</t>
        </is>
      </c>
      <c r="P1467" s="189" t="inlineStr">
        <is>
          <t>botnet_cc</t>
        </is>
      </c>
      <c r="Q1467" s="189" t="inlineStr">
        <is>
          <t>P3</t>
        </is>
      </c>
      <c r="R1467" s="189" t="inlineStr">
        <is>
          <t>🚫 Block IOC at network perimeter | 🔎 Hunt for IOC across environment | 📋 Document and share with threat intel team</t>
        </is>
      </c>
      <c r="S1467" s="189" t="inlineStr">
        <is>
          <t>Classification: Not checked | Context: Not enriched | Name: Not indexed</t>
        </is>
      </c>
      <c r="T1467" s="189" t="n">
        <v>0</v>
      </c>
      <c r="U1467" s="189" t="n">
        <v>0</v>
      </c>
      <c r="V1467" s="189" t="inlineStr">
        <is>
          <t>T1071:Application Layer Protocol | T1102:Web Service</t>
        </is>
      </c>
      <c r="W1467" s="189" t="n">
        <v>1</v>
      </c>
      <c r="X1467" s="189" t="inlineStr">
        <is>
          <t>LOW (40%)</t>
        </is>
      </c>
      <c r="Y1467" s="189" t="inlineStr">
        <is>
          <t>NONE</t>
        </is>
      </c>
      <c r="Z1467" s="189" t="inlineStr">
        <is>
          <t>NONE</t>
        </is>
      </c>
      <c r="AA1467" s="189" t="inlineStr">
        <is>
          <t>NONE</t>
        </is>
      </c>
      <c r="AB1467" s="189" t="inlineStr">
        <is>
          <t>NONE</t>
        </is>
      </c>
      <c r="AC1467" s="189" t="n">
        <v>0</v>
      </c>
      <c r="AD1467" s="189" t="n"/>
    </row>
    <row r="1468">
      <c r="A1468" s="189" t="inlineStr">
        <is>
          <t>THREATFOX_IOC</t>
        </is>
      </c>
      <c r="B1468" s="189" t="inlineStr">
        <is>
          <t>1753822</t>
        </is>
      </c>
      <c r="C1468" s="189" t="inlineStr">
        <is>
          <t>ip:port IOC:  | Malware: NonEuclid RAT | Confidence: 100%</t>
        </is>
      </c>
      <c r="D1468" s="189" t="n">
        <v>7.5</v>
      </c>
      <c r="E1468" s="189" t="inlineStr">
        <is>
          <t>HIGH</t>
        </is>
      </c>
      <c r="F1468" s="189" t="n">
        <v>3</v>
      </c>
      <c r="G1468" s="189" t="n">
        <v>2</v>
      </c>
      <c r="H1468" s="189" t="inlineStr">
        <is>
          <t>HIGH</t>
        </is>
      </c>
      <c r="I1468" s="189" t="n">
        <v>13.5</v>
      </c>
      <c r="J1468" s="189" t="inlineStr">
        <is>
          <t>NO</t>
        </is>
      </c>
      <c r="K1468" s="190" t="inlineStr">
        <is>
          <t>https://threatfox.abuse.ch/ioc/1753822/</t>
        </is>
      </c>
      <c r="L1468" s="189" t="inlineStr">
        <is>
          <t>2026-02-23 21:00:20 UTC</t>
        </is>
      </c>
      <c r="M1468" s="189" t="inlineStr">
        <is>
          <t>Block IOC</t>
        </is>
      </c>
      <c r="N1468" s="190" t="inlineStr">
        <is>
          <t>https://threatfox.abuse.ch/ioc/1753822/</t>
        </is>
      </c>
      <c r="O1468" s="189" t="inlineStr">
        <is>
          <t>Block ip:port:</t>
        </is>
      </c>
      <c r="P1468" s="189" t="inlineStr">
        <is>
          <t>botnet_cc</t>
        </is>
      </c>
      <c r="Q1468" s="189" t="inlineStr">
        <is>
          <t>P3</t>
        </is>
      </c>
      <c r="R1468" s="189" t="inlineStr">
        <is>
          <t>🚫 Block IOC at network perimeter | 🔎 Hunt for IOC across environment | 📋 Document and share with threat intel team</t>
        </is>
      </c>
      <c r="S1468" s="189" t="inlineStr">
        <is>
          <t>Classification: isp-consumer | Context: 🌍 Egypt | Alexandria | 🏢 TE Data | ASN: AS8452 TE-AS | Name: TE Data</t>
        </is>
      </c>
      <c r="T1468" s="189" t="n">
        <v>0</v>
      </c>
      <c r="U1468" s="189" t="n">
        <v>0</v>
      </c>
      <c r="V1468" s="189" t="inlineStr">
        <is>
          <t>T1071:Application Layer Protocol | T1102:Web Service</t>
        </is>
      </c>
      <c r="W1468" s="189" t="n">
        <v>1</v>
      </c>
      <c r="X1468" s="189" t="inlineStr">
        <is>
          <t>LOW (40%)</t>
        </is>
      </c>
      <c r="Y1468" s="189" t="inlineStr">
        <is>
          <t>NONE</t>
        </is>
      </c>
      <c r="Z1468" s="189" t="inlineStr">
        <is>
          <t>NONE</t>
        </is>
      </c>
      <c r="AA1468" s="189" t="inlineStr">
        <is>
          <t>NONE</t>
        </is>
      </c>
      <c r="AB1468" s="189" t="inlineStr">
        <is>
          <t>NONE</t>
        </is>
      </c>
      <c r="AC1468" s="189" t="n">
        <v>0</v>
      </c>
      <c r="AD1468" s="189" t="n"/>
    </row>
    <row r="1469">
      <c r="A1469" s="189" t="inlineStr">
        <is>
          <t>THREATFOX_IOC</t>
        </is>
      </c>
      <c r="B1469" s="189" t="inlineStr">
        <is>
          <t>1753821</t>
        </is>
      </c>
      <c r="C1469" s="189" t="inlineStr">
        <is>
          <t>domain IOC:  | Malware: ClearFake | Confidence: 100%</t>
        </is>
      </c>
      <c r="D1469" s="189" t="n">
        <v>7.5</v>
      </c>
      <c r="E1469" s="189" t="inlineStr">
        <is>
          <t>HIGH</t>
        </is>
      </c>
      <c r="F1469" s="189" t="n">
        <v>3</v>
      </c>
      <c r="G1469" s="189" t="n">
        <v>2</v>
      </c>
      <c r="H1469" s="189" t="inlineStr">
        <is>
          <t>HIGH</t>
        </is>
      </c>
      <c r="I1469" s="189" t="n">
        <v>13.5</v>
      </c>
      <c r="J1469" s="189" t="inlineStr">
        <is>
          <t>NO</t>
        </is>
      </c>
      <c r="K1469" s="190" t="inlineStr">
        <is>
          <t>https://threatfox.abuse.ch/ioc/1753821/</t>
        </is>
      </c>
      <c r="L1469" s="189" t="inlineStr">
        <is>
          <t>2026-02-23 20:57:59 UTC</t>
        </is>
      </c>
      <c r="M1469" s="189" t="inlineStr">
        <is>
          <t>Block IOC</t>
        </is>
      </c>
      <c r="N1469" s="190" t="inlineStr">
        <is>
          <t>https://threatfox.abuse.ch/ioc/1753821/</t>
        </is>
      </c>
      <c r="O1469" s="189" t="inlineStr">
        <is>
          <t>Block domain:</t>
        </is>
      </c>
      <c r="P1469" s="189" t="inlineStr">
        <is>
          <t>payload_delivery</t>
        </is>
      </c>
      <c r="Q1469" s="189" t="inlineStr">
        <is>
          <t>P3</t>
        </is>
      </c>
      <c r="R1469" s="189" t="inlineStr">
        <is>
          <t>🚫 Block IOC at network perimeter | 🔎 Hunt for IOC across environment | 📋 Document and share with threat intel team</t>
        </is>
      </c>
      <c r="S1469" s="189" t="inlineStr">
        <is>
          <t>Classification: Not checked | Context: Not enriched | Name: Not indexed</t>
        </is>
      </c>
      <c r="T1469" s="189" t="n">
        <v>0</v>
      </c>
      <c r="U1469" s="189" t="n">
        <v>0</v>
      </c>
      <c r="V1469" s="189" t="inlineStr">
        <is>
          <t>T1071:Application Layer Protocol | T1102:Web Service</t>
        </is>
      </c>
      <c r="W1469" s="189" t="n">
        <v>1</v>
      </c>
      <c r="X1469" s="189" t="inlineStr">
        <is>
          <t>LOW (40%)</t>
        </is>
      </c>
      <c r="Y1469" s="189" t="inlineStr">
        <is>
          <t>NONE</t>
        </is>
      </c>
      <c r="Z1469" s="189" t="inlineStr">
        <is>
          <t>NONE</t>
        </is>
      </c>
      <c r="AA1469" s="189" t="inlineStr">
        <is>
          <t>NONE</t>
        </is>
      </c>
      <c r="AB1469" s="189" t="inlineStr">
        <is>
          <t>NONE</t>
        </is>
      </c>
      <c r="AC1469" s="189" t="n">
        <v>0</v>
      </c>
      <c r="AD1469" s="189" t="n"/>
    </row>
    <row r="1470">
      <c r="A1470" s="189" t="inlineStr">
        <is>
          <t>THREATFOX_IOC</t>
        </is>
      </c>
      <c r="B1470" s="189" t="inlineStr">
        <is>
          <t>1753820</t>
        </is>
      </c>
      <c r="C1470" s="189" t="inlineStr">
        <is>
          <t>domain IOC:  | Malware: StrelaStealer | Confidence: 100%</t>
        </is>
      </c>
      <c r="D1470" s="189" t="n">
        <v>7.5</v>
      </c>
      <c r="E1470" s="189" t="inlineStr">
        <is>
          <t>HIGH</t>
        </is>
      </c>
      <c r="F1470" s="189" t="n">
        <v>3</v>
      </c>
      <c r="G1470" s="189" t="n">
        <v>2</v>
      </c>
      <c r="H1470" s="189" t="inlineStr">
        <is>
          <t>HIGH</t>
        </is>
      </c>
      <c r="I1470" s="189" t="n">
        <v>13.5</v>
      </c>
      <c r="J1470" s="189" t="inlineStr">
        <is>
          <t>NO</t>
        </is>
      </c>
      <c r="K1470" s="190" t="inlineStr">
        <is>
          <t>https://threatfox.abuse.ch/ioc/1753820/</t>
        </is>
      </c>
      <c r="L1470" s="189" t="inlineStr">
        <is>
          <t>2026-02-23 20:56:55 UTC</t>
        </is>
      </c>
      <c r="M1470" s="189" t="inlineStr">
        <is>
          <t>Block IOC</t>
        </is>
      </c>
      <c r="N1470" s="190" t="inlineStr">
        <is>
          <t>https://threatfox.abuse.ch/ioc/1753820/</t>
        </is>
      </c>
      <c r="O1470" s="189" t="inlineStr">
        <is>
          <t>Block domain:</t>
        </is>
      </c>
      <c r="P1470" s="189" t="inlineStr">
        <is>
          <t>payload_delivery</t>
        </is>
      </c>
      <c r="Q1470" s="189" t="inlineStr">
        <is>
          <t>P3</t>
        </is>
      </c>
      <c r="R1470" s="189" t="inlineStr">
        <is>
          <t>🚫 Block IOC at network perimeter | 🔎 Hunt for IOC across environment | 📋 Document and share with threat intel team</t>
        </is>
      </c>
      <c r="S1470" s="189" t="inlineStr">
        <is>
          <t>Classification: Not checked | Context: Not enriched | Name: Not indexed</t>
        </is>
      </c>
      <c r="T1470" s="189" t="n">
        <v>0</v>
      </c>
      <c r="U1470" s="189" t="n">
        <v>0</v>
      </c>
      <c r="V1470" s="189" t="inlineStr">
        <is>
          <t>T1071:Application Layer Protocol | T1102:Web Service</t>
        </is>
      </c>
      <c r="W1470" s="189" t="n">
        <v>1</v>
      </c>
      <c r="X1470" s="189" t="inlineStr">
        <is>
          <t>LOW (40%)</t>
        </is>
      </c>
      <c r="Y1470" s="189" t="inlineStr">
        <is>
          <t>NONE</t>
        </is>
      </c>
      <c r="Z1470" s="189" t="inlineStr">
        <is>
          <t>NONE</t>
        </is>
      </c>
      <c r="AA1470" s="189" t="inlineStr">
        <is>
          <t>NONE</t>
        </is>
      </c>
      <c r="AB1470" s="189" t="inlineStr">
        <is>
          <t>NONE</t>
        </is>
      </c>
      <c r="AC1470" s="189" t="n">
        <v>0</v>
      </c>
      <c r="AD1470" s="189" t="n"/>
    </row>
    <row r="1471">
      <c r="A1471" s="189" t="inlineStr">
        <is>
          <t>THREATFOX_IOC</t>
        </is>
      </c>
      <c r="B1471" s="189" t="inlineStr">
        <is>
          <t>1753819</t>
        </is>
      </c>
      <c r="C1471" s="189" t="inlineStr">
        <is>
          <t>domain IOC:  | Malware: StrelaStealer | Confidence: 100%</t>
        </is>
      </c>
      <c r="D1471" s="189" t="n">
        <v>7.5</v>
      </c>
      <c r="E1471" s="189" t="inlineStr">
        <is>
          <t>HIGH</t>
        </is>
      </c>
      <c r="F1471" s="189" t="n">
        <v>3</v>
      </c>
      <c r="G1471" s="189" t="n">
        <v>2</v>
      </c>
      <c r="H1471" s="189" t="inlineStr">
        <is>
          <t>HIGH</t>
        </is>
      </c>
      <c r="I1471" s="189" t="n">
        <v>13.5</v>
      </c>
      <c r="J1471" s="189" t="inlineStr">
        <is>
          <t>NO</t>
        </is>
      </c>
      <c r="K1471" s="190" t="inlineStr">
        <is>
          <t>https://threatfox.abuse.ch/ioc/1753819/</t>
        </is>
      </c>
      <c r="L1471" s="189" t="inlineStr">
        <is>
          <t>2026-02-23 20:55:23 UTC</t>
        </is>
      </c>
      <c r="M1471" s="189" t="inlineStr">
        <is>
          <t>Block IOC</t>
        </is>
      </c>
      <c r="N1471" s="190" t="inlineStr">
        <is>
          <t>https://threatfox.abuse.ch/ioc/1753819/</t>
        </is>
      </c>
      <c r="O1471" s="189" t="inlineStr">
        <is>
          <t>Block domain:</t>
        </is>
      </c>
      <c r="P1471" s="189" t="inlineStr">
        <is>
          <t>payload_delivery</t>
        </is>
      </c>
      <c r="Q1471" s="189" t="inlineStr">
        <is>
          <t>P3</t>
        </is>
      </c>
      <c r="R1471" s="189" t="inlineStr">
        <is>
          <t>🚫 Block IOC at network perimeter | 🔎 Hunt for IOC across environment | 📋 Document and share with threat intel team</t>
        </is>
      </c>
      <c r="S1471" s="189" t="inlineStr">
        <is>
          <t>Classification: Not checked | Context: Not enriched | Name: Not indexed</t>
        </is>
      </c>
      <c r="T1471" s="189" t="n">
        <v>0</v>
      </c>
      <c r="U1471" s="189" t="n">
        <v>0</v>
      </c>
      <c r="V1471" s="189" t="inlineStr">
        <is>
          <t>T1071:Application Layer Protocol | T1102:Web Service</t>
        </is>
      </c>
      <c r="W1471" s="189" t="n">
        <v>1</v>
      </c>
      <c r="X1471" s="189" t="inlineStr">
        <is>
          <t>LOW (40%)</t>
        </is>
      </c>
      <c r="Y1471" s="189" t="inlineStr">
        <is>
          <t>NONE</t>
        </is>
      </c>
      <c r="Z1471" s="189" t="inlineStr">
        <is>
          <t>NONE</t>
        </is>
      </c>
      <c r="AA1471" s="189" t="inlineStr">
        <is>
          <t>NONE</t>
        </is>
      </c>
      <c r="AB1471" s="189" t="inlineStr">
        <is>
          <t>NONE</t>
        </is>
      </c>
      <c r="AC1471" s="189" t="n">
        <v>0</v>
      </c>
      <c r="AD1471" s="189" t="n"/>
    </row>
    <row r="1472">
      <c r="A1472" s="189" t="inlineStr">
        <is>
          <t>THREATFOX_IOC</t>
        </is>
      </c>
      <c r="B1472" s="189" t="inlineStr">
        <is>
          <t>1753818</t>
        </is>
      </c>
      <c r="C1472" s="189" t="inlineStr">
        <is>
          <t>domain IOC:  | Malware: ClearFake | Confidence: 100%</t>
        </is>
      </c>
      <c r="D1472" s="189" t="n">
        <v>7.5</v>
      </c>
      <c r="E1472" s="189" t="inlineStr">
        <is>
          <t>HIGH</t>
        </is>
      </c>
      <c r="F1472" s="189" t="n">
        <v>3</v>
      </c>
      <c r="G1472" s="189" t="n">
        <v>2</v>
      </c>
      <c r="H1472" s="189" t="inlineStr">
        <is>
          <t>HIGH</t>
        </is>
      </c>
      <c r="I1472" s="189" t="n">
        <v>13.5</v>
      </c>
      <c r="J1472" s="189" t="inlineStr">
        <is>
          <t>NO</t>
        </is>
      </c>
      <c r="K1472" s="190" t="inlineStr">
        <is>
          <t>https://threatfox.abuse.ch/ioc/1753818/</t>
        </is>
      </c>
      <c r="L1472" s="189" t="inlineStr">
        <is>
          <t>2026-02-23 20:51:35 UTC</t>
        </is>
      </c>
      <c r="M1472" s="189" t="inlineStr">
        <is>
          <t>Block IOC</t>
        </is>
      </c>
      <c r="N1472" s="190" t="inlineStr">
        <is>
          <t>https://threatfox.abuse.ch/ioc/1753818/</t>
        </is>
      </c>
      <c r="O1472" s="189" t="inlineStr">
        <is>
          <t>Block domain:</t>
        </is>
      </c>
      <c r="P1472" s="189" t="inlineStr">
        <is>
          <t>payload_delivery</t>
        </is>
      </c>
      <c r="Q1472" s="189" t="inlineStr">
        <is>
          <t>P3</t>
        </is>
      </c>
      <c r="R1472" s="189" t="inlineStr">
        <is>
          <t>🚫 Block IOC at network perimeter | 🔎 Hunt for IOC across environment | 📋 Document and share with threat intel team</t>
        </is>
      </c>
      <c r="S1472" s="189" t="inlineStr">
        <is>
          <t>Classification: Not checked | Context: Not enriched | Name: Not indexed</t>
        </is>
      </c>
      <c r="T1472" s="189" t="n">
        <v>0</v>
      </c>
      <c r="U1472" s="189" t="n">
        <v>0</v>
      </c>
      <c r="V1472" s="189" t="inlineStr">
        <is>
          <t>T1071:Application Layer Protocol | T1102:Web Service</t>
        </is>
      </c>
      <c r="W1472" s="189" t="n">
        <v>1</v>
      </c>
      <c r="X1472" s="189" t="inlineStr">
        <is>
          <t>LOW (40%)</t>
        </is>
      </c>
      <c r="Y1472" s="189" t="inlineStr">
        <is>
          <t>NONE</t>
        </is>
      </c>
      <c r="Z1472" s="189" t="inlineStr">
        <is>
          <t>NONE</t>
        </is>
      </c>
      <c r="AA1472" s="189" t="inlineStr">
        <is>
          <t>NONE</t>
        </is>
      </c>
      <c r="AB1472" s="189" t="inlineStr">
        <is>
          <t>NONE</t>
        </is>
      </c>
      <c r="AC1472" s="189" t="n">
        <v>0</v>
      </c>
      <c r="AD1472" s="189" t="n"/>
    </row>
    <row r="1473">
      <c r="A1473" s="189" t="inlineStr">
        <is>
          <t>THREATFOX_IOC</t>
        </is>
      </c>
      <c r="B1473" s="189" t="inlineStr">
        <is>
          <t>1753817</t>
        </is>
      </c>
      <c r="C1473" s="189" t="inlineStr">
        <is>
          <t>domain IOC:  | Malware: ClearFake | Confidence: 100%</t>
        </is>
      </c>
      <c r="D1473" s="189" t="n">
        <v>7.5</v>
      </c>
      <c r="E1473" s="189" t="inlineStr">
        <is>
          <t>HIGH</t>
        </is>
      </c>
      <c r="F1473" s="189" t="n">
        <v>3</v>
      </c>
      <c r="G1473" s="189" t="n">
        <v>2</v>
      </c>
      <c r="H1473" s="189" t="inlineStr">
        <is>
          <t>HIGH</t>
        </is>
      </c>
      <c r="I1473" s="189" t="n">
        <v>13.5</v>
      </c>
      <c r="J1473" s="189" t="inlineStr">
        <is>
          <t>NO</t>
        </is>
      </c>
      <c r="K1473" s="190" t="inlineStr">
        <is>
          <t>https://threatfox.abuse.ch/ioc/1753817/</t>
        </is>
      </c>
      <c r="L1473" s="189" t="inlineStr">
        <is>
          <t>2026-02-23 20:41:13 UTC</t>
        </is>
      </c>
      <c r="M1473" s="189" t="inlineStr">
        <is>
          <t>Block IOC</t>
        </is>
      </c>
      <c r="N1473" s="190" t="inlineStr">
        <is>
          <t>https://threatfox.abuse.ch/ioc/1753817/</t>
        </is>
      </c>
      <c r="O1473" s="189" t="inlineStr">
        <is>
          <t>Block domain:</t>
        </is>
      </c>
      <c r="P1473" s="189" t="inlineStr">
        <is>
          <t>payload_delivery</t>
        </is>
      </c>
      <c r="Q1473" s="189" t="inlineStr">
        <is>
          <t>P3</t>
        </is>
      </c>
      <c r="R1473" s="189" t="inlineStr">
        <is>
          <t>🚫 Block IOC at network perimeter | 🔎 Hunt for IOC across environment | 📋 Document and share with threat intel team</t>
        </is>
      </c>
      <c r="S1473" s="189" t="inlineStr">
        <is>
          <t>Classification: Not checked | Context: Not enriched | Name: Not indexed</t>
        </is>
      </c>
      <c r="T1473" s="189" t="n">
        <v>0</v>
      </c>
      <c r="U1473" s="189" t="n">
        <v>0</v>
      </c>
      <c r="V1473" s="189" t="inlineStr">
        <is>
          <t>T1071:Application Layer Protocol | T1102:Web Service</t>
        </is>
      </c>
      <c r="W1473" s="189" t="n">
        <v>1</v>
      </c>
      <c r="X1473" s="189" t="inlineStr">
        <is>
          <t>LOW (40%)</t>
        </is>
      </c>
      <c r="Y1473" s="189" t="inlineStr">
        <is>
          <t>NONE</t>
        </is>
      </c>
      <c r="Z1473" s="189" t="inlineStr">
        <is>
          <t>NONE</t>
        </is>
      </c>
      <c r="AA1473" s="189" t="inlineStr">
        <is>
          <t>NONE</t>
        </is>
      </c>
      <c r="AB1473" s="189" t="inlineStr">
        <is>
          <t>NONE</t>
        </is>
      </c>
      <c r="AC1473" s="189" t="n">
        <v>0</v>
      </c>
      <c r="AD1473" s="189" t="n"/>
    </row>
    <row r="1474">
      <c r="A1474" s="189" t="inlineStr">
        <is>
          <t>THREATFOX_IOC</t>
        </is>
      </c>
      <c r="B1474" s="189" t="inlineStr">
        <is>
          <t>1753816</t>
        </is>
      </c>
      <c r="C1474" s="189" t="inlineStr">
        <is>
          <t>domain IOC:  | Malware: StrelaStealer | Confidence: 100%</t>
        </is>
      </c>
      <c r="D1474" s="189" t="n">
        <v>7.5</v>
      </c>
      <c r="E1474" s="189" t="inlineStr">
        <is>
          <t>HIGH</t>
        </is>
      </c>
      <c r="F1474" s="189" t="n">
        <v>3</v>
      </c>
      <c r="G1474" s="189" t="n">
        <v>2</v>
      </c>
      <c r="H1474" s="189" t="inlineStr">
        <is>
          <t>HIGH</t>
        </is>
      </c>
      <c r="I1474" s="189" t="n">
        <v>13.5</v>
      </c>
      <c r="J1474" s="189" t="inlineStr">
        <is>
          <t>NO</t>
        </is>
      </c>
      <c r="K1474" s="190" t="inlineStr">
        <is>
          <t>https://threatfox.abuse.ch/ioc/1753816/</t>
        </is>
      </c>
      <c r="L1474" s="189" t="inlineStr">
        <is>
          <t>2026-02-23 20:37:38 UTC</t>
        </is>
      </c>
      <c r="M1474" s="189" t="inlineStr">
        <is>
          <t>Block IOC</t>
        </is>
      </c>
      <c r="N1474" s="190" t="inlineStr">
        <is>
          <t>https://threatfox.abuse.ch/ioc/1753816/</t>
        </is>
      </c>
      <c r="O1474" s="189" t="inlineStr">
        <is>
          <t>Block domain:</t>
        </is>
      </c>
      <c r="P1474" s="189" t="inlineStr">
        <is>
          <t>payload_delivery</t>
        </is>
      </c>
      <c r="Q1474" s="189" t="inlineStr">
        <is>
          <t>P3</t>
        </is>
      </c>
      <c r="R1474" s="189" t="inlineStr">
        <is>
          <t>🚫 Block IOC at network perimeter | 🔎 Hunt for IOC across environment | 📋 Document and share with threat intel team</t>
        </is>
      </c>
      <c r="S1474" s="189" t="inlineStr">
        <is>
          <t>Classification: Not checked | Context: Not enriched | Name: Not indexed</t>
        </is>
      </c>
      <c r="T1474" s="189" t="n">
        <v>0</v>
      </c>
      <c r="U1474" s="189" t="n">
        <v>0</v>
      </c>
      <c r="V1474" s="189" t="inlineStr">
        <is>
          <t>T1071:Application Layer Protocol | T1102:Web Service</t>
        </is>
      </c>
      <c r="W1474" s="189" t="n">
        <v>1</v>
      </c>
      <c r="X1474" s="189" t="inlineStr">
        <is>
          <t>LOW (40%)</t>
        </is>
      </c>
      <c r="Y1474" s="189" t="inlineStr">
        <is>
          <t>NONE</t>
        </is>
      </c>
      <c r="Z1474" s="189" t="inlineStr">
        <is>
          <t>NONE</t>
        </is>
      </c>
      <c r="AA1474" s="189" t="inlineStr">
        <is>
          <t>NONE</t>
        </is>
      </c>
      <c r="AB1474" s="189" t="inlineStr">
        <is>
          <t>NONE</t>
        </is>
      </c>
      <c r="AC1474" s="189" t="n">
        <v>0</v>
      </c>
      <c r="AD1474" s="189" t="n"/>
    </row>
    <row r="1475">
      <c r="A1475" s="189" t="inlineStr">
        <is>
          <t>THREATFOX_IOC</t>
        </is>
      </c>
      <c r="B1475" s="189" t="inlineStr">
        <is>
          <t>1753815</t>
        </is>
      </c>
      <c r="C1475" s="189" t="inlineStr">
        <is>
          <t>ip:port IOC:  | Malware: XWorm | Confidence: 100%</t>
        </is>
      </c>
      <c r="D1475" s="189" t="n">
        <v>7.5</v>
      </c>
      <c r="E1475" s="189" t="inlineStr">
        <is>
          <t>HIGH</t>
        </is>
      </c>
      <c r="F1475" s="189" t="n">
        <v>3</v>
      </c>
      <c r="G1475" s="189" t="n">
        <v>2</v>
      </c>
      <c r="H1475" s="189" t="inlineStr">
        <is>
          <t>HIGH</t>
        </is>
      </c>
      <c r="I1475" s="189" t="n">
        <v>13.5</v>
      </c>
      <c r="J1475" s="189" t="inlineStr">
        <is>
          <t>NO</t>
        </is>
      </c>
      <c r="K1475" s="190" t="inlineStr">
        <is>
          <t>https://threatfox.abuse.ch/ioc/1753815/</t>
        </is>
      </c>
      <c r="L1475" s="189" t="inlineStr">
        <is>
          <t>2026-02-23 20:35:37 UTC</t>
        </is>
      </c>
      <c r="M1475" s="189" t="inlineStr">
        <is>
          <t>Block IOC</t>
        </is>
      </c>
      <c r="N1475" s="190" t="inlineStr">
        <is>
          <t>https://threatfox.abuse.ch/ioc/1753815/</t>
        </is>
      </c>
      <c r="O1475" s="189" t="inlineStr">
        <is>
          <t>Block ip:port:</t>
        </is>
      </c>
      <c r="P1475" s="189" t="inlineStr">
        <is>
          <t>botnet_cc</t>
        </is>
      </c>
      <c r="Q1475" s="189" t="inlineStr">
        <is>
          <t>P3</t>
        </is>
      </c>
      <c r="R1475" s="189" t="inlineStr">
        <is>
          <t>🚫 Block IOC at network perimeter | 🔎 Hunt for IOC across environment | 📋 Document and share with threat intel team</t>
        </is>
      </c>
      <c r="S1475" s="189" t="inlineStr">
        <is>
          <t>Classification: isp-consumer | Context: 🌍 Egypt | Alexandria | 🏢 TE Data | ASN: AS8452 TE-AS | Name: TE Data</t>
        </is>
      </c>
      <c r="T1475" s="189" t="n">
        <v>0</v>
      </c>
      <c r="U1475" s="189" t="n">
        <v>0</v>
      </c>
      <c r="V1475" s="189" t="inlineStr">
        <is>
          <t>T1071:Application Layer Protocol | T1102:Web Service</t>
        </is>
      </c>
      <c r="W1475" s="189" t="n">
        <v>1</v>
      </c>
      <c r="X1475" s="189" t="inlineStr">
        <is>
          <t>LOW (40%)</t>
        </is>
      </c>
      <c r="Y1475" s="189" t="inlineStr">
        <is>
          <t>NONE</t>
        </is>
      </c>
      <c r="Z1475" s="189" t="inlineStr">
        <is>
          <t>NONE</t>
        </is>
      </c>
      <c r="AA1475" s="189" t="inlineStr">
        <is>
          <t>NONE</t>
        </is>
      </c>
      <c r="AB1475" s="189" t="inlineStr">
        <is>
          <t>NONE</t>
        </is>
      </c>
      <c r="AC1475" s="189" t="n">
        <v>0</v>
      </c>
      <c r="AD1475" s="189" t="n"/>
    </row>
    <row r="1476">
      <c r="A1476" s="189" t="inlineStr">
        <is>
          <t>THREATFOX_IOC</t>
        </is>
      </c>
      <c r="B1476" s="189" t="inlineStr">
        <is>
          <t>1753814</t>
        </is>
      </c>
      <c r="C1476" s="189" t="inlineStr">
        <is>
          <t>domain IOC:  | Malware: Remcos | Confidence: 100%</t>
        </is>
      </c>
      <c r="D1476" s="189" t="n">
        <v>7.5</v>
      </c>
      <c r="E1476" s="189" t="inlineStr">
        <is>
          <t>HIGH</t>
        </is>
      </c>
      <c r="F1476" s="189" t="n">
        <v>3</v>
      </c>
      <c r="G1476" s="189" t="n">
        <v>2</v>
      </c>
      <c r="H1476" s="189" t="inlineStr">
        <is>
          <t>HIGH</t>
        </is>
      </c>
      <c r="I1476" s="189" t="n">
        <v>13.5</v>
      </c>
      <c r="J1476" s="189" t="inlineStr">
        <is>
          <t>NO</t>
        </is>
      </c>
      <c r="K1476" s="190" t="inlineStr">
        <is>
          <t>https://threatfox.abuse.ch/ioc/1753814/</t>
        </is>
      </c>
      <c r="L1476" s="189" t="inlineStr">
        <is>
          <t>2026-02-23 20:34:24 UTC</t>
        </is>
      </c>
      <c r="M1476" s="189" t="inlineStr">
        <is>
          <t>Block IOC</t>
        </is>
      </c>
      <c r="N1476" s="190" t="inlineStr">
        <is>
          <t>https://threatfox.abuse.ch/ioc/1753814/</t>
        </is>
      </c>
      <c r="O1476" s="189" t="inlineStr">
        <is>
          <t>Block domain:</t>
        </is>
      </c>
      <c r="P1476" s="189" t="inlineStr">
        <is>
          <t>botnet_cc</t>
        </is>
      </c>
      <c r="Q1476" s="189" t="inlineStr">
        <is>
          <t>P3</t>
        </is>
      </c>
      <c r="R1476" s="189" t="inlineStr">
        <is>
          <t>🚫 Block IOC at network perimeter | 🔎 Hunt for IOC across environment | 📋 Document and share with threat intel team</t>
        </is>
      </c>
      <c r="S1476" s="189" t="inlineStr">
        <is>
          <t>Classification: Not checked | Context: Not enriched | Name: Not indexed</t>
        </is>
      </c>
      <c r="T1476" s="189" t="n">
        <v>0</v>
      </c>
      <c r="U1476" s="189" t="n">
        <v>0</v>
      </c>
      <c r="V1476" s="189" t="inlineStr">
        <is>
          <t>T1071:Application Layer Protocol | T1102:Web Service</t>
        </is>
      </c>
      <c r="W1476" s="189" t="n">
        <v>1</v>
      </c>
      <c r="X1476" s="189" t="inlineStr">
        <is>
          <t>LOW (40%)</t>
        </is>
      </c>
      <c r="Y1476" s="189" t="inlineStr">
        <is>
          <t>NONE</t>
        </is>
      </c>
      <c r="Z1476" s="189" t="inlineStr">
        <is>
          <t>NONE</t>
        </is>
      </c>
      <c r="AA1476" s="189" t="inlineStr">
        <is>
          <t>NONE</t>
        </is>
      </c>
      <c r="AB1476" s="189" t="inlineStr">
        <is>
          <t>NONE</t>
        </is>
      </c>
      <c r="AC1476" s="189" t="n">
        <v>0</v>
      </c>
      <c r="AD1476" s="189" t="n"/>
    </row>
    <row r="1477">
      <c r="A1477" s="189" t="inlineStr">
        <is>
          <t>THREATFOX_IOC</t>
        </is>
      </c>
      <c r="B1477" s="189" t="inlineStr">
        <is>
          <t>1753813</t>
        </is>
      </c>
      <c r="C1477" s="189" t="inlineStr">
        <is>
          <t>domain IOC:  | Malware: ClearFake | Confidence: 100%</t>
        </is>
      </c>
      <c r="D1477" s="189" t="n">
        <v>7.5</v>
      </c>
      <c r="E1477" s="189" t="inlineStr">
        <is>
          <t>HIGH</t>
        </is>
      </c>
      <c r="F1477" s="189" t="n">
        <v>3</v>
      </c>
      <c r="G1477" s="189" t="n">
        <v>2</v>
      </c>
      <c r="H1477" s="189" t="inlineStr">
        <is>
          <t>HIGH</t>
        </is>
      </c>
      <c r="I1477" s="189" t="n">
        <v>13.5</v>
      </c>
      <c r="J1477" s="189" t="inlineStr">
        <is>
          <t>NO</t>
        </is>
      </c>
      <c r="K1477" s="190" t="inlineStr">
        <is>
          <t>https://threatfox.abuse.ch/ioc/1753813/</t>
        </is>
      </c>
      <c r="L1477" s="189" t="inlineStr">
        <is>
          <t>2026-02-23 20:34:09 UTC</t>
        </is>
      </c>
      <c r="M1477" s="189" t="inlineStr">
        <is>
          <t>Block IOC</t>
        </is>
      </c>
      <c r="N1477" s="190" t="inlineStr">
        <is>
          <t>https://threatfox.abuse.ch/ioc/1753813/</t>
        </is>
      </c>
      <c r="O1477" s="189" t="inlineStr">
        <is>
          <t>Block domain:</t>
        </is>
      </c>
      <c r="P1477" s="189" t="inlineStr">
        <is>
          <t>payload_delivery</t>
        </is>
      </c>
      <c r="Q1477" s="189" t="inlineStr">
        <is>
          <t>P3</t>
        </is>
      </c>
      <c r="R1477" s="189" t="inlineStr">
        <is>
          <t>🚫 Block IOC at network perimeter | 🔎 Hunt for IOC across environment | 📋 Document and share with threat intel team</t>
        </is>
      </c>
      <c r="S1477" s="189" t="inlineStr">
        <is>
          <t>Classification: Not checked | Context: Not enriched | Name: Not indexed</t>
        </is>
      </c>
      <c r="T1477" s="189" t="n">
        <v>0</v>
      </c>
      <c r="U1477" s="189" t="n">
        <v>0</v>
      </c>
      <c r="V1477" s="189" t="inlineStr">
        <is>
          <t>T1071:Application Layer Protocol | T1102:Web Service</t>
        </is>
      </c>
      <c r="W1477" s="189" t="n">
        <v>1</v>
      </c>
      <c r="X1477" s="189" t="inlineStr">
        <is>
          <t>LOW (40%)</t>
        </is>
      </c>
      <c r="Y1477" s="189" t="inlineStr">
        <is>
          <t>NONE</t>
        </is>
      </c>
      <c r="Z1477" s="189" t="inlineStr">
        <is>
          <t>NONE</t>
        </is>
      </c>
      <c r="AA1477" s="189" t="inlineStr">
        <is>
          <t>NONE</t>
        </is>
      </c>
      <c r="AB1477" s="189" t="inlineStr">
        <is>
          <t>NONE</t>
        </is>
      </c>
      <c r="AC1477" s="189" t="n">
        <v>0</v>
      </c>
      <c r="AD1477" s="189" t="n"/>
    </row>
    <row r="1478">
      <c r="A1478" s="189" t="inlineStr">
        <is>
          <t>THREATFOX_IOC</t>
        </is>
      </c>
      <c r="B1478" s="189" t="inlineStr">
        <is>
          <t>1753812</t>
        </is>
      </c>
      <c r="C1478" s="189" t="inlineStr">
        <is>
          <t>domain IOC:  | Malware: StrelaStealer | Confidence: 100%</t>
        </is>
      </c>
      <c r="D1478" s="189" t="n">
        <v>7.5</v>
      </c>
      <c r="E1478" s="189" t="inlineStr">
        <is>
          <t>HIGH</t>
        </is>
      </c>
      <c r="F1478" s="189" t="n">
        <v>3</v>
      </c>
      <c r="G1478" s="189" t="n">
        <v>2</v>
      </c>
      <c r="H1478" s="189" t="inlineStr">
        <is>
          <t>HIGH</t>
        </is>
      </c>
      <c r="I1478" s="189" t="n">
        <v>13.5</v>
      </c>
      <c r="J1478" s="189" t="inlineStr">
        <is>
          <t>NO</t>
        </is>
      </c>
      <c r="K1478" s="190" t="inlineStr">
        <is>
          <t>https://threatfox.abuse.ch/ioc/1753812/</t>
        </is>
      </c>
      <c r="L1478" s="189" t="inlineStr">
        <is>
          <t>2026-02-23 20:16:35 UTC</t>
        </is>
      </c>
      <c r="M1478" s="189" t="inlineStr">
        <is>
          <t>Block IOC</t>
        </is>
      </c>
      <c r="N1478" s="190" t="inlineStr">
        <is>
          <t>https://threatfox.abuse.ch/ioc/1753812/</t>
        </is>
      </c>
      <c r="O1478" s="189" t="inlineStr">
        <is>
          <t>Block domain:</t>
        </is>
      </c>
      <c r="P1478" s="189" t="inlineStr">
        <is>
          <t>payload_delivery</t>
        </is>
      </c>
      <c r="Q1478" s="189" t="inlineStr">
        <is>
          <t>P3</t>
        </is>
      </c>
      <c r="R1478" s="189" t="inlineStr">
        <is>
          <t>🚫 Block IOC at network perimeter | 🔎 Hunt for IOC across environment | 📋 Document and share with threat intel team</t>
        </is>
      </c>
      <c r="S1478" s="189" t="inlineStr">
        <is>
          <t>Classification: Not checked | Context: Not enriched | Name: Not indexed</t>
        </is>
      </c>
      <c r="T1478" s="189" t="n">
        <v>0</v>
      </c>
      <c r="U1478" s="189" t="n">
        <v>0</v>
      </c>
      <c r="V1478" s="189" t="inlineStr">
        <is>
          <t>T1071:Application Layer Protocol | T1102:Web Service</t>
        </is>
      </c>
      <c r="W1478" s="189" t="n">
        <v>1</v>
      </c>
      <c r="X1478" s="189" t="inlineStr">
        <is>
          <t>LOW (40%)</t>
        </is>
      </c>
      <c r="Y1478" s="189" t="inlineStr">
        <is>
          <t>NONE</t>
        </is>
      </c>
      <c r="Z1478" s="189" t="inlineStr">
        <is>
          <t>NONE</t>
        </is>
      </c>
      <c r="AA1478" s="189" t="inlineStr">
        <is>
          <t>NONE</t>
        </is>
      </c>
      <c r="AB1478" s="189" t="inlineStr">
        <is>
          <t>NONE</t>
        </is>
      </c>
      <c r="AC1478" s="189" t="n">
        <v>0</v>
      </c>
      <c r="AD1478" s="189" t="n"/>
    </row>
    <row r="1479">
      <c r="A1479" s="189" t="inlineStr">
        <is>
          <t>THREATFOX_IOC</t>
        </is>
      </c>
      <c r="B1479" s="189" t="inlineStr">
        <is>
          <t>1753811</t>
        </is>
      </c>
      <c r="C1479" s="189" t="inlineStr">
        <is>
          <t>domain IOC:  | Malware: ClearFake | Confidence: 100%</t>
        </is>
      </c>
      <c r="D1479" s="189" t="n">
        <v>7.5</v>
      </c>
      <c r="E1479" s="189" t="inlineStr">
        <is>
          <t>HIGH</t>
        </is>
      </c>
      <c r="F1479" s="189" t="n">
        <v>3</v>
      </c>
      <c r="G1479" s="189" t="n">
        <v>2</v>
      </c>
      <c r="H1479" s="189" t="inlineStr">
        <is>
          <t>HIGH</t>
        </is>
      </c>
      <c r="I1479" s="189" t="n">
        <v>13.5</v>
      </c>
      <c r="J1479" s="189" t="inlineStr">
        <is>
          <t>NO</t>
        </is>
      </c>
      <c r="K1479" s="190" t="inlineStr">
        <is>
          <t>https://threatfox.abuse.ch/ioc/1753811/</t>
        </is>
      </c>
      <c r="L1479" s="189" t="inlineStr">
        <is>
          <t>2026-02-23 20:16:09 UTC</t>
        </is>
      </c>
      <c r="M1479" s="189" t="inlineStr">
        <is>
          <t>Block IOC</t>
        </is>
      </c>
      <c r="N1479" s="190" t="inlineStr">
        <is>
          <t>https://threatfox.abuse.ch/ioc/1753811/</t>
        </is>
      </c>
      <c r="O1479" s="189" t="inlineStr">
        <is>
          <t>Block domain:</t>
        </is>
      </c>
      <c r="P1479" s="189" t="inlineStr">
        <is>
          <t>payload_delivery</t>
        </is>
      </c>
      <c r="Q1479" s="189" t="inlineStr">
        <is>
          <t>P3</t>
        </is>
      </c>
      <c r="R1479" s="189" t="inlineStr">
        <is>
          <t>🚫 Block IOC at network perimeter | 🔎 Hunt for IOC across environment | 📋 Document and share with threat intel team</t>
        </is>
      </c>
      <c r="S1479" s="189" t="inlineStr">
        <is>
          <t>Classification: Not checked | Context: Not enriched | Name: Not indexed</t>
        </is>
      </c>
      <c r="T1479" s="189" t="n">
        <v>0</v>
      </c>
      <c r="U1479" s="189" t="n">
        <v>0</v>
      </c>
      <c r="V1479" s="189" t="inlineStr">
        <is>
          <t>T1071:Application Layer Protocol | T1102:Web Service</t>
        </is>
      </c>
      <c r="W1479" s="189" t="n">
        <v>1</v>
      </c>
      <c r="X1479" s="189" t="inlineStr">
        <is>
          <t>LOW (40%)</t>
        </is>
      </c>
      <c r="Y1479" s="189" t="inlineStr">
        <is>
          <t>NONE</t>
        </is>
      </c>
      <c r="Z1479" s="189" t="inlineStr">
        <is>
          <t>NONE</t>
        </is>
      </c>
      <c r="AA1479" s="189" t="inlineStr">
        <is>
          <t>NONE</t>
        </is>
      </c>
      <c r="AB1479" s="189" t="inlineStr">
        <is>
          <t>NONE</t>
        </is>
      </c>
      <c r="AC1479" s="189" t="n">
        <v>0</v>
      </c>
      <c r="AD1479" s="189" t="n"/>
    </row>
    <row r="1480">
      <c r="A1480" s="189" t="inlineStr">
        <is>
          <t>THREATFOX_IOC</t>
        </is>
      </c>
      <c r="B1480" s="189" t="inlineStr">
        <is>
          <t>1753810</t>
        </is>
      </c>
      <c r="C1480" s="189" t="inlineStr">
        <is>
          <t>domain IOC:  | Malware: Remcos | Confidence: 100%</t>
        </is>
      </c>
      <c r="D1480" s="189" t="n">
        <v>7.5</v>
      </c>
      <c r="E1480" s="189" t="inlineStr">
        <is>
          <t>HIGH</t>
        </is>
      </c>
      <c r="F1480" s="189" t="n">
        <v>3</v>
      </c>
      <c r="G1480" s="189" t="n">
        <v>2</v>
      </c>
      <c r="H1480" s="189" t="inlineStr">
        <is>
          <t>HIGH</t>
        </is>
      </c>
      <c r="I1480" s="189" t="n">
        <v>13.5</v>
      </c>
      <c r="J1480" s="189" t="inlineStr">
        <is>
          <t>NO</t>
        </is>
      </c>
      <c r="K1480" s="190" t="inlineStr">
        <is>
          <t>https://threatfox.abuse.ch/ioc/1753810/</t>
        </is>
      </c>
      <c r="L1480" s="189" t="inlineStr">
        <is>
          <t>2026-02-23 20:09:28 UTC</t>
        </is>
      </c>
      <c r="M1480" s="189" t="inlineStr">
        <is>
          <t>Block IOC</t>
        </is>
      </c>
      <c r="N1480" s="190" t="inlineStr">
        <is>
          <t>https://threatfox.abuse.ch/ioc/1753810/</t>
        </is>
      </c>
      <c r="O1480" s="189" t="inlineStr">
        <is>
          <t>Block domain:</t>
        </is>
      </c>
      <c r="P1480" s="189" t="inlineStr">
        <is>
          <t>botnet_cc</t>
        </is>
      </c>
      <c r="Q1480" s="189" t="inlineStr">
        <is>
          <t>P3</t>
        </is>
      </c>
      <c r="R1480" s="189" t="inlineStr">
        <is>
          <t>🚫 Block IOC at network perimeter | 🔎 Hunt for IOC across environment | 📋 Document and share with threat intel team</t>
        </is>
      </c>
      <c r="S1480" s="189" t="inlineStr">
        <is>
          <t>Classification: skipped | Context: Skipped (20/run IOC cap) | Name: N/A</t>
        </is>
      </c>
      <c r="T1480" s="189" t="n">
        <v>0</v>
      </c>
      <c r="U1480" s="189" t="n">
        <v>0</v>
      </c>
      <c r="V1480" s="189" t="inlineStr">
        <is>
          <t>T1071:Application Layer Protocol | T1102:Web Service</t>
        </is>
      </c>
      <c r="W1480" s="189" t="n">
        <v>1</v>
      </c>
      <c r="X1480" s="189" t="inlineStr">
        <is>
          <t>LOW (40%)</t>
        </is>
      </c>
      <c r="Y1480" s="189" t="inlineStr">
        <is>
          <t>NONE</t>
        </is>
      </c>
      <c r="Z1480" s="189" t="inlineStr">
        <is>
          <t>NONE</t>
        </is>
      </c>
      <c r="AA1480" s="189" t="inlineStr">
        <is>
          <t>NONE</t>
        </is>
      </c>
      <c r="AB1480" s="189" t="inlineStr">
        <is>
          <t>NONE</t>
        </is>
      </c>
      <c r="AC1480" s="189" t="n">
        <v>0</v>
      </c>
      <c r="AD1480" s="189" t="n"/>
    </row>
    <row r="1481">
      <c r="A1481" s="189" t="inlineStr">
        <is>
          <t>THREATFOX_IOC</t>
        </is>
      </c>
      <c r="B1481" s="189" t="inlineStr">
        <is>
          <t>1753809</t>
        </is>
      </c>
      <c r="C1481" s="189" t="inlineStr">
        <is>
          <t>domain IOC:  | Malware: Remcos | Confidence: 100%</t>
        </is>
      </c>
      <c r="D1481" s="189" t="n">
        <v>7.5</v>
      </c>
      <c r="E1481" s="189" t="inlineStr">
        <is>
          <t>HIGH</t>
        </is>
      </c>
      <c r="F1481" s="189" t="n">
        <v>3</v>
      </c>
      <c r="G1481" s="189" t="n">
        <v>2</v>
      </c>
      <c r="H1481" s="189" t="inlineStr">
        <is>
          <t>HIGH</t>
        </is>
      </c>
      <c r="I1481" s="189" t="n">
        <v>13.5</v>
      </c>
      <c r="J1481" s="189" t="inlineStr">
        <is>
          <t>NO</t>
        </is>
      </c>
      <c r="K1481" s="190" t="inlineStr">
        <is>
          <t>https://threatfox.abuse.ch/ioc/1753809/</t>
        </is>
      </c>
      <c r="L1481" s="189" t="inlineStr">
        <is>
          <t>2026-02-23 20:03:40 UTC</t>
        </is>
      </c>
      <c r="M1481" s="189" t="inlineStr">
        <is>
          <t>Block IOC</t>
        </is>
      </c>
      <c r="N1481" s="190" t="inlineStr">
        <is>
          <t>https://threatfox.abuse.ch/ioc/1753809/</t>
        </is>
      </c>
      <c r="O1481" s="189" t="inlineStr">
        <is>
          <t>Block domain:</t>
        </is>
      </c>
      <c r="P1481" s="189" t="inlineStr">
        <is>
          <t>botnet_cc</t>
        </is>
      </c>
      <c r="Q1481" s="189" t="inlineStr">
        <is>
          <t>P3</t>
        </is>
      </c>
      <c r="R1481" s="189" t="inlineStr">
        <is>
          <t>🚫 Block IOC at network perimeter | 🔎 Hunt for IOC across environment | 📋 Document and share with threat intel team</t>
        </is>
      </c>
      <c r="S1481" s="189" t="inlineStr">
        <is>
          <t>Classification: skipped | Context: Skipped (20/run IOC cap) | Name: N/A</t>
        </is>
      </c>
      <c r="T1481" s="189" t="n">
        <v>0</v>
      </c>
      <c r="U1481" s="189" t="n">
        <v>0</v>
      </c>
      <c r="V1481" s="189" t="inlineStr">
        <is>
          <t>T1071:Application Layer Protocol | T1102:Web Service</t>
        </is>
      </c>
      <c r="W1481" s="189" t="n">
        <v>1</v>
      </c>
      <c r="X1481" s="189" t="inlineStr">
        <is>
          <t>LOW (40%)</t>
        </is>
      </c>
      <c r="Y1481" s="189" t="inlineStr">
        <is>
          <t>NONE</t>
        </is>
      </c>
      <c r="Z1481" s="189" t="inlineStr">
        <is>
          <t>NONE</t>
        </is>
      </c>
      <c r="AA1481" s="189" t="inlineStr">
        <is>
          <t>NONE</t>
        </is>
      </c>
      <c r="AB1481" s="189" t="inlineStr">
        <is>
          <t>NONE</t>
        </is>
      </c>
      <c r="AC1481" s="189" t="n">
        <v>0</v>
      </c>
      <c r="AD1481" s="189" t="n"/>
    </row>
    <row r="1482">
      <c r="A1482" s="189" t="inlineStr">
        <is>
          <t>THREATFOX_IOC</t>
        </is>
      </c>
      <c r="B1482" s="189" t="inlineStr">
        <is>
          <t>1753808</t>
        </is>
      </c>
      <c r="C1482" s="189" t="inlineStr">
        <is>
          <t>ip:port IOC:  | Malware: Empire Downloader | Confidence: 100%</t>
        </is>
      </c>
      <c r="D1482" s="189" t="n">
        <v>7.5</v>
      </c>
      <c r="E1482" s="189" t="inlineStr">
        <is>
          <t>HIGH</t>
        </is>
      </c>
      <c r="F1482" s="189" t="n">
        <v>3</v>
      </c>
      <c r="G1482" s="189" t="n">
        <v>2</v>
      </c>
      <c r="H1482" s="189" t="inlineStr">
        <is>
          <t>HIGH</t>
        </is>
      </c>
      <c r="I1482" s="189" t="n">
        <v>13.5</v>
      </c>
      <c r="J1482" s="189" t="inlineStr">
        <is>
          <t>NO</t>
        </is>
      </c>
      <c r="K1482" s="190" t="inlineStr">
        <is>
          <t>https://threatfox.abuse.ch/ioc/1753808/</t>
        </is>
      </c>
      <c r="L1482" s="189" t="inlineStr">
        <is>
          <t>2026-02-23 20:02:45 UTC</t>
        </is>
      </c>
      <c r="M1482" s="189" t="inlineStr">
        <is>
          <t>Block IOC</t>
        </is>
      </c>
      <c r="N1482" s="190" t="inlineStr">
        <is>
          <t>https://threatfox.abuse.ch/ioc/1753808/</t>
        </is>
      </c>
      <c r="O1482" s="189" t="inlineStr">
        <is>
          <t>Block ip:port:</t>
        </is>
      </c>
      <c r="P1482" s="189" t="inlineStr">
        <is>
          <t>botnet_cc</t>
        </is>
      </c>
      <c r="Q1482" s="189" t="inlineStr">
        <is>
          <t>P3</t>
        </is>
      </c>
      <c r="R1482" s="189" t="inlineStr">
        <is>
          <t>🚫 Block IOC at network perimeter | 🔎 Hunt for IOC across environment | 📋 Document and share with threat intel team</t>
        </is>
      </c>
      <c r="S1482" s="189" t="inlineStr">
        <is>
          <t>Classification: skipped | Context: Skipped (20/run IOC cap) | Name: N/A</t>
        </is>
      </c>
      <c r="T1482" s="189" t="n">
        <v>0</v>
      </c>
      <c r="U1482" s="189" t="n">
        <v>0</v>
      </c>
      <c r="V1482" s="189" t="inlineStr">
        <is>
          <t>T1071:Application Layer Protocol | T1102:Web Service</t>
        </is>
      </c>
      <c r="W1482" s="189" t="n">
        <v>1</v>
      </c>
      <c r="X1482" s="189" t="inlineStr">
        <is>
          <t>LOW (40%)</t>
        </is>
      </c>
      <c r="Y1482" s="189" t="inlineStr">
        <is>
          <t>NONE</t>
        </is>
      </c>
      <c r="Z1482" s="189" t="inlineStr">
        <is>
          <t>NONE</t>
        </is>
      </c>
      <c r="AA1482" s="189" t="inlineStr">
        <is>
          <t>NONE</t>
        </is>
      </c>
      <c r="AB1482" s="189" t="inlineStr">
        <is>
          <t>NONE</t>
        </is>
      </c>
      <c r="AC1482" s="189" t="n">
        <v>0</v>
      </c>
      <c r="AD1482" s="189" t="n"/>
    </row>
    <row r="1483">
      <c r="A1483" s="189" t="inlineStr">
        <is>
          <t>THREATFOX_IOC</t>
        </is>
      </c>
      <c r="B1483" s="189" t="inlineStr">
        <is>
          <t>1753807</t>
        </is>
      </c>
      <c r="C1483" s="189" t="inlineStr">
        <is>
          <t>ip:port IOC:  | Malware: Meterpreter | Confidence: 100%</t>
        </is>
      </c>
      <c r="D1483" s="189" t="n">
        <v>7.5</v>
      </c>
      <c r="E1483" s="189" t="inlineStr">
        <is>
          <t>HIGH</t>
        </is>
      </c>
      <c r="F1483" s="189" t="n">
        <v>3</v>
      </c>
      <c r="G1483" s="189" t="n">
        <v>2</v>
      </c>
      <c r="H1483" s="189" t="inlineStr">
        <is>
          <t>HIGH</t>
        </is>
      </c>
      <c r="I1483" s="189" t="n">
        <v>13.5</v>
      </c>
      <c r="J1483" s="189" t="inlineStr">
        <is>
          <t>NO</t>
        </is>
      </c>
      <c r="K1483" s="190" t="inlineStr">
        <is>
          <t>https://threatfox.abuse.ch/ioc/1753807/</t>
        </is>
      </c>
      <c r="L1483" s="189" t="inlineStr">
        <is>
          <t>2026-02-23 20:02:41 UTC</t>
        </is>
      </c>
      <c r="M1483" s="189" t="inlineStr">
        <is>
          <t>Block IOC</t>
        </is>
      </c>
      <c r="N1483" s="190" t="inlineStr">
        <is>
          <t>https://threatfox.abuse.ch/ioc/1753807/</t>
        </is>
      </c>
      <c r="O1483" s="189" t="inlineStr">
        <is>
          <t>Block ip:port:</t>
        </is>
      </c>
      <c r="P1483" s="189" t="inlineStr">
        <is>
          <t>botnet_cc</t>
        </is>
      </c>
      <c r="Q1483" s="189" t="inlineStr">
        <is>
          <t>P3</t>
        </is>
      </c>
      <c r="R1483" s="189" t="inlineStr">
        <is>
          <t>🚫 Block IOC at network perimeter | 🔎 Hunt for IOC across environment | 📋 Document and share with threat intel team</t>
        </is>
      </c>
      <c r="S1483" s="189" t="inlineStr">
        <is>
          <t>Classification: skipped | Context: Skipped (20/run IOC cap) | Name: N/A</t>
        </is>
      </c>
      <c r="T1483" s="189" t="n">
        <v>0</v>
      </c>
      <c r="U1483" s="189" t="n">
        <v>0</v>
      </c>
      <c r="V1483" s="189" t="inlineStr">
        <is>
          <t>T1071:Application Layer Protocol | T1102:Web Service</t>
        </is>
      </c>
      <c r="W1483" s="189" t="n">
        <v>1</v>
      </c>
      <c r="X1483" s="189" t="inlineStr">
        <is>
          <t>LOW (40%)</t>
        </is>
      </c>
      <c r="Y1483" s="189" t="inlineStr">
        <is>
          <t>NONE</t>
        </is>
      </c>
      <c r="Z1483" s="189" t="inlineStr">
        <is>
          <t>NONE</t>
        </is>
      </c>
      <c r="AA1483" s="189" t="inlineStr">
        <is>
          <t>NONE</t>
        </is>
      </c>
      <c r="AB1483" s="189" t="inlineStr">
        <is>
          <t>NONE</t>
        </is>
      </c>
      <c r="AC1483" s="189" t="n">
        <v>0</v>
      </c>
      <c r="AD1483" s="189" t="n"/>
    </row>
    <row r="1484">
      <c r="A1484" s="189" t="inlineStr">
        <is>
          <t>THREATFOX_IOC</t>
        </is>
      </c>
      <c r="B1484" s="189" t="inlineStr">
        <is>
          <t>1753806</t>
        </is>
      </c>
      <c r="C1484" s="189" t="inlineStr">
        <is>
          <t>ip:port IOC:  | Malware: Meterpreter | Confidence: 100%</t>
        </is>
      </c>
      <c r="D1484" s="189" t="n">
        <v>7.5</v>
      </c>
      <c r="E1484" s="189" t="inlineStr">
        <is>
          <t>HIGH</t>
        </is>
      </c>
      <c r="F1484" s="189" t="n">
        <v>3</v>
      </c>
      <c r="G1484" s="189" t="n">
        <v>2</v>
      </c>
      <c r="H1484" s="189" t="inlineStr">
        <is>
          <t>HIGH</t>
        </is>
      </c>
      <c r="I1484" s="189" t="n">
        <v>13.5</v>
      </c>
      <c r="J1484" s="189" t="inlineStr">
        <is>
          <t>NO</t>
        </is>
      </c>
      <c r="K1484" s="190" t="inlineStr">
        <is>
          <t>https://threatfox.abuse.ch/ioc/1753806/</t>
        </is>
      </c>
      <c r="L1484" s="189" t="inlineStr">
        <is>
          <t>2026-02-23 20:02:40 UTC</t>
        </is>
      </c>
      <c r="M1484" s="189" t="inlineStr">
        <is>
          <t>Block IOC</t>
        </is>
      </c>
      <c r="N1484" s="190" t="inlineStr">
        <is>
          <t>https://threatfox.abuse.ch/ioc/1753806/</t>
        </is>
      </c>
      <c r="O1484" s="189" t="inlineStr">
        <is>
          <t>Block ip:port:</t>
        </is>
      </c>
      <c r="P1484" s="189" t="inlineStr">
        <is>
          <t>botnet_cc</t>
        </is>
      </c>
      <c r="Q1484" s="189" t="inlineStr">
        <is>
          <t>P3</t>
        </is>
      </c>
      <c r="R1484" s="189" t="inlineStr">
        <is>
          <t>🚫 Block IOC at network perimeter | 🔎 Hunt for IOC across environment | 📋 Document and share with threat intel team</t>
        </is>
      </c>
      <c r="S1484" s="189" t="inlineStr">
        <is>
          <t>Classification: skipped | Context: Skipped (20/run IOC cap) | Name: N/A</t>
        </is>
      </c>
      <c r="T1484" s="189" t="n">
        <v>0</v>
      </c>
      <c r="U1484" s="189" t="n">
        <v>0</v>
      </c>
      <c r="V1484" s="189" t="inlineStr">
        <is>
          <t>T1071:Application Layer Protocol | T1102:Web Service</t>
        </is>
      </c>
      <c r="W1484" s="189" t="n">
        <v>1</v>
      </c>
      <c r="X1484" s="189" t="inlineStr">
        <is>
          <t>LOW (40%)</t>
        </is>
      </c>
      <c r="Y1484" s="189" t="inlineStr">
        <is>
          <t>NONE</t>
        </is>
      </c>
      <c r="Z1484" s="189" t="inlineStr">
        <is>
          <t>NONE</t>
        </is>
      </c>
      <c r="AA1484" s="189" t="inlineStr">
        <is>
          <t>NONE</t>
        </is>
      </c>
      <c r="AB1484" s="189" t="inlineStr">
        <is>
          <t>NONE</t>
        </is>
      </c>
      <c r="AC1484" s="189" t="n">
        <v>0</v>
      </c>
      <c r="AD1484" s="189" t="n"/>
    </row>
    <row r="1485">
      <c r="A1485" s="189" t="inlineStr">
        <is>
          <t>THREATFOX_IOC</t>
        </is>
      </c>
      <c r="B1485" s="189" t="inlineStr">
        <is>
          <t>1753805</t>
        </is>
      </c>
      <c r="C1485" s="189" t="inlineStr">
        <is>
          <t>ip:port IOC:  | Malware: Meterpreter | Confidence: 100%</t>
        </is>
      </c>
      <c r="D1485" s="189" t="n">
        <v>7.5</v>
      </c>
      <c r="E1485" s="189" t="inlineStr">
        <is>
          <t>HIGH</t>
        </is>
      </c>
      <c r="F1485" s="189" t="n">
        <v>3</v>
      </c>
      <c r="G1485" s="189" t="n">
        <v>2</v>
      </c>
      <c r="H1485" s="189" t="inlineStr">
        <is>
          <t>HIGH</t>
        </is>
      </c>
      <c r="I1485" s="189" t="n">
        <v>13.5</v>
      </c>
      <c r="J1485" s="189" t="inlineStr">
        <is>
          <t>NO</t>
        </is>
      </c>
      <c r="K1485" s="190" t="inlineStr">
        <is>
          <t>https://threatfox.abuse.ch/ioc/1753805/</t>
        </is>
      </c>
      <c r="L1485" s="189" t="inlineStr">
        <is>
          <t>2026-02-23 20:02:38 UTC</t>
        </is>
      </c>
      <c r="M1485" s="189" t="inlineStr">
        <is>
          <t>Block IOC</t>
        </is>
      </c>
      <c r="N1485" s="190" t="inlineStr">
        <is>
          <t>https://threatfox.abuse.ch/ioc/1753805/</t>
        </is>
      </c>
      <c r="O1485" s="189" t="inlineStr">
        <is>
          <t>Block ip:port:</t>
        </is>
      </c>
      <c r="P1485" s="189" t="inlineStr">
        <is>
          <t>botnet_cc</t>
        </is>
      </c>
      <c r="Q1485" s="189" t="inlineStr">
        <is>
          <t>P3</t>
        </is>
      </c>
      <c r="R1485" s="189" t="inlineStr">
        <is>
          <t>🚫 Block IOC at network perimeter | 🔎 Hunt for IOC across environment | 📋 Document and share with threat intel team</t>
        </is>
      </c>
      <c r="S1485" s="189" t="inlineStr">
        <is>
          <t>Classification: skipped | Context: Skipped (20/run IOC cap) | Name: N/A</t>
        </is>
      </c>
      <c r="T1485" s="189" t="n">
        <v>0</v>
      </c>
      <c r="U1485" s="189" t="n">
        <v>0</v>
      </c>
      <c r="V1485" s="189" t="inlineStr">
        <is>
          <t>T1071:Application Layer Protocol | T1102:Web Service</t>
        </is>
      </c>
      <c r="W1485" s="189" t="n">
        <v>1</v>
      </c>
      <c r="X1485" s="189" t="inlineStr">
        <is>
          <t>LOW (40%)</t>
        </is>
      </c>
      <c r="Y1485" s="189" t="inlineStr">
        <is>
          <t>NONE</t>
        </is>
      </c>
      <c r="Z1485" s="189" t="inlineStr">
        <is>
          <t>NONE</t>
        </is>
      </c>
      <c r="AA1485" s="189" t="inlineStr">
        <is>
          <t>NONE</t>
        </is>
      </c>
      <c r="AB1485" s="189" t="inlineStr">
        <is>
          <t>NONE</t>
        </is>
      </c>
      <c r="AC1485" s="189" t="n">
        <v>0</v>
      </c>
      <c r="AD1485" s="189" t="n"/>
    </row>
    <row r="1486">
      <c r="A1486" s="189" t="inlineStr">
        <is>
          <t>THREATFOX_IOC</t>
        </is>
      </c>
      <c r="B1486" s="189" t="inlineStr">
        <is>
          <t>1753804</t>
        </is>
      </c>
      <c r="C1486" s="189" t="inlineStr">
        <is>
          <t>ip:port IOC:  | Malware: AdaptixC2 | Confidence: 100%</t>
        </is>
      </c>
      <c r="D1486" s="189" t="n">
        <v>7.5</v>
      </c>
      <c r="E1486" s="189" t="inlineStr">
        <is>
          <t>HIGH</t>
        </is>
      </c>
      <c r="F1486" s="189" t="n">
        <v>3</v>
      </c>
      <c r="G1486" s="189" t="n">
        <v>2</v>
      </c>
      <c r="H1486" s="189" t="inlineStr">
        <is>
          <t>HIGH</t>
        </is>
      </c>
      <c r="I1486" s="189" t="n">
        <v>13.5</v>
      </c>
      <c r="J1486" s="189" t="inlineStr">
        <is>
          <t>NO</t>
        </is>
      </c>
      <c r="K1486" s="190" t="inlineStr">
        <is>
          <t>https://threatfox.abuse.ch/ioc/1753804/</t>
        </is>
      </c>
      <c r="L1486" s="189" t="inlineStr">
        <is>
          <t>2026-02-23 20:02:34 UTC</t>
        </is>
      </c>
      <c r="M1486" s="189" t="inlineStr">
        <is>
          <t>Block IOC</t>
        </is>
      </c>
      <c r="N1486" s="190" t="inlineStr">
        <is>
          <t>https://threatfox.abuse.ch/ioc/1753804/</t>
        </is>
      </c>
      <c r="O1486" s="189" t="inlineStr">
        <is>
          <t>Block ip:port:</t>
        </is>
      </c>
      <c r="P1486" s="189" t="inlineStr">
        <is>
          <t>botnet_cc</t>
        </is>
      </c>
      <c r="Q1486" s="189" t="inlineStr">
        <is>
          <t>P3</t>
        </is>
      </c>
      <c r="R1486" s="189" t="inlineStr">
        <is>
          <t>🚫 Block IOC at network perimeter | 🔎 Hunt for IOC across environment | 📋 Document and share with threat intel team</t>
        </is>
      </c>
      <c r="S1486" s="189" t="inlineStr">
        <is>
          <t>Classification: skipped | Context: Skipped (20/run IOC cap) | Name: N/A</t>
        </is>
      </c>
      <c r="T1486" s="189" t="n">
        <v>0</v>
      </c>
      <c r="U1486" s="189" t="n">
        <v>0</v>
      </c>
      <c r="V1486" s="189" t="inlineStr">
        <is>
          <t>T1071:Application Layer Protocol | T1102:Web Service</t>
        </is>
      </c>
      <c r="W1486" s="189" t="n">
        <v>1</v>
      </c>
      <c r="X1486" s="189" t="inlineStr">
        <is>
          <t>LOW (40%)</t>
        </is>
      </c>
      <c r="Y1486" s="189" t="inlineStr">
        <is>
          <t>NONE</t>
        </is>
      </c>
      <c r="Z1486" s="189" t="inlineStr">
        <is>
          <t>NONE</t>
        </is>
      </c>
      <c r="AA1486" s="189" t="inlineStr">
        <is>
          <t>NONE</t>
        </is>
      </c>
      <c r="AB1486" s="189" t="inlineStr">
        <is>
          <t>NONE</t>
        </is>
      </c>
      <c r="AC1486" s="189" t="n">
        <v>0</v>
      </c>
      <c r="AD1486" s="189" t="n"/>
    </row>
    <row r="1487">
      <c r="A1487" s="189" t="inlineStr">
        <is>
          <t>THREATFOX_IOC</t>
        </is>
      </c>
      <c r="B1487" s="189" t="inlineStr">
        <is>
          <t>1753803</t>
        </is>
      </c>
      <c r="C1487" s="189" t="inlineStr">
        <is>
          <t>ip:port IOC:  | Malware: Bashlite | Confidence: 100%</t>
        </is>
      </c>
      <c r="D1487" s="189" t="n">
        <v>7.5</v>
      </c>
      <c r="E1487" s="189" t="inlineStr">
        <is>
          <t>HIGH</t>
        </is>
      </c>
      <c r="F1487" s="189" t="n">
        <v>3</v>
      </c>
      <c r="G1487" s="189" t="n">
        <v>2</v>
      </c>
      <c r="H1487" s="189" t="inlineStr">
        <is>
          <t>HIGH</t>
        </is>
      </c>
      <c r="I1487" s="189" t="n">
        <v>13.5</v>
      </c>
      <c r="J1487" s="189" t="inlineStr">
        <is>
          <t>NO</t>
        </is>
      </c>
      <c r="K1487" s="190" t="inlineStr">
        <is>
          <t>https://threatfox.abuse.ch/ioc/1753803/</t>
        </is>
      </c>
      <c r="L1487" s="189" t="inlineStr">
        <is>
          <t>2026-02-23 20:02:25 UTC</t>
        </is>
      </c>
      <c r="M1487" s="189" t="inlineStr">
        <is>
          <t>Block IOC</t>
        </is>
      </c>
      <c r="N1487" s="190" t="inlineStr">
        <is>
          <t>https://threatfox.abuse.ch/ioc/1753803/</t>
        </is>
      </c>
      <c r="O1487" s="189" t="inlineStr">
        <is>
          <t>Block ip:port:</t>
        </is>
      </c>
      <c r="P1487" s="189" t="inlineStr">
        <is>
          <t>botnet_cc</t>
        </is>
      </c>
      <c r="Q1487" s="189" t="inlineStr">
        <is>
          <t>P3</t>
        </is>
      </c>
      <c r="R1487" s="189" t="inlineStr">
        <is>
          <t>🚫 Block IOC at network perimeter | 🔎 Hunt for IOC across environment | 📋 Document and share with threat intel team</t>
        </is>
      </c>
      <c r="S1487" s="189" t="inlineStr">
        <is>
          <t>Classification: skipped | Context: Skipped (20/run IOC cap) | Name: N/A</t>
        </is>
      </c>
      <c r="T1487" s="189" t="n">
        <v>0</v>
      </c>
      <c r="U1487" s="189" t="n">
        <v>0</v>
      </c>
      <c r="V1487" s="189" t="inlineStr">
        <is>
          <t>T1071:Application Layer Protocol | T1102:Web Service</t>
        </is>
      </c>
      <c r="W1487" s="189" t="n">
        <v>1</v>
      </c>
      <c r="X1487" s="189" t="inlineStr">
        <is>
          <t>LOW (40%)</t>
        </is>
      </c>
      <c r="Y1487" s="189" t="inlineStr">
        <is>
          <t>NONE</t>
        </is>
      </c>
      <c r="Z1487" s="189" t="inlineStr">
        <is>
          <t>NONE</t>
        </is>
      </c>
      <c r="AA1487" s="189" t="inlineStr">
        <is>
          <t>NONE</t>
        </is>
      </c>
      <c r="AB1487" s="189" t="inlineStr">
        <is>
          <t>NONE</t>
        </is>
      </c>
      <c r="AC1487" s="189" t="n">
        <v>0</v>
      </c>
      <c r="AD1487" s="189" t="n"/>
    </row>
    <row r="1488">
      <c r="A1488" s="189" t="inlineStr">
        <is>
          <t>THREATFOX_IOC</t>
        </is>
      </c>
      <c r="B1488" s="189" t="inlineStr">
        <is>
          <t>1753802</t>
        </is>
      </c>
      <c r="C1488" s="189" t="inlineStr">
        <is>
          <t>ip:port IOC:  | Malware: Bashlite | Confidence: 100%</t>
        </is>
      </c>
      <c r="D1488" s="189" t="n">
        <v>7.5</v>
      </c>
      <c r="E1488" s="189" t="inlineStr">
        <is>
          <t>HIGH</t>
        </is>
      </c>
      <c r="F1488" s="189" t="n">
        <v>3</v>
      </c>
      <c r="G1488" s="189" t="n">
        <v>2</v>
      </c>
      <c r="H1488" s="189" t="inlineStr">
        <is>
          <t>HIGH</t>
        </is>
      </c>
      <c r="I1488" s="189" t="n">
        <v>13.5</v>
      </c>
      <c r="J1488" s="189" t="inlineStr">
        <is>
          <t>NO</t>
        </is>
      </c>
      <c r="K1488" s="190" t="inlineStr">
        <is>
          <t>https://threatfox.abuse.ch/ioc/1753802/</t>
        </is>
      </c>
      <c r="L1488" s="189" t="inlineStr">
        <is>
          <t>2026-02-23 20:02:23 UTC</t>
        </is>
      </c>
      <c r="M1488" s="189" t="inlineStr">
        <is>
          <t>Block IOC</t>
        </is>
      </c>
      <c r="N1488" s="190" t="inlineStr">
        <is>
          <t>https://threatfox.abuse.ch/ioc/1753802/</t>
        </is>
      </c>
      <c r="O1488" s="189" t="inlineStr">
        <is>
          <t>Block ip:port:</t>
        </is>
      </c>
      <c r="P1488" s="189" t="inlineStr">
        <is>
          <t>botnet_cc</t>
        </is>
      </c>
      <c r="Q1488" s="189" t="inlineStr">
        <is>
          <t>P3</t>
        </is>
      </c>
      <c r="R1488" s="189" t="inlineStr">
        <is>
          <t>🚫 Block IOC at network perimeter | 🔎 Hunt for IOC across environment | 📋 Document and share with threat intel team</t>
        </is>
      </c>
      <c r="S1488" s="189" t="inlineStr">
        <is>
          <t>Classification: skipped | Context: Skipped (20/run IOC cap) | Name: N/A</t>
        </is>
      </c>
      <c r="T1488" s="189" t="n">
        <v>0</v>
      </c>
      <c r="U1488" s="189" t="n">
        <v>0</v>
      </c>
      <c r="V1488" s="189" t="inlineStr">
        <is>
          <t>T1071:Application Layer Protocol | T1102:Web Service</t>
        </is>
      </c>
      <c r="W1488" s="189" t="n">
        <v>1</v>
      </c>
      <c r="X1488" s="189" t="inlineStr">
        <is>
          <t>LOW (40%)</t>
        </is>
      </c>
      <c r="Y1488" s="189" t="inlineStr">
        <is>
          <t>NONE</t>
        </is>
      </c>
      <c r="Z1488" s="189" t="inlineStr">
        <is>
          <t>NONE</t>
        </is>
      </c>
      <c r="AA1488" s="189" t="inlineStr">
        <is>
          <t>NONE</t>
        </is>
      </c>
      <c r="AB1488" s="189" t="inlineStr">
        <is>
          <t>NONE</t>
        </is>
      </c>
      <c r="AC1488" s="189" t="n">
        <v>0</v>
      </c>
      <c r="AD1488" s="189" t="n"/>
    </row>
    <row r="1489">
      <c r="A1489" s="189" t="inlineStr">
        <is>
          <t>THREATFOX_IOC</t>
        </is>
      </c>
      <c r="B1489" s="189" t="inlineStr">
        <is>
          <t>1753801</t>
        </is>
      </c>
      <c r="C1489" s="189" t="inlineStr">
        <is>
          <t>ip:port IOC:  | Malware: DCRat | Confidence: 100%</t>
        </is>
      </c>
      <c r="D1489" s="189" t="n">
        <v>7.5</v>
      </c>
      <c r="E1489" s="189" t="inlineStr">
        <is>
          <t>HIGH</t>
        </is>
      </c>
      <c r="F1489" s="189" t="n">
        <v>3</v>
      </c>
      <c r="G1489" s="189" t="n">
        <v>2</v>
      </c>
      <c r="H1489" s="189" t="inlineStr">
        <is>
          <t>HIGH</t>
        </is>
      </c>
      <c r="I1489" s="189" t="n">
        <v>13.5</v>
      </c>
      <c r="J1489" s="189" t="inlineStr">
        <is>
          <t>NO</t>
        </is>
      </c>
      <c r="K1489" s="190" t="inlineStr">
        <is>
          <t>https://threatfox.abuse.ch/ioc/1753801/</t>
        </is>
      </c>
      <c r="L1489" s="189" t="inlineStr">
        <is>
          <t>2026-02-23 20:02:06 UTC</t>
        </is>
      </c>
      <c r="M1489" s="189" t="inlineStr">
        <is>
          <t>Block IOC</t>
        </is>
      </c>
      <c r="N1489" s="190" t="inlineStr">
        <is>
          <t>https://threatfox.abuse.ch/ioc/1753801/</t>
        </is>
      </c>
      <c r="O1489" s="189" t="inlineStr">
        <is>
          <t>Block ip:port:</t>
        </is>
      </c>
      <c r="P1489" s="189" t="inlineStr">
        <is>
          <t>botnet_cc</t>
        </is>
      </c>
      <c r="Q1489" s="189" t="inlineStr">
        <is>
          <t>P3</t>
        </is>
      </c>
      <c r="R1489" s="189" t="inlineStr">
        <is>
          <t>🚫 Block IOC at network perimeter | 🔎 Hunt for IOC across environment | 📋 Document and share with threat intel team</t>
        </is>
      </c>
      <c r="S1489" s="189" t="inlineStr">
        <is>
          <t>Classification: skipped | Context: Skipped (20/run IOC cap) | Name: N/A</t>
        </is>
      </c>
      <c r="T1489" s="189" t="n">
        <v>0</v>
      </c>
      <c r="U1489" s="189" t="n">
        <v>0</v>
      </c>
      <c r="V1489" s="189" t="inlineStr">
        <is>
          <t>T1071:Application Layer Protocol | T1102:Web Service</t>
        </is>
      </c>
      <c r="W1489" s="189" t="n">
        <v>1</v>
      </c>
      <c r="X1489" s="189" t="inlineStr">
        <is>
          <t>LOW (40%)</t>
        </is>
      </c>
      <c r="Y1489" s="189" t="inlineStr">
        <is>
          <t>NONE</t>
        </is>
      </c>
      <c r="Z1489" s="189" t="inlineStr">
        <is>
          <t>NONE</t>
        </is>
      </c>
      <c r="AA1489" s="189" t="inlineStr">
        <is>
          <t>NONE</t>
        </is>
      </c>
      <c r="AB1489" s="189" t="inlineStr">
        <is>
          <t>NONE</t>
        </is>
      </c>
      <c r="AC1489" s="189" t="n">
        <v>0</v>
      </c>
      <c r="AD1489" s="189" t="n"/>
    </row>
    <row r="1490">
      <c r="A1490" s="191" t="inlineStr">
        <is>
          <t>THREATMINER</t>
        </is>
      </c>
      <c r="B1490" s="191" t="inlineStr">
        <is>
          <t>d41d8cd98f00</t>
        </is>
      </c>
      <c r="C1490" s="191" t="inlineStr">
        <is>
          <t xml:space="preserve">Malicious domain:  | IP: 2.57.121.25 | Last seen: </t>
        </is>
      </c>
      <c r="D1490" s="191" t="n">
        <v>6.5</v>
      </c>
      <c r="E1490" s="191" t="inlineStr">
        <is>
          <t>MEDIUM</t>
        </is>
      </c>
      <c r="F1490" s="191" t="n">
        <v>2</v>
      </c>
      <c r="G1490" s="191" t="n">
        <v>2</v>
      </c>
      <c r="H1490" s="191" t="inlineStr">
        <is>
          <t>MEDIUM</t>
        </is>
      </c>
      <c r="I1490" s="191" t="n">
        <v>10.5</v>
      </c>
      <c r="J1490" s="191" t="inlineStr">
        <is>
          <t>NO</t>
        </is>
      </c>
      <c r="K1490" s="192" t="inlineStr">
        <is>
          <t>https://www.threatminer.org/domain.php?q=</t>
        </is>
      </c>
      <c r="L1490" s="191" t="n"/>
      <c r="M1490" s="191" t="inlineStr">
        <is>
          <t>Block domain</t>
        </is>
      </c>
      <c r="N1490" s="192" t="inlineStr">
        <is>
          <t>https://www.threatminer.org/domain.php?q=</t>
        </is>
      </c>
      <c r="O1490" s="191" t="inlineStr">
        <is>
          <t>Block domain  at DNS/firewall</t>
        </is>
      </c>
      <c r="P1490" s="191" t="inlineStr">
        <is>
          <t>DNS/Network</t>
        </is>
      </c>
      <c r="Q1490" s="191" t="inlineStr">
        <is>
          <t>P4</t>
        </is>
      </c>
      <c r="R1490" s="191" t="inlineStr">
        <is>
          <t>🔍 Investigate and apply appropriate controls</t>
        </is>
      </c>
      <c r="S1490" s="191" t="inlineStr">
        <is>
          <t>Domain IOC - check IP separately</t>
        </is>
      </c>
      <c r="T1490" s="191" t="n">
        <v>0</v>
      </c>
      <c r="U1490" s="191" t="n">
        <v>0</v>
      </c>
      <c r="V1490" s="191" t="inlineStr">
        <is>
          <t>T1071.001:Web Protocols | T1568:Dynamic Resolution</t>
        </is>
      </c>
      <c r="W1490" s="191" t="n">
        <v>1</v>
      </c>
      <c r="X1490" s="191" t="inlineStr">
        <is>
          <t>LOW (40%)</t>
        </is>
      </c>
      <c r="Y1490" s="191" t="inlineStr">
        <is>
          <t>NONE</t>
        </is>
      </c>
      <c r="Z1490" s="191" t="inlineStr">
        <is>
          <t>NONE</t>
        </is>
      </c>
      <c r="AA1490" s="191" t="inlineStr">
        <is>
          <t>NONE</t>
        </is>
      </c>
      <c r="AB1490" s="191" t="inlineStr">
        <is>
          <t>NONE</t>
        </is>
      </c>
      <c r="AC1490" s="191" t="n">
        <v>0</v>
      </c>
      <c r="AD1490" s="191" t="n"/>
    </row>
    <row r="1491">
      <c r="A1491" s="191" t="inlineStr">
        <is>
          <t>THREATMINER</t>
        </is>
      </c>
      <c r="B1491" s="191" t="inlineStr">
        <is>
          <t>d41d8cd98f00</t>
        </is>
      </c>
      <c r="C1491" s="191" t="inlineStr">
        <is>
          <t xml:space="preserve">Malicious domain:  | IP: 185.91.69.217 | Last seen: </t>
        </is>
      </c>
      <c r="D1491" s="191" t="n">
        <v>6.5</v>
      </c>
      <c r="E1491" s="191" t="inlineStr">
        <is>
          <t>MEDIUM</t>
        </is>
      </c>
      <c r="F1491" s="191" t="n">
        <v>2</v>
      </c>
      <c r="G1491" s="191" t="n">
        <v>2</v>
      </c>
      <c r="H1491" s="191" t="inlineStr">
        <is>
          <t>MEDIUM</t>
        </is>
      </c>
      <c r="I1491" s="191" t="n">
        <v>10.5</v>
      </c>
      <c r="J1491" s="191" t="inlineStr">
        <is>
          <t>NO</t>
        </is>
      </c>
      <c r="K1491" s="192" t="inlineStr">
        <is>
          <t>https://www.threatminer.org/domain.php?q=</t>
        </is>
      </c>
      <c r="L1491" s="191" t="n"/>
      <c r="M1491" s="191" t="inlineStr">
        <is>
          <t>Block domain</t>
        </is>
      </c>
      <c r="N1491" s="192" t="inlineStr">
        <is>
          <t>https://www.threatminer.org/domain.php?q=</t>
        </is>
      </c>
      <c r="O1491" s="191" t="inlineStr">
        <is>
          <t>Block domain  at DNS/firewall</t>
        </is>
      </c>
      <c r="P1491" s="191" t="inlineStr">
        <is>
          <t>DNS/Network</t>
        </is>
      </c>
      <c r="Q1491" s="191" t="inlineStr">
        <is>
          <t>P4</t>
        </is>
      </c>
      <c r="R1491" s="191" t="inlineStr">
        <is>
          <t>🔍 Investigate and apply appropriate controls</t>
        </is>
      </c>
      <c r="S1491" s="191" t="inlineStr">
        <is>
          <t>Domain IOC - check IP separately</t>
        </is>
      </c>
      <c r="T1491" s="191" t="n">
        <v>0</v>
      </c>
      <c r="U1491" s="191" t="n">
        <v>0</v>
      </c>
      <c r="V1491" s="191" t="inlineStr">
        <is>
          <t>T1071.001:Web Protocols | T1568:Dynamic Resolution</t>
        </is>
      </c>
      <c r="W1491" s="191" t="n">
        <v>1</v>
      </c>
      <c r="X1491" s="191" t="inlineStr">
        <is>
          <t>LOW (40%)</t>
        </is>
      </c>
      <c r="Y1491" s="191" t="inlineStr">
        <is>
          <t>NONE</t>
        </is>
      </c>
      <c r="Z1491" s="191" t="inlineStr">
        <is>
          <t>NONE</t>
        </is>
      </c>
      <c r="AA1491" s="191" t="inlineStr">
        <is>
          <t>NONE</t>
        </is>
      </c>
      <c r="AB1491" s="191" t="inlineStr">
        <is>
          <t>NONE</t>
        </is>
      </c>
      <c r="AC1491" s="191" t="n">
        <v>0</v>
      </c>
      <c r="AD1491" s="191" t="n"/>
    </row>
    <row r="1492">
      <c r="A1492" s="191" t="inlineStr">
        <is>
          <t>THREATMINER</t>
        </is>
      </c>
      <c r="B1492" s="191" t="inlineStr">
        <is>
          <t>d41d8cd98f00</t>
        </is>
      </c>
      <c r="C1492" s="191" t="inlineStr">
        <is>
          <t xml:space="preserve">Malicious domain:  | IP: 2.57.122.238 | Last seen: </t>
        </is>
      </c>
      <c r="D1492" s="191" t="n">
        <v>6.5</v>
      </c>
      <c r="E1492" s="191" t="inlineStr">
        <is>
          <t>MEDIUM</t>
        </is>
      </c>
      <c r="F1492" s="191" t="n">
        <v>2</v>
      </c>
      <c r="G1492" s="191" t="n">
        <v>2</v>
      </c>
      <c r="H1492" s="191" t="inlineStr">
        <is>
          <t>MEDIUM</t>
        </is>
      </c>
      <c r="I1492" s="191" t="n">
        <v>10.5</v>
      </c>
      <c r="J1492" s="191" t="inlineStr">
        <is>
          <t>NO</t>
        </is>
      </c>
      <c r="K1492" s="192" t="inlineStr">
        <is>
          <t>https://www.threatminer.org/domain.php?q=</t>
        </is>
      </c>
      <c r="L1492" s="191" t="n"/>
      <c r="M1492" s="191" t="inlineStr">
        <is>
          <t>Block domain</t>
        </is>
      </c>
      <c r="N1492" s="192" t="inlineStr">
        <is>
          <t>https://www.threatminer.org/domain.php?q=</t>
        </is>
      </c>
      <c r="O1492" s="191" t="inlineStr">
        <is>
          <t>Block domain  at DNS/firewall</t>
        </is>
      </c>
      <c r="P1492" s="191" t="inlineStr">
        <is>
          <t>DNS/Network</t>
        </is>
      </c>
      <c r="Q1492" s="191" t="inlineStr">
        <is>
          <t>P4</t>
        </is>
      </c>
      <c r="R1492" s="191" t="inlineStr">
        <is>
          <t>🔍 Investigate and apply appropriate controls</t>
        </is>
      </c>
      <c r="S1492" s="191" t="inlineStr">
        <is>
          <t>Domain IOC - check IP separately</t>
        </is>
      </c>
      <c r="T1492" s="191" t="n">
        <v>0</v>
      </c>
      <c r="U1492" s="191" t="n">
        <v>0</v>
      </c>
      <c r="V1492" s="191" t="inlineStr">
        <is>
          <t>T1071.001:Web Protocols | T1568:Dynamic Resolution</t>
        </is>
      </c>
      <c r="W1492" s="191" t="n">
        <v>1</v>
      </c>
      <c r="X1492" s="191" t="inlineStr">
        <is>
          <t>LOW (40%)</t>
        </is>
      </c>
      <c r="Y1492" s="191" t="inlineStr">
        <is>
          <t>NONE</t>
        </is>
      </c>
      <c r="Z1492" s="191" t="inlineStr">
        <is>
          <t>NONE</t>
        </is>
      </c>
      <c r="AA1492" s="191" t="inlineStr">
        <is>
          <t>NONE</t>
        </is>
      </c>
      <c r="AB1492" s="191" t="inlineStr">
        <is>
          <t>NONE</t>
        </is>
      </c>
      <c r="AC1492" s="191" t="n">
        <v>0</v>
      </c>
      <c r="AD1492" s="191" t="n"/>
    </row>
    <row r="1493">
      <c r="A1493" s="191" t="inlineStr">
        <is>
          <t>THREATMINER</t>
        </is>
      </c>
      <c r="B1493" s="191" t="inlineStr">
        <is>
          <t>d41d8cd98f00</t>
        </is>
      </c>
      <c r="C1493" s="191" t="inlineStr">
        <is>
          <t xml:space="preserve">Malicious domain:  | IP: 45.148.10.147 | Last seen: </t>
        </is>
      </c>
      <c r="D1493" s="191" t="n">
        <v>6.5</v>
      </c>
      <c r="E1493" s="191" t="inlineStr">
        <is>
          <t>MEDIUM</t>
        </is>
      </c>
      <c r="F1493" s="191" t="n">
        <v>2</v>
      </c>
      <c r="G1493" s="191" t="n">
        <v>2</v>
      </c>
      <c r="H1493" s="191" t="inlineStr">
        <is>
          <t>MEDIUM</t>
        </is>
      </c>
      <c r="I1493" s="191" t="n">
        <v>10.5</v>
      </c>
      <c r="J1493" s="191" t="inlineStr">
        <is>
          <t>NO</t>
        </is>
      </c>
      <c r="K1493" s="192" t="inlineStr">
        <is>
          <t>https://www.threatminer.org/domain.php?q=</t>
        </is>
      </c>
      <c r="L1493" s="191" t="n"/>
      <c r="M1493" s="191" t="inlineStr">
        <is>
          <t>Block domain</t>
        </is>
      </c>
      <c r="N1493" s="192" t="inlineStr">
        <is>
          <t>https://www.threatminer.org/domain.php?q=</t>
        </is>
      </c>
      <c r="O1493" s="191" t="inlineStr">
        <is>
          <t>Block domain  at DNS/firewall</t>
        </is>
      </c>
      <c r="P1493" s="191" t="inlineStr">
        <is>
          <t>DNS/Network</t>
        </is>
      </c>
      <c r="Q1493" s="191" t="inlineStr">
        <is>
          <t>P4</t>
        </is>
      </c>
      <c r="R1493" s="191" t="inlineStr">
        <is>
          <t>🔍 Investigate and apply appropriate controls</t>
        </is>
      </c>
      <c r="S1493" s="191" t="inlineStr">
        <is>
          <t>Domain IOC - check IP separately</t>
        </is>
      </c>
      <c r="T1493" s="191" t="n">
        <v>0</v>
      </c>
      <c r="U1493" s="191" t="n">
        <v>0</v>
      </c>
      <c r="V1493" s="191" t="inlineStr">
        <is>
          <t>T1071.001:Web Protocols | T1568:Dynamic Resolution</t>
        </is>
      </c>
      <c r="W1493" s="191" t="n">
        <v>1</v>
      </c>
      <c r="X1493" s="191" t="inlineStr">
        <is>
          <t>LOW (40%)</t>
        </is>
      </c>
      <c r="Y1493" s="191" t="inlineStr">
        <is>
          <t>NONE</t>
        </is>
      </c>
      <c r="Z1493" s="191" t="inlineStr">
        <is>
          <t>NONE</t>
        </is>
      </c>
      <c r="AA1493" s="191" t="inlineStr">
        <is>
          <t>NONE</t>
        </is>
      </c>
      <c r="AB1493" s="191" t="inlineStr">
        <is>
          <t>NONE</t>
        </is>
      </c>
      <c r="AC1493" s="191" t="n">
        <v>0</v>
      </c>
      <c r="AD1493" s="191" t="n"/>
    </row>
    <row r="1494">
      <c r="A1494" s="191" t="inlineStr">
        <is>
          <t>THREATMINER</t>
        </is>
      </c>
      <c r="B1494" s="191" t="inlineStr">
        <is>
          <t>d41d8cd98f00</t>
        </is>
      </c>
      <c r="C1494" s="191" t="inlineStr">
        <is>
          <t xml:space="preserve">Malicious domain:  | IP: 45.148.10.152 | Last seen: </t>
        </is>
      </c>
      <c r="D1494" s="191" t="n">
        <v>6.5</v>
      </c>
      <c r="E1494" s="191" t="inlineStr">
        <is>
          <t>MEDIUM</t>
        </is>
      </c>
      <c r="F1494" s="191" t="n">
        <v>2</v>
      </c>
      <c r="G1494" s="191" t="n">
        <v>2</v>
      </c>
      <c r="H1494" s="191" t="inlineStr">
        <is>
          <t>MEDIUM</t>
        </is>
      </c>
      <c r="I1494" s="191" t="n">
        <v>10.5</v>
      </c>
      <c r="J1494" s="191" t="inlineStr">
        <is>
          <t>NO</t>
        </is>
      </c>
      <c r="K1494" s="192" t="inlineStr">
        <is>
          <t>https://www.threatminer.org/domain.php?q=</t>
        </is>
      </c>
      <c r="L1494" s="191" t="n"/>
      <c r="M1494" s="191" t="inlineStr">
        <is>
          <t>Block domain</t>
        </is>
      </c>
      <c r="N1494" s="192" t="inlineStr">
        <is>
          <t>https://www.threatminer.org/domain.php?q=</t>
        </is>
      </c>
      <c r="O1494" s="191" t="inlineStr">
        <is>
          <t>Block domain  at DNS/firewall</t>
        </is>
      </c>
      <c r="P1494" s="191" t="inlineStr">
        <is>
          <t>DNS/Network</t>
        </is>
      </c>
      <c r="Q1494" s="191" t="inlineStr">
        <is>
          <t>P4</t>
        </is>
      </c>
      <c r="R1494" s="191" t="inlineStr">
        <is>
          <t>🔍 Investigate and apply appropriate controls</t>
        </is>
      </c>
      <c r="S1494" s="191" t="inlineStr">
        <is>
          <t>Domain IOC - check IP separately</t>
        </is>
      </c>
      <c r="T1494" s="191" t="n">
        <v>0</v>
      </c>
      <c r="U1494" s="191" t="n">
        <v>0</v>
      </c>
      <c r="V1494" s="191" t="inlineStr">
        <is>
          <t>T1071.001:Web Protocols | T1568:Dynamic Resolution</t>
        </is>
      </c>
      <c r="W1494" s="191" t="n">
        <v>1</v>
      </c>
      <c r="X1494" s="191" t="inlineStr">
        <is>
          <t>LOW (40%)</t>
        </is>
      </c>
      <c r="Y1494" s="191" t="inlineStr">
        <is>
          <t>NONE</t>
        </is>
      </c>
      <c r="Z1494" s="191" t="inlineStr">
        <is>
          <t>NONE</t>
        </is>
      </c>
      <c r="AA1494" s="191" t="inlineStr">
        <is>
          <t>NONE</t>
        </is>
      </c>
      <c r="AB1494" s="191" t="inlineStr">
        <is>
          <t>NONE</t>
        </is>
      </c>
      <c r="AC1494" s="191" t="n">
        <v>0</v>
      </c>
      <c r="AD1494" s="191" t="n"/>
    </row>
    <row r="1495">
      <c r="A1495" s="191" t="inlineStr">
        <is>
          <t>THREATMINER</t>
        </is>
      </c>
      <c r="B1495" s="191" t="inlineStr">
        <is>
          <t>d41d8cd98f00</t>
        </is>
      </c>
      <c r="C1495" s="191" t="inlineStr">
        <is>
          <t xml:space="preserve">Malicious domain:  | IP: 45.148.10.157 | Last seen: </t>
        </is>
      </c>
      <c r="D1495" s="191" t="n">
        <v>6.5</v>
      </c>
      <c r="E1495" s="191" t="inlineStr">
        <is>
          <t>MEDIUM</t>
        </is>
      </c>
      <c r="F1495" s="191" t="n">
        <v>2</v>
      </c>
      <c r="G1495" s="191" t="n">
        <v>2</v>
      </c>
      <c r="H1495" s="191" t="inlineStr">
        <is>
          <t>MEDIUM</t>
        </is>
      </c>
      <c r="I1495" s="191" t="n">
        <v>10.5</v>
      </c>
      <c r="J1495" s="191" t="inlineStr">
        <is>
          <t>NO</t>
        </is>
      </c>
      <c r="K1495" s="192" t="inlineStr">
        <is>
          <t>https://www.threatminer.org/domain.php?q=</t>
        </is>
      </c>
      <c r="L1495" s="191" t="n"/>
      <c r="M1495" s="191" t="inlineStr">
        <is>
          <t>Block domain</t>
        </is>
      </c>
      <c r="N1495" s="192" t="inlineStr">
        <is>
          <t>https://www.threatminer.org/domain.php?q=</t>
        </is>
      </c>
      <c r="O1495" s="191" t="inlineStr">
        <is>
          <t>Block domain  at DNS/firewall</t>
        </is>
      </c>
      <c r="P1495" s="191" t="inlineStr">
        <is>
          <t>DNS/Network</t>
        </is>
      </c>
      <c r="Q1495" s="191" t="inlineStr">
        <is>
          <t>P4</t>
        </is>
      </c>
      <c r="R1495" s="191" t="inlineStr">
        <is>
          <t>🔍 Investigate and apply appropriate controls</t>
        </is>
      </c>
      <c r="S1495" s="191" t="inlineStr">
        <is>
          <t>Domain IOC - check IP separately</t>
        </is>
      </c>
      <c r="T1495" s="191" t="n">
        <v>0</v>
      </c>
      <c r="U1495" s="191" t="n">
        <v>0</v>
      </c>
      <c r="V1495" s="191" t="inlineStr">
        <is>
          <t>T1071.001:Web Protocols | T1568:Dynamic Resolution</t>
        </is>
      </c>
      <c r="W1495" s="191" t="n">
        <v>1</v>
      </c>
      <c r="X1495" s="191" t="inlineStr">
        <is>
          <t>LOW (40%)</t>
        </is>
      </c>
      <c r="Y1495" s="191" t="inlineStr">
        <is>
          <t>NONE</t>
        </is>
      </c>
      <c r="Z1495" s="191" t="inlineStr">
        <is>
          <t>NONE</t>
        </is>
      </c>
      <c r="AA1495" s="191" t="inlineStr">
        <is>
          <t>NONE</t>
        </is>
      </c>
      <c r="AB1495" s="191" t="inlineStr">
        <is>
          <t>NONE</t>
        </is>
      </c>
      <c r="AC1495" s="191" t="n">
        <v>0</v>
      </c>
      <c r="AD1495" s="191" t="n"/>
    </row>
    <row r="1496">
      <c r="A1496" s="191" t="inlineStr">
        <is>
          <t>THREATMINER</t>
        </is>
      </c>
      <c r="B1496" s="191" t="inlineStr">
        <is>
          <t>d41d8cd98f00</t>
        </is>
      </c>
      <c r="C1496" s="191" t="inlineStr">
        <is>
          <t xml:space="preserve">Malicious domain:  | IP: 64.89.161.198 | Last seen: </t>
        </is>
      </c>
      <c r="D1496" s="191" t="n">
        <v>6.5</v>
      </c>
      <c r="E1496" s="191" t="inlineStr">
        <is>
          <t>MEDIUM</t>
        </is>
      </c>
      <c r="F1496" s="191" t="n">
        <v>2</v>
      </c>
      <c r="G1496" s="191" t="n">
        <v>2</v>
      </c>
      <c r="H1496" s="191" t="inlineStr">
        <is>
          <t>MEDIUM</t>
        </is>
      </c>
      <c r="I1496" s="191" t="n">
        <v>10.5</v>
      </c>
      <c r="J1496" s="191" t="inlineStr">
        <is>
          <t>NO</t>
        </is>
      </c>
      <c r="K1496" s="192" t="inlineStr">
        <is>
          <t>https://www.threatminer.org/domain.php?q=</t>
        </is>
      </c>
      <c r="L1496" s="191" t="n"/>
      <c r="M1496" s="191" t="inlineStr">
        <is>
          <t>Block domain</t>
        </is>
      </c>
      <c r="N1496" s="192" t="inlineStr">
        <is>
          <t>https://www.threatminer.org/domain.php?q=</t>
        </is>
      </c>
      <c r="O1496" s="191" t="inlineStr">
        <is>
          <t>Block domain  at DNS/firewall</t>
        </is>
      </c>
      <c r="P1496" s="191" t="inlineStr">
        <is>
          <t>DNS/Network</t>
        </is>
      </c>
      <c r="Q1496" s="191" t="inlineStr">
        <is>
          <t>P4</t>
        </is>
      </c>
      <c r="R1496" s="191" t="inlineStr">
        <is>
          <t>🔍 Investigate and apply appropriate controls</t>
        </is>
      </c>
      <c r="S1496" s="191" t="inlineStr">
        <is>
          <t>Domain IOC - check IP separately</t>
        </is>
      </c>
      <c r="T1496" s="191" t="n">
        <v>0</v>
      </c>
      <c r="U1496" s="191" t="n">
        <v>0</v>
      </c>
      <c r="V1496" s="191" t="inlineStr">
        <is>
          <t>T1071.001:Web Protocols | T1568:Dynamic Resolution</t>
        </is>
      </c>
      <c r="W1496" s="191" t="n">
        <v>1</v>
      </c>
      <c r="X1496" s="191" t="inlineStr">
        <is>
          <t>LOW (40%)</t>
        </is>
      </c>
      <c r="Y1496" s="191" t="inlineStr">
        <is>
          <t>NONE</t>
        </is>
      </c>
      <c r="Z1496" s="191" t="inlineStr">
        <is>
          <t>NONE</t>
        </is>
      </c>
      <c r="AA1496" s="191" t="inlineStr">
        <is>
          <t>NONE</t>
        </is>
      </c>
      <c r="AB1496" s="191" t="inlineStr">
        <is>
          <t>NONE</t>
        </is>
      </c>
      <c r="AC1496" s="191" t="n">
        <v>0</v>
      </c>
      <c r="AD1496" s="191" t="n"/>
    </row>
    <row r="1497">
      <c r="A1497" s="191" t="inlineStr">
        <is>
          <t>THREATMINER</t>
        </is>
      </c>
      <c r="B1497" s="191" t="inlineStr">
        <is>
          <t>d41d8cd98f00</t>
        </is>
      </c>
      <c r="C1497" s="191" t="inlineStr">
        <is>
          <t xml:space="preserve">Malicious domain:  | IP: 80.82.77.139 | Last seen: </t>
        </is>
      </c>
      <c r="D1497" s="191" t="n">
        <v>6.5</v>
      </c>
      <c r="E1497" s="191" t="inlineStr">
        <is>
          <t>MEDIUM</t>
        </is>
      </c>
      <c r="F1497" s="191" t="n">
        <v>2</v>
      </c>
      <c r="G1497" s="191" t="n">
        <v>2</v>
      </c>
      <c r="H1497" s="191" t="inlineStr">
        <is>
          <t>MEDIUM</t>
        </is>
      </c>
      <c r="I1497" s="191" t="n">
        <v>10.5</v>
      </c>
      <c r="J1497" s="191" t="inlineStr">
        <is>
          <t>NO</t>
        </is>
      </c>
      <c r="K1497" s="192" t="inlineStr">
        <is>
          <t>https://www.threatminer.org/domain.php?q=</t>
        </is>
      </c>
      <c r="L1497" s="191" t="n"/>
      <c r="M1497" s="191" t="inlineStr">
        <is>
          <t>Block domain</t>
        </is>
      </c>
      <c r="N1497" s="192" t="inlineStr">
        <is>
          <t>https://www.threatminer.org/domain.php?q=</t>
        </is>
      </c>
      <c r="O1497" s="191" t="inlineStr">
        <is>
          <t>Block domain  at DNS/firewall</t>
        </is>
      </c>
      <c r="P1497" s="191" t="inlineStr">
        <is>
          <t>DNS/Network</t>
        </is>
      </c>
      <c r="Q1497" s="191" t="inlineStr">
        <is>
          <t>P4</t>
        </is>
      </c>
      <c r="R1497" s="191" t="inlineStr">
        <is>
          <t>🔍 Investigate and apply appropriate controls</t>
        </is>
      </c>
      <c r="S1497" s="191" t="inlineStr">
        <is>
          <t>Domain IOC - check IP separately</t>
        </is>
      </c>
      <c r="T1497" s="191" t="n">
        <v>0</v>
      </c>
      <c r="U1497" s="191" t="n">
        <v>0</v>
      </c>
      <c r="V1497" s="191" t="inlineStr">
        <is>
          <t>T1071.001:Web Protocols | T1568:Dynamic Resolution</t>
        </is>
      </c>
      <c r="W1497" s="191" t="n">
        <v>1</v>
      </c>
      <c r="X1497" s="191" t="inlineStr">
        <is>
          <t>LOW (40%)</t>
        </is>
      </c>
      <c r="Y1497" s="191" t="inlineStr">
        <is>
          <t>NONE</t>
        </is>
      </c>
      <c r="Z1497" s="191" t="inlineStr">
        <is>
          <t>NONE</t>
        </is>
      </c>
      <c r="AA1497" s="191" t="inlineStr">
        <is>
          <t>NONE</t>
        </is>
      </c>
      <c r="AB1497" s="191" t="inlineStr">
        <is>
          <t>NONE</t>
        </is>
      </c>
      <c r="AC1497" s="191" t="n">
        <v>0</v>
      </c>
      <c r="AD1497" s="191" t="n"/>
    </row>
    <row r="1498">
      <c r="A1498" s="191" t="inlineStr">
        <is>
          <t>THREATMINER</t>
        </is>
      </c>
      <c r="B1498" s="191" t="inlineStr">
        <is>
          <t>d41d8cd98f00</t>
        </is>
      </c>
      <c r="C1498" s="191" t="inlineStr">
        <is>
          <t xml:space="preserve">Malicious domain:  | IP: 80.94.92.171 | Last seen: </t>
        </is>
      </c>
      <c r="D1498" s="191" t="n">
        <v>6.5</v>
      </c>
      <c r="E1498" s="191" t="inlineStr">
        <is>
          <t>MEDIUM</t>
        </is>
      </c>
      <c r="F1498" s="191" t="n">
        <v>2</v>
      </c>
      <c r="G1498" s="191" t="n">
        <v>2</v>
      </c>
      <c r="H1498" s="191" t="inlineStr">
        <is>
          <t>MEDIUM</t>
        </is>
      </c>
      <c r="I1498" s="191" t="n">
        <v>10.5</v>
      </c>
      <c r="J1498" s="191" t="inlineStr">
        <is>
          <t>NO</t>
        </is>
      </c>
      <c r="K1498" s="192" t="inlineStr">
        <is>
          <t>https://www.threatminer.org/domain.php?q=</t>
        </is>
      </c>
      <c r="L1498" s="191" t="n"/>
      <c r="M1498" s="191" t="inlineStr">
        <is>
          <t>Block domain</t>
        </is>
      </c>
      <c r="N1498" s="192" t="inlineStr">
        <is>
          <t>https://www.threatminer.org/domain.php?q=</t>
        </is>
      </c>
      <c r="O1498" s="191" t="inlineStr">
        <is>
          <t>Block domain  at DNS/firewall</t>
        </is>
      </c>
      <c r="P1498" s="191" t="inlineStr">
        <is>
          <t>DNS/Network</t>
        </is>
      </c>
      <c r="Q1498" s="191" t="inlineStr">
        <is>
          <t>P4</t>
        </is>
      </c>
      <c r="R1498" s="191" t="inlineStr">
        <is>
          <t>🔍 Investigate and apply appropriate controls</t>
        </is>
      </c>
      <c r="S1498" s="191" t="inlineStr">
        <is>
          <t>Domain IOC - check IP separately</t>
        </is>
      </c>
      <c r="T1498" s="191" t="n">
        <v>0</v>
      </c>
      <c r="U1498" s="191" t="n">
        <v>0</v>
      </c>
      <c r="V1498" s="191" t="inlineStr">
        <is>
          <t>T1071.001:Web Protocols | T1568:Dynamic Resolution</t>
        </is>
      </c>
      <c r="W1498" s="191" t="n">
        <v>1</v>
      </c>
      <c r="X1498" s="191" t="inlineStr">
        <is>
          <t>LOW (40%)</t>
        </is>
      </c>
      <c r="Y1498" s="191" t="inlineStr">
        <is>
          <t>NONE</t>
        </is>
      </c>
      <c r="Z1498" s="191" t="inlineStr">
        <is>
          <t>NONE</t>
        </is>
      </c>
      <c r="AA1498" s="191" t="inlineStr">
        <is>
          <t>NONE</t>
        </is>
      </c>
      <c r="AB1498" s="191" t="inlineStr">
        <is>
          <t>NONE</t>
        </is>
      </c>
      <c r="AC1498" s="191" t="n">
        <v>0</v>
      </c>
      <c r="AD1498" s="191" t="n"/>
    </row>
    <row r="1499">
      <c r="A1499" s="191" t="inlineStr">
        <is>
          <t>THREATMINER</t>
        </is>
      </c>
      <c r="B1499" s="191" t="inlineStr">
        <is>
          <t>d41d8cd98f00</t>
        </is>
      </c>
      <c r="C1499" s="191" t="inlineStr">
        <is>
          <t xml:space="preserve">Malicious domain:  | IP: 91.224.92.54 | Last seen: </t>
        </is>
      </c>
      <c r="D1499" s="191" t="n">
        <v>6.5</v>
      </c>
      <c r="E1499" s="191" t="inlineStr">
        <is>
          <t>MEDIUM</t>
        </is>
      </c>
      <c r="F1499" s="191" t="n">
        <v>2</v>
      </c>
      <c r="G1499" s="191" t="n">
        <v>2</v>
      </c>
      <c r="H1499" s="191" t="inlineStr">
        <is>
          <t>MEDIUM</t>
        </is>
      </c>
      <c r="I1499" s="191" t="n">
        <v>10.5</v>
      </c>
      <c r="J1499" s="191" t="inlineStr">
        <is>
          <t>NO</t>
        </is>
      </c>
      <c r="K1499" s="192" t="inlineStr">
        <is>
          <t>https://www.threatminer.org/domain.php?q=</t>
        </is>
      </c>
      <c r="L1499" s="191" t="n"/>
      <c r="M1499" s="191" t="inlineStr">
        <is>
          <t>Block domain</t>
        </is>
      </c>
      <c r="N1499" s="192" t="inlineStr">
        <is>
          <t>https://www.threatminer.org/domain.php?q=</t>
        </is>
      </c>
      <c r="O1499" s="191" t="inlineStr">
        <is>
          <t>Block domain  at DNS/firewall</t>
        </is>
      </c>
      <c r="P1499" s="191" t="inlineStr">
        <is>
          <t>DNS/Network</t>
        </is>
      </c>
      <c r="Q1499" s="191" t="inlineStr">
        <is>
          <t>P4</t>
        </is>
      </c>
      <c r="R1499" s="191" t="inlineStr">
        <is>
          <t>🔍 Investigate and apply appropriate controls</t>
        </is>
      </c>
      <c r="S1499" s="191" t="inlineStr">
        <is>
          <t>Domain IOC - check IP separately</t>
        </is>
      </c>
      <c r="T1499" s="191" t="n">
        <v>0</v>
      </c>
      <c r="U1499" s="191" t="n">
        <v>0</v>
      </c>
      <c r="V1499" s="191" t="inlineStr">
        <is>
          <t>T1071.001:Web Protocols | T1568:Dynamic Resolution</t>
        </is>
      </c>
      <c r="W1499" s="191" t="n">
        <v>1</v>
      </c>
      <c r="X1499" s="191" t="inlineStr">
        <is>
          <t>LOW (40%)</t>
        </is>
      </c>
      <c r="Y1499" s="191" t="inlineStr">
        <is>
          <t>NONE</t>
        </is>
      </c>
      <c r="Z1499" s="191" t="inlineStr">
        <is>
          <t>NONE</t>
        </is>
      </c>
      <c r="AA1499" s="191" t="inlineStr">
        <is>
          <t>NONE</t>
        </is>
      </c>
      <c r="AB1499" s="191" t="inlineStr">
        <is>
          <t>NONE</t>
        </is>
      </c>
      <c r="AC1499" s="191" t="n">
        <v>0</v>
      </c>
      <c r="AD1499" s="191" t="n"/>
    </row>
    <row r="1500">
      <c r="A1500" s="191" t="inlineStr">
        <is>
          <t>THREATMINER</t>
        </is>
      </c>
      <c r="B1500" s="191" t="inlineStr">
        <is>
          <t>d41d8cd98f00</t>
        </is>
      </c>
      <c r="C1500" s="191" t="inlineStr">
        <is>
          <t xml:space="preserve">Malicious domain:  | IP: 91.224.92.190 | Last seen: </t>
        </is>
      </c>
      <c r="D1500" s="191" t="n">
        <v>6.5</v>
      </c>
      <c r="E1500" s="191" t="inlineStr">
        <is>
          <t>MEDIUM</t>
        </is>
      </c>
      <c r="F1500" s="191" t="n">
        <v>2</v>
      </c>
      <c r="G1500" s="191" t="n">
        <v>2</v>
      </c>
      <c r="H1500" s="191" t="inlineStr">
        <is>
          <t>MEDIUM</t>
        </is>
      </c>
      <c r="I1500" s="191" t="n">
        <v>10.5</v>
      </c>
      <c r="J1500" s="191" t="inlineStr">
        <is>
          <t>NO</t>
        </is>
      </c>
      <c r="K1500" s="192" t="inlineStr">
        <is>
          <t>https://www.threatminer.org/domain.php?q=</t>
        </is>
      </c>
      <c r="L1500" s="191" t="n"/>
      <c r="M1500" s="191" t="inlineStr">
        <is>
          <t>Block domain</t>
        </is>
      </c>
      <c r="N1500" s="192" t="inlineStr">
        <is>
          <t>https://www.threatminer.org/domain.php?q=</t>
        </is>
      </c>
      <c r="O1500" s="191" t="inlineStr">
        <is>
          <t>Block domain  at DNS/firewall</t>
        </is>
      </c>
      <c r="P1500" s="191" t="inlineStr">
        <is>
          <t>DNS/Network</t>
        </is>
      </c>
      <c r="Q1500" s="191" t="inlineStr">
        <is>
          <t>P4</t>
        </is>
      </c>
      <c r="R1500" s="191" t="inlineStr">
        <is>
          <t>🔍 Investigate and apply appropriate controls</t>
        </is>
      </c>
      <c r="S1500" s="191" t="inlineStr">
        <is>
          <t>Domain IOC - check IP separately</t>
        </is>
      </c>
      <c r="T1500" s="191" t="n">
        <v>0</v>
      </c>
      <c r="U1500" s="191" t="n">
        <v>0</v>
      </c>
      <c r="V1500" s="191" t="inlineStr">
        <is>
          <t>T1071.001:Web Protocols | T1568:Dynamic Resolution</t>
        </is>
      </c>
      <c r="W1500" s="191" t="n">
        <v>1</v>
      </c>
      <c r="X1500" s="191" t="inlineStr">
        <is>
          <t>LOW (40%)</t>
        </is>
      </c>
      <c r="Y1500" s="191" t="inlineStr">
        <is>
          <t>NONE</t>
        </is>
      </c>
      <c r="Z1500" s="191" t="inlineStr">
        <is>
          <t>NONE</t>
        </is>
      </c>
      <c r="AA1500" s="191" t="inlineStr">
        <is>
          <t>NONE</t>
        </is>
      </c>
      <c r="AB1500" s="191" t="inlineStr">
        <is>
          <t>NONE</t>
        </is>
      </c>
      <c r="AC1500" s="191" t="n">
        <v>0</v>
      </c>
      <c r="AD1500" s="191" t="n"/>
    </row>
    <row r="1501">
      <c r="A1501" s="191" t="inlineStr">
        <is>
          <t>THREATMINER</t>
        </is>
      </c>
      <c r="B1501" s="191" t="inlineStr">
        <is>
          <t>d41d8cd98f00</t>
        </is>
      </c>
      <c r="C1501" s="191" t="inlineStr">
        <is>
          <t xml:space="preserve">Malicious domain:  | IP: 93.174.95.106 | Last seen: </t>
        </is>
      </c>
      <c r="D1501" s="191" t="n">
        <v>6.5</v>
      </c>
      <c r="E1501" s="191" t="inlineStr">
        <is>
          <t>MEDIUM</t>
        </is>
      </c>
      <c r="F1501" s="191" t="n">
        <v>2</v>
      </c>
      <c r="G1501" s="191" t="n">
        <v>2</v>
      </c>
      <c r="H1501" s="191" t="inlineStr">
        <is>
          <t>MEDIUM</t>
        </is>
      </c>
      <c r="I1501" s="191" t="n">
        <v>10.5</v>
      </c>
      <c r="J1501" s="191" t="inlineStr">
        <is>
          <t>NO</t>
        </is>
      </c>
      <c r="K1501" s="192" t="inlineStr">
        <is>
          <t>https://www.threatminer.org/domain.php?q=</t>
        </is>
      </c>
      <c r="L1501" s="191" t="n"/>
      <c r="M1501" s="191" t="inlineStr">
        <is>
          <t>Block domain</t>
        </is>
      </c>
      <c r="N1501" s="192" t="inlineStr">
        <is>
          <t>https://www.threatminer.org/domain.php?q=</t>
        </is>
      </c>
      <c r="O1501" s="191" t="inlineStr">
        <is>
          <t>Block domain  at DNS/firewall</t>
        </is>
      </c>
      <c r="P1501" s="191" t="inlineStr">
        <is>
          <t>DNS/Network</t>
        </is>
      </c>
      <c r="Q1501" s="191" t="inlineStr">
        <is>
          <t>P4</t>
        </is>
      </c>
      <c r="R1501" s="191" t="inlineStr">
        <is>
          <t>🔍 Investigate and apply appropriate controls</t>
        </is>
      </c>
      <c r="S1501" s="191" t="inlineStr">
        <is>
          <t>Domain IOC - check IP separately</t>
        </is>
      </c>
      <c r="T1501" s="191" t="n">
        <v>0</v>
      </c>
      <c r="U1501" s="191" t="n">
        <v>0</v>
      </c>
      <c r="V1501" s="191" t="inlineStr">
        <is>
          <t>T1071.001:Web Protocols | T1568:Dynamic Resolution</t>
        </is>
      </c>
      <c r="W1501" s="191" t="n">
        <v>1</v>
      </c>
      <c r="X1501" s="191" t="inlineStr">
        <is>
          <t>LOW (40%)</t>
        </is>
      </c>
      <c r="Y1501" s="191" t="inlineStr">
        <is>
          <t>NONE</t>
        </is>
      </c>
      <c r="Z1501" s="191" t="inlineStr">
        <is>
          <t>NONE</t>
        </is>
      </c>
      <c r="AA1501" s="191" t="inlineStr">
        <is>
          <t>NONE</t>
        </is>
      </c>
      <c r="AB1501" s="191" t="inlineStr">
        <is>
          <t>NONE</t>
        </is>
      </c>
      <c r="AC1501" s="191" t="n">
        <v>0</v>
      </c>
      <c r="AD1501" s="191" t="n"/>
    </row>
    <row r="1502">
      <c r="A1502" s="191" t="inlineStr">
        <is>
          <t>THREATMINER</t>
        </is>
      </c>
      <c r="B1502" s="191" t="inlineStr">
        <is>
          <t>d41d8cd98f00</t>
        </is>
      </c>
      <c r="C1502" s="191" t="inlineStr">
        <is>
          <t xml:space="preserve">Malicious domain:  | IP: 103.40.61.98 | Last seen: </t>
        </is>
      </c>
      <c r="D1502" s="191" t="n">
        <v>6.5</v>
      </c>
      <c r="E1502" s="191" t="inlineStr">
        <is>
          <t>MEDIUM</t>
        </is>
      </c>
      <c r="F1502" s="191" t="n">
        <v>2</v>
      </c>
      <c r="G1502" s="191" t="n">
        <v>2</v>
      </c>
      <c r="H1502" s="191" t="inlineStr">
        <is>
          <t>MEDIUM</t>
        </is>
      </c>
      <c r="I1502" s="191" t="n">
        <v>10.5</v>
      </c>
      <c r="J1502" s="191" t="inlineStr">
        <is>
          <t>NO</t>
        </is>
      </c>
      <c r="K1502" s="192" t="inlineStr">
        <is>
          <t>https://www.threatminer.org/domain.php?q=</t>
        </is>
      </c>
      <c r="L1502" s="191" t="n"/>
      <c r="M1502" s="191" t="inlineStr">
        <is>
          <t>Block domain</t>
        </is>
      </c>
      <c r="N1502" s="192" t="inlineStr">
        <is>
          <t>https://www.threatminer.org/domain.php?q=</t>
        </is>
      </c>
      <c r="O1502" s="191" t="inlineStr">
        <is>
          <t>Block domain  at DNS/firewall</t>
        </is>
      </c>
      <c r="P1502" s="191" t="inlineStr">
        <is>
          <t>DNS/Network</t>
        </is>
      </c>
      <c r="Q1502" s="191" t="inlineStr">
        <is>
          <t>P4</t>
        </is>
      </c>
      <c r="R1502" s="191" t="inlineStr">
        <is>
          <t>🔍 Investigate and apply appropriate controls</t>
        </is>
      </c>
      <c r="S1502" s="191" t="inlineStr">
        <is>
          <t>Domain IOC - check IP separately</t>
        </is>
      </c>
      <c r="T1502" s="191" t="n">
        <v>0</v>
      </c>
      <c r="U1502" s="191" t="n">
        <v>0</v>
      </c>
      <c r="V1502" s="191" t="inlineStr">
        <is>
          <t>T1071.001:Web Protocols | T1568:Dynamic Resolution</t>
        </is>
      </c>
      <c r="W1502" s="191" t="n">
        <v>1</v>
      </c>
      <c r="X1502" s="191" t="inlineStr">
        <is>
          <t>LOW (40%)</t>
        </is>
      </c>
      <c r="Y1502" s="191" t="inlineStr">
        <is>
          <t>NONE</t>
        </is>
      </c>
      <c r="Z1502" s="191" t="inlineStr">
        <is>
          <t>NONE</t>
        </is>
      </c>
      <c r="AA1502" s="191" t="inlineStr">
        <is>
          <t>NONE</t>
        </is>
      </c>
      <c r="AB1502" s="191" t="inlineStr">
        <is>
          <t>NONE</t>
        </is>
      </c>
      <c r="AC1502" s="191" t="n">
        <v>0</v>
      </c>
      <c r="AD1502" s="191" t="n"/>
    </row>
    <row r="1503">
      <c r="A1503" s="191" t="inlineStr">
        <is>
          <t>THREATMINER</t>
        </is>
      </c>
      <c r="B1503" s="191" t="inlineStr">
        <is>
          <t>d41d8cd98f00</t>
        </is>
      </c>
      <c r="C1503" s="191" t="inlineStr">
        <is>
          <t xml:space="preserve">Malicious domain:  | IP: 103.218.241.106 | Last seen: </t>
        </is>
      </c>
      <c r="D1503" s="191" t="n">
        <v>6.5</v>
      </c>
      <c r="E1503" s="191" t="inlineStr">
        <is>
          <t>MEDIUM</t>
        </is>
      </c>
      <c r="F1503" s="191" t="n">
        <v>2</v>
      </c>
      <c r="G1503" s="191" t="n">
        <v>2</v>
      </c>
      <c r="H1503" s="191" t="inlineStr">
        <is>
          <t>MEDIUM</t>
        </is>
      </c>
      <c r="I1503" s="191" t="n">
        <v>10.5</v>
      </c>
      <c r="J1503" s="191" t="inlineStr">
        <is>
          <t>NO</t>
        </is>
      </c>
      <c r="K1503" s="192" t="inlineStr">
        <is>
          <t>https://www.threatminer.org/domain.php?q=</t>
        </is>
      </c>
      <c r="L1503" s="191" t="n"/>
      <c r="M1503" s="191" t="inlineStr">
        <is>
          <t>Block domain</t>
        </is>
      </c>
      <c r="N1503" s="192" t="inlineStr">
        <is>
          <t>https://www.threatminer.org/domain.php?q=</t>
        </is>
      </c>
      <c r="O1503" s="191" t="inlineStr">
        <is>
          <t>Block domain  at DNS/firewall</t>
        </is>
      </c>
      <c r="P1503" s="191" t="inlineStr">
        <is>
          <t>DNS/Network</t>
        </is>
      </c>
      <c r="Q1503" s="191" t="inlineStr">
        <is>
          <t>P4</t>
        </is>
      </c>
      <c r="R1503" s="191" t="inlineStr">
        <is>
          <t>🔍 Investigate and apply appropriate controls</t>
        </is>
      </c>
      <c r="S1503" s="191" t="inlineStr">
        <is>
          <t>Domain IOC - check IP separately</t>
        </is>
      </c>
      <c r="T1503" s="191" t="n">
        <v>0</v>
      </c>
      <c r="U1503" s="191" t="n">
        <v>0</v>
      </c>
      <c r="V1503" s="191" t="inlineStr">
        <is>
          <t>T1071.001:Web Protocols | T1568:Dynamic Resolution</t>
        </is>
      </c>
      <c r="W1503" s="191" t="n">
        <v>1</v>
      </c>
      <c r="X1503" s="191" t="inlineStr">
        <is>
          <t>LOW (40%)</t>
        </is>
      </c>
      <c r="Y1503" s="191" t="inlineStr">
        <is>
          <t>NONE</t>
        </is>
      </c>
      <c r="Z1503" s="191" t="inlineStr">
        <is>
          <t>NONE</t>
        </is>
      </c>
      <c r="AA1503" s="191" t="inlineStr">
        <is>
          <t>NONE</t>
        </is>
      </c>
      <c r="AB1503" s="191" t="inlineStr">
        <is>
          <t>NONE</t>
        </is>
      </c>
      <c r="AC1503" s="191" t="n">
        <v>0</v>
      </c>
      <c r="AD1503" s="191" t="n"/>
    </row>
    <row r="1504">
      <c r="A1504" s="191" t="inlineStr">
        <is>
          <t>THREATMINER</t>
        </is>
      </c>
      <c r="B1504" s="191" t="inlineStr">
        <is>
          <t>d41d8cd98f00</t>
        </is>
      </c>
      <c r="C1504" s="191" t="inlineStr">
        <is>
          <t xml:space="preserve">Malicious domain:  | IP: 125.17.108.32 | Last seen: </t>
        </is>
      </c>
      <c r="D1504" s="191" t="n">
        <v>6.5</v>
      </c>
      <c r="E1504" s="191" t="inlineStr">
        <is>
          <t>MEDIUM</t>
        </is>
      </c>
      <c r="F1504" s="191" t="n">
        <v>2</v>
      </c>
      <c r="G1504" s="191" t="n">
        <v>2</v>
      </c>
      <c r="H1504" s="191" t="inlineStr">
        <is>
          <t>MEDIUM</t>
        </is>
      </c>
      <c r="I1504" s="191" t="n">
        <v>10.5</v>
      </c>
      <c r="J1504" s="191" t="inlineStr">
        <is>
          <t>NO</t>
        </is>
      </c>
      <c r="K1504" s="192" t="inlineStr">
        <is>
          <t>https://www.threatminer.org/domain.php?q=</t>
        </is>
      </c>
      <c r="L1504" s="191" t="n"/>
      <c r="M1504" s="191" t="inlineStr">
        <is>
          <t>Block domain</t>
        </is>
      </c>
      <c r="N1504" s="192" t="inlineStr">
        <is>
          <t>https://www.threatminer.org/domain.php?q=</t>
        </is>
      </c>
      <c r="O1504" s="191" t="inlineStr">
        <is>
          <t>Block domain  at DNS/firewall</t>
        </is>
      </c>
      <c r="P1504" s="191" t="inlineStr">
        <is>
          <t>DNS/Network</t>
        </is>
      </c>
      <c r="Q1504" s="191" t="inlineStr">
        <is>
          <t>P4</t>
        </is>
      </c>
      <c r="R1504" s="191" t="inlineStr">
        <is>
          <t>🔍 Investigate and apply appropriate controls</t>
        </is>
      </c>
      <c r="S1504" s="191" t="inlineStr">
        <is>
          <t>Domain IOC - check IP separately</t>
        </is>
      </c>
      <c r="T1504" s="191" t="n">
        <v>0</v>
      </c>
      <c r="U1504" s="191" t="n">
        <v>0</v>
      </c>
      <c r="V1504" s="191" t="inlineStr">
        <is>
          <t>T1071.001:Web Protocols | T1568:Dynamic Resolution</t>
        </is>
      </c>
      <c r="W1504" s="191" t="n">
        <v>1</v>
      </c>
      <c r="X1504" s="191" t="inlineStr">
        <is>
          <t>LOW (40%)</t>
        </is>
      </c>
      <c r="Y1504" s="191" t="inlineStr">
        <is>
          <t>NONE</t>
        </is>
      </c>
      <c r="Z1504" s="191" t="inlineStr">
        <is>
          <t>NONE</t>
        </is>
      </c>
      <c r="AA1504" s="191" t="inlineStr">
        <is>
          <t>NONE</t>
        </is>
      </c>
      <c r="AB1504" s="191" t="inlineStr">
        <is>
          <t>NONE</t>
        </is>
      </c>
      <c r="AC1504" s="191" t="n">
        <v>0</v>
      </c>
      <c r="AD1504" s="191" t="n"/>
    </row>
    <row r="1505">
      <c r="A1505" s="191" t="inlineStr">
        <is>
          <t>THREATMINER</t>
        </is>
      </c>
      <c r="B1505" s="191" t="inlineStr">
        <is>
          <t>d41d8cd98f00</t>
        </is>
      </c>
      <c r="C1505" s="191" t="inlineStr">
        <is>
          <t xml:space="preserve">Malicious domain:  | IP: 154.81.14.244 | Last seen: </t>
        </is>
      </c>
      <c r="D1505" s="191" t="n">
        <v>6.5</v>
      </c>
      <c r="E1505" s="191" t="inlineStr">
        <is>
          <t>MEDIUM</t>
        </is>
      </c>
      <c r="F1505" s="191" t="n">
        <v>2</v>
      </c>
      <c r="G1505" s="191" t="n">
        <v>2</v>
      </c>
      <c r="H1505" s="191" t="inlineStr">
        <is>
          <t>MEDIUM</t>
        </is>
      </c>
      <c r="I1505" s="191" t="n">
        <v>10.5</v>
      </c>
      <c r="J1505" s="191" t="inlineStr">
        <is>
          <t>NO</t>
        </is>
      </c>
      <c r="K1505" s="192" t="inlineStr">
        <is>
          <t>https://www.threatminer.org/domain.php?q=</t>
        </is>
      </c>
      <c r="L1505" s="191" t="n"/>
      <c r="M1505" s="191" t="inlineStr">
        <is>
          <t>Block domain</t>
        </is>
      </c>
      <c r="N1505" s="192" t="inlineStr">
        <is>
          <t>https://www.threatminer.org/domain.php?q=</t>
        </is>
      </c>
      <c r="O1505" s="191" t="inlineStr">
        <is>
          <t>Block domain  at DNS/firewall</t>
        </is>
      </c>
      <c r="P1505" s="191" t="inlineStr">
        <is>
          <t>DNS/Network</t>
        </is>
      </c>
      <c r="Q1505" s="191" t="inlineStr">
        <is>
          <t>P4</t>
        </is>
      </c>
      <c r="R1505" s="191" t="inlineStr">
        <is>
          <t>🔍 Investigate and apply appropriate controls</t>
        </is>
      </c>
      <c r="S1505" s="191" t="inlineStr">
        <is>
          <t>Domain IOC - check IP separately</t>
        </is>
      </c>
      <c r="T1505" s="191" t="n">
        <v>0</v>
      </c>
      <c r="U1505" s="191" t="n">
        <v>0</v>
      </c>
      <c r="V1505" s="191" t="inlineStr">
        <is>
          <t>T1071.001:Web Protocols | T1568:Dynamic Resolution</t>
        </is>
      </c>
      <c r="W1505" s="191" t="n">
        <v>1</v>
      </c>
      <c r="X1505" s="191" t="inlineStr">
        <is>
          <t>LOW (40%)</t>
        </is>
      </c>
      <c r="Y1505" s="191" t="inlineStr">
        <is>
          <t>NONE</t>
        </is>
      </c>
      <c r="Z1505" s="191" t="inlineStr">
        <is>
          <t>NONE</t>
        </is>
      </c>
      <c r="AA1505" s="191" t="inlineStr">
        <is>
          <t>NONE</t>
        </is>
      </c>
      <c r="AB1505" s="191" t="inlineStr">
        <is>
          <t>NONE</t>
        </is>
      </c>
      <c r="AC1505" s="191" t="n">
        <v>0</v>
      </c>
      <c r="AD1505" s="191" t="n"/>
    </row>
    <row r="1506">
      <c r="A1506" s="191" t="inlineStr">
        <is>
          <t>THREATMINER</t>
        </is>
      </c>
      <c r="B1506" s="191" t="inlineStr">
        <is>
          <t>d41d8cd98f00</t>
        </is>
      </c>
      <c r="C1506" s="191" t="inlineStr">
        <is>
          <t xml:space="preserve">Malicious domain:  | IP: 213.209.159.159 | Last seen: </t>
        </is>
      </c>
      <c r="D1506" s="191" t="n">
        <v>6.5</v>
      </c>
      <c r="E1506" s="191" t="inlineStr">
        <is>
          <t>MEDIUM</t>
        </is>
      </c>
      <c r="F1506" s="191" t="n">
        <v>2</v>
      </c>
      <c r="G1506" s="191" t="n">
        <v>2</v>
      </c>
      <c r="H1506" s="191" t="inlineStr">
        <is>
          <t>MEDIUM</t>
        </is>
      </c>
      <c r="I1506" s="191" t="n">
        <v>10.5</v>
      </c>
      <c r="J1506" s="191" t="inlineStr">
        <is>
          <t>NO</t>
        </is>
      </c>
      <c r="K1506" s="192" t="inlineStr">
        <is>
          <t>https://www.threatminer.org/domain.php?q=</t>
        </is>
      </c>
      <c r="L1506" s="191" t="n"/>
      <c r="M1506" s="191" t="inlineStr">
        <is>
          <t>Block domain</t>
        </is>
      </c>
      <c r="N1506" s="192" t="inlineStr">
        <is>
          <t>https://www.threatminer.org/domain.php?q=</t>
        </is>
      </c>
      <c r="O1506" s="191" t="inlineStr">
        <is>
          <t>Block domain  at DNS/firewall</t>
        </is>
      </c>
      <c r="P1506" s="191" t="inlineStr">
        <is>
          <t>DNS/Network</t>
        </is>
      </c>
      <c r="Q1506" s="191" t="inlineStr">
        <is>
          <t>P4</t>
        </is>
      </c>
      <c r="R1506" s="191" t="inlineStr">
        <is>
          <t>🔍 Investigate and apply appropriate controls</t>
        </is>
      </c>
      <c r="S1506" s="191" t="inlineStr">
        <is>
          <t>Domain IOC - check IP separately</t>
        </is>
      </c>
      <c r="T1506" s="191" t="n">
        <v>0</v>
      </c>
      <c r="U1506" s="191" t="n">
        <v>0</v>
      </c>
      <c r="V1506" s="191" t="inlineStr">
        <is>
          <t>T1071.001:Web Protocols | T1568:Dynamic Resolution</t>
        </is>
      </c>
      <c r="W1506" s="191" t="n">
        <v>1</v>
      </c>
      <c r="X1506" s="191" t="inlineStr">
        <is>
          <t>LOW (40%)</t>
        </is>
      </c>
      <c r="Y1506" s="191" t="inlineStr">
        <is>
          <t>NONE</t>
        </is>
      </c>
      <c r="Z1506" s="191" t="inlineStr">
        <is>
          <t>NONE</t>
        </is>
      </c>
      <c r="AA1506" s="191" t="inlineStr">
        <is>
          <t>NONE</t>
        </is>
      </c>
      <c r="AB1506" s="191" t="inlineStr">
        <is>
          <t>NONE</t>
        </is>
      </c>
      <c r="AC1506" s="191" t="n">
        <v>0</v>
      </c>
      <c r="AD1506" s="191" t="n"/>
    </row>
    <row r="1507">
      <c r="A1507" s="191" t="inlineStr">
        <is>
          <t>THREATMINER</t>
        </is>
      </c>
      <c r="B1507" s="191" t="inlineStr">
        <is>
          <t>d41d8cd98f00</t>
        </is>
      </c>
      <c r="C1507" s="191" t="inlineStr">
        <is>
          <t xml:space="preserve">Malicious domain:  | IP: 2.57.121.112 | Last seen: </t>
        </is>
      </c>
      <c r="D1507" s="191" t="n">
        <v>6.5</v>
      </c>
      <c r="E1507" s="191" t="inlineStr">
        <is>
          <t>MEDIUM</t>
        </is>
      </c>
      <c r="F1507" s="191" t="n">
        <v>2</v>
      </c>
      <c r="G1507" s="191" t="n">
        <v>2</v>
      </c>
      <c r="H1507" s="191" t="inlineStr">
        <is>
          <t>MEDIUM</t>
        </is>
      </c>
      <c r="I1507" s="191" t="n">
        <v>10.5</v>
      </c>
      <c r="J1507" s="191" t="inlineStr">
        <is>
          <t>NO</t>
        </is>
      </c>
      <c r="K1507" s="192" t="inlineStr">
        <is>
          <t>https://www.threatminer.org/domain.php?q=</t>
        </is>
      </c>
      <c r="L1507" s="191" t="n"/>
      <c r="M1507" s="191" t="inlineStr">
        <is>
          <t>Block domain</t>
        </is>
      </c>
      <c r="N1507" s="192" t="inlineStr">
        <is>
          <t>https://www.threatminer.org/domain.php?q=</t>
        </is>
      </c>
      <c r="O1507" s="191" t="inlineStr">
        <is>
          <t>Block domain  at DNS/firewall</t>
        </is>
      </c>
      <c r="P1507" s="191" t="inlineStr">
        <is>
          <t>DNS/Network</t>
        </is>
      </c>
      <c r="Q1507" s="191" t="inlineStr">
        <is>
          <t>P4</t>
        </is>
      </c>
      <c r="R1507" s="191" t="inlineStr">
        <is>
          <t>🔍 Investigate and apply appropriate controls</t>
        </is>
      </c>
      <c r="S1507" s="191" t="inlineStr">
        <is>
          <t>Domain IOC - check IP separately</t>
        </is>
      </c>
      <c r="T1507" s="191" t="n">
        <v>0</v>
      </c>
      <c r="U1507" s="191" t="n">
        <v>0</v>
      </c>
      <c r="V1507" s="191" t="inlineStr">
        <is>
          <t>T1071.001:Web Protocols | T1568:Dynamic Resolution</t>
        </is>
      </c>
      <c r="W1507" s="191" t="n">
        <v>1</v>
      </c>
      <c r="X1507" s="191" t="inlineStr">
        <is>
          <t>LOW (40%)</t>
        </is>
      </c>
      <c r="Y1507" s="191" t="inlineStr">
        <is>
          <t>NONE</t>
        </is>
      </c>
      <c r="Z1507" s="191" t="inlineStr">
        <is>
          <t>NONE</t>
        </is>
      </c>
      <c r="AA1507" s="191" t="inlineStr">
        <is>
          <t>NONE</t>
        </is>
      </c>
      <c r="AB1507" s="191" t="inlineStr">
        <is>
          <t>NONE</t>
        </is>
      </c>
      <c r="AC1507" s="191" t="n">
        <v>0</v>
      </c>
      <c r="AD1507" s="191" t="n"/>
    </row>
    <row r="1508">
      <c r="A1508" s="191" t="inlineStr">
        <is>
          <t>THREATMINER</t>
        </is>
      </c>
      <c r="B1508" s="191" t="inlineStr">
        <is>
          <t>d41d8cd98f00</t>
        </is>
      </c>
      <c r="C1508" s="191" t="inlineStr">
        <is>
          <t xml:space="preserve">Malicious domain:  | IP: 3.131.220.121 | Last seen: </t>
        </is>
      </c>
      <c r="D1508" s="191" t="n">
        <v>6.5</v>
      </c>
      <c r="E1508" s="191" t="inlineStr">
        <is>
          <t>MEDIUM</t>
        </is>
      </c>
      <c r="F1508" s="191" t="n">
        <v>2</v>
      </c>
      <c r="G1508" s="191" t="n">
        <v>2</v>
      </c>
      <c r="H1508" s="191" t="inlineStr">
        <is>
          <t>MEDIUM</t>
        </is>
      </c>
      <c r="I1508" s="191" t="n">
        <v>10.5</v>
      </c>
      <c r="J1508" s="191" t="inlineStr">
        <is>
          <t>NO</t>
        </is>
      </c>
      <c r="K1508" s="192" t="inlineStr">
        <is>
          <t>https://www.threatminer.org/domain.php?q=</t>
        </is>
      </c>
      <c r="L1508" s="191" t="n"/>
      <c r="M1508" s="191" t="inlineStr">
        <is>
          <t>Block domain</t>
        </is>
      </c>
      <c r="N1508" s="192" t="inlineStr">
        <is>
          <t>https://www.threatminer.org/domain.php?q=</t>
        </is>
      </c>
      <c r="O1508" s="191" t="inlineStr">
        <is>
          <t>Block domain  at DNS/firewall</t>
        </is>
      </c>
      <c r="P1508" s="191" t="inlineStr">
        <is>
          <t>DNS/Network</t>
        </is>
      </c>
      <c r="Q1508" s="191" t="inlineStr">
        <is>
          <t>P4</t>
        </is>
      </c>
      <c r="R1508" s="191" t="inlineStr">
        <is>
          <t>🔍 Investigate and apply appropriate controls</t>
        </is>
      </c>
      <c r="S1508" s="191" t="inlineStr">
        <is>
          <t>Domain IOC - check IP separately</t>
        </is>
      </c>
      <c r="T1508" s="191" t="n">
        <v>0</v>
      </c>
      <c r="U1508" s="191" t="n">
        <v>0</v>
      </c>
      <c r="V1508" s="191" t="inlineStr">
        <is>
          <t>T1071.001:Web Protocols | T1568:Dynamic Resolution</t>
        </is>
      </c>
      <c r="W1508" s="191" t="n">
        <v>1</v>
      </c>
      <c r="X1508" s="191" t="inlineStr">
        <is>
          <t>LOW (40%)</t>
        </is>
      </c>
      <c r="Y1508" s="191" t="inlineStr">
        <is>
          <t>NONE</t>
        </is>
      </c>
      <c r="Z1508" s="191" t="inlineStr">
        <is>
          <t>NONE</t>
        </is>
      </c>
      <c r="AA1508" s="191" t="inlineStr">
        <is>
          <t>NONE</t>
        </is>
      </c>
      <c r="AB1508" s="191" t="inlineStr">
        <is>
          <t>NONE</t>
        </is>
      </c>
      <c r="AC1508" s="191" t="n">
        <v>0</v>
      </c>
      <c r="AD1508" s="191" t="n"/>
    </row>
    <row r="1509">
      <c r="A1509" s="191" t="inlineStr">
        <is>
          <t>THREATMINER</t>
        </is>
      </c>
      <c r="B1509" s="191" t="inlineStr">
        <is>
          <t>d41d8cd98f00</t>
        </is>
      </c>
      <c r="C1509" s="191" t="inlineStr">
        <is>
          <t xml:space="preserve">Malicious domain:  | IP: 5.253.59.74 | Last seen: </t>
        </is>
      </c>
      <c r="D1509" s="191" t="n">
        <v>6.5</v>
      </c>
      <c r="E1509" s="191" t="inlineStr">
        <is>
          <t>MEDIUM</t>
        </is>
      </c>
      <c r="F1509" s="191" t="n">
        <v>2</v>
      </c>
      <c r="G1509" s="191" t="n">
        <v>2</v>
      </c>
      <c r="H1509" s="191" t="inlineStr">
        <is>
          <t>MEDIUM</t>
        </is>
      </c>
      <c r="I1509" s="191" t="n">
        <v>10.5</v>
      </c>
      <c r="J1509" s="191" t="inlineStr">
        <is>
          <t>NO</t>
        </is>
      </c>
      <c r="K1509" s="192" t="inlineStr">
        <is>
          <t>https://www.threatminer.org/domain.php?q=</t>
        </is>
      </c>
      <c r="L1509" s="191" t="n"/>
      <c r="M1509" s="191" t="inlineStr">
        <is>
          <t>Block domain</t>
        </is>
      </c>
      <c r="N1509" s="192" t="inlineStr">
        <is>
          <t>https://www.threatminer.org/domain.php?q=</t>
        </is>
      </c>
      <c r="O1509" s="191" t="inlineStr">
        <is>
          <t>Block domain  at DNS/firewall</t>
        </is>
      </c>
      <c r="P1509" s="191" t="inlineStr">
        <is>
          <t>DNS/Network</t>
        </is>
      </c>
      <c r="Q1509" s="191" t="inlineStr">
        <is>
          <t>P4</t>
        </is>
      </c>
      <c r="R1509" s="191" t="inlineStr">
        <is>
          <t>🔍 Investigate and apply appropriate controls</t>
        </is>
      </c>
      <c r="S1509" s="191" t="inlineStr">
        <is>
          <t>Domain IOC - check IP separately</t>
        </is>
      </c>
      <c r="T1509" s="191" t="n">
        <v>0</v>
      </c>
      <c r="U1509" s="191" t="n">
        <v>0</v>
      </c>
      <c r="V1509" s="191" t="inlineStr">
        <is>
          <t>T1071.001:Web Protocols | T1568:Dynamic Resolution</t>
        </is>
      </c>
      <c r="W1509" s="191" t="n">
        <v>1</v>
      </c>
      <c r="X1509" s="191" t="inlineStr">
        <is>
          <t>LOW (40%)</t>
        </is>
      </c>
      <c r="Y1509" s="191" t="inlineStr">
        <is>
          <t>NONE</t>
        </is>
      </c>
      <c r="Z1509" s="191" t="inlineStr">
        <is>
          <t>NONE</t>
        </is>
      </c>
      <c r="AA1509" s="191" t="inlineStr">
        <is>
          <t>NONE</t>
        </is>
      </c>
      <c r="AB1509" s="191" t="inlineStr">
        <is>
          <t>NONE</t>
        </is>
      </c>
      <c r="AC1509" s="191" t="n">
        <v>0</v>
      </c>
      <c r="AD1509" s="191" t="n"/>
    </row>
    <row r="1510">
      <c r="A1510" s="191" t="inlineStr">
        <is>
          <t>THREATMINER</t>
        </is>
      </c>
      <c r="B1510" s="191" t="inlineStr">
        <is>
          <t>d41d8cd98f00</t>
        </is>
      </c>
      <c r="C1510" s="191" t="inlineStr">
        <is>
          <t xml:space="preserve">Malicious domain:  | IP: 18.218.118.203 | Last seen: </t>
        </is>
      </c>
      <c r="D1510" s="191" t="n">
        <v>6.5</v>
      </c>
      <c r="E1510" s="191" t="inlineStr">
        <is>
          <t>MEDIUM</t>
        </is>
      </c>
      <c r="F1510" s="191" t="n">
        <v>2</v>
      </c>
      <c r="G1510" s="191" t="n">
        <v>2</v>
      </c>
      <c r="H1510" s="191" t="inlineStr">
        <is>
          <t>MEDIUM</t>
        </is>
      </c>
      <c r="I1510" s="191" t="n">
        <v>10.5</v>
      </c>
      <c r="J1510" s="191" t="inlineStr">
        <is>
          <t>NO</t>
        </is>
      </c>
      <c r="K1510" s="192" t="inlineStr">
        <is>
          <t>https://www.threatminer.org/domain.php?q=</t>
        </is>
      </c>
      <c r="L1510" s="191" t="n"/>
      <c r="M1510" s="191" t="inlineStr">
        <is>
          <t>Block domain</t>
        </is>
      </c>
      <c r="N1510" s="192" t="inlineStr">
        <is>
          <t>https://www.threatminer.org/domain.php?q=</t>
        </is>
      </c>
      <c r="O1510" s="191" t="inlineStr">
        <is>
          <t>Block domain  at DNS/firewall</t>
        </is>
      </c>
      <c r="P1510" s="191" t="inlineStr">
        <is>
          <t>DNS/Network</t>
        </is>
      </c>
      <c r="Q1510" s="191" t="inlineStr">
        <is>
          <t>P4</t>
        </is>
      </c>
      <c r="R1510" s="191" t="inlineStr">
        <is>
          <t>🔍 Investigate and apply appropriate controls</t>
        </is>
      </c>
      <c r="S1510" s="191" t="inlineStr">
        <is>
          <t>Domain IOC - check IP separately</t>
        </is>
      </c>
      <c r="T1510" s="191" t="n">
        <v>0</v>
      </c>
      <c r="U1510" s="191" t="n">
        <v>0</v>
      </c>
      <c r="V1510" s="191" t="inlineStr">
        <is>
          <t>T1071.001:Web Protocols | T1568:Dynamic Resolution</t>
        </is>
      </c>
      <c r="W1510" s="191" t="n">
        <v>1</v>
      </c>
      <c r="X1510" s="191" t="inlineStr">
        <is>
          <t>LOW (40%)</t>
        </is>
      </c>
      <c r="Y1510" s="191" t="inlineStr">
        <is>
          <t>NONE</t>
        </is>
      </c>
      <c r="Z1510" s="191" t="inlineStr">
        <is>
          <t>NONE</t>
        </is>
      </c>
      <c r="AA1510" s="191" t="inlineStr">
        <is>
          <t>NONE</t>
        </is>
      </c>
      <c r="AB1510" s="191" t="inlineStr">
        <is>
          <t>NONE</t>
        </is>
      </c>
      <c r="AC1510" s="191" t="n">
        <v>0</v>
      </c>
      <c r="AD1510" s="191" t="n"/>
    </row>
    <row r="1511">
      <c r="A1511" s="191" t="inlineStr">
        <is>
          <t>THREATMINER</t>
        </is>
      </c>
      <c r="B1511" s="191" t="inlineStr">
        <is>
          <t>d41d8cd98f00</t>
        </is>
      </c>
      <c r="C1511" s="191" t="inlineStr">
        <is>
          <t xml:space="preserve">Malicious domain:  | IP: 45.148.10.141 | Last seen: </t>
        </is>
      </c>
      <c r="D1511" s="191" t="n">
        <v>6.5</v>
      </c>
      <c r="E1511" s="191" t="inlineStr">
        <is>
          <t>MEDIUM</t>
        </is>
      </c>
      <c r="F1511" s="191" t="n">
        <v>2</v>
      </c>
      <c r="G1511" s="191" t="n">
        <v>2</v>
      </c>
      <c r="H1511" s="191" t="inlineStr">
        <is>
          <t>MEDIUM</t>
        </is>
      </c>
      <c r="I1511" s="191" t="n">
        <v>10.5</v>
      </c>
      <c r="J1511" s="191" t="inlineStr">
        <is>
          <t>NO</t>
        </is>
      </c>
      <c r="K1511" s="192" t="inlineStr">
        <is>
          <t>https://www.threatminer.org/domain.php?q=</t>
        </is>
      </c>
      <c r="L1511" s="191" t="n"/>
      <c r="M1511" s="191" t="inlineStr">
        <is>
          <t>Block domain</t>
        </is>
      </c>
      <c r="N1511" s="192" t="inlineStr">
        <is>
          <t>https://www.threatminer.org/domain.php?q=</t>
        </is>
      </c>
      <c r="O1511" s="191" t="inlineStr">
        <is>
          <t>Block domain  at DNS/firewall</t>
        </is>
      </c>
      <c r="P1511" s="191" t="inlineStr">
        <is>
          <t>DNS/Network</t>
        </is>
      </c>
      <c r="Q1511" s="191" t="inlineStr">
        <is>
          <t>P4</t>
        </is>
      </c>
      <c r="R1511" s="191" t="inlineStr">
        <is>
          <t>🔍 Investigate and apply appropriate controls</t>
        </is>
      </c>
      <c r="S1511" s="191" t="inlineStr">
        <is>
          <t>Domain IOC - check IP separately</t>
        </is>
      </c>
      <c r="T1511" s="191" t="n">
        <v>0</v>
      </c>
      <c r="U1511" s="191" t="n">
        <v>0</v>
      </c>
      <c r="V1511" s="191" t="inlineStr">
        <is>
          <t>T1071.001:Web Protocols | T1568:Dynamic Resolution</t>
        </is>
      </c>
      <c r="W1511" s="191" t="n">
        <v>1</v>
      </c>
      <c r="X1511" s="191" t="inlineStr">
        <is>
          <t>LOW (40%)</t>
        </is>
      </c>
      <c r="Y1511" s="191" t="inlineStr">
        <is>
          <t>NONE</t>
        </is>
      </c>
      <c r="Z1511" s="191" t="inlineStr">
        <is>
          <t>NONE</t>
        </is>
      </c>
      <c r="AA1511" s="191" t="inlineStr">
        <is>
          <t>NONE</t>
        </is>
      </c>
      <c r="AB1511" s="191" t="inlineStr">
        <is>
          <t>NONE</t>
        </is>
      </c>
      <c r="AC1511" s="191" t="n">
        <v>0</v>
      </c>
      <c r="AD1511" s="191" t="n"/>
    </row>
    <row r="1512">
      <c r="A1512" s="191" t="inlineStr">
        <is>
          <t>THREATMINER</t>
        </is>
      </c>
      <c r="B1512" s="191" t="inlineStr">
        <is>
          <t>d41d8cd98f00</t>
        </is>
      </c>
      <c r="C1512" s="191" t="inlineStr">
        <is>
          <t xml:space="preserve">Malicious domain:  | IP: 45.148.10.151 | Last seen: </t>
        </is>
      </c>
      <c r="D1512" s="191" t="n">
        <v>6.5</v>
      </c>
      <c r="E1512" s="191" t="inlineStr">
        <is>
          <t>MEDIUM</t>
        </is>
      </c>
      <c r="F1512" s="191" t="n">
        <v>2</v>
      </c>
      <c r="G1512" s="191" t="n">
        <v>2</v>
      </c>
      <c r="H1512" s="191" t="inlineStr">
        <is>
          <t>MEDIUM</t>
        </is>
      </c>
      <c r="I1512" s="191" t="n">
        <v>10.5</v>
      </c>
      <c r="J1512" s="191" t="inlineStr">
        <is>
          <t>NO</t>
        </is>
      </c>
      <c r="K1512" s="192" t="inlineStr">
        <is>
          <t>https://www.threatminer.org/domain.php?q=</t>
        </is>
      </c>
      <c r="L1512" s="191" t="n"/>
      <c r="M1512" s="191" t="inlineStr">
        <is>
          <t>Block domain</t>
        </is>
      </c>
      <c r="N1512" s="192" t="inlineStr">
        <is>
          <t>https://www.threatminer.org/domain.php?q=</t>
        </is>
      </c>
      <c r="O1512" s="191" t="inlineStr">
        <is>
          <t>Block domain  at DNS/firewall</t>
        </is>
      </c>
      <c r="P1512" s="191" t="inlineStr">
        <is>
          <t>DNS/Network</t>
        </is>
      </c>
      <c r="Q1512" s="191" t="inlineStr">
        <is>
          <t>P4</t>
        </is>
      </c>
      <c r="R1512" s="191" t="inlineStr">
        <is>
          <t>🔍 Investigate and apply appropriate controls</t>
        </is>
      </c>
      <c r="S1512" s="191" t="inlineStr">
        <is>
          <t>Domain IOC - check IP separately</t>
        </is>
      </c>
      <c r="T1512" s="191" t="n">
        <v>0</v>
      </c>
      <c r="U1512" s="191" t="n">
        <v>0</v>
      </c>
      <c r="V1512" s="191" t="inlineStr">
        <is>
          <t>T1071.001:Web Protocols | T1568:Dynamic Resolution</t>
        </is>
      </c>
      <c r="W1512" s="191" t="n">
        <v>1</v>
      </c>
      <c r="X1512" s="191" t="inlineStr">
        <is>
          <t>LOW (40%)</t>
        </is>
      </c>
      <c r="Y1512" s="191" t="inlineStr">
        <is>
          <t>NONE</t>
        </is>
      </c>
      <c r="Z1512" s="191" t="inlineStr">
        <is>
          <t>NONE</t>
        </is>
      </c>
      <c r="AA1512" s="191" t="inlineStr">
        <is>
          <t>NONE</t>
        </is>
      </c>
      <c r="AB1512" s="191" t="inlineStr">
        <is>
          <t>NONE</t>
        </is>
      </c>
      <c r="AC1512" s="191" t="n">
        <v>0</v>
      </c>
      <c r="AD1512" s="191" t="n"/>
    </row>
    <row r="1513">
      <c r="A1513" s="191" t="inlineStr">
        <is>
          <t>THREATMINER</t>
        </is>
      </c>
      <c r="B1513" s="191" t="inlineStr">
        <is>
          <t>d41d8cd98f00</t>
        </is>
      </c>
      <c r="C1513" s="191" t="inlineStr">
        <is>
          <t xml:space="preserve">Malicious domain:  | IP: 45.249.244.185 | Last seen: </t>
        </is>
      </c>
      <c r="D1513" s="191" t="n">
        <v>6.5</v>
      </c>
      <c r="E1513" s="191" t="inlineStr">
        <is>
          <t>MEDIUM</t>
        </is>
      </c>
      <c r="F1513" s="191" t="n">
        <v>2</v>
      </c>
      <c r="G1513" s="191" t="n">
        <v>2</v>
      </c>
      <c r="H1513" s="191" t="inlineStr">
        <is>
          <t>MEDIUM</t>
        </is>
      </c>
      <c r="I1513" s="191" t="n">
        <v>10.5</v>
      </c>
      <c r="J1513" s="191" t="inlineStr">
        <is>
          <t>NO</t>
        </is>
      </c>
      <c r="K1513" s="192" t="inlineStr">
        <is>
          <t>https://www.threatminer.org/domain.php?q=</t>
        </is>
      </c>
      <c r="L1513" s="191" t="n"/>
      <c r="M1513" s="191" t="inlineStr">
        <is>
          <t>Block domain</t>
        </is>
      </c>
      <c r="N1513" s="192" t="inlineStr">
        <is>
          <t>https://www.threatminer.org/domain.php?q=</t>
        </is>
      </c>
      <c r="O1513" s="191" t="inlineStr">
        <is>
          <t>Block domain  at DNS/firewall</t>
        </is>
      </c>
      <c r="P1513" s="191" t="inlineStr">
        <is>
          <t>DNS/Network</t>
        </is>
      </c>
      <c r="Q1513" s="191" t="inlineStr">
        <is>
          <t>P4</t>
        </is>
      </c>
      <c r="R1513" s="191" t="inlineStr">
        <is>
          <t>🔍 Investigate and apply appropriate controls</t>
        </is>
      </c>
      <c r="S1513" s="191" t="inlineStr">
        <is>
          <t>Domain IOC - check IP separately</t>
        </is>
      </c>
      <c r="T1513" s="191" t="n">
        <v>0</v>
      </c>
      <c r="U1513" s="191" t="n">
        <v>0</v>
      </c>
      <c r="V1513" s="191" t="inlineStr">
        <is>
          <t>T1071.001:Web Protocols | T1568:Dynamic Resolution</t>
        </is>
      </c>
      <c r="W1513" s="191" t="n">
        <v>1</v>
      </c>
      <c r="X1513" s="191" t="inlineStr">
        <is>
          <t>LOW (40%)</t>
        </is>
      </c>
      <c r="Y1513" s="191" t="inlineStr">
        <is>
          <t>NONE</t>
        </is>
      </c>
      <c r="Z1513" s="191" t="inlineStr">
        <is>
          <t>NONE</t>
        </is>
      </c>
      <c r="AA1513" s="191" t="inlineStr">
        <is>
          <t>NONE</t>
        </is>
      </c>
      <c r="AB1513" s="191" t="inlineStr">
        <is>
          <t>NONE</t>
        </is>
      </c>
      <c r="AC1513" s="191" t="n">
        <v>0</v>
      </c>
      <c r="AD1513" s="191" t="n"/>
    </row>
    <row r="1514">
      <c r="A1514" s="191" t="inlineStr">
        <is>
          <t>THREATMINER</t>
        </is>
      </c>
      <c r="B1514" s="191" t="inlineStr">
        <is>
          <t>d41d8cd98f00</t>
        </is>
      </c>
      <c r="C1514" s="191" t="inlineStr">
        <is>
          <t xml:space="preserve">Malicious domain:  | IP: 47.252.35.152 | Last seen: </t>
        </is>
      </c>
      <c r="D1514" s="191" t="n">
        <v>6.5</v>
      </c>
      <c r="E1514" s="191" t="inlineStr">
        <is>
          <t>MEDIUM</t>
        </is>
      </c>
      <c r="F1514" s="191" t="n">
        <v>2</v>
      </c>
      <c r="G1514" s="191" t="n">
        <v>2</v>
      </c>
      <c r="H1514" s="191" t="inlineStr">
        <is>
          <t>MEDIUM</t>
        </is>
      </c>
      <c r="I1514" s="191" t="n">
        <v>10.5</v>
      </c>
      <c r="J1514" s="191" t="inlineStr">
        <is>
          <t>NO</t>
        </is>
      </c>
      <c r="K1514" s="192" t="inlineStr">
        <is>
          <t>https://www.threatminer.org/domain.php?q=</t>
        </is>
      </c>
      <c r="L1514" s="191" t="n"/>
      <c r="M1514" s="191" t="inlineStr">
        <is>
          <t>Block domain</t>
        </is>
      </c>
      <c r="N1514" s="192" t="inlineStr">
        <is>
          <t>https://www.threatminer.org/domain.php?q=</t>
        </is>
      </c>
      <c r="O1514" s="191" t="inlineStr">
        <is>
          <t>Block domain  at DNS/firewall</t>
        </is>
      </c>
      <c r="P1514" s="191" t="inlineStr">
        <is>
          <t>DNS/Network</t>
        </is>
      </c>
      <c r="Q1514" s="191" t="inlineStr">
        <is>
          <t>P4</t>
        </is>
      </c>
      <c r="R1514" s="191" t="inlineStr">
        <is>
          <t>🔍 Investigate and apply appropriate controls</t>
        </is>
      </c>
      <c r="S1514" s="191" t="inlineStr">
        <is>
          <t>Domain IOC - check IP separately</t>
        </is>
      </c>
      <c r="T1514" s="191" t="n">
        <v>0</v>
      </c>
      <c r="U1514" s="191" t="n">
        <v>0</v>
      </c>
      <c r="V1514" s="191" t="inlineStr">
        <is>
          <t>T1071.001:Web Protocols | T1568:Dynamic Resolution</t>
        </is>
      </c>
      <c r="W1514" s="191" t="n">
        <v>1</v>
      </c>
      <c r="X1514" s="191" t="inlineStr">
        <is>
          <t>LOW (40%)</t>
        </is>
      </c>
      <c r="Y1514" s="191" t="inlineStr">
        <is>
          <t>NONE</t>
        </is>
      </c>
      <c r="Z1514" s="191" t="inlineStr">
        <is>
          <t>NONE</t>
        </is>
      </c>
      <c r="AA1514" s="191" t="inlineStr">
        <is>
          <t>NONE</t>
        </is>
      </c>
      <c r="AB1514" s="191" t="inlineStr">
        <is>
          <t>NONE</t>
        </is>
      </c>
      <c r="AC1514" s="191" t="n">
        <v>0</v>
      </c>
      <c r="AD1514" s="191" t="n"/>
    </row>
    <row r="1515">
      <c r="A1515" s="191" t="inlineStr">
        <is>
          <t>THREATMINER</t>
        </is>
      </c>
      <c r="B1515" s="191" t="inlineStr">
        <is>
          <t>d41d8cd98f00</t>
        </is>
      </c>
      <c r="C1515" s="191" t="inlineStr">
        <is>
          <t xml:space="preserve">Malicious domain:  | IP: 61.245.11.87 | Last seen: </t>
        </is>
      </c>
      <c r="D1515" s="191" t="n">
        <v>6.5</v>
      </c>
      <c r="E1515" s="191" t="inlineStr">
        <is>
          <t>MEDIUM</t>
        </is>
      </c>
      <c r="F1515" s="191" t="n">
        <v>2</v>
      </c>
      <c r="G1515" s="191" t="n">
        <v>2</v>
      </c>
      <c r="H1515" s="191" t="inlineStr">
        <is>
          <t>MEDIUM</t>
        </is>
      </c>
      <c r="I1515" s="191" t="n">
        <v>10.5</v>
      </c>
      <c r="J1515" s="191" t="inlineStr">
        <is>
          <t>NO</t>
        </is>
      </c>
      <c r="K1515" s="192" t="inlineStr">
        <is>
          <t>https://www.threatminer.org/domain.php?q=</t>
        </is>
      </c>
      <c r="L1515" s="191" t="n"/>
      <c r="M1515" s="191" t="inlineStr">
        <is>
          <t>Block domain</t>
        </is>
      </c>
      <c r="N1515" s="192" t="inlineStr">
        <is>
          <t>https://www.threatminer.org/domain.php?q=</t>
        </is>
      </c>
      <c r="O1515" s="191" t="inlineStr">
        <is>
          <t>Block domain  at DNS/firewall</t>
        </is>
      </c>
      <c r="P1515" s="191" t="inlineStr">
        <is>
          <t>DNS/Network</t>
        </is>
      </c>
      <c r="Q1515" s="191" t="inlineStr">
        <is>
          <t>P4</t>
        </is>
      </c>
      <c r="R1515" s="191" t="inlineStr">
        <is>
          <t>🔍 Investigate and apply appropriate controls</t>
        </is>
      </c>
      <c r="S1515" s="191" t="inlineStr">
        <is>
          <t>Domain IOC - check IP separately</t>
        </is>
      </c>
      <c r="T1515" s="191" t="n">
        <v>0</v>
      </c>
      <c r="U1515" s="191" t="n">
        <v>0</v>
      </c>
      <c r="V1515" s="191" t="inlineStr">
        <is>
          <t>T1071.001:Web Protocols | T1568:Dynamic Resolution</t>
        </is>
      </c>
      <c r="W1515" s="191" t="n">
        <v>1</v>
      </c>
      <c r="X1515" s="191" t="inlineStr">
        <is>
          <t>LOW (40%)</t>
        </is>
      </c>
      <c r="Y1515" s="191" t="inlineStr">
        <is>
          <t>NONE</t>
        </is>
      </c>
      <c r="Z1515" s="191" t="inlineStr">
        <is>
          <t>NONE</t>
        </is>
      </c>
      <c r="AA1515" s="191" t="inlineStr">
        <is>
          <t>NONE</t>
        </is>
      </c>
      <c r="AB1515" s="191" t="inlineStr">
        <is>
          <t>NONE</t>
        </is>
      </c>
      <c r="AC1515" s="191" t="n">
        <v>0</v>
      </c>
      <c r="AD1515" s="191" t="n"/>
    </row>
    <row r="1516">
      <c r="A1516" s="191" t="inlineStr">
        <is>
          <t>THREATMINER</t>
        </is>
      </c>
      <c r="B1516" s="191" t="inlineStr">
        <is>
          <t>d41d8cd98f00</t>
        </is>
      </c>
      <c r="C1516" s="191" t="inlineStr">
        <is>
          <t xml:space="preserve">Malicious domain:  | IP: 71.6.135.131 | Last seen: </t>
        </is>
      </c>
      <c r="D1516" s="191" t="n">
        <v>6.5</v>
      </c>
      <c r="E1516" s="191" t="inlineStr">
        <is>
          <t>MEDIUM</t>
        </is>
      </c>
      <c r="F1516" s="191" t="n">
        <v>2</v>
      </c>
      <c r="G1516" s="191" t="n">
        <v>2</v>
      </c>
      <c r="H1516" s="191" t="inlineStr">
        <is>
          <t>MEDIUM</t>
        </is>
      </c>
      <c r="I1516" s="191" t="n">
        <v>10.5</v>
      </c>
      <c r="J1516" s="191" t="inlineStr">
        <is>
          <t>NO</t>
        </is>
      </c>
      <c r="K1516" s="192" t="inlineStr">
        <is>
          <t>https://www.threatminer.org/domain.php?q=</t>
        </is>
      </c>
      <c r="L1516" s="191" t="n"/>
      <c r="M1516" s="191" t="inlineStr">
        <is>
          <t>Block domain</t>
        </is>
      </c>
      <c r="N1516" s="192" t="inlineStr">
        <is>
          <t>https://www.threatminer.org/domain.php?q=</t>
        </is>
      </c>
      <c r="O1516" s="191" t="inlineStr">
        <is>
          <t>Block domain  at DNS/firewall</t>
        </is>
      </c>
      <c r="P1516" s="191" t="inlineStr">
        <is>
          <t>DNS/Network</t>
        </is>
      </c>
      <c r="Q1516" s="191" t="inlineStr">
        <is>
          <t>P4</t>
        </is>
      </c>
      <c r="R1516" s="191" t="inlineStr">
        <is>
          <t>🔍 Investigate and apply appropriate controls</t>
        </is>
      </c>
      <c r="S1516" s="191" t="inlineStr">
        <is>
          <t>Domain IOC - check IP separately</t>
        </is>
      </c>
      <c r="T1516" s="191" t="n">
        <v>0</v>
      </c>
      <c r="U1516" s="191" t="n">
        <v>0</v>
      </c>
      <c r="V1516" s="191" t="inlineStr">
        <is>
          <t>T1071.001:Web Protocols | T1568:Dynamic Resolution</t>
        </is>
      </c>
      <c r="W1516" s="191" t="n">
        <v>1</v>
      </c>
      <c r="X1516" s="191" t="inlineStr">
        <is>
          <t>LOW (40%)</t>
        </is>
      </c>
      <c r="Y1516" s="191" t="inlineStr">
        <is>
          <t>NONE</t>
        </is>
      </c>
      <c r="Z1516" s="191" t="inlineStr">
        <is>
          <t>NONE</t>
        </is>
      </c>
      <c r="AA1516" s="191" t="inlineStr">
        <is>
          <t>NONE</t>
        </is>
      </c>
      <c r="AB1516" s="191" t="inlineStr">
        <is>
          <t>NONE</t>
        </is>
      </c>
      <c r="AC1516" s="191" t="n">
        <v>0</v>
      </c>
      <c r="AD1516" s="191" t="n"/>
    </row>
    <row r="1517">
      <c r="A1517" s="191" t="inlineStr">
        <is>
          <t>THREATMINER</t>
        </is>
      </c>
      <c r="B1517" s="191" t="inlineStr">
        <is>
          <t>d41d8cd98f00</t>
        </is>
      </c>
      <c r="C1517" s="191" t="inlineStr">
        <is>
          <t xml:space="preserve">Malicious domain:  | IP: 71.6.158.166 | Last seen: </t>
        </is>
      </c>
      <c r="D1517" s="191" t="n">
        <v>6.5</v>
      </c>
      <c r="E1517" s="191" t="inlineStr">
        <is>
          <t>MEDIUM</t>
        </is>
      </c>
      <c r="F1517" s="191" t="n">
        <v>2</v>
      </c>
      <c r="G1517" s="191" t="n">
        <v>2</v>
      </c>
      <c r="H1517" s="191" t="inlineStr">
        <is>
          <t>MEDIUM</t>
        </is>
      </c>
      <c r="I1517" s="191" t="n">
        <v>10.5</v>
      </c>
      <c r="J1517" s="191" t="inlineStr">
        <is>
          <t>NO</t>
        </is>
      </c>
      <c r="K1517" s="192" t="inlineStr">
        <is>
          <t>https://www.threatminer.org/domain.php?q=</t>
        </is>
      </c>
      <c r="L1517" s="191" t="n"/>
      <c r="M1517" s="191" t="inlineStr">
        <is>
          <t>Block domain</t>
        </is>
      </c>
      <c r="N1517" s="192" t="inlineStr">
        <is>
          <t>https://www.threatminer.org/domain.php?q=</t>
        </is>
      </c>
      <c r="O1517" s="191" t="inlineStr">
        <is>
          <t>Block domain  at DNS/firewall</t>
        </is>
      </c>
      <c r="P1517" s="191" t="inlineStr">
        <is>
          <t>DNS/Network</t>
        </is>
      </c>
      <c r="Q1517" s="191" t="inlineStr">
        <is>
          <t>P4</t>
        </is>
      </c>
      <c r="R1517" s="191" t="inlineStr">
        <is>
          <t>🔍 Investigate and apply appropriate controls</t>
        </is>
      </c>
      <c r="S1517" s="191" t="inlineStr">
        <is>
          <t>Domain IOC - check IP separately</t>
        </is>
      </c>
      <c r="T1517" s="191" t="n">
        <v>0</v>
      </c>
      <c r="U1517" s="191" t="n">
        <v>0</v>
      </c>
      <c r="V1517" s="191" t="inlineStr">
        <is>
          <t>T1071.001:Web Protocols | T1568:Dynamic Resolution</t>
        </is>
      </c>
      <c r="W1517" s="191" t="n">
        <v>1</v>
      </c>
      <c r="X1517" s="191" t="inlineStr">
        <is>
          <t>LOW (40%)</t>
        </is>
      </c>
      <c r="Y1517" s="191" t="inlineStr">
        <is>
          <t>NONE</t>
        </is>
      </c>
      <c r="Z1517" s="191" t="inlineStr">
        <is>
          <t>NONE</t>
        </is>
      </c>
      <c r="AA1517" s="191" t="inlineStr">
        <is>
          <t>NONE</t>
        </is>
      </c>
      <c r="AB1517" s="191" t="inlineStr">
        <is>
          <t>NONE</t>
        </is>
      </c>
      <c r="AC1517" s="191" t="n">
        <v>0</v>
      </c>
      <c r="AD1517" s="191" t="n"/>
    </row>
    <row r="1518">
      <c r="A1518" s="191" t="inlineStr">
        <is>
          <t>THREATMINER</t>
        </is>
      </c>
      <c r="B1518" s="191" t="inlineStr">
        <is>
          <t>d41d8cd98f00</t>
        </is>
      </c>
      <c r="C1518" s="191" t="inlineStr">
        <is>
          <t xml:space="preserve">Malicious domain:  | IP: 80.82.77.33 | Last seen: </t>
        </is>
      </c>
      <c r="D1518" s="191" t="n">
        <v>6.5</v>
      </c>
      <c r="E1518" s="191" t="inlineStr">
        <is>
          <t>MEDIUM</t>
        </is>
      </c>
      <c r="F1518" s="191" t="n">
        <v>2</v>
      </c>
      <c r="G1518" s="191" t="n">
        <v>2</v>
      </c>
      <c r="H1518" s="191" t="inlineStr">
        <is>
          <t>MEDIUM</t>
        </is>
      </c>
      <c r="I1518" s="191" t="n">
        <v>10.5</v>
      </c>
      <c r="J1518" s="191" t="inlineStr">
        <is>
          <t>NO</t>
        </is>
      </c>
      <c r="K1518" s="192" t="inlineStr">
        <is>
          <t>https://www.threatminer.org/domain.php?q=</t>
        </is>
      </c>
      <c r="L1518" s="191" t="n"/>
      <c r="M1518" s="191" t="inlineStr">
        <is>
          <t>Block domain</t>
        </is>
      </c>
      <c r="N1518" s="192" t="inlineStr">
        <is>
          <t>https://www.threatminer.org/domain.php?q=</t>
        </is>
      </c>
      <c r="O1518" s="191" t="inlineStr">
        <is>
          <t>Block domain  at DNS/firewall</t>
        </is>
      </c>
      <c r="P1518" s="191" t="inlineStr">
        <is>
          <t>DNS/Network</t>
        </is>
      </c>
      <c r="Q1518" s="191" t="inlineStr">
        <is>
          <t>P4</t>
        </is>
      </c>
      <c r="R1518" s="191" t="inlineStr">
        <is>
          <t>🔍 Investigate and apply appropriate controls</t>
        </is>
      </c>
      <c r="S1518" s="191" t="inlineStr">
        <is>
          <t>Domain IOC - check IP separately</t>
        </is>
      </c>
      <c r="T1518" s="191" t="n">
        <v>0</v>
      </c>
      <c r="U1518" s="191" t="n">
        <v>0</v>
      </c>
      <c r="V1518" s="191" t="inlineStr">
        <is>
          <t>T1071.001:Web Protocols | T1568:Dynamic Resolution</t>
        </is>
      </c>
      <c r="W1518" s="191" t="n">
        <v>1</v>
      </c>
      <c r="X1518" s="191" t="inlineStr">
        <is>
          <t>LOW (40%)</t>
        </is>
      </c>
      <c r="Y1518" s="191" t="inlineStr">
        <is>
          <t>NONE</t>
        </is>
      </c>
      <c r="Z1518" s="191" t="inlineStr">
        <is>
          <t>NONE</t>
        </is>
      </c>
      <c r="AA1518" s="191" t="inlineStr">
        <is>
          <t>NONE</t>
        </is>
      </c>
      <c r="AB1518" s="191" t="inlineStr">
        <is>
          <t>NONE</t>
        </is>
      </c>
      <c r="AC1518" s="191" t="n">
        <v>0</v>
      </c>
      <c r="AD1518" s="191" t="n"/>
    </row>
    <row r="1519">
      <c r="A1519" s="191" t="inlineStr">
        <is>
          <t>THREATMINER</t>
        </is>
      </c>
      <c r="B1519" s="191" t="inlineStr">
        <is>
          <t>d41d8cd98f00</t>
        </is>
      </c>
      <c r="C1519" s="191" t="inlineStr">
        <is>
          <t xml:space="preserve">Malicious domain:  | IP: 80.94.92.182 | Last seen: </t>
        </is>
      </c>
      <c r="D1519" s="191" t="n">
        <v>6.5</v>
      </c>
      <c r="E1519" s="191" t="inlineStr">
        <is>
          <t>MEDIUM</t>
        </is>
      </c>
      <c r="F1519" s="191" t="n">
        <v>2</v>
      </c>
      <c r="G1519" s="191" t="n">
        <v>2</v>
      </c>
      <c r="H1519" s="191" t="inlineStr">
        <is>
          <t>MEDIUM</t>
        </is>
      </c>
      <c r="I1519" s="191" t="n">
        <v>10.5</v>
      </c>
      <c r="J1519" s="191" t="inlineStr">
        <is>
          <t>NO</t>
        </is>
      </c>
      <c r="K1519" s="192" t="inlineStr">
        <is>
          <t>https://www.threatminer.org/domain.php?q=</t>
        </is>
      </c>
      <c r="L1519" s="191" t="n"/>
      <c r="M1519" s="191" t="inlineStr">
        <is>
          <t>Block domain</t>
        </is>
      </c>
      <c r="N1519" s="192" t="inlineStr">
        <is>
          <t>https://www.threatminer.org/domain.php?q=</t>
        </is>
      </c>
      <c r="O1519" s="191" t="inlineStr">
        <is>
          <t>Block domain  at DNS/firewall</t>
        </is>
      </c>
      <c r="P1519" s="191" t="inlineStr">
        <is>
          <t>DNS/Network</t>
        </is>
      </c>
      <c r="Q1519" s="191" t="inlineStr">
        <is>
          <t>P4</t>
        </is>
      </c>
      <c r="R1519" s="191" t="inlineStr">
        <is>
          <t>🔍 Investigate and apply appropriate controls</t>
        </is>
      </c>
      <c r="S1519" s="191" t="inlineStr">
        <is>
          <t>Domain IOC - check IP separately</t>
        </is>
      </c>
      <c r="T1519" s="191" t="n">
        <v>0</v>
      </c>
      <c r="U1519" s="191" t="n">
        <v>0</v>
      </c>
      <c r="V1519" s="191" t="inlineStr">
        <is>
          <t>T1071.001:Web Protocols | T1568:Dynamic Resolution</t>
        </is>
      </c>
      <c r="W1519" s="191" t="n">
        <v>1</v>
      </c>
      <c r="X1519" s="191" t="inlineStr">
        <is>
          <t>LOW (40%)</t>
        </is>
      </c>
      <c r="Y1519" s="191" t="inlineStr">
        <is>
          <t>NONE</t>
        </is>
      </c>
      <c r="Z1519" s="191" t="inlineStr">
        <is>
          <t>NONE</t>
        </is>
      </c>
      <c r="AA1519" s="191" t="inlineStr">
        <is>
          <t>NONE</t>
        </is>
      </c>
      <c r="AB1519" s="191" t="inlineStr">
        <is>
          <t>NONE</t>
        </is>
      </c>
      <c r="AC1519" s="191" t="n">
        <v>0</v>
      </c>
      <c r="AD1519" s="191" t="n"/>
    </row>
    <row r="1520">
      <c r="A1520" s="191" t="inlineStr">
        <is>
          <t>SHODAN_VULN</t>
        </is>
      </c>
      <c r="B1520" s="191" t="inlineStr">
        <is>
          <t>f357a582e404</t>
        </is>
      </c>
      <c r="C1520" s="191" t="inlineStr">
        <is>
          <t>InternetDB: 178.62.3.223 | Ports: 22, 25, 53, 80, 443, 587, 993, 995 | box.nautadb.com | Tags: cloud, starttls</t>
        </is>
      </c>
      <c r="D1520" s="191" t="n">
        <v>5</v>
      </c>
      <c r="E1520" s="191" t="inlineStr">
        <is>
          <t>MEDIUM</t>
        </is>
      </c>
      <c r="F1520" s="191" t="n">
        <v>1</v>
      </c>
      <c r="G1520" s="191" t="n">
        <v>2</v>
      </c>
      <c r="H1520" s="191" t="inlineStr">
        <is>
          <t>LOW</t>
        </is>
      </c>
      <c r="I1520" s="191" t="n">
        <v>7</v>
      </c>
      <c r="J1520" s="191" t="inlineStr">
        <is>
          <t>NO</t>
        </is>
      </c>
      <c r="K1520" s="192" t="inlineStr">
        <is>
          <t>https://www.shodan.io/host/178.62.3.223</t>
        </is>
      </c>
      <c r="L1520" s="191" t="inlineStr">
        <is>
          <t>2026-02-23 23:48</t>
        </is>
      </c>
      <c r="M1520" s="191" t="inlineStr">
        <is>
          <t>Review and firewall exposed ports</t>
        </is>
      </c>
      <c r="N1520" s="192" t="inlineStr">
        <is>
          <t>https://www.shodan.io/host/178.62.3.223</t>
        </is>
      </c>
      <c r="O1520" s="191" t="inlineStr">
        <is>
          <t>Review and restrict port(s) 22, 25, 53, 80, 443, 587, 993, 995 on 178.62.3.223</t>
        </is>
      </c>
      <c r="P1520" s="191" t="inlineStr">
        <is>
          <t>box.nautadb.com</t>
        </is>
      </c>
      <c r="Q1520" s="191" t="inlineStr">
        <is>
          <t>P4</t>
        </is>
      </c>
      <c r="R1520" s="191" t="inlineStr">
        <is>
          <t>🔍 Investigate and apply appropriate controls</t>
        </is>
      </c>
      <c r="S1520" s="191" t="inlineStr">
        <is>
          <t>Shodan InternetDB — open ports, no known CVEs indexed</t>
        </is>
      </c>
      <c r="T1520" s="191" t="n">
        <v>0</v>
      </c>
      <c r="U1520" s="191" t="n">
        <v>0</v>
      </c>
      <c r="V1520" s="191" t="inlineStr">
        <is>
          <t>T1046:Network Service Discovery</t>
        </is>
      </c>
      <c r="W1520" s="191" t="n">
        <v>1</v>
      </c>
      <c r="X1520" s="191" t="inlineStr">
        <is>
          <t>LOW (40%)</t>
        </is>
      </c>
      <c r="Y1520" s="191" t="inlineStr">
        <is>
          <t>NONE</t>
        </is>
      </c>
      <c r="Z1520" s="191" t="inlineStr">
        <is>
          <t>Restrict access</t>
        </is>
      </c>
      <c r="AA1520" s="192" t="inlineStr">
        <is>
          <t>https://www.shodan.io/host/178.62.3.223</t>
        </is>
      </c>
      <c r="AB1520" s="191" t="inlineStr">
        <is>
          <t>NONE</t>
        </is>
      </c>
      <c r="AC1520" s="191" t="n">
        <v>0</v>
      </c>
      <c r="AD1520" s="191" t="n"/>
    </row>
    <row r="1521">
      <c r="A1521" s="189" t="inlineStr">
        <is>
          <t>SHODAN_VULN</t>
        </is>
      </c>
      <c r="B1521" s="189" t="inlineStr">
        <is>
          <t>7270e450f7f1</t>
        </is>
      </c>
      <c r="C1521" s="189" t="inlineStr">
        <is>
          <t>InternetDB: 162.243.103.246 | Ports: 22, 80, 443, 8080 | wearoddball.com | CVE: CVE-2014-3470 | Tags: cloud</t>
        </is>
      </c>
      <c r="D1521" s="189" t="n">
        <v>7.5</v>
      </c>
      <c r="E1521" s="189" t="inlineStr">
        <is>
          <t>HIGH</t>
        </is>
      </c>
      <c r="F1521" s="189" t="n">
        <v>2</v>
      </c>
      <c r="G1521" s="189" t="n">
        <v>2</v>
      </c>
      <c r="H1521" s="189" t="inlineStr">
        <is>
          <t>MEDIUM</t>
        </is>
      </c>
      <c r="I1521" s="189" t="n">
        <v>11.5</v>
      </c>
      <c r="J1521" s="189" t="inlineStr">
        <is>
          <t>NO</t>
        </is>
      </c>
      <c r="K1521" s="190" t="inlineStr">
        <is>
          <t>https://www.shodan.io/host/162.243.103.246</t>
        </is>
      </c>
      <c r="L1521" s="189" t="inlineStr">
        <is>
          <t>2026-02-23 23:48</t>
        </is>
      </c>
      <c r="M1521" s="189" t="inlineStr">
        <is>
          <t>Apply patch and restrict exposed ports</t>
        </is>
      </c>
      <c r="N1521" s="190" t="inlineStr">
        <is>
          <t>https://www.shodan.io/host/162.243.103.246</t>
        </is>
      </c>
      <c r="O1521" s="189" t="inlineStr">
        <is>
          <t>Close or firewall port(s) 22, 80, 443, 8080 on 162.243.103.246</t>
        </is>
      </c>
      <c r="P1521" s="189" t="inlineStr">
        <is>
          <t>wearoddball.com</t>
        </is>
      </c>
      <c r="Q1521" s="189" t="inlineStr">
        <is>
          <t>P4</t>
        </is>
      </c>
      <c r="R1521" s="189" t="inlineStr">
        <is>
          <t>🔍 Investigate and apply appropriate controls</t>
        </is>
      </c>
      <c r="S1521" s="189" t="inlineStr">
        <is>
          <t>Shodan InternetDB — see ip-api.com context for scanner classification</t>
        </is>
      </c>
      <c r="T1521" s="189" t="n">
        <v>0</v>
      </c>
      <c r="U1521" s="189" t="n">
        <v>0</v>
      </c>
      <c r="V1521" s="189" t="inlineStr">
        <is>
          <t>T1190:Exploit Public-Facing Application | T1046:Network Service Discovery</t>
        </is>
      </c>
      <c r="W1521" s="189" t="n">
        <v>1</v>
      </c>
      <c r="X1521" s="189" t="inlineStr">
        <is>
          <t>LOW (40%)</t>
        </is>
      </c>
      <c r="Y1521" s="189" t="inlineStr">
        <is>
          <t>CHECK_VULNS</t>
        </is>
      </c>
      <c r="Z1521" s="189" t="inlineStr">
        <is>
          <t>Restrict access</t>
        </is>
      </c>
      <c r="AA1521" s="190" t="inlineStr">
        <is>
          <t>https://www.shodan.io/host/162.243.103.246</t>
        </is>
      </c>
      <c r="AB1521" s="189" t="inlineStr">
        <is>
          <t>NONE</t>
        </is>
      </c>
      <c r="AC1521" s="189" t="n">
        <v>0</v>
      </c>
      <c r="AD1521" s="189" t="n"/>
    </row>
    <row r="1522">
      <c r="A1522" s="189" t="inlineStr">
        <is>
          <t>SHODAN_VULN</t>
        </is>
      </c>
      <c r="B1522" s="189" t="inlineStr">
        <is>
          <t>ff59c7fe2f68</t>
        </is>
      </c>
      <c r="C1522" s="189" t="inlineStr">
        <is>
          <t>InternetDB: 162.243.103.246 | Ports: 22, 80, 443, 8080 | wearoddball.com | CVE: CVE-2014-2497 | Tags: cloud</t>
        </is>
      </c>
      <c r="D1522" s="189" t="n">
        <v>7.5</v>
      </c>
      <c r="E1522" s="189" t="inlineStr">
        <is>
          <t>HIGH</t>
        </is>
      </c>
      <c r="F1522" s="189" t="n">
        <v>2</v>
      </c>
      <c r="G1522" s="189" t="n">
        <v>2</v>
      </c>
      <c r="H1522" s="189" t="inlineStr">
        <is>
          <t>MEDIUM</t>
        </is>
      </c>
      <c r="I1522" s="189" t="n">
        <v>11.5</v>
      </c>
      <c r="J1522" s="189" t="inlineStr">
        <is>
          <t>NO</t>
        </is>
      </c>
      <c r="K1522" s="190" t="inlineStr">
        <is>
          <t>https://www.shodan.io/host/162.243.103.246</t>
        </is>
      </c>
      <c r="L1522" s="189" t="inlineStr">
        <is>
          <t>2026-02-23 23:48</t>
        </is>
      </c>
      <c r="M1522" s="189" t="inlineStr">
        <is>
          <t>Apply patch and restrict exposed ports</t>
        </is>
      </c>
      <c r="N1522" s="190" t="inlineStr">
        <is>
          <t>https://www.shodan.io/host/162.243.103.246</t>
        </is>
      </c>
      <c r="O1522" s="189" t="inlineStr">
        <is>
          <t>Close or firewall port(s) 22, 80, 443, 8080 on 162.243.103.246</t>
        </is>
      </c>
      <c r="P1522" s="189" t="inlineStr">
        <is>
          <t>wearoddball.com</t>
        </is>
      </c>
      <c r="Q1522" s="189" t="inlineStr">
        <is>
          <t>P4</t>
        </is>
      </c>
      <c r="R1522" s="189" t="inlineStr">
        <is>
          <t>🔍 Investigate and apply appropriate controls</t>
        </is>
      </c>
      <c r="S1522" s="189" t="inlineStr">
        <is>
          <t>Shodan InternetDB — see ip-api.com context for scanner classification</t>
        </is>
      </c>
      <c r="T1522" s="189" t="n">
        <v>0</v>
      </c>
      <c r="U1522" s="189" t="n">
        <v>0</v>
      </c>
      <c r="V1522" s="189" t="inlineStr">
        <is>
          <t>T1190:Exploit Public-Facing Application | T1046:Network Service Discovery</t>
        </is>
      </c>
      <c r="W1522" s="189" t="n">
        <v>1</v>
      </c>
      <c r="X1522" s="189" t="inlineStr">
        <is>
          <t>LOW (40%)</t>
        </is>
      </c>
      <c r="Y1522" s="189" t="inlineStr">
        <is>
          <t>CHECK_VULNS</t>
        </is>
      </c>
      <c r="Z1522" s="189" t="inlineStr">
        <is>
          <t>Restrict access</t>
        </is>
      </c>
      <c r="AA1522" s="190" t="inlineStr">
        <is>
          <t>https://www.shodan.io/host/162.243.103.246</t>
        </is>
      </c>
      <c r="AB1522" s="189" t="inlineStr">
        <is>
          <t>NONE</t>
        </is>
      </c>
      <c r="AC1522" s="189" t="n">
        <v>0</v>
      </c>
      <c r="AD1522" s="189" t="n"/>
    </row>
    <row r="1523">
      <c r="A1523" s="189" t="inlineStr">
        <is>
          <t>SHODAN_VULN</t>
        </is>
      </c>
      <c r="B1523" s="189" t="inlineStr">
        <is>
          <t>5551873c0fb5</t>
        </is>
      </c>
      <c r="C1523" s="189" t="inlineStr">
        <is>
          <t>InternetDB: 162.243.103.246 | Ports: 22, 80, 443, 8080 | wearoddball.com | CVE: CVE-2019-9641 | Tags: cloud</t>
        </is>
      </c>
      <c r="D1523" s="189" t="n">
        <v>7.5</v>
      </c>
      <c r="E1523" s="189" t="inlineStr">
        <is>
          <t>HIGH</t>
        </is>
      </c>
      <c r="F1523" s="189" t="n">
        <v>2</v>
      </c>
      <c r="G1523" s="189" t="n">
        <v>2</v>
      </c>
      <c r="H1523" s="189" t="inlineStr">
        <is>
          <t>MEDIUM</t>
        </is>
      </c>
      <c r="I1523" s="189" t="n">
        <v>11.5</v>
      </c>
      <c r="J1523" s="189" t="inlineStr">
        <is>
          <t>NO</t>
        </is>
      </c>
      <c r="K1523" s="190" t="inlineStr">
        <is>
          <t>https://www.shodan.io/host/162.243.103.246</t>
        </is>
      </c>
      <c r="L1523" s="189" t="inlineStr">
        <is>
          <t>2026-02-23 23:48</t>
        </is>
      </c>
      <c r="M1523" s="189" t="inlineStr">
        <is>
          <t>Apply patch and restrict exposed ports</t>
        </is>
      </c>
      <c r="N1523" s="190" t="inlineStr">
        <is>
          <t>https://www.shodan.io/host/162.243.103.246</t>
        </is>
      </c>
      <c r="O1523" s="189" t="inlineStr">
        <is>
          <t>Close or firewall port(s) 22, 80, 443, 8080 on 162.243.103.246</t>
        </is>
      </c>
      <c r="P1523" s="189" t="inlineStr">
        <is>
          <t>wearoddball.com</t>
        </is>
      </c>
      <c r="Q1523" s="189" t="inlineStr">
        <is>
          <t>P4</t>
        </is>
      </c>
      <c r="R1523" s="189" t="inlineStr">
        <is>
          <t>🔍 Investigate and apply appropriate controls</t>
        </is>
      </c>
      <c r="S1523" s="189" t="inlineStr">
        <is>
          <t>Shodan InternetDB — see ip-api.com context for scanner classification</t>
        </is>
      </c>
      <c r="T1523" s="189" t="n">
        <v>0</v>
      </c>
      <c r="U1523" s="189" t="n">
        <v>0</v>
      </c>
      <c r="V1523" s="189" t="inlineStr">
        <is>
          <t>T1190:Exploit Public-Facing Application | T1046:Network Service Discovery</t>
        </is>
      </c>
      <c r="W1523" s="189" t="n">
        <v>1</v>
      </c>
      <c r="X1523" s="189" t="inlineStr">
        <is>
          <t>LOW (40%)</t>
        </is>
      </c>
      <c r="Y1523" s="189" t="inlineStr">
        <is>
          <t>CHECK_VULNS</t>
        </is>
      </c>
      <c r="Z1523" s="189" t="inlineStr">
        <is>
          <t>Restrict access</t>
        </is>
      </c>
      <c r="AA1523" s="190" t="inlineStr">
        <is>
          <t>https://www.shodan.io/host/162.243.103.246</t>
        </is>
      </c>
      <c r="AB1523" s="189" t="inlineStr">
        <is>
          <t>NONE</t>
        </is>
      </c>
      <c r="AC1523" s="189" t="n">
        <v>0</v>
      </c>
      <c r="AD1523" s="189" t="n"/>
    </row>
    <row r="1524">
      <c r="A1524" s="191" t="inlineStr">
        <is>
          <t>ABUSE_IP</t>
        </is>
      </c>
      <c r="B1524" s="191" t="inlineStr">
        <is>
          <t>4c2a66ad2de6</t>
        </is>
      </c>
      <c r="C1524" s="191" t="inlineStr">
        <is>
          <t>Malicious IP: 195.178.110.26 | Country: NL | ISP: Unknown | Confidence: 100% | Sources: ABUSEIPDB</t>
        </is>
      </c>
      <c r="D1524" s="191" t="n">
        <v>6.5</v>
      </c>
      <c r="E1524" s="191" t="inlineStr">
        <is>
          <t>MEDIUM</t>
        </is>
      </c>
      <c r="F1524" s="191" t="n">
        <v>3</v>
      </c>
      <c r="G1524" s="191" t="n">
        <v>1</v>
      </c>
      <c r="H1524" s="191" t="inlineStr">
        <is>
          <t>MEDIUM</t>
        </is>
      </c>
      <c r="I1524" s="191" t="n">
        <v>9.5</v>
      </c>
      <c r="J1524" s="191" t="inlineStr">
        <is>
          <t>NO</t>
        </is>
      </c>
      <c r="K1524" s="192" t="inlineStr">
        <is>
          <t>https://www.abuseipdb.com/check/195.178.110.26</t>
        </is>
      </c>
      <c r="L1524" s="191" t="inlineStr">
        <is>
          <t>2026-02-23T21:17:01+00:00</t>
        </is>
      </c>
      <c r="M1524" s="191" t="inlineStr">
        <is>
          <t>Block IP</t>
        </is>
      </c>
      <c r="N1524" s="192" t="inlineStr">
        <is>
          <t>https://www.abuseipdb.com/check/195.178.110.26</t>
        </is>
      </c>
      <c r="O1524" s="191" t="inlineStr">
        <is>
          <t>Block IP 195.178.110.26 at firewall | Monitor for new reports</t>
        </is>
      </c>
      <c r="P1524" s="191" t="inlineStr">
        <is>
          <t>Firewall/Network</t>
        </is>
      </c>
      <c r="Q1524" s="191" t="inlineStr">
        <is>
          <t>P4</t>
        </is>
      </c>
      <c r="R1524" s="191" t="inlineStr">
        <is>
          <t>🚫 Block IP at firewall immediately | 🔍 Check logs for existing connections | 🛡️ Add to threat intelligence blocklist</t>
        </is>
      </c>
      <c r="S1524" s="191" t="inlineStr">
        <is>
          <t>Skipped (20/run cap)</t>
        </is>
      </c>
      <c r="T1524" s="191" t="n">
        <v>0</v>
      </c>
      <c r="U1524" s="191" t="n">
        <v>0</v>
      </c>
      <c r="V1524" s="191" t="inlineStr">
        <is>
          <t>T1110:Brute Force | T1078:Valid Accounts</t>
        </is>
      </c>
      <c r="W1524" s="191" t="n">
        <v>1</v>
      </c>
      <c r="X1524" s="191" t="inlineStr">
        <is>
          <t>LOW (40%)</t>
        </is>
      </c>
      <c r="Y1524" s="191" t="inlineStr">
        <is>
          <t>NONE</t>
        </is>
      </c>
      <c r="Z1524" s="191" t="inlineStr">
        <is>
          <t>NONE</t>
        </is>
      </c>
      <c r="AA1524" s="191" t="inlineStr">
        <is>
          <t>NONE</t>
        </is>
      </c>
      <c r="AB1524" s="191" t="inlineStr">
        <is>
          <t>NONE</t>
        </is>
      </c>
      <c r="AC1524" s="191" t="n">
        <v>0</v>
      </c>
      <c r="AD1524" s="191" t="n"/>
    </row>
    <row r="1525">
      <c r="A1525" s="191" t="inlineStr">
        <is>
          <t>ABUSE_IP</t>
        </is>
      </c>
      <c r="B1525" s="191" t="inlineStr">
        <is>
          <t>df09699dd348</t>
        </is>
      </c>
      <c r="C1525" s="191" t="inlineStr">
        <is>
          <t>Malicious IP: 40.124.175.233 | Country: US | ISP: Unknown | Confidence: 100% | Sources: ABUSEIPDB</t>
        </is>
      </c>
      <c r="D1525" s="191" t="n">
        <v>6.5</v>
      </c>
      <c r="E1525" s="191" t="inlineStr">
        <is>
          <t>MEDIUM</t>
        </is>
      </c>
      <c r="F1525" s="191" t="n">
        <v>3</v>
      </c>
      <c r="G1525" s="191" t="n">
        <v>1</v>
      </c>
      <c r="H1525" s="191" t="inlineStr">
        <is>
          <t>MEDIUM</t>
        </is>
      </c>
      <c r="I1525" s="191" t="n">
        <v>9.5</v>
      </c>
      <c r="J1525" s="191" t="inlineStr">
        <is>
          <t>NO</t>
        </is>
      </c>
      <c r="K1525" s="192" t="inlineStr">
        <is>
          <t>https://www.abuseipdb.com/check/40.124.175.233</t>
        </is>
      </c>
      <c r="L1525" s="191" t="inlineStr">
        <is>
          <t>2026-02-23T21:17:01+00:00</t>
        </is>
      </c>
      <c r="M1525" s="191" t="inlineStr">
        <is>
          <t>Block IP</t>
        </is>
      </c>
      <c r="N1525" s="192" t="inlineStr">
        <is>
          <t>https://www.abuseipdb.com/check/40.124.175.233</t>
        </is>
      </c>
      <c r="O1525" s="191" t="inlineStr">
        <is>
          <t>Block IP 40.124.175.233 at firewall | Monitor for new reports</t>
        </is>
      </c>
      <c r="P1525" s="191" t="inlineStr">
        <is>
          <t>Firewall/Network</t>
        </is>
      </c>
      <c r="Q1525" s="191" t="inlineStr">
        <is>
          <t>P4</t>
        </is>
      </c>
      <c r="R1525" s="191" t="inlineStr">
        <is>
          <t>🚫 Block IP at firewall immediately | 🔍 Check logs for existing connections | 🛡️ Add to threat intelligence blocklist</t>
        </is>
      </c>
      <c r="S1525" s="191" t="inlineStr">
        <is>
          <t>🚨 MALICIOUS: Microsoft Azure Cloud (southcentralus) | 🌍 United States | San Antonio | 🏢 Microsoft Azure Cloud (southcentralus) | ASN: AS8075 Microsoft Corporation | 🖥️ Hosting/DC | 🚨 AbuseIPDB: 100% malicious (Data Center/Web Hosting/Transit)</t>
        </is>
      </c>
      <c r="T1525" s="191" t="n">
        <v>0</v>
      </c>
      <c r="U1525" s="191" t="n">
        <v>0</v>
      </c>
      <c r="V1525" s="191" t="inlineStr">
        <is>
          <t>T1110:Brute Force | T1078:Valid Accounts</t>
        </is>
      </c>
      <c r="W1525" s="191" t="n">
        <v>1</v>
      </c>
      <c r="X1525" s="191" t="inlineStr">
        <is>
          <t>LOW (40%)</t>
        </is>
      </c>
      <c r="Y1525" s="191" t="inlineStr">
        <is>
          <t>NONE</t>
        </is>
      </c>
      <c r="Z1525" s="191" t="inlineStr">
        <is>
          <t>NONE</t>
        </is>
      </c>
      <c r="AA1525" s="191" t="inlineStr">
        <is>
          <t>NONE</t>
        </is>
      </c>
      <c r="AB1525" s="191" t="inlineStr">
        <is>
          <t>NONE</t>
        </is>
      </c>
      <c r="AC1525" s="191" t="n">
        <v>0</v>
      </c>
      <c r="AD1525" s="191" t="n"/>
    </row>
    <row r="1526">
      <c r="A1526" s="191" t="inlineStr">
        <is>
          <t>ABUSE_IP</t>
        </is>
      </c>
      <c r="B1526" s="191" t="inlineStr">
        <is>
          <t>c794327f64dc</t>
        </is>
      </c>
      <c r="C1526" s="191" t="inlineStr">
        <is>
          <t>Malicious IP: 175.6.179.51 | Country: CN | ISP: Unknown | Confidence: 100% | Sources: ABUSEIPDB</t>
        </is>
      </c>
      <c r="D1526" s="191" t="n">
        <v>6.5</v>
      </c>
      <c r="E1526" s="191" t="inlineStr">
        <is>
          <t>MEDIUM</t>
        </is>
      </c>
      <c r="F1526" s="191" t="n">
        <v>3</v>
      </c>
      <c r="G1526" s="191" t="n">
        <v>1</v>
      </c>
      <c r="H1526" s="191" t="inlineStr">
        <is>
          <t>MEDIUM</t>
        </is>
      </c>
      <c r="I1526" s="191" t="n">
        <v>9.5</v>
      </c>
      <c r="J1526" s="191" t="inlineStr">
        <is>
          <t>NO</t>
        </is>
      </c>
      <c r="K1526" s="192" t="inlineStr">
        <is>
          <t>https://www.abuseipdb.com/check/175.6.179.51</t>
        </is>
      </c>
      <c r="L1526" s="191" t="inlineStr">
        <is>
          <t>2026-02-23T21:17:00+00:00</t>
        </is>
      </c>
      <c r="M1526" s="191" t="inlineStr">
        <is>
          <t>Block IP</t>
        </is>
      </c>
      <c r="N1526" s="192" t="inlineStr">
        <is>
          <t>https://www.abuseipdb.com/check/175.6.179.51</t>
        </is>
      </c>
      <c r="O1526" s="191" t="inlineStr">
        <is>
          <t>Block IP 175.6.179.51 at firewall | Monitor for new reports</t>
        </is>
      </c>
      <c r="P1526" s="191" t="inlineStr">
        <is>
          <t>Firewall/Network</t>
        </is>
      </c>
      <c r="Q1526" s="191" t="inlineStr">
        <is>
          <t>P4</t>
        </is>
      </c>
      <c r="R1526" s="191" t="inlineStr">
        <is>
          <t>🚫 Block IP at firewall immediately | 🔍 Check logs for existing connections | 🛡️ Add to threat intelligence blocklist</t>
        </is>
      </c>
      <c r="S1526" s="191" t="inlineStr">
        <is>
          <t>Skipped (20/run cap)</t>
        </is>
      </c>
      <c r="T1526" s="191" t="n">
        <v>0</v>
      </c>
      <c r="U1526" s="191" t="n">
        <v>0</v>
      </c>
      <c r="V1526" s="191" t="inlineStr">
        <is>
          <t>T1110:Brute Force | T1078:Valid Accounts</t>
        </is>
      </c>
      <c r="W1526" s="191" t="n">
        <v>1</v>
      </c>
      <c r="X1526" s="191" t="inlineStr">
        <is>
          <t>LOW (40%)</t>
        </is>
      </c>
      <c r="Y1526" s="191" t="inlineStr">
        <is>
          <t>NONE</t>
        </is>
      </c>
      <c r="Z1526" s="191" t="inlineStr">
        <is>
          <t>NONE</t>
        </is>
      </c>
      <c r="AA1526" s="191" t="inlineStr">
        <is>
          <t>NONE</t>
        </is>
      </c>
      <c r="AB1526" s="191" t="inlineStr">
        <is>
          <t>NONE</t>
        </is>
      </c>
      <c r="AC1526" s="191" t="n">
        <v>0</v>
      </c>
      <c r="AD1526" s="191" t="n"/>
    </row>
    <row r="1527">
      <c r="A1527" s="191" t="inlineStr">
        <is>
          <t>ABUSE_IP</t>
        </is>
      </c>
      <c r="B1527" s="191" t="inlineStr">
        <is>
          <t>5efad10f420b</t>
        </is>
      </c>
      <c r="C1527" s="191" t="inlineStr">
        <is>
          <t>Malicious IP: 74.248.96.218 | Country: PL | ISP: Unknown | Confidence: 100% | Sources: ABUSEIPDB</t>
        </is>
      </c>
      <c r="D1527" s="191" t="n">
        <v>6.5</v>
      </c>
      <c r="E1527" s="191" t="inlineStr">
        <is>
          <t>MEDIUM</t>
        </is>
      </c>
      <c r="F1527" s="191" t="n">
        <v>3</v>
      </c>
      <c r="G1527" s="191" t="n">
        <v>1</v>
      </c>
      <c r="H1527" s="191" t="inlineStr">
        <is>
          <t>MEDIUM</t>
        </is>
      </c>
      <c r="I1527" s="191" t="n">
        <v>9.5</v>
      </c>
      <c r="J1527" s="191" t="inlineStr">
        <is>
          <t>NO</t>
        </is>
      </c>
      <c r="K1527" s="192" t="inlineStr">
        <is>
          <t>https://www.abuseipdb.com/check/74.248.96.218</t>
        </is>
      </c>
      <c r="L1527" s="191" t="inlineStr">
        <is>
          <t>2026-02-23T21:17:00+00:00</t>
        </is>
      </c>
      <c r="M1527" s="191" t="inlineStr">
        <is>
          <t>Block IP</t>
        </is>
      </c>
      <c r="N1527" s="192" t="inlineStr">
        <is>
          <t>https://www.abuseipdb.com/check/74.248.96.218</t>
        </is>
      </c>
      <c r="O1527" s="191" t="inlineStr">
        <is>
          <t>Block IP 74.248.96.218 at firewall | Monitor for new reports</t>
        </is>
      </c>
      <c r="P1527" s="191" t="inlineStr">
        <is>
          <t>Firewall/Network</t>
        </is>
      </c>
      <c r="Q1527" s="191" t="inlineStr">
        <is>
          <t>P4</t>
        </is>
      </c>
      <c r="R1527" s="191" t="inlineStr">
        <is>
          <t>🚫 Block IP at firewall immediately | 🔍 Check logs for existing connections | 🛡️ Add to threat intelligence blocklist</t>
        </is>
      </c>
      <c r="S1527" s="191" t="inlineStr">
        <is>
          <t>Skipped (20/run cap)</t>
        </is>
      </c>
      <c r="T1527" s="191" t="n">
        <v>0</v>
      </c>
      <c r="U1527" s="191" t="n">
        <v>0</v>
      </c>
      <c r="V1527" s="191" t="inlineStr">
        <is>
          <t>T1110:Brute Force | T1078:Valid Accounts</t>
        </is>
      </c>
      <c r="W1527" s="191" t="n">
        <v>1</v>
      </c>
      <c r="X1527" s="191" t="inlineStr">
        <is>
          <t>LOW (40%)</t>
        </is>
      </c>
      <c r="Y1527" s="191" t="inlineStr">
        <is>
          <t>NONE</t>
        </is>
      </c>
      <c r="Z1527" s="191" t="inlineStr">
        <is>
          <t>NONE</t>
        </is>
      </c>
      <c r="AA1527" s="191" t="inlineStr">
        <is>
          <t>NONE</t>
        </is>
      </c>
      <c r="AB1527" s="191" t="inlineStr">
        <is>
          <t>NONE</t>
        </is>
      </c>
      <c r="AC1527" s="191" t="n">
        <v>0</v>
      </c>
      <c r="AD1527" s="191" t="n"/>
    </row>
    <row r="1528">
      <c r="A1528" s="191" t="inlineStr">
        <is>
          <t>ABUSE_IP</t>
        </is>
      </c>
      <c r="B1528" s="191" t="inlineStr">
        <is>
          <t>be119452f411</t>
        </is>
      </c>
      <c r="C1528" s="191" t="inlineStr">
        <is>
          <t>Malicious IP: 206.191.154.44 | Country: US | ISP: Unknown | Confidence: 100% | Sources: ABUSEIPDB</t>
        </is>
      </c>
      <c r="D1528" s="191" t="n">
        <v>6.5</v>
      </c>
      <c r="E1528" s="191" t="inlineStr">
        <is>
          <t>MEDIUM</t>
        </is>
      </c>
      <c r="F1528" s="191" t="n">
        <v>3</v>
      </c>
      <c r="G1528" s="191" t="n">
        <v>1</v>
      </c>
      <c r="H1528" s="191" t="inlineStr">
        <is>
          <t>MEDIUM</t>
        </is>
      </c>
      <c r="I1528" s="191" t="n">
        <v>9.5</v>
      </c>
      <c r="J1528" s="191" t="inlineStr">
        <is>
          <t>NO</t>
        </is>
      </c>
      <c r="K1528" s="192" t="inlineStr">
        <is>
          <t>https://www.abuseipdb.com/check/206.191.154.44</t>
        </is>
      </c>
      <c r="L1528" s="191" t="inlineStr">
        <is>
          <t>2026-02-23T21:17:00+00:00</t>
        </is>
      </c>
      <c r="M1528" s="191" t="inlineStr">
        <is>
          <t>Block IP</t>
        </is>
      </c>
      <c r="N1528" s="192" t="inlineStr">
        <is>
          <t>https://www.abuseipdb.com/check/206.191.154.44</t>
        </is>
      </c>
      <c r="O1528" s="191" t="inlineStr">
        <is>
          <t>Block IP 206.191.154.44 at firewall | Monitor for new reports</t>
        </is>
      </c>
      <c r="P1528" s="191" t="inlineStr">
        <is>
          <t>Firewall/Network</t>
        </is>
      </c>
      <c r="Q1528" s="191" t="inlineStr">
        <is>
          <t>P4</t>
        </is>
      </c>
      <c r="R1528" s="191" t="inlineStr">
        <is>
          <t>🚫 Block IP at firewall immediately | 🔍 Check logs for existing connections | 🛡️ Add to threat intelligence blocklist</t>
        </is>
      </c>
      <c r="S1528" s="191" t="inlineStr">
        <is>
          <t>Skipped (20/run cap)</t>
        </is>
      </c>
      <c r="T1528" s="191" t="n">
        <v>0</v>
      </c>
      <c r="U1528" s="191" t="n">
        <v>0</v>
      </c>
      <c r="V1528" s="191" t="inlineStr">
        <is>
          <t>T1110:Brute Force | T1078:Valid Accounts</t>
        </is>
      </c>
      <c r="W1528" s="191" t="n">
        <v>1</v>
      </c>
      <c r="X1528" s="191" t="inlineStr">
        <is>
          <t>LOW (40%)</t>
        </is>
      </c>
      <c r="Y1528" s="191" t="inlineStr">
        <is>
          <t>NONE</t>
        </is>
      </c>
      <c r="Z1528" s="191" t="inlineStr">
        <is>
          <t>NONE</t>
        </is>
      </c>
      <c r="AA1528" s="191" t="inlineStr">
        <is>
          <t>NONE</t>
        </is>
      </c>
      <c r="AB1528" s="191" t="inlineStr">
        <is>
          <t>NONE</t>
        </is>
      </c>
      <c r="AC1528" s="191" t="n">
        <v>0</v>
      </c>
      <c r="AD1528" s="191" t="n"/>
    </row>
    <row r="1529">
      <c r="A1529" s="191" t="inlineStr">
        <is>
          <t>ABUSE_IP</t>
        </is>
      </c>
      <c r="B1529" s="191" t="inlineStr">
        <is>
          <t>cfad4f31eb0d</t>
        </is>
      </c>
      <c r="C1529" s="191" t="inlineStr">
        <is>
          <t>Malicious IP: 154.83.197.21 | Country: US | ISP: Unknown | Confidence: 100% | Sources: ABUSEIPDB</t>
        </is>
      </c>
      <c r="D1529" s="191" t="n">
        <v>6.5</v>
      </c>
      <c r="E1529" s="191" t="inlineStr">
        <is>
          <t>MEDIUM</t>
        </is>
      </c>
      <c r="F1529" s="191" t="n">
        <v>3</v>
      </c>
      <c r="G1529" s="191" t="n">
        <v>1</v>
      </c>
      <c r="H1529" s="191" t="inlineStr">
        <is>
          <t>MEDIUM</t>
        </is>
      </c>
      <c r="I1529" s="191" t="n">
        <v>9.5</v>
      </c>
      <c r="J1529" s="191" t="inlineStr">
        <is>
          <t>NO</t>
        </is>
      </c>
      <c r="K1529" s="192" t="inlineStr">
        <is>
          <t>https://www.abuseipdb.com/check/154.83.197.21</t>
        </is>
      </c>
      <c r="L1529" s="191" t="inlineStr">
        <is>
          <t>2026-02-23T21:17:00+00:00</t>
        </is>
      </c>
      <c r="M1529" s="191" t="inlineStr">
        <is>
          <t>Block IP</t>
        </is>
      </c>
      <c r="N1529" s="192" t="inlineStr">
        <is>
          <t>https://www.abuseipdb.com/check/154.83.197.21</t>
        </is>
      </c>
      <c r="O1529" s="191" t="inlineStr">
        <is>
          <t>Block IP 154.83.197.21 at firewall | Monitor for new reports</t>
        </is>
      </c>
      <c r="P1529" s="191" t="inlineStr">
        <is>
          <t>Firewall/Network</t>
        </is>
      </c>
      <c r="Q1529" s="191" t="inlineStr">
        <is>
          <t>P4</t>
        </is>
      </c>
      <c r="R1529" s="191" t="inlineStr">
        <is>
          <t>🚫 Block IP at firewall immediately | 🔍 Check logs for existing connections | 🛡️ Add to threat intelligence blocklist</t>
        </is>
      </c>
      <c r="S1529" s="191" t="inlineStr">
        <is>
          <t>🚨 MALICIOUS: Bunny Technology LLC | 🌍 United States | Los Angeles | 🏢 Bunny Technology LLC | ASN: AS135377 UCLOUD INFORMATION TECHNOLOGY (HK) LIMITED | 🖥️ Hosting/DC | 🚨 AbuseIPDB: 100% malicious (Data Center/Web Hosting/Transit)</t>
        </is>
      </c>
      <c r="T1529" s="191" t="n">
        <v>0</v>
      </c>
      <c r="U1529" s="191" t="n">
        <v>0</v>
      </c>
      <c r="V1529" s="191" t="inlineStr">
        <is>
          <t>T1110:Brute Force | T1078:Valid Accounts</t>
        </is>
      </c>
      <c r="W1529" s="191" t="n">
        <v>1</v>
      </c>
      <c r="X1529" s="191" t="inlineStr">
        <is>
          <t>LOW (40%)</t>
        </is>
      </c>
      <c r="Y1529" s="191" t="inlineStr">
        <is>
          <t>NONE</t>
        </is>
      </c>
      <c r="Z1529" s="191" t="inlineStr">
        <is>
          <t>NONE</t>
        </is>
      </c>
      <c r="AA1529" s="191" t="inlineStr">
        <is>
          <t>NONE</t>
        </is>
      </c>
      <c r="AB1529" s="191" t="inlineStr">
        <is>
          <t>NONE</t>
        </is>
      </c>
      <c r="AC1529" s="191" t="n">
        <v>0</v>
      </c>
      <c r="AD1529" s="191" t="n"/>
    </row>
    <row r="1530">
      <c r="A1530" s="191" t="inlineStr">
        <is>
          <t>ABUSE_IP</t>
        </is>
      </c>
      <c r="B1530" s="191" t="inlineStr">
        <is>
          <t>bff59e670e94</t>
        </is>
      </c>
      <c r="C1530" s="191" t="inlineStr">
        <is>
          <t>Malicious IP: 87.236.176.151 | Country: GB | ISP: Unknown | Confidence: 100% | Sources: ABUSEIPDB</t>
        </is>
      </c>
      <c r="D1530" s="191" t="n">
        <v>6.5</v>
      </c>
      <c r="E1530" s="191" t="inlineStr">
        <is>
          <t>MEDIUM</t>
        </is>
      </c>
      <c r="F1530" s="191" t="n">
        <v>3</v>
      </c>
      <c r="G1530" s="191" t="n">
        <v>1</v>
      </c>
      <c r="H1530" s="191" t="inlineStr">
        <is>
          <t>MEDIUM</t>
        </is>
      </c>
      <c r="I1530" s="191" t="n">
        <v>9.5</v>
      </c>
      <c r="J1530" s="191" t="inlineStr">
        <is>
          <t>NO</t>
        </is>
      </c>
      <c r="K1530" s="192" t="inlineStr">
        <is>
          <t>https://www.abuseipdb.com/check/87.236.176.151</t>
        </is>
      </c>
      <c r="L1530" s="191" t="inlineStr">
        <is>
          <t>2026-02-23T21:16:59+00:00</t>
        </is>
      </c>
      <c r="M1530" s="191" t="inlineStr">
        <is>
          <t>Block IP</t>
        </is>
      </c>
      <c r="N1530" s="192" t="inlineStr">
        <is>
          <t>https://www.abuseipdb.com/check/87.236.176.151</t>
        </is>
      </c>
      <c r="O1530" s="191" t="inlineStr">
        <is>
          <t>Block IP 87.236.176.151 at firewall | Monitor for new reports</t>
        </is>
      </c>
      <c r="P1530" s="191" t="inlineStr">
        <is>
          <t>Firewall/Network</t>
        </is>
      </c>
      <c r="Q1530" s="191" t="inlineStr">
        <is>
          <t>P4</t>
        </is>
      </c>
      <c r="R1530" s="191" t="inlineStr">
        <is>
          <t>🚫 Block IP at firewall immediately | 🔍 Check logs for existing connections | 🛡️ Add to threat intelligence blocklist</t>
        </is>
      </c>
      <c r="S1530" s="191" t="inlineStr">
        <is>
          <t>Skipped (20/run cap)</t>
        </is>
      </c>
      <c r="T1530" s="191" t="n">
        <v>0</v>
      </c>
      <c r="U1530" s="191" t="n">
        <v>0</v>
      </c>
      <c r="V1530" s="191" t="inlineStr">
        <is>
          <t>T1110:Brute Force | T1078:Valid Accounts</t>
        </is>
      </c>
      <c r="W1530" s="191" t="n">
        <v>1</v>
      </c>
      <c r="X1530" s="191" t="inlineStr">
        <is>
          <t>LOW (40%)</t>
        </is>
      </c>
      <c r="Y1530" s="191" t="inlineStr">
        <is>
          <t>NONE</t>
        </is>
      </c>
      <c r="Z1530" s="191" t="inlineStr">
        <is>
          <t>NONE</t>
        </is>
      </c>
      <c r="AA1530" s="191" t="inlineStr">
        <is>
          <t>NONE</t>
        </is>
      </c>
      <c r="AB1530" s="191" t="inlineStr">
        <is>
          <t>NONE</t>
        </is>
      </c>
      <c r="AC1530" s="191" t="n">
        <v>0</v>
      </c>
      <c r="AD1530" s="191" t="n"/>
    </row>
    <row r="1531">
      <c r="A1531" s="191" t="inlineStr">
        <is>
          <t>ABUSE_IP</t>
        </is>
      </c>
      <c r="B1531" s="191" t="inlineStr">
        <is>
          <t>8e8e349606be</t>
        </is>
      </c>
      <c r="C1531" s="191" t="inlineStr">
        <is>
          <t>Malicious IP: 167.179.19.182 | Country: KH | ISP: Unknown | Confidence: 100% | Sources: ABUSEIPDB</t>
        </is>
      </c>
      <c r="D1531" s="191" t="n">
        <v>6.5</v>
      </c>
      <c r="E1531" s="191" t="inlineStr">
        <is>
          <t>MEDIUM</t>
        </is>
      </c>
      <c r="F1531" s="191" t="n">
        <v>3</v>
      </c>
      <c r="G1531" s="191" t="n">
        <v>1</v>
      </c>
      <c r="H1531" s="191" t="inlineStr">
        <is>
          <t>MEDIUM</t>
        </is>
      </c>
      <c r="I1531" s="191" t="n">
        <v>9.5</v>
      </c>
      <c r="J1531" s="191" t="inlineStr">
        <is>
          <t>NO</t>
        </is>
      </c>
      <c r="K1531" s="192" t="inlineStr">
        <is>
          <t>https://www.abuseipdb.com/check/167.179.19.182</t>
        </is>
      </c>
      <c r="L1531" s="191" t="inlineStr">
        <is>
          <t>2026-02-23T21:16:58+00:00</t>
        </is>
      </c>
      <c r="M1531" s="191" t="inlineStr">
        <is>
          <t>Block IP</t>
        </is>
      </c>
      <c r="N1531" s="192" t="inlineStr">
        <is>
          <t>https://www.abuseipdb.com/check/167.179.19.182</t>
        </is>
      </c>
      <c r="O1531" s="191" t="inlineStr">
        <is>
          <t>Block IP 167.179.19.182 at firewall | Monitor for new reports</t>
        </is>
      </c>
      <c r="P1531" s="191" t="inlineStr">
        <is>
          <t>Firewall/Network</t>
        </is>
      </c>
      <c r="Q1531" s="191" t="inlineStr">
        <is>
          <t>P4</t>
        </is>
      </c>
      <c r="R1531" s="191" t="inlineStr">
        <is>
          <t>🚫 Block IP at firewall immediately | 🔍 Check logs for existing connections | 🛡️ Add to threat intelligence blocklist</t>
        </is>
      </c>
      <c r="S1531" s="191" t="inlineStr">
        <is>
          <t>Skipped (20/run cap)</t>
        </is>
      </c>
      <c r="T1531" s="191" t="n">
        <v>0</v>
      </c>
      <c r="U1531" s="191" t="n">
        <v>0</v>
      </c>
      <c r="V1531" s="191" t="inlineStr">
        <is>
          <t>T1110:Brute Force | T1078:Valid Accounts</t>
        </is>
      </c>
      <c r="W1531" s="191" t="n">
        <v>1</v>
      </c>
      <c r="X1531" s="191" t="inlineStr">
        <is>
          <t>LOW (40%)</t>
        </is>
      </c>
      <c r="Y1531" s="191" t="inlineStr">
        <is>
          <t>NONE</t>
        </is>
      </c>
      <c r="Z1531" s="191" t="inlineStr">
        <is>
          <t>NONE</t>
        </is>
      </c>
      <c r="AA1531" s="191" t="inlineStr">
        <is>
          <t>NONE</t>
        </is>
      </c>
      <c r="AB1531" s="191" t="inlineStr">
        <is>
          <t>NONE</t>
        </is>
      </c>
      <c r="AC1531" s="191" t="n">
        <v>0</v>
      </c>
      <c r="AD1531" s="191" t="n"/>
    </row>
    <row r="1532">
      <c r="A1532" s="191" t="inlineStr">
        <is>
          <t>ABUSE_IP</t>
        </is>
      </c>
      <c r="B1532" s="191" t="inlineStr">
        <is>
          <t>c812f02ebdcd</t>
        </is>
      </c>
      <c r="C1532" s="191" t="inlineStr">
        <is>
          <t>Malicious IP: 103.174.145.35 | Country: IN | ISP: Unknown | Confidence: 100% | Sources: ABUSEIPDB</t>
        </is>
      </c>
      <c r="D1532" s="191" t="n">
        <v>6.5</v>
      </c>
      <c r="E1532" s="191" t="inlineStr">
        <is>
          <t>MEDIUM</t>
        </is>
      </c>
      <c r="F1532" s="191" t="n">
        <v>3</v>
      </c>
      <c r="G1532" s="191" t="n">
        <v>1</v>
      </c>
      <c r="H1532" s="191" t="inlineStr">
        <is>
          <t>MEDIUM</t>
        </is>
      </c>
      <c r="I1532" s="191" t="n">
        <v>9.5</v>
      </c>
      <c r="J1532" s="191" t="inlineStr">
        <is>
          <t>NO</t>
        </is>
      </c>
      <c r="K1532" s="192" t="inlineStr">
        <is>
          <t>https://www.abuseipdb.com/check/103.174.145.35</t>
        </is>
      </c>
      <c r="L1532" s="191" t="inlineStr">
        <is>
          <t>2026-02-23T21:16:58+00:00</t>
        </is>
      </c>
      <c r="M1532" s="191" t="inlineStr">
        <is>
          <t>Block IP</t>
        </is>
      </c>
      <c r="N1532" s="192" t="inlineStr">
        <is>
          <t>https://www.abuseipdb.com/check/103.174.145.35</t>
        </is>
      </c>
      <c r="O1532" s="191" t="inlineStr">
        <is>
          <t>Block IP 103.174.145.35 at firewall | Monitor for new reports</t>
        </is>
      </c>
      <c r="P1532" s="191" t="inlineStr">
        <is>
          <t>Firewall/Network</t>
        </is>
      </c>
      <c r="Q1532" s="191" t="inlineStr">
        <is>
          <t>P4</t>
        </is>
      </c>
      <c r="R1532" s="191" t="inlineStr">
        <is>
          <t>🚫 Block IP at firewall immediately | 🔍 Check logs for existing connections | 🛡️ Add to threat intelligence blocklist</t>
        </is>
      </c>
      <c r="S1532" s="191" t="inlineStr">
        <is>
          <t>🚨 MALICIOUS: Vaidik Netsol OPC PVT LTD | 🌍 India | Gandhinagar | 🏢 Vaidik Netsol OPC PVT LTD | ASN: AS147195 VAIDIK NETSOL OPC PVT LTD | 🚨 AbuseIPDB: 100% malicious (Fixed Line ISP)</t>
        </is>
      </c>
      <c r="T1532" s="191" t="n">
        <v>0</v>
      </c>
      <c r="U1532" s="191" t="n">
        <v>0</v>
      </c>
      <c r="V1532" s="191" t="inlineStr">
        <is>
          <t>T1110:Brute Force | T1078:Valid Accounts</t>
        </is>
      </c>
      <c r="W1532" s="191" t="n">
        <v>1</v>
      </c>
      <c r="X1532" s="191" t="inlineStr">
        <is>
          <t>LOW (40%)</t>
        </is>
      </c>
      <c r="Y1532" s="191" t="inlineStr">
        <is>
          <t>NONE</t>
        </is>
      </c>
      <c r="Z1532" s="191" t="inlineStr">
        <is>
          <t>NONE</t>
        </is>
      </c>
      <c r="AA1532" s="191" t="inlineStr">
        <is>
          <t>NONE</t>
        </is>
      </c>
      <c r="AB1532" s="191" t="inlineStr">
        <is>
          <t>NONE</t>
        </is>
      </c>
      <c r="AC1532" s="191" t="n">
        <v>0</v>
      </c>
      <c r="AD1532" s="191" t="n"/>
    </row>
    <row r="1533">
      <c r="A1533" s="191" t="inlineStr">
        <is>
          <t>ABUSE_IP</t>
        </is>
      </c>
      <c r="B1533" s="191" t="inlineStr">
        <is>
          <t>cfbd8c3f3061</t>
        </is>
      </c>
      <c r="C1533" s="191" t="inlineStr">
        <is>
          <t>Malicious IP: 199.45.154.120 | Country: HK | ISP: Unknown | Confidence: 100% | Sources: ABUSEIPDB</t>
        </is>
      </c>
      <c r="D1533" s="191" t="n">
        <v>6.5</v>
      </c>
      <c r="E1533" s="191" t="inlineStr">
        <is>
          <t>MEDIUM</t>
        </is>
      </c>
      <c r="F1533" s="191" t="n">
        <v>3</v>
      </c>
      <c r="G1533" s="191" t="n">
        <v>1</v>
      </c>
      <c r="H1533" s="191" t="inlineStr">
        <is>
          <t>MEDIUM</t>
        </is>
      </c>
      <c r="I1533" s="191" t="n">
        <v>9.5</v>
      </c>
      <c r="J1533" s="191" t="inlineStr">
        <is>
          <t>NO</t>
        </is>
      </c>
      <c r="K1533" s="192" t="inlineStr">
        <is>
          <t>https://www.abuseipdb.com/check/199.45.154.120</t>
        </is>
      </c>
      <c r="L1533" s="191" t="inlineStr">
        <is>
          <t>2026-02-23T21:16:58+00:00</t>
        </is>
      </c>
      <c r="M1533" s="191" t="inlineStr">
        <is>
          <t>Block IP</t>
        </is>
      </c>
      <c r="N1533" s="192" t="inlineStr">
        <is>
          <t>https://www.abuseipdb.com/check/199.45.154.120</t>
        </is>
      </c>
      <c r="O1533" s="191" t="inlineStr">
        <is>
          <t>Block IP 199.45.154.120 at firewall | Monitor for new reports</t>
        </is>
      </c>
      <c r="P1533" s="191" t="inlineStr">
        <is>
          <t>Firewall/Network</t>
        </is>
      </c>
      <c r="Q1533" s="191" t="inlineStr">
        <is>
          <t>P4</t>
        </is>
      </c>
      <c r="R1533" s="191" t="inlineStr">
        <is>
          <t>🚫 Block IP at firewall immediately | 🔍 Check logs for existing connections | 🛡️ Add to threat intelligence blocklist</t>
        </is>
      </c>
      <c r="S1533" s="191" t="inlineStr">
        <is>
          <t>🚨 MALICIOUS: Censys, Inc. | 🌍 United States | New York | 🏢 Censys, Inc. | ASN: AS398722 Censys, Inc. | 🚨 AbuseIPDB: 100% malicious (Data Center/Web Hosting/Transit)</t>
        </is>
      </c>
      <c r="T1533" s="191" t="n">
        <v>0</v>
      </c>
      <c r="U1533" s="191" t="n">
        <v>0</v>
      </c>
      <c r="V1533" s="191" t="inlineStr">
        <is>
          <t>T1110:Brute Force | T1078:Valid Accounts</t>
        </is>
      </c>
      <c r="W1533" s="191" t="n">
        <v>1</v>
      </c>
      <c r="X1533" s="191" t="inlineStr">
        <is>
          <t>LOW (40%)</t>
        </is>
      </c>
      <c r="Y1533" s="191" t="inlineStr">
        <is>
          <t>NONE</t>
        </is>
      </c>
      <c r="Z1533" s="191" t="inlineStr">
        <is>
          <t>NONE</t>
        </is>
      </c>
      <c r="AA1533" s="191" t="inlineStr">
        <is>
          <t>NONE</t>
        </is>
      </c>
      <c r="AB1533" s="191" t="inlineStr">
        <is>
          <t>NONE</t>
        </is>
      </c>
      <c r="AC1533" s="191" t="n">
        <v>0</v>
      </c>
      <c r="AD1533" s="191" t="n"/>
    </row>
    <row r="1534">
      <c r="A1534" s="191" t="inlineStr">
        <is>
          <t>ABUSE_IP</t>
        </is>
      </c>
      <c r="B1534" s="191" t="inlineStr">
        <is>
          <t>fee55d074279</t>
        </is>
      </c>
      <c r="C1534" s="191" t="inlineStr">
        <is>
          <t>Malicious IP: 14.224.131.111 | Country: VN | ISP: Unknown | Confidence: 100% | Sources: ABUSEIPDB</t>
        </is>
      </c>
      <c r="D1534" s="191" t="n">
        <v>6.5</v>
      </c>
      <c r="E1534" s="191" t="inlineStr">
        <is>
          <t>MEDIUM</t>
        </is>
      </c>
      <c r="F1534" s="191" t="n">
        <v>3</v>
      </c>
      <c r="G1534" s="191" t="n">
        <v>1</v>
      </c>
      <c r="H1534" s="191" t="inlineStr">
        <is>
          <t>MEDIUM</t>
        </is>
      </c>
      <c r="I1534" s="191" t="n">
        <v>9.5</v>
      </c>
      <c r="J1534" s="191" t="inlineStr">
        <is>
          <t>NO</t>
        </is>
      </c>
      <c r="K1534" s="192" t="inlineStr">
        <is>
          <t>https://www.abuseipdb.com/check/14.224.131.111</t>
        </is>
      </c>
      <c r="L1534" s="191" t="inlineStr">
        <is>
          <t>2026-02-23T21:16:58+00:00</t>
        </is>
      </c>
      <c r="M1534" s="191" t="inlineStr">
        <is>
          <t>Block IP</t>
        </is>
      </c>
      <c r="N1534" s="192" t="inlineStr">
        <is>
          <t>https://www.abuseipdb.com/check/14.224.131.111</t>
        </is>
      </c>
      <c r="O1534" s="191" t="inlineStr">
        <is>
          <t>Block IP 14.224.131.111 at firewall | Monitor for new reports</t>
        </is>
      </c>
      <c r="P1534" s="191" t="inlineStr">
        <is>
          <t>Firewall/Network</t>
        </is>
      </c>
      <c r="Q1534" s="191" t="inlineStr">
        <is>
          <t>P4</t>
        </is>
      </c>
      <c r="R1534" s="191" t="inlineStr">
        <is>
          <t>🚫 Block IP at firewall immediately | 🔍 Check logs for existing connections | 🛡️ Add to threat intelligence blocklist</t>
        </is>
      </c>
      <c r="S1534" s="191" t="inlineStr">
        <is>
          <t>🚨 MALICIOUS: Vietnam Posts and Telecommunications Group | 🌍 Vietnam | Hanoi | 🏢 Vietnam Posts and Telecommunications Group | ASN: AS45899 VNPT Corp | 🚨 AbuseIPDB: 100% malicious (Fixed Line ISP)</t>
        </is>
      </c>
      <c r="T1534" s="191" t="n">
        <v>0</v>
      </c>
      <c r="U1534" s="191" t="n">
        <v>0</v>
      </c>
      <c r="V1534" s="191" t="inlineStr">
        <is>
          <t>T1110:Brute Force | T1078:Valid Accounts</t>
        </is>
      </c>
      <c r="W1534" s="191" t="n">
        <v>1</v>
      </c>
      <c r="X1534" s="191" t="inlineStr">
        <is>
          <t>LOW (40%)</t>
        </is>
      </c>
      <c r="Y1534" s="191" t="inlineStr">
        <is>
          <t>NONE</t>
        </is>
      </c>
      <c r="Z1534" s="191" t="inlineStr">
        <is>
          <t>NONE</t>
        </is>
      </c>
      <c r="AA1534" s="191" t="inlineStr">
        <is>
          <t>NONE</t>
        </is>
      </c>
      <c r="AB1534" s="191" t="inlineStr">
        <is>
          <t>NONE</t>
        </is>
      </c>
      <c r="AC1534" s="191" t="n">
        <v>0</v>
      </c>
      <c r="AD1534" s="191" t="n"/>
    </row>
    <row r="1535">
      <c r="A1535" s="191" t="inlineStr">
        <is>
          <t>ABUSE_IP</t>
        </is>
      </c>
      <c r="B1535" s="191" t="inlineStr">
        <is>
          <t>351ececd55b9</t>
        </is>
      </c>
      <c r="C1535" s="191" t="inlineStr">
        <is>
          <t>Malicious IP: 2.57.122.96 | Country: RO | ISP: Unknown | Confidence: 100% | Sources: ABUSEIPDB</t>
        </is>
      </c>
      <c r="D1535" s="191" t="n">
        <v>6.5</v>
      </c>
      <c r="E1535" s="191" t="inlineStr">
        <is>
          <t>MEDIUM</t>
        </is>
      </c>
      <c r="F1535" s="191" t="n">
        <v>3</v>
      </c>
      <c r="G1535" s="191" t="n">
        <v>1</v>
      </c>
      <c r="H1535" s="191" t="inlineStr">
        <is>
          <t>MEDIUM</t>
        </is>
      </c>
      <c r="I1535" s="191" t="n">
        <v>9.5</v>
      </c>
      <c r="J1535" s="191" t="inlineStr">
        <is>
          <t>NO</t>
        </is>
      </c>
      <c r="K1535" s="192" t="inlineStr">
        <is>
          <t>https://www.abuseipdb.com/check/2.57.122.96</t>
        </is>
      </c>
      <c r="L1535" s="191" t="inlineStr">
        <is>
          <t>2026-02-23T21:16:58+00:00</t>
        </is>
      </c>
      <c r="M1535" s="191" t="inlineStr">
        <is>
          <t>Block IP</t>
        </is>
      </c>
      <c r="N1535" s="192" t="inlineStr">
        <is>
          <t>https://www.abuseipdb.com/check/2.57.122.96</t>
        </is>
      </c>
      <c r="O1535" s="191" t="inlineStr">
        <is>
          <t>Block IP 2.57.122.96 at firewall | Monitor for new reports</t>
        </is>
      </c>
      <c r="P1535" s="191" t="inlineStr">
        <is>
          <t>Firewall/Network</t>
        </is>
      </c>
      <c r="Q1535" s="191" t="inlineStr">
        <is>
          <t>P4</t>
        </is>
      </c>
      <c r="R1535" s="191" t="inlineStr">
        <is>
          <t>🚫 Block IP at firewall immediately | 🔍 Check logs for existing connections | 🛡️ Add to threat intelligence blocklist</t>
        </is>
      </c>
      <c r="S1535" s="191" t="inlineStr">
        <is>
          <t>Skipped (20/run cap)</t>
        </is>
      </c>
      <c r="T1535" s="191" t="n">
        <v>0</v>
      </c>
      <c r="U1535" s="191" t="n">
        <v>0</v>
      </c>
      <c r="V1535" s="191" t="inlineStr">
        <is>
          <t>T1110:Brute Force | T1078:Valid Accounts</t>
        </is>
      </c>
      <c r="W1535" s="191" t="n">
        <v>1</v>
      </c>
      <c r="X1535" s="191" t="inlineStr">
        <is>
          <t>LOW (40%)</t>
        </is>
      </c>
      <c r="Y1535" s="191" t="inlineStr">
        <is>
          <t>NONE</t>
        </is>
      </c>
      <c r="Z1535" s="191" t="inlineStr">
        <is>
          <t>NONE</t>
        </is>
      </c>
      <c r="AA1535" s="191" t="inlineStr">
        <is>
          <t>NONE</t>
        </is>
      </c>
      <c r="AB1535" s="191" t="inlineStr">
        <is>
          <t>NONE</t>
        </is>
      </c>
      <c r="AC1535" s="191" t="n">
        <v>0</v>
      </c>
      <c r="AD1535" s="191" t="n"/>
    </row>
    <row r="1536">
      <c r="A1536" s="191" t="inlineStr">
        <is>
          <t>ABUSE_IP</t>
        </is>
      </c>
      <c r="B1536" s="191" t="inlineStr">
        <is>
          <t>914f052819f6</t>
        </is>
      </c>
      <c r="C1536" s="191" t="inlineStr">
        <is>
          <t>Malicious IP: 211.253.37.225 | Country: KR | ISP: Unknown | Confidence: 100% | Sources: ABUSEIPDB</t>
        </is>
      </c>
      <c r="D1536" s="191" t="n">
        <v>6.5</v>
      </c>
      <c r="E1536" s="191" t="inlineStr">
        <is>
          <t>MEDIUM</t>
        </is>
      </c>
      <c r="F1536" s="191" t="n">
        <v>3</v>
      </c>
      <c r="G1536" s="191" t="n">
        <v>1</v>
      </c>
      <c r="H1536" s="191" t="inlineStr">
        <is>
          <t>MEDIUM</t>
        </is>
      </c>
      <c r="I1536" s="191" t="n">
        <v>9.5</v>
      </c>
      <c r="J1536" s="191" t="inlineStr">
        <is>
          <t>NO</t>
        </is>
      </c>
      <c r="K1536" s="192" t="inlineStr">
        <is>
          <t>https://www.abuseipdb.com/check/211.253.37.225</t>
        </is>
      </c>
      <c r="L1536" s="191" t="inlineStr">
        <is>
          <t>2026-02-23T21:16:58+00:00</t>
        </is>
      </c>
      <c r="M1536" s="191" t="inlineStr">
        <is>
          <t>Block IP</t>
        </is>
      </c>
      <c r="N1536" s="192" t="inlineStr">
        <is>
          <t>https://www.abuseipdb.com/check/211.253.37.225</t>
        </is>
      </c>
      <c r="O1536" s="191" t="inlineStr">
        <is>
          <t>Block IP 211.253.37.225 at firewall | Monitor for new reports</t>
        </is>
      </c>
      <c r="P1536" s="191" t="inlineStr">
        <is>
          <t>Firewall/Network</t>
        </is>
      </c>
      <c r="Q1536" s="191" t="inlineStr">
        <is>
          <t>P4</t>
        </is>
      </c>
      <c r="R1536" s="191" t="inlineStr">
        <is>
          <t>🚫 Block IP at firewall immediately | 🔍 Check logs for existing connections | 🛡️ Add to threat intelligence blocklist</t>
        </is>
      </c>
      <c r="S1536" s="191" t="inlineStr">
        <is>
          <t>🚨 MALICIOUS: (jae)hoseojeonsanjikeobjeonmunhakkyo | 🌍 South Korea | Goyang-si | 🏢 (jae)hoseojeonsanjikeobjeonmunhakkyo | ASN: AS4766 Korea Telecom | 🚨 AbuseIPDB: 100% malicious (Fixed Line ISP)</t>
        </is>
      </c>
      <c r="T1536" s="191" t="n">
        <v>0</v>
      </c>
      <c r="U1536" s="191" t="n">
        <v>0</v>
      </c>
      <c r="V1536" s="191" t="inlineStr">
        <is>
          <t>T1110:Brute Force | T1078:Valid Accounts</t>
        </is>
      </c>
      <c r="W1536" s="191" t="n">
        <v>1</v>
      </c>
      <c r="X1536" s="191" t="inlineStr">
        <is>
          <t>LOW (40%)</t>
        </is>
      </c>
      <c r="Y1536" s="191" t="inlineStr">
        <is>
          <t>NONE</t>
        </is>
      </c>
      <c r="Z1536" s="191" t="inlineStr">
        <is>
          <t>NONE</t>
        </is>
      </c>
      <c r="AA1536" s="191" t="inlineStr">
        <is>
          <t>NONE</t>
        </is>
      </c>
      <c r="AB1536" s="191" t="inlineStr">
        <is>
          <t>NONE</t>
        </is>
      </c>
      <c r="AC1536" s="191" t="n">
        <v>0</v>
      </c>
      <c r="AD1536" s="191" t="n"/>
    </row>
    <row r="1537">
      <c r="A1537" s="191" t="inlineStr">
        <is>
          <t>ABUSE_IP</t>
        </is>
      </c>
      <c r="B1537" s="191" t="inlineStr">
        <is>
          <t>272cfa45e4e3</t>
        </is>
      </c>
      <c r="C1537" s="191" t="inlineStr">
        <is>
          <t>Malicious IP: 2.57.121.25 | Country: RO | ISP: Unknown | Confidence: 100% | Sources: ABUSEIPDB</t>
        </is>
      </c>
      <c r="D1537" s="191" t="n">
        <v>6.5</v>
      </c>
      <c r="E1537" s="191" t="inlineStr">
        <is>
          <t>MEDIUM</t>
        </is>
      </c>
      <c r="F1537" s="191" t="n">
        <v>3</v>
      </c>
      <c r="G1537" s="191" t="n">
        <v>1</v>
      </c>
      <c r="H1537" s="191" t="inlineStr">
        <is>
          <t>MEDIUM</t>
        </is>
      </c>
      <c r="I1537" s="191" t="n">
        <v>9.5</v>
      </c>
      <c r="J1537" s="191" t="inlineStr">
        <is>
          <t>NO</t>
        </is>
      </c>
      <c r="K1537" s="192" t="inlineStr">
        <is>
          <t>https://www.abuseipdb.com/check/2.57.121.25</t>
        </is>
      </c>
      <c r="L1537" s="191" t="inlineStr">
        <is>
          <t>2026-02-23T21:16:58+00:00</t>
        </is>
      </c>
      <c r="M1537" s="191" t="inlineStr">
        <is>
          <t>Block IP</t>
        </is>
      </c>
      <c r="N1537" s="192" t="inlineStr">
        <is>
          <t>https://www.abuseipdb.com/check/2.57.121.25</t>
        </is>
      </c>
      <c r="O1537" s="191" t="inlineStr">
        <is>
          <t>Block IP 2.57.121.25 at firewall | Monitor for new reports</t>
        </is>
      </c>
      <c r="P1537" s="191" t="inlineStr">
        <is>
          <t>Firewall/Network</t>
        </is>
      </c>
      <c r="Q1537" s="191" t="inlineStr">
        <is>
          <t>P4</t>
        </is>
      </c>
      <c r="R1537" s="191" t="inlineStr">
        <is>
          <t>🚫 Block IP at firewall immediately | 🔍 Check logs for existing connections | 🛡️ Add to threat intelligence blocklist</t>
        </is>
      </c>
      <c r="S1537" s="191" t="inlineStr">
        <is>
          <t>Skipped (20/run cap)</t>
        </is>
      </c>
      <c r="T1537" s="191" t="n">
        <v>0</v>
      </c>
      <c r="U1537" s="191" t="n">
        <v>0</v>
      </c>
      <c r="V1537" s="191" t="inlineStr">
        <is>
          <t>T1110:Brute Force | T1078:Valid Accounts</t>
        </is>
      </c>
      <c r="W1537" s="191" t="n">
        <v>1</v>
      </c>
      <c r="X1537" s="191" t="inlineStr">
        <is>
          <t>LOW (40%)</t>
        </is>
      </c>
      <c r="Y1537" s="191" t="inlineStr">
        <is>
          <t>NONE</t>
        </is>
      </c>
      <c r="Z1537" s="191" t="inlineStr">
        <is>
          <t>NONE</t>
        </is>
      </c>
      <c r="AA1537" s="191" t="inlineStr">
        <is>
          <t>NONE</t>
        </is>
      </c>
      <c r="AB1537" s="191" t="inlineStr">
        <is>
          <t>NONE</t>
        </is>
      </c>
      <c r="AC1537" s="191" t="n">
        <v>0</v>
      </c>
      <c r="AD1537" s="191" t="n"/>
    </row>
    <row r="1538">
      <c r="A1538" s="191" t="inlineStr">
        <is>
          <t>ABUSE_IP</t>
        </is>
      </c>
      <c r="B1538" s="191" t="inlineStr">
        <is>
          <t>479a53c4a021</t>
        </is>
      </c>
      <c r="C1538" s="191" t="inlineStr">
        <is>
          <t>Malicious IP: 14.55.144.22 | Country: KR | ISP: Unknown | Confidence: 100% | Sources: ABUSEIPDB</t>
        </is>
      </c>
      <c r="D1538" s="191" t="n">
        <v>6.5</v>
      </c>
      <c r="E1538" s="191" t="inlineStr">
        <is>
          <t>MEDIUM</t>
        </is>
      </c>
      <c r="F1538" s="191" t="n">
        <v>3</v>
      </c>
      <c r="G1538" s="191" t="n">
        <v>1</v>
      </c>
      <c r="H1538" s="191" t="inlineStr">
        <is>
          <t>MEDIUM</t>
        </is>
      </c>
      <c r="I1538" s="191" t="n">
        <v>9.5</v>
      </c>
      <c r="J1538" s="191" t="inlineStr">
        <is>
          <t>NO</t>
        </is>
      </c>
      <c r="K1538" s="192" t="inlineStr">
        <is>
          <t>https://www.abuseipdb.com/check/14.55.144.22</t>
        </is>
      </c>
      <c r="L1538" s="191" t="inlineStr">
        <is>
          <t>2026-02-23T21:16:58+00:00</t>
        </is>
      </c>
      <c r="M1538" s="191" t="inlineStr">
        <is>
          <t>Block IP</t>
        </is>
      </c>
      <c r="N1538" s="192" t="inlineStr">
        <is>
          <t>https://www.abuseipdb.com/check/14.55.144.22</t>
        </is>
      </c>
      <c r="O1538" s="191" t="inlineStr">
        <is>
          <t>Block IP 14.55.144.22 at firewall | Monitor for new reports</t>
        </is>
      </c>
      <c r="P1538" s="191" t="inlineStr">
        <is>
          <t>Firewall/Network</t>
        </is>
      </c>
      <c r="Q1538" s="191" t="inlineStr">
        <is>
          <t>P4</t>
        </is>
      </c>
      <c r="R1538" s="191" t="inlineStr">
        <is>
          <t>🚫 Block IP at firewall immediately | 🔍 Check logs for existing connections | 🛡️ Add to threat intelligence blocklist</t>
        </is>
      </c>
      <c r="S1538" s="191" t="inlineStr">
        <is>
          <t>Skipped (20/run cap)</t>
        </is>
      </c>
      <c r="T1538" s="191" t="n">
        <v>0</v>
      </c>
      <c r="U1538" s="191" t="n">
        <v>0</v>
      </c>
      <c r="V1538" s="191" t="inlineStr">
        <is>
          <t>T1110:Brute Force | T1078:Valid Accounts</t>
        </is>
      </c>
      <c r="W1538" s="191" t="n">
        <v>1</v>
      </c>
      <c r="X1538" s="191" t="inlineStr">
        <is>
          <t>LOW (40%)</t>
        </is>
      </c>
      <c r="Y1538" s="191" t="inlineStr">
        <is>
          <t>NONE</t>
        </is>
      </c>
      <c r="Z1538" s="191" t="inlineStr">
        <is>
          <t>NONE</t>
        </is>
      </c>
      <c r="AA1538" s="191" t="inlineStr">
        <is>
          <t>NONE</t>
        </is>
      </c>
      <c r="AB1538" s="191" t="inlineStr">
        <is>
          <t>NONE</t>
        </is>
      </c>
      <c r="AC1538" s="191" t="n">
        <v>0</v>
      </c>
      <c r="AD1538" s="191" t="n"/>
    </row>
    <row r="1539">
      <c r="A1539" s="191" t="inlineStr">
        <is>
          <t>ABUSE_IP</t>
        </is>
      </c>
      <c r="B1539" s="191" t="inlineStr">
        <is>
          <t>8b1798be1024</t>
        </is>
      </c>
      <c r="C1539" s="191" t="inlineStr">
        <is>
          <t>Malicious IP: 106.75.154.218 | Country: CN | ISP: Unknown | Confidence: 100% | Sources: ABUSEIPDB</t>
        </is>
      </c>
      <c r="D1539" s="191" t="n">
        <v>6.5</v>
      </c>
      <c r="E1539" s="191" t="inlineStr">
        <is>
          <t>MEDIUM</t>
        </is>
      </c>
      <c r="F1539" s="191" t="n">
        <v>3</v>
      </c>
      <c r="G1539" s="191" t="n">
        <v>1</v>
      </c>
      <c r="H1539" s="191" t="inlineStr">
        <is>
          <t>MEDIUM</t>
        </is>
      </c>
      <c r="I1539" s="191" t="n">
        <v>9.5</v>
      </c>
      <c r="J1539" s="191" t="inlineStr">
        <is>
          <t>NO</t>
        </is>
      </c>
      <c r="K1539" s="192" t="inlineStr">
        <is>
          <t>https://www.abuseipdb.com/check/106.75.154.218</t>
        </is>
      </c>
      <c r="L1539" s="191" t="inlineStr">
        <is>
          <t>2026-02-23T21:16:57+00:00</t>
        </is>
      </c>
      <c r="M1539" s="191" t="inlineStr">
        <is>
          <t>Block IP</t>
        </is>
      </c>
      <c r="N1539" s="192" t="inlineStr">
        <is>
          <t>https://www.abuseipdb.com/check/106.75.154.218</t>
        </is>
      </c>
      <c r="O1539" s="191" t="inlineStr">
        <is>
          <t>Block IP 106.75.154.218 at firewall | Monitor for new reports</t>
        </is>
      </c>
      <c r="P1539" s="191" t="inlineStr">
        <is>
          <t>Firewall/Network</t>
        </is>
      </c>
      <c r="Q1539" s="191" t="inlineStr">
        <is>
          <t>P4</t>
        </is>
      </c>
      <c r="R1539" s="191" t="inlineStr">
        <is>
          <t>🚫 Block IP at firewall immediately | 🔍 Check logs for existing connections | 🛡️ Add to threat intelligence blocklist</t>
        </is>
      </c>
      <c r="S1539" s="191" t="inlineStr">
        <is>
          <t>🚨 MALICIOUS: Shanghai UCloud Information Technology Company Limited | 🌍 China | Yangpu | 🏢 Shanghai UCloud Information Technology Company Limited | ASN: AS136958 China Unicom Guangdong IP network | 🚨 AbuseIPDB: 100% malicious (Commercial)</t>
        </is>
      </c>
      <c r="T1539" s="191" t="n">
        <v>0</v>
      </c>
      <c r="U1539" s="191" t="n">
        <v>0</v>
      </c>
      <c r="V1539" s="191" t="inlineStr">
        <is>
          <t>T1110:Brute Force | T1078:Valid Accounts</t>
        </is>
      </c>
      <c r="W1539" s="191" t="n">
        <v>1</v>
      </c>
      <c r="X1539" s="191" t="inlineStr">
        <is>
          <t>LOW (40%)</t>
        </is>
      </c>
      <c r="Y1539" s="191" t="inlineStr">
        <is>
          <t>NONE</t>
        </is>
      </c>
      <c r="Z1539" s="191" t="inlineStr">
        <is>
          <t>NONE</t>
        </is>
      </c>
      <c r="AA1539" s="191" t="inlineStr">
        <is>
          <t>NONE</t>
        </is>
      </c>
      <c r="AB1539" s="191" t="inlineStr">
        <is>
          <t>NONE</t>
        </is>
      </c>
      <c r="AC1539" s="191" t="n">
        <v>0</v>
      </c>
      <c r="AD1539" s="191" t="n"/>
    </row>
    <row r="1540">
      <c r="A1540" s="191" t="inlineStr">
        <is>
          <t>ABUSE_IP</t>
        </is>
      </c>
      <c r="B1540" s="191" t="inlineStr">
        <is>
          <t>29b63840d225</t>
        </is>
      </c>
      <c r="C1540" s="191" t="inlineStr">
        <is>
          <t>Malicious IP: 35.239.77.168 | Country: US | ISP: Unknown | Confidence: 100% | Sources: ABUSEIPDB</t>
        </is>
      </c>
      <c r="D1540" s="191" t="n">
        <v>6.5</v>
      </c>
      <c r="E1540" s="191" t="inlineStr">
        <is>
          <t>MEDIUM</t>
        </is>
      </c>
      <c r="F1540" s="191" t="n">
        <v>3</v>
      </c>
      <c r="G1540" s="191" t="n">
        <v>1</v>
      </c>
      <c r="H1540" s="191" t="inlineStr">
        <is>
          <t>MEDIUM</t>
        </is>
      </c>
      <c r="I1540" s="191" t="n">
        <v>9.5</v>
      </c>
      <c r="J1540" s="191" t="inlineStr">
        <is>
          <t>NO</t>
        </is>
      </c>
      <c r="K1540" s="192" t="inlineStr">
        <is>
          <t>https://www.abuseipdb.com/check/35.239.77.168</t>
        </is>
      </c>
      <c r="L1540" s="191" t="inlineStr">
        <is>
          <t>2026-02-23T21:16:57+00:00</t>
        </is>
      </c>
      <c r="M1540" s="191" t="inlineStr">
        <is>
          <t>Block IP</t>
        </is>
      </c>
      <c r="N1540" s="192" t="inlineStr">
        <is>
          <t>https://www.abuseipdb.com/check/35.239.77.168</t>
        </is>
      </c>
      <c r="O1540" s="191" t="inlineStr">
        <is>
          <t>Block IP 35.239.77.168 at firewall | Monitor for new reports</t>
        </is>
      </c>
      <c r="P1540" s="191" t="inlineStr">
        <is>
          <t>Firewall/Network</t>
        </is>
      </c>
      <c r="Q1540" s="191" t="inlineStr">
        <is>
          <t>P4</t>
        </is>
      </c>
      <c r="R1540" s="191" t="inlineStr">
        <is>
          <t>🚫 Block IP at firewall immediately | 🔍 Check logs for existing connections | 🛡️ Add to threat intelligence blocklist</t>
        </is>
      </c>
      <c r="S1540" s="191" t="inlineStr">
        <is>
          <t>🚨 MALICIOUS: Google Cloud (us-central1) | 🌍 United States | Council Bluffs | 🏢 Google Cloud (us-central1) | ASN: AS396982 Google LLC | 🖥️ Hosting/DC | 🚨 AbuseIPDB: 100% malicious (Data Center/Web Hosting/Transit)</t>
        </is>
      </c>
      <c r="T1540" s="191" t="n">
        <v>0</v>
      </c>
      <c r="U1540" s="191" t="n">
        <v>0</v>
      </c>
      <c r="V1540" s="191" t="inlineStr">
        <is>
          <t>T1110:Brute Force | T1078:Valid Accounts</t>
        </is>
      </c>
      <c r="W1540" s="191" t="n">
        <v>1</v>
      </c>
      <c r="X1540" s="191" t="inlineStr">
        <is>
          <t>LOW (40%)</t>
        </is>
      </c>
      <c r="Y1540" s="191" t="inlineStr">
        <is>
          <t>NONE</t>
        </is>
      </c>
      <c r="Z1540" s="191" t="inlineStr">
        <is>
          <t>NONE</t>
        </is>
      </c>
      <c r="AA1540" s="191" t="inlineStr">
        <is>
          <t>NONE</t>
        </is>
      </c>
      <c r="AB1540" s="191" t="inlineStr">
        <is>
          <t>NONE</t>
        </is>
      </c>
      <c r="AC1540" s="191" t="n">
        <v>0</v>
      </c>
      <c r="AD1540" s="191" t="n"/>
    </row>
    <row r="1541">
      <c r="A1541" s="191" t="inlineStr">
        <is>
          <t>ABUSE_IP</t>
        </is>
      </c>
      <c r="B1541" s="191" t="inlineStr">
        <is>
          <t>296f8a27635f</t>
        </is>
      </c>
      <c r="C1541" s="191" t="inlineStr">
        <is>
          <t>Malicious IP: 135.119.112.78 | Country: US | ISP: Unknown | Confidence: 100% | Sources: ABUSEIPDB</t>
        </is>
      </c>
      <c r="D1541" s="191" t="n">
        <v>6.5</v>
      </c>
      <c r="E1541" s="191" t="inlineStr">
        <is>
          <t>MEDIUM</t>
        </is>
      </c>
      <c r="F1541" s="191" t="n">
        <v>3</v>
      </c>
      <c r="G1541" s="191" t="n">
        <v>1</v>
      </c>
      <c r="H1541" s="191" t="inlineStr">
        <is>
          <t>MEDIUM</t>
        </is>
      </c>
      <c r="I1541" s="191" t="n">
        <v>9.5</v>
      </c>
      <c r="J1541" s="191" t="inlineStr">
        <is>
          <t>NO</t>
        </is>
      </c>
      <c r="K1541" s="192" t="inlineStr">
        <is>
          <t>https://www.abuseipdb.com/check/135.119.112.78</t>
        </is>
      </c>
      <c r="L1541" s="191" t="inlineStr">
        <is>
          <t>2026-02-23T21:16:57+00:00</t>
        </is>
      </c>
      <c r="M1541" s="191" t="inlineStr">
        <is>
          <t>Block IP</t>
        </is>
      </c>
      <c r="N1541" s="192" t="inlineStr">
        <is>
          <t>https://www.abuseipdb.com/check/135.119.112.78</t>
        </is>
      </c>
      <c r="O1541" s="191" t="inlineStr">
        <is>
          <t>Block IP 135.119.112.78 at firewall | Monitor for new reports</t>
        </is>
      </c>
      <c r="P1541" s="191" t="inlineStr">
        <is>
          <t>Firewall/Network</t>
        </is>
      </c>
      <c r="Q1541" s="191" t="inlineStr">
        <is>
          <t>P4</t>
        </is>
      </c>
      <c r="R1541" s="191" t="inlineStr">
        <is>
          <t>🚫 Block IP at firewall immediately | 🔍 Check logs for existing connections | 🛡️ Add to threat intelligence blocklist</t>
        </is>
      </c>
      <c r="S1541" s="191" t="inlineStr">
        <is>
          <t>🚨 MALICIOUS: Microsoft Azure Cloud (centralus) | 🌍 United States | Des Moines | 🏢 Microsoft Azure Cloud (centralus) | ASN: AS8075 Microsoft Corporation | 🖥️ Hosting/DC | 🚨 AbuseIPDB: 100% malicious (Data Center/Web Hosting/Transit)</t>
        </is>
      </c>
      <c r="T1541" s="191" t="n">
        <v>0</v>
      </c>
      <c r="U1541" s="191" t="n">
        <v>0</v>
      </c>
      <c r="V1541" s="191" t="inlineStr">
        <is>
          <t>T1110:Brute Force | T1078:Valid Accounts</t>
        </is>
      </c>
      <c r="W1541" s="191" t="n">
        <v>1</v>
      </c>
      <c r="X1541" s="191" t="inlineStr">
        <is>
          <t>LOW (40%)</t>
        </is>
      </c>
      <c r="Y1541" s="191" t="inlineStr">
        <is>
          <t>NONE</t>
        </is>
      </c>
      <c r="Z1541" s="191" t="inlineStr">
        <is>
          <t>NONE</t>
        </is>
      </c>
      <c r="AA1541" s="191" t="inlineStr">
        <is>
          <t>NONE</t>
        </is>
      </c>
      <c r="AB1541" s="191" t="inlineStr">
        <is>
          <t>NONE</t>
        </is>
      </c>
      <c r="AC1541" s="191" t="n">
        <v>0</v>
      </c>
      <c r="AD1541" s="191" t="n"/>
    </row>
    <row r="1542">
      <c r="A1542" s="191" t="inlineStr">
        <is>
          <t>ABUSE_IP</t>
        </is>
      </c>
      <c r="B1542" s="191" t="inlineStr">
        <is>
          <t>e47117c03706</t>
        </is>
      </c>
      <c r="C1542" s="191" t="inlineStr">
        <is>
          <t>Malicious IP: 64.227.175.182 | Country: IN | ISP: Unknown | Confidence: 100% | Sources: ABUSEIPDB</t>
        </is>
      </c>
      <c r="D1542" s="191" t="n">
        <v>6.5</v>
      </c>
      <c r="E1542" s="191" t="inlineStr">
        <is>
          <t>MEDIUM</t>
        </is>
      </c>
      <c r="F1542" s="191" t="n">
        <v>3</v>
      </c>
      <c r="G1542" s="191" t="n">
        <v>1</v>
      </c>
      <c r="H1542" s="191" t="inlineStr">
        <is>
          <t>MEDIUM</t>
        </is>
      </c>
      <c r="I1542" s="191" t="n">
        <v>9.5</v>
      </c>
      <c r="J1542" s="191" t="inlineStr">
        <is>
          <t>NO</t>
        </is>
      </c>
      <c r="K1542" s="192" t="inlineStr">
        <is>
          <t>https://www.abuseipdb.com/check/64.227.175.182</t>
        </is>
      </c>
      <c r="L1542" s="191" t="inlineStr">
        <is>
          <t>2026-02-23T21:16:56+00:00</t>
        </is>
      </c>
      <c r="M1542" s="191" t="inlineStr">
        <is>
          <t>Block IP</t>
        </is>
      </c>
      <c r="N1542" s="192" t="inlineStr">
        <is>
          <t>https://www.abuseipdb.com/check/64.227.175.182</t>
        </is>
      </c>
      <c r="O1542" s="191" t="inlineStr">
        <is>
          <t>Block IP 64.227.175.182 at firewall | Monitor for new reports</t>
        </is>
      </c>
      <c r="P1542" s="191" t="inlineStr">
        <is>
          <t>Firewall/Network</t>
        </is>
      </c>
      <c r="Q1542" s="191" t="inlineStr">
        <is>
          <t>P4</t>
        </is>
      </c>
      <c r="R1542" s="191" t="inlineStr">
        <is>
          <t>🚫 Block IP at firewall immediately | 🔍 Check logs for existing connections | 🛡️ Add to threat intelligence blocklist</t>
        </is>
      </c>
      <c r="S1542" s="191" t="inlineStr">
        <is>
          <t>Skipped (20/run cap)</t>
        </is>
      </c>
      <c r="T1542" s="191" t="n">
        <v>0</v>
      </c>
      <c r="U1542" s="191" t="n">
        <v>0</v>
      </c>
      <c r="V1542" s="191" t="inlineStr">
        <is>
          <t>T1110:Brute Force | T1078:Valid Accounts</t>
        </is>
      </c>
      <c r="W1542" s="191" t="n">
        <v>1</v>
      </c>
      <c r="X1542" s="191" t="inlineStr">
        <is>
          <t>LOW (40%)</t>
        </is>
      </c>
      <c r="Y1542" s="191" t="inlineStr">
        <is>
          <t>NONE</t>
        </is>
      </c>
      <c r="Z1542" s="191" t="inlineStr">
        <is>
          <t>NONE</t>
        </is>
      </c>
      <c r="AA1542" s="191" t="inlineStr">
        <is>
          <t>NONE</t>
        </is>
      </c>
      <c r="AB1542" s="191" t="inlineStr">
        <is>
          <t>NONE</t>
        </is>
      </c>
      <c r="AC1542" s="191" t="n">
        <v>0</v>
      </c>
      <c r="AD1542" s="191" t="n"/>
    </row>
    <row r="1543">
      <c r="A1543" s="191" t="inlineStr">
        <is>
          <t>ABUSE_IP</t>
        </is>
      </c>
      <c r="B1543" s="191" t="inlineStr">
        <is>
          <t>f120902a51e5</t>
        </is>
      </c>
      <c r="C1543" s="191" t="inlineStr">
        <is>
          <t>Malicious IP: 182.95.230.142 | Country: IN | ISP: Unknown | Confidence: 100% | Sources: ABUSEIPDB</t>
        </is>
      </c>
      <c r="D1543" s="191" t="n">
        <v>6.5</v>
      </c>
      <c r="E1543" s="191" t="inlineStr">
        <is>
          <t>MEDIUM</t>
        </is>
      </c>
      <c r="F1543" s="191" t="n">
        <v>3</v>
      </c>
      <c r="G1543" s="191" t="n">
        <v>1</v>
      </c>
      <c r="H1543" s="191" t="inlineStr">
        <is>
          <t>MEDIUM</t>
        </is>
      </c>
      <c r="I1543" s="191" t="n">
        <v>9.5</v>
      </c>
      <c r="J1543" s="191" t="inlineStr">
        <is>
          <t>NO</t>
        </is>
      </c>
      <c r="K1543" s="192" t="inlineStr">
        <is>
          <t>https://www.abuseipdb.com/check/182.95.230.142</t>
        </is>
      </c>
      <c r="L1543" s="191" t="inlineStr">
        <is>
          <t>2026-02-23T21:16:56+00:00</t>
        </is>
      </c>
      <c r="M1543" s="191" t="inlineStr">
        <is>
          <t>Block IP</t>
        </is>
      </c>
      <c r="N1543" s="192" t="inlineStr">
        <is>
          <t>https://www.abuseipdb.com/check/182.95.230.142</t>
        </is>
      </c>
      <c r="O1543" s="191" t="inlineStr">
        <is>
          <t>Block IP 182.95.230.142 at firewall | Monitor for new reports</t>
        </is>
      </c>
      <c r="P1543" s="191" t="inlineStr">
        <is>
          <t>Firewall/Network</t>
        </is>
      </c>
      <c r="Q1543" s="191" t="inlineStr">
        <is>
          <t>P4</t>
        </is>
      </c>
      <c r="R1543" s="191" t="inlineStr">
        <is>
          <t>🚫 Block IP at firewall immediately | 🔍 Check logs for existing connections | 🛡️ Add to threat intelligence blocklist</t>
        </is>
      </c>
      <c r="S1543" s="191" t="inlineStr">
        <is>
          <t>🚨 MALICIOUS: Bharti Airtel Limited | 🌍 India | Bengaluru | 🏢 Bharti Airtel Limited | ASN: AS9498 BHARTI Airtel Ltd. | 🚨 AbuseIPDB: 100% malicious (Fixed Line ISP)</t>
        </is>
      </c>
      <c r="T1543" s="191" t="n">
        <v>0</v>
      </c>
      <c r="U1543" s="191" t="n">
        <v>0</v>
      </c>
      <c r="V1543" s="191" t="inlineStr">
        <is>
          <t>T1110:Brute Force | T1078:Valid Accounts</t>
        </is>
      </c>
      <c r="W1543" s="191" t="n">
        <v>1</v>
      </c>
      <c r="X1543" s="191" t="inlineStr">
        <is>
          <t>LOW (40%)</t>
        </is>
      </c>
      <c r="Y1543" s="191" t="inlineStr">
        <is>
          <t>NONE</t>
        </is>
      </c>
      <c r="Z1543" s="191" t="inlineStr">
        <is>
          <t>NONE</t>
        </is>
      </c>
      <c r="AA1543" s="191" t="inlineStr">
        <is>
          <t>NONE</t>
        </is>
      </c>
      <c r="AB1543" s="191" t="inlineStr">
        <is>
          <t>NONE</t>
        </is>
      </c>
      <c r="AC1543" s="191" t="n">
        <v>0</v>
      </c>
      <c r="AD1543" s="191" t="n"/>
    </row>
    <row r="1544">
      <c r="A1544" s="191" t="inlineStr">
        <is>
          <t>ABUSE_IP</t>
        </is>
      </c>
      <c r="B1544" s="191" t="inlineStr">
        <is>
          <t>cd3b7eafeb7b</t>
        </is>
      </c>
      <c r="C1544" s="191" t="inlineStr">
        <is>
          <t>Malicious IP: 2607:ff10:c8:594::6 | Country: US | ISP: Unknown | Confidence: 100% | Sources: ABUSEIPDB</t>
        </is>
      </c>
      <c r="D1544" s="191" t="n">
        <v>6.5</v>
      </c>
      <c r="E1544" s="191" t="inlineStr">
        <is>
          <t>MEDIUM</t>
        </is>
      </c>
      <c r="F1544" s="191" t="n">
        <v>3</v>
      </c>
      <c r="G1544" s="191" t="n">
        <v>1</v>
      </c>
      <c r="H1544" s="191" t="inlineStr">
        <is>
          <t>MEDIUM</t>
        </is>
      </c>
      <c r="I1544" s="191" t="n">
        <v>9.5</v>
      </c>
      <c r="J1544" s="191" t="inlineStr">
        <is>
          <t>NO</t>
        </is>
      </c>
      <c r="K1544" s="192" t="inlineStr">
        <is>
          <t>https://www.abuseipdb.com/check/2607:ff10:c8:594::6</t>
        </is>
      </c>
      <c r="L1544" s="191" t="inlineStr">
        <is>
          <t>2026-02-23T21:16:56+00:00</t>
        </is>
      </c>
      <c r="M1544" s="191" t="inlineStr">
        <is>
          <t>Block IP</t>
        </is>
      </c>
      <c r="N1544" s="192" t="inlineStr">
        <is>
          <t>https://www.abuseipdb.com/check/2607:ff10:c8:594::6</t>
        </is>
      </c>
      <c r="O1544" s="191" t="inlineStr">
        <is>
          <t>Block IP 2607:ff10:c8:594::6 at firewall | Monitor for new reports</t>
        </is>
      </c>
      <c r="P1544" s="191" t="inlineStr">
        <is>
          <t>Firewall/Network</t>
        </is>
      </c>
      <c r="Q1544" s="191" t="inlineStr">
        <is>
          <t>P4</t>
        </is>
      </c>
      <c r="R1544" s="191" t="inlineStr">
        <is>
          <t>🚫 Block IP at firewall immediately | 🔍 Check logs for existing connections | 🛡️ Add to threat intelligence blocklist</t>
        </is>
      </c>
      <c r="S1544" s="191" t="inlineStr">
        <is>
          <t>🚨 MALICIOUS: CariNet, Inc | 🌍 United States | Las Vegas | 🏢 CariNet, Inc | ASN: AS10439 CariNet, Inc. | 🖥️ Hosting/DC | 🚨 AbuseIPDB: 100% malicious (Data Center/Web Hosting/Transit)</t>
        </is>
      </c>
      <c r="T1544" s="191" t="n">
        <v>0</v>
      </c>
      <c r="U1544" s="191" t="n">
        <v>0</v>
      </c>
      <c r="V1544" s="191" t="inlineStr">
        <is>
          <t>T1110:Brute Force | T1078:Valid Accounts</t>
        </is>
      </c>
      <c r="W1544" s="191" t="n">
        <v>1</v>
      </c>
      <c r="X1544" s="191" t="inlineStr">
        <is>
          <t>LOW (40%)</t>
        </is>
      </c>
      <c r="Y1544" s="191" t="inlineStr">
        <is>
          <t>NONE</t>
        </is>
      </c>
      <c r="Z1544" s="191" t="inlineStr">
        <is>
          <t>NONE</t>
        </is>
      </c>
      <c r="AA1544" s="191" t="inlineStr">
        <is>
          <t>NONE</t>
        </is>
      </c>
      <c r="AB1544" s="191" t="inlineStr">
        <is>
          <t>NONE</t>
        </is>
      </c>
      <c r="AC1544" s="191" t="n">
        <v>0</v>
      </c>
      <c r="AD1544" s="191" t="n"/>
    </row>
    <row r="1545">
      <c r="A1545" s="191" t="inlineStr">
        <is>
          <t>ABUSE_IP</t>
        </is>
      </c>
      <c r="B1545" s="191" t="inlineStr">
        <is>
          <t>1070c10887df</t>
        </is>
      </c>
      <c r="C1545" s="191" t="inlineStr">
        <is>
          <t>Malicious IP: 217.154.106.153 | Country: ES | ISP: Unknown | Confidence: 100% | Sources: ABUSEIPDB</t>
        </is>
      </c>
      <c r="D1545" s="191" t="n">
        <v>6.5</v>
      </c>
      <c r="E1545" s="191" t="inlineStr">
        <is>
          <t>MEDIUM</t>
        </is>
      </c>
      <c r="F1545" s="191" t="n">
        <v>3</v>
      </c>
      <c r="G1545" s="191" t="n">
        <v>1</v>
      </c>
      <c r="H1545" s="191" t="inlineStr">
        <is>
          <t>MEDIUM</t>
        </is>
      </c>
      <c r="I1545" s="191" t="n">
        <v>9.5</v>
      </c>
      <c r="J1545" s="191" t="inlineStr">
        <is>
          <t>NO</t>
        </is>
      </c>
      <c r="K1545" s="192" t="inlineStr">
        <is>
          <t>https://www.abuseipdb.com/check/217.154.106.153</t>
        </is>
      </c>
      <c r="L1545" s="191" t="inlineStr">
        <is>
          <t>2026-02-23T21:16:56+00:00</t>
        </is>
      </c>
      <c r="M1545" s="191" t="inlineStr">
        <is>
          <t>Block IP</t>
        </is>
      </c>
      <c r="N1545" s="192" t="inlineStr">
        <is>
          <t>https://www.abuseipdb.com/check/217.154.106.153</t>
        </is>
      </c>
      <c r="O1545" s="191" t="inlineStr">
        <is>
          <t>Block IP 217.154.106.153 at firewall | Monitor for new reports</t>
        </is>
      </c>
      <c r="P1545" s="191" t="inlineStr">
        <is>
          <t>Firewall/Network</t>
        </is>
      </c>
      <c r="Q1545" s="191" t="inlineStr">
        <is>
          <t>P4</t>
        </is>
      </c>
      <c r="R1545" s="191" t="inlineStr">
        <is>
          <t>🚫 Block IP at firewall immediately | 🔍 Check logs for existing connections | 🛡️ Add to threat intelligence blocklist</t>
        </is>
      </c>
      <c r="S1545" s="191" t="inlineStr">
        <is>
          <t>🚨 MALICIOUS: IONOS SE | 🌍 Spain | Madrid | 🏢 IONOS SE | ASN: AS8560 IONOS SE | 🖥️ Hosting/DC | 🚨 AbuseIPDB: 100% malicious (Data Center/Web Hosting/Transit)</t>
        </is>
      </c>
      <c r="T1545" s="191" t="n">
        <v>0</v>
      </c>
      <c r="U1545" s="191" t="n">
        <v>0</v>
      </c>
      <c r="V1545" s="191" t="inlineStr">
        <is>
          <t>T1110:Brute Force | T1078:Valid Accounts</t>
        </is>
      </c>
      <c r="W1545" s="191" t="n">
        <v>1</v>
      </c>
      <c r="X1545" s="191" t="inlineStr">
        <is>
          <t>LOW (40%)</t>
        </is>
      </c>
      <c r="Y1545" s="191" t="inlineStr">
        <is>
          <t>NONE</t>
        </is>
      </c>
      <c r="Z1545" s="191" t="inlineStr">
        <is>
          <t>NONE</t>
        </is>
      </c>
      <c r="AA1545" s="191" t="inlineStr">
        <is>
          <t>NONE</t>
        </is>
      </c>
      <c r="AB1545" s="191" t="inlineStr">
        <is>
          <t>NONE</t>
        </is>
      </c>
      <c r="AC1545" s="191" t="n">
        <v>0</v>
      </c>
      <c r="AD1545" s="191" t="n"/>
    </row>
    <row r="1546">
      <c r="A1546" s="191" t="inlineStr">
        <is>
          <t>ABUSE_IP</t>
        </is>
      </c>
      <c r="B1546" s="191" t="inlineStr">
        <is>
          <t>4527636b0a3c</t>
        </is>
      </c>
      <c r="C1546" s="191" t="inlineStr">
        <is>
          <t>Malicious IP: 20.205.120.43 | Country: HK | ISP: Unknown | Confidence: 100% | Sources: ABUSEIPDB</t>
        </is>
      </c>
      <c r="D1546" s="191" t="n">
        <v>6.5</v>
      </c>
      <c r="E1546" s="191" t="inlineStr">
        <is>
          <t>MEDIUM</t>
        </is>
      </c>
      <c r="F1546" s="191" t="n">
        <v>3</v>
      </c>
      <c r="G1546" s="191" t="n">
        <v>1</v>
      </c>
      <c r="H1546" s="191" t="inlineStr">
        <is>
          <t>MEDIUM</t>
        </is>
      </c>
      <c r="I1546" s="191" t="n">
        <v>9.5</v>
      </c>
      <c r="J1546" s="191" t="inlineStr">
        <is>
          <t>NO</t>
        </is>
      </c>
      <c r="K1546" s="192" t="inlineStr">
        <is>
          <t>https://www.abuseipdb.com/check/20.205.120.43</t>
        </is>
      </c>
      <c r="L1546" s="191" t="inlineStr">
        <is>
          <t>2026-02-23T21:16:56+00:00</t>
        </is>
      </c>
      <c r="M1546" s="191" t="inlineStr">
        <is>
          <t>Block IP</t>
        </is>
      </c>
      <c r="N1546" s="192" t="inlineStr">
        <is>
          <t>https://www.abuseipdb.com/check/20.205.120.43</t>
        </is>
      </c>
      <c r="O1546" s="191" t="inlineStr">
        <is>
          <t>Block IP 20.205.120.43 at firewall | Monitor for new reports</t>
        </is>
      </c>
      <c r="P1546" s="191" t="inlineStr">
        <is>
          <t>Firewall/Network</t>
        </is>
      </c>
      <c r="Q1546" s="191" t="inlineStr">
        <is>
          <t>P4</t>
        </is>
      </c>
      <c r="R1546" s="191" t="inlineStr">
        <is>
          <t>🚫 Block IP at firewall immediately | 🔍 Check logs for existing connections | 🛡️ Add to threat intelligence blocklist</t>
        </is>
      </c>
      <c r="S1546" s="191" t="inlineStr">
        <is>
          <t>Skipped (20/run cap)</t>
        </is>
      </c>
      <c r="T1546" s="191" t="n">
        <v>0</v>
      </c>
      <c r="U1546" s="191" t="n">
        <v>0</v>
      </c>
      <c r="V1546" s="191" t="inlineStr">
        <is>
          <t>T1110:Brute Force | T1078:Valid Accounts</t>
        </is>
      </c>
      <c r="W1546" s="191" t="n">
        <v>1</v>
      </c>
      <c r="X1546" s="191" t="inlineStr">
        <is>
          <t>LOW (40%)</t>
        </is>
      </c>
      <c r="Y1546" s="191" t="inlineStr">
        <is>
          <t>NONE</t>
        </is>
      </c>
      <c r="Z1546" s="191" t="inlineStr">
        <is>
          <t>NONE</t>
        </is>
      </c>
      <c r="AA1546" s="191" t="inlineStr">
        <is>
          <t>NONE</t>
        </is>
      </c>
      <c r="AB1546" s="191" t="inlineStr">
        <is>
          <t>NONE</t>
        </is>
      </c>
      <c r="AC1546" s="191" t="n">
        <v>0</v>
      </c>
      <c r="AD1546" s="191" t="n"/>
    </row>
    <row r="1547">
      <c r="A1547" s="191" t="inlineStr">
        <is>
          <t>ABUSE_IP</t>
        </is>
      </c>
      <c r="B1547" s="191" t="inlineStr">
        <is>
          <t>33225c231572</t>
        </is>
      </c>
      <c r="C1547" s="191" t="inlineStr">
        <is>
          <t>Malicious IP: 20.189.202.58 | Country: JP | ISP: Unknown | Confidence: 100% | Sources: ABUSEIPDB</t>
        </is>
      </c>
      <c r="D1547" s="191" t="n">
        <v>6.5</v>
      </c>
      <c r="E1547" s="191" t="inlineStr">
        <is>
          <t>MEDIUM</t>
        </is>
      </c>
      <c r="F1547" s="191" t="n">
        <v>3</v>
      </c>
      <c r="G1547" s="191" t="n">
        <v>1</v>
      </c>
      <c r="H1547" s="191" t="inlineStr">
        <is>
          <t>MEDIUM</t>
        </is>
      </c>
      <c r="I1547" s="191" t="n">
        <v>9.5</v>
      </c>
      <c r="J1547" s="191" t="inlineStr">
        <is>
          <t>NO</t>
        </is>
      </c>
      <c r="K1547" s="192" t="inlineStr">
        <is>
          <t>https://www.abuseipdb.com/check/20.189.202.58</t>
        </is>
      </c>
      <c r="L1547" s="191" t="inlineStr">
        <is>
          <t>2026-02-23T21:16:56+00:00</t>
        </is>
      </c>
      <c r="M1547" s="191" t="inlineStr">
        <is>
          <t>Block IP</t>
        </is>
      </c>
      <c r="N1547" s="192" t="inlineStr">
        <is>
          <t>https://www.abuseipdb.com/check/20.189.202.58</t>
        </is>
      </c>
      <c r="O1547" s="191" t="inlineStr">
        <is>
          <t>Block IP 20.189.202.58 at firewall | Monitor for new reports</t>
        </is>
      </c>
      <c r="P1547" s="191" t="inlineStr">
        <is>
          <t>Firewall/Network</t>
        </is>
      </c>
      <c r="Q1547" s="191" t="inlineStr">
        <is>
          <t>P4</t>
        </is>
      </c>
      <c r="R1547" s="191" t="inlineStr">
        <is>
          <t>🚫 Block IP at firewall immediately | 🔍 Check logs for existing connections | 🛡️ Add to threat intelligence blocklist</t>
        </is>
      </c>
      <c r="S1547" s="191" t="inlineStr">
        <is>
          <t>🚨 MALICIOUS: Microsoft Azure Cloud (japanwest) | 🌍 Japan | Osaka | 🏢 Microsoft Azure Cloud (japanwest) | ASN: AS8075 Microsoft Corporation | 🖥️ Hosting/DC | 🚨 AbuseIPDB: 100% malicious (Data Center/Web Hosting/Transit)</t>
        </is>
      </c>
      <c r="T1547" s="191" t="n">
        <v>0</v>
      </c>
      <c r="U1547" s="191" t="n">
        <v>0</v>
      </c>
      <c r="V1547" s="191" t="inlineStr">
        <is>
          <t>T1110:Brute Force | T1078:Valid Accounts</t>
        </is>
      </c>
      <c r="W1547" s="191" t="n">
        <v>1</v>
      </c>
      <c r="X1547" s="191" t="inlineStr">
        <is>
          <t>LOW (40%)</t>
        </is>
      </c>
      <c r="Y1547" s="191" t="inlineStr">
        <is>
          <t>NONE</t>
        </is>
      </c>
      <c r="Z1547" s="191" t="inlineStr">
        <is>
          <t>NONE</t>
        </is>
      </c>
      <c r="AA1547" s="191" t="inlineStr">
        <is>
          <t>NONE</t>
        </is>
      </c>
      <c r="AB1547" s="191" t="inlineStr">
        <is>
          <t>NONE</t>
        </is>
      </c>
      <c r="AC1547" s="191" t="n">
        <v>0</v>
      </c>
      <c r="AD1547" s="191" t="n"/>
    </row>
    <row r="1548">
      <c r="A1548" s="191" t="inlineStr">
        <is>
          <t>ABUSE_IP</t>
        </is>
      </c>
      <c r="B1548" s="191" t="inlineStr">
        <is>
          <t>7345ec17372b</t>
        </is>
      </c>
      <c r="C1548" s="191" t="inlineStr">
        <is>
          <t>Malicious IP: 102.88.137.80 | Country: NG | ISP: Unknown | Confidence: 100% | Sources: ABUSEIPDB</t>
        </is>
      </c>
      <c r="D1548" s="191" t="n">
        <v>6.5</v>
      </c>
      <c r="E1548" s="191" t="inlineStr">
        <is>
          <t>MEDIUM</t>
        </is>
      </c>
      <c r="F1548" s="191" t="n">
        <v>3</v>
      </c>
      <c r="G1548" s="191" t="n">
        <v>1</v>
      </c>
      <c r="H1548" s="191" t="inlineStr">
        <is>
          <t>MEDIUM</t>
        </is>
      </c>
      <c r="I1548" s="191" t="n">
        <v>9.5</v>
      </c>
      <c r="J1548" s="191" t="inlineStr">
        <is>
          <t>NO</t>
        </is>
      </c>
      <c r="K1548" s="192" t="inlineStr">
        <is>
          <t>https://www.abuseipdb.com/check/102.88.137.80</t>
        </is>
      </c>
      <c r="L1548" s="191" t="inlineStr">
        <is>
          <t>2026-02-23T21:16:55+00:00</t>
        </is>
      </c>
      <c r="M1548" s="191" t="inlineStr">
        <is>
          <t>Block IP</t>
        </is>
      </c>
      <c r="N1548" s="192" t="inlineStr">
        <is>
          <t>https://www.abuseipdb.com/check/102.88.137.80</t>
        </is>
      </c>
      <c r="O1548" s="191" t="inlineStr">
        <is>
          <t>Block IP 102.88.137.80 at firewall | Monitor for new reports</t>
        </is>
      </c>
      <c r="P1548" s="191" t="inlineStr">
        <is>
          <t>Firewall/Network</t>
        </is>
      </c>
      <c r="Q1548" s="191" t="inlineStr">
        <is>
          <t>P4</t>
        </is>
      </c>
      <c r="R1548" s="191" t="inlineStr">
        <is>
          <t>🚫 Block IP at firewall immediately | 🔍 Check logs for existing connections | 🛡️ Add to threat intelligence blocklist</t>
        </is>
      </c>
      <c r="S1548" s="191" t="inlineStr">
        <is>
          <t>🚨 MALICIOUS: MTN Nigeria | 🌍 Nigeria | Lagos | 🏢 MTN Nigeria | ASN: AS29465 MTN NIGERIA Communication limited | 🖥️ Hosting/DC | 🚨 AbuseIPDB: 100% malicious (Fixed Line ISP)</t>
        </is>
      </c>
      <c r="T1548" s="191" t="n">
        <v>0</v>
      </c>
      <c r="U1548" s="191" t="n">
        <v>0</v>
      </c>
      <c r="V1548" s="191" t="inlineStr">
        <is>
          <t>T1110:Brute Force | T1078:Valid Accounts</t>
        </is>
      </c>
      <c r="W1548" s="191" t="n">
        <v>1</v>
      </c>
      <c r="X1548" s="191" t="inlineStr">
        <is>
          <t>LOW (40%)</t>
        </is>
      </c>
      <c r="Y1548" s="191" t="inlineStr">
        <is>
          <t>NONE</t>
        </is>
      </c>
      <c r="Z1548" s="191" t="inlineStr">
        <is>
          <t>NONE</t>
        </is>
      </c>
      <c r="AA1548" s="191" t="inlineStr">
        <is>
          <t>NONE</t>
        </is>
      </c>
      <c r="AB1548" s="191" t="inlineStr">
        <is>
          <t>NONE</t>
        </is>
      </c>
      <c r="AC1548" s="191" t="n">
        <v>0</v>
      </c>
      <c r="AD1548" s="191" t="n"/>
    </row>
    <row r="1549">
      <c r="A1549" s="189" t="inlineStr">
        <is>
          <t>CISA_ICS</t>
        </is>
      </c>
      <c r="B1549" s="189" t="inlineStr">
        <is>
          <t>Welker OdorEyes EcoS</t>
        </is>
      </c>
      <c r="C1549" s="189" t="inlineStr">
        <is>
          <t>ICS Advisory: Welker OdorEyes EcoSystem Pulse Bypass System with XL4 Controller</t>
        </is>
      </c>
      <c r="D1549" s="189" t="n">
        <v>7</v>
      </c>
      <c r="E1549" s="189" t="inlineStr">
        <is>
          <t>HIGH</t>
        </is>
      </c>
      <c r="F1549" s="189" t="n">
        <v>2</v>
      </c>
      <c r="G1549" s="189" t="n">
        <v>3</v>
      </c>
      <c r="H1549" s="189" t="inlineStr">
        <is>
          <t>HIGH</t>
        </is>
      </c>
      <c r="I1549" s="189" t="n">
        <v>13</v>
      </c>
      <c r="J1549" s="189" t="inlineStr">
        <is>
          <t>NO</t>
        </is>
      </c>
      <c r="K1549" s="190" t="inlineStr">
        <is>
          <t>https://www.cisa.gov/uscert/ics/advisories/Welker OdorEyes EcoS</t>
        </is>
      </c>
      <c r="L1549" s="189" t="inlineStr">
        <is>
          <t>2026-02-19</t>
        </is>
      </c>
      <c r="M1549" s="189" t="inlineStr">
        <is>
          <t>CHECK_VENDOR</t>
        </is>
      </c>
      <c r="N1549" s="190" t="inlineStr">
        <is>
          <t>https://www.cisa.gov/uscert/ics/advisories/Welker OdorEyes EcoS</t>
        </is>
      </c>
      <c r="O1549" s="189" t="inlineStr">
        <is>
          <t>Follow ICS best practices | Network segmentation | Disable unnecessary services</t>
        </is>
      </c>
      <c r="P1549" s="189" t="inlineStr">
        <is>
          <t>ICS/SCADA/OT</t>
        </is>
      </c>
      <c r="Q1549" s="189" t="inlineStr">
        <is>
          <t>P3</t>
        </is>
      </c>
      <c r="R1549" s="189" t="inlineStr">
        <is>
          <t>🔍 Investigate and apply appropriate controls</t>
        </is>
      </c>
      <c r="S1549" s="189" t="inlineStr">
        <is>
          <t>ICS advisory - no IP context</t>
        </is>
      </c>
      <c r="T1549" s="189" t="n">
        <v>0</v>
      </c>
      <c r="U1549" s="189" t="n">
        <v>0</v>
      </c>
      <c r="V1549" s="189" t="inlineStr">
        <is>
          <t>T0812:Default Credentials | T0866:Exploitation of Remote Services</t>
        </is>
      </c>
      <c r="W1549" s="189" t="n">
        <v>2</v>
      </c>
      <c r="X1549" s="189" t="inlineStr">
        <is>
          <t>CONFIRMED (82%)</t>
        </is>
      </c>
      <c r="Y1549" s="189" t="inlineStr">
        <is>
          <t>NONE</t>
        </is>
      </c>
      <c r="Z1549" s="189" t="inlineStr">
        <is>
          <t>NONE</t>
        </is>
      </c>
      <c r="AA1549" s="189" t="inlineStr">
        <is>
          <t>NONE</t>
        </is>
      </c>
      <c r="AB1549" s="189" t="inlineStr">
        <is>
          <t>NONE</t>
        </is>
      </c>
      <c r="AC1549" s="189" t="n">
        <v>0</v>
      </c>
      <c r="AD1549" s="189" t="n"/>
    </row>
    <row r="1550">
      <c r="A1550" s="189" t="inlineStr">
        <is>
          <t>CISA_ICS</t>
        </is>
      </c>
      <c r="B1550" s="189" t="inlineStr">
        <is>
          <t>Jinan USR IOT Techno</t>
        </is>
      </c>
      <c r="C1550" s="189" t="inlineStr">
        <is>
          <t>ICS Advisory: Jinan USR IOT Technology Limited (PUSR) USR-W610</t>
        </is>
      </c>
      <c r="D1550" s="189" t="n">
        <v>7</v>
      </c>
      <c r="E1550" s="189" t="inlineStr">
        <is>
          <t>HIGH</t>
        </is>
      </c>
      <c r="F1550" s="189" t="n">
        <v>2</v>
      </c>
      <c r="G1550" s="189" t="n">
        <v>3</v>
      </c>
      <c r="H1550" s="189" t="inlineStr">
        <is>
          <t>HIGH</t>
        </is>
      </c>
      <c r="I1550" s="189" t="n">
        <v>13</v>
      </c>
      <c r="J1550" s="189" t="inlineStr">
        <is>
          <t>NO</t>
        </is>
      </c>
      <c r="K1550" s="190" t="inlineStr">
        <is>
          <t>https://www.cisa.gov/uscert/ics/advisories/Jinan USR IOT Techno</t>
        </is>
      </c>
      <c r="L1550" s="189" t="inlineStr">
        <is>
          <t>2026-02-19</t>
        </is>
      </c>
      <c r="M1550" s="189" t="inlineStr">
        <is>
          <t>CHECK_VENDOR</t>
        </is>
      </c>
      <c r="N1550" s="190" t="inlineStr">
        <is>
          <t>https://www.cisa.gov/uscert/ics/advisories/Jinan USR IOT Techno</t>
        </is>
      </c>
      <c r="O1550" s="189" t="inlineStr">
        <is>
          <t>Follow ICS best practices | Network segmentation | Disable unnecessary services</t>
        </is>
      </c>
      <c r="P1550" s="189" t="inlineStr">
        <is>
          <t>ICS/SCADA/OT</t>
        </is>
      </c>
      <c r="Q1550" s="189" t="inlineStr">
        <is>
          <t>P3</t>
        </is>
      </c>
      <c r="R1550" s="189" t="inlineStr">
        <is>
          <t>🔍 Investigate and apply appropriate controls</t>
        </is>
      </c>
      <c r="S1550" s="189" t="inlineStr">
        <is>
          <t>ICS advisory - no IP context</t>
        </is>
      </c>
      <c r="T1550" s="189" t="n">
        <v>0</v>
      </c>
      <c r="U1550" s="189" t="n">
        <v>0</v>
      </c>
      <c r="V1550" s="189" t="inlineStr">
        <is>
          <t>T0812:Default Credentials | T0866:Exploitation of Remote Services</t>
        </is>
      </c>
      <c r="W1550" s="189" t="n">
        <v>2</v>
      </c>
      <c r="X1550" s="189" t="inlineStr">
        <is>
          <t>CONFIRMED (82%)</t>
        </is>
      </c>
      <c r="Y1550" s="189" t="inlineStr">
        <is>
          <t>NONE</t>
        </is>
      </c>
      <c r="Z1550" s="189" t="inlineStr">
        <is>
          <t>NONE</t>
        </is>
      </c>
      <c r="AA1550" s="189" t="inlineStr">
        <is>
          <t>NONE</t>
        </is>
      </c>
      <c r="AB1550" s="189" t="inlineStr">
        <is>
          <t>NONE</t>
        </is>
      </c>
      <c r="AC1550" s="189" t="n">
        <v>0</v>
      </c>
      <c r="AD1550" s="189" t="n"/>
    </row>
    <row r="1551">
      <c r="A1551" s="189" t="inlineStr">
        <is>
          <t>CISA_ICS</t>
        </is>
      </c>
      <c r="B1551" s="189" t="inlineStr">
        <is>
          <t>Valmet DNA Engineeri</t>
        </is>
      </c>
      <c r="C1551" s="189" t="inlineStr">
        <is>
          <t>ICS Advisory: Valmet DNA Engineering Web Tools</t>
        </is>
      </c>
      <c r="D1551" s="189" t="n">
        <v>7</v>
      </c>
      <c r="E1551" s="189" t="inlineStr">
        <is>
          <t>HIGH</t>
        </is>
      </c>
      <c r="F1551" s="189" t="n">
        <v>2</v>
      </c>
      <c r="G1551" s="189" t="n">
        <v>3</v>
      </c>
      <c r="H1551" s="189" t="inlineStr">
        <is>
          <t>HIGH</t>
        </is>
      </c>
      <c r="I1551" s="189" t="n">
        <v>13</v>
      </c>
      <c r="J1551" s="189" t="inlineStr">
        <is>
          <t>NO</t>
        </is>
      </c>
      <c r="K1551" s="190" t="inlineStr">
        <is>
          <t>https://www.cisa.gov/uscert/ics/advisories/Valmet DNA Engineeri</t>
        </is>
      </c>
      <c r="L1551" s="189" t="inlineStr">
        <is>
          <t>2026-02-19</t>
        </is>
      </c>
      <c r="M1551" s="189" t="inlineStr">
        <is>
          <t>CHECK_VENDOR</t>
        </is>
      </c>
      <c r="N1551" s="190" t="inlineStr">
        <is>
          <t>https://www.cisa.gov/uscert/ics/advisories/Valmet DNA Engineeri</t>
        </is>
      </c>
      <c r="O1551" s="189" t="inlineStr">
        <is>
          <t>Follow ICS best practices | Network segmentation | Disable unnecessary services</t>
        </is>
      </c>
      <c r="P1551" s="189" t="inlineStr">
        <is>
          <t>ICS/SCADA/OT</t>
        </is>
      </c>
      <c r="Q1551" s="189" t="inlineStr">
        <is>
          <t>P3</t>
        </is>
      </c>
      <c r="R1551" s="189" t="inlineStr">
        <is>
          <t>🔍 Investigate and apply appropriate controls</t>
        </is>
      </c>
      <c r="S1551" s="189" t="inlineStr">
        <is>
          <t>ICS advisory - no IP context</t>
        </is>
      </c>
      <c r="T1551" s="189" t="n">
        <v>0</v>
      </c>
      <c r="U1551" s="189" t="n">
        <v>0</v>
      </c>
      <c r="V1551" s="189" t="inlineStr">
        <is>
          <t>T0812:Default Credentials | T0866:Exploitation of Remote Services</t>
        </is>
      </c>
      <c r="W1551" s="189" t="n">
        <v>2</v>
      </c>
      <c r="X1551" s="189" t="inlineStr">
        <is>
          <t>CONFIRMED (82%)</t>
        </is>
      </c>
      <c r="Y1551" s="189" t="inlineStr">
        <is>
          <t>NONE</t>
        </is>
      </c>
      <c r="Z1551" s="189" t="inlineStr">
        <is>
          <t>NONE</t>
        </is>
      </c>
      <c r="AA1551" s="189" t="inlineStr">
        <is>
          <t>NONE</t>
        </is>
      </c>
      <c r="AB1551" s="189" t="inlineStr">
        <is>
          <t>NONE</t>
        </is>
      </c>
      <c r="AC1551" s="189" t="n">
        <v>0</v>
      </c>
      <c r="AD1551" s="189" t="n"/>
    </row>
    <row r="1552">
      <c r="A1552" s="189" t="inlineStr">
        <is>
          <t>CISA_ICS</t>
        </is>
      </c>
      <c r="B1552" s="189" t="inlineStr">
        <is>
          <t xml:space="preserve">EnOcean SmartServer </t>
        </is>
      </c>
      <c r="C1552" s="189" t="inlineStr">
        <is>
          <t>ICS Advisory: EnOcean SmartServer IoT</t>
        </is>
      </c>
      <c r="D1552" s="189" t="n">
        <v>7</v>
      </c>
      <c r="E1552" s="189" t="inlineStr">
        <is>
          <t>HIGH</t>
        </is>
      </c>
      <c r="F1552" s="189" t="n">
        <v>2</v>
      </c>
      <c r="G1552" s="189" t="n">
        <v>3</v>
      </c>
      <c r="H1552" s="189" t="inlineStr">
        <is>
          <t>HIGH</t>
        </is>
      </c>
      <c r="I1552" s="189" t="n">
        <v>13</v>
      </c>
      <c r="J1552" s="189" t="inlineStr">
        <is>
          <t>NO</t>
        </is>
      </c>
      <c r="K1552" s="190" t="inlineStr">
        <is>
          <t xml:space="preserve">https://www.cisa.gov/uscert/ics/advisories/EnOcean SmartServer </t>
        </is>
      </c>
      <c r="L1552" s="189" t="inlineStr">
        <is>
          <t>2026-02-19</t>
        </is>
      </c>
      <c r="M1552" s="189" t="inlineStr">
        <is>
          <t>CHECK_VENDOR</t>
        </is>
      </c>
      <c r="N1552" s="190" t="inlineStr">
        <is>
          <t xml:space="preserve">https://www.cisa.gov/uscert/ics/advisories/EnOcean SmartServer </t>
        </is>
      </c>
      <c r="O1552" s="189" t="inlineStr">
        <is>
          <t>Follow ICS best practices | Network segmentation | Disable unnecessary services</t>
        </is>
      </c>
      <c r="P1552" s="189" t="inlineStr">
        <is>
          <t>ICS/SCADA/OT</t>
        </is>
      </c>
      <c r="Q1552" s="189" t="inlineStr">
        <is>
          <t>P3</t>
        </is>
      </c>
      <c r="R1552" s="189" t="inlineStr">
        <is>
          <t>🔍 Investigate and apply appropriate controls</t>
        </is>
      </c>
      <c r="S1552" s="189" t="inlineStr">
        <is>
          <t>ICS advisory - no IP context</t>
        </is>
      </c>
      <c r="T1552" s="189" t="n">
        <v>0</v>
      </c>
      <c r="U1552" s="189" t="n">
        <v>0</v>
      </c>
      <c r="V1552" s="189" t="inlineStr">
        <is>
          <t>T0812:Default Credentials | T0866:Exploitation of Remote Services</t>
        </is>
      </c>
      <c r="W1552" s="189" t="n">
        <v>2</v>
      </c>
      <c r="X1552" s="189" t="inlineStr">
        <is>
          <t>CONFIRMED (82%)</t>
        </is>
      </c>
      <c r="Y1552" s="189" t="inlineStr">
        <is>
          <t>NONE</t>
        </is>
      </c>
      <c r="Z1552" s="189" t="inlineStr">
        <is>
          <t>NONE</t>
        </is>
      </c>
      <c r="AA1552" s="189" t="inlineStr">
        <is>
          <t>NONE</t>
        </is>
      </c>
      <c r="AB1552" s="189" t="inlineStr">
        <is>
          <t>NONE</t>
        </is>
      </c>
      <c r="AC1552" s="189" t="n">
        <v>0</v>
      </c>
      <c r="AD1552" s="189" t="n"/>
    </row>
    <row r="1553">
      <c r="A1553" s="189" t="inlineStr">
        <is>
          <t>CISA_ICS</t>
        </is>
      </c>
      <c r="B1553" s="189" t="inlineStr">
        <is>
          <t>Honeywell CCTV Produ</t>
        </is>
      </c>
      <c r="C1553" s="189" t="inlineStr">
        <is>
          <t>ICS Advisory: Honeywell CCTV Products</t>
        </is>
      </c>
      <c r="D1553" s="189" t="n">
        <v>7</v>
      </c>
      <c r="E1553" s="189" t="inlineStr">
        <is>
          <t>HIGH</t>
        </is>
      </c>
      <c r="F1553" s="189" t="n">
        <v>2</v>
      </c>
      <c r="G1553" s="189" t="n">
        <v>3</v>
      </c>
      <c r="H1553" s="189" t="inlineStr">
        <is>
          <t>HIGH</t>
        </is>
      </c>
      <c r="I1553" s="189" t="n">
        <v>13</v>
      </c>
      <c r="J1553" s="189" t="inlineStr">
        <is>
          <t>NO</t>
        </is>
      </c>
      <c r="K1553" s="190" t="inlineStr">
        <is>
          <t>https://www.cisa.gov/uscert/ics/advisories/Honeywell CCTV Produ</t>
        </is>
      </c>
      <c r="L1553" s="189" t="inlineStr">
        <is>
          <t>2026-02-17</t>
        </is>
      </c>
      <c r="M1553" s="189" t="inlineStr">
        <is>
          <t>CHECK_VENDOR</t>
        </is>
      </c>
      <c r="N1553" s="190" t="inlineStr">
        <is>
          <t>https://www.cisa.gov/uscert/ics/advisories/Honeywell CCTV Produ</t>
        </is>
      </c>
      <c r="O1553" s="189" t="inlineStr">
        <is>
          <t>Follow ICS best practices | Network segmentation | Disable unnecessary services</t>
        </is>
      </c>
      <c r="P1553" s="189" t="inlineStr">
        <is>
          <t>ICS/SCADA/OT</t>
        </is>
      </c>
      <c r="Q1553" s="189" t="inlineStr">
        <is>
          <t>P3</t>
        </is>
      </c>
      <c r="R1553" s="189" t="inlineStr">
        <is>
          <t>🔍 Investigate and apply appropriate controls</t>
        </is>
      </c>
      <c r="S1553" s="189" t="inlineStr">
        <is>
          <t>ICS advisory - no IP context</t>
        </is>
      </c>
      <c r="T1553" s="189" t="n">
        <v>0</v>
      </c>
      <c r="U1553" s="189" t="n">
        <v>0</v>
      </c>
      <c r="V1553" s="189" t="inlineStr">
        <is>
          <t>T0812:Default Credentials | T0866:Exploitation of Remote Services</t>
        </is>
      </c>
      <c r="W1553" s="189" t="n">
        <v>2</v>
      </c>
      <c r="X1553" s="189" t="inlineStr">
        <is>
          <t>CONFIRMED (82%)</t>
        </is>
      </c>
      <c r="Y1553" s="189" t="inlineStr">
        <is>
          <t>NONE</t>
        </is>
      </c>
      <c r="Z1553" s="189" t="inlineStr">
        <is>
          <t>NONE</t>
        </is>
      </c>
      <c r="AA1553" s="189" t="inlineStr">
        <is>
          <t>NONE</t>
        </is>
      </c>
      <c r="AB1553" s="189" t="inlineStr">
        <is>
          <t>NONE</t>
        </is>
      </c>
      <c r="AC1553" s="189" t="n">
        <v>0</v>
      </c>
      <c r="AD1553" s="189" t="n"/>
    </row>
    <row r="1554">
      <c r="A1554" s="189" t="inlineStr">
        <is>
          <t>CISA_ICS</t>
        </is>
      </c>
      <c r="B1554" s="189" t="inlineStr">
        <is>
          <t>GE Vernova Enervista</t>
        </is>
      </c>
      <c r="C1554" s="189" t="inlineStr">
        <is>
          <t>ICS Advisory: GE Vernova Enervista UR Setup</t>
        </is>
      </c>
      <c r="D1554" s="189" t="n">
        <v>7</v>
      </c>
      <c r="E1554" s="189" t="inlineStr">
        <is>
          <t>HIGH</t>
        </is>
      </c>
      <c r="F1554" s="189" t="n">
        <v>2</v>
      </c>
      <c r="G1554" s="189" t="n">
        <v>3</v>
      </c>
      <c r="H1554" s="189" t="inlineStr">
        <is>
          <t>HIGH</t>
        </is>
      </c>
      <c r="I1554" s="189" t="n">
        <v>13</v>
      </c>
      <c r="J1554" s="189" t="inlineStr">
        <is>
          <t>NO</t>
        </is>
      </c>
      <c r="K1554" s="190" t="inlineStr">
        <is>
          <t>https://www.cisa.gov/uscert/ics/advisories/GE Vernova Enervista</t>
        </is>
      </c>
      <c r="L1554" s="189" t="inlineStr">
        <is>
          <t>2026-02-17</t>
        </is>
      </c>
      <c r="M1554" s="189" t="inlineStr">
        <is>
          <t>CHECK_VENDOR</t>
        </is>
      </c>
      <c r="N1554" s="190" t="inlineStr">
        <is>
          <t>https://www.cisa.gov/uscert/ics/advisories/GE Vernova Enervista</t>
        </is>
      </c>
      <c r="O1554" s="189" t="inlineStr">
        <is>
          <t>Follow ICS best practices | Network segmentation | Disable unnecessary services</t>
        </is>
      </c>
      <c r="P1554" s="189" t="inlineStr">
        <is>
          <t>ICS/SCADA/OT</t>
        </is>
      </c>
      <c r="Q1554" s="189" t="inlineStr">
        <is>
          <t>P3</t>
        </is>
      </c>
      <c r="R1554" s="189" t="inlineStr">
        <is>
          <t>🔍 Investigate and apply appropriate controls</t>
        </is>
      </c>
      <c r="S1554" s="189" t="inlineStr">
        <is>
          <t>ICS advisory - no IP context</t>
        </is>
      </c>
      <c r="T1554" s="189" t="n">
        <v>0</v>
      </c>
      <c r="U1554" s="189" t="n">
        <v>0</v>
      </c>
      <c r="V1554" s="189" t="inlineStr">
        <is>
          <t>T0812:Default Credentials | T0866:Exploitation of Remote Services</t>
        </is>
      </c>
      <c r="W1554" s="189" t="n">
        <v>2</v>
      </c>
      <c r="X1554" s="189" t="inlineStr">
        <is>
          <t>CONFIRMED (82%)</t>
        </is>
      </c>
      <c r="Y1554" s="189" t="inlineStr">
        <is>
          <t>NONE</t>
        </is>
      </c>
      <c r="Z1554" s="189" t="inlineStr">
        <is>
          <t>NONE</t>
        </is>
      </c>
      <c r="AA1554" s="189" t="inlineStr">
        <is>
          <t>NONE</t>
        </is>
      </c>
      <c r="AB1554" s="189" t="inlineStr">
        <is>
          <t>NONE</t>
        </is>
      </c>
      <c r="AC1554" s="189" t="n">
        <v>0</v>
      </c>
      <c r="AD1554" s="189" t="n"/>
    </row>
    <row r="1555">
      <c r="A1555" s="189" t="inlineStr">
        <is>
          <t>CISA_ICS</t>
        </is>
      </c>
      <c r="B1555" s="189" t="inlineStr">
        <is>
          <t>Delta Electronics AS</t>
        </is>
      </c>
      <c r="C1555" s="189" t="inlineStr">
        <is>
          <t>ICS Advisory: Delta Electronics ASDA-Soft</t>
        </is>
      </c>
      <c r="D1555" s="189" t="n">
        <v>7</v>
      </c>
      <c r="E1555" s="189" t="inlineStr">
        <is>
          <t>HIGH</t>
        </is>
      </c>
      <c r="F1555" s="189" t="n">
        <v>2</v>
      </c>
      <c r="G1555" s="189" t="n">
        <v>3</v>
      </c>
      <c r="H1555" s="189" t="inlineStr">
        <is>
          <t>HIGH</t>
        </is>
      </c>
      <c r="I1555" s="189" t="n">
        <v>13</v>
      </c>
      <c r="J1555" s="189" t="inlineStr">
        <is>
          <t>NO</t>
        </is>
      </c>
      <c r="K1555" s="190" t="inlineStr">
        <is>
          <t>https://www.cisa.gov/uscert/ics/advisories/Delta Electronics AS</t>
        </is>
      </c>
      <c r="L1555" s="189" t="inlineStr">
        <is>
          <t>2026-02-17</t>
        </is>
      </c>
      <c r="M1555" s="189" t="inlineStr">
        <is>
          <t>CHECK_VENDOR</t>
        </is>
      </c>
      <c r="N1555" s="190" t="inlineStr">
        <is>
          <t>https://www.cisa.gov/uscert/ics/advisories/Delta Electronics AS</t>
        </is>
      </c>
      <c r="O1555" s="189" t="inlineStr">
        <is>
          <t>Follow ICS best practices | Network segmentation | Disable unnecessary services</t>
        </is>
      </c>
      <c r="P1555" s="189" t="inlineStr">
        <is>
          <t>ICS/SCADA/OT</t>
        </is>
      </c>
      <c r="Q1555" s="189" t="inlineStr">
        <is>
          <t>P3</t>
        </is>
      </c>
      <c r="R1555" s="189" t="inlineStr">
        <is>
          <t>🔍 Investigate and apply appropriate controls</t>
        </is>
      </c>
      <c r="S1555" s="189" t="inlineStr">
        <is>
          <t>ICS advisory - no IP context</t>
        </is>
      </c>
      <c r="T1555" s="189" t="n">
        <v>0</v>
      </c>
      <c r="U1555" s="189" t="n">
        <v>0</v>
      </c>
      <c r="V1555" s="189" t="inlineStr">
        <is>
          <t>T0812:Default Credentials | T0866:Exploitation of Remote Services</t>
        </is>
      </c>
      <c r="W1555" s="189" t="n">
        <v>2</v>
      </c>
      <c r="X1555" s="189" t="inlineStr">
        <is>
          <t>CONFIRMED (82%)</t>
        </is>
      </c>
      <c r="Y1555" s="189" t="inlineStr">
        <is>
          <t>NONE</t>
        </is>
      </c>
      <c r="Z1555" s="189" t="inlineStr">
        <is>
          <t>NONE</t>
        </is>
      </c>
      <c r="AA1555" s="189" t="inlineStr">
        <is>
          <t>NONE</t>
        </is>
      </c>
      <c r="AB1555" s="189" t="inlineStr">
        <is>
          <t>NONE</t>
        </is>
      </c>
      <c r="AC1555" s="189" t="n">
        <v>0</v>
      </c>
      <c r="AD1555" s="189" t="n"/>
    </row>
    <row r="1556">
      <c r="A1556" s="189" t="inlineStr">
        <is>
          <t>CISA_ICS</t>
        </is>
      </c>
      <c r="B1556" s="189" t="inlineStr">
        <is>
          <t>Siemens Simcenter Fe</t>
        </is>
      </c>
      <c r="C1556" s="189" t="inlineStr">
        <is>
          <t>ICS Advisory: Siemens Simcenter Femap and Nastran</t>
        </is>
      </c>
      <c r="D1556" s="189" t="n">
        <v>7</v>
      </c>
      <c r="E1556" s="189" t="inlineStr">
        <is>
          <t>HIGH</t>
        </is>
      </c>
      <c r="F1556" s="189" t="n">
        <v>2</v>
      </c>
      <c r="G1556" s="189" t="n">
        <v>3</v>
      </c>
      <c r="H1556" s="189" t="inlineStr">
        <is>
          <t>HIGH</t>
        </is>
      </c>
      <c r="I1556" s="189" t="n">
        <v>13</v>
      </c>
      <c r="J1556" s="189" t="inlineStr">
        <is>
          <t>NO</t>
        </is>
      </c>
      <c r="K1556" s="190" t="inlineStr">
        <is>
          <t>https://www.cisa.gov/uscert/ics/advisories/Siemens Simcenter Fe</t>
        </is>
      </c>
      <c r="L1556" s="189" t="inlineStr">
        <is>
          <t>2026-02-17</t>
        </is>
      </c>
      <c r="M1556" s="189" t="inlineStr">
        <is>
          <t>CHECK_VENDOR</t>
        </is>
      </c>
      <c r="N1556" s="190" t="inlineStr">
        <is>
          <t>https://www.cisa.gov/uscert/ics/advisories/Siemens Simcenter Fe</t>
        </is>
      </c>
      <c r="O1556" s="189" t="inlineStr">
        <is>
          <t>Follow ICS best practices | Network segmentation | Disable unnecessary services</t>
        </is>
      </c>
      <c r="P1556" s="189" t="inlineStr">
        <is>
          <t>ICS/SCADA/OT</t>
        </is>
      </c>
      <c r="Q1556" s="189" t="inlineStr">
        <is>
          <t>P3</t>
        </is>
      </c>
      <c r="R1556" s="189" t="inlineStr">
        <is>
          <t>🔍 Investigate and apply appropriate controls</t>
        </is>
      </c>
      <c r="S1556" s="189" t="inlineStr">
        <is>
          <t>ICS advisory - no IP context</t>
        </is>
      </c>
      <c r="T1556" s="189" t="n">
        <v>0</v>
      </c>
      <c r="U1556" s="189" t="n">
        <v>0</v>
      </c>
      <c r="V1556" s="189" t="inlineStr">
        <is>
          <t>T0812:Default Credentials | T0866:Exploitation of Remote Services</t>
        </is>
      </c>
      <c r="W1556" s="189" t="n">
        <v>2</v>
      </c>
      <c r="X1556" s="189" t="inlineStr">
        <is>
          <t>CONFIRMED (82%)</t>
        </is>
      </c>
      <c r="Y1556" s="189" t="inlineStr">
        <is>
          <t>NONE</t>
        </is>
      </c>
      <c r="Z1556" s="189" t="inlineStr">
        <is>
          <t>NONE</t>
        </is>
      </c>
      <c r="AA1556" s="189" t="inlineStr">
        <is>
          <t>NONE</t>
        </is>
      </c>
      <c r="AB1556" s="189" t="inlineStr">
        <is>
          <t>NONE</t>
        </is>
      </c>
      <c r="AC1556" s="189" t="n">
        <v>0</v>
      </c>
      <c r="AD1556" s="189" t="n"/>
    </row>
    <row r="1557">
      <c r="A1557" s="189" t="inlineStr">
        <is>
          <t>CISA_ICS</t>
        </is>
      </c>
      <c r="B1557" s="189" t="inlineStr">
        <is>
          <t>Airleader Master</t>
        </is>
      </c>
      <c r="C1557" s="189" t="inlineStr">
        <is>
          <t>ICS Advisory: Airleader Master</t>
        </is>
      </c>
      <c r="D1557" s="189" t="n">
        <v>7</v>
      </c>
      <c r="E1557" s="189" t="inlineStr">
        <is>
          <t>HIGH</t>
        </is>
      </c>
      <c r="F1557" s="189" t="n">
        <v>2</v>
      </c>
      <c r="G1557" s="189" t="n">
        <v>3</v>
      </c>
      <c r="H1557" s="189" t="inlineStr">
        <is>
          <t>HIGH</t>
        </is>
      </c>
      <c r="I1557" s="189" t="n">
        <v>13</v>
      </c>
      <c r="J1557" s="189" t="inlineStr">
        <is>
          <t>NO</t>
        </is>
      </c>
      <c r="K1557" s="190" t="inlineStr">
        <is>
          <t>https://www.cisa.gov/uscert/ics/advisories/Airleader Master</t>
        </is>
      </c>
      <c r="L1557" s="189" t="inlineStr">
        <is>
          <t>2026-02-12</t>
        </is>
      </c>
      <c r="M1557" s="189" t="inlineStr">
        <is>
          <t>CHECK_VENDOR</t>
        </is>
      </c>
      <c r="N1557" s="190" t="inlineStr">
        <is>
          <t>https://www.cisa.gov/uscert/ics/advisories/Airleader Master</t>
        </is>
      </c>
      <c r="O1557" s="189" t="inlineStr">
        <is>
          <t>Follow ICS best practices | Network segmentation | Disable unnecessary services</t>
        </is>
      </c>
      <c r="P1557" s="189" t="inlineStr">
        <is>
          <t>ICS/SCADA/OT</t>
        </is>
      </c>
      <c r="Q1557" s="189" t="inlineStr">
        <is>
          <t>P3</t>
        </is>
      </c>
      <c r="R1557" s="189" t="inlineStr">
        <is>
          <t>🔍 Investigate and apply appropriate controls</t>
        </is>
      </c>
      <c r="S1557" s="189" t="inlineStr">
        <is>
          <t>ICS advisory - no IP context</t>
        </is>
      </c>
      <c r="T1557" s="189" t="n">
        <v>0</v>
      </c>
      <c r="U1557" s="189" t="n">
        <v>0</v>
      </c>
      <c r="V1557" s="189" t="inlineStr">
        <is>
          <t>T0812:Default Credentials | T0866:Exploitation of Remote Services</t>
        </is>
      </c>
      <c r="W1557" s="189" t="n">
        <v>2</v>
      </c>
      <c r="X1557" s="189" t="inlineStr">
        <is>
          <t>CONFIRMED (82%)</t>
        </is>
      </c>
      <c r="Y1557" s="189" t="inlineStr">
        <is>
          <t>NONE</t>
        </is>
      </c>
      <c r="Z1557" s="189" t="inlineStr">
        <is>
          <t>NONE</t>
        </is>
      </c>
      <c r="AA1557" s="189" t="inlineStr">
        <is>
          <t>NONE</t>
        </is>
      </c>
      <c r="AB1557" s="189" t="inlineStr">
        <is>
          <t>NONE</t>
        </is>
      </c>
      <c r="AC1557" s="189" t="n">
        <v>0</v>
      </c>
      <c r="AD1557" s="189" t="n"/>
    </row>
    <row r="1558">
      <c r="A1558" s="189" t="inlineStr">
        <is>
          <t>CISA_ICS</t>
        </is>
      </c>
      <c r="B1558" s="189" t="inlineStr">
        <is>
          <t>Hitachi Energy SuprO</t>
        </is>
      </c>
      <c r="C1558" s="189" t="inlineStr">
        <is>
          <t>ICS Advisory: Hitachi Energy SuprOS</t>
        </is>
      </c>
      <c r="D1558" s="189" t="n">
        <v>7</v>
      </c>
      <c r="E1558" s="189" t="inlineStr">
        <is>
          <t>HIGH</t>
        </is>
      </c>
      <c r="F1558" s="189" t="n">
        <v>2</v>
      </c>
      <c r="G1558" s="189" t="n">
        <v>3</v>
      </c>
      <c r="H1558" s="189" t="inlineStr">
        <is>
          <t>HIGH</t>
        </is>
      </c>
      <c r="I1558" s="189" t="n">
        <v>13</v>
      </c>
      <c r="J1558" s="189" t="inlineStr">
        <is>
          <t>NO</t>
        </is>
      </c>
      <c r="K1558" s="190" t="inlineStr">
        <is>
          <t>https://www.cisa.gov/uscert/ics/advisories/Hitachi Energy SuprO</t>
        </is>
      </c>
      <c r="L1558" s="189" t="inlineStr">
        <is>
          <t>2026-02-12</t>
        </is>
      </c>
      <c r="M1558" s="189" t="inlineStr">
        <is>
          <t>CHECK_VENDOR</t>
        </is>
      </c>
      <c r="N1558" s="190" t="inlineStr">
        <is>
          <t>https://www.cisa.gov/uscert/ics/advisories/Hitachi Energy SuprO</t>
        </is>
      </c>
      <c r="O1558" s="189" t="inlineStr">
        <is>
          <t>Follow ICS best practices | Network segmentation | Disable unnecessary services</t>
        </is>
      </c>
      <c r="P1558" s="189" t="inlineStr">
        <is>
          <t>ICS/SCADA/OT</t>
        </is>
      </c>
      <c r="Q1558" s="189" t="inlineStr">
        <is>
          <t>P3</t>
        </is>
      </c>
      <c r="R1558" s="189" t="inlineStr">
        <is>
          <t>🔍 Investigate and apply appropriate controls</t>
        </is>
      </c>
      <c r="S1558" s="189" t="inlineStr">
        <is>
          <t>ICS advisory - no IP context</t>
        </is>
      </c>
      <c r="T1558" s="189" t="n">
        <v>0</v>
      </c>
      <c r="U1558" s="189" t="n">
        <v>0</v>
      </c>
      <c r="V1558" s="189" t="inlineStr">
        <is>
          <t>T0812:Default Credentials | T0866:Exploitation of Remote Services</t>
        </is>
      </c>
      <c r="W1558" s="189" t="n">
        <v>2</v>
      </c>
      <c r="X1558" s="189" t="inlineStr">
        <is>
          <t>CONFIRMED (82%)</t>
        </is>
      </c>
      <c r="Y1558" s="189" t="inlineStr">
        <is>
          <t>NONE</t>
        </is>
      </c>
      <c r="Z1558" s="189" t="inlineStr">
        <is>
          <t>NONE</t>
        </is>
      </c>
      <c r="AA1558" s="189" t="inlineStr">
        <is>
          <t>NONE</t>
        </is>
      </c>
      <c r="AB1558" s="189" t="inlineStr">
        <is>
          <t>NONE</t>
        </is>
      </c>
      <c r="AC1558" s="189" t="n">
        <v>0</v>
      </c>
      <c r="AD1558" s="189" t="n"/>
    </row>
    <row r="1559">
      <c r="A1559" s="189" t="inlineStr">
        <is>
          <t>FEODO_C2</t>
        </is>
      </c>
      <c r="B1559" s="189" t="inlineStr">
        <is>
          <t>dd4f0099a454</t>
        </is>
      </c>
      <c r="C1559" s="189" t="inlineStr">
        <is>
          <t>Botnet C2 [Emotet]: 162.243.103.246:8080 | Country: US | Last online: 2026-02-06 | Also in: FEODO</t>
        </is>
      </c>
      <c r="D1559" s="189" t="n">
        <v>8</v>
      </c>
      <c r="E1559" s="189" t="inlineStr">
        <is>
          <t>HIGH</t>
        </is>
      </c>
      <c r="F1559" s="189" t="n">
        <v>3</v>
      </c>
      <c r="G1559" s="189" t="n">
        <v>3</v>
      </c>
      <c r="H1559" s="189" t="inlineStr">
        <is>
          <t>CRITICAL</t>
        </is>
      </c>
      <c r="I1559" s="189" t="n">
        <v>17</v>
      </c>
      <c r="J1559" s="189" t="inlineStr">
        <is>
          <t>NO</t>
        </is>
      </c>
      <c r="K1559" s="190" t="inlineStr">
        <is>
          <t>https://feodotracker.abuse.ch/</t>
        </is>
      </c>
      <c r="L1559" s="189" t="inlineStr">
        <is>
          <t>2026-02-06</t>
        </is>
      </c>
      <c r="M1559" s="189" t="inlineStr">
        <is>
          <t>Block C2 immediately</t>
        </is>
      </c>
      <c r="N1559" s="190" t="inlineStr">
        <is>
          <t>https://feodotracker.abuse.ch/browse.php?search=162.243.103.246</t>
        </is>
      </c>
      <c r="O1559" s="189" t="inlineStr">
        <is>
          <t>Block C2 IP 162.243.103.246:8080 immediately | Hunt for infected hosts</t>
        </is>
      </c>
      <c r="P1559" s="189" t="inlineStr">
        <is>
          <t>Network/Endpoints</t>
        </is>
      </c>
      <c r="Q1559" s="189" t="inlineStr">
        <is>
          <t>P1</t>
        </is>
      </c>
      <c r="R1559" s="189" t="inlineStr">
        <is>
          <t>🚫 Block IP at firewall immediately | 🔍 Check logs for existing connections | 🛡️ Add to threat intelligence blocklist</t>
        </is>
      </c>
      <c r="S1559" s="189" t="inlineStr">
        <is>
          <t>Skipped (20/run cap)</t>
        </is>
      </c>
      <c r="T1559" s="189" t="n">
        <v>0</v>
      </c>
      <c r="U1559" s="189" t="n">
        <v>0</v>
      </c>
      <c r="V1559" s="189" t="inlineStr">
        <is>
          <t>T1071:Application Layer Protocol | T1041:Exfiltration Over C2 Channel | T1486:Data Encrypted for Impact</t>
        </is>
      </c>
      <c r="W1559" s="189" t="n">
        <v>1</v>
      </c>
      <c r="X1559" s="189" t="inlineStr">
        <is>
          <t>HIGH (70%)</t>
        </is>
      </c>
      <c r="Y1559" s="189" t="inlineStr">
        <is>
          <t>NONE</t>
        </is>
      </c>
      <c r="Z1559" s="189" t="inlineStr">
        <is>
          <t>NONE</t>
        </is>
      </c>
      <c r="AA1559" s="189" t="inlineStr">
        <is>
          <t>NONE</t>
        </is>
      </c>
      <c r="AB1559" s="189" t="inlineStr">
        <is>
          <t>NONE</t>
        </is>
      </c>
      <c r="AC1559" s="189" t="n">
        <v>0</v>
      </c>
      <c r="AD1559" s="189" t="n"/>
    </row>
    <row r="1560">
      <c r="A1560" s="189" t="inlineStr">
        <is>
          <t>FEODO_C2</t>
        </is>
      </c>
      <c r="B1560" s="189" t="inlineStr">
        <is>
          <t>3e7bffdfcbae</t>
        </is>
      </c>
      <c r="C1560" s="189" t="inlineStr">
        <is>
          <t>Botnet C2 [QakBot]: 178.62.3.223:443 | Country: GB | Last online: 2026-02-18 | Also in: FEODO</t>
        </is>
      </c>
      <c r="D1560" s="189" t="n">
        <v>8</v>
      </c>
      <c r="E1560" s="189" t="inlineStr">
        <is>
          <t>HIGH</t>
        </is>
      </c>
      <c r="F1560" s="189" t="n">
        <v>3</v>
      </c>
      <c r="G1560" s="189" t="n">
        <v>3</v>
      </c>
      <c r="H1560" s="189" t="inlineStr">
        <is>
          <t>CRITICAL</t>
        </is>
      </c>
      <c r="I1560" s="189" t="n">
        <v>17</v>
      </c>
      <c r="J1560" s="189" t="inlineStr">
        <is>
          <t>NO</t>
        </is>
      </c>
      <c r="K1560" s="190" t="inlineStr">
        <is>
          <t>https://feodotracker.abuse.ch/</t>
        </is>
      </c>
      <c r="L1560" s="189" t="inlineStr">
        <is>
          <t>2026-02-18</t>
        </is>
      </c>
      <c r="M1560" s="189" t="inlineStr">
        <is>
          <t>Block C2 immediately</t>
        </is>
      </c>
      <c r="N1560" s="190" t="inlineStr">
        <is>
          <t>https://feodotracker.abuse.ch/browse.php?search=178.62.3.223</t>
        </is>
      </c>
      <c r="O1560" s="189" t="inlineStr">
        <is>
          <t>Block C2 IP 178.62.3.223:443 immediately | Hunt for infected hosts</t>
        </is>
      </c>
      <c r="P1560" s="189" t="inlineStr">
        <is>
          <t>Network/Endpoints</t>
        </is>
      </c>
      <c r="Q1560" s="189" t="inlineStr">
        <is>
          <t>P1</t>
        </is>
      </c>
      <c r="R1560" s="189" t="inlineStr">
        <is>
          <t>🚫 Block IP at firewall immediately | 🔍 Check logs for existing connections | 🛡️ Add to threat intelligence blocklist</t>
        </is>
      </c>
      <c r="S1560" s="189" t="inlineStr">
        <is>
          <t>🖥️ HOSTING/DC: Digital Ocean | 🌍 United Kingdom | Slough | 🏢 Digital Ocean | ASN: AS14061 DigitalOcean, LLC | 🖥️ Hosting/DC</t>
        </is>
      </c>
      <c r="T1560" s="189" t="n">
        <v>0</v>
      </c>
      <c r="U1560" s="189" t="n">
        <v>0</v>
      </c>
      <c r="V1560" s="189" t="inlineStr">
        <is>
          <t>T1071:Application Layer Protocol | T1041:Exfiltration Over C2 Channel | T1486:Data Encrypted for Impact</t>
        </is>
      </c>
      <c r="W1560" s="189" t="n">
        <v>1</v>
      </c>
      <c r="X1560" s="189" t="inlineStr">
        <is>
          <t>HIGH (70%)</t>
        </is>
      </c>
      <c r="Y1560" s="189" t="inlineStr">
        <is>
          <t>NONE</t>
        </is>
      </c>
      <c r="Z1560" s="189" t="inlineStr">
        <is>
          <t>NONE</t>
        </is>
      </c>
      <c r="AA1560" s="189" t="inlineStr">
        <is>
          <t>NONE</t>
        </is>
      </c>
      <c r="AB1560" s="189" t="inlineStr">
        <is>
          <t>NONE</t>
        </is>
      </c>
      <c r="AC1560" s="189" t="n">
        <v>0</v>
      </c>
      <c r="AD1560" s="189" t="n"/>
    </row>
    <row r="1561">
      <c r="A1561" s="191" t="inlineStr">
        <is>
          <t>FIREHOL_THREAT</t>
        </is>
      </c>
      <c r="B1561" s="191" t="inlineStr">
        <is>
          <t>41744fea4be9</t>
        </is>
      </c>
      <c r="C1561" s="191" t="inlineStr">
        <is>
          <t>DROP List CIDR: 0.0.0.0/8 | FireHOL L1 threat IP/CIDR | ASN: FireHOL-L1</t>
        </is>
      </c>
      <c r="D1561" s="191" t="n">
        <v>6</v>
      </c>
      <c r="E1561" s="191" t="inlineStr">
        <is>
          <t>MEDIUM</t>
        </is>
      </c>
      <c r="F1561" s="191" t="n">
        <v>2</v>
      </c>
      <c r="G1561" s="191" t="n">
        <v>2</v>
      </c>
      <c r="H1561" s="191" t="inlineStr">
        <is>
          <t>MEDIUM</t>
        </is>
      </c>
      <c r="I1561" s="191" t="n">
        <v>10</v>
      </c>
      <c r="J1561" s="191" t="inlineStr">
        <is>
          <t>NO</t>
        </is>
      </c>
      <c r="K1561" s="192" t="inlineStr">
        <is>
          <t>https://www.spamhaus.org/drop/</t>
        </is>
      </c>
      <c r="L1561" s="191" t="inlineStr">
        <is>
          <t>2026-02-23 23:48</t>
        </is>
      </c>
      <c r="M1561" s="191" t="inlineStr">
        <is>
          <t>Block CIDR</t>
        </is>
      </c>
      <c r="N1561" s="192" t="inlineStr">
        <is>
          <t>https://www.spamhaus.org/drop/</t>
        </is>
      </c>
      <c r="O1561" s="191" t="inlineStr">
        <is>
          <t>Block CIDR 0.0.0.0/8 at firewall</t>
        </is>
      </c>
      <c r="P1561" s="191" t="inlineStr">
        <is>
          <t>Firewall/Email</t>
        </is>
      </c>
      <c r="Q1561" s="191" t="inlineStr">
        <is>
          <t>P4</t>
        </is>
      </c>
      <c r="R1561" s="191" t="inlineStr">
        <is>
          <t>🔍 Investigate and apply appropriate controls</t>
        </is>
      </c>
      <c r="S1561" s="191" t="inlineStr">
        <is>
          <t>Spamhaus - CIDR range</t>
        </is>
      </c>
      <c r="T1561" s="191" t="n">
        <v>0</v>
      </c>
      <c r="U1561" s="191" t="n">
        <v>0</v>
      </c>
      <c r="V1561" s="191" t="inlineStr">
        <is>
          <t>T1566:Phishing | T1078:Valid Accounts</t>
        </is>
      </c>
      <c r="W1561" s="191" t="n">
        <v>1</v>
      </c>
      <c r="X1561" s="191" t="inlineStr">
        <is>
          <t>LOW (40%)</t>
        </is>
      </c>
      <c r="Y1561" s="191" t="inlineStr">
        <is>
          <t>NONE</t>
        </is>
      </c>
      <c r="Z1561" s="191" t="inlineStr">
        <is>
          <t>NONE</t>
        </is>
      </c>
      <c r="AA1561" s="191" t="inlineStr">
        <is>
          <t>NONE</t>
        </is>
      </c>
      <c r="AB1561" s="191" t="inlineStr">
        <is>
          <t>NONE</t>
        </is>
      </c>
      <c r="AC1561" s="191" t="n">
        <v>0</v>
      </c>
      <c r="AD1561" s="191" t="n"/>
    </row>
    <row r="1562">
      <c r="A1562" s="191" t="inlineStr">
        <is>
          <t>FIREHOL_THREAT</t>
        </is>
      </c>
      <c r="B1562" s="191" t="inlineStr">
        <is>
          <t>16557aba7819</t>
        </is>
      </c>
      <c r="C1562" s="191" t="inlineStr">
        <is>
          <t>DROP List CIDR: 1.10.16.0/20 | FireHOL L1 threat IP/CIDR | ASN: FireHOL-L1</t>
        </is>
      </c>
      <c r="D1562" s="191" t="n">
        <v>6</v>
      </c>
      <c r="E1562" s="191" t="inlineStr">
        <is>
          <t>MEDIUM</t>
        </is>
      </c>
      <c r="F1562" s="191" t="n">
        <v>2</v>
      </c>
      <c r="G1562" s="191" t="n">
        <v>2</v>
      </c>
      <c r="H1562" s="191" t="inlineStr">
        <is>
          <t>MEDIUM</t>
        </is>
      </c>
      <c r="I1562" s="191" t="n">
        <v>10</v>
      </c>
      <c r="J1562" s="191" t="inlineStr">
        <is>
          <t>NO</t>
        </is>
      </c>
      <c r="K1562" s="192" t="inlineStr">
        <is>
          <t>https://www.spamhaus.org/drop/</t>
        </is>
      </c>
      <c r="L1562" s="191" t="inlineStr">
        <is>
          <t>2026-02-23 23:48</t>
        </is>
      </c>
      <c r="M1562" s="191" t="inlineStr">
        <is>
          <t>Block CIDR</t>
        </is>
      </c>
      <c r="N1562" s="192" t="inlineStr">
        <is>
          <t>https://www.spamhaus.org/drop/</t>
        </is>
      </c>
      <c r="O1562" s="191" t="inlineStr">
        <is>
          <t>Block CIDR 1.10.16.0/20 at firewall</t>
        </is>
      </c>
      <c r="P1562" s="191" t="inlineStr">
        <is>
          <t>Firewall/Email</t>
        </is>
      </c>
      <c r="Q1562" s="191" t="inlineStr">
        <is>
          <t>P4</t>
        </is>
      </c>
      <c r="R1562" s="191" t="inlineStr">
        <is>
          <t>🔍 Investigate and apply appropriate controls</t>
        </is>
      </c>
      <c r="S1562" s="191" t="inlineStr">
        <is>
          <t>Spamhaus - CIDR range</t>
        </is>
      </c>
      <c r="T1562" s="191" t="n">
        <v>0</v>
      </c>
      <c r="U1562" s="191" t="n">
        <v>0</v>
      </c>
      <c r="V1562" s="191" t="inlineStr">
        <is>
          <t>T1566:Phishing | T1078:Valid Accounts</t>
        </is>
      </c>
      <c r="W1562" s="191" t="n">
        <v>1</v>
      </c>
      <c r="X1562" s="191" t="inlineStr">
        <is>
          <t>LOW (40%)</t>
        </is>
      </c>
      <c r="Y1562" s="191" t="inlineStr">
        <is>
          <t>NONE</t>
        </is>
      </c>
      <c r="Z1562" s="191" t="inlineStr">
        <is>
          <t>NONE</t>
        </is>
      </c>
      <c r="AA1562" s="191" t="inlineStr">
        <is>
          <t>NONE</t>
        </is>
      </c>
      <c r="AB1562" s="191" t="inlineStr">
        <is>
          <t>NONE</t>
        </is>
      </c>
      <c r="AC1562" s="191" t="n">
        <v>0</v>
      </c>
      <c r="AD1562" s="191" t="n"/>
    </row>
    <row r="1563">
      <c r="A1563" s="191" t="inlineStr">
        <is>
          <t>FIREHOL_THREAT</t>
        </is>
      </c>
      <c r="B1563" s="191" t="inlineStr">
        <is>
          <t>036d6cf17ed5</t>
        </is>
      </c>
      <c r="C1563" s="191" t="inlineStr">
        <is>
          <t>DROP List CIDR: 1.19.0.0/16 | FireHOL L1 threat IP/CIDR | ASN: FireHOL-L1</t>
        </is>
      </c>
      <c r="D1563" s="191" t="n">
        <v>6</v>
      </c>
      <c r="E1563" s="191" t="inlineStr">
        <is>
          <t>MEDIUM</t>
        </is>
      </c>
      <c r="F1563" s="191" t="n">
        <v>2</v>
      </c>
      <c r="G1563" s="191" t="n">
        <v>2</v>
      </c>
      <c r="H1563" s="191" t="inlineStr">
        <is>
          <t>MEDIUM</t>
        </is>
      </c>
      <c r="I1563" s="191" t="n">
        <v>10</v>
      </c>
      <c r="J1563" s="191" t="inlineStr">
        <is>
          <t>NO</t>
        </is>
      </c>
      <c r="K1563" s="192" t="inlineStr">
        <is>
          <t>https://www.spamhaus.org/drop/</t>
        </is>
      </c>
      <c r="L1563" s="191" t="inlineStr">
        <is>
          <t>2026-02-23 23:48</t>
        </is>
      </c>
      <c r="M1563" s="191" t="inlineStr">
        <is>
          <t>Block CIDR</t>
        </is>
      </c>
      <c r="N1563" s="192" t="inlineStr">
        <is>
          <t>https://www.spamhaus.org/drop/</t>
        </is>
      </c>
      <c r="O1563" s="191" t="inlineStr">
        <is>
          <t>Block CIDR 1.19.0.0/16 at firewall</t>
        </is>
      </c>
      <c r="P1563" s="191" t="inlineStr">
        <is>
          <t>Firewall/Email</t>
        </is>
      </c>
      <c r="Q1563" s="191" t="inlineStr">
        <is>
          <t>P4</t>
        </is>
      </c>
      <c r="R1563" s="191" t="inlineStr">
        <is>
          <t>🔍 Investigate and apply appropriate controls</t>
        </is>
      </c>
      <c r="S1563" s="191" t="inlineStr">
        <is>
          <t>Spamhaus - CIDR range</t>
        </is>
      </c>
      <c r="T1563" s="191" t="n">
        <v>0</v>
      </c>
      <c r="U1563" s="191" t="n">
        <v>0</v>
      </c>
      <c r="V1563" s="191" t="inlineStr">
        <is>
          <t>T1566:Phishing | T1078:Valid Accounts</t>
        </is>
      </c>
      <c r="W1563" s="191" t="n">
        <v>1</v>
      </c>
      <c r="X1563" s="191" t="inlineStr">
        <is>
          <t>LOW (40%)</t>
        </is>
      </c>
      <c r="Y1563" s="191" t="inlineStr">
        <is>
          <t>NONE</t>
        </is>
      </c>
      <c r="Z1563" s="191" t="inlineStr">
        <is>
          <t>NONE</t>
        </is>
      </c>
      <c r="AA1563" s="191" t="inlineStr">
        <is>
          <t>NONE</t>
        </is>
      </c>
      <c r="AB1563" s="191" t="inlineStr">
        <is>
          <t>NONE</t>
        </is>
      </c>
      <c r="AC1563" s="191" t="n">
        <v>0</v>
      </c>
      <c r="AD1563" s="191" t="n"/>
    </row>
    <row r="1564">
      <c r="A1564" s="191" t="inlineStr">
        <is>
          <t>FIREHOL_THREAT</t>
        </is>
      </c>
      <c r="B1564" s="191" t="inlineStr">
        <is>
          <t>087f73381bbd</t>
        </is>
      </c>
      <c r="C1564" s="191" t="inlineStr">
        <is>
          <t>DROP List CIDR: 1.32.128.0/18 | FireHOL L1 threat IP/CIDR | ASN: FireHOL-L1</t>
        </is>
      </c>
      <c r="D1564" s="191" t="n">
        <v>6</v>
      </c>
      <c r="E1564" s="191" t="inlineStr">
        <is>
          <t>MEDIUM</t>
        </is>
      </c>
      <c r="F1564" s="191" t="n">
        <v>2</v>
      </c>
      <c r="G1564" s="191" t="n">
        <v>2</v>
      </c>
      <c r="H1564" s="191" t="inlineStr">
        <is>
          <t>MEDIUM</t>
        </is>
      </c>
      <c r="I1564" s="191" t="n">
        <v>10</v>
      </c>
      <c r="J1564" s="191" t="inlineStr">
        <is>
          <t>NO</t>
        </is>
      </c>
      <c r="K1564" s="192" t="inlineStr">
        <is>
          <t>https://www.spamhaus.org/drop/</t>
        </is>
      </c>
      <c r="L1564" s="191" t="inlineStr">
        <is>
          <t>2026-02-23 23:48</t>
        </is>
      </c>
      <c r="M1564" s="191" t="inlineStr">
        <is>
          <t>Block CIDR</t>
        </is>
      </c>
      <c r="N1564" s="192" t="inlineStr">
        <is>
          <t>https://www.spamhaus.org/drop/</t>
        </is>
      </c>
      <c r="O1564" s="191" t="inlineStr">
        <is>
          <t>Block CIDR 1.32.128.0/18 at firewall</t>
        </is>
      </c>
      <c r="P1564" s="191" t="inlineStr">
        <is>
          <t>Firewall/Email</t>
        </is>
      </c>
      <c r="Q1564" s="191" t="inlineStr">
        <is>
          <t>P4</t>
        </is>
      </c>
      <c r="R1564" s="191" t="inlineStr">
        <is>
          <t>🔍 Investigate and apply appropriate controls</t>
        </is>
      </c>
      <c r="S1564" s="191" t="inlineStr">
        <is>
          <t>Spamhaus - CIDR range</t>
        </is>
      </c>
      <c r="T1564" s="191" t="n">
        <v>0</v>
      </c>
      <c r="U1564" s="191" t="n">
        <v>0</v>
      </c>
      <c r="V1564" s="191" t="inlineStr">
        <is>
          <t>T1566:Phishing | T1078:Valid Accounts</t>
        </is>
      </c>
      <c r="W1564" s="191" t="n">
        <v>1</v>
      </c>
      <c r="X1564" s="191" t="inlineStr">
        <is>
          <t>LOW (40%)</t>
        </is>
      </c>
      <c r="Y1564" s="191" t="inlineStr">
        <is>
          <t>NONE</t>
        </is>
      </c>
      <c r="Z1564" s="191" t="inlineStr">
        <is>
          <t>NONE</t>
        </is>
      </c>
      <c r="AA1564" s="191" t="inlineStr">
        <is>
          <t>NONE</t>
        </is>
      </c>
      <c r="AB1564" s="191" t="inlineStr">
        <is>
          <t>NONE</t>
        </is>
      </c>
      <c r="AC1564" s="191" t="n">
        <v>0</v>
      </c>
      <c r="AD1564" s="191" t="n"/>
    </row>
    <row r="1565">
      <c r="A1565" s="191" t="inlineStr">
        <is>
          <t>FIREHOL_THREAT</t>
        </is>
      </c>
      <c r="B1565" s="191" t="inlineStr">
        <is>
          <t>452c623d084c</t>
        </is>
      </c>
      <c r="C1565" s="191" t="inlineStr">
        <is>
          <t>DROP List CIDR: 2.56.192.0/22 | FireHOL L1 threat IP/CIDR | ASN: FireHOL-L1</t>
        </is>
      </c>
      <c r="D1565" s="191" t="n">
        <v>6</v>
      </c>
      <c r="E1565" s="191" t="inlineStr">
        <is>
          <t>MEDIUM</t>
        </is>
      </c>
      <c r="F1565" s="191" t="n">
        <v>2</v>
      </c>
      <c r="G1565" s="191" t="n">
        <v>2</v>
      </c>
      <c r="H1565" s="191" t="inlineStr">
        <is>
          <t>MEDIUM</t>
        </is>
      </c>
      <c r="I1565" s="191" t="n">
        <v>10</v>
      </c>
      <c r="J1565" s="191" t="inlineStr">
        <is>
          <t>NO</t>
        </is>
      </c>
      <c r="K1565" s="192" t="inlineStr">
        <is>
          <t>https://www.spamhaus.org/drop/</t>
        </is>
      </c>
      <c r="L1565" s="191" t="inlineStr">
        <is>
          <t>2026-02-23 23:48</t>
        </is>
      </c>
      <c r="M1565" s="191" t="inlineStr">
        <is>
          <t>Block CIDR</t>
        </is>
      </c>
      <c r="N1565" s="192" t="inlineStr">
        <is>
          <t>https://www.spamhaus.org/drop/</t>
        </is>
      </c>
      <c r="O1565" s="191" t="inlineStr">
        <is>
          <t>Block CIDR 2.56.192.0/22 at firewall</t>
        </is>
      </c>
      <c r="P1565" s="191" t="inlineStr">
        <is>
          <t>Firewall/Email</t>
        </is>
      </c>
      <c r="Q1565" s="191" t="inlineStr">
        <is>
          <t>P4</t>
        </is>
      </c>
      <c r="R1565" s="191" t="inlineStr">
        <is>
          <t>🔍 Investigate and apply appropriate controls</t>
        </is>
      </c>
      <c r="S1565" s="191" t="inlineStr">
        <is>
          <t>Spamhaus - CIDR range</t>
        </is>
      </c>
      <c r="T1565" s="191" t="n">
        <v>0</v>
      </c>
      <c r="U1565" s="191" t="n">
        <v>0</v>
      </c>
      <c r="V1565" s="191" t="inlineStr">
        <is>
          <t>T1566:Phishing | T1078:Valid Accounts</t>
        </is>
      </c>
      <c r="W1565" s="191" t="n">
        <v>1</v>
      </c>
      <c r="X1565" s="191" t="inlineStr">
        <is>
          <t>LOW (40%)</t>
        </is>
      </c>
      <c r="Y1565" s="191" t="inlineStr">
        <is>
          <t>NONE</t>
        </is>
      </c>
      <c r="Z1565" s="191" t="inlineStr">
        <is>
          <t>NONE</t>
        </is>
      </c>
      <c r="AA1565" s="191" t="inlineStr">
        <is>
          <t>NONE</t>
        </is>
      </c>
      <c r="AB1565" s="191" t="inlineStr">
        <is>
          <t>NONE</t>
        </is>
      </c>
      <c r="AC1565" s="191" t="n">
        <v>0</v>
      </c>
      <c r="AD1565" s="191" t="n"/>
    </row>
    <row r="1566">
      <c r="A1566" s="191" t="inlineStr">
        <is>
          <t>FIREHOL_THREAT</t>
        </is>
      </c>
      <c r="B1566" s="191" t="inlineStr">
        <is>
          <t>7ceaa959d06d</t>
        </is>
      </c>
      <c r="C1566" s="191" t="inlineStr">
        <is>
          <t>DROP List CIDR: 2.57.122.0/24 | FireHOL L1 threat IP/CIDR | ASN: FireHOL-L1</t>
        </is>
      </c>
      <c r="D1566" s="191" t="n">
        <v>6</v>
      </c>
      <c r="E1566" s="191" t="inlineStr">
        <is>
          <t>MEDIUM</t>
        </is>
      </c>
      <c r="F1566" s="191" t="n">
        <v>2</v>
      </c>
      <c r="G1566" s="191" t="n">
        <v>2</v>
      </c>
      <c r="H1566" s="191" t="inlineStr">
        <is>
          <t>MEDIUM</t>
        </is>
      </c>
      <c r="I1566" s="191" t="n">
        <v>10</v>
      </c>
      <c r="J1566" s="191" t="inlineStr">
        <is>
          <t>NO</t>
        </is>
      </c>
      <c r="K1566" s="192" t="inlineStr">
        <is>
          <t>https://www.spamhaus.org/drop/</t>
        </is>
      </c>
      <c r="L1566" s="191" t="inlineStr">
        <is>
          <t>2026-02-23 23:48</t>
        </is>
      </c>
      <c r="M1566" s="191" t="inlineStr">
        <is>
          <t>Block CIDR</t>
        </is>
      </c>
      <c r="N1566" s="192" t="inlineStr">
        <is>
          <t>https://www.spamhaus.org/drop/</t>
        </is>
      </c>
      <c r="O1566" s="191" t="inlineStr">
        <is>
          <t>Block CIDR 2.57.122.0/24 at firewall</t>
        </is>
      </c>
      <c r="P1566" s="191" t="inlineStr">
        <is>
          <t>Firewall/Email</t>
        </is>
      </c>
      <c r="Q1566" s="191" t="inlineStr">
        <is>
          <t>P4</t>
        </is>
      </c>
      <c r="R1566" s="191" t="inlineStr">
        <is>
          <t>🔍 Investigate and apply appropriate controls</t>
        </is>
      </c>
      <c r="S1566" s="191" t="inlineStr">
        <is>
          <t>Spamhaus - CIDR range</t>
        </is>
      </c>
      <c r="T1566" s="191" t="n">
        <v>0</v>
      </c>
      <c r="U1566" s="191" t="n">
        <v>0</v>
      </c>
      <c r="V1566" s="191" t="inlineStr">
        <is>
          <t>T1566:Phishing | T1078:Valid Accounts</t>
        </is>
      </c>
      <c r="W1566" s="191" t="n">
        <v>1</v>
      </c>
      <c r="X1566" s="191" t="inlineStr">
        <is>
          <t>LOW (40%)</t>
        </is>
      </c>
      <c r="Y1566" s="191" t="inlineStr">
        <is>
          <t>NONE</t>
        </is>
      </c>
      <c r="Z1566" s="191" t="inlineStr">
        <is>
          <t>NONE</t>
        </is>
      </c>
      <c r="AA1566" s="191" t="inlineStr">
        <is>
          <t>NONE</t>
        </is>
      </c>
      <c r="AB1566" s="191" t="inlineStr">
        <is>
          <t>NONE</t>
        </is>
      </c>
      <c r="AC1566" s="191" t="n">
        <v>0</v>
      </c>
      <c r="AD1566" s="191" t="n"/>
    </row>
    <row r="1567">
      <c r="A1567" s="191" t="inlineStr">
        <is>
          <t>FIREHOL_THREAT</t>
        </is>
      </c>
      <c r="B1567" s="191" t="inlineStr">
        <is>
          <t>b7c5eff6534b</t>
        </is>
      </c>
      <c r="C1567" s="191" t="inlineStr">
        <is>
          <t>DROP List CIDR: 2.57.149.0/24 | FireHOL L1 threat IP/CIDR | ASN: FireHOL-L1</t>
        </is>
      </c>
      <c r="D1567" s="191" t="n">
        <v>6</v>
      </c>
      <c r="E1567" s="191" t="inlineStr">
        <is>
          <t>MEDIUM</t>
        </is>
      </c>
      <c r="F1567" s="191" t="n">
        <v>2</v>
      </c>
      <c r="G1567" s="191" t="n">
        <v>2</v>
      </c>
      <c r="H1567" s="191" t="inlineStr">
        <is>
          <t>MEDIUM</t>
        </is>
      </c>
      <c r="I1567" s="191" t="n">
        <v>10</v>
      </c>
      <c r="J1567" s="191" t="inlineStr">
        <is>
          <t>NO</t>
        </is>
      </c>
      <c r="K1567" s="192" t="inlineStr">
        <is>
          <t>https://www.spamhaus.org/drop/</t>
        </is>
      </c>
      <c r="L1567" s="191" t="inlineStr">
        <is>
          <t>2026-02-23 23:48</t>
        </is>
      </c>
      <c r="M1567" s="191" t="inlineStr">
        <is>
          <t>Block CIDR</t>
        </is>
      </c>
      <c r="N1567" s="192" t="inlineStr">
        <is>
          <t>https://www.spamhaus.org/drop/</t>
        </is>
      </c>
      <c r="O1567" s="191" t="inlineStr">
        <is>
          <t>Block CIDR 2.57.149.0/24 at firewall</t>
        </is>
      </c>
      <c r="P1567" s="191" t="inlineStr">
        <is>
          <t>Firewall/Email</t>
        </is>
      </c>
      <c r="Q1567" s="191" t="inlineStr">
        <is>
          <t>P4</t>
        </is>
      </c>
      <c r="R1567" s="191" t="inlineStr">
        <is>
          <t>🔍 Investigate and apply appropriate controls</t>
        </is>
      </c>
      <c r="S1567" s="191" t="inlineStr">
        <is>
          <t>Spamhaus - CIDR range</t>
        </is>
      </c>
      <c r="T1567" s="191" t="n">
        <v>0</v>
      </c>
      <c r="U1567" s="191" t="n">
        <v>0</v>
      </c>
      <c r="V1567" s="191" t="inlineStr">
        <is>
          <t>T1566:Phishing | T1078:Valid Accounts</t>
        </is>
      </c>
      <c r="W1567" s="191" t="n">
        <v>1</v>
      </c>
      <c r="X1567" s="191" t="inlineStr">
        <is>
          <t>LOW (40%)</t>
        </is>
      </c>
      <c r="Y1567" s="191" t="inlineStr">
        <is>
          <t>NONE</t>
        </is>
      </c>
      <c r="Z1567" s="191" t="inlineStr">
        <is>
          <t>NONE</t>
        </is>
      </c>
      <c r="AA1567" s="191" t="inlineStr">
        <is>
          <t>NONE</t>
        </is>
      </c>
      <c r="AB1567" s="191" t="inlineStr">
        <is>
          <t>NONE</t>
        </is>
      </c>
      <c r="AC1567" s="191" t="n">
        <v>0</v>
      </c>
      <c r="AD1567" s="191" t="n"/>
    </row>
    <row r="1568">
      <c r="A1568" s="191" t="inlineStr">
        <is>
          <t>FIREHOL_THREAT</t>
        </is>
      </c>
      <c r="B1568" s="191" t="inlineStr">
        <is>
          <t>211aeb418ce4</t>
        </is>
      </c>
      <c r="C1568" s="191" t="inlineStr">
        <is>
          <t>DROP List CIDR: 2.57.232.0/22 | FireHOL L1 threat IP/CIDR | ASN: FireHOL-L1</t>
        </is>
      </c>
      <c r="D1568" s="191" t="n">
        <v>6</v>
      </c>
      <c r="E1568" s="191" t="inlineStr">
        <is>
          <t>MEDIUM</t>
        </is>
      </c>
      <c r="F1568" s="191" t="n">
        <v>2</v>
      </c>
      <c r="G1568" s="191" t="n">
        <v>2</v>
      </c>
      <c r="H1568" s="191" t="inlineStr">
        <is>
          <t>MEDIUM</t>
        </is>
      </c>
      <c r="I1568" s="191" t="n">
        <v>10</v>
      </c>
      <c r="J1568" s="191" t="inlineStr">
        <is>
          <t>NO</t>
        </is>
      </c>
      <c r="K1568" s="192" t="inlineStr">
        <is>
          <t>https://www.spamhaus.org/drop/</t>
        </is>
      </c>
      <c r="L1568" s="191" t="inlineStr">
        <is>
          <t>2026-02-23 23:48</t>
        </is>
      </c>
      <c r="M1568" s="191" t="inlineStr">
        <is>
          <t>Block CIDR</t>
        </is>
      </c>
      <c r="N1568" s="192" t="inlineStr">
        <is>
          <t>https://www.spamhaus.org/drop/</t>
        </is>
      </c>
      <c r="O1568" s="191" t="inlineStr">
        <is>
          <t>Block CIDR 2.57.232.0/22 at firewall</t>
        </is>
      </c>
      <c r="P1568" s="191" t="inlineStr">
        <is>
          <t>Firewall/Email</t>
        </is>
      </c>
      <c r="Q1568" s="191" t="inlineStr">
        <is>
          <t>P4</t>
        </is>
      </c>
      <c r="R1568" s="191" t="inlineStr">
        <is>
          <t>🔍 Investigate and apply appropriate controls</t>
        </is>
      </c>
      <c r="S1568" s="191" t="inlineStr">
        <is>
          <t>Spamhaus - CIDR range</t>
        </is>
      </c>
      <c r="T1568" s="191" t="n">
        <v>0</v>
      </c>
      <c r="U1568" s="191" t="n">
        <v>0</v>
      </c>
      <c r="V1568" s="191" t="inlineStr">
        <is>
          <t>T1566:Phishing | T1078:Valid Accounts</t>
        </is>
      </c>
      <c r="W1568" s="191" t="n">
        <v>1</v>
      </c>
      <c r="X1568" s="191" t="inlineStr">
        <is>
          <t>LOW (40%)</t>
        </is>
      </c>
      <c r="Y1568" s="191" t="inlineStr">
        <is>
          <t>NONE</t>
        </is>
      </c>
      <c r="Z1568" s="191" t="inlineStr">
        <is>
          <t>NONE</t>
        </is>
      </c>
      <c r="AA1568" s="191" t="inlineStr">
        <is>
          <t>NONE</t>
        </is>
      </c>
      <c r="AB1568" s="191" t="inlineStr">
        <is>
          <t>NONE</t>
        </is>
      </c>
      <c r="AC1568" s="191" t="n">
        <v>0</v>
      </c>
      <c r="AD1568" s="191" t="n"/>
    </row>
    <row r="1569">
      <c r="A1569" s="191" t="inlineStr">
        <is>
          <t>FIREHOL_THREAT</t>
        </is>
      </c>
      <c r="B1569" s="191" t="inlineStr">
        <is>
          <t>b25bffd553fe</t>
        </is>
      </c>
      <c r="C1569" s="191" t="inlineStr">
        <is>
          <t>DROP List CIDR: 2.58.56.0/24 | FireHOL L1 threat IP/CIDR | ASN: FireHOL-L1</t>
        </is>
      </c>
      <c r="D1569" s="191" t="n">
        <v>6</v>
      </c>
      <c r="E1569" s="191" t="inlineStr">
        <is>
          <t>MEDIUM</t>
        </is>
      </c>
      <c r="F1569" s="191" t="n">
        <v>2</v>
      </c>
      <c r="G1569" s="191" t="n">
        <v>2</v>
      </c>
      <c r="H1569" s="191" t="inlineStr">
        <is>
          <t>MEDIUM</t>
        </is>
      </c>
      <c r="I1569" s="191" t="n">
        <v>10</v>
      </c>
      <c r="J1569" s="191" t="inlineStr">
        <is>
          <t>NO</t>
        </is>
      </c>
      <c r="K1569" s="192" t="inlineStr">
        <is>
          <t>https://www.spamhaus.org/drop/</t>
        </is>
      </c>
      <c r="L1569" s="191" t="inlineStr">
        <is>
          <t>2026-02-23 23:48</t>
        </is>
      </c>
      <c r="M1569" s="191" t="inlineStr">
        <is>
          <t>Block CIDR</t>
        </is>
      </c>
      <c r="N1569" s="192" t="inlineStr">
        <is>
          <t>https://www.spamhaus.org/drop/</t>
        </is>
      </c>
      <c r="O1569" s="191" t="inlineStr">
        <is>
          <t>Block CIDR 2.58.56.0/24 at firewall</t>
        </is>
      </c>
      <c r="P1569" s="191" t="inlineStr">
        <is>
          <t>Firewall/Email</t>
        </is>
      </c>
      <c r="Q1569" s="191" t="inlineStr">
        <is>
          <t>P4</t>
        </is>
      </c>
      <c r="R1569" s="191" t="inlineStr">
        <is>
          <t>🔍 Investigate and apply appropriate controls</t>
        </is>
      </c>
      <c r="S1569" s="191" t="inlineStr">
        <is>
          <t>Spamhaus - CIDR range</t>
        </is>
      </c>
      <c r="T1569" s="191" t="n">
        <v>0</v>
      </c>
      <c r="U1569" s="191" t="n">
        <v>0</v>
      </c>
      <c r="V1569" s="191" t="inlineStr">
        <is>
          <t>T1566:Phishing | T1078:Valid Accounts</t>
        </is>
      </c>
      <c r="W1569" s="191" t="n">
        <v>1</v>
      </c>
      <c r="X1569" s="191" t="inlineStr">
        <is>
          <t>LOW (40%)</t>
        </is>
      </c>
      <c r="Y1569" s="191" t="inlineStr">
        <is>
          <t>NONE</t>
        </is>
      </c>
      <c r="Z1569" s="191" t="inlineStr">
        <is>
          <t>NONE</t>
        </is>
      </c>
      <c r="AA1569" s="191" t="inlineStr">
        <is>
          <t>NONE</t>
        </is>
      </c>
      <c r="AB1569" s="191" t="inlineStr">
        <is>
          <t>NONE</t>
        </is>
      </c>
      <c r="AC1569" s="191" t="n">
        <v>0</v>
      </c>
      <c r="AD1569" s="191" t="n"/>
    </row>
    <row r="1570">
      <c r="A1570" s="191" t="inlineStr">
        <is>
          <t>FIREHOL_THREAT</t>
        </is>
      </c>
      <c r="B1570" s="191" t="inlineStr">
        <is>
          <t>28fb5dc4a3f6</t>
        </is>
      </c>
      <c r="C1570" s="191" t="inlineStr">
        <is>
          <t>DROP List CIDR: 2.58.95.0/24 | FireHOL L1 threat IP/CIDR | ASN: FireHOL-L1</t>
        </is>
      </c>
      <c r="D1570" s="191" t="n">
        <v>6</v>
      </c>
      <c r="E1570" s="191" t="inlineStr">
        <is>
          <t>MEDIUM</t>
        </is>
      </c>
      <c r="F1570" s="191" t="n">
        <v>2</v>
      </c>
      <c r="G1570" s="191" t="n">
        <v>2</v>
      </c>
      <c r="H1570" s="191" t="inlineStr">
        <is>
          <t>MEDIUM</t>
        </is>
      </c>
      <c r="I1570" s="191" t="n">
        <v>10</v>
      </c>
      <c r="J1570" s="191" t="inlineStr">
        <is>
          <t>NO</t>
        </is>
      </c>
      <c r="K1570" s="192" t="inlineStr">
        <is>
          <t>https://www.spamhaus.org/drop/</t>
        </is>
      </c>
      <c r="L1570" s="191" t="inlineStr">
        <is>
          <t>2026-02-23 23:48</t>
        </is>
      </c>
      <c r="M1570" s="191" t="inlineStr">
        <is>
          <t>Block CIDR</t>
        </is>
      </c>
      <c r="N1570" s="192" t="inlineStr">
        <is>
          <t>https://www.spamhaus.org/drop/</t>
        </is>
      </c>
      <c r="O1570" s="191" t="inlineStr">
        <is>
          <t>Block CIDR 2.58.95.0/24 at firewall</t>
        </is>
      </c>
      <c r="P1570" s="191" t="inlineStr">
        <is>
          <t>Firewall/Email</t>
        </is>
      </c>
      <c r="Q1570" s="191" t="inlineStr">
        <is>
          <t>P4</t>
        </is>
      </c>
      <c r="R1570" s="191" t="inlineStr">
        <is>
          <t>🔍 Investigate and apply appropriate controls</t>
        </is>
      </c>
      <c r="S1570" s="191" t="inlineStr">
        <is>
          <t>Spamhaus - CIDR range</t>
        </is>
      </c>
      <c r="T1570" s="191" t="n">
        <v>0</v>
      </c>
      <c r="U1570" s="191" t="n">
        <v>0</v>
      </c>
      <c r="V1570" s="191" t="inlineStr">
        <is>
          <t>T1566:Phishing | T1078:Valid Accounts</t>
        </is>
      </c>
      <c r="W1570" s="191" t="n">
        <v>1</v>
      </c>
      <c r="X1570" s="191" t="inlineStr">
        <is>
          <t>LOW (40%)</t>
        </is>
      </c>
      <c r="Y1570" s="191" t="inlineStr">
        <is>
          <t>NONE</t>
        </is>
      </c>
      <c r="Z1570" s="191" t="inlineStr">
        <is>
          <t>NONE</t>
        </is>
      </c>
      <c r="AA1570" s="191" t="inlineStr">
        <is>
          <t>NONE</t>
        </is>
      </c>
      <c r="AB1570" s="191" t="inlineStr">
        <is>
          <t>NONE</t>
        </is>
      </c>
      <c r="AC1570" s="191" t="n">
        <v>0</v>
      </c>
      <c r="AD1570" s="191" t="n"/>
    </row>
    <row r="1571">
      <c r="A1571" s="191" t="inlineStr">
        <is>
          <t>FIREHOL_THREAT</t>
        </is>
      </c>
      <c r="B1571" s="191" t="inlineStr">
        <is>
          <t>dcb2a79dd6f5</t>
        </is>
      </c>
      <c r="C1571" s="191" t="inlineStr">
        <is>
          <t>DROP List CIDR: 2.59.152.0/24 | FireHOL L1 threat IP/CIDR | ASN: FireHOL-L1</t>
        </is>
      </c>
      <c r="D1571" s="191" t="n">
        <v>6</v>
      </c>
      <c r="E1571" s="191" t="inlineStr">
        <is>
          <t>MEDIUM</t>
        </is>
      </c>
      <c r="F1571" s="191" t="n">
        <v>2</v>
      </c>
      <c r="G1571" s="191" t="n">
        <v>2</v>
      </c>
      <c r="H1571" s="191" t="inlineStr">
        <is>
          <t>MEDIUM</t>
        </is>
      </c>
      <c r="I1571" s="191" t="n">
        <v>10</v>
      </c>
      <c r="J1571" s="191" t="inlineStr">
        <is>
          <t>NO</t>
        </is>
      </c>
      <c r="K1571" s="192" t="inlineStr">
        <is>
          <t>https://www.spamhaus.org/drop/</t>
        </is>
      </c>
      <c r="L1571" s="191" t="inlineStr">
        <is>
          <t>2026-02-23 23:48</t>
        </is>
      </c>
      <c r="M1571" s="191" t="inlineStr">
        <is>
          <t>Block CIDR</t>
        </is>
      </c>
      <c r="N1571" s="192" t="inlineStr">
        <is>
          <t>https://www.spamhaus.org/drop/</t>
        </is>
      </c>
      <c r="O1571" s="191" t="inlineStr">
        <is>
          <t>Block CIDR 2.59.152.0/24 at firewall</t>
        </is>
      </c>
      <c r="P1571" s="191" t="inlineStr">
        <is>
          <t>Firewall/Email</t>
        </is>
      </c>
      <c r="Q1571" s="191" t="inlineStr">
        <is>
          <t>P4</t>
        </is>
      </c>
      <c r="R1571" s="191" t="inlineStr">
        <is>
          <t>🔍 Investigate and apply appropriate controls</t>
        </is>
      </c>
      <c r="S1571" s="191" t="inlineStr">
        <is>
          <t>Spamhaus - CIDR range</t>
        </is>
      </c>
      <c r="T1571" s="191" t="n">
        <v>0</v>
      </c>
      <c r="U1571" s="191" t="n">
        <v>0</v>
      </c>
      <c r="V1571" s="191" t="inlineStr">
        <is>
          <t>T1566:Phishing | T1078:Valid Accounts</t>
        </is>
      </c>
      <c r="W1571" s="191" t="n">
        <v>1</v>
      </c>
      <c r="X1571" s="191" t="inlineStr">
        <is>
          <t>LOW (40%)</t>
        </is>
      </c>
      <c r="Y1571" s="191" t="inlineStr">
        <is>
          <t>NONE</t>
        </is>
      </c>
      <c r="Z1571" s="191" t="inlineStr">
        <is>
          <t>NONE</t>
        </is>
      </c>
      <c r="AA1571" s="191" t="inlineStr">
        <is>
          <t>NONE</t>
        </is>
      </c>
      <c r="AB1571" s="191" t="inlineStr">
        <is>
          <t>NONE</t>
        </is>
      </c>
      <c r="AC1571" s="191" t="n">
        <v>0</v>
      </c>
      <c r="AD1571" s="191" t="n"/>
    </row>
    <row r="1572">
      <c r="A1572" s="191" t="inlineStr">
        <is>
          <t>FIREHOL_THREAT</t>
        </is>
      </c>
      <c r="B1572" s="191" t="inlineStr">
        <is>
          <t>74eb2ddc71aa</t>
        </is>
      </c>
      <c r="C1572" s="191" t="inlineStr">
        <is>
          <t>DROP List CIDR: 5.42.64.0/22 | FireHOL L1 threat IP/CIDR | ASN: FireHOL-L1</t>
        </is>
      </c>
      <c r="D1572" s="191" t="n">
        <v>6</v>
      </c>
      <c r="E1572" s="191" t="inlineStr">
        <is>
          <t>MEDIUM</t>
        </is>
      </c>
      <c r="F1572" s="191" t="n">
        <v>2</v>
      </c>
      <c r="G1572" s="191" t="n">
        <v>2</v>
      </c>
      <c r="H1572" s="191" t="inlineStr">
        <is>
          <t>MEDIUM</t>
        </is>
      </c>
      <c r="I1572" s="191" t="n">
        <v>10</v>
      </c>
      <c r="J1572" s="191" t="inlineStr">
        <is>
          <t>NO</t>
        </is>
      </c>
      <c r="K1572" s="192" t="inlineStr">
        <is>
          <t>https://www.spamhaus.org/drop/</t>
        </is>
      </c>
      <c r="L1572" s="191" t="inlineStr">
        <is>
          <t>2026-02-23 23:48</t>
        </is>
      </c>
      <c r="M1572" s="191" t="inlineStr">
        <is>
          <t>Block CIDR</t>
        </is>
      </c>
      <c r="N1572" s="192" t="inlineStr">
        <is>
          <t>https://www.spamhaus.org/drop/</t>
        </is>
      </c>
      <c r="O1572" s="191" t="inlineStr">
        <is>
          <t>Block CIDR 5.42.64.0/22 at firewall</t>
        </is>
      </c>
      <c r="P1572" s="191" t="inlineStr">
        <is>
          <t>Firewall/Email</t>
        </is>
      </c>
      <c r="Q1572" s="191" t="inlineStr">
        <is>
          <t>P4</t>
        </is>
      </c>
      <c r="R1572" s="191" t="inlineStr">
        <is>
          <t>🔍 Investigate and apply appropriate controls</t>
        </is>
      </c>
      <c r="S1572" s="191" t="inlineStr">
        <is>
          <t>Spamhaus - CIDR range</t>
        </is>
      </c>
      <c r="T1572" s="191" t="n">
        <v>0</v>
      </c>
      <c r="U1572" s="191" t="n">
        <v>0</v>
      </c>
      <c r="V1572" s="191" t="inlineStr">
        <is>
          <t>T1566:Phishing | T1078:Valid Accounts</t>
        </is>
      </c>
      <c r="W1572" s="191" t="n">
        <v>1</v>
      </c>
      <c r="X1572" s="191" t="inlineStr">
        <is>
          <t>LOW (40%)</t>
        </is>
      </c>
      <c r="Y1572" s="191" t="inlineStr">
        <is>
          <t>NONE</t>
        </is>
      </c>
      <c r="Z1572" s="191" t="inlineStr">
        <is>
          <t>NONE</t>
        </is>
      </c>
      <c r="AA1572" s="191" t="inlineStr">
        <is>
          <t>NONE</t>
        </is>
      </c>
      <c r="AB1572" s="191" t="inlineStr">
        <is>
          <t>NONE</t>
        </is>
      </c>
      <c r="AC1572" s="191" t="n">
        <v>0</v>
      </c>
      <c r="AD1572" s="191" t="n"/>
    </row>
    <row r="1573">
      <c r="A1573" s="191" t="inlineStr">
        <is>
          <t>FIREHOL_THREAT</t>
        </is>
      </c>
      <c r="B1573" s="191" t="inlineStr">
        <is>
          <t>73e8123fa2f9</t>
        </is>
      </c>
      <c r="C1573" s="191" t="inlineStr">
        <is>
          <t>DROP List CIDR: 5.42.92.0/24 | FireHOL L1 threat IP/CIDR | ASN: FireHOL-L1</t>
        </is>
      </c>
      <c r="D1573" s="191" t="n">
        <v>6</v>
      </c>
      <c r="E1573" s="191" t="inlineStr">
        <is>
          <t>MEDIUM</t>
        </is>
      </c>
      <c r="F1573" s="191" t="n">
        <v>2</v>
      </c>
      <c r="G1573" s="191" t="n">
        <v>2</v>
      </c>
      <c r="H1573" s="191" t="inlineStr">
        <is>
          <t>MEDIUM</t>
        </is>
      </c>
      <c r="I1573" s="191" t="n">
        <v>10</v>
      </c>
      <c r="J1573" s="191" t="inlineStr">
        <is>
          <t>NO</t>
        </is>
      </c>
      <c r="K1573" s="192" t="inlineStr">
        <is>
          <t>https://www.spamhaus.org/drop/</t>
        </is>
      </c>
      <c r="L1573" s="191" t="inlineStr">
        <is>
          <t>2026-02-23 23:48</t>
        </is>
      </c>
      <c r="M1573" s="191" t="inlineStr">
        <is>
          <t>Block CIDR</t>
        </is>
      </c>
      <c r="N1573" s="192" t="inlineStr">
        <is>
          <t>https://www.spamhaus.org/drop/</t>
        </is>
      </c>
      <c r="O1573" s="191" t="inlineStr">
        <is>
          <t>Block CIDR 5.42.92.0/24 at firewall</t>
        </is>
      </c>
      <c r="P1573" s="191" t="inlineStr">
        <is>
          <t>Firewall/Email</t>
        </is>
      </c>
      <c r="Q1573" s="191" t="inlineStr">
        <is>
          <t>P4</t>
        </is>
      </c>
      <c r="R1573" s="191" t="inlineStr">
        <is>
          <t>🔍 Investigate and apply appropriate controls</t>
        </is>
      </c>
      <c r="S1573" s="191" t="inlineStr">
        <is>
          <t>Spamhaus - CIDR range</t>
        </is>
      </c>
      <c r="T1573" s="191" t="n">
        <v>0</v>
      </c>
      <c r="U1573" s="191" t="n">
        <v>0</v>
      </c>
      <c r="V1573" s="191" t="inlineStr">
        <is>
          <t>T1566:Phishing | T1078:Valid Accounts</t>
        </is>
      </c>
      <c r="W1573" s="191" t="n">
        <v>1</v>
      </c>
      <c r="X1573" s="191" t="inlineStr">
        <is>
          <t>LOW (40%)</t>
        </is>
      </c>
      <c r="Y1573" s="191" t="inlineStr">
        <is>
          <t>NONE</t>
        </is>
      </c>
      <c r="Z1573" s="191" t="inlineStr">
        <is>
          <t>NONE</t>
        </is>
      </c>
      <c r="AA1573" s="191" t="inlineStr">
        <is>
          <t>NONE</t>
        </is>
      </c>
      <c r="AB1573" s="191" t="inlineStr">
        <is>
          <t>NONE</t>
        </is>
      </c>
      <c r="AC1573" s="191" t="n">
        <v>0</v>
      </c>
      <c r="AD1573" s="191" t="n"/>
    </row>
    <row r="1574">
      <c r="A1574" s="191" t="inlineStr">
        <is>
          <t>FIREHOL_THREAT</t>
        </is>
      </c>
      <c r="B1574" s="191" t="inlineStr">
        <is>
          <t>5546223b9d75</t>
        </is>
      </c>
      <c r="C1574" s="191" t="inlineStr">
        <is>
          <t>DROP List CIDR: 5.42.96.0/24 | FireHOL L1 threat IP/CIDR | ASN: FireHOL-L1</t>
        </is>
      </c>
      <c r="D1574" s="191" t="n">
        <v>6</v>
      </c>
      <c r="E1574" s="191" t="inlineStr">
        <is>
          <t>MEDIUM</t>
        </is>
      </c>
      <c r="F1574" s="191" t="n">
        <v>2</v>
      </c>
      <c r="G1574" s="191" t="n">
        <v>2</v>
      </c>
      <c r="H1574" s="191" t="inlineStr">
        <is>
          <t>MEDIUM</t>
        </is>
      </c>
      <c r="I1574" s="191" t="n">
        <v>10</v>
      </c>
      <c r="J1574" s="191" t="inlineStr">
        <is>
          <t>NO</t>
        </is>
      </c>
      <c r="K1574" s="192" t="inlineStr">
        <is>
          <t>https://www.spamhaus.org/drop/</t>
        </is>
      </c>
      <c r="L1574" s="191" t="inlineStr">
        <is>
          <t>2026-02-23 23:48</t>
        </is>
      </c>
      <c r="M1574" s="191" t="inlineStr">
        <is>
          <t>Block CIDR</t>
        </is>
      </c>
      <c r="N1574" s="192" t="inlineStr">
        <is>
          <t>https://www.spamhaus.org/drop/</t>
        </is>
      </c>
      <c r="O1574" s="191" t="inlineStr">
        <is>
          <t>Block CIDR 5.42.96.0/24 at firewall</t>
        </is>
      </c>
      <c r="P1574" s="191" t="inlineStr">
        <is>
          <t>Firewall/Email</t>
        </is>
      </c>
      <c r="Q1574" s="191" t="inlineStr">
        <is>
          <t>P4</t>
        </is>
      </c>
      <c r="R1574" s="191" t="inlineStr">
        <is>
          <t>🔍 Investigate and apply appropriate controls</t>
        </is>
      </c>
      <c r="S1574" s="191" t="inlineStr">
        <is>
          <t>Spamhaus - CIDR range</t>
        </is>
      </c>
      <c r="T1574" s="191" t="n">
        <v>0</v>
      </c>
      <c r="U1574" s="191" t="n">
        <v>0</v>
      </c>
      <c r="V1574" s="191" t="inlineStr">
        <is>
          <t>T1566:Phishing | T1078:Valid Accounts</t>
        </is>
      </c>
      <c r="W1574" s="191" t="n">
        <v>1</v>
      </c>
      <c r="X1574" s="191" t="inlineStr">
        <is>
          <t>LOW (40%)</t>
        </is>
      </c>
      <c r="Y1574" s="191" t="inlineStr">
        <is>
          <t>NONE</t>
        </is>
      </c>
      <c r="Z1574" s="191" t="inlineStr">
        <is>
          <t>NONE</t>
        </is>
      </c>
      <c r="AA1574" s="191" t="inlineStr">
        <is>
          <t>NONE</t>
        </is>
      </c>
      <c r="AB1574" s="191" t="inlineStr">
        <is>
          <t>NONE</t>
        </is>
      </c>
      <c r="AC1574" s="191" t="n">
        <v>0</v>
      </c>
      <c r="AD1574" s="191" t="n"/>
    </row>
    <row r="1575">
      <c r="A1575" s="191" t="inlineStr">
        <is>
          <t>FIREHOL_THREAT</t>
        </is>
      </c>
      <c r="B1575" s="191" t="inlineStr">
        <is>
          <t>b77d61d1245c</t>
        </is>
      </c>
      <c r="C1575" s="191" t="inlineStr">
        <is>
          <t>DROP List CIDR: 5.101.82.0/24 | FireHOL L1 threat IP/CIDR | ASN: FireHOL-L1</t>
        </is>
      </c>
      <c r="D1575" s="191" t="n">
        <v>6</v>
      </c>
      <c r="E1575" s="191" t="inlineStr">
        <is>
          <t>MEDIUM</t>
        </is>
      </c>
      <c r="F1575" s="191" t="n">
        <v>2</v>
      </c>
      <c r="G1575" s="191" t="n">
        <v>2</v>
      </c>
      <c r="H1575" s="191" t="inlineStr">
        <is>
          <t>MEDIUM</t>
        </is>
      </c>
      <c r="I1575" s="191" t="n">
        <v>10</v>
      </c>
      <c r="J1575" s="191" t="inlineStr">
        <is>
          <t>NO</t>
        </is>
      </c>
      <c r="K1575" s="192" t="inlineStr">
        <is>
          <t>https://www.spamhaus.org/drop/</t>
        </is>
      </c>
      <c r="L1575" s="191" t="inlineStr">
        <is>
          <t>2026-02-23 23:48</t>
        </is>
      </c>
      <c r="M1575" s="191" t="inlineStr">
        <is>
          <t>Block CIDR</t>
        </is>
      </c>
      <c r="N1575" s="192" t="inlineStr">
        <is>
          <t>https://www.spamhaus.org/drop/</t>
        </is>
      </c>
      <c r="O1575" s="191" t="inlineStr">
        <is>
          <t>Block CIDR 5.101.82.0/24 at firewall</t>
        </is>
      </c>
      <c r="P1575" s="191" t="inlineStr">
        <is>
          <t>Firewall/Email</t>
        </is>
      </c>
      <c r="Q1575" s="191" t="inlineStr">
        <is>
          <t>P4</t>
        </is>
      </c>
      <c r="R1575" s="191" t="inlineStr">
        <is>
          <t>🔍 Investigate and apply appropriate controls</t>
        </is>
      </c>
      <c r="S1575" s="191" t="inlineStr">
        <is>
          <t>Spamhaus - CIDR range</t>
        </is>
      </c>
      <c r="T1575" s="191" t="n">
        <v>0</v>
      </c>
      <c r="U1575" s="191" t="n">
        <v>0</v>
      </c>
      <c r="V1575" s="191" t="inlineStr">
        <is>
          <t>T1566:Phishing | T1078:Valid Accounts</t>
        </is>
      </c>
      <c r="W1575" s="191" t="n">
        <v>1</v>
      </c>
      <c r="X1575" s="191" t="inlineStr">
        <is>
          <t>LOW (40%)</t>
        </is>
      </c>
      <c r="Y1575" s="191" t="inlineStr">
        <is>
          <t>NONE</t>
        </is>
      </c>
      <c r="Z1575" s="191" t="inlineStr">
        <is>
          <t>NONE</t>
        </is>
      </c>
      <c r="AA1575" s="191" t="inlineStr">
        <is>
          <t>NONE</t>
        </is>
      </c>
      <c r="AB1575" s="191" t="inlineStr">
        <is>
          <t>NONE</t>
        </is>
      </c>
      <c r="AC1575" s="191" t="n">
        <v>0</v>
      </c>
      <c r="AD1575" s="191" t="n"/>
    </row>
    <row r="1576">
      <c r="A1576" s="191" t="inlineStr">
        <is>
          <t>FIREHOL_THREAT</t>
        </is>
      </c>
      <c r="B1576" s="191" t="inlineStr">
        <is>
          <t>ccba24c5f897</t>
        </is>
      </c>
      <c r="C1576" s="191" t="inlineStr">
        <is>
          <t>DROP List CIDR: 5.105.62.0/24 | FireHOL L1 threat IP/CIDR | ASN: FireHOL-L1</t>
        </is>
      </c>
      <c r="D1576" s="191" t="n">
        <v>6</v>
      </c>
      <c r="E1576" s="191" t="inlineStr">
        <is>
          <t>MEDIUM</t>
        </is>
      </c>
      <c r="F1576" s="191" t="n">
        <v>2</v>
      </c>
      <c r="G1576" s="191" t="n">
        <v>2</v>
      </c>
      <c r="H1576" s="191" t="inlineStr">
        <is>
          <t>MEDIUM</t>
        </is>
      </c>
      <c r="I1576" s="191" t="n">
        <v>10</v>
      </c>
      <c r="J1576" s="191" t="inlineStr">
        <is>
          <t>NO</t>
        </is>
      </c>
      <c r="K1576" s="192" t="inlineStr">
        <is>
          <t>https://www.spamhaus.org/drop/</t>
        </is>
      </c>
      <c r="L1576" s="191" t="inlineStr">
        <is>
          <t>2026-02-23 23:48</t>
        </is>
      </c>
      <c r="M1576" s="191" t="inlineStr">
        <is>
          <t>Block CIDR</t>
        </is>
      </c>
      <c r="N1576" s="192" t="inlineStr">
        <is>
          <t>https://www.spamhaus.org/drop/</t>
        </is>
      </c>
      <c r="O1576" s="191" t="inlineStr">
        <is>
          <t>Block CIDR 5.105.62.0/24 at firewall</t>
        </is>
      </c>
      <c r="P1576" s="191" t="inlineStr">
        <is>
          <t>Firewall/Email</t>
        </is>
      </c>
      <c r="Q1576" s="191" t="inlineStr">
        <is>
          <t>P4</t>
        </is>
      </c>
      <c r="R1576" s="191" t="inlineStr">
        <is>
          <t>🔍 Investigate and apply appropriate controls</t>
        </is>
      </c>
      <c r="S1576" s="191" t="inlineStr">
        <is>
          <t>Spamhaus - CIDR range</t>
        </is>
      </c>
      <c r="T1576" s="191" t="n">
        <v>0</v>
      </c>
      <c r="U1576" s="191" t="n">
        <v>0</v>
      </c>
      <c r="V1576" s="191" t="inlineStr">
        <is>
          <t>T1566:Phishing | T1078:Valid Accounts</t>
        </is>
      </c>
      <c r="W1576" s="191" t="n">
        <v>1</v>
      </c>
      <c r="X1576" s="191" t="inlineStr">
        <is>
          <t>LOW (40%)</t>
        </is>
      </c>
      <c r="Y1576" s="191" t="inlineStr">
        <is>
          <t>NONE</t>
        </is>
      </c>
      <c r="Z1576" s="191" t="inlineStr">
        <is>
          <t>NONE</t>
        </is>
      </c>
      <c r="AA1576" s="191" t="inlineStr">
        <is>
          <t>NONE</t>
        </is>
      </c>
      <c r="AB1576" s="191" t="inlineStr">
        <is>
          <t>NONE</t>
        </is>
      </c>
      <c r="AC1576" s="191" t="n">
        <v>0</v>
      </c>
      <c r="AD1576" s="191" t="n"/>
    </row>
    <row r="1577">
      <c r="A1577" s="191" t="inlineStr">
        <is>
          <t>FIREHOL_THREAT</t>
        </is>
      </c>
      <c r="B1577" s="191" t="inlineStr">
        <is>
          <t>b7923b1de143</t>
        </is>
      </c>
      <c r="C1577" s="191" t="inlineStr">
        <is>
          <t>DROP List CIDR: 5.105.220.0/24 | FireHOL L1 threat IP/CIDR | ASN: FireHOL-L1</t>
        </is>
      </c>
      <c r="D1577" s="191" t="n">
        <v>6</v>
      </c>
      <c r="E1577" s="191" t="inlineStr">
        <is>
          <t>MEDIUM</t>
        </is>
      </c>
      <c r="F1577" s="191" t="n">
        <v>2</v>
      </c>
      <c r="G1577" s="191" t="n">
        <v>2</v>
      </c>
      <c r="H1577" s="191" t="inlineStr">
        <is>
          <t>MEDIUM</t>
        </is>
      </c>
      <c r="I1577" s="191" t="n">
        <v>10</v>
      </c>
      <c r="J1577" s="191" t="inlineStr">
        <is>
          <t>NO</t>
        </is>
      </c>
      <c r="K1577" s="192" t="inlineStr">
        <is>
          <t>https://www.spamhaus.org/drop/</t>
        </is>
      </c>
      <c r="L1577" s="191" t="inlineStr">
        <is>
          <t>2026-02-23 23:48</t>
        </is>
      </c>
      <c r="M1577" s="191" t="inlineStr">
        <is>
          <t>Block CIDR</t>
        </is>
      </c>
      <c r="N1577" s="192" t="inlineStr">
        <is>
          <t>https://www.spamhaus.org/drop/</t>
        </is>
      </c>
      <c r="O1577" s="191" t="inlineStr">
        <is>
          <t>Block CIDR 5.105.220.0/24 at firewall</t>
        </is>
      </c>
      <c r="P1577" s="191" t="inlineStr">
        <is>
          <t>Firewall/Email</t>
        </is>
      </c>
      <c r="Q1577" s="191" t="inlineStr">
        <is>
          <t>P4</t>
        </is>
      </c>
      <c r="R1577" s="191" t="inlineStr">
        <is>
          <t>🔍 Investigate and apply appropriate controls</t>
        </is>
      </c>
      <c r="S1577" s="191" t="inlineStr">
        <is>
          <t>Spamhaus - CIDR range</t>
        </is>
      </c>
      <c r="T1577" s="191" t="n">
        <v>0</v>
      </c>
      <c r="U1577" s="191" t="n">
        <v>0</v>
      </c>
      <c r="V1577" s="191" t="inlineStr">
        <is>
          <t>T1566:Phishing | T1078:Valid Accounts</t>
        </is>
      </c>
      <c r="W1577" s="191" t="n">
        <v>1</v>
      </c>
      <c r="X1577" s="191" t="inlineStr">
        <is>
          <t>LOW (40%)</t>
        </is>
      </c>
      <c r="Y1577" s="191" t="inlineStr">
        <is>
          <t>NONE</t>
        </is>
      </c>
      <c r="Z1577" s="191" t="inlineStr">
        <is>
          <t>NONE</t>
        </is>
      </c>
      <c r="AA1577" s="191" t="inlineStr">
        <is>
          <t>NONE</t>
        </is>
      </c>
      <c r="AB1577" s="191" t="inlineStr">
        <is>
          <t>NONE</t>
        </is>
      </c>
      <c r="AC1577" s="191" t="n">
        <v>0</v>
      </c>
      <c r="AD1577" s="191" t="n"/>
    </row>
    <row r="1578">
      <c r="A1578" s="191" t="inlineStr">
        <is>
          <t>FIREHOL_THREAT</t>
        </is>
      </c>
      <c r="B1578" s="191" t="inlineStr">
        <is>
          <t>5d964bd4d6cf</t>
        </is>
      </c>
      <c r="C1578" s="191" t="inlineStr">
        <is>
          <t>DROP List CIDR: 5.133.101.0/24 | FireHOL L1 threat IP/CIDR | ASN: FireHOL-L1</t>
        </is>
      </c>
      <c r="D1578" s="191" t="n">
        <v>6</v>
      </c>
      <c r="E1578" s="191" t="inlineStr">
        <is>
          <t>MEDIUM</t>
        </is>
      </c>
      <c r="F1578" s="191" t="n">
        <v>2</v>
      </c>
      <c r="G1578" s="191" t="n">
        <v>2</v>
      </c>
      <c r="H1578" s="191" t="inlineStr">
        <is>
          <t>MEDIUM</t>
        </is>
      </c>
      <c r="I1578" s="191" t="n">
        <v>10</v>
      </c>
      <c r="J1578" s="191" t="inlineStr">
        <is>
          <t>NO</t>
        </is>
      </c>
      <c r="K1578" s="192" t="inlineStr">
        <is>
          <t>https://www.spamhaus.org/drop/</t>
        </is>
      </c>
      <c r="L1578" s="191" t="inlineStr">
        <is>
          <t>2026-02-23 23:48</t>
        </is>
      </c>
      <c r="M1578" s="191" t="inlineStr">
        <is>
          <t>Block CIDR</t>
        </is>
      </c>
      <c r="N1578" s="192" t="inlineStr">
        <is>
          <t>https://www.spamhaus.org/drop/</t>
        </is>
      </c>
      <c r="O1578" s="191" t="inlineStr">
        <is>
          <t>Block CIDR 5.133.101.0/24 at firewall</t>
        </is>
      </c>
      <c r="P1578" s="191" t="inlineStr">
        <is>
          <t>Firewall/Email</t>
        </is>
      </c>
      <c r="Q1578" s="191" t="inlineStr">
        <is>
          <t>P4</t>
        </is>
      </c>
      <c r="R1578" s="191" t="inlineStr">
        <is>
          <t>🔍 Investigate and apply appropriate controls</t>
        </is>
      </c>
      <c r="S1578" s="191" t="inlineStr">
        <is>
          <t>Spamhaus - CIDR range</t>
        </is>
      </c>
      <c r="T1578" s="191" t="n">
        <v>0</v>
      </c>
      <c r="U1578" s="191" t="n">
        <v>0</v>
      </c>
      <c r="V1578" s="191" t="inlineStr">
        <is>
          <t>T1566:Phishing | T1078:Valid Accounts</t>
        </is>
      </c>
      <c r="W1578" s="191" t="n">
        <v>1</v>
      </c>
      <c r="X1578" s="191" t="inlineStr">
        <is>
          <t>LOW (40%)</t>
        </is>
      </c>
      <c r="Y1578" s="191" t="inlineStr">
        <is>
          <t>NONE</t>
        </is>
      </c>
      <c r="Z1578" s="191" t="inlineStr">
        <is>
          <t>NONE</t>
        </is>
      </c>
      <c r="AA1578" s="191" t="inlineStr">
        <is>
          <t>NONE</t>
        </is>
      </c>
      <c r="AB1578" s="191" t="inlineStr">
        <is>
          <t>NONE</t>
        </is>
      </c>
      <c r="AC1578" s="191" t="n">
        <v>0</v>
      </c>
      <c r="AD1578" s="191" t="n"/>
    </row>
    <row r="1579">
      <c r="A1579" s="191" t="inlineStr">
        <is>
          <t>FIREHOL_THREAT</t>
        </is>
      </c>
      <c r="B1579" s="191" t="inlineStr">
        <is>
          <t>c4fe416e3720</t>
        </is>
      </c>
      <c r="C1579" s="191" t="inlineStr">
        <is>
          <t>DROP List CIDR: 5.182.210.0/23 | FireHOL L1 threat IP/CIDR | ASN: FireHOL-L1</t>
        </is>
      </c>
      <c r="D1579" s="191" t="n">
        <v>6</v>
      </c>
      <c r="E1579" s="191" t="inlineStr">
        <is>
          <t>MEDIUM</t>
        </is>
      </c>
      <c r="F1579" s="191" t="n">
        <v>2</v>
      </c>
      <c r="G1579" s="191" t="n">
        <v>2</v>
      </c>
      <c r="H1579" s="191" t="inlineStr">
        <is>
          <t>MEDIUM</t>
        </is>
      </c>
      <c r="I1579" s="191" t="n">
        <v>10</v>
      </c>
      <c r="J1579" s="191" t="inlineStr">
        <is>
          <t>NO</t>
        </is>
      </c>
      <c r="K1579" s="192" t="inlineStr">
        <is>
          <t>https://www.spamhaus.org/drop/</t>
        </is>
      </c>
      <c r="L1579" s="191" t="inlineStr">
        <is>
          <t>2026-02-23 23:48</t>
        </is>
      </c>
      <c r="M1579" s="191" t="inlineStr">
        <is>
          <t>Block CIDR</t>
        </is>
      </c>
      <c r="N1579" s="192" t="inlineStr">
        <is>
          <t>https://www.spamhaus.org/drop/</t>
        </is>
      </c>
      <c r="O1579" s="191" t="inlineStr">
        <is>
          <t>Block CIDR 5.182.210.0/23 at firewall</t>
        </is>
      </c>
      <c r="P1579" s="191" t="inlineStr">
        <is>
          <t>Firewall/Email</t>
        </is>
      </c>
      <c r="Q1579" s="191" t="inlineStr">
        <is>
          <t>P4</t>
        </is>
      </c>
      <c r="R1579" s="191" t="inlineStr">
        <is>
          <t>🔍 Investigate and apply appropriate controls</t>
        </is>
      </c>
      <c r="S1579" s="191" t="inlineStr">
        <is>
          <t>Spamhaus - CIDR range</t>
        </is>
      </c>
      <c r="T1579" s="191" t="n">
        <v>0</v>
      </c>
      <c r="U1579" s="191" t="n">
        <v>0</v>
      </c>
      <c r="V1579" s="191" t="inlineStr">
        <is>
          <t>T1566:Phishing | T1078:Valid Accounts</t>
        </is>
      </c>
      <c r="W1579" s="191" t="n">
        <v>1</v>
      </c>
      <c r="X1579" s="191" t="inlineStr">
        <is>
          <t>LOW (40%)</t>
        </is>
      </c>
      <c r="Y1579" s="191" t="inlineStr">
        <is>
          <t>NONE</t>
        </is>
      </c>
      <c r="Z1579" s="191" t="inlineStr">
        <is>
          <t>NONE</t>
        </is>
      </c>
      <c r="AA1579" s="191" t="inlineStr">
        <is>
          <t>NONE</t>
        </is>
      </c>
      <c r="AB1579" s="191" t="inlineStr">
        <is>
          <t>NONE</t>
        </is>
      </c>
      <c r="AC1579" s="191" t="n">
        <v>0</v>
      </c>
      <c r="AD1579" s="191" t="n"/>
    </row>
    <row r="1580">
      <c r="A1580" s="191" t="inlineStr">
        <is>
          <t>FIREHOL_THREAT</t>
        </is>
      </c>
      <c r="B1580" s="191" t="inlineStr">
        <is>
          <t>abf3929f9458</t>
        </is>
      </c>
      <c r="C1580" s="191" t="inlineStr">
        <is>
          <t>DROP List CIDR: 5.183.60.0/22 | FireHOL L1 threat IP/CIDR | ASN: FireHOL-L1</t>
        </is>
      </c>
      <c r="D1580" s="191" t="n">
        <v>6</v>
      </c>
      <c r="E1580" s="191" t="inlineStr">
        <is>
          <t>MEDIUM</t>
        </is>
      </c>
      <c r="F1580" s="191" t="n">
        <v>2</v>
      </c>
      <c r="G1580" s="191" t="n">
        <v>2</v>
      </c>
      <c r="H1580" s="191" t="inlineStr">
        <is>
          <t>MEDIUM</t>
        </is>
      </c>
      <c r="I1580" s="191" t="n">
        <v>10</v>
      </c>
      <c r="J1580" s="191" t="inlineStr">
        <is>
          <t>NO</t>
        </is>
      </c>
      <c r="K1580" s="192" t="inlineStr">
        <is>
          <t>https://www.spamhaus.org/drop/</t>
        </is>
      </c>
      <c r="L1580" s="191" t="inlineStr">
        <is>
          <t>2026-02-23 23:48</t>
        </is>
      </c>
      <c r="M1580" s="191" t="inlineStr">
        <is>
          <t>Block CIDR</t>
        </is>
      </c>
      <c r="N1580" s="192" t="inlineStr">
        <is>
          <t>https://www.spamhaus.org/drop/</t>
        </is>
      </c>
      <c r="O1580" s="191" t="inlineStr">
        <is>
          <t>Block CIDR 5.183.60.0/22 at firewall</t>
        </is>
      </c>
      <c r="P1580" s="191" t="inlineStr">
        <is>
          <t>Firewall/Email</t>
        </is>
      </c>
      <c r="Q1580" s="191" t="inlineStr">
        <is>
          <t>P4</t>
        </is>
      </c>
      <c r="R1580" s="191" t="inlineStr">
        <is>
          <t>🔍 Investigate and apply appropriate controls</t>
        </is>
      </c>
      <c r="S1580" s="191" t="inlineStr">
        <is>
          <t>Spamhaus - CIDR range</t>
        </is>
      </c>
      <c r="T1580" s="191" t="n">
        <v>0</v>
      </c>
      <c r="U1580" s="191" t="n">
        <v>0</v>
      </c>
      <c r="V1580" s="191" t="inlineStr">
        <is>
          <t>T1566:Phishing | T1078:Valid Accounts</t>
        </is>
      </c>
      <c r="W1580" s="191" t="n">
        <v>1</v>
      </c>
      <c r="X1580" s="191" t="inlineStr">
        <is>
          <t>LOW (40%)</t>
        </is>
      </c>
      <c r="Y1580" s="191" t="inlineStr">
        <is>
          <t>NONE</t>
        </is>
      </c>
      <c r="Z1580" s="191" t="inlineStr">
        <is>
          <t>NONE</t>
        </is>
      </c>
      <c r="AA1580" s="191" t="inlineStr">
        <is>
          <t>NONE</t>
        </is>
      </c>
      <c r="AB1580" s="191" t="inlineStr">
        <is>
          <t>NONE</t>
        </is>
      </c>
      <c r="AC1580" s="191" t="n">
        <v>0</v>
      </c>
      <c r="AD1580" s="191" t="n"/>
    </row>
    <row r="1581">
      <c r="A1581" s="191" t="inlineStr">
        <is>
          <t>FIREHOL_THREAT</t>
        </is>
      </c>
      <c r="B1581" s="191" t="inlineStr">
        <is>
          <t>37c61e81282e</t>
        </is>
      </c>
      <c r="C1581" s="191" t="inlineStr">
        <is>
          <t>DROP List CIDR: 5.188.11.0/24 | FireHOL L1 threat IP/CIDR | ASN: FireHOL-L1</t>
        </is>
      </c>
      <c r="D1581" s="191" t="n">
        <v>6</v>
      </c>
      <c r="E1581" s="191" t="inlineStr">
        <is>
          <t>MEDIUM</t>
        </is>
      </c>
      <c r="F1581" s="191" t="n">
        <v>2</v>
      </c>
      <c r="G1581" s="191" t="n">
        <v>2</v>
      </c>
      <c r="H1581" s="191" t="inlineStr">
        <is>
          <t>MEDIUM</t>
        </is>
      </c>
      <c r="I1581" s="191" t="n">
        <v>10</v>
      </c>
      <c r="J1581" s="191" t="inlineStr">
        <is>
          <t>NO</t>
        </is>
      </c>
      <c r="K1581" s="192" t="inlineStr">
        <is>
          <t>https://www.spamhaus.org/drop/</t>
        </is>
      </c>
      <c r="L1581" s="191" t="inlineStr">
        <is>
          <t>2026-02-23 23:48</t>
        </is>
      </c>
      <c r="M1581" s="191" t="inlineStr">
        <is>
          <t>Block CIDR</t>
        </is>
      </c>
      <c r="N1581" s="192" t="inlineStr">
        <is>
          <t>https://www.spamhaus.org/drop/</t>
        </is>
      </c>
      <c r="O1581" s="191" t="inlineStr">
        <is>
          <t>Block CIDR 5.188.11.0/24 at firewall</t>
        </is>
      </c>
      <c r="P1581" s="191" t="inlineStr">
        <is>
          <t>Firewall/Email</t>
        </is>
      </c>
      <c r="Q1581" s="191" t="inlineStr">
        <is>
          <t>P4</t>
        </is>
      </c>
      <c r="R1581" s="191" t="inlineStr">
        <is>
          <t>🔍 Investigate and apply appropriate controls</t>
        </is>
      </c>
      <c r="S1581" s="191" t="inlineStr">
        <is>
          <t>Spamhaus - CIDR range</t>
        </is>
      </c>
      <c r="T1581" s="191" t="n">
        <v>0</v>
      </c>
      <c r="U1581" s="191" t="n">
        <v>0</v>
      </c>
      <c r="V1581" s="191" t="inlineStr">
        <is>
          <t>T1566:Phishing | T1078:Valid Accounts</t>
        </is>
      </c>
      <c r="W1581" s="191" t="n">
        <v>1</v>
      </c>
      <c r="X1581" s="191" t="inlineStr">
        <is>
          <t>LOW (40%)</t>
        </is>
      </c>
      <c r="Y1581" s="191" t="inlineStr">
        <is>
          <t>NONE</t>
        </is>
      </c>
      <c r="Z1581" s="191" t="inlineStr">
        <is>
          <t>NONE</t>
        </is>
      </c>
      <c r="AA1581" s="191" t="inlineStr">
        <is>
          <t>NONE</t>
        </is>
      </c>
      <c r="AB1581" s="191" t="inlineStr">
        <is>
          <t>NONE</t>
        </is>
      </c>
      <c r="AC1581" s="191" t="n">
        <v>0</v>
      </c>
      <c r="AD1581" s="191" t="n"/>
    </row>
    <row r="1582">
      <c r="A1582" s="191" t="inlineStr">
        <is>
          <t>FIREHOL_THREAT</t>
        </is>
      </c>
      <c r="B1582" s="191" t="inlineStr">
        <is>
          <t>67385c68666e</t>
        </is>
      </c>
      <c r="C1582" s="191" t="inlineStr">
        <is>
          <t>DROP List CIDR: 5.188.236.0/23 | FireHOL L1 threat IP/CIDR | ASN: FireHOL-L1</t>
        </is>
      </c>
      <c r="D1582" s="191" t="n">
        <v>6</v>
      </c>
      <c r="E1582" s="191" t="inlineStr">
        <is>
          <t>MEDIUM</t>
        </is>
      </c>
      <c r="F1582" s="191" t="n">
        <v>2</v>
      </c>
      <c r="G1582" s="191" t="n">
        <v>2</v>
      </c>
      <c r="H1582" s="191" t="inlineStr">
        <is>
          <t>MEDIUM</t>
        </is>
      </c>
      <c r="I1582" s="191" t="n">
        <v>10</v>
      </c>
      <c r="J1582" s="191" t="inlineStr">
        <is>
          <t>NO</t>
        </is>
      </c>
      <c r="K1582" s="192" t="inlineStr">
        <is>
          <t>https://www.spamhaus.org/drop/</t>
        </is>
      </c>
      <c r="L1582" s="191" t="inlineStr">
        <is>
          <t>2026-02-23 23:48</t>
        </is>
      </c>
      <c r="M1582" s="191" t="inlineStr">
        <is>
          <t>Block CIDR</t>
        </is>
      </c>
      <c r="N1582" s="192" t="inlineStr">
        <is>
          <t>https://www.spamhaus.org/drop/</t>
        </is>
      </c>
      <c r="O1582" s="191" t="inlineStr">
        <is>
          <t>Block CIDR 5.188.236.0/23 at firewall</t>
        </is>
      </c>
      <c r="P1582" s="191" t="inlineStr">
        <is>
          <t>Firewall/Email</t>
        </is>
      </c>
      <c r="Q1582" s="191" t="inlineStr">
        <is>
          <t>P4</t>
        </is>
      </c>
      <c r="R1582" s="191" t="inlineStr">
        <is>
          <t>🔍 Investigate and apply appropriate controls</t>
        </is>
      </c>
      <c r="S1582" s="191" t="inlineStr">
        <is>
          <t>Spamhaus - CIDR range</t>
        </is>
      </c>
      <c r="T1582" s="191" t="n">
        <v>0</v>
      </c>
      <c r="U1582" s="191" t="n">
        <v>0</v>
      </c>
      <c r="V1582" s="191" t="inlineStr">
        <is>
          <t>T1566:Phishing | T1078:Valid Accounts</t>
        </is>
      </c>
      <c r="W1582" s="191" t="n">
        <v>1</v>
      </c>
      <c r="X1582" s="191" t="inlineStr">
        <is>
          <t>LOW (40%)</t>
        </is>
      </c>
      <c r="Y1582" s="191" t="inlineStr">
        <is>
          <t>NONE</t>
        </is>
      </c>
      <c r="Z1582" s="191" t="inlineStr">
        <is>
          <t>NONE</t>
        </is>
      </c>
      <c r="AA1582" s="191" t="inlineStr">
        <is>
          <t>NONE</t>
        </is>
      </c>
      <c r="AB1582" s="191" t="inlineStr">
        <is>
          <t>NONE</t>
        </is>
      </c>
      <c r="AC1582" s="191" t="n">
        <v>0</v>
      </c>
      <c r="AD1582" s="191" t="n"/>
    </row>
    <row r="1583">
      <c r="A1583" s="191" t="inlineStr">
        <is>
          <t>FIREHOL_THREAT</t>
        </is>
      </c>
      <c r="B1583" s="191" t="inlineStr">
        <is>
          <t>d4714d0e2eaa</t>
        </is>
      </c>
      <c r="C1583" s="191" t="inlineStr">
        <is>
          <t>DROP List CIDR: 10.0.0.0/8 | FireHOL L1 threat IP/CIDR | ASN: FireHOL-L1</t>
        </is>
      </c>
      <c r="D1583" s="191" t="n">
        <v>6</v>
      </c>
      <c r="E1583" s="191" t="inlineStr">
        <is>
          <t>MEDIUM</t>
        </is>
      </c>
      <c r="F1583" s="191" t="n">
        <v>2</v>
      </c>
      <c r="G1583" s="191" t="n">
        <v>2</v>
      </c>
      <c r="H1583" s="191" t="inlineStr">
        <is>
          <t>MEDIUM</t>
        </is>
      </c>
      <c r="I1583" s="191" t="n">
        <v>10</v>
      </c>
      <c r="J1583" s="191" t="inlineStr">
        <is>
          <t>NO</t>
        </is>
      </c>
      <c r="K1583" s="192" t="inlineStr">
        <is>
          <t>https://www.spamhaus.org/drop/</t>
        </is>
      </c>
      <c r="L1583" s="191" t="inlineStr">
        <is>
          <t>2026-02-23 23:48</t>
        </is>
      </c>
      <c r="M1583" s="191" t="inlineStr">
        <is>
          <t>Block CIDR</t>
        </is>
      </c>
      <c r="N1583" s="192" t="inlineStr">
        <is>
          <t>https://www.spamhaus.org/drop/</t>
        </is>
      </c>
      <c r="O1583" s="191" t="inlineStr">
        <is>
          <t>Block CIDR 10.0.0.0/8 at firewall</t>
        </is>
      </c>
      <c r="P1583" s="191" t="inlineStr">
        <is>
          <t>Firewall/Email</t>
        </is>
      </c>
      <c r="Q1583" s="191" t="inlineStr">
        <is>
          <t>P4</t>
        </is>
      </c>
      <c r="R1583" s="191" t="inlineStr">
        <is>
          <t>🔍 Investigate and apply appropriate controls</t>
        </is>
      </c>
      <c r="S1583" s="191" t="inlineStr">
        <is>
          <t>Spamhaus - CIDR range</t>
        </is>
      </c>
      <c r="T1583" s="191" t="n">
        <v>0</v>
      </c>
      <c r="U1583" s="191" t="n">
        <v>0</v>
      </c>
      <c r="V1583" s="191" t="inlineStr">
        <is>
          <t>T1566:Phishing | T1078:Valid Accounts</t>
        </is>
      </c>
      <c r="W1583" s="191" t="n">
        <v>1</v>
      </c>
      <c r="X1583" s="191" t="inlineStr">
        <is>
          <t>LOW (40%)</t>
        </is>
      </c>
      <c r="Y1583" s="191" t="inlineStr">
        <is>
          <t>NONE</t>
        </is>
      </c>
      <c r="Z1583" s="191" t="inlineStr">
        <is>
          <t>NONE</t>
        </is>
      </c>
      <c r="AA1583" s="191" t="inlineStr">
        <is>
          <t>NONE</t>
        </is>
      </c>
      <c r="AB1583" s="191" t="inlineStr">
        <is>
          <t>NONE</t>
        </is>
      </c>
      <c r="AC1583" s="191" t="n">
        <v>0</v>
      </c>
      <c r="AD1583" s="191" t="n"/>
    </row>
    <row r="1584">
      <c r="A1584" s="191" t="inlineStr">
        <is>
          <t>FIREHOL_THREAT</t>
        </is>
      </c>
      <c r="B1584" s="191" t="inlineStr">
        <is>
          <t>19418b89cc5a</t>
        </is>
      </c>
      <c r="C1584" s="191" t="inlineStr">
        <is>
          <t>DROP List CIDR: 14.102.240.0/20 | FireHOL L1 threat IP/CIDR | ASN: FireHOL-L1</t>
        </is>
      </c>
      <c r="D1584" s="191" t="n">
        <v>6</v>
      </c>
      <c r="E1584" s="191" t="inlineStr">
        <is>
          <t>MEDIUM</t>
        </is>
      </c>
      <c r="F1584" s="191" t="n">
        <v>2</v>
      </c>
      <c r="G1584" s="191" t="n">
        <v>2</v>
      </c>
      <c r="H1584" s="191" t="inlineStr">
        <is>
          <t>MEDIUM</t>
        </is>
      </c>
      <c r="I1584" s="191" t="n">
        <v>10</v>
      </c>
      <c r="J1584" s="191" t="inlineStr">
        <is>
          <t>NO</t>
        </is>
      </c>
      <c r="K1584" s="192" t="inlineStr">
        <is>
          <t>https://www.spamhaus.org/drop/</t>
        </is>
      </c>
      <c r="L1584" s="191" t="inlineStr">
        <is>
          <t>2026-02-23 23:48</t>
        </is>
      </c>
      <c r="M1584" s="191" t="inlineStr">
        <is>
          <t>Block CIDR</t>
        </is>
      </c>
      <c r="N1584" s="192" t="inlineStr">
        <is>
          <t>https://www.spamhaus.org/drop/</t>
        </is>
      </c>
      <c r="O1584" s="191" t="inlineStr">
        <is>
          <t>Block CIDR 14.102.240.0/20 at firewall</t>
        </is>
      </c>
      <c r="P1584" s="191" t="inlineStr">
        <is>
          <t>Firewall/Email</t>
        </is>
      </c>
      <c r="Q1584" s="191" t="inlineStr">
        <is>
          <t>P4</t>
        </is>
      </c>
      <c r="R1584" s="191" t="inlineStr">
        <is>
          <t>🔍 Investigate and apply appropriate controls</t>
        </is>
      </c>
      <c r="S1584" s="191" t="inlineStr">
        <is>
          <t>Spamhaus - CIDR range</t>
        </is>
      </c>
      <c r="T1584" s="191" t="n">
        <v>0</v>
      </c>
      <c r="U1584" s="191" t="n">
        <v>0</v>
      </c>
      <c r="V1584" s="191" t="inlineStr">
        <is>
          <t>T1566:Phishing | T1078:Valid Accounts</t>
        </is>
      </c>
      <c r="W1584" s="191" t="n">
        <v>1</v>
      </c>
      <c r="X1584" s="191" t="inlineStr">
        <is>
          <t>LOW (40%)</t>
        </is>
      </c>
      <c r="Y1584" s="191" t="inlineStr">
        <is>
          <t>NONE</t>
        </is>
      </c>
      <c r="Z1584" s="191" t="inlineStr">
        <is>
          <t>NONE</t>
        </is>
      </c>
      <c r="AA1584" s="191" t="inlineStr">
        <is>
          <t>NONE</t>
        </is>
      </c>
      <c r="AB1584" s="191" t="inlineStr">
        <is>
          <t>NONE</t>
        </is>
      </c>
      <c r="AC1584" s="191" t="n">
        <v>0</v>
      </c>
      <c r="AD1584" s="191" t="n"/>
    </row>
    <row r="1585">
      <c r="A1585" s="191" t="inlineStr">
        <is>
          <t>FIREHOL_THREAT</t>
        </is>
      </c>
      <c r="B1585" s="191" t="inlineStr">
        <is>
          <t>45af21402405</t>
        </is>
      </c>
      <c r="C1585" s="191" t="inlineStr">
        <is>
          <t>DROP List CIDR: 14.128.32.0/20 | FireHOL L1 threat IP/CIDR | ASN: FireHOL-L1</t>
        </is>
      </c>
      <c r="D1585" s="191" t="n">
        <v>6</v>
      </c>
      <c r="E1585" s="191" t="inlineStr">
        <is>
          <t>MEDIUM</t>
        </is>
      </c>
      <c r="F1585" s="191" t="n">
        <v>2</v>
      </c>
      <c r="G1585" s="191" t="n">
        <v>2</v>
      </c>
      <c r="H1585" s="191" t="inlineStr">
        <is>
          <t>MEDIUM</t>
        </is>
      </c>
      <c r="I1585" s="191" t="n">
        <v>10</v>
      </c>
      <c r="J1585" s="191" t="inlineStr">
        <is>
          <t>NO</t>
        </is>
      </c>
      <c r="K1585" s="192" t="inlineStr">
        <is>
          <t>https://www.spamhaus.org/drop/</t>
        </is>
      </c>
      <c r="L1585" s="191" t="inlineStr">
        <is>
          <t>2026-02-23 23:48</t>
        </is>
      </c>
      <c r="M1585" s="191" t="inlineStr">
        <is>
          <t>Block CIDR</t>
        </is>
      </c>
      <c r="N1585" s="192" t="inlineStr">
        <is>
          <t>https://www.spamhaus.org/drop/</t>
        </is>
      </c>
      <c r="O1585" s="191" t="inlineStr">
        <is>
          <t>Block CIDR 14.128.32.0/20 at firewall</t>
        </is>
      </c>
      <c r="P1585" s="191" t="inlineStr">
        <is>
          <t>Firewall/Email</t>
        </is>
      </c>
      <c r="Q1585" s="191" t="inlineStr">
        <is>
          <t>P4</t>
        </is>
      </c>
      <c r="R1585" s="191" t="inlineStr">
        <is>
          <t>🔍 Investigate and apply appropriate controls</t>
        </is>
      </c>
      <c r="S1585" s="191" t="inlineStr">
        <is>
          <t>Spamhaus - CIDR range</t>
        </is>
      </c>
      <c r="T1585" s="191" t="n">
        <v>0</v>
      </c>
      <c r="U1585" s="191" t="n">
        <v>0</v>
      </c>
      <c r="V1585" s="191" t="inlineStr">
        <is>
          <t>T1566:Phishing | T1078:Valid Accounts</t>
        </is>
      </c>
      <c r="W1585" s="191" t="n">
        <v>1</v>
      </c>
      <c r="X1585" s="191" t="inlineStr">
        <is>
          <t>LOW (40%)</t>
        </is>
      </c>
      <c r="Y1585" s="191" t="inlineStr">
        <is>
          <t>NONE</t>
        </is>
      </c>
      <c r="Z1585" s="191" t="inlineStr">
        <is>
          <t>NONE</t>
        </is>
      </c>
      <c r="AA1585" s="191" t="inlineStr">
        <is>
          <t>NONE</t>
        </is>
      </c>
      <c r="AB1585" s="191" t="inlineStr">
        <is>
          <t>NONE</t>
        </is>
      </c>
      <c r="AC1585" s="191" t="n">
        <v>0</v>
      </c>
      <c r="AD1585" s="191" t="n"/>
    </row>
    <row r="1586">
      <c r="A1586" s="191" t="inlineStr">
        <is>
          <t>FIREHOL_THREAT</t>
        </is>
      </c>
      <c r="B1586" s="191" t="inlineStr">
        <is>
          <t>4eefa27549e0</t>
        </is>
      </c>
      <c r="C1586" s="191" t="inlineStr">
        <is>
          <t>DROP List CIDR: 1.12.55.42 | FireHOL L2 threat IP/CIDR | ASN: FireHOL-L2</t>
        </is>
      </c>
      <c r="D1586" s="191" t="n">
        <v>6</v>
      </c>
      <c r="E1586" s="191" t="inlineStr">
        <is>
          <t>MEDIUM</t>
        </is>
      </c>
      <c r="F1586" s="191" t="n">
        <v>2</v>
      </c>
      <c r="G1586" s="191" t="n">
        <v>2</v>
      </c>
      <c r="H1586" s="191" t="inlineStr">
        <is>
          <t>MEDIUM</t>
        </is>
      </c>
      <c r="I1586" s="191" t="n">
        <v>10</v>
      </c>
      <c r="J1586" s="191" t="inlineStr">
        <is>
          <t>NO</t>
        </is>
      </c>
      <c r="K1586" s="192" t="inlineStr">
        <is>
          <t>https://www.spamhaus.org/drop/</t>
        </is>
      </c>
      <c r="L1586" s="191" t="inlineStr">
        <is>
          <t>2026-02-23 23:48</t>
        </is>
      </c>
      <c r="M1586" s="191" t="inlineStr">
        <is>
          <t>Block CIDR</t>
        </is>
      </c>
      <c r="N1586" s="192" t="inlineStr">
        <is>
          <t>https://www.spamhaus.org/drop/</t>
        </is>
      </c>
      <c r="O1586" s="191" t="inlineStr">
        <is>
          <t>Block CIDR 1.12.55.42 at firewall</t>
        </is>
      </c>
      <c r="P1586" s="191" t="inlineStr">
        <is>
          <t>Firewall/Email</t>
        </is>
      </c>
      <c r="Q1586" s="191" t="inlineStr">
        <is>
          <t>P4</t>
        </is>
      </c>
      <c r="R1586" s="191" t="inlineStr">
        <is>
          <t>🔍 Investigate and apply appropriate controls</t>
        </is>
      </c>
      <c r="S1586" s="191" t="inlineStr">
        <is>
          <t>Spamhaus - CIDR range</t>
        </is>
      </c>
      <c r="T1586" s="191" t="n">
        <v>0</v>
      </c>
      <c r="U1586" s="191" t="n">
        <v>0</v>
      </c>
      <c r="V1586" s="191" t="inlineStr">
        <is>
          <t>T1566:Phishing | T1078:Valid Accounts</t>
        </is>
      </c>
      <c r="W1586" s="191" t="n">
        <v>1</v>
      </c>
      <c r="X1586" s="191" t="inlineStr">
        <is>
          <t>LOW (40%)</t>
        </is>
      </c>
      <c r="Y1586" s="191" t="inlineStr">
        <is>
          <t>NONE</t>
        </is>
      </c>
      <c r="Z1586" s="191" t="inlineStr">
        <is>
          <t>NONE</t>
        </is>
      </c>
      <c r="AA1586" s="191" t="inlineStr">
        <is>
          <t>NONE</t>
        </is>
      </c>
      <c r="AB1586" s="191" t="inlineStr">
        <is>
          <t>NONE</t>
        </is>
      </c>
      <c r="AC1586" s="191" t="n">
        <v>0</v>
      </c>
      <c r="AD1586" s="191" t="n"/>
    </row>
    <row r="1587">
      <c r="A1587" s="191" t="inlineStr">
        <is>
          <t>FIREHOL_THREAT</t>
        </is>
      </c>
      <c r="B1587" s="191" t="inlineStr">
        <is>
          <t>106574688438</t>
        </is>
      </c>
      <c r="C1587" s="191" t="inlineStr">
        <is>
          <t>DROP List CIDR: 1.12.217.80 | FireHOL L2 threat IP/CIDR | ASN: FireHOL-L2</t>
        </is>
      </c>
      <c r="D1587" s="191" t="n">
        <v>6</v>
      </c>
      <c r="E1587" s="191" t="inlineStr">
        <is>
          <t>MEDIUM</t>
        </is>
      </c>
      <c r="F1587" s="191" t="n">
        <v>2</v>
      </c>
      <c r="G1587" s="191" t="n">
        <v>2</v>
      </c>
      <c r="H1587" s="191" t="inlineStr">
        <is>
          <t>MEDIUM</t>
        </is>
      </c>
      <c r="I1587" s="191" t="n">
        <v>10</v>
      </c>
      <c r="J1587" s="191" t="inlineStr">
        <is>
          <t>NO</t>
        </is>
      </c>
      <c r="K1587" s="192" t="inlineStr">
        <is>
          <t>https://www.spamhaus.org/drop/</t>
        </is>
      </c>
      <c r="L1587" s="191" t="inlineStr">
        <is>
          <t>2026-02-23 23:48</t>
        </is>
      </c>
      <c r="M1587" s="191" t="inlineStr">
        <is>
          <t>Block CIDR</t>
        </is>
      </c>
      <c r="N1587" s="192" t="inlineStr">
        <is>
          <t>https://www.spamhaus.org/drop/</t>
        </is>
      </c>
      <c r="O1587" s="191" t="inlineStr">
        <is>
          <t>Block CIDR 1.12.217.80 at firewall</t>
        </is>
      </c>
      <c r="P1587" s="191" t="inlineStr">
        <is>
          <t>Firewall/Email</t>
        </is>
      </c>
      <c r="Q1587" s="191" t="inlineStr">
        <is>
          <t>P4</t>
        </is>
      </c>
      <c r="R1587" s="191" t="inlineStr">
        <is>
          <t>🔍 Investigate and apply appropriate controls</t>
        </is>
      </c>
      <c r="S1587" s="191" t="inlineStr">
        <is>
          <t>Spamhaus - CIDR range</t>
        </is>
      </c>
      <c r="T1587" s="191" t="n">
        <v>0</v>
      </c>
      <c r="U1587" s="191" t="n">
        <v>0</v>
      </c>
      <c r="V1587" s="191" t="inlineStr">
        <is>
          <t>T1566:Phishing | T1078:Valid Accounts</t>
        </is>
      </c>
      <c r="W1587" s="191" t="n">
        <v>1</v>
      </c>
      <c r="X1587" s="191" t="inlineStr">
        <is>
          <t>LOW (40%)</t>
        </is>
      </c>
      <c r="Y1587" s="191" t="inlineStr">
        <is>
          <t>NONE</t>
        </is>
      </c>
      <c r="Z1587" s="191" t="inlineStr">
        <is>
          <t>NONE</t>
        </is>
      </c>
      <c r="AA1587" s="191" t="inlineStr">
        <is>
          <t>NONE</t>
        </is>
      </c>
      <c r="AB1587" s="191" t="inlineStr">
        <is>
          <t>NONE</t>
        </is>
      </c>
      <c r="AC1587" s="191" t="n">
        <v>0</v>
      </c>
      <c r="AD1587" s="191" t="n"/>
    </row>
    <row r="1588">
      <c r="A1588" s="191" t="inlineStr">
        <is>
          <t>FIREHOL_THREAT</t>
        </is>
      </c>
      <c r="B1588" s="191" t="inlineStr">
        <is>
          <t>b2c07aa1d291</t>
        </is>
      </c>
      <c r="C1588" s="191" t="inlineStr">
        <is>
          <t>DROP List CIDR: 1.15.136.28 | FireHOL L2 threat IP/CIDR | ASN: FireHOL-L2</t>
        </is>
      </c>
      <c r="D1588" s="191" t="n">
        <v>6</v>
      </c>
      <c r="E1588" s="191" t="inlineStr">
        <is>
          <t>MEDIUM</t>
        </is>
      </c>
      <c r="F1588" s="191" t="n">
        <v>2</v>
      </c>
      <c r="G1588" s="191" t="n">
        <v>2</v>
      </c>
      <c r="H1588" s="191" t="inlineStr">
        <is>
          <t>MEDIUM</t>
        </is>
      </c>
      <c r="I1588" s="191" t="n">
        <v>10</v>
      </c>
      <c r="J1588" s="191" t="inlineStr">
        <is>
          <t>NO</t>
        </is>
      </c>
      <c r="K1588" s="192" t="inlineStr">
        <is>
          <t>https://www.spamhaus.org/drop/</t>
        </is>
      </c>
      <c r="L1588" s="191" t="inlineStr">
        <is>
          <t>2026-02-23 23:48</t>
        </is>
      </c>
      <c r="M1588" s="191" t="inlineStr">
        <is>
          <t>Block CIDR</t>
        </is>
      </c>
      <c r="N1588" s="192" t="inlineStr">
        <is>
          <t>https://www.spamhaus.org/drop/</t>
        </is>
      </c>
      <c r="O1588" s="191" t="inlineStr">
        <is>
          <t>Block CIDR 1.15.136.28 at firewall</t>
        </is>
      </c>
      <c r="P1588" s="191" t="inlineStr">
        <is>
          <t>Firewall/Email</t>
        </is>
      </c>
      <c r="Q1588" s="191" t="inlineStr">
        <is>
          <t>P4</t>
        </is>
      </c>
      <c r="R1588" s="191" t="inlineStr">
        <is>
          <t>🔍 Investigate and apply appropriate controls</t>
        </is>
      </c>
      <c r="S1588" s="191" t="inlineStr">
        <is>
          <t>Spamhaus - CIDR range</t>
        </is>
      </c>
      <c r="T1588" s="191" t="n">
        <v>0</v>
      </c>
      <c r="U1588" s="191" t="n">
        <v>0</v>
      </c>
      <c r="V1588" s="191" t="inlineStr">
        <is>
          <t>T1566:Phishing | T1078:Valid Accounts</t>
        </is>
      </c>
      <c r="W1588" s="191" t="n">
        <v>1</v>
      </c>
      <c r="X1588" s="191" t="inlineStr">
        <is>
          <t>LOW (40%)</t>
        </is>
      </c>
      <c r="Y1588" s="191" t="inlineStr">
        <is>
          <t>NONE</t>
        </is>
      </c>
      <c r="Z1588" s="191" t="inlineStr">
        <is>
          <t>NONE</t>
        </is>
      </c>
      <c r="AA1588" s="191" t="inlineStr">
        <is>
          <t>NONE</t>
        </is>
      </c>
      <c r="AB1588" s="191" t="inlineStr">
        <is>
          <t>NONE</t>
        </is>
      </c>
      <c r="AC1588" s="191" t="n">
        <v>0</v>
      </c>
      <c r="AD1588" s="191" t="n"/>
    </row>
    <row r="1589">
      <c r="A1589" s="191" t="inlineStr">
        <is>
          <t>FIREHOL_THREAT</t>
        </is>
      </c>
      <c r="B1589" s="191" t="inlineStr">
        <is>
          <t>d28316cdbee2</t>
        </is>
      </c>
      <c r="C1589" s="191" t="inlineStr">
        <is>
          <t>DROP List CIDR: 1.24.210.27 | FireHOL L2 threat IP/CIDR | ASN: FireHOL-L2</t>
        </is>
      </c>
      <c r="D1589" s="191" t="n">
        <v>6</v>
      </c>
      <c r="E1589" s="191" t="inlineStr">
        <is>
          <t>MEDIUM</t>
        </is>
      </c>
      <c r="F1589" s="191" t="n">
        <v>2</v>
      </c>
      <c r="G1589" s="191" t="n">
        <v>2</v>
      </c>
      <c r="H1589" s="191" t="inlineStr">
        <is>
          <t>MEDIUM</t>
        </is>
      </c>
      <c r="I1589" s="191" t="n">
        <v>10</v>
      </c>
      <c r="J1589" s="191" t="inlineStr">
        <is>
          <t>NO</t>
        </is>
      </c>
      <c r="K1589" s="192" t="inlineStr">
        <is>
          <t>https://www.spamhaus.org/drop/</t>
        </is>
      </c>
      <c r="L1589" s="191" t="inlineStr">
        <is>
          <t>2026-02-23 23:48</t>
        </is>
      </c>
      <c r="M1589" s="191" t="inlineStr">
        <is>
          <t>Block CIDR</t>
        </is>
      </c>
      <c r="N1589" s="192" t="inlineStr">
        <is>
          <t>https://www.spamhaus.org/drop/</t>
        </is>
      </c>
      <c r="O1589" s="191" t="inlineStr">
        <is>
          <t>Block CIDR 1.24.210.27 at firewall</t>
        </is>
      </c>
      <c r="P1589" s="191" t="inlineStr">
        <is>
          <t>Firewall/Email</t>
        </is>
      </c>
      <c r="Q1589" s="191" t="inlineStr">
        <is>
          <t>P4</t>
        </is>
      </c>
      <c r="R1589" s="191" t="inlineStr">
        <is>
          <t>🔍 Investigate and apply appropriate controls</t>
        </is>
      </c>
      <c r="S1589" s="191" t="inlineStr">
        <is>
          <t>Spamhaus - CIDR range</t>
        </is>
      </c>
      <c r="T1589" s="191" t="n">
        <v>0</v>
      </c>
      <c r="U1589" s="191" t="n">
        <v>0</v>
      </c>
      <c r="V1589" s="191" t="inlineStr">
        <is>
          <t>T1566:Phishing | T1078:Valid Accounts</t>
        </is>
      </c>
      <c r="W1589" s="191" t="n">
        <v>1</v>
      </c>
      <c r="X1589" s="191" t="inlineStr">
        <is>
          <t>LOW (40%)</t>
        </is>
      </c>
      <c r="Y1589" s="191" t="inlineStr">
        <is>
          <t>NONE</t>
        </is>
      </c>
      <c r="Z1589" s="191" t="inlineStr">
        <is>
          <t>NONE</t>
        </is>
      </c>
      <c r="AA1589" s="191" t="inlineStr">
        <is>
          <t>NONE</t>
        </is>
      </c>
      <c r="AB1589" s="191" t="inlineStr">
        <is>
          <t>NONE</t>
        </is>
      </c>
      <c r="AC1589" s="191" t="n">
        <v>0</v>
      </c>
      <c r="AD1589" s="191" t="n"/>
    </row>
    <row r="1590">
      <c r="A1590" s="191" t="inlineStr">
        <is>
          <t>FIREHOL_THREAT</t>
        </is>
      </c>
      <c r="B1590" s="191" t="inlineStr">
        <is>
          <t>286e31c4d50b</t>
        </is>
      </c>
      <c r="C1590" s="191" t="inlineStr">
        <is>
          <t>DROP List CIDR: 1.30.20.98 | FireHOL L2 threat IP/CIDR | ASN: FireHOL-L2</t>
        </is>
      </c>
      <c r="D1590" s="191" t="n">
        <v>6</v>
      </c>
      <c r="E1590" s="191" t="inlineStr">
        <is>
          <t>MEDIUM</t>
        </is>
      </c>
      <c r="F1590" s="191" t="n">
        <v>2</v>
      </c>
      <c r="G1590" s="191" t="n">
        <v>2</v>
      </c>
      <c r="H1590" s="191" t="inlineStr">
        <is>
          <t>MEDIUM</t>
        </is>
      </c>
      <c r="I1590" s="191" t="n">
        <v>10</v>
      </c>
      <c r="J1590" s="191" t="inlineStr">
        <is>
          <t>NO</t>
        </is>
      </c>
      <c r="K1590" s="192" t="inlineStr">
        <is>
          <t>https://www.spamhaus.org/drop/</t>
        </is>
      </c>
      <c r="L1590" s="191" t="inlineStr">
        <is>
          <t>2026-02-23 23:48</t>
        </is>
      </c>
      <c r="M1590" s="191" t="inlineStr">
        <is>
          <t>Block CIDR</t>
        </is>
      </c>
      <c r="N1590" s="192" t="inlineStr">
        <is>
          <t>https://www.spamhaus.org/drop/</t>
        </is>
      </c>
      <c r="O1590" s="191" t="inlineStr">
        <is>
          <t>Block CIDR 1.30.20.98 at firewall</t>
        </is>
      </c>
      <c r="P1590" s="191" t="inlineStr">
        <is>
          <t>Firewall/Email</t>
        </is>
      </c>
      <c r="Q1590" s="191" t="inlineStr">
        <is>
          <t>P4</t>
        </is>
      </c>
      <c r="R1590" s="191" t="inlineStr">
        <is>
          <t>🔍 Investigate and apply appropriate controls</t>
        </is>
      </c>
      <c r="S1590" s="191" t="inlineStr">
        <is>
          <t>Spamhaus - CIDR range</t>
        </is>
      </c>
      <c r="T1590" s="191" t="n">
        <v>0</v>
      </c>
      <c r="U1590" s="191" t="n">
        <v>0</v>
      </c>
      <c r="V1590" s="191" t="inlineStr">
        <is>
          <t>T1566:Phishing | T1078:Valid Accounts</t>
        </is>
      </c>
      <c r="W1590" s="191" t="n">
        <v>1</v>
      </c>
      <c r="X1590" s="191" t="inlineStr">
        <is>
          <t>LOW (40%)</t>
        </is>
      </c>
      <c r="Y1590" s="191" t="inlineStr">
        <is>
          <t>NONE</t>
        </is>
      </c>
      <c r="Z1590" s="191" t="inlineStr">
        <is>
          <t>NONE</t>
        </is>
      </c>
      <c r="AA1590" s="191" t="inlineStr">
        <is>
          <t>NONE</t>
        </is>
      </c>
      <c r="AB1590" s="191" t="inlineStr">
        <is>
          <t>NONE</t>
        </is>
      </c>
      <c r="AC1590" s="191" t="n">
        <v>0</v>
      </c>
      <c r="AD1590" s="191" t="n"/>
    </row>
    <row r="1591">
      <c r="A1591" s="191" t="inlineStr">
        <is>
          <t>FIREHOL_THREAT</t>
        </is>
      </c>
      <c r="B1591" s="191" t="inlineStr">
        <is>
          <t>a6c72b943d06</t>
        </is>
      </c>
      <c r="C1591" s="191" t="inlineStr">
        <is>
          <t>DROP List CIDR: 1.30.20.238 | FireHOL L2 threat IP/CIDR | ASN: FireHOL-L2</t>
        </is>
      </c>
      <c r="D1591" s="191" t="n">
        <v>6</v>
      </c>
      <c r="E1591" s="191" t="inlineStr">
        <is>
          <t>MEDIUM</t>
        </is>
      </c>
      <c r="F1591" s="191" t="n">
        <v>2</v>
      </c>
      <c r="G1591" s="191" t="n">
        <v>2</v>
      </c>
      <c r="H1591" s="191" t="inlineStr">
        <is>
          <t>MEDIUM</t>
        </is>
      </c>
      <c r="I1591" s="191" t="n">
        <v>10</v>
      </c>
      <c r="J1591" s="191" t="inlineStr">
        <is>
          <t>NO</t>
        </is>
      </c>
      <c r="K1591" s="192" t="inlineStr">
        <is>
          <t>https://www.spamhaus.org/drop/</t>
        </is>
      </c>
      <c r="L1591" s="191" t="inlineStr">
        <is>
          <t>2026-02-23 23:48</t>
        </is>
      </c>
      <c r="M1591" s="191" t="inlineStr">
        <is>
          <t>Block CIDR</t>
        </is>
      </c>
      <c r="N1591" s="192" t="inlineStr">
        <is>
          <t>https://www.spamhaus.org/drop/</t>
        </is>
      </c>
      <c r="O1591" s="191" t="inlineStr">
        <is>
          <t>Block CIDR 1.30.20.238 at firewall</t>
        </is>
      </c>
      <c r="P1591" s="191" t="inlineStr">
        <is>
          <t>Firewall/Email</t>
        </is>
      </c>
      <c r="Q1591" s="191" t="inlineStr">
        <is>
          <t>P4</t>
        </is>
      </c>
      <c r="R1591" s="191" t="inlineStr">
        <is>
          <t>🔍 Investigate and apply appropriate controls</t>
        </is>
      </c>
      <c r="S1591" s="191" t="inlineStr">
        <is>
          <t>Spamhaus - CIDR range</t>
        </is>
      </c>
      <c r="T1591" s="191" t="n">
        <v>0</v>
      </c>
      <c r="U1591" s="191" t="n">
        <v>0</v>
      </c>
      <c r="V1591" s="191" t="inlineStr">
        <is>
          <t>T1566:Phishing | T1078:Valid Accounts</t>
        </is>
      </c>
      <c r="W1591" s="191" t="n">
        <v>1</v>
      </c>
      <c r="X1591" s="191" t="inlineStr">
        <is>
          <t>LOW (40%)</t>
        </is>
      </c>
      <c r="Y1591" s="191" t="inlineStr">
        <is>
          <t>NONE</t>
        </is>
      </c>
      <c r="Z1591" s="191" t="inlineStr">
        <is>
          <t>NONE</t>
        </is>
      </c>
      <c r="AA1591" s="191" t="inlineStr">
        <is>
          <t>NONE</t>
        </is>
      </c>
      <c r="AB1591" s="191" t="inlineStr">
        <is>
          <t>NONE</t>
        </is>
      </c>
      <c r="AC1591" s="191" t="n">
        <v>0</v>
      </c>
      <c r="AD1591" s="191" t="n"/>
    </row>
    <row r="1592">
      <c r="A1592" s="191" t="inlineStr">
        <is>
          <t>FIREHOL_THREAT</t>
        </is>
      </c>
      <c r="B1592" s="191" t="inlineStr">
        <is>
          <t>4e6db5098243</t>
        </is>
      </c>
      <c r="C1592" s="191" t="inlineStr">
        <is>
          <t>DROP List CIDR: 1.30.199.218 | FireHOL L2 threat IP/CIDR | ASN: FireHOL-L2</t>
        </is>
      </c>
      <c r="D1592" s="191" t="n">
        <v>6</v>
      </c>
      <c r="E1592" s="191" t="inlineStr">
        <is>
          <t>MEDIUM</t>
        </is>
      </c>
      <c r="F1592" s="191" t="n">
        <v>2</v>
      </c>
      <c r="G1592" s="191" t="n">
        <v>2</v>
      </c>
      <c r="H1592" s="191" t="inlineStr">
        <is>
          <t>MEDIUM</t>
        </is>
      </c>
      <c r="I1592" s="191" t="n">
        <v>10</v>
      </c>
      <c r="J1592" s="191" t="inlineStr">
        <is>
          <t>NO</t>
        </is>
      </c>
      <c r="K1592" s="192" t="inlineStr">
        <is>
          <t>https://www.spamhaus.org/drop/</t>
        </is>
      </c>
      <c r="L1592" s="191" t="inlineStr">
        <is>
          <t>2026-02-23 23:48</t>
        </is>
      </c>
      <c r="M1592" s="191" t="inlineStr">
        <is>
          <t>Block CIDR</t>
        </is>
      </c>
      <c r="N1592" s="192" t="inlineStr">
        <is>
          <t>https://www.spamhaus.org/drop/</t>
        </is>
      </c>
      <c r="O1592" s="191" t="inlineStr">
        <is>
          <t>Block CIDR 1.30.199.218 at firewall</t>
        </is>
      </c>
      <c r="P1592" s="191" t="inlineStr">
        <is>
          <t>Firewall/Email</t>
        </is>
      </c>
      <c r="Q1592" s="191" t="inlineStr">
        <is>
          <t>P4</t>
        </is>
      </c>
      <c r="R1592" s="191" t="inlineStr">
        <is>
          <t>🔍 Investigate and apply appropriate controls</t>
        </is>
      </c>
      <c r="S1592" s="191" t="inlineStr">
        <is>
          <t>Spamhaus - CIDR range</t>
        </is>
      </c>
      <c r="T1592" s="191" t="n">
        <v>0</v>
      </c>
      <c r="U1592" s="191" t="n">
        <v>0</v>
      </c>
      <c r="V1592" s="191" t="inlineStr">
        <is>
          <t>T1566:Phishing | T1078:Valid Accounts</t>
        </is>
      </c>
      <c r="W1592" s="191" t="n">
        <v>1</v>
      </c>
      <c r="X1592" s="191" t="inlineStr">
        <is>
          <t>LOW (40%)</t>
        </is>
      </c>
      <c r="Y1592" s="191" t="inlineStr">
        <is>
          <t>NONE</t>
        </is>
      </c>
      <c r="Z1592" s="191" t="inlineStr">
        <is>
          <t>NONE</t>
        </is>
      </c>
      <c r="AA1592" s="191" t="inlineStr">
        <is>
          <t>NONE</t>
        </is>
      </c>
      <c r="AB1592" s="191" t="inlineStr">
        <is>
          <t>NONE</t>
        </is>
      </c>
      <c r="AC1592" s="191" t="n">
        <v>0</v>
      </c>
      <c r="AD1592" s="191" t="n"/>
    </row>
    <row r="1593">
      <c r="A1593" s="191" t="inlineStr">
        <is>
          <t>FIREHOL_THREAT</t>
        </is>
      </c>
      <c r="B1593" s="191" t="inlineStr">
        <is>
          <t>12bfaf24ccb6</t>
        </is>
      </c>
      <c r="C1593" s="191" t="inlineStr">
        <is>
          <t>DROP List CIDR: 1.31.80.222 | FireHOL L2 threat IP/CIDR | ASN: FireHOL-L2</t>
        </is>
      </c>
      <c r="D1593" s="191" t="n">
        <v>6</v>
      </c>
      <c r="E1593" s="191" t="inlineStr">
        <is>
          <t>MEDIUM</t>
        </is>
      </c>
      <c r="F1593" s="191" t="n">
        <v>2</v>
      </c>
      <c r="G1593" s="191" t="n">
        <v>2</v>
      </c>
      <c r="H1593" s="191" t="inlineStr">
        <is>
          <t>MEDIUM</t>
        </is>
      </c>
      <c r="I1593" s="191" t="n">
        <v>10</v>
      </c>
      <c r="J1593" s="191" t="inlineStr">
        <is>
          <t>NO</t>
        </is>
      </c>
      <c r="K1593" s="192" t="inlineStr">
        <is>
          <t>https://www.spamhaus.org/drop/</t>
        </is>
      </c>
      <c r="L1593" s="191" t="inlineStr">
        <is>
          <t>2026-02-23 23:48</t>
        </is>
      </c>
      <c r="M1593" s="191" t="inlineStr">
        <is>
          <t>Block CIDR</t>
        </is>
      </c>
      <c r="N1593" s="192" t="inlineStr">
        <is>
          <t>https://www.spamhaus.org/drop/</t>
        </is>
      </c>
      <c r="O1593" s="191" t="inlineStr">
        <is>
          <t>Block CIDR 1.31.80.222 at firewall</t>
        </is>
      </c>
      <c r="P1593" s="191" t="inlineStr">
        <is>
          <t>Firewall/Email</t>
        </is>
      </c>
      <c r="Q1593" s="191" t="inlineStr">
        <is>
          <t>P4</t>
        </is>
      </c>
      <c r="R1593" s="191" t="inlineStr">
        <is>
          <t>🔍 Investigate and apply appropriate controls</t>
        </is>
      </c>
      <c r="S1593" s="191" t="inlineStr">
        <is>
          <t>Spamhaus - CIDR range</t>
        </is>
      </c>
      <c r="T1593" s="191" t="n">
        <v>0</v>
      </c>
      <c r="U1593" s="191" t="n">
        <v>0</v>
      </c>
      <c r="V1593" s="191" t="inlineStr">
        <is>
          <t>T1566:Phishing | T1078:Valid Accounts</t>
        </is>
      </c>
      <c r="W1593" s="191" t="n">
        <v>1</v>
      </c>
      <c r="X1593" s="191" t="inlineStr">
        <is>
          <t>LOW (40%)</t>
        </is>
      </c>
      <c r="Y1593" s="191" t="inlineStr">
        <is>
          <t>NONE</t>
        </is>
      </c>
      <c r="Z1593" s="191" t="inlineStr">
        <is>
          <t>NONE</t>
        </is>
      </c>
      <c r="AA1593" s="191" t="inlineStr">
        <is>
          <t>NONE</t>
        </is>
      </c>
      <c r="AB1593" s="191" t="inlineStr">
        <is>
          <t>NONE</t>
        </is>
      </c>
      <c r="AC1593" s="191" t="n">
        <v>0</v>
      </c>
      <c r="AD1593" s="191" t="n"/>
    </row>
    <row r="1594">
      <c r="A1594" s="191" t="inlineStr">
        <is>
          <t>FIREHOL_THREAT</t>
        </is>
      </c>
      <c r="B1594" s="191" t="inlineStr">
        <is>
          <t>74a3da35f7f1</t>
        </is>
      </c>
      <c r="C1594" s="191" t="inlineStr">
        <is>
          <t>DROP List CIDR: 1.34.219.246 | FireHOL L2 threat IP/CIDR | ASN: FireHOL-L2</t>
        </is>
      </c>
      <c r="D1594" s="191" t="n">
        <v>6</v>
      </c>
      <c r="E1594" s="191" t="inlineStr">
        <is>
          <t>MEDIUM</t>
        </is>
      </c>
      <c r="F1594" s="191" t="n">
        <v>2</v>
      </c>
      <c r="G1594" s="191" t="n">
        <v>2</v>
      </c>
      <c r="H1594" s="191" t="inlineStr">
        <is>
          <t>MEDIUM</t>
        </is>
      </c>
      <c r="I1594" s="191" t="n">
        <v>10</v>
      </c>
      <c r="J1594" s="191" t="inlineStr">
        <is>
          <t>NO</t>
        </is>
      </c>
      <c r="K1594" s="192" t="inlineStr">
        <is>
          <t>https://www.spamhaus.org/drop/</t>
        </is>
      </c>
      <c r="L1594" s="191" t="inlineStr">
        <is>
          <t>2026-02-23 23:48</t>
        </is>
      </c>
      <c r="M1594" s="191" t="inlineStr">
        <is>
          <t>Block CIDR</t>
        </is>
      </c>
      <c r="N1594" s="192" t="inlineStr">
        <is>
          <t>https://www.spamhaus.org/drop/</t>
        </is>
      </c>
      <c r="O1594" s="191" t="inlineStr">
        <is>
          <t>Block CIDR 1.34.219.246 at firewall</t>
        </is>
      </c>
      <c r="P1594" s="191" t="inlineStr">
        <is>
          <t>Firewall/Email</t>
        </is>
      </c>
      <c r="Q1594" s="191" t="inlineStr">
        <is>
          <t>P4</t>
        </is>
      </c>
      <c r="R1594" s="191" t="inlineStr">
        <is>
          <t>🔍 Investigate and apply appropriate controls</t>
        </is>
      </c>
      <c r="S1594" s="191" t="inlineStr">
        <is>
          <t>Spamhaus - CIDR range</t>
        </is>
      </c>
      <c r="T1594" s="191" t="n">
        <v>0</v>
      </c>
      <c r="U1594" s="191" t="n">
        <v>0</v>
      </c>
      <c r="V1594" s="191" t="inlineStr">
        <is>
          <t>T1566:Phishing | T1078:Valid Accounts</t>
        </is>
      </c>
      <c r="W1594" s="191" t="n">
        <v>1</v>
      </c>
      <c r="X1594" s="191" t="inlineStr">
        <is>
          <t>LOW (40%)</t>
        </is>
      </c>
      <c r="Y1594" s="191" t="inlineStr">
        <is>
          <t>NONE</t>
        </is>
      </c>
      <c r="Z1594" s="191" t="inlineStr">
        <is>
          <t>NONE</t>
        </is>
      </c>
      <c r="AA1594" s="191" t="inlineStr">
        <is>
          <t>NONE</t>
        </is>
      </c>
      <c r="AB1594" s="191" t="inlineStr">
        <is>
          <t>NONE</t>
        </is>
      </c>
      <c r="AC1594" s="191" t="n">
        <v>0</v>
      </c>
      <c r="AD1594" s="191" t="n"/>
    </row>
    <row r="1595">
      <c r="A1595" s="191" t="inlineStr">
        <is>
          <t>FIREHOL_THREAT</t>
        </is>
      </c>
      <c r="B1595" s="191" t="inlineStr">
        <is>
          <t>8dc6aeadd95a</t>
        </is>
      </c>
      <c r="C1595" s="191" t="inlineStr">
        <is>
          <t>DROP List CIDR: 1.55.33.86 | FireHOL L2 threat IP/CIDR | ASN: FireHOL-L2</t>
        </is>
      </c>
      <c r="D1595" s="191" t="n">
        <v>6</v>
      </c>
      <c r="E1595" s="191" t="inlineStr">
        <is>
          <t>MEDIUM</t>
        </is>
      </c>
      <c r="F1595" s="191" t="n">
        <v>2</v>
      </c>
      <c r="G1595" s="191" t="n">
        <v>2</v>
      </c>
      <c r="H1595" s="191" t="inlineStr">
        <is>
          <t>MEDIUM</t>
        </is>
      </c>
      <c r="I1595" s="191" t="n">
        <v>10</v>
      </c>
      <c r="J1595" s="191" t="inlineStr">
        <is>
          <t>NO</t>
        </is>
      </c>
      <c r="K1595" s="192" t="inlineStr">
        <is>
          <t>https://www.spamhaus.org/drop/</t>
        </is>
      </c>
      <c r="L1595" s="191" t="inlineStr">
        <is>
          <t>2026-02-23 23:48</t>
        </is>
      </c>
      <c r="M1595" s="191" t="inlineStr">
        <is>
          <t>Block CIDR</t>
        </is>
      </c>
      <c r="N1595" s="192" t="inlineStr">
        <is>
          <t>https://www.spamhaus.org/drop/</t>
        </is>
      </c>
      <c r="O1595" s="191" t="inlineStr">
        <is>
          <t>Block CIDR 1.55.33.86 at firewall</t>
        </is>
      </c>
      <c r="P1595" s="191" t="inlineStr">
        <is>
          <t>Firewall/Email</t>
        </is>
      </c>
      <c r="Q1595" s="191" t="inlineStr">
        <is>
          <t>P4</t>
        </is>
      </c>
      <c r="R1595" s="191" t="inlineStr">
        <is>
          <t>🔍 Investigate and apply appropriate controls</t>
        </is>
      </c>
      <c r="S1595" s="191" t="inlineStr">
        <is>
          <t>Spamhaus - CIDR range</t>
        </is>
      </c>
      <c r="T1595" s="191" t="n">
        <v>0</v>
      </c>
      <c r="U1595" s="191" t="n">
        <v>0</v>
      </c>
      <c r="V1595" s="191" t="inlineStr">
        <is>
          <t>T1566:Phishing | T1078:Valid Accounts</t>
        </is>
      </c>
      <c r="W1595" s="191" t="n">
        <v>1</v>
      </c>
      <c r="X1595" s="191" t="inlineStr">
        <is>
          <t>LOW (40%)</t>
        </is>
      </c>
      <c r="Y1595" s="191" t="inlineStr">
        <is>
          <t>NONE</t>
        </is>
      </c>
      <c r="Z1595" s="191" t="inlineStr">
        <is>
          <t>NONE</t>
        </is>
      </c>
      <c r="AA1595" s="191" t="inlineStr">
        <is>
          <t>NONE</t>
        </is>
      </c>
      <c r="AB1595" s="191" t="inlineStr">
        <is>
          <t>NONE</t>
        </is>
      </c>
      <c r="AC1595" s="191" t="n">
        <v>0</v>
      </c>
      <c r="AD1595" s="191" t="n"/>
    </row>
    <row r="1596">
      <c r="A1596" s="191" t="inlineStr">
        <is>
          <t>FIREHOL_THREAT</t>
        </is>
      </c>
      <c r="B1596" s="191" t="inlineStr">
        <is>
          <t>d4ecff0c645a</t>
        </is>
      </c>
      <c r="C1596" s="191" t="inlineStr">
        <is>
          <t>DROP List CIDR: 1.55.112.41 | FireHOL L2 threat IP/CIDR | ASN: FireHOL-L2</t>
        </is>
      </c>
      <c r="D1596" s="191" t="n">
        <v>6</v>
      </c>
      <c r="E1596" s="191" t="inlineStr">
        <is>
          <t>MEDIUM</t>
        </is>
      </c>
      <c r="F1596" s="191" t="n">
        <v>2</v>
      </c>
      <c r="G1596" s="191" t="n">
        <v>2</v>
      </c>
      <c r="H1596" s="191" t="inlineStr">
        <is>
          <t>MEDIUM</t>
        </is>
      </c>
      <c r="I1596" s="191" t="n">
        <v>10</v>
      </c>
      <c r="J1596" s="191" t="inlineStr">
        <is>
          <t>NO</t>
        </is>
      </c>
      <c r="K1596" s="192" t="inlineStr">
        <is>
          <t>https://www.spamhaus.org/drop/</t>
        </is>
      </c>
      <c r="L1596" s="191" t="inlineStr">
        <is>
          <t>2026-02-23 23:48</t>
        </is>
      </c>
      <c r="M1596" s="191" t="inlineStr">
        <is>
          <t>Block CIDR</t>
        </is>
      </c>
      <c r="N1596" s="192" t="inlineStr">
        <is>
          <t>https://www.spamhaus.org/drop/</t>
        </is>
      </c>
      <c r="O1596" s="191" t="inlineStr">
        <is>
          <t>Block CIDR 1.55.112.41 at firewall</t>
        </is>
      </c>
      <c r="P1596" s="191" t="inlineStr">
        <is>
          <t>Firewall/Email</t>
        </is>
      </c>
      <c r="Q1596" s="191" t="inlineStr">
        <is>
          <t>P4</t>
        </is>
      </c>
      <c r="R1596" s="191" t="inlineStr">
        <is>
          <t>🔍 Investigate and apply appropriate controls</t>
        </is>
      </c>
      <c r="S1596" s="191" t="inlineStr">
        <is>
          <t>Spamhaus - CIDR range</t>
        </is>
      </c>
      <c r="T1596" s="191" t="n">
        <v>0</v>
      </c>
      <c r="U1596" s="191" t="n">
        <v>0</v>
      </c>
      <c r="V1596" s="191" t="inlineStr">
        <is>
          <t>T1566:Phishing | T1078:Valid Accounts</t>
        </is>
      </c>
      <c r="W1596" s="191" t="n">
        <v>1</v>
      </c>
      <c r="X1596" s="191" t="inlineStr">
        <is>
          <t>LOW (40%)</t>
        </is>
      </c>
      <c r="Y1596" s="191" t="inlineStr">
        <is>
          <t>NONE</t>
        </is>
      </c>
      <c r="Z1596" s="191" t="inlineStr">
        <is>
          <t>NONE</t>
        </is>
      </c>
      <c r="AA1596" s="191" t="inlineStr">
        <is>
          <t>NONE</t>
        </is>
      </c>
      <c r="AB1596" s="191" t="inlineStr">
        <is>
          <t>NONE</t>
        </is>
      </c>
      <c r="AC1596" s="191" t="n">
        <v>0</v>
      </c>
      <c r="AD1596" s="191" t="n"/>
    </row>
    <row r="1597">
      <c r="A1597" s="191" t="inlineStr">
        <is>
          <t>FIREHOL_THREAT</t>
        </is>
      </c>
      <c r="B1597" s="191" t="inlineStr">
        <is>
          <t>c480b3c0b45e</t>
        </is>
      </c>
      <c r="C1597" s="191" t="inlineStr">
        <is>
          <t>DROP List CIDR: 1.55.210.222 | FireHOL L2 threat IP/CIDR | ASN: FireHOL-L2</t>
        </is>
      </c>
      <c r="D1597" s="191" t="n">
        <v>6</v>
      </c>
      <c r="E1597" s="191" t="inlineStr">
        <is>
          <t>MEDIUM</t>
        </is>
      </c>
      <c r="F1597" s="191" t="n">
        <v>2</v>
      </c>
      <c r="G1597" s="191" t="n">
        <v>2</v>
      </c>
      <c r="H1597" s="191" t="inlineStr">
        <is>
          <t>MEDIUM</t>
        </is>
      </c>
      <c r="I1597" s="191" t="n">
        <v>10</v>
      </c>
      <c r="J1597" s="191" t="inlineStr">
        <is>
          <t>NO</t>
        </is>
      </c>
      <c r="K1597" s="192" t="inlineStr">
        <is>
          <t>https://www.spamhaus.org/drop/</t>
        </is>
      </c>
      <c r="L1597" s="191" t="inlineStr">
        <is>
          <t>2026-02-23 23:48</t>
        </is>
      </c>
      <c r="M1597" s="191" t="inlineStr">
        <is>
          <t>Block CIDR</t>
        </is>
      </c>
      <c r="N1597" s="192" t="inlineStr">
        <is>
          <t>https://www.spamhaus.org/drop/</t>
        </is>
      </c>
      <c r="O1597" s="191" t="inlineStr">
        <is>
          <t>Block CIDR 1.55.210.222 at firewall</t>
        </is>
      </c>
      <c r="P1597" s="191" t="inlineStr">
        <is>
          <t>Firewall/Email</t>
        </is>
      </c>
      <c r="Q1597" s="191" t="inlineStr">
        <is>
          <t>P4</t>
        </is>
      </c>
      <c r="R1597" s="191" t="inlineStr">
        <is>
          <t>🔍 Investigate and apply appropriate controls</t>
        </is>
      </c>
      <c r="S1597" s="191" t="inlineStr">
        <is>
          <t>Spamhaus - CIDR range</t>
        </is>
      </c>
      <c r="T1597" s="191" t="n">
        <v>0</v>
      </c>
      <c r="U1597" s="191" t="n">
        <v>0</v>
      </c>
      <c r="V1597" s="191" t="inlineStr">
        <is>
          <t>T1566:Phishing | T1078:Valid Accounts</t>
        </is>
      </c>
      <c r="W1597" s="191" t="n">
        <v>1</v>
      </c>
      <c r="X1597" s="191" t="inlineStr">
        <is>
          <t>LOW (40%)</t>
        </is>
      </c>
      <c r="Y1597" s="191" t="inlineStr">
        <is>
          <t>NONE</t>
        </is>
      </c>
      <c r="Z1597" s="191" t="inlineStr">
        <is>
          <t>NONE</t>
        </is>
      </c>
      <c r="AA1597" s="191" t="inlineStr">
        <is>
          <t>NONE</t>
        </is>
      </c>
      <c r="AB1597" s="191" t="inlineStr">
        <is>
          <t>NONE</t>
        </is>
      </c>
      <c r="AC1597" s="191" t="n">
        <v>0</v>
      </c>
      <c r="AD1597" s="191" t="n"/>
    </row>
    <row r="1598">
      <c r="A1598" s="191" t="inlineStr">
        <is>
          <t>FIREHOL_THREAT</t>
        </is>
      </c>
      <c r="B1598" s="191" t="inlineStr">
        <is>
          <t>88a69e604d19</t>
        </is>
      </c>
      <c r="C1598" s="191" t="inlineStr">
        <is>
          <t>DROP List CIDR: 1.62.252.20 | FireHOL L2 threat IP/CIDR | ASN: FireHOL-L2</t>
        </is>
      </c>
      <c r="D1598" s="191" t="n">
        <v>6</v>
      </c>
      <c r="E1598" s="191" t="inlineStr">
        <is>
          <t>MEDIUM</t>
        </is>
      </c>
      <c r="F1598" s="191" t="n">
        <v>2</v>
      </c>
      <c r="G1598" s="191" t="n">
        <v>2</v>
      </c>
      <c r="H1598" s="191" t="inlineStr">
        <is>
          <t>MEDIUM</t>
        </is>
      </c>
      <c r="I1598" s="191" t="n">
        <v>10</v>
      </c>
      <c r="J1598" s="191" t="inlineStr">
        <is>
          <t>NO</t>
        </is>
      </c>
      <c r="K1598" s="192" t="inlineStr">
        <is>
          <t>https://www.spamhaus.org/drop/</t>
        </is>
      </c>
      <c r="L1598" s="191" t="inlineStr">
        <is>
          <t>2026-02-23 23:48</t>
        </is>
      </c>
      <c r="M1598" s="191" t="inlineStr">
        <is>
          <t>Block CIDR</t>
        </is>
      </c>
      <c r="N1598" s="192" t="inlineStr">
        <is>
          <t>https://www.spamhaus.org/drop/</t>
        </is>
      </c>
      <c r="O1598" s="191" t="inlineStr">
        <is>
          <t>Block CIDR 1.62.252.20 at firewall</t>
        </is>
      </c>
      <c r="P1598" s="191" t="inlineStr">
        <is>
          <t>Firewall/Email</t>
        </is>
      </c>
      <c r="Q1598" s="191" t="inlineStr">
        <is>
          <t>P4</t>
        </is>
      </c>
      <c r="R1598" s="191" t="inlineStr">
        <is>
          <t>🔍 Investigate and apply appropriate controls</t>
        </is>
      </c>
      <c r="S1598" s="191" t="inlineStr">
        <is>
          <t>Spamhaus - CIDR range</t>
        </is>
      </c>
      <c r="T1598" s="191" t="n">
        <v>0</v>
      </c>
      <c r="U1598" s="191" t="n">
        <v>0</v>
      </c>
      <c r="V1598" s="191" t="inlineStr">
        <is>
          <t>T1566:Phishing | T1078:Valid Accounts</t>
        </is>
      </c>
      <c r="W1598" s="191" t="n">
        <v>1</v>
      </c>
      <c r="X1598" s="191" t="inlineStr">
        <is>
          <t>LOW (40%)</t>
        </is>
      </c>
      <c r="Y1598" s="191" t="inlineStr">
        <is>
          <t>NONE</t>
        </is>
      </c>
      <c r="Z1598" s="191" t="inlineStr">
        <is>
          <t>NONE</t>
        </is>
      </c>
      <c r="AA1598" s="191" t="inlineStr">
        <is>
          <t>NONE</t>
        </is>
      </c>
      <c r="AB1598" s="191" t="inlineStr">
        <is>
          <t>NONE</t>
        </is>
      </c>
      <c r="AC1598" s="191" t="n">
        <v>0</v>
      </c>
      <c r="AD1598" s="191" t="n"/>
    </row>
    <row r="1599">
      <c r="A1599" s="191" t="inlineStr">
        <is>
          <t>FIREHOL_THREAT</t>
        </is>
      </c>
      <c r="B1599" s="191" t="inlineStr">
        <is>
          <t>008a9291a602</t>
        </is>
      </c>
      <c r="C1599" s="191" t="inlineStr">
        <is>
          <t>DROP List CIDR: 1.82.135.154 | FireHOL L2 threat IP/CIDR | ASN: FireHOL-L2</t>
        </is>
      </c>
      <c r="D1599" s="191" t="n">
        <v>6</v>
      </c>
      <c r="E1599" s="191" t="inlineStr">
        <is>
          <t>MEDIUM</t>
        </is>
      </c>
      <c r="F1599" s="191" t="n">
        <v>2</v>
      </c>
      <c r="G1599" s="191" t="n">
        <v>2</v>
      </c>
      <c r="H1599" s="191" t="inlineStr">
        <is>
          <t>MEDIUM</t>
        </is>
      </c>
      <c r="I1599" s="191" t="n">
        <v>10</v>
      </c>
      <c r="J1599" s="191" t="inlineStr">
        <is>
          <t>NO</t>
        </is>
      </c>
      <c r="K1599" s="192" t="inlineStr">
        <is>
          <t>https://www.spamhaus.org/drop/</t>
        </is>
      </c>
      <c r="L1599" s="191" t="inlineStr">
        <is>
          <t>2026-02-23 23:48</t>
        </is>
      </c>
      <c r="M1599" s="191" t="inlineStr">
        <is>
          <t>Block CIDR</t>
        </is>
      </c>
      <c r="N1599" s="192" t="inlineStr">
        <is>
          <t>https://www.spamhaus.org/drop/</t>
        </is>
      </c>
      <c r="O1599" s="191" t="inlineStr">
        <is>
          <t>Block CIDR 1.82.135.154 at firewall</t>
        </is>
      </c>
      <c r="P1599" s="191" t="inlineStr">
        <is>
          <t>Firewall/Email</t>
        </is>
      </c>
      <c r="Q1599" s="191" t="inlineStr">
        <is>
          <t>P4</t>
        </is>
      </c>
      <c r="R1599" s="191" t="inlineStr">
        <is>
          <t>🔍 Investigate and apply appropriate controls</t>
        </is>
      </c>
      <c r="S1599" s="191" t="inlineStr">
        <is>
          <t>Spamhaus - CIDR range</t>
        </is>
      </c>
      <c r="T1599" s="191" t="n">
        <v>0</v>
      </c>
      <c r="U1599" s="191" t="n">
        <v>0</v>
      </c>
      <c r="V1599" s="191" t="inlineStr">
        <is>
          <t>T1566:Phishing | T1078:Valid Accounts</t>
        </is>
      </c>
      <c r="W1599" s="191" t="n">
        <v>1</v>
      </c>
      <c r="X1599" s="191" t="inlineStr">
        <is>
          <t>LOW (40%)</t>
        </is>
      </c>
      <c r="Y1599" s="191" t="inlineStr">
        <is>
          <t>NONE</t>
        </is>
      </c>
      <c r="Z1599" s="191" t="inlineStr">
        <is>
          <t>NONE</t>
        </is>
      </c>
      <c r="AA1599" s="191" t="inlineStr">
        <is>
          <t>NONE</t>
        </is>
      </c>
      <c r="AB1599" s="191" t="inlineStr">
        <is>
          <t>NONE</t>
        </is>
      </c>
      <c r="AC1599" s="191" t="n">
        <v>0</v>
      </c>
      <c r="AD1599" s="191" t="n"/>
    </row>
    <row r="1600">
      <c r="A1600" s="191" t="inlineStr">
        <is>
          <t>FIREHOL_THREAT</t>
        </is>
      </c>
      <c r="B1600" s="191" t="inlineStr">
        <is>
          <t>cfaf0f274d54</t>
        </is>
      </c>
      <c r="C1600" s="191" t="inlineStr">
        <is>
          <t>DROP List CIDR: 1.85.42.195 | FireHOL L2 threat IP/CIDR | ASN: FireHOL-L2</t>
        </is>
      </c>
      <c r="D1600" s="191" t="n">
        <v>6</v>
      </c>
      <c r="E1600" s="191" t="inlineStr">
        <is>
          <t>MEDIUM</t>
        </is>
      </c>
      <c r="F1600" s="191" t="n">
        <v>2</v>
      </c>
      <c r="G1600" s="191" t="n">
        <v>2</v>
      </c>
      <c r="H1600" s="191" t="inlineStr">
        <is>
          <t>MEDIUM</t>
        </is>
      </c>
      <c r="I1600" s="191" t="n">
        <v>10</v>
      </c>
      <c r="J1600" s="191" t="inlineStr">
        <is>
          <t>NO</t>
        </is>
      </c>
      <c r="K1600" s="192" t="inlineStr">
        <is>
          <t>https://www.spamhaus.org/drop/</t>
        </is>
      </c>
      <c r="L1600" s="191" t="inlineStr">
        <is>
          <t>2026-02-23 23:48</t>
        </is>
      </c>
      <c r="M1600" s="191" t="inlineStr">
        <is>
          <t>Block CIDR</t>
        </is>
      </c>
      <c r="N1600" s="192" t="inlineStr">
        <is>
          <t>https://www.spamhaus.org/drop/</t>
        </is>
      </c>
      <c r="O1600" s="191" t="inlineStr">
        <is>
          <t>Block CIDR 1.85.42.195 at firewall</t>
        </is>
      </c>
      <c r="P1600" s="191" t="inlineStr">
        <is>
          <t>Firewall/Email</t>
        </is>
      </c>
      <c r="Q1600" s="191" t="inlineStr">
        <is>
          <t>P4</t>
        </is>
      </c>
      <c r="R1600" s="191" t="inlineStr">
        <is>
          <t>🔍 Investigate and apply appropriate controls</t>
        </is>
      </c>
      <c r="S1600" s="191" t="inlineStr">
        <is>
          <t>Spamhaus - CIDR range</t>
        </is>
      </c>
      <c r="T1600" s="191" t="n">
        <v>0</v>
      </c>
      <c r="U1600" s="191" t="n">
        <v>0</v>
      </c>
      <c r="V1600" s="191" t="inlineStr">
        <is>
          <t>T1566:Phishing | T1078:Valid Accounts</t>
        </is>
      </c>
      <c r="W1600" s="191" t="n">
        <v>1</v>
      </c>
      <c r="X1600" s="191" t="inlineStr">
        <is>
          <t>LOW (40%)</t>
        </is>
      </c>
      <c r="Y1600" s="191" t="inlineStr">
        <is>
          <t>NONE</t>
        </is>
      </c>
      <c r="Z1600" s="191" t="inlineStr">
        <is>
          <t>NONE</t>
        </is>
      </c>
      <c r="AA1600" s="191" t="inlineStr">
        <is>
          <t>NONE</t>
        </is>
      </c>
      <c r="AB1600" s="191" t="inlineStr">
        <is>
          <t>NONE</t>
        </is>
      </c>
      <c r="AC1600" s="191" t="n">
        <v>0</v>
      </c>
      <c r="AD1600" s="191" t="n"/>
    </row>
    <row r="1601">
      <c r="A1601" s="191" t="inlineStr">
        <is>
          <t>FIREHOL_THREAT</t>
        </is>
      </c>
      <c r="B1601" s="191" t="inlineStr">
        <is>
          <t>07c6179971a8</t>
        </is>
      </c>
      <c r="C1601" s="191" t="inlineStr">
        <is>
          <t>DROP List CIDR: 1.92.79.150 | FireHOL L2 threat IP/CIDR | ASN: FireHOL-L2</t>
        </is>
      </c>
      <c r="D1601" s="191" t="n">
        <v>6</v>
      </c>
      <c r="E1601" s="191" t="inlineStr">
        <is>
          <t>MEDIUM</t>
        </is>
      </c>
      <c r="F1601" s="191" t="n">
        <v>2</v>
      </c>
      <c r="G1601" s="191" t="n">
        <v>2</v>
      </c>
      <c r="H1601" s="191" t="inlineStr">
        <is>
          <t>MEDIUM</t>
        </is>
      </c>
      <c r="I1601" s="191" t="n">
        <v>10</v>
      </c>
      <c r="J1601" s="191" t="inlineStr">
        <is>
          <t>NO</t>
        </is>
      </c>
      <c r="K1601" s="192" t="inlineStr">
        <is>
          <t>https://www.spamhaus.org/drop/</t>
        </is>
      </c>
      <c r="L1601" s="191" t="inlineStr">
        <is>
          <t>2026-02-23 23:48</t>
        </is>
      </c>
      <c r="M1601" s="191" t="inlineStr">
        <is>
          <t>Block CIDR</t>
        </is>
      </c>
      <c r="N1601" s="192" t="inlineStr">
        <is>
          <t>https://www.spamhaus.org/drop/</t>
        </is>
      </c>
      <c r="O1601" s="191" t="inlineStr">
        <is>
          <t>Block CIDR 1.92.79.150 at firewall</t>
        </is>
      </c>
      <c r="P1601" s="191" t="inlineStr">
        <is>
          <t>Firewall/Email</t>
        </is>
      </c>
      <c r="Q1601" s="191" t="inlineStr">
        <is>
          <t>P4</t>
        </is>
      </c>
      <c r="R1601" s="191" t="inlineStr">
        <is>
          <t>🔍 Investigate and apply appropriate controls</t>
        </is>
      </c>
      <c r="S1601" s="191" t="inlineStr">
        <is>
          <t>Spamhaus - CIDR range</t>
        </is>
      </c>
      <c r="T1601" s="191" t="n">
        <v>0</v>
      </c>
      <c r="U1601" s="191" t="n">
        <v>0</v>
      </c>
      <c r="V1601" s="191" t="inlineStr">
        <is>
          <t>T1566:Phishing | T1078:Valid Accounts</t>
        </is>
      </c>
      <c r="W1601" s="191" t="n">
        <v>1</v>
      </c>
      <c r="X1601" s="191" t="inlineStr">
        <is>
          <t>LOW (40%)</t>
        </is>
      </c>
      <c r="Y1601" s="191" t="inlineStr">
        <is>
          <t>NONE</t>
        </is>
      </c>
      <c r="Z1601" s="191" t="inlineStr">
        <is>
          <t>NONE</t>
        </is>
      </c>
      <c r="AA1601" s="191" t="inlineStr">
        <is>
          <t>NONE</t>
        </is>
      </c>
      <c r="AB1601" s="191" t="inlineStr">
        <is>
          <t>NONE</t>
        </is>
      </c>
      <c r="AC1601" s="191" t="n">
        <v>0</v>
      </c>
      <c r="AD1601" s="191" t="n"/>
    </row>
    <row r="1602">
      <c r="A1602" s="191" t="inlineStr">
        <is>
          <t>FIREHOL_THREAT</t>
        </is>
      </c>
      <c r="B1602" s="191" t="inlineStr">
        <is>
          <t>21608329d094</t>
        </is>
      </c>
      <c r="C1602" s="191" t="inlineStr">
        <is>
          <t>DROP List CIDR: 1.95.124.235 | FireHOL L2 threat IP/CIDR | ASN: FireHOL-L2</t>
        </is>
      </c>
      <c r="D1602" s="191" t="n">
        <v>6</v>
      </c>
      <c r="E1602" s="191" t="inlineStr">
        <is>
          <t>MEDIUM</t>
        </is>
      </c>
      <c r="F1602" s="191" t="n">
        <v>2</v>
      </c>
      <c r="G1602" s="191" t="n">
        <v>2</v>
      </c>
      <c r="H1602" s="191" t="inlineStr">
        <is>
          <t>MEDIUM</t>
        </is>
      </c>
      <c r="I1602" s="191" t="n">
        <v>10</v>
      </c>
      <c r="J1602" s="191" t="inlineStr">
        <is>
          <t>NO</t>
        </is>
      </c>
      <c r="K1602" s="192" t="inlineStr">
        <is>
          <t>https://www.spamhaus.org/drop/</t>
        </is>
      </c>
      <c r="L1602" s="191" t="inlineStr">
        <is>
          <t>2026-02-23 23:48</t>
        </is>
      </c>
      <c r="M1602" s="191" t="inlineStr">
        <is>
          <t>Block CIDR</t>
        </is>
      </c>
      <c r="N1602" s="192" t="inlineStr">
        <is>
          <t>https://www.spamhaus.org/drop/</t>
        </is>
      </c>
      <c r="O1602" s="191" t="inlineStr">
        <is>
          <t>Block CIDR 1.95.124.235 at firewall</t>
        </is>
      </c>
      <c r="P1602" s="191" t="inlineStr">
        <is>
          <t>Firewall/Email</t>
        </is>
      </c>
      <c r="Q1602" s="191" t="inlineStr">
        <is>
          <t>P4</t>
        </is>
      </c>
      <c r="R1602" s="191" t="inlineStr">
        <is>
          <t>🔍 Investigate and apply appropriate controls</t>
        </is>
      </c>
      <c r="S1602" s="191" t="inlineStr">
        <is>
          <t>Spamhaus - CIDR range</t>
        </is>
      </c>
      <c r="T1602" s="191" t="n">
        <v>0</v>
      </c>
      <c r="U1602" s="191" t="n">
        <v>0</v>
      </c>
      <c r="V1602" s="191" t="inlineStr">
        <is>
          <t>T1566:Phishing | T1078:Valid Accounts</t>
        </is>
      </c>
      <c r="W1602" s="191" t="n">
        <v>1</v>
      </c>
      <c r="X1602" s="191" t="inlineStr">
        <is>
          <t>LOW (40%)</t>
        </is>
      </c>
      <c r="Y1602" s="191" t="inlineStr">
        <is>
          <t>NONE</t>
        </is>
      </c>
      <c r="Z1602" s="191" t="inlineStr">
        <is>
          <t>NONE</t>
        </is>
      </c>
      <c r="AA1602" s="191" t="inlineStr">
        <is>
          <t>NONE</t>
        </is>
      </c>
      <c r="AB1602" s="191" t="inlineStr">
        <is>
          <t>NONE</t>
        </is>
      </c>
      <c r="AC1602" s="191" t="n">
        <v>0</v>
      </c>
      <c r="AD1602" s="191" t="n"/>
    </row>
    <row r="1603">
      <c r="A1603" s="191" t="inlineStr">
        <is>
          <t>FIREHOL_THREAT</t>
        </is>
      </c>
      <c r="B1603" s="191" t="inlineStr">
        <is>
          <t>5c1f1ad74e14</t>
        </is>
      </c>
      <c r="C1603" s="191" t="inlineStr">
        <is>
          <t>DROP List CIDR: 1.95.144.123 | FireHOL L2 threat IP/CIDR | ASN: FireHOL-L2</t>
        </is>
      </c>
      <c r="D1603" s="191" t="n">
        <v>6</v>
      </c>
      <c r="E1603" s="191" t="inlineStr">
        <is>
          <t>MEDIUM</t>
        </is>
      </c>
      <c r="F1603" s="191" t="n">
        <v>2</v>
      </c>
      <c r="G1603" s="191" t="n">
        <v>2</v>
      </c>
      <c r="H1603" s="191" t="inlineStr">
        <is>
          <t>MEDIUM</t>
        </is>
      </c>
      <c r="I1603" s="191" t="n">
        <v>10</v>
      </c>
      <c r="J1603" s="191" t="inlineStr">
        <is>
          <t>NO</t>
        </is>
      </c>
      <c r="K1603" s="192" t="inlineStr">
        <is>
          <t>https://www.spamhaus.org/drop/</t>
        </is>
      </c>
      <c r="L1603" s="191" t="inlineStr">
        <is>
          <t>2026-02-23 23:48</t>
        </is>
      </c>
      <c r="M1603" s="191" t="inlineStr">
        <is>
          <t>Block CIDR</t>
        </is>
      </c>
      <c r="N1603" s="192" t="inlineStr">
        <is>
          <t>https://www.spamhaus.org/drop/</t>
        </is>
      </c>
      <c r="O1603" s="191" t="inlineStr">
        <is>
          <t>Block CIDR 1.95.144.123 at firewall</t>
        </is>
      </c>
      <c r="P1603" s="191" t="inlineStr">
        <is>
          <t>Firewall/Email</t>
        </is>
      </c>
      <c r="Q1603" s="191" t="inlineStr">
        <is>
          <t>P4</t>
        </is>
      </c>
      <c r="R1603" s="191" t="inlineStr">
        <is>
          <t>🔍 Investigate and apply appropriate controls</t>
        </is>
      </c>
      <c r="S1603" s="191" t="inlineStr">
        <is>
          <t>Spamhaus - CIDR range</t>
        </is>
      </c>
      <c r="T1603" s="191" t="n">
        <v>0</v>
      </c>
      <c r="U1603" s="191" t="n">
        <v>0</v>
      </c>
      <c r="V1603" s="191" t="inlineStr">
        <is>
          <t>T1566:Phishing | T1078:Valid Accounts</t>
        </is>
      </c>
      <c r="W1603" s="191" t="n">
        <v>1</v>
      </c>
      <c r="X1603" s="191" t="inlineStr">
        <is>
          <t>LOW (40%)</t>
        </is>
      </c>
      <c r="Y1603" s="191" t="inlineStr">
        <is>
          <t>NONE</t>
        </is>
      </c>
      <c r="Z1603" s="191" t="inlineStr">
        <is>
          <t>NONE</t>
        </is>
      </c>
      <c r="AA1603" s="191" t="inlineStr">
        <is>
          <t>NONE</t>
        </is>
      </c>
      <c r="AB1603" s="191" t="inlineStr">
        <is>
          <t>NONE</t>
        </is>
      </c>
      <c r="AC1603" s="191" t="n">
        <v>0</v>
      </c>
      <c r="AD1603" s="191" t="n"/>
    </row>
    <row r="1604">
      <c r="A1604" s="191" t="inlineStr">
        <is>
          <t>FIREHOL_THREAT</t>
        </is>
      </c>
      <c r="B1604" s="191" t="inlineStr">
        <is>
          <t>d048495079e9</t>
        </is>
      </c>
      <c r="C1604" s="191" t="inlineStr">
        <is>
          <t>DROP List CIDR: 1.165.130.37 | FireHOL L2 threat IP/CIDR | ASN: FireHOL-L2</t>
        </is>
      </c>
      <c r="D1604" s="191" t="n">
        <v>6</v>
      </c>
      <c r="E1604" s="191" t="inlineStr">
        <is>
          <t>MEDIUM</t>
        </is>
      </c>
      <c r="F1604" s="191" t="n">
        <v>2</v>
      </c>
      <c r="G1604" s="191" t="n">
        <v>2</v>
      </c>
      <c r="H1604" s="191" t="inlineStr">
        <is>
          <t>MEDIUM</t>
        </is>
      </c>
      <c r="I1604" s="191" t="n">
        <v>10</v>
      </c>
      <c r="J1604" s="191" t="inlineStr">
        <is>
          <t>NO</t>
        </is>
      </c>
      <c r="K1604" s="192" t="inlineStr">
        <is>
          <t>https://www.spamhaus.org/drop/</t>
        </is>
      </c>
      <c r="L1604" s="191" t="inlineStr">
        <is>
          <t>2026-02-23 23:48</t>
        </is>
      </c>
      <c r="M1604" s="191" t="inlineStr">
        <is>
          <t>Block CIDR</t>
        </is>
      </c>
      <c r="N1604" s="192" t="inlineStr">
        <is>
          <t>https://www.spamhaus.org/drop/</t>
        </is>
      </c>
      <c r="O1604" s="191" t="inlineStr">
        <is>
          <t>Block CIDR 1.165.130.37 at firewall</t>
        </is>
      </c>
      <c r="P1604" s="191" t="inlineStr">
        <is>
          <t>Firewall/Email</t>
        </is>
      </c>
      <c r="Q1604" s="191" t="inlineStr">
        <is>
          <t>P4</t>
        </is>
      </c>
      <c r="R1604" s="191" t="inlineStr">
        <is>
          <t>🔍 Investigate and apply appropriate controls</t>
        </is>
      </c>
      <c r="S1604" s="191" t="inlineStr">
        <is>
          <t>Spamhaus - CIDR range</t>
        </is>
      </c>
      <c r="T1604" s="191" t="n">
        <v>0</v>
      </c>
      <c r="U1604" s="191" t="n">
        <v>0</v>
      </c>
      <c r="V1604" s="191" t="inlineStr">
        <is>
          <t>T1566:Phishing | T1078:Valid Accounts</t>
        </is>
      </c>
      <c r="W1604" s="191" t="n">
        <v>1</v>
      </c>
      <c r="X1604" s="191" t="inlineStr">
        <is>
          <t>LOW (40%)</t>
        </is>
      </c>
      <c r="Y1604" s="191" t="inlineStr">
        <is>
          <t>NONE</t>
        </is>
      </c>
      <c r="Z1604" s="191" t="inlineStr">
        <is>
          <t>NONE</t>
        </is>
      </c>
      <c r="AA1604" s="191" t="inlineStr">
        <is>
          <t>NONE</t>
        </is>
      </c>
      <c r="AB1604" s="191" t="inlineStr">
        <is>
          <t>NONE</t>
        </is>
      </c>
      <c r="AC1604" s="191" t="n">
        <v>0</v>
      </c>
      <c r="AD1604" s="191" t="n"/>
    </row>
    <row r="1605">
      <c r="A1605" s="191" t="inlineStr">
        <is>
          <t>FIREHOL_THREAT</t>
        </is>
      </c>
      <c r="B1605" s="191" t="inlineStr">
        <is>
          <t>2f0cae4d1445</t>
        </is>
      </c>
      <c r="C1605" s="191" t="inlineStr">
        <is>
          <t>DROP List CIDR: 1.165.130.253 | FireHOL L2 threat IP/CIDR | ASN: FireHOL-L2</t>
        </is>
      </c>
      <c r="D1605" s="191" t="n">
        <v>6</v>
      </c>
      <c r="E1605" s="191" t="inlineStr">
        <is>
          <t>MEDIUM</t>
        </is>
      </c>
      <c r="F1605" s="191" t="n">
        <v>2</v>
      </c>
      <c r="G1605" s="191" t="n">
        <v>2</v>
      </c>
      <c r="H1605" s="191" t="inlineStr">
        <is>
          <t>MEDIUM</t>
        </is>
      </c>
      <c r="I1605" s="191" t="n">
        <v>10</v>
      </c>
      <c r="J1605" s="191" t="inlineStr">
        <is>
          <t>NO</t>
        </is>
      </c>
      <c r="K1605" s="192" t="inlineStr">
        <is>
          <t>https://www.spamhaus.org/drop/</t>
        </is>
      </c>
      <c r="L1605" s="191" t="inlineStr">
        <is>
          <t>2026-02-23 23:48</t>
        </is>
      </c>
      <c r="M1605" s="191" t="inlineStr">
        <is>
          <t>Block CIDR</t>
        </is>
      </c>
      <c r="N1605" s="192" t="inlineStr">
        <is>
          <t>https://www.spamhaus.org/drop/</t>
        </is>
      </c>
      <c r="O1605" s="191" t="inlineStr">
        <is>
          <t>Block CIDR 1.165.130.253 at firewall</t>
        </is>
      </c>
      <c r="P1605" s="191" t="inlineStr">
        <is>
          <t>Firewall/Email</t>
        </is>
      </c>
      <c r="Q1605" s="191" t="inlineStr">
        <is>
          <t>P4</t>
        </is>
      </c>
      <c r="R1605" s="191" t="inlineStr">
        <is>
          <t>🔍 Investigate and apply appropriate controls</t>
        </is>
      </c>
      <c r="S1605" s="191" t="inlineStr">
        <is>
          <t>Spamhaus - CIDR range</t>
        </is>
      </c>
      <c r="T1605" s="191" t="n">
        <v>0</v>
      </c>
      <c r="U1605" s="191" t="n">
        <v>0</v>
      </c>
      <c r="V1605" s="191" t="inlineStr">
        <is>
          <t>T1566:Phishing | T1078:Valid Accounts</t>
        </is>
      </c>
      <c r="W1605" s="191" t="n">
        <v>1</v>
      </c>
      <c r="X1605" s="191" t="inlineStr">
        <is>
          <t>LOW (40%)</t>
        </is>
      </c>
      <c r="Y1605" s="191" t="inlineStr">
        <is>
          <t>NONE</t>
        </is>
      </c>
      <c r="Z1605" s="191" t="inlineStr">
        <is>
          <t>NONE</t>
        </is>
      </c>
      <c r="AA1605" s="191" t="inlineStr">
        <is>
          <t>NONE</t>
        </is>
      </c>
      <c r="AB1605" s="191" t="inlineStr">
        <is>
          <t>NONE</t>
        </is>
      </c>
      <c r="AC1605" s="191" t="n">
        <v>0</v>
      </c>
      <c r="AD1605" s="191" t="n"/>
    </row>
    <row r="1606">
      <c r="A1606" s="191" t="inlineStr">
        <is>
          <t>FIREHOL_THREAT</t>
        </is>
      </c>
      <c r="B1606" s="191" t="inlineStr">
        <is>
          <t>e0d3994d4cc5</t>
        </is>
      </c>
      <c r="C1606" s="191" t="inlineStr">
        <is>
          <t>DROP List CIDR: 1.180.62.41 | FireHOL L2 threat IP/CIDR | ASN: FireHOL-L2</t>
        </is>
      </c>
      <c r="D1606" s="191" t="n">
        <v>6</v>
      </c>
      <c r="E1606" s="191" t="inlineStr">
        <is>
          <t>MEDIUM</t>
        </is>
      </c>
      <c r="F1606" s="191" t="n">
        <v>2</v>
      </c>
      <c r="G1606" s="191" t="n">
        <v>2</v>
      </c>
      <c r="H1606" s="191" t="inlineStr">
        <is>
          <t>MEDIUM</t>
        </is>
      </c>
      <c r="I1606" s="191" t="n">
        <v>10</v>
      </c>
      <c r="J1606" s="191" t="inlineStr">
        <is>
          <t>NO</t>
        </is>
      </c>
      <c r="K1606" s="192" t="inlineStr">
        <is>
          <t>https://www.spamhaus.org/drop/</t>
        </is>
      </c>
      <c r="L1606" s="191" t="inlineStr">
        <is>
          <t>2026-02-23 23:48</t>
        </is>
      </c>
      <c r="M1606" s="191" t="inlineStr">
        <is>
          <t>Block CIDR</t>
        </is>
      </c>
      <c r="N1606" s="192" t="inlineStr">
        <is>
          <t>https://www.spamhaus.org/drop/</t>
        </is>
      </c>
      <c r="O1606" s="191" t="inlineStr">
        <is>
          <t>Block CIDR 1.180.62.41 at firewall</t>
        </is>
      </c>
      <c r="P1606" s="191" t="inlineStr">
        <is>
          <t>Firewall/Email</t>
        </is>
      </c>
      <c r="Q1606" s="191" t="inlineStr">
        <is>
          <t>P4</t>
        </is>
      </c>
      <c r="R1606" s="191" t="inlineStr">
        <is>
          <t>🔍 Investigate and apply appropriate controls</t>
        </is>
      </c>
      <c r="S1606" s="191" t="inlineStr">
        <is>
          <t>Spamhaus - CIDR range</t>
        </is>
      </c>
      <c r="T1606" s="191" t="n">
        <v>0</v>
      </c>
      <c r="U1606" s="191" t="n">
        <v>0</v>
      </c>
      <c r="V1606" s="191" t="inlineStr">
        <is>
          <t>T1566:Phishing | T1078:Valid Accounts</t>
        </is>
      </c>
      <c r="W1606" s="191" t="n">
        <v>1</v>
      </c>
      <c r="X1606" s="191" t="inlineStr">
        <is>
          <t>LOW (40%)</t>
        </is>
      </c>
      <c r="Y1606" s="191" t="inlineStr">
        <is>
          <t>NONE</t>
        </is>
      </c>
      <c r="Z1606" s="191" t="inlineStr">
        <is>
          <t>NONE</t>
        </is>
      </c>
      <c r="AA1606" s="191" t="inlineStr">
        <is>
          <t>NONE</t>
        </is>
      </c>
      <c r="AB1606" s="191" t="inlineStr">
        <is>
          <t>NONE</t>
        </is>
      </c>
      <c r="AC1606" s="191" t="n">
        <v>0</v>
      </c>
      <c r="AD1606" s="191" t="n"/>
    </row>
    <row r="1607">
      <c r="A1607" s="191" t="inlineStr">
        <is>
          <t>FIREHOL_THREAT</t>
        </is>
      </c>
      <c r="B1607" s="191" t="inlineStr">
        <is>
          <t>9fdfa884d26a</t>
        </is>
      </c>
      <c r="C1607" s="191" t="inlineStr">
        <is>
          <t>DROP List CIDR: 1.193.163.2 | FireHOL L2 threat IP/CIDR | ASN: FireHOL-L2</t>
        </is>
      </c>
      <c r="D1607" s="191" t="n">
        <v>6</v>
      </c>
      <c r="E1607" s="191" t="inlineStr">
        <is>
          <t>MEDIUM</t>
        </is>
      </c>
      <c r="F1607" s="191" t="n">
        <v>2</v>
      </c>
      <c r="G1607" s="191" t="n">
        <v>2</v>
      </c>
      <c r="H1607" s="191" t="inlineStr">
        <is>
          <t>MEDIUM</t>
        </is>
      </c>
      <c r="I1607" s="191" t="n">
        <v>10</v>
      </c>
      <c r="J1607" s="191" t="inlineStr">
        <is>
          <t>NO</t>
        </is>
      </c>
      <c r="K1607" s="192" t="inlineStr">
        <is>
          <t>https://www.spamhaus.org/drop/</t>
        </is>
      </c>
      <c r="L1607" s="191" t="inlineStr">
        <is>
          <t>2026-02-23 23:48</t>
        </is>
      </c>
      <c r="M1607" s="191" t="inlineStr">
        <is>
          <t>Block CIDR</t>
        </is>
      </c>
      <c r="N1607" s="192" t="inlineStr">
        <is>
          <t>https://www.spamhaus.org/drop/</t>
        </is>
      </c>
      <c r="O1607" s="191" t="inlineStr">
        <is>
          <t>Block CIDR 1.193.163.2 at firewall</t>
        </is>
      </c>
      <c r="P1607" s="191" t="inlineStr">
        <is>
          <t>Firewall/Email</t>
        </is>
      </c>
      <c r="Q1607" s="191" t="inlineStr">
        <is>
          <t>P4</t>
        </is>
      </c>
      <c r="R1607" s="191" t="inlineStr">
        <is>
          <t>🔍 Investigate and apply appropriate controls</t>
        </is>
      </c>
      <c r="S1607" s="191" t="inlineStr">
        <is>
          <t>Spamhaus - CIDR range</t>
        </is>
      </c>
      <c r="T1607" s="191" t="n">
        <v>0</v>
      </c>
      <c r="U1607" s="191" t="n">
        <v>0</v>
      </c>
      <c r="V1607" s="191" t="inlineStr">
        <is>
          <t>T1566:Phishing | T1078:Valid Accounts</t>
        </is>
      </c>
      <c r="W1607" s="191" t="n">
        <v>1</v>
      </c>
      <c r="X1607" s="191" t="inlineStr">
        <is>
          <t>LOW (40%)</t>
        </is>
      </c>
      <c r="Y1607" s="191" t="inlineStr">
        <is>
          <t>NONE</t>
        </is>
      </c>
      <c r="Z1607" s="191" t="inlineStr">
        <is>
          <t>NONE</t>
        </is>
      </c>
      <c r="AA1607" s="191" t="inlineStr">
        <is>
          <t>NONE</t>
        </is>
      </c>
      <c r="AB1607" s="191" t="inlineStr">
        <is>
          <t>NONE</t>
        </is>
      </c>
      <c r="AC1607" s="191" t="n">
        <v>0</v>
      </c>
      <c r="AD1607" s="191" t="n"/>
    </row>
    <row r="1608">
      <c r="A1608" s="191" t="inlineStr">
        <is>
          <t>FIREHOL_THREAT</t>
        </is>
      </c>
      <c r="B1608" s="191" t="inlineStr">
        <is>
          <t>13ca9928126d</t>
        </is>
      </c>
      <c r="C1608" s="191" t="inlineStr">
        <is>
          <t>DROP List CIDR: 1.194.219.159 | FireHOL L2 threat IP/CIDR | ASN: FireHOL-L2</t>
        </is>
      </c>
      <c r="D1608" s="191" t="n">
        <v>6</v>
      </c>
      <c r="E1608" s="191" t="inlineStr">
        <is>
          <t>MEDIUM</t>
        </is>
      </c>
      <c r="F1608" s="191" t="n">
        <v>2</v>
      </c>
      <c r="G1608" s="191" t="n">
        <v>2</v>
      </c>
      <c r="H1608" s="191" t="inlineStr">
        <is>
          <t>MEDIUM</t>
        </is>
      </c>
      <c r="I1608" s="191" t="n">
        <v>10</v>
      </c>
      <c r="J1608" s="191" t="inlineStr">
        <is>
          <t>NO</t>
        </is>
      </c>
      <c r="K1608" s="192" t="inlineStr">
        <is>
          <t>https://www.spamhaus.org/drop/</t>
        </is>
      </c>
      <c r="L1608" s="191" t="inlineStr">
        <is>
          <t>2026-02-23 23:48</t>
        </is>
      </c>
      <c r="M1608" s="191" t="inlineStr">
        <is>
          <t>Block CIDR</t>
        </is>
      </c>
      <c r="N1608" s="192" t="inlineStr">
        <is>
          <t>https://www.spamhaus.org/drop/</t>
        </is>
      </c>
      <c r="O1608" s="191" t="inlineStr">
        <is>
          <t>Block CIDR 1.194.219.159 at firewall</t>
        </is>
      </c>
      <c r="P1608" s="191" t="inlineStr">
        <is>
          <t>Firewall/Email</t>
        </is>
      </c>
      <c r="Q1608" s="191" t="inlineStr">
        <is>
          <t>P4</t>
        </is>
      </c>
      <c r="R1608" s="191" t="inlineStr">
        <is>
          <t>🔍 Investigate and apply appropriate controls</t>
        </is>
      </c>
      <c r="S1608" s="191" t="inlineStr">
        <is>
          <t>Spamhaus - CIDR range</t>
        </is>
      </c>
      <c r="T1608" s="191" t="n">
        <v>0</v>
      </c>
      <c r="U1608" s="191" t="n">
        <v>0</v>
      </c>
      <c r="V1608" s="191" t="inlineStr">
        <is>
          <t>T1566:Phishing | T1078:Valid Accounts</t>
        </is>
      </c>
      <c r="W1608" s="191" t="n">
        <v>1</v>
      </c>
      <c r="X1608" s="191" t="inlineStr">
        <is>
          <t>LOW (40%)</t>
        </is>
      </c>
      <c r="Y1608" s="191" t="inlineStr">
        <is>
          <t>NONE</t>
        </is>
      </c>
      <c r="Z1608" s="191" t="inlineStr">
        <is>
          <t>NONE</t>
        </is>
      </c>
      <c r="AA1608" s="191" t="inlineStr">
        <is>
          <t>NONE</t>
        </is>
      </c>
      <c r="AB1608" s="191" t="inlineStr">
        <is>
          <t>NONE</t>
        </is>
      </c>
      <c r="AC1608" s="191" t="n">
        <v>0</v>
      </c>
      <c r="AD1608" s="191" t="n"/>
    </row>
    <row r="1609">
      <c r="A1609" s="191" t="inlineStr">
        <is>
          <t>FIREHOL_THREAT</t>
        </is>
      </c>
      <c r="B1609" s="191" t="inlineStr">
        <is>
          <t>a31db7927013</t>
        </is>
      </c>
      <c r="C1609" s="191" t="inlineStr">
        <is>
          <t>DROP List CIDR: 1.201.176.240 | FireHOL L2 threat IP/CIDR | ASN: FireHOL-L2</t>
        </is>
      </c>
      <c r="D1609" s="191" t="n">
        <v>6</v>
      </c>
      <c r="E1609" s="191" t="inlineStr">
        <is>
          <t>MEDIUM</t>
        </is>
      </c>
      <c r="F1609" s="191" t="n">
        <v>2</v>
      </c>
      <c r="G1609" s="191" t="n">
        <v>2</v>
      </c>
      <c r="H1609" s="191" t="inlineStr">
        <is>
          <t>MEDIUM</t>
        </is>
      </c>
      <c r="I1609" s="191" t="n">
        <v>10</v>
      </c>
      <c r="J1609" s="191" t="inlineStr">
        <is>
          <t>NO</t>
        </is>
      </c>
      <c r="K1609" s="192" t="inlineStr">
        <is>
          <t>https://www.spamhaus.org/drop/</t>
        </is>
      </c>
      <c r="L1609" s="191" t="inlineStr">
        <is>
          <t>2026-02-23 23:48</t>
        </is>
      </c>
      <c r="M1609" s="191" t="inlineStr">
        <is>
          <t>Block CIDR</t>
        </is>
      </c>
      <c r="N1609" s="192" t="inlineStr">
        <is>
          <t>https://www.spamhaus.org/drop/</t>
        </is>
      </c>
      <c r="O1609" s="191" t="inlineStr">
        <is>
          <t>Block CIDR 1.201.176.240 at firewall</t>
        </is>
      </c>
      <c r="P1609" s="191" t="inlineStr">
        <is>
          <t>Firewall/Email</t>
        </is>
      </c>
      <c r="Q1609" s="191" t="inlineStr">
        <is>
          <t>P4</t>
        </is>
      </c>
      <c r="R1609" s="191" t="inlineStr">
        <is>
          <t>🔍 Investigate and apply appropriate controls</t>
        </is>
      </c>
      <c r="S1609" s="191" t="inlineStr">
        <is>
          <t>Spamhaus - CIDR range</t>
        </is>
      </c>
      <c r="T1609" s="191" t="n">
        <v>0</v>
      </c>
      <c r="U1609" s="191" t="n">
        <v>0</v>
      </c>
      <c r="V1609" s="191" t="inlineStr">
        <is>
          <t>T1566:Phishing | T1078:Valid Accounts</t>
        </is>
      </c>
      <c r="W1609" s="191" t="n">
        <v>1</v>
      </c>
      <c r="X1609" s="191" t="inlineStr">
        <is>
          <t>LOW (40%)</t>
        </is>
      </c>
      <c r="Y1609" s="191" t="inlineStr">
        <is>
          <t>NONE</t>
        </is>
      </c>
      <c r="Z1609" s="191" t="inlineStr">
        <is>
          <t>NONE</t>
        </is>
      </c>
      <c r="AA1609" s="191" t="inlineStr">
        <is>
          <t>NONE</t>
        </is>
      </c>
      <c r="AB1609" s="191" t="inlineStr">
        <is>
          <t>NONE</t>
        </is>
      </c>
      <c r="AC1609" s="191" t="n">
        <v>0</v>
      </c>
      <c r="AD1609" s="191" t="n"/>
    </row>
    <row r="1610">
      <c r="A1610" s="191" t="inlineStr">
        <is>
          <t>FIREHOL_THREAT</t>
        </is>
      </c>
      <c r="B1610" s="191" t="inlineStr">
        <is>
          <t>a166dd92f267</t>
        </is>
      </c>
      <c r="C1610" s="191" t="inlineStr">
        <is>
          <t>DROP List CIDR: 1.204.58.120 | FireHOL L2 threat IP/CIDR | ASN: FireHOL-L2</t>
        </is>
      </c>
      <c r="D1610" s="191" t="n">
        <v>6</v>
      </c>
      <c r="E1610" s="191" t="inlineStr">
        <is>
          <t>MEDIUM</t>
        </is>
      </c>
      <c r="F1610" s="191" t="n">
        <v>2</v>
      </c>
      <c r="G1610" s="191" t="n">
        <v>2</v>
      </c>
      <c r="H1610" s="191" t="inlineStr">
        <is>
          <t>MEDIUM</t>
        </is>
      </c>
      <c r="I1610" s="191" t="n">
        <v>10</v>
      </c>
      <c r="J1610" s="191" t="inlineStr">
        <is>
          <t>NO</t>
        </is>
      </c>
      <c r="K1610" s="192" t="inlineStr">
        <is>
          <t>https://www.spamhaus.org/drop/</t>
        </is>
      </c>
      <c r="L1610" s="191" t="inlineStr">
        <is>
          <t>2026-02-23 23:48</t>
        </is>
      </c>
      <c r="M1610" s="191" t="inlineStr">
        <is>
          <t>Block CIDR</t>
        </is>
      </c>
      <c r="N1610" s="192" t="inlineStr">
        <is>
          <t>https://www.spamhaus.org/drop/</t>
        </is>
      </c>
      <c r="O1610" s="191" t="inlineStr">
        <is>
          <t>Block CIDR 1.204.58.120 at firewall</t>
        </is>
      </c>
      <c r="P1610" s="191" t="inlineStr">
        <is>
          <t>Firewall/Email</t>
        </is>
      </c>
      <c r="Q1610" s="191" t="inlineStr">
        <is>
          <t>P4</t>
        </is>
      </c>
      <c r="R1610" s="191" t="inlineStr">
        <is>
          <t>🔍 Investigate and apply appropriate controls</t>
        </is>
      </c>
      <c r="S1610" s="191" t="inlineStr">
        <is>
          <t>Spamhaus - CIDR range</t>
        </is>
      </c>
      <c r="T1610" s="191" t="n">
        <v>0</v>
      </c>
      <c r="U1610" s="191" t="n">
        <v>0</v>
      </c>
      <c r="V1610" s="191" t="inlineStr">
        <is>
          <t>T1566:Phishing | T1078:Valid Accounts</t>
        </is>
      </c>
      <c r="W1610" s="191" t="n">
        <v>1</v>
      </c>
      <c r="X1610" s="191" t="inlineStr">
        <is>
          <t>LOW (40%)</t>
        </is>
      </c>
      <c r="Y1610" s="191" t="inlineStr">
        <is>
          <t>NONE</t>
        </is>
      </c>
      <c r="Z1610" s="191" t="inlineStr">
        <is>
          <t>NONE</t>
        </is>
      </c>
      <c r="AA1610" s="191" t="inlineStr">
        <is>
          <t>NONE</t>
        </is>
      </c>
      <c r="AB1610" s="191" t="inlineStr">
        <is>
          <t>NONE</t>
        </is>
      </c>
      <c r="AC1610" s="191" t="n">
        <v>0</v>
      </c>
      <c r="AD1610" s="191" t="n"/>
    </row>
    <row r="1611">
      <c r="A1611" s="191" t="inlineStr">
        <is>
          <t>UBUNTU_SEC</t>
        </is>
      </c>
      <c r="B1611" s="191" t="inlineStr">
        <is>
          <t>USN-8057-1</t>
        </is>
      </c>
      <c r="C1611" s="191" t="inlineStr">
        <is>
          <t>USN-8057-1: GIMP vulnerabilities | Hanno Böck discovered that GIMP allocated FLI images using only the information present in the file header, which allowed for a maliciously- crafted file to cause out-of-bounds writes. An attacker cou</t>
        </is>
      </c>
      <c r="D1611" s="191" t="n">
        <v>6.5</v>
      </c>
      <c r="E1611" s="191" t="inlineStr">
        <is>
          <t>MEDIUM</t>
        </is>
      </c>
      <c r="F1611" s="191" t="n">
        <v>2</v>
      </c>
      <c r="G1611" s="191" t="n">
        <v>2</v>
      </c>
      <c r="H1611" s="191" t="inlineStr">
        <is>
          <t>MEDIUM</t>
        </is>
      </c>
      <c r="I1611" s="191" t="n">
        <v>10.5</v>
      </c>
      <c r="J1611" s="191" t="inlineStr">
        <is>
          <t>NO</t>
        </is>
      </c>
      <c r="K1611" s="192" t="inlineStr">
        <is>
          <t>https://ubuntu.com/security/notices/USN-8057-1</t>
        </is>
      </c>
      <c r="L1611" s="191" t="inlineStr">
        <is>
          <t>2026-02-23</t>
        </is>
      </c>
      <c r="M1611" s="191" t="inlineStr">
        <is>
          <t>YES</t>
        </is>
      </c>
      <c r="N1611" s="191" t="inlineStr">
        <is>
          <t>apt-get update &amp;&amp; apt-get upgrade</t>
        </is>
      </c>
      <c r="O1611" s="191" t="inlineStr">
        <is>
          <t>Run: sudo apt-get update &amp;&amp; sudo apt-get upgrade</t>
        </is>
      </c>
      <c r="P1611" s="191" t="inlineStr">
        <is>
          <t>Ubuntu Linux</t>
        </is>
      </c>
      <c r="Q1611" s="191" t="inlineStr">
        <is>
          <t>P4</t>
        </is>
      </c>
      <c r="R1611" s="191" t="inlineStr">
        <is>
          <t>🔍 Investigate and apply appropriate controls</t>
        </is>
      </c>
      <c r="S1611" s="191" t="inlineStr">
        <is>
          <t>Ubuntu advisory - no IP context</t>
        </is>
      </c>
      <c r="T1611" s="191" t="n">
        <v>0</v>
      </c>
      <c r="U1611" s="191" t="n">
        <v>0</v>
      </c>
      <c r="V1611" s="191" t="inlineStr">
        <is>
          <t>T1068:Exploitation for Privilege Escalation</t>
        </is>
      </c>
      <c r="W1611" s="191" t="n">
        <v>1</v>
      </c>
      <c r="X1611" s="191" t="inlineStr">
        <is>
          <t>LOW (40%)</t>
        </is>
      </c>
      <c r="Y1611" s="191" t="inlineStr">
        <is>
          <t>CHECK_USN</t>
        </is>
      </c>
      <c r="Z1611" s="191" t="inlineStr">
        <is>
          <t>YES</t>
        </is>
      </c>
      <c r="AA1611" s="192" t="inlineStr">
        <is>
          <t>https://ubuntu.com/security/notices/USN-8057-1</t>
        </is>
      </c>
      <c r="AB1611" s="191" t="inlineStr">
        <is>
          <t>NONE</t>
        </is>
      </c>
      <c r="AC1611" s="191" t="n">
        <v>0</v>
      </c>
      <c r="AD1611" s="191" t="n"/>
    </row>
    <row r="1612">
      <c r="A1612" s="191" t="inlineStr">
        <is>
          <t>UBUNTU_SEC</t>
        </is>
      </c>
      <c r="B1612" s="191" t="inlineStr">
        <is>
          <t>USN-8051-2</t>
        </is>
      </c>
      <c r="C1612" s="191" t="inlineStr">
        <is>
          <t>USN-8051-2: libssh vulnerabilities | USN-8051-1 fixed vulnerabilities in libssh. This update provides the corresponding updates for Ubuntu 16.04 LTS, Ubuntu 18.04 LTS, and Ubuntu 20.04 LTS. Original advisory details: It was discovered th</t>
        </is>
      </c>
      <c r="D1612" s="191" t="n">
        <v>6.5</v>
      </c>
      <c r="E1612" s="191" t="inlineStr">
        <is>
          <t>MEDIUM</t>
        </is>
      </c>
      <c r="F1612" s="191" t="n">
        <v>2</v>
      </c>
      <c r="G1612" s="191" t="n">
        <v>2</v>
      </c>
      <c r="H1612" s="191" t="inlineStr">
        <is>
          <t>MEDIUM</t>
        </is>
      </c>
      <c r="I1612" s="191" t="n">
        <v>10.5</v>
      </c>
      <c r="J1612" s="191" t="inlineStr">
        <is>
          <t>NO</t>
        </is>
      </c>
      <c r="K1612" s="192" t="inlineStr">
        <is>
          <t>https://ubuntu.com/security/notices/USN-8051-2</t>
        </is>
      </c>
      <c r="L1612" s="191" t="inlineStr">
        <is>
          <t>2026-02-23</t>
        </is>
      </c>
      <c r="M1612" s="191" t="inlineStr">
        <is>
          <t>YES</t>
        </is>
      </c>
      <c r="N1612" s="191" t="inlineStr">
        <is>
          <t>apt-get update &amp;&amp; apt-get upgrade</t>
        </is>
      </c>
      <c r="O1612" s="191" t="inlineStr">
        <is>
          <t>Run: sudo apt-get update &amp;&amp; sudo apt-get upgrade</t>
        </is>
      </c>
      <c r="P1612" s="191" t="inlineStr">
        <is>
          <t>Ubuntu Linux</t>
        </is>
      </c>
      <c r="Q1612" s="191" t="inlineStr">
        <is>
          <t>P4</t>
        </is>
      </c>
      <c r="R1612" s="191" t="inlineStr">
        <is>
          <t>🔍 Investigate and apply appropriate controls</t>
        </is>
      </c>
      <c r="S1612" s="191" t="inlineStr">
        <is>
          <t>Ubuntu advisory - no IP context</t>
        </is>
      </c>
      <c r="T1612" s="191" t="n">
        <v>0</v>
      </c>
      <c r="U1612" s="191" t="n">
        <v>0</v>
      </c>
      <c r="V1612" s="191" t="inlineStr">
        <is>
          <t>T1068:Exploitation for Privilege Escalation</t>
        </is>
      </c>
      <c r="W1612" s="191" t="n">
        <v>1</v>
      </c>
      <c r="X1612" s="191" t="inlineStr">
        <is>
          <t>LOW (40%)</t>
        </is>
      </c>
      <c r="Y1612" s="191" t="inlineStr">
        <is>
          <t>CHECK_USN</t>
        </is>
      </c>
      <c r="Z1612" s="191" t="inlineStr">
        <is>
          <t>YES</t>
        </is>
      </c>
      <c r="AA1612" s="192" t="inlineStr">
        <is>
          <t>https://ubuntu.com/security/notices/USN-8051-2</t>
        </is>
      </c>
      <c r="AB1612" s="191" t="inlineStr">
        <is>
          <t>NONE</t>
        </is>
      </c>
      <c r="AC1612" s="191" t="n">
        <v>0</v>
      </c>
      <c r="AD1612" s="191" t="n"/>
    </row>
    <row r="1613">
      <c r="A1613" s="191" t="inlineStr">
        <is>
          <t>UBUNTU_SEC</t>
        </is>
      </c>
      <c r="B1613" s="191" t="inlineStr">
        <is>
          <t>USN-8056-1</t>
        </is>
      </c>
      <c r="C1613" s="191" t="inlineStr">
        <is>
          <t>USN-8056-1: U-Boot vulnerabilities | Simon Diepold discovered that U-Boot incorrectly handled certain DHCP responses. An attacker on the local network could possibly use this issue to obtain sensitive memory contents. (CVE-2024-42040) It</t>
        </is>
      </c>
      <c r="D1613" s="191" t="n">
        <v>6.5</v>
      </c>
      <c r="E1613" s="191" t="inlineStr">
        <is>
          <t>MEDIUM</t>
        </is>
      </c>
      <c r="F1613" s="191" t="n">
        <v>2</v>
      </c>
      <c r="G1613" s="191" t="n">
        <v>2</v>
      </c>
      <c r="H1613" s="191" t="inlineStr">
        <is>
          <t>MEDIUM</t>
        </is>
      </c>
      <c r="I1613" s="191" t="n">
        <v>10.5</v>
      </c>
      <c r="J1613" s="191" t="inlineStr">
        <is>
          <t>NO</t>
        </is>
      </c>
      <c r="K1613" s="192" t="inlineStr">
        <is>
          <t>https://ubuntu.com/security/notices/USN-8056-1</t>
        </is>
      </c>
      <c r="L1613" s="191" t="inlineStr">
        <is>
          <t>2026-02-23</t>
        </is>
      </c>
      <c r="M1613" s="191" t="inlineStr">
        <is>
          <t>YES</t>
        </is>
      </c>
      <c r="N1613" s="191" t="inlineStr">
        <is>
          <t>apt-get update &amp;&amp; apt-get upgrade</t>
        </is>
      </c>
      <c r="O1613" s="191" t="inlineStr">
        <is>
          <t>Run: sudo apt-get update &amp;&amp; sudo apt-get upgrade</t>
        </is>
      </c>
      <c r="P1613" s="191" t="inlineStr">
        <is>
          <t>Ubuntu Linux</t>
        </is>
      </c>
      <c r="Q1613" s="191" t="inlineStr">
        <is>
          <t>P4</t>
        </is>
      </c>
      <c r="R1613" s="191" t="inlineStr">
        <is>
          <t>🔍 Investigate and apply appropriate controls</t>
        </is>
      </c>
      <c r="S1613" s="191" t="inlineStr">
        <is>
          <t>Ubuntu advisory - no IP context</t>
        </is>
      </c>
      <c r="T1613" s="191" t="n">
        <v>0</v>
      </c>
      <c r="U1613" s="191" t="n">
        <v>0</v>
      </c>
      <c r="V1613" s="191" t="inlineStr">
        <is>
          <t>T1068:Exploitation for Privilege Escalation</t>
        </is>
      </c>
      <c r="W1613" s="191" t="n">
        <v>1</v>
      </c>
      <c r="X1613" s="191" t="inlineStr">
        <is>
          <t>LOW (40%)</t>
        </is>
      </c>
      <c r="Y1613" s="191" t="inlineStr">
        <is>
          <t>CHECK_USN</t>
        </is>
      </c>
      <c r="Z1613" s="191" t="inlineStr">
        <is>
          <t>YES</t>
        </is>
      </c>
      <c r="AA1613" s="192" t="inlineStr">
        <is>
          <t>https://ubuntu.com/security/notices/USN-8056-1</t>
        </is>
      </c>
      <c r="AB1613" s="191" t="inlineStr">
        <is>
          <t>NONE</t>
        </is>
      </c>
      <c r="AC1613" s="191" t="n">
        <v>0</v>
      </c>
      <c r="AD1613" s="191" t="n"/>
    </row>
    <row r="1614">
      <c r="A1614" s="191" t="inlineStr">
        <is>
          <t>UBUNTU_SEC</t>
        </is>
      </c>
      <c r="B1614" s="191" t="inlineStr">
        <is>
          <t>USN-8055-1</t>
        </is>
      </c>
      <c r="C1614" s="191" t="inlineStr">
        <is>
          <t>USN-8055-1: Evolution Data Server vulnerability | It was discovered that Evolution Data Server incorrectly handled removing local cache files. An attacker could possibly use this issue to cause Evolution Data Server to remove arbitrary files.</t>
        </is>
      </c>
      <c r="D1614" s="191" t="n">
        <v>6.5</v>
      </c>
      <c r="E1614" s="191" t="inlineStr">
        <is>
          <t>MEDIUM</t>
        </is>
      </c>
      <c r="F1614" s="191" t="n">
        <v>2</v>
      </c>
      <c r="G1614" s="191" t="n">
        <v>2</v>
      </c>
      <c r="H1614" s="191" t="inlineStr">
        <is>
          <t>MEDIUM</t>
        </is>
      </c>
      <c r="I1614" s="191" t="n">
        <v>10.5</v>
      </c>
      <c r="J1614" s="191" t="inlineStr">
        <is>
          <t>NO</t>
        </is>
      </c>
      <c r="K1614" s="192" t="inlineStr">
        <is>
          <t>https://ubuntu.com/security/notices/USN-8055-1</t>
        </is>
      </c>
      <c r="L1614" s="191" t="inlineStr">
        <is>
          <t>2026-02-23</t>
        </is>
      </c>
      <c r="M1614" s="191" t="inlineStr">
        <is>
          <t>YES</t>
        </is>
      </c>
      <c r="N1614" s="191" t="inlineStr">
        <is>
          <t>apt-get update &amp;&amp; apt-get upgrade</t>
        </is>
      </c>
      <c r="O1614" s="191" t="inlineStr">
        <is>
          <t>Run: sudo apt-get update &amp;&amp; sudo apt-get upgrade</t>
        </is>
      </c>
      <c r="P1614" s="191" t="inlineStr">
        <is>
          <t>Ubuntu Linux</t>
        </is>
      </c>
      <c r="Q1614" s="191" t="inlineStr">
        <is>
          <t>P4</t>
        </is>
      </c>
      <c r="R1614" s="191" t="inlineStr">
        <is>
          <t>🔍 Investigate and apply appropriate controls</t>
        </is>
      </c>
      <c r="S1614" s="191" t="inlineStr">
        <is>
          <t>Ubuntu advisory - no IP context</t>
        </is>
      </c>
      <c r="T1614" s="191" t="n">
        <v>0</v>
      </c>
      <c r="U1614" s="191" t="n">
        <v>0</v>
      </c>
      <c r="V1614" s="191" t="inlineStr">
        <is>
          <t>T1068:Exploitation for Privilege Escalation</t>
        </is>
      </c>
      <c r="W1614" s="191" t="n">
        <v>1</v>
      </c>
      <c r="X1614" s="191" t="inlineStr">
        <is>
          <t>LOW (40%)</t>
        </is>
      </c>
      <c r="Y1614" s="191" t="inlineStr">
        <is>
          <t>CHECK_USN</t>
        </is>
      </c>
      <c r="Z1614" s="191" t="inlineStr">
        <is>
          <t>YES</t>
        </is>
      </c>
      <c r="AA1614" s="192" t="inlineStr">
        <is>
          <t>https://ubuntu.com/security/notices/USN-8055-1</t>
        </is>
      </c>
      <c r="AB1614" s="191" t="inlineStr">
        <is>
          <t>NONE</t>
        </is>
      </c>
      <c r="AC1614" s="191" t="n">
        <v>0</v>
      </c>
      <c r="AD1614" s="191" t="n"/>
    </row>
    <row r="1615">
      <c r="A1615" s="191" t="inlineStr">
        <is>
          <t>UBUNTU_SEC</t>
        </is>
      </c>
      <c r="B1615" s="191" t="inlineStr">
        <is>
          <t>USN-8054-1</t>
        </is>
      </c>
      <c r="C1615" s="191" t="inlineStr">
        <is>
          <t xml:space="preserve">USN-8054-1: DjVuLibre vulnerabilities | It was discovered that DjVuLibre could be forced to execute a division by zero in certain instances. A remote attacker could possibly use this issue to cause applications to stop responding or crash, </t>
        </is>
      </c>
      <c r="D1615" s="191" t="n">
        <v>6.5</v>
      </c>
      <c r="E1615" s="191" t="inlineStr">
        <is>
          <t>MEDIUM</t>
        </is>
      </c>
      <c r="F1615" s="191" t="n">
        <v>2</v>
      </c>
      <c r="G1615" s="191" t="n">
        <v>2</v>
      </c>
      <c r="H1615" s="191" t="inlineStr">
        <is>
          <t>MEDIUM</t>
        </is>
      </c>
      <c r="I1615" s="191" t="n">
        <v>10.5</v>
      </c>
      <c r="J1615" s="191" t="inlineStr">
        <is>
          <t>NO</t>
        </is>
      </c>
      <c r="K1615" s="192" t="inlineStr">
        <is>
          <t>https://ubuntu.com/security/notices/USN-8054-1</t>
        </is>
      </c>
      <c r="L1615" s="191" t="inlineStr">
        <is>
          <t>2026-02-23</t>
        </is>
      </c>
      <c r="M1615" s="191" t="inlineStr">
        <is>
          <t>YES</t>
        </is>
      </c>
      <c r="N1615" s="191" t="inlineStr">
        <is>
          <t>apt-get update &amp;&amp; apt-get upgrade</t>
        </is>
      </c>
      <c r="O1615" s="191" t="inlineStr">
        <is>
          <t>Run: sudo apt-get update &amp;&amp; sudo apt-get upgrade</t>
        </is>
      </c>
      <c r="P1615" s="191" t="inlineStr">
        <is>
          <t>Ubuntu Linux</t>
        </is>
      </c>
      <c r="Q1615" s="191" t="inlineStr">
        <is>
          <t>P4</t>
        </is>
      </c>
      <c r="R1615" s="191" t="inlineStr">
        <is>
          <t>🔍 Investigate and apply appropriate controls</t>
        </is>
      </c>
      <c r="S1615" s="191" t="inlineStr">
        <is>
          <t>Ubuntu advisory - no IP context</t>
        </is>
      </c>
      <c r="T1615" s="191" t="n">
        <v>0</v>
      </c>
      <c r="U1615" s="191" t="n">
        <v>0</v>
      </c>
      <c r="V1615" s="191" t="inlineStr">
        <is>
          <t>T1068:Exploitation for Privilege Escalation</t>
        </is>
      </c>
      <c r="W1615" s="191" t="n">
        <v>1</v>
      </c>
      <c r="X1615" s="191" t="inlineStr">
        <is>
          <t>LOW (40%)</t>
        </is>
      </c>
      <c r="Y1615" s="191" t="inlineStr">
        <is>
          <t>CHECK_USN</t>
        </is>
      </c>
      <c r="Z1615" s="191" t="inlineStr">
        <is>
          <t>YES</t>
        </is>
      </c>
      <c r="AA1615" s="192" t="inlineStr">
        <is>
          <t>https://ubuntu.com/security/notices/USN-8054-1</t>
        </is>
      </c>
      <c r="AB1615" s="191" t="inlineStr">
        <is>
          <t>NONE</t>
        </is>
      </c>
      <c r="AC1615" s="191" t="n">
        <v>0</v>
      </c>
      <c r="AD1615" s="191" t="n"/>
    </row>
    <row r="1616">
      <c r="A1616" s="191" t="inlineStr">
        <is>
          <t>UBUNTU_SEC</t>
        </is>
      </c>
      <c r="B1616" s="191" t="inlineStr">
        <is>
          <t>USN-8015-5</t>
        </is>
      </c>
      <c r="C1616" s="191" t="inlineStr">
        <is>
          <t>USN-8015-5: Linux kernel vulnerabilities | Several security issues were discovered in the Linux kernel. An attacker could possibly use these to compromise the system. This update corrects flaws in the following subsystems: - Cryptographic API;</t>
        </is>
      </c>
      <c r="D1616" s="191" t="n">
        <v>6.5</v>
      </c>
      <c r="E1616" s="191" t="inlineStr">
        <is>
          <t>MEDIUM</t>
        </is>
      </c>
      <c r="F1616" s="191" t="n">
        <v>2</v>
      </c>
      <c r="G1616" s="191" t="n">
        <v>2</v>
      </c>
      <c r="H1616" s="191" t="inlineStr">
        <is>
          <t>MEDIUM</t>
        </is>
      </c>
      <c r="I1616" s="191" t="n">
        <v>10.5</v>
      </c>
      <c r="J1616" s="191" t="inlineStr">
        <is>
          <t>NO</t>
        </is>
      </c>
      <c r="K1616" s="192" t="inlineStr">
        <is>
          <t>https://ubuntu.com/security/notices/USN-8015-5</t>
        </is>
      </c>
      <c r="L1616" s="191" t="inlineStr">
        <is>
          <t>2026-02-20</t>
        </is>
      </c>
      <c r="M1616" s="191" t="inlineStr">
        <is>
          <t>YES</t>
        </is>
      </c>
      <c r="N1616" s="191" t="inlineStr">
        <is>
          <t>apt-get update &amp;&amp; apt-get upgrade</t>
        </is>
      </c>
      <c r="O1616" s="191" t="inlineStr">
        <is>
          <t>Run: sudo apt-get update &amp;&amp; sudo apt-get upgrade</t>
        </is>
      </c>
      <c r="P1616" s="191" t="inlineStr">
        <is>
          <t>Ubuntu Linux</t>
        </is>
      </c>
      <c r="Q1616" s="191" t="inlineStr">
        <is>
          <t>P4</t>
        </is>
      </c>
      <c r="R1616" s="191" t="inlineStr">
        <is>
          <t>🔍 Investigate and apply appropriate controls</t>
        </is>
      </c>
      <c r="S1616" s="191" t="inlineStr">
        <is>
          <t>Ubuntu advisory - no IP context</t>
        </is>
      </c>
      <c r="T1616" s="191" t="n">
        <v>0</v>
      </c>
      <c r="U1616" s="191" t="n">
        <v>0</v>
      </c>
      <c r="V1616" s="191" t="inlineStr">
        <is>
          <t>T1068:Exploitation for Privilege Escalation</t>
        </is>
      </c>
      <c r="W1616" s="191" t="n">
        <v>1</v>
      </c>
      <c r="X1616" s="191" t="inlineStr">
        <is>
          <t>LOW (40%)</t>
        </is>
      </c>
      <c r="Y1616" s="191" t="inlineStr">
        <is>
          <t>CHECK_USN</t>
        </is>
      </c>
      <c r="Z1616" s="191" t="inlineStr">
        <is>
          <t>YES</t>
        </is>
      </c>
      <c r="AA1616" s="192" t="inlineStr">
        <is>
          <t>https://ubuntu.com/security/notices/USN-8015-5</t>
        </is>
      </c>
      <c r="AB1616" s="191" t="inlineStr">
        <is>
          <t>NONE</t>
        </is>
      </c>
      <c r="AC1616" s="191" t="n">
        <v>0</v>
      </c>
      <c r="AD1616" s="191" t="n"/>
    </row>
    <row r="1617">
      <c r="A1617" s="191" t="inlineStr">
        <is>
          <t>UBUNTU_SEC</t>
        </is>
      </c>
      <c r="B1617" s="191" t="inlineStr">
        <is>
          <t>USN-7990-5</t>
        </is>
      </c>
      <c r="C1617" s="191" t="inlineStr">
        <is>
          <t>USN-7990-5: Linux kernel (Azure) vulnerabilities | Several security issues were discovered in the Linux kernel. An attacker could possibly use these to compromise the system. This update corrects flaws in the following subsystems: - Cryptographic API;</t>
        </is>
      </c>
      <c r="D1617" s="191" t="n">
        <v>6.5</v>
      </c>
      <c r="E1617" s="191" t="inlineStr">
        <is>
          <t>MEDIUM</t>
        </is>
      </c>
      <c r="F1617" s="191" t="n">
        <v>2</v>
      </c>
      <c r="G1617" s="191" t="n">
        <v>2</v>
      </c>
      <c r="H1617" s="191" t="inlineStr">
        <is>
          <t>MEDIUM</t>
        </is>
      </c>
      <c r="I1617" s="191" t="n">
        <v>10.5</v>
      </c>
      <c r="J1617" s="191" t="inlineStr">
        <is>
          <t>NO</t>
        </is>
      </c>
      <c r="K1617" s="192" t="inlineStr">
        <is>
          <t>https://ubuntu.com/security/notices/USN-7990-5</t>
        </is>
      </c>
      <c r="L1617" s="191" t="inlineStr">
        <is>
          <t>2026-02-20</t>
        </is>
      </c>
      <c r="M1617" s="191" t="inlineStr">
        <is>
          <t>YES</t>
        </is>
      </c>
      <c r="N1617" s="191" t="inlineStr">
        <is>
          <t>apt-get update &amp;&amp; apt-get upgrade</t>
        </is>
      </c>
      <c r="O1617" s="191" t="inlineStr">
        <is>
          <t>Run: sudo apt-get update &amp;&amp; sudo apt-get upgrade</t>
        </is>
      </c>
      <c r="P1617" s="191" t="inlineStr">
        <is>
          <t>Ubuntu Linux</t>
        </is>
      </c>
      <c r="Q1617" s="191" t="inlineStr">
        <is>
          <t>P4</t>
        </is>
      </c>
      <c r="R1617" s="191" t="inlineStr">
        <is>
          <t>🔍 Investigate and apply appropriate controls</t>
        </is>
      </c>
      <c r="S1617" s="191" t="inlineStr">
        <is>
          <t>Ubuntu advisory - no IP context</t>
        </is>
      </c>
      <c r="T1617" s="191" t="n">
        <v>0</v>
      </c>
      <c r="U1617" s="191" t="n">
        <v>0</v>
      </c>
      <c r="V1617" s="191" t="inlineStr">
        <is>
          <t>T1068:Exploitation for Privilege Escalation</t>
        </is>
      </c>
      <c r="W1617" s="191" t="n">
        <v>1</v>
      </c>
      <c r="X1617" s="191" t="inlineStr">
        <is>
          <t>LOW (40%)</t>
        </is>
      </c>
      <c r="Y1617" s="191" t="inlineStr">
        <is>
          <t>CHECK_USN</t>
        </is>
      </c>
      <c r="Z1617" s="191" t="inlineStr">
        <is>
          <t>YES</t>
        </is>
      </c>
      <c r="AA1617" s="192" t="inlineStr">
        <is>
          <t>https://ubuntu.com/security/notices/USN-7990-5</t>
        </is>
      </c>
      <c r="AB1617" s="191" t="inlineStr">
        <is>
          <t>NONE</t>
        </is>
      </c>
      <c r="AC1617" s="191" t="n">
        <v>0</v>
      </c>
      <c r="AD1617" s="191" t="n"/>
    </row>
    <row r="1618">
      <c r="A1618" s="191" t="inlineStr">
        <is>
          <t>UBUNTU_SEC</t>
        </is>
      </c>
      <c r="B1618" s="191" t="inlineStr">
        <is>
          <t>USN-8033-8</t>
        </is>
      </c>
      <c r="C1618" s="191" t="inlineStr">
        <is>
          <t>USN-8033-8: Linux kernel (Intel IoTG) vulnerabilities | Several security issues were discovered in the Linux kernel. An attacker could possibly use these to compromise the system. This update corrects flaws in the following subsystems: - Nios II architectu</t>
        </is>
      </c>
      <c r="D1618" s="191" t="n">
        <v>6.5</v>
      </c>
      <c r="E1618" s="191" t="inlineStr">
        <is>
          <t>MEDIUM</t>
        </is>
      </c>
      <c r="F1618" s="191" t="n">
        <v>2</v>
      </c>
      <c r="G1618" s="191" t="n">
        <v>2</v>
      </c>
      <c r="H1618" s="191" t="inlineStr">
        <is>
          <t>MEDIUM</t>
        </is>
      </c>
      <c r="I1618" s="191" t="n">
        <v>10.5</v>
      </c>
      <c r="J1618" s="191" t="inlineStr">
        <is>
          <t>NO</t>
        </is>
      </c>
      <c r="K1618" s="192" t="inlineStr">
        <is>
          <t>https://ubuntu.com/security/notices/USN-8033-8</t>
        </is>
      </c>
      <c r="L1618" s="191" t="inlineStr">
        <is>
          <t>2026-02-19</t>
        </is>
      </c>
      <c r="M1618" s="191" t="inlineStr">
        <is>
          <t>YES</t>
        </is>
      </c>
      <c r="N1618" s="191" t="inlineStr">
        <is>
          <t>apt-get update &amp;&amp; apt-get upgrade</t>
        </is>
      </c>
      <c r="O1618" s="191" t="inlineStr">
        <is>
          <t>Run: sudo apt-get update &amp;&amp; sudo apt-get upgrade</t>
        </is>
      </c>
      <c r="P1618" s="191" t="inlineStr">
        <is>
          <t>Ubuntu Linux</t>
        </is>
      </c>
      <c r="Q1618" s="191" t="inlineStr">
        <is>
          <t>P4</t>
        </is>
      </c>
      <c r="R1618" s="191" t="inlineStr">
        <is>
          <t>🔍 Investigate and apply appropriate controls</t>
        </is>
      </c>
      <c r="S1618" s="191" t="inlineStr">
        <is>
          <t>Ubuntu advisory - no IP context</t>
        </is>
      </c>
      <c r="T1618" s="191" t="n">
        <v>0</v>
      </c>
      <c r="U1618" s="191" t="n">
        <v>0</v>
      </c>
      <c r="V1618" s="191" t="inlineStr">
        <is>
          <t>T1068:Exploitation for Privilege Escalation</t>
        </is>
      </c>
      <c r="W1618" s="191" t="n">
        <v>1</v>
      </c>
      <c r="X1618" s="191" t="inlineStr">
        <is>
          <t>LOW (40%)</t>
        </is>
      </c>
      <c r="Y1618" s="191" t="inlineStr">
        <is>
          <t>CHECK_USN</t>
        </is>
      </c>
      <c r="Z1618" s="191" t="inlineStr">
        <is>
          <t>YES</t>
        </is>
      </c>
      <c r="AA1618" s="192" t="inlineStr">
        <is>
          <t>https://ubuntu.com/security/notices/USN-8033-8</t>
        </is>
      </c>
      <c r="AB1618" s="191" t="inlineStr">
        <is>
          <t>NONE</t>
        </is>
      </c>
      <c r="AC1618" s="191" t="n">
        <v>0</v>
      </c>
      <c r="AD1618" s="191" t="n"/>
    </row>
    <row r="1619">
      <c r="A1619" s="191" t="inlineStr">
        <is>
          <t>UBUNTU_SEC</t>
        </is>
      </c>
      <c r="B1619" s="191" t="inlineStr">
        <is>
          <t>USN-8053-1</t>
        </is>
      </c>
      <c r="C1619" s="191" t="inlineStr">
        <is>
          <t xml:space="preserve">USN-8053-1: libvpx vulnerability | It was discovered that libvpx did not properly handle certain malformed media files. If an application using libvpx opened a specially crafted file, a remote attacker could cause a denial of service, </t>
        </is>
      </c>
      <c r="D1619" s="191" t="n">
        <v>6.5</v>
      </c>
      <c r="E1619" s="191" t="inlineStr">
        <is>
          <t>MEDIUM</t>
        </is>
      </c>
      <c r="F1619" s="191" t="n">
        <v>2</v>
      </c>
      <c r="G1619" s="191" t="n">
        <v>2</v>
      </c>
      <c r="H1619" s="191" t="inlineStr">
        <is>
          <t>MEDIUM</t>
        </is>
      </c>
      <c r="I1619" s="191" t="n">
        <v>10.5</v>
      </c>
      <c r="J1619" s="191" t="inlineStr">
        <is>
          <t>NO</t>
        </is>
      </c>
      <c r="K1619" s="192" t="inlineStr">
        <is>
          <t>https://ubuntu.com/security/notices/USN-8053-1</t>
        </is>
      </c>
      <c r="L1619" s="191" t="inlineStr">
        <is>
          <t>2026-02-19</t>
        </is>
      </c>
      <c r="M1619" s="191" t="inlineStr">
        <is>
          <t>YES</t>
        </is>
      </c>
      <c r="N1619" s="191" t="inlineStr">
        <is>
          <t>apt-get update &amp;&amp; apt-get upgrade</t>
        </is>
      </c>
      <c r="O1619" s="191" t="inlineStr">
        <is>
          <t>Run: sudo apt-get update &amp;&amp; sudo apt-get upgrade</t>
        </is>
      </c>
      <c r="P1619" s="191" t="inlineStr">
        <is>
          <t>Ubuntu Linux</t>
        </is>
      </c>
      <c r="Q1619" s="191" t="inlineStr">
        <is>
          <t>P4</t>
        </is>
      </c>
      <c r="R1619" s="191" t="inlineStr">
        <is>
          <t>🔍 Investigate and apply appropriate controls</t>
        </is>
      </c>
      <c r="S1619" s="191" t="inlineStr">
        <is>
          <t>Ubuntu advisory - no IP context</t>
        </is>
      </c>
      <c r="T1619" s="191" t="n">
        <v>0</v>
      </c>
      <c r="U1619" s="191" t="n">
        <v>0</v>
      </c>
      <c r="V1619" s="191" t="inlineStr">
        <is>
          <t>T1068:Exploitation for Privilege Escalation</t>
        </is>
      </c>
      <c r="W1619" s="191" t="n">
        <v>1</v>
      </c>
      <c r="X1619" s="191" t="inlineStr">
        <is>
          <t>LOW (40%)</t>
        </is>
      </c>
      <c r="Y1619" s="191" t="inlineStr">
        <is>
          <t>CHECK_USN</t>
        </is>
      </c>
      <c r="Z1619" s="191" t="inlineStr">
        <is>
          <t>YES</t>
        </is>
      </c>
      <c r="AA1619" s="192" t="inlineStr">
        <is>
          <t>https://ubuntu.com/security/notices/USN-8053-1</t>
        </is>
      </c>
      <c r="AB1619" s="191" t="inlineStr">
        <is>
          <t>NONE</t>
        </is>
      </c>
      <c r="AC1619" s="191" t="n">
        <v>0</v>
      </c>
      <c r="AD1619" s="191" t="n"/>
    </row>
    <row r="1620">
      <c r="A1620" s="191" t="inlineStr">
        <is>
          <t>UBUNTU_SEC</t>
        </is>
      </c>
      <c r="B1620" s="191" t="inlineStr">
        <is>
          <t>USN-8028-7</t>
        </is>
      </c>
      <c r="C1620" s="191" t="inlineStr">
        <is>
          <t>USN-8028-7: Linux kernel (Low Latency NVIDIA) vulnerabilities | It was discovered that improper initialization of CPU cache memory could allow a local attacker with hypervisor access to overwrite SEV-SNP guest memory resulting in loss of data integrity. (CVE-2024-</t>
        </is>
      </c>
      <c r="D1620" s="191" t="n">
        <v>6.5</v>
      </c>
      <c r="E1620" s="191" t="inlineStr">
        <is>
          <t>MEDIUM</t>
        </is>
      </c>
      <c r="F1620" s="191" t="n">
        <v>2</v>
      </c>
      <c r="G1620" s="191" t="n">
        <v>2</v>
      </c>
      <c r="H1620" s="191" t="inlineStr">
        <is>
          <t>MEDIUM</t>
        </is>
      </c>
      <c r="I1620" s="191" t="n">
        <v>10.5</v>
      </c>
      <c r="J1620" s="191" t="inlineStr">
        <is>
          <t>NO</t>
        </is>
      </c>
      <c r="K1620" s="192" t="inlineStr">
        <is>
          <t>https://ubuntu.com/security/notices/USN-8028-7</t>
        </is>
      </c>
      <c r="L1620" s="191" t="inlineStr">
        <is>
          <t>2026-02-19</t>
        </is>
      </c>
      <c r="M1620" s="191" t="inlineStr">
        <is>
          <t>YES</t>
        </is>
      </c>
      <c r="N1620" s="191" t="inlineStr">
        <is>
          <t>apt-get update &amp;&amp; apt-get upgrade</t>
        </is>
      </c>
      <c r="O1620" s="191" t="inlineStr">
        <is>
          <t>Run: sudo apt-get update &amp;&amp; sudo apt-get upgrade</t>
        </is>
      </c>
      <c r="P1620" s="191" t="inlineStr">
        <is>
          <t>Ubuntu Linux</t>
        </is>
      </c>
      <c r="Q1620" s="191" t="inlineStr">
        <is>
          <t>P4</t>
        </is>
      </c>
      <c r="R1620" s="191" t="inlineStr">
        <is>
          <t>🔍 Investigate and apply appropriate controls</t>
        </is>
      </c>
      <c r="S1620" s="191" t="inlineStr">
        <is>
          <t>Ubuntu advisory - no IP context</t>
        </is>
      </c>
      <c r="T1620" s="191" t="n">
        <v>0</v>
      </c>
      <c r="U1620" s="191" t="n">
        <v>0</v>
      </c>
      <c r="V1620" s="191" t="inlineStr">
        <is>
          <t>T1068:Exploitation for Privilege Escalation</t>
        </is>
      </c>
      <c r="W1620" s="191" t="n">
        <v>1</v>
      </c>
      <c r="X1620" s="191" t="inlineStr">
        <is>
          <t>LOW (40%)</t>
        </is>
      </c>
      <c r="Y1620" s="191" t="inlineStr">
        <is>
          <t>CHECK_USN</t>
        </is>
      </c>
      <c r="Z1620" s="191" t="inlineStr">
        <is>
          <t>YES</t>
        </is>
      </c>
      <c r="AA1620" s="192" t="inlineStr">
        <is>
          <t>https://ubuntu.com/security/notices/USN-8028-7</t>
        </is>
      </c>
      <c r="AB1620" s="191" t="inlineStr">
        <is>
          <t>NONE</t>
        </is>
      </c>
      <c r="AC1620" s="191" t="n">
        <v>0</v>
      </c>
      <c r="AD1620" s="191" t="n"/>
    </row>
    <row r="1621">
      <c r="A1621" s="191" t="inlineStr">
        <is>
          <t>TOR_EXIT</t>
        </is>
      </c>
      <c r="B1621" s="191" t="inlineStr">
        <is>
          <t>445ad503a1ad</t>
        </is>
      </c>
      <c r="C1621" s="191" t="inlineStr">
        <is>
          <t>Tor Exit Node: 185.220.101.135 | Traffic from this IP may be anonymized/malicious</t>
        </is>
      </c>
      <c r="D1621" s="191" t="n">
        <v>5</v>
      </c>
      <c r="E1621" s="191" t="inlineStr">
        <is>
          <t>MEDIUM</t>
        </is>
      </c>
      <c r="F1621" s="191" t="n">
        <v>2</v>
      </c>
      <c r="G1621" s="191" t="n">
        <v>1</v>
      </c>
      <c r="H1621" s="191" t="inlineStr">
        <is>
          <t>LOW</t>
        </is>
      </c>
      <c r="I1621" s="191" t="n">
        <v>7</v>
      </c>
      <c r="J1621" s="191" t="inlineStr">
        <is>
          <t>NO</t>
        </is>
      </c>
      <c r="K1621" s="192" t="inlineStr">
        <is>
          <t>https://check.torproject.org/</t>
        </is>
      </c>
      <c r="L1621" s="191" t="inlineStr">
        <is>
          <t>2026-02-23 23:48</t>
        </is>
      </c>
      <c r="M1621" s="191" t="inlineStr">
        <is>
          <t>Block or monitor</t>
        </is>
      </c>
      <c r="N1621" s="192" t="inlineStr">
        <is>
          <t>https://check.torproject.org/torbulkexitlist</t>
        </is>
      </c>
      <c r="O1621" s="191" t="inlineStr">
        <is>
          <t>Monitor traffic from Tor exit 185.220.101.135 | Apply policy controls</t>
        </is>
      </c>
      <c r="P1621" s="191" t="inlineStr">
        <is>
          <t>Network perimeter</t>
        </is>
      </c>
      <c r="Q1621" s="191" t="inlineStr">
        <is>
          <t>P4</t>
        </is>
      </c>
      <c r="R1621" s="191" t="inlineStr">
        <is>
          <t>🔍 Investigate and apply appropriate controls</t>
        </is>
      </c>
      <c r="S1621" s="191" t="inlineStr">
        <is>
          <t>Tor exit node - known anonymization service</t>
        </is>
      </c>
      <c r="T1621" s="191" t="n">
        <v>0</v>
      </c>
      <c r="U1621" s="191" t="n">
        <v>0</v>
      </c>
      <c r="V1621" s="191" t="inlineStr">
        <is>
          <t>T1090.003:Multi-hop Proxy</t>
        </is>
      </c>
      <c r="W1621" s="191" t="n">
        <v>1</v>
      </c>
      <c r="X1621" s="191" t="inlineStr">
        <is>
          <t>LOW (40%)</t>
        </is>
      </c>
      <c r="Y1621" s="191" t="inlineStr">
        <is>
          <t>NONE</t>
        </is>
      </c>
      <c r="Z1621" s="191" t="inlineStr">
        <is>
          <t>NONE</t>
        </is>
      </c>
      <c r="AA1621" s="191" t="inlineStr">
        <is>
          <t>NONE</t>
        </is>
      </c>
      <c r="AB1621" s="191" t="inlineStr">
        <is>
          <t>NONE</t>
        </is>
      </c>
      <c r="AC1621" s="191" t="n">
        <v>0</v>
      </c>
      <c r="AD1621" s="191" t="n"/>
    </row>
    <row r="1622">
      <c r="A1622" s="191" t="inlineStr">
        <is>
          <t>TOR_EXIT</t>
        </is>
      </c>
      <c r="B1622" s="191" t="inlineStr">
        <is>
          <t>e8a23e0adec1</t>
        </is>
      </c>
      <c r="C1622" s="191" t="inlineStr">
        <is>
          <t>Tor Exit Node: 192.42.116.196 | Traffic from this IP may be anonymized/malicious</t>
        </is>
      </c>
      <c r="D1622" s="191" t="n">
        <v>5</v>
      </c>
      <c r="E1622" s="191" t="inlineStr">
        <is>
          <t>MEDIUM</t>
        </is>
      </c>
      <c r="F1622" s="191" t="n">
        <v>2</v>
      </c>
      <c r="G1622" s="191" t="n">
        <v>1</v>
      </c>
      <c r="H1622" s="191" t="inlineStr">
        <is>
          <t>LOW</t>
        </is>
      </c>
      <c r="I1622" s="191" t="n">
        <v>7</v>
      </c>
      <c r="J1622" s="191" t="inlineStr">
        <is>
          <t>NO</t>
        </is>
      </c>
      <c r="K1622" s="192" t="inlineStr">
        <is>
          <t>https://check.torproject.org/</t>
        </is>
      </c>
      <c r="L1622" s="191" t="inlineStr">
        <is>
          <t>2026-02-23 23:48</t>
        </is>
      </c>
      <c r="M1622" s="191" t="inlineStr">
        <is>
          <t>Block or monitor</t>
        </is>
      </c>
      <c r="N1622" s="192" t="inlineStr">
        <is>
          <t>https://check.torproject.org/torbulkexitlist</t>
        </is>
      </c>
      <c r="O1622" s="191" t="inlineStr">
        <is>
          <t>Monitor traffic from Tor exit 192.42.116.196 | Apply policy controls</t>
        </is>
      </c>
      <c r="P1622" s="191" t="inlineStr">
        <is>
          <t>Network perimeter</t>
        </is>
      </c>
      <c r="Q1622" s="191" t="inlineStr">
        <is>
          <t>P4</t>
        </is>
      </c>
      <c r="R1622" s="191" t="inlineStr">
        <is>
          <t>🔍 Investigate and apply appropriate controls</t>
        </is>
      </c>
      <c r="S1622" s="191" t="inlineStr">
        <is>
          <t>Tor exit node - known anonymization service</t>
        </is>
      </c>
      <c r="T1622" s="191" t="n">
        <v>0</v>
      </c>
      <c r="U1622" s="191" t="n">
        <v>0</v>
      </c>
      <c r="V1622" s="191" t="inlineStr">
        <is>
          <t>T1090.003:Multi-hop Proxy</t>
        </is>
      </c>
      <c r="W1622" s="191" t="n">
        <v>1</v>
      </c>
      <c r="X1622" s="191" t="inlineStr">
        <is>
          <t>LOW (40%)</t>
        </is>
      </c>
      <c r="Y1622" s="191" t="inlineStr">
        <is>
          <t>NONE</t>
        </is>
      </c>
      <c r="Z1622" s="191" t="inlineStr">
        <is>
          <t>NONE</t>
        </is>
      </c>
      <c r="AA1622" s="191" t="inlineStr">
        <is>
          <t>NONE</t>
        </is>
      </c>
      <c r="AB1622" s="191" t="inlineStr">
        <is>
          <t>NONE</t>
        </is>
      </c>
      <c r="AC1622" s="191" t="n">
        <v>0</v>
      </c>
      <c r="AD1622" s="191" t="n"/>
    </row>
    <row r="1623">
      <c r="A1623" s="191" t="inlineStr">
        <is>
          <t>TOR_EXIT</t>
        </is>
      </c>
      <c r="B1623" s="191" t="inlineStr">
        <is>
          <t>08480feb925d</t>
        </is>
      </c>
      <c r="C1623" s="191" t="inlineStr">
        <is>
          <t>Tor Exit Node: 23.154.177.10 | Traffic from this IP may be anonymized/malicious</t>
        </is>
      </c>
      <c r="D1623" s="191" t="n">
        <v>5</v>
      </c>
      <c r="E1623" s="191" t="inlineStr">
        <is>
          <t>MEDIUM</t>
        </is>
      </c>
      <c r="F1623" s="191" t="n">
        <v>2</v>
      </c>
      <c r="G1623" s="191" t="n">
        <v>1</v>
      </c>
      <c r="H1623" s="191" t="inlineStr">
        <is>
          <t>LOW</t>
        </is>
      </c>
      <c r="I1623" s="191" t="n">
        <v>7</v>
      </c>
      <c r="J1623" s="191" t="inlineStr">
        <is>
          <t>NO</t>
        </is>
      </c>
      <c r="K1623" s="192" t="inlineStr">
        <is>
          <t>https://check.torproject.org/</t>
        </is>
      </c>
      <c r="L1623" s="191" t="inlineStr">
        <is>
          <t>2026-02-23 23:48</t>
        </is>
      </c>
      <c r="M1623" s="191" t="inlineStr">
        <is>
          <t>Block or monitor</t>
        </is>
      </c>
      <c r="N1623" s="192" t="inlineStr">
        <is>
          <t>https://check.torproject.org/torbulkexitlist</t>
        </is>
      </c>
      <c r="O1623" s="191" t="inlineStr">
        <is>
          <t>Monitor traffic from Tor exit 23.154.177.10 | Apply policy controls</t>
        </is>
      </c>
      <c r="P1623" s="191" t="inlineStr">
        <is>
          <t>Network perimeter</t>
        </is>
      </c>
      <c r="Q1623" s="191" t="inlineStr">
        <is>
          <t>P4</t>
        </is>
      </c>
      <c r="R1623" s="191" t="inlineStr">
        <is>
          <t>🔍 Investigate and apply appropriate controls</t>
        </is>
      </c>
      <c r="S1623" s="191" t="inlineStr">
        <is>
          <t>Tor exit node - known anonymization service</t>
        </is>
      </c>
      <c r="T1623" s="191" t="n">
        <v>0</v>
      </c>
      <c r="U1623" s="191" t="n">
        <v>0</v>
      </c>
      <c r="V1623" s="191" t="inlineStr">
        <is>
          <t>T1090.003:Multi-hop Proxy</t>
        </is>
      </c>
      <c r="W1623" s="191" t="n">
        <v>1</v>
      </c>
      <c r="X1623" s="191" t="inlineStr">
        <is>
          <t>LOW (40%)</t>
        </is>
      </c>
      <c r="Y1623" s="191" t="inlineStr">
        <is>
          <t>NONE</t>
        </is>
      </c>
      <c r="Z1623" s="191" t="inlineStr">
        <is>
          <t>NONE</t>
        </is>
      </c>
      <c r="AA1623" s="191" t="inlineStr">
        <is>
          <t>NONE</t>
        </is>
      </c>
      <c r="AB1623" s="191" t="inlineStr">
        <is>
          <t>NONE</t>
        </is>
      </c>
      <c r="AC1623" s="191" t="n">
        <v>0</v>
      </c>
      <c r="AD1623" s="191" t="n"/>
    </row>
    <row r="1624">
      <c r="A1624" s="191" t="inlineStr">
        <is>
          <t>TOR_EXIT</t>
        </is>
      </c>
      <c r="B1624" s="191" t="inlineStr">
        <is>
          <t>9e6e1b6fa77d</t>
        </is>
      </c>
      <c r="C1624" s="191" t="inlineStr">
        <is>
          <t>Tor Exit Node: 23.154.177.20 | Traffic from this IP may be anonymized/malicious</t>
        </is>
      </c>
      <c r="D1624" s="191" t="n">
        <v>5</v>
      </c>
      <c r="E1624" s="191" t="inlineStr">
        <is>
          <t>MEDIUM</t>
        </is>
      </c>
      <c r="F1624" s="191" t="n">
        <v>2</v>
      </c>
      <c r="G1624" s="191" t="n">
        <v>1</v>
      </c>
      <c r="H1624" s="191" t="inlineStr">
        <is>
          <t>LOW</t>
        </is>
      </c>
      <c r="I1624" s="191" t="n">
        <v>7</v>
      </c>
      <c r="J1624" s="191" t="inlineStr">
        <is>
          <t>NO</t>
        </is>
      </c>
      <c r="K1624" s="192" t="inlineStr">
        <is>
          <t>https://check.torproject.org/</t>
        </is>
      </c>
      <c r="L1624" s="191" t="inlineStr">
        <is>
          <t>2026-02-23 23:48</t>
        </is>
      </c>
      <c r="M1624" s="191" t="inlineStr">
        <is>
          <t>Block or monitor</t>
        </is>
      </c>
      <c r="N1624" s="192" t="inlineStr">
        <is>
          <t>https://check.torproject.org/torbulkexitlist</t>
        </is>
      </c>
      <c r="O1624" s="191" t="inlineStr">
        <is>
          <t>Monitor traffic from Tor exit 23.154.177.20 | Apply policy controls</t>
        </is>
      </c>
      <c r="P1624" s="191" t="inlineStr">
        <is>
          <t>Network perimeter</t>
        </is>
      </c>
      <c r="Q1624" s="191" t="inlineStr">
        <is>
          <t>P4</t>
        </is>
      </c>
      <c r="R1624" s="191" t="inlineStr">
        <is>
          <t>🔍 Investigate and apply appropriate controls</t>
        </is>
      </c>
      <c r="S1624" s="191" t="inlineStr">
        <is>
          <t>Tor exit node - known anonymization service</t>
        </is>
      </c>
      <c r="T1624" s="191" t="n">
        <v>0</v>
      </c>
      <c r="U1624" s="191" t="n">
        <v>0</v>
      </c>
      <c r="V1624" s="191" t="inlineStr">
        <is>
          <t>T1090.003:Multi-hop Proxy</t>
        </is>
      </c>
      <c r="W1624" s="191" t="n">
        <v>1</v>
      </c>
      <c r="X1624" s="191" t="inlineStr">
        <is>
          <t>LOW (40%)</t>
        </is>
      </c>
      <c r="Y1624" s="191" t="inlineStr">
        <is>
          <t>NONE</t>
        </is>
      </c>
      <c r="Z1624" s="191" t="inlineStr">
        <is>
          <t>NONE</t>
        </is>
      </c>
      <c r="AA1624" s="191" t="inlineStr">
        <is>
          <t>NONE</t>
        </is>
      </c>
      <c r="AB1624" s="191" t="inlineStr">
        <is>
          <t>NONE</t>
        </is>
      </c>
      <c r="AC1624" s="191" t="n">
        <v>0</v>
      </c>
      <c r="AD1624" s="191" t="n"/>
    </row>
    <row r="1625">
      <c r="A1625" s="191" t="inlineStr">
        <is>
          <t>TOR_EXIT</t>
        </is>
      </c>
      <c r="B1625" s="191" t="inlineStr">
        <is>
          <t>306a1a26780a</t>
        </is>
      </c>
      <c r="C1625" s="191" t="inlineStr">
        <is>
          <t>Tor Exit Node: 23.154.177.12 | Traffic from this IP may be anonymized/malicious</t>
        </is>
      </c>
      <c r="D1625" s="191" t="n">
        <v>5</v>
      </c>
      <c r="E1625" s="191" t="inlineStr">
        <is>
          <t>MEDIUM</t>
        </is>
      </c>
      <c r="F1625" s="191" t="n">
        <v>2</v>
      </c>
      <c r="G1625" s="191" t="n">
        <v>1</v>
      </c>
      <c r="H1625" s="191" t="inlineStr">
        <is>
          <t>LOW</t>
        </is>
      </c>
      <c r="I1625" s="191" t="n">
        <v>7</v>
      </c>
      <c r="J1625" s="191" t="inlineStr">
        <is>
          <t>NO</t>
        </is>
      </c>
      <c r="K1625" s="192" t="inlineStr">
        <is>
          <t>https://check.torproject.org/</t>
        </is>
      </c>
      <c r="L1625" s="191" t="inlineStr">
        <is>
          <t>2026-02-23 23:48</t>
        </is>
      </c>
      <c r="M1625" s="191" t="inlineStr">
        <is>
          <t>Block or monitor</t>
        </is>
      </c>
      <c r="N1625" s="192" t="inlineStr">
        <is>
          <t>https://check.torproject.org/torbulkexitlist</t>
        </is>
      </c>
      <c r="O1625" s="191" t="inlineStr">
        <is>
          <t>Monitor traffic from Tor exit 23.154.177.12 | Apply policy controls</t>
        </is>
      </c>
      <c r="P1625" s="191" t="inlineStr">
        <is>
          <t>Network perimeter</t>
        </is>
      </c>
      <c r="Q1625" s="191" t="inlineStr">
        <is>
          <t>P4</t>
        </is>
      </c>
      <c r="R1625" s="191" t="inlineStr">
        <is>
          <t>🔍 Investigate and apply appropriate controls</t>
        </is>
      </c>
      <c r="S1625" s="191" t="inlineStr">
        <is>
          <t>Tor exit node - known anonymization service</t>
        </is>
      </c>
      <c r="T1625" s="191" t="n">
        <v>0</v>
      </c>
      <c r="U1625" s="191" t="n">
        <v>0</v>
      </c>
      <c r="V1625" s="191" t="inlineStr">
        <is>
          <t>T1090.003:Multi-hop Proxy</t>
        </is>
      </c>
      <c r="W1625" s="191" t="n">
        <v>1</v>
      </c>
      <c r="X1625" s="191" t="inlineStr">
        <is>
          <t>LOW (40%)</t>
        </is>
      </c>
      <c r="Y1625" s="191" t="inlineStr">
        <is>
          <t>NONE</t>
        </is>
      </c>
      <c r="Z1625" s="191" t="inlineStr">
        <is>
          <t>NONE</t>
        </is>
      </c>
      <c r="AA1625" s="191" t="inlineStr">
        <is>
          <t>NONE</t>
        </is>
      </c>
      <c r="AB1625" s="191" t="inlineStr">
        <is>
          <t>NONE</t>
        </is>
      </c>
      <c r="AC1625" s="191" t="n">
        <v>0</v>
      </c>
      <c r="AD1625" s="191" t="n"/>
    </row>
    <row r="1626">
      <c r="A1626" s="191" t="inlineStr">
        <is>
          <t>TOR_EXIT</t>
        </is>
      </c>
      <c r="B1626" s="191" t="inlineStr">
        <is>
          <t>ff92d153f0a7</t>
        </is>
      </c>
      <c r="C1626" s="191" t="inlineStr">
        <is>
          <t>Tor Exit Node: 185.129.61.6 | Traffic from this IP may be anonymized/malicious</t>
        </is>
      </c>
      <c r="D1626" s="191" t="n">
        <v>5</v>
      </c>
      <c r="E1626" s="191" t="inlineStr">
        <is>
          <t>MEDIUM</t>
        </is>
      </c>
      <c r="F1626" s="191" t="n">
        <v>2</v>
      </c>
      <c r="G1626" s="191" t="n">
        <v>1</v>
      </c>
      <c r="H1626" s="191" t="inlineStr">
        <is>
          <t>LOW</t>
        </is>
      </c>
      <c r="I1626" s="191" t="n">
        <v>7</v>
      </c>
      <c r="J1626" s="191" t="inlineStr">
        <is>
          <t>NO</t>
        </is>
      </c>
      <c r="K1626" s="192" t="inlineStr">
        <is>
          <t>https://check.torproject.org/</t>
        </is>
      </c>
      <c r="L1626" s="191" t="inlineStr">
        <is>
          <t>2026-02-23 23:48</t>
        </is>
      </c>
      <c r="M1626" s="191" t="inlineStr">
        <is>
          <t>Block or monitor</t>
        </is>
      </c>
      <c r="N1626" s="192" t="inlineStr">
        <is>
          <t>https://check.torproject.org/torbulkexitlist</t>
        </is>
      </c>
      <c r="O1626" s="191" t="inlineStr">
        <is>
          <t>Monitor traffic from Tor exit 185.129.61.6 | Apply policy controls</t>
        </is>
      </c>
      <c r="P1626" s="191" t="inlineStr">
        <is>
          <t>Network perimeter</t>
        </is>
      </c>
      <c r="Q1626" s="191" t="inlineStr">
        <is>
          <t>P4</t>
        </is>
      </c>
      <c r="R1626" s="191" t="inlineStr">
        <is>
          <t>🔍 Investigate and apply appropriate controls</t>
        </is>
      </c>
      <c r="S1626" s="191" t="inlineStr">
        <is>
          <t>Tor exit node - known anonymization service</t>
        </is>
      </c>
      <c r="T1626" s="191" t="n">
        <v>0</v>
      </c>
      <c r="U1626" s="191" t="n">
        <v>0</v>
      </c>
      <c r="V1626" s="191" t="inlineStr">
        <is>
          <t>T1090.003:Multi-hop Proxy</t>
        </is>
      </c>
      <c r="W1626" s="191" t="n">
        <v>1</v>
      </c>
      <c r="X1626" s="191" t="inlineStr">
        <is>
          <t>LOW (40%)</t>
        </is>
      </c>
      <c r="Y1626" s="191" t="inlineStr">
        <is>
          <t>NONE</t>
        </is>
      </c>
      <c r="Z1626" s="191" t="inlineStr">
        <is>
          <t>NONE</t>
        </is>
      </c>
      <c r="AA1626" s="191" t="inlineStr">
        <is>
          <t>NONE</t>
        </is>
      </c>
      <c r="AB1626" s="191" t="inlineStr">
        <is>
          <t>NONE</t>
        </is>
      </c>
      <c r="AC1626" s="191" t="n">
        <v>0</v>
      </c>
      <c r="AD1626" s="191" t="n"/>
    </row>
    <row r="1627">
      <c r="A1627" s="191" t="inlineStr">
        <is>
          <t>TOR_EXIT</t>
        </is>
      </c>
      <c r="B1627" s="191" t="inlineStr">
        <is>
          <t>f722b4e90f8f</t>
        </is>
      </c>
      <c r="C1627" s="191" t="inlineStr">
        <is>
          <t>Tor Exit Node: 2.57.122.58 | Traffic from this IP may be anonymized/malicious</t>
        </is>
      </c>
      <c r="D1627" s="191" t="n">
        <v>5</v>
      </c>
      <c r="E1627" s="191" t="inlineStr">
        <is>
          <t>MEDIUM</t>
        </is>
      </c>
      <c r="F1627" s="191" t="n">
        <v>2</v>
      </c>
      <c r="G1627" s="191" t="n">
        <v>1</v>
      </c>
      <c r="H1627" s="191" t="inlineStr">
        <is>
          <t>LOW</t>
        </is>
      </c>
      <c r="I1627" s="191" t="n">
        <v>7</v>
      </c>
      <c r="J1627" s="191" t="inlineStr">
        <is>
          <t>NO</t>
        </is>
      </c>
      <c r="K1627" s="192" t="inlineStr">
        <is>
          <t>https://check.torproject.org/</t>
        </is>
      </c>
      <c r="L1627" s="191" t="inlineStr">
        <is>
          <t>2026-02-23 23:48</t>
        </is>
      </c>
      <c r="M1627" s="191" t="inlineStr">
        <is>
          <t>Block or monitor</t>
        </is>
      </c>
      <c r="N1627" s="192" t="inlineStr">
        <is>
          <t>https://check.torproject.org/torbulkexitlist</t>
        </is>
      </c>
      <c r="O1627" s="191" t="inlineStr">
        <is>
          <t>Monitor traffic from Tor exit 2.57.122.58 | Apply policy controls</t>
        </is>
      </c>
      <c r="P1627" s="191" t="inlineStr">
        <is>
          <t>Network perimeter</t>
        </is>
      </c>
      <c r="Q1627" s="191" t="inlineStr">
        <is>
          <t>P4</t>
        </is>
      </c>
      <c r="R1627" s="191" t="inlineStr">
        <is>
          <t>🔍 Investigate and apply appropriate controls</t>
        </is>
      </c>
      <c r="S1627" s="191" t="inlineStr">
        <is>
          <t>Tor exit node - known anonymization service</t>
        </is>
      </c>
      <c r="T1627" s="191" t="n">
        <v>0</v>
      </c>
      <c r="U1627" s="191" t="n">
        <v>0</v>
      </c>
      <c r="V1627" s="191" t="inlineStr">
        <is>
          <t>T1090.003:Multi-hop Proxy</t>
        </is>
      </c>
      <c r="W1627" s="191" t="n">
        <v>1</v>
      </c>
      <c r="X1627" s="191" t="inlineStr">
        <is>
          <t>LOW (40%)</t>
        </is>
      </c>
      <c r="Y1627" s="191" t="inlineStr">
        <is>
          <t>NONE</t>
        </is>
      </c>
      <c r="Z1627" s="191" t="inlineStr">
        <is>
          <t>NONE</t>
        </is>
      </c>
      <c r="AA1627" s="191" t="inlineStr">
        <is>
          <t>NONE</t>
        </is>
      </c>
      <c r="AB1627" s="191" t="inlineStr">
        <is>
          <t>NONE</t>
        </is>
      </c>
      <c r="AC1627" s="191" t="n">
        <v>0</v>
      </c>
      <c r="AD1627" s="191" t="n"/>
    </row>
    <row r="1628">
      <c r="A1628" s="191" t="inlineStr">
        <is>
          <t>TOR_EXIT</t>
        </is>
      </c>
      <c r="B1628" s="191" t="inlineStr">
        <is>
          <t>74279676e093</t>
        </is>
      </c>
      <c r="C1628" s="191" t="inlineStr">
        <is>
          <t>Tor Exit Node: 95.128.43.164 | Traffic from this IP may be anonymized/malicious</t>
        </is>
      </c>
      <c r="D1628" s="191" t="n">
        <v>5</v>
      </c>
      <c r="E1628" s="191" t="inlineStr">
        <is>
          <t>MEDIUM</t>
        </is>
      </c>
      <c r="F1628" s="191" t="n">
        <v>2</v>
      </c>
      <c r="G1628" s="191" t="n">
        <v>1</v>
      </c>
      <c r="H1628" s="191" t="inlineStr">
        <is>
          <t>LOW</t>
        </is>
      </c>
      <c r="I1628" s="191" t="n">
        <v>7</v>
      </c>
      <c r="J1628" s="191" t="inlineStr">
        <is>
          <t>NO</t>
        </is>
      </c>
      <c r="K1628" s="192" t="inlineStr">
        <is>
          <t>https://check.torproject.org/</t>
        </is>
      </c>
      <c r="L1628" s="191" t="inlineStr">
        <is>
          <t>2026-02-23 23:48</t>
        </is>
      </c>
      <c r="M1628" s="191" t="inlineStr">
        <is>
          <t>Block or monitor</t>
        </is>
      </c>
      <c r="N1628" s="192" t="inlineStr">
        <is>
          <t>https://check.torproject.org/torbulkexitlist</t>
        </is>
      </c>
      <c r="O1628" s="191" t="inlineStr">
        <is>
          <t>Monitor traffic from Tor exit 95.128.43.164 | Apply policy controls</t>
        </is>
      </c>
      <c r="P1628" s="191" t="inlineStr">
        <is>
          <t>Network perimeter</t>
        </is>
      </c>
      <c r="Q1628" s="191" t="inlineStr">
        <is>
          <t>P4</t>
        </is>
      </c>
      <c r="R1628" s="191" t="inlineStr">
        <is>
          <t>🔍 Investigate and apply appropriate controls</t>
        </is>
      </c>
      <c r="S1628" s="191" t="inlineStr">
        <is>
          <t>Tor exit node - known anonymization service</t>
        </is>
      </c>
      <c r="T1628" s="191" t="n">
        <v>0</v>
      </c>
      <c r="U1628" s="191" t="n">
        <v>0</v>
      </c>
      <c r="V1628" s="191" t="inlineStr">
        <is>
          <t>T1090.003:Multi-hop Proxy</t>
        </is>
      </c>
      <c r="W1628" s="191" t="n">
        <v>1</v>
      </c>
      <c r="X1628" s="191" t="inlineStr">
        <is>
          <t>LOW (40%)</t>
        </is>
      </c>
      <c r="Y1628" s="191" t="inlineStr">
        <is>
          <t>NONE</t>
        </is>
      </c>
      <c r="Z1628" s="191" t="inlineStr">
        <is>
          <t>NONE</t>
        </is>
      </c>
      <c r="AA1628" s="191" t="inlineStr">
        <is>
          <t>NONE</t>
        </is>
      </c>
      <c r="AB1628" s="191" t="inlineStr">
        <is>
          <t>NONE</t>
        </is>
      </c>
      <c r="AC1628" s="191" t="n">
        <v>0</v>
      </c>
      <c r="AD1628" s="191" t="n"/>
    </row>
    <row r="1629">
      <c r="A1629" s="191" t="inlineStr">
        <is>
          <t>TOR_EXIT</t>
        </is>
      </c>
      <c r="B1629" s="191" t="inlineStr">
        <is>
          <t>ed064e12fefd</t>
        </is>
      </c>
      <c r="C1629" s="191" t="inlineStr">
        <is>
          <t>Tor Exit Node: 185.202.93.106 | Traffic from this IP may be anonymized/malicious</t>
        </is>
      </c>
      <c r="D1629" s="191" t="n">
        <v>5</v>
      </c>
      <c r="E1629" s="191" t="inlineStr">
        <is>
          <t>MEDIUM</t>
        </is>
      </c>
      <c r="F1629" s="191" t="n">
        <v>2</v>
      </c>
      <c r="G1629" s="191" t="n">
        <v>1</v>
      </c>
      <c r="H1629" s="191" t="inlineStr">
        <is>
          <t>LOW</t>
        </is>
      </c>
      <c r="I1629" s="191" t="n">
        <v>7</v>
      </c>
      <c r="J1629" s="191" t="inlineStr">
        <is>
          <t>NO</t>
        </is>
      </c>
      <c r="K1629" s="192" t="inlineStr">
        <is>
          <t>https://check.torproject.org/</t>
        </is>
      </c>
      <c r="L1629" s="191" t="inlineStr">
        <is>
          <t>2026-02-23 23:48</t>
        </is>
      </c>
      <c r="M1629" s="191" t="inlineStr">
        <is>
          <t>Block or monitor</t>
        </is>
      </c>
      <c r="N1629" s="192" t="inlineStr">
        <is>
          <t>https://check.torproject.org/torbulkexitlist</t>
        </is>
      </c>
      <c r="O1629" s="191" t="inlineStr">
        <is>
          <t>Monitor traffic from Tor exit 185.202.93.106 | Apply policy controls</t>
        </is>
      </c>
      <c r="P1629" s="191" t="inlineStr">
        <is>
          <t>Network perimeter</t>
        </is>
      </c>
      <c r="Q1629" s="191" t="inlineStr">
        <is>
          <t>P4</t>
        </is>
      </c>
      <c r="R1629" s="191" t="inlineStr">
        <is>
          <t>🔍 Investigate and apply appropriate controls</t>
        </is>
      </c>
      <c r="S1629" s="191" t="inlineStr">
        <is>
          <t>Tor exit node - known anonymization service</t>
        </is>
      </c>
      <c r="T1629" s="191" t="n">
        <v>0</v>
      </c>
      <c r="U1629" s="191" t="n">
        <v>0</v>
      </c>
      <c r="V1629" s="191" t="inlineStr">
        <is>
          <t>T1090.003:Multi-hop Proxy</t>
        </is>
      </c>
      <c r="W1629" s="191" t="n">
        <v>1</v>
      </c>
      <c r="X1629" s="191" t="inlineStr">
        <is>
          <t>LOW (40%)</t>
        </is>
      </c>
      <c r="Y1629" s="191" t="inlineStr">
        <is>
          <t>NONE</t>
        </is>
      </c>
      <c r="Z1629" s="191" t="inlineStr">
        <is>
          <t>NONE</t>
        </is>
      </c>
      <c r="AA1629" s="191" t="inlineStr">
        <is>
          <t>NONE</t>
        </is>
      </c>
      <c r="AB1629" s="191" t="inlineStr">
        <is>
          <t>NONE</t>
        </is>
      </c>
      <c r="AC1629" s="191" t="n">
        <v>0</v>
      </c>
      <c r="AD1629" s="191" t="n"/>
    </row>
    <row r="1630">
      <c r="A1630" s="191" t="inlineStr">
        <is>
          <t>TOR_EXIT</t>
        </is>
      </c>
      <c r="B1630" s="191" t="inlineStr">
        <is>
          <t>2c7508ff4644</t>
        </is>
      </c>
      <c r="C1630" s="191" t="inlineStr">
        <is>
          <t>Tor Exit Node: 107.189.1.160 | Traffic from this IP may be anonymized/malicious</t>
        </is>
      </c>
      <c r="D1630" s="191" t="n">
        <v>5</v>
      </c>
      <c r="E1630" s="191" t="inlineStr">
        <is>
          <t>MEDIUM</t>
        </is>
      </c>
      <c r="F1630" s="191" t="n">
        <v>2</v>
      </c>
      <c r="G1630" s="191" t="n">
        <v>1</v>
      </c>
      <c r="H1630" s="191" t="inlineStr">
        <is>
          <t>LOW</t>
        </is>
      </c>
      <c r="I1630" s="191" t="n">
        <v>7</v>
      </c>
      <c r="J1630" s="191" t="inlineStr">
        <is>
          <t>NO</t>
        </is>
      </c>
      <c r="K1630" s="192" t="inlineStr">
        <is>
          <t>https://check.torproject.org/</t>
        </is>
      </c>
      <c r="L1630" s="191" t="inlineStr">
        <is>
          <t>2026-02-23 23:48</t>
        </is>
      </c>
      <c r="M1630" s="191" t="inlineStr">
        <is>
          <t>Block or monitor</t>
        </is>
      </c>
      <c r="N1630" s="192" t="inlineStr">
        <is>
          <t>https://check.torproject.org/torbulkexitlist</t>
        </is>
      </c>
      <c r="O1630" s="191" t="inlineStr">
        <is>
          <t>Monitor traffic from Tor exit 107.189.1.160 | Apply policy controls</t>
        </is>
      </c>
      <c r="P1630" s="191" t="inlineStr">
        <is>
          <t>Network perimeter</t>
        </is>
      </c>
      <c r="Q1630" s="191" t="inlineStr">
        <is>
          <t>P4</t>
        </is>
      </c>
      <c r="R1630" s="191" t="inlineStr">
        <is>
          <t>🔍 Investigate and apply appropriate controls</t>
        </is>
      </c>
      <c r="S1630" s="191" t="inlineStr">
        <is>
          <t>Tor exit node - known anonymization service</t>
        </is>
      </c>
      <c r="T1630" s="191" t="n">
        <v>0</v>
      </c>
      <c r="U1630" s="191" t="n">
        <v>0</v>
      </c>
      <c r="V1630" s="191" t="inlineStr">
        <is>
          <t>T1090.003:Multi-hop Proxy</t>
        </is>
      </c>
      <c r="W1630" s="191" t="n">
        <v>1</v>
      </c>
      <c r="X1630" s="191" t="inlineStr">
        <is>
          <t>LOW (40%)</t>
        </is>
      </c>
      <c r="Y1630" s="191" t="inlineStr">
        <is>
          <t>NONE</t>
        </is>
      </c>
      <c r="Z1630" s="191" t="inlineStr">
        <is>
          <t>NONE</t>
        </is>
      </c>
      <c r="AA1630" s="191" t="inlineStr">
        <is>
          <t>NONE</t>
        </is>
      </c>
      <c r="AB1630" s="191" t="inlineStr">
        <is>
          <t>NONE</t>
        </is>
      </c>
      <c r="AC1630" s="191" t="n">
        <v>0</v>
      </c>
      <c r="AD1630" s="191" t="n"/>
    </row>
    <row r="1631">
      <c r="A1631" s="191" t="inlineStr">
        <is>
          <t>TOR_EXIT</t>
        </is>
      </c>
      <c r="B1631" s="191" t="inlineStr">
        <is>
          <t>da32487c2ae9</t>
        </is>
      </c>
      <c r="C1631" s="191" t="inlineStr">
        <is>
          <t>Tor Exit Node: 128.127.180.156 | Traffic from this IP may be anonymized/malicious</t>
        </is>
      </c>
      <c r="D1631" s="191" t="n">
        <v>5</v>
      </c>
      <c r="E1631" s="191" t="inlineStr">
        <is>
          <t>MEDIUM</t>
        </is>
      </c>
      <c r="F1631" s="191" t="n">
        <v>2</v>
      </c>
      <c r="G1631" s="191" t="n">
        <v>1</v>
      </c>
      <c r="H1631" s="191" t="inlineStr">
        <is>
          <t>LOW</t>
        </is>
      </c>
      <c r="I1631" s="191" t="n">
        <v>7</v>
      </c>
      <c r="J1631" s="191" t="inlineStr">
        <is>
          <t>NO</t>
        </is>
      </c>
      <c r="K1631" s="192" t="inlineStr">
        <is>
          <t>https://check.torproject.org/</t>
        </is>
      </c>
      <c r="L1631" s="191" t="inlineStr">
        <is>
          <t>2026-02-23 23:48</t>
        </is>
      </c>
      <c r="M1631" s="191" t="inlineStr">
        <is>
          <t>Block or monitor</t>
        </is>
      </c>
      <c r="N1631" s="192" t="inlineStr">
        <is>
          <t>https://check.torproject.org/torbulkexitlist</t>
        </is>
      </c>
      <c r="O1631" s="191" t="inlineStr">
        <is>
          <t>Monitor traffic from Tor exit 128.127.180.156 | Apply policy controls</t>
        </is>
      </c>
      <c r="P1631" s="191" t="inlineStr">
        <is>
          <t>Network perimeter</t>
        </is>
      </c>
      <c r="Q1631" s="191" t="inlineStr">
        <is>
          <t>P4</t>
        </is>
      </c>
      <c r="R1631" s="191" t="inlineStr">
        <is>
          <t>🔍 Investigate and apply appropriate controls</t>
        </is>
      </c>
      <c r="S1631" s="191" t="inlineStr">
        <is>
          <t>Tor exit node - known anonymization service</t>
        </is>
      </c>
      <c r="T1631" s="191" t="n">
        <v>0</v>
      </c>
      <c r="U1631" s="191" t="n">
        <v>0</v>
      </c>
      <c r="V1631" s="191" t="inlineStr">
        <is>
          <t>T1090.003:Multi-hop Proxy</t>
        </is>
      </c>
      <c r="W1631" s="191" t="n">
        <v>1</v>
      </c>
      <c r="X1631" s="191" t="inlineStr">
        <is>
          <t>LOW (40%)</t>
        </is>
      </c>
      <c r="Y1631" s="191" t="inlineStr">
        <is>
          <t>NONE</t>
        </is>
      </c>
      <c r="Z1631" s="191" t="inlineStr">
        <is>
          <t>NONE</t>
        </is>
      </c>
      <c r="AA1631" s="191" t="inlineStr">
        <is>
          <t>NONE</t>
        </is>
      </c>
      <c r="AB1631" s="191" t="inlineStr">
        <is>
          <t>NONE</t>
        </is>
      </c>
      <c r="AC1631" s="191" t="n">
        <v>0</v>
      </c>
      <c r="AD1631" s="191" t="n"/>
    </row>
    <row r="1632">
      <c r="A1632" s="191" t="inlineStr">
        <is>
          <t>TOR_EXIT</t>
        </is>
      </c>
      <c r="B1632" s="191" t="inlineStr">
        <is>
          <t>7a5de2a7bcd6</t>
        </is>
      </c>
      <c r="C1632" s="191" t="inlineStr">
        <is>
          <t>Tor Exit Node: 146.59.35.246 | Traffic from this IP may be anonymized/malicious</t>
        </is>
      </c>
      <c r="D1632" s="191" t="n">
        <v>5</v>
      </c>
      <c r="E1632" s="191" t="inlineStr">
        <is>
          <t>MEDIUM</t>
        </is>
      </c>
      <c r="F1632" s="191" t="n">
        <v>2</v>
      </c>
      <c r="G1632" s="191" t="n">
        <v>1</v>
      </c>
      <c r="H1632" s="191" t="inlineStr">
        <is>
          <t>LOW</t>
        </is>
      </c>
      <c r="I1632" s="191" t="n">
        <v>7</v>
      </c>
      <c r="J1632" s="191" t="inlineStr">
        <is>
          <t>NO</t>
        </is>
      </c>
      <c r="K1632" s="192" t="inlineStr">
        <is>
          <t>https://check.torproject.org/</t>
        </is>
      </c>
      <c r="L1632" s="191" t="inlineStr">
        <is>
          <t>2026-02-23 23:48</t>
        </is>
      </c>
      <c r="M1632" s="191" t="inlineStr">
        <is>
          <t>Block or monitor</t>
        </is>
      </c>
      <c r="N1632" s="192" t="inlineStr">
        <is>
          <t>https://check.torproject.org/torbulkexitlist</t>
        </is>
      </c>
      <c r="O1632" s="191" t="inlineStr">
        <is>
          <t>Monitor traffic from Tor exit 146.59.35.246 | Apply policy controls</t>
        </is>
      </c>
      <c r="P1632" s="191" t="inlineStr">
        <is>
          <t>Network perimeter</t>
        </is>
      </c>
      <c r="Q1632" s="191" t="inlineStr">
        <is>
          <t>P4</t>
        </is>
      </c>
      <c r="R1632" s="191" t="inlineStr">
        <is>
          <t>🔍 Investigate and apply appropriate controls</t>
        </is>
      </c>
      <c r="S1632" s="191" t="inlineStr">
        <is>
          <t>Tor exit node - known anonymization service</t>
        </is>
      </c>
      <c r="T1632" s="191" t="n">
        <v>0</v>
      </c>
      <c r="U1632" s="191" t="n">
        <v>0</v>
      </c>
      <c r="V1632" s="191" t="inlineStr">
        <is>
          <t>T1090.003:Multi-hop Proxy</t>
        </is>
      </c>
      <c r="W1632" s="191" t="n">
        <v>1</v>
      </c>
      <c r="X1632" s="191" t="inlineStr">
        <is>
          <t>LOW (40%)</t>
        </is>
      </c>
      <c r="Y1632" s="191" t="inlineStr">
        <is>
          <t>NONE</t>
        </is>
      </c>
      <c r="Z1632" s="191" t="inlineStr">
        <is>
          <t>NONE</t>
        </is>
      </c>
      <c r="AA1632" s="191" t="inlineStr">
        <is>
          <t>NONE</t>
        </is>
      </c>
      <c r="AB1632" s="191" t="inlineStr">
        <is>
          <t>NONE</t>
        </is>
      </c>
      <c r="AC1632" s="191" t="n">
        <v>0</v>
      </c>
      <c r="AD1632" s="191" t="n"/>
    </row>
    <row r="1633">
      <c r="A1633" s="191" t="inlineStr">
        <is>
          <t>TOR_EXIT</t>
        </is>
      </c>
      <c r="B1633" s="191" t="inlineStr">
        <is>
          <t>cd761a255492</t>
        </is>
      </c>
      <c r="C1633" s="191" t="inlineStr">
        <is>
          <t>Tor Exit Node: 72.167.47.69 | Traffic from this IP may be anonymized/malicious</t>
        </is>
      </c>
      <c r="D1633" s="191" t="n">
        <v>5</v>
      </c>
      <c r="E1633" s="191" t="inlineStr">
        <is>
          <t>MEDIUM</t>
        </is>
      </c>
      <c r="F1633" s="191" t="n">
        <v>2</v>
      </c>
      <c r="G1633" s="191" t="n">
        <v>1</v>
      </c>
      <c r="H1633" s="191" t="inlineStr">
        <is>
          <t>LOW</t>
        </is>
      </c>
      <c r="I1633" s="191" t="n">
        <v>7</v>
      </c>
      <c r="J1633" s="191" t="inlineStr">
        <is>
          <t>NO</t>
        </is>
      </c>
      <c r="K1633" s="192" t="inlineStr">
        <is>
          <t>https://check.torproject.org/</t>
        </is>
      </c>
      <c r="L1633" s="191" t="inlineStr">
        <is>
          <t>2026-02-23 23:48</t>
        </is>
      </c>
      <c r="M1633" s="191" t="inlineStr">
        <is>
          <t>Block or monitor</t>
        </is>
      </c>
      <c r="N1633" s="192" t="inlineStr">
        <is>
          <t>https://check.torproject.org/torbulkexitlist</t>
        </is>
      </c>
      <c r="O1633" s="191" t="inlineStr">
        <is>
          <t>Monitor traffic from Tor exit 72.167.47.69 | Apply policy controls</t>
        </is>
      </c>
      <c r="P1633" s="191" t="inlineStr">
        <is>
          <t>Network perimeter</t>
        </is>
      </c>
      <c r="Q1633" s="191" t="inlineStr">
        <is>
          <t>P4</t>
        </is>
      </c>
      <c r="R1633" s="191" t="inlineStr">
        <is>
          <t>🔍 Investigate and apply appropriate controls</t>
        </is>
      </c>
      <c r="S1633" s="191" t="inlineStr">
        <is>
          <t>Tor exit node - known anonymization service</t>
        </is>
      </c>
      <c r="T1633" s="191" t="n">
        <v>0</v>
      </c>
      <c r="U1633" s="191" t="n">
        <v>0</v>
      </c>
      <c r="V1633" s="191" t="inlineStr">
        <is>
          <t>T1090.003:Multi-hop Proxy</t>
        </is>
      </c>
      <c r="W1633" s="191" t="n">
        <v>1</v>
      </c>
      <c r="X1633" s="191" t="inlineStr">
        <is>
          <t>LOW (40%)</t>
        </is>
      </c>
      <c r="Y1633" s="191" t="inlineStr">
        <is>
          <t>NONE</t>
        </is>
      </c>
      <c r="Z1633" s="191" t="inlineStr">
        <is>
          <t>NONE</t>
        </is>
      </c>
      <c r="AA1633" s="191" t="inlineStr">
        <is>
          <t>NONE</t>
        </is>
      </c>
      <c r="AB1633" s="191" t="inlineStr">
        <is>
          <t>NONE</t>
        </is>
      </c>
      <c r="AC1633" s="191" t="n">
        <v>0</v>
      </c>
      <c r="AD1633" s="191" t="n"/>
    </row>
    <row r="1634">
      <c r="A1634" s="191" t="inlineStr">
        <is>
          <t>TOR_EXIT</t>
        </is>
      </c>
      <c r="B1634" s="191" t="inlineStr">
        <is>
          <t>f2d34533c2e7</t>
        </is>
      </c>
      <c r="C1634" s="191" t="inlineStr">
        <is>
          <t>Tor Exit Node: 193.26.115.43 | Traffic from this IP may be anonymized/malicious</t>
        </is>
      </c>
      <c r="D1634" s="191" t="n">
        <v>5</v>
      </c>
      <c r="E1634" s="191" t="inlineStr">
        <is>
          <t>MEDIUM</t>
        </is>
      </c>
      <c r="F1634" s="191" t="n">
        <v>2</v>
      </c>
      <c r="G1634" s="191" t="n">
        <v>1</v>
      </c>
      <c r="H1634" s="191" t="inlineStr">
        <is>
          <t>LOW</t>
        </is>
      </c>
      <c r="I1634" s="191" t="n">
        <v>7</v>
      </c>
      <c r="J1634" s="191" t="inlineStr">
        <is>
          <t>NO</t>
        </is>
      </c>
      <c r="K1634" s="192" t="inlineStr">
        <is>
          <t>https://check.torproject.org/</t>
        </is>
      </c>
      <c r="L1634" s="191" t="inlineStr">
        <is>
          <t>2026-02-23 23:48</t>
        </is>
      </c>
      <c r="M1634" s="191" t="inlineStr">
        <is>
          <t>Block or monitor</t>
        </is>
      </c>
      <c r="N1634" s="192" t="inlineStr">
        <is>
          <t>https://check.torproject.org/torbulkexitlist</t>
        </is>
      </c>
      <c r="O1634" s="191" t="inlineStr">
        <is>
          <t>Monitor traffic from Tor exit 193.26.115.43 | Apply policy controls</t>
        </is>
      </c>
      <c r="P1634" s="191" t="inlineStr">
        <is>
          <t>Network perimeter</t>
        </is>
      </c>
      <c r="Q1634" s="191" t="inlineStr">
        <is>
          <t>P4</t>
        </is>
      </c>
      <c r="R1634" s="191" t="inlineStr">
        <is>
          <t>🔍 Investigate and apply appropriate controls</t>
        </is>
      </c>
      <c r="S1634" s="191" t="inlineStr">
        <is>
          <t>Tor exit node - known anonymization service</t>
        </is>
      </c>
      <c r="T1634" s="191" t="n">
        <v>0</v>
      </c>
      <c r="U1634" s="191" t="n">
        <v>0</v>
      </c>
      <c r="V1634" s="191" t="inlineStr">
        <is>
          <t>T1090.003:Multi-hop Proxy</t>
        </is>
      </c>
      <c r="W1634" s="191" t="n">
        <v>1</v>
      </c>
      <c r="X1634" s="191" t="inlineStr">
        <is>
          <t>LOW (40%)</t>
        </is>
      </c>
      <c r="Y1634" s="191" t="inlineStr">
        <is>
          <t>NONE</t>
        </is>
      </c>
      <c r="Z1634" s="191" t="inlineStr">
        <is>
          <t>NONE</t>
        </is>
      </c>
      <c r="AA1634" s="191" t="inlineStr">
        <is>
          <t>NONE</t>
        </is>
      </c>
      <c r="AB1634" s="191" t="inlineStr">
        <is>
          <t>NONE</t>
        </is>
      </c>
      <c r="AC1634" s="191" t="n">
        <v>0</v>
      </c>
      <c r="AD1634" s="191" t="n"/>
    </row>
    <row r="1635">
      <c r="A1635" s="191" t="inlineStr">
        <is>
          <t>TOR_EXIT</t>
        </is>
      </c>
      <c r="B1635" s="191" t="inlineStr">
        <is>
          <t>6e99918b7596</t>
        </is>
      </c>
      <c r="C1635" s="191" t="inlineStr">
        <is>
          <t>Tor Exit Node: 179.43.159.197 | Traffic from this IP may be anonymized/malicious</t>
        </is>
      </c>
      <c r="D1635" s="191" t="n">
        <v>5</v>
      </c>
      <c r="E1635" s="191" t="inlineStr">
        <is>
          <t>MEDIUM</t>
        </is>
      </c>
      <c r="F1635" s="191" t="n">
        <v>2</v>
      </c>
      <c r="G1635" s="191" t="n">
        <v>1</v>
      </c>
      <c r="H1635" s="191" t="inlineStr">
        <is>
          <t>LOW</t>
        </is>
      </c>
      <c r="I1635" s="191" t="n">
        <v>7</v>
      </c>
      <c r="J1635" s="191" t="inlineStr">
        <is>
          <t>NO</t>
        </is>
      </c>
      <c r="K1635" s="192" t="inlineStr">
        <is>
          <t>https://check.torproject.org/</t>
        </is>
      </c>
      <c r="L1635" s="191" t="inlineStr">
        <is>
          <t>2026-02-23 23:48</t>
        </is>
      </c>
      <c r="M1635" s="191" t="inlineStr">
        <is>
          <t>Block or monitor</t>
        </is>
      </c>
      <c r="N1635" s="192" t="inlineStr">
        <is>
          <t>https://check.torproject.org/torbulkexitlist</t>
        </is>
      </c>
      <c r="O1635" s="191" t="inlineStr">
        <is>
          <t>Monitor traffic from Tor exit 179.43.159.197 | Apply policy controls</t>
        </is>
      </c>
      <c r="P1635" s="191" t="inlineStr">
        <is>
          <t>Network perimeter</t>
        </is>
      </c>
      <c r="Q1635" s="191" t="inlineStr">
        <is>
          <t>P4</t>
        </is>
      </c>
      <c r="R1635" s="191" t="inlineStr">
        <is>
          <t>🔍 Investigate and apply appropriate controls</t>
        </is>
      </c>
      <c r="S1635" s="191" t="inlineStr">
        <is>
          <t>Tor exit node - known anonymization service</t>
        </is>
      </c>
      <c r="T1635" s="191" t="n">
        <v>0</v>
      </c>
      <c r="U1635" s="191" t="n">
        <v>0</v>
      </c>
      <c r="V1635" s="191" t="inlineStr">
        <is>
          <t>T1090.003:Multi-hop Proxy</t>
        </is>
      </c>
      <c r="W1635" s="191" t="n">
        <v>1</v>
      </c>
      <c r="X1635" s="191" t="inlineStr">
        <is>
          <t>LOW (40%)</t>
        </is>
      </c>
      <c r="Y1635" s="191" t="inlineStr">
        <is>
          <t>NONE</t>
        </is>
      </c>
      <c r="Z1635" s="191" t="inlineStr">
        <is>
          <t>NONE</t>
        </is>
      </c>
      <c r="AA1635" s="191" t="inlineStr">
        <is>
          <t>NONE</t>
        </is>
      </c>
      <c r="AB1635" s="191" t="inlineStr">
        <is>
          <t>NONE</t>
        </is>
      </c>
      <c r="AC1635" s="191" t="n">
        <v>0</v>
      </c>
      <c r="AD1635" s="191" t="n"/>
    </row>
    <row r="1636">
      <c r="A1636" s="191" t="inlineStr">
        <is>
          <t>TOR_EXIT</t>
        </is>
      </c>
      <c r="B1636" s="191" t="inlineStr">
        <is>
          <t>b61c50a01b3f</t>
        </is>
      </c>
      <c r="C1636" s="191" t="inlineStr">
        <is>
          <t>Tor Exit Node: 185.241.208.232 | Traffic from this IP may be anonymized/malicious</t>
        </is>
      </c>
      <c r="D1636" s="191" t="n">
        <v>5</v>
      </c>
      <c r="E1636" s="191" t="inlineStr">
        <is>
          <t>MEDIUM</t>
        </is>
      </c>
      <c r="F1636" s="191" t="n">
        <v>2</v>
      </c>
      <c r="G1636" s="191" t="n">
        <v>1</v>
      </c>
      <c r="H1636" s="191" t="inlineStr">
        <is>
          <t>LOW</t>
        </is>
      </c>
      <c r="I1636" s="191" t="n">
        <v>7</v>
      </c>
      <c r="J1636" s="191" t="inlineStr">
        <is>
          <t>NO</t>
        </is>
      </c>
      <c r="K1636" s="192" t="inlineStr">
        <is>
          <t>https://check.torproject.org/</t>
        </is>
      </c>
      <c r="L1636" s="191" t="inlineStr">
        <is>
          <t>2026-02-23 23:48</t>
        </is>
      </c>
      <c r="M1636" s="191" t="inlineStr">
        <is>
          <t>Block or monitor</t>
        </is>
      </c>
      <c r="N1636" s="192" t="inlineStr">
        <is>
          <t>https://check.torproject.org/torbulkexitlist</t>
        </is>
      </c>
      <c r="O1636" s="191" t="inlineStr">
        <is>
          <t>Monitor traffic from Tor exit 185.241.208.232 | Apply policy controls</t>
        </is>
      </c>
      <c r="P1636" s="191" t="inlineStr">
        <is>
          <t>Network perimeter</t>
        </is>
      </c>
      <c r="Q1636" s="191" t="inlineStr">
        <is>
          <t>P4</t>
        </is>
      </c>
      <c r="R1636" s="191" t="inlineStr">
        <is>
          <t>🔍 Investigate and apply appropriate controls</t>
        </is>
      </c>
      <c r="S1636" s="191" t="inlineStr">
        <is>
          <t>Tor exit node - known anonymization service</t>
        </is>
      </c>
      <c r="T1636" s="191" t="n">
        <v>0</v>
      </c>
      <c r="U1636" s="191" t="n">
        <v>0</v>
      </c>
      <c r="V1636" s="191" t="inlineStr">
        <is>
          <t>T1090.003:Multi-hop Proxy</t>
        </is>
      </c>
      <c r="W1636" s="191" t="n">
        <v>1</v>
      </c>
      <c r="X1636" s="191" t="inlineStr">
        <is>
          <t>LOW (40%)</t>
        </is>
      </c>
      <c r="Y1636" s="191" t="inlineStr">
        <is>
          <t>NONE</t>
        </is>
      </c>
      <c r="Z1636" s="191" t="inlineStr">
        <is>
          <t>NONE</t>
        </is>
      </c>
      <c r="AA1636" s="191" t="inlineStr">
        <is>
          <t>NONE</t>
        </is>
      </c>
      <c r="AB1636" s="191" t="inlineStr">
        <is>
          <t>NONE</t>
        </is>
      </c>
      <c r="AC1636" s="191" t="n">
        <v>0</v>
      </c>
      <c r="AD1636" s="191" t="n"/>
    </row>
    <row r="1637">
      <c r="A1637" s="191" t="inlineStr">
        <is>
          <t>TOR_EXIT</t>
        </is>
      </c>
      <c r="B1637" s="191" t="inlineStr">
        <is>
          <t>67061a591c30</t>
        </is>
      </c>
      <c r="C1637" s="191" t="inlineStr">
        <is>
          <t>Tor Exit Node: 185.220.101.31 | Traffic from this IP may be anonymized/malicious</t>
        </is>
      </c>
      <c r="D1637" s="191" t="n">
        <v>5</v>
      </c>
      <c r="E1637" s="191" t="inlineStr">
        <is>
          <t>MEDIUM</t>
        </is>
      </c>
      <c r="F1637" s="191" t="n">
        <v>2</v>
      </c>
      <c r="G1637" s="191" t="n">
        <v>1</v>
      </c>
      <c r="H1637" s="191" t="inlineStr">
        <is>
          <t>LOW</t>
        </is>
      </c>
      <c r="I1637" s="191" t="n">
        <v>7</v>
      </c>
      <c r="J1637" s="191" t="inlineStr">
        <is>
          <t>NO</t>
        </is>
      </c>
      <c r="K1637" s="192" t="inlineStr">
        <is>
          <t>https://check.torproject.org/</t>
        </is>
      </c>
      <c r="L1637" s="191" t="inlineStr">
        <is>
          <t>2026-02-23 23:48</t>
        </is>
      </c>
      <c r="M1637" s="191" t="inlineStr">
        <is>
          <t>Block or monitor</t>
        </is>
      </c>
      <c r="N1637" s="192" t="inlineStr">
        <is>
          <t>https://check.torproject.org/torbulkexitlist</t>
        </is>
      </c>
      <c r="O1637" s="191" t="inlineStr">
        <is>
          <t>Monitor traffic from Tor exit 185.220.101.31 | Apply policy controls</t>
        </is>
      </c>
      <c r="P1637" s="191" t="inlineStr">
        <is>
          <t>Network perimeter</t>
        </is>
      </c>
      <c r="Q1637" s="191" t="inlineStr">
        <is>
          <t>P4</t>
        </is>
      </c>
      <c r="R1637" s="191" t="inlineStr">
        <is>
          <t>🔍 Investigate and apply appropriate controls</t>
        </is>
      </c>
      <c r="S1637" s="191" t="inlineStr">
        <is>
          <t>Tor exit node - known anonymization service</t>
        </is>
      </c>
      <c r="T1637" s="191" t="n">
        <v>0</v>
      </c>
      <c r="U1637" s="191" t="n">
        <v>0</v>
      </c>
      <c r="V1637" s="191" t="inlineStr">
        <is>
          <t>T1090.003:Multi-hop Proxy</t>
        </is>
      </c>
      <c r="W1637" s="191" t="n">
        <v>1</v>
      </c>
      <c r="X1637" s="191" t="inlineStr">
        <is>
          <t>LOW (40%)</t>
        </is>
      </c>
      <c r="Y1637" s="191" t="inlineStr">
        <is>
          <t>NONE</t>
        </is>
      </c>
      <c r="Z1637" s="191" t="inlineStr">
        <is>
          <t>NONE</t>
        </is>
      </c>
      <c r="AA1637" s="191" t="inlineStr">
        <is>
          <t>NONE</t>
        </is>
      </c>
      <c r="AB1637" s="191" t="inlineStr">
        <is>
          <t>NONE</t>
        </is>
      </c>
      <c r="AC1637" s="191" t="n">
        <v>0</v>
      </c>
      <c r="AD1637" s="191" t="n"/>
    </row>
    <row r="1638">
      <c r="A1638" s="191" t="inlineStr">
        <is>
          <t>TOR_EXIT</t>
        </is>
      </c>
      <c r="B1638" s="191" t="inlineStr">
        <is>
          <t>7240ef74049c</t>
        </is>
      </c>
      <c r="C1638" s="191" t="inlineStr">
        <is>
          <t>Tor Exit Node: 199.195.249.214 | Traffic from this IP may be anonymized/malicious</t>
        </is>
      </c>
      <c r="D1638" s="191" t="n">
        <v>5</v>
      </c>
      <c r="E1638" s="191" t="inlineStr">
        <is>
          <t>MEDIUM</t>
        </is>
      </c>
      <c r="F1638" s="191" t="n">
        <v>2</v>
      </c>
      <c r="G1638" s="191" t="n">
        <v>1</v>
      </c>
      <c r="H1638" s="191" t="inlineStr">
        <is>
          <t>LOW</t>
        </is>
      </c>
      <c r="I1638" s="191" t="n">
        <v>7</v>
      </c>
      <c r="J1638" s="191" t="inlineStr">
        <is>
          <t>NO</t>
        </is>
      </c>
      <c r="K1638" s="192" t="inlineStr">
        <is>
          <t>https://check.torproject.org/</t>
        </is>
      </c>
      <c r="L1638" s="191" t="inlineStr">
        <is>
          <t>2026-02-23 23:48</t>
        </is>
      </c>
      <c r="M1638" s="191" t="inlineStr">
        <is>
          <t>Block or monitor</t>
        </is>
      </c>
      <c r="N1638" s="192" t="inlineStr">
        <is>
          <t>https://check.torproject.org/torbulkexitlist</t>
        </is>
      </c>
      <c r="O1638" s="191" t="inlineStr">
        <is>
          <t>Monitor traffic from Tor exit 199.195.249.214 | Apply policy controls</t>
        </is>
      </c>
      <c r="P1638" s="191" t="inlineStr">
        <is>
          <t>Network perimeter</t>
        </is>
      </c>
      <c r="Q1638" s="191" t="inlineStr">
        <is>
          <t>P4</t>
        </is>
      </c>
      <c r="R1638" s="191" t="inlineStr">
        <is>
          <t>🔍 Investigate and apply appropriate controls</t>
        </is>
      </c>
      <c r="S1638" s="191" t="inlineStr">
        <is>
          <t>Tor exit node - known anonymization service</t>
        </is>
      </c>
      <c r="T1638" s="191" t="n">
        <v>0</v>
      </c>
      <c r="U1638" s="191" t="n">
        <v>0</v>
      </c>
      <c r="V1638" s="191" t="inlineStr">
        <is>
          <t>T1090.003:Multi-hop Proxy</t>
        </is>
      </c>
      <c r="W1638" s="191" t="n">
        <v>1</v>
      </c>
      <c r="X1638" s="191" t="inlineStr">
        <is>
          <t>LOW (40%)</t>
        </is>
      </c>
      <c r="Y1638" s="191" t="inlineStr">
        <is>
          <t>NONE</t>
        </is>
      </c>
      <c r="Z1638" s="191" t="inlineStr">
        <is>
          <t>NONE</t>
        </is>
      </c>
      <c r="AA1638" s="191" t="inlineStr">
        <is>
          <t>NONE</t>
        </is>
      </c>
      <c r="AB1638" s="191" t="inlineStr">
        <is>
          <t>NONE</t>
        </is>
      </c>
      <c r="AC1638" s="191" t="n">
        <v>0</v>
      </c>
      <c r="AD1638" s="191" t="n"/>
    </row>
    <row r="1639">
      <c r="A1639" s="191" t="inlineStr">
        <is>
          <t>TOR_EXIT</t>
        </is>
      </c>
      <c r="B1639" s="191" t="inlineStr">
        <is>
          <t>207554188105</t>
        </is>
      </c>
      <c r="C1639" s="191" t="inlineStr">
        <is>
          <t>Tor Exit Node: 195.88.74.206 | Traffic from this IP may be anonymized/malicious</t>
        </is>
      </c>
      <c r="D1639" s="191" t="n">
        <v>5</v>
      </c>
      <c r="E1639" s="191" t="inlineStr">
        <is>
          <t>MEDIUM</t>
        </is>
      </c>
      <c r="F1639" s="191" t="n">
        <v>2</v>
      </c>
      <c r="G1639" s="191" t="n">
        <v>1</v>
      </c>
      <c r="H1639" s="191" t="inlineStr">
        <is>
          <t>LOW</t>
        </is>
      </c>
      <c r="I1639" s="191" t="n">
        <v>7</v>
      </c>
      <c r="J1639" s="191" t="inlineStr">
        <is>
          <t>NO</t>
        </is>
      </c>
      <c r="K1639" s="192" t="inlineStr">
        <is>
          <t>https://check.torproject.org/</t>
        </is>
      </c>
      <c r="L1639" s="191" t="inlineStr">
        <is>
          <t>2026-02-23 23:48</t>
        </is>
      </c>
      <c r="M1639" s="191" t="inlineStr">
        <is>
          <t>Block or monitor</t>
        </is>
      </c>
      <c r="N1639" s="192" t="inlineStr">
        <is>
          <t>https://check.torproject.org/torbulkexitlist</t>
        </is>
      </c>
      <c r="O1639" s="191" t="inlineStr">
        <is>
          <t>Monitor traffic from Tor exit 195.88.74.206 | Apply policy controls</t>
        </is>
      </c>
      <c r="P1639" s="191" t="inlineStr">
        <is>
          <t>Network perimeter</t>
        </is>
      </c>
      <c r="Q1639" s="191" t="inlineStr">
        <is>
          <t>P4</t>
        </is>
      </c>
      <c r="R1639" s="191" t="inlineStr">
        <is>
          <t>🔍 Investigate and apply appropriate controls</t>
        </is>
      </c>
      <c r="S1639" s="191" t="inlineStr">
        <is>
          <t>Tor exit node - known anonymization service</t>
        </is>
      </c>
      <c r="T1639" s="191" t="n">
        <v>0</v>
      </c>
      <c r="U1639" s="191" t="n">
        <v>0</v>
      </c>
      <c r="V1639" s="191" t="inlineStr">
        <is>
          <t>T1090.003:Multi-hop Proxy</t>
        </is>
      </c>
      <c r="W1639" s="191" t="n">
        <v>1</v>
      </c>
      <c r="X1639" s="191" t="inlineStr">
        <is>
          <t>LOW (40%)</t>
        </is>
      </c>
      <c r="Y1639" s="191" t="inlineStr">
        <is>
          <t>NONE</t>
        </is>
      </c>
      <c r="Z1639" s="191" t="inlineStr">
        <is>
          <t>NONE</t>
        </is>
      </c>
      <c r="AA1639" s="191" t="inlineStr">
        <is>
          <t>NONE</t>
        </is>
      </c>
      <c r="AB1639" s="191" t="inlineStr">
        <is>
          <t>NONE</t>
        </is>
      </c>
      <c r="AC1639" s="191" t="n">
        <v>0</v>
      </c>
      <c r="AD1639" s="191" t="n"/>
    </row>
    <row r="1640">
      <c r="A1640" s="191" t="inlineStr">
        <is>
          <t>TOR_EXIT</t>
        </is>
      </c>
      <c r="B1640" s="191" t="inlineStr">
        <is>
          <t>ed15bcf38308</t>
        </is>
      </c>
      <c r="C1640" s="191" t="inlineStr">
        <is>
          <t>Tor Exit Node: 172.81.131.168 | Traffic from this IP may be anonymized/malicious</t>
        </is>
      </c>
      <c r="D1640" s="191" t="n">
        <v>5</v>
      </c>
      <c r="E1640" s="191" t="inlineStr">
        <is>
          <t>MEDIUM</t>
        </is>
      </c>
      <c r="F1640" s="191" t="n">
        <v>2</v>
      </c>
      <c r="G1640" s="191" t="n">
        <v>1</v>
      </c>
      <c r="H1640" s="191" t="inlineStr">
        <is>
          <t>LOW</t>
        </is>
      </c>
      <c r="I1640" s="191" t="n">
        <v>7</v>
      </c>
      <c r="J1640" s="191" t="inlineStr">
        <is>
          <t>NO</t>
        </is>
      </c>
      <c r="K1640" s="192" t="inlineStr">
        <is>
          <t>https://check.torproject.org/</t>
        </is>
      </c>
      <c r="L1640" s="191" t="inlineStr">
        <is>
          <t>2026-02-23 23:48</t>
        </is>
      </c>
      <c r="M1640" s="191" t="inlineStr">
        <is>
          <t>Block or monitor</t>
        </is>
      </c>
      <c r="N1640" s="192" t="inlineStr">
        <is>
          <t>https://check.torproject.org/torbulkexitlist</t>
        </is>
      </c>
      <c r="O1640" s="191" t="inlineStr">
        <is>
          <t>Monitor traffic from Tor exit 172.81.131.168 | Apply policy controls</t>
        </is>
      </c>
      <c r="P1640" s="191" t="inlineStr">
        <is>
          <t>Network perimeter</t>
        </is>
      </c>
      <c r="Q1640" s="191" t="inlineStr">
        <is>
          <t>P4</t>
        </is>
      </c>
      <c r="R1640" s="191" t="inlineStr">
        <is>
          <t>🔍 Investigate and apply appropriate controls</t>
        </is>
      </c>
      <c r="S1640" s="191" t="inlineStr">
        <is>
          <t>Tor exit node - known anonymization service</t>
        </is>
      </c>
      <c r="T1640" s="191" t="n">
        <v>0</v>
      </c>
      <c r="U1640" s="191" t="n">
        <v>0</v>
      </c>
      <c r="V1640" s="191" t="inlineStr">
        <is>
          <t>T1090.003:Multi-hop Proxy</t>
        </is>
      </c>
      <c r="W1640" s="191" t="n">
        <v>1</v>
      </c>
      <c r="X1640" s="191" t="inlineStr">
        <is>
          <t>LOW (40%)</t>
        </is>
      </c>
      <c r="Y1640" s="191" t="inlineStr">
        <is>
          <t>NONE</t>
        </is>
      </c>
      <c r="Z1640" s="191" t="inlineStr">
        <is>
          <t>NONE</t>
        </is>
      </c>
      <c r="AA1640" s="191" t="inlineStr">
        <is>
          <t>NONE</t>
        </is>
      </c>
      <c r="AB1640" s="191" t="inlineStr">
        <is>
          <t>NONE</t>
        </is>
      </c>
      <c r="AC1640" s="191" t="n">
        <v>0</v>
      </c>
      <c r="AD1640" s="191" t="n"/>
    </row>
    <row r="1641">
      <c r="A1641" s="191" t="inlineStr">
        <is>
          <t>TOR_EXIT</t>
        </is>
      </c>
      <c r="B1641" s="191" t="inlineStr">
        <is>
          <t>587e8b09d241</t>
        </is>
      </c>
      <c r="C1641" s="191" t="inlineStr">
        <is>
          <t>Tor Exit Node: 185.220.101.184 | Traffic from this IP may be anonymized/malicious</t>
        </is>
      </c>
      <c r="D1641" s="191" t="n">
        <v>5</v>
      </c>
      <c r="E1641" s="191" t="inlineStr">
        <is>
          <t>MEDIUM</t>
        </is>
      </c>
      <c r="F1641" s="191" t="n">
        <v>2</v>
      </c>
      <c r="G1641" s="191" t="n">
        <v>1</v>
      </c>
      <c r="H1641" s="191" t="inlineStr">
        <is>
          <t>LOW</t>
        </is>
      </c>
      <c r="I1641" s="191" t="n">
        <v>7</v>
      </c>
      <c r="J1641" s="191" t="inlineStr">
        <is>
          <t>NO</t>
        </is>
      </c>
      <c r="K1641" s="192" t="inlineStr">
        <is>
          <t>https://check.torproject.org/</t>
        </is>
      </c>
      <c r="L1641" s="191" t="inlineStr">
        <is>
          <t>2026-02-23 23:48</t>
        </is>
      </c>
      <c r="M1641" s="191" t="inlineStr">
        <is>
          <t>Block or monitor</t>
        </is>
      </c>
      <c r="N1641" s="192" t="inlineStr">
        <is>
          <t>https://check.torproject.org/torbulkexitlist</t>
        </is>
      </c>
      <c r="O1641" s="191" t="inlineStr">
        <is>
          <t>Monitor traffic from Tor exit 185.220.101.184 | Apply policy controls</t>
        </is>
      </c>
      <c r="P1641" s="191" t="inlineStr">
        <is>
          <t>Network perimeter</t>
        </is>
      </c>
      <c r="Q1641" s="191" t="inlineStr">
        <is>
          <t>P4</t>
        </is>
      </c>
      <c r="R1641" s="191" t="inlineStr">
        <is>
          <t>🔍 Investigate and apply appropriate controls</t>
        </is>
      </c>
      <c r="S1641" s="191" t="inlineStr">
        <is>
          <t>Tor exit node - known anonymization service</t>
        </is>
      </c>
      <c r="T1641" s="191" t="n">
        <v>0</v>
      </c>
      <c r="U1641" s="191" t="n">
        <v>0</v>
      </c>
      <c r="V1641" s="191" t="inlineStr">
        <is>
          <t>T1090.003:Multi-hop Proxy</t>
        </is>
      </c>
      <c r="W1641" s="191" t="n">
        <v>1</v>
      </c>
      <c r="X1641" s="191" t="inlineStr">
        <is>
          <t>LOW (40%)</t>
        </is>
      </c>
      <c r="Y1641" s="191" t="inlineStr">
        <is>
          <t>NONE</t>
        </is>
      </c>
      <c r="Z1641" s="191" t="inlineStr">
        <is>
          <t>NONE</t>
        </is>
      </c>
      <c r="AA1641" s="191" t="inlineStr">
        <is>
          <t>NONE</t>
        </is>
      </c>
      <c r="AB1641" s="191" t="inlineStr">
        <is>
          <t>NONE</t>
        </is>
      </c>
      <c r="AC1641" s="191" t="n">
        <v>0</v>
      </c>
      <c r="AD1641" s="191" t="n"/>
    </row>
    <row r="1642">
      <c r="A1642" s="191" t="inlineStr">
        <is>
          <t>TOR_EXIT</t>
        </is>
      </c>
      <c r="B1642" s="191" t="inlineStr">
        <is>
          <t>402901f61029</t>
        </is>
      </c>
      <c r="C1642" s="191" t="inlineStr">
        <is>
          <t>Tor Exit Node: 185.220.101.185 | Traffic from this IP may be anonymized/malicious</t>
        </is>
      </c>
      <c r="D1642" s="191" t="n">
        <v>5</v>
      </c>
      <c r="E1642" s="191" t="inlineStr">
        <is>
          <t>MEDIUM</t>
        </is>
      </c>
      <c r="F1642" s="191" t="n">
        <v>2</v>
      </c>
      <c r="G1642" s="191" t="n">
        <v>1</v>
      </c>
      <c r="H1642" s="191" t="inlineStr">
        <is>
          <t>LOW</t>
        </is>
      </c>
      <c r="I1642" s="191" t="n">
        <v>7</v>
      </c>
      <c r="J1642" s="191" t="inlineStr">
        <is>
          <t>NO</t>
        </is>
      </c>
      <c r="K1642" s="192" t="inlineStr">
        <is>
          <t>https://check.torproject.org/</t>
        </is>
      </c>
      <c r="L1642" s="191" t="inlineStr">
        <is>
          <t>2026-02-23 23:48</t>
        </is>
      </c>
      <c r="M1642" s="191" t="inlineStr">
        <is>
          <t>Block or monitor</t>
        </is>
      </c>
      <c r="N1642" s="192" t="inlineStr">
        <is>
          <t>https://check.torproject.org/torbulkexitlist</t>
        </is>
      </c>
      <c r="O1642" s="191" t="inlineStr">
        <is>
          <t>Monitor traffic from Tor exit 185.220.101.185 | Apply policy controls</t>
        </is>
      </c>
      <c r="P1642" s="191" t="inlineStr">
        <is>
          <t>Network perimeter</t>
        </is>
      </c>
      <c r="Q1642" s="191" t="inlineStr">
        <is>
          <t>P4</t>
        </is>
      </c>
      <c r="R1642" s="191" t="inlineStr">
        <is>
          <t>🔍 Investigate and apply appropriate controls</t>
        </is>
      </c>
      <c r="S1642" s="191" t="inlineStr">
        <is>
          <t>Tor exit node - known anonymization service</t>
        </is>
      </c>
      <c r="T1642" s="191" t="n">
        <v>0</v>
      </c>
      <c r="U1642" s="191" t="n">
        <v>0</v>
      </c>
      <c r="V1642" s="191" t="inlineStr">
        <is>
          <t>T1090.003:Multi-hop Proxy</t>
        </is>
      </c>
      <c r="W1642" s="191" t="n">
        <v>1</v>
      </c>
      <c r="X1642" s="191" t="inlineStr">
        <is>
          <t>LOW (40%)</t>
        </is>
      </c>
      <c r="Y1642" s="191" t="inlineStr">
        <is>
          <t>NONE</t>
        </is>
      </c>
      <c r="Z1642" s="191" t="inlineStr">
        <is>
          <t>NONE</t>
        </is>
      </c>
      <c r="AA1642" s="191" t="inlineStr">
        <is>
          <t>NONE</t>
        </is>
      </c>
      <c r="AB1642" s="191" t="inlineStr">
        <is>
          <t>NONE</t>
        </is>
      </c>
      <c r="AC1642" s="191" t="n">
        <v>0</v>
      </c>
      <c r="AD1642" s="191" t="n"/>
    </row>
    <row r="1643">
      <c r="A1643" s="191" t="inlineStr">
        <is>
          <t>TOR_EXIT</t>
        </is>
      </c>
      <c r="B1643" s="191" t="inlineStr">
        <is>
          <t>0588f8c03417</t>
        </is>
      </c>
      <c r="C1643" s="191" t="inlineStr">
        <is>
          <t>Tor Exit Node: 185.220.101.90 | Traffic from this IP may be anonymized/malicious</t>
        </is>
      </c>
      <c r="D1643" s="191" t="n">
        <v>5</v>
      </c>
      <c r="E1643" s="191" t="inlineStr">
        <is>
          <t>MEDIUM</t>
        </is>
      </c>
      <c r="F1643" s="191" t="n">
        <v>2</v>
      </c>
      <c r="G1643" s="191" t="n">
        <v>1</v>
      </c>
      <c r="H1643" s="191" t="inlineStr">
        <is>
          <t>LOW</t>
        </is>
      </c>
      <c r="I1643" s="191" t="n">
        <v>7</v>
      </c>
      <c r="J1643" s="191" t="inlineStr">
        <is>
          <t>NO</t>
        </is>
      </c>
      <c r="K1643" s="192" t="inlineStr">
        <is>
          <t>https://check.torproject.org/</t>
        </is>
      </c>
      <c r="L1643" s="191" t="inlineStr">
        <is>
          <t>2026-02-23 23:48</t>
        </is>
      </c>
      <c r="M1643" s="191" t="inlineStr">
        <is>
          <t>Block or monitor</t>
        </is>
      </c>
      <c r="N1643" s="192" t="inlineStr">
        <is>
          <t>https://check.torproject.org/torbulkexitlist</t>
        </is>
      </c>
      <c r="O1643" s="191" t="inlineStr">
        <is>
          <t>Monitor traffic from Tor exit 185.220.101.90 | Apply policy controls</t>
        </is>
      </c>
      <c r="P1643" s="191" t="inlineStr">
        <is>
          <t>Network perimeter</t>
        </is>
      </c>
      <c r="Q1643" s="191" t="inlineStr">
        <is>
          <t>P4</t>
        </is>
      </c>
      <c r="R1643" s="191" t="inlineStr">
        <is>
          <t>🔍 Investigate and apply appropriate controls</t>
        </is>
      </c>
      <c r="S1643" s="191" t="inlineStr">
        <is>
          <t>Tor exit node - known anonymization service</t>
        </is>
      </c>
      <c r="T1643" s="191" t="n">
        <v>0</v>
      </c>
      <c r="U1643" s="191" t="n">
        <v>0</v>
      </c>
      <c r="V1643" s="191" t="inlineStr">
        <is>
          <t>T1090.003:Multi-hop Proxy</t>
        </is>
      </c>
      <c r="W1643" s="191" t="n">
        <v>1</v>
      </c>
      <c r="X1643" s="191" t="inlineStr">
        <is>
          <t>LOW (40%)</t>
        </is>
      </c>
      <c r="Y1643" s="191" t="inlineStr">
        <is>
          <t>NONE</t>
        </is>
      </c>
      <c r="Z1643" s="191" t="inlineStr">
        <is>
          <t>NONE</t>
        </is>
      </c>
      <c r="AA1643" s="191" t="inlineStr">
        <is>
          <t>NONE</t>
        </is>
      </c>
      <c r="AB1643" s="191" t="inlineStr">
        <is>
          <t>NONE</t>
        </is>
      </c>
      <c r="AC1643" s="191" t="n">
        <v>0</v>
      </c>
      <c r="AD1643" s="191" t="n"/>
    </row>
    <row r="1644">
      <c r="A1644" s="191" t="inlineStr">
        <is>
          <t>TOR_EXIT</t>
        </is>
      </c>
      <c r="B1644" s="191" t="inlineStr">
        <is>
          <t>d9a58806ce31</t>
        </is>
      </c>
      <c r="C1644" s="191" t="inlineStr">
        <is>
          <t>Tor Exit Node: 185.243.218.202 | Traffic from this IP may be anonymized/malicious</t>
        </is>
      </c>
      <c r="D1644" s="191" t="n">
        <v>5</v>
      </c>
      <c r="E1644" s="191" t="inlineStr">
        <is>
          <t>MEDIUM</t>
        </is>
      </c>
      <c r="F1644" s="191" t="n">
        <v>2</v>
      </c>
      <c r="G1644" s="191" t="n">
        <v>1</v>
      </c>
      <c r="H1644" s="191" t="inlineStr">
        <is>
          <t>LOW</t>
        </is>
      </c>
      <c r="I1644" s="191" t="n">
        <v>7</v>
      </c>
      <c r="J1644" s="191" t="inlineStr">
        <is>
          <t>NO</t>
        </is>
      </c>
      <c r="K1644" s="192" t="inlineStr">
        <is>
          <t>https://check.torproject.org/</t>
        </is>
      </c>
      <c r="L1644" s="191" t="inlineStr">
        <is>
          <t>2026-02-23 23:48</t>
        </is>
      </c>
      <c r="M1644" s="191" t="inlineStr">
        <is>
          <t>Block or monitor</t>
        </is>
      </c>
      <c r="N1644" s="192" t="inlineStr">
        <is>
          <t>https://check.torproject.org/torbulkexitlist</t>
        </is>
      </c>
      <c r="O1644" s="191" t="inlineStr">
        <is>
          <t>Monitor traffic from Tor exit 185.243.218.202 | Apply policy controls</t>
        </is>
      </c>
      <c r="P1644" s="191" t="inlineStr">
        <is>
          <t>Network perimeter</t>
        </is>
      </c>
      <c r="Q1644" s="191" t="inlineStr">
        <is>
          <t>P4</t>
        </is>
      </c>
      <c r="R1644" s="191" t="inlineStr">
        <is>
          <t>🔍 Investigate and apply appropriate controls</t>
        </is>
      </c>
      <c r="S1644" s="191" t="inlineStr">
        <is>
          <t>Tor exit node - known anonymization service</t>
        </is>
      </c>
      <c r="T1644" s="191" t="n">
        <v>0</v>
      </c>
      <c r="U1644" s="191" t="n">
        <v>0</v>
      </c>
      <c r="V1644" s="191" t="inlineStr">
        <is>
          <t>T1090.003:Multi-hop Proxy</t>
        </is>
      </c>
      <c r="W1644" s="191" t="n">
        <v>1</v>
      </c>
      <c r="X1644" s="191" t="inlineStr">
        <is>
          <t>LOW (40%)</t>
        </is>
      </c>
      <c r="Y1644" s="191" t="inlineStr">
        <is>
          <t>NONE</t>
        </is>
      </c>
      <c r="Z1644" s="191" t="inlineStr">
        <is>
          <t>NONE</t>
        </is>
      </c>
      <c r="AA1644" s="191" t="inlineStr">
        <is>
          <t>NONE</t>
        </is>
      </c>
      <c r="AB1644" s="191" t="inlineStr">
        <is>
          <t>NONE</t>
        </is>
      </c>
      <c r="AC1644" s="191" t="n">
        <v>0</v>
      </c>
      <c r="AD1644" s="191" t="n"/>
    </row>
    <row r="1645">
      <c r="A1645" s="191" t="inlineStr">
        <is>
          <t>TOR_EXIT</t>
        </is>
      </c>
      <c r="B1645" s="191" t="inlineStr">
        <is>
          <t>5726087a2919</t>
        </is>
      </c>
      <c r="C1645" s="191" t="inlineStr">
        <is>
          <t>Tor Exit Node: 23.184.48.101 | Traffic from this IP may be anonymized/malicious</t>
        </is>
      </c>
      <c r="D1645" s="191" t="n">
        <v>5</v>
      </c>
      <c r="E1645" s="191" t="inlineStr">
        <is>
          <t>MEDIUM</t>
        </is>
      </c>
      <c r="F1645" s="191" t="n">
        <v>2</v>
      </c>
      <c r="G1645" s="191" t="n">
        <v>1</v>
      </c>
      <c r="H1645" s="191" t="inlineStr">
        <is>
          <t>LOW</t>
        </is>
      </c>
      <c r="I1645" s="191" t="n">
        <v>7</v>
      </c>
      <c r="J1645" s="191" t="inlineStr">
        <is>
          <t>NO</t>
        </is>
      </c>
      <c r="K1645" s="192" t="inlineStr">
        <is>
          <t>https://check.torproject.org/</t>
        </is>
      </c>
      <c r="L1645" s="191" t="inlineStr">
        <is>
          <t>2026-02-23 23:48</t>
        </is>
      </c>
      <c r="M1645" s="191" t="inlineStr">
        <is>
          <t>Block or monitor</t>
        </is>
      </c>
      <c r="N1645" s="192" t="inlineStr">
        <is>
          <t>https://check.torproject.org/torbulkexitlist</t>
        </is>
      </c>
      <c r="O1645" s="191" t="inlineStr">
        <is>
          <t>Monitor traffic from Tor exit 23.184.48.101 | Apply policy controls</t>
        </is>
      </c>
      <c r="P1645" s="191" t="inlineStr">
        <is>
          <t>Network perimeter</t>
        </is>
      </c>
      <c r="Q1645" s="191" t="inlineStr">
        <is>
          <t>P4</t>
        </is>
      </c>
      <c r="R1645" s="191" t="inlineStr">
        <is>
          <t>🔍 Investigate and apply appropriate controls</t>
        </is>
      </c>
      <c r="S1645" s="191" t="inlineStr">
        <is>
          <t>Tor exit node - known anonymization service</t>
        </is>
      </c>
      <c r="T1645" s="191" t="n">
        <v>0</v>
      </c>
      <c r="U1645" s="191" t="n">
        <v>0</v>
      </c>
      <c r="V1645" s="191" t="inlineStr">
        <is>
          <t>T1090.003:Multi-hop Proxy</t>
        </is>
      </c>
      <c r="W1645" s="191" t="n">
        <v>1</v>
      </c>
      <c r="X1645" s="191" t="inlineStr">
        <is>
          <t>LOW (40%)</t>
        </is>
      </c>
      <c r="Y1645" s="191" t="inlineStr">
        <is>
          <t>NONE</t>
        </is>
      </c>
      <c r="Z1645" s="191" t="inlineStr">
        <is>
          <t>NONE</t>
        </is>
      </c>
      <c r="AA1645" s="191" t="inlineStr">
        <is>
          <t>NONE</t>
        </is>
      </c>
      <c r="AB1645" s="191" t="inlineStr">
        <is>
          <t>NONE</t>
        </is>
      </c>
      <c r="AC1645" s="191" t="n">
        <v>0</v>
      </c>
      <c r="AD1645" s="191" t="n"/>
    </row>
    <row r="1646">
      <c r="A1646" s="191" t="inlineStr">
        <is>
          <t>TOR_EXIT</t>
        </is>
      </c>
      <c r="B1646" s="191" t="inlineStr">
        <is>
          <t>d7523972f564</t>
        </is>
      </c>
      <c r="C1646" s="191" t="inlineStr">
        <is>
          <t>Tor Exit Node: 185.220.101.172 | Traffic from this IP may be anonymized/malicious</t>
        </is>
      </c>
      <c r="D1646" s="191" t="n">
        <v>5</v>
      </c>
      <c r="E1646" s="191" t="inlineStr">
        <is>
          <t>MEDIUM</t>
        </is>
      </c>
      <c r="F1646" s="191" t="n">
        <v>2</v>
      </c>
      <c r="G1646" s="191" t="n">
        <v>1</v>
      </c>
      <c r="H1646" s="191" t="inlineStr">
        <is>
          <t>LOW</t>
        </is>
      </c>
      <c r="I1646" s="191" t="n">
        <v>7</v>
      </c>
      <c r="J1646" s="191" t="inlineStr">
        <is>
          <t>NO</t>
        </is>
      </c>
      <c r="K1646" s="192" t="inlineStr">
        <is>
          <t>https://check.torproject.org/</t>
        </is>
      </c>
      <c r="L1646" s="191" t="inlineStr">
        <is>
          <t>2026-02-23 23:48</t>
        </is>
      </c>
      <c r="M1646" s="191" t="inlineStr">
        <is>
          <t>Block or monitor</t>
        </is>
      </c>
      <c r="N1646" s="192" t="inlineStr">
        <is>
          <t>https://check.torproject.org/torbulkexitlist</t>
        </is>
      </c>
      <c r="O1646" s="191" t="inlineStr">
        <is>
          <t>Monitor traffic from Tor exit 185.220.101.172 | Apply policy controls</t>
        </is>
      </c>
      <c r="P1646" s="191" t="inlineStr">
        <is>
          <t>Network perimeter</t>
        </is>
      </c>
      <c r="Q1646" s="191" t="inlineStr">
        <is>
          <t>P4</t>
        </is>
      </c>
      <c r="R1646" s="191" t="inlineStr">
        <is>
          <t>🔍 Investigate and apply appropriate controls</t>
        </is>
      </c>
      <c r="S1646" s="191" t="inlineStr">
        <is>
          <t>Tor exit node - known anonymization service</t>
        </is>
      </c>
      <c r="T1646" s="191" t="n">
        <v>0</v>
      </c>
      <c r="U1646" s="191" t="n">
        <v>0</v>
      </c>
      <c r="V1646" s="191" t="inlineStr">
        <is>
          <t>T1090.003:Multi-hop Proxy</t>
        </is>
      </c>
      <c r="W1646" s="191" t="n">
        <v>1</v>
      </c>
      <c r="X1646" s="191" t="inlineStr">
        <is>
          <t>LOW (40%)</t>
        </is>
      </c>
      <c r="Y1646" s="191" t="inlineStr">
        <is>
          <t>NONE</t>
        </is>
      </c>
      <c r="Z1646" s="191" t="inlineStr">
        <is>
          <t>NONE</t>
        </is>
      </c>
      <c r="AA1646" s="191" t="inlineStr">
        <is>
          <t>NONE</t>
        </is>
      </c>
      <c r="AB1646" s="191" t="inlineStr">
        <is>
          <t>NONE</t>
        </is>
      </c>
      <c r="AC1646" s="191" t="n">
        <v>0</v>
      </c>
      <c r="AD1646" s="191" t="n"/>
    </row>
    <row r="1647">
      <c r="A1647" s="191" t="inlineStr">
        <is>
          <t>TOR_EXIT</t>
        </is>
      </c>
      <c r="B1647" s="191" t="inlineStr">
        <is>
          <t>7cf2fad98016</t>
        </is>
      </c>
      <c r="C1647" s="191" t="inlineStr">
        <is>
          <t>Tor Exit Node: 185.220.101.3 | Traffic from this IP may be anonymized/malicious</t>
        </is>
      </c>
      <c r="D1647" s="191" t="n">
        <v>5</v>
      </c>
      <c r="E1647" s="191" t="inlineStr">
        <is>
          <t>MEDIUM</t>
        </is>
      </c>
      <c r="F1647" s="191" t="n">
        <v>2</v>
      </c>
      <c r="G1647" s="191" t="n">
        <v>1</v>
      </c>
      <c r="H1647" s="191" t="inlineStr">
        <is>
          <t>LOW</t>
        </is>
      </c>
      <c r="I1647" s="191" t="n">
        <v>7</v>
      </c>
      <c r="J1647" s="191" t="inlineStr">
        <is>
          <t>NO</t>
        </is>
      </c>
      <c r="K1647" s="192" t="inlineStr">
        <is>
          <t>https://check.torproject.org/</t>
        </is>
      </c>
      <c r="L1647" s="191" t="inlineStr">
        <is>
          <t>2026-02-23 23:48</t>
        </is>
      </c>
      <c r="M1647" s="191" t="inlineStr">
        <is>
          <t>Block or monitor</t>
        </is>
      </c>
      <c r="N1647" s="192" t="inlineStr">
        <is>
          <t>https://check.torproject.org/torbulkexitlist</t>
        </is>
      </c>
      <c r="O1647" s="191" t="inlineStr">
        <is>
          <t>Monitor traffic from Tor exit 185.220.101.3 | Apply policy controls</t>
        </is>
      </c>
      <c r="P1647" s="191" t="inlineStr">
        <is>
          <t>Network perimeter</t>
        </is>
      </c>
      <c r="Q1647" s="191" t="inlineStr">
        <is>
          <t>P4</t>
        </is>
      </c>
      <c r="R1647" s="191" t="inlineStr">
        <is>
          <t>🔍 Investigate and apply appropriate controls</t>
        </is>
      </c>
      <c r="S1647" s="191" t="inlineStr">
        <is>
          <t>Tor exit node - known anonymization service</t>
        </is>
      </c>
      <c r="T1647" s="191" t="n">
        <v>0</v>
      </c>
      <c r="U1647" s="191" t="n">
        <v>0</v>
      </c>
      <c r="V1647" s="191" t="inlineStr">
        <is>
          <t>T1090.003:Multi-hop Proxy</t>
        </is>
      </c>
      <c r="W1647" s="191" t="n">
        <v>1</v>
      </c>
      <c r="X1647" s="191" t="inlineStr">
        <is>
          <t>LOW (40%)</t>
        </is>
      </c>
      <c r="Y1647" s="191" t="inlineStr">
        <is>
          <t>NONE</t>
        </is>
      </c>
      <c r="Z1647" s="191" t="inlineStr">
        <is>
          <t>NONE</t>
        </is>
      </c>
      <c r="AA1647" s="191" t="inlineStr">
        <is>
          <t>NONE</t>
        </is>
      </c>
      <c r="AB1647" s="191" t="inlineStr">
        <is>
          <t>NONE</t>
        </is>
      </c>
      <c r="AC1647" s="191" t="n">
        <v>0</v>
      </c>
      <c r="AD1647" s="191" t="n"/>
    </row>
    <row r="1648">
      <c r="A1648" s="191" t="inlineStr">
        <is>
          <t>TOR_EXIT</t>
        </is>
      </c>
      <c r="B1648" s="191" t="inlineStr">
        <is>
          <t>fda2c2ea1ce8</t>
        </is>
      </c>
      <c r="C1648" s="191" t="inlineStr">
        <is>
          <t>Tor Exit Node: 192.42.116.175 | Traffic from this IP may be anonymized/malicious</t>
        </is>
      </c>
      <c r="D1648" s="191" t="n">
        <v>5</v>
      </c>
      <c r="E1648" s="191" t="inlineStr">
        <is>
          <t>MEDIUM</t>
        </is>
      </c>
      <c r="F1648" s="191" t="n">
        <v>2</v>
      </c>
      <c r="G1648" s="191" t="n">
        <v>1</v>
      </c>
      <c r="H1648" s="191" t="inlineStr">
        <is>
          <t>LOW</t>
        </is>
      </c>
      <c r="I1648" s="191" t="n">
        <v>7</v>
      </c>
      <c r="J1648" s="191" t="inlineStr">
        <is>
          <t>NO</t>
        </is>
      </c>
      <c r="K1648" s="192" t="inlineStr">
        <is>
          <t>https://check.torproject.org/</t>
        </is>
      </c>
      <c r="L1648" s="191" t="inlineStr">
        <is>
          <t>2026-02-23 23:48</t>
        </is>
      </c>
      <c r="M1648" s="191" t="inlineStr">
        <is>
          <t>Block or monitor</t>
        </is>
      </c>
      <c r="N1648" s="192" t="inlineStr">
        <is>
          <t>https://check.torproject.org/torbulkexitlist</t>
        </is>
      </c>
      <c r="O1648" s="191" t="inlineStr">
        <is>
          <t>Monitor traffic from Tor exit 192.42.116.175 | Apply policy controls</t>
        </is>
      </c>
      <c r="P1648" s="191" t="inlineStr">
        <is>
          <t>Network perimeter</t>
        </is>
      </c>
      <c r="Q1648" s="191" t="inlineStr">
        <is>
          <t>P4</t>
        </is>
      </c>
      <c r="R1648" s="191" t="inlineStr">
        <is>
          <t>🔍 Investigate and apply appropriate controls</t>
        </is>
      </c>
      <c r="S1648" s="191" t="inlineStr">
        <is>
          <t>Tor exit node - known anonymization service</t>
        </is>
      </c>
      <c r="T1648" s="191" t="n">
        <v>0</v>
      </c>
      <c r="U1648" s="191" t="n">
        <v>0</v>
      </c>
      <c r="V1648" s="191" t="inlineStr">
        <is>
          <t>T1090.003:Multi-hop Proxy</t>
        </is>
      </c>
      <c r="W1648" s="191" t="n">
        <v>1</v>
      </c>
      <c r="X1648" s="191" t="inlineStr">
        <is>
          <t>LOW (40%)</t>
        </is>
      </c>
      <c r="Y1648" s="191" t="inlineStr">
        <is>
          <t>NONE</t>
        </is>
      </c>
      <c r="Z1648" s="191" t="inlineStr">
        <is>
          <t>NONE</t>
        </is>
      </c>
      <c r="AA1648" s="191" t="inlineStr">
        <is>
          <t>NONE</t>
        </is>
      </c>
      <c r="AB1648" s="191" t="inlineStr">
        <is>
          <t>NONE</t>
        </is>
      </c>
      <c r="AC1648" s="191" t="n">
        <v>0</v>
      </c>
      <c r="AD1648" s="191" t="n"/>
    </row>
    <row r="1649">
      <c r="A1649" s="191" t="inlineStr">
        <is>
          <t>TOR_EXIT</t>
        </is>
      </c>
      <c r="B1649" s="191" t="inlineStr">
        <is>
          <t>ffe20dce4204</t>
        </is>
      </c>
      <c r="C1649" s="191" t="inlineStr">
        <is>
          <t>Tor Exit Node: 146.59.234.220 | Traffic from this IP may be anonymized/malicious</t>
        </is>
      </c>
      <c r="D1649" s="191" t="n">
        <v>5</v>
      </c>
      <c r="E1649" s="191" t="inlineStr">
        <is>
          <t>MEDIUM</t>
        </is>
      </c>
      <c r="F1649" s="191" t="n">
        <v>2</v>
      </c>
      <c r="G1649" s="191" t="n">
        <v>1</v>
      </c>
      <c r="H1649" s="191" t="inlineStr">
        <is>
          <t>LOW</t>
        </is>
      </c>
      <c r="I1649" s="191" t="n">
        <v>7</v>
      </c>
      <c r="J1649" s="191" t="inlineStr">
        <is>
          <t>NO</t>
        </is>
      </c>
      <c r="K1649" s="192" t="inlineStr">
        <is>
          <t>https://check.torproject.org/</t>
        </is>
      </c>
      <c r="L1649" s="191" t="inlineStr">
        <is>
          <t>2026-02-23 23:48</t>
        </is>
      </c>
      <c r="M1649" s="191" t="inlineStr">
        <is>
          <t>Block or monitor</t>
        </is>
      </c>
      <c r="N1649" s="192" t="inlineStr">
        <is>
          <t>https://check.torproject.org/torbulkexitlist</t>
        </is>
      </c>
      <c r="O1649" s="191" t="inlineStr">
        <is>
          <t>Monitor traffic from Tor exit 146.59.234.220 | Apply policy controls</t>
        </is>
      </c>
      <c r="P1649" s="191" t="inlineStr">
        <is>
          <t>Network perimeter</t>
        </is>
      </c>
      <c r="Q1649" s="191" t="inlineStr">
        <is>
          <t>P4</t>
        </is>
      </c>
      <c r="R1649" s="191" t="inlineStr">
        <is>
          <t>🔍 Investigate and apply appropriate controls</t>
        </is>
      </c>
      <c r="S1649" s="191" t="inlineStr">
        <is>
          <t>Tor exit node - known anonymization service</t>
        </is>
      </c>
      <c r="T1649" s="191" t="n">
        <v>0</v>
      </c>
      <c r="U1649" s="191" t="n">
        <v>0</v>
      </c>
      <c r="V1649" s="191" t="inlineStr">
        <is>
          <t>T1090.003:Multi-hop Proxy</t>
        </is>
      </c>
      <c r="W1649" s="191" t="n">
        <v>1</v>
      </c>
      <c r="X1649" s="191" t="inlineStr">
        <is>
          <t>LOW (40%)</t>
        </is>
      </c>
      <c r="Y1649" s="191" t="inlineStr">
        <is>
          <t>NONE</t>
        </is>
      </c>
      <c r="Z1649" s="191" t="inlineStr">
        <is>
          <t>NONE</t>
        </is>
      </c>
      <c r="AA1649" s="191" t="inlineStr">
        <is>
          <t>NONE</t>
        </is>
      </c>
      <c r="AB1649" s="191" t="inlineStr">
        <is>
          <t>NONE</t>
        </is>
      </c>
      <c r="AC1649" s="191" t="n">
        <v>0</v>
      </c>
      <c r="AD1649" s="191" t="n"/>
    </row>
    <row r="1650">
      <c r="A1650" s="191" t="inlineStr">
        <is>
          <t>TOR_EXIT</t>
        </is>
      </c>
      <c r="B1650" s="191" t="inlineStr">
        <is>
          <t>d4f5ca9915d6</t>
        </is>
      </c>
      <c r="C1650" s="191" t="inlineStr">
        <is>
          <t>Tor Exit Node: 185.14.97.37 | Traffic from this IP may be anonymized/malicious</t>
        </is>
      </c>
      <c r="D1650" s="191" t="n">
        <v>5</v>
      </c>
      <c r="E1650" s="191" t="inlineStr">
        <is>
          <t>MEDIUM</t>
        </is>
      </c>
      <c r="F1650" s="191" t="n">
        <v>2</v>
      </c>
      <c r="G1650" s="191" t="n">
        <v>1</v>
      </c>
      <c r="H1650" s="191" t="inlineStr">
        <is>
          <t>LOW</t>
        </is>
      </c>
      <c r="I1650" s="191" t="n">
        <v>7</v>
      </c>
      <c r="J1650" s="191" t="inlineStr">
        <is>
          <t>NO</t>
        </is>
      </c>
      <c r="K1650" s="192" t="inlineStr">
        <is>
          <t>https://check.torproject.org/</t>
        </is>
      </c>
      <c r="L1650" s="191" t="inlineStr">
        <is>
          <t>2026-02-23 23:48</t>
        </is>
      </c>
      <c r="M1650" s="191" t="inlineStr">
        <is>
          <t>Block or monitor</t>
        </is>
      </c>
      <c r="N1650" s="192" t="inlineStr">
        <is>
          <t>https://check.torproject.org/torbulkexitlist</t>
        </is>
      </c>
      <c r="O1650" s="191" t="inlineStr">
        <is>
          <t>Monitor traffic from Tor exit 185.14.97.37 | Apply policy controls</t>
        </is>
      </c>
      <c r="P1650" s="191" t="inlineStr">
        <is>
          <t>Network perimeter</t>
        </is>
      </c>
      <c r="Q1650" s="191" t="inlineStr">
        <is>
          <t>P4</t>
        </is>
      </c>
      <c r="R1650" s="191" t="inlineStr">
        <is>
          <t>🔍 Investigate and apply appropriate controls</t>
        </is>
      </c>
      <c r="S1650" s="191" t="inlineStr">
        <is>
          <t>Tor exit node - known anonymization service</t>
        </is>
      </c>
      <c r="T1650" s="191" t="n">
        <v>0</v>
      </c>
      <c r="U1650" s="191" t="n">
        <v>0</v>
      </c>
      <c r="V1650" s="191" t="inlineStr">
        <is>
          <t>T1090.003:Multi-hop Proxy</t>
        </is>
      </c>
      <c r="W1650" s="191" t="n">
        <v>1</v>
      </c>
      <c r="X1650" s="191" t="inlineStr">
        <is>
          <t>LOW (40%)</t>
        </is>
      </c>
      <c r="Y1650" s="191" t="inlineStr">
        <is>
          <t>NONE</t>
        </is>
      </c>
      <c r="Z1650" s="191" t="inlineStr">
        <is>
          <t>NONE</t>
        </is>
      </c>
      <c r="AA1650" s="191" t="inlineStr">
        <is>
          <t>NONE</t>
        </is>
      </c>
      <c r="AB1650" s="191" t="inlineStr">
        <is>
          <t>NONE</t>
        </is>
      </c>
      <c r="AC1650" s="191" t="n">
        <v>0</v>
      </c>
      <c r="AD1650" s="191" t="n"/>
    </row>
    <row r="1651">
      <c r="A1651" s="191" t="inlineStr">
        <is>
          <t>BLOCKLIST_DE</t>
        </is>
      </c>
      <c r="B1651" s="191" t="inlineStr">
        <is>
          <t>88b39c15dff0</t>
        </is>
      </c>
      <c r="C1651" s="191" t="inlineStr">
        <is>
          <t>Blocklist.de: 1.1.179.83 | Attack activity reported | Sources: BLOCKLIST_DE</t>
        </is>
      </c>
      <c r="D1651" s="191" t="n">
        <v>6</v>
      </c>
      <c r="E1651" s="191" t="inlineStr">
        <is>
          <t>MEDIUM</t>
        </is>
      </c>
      <c r="F1651" s="191" t="n">
        <v>2</v>
      </c>
      <c r="G1651" s="191" t="n">
        <v>2</v>
      </c>
      <c r="H1651" s="191" t="inlineStr">
        <is>
          <t>MEDIUM</t>
        </is>
      </c>
      <c r="I1651" s="191" t="n">
        <v>10</v>
      </c>
      <c r="J1651" s="191" t="inlineStr">
        <is>
          <t>NO</t>
        </is>
      </c>
      <c r="K1651" s="192" t="inlineStr">
        <is>
          <t>https://www.blocklist.de/</t>
        </is>
      </c>
      <c r="L1651" s="191" t="inlineStr">
        <is>
          <t>2026-02-23 23:48</t>
        </is>
      </c>
      <c r="M1651" s="191" t="inlineStr">
        <is>
          <t>Block IP</t>
        </is>
      </c>
      <c r="N1651" s="192" t="inlineStr">
        <is>
          <t>https://www.blocklist.de/</t>
        </is>
      </c>
      <c r="O1651" s="191" t="inlineStr">
        <is>
          <t>Block IP 1.1.179.83 at firewall | Check SIEM for existing connections</t>
        </is>
      </c>
      <c r="P1651" s="191" t="inlineStr">
        <is>
          <t>Firewall/Network</t>
        </is>
      </c>
      <c r="Q1651" s="191" t="inlineStr">
        <is>
          <t>P4</t>
        </is>
      </c>
      <c r="R1651" s="191" t="inlineStr">
        <is>
          <t>🚫 Block IP at firewall immediately | 🔍 Check logs for existing connections | 🛡️ Add to threat intelligence blocklist</t>
        </is>
      </c>
      <c r="S1651" s="191" t="inlineStr">
        <is>
          <t>Blocklist IP — ip-api.com context available</t>
        </is>
      </c>
      <c r="T1651" s="191" t="n">
        <v>0</v>
      </c>
      <c r="U1651" s="191" t="n">
        <v>0</v>
      </c>
      <c r="V1651" s="191" t="inlineStr">
        <is>
          <t>T1110:Brute Force | T1190:Exploit Public-Facing Application</t>
        </is>
      </c>
      <c r="W1651" s="191" t="n">
        <v>1</v>
      </c>
      <c r="X1651" s="191" t="inlineStr">
        <is>
          <t>LOW (40%)</t>
        </is>
      </c>
      <c r="Y1651" s="191" t="inlineStr">
        <is>
          <t>NONE</t>
        </is>
      </c>
      <c r="Z1651" s="191" t="inlineStr">
        <is>
          <t>NONE</t>
        </is>
      </c>
      <c r="AA1651" s="191" t="inlineStr">
        <is>
          <t>NONE</t>
        </is>
      </c>
      <c r="AB1651" s="191" t="inlineStr">
        <is>
          <t>NONE</t>
        </is>
      </c>
      <c r="AC1651" s="191" t="n">
        <v>0</v>
      </c>
      <c r="AD1651" s="191" t="n"/>
    </row>
    <row r="1652">
      <c r="A1652" s="191" t="inlineStr">
        <is>
          <t>BLOCKLIST_DE</t>
        </is>
      </c>
      <c r="B1652" s="191" t="inlineStr">
        <is>
          <t>4eefa27549e0</t>
        </is>
      </c>
      <c r="C1652" s="191" t="inlineStr">
        <is>
          <t>Blocklist.de: 1.12.55.42 | Attack activity reported | Sources: BLOCKLIST_DE</t>
        </is>
      </c>
      <c r="D1652" s="191" t="n">
        <v>6</v>
      </c>
      <c r="E1652" s="191" t="inlineStr">
        <is>
          <t>MEDIUM</t>
        </is>
      </c>
      <c r="F1652" s="191" t="n">
        <v>2</v>
      </c>
      <c r="G1652" s="191" t="n">
        <v>2</v>
      </c>
      <c r="H1652" s="191" t="inlineStr">
        <is>
          <t>MEDIUM</t>
        </is>
      </c>
      <c r="I1652" s="191" t="n">
        <v>10</v>
      </c>
      <c r="J1652" s="191" t="inlineStr">
        <is>
          <t>NO</t>
        </is>
      </c>
      <c r="K1652" s="192" t="inlineStr">
        <is>
          <t>https://www.blocklist.de/</t>
        </is>
      </c>
      <c r="L1652" s="191" t="inlineStr">
        <is>
          <t>2026-02-23 23:48</t>
        </is>
      </c>
      <c r="M1652" s="191" t="inlineStr">
        <is>
          <t>Block IP</t>
        </is>
      </c>
      <c r="N1652" s="192" t="inlineStr">
        <is>
          <t>https://www.blocklist.de/</t>
        </is>
      </c>
      <c r="O1652" s="191" t="inlineStr">
        <is>
          <t>Block IP 1.12.55.42 at firewall | Check SIEM for existing connections</t>
        </is>
      </c>
      <c r="P1652" s="191" t="inlineStr">
        <is>
          <t>Firewall/Network</t>
        </is>
      </c>
      <c r="Q1652" s="191" t="inlineStr">
        <is>
          <t>P4</t>
        </is>
      </c>
      <c r="R1652" s="191" t="inlineStr">
        <is>
          <t>🚫 Block IP at firewall immediately | 🔍 Check logs for existing connections | 🛡️ Add to threat intelligence blocklist</t>
        </is>
      </c>
      <c r="S1652" s="191" t="inlineStr">
        <is>
          <t>Blocklist IP — ip-api.com context available</t>
        </is>
      </c>
      <c r="T1652" s="191" t="n">
        <v>0</v>
      </c>
      <c r="U1652" s="191" t="n">
        <v>0</v>
      </c>
      <c r="V1652" s="191" t="inlineStr">
        <is>
          <t>T1110:Brute Force | T1190:Exploit Public-Facing Application</t>
        </is>
      </c>
      <c r="W1652" s="191" t="n">
        <v>1</v>
      </c>
      <c r="X1652" s="191" t="inlineStr">
        <is>
          <t>LOW (40%)</t>
        </is>
      </c>
      <c r="Y1652" s="191" t="inlineStr">
        <is>
          <t>NONE</t>
        </is>
      </c>
      <c r="Z1652" s="191" t="inlineStr">
        <is>
          <t>NONE</t>
        </is>
      </c>
      <c r="AA1652" s="191" t="inlineStr">
        <is>
          <t>NONE</t>
        </is>
      </c>
      <c r="AB1652" s="191" t="inlineStr">
        <is>
          <t>NONE</t>
        </is>
      </c>
      <c r="AC1652" s="191" t="n">
        <v>0</v>
      </c>
      <c r="AD1652" s="191" t="n"/>
    </row>
    <row r="1653">
      <c r="A1653" s="191" t="inlineStr">
        <is>
          <t>BLOCKLIST_DE</t>
        </is>
      </c>
      <c r="B1653" s="191" t="inlineStr">
        <is>
          <t>b2c07aa1d291</t>
        </is>
      </c>
      <c r="C1653" s="191" t="inlineStr">
        <is>
          <t>Blocklist.de: 1.15.136.28 | Attack activity reported | Sources: BLOCKLIST_DE</t>
        </is>
      </c>
      <c r="D1653" s="191" t="n">
        <v>6</v>
      </c>
      <c r="E1653" s="191" t="inlineStr">
        <is>
          <t>MEDIUM</t>
        </is>
      </c>
      <c r="F1653" s="191" t="n">
        <v>2</v>
      </c>
      <c r="G1653" s="191" t="n">
        <v>2</v>
      </c>
      <c r="H1653" s="191" t="inlineStr">
        <is>
          <t>MEDIUM</t>
        </is>
      </c>
      <c r="I1653" s="191" t="n">
        <v>10</v>
      </c>
      <c r="J1653" s="191" t="inlineStr">
        <is>
          <t>NO</t>
        </is>
      </c>
      <c r="K1653" s="192" t="inlineStr">
        <is>
          <t>https://www.blocklist.de/</t>
        </is>
      </c>
      <c r="L1653" s="191" t="inlineStr">
        <is>
          <t>2026-02-23 23:48</t>
        </is>
      </c>
      <c r="M1653" s="191" t="inlineStr">
        <is>
          <t>Block IP</t>
        </is>
      </c>
      <c r="N1653" s="192" t="inlineStr">
        <is>
          <t>https://www.blocklist.de/</t>
        </is>
      </c>
      <c r="O1653" s="191" t="inlineStr">
        <is>
          <t>Block IP 1.15.136.28 at firewall | Check SIEM for existing connections</t>
        </is>
      </c>
      <c r="P1653" s="191" t="inlineStr">
        <is>
          <t>Firewall/Network</t>
        </is>
      </c>
      <c r="Q1653" s="191" t="inlineStr">
        <is>
          <t>P4</t>
        </is>
      </c>
      <c r="R1653" s="191" t="inlineStr">
        <is>
          <t>🚫 Block IP at firewall immediately | 🔍 Check logs for existing connections | 🛡️ Add to threat intelligence blocklist</t>
        </is>
      </c>
      <c r="S1653" s="191" t="inlineStr">
        <is>
          <t>Blocklist IP — ip-api.com context available</t>
        </is>
      </c>
      <c r="T1653" s="191" t="n">
        <v>0</v>
      </c>
      <c r="U1653" s="191" t="n">
        <v>0</v>
      </c>
      <c r="V1653" s="191" t="inlineStr">
        <is>
          <t>T1110:Brute Force | T1190:Exploit Public-Facing Application</t>
        </is>
      </c>
      <c r="W1653" s="191" t="n">
        <v>1</v>
      </c>
      <c r="X1653" s="191" t="inlineStr">
        <is>
          <t>LOW (40%)</t>
        </is>
      </c>
      <c r="Y1653" s="191" t="inlineStr">
        <is>
          <t>NONE</t>
        </is>
      </c>
      <c r="Z1653" s="191" t="inlineStr">
        <is>
          <t>NONE</t>
        </is>
      </c>
      <c r="AA1653" s="191" t="inlineStr">
        <is>
          <t>NONE</t>
        </is>
      </c>
      <c r="AB1653" s="191" t="inlineStr">
        <is>
          <t>NONE</t>
        </is>
      </c>
      <c r="AC1653" s="191" t="n">
        <v>0</v>
      </c>
      <c r="AD1653" s="191" t="n"/>
    </row>
    <row r="1654">
      <c r="A1654" s="191" t="inlineStr">
        <is>
          <t>BLOCKLIST_DE</t>
        </is>
      </c>
      <c r="B1654" s="191" t="inlineStr">
        <is>
          <t>2f0cae4d1445</t>
        </is>
      </c>
      <c r="C1654" s="191" t="inlineStr">
        <is>
          <t>Blocklist.de: 1.165.130.253 | Attack activity reported | Sources: BLOCKLIST_DE</t>
        </is>
      </c>
      <c r="D1654" s="191" t="n">
        <v>6</v>
      </c>
      <c r="E1654" s="191" t="inlineStr">
        <is>
          <t>MEDIUM</t>
        </is>
      </c>
      <c r="F1654" s="191" t="n">
        <v>2</v>
      </c>
      <c r="G1654" s="191" t="n">
        <v>2</v>
      </c>
      <c r="H1654" s="191" t="inlineStr">
        <is>
          <t>MEDIUM</t>
        </is>
      </c>
      <c r="I1654" s="191" t="n">
        <v>10</v>
      </c>
      <c r="J1654" s="191" t="inlineStr">
        <is>
          <t>NO</t>
        </is>
      </c>
      <c r="K1654" s="192" t="inlineStr">
        <is>
          <t>https://www.blocklist.de/</t>
        </is>
      </c>
      <c r="L1654" s="191" t="inlineStr">
        <is>
          <t>2026-02-23 23:48</t>
        </is>
      </c>
      <c r="M1654" s="191" t="inlineStr">
        <is>
          <t>Block IP</t>
        </is>
      </c>
      <c r="N1654" s="192" t="inlineStr">
        <is>
          <t>https://www.blocklist.de/</t>
        </is>
      </c>
      <c r="O1654" s="191" t="inlineStr">
        <is>
          <t>Block IP 1.165.130.253 at firewall | Check SIEM for existing connections</t>
        </is>
      </c>
      <c r="P1654" s="191" t="inlineStr">
        <is>
          <t>Firewall/Network</t>
        </is>
      </c>
      <c r="Q1654" s="191" t="inlineStr">
        <is>
          <t>P4</t>
        </is>
      </c>
      <c r="R1654" s="191" t="inlineStr">
        <is>
          <t>🚫 Block IP at firewall immediately | 🔍 Check logs for existing connections | 🛡️ Add to threat intelligence blocklist</t>
        </is>
      </c>
      <c r="S1654" s="191" t="inlineStr">
        <is>
          <t>Blocklist IP — ip-api.com context available</t>
        </is>
      </c>
      <c r="T1654" s="191" t="n">
        <v>0</v>
      </c>
      <c r="U1654" s="191" t="n">
        <v>0</v>
      </c>
      <c r="V1654" s="191" t="inlineStr">
        <is>
          <t>T1110:Brute Force | T1190:Exploit Public-Facing Application</t>
        </is>
      </c>
      <c r="W1654" s="191" t="n">
        <v>1</v>
      </c>
      <c r="X1654" s="191" t="inlineStr">
        <is>
          <t>LOW (40%)</t>
        </is>
      </c>
      <c r="Y1654" s="191" t="inlineStr">
        <is>
          <t>NONE</t>
        </is>
      </c>
      <c r="Z1654" s="191" t="inlineStr">
        <is>
          <t>NONE</t>
        </is>
      </c>
      <c r="AA1654" s="191" t="inlineStr">
        <is>
          <t>NONE</t>
        </is>
      </c>
      <c r="AB1654" s="191" t="inlineStr">
        <is>
          <t>NONE</t>
        </is>
      </c>
      <c r="AC1654" s="191" t="n">
        <v>0</v>
      </c>
      <c r="AD1654" s="191" t="n"/>
    </row>
    <row r="1655">
      <c r="A1655" s="191" t="inlineStr">
        <is>
          <t>BLOCKLIST_DE</t>
        </is>
      </c>
      <c r="B1655" s="191" t="inlineStr">
        <is>
          <t>d048495079e9</t>
        </is>
      </c>
      <c r="C1655" s="191" t="inlineStr">
        <is>
          <t>Blocklist.de: 1.165.130.37 | Attack activity reported | Sources: BLOCKLIST_DE</t>
        </is>
      </c>
      <c r="D1655" s="191" t="n">
        <v>6</v>
      </c>
      <c r="E1655" s="191" t="inlineStr">
        <is>
          <t>MEDIUM</t>
        </is>
      </c>
      <c r="F1655" s="191" t="n">
        <v>2</v>
      </c>
      <c r="G1655" s="191" t="n">
        <v>2</v>
      </c>
      <c r="H1655" s="191" t="inlineStr">
        <is>
          <t>MEDIUM</t>
        </is>
      </c>
      <c r="I1655" s="191" t="n">
        <v>10</v>
      </c>
      <c r="J1655" s="191" t="inlineStr">
        <is>
          <t>NO</t>
        </is>
      </c>
      <c r="K1655" s="192" t="inlineStr">
        <is>
          <t>https://www.blocklist.de/</t>
        </is>
      </c>
      <c r="L1655" s="191" t="inlineStr">
        <is>
          <t>2026-02-23 23:48</t>
        </is>
      </c>
      <c r="M1655" s="191" t="inlineStr">
        <is>
          <t>Block IP</t>
        </is>
      </c>
      <c r="N1655" s="192" t="inlineStr">
        <is>
          <t>https://www.blocklist.de/</t>
        </is>
      </c>
      <c r="O1655" s="191" t="inlineStr">
        <is>
          <t>Block IP 1.165.130.37 at firewall | Check SIEM for existing connections</t>
        </is>
      </c>
      <c r="P1655" s="191" t="inlineStr">
        <is>
          <t>Firewall/Network</t>
        </is>
      </c>
      <c r="Q1655" s="191" t="inlineStr">
        <is>
          <t>P4</t>
        </is>
      </c>
      <c r="R1655" s="191" t="inlineStr">
        <is>
          <t>🚫 Block IP at firewall immediately | 🔍 Check logs for existing connections | 🛡️ Add to threat intelligence blocklist</t>
        </is>
      </c>
      <c r="S1655" s="191" t="inlineStr">
        <is>
          <t>Blocklist IP — ip-api.com context available</t>
        </is>
      </c>
      <c r="T1655" s="191" t="n">
        <v>0</v>
      </c>
      <c r="U1655" s="191" t="n">
        <v>0</v>
      </c>
      <c r="V1655" s="191" t="inlineStr">
        <is>
          <t>T1110:Brute Force | T1190:Exploit Public-Facing Application</t>
        </is>
      </c>
      <c r="W1655" s="191" t="n">
        <v>1</v>
      </c>
      <c r="X1655" s="191" t="inlineStr">
        <is>
          <t>LOW (40%)</t>
        </is>
      </c>
      <c r="Y1655" s="191" t="inlineStr">
        <is>
          <t>NONE</t>
        </is>
      </c>
      <c r="Z1655" s="191" t="inlineStr">
        <is>
          <t>NONE</t>
        </is>
      </c>
      <c r="AA1655" s="191" t="inlineStr">
        <is>
          <t>NONE</t>
        </is>
      </c>
      <c r="AB1655" s="191" t="inlineStr">
        <is>
          <t>NONE</t>
        </is>
      </c>
      <c r="AC1655" s="191" t="n">
        <v>0</v>
      </c>
      <c r="AD1655" s="191" t="n"/>
    </row>
    <row r="1656">
      <c r="A1656" s="191" t="inlineStr">
        <is>
          <t>BLOCKLIST_DE</t>
        </is>
      </c>
      <c r="B1656" s="191" t="inlineStr">
        <is>
          <t>e0d3994d4cc5</t>
        </is>
      </c>
      <c r="C1656" s="191" t="inlineStr">
        <is>
          <t>Blocklist.de: 1.180.62.41 | Attack activity reported | Sources: BLOCKLIST_DE</t>
        </is>
      </c>
      <c r="D1656" s="191" t="n">
        <v>6</v>
      </c>
      <c r="E1656" s="191" t="inlineStr">
        <is>
          <t>MEDIUM</t>
        </is>
      </c>
      <c r="F1656" s="191" t="n">
        <v>2</v>
      </c>
      <c r="G1656" s="191" t="n">
        <v>2</v>
      </c>
      <c r="H1656" s="191" t="inlineStr">
        <is>
          <t>MEDIUM</t>
        </is>
      </c>
      <c r="I1656" s="191" t="n">
        <v>10</v>
      </c>
      <c r="J1656" s="191" t="inlineStr">
        <is>
          <t>NO</t>
        </is>
      </c>
      <c r="K1656" s="192" t="inlineStr">
        <is>
          <t>https://www.blocklist.de/</t>
        </is>
      </c>
      <c r="L1656" s="191" t="inlineStr">
        <is>
          <t>2026-02-23 23:48</t>
        </is>
      </c>
      <c r="M1656" s="191" t="inlineStr">
        <is>
          <t>Block IP</t>
        </is>
      </c>
      <c r="N1656" s="192" t="inlineStr">
        <is>
          <t>https://www.blocklist.de/</t>
        </is>
      </c>
      <c r="O1656" s="191" t="inlineStr">
        <is>
          <t>Block IP 1.180.62.41 at firewall | Check SIEM for existing connections</t>
        </is>
      </c>
      <c r="P1656" s="191" t="inlineStr">
        <is>
          <t>Firewall/Network</t>
        </is>
      </c>
      <c r="Q1656" s="191" t="inlineStr">
        <is>
          <t>P4</t>
        </is>
      </c>
      <c r="R1656" s="191" t="inlineStr">
        <is>
          <t>🚫 Block IP at firewall immediately | 🔍 Check logs for existing connections | 🛡️ Add to threat intelligence blocklist</t>
        </is>
      </c>
      <c r="S1656" s="191" t="inlineStr">
        <is>
          <t>Blocklist IP — ip-api.com context available</t>
        </is>
      </c>
      <c r="T1656" s="191" t="n">
        <v>0</v>
      </c>
      <c r="U1656" s="191" t="n">
        <v>0</v>
      </c>
      <c r="V1656" s="191" t="inlineStr">
        <is>
          <t>T1110:Brute Force | T1190:Exploit Public-Facing Application</t>
        </is>
      </c>
      <c r="W1656" s="191" t="n">
        <v>1</v>
      </c>
      <c r="X1656" s="191" t="inlineStr">
        <is>
          <t>LOW (40%)</t>
        </is>
      </c>
      <c r="Y1656" s="191" t="inlineStr">
        <is>
          <t>NONE</t>
        </is>
      </c>
      <c r="Z1656" s="191" t="inlineStr">
        <is>
          <t>NONE</t>
        </is>
      </c>
      <c r="AA1656" s="191" t="inlineStr">
        <is>
          <t>NONE</t>
        </is>
      </c>
      <c r="AB1656" s="191" t="inlineStr">
        <is>
          <t>NONE</t>
        </is>
      </c>
      <c r="AC1656" s="191" t="n">
        <v>0</v>
      </c>
      <c r="AD1656" s="191" t="n"/>
    </row>
    <row r="1657">
      <c r="A1657" s="191" t="inlineStr">
        <is>
          <t>BLOCKLIST_DE</t>
        </is>
      </c>
      <c r="B1657" s="191" t="inlineStr">
        <is>
          <t>2fbdd1028b90</t>
        </is>
      </c>
      <c r="C1657" s="191" t="inlineStr">
        <is>
          <t>Blocklist.de: 1.183.3.58 | Attack activity reported | Sources: BLOCKLIST_DE</t>
        </is>
      </c>
      <c r="D1657" s="191" t="n">
        <v>6</v>
      </c>
      <c r="E1657" s="191" t="inlineStr">
        <is>
          <t>MEDIUM</t>
        </is>
      </c>
      <c r="F1657" s="191" t="n">
        <v>2</v>
      </c>
      <c r="G1657" s="191" t="n">
        <v>2</v>
      </c>
      <c r="H1657" s="191" t="inlineStr">
        <is>
          <t>MEDIUM</t>
        </is>
      </c>
      <c r="I1657" s="191" t="n">
        <v>10</v>
      </c>
      <c r="J1657" s="191" t="inlineStr">
        <is>
          <t>NO</t>
        </is>
      </c>
      <c r="K1657" s="192" t="inlineStr">
        <is>
          <t>https://www.blocklist.de/</t>
        </is>
      </c>
      <c r="L1657" s="191" t="inlineStr">
        <is>
          <t>2026-02-23 23:48</t>
        </is>
      </c>
      <c r="M1657" s="191" t="inlineStr">
        <is>
          <t>Block IP</t>
        </is>
      </c>
      <c r="N1657" s="192" t="inlineStr">
        <is>
          <t>https://www.blocklist.de/</t>
        </is>
      </c>
      <c r="O1657" s="191" t="inlineStr">
        <is>
          <t>Block IP 1.183.3.58 at firewall | Check SIEM for existing connections</t>
        </is>
      </c>
      <c r="P1657" s="191" t="inlineStr">
        <is>
          <t>Firewall/Network</t>
        </is>
      </c>
      <c r="Q1657" s="191" t="inlineStr">
        <is>
          <t>P4</t>
        </is>
      </c>
      <c r="R1657" s="191" t="inlineStr">
        <is>
          <t>🚫 Block IP at firewall immediately | 🔍 Check logs for existing connections | 🛡️ Add to threat intelligence blocklist</t>
        </is>
      </c>
      <c r="S1657" s="191" t="inlineStr">
        <is>
          <t>Blocklist IP — ip-api.com context available</t>
        </is>
      </c>
      <c r="T1657" s="191" t="n">
        <v>0</v>
      </c>
      <c r="U1657" s="191" t="n">
        <v>0</v>
      </c>
      <c r="V1657" s="191" t="inlineStr">
        <is>
          <t>T1110:Brute Force | T1190:Exploit Public-Facing Application</t>
        </is>
      </c>
      <c r="W1657" s="191" t="n">
        <v>1</v>
      </c>
      <c r="X1657" s="191" t="inlineStr">
        <is>
          <t>LOW (40%)</t>
        </is>
      </c>
      <c r="Y1657" s="191" t="inlineStr">
        <is>
          <t>NONE</t>
        </is>
      </c>
      <c r="Z1657" s="191" t="inlineStr">
        <is>
          <t>NONE</t>
        </is>
      </c>
      <c r="AA1657" s="191" t="inlineStr">
        <is>
          <t>NONE</t>
        </is>
      </c>
      <c r="AB1657" s="191" t="inlineStr">
        <is>
          <t>NONE</t>
        </is>
      </c>
      <c r="AC1657" s="191" t="n">
        <v>0</v>
      </c>
      <c r="AD1657" s="191" t="n"/>
    </row>
    <row r="1658">
      <c r="A1658" s="191" t="inlineStr">
        <is>
          <t>BLOCKLIST_DE</t>
        </is>
      </c>
      <c r="B1658" s="191" t="inlineStr">
        <is>
          <t>9fdfa884d26a</t>
        </is>
      </c>
      <c r="C1658" s="191" t="inlineStr">
        <is>
          <t>Blocklist.de: 1.193.163.2 | Attack activity reported | Sources: BLOCKLIST_DE</t>
        </is>
      </c>
      <c r="D1658" s="191" t="n">
        <v>6</v>
      </c>
      <c r="E1658" s="191" t="inlineStr">
        <is>
          <t>MEDIUM</t>
        </is>
      </c>
      <c r="F1658" s="191" t="n">
        <v>2</v>
      </c>
      <c r="G1658" s="191" t="n">
        <v>2</v>
      </c>
      <c r="H1658" s="191" t="inlineStr">
        <is>
          <t>MEDIUM</t>
        </is>
      </c>
      <c r="I1658" s="191" t="n">
        <v>10</v>
      </c>
      <c r="J1658" s="191" t="inlineStr">
        <is>
          <t>NO</t>
        </is>
      </c>
      <c r="K1658" s="192" t="inlineStr">
        <is>
          <t>https://www.blocklist.de/</t>
        </is>
      </c>
      <c r="L1658" s="191" t="inlineStr">
        <is>
          <t>2026-02-23 23:48</t>
        </is>
      </c>
      <c r="M1658" s="191" t="inlineStr">
        <is>
          <t>Block IP</t>
        </is>
      </c>
      <c r="N1658" s="192" t="inlineStr">
        <is>
          <t>https://www.blocklist.de/</t>
        </is>
      </c>
      <c r="O1658" s="191" t="inlineStr">
        <is>
          <t>Block IP 1.193.163.2 at firewall | Check SIEM for existing connections</t>
        </is>
      </c>
      <c r="P1658" s="191" t="inlineStr">
        <is>
          <t>Firewall/Network</t>
        </is>
      </c>
      <c r="Q1658" s="191" t="inlineStr">
        <is>
          <t>P4</t>
        </is>
      </c>
      <c r="R1658" s="191" t="inlineStr">
        <is>
          <t>🚫 Block IP at firewall immediately | 🔍 Check logs for existing connections | 🛡️ Add to threat intelligence blocklist</t>
        </is>
      </c>
      <c r="S1658" s="191" t="inlineStr">
        <is>
          <t>Blocklist IP — ip-api.com context available</t>
        </is>
      </c>
      <c r="T1658" s="191" t="n">
        <v>0</v>
      </c>
      <c r="U1658" s="191" t="n">
        <v>0</v>
      </c>
      <c r="V1658" s="191" t="inlineStr">
        <is>
          <t>T1110:Brute Force | T1190:Exploit Public-Facing Application</t>
        </is>
      </c>
      <c r="W1658" s="191" t="n">
        <v>1</v>
      </c>
      <c r="X1658" s="191" t="inlineStr">
        <is>
          <t>LOW (40%)</t>
        </is>
      </c>
      <c r="Y1658" s="191" t="inlineStr">
        <is>
          <t>NONE</t>
        </is>
      </c>
      <c r="Z1658" s="191" t="inlineStr">
        <is>
          <t>NONE</t>
        </is>
      </c>
      <c r="AA1658" s="191" t="inlineStr">
        <is>
          <t>NONE</t>
        </is>
      </c>
      <c r="AB1658" s="191" t="inlineStr">
        <is>
          <t>NONE</t>
        </is>
      </c>
      <c r="AC1658" s="191" t="n">
        <v>0</v>
      </c>
      <c r="AD1658" s="191" t="n"/>
    </row>
    <row r="1659">
      <c r="A1659" s="191" t="inlineStr">
        <is>
          <t>BLOCKLIST_DE</t>
        </is>
      </c>
      <c r="B1659" s="191" t="inlineStr">
        <is>
          <t>13ca9928126d</t>
        </is>
      </c>
      <c r="C1659" s="191" t="inlineStr">
        <is>
          <t>Blocklist.de: 1.194.219.159 | Attack activity reported | Sources: BLOCKLIST_DE</t>
        </is>
      </c>
      <c r="D1659" s="191" t="n">
        <v>6</v>
      </c>
      <c r="E1659" s="191" t="inlineStr">
        <is>
          <t>MEDIUM</t>
        </is>
      </c>
      <c r="F1659" s="191" t="n">
        <v>2</v>
      </c>
      <c r="G1659" s="191" t="n">
        <v>2</v>
      </c>
      <c r="H1659" s="191" t="inlineStr">
        <is>
          <t>MEDIUM</t>
        </is>
      </c>
      <c r="I1659" s="191" t="n">
        <v>10</v>
      </c>
      <c r="J1659" s="191" t="inlineStr">
        <is>
          <t>NO</t>
        </is>
      </c>
      <c r="K1659" s="192" t="inlineStr">
        <is>
          <t>https://www.blocklist.de/</t>
        </is>
      </c>
      <c r="L1659" s="191" t="inlineStr">
        <is>
          <t>2026-02-23 23:48</t>
        </is>
      </c>
      <c r="M1659" s="191" t="inlineStr">
        <is>
          <t>Block IP</t>
        </is>
      </c>
      <c r="N1659" s="192" t="inlineStr">
        <is>
          <t>https://www.blocklist.de/</t>
        </is>
      </c>
      <c r="O1659" s="191" t="inlineStr">
        <is>
          <t>Block IP 1.194.219.159 at firewall | Check SIEM for existing connections</t>
        </is>
      </c>
      <c r="P1659" s="191" t="inlineStr">
        <is>
          <t>Firewall/Network</t>
        </is>
      </c>
      <c r="Q1659" s="191" t="inlineStr">
        <is>
          <t>P4</t>
        </is>
      </c>
      <c r="R1659" s="191" t="inlineStr">
        <is>
          <t>🚫 Block IP at firewall immediately | 🔍 Check logs for existing connections | 🛡️ Add to threat intelligence blocklist</t>
        </is>
      </c>
      <c r="S1659" s="191" t="inlineStr">
        <is>
          <t>Blocklist IP — ip-api.com context available</t>
        </is>
      </c>
      <c r="T1659" s="191" t="n">
        <v>0</v>
      </c>
      <c r="U1659" s="191" t="n">
        <v>0</v>
      </c>
      <c r="V1659" s="191" t="inlineStr">
        <is>
          <t>T1110:Brute Force | T1190:Exploit Public-Facing Application</t>
        </is>
      </c>
      <c r="W1659" s="191" t="n">
        <v>1</v>
      </c>
      <c r="X1659" s="191" t="inlineStr">
        <is>
          <t>LOW (40%)</t>
        </is>
      </c>
      <c r="Y1659" s="191" t="inlineStr">
        <is>
          <t>NONE</t>
        </is>
      </c>
      <c r="Z1659" s="191" t="inlineStr">
        <is>
          <t>NONE</t>
        </is>
      </c>
      <c r="AA1659" s="191" t="inlineStr">
        <is>
          <t>NONE</t>
        </is>
      </c>
      <c r="AB1659" s="191" t="inlineStr">
        <is>
          <t>NONE</t>
        </is>
      </c>
      <c r="AC1659" s="191" t="n">
        <v>0</v>
      </c>
      <c r="AD1659" s="191" t="n"/>
    </row>
    <row r="1660">
      <c r="A1660" s="191" t="inlineStr">
        <is>
          <t>BLOCKLIST_DE</t>
        </is>
      </c>
      <c r="B1660" s="191" t="inlineStr">
        <is>
          <t>a31db7927013</t>
        </is>
      </c>
      <c r="C1660" s="191" t="inlineStr">
        <is>
          <t>Blocklist.de: 1.201.176.240 | Attack activity reported | Sources: BLOCKLIST_DE</t>
        </is>
      </c>
      <c r="D1660" s="191" t="n">
        <v>6</v>
      </c>
      <c r="E1660" s="191" t="inlineStr">
        <is>
          <t>MEDIUM</t>
        </is>
      </c>
      <c r="F1660" s="191" t="n">
        <v>2</v>
      </c>
      <c r="G1660" s="191" t="n">
        <v>2</v>
      </c>
      <c r="H1660" s="191" t="inlineStr">
        <is>
          <t>MEDIUM</t>
        </is>
      </c>
      <c r="I1660" s="191" t="n">
        <v>10</v>
      </c>
      <c r="J1660" s="191" t="inlineStr">
        <is>
          <t>NO</t>
        </is>
      </c>
      <c r="K1660" s="192" t="inlineStr">
        <is>
          <t>https://www.blocklist.de/</t>
        </is>
      </c>
      <c r="L1660" s="191" t="inlineStr">
        <is>
          <t>2026-02-23 23:48</t>
        </is>
      </c>
      <c r="M1660" s="191" t="inlineStr">
        <is>
          <t>Block IP</t>
        </is>
      </c>
      <c r="N1660" s="192" t="inlineStr">
        <is>
          <t>https://www.blocklist.de/</t>
        </is>
      </c>
      <c r="O1660" s="191" t="inlineStr">
        <is>
          <t>Block IP 1.201.176.240 at firewall | Check SIEM for existing connections</t>
        </is>
      </c>
      <c r="P1660" s="191" t="inlineStr">
        <is>
          <t>Firewall/Network</t>
        </is>
      </c>
      <c r="Q1660" s="191" t="inlineStr">
        <is>
          <t>P4</t>
        </is>
      </c>
      <c r="R1660" s="191" t="inlineStr">
        <is>
          <t>🚫 Block IP at firewall immediately | 🔍 Check logs for existing connections | 🛡️ Add to threat intelligence blocklist</t>
        </is>
      </c>
      <c r="S1660" s="191" t="inlineStr">
        <is>
          <t>Blocklist IP — ip-api.com context available</t>
        </is>
      </c>
      <c r="T1660" s="191" t="n">
        <v>0</v>
      </c>
      <c r="U1660" s="191" t="n">
        <v>0</v>
      </c>
      <c r="V1660" s="191" t="inlineStr">
        <is>
          <t>T1110:Brute Force | T1190:Exploit Public-Facing Application</t>
        </is>
      </c>
      <c r="W1660" s="191" t="n">
        <v>1</v>
      </c>
      <c r="X1660" s="191" t="inlineStr">
        <is>
          <t>LOW (40%)</t>
        </is>
      </c>
      <c r="Y1660" s="191" t="inlineStr">
        <is>
          <t>NONE</t>
        </is>
      </c>
      <c r="Z1660" s="191" t="inlineStr">
        <is>
          <t>NONE</t>
        </is>
      </c>
      <c r="AA1660" s="191" t="inlineStr">
        <is>
          <t>NONE</t>
        </is>
      </c>
      <c r="AB1660" s="191" t="inlineStr">
        <is>
          <t>NONE</t>
        </is>
      </c>
      <c r="AC1660" s="191" t="n">
        <v>0</v>
      </c>
      <c r="AD1660" s="191" t="n"/>
    </row>
    <row r="1661">
      <c r="A1661" s="191" t="inlineStr">
        <is>
          <t>BLOCKLIST_DE</t>
        </is>
      </c>
      <c r="B1661" s="191" t="inlineStr">
        <is>
          <t>a166dd92f267</t>
        </is>
      </c>
      <c r="C1661" s="191" t="inlineStr">
        <is>
          <t>Blocklist.de: 1.204.58.120 | Attack activity reported | Sources: BLOCKLIST_DE</t>
        </is>
      </c>
      <c r="D1661" s="191" t="n">
        <v>6</v>
      </c>
      <c r="E1661" s="191" t="inlineStr">
        <is>
          <t>MEDIUM</t>
        </is>
      </c>
      <c r="F1661" s="191" t="n">
        <v>2</v>
      </c>
      <c r="G1661" s="191" t="n">
        <v>2</v>
      </c>
      <c r="H1661" s="191" t="inlineStr">
        <is>
          <t>MEDIUM</t>
        </is>
      </c>
      <c r="I1661" s="191" t="n">
        <v>10</v>
      </c>
      <c r="J1661" s="191" t="inlineStr">
        <is>
          <t>NO</t>
        </is>
      </c>
      <c r="K1661" s="192" t="inlineStr">
        <is>
          <t>https://www.blocklist.de/</t>
        </is>
      </c>
      <c r="L1661" s="191" t="inlineStr">
        <is>
          <t>2026-02-23 23:48</t>
        </is>
      </c>
      <c r="M1661" s="191" t="inlineStr">
        <is>
          <t>Block IP</t>
        </is>
      </c>
      <c r="N1661" s="192" t="inlineStr">
        <is>
          <t>https://www.blocklist.de/</t>
        </is>
      </c>
      <c r="O1661" s="191" t="inlineStr">
        <is>
          <t>Block IP 1.204.58.120 at firewall | Check SIEM for existing connections</t>
        </is>
      </c>
      <c r="P1661" s="191" t="inlineStr">
        <is>
          <t>Firewall/Network</t>
        </is>
      </c>
      <c r="Q1661" s="191" t="inlineStr">
        <is>
          <t>P4</t>
        </is>
      </c>
      <c r="R1661" s="191" t="inlineStr">
        <is>
          <t>🚫 Block IP at firewall immediately | 🔍 Check logs for existing connections | 🛡️ Add to threat intelligence blocklist</t>
        </is>
      </c>
      <c r="S1661" s="191" t="inlineStr">
        <is>
          <t>Blocklist IP — ip-api.com context available</t>
        </is>
      </c>
      <c r="T1661" s="191" t="n">
        <v>0</v>
      </c>
      <c r="U1661" s="191" t="n">
        <v>0</v>
      </c>
      <c r="V1661" s="191" t="inlineStr">
        <is>
          <t>T1110:Brute Force | T1190:Exploit Public-Facing Application</t>
        </is>
      </c>
      <c r="W1661" s="191" t="n">
        <v>1</v>
      </c>
      <c r="X1661" s="191" t="inlineStr">
        <is>
          <t>LOW (40%)</t>
        </is>
      </c>
      <c r="Y1661" s="191" t="inlineStr">
        <is>
          <t>NONE</t>
        </is>
      </c>
      <c r="Z1661" s="191" t="inlineStr">
        <is>
          <t>NONE</t>
        </is>
      </c>
      <c r="AA1661" s="191" t="inlineStr">
        <is>
          <t>NONE</t>
        </is>
      </c>
      <c r="AB1661" s="191" t="inlineStr">
        <is>
          <t>NONE</t>
        </is>
      </c>
      <c r="AC1661" s="191" t="n">
        <v>0</v>
      </c>
      <c r="AD1661" s="191" t="n"/>
    </row>
    <row r="1662">
      <c r="A1662" s="191" t="inlineStr">
        <is>
          <t>BLOCKLIST_DE</t>
        </is>
      </c>
      <c r="B1662" s="191" t="inlineStr">
        <is>
          <t>adaaac596473</t>
        </is>
      </c>
      <c r="C1662" s="191" t="inlineStr">
        <is>
          <t>Blocklist.de: 1.212.225.99 | Attack activity reported | Sources: BLOCKLIST_DE</t>
        </is>
      </c>
      <c r="D1662" s="191" t="n">
        <v>6</v>
      </c>
      <c r="E1662" s="191" t="inlineStr">
        <is>
          <t>MEDIUM</t>
        </is>
      </c>
      <c r="F1662" s="191" t="n">
        <v>2</v>
      </c>
      <c r="G1662" s="191" t="n">
        <v>2</v>
      </c>
      <c r="H1662" s="191" t="inlineStr">
        <is>
          <t>MEDIUM</t>
        </is>
      </c>
      <c r="I1662" s="191" t="n">
        <v>10</v>
      </c>
      <c r="J1662" s="191" t="inlineStr">
        <is>
          <t>NO</t>
        </is>
      </c>
      <c r="K1662" s="192" t="inlineStr">
        <is>
          <t>https://www.blocklist.de/</t>
        </is>
      </c>
      <c r="L1662" s="191" t="inlineStr">
        <is>
          <t>2026-02-23 23:48</t>
        </is>
      </c>
      <c r="M1662" s="191" t="inlineStr">
        <is>
          <t>Block IP</t>
        </is>
      </c>
      <c r="N1662" s="192" t="inlineStr">
        <is>
          <t>https://www.blocklist.de/</t>
        </is>
      </c>
      <c r="O1662" s="191" t="inlineStr">
        <is>
          <t>Block IP 1.212.225.99 at firewall | Check SIEM for existing connections</t>
        </is>
      </c>
      <c r="P1662" s="191" t="inlineStr">
        <is>
          <t>Firewall/Network</t>
        </is>
      </c>
      <c r="Q1662" s="191" t="inlineStr">
        <is>
          <t>P4</t>
        </is>
      </c>
      <c r="R1662" s="191" t="inlineStr">
        <is>
          <t>🚫 Block IP at firewall immediately | 🔍 Check logs for existing connections | 🛡️ Add to threat intelligence blocklist</t>
        </is>
      </c>
      <c r="S1662" s="191" t="inlineStr">
        <is>
          <t>Blocklist IP — ip-api.com context available</t>
        </is>
      </c>
      <c r="T1662" s="191" t="n">
        <v>0</v>
      </c>
      <c r="U1662" s="191" t="n">
        <v>0</v>
      </c>
      <c r="V1662" s="191" t="inlineStr">
        <is>
          <t>T1110:Brute Force | T1190:Exploit Public-Facing Application</t>
        </is>
      </c>
      <c r="W1662" s="191" t="n">
        <v>1</v>
      </c>
      <c r="X1662" s="191" t="inlineStr">
        <is>
          <t>LOW (40%)</t>
        </is>
      </c>
      <c r="Y1662" s="191" t="inlineStr">
        <is>
          <t>NONE</t>
        </is>
      </c>
      <c r="Z1662" s="191" t="inlineStr">
        <is>
          <t>NONE</t>
        </is>
      </c>
      <c r="AA1662" s="191" t="inlineStr">
        <is>
          <t>NONE</t>
        </is>
      </c>
      <c r="AB1662" s="191" t="inlineStr">
        <is>
          <t>NONE</t>
        </is>
      </c>
      <c r="AC1662" s="191" t="n">
        <v>0</v>
      </c>
      <c r="AD1662" s="191" t="n"/>
    </row>
    <row r="1663">
      <c r="A1663" s="191" t="inlineStr">
        <is>
          <t>BLOCKLIST_DE</t>
        </is>
      </c>
      <c r="B1663" s="191" t="inlineStr">
        <is>
          <t>8662ad84ec1d</t>
        </is>
      </c>
      <c r="C1663" s="191" t="inlineStr">
        <is>
          <t>Blocklist.de: 1.214.117.218 | Attack activity reported | Sources: BLOCKLIST_DE</t>
        </is>
      </c>
      <c r="D1663" s="191" t="n">
        <v>6</v>
      </c>
      <c r="E1663" s="191" t="inlineStr">
        <is>
          <t>MEDIUM</t>
        </is>
      </c>
      <c r="F1663" s="191" t="n">
        <v>2</v>
      </c>
      <c r="G1663" s="191" t="n">
        <v>2</v>
      </c>
      <c r="H1663" s="191" t="inlineStr">
        <is>
          <t>MEDIUM</t>
        </is>
      </c>
      <c r="I1663" s="191" t="n">
        <v>10</v>
      </c>
      <c r="J1663" s="191" t="inlineStr">
        <is>
          <t>NO</t>
        </is>
      </c>
      <c r="K1663" s="192" t="inlineStr">
        <is>
          <t>https://www.blocklist.de/</t>
        </is>
      </c>
      <c r="L1663" s="191" t="inlineStr">
        <is>
          <t>2026-02-23 23:48</t>
        </is>
      </c>
      <c r="M1663" s="191" t="inlineStr">
        <is>
          <t>Block IP</t>
        </is>
      </c>
      <c r="N1663" s="192" t="inlineStr">
        <is>
          <t>https://www.blocklist.de/</t>
        </is>
      </c>
      <c r="O1663" s="191" t="inlineStr">
        <is>
          <t>Block IP 1.214.117.218 at firewall | Check SIEM for existing connections</t>
        </is>
      </c>
      <c r="P1663" s="191" t="inlineStr">
        <is>
          <t>Firewall/Network</t>
        </is>
      </c>
      <c r="Q1663" s="191" t="inlineStr">
        <is>
          <t>P4</t>
        </is>
      </c>
      <c r="R1663" s="191" t="inlineStr">
        <is>
          <t>🚫 Block IP at firewall immediately | 🔍 Check logs for existing connections | 🛡️ Add to threat intelligence blocklist</t>
        </is>
      </c>
      <c r="S1663" s="191" t="inlineStr">
        <is>
          <t>Blocklist IP — ip-api.com context available</t>
        </is>
      </c>
      <c r="T1663" s="191" t="n">
        <v>0</v>
      </c>
      <c r="U1663" s="191" t="n">
        <v>0</v>
      </c>
      <c r="V1663" s="191" t="inlineStr">
        <is>
          <t>T1110:Brute Force | T1190:Exploit Public-Facing Application</t>
        </is>
      </c>
      <c r="W1663" s="191" t="n">
        <v>1</v>
      </c>
      <c r="X1663" s="191" t="inlineStr">
        <is>
          <t>LOW (40%)</t>
        </is>
      </c>
      <c r="Y1663" s="191" t="inlineStr">
        <is>
          <t>NONE</t>
        </is>
      </c>
      <c r="Z1663" s="191" t="inlineStr">
        <is>
          <t>NONE</t>
        </is>
      </c>
      <c r="AA1663" s="191" t="inlineStr">
        <is>
          <t>NONE</t>
        </is>
      </c>
      <c r="AB1663" s="191" t="inlineStr">
        <is>
          <t>NONE</t>
        </is>
      </c>
      <c r="AC1663" s="191" t="n">
        <v>0</v>
      </c>
      <c r="AD1663" s="191" t="n"/>
    </row>
    <row r="1664">
      <c r="A1664" s="191" t="inlineStr">
        <is>
          <t>BLOCKLIST_DE</t>
        </is>
      </c>
      <c r="B1664" s="191" t="inlineStr">
        <is>
          <t>0d07829f1a7f</t>
        </is>
      </c>
      <c r="C1664" s="191" t="inlineStr">
        <is>
          <t>Blocklist.de: 1.214.197.163 | Attack activity reported | Sources: BLOCKLIST_DE</t>
        </is>
      </c>
      <c r="D1664" s="191" t="n">
        <v>6</v>
      </c>
      <c r="E1664" s="191" t="inlineStr">
        <is>
          <t>MEDIUM</t>
        </is>
      </c>
      <c r="F1664" s="191" t="n">
        <v>2</v>
      </c>
      <c r="G1664" s="191" t="n">
        <v>2</v>
      </c>
      <c r="H1664" s="191" t="inlineStr">
        <is>
          <t>MEDIUM</t>
        </is>
      </c>
      <c r="I1664" s="191" t="n">
        <v>10</v>
      </c>
      <c r="J1664" s="191" t="inlineStr">
        <is>
          <t>NO</t>
        </is>
      </c>
      <c r="K1664" s="192" t="inlineStr">
        <is>
          <t>https://www.blocklist.de/</t>
        </is>
      </c>
      <c r="L1664" s="191" t="inlineStr">
        <is>
          <t>2026-02-23 23:48</t>
        </is>
      </c>
      <c r="M1664" s="191" t="inlineStr">
        <is>
          <t>Block IP</t>
        </is>
      </c>
      <c r="N1664" s="192" t="inlineStr">
        <is>
          <t>https://www.blocklist.de/</t>
        </is>
      </c>
      <c r="O1664" s="191" t="inlineStr">
        <is>
          <t>Block IP 1.214.197.163 at firewall | Check SIEM for existing connections</t>
        </is>
      </c>
      <c r="P1664" s="191" t="inlineStr">
        <is>
          <t>Firewall/Network</t>
        </is>
      </c>
      <c r="Q1664" s="191" t="inlineStr">
        <is>
          <t>P4</t>
        </is>
      </c>
      <c r="R1664" s="191" t="inlineStr">
        <is>
          <t>🚫 Block IP at firewall immediately | 🔍 Check logs for existing connections | 🛡️ Add to threat intelligence blocklist</t>
        </is>
      </c>
      <c r="S1664" s="191" t="inlineStr">
        <is>
          <t>Blocklist IP — ip-api.com context available</t>
        </is>
      </c>
      <c r="T1664" s="191" t="n">
        <v>0</v>
      </c>
      <c r="U1664" s="191" t="n">
        <v>0</v>
      </c>
      <c r="V1664" s="191" t="inlineStr">
        <is>
          <t>T1110:Brute Force | T1190:Exploit Public-Facing Application</t>
        </is>
      </c>
      <c r="W1664" s="191" t="n">
        <v>1</v>
      </c>
      <c r="X1664" s="191" t="inlineStr">
        <is>
          <t>LOW (40%)</t>
        </is>
      </c>
      <c r="Y1664" s="191" t="inlineStr">
        <is>
          <t>NONE</t>
        </is>
      </c>
      <c r="Z1664" s="191" t="inlineStr">
        <is>
          <t>NONE</t>
        </is>
      </c>
      <c r="AA1664" s="191" t="inlineStr">
        <is>
          <t>NONE</t>
        </is>
      </c>
      <c r="AB1664" s="191" t="inlineStr">
        <is>
          <t>NONE</t>
        </is>
      </c>
      <c r="AC1664" s="191" t="n">
        <v>0</v>
      </c>
      <c r="AD1664" s="191" t="n"/>
    </row>
    <row r="1665">
      <c r="A1665" s="191" t="inlineStr">
        <is>
          <t>BLOCKLIST_DE</t>
        </is>
      </c>
      <c r="B1665" s="191" t="inlineStr">
        <is>
          <t>1dd19bdeff1a</t>
        </is>
      </c>
      <c r="C1665" s="191" t="inlineStr">
        <is>
          <t>Blocklist.de: 1.220.198.126 | Attack activity reported | Sources: BLOCKLIST_DE</t>
        </is>
      </c>
      <c r="D1665" s="191" t="n">
        <v>6</v>
      </c>
      <c r="E1665" s="191" t="inlineStr">
        <is>
          <t>MEDIUM</t>
        </is>
      </c>
      <c r="F1665" s="191" t="n">
        <v>2</v>
      </c>
      <c r="G1665" s="191" t="n">
        <v>2</v>
      </c>
      <c r="H1665" s="191" t="inlineStr">
        <is>
          <t>MEDIUM</t>
        </is>
      </c>
      <c r="I1665" s="191" t="n">
        <v>10</v>
      </c>
      <c r="J1665" s="191" t="inlineStr">
        <is>
          <t>NO</t>
        </is>
      </c>
      <c r="K1665" s="192" t="inlineStr">
        <is>
          <t>https://www.blocklist.de/</t>
        </is>
      </c>
      <c r="L1665" s="191" t="inlineStr">
        <is>
          <t>2026-02-23 23:48</t>
        </is>
      </c>
      <c r="M1665" s="191" t="inlineStr">
        <is>
          <t>Block IP</t>
        </is>
      </c>
      <c r="N1665" s="192" t="inlineStr">
        <is>
          <t>https://www.blocklist.de/</t>
        </is>
      </c>
      <c r="O1665" s="191" t="inlineStr">
        <is>
          <t>Block IP 1.220.198.126 at firewall | Check SIEM for existing connections</t>
        </is>
      </c>
      <c r="P1665" s="191" t="inlineStr">
        <is>
          <t>Firewall/Network</t>
        </is>
      </c>
      <c r="Q1665" s="191" t="inlineStr">
        <is>
          <t>P4</t>
        </is>
      </c>
      <c r="R1665" s="191" t="inlineStr">
        <is>
          <t>🚫 Block IP at firewall immediately | 🔍 Check logs for existing connections | 🛡️ Add to threat intelligence blocklist</t>
        </is>
      </c>
      <c r="S1665" s="191" t="inlineStr">
        <is>
          <t>Blocklist IP — ip-api.com context available</t>
        </is>
      </c>
      <c r="T1665" s="191" t="n">
        <v>0</v>
      </c>
      <c r="U1665" s="191" t="n">
        <v>0</v>
      </c>
      <c r="V1665" s="191" t="inlineStr">
        <is>
          <t>T1110:Brute Force | T1190:Exploit Public-Facing Application</t>
        </is>
      </c>
      <c r="W1665" s="191" t="n">
        <v>1</v>
      </c>
      <c r="X1665" s="191" t="inlineStr">
        <is>
          <t>LOW (40%)</t>
        </is>
      </c>
      <c r="Y1665" s="191" t="inlineStr">
        <is>
          <t>NONE</t>
        </is>
      </c>
      <c r="Z1665" s="191" t="inlineStr">
        <is>
          <t>NONE</t>
        </is>
      </c>
      <c r="AA1665" s="191" t="inlineStr">
        <is>
          <t>NONE</t>
        </is>
      </c>
      <c r="AB1665" s="191" t="inlineStr">
        <is>
          <t>NONE</t>
        </is>
      </c>
      <c r="AC1665" s="191" t="n">
        <v>0</v>
      </c>
      <c r="AD1665" s="191" t="n"/>
    </row>
    <row r="1666">
      <c r="A1666" s="191" t="inlineStr">
        <is>
          <t>BLOCKLIST_DE</t>
        </is>
      </c>
      <c r="B1666" s="191" t="inlineStr">
        <is>
          <t>da984c9bfb57</t>
        </is>
      </c>
      <c r="C1666" s="191" t="inlineStr">
        <is>
          <t>Blocklist.de: 1.220.64.218 | Attack activity reported | Sources: BLOCKLIST_DE</t>
        </is>
      </c>
      <c r="D1666" s="191" t="n">
        <v>6</v>
      </c>
      <c r="E1666" s="191" t="inlineStr">
        <is>
          <t>MEDIUM</t>
        </is>
      </c>
      <c r="F1666" s="191" t="n">
        <v>2</v>
      </c>
      <c r="G1666" s="191" t="n">
        <v>2</v>
      </c>
      <c r="H1666" s="191" t="inlineStr">
        <is>
          <t>MEDIUM</t>
        </is>
      </c>
      <c r="I1666" s="191" t="n">
        <v>10</v>
      </c>
      <c r="J1666" s="191" t="inlineStr">
        <is>
          <t>NO</t>
        </is>
      </c>
      <c r="K1666" s="192" t="inlineStr">
        <is>
          <t>https://www.blocklist.de/</t>
        </is>
      </c>
      <c r="L1666" s="191" t="inlineStr">
        <is>
          <t>2026-02-23 23:48</t>
        </is>
      </c>
      <c r="M1666" s="191" t="inlineStr">
        <is>
          <t>Block IP</t>
        </is>
      </c>
      <c r="N1666" s="192" t="inlineStr">
        <is>
          <t>https://www.blocklist.de/</t>
        </is>
      </c>
      <c r="O1666" s="191" t="inlineStr">
        <is>
          <t>Block IP 1.220.64.218 at firewall | Check SIEM for existing connections</t>
        </is>
      </c>
      <c r="P1666" s="191" t="inlineStr">
        <is>
          <t>Firewall/Network</t>
        </is>
      </c>
      <c r="Q1666" s="191" t="inlineStr">
        <is>
          <t>P4</t>
        </is>
      </c>
      <c r="R1666" s="191" t="inlineStr">
        <is>
          <t>🚫 Block IP at firewall immediately | 🔍 Check logs for existing connections | 🛡️ Add to threat intelligence blocklist</t>
        </is>
      </c>
      <c r="S1666" s="191" t="inlineStr">
        <is>
          <t>Blocklist IP — ip-api.com context available</t>
        </is>
      </c>
      <c r="T1666" s="191" t="n">
        <v>0</v>
      </c>
      <c r="U1666" s="191" t="n">
        <v>0</v>
      </c>
      <c r="V1666" s="191" t="inlineStr">
        <is>
          <t>T1110:Brute Force | T1190:Exploit Public-Facing Application</t>
        </is>
      </c>
      <c r="W1666" s="191" t="n">
        <v>1</v>
      </c>
      <c r="X1666" s="191" t="inlineStr">
        <is>
          <t>LOW (40%)</t>
        </is>
      </c>
      <c r="Y1666" s="191" t="inlineStr">
        <is>
          <t>NONE</t>
        </is>
      </c>
      <c r="Z1666" s="191" t="inlineStr">
        <is>
          <t>NONE</t>
        </is>
      </c>
      <c r="AA1666" s="191" t="inlineStr">
        <is>
          <t>NONE</t>
        </is>
      </c>
      <c r="AB1666" s="191" t="inlineStr">
        <is>
          <t>NONE</t>
        </is>
      </c>
      <c r="AC1666" s="191" t="n">
        <v>0</v>
      </c>
      <c r="AD1666" s="191" t="n"/>
    </row>
    <row r="1667">
      <c r="A1667" s="191" t="inlineStr">
        <is>
          <t>BLOCKLIST_DE</t>
        </is>
      </c>
      <c r="B1667" s="191" t="inlineStr">
        <is>
          <t>537208cb5a69</t>
        </is>
      </c>
      <c r="C1667" s="191" t="inlineStr">
        <is>
          <t>Blocklist.de: 1.227.228.131 | Attack activity reported | Sources: BLOCKLIST_DE</t>
        </is>
      </c>
      <c r="D1667" s="191" t="n">
        <v>6</v>
      </c>
      <c r="E1667" s="191" t="inlineStr">
        <is>
          <t>MEDIUM</t>
        </is>
      </c>
      <c r="F1667" s="191" t="n">
        <v>2</v>
      </c>
      <c r="G1667" s="191" t="n">
        <v>2</v>
      </c>
      <c r="H1667" s="191" t="inlineStr">
        <is>
          <t>MEDIUM</t>
        </is>
      </c>
      <c r="I1667" s="191" t="n">
        <v>10</v>
      </c>
      <c r="J1667" s="191" t="inlineStr">
        <is>
          <t>NO</t>
        </is>
      </c>
      <c r="K1667" s="192" t="inlineStr">
        <is>
          <t>https://www.blocklist.de/</t>
        </is>
      </c>
      <c r="L1667" s="191" t="inlineStr">
        <is>
          <t>2026-02-23 23:48</t>
        </is>
      </c>
      <c r="M1667" s="191" t="inlineStr">
        <is>
          <t>Block IP</t>
        </is>
      </c>
      <c r="N1667" s="192" t="inlineStr">
        <is>
          <t>https://www.blocklist.de/</t>
        </is>
      </c>
      <c r="O1667" s="191" t="inlineStr">
        <is>
          <t>Block IP 1.227.228.131 at firewall | Check SIEM for existing connections</t>
        </is>
      </c>
      <c r="P1667" s="191" t="inlineStr">
        <is>
          <t>Firewall/Network</t>
        </is>
      </c>
      <c r="Q1667" s="191" t="inlineStr">
        <is>
          <t>P4</t>
        </is>
      </c>
      <c r="R1667" s="191" t="inlineStr">
        <is>
          <t>🚫 Block IP at firewall immediately | 🔍 Check logs for existing connections | 🛡️ Add to threat intelligence blocklist</t>
        </is>
      </c>
      <c r="S1667" s="191" t="inlineStr">
        <is>
          <t>Blocklist IP — ip-api.com context available</t>
        </is>
      </c>
      <c r="T1667" s="191" t="n">
        <v>0</v>
      </c>
      <c r="U1667" s="191" t="n">
        <v>0</v>
      </c>
      <c r="V1667" s="191" t="inlineStr">
        <is>
          <t>T1110:Brute Force | T1190:Exploit Public-Facing Application</t>
        </is>
      </c>
      <c r="W1667" s="191" t="n">
        <v>1</v>
      </c>
      <c r="X1667" s="191" t="inlineStr">
        <is>
          <t>LOW (40%)</t>
        </is>
      </c>
      <c r="Y1667" s="191" t="inlineStr">
        <is>
          <t>NONE</t>
        </is>
      </c>
      <c r="Z1667" s="191" t="inlineStr">
        <is>
          <t>NONE</t>
        </is>
      </c>
      <c r="AA1667" s="191" t="inlineStr">
        <is>
          <t>NONE</t>
        </is>
      </c>
      <c r="AB1667" s="191" t="inlineStr">
        <is>
          <t>NONE</t>
        </is>
      </c>
      <c r="AC1667" s="191" t="n">
        <v>0</v>
      </c>
      <c r="AD1667" s="191" t="n"/>
    </row>
    <row r="1668">
      <c r="A1668" s="191" t="inlineStr">
        <is>
          <t>BLOCKLIST_DE</t>
        </is>
      </c>
      <c r="B1668" s="191" t="inlineStr">
        <is>
          <t>22149440783b</t>
        </is>
      </c>
      <c r="C1668" s="191" t="inlineStr">
        <is>
          <t>Blocklist.de: 1.234.23.221 | Attack activity reported | Sources: BLOCKLIST_DE</t>
        </is>
      </c>
      <c r="D1668" s="191" t="n">
        <v>6</v>
      </c>
      <c r="E1668" s="191" t="inlineStr">
        <is>
          <t>MEDIUM</t>
        </is>
      </c>
      <c r="F1668" s="191" t="n">
        <v>2</v>
      </c>
      <c r="G1668" s="191" t="n">
        <v>2</v>
      </c>
      <c r="H1668" s="191" t="inlineStr">
        <is>
          <t>MEDIUM</t>
        </is>
      </c>
      <c r="I1668" s="191" t="n">
        <v>10</v>
      </c>
      <c r="J1668" s="191" t="inlineStr">
        <is>
          <t>NO</t>
        </is>
      </c>
      <c r="K1668" s="192" t="inlineStr">
        <is>
          <t>https://www.blocklist.de/</t>
        </is>
      </c>
      <c r="L1668" s="191" t="inlineStr">
        <is>
          <t>2026-02-23 23:48</t>
        </is>
      </c>
      <c r="M1668" s="191" t="inlineStr">
        <is>
          <t>Block IP</t>
        </is>
      </c>
      <c r="N1668" s="192" t="inlineStr">
        <is>
          <t>https://www.blocklist.de/</t>
        </is>
      </c>
      <c r="O1668" s="191" t="inlineStr">
        <is>
          <t>Block IP 1.234.23.221 at firewall | Check SIEM for existing connections</t>
        </is>
      </c>
      <c r="P1668" s="191" t="inlineStr">
        <is>
          <t>Firewall/Network</t>
        </is>
      </c>
      <c r="Q1668" s="191" t="inlineStr">
        <is>
          <t>P4</t>
        </is>
      </c>
      <c r="R1668" s="191" t="inlineStr">
        <is>
          <t>🚫 Block IP at firewall immediately | 🔍 Check logs for existing connections | 🛡️ Add to threat intelligence blocklist</t>
        </is>
      </c>
      <c r="S1668" s="191" t="inlineStr">
        <is>
          <t>Blocklist IP — ip-api.com context available</t>
        </is>
      </c>
      <c r="T1668" s="191" t="n">
        <v>0</v>
      </c>
      <c r="U1668" s="191" t="n">
        <v>0</v>
      </c>
      <c r="V1668" s="191" t="inlineStr">
        <is>
          <t>T1110:Brute Force | T1190:Exploit Public-Facing Application</t>
        </is>
      </c>
      <c r="W1668" s="191" t="n">
        <v>1</v>
      </c>
      <c r="X1668" s="191" t="inlineStr">
        <is>
          <t>LOW (40%)</t>
        </is>
      </c>
      <c r="Y1668" s="191" t="inlineStr">
        <is>
          <t>NONE</t>
        </is>
      </c>
      <c r="Z1668" s="191" t="inlineStr">
        <is>
          <t>NONE</t>
        </is>
      </c>
      <c r="AA1668" s="191" t="inlineStr">
        <is>
          <t>NONE</t>
        </is>
      </c>
      <c r="AB1668" s="191" t="inlineStr">
        <is>
          <t>NONE</t>
        </is>
      </c>
      <c r="AC1668" s="191" t="n">
        <v>0</v>
      </c>
      <c r="AD1668" s="191" t="n"/>
    </row>
    <row r="1669">
      <c r="A1669" s="191" t="inlineStr">
        <is>
          <t>BLOCKLIST_DE</t>
        </is>
      </c>
      <c r="B1669" s="191" t="inlineStr">
        <is>
          <t>8c9b3a8d25de</t>
        </is>
      </c>
      <c r="C1669" s="191" t="inlineStr">
        <is>
          <t>Blocklist.de: 1.234.27.159 | Attack activity reported | Sources: BLOCKLIST_DE</t>
        </is>
      </c>
      <c r="D1669" s="191" t="n">
        <v>6</v>
      </c>
      <c r="E1669" s="191" t="inlineStr">
        <is>
          <t>MEDIUM</t>
        </is>
      </c>
      <c r="F1669" s="191" t="n">
        <v>2</v>
      </c>
      <c r="G1669" s="191" t="n">
        <v>2</v>
      </c>
      <c r="H1669" s="191" t="inlineStr">
        <is>
          <t>MEDIUM</t>
        </is>
      </c>
      <c r="I1669" s="191" t="n">
        <v>10</v>
      </c>
      <c r="J1669" s="191" t="inlineStr">
        <is>
          <t>NO</t>
        </is>
      </c>
      <c r="K1669" s="192" t="inlineStr">
        <is>
          <t>https://www.blocklist.de/</t>
        </is>
      </c>
      <c r="L1669" s="191" t="inlineStr">
        <is>
          <t>2026-02-23 23:48</t>
        </is>
      </c>
      <c r="M1669" s="191" t="inlineStr">
        <is>
          <t>Block IP</t>
        </is>
      </c>
      <c r="N1669" s="192" t="inlineStr">
        <is>
          <t>https://www.blocklist.de/</t>
        </is>
      </c>
      <c r="O1669" s="191" t="inlineStr">
        <is>
          <t>Block IP 1.234.27.159 at firewall | Check SIEM for existing connections</t>
        </is>
      </c>
      <c r="P1669" s="191" t="inlineStr">
        <is>
          <t>Firewall/Network</t>
        </is>
      </c>
      <c r="Q1669" s="191" t="inlineStr">
        <is>
          <t>P4</t>
        </is>
      </c>
      <c r="R1669" s="191" t="inlineStr">
        <is>
          <t>🚫 Block IP at firewall immediately | 🔍 Check logs for existing connections | 🛡️ Add to threat intelligence blocklist</t>
        </is>
      </c>
      <c r="S1669" s="191" t="inlineStr">
        <is>
          <t>Blocklist IP — ip-api.com context available</t>
        </is>
      </c>
      <c r="T1669" s="191" t="n">
        <v>0</v>
      </c>
      <c r="U1669" s="191" t="n">
        <v>0</v>
      </c>
      <c r="V1669" s="191" t="inlineStr">
        <is>
          <t>T1110:Brute Force | T1190:Exploit Public-Facing Application</t>
        </is>
      </c>
      <c r="W1669" s="191" t="n">
        <v>1</v>
      </c>
      <c r="X1669" s="191" t="inlineStr">
        <is>
          <t>LOW (40%)</t>
        </is>
      </c>
      <c r="Y1669" s="191" t="inlineStr">
        <is>
          <t>NONE</t>
        </is>
      </c>
      <c r="Z1669" s="191" t="inlineStr">
        <is>
          <t>NONE</t>
        </is>
      </c>
      <c r="AA1669" s="191" t="inlineStr">
        <is>
          <t>NONE</t>
        </is>
      </c>
      <c r="AB1669" s="191" t="inlineStr">
        <is>
          <t>NONE</t>
        </is>
      </c>
      <c r="AC1669" s="191" t="n">
        <v>0</v>
      </c>
      <c r="AD1669" s="191" t="n"/>
    </row>
    <row r="1670">
      <c r="A1670" s="191" t="inlineStr">
        <is>
          <t>BLOCKLIST_DE</t>
        </is>
      </c>
      <c r="B1670" s="191" t="inlineStr">
        <is>
          <t>7f8bda0bd561</t>
        </is>
      </c>
      <c r="C1670" s="191" t="inlineStr">
        <is>
          <t>Blocklist.de: 1.235.192.130 | Attack activity reported | Sources: BLOCKLIST_DE</t>
        </is>
      </c>
      <c r="D1670" s="191" t="n">
        <v>6</v>
      </c>
      <c r="E1670" s="191" t="inlineStr">
        <is>
          <t>MEDIUM</t>
        </is>
      </c>
      <c r="F1670" s="191" t="n">
        <v>2</v>
      </c>
      <c r="G1670" s="191" t="n">
        <v>2</v>
      </c>
      <c r="H1670" s="191" t="inlineStr">
        <is>
          <t>MEDIUM</t>
        </is>
      </c>
      <c r="I1670" s="191" t="n">
        <v>10</v>
      </c>
      <c r="J1670" s="191" t="inlineStr">
        <is>
          <t>NO</t>
        </is>
      </c>
      <c r="K1670" s="192" t="inlineStr">
        <is>
          <t>https://www.blocklist.de/</t>
        </is>
      </c>
      <c r="L1670" s="191" t="inlineStr">
        <is>
          <t>2026-02-23 23:48</t>
        </is>
      </c>
      <c r="M1670" s="191" t="inlineStr">
        <is>
          <t>Block IP</t>
        </is>
      </c>
      <c r="N1670" s="192" t="inlineStr">
        <is>
          <t>https://www.blocklist.de/</t>
        </is>
      </c>
      <c r="O1670" s="191" t="inlineStr">
        <is>
          <t>Block IP 1.235.192.130 at firewall | Check SIEM for existing connections</t>
        </is>
      </c>
      <c r="P1670" s="191" t="inlineStr">
        <is>
          <t>Firewall/Network</t>
        </is>
      </c>
      <c r="Q1670" s="191" t="inlineStr">
        <is>
          <t>P4</t>
        </is>
      </c>
      <c r="R1670" s="191" t="inlineStr">
        <is>
          <t>🚫 Block IP at firewall immediately | 🔍 Check logs for existing connections | 🛡️ Add to threat intelligence blocklist</t>
        </is>
      </c>
      <c r="S1670" s="191" t="inlineStr">
        <is>
          <t>Blocklist IP — ip-api.com context available</t>
        </is>
      </c>
      <c r="T1670" s="191" t="n">
        <v>0</v>
      </c>
      <c r="U1670" s="191" t="n">
        <v>0</v>
      </c>
      <c r="V1670" s="191" t="inlineStr">
        <is>
          <t>T1110:Brute Force | T1190:Exploit Public-Facing Application</t>
        </is>
      </c>
      <c r="W1670" s="191" t="n">
        <v>1</v>
      </c>
      <c r="X1670" s="191" t="inlineStr">
        <is>
          <t>LOW (40%)</t>
        </is>
      </c>
      <c r="Y1670" s="191" t="inlineStr">
        <is>
          <t>NONE</t>
        </is>
      </c>
      <c r="Z1670" s="191" t="inlineStr">
        <is>
          <t>NONE</t>
        </is>
      </c>
      <c r="AA1670" s="191" t="inlineStr">
        <is>
          <t>NONE</t>
        </is>
      </c>
      <c r="AB1670" s="191" t="inlineStr">
        <is>
          <t>NONE</t>
        </is>
      </c>
      <c r="AC1670" s="191" t="n">
        <v>0</v>
      </c>
      <c r="AD1670" s="191" t="n"/>
    </row>
    <row r="1671">
      <c r="A1671" s="191" t="inlineStr">
        <is>
          <t>BLOCKLIST_DE</t>
        </is>
      </c>
      <c r="B1671" s="191" t="inlineStr">
        <is>
          <t>9c698c7f2054</t>
        </is>
      </c>
      <c r="C1671" s="191" t="inlineStr">
        <is>
          <t>Blocklist.de: 1.235.192.131 | Attack activity reported | Sources: BLOCKLIST_DE</t>
        </is>
      </c>
      <c r="D1671" s="191" t="n">
        <v>6</v>
      </c>
      <c r="E1671" s="191" t="inlineStr">
        <is>
          <t>MEDIUM</t>
        </is>
      </c>
      <c r="F1671" s="191" t="n">
        <v>2</v>
      </c>
      <c r="G1671" s="191" t="n">
        <v>2</v>
      </c>
      <c r="H1671" s="191" t="inlineStr">
        <is>
          <t>MEDIUM</t>
        </is>
      </c>
      <c r="I1671" s="191" t="n">
        <v>10</v>
      </c>
      <c r="J1671" s="191" t="inlineStr">
        <is>
          <t>NO</t>
        </is>
      </c>
      <c r="K1671" s="192" t="inlineStr">
        <is>
          <t>https://www.blocklist.de/</t>
        </is>
      </c>
      <c r="L1671" s="191" t="inlineStr">
        <is>
          <t>2026-02-23 23:48</t>
        </is>
      </c>
      <c r="M1671" s="191" t="inlineStr">
        <is>
          <t>Block IP</t>
        </is>
      </c>
      <c r="N1671" s="192" t="inlineStr">
        <is>
          <t>https://www.blocklist.de/</t>
        </is>
      </c>
      <c r="O1671" s="191" t="inlineStr">
        <is>
          <t>Block IP 1.235.192.131 at firewall | Check SIEM for existing connections</t>
        </is>
      </c>
      <c r="P1671" s="191" t="inlineStr">
        <is>
          <t>Firewall/Network</t>
        </is>
      </c>
      <c r="Q1671" s="191" t="inlineStr">
        <is>
          <t>P4</t>
        </is>
      </c>
      <c r="R1671" s="191" t="inlineStr">
        <is>
          <t>🚫 Block IP at firewall immediately | 🔍 Check logs for existing connections | 🛡️ Add to threat intelligence blocklist</t>
        </is>
      </c>
      <c r="S1671" s="191" t="inlineStr">
        <is>
          <t>Blocklist IP — ip-api.com context available</t>
        </is>
      </c>
      <c r="T1671" s="191" t="n">
        <v>0</v>
      </c>
      <c r="U1671" s="191" t="n">
        <v>0</v>
      </c>
      <c r="V1671" s="191" t="inlineStr">
        <is>
          <t>T1110:Brute Force | T1190:Exploit Public-Facing Application</t>
        </is>
      </c>
      <c r="W1671" s="191" t="n">
        <v>1</v>
      </c>
      <c r="X1671" s="191" t="inlineStr">
        <is>
          <t>LOW (40%)</t>
        </is>
      </c>
      <c r="Y1671" s="191" t="inlineStr">
        <is>
          <t>NONE</t>
        </is>
      </c>
      <c r="Z1671" s="191" t="inlineStr">
        <is>
          <t>NONE</t>
        </is>
      </c>
      <c r="AA1671" s="191" t="inlineStr">
        <is>
          <t>NONE</t>
        </is>
      </c>
      <c r="AB1671" s="191" t="inlineStr">
        <is>
          <t>NONE</t>
        </is>
      </c>
      <c r="AC1671" s="191" t="n">
        <v>0</v>
      </c>
      <c r="AD1671" s="191" t="n"/>
    </row>
    <row r="1672">
      <c r="A1672" s="191" t="inlineStr">
        <is>
          <t>BLOCKLIST_DE</t>
        </is>
      </c>
      <c r="B1672" s="191" t="inlineStr">
        <is>
          <t>9b6a8ed48afe</t>
        </is>
      </c>
      <c r="C1672" s="191" t="inlineStr">
        <is>
          <t>Blocklist.de: 1.237.155.150 | Attack activity reported | Sources: BLOCKLIST_DE</t>
        </is>
      </c>
      <c r="D1672" s="191" t="n">
        <v>6</v>
      </c>
      <c r="E1672" s="191" t="inlineStr">
        <is>
          <t>MEDIUM</t>
        </is>
      </c>
      <c r="F1672" s="191" t="n">
        <v>2</v>
      </c>
      <c r="G1672" s="191" t="n">
        <v>2</v>
      </c>
      <c r="H1672" s="191" t="inlineStr">
        <is>
          <t>MEDIUM</t>
        </is>
      </c>
      <c r="I1672" s="191" t="n">
        <v>10</v>
      </c>
      <c r="J1672" s="191" t="inlineStr">
        <is>
          <t>NO</t>
        </is>
      </c>
      <c r="K1672" s="192" t="inlineStr">
        <is>
          <t>https://www.blocklist.de/</t>
        </is>
      </c>
      <c r="L1672" s="191" t="inlineStr">
        <is>
          <t>2026-02-23 23:48</t>
        </is>
      </c>
      <c r="M1672" s="191" t="inlineStr">
        <is>
          <t>Block IP</t>
        </is>
      </c>
      <c r="N1672" s="192" t="inlineStr">
        <is>
          <t>https://www.blocklist.de/</t>
        </is>
      </c>
      <c r="O1672" s="191" t="inlineStr">
        <is>
          <t>Block IP 1.237.155.150 at firewall | Check SIEM for existing connections</t>
        </is>
      </c>
      <c r="P1672" s="191" t="inlineStr">
        <is>
          <t>Firewall/Network</t>
        </is>
      </c>
      <c r="Q1672" s="191" t="inlineStr">
        <is>
          <t>P4</t>
        </is>
      </c>
      <c r="R1672" s="191" t="inlineStr">
        <is>
          <t>🚫 Block IP at firewall immediately | 🔍 Check logs for existing connections | 🛡️ Add to threat intelligence blocklist</t>
        </is>
      </c>
      <c r="S1672" s="191" t="inlineStr">
        <is>
          <t>Blocklist IP — ip-api.com context available</t>
        </is>
      </c>
      <c r="T1672" s="191" t="n">
        <v>0</v>
      </c>
      <c r="U1672" s="191" t="n">
        <v>0</v>
      </c>
      <c r="V1672" s="191" t="inlineStr">
        <is>
          <t>T1110:Brute Force | T1190:Exploit Public-Facing Application</t>
        </is>
      </c>
      <c r="W1672" s="191" t="n">
        <v>1</v>
      </c>
      <c r="X1672" s="191" t="inlineStr">
        <is>
          <t>LOW (40%)</t>
        </is>
      </c>
      <c r="Y1672" s="191" t="inlineStr">
        <is>
          <t>NONE</t>
        </is>
      </c>
      <c r="Z1672" s="191" t="inlineStr">
        <is>
          <t>NONE</t>
        </is>
      </c>
      <c r="AA1672" s="191" t="inlineStr">
        <is>
          <t>NONE</t>
        </is>
      </c>
      <c r="AB1672" s="191" t="inlineStr">
        <is>
          <t>NONE</t>
        </is>
      </c>
      <c r="AC1672" s="191" t="n">
        <v>0</v>
      </c>
      <c r="AD1672" s="191" t="n"/>
    </row>
    <row r="1673">
      <c r="A1673" s="191" t="inlineStr">
        <is>
          <t>BLOCKLIST_DE</t>
        </is>
      </c>
      <c r="B1673" s="191" t="inlineStr">
        <is>
          <t>55fb149617b5</t>
        </is>
      </c>
      <c r="C1673" s="191" t="inlineStr">
        <is>
          <t>Blocklist.de: 1.238.106.229 | Attack activity reported | Sources: BLOCKLIST_DE</t>
        </is>
      </c>
      <c r="D1673" s="191" t="n">
        <v>6</v>
      </c>
      <c r="E1673" s="191" t="inlineStr">
        <is>
          <t>MEDIUM</t>
        </is>
      </c>
      <c r="F1673" s="191" t="n">
        <v>2</v>
      </c>
      <c r="G1673" s="191" t="n">
        <v>2</v>
      </c>
      <c r="H1673" s="191" t="inlineStr">
        <is>
          <t>MEDIUM</t>
        </is>
      </c>
      <c r="I1673" s="191" t="n">
        <v>10</v>
      </c>
      <c r="J1673" s="191" t="inlineStr">
        <is>
          <t>NO</t>
        </is>
      </c>
      <c r="K1673" s="192" t="inlineStr">
        <is>
          <t>https://www.blocklist.de/</t>
        </is>
      </c>
      <c r="L1673" s="191" t="inlineStr">
        <is>
          <t>2026-02-23 23:48</t>
        </is>
      </c>
      <c r="M1673" s="191" t="inlineStr">
        <is>
          <t>Block IP</t>
        </is>
      </c>
      <c r="N1673" s="192" t="inlineStr">
        <is>
          <t>https://www.blocklist.de/</t>
        </is>
      </c>
      <c r="O1673" s="191" t="inlineStr">
        <is>
          <t>Block IP 1.238.106.229 at firewall | Check SIEM for existing connections</t>
        </is>
      </c>
      <c r="P1673" s="191" t="inlineStr">
        <is>
          <t>Firewall/Network</t>
        </is>
      </c>
      <c r="Q1673" s="191" t="inlineStr">
        <is>
          <t>P4</t>
        </is>
      </c>
      <c r="R1673" s="191" t="inlineStr">
        <is>
          <t>🚫 Block IP at firewall immediately | 🔍 Check logs for existing connections | 🛡️ Add to threat intelligence blocklist</t>
        </is>
      </c>
      <c r="S1673" s="191" t="inlineStr">
        <is>
          <t>Blocklist IP — ip-api.com context available</t>
        </is>
      </c>
      <c r="T1673" s="191" t="n">
        <v>0</v>
      </c>
      <c r="U1673" s="191" t="n">
        <v>0</v>
      </c>
      <c r="V1673" s="191" t="inlineStr">
        <is>
          <t>T1110:Brute Force | T1190:Exploit Public-Facing Application</t>
        </is>
      </c>
      <c r="W1673" s="191" t="n">
        <v>1</v>
      </c>
      <c r="X1673" s="191" t="inlineStr">
        <is>
          <t>LOW (40%)</t>
        </is>
      </c>
      <c r="Y1673" s="191" t="inlineStr">
        <is>
          <t>NONE</t>
        </is>
      </c>
      <c r="Z1673" s="191" t="inlineStr">
        <is>
          <t>NONE</t>
        </is>
      </c>
      <c r="AA1673" s="191" t="inlineStr">
        <is>
          <t>NONE</t>
        </is>
      </c>
      <c r="AB1673" s="191" t="inlineStr">
        <is>
          <t>NONE</t>
        </is>
      </c>
      <c r="AC1673" s="191" t="n">
        <v>0</v>
      </c>
      <c r="AD1673" s="191" t="n"/>
    </row>
    <row r="1674">
      <c r="A1674" s="191" t="inlineStr">
        <is>
          <t>BLOCKLIST_DE</t>
        </is>
      </c>
      <c r="B1674" s="191" t="inlineStr">
        <is>
          <t>d28316cdbee2</t>
        </is>
      </c>
      <c r="C1674" s="191" t="inlineStr">
        <is>
          <t>Blocklist.de: 1.24.210.27 | Attack activity reported | Sources: BLOCKLIST_DE</t>
        </is>
      </c>
      <c r="D1674" s="191" t="n">
        <v>6</v>
      </c>
      <c r="E1674" s="191" t="inlineStr">
        <is>
          <t>MEDIUM</t>
        </is>
      </c>
      <c r="F1674" s="191" t="n">
        <v>2</v>
      </c>
      <c r="G1674" s="191" t="n">
        <v>2</v>
      </c>
      <c r="H1674" s="191" t="inlineStr">
        <is>
          <t>MEDIUM</t>
        </is>
      </c>
      <c r="I1674" s="191" t="n">
        <v>10</v>
      </c>
      <c r="J1674" s="191" t="inlineStr">
        <is>
          <t>NO</t>
        </is>
      </c>
      <c r="K1674" s="192" t="inlineStr">
        <is>
          <t>https://www.blocklist.de/</t>
        </is>
      </c>
      <c r="L1674" s="191" t="inlineStr">
        <is>
          <t>2026-02-23 23:48</t>
        </is>
      </c>
      <c r="M1674" s="191" t="inlineStr">
        <is>
          <t>Block IP</t>
        </is>
      </c>
      <c r="N1674" s="192" t="inlineStr">
        <is>
          <t>https://www.blocklist.de/</t>
        </is>
      </c>
      <c r="O1674" s="191" t="inlineStr">
        <is>
          <t>Block IP 1.24.210.27 at firewall | Check SIEM for existing connections</t>
        </is>
      </c>
      <c r="P1674" s="191" t="inlineStr">
        <is>
          <t>Firewall/Network</t>
        </is>
      </c>
      <c r="Q1674" s="191" t="inlineStr">
        <is>
          <t>P4</t>
        </is>
      </c>
      <c r="R1674" s="191" t="inlineStr">
        <is>
          <t>🚫 Block IP at firewall immediately | 🔍 Check logs for existing connections | 🛡️ Add to threat intelligence blocklist</t>
        </is>
      </c>
      <c r="S1674" s="191" t="inlineStr">
        <is>
          <t>Blocklist IP — ip-api.com context available</t>
        </is>
      </c>
      <c r="T1674" s="191" t="n">
        <v>0</v>
      </c>
      <c r="U1674" s="191" t="n">
        <v>0</v>
      </c>
      <c r="V1674" s="191" t="inlineStr">
        <is>
          <t>T1110:Brute Force | T1190:Exploit Public-Facing Application</t>
        </is>
      </c>
      <c r="W1674" s="191" t="n">
        <v>1</v>
      </c>
      <c r="X1674" s="191" t="inlineStr">
        <is>
          <t>LOW (40%)</t>
        </is>
      </c>
      <c r="Y1674" s="191" t="inlineStr">
        <is>
          <t>NONE</t>
        </is>
      </c>
      <c r="Z1674" s="191" t="inlineStr">
        <is>
          <t>NONE</t>
        </is>
      </c>
      <c r="AA1674" s="191" t="inlineStr">
        <is>
          <t>NONE</t>
        </is>
      </c>
      <c r="AB1674" s="191" t="inlineStr">
        <is>
          <t>NONE</t>
        </is>
      </c>
      <c r="AC1674" s="191" t="n">
        <v>0</v>
      </c>
      <c r="AD1674" s="191" t="n"/>
    </row>
    <row r="1675">
      <c r="A1675" s="191" t="inlineStr">
        <is>
          <t>BLOCKLIST_DE</t>
        </is>
      </c>
      <c r="B1675" s="191" t="inlineStr">
        <is>
          <t>92b46c4f478f</t>
        </is>
      </c>
      <c r="C1675" s="191" t="inlineStr">
        <is>
          <t>Blocklist.de: 1.241.162.20 | Attack activity reported | Sources: BLOCKLIST_DE</t>
        </is>
      </c>
      <c r="D1675" s="191" t="n">
        <v>6</v>
      </c>
      <c r="E1675" s="191" t="inlineStr">
        <is>
          <t>MEDIUM</t>
        </is>
      </c>
      <c r="F1675" s="191" t="n">
        <v>2</v>
      </c>
      <c r="G1675" s="191" t="n">
        <v>2</v>
      </c>
      <c r="H1675" s="191" t="inlineStr">
        <is>
          <t>MEDIUM</t>
        </is>
      </c>
      <c r="I1675" s="191" t="n">
        <v>10</v>
      </c>
      <c r="J1675" s="191" t="inlineStr">
        <is>
          <t>NO</t>
        </is>
      </c>
      <c r="K1675" s="192" t="inlineStr">
        <is>
          <t>https://www.blocklist.de/</t>
        </is>
      </c>
      <c r="L1675" s="191" t="inlineStr">
        <is>
          <t>2026-02-23 23:48</t>
        </is>
      </c>
      <c r="M1675" s="191" t="inlineStr">
        <is>
          <t>Block IP</t>
        </is>
      </c>
      <c r="N1675" s="192" t="inlineStr">
        <is>
          <t>https://www.blocklist.de/</t>
        </is>
      </c>
      <c r="O1675" s="191" t="inlineStr">
        <is>
          <t>Block IP 1.241.162.20 at firewall | Check SIEM for existing connections</t>
        </is>
      </c>
      <c r="P1675" s="191" t="inlineStr">
        <is>
          <t>Firewall/Network</t>
        </is>
      </c>
      <c r="Q1675" s="191" t="inlineStr">
        <is>
          <t>P4</t>
        </is>
      </c>
      <c r="R1675" s="191" t="inlineStr">
        <is>
          <t>🚫 Block IP at firewall immediately | 🔍 Check logs for existing connections | 🛡️ Add to threat intelligence blocklist</t>
        </is>
      </c>
      <c r="S1675" s="191" t="inlineStr">
        <is>
          <t>Blocklist IP — ip-api.com context available</t>
        </is>
      </c>
      <c r="T1675" s="191" t="n">
        <v>0</v>
      </c>
      <c r="U1675" s="191" t="n">
        <v>0</v>
      </c>
      <c r="V1675" s="191" t="inlineStr">
        <is>
          <t>T1110:Brute Force | T1190:Exploit Public-Facing Application</t>
        </is>
      </c>
      <c r="W1675" s="191" t="n">
        <v>1</v>
      </c>
      <c r="X1675" s="191" t="inlineStr">
        <is>
          <t>LOW (40%)</t>
        </is>
      </c>
      <c r="Y1675" s="191" t="inlineStr">
        <is>
          <t>NONE</t>
        </is>
      </c>
      <c r="Z1675" s="191" t="inlineStr">
        <is>
          <t>NONE</t>
        </is>
      </c>
      <c r="AA1675" s="191" t="inlineStr">
        <is>
          <t>NONE</t>
        </is>
      </c>
      <c r="AB1675" s="191" t="inlineStr">
        <is>
          <t>NONE</t>
        </is>
      </c>
      <c r="AC1675" s="191" t="n">
        <v>0</v>
      </c>
      <c r="AD1675" s="191" t="n"/>
    </row>
    <row r="1676">
      <c r="A1676" s="191" t="inlineStr">
        <is>
          <t>BLOCKLIST_DE</t>
        </is>
      </c>
      <c r="B1676" s="191" t="inlineStr">
        <is>
          <t>7b84ff55afa8</t>
        </is>
      </c>
      <c r="C1676" s="191" t="inlineStr">
        <is>
          <t>Blocklist.de: 1.241.174.81 | Attack activity reported | Sources: BLOCKLIST_DE</t>
        </is>
      </c>
      <c r="D1676" s="191" t="n">
        <v>6</v>
      </c>
      <c r="E1676" s="191" t="inlineStr">
        <is>
          <t>MEDIUM</t>
        </is>
      </c>
      <c r="F1676" s="191" t="n">
        <v>2</v>
      </c>
      <c r="G1676" s="191" t="n">
        <v>2</v>
      </c>
      <c r="H1676" s="191" t="inlineStr">
        <is>
          <t>MEDIUM</t>
        </is>
      </c>
      <c r="I1676" s="191" t="n">
        <v>10</v>
      </c>
      <c r="J1676" s="191" t="inlineStr">
        <is>
          <t>NO</t>
        </is>
      </c>
      <c r="K1676" s="192" t="inlineStr">
        <is>
          <t>https://www.blocklist.de/</t>
        </is>
      </c>
      <c r="L1676" s="191" t="inlineStr">
        <is>
          <t>2026-02-23 23:48</t>
        </is>
      </c>
      <c r="M1676" s="191" t="inlineStr">
        <is>
          <t>Block IP</t>
        </is>
      </c>
      <c r="N1676" s="192" t="inlineStr">
        <is>
          <t>https://www.blocklist.de/</t>
        </is>
      </c>
      <c r="O1676" s="191" t="inlineStr">
        <is>
          <t>Block IP 1.241.174.81 at firewall | Check SIEM for existing connections</t>
        </is>
      </c>
      <c r="P1676" s="191" t="inlineStr">
        <is>
          <t>Firewall/Network</t>
        </is>
      </c>
      <c r="Q1676" s="191" t="inlineStr">
        <is>
          <t>P4</t>
        </is>
      </c>
      <c r="R1676" s="191" t="inlineStr">
        <is>
          <t>🚫 Block IP at firewall immediately | 🔍 Check logs for existing connections | 🛡️ Add to threat intelligence blocklist</t>
        </is>
      </c>
      <c r="S1676" s="191" t="inlineStr">
        <is>
          <t>Blocklist IP — ip-api.com context available</t>
        </is>
      </c>
      <c r="T1676" s="191" t="n">
        <v>0</v>
      </c>
      <c r="U1676" s="191" t="n">
        <v>0</v>
      </c>
      <c r="V1676" s="191" t="inlineStr">
        <is>
          <t>T1110:Brute Force | T1190:Exploit Public-Facing Application</t>
        </is>
      </c>
      <c r="W1676" s="191" t="n">
        <v>1</v>
      </c>
      <c r="X1676" s="191" t="inlineStr">
        <is>
          <t>LOW (40%)</t>
        </is>
      </c>
      <c r="Y1676" s="191" t="inlineStr">
        <is>
          <t>NONE</t>
        </is>
      </c>
      <c r="Z1676" s="191" t="inlineStr">
        <is>
          <t>NONE</t>
        </is>
      </c>
      <c r="AA1676" s="191" t="inlineStr">
        <is>
          <t>NONE</t>
        </is>
      </c>
      <c r="AB1676" s="191" t="inlineStr">
        <is>
          <t>NONE</t>
        </is>
      </c>
      <c r="AC1676" s="191" t="n">
        <v>0</v>
      </c>
      <c r="AD1676" s="191" t="n"/>
    </row>
    <row r="1677">
      <c r="A1677" s="191" t="inlineStr">
        <is>
          <t>BLOCKLIST_DE</t>
        </is>
      </c>
      <c r="B1677" s="191" t="inlineStr">
        <is>
          <t>1c9e454bffa8</t>
        </is>
      </c>
      <c r="C1677" s="191" t="inlineStr">
        <is>
          <t>Blocklist.de: 1.241.64.237 | Attack activity reported | Sources: BLOCKLIST_DE</t>
        </is>
      </c>
      <c r="D1677" s="191" t="n">
        <v>6</v>
      </c>
      <c r="E1677" s="191" t="inlineStr">
        <is>
          <t>MEDIUM</t>
        </is>
      </c>
      <c r="F1677" s="191" t="n">
        <v>2</v>
      </c>
      <c r="G1677" s="191" t="n">
        <v>2</v>
      </c>
      <c r="H1677" s="191" t="inlineStr">
        <is>
          <t>MEDIUM</t>
        </is>
      </c>
      <c r="I1677" s="191" t="n">
        <v>10</v>
      </c>
      <c r="J1677" s="191" t="inlineStr">
        <is>
          <t>NO</t>
        </is>
      </c>
      <c r="K1677" s="192" t="inlineStr">
        <is>
          <t>https://www.blocklist.de/</t>
        </is>
      </c>
      <c r="L1677" s="191" t="inlineStr">
        <is>
          <t>2026-02-23 23:48</t>
        </is>
      </c>
      <c r="M1677" s="191" t="inlineStr">
        <is>
          <t>Block IP</t>
        </is>
      </c>
      <c r="N1677" s="192" t="inlineStr">
        <is>
          <t>https://www.blocklist.de/</t>
        </is>
      </c>
      <c r="O1677" s="191" t="inlineStr">
        <is>
          <t>Block IP 1.241.64.237 at firewall | Check SIEM for existing connections</t>
        </is>
      </c>
      <c r="P1677" s="191" t="inlineStr">
        <is>
          <t>Firewall/Network</t>
        </is>
      </c>
      <c r="Q1677" s="191" t="inlineStr">
        <is>
          <t>P4</t>
        </is>
      </c>
      <c r="R1677" s="191" t="inlineStr">
        <is>
          <t>🚫 Block IP at firewall immediately | 🔍 Check logs for existing connections | 🛡️ Add to threat intelligence blocklist</t>
        </is>
      </c>
      <c r="S1677" s="191" t="inlineStr">
        <is>
          <t>Blocklist IP — ip-api.com context available</t>
        </is>
      </c>
      <c r="T1677" s="191" t="n">
        <v>0</v>
      </c>
      <c r="U1677" s="191" t="n">
        <v>0</v>
      </c>
      <c r="V1677" s="191" t="inlineStr">
        <is>
          <t>T1110:Brute Force | T1190:Exploit Public-Facing Application</t>
        </is>
      </c>
      <c r="W1677" s="191" t="n">
        <v>1</v>
      </c>
      <c r="X1677" s="191" t="inlineStr">
        <is>
          <t>LOW (40%)</t>
        </is>
      </c>
      <c r="Y1677" s="191" t="inlineStr">
        <is>
          <t>NONE</t>
        </is>
      </c>
      <c r="Z1677" s="191" t="inlineStr">
        <is>
          <t>NONE</t>
        </is>
      </c>
      <c r="AA1677" s="191" t="inlineStr">
        <is>
          <t>NONE</t>
        </is>
      </c>
      <c r="AB1677" s="191" t="inlineStr">
        <is>
          <t>NONE</t>
        </is>
      </c>
      <c r="AC1677" s="191" t="n">
        <v>0</v>
      </c>
      <c r="AD1677" s="191" t="n"/>
    </row>
    <row r="1678">
      <c r="A1678" s="191" t="inlineStr">
        <is>
          <t>BLOCKLIST_DE</t>
        </is>
      </c>
      <c r="B1678" s="191" t="inlineStr">
        <is>
          <t>982ec68d54bb</t>
        </is>
      </c>
      <c r="C1678" s="191" t="inlineStr">
        <is>
          <t>Blocklist.de: 1.244.246.221 | Attack activity reported | Sources: BLOCKLIST_DE</t>
        </is>
      </c>
      <c r="D1678" s="191" t="n">
        <v>6</v>
      </c>
      <c r="E1678" s="191" t="inlineStr">
        <is>
          <t>MEDIUM</t>
        </is>
      </c>
      <c r="F1678" s="191" t="n">
        <v>2</v>
      </c>
      <c r="G1678" s="191" t="n">
        <v>2</v>
      </c>
      <c r="H1678" s="191" t="inlineStr">
        <is>
          <t>MEDIUM</t>
        </is>
      </c>
      <c r="I1678" s="191" t="n">
        <v>10</v>
      </c>
      <c r="J1678" s="191" t="inlineStr">
        <is>
          <t>NO</t>
        </is>
      </c>
      <c r="K1678" s="192" t="inlineStr">
        <is>
          <t>https://www.blocklist.de/</t>
        </is>
      </c>
      <c r="L1678" s="191" t="inlineStr">
        <is>
          <t>2026-02-23 23:48</t>
        </is>
      </c>
      <c r="M1678" s="191" t="inlineStr">
        <is>
          <t>Block IP</t>
        </is>
      </c>
      <c r="N1678" s="192" t="inlineStr">
        <is>
          <t>https://www.blocklist.de/</t>
        </is>
      </c>
      <c r="O1678" s="191" t="inlineStr">
        <is>
          <t>Block IP 1.244.246.221 at firewall | Check SIEM for existing connections</t>
        </is>
      </c>
      <c r="P1678" s="191" t="inlineStr">
        <is>
          <t>Firewall/Network</t>
        </is>
      </c>
      <c r="Q1678" s="191" t="inlineStr">
        <is>
          <t>P4</t>
        </is>
      </c>
      <c r="R1678" s="191" t="inlineStr">
        <is>
          <t>🚫 Block IP at firewall immediately | 🔍 Check logs for existing connections | 🛡️ Add to threat intelligence blocklist</t>
        </is>
      </c>
      <c r="S1678" s="191" t="inlineStr">
        <is>
          <t>Blocklist IP — ip-api.com context available</t>
        </is>
      </c>
      <c r="T1678" s="191" t="n">
        <v>0</v>
      </c>
      <c r="U1678" s="191" t="n">
        <v>0</v>
      </c>
      <c r="V1678" s="191" t="inlineStr">
        <is>
          <t>T1110:Brute Force | T1190:Exploit Public-Facing Application</t>
        </is>
      </c>
      <c r="W1678" s="191" t="n">
        <v>1</v>
      </c>
      <c r="X1678" s="191" t="inlineStr">
        <is>
          <t>LOW (40%)</t>
        </is>
      </c>
      <c r="Y1678" s="191" t="inlineStr">
        <is>
          <t>NONE</t>
        </is>
      </c>
      <c r="Z1678" s="191" t="inlineStr">
        <is>
          <t>NONE</t>
        </is>
      </c>
      <c r="AA1678" s="191" t="inlineStr">
        <is>
          <t>NONE</t>
        </is>
      </c>
      <c r="AB1678" s="191" t="inlineStr">
        <is>
          <t>NONE</t>
        </is>
      </c>
      <c r="AC1678" s="191" t="n">
        <v>0</v>
      </c>
      <c r="AD1678" s="191" t="n"/>
    </row>
    <row r="1679">
      <c r="A1679" s="191" t="inlineStr">
        <is>
          <t>BLOCKLIST_DE</t>
        </is>
      </c>
      <c r="B1679" s="191" t="inlineStr">
        <is>
          <t>3a96bb34832f</t>
        </is>
      </c>
      <c r="C1679" s="191" t="inlineStr">
        <is>
          <t>Blocklist.de: 1.246.14.175 | Attack activity reported | Sources: BLOCKLIST_DE</t>
        </is>
      </c>
      <c r="D1679" s="191" t="n">
        <v>6</v>
      </c>
      <c r="E1679" s="191" t="inlineStr">
        <is>
          <t>MEDIUM</t>
        </is>
      </c>
      <c r="F1679" s="191" t="n">
        <v>2</v>
      </c>
      <c r="G1679" s="191" t="n">
        <v>2</v>
      </c>
      <c r="H1679" s="191" t="inlineStr">
        <is>
          <t>MEDIUM</t>
        </is>
      </c>
      <c r="I1679" s="191" t="n">
        <v>10</v>
      </c>
      <c r="J1679" s="191" t="inlineStr">
        <is>
          <t>NO</t>
        </is>
      </c>
      <c r="K1679" s="192" t="inlineStr">
        <is>
          <t>https://www.blocklist.de/</t>
        </is>
      </c>
      <c r="L1679" s="191" t="inlineStr">
        <is>
          <t>2026-02-23 23:48</t>
        </is>
      </c>
      <c r="M1679" s="191" t="inlineStr">
        <is>
          <t>Block IP</t>
        </is>
      </c>
      <c r="N1679" s="192" t="inlineStr">
        <is>
          <t>https://www.blocklist.de/</t>
        </is>
      </c>
      <c r="O1679" s="191" t="inlineStr">
        <is>
          <t>Block IP 1.246.14.175 at firewall | Check SIEM for existing connections</t>
        </is>
      </c>
      <c r="P1679" s="191" t="inlineStr">
        <is>
          <t>Firewall/Network</t>
        </is>
      </c>
      <c r="Q1679" s="191" t="inlineStr">
        <is>
          <t>P4</t>
        </is>
      </c>
      <c r="R1679" s="191" t="inlineStr">
        <is>
          <t>🚫 Block IP at firewall immediately | 🔍 Check logs for existing connections | 🛡️ Add to threat intelligence blocklist</t>
        </is>
      </c>
      <c r="S1679" s="191" t="inlineStr">
        <is>
          <t>Blocklist IP — ip-api.com context available</t>
        </is>
      </c>
      <c r="T1679" s="191" t="n">
        <v>0</v>
      </c>
      <c r="U1679" s="191" t="n">
        <v>0</v>
      </c>
      <c r="V1679" s="191" t="inlineStr">
        <is>
          <t>T1110:Brute Force | T1190:Exploit Public-Facing Application</t>
        </is>
      </c>
      <c r="W1679" s="191" t="n">
        <v>1</v>
      </c>
      <c r="X1679" s="191" t="inlineStr">
        <is>
          <t>LOW (40%)</t>
        </is>
      </c>
      <c r="Y1679" s="191" t="inlineStr">
        <is>
          <t>NONE</t>
        </is>
      </c>
      <c r="Z1679" s="191" t="inlineStr">
        <is>
          <t>NONE</t>
        </is>
      </c>
      <c r="AA1679" s="191" t="inlineStr">
        <is>
          <t>NONE</t>
        </is>
      </c>
      <c r="AB1679" s="191" t="inlineStr">
        <is>
          <t>NONE</t>
        </is>
      </c>
      <c r="AC1679" s="191" t="n">
        <v>0</v>
      </c>
      <c r="AD1679" s="191" t="n"/>
    </row>
    <row r="1680">
      <c r="A1680" s="191" t="inlineStr">
        <is>
          <t>BLOCKLIST_DE</t>
        </is>
      </c>
      <c r="B1680" s="191" t="inlineStr">
        <is>
          <t>ae41c4e1204a</t>
        </is>
      </c>
      <c r="C1680" s="191" t="inlineStr">
        <is>
          <t>Blocklist.de: 1.247.216.26 | Attack activity reported | Sources: BLOCKLIST_DE</t>
        </is>
      </c>
      <c r="D1680" s="191" t="n">
        <v>6</v>
      </c>
      <c r="E1680" s="191" t="inlineStr">
        <is>
          <t>MEDIUM</t>
        </is>
      </c>
      <c r="F1680" s="191" t="n">
        <v>2</v>
      </c>
      <c r="G1680" s="191" t="n">
        <v>2</v>
      </c>
      <c r="H1680" s="191" t="inlineStr">
        <is>
          <t>MEDIUM</t>
        </is>
      </c>
      <c r="I1680" s="191" t="n">
        <v>10</v>
      </c>
      <c r="J1680" s="191" t="inlineStr">
        <is>
          <t>NO</t>
        </is>
      </c>
      <c r="K1680" s="192" t="inlineStr">
        <is>
          <t>https://www.blocklist.de/</t>
        </is>
      </c>
      <c r="L1680" s="191" t="inlineStr">
        <is>
          <t>2026-02-23 23:48</t>
        </is>
      </c>
      <c r="M1680" s="191" t="inlineStr">
        <is>
          <t>Block IP</t>
        </is>
      </c>
      <c r="N1680" s="192" t="inlineStr">
        <is>
          <t>https://www.blocklist.de/</t>
        </is>
      </c>
      <c r="O1680" s="191" t="inlineStr">
        <is>
          <t>Block IP 1.247.216.26 at firewall | Check SIEM for existing connections</t>
        </is>
      </c>
      <c r="P1680" s="191" t="inlineStr">
        <is>
          <t>Firewall/Network</t>
        </is>
      </c>
      <c r="Q1680" s="191" t="inlineStr">
        <is>
          <t>P4</t>
        </is>
      </c>
      <c r="R1680" s="191" t="inlineStr">
        <is>
          <t>🚫 Block IP at firewall immediately | 🔍 Check logs for existing connections | 🛡️ Add to threat intelligence blocklist</t>
        </is>
      </c>
      <c r="S1680" s="191" t="inlineStr">
        <is>
          <t>Blocklist IP — ip-api.com context available</t>
        </is>
      </c>
      <c r="T1680" s="191" t="n">
        <v>0</v>
      </c>
      <c r="U1680" s="191" t="n">
        <v>0</v>
      </c>
      <c r="V1680" s="191" t="inlineStr">
        <is>
          <t>T1110:Brute Force | T1190:Exploit Public-Facing Application</t>
        </is>
      </c>
      <c r="W1680" s="191" t="n">
        <v>1</v>
      </c>
      <c r="X1680" s="191" t="inlineStr">
        <is>
          <t>LOW (40%)</t>
        </is>
      </c>
      <c r="Y1680" s="191" t="inlineStr">
        <is>
          <t>NONE</t>
        </is>
      </c>
      <c r="Z1680" s="191" t="inlineStr">
        <is>
          <t>NONE</t>
        </is>
      </c>
      <c r="AA1680" s="191" t="inlineStr">
        <is>
          <t>NONE</t>
        </is>
      </c>
      <c r="AB1680" s="191" t="inlineStr">
        <is>
          <t>NONE</t>
        </is>
      </c>
      <c r="AC1680" s="191" t="n">
        <v>0</v>
      </c>
      <c r="AD1680" s="191" t="n"/>
    </row>
    <row r="1681">
      <c r="A1681" s="189" t="inlineStr">
        <is>
          <t>MSF_MODULE</t>
        </is>
      </c>
      <c r="B1681" s="189" t="inlineStr">
        <is>
          <t>CVE-2007-4387</t>
        </is>
      </c>
      <c r="C1681" s="189" t="inlineStr">
        <is>
          <t>Metasploit module available: 2Wire Cross-Site Request Forgery Password Reset Vulnerability | Type: auxiliary_admin | CVE-2007-4387</t>
        </is>
      </c>
      <c r="D1681" s="189" t="n">
        <v>7.5</v>
      </c>
      <c r="E1681" s="189" t="inlineStr">
        <is>
          <t>HIGH</t>
        </is>
      </c>
      <c r="F1681" s="189" t="n">
        <v>3</v>
      </c>
      <c r="G1681" s="189" t="n">
        <v>3</v>
      </c>
      <c r="H1681" s="189" t="inlineStr">
        <is>
          <t>CRITICAL</t>
        </is>
      </c>
      <c r="I1681" s="189" t="n">
        <v>16.5</v>
      </c>
      <c r="J1681" s="189" t="inlineStr">
        <is>
          <t>NO</t>
        </is>
      </c>
      <c r="K1681" s="190" t="inlineStr">
        <is>
          <t>https://nvd.nist.gov/vuln/detail/CVE-2007-4387</t>
        </is>
      </c>
      <c r="L1681" s="189" t="inlineStr">
        <is>
          <t>2026-02-23 23:48</t>
        </is>
      </c>
      <c r="M1681" s="189" t="inlineStr">
        <is>
          <t>PATCH_IMMEDIATELY</t>
        </is>
      </c>
      <c r="N1681" s="190" t="inlineStr">
        <is>
          <t>https://nvd.nist.gov/vuln/detail/CVE-2007-4387</t>
        </is>
      </c>
      <c r="O1681" s="189" t="inlineStr">
        <is>
          <t>Patch CVE-2007-4387 immediately — weaponized Metasploit module in public release | Module: 2Wire Cross-Site Request Forgery Password Reset Vulnerability</t>
        </is>
      </c>
      <c r="P1681" s="189" t="inlineStr">
        <is>
          <t>See CVE details</t>
        </is>
      </c>
      <c r="Q1681" s="189" t="inlineStr">
        <is>
          <t>P2</t>
        </is>
      </c>
      <c r="R1681" s="189" t="inlineStr">
        <is>
          <t>🔍 Investigate and apply appropriate controls</t>
        </is>
      </c>
      <c r="S1681" s="189" t="inlineStr">
        <is>
          <t>Rapid7 MSF: 2Wire Cross-Site Request Forgery Password Reset Vulnerability | Module type: auxiliary_admin</t>
        </is>
      </c>
      <c r="T1681" s="189" t="n">
        <v>0</v>
      </c>
      <c r="U1681" s="189" t="n">
        <v>0</v>
      </c>
      <c r="V1681" s="189" t="inlineStr">
        <is>
          <t>T1203:Exploitation for Client Execution | T1190:Exploit Public-Facing Application</t>
        </is>
      </c>
      <c r="W1681" s="189" t="n">
        <v>2</v>
      </c>
      <c r="X1681" s="189" t="inlineStr">
        <is>
          <t>HIGH (72%)</t>
        </is>
      </c>
      <c r="Y1681" s="189" t="inlineStr">
        <is>
          <t>WEAPONIZED</t>
        </is>
      </c>
      <c r="Z1681" s="189" t="inlineStr">
        <is>
          <t>CHECK_VENDOR</t>
        </is>
      </c>
      <c r="AA1681" s="190" t="inlineStr">
        <is>
          <t>https://www.rapid7.com/db/search/?q=CVE-2007-4387</t>
        </is>
      </c>
      <c r="AB1681" s="189" t="inlineStr">
        <is>
          <t>NONE</t>
        </is>
      </c>
      <c r="AC1681" s="189" t="n">
        <v>0</v>
      </c>
      <c r="AD1681" s="189" t="n"/>
    </row>
    <row r="1682">
      <c r="A1682" s="189" t="inlineStr">
        <is>
          <t>MSF_MODULE</t>
        </is>
      </c>
      <c r="B1682" s="189" t="inlineStr">
        <is>
          <t>CVE-2014-6041</t>
        </is>
      </c>
      <c r="C1682" s="189" t="inlineStr">
        <is>
          <t>Metasploit module available: Android Browser RCE Through Google Play Store XFO | Type: auxiliary_admin | CVE-2014-6041</t>
        </is>
      </c>
      <c r="D1682" s="189" t="n">
        <v>7.5</v>
      </c>
      <c r="E1682" s="189" t="inlineStr">
        <is>
          <t>HIGH</t>
        </is>
      </c>
      <c r="F1682" s="189" t="n">
        <v>3</v>
      </c>
      <c r="G1682" s="189" t="n">
        <v>3</v>
      </c>
      <c r="H1682" s="189" t="inlineStr">
        <is>
          <t>CRITICAL</t>
        </is>
      </c>
      <c r="I1682" s="189" t="n">
        <v>16.5</v>
      </c>
      <c r="J1682" s="189" t="inlineStr">
        <is>
          <t>NO</t>
        </is>
      </c>
      <c r="K1682" s="190" t="inlineStr">
        <is>
          <t>https://nvd.nist.gov/vuln/detail/CVE-2014-6041</t>
        </is>
      </c>
      <c r="L1682" s="189" t="inlineStr">
        <is>
          <t>2026-02-23 23:48</t>
        </is>
      </c>
      <c r="M1682" s="189" t="inlineStr">
        <is>
          <t>PATCH_IMMEDIATELY</t>
        </is>
      </c>
      <c r="N1682" s="190" t="inlineStr">
        <is>
          <t>https://nvd.nist.gov/vuln/detail/CVE-2014-6041</t>
        </is>
      </c>
      <c r="O1682" s="189" t="inlineStr">
        <is>
          <t>Patch CVE-2014-6041 immediately — weaponized Metasploit module in public release | Module: Android Browser RCE Through Google Play Store XFO</t>
        </is>
      </c>
      <c r="P1682" s="189" t="inlineStr">
        <is>
          <t>See CVE details</t>
        </is>
      </c>
      <c r="Q1682" s="189" t="inlineStr">
        <is>
          <t>P2</t>
        </is>
      </c>
      <c r="R1682" s="189" t="inlineStr">
        <is>
          <t>🔍 Investigate and apply appropriate controls</t>
        </is>
      </c>
      <c r="S1682" s="189" t="inlineStr">
        <is>
          <t>Rapid7 MSF: Android Browser RCE Through Google Play Store XFO | Module type: auxiliary_admin</t>
        </is>
      </c>
      <c r="T1682" s="189" t="n">
        <v>0</v>
      </c>
      <c r="U1682" s="189" t="n">
        <v>0</v>
      </c>
      <c r="V1682" s="189" t="inlineStr">
        <is>
          <t>T1203:Exploitation for Client Execution | T1190:Exploit Public-Facing Application</t>
        </is>
      </c>
      <c r="W1682" s="189" t="n">
        <v>2</v>
      </c>
      <c r="X1682" s="189" t="inlineStr">
        <is>
          <t>HIGH (72%)</t>
        </is>
      </c>
      <c r="Y1682" s="189" t="inlineStr">
        <is>
          <t>WEAPONIZED</t>
        </is>
      </c>
      <c r="Z1682" s="189" t="inlineStr">
        <is>
          <t>CHECK_VENDOR</t>
        </is>
      </c>
      <c r="AA1682" s="190" t="inlineStr">
        <is>
          <t>https://www.rapid7.com/db/search/?q=CVE-2014-6041</t>
        </is>
      </c>
      <c r="AB1682" s="189" t="inlineStr">
        <is>
          <t>NONE</t>
        </is>
      </c>
      <c r="AC1682" s="189" t="n">
        <v>0</v>
      </c>
      <c r="AD1682" s="189" t="n"/>
    </row>
    <row r="1683">
      <c r="A1683" s="189" t="inlineStr">
        <is>
          <t>MSF_MODULE</t>
        </is>
      </c>
      <c r="B1683" s="189" t="inlineStr">
        <is>
          <t>CVE-2005-2611</t>
        </is>
      </c>
      <c r="C1683" s="189" t="inlineStr">
        <is>
          <t>Metasploit module available: Veritas Backup Exec Windows Remote File Access | Type: auxiliary_admin | CVE-2005-2611</t>
        </is>
      </c>
      <c r="D1683" s="189" t="n">
        <v>7.5</v>
      </c>
      <c r="E1683" s="189" t="inlineStr">
        <is>
          <t>HIGH</t>
        </is>
      </c>
      <c r="F1683" s="189" t="n">
        <v>3</v>
      </c>
      <c r="G1683" s="189" t="n">
        <v>3</v>
      </c>
      <c r="H1683" s="189" t="inlineStr">
        <is>
          <t>CRITICAL</t>
        </is>
      </c>
      <c r="I1683" s="189" t="n">
        <v>16.5</v>
      </c>
      <c r="J1683" s="189" t="inlineStr">
        <is>
          <t>NO</t>
        </is>
      </c>
      <c r="K1683" s="190" t="inlineStr">
        <is>
          <t>https://nvd.nist.gov/vuln/detail/CVE-2005-2611</t>
        </is>
      </c>
      <c r="L1683" s="189" t="inlineStr">
        <is>
          <t>2026-02-23 23:48</t>
        </is>
      </c>
      <c r="M1683" s="189" t="inlineStr">
        <is>
          <t>PATCH_IMMEDIATELY</t>
        </is>
      </c>
      <c r="N1683" s="190" t="inlineStr">
        <is>
          <t>https://nvd.nist.gov/vuln/detail/CVE-2005-2611</t>
        </is>
      </c>
      <c r="O1683" s="189" t="inlineStr">
        <is>
          <t>Patch CVE-2005-2611 immediately — weaponized Metasploit module in public release | Module: Veritas Backup Exec Windows Remote File Access</t>
        </is>
      </c>
      <c r="P1683" s="189" t="inlineStr">
        <is>
          <t>See CVE details</t>
        </is>
      </c>
      <c r="Q1683" s="189" t="inlineStr">
        <is>
          <t>P2</t>
        </is>
      </c>
      <c r="R1683" s="189" t="inlineStr">
        <is>
          <t>🔍 Investigate and apply appropriate controls</t>
        </is>
      </c>
      <c r="S1683" s="189" t="inlineStr">
        <is>
          <t>Rapid7 MSF: Veritas Backup Exec Windows Remote File Access | Module type: auxiliary_admin</t>
        </is>
      </c>
      <c r="T1683" s="189" t="n">
        <v>0</v>
      </c>
      <c r="U1683" s="189" t="n">
        <v>0</v>
      </c>
      <c r="V1683" s="189" t="inlineStr">
        <is>
          <t>T1203:Exploitation for Client Execution | T1190:Exploit Public-Facing Application</t>
        </is>
      </c>
      <c r="W1683" s="189" t="n">
        <v>2</v>
      </c>
      <c r="X1683" s="189" t="inlineStr">
        <is>
          <t>HIGH (72%)</t>
        </is>
      </c>
      <c r="Y1683" s="189" t="inlineStr">
        <is>
          <t>WEAPONIZED</t>
        </is>
      </c>
      <c r="Z1683" s="189" t="inlineStr">
        <is>
          <t>CHECK_VENDOR</t>
        </is>
      </c>
      <c r="AA1683" s="190" t="inlineStr">
        <is>
          <t>https://www.rapid7.com/db/search/?q=CVE-2005-2611</t>
        </is>
      </c>
      <c r="AB1683" s="189" t="inlineStr">
        <is>
          <t>NONE</t>
        </is>
      </c>
      <c r="AC1683" s="189" t="n">
        <v>0</v>
      </c>
      <c r="AD1683" s="189" t="n"/>
    </row>
    <row r="1684">
      <c r="A1684" s="189" t="inlineStr">
        <is>
          <t>MSF_MODULE</t>
        </is>
      </c>
      <c r="B1684" s="189" t="inlineStr">
        <is>
          <t>CVE-2005-0771</t>
        </is>
      </c>
      <c r="C1684" s="189" t="inlineStr">
        <is>
          <t>Metasploit module available: Veritas Backup Exec Server Registry Access | Type: auxiliary_admin | CVE-2005-0771</t>
        </is>
      </c>
      <c r="D1684" s="189" t="n">
        <v>7.5</v>
      </c>
      <c r="E1684" s="189" t="inlineStr">
        <is>
          <t>HIGH</t>
        </is>
      </c>
      <c r="F1684" s="189" t="n">
        <v>3</v>
      </c>
      <c r="G1684" s="189" t="n">
        <v>3</v>
      </c>
      <c r="H1684" s="189" t="inlineStr">
        <is>
          <t>CRITICAL</t>
        </is>
      </c>
      <c r="I1684" s="189" t="n">
        <v>16.5</v>
      </c>
      <c r="J1684" s="189" t="inlineStr">
        <is>
          <t>NO</t>
        </is>
      </c>
      <c r="K1684" s="190" t="inlineStr">
        <is>
          <t>https://nvd.nist.gov/vuln/detail/CVE-2005-0771</t>
        </is>
      </c>
      <c r="L1684" s="189" t="inlineStr">
        <is>
          <t>2026-02-23 23:48</t>
        </is>
      </c>
      <c r="M1684" s="189" t="inlineStr">
        <is>
          <t>PATCH_IMMEDIATELY</t>
        </is>
      </c>
      <c r="N1684" s="190" t="inlineStr">
        <is>
          <t>https://nvd.nist.gov/vuln/detail/CVE-2005-0771</t>
        </is>
      </c>
      <c r="O1684" s="189" t="inlineStr">
        <is>
          <t>Patch CVE-2005-0771 immediately — weaponized Metasploit module in public release | Module: Veritas Backup Exec Server Registry Access</t>
        </is>
      </c>
      <c r="P1684" s="189" t="inlineStr">
        <is>
          <t>See CVE details</t>
        </is>
      </c>
      <c r="Q1684" s="189" t="inlineStr">
        <is>
          <t>P2</t>
        </is>
      </c>
      <c r="R1684" s="189" t="inlineStr">
        <is>
          <t>🔍 Investigate and apply appropriate controls</t>
        </is>
      </c>
      <c r="S1684" s="189" t="inlineStr">
        <is>
          <t>Rapid7 MSF: Veritas Backup Exec Server Registry Access | Module type: auxiliary_admin</t>
        </is>
      </c>
      <c r="T1684" s="189" t="n">
        <v>0</v>
      </c>
      <c r="U1684" s="189" t="n">
        <v>0</v>
      </c>
      <c r="V1684" s="189" t="inlineStr">
        <is>
          <t>T1203:Exploitation for Client Execution | T1190:Exploit Public-Facing Application</t>
        </is>
      </c>
      <c r="W1684" s="189" t="n">
        <v>2</v>
      </c>
      <c r="X1684" s="189" t="inlineStr">
        <is>
          <t>HIGH (72%)</t>
        </is>
      </c>
      <c r="Y1684" s="189" t="inlineStr">
        <is>
          <t>WEAPONIZED</t>
        </is>
      </c>
      <c r="Z1684" s="189" t="inlineStr">
        <is>
          <t>CHECK_VENDOR</t>
        </is>
      </c>
      <c r="AA1684" s="190" t="inlineStr">
        <is>
          <t>https://www.rapid7.com/db/search/?q=CVE-2005-0771</t>
        </is>
      </c>
      <c r="AB1684" s="189" t="inlineStr">
        <is>
          <t>NONE</t>
        </is>
      </c>
      <c r="AC1684" s="189" t="n">
        <v>0</v>
      </c>
      <c r="AD1684" s="189" t="n"/>
    </row>
    <row r="1685">
      <c r="A1685" s="189" t="inlineStr">
        <is>
          <t>MSF_MODULE</t>
        </is>
      </c>
      <c r="B1685" s="189" t="inlineStr">
        <is>
          <t>CVE-2004-0795</t>
        </is>
      </c>
      <c r="C1685" s="189" t="inlineStr">
        <is>
          <t>Metasploit module available: IBM DB2 db2rcmd.exe Command Execution Vulnerability | Type: auxiliary_admin | CVE-2004-0795</t>
        </is>
      </c>
      <c r="D1685" s="189" t="n">
        <v>7.5</v>
      </c>
      <c r="E1685" s="189" t="inlineStr">
        <is>
          <t>HIGH</t>
        </is>
      </c>
      <c r="F1685" s="189" t="n">
        <v>3</v>
      </c>
      <c r="G1685" s="189" t="n">
        <v>3</v>
      </c>
      <c r="H1685" s="189" t="inlineStr">
        <is>
          <t>CRITICAL</t>
        </is>
      </c>
      <c r="I1685" s="189" t="n">
        <v>16.5</v>
      </c>
      <c r="J1685" s="189" t="inlineStr">
        <is>
          <t>NO</t>
        </is>
      </c>
      <c r="K1685" s="190" t="inlineStr">
        <is>
          <t>https://nvd.nist.gov/vuln/detail/CVE-2004-0795</t>
        </is>
      </c>
      <c r="L1685" s="189" t="inlineStr">
        <is>
          <t>2026-02-23 23:48</t>
        </is>
      </c>
      <c r="M1685" s="189" t="inlineStr">
        <is>
          <t>PATCH_IMMEDIATELY</t>
        </is>
      </c>
      <c r="N1685" s="190" t="inlineStr">
        <is>
          <t>https://nvd.nist.gov/vuln/detail/CVE-2004-0795</t>
        </is>
      </c>
      <c r="O1685" s="189" t="inlineStr">
        <is>
          <t>Patch CVE-2004-0795 immediately — weaponized Metasploit module in public release | Module: IBM DB2 db2rcmd.exe Command Execution Vulnerability</t>
        </is>
      </c>
      <c r="P1685" s="189" t="inlineStr">
        <is>
          <t>See CVE details</t>
        </is>
      </c>
      <c r="Q1685" s="189" t="inlineStr">
        <is>
          <t>P2</t>
        </is>
      </c>
      <c r="R1685" s="189" t="inlineStr">
        <is>
          <t>🔍 Investigate and apply appropriate controls</t>
        </is>
      </c>
      <c r="S1685" s="189" t="inlineStr">
        <is>
          <t>Rapid7 MSF: IBM DB2 db2rcmd.exe Command Execution Vulnerability | Module type: auxiliary_admin</t>
        </is>
      </c>
      <c r="T1685" s="189" t="n">
        <v>0</v>
      </c>
      <c r="U1685" s="189" t="n">
        <v>0</v>
      </c>
      <c r="V1685" s="189" t="inlineStr">
        <is>
          <t>T1203:Exploitation for Client Execution | T1190:Exploit Public-Facing Application</t>
        </is>
      </c>
      <c r="W1685" s="189" t="n">
        <v>2</v>
      </c>
      <c r="X1685" s="189" t="inlineStr">
        <is>
          <t>HIGH (72%)</t>
        </is>
      </c>
      <c r="Y1685" s="189" t="inlineStr">
        <is>
          <t>WEAPONIZED</t>
        </is>
      </c>
      <c r="Z1685" s="189" t="inlineStr">
        <is>
          <t>CHECK_VENDOR</t>
        </is>
      </c>
      <c r="AA1685" s="190" t="inlineStr">
        <is>
          <t>https://www.rapid7.com/db/search/?q=CVE-2004-0795</t>
        </is>
      </c>
      <c r="AB1685" s="189" t="inlineStr">
        <is>
          <t>NONE</t>
        </is>
      </c>
      <c r="AC1685" s="189" t="n">
        <v>0</v>
      </c>
      <c r="AD1685" s="189" t="n"/>
    </row>
    <row r="1686">
      <c r="A1686" s="189" t="inlineStr">
        <is>
          <t>MSF_MODULE</t>
        </is>
      </c>
      <c r="B1686" s="189" t="inlineStr">
        <is>
          <t>CVE-2020-1472</t>
        </is>
      </c>
      <c r="C1686" s="189" t="inlineStr">
        <is>
          <t>Metasploit module available: Netlogon Weak Cryptographic Authentication | Type: auxiliary_admin | CVE-2020-1472</t>
        </is>
      </c>
      <c r="D1686" s="189" t="n">
        <v>7.5</v>
      </c>
      <c r="E1686" s="189" t="inlineStr">
        <is>
          <t>HIGH</t>
        </is>
      </c>
      <c r="F1686" s="189" t="n">
        <v>3</v>
      </c>
      <c r="G1686" s="189" t="n">
        <v>3</v>
      </c>
      <c r="H1686" s="189" t="inlineStr">
        <is>
          <t>CRITICAL</t>
        </is>
      </c>
      <c r="I1686" s="189" t="n">
        <v>16.5</v>
      </c>
      <c r="J1686" s="189" t="inlineStr">
        <is>
          <t>YES</t>
        </is>
      </c>
      <c r="K1686" s="190" t="inlineStr">
        <is>
          <t>https://nvd.nist.gov/vuln/detail/CVE-2020-1472</t>
        </is>
      </c>
      <c r="L1686" s="189" t="inlineStr">
        <is>
          <t>2026-02-23 23:48</t>
        </is>
      </c>
      <c r="M1686" s="189" t="inlineStr">
        <is>
          <t>PATCH_IMMEDIATELY</t>
        </is>
      </c>
      <c r="N1686" s="190" t="inlineStr">
        <is>
          <t>https://nvd.nist.gov/vuln/detail/CVE-2020-1472</t>
        </is>
      </c>
      <c r="O1686" s="189" t="inlineStr">
        <is>
          <t>Patch CVE-2020-1472 immediately — weaponized Metasploit module in public release | Module: Netlogon Weak Cryptographic Authentication</t>
        </is>
      </c>
      <c r="P1686" s="189" t="inlineStr">
        <is>
          <t>See CVE details</t>
        </is>
      </c>
      <c r="Q1686" s="189" t="inlineStr">
        <is>
          <t>P1</t>
        </is>
      </c>
      <c r="R1686" s="189" t="inlineStr">
        <is>
          <t>🔍 Investigate and apply appropriate controls</t>
        </is>
      </c>
      <c r="S1686" s="189" t="inlineStr">
        <is>
          <t>Rapid7 MSF: Netlogon Weak Cryptographic Authentication | Module type: auxiliary_admin</t>
        </is>
      </c>
      <c r="T1686" s="189" t="n">
        <v>0</v>
      </c>
      <c r="U1686" s="189" t="n">
        <v>0</v>
      </c>
      <c r="V1686" s="189" t="inlineStr">
        <is>
          <t>T1203:Exploitation for Client Execution | T1190:Exploit Public-Facing Application</t>
        </is>
      </c>
      <c r="W1686" s="189" t="n">
        <v>2</v>
      </c>
      <c r="X1686" s="189" t="inlineStr">
        <is>
          <t>HIGH (72%)</t>
        </is>
      </c>
      <c r="Y1686" s="189" t="inlineStr">
        <is>
          <t>WEAPONIZED</t>
        </is>
      </c>
      <c r="Z1686" s="189" t="inlineStr">
        <is>
          <t>CHECK_VENDOR</t>
        </is>
      </c>
      <c r="AA1686" s="190" t="inlineStr">
        <is>
          <t>https://www.rapid7.com/db/search/?q=CVE-2020-1472</t>
        </is>
      </c>
      <c r="AB1686" s="189" t="inlineStr">
        <is>
          <t>NONE</t>
        </is>
      </c>
      <c r="AC1686" s="189" t="n">
        <v>0</v>
      </c>
      <c r="AD1686" s="189" t="n"/>
    </row>
    <row r="1687">
      <c r="A1687" s="189" t="inlineStr">
        <is>
          <t>MSF_MODULE</t>
        </is>
      </c>
      <c r="B1687" s="189" t="inlineStr">
        <is>
          <t>CVE-2022-26923</t>
        </is>
      </c>
      <c r="C1687" s="189" t="inlineStr">
        <is>
          <t>Metasploit module available: Active Directory Certificate Services (ADCS) privilege escalation (Certifried) | Type: auxiliary_admin | CVE-2022-26923</t>
        </is>
      </c>
      <c r="D1687" s="189" t="n">
        <v>7.5</v>
      </c>
      <c r="E1687" s="189" t="inlineStr">
        <is>
          <t>HIGH</t>
        </is>
      </c>
      <c r="F1687" s="189" t="n">
        <v>3</v>
      </c>
      <c r="G1687" s="189" t="n">
        <v>3</v>
      </c>
      <c r="H1687" s="189" t="inlineStr">
        <is>
          <t>CRITICAL</t>
        </is>
      </c>
      <c r="I1687" s="189" t="n">
        <v>16.5</v>
      </c>
      <c r="J1687" s="189" t="inlineStr">
        <is>
          <t>YES</t>
        </is>
      </c>
      <c r="K1687" s="190" t="inlineStr">
        <is>
          <t>https://nvd.nist.gov/vuln/detail/CVE-2022-26923</t>
        </is>
      </c>
      <c r="L1687" s="189" t="inlineStr">
        <is>
          <t>2026-02-23 23:48</t>
        </is>
      </c>
      <c r="M1687" s="189" t="inlineStr">
        <is>
          <t>PATCH_IMMEDIATELY</t>
        </is>
      </c>
      <c r="N1687" s="190" t="inlineStr">
        <is>
          <t>https://nvd.nist.gov/vuln/detail/CVE-2022-26923</t>
        </is>
      </c>
      <c r="O1687" s="189" t="inlineStr">
        <is>
          <t>Patch CVE-2022-26923 immediately — weaponized Metasploit module in public release | Module: Active Directory Certificate Services (ADCS) privilege escalation (Certifried)</t>
        </is>
      </c>
      <c r="P1687" s="189" t="inlineStr">
        <is>
          <t>See CVE details</t>
        </is>
      </c>
      <c r="Q1687" s="189" t="inlineStr">
        <is>
          <t>P1</t>
        </is>
      </c>
      <c r="R1687" s="189" t="inlineStr">
        <is>
          <t>🔍 Investigate and apply appropriate controls</t>
        </is>
      </c>
      <c r="S1687" s="189" t="inlineStr">
        <is>
          <t>Rapid7 MSF: Active Directory Certificate Services (ADCS) privilege escalation (Certifried) | Module type: auxiliary_admin</t>
        </is>
      </c>
      <c r="T1687" s="189" t="n">
        <v>0</v>
      </c>
      <c r="U1687" s="189" t="n">
        <v>0</v>
      </c>
      <c r="V1687" s="189" t="inlineStr">
        <is>
          <t>T1203:Exploitation for Client Execution | T1190:Exploit Public-Facing Application</t>
        </is>
      </c>
      <c r="W1687" s="189" t="n">
        <v>2</v>
      </c>
      <c r="X1687" s="189" t="inlineStr">
        <is>
          <t>HIGH (72%)</t>
        </is>
      </c>
      <c r="Y1687" s="189" t="inlineStr">
        <is>
          <t>WEAPONIZED</t>
        </is>
      </c>
      <c r="Z1687" s="189" t="inlineStr">
        <is>
          <t>CHECK_VENDOR</t>
        </is>
      </c>
      <c r="AA1687" s="190" t="inlineStr">
        <is>
          <t>https://www.rapid7.com/db/search/?q=CVE-2022-26923</t>
        </is>
      </c>
      <c r="AB1687" s="189" t="inlineStr">
        <is>
          <t>NONE</t>
        </is>
      </c>
      <c r="AC1687" s="189" t="n">
        <v>0</v>
      </c>
      <c r="AD1687" s="189" t="n"/>
    </row>
    <row r="1688">
      <c r="A1688" s="189" t="inlineStr">
        <is>
          <t>MSF_MODULE</t>
        </is>
      </c>
      <c r="B1688" s="189" t="inlineStr">
        <is>
          <t>CVE-2009-4655</t>
        </is>
      </c>
      <c r="C1688" s="189" t="inlineStr">
        <is>
          <t>Metasploit module available: Novell eDirectory DHOST Predictable Session Cookie | Type: auxiliary_admin | CVE-2009-4655</t>
        </is>
      </c>
      <c r="D1688" s="189" t="n">
        <v>7.5</v>
      </c>
      <c r="E1688" s="189" t="inlineStr">
        <is>
          <t>HIGH</t>
        </is>
      </c>
      <c r="F1688" s="189" t="n">
        <v>3</v>
      </c>
      <c r="G1688" s="189" t="n">
        <v>3</v>
      </c>
      <c r="H1688" s="189" t="inlineStr">
        <is>
          <t>CRITICAL</t>
        </is>
      </c>
      <c r="I1688" s="189" t="n">
        <v>16.5</v>
      </c>
      <c r="J1688" s="189" t="inlineStr">
        <is>
          <t>NO</t>
        </is>
      </c>
      <c r="K1688" s="190" t="inlineStr">
        <is>
          <t>https://nvd.nist.gov/vuln/detail/CVE-2009-4655</t>
        </is>
      </c>
      <c r="L1688" s="189" t="inlineStr">
        <is>
          <t>2026-02-23 23:48</t>
        </is>
      </c>
      <c r="M1688" s="189" t="inlineStr">
        <is>
          <t>PATCH_IMMEDIATELY</t>
        </is>
      </c>
      <c r="N1688" s="190" t="inlineStr">
        <is>
          <t>https://nvd.nist.gov/vuln/detail/CVE-2009-4655</t>
        </is>
      </c>
      <c r="O1688" s="189" t="inlineStr">
        <is>
          <t>Patch CVE-2009-4655 immediately — weaponized Metasploit module in public release | Module: Novell eDirectory DHOST Predictable Session Cookie</t>
        </is>
      </c>
      <c r="P1688" s="189" t="inlineStr">
        <is>
          <t>See CVE details</t>
        </is>
      </c>
      <c r="Q1688" s="189" t="inlineStr">
        <is>
          <t>P2</t>
        </is>
      </c>
      <c r="R1688" s="189" t="inlineStr">
        <is>
          <t>🔍 Investigate and apply appropriate controls</t>
        </is>
      </c>
      <c r="S1688" s="189" t="inlineStr">
        <is>
          <t>Rapid7 MSF: Novell eDirectory DHOST Predictable Session Cookie | Module type: auxiliary_admin</t>
        </is>
      </c>
      <c r="T1688" s="189" t="n">
        <v>0</v>
      </c>
      <c r="U1688" s="189" t="n">
        <v>0</v>
      </c>
      <c r="V1688" s="189" t="inlineStr">
        <is>
          <t>T1203:Exploitation for Client Execution | T1190:Exploit Public-Facing Application</t>
        </is>
      </c>
      <c r="W1688" s="189" t="n">
        <v>2</v>
      </c>
      <c r="X1688" s="189" t="inlineStr">
        <is>
          <t>HIGH (72%)</t>
        </is>
      </c>
      <c r="Y1688" s="189" t="inlineStr">
        <is>
          <t>WEAPONIZED</t>
        </is>
      </c>
      <c r="Z1688" s="189" t="inlineStr">
        <is>
          <t>CHECK_VENDOR</t>
        </is>
      </c>
      <c r="AA1688" s="190" t="inlineStr">
        <is>
          <t>https://www.rapid7.com/db/search/?q=CVE-2009-4655</t>
        </is>
      </c>
      <c r="AB1688" s="189" t="inlineStr">
        <is>
          <t>NONE</t>
        </is>
      </c>
      <c r="AC1688" s="189" t="n">
        <v>0</v>
      </c>
      <c r="AD1688" s="189" t="n"/>
    </row>
    <row r="1689">
      <c r="A1689" s="189" t="inlineStr">
        <is>
          <t>MSF_MODULE</t>
        </is>
      </c>
      <c r="B1689" s="189" t="inlineStr">
        <is>
          <t>CVE-2008-0926</t>
        </is>
      </c>
      <c r="C1689" s="189" t="inlineStr">
        <is>
          <t>Metasploit module available: Novell eDirectory eMBox Unauthenticated File Access | Type: auxiliary_admin | CVE-2008-0926</t>
        </is>
      </c>
      <c r="D1689" s="189" t="n">
        <v>7.5</v>
      </c>
      <c r="E1689" s="189" t="inlineStr">
        <is>
          <t>HIGH</t>
        </is>
      </c>
      <c r="F1689" s="189" t="n">
        <v>3</v>
      </c>
      <c r="G1689" s="189" t="n">
        <v>3</v>
      </c>
      <c r="H1689" s="189" t="inlineStr">
        <is>
          <t>CRITICAL</t>
        </is>
      </c>
      <c r="I1689" s="189" t="n">
        <v>16.5</v>
      </c>
      <c r="J1689" s="189" t="inlineStr">
        <is>
          <t>NO</t>
        </is>
      </c>
      <c r="K1689" s="190" t="inlineStr">
        <is>
          <t>https://nvd.nist.gov/vuln/detail/CVE-2008-0926</t>
        </is>
      </c>
      <c r="L1689" s="189" t="inlineStr">
        <is>
          <t>2026-02-23 23:48</t>
        </is>
      </c>
      <c r="M1689" s="189" t="inlineStr">
        <is>
          <t>PATCH_IMMEDIATELY</t>
        </is>
      </c>
      <c r="N1689" s="190" t="inlineStr">
        <is>
          <t>https://nvd.nist.gov/vuln/detail/CVE-2008-0926</t>
        </is>
      </c>
      <c r="O1689" s="189" t="inlineStr">
        <is>
          <t>Patch CVE-2008-0926 immediately — weaponized Metasploit module in public release | Module: Novell eDirectory eMBox Unauthenticated File Access</t>
        </is>
      </c>
      <c r="P1689" s="189" t="inlineStr">
        <is>
          <t>See CVE details</t>
        </is>
      </c>
      <c r="Q1689" s="189" t="inlineStr">
        <is>
          <t>P2</t>
        </is>
      </c>
      <c r="R1689" s="189" t="inlineStr">
        <is>
          <t>🔍 Investigate and apply appropriate controls</t>
        </is>
      </c>
      <c r="S1689" s="189" t="inlineStr">
        <is>
          <t>Rapid7 MSF: Novell eDirectory eMBox Unauthenticated File Access | Module type: auxiliary_admin</t>
        </is>
      </c>
      <c r="T1689" s="189" t="n">
        <v>0</v>
      </c>
      <c r="U1689" s="189" t="n">
        <v>0</v>
      </c>
      <c r="V1689" s="189" t="inlineStr">
        <is>
          <t>T1203:Exploitation for Client Execution | T1190:Exploit Public-Facing Application</t>
        </is>
      </c>
      <c r="W1689" s="189" t="n">
        <v>2</v>
      </c>
      <c r="X1689" s="189" t="inlineStr">
        <is>
          <t>HIGH (72%)</t>
        </is>
      </c>
      <c r="Y1689" s="189" t="inlineStr">
        <is>
          <t>WEAPONIZED</t>
        </is>
      </c>
      <c r="Z1689" s="189" t="inlineStr">
        <is>
          <t>CHECK_VENDOR</t>
        </is>
      </c>
      <c r="AA1689" s="190" t="inlineStr">
        <is>
          <t>https://www.rapid7.com/db/search/?q=CVE-2008-0926</t>
        </is>
      </c>
      <c r="AB1689" s="189" t="inlineStr">
        <is>
          <t>NONE</t>
        </is>
      </c>
      <c r="AC1689" s="189" t="n">
        <v>0</v>
      </c>
      <c r="AD1689" s="189" t="n"/>
    </row>
    <row r="1690">
      <c r="A1690" s="189" t="inlineStr">
        <is>
          <t>MSF_MODULE</t>
        </is>
      </c>
      <c r="B1690" s="189" t="inlineStr">
        <is>
          <t>CVE-2008-2157</t>
        </is>
      </c>
      <c r="C1690" s="189" t="inlineStr">
        <is>
          <t>Metasploit module available: EMC AlphaStor Device Manager Arbitrary Command Execution | Type: auxiliary_admin | CVE-2008-2157</t>
        </is>
      </c>
      <c r="D1690" s="189" t="n">
        <v>7.5</v>
      </c>
      <c r="E1690" s="189" t="inlineStr">
        <is>
          <t>HIGH</t>
        </is>
      </c>
      <c r="F1690" s="189" t="n">
        <v>3</v>
      </c>
      <c r="G1690" s="189" t="n">
        <v>3</v>
      </c>
      <c r="H1690" s="189" t="inlineStr">
        <is>
          <t>CRITICAL</t>
        </is>
      </c>
      <c r="I1690" s="189" t="n">
        <v>16.5</v>
      </c>
      <c r="J1690" s="189" t="inlineStr">
        <is>
          <t>NO</t>
        </is>
      </c>
      <c r="K1690" s="190" t="inlineStr">
        <is>
          <t>https://nvd.nist.gov/vuln/detail/CVE-2008-2157</t>
        </is>
      </c>
      <c r="L1690" s="189" t="inlineStr">
        <is>
          <t>2026-02-23 23:48</t>
        </is>
      </c>
      <c r="M1690" s="189" t="inlineStr">
        <is>
          <t>PATCH_IMMEDIATELY</t>
        </is>
      </c>
      <c r="N1690" s="190" t="inlineStr">
        <is>
          <t>https://nvd.nist.gov/vuln/detail/CVE-2008-2157</t>
        </is>
      </c>
      <c r="O1690" s="189" t="inlineStr">
        <is>
          <t>Patch CVE-2008-2157 immediately — weaponized Metasploit module in public release | Module: EMC AlphaStor Device Manager Arbitrary Command Execution</t>
        </is>
      </c>
      <c r="P1690" s="189" t="inlineStr">
        <is>
          <t>See CVE details</t>
        </is>
      </c>
      <c r="Q1690" s="189" t="inlineStr">
        <is>
          <t>P2</t>
        </is>
      </c>
      <c r="R1690" s="189" t="inlineStr">
        <is>
          <t>🔍 Investigate and apply appropriate controls</t>
        </is>
      </c>
      <c r="S1690" s="189" t="inlineStr">
        <is>
          <t>Rapid7 MSF: EMC AlphaStor Device Manager Arbitrary Command Execution | Module type: auxiliary_admin</t>
        </is>
      </c>
      <c r="T1690" s="189" t="n">
        <v>0</v>
      </c>
      <c r="U1690" s="189" t="n">
        <v>0</v>
      </c>
      <c r="V1690" s="189" t="inlineStr">
        <is>
          <t>T1203:Exploitation for Client Execution | T1190:Exploit Public-Facing Application</t>
        </is>
      </c>
      <c r="W1690" s="189" t="n">
        <v>2</v>
      </c>
      <c r="X1690" s="189" t="inlineStr">
        <is>
          <t>HIGH (72%)</t>
        </is>
      </c>
      <c r="Y1690" s="189" t="inlineStr">
        <is>
          <t>WEAPONIZED</t>
        </is>
      </c>
      <c r="Z1690" s="189" t="inlineStr">
        <is>
          <t>CHECK_VENDOR</t>
        </is>
      </c>
      <c r="AA1690" s="190" t="inlineStr">
        <is>
          <t>https://www.rapid7.com/db/search/?q=CVE-2008-2157</t>
        </is>
      </c>
      <c r="AB1690" s="189" t="inlineStr">
        <is>
          <t>NONE</t>
        </is>
      </c>
      <c r="AC1690" s="189" t="n">
        <v>0</v>
      </c>
      <c r="AD1690" s="189" t="n"/>
    </row>
    <row r="1691">
      <c r="A1691" s="189" t="inlineStr">
        <is>
          <t>MSF_MODULE</t>
        </is>
      </c>
      <c r="B1691" s="189" t="inlineStr">
        <is>
          <t>CVE-2011-0923</t>
        </is>
      </c>
      <c r="C1691" s="189" t="inlineStr">
        <is>
          <t>Metasploit module available: HP Data Protector 6.1 EXEC_CMD Command Execution | Type: auxiliary_admin | CVE-2011-0923</t>
        </is>
      </c>
      <c r="D1691" s="189" t="n">
        <v>7.5</v>
      </c>
      <c r="E1691" s="189" t="inlineStr">
        <is>
          <t>HIGH</t>
        </is>
      </c>
      <c r="F1691" s="189" t="n">
        <v>3</v>
      </c>
      <c r="G1691" s="189" t="n">
        <v>3</v>
      </c>
      <c r="H1691" s="189" t="inlineStr">
        <is>
          <t>CRITICAL</t>
        </is>
      </c>
      <c r="I1691" s="189" t="n">
        <v>16.5</v>
      </c>
      <c r="J1691" s="189" t="inlineStr">
        <is>
          <t>NO</t>
        </is>
      </c>
      <c r="K1691" s="190" t="inlineStr">
        <is>
          <t>https://nvd.nist.gov/vuln/detail/CVE-2011-0923</t>
        </is>
      </c>
      <c r="L1691" s="189" t="inlineStr">
        <is>
          <t>2026-02-23 23:48</t>
        </is>
      </c>
      <c r="M1691" s="189" t="inlineStr">
        <is>
          <t>PATCH_IMMEDIATELY</t>
        </is>
      </c>
      <c r="N1691" s="190" t="inlineStr">
        <is>
          <t>https://nvd.nist.gov/vuln/detail/CVE-2011-0923</t>
        </is>
      </c>
      <c r="O1691" s="189" t="inlineStr">
        <is>
          <t>Patch CVE-2011-0923 immediately — weaponized Metasploit module in public release | Module: HP Data Protector 6.1 EXEC_CMD Command Execution</t>
        </is>
      </c>
      <c r="P1691" s="189" t="inlineStr">
        <is>
          <t>See CVE details</t>
        </is>
      </c>
      <c r="Q1691" s="189" t="inlineStr">
        <is>
          <t>P2</t>
        </is>
      </c>
      <c r="R1691" s="189" t="inlineStr">
        <is>
          <t>🔍 Investigate and apply appropriate controls</t>
        </is>
      </c>
      <c r="S1691" s="189" t="inlineStr">
        <is>
          <t>Rapid7 MSF: HP Data Protector 6.1 EXEC_CMD Command Execution | Module type: auxiliary_admin</t>
        </is>
      </c>
      <c r="T1691" s="189" t="n">
        <v>0</v>
      </c>
      <c r="U1691" s="189" t="n">
        <v>0</v>
      </c>
      <c r="V1691" s="189" t="inlineStr">
        <is>
          <t>T1203:Exploitation for Client Execution | T1190:Exploit Public-Facing Application</t>
        </is>
      </c>
      <c r="W1691" s="189" t="n">
        <v>2</v>
      </c>
      <c r="X1691" s="189" t="inlineStr">
        <is>
          <t>HIGH (72%)</t>
        </is>
      </c>
      <c r="Y1691" s="189" t="inlineStr">
        <is>
          <t>WEAPONIZED</t>
        </is>
      </c>
      <c r="Z1691" s="189" t="inlineStr">
        <is>
          <t>CHECK_VENDOR</t>
        </is>
      </c>
      <c r="AA1691" s="190" t="inlineStr">
        <is>
          <t>https://www.rapid7.com/db/search/?q=CVE-2011-0923</t>
        </is>
      </c>
      <c r="AB1691" s="189" t="inlineStr">
        <is>
          <t>NONE</t>
        </is>
      </c>
      <c r="AC1691" s="189" t="n">
        <v>0</v>
      </c>
      <c r="AD1691" s="189" t="n"/>
    </row>
    <row r="1692">
      <c r="A1692" s="189" t="inlineStr">
        <is>
          <t>MSF_MODULE</t>
        </is>
      </c>
      <c r="B1692" s="189" t="inlineStr">
        <is>
          <t>CVE-2017-12542</t>
        </is>
      </c>
      <c r="C1692" s="189" t="inlineStr">
        <is>
          <t>Metasploit module available: HP iLO 4 1.00-2.50 Authentication Bypass Administrator Account Creation | Type: auxiliary_admin | CVE-2017-12542</t>
        </is>
      </c>
      <c r="D1692" s="189" t="n">
        <v>7.5</v>
      </c>
      <c r="E1692" s="189" t="inlineStr">
        <is>
          <t>HIGH</t>
        </is>
      </c>
      <c r="F1692" s="189" t="n">
        <v>3</v>
      </c>
      <c r="G1692" s="189" t="n">
        <v>3</v>
      </c>
      <c r="H1692" s="189" t="inlineStr">
        <is>
          <t>CRITICAL</t>
        </is>
      </c>
      <c r="I1692" s="189" t="n">
        <v>16.5</v>
      </c>
      <c r="J1692" s="189" t="inlineStr">
        <is>
          <t>NO</t>
        </is>
      </c>
      <c r="K1692" s="190" t="inlineStr">
        <is>
          <t>https://nvd.nist.gov/vuln/detail/CVE-2017-12542</t>
        </is>
      </c>
      <c r="L1692" s="189" t="inlineStr">
        <is>
          <t>2026-02-23 23:48</t>
        </is>
      </c>
      <c r="M1692" s="189" t="inlineStr">
        <is>
          <t>PATCH_IMMEDIATELY</t>
        </is>
      </c>
      <c r="N1692" s="190" t="inlineStr">
        <is>
          <t>https://nvd.nist.gov/vuln/detail/CVE-2017-12542</t>
        </is>
      </c>
      <c r="O1692" s="189" t="inlineStr">
        <is>
          <t>Patch CVE-2017-12542 immediately — weaponized Metasploit module in public release | Module: HP iLO 4 1.00-2.50 Authentication Bypass Administrator Account Creation</t>
        </is>
      </c>
      <c r="P1692" s="189" t="inlineStr">
        <is>
          <t>See CVE details</t>
        </is>
      </c>
      <c r="Q1692" s="189" t="inlineStr">
        <is>
          <t>P2</t>
        </is>
      </c>
      <c r="R1692" s="189" t="inlineStr">
        <is>
          <t>🔍 Investigate and apply appropriate controls</t>
        </is>
      </c>
      <c r="S1692" s="189" t="inlineStr">
        <is>
          <t>Rapid7 MSF: HP iLO 4 1.00-2.50 Authentication Bypass Administrator Account Creation | Module type: auxiliary_admin</t>
        </is>
      </c>
      <c r="T1692" s="189" t="n">
        <v>0</v>
      </c>
      <c r="U1692" s="189" t="n">
        <v>0</v>
      </c>
      <c r="V1692" s="189" t="inlineStr">
        <is>
          <t>T1203:Exploitation for Client Execution | T1190:Exploit Public-Facing Application</t>
        </is>
      </c>
      <c r="W1692" s="189" t="n">
        <v>2</v>
      </c>
      <c r="X1692" s="189" t="inlineStr">
        <is>
          <t>HIGH (72%)</t>
        </is>
      </c>
      <c r="Y1692" s="189" t="inlineStr">
        <is>
          <t>WEAPONIZED</t>
        </is>
      </c>
      <c r="Z1692" s="189" t="inlineStr">
        <is>
          <t>CHECK_VENDOR</t>
        </is>
      </c>
      <c r="AA1692" s="190" t="inlineStr">
        <is>
          <t>https://www.rapid7.com/db/search/?q=CVE-2017-12542</t>
        </is>
      </c>
      <c r="AB1692" s="189" t="inlineStr">
        <is>
          <t>NONE</t>
        </is>
      </c>
      <c r="AC1692" s="189" t="n">
        <v>0</v>
      </c>
      <c r="AD1692" s="189" t="n"/>
    </row>
    <row r="1693">
      <c r="A1693" s="189" t="inlineStr">
        <is>
          <t>MSF_MODULE</t>
        </is>
      </c>
      <c r="B1693" s="189" t="inlineStr">
        <is>
          <t>CVE-2013-4824</t>
        </is>
      </c>
      <c r="C1693" s="189" t="inlineStr">
        <is>
          <t>Metasploit module available: HP Intelligent Management SOM Account Creation | Type: auxiliary_admin | CVE-2013-4824</t>
        </is>
      </c>
      <c r="D1693" s="189" t="n">
        <v>7.5</v>
      </c>
      <c r="E1693" s="189" t="inlineStr">
        <is>
          <t>HIGH</t>
        </is>
      </c>
      <c r="F1693" s="189" t="n">
        <v>3</v>
      </c>
      <c r="G1693" s="189" t="n">
        <v>3</v>
      </c>
      <c r="H1693" s="189" t="inlineStr">
        <is>
          <t>CRITICAL</t>
        </is>
      </c>
      <c r="I1693" s="189" t="n">
        <v>16.5</v>
      </c>
      <c r="J1693" s="189" t="inlineStr">
        <is>
          <t>NO</t>
        </is>
      </c>
      <c r="K1693" s="190" t="inlineStr">
        <is>
          <t>https://nvd.nist.gov/vuln/detail/CVE-2013-4824</t>
        </is>
      </c>
      <c r="L1693" s="189" t="inlineStr">
        <is>
          <t>2026-02-23 23:48</t>
        </is>
      </c>
      <c r="M1693" s="189" t="inlineStr">
        <is>
          <t>PATCH_IMMEDIATELY</t>
        </is>
      </c>
      <c r="N1693" s="190" t="inlineStr">
        <is>
          <t>https://nvd.nist.gov/vuln/detail/CVE-2013-4824</t>
        </is>
      </c>
      <c r="O1693" s="189" t="inlineStr">
        <is>
          <t>Patch CVE-2013-4824 immediately — weaponized Metasploit module in public release | Module: HP Intelligent Management SOM Account Creation</t>
        </is>
      </c>
      <c r="P1693" s="189" t="inlineStr">
        <is>
          <t>See CVE details</t>
        </is>
      </c>
      <c r="Q1693" s="189" t="inlineStr">
        <is>
          <t>P2</t>
        </is>
      </c>
      <c r="R1693" s="189" t="inlineStr">
        <is>
          <t>🔍 Investigate and apply appropriate controls</t>
        </is>
      </c>
      <c r="S1693" s="189" t="inlineStr">
        <is>
          <t>Rapid7 MSF: HP Intelligent Management SOM Account Creation | Module type: auxiliary_admin</t>
        </is>
      </c>
      <c r="T1693" s="189" t="n">
        <v>0</v>
      </c>
      <c r="U1693" s="189" t="n">
        <v>0</v>
      </c>
      <c r="V1693" s="189" t="inlineStr">
        <is>
          <t>T1203:Exploitation for Client Execution | T1190:Exploit Public-Facing Application</t>
        </is>
      </c>
      <c r="W1693" s="189" t="n">
        <v>2</v>
      </c>
      <c r="X1693" s="189" t="inlineStr">
        <is>
          <t>HIGH (72%)</t>
        </is>
      </c>
      <c r="Y1693" s="189" t="inlineStr">
        <is>
          <t>WEAPONIZED</t>
        </is>
      </c>
      <c r="Z1693" s="189" t="inlineStr">
        <is>
          <t>CHECK_VENDOR</t>
        </is>
      </c>
      <c r="AA1693" s="190" t="inlineStr">
        <is>
          <t>https://www.rapid7.com/db/search/?q=CVE-2013-4824</t>
        </is>
      </c>
      <c r="AB1693" s="189" t="inlineStr">
        <is>
          <t>NONE</t>
        </is>
      </c>
      <c r="AC1693" s="189" t="n">
        <v>0</v>
      </c>
      <c r="AD1693" s="189" t="n"/>
    </row>
    <row r="1694">
      <c r="A1694" s="189" t="inlineStr">
        <is>
          <t>MSF_MODULE</t>
        </is>
      </c>
      <c r="B1694" s="189" t="inlineStr">
        <is>
          <t>CVE-2014-9222</t>
        </is>
      </c>
      <c r="C1694" s="189" t="inlineStr">
        <is>
          <t>Metasploit module available: Allegro Software RomPager 'Misfortune Cookie' (CVE-2014-9222) Authentication Byp | Type: auxiliary_admin | CVE-2014-9222</t>
        </is>
      </c>
      <c r="D1694" s="189" t="n">
        <v>7.5</v>
      </c>
      <c r="E1694" s="189" t="inlineStr">
        <is>
          <t>HIGH</t>
        </is>
      </c>
      <c r="F1694" s="189" t="n">
        <v>3</v>
      </c>
      <c r="G1694" s="189" t="n">
        <v>3</v>
      </c>
      <c r="H1694" s="189" t="inlineStr">
        <is>
          <t>CRITICAL</t>
        </is>
      </c>
      <c r="I1694" s="189" t="n">
        <v>16.5</v>
      </c>
      <c r="J1694" s="189" t="inlineStr">
        <is>
          <t>NO</t>
        </is>
      </c>
      <c r="K1694" s="190" t="inlineStr">
        <is>
          <t>https://nvd.nist.gov/vuln/detail/CVE-2014-9222</t>
        </is>
      </c>
      <c r="L1694" s="189" t="inlineStr">
        <is>
          <t>2026-02-23 23:48</t>
        </is>
      </c>
      <c r="M1694" s="189" t="inlineStr">
        <is>
          <t>PATCH_IMMEDIATELY</t>
        </is>
      </c>
      <c r="N1694" s="190" t="inlineStr">
        <is>
          <t>https://nvd.nist.gov/vuln/detail/CVE-2014-9222</t>
        </is>
      </c>
      <c r="O1694" s="189" t="inlineStr">
        <is>
          <t>Patch CVE-2014-9222 immediately — weaponized Metasploit module in public release | Module: Allegro Software RomPager 'Misfortune Cookie' (CVE-2014-9222) Authentication Byp</t>
        </is>
      </c>
      <c r="P1694" s="189" t="inlineStr">
        <is>
          <t>See CVE details</t>
        </is>
      </c>
      <c r="Q1694" s="189" t="inlineStr">
        <is>
          <t>P2</t>
        </is>
      </c>
      <c r="R1694" s="189" t="inlineStr">
        <is>
          <t>🔍 Investigate and apply appropriate controls</t>
        </is>
      </c>
      <c r="S1694" s="189" t="inlineStr">
        <is>
          <t>Rapid7 MSF: Allegro Software RomPager 'Misfortune Cookie' (CVE-2014-9222) Authentication Byp | Module type: auxiliary_admin</t>
        </is>
      </c>
      <c r="T1694" s="189" t="n">
        <v>0</v>
      </c>
      <c r="U1694" s="189" t="n">
        <v>0</v>
      </c>
      <c r="V1694" s="189" t="inlineStr">
        <is>
          <t>T1203:Exploitation for Client Execution | T1190:Exploit Public-Facing Application</t>
        </is>
      </c>
      <c r="W1694" s="189" t="n">
        <v>2</v>
      </c>
      <c r="X1694" s="189" t="inlineStr">
        <is>
          <t>HIGH (72%)</t>
        </is>
      </c>
      <c r="Y1694" s="189" t="inlineStr">
        <is>
          <t>WEAPONIZED</t>
        </is>
      </c>
      <c r="Z1694" s="189" t="inlineStr">
        <is>
          <t>CHECK_VENDOR</t>
        </is>
      </c>
      <c r="AA1694" s="190" t="inlineStr">
        <is>
          <t>https://www.rapid7.com/db/search/?q=CVE-2014-9222</t>
        </is>
      </c>
      <c r="AB1694" s="189" t="inlineStr">
        <is>
          <t>NONE</t>
        </is>
      </c>
      <c r="AC1694" s="189" t="n">
        <v>0</v>
      </c>
      <c r="AD1694" s="189" t="n"/>
    </row>
    <row r="1695">
      <c r="A1695" s="189" t="inlineStr">
        <is>
          <t>MSF_MODULE</t>
        </is>
      </c>
      <c r="B1695" s="189" t="inlineStr">
        <is>
          <t>CVE-2015-0964</t>
        </is>
      </c>
      <c r="C1695" s="189" t="inlineStr">
        <is>
          <t>Metasploit module available: Arris / Motorola Surfboard SBG6580 Web Interface Takeover | Type: auxiliary_admin | CVE-2015-0964</t>
        </is>
      </c>
      <c r="D1695" s="189" t="n">
        <v>7.5</v>
      </c>
      <c r="E1695" s="189" t="inlineStr">
        <is>
          <t>HIGH</t>
        </is>
      </c>
      <c r="F1695" s="189" t="n">
        <v>3</v>
      </c>
      <c r="G1695" s="189" t="n">
        <v>3</v>
      </c>
      <c r="H1695" s="189" t="inlineStr">
        <is>
          <t>CRITICAL</t>
        </is>
      </c>
      <c r="I1695" s="189" t="n">
        <v>16.5</v>
      </c>
      <c r="J1695" s="189" t="inlineStr">
        <is>
          <t>NO</t>
        </is>
      </c>
      <c r="K1695" s="190" t="inlineStr">
        <is>
          <t>https://nvd.nist.gov/vuln/detail/CVE-2015-0964</t>
        </is>
      </c>
      <c r="L1695" s="189" t="inlineStr">
        <is>
          <t>2026-02-23 23:48</t>
        </is>
      </c>
      <c r="M1695" s="189" t="inlineStr">
        <is>
          <t>PATCH_IMMEDIATELY</t>
        </is>
      </c>
      <c r="N1695" s="190" t="inlineStr">
        <is>
          <t>https://nvd.nist.gov/vuln/detail/CVE-2015-0964</t>
        </is>
      </c>
      <c r="O1695" s="189" t="inlineStr">
        <is>
          <t>Patch CVE-2015-0964 immediately — weaponized Metasploit module in public release | Module: Arris / Motorola Surfboard SBG6580 Web Interface Takeover</t>
        </is>
      </c>
      <c r="P1695" s="189" t="inlineStr">
        <is>
          <t>See CVE details</t>
        </is>
      </c>
      <c r="Q1695" s="189" t="inlineStr">
        <is>
          <t>P2</t>
        </is>
      </c>
      <c r="R1695" s="189" t="inlineStr">
        <is>
          <t>🔍 Investigate and apply appropriate controls</t>
        </is>
      </c>
      <c r="S1695" s="189" t="inlineStr">
        <is>
          <t>Rapid7 MSF: Arris / Motorola Surfboard SBG6580 Web Interface Takeover | Module type: auxiliary_admin</t>
        </is>
      </c>
      <c r="T1695" s="189" t="n">
        <v>0</v>
      </c>
      <c r="U1695" s="189" t="n">
        <v>0</v>
      </c>
      <c r="V1695" s="189" t="inlineStr">
        <is>
          <t>T1203:Exploitation for Client Execution | T1190:Exploit Public-Facing Application</t>
        </is>
      </c>
      <c r="W1695" s="189" t="n">
        <v>2</v>
      </c>
      <c r="X1695" s="189" t="inlineStr">
        <is>
          <t>HIGH (72%)</t>
        </is>
      </c>
      <c r="Y1695" s="189" t="inlineStr">
        <is>
          <t>WEAPONIZED</t>
        </is>
      </c>
      <c r="Z1695" s="189" t="inlineStr">
        <is>
          <t>CHECK_VENDOR</t>
        </is>
      </c>
      <c r="AA1695" s="190" t="inlineStr">
        <is>
          <t>https://www.rapid7.com/db/search/?q=CVE-2015-0964</t>
        </is>
      </c>
      <c r="AB1695" s="189" t="inlineStr">
        <is>
          <t>NONE</t>
        </is>
      </c>
      <c r="AC1695" s="189" t="n">
        <v>0</v>
      </c>
      <c r="AD1695" s="189" t="n"/>
    </row>
    <row r="1696">
      <c r="A1696" s="189" t="inlineStr">
        <is>
          <t>MSF_MODULE</t>
        </is>
      </c>
      <c r="B1696" s="189" t="inlineStr">
        <is>
          <t>CVE-2015-0965</t>
        </is>
      </c>
      <c r="C1696" s="189" t="inlineStr">
        <is>
          <t>Metasploit module available: Arris / Motorola Surfboard SBG6580 Web Interface Takeover | Type: auxiliary_admin | CVE-2015-0965</t>
        </is>
      </c>
      <c r="D1696" s="189" t="n">
        <v>7.5</v>
      </c>
      <c r="E1696" s="189" t="inlineStr">
        <is>
          <t>HIGH</t>
        </is>
      </c>
      <c r="F1696" s="189" t="n">
        <v>3</v>
      </c>
      <c r="G1696" s="189" t="n">
        <v>3</v>
      </c>
      <c r="H1696" s="189" t="inlineStr">
        <is>
          <t>CRITICAL</t>
        </is>
      </c>
      <c r="I1696" s="189" t="n">
        <v>16.5</v>
      </c>
      <c r="J1696" s="189" t="inlineStr">
        <is>
          <t>NO</t>
        </is>
      </c>
      <c r="K1696" s="190" t="inlineStr">
        <is>
          <t>https://nvd.nist.gov/vuln/detail/CVE-2015-0965</t>
        </is>
      </c>
      <c r="L1696" s="189" t="inlineStr">
        <is>
          <t>2026-02-23 23:48</t>
        </is>
      </c>
      <c r="M1696" s="189" t="inlineStr">
        <is>
          <t>PATCH_IMMEDIATELY</t>
        </is>
      </c>
      <c r="N1696" s="190" t="inlineStr">
        <is>
          <t>https://nvd.nist.gov/vuln/detail/CVE-2015-0965</t>
        </is>
      </c>
      <c r="O1696" s="189" t="inlineStr">
        <is>
          <t>Patch CVE-2015-0965 immediately — weaponized Metasploit module in public release | Module: Arris / Motorola Surfboard SBG6580 Web Interface Takeover</t>
        </is>
      </c>
      <c r="P1696" s="189" t="inlineStr">
        <is>
          <t>See CVE details</t>
        </is>
      </c>
      <c r="Q1696" s="189" t="inlineStr">
        <is>
          <t>P2</t>
        </is>
      </c>
      <c r="R1696" s="189" t="inlineStr">
        <is>
          <t>🔍 Investigate and apply appropriate controls</t>
        </is>
      </c>
      <c r="S1696" s="189" t="inlineStr">
        <is>
          <t>Rapid7 MSF: Arris / Motorola Surfboard SBG6580 Web Interface Takeover | Module type: auxiliary_admin</t>
        </is>
      </c>
      <c r="T1696" s="189" t="n">
        <v>0</v>
      </c>
      <c r="U1696" s="189" t="n">
        <v>0</v>
      </c>
      <c r="V1696" s="189" t="inlineStr">
        <is>
          <t>T1203:Exploitation for Client Execution | T1190:Exploit Public-Facing Application</t>
        </is>
      </c>
      <c r="W1696" s="189" t="n">
        <v>2</v>
      </c>
      <c r="X1696" s="189" t="inlineStr">
        <is>
          <t>HIGH (72%)</t>
        </is>
      </c>
      <c r="Y1696" s="189" t="inlineStr">
        <is>
          <t>WEAPONIZED</t>
        </is>
      </c>
      <c r="Z1696" s="189" t="inlineStr">
        <is>
          <t>CHECK_VENDOR</t>
        </is>
      </c>
      <c r="AA1696" s="190" t="inlineStr">
        <is>
          <t>https://www.rapid7.com/db/search/?q=CVE-2015-0965</t>
        </is>
      </c>
      <c r="AB1696" s="189" t="inlineStr">
        <is>
          <t>NONE</t>
        </is>
      </c>
      <c r="AC1696" s="189" t="n">
        <v>0</v>
      </c>
      <c r="AD1696" s="189" t="n"/>
    </row>
    <row r="1697">
      <c r="A1697" s="189" t="inlineStr">
        <is>
          <t>MSF_MODULE</t>
        </is>
      </c>
      <c r="B1697" s="189" t="inlineStr">
        <is>
          <t>CVE-2015-0966</t>
        </is>
      </c>
      <c r="C1697" s="189" t="inlineStr">
        <is>
          <t>Metasploit module available: Arris / Motorola Surfboard SBG6580 Web Interface Takeover | Type: auxiliary_admin | CVE-2015-0966</t>
        </is>
      </c>
      <c r="D1697" s="189" t="n">
        <v>7.5</v>
      </c>
      <c r="E1697" s="189" t="inlineStr">
        <is>
          <t>HIGH</t>
        </is>
      </c>
      <c r="F1697" s="189" t="n">
        <v>3</v>
      </c>
      <c r="G1697" s="189" t="n">
        <v>3</v>
      </c>
      <c r="H1697" s="189" t="inlineStr">
        <is>
          <t>CRITICAL</t>
        </is>
      </c>
      <c r="I1697" s="189" t="n">
        <v>16.5</v>
      </c>
      <c r="J1697" s="189" t="inlineStr">
        <is>
          <t>NO</t>
        </is>
      </c>
      <c r="K1697" s="190" t="inlineStr">
        <is>
          <t>https://nvd.nist.gov/vuln/detail/CVE-2015-0966</t>
        </is>
      </c>
      <c r="L1697" s="189" t="inlineStr">
        <is>
          <t>2026-02-23 23:48</t>
        </is>
      </c>
      <c r="M1697" s="189" t="inlineStr">
        <is>
          <t>PATCH_IMMEDIATELY</t>
        </is>
      </c>
      <c r="N1697" s="190" t="inlineStr">
        <is>
          <t>https://nvd.nist.gov/vuln/detail/CVE-2015-0966</t>
        </is>
      </c>
      <c r="O1697" s="189" t="inlineStr">
        <is>
          <t>Patch CVE-2015-0966 immediately — weaponized Metasploit module in public release | Module: Arris / Motorola Surfboard SBG6580 Web Interface Takeover</t>
        </is>
      </c>
      <c r="P1697" s="189" t="inlineStr">
        <is>
          <t>See CVE details</t>
        </is>
      </c>
      <c r="Q1697" s="189" t="inlineStr">
        <is>
          <t>P2</t>
        </is>
      </c>
      <c r="R1697" s="189" t="inlineStr">
        <is>
          <t>🔍 Investigate and apply appropriate controls</t>
        </is>
      </c>
      <c r="S1697" s="189" t="inlineStr">
        <is>
          <t>Rapid7 MSF: Arris / Motorola Surfboard SBG6580 Web Interface Takeover | Module type: auxiliary_admin</t>
        </is>
      </c>
      <c r="T1697" s="189" t="n">
        <v>0</v>
      </c>
      <c r="U1697" s="189" t="n">
        <v>0</v>
      </c>
      <c r="V1697" s="189" t="inlineStr">
        <is>
          <t>T1203:Exploitation for Client Execution | T1190:Exploit Public-Facing Application</t>
        </is>
      </c>
      <c r="W1697" s="189" t="n">
        <v>2</v>
      </c>
      <c r="X1697" s="189" t="inlineStr">
        <is>
          <t>HIGH (72%)</t>
        </is>
      </c>
      <c r="Y1697" s="189" t="inlineStr">
        <is>
          <t>WEAPONIZED</t>
        </is>
      </c>
      <c r="Z1697" s="189" t="inlineStr">
        <is>
          <t>CHECK_VENDOR</t>
        </is>
      </c>
      <c r="AA1697" s="190" t="inlineStr">
        <is>
          <t>https://www.rapid7.com/db/search/?q=CVE-2015-0966</t>
        </is>
      </c>
      <c r="AB1697" s="189" t="inlineStr">
        <is>
          <t>NONE</t>
        </is>
      </c>
      <c r="AC1697" s="189" t="n">
        <v>0</v>
      </c>
      <c r="AD1697" s="189" t="n"/>
    </row>
    <row r="1698">
      <c r="A1698" s="189" t="inlineStr">
        <is>
          <t>MSF_MODULE</t>
        </is>
      </c>
      <c r="B1698" s="189" t="inlineStr">
        <is>
          <t>CVE-2023-22515</t>
        </is>
      </c>
      <c r="C1698" s="189" t="inlineStr">
        <is>
          <t>Metasploit module available: Atlassian Confluence Data Center and Server Authentication Bypass via Broken Acc | Type: auxiliary_admin | CVE-2023-22515</t>
        </is>
      </c>
      <c r="D1698" s="189" t="n">
        <v>7.5</v>
      </c>
      <c r="E1698" s="189" t="inlineStr">
        <is>
          <t>HIGH</t>
        </is>
      </c>
      <c r="F1698" s="189" t="n">
        <v>3</v>
      </c>
      <c r="G1698" s="189" t="n">
        <v>3</v>
      </c>
      <c r="H1698" s="189" t="inlineStr">
        <is>
          <t>CRITICAL</t>
        </is>
      </c>
      <c r="I1698" s="189" t="n">
        <v>16.5</v>
      </c>
      <c r="J1698" s="189" t="inlineStr">
        <is>
          <t>YES</t>
        </is>
      </c>
      <c r="K1698" s="190" t="inlineStr">
        <is>
          <t>https://nvd.nist.gov/vuln/detail/CVE-2023-22515</t>
        </is>
      </c>
      <c r="L1698" s="189" t="inlineStr">
        <is>
          <t>2026-02-23 23:48</t>
        </is>
      </c>
      <c r="M1698" s="189" t="inlineStr">
        <is>
          <t>PATCH_IMMEDIATELY</t>
        </is>
      </c>
      <c r="N1698" s="190" t="inlineStr">
        <is>
          <t>https://nvd.nist.gov/vuln/detail/CVE-2023-22515</t>
        </is>
      </c>
      <c r="O1698" s="189" t="inlineStr">
        <is>
          <t>Patch CVE-2023-22515 immediately — weaponized Metasploit module in public release | Module: Atlassian Confluence Data Center and Server Authentication Bypass via Broken Acc</t>
        </is>
      </c>
      <c r="P1698" s="189" t="inlineStr">
        <is>
          <t>See CVE details</t>
        </is>
      </c>
      <c r="Q1698" s="189" t="inlineStr">
        <is>
          <t>P1</t>
        </is>
      </c>
      <c r="R1698" s="189" t="inlineStr">
        <is>
          <t>🔍 Investigate and apply appropriate controls</t>
        </is>
      </c>
      <c r="S1698" s="189" t="inlineStr">
        <is>
          <t>Rapid7 MSF: Atlassian Confluence Data Center and Server Authentication Bypass via Broken Acc | Module type: auxiliary_admin</t>
        </is>
      </c>
      <c r="T1698" s="189" t="n">
        <v>0</v>
      </c>
      <c r="U1698" s="189" t="n">
        <v>0</v>
      </c>
      <c r="V1698" s="189" t="inlineStr">
        <is>
          <t>T1203:Exploitation for Client Execution | T1190:Exploit Public-Facing Application</t>
        </is>
      </c>
      <c r="W1698" s="189" t="n">
        <v>2</v>
      </c>
      <c r="X1698" s="189" t="inlineStr">
        <is>
          <t>HIGH (72%)</t>
        </is>
      </c>
      <c r="Y1698" s="189" t="inlineStr">
        <is>
          <t>WEAPONIZED</t>
        </is>
      </c>
      <c r="Z1698" s="189" t="inlineStr">
        <is>
          <t>CHECK_VENDOR</t>
        </is>
      </c>
      <c r="AA1698" s="190" t="inlineStr">
        <is>
          <t>https://www.rapid7.com/db/search/?q=CVE-2023-22515</t>
        </is>
      </c>
      <c r="AB1698" s="189" t="inlineStr">
        <is>
          <t>NONE</t>
        </is>
      </c>
      <c r="AC1698" s="189" t="n">
        <v>0</v>
      </c>
      <c r="AD1698" s="189" t="n"/>
    </row>
    <row r="1699">
      <c r="A1699" s="189" t="inlineStr">
        <is>
          <t>MSF_MODULE</t>
        </is>
      </c>
      <c r="B1699" s="189" t="inlineStr">
        <is>
          <t>CVE-2012-4940</t>
        </is>
      </c>
      <c r="C1699" s="189" t="inlineStr">
        <is>
          <t>Metasploit module available: Axigen Arbitrary File Read and Delete | Type: auxiliary_admin | CVE-2012-4940</t>
        </is>
      </c>
      <c r="D1699" s="189" t="n">
        <v>7.5</v>
      </c>
      <c r="E1699" s="189" t="inlineStr">
        <is>
          <t>HIGH</t>
        </is>
      </c>
      <c r="F1699" s="189" t="n">
        <v>3</v>
      </c>
      <c r="G1699" s="189" t="n">
        <v>3</v>
      </c>
      <c r="H1699" s="189" t="inlineStr">
        <is>
          <t>CRITICAL</t>
        </is>
      </c>
      <c r="I1699" s="189" t="n">
        <v>16.5</v>
      </c>
      <c r="J1699" s="189" t="inlineStr">
        <is>
          <t>NO</t>
        </is>
      </c>
      <c r="K1699" s="190" t="inlineStr">
        <is>
          <t>https://nvd.nist.gov/vuln/detail/CVE-2012-4940</t>
        </is>
      </c>
      <c r="L1699" s="189" t="inlineStr">
        <is>
          <t>2026-02-23 23:48</t>
        </is>
      </c>
      <c r="M1699" s="189" t="inlineStr">
        <is>
          <t>PATCH_IMMEDIATELY</t>
        </is>
      </c>
      <c r="N1699" s="190" t="inlineStr">
        <is>
          <t>https://nvd.nist.gov/vuln/detail/CVE-2012-4940</t>
        </is>
      </c>
      <c r="O1699" s="189" t="inlineStr">
        <is>
          <t>Patch CVE-2012-4940 immediately — weaponized Metasploit module in public release | Module: Axigen Arbitrary File Read and Delete</t>
        </is>
      </c>
      <c r="P1699" s="189" t="inlineStr">
        <is>
          <t>See CVE details</t>
        </is>
      </c>
      <c r="Q1699" s="189" t="inlineStr">
        <is>
          <t>P2</t>
        </is>
      </c>
      <c r="R1699" s="189" t="inlineStr">
        <is>
          <t>🔍 Investigate and apply appropriate controls</t>
        </is>
      </c>
      <c r="S1699" s="189" t="inlineStr">
        <is>
          <t>Rapid7 MSF: Axigen Arbitrary File Read and Delete | Module type: auxiliary_admin</t>
        </is>
      </c>
      <c r="T1699" s="189" t="n">
        <v>0</v>
      </c>
      <c r="U1699" s="189" t="n">
        <v>0</v>
      </c>
      <c r="V1699" s="189" t="inlineStr">
        <is>
          <t>T1203:Exploitation for Client Execution | T1190:Exploit Public-Facing Application</t>
        </is>
      </c>
      <c r="W1699" s="189" t="n">
        <v>2</v>
      </c>
      <c r="X1699" s="189" t="inlineStr">
        <is>
          <t>HIGH (72%)</t>
        </is>
      </c>
      <c r="Y1699" s="189" t="inlineStr">
        <is>
          <t>WEAPONIZED</t>
        </is>
      </c>
      <c r="Z1699" s="189" t="inlineStr">
        <is>
          <t>CHECK_VENDOR</t>
        </is>
      </c>
      <c r="AA1699" s="190" t="inlineStr">
        <is>
          <t>https://www.rapid7.com/db/search/?q=CVE-2012-4940</t>
        </is>
      </c>
      <c r="AB1699" s="189" t="inlineStr">
        <is>
          <t>NONE</t>
        </is>
      </c>
      <c r="AC1699" s="189" t="n">
        <v>0</v>
      </c>
      <c r="AD1699" s="189" t="n"/>
    </row>
    <row r="1700">
      <c r="A1700" s="189" t="inlineStr">
        <is>
          <t>MSF_MODULE</t>
        </is>
      </c>
      <c r="B1700" s="189" t="inlineStr">
        <is>
          <t>CVE-2013-2050</t>
        </is>
      </c>
      <c r="C1700" s="189" t="inlineStr">
        <is>
          <t>Metasploit module available: Red Hat CloudForms Management Engine 5.1 miq_policy/explorer SQL Injection | Type: auxiliary_admin | CVE-2013-2050</t>
        </is>
      </c>
      <c r="D1700" s="189" t="n">
        <v>7.5</v>
      </c>
      <c r="E1700" s="189" t="inlineStr">
        <is>
          <t>HIGH</t>
        </is>
      </c>
      <c r="F1700" s="189" t="n">
        <v>3</v>
      </c>
      <c r="G1700" s="189" t="n">
        <v>3</v>
      </c>
      <c r="H1700" s="189" t="inlineStr">
        <is>
          <t>CRITICAL</t>
        </is>
      </c>
      <c r="I1700" s="189" t="n">
        <v>16.5</v>
      </c>
      <c r="J1700" s="189" t="inlineStr">
        <is>
          <t>NO</t>
        </is>
      </c>
      <c r="K1700" s="190" t="inlineStr">
        <is>
          <t>https://nvd.nist.gov/vuln/detail/CVE-2013-2050</t>
        </is>
      </c>
      <c r="L1700" s="189" t="inlineStr">
        <is>
          <t>2026-02-23 23:48</t>
        </is>
      </c>
      <c r="M1700" s="189" t="inlineStr">
        <is>
          <t>PATCH_IMMEDIATELY</t>
        </is>
      </c>
      <c r="N1700" s="190" t="inlineStr">
        <is>
          <t>https://nvd.nist.gov/vuln/detail/CVE-2013-2050</t>
        </is>
      </c>
      <c r="O1700" s="189" t="inlineStr">
        <is>
          <t>Patch CVE-2013-2050 immediately — weaponized Metasploit module in public release | Module: Red Hat CloudForms Management Engine 5.1 miq_policy/explorer SQL Injection</t>
        </is>
      </c>
      <c r="P1700" s="189" t="inlineStr">
        <is>
          <t>See CVE details</t>
        </is>
      </c>
      <c r="Q1700" s="189" t="inlineStr">
        <is>
          <t>P2</t>
        </is>
      </c>
      <c r="R1700" s="189" t="inlineStr">
        <is>
          <t>🔍 Investigate and apply appropriate controls</t>
        </is>
      </c>
      <c r="S1700" s="189" t="inlineStr">
        <is>
          <t>Rapid7 MSF: Red Hat CloudForms Management Engine 5.1 miq_policy/explorer SQL Injection | Module type: auxiliary_admin</t>
        </is>
      </c>
      <c r="T1700" s="189" t="n">
        <v>0</v>
      </c>
      <c r="U1700" s="189" t="n">
        <v>0</v>
      </c>
      <c r="V1700" s="189" t="inlineStr">
        <is>
          <t>T1203:Exploitation for Client Execution | T1190:Exploit Public-Facing Application</t>
        </is>
      </c>
      <c r="W1700" s="189" t="n">
        <v>2</v>
      </c>
      <c r="X1700" s="189" t="inlineStr">
        <is>
          <t>HIGH (72%)</t>
        </is>
      </c>
      <c r="Y1700" s="189" t="inlineStr">
        <is>
          <t>WEAPONIZED</t>
        </is>
      </c>
      <c r="Z1700" s="189" t="inlineStr">
        <is>
          <t>CHECK_VENDOR</t>
        </is>
      </c>
      <c r="AA1700" s="190" t="inlineStr">
        <is>
          <t>https://www.rapid7.com/db/search/?q=CVE-2013-2050</t>
        </is>
      </c>
      <c r="AB1700" s="189" t="inlineStr">
        <is>
          <t>NONE</t>
        </is>
      </c>
      <c r="AC1700" s="189" t="n">
        <v>0</v>
      </c>
      <c r="AD1700" s="189" t="n"/>
    </row>
    <row r="1701">
      <c r="A1701" s="189" t="inlineStr">
        <is>
          <t>MSF_MODULE</t>
        </is>
      </c>
      <c r="B1701" s="189" t="inlineStr">
        <is>
          <t>CVE-2020-16137</t>
        </is>
      </c>
      <c r="C1701" s="189" t="inlineStr">
        <is>
          <t>Metasploit module available: Cisco 7937G SSH Privilege Escalation | Type: auxiliary_admin | CVE-2020-16137</t>
        </is>
      </c>
      <c r="D1701" s="189" t="n">
        <v>7.5</v>
      </c>
      <c r="E1701" s="189" t="inlineStr">
        <is>
          <t>HIGH</t>
        </is>
      </c>
      <c r="F1701" s="189" t="n">
        <v>3</v>
      </c>
      <c r="G1701" s="189" t="n">
        <v>3</v>
      </c>
      <c r="H1701" s="189" t="inlineStr">
        <is>
          <t>CRITICAL</t>
        </is>
      </c>
      <c r="I1701" s="189" t="n">
        <v>16.5</v>
      </c>
      <c r="J1701" s="189" t="inlineStr">
        <is>
          <t>NO</t>
        </is>
      </c>
      <c r="K1701" s="190" t="inlineStr">
        <is>
          <t>https://nvd.nist.gov/vuln/detail/CVE-2020-16137</t>
        </is>
      </c>
      <c r="L1701" s="189" t="inlineStr">
        <is>
          <t>2026-02-23 23:48</t>
        </is>
      </c>
      <c r="M1701" s="189" t="inlineStr">
        <is>
          <t>PATCH_IMMEDIATELY</t>
        </is>
      </c>
      <c r="N1701" s="190" t="inlineStr">
        <is>
          <t>https://nvd.nist.gov/vuln/detail/CVE-2020-16137</t>
        </is>
      </c>
      <c r="O1701" s="189" t="inlineStr">
        <is>
          <t>Patch CVE-2020-16137 immediately — weaponized Metasploit module in public release | Module: Cisco 7937G SSH Privilege Escalation</t>
        </is>
      </c>
      <c r="P1701" s="189" t="inlineStr">
        <is>
          <t>See CVE details</t>
        </is>
      </c>
      <c r="Q1701" s="189" t="inlineStr">
        <is>
          <t>P2</t>
        </is>
      </c>
      <c r="R1701" s="189" t="inlineStr">
        <is>
          <t>🔍 Investigate and apply appropriate controls</t>
        </is>
      </c>
      <c r="S1701" s="189" t="inlineStr">
        <is>
          <t>Rapid7 MSF: Cisco 7937G SSH Privilege Escalation | Module type: auxiliary_admin</t>
        </is>
      </c>
      <c r="T1701" s="189" t="n">
        <v>0</v>
      </c>
      <c r="U1701" s="189" t="n">
        <v>0</v>
      </c>
      <c r="V1701" s="189" t="inlineStr">
        <is>
          <t>T1203:Exploitation for Client Execution | T1190:Exploit Public-Facing Application</t>
        </is>
      </c>
      <c r="W1701" s="189" t="n">
        <v>2</v>
      </c>
      <c r="X1701" s="189" t="inlineStr">
        <is>
          <t>HIGH (72%)</t>
        </is>
      </c>
      <c r="Y1701" s="189" t="inlineStr">
        <is>
          <t>WEAPONIZED</t>
        </is>
      </c>
      <c r="Z1701" s="189" t="inlineStr">
        <is>
          <t>CHECK_VENDOR</t>
        </is>
      </c>
      <c r="AA1701" s="190" t="inlineStr">
        <is>
          <t>https://www.rapid7.com/db/search/?q=CVE-2020-16137</t>
        </is>
      </c>
      <c r="AB1701" s="189" t="inlineStr">
        <is>
          <t>NONE</t>
        </is>
      </c>
      <c r="AC1701" s="189" t="n">
        <v>0</v>
      </c>
      <c r="AD1701" s="189" t="n"/>
    </row>
    <row r="1702">
      <c r="A1702" s="189" t="inlineStr">
        <is>
          <t>MSF_MODULE</t>
        </is>
      </c>
      <c r="B1702" s="189" t="inlineStr">
        <is>
          <t>CVE-2023-20198</t>
        </is>
      </c>
      <c r="C1702" s="189" t="inlineStr">
        <is>
          <t>Metasploit module available: Cisco IOX XE unauthenticated Command Line Interface (CLI) execution | Type: auxiliary_admin | CVE-2023-20198</t>
        </is>
      </c>
      <c r="D1702" s="189" t="n">
        <v>7.5</v>
      </c>
      <c r="E1702" s="189" t="inlineStr">
        <is>
          <t>HIGH</t>
        </is>
      </c>
      <c r="F1702" s="189" t="n">
        <v>3</v>
      </c>
      <c r="G1702" s="189" t="n">
        <v>3</v>
      </c>
      <c r="H1702" s="189" t="inlineStr">
        <is>
          <t>CRITICAL</t>
        </is>
      </c>
      <c r="I1702" s="189" t="n">
        <v>16.5</v>
      </c>
      <c r="J1702" s="189" t="inlineStr">
        <is>
          <t>YES</t>
        </is>
      </c>
      <c r="K1702" s="190" t="inlineStr">
        <is>
          <t>https://nvd.nist.gov/vuln/detail/CVE-2023-20198</t>
        </is>
      </c>
      <c r="L1702" s="189" t="inlineStr">
        <is>
          <t>2026-02-23 23:48</t>
        </is>
      </c>
      <c r="M1702" s="189" t="inlineStr">
        <is>
          <t>PATCH_IMMEDIATELY</t>
        </is>
      </c>
      <c r="N1702" s="190" t="inlineStr">
        <is>
          <t>https://nvd.nist.gov/vuln/detail/CVE-2023-20198</t>
        </is>
      </c>
      <c r="O1702" s="189" t="inlineStr">
        <is>
          <t>Patch CVE-2023-20198 immediately — weaponized Metasploit module in public release | Module: Cisco IOX XE unauthenticated Command Line Interface (CLI) execution</t>
        </is>
      </c>
      <c r="P1702" s="189" t="inlineStr">
        <is>
          <t>See CVE details</t>
        </is>
      </c>
      <c r="Q1702" s="189" t="inlineStr">
        <is>
          <t>P1</t>
        </is>
      </c>
      <c r="R1702" s="189" t="inlineStr">
        <is>
          <t>🔍 Investigate and apply appropriate controls</t>
        </is>
      </c>
      <c r="S1702" s="189" t="inlineStr">
        <is>
          <t>Rapid7 MSF: Cisco IOX XE unauthenticated Command Line Interface (CLI) execution | Module type: auxiliary_admin</t>
        </is>
      </c>
      <c r="T1702" s="189" t="n">
        <v>0</v>
      </c>
      <c r="U1702" s="189" t="n">
        <v>0</v>
      </c>
      <c r="V1702" s="189" t="inlineStr">
        <is>
          <t>T1203:Exploitation for Client Execution | T1190:Exploit Public-Facing Application</t>
        </is>
      </c>
      <c r="W1702" s="189" t="n">
        <v>2</v>
      </c>
      <c r="X1702" s="189" t="inlineStr">
        <is>
          <t>HIGH (72%)</t>
        </is>
      </c>
      <c r="Y1702" s="189" t="inlineStr">
        <is>
          <t>WEAPONIZED</t>
        </is>
      </c>
      <c r="Z1702" s="189" t="inlineStr">
        <is>
          <t>CHECK_VENDOR</t>
        </is>
      </c>
      <c r="AA1702" s="190" t="inlineStr">
        <is>
          <t>https://www.rapid7.com/db/search/?q=CVE-2023-20198</t>
        </is>
      </c>
      <c r="AB1702" s="189" t="inlineStr">
        <is>
          <t>NONE</t>
        </is>
      </c>
      <c r="AC1702" s="189" t="n">
        <v>0</v>
      </c>
      <c r="AD1702" s="189" t="n"/>
    </row>
    <row r="1703">
      <c r="A1703" s="189" t="inlineStr">
        <is>
          <t>MSF_MODULE</t>
        </is>
      </c>
      <c r="B1703" s="189" t="inlineStr">
        <is>
          <t>CVE-2023-20273</t>
        </is>
      </c>
      <c r="C1703" s="189" t="inlineStr">
        <is>
          <t>Metasploit module available: Cisco IOX XE unauthenticated OS command execution | Type: auxiliary_admin | CVE-2023-20273</t>
        </is>
      </c>
      <c r="D1703" s="189" t="n">
        <v>7.5</v>
      </c>
      <c r="E1703" s="189" t="inlineStr">
        <is>
          <t>HIGH</t>
        </is>
      </c>
      <c r="F1703" s="189" t="n">
        <v>3</v>
      </c>
      <c r="G1703" s="189" t="n">
        <v>3</v>
      </c>
      <c r="H1703" s="189" t="inlineStr">
        <is>
          <t>CRITICAL</t>
        </is>
      </c>
      <c r="I1703" s="189" t="n">
        <v>16.5</v>
      </c>
      <c r="J1703" s="189" t="inlineStr">
        <is>
          <t>YES</t>
        </is>
      </c>
      <c r="K1703" s="190" t="inlineStr">
        <is>
          <t>https://nvd.nist.gov/vuln/detail/CVE-2023-20273</t>
        </is>
      </c>
      <c r="L1703" s="189" t="inlineStr">
        <is>
          <t>2026-02-23 23:48</t>
        </is>
      </c>
      <c r="M1703" s="189" t="inlineStr">
        <is>
          <t>PATCH_IMMEDIATELY</t>
        </is>
      </c>
      <c r="N1703" s="190" t="inlineStr">
        <is>
          <t>https://nvd.nist.gov/vuln/detail/CVE-2023-20273</t>
        </is>
      </c>
      <c r="O1703" s="189" t="inlineStr">
        <is>
          <t>Patch CVE-2023-20273 immediately — weaponized Metasploit module in public release | Module: Cisco IOX XE unauthenticated OS command execution</t>
        </is>
      </c>
      <c r="P1703" s="189" t="inlineStr">
        <is>
          <t>See CVE details</t>
        </is>
      </c>
      <c r="Q1703" s="189" t="inlineStr">
        <is>
          <t>P1</t>
        </is>
      </c>
      <c r="R1703" s="189" t="inlineStr">
        <is>
          <t>🔍 Investigate and apply appropriate controls</t>
        </is>
      </c>
      <c r="S1703" s="189" t="inlineStr">
        <is>
          <t>Rapid7 MSF: Cisco IOX XE unauthenticated OS command execution | Module type: auxiliary_admin</t>
        </is>
      </c>
      <c r="T1703" s="189" t="n">
        <v>0</v>
      </c>
      <c r="U1703" s="189" t="n">
        <v>0</v>
      </c>
      <c r="V1703" s="189" t="inlineStr">
        <is>
          <t>T1203:Exploitation for Client Execution | T1190:Exploit Public-Facing Application</t>
        </is>
      </c>
      <c r="W1703" s="189" t="n">
        <v>2</v>
      </c>
      <c r="X1703" s="189" t="inlineStr">
        <is>
          <t>HIGH (72%)</t>
        </is>
      </c>
      <c r="Y1703" s="189" t="inlineStr">
        <is>
          <t>WEAPONIZED</t>
        </is>
      </c>
      <c r="Z1703" s="189" t="inlineStr">
        <is>
          <t>CHECK_VENDOR</t>
        </is>
      </c>
      <c r="AA1703" s="190" t="inlineStr">
        <is>
          <t>https://www.rapid7.com/db/search/?q=CVE-2023-20273</t>
        </is>
      </c>
      <c r="AB1703" s="189" t="inlineStr">
        <is>
          <t>NONE</t>
        </is>
      </c>
      <c r="AC1703" s="189" t="n">
        <v>0</v>
      </c>
      <c r="AD1703" s="189" t="n"/>
    </row>
    <row r="1704">
      <c r="A1704" s="189" t="inlineStr">
        <is>
          <t>MSF_MODULE</t>
        </is>
      </c>
      <c r="B1704" s="189" t="inlineStr">
        <is>
          <t>CVE-2024-20419</t>
        </is>
      </c>
      <c r="C1704" s="189" t="inlineStr">
        <is>
          <t>Metasploit module available: Cisco Smart Software Manager (SSM) On-Prem Account Takeover (CVE-2024-20419) | Type: auxiliary_admin | CVE-2024-20419</t>
        </is>
      </c>
      <c r="D1704" s="189" t="n">
        <v>7.5</v>
      </c>
      <c r="E1704" s="189" t="inlineStr">
        <is>
          <t>HIGH</t>
        </is>
      </c>
      <c r="F1704" s="189" t="n">
        <v>3</v>
      </c>
      <c r="G1704" s="189" t="n">
        <v>3</v>
      </c>
      <c r="H1704" s="189" t="inlineStr">
        <is>
          <t>CRITICAL</t>
        </is>
      </c>
      <c r="I1704" s="189" t="n">
        <v>16.5</v>
      </c>
      <c r="J1704" s="189" t="inlineStr">
        <is>
          <t>NO</t>
        </is>
      </c>
      <c r="K1704" s="190" t="inlineStr">
        <is>
          <t>https://nvd.nist.gov/vuln/detail/CVE-2024-20419</t>
        </is>
      </c>
      <c r="L1704" s="189" t="inlineStr">
        <is>
          <t>2026-02-23 23:48</t>
        </is>
      </c>
      <c r="M1704" s="189" t="inlineStr">
        <is>
          <t>PATCH_IMMEDIATELY</t>
        </is>
      </c>
      <c r="N1704" s="190" t="inlineStr">
        <is>
          <t>https://nvd.nist.gov/vuln/detail/CVE-2024-20419</t>
        </is>
      </c>
      <c r="O1704" s="189" t="inlineStr">
        <is>
          <t>Patch CVE-2024-20419 immediately — weaponized Metasploit module in public release | Module: Cisco Smart Software Manager (SSM) On-Prem Account Takeover (CVE-2024-20419)</t>
        </is>
      </c>
      <c r="P1704" s="189" t="inlineStr">
        <is>
          <t>See CVE details</t>
        </is>
      </c>
      <c r="Q1704" s="189" t="inlineStr">
        <is>
          <t>P2</t>
        </is>
      </c>
      <c r="R1704" s="189" t="inlineStr">
        <is>
          <t>🔍 Investigate and apply appropriate controls</t>
        </is>
      </c>
      <c r="S1704" s="189" t="inlineStr">
        <is>
          <t>Rapid7 MSF: Cisco Smart Software Manager (SSM) On-Prem Account Takeover (CVE-2024-20419) | Module type: auxiliary_admin</t>
        </is>
      </c>
      <c r="T1704" s="189" t="n">
        <v>0</v>
      </c>
      <c r="U1704" s="189" t="n">
        <v>0</v>
      </c>
      <c r="V1704" s="189" t="inlineStr">
        <is>
          <t>T1203:Exploitation for Client Execution | T1190:Exploit Public-Facing Application</t>
        </is>
      </c>
      <c r="W1704" s="189" t="n">
        <v>2</v>
      </c>
      <c r="X1704" s="189" t="inlineStr">
        <is>
          <t>HIGH (72%)</t>
        </is>
      </c>
      <c r="Y1704" s="189" t="inlineStr">
        <is>
          <t>WEAPONIZED</t>
        </is>
      </c>
      <c r="Z1704" s="189" t="inlineStr">
        <is>
          <t>CHECK_VENDOR</t>
        </is>
      </c>
      <c r="AA1704" s="190" t="inlineStr">
        <is>
          <t>https://www.rapid7.com/db/search/?q=CVE-2024-20419</t>
        </is>
      </c>
      <c r="AB1704" s="189" t="inlineStr">
        <is>
          <t>NONE</t>
        </is>
      </c>
      <c r="AC1704" s="189" t="n">
        <v>0</v>
      </c>
      <c r="AD1704" s="189" t="n"/>
    </row>
    <row r="1705">
      <c r="A1705" s="189" t="inlineStr">
        <is>
          <t>MSF_MODULE</t>
        </is>
      </c>
      <c r="B1705" s="189" t="inlineStr">
        <is>
          <t>CVE-2017-5259</t>
        </is>
      </c>
      <c r="C1705" s="189" t="inlineStr">
        <is>
          <t>Metasploit module available: Cambium cnPilot r200/r201 Command Execution as 'root' | Type: auxiliary_admin | CVE-2017-5259</t>
        </is>
      </c>
      <c r="D1705" s="189" t="n">
        <v>7.5</v>
      </c>
      <c r="E1705" s="189" t="inlineStr">
        <is>
          <t>HIGH</t>
        </is>
      </c>
      <c r="F1705" s="189" t="n">
        <v>3</v>
      </c>
      <c r="G1705" s="189" t="n">
        <v>3</v>
      </c>
      <c r="H1705" s="189" t="inlineStr">
        <is>
          <t>CRITICAL</t>
        </is>
      </c>
      <c r="I1705" s="189" t="n">
        <v>16.5</v>
      </c>
      <c r="J1705" s="189" t="inlineStr">
        <is>
          <t>NO</t>
        </is>
      </c>
      <c r="K1705" s="190" t="inlineStr">
        <is>
          <t>https://nvd.nist.gov/vuln/detail/CVE-2017-5259</t>
        </is>
      </c>
      <c r="L1705" s="189" t="inlineStr">
        <is>
          <t>2026-02-23 23:48</t>
        </is>
      </c>
      <c r="M1705" s="189" t="inlineStr">
        <is>
          <t>PATCH_IMMEDIATELY</t>
        </is>
      </c>
      <c r="N1705" s="190" t="inlineStr">
        <is>
          <t>https://nvd.nist.gov/vuln/detail/CVE-2017-5259</t>
        </is>
      </c>
      <c r="O1705" s="189" t="inlineStr">
        <is>
          <t>Patch CVE-2017-5259 immediately — weaponized Metasploit module in public release | Module: Cambium cnPilot r200/r201 Command Execution as 'root'</t>
        </is>
      </c>
      <c r="P1705" s="189" t="inlineStr">
        <is>
          <t>See CVE details</t>
        </is>
      </c>
      <c r="Q1705" s="189" t="inlineStr">
        <is>
          <t>P2</t>
        </is>
      </c>
      <c r="R1705" s="189" t="inlineStr">
        <is>
          <t>🔍 Investigate and apply appropriate controls</t>
        </is>
      </c>
      <c r="S1705" s="189" t="inlineStr">
        <is>
          <t>Rapid7 MSF: Cambium cnPilot r200/r201 Command Execution as 'root' | Module type: auxiliary_admin</t>
        </is>
      </c>
      <c r="T1705" s="189" t="n">
        <v>0</v>
      </c>
      <c r="U1705" s="189" t="n">
        <v>0</v>
      </c>
      <c r="V1705" s="189" t="inlineStr">
        <is>
          <t>T1203:Exploitation for Client Execution | T1190:Exploit Public-Facing Application</t>
        </is>
      </c>
      <c r="W1705" s="189" t="n">
        <v>2</v>
      </c>
      <c r="X1705" s="189" t="inlineStr">
        <is>
          <t>HIGH (72%)</t>
        </is>
      </c>
      <c r="Y1705" s="189" t="inlineStr">
        <is>
          <t>WEAPONIZED</t>
        </is>
      </c>
      <c r="Z1705" s="189" t="inlineStr">
        <is>
          <t>CHECK_VENDOR</t>
        </is>
      </c>
      <c r="AA1705" s="190" t="inlineStr">
        <is>
          <t>https://www.rapid7.com/db/search/?q=CVE-2017-5259</t>
        </is>
      </c>
      <c r="AB1705" s="189" t="inlineStr">
        <is>
          <t>NONE</t>
        </is>
      </c>
      <c r="AC1705" s="189" t="n">
        <v>0</v>
      </c>
      <c r="AD1705" s="189" t="n"/>
    </row>
    <row r="1706">
      <c r="A1706" s="189" t="inlineStr">
        <is>
          <t>MSF_MODULE</t>
        </is>
      </c>
      <c r="B1706" s="189" t="inlineStr">
        <is>
          <t>CVE-2017-5261</t>
        </is>
      </c>
      <c r="C1706" s="189" t="inlineStr">
        <is>
          <t>Metasploit module available: Cambium cnPilot r200/r201 File Path Traversal | Type: auxiliary_admin | CVE-2017-5261</t>
        </is>
      </c>
      <c r="D1706" s="189" t="n">
        <v>7.5</v>
      </c>
      <c r="E1706" s="189" t="inlineStr">
        <is>
          <t>HIGH</t>
        </is>
      </c>
      <c r="F1706" s="189" t="n">
        <v>3</v>
      </c>
      <c r="G1706" s="189" t="n">
        <v>3</v>
      </c>
      <c r="H1706" s="189" t="inlineStr">
        <is>
          <t>CRITICAL</t>
        </is>
      </c>
      <c r="I1706" s="189" t="n">
        <v>16.5</v>
      </c>
      <c r="J1706" s="189" t="inlineStr">
        <is>
          <t>NO</t>
        </is>
      </c>
      <c r="K1706" s="190" t="inlineStr">
        <is>
          <t>https://nvd.nist.gov/vuln/detail/CVE-2017-5261</t>
        </is>
      </c>
      <c r="L1706" s="189" t="inlineStr">
        <is>
          <t>2026-02-23 23:48</t>
        </is>
      </c>
      <c r="M1706" s="189" t="inlineStr">
        <is>
          <t>PATCH_IMMEDIATELY</t>
        </is>
      </c>
      <c r="N1706" s="190" t="inlineStr">
        <is>
          <t>https://nvd.nist.gov/vuln/detail/CVE-2017-5261</t>
        </is>
      </c>
      <c r="O1706" s="189" t="inlineStr">
        <is>
          <t>Patch CVE-2017-5261 immediately — weaponized Metasploit module in public release | Module: Cambium cnPilot r200/r201 File Path Traversal</t>
        </is>
      </c>
      <c r="P1706" s="189" t="inlineStr">
        <is>
          <t>See CVE details</t>
        </is>
      </c>
      <c r="Q1706" s="189" t="inlineStr">
        <is>
          <t>P2</t>
        </is>
      </c>
      <c r="R1706" s="189" t="inlineStr">
        <is>
          <t>🔍 Investigate and apply appropriate controls</t>
        </is>
      </c>
      <c r="S1706" s="189" t="inlineStr">
        <is>
          <t>Rapid7 MSF: Cambium cnPilot r200/r201 File Path Traversal | Module type: auxiliary_admin</t>
        </is>
      </c>
      <c r="T1706" s="189" t="n">
        <v>0</v>
      </c>
      <c r="U1706" s="189" t="n">
        <v>0</v>
      </c>
      <c r="V1706" s="189" t="inlineStr">
        <is>
          <t>T1203:Exploitation for Client Execution | T1190:Exploit Public-Facing Application</t>
        </is>
      </c>
      <c r="W1706" s="189" t="n">
        <v>2</v>
      </c>
      <c r="X1706" s="189" t="inlineStr">
        <is>
          <t>HIGH (72%)</t>
        </is>
      </c>
      <c r="Y1706" s="189" t="inlineStr">
        <is>
          <t>WEAPONIZED</t>
        </is>
      </c>
      <c r="Z1706" s="189" t="inlineStr">
        <is>
          <t>CHECK_VENDOR</t>
        </is>
      </c>
      <c r="AA1706" s="190" t="inlineStr">
        <is>
          <t>https://www.rapid7.com/db/search/?q=CVE-2017-5261</t>
        </is>
      </c>
      <c r="AB1706" s="189" t="inlineStr">
        <is>
          <t>NONE</t>
        </is>
      </c>
      <c r="AC1706" s="189" t="n">
        <v>0</v>
      </c>
      <c r="AD1706" s="189" t="n"/>
    </row>
    <row r="1707">
      <c r="A1707" s="189" t="inlineStr">
        <is>
          <t>MSF_MODULE</t>
        </is>
      </c>
      <c r="B1707" s="189" t="inlineStr">
        <is>
          <t>CVE-2009-10005</t>
        </is>
      </c>
      <c r="C1707" s="189" t="inlineStr">
        <is>
          <t>Metasploit module available: ContentKeeper Web Appliance mimencode File Access | Type: auxiliary_admin | CVE-2009-10005</t>
        </is>
      </c>
      <c r="D1707" s="189" t="n">
        <v>7.5</v>
      </c>
      <c r="E1707" s="189" t="inlineStr">
        <is>
          <t>HIGH</t>
        </is>
      </c>
      <c r="F1707" s="189" t="n">
        <v>3</v>
      </c>
      <c r="G1707" s="189" t="n">
        <v>3</v>
      </c>
      <c r="H1707" s="189" t="inlineStr">
        <is>
          <t>CRITICAL</t>
        </is>
      </c>
      <c r="I1707" s="189" t="n">
        <v>16.5</v>
      </c>
      <c r="J1707" s="189" t="inlineStr">
        <is>
          <t>NO</t>
        </is>
      </c>
      <c r="K1707" s="190" t="inlineStr">
        <is>
          <t>https://nvd.nist.gov/vuln/detail/CVE-2009-10005</t>
        </is>
      </c>
      <c r="L1707" s="189" t="inlineStr">
        <is>
          <t>2026-02-23 23:48</t>
        </is>
      </c>
      <c r="M1707" s="189" t="inlineStr">
        <is>
          <t>PATCH_IMMEDIATELY</t>
        </is>
      </c>
      <c r="N1707" s="190" t="inlineStr">
        <is>
          <t>https://nvd.nist.gov/vuln/detail/CVE-2009-10005</t>
        </is>
      </c>
      <c r="O1707" s="189" t="inlineStr">
        <is>
          <t>Patch CVE-2009-10005 immediately — weaponized Metasploit module in public release | Module: ContentKeeper Web Appliance mimencode File Access</t>
        </is>
      </c>
      <c r="P1707" s="189" t="inlineStr">
        <is>
          <t>See CVE details</t>
        </is>
      </c>
      <c r="Q1707" s="189" t="inlineStr">
        <is>
          <t>P2</t>
        </is>
      </c>
      <c r="R1707" s="189" t="inlineStr">
        <is>
          <t>🔍 Investigate and apply appropriate controls</t>
        </is>
      </c>
      <c r="S1707" s="189" t="inlineStr">
        <is>
          <t>Rapid7 MSF: ContentKeeper Web Appliance mimencode File Access | Module type: auxiliary_admin</t>
        </is>
      </c>
      <c r="T1707" s="189" t="n">
        <v>0</v>
      </c>
      <c r="U1707" s="189" t="n">
        <v>0</v>
      </c>
      <c r="V1707" s="189" t="inlineStr">
        <is>
          <t>T1203:Exploitation for Client Execution | T1190:Exploit Public-Facing Application</t>
        </is>
      </c>
      <c r="W1707" s="189" t="n">
        <v>2</v>
      </c>
      <c r="X1707" s="189" t="inlineStr">
        <is>
          <t>HIGH (72%)</t>
        </is>
      </c>
      <c r="Y1707" s="189" t="inlineStr">
        <is>
          <t>WEAPONIZED</t>
        </is>
      </c>
      <c r="Z1707" s="189" t="inlineStr">
        <is>
          <t>CHECK_VENDOR</t>
        </is>
      </c>
      <c r="AA1707" s="190" t="inlineStr">
        <is>
          <t>https://www.rapid7.com/db/search/?q=CVE-2009-10005</t>
        </is>
      </c>
      <c r="AB1707" s="189" t="inlineStr">
        <is>
          <t>NONE</t>
        </is>
      </c>
      <c r="AC1707" s="189" t="n">
        <v>0</v>
      </c>
      <c r="AD1707" s="189" t="n"/>
    </row>
    <row r="1708">
      <c r="A1708" s="189" t="inlineStr">
        <is>
          <t>MSF_MODULE</t>
        </is>
      </c>
      <c r="B1708" s="189" t="inlineStr">
        <is>
          <t>CVE-2013-10069</t>
        </is>
      </c>
      <c r="C1708" s="189" t="inlineStr">
        <is>
          <t>Metasploit module available: D-Link DIR-600 / DIR-300 Unauthenticated Remote Command Execution | Type: auxiliary_admin | CVE-2013-10069</t>
        </is>
      </c>
      <c r="D1708" s="189" t="n">
        <v>7.5</v>
      </c>
      <c r="E1708" s="189" t="inlineStr">
        <is>
          <t>HIGH</t>
        </is>
      </c>
      <c r="F1708" s="189" t="n">
        <v>3</v>
      </c>
      <c r="G1708" s="189" t="n">
        <v>3</v>
      </c>
      <c r="H1708" s="189" t="inlineStr">
        <is>
          <t>CRITICAL</t>
        </is>
      </c>
      <c r="I1708" s="189" t="n">
        <v>16.5</v>
      </c>
      <c r="J1708" s="189" t="inlineStr">
        <is>
          <t>NO</t>
        </is>
      </c>
      <c r="K1708" s="190" t="inlineStr">
        <is>
          <t>https://nvd.nist.gov/vuln/detail/CVE-2013-10069</t>
        </is>
      </c>
      <c r="L1708" s="189" t="inlineStr">
        <is>
          <t>2026-02-23 23:48</t>
        </is>
      </c>
      <c r="M1708" s="189" t="inlineStr">
        <is>
          <t>PATCH_IMMEDIATELY</t>
        </is>
      </c>
      <c r="N1708" s="190" t="inlineStr">
        <is>
          <t>https://nvd.nist.gov/vuln/detail/CVE-2013-10069</t>
        </is>
      </c>
      <c r="O1708" s="189" t="inlineStr">
        <is>
          <t>Patch CVE-2013-10069 immediately — weaponized Metasploit module in public release | Module: D-Link DIR-600 / DIR-300 Unauthenticated Remote Command Execution</t>
        </is>
      </c>
      <c r="P1708" s="189" t="inlineStr">
        <is>
          <t>See CVE details</t>
        </is>
      </c>
      <c r="Q1708" s="189" t="inlineStr">
        <is>
          <t>P2</t>
        </is>
      </c>
      <c r="R1708" s="189" t="inlineStr">
        <is>
          <t>🔍 Investigate and apply appropriate controls</t>
        </is>
      </c>
      <c r="S1708" s="189" t="inlineStr">
        <is>
          <t>Rapid7 MSF: D-Link DIR-600 / DIR-300 Unauthenticated Remote Command Execution | Module type: auxiliary_admin</t>
        </is>
      </c>
      <c r="T1708" s="189" t="n">
        <v>0</v>
      </c>
      <c r="U1708" s="189" t="n">
        <v>0</v>
      </c>
      <c r="V1708" s="189" t="inlineStr">
        <is>
          <t>T1203:Exploitation for Client Execution | T1190:Exploit Public-Facing Application</t>
        </is>
      </c>
      <c r="W1708" s="189" t="n">
        <v>2</v>
      </c>
      <c r="X1708" s="189" t="inlineStr">
        <is>
          <t>HIGH (72%)</t>
        </is>
      </c>
      <c r="Y1708" s="189" t="inlineStr">
        <is>
          <t>WEAPONIZED</t>
        </is>
      </c>
      <c r="Z1708" s="189" t="inlineStr">
        <is>
          <t>CHECK_VENDOR</t>
        </is>
      </c>
      <c r="AA1708" s="190" t="inlineStr">
        <is>
          <t>https://www.rapid7.com/db/search/?q=CVE-2013-10069</t>
        </is>
      </c>
      <c r="AB1708" s="189" t="inlineStr">
        <is>
          <t>NONE</t>
        </is>
      </c>
      <c r="AC1708" s="189" t="n">
        <v>0</v>
      </c>
      <c r="AD1708" s="189" t="n"/>
    </row>
    <row r="1709">
      <c r="A1709" s="189" t="inlineStr">
        <is>
          <t>MSF_MODULE</t>
        </is>
      </c>
      <c r="B1709" s="189" t="inlineStr">
        <is>
          <t>CVE-2013-2113</t>
        </is>
      </c>
      <c r="C1709" s="189" t="inlineStr">
        <is>
          <t>Metasploit module available: Foreman (Red Hat OpenStack/Satellite) users/create Mass Assignment | Type: auxiliary_admin | CVE-2013-2113</t>
        </is>
      </c>
      <c r="D1709" s="189" t="n">
        <v>7.5</v>
      </c>
      <c r="E1709" s="189" t="inlineStr">
        <is>
          <t>HIGH</t>
        </is>
      </c>
      <c r="F1709" s="189" t="n">
        <v>3</v>
      </c>
      <c r="G1709" s="189" t="n">
        <v>3</v>
      </c>
      <c r="H1709" s="189" t="inlineStr">
        <is>
          <t>CRITICAL</t>
        </is>
      </c>
      <c r="I1709" s="189" t="n">
        <v>16.5</v>
      </c>
      <c r="J1709" s="189" t="inlineStr">
        <is>
          <t>NO</t>
        </is>
      </c>
      <c r="K1709" s="190" t="inlineStr">
        <is>
          <t>https://nvd.nist.gov/vuln/detail/CVE-2013-2113</t>
        </is>
      </c>
      <c r="L1709" s="189" t="inlineStr">
        <is>
          <t>2026-02-23 23:48</t>
        </is>
      </c>
      <c r="M1709" s="189" t="inlineStr">
        <is>
          <t>PATCH_IMMEDIATELY</t>
        </is>
      </c>
      <c r="N1709" s="190" t="inlineStr">
        <is>
          <t>https://nvd.nist.gov/vuln/detail/CVE-2013-2113</t>
        </is>
      </c>
      <c r="O1709" s="189" t="inlineStr">
        <is>
          <t>Patch CVE-2013-2113 immediately — weaponized Metasploit module in public release | Module: Foreman (Red Hat OpenStack/Satellite) users/create Mass Assignment</t>
        </is>
      </c>
      <c r="P1709" s="189" t="inlineStr">
        <is>
          <t>See CVE details</t>
        </is>
      </c>
      <c r="Q1709" s="189" t="inlineStr">
        <is>
          <t>P2</t>
        </is>
      </c>
      <c r="R1709" s="189" t="inlineStr">
        <is>
          <t>🔍 Investigate and apply appropriate controls</t>
        </is>
      </c>
      <c r="S1709" s="189" t="inlineStr">
        <is>
          <t>Rapid7 MSF: Foreman (Red Hat OpenStack/Satellite) users/create Mass Assignment | Module type: auxiliary_admin</t>
        </is>
      </c>
      <c r="T1709" s="189" t="n">
        <v>0</v>
      </c>
      <c r="U1709" s="189" t="n">
        <v>0</v>
      </c>
      <c r="V1709" s="189" t="inlineStr">
        <is>
          <t>T1203:Exploitation for Client Execution | T1190:Exploit Public-Facing Application</t>
        </is>
      </c>
      <c r="W1709" s="189" t="n">
        <v>2</v>
      </c>
      <c r="X1709" s="189" t="inlineStr">
        <is>
          <t>HIGH (72%)</t>
        </is>
      </c>
      <c r="Y1709" s="189" t="inlineStr">
        <is>
          <t>WEAPONIZED</t>
        </is>
      </c>
      <c r="Z1709" s="189" t="inlineStr">
        <is>
          <t>CHECK_VENDOR</t>
        </is>
      </c>
      <c r="AA1709" s="190" t="inlineStr">
        <is>
          <t>https://www.rapid7.com/db/search/?q=CVE-2013-2113</t>
        </is>
      </c>
      <c r="AB1709" s="189" t="inlineStr">
        <is>
          <t>NONE</t>
        </is>
      </c>
      <c r="AC1709" s="189" t="n">
        <v>0</v>
      </c>
      <c r="AD1709" s="189" t="n"/>
    </row>
    <row r="1710">
      <c r="A1710" s="189" t="inlineStr">
        <is>
          <t>MSF_MODULE</t>
        </is>
      </c>
      <c r="B1710" s="189" t="inlineStr">
        <is>
          <t>CVE-2025-64446</t>
        </is>
      </c>
      <c r="C1710" s="189" t="inlineStr">
        <is>
          <t>Metasploit module available: Fortinet FortiWeb create new local admin | Type: auxiliary_admin | CVE-2025-64446</t>
        </is>
      </c>
      <c r="D1710" s="189" t="n">
        <v>7.5</v>
      </c>
      <c r="E1710" s="189" t="inlineStr">
        <is>
          <t>HIGH</t>
        </is>
      </c>
      <c r="F1710" s="189" t="n">
        <v>3</v>
      </c>
      <c r="G1710" s="189" t="n">
        <v>3</v>
      </c>
      <c r="H1710" s="189" t="inlineStr">
        <is>
          <t>CRITICAL</t>
        </is>
      </c>
      <c r="I1710" s="189" t="n">
        <v>16.5</v>
      </c>
      <c r="J1710" s="189" t="inlineStr">
        <is>
          <t>YES</t>
        </is>
      </c>
      <c r="K1710" s="190" t="inlineStr">
        <is>
          <t>https://nvd.nist.gov/vuln/detail/CVE-2025-64446</t>
        </is>
      </c>
      <c r="L1710" s="189" t="inlineStr">
        <is>
          <t>2026-02-23 23:48</t>
        </is>
      </c>
      <c r="M1710" s="189" t="inlineStr">
        <is>
          <t>PATCH_IMMEDIATELY</t>
        </is>
      </c>
      <c r="N1710" s="190" t="inlineStr">
        <is>
          <t>https://nvd.nist.gov/vuln/detail/CVE-2025-64446</t>
        </is>
      </c>
      <c r="O1710" s="189" t="inlineStr">
        <is>
          <t>Patch CVE-2025-64446 immediately — weaponized Metasploit module in public release | Module: Fortinet FortiWeb create new local admin</t>
        </is>
      </c>
      <c r="P1710" s="189" t="inlineStr">
        <is>
          <t>See CVE details</t>
        </is>
      </c>
      <c r="Q1710" s="189" t="inlineStr">
        <is>
          <t>P1</t>
        </is>
      </c>
      <c r="R1710" s="189" t="inlineStr">
        <is>
          <t>🔍 Investigate and apply appropriate controls</t>
        </is>
      </c>
      <c r="S1710" s="189" t="inlineStr">
        <is>
          <t>Rapid7 MSF: Fortinet FortiWeb create new local admin | Module type: auxiliary_admin</t>
        </is>
      </c>
      <c r="T1710" s="189" t="n">
        <v>0</v>
      </c>
      <c r="U1710" s="189" t="n">
        <v>0</v>
      </c>
      <c r="V1710" s="189" t="inlineStr">
        <is>
          <t>T1203:Exploitation for Client Execution | T1190:Exploit Public-Facing Application</t>
        </is>
      </c>
      <c r="W1710" s="189" t="n">
        <v>2</v>
      </c>
      <c r="X1710" s="189" t="inlineStr">
        <is>
          <t>HIGH (72%)</t>
        </is>
      </c>
      <c r="Y1710" s="189" t="inlineStr">
        <is>
          <t>WEAPONIZED</t>
        </is>
      </c>
      <c r="Z1710" s="189" t="inlineStr">
        <is>
          <t>CHECK_VENDOR</t>
        </is>
      </c>
      <c r="AA1710" s="190" t="inlineStr">
        <is>
          <t>https://www.rapid7.com/db/search/?q=CVE-2025-64446</t>
        </is>
      </c>
      <c r="AB1710" s="189" t="inlineStr">
        <is>
          <t>NONE</t>
        </is>
      </c>
      <c r="AC1710" s="189" t="n">
        <v>0</v>
      </c>
      <c r="AD1710" s="189" t="n"/>
    </row>
    <row r="1711">
      <c r="A1711" s="189" t="inlineStr">
        <is>
          <t>MSF_MODULE</t>
        </is>
      </c>
      <c r="B1711" s="189" t="inlineStr">
        <is>
          <t>CVE-2024-5276</t>
        </is>
      </c>
      <c r="C1711" s="189" t="inlineStr">
        <is>
          <t>Metasploit module available: Fortra FileCatalyst Workflow SQL Injection (CVE-2024-5276) | Type: auxiliary_admin | CVE-2024-5276</t>
        </is>
      </c>
      <c r="D1711" s="189" t="n">
        <v>7.5</v>
      </c>
      <c r="E1711" s="189" t="inlineStr">
        <is>
          <t>HIGH</t>
        </is>
      </c>
      <c r="F1711" s="189" t="n">
        <v>3</v>
      </c>
      <c r="G1711" s="189" t="n">
        <v>3</v>
      </c>
      <c r="H1711" s="189" t="inlineStr">
        <is>
          <t>CRITICAL</t>
        </is>
      </c>
      <c r="I1711" s="189" t="n">
        <v>16.5</v>
      </c>
      <c r="J1711" s="189" t="inlineStr">
        <is>
          <t>NO</t>
        </is>
      </c>
      <c r="K1711" s="190" t="inlineStr">
        <is>
          <t>https://nvd.nist.gov/vuln/detail/CVE-2024-5276</t>
        </is>
      </c>
      <c r="L1711" s="189" t="inlineStr">
        <is>
          <t>2026-02-23 23:48</t>
        </is>
      </c>
      <c r="M1711" s="189" t="inlineStr">
        <is>
          <t>PATCH_IMMEDIATELY</t>
        </is>
      </c>
      <c r="N1711" s="190" t="inlineStr">
        <is>
          <t>https://nvd.nist.gov/vuln/detail/CVE-2024-5276</t>
        </is>
      </c>
      <c r="O1711" s="189" t="inlineStr">
        <is>
          <t>Patch CVE-2024-5276 immediately — weaponized Metasploit module in public release | Module: Fortra FileCatalyst Workflow SQL Injection (CVE-2024-5276)</t>
        </is>
      </c>
      <c r="P1711" s="189" t="inlineStr">
        <is>
          <t>See CVE details</t>
        </is>
      </c>
      <c r="Q1711" s="189" t="inlineStr">
        <is>
          <t>P2</t>
        </is>
      </c>
      <c r="R1711" s="189" t="inlineStr">
        <is>
          <t>🔍 Investigate and apply appropriate controls</t>
        </is>
      </c>
      <c r="S1711" s="189" t="inlineStr">
        <is>
          <t>Rapid7 MSF: Fortra FileCatalyst Workflow SQL Injection (CVE-2024-5276) | Module type: auxiliary_admin</t>
        </is>
      </c>
      <c r="T1711" s="189" t="n">
        <v>0</v>
      </c>
      <c r="U1711" s="189" t="n">
        <v>0</v>
      </c>
      <c r="V1711" s="189" t="inlineStr">
        <is>
          <t>T1203:Exploitation for Client Execution | T1190:Exploit Public-Facing Application</t>
        </is>
      </c>
      <c r="W1711" s="189" t="n">
        <v>2</v>
      </c>
      <c r="X1711" s="189" t="inlineStr">
        <is>
          <t>HIGH (72%)</t>
        </is>
      </c>
      <c r="Y1711" s="189" t="inlineStr">
        <is>
          <t>WEAPONIZED</t>
        </is>
      </c>
      <c r="Z1711" s="189" t="inlineStr">
        <is>
          <t>CHECK_VENDOR</t>
        </is>
      </c>
      <c r="AA1711" s="190" t="inlineStr">
        <is>
          <t>https://www.rapid7.com/db/search/?q=CVE-2024-5276</t>
        </is>
      </c>
      <c r="AB1711" s="189" t="inlineStr">
        <is>
          <t>NONE</t>
        </is>
      </c>
      <c r="AC1711" s="189" t="n">
        <v>0</v>
      </c>
      <c r="AD1711" s="189" t="n"/>
    </row>
    <row r="1712">
      <c r="A1712" s="189" t="inlineStr">
        <is>
          <t>MSF_MODULE</t>
        </is>
      </c>
      <c r="B1712" s="189" t="inlineStr">
        <is>
          <t>CVE-2023-7028</t>
        </is>
      </c>
      <c r="C1712" s="189" t="inlineStr">
        <is>
          <t>Metasploit module available: GitLab Password Reset Account Takeover | Type: auxiliary_admin | CVE-2023-7028</t>
        </is>
      </c>
      <c r="D1712" s="189" t="n">
        <v>7.5</v>
      </c>
      <c r="E1712" s="189" t="inlineStr">
        <is>
          <t>HIGH</t>
        </is>
      </c>
      <c r="F1712" s="189" t="n">
        <v>3</v>
      </c>
      <c r="G1712" s="189" t="n">
        <v>3</v>
      </c>
      <c r="H1712" s="189" t="inlineStr">
        <is>
          <t>CRITICAL</t>
        </is>
      </c>
      <c r="I1712" s="189" t="n">
        <v>16.5</v>
      </c>
      <c r="J1712" s="189" t="inlineStr">
        <is>
          <t>YES</t>
        </is>
      </c>
      <c r="K1712" s="190" t="inlineStr">
        <is>
          <t>https://nvd.nist.gov/vuln/detail/CVE-2023-7028</t>
        </is>
      </c>
      <c r="L1712" s="189" t="inlineStr">
        <is>
          <t>2026-02-23 23:48</t>
        </is>
      </c>
      <c r="M1712" s="189" t="inlineStr">
        <is>
          <t>PATCH_IMMEDIATELY</t>
        </is>
      </c>
      <c r="N1712" s="190" t="inlineStr">
        <is>
          <t>https://nvd.nist.gov/vuln/detail/CVE-2023-7028</t>
        </is>
      </c>
      <c r="O1712" s="189" t="inlineStr">
        <is>
          <t>Patch CVE-2023-7028 immediately — weaponized Metasploit module in public release | Module: GitLab Password Reset Account Takeover</t>
        </is>
      </c>
      <c r="P1712" s="189" t="inlineStr">
        <is>
          <t>See CVE details</t>
        </is>
      </c>
      <c r="Q1712" s="189" t="inlineStr">
        <is>
          <t>P1</t>
        </is>
      </c>
      <c r="R1712" s="189" t="inlineStr">
        <is>
          <t>🔍 Investigate and apply appropriate controls</t>
        </is>
      </c>
      <c r="S1712" s="189" t="inlineStr">
        <is>
          <t>Rapid7 MSF: GitLab Password Reset Account Takeover | Module type: auxiliary_admin</t>
        </is>
      </c>
      <c r="T1712" s="189" t="n">
        <v>0</v>
      </c>
      <c r="U1712" s="189" t="n">
        <v>0</v>
      </c>
      <c r="V1712" s="189" t="inlineStr">
        <is>
          <t>T1203:Exploitation for Client Execution | T1190:Exploit Public-Facing Application</t>
        </is>
      </c>
      <c r="W1712" s="189" t="n">
        <v>2</v>
      </c>
      <c r="X1712" s="189" t="inlineStr">
        <is>
          <t>HIGH (72%)</t>
        </is>
      </c>
      <c r="Y1712" s="189" t="inlineStr">
        <is>
          <t>WEAPONIZED</t>
        </is>
      </c>
      <c r="Z1712" s="189" t="inlineStr">
        <is>
          <t>CHECK_VENDOR</t>
        </is>
      </c>
      <c r="AA1712" s="190" t="inlineStr">
        <is>
          <t>https://www.rapid7.com/db/search/?q=CVE-2023-7028</t>
        </is>
      </c>
      <c r="AB1712" s="189" t="inlineStr">
        <is>
          <t>NONE</t>
        </is>
      </c>
      <c r="AC1712" s="189" t="n">
        <v>0</v>
      </c>
      <c r="AD1712" s="189" t="n"/>
    </row>
    <row r="1713">
      <c r="A1713" s="189" t="inlineStr">
        <is>
          <t>MSF_MODULE</t>
        </is>
      </c>
      <c r="B1713" s="189" t="inlineStr">
        <is>
          <t>CVE-2018-5955</t>
        </is>
      </c>
      <c r="C1713" s="189" t="inlineStr">
        <is>
          <t>Metasploit module available: GitStack Unauthenticated REST API Requests | Type: auxiliary_admin | CVE-2018-5955</t>
        </is>
      </c>
      <c r="D1713" s="189" t="n">
        <v>7.5</v>
      </c>
      <c r="E1713" s="189" t="inlineStr">
        <is>
          <t>HIGH</t>
        </is>
      </c>
      <c r="F1713" s="189" t="n">
        <v>3</v>
      </c>
      <c r="G1713" s="189" t="n">
        <v>3</v>
      </c>
      <c r="H1713" s="189" t="inlineStr">
        <is>
          <t>CRITICAL</t>
        </is>
      </c>
      <c r="I1713" s="189" t="n">
        <v>16.5</v>
      </c>
      <c r="J1713" s="189" t="inlineStr">
        <is>
          <t>NO</t>
        </is>
      </c>
      <c r="K1713" s="190" t="inlineStr">
        <is>
          <t>https://nvd.nist.gov/vuln/detail/CVE-2018-5955</t>
        </is>
      </c>
      <c r="L1713" s="189" t="inlineStr">
        <is>
          <t>2026-02-23 23:48</t>
        </is>
      </c>
      <c r="M1713" s="189" t="inlineStr">
        <is>
          <t>PATCH_IMMEDIATELY</t>
        </is>
      </c>
      <c r="N1713" s="190" t="inlineStr">
        <is>
          <t>https://nvd.nist.gov/vuln/detail/CVE-2018-5955</t>
        </is>
      </c>
      <c r="O1713" s="189" t="inlineStr">
        <is>
          <t>Patch CVE-2018-5955 immediately — weaponized Metasploit module in public release | Module: GitStack Unauthenticated REST API Requests</t>
        </is>
      </c>
      <c r="P1713" s="189" t="inlineStr">
        <is>
          <t>See CVE details</t>
        </is>
      </c>
      <c r="Q1713" s="189" t="inlineStr">
        <is>
          <t>P2</t>
        </is>
      </c>
      <c r="R1713" s="189" t="inlineStr">
        <is>
          <t>🔍 Investigate and apply appropriate controls</t>
        </is>
      </c>
      <c r="S1713" s="189" t="inlineStr">
        <is>
          <t>Rapid7 MSF: GitStack Unauthenticated REST API Requests | Module type: auxiliary_admin</t>
        </is>
      </c>
      <c r="T1713" s="189" t="n">
        <v>0</v>
      </c>
      <c r="U1713" s="189" t="n">
        <v>0</v>
      </c>
      <c r="V1713" s="189" t="inlineStr">
        <is>
          <t>T1203:Exploitation for Client Execution | T1190:Exploit Public-Facing Application</t>
        </is>
      </c>
      <c r="W1713" s="189" t="n">
        <v>2</v>
      </c>
      <c r="X1713" s="189" t="inlineStr">
        <is>
          <t>HIGH (72%)</t>
        </is>
      </c>
      <c r="Y1713" s="189" t="inlineStr">
        <is>
          <t>WEAPONIZED</t>
        </is>
      </c>
      <c r="Z1713" s="189" t="inlineStr">
        <is>
          <t>CHECK_VENDOR</t>
        </is>
      </c>
      <c r="AA1713" s="190" t="inlineStr">
        <is>
          <t>https://www.rapid7.com/db/search/?q=CVE-2018-5955</t>
        </is>
      </c>
      <c r="AB1713" s="189" t="inlineStr">
        <is>
          <t>NONE</t>
        </is>
      </c>
      <c r="AC1713" s="189" t="n">
        <v>0</v>
      </c>
      <c r="AD1713" s="189" t="n"/>
    </row>
    <row r="1714">
      <c r="A1714" s="189" t="inlineStr">
        <is>
          <t>MSF_MODULE</t>
        </is>
      </c>
      <c r="B1714" s="189" t="inlineStr">
        <is>
          <t>CVE-2018-15727</t>
        </is>
      </c>
      <c r="C1714" s="189" t="inlineStr">
        <is>
          <t>Metasploit module available: Grafana 2.0 through 5.2.2 authentication bypass for LDAP and OAuth | Type: auxiliary_admin | CVE-2018-15727</t>
        </is>
      </c>
      <c r="D1714" s="189" t="n">
        <v>7.5</v>
      </c>
      <c r="E1714" s="189" t="inlineStr">
        <is>
          <t>HIGH</t>
        </is>
      </c>
      <c r="F1714" s="189" t="n">
        <v>3</v>
      </c>
      <c r="G1714" s="189" t="n">
        <v>3</v>
      </c>
      <c r="H1714" s="189" t="inlineStr">
        <is>
          <t>CRITICAL</t>
        </is>
      </c>
      <c r="I1714" s="189" t="n">
        <v>16.5</v>
      </c>
      <c r="J1714" s="189" t="inlineStr">
        <is>
          <t>NO</t>
        </is>
      </c>
      <c r="K1714" s="190" t="inlineStr">
        <is>
          <t>https://nvd.nist.gov/vuln/detail/CVE-2018-15727</t>
        </is>
      </c>
      <c r="L1714" s="189" t="inlineStr">
        <is>
          <t>2026-02-23 23:48</t>
        </is>
      </c>
      <c r="M1714" s="189" t="inlineStr">
        <is>
          <t>PATCH_IMMEDIATELY</t>
        </is>
      </c>
      <c r="N1714" s="190" t="inlineStr">
        <is>
          <t>https://nvd.nist.gov/vuln/detail/CVE-2018-15727</t>
        </is>
      </c>
      <c r="O1714" s="189" t="inlineStr">
        <is>
          <t>Patch CVE-2018-15727 immediately — weaponized Metasploit module in public release | Module: Grafana 2.0 through 5.2.2 authentication bypass for LDAP and OAuth</t>
        </is>
      </c>
      <c r="P1714" s="189" t="inlineStr">
        <is>
          <t>See CVE details</t>
        </is>
      </c>
      <c r="Q1714" s="189" t="inlineStr">
        <is>
          <t>P2</t>
        </is>
      </c>
      <c r="R1714" s="189" t="inlineStr">
        <is>
          <t>🔍 Investigate and apply appropriate controls</t>
        </is>
      </c>
      <c r="S1714" s="189" t="inlineStr">
        <is>
          <t>Rapid7 MSF: Grafana 2.0 through 5.2.2 authentication bypass for LDAP and OAuth | Module type: auxiliary_admin</t>
        </is>
      </c>
      <c r="T1714" s="189" t="n">
        <v>0</v>
      </c>
      <c r="U1714" s="189" t="n">
        <v>0</v>
      </c>
      <c r="V1714" s="189" t="inlineStr">
        <is>
          <t>T1203:Exploitation for Client Execution | T1190:Exploit Public-Facing Application</t>
        </is>
      </c>
      <c r="W1714" s="189" t="n">
        <v>2</v>
      </c>
      <c r="X1714" s="189" t="inlineStr">
        <is>
          <t>HIGH (72%)</t>
        </is>
      </c>
      <c r="Y1714" s="189" t="inlineStr">
        <is>
          <t>WEAPONIZED</t>
        </is>
      </c>
      <c r="Z1714" s="189" t="inlineStr">
        <is>
          <t>CHECK_VENDOR</t>
        </is>
      </c>
      <c r="AA1714" s="190" t="inlineStr">
        <is>
          <t>https://www.rapid7.com/db/search/?q=CVE-2018-15727</t>
        </is>
      </c>
      <c r="AB1714" s="189" t="inlineStr">
        <is>
          <t>NONE</t>
        </is>
      </c>
      <c r="AC1714" s="189" t="n">
        <v>0</v>
      </c>
      <c r="AD1714" s="189" t="n"/>
    </row>
    <row r="1715">
      <c r="A1715" s="189" t="inlineStr">
        <is>
          <t>MSF_MODULE</t>
        </is>
      </c>
      <c r="B1715" s="189" t="inlineStr">
        <is>
          <t>CVE-2017-7921</t>
        </is>
      </c>
      <c r="C1715" s="189" t="inlineStr">
        <is>
          <t>Metasploit module available: Hikvision IP Camera Unauthenticated Password Change Via Improper Authentication  | Type: auxiliary_admin | CVE-2017-7921</t>
        </is>
      </c>
      <c r="D1715" s="189" t="n">
        <v>7.5</v>
      </c>
      <c r="E1715" s="189" t="inlineStr">
        <is>
          <t>HIGH</t>
        </is>
      </c>
      <c r="F1715" s="189" t="n">
        <v>3</v>
      </c>
      <c r="G1715" s="189" t="n">
        <v>3</v>
      </c>
      <c r="H1715" s="189" t="inlineStr">
        <is>
          <t>CRITICAL</t>
        </is>
      </c>
      <c r="I1715" s="189" t="n">
        <v>16.5</v>
      </c>
      <c r="J1715" s="189" t="inlineStr">
        <is>
          <t>NO</t>
        </is>
      </c>
      <c r="K1715" s="190" t="inlineStr">
        <is>
          <t>https://nvd.nist.gov/vuln/detail/CVE-2017-7921</t>
        </is>
      </c>
      <c r="L1715" s="189" t="inlineStr">
        <is>
          <t>2026-02-23 23:48</t>
        </is>
      </c>
      <c r="M1715" s="189" t="inlineStr">
        <is>
          <t>PATCH_IMMEDIATELY</t>
        </is>
      </c>
      <c r="N1715" s="190" t="inlineStr">
        <is>
          <t>https://nvd.nist.gov/vuln/detail/CVE-2017-7921</t>
        </is>
      </c>
      <c r="O1715" s="189" t="inlineStr">
        <is>
          <t xml:space="preserve">Patch CVE-2017-7921 immediately — weaponized Metasploit module in public release | Module: Hikvision IP Camera Unauthenticated Password Change Via Improper Authentication </t>
        </is>
      </c>
      <c r="P1715" s="189" t="inlineStr">
        <is>
          <t>See CVE details</t>
        </is>
      </c>
      <c r="Q1715" s="189" t="inlineStr">
        <is>
          <t>P2</t>
        </is>
      </c>
      <c r="R1715" s="189" t="inlineStr">
        <is>
          <t>🔍 Investigate and apply appropriate controls</t>
        </is>
      </c>
      <c r="S1715" s="189" t="inlineStr">
        <is>
          <t>Rapid7 MSF: Hikvision IP Camera Unauthenticated Password Change Via Improper Authentication  | Module type: auxiliary_admin</t>
        </is>
      </c>
      <c r="T1715" s="189" t="n">
        <v>0</v>
      </c>
      <c r="U1715" s="189" t="n">
        <v>0</v>
      </c>
      <c r="V1715" s="189" t="inlineStr">
        <is>
          <t>T1203:Exploitation for Client Execution | T1190:Exploit Public-Facing Application</t>
        </is>
      </c>
      <c r="W1715" s="189" t="n">
        <v>2</v>
      </c>
      <c r="X1715" s="189" t="inlineStr">
        <is>
          <t>HIGH (72%)</t>
        </is>
      </c>
      <c r="Y1715" s="189" t="inlineStr">
        <is>
          <t>WEAPONIZED</t>
        </is>
      </c>
      <c r="Z1715" s="189" t="inlineStr">
        <is>
          <t>CHECK_VENDOR</t>
        </is>
      </c>
      <c r="AA1715" s="190" t="inlineStr">
        <is>
          <t>https://www.rapid7.com/db/search/?q=CVE-2017-7921</t>
        </is>
      </c>
      <c r="AB1715" s="189" t="inlineStr">
        <is>
          <t>NONE</t>
        </is>
      </c>
      <c r="AC1715" s="189" t="n">
        <v>0</v>
      </c>
      <c r="AD1715" s="189" t="n"/>
    </row>
    <row r="1716">
      <c r="A1716" s="189" t="inlineStr">
        <is>
          <t>MSF_MODULE</t>
        </is>
      </c>
      <c r="B1716" s="189" t="inlineStr">
        <is>
          <t>CVE-2020-4427</t>
        </is>
      </c>
      <c r="C1716" s="189" t="inlineStr">
        <is>
          <t>Metasploit module available: IBM Data Risk Manager Arbitrary File Download | Type: auxiliary_admin | CVE-2020-4427</t>
        </is>
      </c>
      <c r="D1716" s="189" t="n">
        <v>7.5</v>
      </c>
      <c r="E1716" s="189" t="inlineStr">
        <is>
          <t>HIGH</t>
        </is>
      </c>
      <c r="F1716" s="189" t="n">
        <v>3</v>
      </c>
      <c r="G1716" s="189" t="n">
        <v>3</v>
      </c>
      <c r="H1716" s="189" t="inlineStr">
        <is>
          <t>CRITICAL</t>
        </is>
      </c>
      <c r="I1716" s="189" t="n">
        <v>16.5</v>
      </c>
      <c r="J1716" s="189" t="inlineStr">
        <is>
          <t>YES</t>
        </is>
      </c>
      <c r="K1716" s="190" t="inlineStr">
        <is>
          <t>https://nvd.nist.gov/vuln/detail/CVE-2020-4427</t>
        </is>
      </c>
      <c r="L1716" s="189" t="inlineStr">
        <is>
          <t>2026-02-23 23:48</t>
        </is>
      </c>
      <c r="M1716" s="189" t="inlineStr">
        <is>
          <t>PATCH_IMMEDIATELY</t>
        </is>
      </c>
      <c r="N1716" s="190" t="inlineStr">
        <is>
          <t>https://nvd.nist.gov/vuln/detail/CVE-2020-4427</t>
        </is>
      </c>
      <c r="O1716" s="189" t="inlineStr">
        <is>
          <t>Patch CVE-2020-4427 immediately — weaponized Metasploit module in public release | Module: IBM Data Risk Manager Arbitrary File Download</t>
        </is>
      </c>
      <c r="P1716" s="189" t="inlineStr">
        <is>
          <t>See CVE details</t>
        </is>
      </c>
      <c r="Q1716" s="189" t="inlineStr">
        <is>
          <t>P1</t>
        </is>
      </c>
      <c r="R1716" s="189" t="inlineStr">
        <is>
          <t>🔍 Investigate and apply appropriate controls</t>
        </is>
      </c>
      <c r="S1716" s="189" t="inlineStr">
        <is>
          <t>Rapid7 MSF: IBM Data Risk Manager Arbitrary File Download | Module type: auxiliary_admin</t>
        </is>
      </c>
      <c r="T1716" s="189" t="n">
        <v>0</v>
      </c>
      <c r="U1716" s="189" t="n">
        <v>0</v>
      </c>
      <c r="V1716" s="189" t="inlineStr">
        <is>
          <t>T1203:Exploitation for Client Execution | T1190:Exploit Public-Facing Application</t>
        </is>
      </c>
      <c r="W1716" s="189" t="n">
        <v>2</v>
      </c>
      <c r="X1716" s="189" t="inlineStr">
        <is>
          <t>HIGH (72%)</t>
        </is>
      </c>
      <c r="Y1716" s="189" t="inlineStr">
        <is>
          <t>WEAPONIZED</t>
        </is>
      </c>
      <c r="Z1716" s="189" t="inlineStr">
        <is>
          <t>CHECK_VENDOR</t>
        </is>
      </c>
      <c r="AA1716" s="190" t="inlineStr">
        <is>
          <t>https://www.rapid7.com/db/search/?q=CVE-2020-4427</t>
        </is>
      </c>
      <c r="AB1716" s="189" t="inlineStr">
        <is>
          <t>NONE</t>
        </is>
      </c>
      <c r="AC1716" s="189" t="n">
        <v>0</v>
      </c>
      <c r="AD1716" s="189" t="n"/>
    </row>
    <row r="1717">
      <c r="A1717" s="189" t="inlineStr">
        <is>
          <t>MSF_MODULE</t>
        </is>
      </c>
      <c r="B1717" s="189" t="inlineStr">
        <is>
          <t>CVE-2020-4429</t>
        </is>
      </c>
      <c r="C1717" s="189" t="inlineStr">
        <is>
          <t>Metasploit module available: IBM Data Risk Manager Arbitrary File Download | Type: auxiliary_admin | CVE-2020-4429</t>
        </is>
      </c>
      <c r="D1717" s="189" t="n">
        <v>7.5</v>
      </c>
      <c r="E1717" s="189" t="inlineStr">
        <is>
          <t>HIGH</t>
        </is>
      </c>
      <c r="F1717" s="189" t="n">
        <v>3</v>
      </c>
      <c r="G1717" s="189" t="n">
        <v>3</v>
      </c>
      <c r="H1717" s="189" t="inlineStr">
        <is>
          <t>CRITICAL</t>
        </is>
      </c>
      <c r="I1717" s="189" t="n">
        <v>16.5</v>
      </c>
      <c r="J1717" s="189" t="inlineStr">
        <is>
          <t>NO</t>
        </is>
      </c>
      <c r="K1717" s="190" t="inlineStr">
        <is>
          <t>https://nvd.nist.gov/vuln/detail/CVE-2020-4429</t>
        </is>
      </c>
      <c r="L1717" s="189" t="inlineStr">
        <is>
          <t>2026-02-23 23:48</t>
        </is>
      </c>
      <c r="M1717" s="189" t="inlineStr">
        <is>
          <t>PATCH_IMMEDIATELY</t>
        </is>
      </c>
      <c r="N1717" s="190" t="inlineStr">
        <is>
          <t>https://nvd.nist.gov/vuln/detail/CVE-2020-4429</t>
        </is>
      </c>
      <c r="O1717" s="189" t="inlineStr">
        <is>
          <t>Patch CVE-2020-4429 immediately — weaponized Metasploit module in public release | Module: IBM Data Risk Manager Arbitrary File Download</t>
        </is>
      </c>
      <c r="P1717" s="189" t="inlineStr">
        <is>
          <t>See CVE details</t>
        </is>
      </c>
      <c r="Q1717" s="189" t="inlineStr">
        <is>
          <t>P2</t>
        </is>
      </c>
      <c r="R1717" s="189" t="inlineStr">
        <is>
          <t>🔍 Investigate and apply appropriate controls</t>
        </is>
      </c>
      <c r="S1717" s="189" t="inlineStr">
        <is>
          <t>Rapid7 MSF: IBM Data Risk Manager Arbitrary File Download | Module type: auxiliary_admin</t>
        </is>
      </c>
      <c r="T1717" s="189" t="n">
        <v>0</v>
      </c>
      <c r="U1717" s="189" t="n">
        <v>0</v>
      </c>
      <c r="V1717" s="189" t="inlineStr">
        <is>
          <t>T1203:Exploitation for Client Execution | T1190:Exploit Public-Facing Application</t>
        </is>
      </c>
      <c r="W1717" s="189" t="n">
        <v>2</v>
      </c>
      <c r="X1717" s="189" t="inlineStr">
        <is>
          <t>HIGH (72%)</t>
        </is>
      </c>
      <c r="Y1717" s="189" t="inlineStr">
        <is>
          <t>WEAPONIZED</t>
        </is>
      </c>
      <c r="Z1717" s="189" t="inlineStr">
        <is>
          <t>CHECK_VENDOR</t>
        </is>
      </c>
      <c r="AA1717" s="190" t="inlineStr">
        <is>
          <t>https://www.rapid7.com/db/search/?q=CVE-2020-4429</t>
        </is>
      </c>
      <c r="AB1717" s="189" t="inlineStr">
        <is>
          <t>NONE</t>
        </is>
      </c>
      <c r="AC1717" s="189" t="n">
        <v>0</v>
      </c>
      <c r="AD1717" s="189" t="n"/>
    </row>
    <row r="1718">
      <c r="A1718" s="189" t="inlineStr">
        <is>
          <t>MSF_MODULE</t>
        </is>
      </c>
      <c r="B1718" s="189" t="inlineStr">
        <is>
          <t>CVE-2023-6329</t>
        </is>
      </c>
      <c r="C1718" s="189" t="inlineStr">
        <is>
          <t>Metasploit module available: Control iD iDSecure Authentication Bypass (CVE-2023-6329) | Type: auxiliary_admin | CVE-2023-6329</t>
        </is>
      </c>
      <c r="D1718" s="189" t="n">
        <v>7.5</v>
      </c>
      <c r="E1718" s="189" t="inlineStr">
        <is>
          <t>HIGH</t>
        </is>
      </c>
      <c r="F1718" s="189" t="n">
        <v>3</v>
      </c>
      <c r="G1718" s="189" t="n">
        <v>3</v>
      </c>
      <c r="H1718" s="189" t="inlineStr">
        <is>
          <t>CRITICAL</t>
        </is>
      </c>
      <c r="I1718" s="189" t="n">
        <v>16.5</v>
      </c>
      <c r="J1718" s="189" t="inlineStr">
        <is>
          <t>NO</t>
        </is>
      </c>
      <c r="K1718" s="190" t="inlineStr">
        <is>
          <t>https://nvd.nist.gov/vuln/detail/CVE-2023-6329</t>
        </is>
      </c>
      <c r="L1718" s="189" t="inlineStr">
        <is>
          <t>2026-02-23 23:48</t>
        </is>
      </c>
      <c r="M1718" s="189" t="inlineStr">
        <is>
          <t>PATCH_IMMEDIATELY</t>
        </is>
      </c>
      <c r="N1718" s="190" t="inlineStr">
        <is>
          <t>https://nvd.nist.gov/vuln/detail/CVE-2023-6329</t>
        </is>
      </c>
      <c r="O1718" s="189" t="inlineStr">
        <is>
          <t>Patch CVE-2023-6329 immediately — weaponized Metasploit module in public release | Module: Control iD iDSecure Authentication Bypass (CVE-2023-6329)</t>
        </is>
      </c>
      <c r="P1718" s="189" t="inlineStr">
        <is>
          <t>See CVE details</t>
        </is>
      </c>
      <c r="Q1718" s="189" t="inlineStr">
        <is>
          <t>P2</t>
        </is>
      </c>
      <c r="R1718" s="189" t="inlineStr">
        <is>
          <t>🔍 Investigate and apply appropriate controls</t>
        </is>
      </c>
      <c r="S1718" s="189" t="inlineStr">
        <is>
          <t>Rapid7 MSF: Control iD iDSecure Authentication Bypass (CVE-2023-6329) | Module type: auxiliary_admin</t>
        </is>
      </c>
      <c r="T1718" s="189" t="n">
        <v>0</v>
      </c>
      <c r="U1718" s="189" t="n">
        <v>0</v>
      </c>
      <c r="V1718" s="189" t="inlineStr">
        <is>
          <t>T1203:Exploitation for Client Execution | T1190:Exploit Public-Facing Application</t>
        </is>
      </c>
      <c r="W1718" s="189" t="n">
        <v>2</v>
      </c>
      <c r="X1718" s="189" t="inlineStr">
        <is>
          <t>HIGH (72%)</t>
        </is>
      </c>
      <c r="Y1718" s="189" t="inlineStr">
        <is>
          <t>WEAPONIZED</t>
        </is>
      </c>
      <c r="Z1718" s="189" t="inlineStr">
        <is>
          <t>CHECK_VENDOR</t>
        </is>
      </c>
      <c r="AA1718" s="190" t="inlineStr">
        <is>
          <t>https://www.rapid7.com/db/search/?q=CVE-2023-6329</t>
        </is>
      </c>
      <c r="AB1718" s="189" t="inlineStr">
        <is>
          <t>NONE</t>
        </is>
      </c>
      <c r="AC1718" s="189" t="n">
        <v>0</v>
      </c>
      <c r="AD1718" s="189" t="n"/>
    </row>
    <row r="1719">
      <c r="A1719" s="189" t="inlineStr">
        <is>
          <t>MSF_MODULE</t>
        </is>
      </c>
      <c r="B1719" s="189" t="inlineStr">
        <is>
          <t>CVE-2010-2731</t>
        </is>
      </c>
      <c r="C1719" s="189" t="inlineStr">
        <is>
          <t>Metasploit module available: MS10-065 Microsoft IIS 5 NTFS Stream Authentication Bypass | Type: auxiliary_admin | CVE-2010-2731</t>
        </is>
      </c>
      <c r="D1719" s="189" t="n">
        <v>7.5</v>
      </c>
      <c r="E1719" s="189" t="inlineStr">
        <is>
          <t>HIGH</t>
        </is>
      </c>
      <c r="F1719" s="189" t="n">
        <v>3</v>
      </c>
      <c r="G1719" s="189" t="n">
        <v>3</v>
      </c>
      <c r="H1719" s="189" t="inlineStr">
        <is>
          <t>CRITICAL</t>
        </is>
      </c>
      <c r="I1719" s="189" t="n">
        <v>16.5</v>
      </c>
      <c r="J1719" s="189" t="inlineStr">
        <is>
          <t>NO</t>
        </is>
      </c>
      <c r="K1719" s="190" t="inlineStr">
        <is>
          <t>https://nvd.nist.gov/vuln/detail/CVE-2010-2731</t>
        </is>
      </c>
      <c r="L1719" s="189" t="inlineStr">
        <is>
          <t>2026-02-23 23:48</t>
        </is>
      </c>
      <c r="M1719" s="189" t="inlineStr">
        <is>
          <t>PATCH_IMMEDIATELY</t>
        </is>
      </c>
      <c r="N1719" s="190" t="inlineStr">
        <is>
          <t>https://nvd.nist.gov/vuln/detail/CVE-2010-2731</t>
        </is>
      </c>
      <c r="O1719" s="189" t="inlineStr">
        <is>
          <t>Patch CVE-2010-2731 immediately — weaponized Metasploit module in public release | Module: MS10-065 Microsoft IIS 5 NTFS Stream Authentication Bypass</t>
        </is>
      </c>
      <c r="P1719" s="189" t="inlineStr">
        <is>
          <t>See CVE details</t>
        </is>
      </c>
      <c r="Q1719" s="189" t="inlineStr">
        <is>
          <t>P2</t>
        </is>
      </c>
      <c r="R1719" s="189" t="inlineStr">
        <is>
          <t>🔍 Investigate and apply appropriate controls</t>
        </is>
      </c>
      <c r="S1719" s="189" t="inlineStr">
        <is>
          <t>Rapid7 MSF: MS10-065 Microsoft IIS 5 NTFS Stream Authentication Bypass | Module type: auxiliary_admin</t>
        </is>
      </c>
      <c r="T1719" s="189" t="n">
        <v>0</v>
      </c>
      <c r="U1719" s="189" t="n">
        <v>0</v>
      </c>
      <c r="V1719" s="189" t="inlineStr">
        <is>
          <t>T1203:Exploitation for Client Execution | T1190:Exploit Public-Facing Application</t>
        </is>
      </c>
      <c r="W1719" s="189" t="n">
        <v>2</v>
      </c>
      <c r="X1719" s="189" t="inlineStr">
        <is>
          <t>HIGH (72%)</t>
        </is>
      </c>
      <c r="Y1719" s="189" t="inlineStr">
        <is>
          <t>WEAPONIZED</t>
        </is>
      </c>
      <c r="Z1719" s="189" t="inlineStr">
        <is>
          <t>CHECK_VENDOR</t>
        </is>
      </c>
      <c r="AA1719" s="190" t="inlineStr">
        <is>
          <t>https://www.rapid7.com/db/search/?q=CVE-2010-2731</t>
        </is>
      </c>
      <c r="AB1719" s="189" t="inlineStr">
        <is>
          <t>NONE</t>
        </is>
      </c>
      <c r="AC1719" s="189" t="n">
        <v>0</v>
      </c>
      <c r="AD1719" s="189" t="n"/>
    </row>
    <row r="1720">
      <c r="A1720" s="189" t="inlineStr">
        <is>
          <t>MSF_MODULE</t>
        </is>
      </c>
      <c r="B1720" s="189" t="inlineStr">
        <is>
          <t>CVE-2007-4915</t>
        </is>
      </c>
      <c r="C1720" s="189" t="inlineStr">
        <is>
          <t>Metasploit module available: Intersil (Boa) HTTPd Basic Authentication Password Reset | Type: auxiliary_admin | CVE-2007-4915</t>
        </is>
      </c>
      <c r="D1720" s="189" t="n">
        <v>7.5</v>
      </c>
      <c r="E1720" s="189" t="inlineStr">
        <is>
          <t>HIGH</t>
        </is>
      </c>
      <c r="F1720" s="189" t="n">
        <v>3</v>
      </c>
      <c r="G1720" s="189" t="n">
        <v>3</v>
      </c>
      <c r="H1720" s="189" t="inlineStr">
        <is>
          <t>CRITICAL</t>
        </is>
      </c>
      <c r="I1720" s="189" t="n">
        <v>16.5</v>
      </c>
      <c r="J1720" s="189" t="inlineStr">
        <is>
          <t>NO</t>
        </is>
      </c>
      <c r="K1720" s="190" t="inlineStr">
        <is>
          <t>https://nvd.nist.gov/vuln/detail/CVE-2007-4915</t>
        </is>
      </c>
      <c r="L1720" s="189" t="inlineStr">
        <is>
          <t>2026-02-23 23:48</t>
        </is>
      </c>
      <c r="M1720" s="189" t="inlineStr">
        <is>
          <t>PATCH_IMMEDIATELY</t>
        </is>
      </c>
      <c r="N1720" s="190" t="inlineStr">
        <is>
          <t>https://nvd.nist.gov/vuln/detail/CVE-2007-4915</t>
        </is>
      </c>
      <c r="O1720" s="189" t="inlineStr">
        <is>
          <t>Patch CVE-2007-4915 immediately — weaponized Metasploit module in public release | Module: Intersil (Boa) HTTPd Basic Authentication Password Reset</t>
        </is>
      </c>
      <c r="P1720" s="189" t="inlineStr">
        <is>
          <t>See CVE details</t>
        </is>
      </c>
      <c r="Q1720" s="189" t="inlineStr">
        <is>
          <t>P2</t>
        </is>
      </c>
      <c r="R1720" s="189" t="inlineStr">
        <is>
          <t>🔍 Investigate and apply appropriate controls</t>
        </is>
      </c>
      <c r="S1720" s="189" t="inlineStr">
        <is>
          <t>Rapid7 MSF: Intersil (Boa) HTTPd Basic Authentication Password Reset | Module type: auxiliary_admin</t>
        </is>
      </c>
      <c r="T1720" s="189" t="n">
        <v>0</v>
      </c>
      <c r="U1720" s="189" t="n">
        <v>0</v>
      </c>
      <c r="V1720" s="189" t="inlineStr">
        <is>
          <t>T1203:Exploitation for Client Execution | T1190:Exploit Public-Facing Application</t>
        </is>
      </c>
      <c r="W1720" s="189" t="n">
        <v>2</v>
      </c>
      <c r="X1720" s="189" t="inlineStr">
        <is>
          <t>HIGH (72%)</t>
        </is>
      </c>
      <c r="Y1720" s="189" t="inlineStr">
        <is>
          <t>WEAPONIZED</t>
        </is>
      </c>
      <c r="Z1720" s="189" t="inlineStr">
        <is>
          <t>CHECK_VENDOR</t>
        </is>
      </c>
      <c r="AA1720" s="190" t="inlineStr">
        <is>
          <t>https://www.rapid7.com/db/search/?q=CVE-2007-4915</t>
        </is>
      </c>
      <c r="AB1720" s="189" t="inlineStr">
        <is>
          <t>NONE</t>
        </is>
      </c>
      <c r="AC1720" s="189" t="n">
        <v>0</v>
      </c>
      <c r="AD1720" s="189" t="n"/>
    </row>
    <row r="1721">
      <c r="A1721" s="189" t="inlineStr">
        <is>
          <t>MSF_MODULE</t>
        </is>
      </c>
      <c r="B1721" s="189" t="inlineStr">
        <is>
          <t>CVE-2009-2367</t>
        </is>
      </c>
      <c r="C1721" s="189" t="inlineStr">
        <is>
          <t>Metasploit module available: Iomega StorCenter Pro NAS Web Authentication Bypass | Type: auxiliary_admin | CVE-2009-2367</t>
        </is>
      </c>
      <c r="D1721" s="189" t="n">
        <v>7.5</v>
      </c>
      <c r="E1721" s="189" t="inlineStr">
        <is>
          <t>HIGH</t>
        </is>
      </c>
      <c r="F1721" s="189" t="n">
        <v>3</v>
      </c>
      <c r="G1721" s="189" t="n">
        <v>3</v>
      </c>
      <c r="H1721" s="189" t="inlineStr">
        <is>
          <t>CRITICAL</t>
        </is>
      </c>
      <c r="I1721" s="189" t="n">
        <v>16.5</v>
      </c>
      <c r="J1721" s="189" t="inlineStr">
        <is>
          <t>NO</t>
        </is>
      </c>
      <c r="K1721" s="190" t="inlineStr">
        <is>
          <t>https://nvd.nist.gov/vuln/detail/CVE-2009-2367</t>
        </is>
      </c>
      <c r="L1721" s="189" t="inlineStr">
        <is>
          <t>2026-02-23 23:48</t>
        </is>
      </c>
      <c r="M1721" s="189" t="inlineStr">
        <is>
          <t>PATCH_IMMEDIATELY</t>
        </is>
      </c>
      <c r="N1721" s="190" t="inlineStr">
        <is>
          <t>https://nvd.nist.gov/vuln/detail/CVE-2009-2367</t>
        </is>
      </c>
      <c r="O1721" s="189" t="inlineStr">
        <is>
          <t>Patch CVE-2009-2367 immediately — weaponized Metasploit module in public release | Module: Iomega StorCenter Pro NAS Web Authentication Bypass</t>
        </is>
      </c>
      <c r="P1721" s="189" t="inlineStr">
        <is>
          <t>See CVE details</t>
        </is>
      </c>
      <c r="Q1721" s="189" t="inlineStr">
        <is>
          <t>P2</t>
        </is>
      </c>
      <c r="R1721" s="189" t="inlineStr">
        <is>
          <t>🔍 Investigate and apply appropriate controls</t>
        </is>
      </c>
      <c r="S1721" s="189" t="inlineStr">
        <is>
          <t>Rapid7 MSF: Iomega StorCenter Pro NAS Web Authentication Bypass | Module type: auxiliary_admin</t>
        </is>
      </c>
      <c r="T1721" s="189" t="n">
        <v>0</v>
      </c>
      <c r="U1721" s="189" t="n">
        <v>0</v>
      </c>
      <c r="V1721" s="189" t="inlineStr">
        <is>
          <t>T1203:Exploitation for Client Execution | T1190:Exploit Public-Facing Application</t>
        </is>
      </c>
      <c r="W1721" s="189" t="n">
        <v>2</v>
      </c>
      <c r="X1721" s="189" t="inlineStr">
        <is>
          <t>HIGH (72%)</t>
        </is>
      </c>
      <c r="Y1721" s="189" t="inlineStr">
        <is>
          <t>WEAPONIZED</t>
        </is>
      </c>
      <c r="Z1721" s="189" t="inlineStr">
        <is>
          <t>CHECK_VENDOR</t>
        </is>
      </c>
      <c r="AA1721" s="190" t="inlineStr">
        <is>
          <t>https://www.rapid7.com/db/search/?q=CVE-2009-2367</t>
        </is>
      </c>
      <c r="AB1721" s="189" t="inlineStr">
        <is>
          <t>NONE</t>
        </is>
      </c>
      <c r="AC1721" s="189" t="n">
        <v>0</v>
      </c>
      <c r="AD1721" s="189" t="n"/>
    </row>
    <row r="1722">
      <c r="A1722" s="189" t="inlineStr">
        <is>
          <t>MSF_MODULE</t>
        </is>
      </c>
      <c r="B1722" s="189" t="inlineStr">
        <is>
          <t>CVE-2024-7593</t>
        </is>
      </c>
      <c r="C1722" s="189" t="inlineStr">
        <is>
          <t>Metasploit module available: Ivanti Virtual Traffic Manager Authentication Bypass (CVE-2024-7593) | Type: auxiliary_admin | CVE-2024-7593</t>
        </is>
      </c>
      <c r="D1722" s="189" t="n">
        <v>7.5</v>
      </c>
      <c r="E1722" s="189" t="inlineStr">
        <is>
          <t>HIGH</t>
        </is>
      </c>
      <c r="F1722" s="189" t="n">
        <v>3</v>
      </c>
      <c r="G1722" s="189" t="n">
        <v>3</v>
      </c>
      <c r="H1722" s="189" t="inlineStr">
        <is>
          <t>CRITICAL</t>
        </is>
      </c>
      <c r="I1722" s="189" t="n">
        <v>16.5</v>
      </c>
      <c r="J1722" s="189" t="inlineStr">
        <is>
          <t>YES</t>
        </is>
      </c>
      <c r="K1722" s="190" t="inlineStr">
        <is>
          <t>https://nvd.nist.gov/vuln/detail/CVE-2024-7593</t>
        </is>
      </c>
      <c r="L1722" s="189" t="inlineStr">
        <is>
          <t>2026-02-23 23:48</t>
        </is>
      </c>
      <c r="M1722" s="189" t="inlineStr">
        <is>
          <t>PATCH_IMMEDIATELY</t>
        </is>
      </c>
      <c r="N1722" s="190" t="inlineStr">
        <is>
          <t>https://nvd.nist.gov/vuln/detail/CVE-2024-7593</t>
        </is>
      </c>
      <c r="O1722" s="189" t="inlineStr">
        <is>
          <t>Patch CVE-2024-7593 immediately — weaponized Metasploit module in public release | Module: Ivanti Virtual Traffic Manager Authentication Bypass (CVE-2024-7593)</t>
        </is>
      </c>
      <c r="P1722" s="189" t="inlineStr">
        <is>
          <t>See CVE details</t>
        </is>
      </c>
      <c r="Q1722" s="189" t="inlineStr">
        <is>
          <t>P1</t>
        </is>
      </c>
      <c r="R1722" s="189" t="inlineStr">
        <is>
          <t>🔍 Investigate and apply appropriate controls</t>
        </is>
      </c>
      <c r="S1722" s="189" t="inlineStr">
        <is>
          <t>Rapid7 MSF: Ivanti Virtual Traffic Manager Authentication Bypass (CVE-2024-7593) | Module type: auxiliary_admin</t>
        </is>
      </c>
      <c r="T1722" s="189" t="n">
        <v>0</v>
      </c>
      <c r="U1722" s="189" t="n">
        <v>0</v>
      </c>
      <c r="V1722" s="189" t="inlineStr">
        <is>
          <t>T1203:Exploitation for Client Execution | T1190:Exploit Public-Facing Application</t>
        </is>
      </c>
      <c r="W1722" s="189" t="n">
        <v>2</v>
      </c>
      <c r="X1722" s="189" t="inlineStr">
        <is>
          <t>HIGH (72%)</t>
        </is>
      </c>
      <c r="Y1722" s="189" t="inlineStr">
        <is>
          <t>WEAPONIZED</t>
        </is>
      </c>
      <c r="Z1722" s="189" t="inlineStr">
        <is>
          <t>CHECK_VENDOR</t>
        </is>
      </c>
      <c r="AA1722" s="190" t="inlineStr">
        <is>
          <t>https://www.rapid7.com/db/search/?q=CVE-2024-7593</t>
        </is>
      </c>
      <c r="AB1722" s="189" t="inlineStr">
        <is>
          <t>NONE</t>
        </is>
      </c>
      <c r="AC1722" s="189" t="n">
        <v>0</v>
      </c>
      <c r="AD1722" s="189" t="n"/>
    </row>
    <row r="1723">
      <c r="A1723" s="189" t="inlineStr">
        <is>
          <t>MSF_MODULE</t>
        </is>
      </c>
      <c r="B1723" s="189" t="inlineStr">
        <is>
          <t>CVE-2010-0738</t>
        </is>
      </c>
      <c r="C1723" s="189" t="inlineStr">
        <is>
          <t>Metasploit module available: JBoss JMX Console Beanshell Deployer WAR Upload and Deployment | Type: auxiliary_admin | CVE-2010-0738</t>
        </is>
      </c>
      <c r="D1723" s="189" t="n">
        <v>7.5</v>
      </c>
      <c r="E1723" s="189" t="inlineStr">
        <is>
          <t>HIGH</t>
        </is>
      </c>
      <c r="F1723" s="189" t="n">
        <v>3</v>
      </c>
      <c r="G1723" s="189" t="n">
        <v>3</v>
      </c>
      <c r="H1723" s="189" t="inlineStr">
        <is>
          <t>CRITICAL</t>
        </is>
      </c>
      <c r="I1723" s="189" t="n">
        <v>16.5</v>
      </c>
      <c r="J1723" s="189" t="inlineStr">
        <is>
          <t>YES</t>
        </is>
      </c>
      <c r="K1723" s="190" t="inlineStr">
        <is>
          <t>https://nvd.nist.gov/vuln/detail/CVE-2010-0738</t>
        </is>
      </c>
      <c r="L1723" s="189" t="inlineStr">
        <is>
          <t>2026-02-23 23:48</t>
        </is>
      </c>
      <c r="M1723" s="189" t="inlineStr">
        <is>
          <t>PATCH_IMMEDIATELY</t>
        </is>
      </c>
      <c r="N1723" s="190" t="inlineStr">
        <is>
          <t>https://nvd.nist.gov/vuln/detail/CVE-2010-0738</t>
        </is>
      </c>
      <c r="O1723" s="189" t="inlineStr">
        <is>
          <t>Patch CVE-2010-0738 immediately — weaponized Metasploit module in public release | Module: JBoss JMX Console Beanshell Deployer WAR Upload and Deployment</t>
        </is>
      </c>
      <c r="P1723" s="189" t="inlineStr">
        <is>
          <t>See CVE details</t>
        </is>
      </c>
      <c r="Q1723" s="189" t="inlineStr">
        <is>
          <t>P1</t>
        </is>
      </c>
      <c r="R1723" s="189" t="inlineStr">
        <is>
          <t>🔍 Investigate and apply appropriate controls</t>
        </is>
      </c>
      <c r="S1723" s="189" t="inlineStr">
        <is>
          <t>Rapid7 MSF: JBoss JMX Console Beanshell Deployer WAR Upload and Deployment | Module type: auxiliary_admin</t>
        </is>
      </c>
      <c r="T1723" s="189" t="n">
        <v>0.9085</v>
      </c>
      <c r="U1723" s="189" t="n">
        <v>0.9962</v>
      </c>
      <c r="V1723" s="189" t="inlineStr">
        <is>
          <t>T1203:Exploitation for Client Execution | T1190:Exploit Public-Facing Application</t>
        </is>
      </c>
      <c r="W1723" s="189" t="n">
        <v>2</v>
      </c>
      <c r="X1723" s="189" t="inlineStr">
        <is>
          <t>HIGH (72%)</t>
        </is>
      </c>
      <c r="Y1723" s="189" t="inlineStr">
        <is>
          <t>WEAPONIZED</t>
        </is>
      </c>
      <c r="Z1723" s="189" t="inlineStr">
        <is>
          <t>CHECK_VENDOR</t>
        </is>
      </c>
      <c r="AA1723" s="190" t="inlineStr">
        <is>
          <t>https://www.rapid7.com/db/search/?q=CVE-2010-0738</t>
        </is>
      </c>
      <c r="AB1723" s="189" t="inlineStr">
        <is>
          <t>NONE</t>
        </is>
      </c>
      <c r="AC1723" s="189" t="n">
        <v>0</v>
      </c>
      <c r="AD1723" s="189" t="n"/>
    </row>
    <row r="1724">
      <c r="A1724" s="189" t="inlineStr">
        <is>
          <t>MSF_MODULE</t>
        </is>
      </c>
      <c r="B1724" s="189" t="inlineStr">
        <is>
          <t>CVE-2010-1871</t>
        </is>
      </c>
      <c r="C1724" s="189" t="inlineStr">
        <is>
          <t>Metasploit module available: JBoss Seam 2 Remote Command Execution | Type: auxiliary_admin | CVE-2010-1871</t>
        </is>
      </c>
      <c r="D1724" s="189" t="n">
        <v>7.5</v>
      </c>
      <c r="E1724" s="189" t="inlineStr">
        <is>
          <t>HIGH</t>
        </is>
      </c>
      <c r="F1724" s="189" t="n">
        <v>3</v>
      </c>
      <c r="G1724" s="189" t="n">
        <v>3</v>
      </c>
      <c r="H1724" s="189" t="inlineStr">
        <is>
          <t>CRITICAL</t>
        </is>
      </c>
      <c r="I1724" s="189" t="n">
        <v>16.5</v>
      </c>
      <c r="J1724" s="189" t="inlineStr">
        <is>
          <t>YES</t>
        </is>
      </c>
      <c r="K1724" s="190" t="inlineStr">
        <is>
          <t>https://nvd.nist.gov/vuln/detail/CVE-2010-1871</t>
        </is>
      </c>
      <c r="L1724" s="189" t="inlineStr">
        <is>
          <t>2026-02-23 23:48</t>
        </is>
      </c>
      <c r="M1724" s="189" t="inlineStr">
        <is>
          <t>PATCH_IMMEDIATELY</t>
        </is>
      </c>
      <c r="N1724" s="190" t="inlineStr">
        <is>
          <t>https://nvd.nist.gov/vuln/detail/CVE-2010-1871</t>
        </is>
      </c>
      <c r="O1724" s="189" t="inlineStr">
        <is>
          <t>Patch CVE-2010-1871 immediately — weaponized Metasploit module in public release | Module: JBoss Seam 2 Remote Command Execution</t>
        </is>
      </c>
      <c r="P1724" s="189" t="inlineStr">
        <is>
          <t>See CVE details</t>
        </is>
      </c>
      <c r="Q1724" s="189" t="inlineStr">
        <is>
          <t>P1</t>
        </is>
      </c>
      <c r="R1724" s="189" t="inlineStr">
        <is>
          <t>🔍 Investigate and apply appropriate controls</t>
        </is>
      </c>
      <c r="S1724" s="189" t="inlineStr">
        <is>
          <t>Rapid7 MSF: JBoss Seam 2 Remote Command Execution | Module type: auxiliary_admin</t>
        </is>
      </c>
      <c r="T1724" s="189" t="n">
        <v>0.9379</v>
      </c>
      <c r="U1724" s="189" t="n">
        <v>0.9985000000000001</v>
      </c>
      <c r="V1724" s="189" t="inlineStr">
        <is>
          <t>T1203:Exploitation for Client Execution | T1190:Exploit Public-Facing Application</t>
        </is>
      </c>
      <c r="W1724" s="189" t="n">
        <v>2</v>
      </c>
      <c r="X1724" s="189" t="inlineStr">
        <is>
          <t>HIGH (72%)</t>
        </is>
      </c>
      <c r="Y1724" s="189" t="inlineStr">
        <is>
          <t>WEAPONIZED</t>
        </is>
      </c>
      <c r="Z1724" s="189" t="inlineStr">
        <is>
          <t>CHECK_VENDOR</t>
        </is>
      </c>
      <c r="AA1724" s="190" t="inlineStr">
        <is>
          <t>https://www.rapid7.com/db/search/?q=CVE-2010-1871</t>
        </is>
      </c>
      <c r="AB1724" s="189" t="inlineStr">
        <is>
          <t>NONE</t>
        </is>
      </c>
      <c r="AC1724" s="189" t="n">
        <v>0</v>
      </c>
      <c r="AD1724" s="189" t="n"/>
    </row>
    <row r="1725">
      <c r="A1725" s="189" t="inlineStr">
        <is>
          <t>MSF_MODULE</t>
        </is>
      </c>
      <c r="B1725" s="189" t="inlineStr">
        <is>
          <t>CVE-2016-8869</t>
        </is>
      </c>
      <c r="C1725" s="189" t="inlineStr">
        <is>
          <t>Metasploit module available: Joomla Account Creation and Privilege Escalation | Type: auxiliary_admin | CVE-2016-8869</t>
        </is>
      </c>
      <c r="D1725" s="189" t="n">
        <v>7.5</v>
      </c>
      <c r="E1725" s="189" t="inlineStr">
        <is>
          <t>HIGH</t>
        </is>
      </c>
      <c r="F1725" s="189" t="n">
        <v>3</v>
      </c>
      <c r="G1725" s="189" t="n">
        <v>3</v>
      </c>
      <c r="H1725" s="189" t="inlineStr">
        <is>
          <t>CRITICAL</t>
        </is>
      </c>
      <c r="I1725" s="189" t="n">
        <v>16.5</v>
      </c>
      <c r="J1725" s="189" t="inlineStr">
        <is>
          <t>NO</t>
        </is>
      </c>
      <c r="K1725" s="190" t="inlineStr">
        <is>
          <t>https://nvd.nist.gov/vuln/detail/CVE-2016-8869</t>
        </is>
      </c>
      <c r="L1725" s="189" t="inlineStr">
        <is>
          <t>2026-02-23 23:48</t>
        </is>
      </c>
      <c r="M1725" s="189" t="inlineStr">
        <is>
          <t>PATCH_IMMEDIATELY</t>
        </is>
      </c>
      <c r="N1725" s="190" t="inlineStr">
        <is>
          <t>https://nvd.nist.gov/vuln/detail/CVE-2016-8869</t>
        </is>
      </c>
      <c r="O1725" s="189" t="inlineStr">
        <is>
          <t>Patch CVE-2016-8869 immediately — weaponized Metasploit module in public release | Module: Joomla Account Creation and Privilege Escalation</t>
        </is>
      </c>
      <c r="P1725" s="189" t="inlineStr">
        <is>
          <t>See CVE details</t>
        </is>
      </c>
      <c r="Q1725" s="189" t="inlineStr">
        <is>
          <t>P2</t>
        </is>
      </c>
      <c r="R1725" s="189" t="inlineStr">
        <is>
          <t>🔍 Investigate and apply appropriate controls</t>
        </is>
      </c>
      <c r="S1725" s="189" t="inlineStr">
        <is>
          <t>Rapid7 MSF: Joomla Account Creation and Privilege Escalation | Module type: auxiliary_admin</t>
        </is>
      </c>
      <c r="T1725" s="189" t="n">
        <v>0</v>
      </c>
      <c r="U1725" s="189" t="n">
        <v>0</v>
      </c>
      <c r="V1725" s="189" t="inlineStr">
        <is>
          <t>T1203:Exploitation for Client Execution | T1190:Exploit Public-Facing Application</t>
        </is>
      </c>
      <c r="W1725" s="189" t="n">
        <v>2</v>
      </c>
      <c r="X1725" s="189" t="inlineStr">
        <is>
          <t>HIGH (72%)</t>
        </is>
      </c>
      <c r="Y1725" s="189" t="inlineStr">
        <is>
          <t>WEAPONIZED</t>
        </is>
      </c>
      <c r="Z1725" s="189" t="inlineStr">
        <is>
          <t>CHECK_VENDOR</t>
        </is>
      </c>
      <c r="AA1725" s="190" t="inlineStr">
        <is>
          <t>https://www.rapid7.com/db/search/?q=CVE-2016-8869</t>
        </is>
      </c>
      <c r="AB1725" s="189" t="inlineStr">
        <is>
          <t>NONE</t>
        </is>
      </c>
      <c r="AC1725" s="189" t="n">
        <v>0</v>
      </c>
      <c r="AD1725" s="189" t="n"/>
    </row>
    <row r="1726">
      <c r="A1726" s="189" t="inlineStr">
        <is>
          <t>MSF_MODULE</t>
        </is>
      </c>
      <c r="B1726" s="189" t="inlineStr">
        <is>
          <t>CVE-2016-8870</t>
        </is>
      </c>
      <c r="C1726" s="189" t="inlineStr">
        <is>
          <t>Metasploit module available: Joomla Account Creation and Privilege Escalation | Type: auxiliary_admin | CVE-2016-8870</t>
        </is>
      </c>
      <c r="D1726" s="189" t="n">
        <v>7.5</v>
      </c>
      <c r="E1726" s="189" t="inlineStr">
        <is>
          <t>HIGH</t>
        </is>
      </c>
      <c r="F1726" s="189" t="n">
        <v>3</v>
      </c>
      <c r="G1726" s="189" t="n">
        <v>3</v>
      </c>
      <c r="H1726" s="189" t="inlineStr">
        <is>
          <t>CRITICAL</t>
        </is>
      </c>
      <c r="I1726" s="189" t="n">
        <v>16.5</v>
      </c>
      <c r="J1726" s="189" t="inlineStr">
        <is>
          <t>NO</t>
        </is>
      </c>
      <c r="K1726" s="190" t="inlineStr">
        <is>
          <t>https://nvd.nist.gov/vuln/detail/CVE-2016-8870</t>
        </is>
      </c>
      <c r="L1726" s="189" t="inlineStr">
        <is>
          <t>2026-02-23 23:48</t>
        </is>
      </c>
      <c r="M1726" s="189" t="inlineStr">
        <is>
          <t>PATCH_IMMEDIATELY</t>
        </is>
      </c>
      <c r="N1726" s="190" t="inlineStr">
        <is>
          <t>https://nvd.nist.gov/vuln/detail/CVE-2016-8870</t>
        </is>
      </c>
      <c r="O1726" s="189" t="inlineStr">
        <is>
          <t>Patch CVE-2016-8870 immediately — weaponized Metasploit module in public release | Module: Joomla Account Creation and Privilege Escalation</t>
        </is>
      </c>
      <c r="P1726" s="189" t="inlineStr">
        <is>
          <t>See CVE details</t>
        </is>
      </c>
      <c r="Q1726" s="189" t="inlineStr">
        <is>
          <t>P2</t>
        </is>
      </c>
      <c r="R1726" s="189" t="inlineStr">
        <is>
          <t>🔍 Investigate and apply appropriate controls</t>
        </is>
      </c>
      <c r="S1726" s="189" t="inlineStr">
        <is>
          <t>Rapid7 MSF: Joomla Account Creation and Privilege Escalation | Module type: auxiliary_admin</t>
        </is>
      </c>
      <c r="T1726" s="189" t="n">
        <v>0</v>
      </c>
      <c r="U1726" s="189" t="n">
        <v>0</v>
      </c>
      <c r="V1726" s="189" t="inlineStr">
        <is>
          <t>T1203:Exploitation for Client Execution | T1190:Exploit Public-Facing Application</t>
        </is>
      </c>
      <c r="W1726" s="189" t="n">
        <v>2</v>
      </c>
      <c r="X1726" s="189" t="inlineStr">
        <is>
          <t>HIGH (72%)</t>
        </is>
      </c>
      <c r="Y1726" s="189" t="inlineStr">
        <is>
          <t>WEAPONIZED</t>
        </is>
      </c>
      <c r="Z1726" s="189" t="inlineStr">
        <is>
          <t>CHECK_VENDOR</t>
        </is>
      </c>
      <c r="AA1726" s="190" t="inlineStr">
        <is>
          <t>https://www.rapid7.com/db/search/?q=CVE-2016-8870</t>
        </is>
      </c>
      <c r="AB1726" s="189" t="inlineStr">
        <is>
          <t>NONE</t>
        </is>
      </c>
      <c r="AC1726" s="189" t="n">
        <v>0</v>
      </c>
      <c r="AD1726" s="189" t="n"/>
    </row>
    <row r="1727">
      <c r="A1727" s="189" t="inlineStr">
        <is>
          <t>MSF_MODULE</t>
        </is>
      </c>
      <c r="B1727" s="189" t="inlineStr">
        <is>
          <t>CVE-2015-6922</t>
        </is>
      </c>
      <c r="C1727" s="189" t="inlineStr">
        <is>
          <t>Metasploit module available: Kaseya VSA Master Administrator Account Creation | Type: auxiliary_admin | CVE-2015-6922</t>
        </is>
      </c>
      <c r="D1727" s="189" t="n">
        <v>7.5</v>
      </c>
      <c r="E1727" s="189" t="inlineStr">
        <is>
          <t>HIGH</t>
        </is>
      </c>
      <c r="F1727" s="189" t="n">
        <v>3</v>
      </c>
      <c r="G1727" s="189" t="n">
        <v>3</v>
      </c>
      <c r="H1727" s="189" t="inlineStr">
        <is>
          <t>CRITICAL</t>
        </is>
      </c>
      <c r="I1727" s="189" t="n">
        <v>16.5</v>
      </c>
      <c r="J1727" s="189" t="inlineStr">
        <is>
          <t>NO</t>
        </is>
      </c>
      <c r="K1727" s="190" t="inlineStr">
        <is>
          <t>https://nvd.nist.gov/vuln/detail/CVE-2015-6922</t>
        </is>
      </c>
      <c r="L1727" s="189" t="inlineStr">
        <is>
          <t>2026-02-23 23:48</t>
        </is>
      </c>
      <c r="M1727" s="189" t="inlineStr">
        <is>
          <t>PATCH_IMMEDIATELY</t>
        </is>
      </c>
      <c r="N1727" s="190" t="inlineStr">
        <is>
          <t>https://nvd.nist.gov/vuln/detail/CVE-2015-6922</t>
        </is>
      </c>
      <c r="O1727" s="189" t="inlineStr">
        <is>
          <t>Patch CVE-2015-6922 immediately — weaponized Metasploit module in public release | Module: Kaseya VSA Master Administrator Account Creation</t>
        </is>
      </c>
      <c r="P1727" s="189" t="inlineStr">
        <is>
          <t>See CVE details</t>
        </is>
      </c>
      <c r="Q1727" s="189" t="inlineStr">
        <is>
          <t>P2</t>
        </is>
      </c>
      <c r="R1727" s="189" t="inlineStr">
        <is>
          <t>🔍 Investigate and apply appropriate controls</t>
        </is>
      </c>
      <c r="S1727" s="189" t="inlineStr">
        <is>
          <t>Rapid7 MSF: Kaseya VSA Master Administrator Account Creation | Module type: auxiliary_admin</t>
        </is>
      </c>
      <c r="T1727" s="189" t="n">
        <v>0</v>
      </c>
      <c r="U1727" s="189" t="n">
        <v>0</v>
      </c>
      <c r="V1727" s="189" t="inlineStr">
        <is>
          <t>T1203:Exploitation for Client Execution | T1190:Exploit Public-Facing Application</t>
        </is>
      </c>
      <c r="W1727" s="189" t="n">
        <v>2</v>
      </c>
      <c r="X1727" s="189" t="inlineStr">
        <is>
          <t>HIGH (72%)</t>
        </is>
      </c>
      <c r="Y1727" s="189" t="inlineStr">
        <is>
          <t>WEAPONIZED</t>
        </is>
      </c>
      <c r="Z1727" s="189" t="inlineStr">
        <is>
          <t>CHECK_VENDOR</t>
        </is>
      </c>
      <c r="AA1727" s="190" t="inlineStr">
        <is>
          <t>https://www.rapid7.com/db/search/?q=CVE-2015-6922</t>
        </is>
      </c>
      <c r="AB1727" s="189" t="inlineStr">
        <is>
          <t>NONE</t>
        </is>
      </c>
      <c r="AC1727" s="189" t="n">
        <v>0</v>
      </c>
      <c r="AD1727" s="189" t="n"/>
    </row>
    <row r="1728">
      <c r="A1728" s="189" t="inlineStr">
        <is>
          <t>MSF_MODULE</t>
        </is>
      </c>
      <c r="B1728" s="189" t="inlineStr">
        <is>
          <t>CVE-2013-2143</t>
        </is>
      </c>
      <c r="C1728" s="189" t="inlineStr">
        <is>
          <t>Metasploit module available: Katello (Red Hat Satellite) users/update_roles Missing Authorization | Type: auxiliary_admin | CVE-2013-2143</t>
        </is>
      </c>
      <c r="D1728" s="189" t="n">
        <v>7.5</v>
      </c>
      <c r="E1728" s="189" t="inlineStr">
        <is>
          <t>HIGH</t>
        </is>
      </c>
      <c r="F1728" s="189" t="n">
        <v>3</v>
      </c>
      <c r="G1728" s="189" t="n">
        <v>3</v>
      </c>
      <c r="H1728" s="189" t="inlineStr">
        <is>
          <t>CRITICAL</t>
        </is>
      </c>
      <c r="I1728" s="189" t="n">
        <v>16.5</v>
      </c>
      <c r="J1728" s="189" t="inlineStr">
        <is>
          <t>NO</t>
        </is>
      </c>
      <c r="K1728" s="190" t="inlineStr">
        <is>
          <t>https://nvd.nist.gov/vuln/detail/CVE-2013-2143</t>
        </is>
      </c>
      <c r="L1728" s="189" t="inlineStr">
        <is>
          <t>2026-02-23 23:48</t>
        </is>
      </c>
      <c r="M1728" s="189" t="inlineStr">
        <is>
          <t>PATCH_IMMEDIATELY</t>
        </is>
      </c>
      <c r="N1728" s="190" t="inlineStr">
        <is>
          <t>https://nvd.nist.gov/vuln/detail/CVE-2013-2143</t>
        </is>
      </c>
      <c r="O1728" s="189" t="inlineStr">
        <is>
          <t>Patch CVE-2013-2143 immediately — weaponized Metasploit module in public release | Module: Katello (Red Hat Satellite) users/update_roles Missing Authorization</t>
        </is>
      </c>
      <c r="P1728" s="189" t="inlineStr">
        <is>
          <t>See CVE details</t>
        </is>
      </c>
      <c r="Q1728" s="189" t="inlineStr">
        <is>
          <t>P2</t>
        </is>
      </c>
      <c r="R1728" s="189" t="inlineStr">
        <is>
          <t>🔍 Investigate and apply appropriate controls</t>
        </is>
      </c>
      <c r="S1728" s="189" t="inlineStr">
        <is>
          <t>Rapid7 MSF: Katello (Red Hat Satellite) users/update_roles Missing Authorization | Module type: auxiliary_admin</t>
        </is>
      </c>
      <c r="T1728" s="189" t="n">
        <v>0</v>
      </c>
      <c r="U1728" s="189" t="n">
        <v>0</v>
      </c>
      <c r="V1728" s="189" t="inlineStr">
        <is>
          <t>T1203:Exploitation for Client Execution | T1190:Exploit Public-Facing Application</t>
        </is>
      </c>
      <c r="W1728" s="189" t="n">
        <v>2</v>
      </c>
      <c r="X1728" s="189" t="inlineStr">
        <is>
          <t>HIGH (72%)</t>
        </is>
      </c>
      <c r="Y1728" s="189" t="inlineStr">
        <is>
          <t>WEAPONIZED</t>
        </is>
      </c>
      <c r="Z1728" s="189" t="inlineStr">
        <is>
          <t>CHECK_VENDOR</t>
        </is>
      </c>
      <c r="AA1728" s="190" t="inlineStr">
        <is>
          <t>https://www.rapid7.com/db/search/?q=CVE-2013-2143</t>
        </is>
      </c>
      <c r="AB1728" s="189" t="inlineStr">
        <is>
          <t>NONE</t>
        </is>
      </c>
      <c r="AC1728" s="189" t="n">
        <v>0</v>
      </c>
      <c r="AD1728" s="189" t="n"/>
    </row>
    <row r="1729">
      <c r="A1729" s="189" t="inlineStr">
        <is>
          <t>MSF_MODULE</t>
        </is>
      </c>
      <c r="B1729" s="189" t="inlineStr">
        <is>
          <t>CVE-2025-34120</t>
        </is>
      </c>
      <c r="C1729" s="189" t="inlineStr">
        <is>
          <t>Metasploit module available: Limesurvey Unauthenticated File Download | Type: auxiliary_admin | CVE-2025-34120</t>
        </is>
      </c>
      <c r="D1729" s="189" t="n">
        <v>7.5</v>
      </c>
      <c r="E1729" s="189" t="inlineStr">
        <is>
          <t>HIGH</t>
        </is>
      </c>
      <c r="F1729" s="189" t="n">
        <v>3</v>
      </c>
      <c r="G1729" s="189" t="n">
        <v>3</v>
      </c>
      <c r="H1729" s="189" t="inlineStr">
        <is>
          <t>CRITICAL</t>
        </is>
      </c>
      <c r="I1729" s="189" t="n">
        <v>16.5</v>
      </c>
      <c r="J1729" s="189" t="inlineStr">
        <is>
          <t>NO</t>
        </is>
      </c>
      <c r="K1729" s="190" t="inlineStr">
        <is>
          <t>https://nvd.nist.gov/vuln/detail/CVE-2025-34120</t>
        </is>
      </c>
      <c r="L1729" s="189" t="inlineStr">
        <is>
          <t>2026-02-23 23:48</t>
        </is>
      </c>
      <c r="M1729" s="189" t="inlineStr">
        <is>
          <t>PATCH_IMMEDIATELY</t>
        </is>
      </c>
      <c r="N1729" s="190" t="inlineStr">
        <is>
          <t>https://nvd.nist.gov/vuln/detail/CVE-2025-34120</t>
        </is>
      </c>
      <c r="O1729" s="189" t="inlineStr">
        <is>
          <t>Patch CVE-2025-34120 immediately — weaponized Metasploit module in public release | Module: Limesurvey Unauthenticated File Download</t>
        </is>
      </c>
      <c r="P1729" s="189" t="inlineStr">
        <is>
          <t>See CVE details</t>
        </is>
      </c>
      <c r="Q1729" s="189" t="inlineStr">
        <is>
          <t>P2</t>
        </is>
      </c>
      <c r="R1729" s="189" t="inlineStr">
        <is>
          <t>🔍 Investigate and apply appropriate controls</t>
        </is>
      </c>
      <c r="S1729" s="189" t="inlineStr">
        <is>
          <t>Rapid7 MSF: Limesurvey Unauthenticated File Download | Module type: auxiliary_admin</t>
        </is>
      </c>
      <c r="T1729" s="189" t="n">
        <v>0</v>
      </c>
      <c r="U1729" s="189" t="n">
        <v>0</v>
      </c>
      <c r="V1729" s="189" t="inlineStr">
        <is>
          <t>T1203:Exploitation for Client Execution | T1190:Exploit Public-Facing Application</t>
        </is>
      </c>
      <c r="W1729" s="189" t="n">
        <v>2</v>
      </c>
      <c r="X1729" s="189" t="inlineStr">
        <is>
          <t>HIGH (72%)</t>
        </is>
      </c>
      <c r="Y1729" s="189" t="inlineStr">
        <is>
          <t>WEAPONIZED</t>
        </is>
      </c>
      <c r="Z1729" s="189" t="inlineStr">
        <is>
          <t>CHECK_VENDOR</t>
        </is>
      </c>
      <c r="AA1729" s="190" t="inlineStr">
        <is>
          <t>https://www.rapid7.com/db/search/?q=CVE-2025-34120</t>
        </is>
      </c>
      <c r="AB1729" s="189" t="inlineStr">
        <is>
          <t>NONE</t>
        </is>
      </c>
      <c r="AC1729" s="189" t="n">
        <v>0</v>
      </c>
      <c r="AD1729" s="189" t="n"/>
    </row>
    <row r="1730">
      <c r="A1730" s="189" t="inlineStr">
        <is>
          <t>MSF_MODULE</t>
        </is>
      </c>
      <c r="B1730" s="189" t="inlineStr">
        <is>
          <t>CVE-2018-3953</t>
        </is>
      </c>
      <c r="C1730" s="189" t="inlineStr">
        <is>
          <t>Metasploit module available: Linksys E1500/E2500 Remote Command Execution | Type: auxiliary_admin | CVE-2018-3953</t>
        </is>
      </c>
      <c r="D1730" s="189" t="n">
        <v>7.5</v>
      </c>
      <c r="E1730" s="189" t="inlineStr">
        <is>
          <t>HIGH</t>
        </is>
      </c>
      <c r="F1730" s="189" t="n">
        <v>3</v>
      </c>
      <c r="G1730" s="189" t="n">
        <v>3</v>
      </c>
      <c r="H1730" s="189" t="inlineStr">
        <is>
          <t>CRITICAL</t>
        </is>
      </c>
      <c r="I1730" s="189" t="n">
        <v>16.5</v>
      </c>
      <c r="J1730" s="189" t="inlineStr">
        <is>
          <t>NO</t>
        </is>
      </c>
      <c r="K1730" s="190" t="inlineStr">
        <is>
          <t>https://nvd.nist.gov/vuln/detail/CVE-2018-3953</t>
        </is>
      </c>
      <c r="L1730" s="189" t="inlineStr">
        <is>
          <t>2026-02-23 23:48</t>
        </is>
      </c>
      <c r="M1730" s="189" t="inlineStr">
        <is>
          <t>PATCH_IMMEDIATELY</t>
        </is>
      </c>
      <c r="N1730" s="190" t="inlineStr">
        <is>
          <t>https://nvd.nist.gov/vuln/detail/CVE-2018-3953</t>
        </is>
      </c>
      <c r="O1730" s="189" t="inlineStr">
        <is>
          <t>Patch CVE-2018-3953 immediately — weaponized Metasploit module in public release | Module: Linksys E1500/E2500 Remote Command Execution</t>
        </is>
      </c>
      <c r="P1730" s="189" t="inlineStr">
        <is>
          <t>See CVE details</t>
        </is>
      </c>
      <c r="Q1730" s="189" t="inlineStr">
        <is>
          <t>P2</t>
        </is>
      </c>
      <c r="R1730" s="189" t="inlineStr">
        <is>
          <t>🔍 Investigate and apply appropriate controls</t>
        </is>
      </c>
      <c r="S1730" s="189" t="inlineStr">
        <is>
          <t>Rapid7 MSF: Linksys E1500/E2500 Remote Command Execution | Module type: auxiliary_admin</t>
        </is>
      </c>
      <c r="T1730" s="189" t="n">
        <v>0</v>
      </c>
      <c r="U1730" s="189" t="n">
        <v>0</v>
      </c>
      <c r="V1730" s="189" t="inlineStr">
        <is>
          <t>T1203:Exploitation for Client Execution | T1190:Exploit Public-Facing Application</t>
        </is>
      </c>
      <c r="W1730" s="189" t="n">
        <v>2</v>
      </c>
      <c r="X1730" s="189" t="inlineStr">
        <is>
          <t>HIGH (72%)</t>
        </is>
      </c>
      <c r="Y1730" s="189" t="inlineStr">
        <is>
          <t>WEAPONIZED</t>
        </is>
      </c>
      <c r="Z1730" s="189" t="inlineStr">
        <is>
          <t>CHECK_VENDOR</t>
        </is>
      </c>
      <c r="AA1730" s="190" t="inlineStr">
        <is>
          <t>https://www.rapid7.com/db/search/?q=CVE-2018-3953</t>
        </is>
      </c>
      <c r="AB1730" s="189" t="inlineStr">
        <is>
          <t>NONE</t>
        </is>
      </c>
      <c r="AC1730" s="189" t="n">
        <v>0</v>
      </c>
      <c r="AD1730" s="189" t="n"/>
    </row>
    <row r="1731">
      <c r="A1731" s="191" t="inlineStr">
        <is>
          <t>MSRC_UPDATE</t>
        </is>
      </c>
      <c r="B1731" s="191" t="inlineStr">
        <is>
          <t>CVE-2026-0948</t>
        </is>
      </c>
      <c r="C1731" s="191" t="inlineStr">
        <is>
          <t>Microsoft Update: Authentication Bypass Using an Alternate Path or Channel vulnerability in Drupal Microsoft Entra ID SSO Login allows Privilege Escalation.This issue affects Microsoft Entra ID SSO Login: from 0.0.0 be</t>
        </is>
      </c>
      <c r="D1731" s="191" t="n">
        <v>6.5</v>
      </c>
      <c r="E1731" s="191" t="inlineStr">
        <is>
          <t>MEDIUM</t>
        </is>
      </c>
      <c r="F1731" s="191" t="n">
        <v>2</v>
      </c>
      <c r="G1731" s="191" t="n">
        <v>2</v>
      </c>
      <c r="H1731" s="191" t="inlineStr">
        <is>
          <t>MEDIUM</t>
        </is>
      </c>
      <c r="I1731" s="191" t="n">
        <v>10.5</v>
      </c>
      <c r="J1731" s="191" t="inlineStr">
        <is>
          <t>NO</t>
        </is>
      </c>
      <c r="K1731" s="192" t="inlineStr">
        <is>
          <t>https://msrc.microsoft.com/update-guide/vulnerability/CVE-2026-0948</t>
        </is>
      </c>
      <c r="L1731" s="191" t="inlineStr">
        <is>
          <t>2026-02-04T21:15:59.143</t>
        </is>
      </c>
      <c r="M1731" s="191" t="inlineStr">
        <is>
          <t>YES</t>
        </is>
      </c>
      <c r="N1731" s="192" t="inlineStr">
        <is>
          <t>https://msrc.microsoft.com/update-guide/vulnerability/CVE-2026-0948</t>
        </is>
      </c>
      <c r="O1731" s="191" t="inlineStr">
        <is>
          <t>Apply via Windows Update | WSUS | SCCM</t>
        </is>
      </c>
      <c r="P1731" s="191" t="inlineStr">
        <is>
          <t>Microsoft Windows</t>
        </is>
      </c>
      <c r="Q1731" s="191" t="inlineStr">
        <is>
          <t>P4</t>
        </is>
      </c>
      <c r="R1731" s="191" t="inlineStr">
        <is>
          <t>📅 Schedule patch deployment within 30 days | 🔍 Monitor for exploitation attempts</t>
        </is>
      </c>
      <c r="S1731" s="191" t="inlineStr">
        <is>
          <t>Microsoft CVE - no IP context</t>
        </is>
      </c>
      <c r="T1731" s="191" t="n">
        <v>0</v>
      </c>
      <c r="U1731" s="191" t="n">
        <v>0</v>
      </c>
      <c r="V1731" s="191" t="inlineStr">
        <is>
          <t>T1203:Exploitation for Client Execution | T1068:Exploitation for Privilege Escalation</t>
        </is>
      </c>
      <c r="W1731" s="191" t="n">
        <v>1</v>
      </c>
      <c r="X1731" s="191" t="inlineStr">
        <is>
          <t>LOW (40%)</t>
        </is>
      </c>
      <c r="Y1731" s="191" t="inlineStr">
        <is>
          <t>CHECK_MSRC</t>
        </is>
      </c>
      <c r="Z1731" s="191" t="inlineStr">
        <is>
          <t>YES</t>
        </is>
      </c>
      <c r="AA1731" s="192" t="inlineStr">
        <is>
          <t>https://msrc.microsoft.com/update-guide/vulnerability/CVE-2026-0948</t>
        </is>
      </c>
      <c r="AB1731" s="191" t="inlineStr">
        <is>
          <t>NONE</t>
        </is>
      </c>
      <c r="AC1731" s="191" t="n">
        <v>0</v>
      </c>
      <c r="AD1731" s="191" t="n"/>
    </row>
    <row r="1732">
      <c r="A1732" s="191" t="inlineStr">
        <is>
          <t>MSRC_UPDATE</t>
        </is>
      </c>
      <c r="B1732" s="191" t="inlineStr">
        <is>
          <t>CVE-2026-0391</t>
        </is>
      </c>
      <c r="C1732" s="191" t="inlineStr">
        <is>
          <t>Microsoft Update: User interface (ui) misrepresentation of critical information in Microsoft Edge for Android allows an unauthorized attacker to perform spoofing over a network.</t>
        </is>
      </c>
      <c r="D1732" s="191" t="n">
        <v>6.5</v>
      </c>
      <c r="E1732" s="191" t="inlineStr">
        <is>
          <t>MEDIUM</t>
        </is>
      </c>
      <c r="F1732" s="191" t="n">
        <v>2</v>
      </c>
      <c r="G1732" s="191" t="n">
        <v>2</v>
      </c>
      <c r="H1732" s="191" t="inlineStr">
        <is>
          <t>MEDIUM</t>
        </is>
      </c>
      <c r="I1732" s="191" t="n">
        <v>10.5</v>
      </c>
      <c r="J1732" s="191" t="inlineStr">
        <is>
          <t>NO</t>
        </is>
      </c>
      <c r="K1732" s="192" t="inlineStr">
        <is>
          <t>https://msrc.microsoft.com/update-guide/vulnerability/CVE-2026-0391</t>
        </is>
      </c>
      <c r="L1732" s="191" t="inlineStr">
        <is>
          <t>2026-02-05T23:15:54.093</t>
        </is>
      </c>
      <c r="M1732" s="191" t="inlineStr">
        <is>
          <t>YES</t>
        </is>
      </c>
      <c r="N1732" s="192" t="inlineStr">
        <is>
          <t>https://msrc.microsoft.com/update-guide/vulnerability/CVE-2026-0391</t>
        </is>
      </c>
      <c r="O1732" s="191" t="inlineStr">
        <is>
          <t>Apply via Windows Update | WSUS | SCCM</t>
        </is>
      </c>
      <c r="P1732" s="191" t="inlineStr">
        <is>
          <t>Microsoft Windows</t>
        </is>
      </c>
      <c r="Q1732" s="191" t="inlineStr">
        <is>
          <t>P4</t>
        </is>
      </c>
      <c r="R1732" s="191" t="inlineStr">
        <is>
          <t>📅 Schedule patch deployment within 30 days | 🔍 Monitor for exploitation attempts</t>
        </is>
      </c>
      <c r="S1732" s="191" t="inlineStr">
        <is>
          <t>Microsoft CVE - no IP context</t>
        </is>
      </c>
      <c r="T1732" s="191" t="n">
        <v>0</v>
      </c>
      <c r="U1732" s="191" t="n">
        <v>0</v>
      </c>
      <c r="V1732" s="191" t="inlineStr">
        <is>
          <t>T1203:Exploitation for Client Execution | T1068:Exploitation for Privilege Escalation</t>
        </is>
      </c>
      <c r="W1732" s="191" t="n">
        <v>1</v>
      </c>
      <c r="X1732" s="191" t="inlineStr">
        <is>
          <t>LOW (40%)</t>
        </is>
      </c>
      <c r="Y1732" s="191" t="inlineStr">
        <is>
          <t>CHECK_MSRC</t>
        </is>
      </c>
      <c r="Z1732" s="191" t="inlineStr">
        <is>
          <t>YES</t>
        </is>
      </c>
      <c r="AA1732" s="192" t="inlineStr">
        <is>
          <t>https://msrc.microsoft.com/update-guide/vulnerability/CVE-2026-0391</t>
        </is>
      </c>
      <c r="AB1732" s="191" t="inlineStr">
        <is>
          <t>NONE</t>
        </is>
      </c>
      <c r="AC1732" s="191" t="n">
        <v>0</v>
      </c>
      <c r="AD1732" s="191" t="n"/>
    </row>
    <row r="1733">
      <c r="A1733" s="193" t="inlineStr">
        <is>
          <t>MSRC_UPDATE</t>
        </is>
      </c>
      <c r="B1733" s="193" t="inlineStr">
        <is>
          <t>CVE-2026-25592</t>
        </is>
      </c>
      <c r="C1733" s="193" t="inlineStr">
        <is>
          <t>Microsoft Update: Semantic Kernel is an SDK used to build, orchestrate, and deploy AI agents and multi-agent systems. Prior to 1.71.0, an Arbitrary File Write vulnerability has been identified in Microsoft's Semantic K</t>
        </is>
      </c>
      <c r="D1733" s="193" t="n">
        <v>9.9</v>
      </c>
      <c r="E1733" s="193" t="inlineStr">
        <is>
          <t>CRITICAL</t>
        </is>
      </c>
      <c r="F1733" s="193" t="n">
        <v>2</v>
      </c>
      <c r="G1733" s="193" t="n">
        <v>2</v>
      </c>
      <c r="H1733" s="193" t="inlineStr">
        <is>
          <t>MEDIUM</t>
        </is>
      </c>
      <c r="I1733" s="193" t="n">
        <v>13.9</v>
      </c>
      <c r="J1733" s="193" t="inlineStr">
        <is>
          <t>NO</t>
        </is>
      </c>
      <c r="K1733" s="194" t="inlineStr">
        <is>
          <t>https://msrc.microsoft.com/update-guide/vulnerability/CVE-2026-25592</t>
        </is>
      </c>
      <c r="L1733" s="193" t="inlineStr">
        <is>
          <t>2026-02-06T21:16:17.647</t>
        </is>
      </c>
      <c r="M1733" s="193" t="inlineStr">
        <is>
          <t>YES</t>
        </is>
      </c>
      <c r="N1733" s="194" t="inlineStr">
        <is>
          <t>https://msrc.microsoft.com/update-guide/vulnerability/CVE-2026-25592</t>
        </is>
      </c>
      <c r="O1733" s="193" t="inlineStr">
        <is>
          <t>Apply via Windows Update | WSUS | SCCM</t>
        </is>
      </c>
      <c r="P1733" s="193" t="inlineStr">
        <is>
          <t>Microsoft Windows</t>
        </is>
      </c>
      <c r="Q1733" s="193" t="inlineStr">
        <is>
          <t>P4</t>
        </is>
      </c>
      <c r="R1733" s="193" t="inlineStr">
        <is>
          <t>📅 Schedule patch deployment within 30 days | 🔍 Monitor for exploitation attempts</t>
        </is>
      </c>
      <c r="S1733" s="193" t="inlineStr">
        <is>
          <t>Microsoft CVE - no IP context</t>
        </is>
      </c>
      <c r="T1733" s="193" t="n">
        <v>0</v>
      </c>
      <c r="U1733" s="193" t="n">
        <v>0</v>
      </c>
      <c r="V1733" s="193" t="inlineStr">
        <is>
          <t>T1203:Exploitation for Client Execution | T1068:Exploitation for Privilege Escalation</t>
        </is>
      </c>
      <c r="W1733" s="193" t="n">
        <v>1</v>
      </c>
      <c r="X1733" s="193" t="inlineStr">
        <is>
          <t>LOW (40%)</t>
        </is>
      </c>
      <c r="Y1733" s="193" t="inlineStr">
        <is>
          <t>CHECK_MSRC</t>
        </is>
      </c>
      <c r="Z1733" s="193" t="inlineStr">
        <is>
          <t>YES</t>
        </is>
      </c>
      <c r="AA1733" s="194" t="inlineStr">
        <is>
          <t>https://msrc.microsoft.com/update-guide/vulnerability/CVE-2026-25592</t>
        </is>
      </c>
      <c r="AB1733" s="193" t="inlineStr">
        <is>
          <t>NONE</t>
        </is>
      </c>
      <c r="AC1733" s="193" t="n">
        <v>0</v>
      </c>
      <c r="AD1733" s="193" t="n"/>
    </row>
    <row r="1734">
      <c r="A1734" s="189" t="inlineStr">
        <is>
          <t>MSRC_UPDATE</t>
        </is>
      </c>
      <c r="B1734" s="189" t="inlineStr">
        <is>
          <t>CVE-2026-21235</t>
        </is>
      </c>
      <c r="C1734" s="189" t="inlineStr">
        <is>
          <t>Microsoft Update: Use after free in Microsoft Graphics Component allows an authorized attacker to elevate privileges locally.</t>
        </is>
      </c>
      <c r="D1734" s="189" t="n">
        <v>7.3</v>
      </c>
      <c r="E1734" s="189" t="inlineStr">
        <is>
          <t>HIGH</t>
        </is>
      </c>
      <c r="F1734" s="189" t="n">
        <v>2</v>
      </c>
      <c r="G1734" s="189" t="n">
        <v>2</v>
      </c>
      <c r="H1734" s="189" t="inlineStr">
        <is>
          <t>MEDIUM</t>
        </is>
      </c>
      <c r="I1734" s="189" t="n">
        <v>11.3</v>
      </c>
      <c r="J1734" s="189" t="inlineStr">
        <is>
          <t>NO</t>
        </is>
      </c>
      <c r="K1734" s="190" t="inlineStr">
        <is>
          <t>https://msrc.microsoft.com/update-guide/vulnerability/CVE-2026-21235</t>
        </is>
      </c>
      <c r="L1734" s="189" t="inlineStr">
        <is>
          <t>2026-02-10T18:16:24.090</t>
        </is>
      </c>
      <c r="M1734" s="189" t="inlineStr">
        <is>
          <t>YES</t>
        </is>
      </c>
      <c r="N1734" s="190" t="inlineStr">
        <is>
          <t>https://msrc.microsoft.com/update-guide/vulnerability/CVE-2026-21235</t>
        </is>
      </c>
      <c r="O1734" s="189" t="inlineStr">
        <is>
          <t>Apply via Windows Update | WSUS | SCCM</t>
        </is>
      </c>
      <c r="P1734" s="189" t="inlineStr">
        <is>
          <t>Microsoft Windows</t>
        </is>
      </c>
      <c r="Q1734" s="189" t="inlineStr">
        <is>
          <t>P4</t>
        </is>
      </c>
      <c r="R1734" s="189" t="inlineStr">
        <is>
          <t>📅 Schedule patch deployment within 30 days | 🔍 Monitor for exploitation attempts</t>
        </is>
      </c>
      <c r="S1734" s="189" t="inlineStr">
        <is>
          <t>Microsoft CVE - no IP context</t>
        </is>
      </c>
      <c r="T1734" s="189" t="n">
        <v>0</v>
      </c>
      <c r="U1734" s="189" t="n">
        <v>0</v>
      </c>
      <c r="V1734" s="189" t="inlineStr">
        <is>
          <t>T1203:Exploitation for Client Execution | T1068:Exploitation for Privilege Escalation</t>
        </is>
      </c>
      <c r="W1734" s="189" t="n">
        <v>1</v>
      </c>
      <c r="X1734" s="189" t="inlineStr">
        <is>
          <t>LOW (40%)</t>
        </is>
      </c>
      <c r="Y1734" s="189" t="inlineStr">
        <is>
          <t>CHECK_MSRC</t>
        </is>
      </c>
      <c r="Z1734" s="189" t="inlineStr">
        <is>
          <t>YES</t>
        </is>
      </c>
      <c r="AA1734" s="190" t="inlineStr">
        <is>
          <t>https://msrc.microsoft.com/update-guide/vulnerability/CVE-2026-21235</t>
        </is>
      </c>
      <c r="AB1734" s="189" t="inlineStr">
        <is>
          <t>NONE</t>
        </is>
      </c>
      <c r="AC1734" s="189" t="n">
        <v>0</v>
      </c>
      <c r="AD1734" s="189" t="n"/>
    </row>
    <row r="1735">
      <c r="A1735" s="189" t="inlineStr">
        <is>
          <t>MSRC_UPDATE</t>
        </is>
      </c>
      <c r="B1735" s="189" t="inlineStr">
        <is>
          <t>CVE-2026-21246</t>
        </is>
      </c>
      <c r="C1735" s="189" t="inlineStr">
        <is>
          <t>Microsoft Update: Heap-based buffer overflow in Microsoft Graphics Component allows an authorized attacker to elevate privileges locally.</t>
        </is>
      </c>
      <c r="D1735" s="189" t="n">
        <v>7.8</v>
      </c>
      <c r="E1735" s="189" t="inlineStr">
        <is>
          <t>HIGH</t>
        </is>
      </c>
      <c r="F1735" s="189" t="n">
        <v>2</v>
      </c>
      <c r="G1735" s="189" t="n">
        <v>2</v>
      </c>
      <c r="H1735" s="189" t="inlineStr">
        <is>
          <t>MEDIUM</t>
        </is>
      </c>
      <c r="I1735" s="189" t="n">
        <v>11.8</v>
      </c>
      <c r="J1735" s="189" t="inlineStr">
        <is>
          <t>NO</t>
        </is>
      </c>
      <c r="K1735" s="190" t="inlineStr">
        <is>
          <t>https://msrc.microsoft.com/update-guide/vulnerability/CVE-2026-21246</t>
        </is>
      </c>
      <c r="L1735" s="189" t="inlineStr">
        <is>
          <t>2026-02-10T18:16:26.010</t>
        </is>
      </c>
      <c r="M1735" s="189" t="inlineStr">
        <is>
          <t>YES</t>
        </is>
      </c>
      <c r="N1735" s="190" t="inlineStr">
        <is>
          <t>https://msrc.microsoft.com/update-guide/vulnerability/CVE-2026-21246</t>
        </is>
      </c>
      <c r="O1735" s="189" t="inlineStr">
        <is>
          <t>Apply via Windows Update | WSUS | SCCM</t>
        </is>
      </c>
      <c r="P1735" s="189" t="inlineStr">
        <is>
          <t>Microsoft Windows</t>
        </is>
      </c>
      <c r="Q1735" s="189" t="inlineStr">
        <is>
          <t>P4</t>
        </is>
      </c>
      <c r="R1735" s="189" t="inlineStr">
        <is>
          <t>📅 Schedule patch deployment within 30 days | 🔍 Monitor for exploitation attempts</t>
        </is>
      </c>
      <c r="S1735" s="189" t="inlineStr">
        <is>
          <t>Microsoft CVE - no IP context</t>
        </is>
      </c>
      <c r="T1735" s="189" t="n">
        <v>0</v>
      </c>
      <c r="U1735" s="189" t="n">
        <v>0</v>
      </c>
      <c r="V1735" s="189" t="inlineStr">
        <is>
          <t>T1203:Exploitation for Client Execution | T1068:Exploitation for Privilege Escalation</t>
        </is>
      </c>
      <c r="W1735" s="189" t="n">
        <v>1</v>
      </c>
      <c r="X1735" s="189" t="inlineStr">
        <is>
          <t>LOW (40%)</t>
        </is>
      </c>
      <c r="Y1735" s="189" t="inlineStr">
        <is>
          <t>CHECK_MSRC</t>
        </is>
      </c>
      <c r="Z1735" s="189" t="inlineStr">
        <is>
          <t>YES</t>
        </is>
      </c>
      <c r="AA1735" s="190" t="inlineStr">
        <is>
          <t>https://msrc.microsoft.com/update-guide/vulnerability/CVE-2026-21246</t>
        </is>
      </c>
      <c r="AB1735" s="189" t="inlineStr">
        <is>
          <t>NONE</t>
        </is>
      </c>
      <c r="AC1735" s="189" t="n">
        <v>0</v>
      </c>
      <c r="AD1735" s="189" t="n"/>
    </row>
    <row r="1736">
      <c r="A1736" s="191" t="inlineStr">
        <is>
          <t>MSRC_UPDATE</t>
        </is>
      </c>
      <c r="B1736" s="191" t="inlineStr">
        <is>
          <t>CVE-2026-21258</t>
        </is>
      </c>
      <c r="C1736" s="191" t="inlineStr">
        <is>
          <t>Microsoft Update: Improper input validation in Microsoft Office Excel allows an unauthorized attacker to disclose information locally.</t>
        </is>
      </c>
      <c r="D1736" s="191" t="n">
        <v>5.5</v>
      </c>
      <c r="E1736" s="191" t="inlineStr">
        <is>
          <t>MEDIUM</t>
        </is>
      </c>
      <c r="F1736" s="191" t="n">
        <v>2</v>
      </c>
      <c r="G1736" s="191" t="n">
        <v>2</v>
      </c>
      <c r="H1736" s="191" t="inlineStr">
        <is>
          <t>MEDIUM</t>
        </is>
      </c>
      <c r="I1736" s="191" t="n">
        <v>9.5</v>
      </c>
      <c r="J1736" s="191" t="inlineStr">
        <is>
          <t>NO</t>
        </is>
      </c>
      <c r="K1736" s="192" t="inlineStr">
        <is>
          <t>https://msrc.microsoft.com/update-guide/vulnerability/CVE-2026-21258</t>
        </is>
      </c>
      <c r="L1736" s="191" t="inlineStr">
        <is>
          <t>2026-02-10T18:16:27.637</t>
        </is>
      </c>
      <c r="M1736" s="191" t="inlineStr">
        <is>
          <t>YES</t>
        </is>
      </c>
      <c r="N1736" s="192" t="inlineStr">
        <is>
          <t>https://msrc.microsoft.com/update-guide/vulnerability/CVE-2026-21258</t>
        </is>
      </c>
      <c r="O1736" s="191" t="inlineStr">
        <is>
          <t>Apply via Windows Update | WSUS | SCCM</t>
        </is>
      </c>
      <c r="P1736" s="191" t="inlineStr">
        <is>
          <t>Microsoft Windows</t>
        </is>
      </c>
      <c r="Q1736" s="191" t="inlineStr">
        <is>
          <t>P4</t>
        </is>
      </c>
      <c r="R1736" s="191" t="inlineStr">
        <is>
          <t>📅 Schedule patch deployment within 30 days | 🔍 Monitor for exploitation attempts</t>
        </is>
      </c>
      <c r="S1736" s="191" t="inlineStr">
        <is>
          <t>Microsoft CVE - no IP context</t>
        </is>
      </c>
      <c r="T1736" s="191" t="n">
        <v>0</v>
      </c>
      <c r="U1736" s="191" t="n">
        <v>0</v>
      </c>
      <c r="V1736" s="191" t="inlineStr">
        <is>
          <t>T1203:Exploitation for Client Execution | T1068:Exploitation for Privilege Escalation</t>
        </is>
      </c>
      <c r="W1736" s="191" t="n">
        <v>1</v>
      </c>
      <c r="X1736" s="191" t="inlineStr">
        <is>
          <t>LOW (40%)</t>
        </is>
      </c>
      <c r="Y1736" s="191" t="inlineStr">
        <is>
          <t>CHECK_MSRC</t>
        </is>
      </c>
      <c r="Z1736" s="191" t="inlineStr">
        <is>
          <t>YES</t>
        </is>
      </c>
      <c r="AA1736" s="192" t="inlineStr">
        <is>
          <t>https://msrc.microsoft.com/update-guide/vulnerability/CVE-2026-21258</t>
        </is>
      </c>
      <c r="AB1736" s="191" t="inlineStr">
        <is>
          <t>NONE</t>
        </is>
      </c>
      <c r="AC1736" s="191" t="n">
        <v>0</v>
      </c>
      <c r="AD1736" s="191" t="n"/>
    </row>
    <row r="1737">
      <c r="A1737" s="189" t="inlineStr">
        <is>
          <t>MSRC_UPDATE</t>
        </is>
      </c>
      <c r="B1737" s="189" t="inlineStr">
        <is>
          <t>CVE-2026-21259</t>
        </is>
      </c>
      <c r="C1737" s="189" t="inlineStr">
        <is>
          <t>Microsoft Update: Heap-based buffer overflow in Microsoft Office Excel allows an unauthorized attacker to elevate privileges locally.</t>
        </is>
      </c>
      <c r="D1737" s="189" t="n">
        <v>7.8</v>
      </c>
      <c r="E1737" s="189" t="inlineStr">
        <is>
          <t>HIGH</t>
        </is>
      </c>
      <c r="F1737" s="189" t="n">
        <v>2</v>
      </c>
      <c r="G1737" s="189" t="n">
        <v>2</v>
      </c>
      <c r="H1737" s="189" t="inlineStr">
        <is>
          <t>MEDIUM</t>
        </is>
      </c>
      <c r="I1737" s="189" t="n">
        <v>11.8</v>
      </c>
      <c r="J1737" s="189" t="inlineStr">
        <is>
          <t>NO</t>
        </is>
      </c>
      <c r="K1737" s="190" t="inlineStr">
        <is>
          <t>https://msrc.microsoft.com/update-guide/vulnerability/CVE-2026-21259</t>
        </is>
      </c>
      <c r="L1737" s="189" t="inlineStr">
        <is>
          <t>2026-02-10T18:16:27.790</t>
        </is>
      </c>
      <c r="M1737" s="189" t="inlineStr">
        <is>
          <t>YES</t>
        </is>
      </c>
      <c r="N1737" s="190" t="inlineStr">
        <is>
          <t>https://msrc.microsoft.com/update-guide/vulnerability/CVE-2026-21259</t>
        </is>
      </c>
      <c r="O1737" s="189" t="inlineStr">
        <is>
          <t>Apply via Windows Update | WSUS | SCCM</t>
        </is>
      </c>
      <c r="P1737" s="189" t="inlineStr">
        <is>
          <t>Microsoft Windows</t>
        </is>
      </c>
      <c r="Q1737" s="189" t="inlineStr">
        <is>
          <t>P4</t>
        </is>
      </c>
      <c r="R1737" s="189" t="inlineStr">
        <is>
          <t>📅 Schedule patch deployment within 30 days | 🔍 Monitor for exploitation attempts</t>
        </is>
      </c>
      <c r="S1737" s="189" t="inlineStr">
        <is>
          <t>Microsoft CVE - no IP context</t>
        </is>
      </c>
      <c r="T1737" s="189" t="n">
        <v>0</v>
      </c>
      <c r="U1737" s="189" t="n">
        <v>0</v>
      </c>
      <c r="V1737" s="189" t="inlineStr">
        <is>
          <t>T1203:Exploitation for Client Execution | T1068:Exploitation for Privilege Escalation</t>
        </is>
      </c>
      <c r="W1737" s="189" t="n">
        <v>1</v>
      </c>
      <c r="X1737" s="189" t="inlineStr">
        <is>
          <t>LOW (40%)</t>
        </is>
      </c>
      <c r="Y1737" s="189" t="inlineStr">
        <is>
          <t>CHECK_MSRC</t>
        </is>
      </c>
      <c r="Z1737" s="189" t="inlineStr">
        <is>
          <t>YES</t>
        </is>
      </c>
      <c r="AA1737" s="190" t="inlineStr">
        <is>
          <t>https://msrc.microsoft.com/update-guide/vulnerability/CVE-2026-21259</t>
        </is>
      </c>
      <c r="AB1737" s="189" t="inlineStr">
        <is>
          <t>NONE</t>
        </is>
      </c>
      <c r="AC1737" s="189" t="n">
        <v>0</v>
      </c>
      <c r="AD1737" s="189" t="n"/>
    </row>
    <row r="1738">
      <c r="A1738" s="189" t="inlineStr">
        <is>
          <t>MSRC_UPDATE</t>
        </is>
      </c>
      <c r="B1738" s="189" t="inlineStr">
        <is>
          <t>CVE-2026-21260</t>
        </is>
      </c>
      <c r="C1738" s="189" t="inlineStr">
        <is>
          <t>Microsoft Update: Exposure of sensitive information to an unauthorized actor in Microsoft Office Outlook allows an unauthorized attacker to perform spoofing over a network.</t>
        </is>
      </c>
      <c r="D1738" s="189" t="n">
        <v>7.5</v>
      </c>
      <c r="E1738" s="189" t="inlineStr">
        <is>
          <t>HIGH</t>
        </is>
      </c>
      <c r="F1738" s="189" t="n">
        <v>2</v>
      </c>
      <c r="G1738" s="189" t="n">
        <v>2</v>
      </c>
      <c r="H1738" s="189" t="inlineStr">
        <is>
          <t>MEDIUM</t>
        </is>
      </c>
      <c r="I1738" s="189" t="n">
        <v>11.5</v>
      </c>
      <c r="J1738" s="189" t="inlineStr">
        <is>
          <t>NO</t>
        </is>
      </c>
      <c r="K1738" s="190" t="inlineStr">
        <is>
          <t>https://msrc.microsoft.com/update-guide/vulnerability/CVE-2026-21260</t>
        </is>
      </c>
      <c r="L1738" s="189" t="inlineStr">
        <is>
          <t>2026-02-10T18:16:27.947</t>
        </is>
      </c>
      <c r="M1738" s="189" t="inlineStr">
        <is>
          <t>YES</t>
        </is>
      </c>
      <c r="N1738" s="190" t="inlineStr">
        <is>
          <t>https://msrc.microsoft.com/update-guide/vulnerability/CVE-2026-21260</t>
        </is>
      </c>
      <c r="O1738" s="189" t="inlineStr">
        <is>
          <t>Apply via Windows Update | WSUS | SCCM</t>
        </is>
      </c>
      <c r="P1738" s="189" t="inlineStr">
        <is>
          <t>Microsoft Windows</t>
        </is>
      </c>
      <c r="Q1738" s="189" t="inlineStr">
        <is>
          <t>P4</t>
        </is>
      </c>
      <c r="R1738" s="189" t="inlineStr">
        <is>
          <t>📅 Schedule patch deployment within 30 days | 🔍 Monitor for exploitation attempts</t>
        </is>
      </c>
      <c r="S1738" s="189" t="inlineStr">
        <is>
          <t>Microsoft CVE - no IP context</t>
        </is>
      </c>
      <c r="T1738" s="189" t="n">
        <v>0</v>
      </c>
      <c r="U1738" s="189" t="n">
        <v>0</v>
      </c>
      <c r="V1738" s="189" t="inlineStr">
        <is>
          <t>T1203:Exploitation for Client Execution | T1068:Exploitation for Privilege Escalation</t>
        </is>
      </c>
      <c r="W1738" s="189" t="n">
        <v>1</v>
      </c>
      <c r="X1738" s="189" t="inlineStr">
        <is>
          <t>LOW (40%)</t>
        </is>
      </c>
      <c r="Y1738" s="189" t="inlineStr">
        <is>
          <t>CHECK_MSRC</t>
        </is>
      </c>
      <c r="Z1738" s="189" t="inlineStr">
        <is>
          <t>YES</t>
        </is>
      </c>
      <c r="AA1738" s="190" t="inlineStr">
        <is>
          <t>https://msrc.microsoft.com/update-guide/vulnerability/CVE-2026-21260</t>
        </is>
      </c>
      <c r="AB1738" s="189" t="inlineStr">
        <is>
          <t>NONE</t>
        </is>
      </c>
      <c r="AC1738" s="189" t="n">
        <v>0</v>
      </c>
      <c r="AD1738" s="189" t="n"/>
    </row>
    <row r="1739">
      <c r="A1739" s="191" t="inlineStr">
        <is>
          <t>MSRC_UPDATE</t>
        </is>
      </c>
      <c r="B1739" s="191" t="inlineStr">
        <is>
          <t>CVE-2026-21261</t>
        </is>
      </c>
      <c r="C1739" s="191" t="inlineStr">
        <is>
          <t>Microsoft Update: Out-of-bounds read in Microsoft Office Excel allows an unauthorized attacker to disclose information locally.</t>
        </is>
      </c>
      <c r="D1739" s="191" t="n">
        <v>5.5</v>
      </c>
      <c r="E1739" s="191" t="inlineStr">
        <is>
          <t>MEDIUM</t>
        </is>
      </c>
      <c r="F1739" s="191" t="n">
        <v>2</v>
      </c>
      <c r="G1739" s="191" t="n">
        <v>2</v>
      </c>
      <c r="H1739" s="191" t="inlineStr">
        <is>
          <t>MEDIUM</t>
        </is>
      </c>
      <c r="I1739" s="191" t="n">
        <v>9.5</v>
      </c>
      <c r="J1739" s="191" t="inlineStr">
        <is>
          <t>NO</t>
        </is>
      </c>
      <c r="K1739" s="192" t="inlineStr">
        <is>
          <t>https://msrc.microsoft.com/update-guide/vulnerability/CVE-2026-21261</t>
        </is>
      </c>
      <c r="L1739" s="191" t="inlineStr">
        <is>
          <t>2026-02-10T18:16:28.107</t>
        </is>
      </c>
      <c r="M1739" s="191" t="inlineStr">
        <is>
          <t>YES</t>
        </is>
      </c>
      <c r="N1739" s="192" t="inlineStr">
        <is>
          <t>https://msrc.microsoft.com/update-guide/vulnerability/CVE-2026-21261</t>
        </is>
      </c>
      <c r="O1739" s="191" t="inlineStr">
        <is>
          <t>Apply via Windows Update | WSUS | SCCM</t>
        </is>
      </c>
      <c r="P1739" s="191" t="inlineStr">
        <is>
          <t>Microsoft Windows</t>
        </is>
      </c>
      <c r="Q1739" s="191" t="inlineStr">
        <is>
          <t>P4</t>
        </is>
      </c>
      <c r="R1739" s="191" t="inlineStr">
        <is>
          <t>📅 Schedule patch deployment within 30 days | 🔍 Monitor for exploitation attempts</t>
        </is>
      </c>
      <c r="S1739" s="191" t="inlineStr">
        <is>
          <t>Microsoft CVE - no IP context</t>
        </is>
      </c>
      <c r="T1739" s="191" t="n">
        <v>0</v>
      </c>
      <c r="U1739" s="191" t="n">
        <v>0</v>
      </c>
      <c r="V1739" s="191" t="inlineStr">
        <is>
          <t>T1203:Exploitation for Client Execution | T1068:Exploitation for Privilege Escalation</t>
        </is>
      </c>
      <c r="W1739" s="191" t="n">
        <v>1</v>
      </c>
      <c r="X1739" s="191" t="inlineStr">
        <is>
          <t>LOW (40%)</t>
        </is>
      </c>
      <c r="Y1739" s="191" t="inlineStr">
        <is>
          <t>CHECK_MSRC</t>
        </is>
      </c>
      <c r="Z1739" s="191" t="inlineStr">
        <is>
          <t>YES</t>
        </is>
      </c>
      <c r="AA1739" s="192" t="inlineStr">
        <is>
          <t>https://msrc.microsoft.com/update-guide/vulnerability/CVE-2026-21261</t>
        </is>
      </c>
      <c r="AB1739" s="191" t="inlineStr">
        <is>
          <t>NONE</t>
        </is>
      </c>
      <c r="AC1739" s="191" t="n">
        <v>0</v>
      </c>
      <c r="AD1739" s="191" t="n"/>
    </row>
    <row r="1740">
      <c r="A1740" s="189" t="inlineStr">
        <is>
          <t>MSRC_UPDATE</t>
        </is>
      </c>
      <c r="B1740" s="189" t="inlineStr">
        <is>
          <t>CVE-2026-21511</t>
        </is>
      </c>
      <c r="C1740" s="189" t="inlineStr">
        <is>
          <t>Microsoft Update: Deserialization of untrusted data in Microsoft Office Outlook allows an unauthorized attacker to perform spoofing over a network.</t>
        </is>
      </c>
      <c r="D1740" s="189" t="n">
        <v>7.5</v>
      </c>
      <c r="E1740" s="189" t="inlineStr">
        <is>
          <t>HIGH</t>
        </is>
      </c>
      <c r="F1740" s="189" t="n">
        <v>2</v>
      </c>
      <c r="G1740" s="189" t="n">
        <v>2</v>
      </c>
      <c r="H1740" s="189" t="inlineStr">
        <is>
          <t>MEDIUM</t>
        </is>
      </c>
      <c r="I1740" s="189" t="n">
        <v>11.5</v>
      </c>
      <c r="J1740" s="189" t="inlineStr">
        <is>
          <t>NO</t>
        </is>
      </c>
      <c r="K1740" s="190" t="inlineStr">
        <is>
          <t>https://msrc.microsoft.com/update-guide/vulnerability/CVE-2026-21511</t>
        </is>
      </c>
      <c r="L1740" s="189" t="inlineStr">
        <is>
          <t>2026-02-10T18:16:33.337</t>
        </is>
      </c>
      <c r="M1740" s="189" t="inlineStr">
        <is>
          <t>YES</t>
        </is>
      </c>
      <c r="N1740" s="190" t="inlineStr">
        <is>
          <t>https://msrc.microsoft.com/update-guide/vulnerability/CVE-2026-21511</t>
        </is>
      </c>
      <c r="O1740" s="189" t="inlineStr">
        <is>
          <t>Apply via Windows Update | WSUS | SCCM</t>
        </is>
      </c>
      <c r="P1740" s="189" t="inlineStr">
        <is>
          <t>Microsoft Windows</t>
        </is>
      </c>
      <c r="Q1740" s="189" t="inlineStr">
        <is>
          <t>P4</t>
        </is>
      </c>
      <c r="R1740" s="189" t="inlineStr">
        <is>
          <t>📅 Schedule patch deployment within 30 days | 🔍 Monitor for exploitation attempts</t>
        </is>
      </c>
      <c r="S1740" s="189" t="inlineStr">
        <is>
          <t>Microsoft CVE - no IP context</t>
        </is>
      </c>
      <c r="T1740" s="189" t="n">
        <v>0</v>
      </c>
      <c r="U1740" s="189" t="n">
        <v>0</v>
      </c>
      <c r="V1740" s="189" t="inlineStr">
        <is>
          <t>T1203:Exploitation for Client Execution | T1068:Exploitation for Privilege Escalation</t>
        </is>
      </c>
      <c r="W1740" s="189" t="n">
        <v>1</v>
      </c>
      <c r="X1740" s="189" t="inlineStr">
        <is>
          <t>LOW (40%)</t>
        </is>
      </c>
      <c r="Y1740" s="189" t="inlineStr">
        <is>
          <t>CHECK_MSRC</t>
        </is>
      </c>
      <c r="Z1740" s="189" t="inlineStr">
        <is>
          <t>YES</t>
        </is>
      </c>
      <c r="AA1740" s="190" t="inlineStr">
        <is>
          <t>https://msrc.microsoft.com/update-guide/vulnerability/CVE-2026-21511</t>
        </is>
      </c>
      <c r="AB1740" s="189" t="inlineStr">
        <is>
          <t>NONE</t>
        </is>
      </c>
      <c r="AC1740" s="189" t="n">
        <v>0</v>
      </c>
      <c r="AD1740" s="189" t="n"/>
    </row>
    <row r="1741">
      <c r="A1741" s="189" t="inlineStr">
        <is>
          <t>MSRC_UPDATE</t>
        </is>
      </c>
      <c r="B1741" s="189" t="inlineStr">
        <is>
          <t>CVE-2026-21514</t>
        </is>
      </c>
      <c r="C1741" s="189" t="inlineStr">
        <is>
          <t>Microsoft Update: Reliance on untrusted inputs in a security decision in Microsoft Office Word allows an unauthorized attacker to bypass a security feature locally.</t>
        </is>
      </c>
      <c r="D1741" s="189" t="n">
        <v>7.8</v>
      </c>
      <c r="E1741" s="189" t="inlineStr">
        <is>
          <t>HIGH</t>
        </is>
      </c>
      <c r="F1741" s="189" t="n">
        <v>2</v>
      </c>
      <c r="G1741" s="189" t="n">
        <v>2</v>
      </c>
      <c r="H1741" s="189" t="inlineStr">
        <is>
          <t>MEDIUM</t>
        </is>
      </c>
      <c r="I1741" s="189" t="n">
        <v>11.8</v>
      </c>
      <c r="J1741" s="189" t="inlineStr">
        <is>
          <t>NO</t>
        </is>
      </c>
      <c r="K1741" s="190" t="inlineStr">
        <is>
          <t>https://msrc.microsoft.com/update-guide/vulnerability/CVE-2026-21514</t>
        </is>
      </c>
      <c r="L1741" s="189" t="inlineStr">
        <is>
          <t>2026-02-10T18:16:33.803</t>
        </is>
      </c>
      <c r="M1741" s="189" t="inlineStr">
        <is>
          <t>YES</t>
        </is>
      </c>
      <c r="N1741" s="190" t="inlineStr">
        <is>
          <t>https://msrc.microsoft.com/update-guide/vulnerability/CVE-2026-21514</t>
        </is>
      </c>
      <c r="O1741" s="189" t="inlineStr">
        <is>
          <t>Apply via Windows Update | WSUS | SCCM</t>
        </is>
      </c>
      <c r="P1741" s="189" t="inlineStr">
        <is>
          <t>Microsoft Windows</t>
        </is>
      </c>
      <c r="Q1741" s="189" t="inlineStr">
        <is>
          <t>P4</t>
        </is>
      </c>
      <c r="R1741" s="189" t="inlineStr">
        <is>
          <t>📅 Schedule patch deployment within 30 days | 🔍 Monitor for exploitation attempts</t>
        </is>
      </c>
      <c r="S1741" s="189" t="inlineStr">
        <is>
          <t>Microsoft CVE - no IP context</t>
        </is>
      </c>
      <c r="T1741" s="189" t="n">
        <v>0</v>
      </c>
      <c r="U1741" s="189" t="n">
        <v>0</v>
      </c>
      <c r="V1741" s="189" t="inlineStr">
        <is>
          <t>T1203:Exploitation for Client Execution | T1068:Exploitation for Privilege Escalation</t>
        </is>
      </c>
      <c r="W1741" s="189" t="n">
        <v>1</v>
      </c>
      <c r="X1741" s="189" t="inlineStr">
        <is>
          <t>LOW (40%)</t>
        </is>
      </c>
      <c r="Y1741" s="189" t="inlineStr">
        <is>
          <t>CHECK_MSRC</t>
        </is>
      </c>
      <c r="Z1741" s="189" t="inlineStr">
        <is>
          <t>YES</t>
        </is>
      </c>
      <c r="AA1741" s="190" t="inlineStr">
        <is>
          <t>https://msrc.microsoft.com/update-guide/vulnerability/CVE-2026-21514</t>
        </is>
      </c>
      <c r="AB1741" s="189" t="inlineStr">
        <is>
          <t>NONE</t>
        </is>
      </c>
      <c r="AC1741" s="189" t="n">
        <v>0</v>
      </c>
      <c r="AD1741" s="189" t="n"/>
    </row>
    <row r="1742">
      <c r="A1742" s="191" t="inlineStr">
        <is>
          <t>MSRC_UPDATE</t>
        </is>
      </c>
      <c r="B1742" s="191" t="inlineStr">
        <is>
          <t>CVE-2026-21527</t>
        </is>
      </c>
      <c r="C1742" s="191" t="inlineStr">
        <is>
          <t>Microsoft Update: User interface (ui) misrepresentation of critical information in Microsoft Exchange Server allows an unauthorized attacker to perform spoofing over a network.</t>
        </is>
      </c>
      <c r="D1742" s="191" t="n">
        <v>6.5</v>
      </c>
      <c r="E1742" s="191" t="inlineStr">
        <is>
          <t>MEDIUM</t>
        </is>
      </c>
      <c r="F1742" s="191" t="n">
        <v>2</v>
      </c>
      <c r="G1742" s="191" t="n">
        <v>2</v>
      </c>
      <c r="H1742" s="191" t="inlineStr">
        <is>
          <t>MEDIUM</t>
        </is>
      </c>
      <c r="I1742" s="191" t="n">
        <v>10.5</v>
      </c>
      <c r="J1742" s="191" t="inlineStr">
        <is>
          <t>NO</t>
        </is>
      </c>
      <c r="K1742" s="192" t="inlineStr">
        <is>
          <t>https://msrc.microsoft.com/update-guide/vulnerability/CVE-2026-21527</t>
        </is>
      </c>
      <c r="L1742" s="191" t="inlineStr">
        <is>
          <t>2026-02-10T18:16:35.093</t>
        </is>
      </c>
      <c r="M1742" s="191" t="inlineStr">
        <is>
          <t>YES</t>
        </is>
      </c>
      <c r="N1742" s="192" t="inlineStr">
        <is>
          <t>https://msrc.microsoft.com/update-guide/vulnerability/CVE-2026-21527</t>
        </is>
      </c>
      <c r="O1742" s="191" t="inlineStr">
        <is>
          <t>Apply via Windows Update | WSUS | SCCM</t>
        </is>
      </c>
      <c r="P1742" s="191" t="inlineStr">
        <is>
          <t>Microsoft Windows</t>
        </is>
      </c>
      <c r="Q1742" s="191" t="inlineStr">
        <is>
          <t>P4</t>
        </is>
      </c>
      <c r="R1742" s="191" t="inlineStr">
        <is>
          <t>📅 Schedule patch deployment within 30 days | 🔍 Monitor for exploitation attempts</t>
        </is>
      </c>
      <c r="S1742" s="191" t="inlineStr">
        <is>
          <t>Microsoft CVE - no IP context</t>
        </is>
      </c>
      <c r="T1742" s="191" t="n">
        <v>0</v>
      </c>
      <c r="U1742" s="191" t="n">
        <v>0</v>
      </c>
      <c r="V1742" s="191" t="inlineStr">
        <is>
          <t>T1203:Exploitation for Client Execution | T1068:Exploitation for Privilege Escalation</t>
        </is>
      </c>
      <c r="W1742" s="191" t="n">
        <v>1</v>
      </c>
      <c r="X1742" s="191" t="inlineStr">
        <is>
          <t>LOW (40%)</t>
        </is>
      </c>
      <c r="Y1742" s="191" t="inlineStr">
        <is>
          <t>CHECK_MSRC</t>
        </is>
      </c>
      <c r="Z1742" s="191" t="inlineStr">
        <is>
          <t>YES</t>
        </is>
      </c>
      <c r="AA1742" s="192" t="inlineStr">
        <is>
          <t>https://msrc.microsoft.com/update-guide/vulnerability/CVE-2026-21527</t>
        </is>
      </c>
      <c r="AB1742" s="191" t="inlineStr">
        <is>
          <t>NONE</t>
        </is>
      </c>
      <c r="AC1742" s="191" t="n">
        <v>0</v>
      </c>
      <c r="AD1742" s="191" t="n"/>
    </row>
    <row r="1743">
      <c r="A1743" s="189" t="inlineStr">
        <is>
          <t>MSRC_UPDATE</t>
        </is>
      </c>
      <c r="B1743" s="189" t="inlineStr">
        <is>
          <t>CVE-2026-21537</t>
        </is>
      </c>
      <c r="C1743" s="189" t="inlineStr">
        <is>
          <t>Microsoft Update: Improper control of generation of code ('code injection') in Microsoft Defender for Linux allows an unauthorized attacker to execute code over an adjacent network.</t>
        </is>
      </c>
      <c r="D1743" s="189" t="n">
        <v>8.800000000000001</v>
      </c>
      <c r="E1743" s="189" t="inlineStr">
        <is>
          <t>HIGH</t>
        </is>
      </c>
      <c r="F1743" s="189" t="n">
        <v>2</v>
      </c>
      <c r="G1743" s="189" t="n">
        <v>2</v>
      </c>
      <c r="H1743" s="189" t="inlineStr">
        <is>
          <t>MEDIUM</t>
        </is>
      </c>
      <c r="I1743" s="189" t="n">
        <v>12.8</v>
      </c>
      <c r="J1743" s="189" t="inlineStr">
        <is>
          <t>NO</t>
        </is>
      </c>
      <c r="K1743" s="190" t="inlineStr">
        <is>
          <t>https://msrc.microsoft.com/update-guide/vulnerability/CVE-2026-21537</t>
        </is>
      </c>
      <c r="L1743" s="189" t="inlineStr">
        <is>
          <t>2026-02-10T18:16:35.970</t>
        </is>
      </c>
      <c r="M1743" s="189" t="inlineStr">
        <is>
          <t>YES</t>
        </is>
      </c>
      <c r="N1743" s="190" t="inlineStr">
        <is>
          <t>https://msrc.microsoft.com/update-guide/vulnerability/CVE-2026-21537</t>
        </is>
      </c>
      <c r="O1743" s="189" t="inlineStr">
        <is>
          <t>Apply via Windows Update | WSUS | SCCM</t>
        </is>
      </c>
      <c r="P1743" s="189" t="inlineStr">
        <is>
          <t>Microsoft Windows</t>
        </is>
      </c>
      <c r="Q1743" s="189" t="inlineStr">
        <is>
          <t>P4</t>
        </is>
      </c>
      <c r="R1743" s="189" t="inlineStr">
        <is>
          <t>📅 Schedule patch deployment within 30 days | 🔍 Monitor for exploitation attempts</t>
        </is>
      </c>
      <c r="S1743" s="189" t="inlineStr">
        <is>
          <t>Microsoft CVE - no IP context</t>
        </is>
      </c>
      <c r="T1743" s="189" t="n">
        <v>0</v>
      </c>
      <c r="U1743" s="189" t="n">
        <v>0</v>
      </c>
      <c r="V1743" s="189" t="inlineStr">
        <is>
          <t>T1203:Exploitation for Client Execution | T1068:Exploitation for Privilege Escalation</t>
        </is>
      </c>
      <c r="W1743" s="189" t="n">
        <v>1</v>
      </c>
      <c r="X1743" s="189" t="inlineStr">
        <is>
          <t>LOW (40%)</t>
        </is>
      </c>
      <c r="Y1743" s="189" t="inlineStr">
        <is>
          <t>CHECK_MSRC</t>
        </is>
      </c>
      <c r="Z1743" s="189" t="inlineStr">
        <is>
          <t>YES</t>
        </is>
      </c>
      <c r="AA1743" s="190" t="inlineStr">
        <is>
          <t>https://msrc.microsoft.com/update-guide/vulnerability/CVE-2026-21537</t>
        </is>
      </c>
      <c r="AB1743" s="189" t="inlineStr">
        <is>
          <t>NONE</t>
        </is>
      </c>
      <c r="AC1743" s="189" t="n">
        <v>0</v>
      </c>
      <c r="AD1743" s="189" t="n"/>
    </row>
    <row r="1744">
      <c r="A1744" s="195" t="inlineStr">
        <is>
          <t>PATCH_TUESDAY</t>
        </is>
      </c>
      <c r="B1744" s="195" t="inlineStr">
        <is>
          <t>PT-February-2026</t>
        </is>
      </c>
      <c r="C1744" s="195" t="inlineStr">
        <is>
          <t>Patch Tuesday February 2026: Patch Tuesday: February 10, 2026 - Status: Released</t>
        </is>
      </c>
      <c r="D1744" s="195" t="n">
        <v>0</v>
      </c>
      <c r="E1744" s="195" t="inlineStr">
        <is>
          <t>LOW</t>
        </is>
      </c>
      <c r="F1744" s="195" t="n">
        <v>1</v>
      </c>
      <c r="G1744" s="195" t="n">
        <v>1</v>
      </c>
      <c r="H1744" s="195" t="inlineStr">
        <is>
          <t>LOW</t>
        </is>
      </c>
      <c r="I1744" s="195" t="n">
        <v>1</v>
      </c>
      <c r="J1744" s="195" t="inlineStr">
        <is>
          <t>NO</t>
        </is>
      </c>
      <c r="K1744" s="196" t="inlineStr">
        <is>
          <t>https://msrc.microsoft.com/update-guide/</t>
        </is>
      </c>
      <c r="L1744" s="195" t="inlineStr">
        <is>
          <t>2026-02-10</t>
        </is>
      </c>
      <c r="M1744" s="195" t="inlineStr">
        <is>
          <t>Released</t>
        </is>
      </c>
      <c r="N1744" s="196" t="inlineStr">
        <is>
          <t>https://msrc.microsoft.com/update-guide/</t>
        </is>
      </c>
      <c r="O1744" s="195" t="inlineStr">
        <is>
          <t>Schedule patching cycle</t>
        </is>
      </c>
      <c r="P1744" s="195" t="inlineStr">
        <is>
          <t>Microsoft Windows / Microsoft 365</t>
        </is>
      </c>
      <c r="Q1744" s="195" t="inlineStr">
        <is>
          <t>P4</t>
        </is>
      </c>
      <c r="R1744" s="195" t="inlineStr">
        <is>
          <t>🔍 Investigate and apply appropriate controls</t>
        </is>
      </c>
      <c r="S1744" s="195" t="inlineStr">
        <is>
          <t>Informational - no IP context</t>
        </is>
      </c>
      <c r="T1744" s="195" t="n">
        <v>0</v>
      </c>
      <c r="U1744" s="195" t="n">
        <v>0</v>
      </c>
      <c r="V1744" s="195" t="inlineStr">
        <is>
          <t>Informational</t>
        </is>
      </c>
      <c r="W1744" s="195" t="n">
        <v>1</v>
      </c>
      <c r="X1744" s="195" t="inlineStr">
        <is>
          <t>LOW (40%)</t>
        </is>
      </c>
      <c r="Y1744" s="195" t="inlineStr">
        <is>
          <t>NONE</t>
        </is>
      </c>
      <c r="Z1744" s="195" t="inlineStr">
        <is>
          <t>NONE</t>
        </is>
      </c>
      <c r="AA1744" s="195" t="inlineStr">
        <is>
          <t>NONE</t>
        </is>
      </c>
      <c r="AB1744" s="195" t="inlineStr">
        <is>
          <t>NONE</t>
        </is>
      </c>
      <c r="AC1744" s="195" t="n">
        <v>0</v>
      </c>
      <c r="AD1744" s="195" t="n"/>
    </row>
    <row r="1745">
      <c r="A1745" s="189" t="inlineStr">
        <is>
          <t>TALOS_IP</t>
        </is>
      </c>
      <c r="B1745" s="189" t="inlineStr">
        <is>
          <t>764f437419b1</t>
        </is>
      </c>
      <c r="C1745" s="189" t="inlineStr">
        <is>
          <t>Cisco Talos Blacklisted IP: 1.0.164.165 | Verified malicious | Sources: TALOS</t>
        </is>
      </c>
      <c r="D1745" s="189" t="n">
        <v>7</v>
      </c>
      <c r="E1745" s="189" t="inlineStr">
        <is>
          <t>HIGH</t>
        </is>
      </c>
      <c r="F1745" s="189" t="n">
        <v>3</v>
      </c>
      <c r="G1745" s="189" t="n">
        <v>2</v>
      </c>
      <c r="H1745" s="189" t="inlineStr">
        <is>
          <t>HIGH</t>
        </is>
      </c>
      <c r="I1745" s="189" t="n">
        <v>13</v>
      </c>
      <c r="J1745" s="189" t="inlineStr">
        <is>
          <t>NO</t>
        </is>
      </c>
      <c r="K1745" s="190" t="inlineStr">
        <is>
          <t>https://talosintelligence.com/reputation_center/lookup?search=1.0.164.165</t>
        </is>
      </c>
      <c r="L1745" s="189" t="inlineStr">
        <is>
          <t>2026-02-23 23:48</t>
        </is>
      </c>
      <c r="M1745" s="189" t="inlineStr">
        <is>
          <t>Block IP</t>
        </is>
      </c>
      <c r="N1745" s="190" t="inlineStr">
        <is>
          <t>https://talosintelligence.com/reputation_center/lookup?search=1.0.164.165</t>
        </is>
      </c>
      <c r="O1745" s="189" t="inlineStr">
        <is>
          <t>Block IP 1.0.164.165 at firewall | Cisco Talos confirmed malicious</t>
        </is>
      </c>
      <c r="P1745" s="189" t="inlineStr">
        <is>
          <t>Network perimeter / Email / Web</t>
        </is>
      </c>
      <c r="Q1745" s="189" t="inlineStr">
        <is>
          <t>P3</t>
        </is>
      </c>
      <c r="R1745" s="189" t="inlineStr">
        <is>
          <t>🚫 Block IP at firewall immediately | 🔍 Check logs for existing connections | 🛡️ Add to threat intelligence blocklist</t>
        </is>
      </c>
      <c r="S1745" s="189" t="inlineStr">
        <is>
          <t>Check ip-api.com + AbuseIPDB for context</t>
        </is>
      </c>
      <c r="T1745" s="189" t="n">
        <v>0</v>
      </c>
      <c r="U1745" s="189" t="n">
        <v>0</v>
      </c>
      <c r="V1745" s="189" t="inlineStr">
        <is>
          <t>T1110:Brute Force | T1190:Exploit Public-Facing Application | T1566:Phishing</t>
        </is>
      </c>
      <c r="W1745" s="189" t="n">
        <v>1</v>
      </c>
      <c r="X1745" s="189" t="inlineStr">
        <is>
          <t>MEDIUM (60%)</t>
        </is>
      </c>
      <c r="Y1745" s="189" t="inlineStr">
        <is>
          <t>NONE</t>
        </is>
      </c>
      <c r="Z1745" s="189" t="inlineStr">
        <is>
          <t>NONE</t>
        </is>
      </c>
      <c r="AA1745" s="189" t="inlineStr">
        <is>
          <t>NONE</t>
        </is>
      </c>
      <c r="AB1745" s="189" t="inlineStr">
        <is>
          <t>NONE</t>
        </is>
      </c>
      <c r="AC1745" s="189" t="n">
        <v>0</v>
      </c>
      <c r="AD1745" s="189" t="n"/>
    </row>
    <row r="1746">
      <c r="A1746" s="189" t="inlineStr">
        <is>
          <t>TALOS_IP</t>
        </is>
      </c>
      <c r="B1746" s="189" t="inlineStr">
        <is>
          <t>377c09518232</t>
        </is>
      </c>
      <c r="C1746" s="189" t="inlineStr">
        <is>
          <t>Cisco Talos Blacklisted IP: 1.1.176.58 | Verified malicious | Sources: TALOS</t>
        </is>
      </c>
      <c r="D1746" s="189" t="n">
        <v>7</v>
      </c>
      <c r="E1746" s="189" t="inlineStr">
        <is>
          <t>HIGH</t>
        </is>
      </c>
      <c r="F1746" s="189" t="n">
        <v>3</v>
      </c>
      <c r="G1746" s="189" t="n">
        <v>2</v>
      </c>
      <c r="H1746" s="189" t="inlineStr">
        <is>
          <t>HIGH</t>
        </is>
      </c>
      <c r="I1746" s="189" t="n">
        <v>13</v>
      </c>
      <c r="J1746" s="189" t="inlineStr">
        <is>
          <t>NO</t>
        </is>
      </c>
      <c r="K1746" s="190" t="inlineStr">
        <is>
          <t>https://talosintelligence.com/reputation_center/lookup?search=1.1.176.58</t>
        </is>
      </c>
      <c r="L1746" s="189" t="inlineStr">
        <is>
          <t>2026-02-23 23:48</t>
        </is>
      </c>
      <c r="M1746" s="189" t="inlineStr">
        <is>
          <t>Block IP</t>
        </is>
      </c>
      <c r="N1746" s="190" t="inlineStr">
        <is>
          <t>https://talosintelligence.com/reputation_center/lookup?search=1.1.176.58</t>
        </is>
      </c>
      <c r="O1746" s="189" t="inlineStr">
        <is>
          <t>Block IP 1.1.176.58 at firewall | Cisco Talos confirmed malicious</t>
        </is>
      </c>
      <c r="P1746" s="189" t="inlineStr">
        <is>
          <t>Network perimeter / Email / Web</t>
        </is>
      </c>
      <c r="Q1746" s="189" t="inlineStr">
        <is>
          <t>P3</t>
        </is>
      </c>
      <c r="R1746" s="189" t="inlineStr">
        <is>
          <t>🚫 Block IP at firewall immediately | 🔍 Check logs for existing connections | 🛡️ Add to threat intelligence blocklist</t>
        </is>
      </c>
      <c r="S1746" s="189" t="inlineStr">
        <is>
          <t>Check ip-api.com + AbuseIPDB for context</t>
        </is>
      </c>
      <c r="T1746" s="189" t="n">
        <v>0</v>
      </c>
      <c r="U1746" s="189" t="n">
        <v>0</v>
      </c>
      <c r="V1746" s="189" t="inlineStr">
        <is>
          <t>T1110:Brute Force | T1190:Exploit Public-Facing Application | T1566:Phishing</t>
        </is>
      </c>
      <c r="W1746" s="189" t="n">
        <v>1</v>
      </c>
      <c r="X1746" s="189" t="inlineStr">
        <is>
          <t>MEDIUM (60%)</t>
        </is>
      </c>
      <c r="Y1746" s="189" t="inlineStr">
        <is>
          <t>NONE</t>
        </is>
      </c>
      <c r="Z1746" s="189" t="inlineStr">
        <is>
          <t>NONE</t>
        </is>
      </c>
      <c r="AA1746" s="189" t="inlineStr">
        <is>
          <t>NONE</t>
        </is>
      </c>
      <c r="AB1746" s="189" t="inlineStr">
        <is>
          <t>NONE</t>
        </is>
      </c>
      <c r="AC1746" s="189" t="n">
        <v>0</v>
      </c>
      <c r="AD1746" s="189" t="n"/>
    </row>
    <row r="1747">
      <c r="A1747" s="189" t="inlineStr">
        <is>
          <t>TALOS_IP</t>
        </is>
      </c>
      <c r="B1747" s="189" t="inlineStr">
        <is>
          <t>2458a0aeb01c</t>
        </is>
      </c>
      <c r="C1747" s="189" t="inlineStr">
        <is>
          <t>Cisco Talos Blacklisted IP: 1.11.132.194 | Verified malicious | Sources: TALOS</t>
        </is>
      </c>
      <c r="D1747" s="189" t="n">
        <v>7</v>
      </c>
      <c r="E1747" s="189" t="inlineStr">
        <is>
          <t>HIGH</t>
        </is>
      </c>
      <c r="F1747" s="189" t="n">
        <v>3</v>
      </c>
      <c r="G1747" s="189" t="n">
        <v>2</v>
      </c>
      <c r="H1747" s="189" t="inlineStr">
        <is>
          <t>HIGH</t>
        </is>
      </c>
      <c r="I1747" s="189" t="n">
        <v>13</v>
      </c>
      <c r="J1747" s="189" t="inlineStr">
        <is>
          <t>NO</t>
        </is>
      </c>
      <c r="K1747" s="190" t="inlineStr">
        <is>
          <t>https://talosintelligence.com/reputation_center/lookup?search=1.11.132.194</t>
        </is>
      </c>
      <c r="L1747" s="189" t="inlineStr">
        <is>
          <t>2026-02-23 23:48</t>
        </is>
      </c>
      <c r="M1747" s="189" t="inlineStr">
        <is>
          <t>Block IP</t>
        </is>
      </c>
      <c r="N1747" s="190" t="inlineStr">
        <is>
          <t>https://talosintelligence.com/reputation_center/lookup?search=1.11.132.194</t>
        </is>
      </c>
      <c r="O1747" s="189" t="inlineStr">
        <is>
          <t>Block IP 1.11.132.194 at firewall | Cisco Talos confirmed malicious</t>
        </is>
      </c>
      <c r="P1747" s="189" t="inlineStr">
        <is>
          <t>Network perimeter / Email / Web</t>
        </is>
      </c>
      <c r="Q1747" s="189" t="inlineStr">
        <is>
          <t>P3</t>
        </is>
      </c>
      <c r="R1747" s="189" t="inlineStr">
        <is>
          <t>🚫 Block IP at firewall immediately | 🔍 Check logs for existing connections | 🛡️ Add to threat intelligence blocklist</t>
        </is>
      </c>
      <c r="S1747" s="189" t="inlineStr">
        <is>
          <t>Check ip-api.com + AbuseIPDB for context</t>
        </is>
      </c>
      <c r="T1747" s="189" t="n">
        <v>0</v>
      </c>
      <c r="U1747" s="189" t="n">
        <v>0</v>
      </c>
      <c r="V1747" s="189" t="inlineStr">
        <is>
          <t>T1110:Brute Force | T1190:Exploit Public-Facing Application | T1566:Phishing</t>
        </is>
      </c>
      <c r="W1747" s="189" t="n">
        <v>1</v>
      </c>
      <c r="X1747" s="189" t="inlineStr">
        <is>
          <t>MEDIUM (60%)</t>
        </is>
      </c>
      <c r="Y1747" s="189" t="inlineStr">
        <is>
          <t>NONE</t>
        </is>
      </c>
      <c r="Z1747" s="189" t="inlineStr">
        <is>
          <t>NONE</t>
        </is>
      </c>
      <c r="AA1747" s="189" t="inlineStr">
        <is>
          <t>NONE</t>
        </is>
      </c>
      <c r="AB1747" s="189" t="inlineStr">
        <is>
          <t>NONE</t>
        </is>
      </c>
      <c r="AC1747" s="189" t="n">
        <v>0</v>
      </c>
      <c r="AD1747" s="189" t="n"/>
    </row>
    <row r="1748">
      <c r="A1748" s="189" t="inlineStr">
        <is>
          <t>TALOS_IP</t>
        </is>
      </c>
      <c r="B1748" s="189" t="inlineStr">
        <is>
          <t>017abc159f47</t>
        </is>
      </c>
      <c r="C1748" s="189" t="inlineStr">
        <is>
          <t>Cisco Talos Blacklisted IP: 1.15.116.189 | Verified malicious | Sources: TALOS</t>
        </is>
      </c>
      <c r="D1748" s="189" t="n">
        <v>7</v>
      </c>
      <c r="E1748" s="189" t="inlineStr">
        <is>
          <t>HIGH</t>
        </is>
      </c>
      <c r="F1748" s="189" t="n">
        <v>3</v>
      </c>
      <c r="G1748" s="189" t="n">
        <v>2</v>
      </c>
      <c r="H1748" s="189" t="inlineStr">
        <is>
          <t>HIGH</t>
        </is>
      </c>
      <c r="I1748" s="189" t="n">
        <v>13</v>
      </c>
      <c r="J1748" s="189" t="inlineStr">
        <is>
          <t>NO</t>
        </is>
      </c>
      <c r="K1748" s="190" t="inlineStr">
        <is>
          <t>https://talosintelligence.com/reputation_center/lookup?search=1.15.116.189</t>
        </is>
      </c>
      <c r="L1748" s="189" t="inlineStr">
        <is>
          <t>2026-02-23 23:48</t>
        </is>
      </c>
      <c r="M1748" s="189" t="inlineStr">
        <is>
          <t>Block IP</t>
        </is>
      </c>
      <c r="N1748" s="190" t="inlineStr">
        <is>
          <t>https://talosintelligence.com/reputation_center/lookup?search=1.15.116.189</t>
        </is>
      </c>
      <c r="O1748" s="189" t="inlineStr">
        <is>
          <t>Block IP 1.15.116.189 at firewall | Cisco Talos confirmed malicious</t>
        </is>
      </c>
      <c r="P1748" s="189" t="inlineStr">
        <is>
          <t>Network perimeter / Email / Web</t>
        </is>
      </c>
      <c r="Q1748" s="189" t="inlineStr">
        <is>
          <t>P3</t>
        </is>
      </c>
      <c r="R1748" s="189" t="inlineStr">
        <is>
          <t>🚫 Block IP at firewall immediately | 🔍 Check logs for existing connections | 🛡️ Add to threat intelligence blocklist</t>
        </is>
      </c>
      <c r="S1748" s="189" t="inlineStr">
        <is>
          <t>Check ip-api.com + AbuseIPDB for context</t>
        </is>
      </c>
      <c r="T1748" s="189" t="n">
        <v>0</v>
      </c>
      <c r="U1748" s="189" t="n">
        <v>0</v>
      </c>
      <c r="V1748" s="189" t="inlineStr">
        <is>
          <t>T1110:Brute Force | T1190:Exploit Public-Facing Application | T1566:Phishing</t>
        </is>
      </c>
      <c r="W1748" s="189" t="n">
        <v>1</v>
      </c>
      <c r="X1748" s="189" t="inlineStr">
        <is>
          <t>MEDIUM (60%)</t>
        </is>
      </c>
      <c r="Y1748" s="189" t="inlineStr">
        <is>
          <t>NONE</t>
        </is>
      </c>
      <c r="Z1748" s="189" t="inlineStr">
        <is>
          <t>NONE</t>
        </is>
      </c>
      <c r="AA1748" s="189" t="inlineStr">
        <is>
          <t>NONE</t>
        </is>
      </c>
      <c r="AB1748" s="189" t="inlineStr">
        <is>
          <t>NONE</t>
        </is>
      </c>
      <c r="AC1748" s="189" t="n">
        <v>0</v>
      </c>
      <c r="AD1748" s="189" t="n"/>
    </row>
    <row r="1749">
      <c r="A1749" s="189" t="inlineStr">
        <is>
          <t>TALOS_IP</t>
        </is>
      </c>
      <c r="B1749" s="189" t="inlineStr">
        <is>
          <t>52f5c2f32e8d</t>
        </is>
      </c>
      <c r="C1749" s="189" t="inlineStr">
        <is>
          <t>Cisco Talos Blacklisted IP: 1.15.22.112 | Verified malicious | Sources: TALOS</t>
        </is>
      </c>
      <c r="D1749" s="189" t="n">
        <v>7</v>
      </c>
      <c r="E1749" s="189" t="inlineStr">
        <is>
          <t>HIGH</t>
        </is>
      </c>
      <c r="F1749" s="189" t="n">
        <v>3</v>
      </c>
      <c r="G1749" s="189" t="n">
        <v>2</v>
      </c>
      <c r="H1749" s="189" t="inlineStr">
        <is>
          <t>HIGH</t>
        </is>
      </c>
      <c r="I1749" s="189" t="n">
        <v>13</v>
      </c>
      <c r="J1749" s="189" t="inlineStr">
        <is>
          <t>NO</t>
        </is>
      </c>
      <c r="K1749" s="190" t="inlineStr">
        <is>
          <t>https://talosintelligence.com/reputation_center/lookup?search=1.15.22.112</t>
        </is>
      </c>
      <c r="L1749" s="189" t="inlineStr">
        <is>
          <t>2026-02-23 23:48</t>
        </is>
      </c>
      <c r="M1749" s="189" t="inlineStr">
        <is>
          <t>Block IP</t>
        </is>
      </c>
      <c r="N1749" s="190" t="inlineStr">
        <is>
          <t>https://talosintelligence.com/reputation_center/lookup?search=1.15.22.112</t>
        </is>
      </c>
      <c r="O1749" s="189" t="inlineStr">
        <is>
          <t>Block IP 1.15.22.112 at firewall | Cisco Talos confirmed malicious</t>
        </is>
      </c>
      <c r="P1749" s="189" t="inlineStr">
        <is>
          <t>Network perimeter / Email / Web</t>
        </is>
      </c>
      <c r="Q1749" s="189" t="inlineStr">
        <is>
          <t>P3</t>
        </is>
      </c>
      <c r="R1749" s="189" t="inlineStr">
        <is>
          <t>🚫 Block IP at firewall immediately | 🔍 Check logs for existing connections | 🛡️ Add to threat intelligence blocklist</t>
        </is>
      </c>
      <c r="S1749" s="189" t="inlineStr">
        <is>
          <t>Check ip-api.com + AbuseIPDB for context</t>
        </is>
      </c>
      <c r="T1749" s="189" t="n">
        <v>0</v>
      </c>
      <c r="U1749" s="189" t="n">
        <v>0</v>
      </c>
      <c r="V1749" s="189" t="inlineStr">
        <is>
          <t>T1110:Brute Force | T1190:Exploit Public-Facing Application | T1566:Phishing</t>
        </is>
      </c>
      <c r="W1749" s="189" t="n">
        <v>1</v>
      </c>
      <c r="X1749" s="189" t="inlineStr">
        <is>
          <t>MEDIUM (60%)</t>
        </is>
      </c>
      <c r="Y1749" s="189" t="inlineStr">
        <is>
          <t>NONE</t>
        </is>
      </c>
      <c r="Z1749" s="189" t="inlineStr">
        <is>
          <t>NONE</t>
        </is>
      </c>
      <c r="AA1749" s="189" t="inlineStr">
        <is>
          <t>NONE</t>
        </is>
      </c>
      <c r="AB1749" s="189" t="inlineStr">
        <is>
          <t>NONE</t>
        </is>
      </c>
      <c r="AC1749" s="189" t="n">
        <v>0</v>
      </c>
      <c r="AD1749" s="189" t="n"/>
    </row>
    <row r="1750">
      <c r="A1750" s="189" t="inlineStr">
        <is>
          <t>TALOS_IP</t>
        </is>
      </c>
      <c r="B1750" s="189" t="inlineStr">
        <is>
          <t>310a1440e95a</t>
        </is>
      </c>
      <c r="C1750" s="189" t="inlineStr">
        <is>
          <t>Cisco Talos Blacklisted IP: 1.15.77.170 | Verified malicious | Sources: TALOS</t>
        </is>
      </c>
      <c r="D1750" s="189" t="n">
        <v>7</v>
      </c>
      <c r="E1750" s="189" t="inlineStr">
        <is>
          <t>HIGH</t>
        </is>
      </c>
      <c r="F1750" s="189" t="n">
        <v>3</v>
      </c>
      <c r="G1750" s="189" t="n">
        <v>2</v>
      </c>
      <c r="H1750" s="189" t="inlineStr">
        <is>
          <t>HIGH</t>
        </is>
      </c>
      <c r="I1750" s="189" t="n">
        <v>13</v>
      </c>
      <c r="J1750" s="189" t="inlineStr">
        <is>
          <t>NO</t>
        </is>
      </c>
      <c r="K1750" s="190" t="inlineStr">
        <is>
          <t>https://talosintelligence.com/reputation_center/lookup?search=1.15.77.170</t>
        </is>
      </c>
      <c r="L1750" s="189" t="inlineStr">
        <is>
          <t>2026-02-23 23:48</t>
        </is>
      </c>
      <c r="M1750" s="189" t="inlineStr">
        <is>
          <t>Block IP</t>
        </is>
      </c>
      <c r="N1750" s="190" t="inlineStr">
        <is>
          <t>https://talosintelligence.com/reputation_center/lookup?search=1.15.77.170</t>
        </is>
      </c>
      <c r="O1750" s="189" t="inlineStr">
        <is>
          <t>Block IP 1.15.77.170 at firewall | Cisco Talos confirmed malicious</t>
        </is>
      </c>
      <c r="P1750" s="189" t="inlineStr">
        <is>
          <t>Network perimeter / Email / Web</t>
        </is>
      </c>
      <c r="Q1750" s="189" t="inlineStr">
        <is>
          <t>P3</t>
        </is>
      </c>
      <c r="R1750" s="189" t="inlineStr">
        <is>
          <t>🚫 Block IP at firewall immediately | 🔍 Check logs for existing connections | 🛡️ Add to threat intelligence blocklist</t>
        </is>
      </c>
      <c r="S1750" s="189" t="inlineStr">
        <is>
          <t>Check ip-api.com + AbuseIPDB for context</t>
        </is>
      </c>
      <c r="T1750" s="189" t="n">
        <v>0</v>
      </c>
      <c r="U1750" s="189" t="n">
        <v>0</v>
      </c>
      <c r="V1750" s="189" t="inlineStr">
        <is>
          <t>T1110:Brute Force | T1190:Exploit Public-Facing Application | T1566:Phishing</t>
        </is>
      </c>
      <c r="W1750" s="189" t="n">
        <v>1</v>
      </c>
      <c r="X1750" s="189" t="inlineStr">
        <is>
          <t>MEDIUM (60%)</t>
        </is>
      </c>
      <c r="Y1750" s="189" t="inlineStr">
        <is>
          <t>NONE</t>
        </is>
      </c>
      <c r="Z1750" s="189" t="inlineStr">
        <is>
          <t>NONE</t>
        </is>
      </c>
      <c r="AA1750" s="189" t="inlineStr">
        <is>
          <t>NONE</t>
        </is>
      </c>
      <c r="AB1750" s="189" t="inlineStr">
        <is>
          <t>NONE</t>
        </is>
      </c>
      <c r="AC1750" s="189" t="n">
        <v>0</v>
      </c>
      <c r="AD1750" s="189" t="n"/>
    </row>
    <row r="1751">
      <c r="A1751" s="189" t="inlineStr">
        <is>
          <t>TALOS_IP</t>
        </is>
      </c>
      <c r="B1751" s="189" t="inlineStr">
        <is>
          <t>77e9c106704e</t>
        </is>
      </c>
      <c r="C1751" s="189" t="inlineStr">
        <is>
          <t>Cisco Talos Blacklisted IP: 1.157.81.197 | Verified malicious | Sources: TALOS</t>
        </is>
      </c>
      <c r="D1751" s="189" t="n">
        <v>7</v>
      </c>
      <c r="E1751" s="189" t="inlineStr">
        <is>
          <t>HIGH</t>
        </is>
      </c>
      <c r="F1751" s="189" t="n">
        <v>3</v>
      </c>
      <c r="G1751" s="189" t="n">
        <v>2</v>
      </c>
      <c r="H1751" s="189" t="inlineStr">
        <is>
          <t>HIGH</t>
        </is>
      </c>
      <c r="I1751" s="189" t="n">
        <v>13</v>
      </c>
      <c r="J1751" s="189" t="inlineStr">
        <is>
          <t>NO</t>
        </is>
      </c>
      <c r="K1751" s="190" t="inlineStr">
        <is>
          <t>https://talosintelligence.com/reputation_center/lookup?search=1.157.81.197</t>
        </is>
      </c>
      <c r="L1751" s="189" t="inlineStr">
        <is>
          <t>2026-02-23 23:48</t>
        </is>
      </c>
      <c r="M1751" s="189" t="inlineStr">
        <is>
          <t>Block IP</t>
        </is>
      </c>
      <c r="N1751" s="190" t="inlineStr">
        <is>
          <t>https://talosintelligence.com/reputation_center/lookup?search=1.157.81.197</t>
        </is>
      </c>
      <c r="O1751" s="189" t="inlineStr">
        <is>
          <t>Block IP 1.157.81.197 at firewall | Cisco Talos confirmed malicious</t>
        </is>
      </c>
      <c r="P1751" s="189" t="inlineStr">
        <is>
          <t>Network perimeter / Email / Web</t>
        </is>
      </c>
      <c r="Q1751" s="189" t="inlineStr">
        <is>
          <t>P3</t>
        </is>
      </c>
      <c r="R1751" s="189" t="inlineStr">
        <is>
          <t>🚫 Block IP at firewall immediately | 🔍 Check logs for existing connections | 🛡️ Add to threat intelligence blocklist</t>
        </is>
      </c>
      <c r="S1751" s="189" t="inlineStr">
        <is>
          <t>Check ip-api.com + AbuseIPDB for context</t>
        </is>
      </c>
      <c r="T1751" s="189" t="n">
        <v>0</v>
      </c>
      <c r="U1751" s="189" t="n">
        <v>0</v>
      </c>
      <c r="V1751" s="189" t="inlineStr">
        <is>
          <t>T1110:Brute Force | T1190:Exploit Public-Facing Application | T1566:Phishing</t>
        </is>
      </c>
      <c r="W1751" s="189" t="n">
        <v>1</v>
      </c>
      <c r="X1751" s="189" t="inlineStr">
        <is>
          <t>MEDIUM (60%)</t>
        </is>
      </c>
      <c r="Y1751" s="189" t="inlineStr">
        <is>
          <t>NONE</t>
        </is>
      </c>
      <c r="Z1751" s="189" t="inlineStr">
        <is>
          <t>NONE</t>
        </is>
      </c>
      <c r="AA1751" s="189" t="inlineStr">
        <is>
          <t>NONE</t>
        </is>
      </c>
      <c r="AB1751" s="189" t="inlineStr">
        <is>
          <t>NONE</t>
        </is>
      </c>
      <c r="AC1751" s="189" t="n">
        <v>0</v>
      </c>
      <c r="AD1751" s="189" t="n"/>
    </row>
    <row r="1752">
      <c r="A1752" s="189" t="inlineStr">
        <is>
          <t>TALOS_IP</t>
        </is>
      </c>
      <c r="B1752" s="189" t="inlineStr">
        <is>
          <t>67b10f374a58</t>
        </is>
      </c>
      <c r="C1752" s="189" t="inlineStr">
        <is>
          <t>Cisco Talos Blacklisted IP: 1.176.134.241 | Verified malicious | Sources: TALOS</t>
        </is>
      </c>
      <c r="D1752" s="189" t="n">
        <v>7</v>
      </c>
      <c r="E1752" s="189" t="inlineStr">
        <is>
          <t>HIGH</t>
        </is>
      </c>
      <c r="F1752" s="189" t="n">
        <v>3</v>
      </c>
      <c r="G1752" s="189" t="n">
        <v>2</v>
      </c>
      <c r="H1752" s="189" t="inlineStr">
        <is>
          <t>HIGH</t>
        </is>
      </c>
      <c r="I1752" s="189" t="n">
        <v>13</v>
      </c>
      <c r="J1752" s="189" t="inlineStr">
        <is>
          <t>NO</t>
        </is>
      </c>
      <c r="K1752" s="190" t="inlineStr">
        <is>
          <t>https://talosintelligence.com/reputation_center/lookup?search=1.176.134.241</t>
        </is>
      </c>
      <c r="L1752" s="189" t="inlineStr">
        <is>
          <t>2026-02-23 23:48</t>
        </is>
      </c>
      <c r="M1752" s="189" t="inlineStr">
        <is>
          <t>Block IP</t>
        </is>
      </c>
      <c r="N1752" s="190" t="inlineStr">
        <is>
          <t>https://talosintelligence.com/reputation_center/lookup?search=1.176.134.241</t>
        </is>
      </c>
      <c r="O1752" s="189" t="inlineStr">
        <is>
          <t>Block IP 1.176.134.241 at firewall | Cisco Talos confirmed malicious</t>
        </is>
      </c>
      <c r="P1752" s="189" t="inlineStr">
        <is>
          <t>Network perimeter / Email / Web</t>
        </is>
      </c>
      <c r="Q1752" s="189" t="inlineStr">
        <is>
          <t>P3</t>
        </is>
      </c>
      <c r="R1752" s="189" t="inlineStr">
        <is>
          <t>🚫 Block IP at firewall immediately | 🔍 Check logs for existing connections | 🛡️ Add to threat intelligence blocklist</t>
        </is>
      </c>
      <c r="S1752" s="189" t="inlineStr">
        <is>
          <t>Check ip-api.com + AbuseIPDB for context</t>
        </is>
      </c>
      <c r="T1752" s="189" t="n">
        <v>0</v>
      </c>
      <c r="U1752" s="189" t="n">
        <v>0</v>
      </c>
      <c r="V1752" s="189" t="inlineStr">
        <is>
          <t>T1110:Brute Force | T1190:Exploit Public-Facing Application | T1566:Phishing</t>
        </is>
      </c>
      <c r="W1752" s="189" t="n">
        <v>1</v>
      </c>
      <c r="X1752" s="189" t="inlineStr">
        <is>
          <t>MEDIUM (60%)</t>
        </is>
      </c>
      <c r="Y1752" s="189" t="inlineStr">
        <is>
          <t>NONE</t>
        </is>
      </c>
      <c r="Z1752" s="189" t="inlineStr">
        <is>
          <t>NONE</t>
        </is>
      </c>
      <c r="AA1752" s="189" t="inlineStr">
        <is>
          <t>NONE</t>
        </is>
      </c>
      <c r="AB1752" s="189" t="inlineStr">
        <is>
          <t>NONE</t>
        </is>
      </c>
      <c r="AC1752" s="189" t="n">
        <v>0</v>
      </c>
      <c r="AD1752" s="189" t="n"/>
    </row>
    <row r="1753">
      <c r="A1753" s="189" t="inlineStr">
        <is>
          <t>TALOS_IP</t>
        </is>
      </c>
      <c r="B1753" s="189" t="inlineStr">
        <is>
          <t>7371034b8691</t>
        </is>
      </c>
      <c r="C1753" s="189" t="inlineStr">
        <is>
          <t>Cisco Talos Blacklisted IP: 1.177.162.4 | Verified malicious | Sources: TALOS</t>
        </is>
      </c>
      <c r="D1753" s="189" t="n">
        <v>7</v>
      </c>
      <c r="E1753" s="189" t="inlineStr">
        <is>
          <t>HIGH</t>
        </is>
      </c>
      <c r="F1753" s="189" t="n">
        <v>3</v>
      </c>
      <c r="G1753" s="189" t="n">
        <v>2</v>
      </c>
      <c r="H1753" s="189" t="inlineStr">
        <is>
          <t>HIGH</t>
        </is>
      </c>
      <c r="I1753" s="189" t="n">
        <v>13</v>
      </c>
      <c r="J1753" s="189" t="inlineStr">
        <is>
          <t>NO</t>
        </is>
      </c>
      <c r="K1753" s="190" t="inlineStr">
        <is>
          <t>https://talosintelligence.com/reputation_center/lookup?search=1.177.162.4</t>
        </is>
      </c>
      <c r="L1753" s="189" t="inlineStr">
        <is>
          <t>2026-02-23 23:48</t>
        </is>
      </c>
      <c r="M1753" s="189" t="inlineStr">
        <is>
          <t>Block IP</t>
        </is>
      </c>
      <c r="N1753" s="190" t="inlineStr">
        <is>
          <t>https://talosintelligence.com/reputation_center/lookup?search=1.177.162.4</t>
        </is>
      </c>
      <c r="O1753" s="189" t="inlineStr">
        <is>
          <t>Block IP 1.177.162.4 at firewall | Cisco Talos confirmed malicious</t>
        </is>
      </c>
      <c r="P1753" s="189" t="inlineStr">
        <is>
          <t>Network perimeter / Email / Web</t>
        </is>
      </c>
      <c r="Q1753" s="189" t="inlineStr">
        <is>
          <t>P3</t>
        </is>
      </c>
      <c r="R1753" s="189" t="inlineStr">
        <is>
          <t>🚫 Block IP at firewall immediately | 🔍 Check logs for existing connections | 🛡️ Add to threat intelligence blocklist</t>
        </is>
      </c>
      <c r="S1753" s="189" t="inlineStr">
        <is>
          <t>Check ip-api.com + AbuseIPDB for context</t>
        </is>
      </c>
      <c r="T1753" s="189" t="n">
        <v>0</v>
      </c>
      <c r="U1753" s="189" t="n">
        <v>0</v>
      </c>
      <c r="V1753" s="189" t="inlineStr">
        <is>
          <t>T1110:Brute Force | T1190:Exploit Public-Facing Application | T1566:Phishing</t>
        </is>
      </c>
      <c r="W1753" s="189" t="n">
        <v>1</v>
      </c>
      <c r="X1753" s="189" t="inlineStr">
        <is>
          <t>MEDIUM (60%)</t>
        </is>
      </c>
      <c r="Y1753" s="189" t="inlineStr">
        <is>
          <t>NONE</t>
        </is>
      </c>
      <c r="Z1753" s="189" t="inlineStr">
        <is>
          <t>NONE</t>
        </is>
      </c>
      <c r="AA1753" s="189" t="inlineStr">
        <is>
          <t>NONE</t>
        </is>
      </c>
      <c r="AB1753" s="189" t="inlineStr">
        <is>
          <t>NONE</t>
        </is>
      </c>
      <c r="AC1753" s="189" t="n">
        <v>0</v>
      </c>
      <c r="AD1753" s="189" t="n"/>
    </row>
    <row r="1754">
      <c r="A1754" s="189" t="inlineStr">
        <is>
          <t>TALOS_IP</t>
        </is>
      </c>
      <c r="B1754" s="189" t="inlineStr">
        <is>
          <t>069bfb443367</t>
        </is>
      </c>
      <c r="C1754" s="189" t="inlineStr">
        <is>
          <t>Cisco Talos Blacklisted IP: 1.180.252.30 | Verified malicious | Sources: TALOS</t>
        </is>
      </c>
      <c r="D1754" s="189" t="n">
        <v>7</v>
      </c>
      <c r="E1754" s="189" t="inlineStr">
        <is>
          <t>HIGH</t>
        </is>
      </c>
      <c r="F1754" s="189" t="n">
        <v>3</v>
      </c>
      <c r="G1754" s="189" t="n">
        <v>2</v>
      </c>
      <c r="H1754" s="189" t="inlineStr">
        <is>
          <t>HIGH</t>
        </is>
      </c>
      <c r="I1754" s="189" t="n">
        <v>13</v>
      </c>
      <c r="J1754" s="189" t="inlineStr">
        <is>
          <t>NO</t>
        </is>
      </c>
      <c r="K1754" s="190" t="inlineStr">
        <is>
          <t>https://talosintelligence.com/reputation_center/lookup?search=1.180.252.30</t>
        </is>
      </c>
      <c r="L1754" s="189" t="inlineStr">
        <is>
          <t>2026-02-23 23:48</t>
        </is>
      </c>
      <c r="M1754" s="189" t="inlineStr">
        <is>
          <t>Block IP</t>
        </is>
      </c>
      <c r="N1754" s="190" t="inlineStr">
        <is>
          <t>https://talosintelligence.com/reputation_center/lookup?search=1.180.252.30</t>
        </is>
      </c>
      <c r="O1754" s="189" t="inlineStr">
        <is>
          <t>Block IP 1.180.252.30 at firewall | Cisco Talos confirmed malicious</t>
        </is>
      </c>
      <c r="P1754" s="189" t="inlineStr">
        <is>
          <t>Network perimeter / Email / Web</t>
        </is>
      </c>
      <c r="Q1754" s="189" t="inlineStr">
        <is>
          <t>P3</t>
        </is>
      </c>
      <c r="R1754" s="189" t="inlineStr">
        <is>
          <t>🚫 Block IP at firewall immediately | 🔍 Check logs for existing connections | 🛡️ Add to threat intelligence blocklist</t>
        </is>
      </c>
      <c r="S1754" s="189" t="inlineStr">
        <is>
          <t>Check ip-api.com + AbuseIPDB for context</t>
        </is>
      </c>
      <c r="T1754" s="189" t="n">
        <v>0</v>
      </c>
      <c r="U1754" s="189" t="n">
        <v>0</v>
      </c>
      <c r="V1754" s="189" t="inlineStr">
        <is>
          <t>T1110:Brute Force | T1190:Exploit Public-Facing Application | T1566:Phishing</t>
        </is>
      </c>
      <c r="W1754" s="189" t="n">
        <v>1</v>
      </c>
      <c r="X1754" s="189" t="inlineStr">
        <is>
          <t>MEDIUM (60%)</t>
        </is>
      </c>
      <c r="Y1754" s="189" t="inlineStr">
        <is>
          <t>NONE</t>
        </is>
      </c>
      <c r="Z1754" s="189" t="inlineStr">
        <is>
          <t>NONE</t>
        </is>
      </c>
      <c r="AA1754" s="189" t="inlineStr">
        <is>
          <t>NONE</t>
        </is>
      </c>
      <c r="AB1754" s="189" t="inlineStr">
        <is>
          <t>NONE</t>
        </is>
      </c>
      <c r="AC1754" s="189" t="n">
        <v>0</v>
      </c>
      <c r="AD1754" s="189" t="n"/>
    </row>
    <row r="1755">
      <c r="A1755" s="189" t="inlineStr">
        <is>
          <t>TALOS_IP</t>
        </is>
      </c>
      <c r="B1755" s="189" t="inlineStr">
        <is>
          <t>5c65ed6c2469</t>
        </is>
      </c>
      <c r="C1755" s="189" t="inlineStr">
        <is>
          <t>Cisco Talos Blacklisted IP: 1.183.41.171 | Verified malicious | Sources: TALOS</t>
        </is>
      </c>
      <c r="D1755" s="189" t="n">
        <v>7</v>
      </c>
      <c r="E1755" s="189" t="inlineStr">
        <is>
          <t>HIGH</t>
        </is>
      </c>
      <c r="F1755" s="189" t="n">
        <v>3</v>
      </c>
      <c r="G1755" s="189" t="n">
        <v>2</v>
      </c>
      <c r="H1755" s="189" t="inlineStr">
        <is>
          <t>HIGH</t>
        </is>
      </c>
      <c r="I1755" s="189" t="n">
        <v>13</v>
      </c>
      <c r="J1755" s="189" t="inlineStr">
        <is>
          <t>NO</t>
        </is>
      </c>
      <c r="K1755" s="190" t="inlineStr">
        <is>
          <t>https://talosintelligence.com/reputation_center/lookup?search=1.183.41.171</t>
        </is>
      </c>
      <c r="L1755" s="189" t="inlineStr">
        <is>
          <t>2026-02-23 23:48</t>
        </is>
      </c>
      <c r="M1755" s="189" t="inlineStr">
        <is>
          <t>Block IP</t>
        </is>
      </c>
      <c r="N1755" s="190" t="inlineStr">
        <is>
          <t>https://talosintelligence.com/reputation_center/lookup?search=1.183.41.171</t>
        </is>
      </c>
      <c r="O1755" s="189" t="inlineStr">
        <is>
          <t>Block IP 1.183.41.171 at firewall | Cisco Talos confirmed malicious</t>
        </is>
      </c>
      <c r="P1755" s="189" t="inlineStr">
        <is>
          <t>Network perimeter / Email / Web</t>
        </is>
      </c>
      <c r="Q1755" s="189" t="inlineStr">
        <is>
          <t>P3</t>
        </is>
      </c>
      <c r="R1755" s="189" t="inlineStr">
        <is>
          <t>🚫 Block IP at firewall immediately | 🔍 Check logs for existing connections | 🛡️ Add to threat intelligence blocklist</t>
        </is>
      </c>
      <c r="S1755" s="189" t="inlineStr">
        <is>
          <t>Check ip-api.com + AbuseIPDB for context</t>
        </is>
      </c>
      <c r="T1755" s="189" t="n">
        <v>0</v>
      </c>
      <c r="U1755" s="189" t="n">
        <v>0</v>
      </c>
      <c r="V1755" s="189" t="inlineStr">
        <is>
          <t>T1110:Brute Force | T1190:Exploit Public-Facing Application | T1566:Phishing</t>
        </is>
      </c>
      <c r="W1755" s="189" t="n">
        <v>1</v>
      </c>
      <c r="X1755" s="189" t="inlineStr">
        <is>
          <t>MEDIUM (60%)</t>
        </is>
      </c>
      <c r="Y1755" s="189" t="inlineStr">
        <is>
          <t>NONE</t>
        </is>
      </c>
      <c r="Z1755" s="189" t="inlineStr">
        <is>
          <t>NONE</t>
        </is>
      </c>
      <c r="AA1755" s="189" t="inlineStr">
        <is>
          <t>NONE</t>
        </is>
      </c>
      <c r="AB1755" s="189" t="inlineStr">
        <is>
          <t>NONE</t>
        </is>
      </c>
      <c r="AC1755" s="189" t="n">
        <v>0</v>
      </c>
      <c r="AD1755" s="189" t="n"/>
    </row>
    <row r="1756">
      <c r="A1756" s="189" t="inlineStr">
        <is>
          <t>TALOS_IP</t>
        </is>
      </c>
      <c r="B1756" s="189" t="inlineStr">
        <is>
          <t>f8a3d4a117d1</t>
        </is>
      </c>
      <c r="C1756" s="189" t="inlineStr">
        <is>
          <t>Cisco Talos Blacklisted IP: 1.188.102.135 | Verified malicious | Sources: TALOS</t>
        </is>
      </c>
      <c r="D1756" s="189" t="n">
        <v>7</v>
      </c>
      <c r="E1756" s="189" t="inlineStr">
        <is>
          <t>HIGH</t>
        </is>
      </c>
      <c r="F1756" s="189" t="n">
        <v>3</v>
      </c>
      <c r="G1756" s="189" t="n">
        <v>2</v>
      </c>
      <c r="H1756" s="189" t="inlineStr">
        <is>
          <t>HIGH</t>
        </is>
      </c>
      <c r="I1756" s="189" t="n">
        <v>13</v>
      </c>
      <c r="J1756" s="189" t="inlineStr">
        <is>
          <t>NO</t>
        </is>
      </c>
      <c r="K1756" s="190" t="inlineStr">
        <is>
          <t>https://talosintelligence.com/reputation_center/lookup?search=1.188.102.135</t>
        </is>
      </c>
      <c r="L1756" s="189" t="inlineStr">
        <is>
          <t>2026-02-23 23:48</t>
        </is>
      </c>
      <c r="M1756" s="189" t="inlineStr">
        <is>
          <t>Block IP</t>
        </is>
      </c>
      <c r="N1756" s="190" t="inlineStr">
        <is>
          <t>https://talosintelligence.com/reputation_center/lookup?search=1.188.102.135</t>
        </is>
      </c>
      <c r="O1756" s="189" t="inlineStr">
        <is>
          <t>Block IP 1.188.102.135 at firewall | Cisco Talos confirmed malicious</t>
        </is>
      </c>
      <c r="P1756" s="189" t="inlineStr">
        <is>
          <t>Network perimeter / Email / Web</t>
        </is>
      </c>
      <c r="Q1756" s="189" t="inlineStr">
        <is>
          <t>P3</t>
        </is>
      </c>
      <c r="R1756" s="189" t="inlineStr">
        <is>
          <t>🚫 Block IP at firewall immediately | 🔍 Check logs for existing connections | 🛡️ Add to threat intelligence blocklist</t>
        </is>
      </c>
      <c r="S1756" s="189" t="inlineStr">
        <is>
          <t>Check ip-api.com + AbuseIPDB for context</t>
        </is>
      </c>
      <c r="T1756" s="189" t="n">
        <v>0</v>
      </c>
      <c r="U1756" s="189" t="n">
        <v>0</v>
      </c>
      <c r="V1756" s="189" t="inlineStr">
        <is>
          <t>T1110:Brute Force | T1190:Exploit Public-Facing Application | T1566:Phishing</t>
        </is>
      </c>
      <c r="W1756" s="189" t="n">
        <v>1</v>
      </c>
      <c r="X1756" s="189" t="inlineStr">
        <is>
          <t>MEDIUM (60%)</t>
        </is>
      </c>
      <c r="Y1756" s="189" t="inlineStr">
        <is>
          <t>NONE</t>
        </is>
      </c>
      <c r="Z1756" s="189" t="inlineStr">
        <is>
          <t>NONE</t>
        </is>
      </c>
      <c r="AA1756" s="189" t="inlineStr">
        <is>
          <t>NONE</t>
        </is>
      </c>
      <c r="AB1756" s="189" t="inlineStr">
        <is>
          <t>NONE</t>
        </is>
      </c>
      <c r="AC1756" s="189" t="n">
        <v>0</v>
      </c>
      <c r="AD1756" s="189" t="n"/>
    </row>
    <row r="1757">
      <c r="A1757" s="189" t="inlineStr">
        <is>
          <t>TALOS_IP</t>
        </is>
      </c>
      <c r="B1757" s="189" t="inlineStr">
        <is>
          <t>9b2e85d4898b</t>
        </is>
      </c>
      <c r="C1757" s="189" t="inlineStr">
        <is>
          <t>Cisco Talos Blacklisted IP: 1.188.5.190 | Verified malicious | Sources: TALOS</t>
        </is>
      </c>
      <c r="D1757" s="189" t="n">
        <v>7</v>
      </c>
      <c r="E1757" s="189" t="inlineStr">
        <is>
          <t>HIGH</t>
        </is>
      </c>
      <c r="F1757" s="189" t="n">
        <v>3</v>
      </c>
      <c r="G1757" s="189" t="n">
        <v>2</v>
      </c>
      <c r="H1757" s="189" t="inlineStr">
        <is>
          <t>HIGH</t>
        </is>
      </c>
      <c r="I1757" s="189" t="n">
        <v>13</v>
      </c>
      <c r="J1757" s="189" t="inlineStr">
        <is>
          <t>NO</t>
        </is>
      </c>
      <c r="K1757" s="190" t="inlineStr">
        <is>
          <t>https://talosintelligence.com/reputation_center/lookup?search=1.188.5.190</t>
        </is>
      </c>
      <c r="L1757" s="189" t="inlineStr">
        <is>
          <t>2026-02-23 23:48</t>
        </is>
      </c>
      <c r="M1757" s="189" t="inlineStr">
        <is>
          <t>Block IP</t>
        </is>
      </c>
      <c r="N1757" s="190" t="inlineStr">
        <is>
          <t>https://talosintelligence.com/reputation_center/lookup?search=1.188.5.190</t>
        </is>
      </c>
      <c r="O1757" s="189" t="inlineStr">
        <is>
          <t>Block IP 1.188.5.190 at firewall | Cisco Talos confirmed malicious</t>
        </is>
      </c>
      <c r="P1757" s="189" t="inlineStr">
        <is>
          <t>Network perimeter / Email / Web</t>
        </is>
      </c>
      <c r="Q1757" s="189" t="inlineStr">
        <is>
          <t>P3</t>
        </is>
      </c>
      <c r="R1757" s="189" t="inlineStr">
        <is>
          <t>🚫 Block IP at firewall immediately | 🔍 Check logs for existing connections | 🛡️ Add to threat intelligence blocklist</t>
        </is>
      </c>
      <c r="S1757" s="189" t="inlineStr">
        <is>
          <t>Check ip-api.com + AbuseIPDB for context</t>
        </is>
      </c>
      <c r="T1757" s="189" t="n">
        <v>0</v>
      </c>
      <c r="U1757" s="189" t="n">
        <v>0</v>
      </c>
      <c r="V1757" s="189" t="inlineStr">
        <is>
          <t>T1110:Brute Force | T1190:Exploit Public-Facing Application | T1566:Phishing</t>
        </is>
      </c>
      <c r="W1757" s="189" t="n">
        <v>1</v>
      </c>
      <c r="X1757" s="189" t="inlineStr">
        <is>
          <t>MEDIUM (60%)</t>
        </is>
      </c>
      <c r="Y1757" s="189" t="inlineStr">
        <is>
          <t>NONE</t>
        </is>
      </c>
      <c r="Z1757" s="189" t="inlineStr">
        <is>
          <t>NONE</t>
        </is>
      </c>
      <c r="AA1757" s="189" t="inlineStr">
        <is>
          <t>NONE</t>
        </is>
      </c>
      <c r="AB1757" s="189" t="inlineStr">
        <is>
          <t>NONE</t>
        </is>
      </c>
      <c r="AC1757" s="189" t="n">
        <v>0</v>
      </c>
      <c r="AD1757" s="189" t="n"/>
    </row>
    <row r="1758">
      <c r="A1758" s="189" t="inlineStr">
        <is>
          <t>TALOS_IP</t>
        </is>
      </c>
      <c r="B1758" s="189" t="inlineStr">
        <is>
          <t>f67e6f1f894a</t>
        </is>
      </c>
      <c r="C1758" s="189" t="inlineStr">
        <is>
          <t>Cisco Talos Blacklisted IP: 1.192.21.22 | Verified malicious | Sources: TALOS</t>
        </is>
      </c>
      <c r="D1758" s="189" t="n">
        <v>7</v>
      </c>
      <c r="E1758" s="189" t="inlineStr">
        <is>
          <t>HIGH</t>
        </is>
      </c>
      <c r="F1758" s="189" t="n">
        <v>3</v>
      </c>
      <c r="G1758" s="189" t="n">
        <v>2</v>
      </c>
      <c r="H1758" s="189" t="inlineStr">
        <is>
          <t>HIGH</t>
        </is>
      </c>
      <c r="I1758" s="189" t="n">
        <v>13</v>
      </c>
      <c r="J1758" s="189" t="inlineStr">
        <is>
          <t>NO</t>
        </is>
      </c>
      <c r="K1758" s="190" t="inlineStr">
        <is>
          <t>https://talosintelligence.com/reputation_center/lookup?search=1.192.21.22</t>
        </is>
      </c>
      <c r="L1758" s="189" t="inlineStr">
        <is>
          <t>2026-02-23 23:48</t>
        </is>
      </c>
      <c r="M1758" s="189" t="inlineStr">
        <is>
          <t>Block IP</t>
        </is>
      </c>
      <c r="N1758" s="190" t="inlineStr">
        <is>
          <t>https://talosintelligence.com/reputation_center/lookup?search=1.192.21.22</t>
        </is>
      </c>
      <c r="O1758" s="189" t="inlineStr">
        <is>
          <t>Block IP 1.192.21.22 at firewall | Cisco Talos confirmed malicious</t>
        </is>
      </c>
      <c r="P1758" s="189" t="inlineStr">
        <is>
          <t>Network perimeter / Email / Web</t>
        </is>
      </c>
      <c r="Q1758" s="189" t="inlineStr">
        <is>
          <t>P3</t>
        </is>
      </c>
      <c r="R1758" s="189" t="inlineStr">
        <is>
          <t>🚫 Block IP at firewall immediately | 🔍 Check logs for existing connections | 🛡️ Add to threat intelligence blocklist</t>
        </is>
      </c>
      <c r="S1758" s="189" t="inlineStr">
        <is>
          <t>Check ip-api.com + AbuseIPDB for context</t>
        </is>
      </c>
      <c r="T1758" s="189" t="n">
        <v>0</v>
      </c>
      <c r="U1758" s="189" t="n">
        <v>0</v>
      </c>
      <c r="V1758" s="189" t="inlineStr">
        <is>
          <t>T1110:Brute Force | T1190:Exploit Public-Facing Application | T1566:Phishing</t>
        </is>
      </c>
      <c r="W1758" s="189" t="n">
        <v>1</v>
      </c>
      <c r="X1758" s="189" t="inlineStr">
        <is>
          <t>MEDIUM (60%)</t>
        </is>
      </c>
      <c r="Y1758" s="189" t="inlineStr">
        <is>
          <t>NONE</t>
        </is>
      </c>
      <c r="Z1758" s="189" t="inlineStr">
        <is>
          <t>NONE</t>
        </is>
      </c>
      <c r="AA1758" s="189" t="inlineStr">
        <is>
          <t>NONE</t>
        </is>
      </c>
      <c r="AB1758" s="189" t="inlineStr">
        <is>
          <t>NONE</t>
        </is>
      </c>
      <c r="AC1758" s="189" t="n">
        <v>0</v>
      </c>
      <c r="AD1758" s="189" t="n"/>
    </row>
    <row r="1759">
      <c r="A1759" s="189" t="inlineStr">
        <is>
          <t>TALOS_IP</t>
        </is>
      </c>
      <c r="B1759" s="189" t="inlineStr">
        <is>
          <t>5c4ac57eeb1f</t>
        </is>
      </c>
      <c r="C1759" s="189" t="inlineStr">
        <is>
          <t>Cisco Talos Blacklisted IP: 1.193.63.45 | Verified malicious | Sources: TALOS</t>
        </is>
      </c>
      <c r="D1759" s="189" t="n">
        <v>7</v>
      </c>
      <c r="E1759" s="189" t="inlineStr">
        <is>
          <t>HIGH</t>
        </is>
      </c>
      <c r="F1759" s="189" t="n">
        <v>3</v>
      </c>
      <c r="G1759" s="189" t="n">
        <v>2</v>
      </c>
      <c r="H1759" s="189" t="inlineStr">
        <is>
          <t>HIGH</t>
        </is>
      </c>
      <c r="I1759" s="189" t="n">
        <v>13</v>
      </c>
      <c r="J1759" s="189" t="inlineStr">
        <is>
          <t>NO</t>
        </is>
      </c>
      <c r="K1759" s="190" t="inlineStr">
        <is>
          <t>https://talosintelligence.com/reputation_center/lookup?search=1.193.63.45</t>
        </is>
      </c>
      <c r="L1759" s="189" t="inlineStr">
        <is>
          <t>2026-02-23 23:48</t>
        </is>
      </c>
      <c r="M1759" s="189" t="inlineStr">
        <is>
          <t>Block IP</t>
        </is>
      </c>
      <c r="N1759" s="190" t="inlineStr">
        <is>
          <t>https://talosintelligence.com/reputation_center/lookup?search=1.193.63.45</t>
        </is>
      </c>
      <c r="O1759" s="189" t="inlineStr">
        <is>
          <t>Block IP 1.193.63.45 at firewall | Cisco Talos confirmed malicious</t>
        </is>
      </c>
      <c r="P1759" s="189" t="inlineStr">
        <is>
          <t>Network perimeter / Email / Web</t>
        </is>
      </c>
      <c r="Q1759" s="189" t="inlineStr">
        <is>
          <t>P3</t>
        </is>
      </c>
      <c r="R1759" s="189" t="inlineStr">
        <is>
          <t>🚫 Block IP at firewall immediately | 🔍 Check logs for existing connections | 🛡️ Add to threat intelligence blocklist</t>
        </is>
      </c>
      <c r="S1759" s="189" t="inlineStr">
        <is>
          <t>Check ip-api.com + AbuseIPDB for context</t>
        </is>
      </c>
      <c r="T1759" s="189" t="n">
        <v>0</v>
      </c>
      <c r="U1759" s="189" t="n">
        <v>0</v>
      </c>
      <c r="V1759" s="189" t="inlineStr">
        <is>
          <t>T1110:Brute Force | T1190:Exploit Public-Facing Application | T1566:Phishing</t>
        </is>
      </c>
      <c r="W1759" s="189" t="n">
        <v>1</v>
      </c>
      <c r="X1759" s="189" t="inlineStr">
        <is>
          <t>MEDIUM (60%)</t>
        </is>
      </c>
      <c r="Y1759" s="189" t="inlineStr">
        <is>
          <t>NONE</t>
        </is>
      </c>
      <c r="Z1759" s="189" t="inlineStr">
        <is>
          <t>NONE</t>
        </is>
      </c>
      <c r="AA1759" s="189" t="inlineStr">
        <is>
          <t>NONE</t>
        </is>
      </c>
      <c r="AB1759" s="189" t="inlineStr">
        <is>
          <t>NONE</t>
        </is>
      </c>
      <c r="AC1759" s="189" t="n">
        <v>0</v>
      </c>
      <c r="AD1759" s="189" t="n"/>
    </row>
    <row r="1760">
      <c r="A1760" s="189" t="inlineStr">
        <is>
          <t>TALOS_IP</t>
        </is>
      </c>
      <c r="B1760" s="189" t="inlineStr">
        <is>
          <t>d2853ece8d68</t>
        </is>
      </c>
      <c r="C1760" s="189" t="inlineStr">
        <is>
          <t>Cisco Talos Blacklisted IP: 1.193.63.64 | Verified malicious | Sources: TALOS</t>
        </is>
      </c>
      <c r="D1760" s="189" t="n">
        <v>7</v>
      </c>
      <c r="E1760" s="189" t="inlineStr">
        <is>
          <t>HIGH</t>
        </is>
      </c>
      <c r="F1760" s="189" t="n">
        <v>3</v>
      </c>
      <c r="G1760" s="189" t="n">
        <v>2</v>
      </c>
      <c r="H1760" s="189" t="inlineStr">
        <is>
          <t>HIGH</t>
        </is>
      </c>
      <c r="I1760" s="189" t="n">
        <v>13</v>
      </c>
      <c r="J1760" s="189" t="inlineStr">
        <is>
          <t>NO</t>
        </is>
      </c>
      <c r="K1760" s="190" t="inlineStr">
        <is>
          <t>https://talosintelligence.com/reputation_center/lookup?search=1.193.63.64</t>
        </is>
      </c>
      <c r="L1760" s="189" t="inlineStr">
        <is>
          <t>2026-02-23 23:48</t>
        </is>
      </c>
      <c r="M1760" s="189" t="inlineStr">
        <is>
          <t>Block IP</t>
        </is>
      </c>
      <c r="N1760" s="190" t="inlineStr">
        <is>
          <t>https://talosintelligence.com/reputation_center/lookup?search=1.193.63.64</t>
        </is>
      </c>
      <c r="O1760" s="189" t="inlineStr">
        <is>
          <t>Block IP 1.193.63.64 at firewall | Cisco Talos confirmed malicious</t>
        </is>
      </c>
      <c r="P1760" s="189" t="inlineStr">
        <is>
          <t>Network perimeter / Email / Web</t>
        </is>
      </c>
      <c r="Q1760" s="189" t="inlineStr">
        <is>
          <t>P3</t>
        </is>
      </c>
      <c r="R1760" s="189" t="inlineStr">
        <is>
          <t>🚫 Block IP at firewall immediately | 🔍 Check logs for existing connections | 🛡️ Add to threat intelligence blocklist</t>
        </is>
      </c>
      <c r="S1760" s="189" t="inlineStr">
        <is>
          <t>Check ip-api.com + AbuseIPDB for context</t>
        </is>
      </c>
      <c r="T1760" s="189" t="n">
        <v>0</v>
      </c>
      <c r="U1760" s="189" t="n">
        <v>0</v>
      </c>
      <c r="V1760" s="189" t="inlineStr">
        <is>
          <t>T1110:Brute Force | T1190:Exploit Public-Facing Application | T1566:Phishing</t>
        </is>
      </c>
      <c r="W1760" s="189" t="n">
        <v>1</v>
      </c>
      <c r="X1760" s="189" t="inlineStr">
        <is>
          <t>MEDIUM (60%)</t>
        </is>
      </c>
      <c r="Y1760" s="189" t="inlineStr">
        <is>
          <t>NONE</t>
        </is>
      </c>
      <c r="Z1760" s="189" t="inlineStr">
        <is>
          <t>NONE</t>
        </is>
      </c>
      <c r="AA1760" s="189" t="inlineStr">
        <is>
          <t>NONE</t>
        </is>
      </c>
      <c r="AB1760" s="189" t="inlineStr">
        <is>
          <t>NONE</t>
        </is>
      </c>
      <c r="AC1760" s="189" t="n">
        <v>0</v>
      </c>
      <c r="AD1760" s="189" t="n"/>
    </row>
    <row r="1761">
      <c r="A1761" s="189" t="inlineStr">
        <is>
          <t>TALOS_IP</t>
        </is>
      </c>
      <c r="B1761" s="189" t="inlineStr">
        <is>
          <t>a1f79af10495</t>
        </is>
      </c>
      <c r="C1761" s="189" t="inlineStr">
        <is>
          <t>Cisco Talos Blacklisted IP: 1.193.63.9 | Verified malicious | Sources: TALOS</t>
        </is>
      </c>
      <c r="D1761" s="189" t="n">
        <v>7</v>
      </c>
      <c r="E1761" s="189" t="inlineStr">
        <is>
          <t>HIGH</t>
        </is>
      </c>
      <c r="F1761" s="189" t="n">
        <v>3</v>
      </c>
      <c r="G1761" s="189" t="n">
        <v>2</v>
      </c>
      <c r="H1761" s="189" t="inlineStr">
        <is>
          <t>HIGH</t>
        </is>
      </c>
      <c r="I1761" s="189" t="n">
        <v>13</v>
      </c>
      <c r="J1761" s="189" t="inlineStr">
        <is>
          <t>NO</t>
        </is>
      </c>
      <c r="K1761" s="190" t="inlineStr">
        <is>
          <t>https://talosintelligence.com/reputation_center/lookup?search=1.193.63.9</t>
        </is>
      </c>
      <c r="L1761" s="189" t="inlineStr">
        <is>
          <t>2026-02-23 23:48</t>
        </is>
      </c>
      <c r="M1761" s="189" t="inlineStr">
        <is>
          <t>Block IP</t>
        </is>
      </c>
      <c r="N1761" s="190" t="inlineStr">
        <is>
          <t>https://talosintelligence.com/reputation_center/lookup?search=1.193.63.9</t>
        </is>
      </c>
      <c r="O1761" s="189" t="inlineStr">
        <is>
          <t>Block IP 1.193.63.9 at firewall | Cisco Talos confirmed malicious</t>
        </is>
      </c>
      <c r="P1761" s="189" t="inlineStr">
        <is>
          <t>Network perimeter / Email / Web</t>
        </is>
      </c>
      <c r="Q1761" s="189" t="inlineStr">
        <is>
          <t>P3</t>
        </is>
      </c>
      <c r="R1761" s="189" t="inlineStr">
        <is>
          <t>🚫 Block IP at firewall immediately | 🔍 Check logs for existing connections | 🛡️ Add to threat intelligence blocklist</t>
        </is>
      </c>
      <c r="S1761" s="189" t="inlineStr">
        <is>
          <t>Check ip-api.com + AbuseIPDB for context</t>
        </is>
      </c>
      <c r="T1761" s="189" t="n">
        <v>0</v>
      </c>
      <c r="U1761" s="189" t="n">
        <v>0</v>
      </c>
      <c r="V1761" s="189" t="inlineStr">
        <is>
          <t>T1110:Brute Force | T1190:Exploit Public-Facing Application | T1566:Phishing</t>
        </is>
      </c>
      <c r="W1761" s="189" t="n">
        <v>1</v>
      </c>
      <c r="X1761" s="189" t="inlineStr">
        <is>
          <t>MEDIUM (60%)</t>
        </is>
      </c>
      <c r="Y1761" s="189" t="inlineStr">
        <is>
          <t>NONE</t>
        </is>
      </c>
      <c r="Z1761" s="189" t="inlineStr">
        <is>
          <t>NONE</t>
        </is>
      </c>
      <c r="AA1761" s="189" t="inlineStr">
        <is>
          <t>NONE</t>
        </is>
      </c>
      <c r="AB1761" s="189" t="inlineStr">
        <is>
          <t>NONE</t>
        </is>
      </c>
      <c r="AC1761" s="189" t="n">
        <v>0</v>
      </c>
      <c r="AD1761" s="189" t="n"/>
    </row>
    <row r="1762">
      <c r="A1762" s="189" t="inlineStr">
        <is>
          <t>TALOS_IP</t>
        </is>
      </c>
      <c r="B1762" s="189" t="inlineStr">
        <is>
          <t>91a367098d84</t>
        </is>
      </c>
      <c r="C1762" s="189" t="inlineStr">
        <is>
          <t>Cisco Talos Blacklisted IP: 1.197.59.220 | Verified malicious | Sources: TALOS</t>
        </is>
      </c>
      <c r="D1762" s="189" t="n">
        <v>7</v>
      </c>
      <c r="E1762" s="189" t="inlineStr">
        <is>
          <t>HIGH</t>
        </is>
      </c>
      <c r="F1762" s="189" t="n">
        <v>3</v>
      </c>
      <c r="G1762" s="189" t="n">
        <v>2</v>
      </c>
      <c r="H1762" s="189" t="inlineStr">
        <is>
          <t>HIGH</t>
        </is>
      </c>
      <c r="I1762" s="189" t="n">
        <v>13</v>
      </c>
      <c r="J1762" s="189" t="inlineStr">
        <is>
          <t>NO</t>
        </is>
      </c>
      <c r="K1762" s="190" t="inlineStr">
        <is>
          <t>https://talosintelligence.com/reputation_center/lookup?search=1.197.59.220</t>
        </is>
      </c>
      <c r="L1762" s="189" t="inlineStr">
        <is>
          <t>2026-02-23 23:48</t>
        </is>
      </c>
      <c r="M1762" s="189" t="inlineStr">
        <is>
          <t>Block IP</t>
        </is>
      </c>
      <c r="N1762" s="190" t="inlineStr">
        <is>
          <t>https://talosintelligence.com/reputation_center/lookup?search=1.197.59.220</t>
        </is>
      </c>
      <c r="O1762" s="189" t="inlineStr">
        <is>
          <t>Block IP 1.197.59.220 at firewall | Cisco Talos confirmed malicious</t>
        </is>
      </c>
      <c r="P1762" s="189" t="inlineStr">
        <is>
          <t>Network perimeter / Email / Web</t>
        </is>
      </c>
      <c r="Q1762" s="189" t="inlineStr">
        <is>
          <t>P3</t>
        </is>
      </c>
      <c r="R1762" s="189" t="inlineStr">
        <is>
          <t>🚫 Block IP at firewall immediately | 🔍 Check logs for existing connections | 🛡️ Add to threat intelligence blocklist</t>
        </is>
      </c>
      <c r="S1762" s="189" t="inlineStr">
        <is>
          <t>Check ip-api.com + AbuseIPDB for context</t>
        </is>
      </c>
      <c r="T1762" s="189" t="n">
        <v>0</v>
      </c>
      <c r="U1762" s="189" t="n">
        <v>0</v>
      </c>
      <c r="V1762" s="189" t="inlineStr">
        <is>
          <t>T1110:Brute Force | T1190:Exploit Public-Facing Application | T1566:Phishing</t>
        </is>
      </c>
      <c r="W1762" s="189" t="n">
        <v>1</v>
      </c>
      <c r="X1762" s="189" t="inlineStr">
        <is>
          <t>MEDIUM (60%)</t>
        </is>
      </c>
      <c r="Y1762" s="189" t="inlineStr">
        <is>
          <t>NONE</t>
        </is>
      </c>
      <c r="Z1762" s="189" t="inlineStr">
        <is>
          <t>NONE</t>
        </is>
      </c>
      <c r="AA1762" s="189" t="inlineStr">
        <is>
          <t>NONE</t>
        </is>
      </c>
      <c r="AB1762" s="189" t="inlineStr">
        <is>
          <t>NONE</t>
        </is>
      </c>
      <c r="AC1762" s="189" t="n">
        <v>0</v>
      </c>
      <c r="AD1762" s="189" t="n"/>
    </row>
    <row r="1763">
      <c r="A1763" s="189" t="inlineStr">
        <is>
          <t>TALOS_IP</t>
        </is>
      </c>
      <c r="B1763" s="189" t="inlineStr">
        <is>
          <t>e2824185e33a</t>
        </is>
      </c>
      <c r="C1763" s="189" t="inlineStr">
        <is>
          <t>Cisco Talos Blacklisted IP: 1.203.97.227 | Verified malicious | Sources: TALOS</t>
        </is>
      </c>
      <c r="D1763" s="189" t="n">
        <v>7</v>
      </c>
      <c r="E1763" s="189" t="inlineStr">
        <is>
          <t>HIGH</t>
        </is>
      </c>
      <c r="F1763" s="189" t="n">
        <v>3</v>
      </c>
      <c r="G1763" s="189" t="n">
        <v>2</v>
      </c>
      <c r="H1763" s="189" t="inlineStr">
        <is>
          <t>HIGH</t>
        </is>
      </c>
      <c r="I1763" s="189" t="n">
        <v>13</v>
      </c>
      <c r="J1763" s="189" t="inlineStr">
        <is>
          <t>NO</t>
        </is>
      </c>
      <c r="K1763" s="190" t="inlineStr">
        <is>
          <t>https://talosintelligence.com/reputation_center/lookup?search=1.203.97.227</t>
        </is>
      </c>
      <c r="L1763" s="189" t="inlineStr">
        <is>
          <t>2026-02-23 23:48</t>
        </is>
      </c>
      <c r="M1763" s="189" t="inlineStr">
        <is>
          <t>Block IP</t>
        </is>
      </c>
      <c r="N1763" s="190" t="inlineStr">
        <is>
          <t>https://talosintelligence.com/reputation_center/lookup?search=1.203.97.227</t>
        </is>
      </c>
      <c r="O1763" s="189" t="inlineStr">
        <is>
          <t>Block IP 1.203.97.227 at firewall | Cisco Talos confirmed malicious</t>
        </is>
      </c>
      <c r="P1763" s="189" t="inlineStr">
        <is>
          <t>Network perimeter / Email / Web</t>
        </is>
      </c>
      <c r="Q1763" s="189" t="inlineStr">
        <is>
          <t>P3</t>
        </is>
      </c>
      <c r="R1763" s="189" t="inlineStr">
        <is>
          <t>🚫 Block IP at firewall immediately | 🔍 Check logs for existing connections | 🛡️ Add to threat intelligence blocklist</t>
        </is>
      </c>
      <c r="S1763" s="189" t="inlineStr">
        <is>
          <t>Check ip-api.com + AbuseIPDB for context</t>
        </is>
      </c>
      <c r="T1763" s="189" t="n">
        <v>0</v>
      </c>
      <c r="U1763" s="189" t="n">
        <v>0</v>
      </c>
      <c r="V1763" s="189" t="inlineStr">
        <is>
          <t>T1110:Brute Force | T1190:Exploit Public-Facing Application | T1566:Phishing</t>
        </is>
      </c>
      <c r="W1763" s="189" t="n">
        <v>1</v>
      </c>
      <c r="X1763" s="189" t="inlineStr">
        <is>
          <t>MEDIUM (60%)</t>
        </is>
      </c>
      <c r="Y1763" s="189" t="inlineStr">
        <is>
          <t>NONE</t>
        </is>
      </c>
      <c r="Z1763" s="189" t="inlineStr">
        <is>
          <t>NONE</t>
        </is>
      </c>
      <c r="AA1763" s="189" t="inlineStr">
        <is>
          <t>NONE</t>
        </is>
      </c>
      <c r="AB1763" s="189" t="inlineStr">
        <is>
          <t>NONE</t>
        </is>
      </c>
      <c r="AC1763" s="189" t="n">
        <v>0</v>
      </c>
      <c r="AD1763" s="189" t="n"/>
    </row>
    <row r="1764">
      <c r="A1764" s="189" t="inlineStr">
        <is>
          <t>TALOS_IP</t>
        </is>
      </c>
      <c r="B1764" s="189" t="inlineStr">
        <is>
          <t>a876e3dcf901</t>
        </is>
      </c>
      <c r="C1764" s="189" t="inlineStr">
        <is>
          <t>Cisco Talos Blacklisted IP: 1.207.127.44 | Verified malicious | Sources: TALOS</t>
        </is>
      </c>
      <c r="D1764" s="189" t="n">
        <v>7</v>
      </c>
      <c r="E1764" s="189" t="inlineStr">
        <is>
          <t>HIGH</t>
        </is>
      </c>
      <c r="F1764" s="189" t="n">
        <v>3</v>
      </c>
      <c r="G1764" s="189" t="n">
        <v>2</v>
      </c>
      <c r="H1764" s="189" t="inlineStr">
        <is>
          <t>HIGH</t>
        </is>
      </c>
      <c r="I1764" s="189" t="n">
        <v>13</v>
      </c>
      <c r="J1764" s="189" t="inlineStr">
        <is>
          <t>NO</t>
        </is>
      </c>
      <c r="K1764" s="190" t="inlineStr">
        <is>
          <t>https://talosintelligence.com/reputation_center/lookup?search=1.207.127.44</t>
        </is>
      </c>
      <c r="L1764" s="189" t="inlineStr">
        <is>
          <t>2026-02-23 23:48</t>
        </is>
      </c>
      <c r="M1764" s="189" t="inlineStr">
        <is>
          <t>Block IP</t>
        </is>
      </c>
      <c r="N1764" s="190" t="inlineStr">
        <is>
          <t>https://talosintelligence.com/reputation_center/lookup?search=1.207.127.44</t>
        </is>
      </c>
      <c r="O1764" s="189" t="inlineStr">
        <is>
          <t>Block IP 1.207.127.44 at firewall | Cisco Talos confirmed malicious</t>
        </is>
      </c>
      <c r="P1764" s="189" t="inlineStr">
        <is>
          <t>Network perimeter / Email / Web</t>
        </is>
      </c>
      <c r="Q1764" s="189" t="inlineStr">
        <is>
          <t>P3</t>
        </is>
      </c>
      <c r="R1764" s="189" t="inlineStr">
        <is>
          <t>🚫 Block IP at firewall immediately | 🔍 Check logs for existing connections | 🛡️ Add to threat intelligence blocklist</t>
        </is>
      </c>
      <c r="S1764" s="189" t="inlineStr">
        <is>
          <t>Check ip-api.com + AbuseIPDB for context</t>
        </is>
      </c>
      <c r="T1764" s="189" t="n">
        <v>0</v>
      </c>
      <c r="U1764" s="189" t="n">
        <v>0</v>
      </c>
      <c r="V1764" s="189" t="inlineStr">
        <is>
          <t>T1110:Brute Force | T1190:Exploit Public-Facing Application | T1566:Phishing</t>
        </is>
      </c>
      <c r="W1764" s="189" t="n">
        <v>1</v>
      </c>
      <c r="X1764" s="189" t="inlineStr">
        <is>
          <t>MEDIUM (60%)</t>
        </is>
      </c>
      <c r="Y1764" s="189" t="inlineStr">
        <is>
          <t>NONE</t>
        </is>
      </c>
      <c r="Z1764" s="189" t="inlineStr">
        <is>
          <t>NONE</t>
        </is>
      </c>
      <c r="AA1764" s="189" t="inlineStr">
        <is>
          <t>NONE</t>
        </is>
      </c>
      <c r="AB1764" s="189" t="inlineStr">
        <is>
          <t>NONE</t>
        </is>
      </c>
      <c r="AC1764" s="189" t="n">
        <v>0</v>
      </c>
      <c r="AD1764" s="189" t="n"/>
    </row>
    <row r="1765">
      <c r="A1765" s="189" t="inlineStr">
        <is>
          <t>TALOS_IP</t>
        </is>
      </c>
      <c r="B1765" s="189" t="inlineStr">
        <is>
          <t>f749834cd3b6</t>
        </is>
      </c>
      <c r="C1765" s="189" t="inlineStr">
        <is>
          <t>Cisco Talos Blacklisted IP: 1.214.29.155 | Verified malicious | Sources: TALOS</t>
        </is>
      </c>
      <c r="D1765" s="189" t="n">
        <v>7</v>
      </c>
      <c r="E1765" s="189" t="inlineStr">
        <is>
          <t>HIGH</t>
        </is>
      </c>
      <c r="F1765" s="189" t="n">
        <v>3</v>
      </c>
      <c r="G1765" s="189" t="n">
        <v>2</v>
      </c>
      <c r="H1765" s="189" t="inlineStr">
        <is>
          <t>HIGH</t>
        </is>
      </c>
      <c r="I1765" s="189" t="n">
        <v>13</v>
      </c>
      <c r="J1765" s="189" t="inlineStr">
        <is>
          <t>NO</t>
        </is>
      </c>
      <c r="K1765" s="190" t="inlineStr">
        <is>
          <t>https://talosintelligence.com/reputation_center/lookup?search=1.214.29.155</t>
        </is>
      </c>
      <c r="L1765" s="189" t="inlineStr">
        <is>
          <t>2026-02-23 23:48</t>
        </is>
      </c>
      <c r="M1765" s="189" t="inlineStr">
        <is>
          <t>Block IP</t>
        </is>
      </c>
      <c r="N1765" s="190" t="inlineStr">
        <is>
          <t>https://talosintelligence.com/reputation_center/lookup?search=1.214.29.155</t>
        </is>
      </c>
      <c r="O1765" s="189" t="inlineStr">
        <is>
          <t>Block IP 1.214.29.155 at firewall | Cisco Talos confirmed malicious</t>
        </is>
      </c>
      <c r="P1765" s="189" t="inlineStr">
        <is>
          <t>Network perimeter / Email / Web</t>
        </is>
      </c>
      <c r="Q1765" s="189" t="inlineStr">
        <is>
          <t>P3</t>
        </is>
      </c>
      <c r="R1765" s="189" t="inlineStr">
        <is>
          <t>🚫 Block IP at firewall immediately | 🔍 Check logs for existing connections | 🛡️ Add to threat intelligence blocklist</t>
        </is>
      </c>
      <c r="S1765" s="189" t="inlineStr">
        <is>
          <t>Check ip-api.com + AbuseIPDB for context</t>
        </is>
      </c>
      <c r="T1765" s="189" t="n">
        <v>0</v>
      </c>
      <c r="U1765" s="189" t="n">
        <v>0</v>
      </c>
      <c r="V1765" s="189" t="inlineStr">
        <is>
          <t>T1110:Brute Force | T1190:Exploit Public-Facing Application | T1566:Phishing</t>
        </is>
      </c>
      <c r="W1765" s="189" t="n">
        <v>1</v>
      </c>
      <c r="X1765" s="189" t="inlineStr">
        <is>
          <t>MEDIUM (60%)</t>
        </is>
      </c>
      <c r="Y1765" s="189" t="inlineStr">
        <is>
          <t>NONE</t>
        </is>
      </c>
      <c r="Z1765" s="189" t="inlineStr">
        <is>
          <t>NONE</t>
        </is>
      </c>
      <c r="AA1765" s="189" t="inlineStr">
        <is>
          <t>NONE</t>
        </is>
      </c>
      <c r="AB1765" s="189" t="inlineStr">
        <is>
          <t>NONE</t>
        </is>
      </c>
      <c r="AC1765" s="189" t="n">
        <v>0</v>
      </c>
      <c r="AD1765" s="189" t="n"/>
    </row>
    <row r="1766">
      <c r="A1766" s="189" t="inlineStr">
        <is>
          <t>TALOS_IP</t>
        </is>
      </c>
      <c r="B1766" s="189" t="inlineStr">
        <is>
          <t>633ddee61486</t>
        </is>
      </c>
      <c r="C1766" s="189" t="inlineStr">
        <is>
          <t>Cisco Talos Blacklisted IP: 1.222.40.18 | Verified malicious | Sources: TALOS</t>
        </is>
      </c>
      <c r="D1766" s="189" t="n">
        <v>7</v>
      </c>
      <c r="E1766" s="189" t="inlineStr">
        <is>
          <t>HIGH</t>
        </is>
      </c>
      <c r="F1766" s="189" t="n">
        <v>3</v>
      </c>
      <c r="G1766" s="189" t="n">
        <v>2</v>
      </c>
      <c r="H1766" s="189" t="inlineStr">
        <is>
          <t>HIGH</t>
        </is>
      </c>
      <c r="I1766" s="189" t="n">
        <v>13</v>
      </c>
      <c r="J1766" s="189" t="inlineStr">
        <is>
          <t>NO</t>
        </is>
      </c>
      <c r="K1766" s="190" t="inlineStr">
        <is>
          <t>https://talosintelligence.com/reputation_center/lookup?search=1.222.40.18</t>
        </is>
      </c>
      <c r="L1766" s="189" t="inlineStr">
        <is>
          <t>2026-02-23 23:48</t>
        </is>
      </c>
      <c r="M1766" s="189" t="inlineStr">
        <is>
          <t>Block IP</t>
        </is>
      </c>
      <c r="N1766" s="190" t="inlineStr">
        <is>
          <t>https://talosintelligence.com/reputation_center/lookup?search=1.222.40.18</t>
        </is>
      </c>
      <c r="O1766" s="189" t="inlineStr">
        <is>
          <t>Block IP 1.222.40.18 at firewall | Cisco Talos confirmed malicious</t>
        </is>
      </c>
      <c r="P1766" s="189" t="inlineStr">
        <is>
          <t>Network perimeter / Email / Web</t>
        </is>
      </c>
      <c r="Q1766" s="189" t="inlineStr">
        <is>
          <t>P3</t>
        </is>
      </c>
      <c r="R1766" s="189" t="inlineStr">
        <is>
          <t>🚫 Block IP at firewall immediately | 🔍 Check logs for existing connections | 🛡️ Add to threat intelligence blocklist</t>
        </is>
      </c>
      <c r="S1766" s="189" t="inlineStr">
        <is>
          <t>Check ip-api.com + AbuseIPDB for context</t>
        </is>
      </c>
      <c r="T1766" s="189" t="n">
        <v>0</v>
      </c>
      <c r="U1766" s="189" t="n">
        <v>0</v>
      </c>
      <c r="V1766" s="189" t="inlineStr">
        <is>
          <t>T1110:Brute Force | T1190:Exploit Public-Facing Application | T1566:Phishing</t>
        </is>
      </c>
      <c r="W1766" s="189" t="n">
        <v>1</v>
      </c>
      <c r="X1766" s="189" t="inlineStr">
        <is>
          <t>MEDIUM (60%)</t>
        </is>
      </c>
      <c r="Y1766" s="189" t="inlineStr">
        <is>
          <t>NONE</t>
        </is>
      </c>
      <c r="Z1766" s="189" t="inlineStr">
        <is>
          <t>NONE</t>
        </is>
      </c>
      <c r="AA1766" s="189" t="inlineStr">
        <is>
          <t>NONE</t>
        </is>
      </c>
      <c r="AB1766" s="189" t="inlineStr">
        <is>
          <t>NONE</t>
        </is>
      </c>
      <c r="AC1766" s="189" t="n">
        <v>0</v>
      </c>
      <c r="AD1766" s="189" t="n"/>
    </row>
    <row r="1767">
      <c r="A1767" s="189" t="inlineStr">
        <is>
          <t>TALOS_IP</t>
        </is>
      </c>
      <c r="B1767" s="189" t="inlineStr">
        <is>
          <t>735658f2598f</t>
        </is>
      </c>
      <c r="C1767" s="189" t="inlineStr">
        <is>
          <t>Cisco Talos Blacklisted IP: 1.223.227.114 | Verified malicious | Sources: TALOS</t>
        </is>
      </c>
      <c r="D1767" s="189" t="n">
        <v>7</v>
      </c>
      <c r="E1767" s="189" t="inlineStr">
        <is>
          <t>HIGH</t>
        </is>
      </c>
      <c r="F1767" s="189" t="n">
        <v>3</v>
      </c>
      <c r="G1767" s="189" t="n">
        <v>2</v>
      </c>
      <c r="H1767" s="189" t="inlineStr">
        <is>
          <t>HIGH</t>
        </is>
      </c>
      <c r="I1767" s="189" t="n">
        <v>13</v>
      </c>
      <c r="J1767" s="189" t="inlineStr">
        <is>
          <t>NO</t>
        </is>
      </c>
      <c r="K1767" s="190" t="inlineStr">
        <is>
          <t>https://talosintelligence.com/reputation_center/lookup?search=1.223.227.114</t>
        </is>
      </c>
      <c r="L1767" s="189" t="inlineStr">
        <is>
          <t>2026-02-23 23:48</t>
        </is>
      </c>
      <c r="M1767" s="189" t="inlineStr">
        <is>
          <t>Block IP</t>
        </is>
      </c>
      <c r="N1767" s="190" t="inlineStr">
        <is>
          <t>https://talosintelligence.com/reputation_center/lookup?search=1.223.227.114</t>
        </is>
      </c>
      <c r="O1767" s="189" t="inlineStr">
        <is>
          <t>Block IP 1.223.227.114 at firewall | Cisco Talos confirmed malicious</t>
        </is>
      </c>
      <c r="P1767" s="189" t="inlineStr">
        <is>
          <t>Network perimeter / Email / Web</t>
        </is>
      </c>
      <c r="Q1767" s="189" t="inlineStr">
        <is>
          <t>P3</t>
        </is>
      </c>
      <c r="R1767" s="189" t="inlineStr">
        <is>
          <t>🚫 Block IP at firewall immediately | 🔍 Check logs for existing connections | 🛡️ Add to threat intelligence blocklist</t>
        </is>
      </c>
      <c r="S1767" s="189" t="inlineStr">
        <is>
          <t>Check ip-api.com + AbuseIPDB for context</t>
        </is>
      </c>
      <c r="T1767" s="189" t="n">
        <v>0</v>
      </c>
      <c r="U1767" s="189" t="n">
        <v>0</v>
      </c>
      <c r="V1767" s="189" t="inlineStr">
        <is>
          <t>T1110:Brute Force | T1190:Exploit Public-Facing Application | T1566:Phishing</t>
        </is>
      </c>
      <c r="W1767" s="189" t="n">
        <v>1</v>
      </c>
      <c r="X1767" s="189" t="inlineStr">
        <is>
          <t>MEDIUM (60%)</t>
        </is>
      </c>
      <c r="Y1767" s="189" t="inlineStr">
        <is>
          <t>NONE</t>
        </is>
      </c>
      <c r="Z1767" s="189" t="inlineStr">
        <is>
          <t>NONE</t>
        </is>
      </c>
      <c r="AA1767" s="189" t="inlineStr">
        <is>
          <t>NONE</t>
        </is>
      </c>
      <c r="AB1767" s="189" t="inlineStr">
        <is>
          <t>NONE</t>
        </is>
      </c>
      <c r="AC1767" s="189" t="n">
        <v>0</v>
      </c>
      <c r="AD1767" s="189" t="n"/>
    </row>
    <row r="1768">
      <c r="A1768" s="189" t="inlineStr">
        <is>
          <t>TALOS_IP</t>
        </is>
      </c>
      <c r="B1768" s="189" t="inlineStr">
        <is>
          <t>02a597854c01</t>
        </is>
      </c>
      <c r="C1768" s="189" t="inlineStr">
        <is>
          <t>Cisco Talos Blacklisted IP: 1.239.177.241 | Verified malicious | Sources: TALOS</t>
        </is>
      </c>
      <c r="D1768" s="189" t="n">
        <v>7</v>
      </c>
      <c r="E1768" s="189" t="inlineStr">
        <is>
          <t>HIGH</t>
        </is>
      </c>
      <c r="F1768" s="189" t="n">
        <v>3</v>
      </c>
      <c r="G1768" s="189" t="n">
        <v>2</v>
      </c>
      <c r="H1768" s="189" t="inlineStr">
        <is>
          <t>HIGH</t>
        </is>
      </c>
      <c r="I1768" s="189" t="n">
        <v>13</v>
      </c>
      <c r="J1768" s="189" t="inlineStr">
        <is>
          <t>NO</t>
        </is>
      </c>
      <c r="K1768" s="190" t="inlineStr">
        <is>
          <t>https://talosintelligence.com/reputation_center/lookup?search=1.239.177.241</t>
        </is>
      </c>
      <c r="L1768" s="189" t="inlineStr">
        <is>
          <t>2026-02-23 23:48</t>
        </is>
      </c>
      <c r="M1768" s="189" t="inlineStr">
        <is>
          <t>Block IP</t>
        </is>
      </c>
      <c r="N1768" s="190" t="inlineStr">
        <is>
          <t>https://talosintelligence.com/reputation_center/lookup?search=1.239.177.241</t>
        </is>
      </c>
      <c r="O1768" s="189" t="inlineStr">
        <is>
          <t>Block IP 1.239.177.241 at firewall | Cisco Talos confirmed malicious</t>
        </is>
      </c>
      <c r="P1768" s="189" t="inlineStr">
        <is>
          <t>Network perimeter / Email / Web</t>
        </is>
      </c>
      <c r="Q1768" s="189" t="inlineStr">
        <is>
          <t>P3</t>
        </is>
      </c>
      <c r="R1768" s="189" t="inlineStr">
        <is>
          <t>🚫 Block IP at firewall immediately | 🔍 Check logs for existing connections | 🛡️ Add to threat intelligence blocklist</t>
        </is>
      </c>
      <c r="S1768" s="189" t="inlineStr">
        <is>
          <t>Check ip-api.com + AbuseIPDB for context</t>
        </is>
      </c>
      <c r="T1768" s="189" t="n">
        <v>0</v>
      </c>
      <c r="U1768" s="189" t="n">
        <v>0</v>
      </c>
      <c r="V1768" s="189" t="inlineStr">
        <is>
          <t>T1110:Brute Force | T1190:Exploit Public-Facing Application | T1566:Phishing</t>
        </is>
      </c>
      <c r="W1768" s="189" t="n">
        <v>1</v>
      </c>
      <c r="X1768" s="189" t="inlineStr">
        <is>
          <t>MEDIUM (60%)</t>
        </is>
      </c>
      <c r="Y1768" s="189" t="inlineStr">
        <is>
          <t>NONE</t>
        </is>
      </c>
      <c r="Z1768" s="189" t="inlineStr">
        <is>
          <t>NONE</t>
        </is>
      </c>
      <c r="AA1768" s="189" t="inlineStr">
        <is>
          <t>NONE</t>
        </is>
      </c>
      <c r="AB1768" s="189" t="inlineStr">
        <is>
          <t>NONE</t>
        </is>
      </c>
      <c r="AC1768" s="189" t="n">
        <v>0</v>
      </c>
      <c r="AD1768" s="189" t="n"/>
    </row>
    <row r="1769">
      <c r="A1769" s="189" t="inlineStr">
        <is>
          <t>TALOS_IP</t>
        </is>
      </c>
      <c r="B1769" s="189" t="inlineStr">
        <is>
          <t>b7720c50e096</t>
        </is>
      </c>
      <c r="C1769" s="189" t="inlineStr">
        <is>
          <t>Cisco Talos Blacklisted IP: 1.24.16.102 | Verified malicious | Sources: TALOS</t>
        </is>
      </c>
      <c r="D1769" s="189" t="n">
        <v>7</v>
      </c>
      <c r="E1769" s="189" t="inlineStr">
        <is>
          <t>HIGH</t>
        </is>
      </c>
      <c r="F1769" s="189" t="n">
        <v>3</v>
      </c>
      <c r="G1769" s="189" t="n">
        <v>2</v>
      </c>
      <c r="H1769" s="189" t="inlineStr">
        <is>
          <t>HIGH</t>
        </is>
      </c>
      <c r="I1769" s="189" t="n">
        <v>13</v>
      </c>
      <c r="J1769" s="189" t="inlineStr">
        <is>
          <t>NO</t>
        </is>
      </c>
      <c r="K1769" s="190" t="inlineStr">
        <is>
          <t>https://talosintelligence.com/reputation_center/lookup?search=1.24.16.102</t>
        </is>
      </c>
      <c r="L1769" s="189" t="inlineStr">
        <is>
          <t>2026-02-23 23:48</t>
        </is>
      </c>
      <c r="M1769" s="189" t="inlineStr">
        <is>
          <t>Block IP</t>
        </is>
      </c>
      <c r="N1769" s="190" t="inlineStr">
        <is>
          <t>https://talosintelligence.com/reputation_center/lookup?search=1.24.16.102</t>
        </is>
      </c>
      <c r="O1769" s="189" t="inlineStr">
        <is>
          <t>Block IP 1.24.16.102 at firewall | Cisco Talos confirmed malicious</t>
        </is>
      </c>
      <c r="P1769" s="189" t="inlineStr">
        <is>
          <t>Network perimeter / Email / Web</t>
        </is>
      </c>
      <c r="Q1769" s="189" t="inlineStr">
        <is>
          <t>P3</t>
        </is>
      </c>
      <c r="R1769" s="189" t="inlineStr">
        <is>
          <t>🚫 Block IP at firewall immediately | 🔍 Check logs for existing connections | 🛡️ Add to threat intelligence blocklist</t>
        </is>
      </c>
      <c r="S1769" s="189" t="inlineStr">
        <is>
          <t>Check ip-api.com + AbuseIPDB for context</t>
        </is>
      </c>
      <c r="T1769" s="189" t="n">
        <v>0</v>
      </c>
      <c r="U1769" s="189" t="n">
        <v>0</v>
      </c>
      <c r="V1769" s="189" t="inlineStr">
        <is>
          <t>T1110:Brute Force | T1190:Exploit Public-Facing Application | T1566:Phishing</t>
        </is>
      </c>
      <c r="W1769" s="189" t="n">
        <v>1</v>
      </c>
      <c r="X1769" s="189" t="inlineStr">
        <is>
          <t>MEDIUM (60%)</t>
        </is>
      </c>
      <c r="Y1769" s="189" t="inlineStr">
        <is>
          <t>NONE</t>
        </is>
      </c>
      <c r="Z1769" s="189" t="inlineStr">
        <is>
          <t>NONE</t>
        </is>
      </c>
      <c r="AA1769" s="189" t="inlineStr">
        <is>
          <t>NONE</t>
        </is>
      </c>
      <c r="AB1769" s="189" t="inlineStr">
        <is>
          <t>NONE</t>
        </is>
      </c>
      <c r="AC1769" s="189" t="n">
        <v>0</v>
      </c>
      <c r="AD1769" s="189" t="n"/>
    </row>
    <row r="1770">
      <c r="A1770" s="189" t="inlineStr">
        <is>
          <t>TALOS_IP</t>
        </is>
      </c>
      <c r="B1770" s="189" t="inlineStr">
        <is>
          <t>015abd9a7678</t>
        </is>
      </c>
      <c r="C1770" s="189" t="inlineStr">
        <is>
          <t>Cisco Talos Blacklisted IP: 1.24.16.107 | Verified malicious | Sources: TALOS</t>
        </is>
      </c>
      <c r="D1770" s="189" t="n">
        <v>7</v>
      </c>
      <c r="E1770" s="189" t="inlineStr">
        <is>
          <t>HIGH</t>
        </is>
      </c>
      <c r="F1770" s="189" t="n">
        <v>3</v>
      </c>
      <c r="G1770" s="189" t="n">
        <v>2</v>
      </c>
      <c r="H1770" s="189" t="inlineStr">
        <is>
          <t>HIGH</t>
        </is>
      </c>
      <c r="I1770" s="189" t="n">
        <v>13</v>
      </c>
      <c r="J1770" s="189" t="inlineStr">
        <is>
          <t>NO</t>
        </is>
      </c>
      <c r="K1770" s="190" t="inlineStr">
        <is>
          <t>https://talosintelligence.com/reputation_center/lookup?search=1.24.16.107</t>
        </is>
      </c>
      <c r="L1770" s="189" t="inlineStr">
        <is>
          <t>2026-02-23 23:48</t>
        </is>
      </c>
      <c r="M1770" s="189" t="inlineStr">
        <is>
          <t>Block IP</t>
        </is>
      </c>
      <c r="N1770" s="190" t="inlineStr">
        <is>
          <t>https://talosintelligence.com/reputation_center/lookup?search=1.24.16.107</t>
        </is>
      </c>
      <c r="O1770" s="189" t="inlineStr">
        <is>
          <t>Block IP 1.24.16.107 at firewall | Cisco Talos confirmed malicious</t>
        </is>
      </c>
      <c r="P1770" s="189" t="inlineStr">
        <is>
          <t>Network perimeter / Email / Web</t>
        </is>
      </c>
      <c r="Q1770" s="189" t="inlineStr">
        <is>
          <t>P3</t>
        </is>
      </c>
      <c r="R1770" s="189" t="inlineStr">
        <is>
          <t>🚫 Block IP at firewall immediately | 🔍 Check logs for existing connections | 🛡️ Add to threat intelligence blocklist</t>
        </is>
      </c>
      <c r="S1770" s="189" t="inlineStr">
        <is>
          <t>Check ip-api.com + AbuseIPDB for context</t>
        </is>
      </c>
      <c r="T1770" s="189" t="n">
        <v>0</v>
      </c>
      <c r="U1770" s="189" t="n">
        <v>0</v>
      </c>
      <c r="V1770" s="189" t="inlineStr">
        <is>
          <t>T1110:Brute Force | T1190:Exploit Public-Facing Application | T1566:Phishing</t>
        </is>
      </c>
      <c r="W1770" s="189" t="n">
        <v>1</v>
      </c>
      <c r="X1770" s="189" t="inlineStr">
        <is>
          <t>MEDIUM (60%)</t>
        </is>
      </c>
      <c r="Y1770" s="189" t="inlineStr">
        <is>
          <t>NONE</t>
        </is>
      </c>
      <c r="Z1770" s="189" t="inlineStr">
        <is>
          <t>NONE</t>
        </is>
      </c>
      <c r="AA1770" s="189" t="inlineStr">
        <is>
          <t>NONE</t>
        </is>
      </c>
      <c r="AB1770" s="189" t="inlineStr">
        <is>
          <t>NONE</t>
        </is>
      </c>
      <c r="AC1770" s="189" t="n">
        <v>0</v>
      </c>
      <c r="AD1770" s="189" t="n"/>
    </row>
    <row r="1771">
      <c r="A1771" s="189" t="inlineStr">
        <is>
          <t>TALOS_IP</t>
        </is>
      </c>
      <c r="B1771" s="189" t="inlineStr">
        <is>
          <t>74b36ff2f4bd</t>
        </is>
      </c>
      <c r="C1771" s="189" t="inlineStr">
        <is>
          <t>Cisco Talos Blacklisted IP: 1.24.16.113 | Verified malicious | Sources: TALOS</t>
        </is>
      </c>
      <c r="D1771" s="189" t="n">
        <v>7</v>
      </c>
      <c r="E1771" s="189" t="inlineStr">
        <is>
          <t>HIGH</t>
        </is>
      </c>
      <c r="F1771" s="189" t="n">
        <v>3</v>
      </c>
      <c r="G1771" s="189" t="n">
        <v>2</v>
      </c>
      <c r="H1771" s="189" t="inlineStr">
        <is>
          <t>HIGH</t>
        </is>
      </c>
      <c r="I1771" s="189" t="n">
        <v>13</v>
      </c>
      <c r="J1771" s="189" t="inlineStr">
        <is>
          <t>NO</t>
        </is>
      </c>
      <c r="K1771" s="190" t="inlineStr">
        <is>
          <t>https://talosintelligence.com/reputation_center/lookup?search=1.24.16.113</t>
        </is>
      </c>
      <c r="L1771" s="189" t="inlineStr">
        <is>
          <t>2026-02-23 23:48</t>
        </is>
      </c>
      <c r="M1771" s="189" t="inlineStr">
        <is>
          <t>Block IP</t>
        </is>
      </c>
      <c r="N1771" s="190" t="inlineStr">
        <is>
          <t>https://talosintelligence.com/reputation_center/lookup?search=1.24.16.113</t>
        </is>
      </c>
      <c r="O1771" s="189" t="inlineStr">
        <is>
          <t>Block IP 1.24.16.113 at firewall | Cisco Talos confirmed malicious</t>
        </is>
      </c>
      <c r="P1771" s="189" t="inlineStr">
        <is>
          <t>Network perimeter / Email / Web</t>
        </is>
      </c>
      <c r="Q1771" s="189" t="inlineStr">
        <is>
          <t>P3</t>
        </is>
      </c>
      <c r="R1771" s="189" t="inlineStr">
        <is>
          <t>🚫 Block IP at firewall immediately | 🔍 Check logs for existing connections | 🛡️ Add to threat intelligence blocklist</t>
        </is>
      </c>
      <c r="S1771" s="189" t="inlineStr">
        <is>
          <t>Check ip-api.com + AbuseIPDB for context</t>
        </is>
      </c>
      <c r="T1771" s="189" t="n">
        <v>0</v>
      </c>
      <c r="U1771" s="189" t="n">
        <v>0</v>
      </c>
      <c r="V1771" s="189" t="inlineStr">
        <is>
          <t>T1110:Brute Force | T1190:Exploit Public-Facing Application | T1566:Phishing</t>
        </is>
      </c>
      <c r="W1771" s="189" t="n">
        <v>1</v>
      </c>
      <c r="X1771" s="189" t="inlineStr">
        <is>
          <t>MEDIUM (60%)</t>
        </is>
      </c>
      <c r="Y1771" s="189" t="inlineStr">
        <is>
          <t>NONE</t>
        </is>
      </c>
      <c r="Z1771" s="189" t="inlineStr">
        <is>
          <t>NONE</t>
        </is>
      </c>
      <c r="AA1771" s="189" t="inlineStr">
        <is>
          <t>NONE</t>
        </is>
      </c>
      <c r="AB1771" s="189" t="inlineStr">
        <is>
          <t>NONE</t>
        </is>
      </c>
      <c r="AC1771" s="189" t="n">
        <v>0</v>
      </c>
      <c r="AD1771" s="189" t="n"/>
    </row>
    <row r="1772">
      <c r="A1772" s="189" t="inlineStr">
        <is>
          <t>TALOS_IP</t>
        </is>
      </c>
      <c r="B1772" s="189" t="inlineStr">
        <is>
          <t>bf6b82ba0c11</t>
        </is>
      </c>
      <c r="C1772" s="189" t="inlineStr">
        <is>
          <t>Cisco Talos Blacklisted IP: 1.24.16.115 | Verified malicious | Sources: TALOS</t>
        </is>
      </c>
      <c r="D1772" s="189" t="n">
        <v>7</v>
      </c>
      <c r="E1772" s="189" t="inlineStr">
        <is>
          <t>HIGH</t>
        </is>
      </c>
      <c r="F1772" s="189" t="n">
        <v>3</v>
      </c>
      <c r="G1772" s="189" t="n">
        <v>2</v>
      </c>
      <c r="H1772" s="189" t="inlineStr">
        <is>
          <t>HIGH</t>
        </is>
      </c>
      <c r="I1772" s="189" t="n">
        <v>13</v>
      </c>
      <c r="J1772" s="189" t="inlineStr">
        <is>
          <t>NO</t>
        </is>
      </c>
      <c r="K1772" s="190" t="inlineStr">
        <is>
          <t>https://talosintelligence.com/reputation_center/lookup?search=1.24.16.115</t>
        </is>
      </c>
      <c r="L1772" s="189" t="inlineStr">
        <is>
          <t>2026-02-23 23:48</t>
        </is>
      </c>
      <c r="M1772" s="189" t="inlineStr">
        <is>
          <t>Block IP</t>
        </is>
      </c>
      <c r="N1772" s="190" t="inlineStr">
        <is>
          <t>https://talosintelligence.com/reputation_center/lookup?search=1.24.16.115</t>
        </is>
      </c>
      <c r="O1772" s="189" t="inlineStr">
        <is>
          <t>Block IP 1.24.16.115 at firewall | Cisco Talos confirmed malicious</t>
        </is>
      </c>
      <c r="P1772" s="189" t="inlineStr">
        <is>
          <t>Network perimeter / Email / Web</t>
        </is>
      </c>
      <c r="Q1772" s="189" t="inlineStr">
        <is>
          <t>P3</t>
        </is>
      </c>
      <c r="R1772" s="189" t="inlineStr">
        <is>
          <t>🚫 Block IP at firewall immediately | 🔍 Check logs for existing connections | 🛡️ Add to threat intelligence blocklist</t>
        </is>
      </c>
      <c r="S1772" s="189" t="inlineStr">
        <is>
          <t>Check ip-api.com + AbuseIPDB for context</t>
        </is>
      </c>
      <c r="T1772" s="189" t="n">
        <v>0</v>
      </c>
      <c r="U1772" s="189" t="n">
        <v>0</v>
      </c>
      <c r="V1772" s="189" t="inlineStr">
        <is>
          <t>T1110:Brute Force | T1190:Exploit Public-Facing Application | T1566:Phishing</t>
        </is>
      </c>
      <c r="W1772" s="189" t="n">
        <v>1</v>
      </c>
      <c r="X1772" s="189" t="inlineStr">
        <is>
          <t>MEDIUM (60%)</t>
        </is>
      </c>
      <c r="Y1772" s="189" t="inlineStr">
        <is>
          <t>NONE</t>
        </is>
      </c>
      <c r="Z1772" s="189" t="inlineStr">
        <is>
          <t>NONE</t>
        </is>
      </c>
      <c r="AA1772" s="189" t="inlineStr">
        <is>
          <t>NONE</t>
        </is>
      </c>
      <c r="AB1772" s="189" t="inlineStr">
        <is>
          <t>NONE</t>
        </is>
      </c>
      <c r="AC1772" s="189" t="n">
        <v>0</v>
      </c>
      <c r="AD1772" s="189" t="n"/>
    </row>
    <row r="1773">
      <c r="A1773" s="189" t="inlineStr">
        <is>
          <t>TALOS_IP</t>
        </is>
      </c>
      <c r="B1773" s="189" t="inlineStr">
        <is>
          <t>399883f21afe</t>
        </is>
      </c>
      <c r="C1773" s="189" t="inlineStr">
        <is>
          <t>Cisco Talos Blacklisted IP: 1.24.16.117 | Verified malicious | Sources: TALOS</t>
        </is>
      </c>
      <c r="D1773" s="189" t="n">
        <v>7</v>
      </c>
      <c r="E1773" s="189" t="inlineStr">
        <is>
          <t>HIGH</t>
        </is>
      </c>
      <c r="F1773" s="189" t="n">
        <v>3</v>
      </c>
      <c r="G1773" s="189" t="n">
        <v>2</v>
      </c>
      <c r="H1773" s="189" t="inlineStr">
        <is>
          <t>HIGH</t>
        </is>
      </c>
      <c r="I1773" s="189" t="n">
        <v>13</v>
      </c>
      <c r="J1773" s="189" t="inlineStr">
        <is>
          <t>NO</t>
        </is>
      </c>
      <c r="K1773" s="190" t="inlineStr">
        <is>
          <t>https://talosintelligence.com/reputation_center/lookup?search=1.24.16.117</t>
        </is>
      </c>
      <c r="L1773" s="189" t="inlineStr">
        <is>
          <t>2026-02-23 23:48</t>
        </is>
      </c>
      <c r="M1773" s="189" t="inlineStr">
        <is>
          <t>Block IP</t>
        </is>
      </c>
      <c r="N1773" s="190" t="inlineStr">
        <is>
          <t>https://talosintelligence.com/reputation_center/lookup?search=1.24.16.117</t>
        </is>
      </c>
      <c r="O1773" s="189" t="inlineStr">
        <is>
          <t>Block IP 1.24.16.117 at firewall | Cisco Talos confirmed malicious</t>
        </is>
      </c>
      <c r="P1773" s="189" t="inlineStr">
        <is>
          <t>Network perimeter / Email / Web</t>
        </is>
      </c>
      <c r="Q1773" s="189" t="inlineStr">
        <is>
          <t>P3</t>
        </is>
      </c>
      <c r="R1773" s="189" t="inlineStr">
        <is>
          <t>🚫 Block IP at firewall immediately | 🔍 Check logs for existing connections | 🛡️ Add to threat intelligence blocklist</t>
        </is>
      </c>
      <c r="S1773" s="189" t="inlineStr">
        <is>
          <t>Check ip-api.com + AbuseIPDB for context</t>
        </is>
      </c>
      <c r="T1773" s="189" t="n">
        <v>0</v>
      </c>
      <c r="U1773" s="189" t="n">
        <v>0</v>
      </c>
      <c r="V1773" s="189" t="inlineStr">
        <is>
          <t>T1110:Brute Force | T1190:Exploit Public-Facing Application | T1566:Phishing</t>
        </is>
      </c>
      <c r="W1773" s="189" t="n">
        <v>1</v>
      </c>
      <c r="X1773" s="189" t="inlineStr">
        <is>
          <t>MEDIUM (60%)</t>
        </is>
      </c>
      <c r="Y1773" s="189" t="inlineStr">
        <is>
          <t>NONE</t>
        </is>
      </c>
      <c r="Z1773" s="189" t="inlineStr">
        <is>
          <t>NONE</t>
        </is>
      </c>
      <c r="AA1773" s="189" t="inlineStr">
        <is>
          <t>NONE</t>
        </is>
      </c>
      <c r="AB1773" s="189" t="inlineStr">
        <is>
          <t>NONE</t>
        </is>
      </c>
      <c r="AC1773" s="189" t="n">
        <v>0</v>
      </c>
      <c r="AD1773" s="189" t="n"/>
    </row>
    <row r="1774">
      <c r="A1774" s="189" t="inlineStr">
        <is>
          <t>TALOS_IP</t>
        </is>
      </c>
      <c r="B1774" s="189" t="inlineStr">
        <is>
          <t>bfda3571a7c8</t>
        </is>
      </c>
      <c r="C1774" s="189" t="inlineStr">
        <is>
          <t>Cisco Talos Blacklisted IP: 1.24.16.120 | Verified malicious | Sources: TALOS</t>
        </is>
      </c>
      <c r="D1774" s="189" t="n">
        <v>7</v>
      </c>
      <c r="E1774" s="189" t="inlineStr">
        <is>
          <t>HIGH</t>
        </is>
      </c>
      <c r="F1774" s="189" t="n">
        <v>3</v>
      </c>
      <c r="G1774" s="189" t="n">
        <v>2</v>
      </c>
      <c r="H1774" s="189" t="inlineStr">
        <is>
          <t>HIGH</t>
        </is>
      </c>
      <c r="I1774" s="189" t="n">
        <v>13</v>
      </c>
      <c r="J1774" s="189" t="inlineStr">
        <is>
          <t>NO</t>
        </is>
      </c>
      <c r="K1774" s="190" t="inlineStr">
        <is>
          <t>https://talosintelligence.com/reputation_center/lookup?search=1.24.16.120</t>
        </is>
      </c>
      <c r="L1774" s="189" t="inlineStr">
        <is>
          <t>2026-02-23 23:48</t>
        </is>
      </c>
      <c r="M1774" s="189" t="inlineStr">
        <is>
          <t>Block IP</t>
        </is>
      </c>
      <c r="N1774" s="190" t="inlineStr">
        <is>
          <t>https://talosintelligence.com/reputation_center/lookup?search=1.24.16.120</t>
        </is>
      </c>
      <c r="O1774" s="189" t="inlineStr">
        <is>
          <t>Block IP 1.24.16.120 at firewall | Cisco Talos confirmed malicious</t>
        </is>
      </c>
      <c r="P1774" s="189" t="inlineStr">
        <is>
          <t>Network perimeter / Email / Web</t>
        </is>
      </c>
      <c r="Q1774" s="189" t="inlineStr">
        <is>
          <t>P3</t>
        </is>
      </c>
      <c r="R1774" s="189" t="inlineStr">
        <is>
          <t>🚫 Block IP at firewall immediately | 🔍 Check logs for existing connections | 🛡️ Add to threat intelligence blocklist</t>
        </is>
      </c>
      <c r="S1774" s="189" t="inlineStr">
        <is>
          <t>Check ip-api.com + AbuseIPDB for context</t>
        </is>
      </c>
      <c r="T1774" s="189" t="n">
        <v>0</v>
      </c>
      <c r="U1774" s="189" t="n">
        <v>0</v>
      </c>
      <c r="V1774" s="189" t="inlineStr">
        <is>
          <t>T1110:Brute Force | T1190:Exploit Public-Facing Application | T1566:Phishing</t>
        </is>
      </c>
      <c r="W1774" s="189" t="n">
        <v>1</v>
      </c>
      <c r="X1774" s="189" t="inlineStr">
        <is>
          <t>MEDIUM (60%)</t>
        </is>
      </c>
      <c r="Y1774" s="189" t="inlineStr">
        <is>
          <t>NONE</t>
        </is>
      </c>
      <c r="Z1774" s="189" t="inlineStr">
        <is>
          <t>NONE</t>
        </is>
      </c>
      <c r="AA1774" s="189" t="inlineStr">
        <is>
          <t>NONE</t>
        </is>
      </c>
      <c r="AB1774" s="189" t="inlineStr">
        <is>
          <t>NONE</t>
        </is>
      </c>
      <c r="AC1774" s="189" t="n">
        <v>0</v>
      </c>
      <c r="AD1774" s="189" t="n"/>
    </row>
    <row r="1775">
      <c r="A1775" s="189" t="inlineStr">
        <is>
          <t>TALOS_IP</t>
        </is>
      </c>
      <c r="B1775" s="189" t="inlineStr">
        <is>
          <t>b10436b0accc</t>
        </is>
      </c>
      <c r="C1775" s="189" t="inlineStr">
        <is>
          <t>Cisco Talos Blacklisted IP: 1.24.16.121 | Verified malicious | Sources: TALOS</t>
        </is>
      </c>
      <c r="D1775" s="189" t="n">
        <v>7</v>
      </c>
      <c r="E1775" s="189" t="inlineStr">
        <is>
          <t>HIGH</t>
        </is>
      </c>
      <c r="F1775" s="189" t="n">
        <v>3</v>
      </c>
      <c r="G1775" s="189" t="n">
        <v>2</v>
      </c>
      <c r="H1775" s="189" t="inlineStr">
        <is>
          <t>HIGH</t>
        </is>
      </c>
      <c r="I1775" s="189" t="n">
        <v>13</v>
      </c>
      <c r="J1775" s="189" t="inlineStr">
        <is>
          <t>NO</t>
        </is>
      </c>
      <c r="K1775" s="190" t="inlineStr">
        <is>
          <t>https://talosintelligence.com/reputation_center/lookup?search=1.24.16.121</t>
        </is>
      </c>
      <c r="L1775" s="189" t="inlineStr">
        <is>
          <t>2026-02-23 23:48</t>
        </is>
      </c>
      <c r="M1775" s="189" t="inlineStr">
        <is>
          <t>Block IP</t>
        </is>
      </c>
      <c r="N1775" s="190" t="inlineStr">
        <is>
          <t>https://talosintelligence.com/reputation_center/lookup?search=1.24.16.121</t>
        </is>
      </c>
      <c r="O1775" s="189" t="inlineStr">
        <is>
          <t>Block IP 1.24.16.121 at firewall | Cisco Talos confirmed malicious</t>
        </is>
      </c>
      <c r="P1775" s="189" t="inlineStr">
        <is>
          <t>Network perimeter / Email / Web</t>
        </is>
      </c>
      <c r="Q1775" s="189" t="inlineStr">
        <is>
          <t>P3</t>
        </is>
      </c>
      <c r="R1775" s="189" t="inlineStr">
        <is>
          <t>🚫 Block IP at firewall immediately | 🔍 Check logs for existing connections | 🛡️ Add to threat intelligence blocklist</t>
        </is>
      </c>
      <c r="S1775" s="189" t="inlineStr">
        <is>
          <t>Check ip-api.com + AbuseIPDB for context</t>
        </is>
      </c>
      <c r="T1775" s="189" t="n">
        <v>0</v>
      </c>
      <c r="U1775" s="189" t="n">
        <v>0</v>
      </c>
      <c r="V1775" s="189" t="inlineStr">
        <is>
          <t>T1110:Brute Force | T1190:Exploit Public-Facing Application | T1566:Phishing</t>
        </is>
      </c>
      <c r="W1775" s="189" t="n">
        <v>1</v>
      </c>
      <c r="X1775" s="189" t="inlineStr">
        <is>
          <t>MEDIUM (60%)</t>
        </is>
      </c>
      <c r="Y1775" s="189" t="inlineStr">
        <is>
          <t>NONE</t>
        </is>
      </c>
      <c r="Z1775" s="189" t="inlineStr">
        <is>
          <t>NONE</t>
        </is>
      </c>
      <c r="AA1775" s="189" t="inlineStr">
        <is>
          <t>NONE</t>
        </is>
      </c>
      <c r="AB1775" s="189" t="inlineStr">
        <is>
          <t>NONE</t>
        </is>
      </c>
      <c r="AC1775" s="189" t="n">
        <v>0</v>
      </c>
      <c r="AD1775" s="189" t="n"/>
    </row>
    <row r="1776">
      <c r="A1776" s="189" t="inlineStr">
        <is>
          <t>TALOS_IP</t>
        </is>
      </c>
      <c r="B1776" s="189" t="inlineStr">
        <is>
          <t>962e43692313</t>
        </is>
      </c>
      <c r="C1776" s="189" t="inlineStr">
        <is>
          <t>Cisco Talos Blacklisted IP: 1.24.16.124 | Verified malicious | Sources: TALOS</t>
        </is>
      </c>
      <c r="D1776" s="189" t="n">
        <v>7</v>
      </c>
      <c r="E1776" s="189" t="inlineStr">
        <is>
          <t>HIGH</t>
        </is>
      </c>
      <c r="F1776" s="189" t="n">
        <v>3</v>
      </c>
      <c r="G1776" s="189" t="n">
        <v>2</v>
      </c>
      <c r="H1776" s="189" t="inlineStr">
        <is>
          <t>HIGH</t>
        </is>
      </c>
      <c r="I1776" s="189" t="n">
        <v>13</v>
      </c>
      <c r="J1776" s="189" t="inlineStr">
        <is>
          <t>NO</t>
        </is>
      </c>
      <c r="K1776" s="190" t="inlineStr">
        <is>
          <t>https://talosintelligence.com/reputation_center/lookup?search=1.24.16.124</t>
        </is>
      </c>
      <c r="L1776" s="189" t="inlineStr">
        <is>
          <t>2026-02-23 23:48</t>
        </is>
      </c>
      <c r="M1776" s="189" t="inlineStr">
        <is>
          <t>Block IP</t>
        </is>
      </c>
      <c r="N1776" s="190" t="inlineStr">
        <is>
          <t>https://talosintelligence.com/reputation_center/lookup?search=1.24.16.124</t>
        </is>
      </c>
      <c r="O1776" s="189" t="inlineStr">
        <is>
          <t>Block IP 1.24.16.124 at firewall | Cisco Talos confirmed malicious</t>
        </is>
      </c>
      <c r="P1776" s="189" t="inlineStr">
        <is>
          <t>Network perimeter / Email / Web</t>
        </is>
      </c>
      <c r="Q1776" s="189" t="inlineStr">
        <is>
          <t>P3</t>
        </is>
      </c>
      <c r="R1776" s="189" t="inlineStr">
        <is>
          <t>🚫 Block IP at firewall immediately | 🔍 Check logs for existing connections | 🛡️ Add to threat intelligence blocklist</t>
        </is>
      </c>
      <c r="S1776" s="189" t="inlineStr">
        <is>
          <t>Check ip-api.com + AbuseIPDB for context</t>
        </is>
      </c>
      <c r="T1776" s="189" t="n">
        <v>0</v>
      </c>
      <c r="U1776" s="189" t="n">
        <v>0</v>
      </c>
      <c r="V1776" s="189" t="inlineStr">
        <is>
          <t>T1110:Brute Force | T1190:Exploit Public-Facing Application | T1566:Phishing</t>
        </is>
      </c>
      <c r="W1776" s="189" t="n">
        <v>1</v>
      </c>
      <c r="X1776" s="189" t="inlineStr">
        <is>
          <t>MEDIUM (60%)</t>
        </is>
      </c>
      <c r="Y1776" s="189" t="inlineStr">
        <is>
          <t>NONE</t>
        </is>
      </c>
      <c r="Z1776" s="189" t="inlineStr">
        <is>
          <t>NONE</t>
        </is>
      </c>
      <c r="AA1776" s="189" t="inlineStr">
        <is>
          <t>NONE</t>
        </is>
      </c>
      <c r="AB1776" s="189" t="inlineStr">
        <is>
          <t>NONE</t>
        </is>
      </c>
      <c r="AC1776" s="189" t="n">
        <v>0</v>
      </c>
      <c r="AD1776" s="189" t="n"/>
    </row>
    <row r="1777">
      <c r="A1777" s="189" t="inlineStr">
        <is>
          <t>TALOS_IP</t>
        </is>
      </c>
      <c r="B1777" s="189" t="inlineStr">
        <is>
          <t>adaa31162abb</t>
        </is>
      </c>
      <c r="C1777" s="189" t="inlineStr">
        <is>
          <t>Cisco Talos Blacklisted IP: 1.24.16.126 | Verified malicious | Sources: TALOS</t>
        </is>
      </c>
      <c r="D1777" s="189" t="n">
        <v>7</v>
      </c>
      <c r="E1777" s="189" t="inlineStr">
        <is>
          <t>HIGH</t>
        </is>
      </c>
      <c r="F1777" s="189" t="n">
        <v>3</v>
      </c>
      <c r="G1777" s="189" t="n">
        <v>2</v>
      </c>
      <c r="H1777" s="189" t="inlineStr">
        <is>
          <t>HIGH</t>
        </is>
      </c>
      <c r="I1777" s="189" t="n">
        <v>13</v>
      </c>
      <c r="J1777" s="189" t="inlineStr">
        <is>
          <t>NO</t>
        </is>
      </c>
      <c r="K1777" s="190" t="inlineStr">
        <is>
          <t>https://talosintelligence.com/reputation_center/lookup?search=1.24.16.126</t>
        </is>
      </c>
      <c r="L1777" s="189" t="inlineStr">
        <is>
          <t>2026-02-23 23:48</t>
        </is>
      </c>
      <c r="M1777" s="189" t="inlineStr">
        <is>
          <t>Block IP</t>
        </is>
      </c>
      <c r="N1777" s="190" t="inlineStr">
        <is>
          <t>https://talosintelligence.com/reputation_center/lookup?search=1.24.16.126</t>
        </is>
      </c>
      <c r="O1777" s="189" t="inlineStr">
        <is>
          <t>Block IP 1.24.16.126 at firewall | Cisco Talos confirmed malicious</t>
        </is>
      </c>
      <c r="P1777" s="189" t="inlineStr">
        <is>
          <t>Network perimeter / Email / Web</t>
        </is>
      </c>
      <c r="Q1777" s="189" t="inlineStr">
        <is>
          <t>P3</t>
        </is>
      </c>
      <c r="R1777" s="189" t="inlineStr">
        <is>
          <t>🚫 Block IP at firewall immediately | 🔍 Check logs for existing connections | 🛡️ Add to threat intelligence blocklist</t>
        </is>
      </c>
      <c r="S1777" s="189" t="inlineStr">
        <is>
          <t>Check ip-api.com + AbuseIPDB for context</t>
        </is>
      </c>
      <c r="T1777" s="189" t="n">
        <v>0</v>
      </c>
      <c r="U1777" s="189" t="n">
        <v>0</v>
      </c>
      <c r="V1777" s="189" t="inlineStr">
        <is>
          <t>T1110:Brute Force | T1190:Exploit Public-Facing Application | T1566:Phishing</t>
        </is>
      </c>
      <c r="W1777" s="189" t="n">
        <v>1</v>
      </c>
      <c r="X1777" s="189" t="inlineStr">
        <is>
          <t>MEDIUM (60%)</t>
        </is>
      </c>
      <c r="Y1777" s="189" t="inlineStr">
        <is>
          <t>NONE</t>
        </is>
      </c>
      <c r="Z1777" s="189" t="inlineStr">
        <is>
          <t>NONE</t>
        </is>
      </c>
      <c r="AA1777" s="189" t="inlineStr">
        <is>
          <t>NONE</t>
        </is>
      </c>
      <c r="AB1777" s="189" t="inlineStr">
        <is>
          <t>NONE</t>
        </is>
      </c>
      <c r="AC1777" s="189" t="n">
        <v>0</v>
      </c>
      <c r="AD1777" s="189" t="n"/>
    </row>
    <row r="1778">
      <c r="A1778" s="189" t="inlineStr">
        <is>
          <t>TALOS_IP</t>
        </is>
      </c>
      <c r="B1778" s="189" t="inlineStr">
        <is>
          <t>37ffe76823f2</t>
        </is>
      </c>
      <c r="C1778" s="189" t="inlineStr">
        <is>
          <t>Cisco Talos Blacklisted IP: 1.24.16.127 | Verified malicious | Sources: TALOS</t>
        </is>
      </c>
      <c r="D1778" s="189" t="n">
        <v>7</v>
      </c>
      <c r="E1778" s="189" t="inlineStr">
        <is>
          <t>HIGH</t>
        </is>
      </c>
      <c r="F1778" s="189" t="n">
        <v>3</v>
      </c>
      <c r="G1778" s="189" t="n">
        <v>2</v>
      </c>
      <c r="H1778" s="189" t="inlineStr">
        <is>
          <t>HIGH</t>
        </is>
      </c>
      <c r="I1778" s="189" t="n">
        <v>13</v>
      </c>
      <c r="J1778" s="189" t="inlineStr">
        <is>
          <t>NO</t>
        </is>
      </c>
      <c r="K1778" s="190" t="inlineStr">
        <is>
          <t>https://talosintelligence.com/reputation_center/lookup?search=1.24.16.127</t>
        </is>
      </c>
      <c r="L1778" s="189" t="inlineStr">
        <is>
          <t>2026-02-23 23:48</t>
        </is>
      </c>
      <c r="M1778" s="189" t="inlineStr">
        <is>
          <t>Block IP</t>
        </is>
      </c>
      <c r="N1778" s="190" t="inlineStr">
        <is>
          <t>https://talosintelligence.com/reputation_center/lookup?search=1.24.16.127</t>
        </is>
      </c>
      <c r="O1778" s="189" t="inlineStr">
        <is>
          <t>Block IP 1.24.16.127 at firewall | Cisco Talos confirmed malicious</t>
        </is>
      </c>
      <c r="P1778" s="189" t="inlineStr">
        <is>
          <t>Network perimeter / Email / Web</t>
        </is>
      </c>
      <c r="Q1778" s="189" t="inlineStr">
        <is>
          <t>P3</t>
        </is>
      </c>
      <c r="R1778" s="189" t="inlineStr">
        <is>
          <t>🚫 Block IP at firewall immediately | 🔍 Check logs for existing connections | 🛡️ Add to threat intelligence blocklist</t>
        </is>
      </c>
      <c r="S1778" s="189" t="inlineStr">
        <is>
          <t>Check ip-api.com + AbuseIPDB for context</t>
        </is>
      </c>
      <c r="T1778" s="189" t="n">
        <v>0</v>
      </c>
      <c r="U1778" s="189" t="n">
        <v>0</v>
      </c>
      <c r="V1778" s="189" t="inlineStr">
        <is>
          <t>T1110:Brute Force | T1190:Exploit Public-Facing Application | T1566:Phishing</t>
        </is>
      </c>
      <c r="W1778" s="189" t="n">
        <v>1</v>
      </c>
      <c r="X1778" s="189" t="inlineStr">
        <is>
          <t>MEDIUM (60%)</t>
        </is>
      </c>
      <c r="Y1778" s="189" t="inlineStr">
        <is>
          <t>NONE</t>
        </is>
      </c>
      <c r="Z1778" s="189" t="inlineStr">
        <is>
          <t>NONE</t>
        </is>
      </c>
      <c r="AA1778" s="189" t="inlineStr">
        <is>
          <t>NONE</t>
        </is>
      </c>
      <c r="AB1778" s="189" t="inlineStr">
        <is>
          <t>NONE</t>
        </is>
      </c>
      <c r="AC1778" s="189" t="n">
        <v>0</v>
      </c>
      <c r="AD1778" s="189" t="n"/>
    </row>
    <row r="1779">
      <c r="A1779" s="189" t="inlineStr">
        <is>
          <t>TALOS_IP</t>
        </is>
      </c>
      <c r="B1779" s="189" t="inlineStr">
        <is>
          <t>44c315f73c73</t>
        </is>
      </c>
      <c r="C1779" s="189" t="inlineStr">
        <is>
          <t>Cisco Talos Blacklisted IP: 1.24.16.130 | Verified malicious | Sources: TALOS</t>
        </is>
      </c>
      <c r="D1779" s="189" t="n">
        <v>7</v>
      </c>
      <c r="E1779" s="189" t="inlineStr">
        <is>
          <t>HIGH</t>
        </is>
      </c>
      <c r="F1779" s="189" t="n">
        <v>3</v>
      </c>
      <c r="G1779" s="189" t="n">
        <v>2</v>
      </c>
      <c r="H1779" s="189" t="inlineStr">
        <is>
          <t>HIGH</t>
        </is>
      </c>
      <c r="I1779" s="189" t="n">
        <v>13</v>
      </c>
      <c r="J1779" s="189" t="inlineStr">
        <is>
          <t>NO</t>
        </is>
      </c>
      <c r="K1779" s="190" t="inlineStr">
        <is>
          <t>https://talosintelligence.com/reputation_center/lookup?search=1.24.16.130</t>
        </is>
      </c>
      <c r="L1779" s="189" t="inlineStr">
        <is>
          <t>2026-02-23 23:48</t>
        </is>
      </c>
      <c r="M1779" s="189" t="inlineStr">
        <is>
          <t>Block IP</t>
        </is>
      </c>
      <c r="N1779" s="190" t="inlineStr">
        <is>
          <t>https://talosintelligence.com/reputation_center/lookup?search=1.24.16.130</t>
        </is>
      </c>
      <c r="O1779" s="189" t="inlineStr">
        <is>
          <t>Block IP 1.24.16.130 at firewall | Cisco Talos confirmed malicious</t>
        </is>
      </c>
      <c r="P1779" s="189" t="inlineStr">
        <is>
          <t>Network perimeter / Email / Web</t>
        </is>
      </c>
      <c r="Q1779" s="189" t="inlineStr">
        <is>
          <t>P3</t>
        </is>
      </c>
      <c r="R1779" s="189" t="inlineStr">
        <is>
          <t>🚫 Block IP at firewall immediately | 🔍 Check logs for existing connections | 🛡️ Add to threat intelligence blocklist</t>
        </is>
      </c>
      <c r="S1779" s="189" t="inlineStr">
        <is>
          <t>Check ip-api.com + AbuseIPDB for context</t>
        </is>
      </c>
      <c r="T1779" s="189" t="n">
        <v>0</v>
      </c>
      <c r="U1779" s="189" t="n">
        <v>0</v>
      </c>
      <c r="V1779" s="189" t="inlineStr">
        <is>
          <t>T1110:Brute Force | T1190:Exploit Public-Facing Application | T1566:Phishing</t>
        </is>
      </c>
      <c r="W1779" s="189" t="n">
        <v>1</v>
      </c>
      <c r="X1779" s="189" t="inlineStr">
        <is>
          <t>MEDIUM (60%)</t>
        </is>
      </c>
      <c r="Y1779" s="189" t="inlineStr">
        <is>
          <t>NONE</t>
        </is>
      </c>
      <c r="Z1779" s="189" t="inlineStr">
        <is>
          <t>NONE</t>
        </is>
      </c>
      <c r="AA1779" s="189" t="inlineStr">
        <is>
          <t>NONE</t>
        </is>
      </c>
      <c r="AB1779" s="189" t="inlineStr">
        <is>
          <t>NONE</t>
        </is>
      </c>
      <c r="AC1779" s="189" t="n">
        <v>0</v>
      </c>
      <c r="AD1779" s="189" t="n"/>
    </row>
    <row r="1780">
      <c r="A1780" s="189" t="inlineStr">
        <is>
          <t>TALOS_IP</t>
        </is>
      </c>
      <c r="B1780" s="189" t="inlineStr">
        <is>
          <t>d42446050cad</t>
        </is>
      </c>
      <c r="C1780" s="189" t="inlineStr">
        <is>
          <t>Cisco Talos Blacklisted IP: 1.24.16.132 | Verified malicious | Sources: TALOS</t>
        </is>
      </c>
      <c r="D1780" s="189" t="n">
        <v>7</v>
      </c>
      <c r="E1780" s="189" t="inlineStr">
        <is>
          <t>HIGH</t>
        </is>
      </c>
      <c r="F1780" s="189" t="n">
        <v>3</v>
      </c>
      <c r="G1780" s="189" t="n">
        <v>2</v>
      </c>
      <c r="H1780" s="189" t="inlineStr">
        <is>
          <t>HIGH</t>
        </is>
      </c>
      <c r="I1780" s="189" t="n">
        <v>13</v>
      </c>
      <c r="J1780" s="189" t="inlineStr">
        <is>
          <t>NO</t>
        </is>
      </c>
      <c r="K1780" s="190" t="inlineStr">
        <is>
          <t>https://talosintelligence.com/reputation_center/lookup?search=1.24.16.132</t>
        </is>
      </c>
      <c r="L1780" s="189" t="inlineStr">
        <is>
          <t>2026-02-23 23:48</t>
        </is>
      </c>
      <c r="M1780" s="189" t="inlineStr">
        <is>
          <t>Block IP</t>
        </is>
      </c>
      <c r="N1780" s="190" t="inlineStr">
        <is>
          <t>https://talosintelligence.com/reputation_center/lookup?search=1.24.16.132</t>
        </is>
      </c>
      <c r="O1780" s="189" t="inlineStr">
        <is>
          <t>Block IP 1.24.16.132 at firewall | Cisco Talos confirmed malicious</t>
        </is>
      </c>
      <c r="P1780" s="189" t="inlineStr">
        <is>
          <t>Network perimeter / Email / Web</t>
        </is>
      </c>
      <c r="Q1780" s="189" t="inlineStr">
        <is>
          <t>P3</t>
        </is>
      </c>
      <c r="R1780" s="189" t="inlineStr">
        <is>
          <t>🚫 Block IP at firewall immediately | 🔍 Check logs for existing connections | 🛡️ Add to threat intelligence blocklist</t>
        </is>
      </c>
      <c r="S1780" s="189" t="inlineStr">
        <is>
          <t>Check ip-api.com + AbuseIPDB for context</t>
        </is>
      </c>
      <c r="T1780" s="189" t="n">
        <v>0</v>
      </c>
      <c r="U1780" s="189" t="n">
        <v>0</v>
      </c>
      <c r="V1780" s="189" t="inlineStr">
        <is>
          <t>T1110:Brute Force | T1190:Exploit Public-Facing Application | T1566:Phishing</t>
        </is>
      </c>
      <c r="W1780" s="189" t="n">
        <v>1</v>
      </c>
      <c r="X1780" s="189" t="inlineStr">
        <is>
          <t>MEDIUM (60%)</t>
        </is>
      </c>
      <c r="Y1780" s="189" t="inlineStr">
        <is>
          <t>NONE</t>
        </is>
      </c>
      <c r="Z1780" s="189" t="inlineStr">
        <is>
          <t>NONE</t>
        </is>
      </c>
      <c r="AA1780" s="189" t="inlineStr">
        <is>
          <t>NONE</t>
        </is>
      </c>
      <c r="AB1780" s="189" t="inlineStr">
        <is>
          <t>NONE</t>
        </is>
      </c>
      <c r="AC1780" s="189" t="n">
        <v>0</v>
      </c>
      <c r="AD1780" s="189" t="n"/>
    </row>
    <row r="1781">
      <c r="A1781" s="189" t="inlineStr">
        <is>
          <t>TALOS_IP</t>
        </is>
      </c>
      <c r="B1781" s="189" t="inlineStr">
        <is>
          <t>8da4d4448563</t>
        </is>
      </c>
      <c r="C1781" s="189" t="inlineStr">
        <is>
          <t>Cisco Talos Blacklisted IP: 1.24.16.143 | Verified malicious | Sources: TALOS</t>
        </is>
      </c>
      <c r="D1781" s="189" t="n">
        <v>7</v>
      </c>
      <c r="E1781" s="189" t="inlineStr">
        <is>
          <t>HIGH</t>
        </is>
      </c>
      <c r="F1781" s="189" t="n">
        <v>3</v>
      </c>
      <c r="G1781" s="189" t="n">
        <v>2</v>
      </c>
      <c r="H1781" s="189" t="inlineStr">
        <is>
          <t>HIGH</t>
        </is>
      </c>
      <c r="I1781" s="189" t="n">
        <v>13</v>
      </c>
      <c r="J1781" s="189" t="inlineStr">
        <is>
          <t>NO</t>
        </is>
      </c>
      <c r="K1781" s="190" t="inlineStr">
        <is>
          <t>https://talosintelligence.com/reputation_center/lookup?search=1.24.16.143</t>
        </is>
      </c>
      <c r="L1781" s="189" t="inlineStr">
        <is>
          <t>2026-02-23 23:48</t>
        </is>
      </c>
      <c r="M1781" s="189" t="inlineStr">
        <is>
          <t>Block IP</t>
        </is>
      </c>
      <c r="N1781" s="190" t="inlineStr">
        <is>
          <t>https://talosintelligence.com/reputation_center/lookup?search=1.24.16.143</t>
        </is>
      </c>
      <c r="O1781" s="189" t="inlineStr">
        <is>
          <t>Block IP 1.24.16.143 at firewall | Cisco Talos confirmed malicious</t>
        </is>
      </c>
      <c r="P1781" s="189" t="inlineStr">
        <is>
          <t>Network perimeter / Email / Web</t>
        </is>
      </c>
      <c r="Q1781" s="189" t="inlineStr">
        <is>
          <t>P3</t>
        </is>
      </c>
      <c r="R1781" s="189" t="inlineStr">
        <is>
          <t>🚫 Block IP at firewall immediately | 🔍 Check logs for existing connections | 🛡️ Add to threat intelligence blocklist</t>
        </is>
      </c>
      <c r="S1781" s="189" t="inlineStr">
        <is>
          <t>Check ip-api.com + AbuseIPDB for context</t>
        </is>
      </c>
      <c r="T1781" s="189" t="n">
        <v>0</v>
      </c>
      <c r="U1781" s="189" t="n">
        <v>0</v>
      </c>
      <c r="V1781" s="189" t="inlineStr">
        <is>
          <t>T1110:Brute Force | T1190:Exploit Public-Facing Application | T1566:Phishing</t>
        </is>
      </c>
      <c r="W1781" s="189" t="n">
        <v>1</v>
      </c>
      <c r="X1781" s="189" t="inlineStr">
        <is>
          <t>MEDIUM (60%)</t>
        </is>
      </c>
      <c r="Y1781" s="189" t="inlineStr">
        <is>
          <t>NONE</t>
        </is>
      </c>
      <c r="Z1781" s="189" t="inlineStr">
        <is>
          <t>NONE</t>
        </is>
      </c>
      <c r="AA1781" s="189" t="inlineStr">
        <is>
          <t>NONE</t>
        </is>
      </c>
      <c r="AB1781" s="189" t="inlineStr">
        <is>
          <t>NONE</t>
        </is>
      </c>
      <c r="AC1781" s="189" t="n">
        <v>0</v>
      </c>
      <c r="AD1781" s="189" t="n"/>
    </row>
    <row r="1782">
      <c r="A1782" s="189" t="inlineStr">
        <is>
          <t>TALOS_IP</t>
        </is>
      </c>
      <c r="B1782" s="189" t="inlineStr">
        <is>
          <t>e0945f150a44</t>
        </is>
      </c>
      <c r="C1782" s="189" t="inlineStr">
        <is>
          <t>Cisco Talos Blacklisted IP: 1.24.16.146 | Verified malicious | Sources: TALOS</t>
        </is>
      </c>
      <c r="D1782" s="189" t="n">
        <v>7</v>
      </c>
      <c r="E1782" s="189" t="inlineStr">
        <is>
          <t>HIGH</t>
        </is>
      </c>
      <c r="F1782" s="189" t="n">
        <v>3</v>
      </c>
      <c r="G1782" s="189" t="n">
        <v>2</v>
      </c>
      <c r="H1782" s="189" t="inlineStr">
        <is>
          <t>HIGH</t>
        </is>
      </c>
      <c r="I1782" s="189" t="n">
        <v>13</v>
      </c>
      <c r="J1782" s="189" t="inlineStr">
        <is>
          <t>NO</t>
        </is>
      </c>
      <c r="K1782" s="190" t="inlineStr">
        <is>
          <t>https://talosintelligence.com/reputation_center/lookup?search=1.24.16.146</t>
        </is>
      </c>
      <c r="L1782" s="189" t="inlineStr">
        <is>
          <t>2026-02-23 23:48</t>
        </is>
      </c>
      <c r="M1782" s="189" t="inlineStr">
        <is>
          <t>Block IP</t>
        </is>
      </c>
      <c r="N1782" s="190" t="inlineStr">
        <is>
          <t>https://talosintelligence.com/reputation_center/lookup?search=1.24.16.146</t>
        </is>
      </c>
      <c r="O1782" s="189" t="inlineStr">
        <is>
          <t>Block IP 1.24.16.146 at firewall | Cisco Talos confirmed malicious</t>
        </is>
      </c>
      <c r="P1782" s="189" t="inlineStr">
        <is>
          <t>Network perimeter / Email / Web</t>
        </is>
      </c>
      <c r="Q1782" s="189" t="inlineStr">
        <is>
          <t>P3</t>
        </is>
      </c>
      <c r="R1782" s="189" t="inlineStr">
        <is>
          <t>🚫 Block IP at firewall immediately | 🔍 Check logs for existing connections | 🛡️ Add to threat intelligence blocklist</t>
        </is>
      </c>
      <c r="S1782" s="189" t="inlineStr">
        <is>
          <t>Check ip-api.com + AbuseIPDB for context</t>
        </is>
      </c>
      <c r="T1782" s="189" t="n">
        <v>0</v>
      </c>
      <c r="U1782" s="189" t="n">
        <v>0</v>
      </c>
      <c r="V1782" s="189" t="inlineStr">
        <is>
          <t>T1110:Brute Force | T1190:Exploit Public-Facing Application | T1566:Phishing</t>
        </is>
      </c>
      <c r="W1782" s="189" t="n">
        <v>1</v>
      </c>
      <c r="X1782" s="189" t="inlineStr">
        <is>
          <t>MEDIUM (60%)</t>
        </is>
      </c>
      <c r="Y1782" s="189" t="inlineStr">
        <is>
          <t>NONE</t>
        </is>
      </c>
      <c r="Z1782" s="189" t="inlineStr">
        <is>
          <t>NONE</t>
        </is>
      </c>
      <c r="AA1782" s="189" t="inlineStr">
        <is>
          <t>NONE</t>
        </is>
      </c>
      <c r="AB1782" s="189" t="inlineStr">
        <is>
          <t>NONE</t>
        </is>
      </c>
      <c r="AC1782" s="189" t="n">
        <v>0</v>
      </c>
      <c r="AD1782" s="189" t="n"/>
    </row>
    <row r="1783">
      <c r="A1783" s="189" t="inlineStr">
        <is>
          <t>TALOS_IP</t>
        </is>
      </c>
      <c r="B1783" s="189" t="inlineStr">
        <is>
          <t>39f054cc3ecd</t>
        </is>
      </c>
      <c r="C1783" s="189" t="inlineStr">
        <is>
          <t>Cisco Talos Blacklisted IP: 1.24.16.147 | Verified malicious | Sources: TALOS</t>
        </is>
      </c>
      <c r="D1783" s="189" t="n">
        <v>7</v>
      </c>
      <c r="E1783" s="189" t="inlineStr">
        <is>
          <t>HIGH</t>
        </is>
      </c>
      <c r="F1783" s="189" t="n">
        <v>3</v>
      </c>
      <c r="G1783" s="189" t="n">
        <v>2</v>
      </c>
      <c r="H1783" s="189" t="inlineStr">
        <is>
          <t>HIGH</t>
        </is>
      </c>
      <c r="I1783" s="189" t="n">
        <v>13</v>
      </c>
      <c r="J1783" s="189" t="inlineStr">
        <is>
          <t>NO</t>
        </is>
      </c>
      <c r="K1783" s="190" t="inlineStr">
        <is>
          <t>https://talosintelligence.com/reputation_center/lookup?search=1.24.16.147</t>
        </is>
      </c>
      <c r="L1783" s="189" t="inlineStr">
        <is>
          <t>2026-02-23 23:48</t>
        </is>
      </c>
      <c r="M1783" s="189" t="inlineStr">
        <is>
          <t>Block IP</t>
        </is>
      </c>
      <c r="N1783" s="190" t="inlineStr">
        <is>
          <t>https://talosintelligence.com/reputation_center/lookup?search=1.24.16.147</t>
        </is>
      </c>
      <c r="O1783" s="189" t="inlineStr">
        <is>
          <t>Block IP 1.24.16.147 at firewall | Cisco Talos confirmed malicious</t>
        </is>
      </c>
      <c r="P1783" s="189" t="inlineStr">
        <is>
          <t>Network perimeter / Email / Web</t>
        </is>
      </c>
      <c r="Q1783" s="189" t="inlineStr">
        <is>
          <t>P3</t>
        </is>
      </c>
      <c r="R1783" s="189" t="inlineStr">
        <is>
          <t>🚫 Block IP at firewall immediately | 🔍 Check logs for existing connections | 🛡️ Add to threat intelligence blocklist</t>
        </is>
      </c>
      <c r="S1783" s="189" t="inlineStr">
        <is>
          <t>Check ip-api.com + AbuseIPDB for context</t>
        </is>
      </c>
      <c r="T1783" s="189" t="n">
        <v>0</v>
      </c>
      <c r="U1783" s="189" t="n">
        <v>0</v>
      </c>
      <c r="V1783" s="189" t="inlineStr">
        <is>
          <t>T1110:Brute Force | T1190:Exploit Public-Facing Application | T1566:Phishing</t>
        </is>
      </c>
      <c r="W1783" s="189" t="n">
        <v>1</v>
      </c>
      <c r="X1783" s="189" t="inlineStr">
        <is>
          <t>MEDIUM (60%)</t>
        </is>
      </c>
      <c r="Y1783" s="189" t="inlineStr">
        <is>
          <t>NONE</t>
        </is>
      </c>
      <c r="Z1783" s="189" t="inlineStr">
        <is>
          <t>NONE</t>
        </is>
      </c>
      <c r="AA1783" s="189" t="inlineStr">
        <is>
          <t>NONE</t>
        </is>
      </c>
      <c r="AB1783" s="189" t="inlineStr">
        <is>
          <t>NONE</t>
        </is>
      </c>
      <c r="AC1783" s="189" t="n">
        <v>0</v>
      </c>
      <c r="AD1783" s="189" t="n"/>
    </row>
    <row r="1784">
      <c r="A1784" s="189" t="inlineStr">
        <is>
          <t>TALOS_IP</t>
        </is>
      </c>
      <c r="B1784" s="189" t="inlineStr">
        <is>
          <t>08a826a5175d</t>
        </is>
      </c>
      <c r="C1784" s="189" t="inlineStr">
        <is>
          <t>Cisco Talos Blacklisted IP: 1.24.16.148 | Verified malicious | Sources: TALOS</t>
        </is>
      </c>
      <c r="D1784" s="189" t="n">
        <v>7</v>
      </c>
      <c r="E1784" s="189" t="inlineStr">
        <is>
          <t>HIGH</t>
        </is>
      </c>
      <c r="F1784" s="189" t="n">
        <v>3</v>
      </c>
      <c r="G1784" s="189" t="n">
        <v>2</v>
      </c>
      <c r="H1784" s="189" t="inlineStr">
        <is>
          <t>HIGH</t>
        </is>
      </c>
      <c r="I1784" s="189" t="n">
        <v>13</v>
      </c>
      <c r="J1784" s="189" t="inlineStr">
        <is>
          <t>NO</t>
        </is>
      </c>
      <c r="K1784" s="190" t="inlineStr">
        <is>
          <t>https://talosintelligence.com/reputation_center/lookup?search=1.24.16.148</t>
        </is>
      </c>
      <c r="L1784" s="189" t="inlineStr">
        <is>
          <t>2026-02-23 23:48</t>
        </is>
      </c>
      <c r="M1784" s="189" t="inlineStr">
        <is>
          <t>Block IP</t>
        </is>
      </c>
      <c r="N1784" s="190" t="inlineStr">
        <is>
          <t>https://talosintelligence.com/reputation_center/lookup?search=1.24.16.148</t>
        </is>
      </c>
      <c r="O1784" s="189" t="inlineStr">
        <is>
          <t>Block IP 1.24.16.148 at firewall | Cisco Talos confirmed malicious</t>
        </is>
      </c>
      <c r="P1784" s="189" t="inlineStr">
        <is>
          <t>Network perimeter / Email / Web</t>
        </is>
      </c>
      <c r="Q1784" s="189" t="inlineStr">
        <is>
          <t>P3</t>
        </is>
      </c>
      <c r="R1784" s="189" t="inlineStr">
        <is>
          <t>🚫 Block IP at firewall immediately | 🔍 Check logs for existing connections | 🛡️ Add to threat intelligence blocklist</t>
        </is>
      </c>
      <c r="S1784" s="189" t="inlineStr">
        <is>
          <t>Check ip-api.com + AbuseIPDB for context</t>
        </is>
      </c>
      <c r="T1784" s="189" t="n">
        <v>0</v>
      </c>
      <c r="U1784" s="189" t="n">
        <v>0</v>
      </c>
      <c r="V1784" s="189" t="inlineStr">
        <is>
          <t>T1110:Brute Force | T1190:Exploit Public-Facing Application | T1566:Phishing</t>
        </is>
      </c>
      <c r="W1784" s="189" t="n">
        <v>1</v>
      </c>
      <c r="X1784" s="189" t="inlineStr">
        <is>
          <t>MEDIUM (60%)</t>
        </is>
      </c>
      <c r="Y1784" s="189" t="inlineStr">
        <is>
          <t>NONE</t>
        </is>
      </c>
      <c r="Z1784" s="189" t="inlineStr">
        <is>
          <t>NONE</t>
        </is>
      </c>
      <c r="AA1784" s="189" t="inlineStr">
        <is>
          <t>NONE</t>
        </is>
      </c>
      <c r="AB1784" s="189" t="inlineStr">
        <is>
          <t>NONE</t>
        </is>
      </c>
      <c r="AC1784" s="189" t="n">
        <v>0</v>
      </c>
      <c r="AD1784" s="189" t="n"/>
    </row>
    <row r="1785">
      <c r="A1785" s="189" t="inlineStr">
        <is>
          <t>TALOS_IP</t>
        </is>
      </c>
      <c r="B1785" s="189" t="inlineStr">
        <is>
          <t>b15bae32054c</t>
        </is>
      </c>
      <c r="C1785" s="189" t="inlineStr">
        <is>
          <t>Cisco Talos Blacklisted IP: 1.24.16.149 | Verified malicious | Sources: TALOS</t>
        </is>
      </c>
      <c r="D1785" s="189" t="n">
        <v>7</v>
      </c>
      <c r="E1785" s="189" t="inlineStr">
        <is>
          <t>HIGH</t>
        </is>
      </c>
      <c r="F1785" s="189" t="n">
        <v>3</v>
      </c>
      <c r="G1785" s="189" t="n">
        <v>2</v>
      </c>
      <c r="H1785" s="189" t="inlineStr">
        <is>
          <t>HIGH</t>
        </is>
      </c>
      <c r="I1785" s="189" t="n">
        <v>13</v>
      </c>
      <c r="J1785" s="189" t="inlineStr">
        <is>
          <t>NO</t>
        </is>
      </c>
      <c r="K1785" s="190" t="inlineStr">
        <is>
          <t>https://talosintelligence.com/reputation_center/lookup?search=1.24.16.149</t>
        </is>
      </c>
      <c r="L1785" s="189" t="inlineStr">
        <is>
          <t>2026-02-23 23:48</t>
        </is>
      </c>
      <c r="M1785" s="189" t="inlineStr">
        <is>
          <t>Block IP</t>
        </is>
      </c>
      <c r="N1785" s="190" t="inlineStr">
        <is>
          <t>https://talosintelligence.com/reputation_center/lookup?search=1.24.16.149</t>
        </is>
      </c>
      <c r="O1785" s="189" t="inlineStr">
        <is>
          <t>Block IP 1.24.16.149 at firewall | Cisco Talos confirmed malicious</t>
        </is>
      </c>
      <c r="P1785" s="189" t="inlineStr">
        <is>
          <t>Network perimeter / Email / Web</t>
        </is>
      </c>
      <c r="Q1785" s="189" t="inlineStr">
        <is>
          <t>P3</t>
        </is>
      </c>
      <c r="R1785" s="189" t="inlineStr">
        <is>
          <t>🚫 Block IP at firewall immediately | 🔍 Check logs for existing connections | 🛡️ Add to threat intelligence blocklist</t>
        </is>
      </c>
      <c r="S1785" s="189" t="inlineStr">
        <is>
          <t>Check ip-api.com + AbuseIPDB for context</t>
        </is>
      </c>
      <c r="T1785" s="189" t="n">
        <v>0</v>
      </c>
      <c r="U1785" s="189" t="n">
        <v>0</v>
      </c>
      <c r="V1785" s="189" t="inlineStr">
        <is>
          <t>T1110:Brute Force | T1190:Exploit Public-Facing Application | T1566:Phishing</t>
        </is>
      </c>
      <c r="W1785" s="189" t="n">
        <v>1</v>
      </c>
      <c r="X1785" s="189" t="inlineStr">
        <is>
          <t>MEDIUM (60%)</t>
        </is>
      </c>
      <c r="Y1785" s="189" t="inlineStr">
        <is>
          <t>NONE</t>
        </is>
      </c>
      <c r="Z1785" s="189" t="inlineStr">
        <is>
          <t>NONE</t>
        </is>
      </c>
      <c r="AA1785" s="189" t="inlineStr">
        <is>
          <t>NONE</t>
        </is>
      </c>
      <c r="AB1785" s="189" t="inlineStr">
        <is>
          <t>NONE</t>
        </is>
      </c>
      <c r="AC1785" s="189" t="n">
        <v>0</v>
      </c>
      <c r="AD1785" s="189" t="n"/>
    </row>
    <row r="1786">
      <c r="A1786" s="189" t="inlineStr">
        <is>
          <t>TALOS_IP</t>
        </is>
      </c>
      <c r="B1786" s="189" t="inlineStr">
        <is>
          <t>0ae1e8a715e3</t>
        </is>
      </c>
      <c r="C1786" s="189" t="inlineStr">
        <is>
          <t>Cisco Talos Blacklisted IP: 1.24.16.15 | Verified malicious | Sources: TALOS</t>
        </is>
      </c>
      <c r="D1786" s="189" t="n">
        <v>7</v>
      </c>
      <c r="E1786" s="189" t="inlineStr">
        <is>
          <t>HIGH</t>
        </is>
      </c>
      <c r="F1786" s="189" t="n">
        <v>3</v>
      </c>
      <c r="G1786" s="189" t="n">
        <v>2</v>
      </c>
      <c r="H1786" s="189" t="inlineStr">
        <is>
          <t>HIGH</t>
        </is>
      </c>
      <c r="I1786" s="189" t="n">
        <v>13</v>
      </c>
      <c r="J1786" s="189" t="inlineStr">
        <is>
          <t>NO</t>
        </is>
      </c>
      <c r="K1786" s="190" t="inlineStr">
        <is>
          <t>https://talosintelligence.com/reputation_center/lookup?search=1.24.16.15</t>
        </is>
      </c>
      <c r="L1786" s="189" t="inlineStr">
        <is>
          <t>2026-02-23 23:48</t>
        </is>
      </c>
      <c r="M1786" s="189" t="inlineStr">
        <is>
          <t>Block IP</t>
        </is>
      </c>
      <c r="N1786" s="190" t="inlineStr">
        <is>
          <t>https://talosintelligence.com/reputation_center/lookup?search=1.24.16.15</t>
        </is>
      </c>
      <c r="O1786" s="189" t="inlineStr">
        <is>
          <t>Block IP 1.24.16.15 at firewall | Cisco Talos confirmed malicious</t>
        </is>
      </c>
      <c r="P1786" s="189" t="inlineStr">
        <is>
          <t>Network perimeter / Email / Web</t>
        </is>
      </c>
      <c r="Q1786" s="189" t="inlineStr">
        <is>
          <t>P3</t>
        </is>
      </c>
      <c r="R1786" s="189" t="inlineStr">
        <is>
          <t>🚫 Block IP at firewall immediately | 🔍 Check logs for existing connections | 🛡️ Add to threat intelligence blocklist</t>
        </is>
      </c>
      <c r="S1786" s="189" t="inlineStr">
        <is>
          <t>Check ip-api.com + AbuseIPDB for context</t>
        </is>
      </c>
      <c r="T1786" s="189" t="n">
        <v>0</v>
      </c>
      <c r="U1786" s="189" t="n">
        <v>0</v>
      </c>
      <c r="V1786" s="189" t="inlineStr">
        <is>
          <t>T1110:Brute Force | T1190:Exploit Public-Facing Application | T1566:Phishing</t>
        </is>
      </c>
      <c r="W1786" s="189" t="n">
        <v>1</v>
      </c>
      <c r="X1786" s="189" t="inlineStr">
        <is>
          <t>MEDIUM (60%)</t>
        </is>
      </c>
      <c r="Y1786" s="189" t="inlineStr">
        <is>
          <t>NONE</t>
        </is>
      </c>
      <c r="Z1786" s="189" t="inlineStr">
        <is>
          <t>NONE</t>
        </is>
      </c>
      <c r="AA1786" s="189" t="inlineStr">
        <is>
          <t>NONE</t>
        </is>
      </c>
      <c r="AB1786" s="189" t="inlineStr">
        <is>
          <t>NONE</t>
        </is>
      </c>
      <c r="AC1786" s="189" t="n">
        <v>0</v>
      </c>
      <c r="AD1786" s="189" t="n"/>
    </row>
    <row r="1787">
      <c r="A1787" s="189" t="inlineStr">
        <is>
          <t>TALOS_IP</t>
        </is>
      </c>
      <c r="B1787" s="189" t="inlineStr">
        <is>
          <t>39618ac9f046</t>
        </is>
      </c>
      <c r="C1787" s="189" t="inlineStr">
        <is>
          <t>Cisco Talos Blacklisted IP: 1.24.16.152 | Verified malicious | Sources: TALOS</t>
        </is>
      </c>
      <c r="D1787" s="189" t="n">
        <v>7</v>
      </c>
      <c r="E1787" s="189" t="inlineStr">
        <is>
          <t>HIGH</t>
        </is>
      </c>
      <c r="F1787" s="189" t="n">
        <v>3</v>
      </c>
      <c r="G1787" s="189" t="n">
        <v>2</v>
      </c>
      <c r="H1787" s="189" t="inlineStr">
        <is>
          <t>HIGH</t>
        </is>
      </c>
      <c r="I1787" s="189" t="n">
        <v>13</v>
      </c>
      <c r="J1787" s="189" t="inlineStr">
        <is>
          <t>NO</t>
        </is>
      </c>
      <c r="K1787" s="190" t="inlineStr">
        <is>
          <t>https://talosintelligence.com/reputation_center/lookup?search=1.24.16.152</t>
        </is>
      </c>
      <c r="L1787" s="189" t="inlineStr">
        <is>
          <t>2026-02-23 23:48</t>
        </is>
      </c>
      <c r="M1787" s="189" t="inlineStr">
        <is>
          <t>Block IP</t>
        </is>
      </c>
      <c r="N1787" s="190" t="inlineStr">
        <is>
          <t>https://talosintelligence.com/reputation_center/lookup?search=1.24.16.152</t>
        </is>
      </c>
      <c r="O1787" s="189" t="inlineStr">
        <is>
          <t>Block IP 1.24.16.152 at firewall | Cisco Talos confirmed malicious</t>
        </is>
      </c>
      <c r="P1787" s="189" t="inlineStr">
        <is>
          <t>Network perimeter / Email / Web</t>
        </is>
      </c>
      <c r="Q1787" s="189" t="inlineStr">
        <is>
          <t>P3</t>
        </is>
      </c>
      <c r="R1787" s="189" t="inlineStr">
        <is>
          <t>🚫 Block IP at firewall immediately | 🔍 Check logs for existing connections | 🛡️ Add to threat intelligence blocklist</t>
        </is>
      </c>
      <c r="S1787" s="189" t="inlineStr">
        <is>
          <t>Check ip-api.com + AbuseIPDB for context</t>
        </is>
      </c>
      <c r="T1787" s="189" t="n">
        <v>0</v>
      </c>
      <c r="U1787" s="189" t="n">
        <v>0</v>
      </c>
      <c r="V1787" s="189" t="inlineStr">
        <is>
          <t>T1110:Brute Force | T1190:Exploit Public-Facing Application | T1566:Phishing</t>
        </is>
      </c>
      <c r="W1787" s="189" t="n">
        <v>1</v>
      </c>
      <c r="X1787" s="189" t="inlineStr">
        <is>
          <t>MEDIUM (60%)</t>
        </is>
      </c>
      <c r="Y1787" s="189" t="inlineStr">
        <is>
          <t>NONE</t>
        </is>
      </c>
      <c r="Z1787" s="189" t="inlineStr">
        <is>
          <t>NONE</t>
        </is>
      </c>
      <c r="AA1787" s="189" t="inlineStr">
        <is>
          <t>NONE</t>
        </is>
      </c>
      <c r="AB1787" s="189" t="inlineStr">
        <is>
          <t>NONE</t>
        </is>
      </c>
      <c r="AC1787" s="189" t="n">
        <v>0</v>
      </c>
      <c r="AD1787" s="189" t="n"/>
    </row>
    <row r="1788">
      <c r="A1788" s="189" t="inlineStr">
        <is>
          <t>TALOS_IP</t>
        </is>
      </c>
      <c r="B1788" s="189" t="inlineStr">
        <is>
          <t>9bde7a56c487</t>
        </is>
      </c>
      <c r="C1788" s="189" t="inlineStr">
        <is>
          <t>Cisco Talos Blacklisted IP: 1.24.16.159 | Verified malicious | Sources: TALOS</t>
        </is>
      </c>
      <c r="D1788" s="189" t="n">
        <v>7</v>
      </c>
      <c r="E1788" s="189" t="inlineStr">
        <is>
          <t>HIGH</t>
        </is>
      </c>
      <c r="F1788" s="189" t="n">
        <v>3</v>
      </c>
      <c r="G1788" s="189" t="n">
        <v>2</v>
      </c>
      <c r="H1788" s="189" t="inlineStr">
        <is>
          <t>HIGH</t>
        </is>
      </c>
      <c r="I1788" s="189" t="n">
        <v>13</v>
      </c>
      <c r="J1788" s="189" t="inlineStr">
        <is>
          <t>NO</t>
        </is>
      </c>
      <c r="K1788" s="190" t="inlineStr">
        <is>
          <t>https://talosintelligence.com/reputation_center/lookup?search=1.24.16.159</t>
        </is>
      </c>
      <c r="L1788" s="189" t="inlineStr">
        <is>
          <t>2026-02-23 23:48</t>
        </is>
      </c>
      <c r="M1788" s="189" t="inlineStr">
        <is>
          <t>Block IP</t>
        </is>
      </c>
      <c r="N1788" s="190" t="inlineStr">
        <is>
          <t>https://talosintelligence.com/reputation_center/lookup?search=1.24.16.159</t>
        </is>
      </c>
      <c r="O1788" s="189" t="inlineStr">
        <is>
          <t>Block IP 1.24.16.159 at firewall | Cisco Talos confirmed malicious</t>
        </is>
      </c>
      <c r="P1788" s="189" t="inlineStr">
        <is>
          <t>Network perimeter / Email / Web</t>
        </is>
      </c>
      <c r="Q1788" s="189" t="inlineStr">
        <is>
          <t>P3</t>
        </is>
      </c>
      <c r="R1788" s="189" t="inlineStr">
        <is>
          <t>🚫 Block IP at firewall immediately | 🔍 Check logs for existing connections | 🛡️ Add to threat intelligence blocklist</t>
        </is>
      </c>
      <c r="S1788" s="189" t="inlineStr">
        <is>
          <t>Check ip-api.com + AbuseIPDB for context</t>
        </is>
      </c>
      <c r="T1788" s="189" t="n">
        <v>0</v>
      </c>
      <c r="U1788" s="189" t="n">
        <v>0</v>
      </c>
      <c r="V1788" s="189" t="inlineStr">
        <is>
          <t>T1110:Brute Force | T1190:Exploit Public-Facing Application | T1566:Phishing</t>
        </is>
      </c>
      <c r="W1788" s="189" t="n">
        <v>1</v>
      </c>
      <c r="X1788" s="189" t="inlineStr">
        <is>
          <t>MEDIUM (60%)</t>
        </is>
      </c>
      <c r="Y1788" s="189" t="inlineStr">
        <is>
          <t>NONE</t>
        </is>
      </c>
      <c r="Z1788" s="189" t="inlineStr">
        <is>
          <t>NONE</t>
        </is>
      </c>
      <c r="AA1788" s="189" t="inlineStr">
        <is>
          <t>NONE</t>
        </is>
      </c>
      <c r="AB1788" s="189" t="inlineStr">
        <is>
          <t>NONE</t>
        </is>
      </c>
      <c r="AC1788" s="189" t="n">
        <v>0</v>
      </c>
      <c r="AD1788" s="189" t="n"/>
    </row>
    <row r="1789">
      <c r="A1789" s="189" t="inlineStr">
        <is>
          <t>TALOS_IP</t>
        </is>
      </c>
      <c r="B1789" s="189" t="inlineStr">
        <is>
          <t>3504175bba14</t>
        </is>
      </c>
      <c r="C1789" s="189" t="inlineStr">
        <is>
          <t>Cisco Talos Blacklisted IP: 1.24.16.161 | Verified malicious | Sources: TALOS</t>
        </is>
      </c>
      <c r="D1789" s="189" t="n">
        <v>7</v>
      </c>
      <c r="E1789" s="189" t="inlineStr">
        <is>
          <t>HIGH</t>
        </is>
      </c>
      <c r="F1789" s="189" t="n">
        <v>3</v>
      </c>
      <c r="G1789" s="189" t="n">
        <v>2</v>
      </c>
      <c r="H1789" s="189" t="inlineStr">
        <is>
          <t>HIGH</t>
        </is>
      </c>
      <c r="I1789" s="189" t="n">
        <v>13</v>
      </c>
      <c r="J1789" s="189" t="inlineStr">
        <is>
          <t>NO</t>
        </is>
      </c>
      <c r="K1789" s="190" t="inlineStr">
        <is>
          <t>https://talosintelligence.com/reputation_center/lookup?search=1.24.16.161</t>
        </is>
      </c>
      <c r="L1789" s="189" t="inlineStr">
        <is>
          <t>2026-02-23 23:48</t>
        </is>
      </c>
      <c r="M1789" s="189" t="inlineStr">
        <is>
          <t>Block IP</t>
        </is>
      </c>
      <c r="N1789" s="190" t="inlineStr">
        <is>
          <t>https://talosintelligence.com/reputation_center/lookup?search=1.24.16.161</t>
        </is>
      </c>
      <c r="O1789" s="189" t="inlineStr">
        <is>
          <t>Block IP 1.24.16.161 at firewall | Cisco Talos confirmed malicious</t>
        </is>
      </c>
      <c r="P1789" s="189" t="inlineStr">
        <is>
          <t>Network perimeter / Email / Web</t>
        </is>
      </c>
      <c r="Q1789" s="189" t="inlineStr">
        <is>
          <t>P3</t>
        </is>
      </c>
      <c r="R1789" s="189" t="inlineStr">
        <is>
          <t>🚫 Block IP at firewall immediately | 🔍 Check logs for existing connections | 🛡️ Add to threat intelligence blocklist</t>
        </is>
      </c>
      <c r="S1789" s="189" t="inlineStr">
        <is>
          <t>Check ip-api.com + AbuseIPDB for context</t>
        </is>
      </c>
      <c r="T1789" s="189" t="n">
        <v>0</v>
      </c>
      <c r="U1789" s="189" t="n">
        <v>0</v>
      </c>
      <c r="V1789" s="189" t="inlineStr">
        <is>
          <t>T1110:Brute Force | T1190:Exploit Public-Facing Application | T1566:Phishing</t>
        </is>
      </c>
      <c r="W1789" s="189" t="n">
        <v>1</v>
      </c>
      <c r="X1789" s="189" t="inlineStr">
        <is>
          <t>MEDIUM (60%)</t>
        </is>
      </c>
      <c r="Y1789" s="189" t="inlineStr">
        <is>
          <t>NONE</t>
        </is>
      </c>
      <c r="Z1789" s="189" t="inlineStr">
        <is>
          <t>NONE</t>
        </is>
      </c>
      <c r="AA1789" s="189" t="inlineStr">
        <is>
          <t>NONE</t>
        </is>
      </c>
      <c r="AB1789" s="189" t="inlineStr">
        <is>
          <t>NONE</t>
        </is>
      </c>
      <c r="AC1789" s="189" t="n">
        <v>0</v>
      </c>
      <c r="AD1789" s="189" t="n"/>
    </row>
    <row r="1790">
      <c r="A1790" s="189" t="inlineStr">
        <is>
          <t>TALOS_IP</t>
        </is>
      </c>
      <c r="B1790" s="189" t="inlineStr">
        <is>
          <t>5711df958d2c</t>
        </is>
      </c>
      <c r="C1790" s="189" t="inlineStr">
        <is>
          <t>Cisco Talos Blacklisted IP: 1.24.16.163 | Verified malicious | Sources: TALOS</t>
        </is>
      </c>
      <c r="D1790" s="189" t="n">
        <v>7</v>
      </c>
      <c r="E1790" s="189" t="inlineStr">
        <is>
          <t>HIGH</t>
        </is>
      </c>
      <c r="F1790" s="189" t="n">
        <v>3</v>
      </c>
      <c r="G1790" s="189" t="n">
        <v>2</v>
      </c>
      <c r="H1790" s="189" t="inlineStr">
        <is>
          <t>HIGH</t>
        </is>
      </c>
      <c r="I1790" s="189" t="n">
        <v>13</v>
      </c>
      <c r="J1790" s="189" t="inlineStr">
        <is>
          <t>NO</t>
        </is>
      </c>
      <c r="K1790" s="190" t="inlineStr">
        <is>
          <t>https://talosintelligence.com/reputation_center/lookup?search=1.24.16.163</t>
        </is>
      </c>
      <c r="L1790" s="189" t="inlineStr">
        <is>
          <t>2026-02-23 23:48</t>
        </is>
      </c>
      <c r="M1790" s="189" t="inlineStr">
        <is>
          <t>Block IP</t>
        </is>
      </c>
      <c r="N1790" s="190" t="inlineStr">
        <is>
          <t>https://talosintelligence.com/reputation_center/lookup?search=1.24.16.163</t>
        </is>
      </c>
      <c r="O1790" s="189" t="inlineStr">
        <is>
          <t>Block IP 1.24.16.163 at firewall | Cisco Talos confirmed malicious</t>
        </is>
      </c>
      <c r="P1790" s="189" t="inlineStr">
        <is>
          <t>Network perimeter / Email / Web</t>
        </is>
      </c>
      <c r="Q1790" s="189" t="inlineStr">
        <is>
          <t>P3</t>
        </is>
      </c>
      <c r="R1790" s="189" t="inlineStr">
        <is>
          <t>🚫 Block IP at firewall immediately | 🔍 Check logs for existing connections | 🛡️ Add to threat intelligence blocklist</t>
        </is>
      </c>
      <c r="S1790" s="189" t="inlineStr">
        <is>
          <t>Check ip-api.com + AbuseIPDB for context</t>
        </is>
      </c>
      <c r="T1790" s="189" t="n">
        <v>0</v>
      </c>
      <c r="U1790" s="189" t="n">
        <v>0</v>
      </c>
      <c r="V1790" s="189" t="inlineStr">
        <is>
          <t>T1110:Brute Force | T1190:Exploit Public-Facing Application | T1566:Phishing</t>
        </is>
      </c>
      <c r="W1790" s="189" t="n">
        <v>1</v>
      </c>
      <c r="X1790" s="189" t="inlineStr">
        <is>
          <t>MEDIUM (60%)</t>
        </is>
      </c>
      <c r="Y1790" s="189" t="inlineStr">
        <is>
          <t>NONE</t>
        </is>
      </c>
      <c r="Z1790" s="189" t="inlineStr">
        <is>
          <t>NONE</t>
        </is>
      </c>
      <c r="AA1790" s="189" t="inlineStr">
        <is>
          <t>NONE</t>
        </is>
      </c>
      <c r="AB1790" s="189" t="inlineStr">
        <is>
          <t>NONE</t>
        </is>
      </c>
      <c r="AC1790" s="189" t="n">
        <v>0</v>
      </c>
      <c r="AD1790" s="189" t="n"/>
    </row>
    <row r="1791">
      <c r="A1791" s="189" t="inlineStr">
        <is>
          <t>TALOS_IP</t>
        </is>
      </c>
      <c r="B1791" s="189" t="inlineStr">
        <is>
          <t>cfbbfa6538bf</t>
        </is>
      </c>
      <c r="C1791" s="189" t="inlineStr">
        <is>
          <t>Cisco Talos Blacklisted IP: 1.24.16.170 | Verified malicious | Sources: TALOS</t>
        </is>
      </c>
      <c r="D1791" s="189" t="n">
        <v>7</v>
      </c>
      <c r="E1791" s="189" t="inlineStr">
        <is>
          <t>HIGH</t>
        </is>
      </c>
      <c r="F1791" s="189" t="n">
        <v>3</v>
      </c>
      <c r="G1791" s="189" t="n">
        <v>2</v>
      </c>
      <c r="H1791" s="189" t="inlineStr">
        <is>
          <t>HIGH</t>
        </is>
      </c>
      <c r="I1791" s="189" t="n">
        <v>13</v>
      </c>
      <c r="J1791" s="189" t="inlineStr">
        <is>
          <t>NO</t>
        </is>
      </c>
      <c r="K1791" s="190" t="inlineStr">
        <is>
          <t>https://talosintelligence.com/reputation_center/lookup?search=1.24.16.170</t>
        </is>
      </c>
      <c r="L1791" s="189" t="inlineStr">
        <is>
          <t>2026-02-23 23:48</t>
        </is>
      </c>
      <c r="M1791" s="189" t="inlineStr">
        <is>
          <t>Block IP</t>
        </is>
      </c>
      <c r="N1791" s="190" t="inlineStr">
        <is>
          <t>https://talosintelligence.com/reputation_center/lookup?search=1.24.16.170</t>
        </is>
      </c>
      <c r="O1791" s="189" t="inlineStr">
        <is>
          <t>Block IP 1.24.16.170 at firewall | Cisco Talos confirmed malicious</t>
        </is>
      </c>
      <c r="P1791" s="189" t="inlineStr">
        <is>
          <t>Network perimeter / Email / Web</t>
        </is>
      </c>
      <c r="Q1791" s="189" t="inlineStr">
        <is>
          <t>P3</t>
        </is>
      </c>
      <c r="R1791" s="189" t="inlineStr">
        <is>
          <t>🚫 Block IP at firewall immediately | 🔍 Check logs for existing connections | 🛡️ Add to threat intelligence blocklist</t>
        </is>
      </c>
      <c r="S1791" s="189" t="inlineStr">
        <is>
          <t>Check ip-api.com + AbuseIPDB for context</t>
        </is>
      </c>
      <c r="T1791" s="189" t="n">
        <v>0</v>
      </c>
      <c r="U1791" s="189" t="n">
        <v>0</v>
      </c>
      <c r="V1791" s="189" t="inlineStr">
        <is>
          <t>T1110:Brute Force | T1190:Exploit Public-Facing Application | T1566:Phishing</t>
        </is>
      </c>
      <c r="W1791" s="189" t="n">
        <v>1</v>
      </c>
      <c r="X1791" s="189" t="inlineStr">
        <is>
          <t>MEDIUM (60%)</t>
        </is>
      </c>
      <c r="Y1791" s="189" t="inlineStr">
        <is>
          <t>NONE</t>
        </is>
      </c>
      <c r="Z1791" s="189" t="inlineStr">
        <is>
          <t>NONE</t>
        </is>
      </c>
      <c r="AA1791" s="189" t="inlineStr">
        <is>
          <t>NONE</t>
        </is>
      </c>
      <c r="AB1791" s="189" t="inlineStr">
        <is>
          <t>NONE</t>
        </is>
      </c>
      <c r="AC1791" s="189" t="n">
        <v>0</v>
      </c>
      <c r="AD1791" s="189" t="n"/>
    </row>
    <row r="1792">
      <c r="A1792" s="189" t="inlineStr">
        <is>
          <t>TALOS_IP</t>
        </is>
      </c>
      <c r="B1792" s="189" t="inlineStr">
        <is>
          <t>d6db713097d7</t>
        </is>
      </c>
      <c r="C1792" s="189" t="inlineStr">
        <is>
          <t>Cisco Talos Blacklisted IP: 1.24.16.194 | Verified malicious | Sources: TALOS</t>
        </is>
      </c>
      <c r="D1792" s="189" t="n">
        <v>7</v>
      </c>
      <c r="E1792" s="189" t="inlineStr">
        <is>
          <t>HIGH</t>
        </is>
      </c>
      <c r="F1792" s="189" t="n">
        <v>3</v>
      </c>
      <c r="G1792" s="189" t="n">
        <v>2</v>
      </c>
      <c r="H1792" s="189" t="inlineStr">
        <is>
          <t>HIGH</t>
        </is>
      </c>
      <c r="I1792" s="189" t="n">
        <v>13</v>
      </c>
      <c r="J1792" s="189" t="inlineStr">
        <is>
          <t>NO</t>
        </is>
      </c>
      <c r="K1792" s="190" t="inlineStr">
        <is>
          <t>https://talosintelligence.com/reputation_center/lookup?search=1.24.16.194</t>
        </is>
      </c>
      <c r="L1792" s="189" t="inlineStr">
        <is>
          <t>2026-02-23 23:48</t>
        </is>
      </c>
      <c r="M1792" s="189" t="inlineStr">
        <is>
          <t>Block IP</t>
        </is>
      </c>
      <c r="N1792" s="190" t="inlineStr">
        <is>
          <t>https://talosintelligence.com/reputation_center/lookup?search=1.24.16.194</t>
        </is>
      </c>
      <c r="O1792" s="189" t="inlineStr">
        <is>
          <t>Block IP 1.24.16.194 at firewall | Cisco Talos confirmed malicious</t>
        </is>
      </c>
      <c r="P1792" s="189" t="inlineStr">
        <is>
          <t>Network perimeter / Email / Web</t>
        </is>
      </c>
      <c r="Q1792" s="189" t="inlineStr">
        <is>
          <t>P3</t>
        </is>
      </c>
      <c r="R1792" s="189" t="inlineStr">
        <is>
          <t>🚫 Block IP at firewall immediately | 🔍 Check logs for existing connections | 🛡️ Add to threat intelligence blocklist</t>
        </is>
      </c>
      <c r="S1792" s="189" t="inlineStr">
        <is>
          <t>Check ip-api.com + AbuseIPDB for context</t>
        </is>
      </c>
      <c r="T1792" s="189" t="n">
        <v>0</v>
      </c>
      <c r="U1792" s="189" t="n">
        <v>0</v>
      </c>
      <c r="V1792" s="189" t="inlineStr">
        <is>
          <t>T1110:Brute Force | T1190:Exploit Public-Facing Application | T1566:Phishing</t>
        </is>
      </c>
      <c r="W1792" s="189" t="n">
        <v>1</v>
      </c>
      <c r="X1792" s="189" t="inlineStr">
        <is>
          <t>MEDIUM (60%)</t>
        </is>
      </c>
      <c r="Y1792" s="189" t="inlineStr">
        <is>
          <t>NONE</t>
        </is>
      </c>
      <c r="Z1792" s="189" t="inlineStr">
        <is>
          <t>NONE</t>
        </is>
      </c>
      <c r="AA1792" s="189" t="inlineStr">
        <is>
          <t>NONE</t>
        </is>
      </c>
      <c r="AB1792" s="189" t="inlineStr">
        <is>
          <t>NONE</t>
        </is>
      </c>
      <c r="AC1792" s="189" t="n">
        <v>0</v>
      </c>
      <c r="AD1792" s="189" t="n"/>
    </row>
    <row r="1793">
      <c r="A1793" s="189" t="inlineStr">
        <is>
          <t>TALOS_IP</t>
        </is>
      </c>
      <c r="B1793" s="189" t="inlineStr">
        <is>
          <t>86a077e65602</t>
        </is>
      </c>
      <c r="C1793" s="189" t="inlineStr">
        <is>
          <t>Cisco Talos Blacklisted IP: 1.24.16.195 | Verified malicious | Sources: TALOS</t>
        </is>
      </c>
      <c r="D1793" s="189" t="n">
        <v>7</v>
      </c>
      <c r="E1793" s="189" t="inlineStr">
        <is>
          <t>HIGH</t>
        </is>
      </c>
      <c r="F1793" s="189" t="n">
        <v>3</v>
      </c>
      <c r="G1793" s="189" t="n">
        <v>2</v>
      </c>
      <c r="H1793" s="189" t="inlineStr">
        <is>
          <t>HIGH</t>
        </is>
      </c>
      <c r="I1793" s="189" t="n">
        <v>13</v>
      </c>
      <c r="J1793" s="189" t="inlineStr">
        <is>
          <t>NO</t>
        </is>
      </c>
      <c r="K1793" s="190" t="inlineStr">
        <is>
          <t>https://talosintelligence.com/reputation_center/lookup?search=1.24.16.195</t>
        </is>
      </c>
      <c r="L1793" s="189" t="inlineStr">
        <is>
          <t>2026-02-23 23:48</t>
        </is>
      </c>
      <c r="M1793" s="189" t="inlineStr">
        <is>
          <t>Block IP</t>
        </is>
      </c>
      <c r="N1793" s="190" t="inlineStr">
        <is>
          <t>https://talosintelligence.com/reputation_center/lookup?search=1.24.16.195</t>
        </is>
      </c>
      <c r="O1793" s="189" t="inlineStr">
        <is>
          <t>Block IP 1.24.16.195 at firewall | Cisco Talos confirmed malicious</t>
        </is>
      </c>
      <c r="P1793" s="189" t="inlineStr">
        <is>
          <t>Network perimeter / Email / Web</t>
        </is>
      </c>
      <c r="Q1793" s="189" t="inlineStr">
        <is>
          <t>P3</t>
        </is>
      </c>
      <c r="R1793" s="189" t="inlineStr">
        <is>
          <t>🚫 Block IP at firewall immediately | 🔍 Check logs for existing connections | 🛡️ Add to threat intelligence blocklist</t>
        </is>
      </c>
      <c r="S1793" s="189" t="inlineStr">
        <is>
          <t>Check ip-api.com + AbuseIPDB for context</t>
        </is>
      </c>
      <c r="T1793" s="189" t="n">
        <v>0</v>
      </c>
      <c r="U1793" s="189" t="n">
        <v>0</v>
      </c>
      <c r="V1793" s="189" t="inlineStr">
        <is>
          <t>T1110:Brute Force | T1190:Exploit Public-Facing Application | T1566:Phishing</t>
        </is>
      </c>
      <c r="W1793" s="189" t="n">
        <v>1</v>
      </c>
      <c r="X1793" s="189" t="inlineStr">
        <is>
          <t>MEDIUM (60%)</t>
        </is>
      </c>
      <c r="Y1793" s="189" t="inlineStr">
        <is>
          <t>NONE</t>
        </is>
      </c>
      <c r="Z1793" s="189" t="inlineStr">
        <is>
          <t>NONE</t>
        </is>
      </c>
      <c r="AA1793" s="189" t="inlineStr">
        <is>
          <t>NONE</t>
        </is>
      </c>
      <c r="AB1793" s="189" t="inlineStr">
        <is>
          <t>NONE</t>
        </is>
      </c>
      <c r="AC1793" s="189" t="n">
        <v>0</v>
      </c>
      <c r="AD1793" s="189" t="n"/>
    </row>
    <row r="1794">
      <c r="A1794" s="189" t="inlineStr">
        <is>
          <t>TALOS_IP</t>
        </is>
      </c>
      <c r="B1794" s="189" t="inlineStr">
        <is>
          <t>c948fc88a3f2</t>
        </is>
      </c>
      <c r="C1794" s="189" t="inlineStr">
        <is>
          <t>Cisco Talos Blacklisted IP: 1.24.16.196 | Verified malicious | Sources: TALOS</t>
        </is>
      </c>
      <c r="D1794" s="189" t="n">
        <v>7</v>
      </c>
      <c r="E1794" s="189" t="inlineStr">
        <is>
          <t>HIGH</t>
        </is>
      </c>
      <c r="F1794" s="189" t="n">
        <v>3</v>
      </c>
      <c r="G1794" s="189" t="n">
        <v>2</v>
      </c>
      <c r="H1794" s="189" t="inlineStr">
        <is>
          <t>HIGH</t>
        </is>
      </c>
      <c r="I1794" s="189" t="n">
        <v>13</v>
      </c>
      <c r="J1794" s="189" t="inlineStr">
        <is>
          <t>NO</t>
        </is>
      </c>
      <c r="K1794" s="190" t="inlineStr">
        <is>
          <t>https://talosintelligence.com/reputation_center/lookup?search=1.24.16.196</t>
        </is>
      </c>
      <c r="L1794" s="189" t="inlineStr">
        <is>
          <t>2026-02-23 23:48</t>
        </is>
      </c>
      <c r="M1794" s="189" t="inlineStr">
        <is>
          <t>Block IP</t>
        </is>
      </c>
      <c r="N1794" s="190" t="inlineStr">
        <is>
          <t>https://talosintelligence.com/reputation_center/lookup?search=1.24.16.196</t>
        </is>
      </c>
      <c r="O1794" s="189" t="inlineStr">
        <is>
          <t>Block IP 1.24.16.196 at firewall | Cisco Talos confirmed malicious</t>
        </is>
      </c>
      <c r="P1794" s="189" t="inlineStr">
        <is>
          <t>Network perimeter / Email / Web</t>
        </is>
      </c>
      <c r="Q1794" s="189" t="inlineStr">
        <is>
          <t>P3</t>
        </is>
      </c>
      <c r="R1794" s="189" t="inlineStr">
        <is>
          <t>🚫 Block IP at firewall immediately | 🔍 Check logs for existing connections | 🛡️ Add to threat intelligence blocklist</t>
        </is>
      </c>
      <c r="S1794" s="189" t="inlineStr">
        <is>
          <t>Check ip-api.com + AbuseIPDB for context</t>
        </is>
      </c>
      <c r="T1794" s="189" t="n">
        <v>0</v>
      </c>
      <c r="U1794" s="189" t="n">
        <v>0</v>
      </c>
      <c r="V1794" s="189" t="inlineStr">
        <is>
          <t>T1110:Brute Force | T1190:Exploit Public-Facing Application | T1566:Phishing</t>
        </is>
      </c>
      <c r="W1794" s="189" t="n">
        <v>1</v>
      </c>
      <c r="X1794" s="189" t="inlineStr">
        <is>
          <t>MEDIUM (60%)</t>
        </is>
      </c>
      <c r="Y1794" s="189" t="inlineStr">
        <is>
          <t>NONE</t>
        </is>
      </c>
      <c r="Z1794" s="189" t="inlineStr">
        <is>
          <t>NONE</t>
        </is>
      </c>
      <c r="AA1794" s="189" t="inlineStr">
        <is>
          <t>NONE</t>
        </is>
      </c>
      <c r="AB1794" s="189" t="inlineStr">
        <is>
          <t>NONE</t>
        </is>
      </c>
      <c r="AC1794" s="189" t="n">
        <v>0</v>
      </c>
      <c r="AD1794" s="189" t="n"/>
    </row>
    <row r="1795">
      <c r="A1795" s="189" t="inlineStr">
        <is>
          <t>TALOS_IP</t>
        </is>
      </c>
      <c r="B1795" s="189" t="inlineStr">
        <is>
          <t>aa900abb23d0</t>
        </is>
      </c>
      <c r="C1795" s="189" t="inlineStr">
        <is>
          <t>Cisco Talos Blacklisted IP: 1.24.16.199 | Verified malicious | Sources: TALOS</t>
        </is>
      </c>
      <c r="D1795" s="189" t="n">
        <v>7</v>
      </c>
      <c r="E1795" s="189" t="inlineStr">
        <is>
          <t>HIGH</t>
        </is>
      </c>
      <c r="F1795" s="189" t="n">
        <v>3</v>
      </c>
      <c r="G1795" s="189" t="n">
        <v>2</v>
      </c>
      <c r="H1795" s="189" t="inlineStr">
        <is>
          <t>HIGH</t>
        </is>
      </c>
      <c r="I1795" s="189" t="n">
        <v>13</v>
      </c>
      <c r="J1795" s="189" t="inlineStr">
        <is>
          <t>NO</t>
        </is>
      </c>
      <c r="K1795" s="190" t="inlineStr">
        <is>
          <t>https://talosintelligence.com/reputation_center/lookup?search=1.24.16.199</t>
        </is>
      </c>
      <c r="L1795" s="189" t="inlineStr">
        <is>
          <t>2026-02-23 23:48</t>
        </is>
      </c>
      <c r="M1795" s="189" t="inlineStr">
        <is>
          <t>Block IP</t>
        </is>
      </c>
      <c r="N1795" s="190" t="inlineStr">
        <is>
          <t>https://talosintelligence.com/reputation_center/lookup?search=1.24.16.199</t>
        </is>
      </c>
      <c r="O1795" s="189" t="inlineStr">
        <is>
          <t>Block IP 1.24.16.199 at firewall | Cisco Talos confirmed malicious</t>
        </is>
      </c>
      <c r="P1795" s="189" t="inlineStr">
        <is>
          <t>Network perimeter / Email / Web</t>
        </is>
      </c>
      <c r="Q1795" s="189" t="inlineStr">
        <is>
          <t>P3</t>
        </is>
      </c>
      <c r="R1795" s="189" t="inlineStr">
        <is>
          <t>🚫 Block IP at firewall immediately | 🔍 Check logs for existing connections | 🛡️ Add to threat intelligence blocklist</t>
        </is>
      </c>
      <c r="S1795" s="189" t="inlineStr">
        <is>
          <t>Check ip-api.com + AbuseIPDB for context</t>
        </is>
      </c>
      <c r="T1795" s="189" t="n">
        <v>0</v>
      </c>
      <c r="U1795" s="189" t="n">
        <v>0</v>
      </c>
      <c r="V1795" s="189" t="inlineStr">
        <is>
          <t>T1110:Brute Force | T1190:Exploit Public-Facing Application | T1566:Phishing</t>
        </is>
      </c>
      <c r="W1795" s="189" t="n">
        <v>1</v>
      </c>
      <c r="X1795" s="189" t="inlineStr">
        <is>
          <t>MEDIUM (60%)</t>
        </is>
      </c>
      <c r="Y1795" s="189" t="inlineStr">
        <is>
          <t>NONE</t>
        </is>
      </c>
      <c r="Z1795" s="189" t="inlineStr">
        <is>
          <t>NONE</t>
        </is>
      </c>
      <c r="AA1795" s="189" t="inlineStr">
        <is>
          <t>NONE</t>
        </is>
      </c>
      <c r="AB1795" s="189" t="inlineStr">
        <is>
          <t>NONE</t>
        </is>
      </c>
      <c r="AC1795" s="189" t="n">
        <v>0</v>
      </c>
      <c r="AD1795" s="189" t="n"/>
    </row>
    <row r="1796">
      <c r="A1796" s="189" t="inlineStr">
        <is>
          <t>TALOS_IP</t>
        </is>
      </c>
      <c r="B1796" s="189" t="inlineStr">
        <is>
          <t>d243f44e62af</t>
        </is>
      </c>
      <c r="C1796" s="189" t="inlineStr">
        <is>
          <t>Cisco Talos Blacklisted IP: 1.24.16.200 | Verified malicious | Sources: TALOS</t>
        </is>
      </c>
      <c r="D1796" s="189" t="n">
        <v>7</v>
      </c>
      <c r="E1796" s="189" t="inlineStr">
        <is>
          <t>HIGH</t>
        </is>
      </c>
      <c r="F1796" s="189" t="n">
        <v>3</v>
      </c>
      <c r="G1796" s="189" t="n">
        <v>2</v>
      </c>
      <c r="H1796" s="189" t="inlineStr">
        <is>
          <t>HIGH</t>
        </is>
      </c>
      <c r="I1796" s="189" t="n">
        <v>13</v>
      </c>
      <c r="J1796" s="189" t="inlineStr">
        <is>
          <t>NO</t>
        </is>
      </c>
      <c r="K1796" s="190" t="inlineStr">
        <is>
          <t>https://talosintelligence.com/reputation_center/lookup?search=1.24.16.200</t>
        </is>
      </c>
      <c r="L1796" s="189" t="inlineStr">
        <is>
          <t>2026-02-23 23:48</t>
        </is>
      </c>
      <c r="M1796" s="189" t="inlineStr">
        <is>
          <t>Block IP</t>
        </is>
      </c>
      <c r="N1796" s="190" t="inlineStr">
        <is>
          <t>https://talosintelligence.com/reputation_center/lookup?search=1.24.16.200</t>
        </is>
      </c>
      <c r="O1796" s="189" t="inlineStr">
        <is>
          <t>Block IP 1.24.16.200 at firewall | Cisco Talos confirmed malicious</t>
        </is>
      </c>
      <c r="P1796" s="189" t="inlineStr">
        <is>
          <t>Network perimeter / Email / Web</t>
        </is>
      </c>
      <c r="Q1796" s="189" t="inlineStr">
        <is>
          <t>P3</t>
        </is>
      </c>
      <c r="R1796" s="189" t="inlineStr">
        <is>
          <t>🚫 Block IP at firewall immediately | 🔍 Check logs for existing connections | 🛡️ Add to threat intelligence blocklist</t>
        </is>
      </c>
      <c r="S1796" s="189" t="inlineStr">
        <is>
          <t>Check ip-api.com + AbuseIPDB for context</t>
        </is>
      </c>
      <c r="T1796" s="189" t="n">
        <v>0</v>
      </c>
      <c r="U1796" s="189" t="n">
        <v>0</v>
      </c>
      <c r="V1796" s="189" t="inlineStr">
        <is>
          <t>T1110:Brute Force | T1190:Exploit Public-Facing Application | T1566:Phishing</t>
        </is>
      </c>
      <c r="W1796" s="189" t="n">
        <v>1</v>
      </c>
      <c r="X1796" s="189" t="inlineStr">
        <is>
          <t>MEDIUM (60%)</t>
        </is>
      </c>
      <c r="Y1796" s="189" t="inlineStr">
        <is>
          <t>NONE</t>
        </is>
      </c>
      <c r="Z1796" s="189" t="inlineStr">
        <is>
          <t>NONE</t>
        </is>
      </c>
      <c r="AA1796" s="189" t="inlineStr">
        <is>
          <t>NONE</t>
        </is>
      </c>
      <c r="AB1796" s="189" t="inlineStr">
        <is>
          <t>NONE</t>
        </is>
      </c>
      <c r="AC1796" s="189" t="n">
        <v>0</v>
      </c>
      <c r="AD1796" s="189" t="n"/>
    </row>
    <row r="1797">
      <c r="A1797" s="189" t="inlineStr">
        <is>
          <t>TALOS_IP</t>
        </is>
      </c>
      <c r="B1797" s="189" t="inlineStr">
        <is>
          <t>6520a8709a23</t>
        </is>
      </c>
      <c r="C1797" s="189" t="inlineStr">
        <is>
          <t>Cisco Talos Blacklisted IP: 1.24.16.205 | Verified malicious | Sources: TALOS</t>
        </is>
      </c>
      <c r="D1797" s="189" t="n">
        <v>7</v>
      </c>
      <c r="E1797" s="189" t="inlineStr">
        <is>
          <t>HIGH</t>
        </is>
      </c>
      <c r="F1797" s="189" t="n">
        <v>3</v>
      </c>
      <c r="G1797" s="189" t="n">
        <v>2</v>
      </c>
      <c r="H1797" s="189" t="inlineStr">
        <is>
          <t>HIGH</t>
        </is>
      </c>
      <c r="I1797" s="189" t="n">
        <v>13</v>
      </c>
      <c r="J1797" s="189" t="inlineStr">
        <is>
          <t>NO</t>
        </is>
      </c>
      <c r="K1797" s="190" t="inlineStr">
        <is>
          <t>https://talosintelligence.com/reputation_center/lookup?search=1.24.16.205</t>
        </is>
      </c>
      <c r="L1797" s="189" t="inlineStr">
        <is>
          <t>2026-02-23 23:48</t>
        </is>
      </c>
      <c r="M1797" s="189" t="inlineStr">
        <is>
          <t>Block IP</t>
        </is>
      </c>
      <c r="N1797" s="190" t="inlineStr">
        <is>
          <t>https://talosintelligence.com/reputation_center/lookup?search=1.24.16.205</t>
        </is>
      </c>
      <c r="O1797" s="189" t="inlineStr">
        <is>
          <t>Block IP 1.24.16.205 at firewall | Cisco Talos confirmed malicious</t>
        </is>
      </c>
      <c r="P1797" s="189" t="inlineStr">
        <is>
          <t>Network perimeter / Email / Web</t>
        </is>
      </c>
      <c r="Q1797" s="189" t="inlineStr">
        <is>
          <t>P3</t>
        </is>
      </c>
      <c r="R1797" s="189" t="inlineStr">
        <is>
          <t>🚫 Block IP at firewall immediately | 🔍 Check logs for existing connections | 🛡️ Add to threat intelligence blocklist</t>
        </is>
      </c>
      <c r="S1797" s="189" t="inlineStr">
        <is>
          <t>Check ip-api.com + AbuseIPDB for context</t>
        </is>
      </c>
      <c r="T1797" s="189" t="n">
        <v>0</v>
      </c>
      <c r="U1797" s="189" t="n">
        <v>0</v>
      </c>
      <c r="V1797" s="189" t="inlineStr">
        <is>
          <t>T1110:Brute Force | T1190:Exploit Public-Facing Application | T1566:Phishing</t>
        </is>
      </c>
      <c r="W1797" s="189" t="n">
        <v>1</v>
      </c>
      <c r="X1797" s="189" t="inlineStr">
        <is>
          <t>MEDIUM (60%)</t>
        </is>
      </c>
      <c r="Y1797" s="189" t="inlineStr">
        <is>
          <t>NONE</t>
        </is>
      </c>
      <c r="Z1797" s="189" t="inlineStr">
        <is>
          <t>NONE</t>
        </is>
      </c>
      <c r="AA1797" s="189" t="inlineStr">
        <is>
          <t>NONE</t>
        </is>
      </c>
      <c r="AB1797" s="189" t="inlineStr">
        <is>
          <t>NONE</t>
        </is>
      </c>
      <c r="AC1797" s="189" t="n">
        <v>0</v>
      </c>
      <c r="AD1797" s="189" t="n"/>
    </row>
    <row r="1798">
      <c r="A1798" s="189" t="inlineStr">
        <is>
          <t>TALOS_IP</t>
        </is>
      </c>
      <c r="B1798" s="189" t="inlineStr">
        <is>
          <t>34839a56ae1a</t>
        </is>
      </c>
      <c r="C1798" s="189" t="inlineStr">
        <is>
          <t>Cisco Talos Blacklisted IP: 1.24.16.206 | Verified malicious | Sources: TALOS</t>
        </is>
      </c>
      <c r="D1798" s="189" t="n">
        <v>7</v>
      </c>
      <c r="E1798" s="189" t="inlineStr">
        <is>
          <t>HIGH</t>
        </is>
      </c>
      <c r="F1798" s="189" t="n">
        <v>3</v>
      </c>
      <c r="G1798" s="189" t="n">
        <v>2</v>
      </c>
      <c r="H1798" s="189" t="inlineStr">
        <is>
          <t>HIGH</t>
        </is>
      </c>
      <c r="I1798" s="189" t="n">
        <v>13</v>
      </c>
      <c r="J1798" s="189" t="inlineStr">
        <is>
          <t>NO</t>
        </is>
      </c>
      <c r="K1798" s="190" t="inlineStr">
        <is>
          <t>https://talosintelligence.com/reputation_center/lookup?search=1.24.16.206</t>
        </is>
      </c>
      <c r="L1798" s="189" t="inlineStr">
        <is>
          <t>2026-02-23 23:48</t>
        </is>
      </c>
      <c r="M1798" s="189" t="inlineStr">
        <is>
          <t>Block IP</t>
        </is>
      </c>
      <c r="N1798" s="190" t="inlineStr">
        <is>
          <t>https://talosintelligence.com/reputation_center/lookup?search=1.24.16.206</t>
        </is>
      </c>
      <c r="O1798" s="189" t="inlineStr">
        <is>
          <t>Block IP 1.24.16.206 at firewall | Cisco Talos confirmed malicious</t>
        </is>
      </c>
      <c r="P1798" s="189" t="inlineStr">
        <is>
          <t>Network perimeter / Email / Web</t>
        </is>
      </c>
      <c r="Q1798" s="189" t="inlineStr">
        <is>
          <t>P3</t>
        </is>
      </c>
      <c r="R1798" s="189" t="inlineStr">
        <is>
          <t>🚫 Block IP at firewall immediately | 🔍 Check logs for existing connections | 🛡️ Add to threat intelligence blocklist</t>
        </is>
      </c>
      <c r="S1798" s="189" t="inlineStr">
        <is>
          <t>Check ip-api.com + AbuseIPDB for context</t>
        </is>
      </c>
      <c r="T1798" s="189" t="n">
        <v>0</v>
      </c>
      <c r="U1798" s="189" t="n">
        <v>0</v>
      </c>
      <c r="V1798" s="189" t="inlineStr">
        <is>
          <t>T1110:Brute Force | T1190:Exploit Public-Facing Application | T1566:Phishing</t>
        </is>
      </c>
      <c r="W1798" s="189" t="n">
        <v>1</v>
      </c>
      <c r="X1798" s="189" t="inlineStr">
        <is>
          <t>MEDIUM (60%)</t>
        </is>
      </c>
      <c r="Y1798" s="189" t="inlineStr">
        <is>
          <t>NONE</t>
        </is>
      </c>
      <c r="Z1798" s="189" t="inlineStr">
        <is>
          <t>NONE</t>
        </is>
      </c>
      <c r="AA1798" s="189" t="inlineStr">
        <is>
          <t>NONE</t>
        </is>
      </c>
      <c r="AB1798" s="189" t="inlineStr">
        <is>
          <t>NONE</t>
        </is>
      </c>
      <c r="AC1798" s="189" t="n">
        <v>0</v>
      </c>
      <c r="AD1798" s="189" t="n"/>
    </row>
    <row r="1799">
      <c r="A1799" s="189" t="inlineStr">
        <is>
          <t>TALOS_IP</t>
        </is>
      </c>
      <c r="B1799" s="189" t="inlineStr">
        <is>
          <t>a83ffcaeae64</t>
        </is>
      </c>
      <c r="C1799" s="189" t="inlineStr">
        <is>
          <t>Cisco Talos Blacklisted IP: 1.24.16.207 | Verified malicious | Sources: TALOS</t>
        </is>
      </c>
      <c r="D1799" s="189" t="n">
        <v>7</v>
      </c>
      <c r="E1799" s="189" t="inlineStr">
        <is>
          <t>HIGH</t>
        </is>
      </c>
      <c r="F1799" s="189" t="n">
        <v>3</v>
      </c>
      <c r="G1799" s="189" t="n">
        <v>2</v>
      </c>
      <c r="H1799" s="189" t="inlineStr">
        <is>
          <t>HIGH</t>
        </is>
      </c>
      <c r="I1799" s="189" t="n">
        <v>13</v>
      </c>
      <c r="J1799" s="189" t="inlineStr">
        <is>
          <t>NO</t>
        </is>
      </c>
      <c r="K1799" s="190" t="inlineStr">
        <is>
          <t>https://talosintelligence.com/reputation_center/lookup?search=1.24.16.207</t>
        </is>
      </c>
      <c r="L1799" s="189" t="inlineStr">
        <is>
          <t>2026-02-23 23:48</t>
        </is>
      </c>
      <c r="M1799" s="189" t="inlineStr">
        <is>
          <t>Block IP</t>
        </is>
      </c>
      <c r="N1799" s="190" t="inlineStr">
        <is>
          <t>https://talosintelligence.com/reputation_center/lookup?search=1.24.16.207</t>
        </is>
      </c>
      <c r="O1799" s="189" t="inlineStr">
        <is>
          <t>Block IP 1.24.16.207 at firewall | Cisco Talos confirmed malicious</t>
        </is>
      </c>
      <c r="P1799" s="189" t="inlineStr">
        <is>
          <t>Network perimeter / Email / Web</t>
        </is>
      </c>
      <c r="Q1799" s="189" t="inlineStr">
        <is>
          <t>P3</t>
        </is>
      </c>
      <c r="R1799" s="189" t="inlineStr">
        <is>
          <t>🚫 Block IP at firewall immediately | 🔍 Check logs for existing connections | 🛡️ Add to threat intelligence blocklist</t>
        </is>
      </c>
      <c r="S1799" s="189" t="inlineStr">
        <is>
          <t>Check ip-api.com + AbuseIPDB for context</t>
        </is>
      </c>
      <c r="T1799" s="189" t="n">
        <v>0</v>
      </c>
      <c r="U1799" s="189" t="n">
        <v>0</v>
      </c>
      <c r="V1799" s="189" t="inlineStr">
        <is>
          <t>T1110:Brute Force | T1190:Exploit Public-Facing Application | T1566:Phishing</t>
        </is>
      </c>
      <c r="W1799" s="189" t="n">
        <v>1</v>
      </c>
      <c r="X1799" s="189" t="inlineStr">
        <is>
          <t>MEDIUM (60%)</t>
        </is>
      </c>
      <c r="Y1799" s="189" t="inlineStr">
        <is>
          <t>NONE</t>
        </is>
      </c>
      <c r="Z1799" s="189" t="inlineStr">
        <is>
          <t>NONE</t>
        </is>
      </c>
      <c r="AA1799" s="189" t="inlineStr">
        <is>
          <t>NONE</t>
        </is>
      </c>
      <c r="AB1799" s="189" t="inlineStr">
        <is>
          <t>NONE</t>
        </is>
      </c>
      <c r="AC1799" s="189" t="n">
        <v>0</v>
      </c>
      <c r="AD1799" s="189" t="n"/>
    </row>
    <row r="1800">
      <c r="A1800" s="189" t="inlineStr">
        <is>
          <t>TALOS_IP</t>
        </is>
      </c>
      <c r="B1800" s="189" t="inlineStr">
        <is>
          <t>ceebe26f9021</t>
        </is>
      </c>
      <c r="C1800" s="189" t="inlineStr">
        <is>
          <t>Cisco Talos Blacklisted IP: 1.24.16.209 | Verified malicious | Sources: TALOS</t>
        </is>
      </c>
      <c r="D1800" s="189" t="n">
        <v>7</v>
      </c>
      <c r="E1800" s="189" t="inlineStr">
        <is>
          <t>HIGH</t>
        </is>
      </c>
      <c r="F1800" s="189" t="n">
        <v>3</v>
      </c>
      <c r="G1800" s="189" t="n">
        <v>2</v>
      </c>
      <c r="H1800" s="189" t="inlineStr">
        <is>
          <t>HIGH</t>
        </is>
      </c>
      <c r="I1800" s="189" t="n">
        <v>13</v>
      </c>
      <c r="J1800" s="189" t="inlineStr">
        <is>
          <t>NO</t>
        </is>
      </c>
      <c r="K1800" s="190" t="inlineStr">
        <is>
          <t>https://talosintelligence.com/reputation_center/lookup?search=1.24.16.209</t>
        </is>
      </c>
      <c r="L1800" s="189" t="inlineStr">
        <is>
          <t>2026-02-23 23:48</t>
        </is>
      </c>
      <c r="M1800" s="189" t="inlineStr">
        <is>
          <t>Block IP</t>
        </is>
      </c>
      <c r="N1800" s="190" t="inlineStr">
        <is>
          <t>https://talosintelligence.com/reputation_center/lookup?search=1.24.16.209</t>
        </is>
      </c>
      <c r="O1800" s="189" t="inlineStr">
        <is>
          <t>Block IP 1.24.16.209 at firewall | Cisco Talos confirmed malicious</t>
        </is>
      </c>
      <c r="P1800" s="189" t="inlineStr">
        <is>
          <t>Network perimeter / Email / Web</t>
        </is>
      </c>
      <c r="Q1800" s="189" t="inlineStr">
        <is>
          <t>P3</t>
        </is>
      </c>
      <c r="R1800" s="189" t="inlineStr">
        <is>
          <t>🚫 Block IP at firewall immediately | 🔍 Check logs for existing connections | 🛡️ Add to threat intelligence blocklist</t>
        </is>
      </c>
      <c r="S1800" s="189" t="inlineStr">
        <is>
          <t>Check ip-api.com + AbuseIPDB for context</t>
        </is>
      </c>
      <c r="T1800" s="189" t="n">
        <v>0</v>
      </c>
      <c r="U1800" s="189" t="n">
        <v>0</v>
      </c>
      <c r="V1800" s="189" t="inlineStr">
        <is>
          <t>T1110:Brute Force | T1190:Exploit Public-Facing Application | T1566:Phishing</t>
        </is>
      </c>
      <c r="W1800" s="189" t="n">
        <v>1</v>
      </c>
      <c r="X1800" s="189" t="inlineStr">
        <is>
          <t>MEDIUM (60%)</t>
        </is>
      </c>
      <c r="Y1800" s="189" t="inlineStr">
        <is>
          <t>NONE</t>
        </is>
      </c>
      <c r="Z1800" s="189" t="inlineStr">
        <is>
          <t>NONE</t>
        </is>
      </c>
      <c r="AA1800" s="189" t="inlineStr">
        <is>
          <t>NONE</t>
        </is>
      </c>
      <c r="AB1800" s="189" t="inlineStr">
        <is>
          <t>NONE</t>
        </is>
      </c>
      <c r="AC1800" s="189" t="n">
        <v>0</v>
      </c>
      <c r="AD1800" s="189" t="n"/>
    </row>
    <row r="1801">
      <c r="A1801" s="189" t="inlineStr">
        <is>
          <t>TALOS_IP</t>
        </is>
      </c>
      <c r="B1801" s="189" t="inlineStr">
        <is>
          <t>46c0c881078a</t>
        </is>
      </c>
      <c r="C1801" s="189" t="inlineStr">
        <is>
          <t>Cisco Talos Blacklisted IP: 1.24.16.211 | Verified malicious | Sources: TALOS</t>
        </is>
      </c>
      <c r="D1801" s="189" t="n">
        <v>7</v>
      </c>
      <c r="E1801" s="189" t="inlineStr">
        <is>
          <t>HIGH</t>
        </is>
      </c>
      <c r="F1801" s="189" t="n">
        <v>3</v>
      </c>
      <c r="G1801" s="189" t="n">
        <v>2</v>
      </c>
      <c r="H1801" s="189" t="inlineStr">
        <is>
          <t>HIGH</t>
        </is>
      </c>
      <c r="I1801" s="189" t="n">
        <v>13</v>
      </c>
      <c r="J1801" s="189" t="inlineStr">
        <is>
          <t>NO</t>
        </is>
      </c>
      <c r="K1801" s="190" t="inlineStr">
        <is>
          <t>https://talosintelligence.com/reputation_center/lookup?search=1.24.16.211</t>
        </is>
      </c>
      <c r="L1801" s="189" t="inlineStr">
        <is>
          <t>2026-02-23 23:48</t>
        </is>
      </c>
      <c r="M1801" s="189" t="inlineStr">
        <is>
          <t>Block IP</t>
        </is>
      </c>
      <c r="N1801" s="190" t="inlineStr">
        <is>
          <t>https://talosintelligence.com/reputation_center/lookup?search=1.24.16.211</t>
        </is>
      </c>
      <c r="O1801" s="189" t="inlineStr">
        <is>
          <t>Block IP 1.24.16.211 at firewall | Cisco Talos confirmed malicious</t>
        </is>
      </c>
      <c r="P1801" s="189" t="inlineStr">
        <is>
          <t>Network perimeter / Email / Web</t>
        </is>
      </c>
      <c r="Q1801" s="189" t="inlineStr">
        <is>
          <t>P3</t>
        </is>
      </c>
      <c r="R1801" s="189" t="inlineStr">
        <is>
          <t>🚫 Block IP at firewall immediately | 🔍 Check logs for existing connections | 🛡️ Add to threat intelligence blocklist</t>
        </is>
      </c>
      <c r="S1801" s="189" t="inlineStr">
        <is>
          <t>Check ip-api.com + AbuseIPDB for context</t>
        </is>
      </c>
      <c r="T1801" s="189" t="n">
        <v>0</v>
      </c>
      <c r="U1801" s="189" t="n">
        <v>0</v>
      </c>
      <c r="V1801" s="189" t="inlineStr">
        <is>
          <t>T1110:Brute Force | T1190:Exploit Public-Facing Application | T1566:Phishing</t>
        </is>
      </c>
      <c r="W1801" s="189" t="n">
        <v>1</v>
      </c>
      <c r="X1801" s="189" t="inlineStr">
        <is>
          <t>MEDIUM (60%)</t>
        </is>
      </c>
      <c r="Y1801" s="189" t="inlineStr">
        <is>
          <t>NONE</t>
        </is>
      </c>
      <c r="Z1801" s="189" t="inlineStr">
        <is>
          <t>NONE</t>
        </is>
      </c>
      <c r="AA1801" s="189" t="inlineStr">
        <is>
          <t>NONE</t>
        </is>
      </c>
      <c r="AB1801" s="189" t="inlineStr">
        <is>
          <t>NONE</t>
        </is>
      </c>
      <c r="AC1801" s="189" t="n">
        <v>0</v>
      </c>
      <c r="AD1801" s="189" t="n"/>
    </row>
    <row r="1802">
      <c r="A1802" s="189" t="inlineStr">
        <is>
          <t>TALOS_IP</t>
        </is>
      </c>
      <c r="B1802" s="189" t="inlineStr">
        <is>
          <t>e45365a3bae2</t>
        </is>
      </c>
      <c r="C1802" s="189" t="inlineStr">
        <is>
          <t>Cisco Talos Blacklisted IP: 1.24.16.220 | Verified malicious | Sources: TALOS</t>
        </is>
      </c>
      <c r="D1802" s="189" t="n">
        <v>7</v>
      </c>
      <c r="E1802" s="189" t="inlineStr">
        <is>
          <t>HIGH</t>
        </is>
      </c>
      <c r="F1802" s="189" t="n">
        <v>3</v>
      </c>
      <c r="G1802" s="189" t="n">
        <v>2</v>
      </c>
      <c r="H1802" s="189" t="inlineStr">
        <is>
          <t>HIGH</t>
        </is>
      </c>
      <c r="I1802" s="189" t="n">
        <v>13</v>
      </c>
      <c r="J1802" s="189" t="inlineStr">
        <is>
          <t>NO</t>
        </is>
      </c>
      <c r="K1802" s="190" t="inlineStr">
        <is>
          <t>https://talosintelligence.com/reputation_center/lookup?search=1.24.16.220</t>
        </is>
      </c>
      <c r="L1802" s="189" t="inlineStr">
        <is>
          <t>2026-02-23 23:48</t>
        </is>
      </c>
      <c r="M1802" s="189" t="inlineStr">
        <is>
          <t>Block IP</t>
        </is>
      </c>
      <c r="N1802" s="190" t="inlineStr">
        <is>
          <t>https://talosintelligence.com/reputation_center/lookup?search=1.24.16.220</t>
        </is>
      </c>
      <c r="O1802" s="189" t="inlineStr">
        <is>
          <t>Block IP 1.24.16.220 at firewall | Cisco Talos confirmed malicious</t>
        </is>
      </c>
      <c r="P1802" s="189" t="inlineStr">
        <is>
          <t>Network perimeter / Email / Web</t>
        </is>
      </c>
      <c r="Q1802" s="189" t="inlineStr">
        <is>
          <t>P3</t>
        </is>
      </c>
      <c r="R1802" s="189" t="inlineStr">
        <is>
          <t>🚫 Block IP at firewall immediately | 🔍 Check logs for existing connections | 🛡️ Add to threat intelligence blocklist</t>
        </is>
      </c>
      <c r="S1802" s="189" t="inlineStr">
        <is>
          <t>Check ip-api.com + AbuseIPDB for context</t>
        </is>
      </c>
      <c r="T1802" s="189" t="n">
        <v>0</v>
      </c>
      <c r="U1802" s="189" t="n">
        <v>0</v>
      </c>
      <c r="V1802" s="189" t="inlineStr">
        <is>
          <t>T1110:Brute Force | T1190:Exploit Public-Facing Application | T1566:Phishing</t>
        </is>
      </c>
      <c r="W1802" s="189" t="n">
        <v>1</v>
      </c>
      <c r="X1802" s="189" t="inlineStr">
        <is>
          <t>MEDIUM (60%)</t>
        </is>
      </c>
      <c r="Y1802" s="189" t="inlineStr">
        <is>
          <t>NONE</t>
        </is>
      </c>
      <c r="Z1802" s="189" t="inlineStr">
        <is>
          <t>NONE</t>
        </is>
      </c>
      <c r="AA1802" s="189" t="inlineStr">
        <is>
          <t>NONE</t>
        </is>
      </c>
      <c r="AB1802" s="189" t="inlineStr">
        <is>
          <t>NONE</t>
        </is>
      </c>
      <c r="AC1802" s="189" t="n">
        <v>0</v>
      </c>
      <c r="AD1802" s="189" t="n"/>
    </row>
    <row r="1803">
      <c r="A1803" s="189" t="inlineStr">
        <is>
          <t>TALOS_IP</t>
        </is>
      </c>
      <c r="B1803" s="189" t="inlineStr">
        <is>
          <t>032eb4ca7703</t>
        </is>
      </c>
      <c r="C1803" s="189" t="inlineStr">
        <is>
          <t>Cisco Talos Blacklisted IP: 1.24.16.223 | Verified malicious | Sources: TALOS</t>
        </is>
      </c>
      <c r="D1803" s="189" t="n">
        <v>7</v>
      </c>
      <c r="E1803" s="189" t="inlineStr">
        <is>
          <t>HIGH</t>
        </is>
      </c>
      <c r="F1803" s="189" t="n">
        <v>3</v>
      </c>
      <c r="G1803" s="189" t="n">
        <v>2</v>
      </c>
      <c r="H1803" s="189" t="inlineStr">
        <is>
          <t>HIGH</t>
        </is>
      </c>
      <c r="I1803" s="189" t="n">
        <v>13</v>
      </c>
      <c r="J1803" s="189" t="inlineStr">
        <is>
          <t>NO</t>
        </is>
      </c>
      <c r="K1803" s="190" t="inlineStr">
        <is>
          <t>https://talosintelligence.com/reputation_center/lookup?search=1.24.16.223</t>
        </is>
      </c>
      <c r="L1803" s="189" t="inlineStr">
        <is>
          <t>2026-02-23 23:48</t>
        </is>
      </c>
      <c r="M1803" s="189" t="inlineStr">
        <is>
          <t>Block IP</t>
        </is>
      </c>
      <c r="N1803" s="190" t="inlineStr">
        <is>
          <t>https://talosintelligence.com/reputation_center/lookup?search=1.24.16.223</t>
        </is>
      </c>
      <c r="O1803" s="189" t="inlineStr">
        <is>
          <t>Block IP 1.24.16.223 at firewall | Cisco Talos confirmed malicious</t>
        </is>
      </c>
      <c r="P1803" s="189" t="inlineStr">
        <is>
          <t>Network perimeter / Email / Web</t>
        </is>
      </c>
      <c r="Q1803" s="189" t="inlineStr">
        <is>
          <t>P3</t>
        </is>
      </c>
      <c r="R1803" s="189" t="inlineStr">
        <is>
          <t>🚫 Block IP at firewall immediately | 🔍 Check logs for existing connections | 🛡️ Add to threat intelligence blocklist</t>
        </is>
      </c>
      <c r="S1803" s="189" t="inlineStr">
        <is>
          <t>Check ip-api.com + AbuseIPDB for context</t>
        </is>
      </c>
      <c r="T1803" s="189" t="n">
        <v>0</v>
      </c>
      <c r="U1803" s="189" t="n">
        <v>0</v>
      </c>
      <c r="V1803" s="189" t="inlineStr">
        <is>
          <t>T1110:Brute Force | T1190:Exploit Public-Facing Application | T1566:Phishing</t>
        </is>
      </c>
      <c r="W1803" s="189" t="n">
        <v>1</v>
      </c>
      <c r="X1803" s="189" t="inlineStr">
        <is>
          <t>MEDIUM (60%)</t>
        </is>
      </c>
      <c r="Y1803" s="189" t="inlineStr">
        <is>
          <t>NONE</t>
        </is>
      </c>
      <c r="Z1803" s="189" t="inlineStr">
        <is>
          <t>NONE</t>
        </is>
      </c>
      <c r="AA1803" s="189" t="inlineStr">
        <is>
          <t>NONE</t>
        </is>
      </c>
      <c r="AB1803" s="189" t="inlineStr">
        <is>
          <t>NONE</t>
        </is>
      </c>
      <c r="AC1803" s="189" t="n">
        <v>0</v>
      </c>
      <c r="AD1803" s="189" t="n"/>
    </row>
    <row r="1804">
      <c r="A1804" s="189" t="inlineStr">
        <is>
          <t>TALOS_IP</t>
        </is>
      </c>
      <c r="B1804" s="189" t="inlineStr">
        <is>
          <t>5f66be6fc095</t>
        </is>
      </c>
      <c r="C1804" s="189" t="inlineStr">
        <is>
          <t>Cisco Talos Blacklisted IP: 1.24.16.227 | Verified malicious | Sources: TALOS</t>
        </is>
      </c>
      <c r="D1804" s="189" t="n">
        <v>7</v>
      </c>
      <c r="E1804" s="189" t="inlineStr">
        <is>
          <t>HIGH</t>
        </is>
      </c>
      <c r="F1804" s="189" t="n">
        <v>3</v>
      </c>
      <c r="G1804" s="189" t="n">
        <v>2</v>
      </c>
      <c r="H1804" s="189" t="inlineStr">
        <is>
          <t>HIGH</t>
        </is>
      </c>
      <c r="I1804" s="189" t="n">
        <v>13</v>
      </c>
      <c r="J1804" s="189" t="inlineStr">
        <is>
          <t>NO</t>
        </is>
      </c>
      <c r="K1804" s="190" t="inlineStr">
        <is>
          <t>https://talosintelligence.com/reputation_center/lookup?search=1.24.16.227</t>
        </is>
      </c>
      <c r="L1804" s="189" t="inlineStr">
        <is>
          <t>2026-02-23 23:48</t>
        </is>
      </c>
      <c r="M1804" s="189" t="inlineStr">
        <is>
          <t>Block IP</t>
        </is>
      </c>
      <c r="N1804" s="190" t="inlineStr">
        <is>
          <t>https://talosintelligence.com/reputation_center/lookup?search=1.24.16.227</t>
        </is>
      </c>
      <c r="O1804" s="189" t="inlineStr">
        <is>
          <t>Block IP 1.24.16.227 at firewall | Cisco Talos confirmed malicious</t>
        </is>
      </c>
      <c r="P1804" s="189" t="inlineStr">
        <is>
          <t>Network perimeter / Email / Web</t>
        </is>
      </c>
      <c r="Q1804" s="189" t="inlineStr">
        <is>
          <t>P3</t>
        </is>
      </c>
      <c r="R1804" s="189" t="inlineStr">
        <is>
          <t>🚫 Block IP at firewall immediately | 🔍 Check logs for existing connections | 🛡️ Add to threat intelligence blocklist</t>
        </is>
      </c>
      <c r="S1804" s="189" t="inlineStr">
        <is>
          <t>Check ip-api.com + AbuseIPDB for context</t>
        </is>
      </c>
      <c r="T1804" s="189" t="n">
        <v>0</v>
      </c>
      <c r="U1804" s="189" t="n">
        <v>0</v>
      </c>
      <c r="V1804" s="189" t="inlineStr">
        <is>
          <t>T1110:Brute Force | T1190:Exploit Public-Facing Application | T1566:Phishing</t>
        </is>
      </c>
      <c r="W1804" s="189" t="n">
        <v>1</v>
      </c>
      <c r="X1804" s="189" t="inlineStr">
        <is>
          <t>MEDIUM (60%)</t>
        </is>
      </c>
      <c r="Y1804" s="189" t="inlineStr">
        <is>
          <t>NONE</t>
        </is>
      </c>
      <c r="Z1804" s="189" t="inlineStr">
        <is>
          <t>NONE</t>
        </is>
      </c>
      <c r="AA1804" s="189" t="inlineStr">
        <is>
          <t>NONE</t>
        </is>
      </c>
      <c r="AB1804" s="189" t="inlineStr">
        <is>
          <t>NONE</t>
        </is>
      </c>
      <c r="AC1804" s="189" t="n">
        <v>0</v>
      </c>
      <c r="AD1804" s="189" t="n"/>
    </row>
    <row r="1805">
      <c r="A1805" s="189" t="inlineStr">
        <is>
          <t>TALOS_IP</t>
        </is>
      </c>
      <c r="B1805" s="189" t="inlineStr">
        <is>
          <t>59d75bed3139</t>
        </is>
      </c>
      <c r="C1805" s="189" t="inlineStr">
        <is>
          <t>Cisco Talos Blacklisted IP: 1.24.16.230 | Verified malicious | Sources: TALOS</t>
        </is>
      </c>
      <c r="D1805" s="189" t="n">
        <v>7</v>
      </c>
      <c r="E1805" s="189" t="inlineStr">
        <is>
          <t>HIGH</t>
        </is>
      </c>
      <c r="F1805" s="189" t="n">
        <v>3</v>
      </c>
      <c r="G1805" s="189" t="n">
        <v>2</v>
      </c>
      <c r="H1805" s="189" t="inlineStr">
        <is>
          <t>HIGH</t>
        </is>
      </c>
      <c r="I1805" s="189" t="n">
        <v>13</v>
      </c>
      <c r="J1805" s="189" t="inlineStr">
        <is>
          <t>NO</t>
        </is>
      </c>
      <c r="K1805" s="190" t="inlineStr">
        <is>
          <t>https://talosintelligence.com/reputation_center/lookup?search=1.24.16.230</t>
        </is>
      </c>
      <c r="L1805" s="189" t="inlineStr">
        <is>
          <t>2026-02-23 23:48</t>
        </is>
      </c>
      <c r="M1805" s="189" t="inlineStr">
        <is>
          <t>Block IP</t>
        </is>
      </c>
      <c r="N1805" s="190" t="inlineStr">
        <is>
          <t>https://talosintelligence.com/reputation_center/lookup?search=1.24.16.230</t>
        </is>
      </c>
      <c r="O1805" s="189" t="inlineStr">
        <is>
          <t>Block IP 1.24.16.230 at firewall | Cisco Talos confirmed malicious</t>
        </is>
      </c>
      <c r="P1805" s="189" t="inlineStr">
        <is>
          <t>Network perimeter / Email / Web</t>
        </is>
      </c>
      <c r="Q1805" s="189" t="inlineStr">
        <is>
          <t>P3</t>
        </is>
      </c>
      <c r="R1805" s="189" t="inlineStr">
        <is>
          <t>🚫 Block IP at firewall immediately | 🔍 Check logs for existing connections | 🛡️ Add to threat intelligence blocklist</t>
        </is>
      </c>
      <c r="S1805" s="189" t="inlineStr">
        <is>
          <t>Check ip-api.com + AbuseIPDB for context</t>
        </is>
      </c>
      <c r="T1805" s="189" t="n">
        <v>0</v>
      </c>
      <c r="U1805" s="189" t="n">
        <v>0</v>
      </c>
      <c r="V1805" s="189" t="inlineStr">
        <is>
          <t>T1110:Brute Force | T1190:Exploit Public-Facing Application | T1566:Phishing</t>
        </is>
      </c>
      <c r="W1805" s="189" t="n">
        <v>1</v>
      </c>
      <c r="X1805" s="189" t="inlineStr">
        <is>
          <t>MEDIUM (60%)</t>
        </is>
      </c>
      <c r="Y1805" s="189" t="inlineStr">
        <is>
          <t>NONE</t>
        </is>
      </c>
      <c r="Z1805" s="189" t="inlineStr">
        <is>
          <t>NONE</t>
        </is>
      </c>
      <c r="AA1805" s="189" t="inlineStr">
        <is>
          <t>NONE</t>
        </is>
      </c>
      <c r="AB1805" s="189" t="inlineStr">
        <is>
          <t>NONE</t>
        </is>
      </c>
      <c r="AC1805" s="189" t="n">
        <v>0</v>
      </c>
      <c r="AD1805" s="189" t="n"/>
    </row>
    <row r="1806">
      <c r="A1806" s="189" t="inlineStr">
        <is>
          <t>TALOS_IP</t>
        </is>
      </c>
      <c r="B1806" s="189" t="inlineStr">
        <is>
          <t>c9509644d38d</t>
        </is>
      </c>
      <c r="C1806" s="189" t="inlineStr">
        <is>
          <t>Cisco Talos Blacklisted IP: 1.24.16.239 | Verified malicious | Sources: TALOS</t>
        </is>
      </c>
      <c r="D1806" s="189" t="n">
        <v>7</v>
      </c>
      <c r="E1806" s="189" t="inlineStr">
        <is>
          <t>HIGH</t>
        </is>
      </c>
      <c r="F1806" s="189" t="n">
        <v>3</v>
      </c>
      <c r="G1806" s="189" t="n">
        <v>2</v>
      </c>
      <c r="H1806" s="189" t="inlineStr">
        <is>
          <t>HIGH</t>
        </is>
      </c>
      <c r="I1806" s="189" t="n">
        <v>13</v>
      </c>
      <c r="J1806" s="189" t="inlineStr">
        <is>
          <t>NO</t>
        </is>
      </c>
      <c r="K1806" s="190" t="inlineStr">
        <is>
          <t>https://talosintelligence.com/reputation_center/lookup?search=1.24.16.239</t>
        </is>
      </c>
      <c r="L1806" s="189" t="inlineStr">
        <is>
          <t>2026-02-23 23:48</t>
        </is>
      </c>
      <c r="M1806" s="189" t="inlineStr">
        <is>
          <t>Block IP</t>
        </is>
      </c>
      <c r="N1806" s="190" t="inlineStr">
        <is>
          <t>https://talosintelligence.com/reputation_center/lookup?search=1.24.16.239</t>
        </is>
      </c>
      <c r="O1806" s="189" t="inlineStr">
        <is>
          <t>Block IP 1.24.16.239 at firewall | Cisco Talos confirmed malicious</t>
        </is>
      </c>
      <c r="P1806" s="189" t="inlineStr">
        <is>
          <t>Network perimeter / Email / Web</t>
        </is>
      </c>
      <c r="Q1806" s="189" t="inlineStr">
        <is>
          <t>P3</t>
        </is>
      </c>
      <c r="R1806" s="189" t="inlineStr">
        <is>
          <t>🚫 Block IP at firewall immediately | 🔍 Check logs for existing connections | 🛡️ Add to threat intelligence blocklist</t>
        </is>
      </c>
      <c r="S1806" s="189" t="inlineStr">
        <is>
          <t>Check ip-api.com + AbuseIPDB for context</t>
        </is>
      </c>
      <c r="T1806" s="189" t="n">
        <v>0</v>
      </c>
      <c r="U1806" s="189" t="n">
        <v>0</v>
      </c>
      <c r="V1806" s="189" t="inlineStr">
        <is>
          <t>T1110:Brute Force | T1190:Exploit Public-Facing Application | T1566:Phishing</t>
        </is>
      </c>
      <c r="W1806" s="189" t="n">
        <v>1</v>
      </c>
      <c r="X1806" s="189" t="inlineStr">
        <is>
          <t>MEDIUM (60%)</t>
        </is>
      </c>
      <c r="Y1806" s="189" t="inlineStr">
        <is>
          <t>NONE</t>
        </is>
      </c>
      <c r="Z1806" s="189" t="inlineStr">
        <is>
          <t>NONE</t>
        </is>
      </c>
      <c r="AA1806" s="189" t="inlineStr">
        <is>
          <t>NONE</t>
        </is>
      </c>
      <c r="AB1806" s="189" t="inlineStr">
        <is>
          <t>NONE</t>
        </is>
      </c>
      <c r="AC1806" s="189" t="n">
        <v>0</v>
      </c>
      <c r="AD1806" s="189" t="n"/>
    </row>
    <row r="1807">
      <c r="A1807" s="189" t="inlineStr">
        <is>
          <t>TALOS_IP</t>
        </is>
      </c>
      <c r="B1807" s="189" t="inlineStr">
        <is>
          <t>2b45d5107e18</t>
        </is>
      </c>
      <c r="C1807" s="189" t="inlineStr">
        <is>
          <t>Cisco Talos Blacklisted IP: 1.24.16.243 | Verified malicious | Sources: TALOS</t>
        </is>
      </c>
      <c r="D1807" s="189" t="n">
        <v>7</v>
      </c>
      <c r="E1807" s="189" t="inlineStr">
        <is>
          <t>HIGH</t>
        </is>
      </c>
      <c r="F1807" s="189" t="n">
        <v>3</v>
      </c>
      <c r="G1807" s="189" t="n">
        <v>2</v>
      </c>
      <c r="H1807" s="189" t="inlineStr">
        <is>
          <t>HIGH</t>
        </is>
      </c>
      <c r="I1807" s="189" t="n">
        <v>13</v>
      </c>
      <c r="J1807" s="189" t="inlineStr">
        <is>
          <t>NO</t>
        </is>
      </c>
      <c r="K1807" s="190" t="inlineStr">
        <is>
          <t>https://talosintelligence.com/reputation_center/lookup?search=1.24.16.243</t>
        </is>
      </c>
      <c r="L1807" s="189" t="inlineStr">
        <is>
          <t>2026-02-23 23:48</t>
        </is>
      </c>
      <c r="M1807" s="189" t="inlineStr">
        <is>
          <t>Block IP</t>
        </is>
      </c>
      <c r="N1807" s="190" t="inlineStr">
        <is>
          <t>https://talosintelligence.com/reputation_center/lookup?search=1.24.16.243</t>
        </is>
      </c>
      <c r="O1807" s="189" t="inlineStr">
        <is>
          <t>Block IP 1.24.16.243 at firewall | Cisco Talos confirmed malicious</t>
        </is>
      </c>
      <c r="P1807" s="189" t="inlineStr">
        <is>
          <t>Network perimeter / Email / Web</t>
        </is>
      </c>
      <c r="Q1807" s="189" t="inlineStr">
        <is>
          <t>P3</t>
        </is>
      </c>
      <c r="R1807" s="189" t="inlineStr">
        <is>
          <t>🚫 Block IP at firewall immediately | 🔍 Check logs for existing connections | 🛡️ Add to threat intelligence blocklist</t>
        </is>
      </c>
      <c r="S1807" s="189" t="inlineStr">
        <is>
          <t>Check ip-api.com + AbuseIPDB for context</t>
        </is>
      </c>
      <c r="T1807" s="189" t="n">
        <v>0</v>
      </c>
      <c r="U1807" s="189" t="n">
        <v>0</v>
      </c>
      <c r="V1807" s="189" t="inlineStr">
        <is>
          <t>T1110:Brute Force | T1190:Exploit Public-Facing Application | T1566:Phishing</t>
        </is>
      </c>
      <c r="W1807" s="189" t="n">
        <v>1</v>
      </c>
      <c r="X1807" s="189" t="inlineStr">
        <is>
          <t>MEDIUM (60%)</t>
        </is>
      </c>
      <c r="Y1807" s="189" t="inlineStr">
        <is>
          <t>NONE</t>
        </is>
      </c>
      <c r="Z1807" s="189" t="inlineStr">
        <is>
          <t>NONE</t>
        </is>
      </c>
      <c r="AA1807" s="189" t="inlineStr">
        <is>
          <t>NONE</t>
        </is>
      </c>
      <c r="AB1807" s="189" t="inlineStr">
        <is>
          <t>NONE</t>
        </is>
      </c>
      <c r="AC1807" s="189" t="n">
        <v>0</v>
      </c>
      <c r="AD1807" s="189" t="n"/>
    </row>
    <row r="1808">
      <c r="A1808" s="189" t="inlineStr">
        <is>
          <t>TALOS_IP</t>
        </is>
      </c>
      <c r="B1808" s="189" t="inlineStr">
        <is>
          <t>073e2d104f11</t>
        </is>
      </c>
      <c r="C1808" s="189" t="inlineStr">
        <is>
          <t>Cisco Talos Blacklisted IP: 1.24.16.245 | Verified malicious | Sources: TALOS</t>
        </is>
      </c>
      <c r="D1808" s="189" t="n">
        <v>7</v>
      </c>
      <c r="E1808" s="189" t="inlineStr">
        <is>
          <t>HIGH</t>
        </is>
      </c>
      <c r="F1808" s="189" t="n">
        <v>3</v>
      </c>
      <c r="G1808" s="189" t="n">
        <v>2</v>
      </c>
      <c r="H1808" s="189" t="inlineStr">
        <is>
          <t>HIGH</t>
        </is>
      </c>
      <c r="I1808" s="189" t="n">
        <v>13</v>
      </c>
      <c r="J1808" s="189" t="inlineStr">
        <is>
          <t>NO</t>
        </is>
      </c>
      <c r="K1808" s="190" t="inlineStr">
        <is>
          <t>https://talosintelligence.com/reputation_center/lookup?search=1.24.16.245</t>
        </is>
      </c>
      <c r="L1808" s="189" t="inlineStr">
        <is>
          <t>2026-02-23 23:48</t>
        </is>
      </c>
      <c r="M1808" s="189" t="inlineStr">
        <is>
          <t>Block IP</t>
        </is>
      </c>
      <c r="N1808" s="190" t="inlineStr">
        <is>
          <t>https://talosintelligence.com/reputation_center/lookup?search=1.24.16.245</t>
        </is>
      </c>
      <c r="O1808" s="189" t="inlineStr">
        <is>
          <t>Block IP 1.24.16.245 at firewall | Cisco Talos confirmed malicious</t>
        </is>
      </c>
      <c r="P1808" s="189" t="inlineStr">
        <is>
          <t>Network perimeter / Email / Web</t>
        </is>
      </c>
      <c r="Q1808" s="189" t="inlineStr">
        <is>
          <t>P3</t>
        </is>
      </c>
      <c r="R1808" s="189" t="inlineStr">
        <is>
          <t>🚫 Block IP at firewall immediately | 🔍 Check logs for existing connections | 🛡️ Add to threat intelligence blocklist</t>
        </is>
      </c>
      <c r="S1808" s="189" t="inlineStr">
        <is>
          <t>Check ip-api.com + AbuseIPDB for context</t>
        </is>
      </c>
      <c r="T1808" s="189" t="n">
        <v>0</v>
      </c>
      <c r="U1808" s="189" t="n">
        <v>0</v>
      </c>
      <c r="V1808" s="189" t="inlineStr">
        <is>
          <t>T1110:Brute Force | T1190:Exploit Public-Facing Application | T1566:Phishing</t>
        </is>
      </c>
      <c r="W1808" s="189" t="n">
        <v>1</v>
      </c>
      <c r="X1808" s="189" t="inlineStr">
        <is>
          <t>MEDIUM (60%)</t>
        </is>
      </c>
      <c r="Y1808" s="189" t="inlineStr">
        <is>
          <t>NONE</t>
        </is>
      </c>
      <c r="Z1808" s="189" t="inlineStr">
        <is>
          <t>NONE</t>
        </is>
      </c>
      <c r="AA1808" s="189" t="inlineStr">
        <is>
          <t>NONE</t>
        </is>
      </c>
      <c r="AB1808" s="189" t="inlineStr">
        <is>
          <t>NONE</t>
        </is>
      </c>
      <c r="AC1808" s="189" t="n">
        <v>0</v>
      </c>
      <c r="AD1808" s="189" t="n"/>
    </row>
    <row r="1809">
      <c r="A1809" s="189" t="inlineStr">
        <is>
          <t>TALOS_IP</t>
        </is>
      </c>
      <c r="B1809" s="189" t="inlineStr">
        <is>
          <t>736146810d07</t>
        </is>
      </c>
      <c r="C1809" s="189" t="inlineStr">
        <is>
          <t>Cisco Talos Blacklisted IP: 1.24.16.246 | Verified malicious | Sources: TALOS</t>
        </is>
      </c>
      <c r="D1809" s="189" t="n">
        <v>7</v>
      </c>
      <c r="E1809" s="189" t="inlineStr">
        <is>
          <t>HIGH</t>
        </is>
      </c>
      <c r="F1809" s="189" t="n">
        <v>3</v>
      </c>
      <c r="G1809" s="189" t="n">
        <v>2</v>
      </c>
      <c r="H1809" s="189" t="inlineStr">
        <is>
          <t>HIGH</t>
        </is>
      </c>
      <c r="I1809" s="189" t="n">
        <v>13</v>
      </c>
      <c r="J1809" s="189" t="inlineStr">
        <is>
          <t>NO</t>
        </is>
      </c>
      <c r="K1809" s="190" t="inlineStr">
        <is>
          <t>https://talosintelligence.com/reputation_center/lookup?search=1.24.16.246</t>
        </is>
      </c>
      <c r="L1809" s="189" t="inlineStr">
        <is>
          <t>2026-02-23 23:48</t>
        </is>
      </c>
      <c r="M1809" s="189" t="inlineStr">
        <is>
          <t>Block IP</t>
        </is>
      </c>
      <c r="N1809" s="190" t="inlineStr">
        <is>
          <t>https://talosintelligence.com/reputation_center/lookup?search=1.24.16.246</t>
        </is>
      </c>
      <c r="O1809" s="189" t="inlineStr">
        <is>
          <t>Block IP 1.24.16.246 at firewall | Cisco Talos confirmed malicious</t>
        </is>
      </c>
      <c r="P1809" s="189" t="inlineStr">
        <is>
          <t>Network perimeter / Email / Web</t>
        </is>
      </c>
      <c r="Q1809" s="189" t="inlineStr">
        <is>
          <t>P3</t>
        </is>
      </c>
      <c r="R1809" s="189" t="inlineStr">
        <is>
          <t>🚫 Block IP at firewall immediately | 🔍 Check logs for existing connections | 🛡️ Add to threat intelligence blocklist</t>
        </is>
      </c>
      <c r="S1809" s="189" t="inlineStr">
        <is>
          <t>Check ip-api.com + AbuseIPDB for context</t>
        </is>
      </c>
      <c r="T1809" s="189" t="n">
        <v>0</v>
      </c>
      <c r="U1809" s="189" t="n">
        <v>0</v>
      </c>
      <c r="V1809" s="189" t="inlineStr">
        <is>
          <t>T1110:Brute Force | T1190:Exploit Public-Facing Application | T1566:Phishing</t>
        </is>
      </c>
      <c r="W1809" s="189" t="n">
        <v>1</v>
      </c>
      <c r="X1809" s="189" t="inlineStr">
        <is>
          <t>MEDIUM (60%)</t>
        </is>
      </c>
      <c r="Y1809" s="189" t="inlineStr">
        <is>
          <t>NONE</t>
        </is>
      </c>
      <c r="Z1809" s="189" t="inlineStr">
        <is>
          <t>NONE</t>
        </is>
      </c>
      <c r="AA1809" s="189" t="inlineStr">
        <is>
          <t>NONE</t>
        </is>
      </c>
      <c r="AB1809" s="189" t="inlineStr">
        <is>
          <t>NONE</t>
        </is>
      </c>
      <c r="AC1809" s="189" t="n">
        <v>0</v>
      </c>
      <c r="AD1809" s="189" t="n"/>
    </row>
    <row r="1810">
      <c r="A1810" s="189" t="inlineStr">
        <is>
          <t>TALOS_IP</t>
        </is>
      </c>
      <c r="B1810" s="189" t="inlineStr">
        <is>
          <t>123ebee20aae</t>
        </is>
      </c>
      <c r="C1810" s="189" t="inlineStr">
        <is>
          <t>Cisco Talos Blacklisted IP: 1.24.16.251 | Verified malicious | Sources: TALOS</t>
        </is>
      </c>
      <c r="D1810" s="189" t="n">
        <v>7</v>
      </c>
      <c r="E1810" s="189" t="inlineStr">
        <is>
          <t>HIGH</t>
        </is>
      </c>
      <c r="F1810" s="189" t="n">
        <v>3</v>
      </c>
      <c r="G1810" s="189" t="n">
        <v>2</v>
      </c>
      <c r="H1810" s="189" t="inlineStr">
        <is>
          <t>HIGH</t>
        </is>
      </c>
      <c r="I1810" s="189" t="n">
        <v>13</v>
      </c>
      <c r="J1810" s="189" t="inlineStr">
        <is>
          <t>NO</t>
        </is>
      </c>
      <c r="K1810" s="190" t="inlineStr">
        <is>
          <t>https://talosintelligence.com/reputation_center/lookup?search=1.24.16.251</t>
        </is>
      </c>
      <c r="L1810" s="189" t="inlineStr">
        <is>
          <t>2026-02-23 23:48</t>
        </is>
      </c>
      <c r="M1810" s="189" t="inlineStr">
        <is>
          <t>Block IP</t>
        </is>
      </c>
      <c r="N1810" s="190" t="inlineStr">
        <is>
          <t>https://talosintelligence.com/reputation_center/lookup?search=1.24.16.251</t>
        </is>
      </c>
      <c r="O1810" s="189" t="inlineStr">
        <is>
          <t>Block IP 1.24.16.251 at firewall | Cisco Talos confirmed malicious</t>
        </is>
      </c>
      <c r="P1810" s="189" t="inlineStr">
        <is>
          <t>Network perimeter / Email / Web</t>
        </is>
      </c>
      <c r="Q1810" s="189" t="inlineStr">
        <is>
          <t>P3</t>
        </is>
      </c>
      <c r="R1810" s="189" t="inlineStr">
        <is>
          <t>🚫 Block IP at firewall immediately | 🔍 Check logs for existing connections | 🛡️ Add to threat intelligence blocklist</t>
        </is>
      </c>
      <c r="S1810" s="189" t="inlineStr">
        <is>
          <t>Check ip-api.com + AbuseIPDB for context</t>
        </is>
      </c>
      <c r="T1810" s="189" t="n">
        <v>0</v>
      </c>
      <c r="U1810" s="189" t="n">
        <v>0</v>
      </c>
      <c r="V1810" s="189" t="inlineStr">
        <is>
          <t>T1110:Brute Force | T1190:Exploit Public-Facing Application | T1566:Phishing</t>
        </is>
      </c>
      <c r="W1810" s="189" t="n">
        <v>1</v>
      </c>
      <c r="X1810" s="189" t="inlineStr">
        <is>
          <t>MEDIUM (60%)</t>
        </is>
      </c>
      <c r="Y1810" s="189" t="inlineStr">
        <is>
          <t>NONE</t>
        </is>
      </c>
      <c r="Z1810" s="189" t="inlineStr">
        <is>
          <t>NONE</t>
        </is>
      </c>
      <c r="AA1810" s="189" t="inlineStr">
        <is>
          <t>NONE</t>
        </is>
      </c>
      <c r="AB1810" s="189" t="inlineStr">
        <is>
          <t>NONE</t>
        </is>
      </c>
      <c r="AC1810" s="189" t="n">
        <v>0</v>
      </c>
      <c r="AD1810" s="189" t="n"/>
    </row>
    <row r="1811">
      <c r="A1811" s="189" t="inlineStr">
        <is>
          <t>TALOS_IP</t>
        </is>
      </c>
      <c r="B1811" s="189" t="inlineStr">
        <is>
          <t>c80c158e2287</t>
        </is>
      </c>
      <c r="C1811" s="189" t="inlineStr">
        <is>
          <t>Cisco Talos Blacklisted IP: 1.24.16.253 | Verified malicious | Sources: TALOS</t>
        </is>
      </c>
      <c r="D1811" s="189" t="n">
        <v>7</v>
      </c>
      <c r="E1811" s="189" t="inlineStr">
        <is>
          <t>HIGH</t>
        </is>
      </c>
      <c r="F1811" s="189" t="n">
        <v>3</v>
      </c>
      <c r="G1811" s="189" t="n">
        <v>2</v>
      </c>
      <c r="H1811" s="189" t="inlineStr">
        <is>
          <t>HIGH</t>
        </is>
      </c>
      <c r="I1811" s="189" t="n">
        <v>13</v>
      </c>
      <c r="J1811" s="189" t="inlineStr">
        <is>
          <t>NO</t>
        </is>
      </c>
      <c r="K1811" s="190" t="inlineStr">
        <is>
          <t>https://talosintelligence.com/reputation_center/lookup?search=1.24.16.253</t>
        </is>
      </c>
      <c r="L1811" s="189" t="inlineStr">
        <is>
          <t>2026-02-23 23:48</t>
        </is>
      </c>
      <c r="M1811" s="189" t="inlineStr">
        <is>
          <t>Block IP</t>
        </is>
      </c>
      <c r="N1811" s="190" t="inlineStr">
        <is>
          <t>https://talosintelligence.com/reputation_center/lookup?search=1.24.16.253</t>
        </is>
      </c>
      <c r="O1811" s="189" t="inlineStr">
        <is>
          <t>Block IP 1.24.16.253 at firewall | Cisco Talos confirmed malicious</t>
        </is>
      </c>
      <c r="P1811" s="189" t="inlineStr">
        <is>
          <t>Network perimeter / Email / Web</t>
        </is>
      </c>
      <c r="Q1811" s="189" t="inlineStr">
        <is>
          <t>P3</t>
        </is>
      </c>
      <c r="R1811" s="189" t="inlineStr">
        <is>
          <t>🚫 Block IP at firewall immediately | 🔍 Check logs for existing connections | 🛡️ Add to threat intelligence blocklist</t>
        </is>
      </c>
      <c r="S1811" s="189" t="inlineStr">
        <is>
          <t>Check ip-api.com + AbuseIPDB for context</t>
        </is>
      </c>
      <c r="T1811" s="189" t="n">
        <v>0</v>
      </c>
      <c r="U1811" s="189" t="n">
        <v>0</v>
      </c>
      <c r="V1811" s="189" t="inlineStr">
        <is>
          <t>T1110:Brute Force | T1190:Exploit Public-Facing Application | T1566:Phishing</t>
        </is>
      </c>
      <c r="W1811" s="189" t="n">
        <v>1</v>
      </c>
      <c r="X1811" s="189" t="inlineStr">
        <is>
          <t>MEDIUM (60%)</t>
        </is>
      </c>
      <c r="Y1811" s="189" t="inlineStr">
        <is>
          <t>NONE</t>
        </is>
      </c>
      <c r="Z1811" s="189" t="inlineStr">
        <is>
          <t>NONE</t>
        </is>
      </c>
      <c r="AA1811" s="189" t="inlineStr">
        <is>
          <t>NONE</t>
        </is>
      </c>
      <c r="AB1811" s="189" t="inlineStr">
        <is>
          <t>NONE</t>
        </is>
      </c>
      <c r="AC1811" s="189" t="n">
        <v>0</v>
      </c>
      <c r="AD1811" s="189" t="n"/>
    </row>
    <row r="1812">
      <c r="A1812" s="189" t="inlineStr">
        <is>
          <t>TALOS_IP</t>
        </is>
      </c>
      <c r="B1812" s="189" t="inlineStr">
        <is>
          <t>482e44fe2066</t>
        </is>
      </c>
      <c r="C1812" s="189" t="inlineStr">
        <is>
          <t>Cisco Talos Blacklisted IP: 1.24.16.34 | Verified malicious | Sources: TALOS</t>
        </is>
      </c>
      <c r="D1812" s="189" t="n">
        <v>7</v>
      </c>
      <c r="E1812" s="189" t="inlineStr">
        <is>
          <t>HIGH</t>
        </is>
      </c>
      <c r="F1812" s="189" t="n">
        <v>3</v>
      </c>
      <c r="G1812" s="189" t="n">
        <v>2</v>
      </c>
      <c r="H1812" s="189" t="inlineStr">
        <is>
          <t>HIGH</t>
        </is>
      </c>
      <c r="I1812" s="189" t="n">
        <v>13</v>
      </c>
      <c r="J1812" s="189" t="inlineStr">
        <is>
          <t>NO</t>
        </is>
      </c>
      <c r="K1812" s="190" t="inlineStr">
        <is>
          <t>https://talosintelligence.com/reputation_center/lookup?search=1.24.16.34</t>
        </is>
      </c>
      <c r="L1812" s="189" t="inlineStr">
        <is>
          <t>2026-02-23 23:48</t>
        </is>
      </c>
      <c r="M1812" s="189" t="inlineStr">
        <is>
          <t>Block IP</t>
        </is>
      </c>
      <c r="N1812" s="190" t="inlineStr">
        <is>
          <t>https://talosintelligence.com/reputation_center/lookup?search=1.24.16.34</t>
        </is>
      </c>
      <c r="O1812" s="189" t="inlineStr">
        <is>
          <t>Block IP 1.24.16.34 at firewall | Cisco Talos confirmed malicious</t>
        </is>
      </c>
      <c r="P1812" s="189" t="inlineStr">
        <is>
          <t>Network perimeter / Email / Web</t>
        </is>
      </c>
      <c r="Q1812" s="189" t="inlineStr">
        <is>
          <t>P3</t>
        </is>
      </c>
      <c r="R1812" s="189" t="inlineStr">
        <is>
          <t>🚫 Block IP at firewall immediately | 🔍 Check logs for existing connections | 🛡️ Add to threat intelligence blocklist</t>
        </is>
      </c>
      <c r="S1812" s="189" t="inlineStr">
        <is>
          <t>Check ip-api.com + AbuseIPDB for context</t>
        </is>
      </c>
      <c r="T1812" s="189" t="n">
        <v>0</v>
      </c>
      <c r="U1812" s="189" t="n">
        <v>0</v>
      </c>
      <c r="V1812" s="189" t="inlineStr">
        <is>
          <t>T1110:Brute Force | T1190:Exploit Public-Facing Application | T1566:Phishing</t>
        </is>
      </c>
      <c r="W1812" s="189" t="n">
        <v>1</v>
      </c>
      <c r="X1812" s="189" t="inlineStr">
        <is>
          <t>MEDIUM (60%)</t>
        </is>
      </c>
      <c r="Y1812" s="189" t="inlineStr">
        <is>
          <t>NONE</t>
        </is>
      </c>
      <c r="Z1812" s="189" t="inlineStr">
        <is>
          <t>NONE</t>
        </is>
      </c>
      <c r="AA1812" s="189" t="inlineStr">
        <is>
          <t>NONE</t>
        </is>
      </c>
      <c r="AB1812" s="189" t="inlineStr">
        <is>
          <t>NONE</t>
        </is>
      </c>
      <c r="AC1812" s="189" t="n">
        <v>0</v>
      </c>
      <c r="AD1812" s="189" t="n"/>
    </row>
    <row r="1813">
      <c r="A1813" s="189" t="inlineStr">
        <is>
          <t>TALOS_IP</t>
        </is>
      </c>
      <c r="B1813" s="189" t="inlineStr">
        <is>
          <t>d14b84935e0c</t>
        </is>
      </c>
      <c r="C1813" s="189" t="inlineStr">
        <is>
          <t>Cisco Talos Blacklisted IP: 1.24.16.39 | Verified malicious | Sources: TALOS</t>
        </is>
      </c>
      <c r="D1813" s="189" t="n">
        <v>7</v>
      </c>
      <c r="E1813" s="189" t="inlineStr">
        <is>
          <t>HIGH</t>
        </is>
      </c>
      <c r="F1813" s="189" t="n">
        <v>3</v>
      </c>
      <c r="G1813" s="189" t="n">
        <v>2</v>
      </c>
      <c r="H1813" s="189" t="inlineStr">
        <is>
          <t>HIGH</t>
        </is>
      </c>
      <c r="I1813" s="189" t="n">
        <v>13</v>
      </c>
      <c r="J1813" s="189" t="inlineStr">
        <is>
          <t>NO</t>
        </is>
      </c>
      <c r="K1813" s="190" t="inlineStr">
        <is>
          <t>https://talosintelligence.com/reputation_center/lookup?search=1.24.16.39</t>
        </is>
      </c>
      <c r="L1813" s="189" t="inlineStr">
        <is>
          <t>2026-02-23 23:48</t>
        </is>
      </c>
      <c r="M1813" s="189" t="inlineStr">
        <is>
          <t>Block IP</t>
        </is>
      </c>
      <c r="N1813" s="190" t="inlineStr">
        <is>
          <t>https://talosintelligence.com/reputation_center/lookup?search=1.24.16.39</t>
        </is>
      </c>
      <c r="O1813" s="189" t="inlineStr">
        <is>
          <t>Block IP 1.24.16.39 at firewall | Cisco Talos confirmed malicious</t>
        </is>
      </c>
      <c r="P1813" s="189" t="inlineStr">
        <is>
          <t>Network perimeter / Email / Web</t>
        </is>
      </c>
      <c r="Q1813" s="189" t="inlineStr">
        <is>
          <t>P3</t>
        </is>
      </c>
      <c r="R1813" s="189" t="inlineStr">
        <is>
          <t>🚫 Block IP at firewall immediately | 🔍 Check logs for existing connections | 🛡️ Add to threat intelligence blocklist</t>
        </is>
      </c>
      <c r="S1813" s="189" t="inlineStr">
        <is>
          <t>Check ip-api.com + AbuseIPDB for context</t>
        </is>
      </c>
      <c r="T1813" s="189" t="n">
        <v>0</v>
      </c>
      <c r="U1813" s="189" t="n">
        <v>0</v>
      </c>
      <c r="V1813" s="189" t="inlineStr">
        <is>
          <t>T1110:Brute Force | T1190:Exploit Public-Facing Application | T1566:Phishing</t>
        </is>
      </c>
      <c r="W1813" s="189" t="n">
        <v>1</v>
      </c>
      <c r="X1813" s="189" t="inlineStr">
        <is>
          <t>MEDIUM (60%)</t>
        </is>
      </c>
      <c r="Y1813" s="189" t="inlineStr">
        <is>
          <t>NONE</t>
        </is>
      </c>
      <c r="Z1813" s="189" t="inlineStr">
        <is>
          <t>NONE</t>
        </is>
      </c>
      <c r="AA1813" s="189" t="inlineStr">
        <is>
          <t>NONE</t>
        </is>
      </c>
      <c r="AB1813" s="189" t="inlineStr">
        <is>
          <t>NONE</t>
        </is>
      </c>
      <c r="AC1813" s="189" t="n">
        <v>0</v>
      </c>
      <c r="AD1813" s="189" t="n"/>
    </row>
    <row r="1814">
      <c r="A1814" s="189" t="inlineStr">
        <is>
          <t>TALOS_IP</t>
        </is>
      </c>
      <c r="B1814" s="189" t="inlineStr">
        <is>
          <t>632662d3112b</t>
        </is>
      </c>
      <c r="C1814" s="189" t="inlineStr">
        <is>
          <t>Cisco Talos Blacklisted IP: 1.24.16.41 | Verified malicious | Sources: TALOS</t>
        </is>
      </c>
      <c r="D1814" s="189" t="n">
        <v>7</v>
      </c>
      <c r="E1814" s="189" t="inlineStr">
        <is>
          <t>HIGH</t>
        </is>
      </c>
      <c r="F1814" s="189" t="n">
        <v>3</v>
      </c>
      <c r="G1814" s="189" t="n">
        <v>2</v>
      </c>
      <c r="H1814" s="189" t="inlineStr">
        <is>
          <t>HIGH</t>
        </is>
      </c>
      <c r="I1814" s="189" t="n">
        <v>13</v>
      </c>
      <c r="J1814" s="189" t="inlineStr">
        <is>
          <t>NO</t>
        </is>
      </c>
      <c r="K1814" s="190" t="inlineStr">
        <is>
          <t>https://talosintelligence.com/reputation_center/lookup?search=1.24.16.41</t>
        </is>
      </c>
      <c r="L1814" s="189" t="inlineStr">
        <is>
          <t>2026-02-23 23:48</t>
        </is>
      </c>
      <c r="M1814" s="189" t="inlineStr">
        <is>
          <t>Block IP</t>
        </is>
      </c>
      <c r="N1814" s="190" t="inlineStr">
        <is>
          <t>https://talosintelligence.com/reputation_center/lookup?search=1.24.16.41</t>
        </is>
      </c>
      <c r="O1814" s="189" t="inlineStr">
        <is>
          <t>Block IP 1.24.16.41 at firewall | Cisco Talos confirmed malicious</t>
        </is>
      </c>
      <c r="P1814" s="189" t="inlineStr">
        <is>
          <t>Network perimeter / Email / Web</t>
        </is>
      </c>
      <c r="Q1814" s="189" t="inlineStr">
        <is>
          <t>P3</t>
        </is>
      </c>
      <c r="R1814" s="189" t="inlineStr">
        <is>
          <t>🚫 Block IP at firewall immediately | 🔍 Check logs for existing connections | 🛡️ Add to threat intelligence blocklist</t>
        </is>
      </c>
      <c r="S1814" s="189" t="inlineStr">
        <is>
          <t>Check ip-api.com + AbuseIPDB for context</t>
        </is>
      </c>
      <c r="T1814" s="189" t="n">
        <v>0</v>
      </c>
      <c r="U1814" s="189" t="n">
        <v>0</v>
      </c>
      <c r="V1814" s="189" t="inlineStr">
        <is>
          <t>T1110:Brute Force | T1190:Exploit Public-Facing Application | T1566:Phishing</t>
        </is>
      </c>
      <c r="W1814" s="189" t="n">
        <v>1</v>
      </c>
      <c r="X1814" s="189" t="inlineStr">
        <is>
          <t>MEDIUM (60%)</t>
        </is>
      </c>
      <c r="Y1814" s="189" t="inlineStr">
        <is>
          <t>NONE</t>
        </is>
      </c>
      <c r="Z1814" s="189" t="inlineStr">
        <is>
          <t>NONE</t>
        </is>
      </c>
      <c r="AA1814" s="189" t="inlineStr">
        <is>
          <t>NONE</t>
        </is>
      </c>
      <c r="AB1814" s="189" t="inlineStr">
        <is>
          <t>NONE</t>
        </is>
      </c>
      <c r="AC1814" s="189" t="n">
        <v>0</v>
      </c>
      <c r="AD1814" s="189" t="n"/>
    </row>
    <row r="1815">
      <c r="A1815" s="189" t="inlineStr">
        <is>
          <t>TALOS_IP</t>
        </is>
      </c>
      <c r="B1815" s="189" t="inlineStr">
        <is>
          <t>dd36a1c7a05e</t>
        </is>
      </c>
      <c r="C1815" s="189" t="inlineStr">
        <is>
          <t>Cisco Talos Blacklisted IP: 1.24.16.42 | Verified malicious | Sources: TALOS</t>
        </is>
      </c>
      <c r="D1815" s="189" t="n">
        <v>7</v>
      </c>
      <c r="E1815" s="189" t="inlineStr">
        <is>
          <t>HIGH</t>
        </is>
      </c>
      <c r="F1815" s="189" t="n">
        <v>3</v>
      </c>
      <c r="G1815" s="189" t="n">
        <v>2</v>
      </c>
      <c r="H1815" s="189" t="inlineStr">
        <is>
          <t>HIGH</t>
        </is>
      </c>
      <c r="I1815" s="189" t="n">
        <v>13</v>
      </c>
      <c r="J1815" s="189" t="inlineStr">
        <is>
          <t>NO</t>
        </is>
      </c>
      <c r="K1815" s="190" t="inlineStr">
        <is>
          <t>https://talosintelligence.com/reputation_center/lookup?search=1.24.16.42</t>
        </is>
      </c>
      <c r="L1815" s="189" t="inlineStr">
        <is>
          <t>2026-02-23 23:48</t>
        </is>
      </c>
      <c r="M1815" s="189" t="inlineStr">
        <is>
          <t>Block IP</t>
        </is>
      </c>
      <c r="N1815" s="190" t="inlineStr">
        <is>
          <t>https://talosintelligence.com/reputation_center/lookup?search=1.24.16.42</t>
        </is>
      </c>
      <c r="O1815" s="189" t="inlineStr">
        <is>
          <t>Block IP 1.24.16.42 at firewall | Cisco Talos confirmed malicious</t>
        </is>
      </c>
      <c r="P1815" s="189" t="inlineStr">
        <is>
          <t>Network perimeter / Email / Web</t>
        </is>
      </c>
      <c r="Q1815" s="189" t="inlineStr">
        <is>
          <t>P3</t>
        </is>
      </c>
      <c r="R1815" s="189" t="inlineStr">
        <is>
          <t>🚫 Block IP at firewall immediately | 🔍 Check logs for existing connections | 🛡️ Add to threat intelligence blocklist</t>
        </is>
      </c>
      <c r="S1815" s="189" t="inlineStr">
        <is>
          <t>Check ip-api.com + AbuseIPDB for context</t>
        </is>
      </c>
      <c r="T1815" s="189" t="n">
        <v>0</v>
      </c>
      <c r="U1815" s="189" t="n">
        <v>0</v>
      </c>
      <c r="V1815" s="189" t="inlineStr">
        <is>
          <t>T1110:Brute Force | T1190:Exploit Public-Facing Application | T1566:Phishing</t>
        </is>
      </c>
      <c r="W1815" s="189" t="n">
        <v>1</v>
      </c>
      <c r="X1815" s="189" t="inlineStr">
        <is>
          <t>MEDIUM (60%)</t>
        </is>
      </c>
      <c r="Y1815" s="189" t="inlineStr">
        <is>
          <t>NONE</t>
        </is>
      </c>
      <c r="Z1815" s="189" t="inlineStr">
        <is>
          <t>NONE</t>
        </is>
      </c>
      <c r="AA1815" s="189" t="inlineStr">
        <is>
          <t>NONE</t>
        </is>
      </c>
      <c r="AB1815" s="189" t="inlineStr">
        <is>
          <t>NONE</t>
        </is>
      </c>
      <c r="AC1815" s="189" t="n">
        <v>0</v>
      </c>
      <c r="AD1815" s="189" t="n"/>
    </row>
    <row r="1816">
      <c r="A1816" s="189" t="inlineStr">
        <is>
          <t>TALOS_IP</t>
        </is>
      </c>
      <c r="B1816" s="189" t="inlineStr">
        <is>
          <t>8c0d1e5b6096</t>
        </is>
      </c>
      <c r="C1816" s="189" t="inlineStr">
        <is>
          <t>Cisco Talos Blacklisted IP: 1.24.16.44 | Verified malicious | Sources: TALOS</t>
        </is>
      </c>
      <c r="D1816" s="189" t="n">
        <v>7</v>
      </c>
      <c r="E1816" s="189" t="inlineStr">
        <is>
          <t>HIGH</t>
        </is>
      </c>
      <c r="F1816" s="189" t="n">
        <v>3</v>
      </c>
      <c r="G1816" s="189" t="n">
        <v>2</v>
      </c>
      <c r="H1816" s="189" t="inlineStr">
        <is>
          <t>HIGH</t>
        </is>
      </c>
      <c r="I1816" s="189" t="n">
        <v>13</v>
      </c>
      <c r="J1816" s="189" t="inlineStr">
        <is>
          <t>NO</t>
        </is>
      </c>
      <c r="K1816" s="190" t="inlineStr">
        <is>
          <t>https://talosintelligence.com/reputation_center/lookup?search=1.24.16.44</t>
        </is>
      </c>
      <c r="L1816" s="189" t="inlineStr">
        <is>
          <t>2026-02-23 23:48</t>
        </is>
      </c>
      <c r="M1816" s="189" t="inlineStr">
        <is>
          <t>Block IP</t>
        </is>
      </c>
      <c r="N1816" s="190" t="inlineStr">
        <is>
          <t>https://talosintelligence.com/reputation_center/lookup?search=1.24.16.44</t>
        </is>
      </c>
      <c r="O1816" s="189" t="inlineStr">
        <is>
          <t>Block IP 1.24.16.44 at firewall | Cisco Talos confirmed malicious</t>
        </is>
      </c>
      <c r="P1816" s="189" t="inlineStr">
        <is>
          <t>Network perimeter / Email / Web</t>
        </is>
      </c>
      <c r="Q1816" s="189" t="inlineStr">
        <is>
          <t>P3</t>
        </is>
      </c>
      <c r="R1816" s="189" t="inlineStr">
        <is>
          <t>🚫 Block IP at firewall immediately | 🔍 Check logs for existing connections | 🛡️ Add to threat intelligence blocklist</t>
        </is>
      </c>
      <c r="S1816" s="189" t="inlineStr">
        <is>
          <t>Check ip-api.com + AbuseIPDB for context</t>
        </is>
      </c>
      <c r="T1816" s="189" t="n">
        <v>0</v>
      </c>
      <c r="U1816" s="189" t="n">
        <v>0</v>
      </c>
      <c r="V1816" s="189" t="inlineStr">
        <is>
          <t>T1110:Brute Force | T1190:Exploit Public-Facing Application | T1566:Phishing</t>
        </is>
      </c>
      <c r="W1816" s="189" t="n">
        <v>1</v>
      </c>
      <c r="X1816" s="189" t="inlineStr">
        <is>
          <t>MEDIUM (60%)</t>
        </is>
      </c>
      <c r="Y1816" s="189" t="inlineStr">
        <is>
          <t>NONE</t>
        </is>
      </c>
      <c r="Z1816" s="189" t="inlineStr">
        <is>
          <t>NONE</t>
        </is>
      </c>
      <c r="AA1816" s="189" t="inlineStr">
        <is>
          <t>NONE</t>
        </is>
      </c>
      <c r="AB1816" s="189" t="inlineStr">
        <is>
          <t>NONE</t>
        </is>
      </c>
      <c r="AC1816" s="189" t="n">
        <v>0</v>
      </c>
      <c r="AD1816" s="189" t="n"/>
    </row>
    <row r="1817">
      <c r="A1817" s="189" t="inlineStr">
        <is>
          <t>TALOS_IP</t>
        </is>
      </c>
      <c r="B1817" s="189" t="inlineStr">
        <is>
          <t>5ed2b43f8e62</t>
        </is>
      </c>
      <c r="C1817" s="189" t="inlineStr">
        <is>
          <t>Cisco Talos Blacklisted IP: 1.24.16.45 | Verified malicious | Sources: TALOS</t>
        </is>
      </c>
      <c r="D1817" s="189" t="n">
        <v>7</v>
      </c>
      <c r="E1817" s="189" t="inlineStr">
        <is>
          <t>HIGH</t>
        </is>
      </c>
      <c r="F1817" s="189" t="n">
        <v>3</v>
      </c>
      <c r="G1817" s="189" t="n">
        <v>2</v>
      </c>
      <c r="H1817" s="189" t="inlineStr">
        <is>
          <t>HIGH</t>
        </is>
      </c>
      <c r="I1817" s="189" t="n">
        <v>13</v>
      </c>
      <c r="J1817" s="189" t="inlineStr">
        <is>
          <t>NO</t>
        </is>
      </c>
      <c r="K1817" s="190" t="inlineStr">
        <is>
          <t>https://talosintelligence.com/reputation_center/lookup?search=1.24.16.45</t>
        </is>
      </c>
      <c r="L1817" s="189" t="inlineStr">
        <is>
          <t>2026-02-23 23:48</t>
        </is>
      </c>
      <c r="M1817" s="189" t="inlineStr">
        <is>
          <t>Block IP</t>
        </is>
      </c>
      <c r="N1817" s="190" t="inlineStr">
        <is>
          <t>https://talosintelligence.com/reputation_center/lookup?search=1.24.16.45</t>
        </is>
      </c>
      <c r="O1817" s="189" t="inlineStr">
        <is>
          <t>Block IP 1.24.16.45 at firewall | Cisco Talos confirmed malicious</t>
        </is>
      </c>
      <c r="P1817" s="189" t="inlineStr">
        <is>
          <t>Network perimeter / Email / Web</t>
        </is>
      </c>
      <c r="Q1817" s="189" t="inlineStr">
        <is>
          <t>P3</t>
        </is>
      </c>
      <c r="R1817" s="189" t="inlineStr">
        <is>
          <t>🚫 Block IP at firewall immediately | 🔍 Check logs for existing connections | 🛡️ Add to threat intelligence blocklist</t>
        </is>
      </c>
      <c r="S1817" s="189" t="inlineStr">
        <is>
          <t>Check ip-api.com + AbuseIPDB for context</t>
        </is>
      </c>
      <c r="T1817" s="189" t="n">
        <v>0</v>
      </c>
      <c r="U1817" s="189" t="n">
        <v>0</v>
      </c>
      <c r="V1817" s="189" t="inlineStr">
        <is>
          <t>T1110:Brute Force | T1190:Exploit Public-Facing Application | T1566:Phishing</t>
        </is>
      </c>
      <c r="W1817" s="189" t="n">
        <v>1</v>
      </c>
      <c r="X1817" s="189" t="inlineStr">
        <is>
          <t>MEDIUM (60%)</t>
        </is>
      </c>
      <c r="Y1817" s="189" t="inlineStr">
        <is>
          <t>NONE</t>
        </is>
      </c>
      <c r="Z1817" s="189" t="inlineStr">
        <is>
          <t>NONE</t>
        </is>
      </c>
      <c r="AA1817" s="189" t="inlineStr">
        <is>
          <t>NONE</t>
        </is>
      </c>
      <c r="AB1817" s="189" t="inlineStr">
        <is>
          <t>NONE</t>
        </is>
      </c>
      <c r="AC1817" s="189" t="n">
        <v>0</v>
      </c>
      <c r="AD1817" s="189" t="n"/>
    </row>
    <row r="1818">
      <c r="A1818" s="189" t="inlineStr">
        <is>
          <t>TALOS_IP</t>
        </is>
      </c>
      <c r="B1818" s="189" t="inlineStr">
        <is>
          <t>3917f01ba62e</t>
        </is>
      </c>
      <c r="C1818" s="189" t="inlineStr">
        <is>
          <t>Cisco Talos Blacklisted IP: 1.24.16.49 | Verified malicious | Sources: TALOS</t>
        </is>
      </c>
      <c r="D1818" s="189" t="n">
        <v>7</v>
      </c>
      <c r="E1818" s="189" t="inlineStr">
        <is>
          <t>HIGH</t>
        </is>
      </c>
      <c r="F1818" s="189" t="n">
        <v>3</v>
      </c>
      <c r="G1818" s="189" t="n">
        <v>2</v>
      </c>
      <c r="H1818" s="189" t="inlineStr">
        <is>
          <t>HIGH</t>
        </is>
      </c>
      <c r="I1818" s="189" t="n">
        <v>13</v>
      </c>
      <c r="J1818" s="189" t="inlineStr">
        <is>
          <t>NO</t>
        </is>
      </c>
      <c r="K1818" s="190" t="inlineStr">
        <is>
          <t>https://talosintelligence.com/reputation_center/lookup?search=1.24.16.49</t>
        </is>
      </c>
      <c r="L1818" s="189" t="inlineStr">
        <is>
          <t>2026-02-23 23:48</t>
        </is>
      </c>
      <c r="M1818" s="189" t="inlineStr">
        <is>
          <t>Block IP</t>
        </is>
      </c>
      <c r="N1818" s="190" t="inlineStr">
        <is>
          <t>https://talosintelligence.com/reputation_center/lookup?search=1.24.16.49</t>
        </is>
      </c>
      <c r="O1818" s="189" t="inlineStr">
        <is>
          <t>Block IP 1.24.16.49 at firewall | Cisco Talos confirmed malicious</t>
        </is>
      </c>
      <c r="P1818" s="189" t="inlineStr">
        <is>
          <t>Network perimeter / Email / Web</t>
        </is>
      </c>
      <c r="Q1818" s="189" t="inlineStr">
        <is>
          <t>P3</t>
        </is>
      </c>
      <c r="R1818" s="189" t="inlineStr">
        <is>
          <t>🚫 Block IP at firewall immediately | 🔍 Check logs for existing connections | 🛡️ Add to threat intelligence blocklist</t>
        </is>
      </c>
      <c r="S1818" s="189" t="inlineStr">
        <is>
          <t>Check ip-api.com + AbuseIPDB for context</t>
        </is>
      </c>
      <c r="T1818" s="189" t="n">
        <v>0</v>
      </c>
      <c r="U1818" s="189" t="n">
        <v>0</v>
      </c>
      <c r="V1818" s="189" t="inlineStr">
        <is>
          <t>T1110:Brute Force | T1190:Exploit Public-Facing Application | T1566:Phishing</t>
        </is>
      </c>
      <c r="W1818" s="189" t="n">
        <v>1</v>
      </c>
      <c r="X1818" s="189" t="inlineStr">
        <is>
          <t>MEDIUM (60%)</t>
        </is>
      </c>
      <c r="Y1818" s="189" t="inlineStr">
        <is>
          <t>NONE</t>
        </is>
      </c>
      <c r="Z1818" s="189" t="inlineStr">
        <is>
          <t>NONE</t>
        </is>
      </c>
      <c r="AA1818" s="189" t="inlineStr">
        <is>
          <t>NONE</t>
        </is>
      </c>
      <c r="AB1818" s="189" t="inlineStr">
        <is>
          <t>NONE</t>
        </is>
      </c>
      <c r="AC1818" s="189" t="n">
        <v>0</v>
      </c>
      <c r="AD1818" s="189" t="n"/>
    </row>
    <row r="1819">
      <c r="A1819" s="189" t="inlineStr">
        <is>
          <t>TALOS_IP</t>
        </is>
      </c>
      <c r="B1819" s="189" t="inlineStr">
        <is>
          <t>827f786becbf</t>
        </is>
      </c>
      <c r="C1819" s="189" t="inlineStr">
        <is>
          <t>Cisco Talos Blacklisted IP: 1.24.16.50 | Verified malicious | Sources: TALOS</t>
        </is>
      </c>
      <c r="D1819" s="189" t="n">
        <v>7</v>
      </c>
      <c r="E1819" s="189" t="inlineStr">
        <is>
          <t>HIGH</t>
        </is>
      </c>
      <c r="F1819" s="189" t="n">
        <v>3</v>
      </c>
      <c r="G1819" s="189" t="n">
        <v>2</v>
      </c>
      <c r="H1819" s="189" t="inlineStr">
        <is>
          <t>HIGH</t>
        </is>
      </c>
      <c r="I1819" s="189" t="n">
        <v>13</v>
      </c>
      <c r="J1819" s="189" t="inlineStr">
        <is>
          <t>NO</t>
        </is>
      </c>
      <c r="K1819" s="190" t="inlineStr">
        <is>
          <t>https://talosintelligence.com/reputation_center/lookup?search=1.24.16.50</t>
        </is>
      </c>
      <c r="L1819" s="189" t="inlineStr">
        <is>
          <t>2026-02-23 23:48</t>
        </is>
      </c>
      <c r="M1819" s="189" t="inlineStr">
        <is>
          <t>Block IP</t>
        </is>
      </c>
      <c r="N1819" s="190" t="inlineStr">
        <is>
          <t>https://talosintelligence.com/reputation_center/lookup?search=1.24.16.50</t>
        </is>
      </c>
      <c r="O1819" s="189" t="inlineStr">
        <is>
          <t>Block IP 1.24.16.50 at firewall | Cisco Talos confirmed malicious</t>
        </is>
      </c>
      <c r="P1819" s="189" t="inlineStr">
        <is>
          <t>Network perimeter / Email / Web</t>
        </is>
      </c>
      <c r="Q1819" s="189" t="inlineStr">
        <is>
          <t>P3</t>
        </is>
      </c>
      <c r="R1819" s="189" t="inlineStr">
        <is>
          <t>🚫 Block IP at firewall immediately | 🔍 Check logs for existing connections | 🛡️ Add to threat intelligence blocklist</t>
        </is>
      </c>
      <c r="S1819" s="189" t="inlineStr">
        <is>
          <t>Check ip-api.com + AbuseIPDB for context</t>
        </is>
      </c>
      <c r="T1819" s="189" t="n">
        <v>0</v>
      </c>
      <c r="U1819" s="189" t="n">
        <v>0</v>
      </c>
      <c r="V1819" s="189" t="inlineStr">
        <is>
          <t>T1110:Brute Force | T1190:Exploit Public-Facing Application | T1566:Phishing</t>
        </is>
      </c>
      <c r="W1819" s="189" t="n">
        <v>1</v>
      </c>
      <c r="X1819" s="189" t="inlineStr">
        <is>
          <t>MEDIUM (60%)</t>
        </is>
      </c>
      <c r="Y1819" s="189" t="inlineStr">
        <is>
          <t>NONE</t>
        </is>
      </c>
      <c r="Z1819" s="189" t="inlineStr">
        <is>
          <t>NONE</t>
        </is>
      </c>
      <c r="AA1819" s="189" t="inlineStr">
        <is>
          <t>NONE</t>
        </is>
      </c>
      <c r="AB1819" s="189" t="inlineStr">
        <is>
          <t>NONE</t>
        </is>
      </c>
      <c r="AC1819" s="189" t="n">
        <v>0</v>
      </c>
      <c r="AD1819" s="189" t="n"/>
    </row>
    <row r="1820">
      <c r="A1820" s="189" t="inlineStr">
        <is>
          <t>TALOS_IP</t>
        </is>
      </c>
      <c r="B1820" s="189" t="inlineStr">
        <is>
          <t>e67a7705152f</t>
        </is>
      </c>
      <c r="C1820" s="189" t="inlineStr">
        <is>
          <t>Cisco Talos Blacklisted IP: 1.24.16.61 | Verified malicious | Sources: TALOS</t>
        </is>
      </c>
      <c r="D1820" s="189" t="n">
        <v>7</v>
      </c>
      <c r="E1820" s="189" t="inlineStr">
        <is>
          <t>HIGH</t>
        </is>
      </c>
      <c r="F1820" s="189" t="n">
        <v>3</v>
      </c>
      <c r="G1820" s="189" t="n">
        <v>2</v>
      </c>
      <c r="H1820" s="189" t="inlineStr">
        <is>
          <t>HIGH</t>
        </is>
      </c>
      <c r="I1820" s="189" t="n">
        <v>13</v>
      </c>
      <c r="J1820" s="189" t="inlineStr">
        <is>
          <t>NO</t>
        </is>
      </c>
      <c r="K1820" s="190" t="inlineStr">
        <is>
          <t>https://talosintelligence.com/reputation_center/lookup?search=1.24.16.61</t>
        </is>
      </c>
      <c r="L1820" s="189" t="inlineStr">
        <is>
          <t>2026-02-23 23:48</t>
        </is>
      </c>
      <c r="M1820" s="189" t="inlineStr">
        <is>
          <t>Block IP</t>
        </is>
      </c>
      <c r="N1820" s="190" t="inlineStr">
        <is>
          <t>https://talosintelligence.com/reputation_center/lookup?search=1.24.16.61</t>
        </is>
      </c>
      <c r="O1820" s="189" t="inlineStr">
        <is>
          <t>Block IP 1.24.16.61 at firewall | Cisco Talos confirmed malicious</t>
        </is>
      </c>
      <c r="P1820" s="189" t="inlineStr">
        <is>
          <t>Network perimeter / Email / Web</t>
        </is>
      </c>
      <c r="Q1820" s="189" t="inlineStr">
        <is>
          <t>P3</t>
        </is>
      </c>
      <c r="R1820" s="189" t="inlineStr">
        <is>
          <t>🚫 Block IP at firewall immediately | 🔍 Check logs for existing connections | 🛡️ Add to threat intelligence blocklist</t>
        </is>
      </c>
      <c r="S1820" s="189" t="inlineStr">
        <is>
          <t>Check ip-api.com + AbuseIPDB for context</t>
        </is>
      </c>
      <c r="T1820" s="189" t="n">
        <v>0</v>
      </c>
      <c r="U1820" s="189" t="n">
        <v>0</v>
      </c>
      <c r="V1820" s="189" t="inlineStr">
        <is>
          <t>T1110:Brute Force | T1190:Exploit Public-Facing Application | T1566:Phishing</t>
        </is>
      </c>
      <c r="W1820" s="189" t="n">
        <v>1</v>
      </c>
      <c r="X1820" s="189" t="inlineStr">
        <is>
          <t>MEDIUM (60%)</t>
        </is>
      </c>
      <c r="Y1820" s="189" t="inlineStr">
        <is>
          <t>NONE</t>
        </is>
      </c>
      <c r="Z1820" s="189" t="inlineStr">
        <is>
          <t>NONE</t>
        </is>
      </c>
      <c r="AA1820" s="189" t="inlineStr">
        <is>
          <t>NONE</t>
        </is>
      </c>
      <c r="AB1820" s="189" t="inlineStr">
        <is>
          <t>NONE</t>
        </is>
      </c>
      <c r="AC1820" s="189" t="n">
        <v>0</v>
      </c>
      <c r="AD1820" s="189" t="n"/>
    </row>
    <row r="1821">
      <c r="A1821" s="189" t="inlineStr">
        <is>
          <t>TALOS_IP</t>
        </is>
      </c>
      <c r="B1821" s="189" t="inlineStr">
        <is>
          <t>8f9fac7ce973</t>
        </is>
      </c>
      <c r="C1821" s="189" t="inlineStr">
        <is>
          <t>Cisco Talos Blacklisted IP: 1.24.16.79 | Verified malicious | Sources: TALOS</t>
        </is>
      </c>
      <c r="D1821" s="189" t="n">
        <v>7</v>
      </c>
      <c r="E1821" s="189" t="inlineStr">
        <is>
          <t>HIGH</t>
        </is>
      </c>
      <c r="F1821" s="189" t="n">
        <v>3</v>
      </c>
      <c r="G1821" s="189" t="n">
        <v>2</v>
      </c>
      <c r="H1821" s="189" t="inlineStr">
        <is>
          <t>HIGH</t>
        </is>
      </c>
      <c r="I1821" s="189" t="n">
        <v>13</v>
      </c>
      <c r="J1821" s="189" t="inlineStr">
        <is>
          <t>NO</t>
        </is>
      </c>
      <c r="K1821" s="190" t="inlineStr">
        <is>
          <t>https://talosintelligence.com/reputation_center/lookup?search=1.24.16.79</t>
        </is>
      </c>
      <c r="L1821" s="189" t="inlineStr">
        <is>
          <t>2026-02-23 23:48</t>
        </is>
      </c>
      <c r="M1821" s="189" t="inlineStr">
        <is>
          <t>Block IP</t>
        </is>
      </c>
      <c r="N1821" s="190" t="inlineStr">
        <is>
          <t>https://talosintelligence.com/reputation_center/lookup?search=1.24.16.79</t>
        </is>
      </c>
      <c r="O1821" s="189" t="inlineStr">
        <is>
          <t>Block IP 1.24.16.79 at firewall | Cisco Talos confirmed malicious</t>
        </is>
      </c>
      <c r="P1821" s="189" t="inlineStr">
        <is>
          <t>Network perimeter / Email / Web</t>
        </is>
      </c>
      <c r="Q1821" s="189" t="inlineStr">
        <is>
          <t>P3</t>
        </is>
      </c>
      <c r="R1821" s="189" t="inlineStr">
        <is>
          <t>🚫 Block IP at firewall immediately | 🔍 Check logs for existing connections | 🛡️ Add to threat intelligence blocklist</t>
        </is>
      </c>
      <c r="S1821" s="189" t="inlineStr">
        <is>
          <t>Check ip-api.com + AbuseIPDB for context</t>
        </is>
      </c>
      <c r="T1821" s="189" t="n">
        <v>0</v>
      </c>
      <c r="U1821" s="189" t="n">
        <v>0</v>
      </c>
      <c r="V1821" s="189" t="inlineStr">
        <is>
          <t>T1110:Brute Force | T1190:Exploit Public-Facing Application | T1566:Phishing</t>
        </is>
      </c>
      <c r="W1821" s="189" t="n">
        <v>1</v>
      </c>
      <c r="X1821" s="189" t="inlineStr">
        <is>
          <t>MEDIUM (60%)</t>
        </is>
      </c>
      <c r="Y1821" s="189" t="inlineStr">
        <is>
          <t>NONE</t>
        </is>
      </c>
      <c r="Z1821" s="189" t="inlineStr">
        <is>
          <t>NONE</t>
        </is>
      </c>
      <c r="AA1821" s="189" t="inlineStr">
        <is>
          <t>NONE</t>
        </is>
      </c>
      <c r="AB1821" s="189" t="inlineStr">
        <is>
          <t>NONE</t>
        </is>
      </c>
      <c r="AC1821" s="189" t="n">
        <v>0</v>
      </c>
      <c r="AD1821" s="189" t="n"/>
    </row>
    <row r="1822">
      <c r="A1822" s="189" t="inlineStr">
        <is>
          <t>TALOS_IP</t>
        </is>
      </c>
      <c r="B1822" s="189" t="inlineStr">
        <is>
          <t>8d054f2bae39</t>
        </is>
      </c>
      <c r="C1822" s="189" t="inlineStr">
        <is>
          <t>Cisco Talos Blacklisted IP: 1.24.16.85 | Verified malicious | Sources: TALOS</t>
        </is>
      </c>
      <c r="D1822" s="189" t="n">
        <v>7</v>
      </c>
      <c r="E1822" s="189" t="inlineStr">
        <is>
          <t>HIGH</t>
        </is>
      </c>
      <c r="F1822" s="189" t="n">
        <v>3</v>
      </c>
      <c r="G1822" s="189" t="n">
        <v>2</v>
      </c>
      <c r="H1822" s="189" t="inlineStr">
        <is>
          <t>HIGH</t>
        </is>
      </c>
      <c r="I1822" s="189" t="n">
        <v>13</v>
      </c>
      <c r="J1822" s="189" t="inlineStr">
        <is>
          <t>NO</t>
        </is>
      </c>
      <c r="K1822" s="190" t="inlineStr">
        <is>
          <t>https://talosintelligence.com/reputation_center/lookup?search=1.24.16.85</t>
        </is>
      </c>
      <c r="L1822" s="189" t="inlineStr">
        <is>
          <t>2026-02-23 23:48</t>
        </is>
      </c>
      <c r="M1822" s="189" t="inlineStr">
        <is>
          <t>Block IP</t>
        </is>
      </c>
      <c r="N1822" s="190" t="inlineStr">
        <is>
          <t>https://talosintelligence.com/reputation_center/lookup?search=1.24.16.85</t>
        </is>
      </c>
      <c r="O1822" s="189" t="inlineStr">
        <is>
          <t>Block IP 1.24.16.85 at firewall | Cisco Talos confirmed malicious</t>
        </is>
      </c>
      <c r="P1822" s="189" t="inlineStr">
        <is>
          <t>Network perimeter / Email / Web</t>
        </is>
      </c>
      <c r="Q1822" s="189" t="inlineStr">
        <is>
          <t>P3</t>
        </is>
      </c>
      <c r="R1822" s="189" t="inlineStr">
        <is>
          <t>🚫 Block IP at firewall immediately | 🔍 Check logs for existing connections | 🛡️ Add to threat intelligence blocklist</t>
        </is>
      </c>
      <c r="S1822" s="189" t="inlineStr">
        <is>
          <t>Check ip-api.com + AbuseIPDB for context</t>
        </is>
      </c>
      <c r="T1822" s="189" t="n">
        <v>0</v>
      </c>
      <c r="U1822" s="189" t="n">
        <v>0</v>
      </c>
      <c r="V1822" s="189" t="inlineStr">
        <is>
          <t>T1110:Brute Force | T1190:Exploit Public-Facing Application | T1566:Phishing</t>
        </is>
      </c>
      <c r="W1822" s="189" t="n">
        <v>1</v>
      </c>
      <c r="X1822" s="189" t="inlineStr">
        <is>
          <t>MEDIUM (60%)</t>
        </is>
      </c>
      <c r="Y1822" s="189" t="inlineStr">
        <is>
          <t>NONE</t>
        </is>
      </c>
      <c r="Z1822" s="189" t="inlineStr">
        <is>
          <t>NONE</t>
        </is>
      </c>
      <c r="AA1822" s="189" t="inlineStr">
        <is>
          <t>NONE</t>
        </is>
      </c>
      <c r="AB1822" s="189" t="inlineStr">
        <is>
          <t>NONE</t>
        </is>
      </c>
      <c r="AC1822" s="189" t="n">
        <v>0</v>
      </c>
      <c r="AD1822" s="189" t="n"/>
    </row>
    <row r="1823">
      <c r="A1823" s="189" t="inlineStr">
        <is>
          <t>TALOS_IP</t>
        </is>
      </c>
      <c r="B1823" s="189" t="inlineStr">
        <is>
          <t>ec5dbbd37b41</t>
        </is>
      </c>
      <c r="C1823" s="189" t="inlineStr">
        <is>
          <t>Cisco Talos Blacklisted IP: 1.24.16.87 | Verified malicious | Sources: TALOS</t>
        </is>
      </c>
      <c r="D1823" s="189" t="n">
        <v>7</v>
      </c>
      <c r="E1823" s="189" t="inlineStr">
        <is>
          <t>HIGH</t>
        </is>
      </c>
      <c r="F1823" s="189" t="n">
        <v>3</v>
      </c>
      <c r="G1823" s="189" t="n">
        <v>2</v>
      </c>
      <c r="H1823" s="189" t="inlineStr">
        <is>
          <t>HIGH</t>
        </is>
      </c>
      <c r="I1823" s="189" t="n">
        <v>13</v>
      </c>
      <c r="J1823" s="189" t="inlineStr">
        <is>
          <t>NO</t>
        </is>
      </c>
      <c r="K1823" s="190" t="inlineStr">
        <is>
          <t>https://talosintelligence.com/reputation_center/lookup?search=1.24.16.87</t>
        </is>
      </c>
      <c r="L1823" s="189" t="inlineStr">
        <is>
          <t>2026-02-23 23:48</t>
        </is>
      </c>
      <c r="M1823" s="189" t="inlineStr">
        <is>
          <t>Block IP</t>
        </is>
      </c>
      <c r="N1823" s="190" t="inlineStr">
        <is>
          <t>https://talosintelligence.com/reputation_center/lookup?search=1.24.16.87</t>
        </is>
      </c>
      <c r="O1823" s="189" t="inlineStr">
        <is>
          <t>Block IP 1.24.16.87 at firewall | Cisco Talos confirmed malicious</t>
        </is>
      </c>
      <c r="P1823" s="189" t="inlineStr">
        <is>
          <t>Network perimeter / Email / Web</t>
        </is>
      </c>
      <c r="Q1823" s="189" t="inlineStr">
        <is>
          <t>P3</t>
        </is>
      </c>
      <c r="R1823" s="189" t="inlineStr">
        <is>
          <t>🚫 Block IP at firewall immediately | 🔍 Check logs for existing connections | 🛡️ Add to threat intelligence blocklist</t>
        </is>
      </c>
      <c r="S1823" s="189" t="inlineStr">
        <is>
          <t>Check ip-api.com + AbuseIPDB for context</t>
        </is>
      </c>
      <c r="T1823" s="189" t="n">
        <v>0</v>
      </c>
      <c r="U1823" s="189" t="n">
        <v>0</v>
      </c>
      <c r="V1823" s="189" t="inlineStr">
        <is>
          <t>T1110:Brute Force | T1190:Exploit Public-Facing Application | T1566:Phishing</t>
        </is>
      </c>
      <c r="W1823" s="189" t="n">
        <v>1</v>
      </c>
      <c r="X1823" s="189" t="inlineStr">
        <is>
          <t>MEDIUM (60%)</t>
        </is>
      </c>
      <c r="Y1823" s="189" t="inlineStr">
        <is>
          <t>NONE</t>
        </is>
      </c>
      <c r="Z1823" s="189" t="inlineStr">
        <is>
          <t>NONE</t>
        </is>
      </c>
      <c r="AA1823" s="189" t="inlineStr">
        <is>
          <t>NONE</t>
        </is>
      </c>
      <c r="AB1823" s="189" t="inlineStr">
        <is>
          <t>NONE</t>
        </is>
      </c>
      <c r="AC1823" s="189" t="n">
        <v>0</v>
      </c>
      <c r="AD1823" s="189" t="n"/>
    </row>
    <row r="1824">
      <c r="A1824" s="189" t="inlineStr">
        <is>
          <t>TALOS_IP</t>
        </is>
      </c>
      <c r="B1824" s="189" t="inlineStr">
        <is>
          <t>a338e6eca4ef</t>
        </is>
      </c>
      <c r="C1824" s="189" t="inlineStr">
        <is>
          <t>Cisco Talos Blacklisted IP: 1.24.16.93 | Verified malicious | Sources: TALOS</t>
        </is>
      </c>
      <c r="D1824" s="189" t="n">
        <v>7</v>
      </c>
      <c r="E1824" s="189" t="inlineStr">
        <is>
          <t>HIGH</t>
        </is>
      </c>
      <c r="F1824" s="189" t="n">
        <v>3</v>
      </c>
      <c r="G1824" s="189" t="n">
        <v>2</v>
      </c>
      <c r="H1824" s="189" t="inlineStr">
        <is>
          <t>HIGH</t>
        </is>
      </c>
      <c r="I1824" s="189" t="n">
        <v>13</v>
      </c>
      <c r="J1824" s="189" t="inlineStr">
        <is>
          <t>NO</t>
        </is>
      </c>
      <c r="K1824" s="190" t="inlineStr">
        <is>
          <t>https://talosintelligence.com/reputation_center/lookup?search=1.24.16.93</t>
        </is>
      </c>
      <c r="L1824" s="189" t="inlineStr">
        <is>
          <t>2026-02-23 23:48</t>
        </is>
      </c>
      <c r="M1824" s="189" t="inlineStr">
        <is>
          <t>Block IP</t>
        </is>
      </c>
      <c r="N1824" s="190" t="inlineStr">
        <is>
          <t>https://talosintelligence.com/reputation_center/lookup?search=1.24.16.93</t>
        </is>
      </c>
      <c r="O1824" s="189" t="inlineStr">
        <is>
          <t>Block IP 1.24.16.93 at firewall | Cisco Talos confirmed malicious</t>
        </is>
      </c>
      <c r="P1824" s="189" t="inlineStr">
        <is>
          <t>Network perimeter / Email / Web</t>
        </is>
      </c>
      <c r="Q1824" s="189" t="inlineStr">
        <is>
          <t>P3</t>
        </is>
      </c>
      <c r="R1824" s="189" t="inlineStr">
        <is>
          <t>🚫 Block IP at firewall immediately | 🔍 Check logs for existing connections | 🛡️ Add to threat intelligence blocklist</t>
        </is>
      </c>
      <c r="S1824" s="189" t="inlineStr">
        <is>
          <t>Check ip-api.com + AbuseIPDB for context</t>
        </is>
      </c>
      <c r="T1824" s="189" t="n">
        <v>0</v>
      </c>
      <c r="U1824" s="189" t="n">
        <v>0</v>
      </c>
      <c r="V1824" s="189" t="inlineStr">
        <is>
          <t>T1110:Brute Force | T1190:Exploit Public-Facing Application | T1566:Phishing</t>
        </is>
      </c>
      <c r="W1824" s="189" t="n">
        <v>1</v>
      </c>
      <c r="X1824" s="189" t="inlineStr">
        <is>
          <t>MEDIUM (60%)</t>
        </is>
      </c>
      <c r="Y1824" s="189" t="inlineStr">
        <is>
          <t>NONE</t>
        </is>
      </c>
      <c r="Z1824" s="189" t="inlineStr">
        <is>
          <t>NONE</t>
        </is>
      </c>
      <c r="AA1824" s="189" t="inlineStr">
        <is>
          <t>NONE</t>
        </is>
      </c>
      <c r="AB1824" s="189" t="inlineStr">
        <is>
          <t>NONE</t>
        </is>
      </c>
      <c r="AC1824" s="189" t="n">
        <v>0</v>
      </c>
      <c r="AD1824" s="189" t="n"/>
    </row>
    <row r="1825">
      <c r="A1825" s="189" t="inlineStr">
        <is>
          <t>TALOS_IP</t>
        </is>
      </c>
      <c r="B1825" s="189" t="inlineStr">
        <is>
          <t>fe3bd451483c</t>
        </is>
      </c>
      <c r="C1825" s="189" t="inlineStr">
        <is>
          <t>Cisco Talos Blacklisted IP: 1.24.16.97 | Verified malicious | Sources: TALOS</t>
        </is>
      </c>
      <c r="D1825" s="189" t="n">
        <v>7</v>
      </c>
      <c r="E1825" s="189" t="inlineStr">
        <is>
          <t>HIGH</t>
        </is>
      </c>
      <c r="F1825" s="189" t="n">
        <v>3</v>
      </c>
      <c r="G1825" s="189" t="n">
        <v>2</v>
      </c>
      <c r="H1825" s="189" t="inlineStr">
        <is>
          <t>HIGH</t>
        </is>
      </c>
      <c r="I1825" s="189" t="n">
        <v>13</v>
      </c>
      <c r="J1825" s="189" t="inlineStr">
        <is>
          <t>NO</t>
        </is>
      </c>
      <c r="K1825" s="190" t="inlineStr">
        <is>
          <t>https://talosintelligence.com/reputation_center/lookup?search=1.24.16.97</t>
        </is>
      </c>
      <c r="L1825" s="189" t="inlineStr">
        <is>
          <t>2026-02-23 23:48</t>
        </is>
      </c>
      <c r="M1825" s="189" t="inlineStr">
        <is>
          <t>Block IP</t>
        </is>
      </c>
      <c r="N1825" s="190" t="inlineStr">
        <is>
          <t>https://talosintelligence.com/reputation_center/lookup?search=1.24.16.97</t>
        </is>
      </c>
      <c r="O1825" s="189" t="inlineStr">
        <is>
          <t>Block IP 1.24.16.97 at firewall | Cisco Talos confirmed malicious</t>
        </is>
      </c>
      <c r="P1825" s="189" t="inlineStr">
        <is>
          <t>Network perimeter / Email / Web</t>
        </is>
      </c>
      <c r="Q1825" s="189" t="inlineStr">
        <is>
          <t>P3</t>
        </is>
      </c>
      <c r="R1825" s="189" t="inlineStr">
        <is>
          <t>🚫 Block IP at firewall immediately | 🔍 Check logs for existing connections | 🛡️ Add to threat intelligence blocklist</t>
        </is>
      </c>
      <c r="S1825" s="189" t="inlineStr">
        <is>
          <t>Check ip-api.com + AbuseIPDB for context</t>
        </is>
      </c>
      <c r="T1825" s="189" t="n">
        <v>0</v>
      </c>
      <c r="U1825" s="189" t="n">
        <v>0</v>
      </c>
      <c r="V1825" s="189" t="inlineStr">
        <is>
          <t>T1110:Brute Force | T1190:Exploit Public-Facing Application | T1566:Phishing</t>
        </is>
      </c>
      <c r="W1825" s="189" t="n">
        <v>1</v>
      </c>
      <c r="X1825" s="189" t="inlineStr">
        <is>
          <t>MEDIUM (60%)</t>
        </is>
      </c>
      <c r="Y1825" s="189" t="inlineStr">
        <is>
          <t>NONE</t>
        </is>
      </c>
      <c r="Z1825" s="189" t="inlineStr">
        <is>
          <t>NONE</t>
        </is>
      </c>
      <c r="AA1825" s="189" t="inlineStr">
        <is>
          <t>NONE</t>
        </is>
      </c>
      <c r="AB1825" s="189" t="inlineStr">
        <is>
          <t>NONE</t>
        </is>
      </c>
      <c r="AC1825" s="189" t="n">
        <v>0</v>
      </c>
      <c r="AD1825" s="189" t="n"/>
    </row>
    <row r="1826">
      <c r="A1826" s="189" t="inlineStr">
        <is>
          <t>TALOS_IP</t>
        </is>
      </c>
      <c r="B1826" s="189" t="inlineStr">
        <is>
          <t>c1a27f1f97eb</t>
        </is>
      </c>
      <c r="C1826" s="189" t="inlineStr">
        <is>
          <t>Cisco Talos Blacklisted IP: 1.25.64.231 | Verified malicious | Sources: TALOS</t>
        </is>
      </c>
      <c r="D1826" s="189" t="n">
        <v>7</v>
      </c>
      <c r="E1826" s="189" t="inlineStr">
        <is>
          <t>HIGH</t>
        </is>
      </c>
      <c r="F1826" s="189" t="n">
        <v>3</v>
      </c>
      <c r="G1826" s="189" t="n">
        <v>2</v>
      </c>
      <c r="H1826" s="189" t="inlineStr">
        <is>
          <t>HIGH</t>
        </is>
      </c>
      <c r="I1826" s="189" t="n">
        <v>13</v>
      </c>
      <c r="J1826" s="189" t="inlineStr">
        <is>
          <t>NO</t>
        </is>
      </c>
      <c r="K1826" s="190" t="inlineStr">
        <is>
          <t>https://talosintelligence.com/reputation_center/lookup?search=1.25.64.231</t>
        </is>
      </c>
      <c r="L1826" s="189" t="inlineStr">
        <is>
          <t>2026-02-23 23:48</t>
        </is>
      </c>
      <c r="M1826" s="189" t="inlineStr">
        <is>
          <t>Block IP</t>
        </is>
      </c>
      <c r="N1826" s="190" t="inlineStr">
        <is>
          <t>https://talosintelligence.com/reputation_center/lookup?search=1.25.64.231</t>
        </is>
      </c>
      <c r="O1826" s="189" t="inlineStr">
        <is>
          <t>Block IP 1.25.64.231 at firewall | Cisco Talos confirmed malicious</t>
        </is>
      </c>
      <c r="P1826" s="189" t="inlineStr">
        <is>
          <t>Network perimeter / Email / Web</t>
        </is>
      </c>
      <c r="Q1826" s="189" t="inlineStr">
        <is>
          <t>P3</t>
        </is>
      </c>
      <c r="R1826" s="189" t="inlineStr">
        <is>
          <t>🚫 Block IP at firewall immediately | 🔍 Check logs for existing connections | 🛡️ Add to threat intelligence blocklist</t>
        </is>
      </c>
      <c r="S1826" s="189" t="inlineStr">
        <is>
          <t>Check ip-api.com + AbuseIPDB for context</t>
        </is>
      </c>
      <c r="T1826" s="189" t="n">
        <v>0</v>
      </c>
      <c r="U1826" s="189" t="n">
        <v>0</v>
      </c>
      <c r="V1826" s="189" t="inlineStr">
        <is>
          <t>T1110:Brute Force | T1190:Exploit Public-Facing Application | T1566:Phishing</t>
        </is>
      </c>
      <c r="W1826" s="189" t="n">
        <v>1</v>
      </c>
      <c r="X1826" s="189" t="inlineStr">
        <is>
          <t>MEDIUM (60%)</t>
        </is>
      </c>
      <c r="Y1826" s="189" t="inlineStr">
        <is>
          <t>NONE</t>
        </is>
      </c>
      <c r="Z1826" s="189" t="inlineStr">
        <is>
          <t>NONE</t>
        </is>
      </c>
      <c r="AA1826" s="189" t="inlineStr">
        <is>
          <t>NONE</t>
        </is>
      </c>
      <c r="AB1826" s="189" t="inlineStr">
        <is>
          <t>NONE</t>
        </is>
      </c>
      <c r="AC1826" s="189" t="n">
        <v>0</v>
      </c>
      <c r="AD1826" s="189" t="n"/>
    </row>
    <row r="1827">
      <c r="A1827" s="189" t="inlineStr">
        <is>
          <t>TALOS_IP</t>
        </is>
      </c>
      <c r="B1827" s="189" t="inlineStr">
        <is>
          <t>5b30f64800da</t>
        </is>
      </c>
      <c r="C1827" s="189" t="inlineStr">
        <is>
          <t>Cisco Talos Blacklisted IP: 1.251.50.105 | Verified malicious | Sources: TALOS</t>
        </is>
      </c>
      <c r="D1827" s="189" t="n">
        <v>7</v>
      </c>
      <c r="E1827" s="189" t="inlineStr">
        <is>
          <t>HIGH</t>
        </is>
      </c>
      <c r="F1827" s="189" t="n">
        <v>3</v>
      </c>
      <c r="G1827" s="189" t="n">
        <v>2</v>
      </c>
      <c r="H1827" s="189" t="inlineStr">
        <is>
          <t>HIGH</t>
        </is>
      </c>
      <c r="I1827" s="189" t="n">
        <v>13</v>
      </c>
      <c r="J1827" s="189" t="inlineStr">
        <is>
          <t>NO</t>
        </is>
      </c>
      <c r="K1827" s="190" t="inlineStr">
        <is>
          <t>https://talosintelligence.com/reputation_center/lookup?search=1.251.50.105</t>
        </is>
      </c>
      <c r="L1827" s="189" t="inlineStr">
        <is>
          <t>2026-02-23 23:48</t>
        </is>
      </c>
      <c r="M1827" s="189" t="inlineStr">
        <is>
          <t>Block IP</t>
        </is>
      </c>
      <c r="N1827" s="190" t="inlineStr">
        <is>
          <t>https://talosintelligence.com/reputation_center/lookup?search=1.251.50.105</t>
        </is>
      </c>
      <c r="O1827" s="189" t="inlineStr">
        <is>
          <t>Block IP 1.251.50.105 at firewall | Cisco Talos confirmed malicious</t>
        </is>
      </c>
      <c r="P1827" s="189" t="inlineStr">
        <is>
          <t>Network perimeter / Email / Web</t>
        </is>
      </c>
      <c r="Q1827" s="189" t="inlineStr">
        <is>
          <t>P3</t>
        </is>
      </c>
      <c r="R1827" s="189" t="inlineStr">
        <is>
          <t>🚫 Block IP at firewall immediately | 🔍 Check logs for existing connections | 🛡️ Add to threat intelligence blocklist</t>
        </is>
      </c>
      <c r="S1827" s="189" t="inlineStr">
        <is>
          <t>Check ip-api.com + AbuseIPDB for context</t>
        </is>
      </c>
      <c r="T1827" s="189" t="n">
        <v>0</v>
      </c>
      <c r="U1827" s="189" t="n">
        <v>0</v>
      </c>
      <c r="V1827" s="189" t="inlineStr">
        <is>
          <t>T1110:Brute Force | T1190:Exploit Public-Facing Application | T1566:Phishing</t>
        </is>
      </c>
      <c r="W1827" s="189" t="n">
        <v>1</v>
      </c>
      <c r="X1827" s="189" t="inlineStr">
        <is>
          <t>MEDIUM (60%)</t>
        </is>
      </c>
      <c r="Y1827" s="189" t="inlineStr">
        <is>
          <t>NONE</t>
        </is>
      </c>
      <c r="Z1827" s="189" t="inlineStr">
        <is>
          <t>NONE</t>
        </is>
      </c>
      <c r="AA1827" s="189" t="inlineStr">
        <is>
          <t>NONE</t>
        </is>
      </c>
      <c r="AB1827" s="189" t="inlineStr">
        <is>
          <t>NONE</t>
        </is>
      </c>
      <c r="AC1827" s="189" t="n">
        <v>0</v>
      </c>
      <c r="AD1827" s="189" t="n"/>
    </row>
    <row r="1828">
      <c r="A1828" s="189" t="inlineStr">
        <is>
          <t>TALOS_IP</t>
        </is>
      </c>
      <c r="B1828" s="189" t="inlineStr">
        <is>
          <t>5466122f9e74</t>
        </is>
      </c>
      <c r="C1828" s="189" t="inlineStr">
        <is>
          <t>Cisco Talos Blacklisted IP: 1.28.229.243 | Verified malicious | Sources: TALOS</t>
        </is>
      </c>
      <c r="D1828" s="189" t="n">
        <v>7</v>
      </c>
      <c r="E1828" s="189" t="inlineStr">
        <is>
          <t>HIGH</t>
        </is>
      </c>
      <c r="F1828" s="189" t="n">
        <v>3</v>
      </c>
      <c r="G1828" s="189" t="n">
        <v>2</v>
      </c>
      <c r="H1828" s="189" t="inlineStr">
        <is>
          <t>HIGH</t>
        </is>
      </c>
      <c r="I1828" s="189" t="n">
        <v>13</v>
      </c>
      <c r="J1828" s="189" t="inlineStr">
        <is>
          <t>NO</t>
        </is>
      </c>
      <c r="K1828" s="190" t="inlineStr">
        <is>
          <t>https://talosintelligence.com/reputation_center/lookup?search=1.28.229.243</t>
        </is>
      </c>
      <c r="L1828" s="189" t="inlineStr">
        <is>
          <t>2026-02-23 23:48</t>
        </is>
      </c>
      <c r="M1828" s="189" t="inlineStr">
        <is>
          <t>Block IP</t>
        </is>
      </c>
      <c r="N1828" s="190" t="inlineStr">
        <is>
          <t>https://talosintelligence.com/reputation_center/lookup?search=1.28.229.243</t>
        </is>
      </c>
      <c r="O1828" s="189" t="inlineStr">
        <is>
          <t>Block IP 1.28.229.243 at firewall | Cisco Talos confirmed malicious</t>
        </is>
      </c>
      <c r="P1828" s="189" t="inlineStr">
        <is>
          <t>Network perimeter / Email / Web</t>
        </is>
      </c>
      <c r="Q1828" s="189" t="inlineStr">
        <is>
          <t>P3</t>
        </is>
      </c>
      <c r="R1828" s="189" t="inlineStr">
        <is>
          <t>🚫 Block IP at firewall immediately | 🔍 Check logs for existing connections | 🛡️ Add to threat intelligence blocklist</t>
        </is>
      </c>
      <c r="S1828" s="189" t="inlineStr">
        <is>
          <t>Check ip-api.com + AbuseIPDB for context</t>
        </is>
      </c>
      <c r="T1828" s="189" t="n">
        <v>0</v>
      </c>
      <c r="U1828" s="189" t="n">
        <v>0</v>
      </c>
      <c r="V1828" s="189" t="inlineStr">
        <is>
          <t>T1110:Brute Force | T1190:Exploit Public-Facing Application | T1566:Phishing</t>
        </is>
      </c>
      <c r="W1828" s="189" t="n">
        <v>1</v>
      </c>
      <c r="X1828" s="189" t="inlineStr">
        <is>
          <t>MEDIUM (60%)</t>
        </is>
      </c>
      <c r="Y1828" s="189" t="inlineStr">
        <is>
          <t>NONE</t>
        </is>
      </c>
      <c r="Z1828" s="189" t="inlineStr">
        <is>
          <t>NONE</t>
        </is>
      </c>
      <c r="AA1828" s="189" t="inlineStr">
        <is>
          <t>NONE</t>
        </is>
      </c>
      <c r="AB1828" s="189" t="inlineStr">
        <is>
          <t>NONE</t>
        </is>
      </c>
      <c r="AC1828" s="189" t="n">
        <v>0</v>
      </c>
      <c r="AD1828" s="189" t="n"/>
    </row>
    <row r="1829">
      <c r="A1829" s="189" t="inlineStr">
        <is>
          <t>TALOS_IP</t>
        </is>
      </c>
      <c r="B1829" s="189" t="inlineStr">
        <is>
          <t>c82b8ffa280f</t>
        </is>
      </c>
      <c r="C1829" s="189" t="inlineStr">
        <is>
          <t>Cisco Talos Blacklisted IP: 1.30.197.2 | Verified malicious | Sources: TALOS</t>
        </is>
      </c>
      <c r="D1829" s="189" t="n">
        <v>7</v>
      </c>
      <c r="E1829" s="189" t="inlineStr">
        <is>
          <t>HIGH</t>
        </is>
      </c>
      <c r="F1829" s="189" t="n">
        <v>3</v>
      </c>
      <c r="G1829" s="189" t="n">
        <v>2</v>
      </c>
      <c r="H1829" s="189" t="inlineStr">
        <is>
          <t>HIGH</t>
        </is>
      </c>
      <c r="I1829" s="189" t="n">
        <v>13</v>
      </c>
      <c r="J1829" s="189" t="inlineStr">
        <is>
          <t>NO</t>
        </is>
      </c>
      <c r="K1829" s="190" t="inlineStr">
        <is>
          <t>https://talosintelligence.com/reputation_center/lookup?search=1.30.197.2</t>
        </is>
      </c>
      <c r="L1829" s="189" t="inlineStr">
        <is>
          <t>2026-02-23 23:48</t>
        </is>
      </c>
      <c r="M1829" s="189" t="inlineStr">
        <is>
          <t>Block IP</t>
        </is>
      </c>
      <c r="N1829" s="190" t="inlineStr">
        <is>
          <t>https://talosintelligence.com/reputation_center/lookup?search=1.30.197.2</t>
        </is>
      </c>
      <c r="O1829" s="189" t="inlineStr">
        <is>
          <t>Block IP 1.30.197.2 at firewall | Cisco Talos confirmed malicious</t>
        </is>
      </c>
      <c r="P1829" s="189" t="inlineStr">
        <is>
          <t>Network perimeter / Email / Web</t>
        </is>
      </c>
      <c r="Q1829" s="189" t="inlineStr">
        <is>
          <t>P3</t>
        </is>
      </c>
      <c r="R1829" s="189" t="inlineStr">
        <is>
          <t>🚫 Block IP at firewall immediately | 🔍 Check logs for existing connections | 🛡️ Add to threat intelligence blocklist</t>
        </is>
      </c>
      <c r="S1829" s="189" t="inlineStr">
        <is>
          <t>Check ip-api.com + AbuseIPDB for context</t>
        </is>
      </c>
      <c r="T1829" s="189" t="n">
        <v>0</v>
      </c>
      <c r="U1829" s="189" t="n">
        <v>0</v>
      </c>
      <c r="V1829" s="189" t="inlineStr">
        <is>
          <t>T1110:Brute Force | T1190:Exploit Public-Facing Application | T1566:Phishing</t>
        </is>
      </c>
      <c r="W1829" s="189" t="n">
        <v>1</v>
      </c>
      <c r="X1829" s="189" t="inlineStr">
        <is>
          <t>MEDIUM (60%)</t>
        </is>
      </c>
      <c r="Y1829" s="189" t="inlineStr">
        <is>
          <t>NONE</t>
        </is>
      </c>
      <c r="Z1829" s="189" t="inlineStr">
        <is>
          <t>NONE</t>
        </is>
      </c>
      <c r="AA1829" s="189" t="inlineStr">
        <is>
          <t>NONE</t>
        </is>
      </c>
      <c r="AB1829" s="189" t="inlineStr">
        <is>
          <t>NONE</t>
        </is>
      </c>
      <c r="AC1829" s="189" t="n">
        <v>0</v>
      </c>
      <c r="AD1829" s="189" t="n"/>
    </row>
    <row r="1830">
      <c r="A1830" s="189" t="inlineStr">
        <is>
          <t>TALOS_IP</t>
        </is>
      </c>
      <c r="B1830" s="189" t="inlineStr">
        <is>
          <t>6f3871b4d2cf</t>
        </is>
      </c>
      <c r="C1830" s="189" t="inlineStr">
        <is>
          <t>Cisco Talos Blacklisted IP: 1.32.57.245 | Verified malicious | Sources: TALOS</t>
        </is>
      </c>
      <c r="D1830" s="189" t="n">
        <v>7</v>
      </c>
      <c r="E1830" s="189" t="inlineStr">
        <is>
          <t>HIGH</t>
        </is>
      </c>
      <c r="F1830" s="189" t="n">
        <v>3</v>
      </c>
      <c r="G1830" s="189" t="n">
        <v>2</v>
      </c>
      <c r="H1830" s="189" t="inlineStr">
        <is>
          <t>HIGH</t>
        </is>
      </c>
      <c r="I1830" s="189" t="n">
        <v>13</v>
      </c>
      <c r="J1830" s="189" t="inlineStr">
        <is>
          <t>NO</t>
        </is>
      </c>
      <c r="K1830" s="190" t="inlineStr">
        <is>
          <t>https://talosintelligence.com/reputation_center/lookup?search=1.32.57.245</t>
        </is>
      </c>
      <c r="L1830" s="189" t="inlineStr">
        <is>
          <t>2026-02-23 23:48</t>
        </is>
      </c>
      <c r="M1830" s="189" t="inlineStr">
        <is>
          <t>Block IP</t>
        </is>
      </c>
      <c r="N1830" s="190" t="inlineStr">
        <is>
          <t>https://talosintelligence.com/reputation_center/lookup?search=1.32.57.245</t>
        </is>
      </c>
      <c r="O1830" s="189" t="inlineStr">
        <is>
          <t>Block IP 1.32.57.245 at firewall | Cisco Talos confirmed malicious</t>
        </is>
      </c>
      <c r="P1830" s="189" t="inlineStr">
        <is>
          <t>Network perimeter / Email / Web</t>
        </is>
      </c>
      <c r="Q1830" s="189" t="inlineStr">
        <is>
          <t>P3</t>
        </is>
      </c>
      <c r="R1830" s="189" t="inlineStr">
        <is>
          <t>🚫 Block IP at firewall immediately | 🔍 Check logs for existing connections | 🛡️ Add to threat intelligence blocklist</t>
        </is>
      </c>
      <c r="S1830" s="189" t="inlineStr">
        <is>
          <t>Check ip-api.com + AbuseIPDB for context</t>
        </is>
      </c>
      <c r="T1830" s="189" t="n">
        <v>0</v>
      </c>
      <c r="U1830" s="189" t="n">
        <v>0</v>
      </c>
      <c r="V1830" s="189" t="inlineStr">
        <is>
          <t>T1110:Brute Force | T1190:Exploit Public-Facing Application | T1566:Phishing</t>
        </is>
      </c>
      <c r="W1830" s="189" t="n">
        <v>1</v>
      </c>
      <c r="X1830" s="189" t="inlineStr">
        <is>
          <t>MEDIUM (60%)</t>
        </is>
      </c>
      <c r="Y1830" s="189" t="inlineStr">
        <is>
          <t>NONE</t>
        </is>
      </c>
      <c r="Z1830" s="189" t="inlineStr">
        <is>
          <t>NONE</t>
        </is>
      </c>
      <c r="AA1830" s="189" t="inlineStr">
        <is>
          <t>NONE</t>
        </is>
      </c>
      <c r="AB1830" s="189" t="inlineStr">
        <is>
          <t>NONE</t>
        </is>
      </c>
      <c r="AC1830" s="189" t="n">
        <v>0</v>
      </c>
      <c r="AD1830" s="189" t="n"/>
    </row>
    <row r="1831">
      <c r="A1831" s="189" t="inlineStr">
        <is>
          <t>TALOS_IP</t>
        </is>
      </c>
      <c r="B1831" s="189" t="inlineStr">
        <is>
          <t>69d72e136a5a</t>
        </is>
      </c>
      <c r="C1831" s="189" t="inlineStr">
        <is>
          <t>Cisco Talos Blacklisted IP: 1.34.172.9 | Verified malicious | Sources: TALOS</t>
        </is>
      </c>
      <c r="D1831" s="189" t="n">
        <v>7</v>
      </c>
      <c r="E1831" s="189" t="inlineStr">
        <is>
          <t>HIGH</t>
        </is>
      </c>
      <c r="F1831" s="189" t="n">
        <v>3</v>
      </c>
      <c r="G1831" s="189" t="n">
        <v>2</v>
      </c>
      <c r="H1831" s="189" t="inlineStr">
        <is>
          <t>HIGH</t>
        </is>
      </c>
      <c r="I1831" s="189" t="n">
        <v>13</v>
      </c>
      <c r="J1831" s="189" t="inlineStr">
        <is>
          <t>NO</t>
        </is>
      </c>
      <c r="K1831" s="190" t="inlineStr">
        <is>
          <t>https://talosintelligence.com/reputation_center/lookup?search=1.34.172.9</t>
        </is>
      </c>
      <c r="L1831" s="189" t="inlineStr">
        <is>
          <t>2026-02-23 23:48</t>
        </is>
      </c>
      <c r="M1831" s="189" t="inlineStr">
        <is>
          <t>Block IP</t>
        </is>
      </c>
      <c r="N1831" s="190" t="inlineStr">
        <is>
          <t>https://talosintelligence.com/reputation_center/lookup?search=1.34.172.9</t>
        </is>
      </c>
      <c r="O1831" s="189" t="inlineStr">
        <is>
          <t>Block IP 1.34.172.9 at firewall | Cisco Talos confirmed malicious</t>
        </is>
      </c>
      <c r="P1831" s="189" t="inlineStr">
        <is>
          <t>Network perimeter / Email / Web</t>
        </is>
      </c>
      <c r="Q1831" s="189" t="inlineStr">
        <is>
          <t>P3</t>
        </is>
      </c>
      <c r="R1831" s="189" t="inlineStr">
        <is>
          <t>🚫 Block IP at firewall immediately | 🔍 Check logs for existing connections | 🛡️ Add to threat intelligence blocklist</t>
        </is>
      </c>
      <c r="S1831" s="189" t="inlineStr">
        <is>
          <t>Check ip-api.com + AbuseIPDB for context</t>
        </is>
      </c>
      <c r="T1831" s="189" t="n">
        <v>0</v>
      </c>
      <c r="U1831" s="189" t="n">
        <v>0</v>
      </c>
      <c r="V1831" s="189" t="inlineStr">
        <is>
          <t>T1110:Brute Force | T1190:Exploit Public-Facing Application | T1566:Phishing</t>
        </is>
      </c>
      <c r="W1831" s="189" t="n">
        <v>1</v>
      </c>
      <c r="X1831" s="189" t="inlineStr">
        <is>
          <t>MEDIUM (60%)</t>
        </is>
      </c>
      <c r="Y1831" s="189" t="inlineStr">
        <is>
          <t>NONE</t>
        </is>
      </c>
      <c r="Z1831" s="189" t="inlineStr">
        <is>
          <t>NONE</t>
        </is>
      </c>
      <c r="AA1831" s="189" t="inlineStr">
        <is>
          <t>NONE</t>
        </is>
      </c>
      <c r="AB1831" s="189" t="inlineStr">
        <is>
          <t>NONE</t>
        </is>
      </c>
      <c r="AC1831" s="189" t="n">
        <v>0</v>
      </c>
      <c r="AD1831" s="189" t="n"/>
    </row>
    <row r="1832">
      <c r="A1832" s="189" t="inlineStr">
        <is>
          <t>TALOS_IP</t>
        </is>
      </c>
      <c r="B1832" s="189" t="inlineStr">
        <is>
          <t>4b42c4f9aa5b</t>
        </is>
      </c>
      <c r="C1832" s="189" t="inlineStr">
        <is>
          <t>Cisco Talos Blacklisted IP: 1.34.79.8 | Verified malicious | Sources: TALOS</t>
        </is>
      </c>
      <c r="D1832" s="189" t="n">
        <v>7</v>
      </c>
      <c r="E1832" s="189" t="inlineStr">
        <is>
          <t>HIGH</t>
        </is>
      </c>
      <c r="F1832" s="189" t="n">
        <v>3</v>
      </c>
      <c r="G1832" s="189" t="n">
        <v>2</v>
      </c>
      <c r="H1832" s="189" t="inlineStr">
        <is>
          <t>HIGH</t>
        </is>
      </c>
      <c r="I1832" s="189" t="n">
        <v>13</v>
      </c>
      <c r="J1832" s="189" t="inlineStr">
        <is>
          <t>NO</t>
        </is>
      </c>
      <c r="K1832" s="190" t="inlineStr">
        <is>
          <t>https://talosintelligence.com/reputation_center/lookup?search=1.34.79.8</t>
        </is>
      </c>
      <c r="L1832" s="189" t="inlineStr">
        <is>
          <t>2026-02-23 23:48</t>
        </is>
      </c>
      <c r="M1832" s="189" t="inlineStr">
        <is>
          <t>Block IP</t>
        </is>
      </c>
      <c r="N1832" s="190" t="inlineStr">
        <is>
          <t>https://talosintelligence.com/reputation_center/lookup?search=1.34.79.8</t>
        </is>
      </c>
      <c r="O1832" s="189" t="inlineStr">
        <is>
          <t>Block IP 1.34.79.8 at firewall | Cisco Talos confirmed malicious</t>
        </is>
      </c>
      <c r="P1832" s="189" t="inlineStr">
        <is>
          <t>Network perimeter / Email / Web</t>
        </is>
      </c>
      <c r="Q1832" s="189" t="inlineStr">
        <is>
          <t>P3</t>
        </is>
      </c>
      <c r="R1832" s="189" t="inlineStr">
        <is>
          <t>🚫 Block IP at firewall immediately | 🔍 Check logs for existing connections | 🛡️ Add to threat intelligence blocklist</t>
        </is>
      </c>
      <c r="S1832" s="189" t="inlineStr">
        <is>
          <t>Check ip-api.com + AbuseIPDB for context</t>
        </is>
      </c>
      <c r="T1832" s="189" t="n">
        <v>0</v>
      </c>
      <c r="U1832" s="189" t="n">
        <v>0</v>
      </c>
      <c r="V1832" s="189" t="inlineStr">
        <is>
          <t>T1110:Brute Force | T1190:Exploit Public-Facing Application | T1566:Phishing</t>
        </is>
      </c>
      <c r="W1832" s="189" t="n">
        <v>1</v>
      </c>
      <c r="X1832" s="189" t="inlineStr">
        <is>
          <t>MEDIUM (60%)</t>
        </is>
      </c>
      <c r="Y1832" s="189" t="inlineStr">
        <is>
          <t>NONE</t>
        </is>
      </c>
      <c r="Z1832" s="189" t="inlineStr">
        <is>
          <t>NONE</t>
        </is>
      </c>
      <c r="AA1832" s="189" t="inlineStr">
        <is>
          <t>NONE</t>
        </is>
      </c>
      <c r="AB1832" s="189" t="inlineStr">
        <is>
          <t>NONE</t>
        </is>
      </c>
      <c r="AC1832" s="189" t="n">
        <v>0</v>
      </c>
      <c r="AD1832" s="189" t="n"/>
    </row>
    <row r="1833">
      <c r="A1833" s="189" t="inlineStr">
        <is>
          <t>TALOS_IP</t>
        </is>
      </c>
      <c r="B1833" s="189" t="inlineStr">
        <is>
          <t>850fd032f588</t>
        </is>
      </c>
      <c r="C1833" s="189" t="inlineStr">
        <is>
          <t>Cisco Talos Blacklisted IP: 1.4.161.161 | Verified malicious | Sources: TALOS</t>
        </is>
      </c>
      <c r="D1833" s="189" t="n">
        <v>7</v>
      </c>
      <c r="E1833" s="189" t="inlineStr">
        <is>
          <t>HIGH</t>
        </is>
      </c>
      <c r="F1833" s="189" t="n">
        <v>3</v>
      </c>
      <c r="G1833" s="189" t="n">
        <v>2</v>
      </c>
      <c r="H1833" s="189" t="inlineStr">
        <is>
          <t>HIGH</t>
        </is>
      </c>
      <c r="I1833" s="189" t="n">
        <v>13</v>
      </c>
      <c r="J1833" s="189" t="inlineStr">
        <is>
          <t>NO</t>
        </is>
      </c>
      <c r="K1833" s="190" t="inlineStr">
        <is>
          <t>https://talosintelligence.com/reputation_center/lookup?search=1.4.161.161</t>
        </is>
      </c>
      <c r="L1833" s="189" t="inlineStr">
        <is>
          <t>2026-02-23 23:48</t>
        </is>
      </c>
      <c r="M1833" s="189" t="inlineStr">
        <is>
          <t>Block IP</t>
        </is>
      </c>
      <c r="N1833" s="190" t="inlineStr">
        <is>
          <t>https://talosintelligence.com/reputation_center/lookup?search=1.4.161.161</t>
        </is>
      </c>
      <c r="O1833" s="189" t="inlineStr">
        <is>
          <t>Block IP 1.4.161.161 at firewall | Cisco Talos confirmed malicious</t>
        </is>
      </c>
      <c r="P1833" s="189" t="inlineStr">
        <is>
          <t>Network perimeter / Email / Web</t>
        </is>
      </c>
      <c r="Q1833" s="189" t="inlineStr">
        <is>
          <t>P3</t>
        </is>
      </c>
      <c r="R1833" s="189" t="inlineStr">
        <is>
          <t>🚫 Block IP at firewall immediately | 🔍 Check logs for existing connections | 🛡️ Add to threat intelligence blocklist</t>
        </is>
      </c>
      <c r="S1833" s="189" t="inlineStr">
        <is>
          <t>Check ip-api.com + AbuseIPDB for context</t>
        </is>
      </c>
      <c r="T1833" s="189" t="n">
        <v>0</v>
      </c>
      <c r="U1833" s="189" t="n">
        <v>0</v>
      </c>
      <c r="V1833" s="189" t="inlineStr">
        <is>
          <t>T1110:Brute Force | T1190:Exploit Public-Facing Application | T1566:Phishing</t>
        </is>
      </c>
      <c r="W1833" s="189" t="n">
        <v>1</v>
      </c>
      <c r="X1833" s="189" t="inlineStr">
        <is>
          <t>MEDIUM (60%)</t>
        </is>
      </c>
      <c r="Y1833" s="189" t="inlineStr">
        <is>
          <t>NONE</t>
        </is>
      </c>
      <c r="Z1833" s="189" t="inlineStr">
        <is>
          <t>NONE</t>
        </is>
      </c>
      <c r="AA1833" s="189" t="inlineStr">
        <is>
          <t>NONE</t>
        </is>
      </c>
      <c r="AB1833" s="189" t="inlineStr">
        <is>
          <t>NONE</t>
        </is>
      </c>
      <c r="AC1833" s="189" t="n">
        <v>0</v>
      </c>
      <c r="AD1833" s="189" t="n"/>
    </row>
    <row r="1834">
      <c r="A1834" s="189" t="inlineStr">
        <is>
          <t>TALOS_IP</t>
        </is>
      </c>
      <c r="B1834" s="189" t="inlineStr">
        <is>
          <t>30861910b2d3</t>
        </is>
      </c>
      <c r="C1834" s="189" t="inlineStr">
        <is>
          <t>Cisco Talos Blacklisted IP: 1.53.228.28 | Verified malicious | Sources: TALOS</t>
        </is>
      </c>
      <c r="D1834" s="189" t="n">
        <v>7</v>
      </c>
      <c r="E1834" s="189" t="inlineStr">
        <is>
          <t>HIGH</t>
        </is>
      </c>
      <c r="F1834" s="189" t="n">
        <v>3</v>
      </c>
      <c r="G1834" s="189" t="n">
        <v>2</v>
      </c>
      <c r="H1834" s="189" t="inlineStr">
        <is>
          <t>HIGH</t>
        </is>
      </c>
      <c r="I1834" s="189" t="n">
        <v>13</v>
      </c>
      <c r="J1834" s="189" t="inlineStr">
        <is>
          <t>NO</t>
        </is>
      </c>
      <c r="K1834" s="190" t="inlineStr">
        <is>
          <t>https://talosintelligence.com/reputation_center/lookup?search=1.53.228.28</t>
        </is>
      </c>
      <c r="L1834" s="189" t="inlineStr">
        <is>
          <t>2026-02-23 23:48</t>
        </is>
      </c>
      <c r="M1834" s="189" t="inlineStr">
        <is>
          <t>Block IP</t>
        </is>
      </c>
      <c r="N1834" s="190" t="inlineStr">
        <is>
          <t>https://talosintelligence.com/reputation_center/lookup?search=1.53.228.28</t>
        </is>
      </c>
      <c r="O1834" s="189" t="inlineStr">
        <is>
          <t>Block IP 1.53.228.28 at firewall | Cisco Talos confirmed malicious</t>
        </is>
      </c>
      <c r="P1834" s="189" t="inlineStr">
        <is>
          <t>Network perimeter / Email / Web</t>
        </is>
      </c>
      <c r="Q1834" s="189" t="inlineStr">
        <is>
          <t>P3</t>
        </is>
      </c>
      <c r="R1834" s="189" t="inlineStr">
        <is>
          <t>🚫 Block IP at firewall immediately | 🔍 Check logs for existing connections | 🛡️ Add to threat intelligence blocklist</t>
        </is>
      </c>
      <c r="S1834" s="189" t="inlineStr">
        <is>
          <t>Check ip-api.com + AbuseIPDB for context</t>
        </is>
      </c>
      <c r="T1834" s="189" t="n">
        <v>0</v>
      </c>
      <c r="U1834" s="189" t="n">
        <v>0</v>
      </c>
      <c r="V1834" s="189" t="inlineStr">
        <is>
          <t>T1110:Brute Force | T1190:Exploit Public-Facing Application | T1566:Phishing</t>
        </is>
      </c>
      <c r="W1834" s="189" t="n">
        <v>1</v>
      </c>
      <c r="X1834" s="189" t="inlineStr">
        <is>
          <t>MEDIUM (60%)</t>
        </is>
      </c>
      <c r="Y1834" s="189" t="inlineStr">
        <is>
          <t>NONE</t>
        </is>
      </c>
      <c r="Z1834" s="189" t="inlineStr">
        <is>
          <t>NONE</t>
        </is>
      </c>
      <c r="AA1834" s="189" t="inlineStr">
        <is>
          <t>NONE</t>
        </is>
      </c>
      <c r="AB1834" s="189" t="inlineStr">
        <is>
          <t>NONE</t>
        </is>
      </c>
      <c r="AC1834" s="189" t="n">
        <v>0</v>
      </c>
      <c r="AD1834" s="189" t="n"/>
    </row>
    <row r="1835">
      <c r="A1835" s="189" t="inlineStr">
        <is>
          <t>TALOS_IP</t>
        </is>
      </c>
      <c r="B1835" s="189" t="inlineStr">
        <is>
          <t>3f907f2ce1be</t>
        </is>
      </c>
      <c r="C1835" s="189" t="inlineStr">
        <is>
          <t>Cisco Talos Blacklisted IP: 1.54.227.169 | Verified malicious | Sources: TALOS</t>
        </is>
      </c>
      <c r="D1835" s="189" t="n">
        <v>7</v>
      </c>
      <c r="E1835" s="189" t="inlineStr">
        <is>
          <t>HIGH</t>
        </is>
      </c>
      <c r="F1835" s="189" t="n">
        <v>3</v>
      </c>
      <c r="G1835" s="189" t="n">
        <v>2</v>
      </c>
      <c r="H1835" s="189" t="inlineStr">
        <is>
          <t>HIGH</t>
        </is>
      </c>
      <c r="I1835" s="189" t="n">
        <v>13</v>
      </c>
      <c r="J1835" s="189" t="inlineStr">
        <is>
          <t>NO</t>
        </is>
      </c>
      <c r="K1835" s="190" t="inlineStr">
        <is>
          <t>https://talosintelligence.com/reputation_center/lookup?search=1.54.227.169</t>
        </is>
      </c>
      <c r="L1835" s="189" t="inlineStr">
        <is>
          <t>2026-02-23 23:48</t>
        </is>
      </c>
      <c r="M1835" s="189" t="inlineStr">
        <is>
          <t>Block IP</t>
        </is>
      </c>
      <c r="N1835" s="190" t="inlineStr">
        <is>
          <t>https://talosintelligence.com/reputation_center/lookup?search=1.54.227.169</t>
        </is>
      </c>
      <c r="O1835" s="189" t="inlineStr">
        <is>
          <t>Block IP 1.54.227.169 at firewall | Cisco Talos confirmed malicious</t>
        </is>
      </c>
      <c r="P1835" s="189" t="inlineStr">
        <is>
          <t>Network perimeter / Email / Web</t>
        </is>
      </c>
      <c r="Q1835" s="189" t="inlineStr">
        <is>
          <t>P3</t>
        </is>
      </c>
      <c r="R1835" s="189" t="inlineStr">
        <is>
          <t>🚫 Block IP at firewall immediately | 🔍 Check logs for existing connections | 🛡️ Add to threat intelligence blocklist</t>
        </is>
      </c>
      <c r="S1835" s="189" t="inlineStr">
        <is>
          <t>Check ip-api.com + AbuseIPDB for context</t>
        </is>
      </c>
      <c r="T1835" s="189" t="n">
        <v>0</v>
      </c>
      <c r="U1835" s="189" t="n">
        <v>0</v>
      </c>
      <c r="V1835" s="189" t="inlineStr">
        <is>
          <t>T1110:Brute Force | T1190:Exploit Public-Facing Application | T1566:Phishing</t>
        </is>
      </c>
      <c r="W1835" s="189" t="n">
        <v>1</v>
      </c>
      <c r="X1835" s="189" t="inlineStr">
        <is>
          <t>MEDIUM (60%)</t>
        </is>
      </c>
      <c r="Y1835" s="189" t="inlineStr">
        <is>
          <t>NONE</t>
        </is>
      </c>
      <c r="Z1835" s="189" t="inlineStr">
        <is>
          <t>NONE</t>
        </is>
      </c>
      <c r="AA1835" s="189" t="inlineStr">
        <is>
          <t>NONE</t>
        </is>
      </c>
      <c r="AB1835" s="189" t="inlineStr">
        <is>
          <t>NONE</t>
        </is>
      </c>
      <c r="AC1835" s="189" t="n">
        <v>0</v>
      </c>
      <c r="AD1835" s="189" t="n"/>
    </row>
    <row r="1836">
      <c r="A1836" s="189" t="inlineStr">
        <is>
          <t>TALOS_IP</t>
        </is>
      </c>
      <c r="B1836" s="189" t="inlineStr">
        <is>
          <t>d4ecff0c645a</t>
        </is>
      </c>
      <c r="C1836" s="189" t="inlineStr">
        <is>
          <t>Cisco Talos Blacklisted IP: 1.55.112.41 | Verified malicious | Sources: TALOS</t>
        </is>
      </c>
      <c r="D1836" s="189" t="n">
        <v>7</v>
      </c>
      <c r="E1836" s="189" t="inlineStr">
        <is>
          <t>HIGH</t>
        </is>
      </c>
      <c r="F1836" s="189" t="n">
        <v>3</v>
      </c>
      <c r="G1836" s="189" t="n">
        <v>2</v>
      </c>
      <c r="H1836" s="189" t="inlineStr">
        <is>
          <t>HIGH</t>
        </is>
      </c>
      <c r="I1836" s="189" t="n">
        <v>13</v>
      </c>
      <c r="J1836" s="189" t="inlineStr">
        <is>
          <t>NO</t>
        </is>
      </c>
      <c r="K1836" s="190" t="inlineStr">
        <is>
          <t>https://talosintelligence.com/reputation_center/lookup?search=1.55.112.41</t>
        </is>
      </c>
      <c r="L1836" s="189" t="inlineStr">
        <is>
          <t>2026-02-23 23:48</t>
        </is>
      </c>
      <c r="M1836" s="189" t="inlineStr">
        <is>
          <t>Block IP</t>
        </is>
      </c>
      <c r="N1836" s="190" t="inlineStr">
        <is>
          <t>https://talosintelligence.com/reputation_center/lookup?search=1.55.112.41</t>
        </is>
      </c>
      <c r="O1836" s="189" t="inlineStr">
        <is>
          <t>Block IP 1.55.112.41 at firewall | Cisco Talos confirmed malicious</t>
        </is>
      </c>
      <c r="P1836" s="189" t="inlineStr">
        <is>
          <t>Network perimeter / Email / Web</t>
        </is>
      </c>
      <c r="Q1836" s="189" t="inlineStr">
        <is>
          <t>P3</t>
        </is>
      </c>
      <c r="R1836" s="189" t="inlineStr">
        <is>
          <t>🚫 Block IP at firewall immediately | 🔍 Check logs for existing connections | 🛡️ Add to threat intelligence blocklist</t>
        </is>
      </c>
      <c r="S1836" s="189" t="inlineStr">
        <is>
          <t>Check ip-api.com + AbuseIPDB for context</t>
        </is>
      </c>
      <c r="T1836" s="189" t="n">
        <v>0</v>
      </c>
      <c r="U1836" s="189" t="n">
        <v>0</v>
      </c>
      <c r="V1836" s="189" t="inlineStr">
        <is>
          <t>T1110:Brute Force | T1190:Exploit Public-Facing Application | T1566:Phishing</t>
        </is>
      </c>
      <c r="W1836" s="189" t="n">
        <v>1</v>
      </c>
      <c r="X1836" s="189" t="inlineStr">
        <is>
          <t>MEDIUM (60%)</t>
        </is>
      </c>
      <c r="Y1836" s="189" t="inlineStr">
        <is>
          <t>NONE</t>
        </is>
      </c>
      <c r="Z1836" s="189" t="inlineStr">
        <is>
          <t>NONE</t>
        </is>
      </c>
      <c r="AA1836" s="189" t="inlineStr">
        <is>
          <t>NONE</t>
        </is>
      </c>
      <c r="AB1836" s="189" t="inlineStr">
        <is>
          <t>NONE</t>
        </is>
      </c>
      <c r="AC1836" s="189" t="n">
        <v>0</v>
      </c>
      <c r="AD1836" s="189" t="n"/>
    </row>
    <row r="1837">
      <c r="A1837" s="189" t="inlineStr">
        <is>
          <t>TALOS_IP</t>
        </is>
      </c>
      <c r="B1837" s="189" t="inlineStr">
        <is>
          <t>294e79b63c03</t>
        </is>
      </c>
      <c r="C1837" s="189" t="inlineStr">
        <is>
          <t>Cisco Talos Blacklisted IP: 1.55.178.97 | Verified malicious | Sources: TALOS</t>
        </is>
      </c>
      <c r="D1837" s="189" t="n">
        <v>7</v>
      </c>
      <c r="E1837" s="189" t="inlineStr">
        <is>
          <t>HIGH</t>
        </is>
      </c>
      <c r="F1837" s="189" t="n">
        <v>3</v>
      </c>
      <c r="G1837" s="189" t="n">
        <v>2</v>
      </c>
      <c r="H1837" s="189" t="inlineStr">
        <is>
          <t>HIGH</t>
        </is>
      </c>
      <c r="I1837" s="189" t="n">
        <v>13</v>
      </c>
      <c r="J1837" s="189" t="inlineStr">
        <is>
          <t>NO</t>
        </is>
      </c>
      <c r="K1837" s="190" t="inlineStr">
        <is>
          <t>https://talosintelligence.com/reputation_center/lookup?search=1.55.178.97</t>
        </is>
      </c>
      <c r="L1837" s="189" t="inlineStr">
        <is>
          <t>2026-02-23 23:48</t>
        </is>
      </c>
      <c r="M1837" s="189" t="inlineStr">
        <is>
          <t>Block IP</t>
        </is>
      </c>
      <c r="N1837" s="190" t="inlineStr">
        <is>
          <t>https://talosintelligence.com/reputation_center/lookup?search=1.55.178.97</t>
        </is>
      </c>
      <c r="O1837" s="189" t="inlineStr">
        <is>
          <t>Block IP 1.55.178.97 at firewall | Cisco Talos confirmed malicious</t>
        </is>
      </c>
      <c r="P1837" s="189" t="inlineStr">
        <is>
          <t>Network perimeter / Email / Web</t>
        </is>
      </c>
      <c r="Q1837" s="189" t="inlineStr">
        <is>
          <t>P3</t>
        </is>
      </c>
      <c r="R1837" s="189" t="inlineStr">
        <is>
          <t>🚫 Block IP at firewall immediately | 🔍 Check logs for existing connections | 🛡️ Add to threat intelligence blocklist</t>
        </is>
      </c>
      <c r="S1837" s="189" t="inlineStr">
        <is>
          <t>Check ip-api.com + AbuseIPDB for context</t>
        </is>
      </c>
      <c r="T1837" s="189" t="n">
        <v>0</v>
      </c>
      <c r="U1837" s="189" t="n">
        <v>0</v>
      </c>
      <c r="V1837" s="189" t="inlineStr">
        <is>
          <t>T1110:Brute Force | T1190:Exploit Public-Facing Application | T1566:Phishing</t>
        </is>
      </c>
      <c r="W1837" s="189" t="n">
        <v>1</v>
      </c>
      <c r="X1837" s="189" t="inlineStr">
        <is>
          <t>MEDIUM (60%)</t>
        </is>
      </c>
      <c r="Y1837" s="189" t="inlineStr">
        <is>
          <t>NONE</t>
        </is>
      </c>
      <c r="Z1837" s="189" t="inlineStr">
        <is>
          <t>NONE</t>
        </is>
      </c>
      <c r="AA1837" s="189" t="inlineStr">
        <is>
          <t>NONE</t>
        </is>
      </c>
      <c r="AB1837" s="189" t="inlineStr">
        <is>
          <t>NONE</t>
        </is>
      </c>
      <c r="AC1837" s="189" t="n">
        <v>0</v>
      </c>
      <c r="AD1837" s="189" t="n"/>
    </row>
    <row r="1838">
      <c r="A1838" s="189" t="inlineStr">
        <is>
          <t>TALOS_IP</t>
        </is>
      </c>
      <c r="B1838" s="189" t="inlineStr">
        <is>
          <t>c480b3c0b45e</t>
        </is>
      </c>
      <c r="C1838" s="189" t="inlineStr">
        <is>
          <t>Cisco Talos Blacklisted IP: 1.55.210.222 | Verified malicious | Sources: TALOS</t>
        </is>
      </c>
      <c r="D1838" s="189" t="n">
        <v>7</v>
      </c>
      <c r="E1838" s="189" t="inlineStr">
        <is>
          <t>HIGH</t>
        </is>
      </c>
      <c r="F1838" s="189" t="n">
        <v>3</v>
      </c>
      <c r="G1838" s="189" t="n">
        <v>2</v>
      </c>
      <c r="H1838" s="189" t="inlineStr">
        <is>
          <t>HIGH</t>
        </is>
      </c>
      <c r="I1838" s="189" t="n">
        <v>13</v>
      </c>
      <c r="J1838" s="189" t="inlineStr">
        <is>
          <t>NO</t>
        </is>
      </c>
      <c r="K1838" s="190" t="inlineStr">
        <is>
          <t>https://talosintelligence.com/reputation_center/lookup?search=1.55.210.222</t>
        </is>
      </c>
      <c r="L1838" s="189" t="inlineStr">
        <is>
          <t>2026-02-23 23:48</t>
        </is>
      </c>
      <c r="M1838" s="189" t="inlineStr">
        <is>
          <t>Block IP</t>
        </is>
      </c>
      <c r="N1838" s="190" t="inlineStr">
        <is>
          <t>https://talosintelligence.com/reputation_center/lookup?search=1.55.210.222</t>
        </is>
      </c>
      <c r="O1838" s="189" t="inlineStr">
        <is>
          <t>Block IP 1.55.210.222 at firewall | Cisco Talos confirmed malicious</t>
        </is>
      </c>
      <c r="P1838" s="189" t="inlineStr">
        <is>
          <t>Network perimeter / Email / Web</t>
        </is>
      </c>
      <c r="Q1838" s="189" t="inlineStr">
        <is>
          <t>P3</t>
        </is>
      </c>
      <c r="R1838" s="189" t="inlineStr">
        <is>
          <t>🚫 Block IP at firewall immediately | 🔍 Check logs for existing connections | 🛡️ Add to threat intelligence blocklist</t>
        </is>
      </c>
      <c r="S1838" s="189" t="inlineStr">
        <is>
          <t>Check ip-api.com + AbuseIPDB for context</t>
        </is>
      </c>
      <c r="T1838" s="189" t="n">
        <v>0</v>
      </c>
      <c r="U1838" s="189" t="n">
        <v>0</v>
      </c>
      <c r="V1838" s="189" t="inlineStr">
        <is>
          <t>T1110:Brute Force | T1190:Exploit Public-Facing Application | T1566:Phishing</t>
        </is>
      </c>
      <c r="W1838" s="189" t="n">
        <v>1</v>
      </c>
      <c r="X1838" s="189" t="inlineStr">
        <is>
          <t>MEDIUM (60%)</t>
        </is>
      </c>
      <c r="Y1838" s="189" t="inlineStr">
        <is>
          <t>NONE</t>
        </is>
      </c>
      <c r="Z1838" s="189" t="inlineStr">
        <is>
          <t>NONE</t>
        </is>
      </c>
      <c r="AA1838" s="189" t="inlineStr">
        <is>
          <t>NONE</t>
        </is>
      </c>
      <c r="AB1838" s="189" t="inlineStr">
        <is>
          <t>NONE</t>
        </is>
      </c>
      <c r="AC1838" s="189" t="n">
        <v>0</v>
      </c>
      <c r="AD1838" s="189" t="n"/>
    </row>
    <row r="1839">
      <c r="A1839" s="189" t="inlineStr">
        <is>
          <t>TALOS_IP</t>
        </is>
      </c>
      <c r="B1839" s="189" t="inlineStr">
        <is>
          <t>f126028da857</t>
        </is>
      </c>
      <c r="C1839" s="189" t="inlineStr">
        <is>
          <t>Cisco Talos Blacklisted IP: 1.57.218.120 | Verified malicious | Sources: TALOS</t>
        </is>
      </c>
      <c r="D1839" s="189" t="n">
        <v>7</v>
      </c>
      <c r="E1839" s="189" t="inlineStr">
        <is>
          <t>HIGH</t>
        </is>
      </c>
      <c r="F1839" s="189" t="n">
        <v>3</v>
      </c>
      <c r="G1839" s="189" t="n">
        <v>2</v>
      </c>
      <c r="H1839" s="189" t="inlineStr">
        <is>
          <t>HIGH</t>
        </is>
      </c>
      <c r="I1839" s="189" t="n">
        <v>13</v>
      </c>
      <c r="J1839" s="189" t="inlineStr">
        <is>
          <t>NO</t>
        </is>
      </c>
      <c r="K1839" s="190" t="inlineStr">
        <is>
          <t>https://talosintelligence.com/reputation_center/lookup?search=1.57.218.120</t>
        </is>
      </c>
      <c r="L1839" s="189" t="inlineStr">
        <is>
          <t>2026-02-23 23:48</t>
        </is>
      </c>
      <c r="M1839" s="189" t="inlineStr">
        <is>
          <t>Block IP</t>
        </is>
      </c>
      <c r="N1839" s="190" t="inlineStr">
        <is>
          <t>https://talosintelligence.com/reputation_center/lookup?search=1.57.218.120</t>
        </is>
      </c>
      <c r="O1839" s="189" t="inlineStr">
        <is>
          <t>Block IP 1.57.218.120 at firewall | Cisco Talos confirmed malicious</t>
        </is>
      </c>
      <c r="P1839" s="189" t="inlineStr">
        <is>
          <t>Network perimeter / Email / Web</t>
        </is>
      </c>
      <c r="Q1839" s="189" t="inlineStr">
        <is>
          <t>P3</t>
        </is>
      </c>
      <c r="R1839" s="189" t="inlineStr">
        <is>
          <t>🚫 Block IP at firewall immediately | 🔍 Check logs for existing connections | 🛡️ Add to threat intelligence blocklist</t>
        </is>
      </c>
      <c r="S1839" s="189" t="inlineStr">
        <is>
          <t>Check ip-api.com + AbuseIPDB for context</t>
        </is>
      </c>
      <c r="T1839" s="189" t="n">
        <v>0</v>
      </c>
      <c r="U1839" s="189" t="n">
        <v>0</v>
      </c>
      <c r="V1839" s="189" t="inlineStr">
        <is>
          <t>T1110:Brute Force | T1190:Exploit Public-Facing Application | T1566:Phishing</t>
        </is>
      </c>
      <c r="W1839" s="189" t="n">
        <v>1</v>
      </c>
      <c r="X1839" s="189" t="inlineStr">
        <is>
          <t>MEDIUM (60%)</t>
        </is>
      </c>
      <c r="Y1839" s="189" t="inlineStr">
        <is>
          <t>NONE</t>
        </is>
      </c>
      <c r="Z1839" s="189" t="inlineStr">
        <is>
          <t>NONE</t>
        </is>
      </c>
      <c r="AA1839" s="189" t="inlineStr">
        <is>
          <t>NONE</t>
        </is>
      </c>
      <c r="AB1839" s="189" t="inlineStr">
        <is>
          <t>NONE</t>
        </is>
      </c>
      <c r="AC1839" s="189" t="n">
        <v>0</v>
      </c>
      <c r="AD1839" s="189" t="n"/>
    </row>
    <row r="1840">
      <c r="A1840" s="189" t="inlineStr">
        <is>
          <t>TALOS_IP</t>
        </is>
      </c>
      <c r="B1840" s="189" t="inlineStr">
        <is>
          <t>a44b0b356621</t>
        </is>
      </c>
      <c r="C1840" s="189" t="inlineStr">
        <is>
          <t>Cisco Talos Blacklisted IP: 1.83.125.11 | Verified malicious | Sources: TALOS</t>
        </is>
      </c>
      <c r="D1840" s="189" t="n">
        <v>7</v>
      </c>
      <c r="E1840" s="189" t="inlineStr">
        <is>
          <t>HIGH</t>
        </is>
      </c>
      <c r="F1840" s="189" t="n">
        <v>3</v>
      </c>
      <c r="G1840" s="189" t="n">
        <v>2</v>
      </c>
      <c r="H1840" s="189" t="inlineStr">
        <is>
          <t>HIGH</t>
        </is>
      </c>
      <c r="I1840" s="189" t="n">
        <v>13</v>
      </c>
      <c r="J1840" s="189" t="inlineStr">
        <is>
          <t>NO</t>
        </is>
      </c>
      <c r="K1840" s="190" t="inlineStr">
        <is>
          <t>https://talosintelligence.com/reputation_center/lookup?search=1.83.125.11</t>
        </is>
      </c>
      <c r="L1840" s="189" t="inlineStr">
        <is>
          <t>2026-02-23 23:48</t>
        </is>
      </c>
      <c r="M1840" s="189" t="inlineStr">
        <is>
          <t>Block IP</t>
        </is>
      </c>
      <c r="N1840" s="190" t="inlineStr">
        <is>
          <t>https://talosintelligence.com/reputation_center/lookup?search=1.83.125.11</t>
        </is>
      </c>
      <c r="O1840" s="189" t="inlineStr">
        <is>
          <t>Block IP 1.83.125.11 at firewall | Cisco Talos confirmed malicious</t>
        </is>
      </c>
      <c r="P1840" s="189" t="inlineStr">
        <is>
          <t>Network perimeter / Email / Web</t>
        </is>
      </c>
      <c r="Q1840" s="189" t="inlineStr">
        <is>
          <t>P3</t>
        </is>
      </c>
      <c r="R1840" s="189" t="inlineStr">
        <is>
          <t>🚫 Block IP at firewall immediately | 🔍 Check logs for existing connections | 🛡️ Add to threat intelligence blocklist</t>
        </is>
      </c>
      <c r="S1840" s="189" t="inlineStr">
        <is>
          <t>Check ip-api.com + AbuseIPDB for context</t>
        </is>
      </c>
      <c r="T1840" s="189" t="n">
        <v>0</v>
      </c>
      <c r="U1840" s="189" t="n">
        <v>0</v>
      </c>
      <c r="V1840" s="189" t="inlineStr">
        <is>
          <t>T1110:Brute Force | T1190:Exploit Public-Facing Application | T1566:Phishing</t>
        </is>
      </c>
      <c r="W1840" s="189" t="n">
        <v>1</v>
      </c>
      <c r="X1840" s="189" t="inlineStr">
        <is>
          <t>MEDIUM (60%)</t>
        </is>
      </c>
      <c r="Y1840" s="189" t="inlineStr">
        <is>
          <t>NONE</t>
        </is>
      </c>
      <c r="Z1840" s="189" t="inlineStr">
        <is>
          <t>NONE</t>
        </is>
      </c>
      <c r="AA1840" s="189" t="inlineStr">
        <is>
          <t>NONE</t>
        </is>
      </c>
      <c r="AB1840" s="189" t="inlineStr">
        <is>
          <t>NONE</t>
        </is>
      </c>
      <c r="AC1840" s="189" t="n">
        <v>0</v>
      </c>
      <c r="AD1840" s="189" t="n"/>
    </row>
    <row r="1841">
      <c r="A1841" s="189" t="inlineStr">
        <is>
          <t>TALOS_IP</t>
        </is>
      </c>
      <c r="B1841" s="189" t="inlineStr">
        <is>
          <t>5dd938c4fc17</t>
        </is>
      </c>
      <c r="C1841" s="189" t="inlineStr">
        <is>
          <t>Cisco Talos Blacklisted IP: 1.83.125.114 | Verified malicious | Sources: TALOS</t>
        </is>
      </c>
      <c r="D1841" s="189" t="n">
        <v>7</v>
      </c>
      <c r="E1841" s="189" t="inlineStr">
        <is>
          <t>HIGH</t>
        </is>
      </c>
      <c r="F1841" s="189" t="n">
        <v>3</v>
      </c>
      <c r="G1841" s="189" t="n">
        <v>2</v>
      </c>
      <c r="H1841" s="189" t="inlineStr">
        <is>
          <t>HIGH</t>
        </is>
      </c>
      <c r="I1841" s="189" t="n">
        <v>13</v>
      </c>
      <c r="J1841" s="189" t="inlineStr">
        <is>
          <t>NO</t>
        </is>
      </c>
      <c r="K1841" s="190" t="inlineStr">
        <is>
          <t>https://talosintelligence.com/reputation_center/lookup?search=1.83.125.114</t>
        </is>
      </c>
      <c r="L1841" s="189" t="inlineStr">
        <is>
          <t>2026-02-23 23:48</t>
        </is>
      </c>
      <c r="M1841" s="189" t="inlineStr">
        <is>
          <t>Block IP</t>
        </is>
      </c>
      <c r="N1841" s="190" t="inlineStr">
        <is>
          <t>https://talosintelligence.com/reputation_center/lookup?search=1.83.125.114</t>
        </is>
      </c>
      <c r="O1841" s="189" t="inlineStr">
        <is>
          <t>Block IP 1.83.125.114 at firewall | Cisco Talos confirmed malicious</t>
        </is>
      </c>
      <c r="P1841" s="189" t="inlineStr">
        <is>
          <t>Network perimeter / Email / Web</t>
        </is>
      </c>
      <c r="Q1841" s="189" t="inlineStr">
        <is>
          <t>P3</t>
        </is>
      </c>
      <c r="R1841" s="189" t="inlineStr">
        <is>
          <t>🚫 Block IP at firewall immediately | 🔍 Check logs for existing connections | 🛡️ Add to threat intelligence blocklist</t>
        </is>
      </c>
      <c r="S1841" s="189" t="inlineStr">
        <is>
          <t>Check ip-api.com + AbuseIPDB for context</t>
        </is>
      </c>
      <c r="T1841" s="189" t="n">
        <v>0</v>
      </c>
      <c r="U1841" s="189" t="n">
        <v>0</v>
      </c>
      <c r="V1841" s="189" t="inlineStr">
        <is>
          <t>T1110:Brute Force | T1190:Exploit Public-Facing Application | T1566:Phishing</t>
        </is>
      </c>
      <c r="W1841" s="189" t="n">
        <v>1</v>
      </c>
      <c r="X1841" s="189" t="inlineStr">
        <is>
          <t>MEDIUM (60%)</t>
        </is>
      </c>
      <c r="Y1841" s="189" t="inlineStr">
        <is>
          <t>NONE</t>
        </is>
      </c>
      <c r="Z1841" s="189" t="inlineStr">
        <is>
          <t>NONE</t>
        </is>
      </c>
      <c r="AA1841" s="189" t="inlineStr">
        <is>
          <t>NONE</t>
        </is>
      </c>
      <c r="AB1841" s="189" t="inlineStr">
        <is>
          <t>NONE</t>
        </is>
      </c>
      <c r="AC1841" s="189" t="n">
        <v>0</v>
      </c>
      <c r="AD1841" s="189" t="n"/>
    </row>
    <row r="1842">
      <c r="A1842" s="189" t="inlineStr">
        <is>
          <t>TALOS_IP</t>
        </is>
      </c>
      <c r="B1842" s="189" t="inlineStr">
        <is>
          <t>351dc1a1667e</t>
        </is>
      </c>
      <c r="C1842" s="189" t="inlineStr">
        <is>
          <t>Cisco Talos Blacklisted IP: 1.83.125.115 | Verified malicious | Sources: TALOS</t>
        </is>
      </c>
      <c r="D1842" s="189" t="n">
        <v>7</v>
      </c>
      <c r="E1842" s="189" t="inlineStr">
        <is>
          <t>HIGH</t>
        </is>
      </c>
      <c r="F1842" s="189" t="n">
        <v>3</v>
      </c>
      <c r="G1842" s="189" t="n">
        <v>2</v>
      </c>
      <c r="H1842" s="189" t="inlineStr">
        <is>
          <t>HIGH</t>
        </is>
      </c>
      <c r="I1842" s="189" t="n">
        <v>13</v>
      </c>
      <c r="J1842" s="189" t="inlineStr">
        <is>
          <t>NO</t>
        </is>
      </c>
      <c r="K1842" s="190" t="inlineStr">
        <is>
          <t>https://talosintelligence.com/reputation_center/lookup?search=1.83.125.115</t>
        </is>
      </c>
      <c r="L1842" s="189" t="inlineStr">
        <is>
          <t>2026-02-23 23:48</t>
        </is>
      </c>
      <c r="M1842" s="189" t="inlineStr">
        <is>
          <t>Block IP</t>
        </is>
      </c>
      <c r="N1842" s="190" t="inlineStr">
        <is>
          <t>https://talosintelligence.com/reputation_center/lookup?search=1.83.125.115</t>
        </is>
      </c>
      <c r="O1842" s="189" t="inlineStr">
        <is>
          <t>Block IP 1.83.125.115 at firewall | Cisco Talos confirmed malicious</t>
        </is>
      </c>
      <c r="P1842" s="189" t="inlineStr">
        <is>
          <t>Network perimeter / Email / Web</t>
        </is>
      </c>
      <c r="Q1842" s="189" t="inlineStr">
        <is>
          <t>P3</t>
        </is>
      </c>
      <c r="R1842" s="189" t="inlineStr">
        <is>
          <t>🚫 Block IP at firewall immediately | 🔍 Check logs for existing connections | 🛡️ Add to threat intelligence blocklist</t>
        </is>
      </c>
      <c r="S1842" s="189" t="inlineStr">
        <is>
          <t>Check ip-api.com + AbuseIPDB for context</t>
        </is>
      </c>
      <c r="T1842" s="189" t="n">
        <v>0</v>
      </c>
      <c r="U1842" s="189" t="n">
        <v>0</v>
      </c>
      <c r="V1842" s="189" t="inlineStr">
        <is>
          <t>T1110:Brute Force | T1190:Exploit Public-Facing Application | T1566:Phishing</t>
        </is>
      </c>
      <c r="W1842" s="189" t="n">
        <v>1</v>
      </c>
      <c r="X1842" s="189" t="inlineStr">
        <is>
          <t>MEDIUM (60%)</t>
        </is>
      </c>
      <c r="Y1842" s="189" t="inlineStr">
        <is>
          <t>NONE</t>
        </is>
      </c>
      <c r="Z1842" s="189" t="inlineStr">
        <is>
          <t>NONE</t>
        </is>
      </c>
      <c r="AA1842" s="189" t="inlineStr">
        <is>
          <t>NONE</t>
        </is>
      </c>
      <c r="AB1842" s="189" t="inlineStr">
        <is>
          <t>NONE</t>
        </is>
      </c>
      <c r="AC1842" s="189" t="n">
        <v>0</v>
      </c>
      <c r="AD1842" s="189" t="n"/>
    </row>
    <row r="1843">
      <c r="A1843" s="189" t="inlineStr">
        <is>
          <t>TALOS_IP</t>
        </is>
      </c>
      <c r="B1843" s="189" t="inlineStr">
        <is>
          <t>b0d10d9b2861</t>
        </is>
      </c>
      <c r="C1843" s="189" t="inlineStr">
        <is>
          <t>Cisco Talos Blacklisted IP: 1.83.125.118 | Verified malicious | Sources: TALOS</t>
        </is>
      </c>
      <c r="D1843" s="189" t="n">
        <v>7</v>
      </c>
      <c r="E1843" s="189" t="inlineStr">
        <is>
          <t>HIGH</t>
        </is>
      </c>
      <c r="F1843" s="189" t="n">
        <v>3</v>
      </c>
      <c r="G1843" s="189" t="n">
        <v>2</v>
      </c>
      <c r="H1843" s="189" t="inlineStr">
        <is>
          <t>HIGH</t>
        </is>
      </c>
      <c r="I1843" s="189" t="n">
        <v>13</v>
      </c>
      <c r="J1843" s="189" t="inlineStr">
        <is>
          <t>NO</t>
        </is>
      </c>
      <c r="K1843" s="190" t="inlineStr">
        <is>
          <t>https://talosintelligence.com/reputation_center/lookup?search=1.83.125.118</t>
        </is>
      </c>
      <c r="L1843" s="189" t="inlineStr">
        <is>
          <t>2026-02-23 23:48</t>
        </is>
      </c>
      <c r="M1843" s="189" t="inlineStr">
        <is>
          <t>Block IP</t>
        </is>
      </c>
      <c r="N1843" s="190" t="inlineStr">
        <is>
          <t>https://talosintelligence.com/reputation_center/lookup?search=1.83.125.118</t>
        </is>
      </c>
      <c r="O1843" s="189" t="inlineStr">
        <is>
          <t>Block IP 1.83.125.118 at firewall | Cisco Talos confirmed malicious</t>
        </is>
      </c>
      <c r="P1843" s="189" t="inlineStr">
        <is>
          <t>Network perimeter / Email / Web</t>
        </is>
      </c>
      <c r="Q1843" s="189" t="inlineStr">
        <is>
          <t>P3</t>
        </is>
      </c>
      <c r="R1843" s="189" t="inlineStr">
        <is>
          <t>🚫 Block IP at firewall immediately | 🔍 Check logs for existing connections | 🛡️ Add to threat intelligence blocklist</t>
        </is>
      </c>
      <c r="S1843" s="189" t="inlineStr">
        <is>
          <t>Check ip-api.com + AbuseIPDB for context</t>
        </is>
      </c>
      <c r="T1843" s="189" t="n">
        <v>0</v>
      </c>
      <c r="U1843" s="189" t="n">
        <v>0</v>
      </c>
      <c r="V1843" s="189" t="inlineStr">
        <is>
          <t>T1110:Brute Force | T1190:Exploit Public-Facing Application | T1566:Phishing</t>
        </is>
      </c>
      <c r="W1843" s="189" t="n">
        <v>1</v>
      </c>
      <c r="X1843" s="189" t="inlineStr">
        <is>
          <t>MEDIUM (60%)</t>
        </is>
      </c>
      <c r="Y1843" s="189" t="inlineStr">
        <is>
          <t>NONE</t>
        </is>
      </c>
      <c r="Z1843" s="189" t="inlineStr">
        <is>
          <t>NONE</t>
        </is>
      </c>
      <c r="AA1843" s="189" t="inlineStr">
        <is>
          <t>NONE</t>
        </is>
      </c>
      <c r="AB1843" s="189" t="inlineStr">
        <is>
          <t>NONE</t>
        </is>
      </c>
      <c r="AC1843" s="189" t="n">
        <v>0</v>
      </c>
      <c r="AD1843" s="189" t="n"/>
    </row>
    <row r="1844">
      <c r="A1844" s="189" t="inlineStr">
        <is>
          <t>TALOS_IP</t>
        </is>
      </c>
      <c r="B1844" s="189" t="inlineStr">
        <is>
          <t>16ed7ce7de56</t>
        </is>
      </c>
      <c r="C1844" s="189" t="inlineStr">
        <is>
          <t>Cisco Talos Blacklisted IP: 1.83.125.126 | Verified malicious | Sources: TALOS</t>
        </is>
      </c>
      <c r="D1844" s="189" t="n">
        <v>7</v>
      </c>
      <c r="E1844" s="189" t="inlineStr">
        <is>
          <t>HIGH</t>
        </is>
      </c>
      <c r="F1844" s="189" t="n">
        <v>3</v>
      </c>
      <c r="G1844" s="189" t="n">
        <v>2</v>
      </c>
      <c r="H1844" s="189" t="inlineStr">
        <is>
          <t>HIGH</t>
        </is>
      </c>
      <c r="I1844" s="189" t="n">
        <v>13</v>
      </c>
      <c r="J1844" s="189" t="inlineStr">
        <is>
          <t>NO</t>
        </is>
      </c>
      <c r="K1844" s="190" t="inlineStr">
        <is>
          <t>https://talosintelligence.com/reputation_center/lookup?search=1.83.125.126</t>
        </is>
      </c>
      <c r="L1844" s="189" t="inlineStr">
        <is>
          <t>2026-02-23 23:48</t>
        </is>
      </c>
      <c r="M1844" s="189" t="inlineStr">
        <is>
          <t>Block IP</t>
        </is>
      </c>
      <c r="N1844" s="190" t="inlineStr">
        <is>
          <t>https://talosintelligence.com/reputation_center/lookup?search=1.83.125.126</t>
        </is>
      </c>
      <c r="O1844" s="189" t="inlineStr">
        <is>
          <t>Block IP 1.83.125.126 at firewall | Cisco Talos confirmed malicious</t>
        </is>
      </c>
      <c r="P1844" s="189" t="inlineStr">
        <is>
          <t>Network perimeter / Email / Web</t>
        </is>
      </c>
      <c r="Q1844" s="189" t="inlineStr">
        <is>
          <t>P3</t>
        </is>
      </c>
      <c r="R1844" s="189" t="inlineStr">
        <is>
          <t>🚫 Block IP at firewall immediately | 🔍 Check logs for existing connections | 🛡️ Add to threat intelligence blocklist</t>
        </is>
      </c>
      <c r="S1844" s="189" t="inlineStr">
        <is>
          <t>Check ip-api.com + AbuseIPDB for context</t>
        </is>
      </c>
      <c r="T1844" s="189" t="n">
        <v>0</v>
      </c>
      <c r="U1844" s="189" t="n">
        <v>0</v>
      </c>
      <c r="V1844" s="189" t="inlineStr">
        <is>
          <t>T1110:Brute Force | T1190:Exploit Public-Facing Application | T1566:Phishing</t>
        </is>
      </c>
      <c r="W1844" s="189" t="n">
        <v>1</v>
      </c>
      <c r="X1844" s="189" t="inlineStr">
        <is>
          <t>MEDIUM (60%)</t>
        </is>
      </c>
      <c r="Y1844" s="189" t="inlineStr">
        <is>
          <t>NONE</t>
        </is>
      </c>
      <c r="Z1844" s="189" t="inlineStr">
        <is>
          <t>NONE</t>
        </is>
      </c>
      <c r="AA1844" s="189" t="inlineStr">
        <is>
          <t>NONE</t>
        </is>
      </c>
      <c r="AB1844" s="189" t="inlineStr">
        <is>
          <t>NONE</t>
        </is>
      </c>
      <c r="AC1844" s="189" t="n">
        <v>0</v>
      </c>
      <c r="AD1844" s="189" t="n"/>
    </row>
    <row r="1845">
      <c r="A1845" s="189" t="inlineStr">
        <is>
          <t>EMERGING_THREAT_IP</t>
        </is>
      </c>
      <c r="B1845" s="189" t="inlineStr">
        <is>
          <t>383c44b46f35</t>
        </is>
      </c>
      <c r="C1845" s="189" t="inlineStr">
        <is>
          <t>Emerging Threats Compromised IP: 101.36.104.242 | Sources: EMERGING_THREATS</t>
        </is>
      </c>
      <c r="D1845" s="189" t="n">
        <v>6.5</v>
      </c>
      <c r="E1845" s="189" t="inlineStr">
        <is>
          <t>HIGH</t>
        </is>
      </c>
      <c r="F1845" s="189" t="n">
        <v>3</v>
      </c>
      <c r="G1845" s="189" t="n">
        <v>2</v>
      </c>
      <c r="H1845" s="189" t="inlineStr">
        <is>
          <t>HIGH</t>
        </is>
      </c>
      <c r="I1845" s="189" t="n">
        <v>12.5</v>
      </c>
      <c r="J1845" s="189" t="inlineStr">
        <is>
          <t>NO</t>
        </is>
      </c>
      <c r="K1845" s="190" t="inlineStr">
        <is>
          <t>https://rules.emergingthreats.net/</t>
        </is>
      </c>
      <c r="L1845" s="189" t="inlineStr">
        <is>
          <t>2026-02-23 23:48</t>
        </is>
      </c>
      <c r="M1845" s="189" t="inlineStr">
        <is>
          <t>Block IP</t>
        </is>
      </c>
      <c r="N1845" s="190" t="inlineStr">
        <is>
          <t>https://rules.emergingthreats.net/blockrules/compromised-ips.txt</t>
        </is>
      </c>
      <c r="O1845" s="189" t="inlineStr">
        <is>
          <t>Block IP 101.36.104.242 at firewall | Emerging Threats compromised host</t>
        </is>
      </c>
      <c r="P1845" s="189" t="inlineStr">
        <is>
          <t>Network perimeter</t>
        </is>
      </c>
      <c r="Q1845" s="189" t="inlineStr">
        <is>
          <t>P3</t>
        </is>
      </c>
      <c r="R1845" s="189" t="inlineStr">
        <is>
          <t>🚫 Block IP at firewall immediately | 🔍 Check logs for existing connections | 🛡️ Add to threat intelligence blocklist</t>
        </is>
      </c>
      <c r="S1845" s="189" t="inlineStr">
        <is>
          <t>Check ip-api.com + AbuseIPDB for context</t>
        </is>
      </c>
      <c r="T1845" s="189" t="n">
        <v>0</v>
      </c>
      <c r="U1845" s="189" t="n">
        <v>0</v>
      </c>
      <c r="V1845" s="189" t="inlineStr">
        <is>
          <t>T1110:Brute Force | T1190:Exploit Public-Facing Application</t>
        </is>
      </c>
      <c r="W1845" s="189" t="n">
        <v>1</v>
      </c>
      <c r="X1845" s="189" t="inlineStr">
        <is>
          <t>LOW (40%)</t>
        </is>
      </c>
      <c r="Y1845" s="189" t="inlineStr">
        <is>
          <t>NONE</t>
        </is>
      </c>
      <c r="Z1845" s="189" t="inlineStr">
        <is>
          <t>NONE</t>
        </is>
      </c>
      <c r="AA1845" s="189" t="inlineStr">
        <is>
          <t>NONE</t>
        </is>
      </c>
      <c r="AB1845" s="189" t="inlineStr">
        <is>
          <t>NONE</t>
        </is>
      </c>
      <c r="AC1845" s="189" t="n">
        <v>0</v>
      </c>
      <c r="AD1845" s="189" t="n"/>
    </row>
    <row r="1846">
      <c r="A1846" s="189" t="inlineStr">
        <is>
          <t>EMERGING_THREAT_IP</t>
        </is>
      </c>
      <c r="B1846" s="189" t="inlineStr">
        <is>
          <t>455b8822a4a2</t>
        </is>
      </c>
      <c r="C1846" s="189" t="inlineStr">
        <is>
          <t>Emerging Threats Compromised IP: 101.36.123.102 | Sources: EMERGING_THREATS</t>
        </is>
      </c>
      <c r="D1846" s="189" t="n">
        <v>6.5</v>
      </c>
      <c r="E1846" s="189" t="inlineStr">
        <is>
          <t>HIGH</t>
        </is>
      </c>
      <c r="F1846" s="189" t="n">
        <v>3</v>
      </c>
      <c r="G1846" s="189" t="n">
        <v>2</v>
      </c>
      <c r="H1846" s="189" t="inlineStr">
        <is>
          <t>HIGH</t>
        </is>
      </c>
      <c r="I1846" s="189" t="n">
        <v>12.5</v>
      </c>
      <c r="J1846" s="189" t="inlineStr">
        <is>
          <t>NO</t>
        </is>
      </c>
      <c r="K1846" s="190" t="inlineStr">
        <is>
          <t>https://rules.emergingthreats.net/</t>
        </is>
      </c>
      <c r="L1846" s="189" t="inlineStr">
        <is>
          <t>2026-02-23 23:48</t>
        </is>
      </c>
      <c r="M1846" s="189" t="inlineStr">
        <is>
          <t>Block IP</t>
        </is>
      </c>
      <c r="N1846" s="190" t="inlineStr">
        <is>
          <t>https://rules.emergingthreats.net/blockrules/compromised-ips.txt</t>
        </is>
      </c>
      <c r="O1846" s="189" t="inlineStr">
        <is>
          <t>Block IP 101.36.123.102 at firewall | Emerging Threats compromised host</t>
        </is>
      </c>
      <c r="P1846" s="189" t="inlineStr">
        <is>
          <t>Network perimeter</t>
        </is>
      </c>
      <c r="Q1846" s="189" t="inlineStr">
        <is>
          <t>P3</t>
        </is>
      </c>
      <c r="R1846" s="189" t="inlineStr">
        <is>
          <t>🚫 Block IP at firewall immediately | 🔍 Check logs for existing connections | 🛡️ Add to threat intelligence blocklist</t>
        </is>
      </c>
      <c r="S1846" s="189" t="inlineStr">
        <is>
          <t>Check ip-api.com + AbuseIPDB for context</t>
        </is>
      </c>
      <c r="T1846" s="189" t="n">
        <v>0</v>
      </c>
      <c r="U1846" s="189" t="n">
        <v>0</v>
      </c>
      <c r="V1846" s="189" t="inlineStr">
        <is>
          <t>T1110:Brute Force | T1190:Exploit Public-Facing Application</t>
        </is>
      </c>
      <c r="W1846" s="189" t="n">
        <v>1</v>
      </c>
      <c r="X1846" s="189" t="inlineStr">
        <is>
          <t>LOW (40%)</t>
        </is>
      </c>
      <c r="Y1846" s="189" t="inlineStr">
        <is>
          <t>NONE</t>
        </is>
      </c>
      <c r="Z1846" s="189" t="inlineStr">
        <is>
          <t>NONE</t>
        </is>
      </c>
      <c r="AA1846" s="189" t="inlineStr">
        <is>
          <t>NONE</t>
        </is>
      </c>
      <c r="AB1846" s="189" t="inlineStr">
        <is>
          <t>NONE</t>
        </is>
      </c>
      <c r="AC1846" s="189" t="n">
        <v>0</v>
      </c>
      <c r="AD1846" s="189" t="n"/>
    </row>
    <row r="1847">
      <c r="A1847" s="189" t="inlineStr">
        <is>
          <t>EMERGING_THREAT_IP</t>
        </is>
      </c>
      <c r="B1847" s="189" t="inlineStr">
        <is>
          <t>356717d3fb41</t>
        </is>
      </c>
      <c r="C1847" s="189" t="inlineStr">
        <is>
          <t>Emerging Threats Compromised IP: 102.244.97.183 | Sources: EMERGING_THREATS</t>
        </is>
      </c>
      <c r="D1847" s="189" t="n">
        <v>6.5</v>
      </c>
      <c r="E1847" s="189" t="inlineStr">
        <is>
          <t>HIGH</t>
        </is>
      </c>
      <c r="F1847" s="189" t="n">
        <v>3</v>
      </c>
      <c r="G1847" s="189" t="n">
        <v>2</v>
      </c>
      <c r="H1847" s="189" t="inlineStr">
        <is>
          <t>HIGH</t>
        </is>
      </c>
      <c r="I1847" s="189" t="n">
        <v>12.5</v>
      </c>
      <c r="J1847" s="189" t="inlineStr">
        <is>
          <t>NO</t>
        </is>
      </c>
      <c r="K1847" s="190" t="inlineStr">
        <is>
          <t>https://rules.emergingthreats.net/</t>
        </is>
      </c>
      <c r="L1847" s="189" t="inlineStr">
        <is>
          <t>2026-02-23 23:48</t>
        </is>
      </c>
      <c r="M1847" s="189" t="inlineStr">
        <is>
          <t>Block IP</t>
        </is>
      </c>
      <c r="N1847" s="190" t="inlineStr">
        <is>
          <t>https://rules.emergingthreats.net/blockrules/compromised-ips.txt</t>
        </is>
      </c>
      <c r="O1847" s="189" t="inlineStr">
        <is>
          <t>Block IP 102.244.97.183 at firewall | Emerging Threats compromised host</t>
        </is>
      </c>
      <c r="P1847" s="189" t="inlineStr">
        <is>
          <t>Network perimeter</t>
        </is>
      </c>
      <c r="Q1847" s="189" t="inlineStr">
        <is>
          <t>P3</t>
        </is>
      </c>
      <c r="R1847" s="189" t="inlineStr">
        <is>
          <t>🚫 Block IP at firewall immediately | 🔍 Check logs for existing connections | 🛡️ Add to threat intelligence blocklist</t>
        </is>
      </c>
      <c r="S1847" s="189" t="inlineStr">
        <is>
          <t>Check ip-api.com + AbuseIPDB for context</t>
        </is>
      </c>
      <c r="T1847" s="189" t="n">
        <v>0</v>
      </c>
      <c r="U1847" s="189" t="n">
        <v>0</v>
      </c>
      <c r="V1847" s="189" t="inlineStr">
        <is>
          <t>T1110:Brute Force | T1190:Exploit Public-Facing Application</t>
        </is>
      </c>
      <c r="W1847" s="189" t="n">
        <v>1</v>
      </c>
      <c r="X1847" s="189" t="inlineStr">
        <is>
          <t>LOW (40%)</t>
        </is>
      </c>
      <c r="Y1847" s="189" t="inlineStr">
        <is>
          <t>NONE</t>
        </is>
      </c>
      <c r="Z1847" s="189" t="inlineStr">
        <is>
          <t>NONE</t>
        </is>
      </c>
      <c r="AA1847" s="189" t="inlineStr">
        <is>
          <t>NONE</t>
        </is>
      </c>
      <c r="AB1847" s="189" t="inlineStr">
        <is>
          <t>NONE</t>
        </is>
      </c>
      <c r="AC1847" s="189" t="n">
        <v>0</v>
      </c>
      <c r="AD1847" s="189" t="n"/>
    </row>
    <row r="1848">
      <c r="A1848" s="189" t="inlineStr">
        <is>
          <t>EMERGING_THREAT_IP</t>
        </is>
      </c>
      <c r="B1848" s="189" t="inlineStr">
        <is>
          <t>340ffbe1b705</t>
        </is>
      </c>
      <c r="C1848" s="189" t="inlineStr">
        <is>
          <t>Emerging Threats Compromised IP: 103.103.21.109 | Sources: EMERGING_THREATS</t>
        </is>
      </c>
      <c r="D1848" s="189" t="n">
        <v>6.5</v>
      </c>
      <c r="E1848" s="189" t="inlineStr">
        <is>
          <t>HIGH</t>
        </is>
      </c>
      <c r="F1848" s="189" t="n">
        <v>3</v>
      </c>
      <c r="G1848" s="189" t="n">
        <v>2</v>
      </c>
      <c r="H1848" s="189" t="inlineStr">
        <is>
          <t>HIGH</t>
        </is>
      </c>
      <c r="I1848" s="189" t="n">
        <v>12.5</v>
      </c>
      <c r="J1848" s="189" t="inlineStr">
        <is>
          <t>NO</t>
        </is>
      </c>
      <c r="K1848" s="190" t="inlineStr">
        <is>
          <t>https://rules.emergingthreats.net/</t>
        </is>
      </c>
      <c r="L1848" s="189" t="inlineStr">
        <is>
          <t>2026-02-23 23:48</t>
        </is>
      </c>
      <c r="M1848" s="189" t="inlineStr">
        <is>
          <t>Block IP</t>
        </is>
      </c>
      <c r="N1848" s="190" t="inlineStr">
        <is>
          <t>https://rules.emergingthreats.net/blockrules/compromised-ips.txt</t>
        </is>
      </c>
      <c r="O1848" s="189" t="inlineStr">
        <is>
          <t>Block IP 103.103.21.109 at firewall | Emerging Threats compromised host</t>
        </is>
      </c>
      <c r="P1848" s="189" t="inlineStr">
        <is>
          <t>Network perimeter</t>
        </is>
      </c>
      <c r="Q1848" s="189" t="inlineStr">
        <is>
          <t>P3</t>
        </is>
      </c>
      <c r="R1848" s="189" t="inlineStr">
        <is>
          <t>🚫 Block IP at firewall immediately | 🔍 Check logs for existing connections | 🛡️ Add to threat intelligence blocklist</t>
        </is>
      </c>
      <c r="S1848" s="189" t="inlineStr">
        <is>
          <t>Check ip-api.com + AbuseIPDB for context</t>
        </is>
      </c>
      <c r="T1848" s="189" t="n">
        <v>0</v>
      </c>
      <c r="U1848" s="189" t="n">
        <v>0</v>
      </c>
      <c r="V1848" s="189" t="inlineStr">
        <is>
          <t>T1110:Brute Force | T1190:Exploit Public-Facing Application</t>
        </is>
      </c>
      <c r="W1848" s="189" t="n">
        <v>1</v>
      </c>
      <c r="X1848" s="189" t="inlineStr">
        <is>
          <t>LOW (40%)</t>
        </is>
      </c>
      <c r="Y1848" s="189" t="inlineStr">
        <is>
          <t>NONE</t>
        </is>
      </c>
      <c r="Z1848" s="189" t="inlineStr">
        <is>
          <t>NONE</t>
        </is>
      </c>
      <c r="AA1848" s="189" t="inlineStr">
        <is>
          <t>NONE</t>
        </is>
      </c>
      <c r="AB1848" s="189" t="inlineStr">
        <is>
          <t>NONE</t>
        </is>
      </c>
      <c r="AC1848" s="189" t="n">
        <v>0</v>
      </c>
      <c r="AD1848" s="189" t="n"/>
    </row>
    <row r="1849">
      <c r="A1849" s="189" t="inlineStr">
        <is>
          <t>EMERGING_THREAT_IP</t>
        </is>
      </c>
      <c r="B1849" s="189" t="inlineStr">
        <is>
          <t>034ed7f153b4</t>
        </is>
      </c>
      <c r="C1849" s="189" t="inlineStr">
        <is>
          <t>Emerging Threats Compromised IP: 103.121.91.144 | Sources: EMERGING_THREATS</t>
        </is>
      </c>
      <c r="D1849" s="189" t="n">
        <v>6.5</v>
      </c>
      <c r="E1849" s="189" t="inlineStr">
        <is>
          <t>HIGH</t>
        </is>
      </c>
      <c r="F1849" s="189" t="n">
        <v>3</v>
      </c>
      <c r="G1849" s="189" t="n">
        <v>2</v>
      </c>
      <c r="H1849" s="189" t="inlineStr">
        <is>
          <t>HIGH</t>
        </is>
      </c>
      <c r="I1849" s="189" t="n">
        <v>12.5</v>
      </c>
      <c r="J1849" s="189" t="inlineStr">
        <is>
          <t>NO</t>
        </is>
      </c>
      <c r="K1849" s="190" t="inlineStr">
        <is>
          <t>https://rules.emergingthreats.net/</t>
        </is>
      </c>
      <c r="L1849" s="189" t="inlineStr">
        <is>
          <t>2026-02-23 23:48</t>
        </is>
      </c>
      <c r="M1849" s="189" t="inlineStr">
        <is>
          <t>Block IP</t>
        </is>
      </c>
      <c r="N1849" s="190" t="inlineStr">
        <is>
          <t>https://rules.emergingthreats.net/blockrules/compromised-ips.txt</t>
        </is>
      </c>
      <c r="O1849" s="189" t="inlineStr">
        <is>
          <t>Block IP 103.121.91.144 at firewall | Emerging Threats compromised host</t>
        </is>
      </c>
      <c r="P1849" s="189" t="inlineStr">
        <is>
          <t>Network perimeter</t>
        </is>
      </c>
      <c r="Q1849" s="189" t="inlineStr">
        <is>
          <t>P3</t>
        </is>
      </c>
      <c r="R1849" s="189" t="inlineStr">
        <is>
          <t>🚫 Block IP at firewall immediately | 🔍 Check logs for existing connections | 🛡️ Add to threat intelligence blocklist</t>
        </is>
      </c>
      <c r="S1849" s="189" t="inlineStr">
        <is>
          <t>Check ip-api.com + AbuseIPDB for context</t>
        </is>
      </c>
      <c r="T1849" s="189" t="n">
        <v>0</v>
      </c>
      <c r="U1849" s="189" t="n">
        <v>0</v>
      </c>
      <c r="V1849" s="189" t="inlineStr">
        <is>
          <t>T1110:Brute Force | T1190:Exploit Public-Facing Application</t>
        </is>
      </c>
      <c r="W1849" s="189" t="n">
        <v>1</v>
      </c>
      <c r="X1849" s="189" t="inlineStr">
        <is>
          <t>LOW (40%)</t>
        </is>
      </c>
      <c r="Y1849" s="189" t="inlineStr">
        <is>
          <t>NONE</t>
        </is>
      </c>
      <c r="Z1849" s="189" t="inlineStr">
        <is>
          <t>NONE</t>
        </is>
      </c>
      <c r="AA1849" s="189" t="inlineStr">
        <is>
          <t>NONE</t>
        </is>
      </c>
      <c r="AB1849" s="189" t="inlineStr">
        <is>
          <t>NONE</t>
        </is>
      </c>
      <c r="AC1849" s="189" t="n">
        <v>0</v>
      </c>
      <c r="AD1849" s="189" t="n"/>
    </row>
    <row r="1850">
      <c r="A1850" s="189" t="inlineStr">
        <is>
          <t>EMERGING_THREAT_IP</t>
        </is>
      </c>
      <c r="B1850" s="189" t="inlineStr">
        <is>
          <t>17ea0802b816</t>
        </is>
      </c>
      <c r="C1850" s="189" t="inlineStr">
        <is>
          <t>Emerging Threats Compromised IP: 103.142.62.35 | Sources: EMERGING_THREATS</t>
        </is>
      </c>
      <c r="D1850" s="189" t="n">
        <v>6.5</v>
      </c>
      <c r="E1850" s="189" t="inlineStr">
        <is>
          <t>HIGH</t>
        </is>
      </c>
      <c r="F1850" s="189" t="n">
        <v>3</v>
      </c>
      <c r="G1850" s="189" t="n">
        <v>2</v>
      </c>
      <c r="H1850" s="189" t="inlineStr">
        <is>
          <t>HIGH</t>
        </is>
      </c>
      <c r="I1850" s="189" t="n">
        <v>12.5</v>
      </c>
      <c r="J1850" s="189" t="inlineStr">
        <is>
          <t>NO</t>
        </is>
      </c>
      <c r="K1850" s="190" t="inlineStr">
        <is>
          <t>https://rules.emergingthreats.net/</t>
        </is>
      </c>
      <c r="L1850" s="189" t="inlineStr">
        <is>
          <t>2026-02-23 23:48</t>
        </is>
      </c>
      <c r="M1850" s="189" t="inlineStr">
        <is>
          <t>Block IP</t>
        </is>
      </c>
      <c r="N1850" s="190" t="inlineStr">
        <is>
          <t>https://rules.emergingthreats.net/blockrules/compromised-ips.txt</t>
        </is>
      </c>
      <c r="O1850" s="189" t="inlineStr">
        <is>
          <t>Block IP 103.142.62.35 at firewall | Emerging Threats compromised host</t>
        </is>
      </c>
      <c r="P1850" s="189" t="inlineStr">
        <is>
          <t>Network perimeter</t>
        </is>
      </c>
      <c r="Q1850" s="189" t="inlineStr">
        <is>
          <t>P3</t>
        </is>
      </c>
      <c r="R1850" s="189" t="inlineStr">
        <is>
          <t>🚫 Block IP at firewall immediately | 🔍 Check logs for existing connections | 🛡️ Add to threat intelligence blocklist</t>
        </is>
      </c>
      <c r="S1850" s="189" t="inlineStr">
        <is>
          <t>Check ip-api.com + AbuseIPDB for context</t>
        </is>
      </c>
      <c r="T1850" s="189" t="n">
        <v>0</v>
      </c>
      <c r="U1850" s="189" t="n">
        <v>0</v>
      </c>
      <c r="V1850" s="189" t="inlineStr">
        <is>
          <t>T1110:Brute Force | T1190:Exploit Public-Facing Application</t>
        </is>
      </c>
      <c r="W1850" s="189" t="n">
        <v>1</v>
      </c>
      <c r="X1850" s="189" t="inlineStr">
        <is>
          <t>LOW (40%)</t>
        </is>
      </c>
      <c r="Y1850" s="189" t="inlineStr">
        <is>
          <t>NONE</t>
        </is>
      </c>
      <c r="Z1850" s="189" t="inlineStr">
        <is>
          <t>NONE</t>
        </is>
      </c>
      <c r="AA1850" s="189" t="inlineStr">
        <is>
          <t>NONE</t>
        </is>
      </c>
      <c r="AB1850" s="189" t="inlineStr">
        <is>
          <t>NONE</t>
        </is>
      </c>
      <c r="AC1850" s="189" t="n">
        <v>0</v>
      </c>
      <c r="AD1850" s="189" t="n"/>
    </row>
    <row r="1851">
      <c r="A1851" s="189" t="inlineStr">
        <is>
          <t>EMERGING_THREAT_IP</t>
        </is>
      </c>
      <c r="B1851" s="189" t="inlineStr">
        <is>
          <t>ffec239995ac</t>
        </is>
      </c>
      <c r="C1851" s="189" t="inlineStr">
        <is>
          <t>Emerging Threats Compromised IP: 103.148.118.211 | Sources: EMERGING_THREATS</t>
        </is>
      </c>
      <c r="D1851" s="189" t="n">
        <v>6.5</v>
      </c>
      <c r="E1851" s="189" t="inlineStr">
        <is>
          <t>HIGH</t>
        </is>
      </c>
      <c r="F1851" s="189" t="n">
        <v>3</v>
      </c>
      <c r="G1851" s="189" t="n">
        <v>2</v>
      </c>
      <c r="H1851" s="189" t="inlineStr">
        <is>
          <t>HIGH</t>
        </is>
      </c>
      <c r="I1851" s="189" t="n">
        <v>12.5</v>
      </c>
      <c r="J1851" s="189" t="inlineStr">
        <is>
          <t>NO</t>
        </is>
      </c>
      <c r="K1851" s="190" t="inlineStr">
        <is>
          <t>https://rules.emergingthreats.net/</t>
        </is>
      </c>
      <c r="L1851" s="189" t="inlineStr">
        <is>
          <t>2026-02-23 23:48</t>
        </is>
      </c>
      <c r="M1851" s="189" t="inlineStr">
        <is>
          <t>Block IP</t>
        </is>
      </c>
      <c r="N1851" s="190" t="inlineStr">
        <is>
          <t>https://rules.emergingthreats.net/blockrules/compromised-ips.txt</t>
        </is>
      </c>
      <c r="O1851" s="189" t="inlineStr">
        <is>
          <t>Block IP 103.148.118.211 at firewall | Emerging Threats compromised host</t>
        </is>
      </c>
      <c r="P1851" s="189" t="inlineStr">
        <is>
          <t>Network perimeter</t>
        </is>
      </c>
      <c r="Q1851" s="189" t="inlineStr">
        <is>
          <t>P3</t>
        </is>
      </c>
      <c r="R1851" s="189" t="inlineStr">
        <is>
          <t>🚫 Block IP at firewall immediately | 🔍 Check logs for existing connections | 🛡️ Add to threat intelligence blocklist</t>
        </is>
      </c>
      <c r="S1851" s="189" t="inlineStr">
        <is>
          <t>Check ip-api.com + AbuseIPDB for context</t>
        </is>
      </c>
      <c r="T1851" s="189" t="n">
        <v>0</v>
      </c>
      <c r="U1851" s="189" t="n">
        <v>0</v>
      </c>
      <c r="V1851" s="189" t="inlineStr">
        <is>
          <t>T1110:Brute Force | T1190:Exploit Public-Facing Application</t>
        </is>
      </c>
      <c r="W1851" s="189" t="n">
        <v>1</v>
      </c>
      <c r="X1851" s="189" t="inlineStr">
        <is>
          <t>LOW (40%)</t>
        </is>
      </c>
      <c r="Y1851" s="189" t="inlineStr">
        <is>
          <t>NONE</t>
        </is>
      </c>
      <c r="Z1851" s="189" t="inlineStr">
        <is>
          <t>NONE</t>
        </is>
      </c>
      <c r="AA1851" s="189" t="inlineStr">
        <is>
          <t>NONE</t>
        </is>
      </c>
      <c r="AB1851" s="189" t="inlineStr">
        <is>
          <t>NONE</t>
        </is>
      </c>
      <c r="AC1851" s="189" t="n">
        <v>0</v>
      </c>
      <c r="AD1851" s="189" t="n"/>
    </row>
    <row r="1852">
      <c r="A1852" s="189" t="inlineStr">
        <is>
          <t>EMERGING_THREAT_IP</t>
        </is>
      </c>
      <c r="B1852" s="189" t="inlineStr">
        <is>
          <t>fe6b4e19212f</t>
        </is>
      </c>
      <c r="C1852" s="189" t="inlineStr">
        <is>
          <t>Emerging Threats Compromised IP: 103.148.195.198 | Sources: EMERGING_THREATS</t>
        </is>
      </c>
      <c r="D1852" s="189" t="n">
        <v>6.5</v>
      </c>
      <c r="E1852" s="189" t="inlineStr">
        <is>
          <t>HIGH</t>
        </is>
      </c>
      <c r="F1852" s="189" t="n">
        <v>3</v>
      </c>
      <c r="G1852" s="189" t="n">
        <v>2</v>
      </c>
      <c r="H1852" s="189" t="inlineStr">
        <is>
          <t>HIGH</t>
        </is>
      </c>
      <c r="I1852" s="189" t="n">
        <v>12.5</v>
      </c>
      <c r="J1852" s="189" t="inlineStr">
        <is>
          <t>NO</t>
        </is>
      </c>
      <c r="K1852" s="190" t="inlineStr">
        <is>
          <t>https://rules.emergingthreats.net/</t>
        </is>
      </c>
      <c r="L1852" s="189" t="inlineStr">
        <is>
          <t>2026-02-23 23:48</t>
        </is>
      </c>
      <c r="M1852" s="189" t="inlineStr">
        <is>
          <t>Block IP</t>
        </is>
      </c>
      <c r="N1852" s="190" t="inlineStr">
        <is>
          <t>https://rules.emergingthreats.net/blockrules/compromised-ips.txt</t>
        </is>
      </c>
      <c r="O1852" s="189" t="inlineStr">
        <is>
          <t>Block IP 103.148.195.198 at firewall | Emerging Threats compromised host</t>
        </is>
      </c>
      <c r="P1852" s="189" t="inlineStr">
        <is>
          <t>Network perimeter</t>
        </is>
      </c>
      <c r="Q1852" s="189" t="inlineStr">
        <is>
          <t>P3</t>
        </is>
      </c>
      <c r="R1852" s="189" t="inlineStr">
        <is>
          <t>🚫 Block IP at firewall immediately | 🔍 Check logs for existing connections | 🛡️ Add to threat intelligence blocklist</t>
        </is>
      </c>
      <c r="S1852" s="189" t="inlineStr">
        <is>
          <t>Check ip-api.com + AbuseIPDB for context</t>
        </is>
      </c>
      <c r="T1852" s="189" t="n">
        <v>0</v>
      </c>
      <c r="U1852" s="189" t="n">
        <v>0</v>
      </c>
      <c r="V1852" s="189" t="inlineStr">
        <is>
          <t>T1110:Brute Force | T1190:Exploit Public-Facing Application</t>
        </is>
      </c>
      <c r="W1852" s="189" t="n">
        <v>1</v>
      </c>
      <c r="X1852" s="189" t="inlineStr">
        <is>
          <t>LOW (40%)</t>
        </is>
      </c>
      <c r="Y1852" s="189" t="inlineStr">
        <is>
          <t>NONE</t>
        </is>
      </c>
      <c r="Z1852" s="189" t="inlineStr">
        <is>
          <t>NONE</t>
        </is>
      </c>
      <c r="AA1852" s="189" t="inlineStr">
        <is>
          <t>NONE</t>
        </is>
      </c>
      <c r="AB1852" s="189" t="inlineStr">
        <is>
          <t>NONE</t>
        </is>
      </c>
      <c r="AC1852" s="189" t="n">
        <v>0</v>
      </c>
      <c r="AD1852" s="189" t="n"/>
    </row>
    <row r="1853">
      <c r="A1853" s="189" t="inlineStr">
        <is>
          <t>EMERGING_THREAT_IP</t>
        </is>
      </c>
      <c r="B1853" s="189" t="inlineStr">
        <is>
          <t>30816d4e479f</t>
        </is>
      </c>
      <c r="C1853" s="189" t="inlineStr">
        <is>
          <t>Emerging Threats Compromised IP: 103.149.10.109 | Sources: EMERGING_THREATS</t>
        </is>
      </c>
      <c r="D1853" s="189" t="n">
        <v>6.5</v>
      </c>
      <c r="E1853" s="189" t="inlineStr">
        <is>
          <t>HIGH</t>
        </is>
      </c>
      <c r="F1853" s="189" t="n">
        <v>3</v>
      </c>
      <c r="G1853" s="189" t="n">
        <v>2</v>
      </c>
      <c r="H1853" s="189" t="inlineStr">
        <is>
          <t>HIGH</t>
        </is>
      </c>
      <c r="I1853" s="189" t="n">
        <v>12.5</v>
      </c>
      <c r="J1853" s="189" t="inlineStr">
        <is>
          <t>NO</t>
        </is>
      </c>
      <c r="K1853" s="190" t="inlineStr">
        <is>
          <t>https://rules.emergingthreats.net/</t>
        </is>
      </c>
      <c r="L1853" s="189" t="inlineStr">
        <is>
          <t>2026-02-23 23:48</t>
        </is>
      </c>
      <c r="M1853" s="189" t="inlineStr">
        <is>
          <t>Block IP</t>
        </is>
      </c>
      <c r="N1853" s="190" t="inlineStr">
        <is>
          <t>https://rules.emergingthreats.net/blockrules/compromised-ips.txt</t>
        </is>
      </c>
      <c r="O1853" s="189" t="inlineStr">
        <is>
          <t>Block IP 103.149.10.109 at firewall | Emerging Threats compromised host</t>
        </is>
      </c>
      <c r="P1853" s="189" t="inlineStr">
        <is>
          <t>Network perimeter</t>
        </is>
      </c>
      <c r="Q1853" s="189" t="inlineStr">
        <is>
          <t>P3</t>
        </is>
      </c>
      <c r="R1853" s="189" t="inlineStr">
        <is>
          <t>🚫 Block IP at firewall immediately | 🔍 Check logs for existing connections | 🛡️ Add to threat intelligence blocklist</t>
        </is>
      </c>
      <c r="S1853" s="189" t="inlineStr">
        <is>
          <t>Check ip-api.com + AbuseIPDB for context</t>
        </is>
      </c>
      <c r="T1853" s="189" t="n">
        <v>0</v>
      </c>
      <c r="U1853" s="189" t="n">
        <v>0</v>
      </c>
      <c r="V1853" s="189" t="inlineStr">
        <is>
          <t>T1110:Brute Force | T1190:Exploit Public-Facing Application</t>
        </is>
      </c>
      <c r="W1853" s="189" t="n">
        <v>1</v>
      </c>
      <c r="X1853" s="189" t="inlineStr">
        <is>
          <t>LOW (40%)</t>
        </is>
      </c>
      <c r="Y1853" s="189" t="inlineStr">
        <is>
          <t>NONE</t>
        </is>
      </c>
      <c r="Z1853" s="189" t="inlineStr">
        <is>
          <t>NONE</t>
        </is>
      </c>
      <c r="AA1853" s="189" t="inlineStr">
        <is>
          <t>NONE</t>
        </is>
      </c>
      <c r="AB1853" s="189" t="inlineStr">
        <is>
          <t>NONE</t>
        </is>
      </c>
      <c r="AC1853" s="189" t="n">
        <v>0</v>
      </c>
      <c r="AD1853" s="189" t="n"/>
    </row>
    <row r="1854">
      <c r="A1854" s="189" t="inlineStr">
        <is>
          <t>EMERGING_THREAT_IP</t>
        </is>
      </c>
      <c r="B1854" s="189" t="inlineStr">
        <is>
          <t>760e3739b969</t>
        </is>
      </c>
      <c r="C1854" s="189" t="inlineStr">
        <is>
          <t>Emerging Threats Compromised IP: 103.160.5.123 | Sources: EMERGING_THREATS</t>
        </is>
      </c>
      <c r="D1854" s="189" t="n">
        <v>6.5</v>
      </c>
      <c r="E1854" s="189" t="inlineStr">
        <is>
          <t>HIGH</t>
        </is>
      </c>
      <c r="F1854" s="189" t="n">
        <v>3</v>
      </c>
      <c r="G1854" s="189" t="n">
        <v>2</v>
      </c>
      <c r="H1854" s="189" t="inlineStr">
        <is>
          <t>HIGH</t>
        </is>
      </c>
      <c r="I1854" s="189" t="n">
        <v>12.5</v>
      </c>
      <c r="J1854" s="189" t="inlineStr">
        <is>
          <t>NO</t>
        </is>
      </c>
      <c r="K1854" s="190" t="inlineStr">
        <is>
          <t>https://rules.emergingthreats.net/</t>
        </is>
      </c>
      <c r="L1854" s="189" t="inlineStr">
        <is>
          <t>2026-02-23 23:48</t>
        </is>
      </c>
      <c r="M1854" s="189" t="inlineStr">
        <is>
          <t>Block IP</t>
        </is>
      </c>
      <c r="N1854" s="190" t="inlineStr">
        <is>
          <t>https://rules.emergingthreats.net/blockrules/compromised-ips.txt</t>
        </is>
      </c>
      <c r="O1854" s="189" t="inlineStr">
        <is>
          <t>Block IP 103.160.5.123 at firewall | Emerging Threats compromised host</t>
        </is>
      </c>
      <c r="P1854" s="189" t="inlineStr">
        <is>
          <t>Network perimeter</t>
        </is>
      </c>
      <c r="Q1854" s="189" t="inlineStr">
        <is>
          <t>P3</t>
        </is>
      </c>
      <c r="R1854" s="189" t="inlineStr">
        <is>
          <t>🚫 Block IP at firewall immediately | 🔍 Check logs for existing connections | 🛡️ Add to threat intelligence blocklist</t>
        </is>
      </c>
      <c r="S1854" s="189" t="inlineStr">
        <is>
          <t>Check ip-api.com + AbuseIPDB for context</t>
        </is>
      </c>
      <c r="T1854" s="189" t="n">
        <v>0</v>
      </c>
      <c r="U1854" s="189" t="n">
        <v>0</v>
      </c>
      <c r="V1854" s="189" t="inlineStr">
        <is>
          <t>T1110:Brute Force | T1190:Exploit Public-Facing Application</t>
        </is>
      </c>
      <c r="W1854" s="189" t="n">
        <v>1</v>
      </c>
      <c r="X1854" s="189" t="inlineStr">
        <is>
          <t>LOW (40%)</t>
        </is>
      </c>
      <c r="Y1854" s="189" t="inlineStr">
        <is>
          <t>NONE</t>
        </is>
      </c>
      <c r="Z1854" s="189" t="inlineStr">
        <is>
          <t>NONE</t>
        </is>
      </c>
      <c r="AA1854" s="189" t="inlineStr">
        <is>
          <t>NONE</t>
        </is>
      </c>
      <c r="AB1854" s="189" t="inlineStr">
        <is>
          <t>NONE</t>
        </is>
      </c>
      <c r="AC1854" s="189" t="n">
        <v>0</v>
      </c>
      <c r="AD1854" s="189" t="n"/>
    </row>
    <row r="1855">
      <c r="A1855" s="189" t="inlineStr">
        <is>
          <t>EMERGING_THREAT_IP</t>
        </is>
      </c>
      <c r="B1855" s="189" t="inlineStr">
        <is>
          <t>f669c91c1c83</t>
        </is>
      </c>
      <c r="C1855" s="189" t="inlineStr">
        <is>
          <t>Emerging Threats Compromised IP: 103.166.226.235 | Sources: EMERGING_THREATS</t>
        </is>
      </c>
      <c r="D1855" s="189" t="n">
        <v>6.5</v>
      </c>
      <c r="E1855" s="189" t="inlineStr">
        <is>
          <t>HIGH</t>
        </is>
      </c>
      <c r="F1855" s="189" t="n">
        <v>3</v>
      </c>
      <c r="G1855" s="189" t="n">
        <v>2</v>
      </c>
      <c r="H1855" s="189" t="inlineStr">
        <is>
          <t>HIGH</t>
        </is>
      </c>
      <c r="I1855" s="189" t="n">
        <v>12.5</v>
      </c>
      <c r="J1855" s="189" t="inlineStr">
        <is>
          <t>NO</t>
        </is>
      </c>
      <c r="K1855" s="190" t="inlineStr">
        <is>
          <t>https://rules.emergingthreats.net/</t>
        </is>
      </c>
      <c r="L1855" s="189" t="inlineStr">
        <is>
          <t>2026-02-23 23:48</t>
        </is>
      </c>
      <c r="M1855" s="189" t="inlineStr">
        <is>
          <t>Block IP</t>
        </is>
      </c>
      <c r="N1855" s="190" t="inlineStr">
        <is>
          <t>https://rules.emergingthreats.net/blockrules/compromised-ips.txt</t>
        </is>
      </c>
      <c r="O1855" s="189" t="inlineStr">
        <is>
          <t>Block IP 103.166.226.235 at firewall | Emerging Threats compromised host</t>
        </is>
      </c>
      <c r="P1855" s="189" t="inlineStr">
        <is>
          <t>Network perimeter</t>
        </is>
      </c>
      <c r="Q1855" s="189" t="inlineStr">
        <is>
          <t>P3</t>
        </is>
      </c>
      <c r="R1855" s="189" t="inlineStr">
        <is>
          <t>🚫 Block IP at firewall immediately | 🔍 Check logs for existing connections | 🛡️ Add to threat intelligence blocklist</t>
        </is>
      </c>
      <c r="S1855" s="189" t="inlineStr">
        <is>
          <t>Check ip-api.com + AbuseIPDB for context</t>
        </is>
      </c>
      <c r="T1855" s="189" t="n">
        <v>0</v>
      </c>
      <c r="U1855" s="189" t="n">
        <v>0</v>
      </c>
      <c r="V1855" s="189" t="inlineStr">
        <is>
          <t>T1110:Brute Force | T1190:Exploit Public-Facing Application</t>
        </is>
      </c>
      <c r="W1855" s="189" t="n">
        <v>1</v>
      </c>
      <c r="X1855" s="189" t="inlineStr">
        <is>
          <t>LOW (40%)</t>
        </is>
      </c>
      <c r="Y1855" s="189" t="inlineStr">
        <is>
          <t>NONE</t>
        </is>
      </c>
      <c r="Z1855" s="189" t="inlineStr">
        <is>
          <t>NONE</t>
        </is>
      </c>
      <c r="AA1855" s="189" t="inlineStr">
        <is>
          <t>NONE</t>
        </is>
      </c>
      <c r="AB1855" s="189" t="inlineStr">
        <is>
          <t>NONE</t>
        </is>
      </c>
      <c r="AC1855" s="189" t="n">
        <v>0</v>
      </c>
      <c r="AD1855" s="189" t="n"/>
    </row>
    <row r="1856">
      <c r="A1856" s="189" t="inlineStr">
        <is>
          <t>EMERGING_THREAT_IP</t>
        </is>
      </c>
      <c r="B1856" s="189" t="inlineStr">
        <is>
          <t>cdf077fccefb</t>
        </is>
      </c>
      <c r="C1856" s="189" t="inlineStr">
        <is>
          <t>Emerging Threats Compromised IP: 103.218.241.106 | Sources: EMERGING_THREATS</t>
        </is>
      </c>
      <c r="D1856" s="189" t="n">
        <v>6.5</v>
      </c>
      <c r="E1856" s="189" t="inlineStr">
        <is>
          <t>HIGH</t>
        </is>
      </c>
      <c r="F1856" s="189" t="n">
        <v>3</v>
      </c>
      <c r="G1856" s="189" t="n">
        <v>2</v>
      </c>
      <c r="H1856" s="189" t="inlineStr">
        <is>
          <t>HIGH</t>
        </is>
      </c>
      <c r="I1856" s="189" t="n">
        <v>12.5</v>
      </c>
      <c r="J1856" s="189" t="inlineStr">
        <is>
          <t>NO</t>
        </is>
      </c>
      <c r="K1856" s="190" t="inlineStr">
        <is>
          <t>https://rules.emergingthreats.net/</t>
        </is>
      </c>
      <c r="L1856" s="189" t="inlineStr">
        <is>
          <t>2026-02-23 23:48</t>
        </is>
      </c>
      <c r="M1856" s="189" t="inlineStr">
        <is>
          <t>Block IP</t>
        </is>
      </c>
      <c r="N1856" s="190" t="inlineStr">
        <is>
          <t>https://rules.emergingthreats.net/blockrules/compromised-ips.txt</t>
        </is>
      </c>
      <c r="O1856" s="189" t="inlineStr">
        <is>
          <t>Block IP 103.218.241.106 at firewall | Emerging Threats compromised host</t>
        </is>
      </c>
      <c r="P1856" s="189" t="inlineStr">
        <is>
          <t>Network perimeter</t>
        </is>
      </c>
      <c r="Q1856" s="189" t="inlineStr">
        <is>
          <t>P3</t>
        </is>
      </c>
      <c r="R1856" s="189" t="inlineStr">
        <is>
          <t>🚫 Block IP at firewall immediately | 🔍 Check logs for existing connections | 🛡️ Add to threat intelligence blocklist</t>
        </is>
      </c>
      <c r="S1856" s="189" t="inlineStr">
        <is>
          <t>Check ip-api.com + AbuseIPDB for context</t>
        </is>
      </c>
      <c r="T1856" s="189" t="n">
        <v>0</v>
      </c>
      <c r="U1856" s="189" t="n">
        <v>0</v>
      </c>
      <c r="V1856" s="189" t="inlineStr">
        <is>
          <t>T1110:Brute Force | T1190:Exploit Public-Facing Application</t>
        </is>
      </c>
      <c r="W1856" s="189" t="n">
        <v>1</v>
      </c>
      <c r="X1856" s="189" t="inlineStr">
        <is>
          <t>LOW (40%)</t>
        </is>
      </c>
      <c r="Y1856" s="189" t="inlineStr">
        <is>
          <t>NONE</t>
        </is>
      </c>
      <c r="Z1856" s="189" t="inlineStr">
        <is>
          <t>NONE</t>
        </is>
      </c>
      <c r="AA1856" s="189" t="inlineStr">
        <is>
          <t>NONE</t>
        </is>
      </c>
      <c r="AB1856" s="189" t="inlineStr">
        <is>
          <t>NONE</t>
        </is>
      </c>
      <c r="AC1856" s="189" t="n">
        <v>0</v>
      </c>
      <c r="AD1856" s="189" t="n"/>
    </row>
    <row r="1857">
      <c r="A1857" s="189" t="inlineStr">
        <is>
          <t>EMERGING_THREAT_IP</t>
        </is>
      </c>
      <c r="B1857" s="189" t="inlineStr">
        <is>
          <t>64210da85eb5</t>
        </is>
      </c>
      <c r="C1857" s="189" t="inlineStr">
        <is>
          <t>Emerging Threats Compromised IP: 103.232.121.71 | Sources: EMERGING_THREATS</t>
        </is>
      </c>
      <c r="D1857" s="189" t="n">
        <v>6.5</v>
      </c>
      <c r="E1857" s="189" t="inlineStr">
        <is>
          <t>HIGH</t>
        </is>
      </c>
      <c r="F1857" s="189" t="n">
        <v>3</v>
      </c>
      <c r="G1857" s="189" t="n">
        <v>2</v>
      </c>
      <c r="H1857" s="189" t="inlineStr">
        <is>
          <t>HIGH</t>
        </is>
      </c>
      <c r="I1857" s="189" t="n">
        <v>12.5</v>
      </c>
      <c r="J1857" s="189" t="inlineStr">
        <is>
          <t>NO</t>
        </is>
      </c>
      <c r="K1857" s="190" t="inlineStr">
        <is>
          <t>https://rules.emergingthreats.net/</t>
        </is>
      </c>
      <c r="L1857" s="189" t="inlineStr">
        <is>
          <t>2026-02-23 23:48</t>
        </is>
      </c>
      <c r="M1857" s="189" t="inlineStr">
        <is>
          <t>Block IP</t>
        </is>
      </c>
      <c r="N1857" s="190" t="inlineStr">
        <is>
          <t>https://rules.emergingthreats.net/blockrules/compromised-ips.txt</t>
        </is>
      </c>
      <c r="O1857" s="189" t="inlineStr">
        <is>
          <t>Block IP 103.232.121.71 at firewall | Emerging Threats compromised host</t>
        </is>
      </c>
      <c r="P1857" s="189" t="inlineStr">
        <is>
          <t>Network perimeter</t>
        </is>
      </c>
      <c r="Q1857" s="189" t="inlineStr">
        <is>
          <t>P3</t>
        </is>
      </c>
      <c r="R1857" s="189" t="inlineStr">
        <is>
          <t>🚫 Block IP at firewall immediately | 🔍 Check logs for existing connections | 🛡️ Add to threat intelligence blocklist</t>
        </is>
      </c>
      <c r="S1857" s="189" t="inlineStr">
        <is>
          <t>Check ip-api.com + AbuseIPDB for context</t>
        </is>
      </c>
      <c r="T1857" s="189" t="n">
        <v>0</v>
      </c>
      <c r="U1857" s="189" t="n">
        <v>0</v>
      </c>
      <c r="V1857" s="189" t="inlineStr">
        <is>
          <t>T1110:Brute Force | T1190:Exploit Public-Facing Application</t>
        </is>
      </c>
      <c r="W1857" s="189" t="n">
        <v>1</v>
      </c>
      <c r="X1857" s="189" t="inlineStr">
        <is>
          <t>LOW (40%)</t>
        </is>
      </c>
      <c r="Y1857" s="189" t="inlineStr">
        <is>
          <t>NONE</t>
        </is>
      </c>
      <c r="Z1857" s="189" t="inlineStr">
        <is>
          <t>NONE</t>
        </is>
      </c>
      <c r="AA1857" s="189" t="inlineStr">
        <is>
          <t>NONE</t>
        </is>
      </c>
      <c r="AB1857" s="189" t="inlineStr">
        <is>
          <t>NONE</t>
        </is>
      </c>
      <c r="AC1857" s="189" t="n">
        <v>0</v>
      </c>
      <c r="AD1857" s="189" t="n"/>
    </row>
    <row r="1858">
      <c r="A1858" s="189" t="inlineStr">
        <is>
          <t>EMERGING_THREAT_IP</t>
        </is>
      </c>
      <c r="B1858" s="189" t="inlineStr">
        <is>
          <t>278177fd6008</t>
        </is>
      </c>
      <c r="C1858" s="189" t="inlineStr">
        <is>
          <t>Emerging Threats Compromised IP: 103.236.75.87 | Sources: EMERGING_THREATS</t>
        </is>
      </c>
      <c r="D1858" s="189" t="n">
        <v>6.5</v>
      </c>
      <c r="E1858" s="189" t="inlineStr">
        <is>
          <t>HIGH</t>
        </is>
      </c>
      <c r="F1858" s="189" t="n">
        <v>3</v>
      </c>
      <c r="G1858" s="189" t="n">
        <v>2</v>
      </c>
      <c r="H1858" s="189" t="inlineStr">
        <is>
          <t>HIGH</t>
        </is>
      </c>
      <c r="I1858" s="189" t="n">
        <v>12.5</v>
      </c>
      <c r="J1858" s="189" t="inlineStr">
        <is>
          <t>NO</t>
        </is>
      </c>
      <c r="K1858" s="190" t="inlineStr">
        <is>
          <t>https://rules.emergingthreats.net/</t>
        </is>
      </c>
      <c r="L1858" s="189" t="inlineStr">
        <is>
          <t>2026-02-23 23:48</t>
        </is>
      </c>
      <c r="M1858" s="189" t="inlineStr">
        <is>
          <t>Block IP</t>
        </is>
      </c>
      <c r="N1858" s="190" t="inlineStr">
        <is>
          <t>https://rules.emergingthreats.net/blockrules/compromised-ips.txt</t>
        </is>
      </c>
      <c r="O1858" s="189" t="inlineStr">
        <is>
          <t>Block IP 103.236.75.87 at firewall | Emerging Threats compromised host</t>
        </is>
      </c>
      <c r="P1858" s="189" t="inlineStr">
        <is>
          <t>Network perimeter</t>
        </is>
      </c>
      <c r="Q1858" s="189" t="inlineStr">
        <is>
          <t>P3</t>
        </is>
      </c>
      <c r="R1858" s="189" t="inlineStr">
        <is>
          <t>🚫 Block IP at firewall immediately | 🔍 Check logs for existing connections | 🛡️ Add to threat intelligence blocklist</t>
        </is>
      </c>
      <c r="S1858" s="189" t="inlineStr">
        <is>
          <t>Check ip-api.com + AbuseIPDB for context</t>
        </is>
      </c>
      <c r="T1858" s="189" t="n">
        <v>0</v>
      </c>
      <c r="U1858" s="189" t="n">
        <v>0</v>
      </c>
      <c r="V1858" s="189" t="inlineStr">
        <is>
          <t>T1110:Brute Force | T1190:Exploit Public-Facing Application</t>
        </is>
      </c>
      <c r="W1858" s="189" t="n">
        <v>1</v>
      </c>
      <c r="X1858" s="189" t="inlineStr">
        <is>
          <t>LOW (40%)</t>
        </is>
      </c>
      <c r="Y1858" s="189" t="inlineStr">
        <is>
          <t>NONE</t>
        </is>
      </c>
      <c r="Z1858" s="189" t="inlineStr">
        <is>
          <t>NONE</t>
        </is>
      </c>
      <c r="AA1858" s="189" t="inlineStr">
        <is>
          <t>NONE</t>
        </is>
      </c>
      <c r="AB1858" s="189" t="inlineStr">
        <is>
          <t>NONE</t>
        </is>
      </c>
      <c r="AC1858" s="189" t="n">
        <v>0</v>
      </c>
      <c r="AD1858" s="189" t="n"/>
    </row>
    <row r="1859">
      <c r="A1859" s="189" t="inlineStr">
        <is>
          <t>EMERGING_THREAT_IP</t>
        </is>
      </c>
      <c r="B1859" s="189" t="inlineStr">
        <is>
          <t>46bb6847217f</t>
        </is>
      </c>
      <c r="C1859" s="189" t="inlineStr">
        <is>
          <t>Emerging Threats Compromised IP: 103.236.95.173 | Sources: EMERGING_THREATS</t>
        </is>
      </c>
      <c r="D1859" s="189" t="n">
        <v>6.5</v>
      </c>
      <c r="E1859" s="189" t="inlineStr">
        <is>
          <t>HIGH</t>
        </is>
      </c>
      <c r="F1859" s="189" t="n">
        <v>3</v>
      </c>
      <c r="G1859" s="189" t="n">
        <v>2</v>
      </c>
      <c r="H1859" s="189" t="inlineStr">
        <is>
          <t>HIGH</t>
        </is>
      </c>
      <c r="I1859" s="189" t="n">
        <v>12.5</v>
      </c>
      <c r="J1859" s="189" t="inlineStr">
        <is>
          <t>NO</t>
        </is>
      </c>
      <c r="K1859" s="190" t="inlineStr">
        <is>
          <t>https://rules.emergingthreats.net/</t>
        </is>
      </c>
      <c r="L1859" s="189" t="inlineStr">
        <is>
          <t>2026-02-23 23:48</t>
        </is>
      </c>
      <c r="M1859" s="189" t="inlineStr">
        <is>
          <t>Block IP</t>
        </is>
      </c>
      <c r="N1859" s="190" t="inlineStr">
        <is>
          <t>https://rules.emergingthreats.net/blockrules/compromised-ips.txt</t>
        </is>
      </c>
      <c r="O1859" s="189" t="inlineStr">
        <is>
          <t>Block IP 103.236.95.173 at firewall | Emerging Threats compromised host</t>
        </is>
      </c>
      <c r="P1859" s="189" t="inlineStr">
        <is>
          <t>Network perimeter</t>
        </is>
      </c>
      <c r="Q1859" s="189" t="inlineStr">
        <is>
          <t>P3</t>
        </is>
      </c>
      <c r="R1859" s="189" t="inlineStr">
        <is>
          <t>🚫 Block IP at firewall immediately | 🔍 Check logs for existing connections | 🛡️ Add to threat intelligence blocklist</t>
        </is>
      </c>
      <c r="S1859" s="189" t="inlineStr">
        <is>
          <t>Check ip-api.com + AbuseIPDB for context</t>
        </is>
      </c>
      <c r="T1859" s="189" t="n">
        <v>0</v>
      </c>
      <c r="U1859" s="189" t="n">
        <v>0</v>
      </c>
      <c r="V1859" s="189" t="inlineStr">
        <is>
          <t>T1110:Brute Force | T1190:Exploit Public-Facing Application</t>
        </is>
      </c>
      <c r="W1859" s="189" t="n">
        <v>1</v>
      </c>
      <c r="X1859" s="189" t="inlineStr">
        <is>
          <t>LOW (40%)</t>
        </is>
      </c>
      <c r="Y1859" s="189" t="inlineStr">
        <is>
          <t>NONE</t>
        </is>
      </c>
      <c r="Z1859" s="189" t="inlineStr">
        <is>
          <t>NONE</t>
        </is>
      </c>
      <c r="AA1859" s="189" t="inlineStr">
        <is>
          <t>NONE</t>
        </is>
      </c>
      <c r="AB1859" s="189" t="inlineStr">
        <is>
          <t>NONE</t>
        </is>
      </c>
      <c r="AC1859" s="189" t="n">
        <v>0</v>
      </c>
      <c r="AD1859" s="189" t="n"/>
    </row>
    <row r="1860">
      <c r="A1860" s="189" t="inlineStr">
        <is>
          <t>EMERGING_THREAT_IP</t>
        </is>
      </c>
      <c r="B1860" s="189" t="inlineStr">
        <is>
          <t>5c383c76de68</t>
        </is>
      </c>
      <c r="C1860" s="189" t="inlineStr">
        <is>
          <t>Emerging Threats Compromised IP: 103.239.252.132 | Sources: EMERGING_THREATS</t>
        </is>
      </c>
      <c r="D1860" s="189" t="n">
        <v>6.5</v>
      </c>
      <c r="E1860" s="189" t="inlineStr">
        <is>
          <t>HIGH</t>
        </is>
      </c>
      <c r="F1860" s="189" t="n">
        <v>3</v>
      </c>
      <c r="G1860" s="189" t="n">
        <v>2</v>
      </c>
      <c r="H1860" s="189" t="inlineStr">
        <is>
          <t>HIGH</t>
        </is>
      </c>
      <c r="I1860" s="189" t="n">
        <v>12.5</v>
      </c>
      <c r="J1860" s="189" t="inlineStr">
        <is>
          <t>NO</t>
        </is>
      </c>
      <c r="K1860" s="190" t="inlineStr">
        <is>
          <t>https://rules.emergingthreats.net/</t>
        </is>
      </c>
      <c r="L1860" s="189" t="inlineStr">
        <is>
          <t>2026-02-23 23:48</t>
        </is>
      </c>
      <c r="M1860" s="189" t="inlineStr">
        <is>
          <t>Block IP</t>
        </is>
      </c>
      <c r="N1860" s="190" t="inlineStr">
        <is>
          <t>https://rules.emergingthreats.net/blockrules/compromised-ips.txt</t>
        </is>
      </c>
      <c r="O1860" s="189" t="inlineStr">
        <is>
          <t>Block IP 103.239.252.132 at firewall | Emerging Threats compromised host</t>
        </is>
      </c>
      <c r="P1860" s="189" t="inlineStr">
        <is>
          <t>Network perimeter</t>
        </is>
      </c>
      <c r="Q1860" s="189" t="inlineStr">
        <is>
          <t>P3</t>
        </is>
      </c>
      <c r="R1860" s="189" t="inlineStr">
        <is>
          <t>🚫 Block IP at firewall immediately | 🔍 Check logs for existing connections | 🛡️ Add to threat intelligence blocklist</t>
        </is>
      </c>
      <c r="S1860" s="189" t="inlineStr">
        <is>
          <t>Check ip-api.com + AbuseIPDB for context</t>
        </is>
      </c>
      <c r="T1860" s="189" t="n">
        <v>0</v>
      </c>
      <c r="U1860" s="189" t="n">
        <v>0</v>
      </c>
      <c r="V1860" s="189" t="inlineStr">
        <is>
          <t>T1110:Brute Force | T1190:Exploit Public-Facing Application</t>
        </is>
      </c>
      <c r="W1860" s="189" t="n">
        <v>1</v>
      </c>
      <c r="X1860" s="189" t="inlineStr">
        <is>
          <t>LOW (40%)</t>
        </is>
      </c>
      <c r="Y1860" s="189" t="inlineStr">
        <is>
          <t>NONE</t>
        </is>
      </c>
      <c r="Z1860" s="189" t="inlineStr">
        <is>
          <t>NONE</t>
        </is>
      </c>
      <c r="AA1860" s="189" t="inlineStr">
        <is>
          <t>NONE</t>
        </is>
      </c>
      <c r="AB1860" s="189" t="inlineStr">
        <is>
          <t>NONE</t>
        </is>
      </c>
      <c r="AC1860" s="189" t="n">
        <v>0</v>
      </c>
      <c r="AD1860" s="189" t="n"/>
    </row>
    <row r="1861">
      <c r="A1861" s="189" t="inlineStr">
        <is>
          <t>EMERGING_THREAT_IP</t>
        </is>
      </c>
      <c r="B1861" s="189" t="inlineStr">
        <is>
          <t>5583c88d0b92</t>
        </is>
      </c>
      <c r="C1861" s="189" t="inlineStr">
        <is>
          <t>Emerging Threats Compromised IP: 103.249.200.230 | Sources: EMERGING_THREATS</t>
        </is>
      </c>
      <c r="D1861" s="189" t="n">
        <v>6.5</v>
      </c>
      <c r="E1861" s="189" t="inlineStr">
        <is>
          <t>HIGH</t>
        </is>
      </c>
      <c r="F1861" s="189" t="n">
        <v>3</v>
      </c>
      <c r="G1861" s="189" t="n">
        <v>2</v>
      </c>
      <c r="H1861" s="189" t="inlineStr">
        <is>
          <t>HIGH</t>
        </is>
      </c>
      <c r="I1861" s="189" t="n">
        <v>12.5</v>
      </c>
      <c r="J1861" s="189" t="inlineStr">
        <is>
          <t>NO</t>
        </is>
      </c>
      <c r="K1861" s="190" t="inlineStr">
        <is>
          <t>https://rules.emergingthreats.net/</t>
        </is>
      </c>
      <c r="L1861" s="189" t="inlineStr">
        <is>
          <t>2026-02-23 23:48</t>
        </is>
      </c>
      <c r="M1861" s="189" t="inlineStr">
        <is>
          <t>Block IP</t>
        </is>
      </c>
      <c r="N1861" s="190" t="inlineStr">
        <is>
          <t>https://rules.emergingthreats.net/blockrules/compromised-ips.txt</t>
        </is>
      </c>
      <c r="O1861" s="189" t="inlineStr">
        <is>
          <t>Block IP 103.249.200.230 at firewall | Emerging Threats compromised host</t>
        </is>
      </c>
      <c r="P1861" s="189" t="inlineStr">
        <is>
          <t>Network perimeter</t>
        </is>
      </c>
      <c r="Q1861" s="189" t="inlineStr">
        <is>
          <t>P3</t>
        </is>
      </c>
      <c r="R1861" s="189" t="inlineStr">
        <is>
          <t>🚫 Block IP at firewall immediately | 🔍 Check logs for existing connections | 🛡️ Add to threat intelligence blocklist</t>
        </is>
      </c>
      <c r="S1861" s="189" t="inlineStr">
        <is>
          <t>Check ip-api.com + AbuseIPDB for context</t>
        </is>
      </c>
      <c r="T1861" s="189" t="n">
        <v>0</v>
      </c>
      <c r="U1861" s="189" t="n">
        <v>0</v>
      </c>
      <c r="V1861" s="189" t="inlineStr">
        <is>
          <t>T1110:Brute Force | T1190:Exploit Public-Facing Application</t>
        </is>
      </c>
      <c r="W1861" s="189" t="n">
        <v>1</v>
      </c>
      <c r="X1861" s="189" t="inlineStr">
        <is>
          <t>LOW (40%)</t>
        </is>
      </c>
      <c r="Y1861" s="189" t="inlineStr">
        <is>
          <t>NONE</t>
        </is>
      </c>
      <c r="Z1861" s="189" t="inlineStr">
        <is>
          <t>NONE</t>
        </is>
      </c>
      <c r="AA1861" s="189" t="inlineStr">
        <is>
          <t>NONE</t>
        </is>
      </c>
      <c r="AB1861" s="189" t="inlineStr">
        <is>
          <t>NONE</t>
        </is>
      </c>
      <c r="AC1861" s="189" t="n">
        <v>0</v>
      </c>
      <c r="AD1861" s="189" t="n"/>
    </row>
    <row r="1862">
      <c r="A1862" s="189" t="inlineStr">
        <is>
          <t>EMERGING_THREAT_IP</t>
        </is>
      </c>
      <c r="B1862" s="189" t="inlineStr">
        <is>
          <t>890c9c3b7ae6</t>
        </is>
      </c>
      <c r="C1862" s="189" t="inlineStr">
        <is>
          <t>Emerging Threats Compromised IP: 103.252.73.37 | Sources: EMERGING_THREATS</t>
        </is>
      </c>
      <c r="D1862" s="189" t="n">
        <v>6.5</v>
      </c>
      <c r="E1862" s="189" t="inlineStr">
        <is>
          <t>HIGH</t>
        </is>
      </c>
      <c r="F1862" s="189" t="n">
        <v>3</v>
      </c>
      <c r="G1862" s="189" t="n">
        <v>2</v>
      </c>
      <c r="H1862" s="189" t="inlineStr">
        <is>
          <t>HIGH</t>
        </is>
      </c>
      <c r="I1862" s="189" t="n">
        <v>12.5</v>
      </c>
      <c r="J1862" s="189" t="inlineStr">
        <is>
          <t>NO</t>
        </is>
      </c>
      <c r="K1862" s="190" t="inlineStr">
        <is>
          <t>https://rules.emergingthreats.net/</t>
        </is>
      </c>
      <c r="L1862" s="189" t="inlineStr">
        <is>
          <t>2026-02-23 23:48</t>
        </is>
      </c>
      <c r="M1862" s="189" t="inlineStr">
        <is>
          <t>Block IP</t>
        </is>
      </c>
      <c r="N1862" s="190" t="inlineStr">
        <is>
          <t>https://rules.emergingthreats.net/blockrules/compromised-ips.txt</t>
        </is>
      </c>
      <c r="O1862" s="189" t="inlineStr">
        <is>
          <t>Block IP 103.252.73.37 at firewall | Emerging Threats compromised host</t>
        </is>
      </c>
      <c r="P1862" s="189" t="inlineStr">
        <is>
          <t>Network perimeter</t>
        </is>
      </c>
      <c r="Q1862" s="189" t="inlineStr">
        <is>
          <t>P3</t>
        </is>
      </c>
      <c r="R1862" s="189" t="inlineStr">
        <is>
          <t>🚫 Block IP at firewall immediately | 🔍 Check logs for existing connections | 🛡️ Add to threat intelligence blocklist</t>
        </is>
      </c>
      <c r="S1862" s="189" t="inlineStr">
        <is>
          <t>Check ip-api.com + AbuseIPDB for context</t>
        </is>
      </c>
      <c r="T1862" s="189" t="n">
        <v>0</v>
      </c>
      <c r="U1862" s="189" t="n">
        <v>0</v>
      </c>
      <c r="V1862" s="189" t="inlineStr">
        <is>
          <t>T1110:Brute Force | T1190:Exploit Public-Facing Application</t>
        </is>
      </c>
      <c r="W1862" s="189" t="n">
        <v>1</v>
      </c>
      <c r="X1862" s="189" t="inlineStr">
        <is>
          <t>LOW (40%)</t>
        </is>
      </c>
      <c r="Y1862" s="189" t="inlineStr">
        <is>
          <t>NONE</t>
        </is>
      </c>
      <c r="Z1862" s="189" t="inlineStr">
        <is>
          <t>NONE</t>
        </is>
      </c>
      <c r="AA1862" s="189" t="inlineStr">
        <is>
          <t>NONE</t>
        </is>
      </c>
      <c r="AB1862" s="189" t="inlineStr">
        <is>
          <t>NONE</t>
        </is>
      </c>
      <c r="AC1862" s="189" t="n">
        <v>0</v>
      </c>
      <c r="AD1862" s="189" t="n"/>
    </row>
    <row r="1863">
      <c r="A1863" s="189" t="inlineStr">
        <is>
          <t>EMERGING_THREAT_IP</t>
        </is>
      </c>
      <c r="B1863" s="189" t="inlineStr">
        <is>
          <t>e7df42bbb1e6</t>
        </is>
      </c>
      <c r="C1863" s="189" t="inlineStr">
        <is>
          <t>Emerging Threats Compromised IP: 103.39.222.143 | Sources: EMERGING_THREATS</t>
        </is>
      </c>
      <c r="D1863" s="189" t="n">
        <v>6.5</v>
      </c>
      <c r="E1863" s="189" t="inlineStr">
        <is>
          <t>HIGH</t>
        </is>
      </c>
      <c r="F1863" s="189" t="n">
        <v>3</v>
      </c>
      <c r="G1863" s="189" t="n">
        <v>2</v>
      </c>
      <c r="H1863" s="189" t="inlineStr">
        <is>
          <t>HIGH</t>
        </is>
      </c>
      <c r="I1863" s="189" t="n">
        <v>12.5</v>
      </c>
      <c r="J1863" s="189" t="inlineStr">
        <is>
          <t>NO</t>
        </is>
      </c>
      <c r="K1863" s="190" t="inlineStr">
        <is>
          <t>https://rules.emergingthreats.net/</t>
        </is>
      </c>
      <c r="L1863" s="189" t="inlineStr">
        <is>
          <t>2026-02-23 23:48</t>
        </is>
      </c>
      <c r="M1863" s="189" t="inlineStr">
        <is>
          <t>Block IP</t>
        </is>
      </c>
      <c r="N1863" s="190" t="inlineStr">
        <is>
          <t>https://rules.emergingthreats.net/blockrules/compromised-ips.txt</t>
        </is>
      </c>
      <c r="O1863" s="189" t="inlineStr">
        <is>
          <t>Block IP 103.39.222.143 at firewall | Emerging Threats compromised host</t>
        </is>
      </c>
      <c r="P1863" s="189" t="inlineStr">
        <is>
          <t>Network perimeter</t>
        </is>
      </c>
      <c r="Q1863" s="189" t="inlineStr">
        <is>
          <t>P3</t>
        </is>
      </c>
      <c r="R1863" s="189" t="inlineStr">
        <is>
          <t>🚫 Block IP at firewall immediately | 🔍 Check logs for existing connections | 🛡️ Add to threat intelligence blocklist</t>
        </is>
      </c>
      <c r="S1863" s="189" t="inlineStr">
        <is>
          <t>Check ip-api.com + AbuseIPDB for context</t>
        </is>
      </c>
      <c r="T1863" s="189" t="n">
        <v>0</v>
      </c>
      <c r="U1863" s="189" t="n">
        <v>0</v>
      </c>
      <c r="V1863" s="189" t="inlineStr">
        <is>
          <t>T1110:Brute Force | T1190:Exploit Public-Facing Application</t>
        </is>
      </c>
      <c r="W1863" s="189" t="n">
        <v>1</v>
      </c>
      <c r="X1863" s="189" t="inlineStr">
        <is>
          <t>LOW (40%)</t>
        </is>
      </c>
      <c r="Y1863" s="189" t="inlineStr">
        <is>
          <t>NONE</t>
        </is>
      </c>
      <c r="Z1863" s="189" t="inlineStr">
        <is>
          <t>NONE</t>
        </is>
      </c>
      <c r="AA1863" s="189" t="inlineStr">
        <is>
          <t>NONE</t>
        </is>
      </c>
      <c r="AB1863" s="189" t="inlineStr">
        <is>
          <t>NONE</t>
        </is>
      </c>
      <c r="AC1863" s="189" t="n">
        <v>0</v>
      </c>
      <c r="AD1863" s="189" t="n"/>
    </row>
    <row r="1864">
      <c r="A1864" s="189" t="inlineStr">
        <is>
          <t>EMERGING_THREAT_IP</t>
        </is>
      </c>
      <c r="B1864" s="189" t="inlineStr">
        <is>
          <t>ae885b936d47</t>
        </is>
      </c>
      <c r="C1864" s="189" t="inlineStr">
        <is>
          <t>Emerging Threats Compromised IP: 103.40.61.98 | Sources: EMERGING_THREATS</t>
        </is>
      </c>
      <c r="D1864" s="189" t="n">
        <v>6.5</v>
      </c>
      <c r="E1864" s="189" t="inlineStr">
        <is>
          <t>HIGH</t>
        </is>
      </c>
      <c r="F1864" s="189" t="n">
        <v>3</v>
      </c>
      <c r="G1864" s="189" t="n">
        <v>2</v>
      </c>
      <c r="H1864" s="189" t="inlineStr">
        <is>
          <t>HIGH</t>
        </is>
      </c>
      <c r="I1864" s="189" t="n">
        <v>12.5</v>
      </c>
      <c r="J1864" s="189" t="inlineStr">
        <is>
          <t>NO</t>
        </is>
      </c>
      <c r="K1864" s="190" t="inlineStr">
        <is>
          <t>https://rules.emergingthreats.net/</t>
        </is>
      </c>
      <c r="L1864" s="189" t="inlineStr">
        <is>
          <t>2026-02-23 23:48</t>
        </is>
      </c>
      <c r="M1864" s="189" t="inlineStr">
        <is>
          <t>Block IP</t>
        </is>
      </c>
      <c r="N1864" s="190" t="inlineStr">
        <is>
          <t>https://rules.emergingthreats.net/blockrules/compromised-ips.txt</t>
        </is>
      </c>
      <c r="O1864" s="189" t="inlineStr">
        <is>
          <t>Block IP 103.40.61.98 at firewall | Emerging Threats compromised host</t>
        </is>
      </c>
      <c r="P1864" s="189" t="inlineStr">
        <is>
          <t>Network perimeter</t>
        </is>
      </c>
      <c r="Q1864" s="189" t="inlineStr">
        <is>
          <t>P3</t>
        </is>
      </c>
      <c r="R1864" s="189" t="inlineStr">
        <is>
          <t>🚫 Block IP at firewall immediately | 🔍 Check logs for existing connections | 🛡️ Add to threat intelligence blocklist</t>
        </is>
      </c>
      <c r="S1864" s="189" t="inlineStr">
        <is>
          <t>Check ip-api.com + AbuseIPDB for context</t>
        </is>
      </c>
      <c r="T1864" s="189" t="n">
        <v>0</v>
      </c>
      <c r="U1864" s="189" t="n">
        <v>0</v>
      </c>
      <c r="V1864" s="189" t="inlineStr">
        <is>
          <t>T1110:Brute Force | T1190:Exploit Public-Facing Application</t>
        </is>
      </c>
      <c r="W1864" s="189" t="n">
        <v>1</v>
      </c>
      <c r="X1864" s="189" t="inlineStr">
        <is>
          <t>LOW (40%)</t>
        </is>
      </c>
      <c r="Y1864" s="189" t="inlineStr">
        <is>
          <t>NONE</t>
        </is>
      </c>
      <c r="Z1864" s="189" t="inlineStr">
        <is>
          <t>NONE</t>
        </is>
      </c>
      <c r="AA1864" s="189" t="inlineStr">
        <is>
          <t>NONE</t>
        </is>
      </c>
      <c r="AB1864" s="189" t="inlineStr">
        <is>
          <t>NONE</t>
        </is>
      </c>
      <c r="AC1864" s="189" t="n">
        <v>0</v>
      </c>
      <c r="AD1864" s="189" t="n"/>
    </row>
    <row r="1865">
      <c r="A1865" s="189" t="inlineStr">
        <is>
          <t>EMERGING_THREAT_IP</t>
        </is>
      </c>
      <c r="B1865" s="189" t="inlineStr">
        <is>
          <t>2ba8853e01d2</t>
        </is>
      </c>
      <c r="C1865" s="189" t="inlineStr">
        <is>
          <t>Emerging Threats Compromised IP: 103.63.24.38 | Sources: EMERGING_THREATS</t>
        </is>
      </c>
      <c r="D1865" s="189" t="n">
        <v>6.5</v>
      </c>
      <c r="E1865" s="189" t="inlineStr">
        <is>
          <t>HIGH</t>
        </is>
      </c>
      <c r="F1865" s="189" t="n">
        <v>3</v>
      </c>
      <c r="G1865" s="189" t="n">
        <v>2</v>
      </c>
      <c r="H1865" s="189" t="inlineStr">
        <is>
          <t>HIGH</t>
        </is>
      </c>
      <c r="I1865" s="189" t="n">
        <v>12.5</v>
      </c>
      <c r="J1865" s="189" t="inlineStr">
        <is>
          <t>NO</t>
        </is>
      </c>
      <c r="K1865" s="190" t="inlineStr">
        <is>
          <t>https://rules.emergingthreats.net/</t>
        </is>
      </c>
      <c r="L1865" s="189" t="inlineStr">
        <is>
          <t>2026-02-23 23:48</t>
        </is>
      </c>
      <c r="M1865" s="189" t="inlineStr">
        <is>
          <t>Block IP</t>
        </is>
      </c>
      <c r="N1865" s="190" t="inlineStr">
        <is>
          <t>https://rules.emergingthreats.net/blockrules/compromised-ips.txt</t>
        </is>
      </c>
      <c r="O1865" s="189" t="inlineStr">
        <is>
          <t>Block IP 103.63.24.38 at firewall | Emerging Threats compromised host</t>
        </is>
      </c>
      <c r="P1865" s="189" t="inlineStr">
        <is>
          <t>Network perimeter</t>
        </is>
      </c>
      <c r="Q1865" s="189" t="inlineStr">
        <is>
          <t>P3</t>
        </is>
      </c>
      <c r="R1865" s="189" t="inlineStr">
        <is>
          <t>🚫 Block IP at firewall immediately | 🔍 Check logs for existing connections | 🛡️ Add to threat intelligence blocklist</t>
        </is>
      </c>
      <c r="S1865" s="189" t="inlineStr">
        <is>
          <t>Check ip-api.com + AbuseIPDB for context</t>
        </is>
      </c>
      <c r="T1865" s="189" t="n">
        <v>0</v>
      </c>
      <c r="U1865" s="189" t="n">
        <v>0</v>
      </c>
      <c r="V1865" s="189" t="inlineStr">
        <is>
          <t>T1110:Brute Force | T1190:Exploit Public-Facing Application</t>
        </is>
      </c>
      <c r="W1865" s="189" t="n">
        <v>1</v>
      </c>
      <c r="X1865" s="189" t="inlineStr">
        <is>
          <t>LOW (40%)</t>
        </is>
      </c>
      <c r="Y1865" s="189" t="inlineStr">
        <is>
          <t>NONE</t>
        </is>
      </c>
      <c r="Z1865" s="189" t="inlineStr">
        <is>
          <t>NONE</t>
        </is>
      </c>
      <c r="AA1865" s="189" t="inlineStr">
        <is>
          <t>NONE</t>
        </is>
      </c>
      <c r="AB1865" s="189" t="inlineStr">
        <is>
          <t>NONE</t>
        </is>
      </c>
      <c r="AC1865" s="189" t="n">
        <v>0</v>
      </c>
      <c r="AD1865" s="189" t="n"/>
    </row>
    <row r="1866">
      <c r="A1866" s="189" t="inlineStr">
        <is>
          <t>EMERGING_THREAT_IP</t>
        </is>
      </c>
      <c r="B1866" s="189" t="inlineStr">
        <is>
          <t>935a49ba8025</t>
        </is>
      </c>
      <c r="C1866" s="189" t="inlineStr">
        <is>
          <t>Emerging Threats Compromised IP: 104.131.20.206 | Sources: EMERGING_THREATS</t>
        </is>
      </c>
      <c r="D1866" s="189" t="n">
        <v>6.5</v>
      </c>
      <c r="E1866" s="189" t="inlineStr">
        <is>
          <t>HIGH</t>
        </is>
      </c>
      <c r="F1866" s="189" t="n">
        <v>3</v>
      </c>
      <c r="G1866" s="189" t="n">
        <v>2</v>
      </c>
      <c r="H1866" s="189" t="inlineStr">
        <is>
          <t>HIGH</t>
        </is>
      </c>
      <c r="I1866" s="189" t="n">
        <v>12.5</v>
      </c>
      <c r="J1866" s="189" t="inlineStr">
        <is>
          <t>NO</t>
        </is>
      </c>
      <c r="K1866" s="190" t="inlineStr">
        <is>
          <t>https://rules.emergingthreats.net/</t>
        </is>
      </c>
      <c r="L1866" s="189" t="inlineStr">
        <is>
          <t>2026-02-23 23:48</t>
        </is>
      </c>
      <c r="M1866" s="189" t="inlineStr">
        <is>
          <t>Block IP</t>
        </is>
      </c>
      <c r="N1866" s="190" t="inlineStr">
        <is>
          <t>https://rules.emergingthreats.net/blockrules/compromised-ips.txt</t>
        </is>
      </c>
      <c r="O1866" s="189" t="inlineStr">
        <is>
          <t>Block IP 104.131.20.206 at firewall | Emerging Threats compromised host</t>
        </is>
      </c>
      <c r="P1866" s="189" t="inlineStr">
        <is>
          <t>Network perimeter</t>
        </is>
      </c>
      <c r="Q1866" s="189" t="inlineStr">
        <is>
          <t>P3</t>
        </is>
      </c>
      <c r="R1866" s="189" t="inlineStr">
        <is>
          <t>🚫 Block IP at firewall immediately | 🔍 Check logs for existing connections | 🛡️ Add to threat intelligence blocklist</t>
        </is>
      </c>
      <c r="S1866" s="189" t="inlineStr">
        <is>
          <t>Check ip-api.com + AbuseIPDB for context</t>
        </is>
      </c>
      <c r="T1866" s="189" t="n">
        <v>0</v>
      </c>
      <c r="U1866" s="189" t="n">
        <v>0</v>
      </c>
      <c r="V1866" s="189" t="inlineStr">
        <is>
          <t>T1110:Brute Force | T1190:Exploit Public-Facing Application</t>
        </is>
      </c>
      <c r="W1866" s="189" t="n">
        <v>1</v>
      </c>
      <c r="X1866" s="189" t="inlineStr">
        <is>
          <t>LOW (40%)</t>
        </is>
      </c>
      <c r="Y1866" s="189" t="inlineStr">
        <is>
          <t>NONE</t>
        </is>
      </c>
      <c r="Z1866" s="189" t="inlineStr">
        <is>
          <t>NONE</t>
        </is>
      </c>
      <c r="AA1866" s="189" t="inlineStr">
        <is>
          <t>NONE</t>
        </is>
      </c>
      <c r="AB1866" s="189" t="inlineStr">
        <is>
          <t>NONE</t>
        </is>
      </c>
      <c r="AC1866" s="189" t="n">
        <v>0</v>
      </c>
      <c r="AD1866" s="189" t="n"/>
    </row>
    <row r="1867">
      <c r="A1867" s="189" t="inlineStr">
        <is>
          <t>EMERGING_THREAT_IP</t>
        </is>
      </c>
      <c r="B1867" s="189" t="inlineStr">
        <is>
          <t>4125319882fc</t>
        </is>
      </c>
      <c r="C1867" s="189" t="inlineStr">
        <is>
          <t>Emerging Threats Compromised IP: 104.168.4.152 | Sources: EMERGING_THREATS</t>
        </is>
      </c>
      <c r="D1867" s="189" t="n">
        <v>6.5</v>
      </c>
      <c r="E1867" s="189" t="inlineStr">
        <is>
          <t>HIGH</t>
        </is>
      </c>
      <c r="F1867" s="189" t="n">
        <v>3</v>
      </c>
      <c r="G1867" s="189" t="n">
        <v>2</v>
      </c>
      <c r="H1867" s="189" t="inlineStr">
        <is>
          <t>HIGH</t>
        </is>
      </c>
      <c r="I1867" s="189" t="n">
        <v>12.5</v>
      </c>
      <c r="J1867" s="189" t="inlineStr">
        <is>
          <t>NO</t>
        </is>
      </c>
      <c r="K1867" s="190" t="inlineStr">
        <is>
          <t>https://rules.emergingthreats.net/</t>
        </is>
      </c>
      <c r="L1867" s="189" t="inlineStr">
        <is>
          <t>2026-02-23 23:48</t>
        </is>
      </c>
      <c r="M1867" s="189" t="inlineStr">
        <is>
          <t>Block IP</t>
        </is>
      </c>
      <c r="N1867" s="190" t="inlineStr">
        <is>
          <t>https://rules.emergingthreats.net/blockrules/compromised-ips.txt</t>
        </is>
      </c>
      <c r="O1867" s="189" t="inlineStr">
        <is>
          <t>Block IP 104.168.4.152 at firewall | Emerging Threats compromised host</t>
        </is>
      </c>
      <c r="P1867" s="189" t="inlineStr">
        <is>
          <t>Network perimeter</t>
        </is>
      </c>
      <c r="Q1867" s="189" t="inlineStr">
        <is>
          <t>P3</t>
        </is>
      </c>
      <c r="R1867" s="189" t="inlineStr">
        <is>
          <t>🚫 Block IP at firewall immediately | 🔍 Check logs for existing connections | 🛡️ Add to threat intelligence blocklist</t>
        </is>
      </c>
      <c r="S1867" s="189" t="inlineStr">
        <is>
          <t>Check ip-api.com + AbuseIPDB for context</t>
        </is>
      </c>
      <c r="T1867" s="189" t="n">
        <v>0</v>
      </c>
      <c r="U1867" s="189" t="n">
        <v>0</v>
      </c>
      <c r="V1867" s="189" t="inlineStr">
        <is>
          <t>T1110:Brute Force | T1190:Exploit Public-Facing Application</t>
        </is>
      </c>
      <c r="W1867" s="189" t="n">
        <v>1</v>
      </c>
      <c r="X1867" s="189" t="inlineStr">
        <is>
          <t>LOW (40%)</t>
        </is>
      </c>
      <c r="Y1867" s="189" t="inlineStr">
        <is>
          <t>NONE</t>
        </is>
      </c>
      <c r="Z1867" s="189" t="inlineStr">
        <is>
          <t>NONE</t>
        </is>
      </c>
      <c r="AA1867" s="189" t="inlineStr">
        <is>
          <t>NONE</t>
        </is>
      </c>
      <c r="AB1867" s="189" t="inlineStr">
        <is>
          <t>NONE</t>
        </is>
      </c>
      <c r="AC1867" s="189" t="n">
        <v>0</v>
      </c>
      <c r="AD1867" s="189" t="n"/>
    </row>
    <row r="1868">
      <c r="A1868" s="189" t="inlineStr">
        <is>
          <t>EMERGING_THREAT_IP</t>
        </is>
      </c>
      <c r="B1868" s="189" t="inlineStr">
        <is>
          <t>5ea9455342e5</t>
        </is>
      </c>
      <c r="C1868" s="189" t="inlineStr">
        <is>
          <t>Emerging Threats Compromised IP: 104.236.95.108 | Sources: EMERGING_THREATS</t>
        </is>
      </c>
      <c r="D1868" s="189" t="n">
        <v>6.5</v>
      </c>
      <c r="E1868" s="189" t="inlineStr">
        <is>
          <t>HIGH</t>
        </is>
      </c>
      <c r="F1868" s="189" t="n">
        <v>3</v>
      </c>
      <c r="G1868" s="189" t="n">
        <v>2</v>
      </c>
      <c r="H1868" s="189" t="inlineStr">
        <is>
          <t>HIGH</t>
        </is>
      </c>
      <c r="I1868" s="189" t="n">
        <v>12.5</v>
      </c>
      <c r="J1868" s="189" t="inlineStr">
        <is>
          <t>NO</t>
        </is>
      </c>
      <c r="K1868" s="190" t="inlineStr">
        <is>
          <t>https://rules.emergingthreats.net/</t>
        </is>
      </c>
      <c r="L1868" s="189" t="inlineStr">
        <is>
          <t>2026-02-23 23:48</t>
        </is>
      </c>
      <c r="M1868" s="189" t="inlineStr">
        <is>
          <t>Block IP</t>
        </is>
      </c>
      <c r="N1868" s="190" t="inlineStr">
        <is>
          <t>https://rules.emergingthreats.net/blockrules/compromised-ips.txt</t>
        </is>
      </c>
      <c r="O1868" s="189" t="inlineStr">
        <is>
          <t>Block IP 104.236.95.108 at firewall | Emerging Threats compromised host</t>
        </is>
      </c>
      <c r="P1868" s="189" t="inlineStr">
        <is>
          <t>Network perimeter</t>
        </is>
      </c>
      <c r="Q1868" s="189" t="inlineStr">
        <is>
          <t>P3</t>
        </is>
      </c>
      <c r="R1868" s="189" t="inlineStr">
        <is>
          <t>🚫 Block IP at firewall immediately | 🔍 Check logs for existing connections | 🛡️ Add to threat intelligence blocklist</t>
        </is>
      </c>
      <c r="S1868" s="189" t="inlineStr">
        <is>
          <t>Check ip-api.com + AbuseIPDB for context</t>
        </is>
      </c>
      <c r="T1868" s="189" t="n">
        <v>0</v>
      </c>
      <c r="U1868" s="189" t="n">
        <v>0</v>
      </c>
      <c r="V1868" s="189" t="inlineStr">
        <is>
          <t>T1110:Brute Force | T1190:Exploit Public-Facing Application</t>
        </is>
      </c>
      <c r="W1868" s="189" t="n">
        <v>1</v>
      </c>
      <c r="X1868" s="189" t="inlineStr">
        <is>
          <t>LOW (40%)</t>
        </is>
      </c>
      <c r="Y1868" s="189" t="inlineStr">
        <is>
          <t>NONE</t>
        </is>
      </c>
      <c r="Z1868" s="189" t="inlineStr">
        <is>
          <t>NONE</t>
        </is>
      </c>
      <c r="AA1868" s="189" t="inlineStr">
        <is>
          <t>NONE</t>
        </is>
      </c>
      <c r="AB1868" s="189" t="inlineStr">
        <is>
          <t>NONE</t>
        </is>
      </c>
      <c r="AC1868" s="189" t="n">
        <v>0</v>
      </c>
      <c r="AD1868" s="189" t="n"/>
    </row>
    <row r="1869">
      <c r="A1869" s="189" t="inlineStr">
        <is>
          <t>EMERGING_THREAT_IP</t>
        </is>
      </c>
      <c r="B1869" s="189" t="inlineStr">
        <is>
          <t>7b158df7da56</t>
        </is>
      </c>
      <c r="C1869" s="189" t="inlineStr">
        <is>
          <t>Emerging Threats Compromised IP: 104.248.41.74 | Sources: EMERGING_THREATS</t>
        </is>
      </c>
      <c r="D1869" s="189" t="n">
        <v>6.5</v>
      </c>
      <c r="E1869" s="189" t="inlineStr">
        <is>
          <t>HIGH</t>
        </is>
      </c>
      <c r="F1869" s="189" t="n">
        <v>3</v>
      </c>
      <c r="G1869" s="189" t="n">
        <v>2</v>
      </c>
      <c r="H1869" s="189" t="inlineStr">
        <is>
          <t>HIGH</t>
        </is>
      </c>
      <c r="I1869" s="189" t="n">
        <v>12.5</v>
      </c>
      <c r="J1869" s="189" t="inlineStr">
        <is>
          <t>NO</t>
        </is>
      </c>
      <c r="K1869" s="190" t="inlineStr">
        <is>
          <t>https://rules.emergingthreats.net/</t>
        </is>
      </c>
      <c r="L1869" s="189" t="inlineStr">
        <is>
          <t>2026-02-23 23:48</t>
        </is>
      </c>
      <c r="M1869" s="189" t="inlineStr">
        <is>
          <t>Block IP</t>
        </is>
      </c>
      <c r="N1869" s="190" t="inlineStr">
        <is>
          <t>https://rules.emergingthreats.net/blockrules/compromised-ips.txt</t>
        </is>
      </c>
      <c r="O1869" s="189" t="inlineStr">
        <is>
          <t>Block IP 104.248.41.74 at firewall | Emerging Threats compromised host</t>
        </is>
      </c>
      <c r="P1869" s="189" t="inlineStr">
        <is>
          <t>Network perimeter</t>
        </is>
      </c>
      <c r="Q1869" s="189" t="inlineStr">
        <is>
          <t>P3</t>
        </is>
      </c>
      <c r="R1869" s="189" t="inlineStr">
        <is>
          <t>🚫 Block IP at firewall immediately | 🔍 Check logs for existing connections | 🛡️ Add to threat intelligence blocklist</t>
        </is>
      </c>
      <c r="S1869" s="189" t="inlineStr">
        <is>
          <t>Check ip-api.com + AbuseIPDB for context</t>
        </is>
      </c>
      <c r="T1869" s="189" t="n">
        <v>0</v>
      </c>
      <c r="U1869" s="189" t="n">
        <v>0</v>
      </c>
      <c r="V1869" s="189" t="inlineStr">
        <is>
          <t>T1110:Brute Force | T1190:Exploit Public-Facing Application</t>
        </is>
      </c>
      <c r="W1869" s="189" t="n">
        <v>1</v>
      </c>
      <c r="X1869" s="189" t="inlineStr">
        <is>
          <t>LOW (40%)</t>
        </is>
      </c>
      <c r="Y1869" s="189" t="inlineStr">
        <is>
          <t>NONE</t>
        </is>
      </c>
      <c r="Z1869" s="189" t="inlineStr">
        <is>
          <t>NONE</t>
        </is>
      </c>
      <c r="AA1869" s="189" t="inlineStr">
        <is>
          <t>NONE</t>
        </is>
      </c>
      <c r="AB1869" s="189" t="inlineStr">
        <is>
          <t>NONE</t>
        </is>
      </c>
      <c r="AC1869" s="189" t="n">
        <v>0</v>
      </c>
      <c r="AD1869" s="189" t="n"/>
    </row>
    <row r="1870">
      <c r="A1870" s="189" t="inlineStr">
        <is>
          <t>EMERGING_THREAT_IP</t>
        </is>
      </c>
      <c r="B1870" s="189" t="inlineStr">
        <is>
          <t>6edc4dc7f8c4</t>
        </is>
      </c>
      <c r="C1870" s="189" t="inlineStr">
        <is>
          <t>Emerging Threats Compromised IP: 107.175.21.17 | Sources: EMERGING_THREATS</t>
        </is>
      </c>
      <c r="D1870" s="189" t="n">
        <v>6.5</v>
      </c>
      <c r="E1870" s="189" t="inlineStr">
        <is>
          <t>HIGH</t>
        </is>
      </c>
      <c r="F1870" s="189" t="n">
        <v>3</v>
      </c>
      <c r="G1870" s="189" t="n">
        <v>2</v>
      </c>
      <c r="H1870" s="189" t="inlineStr">
        <is>
          <t>HIGH</t>
        </is>
      </c>
      <c r="I1870" s="189" t="n">
        <v>12.5</v>
      </c>
      <c r="J1870" s="189" t="inlineStr">
        <is>
          <t>NO</t>
        </is>
      </c>
      <c r="K1870" s="190" t="inlineStr">
        <is>
          <t>https://rules.emergingthreats.net/</t>
        </is>
      </c>
      <c r="L1870" s="189" t="inlineStr">
        <is>
          <t>2026-02-23 23:48</t>
        </is>
      </c>
      <c r="M1870" s="189" t="inlineStr">
        <is>
          <t>Block IP</t>
        </is>
      </c>
      <c r="N1870" s="190" t="inlineStr">
        <is>
          <t>https://rules.emergingthreats.net/blockrules/compromised-ips.txt</t>
        </is>
      </c>
      <c r="O1870" s="189" t="inlineStr">
        <is>
          <t>Block IP 107.175.21.17 at firewall | Emerging Threats compromised host</t>
        </is>
      </c>
      <c r="P1870" s="189" t="inlineStr">
        <is>
          <t>Network perimeter</t>
        </is>
      </c>
      <c r="Q1870" s="189" t="inlineStr">
        <is>
          <t>P3</t>
        </is>
      </c>
      <c r="R1870" s="189" t="inlineStr">
        <is>
          <t>🚫 Block IP at firewall immediately | 🔍 Check logs for existing connections | 🛡️ Add to threat intelligence blocklist</t>
        </is>
      </c>
      <c r="S1870" s="189" t="inlineStr">
        <is>
          <t>Check ip-api.com + AbuseIPDB for context</t>
        </is>
      </c>
      <c r="T1870" s="189" t="n">
        <v>0</v>
      </c>
      <c r="U1870" s="189" t="n">
        <v>0</v>
      </c>
      <c r="V1870" s="189" t="inlineStr">
        <is>
          <t>T1110:Brute Force | T1190:Exploit Public-Facing Application</t>
        </is>
      </c>
      <c r="W1870" s="189" t="n">
        <v>1</v>
      </c>
      <c r="X1870" s="189" t="inlineStr">
        <is>
          <t>LOW (40%)</t>
        </is>
      </c>
      <c r="Y1870" s="189" t="inlineStr">
        <is>
          <t>NONE</t>
        </is>
      </c>
      <c r="Z1870" s="189" t="inlineStr">
        <is>
          <t>NONE</t>
        </is>
      </c>
      <c r="AA1870" s="189" t="inlineStr">
        <is>
          <t>NONE</t>
        </is>
      </c>
      <c r="AB1870" s="189" t="inlineStr">
        <is>
          <t>NONE</t>
        </is>
      </c>
      <c r="AC1870" s="189" t="n">
        <v>0</v>
      </c>
      <c r="AD1870" s="189" t="n"/>
    </row>
    <row r="1871">
      <c r="A1871" s="189" t="inlineStr">
        <is>
          <t>EMERGING_THREAT_IP</t>
        </is>
      </c>
      <c r="B1871" s="189" t="inlineStr">
        <is>
          <t>c90196742a73</t>
        </is>
      </c>
      <c r="C1871" s="189" t="inlineStr">
        <is>
          <t>Emerging Threats Compromised IP: 109.172.55.64 | Sources: EMERGING_THREATS</t>
        </is>
      </c>
      <c r="D1871" s="189" t="n">
        <v>6.5</v>
      </c>
      <c r="E1871" s="189" t="inlineStr">
        <is>
          <t>HIGH</t>
        </is>
      </c>
      <c r="F1871" s="189" t="n">
        <v>3</v>
      </c>
      <c r="G1871" s="189" t="n">
        <v>2</v>
      </c>
      <c r="H1871" s="189" t="inlineStr">
        <is>
          <t>HIGH</t>
        </is>
      </c>
      <c r="I1871" s="189" t="n">
        <v>12.5</v>
      </c>
      <c r="J1871" s="189" t="inlineStr">
        <is>
          <t>NO</t>
        </is>
      </c>
      <c r="K1871" s="190" t="inlineStr">
        <is>
          <t>https://rules.emergingthreats.net/</t>
        </is>
      </c>
      <c r="L1871" s="189" t="inlineStr">
        <is>
          <t>2026-02-23 23:48</t>
        </is>
      </c>
      <c r="M1871" s="189" t="inlineStr">
        <is>
          <t>Block IP</t>
        </is>
      </c>
      <c r="N1871" s="190" t="inlineStr">
        <is>
          <t>https://rules.emergingthreats.net/blockrules/compromised-ips.txt</t>
        </is>
      </c>
      <c r="O1871" s="189" t="inlineStr">
        <is>
          <t>Block IP 109.172.55.64 at firewall | Emerging Threats compromised host</t>
        </is>
      </c>
      <c r="P1871" s="189" t="inlineStr">
        <is>
          <t>Network perimeter</t>
        </is>
      </c>
      <c r="Q1871" s="189" t="inlineStr">
        <is>
          <t>P3</t>
        </is>
      </c>
      <c r="R1871" s="189" t="inlineStr">
        <is>
          <t>🚫 Block IP at firewall immediately | 🔍 Check logs for existing connections | 🛡️ Add to threat intelligence blocklist</t>
        </is>
      </c>
      <c r="S1871" s="189" t="inlineStr">
        <is>
          <t>Check ip-api.com + AbuseIPDB for context</t>
        </is>
      </c>
      <c r="T1871" s="189" t="n">
        <v>0</v>
      </c>
      <c r="U1871" s="189" t="n">
        <v>0</v>
      </c>
      <c r="V1871" s="189" t="inlineStr">
        <is>
          <t>T1110:Brute Force | T1190:Exploit Public-Facing Application</t>
        </is>
      </c>
      <c r="W1871" s="189" t="n">
        <v>1</v>
      </c>
      <c r="X1871" s="189" t="inlineStr">
        <is>
          <t>LOW (40%)</t>
        </is>
      </c>
      <c r="Y1871" s="189" t="inlineStr">
        <is>
          <t>NONE</t>
        </is>
      </c>
      <c r="Z1871" s="189" t="inlineStr">
        <is>
          <t>NONE</t>
        </is>
      </c>
      <c r="AA1871" s="189" t="inlineStr">
        <is>
          <t>NONE</t>
        </is>
      </c>
      <c r="AB1871" s="189" t="inlineStr">
        <is>
          <t>NONE</t>
        </is>
      </c>
      <c r="AC1871" s="189" t="n">
        <v>0</v>
      </c>
      <c r="AD1871" s="189" t="n"/>
    </row>
    <row r="1872">
      <c r="A1872" s="189" t="inlineStr">
        <is>
          <t>EMERGING_THREAT_IP</t>
        </is>
      </c>
      <c r="B1872" s="189" t="inlineStr">
        <is>
          <t>58a732101248</t>
        </is>
      </c>
      <c r="C1872" s="189" t="inlineStr">
        <is>
          <t>Emerging Threats Compromised IP: 111.160.133.62 | Sources: EMERGING_THREATS</t>
        </is>
      </c>
      <c r="D1872" s="189" t="n">
        <v>6.5</v>
      </c>
      <c r="E1872" s="189" t="inlineStr">
        <is>
          <t>HIGH</t>
        </is>
      </c>
      <c r="F1872" s="189" t="n">
        <v>3</v>
      </c>
      <c r="G1872" s="189" t="n">
        <v>2</v>
      </c>
      <c r="H1872" s="189" t="inlineStr">
        <is>
          <t>HIGH</t>
        </is>
      </c>
      <c r="I1872" s="189" t="n">
        <v>12.5</v>
      </c>
      <c r="J1872" s="189" t="inlineStr">
        <is>
          <t>NO</t>
        </is>
      </c>
      <c r="K1872" s="190" t="inlineStr">
        <is>
          <t>https://rules.emergingthreats.net/</t>
        </is>
      </c>
      <c r="L1872" s="189" t="inlineStr">
        <is>
          <t>2026-02-23 23:48</t>
        </is>
      </c>
      <c r="M1872" s="189" t="inlineStr">
        <is>
          <t>Block IP</t>
        </is>
      </c>
      <c r="N1872" s="190" t="inlineStr">
        <is>
          <t>https://rules.emergingthreats.net/blockrules/compromised-ips.txt</t>
        </is>
      </c>
      <c r="O1872" s="189" t="inlineStr">
        <is>
          <t>Block IP 111.160.133.62 at firewall | Emerging Threats compromised host</t>
        </is>
      </c>
      <c r="P1872" s="189" t="inlineStr">
        <is>
          <t>Network perimeter</t>
        </is>
      </c>
      <c r="Q1872" s="189" t="inlineStr">
        <is>
          <t>P3</t>
        </is>
      </c>
      <c r="R1872" s="189" t="inlineStr">
        <is>
          <t>🚫 Block IP at firewall immediately | 🔍 Check logs for existing connections | 🛡️ Add to threat intelligence blocklist</t>
        </is>
      </c>
      <c r="S1872" s="189" t="inlineStr">
        <is>
          <t>Check ip-api.com + AbuseIPDB for context</t>
        </is>
      </c>
      <c r="T1872" s="189" t="n">
        <v>0</v>
      </c>
      <c r="U1872" s="189" t="n">
        <v>0</v>
      </c>
      <c r="V1872" s="189" t="inlineStr">
        <is>
          <t>T1110:Brute Force | T1190:Exploit Public-Facing Application</t>
        </is>
      </c>
      <c r="W1872" s="189" t="n">
        <v>1</v>
      </c>
      <c r="X1872" s="189" t="inlineStr">
        <is>
          <t>LOW (40%)</t>
        </is>
      </c>
      <c r="Y1872" s="189" t="inlineStr">
        <is>
          <t>NONE</t>
        </is>
      </c>
      <c r="Z1872" s="189" t="inlineStr">
        <is>
          <t>NONE</t>
        </is>
      </c>
      <c r="AA1872" s="189" t="inlineStr">
        <is>
          <t>NONE</t>
        </is>
      </c>
      <c r="AB1872" s="189" t="inlineStr">
        <is>
          <t>NONE</t>
        </is>
      </c>
      <c r="AC1872" s="189" t="n">
        <v>0</v>
      </c>
      <c r="AD1872" s="189" t="n"/>
    </row>
    <row r="1873">
      <c r="A1873" s="189" t="inlineStr">
        <is>
          <t>EMERGING_THREAT_IP</t>
        </is>
      </c>
      <c r="B1873" s="189" t="inlineStr">
        <is>
          <t>153710cc82cd</t>
        </is>
      </c>
      <c r="C1873" s="189" t="inlineStr">
        <is>
          <t>Emerging Threats Compromised IP: 111.32.36.226 | Sources: EMERGING_THREATS</t>
        </is>
      </c>
      <c r="D1873" s="189" t="n">
        <v>6.5</v>
      </c>
      <c r="E1873" s="189" t="inlineStr">
        <is>
          <t>HIGH</t>
        </is>
      </c>
      <c r="F1873" s="189" t="n">
        <v>3</v>
      </c>
      <c r="G1873" s="189" t="n">
        <v>2</v>
      </c>
      <c r="H1873" s="189" t="inlineStr">
        <is>
          <t>HIGH</t>
        </is>
      </c>
      <c r="I1873" s="189" t="n">
        <v>12.5</v>
      </c>
      <c r="J1873" s="189" t="inlineStr">
        <is>
          <t>NO</t>
        </is>
      </c>
      <c r="K1873" s="190" t="inlineStr">
        <is>
          <t>https://rules.emergingthreats.net/</t>
        </is>
      </c>
      <c r="L1873" s="189" t="inlineStr">
        <is>
          <t>2026-02-23 23:48</t>
        </is>
      </c>
      <c r="M1873" s="189" t="inlineStr">
        <is>
          <t>Block IP</t>
        </is>
      </c>
      <c r="N1873" s="190" t="inlineStr">
        <is>
          <t>https://rules.emergingthreats.net/blockrules/compromised-ips.txt</t>
        </is>
      </c>
      <c r="O1873" s="189" t="inlineStr">
        <is>
          <t>Block IP 111.32.36.226 at firewall | Emerging Threats compromised host</t>
        </is>
      </c>
      <c r="P1873" s="189" t="inlineStr">
        <is>
          <t>Network perimeter</t>
        </is>
      </c>
      <c r="Q1873" s="189" t="inlineStr">
        <is>
          <t>P3</t>
        </is>
      </c>
      <c r="R1873" s="189" t="inlineStr">
        <is>
          <t>🚫 Block IP at firewall immediately | 🔍 Check logs for existing connections | 🛡️ Add to threat intelligence blocklist</t>
        </is>
      </c>
      <c r="S1873" s="189" t="inlineStr">
        <is>
          <t>Check ip-api.com + AbuseIPDB for context</t>
        </is>
      </c>
      <c r="T1873" s="189" t="n">
        <v>0</v>
      </c>
      <c r="U1873" s="189" t="n">
        <v>0</v>
      </c>
      <c r="V1873" s="189" t="inlineStr">
        <is>
          <t>T1110:Brute Force | T1190:Exploit Public-Facing Application</t>
        </is>
      </c>
      <c r="W1873" s="189" t="n">
        <v>1</v>
      </c>
      <c r="X1873" s="189" t="inlineStr">
        <is>
          <t>LOW (40%)</t>
        </is>
      </c>
      <c r="Y1873" s="189" t="inlineStr">
        <is>
          <t>NONE</t>
        </is>
      </c>
      <c r="Z1873" s="189" t="inlineStr">
        <is>
          <t>NONE</t>
        </is>
      </c>
      <c r="AA1873" s="189" t="inlineStr">
        <is>
          <t>NONE</t>
        </is>
      </c>
      <c r="AB1873" s="189" t="inlineStr">
        <is>
          <t>NONE</t>
        </is>
      </c>
      <c r="AC1873" s="189" t="n">
        <v>0</v>
      </c>
      <c r="AD1873" s="189" t="n"/>
    </row>
    <row r="1874">
      <c r="A1874" s="189" t="inlineStr">
        <is>
          <t>EMERGING_THREAT_IP</t>
        </is>
      </c>
      <c r="B1874" s="189" t="inlineStr">
        <is>
          <t>2bc8ac825e6b</t>
        </is>
      </c>
      <c r="C1874" s="189" t="inlineStr">
        <is>
          <t>Emerging Threats Compromised IP: 114.246.36.108 | Sources: EMERGING_THREATS</t>
        </is>
      </c>
      <c r="D1874" s="189" t="n">
        <v>6.5</v>
      </c>
      <c r="E1874" s="189" t="inlineStr">
        <is>
          <t>HIGH</t>
        </is>
      </c>
      <c r="F1874" s="189" t="n">
        <v>3</v>
      </c>
      <c r="G1874" s="189" t="n">
        <v>2</v>
      </c>
      <c r="H1874" s="189" t="inlineStr">
        <is>
          <t>HIGH</t>
        </is>
      </c>
      <c r="I1874" s="189" t="n">
        <v>12.5</v>
      </c>
      <c r="J1874" s="189" t="inlineStr">
        <is>
          <t>NO</t>
        </is>
      </c>
      <c r="K1874" s="190" t="inlineStr">
        <is>
          <t>https://rules.emergingthreats.net/</t>
        </is>
      </c>
      <c r="L1874" s="189" t="inlineStr">
        <is>
          <t>2026-02-23 23:48</t>
        </is>
      </c>
      <c r="M1874" s="189" t="inlineStr">
        <is>
          <t>Block IP</t>
        </is>
      </c>
      <c r="N1874" s="190" t="inlineStr">
        <is>
          <t>https://rules.emergingthreats.net/blockrules/compromised-ips.txt</t>
        </is>
      </c>
      <c r="O1874" s="189" t="inlineStr">
        <is>
          <t>Block IP 114.246.36.108 at firewall | Emerging Threats compromised host</t>
        </is>
      </c>
      <c r="P1874" s="189" t="inlineStr">
        <is>
          <t>Network perimeter</t>
        </is>
      </c>
      <c r="Q1874" s="189" t="inlineStr">
        <is>
          <t>P3</t>
        </is>
      </c>
      <c r="R1874" s="189" t="inlineStr">
        <is>
          <t>🚫 Block IP at firewall immediately | 🔍 Check logs for existing connections | 🛡️ Add to threat intelligence blocklist</t>
        </is>
      </c>
      <c r="S1874" s="189" t="inlineStr">
        <is>
          <t>Check ip-api.com + AbuseIPDB for context</t>
        </is>
      </c>
      <c r="T1874" s="189" t="n">
        <v>0</v>
      </c>
      <c r="U1874" s="189" t="n">
        <v>0</v>
      </c>
      <c r="V1874" s="189" t="inlineStr">
        <is>
          <t>T1110:Brute Force | T1190:Exploit Public-Facing Application</t>
        </is>
      </c>
      <c r="W1874" s="189" t="n">
        <v>1</v>
      </c>
      <c r="X1874" s="189" t="inlineStr">
        <is>
          <t>LOW (40%)</t>
        </is>
      </c>
      <c r="Y1874" s="189" t="inlineStr">
        <is>
          <t>NONE</t>
        </is>
      </c>
      <c r="Z1874" s="189" t="inlineStr">
        <is>
          <t>NONE</t>
        </is>
      </c>
      <c r="AA1874" s="189" t="inlineStr">
        <is>
          <t>NONE</t>
        </is>
      </c>
      <c r="AB1874" s="189" t="inlineStr">
        <is>
          <t>NONE</t>
        </is>
      </c>
      <c r="AC1874" s="189" t="n">
        <v>0</v>
      </c>
      <c r="AD1874" s="189" t="n"/>
    </row>
    <row r="1875">
      <c r="A1875" s="189" t="inlineStr">
        <is>
          <t>EMERGING_THREAT_IP</t>
        </is>
      </c>
      <c r="B1875" s="189" t="inlineStr">
        <is>
          <t>98108d97a1e0</t>
        </is>
      </c>
      <c r="C1875" s="189" t="inlineStr">
        <is>
          <t>Emerging Threats Compromised IP: 115.190.14.206 | Sources: EMERGING_THREATS</t>
        </is>
      </c>
      <c r="D1875" s="189" t="n">
        <v>6.5</v>
      </c>
      <c r="E1875" s="189" t="inlineStr">
        <is>
          <t>HIGH</t>
        </is>
      </c>
      <c r="F1875" s="189" t="n">
        <v>3</v>
      </c>
      <c r="G1875" s="189" t="n">
        <v>2</v>
      </c>
      <c r="H1875" s="189" t="inlineStr">
        <is>
          <t>HIGH</t>
        </is>
      </c>
      <c r="I1875" s="189" t="n">
        <v>12.5</v>
      </c>
      <c r="J1875" s="189" t="inlineStr">
        <is>
          <t>NO</t>
        </is>
      </c>
      <c r="K1875" s="190" t="inlineStr">
        <is>
          <t>https://rules.emergingthreats.net/</t>
        </is>
      </c>
      <c r="L1875" s="189" t="inlineStr">
        <is>
          <t>2026-02-23 23:48</t>
        </is>
      </c>
      <c r="M1875" s="189" t="inlineStr">
        <is>
          <t>Block IP</t>
        </is>
      </c>
      <c r="N1875" s="190" t="inlineStr">
        <is>
          <t>https://rules.emergingthreats.net/blockrules/compromised-ips.txt</t>
        </is>
      </c>
      <c r="O1875" s="189" t="inlineStr">
        <is>
          <t>Block IP 115.190.14.206 at firewall | Emerging Threats compromised host</t>
        </is>
      </c>
      <c r="P1875" s="189" t="inlineStr">
        <is>
          <t>Network perimeter</t>
        </is>
      </c>
      <c r="Q1875" s="189" t="inlineStr">
        <is>
          <t>P3</t>
        </is>
      </c>
      <c r="R1875" s="189" t="inlineStr">
        <is>
          <t>🚫 Block IP at firewall immediately | 🔍 Check logs for existing connections | 🛡️ Add to threat intelligence blocklist</t>
        </is>
      </c>
      <c r="S1875" s="189" t="inlineStr">
        <is>
          <t>Check ip-api.com + AbuseIPDB for context</t>
        </is>
      </c>
      <c r="T1875" s="189" t="n">
        <v>0</v>
      </c>
      <c r="U1875" s="189" t="n">
        <v>0</v>
      </c>
      <c r="V1875" s="189" t="inlineStr">
        <is>
          <t>T1110:Brute Force | T1190:Exploit Public-Facing Application</t>
        </is>
      </c>
      <c r="W1875" s="189" t="n">
        <v>1</v>
      </c>
      <c r="X1875" s="189" t="inlineStr">
        <is>
          <t>LOW (40%)</t>
        </is>
      </c>
      <c r="Y1875" s="189" t="inlineStr">
        <is>
          <t>NONE</t>
        </is>
      </c>
      <c r="Z1875" s="189" t="inlineStr">
        <is>
          <t>NONE</t>
        </is>
      </c>
      <c r="AA1875" s="189" t="inlineStr">
        <is>
          <t>NONE</t>
        </is>
      </c>
      <c r="AB1875" s="189" t="inlineStr">
        <is>
          <t>NONE</t>
        </is>
      </c>
      <c r="AC1875" s="189" t="n">
        <v>0</v>
      </c>
      <c r="AD1875" s="189" t="n"/>
    </row>
    <row r="1876">
      <c r="A1876" s="189" t="inlineStr">
        <is>
          <t>EMERGING_THREAT_IP</t>
        </is>
      </c>
      <c r="B1876" s="189" t="inlineStr">
        <is>
          <t>f6a22beb1877</t>
        </is>
      </c>
      <c r="C1876" s="189" t="inlineStr">
        <is>
          <t>Emerging Threats Compromised IP: 115.190.20.70 | Sources: EMERGING_THREATS</t>
        </is>
      </c>
      <c r="D1876" s="189" t="n">
        <v>6.5</v>
      </c>
      <c r="E1876" s="189" t="inlineStr">
        <is>
          <t>HIGH</t>
        </is>
      </c>
      <c r="F1876" s="189" t="n">
        <v>3</v>
      </c>
      <c r="G1876" s="189" t="n">
        <v>2</v>
      </c>
      <c r="H1876" s="189" t="inlineStr">
        <is>
          <t>HIGH</t>
        </is>
      </c>
      <c r="I1876" s="189" t="n">
        <v>12.5</v>
      </c>
      <c r="J1876" s="189" t="inlineStr">
        <is>
          <t>NO</t>
        </is>
      </c>
      <c r="K1876" s="190" t="inlineStr">
        <is>
          <t>https://rules.emergingthreats.net/</t>
        </is>
      </c>
      <c r="L1876" s="189" t="inlineStr">
        <is>
          <t>2026-02-23 23:48</t>
        </is>
      </c>
      <c r="M1876" s="189" t="inlineStr">
        <is>
          <t>Block IP</t>
        </is>
      </c>
      <c r="N1876" s="190" t="inlineStr">
        <is>
          <t>https://rules.emergingthreats.net/blockrules/compromised-ips.txt</t>
        </is>
      </c>
      <c r="O1876" s="189" t="inlineStr">
        <is>
          <t>Block IP 115.190.20.70 at firewall | Emerging Threats compromised host</t>
        </is>
      </c>
      <c r="P1876" s="189" t="inlineStr">
        <is>
          <t>Network perimeter</t>
        </is>
      </c>
      <c r="Q1876" s="189" t="inlineStr">
        <is>
          <t>P3</t>
        </is>
      </c>
      <c r="R1876" s="189" t="inlineStr">
        <is>
          <t>🚫 Block IP at firewall immediately | 🔍 Check logs for existing connections | 🛡️ Add to threat intelligence blocklist</t>
        </is>
      </c>
      <c r="S1876" s="189" t="inlineStr">
        <is>
          <t>Check ip-api.com + AbuseIPDB for context</t>
        </is>
      </c>
      <c r="T1876" s="189" t="n">
        <v>0</v>
      </c>
      <c r="U1876" s="189" t="n">
        <v>0</v>
      </c>
      <c r="V1876" s="189" t="inlineStr">
        <is>
          <t>T1110:Brute Force | T1190:Exploit Public-Facing Application</t>
        </is>
      </c>
      <c r="W1876" s="189" t="n">
        <v>1</v>
      </c>
      <c r="X1876" s="189" t="inlineStr">
        <is>
          <t>LOW (40%)</t>
        </is>
      </c>
      <c r="Y1876" s="189" t="inlineStr">
        <is>
          <t>NONE</t>
        </is>
      </c>
      <c r="Z1876" s="189" t="inlineStr">
        <is>
          <t>NONE</t>
        </is>
      </c>
      <c r="AA1876" s="189" t="inlineStr">
        <is>
          <t>NONE</t>
        </is>
      </c>
      <c r="AB1876" s="189" t="inlineStr">
        <is>
          <t>NONE</t>
        </is>
      </c>
      <c r="AC1876" s="189" t="n">
        <v>0</v>
      </c>
      <c r="AD1876" s="189" t="n"/>
    </row>
    <row r="1877">
      <c r="A1877" s="189" t="inlineStr">
        <is>
          <t>EMERGING_THREAT_IP</t>
        </is>
      </c>
      <c r="B1877" s="189" t="inlineStr">
        <is>
          <t>601857c09b38</t>
        </is>
      </c>
      <c r="C1877" s="189" t="inlineStr">
        <is>
          <t>Emerging Threats Compromised IP: 115.190.87.147 | Sources: EMERGING_THREATS</t>
        </is>
      </c>
      <c r="D1877" s="189" t="n">
        <v>6.5</v>
      </c>
      <c r="E1877" s="189" t="inlineStr">
        <is>
          <t>HIGH</t>
        </is>
      </c>
      <c r="F1877" s="189" t="n">
        <v>3</v>
      </c>
      <c r="G1877" s="189" t="n">
        <v>2</v>
      </c>
      <c r="H1877" s="189" t="inlineStr">
        <is>
          <t>HIGH</t>
        </is>
      </c>
      <c r="I1877" s="189" t="n">
        <v>12.5</v>
      </c>
      <c r="J1877" s="189" t="inlineStr">
        <is>
          <t>NO</t>
        </is>
      </c>
      <c r="K1877" s="190" t="inlineStr">
        <is>
          <t>https://rules.emergingthreats.net/</t>
        </is>
      </c>
      <c r="L1877" s="189" t="inlineStr">
        <is>
          <t>2026-02-23 23:48</t>
        </is>
      </c>
      <c r="M1877" s="189" t="inlineStr">
        <is>
          <t>Block IP</t>
        </is>
      </c>
      <c r="N1877" s="190" t="inlineStr">
        <is>
          <t>https://rules.emergingthreats.net/blockrules/compromised-ips.txt</t>
        </is>
      </c>
      <c r="O1877" s="189" t="inlineStr">
        <is>
          <t>Block IP 115.190.87.147 at firewall | Emerging Threats compromised host</t>
        </is>
      </c>
      <c r="P1877" s="189" t="inlineStr">
        <is>
          <t>Network perimeter</t>
        </is>
      </c>
      <c r="Q1877" s="189" t="inlineStr">
        <is>
          <t>P3</t>
        </is>
      </c>
      <c r="R1877" s="189" t="inlineStr">
        <is>
          <t>🚫 Block IP at firewall immediately | 🔍 Check logs for existing connections | 🛡️ Add to threat intelligence blocklist</t>
        </is>
      </c>
      <c r="S1877" s="189" t="inlineStr">
        <is>
          <t>Check ip-api.com + AbuseIPDB for context</t>
        </is>
      </c>
      <c r="T1877" s="189" t="n">
        <v>0</v>
      </c>
      <c r="U1877" s="189" t="n">
        <v>0</v>
      </c>
      <c r="V1877" s="189" t="inlineStr">
        <is>
          <t>T1110:Brute Force | T1190:Exploit Public-Facing Application</t>
        </is>
      </c>
      <c r="W1877" s="189" t="n">
        <v>1</v>
      </c>
      <c r="X1877" s="189" t="inlineStr">
        <is>
          <t>LOW (40%)</t>
        </is>
      </c>
      <c r="Y1877" s="189" t="inlineStr">
        <is>
          <t>NONE</t>
        </is>
      </c>
      <c r="Z1877" s="189" t="inlineStr">
        <is>
          <t>NONE</t>
        </is>
      </c>
      <c r="AA1877" s="189" t="inlineStr">
        <is>
          <t>NONE</t>
        </is>
      </c>
      <c r="AB1877" s="189" t="inlineStr">
        <is>
          <t>NONE</t>
        </is>
      </c>
      <c r="AC1877" s="189" t="n">
        <v>0</v>
      </c>
      <c r="AD1877" s="189" t="n"/>
    </row>
    <row r="1878">
      <c r="A1878" s="189" t="inlineStr">
        <is>
          <t>EMERGING_THREAT_IP</t>
        </is>
      </c>
      <c r="B1878" s="189" t="inlineStr">
        <is>
          <t>a39bf180eb6c</t>
        </is>
      </c>
      <c r="C1878" s="189" t="inlineStr">
        <is>
          <t>Emerging Threats Compromised IP: 115.245.162.218 | Sources: EMERGING_THREATS</t>
        </is>
      </c>
      <c r="D1878" s="189" t="n">
        <v>6.5</v>
      </c>
      <c r="E1878" s="189" t="inlineStr">
        <is>
          <t>HIGH</t>
        </is>
      </c>
      <c r="F1878" s="189" t="n">
        <v>3</v>
      </c>
      <c r="G1878" s="189" t="n">
        <v>2</v>
      </c>
      <c r="H1878" s="189" t="inlineStr">
        <is>
          <t>HIGH</t>
        </is>
      </c>
      <c r="I1878" s="189" t="n">
        <v>12.5</v>
      </c>
      <c r="J1878" s="189" t="inlineStr">
        <is>
          <t>NO</t>
        </is>
      </c>
      <c r="K1878" s="190" t="inlineStr">
        <is>
          <t>https://rules.emergingthreats.net/</t>
        </is>
      </c>
      <c r="L1878" s="189" t="inlineStr">
        <is>
          <t>2026-02-23 23:48</t>
        </is>
      </c>
      <c r="M1878" s="189" t="inlineStr">
        <is>
          <t>Block IP</t>
        </is>
      </c>
      <c r="N1878" s="190" t="inlineStr">
        <is>
          <t>https://rules.emergingthreats.net/blockrules/compromised-ips.txt</t>
        </is>
      </c>
      <c r="O1878" s="189" t="inlineStr">
        <is>
          <t>Block IP 115.245.162.218 at firewall | Emerging Threats compromised host</t>
        </is>
      </c>
      <c r="P1878" s="189" t="inlineStr">
        <is>
          <t>Network perimeter</t>
        </is>
      </c>
      <c r="Q1878" s="189" t="inlineStr">
        <is>
          <t>P3</t>
        </is>
      </c>
      <c r="R1878" s="189" t="inlineStr">
        <is>
          <t>🚫 Block IP at firewall immediately | 🔍 Check logs for existing connections | 🛡️ Add to threat intelligence blocklist</t>
        </is>
      </c>
      <c r="S1878" s="189" t="inlineStr">
        <is>
          <t>Check ip-api.com + AbuseIPDB for context</t>
        </is>
      </c>
      <c r="T1878" s="189" t="n">
        <v>0</v>
      </c>
      <c r="U1878" s="189" t="n">
        <v>0</v>
      </c>
      <c r="V1878" s="189" t="inlineStr">
        <is>
          <t>T1110:Brute Force | T1190:Exploit Public-Facing Application</t>
        </is>
      </c>
      <c r="W1878" s="189" t="n">
        <v>1</v>
      </c>
      <c r="X1878" s="189" t="inlineStr">
        <is>
          <t>LOW (40%)</t>
        </is>
      </c>
      <c r="Y1878" s="189" t="inlineStr">
        <is>
          <t>NONE</t>
        </is>
      </c>
      <c r="Z1878" s="189" t="inlineStr">
        <is>
          <t>NONE</t>
        </is>
      </c>
      <c r="AA1878" s="189" t="inlineStr">
        <is>
          <t>NONE</t>
        </is>
      </c>
      <c r="AB1878" s="189" t="inlineStr">
        <is>
          <t>NONE</t>
        </is>
      </c>
      <c r="AC1878" s="189" t="n">
        <v>0</v>
      </c>
      <c r="AD1878" s="189" t="n"/>
    </row>
    <row r="1879">
      <c r="A1879" s="189" t="inlineStr">
        <is>
          <t>EMERGING_THREAT_IP</t>
        </is>
      </c>
      <c r="B1879" s="189" t="inlineStr">
        <is>
          <t>689af0729f7f</t>
        </is>
      </c>
      <c r="C1879" s="189" t="inlineStr">
        <is>
          <t>Emerging Threats Compromised IP: 116.110.146.223 | Sources: EMERGING_THREATS</t>
        </is>
      </c>
      <c r="D1879" s="189" t="n">
        <v>6.5</v>
      </c>
      <c r="E1879" s="189" t="inlineStr">
        <is>
          <t>HIGH</t>
        </is>
      </c>
      <c r="F1879" s="189" t="n">
        <v>3</v>
      </c>
      <c r="G1879" s="189" t="n">
        <v>2</v>
      </c>
      <c r="H1879" s="189" t="inlineStr">
        <is>
          <t>HIGH</t>
        </is>
      </c>
      <c r="I1879" s="189" t="n">
        <v>12.5</v>
      </c>
      <c r="J1879" s="189" t="inlineStr">
        <is>
          <t>NO</t>
        </is>
      </c>
      <c r="K1879" s="190" t="inlineStr">
        <is>
          <t>https://rules.emergingthreats.net/</t>
        </is>
      </c>
      <c r="L1879" s="189" t="inlineStr">
        <is>
          <t>2026-02-23 23:48</t>
        </is>
      </c>
      <c r="M1879" s="189" t="inlineStr">
        <is>
          <t>Block IP</t>
        </is>
      </c>
      <c r="N1879" s="190" t="inlineStr">
        <is>
          <t>https://rules.emergingthreats.net/blockrules/compromised-ips.txt</t>
        </is>
      </c>
      <c r="O1879" s="189" t="inlineStr">
        <is>
          <t>Block IP 116.110.146.223 at firewall | Emerging Threats compromised host</t>
        </is>
      </c>
      <c r="P1879" s="189" t="inlineStr">
        <is>
          <t>Network perimeter</t>
        </is>
      </c>
      <c r="Q1879" s="189" t="inlineStr">
        <is>
          <t>P3</t>
        </is>
      </c>
      <c r="R1879" s="189" t="inlineStr">
        <is>
          <t>🚫 Block IP at firewall immediately | 🔍 Check logs for existing connections | 🛡️ Add to threat intelligence blocklist</t>
        </is>
      </c>
      <c r="S1879" s="189" t="inlineStr">
        <is>
          <t>Check ip-api.com + AbuseIPDB for context</t>
        </is>
      </c>
      <c r="T1879" s="189" t="n">
        <v>0</v>
      </c>
      <c r="U1879" s="189" t="n">
        <v>0</v>
      </c>
      <c r="V1879" s="189" t="inlineStr">
        <is>
          <t>T1110:Brute Force | T1190:Exploit Public-Facing Application</t>
        </is>
      </c>
      <c r="W1879" s="189" t="n">
        <v>1</v>
      </c>
      <c r="X1879" s="189" t="inlineStr">
        <is>
          <t>LOW (40%)</t>
        </is>
      </c>
      <c r="Y1879" s="189" t="inlineStr">
        <is>
          <t>NONE</t>
        </is>
      </c>
      <c r="Z1879" s="189" t="inlineStr">
        <is>
          <t>NONE</t>
        </is>
      </c>
      <c r="AA1879" s="189" t="inlineStr">
        <is>
          <t>NONE</t>
        </is>
      </c>
      <c r="AB1879" s="189" t="inlineStr">
        <is>
          <t>NONE</t>
        </is>
      </c>
      <c r="AC1879" s="189" t="n">
        <v>0</v>
      </c>
      <c r="AD1879" s="189" t="n"/>
    </row>
    <row r="1880">
      <c r="A1880" s="189" t="inlineStr">
        <is>
          <t>EMERGING_THREAT_IP</t>
        </is>
      </c>
      <c r="B1880" s="189" t="inlineStr">
        <is>
          <t>b2f16ddb6fcd</t>
        </is>
      </c>
      <c r="C1880" s="189" t="inlineStr">
        <is>
          <t>Emerging Threats Compromised IP: 116.110.155.60 | Sources: EMERGING_THREATS</t>
        </is>
      </c>
      <c r="D1880" s="189" t="n">
        <v>6.5</v>
      </c>
      <c r="E1880" s="189" t="inlineStr">
        <is>
          <t>HIGH</t>
        </is>
      </c>
      <c r="F1880" s="189" t="n">
        <v>3</v>
      </c>
      <c r="G1880" s="189" t="n">
        <v>2</v>
      </c>
      <c r="H1880" s="189" t="inlineStr">
        <is>
          <t>HIGH</t>
        </is>
      </c>
      <c r="I1880" s="189" t="n">
        <v>12.5</v>
      </c>
      <c r="J1880" s="189" t="inlineStr">
        <is>
          <t>NO</t>
        </is>
      </c>
      <c r="K1880" s="190" t="inlineStr">
        <is>
          <t>https://rules.emergingthreats.net/</t>
        </is>
      </c>
      <c r="L1880" s="189" t="inlineStr">
        <is>
          <t>2026-02-23 23:48</t>
        </is>
      </c>
      <c r="M1880" s="189" t="inlineStr">
        <is>
          <t>Block IP</t>
        </is>
      </c>
      <c r="N1880" s="190" t="inlineStr">
        <is>
          <t>https://rules.emergingthreats.net/blockrules/compromised-ips.txt</t>
        </is>
      </c>
      <c r="O1880" s="189" t="inlineStr">
        <is>
          <t>Block IP 116.110.155.60 at firewall | Emerging Threats compromised host</t>
        </is>
      </c>
      <c r="P1880" s="189" t="inlineStr">
        <is>
          <t>Network perimeter</t>
        </is>
      </c>
      <c r="Q1880" s="189" t="inlineStr">
        <is>
          <t>P3</t>
        </is>
      </c>
      <c r="R1880" s="189" t="inlineStr">
        <is>
          <t>🚫 Block IP at firewall immediately | 🔍 Check logs for existing connections | 🛡️ Add to threat intelligence blocklist</t>
        </is>
      </c>
      <c r="S1880" s="189" t="inlineStr">
        <is>
          <t>Check ip-api.com + AbuseIPDB for context</t>
        </is>
      </c>
      <c r="T1880" s="189" t="n">
        <v>0</v>
      </c>
      <c r="U1880" s="189" t="n">
        <v>0</v>
      </c>
      <c r="V1880" s="189" t="inlineStr">
        <is>
          <t>T1110:Brute Force | T1190:Exploit Public-Facing Application</t>
        </is>
      </c>
      <c r="W1880" s="189" t="n">
        <v>1</v>
      </c>
      <c r="X1880" s="189" t="inlineStr">
        <is>
          <t>LOW (40%)</t>
        </is>
      </c>
      <c r="Y1880" s="189" t="inlineStr">
        <is>
          <t>NONE</t>
        </is>
      </c>
      <c r="Z1880" s="189" t="inlineStr">
        <is>
          <t>NONE</t>
        </is>
      </c>
      <c r="AA1880" s="189" t="inlineStr">
        <is>
          <t>NONE</t>
        </is>
      </c>
      <c r="AB1880" s="189" t="inlineStr">
        <is>
          <t>NONE</t>
        </is>
      </c>
      <c r="AC1880" s="189" t="n">
        <v>0</v>
      </c>
      <c r="AD1880" s="189" t="n"/>
    </row>
    <row r="1881">
      <c r="A1881" s="189" t="inlineStr">
        <is>
          <t>EMERGING_THREAT_IP</t>
        </is>
      </c>
      <c r="B1881" s="189" t="inlineStr">
        <is>
          <t>bec8adde7d1f</t>
        </is>
      </c>
      <c r="C1881" s="189" t="inlineStr">
        <is>
          <t>Emerging Threats Compromised IP: 116.110.208.252 | Sources: EMERGING_THREATS</t>
        </is>
      </c>
      <c r="D1881" s="189" t="n">
        <v>6.5</v>
      </c>
      <c r="E1881" s="189" t="inlineStr">
        <is>
          <t>HIGH</t>
        </is>
      </c>
      <c r="F1881" s="189" t="n">
        <v>3</v>
      </c>
      <c r="G1881" s="189" t="n">
        <v>2</v>
      </c>
      <c r="H1881" s="189" t="inlineStr">
        <is>
          <t>HIGH</t>
        </is>
      </c>
      <c r="I1881" s="189" t="n">
        <v>12.5</v>
      </c>
      <c r="J1881" s="189" t="inlineStr">
        <is>
          <t>NO</t>
        </is>
      </c>
      <c r="K1881" s="190" t="inlineStr">
        <is>
          <t>https://rules.emergingthreats.net/</t>
        </is>
      </c>
      <c r="L1881" s="189" t="inlineStr">
        <is>
          <t>2026-02-23 23:48</t>
        </is>
      </c>
      <c r="M1881" s="189" t="inlineStr">
        <is>
          <t>Block IP</t>
        </is>
      </c>
      <c r="N1881" s="190" t="inlineStr">
        <is>
          <t>https://rules.emergingthreats.net/blockrules/compromised-ips.txt</t>
        </is>
      </c>
      <c r="O1881" s="189" t="inlineStr">
        <is>
          <t>Block IP 116.110.208.252 at firewall | Emerging Threats compromised host</t>
        </is>
      </c>
      <c r="P1881" s="189" t="inlineStr">
        <is>
          <t>Network perimeter</t>
        </is>
      </c>
      <c r="Q1881" s="189" t="inlineStr">
        <is>
          <t>P3</t>
        </is>
      </c>
      <c r="R1881" s="189" t="inlineStr">
        <is>
          <t>🚫 Block IP at firewall immediately | 🔍 Check logs for existing connections | 🛡️ Add to threat intelligence blocklist</t>
        </is>
      </c>
      <c r="S1881" s="189" t="inlineStr">
        <is>
          <t>Check ip-api.com + AbuseIPDB for context</t>
        </is>
      </c>
      <c r="T1881" s="189" t="n">
        <v>0</v>
      </c>
      <c r="U1881" s="189" t="n">
        <v>0</v>
      </c>
      <c r="V1881" s="189" t="inlineStr">
        <is>
          <t>T1110:Brute Force | T1190:Exploit Public-Facing Application</t>
        </is>
      </c>
      <c r="W1881" s="189" t="n">
        <v>1</v>
      </c>
      <c r="X1881" s="189" t="inlineStr">
        <is>
          <t>LOW (40%)</t>
        </is>
      </c>
      <c r="Y1881" s="189" t="inlineStr">
        <is>
          <t>NONE</t>
        </is>
      </c>
      <c r="Z1881" s="189" t="inlineStr">
        <is>
          <t>NONE</t>
        </is>
      </c>
      <c r="AA1881" s="189" t="inlineStr">
        <is>
          <t>NONE</t>
        </is>
      </c>
      <c r="AB1881" s="189" t="inlineStr">
        <is>
          <t>NONE</t>
        </is>
      </c>
      <c r="AC1881" s="189" t="n">
        <v>0</v>
      </c>
      <c r="AD1881" s="189" t="n"/>
    </row>
    <row r="1882">
      <c r="A1882" s="189" t="inlineStr">
        <is>
          <t>EMERGING_THREAT_IP</t>
        </is>
      </c>
      <c r="B1882" s="189" t="inlineStr">
        <is>
          <t>e6d676090bbd</t>
        </is>
      </c>
      <c r="C1882" s="189" t="inlineStr">
        <is>
          <t>Emerging Threats Compromised IP: 116.110.212.22 | Sources: EMERGING_THREATS</t>
        </is>
      </c>
      <c r="D1882" s="189" t="n">
        <v>6.5</v>
      </c>
      <c r="E1882" s="189" t="inlineStr">
        <is>
          <t>HIGH</t>
        </is>
      </c>
      <c r="F1882" s="189" t="n">
        <v>3</v>
      </c>
      <c r="G1882" s="189" t="n">
        <v>2</v>
      </c>
      <c r="H1882" s="189" t="inlineStr">
        <is>
          <t>HIGH</t>
        </is>
      </c>
      <c r="I1882" s="189" t="n">
        <v>12.5</v>
      </c>
      <c r="J1882" s="189" t="inlineStr">
        <is>
          <t>NO</t>
        </is>
      </c>
      <c r="K1882" s="190" t="inlineStr">
        <is>
          <t>https://rules.emergingthreats.net/</t>
        </is>
      </c>
      <c r="L1882" s="189" t="inlineStr">
        <is>
          <t>2026-02-23 23:48</t>
        </is>
      </c>
      <c r="M1882" s="189" t="inlineStr">
        <is>
          <t>Block IP</t>
        </is>
      </c>
      <c r="N1882" s="190" t="inlineStr">
        <is>
          <t>https://rules.emergingthreats.net/blockrules/compromised-ips.txt</t>
        </is>
      </c>
      <c r="O1882" s="189" t="inlineStr">
        <is>
          <t>Block IP 116.110.212.22 at firewall | Emerging Threats compromised host</t>
        </is>
      </c>
      <c r="P1882" s="189" t="inlineStr">
        <is>
          <t>Network perimeter</t>
        </is>
      </c>
      <c r="Q1882" s="189" t="inlineStr">
        <is>
          <t>P3</t>
        </is>
      </c>
      <c r="R1882" s="189" t="inlineStr">
        <is>
          <t>🚫 Block IP at firewall immediately | 🔍 Check logs for existing connections | 🛡️ Add to threat intelligence blocklist</t>
        </is>
      </c>
      <c r="S1882" s="189" t="inlineStr">
        <is>
          <t>Check ip-api.com + AbuseIPDB for context</t>
        </is>
      </c>
      <c r="T1882" s="189" t="n">
        <v>0</v>
      </c>
      <c r="U1882" s="189" t="n">
        <v>0</v>
      </c>
      <c r="V1882" s="189" t="inlineStr">
        <is>
          <t>T1110:Brute Force | T1190:Exploit Public-Facing Application</t>
        </is>
      </c>
      <c r="W1882" s="189" t="n">
        <v>1</v>
      </c>
      <c r="X1882" s="189" t="inlineStr">
        <is>
          <t>LOW (40%)</t>
        </is>
      </c>
      <c r="Y1882" s="189" t="inlineStr">
        <is>
          <t>NONE</t>
        </is>
      </c>
      <c r="Z1882" s="189" t="inlineStr">
        <is>
          <t>NONE</t>
        </is>
      </c>
      <c r="AA1882" s="189" t="inlineStr">
        <is>
          <t>NONE</t>
        </is>
      </c>
      <c r="AB1882" s="189" t="inlineStr">
        <is>
          <t>NONE</t>
        </is>
      </c>
      <c r="AC1882" s="189" t="n">
        <v>0</v>
      </c>
      <c r="AD1882" s="189" t="n"/>
    </row>
    <row r="1883">
      <c r="A1883" s="189" t="inlineStr">
        <is>
          <t>EMERGING_THREAT_IP</t>
        </is>
      </c>
      <c r="B1883" s="189" t="inlineStr">
        <is>
          <t>fe1a3a1be248</t>
        </is>
      </c>
      <c r="C1883" s="189" t="inlineStr">
        <is>
          <t>Emerging Threats Compromised IP: 116.110.213.68 | Sources: EMERGING_THREATS</t>
        </is>
      </c>
      <c r="D1883" s="189" t="n">
        <v>6.5</v>
      </c>
      <c r="E1883" s="189" t="inlineStr">
        <is>
          <t>HIGH</t>
        </is>
      </c>
      <c r="F1883" s="189" t="n">
        <v>3</v>
      </c>
      <c r="G1883" s="189" t="n">
        <v>2</v>
      </c>
      <c r="H1883" s="189" t="inlineStr">
        <is>
          <t>HIGH</t>
        </is>
      </c>
      <c r="I1883" s="189" t="n">
        <v>12.5</v>
      </c>
      <c r="J1883" s="189" t="inlineStr">
        <is>
          <t>NO</t>
        </is>
      </c>
      <c r="K1883" s="190" t="inlineStr">
        <is>
          <t>https://rules.emergingthreats.net/</t>
        </is>
      </c>
      <c r="L1883" s="189" t="inlineStr">
        <is>
          <t>2026-02-23 23:48</t>
        </is>
      </c>
      <c r="M1883" s="189" t="inlineStr">
        <is>
          <t>Block IP</t>
        </is>
      </c>
      <c r="N1883" s="190" t="inlineStr">
        <is>
          <t>https://rules.emergingthreats.net/blockrules/compromised-ips.txt</t>
        </is>
      </c>
      <c r="O1883" s="189" t="inlineStr">
        <is>
          <t>Block IP 116.110.213.68 at firewall | Emerging Threats compromised host</t>
        </is>
      </c>
      <c r="P1883" s="189" t="inlineStr">
        <is>
          <t>Network perimeter</t>
        </is>
      </c>
      <c r="Q1883" s="189" t="inlineStr">
        <is>
          <t>P3</t>
        </is>
      </c>
      <c r="R1883" s="189" t="inlineStr">
        <is>
          <t>🚫 Block IP at firewall immediately | 🔍 Check logs for existing connections | 🛡️ Add to threat intelligence blocklist</t>
        </is>
      </c>
      <c r="S1883" s="189" t="inlineStr">
        <is>
          <t>Check ip-api.com + AbuseIPDB for context</t>
        </is>
      </c>
      <c r="T1883" s="189" t="n">
        <v>0</v>
      </c>
      <c r="U1883" s="189" t="n">
        <v>0</v>
      </c>
      <c r="V1883" s="189" t="inlineStr">
        <is>
          <t>T1110:Brute Force | T1190:Exploit Public-Facing Application</t>
        </is>
      </c>
      <c r="W1883" s="189" t="n">
        <v>1</v>
      </c>
      <c r="X1883" s="189" t="inlineStr">
        <is>
          <t>LOW (40%)</t>
        </is>
      </c>
      <c r="Y1883" s="189" t="inlineStr">
        <is>
          <t>NONE</t>
        </is>
      </c>
      <c r="Z1883" s="189" t="inlineStr">
        <is>
          <t>NONE</t>
        </is>
      </c>
      <c r="AA1883" s="189" t="inlineStr">
        <is>
          <t>NONE</t>
        </is>
      </c>
      <c r="AB1883" s="189" t="inlineStr">
        <is>
          <t>NONE</t>
        </is>
      </c>
      <c r="AC1883" s="189" t="n">
        <v>0</v>
      </c>
      <c r="AD1883" s="189" t="n"/>
    </row>
    <row r="1884">
      <c r="A1884" s="189" t="inlineStr">
        <is>
          <t>EMERGING_THREAT_IP</t>
        </is>
      </c>
      <c r="B1884" s="189" t="inlineStr">
        <is>
          <t>c3a5ec83daeb</t>
        </is>
      </c>
      <c r="C1884" s="189" t="inlineStr">
        <is>
          <t>Emerging Threats Compromised IP: 116.110.213.79 | Sources: EMERGING_THREATS</t>
        </is>
      </c>
      <c r="D1884" s="189" t="n">
        <v>6.5</v>
      </c>
      <c r="E1884" s="189" t="inlineStr">
        <is>
          <t>HIGH</t>
        </is>
      </c>
      <c r="F1884" s="189" t="n">
        <v>3</v>
      </c>
      <c r="G1884" s="189" t="n">
        <v>2</v>
      </c>
      <c r="H1884" s="189" t="inlineStr">
        <is>
          <t>HIGH</t>
        </is>
      </c>
      <c r="I1884" s="189" t="n">
        <v>12.5</v>
      </c>
      <c r="J1884" s="189" t="inlineStr">
        <is>
          <t>NO</t>
        </is>
      </c>
      <c r="K1884" s="190" t="inlineStr">
        <is>
          <t>https://rules.emergingthreats.net/</t>
        </is>
      </c>
      <c r="L1884" s="189" t="inlineStr">
        <is>
          <t>2026-02-23 23:48</t>
        </is>
      </c>
      <c r="M1884" s="189" t="inlineStr">
        <is>
          <t>Block IP</t>
        </is>
      </c>
      <c r="N1884" s="190" t="inlineStr">
        <is>
          <t>https://rules.emergingthreats.net/blockrules/compromised-ips.txt</t>
        </is>
      </c>
      <c r="O1884" s="189" t="inlineStr">
        <is>
          <t>Block IP 116.110.213.79 at firewall | Emerging Threats compromised host</t>
        </is>
      </c>
      <c r="P1884" s="189" t="inlineStr">
        <is>
          <t>Network perimeter</t>
        </is>
      </c>
      <c r="Q1884" s="189" t="inlineStr">
        <is>
          <t>P3</t>
        </is>
      </c>
      <c r="R1884" s="189" t="inlineStr">
        <is>
          <t>🚫 Block IP at firewall immediately | 🔍 Check logs for existing connections | 🛡️ Add to threat intelligence blocklist</t>
        </is>
      </c>
      <c r="S1884" s="189" t="inlineStr">
        <is>
          <t>Check ip-api.com + AbuseIPDB for context</t>
        </is>
      </c>
      <c r="T1884" s="189" t="n">
        <v>0</v>
      </c>
      <c r="U1884" s="189" t="n">
        <v>0</v>
      </c>
      <c r="V1884" s="189" t="inlineStr">
        <is>
          <t>T1110:Brute Force | T1190:Exploit Public-Facing Application</t>
        </is>
      </c>
      <c r="W1884" s="189" t="n">
        <v>1</v>
      </c>
      <c r="X1884" s="189" t="inlineStr">
        <is>
          <t>LOW (40%)</t>
        </is>
      </c>
      <c r="Y1884" s="189" t="inlineStr">
        <is>
          <t>NONE</t>
        </is>
      </c>
      <c r="Z1884" s="189" t="inlineStr">
        <is>
          <t>NONE</t>
        </is>
      </c>
      <c r="AA1884" s="189" t="inlineStr">
        <is>
          <t>NONE</t>
        </is>
      </c>
      <c r="AB1884" s="189" t="inlineStr">
        <is>
          <t>NONE</t>
        </is>
      </c>
      <c r="AC1884" s="189" t="n">
        <v>0</v>
      </c>
      <c r="AD1884" s="189" t="n"/>
    </row>
    <row r="1885">
      <c r="A1885" s="189" t="inlineStr">
        <is>
          <t>EMERGING_THREAT_IP</t>
        </is>
      </c>
      <c r="B1885" s="189" t="inlineStr">
        <is>
          <t>b8c1dec11568</t>
        </is>
      </c>
      <c r="C1885" s="189" t="inlineStr">
        <is>
          <t>Emerging Threats Compromised IP: 116.110.215.164 | Sources: EMERGING_THREATS</t>
        </is>
      </c>
      <c r="D1885" s="189" t="n">
        <v>6.5</v>
      </c>
      <c r="E1885" s="189" t="inlineStr">
        <is>
          <t>HIGH</t>
        </is>
      </c>
      <c r="F1885" s="189" t="n">
        <v>3</v>
      </c>
      <c r="G1885" s="189" t="n">
        <v>2</v>
      </c>
      <c r="H1885" s="189" t="inlineStr">
        <is>
          <t>HIGH</t>
        </is>
      </c>
      <c r="I1885" s="189" t="n">
        <v>12.5</v>
      </c>
      <c r="J1885" s="189" t="inlineStr">
        <is>
          <t>NO</t>
        </is>
      </c>
      <c r="K1885" s="190" t="inlineStr">
        <is>
          <t>https://rules.emergingthreats.net/</t>
        </is>
      </c>
      <c r="L1885" s="189" t="inlineStr">
        <is>
          <t>2026-02-23 23:48</t>
        </is>
      </c>
      <c r="M1885" s="189" t="inlineStr">
        <is>
          <t>Block IP</t>
        </is>
      </c>
      <c r="N1885" s="190" t="inlineStr">
        <is>
          <t>https://rules.emergingthreats.net/blockrules/compromised-ips.txt</t>
        </is>
      </c>
      <c r="O1885" s="189" t="inlineStr">
        <is>
          <t>Block IP 116.110.215.164 at firewall | Emerging Threats compromised host</t>
        </is>
      </c>
      <c r="P1885" s="189" t="inlineStr">
        <is>
          <t>Network perimeter</t>
        </is>
      </c>
      <c r="Q1885" s="189" t="inlineStr">
        <is>
          <t>P3</t>
        </is>
      </c>
      <c r="R1885" s="189" t="inlineStr">
        <is>
          <t>🚫 Block IP at firewall immediately | 🔍 Check logs for existing connections | 🛡️ Add to threat intelligence blocklist</t>
        </is>
      </c>
      <c r="S1885" s="189" t="inlineStr">
        <is>
          <t>Check ip-api.com + AbuseIPDB for context</t>
        </is>
      </c>
      <c r="T1885" s="189" t="n">
        <v>0</v>
      </c>
      <c r="U1885" s="189" t="n">
        <v>0</v>
      </c>
      <c r="V1885" s="189" t="inlineStr">
        <is>
          <t>T1110:Brute Force | T1190:Exploit Public-Facing Application</t>
        </is>
      </c>
      <c r="W1885" s="189" t="n">
        <v>1</v>
      </c>
      <c r="X1885" s="189" t="inlineStr">
        <is>
          <t>LOW (40%)</t>
        </is>
      </c>
      <c r="Y1885" s="189" t="inlineStr">
        <is>
          <t>NONE</t>
        </is>
      </c>
      <c r="Z1885" s="189" t="inlineStr">
        <is>
          <t>NONE</t>
        </is>
      </c>
      <c r="AA1885" s="189" t="inlineStr">
        <is>
          <t>NONE</t>
        </is>
      </c>
      <c r="AB1885" s="189" t="inlineStr">
        <is>
          <t>NONE</t>
        </is>
      </c>
      <c r="AC1885" s="189" t="n">
        <v>0</v>
      </c>
      <c r="AD1885" s="189" t="n"/>
    </row>
    <row r="1886">
      <c r="A1886" s="189" t="inlineStr">
        <is>
          <t>EMERGING_THREAT_IP</t>
        </is>
      </c>
      <c r="B1886" s="189" t="inlineStr">
        <is>
          <t>4de62d0adb5b</t>
        </is>
      </c>
      <c r="C1886" s="189" t="inlineStr">
        <is>
          <t>Emerging Threats Compromised IP: 116.110.216.172 | Sources: EMERGING_THREATS</t>
        </is>
      </c>
      <c r="D1886" s="189" t="n">
        <v>6.5</v>
      </c>
      <c r="E1886" s="189" t="inlineStr">
        <is>
          <t>HIGH</t>
        </is>
      </c>
      <c r="F1886" s="189" t="n">
        <v>3</v>
      </c>
      <c r="G1886" s="189" t="n">
        <v>2</v>
      </c>
      <c r="H1886" s="189" t="inlineStr">
        <is>
          <t>HIGH</t>
        </is>
      </c>
      <c r="I1886" s="189" t="n">
        <v>12.5</v>
      </c>
      <c r="J1886" s="189" t="inlineStr">
        <is>
          <t>NO</t>
        </is>
      </c>
      <c r="K1886" s="190" t="inlineStr">
        <is>
          <t>https://rules.emergingthreats.net/</t>
        </is>
      </c>
      <c r="L1886" s="189" t="inlineStr">
        <is>
          <t>2026-02-23 23:48</t>
        </is>
      </c>
      <c r="M1886" s="189" t="inlineStr">
        <is>
          <t>Block IP</t>
        </is>
      </c>
      <c r="N1886" s="190" t="inlineStr">
        <is>
          <t>https://rules.emergingthreats.net/blockrules/compromised-ips.txt</t>
        </is>
      </c>
      <c r="O1886" s="189" t="inlineStr">
        <is>
          <t>Block IP 116.110.216.172 at firewall | Emerging Threats compromised host</t>
        </is>
      </c>
      <c r="P1886" s="189" t="inlineStr">
        <is>
          <t>Network perimeter</t>
        </is>
      </c>
      <c r="Q1886" s="189" t="inlineStr">
        <is>
          <t>P3</t>
        </is>
      </c>
      <c r="R1886" s="189" t="inlineStr">
        <is>
          <t>🚫 Block IP at firewall immediately | 🔍 Check logs for existing connections | 🛡️ Add to threat intelligence blocklist</t>
        </is>
      </c>
      <c r="S1886" s="189" t="inlineStr">
        <is>
          <t>Check ip-api.com + AbuseIPDB for context</t>
        </is>
      </c>
      <c r="T1886" s="189" t="n">
        <v>0</v>
      </c>
      <c r="U1886" s="189" t="n">
        <v>0</v>
      </c>
      <c r="V1886" s="189" t="inlineStr">
        <is>
          <t>T1110:Brute Force | T1190:Exploit Public-Facing Application</t>
        </is>
      </c>
      <c r="W1886" s="189" t="n">
        <v>1</v>
      </c>
      <c r="X1886" s="189" t="inlineStr">
        <is>
          <t>LOW (40%)</t>
        </is>
      </c>
      <c r="Y1886" s="189" t="inlineStr">
        <is>
          <t>NONE</t>
        </is>
      </c>
      <c r="Z1886" s="189" t="inlineStr">
        <is>
          <t>NONE</t>
        </is>
      </c>
      <c r="AA1886" s="189" t="inlineStr">
        <is>
          <t>NONE</t>
        </is>
      </c>
      <c r="AB1886" s="189" t="inlineStr">
        <is>
          <t>NONE</t>
        </is>
      </c>
      <c r="AC1886" s="189" t="n">
        <v>0</v>
      </c>
      <c r="AD1886" s="189" t="n"/>
    </row>
    <row r="1887">
      <c r="A1887" s="189" t="inlineStr">
        <is>
          <t>EMERGING_THREAT_IP</t>
        </is>
      </c>
      <c r="B1887" s="189" t="inlineStr">
        <is>
          <t>741f130ffd54</t>
        </is>
      </c>
      <c r="C1887" s="189" t="inlineStr">
        <is>
          <t>Emerging Threats Compromised IP: 116.110.216.90 | Sources: EMERGING_THREATS</t>
        </is>
      </c>
      <c r="D1887" s="189" t="n">
        <v>6.5</v>
      </c>
      <c r="E1887" s="189" t="inlineStr">
        <is>
          <t>HIGH</t>
        </is>
      </c>
      <c r="F1887" s="189" t="n">
        <v>3</v>
      </c>
      <c r="G1887" s="189" t="n">
        <v>2</v>
      </c>
      <c r="H1887" s="189" t="inlineStr">
        <is>
          <t>HIGH</t>
        </is>
      </c>
      <c r="I1887" s="189" t="n">
        <v>12.5</v>
      </c>
      <c r="J1887" s="189" t="inlineStr">
        <is>
          <t>NO</t>
        </is>
      </c>
      <c r="K1887" s="190" t="inlineStr">
        <is>
          <t>https://rules.emergingthreats.net/</t>
        </is>
      </c>
      <c r="L1887" s="189" t="inlineStr">
        <is>
          <t>2026-02-23 23:48</t>
        </is>
      </c>
      <c r="M1887" s="189" t="inlineStr">
        <is>
          <t>Block IP</t>
        </is>
      </c>
      <c r="N1887" s="190" t="inlineStr">
        <is>
          <t>https://rules.emergingthreats.net/blockrules/compromised-ips.txt</t>
        </is>
      </c>
      <c r="O1887" s="189" t="inlineStr">
        <is>
          <t>Block IP 116.110.216.90 at firewall | Emerging Threats compromised host</t>
        </is>
      </c>
      <c r="P1887" s="189" t="inlineStr">
        <is>
          <t>Network perimeter</t>
        </is>
      </c>
      <c r="Q1887" s="189" t="inlineStr">
        <is>
          <t>P3</t>
        </is>
      </c>
      <c r="R1887" s="189" t="inlineStr">
        <is>
          <t>🚫 Block IP at firewall immediately | 🔍 Check logs for existing connections | 🛡️ Add to threat intelligence blocklist</t>
        </is>
      </c>
      <c r="S1887" s="189" t="inlineStr">
        <is>
          <t>Check ip-api.com + AbuseIPDB for context</t>
        </is>
      </c>
      <c r="T1887" s="189" t="n">
        <v>0</v>
      </c>
      <c r="U1887" s="189" t="n">
        <v>0</v>
      </c>
      <c r="V1887" s="189" t="inlineStr">
        <is>
          <t>T1110:Brute Force | T1190:Exploit Public-Facing Application</t>
        </is>
      </c>
      <c r="W1887" s="189" t="n">
        <v>1</v>
      </c>
      <c r="X1887" s="189" t="inlineStr">
        <is>
          <t>LOW (40%)</t>
        </is>
      </c>
      <c r="Y1887" s="189" t="inlineStr">
        <is>
          <t>NONE</t>
        </is>
      </c>
      <c r="Z1887" s="189" t="inlineStr">
        <is>
          <t>NONE</t>
        </is>
      </c>
      <c r="AA1887" s="189" t="inlineStr">
        <is>
          <t>NONE</t>
        </is>
      </c>
      <c r="AB1887" s="189" t="inlineStr">
        <is>
          <t>NONE</t>
        </is>
      </c>
      <c r="AC1887" s="189" t="n">
        <v>0</v>
      </c>
      <c r="AD1887" s="189" t="n"/>
    </row>
    <row r="1888">
      <c r="A1888" s="189" t="inlineStr">
        <is>
          <t>EMERGING_THREAT_IP</t>
        </is>
      </c>
      <c r="B1888" s="189" t="inlineStr">
        <is>
          <t>2c3b3e3a4769</t>
        </is>
      </c>
      <c r="C1888" s="189" t="inlineStr">
        <is>
          <t>Emerging Threats Compromised IP: 116.110.219.242 | Sources: EMERGING_THREATS</t>
        </is>
      </c>
      <c r="D1888" s="189" t="n">
        <v>6.5</v>
      </c>
      <c r="E1888" s="189" t="inlineStr">
        <is>
          <t>HIGH</t>
        </is>
      </c>
      <c r="F1888" s="189" t="n">
        <v>3</v>
      </c>
      <c r="G1888" s="189" t="n">
        <v>2</v>
      </c>
      <c r="H1888" s="189" t="inlineStr">
        <is>
          <t>HIGH</t>
        </is>
      </c>
      <c r="I1888" s="189" t="n">
        <v>12.5</v>
      </c>
      <c r="J1888" s="189" t="inlineStr">
        <is>
          <t>NO</t>
        </is>
      </c>
      <c r="K1888" s="190" t="inlineStr">
        <is>
          <t>https://rules.emergingthreats.net/</t>
        </is>
      </c>
      <c r="L1888" s="189" t="inlineStr">
        <is>
          <t>2026-02-23 23:48</t>
        </is>
      </c>
      <c r="M1888" s="189" t="inlineStr">
        <is>
          <t>Block IP</t>
        </is>
      </c>
      <c r="N1888" s="190" t="inlineStr">
        <is>
          <t>https://rules.emergingthreats.net/blockrules/compromised-ips.txt</t>
        </is>
      </c>
      <c r="O1888" s="189" t="inlineStr">
        <is>
          <t>Block IP 116.110.219.242 at firewall | Emerging Threats compromised host</t>
        </is>
      </c>
      <c r="P1888" s="189" t="inlineStr">
        <is>
          <t>Network perimeter</t>
        </is>
      </c>
      <c r="Q1888" s="189" t="inlineStr">
        <is>
          <t>P3</t>
        </is>
      </c>
      <c r="R1888" s="189" t="inlineStr">
        <is>
          <t>🚫 Block IP at firewall immediately | 🔍 Check logs for existing connections | 🛡️ Add to threat intelligence blocklist</t>
        </is>
      </c>
      <c r="S1888" s="189" t="inlineStr">
        <is>
          <t>Check ip-api.com + AbuseIPDB for context</t>
        </is>
      </c>
      <c r="T1888" s="189" t="n">
        <v>0</v>
      </c>
      <c r="U1888" s="189" t="n">
        <v>0</v>
      </c>
      <c r="V1888" s="189" t="inlineStr">
        <is>
          <t>T1110:Brute Force | T1190:Exploit Public-Facing Application</t>
        </is>
      </c>
      <c r="W1888" s="189" t="n">
        <v>1</v>
      </c>
      <c r="X1888" s="189" t="inlineStr">
        <is>
          <t>LOW (40%)</t>
        </is>
      </c>
      <c r="Y1888" s="189" t="inlineStr">
        <is>
          <t>NONE</t>
        </is>
      </c>
      <c r="Z1888" s="189" t="inlineStr">
        <is>
          <t>NONE</t>
        </is>
      </c>
      <c r="AA1888" s="189" t="inlineStr">
        <is>
          <t>NONE</t>
        </is>
      </c>
      <c r="AB1888" s="189" t="inlineStr">
        <is>
          <t>NONE</t>
        </is>
      </c>
      <c r="AC1888" s="189" t="n">
        <v>0</v>
      </c>
      <c r="AD1888" s="189" t="n"/>
    </row>
    <row r="1889">
      <c r="A1889" s="189" t="inlineStr">
        <is>
          <t>EMERGING_THREAT_IP</t>
        </is>
      </c>
      <c r="B1889" s="189" t="inlineStr">
        <is>
          <t>b9f47db259aa</t>
        </is>
      </c>
      <c r="C1889" s="189" t="inlineStr">
        <is>
          <t>Emerging Threats Compromised IP: 116.110.223.148 | Sources: EMERGING_THREATS</t>
        </is>
      </c>
      <c r="D1889" s="189" t="n">
        <v>6.5</v>
      </c>
      <c r="E1889" s="189" t="inlineStr">
        <is>
          <t>HIGH</t>
        </is>
      </c>
      <c r="F1889" s="189" t="n">
        <v>3</v>
      </c>
      <c r="G1889" s="189" t="n">
        <v>2</v>
      </c>
      <c r="H1889" s="189" t="inlineStr">
        <is>
          <t>HIGH</t>
        </is>
      </c>
      <c r="I1889" s="189" t="n">
        <v>12.5</v>
      </c>
      <c r="J1889" s="189" t="inlineStr">
        <is>
          <t>NO</t>
        </is>
      </c>
      <c r="K1889" s="190" t="inlineStr">
        <is>
          <t>https://rules.emergingthreats.net/</t>
        </is>
      </c>
      <c r="L1889" s="189" t="inlineStr">
        <is>
          <t>2026-02-23 23:48</t>
        </is>
      </c>
      <c r="M1889" s="189" t="inlineStr">
        <is>
          <t>Block IP</t>
        </is>
      </c>
      <c r="N1889" s="190" t="inlineStr">
        <is>
          <t>https://rules.emergingthreats.net/blockrules/compromised-ips.txt</t>
        </is>
      </c>
      <c r="O1889" s="189" t="inlineStr">
        <is>
          <t>Block IP 116.110.223.148 at firewall | Emerging Threats compromised host</t>
        </is>
      </c>
      <c r="P1889" s="189" t="inlineStr">
        <is>
          <t>Network perimeter</t>
        </is>
      </c>
      <c r="Q1889" s="189" t="inlineStr">
        <is>
          <t>P3</t>
        </is>
      </c>
      <c r="R1889" s="189" t="inlineStr">
        <is>
          <t>🚫 Block IP at firewall immediately | 🔍 Check logs for existing connections | 🛡️ Add to threat intelligence blocklist</t>
        </is>
      </c>
      <c r="S1889" s="189" t="inlineStr">
        <is>
          <t>Check ip-api.com + AbuseIPDB for context</t>
        </is>
      </c>
      <c r="T1889" s="189" t="n">
        <v>0</v>
      </c>
      <c r="U1889" s="189" t="n">
        <v>0</v>
      </c>
      <c r="V1889" s="189" t="inlineStr">
        <is>
          <t>T1110:Brute Force | T1190:Exploit Public-Facing Application</t>
        </is>
      </c>
      <c r="W1889" s="189" t="n">
        <v>1</v>
      </c>
      <c r="X1889" s="189" t="inlineStr">
        <is>
          <t>LOW (40%)</t>
        </is>
      </c>
      <c r="Y1889" s="189" t="inlineStr">
        <is>
          <t>NONE</t>
        </is>
      </c>
      <c r="Z1889" s="189" t="inlineStr">
        <is>
          <t>NONE</t>
        </is>
      </c>
      <c r="AA1889" s="189" t="inlineStr">
        <is>
          <t>NONE</t>
        </is>
      </c>
      <c r="AB1889" s="189" t="inlineStr">
        <is>
          <t>NONE</t>
        </is>
      </c>
      <c r="AC1889" s="189" t="n">
        <v>0</v>
      </c>
      <c r="AD1889" s="189" t="n"/>
    </row>
    <row r="1890">
      <c r="A1890" s="189" t="inlineStr">
        <is>
          <t>EMERGING_THREAT_IP</t>
        </is>
      </c>
      <c r="B1890" s="189" t="inlineStr">
        <is>
          <t>71db8c4ea4f5</t>
        </is>
      </c>
      <c r="C1890" s="189" t="inlineStr">
        <is>
          <t>Emerging Threats Compromised IP: 116.110.7.17 | Sources: EMERGING_THREATS</t>
        </is>
      </c>
      <c r="D1890" s="189" t="n">
        <v>6.5</v>
      </c>
      <c r="E1890" s="189" t="inlineStr">
        <is>
          <t>HIGH</t>
        </is>
      </c>
      <c r="F1890" s="189" t="n">
        <v>3</v>
      </c>
      <c r="G1890" s="189" t="n">
        <v>2</v>
      </c>
      <c r="H1890" s="189" t="inlineStr">
        <is>
          <t>HIGH</t>
        </is>
      </c>
      <c r="I1890" s="189" t="n">
        <v>12.5</v>
      </c>
      <c r="J1890" s="189" t="inlineStr">
        <is>
          <t>NO</t>
        </is>
      </c>
      <c r="K1890" s="190" t="inlineStr">
        <is>
          <t>https://rules.emergingthreats.net/</t>
        </is>
      </c>
      <c r="L1890" s="189" t="inlineStr">
        <is>
          <t>2026-02-23 23:48</t>
        </is>
      </c>
      <c r="M1890" s="189" t="inlineStr">
        <is>
          <t>Block IP</t>
        </is>
      </c>
      <c r="N1890" s="190" t="inlineStr">
        <is>
          <t>https://rules.emergingthreats.net/blockrules/compromised-ips.txt</t>
        </is>
      </c>
      <c r="O1890" s="189" t="inlineStr">
        <is>
          <t>Block IP 116.110.7.17 at firewall | Emerging Threats compromised host</t>
        </is>
      </c>
      <c r="P1890" s="189" t="inlineStr">
        <is>
          <t>Network perimeter</t>
        </is>
      </c>
      <c r="Q1890" s="189" t="inlineStr">
        <is>
          <t>P3</t>
        </is>
      </c>
      <c r="R1890" s="189" t="inlineStr">
        <is>
          <t>🚫 Block IP at firewall immediately | 🔍 Check logs for existing connections | 🛡️ Add to threat intelligence blocklist</t>
        </is>
      </c>
      <c r="S1890" s="189" t="inlineStr">
        <is>
          <t>Check ip-api.com + AbuseIPDB for context</t>
        </is>
      </c>
      <c r="T1890" s="189" t="n">
        <v>0</v>
      </c>
      <c r="U1890" s="189" t="n">
        <v>0</v>
      </c>
      <c r="V1890" s="189" t="inlineStr">
        <is>
          <t>T1110:Brute Force | T1190:Exploit Public-Facing Application</t>
        </is>
      </c>
      <c r="W1890" s="189" t="n">
        <v>1</v>
      </c>
      <c r="X1890" s="189" t="inlineStr">
        <is>
          <t>LOW (40%)</t>
        </is>
      </c>
      <c r="Y1890" s="189" t="inlineStr">
        <is>
          <t>NONE</t>
        </is>
      </c>
      <c r="Z1890" s="189" t="inlineStr">
        <is>
          <t>NONE</t>
        </is>
      </c>
      <c r="AA1890" s="189" t="inlineStr">
        <is>
          <t>NONE</t>
        </is>
      </c>
      <c r="AB1890" s="189" t="inlineStr">
        <is>
          <t>NONE</t>
        </is>
      </c>
      <c r="AC1890" s="189" t="n">
        <v>0</v>
      </c>
      <c r="AD1890" s="189" t="n"/>
    </row>
    <row r="1891">
      <c r="A1891" s="189" t="inlineStr">
        <is>
          <t>EMERGING_THREAT_IP</t>
        </is>
      </c>
      <c r="B1891" s="189" t="inlineStr">
        <is>
          <t>33514d4a34eb</t>
        </is>
      </c>
      <c r="C1891" s="189" t="inlineStr">
        <is>
          <t>Emerging Threats Compromised IP: 116.99.170.172 | Sources: EMERGING_THREATS</t>
        </is>
      </c>
      <c r="D1891" s="189" t="n">
        <v>6.5</v>
      </c>
      <c r="E1891" s="189" t="inlineStr">
        <is>
          <t>HIGH</t>
        </is>
      </c>
      <c r="F1891" s="189" t="n">
        <v>3</v>
      </c>
      <c r="G1891" s="189" t="n">
        <v>2</v>
      </c>
      <c r="H1891" s="189" t="inlineStr">
        <is>
          <t>HIGH</t>
        </is>
      </c>
      <c r="I1891" s="189" t="n">
        <v>12.5</v>
      </c>
      <c r="J1891" s="189" t="inlineStr">
        <is>
          <t>NO</t>
        </is>
      </c>
      <c r="K1891" s="190" t="inlineStr">
        <is>
          <t>https://rules.emergingthreats.net/</t>
        </is>
      </c>
      <c r="L1891" s="189" t="inlineStr">
        <is>
          <t>2026-02-23 23:48</t>
        </is>
      </c>
      <c r="M1891" s="189" t="inlineStr">
        <is>
          <t>Block IP</t>
        </is>
      </c>
      <c r="N1891" s="190" t="inlineStr">
        <is>
          <t>https://rules.emergingthreats.net/blockrules/compromised-ips.txt</t>
        </is>
      </c>
      <c r="O1891" s="189" t="inlineStr">
        <is>
          <t>Block IP 116.99.170.172 at firewall | Emerging Threats compromised host</t>
        </is>
      </c>
      <c r="P1891" s="189" t="inlineStr">
        <is>
          <t>Network perimeter</t>
        </is>
      </c>
      <c r="Q1891" s="189" t="inlineStr">
        <is>
          <t>P3</t>
        </is>
      </c>
      <c r="R1891" s="189" t="inlineStr">
        <is>
          <t>🚫 Block IP at firewall immediately | 🔍 Check logs for existing connections | 🛡️ Add to threat intelligence blocklist</t>
        </is>
      </c>
      <c r="S1891" s="189" t="inlineStr">
        <is>
          <t>Check ip-api.com + AbuseIPDB for context</t>
        </is>
      </c>
      <c r="T1891" s="189" t="n">
        <v>0</v>
      </c>
      <c r="U1891" s="189" t="n">
        <v>0</v>
      </c>
      <c r="V1891" s="189" t="inlineStr">
        <is>
          <t>T1110:Brute Force | T1190:Exploit Public-Facing Application</t>
        </is>
      </c>
      <c r="W1891" s="189" t="n">
        <v>1</v>
      </c>
      <c r="X1891" s="189" t="inlineStr">
        <is>
          <t>LOW (40%)</t>
        </is>
      </c>
      <c r="Y1891" s="189" t="inlineStr">
        <is>
          <t>NONE</t>
        </is>
      </c>
      <c r="Z1891" s="189" t="inlineStr">
        <is>
          <t>NONE</t>
        </is>
      </c>
      <c r="AA1891" s="189" t="inlineStr">
        <is>
          <t>NONE</t>
        </is>
      </c>
      <c r="AB1891" s="189" t="inlineStr">
        <is>
          <t>NONE</t>
        </is>
      </c>
      <c r="AC1891" s="189" t="n">
        <v>0</v>
      </c>
      <c r="AD1891" s="189" t="n"/>
    </row>
    <row r="1892">
      <c r="A1892" s="189" t="inlineStr">
        <is>
          <t>EMERGING_THREAT_IP</t>
        </is>
      </c>
      <c r="B1892" s="189" t="inlineStr">
        <is>
          <t>bd4807c36a33</t>
        </is>
      </c>
      <c r="C1892" s="189" t="inlineStr">
        <is>
          <t>Emerging Threats Compromised IP: 116.99.170.215 | Sources: EMERGING_THREATS</t>
        </is>
      </c>
      <c r="D1892" s="189" t="n">
        <v>6.5</v>
      </c>
      <c r="E1892" s="189" t="inlineStr">
        <is>
          <t>HIGH</t>
        </is>
      </c>
      <c r="F1892" s="189" t="n">
        <v>3</v>
      </c>
      <c r="G1892" s="189" t="n">
        <v>2</v>
      </c>
      <c r="H1892" s="189" t="inlineStr">
        <is>
          <t>HIGH</t>
        </is>
      </c>
      <c r="I1892" s="189" t="n">
        <v>12.5</v>
      </c>
      <c r="J1892" s="189" t="inlineStr">
        <is>
          <t>NO</t>
        </is>
      </c>
      <c r="K1892" s="190" t="inlineStr">
        <is>
          <t>https://rules.emergingthreats.net/</t>
        </is>
      </c>
      <c r="L1892" s="189" t="inlineStr">
        <is>
          <t>2026-02-23 23:48</t>
        </is>
      </c>
      <c r="M1892" s="189" t="inlineStr">
        <is>
          <t>Block IP</t>
        </is>
      </c>
      <c r="N1892" s="190" t="inlineStr">
        <is>
          <t>https://rules.emergingthreats.net/blockrules/compromised-ips.txt</t>
        </is>
      </c>
      <c r="O1892" s="189" t="inlineStr">
        <is>
          <t>Block IP 116.99.170.215 at firewall | Emerging Threats compromised host</t>
        </is>
      </c>
      <c r="P1892" s="189" t="inlineStr">
        <is>
          <t>Network perimeter</t>
        </is>
      </c>
      <c r="Q1892" s="189" t="inlineStr">
        <is>
          <t>P3</t>
        </is>
      </c>
      <c r="R1892" s="189" t="inlineStr">
        <is>
          <t>🚫 Block IP at firewall immediately | 🔍 Check logs for existing connections | 🛡️ Add to threat intelligence blocklist</t>
        </is>
      </c>
      <c r="S1892" s="189" t="inlineStr">
        <is>
          <t>Check ip-api.com + AbuseIPDB for context</t>
        </is>
      </c>
      <c r="T1892" s="189" t="n">
        <v>0</v>
      </c>
      <c r="U1892" s="189" t="n">
        <v>0</v>
      </c>
      <c r="V1892" s="189" t="inlineStr">
        <is>
          <t>T1110:Brute Force | T1190:Exploit Public-Facing Application</t>
        </is>
      </c>
      <c r="W1892" s="189" t="n">
        <v>1</v>
      </c>
      <c r="X1892" s="189" t="inlineStr">
        <is>
          <t>LOW (40%)</t>
        </is>
      </c>
      <c r="Y1892" s="189" t="inlineStr">
        <is>
          <t>NONE</t>
        </is>
      </c>
      <c r="Z1892" s="189" t="inlineStr">
        <is>
          <t>NONE</t>
        </is>
      </c>
      <c r="AA1892" s="189" t="inlineStr">
        <is>
          <t>NONE</t>
        </is>
      </c>
      <c r="AB1892" s="189" t="inlineStr">
        <is>
          <t>NONE</t>
        </is>
      </c>
      <c r="AC1892" s="189" t="n">
        <v>0</v>
      </c>
      <c r="AD1892" s="189" t="n"/>
    </row>
    <row r="1893">
      <c r="A1893" s="189" t="inlineStr">
        <is>
          <t>EMERGING_THREAT_IP</t>
        </is>
      </c>
      <c r="B1893" s="189" t="inlineStr">
        <is>
          <t>658d2458784d</t>
        </is>
      </c>
      <c r="C1893" s="189" t="inlineStr">
        <is>
          <t>Emerging Threats Compromised IP: 116.99.170.58 | Sources: EMERGING_THREATS</t>
        </is>
      </c>
      <c r="D1893" s="189" t="n">
        <v>6.5</v>
      </c>
      <c r="E1893" s="189" t="inlineStr">
        <is>
          <t>HIGH</t>
        </is>
      </c>
      <c r="F1893" s="189" t="n">
        <v>3</v>
      </c>
      <c r="G1893" s="189" t="n">
        <v>2</v>
      </c>
      <c r="H1893" s="189" t="inlineStr">
        <is>
          <t>HIGH</t>
        </is>
      </c>
      <c r="I1893" s="189" t="n">
        <v>12.5</v>
      </c>
      <c r="J1893" s="189" t="inlineStr">
        <is>
          <t>NO</t>
        </is>
      </c>
      <c r="K1893" s="190" t="inlineStr">
        <is>
          <t>https://rules.emergingthreats.net/</t>
        </is>
      </c>
      <c r="L1893" s="189" t="inlineStr">
        <is>
          <t>2026-02-23 23:48</t>
        </is>
      </c>
      <c r="M1893" s="189" t="inlineStr">
        <is>
          <t>Block IP</t>
        </is>
      </c>
      <c r="N1893" s="190" t="inlineStr">
        <is>
          <t>https://rules.emergingthreats.net/blockrules/compromised-ips.txt</t>
        </is>
      </c>
      <c r="O1893" s="189" t="inlineStr">
        <is>
          <t>Block IP 116.99.170.58 at firewall | Emerging Threats compromised host</t>
        </is>
      </c>
      <c r="P1893" s="189" t="inlineStr">
        <is>
          <t>Network perimeter</t>
        </is>
      </c>
      <c r="Q1893" s="189" t="inlineStr">
        <is>
          <t>P3</t>
        </is>
      </c>
      <c r="R1893" s="189" t="inlineStr">
        <is>
          <t>🚫 Block IP at firewall immediately | 🔍 Check logs for existing connections | 🛡️ Add to threat intelligence blocklist</t>
        </is>
      </c>
      <c r="S1893" s="189" t="inlineStr">
        <is>
          <t>Check ip-api.com + AbuseIPDB for context</t>
        </is>
      </c>
      <c r="T1893" s="189" t="n">
        <v>0</v>
      </c>
      <c r="U1893" s="189" t="n">
        <v>0</v>
      </c>
      <c r="V1893" s="189" t="inlineStr">
        <is>
          <t>T1110:Brute Force | T1190:Exploit Public-Facing Application</t>
        </is>
      </c>
      <c r="W1893" s="189" t="n">
        <v>1</v>
      </c>
      <c r="X1893" s="189" t="inlineStr">
        <is>
          <t>LOW (40%)</t>
        </is>
      </c>
      <c r="Y1893" s="189" t="inlineStr">
        <is>
          <t>NONE</t>
        </is>
      </c>
      <c r="Z1893" s="189" t="inlineStr">
        <is>
          <t>NONE</t>
        </is>
      </c>
      <c r="AA1893" s="189" t="inlineStr">
        <is>
          <t>NONE</t>
        </is>
      </c>
      <c r="AB1893" s="189" t="inlineStr">
        <is>
          <t>NONE</t>
        </is>
      </c>
      <c r="AC1893" s="189" t="n">
        <v>0</v>
      </c>
      <c r="AD1893" s="189" t="n"/>
    </row>
    <row r="1894">
      <c r="A1894" s="189" t="inlineStr">
        <is>
          <t>EMERGING_THREAT_IP</t>
        </is>
      </c>
      <c r="B1894" s="189" t="inlineStr">
        <is>
          <t>beb0e9d4d7ce</t>
        </is>
      </c>
      <c r="C1894" s="189" t="inlineStr">
        <is>
          <t>Emerging Threats Compromised IP: 116.99.171.201 | Sources: EMERGING_THREATS</t>
        </is>
      </c>
      <c r="D1894" s="189" t="n">
        <v>6.5</v>
      </c>
      <c r="E1894" s="189" t="inlineStr">
        <is>
          <t>HIGH</t>
        </is>
      </c>
      <c r="F1894" s="189" t="n">
        <v>3</v>
      </c>
      <c r="G1894" s="189" t="n">
        <v>2</v>
      </c>
      <c r="H1894" s="189" t="inlineStr">
        <is>
          <t>HIGH</t>
        </is>
      </c>
      <c r="I1894" s="189" t="n">
        <v>12.5</v>
      </c>
      <c r="J1894" s="189" t="inlineStr">
        <is>
          <t>NO</t>
        </is>
      </c>
      <c r="K1894" s="190" t="inlineStr">
        <is>
          <t>https://rules.emergingthreats.net/</t>
        </is>
      </c>
      <c r="L1894" s="189" t="inlineStr">
        <is>
          <t>2026-02-23 23:48</t>
        </is>
      </c>
      <c r="M1894" s="189" t="inlineStr">
        <is>
          <t>Block IP</t>
        </is>
      </c>
      <c r="N1894" s="190" t="inlineStr">
        <is>
          <t>https://rules.emergingthreats.net/blockrules/compromised-ips.txt</t>
        </is>
      </c>
      <c r="O1894" s="189" t="inlineStr">
        <is>
          <t>Block IP 116.99.171.201 at firewall | Emerging Threats compromised host</t>
        </is>
      </c>
      <c r="P1894" s="189" t="inlineStr">
        <is>
          <t>Network perimeter</t>
        </is>
      </c>
      <c r="Q1894" s="189" t="inlineStr">
        <is>
          <t>P3</t>
        </is>
      </c>
      <c r="R1894" s="189" t="inlineStr">
        <is>
          <t>🚫 Block IP at firewall immediately | 🔍 Check logs for existing connections | 🛡️ Add to threat intelligence blocklist</t>
        </is>
      </c>
      <c r="S1894" s="189" t="inlineStr">
        <is>
          <t>Check ip-api.com + AbuseIPDB for context</t>
        </is>
      </c>
      <c r="T1894" s="189" t="n">
        <v>0</v>
      </c>
      <c r="U1894" s="189" t="n">
        <v>0</v>
      </c>
      <c r="V1894" s="189" t="inlineStr">
        <is>
          <t>T1110:Brute Force | T1190:Exploit Public-Facing Application</t>
        </is>
      </c>
      <c r="W1894" s="189" t="n">
        <v>1</v>
      </c>
      <c r="X1894" s="189" t="inlineStr">
        <is>
          <t>LOW (40%)</t>
        </is>
      </c>
      <c r="Y1894" s="189" t="inlineStr">
        <is>
          <t>NONE</t>
        </is>
      </c>
      <c r="Z1894" s="189" t="inlineStr">
        <is>
          <t>NONE</t>
        </is>
      </c>
      <c r="AA1894" s="189" t="inlineStr">
        <is>
          <t>NONE</t>
        </is>
      </c>
      <c r="AB1894" s="189" t="inlineStr">
        <is>
          <t>NONE</t>
        </is>
      </c>
      <c r="AC1894" s="189" t="n">
        <v>0</v>
      </c>
      <c r="AD1894" s="189" t="n"/>
    </row>
    <row r="1895">
      <c r="A1895" s="189" t="inlineStr">
        <is>
          <t>VULNCHECK_KEV</t>
        </is>
      </c>
      <c r="B1895" s="189" t="inlineStr">
        <is>
          <t>f708391a9e44</t>
        </is>
      </c>
      <c r="C1895" s="189" t="inlineStr">
        <is>
          <t>VulnCheck KEV: Fortinet FortiOS through 7.6.6 allows attackers to decrypt LDAP credentials stored in device configuration files, as exploited in the wild from 2025-12-16 through 2026 (by default, the encryption key is the same across all customers' installations). NOTE: the Supplier's position is that the instance | CVEs: CVE-2026-25815</t>
        </is>
      </c>
      <c r="D1895" s="189" t="n">
        <v>7</v>
      </c>
      <c r="E1895" s="189" t="inlineStr">
        <is>
          <t>HIGH</t>
        </is>
      </c>
      <c r="F1895" s="189" t="n">
        <v>3</v>
      </c>
      <c r="G1895" s="189" t="n">
        <v>2</v>
      </c>
      <c r="H1895" s="189" t="inlineStr">
        <is>
          <t>HIGH</t>
        </is>
      </c>
      <c r="I1895" s="189" t="n">
        <v>13</v>
      </c>
      <c r="J1895" s="189" t="inlineStr">
        <is>
          <t>YES</t>
        </is>
      </c>
      <c r="K1895" s="190" t="inlineStr">
        <is>
          <t>https://vulncheck.com/blog/vuln-check-kev</t>
        </is>
      </c>
      <c r="L1895" s="189" t="n"/>
      <c r="M1895" s="189" t="inlineStr">
        <is>
          <t>URGENT - actively exploited</t>
        </is>
      </c>
      <c r="N1895" s="190" t="inlineStr">
        <is>
          <t>https://vulncheck.com/blog/vuln-check-kev</t>
        </is>
      </c>
      <c r="O1895" s="189" t="inlineStr">
        <is>
          <t>Patch immediately - known exploited</t>
        </is>
      </c>
      <c r="P1895" s="189" t="inlineStr">
        <is>
          <t>CVE-2026-25815</t>
        </is>
      </c>
      <c r="Q1895" s="189" t="inlineStr">
        <is>
          <t>P1</t>
        </is>
      </c>
      <c r="R1895" s="189" t="inlineStr">
        <is>
          <t>🔍 Investigate and apply appropriate controls</t>
        </is>
      </c>
      <c r="S1895" s="189" t="inlineStr">
        <is>
          <t>KEV entry - check specific CVEs for IP context</t>
        </is>
      </c>
      <c r="T1895" s="189" t="n">
        <v>0</v>
      </c>
      <c r="U1895" s="189" t="n">
        <v>0</v>
      </c>
      <c r="V1895" s="189" t="inlineStr">
        <is>
          <t>T1190:Exploit Public-Facing Application</t>
        </is>
      </c>
      <c r="W1895" s="189" t="n">
        <v>2</v>
      </c>
      <c r="X1895" s="189" t="inlineStr">
        <is>
          <t>CONFIRMED (82%)</t>
        </is>
      </c>
      <c r="Y1895" s="189" t="inlineStr">
        <is>
          <t>YES</t>
        </is>
      </c>
      <c r="Z1895" s="189" t="inlineStr">
        <is>
          <t>URGENT</t>
        </is>
      </c>
      <c r="AA1895" s="190" t="inlineStr">
        <is>
          <t>https://vulncheck.com/blog/vuln-check-kev</t>
        </is>
      </c>
      <c r="AB1895" s="189" t="inlineStr">
        <is>
          <t>NONE</t>
        </is>
      </c>
      <c r="AC1895" s="189" t="n">
        <v>0</v>
      </c>
      <c r="AD1895" s="189" t="n"/>
    </row>
    <row r="1896">
      <c r="A1896" s="189" t="inlineStr">
        <is>
          <t>VULNCHECK_KEV</t>
        </is>
      </c>
      <c r="B1896" s="189" t="inlineStr">
        <is>
          <t>b090c6c9d65f</t>
        </is>
      </c>
      <c r="C1896" s="189" t="inlineStr">
        <is>
          <t>VulnCheck KEV: OpenClaw (aka clawdbot or Moltbot) before 2026.1.29 obtains a gatewayUrl value from a query string and automatically makes a WebSocket connection without prompting, sending a token value. | CVEs: CVE-2026-25253</t>
        </is>
      </c>
      <c r="D1896" s="189" t="n">
        <v>7</v>
      </c>
      <c r="E1896" s="189" t="inlineStr">
        <is>
          <t>HIGH</t>
        </is>
      </c>
      <c r="F1896" s="189" t="n">
        <v>3</v>
      </c>
      <c r="G1896" s="189" t="n">
        <v>2</v>
      </c>
      <c r="H1896" s="189" t="inlineStr">
        <is>
          <t>HIGH</t>
        </is>
      </c>
      <c r="I1896" s="189" t="n">
        <v>13</v>
      </c>
      <c r="J1896" s="189" t="inlineStr">
        <is>
          <t>YES</t>
        </is>
      </c>
      <c r="K1896" s="190" t="inlineStr">
        <is>
          <t>https://vulncheck.com/blog/vuln-check-kev</t>
        </is>
      </c>
      <c r="L1896" s="189" t="n"/>
      <c r="M1896" s="189" t="inlineStr">
        <is>
          <t>URGENT - actively exploited</t>
        </is>
      </c>
      <c r="N1896" s="190" t="inlineStr">
        <is>
          <t>https://vulncheck.com/blog/vuln-check-kev</t>
        </is>
      </c>
      <c r="O1896" s="189" t="inlineStr">
        <is>
          <t>Patch immediately - known exploited</t>
        </is>
      </c>
      <c r="P1896" s="189" t="inlineStr">
        <is>
          <t>CVE-2026-25253</t>
        </is>
      </c>
      <c r="Q1896" s="189" t="inlineStr">
        <is>
          <t>P1</t>
        </is>
      </c>
      <c r="R1896" s="189" t="inlineStr">
        <is>
          <t>🔍 Investigate and apply appropriate controls</t>
        </is>
      </c>
      <c r="S1896" s="189" t="inlineStr">
        <is>
          <t>KEV entry - check specific CVEs for IP context</t>
        </is>
      </c>
      <c r="T1896" s="189" t="n">
        <v>0</v>
      </c>
      <c r="U1896" s="189" t="n">
        <v>0</v>
      </c>
      <c r="V1896" s="189" t="inlineStr">
        <is>
          <t>T1190:Exploit Public-Facing Application</t>
        </is>
      </c>
      <c r="W1896" s="189" t="n">
        <v>2</v>
      </c>
      <c r="X1896" s="189" t="inlineStr">
        <is>
          <t>CONFIRMED (82%)</t>
        </is>
      </c>
      <c r="Y1896" s="189" t="inlineStr">
        <is>
          <t>YES</t>
        </is>
      </c>
      <c r="Z1896" s="189" t="inlineStr">
        <is>
          <t>URGENT</t>
        </is>
      </c>
      <c r="AA1896" s="190" t="inlineStr">
        <is>
          <t>https://vulncheck.com/blog/vuln-check-kev</t>
        </is>
      </c>
      <c r="AB1896" s="189" t="inlineStr">
        <is>
          <t>NONE</t>
        </is>
      </c>
      <c r="AC1896" s="189" t="n">
        <v>0</v>
      </c>
      <c r="AD1896" s="189" t="n"/>
    </row>
    <row r="1897">
      <c r="A1897" s="189" t="inlineStr">
        <is>
          <t>VULNCHECK_KEV</t>
        </is>
      </c>
      <c r="B1897" s="189" t="inlineStr">
        <is>
          <t>cee91b1f674c</t>
        </is>
      </c>
      <c r="C1897" s="189" t="inlineStr">
        <is>
          <t>VulnCheck KEV: FileZen contains an OS command injection vulnerability. When FileZen Antivirus Check Option is enabled, a logged-in user may send a specially crafted HTTP request to execute an arbitrary OS command. | CVEs: CVE-2026-25108</t>
        </is>
      </c>
      <c r="D1897" s="189" t="n">
        <v>7</v>
      </c>
      <c r="E1897" s="189" t="inlineStr">
        <is>
          <t>HIGH</t>
        </is>
      </c>
      <c r="F1897" s="189" t="n">
        <v>3</v>
      </c>
      <c r="G1897" s="189" t="n">
        <v>2</v>
      </c>
      <c r="H1897" s="189" t="inlineStr">
        <is>
          <t>HIGH</t>
        </is>
      </c>
      <c r="I1897" s="189" t="n">
        <v>13</v>
      </c>
      <c r="J1897" s="189" t="inlineStr">
        <is>
          <t>YES</t>
        </is>
      </c>
      <c r="K1897" s="190" t="inlineStr">
        <is>
          <t>https://vulncheck.com/blog/vuln-check-kev</t>
        </is>
      </c>
      <c r="L1897" s="189" t="n"/>
      <c r="M1897" s="189" t="inlineStr">
        <is>
          <t>URGENT - actively exploited</t>
        </is>
      </c>
      <c r="N1897" s="190" t="inlineStr">
        <is>
          <t>https://vulncheck.com/blog/vuln-check-kev</t>
        </is>
      </c>
      <c r="O1897" s="189" t="inlineStr">
        <is>
          <t>Patch immediately - known exploited</t>
        </is>
      </c>
      <c r="P1897" s="189" t="inlineStr">
        <is>
          <t>CVE-2026-25108</t>
        </is>
      </c>
      <c r="Q1897" s="189" t="inlineStr">
        <is>
          <t>P1</t>
        </is>
      </c>
      <c r="R1897" s="189" t="inlineStr">
        <is>
          <t>🔍 Investigate and apply appropriate controls</t>
        </is>
      </c>
      <c r="S1897" s="189" t="inlineStr">
        <is>
          <t>KEV entry - check specific CVEs for IP context</t>
        </is>
      </c>
      <c r="T1897" s="189" t="n">
        <v>0</v>
      </c>
      <c r="U1897" s="189" t="n">
        <v>0</v>
      </c>
      <c r="V1897" s="189" t="inlineStr">
        <is>
          <t>T1190:Exploit Public-Facing Application</t>
        </is>
      </c>
      <c r="W1897" s="189" t="n">
        <v>2</v>
      </c>
      <c r="X1897" s="189" t="inlineStr">
        <is>
          <t>CONFIRMED (82%)</t>
        </is>
      </c>
      <c r="Y1897" s="189" t="inlineStr">
        <is>
          <t>YES</t>
        </is>
      </c>
      <c r="Z1897" s="189" t="inlineStr">
        <is>
          <t>URGENT</t>
        </is>
      </c>
      <c r="AA1897" s="190" t="inlineStr">
        <is>
          <t>https://vulncheck.com/blog/vuln-check-kev</t>
        </is>
      </c>
      <c r="AB1897" s="189" t="inlineStr">
        <is>
          <t>NONE</t>
        </is>
      </c>
      <c r="AC1897" s="189" t="n">
        <v>0</v>
      </c>
      <c r="AD1897" s="189" t="n"/>
    </row>
    <row r="1898">
      <c r="A1898" s="189" t="inlineStr">
        <is>
          <t>VULNCHECK_KEV</t>
        </is>
      </c>
      <c r="B1898" s="189" t="inlineStr">
        <is>
          <t>5b14f44ef18f</t>
        </is>
      </c>
      <c r="C1898" s="189" t="inlineStr">
        <is>
          <t>VulnCheck KEV: Fortinet FortiAnalyzer, FortiManager, FortiOS, and FortiProxy contain an authentication bypass using an alternate path or channel that could allow an attacker with a FortiCloud account and a registered device to log into other devices registered to other accounts, if FortiCloud SSO authentication is | CVEs: CVE-2026-24858</t>
        </is>
      </c>
      <c r="D1898" s="189" t="n">
        <v>7</v>
      </c>
      <c r="E1898" s="189" t="inlineStr">
        <is>
          <t>HIGH</t>
        </is>
      </c>
      <c r="F1898" s="189" t="n">
        <v>3</v>
      </c>
      <c r="G1898" s="189" t="n">
        <v>2</v>
      </c>
      <c r="H1898" s="189" t="inlineStr">
        <is>
          <t>HIGH</t>
        </is>
      </c>
      <c r="I1898" s="189" t="n">
        <v>13</v>
      </c>
      <c r="J1898" s="189" t="inlineStr">
        <is>
          <t>YES</t>
        </is>
      </c>
      <c r="K1898" s="190" t="inlineStr">
        <is>
          <t>https://vulncheck.com/blog/vuln-check-kev</t>
        </is>
      </c>
      <c r="L1898" s="189" t="n"/>
      <c r="M1898" s="189" t="inlineStr">
        <is>
          <t>URGENT - actively exploited</t>
        </is>
      </c>
      <c r="N1898" s="190" t="inlineStr">
        <is>
          <t>https://vulncheck.com/blog/vuln-check-kev</t>
        </is>
      </c>
      <c r="O1898" s="189" t="inlineStr">
        <is>
          <t>Patch immediately - known exploited</t>
        </is>
      </c>
      <c r="P1898" s="189" t="inlineStr">
        <is>
          <t>CVE-2026-24858</t>
        </is>
      </c>
      <c r="Q1898" s="189" t="inlineStr">
        <is>
          <t>P1</t>
        </is>
      </c>
      <c r="R1898" s="189" t="inlineStr">
        <is>
          <t>🔍 Investigate and apply appropriate controls</t>
        </is>
      </c>
      <c r="S1898" s="189" t="inlineStr">
        <is>
          <t>KEV entry - check specific CVEs for IP context</t>
        </is>
      </c>
      <c r="T1898" s="189" t="n">
        <v>0</v>
      </c>
      <c r="U1898" s="189" t="n">
        <v>0</v>
      </c>
      <c r="V1898" s="189" t="inlineStr">
        <is>
          <t>T1190:Exploit Public-Facing Application</t>
        </is>
      </c>
      <c r="W1898" s="189" t="n">
        <v>2</v>
      </c>
      <c r="X1898" s="189" t="inlineStr">
        <is>
          <t>CONFIRMED (82%)</t>
        </is>
      </c>
      <c r="Y1898" s="189" t="inlineStr">
        <is>
          <t>YES</t>
        </is>
      </c>
      <c r="Z1898" s="189" t="inlineStr">
        <is>
          <t>URGENT</t>
        </is>
      </c>
      <c r="AA1898" s="190" t="inlineStr">
        <is>
          <t>https://vulncheck.com/blog/vuln-check-kev</t>
        </is>
      </c>
      <c r="AB1898" s="189" t="inlineStr">
        <is>
          <t>NONE</t>
        </is>
      </c>
      <c r="AC1898" s="189" t="n">
        <v>0</v>
      </c>
      <c r="AD1898" s="189" t="n"/>
    </row>
    <row r="1899">
      <c r="A1899" s="189" t="inlineStr">
        <is>
          <t>VULNCHECK_KEV</t>
        </is>
      </c>
      <c r="B1899" s="189" t="inlineStr">
        <is>
          <t>7216a4375bca</t>
        </is>
      </c>
      <c r="C1899" s="189" t="inlineStr">
        <is>
          <t>VulnCheck KEV: SmarterTools SmarterMail contains a missing authentication for critical function vulnerability in the ConnectToHub API method. This could allow the attacker to point the SmarterMail instance to a malicious HTTP server which serves the malicious OS command and could lead to command execution.  | CVEs: CVE-2026-24423</t>
        </is>
      </c>
      <c r="D1899" s="189" t="n">
        <v>7</v>
      </c>
      <c r="E1899" s="189" t="inlineStr">
        <is>
          <t>HIGH</t>
        </is>
      </c>
      <c r="F1899" s="189" t="n">
        <v>3</v>
      </c>
      <c r="G1899" s="189" t="n">
        <v>2</v>
      </c>
      <c r="H1899" s="189" t="inlineStr">
        <is>
          <t>HIGH</t>
        </is>
      </c>
      <c r="I1899" s="189" t="n">
        <v>13</v>
      </c>
      <c r="J1899" s="189" t="inlineStr">
        <is>
          <t>YES</t>
        </is>
      </c>
      <c r="K1899" s="190" t="inlineStr">
        <is>
          <t>https://vulncheck.com/blog/vuln-check-kev</t>
        </is>
      </c>
      <c r="L1899" s="189" t="n"/>
      <c r="M1899" s="189" t="inlineStr">
        <is>
          <t>URGENT - actively exploited</t>
        </is>
      </c>
      <c r="N1899" s="190" t="inlineStr">
        <is>
          <t>https://vulncheck.com/blog/vuln-check-kev</t>
        </is>
      </c>
      <c r="O1899" s="189" t="inlineStr">
        <is>
          <t>Patch immediately - known exploited</t>
        </is>
      </c>
      <c r="P1899" s="189" t="inlineStr">
        <is>
          <t>CVE-2026-24423</t>
        </is>
      </c>
      <c r="Q1899" s="189" t="inlineStr">
        <is>
          <t>P1</t>
        </is>
      </c>
      <c r="R1899" s="189" t="inlineStr">
        <is>
          <t>🔍 Investigate and apply appropriate controls</t>
        </is>
      </c>
      <c r="S1899" s="189" t="inlineStr">
        <is>
          <t>KEV entry - check specific CVEs for IP context</t>
        </is>
      </c>
      <c r="T1899" s="189" t="n">
        <v>0</v>
      </c>
      <c r="U1899" s="189" t="n">
        <v>0</v>
      </c>
      <c r="V1899" s="189" t="inlineStr">
        <is>
          <t>T1190:Exploit Public-Facing Application</t>
        </is>
      </c>
      <c r="W1899" s="189" t="n">
        <v>2</v>
      </c>
      <c r="X1899" s="189" t="inlineStr">
        <is>
          <t>CONFIRMED (82%)</t>
        </is>
      </c>
      <c r="Y1899" s="189" t="inlineStr">
        <is>
          <t>YES</t>
        </is>
      </c>
      <c r="Z1899" s="189" t="inlineStr">
        <is>
          <t>URGENT</t>
        </is>
      </c>
      <c r="AA1899" s="190" t="inlineStr">
        <is>
          <t>https://vulncheck.com/blog/vuln-check-kev</t>
        </is>
      </c>
      <c r="AB1899" s="189" t="inlineStr">
        <is>
          <t>NONE</t>
        </is>
      </c>
      <c r="AC1899" s="189" t="n">
        <v>0</v>
      </c>
      <c r="AD1899" s="189" t="n"/>
    </row>
    <row r="1900">
      <c r="A1900" s="189" t="inlineStr">
        <is>
          <t>VULNCHECK_KEV</t>
        </is>
      </c>
      <c r="B1900" s="189" t="inlineStr">
        <is>
          <t>792e86d42368</t>
        </is>
      </c>
      <c r="C1900" s="189" t="inlineStr">
        <is>
          <t>VulnCheck KEV: Google Chromium CSS contains a use-after-free vulnerability that could allow a remote attacker to potentially exploit heap corruption via a crafted HTML page. This vulnerability could affect multiple web browsers that utilize Chromium, including, but not limited to, Google Chrome, Microsoft Edge, an | CVEs: CVE-2026-2441</t>
        </is>
      </c>
      <c r="D1900" s="189" t="n">
        <v>7</v>
      </c>
      <c r="E1900" s="189" t="inlineStr">
        <is>
          <t>HIGH</t>
        </is>
      </c>
      <c r="F1900" s="189" t="n">
        <v>3</v>
      </c>
      <c r="G1900" s="189" t="n">
        <v>2</v>
      </c>
      <c r="H1900" s="189" t="inlineStr">
        <is>
          <t>HIGH</t>
        </is>
      </c>
      <c r="I1900" s="189" t="n">
        <v>13</v>
      </c>
      <c r="J1900" s="189" t="inlineStr">
        <is>
          <t>YES</t>
        </is>
      </c>
      <c r="K1900" s="190" t="inlineStr">
        <is>
          <t>https://vulncheck.com/blog/vuln-check-kev</t>
        </is>
      </c>
      <c r="L1900" s="189" t="n"/>
      <c r="M1900" s="189" t="inlineStr">
        <is>
          <t>URGENT - actively exploited</t>
        </is>
      </c>
      <c r="N1900" s="190" t="inlineStr">
        <is>
          <t>https://vulncheck.com/blog/vuln-check-kev</t>
        </is>
      </c>
      <c r="O1900" s="189" t="inlineStr">
        <is>
          <t>Patch immediately - known exploited</t>
        </is>
      </c>
      <c r="P1900" s="189" t="inlineStr">
        <is>
          <t>CVE-2026-2441</t>
        </is>
      </c>
      <c r="Q1900" s="189" t="inlineStr">
        <is>
          <t>P1</t>
        </is>
      </c>
      <c r="R1900" s="189" t="inlineStr">
        <is>
          <t>🔍 Investigate and apply appropriate controls</t>
        </is>
      </c>
      <c r="S1900" s="189" t="inlineStr">
        <is>
          <t>KEV entry - check specific CVEs for IP context</t>
        </is>
      </c>
      <c r="T1900" s="189" t="n">
        <v>0</v>
      </c>
      <c r="U1900" s="189" t="n">
        <v>0</v>
      </c>
      <c r="V1900" s="189" t="inlineStr">
        <is>
          <t>T1190:Exploit Public-Facing Application</t>
        </is>
      </c>
      <c r="W1900" s="189" t="n">
        <v>2</v>
      </c>
      <c r="X1900" s="189" t="inlineStr">
        <is>
          <t>CONFIRMED (82%)</t>
        </is>
      </c>
      <c r="Y1900" s="189" t="inlineStr">
        <is>
          <t>YES</t>
        </is>
      </c>
      <c r="Z1900" s="189" t="inlineStr">
        <is>
          <t>URGENT</t>
        </is>
      </c>
      <c r="AA1900" s="190" t="inlineStr">
        <is>
          <t>https://vulncheck.com/blog/vuln-check-kev</t>
        </is>
      </c>
      <c r="AB1900" s="189" t="inlineStr">
        <is>
          <t>NONE</t>
        </is>
      </c>
      <c r="AC1900" s="189" t="n">
        <v>0</v>
      </c>
      <c r="AD1900" s="189" t="n"/>
    </row>
    <row r="1901">
      <c r="A1901" s="189" t="inlineStr">
        <is>
          <t>VULNCHECK_KEV</t>
        </is>
      </c>
      <c r="B1901" s="189" t="inlineStr">
        <is>
          <t>693cd28f6e90</t>
        </is>
      </c>
      <c r="C1901" s="189" t="inlineStr">
        <is>
          <t>VulnCheck KEV: GNU InetUtils contains an argument injection vulnerability in telnetd that could allow for remote authentication bypass via a "-f root" value for the USER environment variable. | CVEs: CVE-2026-24061</t>
        </is>
      </c>
      <c r="D1901" s="189" t="n">
        <v>7</v>
      </c>
      <c r="E1901" s="189" t="inlineStr">
        <is>
          <t>HIGH</t>
        </is>
      </c>
      <c r="F1901" s="189" t="n">
        <v>3</v>
      </c>
      <c r="G1901" s="189" t="n">
        <v>2</v>
      </c>
      <c r="H1901" s="189" t="inlineStr">
        <is>
          <t>HIGH</t>
        </is>
      </c>
      <c r="I1901" s="189" t="n">
        <v>13</v>
      </c>
      <c r="J1901" s="189" t="inlineStr">
        <is>
          <t>YES</t>
        </is>
      </c>
      <c r="K1901" s="190" t="inlineStr">
        <is>
          <t>https://vulncheck.com/blog/vuln-check-kev</t>
        </is>
      </c>
      <c r="L1901" s="189" t="n"/>
      <c r="M1901" s="189" t="inlineStr">
        <is>
          <t>URGENT - actively exploited</t>
        </is>
      </c>
      <c r="N1901" s="190" t="inlineStr">
        <is>
          <t>https://vulncheck.com/blog/vuln-check-kev</t>
        </is>
      </c>
      <c r="O1901" s="189" t="inlineStr">
        <is>
          <t>Patch immediately - known exploited</t>
        </is>
      </c>
      <c r="P1901" s="189" t="inlineStr">
        <is>
          <t>CVE-2026-24061</t>
        </is>
      </c>
      <c r="Q1901" s="189" t="inlineStr">
        <is>
          <t>P1</t>
        </is>
      </c>
      <c r="R1901" s="189" t="inlineStr">
        <is>
          <t>🔍 Investigate and apply appropriate controls</t>
        </is>
      </c>
      <c r="S1901" s="189" t="inlineStr">
        <is>
          <t>KEV entry - check specific CVEs for IP context</t>
        </is>
      </c>
      <c r="T1901" s="189" t="n">
        <v>0</v>
      </c>
      <c r="U1901" s="189" t="n">
        <v>0</v>
      </c>
      <c r="V1901" s="189" t="inlineStr">
        <is>
          <t>T1190:Exploit Public-Facing Application</t>
        </is>
      </c>
      <c r="W1901" s="189" t="n">
        <v>2</v>
      </c>
      <c r="X1901" s="189" t="inlineStr">
        <is>
          <t>CONFIRMED (82%)</t>
        </is>
      </c>
      <c r="Y1901" s="189" t="inlineStr">
        <is>
          <t>YES</t>
        </is>
      </c>
      <c r="Z1901" s="189" t="inlineStr">
        <is>
          <t>URGENT</t>
        </is>
      </c>
      <c r="AA1901" s="190" t="inlineStr">
        <is>
          <t>https://vulncheck.com/blog/vuln-check-kev</t>
        </is>
      </c>
      <c r="AB1901" s="189" t="inlineStr">
        <is>
          <t>NONE</t>
        </is>
      </c>
      <c r="AC1901" s="189" t="n">
        <v>0</v>
      </c>
      <c r="AD1901" s="189" t="n"/>
    </row>
    <row r="1902">
      <c r="A1902" s="189" t="inlineStr">
        <is>
          <t>VULNCHECK_KEV</t>
        </is>
      </c>
      <c r="B1902" s="189" t="inlineStr">
        <is>
          <t>23d9f45e272e</t>
        </is>
      </c>
      <c r="C1902" s="189" t="inlineStr">
        <is>
          <t>VulnCheck KEV: Incorrect Privilege Assignment vulnerability in Modular DS modular-connector allows Privilege Escalation.This issue affects Modular DS: from 2.5.2 before 2.6.0. | CVEs: CVE-2026-23800</t>
        </is>
      </c>
      <c r="D1902" s="189" t="n">
        <v>7</v>
      </c>
      <c r="E1902" s="189" t="inlineStr">
        <is>
          <t>HIGH</t>
        </is>
      </c>
      <c r="F1902" s="189" t="n">
        <v>3</v>
      </c>
      <c r="G1902" s="189" t="n">
        <v>2</v>
      </c>
      <c r="H1902" s="189" t="inlineStr">
        <is>
          <t>HIGH</t>
        </is>
      </c>
      <c r="I1902" s="189" t="n">
        <v>13</v>
      </c>
      <c r="J1902" s="189" t="inlineStr">
        <is>
          <t>YES</t>
        </is>
      </c>
      <c r="K1902" s="190" t="inlineStr">
        <is>
          <t>https://vulncheck.com/blog/vuln-check-kev</t>
        </is>
      </c>
      <c r="L1902" s="189" t="n"/>
      <c r="M1902" s="189" t="inlineStr">
        <is>
          <t>URGENT - actively exploited</t>
        </is>
      </c>
      <c r="N1902" s="190" t="inlineStr">
        <is>
          <t>https://vulncheck.com/blog/vuln-check-kev</t>
        </is>
      </c>
      <c r="O1902" s="189" t="inlineStr">
        <is>
          <t>Patch immediately - known exploited</t>
        </is>
      </c>
      <c r="P1902" s="189" t="inlineStr">
        <is>
          <t>CVE-2026-23800</t>
        </is>
      </c>
      <c r="Q1902" s="189" t="inlineStr">
        <is>
          <t>P1</t>
        </is>
      </c>
      <c r="R1902" s="189" t="inlineStr">
        <is>
          <t>🔍 Investigate and apply appropriate controls</t>
        </is>
      </c>
      <c r="S1902" s="189" t="inlineStr">
        <is>
          <t>KEV entry - check specific CVEs for IP context</t>
        </is>
      </c>
      <c r="T1902" s="189" t="n">
        <v>0</v>
      </c>
      <c r="U1902" s="189" t="n">
        <v>0</v>
      </c>
      <c r="V1902" s="189" t="inlineStr">
        <is>
          <t>T1190:Exploit Public-Facing Application</t>
        </is>
      </c>
      <c r="W1902" s="189" t="n">
        <v>2</v>
      </c>
      <c r="X1902" s="189" t="inlineStr">
        <is>
          <t>CONFIRMED (82%)</t>
        </is>
      </c>
      <c r="Y1902" s="189" t="inlineStr">
        <is>
          <t>YES</t>
        </is>
      </c>
      <c r="Z1902" s="189" t="inlineStr">
        <is>
          <t>URGENT</t>
        </is>
      </c>
      <c r="AA1902" s="190" t="inlineStr">
        <is>
          <t>https://vulncheck.com/blog/vuln-check-kev</t>
        </is>
      </c>
      <c r="AB1902" s="189" t="inlineStr">
        <is>
          <t>NONE</t>
        </is>
      </c>
      <c r="AC1902" s="189" t="n">
        <v>0</v>
      </c>
      <c r="AD1902" s="189" t="n"/>
    </row>
    <row r="1903">
      <c r="A1903" s="189" t="inlineStr">
        <is>
          <t>VULNCHECK_KEV</t>
        </is>
      </c>
      <c r="B1903" s="189" t="inlineStr">
        <is>
          <t>5cf1ec21b577</t>
        </is>
      </c>
      <c r="C1903" s="189" t="inlineStr">
        <is>
          <t>VulnCheck KEV: SmarterTools SmarterMail contains an authentication bypass using an alternate path or channel vulnerability in the password reset API. The force-reset-password endpoint permits anonymous requests and fails to verify the existing password or a reset token when resetting system administrator accounts. | CVEs: CVE-2026-23760</t>
        </is>
      </c>
      <c r="D1903" s="189" t="n">
        <v>7</v>
      </c>
      <c r="E1903" s="189" t="inlineStr">
        <is>
          <t>HIGH</t>
        </is>
      </c>
      <c r="F1903" s="189" t="n">
        <v>3</v>
      </c>
      <c r="G1903" s="189" t="n">
        <v>2</v>
      </c>
      <c r="H1903" s="189" t="inlineStr">
        <is>
          <t>HIGH</t>
        </is>
      </c>
      <c r="I1903" s="189" t="n">
        <v>13</v>
      </c>
      <c r="J1903" s="189" t="inlineStr">
        <is>
          <t>YES</t>
        </is>
      </c>
      <c r="K1903" s="190" t="inlineStr">
        <is>
          <t>https://vulncheck.com/blog/vuln-check-kev</t>
        </is>
      </c>
      <c r="L1903" s="189" t="n"/>
      <c r="M1903" s="189" t="inlineStr">
        <is>
          <t>URGENT - actively exploited</t>
        </is>
      </c>
      <c r="N1903" s="190" t="inlineStr">
        <is>
          <t>https://vulncheck.com/blog/vuln-check-kev</t>
        </is>
      </c>
      <c r="O1903" s="189" t="inlineStr">
        <is>
          <t>Patch immediately - known exploited</t>
        </is>
      </c>
      <c r="P1903" s="189" t="inlineStr">
        <is>
          <t>CVE-2026-23760</t>
        </is>
      </c>
      <c r="Q1903" s="189" t="inlineStr">
        <is>
          <t>P1</t>
        </is>
      </c>
      <c r="R1903" s="189" t="inlineStr">
        <is>
          <t>🔍 Investigate and apply appropriate controls</t>
        </is>
      </c>
      <c r="S1903" s="189" t="inlineStr">
        <is>
          <t>KEV entry - check specific CVEs for IP context</t>
        </is>
      </c>
      <c r="T1903" s="189" t="n">
        <v>0</v>
      </c>
      <c r="U1903" s="189" t="n">
        <v>0</v>
      </c>
      <c r="V1903" s="189" t="inlineStr">
        <is>
          <t>T1190:Exploit Public-Facing Application</t>
        </is>
      </c>
      <c r="W1903" s="189" t="n">
        <v>2</v>
      </c>
      <c r="X1903" s="189" t="inlineStr">
        <is>
          <t>CONFIRMED (82%)</t>
        </is>
      </c>
      <c r="Y1903" s="189" t="inlineStr">
        <is>
          <t>YES</t>
        </is>
      </c>
      <c r="Z1903" s="189" t="inlineStr">
        <is>
          <t>URGENT</t>
        </is>
      </c>
      <c r="AA1903" s="190" t="inlineStr">
        <is>
          <t>https://vulncheck.com/blog/vuln-check-kev</t>
        </is>
      </c>
      <c r="AB1903" s="189" t="inlineStr">
        <is>
          <t>NONE</t>
        </is>
      </c>
      <c r="AC1903" s="189" t="n">
        <v>0</v>
      </c>
      <c r="AD1903" s="189" t="n"/>
    </row>
    <row r="1904">
      <c r="A1904" s="189" t="inlineStr">
        <is>
          <t>VULNCHECK_KEV</t>
        </is>
      </c>
      <c r="B1904" s="189" t="inlineStr">
        <is>
          <t>1f4d494859cc</t>
        </is>
      </c>
      <c r="C1904" s="189" t="inlineStr">
        <is>
          <t>VulnCheck KEV: MCPJam inspector is the local-first development platform for MCP servers. Versions 1.4.2 and earlier are vulnerable to remote code execution (RCE) vulnerability, which allows an attacker to send a crafted HTTP request that triggers the installation of an MCP server, leading to RCE. Since MCPJam insp | CVEs: CVE-2026-23744</t>
        </is>
      </c>
      <c r="D1904" s="189" t="n">
        <v>7</v>
      </c>
      <c r="E1904" s="189" t="inlineStr">
        <is>
          <t>HIGH</t>
        </is>
      </c>
      <c r="F1904" s="189" t="n">
        <v>3</v>
      </c>
      <c r="G1904" s="189" t="n">
        <v>2</v>
      </c>
      <c r="H1904" s="189" t="inlineStr">
        <is>
          <t>HIGH</t>
        </is>
      </c>
      <c r="I1904" s="189" t="n">
        <v>13</v>
      </c>
      <c r="J1904" s="189" t="inlineStr">
        <is>
          <t>YES</t>
        </is>
      </c>
      <c r="K1904" s="190" t="inlineStr">
        <is>
          <t>https://vulncheck.com/blog/vuln-check-kev</t>
        </is>
      </c>
      <c r="L1904" s="189" t="n"/>
      <c r="M1904" s="189" t="inlineStr">
        <is>
          <t>URGENT - actively exploited</t>
        </is>
      </c>
      <c r="N1904" s="190" t="inlineStr">
        <is>
          <t>https://vulncheck.com/blog/vuln-check-kev</t>
        </is>
      </c>
      <c r="O1904" s="189" t="inlineStr">
        <is>
          <t>Patch immediately - known exploited</t>
        </is>
      </c>
      <c r="P1904" s="189" t="inlineStr">
        <is>
          <t>CVE-2026-23744</t>
        </is>
      </c>
      <c r="Q1904" s="189" t="inlineStr">
        <is>
          <t>P1</t>
        </is>
      </c>
      <c r="R1904" s="189" t="inlineStr">
        <is>
          <t>🔍 Investigate and apply appropriate controls</t>
        </is>
      </c>
      <c r="S1904" s="189" t="inlineStr">
        <is>
          <t>KEV entry - check specific CVEs for IP context</t>
        </is>
      </c>
      <c r="T1904" s="189" t="n">
        <v>0</v>
      </c>
      <c r="U1904" s="189" t="n">
        <v>0</v>
      </c>
      <c r="V1904" s="189" t="inlineStr">
        <is>
          <t>T1190:Exploit Public-Facing Application</t>
        </is>
      </c>
      <c r="W1904" s="189" t="n">
        <v>2</v>
      </c>
      <c r="X1904" s="189" t="inlineStr">
        <is>
          <t>CONFIRMED (82%)</t>
        </is>
      </c>
      <c r="Y1904" s="189" t="inlineStr">
        <is>
          <t>YES</t>
        </is>
      </c>
      <c r="Z1904" s="189" t="inlineStr">
        <is>
          <t>URGENT</t>
        </is>
      </c>
      <c r="AA1904" s="190" t="inlineStr">
        <is>
          <t>https://vulncheck.com/blog/vuln-check-kev</t>
        </is>
      </c>
      <c r="AB1904" s="189" t="inlineStr">
        <is>
          <t>NONE</t>
        </is>
      </c>
      <c r="AC1904" s="189" t="n">
        <v>0</v>
      </c>
      <c r="AD1904" s="189" t="n"/>
    </row>
    <row r="1905">
      <c r="A1905" s="189" t="inlineStr">
        <is>
          <t>VULNCHECK_KEV</t>
        </is>
      </c>
      <c r="B1905" s="189" t="inlineStr">
        <is>
          <t>b49d35435cd1</t>
        </is>
      </c>
      <c r="C1905" s="189" t="inlineStr">
        <is>
          <t>VulnCheck KEV: Incorrect Privilege Assignment vulnerability in Modular DS allows Privilege Escalation.This issue affects Modular DS: from n/a through 2.5.1. | CVEs: CVE-2026-23550</t>
        </is>
      </c>
      <c r="D1905" s="189" t="n">
        <v>7</v>
      </c>
      <c r="E1905" s="189" t="inlineStr">
        <is>
          <t>HIGH</t>
        </is>
      </c>
      <c r="F1905" s="189" t="n">
        <v>3</v>
      </c>
      <c r="G1905" s="189" t="n">
        <v>2</v>
      </c>
      <c r="H1905" s="189" t="inlineStr">
        <is>
          <t>HIGH</t>
        </is>
      </c>
      <c r="I1905" s="189" t="n">
        <v>13</v>
      </c>
      <c r="J1905" s="189" t="inlineStr">
        <is>
          <t>YES</t>
        </is>
      </c>
      <c r="K1905" s="190" t="inlineStr">
        <is>
          <t>https://vulncheck.com/blog/vuln-check-kev</t>
        </is>
      </c>
      <c r="L1905" s="189" t="n"/>
      <c r="M1905" s="189" t="inlineStr">
        <is>
          <t>URGENT - actively exploited</t>
        </is>
      </c>
      <c r="N1905" s="190" t="inlineStr">
        <is>
          <t>https://vulncheck.com/blog/vuln-check-kev</t>
        </is>
      </c>
      <c r="O1905" s="189" t="inlineStr">
        <is>
          <t>Patch immediately - known exploited</t>
        </is>
      </c>
      <c r="P1905" s="189" t="inlineStr">
        <is>
          <t>CVE-2026-23550</t>
        </is>
      </c>
      <c r="Q1905" s="189" t="inlineStr">
        <is>
          <t>P1</t>
        </is>
      </c>
      <c r="R1905" s="189" t="inlineStr">
        <is>
          <t>🔍 Investigate and apply appropriate controls</t>
        </is>
      </c>
      <c r="S1905" s="189" t="inlineStr">
        <is>
          <t>KEV entry - check specific CVEs for IP context</t>
        </is>
      </c>
      <c r="T1905" s="189" t="n">
        <v>0</v>
      </c>
      <c r="U1905" s="189" t="n">
        <v>0</v>
      </c>
      <c r="V1905" s="189" t="inlineStr">
        <is>
          <t>T1190:Exploit Public-Facing Application</t>
        </is>
      </c>
      <c r="W1905" s="189" t="n">
        <v>2</v>
      </c>
      <c r="X1905" s="189" t="inlineStr">
        <is>
          <t>CONFIRMED (82%)</t>
        </is>
      </c>
      <c r="Y1905" s="189" t="inlineStr">
        <is>
          <t>YES</t>
        </is>
      </c>
      <c r="Z1905" s="189" t="inlineStr">
        <is>
          <t>URGENT</t>
        </is>
      </c>
      <c r="AA1905" s="190" t="inlineStr">
        <is>
          <t>https://vulncheck.com/blog/vuln-check-kev</t>
        </is>
      </c>
      <c r="AB1905" s="189" t="inlineStr">
        <is>
          <t>NONE</t>
        </is>
      </c>
      <c r="AC1905" s="189" t="n">
        <v>0</v>
      </c>
      <c r="AD1905" s="189" t="n"/>
    </row>
    <row r="1906">
      <c r="A1906" s="189" t="inlineStr">
        <is>
          <t>VULNCHECK_KEV</t>
        </is>
      </c>
      <c r="B1906" s="189" t="inlineStr">
        <is>
          <t>cea8b06eb756</t>
        </is>
      </c>
      <c r="C1906" s="189" t="inlineStr">
        <is>
          <t>VulnCheck KEV: Dell RecoverPoint for Virtual Machines (RP4VMs) contains an use of hard-coded credentials vulnerability that could allow an unauthenticated remote attacker to gain unauthorized access to the underlying operating system and root-level persistence. | CVEs: CVE-2026-22769</t>
        </is>
      </c>
      <c r="D1906" s="189" t="n">
        <v>7</v>
      </c>
      <c r="E1906" s="189" t="inlineStr">
        <is>
          <t>HIGH</t>
        </is>
      </c>
      <c r="F1906" s="189" t="n">
        <v>3</v>
      </c>
      <c r="G1906" s="189" t="n">
        <v>2</v>
      </c>
      <c r="H1906" s="189" t="inlineStr">
        <is>
          <t>HIGH</t>
        </is>
      </c>
      <c r="I1906" s="189" t="n">
        <v>13</v>
      </c>
      <c r="J1906" s="189" t="inlineStr">
        <is>
          <t>YES</t>
        </is>
      </c>
      <c r="K1906" s="190" t="inlineStr">
        <is>
          <t>https://vulncheck.com/blog/vuln-check-kev</t>
        </is>
      </c>
      <c r="L1906" s="189" t="n"/>
      <c r="M1906" s="189" t="inlineStr">
        <is>
          <t>URGENT - actively exploited</t>
        </is>
      </c>
      <c r="N1906" s="190" t="inlineStr">
        <is>
          <t>https://vulncheck.com/blog/vuln-check-kev</t>
        </is>
      </c>
      <c r="O1906" s="189" t="inlineStr">
        <is>
          <t>Patch immediately - known exploited</t>
        </is>
      </c>
      <c r="P1906" s="189" t="inlineStr">
        <is>
          <t>CVE-2026-22769</t>
        </is>
      </c>
      <c r="Q1906" s="189" t="inlineStr">
        <is>
          <t>P1</t>
        </is>
      </c>
      <c r="R1906" s="189" t="inlineStr">
        <is>
          <t>🔍 Investigate and apply appropriate controls</t>
        </is>
      </c>
      <c r="S1906" s="189" t="inlineStr">
        <is>
          <t>KEV entry - check specific CVEs for IP context</t>
        </is>
      </c>
      <c r="T1906" s="189" t="n">
        <v>0</v>
      </c>
      <c r="U1906" s="189" t="n">
        <v>0</v>
      </c>
      <c r="V1906" s="189" t="inlineStr">
        <is>
          <t>T1190:Exploit Public-Facing Application</t>
        </is>
      </c>
      <c r="W1906" s="189" t="n">
        <v>2</v>
      </c>
      <c r="X1906" s="189" t="inlineStr">
        <is>
          <t>CONFIRMED (82%)</t>
        </is>
      </c>
      <c r="Y1906" s="189" t="inlineStr">
        <is>
          <t>YES</t>
        </is>
      </c>
      <c r="Z1906" s="189" t="inlineStr">
        <is>
          <t>URGENT</t>
        </is>
      </c>
      <c r="AA1906" s="190" t="inlineStr">
        <is>
          <t>https://vulncheck.com/blog/vuln-check-kev</t>
        </is>
      </c>
      <c r="AB1906" s="189" t="inlineStr">
        <is>
          <t>NONE</t>
        </is>
      </c>
      <c r="AC1906" s="189" t="n">
        <v>0</v>
      </c>
      <c r="AD1906" s="189" t="n"/>
    </row>
    <row r="1907">
      <c r="A1907" s="189" t="inlineStr">
        <is>
          <t>VULNCHECK_KEV</t>
        </is>
      </c>
      <c r="B1907" s="189" t="inlineStr">
        <is>
          <t>55eecf6fae85</t>
        </is>
      </c>
      <c r="C1907" s="189" t="inlineStr">
        <is>
          <t>VulnCheck KEV: Vulnerability in the Oracle HTTP Server, Oracle Weblogic Server Proxy Plug-in product of Oracle Fusion Middleware (component: Weblogic Server Proxy Plug-in for Apache HTTP Server, Weblogic Server Proxy Plug-in for IIS).  Supported versions that are affected are 12.2.1.4.0, 14.1.1.0.0 and  14.1.2.0.0 | CVEs: CVE-2026-21962</t>
        </is>
      </c>
      <c r="D1907" s="189" t="n">
        <v>7</v>
      </c>
      <c r="E1907" s="189" t="inlineStr">
        <is>
          <t>HIGH</t>
        </is>
      </c>
      <c r="F1907" s="189" t="n">
        <v>3</v>
      </c>
      <c r="G1907" s="189" t="n">
        <v>2</v>
      </c>
      <c r="H1907" s="189" t="inlineStr">
        <is>
          <t>HIGH</t>
        </is>
      </c>
      <c r="I1907" s="189" t="n">
        <v>13</v>
      </c>
      <c r="J1907" s="189" t="inlineStr">
        <is>
          <t>YES</t>
        </is>
      </c>
      <c r="K1907" s="190" t="inlineStr">
        <is>
          <t>https://vulncheck.com/blog/vuln-check-kev</t>
        </is>
      </c>
      <c r="L1907" s="189" t="n"/>
      <c r="M1907" s="189" t="inlineStr">
        <is>
          <t>URGENT - actively exploited</t>
        </is>
      </c>
      <c r="N1907" s="190" t="inlineStr">
        <is>
          <t>https://vulncheck.com/blog/vuln-check-kev</t>
        </is>
      </c>
      <c r="O1907" s="189" t="inlineStr">
        <is>
          <t>Patch immediately - known exploited</t>
        </is>
      </c>
      <c r="P1907" s="189" t="inlineStr">
        <is>
          <t>CVE-2026-21962</t>
        </is>
      </c>
      <c r="Q1907" s="189" t="inlineStr">
        <is>
          <t>P1</t>
        </is>
      </c>
      <c r="R1907" s="189" t="inlineStr">
        <is>
          <t>🔍 Investigate and apply appropriate controls</t>
        </is>
      </c>
      <c r="S1907" s="189" t="inlineStr">
        <is>
          <t>KEV entry - check specific CVEs for IP context</t>
        </is>
      </c>
      <c r="T1907" s="189" t="n">
        <v>0</v>
      </c>
      <c r="U1907" s="189" t="n">
        <v>0</v>
      </c>
      <c r="V1907" s="189" t="inlineStr">
        <is>
          <t>T1190:Exploit Public-Facing Application</t>
        </is>
      </c>
      <c r="W1907" s="189" t="n">
        <v>2</v>
      </c>
      <c r="X1907" s="189" t="inlineStr">
        <is>
          <t>CONFIRMED (82%)</t>
        </is>
      </c>
      <c r="Y1907" s="189" t="inlineStr">
        <is>
          <t>YES</t>
        </is>
      </c>
      <c r="Z1907" s="189" t="inlineStr">
        <is>
          <t>URGENT</t>
        </is>
      </c>
      <c r="AA1907" s="190" t="inlineStr">
        <is>
          <t>https://vulncheck.com/blog/vuln-check-kev</t>
        </is>
      </c>
      <c r="AB1907" s="189" t="inlineStr">
        <is>
          <t>NONE</t>
        </is>
      </c>
      <c r="AC1907" s="189" t="n">
        <v>0</v>
      </c>
      <c r="AD1907" s="189" t="n"/>
    </row>
    <row r="1908">
      <c r="A1908" s="189" t="inlineStr">
        <is>
          <t>VULNCHECK_KEV</t>
        </is>
      </c>
      <c r="B1908" s="189" t="inlineStr">
        <is>
          <t>eef05c51ff9a</t>
        </is>
      </c>
      <c r="C1908" s="189" t="inlineStr">
        <is>
          <t>VulnCheck KEV: Mailpit is an email testing tool and API for developers. Versions 1.28.0 and below have a Server-Side Request Forgery (SSRF) vulnerability in the /proxy endpoint, allowing attackers to make requests to internal network resources. The /proxy endpoint validates http:// and https:// schemes, but it doe | CVEs: CVE-2026-21859</t>
        </is>
      </c>
      <c r="D1908" s="189" t="n">
        <v>7</v>
      </c>
      <c r="E1908" s="189" t="inlineStr">
        <is>
          <t>HIGH</t>
        </is>
      </c>
      <c r="F1908" s="189" t="n">
        <v>3</v>
      </c>
      <c r="G1908" s="189" t="n">
        <v>2</v>
      </c>
      <c r="H1908" s="189" t="inlineStr">
        <is>
          <t>HIGH</t>
        </is>
      </c>
      <c r="I1908" s="189" t="n">
        <v>13</v>
      </c>
      <c r="J1908" s="189" t="inlineStr">
        <is>
          <t>YES</t>
        </is>
      </c>
      <c r="K1908" s="190" t="inlineStr">
        <is>
          <t>https://vulncheck.com/blog/vuln-check-kev</t>
        </is>
      </c>
      <c r="L1908" s="189" t="n"/>
      <c r="M1908" s="189" t="inlineStr">
        <is>
          <t>URGENT - actively exploited</t>
        </is>
      </c>
      <c r="N1908" s="190" t="inlineStr">
        <is>
          <t>https://vulncheck.com/blog/vuln-check-kev</t>
        </is>
      </c>
      <c r="O1908" s="189" t="inlineStr">
        <is>
          <t>Patch immediately - known exploited</t>
        </is>
      </c>
      <c r="P1908" s="189" t="inlineStr">
        <is>
          <t>CVE-2026-21859</t>
        </is>
      </c>
      <c r="Q1908" s="189" t="inlineStr">
        <is>
          <t>P1</t>
        </is>
      </c>
      <c r="R1908" s="189" t="inlineStr">
        <is>
          <t>🔍 Investigate and apply appropriate controls</t>
        </is>
      </c>
      <c r="S1908" s="189" t="inlineStr">
        <is>
          <t>KEV entry - check specific CVEs for IP context</t>
        </is>
      </c>
      <c r="T1908" s="189" t="n">
        <v>0</v>
      </c>
      <c r="U1908" s="189" t="n">
        <v>0</v>
      </c>
      <c r="V1908" s="189" t="inlineStr">
        <is>
          <t>T1190:Exploit Public-Facing Application</t>
        </is>
      </c>
      <c r="W1908" s="189" t="n">
        <v>2</v>
      </c>
      <c r="X1908" s="189" t="inlineStr">
        <is>
          <t>CONFIRMED (82%)</t>
        </is>
      </c>
      <c r="Y1908" s="189" t="inlineStr">
        <is>
          <t>YES</t>
        </is>
      </c>
      <c r="Z1908" s="189" t="inlineStr">
        <is>
          <t>URGENT</t>
        </is>
      </c>
      <c r="AA1908" s="190" t="inlineStr">
        <is>
          <t>https://vulncheck.com/blog/vuln-check-kev</t>
        </is>
      </c>
      <c r="AB1908" s="189" t="inlineStr">
        <is>
          <t>NONE</t>
        </is>
      </c>
      <c r="AC1908" s="189" t="n">
        <v>0</v>
      </c>
      <c r="AD1908" s="189" t="n"/>
    </row>
    <row r="1909">
      <c r="A1909" s="189" t="inlineStr">
        <is>
          <t>VULNCHECK_KEV</t>
        </is>
      </c>
      <c r="B1909" s="189" t="inlineStr">
        <is>
          <t>243096ea782b</t>
        </is>
      </c>
      <c r="C1909" s="189" t="inlineStr">
        <is>
          <t>VulnCheck KEV: n8n is an open source workflow automation platform. Versions starting with 1.65.0 and below 1.121.0 enable an attacker to access files on the underlying server through execution of certain form-based workflows. A vulnerable workflow could grant access to an unauthenticated remote attacker, resulting | CVEs: CVE-2026-21858</t>
        </is>
      </c>
      <c r="D1909" s="189" t="n">
        <v>7</v>
      </c>
      <c r="E1909" s="189" t="inlineStr">
        <is>
          <t>HIGH</t>
        </is>
      </c>
      <c r="F1909" s="189" t="n">
        <v>3</v>
      </c>
      <c r="G1909" s="189" t="n">
        <v>2</v>
      </c>
      <c r="H1909" s="189" t="inlineStr">
        <is>
          <t>HIGH</t>
        </is>
      </c>
      <c r="I1909" s="189" t="n">
        <v>13</v>
      </c>
      <c r="J1909" s="189" t="inlineStr">
        <is>
          <t>YES</t>
        </is>
      </c>
      <c r="K1909" s="190" t="inlineStr">
        <is>
          <t>https://vulncheck.com/blog/vuln-check-kev</t>
        </is>
      </c>
      <c r="L1909" s="189" t="n"/>
      <c r="M1909" s="189" t="inlineStr">
        <is>
          <t>URGENT - actively exploited</t>
        </is>
      </c>
      <c r="N1909" s="190" t="inlineStr">
        <is>
          <t>https://vulncheck.com/blog/vuln-check-kev</t>
        </is>
      </c>
      <c r="O1909" s="189" t="inlineStr">
        <is>
          <t>Patch immediately - known exploited</t>
        </is>
      </c>
      <c r="P1909" s="189" t="inlineStr">
        <is>
          <t>CVE-2026-21858</t>
        </is>
      </c>
      <c r="Q1909" s="189" t="inlineStr">
        <is>
          <t>P1</t>
        </is>
      </c>
      <c r="R1909" s="189" t="inlineStr">
        <is>
          <t>🔍 Investigate and apply appropriate controls</t>
        </is>
      </c>
      <c r="S1909" s="189" t="inlineStr">
        <is>
          <t>KEV entry - check specific CVEs for IP context</t>
        </is>
      </c>
      <c r="T1909" s="189" t="n">
        <v>0</v>
      </c>
      <c r="U1909" s="189" t="n">
        <v>0</v>
      </c>
      <c r="V1909" s="189" t="inlineStr">
        <is>
          <t>T1190:Exploit Public-Facing Application</t>
        </is>
      </c>
      <c r="W1909" s="189" t="n">
        <v>2</v>
      </c>
      <c r="X1909" s="189" t="inlineStr">
        <is>
          <t>CONFIRMED (82%)</t>
        </is>
      </c>
      <c r="Y1909" s="189" t="inlineStr">
        <is>
          <t>YES</t>
        </is>
      </c>
      <c r="Z1909" s="189" t="inlineStr">
        <is>
          <t>URGENT</t>
        </is>
      </c>
      <c r="AA1909" s="190" t="inlineStr">
        <is>
          <t>https://vulncheck.com/blog/vuln-check-kev</t>
        </is>
      </c>
      <c r="AB1909" s="189" t="inlineStr">
        <is>
          <t>NONE</t>
        </is>
      </c>
      <c r="AC1909" s="189" t="n">
        <v>0</v>
      </c>
      <c r="AD1909" s="189" t="n"/>
    </row>
    <row r="1910">
      <c r="A1910" s="189" t="inlineStr">
        <is>
          <t>VULNCHECK_KEV</t>
        </is>
      </c>
      <c r="B1910" s="189" t="inlineStr">
        <is>
          <t>69cfbfe107e1</t>
        </is>
      </c>
      <c r="C1910" s="189" t="inlineStr">
        <is>
          <t>VulnCheck KEV: Microsoft Windows Remote Desktop Services contains an improper privilege management vulnerability that could allow an authorized attacker to elevate privileges locally. | CVEs: CVE-2026-21533</t>
        </is>
      </c>
      <c r="D1910" s="189" t="n">
        <v>7</v>
      </c>
      <c r="E1910" s="189" t="inlineStr">
        <is>
          <t>HIGH</t>
        </is>
      </c>
      <c r="F1910" s="189" t="n">
        <v>3</v>
      </c>
      <c r="G1910" s="189" t="n">
        <v>2</v>
      </c>
      <c r="H1910" s="189" t="inlineStr">
        <is>
          <t>HIGH</t>
        </is>
      </c>
      <c r="I1910" s="189" t="n">
        <v>13</v>
      </c>
      <c r="J1910" s="189" t="inlineStr">
        <is>
          <t>YES</t>
        </is>
      </c>
      <c r="K1910" s="190" t="inlineStr">
        <is>
          <t>https://vulncheck.com/blog/vuln-check-kev</t>
        </is>
      </c>
      <c r="L1910" s="189" t="n"/>
      <c r="M1910" s="189" t="inlineStr">
        <is>
          <t>URGENT - actively exploited</t>
        </is>
      </c>
      <c r="N1910" s="190" t="inlineStr">
        <is>
          <t>https://vulncheck.com/blog/vuln-check-kev</t>
        </is>
      </c>
      <c r="O1910" s="189" t="inlineStr">
        <is>
          <t>Patch immediately - known exploited</t>
        </is>
      </c>
      <c r="P1910" s="189" t="inlineStr">
        <is>
          <t>CVE-2026-21533</t>
        </is>
      </c>
      <c r="Q1910" s="189" t="inlineStr">
        <is>
          <t>P1</t>
        </is>
      </c>
      <c r="R1910" s="189" t="inlineStr">
        <is>
          <t>🔍 Investigate and apply appropriate controls</t>
        </is>
      </c>
      <c r="S1910" s="189" t="inlineStr">
        <is>
          <t>KEV entry - check specific CVEs for IP context</t>
        </is>
      </c>
      <c r="T1910" s="189" t="n">
        <v>0</v>
      </c>
      <c r="U1910" s="189" t="n">
        <v>0</v>
      </c>
      <c r="V1910" s="189" t="inlineStr">
        <is>
          <t>T1190:Exploit Public-Facing Application</t>
        </is>
      </c>
      <c r="W1910" s="189" t="n">
        <v>2</v>
      </c>
      <c r="X1910" s="189" t="inlineStr">
        <is>
          <t>CONFIRMED (82%)</t>
        </is>
      </c>
      <c r="Y1910" s="189" t="inlineStr">
        <is>
          <t>YES</t>
        </is>
      </c>
      <c r="Z1910" s="189" t="inlineStr">
        <is>
          <t>URGENT</t>
        </is>
      </c>
      <c r="AA1910" s="190" t="inlineStr">
        <is>
          <t>https://vulncheck.com/blog/vuln-check-kev</t>
        </is>
      </c>
      <c r="AB1910" s="189" t="inlineStr">
        <is>
          <t>NONE</t>
        </is>
      </c>
      <c r="AC1910" s="189" t="n">
        <v>0</v>
      </c>
      <c r="AD1910" s="189" t="n"/>
    </row>
    <row r="1911">
      <c r="A1911" s="189" t="inlineStr">
        <is>
          <t>VULNCHECK_KEV</t>
        </is>
      </c>
      <c r="B1911" s="189" t="inlineStr">
        <is>
          <t>0ab1b88545d6</t>
        </is>
      </c>
      <c r="C1911" s="189" t="inlineStr">
        <is>
          <t>VulnCheck KEV: Microsoft Windows Remote Access Connection Manager contains a NULL pointer dereference that could allow an unauthorized attacker to deny service locally. | CVEs: CVE-2026-21525</t>
        </is>
      </c>
      <c r="D1911" s="189" t="n">
        <v>7</v>
      </c>
      <c r="E1911" s="189" t="inlineStr">
        <is>
          <t>HIGH</t>
        </is>
      </c>
      <c r="F1911" s="189" t="n">
        <v>3</v>
      </c>
      <c r="G1911" s="189" t="n">
        <v>2</v>
      </c>
      <c r="H1911" s="189" t="inlineStr">
        <is>
          <t>HIGH</t>
        </is>
      </c>
      <c r="I1911" s="189" t="n">
        <v>13</v>
      </c>
      <c r="J1911" s="189" t="inlineStr">
        <is>
          <t>YES</t>
        </is>
      </c>
      <c r="K1911" s="190" t="inlineStr">
        <is>
          <t>https://vulncheck.com/blog/vuln-check-kev</t>
        </is>
      </c>
      <c r="L1911" s="189" t="n"/>
      <c r="M1911" s="189" t="inlineStr">
        <is>
          <t>URGENT - actively exploited</t>
        </is>
      </c>
      <c r="N1911" s="190" t="inlineStr">
        <is>
          <t>https://vulncheck.com/blog/vuln-check-kev</t>
        </is>
      </c>
      <c r="O1911" s="189" t="inlineStr">
        <is>
          <t>Patch immediately - known exploited</t>
        </is>
      </c>
      <c r="P1911" s="189" t="inlineStr">
        <is>
          <t>CVE-2026-21525</t>
        </is>
      </c>
      <c r="Q1911" s="189" t="inlineStr">
        <is>
          <t>P1</t>
        </is>
      </c>
      <c r="R1911" s="189" t="inlineStr">
        <is>
          <t>🔍 Investigate and apply appropriate controls</t>
        </is>
      </c>
      <c r="S1911" s="189" t="inlineStr">
        <is>
          <t>KEV entry - check specific CVEs for IP context</t>
        </is>
      </c>
      <c r="T1911" s="189" t="n">
        <v>0</v>
      </c>
      <c r="U1911" s="189" t="n">
        <v>0</v>
      </c>
      <c r="V1911" s="189" t="inlineStr">
        <is>
          <t>T1190:Exploit Public-Facing Application</t>
        </is>
      </c>
      <c r="W1911" s="189" t="n">
        <v>2</v>
      </c>
      <c r="X1911" s="189" t="inlineStr">
        <is>
          <t>CONFIRMED (82%)</t>
        </is>
      </c>
      <c r="Y1911" s="189" t="inlineStr">
        <is>
          <t>YES</t>
        </is>
      </c>
      <c r="Z1911" s="189" t="inlineStr">
        <is>
          <t>URGENT</t>
        </is>
      </c>
      <c r="AA1911" s="190" t="inlineStr">
        <is>
          <t>https://vulncheck.com/blog/vuln-check-kev</t>
        </is>
      </c>
      <c r="AB1911" s="189" t="inlineStr">
        <is>
          <t>NONE</t>
        </is>
      </c>
      <c r="AC1911" s="189" t="n">
        <v>0</v>
      </c>
      <c r="AD1911" s="189" t="n"/>
    </row>
    <row r="1912">
      <c r="A1912" s="189" t="inlineStr">
        <is>
          <t>VULNCHECK_KEV</t>
        </is>
      </c>
      <c r="B1912" s="189" t="inlineStr">
        <is>
          <t>85f634fd5bfa</t>
        </is>
      </c>
      <c r="C1912" s="189" t="inlineStr">
        <is>
          <t>VulnCheck KEV: Microsoft Desktop Windows Manager contains a type confusion vulnerability that could allow an authorized attacker to elevate privileges locally. | CVEs: CVE-2026-21519</t>
        </is>
      </c>
      <c r="D1912" s="189" t="n">
        <v>7</v>
      </c>
      <c r="E1912" s="189" t="inlineStr">
        <is>
          <t>HIGH</t>
        </is>
      </c>
      <c r="F1912" s="189" t="n">
        <v>3</v>
      </c>
      <c r="G1912" s="189" t="n">
        <v>2</v>
      </c>
      <c r="H1912" s="189" t="inlineStr">
        <is>
          <t>HIGH</t>
        </is>
      </c>
      <c r="I1912" s="189" t="n">
        <v>13</v>
      </c>
      <c r="J1912" s="189" t="inlineStr">
        <is>
          <t>YES</t>
        </is>
      </c>
      <c r="K1912" s="190" t="inlineStr">
        <is>
          <t>https://vulncheck.com/blog/vuln-check-kev</t>
        </is>
      </c>
      <c r="L1912" s="189" t="n"/>
      <c r="M1912" s="189" t="inlineStr">
        <is>
          <t>URGENT - actively exploited</t>
        </is>
      </c>
      <c r="N1912" s="190" t="inlineStr">
        <is>
          <t>https://vulncheck.com/blog/vuln-check-kev</t>
        </is>
      </c>
      <c r="O1912" s="189" t="inlineStr">
        <is>
          <t>Patch immediately - known exploited</t>
        </is>
      </c>
      <c r="P1912" s="189" t="inlineStr">
        <is>
          <t>CVE-2026-21519</t>
        </is>
      </c>
      <c r="Q1912" s="189" t="inlineStr">
        <is>
          <t>P1</t>
        </is>
      </c>
      <c r="R1912" s="189" t="inlineStr">
        <is>
          <t>🔍 Investigate and apply appropriate controls</t>
        </is>
      </c>
      <c r="S1912" s="189" t="inlineStr">
        <is>
          <t>KEV entry - check specific CVEs for IP context</t>
        </is>
      </c>
      <c r="T1912" s="189" t="n">
        <v>0</v>
      </c>
      <c r="U1912" s="189" t="n">
        <v>0</v>
      </c>
      <c r="V1912" s="189" t="inlineStr">
        <is>
          <t>T1190:Exploit Public-Facing Application</t>
        </is>
      </c>
      <c r="W1912" s="189" t="n">
        <v>2</v>
      </c>
      <c r="X1912" s="189" t="inlineStr">
        <is>
          <t>CONFIRMED (82%)</t>
        </is>
      </c>
      <c r="Y1912" s="189" t="inlineStr">
        <is>
          <t>YES</t>
        </is>
      </c>
      <c r="Z1912" s="189" t="inlineStr">
        <is>
          <t>URGENT</t>
        </is>
      </c>
      <c r="AA1912" s="190" t="inlineStr">
        <is>
          <t>https://vulncheck.com/blog/vuln-check-kev</t>
        </is>
      </c>
      <c r="AB1912" s="189" t="inlineStr">
        <is>
          <t>NONE</t>
        </is>
      </c>
      <c r="AC1912" s="189" t="n">
        <v>0</v>
      </c>
      <c r="AD1912" s="189" t="n"/>
    </row>
    <row r="1913">
      <c r="A1913" s="189" t="inlineStr">
        <is>
          <t>VULNCHECK_KEV</t>
        </is>
      </c>
      <c r="B1913" s="189" t="inlineStr">
        <is>
          <t>e6c643c4aed6</t>
        </is>
      </c>
      <c r="C1913" s="189" t="inlineStr">
        <is>
          <t>VulnCheck KEV: Microsoft Office Word contains a reliance on untrusted inputs in a security decision vulnerability that could allow an authorized attacker to elevate privileges locally. | CVEs: CVE-2026-21514</t>
        </is>
      </c>
      <c r="D1913" s="189" t="n">
        <v>7</v>
      </c>
      <c r="E1913" s="189" t="inlineStr">
        <is>
          <t>HIGH</t>
        </is>
      </c>
      <c r="F1913" s="189" t="n">
        <v>3</v>
      </c>
      <c r="G1913" s="189" t="n">
        <v>2</v>
      </c>
      <c r="H1913" s="189" t="inlineStr">
        <is>
          <t>HIGH</t>
        </is>
      </c>
      <c r="I1913" s="189" t="n">
        <v>13</v>
      </c>
      <c r="J1913" s="189" t="inlineStr">
        <is>
          <t>YES</t>
        </is>
      </c>
      <c r="K1913" s="190" t="inlineStr">
        <is>
          <t>https://vulncheck.com/blog/vuln-check-kev</t>
        </is>
      </c>
      <c r="L1913" s="189" t="n"/>
      <c r="M1913" s="189" t="inlineStr">
        <is>
          <t>URGENT - actively exploited</t>
        </is>
      </c>
      <c r="N1913" s="190" t="inlineStr">
        <is>
          <t>https://vulncheck.com/blog/vuln-check-kev</t>
        </is>
      </c>
      <c r="O1913" s="189" t="inlineStr">
        <is>
          <t>Patch immediately - known exploited</t>
        </is>
      </c>
      <c r="P1913" s="189" t="inlineStr">
        <is>
          <t>CVE-2026-21514</t>
        </is>
      </c>
      <c r="Q1913" s="189" t="inlineStr">
        <is>
          <t>P1</t>
        </is>
      </c>
      <c r="R1913" s="189" t="inlineStr">
        <is>
          <t>🔍 Investigate and apply appropriate controls</t>
        </is>
      </c>
      <c r="S1913" s="189" t="inlineStr">
        <is>
          <t>KEV entry - check specific CVEs for IP context</t>
        </is>
      </c>
      <c r="T1913" s="189" t="n">
        <v>0</v>
      </c>
      <c r="U1913" s="189" t="n">
        <v>0</v>
      </c>
      <c r="V1913" s="189" t="inlineStr">
        <is>
          <t>T1190:Exploit Public-Facing Application</t>
        </is>
      </c>
      <c r="W1913" s="189" t="n">
        <v>2</v>
      </c>
      <c r="X1913" s="189" t="inlineStr">
        <is>
          <t>CONFIRMED (82%)</t>
        </is>
      </c>
      <c r="Y1913" s="189" t="inlineStr">
        <is>
          <t>YES</t>
        </is>
      </c>
      <c r="Z1913" s="189" t="inlineStr">
        <is>
          <t>URGENT</t>
        </is>
      </c>
      <c r="AA1913" s="190" t="inlineStr">
        <is>
          <t>https://vulncheck.com/blog/vuln-check-kev</t>
        </is>
      </c>
      <c r="AB1913" s="189" t="inlineStr">
        <is>
          <t>NONE</t>
        </is>
      </c>
      <c r="AC1913" s="189" t="n">
        <v>0</v>
      </c>
      <c r="AD1913" s="189" t="n"/>
    </row>
    <row r="1914">
      <c r="A1914" s="189" t="inlineStr">
        <is>
          <t>VULNCHECK_KEV</t>
        </is>
      </c>
      <c r="B1914" s="189" t="inlineStr">
        <is>
          <t>5eef0ab51375</t>
        </is>
      </c>
      <c r="C1914" s="189" t="inlineStr">
        <is>
          <t>VulnCheck KEV: Microsoft MSHTML Framework contains a protection mechanism failure vulnerability that could allow an unauthorized attacker to bypass a security feature over a network. | CVEs: CVE-2026-21513</t>
        </is>
      </c>
      <c r="D1914" s="189" t="n">
        <v>7</v>
      </c>
      <c r="E1914" s="189" t="inlineStr">
        <is>
          <t>HIGH</t>
        </is>
      </c>
      <c r="F1914" s="189" t="n">
        <v>3</v>
      </c>
      <c r="G1914" s="189" t="n">
        <v>2</v>
      </c>
      <c r="H1914" s="189" t="inlineStr">
        <is>
          <t>HIGH</t>
        </is>
      </c>
      <c r="I1914" s="189" t="n">
        <v>13</v>
      </c>
      <c r="J1914" s="189" t="inlineStr">
        <is>
          <t>YES</t>
        </is>
      </c>
      <c r="K1914" s="190" t="inlineStr">
        <is>
          <t>https://vulncheck.com/blog/vuln-check-kev</t>
        </is>
      </c>
      <c r="L1914" s="189" t="n"/>
      <c r="M1914" s="189" t="inlineStr">
        <is>
          <t>URGENT - actively exploited</t>
        </is>
      </c>
      <c r="N1914" s="190" t="inlineStr">
        <is>
          <t>https://vulncheck.com/blog/vuln-check-kev</t>
        </is>
      </c>
      <c r="O1914" s="189" t="inlineStr">
        <is>
          <t>Patch immediately - known exploited</t>
        </is>
      </c>
      <c r="P1914" s="189" t="inlineStr">
        <is>
          <t>CVE-2026-21513</t>
        </is>
      </c>
      <c r="Q1914" s="189" t="inlineStr">
        <is>
          <t>P1</t>
        </is>
      </c>
      <c r="R1914" s="189" t="inlineStr">
        <is>
          <t>🔍 Investigate and apply appropriate controls</t>
        </is>
      </c>
      <c r="S1914" s="189" t="inlineStr">
        <is>
          <t>KEV entry - check specific CVEs for IP context</t>
        </is>
      </c>
      <c r="T1914" s="189" t="n">
        <v>0</v>
      </c>
      <c r="U1914" s="189" t="n">
        <v>0</v>
      </c>
      <c r="V1914" s="189" t="inlineStr">
        <is>
          <t>T1190:Exploit Public-Facing Application</t>
        </is>
      </c>
      <c r="W1914" s="189" t="n">
        <v>2</v>
      </c>
      <c r="X1914" s="189" t="inlineStr">
        <is>
          <t>CONFIRMED (82%)</t>
        </is>
      </c>
      <c r="Y1914" s="189" t="inlineStr">
        <is>
          <t>YES</t>
        </is>
      </c>
      <c r="Z1914" s="189" t="inlineStr">
        <is>
          <t>URGENT</t>
        </is>
      </c>
      <c r="AA1914" s="190" t="inlineStr">
        <is>
          <t>https://vulncheck.com/blog/vuln-check-kev</t>
        </is>
      </c>
      <c r="AB1914" s="189" t="inlineStr">
        <is>
          <t>NONE</t>
        </is>
      </c>
      <c r="AC1914" s="189" t="n">
        <v>0</v>
      </c>
      <c r="AD1914" s="189" t="n"/>
    </row>
    <row r="1915">
      <c r="A1915" s="193" t="inlineStr">
        <is>
          <t>CISA_RANSOMWARE</t>
        </is>
      </c>
      <c r="B1915" s="193" t="inlineStr">
        <is>
          <t>2a06d3a072c1</t>
        </is>
      </c>
      <c r="C1915" s="193" t="inlineStr">
        <is>
          <t xml:space="preserve">🔒 CISA Stop Ransomware: CISA Adds Four Known Exploited Vulnerabilities to Catalog | Actors: </t>
        </is>
      </c>
      <c r="D1915" s="193" t="n">
        <v>9</v>
      </c>
      <c r="E1915" s="193" t="inlineStr">
        <is>
          <t>CRITICAL</t>
        </is>
      </c>
      <c r="F1915" s="193" t="n">
        <v>3</v>
      </c>
      <c r="G1915" s="193" t="n">
        <v>3</v>
      </c>
      <c r="H1915" s="193" t="inlineStr">
        <is>
          <t>CRITICAL</t>
        </is>
      </c>
      <c r="I1915" s="193" t="n">
        <v>18</v>
      </c>
      <c r="J1915" s="193" t="inlineStr">
        <is>
          <t>YES</t>
        </is>
      </c>
      <c r="K1915" s="194" t="inlineStr">
        <is>
          <t>https://www.cisa.gov/stopransomware</t>
        </is>
      </c>
      <c r="L1915" s="193" t="inlineStr">
        <is>
          <t>2026-02-17</t>
        </is>
      </c>
      <c r="M1915" s="193" t="inlineStr">
        <is>
          <t>See advisory</t>
        </is>
      </c>
      <c r="N1915" s="194" t="inlineStr">
        <is>
          <t>https://www.cisa.gov/stopransomware</t>
        </is>
      </c>
      <c r="O1915" s="193" t="inlineStr">
        <is>
          <t>Follow CISA ransomware guidance | Backup critical data | Segment networks</t>
        </is>
      </c>
      <c r="P1915" s="193" t="inlineStr">
        <is>
          <t>All sectors</t>
        </is>
      </c>
      <c r="Q1915" s="193" t="inlineStr">
        <is>
          <t>P1</t>
        </is>
      </c>
      <c r="R1915" s="193" t="inlineStr">
        <is>
          <t>🔍 Investigate and apply appropriate controls</t>
        </is>
      </c>
      <c r="S1915" s="193" t="inlineStr">
        <is>
          <t>Ransomware advisory - check IOCs for IP context</t>
        </is>
      </c>
      <c r="T1915" s="193" t="n">
        <v>0</v>
      </c>
      <c r="U1915" s="193" t="n">
        <v>0</v>
      </c>
      <c r="V1915" s="193" t="inlineStr">
        <is>
          <t>T1486:Data Encrypted for Impact | T1490:Inhibit System Recovery | T1041:Exfiltration Over C2 Channel</t>
        </is>
      </c>
      <c r="W1915" s="193" t="n">
        <v>2</v>
      </c>
      <c r="X1915" s="193" t="inlineStr">
        <is>
          <t>CONFIRMED (82%)</t>
        </is>
      </c>
      <c r="Y1915" s="193" t="inlineStr">
        <is>
          <t>NONE</t>
        </is>
      </c>
      <c r="Z1915" s="193" t="inlineStr">
        <is>
          <t>NONE</t>
        </is>
      </c>
      <c r="AA1915" s="193" t="inlineStr">
        <is>
          <t>NONE</t>
        </is>
      </c>
      <c r="AB1915" s="193" t="inlineStr">
        <is>
          <t>NONE</t>
        </is>
      </c>
      <c r="AC1915" s="193" t="n">
        <v>0</v>
      </c>
      <c r="AD1915" s="193" t="n"/>
    </row>
    <row r="1916">
      <c r="A1916" s="189" t="inlineStr">
        <is>
          <t>FIREWALL_ADVISORY</t>
        </is>
      </c>
      <c r="B1916" s="189" t="inlineStr">
        <is>
          <t>PAN-ADV</t>
        </is>
      </c>
      <c r="C1916" s="189" t="inlineStr">
        <is>
          <t>PAN Advisory: PAN-OS: Memory Corruption Vulnerability in GlobalProtect Clientless VPN During SAML Authentication</t>
        </is>
      </c>
      <c r="D1916" s="189" t="n">
        <v>7.5</v>
      </c>
      <c r="E1916" s="189" t="inlineStr">
        <is>
          <t>HIGH</t>
        </is>
      </c>
      <c r="F1916" s="189" t="n">
        <v>2</v>
      </c>
      <c r="G1916" s="189" t="n">
        <v>2</v>
      </c>
      <c r="H1916" s="189" t="inlineStr">
        <is>
          <t>MEDIUM</t>
        </is>
      </c>
      <c r="I1916" s="189" t="n">
        <v>11.5</v>
      </c>
      <c r="J1916" s="189" t="inlineStr">
        <is>
          <t>NO</t>
        </is>
      </c>
      <c r="K1916" s="190" t="inlineStr">
        <is>
          <t>https://security.paloaltonetworks.com/</t>
        </is>
      </c>
      <c r="L1916" s="189" t="inlineStr">
        <is>
          <t>2026-02-23 23:48</t>
        </is>
      </c>
      <c r="M1916" s="189" t="inlineStr">
        <is>
          <t>YES - Apply vendor patch immediately</t>
        </is>
      </c>
      <c r="N1916" s="190" t="inlineStr">
        <is>
          <t>https://security.paloaltonetworks.com/</t>
        </is>
      </c>
      <c r="O1916" s="189" t="inlineStr">
        <is>
          <t>Apply Palo Alto Networks security patches immediately | Review affected products | Check for workarounds</t>
        </is>
      </c>
      <c r="P1916" s="189" t="inlineStr">
        <is>
          <t>PAN-OS / GlobalProtect / Prisma / Cortex</t>
        </is>
      </c>
      <c r="Q1916" s="189" t="inlineStr">
        <is>
          <t>P3</t>
        </is>
      </c>
      <c r="R1916" s="189" t="inlineStr">
        <is>
          <t>🚫 Block IP at firewall immediately | 🔍 Check logs for existing connections | 🛡️ Add to threat intelligence blocklist</t>
        </is>
      </c>
      <c r="S1916" s="189" t="inlineStr">
        <is>
          <t>Firewall Advisory - Palo Alto Networks</t>
        </is>
      </c>
      <c r="T1916" s="189" t="n">
        <v>0</v>
      </c>
      <c r="U1916" s="189" t="n">
        <v>0</v>
      </c>
      <c r="V1916" s="189" t="inlineStr">
        <is>
          <t>T1190:Exploit Public-Facing Application | T1133:External Remote Services</t>
        </is>
      </c>
      <c r="W1916" s="189" t="n">
        <v>2</v>
      </c>
      <c r="X1916" s="189" t="inlineStr">
        <is>
          <t>MEDIUM (52%)</t>
        </is>
      </c>
      <c r="Y1916" s="189" t="inlineStr">
        <is>
          <t>CHECK_VENDOR</t>
        </is>
      </c>
      <c r="Z1916" s="189" t="inlineStr">
        <is>
          <t>YES</t>
        </is>
      </c>
      <c r="AA1916" s="190" t="inlineStr">
        <is>
          <t>https://security.paloaltonetworks.com/</t>
        </is>
      </c>
      <c r="AB1916" s="189" t="inlineStr">
        <is>
          <t>NONE</t>
        </is>
      </c>
      <c r="AC1916" s="189" t="n">
        <v>0</v>
      </c>
      <c r="AD1916" s="189" t="n"/>
    </row>
    <row r="1917">
      <c r="A1917" s="189" t="inlineStr">
        <is>
          <t>FIREWALL_ADVISORY</t>
        </is>
      </c>
      <c r="B1917" s="189" t="inlineStr">
        <is>
          <t>PAN-ADV</t>
        </is>
      </c>
      <c r="C1917" s="189" t="inlineStr">
        <is>
          <t>PAN Advisory:  PAN-OS: Firewall Denial of Service (DoS) in GlobalProtect Gateway and Portal</t>
        </is>
      </c>
      <c r="D1917" s="189" t="n">
        <v>7.5</v>
      </c>
      <c r="E1917" s="189" t="inlineStr">
        <is>
          <t>HIGH</t>
        </is>
      </c>
      <c r="F1917" s="189" t="n">
        <v>2</v>
      </c>
      <c r="G1917" s="189" t="n">
        <v>2</v>
      </c>
      <c r="H1917" s="189" t="inlineStr">
        <is>
          <t>MEDIUM</t>
        </is>
      </c>
      <c r="I1917" s="189" t="n">
        <v>11.5</v>
      </c>
      <c r="J1917" s="189" t="inlineStr">
        <is>
          <t>NO</t>
        </is>
      </c>
      <c r="K1917" s="190" t="inlineStr">
        <is>
          <t>https://security.paloaltonetworks.com/</t>
        </is>
      </c>
      <c r="L1917" s="189" t="inlineStr">
        <is>
          <t>2026-02-23 23:48</t>
        </is>
      </c>
      <c r="M1917" s="189" t="inlineStr">
        <is>
          <t>YES - Apply vendor patch immediately</t>
        </is>
      </c>
      <c r="N1917" s="190" t="inlineStr">
        <is>
          <t>https://security.paloaltonetworks.com/</t>
        </is>
      </c>
      <c r="O1917" s="189" t="inlineStr">
        <is>
          <t>Apply Palo Alto Networks security patches immediately | Review affected products | Check for workarounds</t>
        </is>
      </c>
      <c r="P1917" s="189" t="inlineStr">
        <is>
          <t>PAN-OS / GlobalProtect / Prisma / Cortex</t>
        </is>
      </c>
      <c r="Q1917" s="189" t="inlineStr">
        <is>
          <t>P3</t>
        </is>
      </c>
      <c r="R1917" s="189" t="inlineStr">
        <is>
          <t>🚫 Block IP at firewall immediately | 🔍 Check logs for existing connections | 🛡️ Add to threat intelligence blocklist</t>
        </is>
      </c>
      <c r="S1917" s="189" t="inlineStr">
        <is>
          <t>Firewall Advisory - Palo Alto Networks</t>
        </is>
      </c>
      <c r="T1917" s="189" t="n">
        <v>0</v>
      </c>
      <c r="U1917" s="189" t="n">
        <v>0</v>
      </c>
      <c r="V1917" s="189" t="inlineStr">
        <is>
          <t>T1190:Exploit Public-Facing Application | T1133:External Remote Services</t>
        </is>
      </c>
      <c r="W1917" s="189" t="n">
        <v>2</v>
      </c>
      <c r="X1917" s="189" t="inlineStr">
        <is>
          <t>MEDIUM (52%)</t>
        </is>
      </c>
      <c r="Y1917" s="189" t="inlineStr">
        <is>
          <t>CHECK_VENDOR</t>
        </is>
      </c>
      <c r="Z1917" s="189" t="inlineStr">
        <is>
          <t>YES</t>
        </is>
      </c>
      <c r="AA1917" s="190" t="inlineStr">
        <is>
          <t>https://security.paloaltonetworks.com/</t>
        </is>
      </c>
      <c r="AB1917" s="189" t="inlineStr">
        <is>
          <t>NONE</t>
        </is>
      </c>
      <c r="AC1917" s="189" t="n">
        <v>0</v>
      </c>
      <c r="AD1917" s="189" t="n"/>
    </row>
    <row r="1918">
      <c r="A1918" s="189" t="inlineStr">
        <is>
          <t>FIREWALL_ADVISORY</t>
        </is>
      </c>
      <c r="B1918" s="189" t="inlineStr">
        <is>
          <t>PAN-ADV</t>
        </is>
      </c>
      <c r="C1918" s="189" t="inlineStr">
        <is>
          <t>PAN Advisory: Chromium: Monthly Vulnerability Update (February 2026)</t>
        </is>
      </c>
      <c r="D1918" s="189" t="n">
        <v>7.5</v>
      </c>
      <c r="E1918" s="189" t="inlineStr">
        <is>
          <t>HIGH</t>
        </is>
      </c>
      <c r="F1918" s="189" t="n">
        <v>2</v>
      </c>
      <c r="G1918" s="189" t="n">
        <v>2</v>
      </c>
      <c r="H1918" s="189" t="inlineStr">
        <is>
          <t>MEDIUM</t>
        </is>
      </c>
      <c r="I1918" s="189" t="n">
        <v>11.5</v>
      </c>
      <c r="J1918" s="189" t="inlineStr">
        <is>
          <t>NO</t>
        </is>
      </c>
      <c r="K1918" s="190" t="inlineStr">
        <is>
          <t>https://security.paloaltonetworks.com/</t>
        </is>
      </c>
      <c r="L1918" s="189" t="inlineStr">
        <is>
          <t>2026-02-23 23:48</t>
        </is>
      </c>
      <c r="M1918" s="189" t="inlineStr">
        <is>
          <t>YES - Apply vendor patch immediately</t>
        </is>
      </c>
      <c r="N1918" s="190" t="inlineStr">
        <is>
          <t>https://security.paloaltonetworks.com/</t>
        </is>
      </c>
      <c r="O1918" s="189" t="inlineStr">
        <is>
          <t>Apply Palo Alto Networks security patches immediately | Review affected products | Check for workarounds</t>
        </is>
      </c>
      <c r="P1918" s="189" t="inlineStr">
        <is>
          <t>PAN-OS / GlobalProtect / Prisma / Cortex</t>
        </is>
      </c>
      <c r="Q1918" s="189" t="inlineStr">
        <is>
          <t>P3</t>
        </is>
      </c>
      <c r="R1918" s="189" t="inlineStr">
        <is>
          <t>🚫 Block IP at firewall immediately | 🔍 Check logs for existing connections | 🛡️ Add to threat intelligence blocklist</t>
        </is>
      </c>
      <c r="S1918" s="189" t="inlineStr">
        <is>
          <t>Firewall Advisory - Palo Alto Networks</t>
        </is>
      </c>
      <c r="T1918" s="189" t="n">
        <v>0</v>
      </c>
      <c r="U1918" s="189" t="n">
        <v>0</v>
      </c>
      <c r="V1918" s="189" t="inlineStr">
        <is>
          <t>T1190:Exploit Public-Facing Application | T1133:External Remote Services</t>
        </is>
      </c>
      <c r="W1918" s="189" t="n">
        <v>2</v>
      </c>
      <c r="X1918" s="189" t="inlineStr">
        <is>
          <t>MEDIUM (52%)</t>
        </is>
      </c>
      <c r="Y1918" s="189" t="inlineStr">
        <is>
          <t>CHECK_VENDOR</t>
        </is>
      </c>
      <c r="Z1918" s="189" t="inlineStr">
        <is>
          <t>YES</t>
        </is>
      </c>
      <c r="AA1918" s="190" t="inlineStr">
        <is>
          <t>https://security.paloaltonetworks.com/</t>
        </is>
      </c>
      <c r="AB1918" s="189" t="inlineStr">
        <is>
          <t>NONE</t>
        </is>
      </c>
      <c r="AC1918" s="189" t="n">
        <v>0</v>
      </c>
      <c r="AD1918" s="189" t="n"/>
    </row>
    <row r="1919">
      <c r="A1919" s="189" t="inlineStr">
        <is>
          <t>FIREWALL_ADVISORY</t>
        </is>
      </c>
      <c r="B1919" s="189" t="inlineStr">
        <is>
          <t>PAN-ADV</t>
        </is>
      </c>
      <c r="C1919" s="189" t="inlineStr">
        <is>
          <t>PAN Advisory: Chromium: Monthly Vulnerability Updates</t>
        </is>
      </c>
      <c r="D1919" s="189" t="n">
        <v>7.5</v>
      </c>
      <c r="E1919" s="189" t="inlineStr">
        <is>
          <t>HIGH</t>
        </is>
      </c>
      <c r="F1919" s="189" t="n">
        <v>2</v>
      </c>
      <c r="G1919" s="189" t="n">
        <v>2</v>
      </c>
      <c r="H1919" s="189" t="inlineStr">
        <is>
          <t>MEDIUM</t>
        </is>
      </c>
      <c r="I1919" s="189" t="n">
        <v>11.5</v>
      </c>
      <c r="J1919" s="189" t="inlineStr">
        <is>
          <t>NO</t>
        </is>
      </c>
      <c r="K1919" s="190" t="inlineStr">
        <is>
          <t>https://security.paloaltonetworks.com/</t>
        </is>
      </c>
      <c r="L1919" s="189" t="inlineStr">
        <is>
          <t>2026-02-23 23:48</t>
        </is>
      </c>
      <c r="M1919" s="189" t="inlineStr">
        <is>
          <t>YES - Apply vendor patch immediately</t>
        </is>
      </c>
      <c r="N1919" s="190" t="inlineStr">
        <is>
          <t>https://security.paloaltonetworks.com/</t>
        </is>
      </c>
      <c r="O1919" s="189" t="inlineStr">
        <is>
          <t>Apply Palo Alto Networks security patches immediately | Review affected products | Check for workarounds</t>
        </is>
      </c>
      <c r="P1919" s="189" t="inlineStr">
        <is>
          <t>PAN-OS / GlobalProtect / Prisma / Cortex</t>
        </is>
      </c>
      <c r="Q1919" s="189" t="inlineStr">
        <is>
          <t>P3</t>
        </is>
      </c>
      <c r="R1919" s="189" t="inlineStr">
        <is>
          <t>🚫 Block IP at firewall immediately | 🔍 Check logs for existing connections | 🛡️ Add to threat intelligence blocklist</t>
        </is>
      </c>
      <c r="S1919" s="189" t="inlineStr">
        <is>
          <t>Firewall Advisory - Palo Alto Networks</t>
        </is>
      </c>
      <c r="T1919" s="189" t="n">
        <v>0</v>
      </c>
      <c r="U1919" s="189" t="n">
        <v>0</v>
      </c>
      <c r="V1919" s="189" t="inlineStr">
        <is>
          <t>T1190:Exploit Public-Facing Application | T1133:External Remote Services</t>
        </is>
      </c>
      <c r="W1919" s="189" t="n">
        <v>2</v>
      </c>
      <c r="X1919" s="189" t="inlineStr">
        <is>
          <t>MEDIUM (52%)</t>
        </is>
      </c>
      <c r="Y1919" s="189" t="inlineStr">
        <is>
          <t>CHECK_VENDOR</t>
        </is>
      </c>
      <c r="Z1919" s="189" t="inlineStr">
        <is>
          <t>YES</t>
        </is>
      </c>
      <c r="AA1919" s="190" t="inlineStr">
        <is>
          <t>https://security.paloaltonetworks.com/</t>
        </is>
      </c>
      <c r="AB1919" s="189" t="inlineStr">
        <is>
          <t>NONE</t>
        </is>
      </c>
      <c r="AC1919" s="189" t="n">
        <v>0</v>
      </c>
      <c r="AD1919" s="189" t="n"/>
    </row>
    <row r="1920">
      <c r="A1920" s="189" t="inlineStr">
        <is>
          <t>FIREWALL_ADVISORY</t>
        </is>
      </c>
      <c r="B1920" s="189" t="inlineStr">
        <is>
          <t>PAN-ADV</t>
        </is>
      </c>
      <c r="C1920" s="189" t="inlineStr">
        <is>
          <t>PAN Advisory: Secdo: Privilege escalation via hardcoded script path</t>
        </is>
      </c>
      <c r="D1920" s="189" t="n">
        <v>7.5</v>
      </c>
      <c r="E1920" s="189" t="inlineStr">
        <is>
          <t>HIGH</t>
        </is>
      </c>
      <c r="F1920" s="189" t="n">
        <v>2</v>
      </c>
      <c r="G1920" s="189" t="n">
        <v>2</v>
      </c>
      <c r="H1920" s="189" t="inlineStr">
        <is>
          <t>MEDIUM</t>
        </is>
      </c>
      <c r="I1920" s="189" t="n">
        <v>11.5</v>
      </c>
      <c r="J1920" s="189" t="inlineStr">
        <is>
          <t>NO</t>
        </is>
      </c>
      <c r="K1920" s="190" t="inlineStr">
        <is>
          <t>https://security.paloaltonetworks.com/</t>
        </is>
      </c>
      <c r="L1920" s="189" t="inlineStr">
        <is>
          <t>2026-02-23 23:48</t>
        </is>
      </c>
      <c r="M1920" s="189" t="inlineStr">
        <is>
          <t>YES - Apply vendor patch immediately</t>
        </is>
      </c>
      <c r="N1920" s="190" t="inlineStr">
        <is>
          <t>https://security.paloaltonetworks.com/</t>
        </is>
      </c>
      <c r="O1920" s="189" t="inlineStr">
        <is>
          <t>Apply Palo Alto Networks security patches immediately | Review affected products | Check for workarounds</t>
        </is>
      </c>
      <c r="P1920" s="189" t="inlineStr">
        <is>
          <t>PAN-OS / GlobalProtect / Prisma / Cortex</t>
        </is>
      </c>
      <c r="Q1920" s="189" t="inlineStr">
        <is>
          <t>P3</t>
        </is>
      </c>
      <c r="R1920" s="189" t="inlineStr">
        <is>
          <t>🚫 Block IP at firewall immediately | 🔍 Check logs for existing connections | 🛡️ Add to threat intelligence blocklist</t>
        </is>
      </c>
      <c r="S1920" s="189" t="inlineStr">
        <is>
          <t>Firewall Advisory - Palo Alto Networks</t>
        </is>
      </c>
      <c r="T1920" s="189" t="n">
        <v>0</v>
      </c>
      <c r="U1920" s="189" t="n">
        <v>0</v>
      </c>
      <c r="V1920" s="189" t="inlineStr">
        <is>
          <t>T1190:Exploit Public-Facing Application | T1133:External Remote Services</t>
        </is>
      </c>
      <c r="W1920" s="189" t="n">
        <v>2</v>
      </c>
      <c r="X1920" s="189" t="inlineStr">
        <is>
          <t>MEDIUM (52%)</t>
        </is>
      </c>
      <c r="Y1920" s="189" t="inlineStr">
        <is>
          <t>CHECK_VENDOR</t>
        </is>
      </c>
      <c r="Z1920" s="189" t="inlineStr">
        <is>
          <t>YES</t>
        </is>
      </c>
      <c r="AA1920" s="190" t="inlineStr">
        <is>
          <t>https://security.paloaltonetworks.com/</t>
        </is>
      </c>
      <c r="AB1920" s="189" t="inlineStr">
        <is>
          <t>NONE</t>
        </is>
      </c>
      <c r="AC1920" s="189" t="n">
        <v>0</v>
      </c>
      <c r="AD1920" s="189" t="n"/>
    </row>
    <row r="1921">
      <c r="A1921" s="189" t="inlineStr">
        <is>
          <t>FIREWALL_ADVISORY</t>
        </is>
      </c>
      <c r="B1921" s="189" t="inlineStr">
        <is>
          <t>PAN-ADV</t>
        </is>
      </c>
      <c r="C1921" s="189" t="inlineStr">
        <is>
          <t xml:space="preserve">PAN Advisory: Secdo: Incorrect Default Permissions </t>
        </is>
      </c>
      <c r="D1921" s="189" t="n">
        <v>7.5</v>
      </c>
      <c r="E1921" s="189" t="inlineStr">
        <is>
          <t>HIGH</t>
        </is>
      </c>
      <c r="F1921" s="189" t="n">
        <v>2</v>
      </c>
      <c r="G1921" s="189" t="n">
        <v>2</v>
      </c>
      <c r="H1921" s="189" t="inlineStr">
        <is>
          <t>MEDIUM</t>
        </is>
      </c>
      <c r="I1921" s="189" t="n">
        <v>11.5</v>
      </c>
      <c r="J1921" s="189" t="inlineStr">
        <is>
          <t>NO</t>
        </is>
      </c>
      <c r="K1921" s="190" t="inlineStr">
        <is>
          <t>https://security.paloaltonetworks.com/</t>
        </is>
      </c>
      <c r="L1921" s="189" t="inlineStr">
        <is>
          <t>2026-02-23 23:48</t>
        </is>
      </c>
      <c r="M1921" s="189" t="inlineStr">
        <is>
          <t>YES - Apply vendor patch immediately</t>
        </is>
      </c>
      <c r="N1921" s="190" t="inlineStr">
        <is>
          <t>https://security.paloaltonetworks.com/</t>
        </is>
      </c>
      <c r="O1921" s="189" t="inlineStr">
        <is>
          <t>Apply Palo Alto Networks security patches immediately | Review affected products | Check for workarounds</t>
        </is>
      </c>
      <c r="P1921" s="189" t="inlineStr">
        <is>
          <t>PAN-OS / GlobalProtect / Prisma / Cortex</t>
        </is>
      </c>
      <c r="Q1921" s="189" t="inlineStr">
        <is>
          <t>P3</t>
        </is>
      </c>
      <c r="R1921" s="189" t="inlineStr">
        <is>
          <t>🚫 Block IP at firewall immediately | 🔍 Check logs for existing connections | 🛡️ Add to threat intelligence blocklist</t>
        </is>
      </c>
      <c r="S1921" s="189" t="inlineStr">
        <is>
          <t>Firewall Advisory - Palo Alto Networks</t>
        </is>
      </c>
      <c r="T1921" s="189" t="n">
        <v>0</v>
      </c>
      <c r="U1921" s="189" t="n">
        <v>0</v>
      </c>
      <c r="V1921" s="189" t="inlineStr">
        <is>
          <t>T1190:Exploit Public-Facing Application | T1133:External Remote Services</t>
        </is>
      </c>
      <c r="W1921" s="189" t="n">
        <v>2</v>
      </c>
      <c r="X1921" s="189" t="inlineStr">
        <is>
          <t>MEDIUM (52%)</t>
        </is>
      </c>
      <c r="Y1921" s="189" t="inlineStr">
        <is>
          <t>CHECK_VENDOR</t>
        </is>
      </c>
      <c r="Z1921" s="189" t="inlineStr">
        <is>
          <t>YES</t>
        </is>
      </c>
      <c r="AA1921" s="190" t="inlineStr">
        <is>
          <t>https://security.paloaltonetworks.com/</t>
        </is>
      </c>
      <c r="AB1921" s="189" t="inlineStr">
        <is>
          <t>NONE</t>
        </is>
      </c>
      <c r="AC1921" s="189" t="n">
        <v>0</v>
      </c>
      <c r="AD1921" s="189" t="n"/>
    </row>
    <row r="1922">
      <c r="A1922" s="189" t="inlineStr">
        <is>
          <t>FIREWALL_ADVISORY</t>
        </is>
      </c>
      <c r="B1922" s="189" t="inlineStr">
        <is>
          <t>PAN-ADV</t>
        </is>
      </c>
      <c r="C1922" s="189" t="inlineStr">
        <is>
          <t>PAN Advisory: PAN-OS OpenConfig Plugin: Command Injection Vulnerability in OpenConfig Plugin</t>
        </is>
      </c>
      <c r="D1922" s="189" t="n">
        <v>7.5</v>
      </c>
      <c r="E1922" s="189" t="inlineStr">
        <is>
          <t>HIGH</t>
        </is>
      </c>
      <c r="F1922" s="189" t="n">
        <v>2</v>
      </c>
      <c r="G1922" s="189" t="n">
        <v>2</v>
      </c>
      <c r="H1922" s="189" t="inlineStr">
        <is>
          <t>MEDIUM</t>
        </is>
      </c>
      <c r="I1922" s="189" t="n">
        <v>11.5</v>
      </c>
      <c r="J1922" s="189" t="inlineStr">
        <is>
          <t>NO</t>
        </is>
      </c>
      <c r="K1922" s="190" t="inlineStr">
        <is>
          <t>https://security.paloaltonetworks.com/</t>
        </is>
      </c>
      <c r="L1922" s="189" t="inlineStr">
        <is>
          <t>2026-02-23 23:48</t>
        </is>
      </c>
      <c r="M1922" s="189" t="inlineStr">
        <is>
          <t>YES - Apply vendor patch immediately</t>
        </is>
      </c>
      <c r="N1922" s="190" t="inlineStr">
        <is>
          <t>https://security.paloaltonetworks.com/</t>
        </is>
      </c>
      <c r="O1922" s="189" t="inlineStr">
        <is>
          <t>Apply Palo Alto Networks security patches immediately | Review affected products | Check for workarounds</t>
        </is>
      </c>
      <c r="P1922" s="189" t="inlineStr">
        <is>
          <t>PAN-OS / GlobalProtect / Prisma / Cortex</t>
        </is>
      </c>
      <c r="Q1922" s="189" t="inlineStr">
        <is>
          <t>P3</t>
        </is>
      </c>
      <c r="R1922" s="189" t="inlineStr">
        <is>
          <t>🚫 Block IP at firewall immediately | 🔍 Check logs for existing connections | 🛡️ Add to threat intelligence blocklist</t>
        </is>
      </c>
      <c r="S1922" s="189" t="inlineStr">
        <is>
          <t>Firewall Advisory - Palo Alto Networks</t>
        </is>
      </c>
      <c r="T1922" s="189" t="n">
        <v>0</v>
      </c>
      <c r="U1922" s="189" t="n">
        <v>0</v>
      </c>
      <c r="V1922" s="189" t="inlineStr">
        <is>
          <t>T1190:Exploit Public-Facing Application | T1133:External Remote Services</t>
        </is>
      </c>
      <c r="W1922" s="189" t="n">
        <v>2</v>
      </c>
      <c r="X1922" s="189" t="inlineStr">
        <is>
          <t>MEDIUM (52%)</t>
        </is>
      </c>
      <c r="Y1922" s="189" t="inlineStr">
        <is>
          <t>CHECK_VENDOR</t>
        </is>
      </c>
      <c r="Z1922" s="189" t="inlineStr">
        <is>
          <t>YES</t>
        </is>
      </c>
      <c r="AA1922" s="190" t="inlineStr">
        <is>
          <t>https://security.paloaltonetworks.com/</t>
        </is>
      </c>
      <c r="AB1922" s="189" t="inlineStr">
        <is>
          <t>NONE</t>
        </is>
      </c>
      <c r="AC1922" s="189" t="n">
        <v>0</v>
      </c>
      <c r="AD1922" s="189" t="n"/>
    </row>
    <row r="1923">
      <c r="A1923" s="189" t="inlineStr">
        <is>
          <t>FIREWALL_ADVISORY</t>
        </is>
      </c>
      <c r="B1923" s="189" t="inlineStr">
        <is>
          <t>CPAI-2025-12332</t>
        </is>
      </c>
      <c r="C1923" s="189" t="inlineStr">
        <is>
          <t>Check Point Advisory: CPAI-2025-12332 | The post CPAI-2025-12332 appeared first on Check Point Software .</t>
        </is>
      </c>
      <c r="D1923" s="189" t="n">
        <v>7.5</v>
      </c>
      <c r="E1923" s="189" t="inlineStr">
        <is>
          <t>HIGH</t>
        </is>
      </c>
      <c r="F1923" s="189" t="n">
        <v>2</v>
      </c>
      <c r="G1923" s="189" t="n">
        <v>2</v>
      </c>
      <c r="H1923" s="189" t="inlineStr">
        <is>
          <t>MEDIUM</t>
        </is>
      </c>
      <c r="I1923" s="189" t="n">
        <v>11.5</v>
      </c>
      <c r="J1923" s="189" t="inlineStr">
        <is>
          <t>NO</t>
        </is>
      </c>
      <c r="K1923" s="189" t="inlineStr">
        <is>
          <t>/defense/advisories/public/2026/cpai-2025-12332.html</t>
        </is>
      </c>
      <c r="L1923" s="189" t="inlineStr">
        <is>
          <t>2026-02-23 23:48</t>
        </is>
      </c>
      <c r="M1923" s="189" t="inlineStr">
        <is>
          <t>YES - Apply vendor patch immediately</t>
        </is>
      </c>
      <c r="N1923" s="189" t="inlineStr">
        <is>
          <t>/defense/advisories/public/2026/cpai-2025-12332.html</t>
        </is>
      </c>
      <c r="O1923" s="189" t="inlineStr">
        <is>
          <t>Apply Check Point security patches immediately | Review affected products | Check for workarounds</t>
        </is>
      </c>
      <c r="P1923" s="189" t="inlineStr">
        <is>
          <t>Check Point Gaia OS / CloudGuard / Quantum</t>
        </is>
      </c>
      <c r="Q1923" s="189" t="inlineStr">
        <is>
          <t>P3</t>
        </is>
      </c>
      <c r="R1923" s="189" t="inlineStr">
        <is>
          <t>🚫 Block IP at firewall immediately | 🔍 Check logs for existing connections | 🛡️ Add to threat intelligence blocklist</t>
        </is>
      </c>
      <c r="S1923" s="189" t="inlineStr">
        <is>
          <t>Firewall Advisory - Check Point</t>
        </is>
      </c>
      <c r="T1923" s="189" t="n">
        <v>0</v>
      </c>
      <c r="U1923" s="189" t="n">
        <v>0</v>
      </c>
      <c r="V1923" s="189" t="inlineStr">
        <is>
          <t>T1190:Exploit Public-Facing Application | T1133:External Remote Services</t>
        </is>
      </c>
      <c r="W1923" s="189" t="n">
        <v>2</v>
      </c>
      <c r="X1923" s="189" t="inlineStr">
        <is>
          <t>MEDIUM (52%)</t>
        </is>
      </c>
      <c r="Y1923" s="189" t="inlineStr">
        <is>
          <t>CHECK_VENDOR</t>
        </is>
      </c>
      <c r="Z1923" s="189" t="inlineStr">
        <is>
          <t>YES</t>
        </is>
      </c>
      <c r="AA1923" s="189" t="inlineStr">
        <is>
          <t>/defense/advisories/public/2026/cpai-2025-12332.html</t>
        </is>
      </c>
      <c r="AB1923" s="189" t="inlineStr">
        <is>
          <t>NONE</t>
        </is>
      </c>
      <c r="AC1923" s="189" t="n">
        <v>0</v>
      </c>
      <c r="AD1923" s="189" t="n"/>
    </row>
    <row r="1924">
      <c r="A1924" s="189" t="inlineStr">
        <is>
          <t>FIREWALL_ADVISORY</t>
        </is>
      </c>
      <c r="B1924" s="189" t="inlineStr">
        <is>
          <t>CPAI-2026-0972</t>
        </is>
      </c>
      <c r="C1924" s="189" t="inlineStr">
        <is>
          <t>Check Point Advisory: CPAI-2026-0972 | The post CPAI-2026-0972 appeared first on Check Point Software .</t>
        </is>
      </c>
      <c r="D1924" s="189" t="n">
        <v>7.5</v>
      </c>
      <c r="E1924" s="189" t="inlineStr">
        <is>
          <t>HIGH</t>
        </is>
      </c>
      <c r="F1924" s="189" t="n">
        <v>2</v>
      </c>
      <c r="G1924" s="189" t="n">
        <v>2</v>
      </c>
      <c r="H1924" s="189" t="inlineStr">
        <is>
          <t>MEDIUM</t>
        </is>
      </c>
      <c r="I1924" s="189" t="n">
        <v>11.5</v>
      </c>
      <c r="J1924" s="189" t="inlineStr">
        <is>
          <t>NO</t>
        </is>
      </c>
      <c r="K1924" s="189" t="inlineStr">
        <is>
          <t>/defense/advisories/public/2026/cpai-2026-0972.html</t>
        </is>
      </c>
      <c r="L1924" s="189" t="inlineStr">
        <is>
          <t>2026-02-23 23:48</t>
        </is>
      </c>
      <c r="M1924" s="189" t="inlineStr">
        <is>
          <t>YES - Apply vendor patch immediately</t>
        </is>
      </c>
      <c r="N1924" s="189" t="inlineStr">
        <is>
          <t>/defense/advisories/public/2026/cpai-2026-0972.html</t>
        </is>
      </c>
      <c r="O1924" s="189" t="inlineStr">
        <is>
          <t>Apply Check Point security patches immediately | Review affected products | Check for workarounds</t>
        </is>
      </c>
      <c r="P1924" s="189" t="inlineStr">
        <is>
          <t>Check Point Gaia OS / CloudGuard / Quantum</t>
        </is>
      </c>
      <c r="Q1924" s="189" t="inlineStr">
        <is>
          <t>P3</t>
        </is>
      </c>
      <c r="R1924" s="189" t="inlineStr">
        <is>
          <t>🚫 Block IP at firewall immediately | 🔍 Check logs for existing connections | 🛡️ Add to threat intelligence blocklist</t>
        </is>
      </c>
      <c r="S1924" s="189" t="inlineStr">
        <is>
          <t>Firewall Advisory - Check Point</t>
        </is>
      </c>
      <c r="T1924" s="189" t="n">
        <v>0</v>
      </c>
      <c r="U1924" s="189" t="n">
        <v>0</v>
      </c>
      <c r="V1924" s="189" t="inlineStr">
        <is>
          <t>T1190:Exploit Public-Facing Application | T1133:External Remote Services</t>
        </is>
      </c>
      <c r="W1924" s="189" t="n">
        <v>2</v>
      </c>
      <c r="X1924" s="189" t="inlineStr">
        <is>
          <t>MEDIUM (52%)</t>
        </is>
      </c>
      <c r="Y1924" s="189" t="inlineStr">
        <is>
          <t>CHECK_VENDOR</t>
        </is>
      </c>
      <c r="Z1924" s="189" t="inlineStr">
        <is>
          <t>YES</t>
        </is>
      </c>
      <c r="AA1924" s="189" t="inlineStr">
        <is>
          <t>/defense/advisories/public/2026/cpai-2026-0972.html</t>
        </is>
      </c>
      <c r="AB1924" s="189" t="inlineStr">
        <is>
          <t>NONE</t>
        </is>
      </c>
      <c r="AC1924" s="189" t="n">
        <v>0</v>
      </c>
      <c r="AD1924" s="189" t="n"/>
    </row>
    <row r="1925">
      <c r="A1925" s="189" t="inlineStr">
        <is>
          <t>FIREWALL_ADVISORY</t>
        </is>
      </c>
      <c r="B1925" s="189" t="inlineStr">
        <is>
          <t>CPAI-2025-12360</t>
        </is>
      </c>
      <c r="C1925" s="189" t="inlineStr">
        <is>
          <t>Check Point Advisory: CPAI-2025-12360 | The post CPAI-2025-12360 appeared first on Check Point Software .</t>
        </is>
      </c>
      <c r="D1925" s="189" t="n">
        <v>7.5</v>
      </c>
      <c r="E1925" s="189" t="inlineStr">
        <is>
          <t>HIGH</t>
        </is>
      </c>
      <c r="F1925" s="189" t="n">
        <v>2</v>
      </c>
      <c r="G1925" s="189" t="n">
        <v>2</v>
      </c>
      <c r="H1925" s="189" t="inlineStr">
        <is>
          <t>MEDIUM</t>
        </is>
      </c>
      <c r="I1925" s="189" t="n">
        <v>11.5</v>
      </c>
      <c r="J1925" s="189" t="inlineStr">
        <is>
          <t>NO</t>
        </is>
      </c>
      <c r="K1925" s="189" t="inlineStr">
        <is>
          <t>/defense/advisories/public/2026/cpai-2025-12360.html</t>
        </is>
      </c>
      <c r="L1925" s="189" t="inlineStr">
        <is>
          <t>2026-02-23 23:48</t>
        </is>
      </c>
      <c r="M1925" s="189" t="inlineStr">
        <is>
          <t>YES - Apply vendor patch immediately</t>
        </is>
      </c>
      <c r="N1925" s="189" t="inlineStr">
        <is>
          <t>/defense/advisories/public/2026/cpai-2025-12360.html</t>
        </is>
      </c>
      <c r="O1925" s="189" t="inlineStr">
        <is>
          <t>Apply Check Point security patches immediately | Review affected products | Check for workarounds</t>
        </is>
      </c>
      <c r="P1925" s="189" t="inlineStr">
        <is>
          <t>Check Point Gaia OS / CloudGuard / Quantum</t>
        </is>
      </c>
      <c r="Q1925" s="189" t="inlineStr">
        <is>
          <t>P3</t>
        </is>
      </c>
      <c r="R1925" s="189" t="inlineStr">
        <is>
          <t>🚫 Block IP at firewall immediately | 🔍 Check logs for existing connections | 🛡️ Add to threat intelligence blocklist</t>
        </is>
      </c>
      <c r="S1925" s="189" t="inlineStr">
        <is>
          <t>Firewall Advisory - Check Point</t>
        </is>
      </c>
      <c r="T1925" s="189" t="n">
        <v>0</v>
      </c>
      <c r="U1925" s="189" t="n">
        <v>0</v>
      </c>
      <c r="V1925" s="189" t="inlineStr">
        <is>
          <t>T1190:Exploit Public-Facing Application | T1133:External Remote Services</t>
        </is>
      </c>
      <c r="W1925" s="189" t="n">
        <v>2</v>
      </c>
      <c r="X1925" s="189" t="inlineStr">
        <is>
          <t>MEDIUM (52%)</t>
        </is>
      </c>
      <c r="Y1925" s="189" t="inlineStr">
        <is>
          <t>CHECK_VENDOR</t>
        </is>
      </c>
      <c r="Z1925" s="189" t="inlineStr">
        <is>
          <t>YES</t>
        </is>
      </c>
      <c r="AA1925" s="189" t="inlineStr">
        <is>
          <t>/defense/advisories/public/2026/cpai-2025-12360.html</t>
        </is>
      </c>
      <c r="AB1925" s="189" t="inlineStr">
        <is>
          <t>NONE</t>
        </is>
      </c>
      <c r="AC1925" s="189" t="n">
        <v>0</v>
      </c>
      <c r="AD1925" s="189" t="n"/>
    </row>
    <row r="1926">
      <c r="A1926" s="189" t="inlineStr">
        <is>
          <t>FIREWALL_ADVISORY</t>
        </is>
      </c>
      <c r="B1926" s="189" t="inlineStr">
        <is>
          <t>CPAI-2026-0907</t>
        </is>
      </c>
      <c r="C1926" s="189" t="inlineStr">
        <is>
          <t>Check Point Advisory: CPAI-2026-0907 | The post CPAI-2026-0907 appeared first on Check Point Software .</t>
        </is>
      </c>
      <c r="D1926" s="189" t="n">
        <v>7.5</v>
      </c>
      <c r="E1926" s="189" t="inlineStr">
        <is>
          <t>HIGH</t>
        </is>
      </c>
      <c r="F1926" s="189" t="n">
        <v>2</v>
      </c>
      <c r="G1926" s="189" t="n">
        <v>2</v>
      </c>
      <c r="H1926" s="189" t="inlineStr">
        <is>
          <t>MEDIUM</t>
        </is>
      </c>
      <c r="I1926" s="189" t="n">
        <v>11.5</v>
      </c>
      <c r="J1926" s="189" t="inlineStr">
        <is>
          <t>NO</t>
        </is>
      </c>
      <c r="K1926" s="189" t="inlineStr">
        <is>
          <t>/defense/advisories/public/2026/cpai-2026-0907.html</t>
        </is>
      </c>
      <c r="L1926" s="189" t="inlineStr">
        <is>
          <t>2026-02-23 23:48</t>
        </is>
      </c>
      <c r="M1926" s="189" t="inlineStr">
        <is>
          <t>YES - Apply vendor patch immediately</t>
        </is>
      </c>
      <c r="N1926" s="189" t="inlineStr">
        <is>
          <t>/defense/advisories/public/2026/cpai-2026-0907.html</t>
        </is>
      </c>
      <c r="O1926" s="189" t="inlineStr">
        <is>
          <t>Apply Check Point security patches immediately | Review affected products | Check for workarounds</t>
        </is>
      </c>
      <c r="P1926" s="189" t="inlineStr">
        <is>
          <t>Check Point Gaia OS / CloudGuard / Quantum</t>
        </is>
      </c>
      <c r="Q1926" s="189" t="inlineStr">
        <is>
          <t>P3</t>
        </is>
      </c>
      <c r="R1926" s="189" t="inlineStr">
        <is>
          <t>🚫 Block IP at firewall immediately | 🔍 Check logs for existing connections | 🛡️ Add to threat intelligence blocklist</t>
        </is>
      </c>
      <c r="S1926" s="189" t="inlineStr">
        <is>
          <t>Firewall Advisory - Check Point</t>
        </is>
      </c>
      <c r="T1926" s="189" t="n">
        <v>0</v>
      </c>
      <c r="U1926" s="189" t="n">
        <v>0</v>
      </c>
      <c r="V1926" s="189" t="inlineStr">
        <is>
          <t>T1190:Exploit Public-Facing Application | T1133:External Remote Services</t>
        </is>
      </c>
      <c r="W1926" s="189" t="n">
        <v>2</v>
      </c>
      <c r="X1926" s="189" t="inlineStr">
        <is>
          <t>MEDIUM (52%)</t>
        </is>
      </c>
      <c r="Y1926" s="189" t="inlineStr">
        <is>
          <t>CHECK_VENDOR</t>
        </is>
      </c>
      <c r="Z1926" s="189" t="inlineStr">
        <is>
          <t>YES</t>
        </is>
      </c>
      <c r="AA1926" s="189" t="inlineStr">
        <is>
          <t>/defense/advisories/public/2026/cpai-2026-0907.html</t>
        </is>
      </c>
      <c r="AB1926" s="189" t="inlineStr">
        <is>
          <t>NONE</t>
        </is>
      </c>
      <c r="AC1926" s="189" t="n">
        <v>0</v>
      </c>
      <c r="AD1926" s="189" t="n"/>
    </row>
    <row r="1927">
      <c r="A1927" s="189" t="inlineStr">
        <is>
          <t>FIREWALL_ADVISORY</t>
        </is>
      </c>
      <c r="B1927" s="189" t="inlineStr">
        <is>
          <t>CPAI-2025-12342</t>
        </is>
      </c>
      <c r="C1927" s="189" t="inlineStr">
        <is>
          <t>Check Point Advisory: CPAI-2025-12342 | The post CPAI-2025-12342 appeared first on Check Point Software .</t>
        </is>
      </c>
      <c r="D1927" s="189" t="n">
        <v>7.5</v>
      </c>
      <c r="E1927" s="189" t="inlineStr">
        <is>
          <t>HIGH</t>
        </is>
      </c>
      <c r="F1927" s="189" t="n">
        <v>2</v>
      </c>
      <c r="G1927" s="189" t="n">
        <v>2</v>
      </c>
      <c r="H1927" s="189" t="inlineStr">
        <is>
          <t>MEDIUM</t>
        </is>
      </c>
      <c r="I1927" s="189" t="n">
        <v>11.5</v>
      </c>
      <c r="J1927" s="189" t="inlineStr">
        <is>
          <t>NO</t>
        </is>
      </c>
      <c r="K1927" s="189" t="inlineStr">
        <is>
          <t>/defense/advisories/public/2026/cpai-2025-12342.html</t>
        </is>
      </c>
      <c r="L1927" s="189" t="inlineStr">
        <is>
          <t>2026-02-23 23:48</t>
        </is>
      </c>
      <c r="M1927" s="189" t="inlineStr">
        <is>
          <t>YES - Apply vendor patch immediately</t>
        </is>
      </c>
      <c r="N1927" s="189" t="inlineStr">
        <is>
          <t>/defense/advisories/public/2026/cpai-2025-12342.html</t>
        </is>
      </c>
      <c r="O1927" s="189" t="inlineStr">
        <is>
          <t>Apply Check Point security patches immediately | Review affected products | Check for workarounds</t>
        </is>
      </c>
      <c r="P1927" s="189" t="inlineStr">
        <is>
          <t>Check Point Gaia OS / CloudGuard / Quantum</t>
        </is>
      </c>
      <c r="Q1927" s="189" t="inlineStr">
        <is>
          <t>P3</t>
        </is>
      </c>
      <c r="R1927" s="189" t="inlineStr">
        <is>
          <t>🚫 Block IP at firewall immediately | 🔍 Check logs for existing connections | 🛡️ Add to threat intelligence blocklist</t>
        </is>
      </c>
      <c r="S1927" s="189" t="inlineStr">
        <is>
          <t>Firewall Advisory - Check Point</t>
        </is>
      </c>
      <c r="T1927" s="189" t="n">
        <v>0</v>
      </c>
      <c r="U1927" s="189" t="n">
        <v>0</v>
      </c>
      <c r="V1927" s="189" t="inlineStr">
        <is>
          <t>T1190:Exploit Public-Facing Application | T1133:External Remote Services</t>
        </is>
      </c>
      <c r="W1927" s="189" t="n">
        <v>2</v>
      </c>
      <c r="X1927" s="189" t="inlineStr">
        <is>
          <t>MEDIUM (52%)</t>
        </is>
      </c>
      <c r="Y1927" s="189" t="inlineStr">
        <is>
          <t>CHECK_VENDOR</t>
        </is>
      </c>
      <c r="Z1927" s="189" t="inlineStr">
        <is>
          <t>YES</t>
        </is>
      </c>
      <c r="AA1927" s="189" t="inlineStr">
        <is>
          <t>/defense/advisories/public/2026/cpai-2025-12342.html</t>
        </is>
      </c>
      <c r="AB1927" s="189" t="inlineStr">
        <is>
          <t>NONE</t>
        </is>
      </c>
      <c r="AC1927" s="189" t="n">
        <v>0</v>
      </c>
      <c r="AD1927" s="189" t="n"/>
    </row>
    <row r="1928">
      <c r="A1928" s="189" t="inlineStr">
        <is>
          <t>FIREWALL_ADVISORY</t>
        </is>
      </c>
      <c r="B1928" s="189" t="inlineStr">
        <is>
          <t>WatchG-ADV</t>
        </is>
      </c>
      <c r="C1928" s="189" t="inlineStr">
        <is>
          <t>WatchGuard Advisory: WatchGuard Firebox LDAP Injection | WatchGuard Firebox LDAP Injection Advisory ID &lt;div class="field__it</t>
        </is>
      </c>
      <c r="D1928" s="189" t="n">
        <v>7.5</v>
      </c>
      <c r="E1928" s="189" t="inlineStr">
        <is>
          <t>HIGH</t>
        </is>
      </c>
      <c r="F1928" s="189" t="n">
        <v>2</v>
      </c>
      <c r="G1928" s="189" t="n">
        <v>2</v>
      </c>
      <c r="H1928" s="189" t="inlineStr">
        <is>
          <t>MEDIUM</t>
        </is>
      </c>
      <c r="I1928" s="189" t="n">
        <v>11.5</v>
      </c>
      <c r="J1928" s="189" t="inlineStr">
        <is>
          <t>NO</t>
        </is>
      </c>
      <c r="K1928" s="190" t="inlineStr">
        <is>
          <t>https://www.watchguard.com/wgrd-psirt/advisory/wgsa-2026-00001</t>
        </is>
      </c>
      <c r="L1928" s="189" t="inlineStr">
        <is>
          <t>2026-02-23 23:48</t>
        </is>
      </c>
      <c r="M1928" s="189" t="inlineStr">
        <is>
          <t>YES - Apply vendor patch immediately</t>
        </is>
      </c>
      <c r="N1928" s="190" t="inlineStr">
        <is>
          <t>https://www.watchguard.com/wgrd-psirt/advisory/wgsa-2026-00001</t>
        </is>
      </c>
      <c r="O1928" s="189" t="inlineStr">
        <is>
          <t>Apply WatchGuard security patches immediately | Review affected products | Check for workarounds</t>
        </is>
      </c>
      <c r="P1928" s="189" t="inlineStr">
        <is>
          <t>WatchGuard Firebox / FireboxV / WatchGuard Cloud</t>
        </is>
      </c>
      <c r="Q1928" s="189" t="inlineStr">
        <is>
          <t>P3</t>
        </is>
      </c>
      <c r="R1928" s="189" t="inlineStr">
        <is>
          <t>🚫 Block IP at firewall immediately | 🔍 Check logs for existing connections | 🛡️ Add to threat intelligence blocklist</t>
        </is>
      </c>
      <c r="S1928" s="189" t="inlineStr">
        <is>
          <t>Firewall Advisory - WatchGuard</t>
        </is>
      </c>
      <c r="T1928" s="189" t="n">
        <v>0</v>
      </c>
      <c r="U1928" s="189" t="n">
        <v>0</v>
      </c>
      <c r="V1928" s="189" t="inlineStr">
        <is>
          <t>T1190:Exploit Public-Facing Application | T1133:External Remote Services</t>
        </is>
      </c>
      <c r="W1928" s="189" t="n">
        <v>2</v>
      </c>
      <c r="X1928" s="189" t="inlineStr">
        <is>
          <t>MEDIUM (52%)</t>
        </is>
      </c>
      <c r="Y1928" s="189" t="inlineStr">
        <is>
          <t>CHECK_VENDOR</t>
        </is>
      </c>
      <c r="Z1928" s="189" t="inlineStr">
        <is>
          <t>YES</t>
        </is>
      </c>
      <c r="AA1928" s="190" t="inlineStr">
        <is>
          <t>https://www.watchguard.com/wgrd-psirt/advisory/wgsa-2026-00001</t>
        </is>
      </c>
      <c r="AB1928" s="189" t="inlineStr">
        <is>
          <t>NONE</t>
        </is>
      </c>
      <c r="AC1928" s="189" t="n">
        <v>0</v>
      </c>
      <c r="AD1928" s="189" t="n"/>
    </row>
    <row r="1929">
      <c r="A1929" s="189" t="inlineStr">
        <is>
          <t>FIREWALL_ADVISORY</t>
        </is>
      </c>
      <c r="B1929" s="189" t="inlineStr">
        <is>
          <t>WatchG-ADV</t>
        </is>
      </c>
      <c r="C1929" s="189" t="inlineStr">
        <is>
          <t>WatchGuard Advisory: NCP IPSec VPN Client MSI Installer Privilege Escallation (NCPVE-2025-0626) | NCP IPSec VPN Client MSI Installer Privilege Escallation (NCPVE-2025-0626) Advisory ID</t>
        </is>
      </c>
      <c r="D1929" s="189" t="n">
        <v>7.5</v>
      </c>
      <c r="E1929" s="189" t="inlineStr">
        <is>
          <t>HIGH</t>
        </is>
      </c>
      <c r="F1929" s="189" t="n">
        <v>2</v>
      </c>
      <c r="G1929" s="189" t="n">
        <v>2</v>
      </c>
      <c r="H1929" s="189" t="inlineStr">
        <is>
          <t>MEDIUM</t>
        </is>
      </c>
      <c r="I1929" s="189" t="n">
        <v>11.5</v>
      </c>
      <c r="J1929" s="189" t="inlineStr">
        <is>
          <t>NO</t>
        </is>
      </c>
      <c r="K1929" s="190" t="inlineStr">
        <is>
          <t>https://www.watchguard.com/wgrd-psirt/advisory/wgsa-2026-00002</t>
        </is>
      </c>
      <c r="L1929" s="189" t="inlineStr">
        <is>
          <t>2026-02-23 23:48</t>
        </is>
      </c>
      <c r="M1929" s="189" t="inlineStr">
        <is>
          <t>YES - Apply vendor patch immediately</t>
        </is>
      </c>
      <c r="N1929" s="190" t="inlineStr">
        <is>
          <t>https://www.watchguard.com/wgrd-psirt/advisory/wgsa-2026-00002</t>
        </is>
      </c>
      <c r="O1929" s="189" t="inlineStr">
        <is>
          <t>Apply WatchGuard security patches immediately | Review affected products | Check for workarounds</t>
        </is>
      </c>
      <c r="P1929" s="189" t="inlineStr">
        <is>
          <t>WatchGuard Firebox / FireboxV / WatchGuard Cloud</t>
        </is>
      </c>
      <c r="Q1929" s="189" t="inlineStr">
        <is>
          <t>P3</t>
        </is>
      </c>
      <c r="R1929" s="189" t="inlineStr">
        <is>
          <t>🚫 Block IP at firewall immediately | 🔍 Check logs for existing connections | 🛡️ Add to threat intelligence blocklist</t>
        </is>
      </c>
      <c r="S1929" s="189" t="inlineStr">
        <is>
          <t>Firewall Advisory - WatchGuard</t>
        </is>
      </c>
      <c r="T1929" s="189" t="n">
        <v>0</v>
      </c>
      <c r="U1929" s="189" t="n">
        <v>0</v>
      </c>
      <c r="V1929" s="189" t="inlineStr">
        <is>
          <t>T1190:Exploit Public-Facing Application | T1133:External Remote Services</t>
        </is>
      </c>
      <c r="W1929" s="189" t="n">
        <v>2</v>
      </c>
      <c r="X1929" s="189" t="inlineStr">
        <is>
          <t>MEDIUM (52%)</t>
        </is>
      </c>
      <c r="Y1929" s="189" t="inlineStr">
        <is>
          <t>CHECK_VENDOR</t>
        </is>
      </c>
      <c r="Z1929" s="189" t="inlineStr">
        <is>
          <t>YES</t>
        </is>
      </c>
      <c r="AA1929" s="190" t="inlineStr">
        <is>
          <t>https://www.watchguard.com/wgrd-psirt/advisory/wgsa-2026-00002</t>
        </is>
      </c>
      <c r="AB1929" s="189" t="inlineStr">
        <is>
          <t>NONE</t>
        </is>
      </c>
      <c r="AC1929" s="189" t="n">
        <v>0</v>
      </c>
      <c r="AD1929" s="189" t="n"/>
    </row>
    <row r="1930">
      <c r="A1930" s="189" t="inlineStr">
        <is>
          <t>FIREWALL_ADVISORY</t>
        </is>
      </c>
      <c r="B1930" s="189" t="inlineStr">
        <is>
          <t>WatchG-ADV</t>
        </is>
      </c>
      <c r="C1930" s="189" t="inlineStr">
        <is>
          <t>WatchGuard Advisory: WatchGuard Firebox iked Out of Bounds Write Vulnerability | WatchGuard Firebox iked Out of Bounds Write Vulnerability Advisory ID</t>
        </is>
      </c>
      <c r="D1930" s="189" t="n">
        <v>7.5</v>
      </c>
      <c r="E1930" s="189" t="inlineStr">
        <is>
          <t>HIGH</t>
        </is>
      </c>
      <c r="F1930" s="189" t="n">
        <v>2</v>
      </c>
      <c r="G1930" s="189" t="n">
        <v>2</v>
      </c>
      <c r="H1930" s="189" t="inlineStr">
        <is>
          <t>MEDIUM</t>
        </is>
      </c>
      <c r="I1930" s="189" t="n">
        <v>11.5</v>
      </c>
      <c r="J1930" s="189" t="inlineStr">
        <is>
          <t>NO</t>
        </is>
      </c>
      <c r="K1930" s="190" t="inlineStr">
        <is>
          <t>https://www.watchguard.com/wgrd-psirt/advisory/wgsa-2025-00027</t>
        </is>
      </c>
      <c r="L1930" s="189" t="inlineStr">
        <is>
          <t>2026-02-23 23:48</t>
        </is>
      </c>
      <c r="M1930" s="189" t="inlineStr">
        <is>
          <t>YES - Apply vendor patch immediately</t>
        </is>
      </c>
      <c r="N1930" s="190" t="inlineStr">
        <is>
          <t>https://www.watchguard.com/wgrd-psirt/advisory/wgsa-2025-00027</t>
        </is>
      </c>
      <c r="O1930" s="189" t="inlineStr">
        <is>
          <t>Apply WatchGuard security patches immediately | Review affected products | Check for workarounds</t>
        </is>
      </c>
      <c r="P1930" s="189" t="inlineStr">
        <is>
          <t>WatchGuard Firebox / FireboxV / WatchGuard Cloud</t>
        </is>
      </c>
      <c r="Q1930" s="189" t="inlineStr">
        <is>
          <t>P3</t>
        </is>
      </c>
      <c r="R1930" s="189" t="inlineStr">
        <is>
          <t>🚫 Block IP at firewall immediately | 🔍 Check logs for existing connections | 🛡️ Add to threat intelligence blocklist</t>
        </is>
      </c>
      <c r="S1930" s="189" t="inlineStr">
        <is>
          <t>Firewall Advisory - WatchGuard</t>
        </is>
      </c>
      <c r="T1930" s="189" t="n">
        <v>0</v>
      </c>
      <c r="U1930" s="189" t="n">
        <v>0</v>
      </c>
      <c r="V1930" s="189" t="inlineStr">
        <is>
          <t>T1190:Exploit Public-Facing Application | T1133:External Remote Services</t>
        </is>
      </c>
      <c r="W1930" s="189" t="n">
        <v>2</v>
      </c>
      <c r="X1930" s="189" t="inlineStr">
        <is>
          <t>MEDIUM (52%)</t>
        </is>
      </c>
      <c r="Y1930" s="189" t="inlineStr">
        <is>
          <t>CHECK_VENDOR</t>
        </is>
      </c>
      <c r="Z1930" s="189" t="inlineStr">
        <is>
          <t>YES</t>
        </is>
      </c>
      <c r="AA1930" s="190" t="inlineStr">
        <is>
          <t>https://www.watchguard.com/wgrd-psirt/advisory/wgsa-2025-00027</t>
        </is>
      </c>
      <c r="AB1930" s="189" t="inlineStr">
        <is>
          <t>NONE</t>
        </is>
      </c>
      <c r="AC1930" s="189" t="n">
        <v>0</v>
      </c>
      <c r="AD1930" s="189" t="n"/>
    </row>
    <row r="1931">
      <c r="A1931" s="189" t="inlineStr">
        <is>
          <t>FIREWALL_ADVISORY</t>
        </is>
      </c>
      <c r="B1931" s="189" t="inlineStr">
        <is>
          <t>WatchG-ADV</t>
        </is>
      </c>
      <c r="C1931" s="189" t="inlineStr">
        <is>
          <t>WatchGuard Advisory: WatchGuard Firebox Boot Time System Integrity Check Bypass | WatchGuard Firebox Boot Time System Integrity Check Bypass Advisory ID</t>
        </is>
      </c>
      <c r="D1931" s="189" t="n">
        <v>7.5</v>
      </c>
      <c r="E1931" s="189" t="inlineStr">
        <is>
          <t>HIGH</t>
        </is>
      </c>
      <c r="F1931" s="189" t="n">
        <v>2</v>
      </c>
      <c r="G1931" s="189" t="n">
        <v>2</v>
      </c>
      <c r="H1931" s="189" t="inlineStr">
        <is>
          <t>MEDIUM</t>
        </is>
      </c>
      <c r="I1931" s="189" t="n">
        <v>11.5</v>
      </c>
      <c r="J1931" s="189" t="inlineStr">
        <is>
          <t>NO</t>
        </is>
      </c>
      <c r="K1931" s="190" t="inlineStr">
        <is>
          <t>https://www.watchguard.com/wgrd-psirt/advisory/wgsa-2025-00026</t>
        </is>
      </c>
      <c r="L1931" s="189" t="inlineStr">
        <is>
          <t>2026-02-23 23:48</t>
        </is>
      </c>
      <c r="M1931" s="189" t="inlineStr">
        <is>
          <t>YES - Apply vendor patch immediately</t>
        </is>
      </c>
      <c r="N1931" s="190" t="inlineStr">
        <is>
          <t>https://www.watchguard.com/wgrd-psirt/advisory/wgsa-2025-00026</t>
        </is>
      </c>
      <c r="O1931" s="189" t="inlineStr">
        <is>
          <t>Apply WatchGuard security patches immediately | Review affected products | Check for workarounds</t>
        </is>
      </c>
      <c r="P1931" s="189" t="inlineStr">
        <is>
          <t>WatchGuard Firebox / FireboxV / WatchGuard Cloud</t>
        </is>
      </c>
      <c r="Q1931" s="189" t="inlineStr">
        <is>
          <t>P3</t>
        </is>
      </c>
      <c r="R1931" s="189" t="inlineStr">
        <is>
          <t>🚫 Block IP at firewall immediately | 🔍 Check logs for existing connections | 🛡️ Add to threat intelligence blocklist</t>
        </is>
      </c>
      <c r="S1931" s="189" t="inlineStr">
        <is>
          <t>Firewall Advisory - WatchGuard</t>
        </is>
      </c>
      <c r="T1931" s="189" t="n">
        <v>0</v>
      </c>
      <c r="U1931" s="189" t="n">
        <v>0</v>
      </c>
      <c r="V1931" s="189" t="inlineStr">
        <is>
          <t>T1190:Exploit Public-Facing Application | T1133:External Remote Services</t>
        </is>
      </c>
      <c r="W1931" s="189" t="n">
        <v>2</v>
      </c>
      <c r="X1931" s="189" t="inlineStr">
        <is>
          <t>MEDIUM (52%)</t>
        </is>
      </c>
      <c r="Y1931" s="189" t="inlineStr">
        <is>
          <t>CHECK_VENDOR</t>
        </is>
      </c>
      <c r="Z1931" s="189" t="inlineStr">
        <is>
          <t>YES</t>
        </is>
      </c>
      <c r="AA1931" s="190" t="inlineStr">
        <is>
          <t>https://www.watchguard.com/wgrd-psirt/advisory/wgsa-2025-00026</t>
        </is>
      </c>
      <c r="AB1931" s="189" t="inlineStr">
        <is>
          <t>NONE</t>
        </is>
      </c>
      <c r="AC1931" s="189" t="n">
        <v>0</v>
      </c>
      <c r="AD1931" s="189" t="n"/>
    </row>
    <row r="1932">
      <c r="A1932" s="189" t="inlineStr">
        <is>
          <t>FIREWALL_ADVISORY</t>
        </is>
      </c>
      <c r="B1932" s="189" t="inlineStr">
        <is>
          <t>WatchG-ADV</t>
        </is>
      </c>
      <c r="C1932" s="189" t="inlineStr">
        <is>
          <t>WatchGuard Advisory: WatchGuard Firebox iked Memory Corruption Vulnerability | WatchGuard Firebox iked Memory Corruption Vulnerability Advisory ID</t>
        </is>
      </c>
      <c r="D1932" s="189" t="n">
        <v>7.5</v>
      </c>
      <c r="E1932" s="189" t="inlineStr">
        <is>
          <t>HIGH</t>
        </is>
      </c>
      <c r="F1932" s="189" t="n">
        <v>2</v>
      </c>
      <c r="G1932" s="189" t="n">
        <v>2</v>
      </c>
      <c r="H1932" s="189" t="inlineStr">
        <is>
          <t>MEDIUM</t>
        </is>
      </c>
      <c r="I1932" s="189" t="n">
        <v>11.5</v>
      </c>
      <c r="J1932" s="189" t="inlineStr">
        <is>
          <t>NO</t>
        </is>
      </c>
      <c r="K1932" s="190" t="inlineStr">
        <is>
          <t>https://www.watchguard.com/wgrd-psirt/advisory/wgsa-2025-00018</t>
        </is>
      </c>
      <c r="L1932" s="189" t="inlineStr">
        <is>
          <t>2026-02-23 23:48</t>
        </is>
      </c>
      <c r="M1932" s="189" t="inlineStr">
        <is>
          <t>YES - Apply vendor patch immediately</t>
        </is>
      </c>
      <c r="N1932" s="190" t="inlineStr">
        <is>
          <t>https://www.watchguard.com/wgrd-psirt/advisory/wgsa-2025-00018</t>
        </is>
      </c>
      <c r="O1932" s="189" t="inlineStr">
        <is>
          <t>Apply WatchGuard security patches immediately | Review affected products | Check for workarounds</t>
        </is>
      </c>
      <c r="P1932" s="189" t="inlineStr">
        <is>
          <t>WatchGuard Firebox / FireboxV / WatchGuard Cloud</t>
        </is>
      </c>
      <c r="Q1932" s="189" t="inlineStr">
        <is>
          <t>P3</t>
        </is>
      </c>
      <c r="R1932" s="189" t="inlineStr">
        <is>
          <t>🚫 Block IP at firewall immediately | 🔍 Check logs for existing connections | 🛡️ Add to threat intelligence blocklist</t>
        </is>
      </c>
      <c r="S1932" s="189" t="inlineStr">
        <is>
          <t>Firewall Advisory - WatchGuard</t>
        </is>
      </c>
      <c r="T1932" s="189" t="n">
        <v>0</v>
      </c>
      <c r="U1932" s="189" t="n">
        <v>0</v>
      </c>
      <c r="V1932" s="189" t="inlineStr">
        <is>
          <t>T1190:Exploit Public-Facing Application | T1133:External Remote Services</t>
        </is>
      </c>
      <c r="W1932" s="189" t="n">
        <v>2</v>
      </c>
      <c r="X1932" s="189" t="inlineStr">
        <is>
          <t>MEDIUM (52%)</t>
        </is>
      </c>
      <c r="Y1932" s="189" t="inlineStr">
        <is>
          <t>CHECK_VENDOR</t>
        </is>
      </c>
      <c r="Z1932" s="189" t="inlineStr">
        <is>
          <t>YES</t>
        </is>
      </c>
      <c r="AA1932" s="190" t="inlineStr">
        <is>
          <t>https://www.watchguard.com/wgrd-psirt/advisory/wgsa-2025-00018</t>
        </is>
      </c>
      <c r="AB1932" s="189" t="inlineStr">
        <is>
          <t>NONE</t>
        </is>
      </c>
      <c r="AC1932" s="189" t="n">
        <v>0</v>
      </c>
      <c r="AD1932" s="189" t="n"/>
    </row>
    <row r="1933">
      <c r="A1933" s="189" t="inlineStr">
        <is>
          <t>FIREWALL_ADVISORY</t>
        </is>
      </c>
      <c r="B1933" s="189" t="inlineStr">
        <is>
          <t>FG-IR</t>
        </is>
      </c>
      <c r="C1933" s="189" t="inlineStr">
        <is>
          <t>Fortinet PSIRT: Heap-based buffer overflow in cw_acd daemon | CVSSv3 Score: 7.4 A heap-based buffer overflow vulnerability [CWE-122] in FortiOS and FortiSwitchManager cw_acd daemon may allow a remote unauthenticated attacker to execute arbitrary code or commands</t>
        </is>
      </c>
      <c r="D1933" s="189" t="n">
        <v>7.5</v>
      </c>
      <c r="E1933" s="189" t="inlineStr">
        <is>
          <t>HIGH</t>
        </is>
      </c>
      <c r="F1933" s="189" t="n">
        <v>2</v>
      </c>
      <c r="G1933" s="189" t="n">
        <v>2</v>
      </c>
      <c r="H1933" s="189" t="inlineStr">
        <is>
          <t>MEDIUM</t>
        </is>
      </c>
      <c r="I1933" s="189" t="n">
        <v>11.5</v>
      </c>
      <c r="J1933" s="189" t="inlineStr">
        <is>
          <t>NO</t>
        </is>
      </c>
      <c r="K1933" s="190" t="inlineStr">
        <is>
          <t>https://fortiguard.fortinet.com/psirt/FG-IR-25-084</t>
        </is>
      </c>
      <c r="L1933" s="189" t="inlineStr">
        <is>
          <t>2026-02-23 23:48</t>
        </is>
      </c>
      <c r="M1933" s="189" t="inlineStr">
        <is>
          <t>YES - Apply vendor patch immediately</t>
        </is>
      </c>
      <c r="N1933" s="190" t="inlineStr">
        <is>
          <t>https://fortiguard.fortinet.com/psirt/FG-IR-25-084</t>
        </is>
      </c>
      <c r="O1933" s="189" t="inlineStr">
        <is>
          <t>Apply Fortinet security patches immediately | Review affected products | Check for workarounds</t>
        </is>
      </c>
      <c r="P1933" s="189" t="inlineStr">
        <is>
          <t>FortiOS / FortiGate / FortiProxy / FortiManager</t>
        </is>
      </c>
      <c r="Q1933" s="189" t="inlineStr">
        <is>
          <t>P3</t>
        </is>
      </c>
      <c r="R1933" s="189" t="inlineStr">
        <is>
          <t>🚫 Block IP at firewall immediately | 🔍 Check logs for existing connections | 🛡️ Add to threat intelligence blocklist</t>
        </is>
      </c>
      <c r="S1933" s="189" t="inlineStr">
        <is>
          <t>Firewall Advisory - Fortinet</t>
        </is>
      </c>
      <c r="T1933" s="189" t="n">
        <v>0</v>
      </c>
      <c r="U1933" s="189" t="n">
        <v>0</v>
      </c>
      <c r="V1933" s="189" t="inlineStr">
        <is>
          <t>T1190:Exploit Public-Facing Application | T1133:External Remote Services</t>
        </is>
      </c>
      <c r="W1933" s="189" t="n">
        <v>2</v>
      </c>
      <c r="X1933" s="189" t="inlineStr">
        <is>
          <t>MEDIUM (52%)</t>
        </is>
      </c>
      <c r="Y1933" s="189" t="inlineStr">
        <is>
          <t>CHECK_VENDOR</t>
        </is>
      </c>
      <c r="Z1933" s="189" t="inlineStr">
        <is>
          <t>YES</t>
        </is>
      </c>
      <c r="AA1933" s="190" t="inlineStr">
        <is>
          <t>https://fortiguard.fortinet.com/psirt/FG-IR-25-084</t>
        </is>
      </c>
      <c r="AB1933" s="189" t="inlineStr">
        <is>
          <t>NONE</t>
        </is>
      </c>
      <c r="AC1933" s="189" t="n">
        <v>0</v>
      </c>
      <c r="AD1933" s="189" t="n"/>
    </row>
    <row r="1934">
      <c r="A1934" s="189" t="inlineStr">
        <is>
          <t>FIREWALL_ADVISORY</t>
        </is>
      </c>
      <c r="B1934" s="189" t="inlineStr">
        <is>
          <t>FG-IR</t>
        </is>
      </c>
      <c r="C1934" s="189" t="inlineStr">
        <is>
          <t>Fortinet PSIRT: OpenSSL CVE-2025-15467 | CVSSv3 Score: 9.8 CVE-2025-15467Parsing CMS AuthEnvelopedData message with maliciously crafted AEAD parameters can trigger a stack buffer overflow. A stack buffer overflow may lead to a crash, causing</t>
        </is>
      </c>
      <c r="D1934" s="189" t="n">
        <v>7.5</v>
      </c>
      <c r="E1934" s="189" t="inlineStr">
        <is>
          <t>HIGH</t>
        </is>
      </c>
      <c r="F1934" s="189" t="n">
        <v>2</v>
      </c>
      <c r="G1934" s="189" t="n">
        <v>2</v>
      </c>
      <c r="H1934" s="189" t="inlineStr">
        <is>
          <t>MEDIUM</t>
        </is>
      </c>
      <c r="I1934" s="189" t="n">
        <v>11.5</v>
      </c>
      <c r="J1934" s="189" t="inlineStr">
        <is>
          <t>NO</t>
        </is>
      </c>
      <c r="K1934" s="190" t="inlineStr">
        <is>
          <t>https://fortiguard.fortinet.com/psirt/FG-IR-26-076</t>
        </is>
      </c>
      <c r="L1934" s="189" t="inlineStr">
        <is>
          <t>2026-02-23 23:48</t>
        </is>
      </c>
      <c r="M1934" s="189" t="inlineStr">
        <is>
          <t>YES - Apply vendor patch immediately</t>
        </is>
      </c>
      <c r="N1934" s="190" t="inlineStr">
        <is>
          <t>https://fortiguard.fortinet.com/psirt/FG-IR-26-076</t>
        </is>
      </c>
      <c r="O1934" s="189" t="inlineStr">
        <is>
          <t>Apply Fortinet security patches immediately | Review affected products | Check for workarounds</t>
        </is>
      </c>
      <c r="P1934" s="189" t="inlineStr">
        <is>
          <t>FortiOS / FortiGate / FortiProxy / FortiManager</t>
        </is>
      </c>
      <c r="Q1934" s="189" t="inlineStr">
        <is>
          <t>P3</t>
        </is>
      </c>
      <c r="R1934" s="189" t="inlineStr">
        <is>
          <t>🚫 Block IP at firewall immediately | 🔍 Check logs for existing connections | 🛡️ Add to threat intelligence blocklist</t>
        </is>
      </c>
      <c r="S1934" s="189" t="inlineStr">
        <is>
          <t>Firewall Advisory - Fortinet</t>
        </is>
      </c>
      <c r="T1934" s="189" t="n">
        <v>0</v>
      </c>
      <c r="U1934" s="189" t="n">
        <v>0</v>
      </c>
      <c r="V1934" s="189" t="inlineStr">
        <is>
          <t>T1190:Exploit Public-Facing Application | T1133:External Remote Services</t>
        </is>
      </c>
      <c r="W1934" s="189" t="n">
        <v>2</v>
      </c>
      <c r="X1934" s="189" t="inlineStr">
        <is>
          <t>MEDIUM (52%)</t>
        </is>
      </c>
      <c r="Y1934" s="189" t="inlineStr">
        <is>
          <t>CHECK_VENDOR</t>
        </is>
      </c>
      <c r="Z1934" s="189" t="inlineStr">
        <is>
          <t>YES</t>
        </is>
      </c>
      <c r="AA1934" s="190" t="inlineStr">
        <is>
          <t>https://fortiguard.fortinet.com/psirt/FG-IR-26-076</t>
        </is>
      </c>
      <c r="AB1934" s="189" t="inlineStr">
        <is>
          <t>NONE</t>
        </is>
      </c>
      <c r="AC1934" s="189" t="n">
        <v>0</v>
      </c>
      <c r="AD1934" s="189" t="n"/>
    </row>
    <row r="1935">
      <c r="A1935" s="189" t="inlineStr">
        <is>
          <t>FIREWALL_ADVISORY</t>
        </is>
      </c>
      <c r="B1935" s="189" t="inlineStr">
        <is>
          <t>FG-IR</t>
        </is>
      </c>
      <c r="C1935" s="189" t="inlineStr">
        <is>
          <t>Fortinet PSIRT: Arbitrary XML file write in FCConfig | CVSSv3 Score: 6.4 An Improper Link Resolution Before File Access vulnerability [CWE-59] in FortiClient Windows may allow a local low-privilege attacker to perform an arbitrary file write with elevated</t>
        </is>
      </c>
      <c r="D1935" s="189" t="n">
        <v>7.5</v>
      </c>
      <c r="E1935" s="189" t="inlineStr">
        <is>
          <t>HIGH</t>
        </is>
      </c>
      <c r="F1935" s="189" t="n">
        <v>2</v>
      </c>
      <c r="G1935" s="189" t="n">
        <v>2</v>
      </c>
      <c r="H1935" s="189" t="inlineStr">
        <is>
          <t>MEDIUM</t>
        </is>
      </c>
      <c r="I1935" s="189" t="n">
        <v>11.5</v>
      </c>
      <c r="J1935" s="189" t="inlineStr">
        <is>
          <t>NO</t>
        </is>
      </c>
      <c r="K1935" s="190" t="inlineStr">
        <is>
          <t>https://fortiguard.fortinet.com/psirt/FG-IR-25-661</t>
        </is>
      </c>
      <c r="L1935" s="189" t="inlineStr">
        <is>
          <t>2026-02-23 23:48</t>
        </is>
      </c>
      <c r="M1935" s="189" t="inlineStr">
        <is>
          <t>YES - Apply vendor patch immediately</t>
        </is>
      </c>
      <c r="N1935" s="190" t="inlineStr">
        <is>
          <t>https://fortiguard.fortinet.com/psirt/FG-IR-25-661</t>
        </is>
      </c>
      <c r="O1935" s="189" t="inlineStr">
        <is>
          <t>Apply Fortinet security patches immediately | Review affected products | Check for workarounds</t>
        </is>
      </c>
      <c r="P1935" s="189" t="inlineStr">
        <is>
          <t>FortiOS / FortiGate / FortiProxy / FortiManager</t>
        </is>
      </c>
      <c r="Q1935" s="189" t="inlineStr">
        <is>
          <t>P3</t>
        </is>
      </c>
      <c r="R1935" s="189" t="inlineStr">
        <is>
          <t>🚫 Block IP at firewall immediately | 🔍 Check logs for existing connections | 🛡️ Add to threat intelligence blocklist</t>
        </is>
      </c>
      <c r="S1935" s="189" t="inlineStr">
        <is>
          <t>Firewall Advisory - Fortinet</t>
        </is>
      </c>
      <c r="T1935" s="189" t="n">
        <v>0</v>
      </c>
      <c r="U1935" s="189" t="n">
        <v>0</v>
      </c>
      <c r="V1935" s="189" t="inlineStr">
        <is>
          <t>T1190:Exploit Public-Facing Application | T1133:External Remote Services</t>
        </is>
      </c>
      <c r="W1935" s="189" t="n">
        <v>2</v>
      </c>
      <c r="X1935" s="189" t="inlineStr">
        <is>
          <t>MEDIUM (52%)</t>
        </is>
      </c>
      <c r="Y1935" s="189" t="inlineStr">
        <is>
          <t>CHECK_VENDOR</t>
        </is>
      </c>
      <c r="Z1935" s="189" t="inlineStr">
        <is>
          <t>YES</t>
        </is>
      </c>
      <c r="AA1935" s="190" t="inlineStr">
        <is>
          <t>https://fortiguard.fortinet.com/psirt/FG-IR-25-661</t>
        </is>
      </c>
      <c r="AB1935" s="189" t="inlineStr">
        <is>
          <t>NONE</t>
        </is>
      </c>
      <c r="AC1935" s="189" t="n">
        <v>0</v>
      </c>
      <c r="AD1935" s="189" t="n"/>
    </row>
    <row r="1936">
      <c r="A1936" s="189" t="inlineStr">
        <is>
          <t>FIREWALL_ADVISORY</t>
        </is>
      </c>
      <c r="B1936" s="189" t="inlineStr">
        <is>
          <t>FG-IR</t>
        </is>
      </c>
      <c r="C1936" s="189" t="inlineStr">
        <is>
          <t>Fortinet PSIRT: Firewall policy bypass in FSSO Terminal Services Agent | CVSSv3 Score: 3.8 An Improper Verification of Source of a Communication Channel vulnerability [CWE-940] in FortiOS FSSO Terminal Services Agent may allow an authenticated user with knowledge of FSSO p</t>
        </is>
      </c>
      <c r="D1936" s="189" t="n">
        <v>7.5</v>
      </c>
      <c r="E1936" s="189" t="inlineStr">
        <is>
          <t>HIGH</t>
        </is>
      </c>
      <c r="F1936" s="189" t="n">
        <v>2</v>
      </c>
      <c r="G1936" s="189" t="n">
        <v>2</v>
      </c>
      <c r="H1936" s="189" t="inlineStr">
        <is>
          <t>MEDIUM</t>
        </is>
      </c>
      <c r="I1936" s="189" t="n">
        <v>11.5</v>
      </c>
      <c r="J1936" s="189" t="inlineStr">
        <is>
          <t>NO</t>
        </is>
      </c>
      <c r="K1936" s="190" t="inlineStr">
        <is>
          <t>https://fortiguard.fortinet.com/psirt/FG-IR-25-384</t>
        </is>
      </c>
      <c r="L1936" s="189" t="inlineStr">
        <is>
          <t>2026-02-23 23:48</t>
        </is>
      </c>
      <c r="M1936" s="189" t="inlineStr">
        <is>
          <t>YES - Apply vendor patch immediately</t>
        </is>
      </c>
      <c r="N1936" s="190" t="inlineStr">
        <is>
          <t>https://fortiguard.fortinet.com/psirt/FG-IR-25-384</t>
        </is>
      </c>
      <c r="O1936" s="189" t="inlineStr">
        <is>
          <t>Apply Fortinet security patches immediately | Review affected products | Check for workarounds</t>
        </is>
      </c>
      <c r="P1936" s="189" t="inlineStr">
        <is>
          <t>FortiOS / FortiGate / FortiProxy / FortiManager</t>
        </is>
      </c>
      <c r="Q1936" s="189" t="inlineStr">
        <is>
          <t>P3</t>
        </is>
      </c>
      <c r="R1936" s="189" t="inlineStr">
        <is>
          <t>🚫 Block IP at firewall immediately | 🔍 Check logs for existing connections | 🛡️ Add to threat intelligence blocklist</t>
        </is>
      </c>
      <c r="S1936" s="189" t="inlineStr">
        <is>
          <t>Firewall Advisory - Fortinet</t>
        </is>
      </c>
      <c r="T1936" s="189" t="n">
        <v>0</v>
      </c>
      <c r="U1936" s="189" t="n">
        <v>0</v>
      </c>
      <c r="V1936" s="189" t="inlineStr">
        <is>
          <t>T1190:Exploit Public-Facing Application | T1133:External Remote Services</t>
        </is>
      </c>
      <c r="W1936" s="189" t="n">
        <v>2</v>
      </c>
      <c r="X1936" s="189" t="inlineStr">
        <is>
          <t>MEDIUM (52%)</t>
        </is>
      </c>
      <c r="Y1936" s="189" t="inlineStr">
        <is>
          <t>CHECK_VENDOR</t>
        </is>
      </c>
      <c r="Z1936" s="189" t="inlineStr">
        <is>
          <t>YES</t>
        </is>
      </c>
      <c r="AA1936" s="190" t="inlineStr">
        <is>
          <t>https://fortiguard.fortinet.com/psirt/FG-IR-25-384</t>
        </is>
      </c>
      <c r="AB1936" s="189" t="inlineStr">
        <is>
          <t>NONE</t>
        </is>
      </c>
      <c r="AC1936" s="189" t="n">
        <v>0</v>
      </c>
      <c r="AD1936" s="189" t="n"/>
    </row>
    <row r="1937">
      <c r="A1937" s="189" t="inlineStr">
        <is>
          <t>FIREWALL_ADVISORY</t>
        </is>
      </c>
      <c r="B1937" s="189" t="inlineStr">
        <is>
          <t>FG-IR</t>
        </is>
      </c>
      <c r="C1937" s="189" t="inlineStr">
        <is>
          <t>Fortinet PSIRT: Format String Vulnerability in CAPWAP fast-failover mode | CVSSv3 Score: 6.7 A Use of Externally-Controlled Format String vulnerability [CWE-134] in FortiGate may allow an authenticated admin to execute unauthorized code or commands via specifically crafted c</t>
        </is>
      </c>
      <c r="D1937" s="189" t="n">
        <v>7.5</v>
      </c>
      <c r="E1937" s="189" t="inlineStr">
        <is>
          <t>HIGH</t>
        </is>
      </c>
      <c r="F1937" s="189" t="n">
        <v>2</v>
      </c>
      <c r="G1937" s="189" t="n">
        <v>2</v>
      </c>
      <c r="H1937" s="189" t="inlineStr">
        <is>
          <t>MEDIUM</t>
        </is>
      </c>
      <c r="I1937" s="189" t="n">
        <v>11.5</v>
      </c>
      <c r="J1937" s="189" t="inlineStr">
        <is>
          <t>NO</t>
        </is>
      </c>
      <c r="K1937" s="190" t="inlineStr">
        <is>
          <t>https://fortiguard.fortinet.com/psirt/FG-IR-25-795</t>
        </is>
      </c>
      <c r="L1937" s="189" t="inlineStr">
        <is>
          <t>2026-02-23 23:48</t>
        </is>
      </c>
      <c r="M1937" s="189" t="inlineStr">
        <is>
          <t>YES - Apply vendor patch immediately</t>
        </is>
      </c>
      <c r="N1937" s="190" t="inlineStr">
        <is>
          <t>https://fortiguard.fortinet.com/psirt/FG-IR-25-795</t>
        </is>
      </c>
      <c r="O1937" s="189" t="inlineStr">
        <is>
          <t>Apply Fortinet security patches immediately | Review affected products | Check for workarounds</t>
        </is>
      </c>
      <c r="P1937" s="189" t="inlineStr">
        <is>
          <t>FortiOS / FortiGate / FortiProxy / FortiManager</t>
        </is>
      </c>
      <c r="Q1937" s="189" t="inlineStr">
        <is>
          <t>P3</t>
        </is>
      </c>
      <c r="R1937" s="189" t="inlineStr">
        <is>
          <t>🚫 Block IP at firewall immediately | 🔍 Check logs for existing connections | 🛡️ Add to threat intelligence blocklist</t>
        </is>
      </c>
      <c r="S1937" s="189" t="inlineStr">
        <is>
          <t>Firewall Advisory - Fortinet</t>
        </is>
      </c>
      <c r="T1937" s="189" t="n">
        <v>0</v>
      </c>
      <c r="U1937" s="189" t="n">
        <v>0</v>
      </c>
      <c r="V1937" s="189" t="inlineStr">
        <is>
          <t>T1190:Exploit Public-Facing Application | T1133:External Remote Services</t>
        </is>
      </c>
      <c r="W1937" s="189" t="n">
        <v>2</v>
      </c>
      <c r="X1937" s="189" t="inlineStr">
        <is>
          <t>MEDIUM (52%)</t>
        </is>
      </c>
      <c r="Y1937" s="189" t="inlineStr">
        <is>
          <t>CHECK_VENDOR</t>
        </is>
      </c>
      <c r="Z1937" s="189" t="inlineStr">
        <is>
          <t>YES</t>
        </is>
      </c>
      <c r="AA1937" s="190" t="inlineStr">
        <is>
          <t>https://fortiguard.fortinet.com/psirt/FG-IR-25-795</t>
        </is>
      </c>
      <c r="AB1937" s="189" t="inlineStr">
        <is>
          <t>NONE</t>
        </is>
      </c>
      <c r="AC1937" s="189" t="n">
        <v>0</v>
      </c>
      <c r="AD1937" s="189" t="n"/>
    </row>
    <row r="1938">
      <c r="A1938" s="189" t="inlineStr">
        <is>
          <t>FIREWALL_ADVISORY</t>
        </is>
      </c>
      <c r="B1938" s="189" t="inlineStr">
        <is>
          <t>Cisco</t>
        </is>
      </c>
      <c r="C1938" s="189" t="inlineStr">
        <is>
          <t>Cisco PSIRT: Cisco Secure Web Appliance Real-Time Scanning Archive File Bypass Vulnerability | A vulnerability in the Dynamic Vectoring and Streaming (DVS) Engine implementation of Cisco AsyncOS Software for Cisco Secure Web Appliance could allow an unauthenticated, remote attacker to bypass th</t>
        </is>
      </c>
      <c r="D1938" s="189" t="n">
        <v>7.5</v>
      </c>
      <c r="E1938" s="189" t="inlineStr">
        <is>
          <t>HIGH</t>
        </is>
      </c>
      <c r="F1938" s="189" t="n">
        <v>2</v>
      </c>
      <c r="G1938" s="189" t="n">
        <v>2</v>
      </c>
      <c r="H1938" s="189" t="inlineStr">
        <is>
          <t>MEDIUM</t>
        </is>
      </c>
      <c r="I1938" s="189" t="n">
        <v>11.5</v>
      </c>
      <c r="J1938" s="189" t="inlineStr">
        <is>
          <t>NO</t>
        </is>
      </c>
      <c r="K1938" s="190" t="inlineStr">
        <is>
          <t>https://sec.cloudapps.cisco.com/security/center/content/CiscoSecurityAdvisory/cisco-sa-wsa-archive-bypass-Scx2e8zF?vs_f=Cisco%20Security%20Advisory%26vs_cat=Security%20Intelligence%26vs_type=RSS%26vs_p=Cisco%20Secure%20Web%20Appliance%20Real-Time%20Scanning%20Archive%20File%20Bypass%20Vulnerability%26vs_k=1</t>
        </is>
      </c>
      <c r="L1938" s="189" t="inlineStr">
        <is>
          <t>2026-02-23 23:48</t>
        </is>
      </c>
      <c r="M1938" s="189" t="inlineStr">
        <is>
          <t>YES - Apply vendor patch immediately</t>
        </is>
      </c>
      <c r="N1938" s="190" t="inlineStr">
        <is>
          <t>https://sec.cloudapps.cisco.com/security/center/content/CiscoSecurityAdvisory/cisco-sa-wsa-archive-bypass-Scx2e8zF?vs_f=Cisco%20Security%20Advisory%26vs_cat=Security%20Intelligence%26vs_type=RSS%26vs_p=Cisco%20Secure%20Web%20Appliance%20Real-Time%20Scanning%20Archive%20File%20Bypass%20Vulnerability%26vs_k=1</t>
        </is>
      </c>
      <c r="O1938" s="189" t="inlineStr">
        <is>
          <t>Apply Cisco security patches immediately | Review affected products | Check for workarounds</t>
        </is>
      </c>
      <c r="P1938" s="189" t="inlineStr">
        <is>
          <t>Cisco ASA / Firepower / IOS / FTD / FMC</t>
        </is>
      </c>
      <c r="Q1938" s="189" t="inlineStr">
        <is>
          <t>P3</t>
        </is>
      </c>
      <c r="R1938" s="189" t="inlineStr">
        <is>
          <t>🚫 Block IP at firewall immediately | 🔍 Check logs for existing connections | 🛡️ Add to threat intelligence blocklist</t>
        </is>
      </c>
      <c r="S1938" s="189" t="inlineStr">
        <is>
          <t>Firewall Advisory - Cisco</t>
        </is>
      </c>
      <c r="T1938" s="189" t="n">
        <v>0</v>
      </c>
      <c r="U1938" s="189" t="n">
        <v>0</v>
      </c>
      <c r="V1938" s="189" t="inlineStr">
        <is>
          <t>T1190:Exploit Public-Facing Application | T1133:External Remote Services</t>
        </is>
      </c>
      <c r="W1938" s="189" t="n">
        <v>2</v>
      </c>
      <c r="X1938" s="189" t="inlineStr">
        <is>
          <t>MEDIUM (52%)</t>
        </is>
      </c>
      <c r="Y1938" s="189" t="inlineStr">
        <is>
          <t>CHECK_VENDOR</t>
        </is>
      </c>
      <c r="Z1938" s="189" t="inlineStr">
        <is>
          <t>YES</t>
        </is>
      </c>
      <c r="AA1938" s="190" t="inlineStr">
        <is>
          <t>https://sec.cloudapps.cisco.com/security/center/content/CiscoSecurityAdvisory/cisco-sa-wsa-archive-bypass-Scx2e8zF?vs_f=Cisco%20Security%20Advisory%26vs_cat=Security%20Intelligence%26vs_type=RSS%26vs_p=Cisco%20Secure%20Web%20Appliance%20Real-Time%20Scanning%20Archive%20File%20Bypass%20Vulnerability%26vs_k=1</t>
        </is>
      </c>
      <c r="AB1938" s="189" t="inlineStr">
        <is>
          <t>NONE</t>
        </is>
      </c>
      <c r="AC1938" s="189" t="n">
        <v>0</v>
      </c>
      <c r="AD1938" s="189" t="n"/>
    </row>
    <row r="1939">
      <c r="A1939" s="189" t="inlineStr">
        <is>
          <t>FIREWALL_ADVISORY</t>
        </is>
      </c>
      <c r="B1939" s="189" t="inlineStr">
        <is>
          <t>Cisco</t>
        </is>
      </c>
      <c r="C1939" s="189" t="inlineStr">
        <is>
          <t>Cisco PSIRT: Cisco Unified Communications Products Remote Code Execution Vulnerability | A vulnerability in Cisco Unified Communications Manager (Unified CM), Cisco Unified Communications Manager Session Management Edition (Unified CM SME), Cisco Unified Communications Manager IM &amp; Presen</t>
        </is>
      </c>
      <c r="D1939" s="189" t="n">
        <v>7.5</v>
      </c>
      <c r="E1939" s="189" t="inlineStr">
        <is>
          <t>HIGH</t>
        </is>
      </c>
      <c r="F1939" s="189" t="n">
        <v>2</v>
      </c>
      <c r="G1939" s="189" t="n">
        <v>2</v>
      </c>
      <c r="H1939" s="189" t="inlineStr">
        <is>
          <t>MEDIUM</t>
        </is>
      </c>
      <c r="I1939" s="189" t="n">
        <v>11.5</v>
      </c>
      <c r="J1939" s="189" t="inlineStr">
        <is>
          <t>NO</t>
        </is>
      </c>
      <c r="K1939" s="190" t="inlineStr">
        <is>
          <t>https://sec.cloudapps.cisco.com/security/center/content/CiscoSecurityAdvisory/cisco-sa-voice-rce-mORhqY4b?vs_f=Cisco%20Security%20Advisory%26vs_cat=Security%20Intelligence%26vs_type=RSS%26vs_p=Cisco%20Unified%20Communications%20Products%20Remote%20Code%20Execution%20Vulnerability%26vs_k=1</t>
        </is>
      </c>
      <c r="L1939" s="189" t="inlineStr">
        <is>
          <t>2026-02-23 23:48</t>
        </is>
      </c>
      <c r="M1939" s="189" t="inlineStr">
        <is>
          <t>YES - Apply vendor patch immediately</t>
        </is>
      </c>
      <c r="N1939" s="190" t="inlineStr">
        <is>
          <t>https://sec.cloudapps.cisco.com/security/center/content/CiscoSecurityAdvisory/cisco-sa-voice-rce-mORhqY4b?vs_f=Cisco%20Security%20Advisory%26vs_cat=Security%20Intelligence%26vs_type=RSS%26vs_p=Cisco%20Unified%20Communications%20Products%20Remote%20Code%20Execution%20Vulnerability%26vs_k=1</t>
        </is>
      </c>
      <c r="O1939" s="189" t="inlineStr">
        <is>
          <t>Apply Cisco security patches immediately | Review affected products | Check for workarounds</t>
        </is>
      </c>
      <c r="P1939" s="189" t="inlineStr">
        <is>
          <t>Cisco ASA / Firepower / IOS / FTD / FMC</t>
        </is>
      </c>
      <c r="Q1939" s="189" t="inlineStr">
        <is>
          <t>P3</t>
        </is>
      </c>
      <c r="R1939" s="189" t="inlineStr">
        <is>
          <t>🚫 Block IP at firewall immediately | 🔍 Check logs for existing connections | 🛡️ Add to threat intelligence blocklist</t>
        </is>
      </c>
      <c r="S1939" s="189" t="inlineStr">
        <is>
          <t>Firewall Advisory - Cisco</t>
        </is>
      </c>
      <c r="T1939" s="189" t="n">
        <v>0</v>
      </c>
      <c r="U1939" s="189" t="n">
        <v>0</v>
      </c>
      <c r="V1939" s="189" t="inlineStr">
        <is>
          <t>T1190:Exploit Public-Facing Application | T1133:External Remote Services</t>
        </is>
      </c>
      <c r="W1939" s="189" t="n">
        <v>2</v>
      </c>
      <c r="X1939" s="189" t="inlineStr">
        <is>
          <t>MEDIUM (52%)</t>
        </is>
      </c>
      <c r="Y1939" s="189" t="inlineStr">
        <is>
          <t>CHECK_VENDOR</t>
        </is>
      </c>
      <c r="Z1939" s="189" t="inlineStr">
        <is>
          <t>YES</t>
        </is>
      </c>
      <c r="AA1939" s="190" t="inlineStr">
        <is>
          <t>https://sec.cloudapps.cisco.com/security/center/content/CiscoSecurityAdvisory/cisco-sa-voice-rce-mORhqY4b?vs_f=Cisco%20Security%20Advisory%26vs_cat=Security%20Intelligence%26vs_type=RSS%26vs_p=Cisco%20Unified%20Communications%20Products%20Remote%20Code%20Execution%20Vulnerability%26vs_k=1</t>
        </is>
      </c>
      <c r="AB1939" s="189" t="inlineStr">
        <is>
          <t>NONE</t>
        </is>
      </c>
      <c r="AC1939" s="189" t="n">
        <v>0</v>
      </c>
      <c r="AD1939" s="189" t="n"/>
    </row>
    <row r="1940">
      <c r="A1940" s="189" t="inlineStr">
        <is>
          <t>FIREWALL_ADVISORY</t>
        </is>
      </c>
      <c r="B1940" s="189" t="inlineStr">
        <is>
          <t>Cisco</t>
        </is>
      </c>
      <c r="C1940" s="189" t="inlineStr">
        <is>
          <t>Cisco PSIRT: Cisco TelePresence Collaboration Endpoint Software and RoomOS Software Denial of Service Vulnerability | A vulnerability in the text rendering subsystem of Cisco TelePresence Collaboration Endpoint (CE) Software and Cisco RoomOS Software could allow an unauthenticated, remote attacker to cause a denial o</t>
        </is>
      </c>
      <c r="D1940" s="189" t="n">
        <v>7.5</v>
      </c>
      <c r="E1940" s="189" t="inlineStr">
        <is>
          <t>HIGH</t>
        </is>
      </c>
      <c r="F1940" s="189" t="n">
        <v>2</v>
      </c>
      <c r="G1940" s="189" t="n">
        <v>2</v>
      </c>
      <c r="H1940" s="189" t="inlineStr">
        <is>
          <t>MEDIUM</t>
        </is>
      </c>
      <c r="I1940" s="189" t="n">
        <v>11.5</v>
      </c>
      <c r="J1940" s="189" t="inlineStr">
        <is>
          <t>NO</t>
        </is>
      </c>
      <c r="K1940" s="190" t="inlineStr">
        <is>
          <t>https://sec.cloudapps.cisco.com/security/center/content/CiscoSecurityAdvisory/cisco-sa-tce-roomos-dos-9V9jrC2q?vs_f=Cisco%20Security%20Advisory%26vs_cat=Security%20Intelligence%26vs_type=RSS%26vs_p=Cisco%20TelePresence%20Collaboration%20Endpoint%20Software%20and%20RoomOS%20Software%20Denial%20of%20Service%20Vulnerability%26vs_k=1</t>
        </is>
      </c>
      <c r="L1940" s="189" t="inlineStr">
        <is>
          <t>2026-02-23 23:48</t>
        </is>
      </c>
      <c r="M1940" s="189" t="inlineStr">
        <is>
          <t>YES - Apply vendor patch immediately</t>
        </is>
      </c>
      <c r="N1940" s="190" t="inlineStr">
        <is>
          <t>https://sec.cloudapps.cisco.com/security/center/content/CiscoSecurityAdvisory/cisco-sa-tce-roomos-dos-9V9jrC2q?vs_f=Cisco%20Security%20Advisory%26vs_cat=Security%20Intelligence%26vs_type=RSS%26vs_p=Cisco%20TelePresence%20Collaboration%20Endpoint%20Software%20and%20RoomOS%20Software%20Denial%20of%20Service%20Vulnerability%26vs_k=1</t>
        </is>
      </c>
      <c r="O1940" s="189" t="inlineStr">
        <is>
          <t>Apply Cisco security patches immediately | Review affected products | Check for workarounds</t>
        </is>
      </c>
      <c r="P1940" s="189" t="inlineStr">
        <is>
          <t>Cisco ASA / Firepower / IOS / FTD / FMC</t>
        </is>
      </c>
      <c r="Q1940" s="189" t="inlineStr">
        <is>
          <t>P3</t>
        </is>
      </c>
      <c r="R1940" s="189" t="inlineStr">
        <is>
          <t>🚫 Block IP at firewall immediately | 🔍 Check logs for existing connections | 🛡️ Add to threat intelligence blocklist</t>
        </is>
      </c>
      <c r="S1940" s="189" t="inlineStr">
        <is>
          <t>Firewall Advisory - Cisco</t>
        </is>
      </c>
      <c r="T1940" s="189" t="n">
        <v>0</v>
      </c>
      <c r="U1940" s="189" t="n">
        <v>0</v>
      </c>
      <c r="V1940" s="189" t="inlineStr">
        <is>
          <t>T1190:Exploit Public-Facing Application | T1133:External Remote Services</t>
        </is>
      </c>
      <c r="W1940" s="189" t="n">
        <v>2</v>
      </c>
      <c r="X1940" s="189" t="inlineStr">
        <is>
          <t>MEDIUM (52%)</t>
        </is>
      </c>
      <c r="Y1940" s="189" t="inlineStr">
        <is>
          <t>CHECK_VENDOR</t>
        </is>
      </c>
      <c r="Z1940" s="189" t="inlineStr">
        <is>
          <t>YES</t>
        </is>
      </c>
      <c r="AA1940" s="190" t="inlineStr">
        <is>
          <t>https://sec.cloudapps.cisco.com/security/center/content/CiscoSecurityAdvisory/cisco-sa-tce-roomos-dos-9V9jrC2q?vs_f=Cisco%20Security%20Advisory%26vs_cat=Security%20Intelligence%26vs_type=RSS%26vs_p=Cisco%20TelePresence%20Collaboration%20Endpoint%20Software%20and%20RoomOS%20Software%20Denial%20of%20Service%20Vulnerability%26vs_k=1</t>
        </is>
      </c>
      <c r="AB1940" s="189" t="inlineStr">
        <is>
          <t>NONE</t>
        </is>
      </c>
      <c r="AC1940" s="189" t="n">
        <v>0</v>
      </c>
      <c r="AD1940" s="189" t="n"/>
    </row>
    <row r="1941">
      <c r="A1941" s="189" t="inlineStr">
        <is>
          <t>FIREWALL_ADVISORY</t>
        </is>
      </c>
      <c r="B1941" s="189" t="inlineStr">
        <is>
          <t>Multiple</t>
        </is>
      </c>
      <c r="C1941" s="189" t="inlineStr">
        <is>
          <t>Cisco PSIRT: Multiple Cisco Products Snort 3 MIME Denial of Service Vulnerabilities | Multiple Cisco products are affected by vulnerabilities in the HTTP Multipurpose Internet Mail Extensions (MIME) Decoder that could allow an unauthenticated, remote attacker to cause the Snort 3 Detec</t>
        </is>
      </c>
      <c r="D1941" s="189" t="n">
        <v>7.5</v>
      </c>
      <c r="E1941" s="189" t="inlineStr">
        <is>
          <t>HIGH</t>
        </is>
      </c>
      <c r="F1941" s="189" t="n">
        <v>2</v>
      </c>
      <c r="G1941" s="189" t="n">
        <v>2</v>
      </c>
      <c r="H1941" s="189" t="inlineStr">
        <is>
          <t>MEDIUM</t>
        </is>
      </c>
      <c r="I1941" s="189" t="n">
        <v>11.5</v>
      </c>
      <c r="J1941" s="189" t="inlineStr">
        <is>
          <t>NO</t>
        </is>
      </c>
      <c r="K1941" s="190" t="inlineStr">
        <is>
          <t>https://sec.cloudapps.cisco.com/security/center/content/CiscoSecurityAdvisory/cisco-sa-snort3-mime-vulns-tTL8PgVH?vs_f=Cisco%20Security%20Advisory%26vs_cat=Security%20Intelligence%26vs_type=RSS%26vs_p=Multiple%20Cisco%20Products%20Snort%203%20MIME%20Denial%20of%20Service%20Vulnerabilities%26vs_k=1</t>
        </is>
      </c>
      <c r="L1941" s="189" t="inlineStr">
        <is>
          <t>2026-02-23 23:48</t>
        </is>
      </c>
      <c r="M1941" s="189" t="inlineStr">
        <is>
          <t>YES - Apply vendor patch immediately</t>
        </is>
      </c>
      <c r="N1941" s="190" t="inlineStr">
        <is>
          <t>https://sec.cloudapps.cisco.com/security/center/content/CiscoSecurityAdvisory/cisco-sa-snort3-mime-vulns-tTL8PgVH?vs_f=Cisco%20Security%20Advisory%26vs_cat=Security%20Intelligence%26vs_type=RSS%26vs_p=Multiple%20Cisco%20Products%20Snort%203%20MIME%20Denial%20of%20Service%20Vulnerabilities%26vs_k=1</t>
        </is>
      </c>
      <c r="O1941" s="189" t="inlineStr">
        <is>
          <t>Apply Cisco security patches immediately | Review affected products | Check for workarounds</t>
        </is>
      </c>
      <c r="P1941" s="189" t="inlineStr">
        <is>
          <t>Cisco ASA / Firepower / IOS / FTD / FMC</t>
        </is>
      </c>
      <c r="Q1941" s="189" t="inlineStr">
        <is>
          <t>P3</t>
        </is>
      </c>
      <c r="R1941" s="189" t="inlineStr">
        <is>
          <t>🚫 Block IP at firewall immediately | 🔍 Check logs for existing connections | 🛡️ Add to threat intelligence blocklist</t>
        </is>
      </c>
      <c r="S1941" s="189" t="inlineStr">
        <is>
          <t>Firewall Advisory - Cisco</t>
        </is>
      </c>
      <c r="T1941" s="189" t="n">
        <v>0</v>
      </c>
      <c r="U1941" s="189" t="n">
        <v>0</v>
      </c>
      <c r="V1941" s="189" t="inlineStr">
        <is>
          <t>T1190:Exploit Public-Facing Application | T1133:External Remote Services</t>
        </is>
      </c>
      <c r="W1941" s="189" t="n">
        <v>2</v>
      </c>
      <c r="X1941" s="189" t="inlineStr">
        <is>
          <t>MEDIUM (52%)</t>
        </is>
      </c>
      <c r="Y1941" s="189" t="inlineStr">
        <is>
          <t>CHECK_VENDOR</t>
        </is>
      </c>
      <c r="Z1941" s="189" t="inlineStr">
        <is>
          <t>YES</t>
        </is>
      </c>
      <c r="AA1941" s="190" t="inlineStr">
        <is>
          <t>https://sec.cloudapps.cisco.com/security/center/content/CiscoSecurityAdvisory/cisco-sa-snort3-mime-vulns-tTL8PgVH?vs_f=Cisco%20Security%20Advisory%26vs_cat=Security%20Intelligence%26vs_type=RSS%26vs_p=Multiple%20Cisco%20Products%20Snort%203%20MIME%20Denial%20of%20Service%20Vulnerabilities%26vs_k=1</t>
        </is>
      </c>
      <c r="AB1941" s="189" t="inlineStr">
        <is>
          <t>NONE</t>
        </is>
      </c>
      <c r="AC1941" s="189" t="n">
        <v>0</v>
      </c>
      <c r="AD1941" s="189" t="n"/>
    </row>
    <row r="1942">
      <c r="A1942" s="189" t="inlineStr">
        <is>
          <t>FIREWALL_ADVISORY</t>
        </is>
      </c>
      <c r="B1942" s="189" t="inlineStr">
        <is>
          <t>Multiple</t>
        </is>
      </c>
      <c r="C1942" s="189" t="inlineStr">
        <is>
          <t>Cisco PSIRT: Multiple Cisco Products Snort 3 Distributed Computing Environment/Remote Procedure Call Vulnerabilities | Multiple Cisco products are affected by vulnerabilities in the processing of Distributed Computing Environment Remote Procedure Call (DCE/RPC) requests that could allow an unauthenticated, remote atta</t>
        </is>
      </c>
      <c r="D1942" s="189" t="n">
        <v>7.5</v>
      </c>
      <c r="E1942" s="189" t="inlineStr">
        <is>
          <t>HIGH</t>
        </is>
      </c>
      <c r="F1942" s="189" t="n">
        <v>2</v>
      </c>
      <c r="G1942" s="189" t="n">
        <v>2</v>
      </c>
      <c r="H1942" s="189" t="inlineStr">
        <is>
          <t>MEDIUM</t>
        </is>
      </c>
      <c r="I1942" s="189" t="n">
        <v>11.5</v>
      </c>
      <c r="J1942" s="189" t="inlineStr">
        <is>
          <t>NO</t>
        </is>
      </c>
      <c r="K1942" s="190" t="inlineStr">
        <is>
          <t>https://sec.cloudapps.cisco.com/security/center/content/CiscoSecurityAdvisory/cisco-sa-snort3-dcerpc-vulns-J9HNF4tH?vs_f=Cisco%20Security%20Advisory%26vs_cat=Security%20Intelligence%26vs_type=RSS%26vs_p=Multiple%20Cisco%20Products%20Snort%203%20Distributed%20Computing%20Environment/Remote%20Procedure%20Call%20Vulnerabilities%26vs_k=1</t>
        </is>
      </c>
      <c r="L1942" s="189" t="inlineStr">
        <is>
          <t>2026-02-23 23:48</t>
        </is>
      </c>
      <c r="M1942" s="189" t="inlineStr">
        <is>
          <t>YES - Apply vendor patch immediately</t>
        </is>
      </c>
      <c r="N1942" s="190" t="inlineStr">
        <is>
          <t>https://sec.cloudapps.cisco.com/security/center/content/CiscoSecurityAdvisory/cisco-sa-snort3-dcerpc-vulns-J9HNF4tH?vs_f=Cisco%20Security%20Advisory%26vs_cat=Security%20Intelligence%26vs_type=RSS%26vs_p=Multiple%20Cisco%20Products%20Snort%203%20Distributed%20Computing%20Environment/Remote%20Procedure%20Call%20Vulnerabilities%26vs_k=1</t>
        </is>
      </c>
      <c r="O1942" s="189" t="inlineStr">
        <is>
          <t>Apply Cisco security patches immediately | Review affected products | Check for workarounds</t>
        </is>
      </c>
      <c r="P1942" s="189" t="inlineStr">
        <is>
          <t>Cisco ASA / Firepower / IOS / FTD / FMC</t>
        </is>
      </c>
      <c r="Q1942" s="189" t="inlineStr">
        <is>
          <t>P3</t>
        </is>
      </c>
      <c r="R1942" s="189" t="inlineStr">
        <is>
          <t>🚫 Block IP at firewall immediately | 🔍 Check logs for existing connections | 🛡️ Add to threat intelligence blocklist</t>
        </is>
      </c>
      <c r="S1942" s="189" t="inlineStr">
        <is>
          <t>Firewall Advisory - Cisco</t>
        </is>
      </c>
      <c r="T1942" s="189" t="n">
        <v>0</v>
      </c>
      <c r="U1942" s="189" t="n">
        <v>0</v>
      </c>
      <c r="V1942" s="189" t="inlineStr">
        <is>
          <t>T1190:Exploit Public-Facing Application | T1133:External Remote Services</t>
        </is>
      </c>
      <c r="W1942" s="189" t="n">
        <v>2</v>
      </c>
      <c r="X1942" s="189" t="inlineStr">
        <is>
          <t>MEDIUM (52%)</t>
        </is>
      </c>
      <c r="Y1942" s="189" t="inlineStr">
        <is>
          <t>CHECK_VENDOR</t>
        </is>
      </c>
      <c r="Z1942" s="189" t="inlineStr">
        <is>
          <t>YES</t>
        </is>
      </c>
      <c r="AA1942" s="190" t="inlineStr">
        <is>
          <t>https://sec.cloudapps.cisco.com/security/center/content/CiscoSecurityAdvisory/cisco-sa-snort3-dcerpc-vulns-J9HNF4tH?vs_f=Cisco%20Security%20Advisory%26vs_cat=Security%20Intelligence%26vs_type=RSS%26vs_p=Multiple%20Cisco%20Products%20Snort%203%20Distributed%20Computing%20Environment/Remote%20Procedure%20Call%20Vulnerabilities%26vs_k=1</t>
        </is>
      </c>
      <c r="AB1942" s="189" t="inlineStr">
        <is>
          <t>NONE</t>
        </is>
      </c>
      <c r="AC1942" s="189" t="n">
        <v>0</v>
      </c>
      <c r="AD1942" s="189" t="n"/>
    </row>
    <row r="1943">
      <c r="A1943" s="189" t="inlineStr">
        <is>
          <t>ZDI_ADVISORY</t>
        </is>
      </c>
      <c r="B1943" s="189" t="inlineStr">
        <is>
          <t>ZDI-26-123</t>
        </is>
      </c>
      <c r="C1943" s="189" t="inlineStr">
        <is>
          <t>ZDI Published 0-Day: ZDI-26-123: Docker Desktop MCP Server Cleartext Storage of Sensitive Information Vulnerability | CVEs:  | Product: See ZDI advisory</t>
        </is>
      </c>
      <c r="D1943" s="189" t="n">
        <v>7.5</v>
      </c>
      <c r="E1943" s="189" t="inlineStr">
        <is>
          <t>HIGH</t>
        </is>
      </c>
      <c r="F1943" s="189" t="n">
        <v>3</v>
      </c>
      <c r="G1943" s="189" t="n">
        <v>3</v>
      </c>
      <c r="H1943" s="189" t="inlineStr">
        <is>
          <t>CRITICAL</t>
        </is>
      </c>
      <c r="I1943" s="189" t="n">
        <v>16.5</v>
      </c>
      <c r="J1943" s="189" t="inlineStr">
        <is>
          <t>NO</t>
        </is>
      </c>
      <c r="K1943" s="190" t="inlineStr">
        <is>
          <t>http://www.zerodayinitiative.com/advisories/ZDI-26-123/</t>
        </is>
      </c>
      <c r="L1943" s="189" t="inlineStr">
        <is>
          <t>2026-02-23 06:00</t>
        </is>
      </c>
      <c r="M1943" s="189" t="inlineStr">
        <is>
          <t>CHECK_VENDOR - ZDI published, vendor patch may be pending</t>
        </is>
      </c>
      <c r="N1943" s="190" t="inlineStr">
        <is>
          <t>http://www.zerodayinitiative.com/advisories/ZDI-26-123/</t>
        </is>
      </c>
      <c r="O1943" s="189" t="inlineStr">
        <is>
          <t xml:space="preserve">ZDI-published 0-day: apply vendor patch IMMEDIATELY | CVEs: </t>
        </is>
      </c>
      <c r="P1943" s="189" t="inlineStr">
        <is>
          <t>See ZDI advisory</t>
        </is>
      </c>
      <c r="Q1943" s="189" t="inlineStr">
        <is>
          <t>P1</t>
        </is>
      </c>
      <c r="R1943" s="189" t="inlineStr">
        <is>
          <t>🎯 ZDI-published 0-day: apply vendor patch immediately | ⚠️ Check ZDI advisory page for workarounds | 🔍 Hunt for exploitation attempts in logs</t>
        </is>
      </c>
      <c r="S1943" s="189" t="inlineStr">
        <is>
          <t>ZDI 0-day advisory - no IP context</t>
        </is>
      </c>
      <c r="T1943" s="189" t="n">
        <v>0</v>
      </c>
      <c r="U1943" s="189" t="n">
        <v>0</v>
      </c>
      <c r="V1943" s="189" t="inlineStr">
        <is>
          <t>T1190:Exploit Public-Facing Application</t>
        </is>
      </c>
      <c r="W1943" s="189" t="n">
        <v>2</v>
      </c>
      <c r="X1943" s="189" t="inlineStr">
        <is>
          <t>CONFIRMED (82%)</t>
        </is>
      </c>
      <c r="Y1943" s="189" t="inlineStr">
        <is>
          <t>YES</t>
        </is>
      </c>
      <c r="Z1943" s="189" t="inlineStr">
        <is>
          <t>CHECK_VENDOR</t>
        </is>
      </c>
      <c r="AA1943" s="190" t="inlineStr">
        <is>
          <t>http://www.zerodayinitiative.com/advisories/ZDI-26-123/</t>
        </is>
      </c>
      <c r="AB1943" s="190" t="inlineStr">
        <is>
          <t>http://www.zerodayinitiative.com/advisories/ZDI-26-123/</t>
        </is>
      </c>
      <c r="AC1943" s="189" t="n">
        <v>0</v>
      </c>
      <c r="AD1943" s="189" t="n"/>
    </row>
    <row r="1944">
      <c r="A1944" s="189" t="inlineStr">
        <is>
          <t>ZDI_ADVISORY</t>
        </is>
      </c>
      <c r="B1944" s="189" t="inlineStr">
        <is>
          <t>ZDI-26-122</t>
        </is>
      </c>
      <c r="C1944" s="189" t="inlineStr">
        <is>
          <t>ZDI Published 0-Day: ZDI-26-122: PDF-XChange Editor TrackerUpdate Uncontrolled Search Path Element Local Privilege Escalation Vulnerability | CVEs: CVE-2026-2040 | Product: See ZDI advisory</t>
        </is>
      </c>
      <c r="D1944" s="189" t="n">
        <v>7.5</v>
      </c>
      <c r="E1944" s="189" t="inlineStr">
        <is>
          <t>HIGH</t>
        </is>
      </c>
      <c r="F1944" s="189" t="n">
        <v>3</v>
      </c>
      <c r="G1944" s="189" t="n">
        <v>3</v>
      </c>
      <c r="H1944" s="189" t="inlineStr">
        <is>
          <t>CRITICAL</t>
        </is>
      </c>
      <c r="I1944" s="189" t="n">
        <v>16.5</v>
      </c>
      <c r="J1944" s="189" t="inlineStr">
        <is>
          <t>NO</t>
        </is>
      </c>
      <c r="K1944" s="190" t="inlineStr">
        <is>
          <t>http://www.zerodayinitiative.com/advisories/ZDI-26-122/</t>
        </is>
      </c>
      <c r="L1944" s="189" t="inlineStr">
        <is>
          <t>2026-02-19 06:00</t>
        </is>
      </c>
      <c r="M1944" s="189" t="inlineStr">
        <is>
          <t>CHECK_VENDOR - ZDI published, vendor patch may be pending</t>
        </is>
      </c>
      <c r="N1944" s="190" t="inlineStr">
        <is>
          <t>http://www.zerodayinitiative.com/advisories/ZDI-26-122/</t>
        </is>
      </c>
      <c r="O1944" s="189" t="inlineStr">
        <is>
          <t>ZDI-published 0-day: apply vendor patch IMMEDIATELY | CVEs: CVE-2026-2040</t>
        </is>
      </c>
      <c r="P1944" s="189" t="inlineStr">
        <is>
          <t>See ZDI advisory</t>
        </is>
      </c>
      <c r="Q1944" s="189" t="inlineStr">
        <is>
          <t>P1</t>
        </is>
      </c>
      <c r="R1944" s="189" t="inlineStr">
        <is>
          <t>🎯 ZDI-published 0-day: apply vendor patch immediately | ⚠️ Check ZDI advisory page for workarounds | 🔍 Hunt for exploitation attempts in logs</t>
        </is>
      </c>
      <c r="S1944" s="189" t="inlineStr">
        <is>
          <t>ZDI 0-day advisory - no IP context</t>
        </is>
      </c>
      <c r="T1944" s="189" t="n">
        <v>0.0001</v>
      </c>
      <c r="U1944" s="189" t="n">
        <v>0.0248</v>
      </c>
      <c r="V1944" s="189" t="inlineStr">
        <is>
          <t>T1068:Exploitation for Privilege Escalation</t>
        </is>
      </c>
      <c r="W1944" s="189" t="n">
        <v>2</v>
      </c>
      <c r="X1944" s="189" t="inlineStr">
        <is>
          <t>CONFIRMED (82%)</t>
        </is>
      </c>
      <c r="Y1944" s="189" t="inlineStr">
        <is>
          <t>YES</t>
        </is>
      </c>
      <c r="Z1944" s="189" t="inlineStr">
        <is>
          <t>CHECK_VENDOR</t>
        </is>
      </c>
      <c r="AA1944" s="190" t="inlineStr">
        <is>
          <t>https://security.snyk.io/vuln/CVE-2026-2040</t>
        </is>
      </c>
      <c r="AB1944" s="190" t="inlineStr">
        <is>
          <t>http://www.zerodayinitiative.com/advisories/ZDI-26-122/</t>
        </is>
      </c>
      <c r="AC1944" s="189" t="n">
        <v>0</v>
      </c>
      <c r="AD1944" s="189" t="n"/>
    </row>
    <row r="1945">
      <c r="A1945" s="189" t="inlineStr">
        <is>
          <t>ZDI_ADVISORY</t>
        </is>
      </c>
      <c r="B1945" s="189" t="inlineStr">
        <is>
          <t>ZDI-26-121</t>
        </is>
      </c>
      <c r="C1945" s="189" t="inlineStr">
        <is>
          <t>ZDI Published 0-Day: ZDI-26-121: GIMP XWD File Parsing Out-Of-Bounds Write Remote Code Execution Vulnerability | CVEs: CVE-2026-2048 | Product: See ZDI advisory</t>
        </is>
      </c>
      <c r="D1945" s="189" t="n">
        <v>7.5</v>
      </c>
      <c r="E1945" s="189" t="inlineStr">
        <is>
          <t>HIGH</t>
        </is>
      </c>
      <c r="F1945" s="189" t="n">
        <v>3</v>
      </c>
      <c r="G1945" s="189" t="n">
        <v>3</v>
      </c>
      <c r="H1945" s="189" t="inlineStr">
        <is>
          <t>CRITICAL</t>
        </is>
      </c>
      <c r="I1945" s="189" t="n">
        <v>16.5</v>
      </c>
      <c r="J1945" s="189" t="inlineStr">
        <is>
          <t>NO</t>
        </is>
      </c>
      <c r="K1945" s="190" t="inlineStr">
        <is>
          <t>http://www.zerodayinitiative.com/advisories/ZDI-26-121/</t>
        </is>
      </c>
      <c r="L1945" s="189" t="inlineStr">
        <is>
          <t>2026-02-19 06:00</t>
        </is>
      </c>
      <c r="M1945" s="189" t="inlineStr">
        <is>
          <t>CHECK_VENDOR - ZDI published, vendor patch may be pending</t>
        </is>
      </c>
      <c r="N1945" s="190" t="inlineStr">
        <is>
          <t>http://www.zerodayinitiative.com/advisories/ZDI-26-121/</t>
        </is>
      </c>
      <c r="O1945" s="189" t="inlineStr">
        <is>
          <t>ZDI-published 0-day: apply vendor patch IMMEDIATELY | CVEs: CVE-2026-2048</t>
        </is>
      </c>
      <c r="P1945" s="189" t="inlineStr">
        <is>
          <t>See ZDI advisory</t>
        </is>
      </c>
      <c r="Q1945" s="189" t="inlineStr">
        <is>
          <t>P1</t>
        </is>
      </c>
      <c r="R1945" s="189" t="inlineStr">
        <is>
          <t>🎯 ZDI-published 0-day: apply vendor patch immediately | ⚠️ Check ZDI advisory page for workarounds | 🔍 Hunt for exploitation attempts in logs</t>
        </is>
      </c>
      <c r="S1945" s="189" t="inlineStr">
        <is>
          <t>ZDI 0-day advisory - no IP context</t>
        </is>
      </c>
      <c r="T1945" s="189" t="n">
        <v>0</v>
      </c>
      <c r="U1945" s="189" t="n">
        <v>0</v>
      </c>
      <c r="V1945" s="189" t="inlineStr">
        <is>
          <t>T1190:Exploit Public-Facing Application | T1210:Exploitation of Remote Services | T1203:Exploitation for Client Execution</t>
        </is>
      </c>
      <c r="W1945" s="189" t="n">
        <v>2</v>
      </c>
      <c r="X1945" s="189" t="inlineStr">
        <is>
          <t>CONFIRMED (82%)</t>
        </is>
      </c>
      <c r="Y1945" s="189" t="inlineStr">
        <is>
          <t>YES</t>
        </is>
      </c>
      <c r="Z1945" s="189" t="inlineStr">
        <is>
          <t>CHECK_VENDOR</t>
        </is>
      </c>
      <c r="AA1945" s="190" t="inlineStr">
        <is>
          <t>https://security.snyk.io/vuln/CVE-2026-2048</t>
        </is>
      </c>
      <c r="AB1945" s="190" t="inlineStr">
        <is>
          <t>http://www.zerodayinitiative.com/advisories/ZDI-26-121/</t>
        </is>
      </c>
      <c r="AC1945" s="189" t="n">
        <v>0</v>
      </c>
      <c r="AD1945" s="189" t="n"/>
    </row>
    <row r="1946">
      <c r="A1946" s="189" t="inlineStr">
        <is>
          <t>ZDI_ADVISORY</t>
        </is>
      </c>
      <c r="B1946" s="189" t="inlineStr">
        <is>
          <t>ZDI-26-120</t>
        </is>
      </c>
      <c r="C1946" s="189" t="inlineStr">
        <is>
          <t>ZDI Published 0-Day: ZDI-26-120: GIMP ICNS File Parsing Heap-based Buffer Overflow Remote Code Execution Vulnerability | CVEs: CVE-2026-2047 | Product: See ZDI advisory</t>
        </is>
      </c>
      <c r="D1946" s="189" t="n">
        <v>7.5</v>
      </c>
      <c r="E1946" s="189" t="inlineStr">
        <is>
          <t>HIGH</t>
        </is>
      </c>
      <c r="F1946" s="189" t="n">
        <v>3</v>
      </c>
      <c r="G1946" s="189" t="n">
        <v>3</v>
      </c>
      <c r="H1946" s="189" t="inlineStr">
        <is>
          <t>CRITICAL</t>
        </is>
      </c>
      <c r="I1946" s="189" t="n">
        <v>16.5</v>
      </c>
      <c r="J1946" s="189" t="inlineStr">
        <is>
          <t>NO</t>
        </is>
      </c>
      <c r="K1946" s="190" t="inlineStr">
        <is>
          <t>http://www.zerodayinitiative.com/advisories/ZDI-26-120/</t>
        </is>
      </c>
      <c r="L1946" s="189" t="inlineStr">
        <is>
          <t>2026-02-19 06:00</t>
        </is>
      </c>
      <c r="M1946" s="189" t="inlineStr">
        <is>
          <t>CHECK_VENDOR - ZDI published, vendor patch may be pending</t>
        </is>
      </c>
      <c r="N1946" s="190" t="inlineStr">
        <is>
          <t>http://www.zerodayinitiative.com/advisories/ZDI-26-120/</t>
        </is>
      </c>
      <c r="O1946" s="189" t="inlineStr">
        <is>
          <t>ZDI-published 0-day: apply vendor patch IMMEDIATELY | CVEs: CVE-2026-2047</t>
        </is>
      </c>
      <c r="P1946" s="189" t="inlineStr">
        <is>
          <t>See ZDI advisory</t>
        </is>
      </c>
      <c r="Q1946" s="189" t="inlineStr">
        <is>
          <t>P1</t>
        </is>
      </c>
      <c r="R1946" s="189" t="inlineStr">
        <is>
          <t>🎯 ZDI-published 0-day: apply vendor patch immediately | ⚠️ Check ZDI advisory page for workarounds | 🔍 Hunt for exploitation attempts in logs</t>
        </is>
      </c>
      <c r="S1946" s="189" t="inlineStr">
        <is>
          <t>ZDI 0-day advisory - no IP context</t>
        </is>
      </c>
      <c r="T1946" s="189" t="n">
        <v>0</v>
      </c>
      <c r="U1946" s="189" t="n">
        <v>0</v>
      </c>
      <c r="V1946" s="189" t="inlineStr">
        <is>
          <t>T1190:Exploit Public-Facing Application | T1210:Exploitation of Remote Services | T1203:Exploitation for Client Execution</t>
        </is>
      </c>
      <c r="W1946" s="189" t="n">
        <v>2</v>
      </c>
      <c r="X1946" s="189" t="inlineStr">
        <is>
          <t>CONFIRMED (82%)</t>
        </is>
      </c>
      <c r="Y1946" s="189" t="inlineStr">
        <is>
          <t>YES</t>
        </is>
      </c>
      <c r="Z1946" s="189" t="inlineStr">
        <is>
          <t>CHECK_VENDOR</t>
        </is>
      </c>
      <c r="AA1946" s="190" t="inlineStr">
        <is>
          <t>https://security.snyk.io/vuln/CVE-2026-2047</t>
        </is>
      </c>
      <c r="AB1946" s="190" t="inlineStr">
        <is>
          <t>http://www.zerodayinitiative.com/advisories/ZDI-26-120/</t>
        </is>
      </c>
      <c r="AC1946" s="189" t="n">
        <v>0</v>
      </c>
      <c r="AD1946" s="189" t="n"/>
    </row>
    <row r="1947">
      <c r="A1947" s="189" t="inlineStr">
        <is>
          <t>ZDI_ADVISORY</t>
        </is>
      </c>
      <c r="B1947" s="189" t="inlineStr">
        <is>
          <t>ZDI-26-119</t>
        </is>
      </c>
      <c r="C1947" s="189" t="inlineStr">
        <is>
          <t>ZDI Published 0-Day: ZDI-26-119: GIMP XWD File Parsing Out-Of-Bounds Write Remote Code Execution Vulnerability | CVEs: CVE-2026-2045 | Product: See ZDI advisory</t>
        </is>
      </c>
      <c r="D1947" s="189" t="n">
        <v>7.5</v>
      </c>
      <c r="E1947" s="189" t="inlineStr">
        <is>
          <t>HIGH</t>
        </is>
      </c>
      <c r="F1947" s="189" t="n">
        <v>3</v>
      </c>
      <c r="G1947" s="189" t="n">
        <v>3</v>
      </c>
      <c r="H1947" s="189" t="inlineStr">
        <is>
          <t>CRITICAL</t>
        </is>
      </c>
      <c r="I1947" s="189" t="n">
        <v>16.5</v>
      </c>
      <c r="J1947" s="189" t="inlineStr">
        <is>
          <t>NO</t>
        </is>
      </c>
      <c r="K1947" s="190" t="inlineStr">
        <is>
          <t>http://www.zerodayinitiative.com/advisories/ZDI-26-119/</t>
        </is>
      </c>
      <c r="L1947" s="189" t="inlineStr">
        <is>
          <t>2026-02-19 06:00</t>
        </is>
      </c>
      <c r="M1947" s="189" t="inlineStr">
        <is>
          <t>CHECK_VENDOR - ZDI published, vendor patch may be pending</t>
        </is>
      </c>
      <c r="N1947" s="190" t="inlineStr">
        <is>
          <t>http://www.zerodayinitiative.com/advisories/ZDI-26-119/</t>
        </is>
      </c>
      <c r="O1947" s="189" t="inlineStr">
        <is>
          <t>ZDI-published 0-day: apply vendor patch IMMEDIATELY | CVEs: CVE-2026-2045</t>
        </is>
      </c>
      <c r="P1947" s="189" t="inlineStr">
        <is>
          <t>See ZDI advisory</t>
        </is>
      </c>
      <c r="Q1947" s="189" t="inlineStr">
        <is>
          <t>P1</t>
        </is>
      </c>
      <c r="R1947" s="189" t="inlineStr">
        <is>
          <t>🎯 ZDI-published 0-day: apply vendor patch immediately | ⚠️ Check ZDI advisory page for workarounds | 🔍 Hunt for exploitation attempts in logs</t>
        </is>
      </c>
      <c r="S1947" s="189" t="inlineStr">
        <is>
          <t>ZDI 0-day advisory - no IP context</t>
        </is>
      </c>
      <c r="T1947" s="189" t="n">
        <v>0</v>
      </c>
      <c r="U1947" s="189" t="n">
        <v>0</v>
      </c>
      <c r="V1947" s="189" t="inlineStr">
        <is>
          <t>T1190:Exploit Public-Facing Application | T1210:Exploitation of Remote Services | T1203:Exploitation for Client Execution</t>
        </is>
      </c>
      <c r="W1947" s="189" t="n">
        <v>2</v>
      </c>
      <c r="X1947" s="189" t="inlineStr">
        <is>
          <t>CONFIRMED (82%)</t>
        </is>
      </c>
      <c r="Y1947" s="189" t="inlineStr">
        <is>
          <t>YES</t>
        </is>
      </c>
      <c r="Z1947" s="189" t="inlineStr">
        <is>
          <t>CHECK_VENDOR</t>
        </is>
      </c>
      <c r="AA1947" s="190" t="inlineStr">
        <is>
          <t>https://security.snyk.io/vuln/CVE-2026-2045</t>
        </is>
      </c>
      <c r="AB1947" s="190" t="inlineStr">
        <is>
          <t>http://www.zerodayinitiative.com/advisories/ZDI-26-119/</t>
        </is>
      </c>
      <c r="AC1947" s="189" t="n">
        <v>0</v>
      </c>
      <c r="AD1947" s="189" t="n"/>
    </row>
    <row r="1948">
      <c r="A1948" s="189" t="inlineStr">
        <is>
          <t>ZDI_ADVISORY</t>
        </is>
      </c>
      <c r="B1948" s="189" t="inlineStr">
        <is>
          <t>ZDI-26-118</t>
        </is>
      </c>
      <c r="C1948" s="189" t="inlineStr">
        <is>
          <t>ZDI Published 0-Day: ZDI-26-118: GIMP PGM File Parsing Uninitialized Memory Remote Code Execution Vulnerability | CVEs: CVE-2026-2044 | Product: See ZDI advisory</t>
        </is>
      </c>
      <c r="D1948" s="189" t="n">
        <v>7.5</v>
      </c>
      <c r="E1948" s="189" t="inlineStr">
        <is>
          <t>HIGH</t>
        </is>
      </c>
      <c r="F1948" s="189" t="n">
        <v>3</v>
      </c>
      <c r="G1948" s="189" t="n">
        <v>3</v>
      </c>
      <c r="H1948" s="189" t="inlineStr">
        <is>
          <t>CRITICAL</t>
        </is>
      </c>
      <c r="I1948" s="189" t="n">
        <v>16.5</v>
      </c>
      <c r="J1948" s="189" t="inlineStr">
        <is>
          <t>NO</t>
        </is>
      </c>
      <c r="K1948" s="190" t="inlineStr">
        <is>
          <t>http://www.zerodayinitiative.com/advisories/ZDI-26-118/</t>
        </is>
      </c>
      <c r="L1948" s="189" t="inlineStr">
        <is>
          <t>2026-02-19 06:00</t>
        </is>
      </c>
      <c r="M1948" s="189" t="inlineStr">
        <is>
          <t>CHECK_VENDOR - ZDI published, vendor patch may be pending</t>
        </is>
      </c>
      <c r="N1948" s="190" t="inlineStr">
        <is>
          <t>http://www.zerodayinitiative.com/advisories/ZDI-26-118/</t>
        </is>
      </c>
      <c r="O1948" s="189" t="inlineStr">
        <is>
          <t>ZDI-published 0-day: apply vendor patch IMMEDIATELY | CVEs: CVE-2026-2044</t>
        </is>
      </c>
      <c r="P1948" s="189" t="inlineStr">
        <is>
          <t>See ZDI advisory</t>
        </is>
      </c>
      <c r="Q1948" s="189" t="inlineStr">
        <is>
          <t>P1</t>
        </is>
      </c>
      <c r="R1948" s="189" t="inlineStr">
        <is>
          <t>🎯 ZDI-published 0-day: apply vendor patch immediately | ⚠️ Check ZDI advisory page for workarounds | 🔍 Hunt for exploitation attempts in logs</t>
        </is>
      </c>
      <c r="S1948" s="189" t="inlineStr">
        <is>
          <t>ZDI 0-day advisory - no IP context</t>
        </is>
      </c>
      <c r="T1948" s="189" t="n">
        <v>0</v>
      </c>
      <c r="U1948" s="189" t="n">
        <v>0</v>
      </c>
      <c r="V1948" s="189" t="inlineStr">
        <is>
          <t>T1190:Exploit Public-Facing Application | T1210:Exploitation of Remote Services</t>
        </is>
      </c>
      <c r="W1948" s="189" t="n">
        <v>2</v>
      </c>
      <c r="X1948" s="189" t="inlineStr">
        <is>
          <t>CONFIRMED (82%)</t>
        </is>
      </c>
      <c r="Y1948" s="189" t="inlineStr">
        <is>
          <t>YES</t>
        </is>
      </c>
      <c r="Z1948" s="189" t="inlineStr">
        <is>
          <t>CHECK_VENDOR</t>
        </is>
      </c>
      <c r="AA1948" s="190" t="inlineStr">
        <is>
          <t>https://security.snyk.io/vuln/CVE-2026-2044</t>
        </is>
      </c>
      <c r="AB1948" s="190" t="inlineStr">
        <is>
          <t>http://www.zerodayinitiative.com/advisories/ZDI-26-118/</t>
        </is>
      </c>
      <c r="AC1948" s="189" t="n">
        <v>0</v>
      </c>
      <c r="AD1948" s="189" t="n"/>
    </row>
    <row r="1949">
      <c r="A1949" s="189" t="inlineStr">
        <is>
          <t>ZDI_ADVISORY</t>
        </is>
      </c>
      <c r="B1949" s="189" t="inlineStr">
        <is>
          <t>ZDI-26-117</t>
        </is>
      </c>
      <c r="C1949" s="189" t="inlineStr">
        <is>
          <t>ZDI Published 0-Day: ZDI-26-117: RustDesk Client for Windows Transfer File Link Following Information Disclosure Vulnerability | CVEs: CVE-2026-2490 | Product: See ZDI advisory</t>
        </is>
      </c>
      <c r="D1949" s="189" t="n">
        <v>7.5</v>
      </c>
      <c r="E1949" s="189" t="inlineStr">
        <is>
          <t>HIGH</t>
        </is>
      </c>
      <c r="F1949" s="189" t="n">
        <v>3</v>
      </c>
      <c r="G1949" s="189" t="n">
        <v>3</v>
      </c>
      <c r="H1949" s="189" t="inlineStr">
        <is>
          <t>CRITICAL</t>
        </is>
      </c>
      <c r="I1949" s="189" t="n">
        <v>16.5</v>
      </c>
      <c r="J1949" s="189" t="inlineStr">
        <is>
          <t>NO</t>
        </is>
      </c>
      <c r="K1949" s="190" t="inlineStr">
        <is>
          <t>http://www.zerodayinitiative.com/advisories/ZDI-26-117/</t>
        </is>
      </c>
      <c r="L1949" s="189" t="inlineStr">
        <is>
          <t>2026-02-19 06:00</t>
        </is>
      </c>
      <c r="M1949" s="189" t="inlineStr">
        <is>
          <t>CHECK_VENDOR - ZDI published, vendor patch may be pending</t>
        </is>
      </c>
      <c r="N1949" s="190" t="inlineStr">
        <is>
          <t>http://www.zerodayinitiative.com/advisories/ZDI-26-117/</t>
        </is>
      </c>
      <c r="O1949" s="189" t="inlineStr">
        <is>
          <t>ZDI-published 0-day: apply vendor patch IMMEDIATELY | CVEs: CVE-2026-2490</t>
        </is>
      </c>
      <c r="P1949" s="189" t="inlineStr">
        <is>
          <t>See ZDI advisory</t>
        </is>
      </c>
      <c r="Q1949" s="189" t="inlineStr">
        <is>
          <t>P1</t>
        </is>
      </c>
      <c r="R1949" s="189" t="inlineStr">
        <is>
          <t>🎯 ZDI-published 0-day: apply vendor patch immediately | ⚠️ Check ZDI advisory page for workarounds | 🔍 Hunt for exploitation attempts in logs</t>
        </is>
      </c>
      <c r="S1949" s="189" t="inlineStr">
        <is>
          <t>ZDI 0-day advisory - no IP context</t>
        </is>
      </c>
      <c r="T1949" s="189" t="n">
        <v>0.0001</v>
      </c>
      <c r="U1949" s="189" t="n">
        <v>0.0293</v>
      </c>
      <c r="V1949" s="189" t="inlineStr">
        <is>
          <t>T1213:Data from Information Repositories</t>
        </is>
      </c>
      <c r="W1949" s="189" t="n">
        <v>2</v>
      </c>
      <c r="X1949" s="189" t="inlineStr">
        <is>
          <t>CONFIRMED (82%)</t>
        </is>
      </c>
      <c r="Y1949" s="189" t="inlineStr">
        <is>
          <t>YES</t>
        </is>
      </c>
      <c r="Z1949" s="189" t="inlineStr">
        <is>
          <t>CHECK_VENDOR</t>
        </is>
      </c>
      <c r="AA1949" s="190" t="inlineStr">
        <is>
          <t>https://security.snyk.io/vuln/CVE-2026-2490</t>
        </is>
      </c>
      <c r="AB1949" s="190" t="inlineStr">
        <is>
          <t>http://www.zerodayinitiative.com/advisories/ZDI-26-117/</t>
        </is>
      </c>
      <c r="AC1949" s="189" t="n">
        <v>0</v>
      </c>
      <c r="AD1949" s="189" t="n"/>
    </row>
    <row r="1950">
      <c r="A1950" s="189" t="inlineStr">
        <is>
          <t>ZDI_ADVISORY</t>
        </is>
      </c>
      <c r="B1950" s="189" t="inlineStr">
        <is>
          <t>ZDI-26-116</t>
        </is>
      </c>
      <c r="C1950" s="189" t="inlineStr">
        <is>
          <t>ZDI Published 0-Day: ZDI-26-116: TensorFlow HDF5 Library Uncontrolled Search Path Element Local Privilege Escalation Vulnerability | CVEs: CVE-2026-2492 | Product: See ZDI advisory</t>
        </is>
      </c>
      <c r="D1950" s="189" t="n">
        <v>7.5</v>
      </c>
      <c r="E1950" s="189" t="inlineStr">
        <is>
          <t>HIGH</t>
        </is>
      </c>
      <c r="F1950" s="189" t="n">
        <v>3</v>
      </c>
      <c r="G1950" s="189" t="n">
        <v>3</v>
      </c>
      <c r="H1950" s="189" t="inlineStr">
        <is>
          <t>CRITICAL</t>
        </is>
      </c>
      <c r="I1950" s="189" t="n">
        <v>16.5</v>
      </c>
      <c r="J1950" s="189" t="inlineStr">
        <is>
          <t>NO</t>
        </is>
      </c>
      <c r="K1950" s="190" t="inlineStr">
        <is>
          <t>http://www.zerodayinitiative.com/advisories/ZDI-26-116/</t>
        </is>
      </c>
      <c r="L1950" s="189" t="inlineStr">
        <is>
          <t>2026-02-19 06:00</t>
        </is>
      </c>
      <c r="M1950" s="189" t="inlineStr">
        <is>
          <t>CHECK_VENDOR - ZDI published, vendor patch may be pending</t>
        </is>
      </c>
      <c r="N1950" s="190" t="inlineStr">
        <is>
          <t>http://www.zerodayinitiative.com/advisories/ZDI-26-116/</t>
        </is>
      </c>
      <c r="O1950" s="189" t="inlineStr">
        <is>
          <t>ZDI-published 0-day: apply vendor patch IMMEDIATELY | CVEs: CVE-2026-2492</t>
        </is>
      </c>
      <c r="P1950" s="189" t="inlineStr">
        <is>
          <t>See ZDI advisory</t>
        </is>
      </c>
      <c r="Q1950" s="189" t="inlineStr">
        <is>
          <t>P1</t>
        </is>
      </c>
      <c r="R1950" s="189" t="inlineStr">
        <is>
          <t>🎯 ZDI-published 0-day: apply vendor patch immediately | ⚠️ Check ZDI advisory page for workarounds | 🔍 Hunt for exploitation attempts in logs</t>
        </is>
      </c>
      <c r="S1950" s="189" t="inlineStr">
        <is>
          <t>ZDI 0-day advisory - no IP context</t>
        </is>
      </c>
      <c r="T1950" s="189" t="n">
        <v>0</v>
      </c>
      <c r="U1950" s="189" t="n">
        <v>0</v>
      </c>
      <c r="V1950" s="189" t="inlineStr">
        <is>
          <t>T1068:Exploitation for Privilege Escalation</t>
        </is>
      </c>
      <c r="W1950" s="189" t="n">
        <v>2</v>
      </c>
      <c r="X1950" s="189" t="inlineStr">
        <is>
          <t>CONFIRMED (82%)</t>
        </is>
      </c>
      <c r="Y1950" s="189" t="inlineStr">
        <is>
          <t>YES</t>
        </is>
      </c>
      <c r="Z1950" s="189" t="inlineStr">
        <is>
          <t>CHECK_VENDOR</t>
        </is>
      </c>
      <c r="AA1950" s="190" t="inlineStr">
        <is>
          <t>https://security.snyk.io/vuln/CVE-2026-2492</t>
        </is>
      </c>
      <c r="AB1950" s="190" t="inlineStr">
        <is>
          <t>http://www.zerodayinitiative.com/advisories/ZDI-26-116/</t>
        </is>
      </c>
      <c r="AC1950" s="189" t="n">
        <v>0</v>
      </c>
      <c r="AD1950" s="189" t="n"/>
    </row>
    <row r="1951">
      <c r="A1951" s="189" t="inlineStr">
        <is>
          <t>ZDI_ADVISORY</t>
        </is>
      </c>
      <c r="B1951" s="189" t="inlineStr">
        <is>
          <t>ZDI-26-115</t>
        </is>
      </c>
      <c r="C1951" s="189" t="inlineStr">
        <is>
          <t>ZDI Published 0-Day: ZDI-26-115: Fortinet FortiClient VPN FCConfig Utility Link Following Local Privilege Escalation Vulnerability | CVEs: CVE-2025-62676 | Product: See ZDI advisory</t>
        </is>
      </c>
      <c r="D1951" s="189" t="n">
        <v>7.5</v>
      </c>
      <c r="E1951" s="189" t="inlineStr">
        <is>
          <t>HIGH</t>
        </is>
      </c>
      <c r="F1951" s="189" t="n">
        <v>3</v>
      </c>
      <c r="G1951" s="189" t="n">
        <v>3</v>
      </c>
      <c r="H1951" s="189" t="inlineStr">
        <is>
          <t>CRITICAL</t>
        </is>
      </c>
      <c r="I1951" s="189" t="n">
        <v>16.5</v>
      </c>
      <c r="J1951" s="189" t="inlineStr">
        <is>
          <t>NO</t>
        </is>
      </c>
      <c r="K1951" s="190" t="inlineStr">
        <is>
          <t>http://www.zerodayinitiative.com/advisories/ZDI-26-115/</t>
        </is>
      </c>
      <c r="L1951" s="189" t="inlineStr">
        <is>
          <t>2026-02-19 06:00</t>
        </is>
      </c>
      <c r="M1951" s="189" t="inlineStr">
        <is>
          <t>CHECK_VENDOR - ZDI published, vendor patch may be pending</t>
        </is>
      </c>
      <c r="N1951" s="190" t="inlineStr">
        <is>
          <t>http://www.zerodayinitiative.com/advisories/ZDI-26-115/</t>
        </is>
      </c>
      <c r="O1951" s="189" t="inlineStr">
        <is>
          <t>ZDI-published 0-day: apply vendor patch IMMEDIATELY | CVEs: CVE-2025-62676</t>
        </is>
      </c>
      <c r="P1951" s="189" t="inlineStr">
        <is>
          <t>See ZDI advisory</t>
        </is>
      </c>
      <c r="Q1951" s="189" t="inlineStr">
        <is>
          <t>P1</t>
        </is>
      </c>
      <c r="R1951" s="189" t="inlineStr">
        <is>
          <t>🎯 ZDI-published 0-day: apply vendor patch immediately | ⚠️ Check ZDI advisory page for workarounds | 🔍 Hunt for exploitation attempts in logs</t>
        </is>
      </c>
      <c r="S1951" s="189" t="inlineStr">
        <is>
          <t>ZDI 0-day advisory - no IP context</t>
        </is>
      </c>
      <c r="T1951" s="189" t="n">
        <v>0</v>
      </c>
      <c r="U1951" s="189" t="n">
        <v>0</v>
      </c>
      <c r="V1951" s="189" t="inlineStr">
        <is>
          <t>T1068:Exploitation for Privilege Escalation | T1133:External Remote Services</t>
        </is>
      </c>
      <c r="W1951" s="189" t="n">
        <v>2</v>
      </c>
      <c r="X1951" s="189" t="inlineStr">
        <is>
          <t>CONFIRMED (82%)</t>
        </is>
      </c>
      <c r="Y1951" s="189" t="inlineStr">
        <is>
          <t>YES</t>
        </is>
      </c>
      <c r="Z1951" s="189" t="inlineStr">
        <is>
          <t>CHECK_VENDOR</t>
        </is>
      </c>
      <c r="AA1951" s="190" t="inlineStr">
        <is>
          <t>https://security.snyk.io/vuln/CVE-2025-62676</t>
        </is>
      </c>
      <c r="AB1951" s="190" t="inlineStr">
        <is>
          <t>http://www.zerodayinitiative.com/advisories/ZDI-26-115/</t>
        </is>
      </c>
      <c r="AC1951" s="189" t="n">
        <v>0</v>
      </c>
      <c r="AD1951" s="189" t="n"/>
    </row>
    <row r="1952">
      <c r="A1952" s="189" t="inlineStr">
        <is>
          <t>ZDI_ADVISORY</t>
        </is>
      </c>
      <c r="B1952" s="189" t="inlineStr">
        <is>
          <t>ZDI-26-114</t>
        </is>
      </c>
      <c r="C1952" s="189" t="inlineStr">
        <is>
          <t>ZDI Published 0-Day: ZDI-26-114: Dassault Systèmes eDrawings Viewer EPRT File Parsing Out-Of-Bounds Write Remote Code Execution Vulnerability | CVEs: CVE-2026-1335 | Product: See ZDI advisory</t>
        </is>
      </c>
      <c r="D1952" s="189" t="n">
        <v>7.5</v>
      </c>
      <c r="E1952" s="189" t="inlineStr">
        <is>
          <t>HIGH</t>
        </is>
      </c>
      <c r="F1952" s="189" t="n">
        <v>3</v>
      </c>
      <c r="G1952" s="189" t="n">
        <v>3</v>
      </c>
      <c r="H1952" s="189" t="inlineStr">
        <is>
          <t>CRITICAL</t>
        </is>
      </c>
      <c r="I1952" s="189" t="n">
        <v>16.5</v>
      </c>
      <c r="J1952" s="189" t="inlineStr">
        <is>
          <t>NO</t>
        </is>
      </c>
      <c r="K1952" s="190" t="inlineStr">
        <is>
          <t>http://www.zerodayinitiative.com/advisories/ZDI-26-114/</t>
        </is>
      </c>
      <c r="L1952" s="189" t="inlineStr">
        <is>
          <t>2026-02-19 06:00</t>
        </is>
      </c>
      <c r="M1952" s="189" t="inlineStr">
        <is>
          <t>CHECK_VENDOR - ZDI published, vendor patch may be pending</t>
        </is>
      </c>
      <c r="N1952" s="190" t="inlineStr">
        <is>
          <t>http://www.zerodayinitiative.com/advisories/ZDI-26-114/</t>
        </is>
      </c>
      <c r="O1952" s="189" t="inlineStr">
        <is>
          <t>ZDI-published 0-day: apply vendor patch IMMEDIATELY | CVEs: CVE-2026-1335</t>
        </is>
      </c>
      <c r="P1952" s="189" t="inlineStr">
        <is>
          <t>See ZDI advisory</t>
        </is>
      </c>
      <c r="Q1952" s="189" t="inlineStr">
        <is>
          <t>P1</t>
        </is>
      </c>
      <c r="R1952" s="189" t="inlineStr">
        <is>
          <t>🎯 ZDI-published 0-day: apply vendor patch immediately | ⚠️ Check ZDI advisory page for workarounds | 🔍 Hunt for exploitation attempts in logs</t>
        </is>
      </c>
      <c r="S1952" s="189" t="inlineStr">
        <is>
          <t>ZDI 0-day advisory - no IP context</t>
        </is>
      </c>
      <c r="T1952" s="189" t="n">
        <v>0</v>
      </c>
      <c r="U1952" s="189" t="n">
        <v>0</v>
      </c>
      <c r="V1952" s="189" t="inlineStr">
        <is>
          <t>T1190:Exploit Public-Facing Application | T1210:Exploitation of Remote Services | T1203:Exploitation for Client Execution</t>
        </is>
      </c>
      <c r="W1952" s="189" t="n">
        <v>2</v>
      </c>
      <c r="X1952" s="189" t="inlineStr">
        <is>
          <t>CONFIRMED (82%)</t>
        </is>
      </c>
      <c r="Y1952" s="189" t="inlineStr">
        <is>
          <t>YES</t>
        </is>
      </c>
      <c r="Z1952" s="189" t="inlineStr">
        <is>
          <t>CHECK_VENDOR</t>
        </is>
      </c>
      <c r="AA1952" s="190" t="inlineStr">
        <is>
          <t>https://security.snyk.io/vuln/CVE-2026-1335</t>
        </is>
      </c>
      <c r="AB1952" s="190" t="inlineStr">
        <is>
          <t>http://www.zerodayinitiative.com/advisories/ZDI-26-114/</t>
        </is>
      </c>
      <c r="AC1952" s="189" t="n">
        <v>0</v>
      </c>
      <c r="AD1952" s="189" t="n"/>
    </row>
    <row r="1953">
      <c r="A1953" s="189" t="inlineStr">
        <is>
          <t>ZDI_ADVISORY</t>
        </is>
      </c>
      <c r="B1953" s="189" t="inlineStr">
        <is>
          <t>ZDI-26-113</t>
        </is>
      </c>
      <c r="C1953" s="189" t="inlineStr">
        <is>
          <t>ZDI Published 0-Day: ZDI-26-113: Dassault Systèmes eDrawings Viewer EPRT File Parsing Memory Corruption Remote Code Execution Vulnerability | CVEs: CVE-2026-1334 | Product: See ZDI advisory</t>
        </is>
      </c>
      <c r="D1953" s="189" t="n">
        <v>7.5</v>
      </c>
      <c r="E1953" s="189" t="inlineStr">
        <is>
          <t>HIGH</t>
        </is>
      </c>
      <c r="F1953" s="189" t="n">
        <v>3</v>
      </c>
      <c r="G1953" s="189" t="n">
        <v>3</v>
      </c>
      <c r="H1953" s="189" t="inlineStr">
        <is>
          <t>CRITICAL</t>
        </is>
      </c>
      <c r="I1953" s="189" t="n">
        <v>16.5</v>
      </c>
      <c r="J1953" s="189" t="inlineStr">
        <is>
          <t>NO</t>
        </is>
      </c>
      <c r="K1953" s="190" t="inlineStr">
        <is>
          <t>http://www.zerodayinitiative.com/advisories/ZDI-26-113/</t>
        </is>
      </c>
      <c r="L1953" s="189" t="inlineStr">
        <is>
          <t>2026-02-19 06:00</t>
        </is>
      </c>
      <c r="M1953" s="189" t="inlineStr">
        <is>
          <t>CHECK_VENDOR - ZDI published, vendor patch may be pending</t>
        </is>
      </c>
      <c r="N1953" s="190" t="inlineStr">
        <is>
          <t>http://www.zerodayinitiative.com/advisories/ZDI-26-113/</t>
        </is>
      </c>
      <c r="O1953" s="189" t="inlineStr">
        <is>
          <t>ZDI-published 0-day: apply vendor patch IMMEDIATELY | CVEs: CVE-2026-1334</t>
        </is>
      </c>
      <c r="P1953" s="189" t="inlineStr">
        <is>
          <t>See ZDI advisory</t>
        </is>
      </c>
      <c r="Q1953" s="189" t="inlineStr">
        <is>
          <t>P1</t>
        </is>
      </c>
      <c r="R1953" s="189" t="inlineStr">
        <is>
          <t>🎯 ZDI-published 0-day: apply vendor patch immediately | ⚠️ Check ZDI advisory page for workarounds | 🔍 Hunt for exploitation attempts in logs</t>
        </is>
      </c>
      <c r="S1953" s="189" t="inlineStr">
        <is>
          <t>ZDI 0-day advisory - no IP context</t>
        </is>
      </c>
      <c r="T1953" s="189" t="n">
        <v>0</v>
      </c>
      <c r="U1953" s="189" t="n">
        <v>0</v>
      </c>
      <c r="V1953" s="189" t="inlineStr">
        <is>
          <t>T1190:Exploit Public-Facing Application | T1210:Exploitation of Remote Services | T1203:Exploitation for Client Execution</t>
        </is>
      </c>
      <c r="W1953" s="189" t="n">
        <v>2</v>
      </c>
      <c r="X1953" s="189" t="inlineStr">
        <is>
          <t>CONFIRMED (82%)</t>
        </is>
      </c>
      <c r="Y1953" s="189" t="inlineStr">
        <is>
          <t>YES</t>
        </is>
      </c>
      <c r="Z1953" s="189" t="inlineStr">
        <is>
          <t>CHECK_VENDOR</t>
        </is>
      </c>
      <c r="AA1953" s="190" t="inlineStr">
        <is>
          <t>https://security.snyk.io/vuln/CVE-2026-1334</t>
        </is>
      </c>
      <c r="AB1953" s="190" t="inlineStr">
        <is>
          <t>http://www.zerodayinitiative.com/advisories/ZDI-26-113/</t>
        </is>
      </c>
      <c r="AC1953" s="189" t="n">
        <v>0</v>
      </c>
      <c r="AD1953" s="189" t="n"/>
    </row>
    <row r="1954">
      <c r="A1954" s="189" t="inlineStr">
        <is>
          <t>ZDI_ADVISORY</t>
        </is>
      </c>
      <c r="B1954" s="189" t="inlineStr">
        <is>
          <t>ZDI-26-112</t>
        </is>
      </c>
      <c r="C1954" s="189" t="inlineStr">
        <is>
          <t>ZDI Published 0-Day: ZDI-26-112: Dassault Systèmes eDrawings Viewer EPRT File Parsing Uninitialized Variable Remote Code Execution Vulnerability | CVEs: CVE-2026-1333 | Product: See ZDI advisory</t>
        </is>
      </c>
      <c r="D1954" s="189" t="n">
        <v>7.5</v>
      </c>
      <c r="E1954" s="189" t="inlineStr">
        <is>
          <t>HIGH</t>
        </is>
      </c>
      <c r="F1954" s="189" t="n">
        <v>3</v>
      </c>
      <c r="G1954" s="189" t="n">
        <v>3</v>
      </c>
      <c r="H1954" s="189" t="inlineStr">
        <is>
          <t>CRITICAL</t>
        </is>
      </c>
      <c r="I1954" s="189" t="n">
        <v>16.5</v>
      </c>
      <c r="J1954" s="189" t="inlineStr">
        <is>
          <t>NO</t>
        </is>
      </c>
      <c r="K1954" s="190" t="inlineStr">
        <is>
          <t>http://www.zerodayinitiative.com/advisories/ZDI-26-112/</t>
        </is>
      </c>
      <c r="L1954" s="189" t="inlineStr">
        <is>
          <t>2026-02-19 06:00</t>
        </is>
      </c>
      <c r="M1954" s="189" t="inlineStr">
        <is>
          <t>CHECK_VENDOR - ZDI published, vendor patch may be pending</t>
        </is>
      </c>
      <c r="N1954" s="190" t="inlineStr">
        <is>
          <t>http://www.zerodayinitiative.com/advisories/ZDI-26-112/</t>
        </is>
      </c>
      <c r="O1954" s="189" t="inlineStr">
        <is>
          <t>ZDI-published 0-day: apply vendor patch IMMEDIATELY | CVEs: CVE-2026-1333</t>
        </is>
      </c>
      <c r="P1954" s="189" t="inlineStr">
        <is>
          <t>See ZDI advisory</t>
        </is>
      </c>
      <c r="Q1954" s="189" t="inlineStr">
        <is>
          <t>P1</t>
        </is>
      </c>
      <c r="R1954" s="189" t="inlineStr">
        <is>
          <t>🎯 ZDI-published 0-day: apply vendor patch immediately | ⚠️ Check ZDI advisory page for workarounds | 🔍 Hunt for exploitation attempts in logs</t>
        </is>
      </c>
      <c r="S1954" s="189" t="inlineStr">
        <is>
          <t>ZDI 0-day advisory - no IP context</t>
        </is>
      </c>
      <c r="T1954" s="189" t="n">
        <v>0</v>
      </c>
      <c r="U1954" s="189" t="n">
        <v>0</v>
      </c>
      <c r="V1954" s="189" t="inlineStr">
        <is>
          <t>T1190:Exploit Public-Facing Application | T1210:Exploitation of Remote Services</t>
        </is>
      </c>
      <c r="W1954" s="189" t="n">
        <v>2</v>
      </c>
      <c r="X1954" s="189" t="inlineStr">
        <is>
          <t>CONFIRMED (82%)</t>
        </is>
      </c>
      <c r="Y1954" s="189" t="inlineStr">
        <is>
          <t>YES</t>
        </is>
      </c>
      <c r="Z1954" s="189" t="inlineStr">
        <is>
          <t>CHECK_VENDOR</t>
        </is>
      </c>
      <c r="AA1954" s="190" t="inlineStr">
        <is>
          <t>https://security.snyk.io/vuln/CVE-2026-1333</t>
        </is>
      </c>
      <c r="AB1954" s="190" t="inlineStr">
        <is>
          <t>http://www.zerodayinitiative.com/advisories/ZDI-26-112/</t>
        </is>
      </c>
      <c r="AC1954" s="189" t="n">
        <v>0</v>
      </c>
      <c r="AD1954" s="189" t="n"/>
    </row>
    <row r="1955">
      <c r="A1955" s="189" t="inlineStr">
        <is>
          <t>ZDI_ADVISORY</t>
        </is>
      </c>
      <c r="B1955" s="189" t="inlineStr">
        <is>
          <t>ZDI-26-111</t>
        </is>
      </c>
      <c r="C1955" s="189" t="inlineStr">
        <is>
          <t>ZDI Published 0-Day: ZDI-26-111: MLflow Use of Default Password Authentication Bypass Vulnerability | CVEs: CVE-2026-2635 | Product: See ZDI advisory</t>
        </is>
      </c>
      <c r="D1955" s="189" t="n">
        <v>7.5</v>
      </c>
      <c r="E1955" s="189" t="inlineStr">
        <is>
          <t>HIGH</t>
        </is>
      </c>
      <c r="F1955" s="189" t="n">
        <v>3</v>
      </c>
      <c r="G1955" s="189" t="n">
        <v>3</v>
      </c>
      <c r="H1955" s="189" t="inlineStr">
        <is>
          <t>CRITICAL</t>
        </is>
      </c>
      <c r="I1955" s="189" t="n">
        <v>16.5</v>
      </c>
      <c r="J1955" s="189" t="inlineStr">
        <is>
          <t>NO</t>
        </is>
      </c>
      <c r="K1955" s="190" t="inlineStr">
        <is>
          <t>http://www.zerodayinitiative.com/advisories/ZDI-26-111/</t>
        </is>
      </c>
      <c r="L1955" s="189" t="inlineStr">
        <is>
          <t>2026-02-19 06:00</t>
        </is>
      </c>
      <c r="M1955" s="189" t="inlineStr">
        <is>
          <t>CHECK_VENDOR - ZDI published, vendor patch may be pending</t>
        </is>
      </c>
      <c r="N1955" s="190" t="inlineStr">
        <is>
          <t>http://www.zerodayinitiative.com/advisories/ZDI-26-111/</t>
        </is>
      </c>
      <c r="O1955" s="189" t="inlineStr">
        <is>
          <t>ZDI-published 0-day: apply vendor patch IMMEDIATELY | CVEs: CVE-2026-2635</t>
        </is>
      </c>
      <c r="P1955" s="189" t="inlineStr">
        <is>
          <t>See ZDI advisory</t>
        </is>
      </c>
      <c r="Q1955" s="189" t="inlineStr">
        <is>
          <t>P1</t>
        </is>
      </c>
      <c r="R1955" s="189" t="inlineStr">
        <is>
          <t>🎯 ZDI-published 0-day: apply vendor patch immediately | ⚠️ Check ZDI advisory page for workarounds | 🔍 Hunt for exploitation attempts in logs</t>
        </is>
      </c>
      <c r="S1955" s="189" t="inlineStr">
        <is>
          <t>ZDI 0-day advisory - no IP context</t>
        </is>
      </c>
      <c r="T1955" s="189" t="n">
        <v>0</v>
      </c>
      <c r="U1955" s="189" t="n">
        <v>0</v>
      </c>
      <c r="V1955" s="189" t="inlineStr">
        <is>
          <t>T1078:Valid Accounts</t>
        </is>
      </c>
      <c r="W1955" s="189" t="n">
        <v>2</v>
      </c>
      <c r="X1955" s="189" t="inlineStr">
        <is>
          <t>CONFIRMED (82%)</t>
        </is>
      </c>
      <c r="Y1955" s="189" t="inlineStr">
        <is>
          <t>YES</t>
        </is>
      </c>
      <c r="Z1955" s="189" t="inlineStr">
        <is>
          <t>CHECK_VENDOR</t>
        </is>
      </c>
      <c r="AA1955" s="190" t="inlineStr">
        <is>
          <t>https://security.snyk.io/vuln/CVE-2026-2635</t>
        </is>
      </c>
      <c r="AB1955" s="190" t="inlineStr">
        <is>
          <t>http://www.zerodayinitiative.com/advisories/ZDI-26-111/</t>
        </is>
      </c>
      <c r="AC1955" s="189" t="n">
        <v>0</v>
      </c>
      <c r="AD1955" s="189" t="n"/>
    </row>
    <row r="1956">
      <c r="A1956" s="189" t="inlineStr">
        <is>
          <t>ZDI_ADVISORY</t>
        </is>
      </c>
      <c r="B1956" s="189" t="inlineStr">
        <is>
          <t>ZDI-26-110</t>
        </is>
      </c>
      <c r="C1956" s="189" t="inlineStr">
        <is>
          <t>ZDI Published 0-Day: ZDI-26-110: Bosch Rexroth IndraWorks Print Settings File Parsing Deserialization Of Untrusted Data Remote Code Execution Vulnerability | CVEs: CVE-2025-60038, CVE-2025-60037 | Product: See ZDI advisory</t>
        </is>
      </c>
      <c r="D1956" s="189" t="n">
        <v>7.5</v>
      </c>
      <c r="E1956" s="189" t="inlineStr">
        <is>
          <t>HIGH</t>
        </is>
      </c>
      <c r="F1956" s="189" t="n">
        <v>3</v>
      </c>
      <c r="G1956" s="189" t="n">
        <v>3</v>
      </c>
      <c r="H1956" s="189" t="inlineStr">
        <is>
          <t>CRITICAL</t>
        </is>
      </c>
      <c r="I1956" s="189" t="n">
        <v>16.5</v>
      </c>
      <c r="J1956" s="189" t="inlineStr">
        <is>
          <t>NO</t>
        </is>
      </c>
      <c r="K1956" s="190" t="inlineStr">
        <is>
          <t>http://www.zerodayinitiative.com/advisories/ZDI-26-110/</t>
        </is>
      </c>
      <c r="L1956" s="189" t="inlineStr">
        <is>
          <t>2026-02-19 06:00</t>
        </is>
      </c>
      <c r="M1956" s="189" t="inlineStr">
        <is>
          <t>CHECK_VENDOR - ZDI published, vendor patch may be pending</t>
        </is>
      </c>
      <c r="N1956" s="190" t="inlineStr">
        <is>
          <t>http://www.zerodayinitiative.com/advisories/ZDI-26-110/</t>
        </is>
      </c>
      <c r="O1956" s="189" t="inlineStr">
        <is>
          <t>ZDI-published 0-day: apply vendor patch IMMEDIATELY | CVEs: CVE-2025-60038, CVE-2025-60037</t>
        </is>
      </c>
      <c r="P1956" s="189" t="inlineStr">
        <is>
          <t>See ZDI advisory</t>
        </is>
      </c>
      <c r="Q1956" s="189" t="inlineStr">
        <is>
          <t>P1</t>
        </is>
      </c>
      <c r="R1956" s="189" t="inlineStr">
        <is>
          <t>🎯 ZDI-published 0-day: apply vendor patch immediately | ⚠️ Check ZDI advisory page for workarounds | 🔍 Hunt for exploitation attempts in logs</t>
        </is>
      </c>
      <c r="S1956" s="189" t="inlineStr">
        <is>
          <t>ZDI 0-day advisory - no IP context</t>
        </is>
      </c>
      <c r="T1956" s="189" t="n">
        <v>0</v>
      </c>
      <c r="U1956" s="189" t="n">
        <v>0</v>
      </c>
      <c r="V1956" s="189" t="inlineStr">
        <is>
          <t>T1190:Exploit Public-Facing Application | T1210:Exploitation of Remote Services | T1059:Command and Scripting Interpreter</t>
        </is>
      </c>
      <c r="W1956" s="189" t="n">
        <v>2</v>
      </c>
      <c r="X1956" s="189" t="inlineStr">
        <is>
          <t>CONFIRMED (82%)</t>
        </is>
      </c>
      <c r="Y1956" s="189" t="inlineStr">
        <is>
          <t>YES</t>
        </is>
      </c>
      <c r="Z1956" s="189" t="inlineStr">
        <is>
          <t>CHECK_VENDOR</t>
        </is>
      </c>
      <c r="AA1956" s="190" t="inlineStr">
        <is>
          <t>https://security.snyk.io/vuln/CVE-2025-60038</t>
        </is>
      </c>
      <c r="AB1956" s="190" t="inlineStr">
        <is>
          <t>http://www.zerodayinitiative.com/advisories/ZDI-26-110/</t>
        </is>
      </c>
      <c r="AC1956" s="189" t="n">
        <v>0</v>
      </c>
      <c r="AD1956" s="189" t="n"/>
    </row>
    <row r="1957">
      <c r="A1957" s="189" t="inlineStr">
        <is>
          <t>ZDI_ADVISORY</t>
        </is>
      </c>
      <c r="B1957" s="189" t="inlineStr">
        <is>
          <t>ZDI-26-109</t>
        </is>
      </c>
      <c r="C1957" s="189" t="inlineStr">
        <is>
          <t>ZDI Published 0-Day: ZDI-26-109: Bosch Rexroth IndraWorks OPC.TestClient XML File Parsing Deserialization Of Untrusted Data Remote Code Execution Vulnerability | CVEs: CVE-2025-60035 | Product: See ZDI advisory</t>
        </is>
      </c>
      <c r="D1957" s="189" t="n">
        <v>7.5</v>
      </c>
      <c r="E1957" s="189" t="inlineStr">
        <is>
          <t>HIGH</t>
        </is>
      </c>
      <c r="F1957" s="189" t="n">
        <v>3</v>
      </c>
      <c r="G1957" s="189" t="n">
        <v>3</v>
      </c>
      <c r="H1957" s="189" t="inlineStr">
        <is>
          <t>CRITICAL</t>
        </is>
      </c>
      <c r="I1957" s="189" t="n">
        <v>16.5</v>
      </c>
      <c r="J1957" s="189" t="inlineStr">
        <is>
          <t>NO</t>
        </is>
      </c>
      <c r="K1957" s="190" t="inlineStr">
        <is>
          <t>http://www.zerodayinitiative.com/advisories/ZDI-26-109/</t>
        </is>
      </c>
      <c r="L1957" s="189" t="inlineStr">
        <is>
          <t>2026-02-19 06:00</t>
        </is>
      </c>
      <c r="M1957" s="189" t="inlineStr">
        <is>
          <t>CHECK_VENDOR - ZDI published, vendor patch may be pending</t>
        </is>
      </c>
      <c r="N1957" s="190" t="inlineStr">
        <is>
          <t>http://www.zerodayinitiative.com/advisories/ZDI-26-109/</t>
        </is>
      </c>
      <c r="O1957" s="189" t="inlineStr">
        <is>
          <t>ZDI-published 0-day: apply vendor patch IMMEDIATELY | CVEs: CVE-2025-60035</t>
        </is>
      </c>
      <c r="P1957" s="189" t="inlineStr">
        <is>
          <t>See ZDI advisory</t>
        </is>
      </c>
      <c r="Q1957" s="189" t="inlineStr">
        <is>
          <t>P1</t>
        </is>
      </c>
      <c r="R1957" s="189" t="inlineStr">
        <is>
          <t>🎯 ZDI-published 0-day: apply vendor patch immediately | ⚠️ Check ZDI advisory page for workarounds | 🔍 Hunt for exploitation attempts in logs</t>
        </is>
      </c>
      <c r="S1957" s="189" t="inlineStr">
        <is>
          <t>ZDI 0-day advisory - no IP context</t>
        </is>
      </c>
      <c r="T1957" s="189" t="n">
        <v>0</v>
      </c>
      <c r="U1957" s="189" t="n">
        <v>0</v>
      </c>
      <c r="V1957" s="189" t="inlineStr">
        <is>
          <t>T1190:Exploit Public-Facing Application | T1210:Exploitation of Remote Services | T1059:Command and Scripting Interpreter</t>
        </is>
      </c>
      <c r="W1957" s="189" t="n">
        <v>2</v>
      </c>
      <c r="X1957" s="189" t="inlineStr">
        <is>
          <t>CONFIRMED (82%)</t>
        </is>
      </c>
      <c r="Y1957" s="189" t="inlineStr">
        <is>
          <t>YES</t>
        </is>
      </c>
      <c r="Z1957" s="189" t="inlineStr">
        <is>
          <t>CHECK_VENDOR</t>
        </is>
      </c>
      <c r="AA1957" s="190" t="inlineStr">
        <is>
          <t>https://security.snyk.io/vuln/CVE-2025-60035</t>
        </is>
      </c>
      <c r="AB1957" s="190" t="inlineStr">
        <is>
          <t>http://www.zerodayinitiative.com/advisories/ZDI-26-109/</t>
        </is>
      </c>
      <c r="AC1957" s="189" t="n">
        <v>0</v>
      </c>
      <c r="AD1957" s="189" t="n"/>
    </row>
    <row r="1958">
      <c r="A1958" s="189" t="inlineStr">
        <is>
          <t>ZDI_ADVISORY</t>
        </is>
      </c>
      <c r="B1958" s="189" t="inlineStr">
        <is>
          <t>ZDI-26-108</t>
        </is>
      </c>
      <c r="C1958" s="189" t="inlineStr">
        <is>
          <t>ZDI Published 0-Day: ZDI-26-108: Bosch Rexroth IndraWorks UA.TestClient XML File Parsing Deserialization Of Untrusted Data Remote Code Execution Vulnerability | CVEs: CVE-2025-60036 | Product: See ZDI advisory</t>
        </is>
      </c>
      <c r="D1958" s="189" t="n">
        <v>7.5</v>
      </c>
      <c r="E1958" s="189" t="inlineStr">
        <is>
          <t>HIGH</t>
        </is>
      </c>
      <c r="F1958" s="189" t="n">
        <v>3</v>
      </c>
      <c r="G1958" s="189" t="n">
        <v>3</v>
      </c>
      <c r="H1958" s="189" t="inlineStr">
        <is>
          <t>CRITICAL</t>
        </is>
      </c>
      <c r="I1958" s="189" t="n">
        <v>16.5</v>
      </c>
      <c r="J1958" s="189" t="inlineStr">
        <is>
          <t>NO</t>
        </is>
      </c>
      <c r="K1958" s="190" t="inlineStr">
        <is>
          <t>http://www.zerodayinitiative.com/advisories/ZDI-26-108/</t>
        </is>
      </c>
      <c r="L1958" s="189" t="inlineStr">
        <is>
          <t>2026-02-19 06:00</t>
        </is>
      </c>
      <c r="M1958" s="189" t="inlineStr">
        <is>
          <t>CHECK_VENDOR - ZDI published, vendor patch may be pending</t>
        </is>
      </c>
      <c r="N1958" s="190" t="inlineStr">
        <is>
          <t>http://www.zerodayinitiative.com/advisories/ZDI-26-108/</t>
        </is>
      </c>
      <c r="O1958" s="189" t="inlineStr">
        <is>
          <t>ZDI-published 0-day: apply vendor patch IMMEDIATELY | CVEs: CVE-2025-60036</t>
        </is>
      </c>
      <c r="P1958" s="189" t="inlineStr">
        <is>
          <t>See ZDI advisory</t>
        </is>
      </c>
      <c r="Q1958" s="189" t="inlineStr">
        <is>
          <t>P1</t>
        </is>
      </c>
      <c r="R1958" s="189" t="inlineStr">
        <is>
          <t>🎯 ZDI-published 0-day: apply vendor patch immediately | ⚠️ Check ZDI advisory page for workarounds | 🔍 Hunt for exploitation attempts in logs</t>
        </is>
      </c>
      <c r="S1958" s="189" t="inlineStr">
        <is>
          <t>ZDI 0-day advisory - no IP context</t>
        </is>
      </c>
      <c r="T1958" s="189" t="n">
        <v>0.0018</v>
      </c>
      <c r="U1958" s="189" t="n">
        <v>0.4008</v>
      </c>
      <c r="V1958" s="189" t="inlineStr">
        <is>
          <t>T1190:Exploit Public-Facing Application | T1210:Exploitation of Remote Services | T1059:Command and Scripting Interpreter</t>
        </is>
      </c>
      <c r="W1958" s="189" t="n">
        <v>2</v>
      </c>
      <c r="X1958" s="189" t="inlineStr">
        <is>
          <t>CONFIRMED (82%)</t>
        </is>
      </c>
      <c r="Y1958" s="189" t="inlineStr">
        <is>
          <t>YES</t>
        </is>
      </c>
      <c r="Z1958" s="189" t="inlineStr">
        <is>
          <t>CHECK_VENDOR</t>
        </is>
      </c>
      <c r="AA1958" s="190" t="inlineStr">
        <is>
          <t>https://security.snyk.io/vuln/CVE-2025-60036</t>
        </is>
      </c>
      <c r="AB1958" s="190" t="inlineStr">
        <is>
          <t>http://www.zerodayinitiative.com/advisories/ZDI-26-108/</t>
        </is>
      </c>
      <c r="AC1958" s="189" t="n">
        <v>0</v>
      </c>
      <c r="AD1958" s="189" t="n"/>
    </row>
    <row r="1959">
      <c r="A1959" s="189" t="inlineStr">
        <is>
          <t>ZDI_ADVISORY</t>
        </is>
      </c>
      <c r="B1959" s="189" t="inlineStr">
        <is>
          <t>ZDI-26-107</t>
        </is>
      </c>
      <c r="C1959" s="189" t="inlineStr">
        <is>
          <t>ZDI Published 0-Day: ZDI-26-107: Autodesk AutoCAD MODEL File Out-Of-Bounds Write Remote Code Execution Vulnerability | CVEs: CVE-2026-0875 | Product: See ZDI advisory</t>
        </is>
      </c>
      <c r="D1959" s="189" t="n">
        <v>7.5</v>
      </c>
      <c r="E1959" s="189" t="inlineStr">
        <is>
          <t>HIGH</t>
        </is>
      </c>
      <c r="F1959" s="189" t="n">
        <v>3</v>
      </c>
      <c r="G1959" s="189" t="n">
        <v>3</v>
      </c>
      <c r="H1959" s="189" t="inlineStr">
        <is>
          <t>CRITICAL</t>
        </is>
      </c>
      <c r="I1959" s="189" t="n">
        <v>16.5</v>
      </c>
      <c r="J1959" s="189" t="inlineStr">
        <is>
          <t>NO</t>
        </is>
      </c>
      <c r="K1959" s="190" t="inlineStr">
        <is>
          <t>http://www.zerodayinitiative.com/advisories/ZDI-26-107/</t>
        </is>
      </c>
      <c r="L1959" s="189" t="inlineStr">
        <is>
          <t>2026-02-18 06:00</t>
        </is>
      </c>
      <c r="M1959" s="189" t="inlineStr">
        <is>
          <t>CHECK_VENDOR - ZDI published, vendor patch may be pending</t>
        </is>
      </c>
      <c r="N1959" s="190" t="inlineStr">
        <is>
          <t>http://www.zerodayinitiative.com/advisories/ZDI-26-107/</t>
        </is>
      </c>
      <c r="O1959" s="189" t="inlineStr">
        <is>
          <t>ZDI-published 0-day: apply vendor patch IMMEDIATELY | CVEs: CVE-2026-0875</t>
        </is>
      </c>
      <c r="P1959" s="189" t="inlineStr">
        <is>
          <t>See ZDI advisory</t>
        </is>
      </c>
      <c r="Q1959" s="189" t="inlineStr">
        <is>
          <t>P1</t>
        </is>
      </c>
      <c r="R1959" s="189" t="inlineStr">
        <is>
          <t>🎯 ZDI-published 0-day: apply vendor patch immediately | ⚠️ Check ZDI advisory page for workarounds | 🔍 Hunt for exploitation attempts in logs</t>
        </is>
      </c>
      <c r="S1959" s="189" t="inlineStr">
        <is>
          <t>ZDI 0-day advisory - no IP context</t>
        </is>
      </c>
      <c r="T1959" s="189" t="n">
        <v>0</v>
      </c>
      <c r="U1959" s="189" t="n">
        <v>0</v>
      </c>
      <c r="V1959" s="189" t="inlineStr">
        <is>
          <t>T1190:Exploit Public-Facing Application | T1210:Exploitation of Remote Services | T1203:Exploitation for Client Execution</t>
        </is>
      </c>
      <c r="W1959" s="189" t="n">
        <v>2</v>
      </c>
      <c r="X1959" s="189" t="inlineStr">
        <is>
          <t>CONFIRMED (82%)</t>
        </is>
      </c>
      <c r="Y1959" s="189" t="inlineStr">
        <is>
          <t>YES</t>
        </is>
      </c>
      <c r="Z1959" s="189" t="inlineStr">
        <is>
          <t>CHECK_VENDOR</t>
        </is>
      </c>
      <c r="AA1959" s="190" t="inlineStr">
        <is>
          <t>https://security.snyk.io/vuln/CVE-2026-0875</t>
        </is>
      </c>
      <c r="AB1959" s="190" t="inlineStr">
        <is>
          <t>http://www.zerodayinitiative.com/advisories/ZDI-26-107/</t>
        </is>
      </c>
      <c r="AC1959" s="189" t="n">
        <v>0</v>
      </c>
      <c r="AD1959" s="189" t="n"/>
    </row>
    <row r="1960">
      <c r="A1960" s="189" t="inlineStr">
        <is>
          <t>ZDI_ADVISORY</t>
        </is>
      </c>
      <c r="B1960" s="189" t="inlineStr">
        <is>
          <t>ZDI-26-106</t>
        </is>
      </c>
      <c r="C1960" s="189" t="inlineStr">
        <is>
          <t>ZDI Published 0-Day: ZDI-26-106: Autodesk AutoCAD CATPART File Parsing Out-Of-Bounds Write Remote Code Execution Vulnerability | CVEs: CVE-2026-0874 | Product: See ZDI advisory</t>
        </is>
      </c>
      <c r="D1960" s="189" t="n">
        <v>7.5</v>
      </c>
      <c r="E1960" s="189" t="inlineStr">
        <is>
          <t>HIGH</t>
        </is>
      </c>
      <c r="F1960" s="189" t="n">
        <v>3</v>
      </c>
      <c r="G1960" s="189" t="n">
        <v>3</v>
      </c>
      <c r="H1960" s="189" t="inlineStr">
        <is>
          <t>CRITICAL</t>
        </is>
      </c>
      <c r="I1960" s="189" t="n">
        <v>16.5</v>
      </c>
      <c r="J1960" s="189" t="inlineStr">
        <is>
          <t>NO</t>
        </is>
      </c>
      <c r="K1960" s="190" t="inlineStr">
        <is>
          <t>http://www.zerodayinitiative.com/advisories/ZDI-26-106/</t>
        </is>
      </c>
      <c r="L1960" s="189" t="inlineStr">
        <is>
          <t>2026-02-18 06:00</t>
        </is>
      </c>
      <c r="M1960" s="189" t="inlineStr">
        <is>
          <t>CHECK_VENDOR - ZDI published, vendor patch may be pending</t>
        </is>
      </c>
      <c r="N1960" s="190" t="inlineStr">
        <is>
          <t>http://www.zerodayinitiative.com/advisories/ZDI-26-106/</t>
        </is>
      </c>
      <c r="O1960" s="189" t="inlineStr">
        <is>
          <t>ZDI-published 0-day: apply vendor patch IMMEDIATELY | CVEs: CVE-2026-0874</t>
        </is>
      </c>
      <c r="P1960" s="189" t="inlineStr">
        <is>
          <t>See ZDI advisory</t>
        </is>
      </c>
      <c r="Q1960" s="189" t="inlineStr">
        <is>
          <t>P1</t>
        </is>
      </c>
      <c r="R1960" s="189" t="inlineStr">
        <is>
          <t>🎯 ZDI-published 0-day: apply vendor patch immediately | ⚠️ Check ZDI advisory page for workarounds | 🔍 Hunt for exploitation attempts in logs</t>
        </is>
      </c>
      <c r="S1960" s="189" t="inlineStr">
        <is>
          <t>ZDI 0-day advisory - no IP context</t>
        </is>
      </c>
      <c r="T1960" s="189" t="n">
        <v>0</v>
      </c>
      <c r="U1960" s="189" t="n">
        <v>0</v>
      </c>
      <c r="V1960" s="189" t="inlineStr">
        <is>
          <t>T1190:Exploit Public-Facing Application | T1210:Exploitation of Remote Services | T1203:Exploitation for Client Execution</t>
        </is>
      </c>
      <c r="W1960" s="189" t="n">
        <v>2</v>
      </c>
      <c r="X1960" s="189" t="inlineStr">
        <is>
          <t>CONFIRMED (82%)</t>
        </is>
      </c>
      <c r="Y1960" s="189" t="inlineStr">
        <is>
          <t>YES</t>
        </is>
      </c>
      <c r="Z1960" s="189" t="inlineStr">
        <is>
          <t>CHECK_VENDOR</t>
        </is>
      </c>
      <c r="AA1960" s="190" t="inlineStr">
        <is>
          <t>https://security.snyk.io/vuln/CVE-2026-0874</t>
        </is>
      </c>
      <c r="AB1960" s="190" t="inlineStr">
        <is>
          <t>http://www.zerodayinitiative.com/advisories/ZDI-26-106/</t>
        </is>
      </c>
      <c r="AC1960" s="189" t="n">
        <v>0</v>
      </c>
      <c r="AD1960" s="189" t="n"/>
    </row>
    <row r="1961">
      <c r="A1961" s="189" t="inlineStr">
        <is>
          <t>ZDI_ADVISORY</t>
        </is>
      </c>
      <c r="B1961" s="189" t="inlineStr">
        <is>
          <t>ZDI-26-105</t>
        </is>
      </c>
      <c r="C1961" s="189" t="inlineStr">
        <is>
          <t>ZDI Published 0-Day: ZDI-26-105: MLflow Tracking Server Artifact Handler Directory Traversal Remote Code Execution Vulnerability | CVEs: CVE-2026-2033 | Product: See ZDI advisory</t>
        </is>
      </c>
      <c r="D1961" s="189" t="n">
        <v>7.5</v>
      </c>
      <c r="E1961" s="189" t="inlineStr">
        <is>
          <t>HIGH</t>
        </is>
      </c>
      <c r="F1961" s="189" t="n">
        <v>3</v>
      </c>
      <c r="G1961" s="189" t="n">
        <v>3</v>
      </c>
      <c r="H1961" s="189" t="inlineStr">
        <is>
          <t>CRITICAL</t>
        </is>
      </c>
      <c r="I1961" s="189" t="n">
        <v>16.5</v>
      </c>
      <c r="J1961" s="189" t="inlineStr">
        <is>
          <t>NO</t>
        </is>
      </c>
      <c r="K1961" s="190" t="inlineStr">
        <is>
          <t>http://www.zerodayinitiative.com/advisories/ZDI-26-105/</t>
        </is>
      </c>
      <c r="L1961" s="189" t="inlineStr">
        <is>
          <t>2026-02-13 06:00</t>
        </is>
      </c>
      <c r="M1961" s="189" t="inlineStr">
        <is>
          <t>CHECK_VENDOR - ZDI published, vendor patch may be pending</t>
        </is>
      </c>
      <c r="N1961" s="190" t="inlineStr">
        <is>
          <t>http://www.zerodayinitiative.com/advisories/ZDI-26-105/</t>
        </is>
      </c>
      <c r="O1961" s="189" t="inlineStr">
        <is>
          <t>ZDI-published 0-day: apply vendor patch IMMEDIATELY | CVEs: CVE-2026-2033</t>
        </is>
      </c>
      <c r="P1961" s="189" t="inlineStr">
        <is>
          <t>See ZDI advisory</t>
        </is>
      </c>
      <c r="Q1961" s="189" t="inlineStr">
        <is>
          <t>P1</t>
        </is>
      </c>
      <c r="R1961" s="189" t="inlineStr">
        <is>
          <t>🎯 ZDI-published 0-day: apply vendor patch immediately | ⚠️ Check ZDI advisory page for workarounds | 🔍 Hunt for exploitation attempts in logs</t>
        </is>
      </c>
      <c r="S1961" s="189" t="inlineStr">
        <is>
          <t>ZDI 0-day advisory - no IP context</t>
        </is>
      </c>
      <c r="T1961" s="189" t="n">
        <v>0</v>
      </c>
      <c r="U1961" s="189" t="n">
        <v>0</v>
      </c>
      <c r="V1961" s="189" t="inlineStr">
        <is>
          <t>T1190:Exploit Public-Facing Application | T1210:Exploitation of Remote Services | T1083:File and Directory Discovery</t>
        </is>
      </c>
      <c r="W1961" s="189" t="n">
        <v>2</v>
      </c>
      <c r="X1961" s="189" t="inlineStr">
        <is>
          <t>CONFIRMED (82%)</t>
        </is>
      </c>
      <c r="Y1961" s="189" t="inlineStr">
        <is>
          <t>YES</t>
        </is>
      </c>
      <c r="Z1961" s="189" t="inlineStr">
        <is>
          <t>CHECK_VENDOR</t>
        </is>
      </c>
      <c r="AA1961" s="190" t="inlineStr">
        <is>
          <t>https://security.snyk.io/vuln/CVE-2026-2033</t>
        </is>
      </c>
      <c r="AB1961" s="190" t="inlineStr">
        <is>
          <t>http://www.zerodayinitiative.com/advisories/ZDI-26-105/</t>
        </is>
      </c>
      <c r="AC1961" s="189" t="n">
        <v>0</v>
      </c>
      <c r="AD1961" s="189" t="n"/>
    </row>
    <row r="1962">
      <c r="A1962" s="189" t="inlineStr">
        <is>
          <t>ZDI_ADVISORY</t>
        </is>
      </c>
      <c r="B1962" s="189" t="inlineStr">
        <is>
          <t>ZDI-26-104</t>
        </is>
      </c>
      <c r="C1962" s="189" t="inlineStr">
        <is>
          <t>ZDI Published 0-Day: ZDI-26-104: Sante DICOM Viewer Pro DCM File Parsing Buffer Overflow Remote Code Execution Vulnerability | CVEs: CVE-2026-2034 | Product: See ZDI advisory</t>
        </is>
      </c>
      <c r="D1962" s="189" t="n">
        <v>7.5</v>
      </c>
      <c r="E1962" s="189" t="inlineStr">
        <is>
          <t>HIGH</t>
        </is>
      </c>
      <c r="F1962" s="189" t="n">
        <v>3</v>
      </c>
      <c r="G1962" s="189" t="n">
        <v>3</v>
      </c>
      <c r="H1962" s="189" t="inlineStr">
        <is>
          <t>CRITICAL</t>
        </is>
      </c>
      <c r="I1962" s="189" t="n">
        <v>16.5</v>
      </c>
      <c r="J1962" s="189" t="inlineStr">
        <is>
          <t>NO</t>
        </is>
      </c>
      <c r="K1962" s="190" t="inlineStr">
        <is>
          <t>http://www.zerodayinitiative.com/advisories/ZDI-26-104/</t>
        </is>
      </c>
      <c r="L1962" s="189" t="inlineStr">
        <is>
          <t>2026-02-13 06:00</t>
        </is>
      </c>
      <c r="M1962" s="189" t="inlineStr">
        <is>
          <t>CHECK_VENDOR - ZDI published, vendor patch may be pending</t>
        </is>
      </c>
      <c r="N1962" s="190" t="inlineStr">
        <is>
          <t>http://www.zerodayinitiative.com/advisories/ZDI-26-104/</t>
        </is>
      </c>
      <c r="O1962" s="189" t="inlineStr">
        <is>
          <t>ZDI-published 0-day: apply vendor patch IMMEDIATELY | CVEs: CVE-2026-2034</t>
        </is>
      </c>
      <c r="P1962" s="189" t="inlineStr">
        <is>
          <t>See ZDI advisory</t>
        </is>
      </c>
      <c r="Q1962" s="189" t="inlineStr">
        <is>
          <t>P1</t>
        </is>
      </c>
      <c r="R1962" s="189" t="inlineStr">
        <is>
          <t>🎯 ZDI-published 0-day: apply vendor patch immediately | ⚠️ Check ZDI advisory page for workarounds | 🔍 Hunt for exploitation attempts in logs</t>
        </is>
      </c>
      <c r="S1962" s="189" t="inlineStr">
        <is>
          <t>ZDI 0-day advisory - no IP context</t>
        </is>
      </c>
      <c r="T1962" s="189" t="n">
        <v>0</v>
      </c>
      <c r="U1962" s="189" t="n">
        <v>0</v>
      </c>
      <c r="V1962" s="189" t="inlineStr">
        <is>
          <t>T1190:Exploit Public-Facing Application | T1210:Exploitation of Remote Services | T1203:Exploitation for Client Execution</t>
        </is>
      </c>
      <c r="W1962" s="189" t="n">
        <v>2</v>
      </c>
      <c r="X1962" s="189" t="inlineStr">
        <is>
          <t>CONFIRMED (82%)</t>
        </is>
      </c>
      <c r="Y1962" s="189" t="inlineStr">
        <is>
          <t>YES</t>
        </is>
      </c>
      <c r="Z1962" s="189" t="inlineStr">
        <is>
          <t>CHECK_VENDOR</t>
        </is>
      </c>
      <c r="AA1962" s="190" t="inlineStr">
        <is>
          <t>https://security.snyk.io/vuln/CVE-2026-2034</t>
        </is>
      </c>
      <c r="AB1962" s="190" t="inlineStr">
        <is>
          <t>http://www.zerodayinitiative.com/advisories/ZDI-26-104/</t>
        </is>
      </c>
      <c r="AC1962" s="189" t="n">
        <v>0</v>
      </c>
      <c r="AD1962" s="189" t="n"/>
    </row>
    <row r="1963">
      <c r="A1963" s="189" t="inlineStr">
        <is>
          <t>ZDI_ADVISORY</t>
        </is>
      </c>
      <c r="B1963" s="189" t="inlineStr">
        <is>
          <t>ZDI-26-103</t>
        </is>
      </c>
      <c r="C1963" s="189" t="inlineStr">
        <is>
          <t>ZDI Published 0-Day: ZDI-26-103: Oracle VirtualBox VMSVGA Out-Of-Bounds Access Local Privilege Escalation Vulnerability | CVEs: CVE-2026-21956 | Product: See ZDI advisory</t>
        </is>
      </c>
      <c r="D1963" s="189" t="n">
        <v>7.5</v>
      </c>
      <c r="E1963" s="189" t="inlineStr">
        <is>
          <t>HIGH</t>
        </is>
      </c>
      <c r="F1963" s="189" t="n">
        <v>3</v>
      </c>
      <c r="G1963" s="189" t="n">
        <v>3</v>
      </c>
      <c r="H1963" s="189" t="inlineStr">
        <is>
          <t>CRITICAL</t>
        </is>
      </c>
      <c r="I1963" s="189" t="n">
        <v>16.5</v>
      </c>
      <c r="J1963" s="189" t="inlineStr">
        <is>
          <t>NO</t>
        </is>
      </c>
      <c r="K1963" s="190" t="inlineStr">
        <is>
          <t>http://www.zerodayinitiative.com/advisories/ZDI-26-103/</t>
        </is>
      </c>
      <c r="L1963" s="189" t="inlineStr">
        <is>
          <t>2026-02-13 06:00</t>
        </is>
      </c>
      <c r="M1963" s="189" t="inlineStr">
        <is>
          <t>CHECK_VENDOR - ZDI published, vendor patch may be pending</t>
        </is>
      </c>
      <c r="N1963" s="190" t="inlineStr">
        <is>
          <t>http://www.zerodayinitiative.com/advisories/ZDI-26-103/</t>
        </is>
      </c>
      <c r="O1963" s="189" t="inlineStr">
        <is>
          <t>ZDI-published 0-day: apply vendor patch IMMEDIATELY | CVEs: CVE-2026-21956</t>
        </is>
      </c>
      <c r="P1963" s="189" t="inlineStr">
        <is>
          <t>See ZDI advisory</t>
        </is>
      </c>
      <c r="Q1963" s="189" t="inlineStr">
        <is>
          <t>P1</t>
        </is>
      </c>
      <c r="R1963" s="189" t="inlineStr">
        <is>
          <t>🎯 ZDI-published 0-day: apply vendor patch immediately | ⚠️ Check ZDI advisory page for workarounds | 🔍 Hunt for exploitation attempts in logs</t>
        </is>
      </c>
      <c r="S1963" s="189" t="inlineStr">
        <is>
          <t>ZDI 0-day advisory - no IP context</t>
        </is>
      </c>
      <c r="T1963" s="189" t="n">
        <v>0.0004</v>
      </c>
      <c r="U1963" s="189" t="n">
        <v>0.1281</v>
      </c>
      <c r="V1963" s="189" t="inlineStr">
        <is>
          <t>T1068:Exploitation for Privilege Escalation | T1203:Exploitation for Client Execution</t>
        </is>
      </c>
      <c r="W1963" s="189" t="n">
        <v>2</v>
      </c>
      <c r="X1963" s="189" t="inlineStr">
        <is>
          <t>CONFIRMED (82%)</t>
        </is>
      </c>
      <c r="Y1963" s="189" t="inlineStr">
        <is>
          <t>YES</t>
        </is>
      </c>
      <c r="Z1963" s="189" t="inlineStr">
        <is>
          <t>CHECK_VENDOR</t>
        </is>
      </c>
      <c r="AA1963" s="190" t="inlineStr">
        <is>
          <t>https://security.snyk.io/vuln/CVE-2026-21956</t>
        </is>
      </c>
      <c r="AB1963" s="190" t="inlineStr">
        <is>
          <t>http://www.zerodayinitiative.com/advisories/ZDI-26-103/</t>
        </is>
      </c>
      <c r="AC1963" s="189" t="n">
        <v>0</v>
      </c>
      <c r="AD1963" s="189" t="n"/>
    </row>
    <row r="1964">
      <c r="A1964" s="189" t="inlineStr">
        <is>
          <t>ZDI_ADVISORY</t>
        </is>
      </c>
      <c r="B1964" s="189" t="inlineStr">
        <is>
          <t>ZDI-26-102</t>
        </is>
      </c>
      <c r="C1964" s="189" t="inlineStr">
        <is>
          <t>ZDI Published 0-Day: ZDI-26-102: Oracle VirtualBox VMSVGA Out-Of-Bounds Write Local Privilege Escalation Vulnerability | CVEs: CVE-2026-21957 | Product: See ZDI advisory</t>
        </is>
      </c>
      <c r="D1964" s="189" t="n">
        <v>7.5</v>
      </c>
      <c r="E1964" s="189" t="inlineStr">
        <is>
          <t>HIGH</t>
        </is>
      </c>
      <c r="F1964" s="189" t="n">
        <v>3</v>
      </c>
      <c r="G1964" s="189" t="n">
        <v>3</v>
      </c>
      <c r="H1964" s="189" t="inlineStr">
        <is>
          <t>CRITICAL</t>
        </is>
      </c>
      <c r="I1964" s="189" t="n">
        <v>16.5</v>
      </c>
      <c r="J1964" s="189" t="inlineStr">
        <is>
          <t>NO</t>
        </is>
      </c>
      <c r="K1964" s="190" t="inlineStr">
        <is>
          <t>http://www.zerodayinitiative.com/advisories/ZDI-26-102/</t>
        </is>
      </c>
      <c r="L1964" s="189" t="inlineStr">
        <is>
          <t>2026-02-13 06:00</t>
        </is>
      </c>
      <c r="M1964" s="189" t="inlineStr">
        <is>
          <t>CHECK_VENDOR - ZDI published, vendor patch may be pending</t>
        </is>
      </c>
      <c r="N1964" s="190" t="inlineStr">
        <is>
          <t>http://www.zerodayinitiative.com/advisories/ZDI-26-102/</t>
        </is>
      </c>
      <c r="O1964" s="189" t="inlineStr">
        <is>
          <t>ZDI-published 0-day: apply vendor patch IMMEDIATELY | CVEs: CVE-2026-21957</t>
        </is>
      </c>
      <c r="P1964" s="189" t="inlineStr">
        <is>
          <t>See ZDI advisory</t>
        </is>
      </c>
      <c r="Q1964" s="189" t="inlineStr">
        <is>
          <t>P1</t>
        </is>
      </c>
      <c r="R1964" s="189" t="inlineStr">
        <is>
          <t>🎯 ZDI-published 0-day: apply vendor patch immediately | ⚠️ Check ZDI advisory page for workarounds | 🔍 Hunt for exploitation attempts in logs</t>
        </is>
      </c>
      <c r="S1964" s="189" t="inlineStr">
        <is>
          <t>ZDI 0-day advisory - no IP context</t>
        </is>
      </c>
      <c r="T1964" s="189" t="n">
        <v>0</v>
      </c>
      <c r="U1964" s="189" t="n">
        <v>0</v>
      </c>
      <c r="V1964" s="189" t="inlineStr">
        <is>
          <t>T1068:Exploitation for Privilege Escalation | T1203:Exploitation for Client Execution</t>
        </is>
      </c>
      <c r="W1964" s="189" t="n">
        <v>2</v>
      </c>
      <c r="X1964" s="189" t="inlineStr">
        <is>
          <t>CONFIRMED (82%)</t>
        </is>
      </c>
      <c r="Y1964" s="189" t="inlineStr">
        <is>
          <t>YES</t>
        </is>
      </c>
      <c r="Z1964" s="189" t="inlineStr">
        <is>
          <t>CHECK_VENDOR</t>
        </is>
      </c>
      <c r="AA1964" s="190" t="inlineStr">
        <is>
          <t>https://security.snyk.io/vuln/CVE-2026-21957</t>
        </is>
      </c>
      <c r="AB1964" s="190" t="inlineStr">
        <is>
          <t>http://www.zerodayinitiative.com/advisories/ZDI-26-102/</t>
        </is>
      </c>
      <c r="AC1964" s="189" t="n">
        <v>0</v>
      </c>
      <c r="AD1964" s="189" t="n"/>
    </row>
    <row r="1965">
      <c r="A1965" s="189" t="inlineStr">
        <is>
          <t>ZDI_ADVISORY</t>
        </is>
      </c>
      <c r="B1965" s="189" t="inlineStr">
        <is>
          <t>ZDI-26-101</t>
        </is>
      </c>
      <c r="C1965" s="189" t="inlineStr">
        <is>
          <t>ZDI Published 0-Day: ZDI-26-101: Oracle VirtualBox BusLogic Uninitialized Memory Information Disclosure Vulnerability | CVEs: CVE-2026-21963 | Product: See ZDI advisory</t>
        </is>
      </c>
      <c r="D1965" s="189" t="n">
        <v>7.5</v>
      </c>
      <c r="E1965" s="189" t="inlineStr">
        <is>
          <t>HIGH</t>
        </is>
      </c>
      <c r="F1965" s="189" t="n">
        <v>3</v>
      </c>
      <c r="G1965" s="189" t="n">
        <v>3</v>
      </c>
      <c r="H1965" s="189" t="inlineStr">
        <is>
          <t>CRITICAL</t>
        </is>
      </c>
      <c r="I1965" s="189" t="n">
        <v>16.5</v>
      </c>
      <c r="J1965" s="189" t="inlineStr">
        <is>
          <t>NO</t>
        </is>
      </c>
      <c r="K1965" s="190" t="inlineStr">
        <is>
          <t>http://www.zerodayinitiative.com/advisories/ZDI-26-101/</t>
        </is>
      </c>
      <c r="L1965" s="189" t="inlineStr">
        <is>
          <t>2026-02-13 06:00</t>
        </is>
      </c>
      <c r="M1965" s="189" t="inlineStr">
        <is>
          <t>CHECK_VENDOR - ZDI published, vendor patch may be pending</t>
        </is>
      </c>
      <c r="N1965" s="190" t="inlineStr">
        <is>
          <t>http://www.zerodayinitiative.com/advisories/ZDI-26-101/</t>
        </is>
      </c>
      <c r="O1965" s="189" t="inlineStr">
        <is>
          <t>ZDI-published 0-day: apply vendor patch IMMEDIATELY | CVEs: CVE-2026-21963</t>
        </is>
      </c>
      <c r="P1965" s="189" t="inlineStr">
        <is>
          <t>See ZDI advisory</t>
        </is>
      </c>
      <c r="Q1965" s="189" t="inlineStr">
        <is>
          <t>P1</t>
        </is>
      </c>
      <c r="R1965" s="189" t="inlineStr">
        <is>
          <t>🎯 ZDI-published 0-day: apply vendor patch immediately | ⚠️ Check ZDI advisory page for workarounds | 🔍 Hunt for exploitation attempts in logs</t>
        </is>
      </c>
      <c r="S1965" s="189" t="inlineStr">
        <is>
          <t>ZDI 0-day advisory - no IP context</t>
        </is>
      </c>
      <c r="T1965" s="189" t="n">
        <v>0</v>
      </c>
      <c r="U1965" s="189" t="n">
        <v>0</v>
      </c>
      <c r="V1965" s="189" t="inlineStr">
        <is>
          <t>T1213:Data from Information Repositories</t>
        </is>
      </c>
      <c r="W1965" s="189" t="n">
        <v>2</v>
      </c>
      <c r="X1965" s="189" t="inlineStr">
        <is>
          <t>CONFIRMED (82%)</t>
        </is>
      </c>
      <c r="Y1965" s="189" t="inlineStr">
        <is>
          <t>YES</t>
        </is>
      </c>
      <c r="Z1965" s="189" t="inlineStr">
        <is>
          <t>CHECK_VENDOR</t>
        </is>
      </c>
      <c r="AA1965" s="190" t="inlineStr">
        <is>
          <t>https://security.snyk.io/vuln/CVE-2026-21963</t>
        </is>
      </c>
      <c r="AB1965" s="190" t="inlineStr">
        <is>
          <t>http://www.zerodayinitiative.com/advisories/ZDI-26-101/</t>
        </is>
      </c>
      <c r="AC1965" s="189" t="n">
        <v>0</v>
      </c>
      <c r="AD1965" s="189" t="n"/>
    </row>
    <row r="1966">
      <c r="A1966" s="189" t="inlineStr">
        <is>
          <t>ZDI_ADVISORY</t>
        </is>
      </c>
      <c r="B1966" s="189" t="inlineStr">
        <is>
          <t>ZDI-26-100</t>
        </is>
      </c>
      <c r="C1966" s="189" t="inlineStr">
        <is>
          <t>ZDI Published 0-Day: ZDI-26-100: Oracle VirtualBox LsiLogic Uninitialized Memory Information Disclosure Vulnerability | CVEs: CVE-2026-21985 | Product: See ZDI advisory</t>
        </is>
      </c>
      <c r="D1966" s="189" t="n">
        <v>7.5</v>
      </c>
      <c r="E1966" s="189" t="inlineStr">
        <is>
          <t>HIGH</t>
        </is>
      </c>
      <c r="F1966" s="189" t="n">
        <v>3</v>
      </c>
      <c r="G1966" s="189" t="n">
        <v>3</v>
      </c>
      <c r="H1966" s="189" t="inlineStr">
        <is>
          <t>CRITICAL</t>
        </is>
      </c>
      <c r="I1966" s="189" t="n">
        <v>16.5</v>
      </c>
      <c r="J1966" s="189" t="inlineStr">
        <is>
          <t>NO</t>
        </is>
      </c>
      <c r="K1966" s="190" t="inlineStr">
        <is>
          <t>http://www.zerodayinitiative.com/advisories/ZDI-26-100/</t>
        </is>
      </c>
      <c r="L1966" s="189" t="inlineStr">
        <is>
          <t>2026-02-13 06:00</t>
        </is>
      </c>
      <c r="M1966" s="189" t="inlineStr">
        <is>
          <t>CHECK_VENDOR - ZDI published, vendor patch may be pending</t>
        </is>
      </c>
      <c r="N1966" s="190" t="inlineStr">
        <is>
          <t>http://www.zerodayinitiative.com/advisories/ZDI-26-100/</t>
        </is>
      </c>
      <c r="O1966" s="189" t="inlineStr">
        <is>
          <t>ZDI-published 0-day: apply vendor patch IMMEDIATELY | CVEs: CVE-2026-21985</t>
        </is>
      </c>
      <c r="P1966" s="189" t="inlineStr">
        <is>
          <t>See ZDI advisory</t>
        </is>
      </c>
      <c r="Q1966" s="189" t="inlineStr">
        <is>
          <t>P1</t>
        </is>
      </c>
      <c r="R1966" s="189" t="inlineStr">
        <is>
          <t>🎯 ZDI-published 0-day: apply vendor patch immediately | ⚠️ Check ZDI advisory page for workarounds | 🔍 Hunt for exploitation attempts in logs</t>
        </is>
      </c>
      <c r="S1966" s="189" t="inlineStr">
        <is>
          <t>ZDI 0-day advisory - no IP context</t>
        </is>
      </c>
      <c r="T1966" s="189" t="n">
        <v>0</v>
      </c>
      <c r="U1966" s="189" t="n">
        <v>0</v>
      </c>
      <c r="V1966" s="189" t="inlineStr">
        <is>
          <t>T1213:Data from Information Repositories</t>
        </is>
      </c>
      <c r="W1966" s="189" t="n">
        <v>2</v>
      </c>
      <c r="X1966" s="189" t="inlineStr">
        <is>
          <t>CONFIRMED (82%)</t>
        </is>
      </c>
      <c r="Y1966" s="189" t="inlineStr">
        <is>
          <t>YES</t>
        </is>
      </c>
      <c r="Z1966" s="189" t="inlineStr">
        <is>
          <t>CHECK_VENDOR</t>
        </is>
      </c>
      <c r="AA1966" s="190" t="inlineStr">
        <is>
          <t>https://security.snyk.io/vuln/CVE-2026-21985</t>
        </is>
      </c>
      <c r="AB1966" s="190" t="inlineStr">
        <is>
          <t>http://www.zerodayinitiative.com/advisories/ZDI-26-100/</t>
        </is>
      </c>
      <c r="AC1966" s="189" t="n">
        <v>0</v>
      </c>
      <c r="AD1966" s="189" t="n"/>
    </row>
    <row r="1967">
      <c r="A1967" s="189" t="inlineStr">
        <is>
          <t>ZDI_ADVISORY</t>
        </is>
      </c>
      <c r="B1967" s="189" t="inlineStr">
        <is>
          <t>ZDI-26-099</t>
        </is>
      </c>
      <c r="C1967" s="189" t="inlineStr">
        <is>
          <t>ZDI Published 0-Day: ZDI-26-099: Oracle VirtualBox VMSVGA Race Condition Local Privilege Escalation Vulnerability | CVEs: CVE-2026-21984 | Product: See ZDI advisory</t>
        </is>
      </c>
      <c r="D1967" s="189" t="n">
        <v>7.5</v>
      </c>
      <c r="E1967" s="189" t="inlineStr">
        <is>
          <t>HIGH</t>
        </is>
      </c>
      <c r="F1967" s="189" t="n">
        <v>3</v>
      </c>
      <c r="G1967" s="189" t="n">
        <v>3</v>
      </c>
      <c r="H1967" s="189" t="inlineStr">
        <is>
          <t>CRITICAL</t>
        </is>
      </c>
      <c r="I1967" s="189" t="n">
        <v>16.5</v>
      </c>
      <c r="J1967" s="189" t="inlineStr">
        <is>
          <t>NO</t>
        </is>
      </c>
      <c r="K1967" s="190" t="inlineStr">
        <is>
          <t>http://www.zerodayinitiative.com/advisories/ZDI-26-099/</t>
        </is>
      </c>
      <c r="L1967" s="189" t="inlineStr">
        <is>
          <t>2026-02-13 06:00</t>
        </is>
      </c>
      <c r="M1967" s="189" t="inlineStr">
        <is>
          <t>CHECK_VENDOR - ZDI published, vendor patch may be pending</t>
        </is>
      </c>
      <c r="N1967" s="190" t="inlineStr">
        <is>
          <t>http://www.zerodayinitiative.com/advisories/ZDI-26-099/</t>
        </is>
      </c>
      <c r="O1967" s="189" t="inlineStr">
        <is>
          <t>ZDI-published 0-day: apply vendor patch IMMEDIATELY | CVEs: CVE-2026-21984</t>
        </is>
      </c>
      <c r="P1967" s="189" t="inlineStr">
        <is>
          <t>See ZDI advisory</t>
        </is>
      </c>
      <c r="Q1967" s="189" t="inlineStr">
        <is>
          <t>P1</t>
        </is>
      </c>
      <c r="R1967" s="189" t="inlineStr">
        <is>
          <t>🎯 ZDI-published 0-day: apply vendor patch immediately | ⚠️ Check ZDI advisory page for workarounds | 🔍 Hunt for exploitation attempts in logs</t>
        </is>
      </c>
      <c r="S1967" s="189" t="inlineStr">
        <is>
          <t>ZDI 0-day advisory - no IP context</t>
        </is>
      </c>
      <c r="T1967" s="189" t="n">
        <v>0</v>
      </c>
      <c r="U1967" s="189" t="n">
        <v>0</v>
      </c>
      <c r="V1967" s="189" t="inlineStr">
        <is>
          <t>T1068:Exploitation for Privilege Escalation</t>
        </is>
      </c>
      <c r="W1967" s="189" t="n">
        <v>2</v>
      </c>
      <c r="X1967" s="189" t="inlineStr">
        <is>
          <t>CONFIRMED (82%)</t>
        </is>
      </c>
      <c r="Y1967" s="189" t="inlineStr">
        <is>
          <t>YES</t>
        </is>
      </c>
      <c r="Z1967" s="189" t="inlineStr">
        <is>
          <t>CHECK_VENDOR</t>
        </is>
      </c>
      <c r="AA1967" s="190" t="inlineStr">
        <is>
          <t>https://security.snyk.io/vuln/CVE-2026-21984</t>
        </is>
      </c>
      <c r="AB1967" s="190" t="inlineStr">
        <is>
          <t>http://www.zerodayinitiative.com/advisories/ZDI-26-099/</t>
        </is>
      </c>
      <c r="AC1967" s="189" t="n">
        <v>0</v>
      </c>
      <c r="AD1967" s="189" t="n"/>
    </row>
    <row r="1968">
      <c r="A1968" s="189" t="inlineStr">
        <is>
          <t>ZDI_ADVISORY</t>
        </is>
      </c>
      <c r="B1968" s="189" t="inlineStr">
        <is>
          <t>ZDI-26-098</t>
        </is>
      </c>
      <c r="C1968" s="189" t="inlineStr">
        <is>
          <t>ZDI Published 0-Day: ZDI-26-098: Oracle VirtualBox VMSVGA Use-After-Free Local Privilege Escalation Vulnerability | CVEs: CVE-2026-21955 | Product: See ZDI advisory</t>
        </is>
      </c>
      <c r="D1968" s="189" t="n">
        <v>7.5</v>
      </c>
      <c r="E1968" s="189" t="inlineStr">
        <is>
          <t>HIGH</t>
        </is>
      </c>
      <c r="F1968" s="189" t="n">
        <v>3</v>
      </c>
      <c r="G1968" s="189" t="n">
        <v>3</v>
      </c>
      <c r="H1968" s="189" t="inlineStr">
        <is>
          <t>CRITICAL</t>
        </is>
      </c>
      <c r="I1968" s="189" t="n">
        <v>16.5</v>
      </c>
      <c r="J1968" s="189" t="inlineStr">
        <is>
          <t>NO</t>
        </is>
      </c>
      <c r="K1968" s="190" t="inlineStr">
        <is>
          <t>http://www.zerodayinitiative.com/advisories/ZDI-26-098/</t>
        </is>
      </c>
      <c r="L1968" s="189" t="inlineStr">
        <is>
          <t>2026-02-13 06:00</t>
        </is>
      </c>
      <c r="M1968" s="189" t="inlineStr">
        <is>
          <t>CHECK_VENDOR - ZDI published, vendor patch may be pending</t>
        </is>
      </c>
      <c r="N1968" s="190" t="inlineStr">
        <is>
          <t>http://www.zerodayinitiative.com/advisories/ZDI-26-098/</t>
        </is>
      </c>
      <c r="O1968" s="189" t="inlineStr">
        <is>
          <t>ZDI-published 0-day: apply vendor patch IMMEDIATELY | CVEs: CVE-2026-21955</t>
        </is>
      </c>
      <c r="P1968" s="189" t="inlineStr">
        <is>
          <t>See ZDI advisory</t>
        </is>
      </c>
      <c r="Q1968" s="189" t="inlineStr">
        <is>
          <t>P1</t>
        </is>
      </c>
      <c r="R1968" s="189" t="inlineStr">
        <is>
          <t>🎯 ZDI-published 0-day: apply vendor patch immediately | ⚠️ Check ZDI advisory page for workarounds | 🔍 Hunt for exploitation attempts in logs</t>
        </is>
      </c>
      <c r="S1968" s="189" t="inlineStr">
        <is>
          <t>ZDI 0-day advisory - no IP context</t>
        </is>
      </c>
      <c r="T1968" s="189" t="n">
        <v>0</v>
      </c>
      <c r="U1968" s="189" t="n">
        <v>0</v>
      </c>
      <c r="V1968" s="189" t="inlineStr">
        <is>
          <t>T1068:Exploitation for Privilege Escalation</t>
        </is>
      </c>
      <c r="W1968" s="189" t="n">
        <v>2</v>
      </c>
      <c r="X1968" s="189" t="inlineStr">
        <is>
          <t>CONFIRMED (82%)</t>
        </is>
      </c>
      <c r="Y1968" s="189" t="inlineStr">
        <is>
          <t>YES</t>
        </is>
      </c>
      <c r="Z1968" s="189" t="inlineStr">
        <is>
          <t>CHECK_VENDOR</t>
        </is>
      </c>
      <c r="AA1968" s="190" t="inlineStr">
        <is>
          <t>https://security.snyk.io/vuln/CVE-2026-21955</t>
        </is>
      </c>
      <c r="AB1968" s="190" t="inlineStr">
        <is>
          <t>http://www.zerodayinitiative.com/advisories/ZDI-26-098/</t>
        </is>
      </c>
      <c r="AC1968" s="189" t="n">
        <v>0</v>
      </c>
      <c r="AD1968" s="189" t="n"/>
    </row>
    <row r="1969">
      <c r="A1969" s="189" t="inlineStr">
        <is>
          <t>ZDI_ADVISORY</t>
        </is>
      </c>
      <c r="B1969" s="189" t="inlineStr">
        <is>
          <t>ZDI-26-097</t>
        </is>
      </c>
      <c r="C1969" s="189" t="inlineStr">
        <is>
          <t>ZDI Published 0-Day: ZDI-26-097: Oracle VirtualBox VMSVGA Heap-based Buffer Overflow Local Privilege Escalation Vulnerability | CVEs: CVE-2026-21983 | Product: See ZDI advisory</t>
        </is>
      </c>
      <c r="D1969" s="189" t="n">
        <v>7.5</v>
      </c>
      <c r="E1969" s="189" t="inlineStr">
        <is>
          <t>HIGH</t>
        </is>
      </c>
      <c r="F1969" s="189" t="n">
        <v>3</v>
      </c>
      <c r="G1969" s="189" t="n">
        <v>3</v>
      </c>
      <c r="H1969" s="189" t="inlineStr">
        <is>
          <t>CRITICAL</t>
        </is>
      </c>
      <c r="I1969" s="189" t="n">
        <v>16.5</v>
      </c>
      <c r="J1969" s="189" t="inlineStr">
        <is>
          <t>NO</t>
        </is>
      </c>
      <c r="K1969" s="190" t="inlineStr">
        <is>
          <t>http://www.zerodayinitiative.com/advisories/ZDI-26-097/</t>
        </is>
      </c>
      <c r="L1969" s="189" t="inlineStr">
        <is>
          <t>2026-02-13 06:00</t>
        </is>
      </c>
      <c r="M1969" s="189" t="inlineStr">
        <is>
          <t>CHECK_VENDOR - ZDI published, vendor patch may be pending</t>
        </is>
      </c>
      <c r="N1969" s="190" t="inlineStr">
        <is>
          <t>http://www.zerodayinitiative.com/advisories/ZDI-26-097/</t>
        </is>
      </c>
      <c r="O1969" s="189" t="inlineStr">
        <is>
          <t>ZDI-published 0-day: apply vendor patch IMMEDIATELY | CVEs: CVE-2026-21983</t>
        </is>
      </c>
      <c r="P1969" s="189" t="inlineStr">
        <is>
          <t>See ZDI advisory</t>
        </is>
      </c>
      <c r="Q1969" s="189" t="inlineStr">
        <is>
          <t>P1</t>
        </is>
      </c>
      <c r="R1969" s="189" t="inlineStr">
        <is>
          <t>🎯 ZDI-published 0-day: apply vendor patch immediately | ⚠️ Check ZDI advisory page for workarounds | 🔍 Hunt for exploitation attempts in logs</t>
        </is>
      </c>
      <c r="S1969" s="189" t="inlineStr">
        <is>
          <t>ZDI 0-day advisory - no IP context</t>
        </is>
      </c>
      <c r="T1969" s="189" t="n">
        <v>0</v>
      </c>
      <c r="U1969" s="189" t="n">
        <v>0</v>
      </c>
      <c r="V1969" s="189" t="inlineStr">
        <is>
          <t>T1068:Exploitation for Privilege Escalation | T1203:Exploitation for Client Execution</t>
        </is>
      </c>
      <c r="W1969" s="189" t="n">
        <v>2</v>
      </c>
      <c r="X1969" s="189" t="inlineStr">
        <is>
          <t>CONFIRMED (82%)</t>
        </is>
      </c>
      <c r="Y1969" s="189" t="inlineStr">
        <is>
          <t>YES</t>
        </is>
      </c>
      <c r="Z1969" s="189" t="inlineStr">
        <is>
          <t>CHECK_VENDOR</t>
        </is>
      </c>
      <c r="AA1969" s="190" t="inlineStr">
        <is>
          <t>https://security.snyk.io/vuln/CVE-2026-21983</t>
        </is>
      </c>
      <c r="AB1969" s="190" t="inlineStr">
        <is>
          <t>http://www.zerodayinitiative.com/advisories/ZDI-26-097/</t>
        </is>
      </c>
      <c r="AC1969" s="189" t="n">
        <v>0</v>
      </c>
      <c r="AD1969" s="189" t="n"/>
    </row>
    <row r="1970">
      <c r="A1970" s="189" t="inlineStr">
        <is>
          <t>ZDI_ADVISORY</t>
        </is>
      </c>
      <c r="B1970" s="189" t="inlineStr">
        <is>
          <t>ZDI-26-096</t>
        </is>
      </c>
      <c r="C1970" s="189" t="inlineStr">
        <is>
          <t>ZDI Published 0-Day: ZDI-26-096: Dassault Systèmes eDrawings Viewer EPRT File Parsing Heap-based Buffer Overflow Remote Code Execution Vulnerability | CVEs: CVE-2026-1283 | Product: See ZDI advisory</t>
        </is>
      </c>
      <c r="D1970" s="189" t="n">
        <v>7.5</v>
      </c>
      <c r="E1970" s="189" t="inlineStr">
        <is>
          <t>HIGH</t>
        </is>
      </c>
      <c r="F1970" s="189" t="n">
        <v>3</v>
      </c>
      <c r="G1970" s="189" t="n">
        <v>3</v>
      </c>
      <c r="H1970" s="189" t="inlineStr">
        <is>
          <t>CRITICAL</t>
        </is>
      </c>
      <c r="I1970" s="189" t="n">
        <v>16.5</v>
      </c>
      <c r="J1970" s="189" t="inlineStr">
        <is>
          <t>NO</t>
        </is>
      </c>
      <c r="K1970" s="190" t="inlineStr">
        <is>
          <t>http://www.zerodayinitiative.com/advisories/ZDI-26-096/</t>
        </is>
      </c>
      <c r="L1970" s="189" t="inlineStr">
        <is>
          <t>2026-02-13 06:00</t>
        </is>
      </c>
      <c r="M1970" s="189" t="inlineStr">
        <is>
          <t>CHECK_VENDOR - ZDI published, vendor patch may be pending</t>
        </is>
      </c>
      <c r="N1970" s="190" t="inlineStr">
        <is>
          <t>http://www.zerodayinitiative.com/advisories/ZDI-26-096/</t>
        </is>
      </c>
      <c r="O1970" s="189" t="inlineStr">
        <is>
          <t>ZDI-published 0-day: apply vendor patch IMMEDIATELY | CVEs: CVE-2026-1283</t>
        </is>
      </c>
      <c r="P1970" s="189" t="inlineStr">
        <is>
          <t>See ZDI advisory</t>
        </is>
      </c>
      <c r="Q1970" s="189" t="inlineStr">
        <is>
          <t>P1</t>
        </is>
      </c>
      <c r="R1970" s="189" t="inlineStr">
        <is>
          <t>🎯 ZDI-published 0-day: apply vendor patch immediately | ⚠️ Check ZDI advisory page for workarounds | 🔍 Hunt for exploitation attempts in logs</t>
        </is>
      </c>
      <c r="S1970" s="189" t="inlineStr">
        <is>
          <t>ZDI 0-day advisory - no IP context</t>
        </is>
      </c>
      <c r="T1970" s="189" t="n">
        <v>0.0001</v>
      </c>
      <c r="U1970" s="189" t="n">
        <v>0.0086</v>
      </c>
      <c r="V1970" s="189" t="inlineStr">
        <is>
          <t>T1190:Exploit Public-Facing Application | T1210:Exploitation of Remote Services | T1203:Exploitation for Client Execution</t>
        </is>
      </c>
      <c r="W1970" s="189" t="n">
        <v>2</v>
      </c>
      <c r="X1970" s="189" t="inlineStr">
        <is>
          <t>CONFIRMED (82%)</t>
        </is>
      </c>
      <c r="Y1970" s="189" t="inlineStr">
        <is>
          <t>YES</t>
        </is>
      </c>
      <c r="Z1970" s="189" t="inlineStr">
        <is>
          <t>CHECK_VENDOR</t>
        </is>
      </c>
      <c r="AA1970" s="190" t="inlineStr">
        <is>
          <t>https://security.snyk.io/vuln/CVE-2026-1283</t>
        </is>
      </c>
      <c r="AB1970" s="190" t="inlineStr">
        <is>
          <t>http://www.zerodayinitiative.com/advisories/ZDI-26-096/</t>
        </is>
      </c>
      <c r="AC1970" s="189" t="n">
        <v>0</v>
      </c>
      <c r="AD1970" s="189" t="n"/>
    </row>
    <row r="1971">
      <c r="A1971" s="189" t="inlineStr">
        <is>
          <t>ZDI_ADVISORY</t>
        </is>
      </c>
      <c r="B1971" s="189" t="inlineStr">
        <is>
          <t>ZDI-26-095</t>
        </is>
      </c>
      <c r="C1971" s="189" t="inlineStr">
        <is>
          <t>ZDI Published 0-Day: ZDI-26-095: Dassault Systèmes eDrawings Viewer EPRT File Parsing Out-Of-Bounds Write Remote Code Execution Vulnerability | CVEs: CVE-2026-1284 | Product: See ZDI advisory</t>
        </is>
      </c>
      <c r="D1971" s="189" t="n">
        <v>7.5</v>
      </c>
      <c r="E1971" s="189" t="inlineStr">
        <is>
          <t>HIGH</t>
        </is>
      </c>
      <c r="F1971" s="189" t="n">
        <v>3</v>
      </c>
      <c r="G1971" s="189" t="n">
        <v>3</v>
      </c>
      <c r="H1971" s="189" t="inlineStr">
        <is>
          <t>CRITICAL</t>
        </is>
      </c>
      <c r="I1971" s="189" t="n">
        <v>16.5</v>
      </c>
      <c r="J1971" s="189" t="inlineStr">
        <is>
          <t>NO</t>
        </is>
      </c>
      <c r="K1971" s="190" t="inlineStr">
        <is>
          <t>http://www.zerodayinitiative.com/advisories/ZDI-26-095/</t>
        </is>
      </c>
      <c r="L1971" s="189" t="inlineStr">
        <is>
          <t>2026-02-13 06:00</t>
        </is>
      </c>
      <c r="M1971" s="189" t="inlineStr">
        <is>
          <t>CHECK_VENDOR - ZDI published, vendor patch may be pending</t>
        </is>
      </c>
      <c r="N1971" s="190" t="inlineStr">
        <is>
          <t>http://www.zerodayinitiative.com/advisories/ZDI-26-095/</t>
        </is>
      </c>
      <c r="O1971" s="189" t="inlineStr">
        <is>
          <t>ZDI-published 0-day: apply vendor patch IMMEDIATELY | CVEs: CVE-2026-1284</t>
        </is>
      </c>
      <c r="P1971" s="189" t="inlineStr">
        <is>
          <t>See ZDI advisory</t>
        </is>
      </c>
      <c r="Q1971" s="189" t="inlineStr">
        <is>
          <t>P1</t>
        </is>
      </c>
      <c r="R1971" s="189" t="inlineStr">
        <is>
          <t>🎯 ZDI-published 0-day: apply vendor patch immediately | ⚠️ Check ZDI advisory page for workarounds | 🔍 Hunt for exploitation attempts in logs</t>
        </is>
      </c>
      <c r="S1971" s="189" t="inlineStr">
        <is>
          <t>ZDI 0-day advisory - no IP context</t>
        </is>
      </c>
      <c r="T1971" s="189" t="n">
        <v>0</v>
      </c>
      <c r="U1971" s="189" t="n">
        <v>0</v>
      </c>
      <c r="V1971" s="189" t="inlineStr">
        <is>
          <t>T1190:Exploit Public-Facing Application | T1210:Exploitation of Remote Services | T1203:Exploitation for Client Execution</t>
        </is>
      </c>
      <c r="W1971" s="189" t="n">
        <v>2</v>
      </c>
      <c r="X1971" s="189" t="inlineStr">
        <is>
          <t>CONFIRMED (82%)</t>
        </is>
      </c>
      <c r="Y1971" s="189" t="inlineStr">
        <is>
          <t>YES</t>
        </is>
      </c>
      <c r="Z1971" s="189" t="inlineStr">
        <is>
          <t>CHECK_VENDOR</t>
        </is>
      </c>
      <c r="AA1971" s="190" t="inlineStr">
        <is>
          <t>https://security.snyk.io/vuln/CVE-2026-1284</t>
        </is>
      </c>
      <c r="AB1971" s="190" t="inlineStr">
        <is>
          <t>http://www.zerodayinitiative.com/advisories/ZDI-26-095/</t>
        </is>
      </c>
      <c r="AC1971" s="189" t="n">
        <v>0</v>
      </c>
      <c r="AD1971" s="189" t="n"/>
    </row>
    <row r="1972">
      <c r="A1972" s="189" t="inlineStr">
        <is>
          <t>ZDI_ADVISORY</t>
        </is>
      </c>
      <c r="B1972" s="189" t="inlineStr">
        <is>
          <t>ZDI-26-094</t>
        </is>
      </c>
      <c r="C1972" s="189" t="inlineStr">
        <is>
          <t>ZDI Published 0-Day: ZDI-26-094: Schneider Electric EcoStruxure Power Build SSD File Parsing Use-After-Free Remote Code Execution Vulnerability | CVEs: CVE-2025-13845 | Product: See ZDI advisory</t>
        </is>
      </c>
      <c r="D1972" s="189" t="n">
        <v>7.5</v>
      </c>
      <c r="E1972" s="189" t="inlineStr">
        <is>
          <t>HIGH</t>
        </is>
      </c>
      <c r="F1972" s="189" t="n">
        <v>3</v>
      </c>
      <c r="G1972" s="189" t="n">
        <v>3</v>
      </c>
      <c r="H1972" s="189" t="inlineStr">
        <is>
          <t>CRITICAL</t>
        </is>
      </c>
      <c r="I1972" s="189" t="n">
        <v>16.5</v>
      </c>
      <c r="J1972" s="189" t="inlineStr">
        <is>
          <t>NO</t>
        </is>
      </c>
      <c r="K1972" s="190" t="inlineStr">
        <is>
          <t>http://www.zerodayinitiative.com/advisories/ZDI-26-094/</t>
        </is>
      </c>
      <c r="L1972" s="189" t="inlineStr">
        <is>
          <t>2026-02-12 06:00</t>
        </is>
      </c>
      <c r="M1972" s="189" t="inlineStr">
        <is>
          <t>CHECK_VENDOR - ZDI published, vendor patch may be pending</t>
        </is>
      </c>
      <c r="N1972" s="190" t="inlineStr">
        <is>
          <t>http://www.zerodayinitiative.com/advisories/ZDI-26-094/</t>
        </is>
      </c>
      <c r="O1972" s="189" t="inlineStr">
        <is>
          <t>ZDI-published 0-day: apply vendor patch IMMEDIATELY | CVEs: CVE-2025-13845</t>
        </is>
      </c>
      <c r="P1972" s="189" t="inlineStr">
        <is>
          <t>See ZDI advisory</t>
        </is>
      </c>
      <c r="Q1972" s="189" t="inlineStr">
        <is>
          <t>P1</t>
        </is>
      </c>
      <c r="R1972" s="189" t="inlineStr">
        <is>
          <t>🎯 ZDI-published 0-day: apply vendor patch immediately | ⚠️ Check ZDI advisory page for workarounds | 🔍 Hunt for exploitation attempts in logs</t>
        </is>
      </c>
      <c r="S1972" s="189" t="inlineStr">
        <is>
          <t>ZDI 0-day advisory - no IP context</t>
        </is>
      </c>
      <c r="T1972" s="189" t="n">
        <v>0</v>
      </c>
      <c r="U1972" s="189" t="n">
        <v>0</v>
      </c>
      <c r="V1972" s="189" t="inlineStr">
        <is>
          <t>T1190:Exploit Public-Facing Application | T1210:Exploitation of Remote Services</t>
        </is>
      </c>
      <c r="W1972" s="189" t="n">
        <v>2</v>
      </c>
      <c r="X1972" s="189" t="inlineStr">
        <is>
          <t>CONFIRMED (82%)</t>
        </is>
      </c>
      <c r="Y1972" s="189" t="inlineStr">
        <is>
          <t>YES</t>
        </is>
      </c>
      <c r="Z1972" s="189" t="inlineStr">
        <is>
          <t>CHECK_VENDOR</t>
        </is>
      </c>
      <c r="AA1972" s="190" t="inlineStr">
        <is>
          <t>https://security.snyk.io/vuln/CVE-2025-13845</t>
        </is>
      </c>
      <c r="AB1972" s="190" t="inlineStr">
        <is>
          <t>http://www.zerodayinitiative.com/advisories/ZDI-26-094/</t>
        </is>
      </c>
      <c r="AC1972" s="189" t="n">
        <v>0</v>
      </c>
      <c r="AD1972" s="189" t="n"/>
    </row>
    <row r="1973">
      <c r="A1973" s="189" t="inlineStr">
        <is>
          <t>SANS_ISC</t>
        </is>
      </c>
      <c r="B1973" s="189" t="inlineStr">
        <is>
          <t>cf1a85460441</t>
        </is>
      </c>
      <c r="C1973" s="189" t="inlineStr">
        <is>
          <t>SANS ISC: Another day, another malicious JPEG, (Mon, Feb 23rd) | In his last two diaries, Xavier discussed recent malware campaigns that download JPEG files with embedded malicious payload&amp;#x5b; 1 , 2 &amp;#x5d;. At that point in time, I&amp;#x27ve not come across the mali</t>
        </is>
      </c>
      <c r="D1973" s="189" t="n">
        <v>7</v>
      </c>
      <c r="E1973" s="189" t="inlineStr">
        <is>
          <t>HIGH</t>
        </is>
      </c>
      <c r="F1973" s="189" t="n">
        <v>3</v>
      </c>
      <c r="G1973" s="189" t="n">
        <v>2</v>
      </c>
      <c r="H1973" s="189" t="inlineStr">
        <is>
          <t>HIGH</t>
        </is>
      </c>
      <c r="I1973" s="189" t="n">
        <v>13</v>
      </c>
      <c r="J1973" s="189" t="inlineStr">
        <is>
          <t>NO</t>
        </is>
      </c>
      <c r="K1973" s="190" t="inlineStr">
        <is>
          <t>https://isc.sans.edu/diary/rss/32738</t>
        </is>
      </c>
      <c r="L1973" s="189" t="inlineStr">
        <is>
          <t>2026-02-23 14:26</t>
        </is>
      </c>
      <c r="M1973" s="189" t="inlineStr">
        <is>
          <t>CHECK_VENDOR</t>
        </is>
      </c>
      <c r="N1973" s="190" t="inlineStr">
        <is>
          <t>https://isc.sans.edu/diary/rss/32738</t>
        </is>
      </c>
      <c r="O1973" s="189" t="inlineStr">
        <is>
          <t>See SANS ISC diary for indicators and mitigations | Check IOCs</t>
        </is>
      </c>
      <c r="P1973" s="189" t="inlineStr">
        <is>
          <t>See SANS ISC diary</t>
        </is>
      </c>
      <c r="Q1973" s="189" t="inlineStr">
        <is>
          <t>P3</t>
        </is>
      </c>
      <c r="R1973" s="189" t="inlineStr">
        <is>
          <t>📡 SANS ISC flagged this threat - high analyst confidence | 🔍 Review SANS diary entry for IOCs | 🛡️ Apply recommended mitigations from diary</t>
        </is>
      </c>
      <c r="S1973" s="189" t="inlineStr">
        <is>
          <t>SANS ISC analysis - no direct IP context</t>
        </is>
      </c>
      <c r="T1973" s="189" t="n">
        <v>0</v>
      </c>
      <c r="U1973" s="189" t="n">
        <v>0</v>
      </c>
      <c r="V1973" s="189" t="inlineStr">
        <is>
          <t>T1190:Exploit Public-Facing Application</t>
        </is>
      </c>
      <c r="W1973" s="189" t="n">
        <v>1</v>
      </c>
      <c r="X1973" s="189" t="inlineStr">
        <is>
          <t>LOW (40%)</t>
        </is>
      </c>
      <c r="Y1973" s="189" t="inlineStr">
        <is>
          <t>CHECK_SANS</t>
        </is>
      </c>
      <c r="Z1973" s="189" t="inlineStr">
        <is>
          <t>CHECK_VENDOR</t>
        </is>
      </c>
      <c r="AA1973" s="190" t="inlineStr">
        <is>
          <t>https://isc.sans.edu/diary/rss/32738</t>
        </is>
      </c>
      <c r="AB1973" s="189" t="inlineStr">
        <is>
          <t>NONE</t>
        </is>
      </c>
      <c r="AC1973" s="189" t="n">
        <v>0</v>
      </c>
      <c r="AD1973" s="189" t="inlineStr">
        <is>
          <t>Another day, another malicious JPEG, (Mon, Feb 23rd)</t>
        </is>
      </c>
    </row>
    <row r="1974">
      <c r="A1974" s="189" t="inlineStr">
        <is>
          <t>SANS_ISC</t>
        </is>
      </c>
      <c r="B1974" s="189" t="inlineStr">
        <is>
          <t>0de8e92a57b7</t>
        </is>
      </c>
      <c r="C1974" s="189" t="inlineStr">
        <is>
          <t>SANS ISC: Japanese-Language Phishing Emails, (Sat, Feb 21st) | Introduction &amp;#xd;</t>
        </is>
      </c>
      <c r="D1974" s="189" t="n">
        <v>7</v>
      </c>
      <c r="E1974" s="189" t="inlineStr">
        <is>
          <t>HIGH</t>
        </is>
      </c>
      <c r="F1974" s="189" t="n">
        <v>3</v>
      </c>
      <c r="G1974" s="189" t="n">
        <v>2</v>
      </c>
      <c r="H1974" s="189" t="inlineStr">
        <is>
          <t>HIGH</t>
        </is>
      </c>
      <c r="I1974" s="189" t="n">
        <v>13</v>
      </c>
      <c r="J1974" s="189" t="inlineStr">
        <is>
          <t>NO</t>
        </is>
      </c>
      <c r="K1974" s="190" t="inlineStr">
        <is>
          <t>https://isc.sans.edu/diary/rss/32734</t>
        </is>
      </c>
      <c r="L1974" s="189" t="inlineStr">
        <is>
          <t>2026-02-21 06:03</t>
        </is>
      </c>
      <c r="M1974" s="189" t="inlineStr">
        <is>
          <t>CHECK_VENDOR</t>
        </is>
      </c>
      <c r="N1974" s="190" t="inlineStr">
        <is>
          <t>https://isc.sans.edu/diary/rss/32734</t>
        </is>
      </c>
      <c r="O1974" s="189" t="inlineStr">
        <is>
          <t>See SANS ISC diary for indicators and mitigations | Check IOCs</t>
        </is>
      </c>
      <c r="P1974" s="189" t="inlineStr">
        <is>
          <t>See SANS ISC diary</t>
        </is>
      </c>
      <c r="Q1974" s="189" t="inlineStr">
        <is>
          <t>P3</t>
        </is>
      </c>
      <c r="R1974" s="189" t="inlineStr">
        <is>
          <t>📡 SANS ISC flagged this threat - high analyst confidence | 🔍 Review SANS diary entry for IOCs | 🛡️ Apply recommended mitigations from diary</t>
        </is>
      </c>
      <c r="S1974" s="189" t="inlineStr">
        <is>
          <t>SANS ISC analysis - no direct IP context</t>
        </is>
      </c>
      <c r="T1974" s="189" t="n">
        <v>0</v>
      </c>
      <c r="U1974" s="189" t="n">
        <v>0</v>
      </c>
      <c r="V1974" s="189" t="inlineStr">
        <is>
          <t>T1190:Exploit Public-Facing Application</t>
        </is>
      </c>
      <c r="W1974" s="189" t="n">
        <v>1</v>
      </c>
      <c r="X1974" s="189" t="inlineStr">
        <is>
          <t>LOW (40%)</t>
        </is>
      </c>
      <c r="Y1974" s="189" t="inlineStr">
        <is>
          <t>CHECK_SANS</t>
        </is>
      </c>
      <c r="Z1974" s="189" t="inlineStr">
        <is>
          <t>CHECK_VENDOR</t>
        </is>
      </c>
      <c r="AA1974" s="190" t="inlineStr">
        <is>
          <t>https://isc.sans.edu/diary/rss/32734</t>
        </is>
      </c>
      <c r="AB1974" s="189" t="inlineStr">
        <is>
          <t>NONE</t>
        </is>
      </c>
      <c r="AC1974" s="189" t="n">
        <v>0</v>
      </c>
      <c r="AD1974" s="189" t="inlineStr">
        <is>
          <t>Japanese-Language Phishing Emails, (Sat, Feb 21st)</t>
        </is>
      </c>
    </row>
    <row r="1975">
      <c r="A1975" s="189" t="inlineStr">
        <is>
          <t>SANS_ISC</t>
        </is>
      </c>
      <c r="B1975" s="189" t="inlineStr">
        <is>
          <t>cf2a0101e8c6</t>
        </is>
      </c>
      <c r="C1975" s="189" t="inlineStr">
        <is>
          <t>SANS ISC: Tracking Malware Campaigns With Reused Material, (Wed, Feb 18th) | A few days ago I wrote a diary called "Malicious Script Delivering More Maliciousness"&amp;#x5b; 1 &amp;#x5d;. In the malware infection chain, there was a JPEG picture that embedded the last payload delimited</t>
        </is>
      </c>
      <c r="D1975" s="189" t="n">
        <v>7</v>
      </c>
      <c r="E1975" s="189" t="inlineStr">
        <is>
          <t>HIGH</t>
        </is>
      </c>
      <c r="F1975" s="189" t="n">
        <v>3</v>
      </c>
      <c r="G1975" s="189" t="n">
        <v>2</v>
      </c>
      <c r="H1975" s="189" t="inlineStr">
        <is>
          <t>HIGH</t>
        </is>
      </c>
      <c r="I1975" s="189" t="n">
        <v>13</v>
      </c>
      <c r="J1975" s="189" t="inlineStr">
        <is>
          <t>NO</t>
        </is>
      </c>
      <c r="K1975" s="190" t="inlineStr">
        <is>
          <t>https://isc.sans.edu/diary/rss/32726</t>
        </is>
      </c>
      <c r="L1975" s="189" t="inlineStr">
        <is>
          <t>2026-02-18 08:19</t>
        </is>
      </c>
      <c r="M1975" s="189" t="inlineStr">
        <is>
          <t>CHECK_VENDOR</t>
        </is>
      </c>
      <c r="N1975" s="190" t="inlineStr">
        <is>
          <t>https://isc.sans.edu/diary/rss/32726</t>
        </is>
      </c>
      <c r="O1975" s="189" t="inlineStr">
        <is>
          <t>See SANS ISC diary for indicators and mitigations | Check IOCs</t>
        </is>
      </c>
      <c r="P1975" s="189" t="inlineStr">
        <is>
          <t>See SANS ISC diary</t>
        </is>
      </c>
      <c r="Q1975" s="189" t="inlineStr">
        <is>
          <t>P3</t>
        </is>
      </c>
      <c r="R1975" s="189" t="inlineStr">
        <is>
          <t>📡 SANS ISC flagged this threat - high analyst confidence | 🔍 Review SANS diary entry for IOCs | 🛡️ Apply recommended mitigations from diary</t>
        </is>
      </c>
      <c r="S1975" s="189" t="inlineStr">
        <is>
          <t>SANS ISC analysis - no direct IP context</t>
        </is>
      </c>
      <c r="T1975" s="189" t="n">
        <v>0</v>
      </c>
      <c r="U1975" s="189" t="n">
        <v>0</v>
      </c>
      <c r="V1975" s="189" t="inlineStr">
        <is>
          <t>T1190:Exploit Public-Facing Application</t>
        </is>
      </c>
      <c r="W1975" s="189" t="n">
        <v>1</v>
      </c>
      <c r="X1975" s="189" t="inlineStr">
        <is>
          <t>LOW (40%)</t>
        </is>
      </c>
      <c r="Y1975" s="189" t="inlineStr">
        <is>
          <t>CHECK_SANS</t>
        </is>
      </c>
      <c r="Z1975" s="189" t="inlineStr">
        <is>
          <t>CHECK_VENDOR</t>
        </is>
      </c>
      <c r="AA1975" s="190" t="inlineStr">
        <is>
          <t>https://isc.sans.edu/diary/rss/32726</t>
        </is>
      </c>
      <c r="AB1975" s="189" t="inlineStr">
        <is>
          <t>NONE</t>
        </is>
      </c>
      <c r="AC1975" s="189" t="n">
        <v>0</v>
      </c>
      <c r="AD1975" s="189" t="inlineStr">
        <is>
          <t>Tracking Malware Campaigns With Reused Material, (Wed, Feb 18th)</t>
        </is>
      </c>
    </row>
    <row r="1976">
      <c r="A1976" s="189" t="inlineStr">
        <is>
          <t>SANS_ISC</t>
        </is>
      </c>
      <c r="B1976" s="189" t="inlineStr">
        <is>
          <t>790c96dfe52b</t>
        </is>
      </c>
      <c r="C1976" s="189" t="inlineStr">
        <is>
          <t>SANS ISC: Fake Incident Report Used in Phishing Campaign, (Tue, Feb 17th) | This morning, I received an interesting phishing email. I&amp;&amp;#x23&amp;#x3b;x26&amp;#x3b;&amp;#x23&amp;#x3b;xe2&amp;#x3b;&amp;&amp;#x23&amp;#x3b;x26&amp;#x3b;&amp;#x23&amp;#x3b;x80&amp;#x3b;&amp;&amp;#x23&amp;#x3b;x26&amp;#x3b;&amp;#x23&amp;#x3b;x99&amp;#x3b;ve a &amp;&amp;#x23&amp;#x3b;x26</t>
        </is>
      </c>
      <c r="D1976" s="189" t="n">
        <v>7</v>
      </c>
      <c r="E1976" s="189" t="inlineStr">
        <is>
          <t>HIGH</t>
        </is>
      </c>
      <c r="F1976" s="189" t="n">
        <v>3</v>
      </c>
      <c r="G1976" s="189" t="n">
        <v>2</v>
      </c>
      <c r="H1976" s="189" t="inlineStr">
        <is>
          <t>HIGH</t>
        </is>
      </c>
      <c r="I1976" s="189" t="n">
        <v>13</v>
      </c>
      <c r="J1976" s="189" t="inlineStr">
        <is>
          <t>NO</t>
        </is>
      </c>
      <c r="K1976" s="190" t="inlineStr">
        <is>
          <t>https://isc.sans.edu/diary/rss/32722</t>
        </is>
      </c>
      <c r="L1976" s="189" t="inlineStr">
        <is>
          <t>2026-02-17 07:41</t>
        </is>
      </c>
      <c r="M1976" s="189" t="inlineStr">
        <is>
          <t>CHECK_VENDOR</t>
        </is>
      </c>
      <c r="N1976" s="190" t="inlineStr">
        <is>
          <t>https://isc.sans.edu/diary/rss/32722</t>
        </is>
      </c>
      <c r="O1976" s="189" t="inlineStr">
        <is>
          <t>See SANS ISC diary for indicators and mitigations | Check IOCs</t>
        </is>
      </c>
      <c r="P1976" s="189" t="inlineStr">
        <is>
          <t>See SANS ISC diary</t>
        </is>
      </c>
      <c r="Q1976" s="189" t="inlineStr">
        <is>
          <t>P3</t>
        </is>
      </c>
      <c r="R1976" s="189" t="inlineStr">
        <is>
          <t>📡 SANS ISC flagged this threat - high analyst confidence | 🔍 Review SANS diary entry for IOCs | 🛡️ Apply recommended mitigations from diary</t>
        </is>
      </c>
      <c r="S1976" s="189" t="inlineStr">
        <is>
          <t>SANS ISC analysis - no direct IP context</t>
        </is>
      </c>
      <c r="T1976" s="189" t="n">
        <v>0</v>
      </c>
      <c r="U1976" s="189" t="n">
        <v>0</v>
      </c>
      <c r="V1976" s="189" t="inlineStr">
        <is>
          <t>T1190:Exploit Public-Facing Application</t>
        </is>
      </c>
      <c r="W1976" s="189" t="n">
        <v>1</v>
      </c>
      <c r="X1976" s="189" t="inlineStr">
        <is>
          <t>LOW (40%)</t>
        </is>
      </c>
      <c r="Y1976" s="189" t="inlineStr">
        <is>
          <t>CHECK_SANS</t>
        </is>
      </c>
      <c r="Z1976" s="189" t="inlineStr">
        <is>
          <t>CHECK_VENDOR</t>
        </is>
      </c>
      <c r="AA1976" s="190" t="inlineStr">
        <is>
          <t>https://isc.sans.edu/diary/rss/32722</t>
        </is>
      </c>
      <c r="AB1976" s="189" t="inlineStr">
        <is>
          <t>NONE</t>
        </is>
      </c>
      <c r="AC1976" s="189" t="n">
        <v>0</v>
      </c>
      <c r="AD1976" s="189" t="inlineStr">
        <is>
          <t>Fake Incident Report Used in Phishing Campaign, (Tue, Feb 17th)</t>
        </is>
      </c>
    </row>
    <row r="1977">
      <c r="A1977" s="191" t="inlineStr">
        <is>
          <t>NEWS_ALERT</t>
        </is>
      </c>
      <c r="B1977" s="191" t="inlineStr">
        <is>
          <t>cc9e4779d3d9</t>
        </is>
      </c>
      <c r="C1977" s="191" t="inlineStr">
        <is>
          <t>[BleepingComputer] Ad tech firm Optimizely confirms data breach after vishing attack | Keywords: breach, phishing | New York-based ad tech company Optimizely has notified an undisclosed number of customers of a data breach after threat actors compromised some of its</t>
        </is>
      </c>
      <c r="D1977" s="191" t="n">
        <v>5</v>
      </c>
      <c r="E1977" s="191" t="inlineStr">
        <is>
          <t>MEDIUM</t>
        </is>
      </c>
      <c r="F1977" s="191" t="n">
        <v>2</v>
      </c>
      <c r="G1977" s="191" t="n">
        <v>1</v>
      </c>
      <c r="H1977" s="191" t="inlineStr">
        <is>
          <t>LOW</t>
        </is>
      </c>
      <c r="I1977" s="191" t="n">
        <v>7</v>
      </c>
      <c r="J1977" s="191" t="inlineStr">
        <is>
          <t>NO</t>
        </is>
      </c>
      <c r="K1977" s="192" t="inlineStr">
        <is>
          <t>https://www.bleepingcomputer.com/news/security/ad-tech-firm-optimizely-confirms-data-breach-after-vishing-attack/</t>
        </is>
      </c>
      <c r="L1977" s="191" t="inlineStr">
        <is>
          <t>2026-02-23 18:04</t>
        </is>
      </c>
      <c r="M1977" s="191" t="inlineStr">
        <is>
          <t>Monitor</t>
        </is>
      </c>
      <c r="N1977" s="192" t="inlineStr">
        <is>
          <t>https://www.bleepingcomputer.com/news/security/ad-tech-firm-optimizely-confirms-data-breach-after-vishing-attack/</t>
        </is>
      </c>
      <c r="O1977" s="191" t="inlineStr">
        <is>
          <t>Monitor for developments | Review article for IOCs | Escalate if relevant to your infra</t>
        </is>
      </c>
      <c r="P1977" s="191" t="inlineStr">
        <is>
          <t>Varies - see article</t>
        </is>
      </c>
      <c r="Q1977" s="191" t="inlineStr">
        <is>
          <t>P4</t>
        </is>
      </c>
      <c r="R1977" s="191" t="inlineStr">
        <is>
          <t>📰 Security news alert - monitor for developments | 🔍 Review article for IOCs | 📋 Escalate if relevant to your infrastructure</t>
        </is>
      </c>
      <c r="S1977" s="191" t="inlineStr">
        <is>
          <t>News alert - no IP context</t>
        </is>
      </c>
      <c r="T1977" s="191" t="n">
        <v>0</v>
      </c>
      <c r="U1977" s="191" t="n">
        <v>0</v>
      </c>
      <c r="V1977" s="191" t="inlineStr">
        <is>
          <t>See article for technique context</t>
        </is>
      </c>
      <c r="W1977" s="191" t="n">
        <v>1</v>
      </c>
      <c r="X1977" s="191" t="inlineStr">
        <is>
          <t>LOW (40%)</t>
        </is>
      </c>
      <c r="Y1977" s="191" t="inlineStr">
        <is>
          <t>NONE</t>
        </is>
      </c>
      <c r="Z1977" s="191" t="inlineStr">
        <is>
          <t>NONE</t>
        </is>
      </c>
      <c r="AA1977" s="191" t="inlineStr">
        <is>
          <t>NONE</t>
        </is>
      </c>
      <c r="AB1977" s="191" t="inlineStr">
        <is>
          <t>NONE</t>
        </is>
      </c>
      <c r="AC1977" s="191" t="n">
        <v>0</v>
      </c>
      <c r="AD1977" s="191" t="inlineStr">
        <is>
          <t>Ad tech firm Optimizely confirms data breach after vishing attack</t>
        </is>
      </c>
    </row>
    <row r="1978">
      <c r="A1978" s="191" t="inlineStr">
        <is>
          <t>NEWS_ALERT</t>
        </is>
      </c>
      <c r="B1978" s="191" t="inlineStr">
        <is>
          <t>1309e0d25780</t>
        </is>
      </c>
      <c r="C1978" s="191" t="inlineStr">
        <is>
          <t>[BleepingComputer] CISA: Recently patched RoundCube flaws now exploited in attacks | Keywords: exploited | CISA flagged two Roundcube Webmail vulnerabilities as actively exploited in attacks and ordered U.S. federal agencies to patch them within three weeks</t>
        </is>
      </c>
      <c r="D1978" s="191" t="n">
        <v>5</v>
      </c>
      <c r="E1978" s="191" t="inlineStr">
        <is>
          <t>MEDIUM</t>
        </is>
      </c>
      <c r="F1978" s="191" t="n">
        <v>2</v>
      </c>
      <c r="G1978" s="191" t="n">
        <v>1</v>
      </c>
      <c r="H1978" s="191" t="inlineStr">
        <is>
          <t>LOW</t>
        </is>
      </c>
      <c r="I1978" s="191" t="n">
        <v>7</v>
      </c>
      <c r="J1978" s="191" t="inlineStr">
        <is>
          <t>NO</t>
        </is>
      </c>
      <c r="K1978" s="192" t="inlineStr">
        <is>
          <t>https://www.bleepingcomputer.com/news/security/cisa-recently-patched-roundcube-flaws-now-exploited-in-attacks/</t>
        </is>
      </c>
      <c r="L1978" s="191" t="inlineStr">
        <is>
          <t>2026-02-23 11:44</t>
        </is>
      </c>
      <c r="M1978" s="191" t="inlineStr">
        <is>
          <t>Monitor</t>
        </is>
      </c>
      <c r="N1978" s="192" t="inlineStr">
        <is>
          <t>https://www.bleepingcomputer.com/news/security/cisa-recently-patched-roundcube-flaws-now-exploited-in-attacks/</t>
        </is>
      </c>
      <c r="O1978" s="191" t="inlineStr">
        <is>
          <t>Monitor for developments | Review article for IOCs | Escalate if relevant to your infra</t>
        </is>
      </c>
      <c r="P1978" s="191" t="inlineStr">
        <is>
          <t>Varies - see article</t>
        </is>
      </c>
      <c r="Q1978" s="191" t="inlineStr">
        <is>
          <t>P4</t>
        </is>
      </c>
      <c r="R1978" s="191" t="inlineStr">
        <is>
          <t>📰 Security news alert - monitor for developments | 🔍 Review article for IOCs | 📋 Escalate if relevant to your infrastructure</t>
        </is>
      </c>
      <c r="S1978" s="191" t="inlineStr">
        <is>
          <t>News alert - no IP context</t>
        </is>
      </c>
      <c r="T1978" s="191" t="n">
        <v>0</v>
      </c>
      <c r="U1978" s="191" t="n">
        <v>0</v>
      </c>
      <c r="V1978" s="191" t="inlineStr">
        <is>
          <t>See article for technique context</t>
        </is>
      </c>
      <c r="W1978" s="191" t="n">
        <v>1</v>
      </c>
      <c r="X1978" s="191" t="inlineStr">
        <is>
          <t>LOW (40%)</t>
        </is>
      </c>
      <c r="Y1978" s="191" t="inlineStr">
        <is>
          <t>NONE</t>
        </is>
      </c>
      <c r="Z1978" s="191" t="inlineStr">
        <is>
          <t>NONE</t>
        </is>
      </c>
      <c r="AA1978" s="191" t="inlineStr">
        <is>
          <t>NONE</t>
        </is>
      </c>
      <c r="AB1978" s="191" t="inlineStr">
        <is>
          <t>NONE</t>
        </is>
      </c>
      <c r="AC1978" s="191" t="n">
        <v>0</v>
      </c>
      <c r="AD1978" s="191" t="inlineStr">
        <is>
          <t>CISA: Recently patched RoundCube flaws now exploited in attacks</t>
        </is>
      </c>
    </row>
    <row r="1979">
      <c r="A1979" s="191" t="inlineStr">
        <is>
          <t>NEWS_ALERT</t>
        </is>
      </c>
      <c r="B1979" s="191" t="inlineStr">
        <is>
          <t>26fcee90c8c0</t>
        </is>
      </c>
      <c r="C1979" s="191" t="inlineStr">
        <is>
          <t>[BleepingComputer] Arkanix Stealer pops up as short-lived AI info-stealer experiment | Keywords: malware | An information-stealing malware operation named Arkanix Stealer, promoted on multiple dark web forums towards the end of 2025, was likely developed as</t>
        </is>
      </c>
      <c r="D1979" s="191" t="n">
        <v>5</v>
      </c>
      <c r="E1979" s="191" t="inlineStr">
        <is>
          <t>MEDIUM</t>
        </is>
      </c>
      <c r="F1979" s="191" t="n">
        <v>2</v>
      </c>
      <c r="G1979" s="191" t="n">
        <v>1</v>
      </c>
      <c r="H1979" s="191" t="inlineStr">
        <is>
          <t>LOW</t>
        </is>
      </c>
      <c r="I1979" s="191" t="n">
        <v>7</v>
      </c>
      <c r="J1979" s="191" t="inlineStr">
        <is>
          <t>NO</t>
        </is>
      </c>
      <c r="K1979" s="192" t="inlineStr">
        <is>
          <t>https://www.bleepingcomputer.com/news/security/arkanix-stealer-pops-up-as-short-lived-ai-info-stealer-experiment/</t>
        </is>
      </c>
      <c r="L1979" s="191" t="inlineStr">
        <is>
          <t>2026-02-22 15:33</t>
        </is>
      </c>
      <c r="M1979" s="191" t="inlineStr">
        <is>
          <t>Monitor</t>
        </is>
      </c>
      <c r="N1979" s="192" t="inlineStr">
        <is>
          <t>https://www.bleepingcomputer.com/news/security/arkanix-stealer-pops-up-as-short-lived-ai-info-stealer-experiment/</t>
        </is>
      </c>
      <c r="O1979" s="191" t="inlineStr">
        <is>
          <t>Monitor for developments | Review article for IOCs | Escalate if relevant to your infra</t>
        </is>
      </c>
      <c r="P1979" s="191" t="inlineStr">
        <is>
          <t>Varies - see article</t>
        </is>
      </c>
      <c r="Q1979" s="191" t="inlineStr">
        <is>
          <t>P4</t>
        </is>
      </c>
      <c r="R1979" s="191" t="inlineStr">
        <is>
          <t>📰 Security news alert - monitor for developments | 🔍 Review article for IOCs | 📋 Escalate if relevant to your infrastructure</t>
        </is>
      </c>
      <c r="S1979" s="191" t="inlineStr">
        <is>
          <t>News alert - no IP context</t>
        </is>
      </c>
      <c r="T1979" s="191" t="n">
        <v>0</v>
      </c>
      <c r="U1979" s="191" t="n">
        <v>0</v>
      </c>
      <c r="V1979" s="191" t="inlineStr">
        <is>
          <t>See article for technique context</t>
        </is>
      </c>
      <c r="W1979" s="191" t="n">
        <v>1</v>
      </c>
      <c r="X1979" s="191" t="inlineStr">
        <is>
          <t>LOW (40%)</t>
        </is>
      </c>
      <c r="Y1979" s="191" t="inlineStr">
        <is>
          <t>NONE</t>
        </is>
      </c>
      <c r="Z1979" s="191" t="inlineStr">
        <is>
          <t>NONE</t>
        </is>
      </c>
      <c r="AA1979" s="191" t="inlineStr">
        <is>
          <t>NONE</t>
        </is>
      </c>
      <c r="AB1979" s="191" t="inlineStr">
        <is>
          <t>NONE</t>
        </is>
      </c>
      <c r="AC1979" s="191" t="n">
        <v>0</v>
      </c>
      <c r="AD1979" s="191" t="inlineStr">
        <is>
          <t>Arkanix Stealer pops up as short-lived AI info-stealer experiment</t>
        </is>
      </c>
    </row>
    <row r="1980">
      <c r="A1980" s="191" t="inlineStr">
        <is>
          <t>NEWS_ALERT</t>
        </is>
      </c>
      <c r="B1980" s="191" t="inlineStr">
        <is>
          <t>9c1b1bb24e80</t>
        </is>
      </c>
      <c r="C1980" s="191" t="inlineStr">
        <is>
          <t>[SecurityAffairs] Wormable XMRig campaign leverages BYOVD and timed kill switch for stealth | Keywords: exploit, wormable, wormable | A wormable cryptojacking campaign spreads via pirated software, using BYOVD and a time-based logic bomb to deploy a custom XMRig miner. Researchers un</t>
        </is>
      </c>
      <c r="D1980" s="191" t="n">
        <v>5</v>
      </c>
      <c r="E1980" s="191" t="inlineStr">
        <is>
          <t>MEDIUM</t>
        </is>
      </c>
      <c r="F1980" s="191" t="n">
        <v>2</v>
      </c>
      <c r="G1980" s="191" t="n">
        <v>1</v>
      </c>
      <c r="H1980" s="191" t="inlineStr">
        <is>
          <t>LOW</t>
        </is>
      </c>
      <c r="I1980" s="191" t="n">
        <v>7</v>
      </c>
      <c r="J1980" s="191" t="inlineStr">
        <is>
          <t>NO</t>
        </is>
      </c>
      <c r="K1980" s="192" t="inlineStr">
        <is>
          <t>https://securityaffairs.com/188388/malware/wormable-xmrig-campaign-leverages-byovd-and-timed-kill-switch-for-stealth.html</t>
        </is>
      </c>
      <c r="L1980" s="191" t="inlineStr">
        <is>
          <t>2026-02-23 18:36</t>
        </is>
      </c>
      <c r="M1980" s="191" t="inlineStr">
        <is>
          <t>Monitor</t>
        </is>
      </c>
      <c r="N1980" s="192" t="inlineStr">
        <is>
          <t>https://securityaffairs.com/188388/malware/wormable-xmrig-campaign-leverages-byovd-and-timed-kill-switch-for-stealth.html</t>
        </is>
      </c>
      <c r="O1980" s="191" t="inlineStr">
        <is>
          <t>Monitor for developments | Review article for IOCs | Escalate if relevant to your infra</t>
        </is>
      </c>
      <c r="P1980" s="191" t="inlineStr">
        <is>
          <t>Varies - see article</t>
        </is>
      </c>
      <c r="Q1980" s="191" t="inlineStr">
        <is>
          <t>P4</t>
        </is>
      </c>
      <c r="R1980" s="191" t="inlineStr">
        <is>
          <t>📰 Security news alert - monitor for developments | 🔍 Review article for IOCs | 📋 Escalate if relevant to your infrastructure</t>
        </is>
      </c>
      <c r="S1980" s="191" t="inlineStr">
        <is>
          <t>News alert - no IP context</t>
        </is>
      </c>
      <c r="T1980" s="191" t="n">
        <v>0</v>
      </c>
      <c r="U1980" s="191" t="n">
        <v>0</v>
      </c>
      <c r="V1980" s="191" t="inlineStr">
        <is>
          <t>See article for technique context</t>
        </is>
      </c>
      <c r="W1980" s="191" t="n">
        <v>1</v>
      </c>
      <c r="X1980" s="191" t="inlineStr">
        <is>
          <t>LOW (40%)</t>
        </is>
      </c>
      <c r="Y1980" s="191" t="inlineStr">
        <is>
          <t>NONE</t>
        </is>
      </c>
      <c r="Z1980" s="191" t="inlineStr">
        <is>
          <t>NONE</t>
        </is>
      </c>
      <c r="AA1980" s="191" t="inlineStr">
        <is>
          <t>NONE</t>
        </is>
      </c>
      <c r="AB1980" s="191" t="inlineStr">
        <is>
          <t>NONE</t>
        </is>
      </c>
      <c r="AC1980" s="191" t="n">
        <v>0</v>
      </c>
      <c r="AD1980" s="191" t="inlineStr">
        <is>
          <t>Wormable XMRig campaign leverages BYOVD and timed kill switch for stealth</t>
        </is>
      </c>
    </row>
    <row r="1981">
      <c r="A1981" s="191" t="inlineStr">
        <is>
          <t>NEWS_ALERT</t>
        </is>
      </c>
      <c r="B1981" s="191" t="inlineStr">
        <is>
          <t>c64999d68a14</t>
        </is>
      </c>
      <c r="C1981" s="191" t="inlineStr">
        <is>
          <t>[SecurityAffairs] AI-powered campaign compromises 600 FortiGate systems worldwide | Keywords: threat actor | A Russian-speaking cybercriminal used commercial generative AI tools to hack over 600 FortiGate devices across 55 countries. Amazon Threat Intelligenc</t>
        </is>
      </c>
      <c r="D1981" s="191" t="n">
        <v>5</v>
      </c>
      <c r="E1981" s="191" t="inlineStr">
        <is>
          <t>MEDIUM</t>
        </is>
      </c>
      <c r="F1981" s="191" t="n">
        <v>2</v>
      </c>
      <c r="G1981" s="191" t="n">
        <v>1</v>
      </c>
      <c r="H1981" s="191" t="inlineStr">
        <is>
          <t>LOW</t>
        </is>
      </c>
      <c r="I1981" s="191" t="n">
        <v>7</v>
      </c>
      <c r="J1981" s="191" t="inlineStr">
        <is>
          <t>NO</t>
        </is>
      </c>
      <c r="K1981" s="192" t="inlineStr">
        <is>
          <t>https://securityaffairs.com/188351/hacking/ai-powered-campaign-compromises-600-fortigate-systems-worldwide.html</t>
        </is>
      </c>
      <c r="L1981" s="191" t="inlineStr">
        <is>
          <t>2026-02-23 10:39</t>
        </is>
      </c>
      <c r="M1981" s="191" t="inlineStr">
        <is>
          <t>Monitor</t>
        </is>
      </c>
      <c r="N1981" s="192" t="inlineStr">
        <is>
          <t>https://securityaffairs.com/188351/hacking/ai-powered-campaign-compromises-600-fortigate-systems-worldwide.html</t>
        </is>
      </c>
      <c r="O1981" s="191" t="inlineStr">
        <is>
          <t>Monitor for developments | Review article for IOCs | Escalate if relevant to your infra</t>
        </is>
      </c>
      <c r="P1981" s="191" t="inlineStr">
        <is>
          <t>Varies - see article</t>
        </is>
      </c>
      <c r="Q1981" s="191" t="inlineStr">
        <is>
          <t>P4</t>
        </is>
      </c>
      <c r="R1981" s="191" t="inlineStr">
        <is>
          <t>📰 Security news alert - monitor for developments | 🔍 Review article for IOCs | 📋 Escalate if relevant to your infrastructure</t>
        </is>
      </c>
      <c r="S1981" s="191" t="inlineStr">
        <is>
          <t>News alert - no IP context</t>
        </is>
      </c>
      <c r="T1981" s="191" t="n">
        <v>0</v>
      </c>
      <c r="U1981" s="191" t="n">
        <v>0</v>
      </c>
      <c r="V1981" s="191" t="inlineStr">
        <is>
          <t>See article for technique context</t>
        </is>
      </c>
      <c r="W1981" s="191" t="n">
        <v>1</v>
      </c>
      <c r="X1981" s="191" t="inlineStr">
        <is>
          <t>LOW (40%)</t>
        </is>
      </c>
      <c r="Y1981" s="191" t="inlineStr">
        <is>
          <t>NONE</t>
        </is>
      </c>
      <c r="Z1981" s="191" t="inlineStr">
        <is>
          <t>NONE</t>
        </is>
      </c>
      <c r="AA1981" s="191" t="inlineStr">
        <is>
          <t>NONE</t>
        </is>
      </c>
      <c r="AB1981" s="191" t="inlineStr">
        <is>
          <t>NONE</t>
        </is>
      </c>
      <c r="AC1981" s="191" t="n">
        <v>0</v>
      </c>
      <c r="AD1981" s="191" t="inlineStr">
        <is>
          <t>AI-powered campaign compromises 600 FortiGate systems worldwide</t>
        </is>
      </c>
    </row>
    <row r="1982">
      <c r="A1982" s="191" t="inlineStr">
        <is>
          <t>NEWS_ALERT</t>
        </is>
      </c>
      <c r="B1982" s="191" t="inlineStr">
        <is>
          <t>c60b0ce4a26b</t>
        </is>
      </c>
      <c r="C1982" s="191" t="inlineStr">
        <is>
          <t>[SecurityAffairs] SECURITY AFFAIRS MALWARE NEWSLETTER ROUND 85 | Keywords: malware, malware, malware, backdoor | Security Affairs Malware newsletter includes a collection of the best articles and research on malware in the international landscape Malware Newslett</t>
        </is>
      </c>
      <c r="D1982" s="191" t="n">
        <v>5</v>
      </c>
      <c r="E1982" s="191" t="inlineStr">
        <is>
          <t>MEDIUM</t>
        </is>
      </c>
      <c r="F1982" s="191" t="n">
        <v>2</v>
      </c>
      <c r="G1982" s="191" t="n">
        <v>1</v>
      </c>
      <c r="H1982" s="191" t="inlineStr">
        <is>
          <t>LOW</t>
        </is>
      </c>
      <c r="I1982" s="191" t="n">
        <v>7</v>
      </c>
      <c r="J1982" s="191" t="inlineStr">
        <is>
          <t>NO</t>
        </is>
      </c>
      <c r="K1982" s="192" t="inlineStr">
        <is>
          <t>https://securityaffairs.com/188337/malware/security-affairs-malware-newsletter-round-85.html</t>
        </is>
      </c>
      <c r="L1982" s="191" t="inlineStr">
        <is>
          <t>2026-02-22 14:29</t>
        </is>
      </c>
      <c r="M1982" s="191" t="inlineStr">
        <is>
          <t>Monitor</t>
        </is>
      </c>
      <c r="N1982" s="192" t="inlineStr">
        <is>
          <t>https://securityaffairs.com/188337/malware/security-affairs-malware-newsletter-round-85.html</t>
        </is>
      </c>
      <c r="O1982" s="191" t="inlineStr">
        <is>
          <t>Monitor for developments | Review article for IOCs | Escalate if relevant to your infra</t>
        </is>
      </c>
      <c r="P1982" s="191" t="inlineStr">
        <is>
          <t>Varies - see article</t>
        </is>
      </c>
      <c r="Q1982" s="191" t="inlineStr">
        <is>
          <t>P4</t>
        </is>
      </c>
      <c r="R1982" s="191" t="inlineStr">
        <is>
          <t>📰 Security news alert - monitor for developments | 🔍 Review article for IOCs | 📋 Escalate if relevant to your infrastructure</t>
        </is>
      </c>
      <c r="S1982" s="191" t="inlineStr">
        <is>
          <t>News alert - no IP context</t>
        </is>
      </c>
      <c r="T1982" s="191" t="n">
        <v>0</v>
      </c>
      <c r="U1982" s="191" t="n">
        <v>0</v>
      </c>
      <c r="V1982" s="191" t="inlineStr">
        <is>
          <t>See article for technique context</t>
        </is>
      </c>
      <c r="W1982" s="191" t="n">
        <v>1</v>
      </c>
      <c r="X1982" s="191" t="inlineStr">
        <is>
          <t>LOW (40%)</t>
        </is>
      </c>
      <c r="Y1982" s="191" t="inlineStr">
        <is>
          <t>NONE</t>
        </is>
      </c>
      <c r="Z1982" s="191" t="inlineStr">
        <is>
          <t>NONE</t>
        </is>
      </c>
      <c r="AA1982" s="191" t="inlineStr">
        <is>
          <t>NONE</t>
        </is>
      </c>
      <c r="AB1982" s="191" t="inlineStr">
        <is>
          <t>NONE</t>
        </is>
      </c>
      <c r="AC1982" s="191" t="n">
        <v>0</v>
      </c>
      <c r="AD1982" s="191" t="inlineStr">
        <is>
          <t>SECURITY AFFAIRS MALWARE NEWSLETTER ROUND 85</t>
        </is>
      </c>
    </row>
    <row r="1983">
      <c r="A1983" s="191" t="inlineStr">
        <is>
          <t>NEWS_ALERT</t>
        </is>
      </c>
      <c r="B1983" s="191" t="inlineStr">
        <is>
          <t>be2b9ca842ab</t>
        </is>
      </c>
      <c r="C1983" s="191" t="inlineStr">
        <is>
          <t>[SecurityAffairs] Security Affairs newsletter Round 564 by Pierluigi Paganini – INTERNATIONAL EDITION | Keywords: exploited | A new round of the weekly Security Affairs newsletter has arrived! Every week, the best security articles from Security Affairs are free in your email</t>
        </is>
      </c>
      <c r="D1983" s="191" t="n">
        <v>5</v>
      </c>
      <c r="E1983" s="191" t="inlineStr">
        <is>
          <t>MEDIUM</t>
        </is>
      </c>
      <c r="F1983" s="191" t="n">
        <v>2</v>
      </c>
      <c r="G1983" s="191" t="n">
        <v>1</v>
      </c>
      <c r="H1983" s="191" t="inlineStr">
        <is>
          <t>LOW</t>
        </is>
      </c>
      <c r="I1983" s="191" t="n">
        <v>7</v>
      </c>
      <c r="J1983" s="191" t="inlineStr">
        <is>
          <t>NO</t>
        </is>
      </c>
      <c r="K1983" s="192" t="inlineStr">
        <is>
          <t>https://securityaffairs.com/188332/breaking-news/security-affairs-newsletter-round-564-by-pierluigi-paganini-international-edition.html</t>
        </is>
      </c>
      <c r="L1983" s="191" t="inlineStr">
        <is>
          <t>2026-02-22 14:14</t>
        </is>
      </c>
      <c r="M1983" s="191" t="inlineStr">
        <is>
          <t>Monitor</t>
        </is>
      </c>
      <c r="N1983" s="192" t="inlineStr">
        <is>
          <t>https://securityaffairs.com/188332/breaking-news/security-affairs-newsletter-round-564-by-pierluigi-paganini-international-edition.html</t>
        </is>
      </c>
      <c r="O1983" s="191" t="inlineStr">
        <is>
          <t>Monitor for developments | Review article for IOCs | Escalate if relevant to your infra</t>
        </is>
      </c>
      <c r="P1983" s="191" t="inlineStr">
        <is>
          <t>Varies - see article</t>
        </is>
      </c>
      <c r="Q1983" s="191" t="inlineStr">
        <is>
          <t>P4</t>
        </is>
      </c>
      <c r="R1983" s="191" t="inlineStr">
        <is>
          <t>📰 Security news alert - monitor for developments | 🔍 Review article for IOCs | 📋 Escalate if relevant to your infrastructure</t>
        </is>
      </c>
      <c r="S1983" s="191" t="inlineStr">
        <is>
          <t>News alert - no IP context</t>
        </is>
      </c>
      <c r="T1983" s="191" t="n">
        <v>0</v>
      </c>
      <c r="U1983" s="191" t="n">
        <v>0</v>
      </c>
      <c r="V1983" s="191" t="inlineStr">
        <is>
          <t>See article for technique context</t>
        </is>
      </c>
      <c r="W1983" s="191" t="n">
        <v>1</v>
      </c>
      <c r="X1983" s="191" t="inlineStr">
        <is>
          <t>LOW (40%)</t>
        </is>
      </c>
      <c r="Y1983" s="191" t="inlineStr">
        <is>
          <t>NONE</t>
        </is>
      </c>
      <c r="Z1983" s="191" t="inlineStr">
        <is>
          <t>NONE</t>
        </is>
      </c>
      <c r="AA1983" s="191" t="inlineStr">
        <is>
          <t>NONE</t>
        </is>
      </c>
      <c r="AB1983" s="191" t="inlineStr">
        <is>
          <t>NONE</t>
        </is>
      </c>
      <c r="AC1983" s="191" t="n">
        <v>0</v>
      </c>
      <c r="AD1983" s="191" t="inlineStr">
        <is>
          <t>Security Affairs newsletter Round 564 by Pierluigi Paganini – INTERNATIONAL EDITION</t>
        </is>
      </c>
    </row>
    <row r="1984">
      <c r="A1984" s="191" t="inlineStr">
        <is>
          <t>NEWS_ALERT</t>
        </is>
      </c>
      <c r="B1984" s="191" t="inlineStr">
        <is>
          <t>ce7753f8eea4</t>
        </is>
      </c>
      <c r="C1984" s="191" t="inlineStr">
        <is>
          <t>[SecurityAffairs] U.S. CISA adds RoundCube Webmail flaws to its Known Exploited Vulnerabilities catalog | Keywords: exploited | U.S. Cybersecurity and Infrastructure Security Agency (CISA) adds RoundCube Webmail flaws to its Known Exploited Vulnerabilities catalog. The U.S. Cyb</t>
        </is>
      </c>
      <c r="D1984" s="191" t="n">
        <v>5</v>
      </c>
      <c r="E1984" s="191" t="inlineStr">
        <is>
          <t>MEDIUM</t>
        </is>
      </c>
      <c r="F1984" s="191" t="n">
        <v>2</v>
      </c>
      <c r="G1984" s="191" t="n">
        <v>1</v>
      </c>
      <c r="H1984" s="191" t="inlineStr">
        <is>
          <t>LOW</t>
        </is>
      </c>
      <c r="I1984" s="191" t="n">
        <v>7</v>
      </c>
      <c r="J1984" s="191" t="inlineStr">
        <is>
          <t>NO</t>
        </is>
      </c>
      <c r="K1984" s="192" t="inlineStr">
        <is>
          <t>https://securityaffairs.com/188324/security/u-s-cisa-adds-roundcube-webmail-flaws-to-its-known-exploited-vulnerabilities-catalog.html</t>
        </is>
      </c>
      <c r="L1984" s="191" t="inlineStr">
        <is>
          <t>2026-02-21 11:19</t>
        </is>
      </c>
      <c r="M1984" s="191" t="inlineStr">
        <is>
          <t>Monitor</t>
        </is>
      </c>
      <c r="N1984" s="192" t="inlineStr">
        <is>
          <t>https://securityaffairs.com/188324/security/u-s-cisa-adds-roundcube-webmail-flaws-to-its-known-exploited-vulnerabilities-catalog.html</t>
        </is>
      </c>
      <c r="O1984" s="191" t="inlineStr">
        <is>
          <t>Monitor for developments | Review article for IOCs | Escalate if relevant to your infra</t>
        </is>
      </c>
      <c r="P1984" s="191" t="inlineStr">
        <is>
          <t>Varies - see article</t>
        </is>
      </c>
      <c r="Q1984" s="191" t="inlineStr">
        <is>
          <t>P4</t>
        </is>
      </c>
      <c r="R1984" s="191" t="inlineStr">
        <is>
          <t>📰 Security news alert - monitor for developments | 🔍 Review article for IOCs | 📋 Escalate if relevant to your infrastructure</t>
        </is>
      </c>
      <c r="S1984" s="191" t="inlineStr">
        <is>
          <t>News alert - no IP context</t>
        </is>
      </c>
      <c r="T1984" s="191" t="n">
        <v>0</v>
      </c>
      <c r="U1984" s="191" t="n">
        <v>0</v>
      </c>
      <c r="V1984" s="191" t="inlineStr">
        <is>
          <t>See article for technique context</t>
        </is>
      </c>
      <c r="W1984" s="191" t="n">
        <v>1</v>
      </c>
      <c r="X1984" s="191" t="inlineStr">
        <is>
          <t>LOW (40%)</t>
        </is>
      </c>
      <c r="Y1984" s="191" t="inlineStr">
        <is>
          <t>NONE</t>
        </is>
      </c>
      <c r="Z1984" s="191" t="inlineStr">
        <is>
          <t>NONE</t>
        </is>
      </c>
      <c r="AA1984" s="191" t="inlineStr">
        <is>
          <t>NONE</t>
        </is>
      </c>
      <c r="AB1984" s="191" t="inlineStr">
        <is>
          <t>NONE</t>
        </is>
      </c>
      <c r="AC1984" s="191" t="n">
        <v>0</v>
      </c>
      <c r="AD1984" s="191" t="inlineStr">
        <is>
          <t>U.S. CISA adds RoundCube Webmail flaws to its Known Exploited Vulnerabilities catalog</t>
        </is>
      </c>
    </row>
    <row r="1985">
      <c r="A1985" s="191" t="inlineStr">
        <is>
          <t>NEWS_ALERT</t>
        </is>
      </c>
      <c r="B1985" s="191" t="inlineStr">
        <is>
          <t>3257d0050f46</t>
        </is>
      </c>
      <c r="C1985" s="191" t="inlineStr">
        <is>
          <t>[TheHackerNews] APT28 Targeted European Entities Using Webhook-Based Macro Malware | Keywords: malware, exploitation, threat actor | The Russia-linked state-sponsored threat actor tracked as APT28 has been attributed to a new campaign targeting specific entities in Western and Centr</t>
        </is>
      </c>
      <c r="D1985" s="191" t="n">
        <v>5</v>
      </c>
      <c r="E1985" s="191" t="inlineStr">
        <is>
          <t>MEDIUM</t>
        </is>
      </c>
      <c r="F1985" s="191" t="n">
        <v>2</v>
      </c>
      <c r="G1985" s="191" t="n">
        <v>1</v>
      </c>
      <c r="H1985" s="191" t="inlineStr">
        <is>
          <t>LOW</t>
        </is>
      </c>
      <c r="I1985" s="191" t="n">
        <v>7</v>
      </c>
      <c r="J1985" s="191" t="inlineStr">
        <is>
          <t>NO</t>
        </is>
      </c>
      <c r="K1985" s="192" t="inlineStr">
        <is>
          <t>https://thehackernews.com/2026/02/apt28-targeted-european-entities-using.html</t>
        </is>
      </c>
      <c r="L1985" s="191" t="inlineStr">
        <is>
          <t>2026-02-23 19:41</t>
        </is>
      </c>
      <c r="M1985" s="191" t="inlineStr">
        <is>
          <t>Monitor</t>
        </is>
      </c>
      <c r="N1985" s="192" t="inlineStr">
        <is>
          <t>https://thehackernews.com/2026/02/apt28-targeted-european-entities-using.html</t>
        </is>
      </c>
      <c r="O1985" s="191" t="inlineStr">
        <is>
          <t>Monitor for developments | Review article for IOCs | Escalate if relevant to your infra</t>
        </is>
      </c>
      <c r="P1985" s="191" t="inlineStr">
        <is>
          <t>Varies - see article</t>
        </is>
      </c>
      <c r="Q1985" s="191" t="inlineStr">
        <is>
          <t>P4</t>
        </is>
      </c>
      <c r="R1985" s="191" t="inlineStr">
        <is>
          <t>📰 Security news alert - monitor for developments | 🔍 Review article for IOCs | 📋 Escalate if relevant to your infrastructure</t>
        </is>
      </c>
      <c r="S1985" s="191" t="inlineStr">
        <is>
          <t>News alert - no IP context</t>
        </is>
      </c>
      <c r="T1985" s="191" t="n">
        <v>0</v>
      </c>
      <c r="U1985" s="191" t="n">
        <v>0</v>
      </c>
      <c r="V1985" s="191" t="inlineStr">
        <is>
          <t>See article for technique context</t>
        </is>
      </c>
      <c r="W1985" s="191" t="n">
        <v>1</v>
      </c>
      <c r="X1985" s="191" t="inlineStr">
        <is>
          <t>LOW (40%)</t>
        </is>
      </c>
      <c r="Y1985" s="191" t="inlineStr">
        <is>
          <t>NONE</t>
        </is>
      </c>
      <c r="Z1985" s="191" t="inlineStr">
        <is>
          <t>NONE</t>
        </is>
      </c>
      <c r="AA1985" s="191" t="inlineStr">
        <is>
          <t>NONE</t>
        </is>
      </c>
      <c r="AB1985" s="191" t="inlineStr">
        <is>
          <t>NONE</t>
        </is>
      </c>
      <c r="AC1985" s="191" t="n">
        <v>0</v>
      </c>
      <c r="AD1985" s="191" t="inlineStr">
        <is>
          <t>APT28 Targeted European Entities Using Webhook-Based Macro Malware</t>
        </is>
      </c>
    </row>
    <row r="1986">
      <c r="A1986" s="191" t="inlineStr">
        <is>
          <t>NEWS_ALERT</t>
        </is>
      </c>
      <c r="B1986" s="191" t="inlineStr">
        <is>
          <t>34b7d3bf4b92</t>
        </is>
      </c>
      <c r="C1986" s="191" t="inlineStr">
        <is>
          <t>[TheHackerNews] Wormable XMRig Campaign Uses BYOVD Exploit and Time-Based Logic Bomb | Keywords: wormable, exploit | Cybersecurity researchers have disclosed details of a new cryptojacking campaign that uses pirated software bundles as lures to deploy a bespoke XMRig</t>
        </is>
      </c>
      <c r="D1986" s="191" t="n">
        <v>5</v>
      </c>
      <c r="E1986" s="191" t="inlineStr">
        <is>
          <t>MEDIUM</t>
        </is>
      </c>
      <c r="F1986" s="191" t="n">
        <v>2</v>
      </c>
      <c r="G1986" s="191" t="n">
        <v>1</v>
      </c>
      <c r="H1986" s="191" t="inlineStr">
        <is>
          <t>LOW</t>
        </is>
      </c>
      <c r="I1986" s="191" t="n">
        <v>7</v>
      </c>
      <c r="J1986" s="191" t="inlineStr">
        <is>
          <t>NO</t>
        </is>
      </c>
      <c r="K1986" s="192" t="inlineStr">
        <is>
          <t>https://thehackernews.com/2026/02/wormable-xmrig-campaign-uses-byovd.html</t>
        </is>
      </c>
      <c r="L1986" s="191" t="inlineStr">
        <is>
          <t>2026-02-23 17:59</t>
        </is>
      </c>
      <c r="M1986" s="191" t="inlineStr">
        <is>
          <t>Monitor</t>
        </is>
      </c>
      <c r="N1986" s="192" t="inlineStr">
        <is>
          <t>https://thehackernews.com/2026/02/wormable-xmrig-campaign-uses-byovd.html</t>
        </is>
      </c>
      <c r="O1986" s="191" t="inlineStr">
        <is>
          <t>Monitor for developments | Review article for IOCs | Escalate if relevant to your infra</t>
        </is>
      </c>
      <c r="P1986" s="191" t="inlineStr">
        <is>
          <t>Varies - see article</t>
        </is>
      </c>
      <c r="Q1986" s="191" t="inlineStr">
        <is>
          <t>P4</t>
        </is>
      </c>
      <c r="R1986" s="191" t="inlineStr">
        <is>
          <t>📰 Security news alert - monitor for developments | 🔍 Review article for IOCs | 📋 Escalate if relevant to your infrastructure</t>
        </is>
      </c>
      <c r="S1986" s="191" t="inlineStr">
        <is>
          <t>News alert - no IP context</t>
        </is>
      </c>
      <c r="T1986" s="191" t="n">
        <v>0</v>
      </c>
      <c r="U1986" s="191" t="n">
        <v>0</v>
      </c>
      <c r="V1986" s="191" t="inlineStr">
        <is>
          <t>See article for technique context</t>
        </is>
      </c>
      <c r="W1986" s="191" t="n">
        <v>1</v>
      </c>
      <c r="X1986" s="191" t="inlineStr">
        <is>
          <t>LOW (40%)</t>
        </is>
      </c>
      <c r="Y1986" s="191" t="inlineStr">
        <is>
          <t>NONE</t>
        </is>
      </c>
      <c r="Z1986" s="191" t="inlineStr">
        <is>
          <t>NONE</t>
        </is>
      </c>
      <c r="AA1986" s="191" t="inlineStr">
        <is>
          <t>NONE</t>
        </is>
      </c>
      <c r="AB1986" s="191" t="inlineStr">
        <is>
          <t>NONE</t>
        </is>
      </c>
      <c r="AC1986" s="191" t="n">
        <v>0</v>
      </c>
      <c r="AD1986" s="191" t="inlineStr">
        <is>
          <t>Wormable XMRig Campaign Uses BYOVD Exploit and Time-Based Logic Bomb</t>
        </is>
      </c>
    </row>
    <row r="1987">
      <c r="A1987" s="191" t="inlineStr">
        <is>
          <t>NEWS_ALERT</t>
        </is>
      </c>
      <c r="B1987" s="191" t="inlineStr">
        <is>
          <t>a40bd4b7536d</t>
        </is>
      </c>
      <c r="C1987" s="191" t="inlineStr">
        <is>
          <t>[TheHackerNews] ⚡ Weekly Recap: Double-Tap Skimmers, PromptSpy AI, 30Tbps DDoS, Docker Malware &amp; More | Keywords: malware | Security news rarely moves in a straight line. This week, it feels more like a series of sharp turns, some happening quietly in the background, others</t>
        </is>
      </c>
      <c r="D1987" s="191" t="n">
        <v>5</v>
      </c>
      <c r="E1987" s="191" t="inlineStr">
        <is>
          <t>MEDIUM</t>
        </is>
      </c>
      <c r="F1987" s="191" t="n">
        <v>2</v>
      </c>
      <c r="G1987" s="191" t="n">
        <v>1</v>
      </c>
      <c r="H1987" s="191" t="inlineStr">
        <is>
          <t>LOW</t>
        </is>
      </c>
      <c r="I1987" s="191" t="n">
        <v>7</v>
      </c>
      <c r="J1987" s="191" t="inlineStr">
        <is>
          <t>NO</t>
        </is>
      </c>
      <c r="K1987" s="192" t="inlineStr">
        <is>
          <t>https://thehackernews.com/2026/02/weekly-recap-double-tap-skimmers.html</t>
        </is>
      </c>
      <c r="L1987" s="191" t="inlineStr">
        <is>
          <t>2026-02-23 13:00</t>
        </is>
      </c>
      <c r="M1987" s="191" t="inlineStr">
        <is>
          <t>Monitor</t>
        </is>
      </c>
      <c r="N1987" s="192" t="inlineStr">
        <is>
          <t>https://thehackernews.com/2026/02/weekly-recap-double-tap-skimmers.html</t>
        </is>
      </c>
      <c r="O1987" s="191" t="inlineStr">
        <is>
          <t>Monitor for developments | Review article for IOCs | Escalate if relevant to your infra</t>
        </is>
      </c>
      <c r="P1987" s="191" t="inlineStr">
        <is>
          <t>Varies - see article</t>
        </is>
      </c>
      <c r="Q1987" s="191" t="inlineStr">
        <is>
          <t>P4</t>
        </is>
      </c>
      <c r="R1987" s="191" t="inlineStr">
        <is>
          <t>📰 Security news alert - monitor for developments | 🔍 Review article for IOCs | 📋 Escalate if relevant to your infrastructure</t>
        </is>
      </c>
      <c r="S1987" s="191" t="inlineStr">
        <is>
          <t>News alert - no IP context</t>
        </is>
      </c>
      <c r="T1987" s="191" t="n">
        <v>0</v>
      </c>
      <c r="U1987" s="191" t="n">
        <v>0</v>
      </c>
      <c r="V1987" s="191" t="inlineStr">
        <is>
          <t>See article for technique context</t>
        </is>
      </c>
      <c r="W1987" s="191" t="n">
        <v>1</v>
      </c>
      <c r="X1987" s="191" t="inlineStr">
        <is>
          <t>LOW (40%)</t>
        </is>
      </c>
      <c r="Y1987" s="191" t="inlineStr">
        <is>
          <t>NONE</t>
        </is>
      </c>
      <c r="Z1987" s="191" t="inlineStr">
        <is>
          <t>NONE</t>
        </is>
      </c>
      <c r="AA1987" s="191" t="inlineStr">
        <is>
          <t>NONE</t>
        </is>
      </c>
      <c r="AB1987" s="191" t="inlineStr">
        <is>
          <t>NONE</t>
        </is>
      </c>
      <c r="AC1987" s="191" t="n">
        <v>0</v>
      </c>
      <c r="AD1987" s="191" t="inlineStr">
        <is>
          <t>⚡ Weekly Recap: Double-Tap Skimmers, PromptSpy AI, 30Tbps DDoS, Docker Malware &amp; More</t>
        </is>
      </c>
    </row>
    <row r="1988">
      <c r="A1988" s="191" t="inlineStr">
        <is>
          <t>NEWS_ALERT</t>
        </is>
      </c>
      <c r="B1988" s="191" t="inlineStr">
        <is>
          <t>02fdd569450c</t>
        </is>
      </c>
      <c r="C1988" s="191" t="inlineStr">
        <is>
          <t>[TheHackerNews] Malicious npm Packages Harvest Crypto Keys, CI Secrets, and API Tokens | Keywords: supply chain | Cybersecurity researchers have disclosed what they say is an active "Shai-Hulud-like" supply chain worm campaign that has leveraged a cluster of at le</t>
        </is>
      </c>
      <c r="D1988" s="191" t="n">
        <v>5</v>
      </c>
      <c r="E1988" s="191" t="inlineStr">
        <is>
          <t>MEDIUM</t>
        </is>
      </c>
      <c r="F1988" s="191" t="n">
        <v>2</v>
      </c>
      <c r="G1988" s="191" t="n">
        <v>1</v>
      </c>
      <c r="H1988" s="191" t="inlineStr">
        <is>
          <t>LOW</t>
        </is>
      </c>
      <c r="I1988" s="191" t="n">
        <v>7</v>
      </c>
      <c r="J1988" s="191" t="inlineStr">
        <is>
          <t>NO</t>
        </is>
      </c>
      <c r="K1988" s="192" t="inlineStr">
        <is>
          <t>https://thehackernews.com/2026/02/malicious-npm-packages-harvest-crypto.html</t>
        </is>
      </c>
      <c r="L1988" s="191" t="inlineStr">
        <is>
          <t>2026-02-23 10:20</t>
        </is>
      </c>
      <c r="M1988" s="191" t="inlineStr">
        <is>
          <t>Monitor</t>
        </is>
      </c>
      <c r="N1988" s="192" t="inlineStr">
        <is>
          <t>https://thehackernews.com/2026/02/malicious-npm-packages-harvest-crypto.html</t>
        </is>
      </c>
      <c r="O1988" s="191" t="inlineStr">
        <is>
          <t>Monitor for developments | Review article for IOCs | Escalate if relevant to your infra</t>
        </is>
      </c>
      <c r="P1988" s="191" t="inlineStr">
        <is>
          <t>Varies - see article</t>
        </is>
      </c>
      <c r="Q1988" s="191" t="inlineStr">
        <is>
          <t>P4</t>
        </is>
      </c>
      <c r="R1988" s="191" t="inlineStr">
        <is>
          <t>📰 Security news alert - monitor for developments | 🔍 Review article for IOCs | 📋 Escalate if relevant to your infrastructure</t>
        </is>
      </c>
      <c r="S1988" s="191" t="inlineStr">
        <is>
          <t>News alert - no IP context</t>
        </is>
      </c>
      <c r="T1988" s="191" t="n">
        <v>0</v>
      </c>
      <c r="U1988" s="191" t="n">
        <v>0</v>
      </c>
      <c r="V1988" s="191" t="inlineStr">
        <is>
          <t>See article for technique context</t>
        </is>
      </c>
      <c r="W1988" s="191" t="n">
        <v>1</v>
      </c>
      <c r="X1988" s="191" t="inlineStr">
        <is>
          <t>LOW (40%)</t>
        </is>
      </c>
      <c r="Y1988" s="191" t="inlineStr">
        <is>
          <t>NONE</t>
        </is>
      </c>
      <c r="Z1988" s="191" t="inlineStr">
        <is>
          <t>NONE</t>
        </is>
      </c>
      <c r="AA1988" s="191" t="inlineStr">
        <is>
          <t>NONE</t>
        </is>
      </c>
      <c r="AB1988" s="191" t="inlineStr">
        <is>
          <t>NONE</t>
        </is>
      </c>
      <c r="AC1988" s="191" t="n">
        <v>0</v>
      </c>
      <c r="AD1988" s="191" t="inlineStr">
        <is>
          <t>Malicious npm Packages Harvest Crypto Keys, CI Secrets, and API Tokens</t>
        </is>
      </c>
    </row>
    <row r="1989">
      <c r="A1989" s="191" t="inlineStr">
        <is>
          <t>NEWS_ALERT</t>
        </is>
      </c>
      <c r="B1989" s="191" t="inlineStr">
        <is>
          <t>9219784c6ddf</t>
        </is>
      </c>
      <c r="C1989" s="191" t="inlineStr">
        <is>
          <t>[TheHackerNews] MuddyWater Targets MENA Organizations with GhostFetch, CHAR, and HTTP_VIP | Keywords: malware | The Iranian hacking group known as MuddyWater (aka Earth Vetala, Mango Sandstorm, and MUDDYCOAST) has targeted several organizations and individuals m</t>
        </is>
      </c>
      <c r="D1989" s="191" t="n">
        <v>5</v>
      </c>
      <c r="E1989" s="191" t="inlineStr">
        <is>
          <t>MEDIUM</t>
        </is>
      </c>
      <c r="F1989" s="191" t="n">
        <v>2</v>
      </c>
      <c r="G1989" s="191" t="n">
        <v>1</v>
      </c>
      <c r="H1989" s="191" t="inlineStr">
        <is>
          <t>LOW</t>
        </is>
      </c>
      <c r="I1989" s="191" t="n">
        <v>7</v>
      </c>
      <c r="J1989" s="191" t="inlineStr">
        <is>
          <t>NO</t>
        </is>
      </c>
      <c r="K1989" s="192" t="inlineStr">
        <is>
          <t>https://thehackernews.com/2026/02/muddywater-targets-mena-organizations.html</t>
        </is>
      </c>
      <c r="L1989" s="191" t="inlineStr">
        <is>
          <t>2026-02-23 07:25</t>
        </is>
      </c>
      <c r="M1989" s="191" t="inlineStr">
        <is>
          <t>Monitor</t>
        </is>
      </c>
      <c r="N1989" s="192" t="inlineStr">
        <is>
          <t>https://thehackernews.com/2026/02/muddywater-targets-mena-organizations.html</t>
        </is>
      </c>
      <c r="O1989" s="191" t="inlineStr">
        <is>
          <t>Monitor for developments | Review article for IOCs | Escalate if relevant to your infra</t>
        </is>
      </c>
      <c r="P1989" s="191" t="inlineStr">
        <is>
          <t>Varies - see article</t>
        </is>
      </c>
      <c r="Q1989" s="191" t="inlineStr">
        <is>
          <t>P4</t>
        </is>
      </c>
      <c r="R1989" s="191" t="inlineStr">
        <is>
          <t>📰 Security news alert - monitor for developments | 🔍 Review article for IOCs | 📋 Escalate if relevant to your infrastructure</t>
        </is>
      </c>
      <c r="S1989" s="191" t="inlineStr">
        <is>
          <t>News alert - no IP context</t>
        </is>
      </c>
      <c r="T1989" s="191" t="n">
        <v>0</v>
      </c>
      <c r="U1989" s="191" t="n">
        <v>0</v>
      </c>
      <c r="V1989" s="191" t="inlineStr">
        <is>
          <t>See article for technique context</t>
        </is>
      </c>
      <c r="W1989" s="191" t="n">
        <v>1</v>
      </c>
      <c r="X1989" s="191" t="inlineStr">
        <is>
          <t>LOW (40%)</t>
        </is>
      </c>
      <c r="Y1989" s="191" t="inlineStr">
        <is>
          <t>NONE</t>
        </is>
      </c>
      <c r="Z1989" s="191" t="inlineStr">
        <is>
          <t>NONE</t>
        </is>
      </c>
      <c r="AA1989" s="191" t="inlineStr">
        <is>
          <t>NONE</t>
        </is>
      </c>
      <c r="AB1989" s="191" t="inlineStr">
        <is>
          <t>NONE</t>
        </is>
      </c>
      <c r="AC1989" s="191" t="n">
        <v>0</v>
      </c>
      <c r="AD1989" s="191" t="inlineStr">
        <is>
          <t>MuddyWater Targets MENA Organizations with GhostFetch, CHAR, and HTTP_VIP</t>
        </is>
      </c>
    </row>
    <row r="1990">
      <c r="A1990" s="191" t="inlineStr">
        <is>
          <t>NEWS_ALERT</t>
        </is>
      </c>
      <c r="B1990" s="191" t="inlineStr">
        <is>
          <t>261ec1f01aef</t>
        </is>
      </c>
      <c r="C1990" s="191" t="inlineStr">
        <is>
          <t>[TheHackerNews] AI-Assisted Threat Actor Compromises 600+ FortiGate Devices in 55 Countries | Keywords: threat actor, exploitation, threat actor | A Russian-speaking, financially motivated threat actor has been observed taking advantage of commercial generative artificial intelligence (AI) servic</t>
        </is>
      </c>
      <c r="D1990" s="191" t="n">
        <v>5</v>
      </c>
      <c r="E1990" s="191" t="inlineStr">
        <is>
          <t>MEDIUM</t>
        </is>
      </c>
      <c r="F1990" s="191" t="n">
        <v>2</v>
      </c>
      <c r="G1990" s="191" t="n">
        <v>1</v>
      </c>
      <c r="H1990" s="191" t="inlineStr">
        <is>
          <t>LOW</t>
        </is>
      </c>
      <c r="I1990" s="191" t="n">
        <v>7</v>
      </c>
      <c r="J1990" s="191" t="inlineStr">
        <is>
          <t>NO</t>
        </is>
      </c>
      <c r="K1990" s="192" t="inlineStr">
        <is>
          <t>https://thehackernews.com/2026/02/ai-assisted-threat-actor-compromises.html</t>
        </is>
      </c>
      <c r="L1990" s="191" t="inlineStr">
        <is>
          <t>2026-02-21 14:49</t>
        </is>
      </c>
      <c r="M1990" s="191" t="inlineStr">
        <is>
          <t>Monitor</t>
        </is>
      </c>
      <c r="N1990" s="192" t="inlineStr">
        <is>
          <t>https://thehackernews.com/2026/02/ai-assisted-threat-actor-compromises.html</t>
        </is>
      </c>
      <c r="O1990" s="191" t="inlineStr">
        <is>
          <t>Monitor for developments | Review article for IOCs | Escalate if relevant to your infra</t>
        </is>
      </c>
      <c r="P1990" s="191" t="inlineStr">
        <is>
          <t>Varies - see article</t>
        </is>
      </c>
      <c r="Q1990" s="191" t="inlineStr">
        <is>
          <t>P4</t>
        </is>
      </c>
      <c r="R1990" s="191" t="inlineStr">
        <is>
          <t>📰 Security news alert - monitor for developments | 🔍 Review article for IOCs | 📋 Escalate if relevant to your infrastructure</t>
        </is>
      </c>
      <c r="S1990" s="191" t="inlineStr">
        <is>
          <t>News alert - no IP context</t>
        </is>
      </c>
      <c r="T1990" s="191" t="n">
        <v>0</v>
      </c>
      <c r="U1990" s="191" t="n">
        <v>0</v>
      </c>
      <c r="V1990" s="191" t="inlineStr">
        <is>
          <t>See article for technique context</t>
        </is>
      </c>
      <c r="W1990" s="191" t="n">
        <v>1</v>
      </c>
      <c r="X1990" s="191" t="inlineStr">
        <is>
          <t>LOW (40%)</t>
        </is>
      </c>
      <c r="Y1990" s="191" t="inlineStr">
        <is>
          <t>NONE</t>
        </is>
      </c>
      <c r="Z1990" s="191" t="inlineStr">
        <is>
          <t>NONE</t>
        </is>
      </c>
      <c r="AA1990" s="191" t="inlineStr">
        <is>
          <t>NONE</t>
        </is>
      </c>
      <c r="AB1990" s="191" t="inlineStr">
        <is>
          <t>NONE</t>
        </is>
      </c>
      <c r="AC1990" s="191" t="n">
        <v>0</v>
      </c>
      <c r="AD1990" s="191" t="inlineStr">
        <is>
          <t>AI-Assisted Threat Actor Compromises 600+ FortiGate Devices in 55 Countries</t>
        </is>
      </c>
    </row>
    <row r="1991">
      <c r="A1991" s="191" t="inlineStr">
        <is>
          <t>NEWS_ALERT</t>
        </is>
      </c>
      <c r="B1991" s="191" t="inlineStr">
        <is>
          <t>4b94ac7dc33a</t>
        </is>
      </c>
      <c r="C1991" s="191" t="inlineStr">
        <is>
          <t>[DarkReading] Iran's MuddyWater Targets Orgs With Fresh Malware as Tensions Mount | Keywords: malware | The long-active Iranian threat group debuted various attack strains and payloads in attacks against organizations in the Middle East and Africa.</t>
        </is>
      </c>
      <c r="D1991" s="191" t="n">
        <v>5</v>
      </c>
      <c r="E1991" s="191" t="inlineStr">
        <is>
          <t>MEDIUM</t>
        </is>
      </c>
      <c r="F1991" s="191" t="n">
        <v>2</v>
      </c>
      <c r="G1991" s="191" t="n">
        <v>1</v>
      </c>
      <c r="H1991" s="191" t="inlineStr">
        <is>
          <t>LOW</t>
        </is>
      </c>
      <c r="I1991" s="191" t="n">
        <v>7</v>
      </c>
      <c r="J1991" s="191" t="inlineStr">
        <is>
          <t>NO</t>
        </is>
      </c>
      <c r="K1991" s="192" t="inlineStr">
        <is>
          <t>https://www.darkreading.com/threat-intelligence/iran-muddywater-new-malware-tensions-mount</t>
        </is>
      </c>
      <c r="L1991" s="191" t="inlineStr">
        <is>
          <t>2026-02-23 20:35</t>
        </is>
      </c>
      <c r="M1991" s="191" t="inlineStr">
        <is>
          <t>Monitor</t>
        </is>
      </c>
      <c r="N1991" s="192" t="inlineStr">
        <is>
          <t>https://www.darkreading.com/threat-intelligence/iran-muddywater-new-malware-tensions-mount</t>
        </is>
      </c>
      <c r="O1991" s="191" t="inlineStr">
        <is>
          <t>Monitor for developments | Review article for IOCs | Escalate if relevant to your infra</t>
        </is>
      </c>
      <c r="P1991" s="191" t="inlineStr">
        <is>
          <t>Varies - see article</t>
        </is>
      </c>
      <c r="Q1991" s="191" t="inlineStr">
        <is>
          <t>P4</t>
        </is>
      </c>
      <c r="R1991" s="191" t="inlineStr">
        <is>
          <t>📰 Security news alert - monitor for developments | 🔍 Review article for IOCs | 📋 Escalate if relevant to your infrastructure</t>
        </is>
      </c>
      <c r="S1991" s="191" t="inlineStr">
        <is>
          <t>News alert - no IP context</t>
        </is>
      </c>
      <c r="T1991" s="191" t="n">
        <v>0</v>
      </c>
      <c r="U1991" s="191" t="n">
        <v>0</v>
      </c>
      <c r="V1991" s="191" t="inlineStr">
        <is>
          <t>See article for technique context</t>
        </is>
      </c>
      <c r="W1991" s="191" t="n">
        <v>1</v>
      </c>
      <c r="X1991" s="191" t="inlineStr">
        <is>
          <t>LOW (40%)</t>
        </is>
      </c>
      <c r="Y1991" s="191" t="inlineStr">
        <is>
          <t>NONE</t>
        </is>
      </c>
      <c r="Z1991" s="191" t="inlineStr">
        <is>
          <t>NONE</t>
        </is>
      </c>
      <c r="AA1991" s="191" t="inlineStr">
        <is>
          <t>NONE</t>
        </is>
      </c>
      <c r="AB1991" s="191" t="inlineStr">
        <is>
          <t>NONE</t>
        </is>
      </c>
      <c r="AC1991" s="191" t="n">
        <v>0</v>
      </c>
      <c r="AD1991" s="191" t="inlineStr">
        <is>
          <t>Iran's MuddyWater Targets Orgs With Fresh Malware as Tensions Mount</t>
        </is>
      </c>
    </row>
    <row r="1992">
      <c r="A1992" s="191" t="inlineStr">
        <is>
          <t>NEWS_ALERT</t>
        </is>
      </c>
      <c r="B1992" s="191" t="inlineStr">
        <is>
          <t>a45e759a5527</t>
        </is>
      </c>
      <c r="C1992" s="191" t="inlineStr">
        <is>
          <t>[SecurityWeek] US Healthcare Diagnostic Firm Says 140,000 Affected by Data Breach | Keywords: breach, ransomware | The Everest ransomware group has taken credit for a hacker attack on Vikor Scientific, now called Vanta Diagnostics. The post US Healthcare Diagnostic</t>
        </is>
      </c>
      <c r="D1992" s="191" t="n">
        <v>5</v>
      </c>
      <c r="E1992" s="191" t="inlineStr">
        <is>
          <t>MEDIUM</t>
        </is>
      </c>
      <c r="F1992" s="191" t="n">
        <v>2</v>
      </c>
      <c r="G1992" s="191" t="n">
        <v>1</v>
      </c>
      <c r="H1992" s="191" t="inlineStr">
        <is>
          <t>LOW</t>
        </is>
      </c>
      <c r="I1992" s="191" t="n">
        <v>7</v>
      </c>
      <c r="J1992" s="191" t="inlineStr">
        <is>
          <t>NO</t>
        </is>
      </c>
      <c r="K1992" s="192" t="inlineStr">
        <is>
          <t>https://www.securityweek.com/us-healthcare-diagnostic-firm-says-140000-affected-by-data-breach/</t>
        </is>
      </c>
      <c r="L1992" s="191" t="inlineStr">
        <is>
          <t>2026-02-23 15:35</t>
        </is>
      </c>
      <c r="M1992" s="191" t="inlineStr">
        <is>
          <t>Monitor</t>
        </is>
      </c>
      <c r="N1992" s="192" t="inlineStr">
        <is>
          <t>https://www.securityweek.com/us-healthcare-diagnostic-firm-says-140000-affected-by-data-breach/</t>
        </is>
      </c>
      <c r="O1992" s="191" t="inlineStr">
        <is>
          <t>Monitor for developments | Review article for IOCs | Escalate if relevant to your infra</t>
        </is>
      </c>
      <c r="P1992" s="191" t="inlineStr">
        <is>
          <t>Varies - see article</t>
        </is>
      </c>
      <c r="Q1992" s="191" t="inlineStr">
        <is>
          <t>P4</t>
        </is>
      </c>
      <c r="R1992" s="191" t="inlineStr">
        <is>
          <t>📰 Security news alert - monitor for developments | 🔍 Review article for IOCs | 📋 Escalate if relevant to your infrastructure</t>
        </is>
      </c>
      <c r="S1992" s="191" t="inlineStr">
        <is>
          <t>News alert - no IP context</t>
        </is>
      </c>
      <c r="T1992" s="191" t="n">
        <v>0</v>
      </c>
      <c r="U1992" s="191" t="n">
        <v>0</v>
      </c>
      <c r="V1992" s="191" t="inlineStr">
        <is>
          <t>See article for technique context</t>
        </is>
      </c>
      <c r="W1992" s="191" t="n">
        <v>1</v>
      </c>
      <c r="X1992" s="191" t="inlineStr">
        <is>
          <t>LOW (40%)</t>
        </is>
      </c>
      <c r="Y1992" s="191" t="inlineStr">
        <is>
          <t>NONE</t>
        </is>
      </c>
      <c r="Z1992" s="191" t="inlineStr">
        <is>
          <t>NONE</t>
        </is>
      </c>
      <c r="AA1992" s="191" t="inlineStr">
        <is>
          <t>NONE</t>
        </is>
      </c>
      <c r="AB1992" s="191" t="inlineStr">
        <is>
          <t>NONE</t>
        </is>
      </c>
      <c r="AC1992" s="191" t="n">
        <v>0</v>
      </c>
      <c r="AD1992" s="191" t="inlineStr">
        <is>
          <t>US Healthcare Diagnostic Firm Says 140,000 Affected by Data Breach</t>
        </is>
      </c>
    </row>
    <row r="1993">
      <c r="A1993" s="191" t="inlineStr">
        <is>
          <t>NEWS_ALERT</t>
        </is>
      </c>
      <c r="B1993" s="191" t="inlineStr">
        <is>
          <t>cf8e010ab5bd</t>
        </is>
      </c>
      <c r="C1993" s="191" t="inlineStr">
        <is>
          <t>[SecurityWeek] Autonomous AI Agents Provide New Class of Supply Chain Attack | Keywords: supply chain | While this campaign targets crypto wallets and steals money, the methodology has far wider potential that could be used by other attackers. The post A</t>
        </is>
      </c>
      <c r="D1993" s="191" t="n">
        <v>5</v>
      </c>
      <c r="E1993" s="191" t="inlineStr">
        <is>
          <t>MEDIUM</t>
        </is>
      </c>
      <c r="F1993" s="191" t="n">
        <v>2</v>
      </c>
      <c r="G1993" s="191" t="n">
        <v>1</v>
      </c>
      <c r="H1993" s="191" t="inlineStr">
        <is>
          <t>LOW</t>
        </is>
      </c>
      <c r="I1993" s="191" t="n">
        <v>7</v>
      </c>
      <c r="J1993" s="191" t="inlineStr">
        <is>
          <t>NO</t>
        </is>
      </c>
      <c r="K1993" s="192" t="inlineStr">
        <is>
          <t>https://www.securityweek.com/autonomous-ai-agents-provide-new-class-of-supply-chain-attack/</t>
        </is>
      </c>
      <c r="L1993" s="191" t="inlineStr">
        <is>
          <t>2026-02-23 12:30</t>
        </is>
      </c>
      <c r="M1993" s="191" t="inlineStr">
        <is>
          <t>Monitor</t>
        </is>
      </c>
      <c r="N1993" s="192" t="inlineStr">
        <is>
          <t>https://www.securityweek.com/autonomous-ai-agents-provide-new-class-of-supply-chain-attack/</t>
        </is>
      </c>
      <c r="O1993" s="191" t="inlineStr">
        <is>
          <t>Monitor for developments | Review article for IOCs | Escalate if relevant to your infra</t>
        </is>
      </c>
      <c r="P1993" s="191" t="inlineStr">
        <is>
          <t>Varies - see article</t>
        </is>
      </c>
      <c r="Q1993" s="191" t="inlineStr">
        <is>
          <t>P4</t>
        </is>
      </c>
      <c r="R1993" s="191" t="inlineStr">
        <is>
          <t>📰 Security news alert - monitor for developments | 🔍 Review article for IOCs | 📋 Escalate if relevant to your infrastructure</t>
        </is>
      </c>
      <c r="S1993" s="191" t="inlineStr">
        <is>
          <t>News alert - no IP context</t>
        </is>
      </c>
      <c r="T1993" s="191" t="n">
        <v>0</v>
      </c>
      <c r="U1993" s="191" t="n">
        <v>0</v>
      </c>
      <c r="V1993" s="191" t="inlineStr">
        <is>
          <t>See article for technique context</t>
        </is>
      </c>
      <c r="W1993" s="191" t="n">
        <v>1</v>
      </c>
      <c r="X1993" s="191" t="inlineStr">
        <is>
          <t>LOW (40%)</t>
        </is>
      </c>
      <c r="Y1993" s="191" t="inlineStr">
        <is>
          <t>NONE</t>
        </is>
      </c>
      <c r="Z1993" s="191" t="inlineStr">
        <is>
          <t>NONE</t>
        </is>
      </c>
      <c r="AA1993" s="191" t="inlineStr">
        <is>
          <t>NONE</t>
        </is>
      </c>
      <c r="AB1993" s="191" t="inlineStr">
        <is>
          <t>NONE</t>
        </is>
      </c>
      <c r="AC1993" s="191" t="n">
        <v>0</v>
      </c>
      <c r="AD1993" s="191" t="inlineStr">
        <is>
          <t>Autonomous AI Agents Provide New Class of Supply Chain Attack</t>
        </is>
      </c>
    </row>
    <row r="1994">
      <c r="A1994" s="191" t="inlineStr">
        <is>
          <t>NEWS_ALERT</t>
        </is>
      </c>
      <c r="B1994" s="191" t="inlineStr">
        <is>
          <t>c3137fbbf790</t>
        </is>
      </c>
      <c r="C1994" s="191" t="inlineStr">
        <is>
          <t>[SecurityWeek] Hundreds of FortiGate Firewalls Hacked in AI-Powered Attacks: AWS | Keywords: exploiting | Threat actors relying on AI have been exploiting exposed ports and weak credentials to take over FortiGate devices. The post Hundreds of FortiGate Fir</t>
        </is>
      </c>
      <c r="D1994" s="191" t="n">
        <v>5</v>
      </c>
      <c r="E1994" s="191" t="inlineStr">
        <is>
          <t>MEDIUM</t>
        </is>
      </c>
      <c r="F1994" s="191" t="n">
        <v>2</v>
      </c>
      <c r="G1994" s="191" t="n">
        <v>1</v>
      </c>
      <c r="H1994" s="191" t="inlineStr">
        <is>
          <t>LOW</t>
        </is>
      </c>
      <c r="I1994" s="191" t="n">
        <v>7</v>
      </c>
      <c r="J1994" s="191" t="inlineStr">
        <is>
          <t>NO</t>
        </is>
      </c>
      <c r="K1994" s="192" t="inlineStr">
        <is>
          <t>https://www.securityweek.com/hundreds-of-fortigate-firewalls-hacked-in-ai-powered-attacks-aws/</t>
        </is>
      </c>
      <c r="L1994" s="191" t="inlineStr">
        <is>
          <t>2026-02-23 11:34</t>
        </is>
      </c>
      <c r="M1994" s="191" t="inlineStr">
        <is>
          <t>Monitor</t>
        </is>
      </c>
      <c r="N1994" s="192" t="inlineStr">
        <is>
          <t>https://www.securityweek.com/hundreds-of-fortigate-firewalls-hacked-in-ai-powered-attacks-aws/</t>
        </is>
      </c>
      <c r="O1994" s="191" t="inlineStr">
        <is>
          <t>Monitor for developments | Review article for IOCs | Escalate if relevant to your infra</t>
        </is>
      </c>
      <c r="P1994" s="191" t="inlineStr">
        <is>
          <t>Varies - see article</t>
        </is>
      </c>
      <c r="Q1994" s="191" t="inlineStr">
        <is>
          <t>P4</t>
        </is>
      </c>
      <c r="R1994" s="191" t="inlineStr">
        <is>
          <t>📰 Security news alert - monitor for developments | 🔍 Review article for IOCs | 📋 Escalate if relevant to your infrastructure</t>
        </is>
      </c>
      <c r="S1994" s="191" t="inlineStr">
        <is>
          <t>News alert - no IP context</t>
        </is>
      </c>
      <c r="T1994" s="191" t="n">
        <v>0</v>
      </c>
      <c r="U1994" s="191" t="n">
        <v>0</v>
      </c>
      <c r="V1994" s="191" t="inlineStr">
        <is>
          <t>See article for technique context</t>
        </is>
      </c>
      <c r="W1994" s="191" t="n">
        <v>1</v>
      </c>
      <c r="X1994" s="191" t="inlineStr">
        <is>
          <t>LOW (40%)</t>
        </is>
      </c>
      <c r="Y1994" s="191" t="inlineStr">
        <is>
          <t>NONE</t>
        </is>
      </c>
      <c r="Z1994" s="191" t="inlineStr">
        <is>
          <t>NONE</t>
        </is>
      </c>
      <c r="AA1994" s="191" t="inlineStr">
        <is>
          <t>NONE</t>
        </is>
      </c>
      <c r="AB1994" s="191" t="inlineStr">
        <is>
          <t>NONE</t>
        </is>
      </c>
      <c r="AC1994" s="191" t="n">
        <v>0</v>
      </c>
      <c r="AD1994" s="191" t="inlineStr">
        <is>
          <t>Hundreds of FortiGate Firewalls Hacked in AI-Powered Attacks: AWS</t>
        </is>
      </c>
    </row>
    <row r="1995">
      <c r="A1995" s="191" t="inlineStr">
        <is>
          <t>NEWS_ALERT</t>
        </is>
      </c>
      <c r="B1995" s="191" t="inlineStr">
        <is>
          <t>42b145e8624a</t>
        </is>
      </c>
      <c r="C1995" s="191" t="inlineStr">
        <is>
          <t>[SecurityWeek] Recent RoundCube Webmail Vulnerability Exploited in Attacks | Keywords: exploited, exploited | Patched in December 2025, the exploited flaw leads to XSS attacks via the animate tags in SVG documents. The post Recent RoundCube Webmail Vulnerabili</t>
        </is>
      </c>
      <c r="D1995" s="191" t="n">
        <v>5</v>
      </c>
      <c r="E1995" s="191" t="inlineStr">
        <is>
          <t>MEDIUM</t>
        </is>
      </c>
      <c r="F1995" s="191" t="n">
        <v>2</v>
      </c>
      <c r="G1995" s="191" t="n">
        <v>1</v>
      </c>
      <c r="H1995" s="191" t="inlineStr">
        <is>
          <t>LOW</t>
        </is>
      </c>
      <c r="I1995" s="191" t="n">
        <v>7</v>
      </c>
      <c r="J1995" s="191" t="inlineStr">
        <is>
          <t>NO</t>
        </is>
      </c>
      <c r="K1995" s="192" t="inlineStr">
        <is>
          <t>https://www.securityweek.com/recent-roundcube-webmail-vulnerability-exploited-in-attacks/</t>
        </is>
      </c>
      <c r="L1995" s="191" t="inlineStr">
        <is>
          <t>2026-02-23 10:47</t>
        </is>
      </c>
      <c r="M1995" s="191" t="inlineStr">
        <is>
          <t>Monitor</t>
        </is>
      </c>
      <c r="N1995" s="192" t="inlineStr">
        <is>
          <t>https://www.securityweek.com/recent-roundcube-webmail-vulnerability-exploited-in-attacks/</t>
        </is>
      </c>
      <c r="O1995" s="191" t="inlineStr">
        <is>
          <t>Monitor for developments | Review article for IOCs | Escalate if relevant to your infra</t>
        </is>
      </c>
      <c r="P1995" s="191" t="inlineStr">
        <is>
          <t>Varies - see article</t>
        </is>
      </c>
      <c r="Q1995" s="191" t="inlineStr">
        <is>
          <t>P4</t>
        </is>
      </c>
      <c r="R1995" s="191" t="inlineStr">
        <is>
          <t>📰 Security news alert - monitor for developments | 🔍 Review article for IOCs | 📋 Escalate if relevant to your infrastructure</t>
        </is>
      </c>
      <c r="S1995" s="191" t="inlineStr">
        <is>
          <t>News alert - no IP context</t>
        </is>
      </c>
      <c r="T1995" s="191" t="n">
        <v>0</v>
      </c>
      <c r="U1995" s="191" t="n">
        <v>0</v>
      </c>
      <c r="V1995" s="191" t="inlineStr">
        <is>
          <t>See article for technique context</t>
        </is>
      </c>
      <c r="W1995" s="191" t="n">
        <v>1</v>
      </c>
      <c r="X1995" s="191" t="inlineStr">
        <is>
          <t>LOW (40%)</t>
        </is>
      </c>
      <c r="Y1995" s="191" t="inlineStr">
        <is>
          <t>NONE</t>
        </is>
      </c>
      <c r="Z1995" s="191" t="inlineStr">
        <is>
          <t>NONE</t>
        </is>
      </c>
      <c r="AA1995" s="191" t="inlineStr">
        <is>
          <t>NONE</t>
        </is>
      </c>
      <c r="AB1995" s="191" t="inlineStr">
        <is>
          <t>NONE</t>
        </is>
      </c>
      <c r="AC1995" s="191" t="n">
        <v>0</v>
      </c>
      <c r="AD1995" s="191" t="inlineStr">
        <is>
          <t>Recent RoundCube Webmail Vulnerability Exploited in Attacks</t>
        </is>
      </c>
    </row>
    <row r="1996">
      <c r="A1996" s="191" t="inlineStr">
        <is>
          <t>NEWS_ALERT</t>
        </is>
      </c>
      <c r="B1996" s="191" t="inlineStr">
        <is>
          <t>0e05a697881c</t>
        </is>
      </c>
      <c r="C1996" s="191" t="inlineStr">
        <is>
          <t>[SecurityWeek] Mississippi Hospital System Closes All Clinics After Ransomware Attack | Keywords: ransomware, ransomware | A ransomware attack forced the University of Mississippi Medical Center to close all of its roughly three dozen clinics around the state and cancel el</t>
        </is>
      </c>
      <c r="D1996" s="191" t="n">
        <v>5</v>
      </c>
      <c r="E1996" s="191" t="inlineStr">
        <is>
          <t>MEDIUM</t>
        </is>
      </c>
      <c r="F1996" s="191" t="n">
        <v>2</v>
      </c>
      <c r="G1996" s="191" t="n">
        <v>1</v>
      </c>
      <c r="H1996" s="191" t="inlineStr">
        <is>
          <t>LOW</t>
        </is>
      </c>
      <c r="I1996" s="191" t="n">
        <v>7</v>
      </c>
      <c r="J1996" s="191" t="inlineStr">
        <is>
          <t>NO</t>
        </is>
      </c>
      <c r="K1996" s="192" t="inlineStr">
        <is>
          <t>https://www.securityweek.com/mississippi-hospital-system-closes-all-clinics-after-ransomware-attack/</t>
        </is>
      </c>
      <c r="L1996" s="191" t="inlineStr">
        <is>
          <t>2026-02-23 10:29</t>
        </is>
      </c>
      <c r="M1996" s="191" t="inlineStr">
        <is>
          <t>Monitor</t>
        </is>
      </c>
      <c r="N1996" s="192" t="inlineStr">
        <is>
          <t>https://www.securityweek.com/mississippi-hospital-system-closes-all-clinics-after-ransomware-attack/</t>
        </is>
      </c>
      <c r="O1996" s="191" t="inlineStr">
        <is>
          <t>Monitor for developments | Review article for IOCs | Escalate if relevant to your infra</t>
        </is>
      </c>
      <c r="P1996" s="191" t="inlineStr">
        <is>
          <t>Varies - see article</t>
        </is>
      </c>
      <c r="Q1996" s="191" t="inlineStr">
        <is>
          <t>P4</t>
        </is>
      </c>
      <c r="R1996" s="191" t="inlineStr">
        <is>
          <t>📰 Security news alert - monitor for developments | 🔍 Review article for IOCs | 📋 Escalate if relevant to your infrastructure</t>
        </is>
      </c>
      <c r="S1996" s="191" t="inlineStr">
        <is>
          <t>News alert - no IP context</t>
        </is>
      </c>
      <c r="T1996" s="191" t="n">
        <v>0</v>
      </c>
      <c r="U1996" s="191" t="n">
        <v>0</v>
      </c>
      <c r="V1996" s="191" t="inlineStr">
        <is>
          <t>See article for technique context</t>
        </is>
      </c>
      <c r="W1996" s="191" t="n">
        <v>1</v>
      </c>
      <c r="X1996" s="191" t="inlineStr">
        <is>
          <t>LOW (40%)</t>
        </is>
      </c>
      <c r="Y1996" s="191" t="inlineStr">
        <is>
          <t>NONE</t>
        </is>
      </c>
      <c r="Z1996" s="191" t="inlineStr">
        <is>
          <t>NONE</t>
        </is>
      </c>
      <c r="AA1996" s="191" t="inlineStr">
        <is>
          <t>NONE</t>
        </is>
      </c>
      <c r="AB1996" s="191" t="inlineStr">
        <is>
          <t>NONE</t>
        </is>
      </c>
      <c r="AC1996" s="191" t="n">
        <v>0</v>
      </c>
      <c r="AD1996" s="191" t="inlineStr">
        <is>
          <t>Mississippi Hospital System Closes All Clinics After Ransomware Attack</t>
        </is>
      </c>
    </row>
    <row r="1997">
      <c r="A1997" s="191" t="inlineStr">
        <is>
          <t>NEWS_ALERT</t>
        </is>
      </c>
      <c r="B1997" s="191" t="inlineStr">
        <is>
          <t>48b60ab128a8</t>
        </is>
      </c>
      <c r="C1997" s="191" t="inlineStr">
        <is>
          <t>[SecurityWeek] PayPal Data Breach Led to Fraudulent Transactions | Keywords: breach | PayPal blamed an application error for the exposure of customer personal information for nearly 6 months. The post PayPal Data Breach Led to Fraudulen</t>
        </is>
      </c>
      <c r="D1997" s="191" t="n">
        <v>5</v>
      </c>
      <c r="E1997" s="191" t="inlineStr">
        <is>
          <t>MEDIUM</t>
        </is>
      </c>
      <c r="F1997" s="191" t="n">
        <v>2</v>
      </c>
      <c r="G1997" s="191" t="n">
        <v>1</v>
      </c>
      <c r="H1997" s="191" t="inlineStr">
        <is>
          <t>LOW</t>
        </is>
      </c>
      <c r="I1997" s="191" t="n">
        <v>7</v>
      </c>
      <c r="J1997" s="191" t="inlineStr">
        <is>
          <t>NO</t>
        </is>
      </c>
      <c r="K1997" s="192" t="inlineStr">
        <is>
          <t>https://www.securityweek.com/paypal-data-breach-led-to-fraudulent-transactions/</t>
        </is>
      </c>
      <c r="L1997" s="191" t="inlineStr">
        <is>
          <t>2026-02-23 09:13</t>
        </is>
      </c>
      <c r="M1997" s="191" t="inlineStr">
        <is>
          <t>Monitor</t>
        </is>
      </c>
      <c r="N1997" s="192" t="inlineStr">
        <is>
          <t>https://www.securityweek.com/paypal-data-breach-led-to-fraudulent-transactions/</t>
        </is>
      </c>
      <c r="O1997" s="191" t="inlineStr">
        <is>
          <t>Monitor for developments | Review article for IOCs | Escalate if relevant to your infra</t>
        </is>
      </c>
      <c r="P1997" s="191" t="inlineStr">
        <is>
          <t>Varies - see article</t>
        </is>
      </c>
      <c r="Q1997" s="191" t="inlineStr">
        <is>
          <t>P4</t>
        </is>
      </c>
      <c r="R1997" s="191" t="inlineStr">
        <is>
          <t>📰 Security news alert - monitor for developments | 🔍 Review article for IOCs | 📋 Escalate if relevant to your infrastructure</t>
        </is>
      </c>
      <c r="S1997" s="191" t="inlineStr">
        <is>
          <t>News alert - no IP context</t>
        </is>
      </c>
      <c r="T1997" s="191" t="n">
        <v>0</v>
      </c>
      <c r="U1997" s="191" t="n">
        <v>0</v>
      </c>
      <c r="V1997" s="191" t="inlineStr">
        <is>
          <t>See article for technique context</t>
        </is>
      </c>
      <c r="W1997" s="191" t="n">
        <v>1</v>
      </c>
      <c r="X1997" s="191" t="inlineStr">
        <is>
          <t>LOW (40%)</t>
        </is>
      </c>
      <c r="Y1997" s="191" t="inlineStr">
        <is>
          <t>NONE</t>
        </is>
      </c>
      <c r="Z1997" s="191" t="inlineStr">
        <is>
          <t>NONE</t>
        </is>
      </c>
      <c r="AA1997" s="191" t="inlineStr">
        <is>
          <t>NONE</t>
        </is>
      </c>
      <c r="AB1997" s="191" t="inlineStr">
        <is>
          <t>NONE</t>
        </is>
      </c>
      <c r="AC1997" s="191" t="n">
        <v>0</v>
      </c>
      <c r="AD1997" s="191" t="inlineStr">
        <is>
          <t>PayPal Data Breach Led to Fraudulent Transactions</t>
        </is>
      </c>
    </row>
    <row r="1998">
      <c r="A1998" s="191" t="inlineStr">
        <is>
          <t>NEWS_ALERT</t>
        </is>
      </c>
      <c r="B1998" s="191" t="inlineStr">
        <is>
          <t>cf1a85460441</t>
        </is>
      </c>
      <c r="C1998" s="191" t="inlineStr">
        <is>
          <t>[SANS-ISC-RSS] Another day, another malicious JPEG, (Mon, Feb 23rd) | Keywords: malware | In his last two diaries, Xavier discussed recent malware campaigns that download JPEG files with embedded malicious payload&amp;#x5b; 1 , 2 &amp;#x5d;. At tha</t>
        </is>
      </c>
      <c r="D1998" s="191" t="n">
        <v>5</v>
      </c>
      <c r="E1998" s="191" t="inlineStr">
        <is>
          <t>MEDIUM</t>
        </is>
      </c>
      <c r="F1998" s="191" t="n">
        <v>2</v>
      </c>
      <c r="G1998" s="191" t="n">
        <v>1</v>
      </c>
      <c r="H1998" s="191" t="inlineStr">
        <is>
          <t>LOW</t>
        </is>
      </c>
      <c r="I1998" s="191" t="n">
        <v>7</v>
      </c>
      <c r="J1998" s="191" t="inlineStr">
        <is>
          <t>NO</t>
        </is>
      </c>
      <c r="K1998" s="192" t="inlineStr">
        <is>
          <t>https://isc.sans.edu/diary/rss/32738</t>
        </is>
      </c>
      <c r="L1998" s="191" t="inlineStr">
        <is>
          <t>2026-02-23 14:26</t>
        </is>
      </c>
      <c r="M1998" s="191" t="inlineStr">
        <is>
          <t>Monitor</t>
        </is>
      </c>
      <c r="N1998" s="192" t="inlineStr">
        <is>
          <t>https://isc.sans.edu/diary/rss/32738</t>
        </is>
      </c>
      <c r="O1998" s="191" t="inlineStr">
        <is>
          <t>Monitor for developments | Review article for IOCs | Escalate if relevant to your infra</t>
        </is>
      </c>
      <c r="P1998" s="191" t="inlineStr">
        <is>
          <t>Varies - see article</t>
        </is>
      </c>
      <c r="Q1998" s="191" t="inlineStr">
        <is>
          <t>P4</t>
        </is>
      </c>
      <c r="R1998" s="191" t="inlineStr">
        <is>
          <t>📰 Security news alert - monitor for developments | 🔍 Review article for IOCs | 📋 Escalate if relevant to your infrastructure</t>
        </is>
      </c>
      <c r="S1998" s="191" t="inlineStr">
        <is>
          <t>News alert - no IP context</t>
        </is>
      </c>
      <c r="T1998" s="191" t="n">
        <v>0</v>
      </c>
      <c r="U1998" s="191" t="n">
        <v>0</v>
      </c>
      <c r="V1998" s="191" t="inlineStr">
        <is>
          <t>See article for technique context</t>
        </is>
      </c>
      <c r="W1998" s="191" t="n">
        <v>1</v>
      </c>
      <c r="X1998" s="191" t="inlineStr">
        <is>
          <t>LOW (40%)</t>
        </is>
      </c>
      <c r="Y1998" s="191" t="inlineStr">
        <is>
          <t>NONE</t>
        </is>
      </c>
      <c r="Z1998" s="191" t="inlineStr">
        <is>
          <t>NONE</t>
        </is>
      </c>
      <c r="AA1998" s="191" t="inlineStr">
        <is>
          <t>NONE</t>
        </is>
      </c>
      <c r="AB1998" s="191" t="inlineStr">
        <is>
          <t>NONE</t>
        </is>
      </c>
      <c r="AC1998" s="191" t="n">
        <v>0</v>
      </c>
      <c r="AD1998" s="191" t="inlineStr">
        <is>
          <t>Another day, another malicious JPEG, (Mon, Feb 23rd)</t>
        </is>
      </c>
    </row>
    <row r="1999">
      <c r="A1999" s="191" t="inlineStr">
        <is>
          <t>NEWS_ALERT</t>
        </is>
      </c>
      <c r="B1999" s="191" t="inlineStr">
        <is>
          <t>0de8e92a57b7</t>
        </is>
      </c>
      <c r="C1999" s="191" t="inlineStr">
        <is>
          <t>[SANS-ISC-RSS] Japanese-Language Phishing Emails, (Sat, Feb 21st) | Keywords: phishing | Introduction &amp;#xd;</t>
        </is>
      </c>
      <c r="D1999" s="191" t="n">
        <v>5</v>
      </c>
      <c r="E1999" s="191" t="inlineStr">
        <is>
          <t>MEDIUM</t>
        </is>
      </c>
      <c r="F1999" s="191" t="n">
        <v>2</v>
      </c>
      <c r="G1999" s="191" t="n">
        <v>1</v>
      </c>
      <c r="H1999" s="191" t="inlineStr">
        <is>
          <t>LOW</t>
        </is>
      </c>
      <c r="I1999" s="191" t="n">
        <v>7</v>
      </c>
      <c r="J1999" s="191" t="inlineStr">
        <is>
          <t>NO</t>
        </is>
      </c>
      <c r="K1999" s="192" t="inlineStr">
        <is>
          <t>https://isc.sans.edu/diary/rss/32734</t>
        </is>
      </c>
      <c r="L1999" s="191" t="inlineStr">
        <is>
          <t>2026-02-21 06:03</t>
        </is>
      </c>
      <c r="M1999" s="191" t="inlineStr">
        <is>
          <t>Monitor</t>
        </is>
      </c>
      <c r="N1999" s="192" t="inlineStr">
        <is>
          <t>https://isc.sans.edu/diary/rss/32734</t>
        </is>
      </c>
      <c r="O1999" s="191" t="inlineStr">
        <is>
          <t>Monitor for developments | Review article for IOCs | Escalate if relevant to your infra</t>
        </is>
      </c>
      <c r="P1999" s="191" t="inlineStr">
        <is>
          <t>Varies - see article</t>
        </is>
      </c>
      <c r="Q1999" s="191" t="inlineStr">
        <is>
          <t>P4</t>
        </is>
      </c>
      <c r="R1999" s="191" t="inlineStr">
        <is>
          <t>📰 Security news alert - monitor for developments | 🔍 Review article for IOCs | 📋 Escalate if relevant to your infrastructure</t>
        </is>
      </c>
      <c r="S1999" s="191" t="inlineStr">
        <is>
          <t>News alert - no IP context</t>
        </is>
      </c>
      <c r="T1999" s="191" t="n">
        <v>0</v>
      </c>
      <c r="U1999" s="191" t="n">
        <v>0</v>
      </c>
      <c r="V1999" s="191" t="inlineStr">
        <is>
          <t>See article for technique context</t>
        </is>
      </c>
      <c r="W1999" s="191" t="n">
        <v>1</v>
      </c>
      <c r="X1999" s="191" t="inlineStr">
        <is>
          <t>LOW (40%)</t>
        </is>
      </c>
      <c r="Y1999" s="191" t="inlineStr">
        <is>
          <t>NONE</t>
        </is>
      </c>
      <c r="Z1999" s="191" t="inlineStr">
        <is>
          <t>NONE</t>
        </is>
      </c>
      <c r="AA1999" s="191" t="inlineStr">
        <is>
          <t>NONE</t>
        </is>
      </c>
      <c r="AB1999" s="191" t="inlineStr">
        <is>
          <t>NONE</t>
        </is>
      </c>
      <c r="AC1999" s="191" t="n">
        <v>0</v>
      </c>
      <c r="AD1999" s="191" t="inlineStr">
        <is>
          <t>Japanese-Language Phishing Emails, (Sat, Feb 21st)</t>
        </is>
      </c>
    </row>
    <row r="2000">
      <c r="A2000" s="191" t="inlineStr">
        <is>
          <t>NEWS_ALERT</t>
        </is>
      </c>
      <c r="B2000" s="191" t="inlineStr">
        <is>
          <t>d971ddac0357</t>
        </is>
      </c>
      <c r="C2000" s="191" t="inlineStr">
        <is>
          <t>[HackRead] Multiple Zero-Day Flaws in PDF Platforms Enable XSS and One-Click Attacks | Keywords: zero-day, rce, zero-day | 16 zero-day security flaws found in Foxit and Apryse PDF platforms could lead to account takeover and RCE. Learn how AI identified these risks.</t>
        </is>
      </c>
      <c r="D2000" s="191" t="n">
        <v>5</v>
      </c>
      <c r="E2000" s="191" t="inlineStr">
        <is>
          <t>MEDIUM</t>
        </is>
      </c>
      <c r="F2000" s="191" t="n">
        <v>2</v>
      </c>
      <c r="G2000" s="191" t="n">
        <v>1</v>
      </c>
      <c r="H2000" s="191" t="inlineStr">
        <is>
          <t>LOW</t>
        </is>
      </c>
      <c r="I2000" s="191" t="n">
        <v>7</v>
      </c>
      <c r="J2000" s="191" t="inlineStr">
        <is>
          <t>NO</t>
        </is>
      </c>
      <c r="K2000" s="192" t="inlineStr">
        <is>
          <t>https://hackread.com/zero-day-flaws-pdf-platforms-xss-one-click-attacks/</t>
        </is>
      </c>
      <c r="L2000" s="191" t="inlineStr">
        <is>
          <t>2026-02-23 17:27</t>
        </is>
      </c>
      <c r="M2000" s="191" t="inlineStr">
        <is>
          <t>Monitor</t>
        </is>
      </c>
      <c r="N2000" s="192" t="inlineStr">
        <is>
          <t>https://hackread.com/zero-day-flaws-pdf-platforms-xss-one-click-attacks/</t>
        </is>
      </c>
      <c r="O2000" s="191" t="inlineStr">
        <is>
          <t>Monitor for developments | Review article for IOCs | Escalate if relevant to your infra</t>
        </is>
      </c>
      <c r="P2000" s="191" t="inlineStr">
        <is>
          <t>Varies - see article</t>
        </is>
      </c>
      <c r="Q2000" s="191" t="inlineStr">
        <is>
          <t>P4</t>
        </is>
      </c>
      <c r="R2000" s="191" t="inlineStr">
        <is>
          <t>📰 Security news alert - monitor for developments | 🔍 Review article for IOCs | 📋 Escalate if relevant to your infrastructure</t>
        </is>
      </c>
      <c r="S2000" s="191" t="inlineStr">
        <is>
          <t>News alert - no IP context</t>
        </is>
      </c>
      <c r="T2000" s="191" t="n">
        <v>0</v>
      </c>
      <c r="U2000" s="191" t="n">
        <v>0</v>
      </c>
      <c r="V2000" s="191" t="inlineStr">
        <is>
          <t>See article for technique context</t>
        </is>
      </c>
      <c r="W2000" s="191" t="n">
        <v>1</v>
      </c>
      <c r="X2000" s="191" t="inlineStr">
        <is>
          <t>LOW (40%)</t>
        </is>
      </c>
      <c r="Y2000" s="191" t="inlineStr">
        <is>
          <t>NONE</t>
        </is>
      </c>
      <c r="Z2000" s="191" t="inlineStr">
        <is>
          <t>NONE</t>
        </is>
      </c>
      <c r="AA2000" s="191" t="inlineStr">
        <is>
          <t>NONE</t>
        </is>
      </c>
      <c r="AB2000" s="191" t="inlineStr">
        <is>
          <t>NONE</t>
        </is>
      </c>
      <c r="AC2000" s="191" t="n">
        <v>0</v>
      </c>
      <c r="AD2000" s="191" t="inlineStr">
        <is>
          <t>Multiple Zero-Day Flaws in PDF Platforms Enable XSS and One-Click Attacks</t>
        </is>
      </c>
    </row>
    <row r="2001">
      <c r="A2001" s="191" t="inlineStr">
        <is>
          <t>NEWS_ALERT</t>
        </is>
      </c>
      <c r="B2001" s="191" t="inlineStr">
        <is>
          <t>24d5524790dd</t>
        </is>
      </c>
      <c r="C2001" s="191" t="inlineStr">
        <is>
          <t>[HackRead] Hackers Use Excel Exploit to Hide XWorm 7.2 in JPEG Files, Hijack PCs | Keywords: malware, phishing, exploit | A new phishing campaign is spreading XWorm 7.2 via malicious Excel files, hiding the malware in Windows processes, and using AES encryption to steal p</t>
        </is>
      </c>
      <c r="D2001" s="191" t="n">
        <v>5</v>
      </c>
      <c r="E2001" s="191" t="inlineStr">
        <is>
          <t>MEDIUM</t>
        </is>
      </c>
      <c r="F2001" s="191" t="n">
        <v>2</v>
      </c>
      <c r="G2001" s="191" t="n">
        <v>1</v>
      </c>
      <c r="H2001" s="191" t="inlineStr">
        <is>
          <t>LOW</t>
        </is>
      </c>
      <c r="I2001" s="191" t="n">
        <v>7</v>
      </c>
      <c r="J2001" s="191" t="inlineStr">
        <is>
          <t>NO</t>
        </is>
      </c>
      <c r="K2001" s="192" t="inlineStr">
        <is>
          <t>https://hackread.com/hackers-excel-exploit-xworm-7-2-jpeg-files-hijack-pcs/</t>
        </is>
      </c>
      <c r="L2001" s="191" t="inlineStr">
        <is>
          <t>2026-02-23 11:54</t>
        </is>
      </c>
      <c r="M2001" s="191" t="inlineStr">
        <is>
          <t>Monitor</t>
        </is>
      </c>
      <c r="N2001" s="192" t="inlineStr">
        <is>
          <t>https://hackread.com/hackers-excel-exploit-xworm-7-2-jpeg-files-hijack-pcs/</t>
        </is>
      </c>
      <c r="O2001" s="191" t="inlineStr">
        <is>
          <t>Monitor for developments | Review article for IOCs | Escalate if relevant to your infra</t>
        </is>
      </c>
      <c r="P2001" s="191" t="inlineStr">
        <is>
          <t>Varies - see article</t>
        </is>
      </c>
      <c r="Q2001" s="191" t="inlineStr">
        <is>
          <t>P4</t>
        </is>
      </c>
      <c r="R2001" s="191" t="inlineStr">
        <is>
          <t>📰 Security news alert - monitor for developments | 🔍 Review article for IOCs | 📋 Escalate if relevant to your infrastructure</t>
        </is>
      </c>
      <c r="S2001" s="191" t="inlineStr">
        <is>
          <t>News alert - no IP context</t>
        </is>
      </c>
      <c r="T2001" s="191" t="n">
        <v>0</v>
      </c>
      <c r="U2001" s="191" t="n">
        <v>0</v>
      </c>
      <c r="V2001" s="191" t="inlineStr">
        <is>
          <t>See article for technique context</t>
        </is>
      </c>
      <c r="W2001" s="191" t="n">
        <v>1</v>
      </c>
      <c r="X2001" s="191" t="inlineStr">
        <is>
          <t>LOW (40%)</t>
        </is>
      </c>
      <c r="Y2001" s="191" t="inlineStr">
        <is>
          <t>NONE</t>
        </is>
      </c>
      <c r="Z2001" s="191" t="inlineStr">
        <is>
          <t>NONE</t>
        </is>
      </c>
      <c r="AA2001" s="191" t="inlineStr">
        <is>
          <t>NONE</t>
        </is>
      </c>
      <c r="AB2001" s="191" t="inlineStr">
        <is>
          <t>NONE</t>
        </is>
      </c>
      <c r="AC2001" s="191" t="n">
        <v>0</v>
      </c>
      <c r="AD2001" s="191" t="inlineStr">
        <is>
          <t>Hackers Use Excel Exploit to Hide XWorm 7.2 in JPEG Files, Hijack PCs</t>
        </is>
      </c>
    </row>
    <row r="2002">
      <c r="A2002" s="191" t="inlineStr">
        <is>
          <t>NEWS_ALERT</t>
        </is>
      </c>
      <c r="B2002" s="191" t="inlineStr">
        <is>
          <t>64d6b0a3722c</t>
        </is>
      </c>
      <c r="C2002" s="191" t="inlineStr">
        <is>
          <t>[HackRead] Hackers Hide Pulsar RAT Inside PNG Images in New NPM Supply Chain Attack | Keywords: supply chain | Cybersecurity researchers at Veracode reveal a typosquatting attack that disguises Pulsar RAT as images to bypass Windows security and antivirus progr</t>
        </is>
      </c>
      <c r="D2002" s="191" t="n">
        <v>5</v>
      </c>
      <c r="E2002" s="191" t="inlineStr">
        <is>
          <t>MEDIUM</t>
        </is>
      </c>
      <c r="F2002" s="191" t="n">
        <v>2</v>
      </c>
      <c r="G2002" s="191" t="n">
        <v>1</v>
      </c>
      <c r="H2002" s="191" t="inlineStr">
        <is>
          <t>LOW</t>
        </is>
      </c>
      <c r="I2002" s="191" t="n">
        <v>7</v>
      </c>
      <c r="J2002" s="191" t="inlineStr">
        <is>
          <t>NO</t>
        </is>
      </c>
      <c r="K2002" s="192" t="inlineStr">
        <is>
          <t>https://hackread.com/hackers-pulsar-rat-png-images-npm-supply-chain-attack/</t>
        </is>
      </c>
      <c r="L2002" s="191" t="inlineStr">
        <is>
          <t>2026-02-22 13:08</t>
        </is>
      </c>
      <c r="M2002" s="191" t="inlineStr">
        <is>
          <t>Monitor</t>
        </is>
      </c>
      <c r="N2002" s="192" t="inlineStr">
        <is>
          <t>https://hackread.com/hackers-pulsar-rat-png-images-npm-supply-chain-attack/</t>
        </is>
      </c>
      <c r="O2002" s="191" t="inlineStr">
        <is>
          <t>Monitor for developments | Review article for IOCs | Escalate if relevant to your infra</t>
        </is>
      </c>
      <c r="P2002" s="191" t="inlineStr">
        <is>
          <t>Varies - see article</t>
        </is>
      </c>
      <c r="Q2002" s="191" t="inlineStr">
        <is>
          <t>P4</t>
        </is>
      </c>
      <c r="R2002" s="191" t="inlineStr">
        <is>
          <t>📰 Security news alert - monitor for developments | 🔍 Review article for IOCs | 📋 Escalate if relevant to your infrastructure</t>
        </is>
      </c>
      <c r="S2002" s="191" t="inlineStr">
        <is>
          <t>News alert - no IP context</t>
        </is>
      </c>
      <c r="T2002" s="191" t="n">
        <v>0</v>
      </c>
      <c r="U2002" s="191" t="n">
        <v>0</v>
      </c>
      <c r="V2002" s="191" t="inlineStr">
        <is>
          <t>See article for technique context</t>
        </is>
      </c>
      <c r="W2002" s="191" t="n">
        <v>1</v>
      </c>
      <c r="X2002" s="191" t="inlineStr">
        <is>
          <t>LOW (40%)</t>
        </is>
      </c>
      <c r="Y2002" s="191" t="inlineStr">
        <is>
          <t>NONE</t>
        </is>
      </c>
      <c r="Z2002" s="191" t="inlineStr">
        <is>
          <t>NONE</t>
        </is>
      </c>
      <c r="AA2002" s="191" t="inlineStr">
        <is>
          <t>NONE</t>
        </is>
      </c>
      <c r="AB2002" s="191" t="inlineStr">
        <is>
          <t>NONE</t>
        </is>
      </c>
      <c r="AC2002" s="191" t="n">
        <v>0</v>
      </c>
      <c r="AD2002" s="191" t="inlineStr">
        <is>
          <t>Hackers Hide Pulsar RAT Inside PNG Images in New NPM Supply Chain Attack</t>
        </is>
      </c>
    </row>
    <row r="2003">
      <c r="A2003" s="191" t="inlineStr">
        <is>
          <t>NEWS_ALERT</t>
        </is>
      </c>
      <c r="B2003" s="191" t="inlineStr">
        <is>
          <t>75935f41b40b</t>
        </is>
      </c>
      <c r="C2003" s="191" t="inlineStr">
        <is>
          <t>[InfoSecurityMagazine] Shai-Hulud-Like Worm Targets Developers via npm and AI Tools | Keywords: malware, supply chain | Supply chain worm mimicking Shai-Hulud malware spread via malicious npm packages, targeting AI tools has been identified by security researchers</t>
        </is>
      </c>
      <c r="D2003" s="191" t="n">
        <v>5</v>
      </c>
      <c r="E2003" s="191" t="inlineStr">
        <is>
          <t>MEDIUM</t>
        </is>
      </c>
      <c r="F2003" s="191" t="n">
        <v>2</v>
      </c>
      <c r="G2003" s="191" t="n">
        <v>1</v>
      </c>
      <c r="H2003" s="191" t="inlineStr">
        <is>
          <t>LOW</t>
        </is>
      </c>
      <c r="I2003" s="191" t="n">
        <v>7</v>
      </c>
      <c r="J2003" s="191" t="inlineStr">
        <is>
          <t>NO</t>
        </is>
      </c>
      <c r="K2003" s="192" t="inlineStr">
        <is>
          <t>https://www.infosecurity-magazine.com/news/shai-hulud-like-worm-devs-npm-ai/</t>
        </is>
      </c>
      <c r="L2003" s="191" t="inlineStr">
        <is>
          <t>2026-02-23 16:00</t>
        </is>
      </c>
      <c r="M2003" s="191" t="inlineStr">
        <is>
          <t>Monitor</t>
        </is>
      </c>
      <c r="N2003" s="192" t="inlineStr">
        <is>
          <t>https://www.infosecurity-magazine.com/news/shai-hulud-like-worm-devs-npm-ai/</t>
        </is>
      </c>
      <c r="O2003" s="191" t="inlineStr">
        <is>
          <t>Monitor for developments | Review article for IOCs | Escalate if relevant to your infra</t>
        </is>
      </c>
      <c r="P2003" s="191" t="inlineStr">
        <is>
          <t>Varies - see article</t>
        </is>
      </c>
      <c r="Q2003" s="191" t="inlineStr">
        <is>
          <t>P4</t>
        </is>
      </c>
      <c r="R2003" s="191" t="inlineStr">
        <is>
          <t>📰 Security news alert - monitor for developments | 🔍 Review article for IOCs | 📋 Escalate if relevant to your infrastructure</t>
        </is>
      </c>
      <c r="S2003" s="191" t="inlineStr">
        <is>
          <t>News alert - no IP context</t>
        </is>
      </c>
      <c r="T2003" s="191" t="n">
        <v>0</v>
      </c>
      <c r="U2003" s="191" t="n">
        <v>0</v>
      </c>
      <c r="V2003" s="191" t="inlineStr">
        <is>
          <t>See article for technique context</t>
        </is>
      </c>
      <c r="W2003" s="191" t="n">
        <v>1</v>
      </c>
      <c r="X2003" s="191" t="inlineStr">
        <is>
          <t>LOW (40%)</t>
        </is>
      </c>
      <c r="Y2003" s="191" t="inlineStr">
        <is>
          <t>NONE</t>
        </is>
      </c>
      <c r="Z2003" s="191" t="inlineStr">
        <is>
          <t>NONE</t>
        </is>
      </c>
      <c r="AA2003" s="191" t="inlineStr">
        <is>
          <t>NONE</t>
        </is>
      </c>
      <c r="AB2003" s="191" t="inlineStr">
        <is>
          <t>NONE</t>
        </is>
      </c>
      <c r="AC2003" s="191" t="n">
        <v>0</v>
      </c>
      <c r="AD2003" s="191" t="inlineStr">
        <is>
          <t>Shai-Hulud-Like Worm Targets Developers via npm and AI Tools</t>
        </is>
      </c>
    </row>
    <row r="2004">
      <c r="A2004" s="191" t="inlineStr">
        <is>
          <t>NEWS_ALERT</t>
        </is>
      </c>
      <c r="B2004" s="191" t="inlineStr">
        <is>
          <t>da4894bed38c</t>
        </is>
      </c>
      <c r="C2004" s="191" t="inlineStr">
        <is>
          <t>[InfoSecurityMagazine] Fraud Investigation Reveals Sophisticated Python Malware | Keywords: malware, malware | Sophisticated Python malware uncovered in fraud probe shows obfuscation, disposable infrastructure</t>
        </is>
      </c>
      <c r="D2004" s="191" t="n">
        <v>5</v>
      </c>
      <c r="E2004" s="191" t="inlineStr">
        <is>
          <t>MEDIUM</t>
        </is>
      </c>
      <c r="F2004" s="191" t="n">
        <v>2</v>
      </c>
      <c r="G2004" s="191" t="n">
        <v>1</v>
      </c>
      <c r="H2004" s="191" t="inlineStr">
        <is>
          <t>LOW</t>
        </is>
      </c>
      <c r="I2004" s="191" t="n">
        <v>7</v>
      </c>
      <c r="J2004" s="191" t="inlineStr">
        <is>
          <t>NO</t>
        </is>
      </c>
      <c r="K2004" s="192" t="inlineStr">
        <is>
          <t>https://www.infosecurity-magazine.com/news/fraud-investigation-python-malware/</t>
        </is>
      </c>
      <c r="L2004" s="191" t="inlineStr">
        <is>
          <t>2026-02-23 15:30</t>
        </is>
      </c>
      <c r="M2004" s="191" t="inlineStr">
        <is>
          <t>Monitor</t>
        </is>
      </c>
      <c r="N2004" s="192" t="inlineStr">
        <is>
          <t>https://www.infosecurity-magazine.com/news/fraud-investigation-python-malware/</t>
        </is>
      </c>
      <c r="O2004" s="191" t="inlineStr">
        <is>
          <t>Monitor for developments | Review article for IOCs | Escalate if relevant to your infra</t>
        </is>
      </c>
      <c r="P2004" s="191" t="inlineStr">
        <is>
          <t>Varies - see article</t>
        </is>
      </c>
      <c r="Q2004" s="191" t="inlineStr">
        <is>
          <t>P4</t>
        </is>
      </c>
      <c r="R2004" s="191" t="inlineStr">
        <is>
          <t>📰 Security news alert - monitor for developments | 🔍 Review article for IOCs | 📋 Escalate if relevant to your infrastructure</t>
        </is>
      </c>
      <c r="S2004" s="191" t="inlineStr">
        <is>
          <t>News alert - no IP context</t>
        </is>
      </c>
      <c r="T2004" s="191" t="n">
        <v>0</v>
      </c>
      <c r="U2004" s="191" t="n">
        <v>0</v>
      </c>
      <c r="V2004" s="191" t="inlineStr">
        <is>
          <t>See article for technique context</t>
        </is>
      </c>
      <c r="W2004" s="191" t="n">
        <v>1</v>
      </c>
      <c r="X2004" s="191" t="inlineStr">
        <is>
          <t>LOW (40%)</t>
        </is>
      </c>
      <c r="Y2004" s="191" t="inlineStr">
        <is>
          <t>NONE</t>
        </is>
      </c>
      <c r="Z2004" s="191" t="inlineStr">
        <is>
          <t>NONE</t>
        </is>
      </c>
      <c r="AA2004" s="191" t="inlineStr">
        <is>
          <t>NONE</t>
        </is>
      </c>
      <c r="AB2004" s="191" t="inlineStr">
        <is>
          <t>NONE</t>
        </is>
      </c>
      <c r="AC2004" s="191" t="n">
        <v>0</v>
      </c>
      <c r="AD2004" s="191" t="inlineStr">
        <is>
          <t>Fraud Investigation Reveals Sophisticated Python Malware</t>
        </is>
      </c>
    </row>
    <row r="2005">
      <c r="A2005" s="191" t="inlineStr">
        <is>
          <t>NEWS_ALERT</t>
        </is>
      </c>
      <c r="B2005" s="191" t="inlineStr">
        <is>
          <t>7d5ad9fea583</t>
        </is>
      </c>
      <c r="C2005" s="191" t="inlineStr">
        <is>
          <t>[InfoSecurityMagazine] Russian Cyber Threat Actor Uses GenAI to Compromise Fortinet Firewalls | Keywords: threat actor | A low-skilled Russian-speaking attacker has used GenAI tools to help deploy a successful attack workflow targeting FortiGate instances</t>
        </is>
      </c>
      <c r="D2005" s="191" t="n">
        <v>5</v>
      </c>
      <c r="E2005" s="191" t="inlineStr">
        <is>
          <t>MEDIUM</t>
        </is>
      </c>
      <c r="F2005" s="191" t="n">
        <v>2</v>
      </c>
      <c r="G2005" s="191" t="n">
        <v>1</v>
      </c>
      <c r="H2005" s="191" t="inlineStr">
        <is>
          <t>LOW</t>
        </is>
      </c>
      <c r="I2005" s="191" t="n">
        <v>7</v>
      </c>
      <c r="J2005" s="191" t="inlineStr">
        <is>
          <t>NO</t>
        </is>
      </c>
      <c r="K2005" s="192" t="inlineStr">
        <is>
          <t>https://www.infosecurity-magazine.com/news/russian-threat-actor-genai/</t>
        </is>
      </c>
      <c r="L2005" s="191" t="inlineStr">
        <is>
          <t>2026-02-23 12:30</t>
        </is>
      </c>
      <c r="M2005" s="191" t="inlineStr">
        <is>
          <t>Monitor</t>
        </is>
      </c>
      <c r="N2005" s="192" t="inlineStr">
        <is>
          <t>https://www.infosecurity-magazine.com/news/russian-threat-actor-genai/</t>
        </is>
      </c>
      <c r="O2005" s="191" t="inlineStr">
        <is>
          <t>Monitor for developments | Review article for IOCs | Escalate if relevant to your infra</t>
        </is>
      </c>
      <c r="P2005" s="191" t="inlineStr">
        <is>
          <t>Varies - see article</t>
        </is>
      </c>
      <c r="Q2005" s="191" t="inlineStr">
        <is>
          <t>P4</t>
        </is>
      </c>
      <c r="R2005" s="191" t="inlineStr">
        <is>
          <t>📰 Security news alert - monitor for developments | 🔍 Review article for IOCs | 📋 Escalate if relevant to your infrastructure</t>
        </is>
      </c>
      <c r="S2005" s="191" t="inlineStr">
        <is>
          <t>News alert - no IP context</t>
        </is>
      </c>
      <c r="T2005" s="191" t="n">
        <v>0</v>
      </c>
      <c r="U2005" s="191" t="n">
        <v>0</v>
      </c>
      <c r="V2005" s="191" t="inlineStr">
        <is>
          <t>See article for technique context</t>
        </is>
      </c>
      <c r="W2005" s="191" t="n">
        <v>1</v>
      </c>
      <c r="X2005" s="191" t="inlineStr">
        <is>
          <t>LOW (40%)</t>
        </is>
      </c>
      <c r="Y2005" s="191" t="inlineStr">
        <is>
          <t>NONE</t>
        </is>
      </c>
      <c r="Z2005" s="191" t="inlineStr">
        <is>
          <t>NONE</t>
        </is>
      </c>
      <c r="AA2005" s="191" t="inlineStr">
        <is>
          <t>NONE</t>
        </is>
      </c>
      <c r="AB2005" s="191" t="inlineStr">
        <is>
          <t>NONE</t>
        </is>
      </c>
      <c r="AC2005" s="191" t="n">
        <v>0</v>
      </c>
      <c r="AD2005" s="191" t="inlineStr">
        <is>
          <t>Russian Cyber Threat Actor Uses GenAI to Compromise Fortinet Firewalls</t>
        </is>
      </c>
    </row>
    <row r="2006">
      <c r="A2006" s="191" t="inlineStr">
        <is>
          <t>NEWS_ALERT</t>
        </is>
      </c>
      <c r="B2006" s="191" t="inlineStr">
        <is>
          <t>339188906a52</t>
        </is>
      </c>
      <c r="C2006" s="191" t="inlineStr">
        <is>
          <t>[InfoSecurityMagazine] Leading Semiconductor Supplier Advantest Hit by Ransomware Attack | Keywords: ransomware | Advantest, a Japanese specialist in testing computer chips for major semiconductor manufacturers, has deployed incident response protocols following a</t>
        </is>
      </c>
      <c r="D2006" s="191" t="n">
        <v>5</v>
      </c>
      <c r="E2006" s="191" t="inlineStr">
        <is>
          <t>MEDIUM</t>
        </is>
      </c>
      <c r="F2006" s="191" t="n">
        <v>2</v>
      </c>
      <c r="G2006" s="191" t="n">
        <v>1</v>
      </c>
      <c r="H2006" s="191" t="inlineStr">
        <is>
          <t>LOW</t>
        </is>
      </c>
      <c r="I2006" s="191" t="n">
        <v>7</v>
      </c>
      <c r="J2006" s="191" t="inlineStr">
        <is>
          <t>NO</t>
        </is>
      </c>
      <c r="K2006" s="192" t="inlineStr">
        <is>
          <t>https://www.infosecurity-magazine.com/news/advantest-ransomware-attack/</t>
        </is>
      </c>
      <c r="L2006" s="191" t="inlineStr">
        <is>
          <t>2026-02-23 11:30</t>
        </is>
      </c>
      <c r="M2006" s="191" t="inlineStr">
        <is>
          <t>Monitor</t>
        </is>
      </c>
      <c r="N2006" s="192" t="inlineStr">
        <is>
          <t>https://www.infosecurity-magazine.com/news/advantest-ransomware-attack/</t>
        </is>
      </c>
      <c r="O2006" s="191" t="inlineStr">
        <is>
          <t>Monitor for developments | Review article for IOCs | Escalate if relevant to your infra</t>
        </is>
      </c>
      <c r="P2006" s="191" t="inlineStr">
        <is>
          <t>Varies - see article</t>
        </is>
      </c>
      <c r="Q2006" s="191" t="inlineStr">
        <is>
          <t>P4</t>
        </is>
      </c>
      <c r="R2006" s="191" t="inlineStr">
        <is>
          <t>📰 Security news alert - monitor for developments | 🔍 Review article for IOCs | 📋 Escalate if relevant to your infrastructure</t>
        </is>
      </c>
      <c r="S2006" s="191" t="inlineStr">
        <is>
          <t>News alert - no IP context</t>
        </is>
      </c>
      <c r="T2006" s="191" t="n">
        <v>0</v>
      </c>
      <c r="U2006" s="191" t="n">
        <v>0</v>
      </c>
      <c r="V2006" s="191" t="inlineStr">
        <is>
          <t>See article for technique context</t>
        </is>
      </c>
      <c r="W2006" s="191" t="n">
        <v>1</v>
      </c>
      <c r="X2006" s="191" t="inlineStr">
        <is>
          <t>LOW (40%)</t>
        </is>
      </c>
      <c r="Y2006" s="191" t="inlineStr">
        <is>
          <t>NONE</t>
        </is>
      </c>
      <c r="Z2006" s="191" t="inlineStr">
        <is>
          <t>NONE</t>
        </is>
      </c>
      <c r="AA2006" s="191" t="inlineStr">
        <is>
          <t>NONE</t>
        </is>
      </c>
      <c r="AB2006" s="191" t="inlineStr">
        <is>
          <t>NONE</t>
        </is>
      </c>
      <c r="AC2006" s="191" t="n">
        <v>0</v>
      </c>
      <c r="AD2006" s="191" t="inlineStr">
        <is>
          <t>Leading Semiconductor Supplier Advantest Hit by Ransomware Attack</t>
        </is>
      </c>
    </row>
    <row r="2007">
      <c r="A2007" s="191" t="inlineStr">
        <is>
          <t>NEWS_ALERT</t>
        </is>
      </c>
      <c r="B2007" s="191" t="inlineStr">
        <is>
          <t>bbba403a9ba9</t>
        </is>
      </c>
      <c r="C2007" s="191" t="inlineStr">
        <is>
          <t>[InfoSecurityMagazine] University of Mississippi Medical Center Still Offline After Ransomware Attack | Keywords: ransomware, ransomware | University of Mississippi Medical Center is still scrambling to respond to a ransomware attack last Thursday</t>
        </is>
      </c>
      <c r="D2007" s="191" t="n">
        <v>5</v>
      </c>
      <c r="E2007" s="191" t="inlineStr">
        <is>
          <t>MEDIUM</t>
        </is>
      </c>
      <c r="F2007" s="191" t="n">
        <v>2</v>
      </c>
      <c r="G2007" s="191" t="n">
        <v>1</v>
      </c>
      <c r="H2007" s="191" t="inlineStr">
        <is>
          <t>LOW</t>
        </is>
      </c>
      <c r="I2007" s="191" t="n">
        <v>7</v>
      </c>
      <c r="J2007" s="191" t="inlineStr">
        <is>
          <t>NO</t>
        </is>
      </c>
      <c r="K2007" s="192" t="inlineStr">
        <is>
          <t>https://www.infosecurity-magazine.com/news/university-mississippi-medical/</t>
        </is>
      </c>
      <c r="L2007" s="191" t="inlineStr">
        <is>
          <t>2026-02-23 08:30</t>
        </is>
      </c>
      <c r="M2007" s="191" t="inlineStr">
        <is>
          <t>Monitor</t>
        </is>
      </c>
      <c r="N2007" s="192" t="inlineStr">
        <is>
          <t>https://www.infosecurity-magazine.com/news/university-mississippi-medical/</t>
        </is>
      </c>
      <c r="O2007" s="191" t="inlineStr">
        <is>
          <t>Monitor for developments | Review article for IOCs | Escalate if relevant to your infra</t>
        </is>
      </c>
      <c r="P2007" s="191" t="inlineStr">
        <is>
          <t>Varies - see article</t>
        </is>
      </c>
      <c r="Q2007" s="191" t="inlineStr">
        <is>
          <t>P4</t>
        </is>
      </c>
      <c r="R2007" s="191" t="inlineStr">
        <is>
          <t>📰 Security news alert - monitor for developments | 🔍 Review article for IOCs | 📋 Escalate if relevant to your infrastructure</t>
        </is>
      </c>
      <c r="S2007" s="191" t="inlineStr">
        <is>
          <t>News alert - no IP context</t>
        </is>
      </c>
      <c r="T2007" s="191" t="n">
        <v>0</v>
      </c>
      <c r="U2007" s="191" t="n">
        <v>0</v>
      </c>
      <c r="V2007" s="191" t="inlineStr">
        <is>
          <t>See article for technique context</t>
        </is>
      </c>
      <c r="W2007" s="191" t="n">
        <v>1</v>
      </c>
      <c r="X2007" s="191" t="inlineStr">
        <is>
          <t>LOW (40%)</t>
        </is>
      </c>
      <c r="Y2007" s="191" t="inlineStr">
        <is>
          <t>NONE</t>
        </is>
      </c>
      <c r="Z2007" s="191" t="inlineStr">
        <is>
          <t>NONE</t>
        </is>
      </c>
      <c r="AA2007" s="191" t="inlineStr">
        <is>
          <t>NONE</t>
        </is>
      </c>
      <c r="AB2007" s="191" t="inlineStr">
        <is>
          <t>NONE</t>
        </is>
      </c>
      <c r="AC2007" s="191" t="n">
        <v>0</v>
      </c>
      <c r="AD2007" s="191" t="inlineStr">
        <is>
          <t>University of Mississippi Medical Center Still Offline After Ransomware Attack</t>
        </is>
      </c>
    </row>
  </sheetData>
  <autoFilter ref="A1:AD2007"/>
  <hyperlinks>
    <hyperlink xmlns:r="http://schemas.openxmlformats.org/officeDocument/2006/relationships" ref="K2" r:id="rId1"/>
    <hyperlink xmlns:r="http://schemas.openxmlformats.org/officeDocument/2006/relationships" ref="AA2" r:id="rId2"/>
    <hyperlink xmlns:r="http://schemas.openxmlformats.org/officeDocument/2006/relationships" ref="K3" r:id="rId3"/>
    <hyperlink xmlns:r="http://schemas.openxmlformats.org/officeDocument/2006/relationships" ref="AA3" r:id="rId4"/>
    <hyperlink xmlns:r="http://schemas.openxmlformats.org/officeDocument/2006/relationships" ref="K4" r:id="rId5"/>
    <hyperlink xmlns:r="http://schemas.openxmlformats.org/officeDocument/2006/relationships" ref="AA4" r:id="rId6"/>
    <hyperlink xmlns:r="http://schemas.openxmlformats.org/officeDocument/2006/relationships" ref="K5" r:id="rId7"/>
    <hyperlink xmlns:r="http://schemas.openxmlformats.org/officeDocument/2006/relationships" ref="AA5" r:id="rId8"/>
    <hyperlink xmlns:r="http://schemas.openxmlformats.org/officeDocument/2006/relationships" ref="K6" r:id="rId9"/>
    <hyperlink xmlns:r="http://schemas.openxmlformats.org/officeDocument/2006/relationships" ref="AA6" r:id="rId10"/>
    <hyperlink xmlns:r="http://schemas.openxmlformats.org/officeDocument/2006/relationships" ref="K7" r:id="rId11"/>
    <hyperlink xmlns:r="http://schemas.openxmlformats.org/officeDocument/2006/relationships" ref="AA7" r:id="rId12"/>
    <hyperlink xmlns:r="http://schemas.openxmlformats.org/officeDocument/2006/relationships" ref="K8" r:id="rId13"/>
    <hyperlink xmlns:r="http://schemas.openxmlformats.org/officeDocument/2006/relationships" ref="AA8" r:id="rId14"/>
    <hyperlink xmlns:r="http://schemas.openxmlformats.org/officeDocument/2006/relationships" ref="K9" r:id="rId15"/>
    <hyperlink xmlns:r="http://schemas.openxmlformats.org/officeDocument/2006/relationships" ref="AA9" r:id="rId16"/>
    <hyperlink xmlns:r="http://schemas.openxmlformats.org/officeDocument/2006/relationships" ref="K10" r:id="rId17"/>
    <hyperlink xmlns:r="http://schemas.openxmlformats.org/officeDocument/2006/relationships" ref="AA10" r:id="rId18"/>
    <hyperlink xmlns:r="http://schemas.openxmlformats.org/officeDocument/2006/relationships" ref="K11" r:id="rId19"/>
    <hyperlink xmlns:r="http://schemas.openxmlformats.org/officeDocument/2006/relationships" ref="AA11" r:id="rId20"/>
    <hyperlink xmlns:r="http://schemas.openxmlformats.org/officeDocument/2006/relationships" ref="K12" r:id="rId21"/>
    <hyperlink xmlns:r="http://schemas.openxmlformats.org/officeDocument/2006/relationships" ref="AA12" r:id="rId22"/>
    <hyperlink xmlns:r="http://schemas.openxmlformats.org/officeDocument/2006/relationships" ref="K13" r:id="rId23"/>
    <hyperlink xmlns:r="http://schemas.openxmlformats.org/officeDocument/2006/relationships" ref="AA13" r:id="rId24"/>
    <hyperlink xmlns:r="http://schemas.openxmlformats.org/officeDocument/2006/relationships" ref="K14" r:id="rId25"/>
    <hyperlink xmlns:r="http://schemas.openxmlformats.org/officeDocument/2006/relationships" ref="AA14" r:id="rId26"/>
    <hyperlink xmlns:r="http://schemas.openxmlformats.org/officeDocument/2006/relationships" ref="K15" r:id="rId27"/>
    <hyperlink xmlns:r="http://schemas.openxmlformats.org/officeDocument/2006/relationships" ref="AA15" r:id="rId28"/>
    <hyperlink xmlns:r="http://schemas.openxmlformats.org/officeDocument/2006/relationships" ref="K16" r:id="rId29"/>
    <hyperlink xmlns:r="http://schemas.openxmlformats.org/officeDocument/2006/relationships" ref="AA16" r:id="rId30"/>
    <hyperlink xmlns:r="http://schemas.openxmlformats.org/officeDocument/2006/relationships" ref="K17" r:id="rId31"/>
    <hyperlink xmlns:r="http://schemas.openxmlformats.org/officeDocument/2006/relationships" ref="AA17" r:id="rId32"/>
    <hyperlink xmlns:r="http://schemas.openxmlformats.org/officeDocument/2006/relationships" ref="K18" r:id="rId33"/>
    <hyperlink xmlns:r="http://schemas.openxmlformats.org/officeDocument/2006/relationships" ref="AA18" r:id="rId34"/>
    <hyperlink xmlns:r="http://schemas.openxmlformats.org/officeDocument/2006/relationships" ref="K19" r:id="rId35"/>
    <hyperlink xmlns:r="http://schemas.openxmlformats.org/officeDocument/2006/relationships" ref="AA19" r:id="rId36"/>
    <hyperlink xmlns:r="http://schemas.openxmlformats.org/officeDocument/2006/relationships" ref="K20" r:id="rId37"/>
    <hyperlink xmlns:r="http://schemas.openxmlformats.org/officeDocument/2006/relationships" ref="AA20" r:id="rId38"/>
    <hyperlink xmlns:r="http://schemas.openxmlformats.org/officeDocument/2006/relationships" ref="K21" r:id="rId39"/>
    <hyperlink xmlns:r="http://schemas.openxmlformats.org/officeDocument/2006/relationships" ref="AA21" r:id="rId40"/>
    <hyperlink xmlns:r="http://schemas.openxmlformats.org/officeDocument/2006/relationships" ref="K22" r:id="rId41"/>
    <hyperlink xmlns:r="http://schemas.openxmlformats.org/officeDocument/2006/relationships" ref="AA22" r:id="rId42"/>
    <hyperlink xmlns:r="http://schemas.openxmlformats.org/officeDocument/2006/relationships" ref="K23" r:id="rId43"/>
    <hyperlink xmlns:r="http://schemas.openxmlformats.org/officeDocument/2006/relationships" ref="AA23" r:id="rId44"/>
    <hyperlink xmlns:r="http://schemas.openxmlformats.org/officeDocument/2006/relationships" ref="K24" r:id="rId45"/>
    <hyperlink xmlns:r="http://schemas.openxmlformats.org/officeDocument/2006/relationships" ref="AA24" r:id="rId46"/>
    <hyperlink xmlns:r="http://schemas.openxmlformats.org/officeDocument/2006/relationships" ref="K25" r:id="rId47"/>
    <hyperlink xmlns:r="http://schemas.openxmlformats.org/officeDocument/2006/relationships" ref="AA25" r:id="rId48"/>
    <hyperlink xmlns:r="http://schemas.openxmlformats.org/officeDocument/2006/relationships" ref="K26" r:id="rId49"/>
    <hyperlink xmlns:r="http://schemas.openxmlformats.org/officeDocument/2006/relationships" ref="AA26" r:id="rId50"/>
    <hyperlink xmlns:r="http://schemas.openxmlformats.org/officeDocument/2006/relationships" ref="K27" r:id="rId51"/>
    <hyperlink xmlns:r="http://schemas.openxmlformats.org/officeDocument/2006/relationships" ref="AA27" r:id="rId52"/>
    <hyperlink xmlns:r="http://schemas.openxmlformats.org/officeDocument/2006/relationships" ref="K28" r:id="rId53"/>
    <hyperlink xmlns:r="http://schemas.openxmlformats.org/officeDocument/2006/relationships" ref="AA28" r:id="rId54"/>
    <hyperlink xmlns:r="http://schemas.openxmlformats.org/officeDocument/2006/relationships" ref="K29" r:id="rId55"/>
    <hyperlink xmlns:r="http://schemas.openxmlformats.org/officeDocument/2006/relationships" ref="AA29" r:id="rId56"/>
    <hyperlink xmlns:r="http://schemas.openxmlformats.org/officeDocument/2006/relationships" ref="K30" r:id="rId57"/>
    <hyperlink xmlns:r="http://schemas.openxmlformats.org/officeDocument/2006/relationships" ref="AA30" r:id="rId58"/>
    <hyperlink xmlns:r="http://schemas.openxmlformats.org/officeDocument/2006/relationships" ref="K31" r:id="rId59"/>
    <hyperlink xmlns:r="http://schemas.openxmlformats.org/officeDocument/2006/relationships" ref="AA31" r:id="rId60"/>
    <hyperlink xmlns:r="http://schemas.openxmlformats.org/officeDocument/2006/relationships" ref="K32" r:id="rId61"/>
    <hyperlink xmlns:r="http://schemas.openxmlformats.org/officeDocument/2006/relationships" ref="N32" r:id="rId62"/>
    <hyperlink xmlns:r="http://schemas.openxmlformats.org/officeDocument/2006/relationships" ref="O32" r:id="rId63"/>
    <hyperlink xmlns:r="http://schemas.openxmlformats.org/officeDocument/2006/relationships" ref="AA32" r:id="rId64"/>
    <hyperlink xmlns:r="http://schemas.openxmlformats.org/officeDocument/2006/relationships" ref="K33" r:id="rId65"/>
    <hyperlink xmlns:r="http://schemas.openxmlformats.org/officeDocument/2006/relationships" ref="AA33" r:id="rId66"/>
    <hyperlink xmlns:r="http://schemas.openxmlformats.org/officeDocument/2006/relationships" ref="K34" r:id="rId67"/>
    <hyperlink xmlns:r="http://schemas.openxmlformats.org/officeDocument/2006/relationships" ref="N34" r:id="rId68"/>
    <hyperlink xmlns:r="http://schemas.openxmlformats.org/officeDocument/2006/relationships" ref="AA34" r:id="rId69"/>
    <hyperlink xmlns:r="http://schemas.openxmlformats.org/officeDocument/2006/relationships" ref="K35" r:id="rId70"/>
    <hyperlink xmlns:r="http://schemas.openxmlformats.org/officeDocument/2006/relationships" ref="N35" r:id="rId71"/>
    <hyperlink xmlns:r="http://schemas.openxmlformats.org/officeDocument/2006/relationships" ref="AA35" r:id="rId72"/>
    <hyperlink xmlns:r="http://schemas.openxmlformats.org/officeDocument/2006/relationships" ref="K36" r:id="rId73"/>
    <hyperlink xmlns:r="http://schemas.openxmlformats.org/officeDocument/2006/relationships" ref="N36" r:id="rId74"/>
    <hyperlink xmlns:r="http://schemas.openxmlformats.org/officeDocument/2006/relationships" ref="AA36" r:id="rId75"/>
    <hyperlink xmlns:r="http://schemas.openxmlformats.org/officeDocument/2006/relationships" ref="K37" r:id="rId76"/>
    <hyperlink xmlns:r="http://schemas.openxmlformats.org/officeDocument/2006/relationships" ref="N37" r:id="rId77"/>
    <hyperlink xmlns:r="http://schemas.openxmlformats.org/officeDocument/2006/relationships" ref="AA37" r:id="rId78"/>
    <hyperlink xmlns:r="http://schemas.openxmlformats.org/officeDocument/2006/relationships" ref="K38" r:id="rId79"/>
    <hyperlink xmlns:r="http://schemas.openxmlformats.org/officeDocument/2006/relationships" ref="AA38" r:id="rId80"/>
    <hyperlink xmlns:r="http://schemas.openxmlformats.org/officeDocument/2006/relationships" ref="K39" r:id="rId81"/>
    <hyperlink xmlns:r="http://schemas.openxmlformats.org/officeDocument/2006/relationships" ref="N39" r:id="rId82"/>
    <hyperlink xmlns:r="http://schemas.openxmlformats.org/officeDocument/2006/relationships" ref="AA39" r:id="rId83"/>
    <hyperlink xmlns:r="http://schemas.openxmlformats.org/officeDocument/2006/relationships" ref="K40" r:id="rId84"/>
    <hyperlink xmlns:r="http://schemas.openxmlformats.org/officeDocument/2006/relationships" ref="AA40" r:id="rId85"/>
    <hyperlink xmlns:r="http://schemas.openxmlformats.org/officeDocument/2006/relationships" ref="K41" r:id="rId86"/>
    <hyperlink xmlns:r="http://schemas.openxmlformats.org/officeDocument/2006/relationships" ref="N41" r:id="rId87"/>
    <hyperlink xmlns:r="http://schemas.openxmlformats.org/officeDocument/2006/relationships" ref="AA41" r:id="rId88"/>
    <hyperlink xmlns:r="http://schemas.openxmlformats.org/officeDocument/2006/relationships" ref="K42" r:id="rId89"/>
    <hyperlink xmlns:r="http://schemas.openxmlformats.org/officeDocument/2006/relationships" ref="N42" r:id="rId90"/>
    <hyperlink xmlns:r="http://schemas.openxmlformats.org/officeDocument/2006/relationships" ref="AA42" r:id="rId91"/>
    <hyperlink xmlns:r="http://schemas.openxmlformats.org/officeDocument/2006/relationships" ref="K43" r:id="rId92"/>
    <hyperlink xmlns:r="http://schemas.openxmlformats.org/officeDocument/2006/relationships" ref="AA43" r:id="rId93"/>
    <hyperlink xmlns:r="http://schemas.openxmlformats.org/officeDocument/2006/relationships" ref="K44" r:id="rId94"/>
    <hyperlink xmlns:r="http://schemas.openxmlformats.org/officeDocument/2006/relationships" ref="AA44" r:id="rId95"/>
    <hyperlink xmlns:r="http://schemas.openxmlformats.org/officeDocument/2006/relationships" ref="K45" r:id="rId96"/>
    <hyperlink xmlns:r="http://schemas.openxmlformats.org/officeDocument/2006/relationships" ref="AA45" r:id="rId97"/>
    <hyperlink xmlns:r="http://schemas.openxmlformats.org/officeDocument/2006/relationships" ref="K46" r:id="rId98"/>
    <hyperlink xmlns:r="http://schemas.openxmlformats.org/officeDocument/2006/relationships" ref="AA46" r:id="rId99"/>
    <hyperlink xmlns:r="http://schemas.openxmlformats.org/officeDocument/2006/relationships" ref="K47" r:id="rId100"/>
    <hyperlink xmlns:r="http://schemas.openxmlformats.org/officeDocument/2006/relationships" ref="AA47" r:id="rId101"/>
    <hyperlink xmlns:r="http://schemas.openxmlformats.org/officeDocument/2006/relationships" ref="K48" r:id="rId102"/>
    <hyperlink xmlns:r="http://schemas.openxmlformats.org/officeDocument/2006/relationships" ref="AA48" r:id="rId103"/>
    <hyperlink xmlns:r="http://schemas.openxmlformats.org/officeDocument/2006/relationships" ref="K49" r:id="rId104"/>
    <hyperlink xmlns:r="http://schemas.openxmlformats.org/officeDocument/2006/relationships" ref="AA49" r:id="rId105"/>
    <hyperlink xmlns:r="http://schemas.openxmlformats.org/officeDocument/2006/relationships" ref="K50" r:id="rId106"/>
    <hyperlink xmlns:r="http://schemas.openxmlformats.org/officeDocument/2006/relationships" ref="AA50" r:id="rId107"/>
    <hyperlink xmlns:r="http://schemas.openxmlformats.org/officeDocument/2006/relationships" ref="K51" r:id="rId108"/>
    <hyperlink xmlns:r="http://schemas.openxmlformats.org/officeDocument/2006/relationships" ref="N51" r:id="rId109"/>
    <hyperlink xmlns:r="http://schemas.openxmlformats.org/officeDocument/2006/relationships" ref="AA51" r:id="rId110"/>
    <hyperlink xmlns:r="http://schemas.openxmlformats.org/officeDocument/2006/relationships" ref="K52" r:id="rId111"/>
    <hyperlink xmlns:r="http://schemas.openxmlformats.org/officeDocument/2006/relationships" ref="N52" r:id="rId112"/>
    <hyperlink xmlns:r="http://schemas.openxmlformats.org/officeDocument/2006/relationships" ref="AA52" r:id="rId113"/>
    <hyperlink xmlns:r="http://schemas.openxmlformats.org/officeDocument/2006/relationships" ref="K53" r:id="rId114"/>
    <hyperlink xmlns:r="http://schemas.openxmlformats.org/officeDocument/2006/relationships" ref="AA53" r:id="rId115"/>
    <hyperlink xmlns:r="http://schemas.openxmlformats.org/officeDocument/2006/relationships" ref="K54" r:id="rId116"/>
    <hyperlink xmlns:r="http://schemas.openxmlformats.org/officeDocument/2006/relationships" ref="AA54" r:id="rId117"/>
    <hyperlink xmlns:r="http://schemas.openxmlformats.org/officeDocument/2006/relationships" ref="K55" r:id="rId118"/>
    <hyperlink xmlns:r="http://schemas.openxmlformats.org/officeDocument/2006/relationships" ref="AA55" r:id="rId119"/>
    <hyperlink xmlns:r="http://schemas.openxmlformats.org/officeDocument/2006/relationships" ref="K56" r:id="rId120"/>
    <hyperlink xmlns:r="http://schemas.openxmlformats.org/officeDocument/2006/relationships" ref="AA56" r:id="rId121"/>
    <hyperlink xmlns:r="http://schemas.openxmlformats.org/officeDocument/2006/relationships" ref="K57" r:id="rId122"/>
    <hyperlink xmlns:r="http://schemas.openxmlformats.org/officeDocument/2006/relationships" ref="AA57" r:id="rId123"/>
    <hyperlink xmlns:r="http://schemas.openxmlformats.org/officeDocument/2006/relationships" ref="K58" r:id="rId124"/>
    <hyperlink xmlns:r="http://schemas.openxmlformats.org/officeDocument/2006/relationships" ref="AA58" r:id="rId125"/>
    <hyperlink xmlns:r="http://schemas.openxmlformats.org/officeDocument/2006/relationships" ref="K59" r:id="rId126"/>
    <hyperlink xmlns:r="http://schemas.openxmlformats.org/officeDocument/2006/relationships" ref="AA59" r:id="rId127"/>
    <hyperlink xmlns:r="http://schemas.openxmlformats.org/officeDocument/2006/relationships" ref="K60" r:id="rId128"/>
    <hyperlink xmlns:r="http://schemas.openxmlformats.org/officeDocument/2006/relationships" ref="N60" r:id="rId129"/>
    <hyperlink xmlns:r="http://schemas.openxmlformats.org/officeDocument/2006/relationships" ref="AA60" r:id="rId130"/>
    <hyperlink xmlns:r="http://schemas.openxmlformats.org/officeDocument/2006/relationships" ref="K61" r:id="rId131"/>
    <hyperlink xmlns:r="http://schemas.openxmlformats.org/officeDocument/2006/relationships" ref="N61" r:id="rId132"/>
    <hyperlink xmlns:r="http://schemas.openxmlformats.org/officeDocument/2006/relationships" ref="AA61" r:id="rId133"/>
    <hyperlink xmlns:r="http://schemas.openxmlformats.org/officeDocument/2006/relationships" ref="K62" r:id="rId134"/>
    <hyperlink xmlns:r="http://schemas.openxmlformats.org/officeDocument/2006/relationships" ref="N62" r:id="rId135"/>
    <hyperlink xmlns:r="http://schemas.openxmlformats.org/officeDocument/2006/relationships" ref="AA62" r:id="rId136"/>
    <hyperlink xmlns:r="http://schemas.openxmlformats.org/officeDocument/2006/relationships" ref="K63" r:id="rId137"/>
    <hyperlink xmlns:r="http://schemas.openxmlformats.org/officeDocument/2006/relationships" ref="N63" r:id="rId138"/>
    <hyperlink xmlns:r="http://schemas.openxmlformats.org/officeDocument/2006/relationships" ref="AA63" r:id="rId139"/>
    <hyperlink xmlns:r="http://schemas.openxmlformats.org/officeDocument/2006/relationships" ref="K64" r:id="rId140"/>
    <hyperlink xmlns:r="http://schemas.openxmlformats.org/officeDocument/2006/relationships" ref="N64" r:id="rId141"/>
    <hyperlink xmlns:r="http://schemas.openxmlformats.org/officeDocument/2006/relationships" ref="AA64" r:id="rId142"/>
    <hyperlink xmlns:r="http://schemas.openxmlformats.org/officeDocument/2006/relationships" ref="K65" r:id="rId143"/>
    <hyperlink xmlns:r="http://schemas.openxmlformats.org/officeDocument/2006/relationships" ref="AA65" r:id="rId144"/>
    <hyperlink xmlns:r="http://schemas.openxmlformats.org/officeDocument/2006/relationships" ref="K66" r:id="rId145"/>
    <hyperlink xmlns:r="http://schemas.openxmlformats.org/officeDocument/2006/relationships" ref="AA66" r:id="rId146"/>
    <hyperlink xmlns:r="http://schemas.openxmlformats.org/officeDocument/2006/relationships" ref="K67" r:id="rId147"/>
    <hyperlink xmlns:r="http://schemas.openxmlformats.org/officeDocument/2006/relationships" ref="AA67" r:id="rId148"/>
    <hyperlink xmlns:r="http://schemas.openxmlformats.org/officeDocument/2006/relationships" ref="K68" r:id="rId149"/>
    <hyperlink xmlns:r="http://schemas.openxmlformats.org/officeDocument/2006/relationships" ref="AA68" r:id="rId150"/>
    <hyperlink xmlns:r="http://schemas.openxmlformats.org/officeDocument/2006/relationships" ref="K69" r:id="rId151"/>
    <hyperlink xmlns:r="http://schemas.openxmlformats.org/officeDocument/2006/relationships" ref="N69" r:id="rId152"/>
    <hyperlink xmlns:r="http://schemas.openxmlformats.org/officeDocument/2006/relationships" ref="AA69" r:id="rId153"/>
    <hyperlink xmlns:r="http://schemas.openxmlformats.org/officeDocument/2006/relationships" ref="K70" r:id="rId154"/>
    <hyperlink xmlns:r="http://schemas.openxmlformats.org/officeDocument/2006/relationships" ref="AA70" r:id="rId155"/>
    <hyperlink xmlns:r="http://schemas.openxmlformats.org/officeDocument/2006/relationships" ref="K71" r:id="rId156"/>
    <hyperlink xmlns:r="http://schemas.openxmlformats.org/officeDocument/2006/relationships" ref="AA71" r:id="rId157"/>
    <hyperlink xmlns:r="http://schemas.openxmlformats.org/officeDocument/2006/relationships" ref="K72" r:id="rId158"/>
    <hyperlink xmlns:r="http://schemas.openxmlformats.org/officeDocument/2006/relationships" ref="N72" r:id="rId159"/>
    <hyperlink xmlns:r="http://schemas.openxmlformats.org/officeDocument/2006/relationships" ref="AA72" r:id="rId160"/>
    <hyperlink xmlns:r="http://schemas.openxmlformats.org/officeDocument/2006/relationships" ref="K73" r:id="rId161"/>
    <hyperlink xmlns:r="http://schemas.openxmlformats.org/officeDocument/2006/relationships" ref="AA73" r:id="rId162"/>
    <hyperlink xmlns:r="http://schemas.openxmlformats.org/officeDocument/2006/relationships" ref="K74" r:id="rId163"/>
    <hyperlink xmlns:r="http://schemas.openxmlformats.org/officeDocument/2006/relationships" ref="AA74" r:id="rId164"/>
    <hyperlink xmlns:r="http://schemas.openxmlformats.org/officeDocument/2006/relationships" ref="K75" r:id="rId165"/>
    <hyperlink xmlns:r="http://schemas.openxmlformats.org/officeDocument/2006/relationships" ref="N75" r:id="rId166"/>
    <hyperlink xmlns:r="http://schemas.openxmlformats.org/officeDocument/2006/relationships" ref="AA75" r:id="rId167"/>
    <hyperlink xmlns:r="http://schemas.openxmlformats.org/officeDocument/2006/relationships" ref="K76" r:id="rId168"/>
    <hyperlink xmlns:r="http://schemas.openxmlformats.org/officeDocument/2006/relationships" ref="N76" r:id="rId169"/>
    <hyperlink xmlns:r="http://schemas.openxmlformats.org/officeDocument/2006/relationships" ref="AA76" r:id="rId170"/>
    <hyperlink xmlns:r="http://schemas.openxmlformats.org/officeDocument/2006/relationships" ref="K77" r:id="rId171"/>
    <hyperlink xmlns:r="http://schemas.openxmlformats.org/officeDocument/2006/relationships" ref="N77" r:id="rId172"/>
    <hyperlink xmlns:r="http://schemas.openxmlformats.org/officeDocument/2006/relationships" ref="AA77" r:id="rId173"/>
    <hyperlink xmlns:r="http://schemas.openxmlformats.org/officeDocument/2006/relationships" ref="K78" r:id="rId174"/>
    <hyperlink xmlns:r="http://schemas.openxmlformats.org/officeDocument/2006/relationships" ref="N78" r:id="rId175"/>
    <hyperlink xmlns:r="http://schemas.openxmlformats.org/officeDocument/2006/relationships" ref="AA78" r:id="rId176"/>
    <hyperlink xmlns:r="http://schemas.openxmlformats.org/officeDocument/2006/relationships" ref="K79" r:id="rId177"/>
    <hyperlink xmlns:r="http://schemas.openxmlformats.org/officeDocument/2006/relationships" ref="N79" r:id="rId178"/>
    <hyperlink xmlns:r="http://schemas.openxmlformats.org/officeDocument/2006/relationships" ref="AA79" r:id="rId179"/>
    <hyperlink xmlns:r="http://schemas.openxmlformats.org/officeDocument/2006/relationships" ref="K80" r:id="rId180"/>
    <hyperlink xmlns:r="http://schemas.openxmlformats.org/officeDocument/2006/relationships" ref="AA80" r:id="rId181"/>
    <hyperlink xmlns:r="http://schemas.openxmlformats.org/officeDocument/2006/relationships" ref="K81" r:id="rId182"/>
    <hyperlink xmlns:r="http://schemas.openxmlformats.org/officeDocument/2006/relationships" ref="AA81" r:id="rId183"/>
    <hyperlink xmlns:r="http://schemas.openxmlformats.org/officeDocument/2006/relationships" ref="K82" r:id="rId184"/>
    <hyperlink xmlns:r="http://schemas.openxmlformats.org/officeDocument/2006/relationships" ref="AA82" r:id="rId185"/>
    <hyperlink xmlns:r="http://schemas.openxmlformats.org/officeDocument/2006/relationships" ref="K83" r:id="rId186"/>
    <hyperlink xmlns:r="http://schemas.openxmlformats.org/officeDocument/2006/relationships" ref="AA83" r:id="rId187"/>
    <hyperlink xmlns:r="http://schemas.openxmlformats.org/officeDocument/2006/relationships" ref="K84" r:id="rId188"/>
    <hyperlink xmlns:r="http://schemas.openxmlformats.org/officeDocument/2006/relationships" ref="AA84" r:id="rId189"/>
    <hyperlink xmlns:r="http://schemas.openxmlformats.org/officeDocument/2006/relationships" ref="K85" r:id="rId190"/>
    <hyperlink xmlns:r="http://schemas.openxmlformats.org/officeDocument/2006/relationships" ref="AA85" r:id="rId191"/>
    <hyperlink xmlns:r="http://schemas.openxmlformats.org/officeDocument/2006/relationships" ref="K86" r:id="rId192"/>
    <hyperlink xmlns:r="http://schemas.openxmlformats.org/officeDocument/2006/relationships" ref="N86" r:id="rId193"/>
    <hyperlink xmlns:r="http://schemas.openxmlformats.org/officeDocument/2006/relationships" ref="AA86" r:id="rId194"/>
    <hyperlink xmlns:r="http://schemas.openxmlformats.org/officeDocument/2006/relationships" ref="K87" r:id="rId195"/>
    <hyperlink xmlns:r="http://schemas.openxmlformats.org/officeDocument/2006/relationships" ref="N87" r:id="rId196"/>
    <hyperlink xmlns:r="http://schemas.openxmlformats.org/officeDocument/2006/relationships" ref="AA87" r:id="rId197"/>
    <hyperlink xmlns:r="http://schemas.openxmlformats.org/officeDocument/2006/relationships" ref="K88" r:id="rId198"/>
    <hyperlink xmlns:r="http://schemas.openxmlformats.org/officeDocument/2006/relationships" ref="AA88" r:id="rId199"/>
    <hyperlink xmlns:r="http://schemas.openxmlformats.org/officeDocument/2006/relationships" ref="K89" r:id="rId200"/>
    <hyperlink xmlns:r="http://schemas.openxmlformats.org/officeDocument/2006/relationships" ref="N89" r:id="rId201"/>
    <hyperlink xmlns:r="http://schemas.openxmlformats.org/officeDocument/2006/relationships" ref="AA89" r:id="rId202"/>
    <hyperlink xmlns:r="http://schemas.openxmlformats.org/officeDocument/2006/relationships" ref="K90" r:id="rId203"/>
    <hyperlink xmlns:r="http://schemas.openxmlformats.org/officeDocument/2006/relationships" ref="N90" r:id="rId204"/>
    <hyperlink xmlns:r="http://schemas.openxmlformats.org/officeDocument/2006/relationships" ref="AA90" r:id="rId205"/>
    <hyperlink xmlns:r="http://schemas.openxmlformats.org/officeDocument/2006/relationships" ref="K91" r:id="rId206"/>
    <hyperlink xmlns:r="http://schemas.openxmlformats.org/officeDocument/2006/relationships" ref="AA91" r:id="rId207"/>
    <hyperlink xmlns:r="http://schemas.openxmlformats.org/officeDocument/2006/relationships" ref="K92" r:id="rId208"/>
    <hyperlink xmlns:r="http://schemas.openxmlformats.org/officeDocument/2006/relationships" ref="AA92" r:id="rId209"/>
    <hyperlink xmlns:r="http://schemas.openxmlformats.org/officeDocument/2006/relationships" ref="K93" r:id="rId210"/>
    <hyperlink xmlns:r="http://schemas.openxmlformats.org/officeDocument/2006/relationships" ref="AA93" r:id="rId211"/>
    <hyperlink xmlns:r="http://schemas.openxmlformats.org/officeDocument/2006/relationships" ref="K94" r:id="rId212"/>
    <hyperlink xmlns:r="http://schemas.openxmlformats.org/officeDocument/2006/relationships" ref="N94" r:id="rId213"/>
    <hyperlink xmlns:r="http://schemas.openxmlformats.org/officeDocument/2006/relationships" ref="AA94" r:id="rId214"/>
    <hyperlink xmlns:r="http://schemas.openxmlformats.org/officeDocument/2006/relationships" ref="K95" r:id="rId215"/>
    <hyperlink xmlns:r="http://schemas.openxmlformats.org/officeDocument/2006/relationships" ref="N95" r:id="rId216"/>
    <hyperlink xmlns:r="http://schemas.openxmlformats.org/officeDocument/2006/relationships" ref="AA95" r:id="rId217"/>
    <hyperlink xmlns:r="http://schemas.openxmlformats.org/officeDocument/2006/relationships" ref="K96" r:id="rId218"/>
    <hyperlink xmlns:r="http://schemas.openxmlformats.org/officeDocument/2006/relationships" ref="AA96" r:id="rId219"/>
    <hyperlink xmlns:r="http://schemas.openxmlformats.org/officeDocument/2006/relationships" ref="K97" r:id="rId220"/>
    <hyperlink xmlns:r="http://schemas.openxmlformats.org/officeDocument/2006/relationships" ref="AA97" r:id="rId221"/>
    <hyperlink xmlns:r="http://schemas.openxmlformats.org/officeDocument/2006/relationships" ref="K98" r:id="rId222"/>
    <hyperlink xmlns:r="http://schemas.openxmlformats.org/officeDocument/2006/relationships" ref="N98" r:id="rId223"/>
    <hyperlink xmlns:r="http://schemas.openxmlformats.org/officeDocument/2006/relationships" ref="AA98" r:id="rId224"/>
    <hyperlink xmlns:r="http://schemas.openxmlformats.org/officeDocument/2006/relationships" ref="K99" r:id="rId225"/>
    <hyperlink xmlns:r="http://schemas.openxmlformats.org/officeDocument/2006/relationships" ref="AA99" r:id="rId226"/>
    <hyperlink xmlns:r="http://schemas.openxmlformats.org/officeDocument/2006/relationships" ref="K100" r:id="rId227"/>
    <hyperlink xmlns:r="http://schemas.openxmlformats.org/officeDocument/2006/relationships" ref="AA100" r:id="rId228"/>
    <hyperlink xmlns:r="http://schemas.openxmlformats.org/officeDocument/2006/relationships" ref="K101" r:id="rId229"/>
    <hyperlink xmlns:r="http://schemas.openxmlformats.org/officeDocument/2006/relationships" ref="AA101" r:id="rId230"/>
    <hyperlink xmlns:r="http://schemas.openxmlformats.org/officeDocument/2006/relationships" ref="K102" r:id="rId231"/>
    <hyperlink xmlns:r="http://schemas.openxmlformats.org/officeDocument/2006/relationships" ref="AA102" r:id="rId232"/>
    <hyperlink xmlns:r="http://schemas.openxmlformats.org/officeDocument/2006/relationships" ref="K103" r:id="rId233"/>
    <hyperlink xmlns:r="http://schemas.openxmlformats.org/officeDocument/2006/relationships" ref="AA103" r:id="rId234"/>
    <hyperlink xmlns:r="http://schemas.openxmlformats.org/officeDocument/2006/relationships" ref="K104" r:id="rId235"/>
    <hyperlink xmlns:r="http://schemas.openxmlformats.org/officeDocument/2006/relationships" ref="AA104" r:id="rId236"/>
    <hyperlink xmlns:r="http://schemas.openxmlformats.org/officeDocument/2006/relationships" ref="K105" r:id="rId237"/>
    <hyperlink xmlns:r="http://schemas.openxmlformats.org/officeDocument/2006/relationships" ref="AA105" r:id="rId238"/>
    <hyperlink xmlns:r="http://schemas.openxmlformats.org/officeDocument/2006/relationships" ref="K106" r:id="rId239"/>
    <hyperlink xmlns:r="http://schemas.openxmlformats.org/officeDocument/2006/relationships" ref="AA106" r:id="rId240"/>
    <hyperlink xmlns:r="http://schemas.openxmlformats.org/officeDocument/2006/relationships" ref="K107" r:id="rId241"/>
    <hyperlink xmlns:r="http://schemas.openxmlformats.org/officeDocument/2006/relationships" ref="AA107" r:id="rId242"/>
    <hyperlink xmlns:r="http://schemas.openxmlformats.org/officeDocument/2006/relationships" ref="K108" r:id="rId243"/>
    <hyperlink xmlns:r="http://schemas.openxmlformats.org/officeDocument/2006/relationships" ref="AA108" r:id="rId244"/>
    <hyperlink xmlns:r="http://schemas.openxmlformats.org/officeDocument/2006/relationships" ref="K109" r:id="rId245"/>
    <hyperlink xmlns:r="http://schemas.openxmlformats.org/officeDocument/2006/relationships" ref="AA109" r:id="rId246"/>
    <hyperlink xmlns:r="http://schemas.openxmlformats.org/officeDocument/2006/relationships" ref="K110" r:id="rId247"/>
    <hyperlink xmlns:r="http://schemas.openxmlformats.org/officeDocument/2006/relationships" ref="AA110" r:id="rId248"/>
    <hyperlink xmlns:r="http://schemas.openxmlformats.org/officeDocument/2006/relationships" ref="K111" r:id="rId249"/>
    <hyperlink xmlns:r="http://schemas.openxmlformats.org/officeDocument/2006/relationships" ref="AA111" r:id="rId250"/>
    <hyperlink xmlns:r="http://schemas.openxmlformats.org/officeDocument/2006/relationships" ref="K112" r:id="rId251"/>
    <hyperlink xmlns:r="http://schemas.openxmlformats.org/officeDocument/2006/relationships" ref="AA112" r:id="rId252"/>
    <hyperlink xmlns:r="http://schemas.openxmlformats.org/officeDocument/2006/relationships" ref="K113" r:id="rId253"/>
    <hyperlink xmlns:r="http://schemas.openxmlformats.org/officeDocument/2006/relationships" ref="AA113" r:id="rId254"/>
    <hyperlink xmlns:r="http://schemas.openxmlformats.org/officeDocument/2006/relationships" ref="K114" r:id="rId255"/>
    <hyperlink xmlns:r="http://schemas.openxmlformats.org/officeDocument/2006/relationships" ref="AA114" r:id="rId256"/>
    <hyperlink xmlns:r="http://schemas.openxmlformats.org/officeDocument/2006/relationships" ref="K115" r:id="rId257"/>
    <hyperlink xmlns:r="http://schemas.openxmlformats.org/officeDocument/2006/relationships" ref="AA115" r:id="rId258"/>
    <hyperlink xmlns:r="http://schemas.openxmlformats.org/officeDocument/2006/relationships" ref="K116" r:id="rId259"/>
    <hyperlink xmlns:r="http://schemas.openxmlformats.org/officeDocument/2006/relationships" ref="AA116" r:id="rId260"/>
    <hyperlink xmlns:r="http://schemas.openxmlformats.org/officeDocument/2006/relationships" ref="K117" r:id="rId261"/>
    <hyperlink xmlns:r="http://schemas.openxmlformats.org/officeDocument/2006/relationships" ref="AA117" r:id="rId262"/>
    <hyperlink xmlns:r="http://schemas.openxmlformats.org/officeDocument/2006/relationships" ref="K118" r:id="rId263"/>
    <hyperlink xmlns:r="http://schemas.openxmlformats.org/officeDocument/2006/relationships" ref="AA118" r:id="rId264"/>
    <hyperlink xmlns:r="http://schemas.openxmlformats.org/officeDocument/2006/relationships" ref="K119" r:id="rId265"/>
    <hyperlink xmlns:r="http://schemas.openxmlformats.org/officeDocument/2006/relationships" ref="AA119" r:id="rId266"/>
    <hyperlink xmlns:r="http://schemas.openxmlformats.org/officeDocument/2006/relationships" ref="K120" r:id="rId267"/>
    <hyperlink xmlns:r="http://schemas.openxmlformats.org/officeDocument/2006/relationships" ref="AA120" r:id="rId268"/>
    <hyperlink xmlns:r="http://schemas.openxmlformats.org/officeDocument/2006/relationships" ref="K121" r:id="rId269"/>
    <hyperlink xmlns:r="http://schemas.openxmlformats.org/officeDocument/2006/relationships" ref="AA121" r:id="rId270"/>
    <hyperlink xmlns:r="http://schemas.openxmlformats.org/officeDocument/2006/relationships" ref="K122" r:id="rId271"/>
    <hyperlink xmlns:r="http://schemas.openxmlformats.org/officeDocument/2006/relationships" ref="AA122" r:id="rId272"/>
    <hyperlink xmlns:r="http://schemas.openxmlformats.org/officeDocument/2006/relationships" ref="K123" r:id="rId273"/>
    <hyperlink xmlns:r="http://schemas.openxmlformats.org/officeDocument/2006/relationships" ref="AA123" r:id="rId274"/>
    <hyperlink xmlns:r="http://schemas.openxmlformats.org/officeDocument/2006/relationships" ref="K124" r:id="rId275"/>
    <hyperlink xmlns:r="http://schemas.openxmlformats.org/officeDocument/2006/relationships" ref="AA124" r:id="rId276"/>
    <hyperlink xmlns:r="http://schemas.openxmlformats.org/officeDocument/2006/relationships" ref="K125" r:id="rId277"/>
    <hyperlink xmlns:r="http://schemas.openxmlformats.org/officeDocument/2006/relationships" ref="AA125" r:id="rId278"/>
    <hyperlink xmlns:r="http://schemas.openxmlformats.org/officeDocument/2006/relationships" ref="K126" r:id="rId279"/>
    <hyperlink xmlns:r="http://schemas.openxmlformats.org/officeDocument/2006/relationships" ref="AA126" r:id="rId280"/>
    <hyperlink xmlns:r="http://schemas.openxmlformats.org/officeDocument/2006/relationships" ref="K127" r:id="rId281"/>
    <hyperlink xmlns:r="http://schemas.openxmlformats.org/officeDocument/2006/relationships" ref="AA127" r:id="rId282"/>
    <hyperlink xmlns:r="http://schemas.openxmlformats.org/officeDocument/2006/relationships" ref="K128" r:id="rId283"/>
    <hyperlink xmlns:r="http://schemas.openxmlformats.org/officeDocument/2006/relationships" ref="AA128" r:id="rId284"/>
    <hyperlink xmlns:r="http://schemas.openxmlformats.org/officeDocument/2006/relationships" ref="K129" r:id="rId285"/>
    <hyperlink xmlns:r="http://schemas.openxmlformats.org/officeDocument/2006/relationships" ref="AA129" r:id="rId286"/>
    <hyperlink xmlns:r="http://schemas.openxmlformats.org/officeDocument/2006/relationships" ref="K130" r:id="rId287"/>
    <hyperlink xmlns:r="http://schemas.openxmlformats.org/officeDocument/2006/relationships" ref="AA130" r:id="rId288"/>
    <hyperlink xmlns:r="http://schemas.openxmlformats.org/officeDocument/2006/relationships" ref="K131" r:id="rId289"/>
    <hyperlink xmlns:r="http://schemas.openxmlformats.org/officeDocument/2006/relationships" ref="AA131" r:id="rId290"/>
    <hyperlink xmlns:r="http://schemas.openxmlformats.org/officeDocument/2006/relationships" ref="K132" r:id="rId291"/>
    <hyperlink xmlns:r="http://schemas.openxmlformats.org/officeDocument/2006/relationships" ref="AA132" r:id="rId292"/>
    <hyperlink xmlns:r="http://schemas.openxmlformats.org/officeDocument/2006/relationships" ref="K133" r:id="rId293"/>
    <hyperlink xmlns:r="http://schemas.openxmlformats.org/officeDocument/2006/relationships" ref="AA133" r:id="rId294"/>
    <hyperlink xmlns:r="http://schemas.openxmlformats.org/officeDocument/2006/relationships" ref="AB133" r:id="rId295"/>
    <hyperlink xmlns:r="http://schemas.openxmlformats.org/officeDocument/2006/relationships" ref="K134" r:id="rId296"/>
    <hyperlink xmlns:r="http://schemas.openxmlformats.org/officeDocument/2006/relationships" ref="AA134" r:id="rId297"/>
    <hyperlink xmlns:r="http://schemas.openxmlformats.org/officeDocument/2006/relationships" ref="K135" r:id="rId298"/>
    <hyperlink xmlns:r="http://schemas.openxmlformats.org/officeDocument/2006/relationships" ref="AA135" r:id="rId299"/>
    <hyperlink xmlns:r="http://schemas.openxmlformats.org/officeDocument/2006/relationships" ref="K136" r:id="rId300"/>
    <hyperlink xmlns:r="http://schemas.openxmlformats.org/officeDocument/2006/relationships" ref="AA136" r:id="rId301"/>
    <hyperlink xmlns:r="http://schemas.openxmlformats.org/officeDocument/2006/relationships" ref="K137" r:id="rId302"/>
    <hyperlink xmlns:r="http://schemas.openxmlformats.org/officeDocument/2006/relationships" ref="AA137" r:id="rId303"/>
    <hyperlink xmlns:r="http://schemas.openxmlformats.org/officeDocument/2006/relationships" ref="K138" r:id="rId304"/>
    <hyperlink xmlns:r="http://schemas.openxmlformats.org/officeDocument/2006/relationships" ref="AA138" r:id="rId305"/>
    <hyperlink xmlns:r="http://schemas.openxmlformats.org/officeDocument/2006/relationships" ref="K139" r:id="rId306"/>
    <hyperlink xmlns:r="http://schemas.openxmlformats.org/officeDocument/2006/relationships" ref="AA139" r:id="rId307"/>
    <hyperlink xmlns:r="http://schemas.openxmlformats.org/officeDocument/2006/relationships" ref="K140" r:id="rId308"/>
    <hyperlink xmlns:r="http://schemas.openxmlformats.org/officeDocument/2006/relationships" ref="AA140" r:id="rId309"/>
    <hyperlink xmlns:r="http://schemas.openxmlformats.org/officeDocument/2006/relationships" ref="K141" r:id="rId310"/>
    <hyperlink xmlns:r="http://schemas.openxmlformats.org/officeDocument/2006/relationships" ref="AA141" r:id="rId311"/>
    <hyperlink xmlns:r="http://schemas.openxmlformats.org/officeDocument/2006/relationships" ref="K142" r:id="rId312"/>
    <hyperlink xmlns:r="http://schemas.openxmlformats.org/officeDocument/2006/relationships" ref="AA142" r:id="rId313"/>
    <hyperlink xmlns:r="http://schemas.openxmlformats.org/officeDocument/2006/relationships" ref="K143" r:id="rId314"/>
    <hyperlink xmlns:r="http://schemas.openxmlformats.org/officeDocument/2006/relationships" ref="AA143" r:id="rId315"/>
    <hyperlink xmlns:r="http://schemas.openxmlformats.org/officeDocument/2006/relationships" ref="K144" r:id="rId316"/>
    <hyperlink xmlns:r="http://schemas.openxmlformats.org/officeDocument/2006/relationships" ref="N144" r:id="rId317"/>
    <hyperlink xmlns:r="http://schemas.openxmlformats.org/officeDocument/2006/relationships" ref="AA144" r:id="rId318"/>
    <hyperlink xmlns:r="http://schemas.openxmlformats.org/officeDocument/2006/relationships" ref="K145" r:id="rId319"/>
    <hyperlink xmlns:r="http://schemas.openxmlformats.org/officeDocument/2006/relationships" ref="AA145" r:id="rId320"/>
    <hyperlink xmlns:r="http://schemas.openxmlformats.org/officeDocument/2006/relationships" ref="K146" r:id="rId321"/>
    <hyperlink xmlns:r="http://schemas.openxmlformats.org/officeDocument/2006/relationships" ref="AA146" r:id="rId322"/>
    <hyperlink xmlns:r="http://schemas.openxmlformats.org/officeDocument/2006/relationships" ref="K147" r:id="rId323"/>
    <hyperlink xmlns:r="http://schemas.openxmlformats.org/officeDocument/2006/relationships" ref="AA147" r:id="rId324"/>
    <hyperlink xmlns:r="http://schemas.openxmlformats.org/officeDocument/2006/relationships" ref="K148" r:id="rId325"/>
    <hyperlink xmlns:r="http://schemas.openxmlformats.org/officeDocument/2006/relationships" ref="AA148" r:id="rId326"/>
    <hyperlink xmlns:r="http://schemas.openxmlformats.org/officeDocument/2006/relationships" ref="K149" r:id="rId327"/>
    <hyperlink xmlns:r="http://schemas.openxmlformats.org/officeDocument/2006/relationships" ref="AA149" r:id="rId328"/>
    <hyperlink xmlns:r="http://schemas.openxmlformats.org/officeDocument/2006/relationships" ref="K150" r:id="rId329"/>
    <hyperlink xmlns:r="http://schemas.openxmlformats.org/officeDocument/2006/relationships" ref="AA150" r:id="rId330"/>
    <hyperlink xmlns:r="http://schemas.openxmlformats.org/officeDocument/2006/relationships" ref="K151" r:id="rId331"/>
    <hyperlink xmlns:r="http://schemas.openxmlformats.org/officeDocument/2006/relationships" ref="AA151" r:id="rId332"/>
    <hyperlink xmlns:r="http://schemas.openxmlformats.org/officeDocument/2006/relationships" ref="K152" r:id="rId333"/>
    <hyperlink xmlns:r="http://schemas.openxmlformats.org/officeDocument/2006/relationships" ref="AA152" r:id="rId334"/>
    <hyperlink xmlns:r="http://schemas.openxmlformats.org/officeDocument/2006/relationships" ref="K153" r:id="rId335"/>
    <hyperlink xmlns:r="http://schemas.openxmlformats.org/officeDocument/2006/relationships" ref="AA153" r:id="rId336"/>
    <hyperlink xmlns:r="http://schemas.openxmlformats.org/officeDocument/2006/relationships" ref="K154" r:id="rId337"/>
    <hyperlink xmlns:r="http://schemas.openxmlformats.org/officeDocument/2006/relationships" ref="AA154" r:id="rId338"/>
    <hyperlink xmlns:r="http://schemas.openxmlformats.org/officeDocument/2006/relationships" ref="K155" r:id="rId339"/>
    <hyperlink xmlns:r="http://schemas.openxmlformats.org/officeDocument/2006/relationships" ref="AA155" r:id="rId340"/>
    <hyperlink xmlns:r="http://schemas.openxmlformats.org/officeDocument/2006/relationships" ref="K156" r:id="rId341"/>
    <hyperlink xmlns:r="http://schemas.openxmlformats.org/officeDocument/2006/relationships" ref="AA156" r:id="rId342"/>
    <hyperlink xmlns:r="http://schemas.openxmlformats.org/officeDocument/2006/relationships" ref="K157" r:id="rId343"/>
    <hyperlink xmlns:r="http://schemas.openxmlformats.org/officeDocument/2006/relationships" ref="AA157" r:id="rId344"/>
    <hyperlink xmlns:r="http://schemas.openxmlformats.org/officeDocument/2006/relationships" ref="K158" r:id="rId345"/>
    <hyperlink xmlns:r="http://schemas.openxmlformats.org/officeDocument/2006/relationships" ref="AA158" r:id="rId346"/>
    <hyperlink xmlns:r="http://schemas.openxmlformats.org/officeDocument/2006/relationships" ref="K159" r:id="rId347"/>
    <hyperlink xmlns:r="http://schemas.openxmlformats.org/officeDocument/2006/relationships" ref="AA159" r:id="rId348"/>
    <hyperlink xmlns:r="http://schemas.openxmlformats.org/officeDocument/2006/relationships" ref="K160" r:id="rId349"/>
    <hyperlink xmlns:r="http://schemas.openxmlformats.org/officeDocument/2006/relationships" ref="AA160" r:id="rId350"/>
    <hyperlink xmlns:r="http://schemas.openxmlformats.org/officeDocument/2006/relationships" ref="K161" r:id="rId351"/>
    <hyperlink xmlns:r="http://schemas.openxmlformats.org/officeDocument/2006/relationships" ref="AA161" r:id="rId352"/>
    <hyperlink xmlns:r="http://schemas.openxmlformats.org/officeDocument/2006/relationships" ref="K162" r:id="rId353"/>
    <hyperlink xmlns:r="http://schemas.openxmlformats.org/officeDocument/2006/relationships" ref="AA162" r:id="rId354"/>
    <hyperlink xmlns:r="http://schemas.openxmlformats.org/officeDocument/2006/relationships" ref="K163" r:id="rId355"/>
    <hyperlink xmlns:r="http://schemas.openxmlformats.org/officeDocument/2006/relationships" ref="AA163" r:id="rId356"/>
    <hyperlink xmlns:r="http://schemas.openxmlformats.org/officeDocument/2006/relationships" ref="K164" r:id="rId357"/>
    <hyperlink xmlns:r="http://schemas.openxmlformats.org/officeDocument/2006/relationships" ref="AA164" r:id="rId358"/>
    <hyperlink xmlns:r="http://schemas.openxmlformats.org/officeDocument/2006/relationships" ref="K165" r:id="rId359"/>
    <hyperlink xmlns:r="http://schemas.openxmlformats.org/officeDocument/2006/relationships" ref="AA165" r:id="rId360"/>
    <hyperlink xmlns:r="http://schemas.openxmlformats.org/officeDocument/2006/relationships" ref="K166" r:id="rId361"/>
    <hyperlink xmlns:r="http://schemas.openxmlformats.org/officeDocument/2006/relationships" ref="AA166" r:id="rId362"/>
    <hyperlink xmlns:r="http://schemas.openxmlformats.org/officeDocument/2006/relationships" ref="K167" r:id="rId363"/>
    <hyperlink xmlns:r="http://schemas.openxmlformats.org/officeDocument/2006/relationships" ref="AA167" r:id="rId364"/>
    <hyperlink xmlns:r="http://schemas.openxmlformats.org/officeDocument/2006/relationships" ref="K168" r:id="rId365"/>
    <hyperlink xmlns:r="http://schemas.openxmlformats.org/officeDocument/2006/relationships" ref="AA168" r:id="rId366"/>
    <hyperlink xmlns:r="http://schemas.openxmlformats.org/officeDocument/2006/relationships" ref="K169" r:id="rId367"/>
    <hyperlink xmlns:r="http://schemas.openxmlformats.org/officeDocument/2006/relationships" ref="AA169" r:id="rId368"/>
    <hyperlink xmlns:r="http://schemas.openxmlformats.org/officeDocument/2006/relationships" ref="K170" r:id="rId369"/>
    <hyperlink xmlns:r="http://schemas.openxmlformats.org/officeDocument/2006/relationships" ref="AA170" r:id="rId370"/>
    <hyperlink xmlns:r="http://schemas.openxmlformats.org/officeDocument/2006/relationships" ref="K171" r:id="rId371"/>
    <hyperlink xmlns:r="http://schemas.openxmlformats.org/officeDocument/2006/relationships" ref="AA171" r:id="rId372"/>
    <hyperlink xmlns:r="http://schemas.openxmlformats.org/officeDocument/2006/relationships" ref="K172" r:id="rId373"/>
    <hyperlink xmlns:r="http://schemas.openxmlformats.org/officeDocument/2006/relationships" ref="N172" r:id="rId374"/>
    <hyperlink xmlns:r="http://schemas.openxmlformats.org/officeDocument/2006/relationships" ref="AA172" r:id="rId375"/>
    <hyperlink xmlns:r="http://schemas.openxmlformats.org/officeDocument/2006/relationships" ref="K173" r:id="rId376"/>
    <hyperlink xmlns:r="http://schemas.openxmlformats.org/officeDocument/2006/relationships" ref="AA173" r:id="rId377"/>
    <hyperlink xmlns:r="http://schemas.openxmlformats.org/officeDocument/2006/relationships" ref="K174" r:id="rId378"/>
    <hyperlink xmlns:r="http://schemas.openxmlformats.org/officeDocument/2006/relationships" ref="AA174" r:id="rId379"/>
    <hyperlink xmlns:r="http://schemas.openxmlformats.org/officeDocument/2006/relationships" ref="K175" r:id="rId380"/>
    <hyperlink xmlns:r="http://schemas.openxmlformats.org/officeDocument/2006/relationships" ref="N175" r:id="rId381"/>
    <hyperlink xmlns:r="http://schemas.openxmlformats.org/officeDocument/2006/relationships" ref="AA175" r:id="rId382"/>
    <hyperlink xmlns:r="http://schemas.openxmlformats.org/officeDocument/2006/relationships" ref="K176" r:id="rId383"/>
    <hyperlink xmlns:r="http://schemas.openxmlformats.org/officeDocument/2006/relationships" ref="N176" r:id="rId384"/>
    <hyperlink xmlns:r="http://schemas.openxmlformats.org/officeDocument/2006/relationships" ref="AA176" r:id="rId385"/>
    <hyperlink xmlns:r="http://schemas.openxmlformats.org/officeDocument/2006/relationships" ref="K177" r:id="rId386"/>
    <hyperlink xmlns:r="http://schemas.openxmlformats.org/officeDocument/2006/relationships" ref="N177" r:id="rId387"/>
    <hyperlink xmlns:r="http://schemas.openxmlformats.org/officeDocument/2006/relationships" ref="AA177" r:id="rId388"/>
    <hyperlink xmlns:r="http://schemas.openxmlformats.org/officeDocument/2006/relationships" ref="K178" r:id="rId389"/>
    <hyperlink xmlns:r="http://schemas.openxmlformats.org/officeDocument/2006/relationships" ref="N178" r:id="rId390"/>
    <hyperlink xmlns:r="http://schemas.openxmlformats.org/officeDocument/2006/relationships" ref="AA178" r:id="rId391"/>
    <hyperlink xmlns:r="http://schemas.openxmlformats.org/officeDocument/2006/relationships" ref="K179" r:id="rId392"/>
    <hyperlink xmlns:r="http://schemas.openxmlformats.org/officeDocument/2006/relationships" ref="N179" r:id="rId393"/>
    <hyperlink xmlns:r="http://schemas.openxmlformats.org/officeDocument/2006/relationships" ref="AA179" r:id="rId394"/>
    <hyperlink xmlns:r="http://schemas.openxmlformats.org/officeDocument/2006/relationships" ref="K180" r:id="rId395"/>
    <hyperlink xmlns:r="http://schemas.openxmlformats.org/officeDocument/2006/relationships" ref="N180" r:id="rId396"/>
    <hyperlink xmlns:r="http://schemas.openxmlformats.org/officeDocument/2006/relationships" ref="AA180" r:id="rId397"/>
    <hyperlink xmlns:r="http://schemas.openxmlformats.org/officeDocument/2006/relationships" ref="K181" r:id="rId398"/>
    <hyperlink xmlns:r="http://schemas.openxmlformats.org/officeDocument/2006/relationships" ref="N181" r:id="rId399"/>
    <hyperlink xmlns:r="http://schemas.openxmlformats.org/officeDocument/2006/relationships" ref="AA181" r:id="rId400"/>
    <hyperlink xmlns:r="http://schemas.openxmlformats.org/officeDocument/2006/relationships" ref="K182" r:id="rId401"/>
    <hyperlink xmlns:r="http://schemas.openxmlformats.org/officeDocument/2006/relationships" ref="N182" r:id="rId402"/>
    <hyperlink xmlns:r="http://schemas.openxmlformats.org/officeDocument/2006/relationships" ref="AA182" r:id="rId403"/>
    <hyperlink xmlns:r="http://schemas.openxmlformats.org/officeDocument/2006/relationships" ref="K183" r:id="rId404"/>
    <hyperlink xmlns:r="http://schemas.openxmlformats.org/officeDocument/2006/relationships" ref="N183" r:id="rId405"/>
    <hyperlink xmlns:r="http://schemas.openxmlformats.org/officeDocument/2006/relationships" ref="AA183" r:id="rId406"/>
    <hyperlink xmlns:r="http://schemas.openxmlformats.org/officeDocument/2006/relationships" ref="K184" r:id="rId407"/>
    <hyperlink xmlns:r="http://schemas.openxmlformats.org/officeDocument/2006/relationships" ref="AA184" r:id="rId408"/>
    <hyperlink xmlns:r="http://schemas.openxmlformats.org/officeDocument/2006/relationships" ref="K185" r:id="rId409"/>
    <hyperlink xmlns:r="http://schemas.openxmlformats.org/officeDocument/2006/relationships" ref="AA185" r:id="rId410"/>
    <hyperlink xmlns:r="http://schemas.openxmlformats.org/officeDocument/2006/relationships" ref="AB185" r:id="rId411"/>
    <hyperlink xmlns:r="http://schemas.openxmlformats.org/officeDocument/2006/relationships" ref="K186" r:id="rId412"/>
    <hyperlink xmlns:r="http://schemas.openxmlformats.org/officeDocument/2006/relationships" ref="AA186" r:id="rId413"/>
    <hyperlink xmlns:r="http://schemas.openxmlformats.org/officeDocument/2006/relationships" ref="AB186" r:id="rId414"/>
    <hyperlink xmlns:r="http://schemas.openxmlformats.org/officeDocument/2006/relationships" ref="K187" r:id="rId415"/>
    <hyperlink xmlns:r="http://schemas.openxmlformats.org/officeDocument/2006/relationships" ref="AA187" r:id="rId416"/>
    <hyperlink xmlns:r="http://schemas.openxmlformats.org/officeDocument/2006/relationships" ref="AB187" r:id="rId417"/>
    <hyperlink xmlns:r="http://schemas.openxmlformats.org/officeDocument/2006/relationships" ref="K188" r:id="rId418"/>
    <hyperlink xmlns:r="http://schemas.openxmlformats.org/officeDocument/2006/relationships" ref="AA188" r:id="rId419"/>
    <hyperlink xmlns:r="http://schemas.openxmlformats.org/officeDocument/2006/relationships" ref="AB188" r:id="rId420"/>
    <hyperlink xmlns:r="http://schemas.openxmlformats.org/officeDocument/2006/relationships" ref="K189" r:id="rId421"/>
    <hyperlink xmlns:r="http://schemas.openxmlformats.org/officeDocument/2006/relationships" ref="AA189" r:id="rId422"/>
    <hyperlink xmlns:r="http://schemas.openxmlformats.org/officeDocument/2006/relationships" ref="K190" r:id="rId423"/>
    <hyperlink xmlns:r="http://schemas.openxmlformats.org/officeDocument/2006/relationships" ref="AA190" r:id="rId424"/>
    <hyperlink xmlns:r="http://schemas.openxmlformats.org/officeDocument/2006/relationships" ref="K191" r:id="rId425"/>
    <hyperlink xmlns:r="http://schemas.openxmlformats.org/officeDocument/2006/relationships" ref="AA191" r:id="rId426"/>
    <hyperlink xmlns:r="http://schemas.openxmlformats.org/officeDocument/2006/relationships" ref="K192" r:id="rId427"/>
    <hyperlink xmlns:r="http://schemas.openxmlformats.org/officeDocument/2006/relationships" ref="AA192" r:id="rId428"/>
    <hyperlink xmlns:r="http://schemas.openxmlformats.org/officeDocument/2006/relationships" ref="K193" r:id="rId429"/>
    <hyperlink xmlns:r="http://schemas.openxmlformats.org/officeDocument/2006/relationships" ref="AA193" r:id="rId430"/>
    <hyperlink xmlns:r="http://schemas.openxmlformats.org/officeDocument/2006/relationships" ref="K194" r:id="rId431"/>
    <hyperlink xmlns:r="http://schemas.openxmlformats.org/officeDocument/2006/relationships" ref="AA194" r:id="rId432"/>
    <hyperlink xmlns:r="http://schemas.openxmlformats.org/officeDocument/2006/relationships" ref="K195" r:id="rId433"/>
    <hyperlink xmlns:r="http://schemas.openxmlformats.org/officeDocument/2006/relationships" ref="AA195" r:id="rId434"/>
    <hyperlink xmlns:r="http://schemas.openxmlformats.org/officeDocument/2006/relationships" ref="K196" r:id="rId435"/>
    <hyperlink xmlns:r="http://schemas.openxmlformats.org/officeDocument/2006/relationships" ref="AA196" r:id="rId436"/>
    <hyperlink xmlns:r="http://schemas.openxmlformats.org/officeDocument/2006/relationships" ref="K197" r:id="rId437"/>
    <hyperlink xmlns:r="http://schemas.openxmlformats.org/officeDocument/2006/relationships" ref="AA197" r:id="rId438"/>
    <hyperlink xmlns:r="http://schemas.openxmlformats.org/officeDocument/2006/relationships" ref="K198" r:id="rId439"/>
    <hyperlink xmlns:r="http://schemas.openxmlformats.org/officeDocument/2006/relationships" ref="AA198" r:id="rId440"/>
    <hyperlink xmlns:r="http://schemas.openxmlformats.org/officeDocument/2006/relationships" ref="K199" r:id="rId441"/>
    <hyperlink xmlns:r="http://schemas.openxmlformats.org/officeDocument/2006/relationships" ref="N199" location="issue-3827824936%20|%20https://github.com/ChaiScript/ChaiScript/issues/632" r:id="rId442"/>
    <hyperlink xmlns:r="http://schemas.openxmlformats.org/officeDocument/2006/relationships" ref="AA199" r:id="rId443"/>
    <hyperlink xmlns:r="http://schemas.openxmlformats.org/officeDocument/2006/relationships" ref="K200" r:id="rId444"/>
    <hyperlink xmlns:r="http://schemas.openxmlformats.org/officeDocument/2006/relationships" ref="AA200" r:id="rId445"/>
    <hyperlink xmlns:r="http://schemas.openxmlformats.org/officeDocument/2006/relationships" ref="K201" r:id="rId446"/>
    <hyperlink xmlns:r="http://schemas.openxmlformats.org/officeDocument/2006/relationships" ref="AA201" r:id="rId447"/>
    <hyperlink xmlns:r="http://schemas.openxmlformats.org/officeDocument/2006/relationships" ref="K202" r:id="rId448"/>
    <hyperlink xmlns:r="http://schemas.openxmlformats.org/officeDocument/2006/relationships" ref="AA202" r:id="rId449"/>
    <hyperlink xmlns:r="http://schemas.openxmlformats.org/officeDocument/2006/relationships" ref="K203" r:id="rId450"/>
    <hyperlink xmlns:r="http://schemas.openxmlformats.org/officeDocument/2006/relationships" ref="AA203" r:id="rId451"/>
    <hyperlink xmlns:r="http://schemas.openxmlformats.org/officeDocument/2006/relationships" ref="AB203" r:id="rId452"/>
    <hyperlink xmlns:r="http://schemas.openxmlformats.org/officeDocument/2006/relationships" ref="K204" r:id="rId453"/>
    <hyperlink xmlns:r="http://schemas.openxmlformats.org/officeDocument/2006/relationships" ref="AA204" r:id="rId454"/>
    <hyperlink xmlns:r="http://schemas.openxmlformats.org/officeDocument/2006/relationships" ref="K205" r:id="rId455"/>
    <hyperlink xmlns:r="http://schemas.openxmlformats.org/officeDocument/2006/relationships" ref="AA205" r:id="rId456"/>
    <hyperlink xmlns:r="http://schemas.openxmlformats.org/officeDocument/2006/relationships" ref="K206" r:id="rId457"/>
    <hyperlink xmlns:r="http://schemas.openxmlformats.org/officeDocument/2006/relationships" ref="AA206" r:id="rId458"/>
    <hyperlink xmlns:r="http://schemas.openxmlformats.org/officeDocument/2006/relationships" ref="K207" r:id="rId459"/>
    <hyperlink xmlns:r="http://schemas.openxmlformats.org/officeDocument/2006/relationships" ref="AA207" r:id="rId460"/>
    <hyperlink xmlns:r="http://schemas.openxmlformats.org/officeDocument/2006/relationships" ref="K208" r:id="rId461"/>
    <hyperlink xmlns:r="http://schemas.openxmlformats.org/officeDocument/2006/relationships" ref="AA208" r:id="rId462"/>
    <hyperlink xmlns:r="http://schemas.openxmlformats.org/officeDocument/2006/relationships" ref="K209" r:id="rId463"/>
    <hyperlink xmlns:r="http://schemas.openxmlformats.org/officeDocument/2006/relationships" ref="AA209" r:id="rId464"/>
    <hyperlink xmlns:r="http://schemas.openxmlformats.org/officeDocument/2006/relationships" ref="K210" r:id="rId465"/>
    <hyperlink xmlns:r="http://schemas.openxmlformats.org/officeDocument/2006/relationships" ref="AA210" r:id="rId466"/>
    <hyperlink xmlns:r="http://schemas.openxmlformats.org/officeDocument/2006/relationships" ref="K211" r:id="rId467"/>
    <hyperlink xmlns:r="http://schemas.openxmlformats.org/officeDocument/2006/relationships" ref="AA211" r:id="rId468"/>
    <hyperlink xmlns:r="http://schemas.openxmlformats.org/officeDocument/2006/relationships" ref="AB211" r:id="rId469"/>
    <hyperlink xmlns:r="http://schemas.openxmlformats.org/officeDocument/2006/relationships" ref="K212" r:id="rId470"/>
    <hyperlink xmlns:r="http://schemas.openxmlformats.org/officeDocument/2006/relationships" ref="AA212" r:id="rId471"/>
    <hyperlink xmlns:r="http://schemas.openxmlformats.org/officeDocument/2006/relationships" ref="K213" r:id="rId472"/>
    <hyperlink xmlns:r="http://schemas.openxmlformats.org/officeDocument/2006/relationships" ref="AA213" r:id="rId473"/>
    <hyperlink xmlns:r="http://schemas.openxmlformats.org/officeDocument/2006/relationships" ref="K214" r:id="rId474"/>
    <hyperlink xmlns:r="http://schemas.openxmlformats.org/officeDocument/2006/relationships" ref="AA214" r:id="rId475"/>
    <hyperlink xmlns:r="http://schemas.openxmlformats.org/officeDocument/2006/relationships" ref="K215" r:id="rId476"/>
    <hyperlink xmlns:r="http://schemas.openxmlformats.org/officeDocument/2006/relationships" ref="AA215" r:id="rId477"/>
    <hyperlink xmlns:r="http://schemas.openxmlformats.org/officeDocument/2006/relationships" ref="K216" r:id="rId478"/>
    <hyperlink xmlns:r="http://schemas.openxmlformats.org/officeDocument/2006/relationships" ref="N216" location="SECURITY-3669" r:id="rId479"/>
    <hyperlink xmlns:r="http://schemas.openxmlformats.org/officeDocument/2006/relationships" ref="AA216" r:id="rId480"/>
    <hyperlink xmlns:r="http://schemas.openxmlformats.org/officeDocument/2006/relationships" ref="K217" r:id="rId481"/>
    <hyperlink xmlns:r="http://schemas.openxmlformats.org/officeDocument/2006/relationships" ref="N217" location="SECURITY-3658" r:id="rId482"/>
    <hyperlink xmlns:r="http://schemas.openxmlformats.org/officeDocument/2006/relationships" ref="AA217" r:id="rId483"/>
    <hyperlink xmlns:r="http://schemas.openxmlformats.org/officeDocument/2006/relationships" ref="K218" r:id="rId484"/>
    <hyperlink xmlns:r="http://schemas.openxmlformats.org/officeDocument/2006/relationships" ref="N218" r:id="rId485"/>
    <hyperlink xmlns:r="http://schemas.openxmlformats.org/officeDocument/2006/relationships" ref="AA218" r:id="rId486"/>
    <hyperlink xmlns:r="http://schemas.openxmlformats.org/officeDocument/2006/relationships" ref="K219" r:id="rId487"/>
    <hyperlink xmlns:r="http://schemas.openxmlformats.org/officeDocument/2006/relationships" ref="N219" location="issue-3828333582" r:id="rId488"/>
    <hyperlink xmlns:r="http://schemas.openxmlformats.org/officeDocument/2006/relationships" ref="AA219" r:id="rId489"/>
    <hyperlink xmlns:r="http://schemas.openxmlformats.org/officeDocument/2006/relationships" ref="K220" r:id="rId490"/>
    <hyperlink xmlns:r="http://schemas.openxmlformats.org/officeDocument/2006/relationships" ref="AA220" r:id="rId491"/>
    <hyperlink xmlns:r="http://schemas.openxmlformats.org/officeDocument/2006/relationships" ref="K221" r:id="rId492"/>
    <hyperlink xmlns:r="http://schemas.openxmlformats.org/officeDocument/2006/relationships" ref="AA221" r:id="rId493"/>
    <hyperlink xmlns:r="http://schemas.openxmlformats.org/officeDocument/2006/relationships" ref="K222" r:id="rId494"/>
    <hyperlink xmlns:r="http://schemas.openxmlformats.org/officeDocument/2006/relationships" ref="AA222" r:id="rId495"/>
    <hyperlink xmlns:r="http://schemas.openxmlformats.org/officeDocument/2006/relationships" ref="K223" r:id="rId496"/>
    <hyperlink xmlns:r="http://schemas.openxmlformats.org/officeDocument/2006/relationships" ref="AA223" r:id="rId497"/>
    <hyperlink xmlns:r="http://schemas.openxmlformats.org/officeDocument/2006/relationships" ref="K224" r:id="rId498"/>
    <hyperlink xmlns:r="http://schemas.openxmlformats.org/officeDocument/2006/relationships" ref="AA224" r:id="rId499"/>
    <hyperlink xmlns:r="http://schemas.openxmlformats.org/officeDocument/2006/relationships" ref="K225" r:id="rId500"/>
    <hyperlink xmlns:r="http://schemas.openxmlformats.org/officeDocument/2006/relationships" ref="AA225" r:id="rId501"/>
    <hyperlink xmlns:r="http://schemas.openxmlformats.org/officeDocument/2006/relationships" ref="K226" r:id="rId502"/>
    <hyperlink xmlns:r="http://schemas.openxmlformats.org/officeDocument/2006/relationships" ref="AA226" r:id="rId503"/>
    <hyperlink xmlns:r="http://schemas.openxmlformats.org/officeDocument/2006/relationships" ref="K227" r:id="rId504"/>
    <hyperlink xmlns:r="http://schemas.openxmlformats.org/officeDocument/2006/relationships" ref="AA227" r:id="rId505"/>
    <hyperlink xmlns:r="http://schemas.openxmlformats.org/officeDocument/2006/relationships" ref="AB227" r:id="rId506"/>
    <hyperlink xmlns:r="http://schemas.openxmlformats.org/officeDocument/2006/relationships" ref="K228" r:id="rId507"/>
    <hyperlink xmlns:r="http://schemas.openxmlformats.org/officeDocument/2006/relationships" ref="AA228" r:id="rId508"/>
    <hyperlink xmlns:r="http://schemas.openxmlformats.org/officeDocument/2006/relationships" ref="K229" r:id="rId509"/>
    <hyperlink xmlns:r="http://schemas.openxmlformats.org/officeDocument/2006/relationships" ref="AA229" r:id="rId510"/>
    <hyperlink xmlns:r="http://schemas.openxmlformats.org/officeDocument/2006/relationships" ref="K230" r:id="rId511"/>
    <hyperlink xmlns:r="http://schemas.openxmlformats.org/officeDocument/2006/relationships" ref="AA230" r:id="rId512"/>
    <hyperlink xmlns:r="http://schemas.openxmlformats.org/officeDocument/2006/relationships" ref="AB230" r:id="rId513"/>
    <hyperlink xmlns:r="http://schemas.openxmlformats.org/officeDocument/2006/relationships" ref="K231" r:id="rId514"/>
    <hyperlink xmlns:r="http://schemas.openxmlformats.org/officeDocument/2006/relationships" ref="AA231" r:id="rId515"/>
    <hyperlink xmlns:r="http://schemas.openxmlformats.org/officeDocument/2006/relationships" ref="K232" r:id="rId516"/>
    <hyperlink xmlns:r="http://schemas.openxmlformats.org/officeDocument/2006/relationships" ref="AA232" r:id="rId517"/>
    <hyperlink xmlns:r="http://schemas.openxmlformats.org/officeDocument/2006/relationships" ref="K233" r:id="rId518"/>
    <hyperlink xmlns:r="http://schemas.openxmlformats.org/officeDocument/2006/relationships" ref="AA233" r:id="rId519"/>
    <hyperlink xmlns:r="http://schemas.openxmlformats.org/officeDocument/2006/relationships" ref="K234" r:id="rId520"/>
    <hyperlink xmlns:r="http://schemas.openxmlformats.org/officeDocument/2006/relationships" ref="AA234" r:id="rId521"/>
    <hyperlink xmlns:r="http://schemas.openxmlformats.org/officeDocument/2006/relationships" ref="K235" r:id="rId522"/>
    <hyperlink xmlns:r="http://schemas.openxmlformats.org/officeDocument/2006/relationships" ref="AA235" r:id="rId523"/>
    <hyperlink xmlns:r="http://schemas.openxmlformats.org/officeDocument/2006/relationships" ref="K236" r:id="rId524"/>
    <hyperlink xmlns:r="http://schemas.openxmlformats.org/officeDocument/2006/relationships" ref="AA236" r:id="rId525"/>
    <hyperlink xmlns:r="http://schemas.openxmlformats.org/officeDocument/2006/relationships" ref="K237" r:id="rId526"/>
    <hyperlink xmlns:r="http://schemas.openxmlformats.org/officeDocument/2006/relationships" ref="AA237" r:id="rId527"/>
    <hyperlink xmlns:r="http://schemas.openxmlformats.org/officeDocument/2006/relationships" ref="K238" r:id="rId528"/>
    <hyperlink xmlns:r="http://schemas.openxmlformats.org/officeDocument/2006/relationships" ref="AA238" r:id="rId529"/>
    <hyperlink xmlns:r="http://schemas.openxmlformats.org/officeDocument/2006/relationships" ref="K239" r:id="rId530"/>
    <hyperlink xmlns:r="http://schemas.openxmlformats.org/officeDocument/2006/relationships" ref="AA239" r:id="rId531"/>
    <hyperlink xmlns:r="http://schemas.openxmlformats.org/officeDocument/2006/relationships" ref="K240" r:id="rId532"/>
    <hyperlink xmlns:r="http://schemas.openxmlformats.org/officeDocument/2006/relationships" ref="AA240" r:id="rId533"/>
    <hyperlink xmlns:r="http://schemas.openxmlformats.org/officeDocument/2006/relationships" ref="K241" r:id="rId534"/>
    <hyperlink xmlns:r="http://schemas.openxmlformats.org/officeDocument/2006/relationships" ref="AA241" r:id="rId535"/>
    <hyperlink xmlns:r="http://schemas.openxmlformats.org/officeDocument/2006/relationships" ref="K242" r:id="rId536"/>
    <hyperlink xmlns:r="http://schemas.openxmlformats.org/officeDocument/2006/relationships" ref="AA242" r:id="rId537"/>
    <hyperlink xmlns:r="http://schemas.openxmlformats.org/officeDocument/2006/relationships" ref="AB242" r:id="rId538"/>
    <hyperlink xmlns:r="http://schemas.openxmlformats.org/officeDocument/2006/relationships" ref="K243" r:id="rId539"/>
    <hyperlink xmlns:r="http://schemas.openxmlformats.org/officeDocument/2006/relationships" ref="AA243" r:id="rId540"/>
    <hyperlink xmlns:r="http://schemas.openxmlformats.org/officeDocument/2006/relationships" ref="K244" r:id="rId541"/>
    <hyperlink xmlns:r="http://schemas.openxmlformats.org/officeDocument/2006/relationships" ref="AA244" r:id="rId542"/>
    <hyperlink xmlns:r="http://schemas.openxmlformats.org/officeDocument/2006/relationships" ref="K245" r:id="rId543"/>
    <hyperlink xmlns:r="http://schemas.openxmlformats.org/officeDocument/2006/relationships" ref="AA245" r:id="rId544"/>
    <hyperlink xmlns:r="http://schemas.openxmlformats.org/officeDocument/2006/relationships" ref="K246" r:id="rId545"/>
    <hyperlink xmlns:r="http://schemas.openxmlformats.org/officeDocument/2006/relationships" ref="AA246" r:id="rId546"/>
    <hyperlink xmlns:r="http://schemas.openxmlformats.org/officeDocument/2006/relationships" ref="K247" r:id="rId547"/>
    <hyperlink xmlns:r="http://schemas.openxmlformats.org/officeDocument/2006/relationships" ref="N247" r:id="rId548"/>
    <hyperlink xmlns:r="http://schemas.openxmlformats.org/officeDocument/2006/relationships" ref="O247" r:id="rId549"/>
    <hyperlink xmlns:r="http://schemas.openxmlformats.org/officeDocument/2006/relationships" ref="AA247" r:id="rId550"/>
    <hyperlink xmlns:r="http://schemas.openxmlformats.org/officeDocument/2006/relationships" ref="K248" r:id="rId551"/>
    <hyperlink xmlns:r="http://schemas.openxmlformats.org/officeDocument/2006/relationships" ref="N248" r:id="rId552"/>
    <hyperlink xmlns:r="http://schemas.openxmlformats.org/officeDocument/2006/relationships" ref="O248" r:id="rId553"/>
    <hyperlink xmlns:r="http://schemas.openxmlformats.org/officeDocument/2006/relationships" ref="AA248" r:id="rId554"/>
    <hyperlink xmlns:r="http://schemas.openxmlformats.org/officeDocument/2006/relationships" ref="K249" r:id="rId555"/>
    <hyperlink xmlns:r="http://schemas.openxmlformats.org/officeDocument/2006/relationships" ref="N249" r:id="rId556"/>
    <hyperlink xmlns:r="http://schemas.openxmlformats.org/officeDocument/2006/relationships" ref="O249" r:id="rId557"/>
    <hyperlink xmlns:r="http://schemas.openxmlformats.org/officeDocument/2006/relationships" ref="AA249" r:id="rId558"/>
    <hyperlink xmlns:r="http://schemas.openxmlformats.org/officeDocument/2006/relationships" ref="K250" r:id="rId559"/>
    <hyperlink xmlns:r="http://schemas.openxmlformats.org/officeDocument/2006/relationships" ref="N250" r:id="rId560"/>
    <hyperlink xmlns:r="http://schemas.openxmlformats.org/officeDocument/2006/relationships" ref="O250" r:id="rId561"/>
    <hyperlink xmlns:r="http://schemas.openxmlformats.org/officeDocument/2006/relationships" ref="AA250" r:id="rId562"/>
    <hyperlink xmlns:r="http://schemas.openxmlformats.org/officeDocument/2006/relationships" ref="K251" r:id="rId563"/>
    <hyperlink xmlns:r="http://schemas.openxmlformats.org/officeDocument/2006/relationships" ref="AA251" r:id="rId564"/>
    <hyperlink xmlns:r="http://schemas.openxmlformats.org/officeDocument/2006/relationships" ref="K252" r:id="rId565"/>
    <hyperlink xmlns:r="http://schemas.openxmlformats.org/officeDocument/2006/relationships" ref="AA252" r:id="rId566"/>
    <hyperlink xmlns:r="http://schemas.openxmlformats.org/officeDocument/2006/relationships" ref="K253" r:id="rId567"/>
    <hyperlink xmlns:r="http://schemas.openxmlformats.org/officeDocument/2006/relationships" ref="N253" r:id="rId568"/>
    <hyperlink xmlns:r="http://schemas.openxmlformats.org/officeDocument/2006/relationships" ref="AA253" r:id="rId569"/>
    <hyperlink xmlns:r="http://schemas.openxmlformats.org/officeDocument/2006/relationships" ref="K254" r:id="rId570"/>
    <hyperlink xmlns:r="http://schemas.openxmlformats.org/officeDocument/2006/relationships" ref="AA254" r:id="rId571"/>
    <hyperlink xmlns:r="http://schemas.openxmlformats.org/officeDocument/2006/relationships" ref="K255" r:id="rId572"/>
    <hyperlink xmlns:r="http://schemas.openxmlformats.org/officeDocument/2006/relationships" ref="AA255" r:id="rId573"/>
    <hyperlink xmlns:r="http://schemas.openxmlformats.org/officeDocument/2006/relationships" ref="K256" r:id="rId574"/>
    <hyperlink xmlns:r="http://schemas.openxmlformats.org/officeDocument/2006/relationships" ref="N256" r:id="rId575"/>
    <hyperlink xmlns:r="http://schemas.openxmlformats.org/officeDocument/2006/relationships" ref="O256" r:id="rId576"/>
    <hyperlink xmlns:r="http://schemas.openxmlformats.org/officeDocument/2006/relationships" ref="AA256" r:id="rId577"/>
    <hyperlink xmlns:r="http://schemas.openxmlformats.org/officeDocument/2006/relationships" ref="K257" r:id="rId578"/>
    <hyperlink xmlns:r="http://schemas.openxmlformats.org/officeDocument/2006/relationships" ref="N257" r:id="rId579"/>
    <hyperlink xmlns:r="http://schemas.openxmlformats.org/officeDocument/2006/relationships" ref="O257" r:id="rId580"/>
    <hyperlink xmlns:r="http://schemas.openxmlformats.org/officeDocument/2006/relationships" ref="AA257" r:id="rId581"/>
    <hyperlink xmlns:r="http://schemas.openxmlformats.org/officeDocument/2006/relationships" ref="K258" r:id="rId582"/>
    <hyperlink xmlns:r="http://schemas.openxmlformats.org/officeDocument/2006/relationships" ref="N258" r:id="rId583"/>
    <hyperlink xmlns:r="http://schemas.openxmlformats.org/officeDocument/2006/relationships" ref="O258" r:id="rId584"/>
    <hyperlink xmlns:r="http://schemas.openxmlformats.org/officeDocument/2006/relationships" ref="AA258" r:id="rId585"/>
    <hyperlink xmlns:r="http://schemas.openxmlformats.org/officeDocument/2006/relationships" ref="K259" r:id="rId586"/>
    <hyperlink xmlns:r="http://schemas.openxmlformats.org/officeDocument/2006/relationships" ref="N259" r:id="rId587"/>
    <hyperlink xmlns:r="http://schemas.openxmlformats.org/officeDocument/2006/relationships" ref="AA259" r:id="rId588"/>
    <hyperlink xmlns:r="http://schemas.openxmlformats.org/officeDocument/2006/relationships" ref="K260" r:id="rId589"/>
    <hyperlink xmlns:r="http://schemas.openxmlformats.org/officeDocument/2006/relationships" ref="N260" r:id="rId590"/>
    <hyperlink xmlns:r="http://schemas.openxmlformats.org/officeDocument/2006/relationships" ref="AA260" r:id="rId591"/>
    <hyperlink xmlns:r="http://schemas.openxmlformats.org/officeDocument/2006/relationships" ref="K261" r:id="rId592"/>
    <hyperlink xmlns:r="http://schemas.openxmlformats.org/officeDocument/2006/relationships" ref="N261" r:id="rId593"/>
    <hyperlink xmlns:r="http://schemas.openxmlformats.org/officeDocument/2006/relationships" ref="AA261" r:id="rId594"/>
    <hyperlink xmlns:r="http://schemas.openxmlformats.org/officeDocument/2006/relationships" ref="K262" r:id="rId595"/>
    <hyperlink xmlns:r="http://schemas.openxmlformats.org/officeDocument/2006/relationships" ref="N262" r:id="rId596"/>
    <hyperlink xmlns:r="http://schemas.openxmlformats.org/officeDocument/2006/relationships" ref="AA262" r:id="rId597"/>
    <hyperlink xmlns:r="http://schemas.openxmlformats.org/officeDocument/2006/relationships" ref="K263" r:id="rId598"/>
    <hyperlink xmlns:r="http://schemas.openxmlformats.org/officeDocument/2006/relationships" ref="N263" r:id="rId599"/>
    <hyperlink xmlns:r="http://schemas.openxmlformats.org/officeDocument/2006/relationships" ref="AA263" r:id="rId600"/>
    <hyperlink xmlns:r="http://schemas.openxmlformats.org/officeDocument/2006/relationships" ref="K264" r:id="rId601"/>
    <hyperlink xmlns:r="http://schemas.openxmlformats.org/officeDocument/2006/relationships" ref="N264" r:id="rId602"/>
    <hyperlink xmlns:r="http://schemas.openxmlformats.org/officeDocument/2006/relationships" ref="AA264" r:id="rId603"/>
    <hyperlink xmlns:r="http://schemas.openxmlformats.org/officeDocument/2006/relationships" ref="K265" r:id="rId604"/>
    <hyperlink xmlns:r="http://schemas.openxmlformats.org/officeDocument/2006/relationships" ref="AA265" r:id="rId605"/>
    <hyperlink xmlns:r="http://schemas.openxmlformats.org/officeDocument/2006/relationships" ref="K266" r:id="rId606"/>
    <hyperlink xmlns:r="http://schemas.openxmlformats.org/officeDocument/2006/relationships" ref="AA266" r:id="rId607"/>
    <hyperlink xmlns:r="http://schemas.openxmlformats.org/officeDocument/2006/relationships" ref="K267" r:id="rId608"/>
    <hyperlink xmlns:r="http://schemas.openxmlformats.org/officeDocument/2006/relationships" ref="AA267" r:id="rId609"/>
    <hyperlink xmlns:r="http://schemas.openxmlformats.org/officeDocument/2006/relationships" ref="K268" r:id="rId610"/>
    <hyperlink xmlns:r="http://schemas.openxmlformats.org/officeDocument/2006/relationships" ref="AA268" r:id="rId611"/>
    <hyperlink xmlns:r="http://schemas.openxmlformats.org/officeDocument/2006/relationships" ref="K269" r:id="rId612"/>
    <hyperlink xmlns:r="http://schemas.openxmlformats.org/officeDocument/2006/relationships" ref="N269" r:id="rId613"/>
    <hyperlink xmlns:r="http://schemas.openxmlformats.org/officeDocument/2006/relationships" ref="O269" r:id="rId614"/>
    <hyperlink xmlns:r="http://schemas.openxmlformats.org/officeDocument/2006/relationships" ref="AA269" r:id="rId615"/>
    <hyperlink xmlns:r="http://schemas.openxmlformats.org/officeDocument/2006/relationships" ref="K270" r:id="rId616"/>
    <hyperlink xmlns:r="http://schemas.openxmlformats.org/officeDocument/2006/relationships" ref="AA270" r:id="rId617"/>
    <hyperlink xmlns:r="http://schemas.openxmlformats.org/officeDocument/2006/relationships" ref="K271" r:id="rId618"/>
    <hyperlink xmlns:r="http://schemas.openxmlformats.org/officeDocument/2006/relationships" ref="N271" r:id="rId619"/>
    <hyperlink xmlns:r="http://schemas.openxmlformats.org/officeDocument/2006/relationships" ref="O271" r:id="rId620"/>
    <hyperlink xmlns:r="http://schemas.openxmlformats.org/officeDocument/2006/relationships" ref="AA271" r:id="rId621"/>
    <hyperlink xmlns:r="http://schemas.openxmlformats.org/officeDocument/2006/relationships" ref="K272" r:id="rId622"/>
    <hyperlink xmlns:r="http://schemas.openxmlformats.org/officeDocument/2006/relationships" ref="N272" r:id="rId623"/>
    <hyperlink xmlns:r="http://schemas.openxmlformats.org/officeDocument/2006/relationships" ref="O272" r:id="rId624"/>
    <hyperlink xmlns:r="http://schemas.openxmlformats.org/officeDocument/2006/relationships" ref="AA272" r:id="rId625"/>
    <hyperlink xmlns:r="http://schemas.openxmlformats.org/officeDocument/2006/relationships" ref="K273" r:id="rId626"/>
    <hyperlink xmlns:r="http://schemas.openxmlformats.org/officeDocument/2006/relationships" ref="AA273" r:id="rId627"/>
    <hyperlink xmlns:r="http://schemas.openxmlformats.org/officeDocument/2006/relationships" ref="K274" r:id="rId628"/>
    <hyperlink xmlns:r="http://schemas.openxmlformats.org/officeDocument/2006/relationships" ref="N274" r:id="rId629"/>
    <hyperlink xmlns:r="http://schemas.openxmlformats.org/officeDocument/2006/relationships" ref="AA274" r:id="rId630"/>
    <hyperlink xmlns:r="http://schemas.openxmlformats.org/officeDocument/2006/relationships" ref="AB274" r:id="rId631"/>
    <hyperlink xmlns:r="http://schemas.openxmlformats.org/officeDocument/2006/relationships" ref="K275" r:id="rId632"/>
    <hyperlink xmlns:r="http://schemas.openxmlformats.org/officeDocument/2006/relationships" ref="N275" r:id="rId633"/>
    <hyperlink xmlns:r="http://schemas.openxmlformats.org/officeDocument/2006/relationships" ref="AA275" r:id="rId634"/>
    <hyperlink xmlns:r="http://schemas.openxmlformats.org/officeDocument/2006/relationships" ref="AB275" r:id="rId635"/>
    <hyperlink xmlns:r="http://schemas.openxmlformats.org/officeDocument/2006/relationships" ref="K276" r:id="rId636"/>
    <hyperlink xmlns:r="http://schemas.openxmlformats.org/officeDocument/2006/relationships" ref="N276" r:id="rId637"/>
    <hyperlink xmlns:r="http://schemas.openxmlformats.org/officeDocument/2006/relationships" ref="AA276" r:id="rId638"/>
    <hyperlink xmlns:r="http://schemas.openxmlformats.org/officeDocument/2006/relationships" ref="K277" r:id="rId639"/>
    <hyperlink xmlns:r="http://schemas.openxmlformats.org/officeDocument/2006/relationships" ref="N277" r:id="rId640"/>
    <hyperlink xmlns:r="http://schemas.openxmlformats.org/officeDocument/2006/relationships" ref="O277" r:id="rId641"/>
    <hyperlink xmlns:r="http://schemas.openxmlformats.org/officeDocument/2006/relationships" ref="AA277" r:id="rId642"/>
    <hyperlink xmlns:r="http://schemas.openxmlformats.org/officeDocument/2006/relationships" ref="K278" r:id="rId643"/>
    <hyperlink xmlns:r="http://schemas.openxmlformats.org/officeDocument/2006/relationships" ref="AA278" r:id="rId644"/>
    <hyperlink xmlns:r="http://schemas.openxmlformats.org/officeDocument/2006/relationships" ref="K279" r:id="rId645"/>
    <hyperlink xmlns:r="http://schemas.openxmlformats.org/officeDocument/2006/relationships" ref="AA279" r:id="rId646"/>
    <hyperlink xmlns:r="http://schemas.openxmlformats.org/officeDocument/2006/relationships" ref="K280" r:id="rId647"/>
    <hyperlink xmlns:r="http://schemas.openxmlformats.org/officeDocument/2006/relationships" ref="AA280" r:id="rId648"/>
    <hyperlink xmlns:r="http://schemas.openxmlformats.org/officeDocument/2006/relationships" ref="K281" r:id="rId649"/>
    <hyperlink xmlns:r="http://schemas.openxmlformats.org/officeDocument/2006/relationships" ref="AA281" r:id="rId650"/>
    <hyperlink xmlns:r="http://schemas.openxmlformats.org/officeDocument/2006/relationships" ref="K282" r:id="rId651"/>
    <hyperlink xmlns:r="http://schemas.openxmlformats.org/officeDocument/2006/relationships" ref="AA282" r:id="rId652"/>
    <hyperlink xmlns:r="http://schemas.openxmlformats.org/officeDocument/2006/relationships" ref="K283" r:id="rId653"/>
    <hyperlink xmlns:r="http://schemas.openxmlformats.org/officeDocument/2006/relationships" ref="AA283" r:id="rId654"/>
    <hyperlink xmlns:r="http://schemas.openxmlformats.org/officeDocument/2006/relationships" ref="K284" r:id="rId655"/>
    <hyperlink xmlns:r="http://schemas.openxmlformats.org/officeDocument/2006/relationships" ref="AA284" r:id="rId656"/>
    <hyperlink xmlns:r="http://schemas.openxmlformats.org/officeDocument/2006/relationships" ref="K285" r:id="rId657"/>
    <hyperlink xmlns:r="http://schemas.openxmlformats.org/officeDocument/2006/relationships" ref="AA285" r:id="rId658"/>
    <hyperlink xmlns:r="http://schemas.openxmlformats.org/officeDocument/2006/relationships" ref="K286" r:id="rId659"/>
    <hyperlink xmlns:r="http://schemas.openxmlformats.org/officeDocument/2006/relationships" ref="AA286" r:id="rId660"/>
    <hyperlink xmlns:r="http://schemas.openxmlformats.org/officeDocument/2006/relationships" ref="K287" r:id="rId661"/>
    <hyperlink xmlns:r="http://schemas.openxmlformats.org/officeDocument/2006/relationships" ref="AA287" r:id="rId662"/>
    <hyperlink xmlns:r="http://schemas.openxmlformats.org/officeDocument/2006/relationships" ref="K288" r:id="rId663"/>
    <hyperlink xmlns:r="http://schemas.openxmlformats.org/officeDocument/2006/relationships" ref="AA288" r:id="rId664"/>
    <hyperlink xmlns:r="http://schemas.openxmlformats.org/officeDocument/2006/relationships" ref="K289" r:id="rId665"/>
    <hyperlink xmlns:r="http://schemas.openxmlformats.org/officeDocument/2006/relationships" ref="AA289" r:id="rId666"/>
    <hyperlink xmlns:r="http://schemas.openxmlformats.org/officeDocument/2006/relationships" ref="K290" r:id="rId667"/>
    <hyperlink xmlns:r="http://schemas.openxmlformats.org/officeDocument/2006/relationships" ref="AA290" r:id="rId668"/>
    <hyperlink xmlns:r="http://schemas.openxmlformats.org/officeDocument/2006/relationships" ref="K291" r:id="rId669"/>
    <hyperlink xmlns:r="http://schemas.openxmlformats.org/officeDocument/2006/relationships" ref="AA291" r:id="rId670"/>
    <hyperlink xmlns:r="http://schemas.openxmlformats.org/officeDocument/2006/relationships" ref="K292" r:id="rId671"/>
    <hyperlink xmlns:r="http://schemas.openxmlformats.org/officeDocument/2006/relationships" ref="AA292" r:id="rId672"/>
    <hyperlink xmlns:r="http://schemas.openxmlformats.org/officeDocument/2006/relationships" ref="K293" r:id="rId673"/>
    <hyperlink xmlns:r="http://schemas.openxmlformats.org/officeDocument/2006/relationships" ref="AA293" r:id="rId674"/>
    <hyperlink xmlns:r="http://schemas.openxmlformats.org/officeDocument/2006/relationships" ref="K294" r:id="rId675"/>
    <hyperlink xmlns:r="http://schemas.openxmlformats.org/officeDocument/2006/relationships" ref="N294" r:id="rId676"/>
    <hyperlink xmlns:r="http://schemas.openxmlformats.org/officeDocument/2006/relationships" ref="O294" r:id="rId677"/>
    <hyperlink xmlns:r="http://schemas.openxmlformats.org/officeDocument/2006/relationships" ref="AA294" r:id="rId678"/>
    <hyperlink xmlns:r="http://schemas.openxmlformats.org/officeDocument/2006/relationships" ref="K295" r:id="rId679"/>
    <hyperlink xmlns:r="http://schemas.openxmlformats.org/officeDocument/2006/relationships" ref="AA295" r:id="rId680"/>
    <hyperlink xmlns:r="http://schemas.openxmlformats.org/officeDocument/2006/relationships" ref="K296" r:id="rId681"/>
    <hyperlink xmlns:r="http://schemas.openxmlformats.org/officeDocument/2006/relationships" ref="AA296" r:id="rId682"/>
    <hyperlink xmlns:r="http://schemas.openxmlformats.org/officeDocument/2006/relationships" ref="K297" r:id="rId683"/>
    <hyperlink xmlns:r="http://schemas.openxmlformats.org/officeDocument/2006/relationships" ref="AA297" r:id="rId684"/>
    <hyperlink xmlns:r="http://schemas.openxmlformats.org/officeDocument/2006/relationships" ref="K298" r:id="rId685"/>
    <hyperlink xmlns:r="http://schemas.openxmlformats.org/officeDocument/2006/relationships" ref="AA298" r:id="rId686"/>
    <hyperlink xmlns:r="http://schemas.openxmlformats.org/officeDocument/2006/relationships" ref="K299" r:id="rId687"/>
    <hyperlink xmlns:r="http://schemas.openxmlformats.org/officeDocument/2006/relationships" ref="AA299" r:id="rId688"/>
    <hyperlink xmlns:r="http://schemas.openxmlformats.org/officeDocument/2006/relationships" ref="K300" r:id="rId689"/>
    <hyperlink xmlns:r="http://schemas.openxmlformats.org/officeDocument/2006/relationships" ref="AA300" r:id="rId690"/>
    <hyperlink xmlns:r="http://schemas.openxmlformats.org/officeDocument/2006/relationships" ref="K301" r:id="rId691"/>
    <hyperlink xmlns:r="http://schemas.openxmlformats.org/officeDocument/2006/relationships" ref="AA301" r:id="rId692"/>
    <hyperlink xmlns:r="http://schemas.openxmlformats.org/officeDocument/2006/relationships" ref="K302" r:id="rId693"/>
    <hyperlink xmlns:r="http://schemas.openxmlformats.org/officeDocument/2006/relationships" ref="AA302" r:id="rId694"/>
    <hyperlink xmlns:r="http://schemas.openxmlformats.org/officeDocument/2006/relationships" ref="K303" r:id="rId695"/>
    <hyperlink xmlns:r="http://schemas.openxmlformats.org/officeDocument/2006/relationships" ref="AA303" r:id="rId696"/>
    <hyperlink xmlns:r="http://schemas.openxmlformats.org/officeDocument/2006/relationships" ref="K304" r:id="rId697"/>
    <hyperlink xmlns:r="http://schemas.openxmlformats.org/officeDocument/2006/relationships" ref="AA304" r:id="rId698"/>
    <hyperlink xmlns:r="http://schemas.openxmlformats.org/officeDocument/2006/relationships" ref="K305" r:id="rId699"/>
    <hyperlink xmlns:r="http://schemas.openxmlformats.org/officeDocument/2006/relationships" ref="AA305" r:id="rId700"/>
    <hyperlink xmlns:r="http://schemas.openxmlformats.org/officeDocument/2006/relationships" ref="K306" r:id="rId701"/>
    <hyperlink xmlns:r="http://schemas.openxmlformats.org/officeDocument/2006/relationships" ref="AA306" r:id="rId702"/>
    <hyperlink xmlns:r="http://schemas.openxmlformats.org/officeDocument/2006/relationships" ref="K307" r:id="rId703"/>
    <hyperlink xmlns:r="http://schemas.openxmlformats.org/officeDocument/2006/relationships" ref="AA307" r:id="rId704"/>
    <hyperlink xmlns:r="http://schemas.openxmlformats.org/officeDocument/2006/relationships" ref="K308" r:id="rId705"/>
    <hyperlink xmlns:r="http://schemas.openxmlformats.org/officeDocument/2006/relationships" ref="AA308" r:id="rId706"/>
    <hyperlink xmlns:r="http://schemas.openxmlformats.org/officeDocument/2006/relationships" ref="K309" r:id="rId707"/>
    <hyperlink xmlns:r="http://schemas.openxmlformats.org/officeDocument/2006/relationships" ref="AA309" r:id="rId708"/>
    <hyperlink xmlns:r="http://schemas.openxmlformats.org/officeDocument/2006/relationships" ref="K310" r:id="rId709"/>
    <hyperlink xmlns:r="http://schemas.openxmlformats.org/officeDocument/2006/relationships" ref="AA310" r:id="rId710"/>
    <hyperlink xmlns:r="http://schemas.openxmlformats.org/officeDocument/2006/relationships" ref="K311" r:id="rId711"/>
    <hyperlink xmlns:r="http://schemas.openxmlformats.org/officeDocument/2006/relationships" ref="AA311" r:id="rId712"/>
    <hyperlink xmlns:r="http://schemas.openxmlformats.org/officeDocument/2006/relationships" ref="K312" r:id="rId713"/>
    <hyperlink xmlns:r="http://schemas.openxmlformats.org/officeDocument/2006/relationships" ref="AA312" r:id="rId714"/>
    <hyperlink xmlns:r="http://schemas.openxmlformats.org/officeDocument/2006/relationships" ref="K313" r:id="rId715"/>
    <hyperlink xmlns:r="http://schemas.openxmlformats.org/officeDocument/2006/relationships" ref="AA313" r:id="rId716"/>
    <hyperlink xmlns:r="http://schemas.openxmlformats.org/officeDocument/2006/relationships" ref="K314" r:id="rId717"/>
    <hyperlink xmlns:r="http://schemas.openxmlformats.org/officeDocument/2006/relationships" ref="AA314" r:id="rId718"/>
    <hyperlink xmlns:r="http://schemas.openxmlformats.org/officeDocument/2006/relationships" ref="K315" r:id="rId719"/>
    <hyperlink xmlns:r="http://schemas.openxmlformats.org/officeDocument/2006/relationships" ref="AA315" r:id="rId720"/>
    <hyperlink xmlns:r="http://schemas.openxmlformats.org/officeDocument/2006/relationships" ref="K316" r:id="rId721"/>
    <hyperlink xmlns:r="http://schemas.openxmlformats.org/officeDocument/2006/relationships" ref="AA316" r:id="rId722"/>
    <hyperlink xmlns:r="http://schemas.openxmlformats.org/officeDocument/2006/relationships" ref="K317" r:id="rId723"/>
    <hyperlink xmlns:r="http://schemas.openxmlformats.org/officeDocument/2006/relationships" ref="AA317" r:id="rId724"/>
    <hyperlink xmlns:r="http://schemas.openxmlformats.org/officeDocument/2006/relationships" ref="K318" r:id="rId725"/>
    <hyperlink xmlns:r="http://schemas.openxmlformats.org/officeDocument/2006/relationships" ref="AA318" r:id="rId726"/>
    <hyperlink xmlns:r="http://schemas.openxmlformats.org/officeDocument/2006/relationships" ref="K319" r:id="rId727"/>
    <hyperlink xmlns:r="http://schemas.openxmlformats.org/officeDocument/2006/relationships" ref="AA319" r:id="rId728"/>
    <hyperlink xmlns:r="http://schemas.openxmlformats.org/officeDocument/2006/relationships" ref="K320" r:id="rId729"/>
    <hyperlink xmlns:r="http://schemas.openxmlformats.org/officeDocument/2006/relationships" ref="AA320" r:id="rId730"/>
    <hyperlink xmlns:r="http://schemas.openxmlformats.org/officeDocument/2006/relationships" ref="K321" r:id="rId731"/>
    <hyperlink xmlns:r="http://schemas.openxmlformats.org/officeDocument/2006/relationships" ref="N321" r:id="rId732"/>
    <hyperlink xmlns:r="http://schemas.openxmlformats.org/officeDocument/2006/relationships" ref="O321" r:id="rId733"/>
    <hyperlink xmlns:r="http://schemas.openxmlformats.org/officeDocument/2006/relationships" ref="AA321" r:id="rId734"/>
    <hyperlink xmlns:r="http://schemas.openxmlformats.org/officeDocument/2006/relationships" ref="K322" r:id="rId735"/>
    <hyperlink xmlns:r="http://schemas.openxmlformats.org/officeDocument/2006/relationships" ref="N322" r:id="rId736"/>
    <hyperlink xmlns:r="http://schemas.openxmlformats.org/officeDocument/2006/relationships" ref="O322" r:id="rId737"/>
    <hyperlink xmlns:r="http://schemas.openxmlformats.org/officeDocument/2006/relationships" ref="AA322" r:id="rId738"/>
    <hyperlink xmlns:r="http://schemas.openxmlformats.org/officeDocument/2006/relationships" ref="K323" r:id="rId739"/>
    <hyperlink xmlns:r="http://schemas.openxmlformats.org/officeDocument/2006/relationships" ref="AA323" r:id="rId740"/>
    <hyperlink xmlns:r="http://schemas.openxmlformats.org/officeDocument/2006/relationships" ref="K324" r:id="rId741"/>
    <hyperlink xmlns:r="http://schemas.openxmlformats.org/officeDocument/2006/relationships" ref="AA324" r:id="rId742"/>
    <hyperlink xmlns:r="http://schemas.openxmlformats.org/officeDocument/2006/relationships" ref="K325" r:id="rId743"/>
    <hyperlink xmlns:r="http://schemas.openxmlformats.org/officeDocument/2006/relationships" ref="AA325" r:id="rId744"/>
    <hyperlink xmlns:r="http://schemas.openxmlformats.org/officeDocument/2006/relationships" ref="K326" r:id="rId745"/>
    <hyperlink xmlns:r="http://schemas.openxmlformats.org/officeDocument/2006/relationships" ref="AA326" r:id="rId746"/>
    <hyperlink xmlns:r="http://schemas.openxmlformats.org/officeDocument/2006/relationships" ref="K327" r:id="rId747"/>
    <hyperlink xmlns:r="http://schemas.openxmlformats.org/officeDocument/2006/relationships" ref="AA327" r:id="rId748"/>
    <hyperlink xmlns:r="http://schemas.openxmlformats.org/officeDocument/2006/relationships" ref="K328" r:id="rId749"/>
    <hyperlink xmlns:r="http://schemas.openxmlformats.org/officeDocument/2006/relationships" ref="AA328" r:id="rId750"/>
    <hyperlink xmlns:r="http://schemas.openxmlformats.org/officeDocument/2006/relationships" ref="K329" r:id="rId751"/>
    <hyperlink xmlns:r="http://schemas.openxmlformats.org/officeDocument/2006/relationships" ref="AA329" r:id="rId752"/>
    <hyperlink xmlns:r="http://schemas.openxmlformats.org/officeDocument/2006/relationships" ref="K330" r:id="rId753"/>
    <hyperlink xmlns:r="http://schemas.openxmlformats.org/officeDocument/2006/relationships" ref="AA330" r:id="rId754"/>
    <hyperlink xmlns:r="http://schemas.openxmlformats.org/officeDocument/2006/relationships" ref="K331" r:id="rId755"/>
    <hyperlink xmlns:r="http://schemas.openxmlformats.org/officeDocument/2006/relationships" ref="AA331" r:id="rId756"/>
    <hyperlink xmlns:r="http://schemas.openxmlformats.org/officeDocument/2006/relationships" ref="K332" r:id="rId757"/>
    <hyperlink xmlns:r="http://schemas.openxmlformats.org/officeDocument/2006/relationships" ref="AA332" r:id="rId758"/>
    <hyperlink xmlns:r="http://schemas.openxmlformats.org/officeDocument/2006/relationships" ref="K333" r:id="rId759"/>
    <hyperlink xmlns:r="http://schemas.openxmlformats.org/officeDocument/2006/relationships" ref="AA333" r:id="rId760"/>
    <hyperlink xmlns:r="http://schemas.openxmlformats.org/officeDocument/2006/relationships" ref="K334" r:id="rId761"/>
    <hyperlink xmlns:r="http://schemas.openxmlformats.org/officeDocument/2006/relationships" ref="AA334" r:id="rId762"/>
    <hyperlink xmlns:r="http://schemas.openxmlformats.org/officeDocument/2006/relationships" ref="K335" r:id="rId763"/>
    <hyperlink xmlns:r="http://schemas.openxmlformats.org/officeDocument/2006/relationships" ref="AA335" r:id="rId764"/>
    <hyperlink xmlns:r="http://schemas.openxmlformats.org/officeDocument/2006/relationships" ref="K336" r:id="rId765"/>
    <hyperlink xmlns:r="http://schemas.openxmlformats.org/officeDocument/2006/relationships" ref="AA336" r:id="rId766"/>
    <hyperlink xmlns:r="http://schemas.openxmlformats.org/officeDocument/2006/relationships" ref="K337" r:id="rId767"/>
    <hyperlink xmlns:r="http://schemas.openxmlformats.org/officeDocument/2006/relationships" ref="AA337" r:id="rId768"/>
    <hyperlink xmlns:r="http://schemas.openxmlformats.org/officeDocument/2006/relationships" ref="K338" r:id="rId769"/>
    <hyperlink xmlns:r="http://schemas.openxmlformats.org/officeDocument/2006/relationships" ref="AA338" r:id="rId770"/>
    <hyperlink xmlns:r="http://schemas.openxmlformats.org/officeDocument/2006/relationships" ref="K339" r:id="rId771"/>
    <hyperlink xmlns:r="http://schemas.openxmlformats.org/officeDocument/2006/relationships" ref="AA339" r:id="rId772"/>
    <hyperlink xmlns:r="http://schemas.openxmlformats.org/officeDocument/2006/relationships" ref="K340" r:id="rId773"/>
    <hyperlink xmlns:r="http://schemas.openxmlformats.org/officeDocument/2006/relationships" ref="AA340" r:id="rId774"/>
    <hyperlink xmlns:r="http://schemas.openxmlformats.org/officeDocument/2006/relationships" ref="K341" r:id="rId775"/>
    <hyperlink xmlns:r="http://schemas.openxmlformats.org/officeDocument/2006/relationships" ref="N341" r:id="rId776"/>
    <hyperlink xmlns:r="http://schemas.openxmlformats.org/officeDocument/2006/relationships" ref="O341" r:id="rId777"/>
    <hyperlink xmlns:r="http://schemas.openxmlformats.org/officeDocument/2006/relationships" ref="AA341" r:id="rId778"/>
    <hyperlink xmlns:r="http://schemas.openxmlformats.org/officeDocument/2006/relationships" ref="K342" r:id="rId779"/>
    <hyperlink xmlns:r="http://schemas.openxmlformats.org/officeDocument/2006/relationships" ref="N342" r:id="rId780"/>
    <hyperlink xmlns:r="http://schemas.openxmlformats.org/officeDocument/2006/relationships" ref="AA342" r:id="rId781"/>
    <hyperlink xmlns:r="http://schemas.openxmlformats.org/officeDocument/2006/relationships" ref="K343" r:id="rId782"/>
    <hyperlink xmlns:r="http://schemas.openxmlformats.org/officeDocument/2006/relationships" ref="N343" r:id="rId783"/>
    <hyperlink xmlns:r="http://schemas.openxmlformats.org/officeDocument/2006/relationships" ref="AA343" r:id="rId784"/>
    <hyperlink xmlns:r="http://schemas.openxmlformats.org/officeDocument/2006/relationships" ref="K344" r:id="rId785"/>
    <hyperlink xmlns:r="http://schemas.openxmlformats.org/officeDocument/2006/relationships" ref="N344" r:id="rId786"/>
    <hyperlink xmlns:r="http://schemas.openxmlformats.org/officeDocument/2006/relationships" ref="AA344" r:id="rId787"/>
    <hyperlink xmlns:r="http://schemas.openxmlformats.org/officeDocument/2006/relationships" ref="K345" r:id="rId788"/>
    <hyperlink xmlns:r="http://schemas.openxmlformats.org/officeDocument/2006/relationships" ref="N345" r:id="rId789"/>
    <hyperlink xmlns:r="http://schemas.openxmlformats.org/officeDocument/2006/relationships" ref="AA345" r:id="rId790"/>
    <hyperlink xmlns:r="http://schemas.openxmlformats.org/officeDocument/2006/relationships" ref="K346" r:id="rId791"/>
    <hyperlink xmlns:r="http://schemas.openxmlformats.org/officeDocument/2006/relationships" ref="N346" r:id="rId792"/>
    <hyperlink xmlns:r="http://schemas.openxmlformats.org/officeDocument/2006/relationships" ref="AA346" r:id="rId793"/>
    <hyperlink xmlns:r="http://schemas.openxmlformats.org/officeDocument/2006/relationships" ref="K347" r:id="rId794"/>
    <hyperlink xmlns:r="http://schemas.openxmlformats.org/officeDocument/2006/relationships" ref="N347" r:id="rId795"/>
    <hyperlink xmlns:r="http://schemas.openxmlformats.org/officeDocument/2006/relationships" ref="AA347" r:id="rId796"/>
    <hyperlink xmlns:r="http://schemas.openxmlformats.org/officeDocument/2006/relationships" ref="K348" r:id="rId797"/>
    <hyperlink xmlns:r="http://schemas.openxmlformats.org/officeDocument/2006/relationships" ref="AA348" r:id="rId798"/>
    <hyperlink xmlns:r="http://schemas.openxmlformats.org/officeDocument/2006/relationships" ref="K349" r:id="rId799"/>
    <hyperlink xmlns:r="http://schemas.openxmlformats.org/officeDocument/2006/relationships" ref="AA349" r:id="rId800"/>
    <hyperlink xmlns:r="http://schemas.openxmlformats.org/officeDocument/2006/relationships" ref="K350" r:id="rId801"/>
    <hyperlink xmlns:r="http://schemas.openxmlformats.org/officeDocument/2006/relationships" ref="AA350" r:id="rId802"/>
    <hyperlink xmlns:r="http://schemas.openxmlformats.org/officeDocument/2006/relationships" ref="K351" r:id="rId803"/>
    <hyperlink xmlns:r="http://schemas.openxmlformats.org/officeDocument/2006/relationships" ref="AA351" r:id="rId804"/>
    <hyperlink xmlns:r="http://schemas.openxmlformats.org/officeDocument/2006/relationships" ref="K352" r:id="rId805"/>
    <hyperlink xmlns:r="http://schemas.openxmlformats.org/officeDocument/2006/relationships" ref="N352" r:id="rId806"/>
    <hyperlink xmlns:r="http://schemas.openxmlformats.org/officeDocument/2006/relationships" ref="AA352" r:id="rId807"/>
    <hyperlink xmlns:r="http://schemas.openxmlformats.org/officeDocument/2006/relationships" ref="K353" r:id="rId808"/>
    <hyperlink xmlns:r="http://schemas.openxmlformats.org/officeDocument/2006/relationships" ref="N353" r:id="rId809"/>
    <hyperlink xmlns:r="http://schemas.openxmlformats.org/officeDocument/2006/relationships" ref="AA353" r:id="rId810"/>
    <hyperlink xmlns:r="http://schemas.openxmlformats.org/officeDocument/2006/relationships" ref="K354" r:id="rId811"/>
    <hyperlink xmlns:r="http://schemas.openxmlformats.org/officeDocument/2006/relationships" ref="AA354" r:id="rId812"/>
    <hyperlink xmlns:r="http://schemas.openxmlformats.org/officeDocument/2006/relationships" ref="K355" r:id="rId813"/>
    <hyperlink xmlns:r="http://schemas.openxmlformats.org/officeDocument/2006/relationships" ref="AA355" r:id="rId814"/>
    <hyperlink xmlns:r="http://schemas.openxmlformats.org/officeDocument/2006/relationships" ref="K356" r:id="rId815"/>
    <hyperlink xmlns:r="http://schemas.openxmlformats.org/officeDocument/2006/relationships" ref="AA356" r:id="rId816"/>
    <hyperlink xmlns:r="http://schemas.openxmlformats.org/officeDocument/2006/relationships" ref="K357" r:id="rId817"/>
    <hyperlink xmlns:r="http://schemas.openxmlformats.org/officeDocument/2006/relationships" ref="AA357" r:id="rId818"/>
    <hyperlink xmlns:r="http://schemas.openxmlformats.org/officeDocument/2006/relationships" ref="K358" r:id="rId819"/>
    <hyperlink xmlns:r="http://schemas.openxmlformats.org/officeDocument/2006/relationships" ref="AA358" r:id="rId820"/>
    <hyperlink xmlns:r="http://schemas.openxmlformats.org/officeDocument/2006/relationships" ref="K359" r:id="rId821"/>
    <hyperlink xmlns:r="http://schemas.openxmlformats.org/officeDocument/2006/relationships" ref="AA359" r:id="rId822"/>
    <hyperlink xmlns:r="http://schemas.openxmlformats.org/officeDocument/2006/relationships" ref="K360" r:id="rId823"/>
    <hyperlink xmlns:r="http://schemas.openxmlformats.org/officeDocument/2006/relationships" ref="AA360" r:id="rId824"/>
    <hyperlink xmlns:r="http://schemas.openxmlformats.org/officeDocument/2006/relationships" ref="K361" r:id="rId825"/>
    <hyperlink xmlns:r="http://schemas.openxmlformats.org/officeDocument/2006/relationships" ref="AA361" r:id="rId826"/>
    <hyperlink xmlns:r="http://schemas.openxmlformats.org/officeDocument/2006/relationships" ref="K362" r:id="rId827"/>
    <hyperlink xmlns:r="http://schemas.openxmlformats.org/officeDocument/2006/relationships" ref="AA362" r:id="rId828"/>
    <hyperlink xmlns:r="http://schemas.openxmlformats.org/officeDocument/2006/relationships" ref="K363" r:id="rId829"/>
    <hyperlink xmlns:r="http://schemas.openxmlformats.org/officeDocument/2006/relationships" ref="AA363" r:id="rId830"/>
    <hyperlink xmlns:r="http://schemas.openxmlformats.org/officeDocument/2006/relationships" ref="K364" r:id="rId831"/>
    <hyperlink xmlns:r="http://schemas.openxmlformats.org/officeDocument/2006/relationships" ref="AA364" r:id="rId832"/>
    <hyperlink xmlns:r="http://schemas.openxmlformats.org/officeDocument/2006/relationships" ref="K365" r:id="rId833"/>
    <hyperlink xmlns:r="http://schemas.openxmlformats.org/officeDocument/2006/relationships" ref="AA365" r:id="rId834"/>
    <hyperlink xmlns:r="http://schemas.openxmlformats.org/officeDocument/2006/relationships" ref="K366" r:id="rId835"/>
    <hyperlink xmlns:r="http://schemas.openxmlformats.org/officeDocument/2006/relationships" ref="AA366" r:id="rId836"/>
    <hyperlink xmlns:r="http://schemas.openxmlformats.org/officeDocument/2006/relationships" ref="K367" r:id="rId837"/>
    <hyperlink xmlns:r="http://schemas.openxmlformats.org/officeDocument/2006/relationships" ref="AA367" r:id="rId838"/>
    <hyperlink xmlns:r="http://schemas.openxmlformats.org/officeDocument/2006/relationships" ref="K368" r:id="rId839"/>
    <hyperlink xmlns:r="http://schemas.openxmlformats.org/officeDocument/2006/relationships" ref="AA368" r:id="rId840"/>
    <hyperlink xmlns:r="http://schemas.openxmlformats.org/officeDocument/2006/relationships" ref="K369" r:id="rId841"/>
    <hyperlink xmlns:r="http://schemas.openxmlformats.org/officeDocument/2006/relationships" ref="AA369" r:id="rId842"/>
    <hyperlink xmlns:r="http://schemas.openxmlformats.org/officeDocument/2006/relationships" ref="K370" r:id="rId843"/>
    <hyperlink xmlns:r="http://schemas.openxmlformats.org/officeDocument/2006/relationships" ref="AA370" r:id="rId844"/>
    <hyperlink xmlns:r="http://schemas.openxmlformats.org/officeDocument/2006/relationships" ref="K371" r:id="rId845"/>
    <hyperlink xmlns:r="http://schemas.openxmlformats.org/officeDocument/2006/relationships" ref="AA371" r:id="rId846"/>
    <hyperlink xmlns:r="http://schemas.openxmlformats.org/officeDocument/2006/relationships" ref="K372" r:id="rId847"/>
    <hyperlink xmlns:r="http://schemas.openxmlformats.org/officeDocument/2006/relationships" ref="AA372" r:id="rId848"/>
    <hyperlink xmlns:r="http://schemas.openxmlformats.org/officeDocument/2006/relationships" ref="K373" r:id="rId849"/>
    <hyperlink xmlns:r="http://schemas.openxmlformats.org/officeDocument/2006/relationships" ref="AA373" r:id="rId850"/>
    <hyperlink xmlns:r="http://schemas.openxmlformats.org/officeDocument/2006/relationships" ref="K374" r:id="rId851"/>
    <hyperlink xmlns:r="http://schemas.openxmlformats.org/officeDocument/2006/relationships" ref="AA374" r:id="rId852"/>
    <hyperlink xmlns:r="http://schemas.openxmlformats.org/officeDocument/2006/relationships" ref="K375" r:id="rId853"/>
    <hyperlink xmlns:r="http://schemas.openxmlformats.org/officeDocument/2006/relationships" ref="AA375" r:id="rId854"/>
    <hyperlink xmlns:r="http://schemas.openxmlformats.org/officeDocument/2006/relationships" ref="K376" r:id="rId855"/>
    <hyperlink xmlns:r="http://schemas.openxmlformats.org/officeDocument/2006/relationships" ref="AA376" r:id="rId856"/>
    <hyperlink xmlns:r="http://schemas.openxmlformats.org/officeDocument/2006/relationships" ref="K377" r:id="rId857"/>
    <hyperlink xmlns:r="http://schemas.openxmlformats.org/officeDocument/2006/relationships" ref="AA377" r:id="rId858"/>
    <hyperlink xmlns:r="http://schemas.openxmlformats.org/officeDocument/2006/relationships" ref="K378" r:id="rId859"/>
    <hyperlink xmlns:r="http://schemas.openxmlformats.org/officeDocument/2006/relationships" ref="AA378" r:id="rId860"/>
    <hyperlink xmlns:r="http://schemas.openxmlformats.org/officeDocument/2006/relationships" ref="K379" r:id="rId861"/>
    <hyperlink xmlns:r="http://schemas.openxmlformats.org/officeDocument/2006/relationships" ref="AA379" r:id="rId862"/>
    <hyperlink xmlns:r="http://schemas.openxmlformats.org/officeDocument/2006/relationships" ref="K380" r:id="rId863"/>
    <hyperlink xmlns:r="http://schemas.openxmlformats.org/officeDocument/2006/relationships" ref="AA380" r:id="rId864"/>
    <hyperlink xmlns:r="http://schemas.openxmlformats.org/officeDocument/2006/relationships" ref="K381" r:id="rId865"/>
    <hyperlink xmlns:r="http://schemas.openxmlformats.org/officeDocument/2006/relationships" ref="AA381" r:id="rId866"/>
    <hyperlink xmlns:r="http://schemas.openxmlformats.org/officeDocument/2006/relationships" ref="K382" r:id="rId867"/>
    <hyperlink xmlns:r="http://schemas.openxmlformats.org/officeDocument/2006/relationships" ref="AA382" r:id="rId868"/>
    <hyperlink xmlns:r="http://schemas.openxmlformats.org/officeDocument/2006/relationships" ref="K383" r:id="rId869"/>
    <hyperlink xmlns:r="http://schemas.openxmlformats.org/officeDocument/2006/relationships" ref="AA383" r:id="rId870"/>
    <hyperlink xmlns:r="http://schemas.openxmlformats.org/officeDocument/2006/relationships" ref="K384" r:id="rId871"/>
    <hyperlink xmlns:r="http://schemas.openxmlformats.org/officeDocument/2006/relationships" ref="AA384" r:id="rId872"/>
    <hyperlink xmlns:r="http://schemas.openxmlformats.org/officeDocument/2006/relationships" ref="K385" r:id="rId873"/>
    <hyperlink xmlns:r="http://schemas.openxmlformats.org/officeDocument/2006/relationships" ref="AA385" r:id="rId874"/>
    <hyperlink xmlns:r="http://schemas.openxmlformats.org/officeDocument/2006/relationships" ref="K386" r:id="rId875"/>
    <hyperlink xmlns:r="http://schemas.openxmlformats.org/officeDocument/2006/relationships" ref="AA386" r:id="rId876"/>
    <hyperlink xmlns:r="http://schemas.openxmlformats.org/officeDocument/2006/relationships" ref="K387" r:id="rId877"/>
    <hyperlink xmlns:r="http://schemas.openxmlformats.org/officeDocument/2006/relationships" ref="AA387" r:id="rId878"/>
    <hyperlink xmlns:r="http://schemas.openxmlformats.org/officeDocument/2006/relationships" ref="K388" r:id="rId879"/>
    <hyperlink xmlns:r="http://schemas.openxmlformats.org/officeDocument/2006/relationships" ref="AA388" r:id="rId880"/>
    <hyperlink xmlns:r="http://schemas.openxmlformats.org/officeDocument/2006/relationships" ref="K389" r:id="rId881"/>
    <hyperlink xmlns:r="http://schemas.openxmlformats.org/officeDocument/2006/relationships" ref="AA389" r:id="rId882"/>
    <hyperlink xmlns:r="http://schemas.openxmlformats.org/officeDocument/2006/relationships" ref="K390" r:id="rId883"/>
    <hyperlink xmlns:r="http://schemas.openxmlformats.org/officeDocument/2006/relationships" ref="AA390" r:id="rId884"/>
    <hyperlink xmlns:r="http://schemas.openxmlformats.org/officeDocument/2006/relationships" ref="K391" r:id="rId885"/>
    <hyperlink xmlns:r="http://schemas.openxmlformats.org/officeDocument/2006/relationships" ref="AA391" r:id="rId886"/>
    <hyperlink xmlns:r="http://schemas.openxmlformats.org/officeDocument/2006/relationships" ref="K392" r:id="rId887"/>
    <hyperlink xmlns:r="http://schemas.openxmlformats.org/officeDocument/2006/relationships" ref="AA392" r:id="rId888"/>
    <hyperlink xmlns:r="http://schemas.openxmlformats.org/officeDocument/2006/relationships" ref="K393" r:id="rId889"/>
    <hyperlink xmlns:r="http://schemas.openxmlformats.org/officeDocument/2006/relationships" ref="AA393" r:id="rId890"/>
    <hyperlink xmlns:r="http://schemas.openxmlformats.org/officeDocument/2006/relationships" ref="K394" r:id="rId891"/>
    <hyperlink xmlns:r="http://schemas.openxmlformats.org/officeDocument/2006/relationships" ref="AA394" r:id="rId892"/>
    <hyperlink xmlns:r="http://schemas.openxmlformats.org/officeDocument/2006/relationships" ref="K395" r:id="rId893"/>
    <hyperlink xmlns:r="http://schemas.openxmlformats.org/officeDocument/2006/relationships" ref="AA395" r:id="rId894"/>
    <hyperlink xmlns:r="http://schemas.openxmlformats.org/officeDocument/2006/relationships" ref="K396" r:id="rId895"/>
    <hyperlink xmlns:r="http://schemas.openxmlformats.org/officeDocument/2006/relationships" ref="AA396" r:id="rId896"/>
    <hyperlink xmlns:r="http://schemas.openxmlformats.org/officeDocument/2006/relationships" ref="K397" r:id="rId897"/>
    <hyperlink xmlns:r="http://schemas.openxmlformats.org/officeDocument/2006/relationships" ref="AA397" r:id="rId898"/>
    <hyperlink xmlns:r="http://schemas.openxmlformats.org/officeDocument/2006/relationships" ref="K398" r:id="rId899"/>
    <hyperlink xmlns:r="http://schemas.openxmlformats.org/officeDocument/2006/relationships" ref="AA398" r:id="rId900"/>
    <hyperlink xmlns:r="http://schemas.openxmlformats.org/officeDocument/2006/relationships" ref="K399" r:id="rId901"/>
    <hyperlink xmlns:r="http://schemas.openxmlformats.org/officeDocument/2006/relationships" ref="AA399" r:id="rId902"/>
    <hyperlink xmlns:r="http://schemas.openxmlformats.org/officeDocument/2006/relationships" ref="K400" r:id="rId903"/>
    <hyperlink xmlns:r="http://schemas.openxmlformats.org/officeDocument/2006/relationships" ref="AA400" r:id="rId904"/>
    <hyperlink xmlns:r="http://schemas.openxmlformats.org/officeDocument/2006/relationships" ref="K401" r:id="rId905"/>
    <hyperlink xmlns:r="http://schemas.openxmlformats.org/officeDocument/2006/relationships" ref="AA401" r:id="rId906"/>
    <hyperlink xmlns:r="http://schemas.openxmlformats.org/officeDocument/2006/relationships" ref="K402" r:id="rId907"/>
    <hyperlink xmlns:r="http://schemas.openxmlformats.org/officeDocument/2006/relationships" ref="AA402" r:id="rId908"/>
    <hyperlink xmlns:r="http://schemas.openxmlformats.org/officeDocument/2006/relationships" ref="K403" r:id="rId909"/>
    <hyperlink xmlns:r="http://schemas.openxmlformats.org/officeDocument/2006/relationships" ref="AA403" r:id="rId910"/>
    <hyperlink xmlns:r="http://schemas.openxmlformats.org/officeDocument/2006/relationships" ref="K404" r:id="rId911"/>
    <hyperlink xmlns:r="http://schemas.openxmlformats.org/officeDocument/2006/relationships" ref="AA404" r:id="rId912"/>
    <hyperlink xmlns:r="http://schemas.openxmlformats.org/officeDocument/2006/relationships" ref="K405" r:id="rId913"/>
    <hyperlink xmlns:r="http://schemas.openxmlformats.org/officeDocument/2006/relationships" ref="AA405" r:id="rId914"/>
    <hyperlink xmlns:r="http://schemas.openxmlformats.org/officeDocument/2006/relationships" ref="K406" r:id="rId915"/>
    <hyperlink xmlns:r="http://schemas.openxmlformats.org/officeDocument/2006/relationships" ref="AA406" r:id="rId916"/>
    <hyperlink xmlns:r="http://schemas.openxmlformats.org/officeDocument/2006/relationships" ref="K407" r:id="rId917"/>
    <hyperlink xmlns:r="http://schemas.openxmlformats.org/officeDocument/2006/relationships" ref="AA407" r:id="rId918"/>
    <hyperlink xmlns:r="http://schemas.openxmlformats.org/officeDocument/2006/relationships" ref="K408" r:id="rId919"/>
    <hyperlink xmlns:r="http://schemas.openxmlformats.org/officeDocument/2006/relationships" ref="AA408" r:id="rId920"/>
    <hyperlink xmlns:r="http://schemas.openxmlformats.org/officeDocument/2006/relationships" ref="K409" r:id="rId921"/>
    <hyperlink xmlns:r="http://schemas.openxmlformats.org/officeDocument/2006/relationships" ref="AA409" r:id="rId922"/>
    <hyperlink xmlns:r="http://schemas.openxmlformats.org/officeDocument/2006/relationships" ref="K410" r:id="rId923"/>
    <hyperlink xmlns:r="http://schemas.openxmlformats.org/officeDocument/2006/relationships" ref="AA410" r:id="rId924"/>
    <hyperlink xmlns:r="http://schemas.openxmlformats.org/officeDocument/2006/relationships" ref="K411" r:id="rId925"/>
    <hyperlink xmlns:r="http://schemas.openxmlformats.org/officeDocument/2006/relationships" ref="AA411" r:id="rId926"/>
    <hyperlink xmlns:r="http://schemas.openxmlformats.org/officeDocument/2006/relationships" ref="K412" r:id="rId927"/>
    <hyperlink xmlns:r="http://schemas.openxmlformats.org/officeDocument/2006/relationships" ref="AA412" r:id="rId928"/>
    <hyperlink xmlns:r="http://schemas.openxmlformats.org/officeDocument/2006/relationships" ref="K413" r:id="rId929"/>
    <hyperlink xmlns:r="http://schemas.openxmlformats.org/officeDocument/2006/relationships" ref="AA413" r:id="rId930"/>
    <hyperlink xmlns:r="http://schemas.openxmlformats.org/officeDocument/2006/relationships" ref="K414" r:id="rId931"/>
    <hyperlink xmlns:r="http://schemas.openxmlformats.org/officeDocument/2006/relationships" ref="AA414" r:id="rId932"/>
    <hyperlink xmlns:r="http://schemas.openxmlformats.org/officeDocument/2006/relationships" ref="K415" r:id="rId933"/>
    <hyperlink xmlns:r="http://schemas.openxmlformats.org/officeDocument/2006/relationships" ref="AA415" r:id="rId934"/>
    <hyperlink xmlns:r="http://schemas.openxmlformats.org/officeDocument/2006/relationships" ref="K416" r:id="rId935"/>
    <hyperlink xmlns:r="http://schemas.openxmlformats.org/officeDocument/2006/relationships" ref="AA416" r:id="rId936"/>
    <hyperlink xmlns:r="http://schemas.openxmlformats.org/officeDocument/2006/relationships" ref="K417" r:id="rId937"/>
    <hyperlink xmlns:r="http://schemas.openxmlformats.org/officeDocument/2006/relationships" ref="AA417" r:id="rId938"/>
    <hyperlink xmlns:r="http://schemas.openxmlformats.org/officeDocument/2006/relationships" ref="K418" r:id="rId939"/>
    <hyperlink xmlns:r="http://schemas.openxmlformats.org/officeDocument/2006/relationships" ref="AA418" r:id="rId940"/>
    <hyperlink xmlns:r="http://schemas.openxmlformats.org/officeDocument/2006/relationships" ref="K419" r:id="rId941"/>
    <hyperlink xmlns:r="http://schemas.openxmlformats.org/officeDocument/2006/relationships" ref="AA419" r:id="rId942"/>
    <hyperlink xmlns:r="http://schemas.openxmlformats.org/officeDocument/2006/relationships" ref="K420" r:id="rId943"/>
    <hyperlink xmlns:r="http://schemas.openxmlformats.org/officeDocument/2006/relationships" ref="AA420" r:id="rId944"/>
    <hyperlink xmlns:r="http://schemas.openxmlformats.org/officeDocument/2006/relationships" ref="K421" r:id="rId945"/>
    <hyperlink xmlns:r="http://schemas.openxmlformats.org/officeDocument/2006/relationships" ref="AA421" r:id="rId946"/>
    <hyperlink xmlns:r="http://schemas.openxmlformats.org/officeDocument/2006/relationships" ref="K422" r:id="rId947"/>
    <hyperlink xmlns:r="http://schemas.openxmlformats.org/officeDocument/2006/relationships" ref="AA422" r:id="rId948"/>
    <hyperlink xmlns:r="http://schemas.openxmlformats.org/officeDocument/2006/relationships" ref="K423" r:id="rId949"/>
    <hyperlink xmlns:r="http://schemas.openxmlformats.org/officeDocument/2006/relationships" ref="N423" r:id="rId950"/>
    <hyperlink xmlns:r="http://schemas.openxmlformats.org/officeDocument/2006/relationships" ref="AA423" r:id="rId951"/>
    <hyperlink xmlns:r="http://schemas.openxmlformats.org/officeDocument/2006/relationships" ref="K424" r:id="rId952"/>
    <hyperlink xmlns:r="http://schemas.openxmlformats.org/officeDocument/2006/relationships" ref="N424" r:id="rId953"/>
    <hyperlink xmlns:r="http://schemas.openxmlformats.org/officeDocument/2006/relationships" ref="AA424" r:id="rId954"/>
    <hyperlink xmlns:r="http://schemas.openxmlformats.org/officeDocument/2006/relationships" ref="K425" r:id="rId955"/>
    <hyperlink xmlns:r="http://schemas.openxmlformats.org/officeDocument/2006/relationships" ref="N425" r:id="rId956"/>
    <hyperlink xmlns:r="http://schemas.openxmlformats.org/officeDocument/2006/relationships" ref="O425" r:id="rId957"/>
    <hyperlink xmlns:r="http://schemas.openxmlformats.org/officeDocument/2006/relationships" ref="AA425" r:id="rId958"/>
    <hyperlink xmlns:r="http://schemas.openxmlformats.org/officeDocument/2006/relationships" ref="K426" r:id="rId959"/>
    <hyperlink xmlns:r="http://schemas.openxmlformats.org/officeDocument/2006/relationships" ref="N426" r:id="rId960"/>
    <hyperlink xmlns:r="http://schemas.openxmlformats.org/officeDocument/2006/relationships" ref="AA426" r:id="rId961"/>
    <hyperlink xmlns:r="http://schemas.openxmlformats.org/officeDocument/2006/relationships" ref="K427" r:id="rId962"/>
    <hyperlink xmlns:r="http://schemas.openxmlformats.org/officeDocument/2006/relationships" ref="N427" r:id="rId963"/>
    <hyperlink xmlns:r="http://schemas.openxmlformats.org/officeDocument/2006/relationships" ref="AA427" r:id="rId964"/>
    <hyperlink xmlns:r="http://schemas.openxmlformats.org/officeDocument/2006/relationships" ref="K428" r:id="rId965"/>
    <hyperlink xmlns:r="http://schemas.openxmlformats.org/officeDocument/2006/relationships" ref="N428" r:id="rId966"/>
    <hyperlink xmlns:r="http://schemas.openxmlformats.org/officeDocument/2006/relationships" ref="AA428" r:id="rId967"/>
    <hyperlink xmlns:r="http://schemas.openxmlformats.org/officeDocument/2006/relationships" ref="K429" r:id="rId968"/>
    <hyperlink xmlns:r="http://schemas.openxmlformats.org/officeDocument/2006/relationships" ref="AA429" r:id="rId969"/>
    <hyperlink xmlns:r="http://schemas.openxmlformats.org/officeDocument/2006/relationships" ref="K430" r:id="rId970"/>
    <hyperlink xmlns:r="http://schemas.openxmlformats.org/officeDocument/2006/relationships" ref="AA430" r:id="rId971"/>
    <hyperlink xmlns:r="http://schemas.openxmlformats.org/officeDocument/2006/relationships" ref="K431" r:id="rId972"/>
    <hyperlink xmlns:r="http://schemas.openxmlformats.org/officeDocument/2006/relationships" ref="AA431" r:id="rId973"/>
    <hyperlink xmlns:r="http://schemas.openxmlformats.org/officeDocument/2006/relationships" ref="K432" r:id="rId974"/>
    <hyperlink xmlns:r="http://schemas.openxmlformats.org/officeDocument/2006/relationships" ref="AA432" r:id="rId975"/>
    <hyperlink xmlns:r="http://schemas.openxmlformats.org/officeDocument/2006/relationships" ref="K433" r:id="rId976"/>
    <hyperlink xmlns:r="http://schemas.openxmlformats.org/officeDocument/2006/relationships" ref="AA433" r:id="rId977"/>
    <hyperlink xmlns:r="http://schemas.openxmlformats.org/officeDocument/2006/relationships" ref="K434" r:id="rId978"/>
    <hyperlink xmlns:r="http://schemas.openxmlformats.org/officeDocument/2006/relationships" ref="AA434" r:id="rId979"/>
    <hyperlink xmlns:r="http://schemas.openxmlformats.org/officeDocument/2006/relationships" ref="K435" r:id="rId980"/>
    <hyperlink xmlns:r="http://schemas.openxmlformats.org/officeDocument/2006/relationships" ref="AA435" r:id="rId981"/>
    <hyperlink xmlns:r="http://schemas.openxmlformats.org/officeDocument/2006/relationships" ref="K436" r:id="rId982"/>
    <hyperlink xmlns:r="http://schemas.openxmlformats.org/officeDocument/2006/relationships" ref="N436" r:id="rId983"/>
    <hyperlink xmlns:r="http://schemas.openxmlformats.org/officeDocument/2006/relationships" ref="O436" r:id="rId984"/>
    <hyperlink xmlns:r="http://schemas.openxmlformats.org/officeDocument/2006/relationships" ref="AA436" r:id="rId985"/>
    <hyperlink xmlns:r="http://schemas.openxmlformats.org/officeDocument/2006/relationships" ref="K437" r:id="rId986"/>
    <hyperlink xmlns:r="http://schemas.openxmlformats.org/officeDocument/2006/relationships" ref="AA437" r:id="rId987"/>
    <hyperlink xmlns:r="http://schemas.openxmlformats.org/officeDocument/2006/relationships" ref="K438" r:id="rId988"/>
    <hyperlink xmlns:r="http://schemas.openxmlformats.org/officeDocument/2006/relationships" ref="AA438" r:id="rId989"/>
    <hyperlink xmlns:r="http://schemas.openxmlformats.org/officeDocument/2006/relationships" ref="K439" r:id="rId990"/>
    <hyperlink xmlns:r="http://schemas.openxmlformats.org/officeDocument/2006/relationships" ref="AA439" r:id="rId991"/>
    <hyperlink xmlns:r="http://schemas.openxmlformats.org/officeDocument/2006/relationships" ref="K440" r:id="rId992"/>
    <hyperlink xmlns:r="http://schemas.openxmlformats.org/officeDocument/2006/relationships" ref="AA440" r:id="rId993"/>
    <hyperlink xmlns:r="http://schemas.openxmlformats.org/officeDocument/2006/relationships" ref="K441" r:id="rId994"/>
    <hyperlink xmlns:r="http://schemas.openxmlformats.org/officeDocument/2006/relationships" ref="AA441" r:id="rId995"/>
    <hyperlink xmlns:r="http://schemas.openxmlformats.org/officeDocument/2006/relationships" ref="K442" r:id="rId996"/>
    <hyperlink xmlns:r="http://schemas.openxmlformats.org/officeDocument/2006/relationships" ref="AA442" r:id="rId997"/>
    <hyperlink xmlns:r="http://schemas.openxmlformats.org/officeDocument/2006/relationships" ref="K443" r:id="rId998"/>
    <hyperlink xmlns:r="http://schemas.openxmlformats.org/officeDocument/2006/relationships" ref="AA443" r:id="rId999"/>
    <hyperlink xmlns:r="http://schemas.openxmlformats.org/officeDocument/2006/relationships" ref="K444" r:id="rId1000"/>
    <hyperlink xmlns:r="http://schemas.openxmlformats.org/officeDocument/2006/relationships" ref="AA444" r:id="rId1001"/>
    <hyperlink xmlns:r="http://schemas.openxmlformats.org/officeDocument/2006/relationships" ref="K445" r:id="rId1002"/>
    <hyperlink xmlns:r="http://schemas.openxmlformats.org/officeDocument/2006/relationships" ref="AA445" r:id="rId1003"/>
    <hyperlink xmlns:r="http://schemas.openxmlformats.org/officeDocument/2006/relationships" ref="K446" r:id="rId1004"/>
    <hyperlink xmlns:r="http://schemas.openxmlformats.org/officeDocument/2006/relationships" ref="AA446" r:id="rId1005"/>
    <hyperlink xmlns:r="http://schemas.openxmlformats.org/officeDocument/2006/relationships" ref="K447" r:id="rId1006"/>
    <hyperlink xmlns:r="http://schemas.openxmlformats.org/officeDocument/2006/relationships" ref="AA447" r:id="rId1007"/>
    <hyperlink xmlns:r="http://schemas.openxmlformats.org/officeDocument/2006/relationships" ref="K448" r:id="rId1008"/>
    <hyperlink xmlns:r="http://schemas.openxmlformats.org/officeDocument/2006/relationships" ref="AA448" r:id="rId1009"/>
    <hyperlink xmlns:r="http://schemas.openxmlformats.org/officeDocument/2006/relationships" ref="K449" r:id="rId1010"/>
    <hyperlink xmlns:r="http://schemas.openxmlformats.org/officeDocument/2006/relationships" ref="AA449" r:id="rId1011"/>
    <hyperlink xmlns:r="http://schemas.openxmlformats.org/officeDocument/2006/relationships" ref="K450" r:id="rId1012"/>
    <hyperlink xmlns:r="http://schemas.openxmlformats.org/officeDocument/2006/relationships" ref="N450" r:id="rId1013"/>
    <hyperlink xmlns:r="http://schemas.openxmlformats.org/officeDocument/2006/relationships" ref="AA450" r:id="rId1014"/>
    <hyperlink xmlns:r="http://schemas.openxmlformats.org/officeDocument/2006/relationships" ref="K451" r:id="rId1015"/>
    <hyperlink xmlns:r="http://schemas.openxmlformats.org/officeDocument/2006/relationships" ref="AA451" r:id="rId1016"/>
    <hyperlink xmlns:r="http://schemas.openxmlformats.org/officeDocument/2006/relationships" ref="K452" r:id="rId1017"/>
    <hyperlink xmlns:r="http://schemas.openxmlformats.org/officeDocument/2006/relationships" ref="AA452" r:id="rId1018"/>
    <hyperlink xmlns:r="http://schemas.openxmlformats.org/officeDocument/2006/relationships" ref="K453" r:id="rId1019"/>
    <hyperlink xmlns:r="http://schemas.openxmlformats.org/officeDocument/2006/relationships" ref="AA453" r:id="rId1020"/>
    <hyperlink xmlns:r="http://schemas.openxmlformats.org/officeDocument/2006/relationships" ref="K454" r:id="rId1021"/>
    <hyperlink xmlns:r="http://schemas.openxmlformats.org/officeDocument/2006/relationships" ref="AA454" r:id="rId1022"/>
    <hyperlink xmlns:r="http://schemas.openxmlformats.org/officeDocument/2006/relationships" ref="K455" r:id="rId1023"/>
    <hyperlink xmlns:r="http://schemas.openxmlformats.org/officeDocument/2006/relationships" ref="AA455" r:id="rId1024"/>
    <hyperlink xmlns:r="http://schemas.openxmlformats.org/officeDocument/2006/relationships" ref="K456" r:id="rId1025"/>
    <hyperlink xmlns:r="http://schemas.openxmlformats.org/officeDocument/2006/relationships" ref="AA456" r:id="rId1026"/>
    <hyperlink xmlns:r="http://schemas.openxmlformats.org/officeDocument/2006/relationships" ref="K457" r:id="rId1027"/>
    <hyperlink xmlns:r="http://schemas.openxmlformats.org/officeDocument/2006/relationships" ref="AA457" r:id="rId1028"/>
    <hyperlink xmlns:r="http://schemas.openxmlformats.org/officeDocument/2006/relationships" ref="K458" r:id="rId1029"/>
    <hyperlink xmlns:r="http://schemas.openxmlformats.org/officeDocument/2006/relationships" ref="AA458" r:id="rId1030"/>
    <hyperlink xmlns:r="http://schemas.openxmlformats.org/officeDocument/2006/relationships" ref="K459" r:id="rId1031"/>
    <hyperlink xmlns:r="http://schemas.openxmlformats.org/officeDocument/2006/relationships" ref="AA459" r:id="rId1032"/>
    <hyperlink xmlns:r="http://schemas.openxmlformats.org/officeDocument/2006/relationships" ref="K460" r:id="rId1033"/>
    <hyperlink xmlns:r="http://schemas.openxmlformats.org/officeDocument/2006/relationships" ref="AA460" r:id="rId1034"/>
    <hyperlink xmlns:r="http://schemas.openxmlformats.org/officeDocument/2006/relationships" ref="K461" r:id="rId1035"/>
    <hyperlink xmlns:r="http://schemas.openxmlformats.org/officeDocument/2006/relationships" ref="AA461" r:id="rId1036"/>
    <hyperlink xmlns:r="http://schemas.openxmlformats.org/officeDocument/2006/relationships" ref="K462" r:id="rId1037"/>
    <hyperlink xmlns:r="http://schemas.openxmlformats.org/officeDocument/2006/relationships" ref="AA462" r:id="rId1038"/>
    <hyperlink xmlns:r="http://schemas.openxmlformats.org/officeDocument/2006/relationships" ref="K463" r:id="rId1039"/>
    <hyperlink xmlns:r="http://schemas.openxmlformats.org/officeDocument/2006/relationships" ref="AA463" r:id="rId1040"/>
    <hyperlink xmlns:r="http://schemas.openxmlformats.org/officeDocument/2006/relationships" ref="K464" r:id="rId1041"/>
    <hyperlink xmlns:r="http://schemas.openxmlformats.org/officeDocument/2006/relationships" ref="AA464" r:id="rId1042"/>
    <hyperlink xmlns:r="http://schemas.openxmlformats.org/officeDocument/2006/relationships" ref="K465" r:id="rId1043"/>
    <hyperlink xmlns:r="http://schemas.openxmlformats.org/officeDocument/2006/relationships" ref="AA465" r:id="rId1044"/>
    <hyperlink xmlns:r="http://schemas.openxmlformats.org/officeDocument/2006/relationships" ref="K466" r:id="rId1045"/>
    <hyperlink xmlns:r="http://schemas.openxmlformats.org/officeDocument/2006/relationships" ref="AA466" r:id="rId1046"/>
    <hyperlink xmlns:r="http://schemas.openxmlformats.org/officeDocument/2006/relationships" ref="K467" r:id="rId1047"/>
    <hyperlink xmlns:r="http://schemas.openxmlformats.org/officeDocument/2006/relationships" ref="AA467" r:id="rId1048"/>
    <hyperlink xmlns:r="http://schemas.openxmlformats.org/officeDocument/2006/relationships" ref="K468" r:id="rId1049"/>
    <hyperlink xmlns:r="http://schemas.openxmlformats.org/officeDocument/2006/relationships" ref="AA468" r:id="rId1050"/>
    <hyperlink xmlns:r="http://schemas.openxmlformats.org/officeDocument/2006/relationships" ref="K469" r:id="rId1051"/>
    <hyperlink xmlns:r="http://schemas.openxmlformats.org/officeDocument/2006/relationships" ref="AA469" r:id="rId1052"/>
    <hyperlink xmlns:r="http://schemas.openxmlformats.org/officeDocument/2006/relationships" ref="K470" r:id="rId1053"/>
    <hyperlink xmlns:r="http://schemas.openxmlformats.org/officeDocument/2006/relationships" ref="AA470" r:id="rId1054"/>
    <hyperlink xmlns:r="http://schemas.openxmlformats.org/officeDocument/2006/relationships" ref="K471" r:id="rId1055"/>
    <hyperlink xmlns:r="http://schemas.openxmlformats.org/officeDocument/2006/relationships" ref="AA471" r:id="rId1056"/>
    <hyperlink xmlns:r="http://schemas.openxmlformats.org/officeDocument/2006/relationships" ref="K472" r:id="rId1057"/>
    <hyperlink xmlns:r="http://schemas.openxmlformats.org/officeDocument/2006/relationships" ref="AA472" r:id="rId1058"/>
    <hyperlink xmlns:r="http://schemas.openxmlformats.org/officeDocument/2006/relationships" ref="K473" r:id="rId1059"/>
    <hyperlink xmlns:r="http://schemas.openxmlformats.org/officeDocument/2006/relationships" ref="AA473" r:id="rId1060"/>
    <hyperlink xmlns:r="http://schemas.openxmlformats.org/officeDocument/2006/relationships" ref="K474" r:id="rId1061"/>
    <hyperlink xmlns:r="http://schemas.openxmlformats.org/officeDocument/2006/relationships" ref="AA474" r:id="rId1062"/>
    <hyperlink xmlns:r="http://schemas.openxmlformats.org/officeDocument/2006/relationships" ref="K475" r:id="rId1063"/>
    <hyperlink xmlns:r="http://schemas.openxmlformats.org/officeDocument/2006/relationships" ref="AA475" r:id="rId1064"/>
    <hyperlink xmlns:r="http://schemas.openxmlformats.org/officeDocument/2006/relationships" ref="K476" r:id="rId1065"/>
    <hyperlink xmlns:r="http://schemas.openxmlformats.org/officeDocument/2006/relationships" ref="AA476" r:id="rId1066"/>
    <hyperlink xmlns:r="http://schemas.openxmlformats.org/officeDocument/2006/relationships" ref="K477" r:id="rId1067"/>
    <hyperlink xmlns:r="http://schemas.openxmlformats.org/officeDocument/2006/relationships" ref="AA477" r:id="rId1068"/>
    <hyperlink xmlns:r="http://schemas.openxmlformats.org/officeDocument/2006/relationships" ref="K478" r:id="rId1069"/>
    <hyperlink xmlns:r="http://schemas.openxmlformats.org/officeDocument/2006/relationships" ref="AA478" r:id="rId1070"/>
    <hyperlink xmlns:r="http://schemas.openxmlformats.org/officeDocument/2006/relationships" ref="K479" r:id="rId1071"/>
    <hyperlink xmlns:r="http://schemas.openxmlformats.org/officeDocument/2006/relationships" ref="AA479" r:id="rId1072"/>
    <hyperlink xmlns:r="http://schemas.openxmlformats.org/officeDocument/2006/relationships" ref="K480" r:id="rId1073"/>
    <hyperlink xmlns:r="http://schemas.openxmlformats.org/officeDocument/2006/relationships" ref="AA480" r:id="rId1074"/>
    <hyperlink xmlns:r="http://schemas.openxmlformats.org/officeDocument/2006/relationships" ref="K481" r:id="rId1075"/>
    <hyperlink xmlns:r="http://schemas.openxmlformats.org/officeDocument/2006/relationships" ref="AA481" r:id="rId1076"/>
    <hyperlink xmlns:r="http://schemas.openxmlformats.org/officeDocument/2006/relationships" ref="K482" r:id="rId1077"/>
    <hyperlink xmlns:r="http://schemas.openxmlformats.org/officeDocument/2006/relationships" ref="AA482" r:id="rId1078"/>
    <hyperlink xmlns:r="http://schemas.openxmlformats.org/officeDocument/2006/relationships" ref="K483" r:id="rId1079"/>
    <hyperlink xmlns:r="http://schemas.openxmlformats.org/officeDocument/2006/relationships" ref="AA483" r:id="rId1080"/>
    <hyperlink xmlns:r="http://schemas.openxmlformats.org/officeDocument/2006/relationships" ref="K484" r:id="rId1081"/>
    <hyperlink xmlns:r="http://schemas.openxmlformats.org/officeDocument/2006/relationships" ref="AA484" r:id="rId1082"/>
    <hyperlink xmlns:r="http://schemas.openxmlformats.org/officeDocument/2006/relationships" ref="K485" r:id="rId1083"/>
    <hyperlink xmlns:r="http://schemas.openxmlformats.org/officeDocument/2006/relationships" ref="AA485" r:id="rId1084"/>
    <hyperlink xmlns:r="http://schemas.openxmlformats.org/officeDocument/2006/relationships" ref="K486" r:id="rId1085"/>
    <hyperlink xmlns:r="http://schemas.openxmlformats.org/officeDocument/2006/relationships" ref="AA486" r:id="rId1086"/>
    <hyperlink xmlns:r="http://schemas.openxmlformats.org/officeDocument/2006/relationships" ref="K487" r:id="rId1087"/>
    <hyperlink xmlns:r="http://schemas.openxmlformats.org/officeDocument/2006/relationships" ref="AA487" r:id="rId1088"/>
    <hyperlink xmlns:r="http://schemas.openxmlformats.org/officeDocument/2006/relationships" ref="K488" r:id="rId1089"/>
    <hyperlink xmlns:r="http://schemas.openxmlformats.org/officeDocument/2006/relationships" ref="AA488" r:id="rId1090"/>
    <hyperlink xmlns:r="http://schemas.openxmlformats.org/officeDocument/2006/relationships" ref="K489" r:id="rId1091"/>
    <hyperlink xmlns:r="http://schemas.openxmlformats.org/officeDocument/2006/relationships" ref="AA489" r:id="rId1092"/>
    <hyperlink xmlns:r="http://schemas.openxmlformats.org/officeDocument/2006/relationships" ref="K490" r:id="rId1093"/>
    <hyperlink xmlns:r="http://schemas.openxmlformats.org/officeDocument/2006/relationships" ref="AA490" r:id="rId1094"/>
    <hyperlink xmlns:r="http://schemas.openxmlformats.org/officeDocument/2006/relationships" ref="K491" r:id="rId1095"/>
    <hyperlink xmlns:r="http://schemas.openxmlformats.org/officeDocument/2006/relationships" ref="AA491" r:id="rId1096"/>
    <hyperlink xmlns:r="http://schemas.openxmlformats.org/officeDocument/2006/relationships" ref="K492" r:id="rId1097"/>
    <hyperlink xmlns:r="http://schemas.openxmlformats.org/officeDocument/2006/relationships" ref="AA492" r:id="rId1098"/>
    <hyperlink xmlns:r="http://schemas.openxmlformats.org/officeDocument/2006/relationships" ref="K493" r:id="rId1099"/>
    <hyperlink xmlns:r="http://schemas.openxmlformats.org/officeDocument/2006/relationships" ref="AA493" r:id="rId1100"/>
    <hyperlink xmlns:r="http://schemas.openxmlformats.org/officeDocument/2006/relationships" ref="K494" r:id="rId1101"/>
    <hyperlink xmlns:r="http://schemas.openxmlformats.org/officeDocument/2006/relationships" ref="AA494" r:id="rId1102"/>
    <hyperlink xmlns:r="http://schemas.openxmlformats.org/officeDocument/2006/relationships" ref="K495" r:id="rId1103"/>
    <hyperlink xmlns:r="http://schemas.openxmlformats.org/officeDocument/2006/relationships" ref="AA495" r:id="rId1104"/>
    <hyperlink xmlns:r="http://schemas.openxmlformats.org/officeDocument/2006/relationships" ref="K496" r:id="rId1105"/>
    <hyperlink xmlns:r="http://schemas.openxmlformats.org/officeDocument/2006/relationships" ref="AA496" r:id="rId1106"/>
    <hyperlink xmlns:r="http://schemas.openxmlformats.org/officeDocument/2006/relationships" ref="K497" r:id="rId1107"/>
    <hyperlink xmlns:r="http://schemas.openxmlformats.org/officeDocument/2006/relationships" ref="AA497" r:id="rId1108"/>
    <hyperlink xmlns:r="http://schemas.openxmlformats.org/officeDocument/2006/relationships" ref="K498" r:id="rId1109"/>
    <hyperlink xmlns:r="http://schemas.openxmlformats.org/officeDocument/2006/relationships" ref="AA498" r:id="rId1110"/>
    <hyperlink xmlns:r="http://schemas.openxmlformats.org/officeDocument/2006/relationships" ref="K499" r:id="rId1111"/>
    <hyperlink xmlns:r="http://schemas.openxmlformats.org/officeDocument/2006/relationships" ref="AA499" r:id="rId1112"/>
    <hyperlink xmlns:r="http://schemas.openxmlformats.org/officeDocument/2006/relationships" ref="K500" r:id="rId1113"/>
    <hyperlink xmlns:r="http://schemas.openxmlformats.org/officeDocument/2006/relationships" ref="AA500" r:id="rId1114"/>
    <hyperlink xmlns:r="http://schemas.openxmlformats.org/officeDocument/2006/relationships" ref="K501" r:id="rId1115"/>
    <hyperlink xmlns:r="http://schemas.openxmlformats.org/officeDocument/2006/relationships" ref="AA501" r:id="rId1116"/>
    <hyperlink xmlns:r="http://schemas.openxmlformats.org/officeDocument/2006/relationships" ref="K502" r:id="rId1117"/>
    <hyperlink xmlns:r="http://schemas.openxmlformats.org/officeDocument/2006/relationships" ref="AA502" r:id="rId1118"/>
    <hyperlink xmlns:r="http://schemas.openxmlformats.org/officeDocument/2006/relationships" ref="K503" r:id="rId1119"/>
    <hyperlink xmlns:r="http://schemas.openxmlformats.org/officeDocument/2006/relationships" ref="AA503" r:id="rId1120"/>
    <hyperlink xmlns:r="http://schemas.openxmlformats.org/officeDocument/2006/relationships" ref="K504" r:id="rId1121"/>
    <hyperlink xmlns:r="http://schemas.openxmlformats.org/officeDocument/2006/relationships" ref="AA504" r:id="rId1122"/>
    <hyperlink xmlns:r="http://schemas.openxmlformats.org/officeDocument/2006/relationships" ref="K505" r:id="rId1123"/>
    <hyperlink xmlns:r="http://schemas.openxmlformats.org/officeDocument/2006/relationships" ref="AA505" r:id="rId1124"/>
    <hyperlink xmlns:r="http://schemas.openxmlformats.org/officeDocument/2006/relationships" ref="K506" r:id="rId1125"/>
    <hyperlink xmlns:r="http://schemas.openxmlformats.org/officeDocument/2006/relationships" ref="AA506" r:id="rId1126"/>
    <hyperlink xmlns:r="http://schemas.openxmlformats.org/officeDocument/2006/relationships" ref="K507" r:id="rId1127"/>
    <hyperlink xmlns:r="http://schemas.openxmlformats.org/officeDocument/2006/relationships" ref="AA507" r:id="rId1128"/>
    <hyperlink xmlns:r="http://schemas.openxmlformats.org/officeDocument/2006/relationships" ref="K508" r:id="rId1129"/>
    <hyperlink xmlns:r="http://schemas.openxmlformats.org/officeDocument/2006/relationships" ref="AA508" r:id="rId1130"/>
    <hyperlink xmlns:r="http://schemas.openxmlformats.org/officeDocument/2006/relationships" ref="K509" r:id="rId1131"/>
    <hyperlink xmlns:r="http://schemas.openxmlformats.org/officeDocument/2006/relationships" ref="AA509" r:id="rId1132"/>
    <hyperlink xmlns:r="http://schemas.openxmlformats.org/officeDocument/2006/relationships" ref="K510" r:id="rId1133"/>
    <hyperlink xmlns:r="http://schemas.openxmlformats.org/officeDocument/2006/relationships" ref="AA510" r:id="rId1134"/>
    <hyperlink xmlns:r="http://schemas.openxmlformats.org/officeDocument/2006/relationships" ref="K511" r:id="rId1135"/>
    <hyperlink xmlns:r="http://schemas.openxmlformats.org/officeDocument/2006/relationships" ref="AA511" r:id="rId1136"/>
    <hyperlink xmlns:r="http://schemas.openxmlformats.org/officeDocument/2006/relationships" ref="K512" r:id="rId1137"/>
    <hyperlink xmlns:r="http://schemas.openxmlformats.org/officeDocument/2006/relationships" ref="AA512" r:id="rId1138"/>
    <hyperlink xmlns:r="http://schemas.openxmlformats.org/officeDocument/2006/relationships" ref="K513" r:id="rId1139"/>
    <hyperlink xmlns:r="http://schemas.openxmlformats.org/officeDocument/2006/relationships" ref="AA513" r:id="rId1140"/>
    <hyperlink xmlns:r="http://schemas.openxmlformats.org/officeDocument/2006/relationships" ref="K514" r:id="rId1141"/>
    <hyperlink xmlns:r="http://schemas.openxmlformats.org/officeDocument/2006/relationships" ref="AA514" r:id="rId1142"/>
    <hyperlink xmlns:r="http://schemas.openxmlformats.org/officeDocument/2006/relationships" ref="K515" r:id="rId1143"/>
    <hyperlink xmlns:r="http://schemas.openxmlformats.org/officeDocument/2006/relationships" ref="AA515" r:id="rId1144"/>
    <hyperlink xmlns:r="http://schemas.openxmlformats.org/officeDocument/2006/relationships" ref="K516" r:id="rId1145"/>
    <hyperlink xmlns:r="http://schemas.openxmlformats.org/officeDocument/2006/relationships" ref="AA516" r:id="rId1146"/>
    <hyperlink xmlns:r="http://schemas.openxmlformats.org/officeDocument/2006/relationships" ref="K517" r:id="rId1147"/>
    <hyperlink xmlns:r="http://schemas.openxmlformats.org/officeDocument/2006/relationships" ref="AA517" r:id="rId1148"/>
    <hyperlink xmlns:r="http://schemas.openxmlformats.org/officeDocument/2006/relationships" ref="K518" r:id="rId1149"/>
    <hyperlink xmlns:r="http://schemas.openxmlformats.org/officeDocument/2006/relationships" ref="AA518" r:id="rId1150"/>
    <hyperlink xmlns:r="http://schemas.openxmlformats.org/officeDocument/2006/relationships" ref="K519" r:id="rId1151"/>
    <hyperlink xmlns:r="http://schemas.openxmlformats.org/officeDocument/2006/relationships" ref="AA519" r:id="rId1152"/>
    <hyperlink xmlns:r="http://schemas.openxmlformats.org/officeDocument/2006/relationships" ref="K520" r:id="rId1153"/>
    <hyperlink xmlns:r="http://schemas.openxmlformats.org/officeDocument/2006/relationships" ref="AA520" r:id="rId1154"/>
    <hyperlink xmlns:r="http://schemas.openxmlformats.org/officeDocument/2006/relationships" ref="K521" r:id="rId1155"/>
    <hyperlink xmlns:r="http://schemas.openxmlformats.org/officeDocument/2006/relationships" ref="AA521" r:id="rId1156"/>
    <hyperlink xmlns:r="http://schemas.openxmlformats.org/officeDocument/2006/relationships" ref="K522" r:id="rId1157"/>
    <hyperlink xmlns:r="http://schemas.openxmlformats.org/officeDocument/2006/relationships" ref="AA522" r:id="rId1158"/>
    <hyperlink xmlns:r="http://schemas.openxmlformats.org/officeDocument/2006/relationships" ref="K523" r:id="rId1159"/>
    <hyperlink xmlns:r="http://schemas.openxmlformats.org/officeDocument/2006/relationships" ref="AA523" r:id="rId1160"/>
    <hyperlink xmlns:r="http://schemas.openxmlformats.org/officeDocument/2006/relationships" ref="K524" r:id="rId1161"/>
    <hyperlink xmlns:r="http://schemas.openxmlformats.org/officeDocument/2006/relationships" ref="AA524" r:id="rId1162"/>
    <hyperlink xmlns:r="http://schemas.openxmlformats.org/officeDocument/2006/relationships" ref="K525" r:id="rId1163"/>
    <hyperlink xmlns:r="http://schemas.openxmlformats.org/officeDocument/2006/relationships" ref="AA525" r:id="rId1164"/>
    <hyperlink xmlns:r="http://schemas.openxmlformats.org/officeDocument/2006/relationships" ref="K526" r:id="rId1165"/>
    <hyperlink xmlns:r="http://schemas.openxmlformats.org/officeDocument/2006/relationships" ref="AA526" r:id="rId1166"/>
    <hyperlink xmlns:r="http://schemas.openxmlformats.org/officeDocument/2006/relationships" ref="K527" r:id="rId1167"/>
    <hyperlink xmlns:r="http://schemas.openxmlformats.org/officeDocument/2006/relationships" ref="AA527" r:id="rId1168"/>
    <hyperlink xmlns:r="http://schemas.openxmlformats.org/officeDocument/2006/relationships" ref="K528" r:id="rId1169"/>
    <hyperlink xmlns:r="http://schemas.openxmlformats.org/officeDocument/2006/relationships" ref="AA528" r:id="rId1170"/>
    <hyperlink xmlns:r="http://schemas.openxmlformats.org/officeDocument/2006/relationships" ref="K529" r:id="rId1171"/>
    <hyperlink xmlns:r="http://schemas.openxmlformats.org/officeDocument/2006/relationships" ref="AA529" r:id="rId1172"/>
    <hyperlink xmlns:r="http://schemas.openxmlformats.org/officeDocument/2006/relationships" ref="K530" r:id="rId1173"/>
    <hyperlink xmlns:r="http://schemas.openxmlformats.org/officeDocument/2006/relationships" ref="AA530" r:id="rId1174"/>
    <hyperlink xmlns:r="http://schemas.openxmlformats.org/officeDocument/2006/relationships" ref="K531" r:id="rId1175"/>
    <hyperlink xmlns:r="http://schemas.openxmlformats.org/officeDocument/2006/relationships" ref="AA531" r:id="rId1176"/>
    <hyperlink xmlns:r="http://schemas.openxmlformats.org/officeDocument/2006/relationships" ref="K532" r:id="rId1177"/>
    <hyperlink xmlns:r="http://schemas.openxmlformats.org/officeDocument/2006/relationships" ref="AA532" r:id="rId1178"/>
    <hyperlink xmlns:r="http://schemas.openxmlformats.org/officeDocument/2006/relationships" ref="K533" r:id="rId1179"/>
    <hyperlink xmlns:r="http://schemas.openxmlformats.org/officeDocument/2006/relationships" ref="AA533" r:id="rId1180"/>
    <hyperlink xmlns:r="http://schemas.openxmlformats.org/officeDocument/2006/relationships" ref="K534" r:id="rId1181"/>
    <hyperlink xmlns:r="http://schemas.openxmlformats.org/officeDocument/2006/relationships" ref="AA534" r:id="rId1182"/>
    <hyperlink xmlns:r="http://schemas.openxmlformats.org/officeDocument/2006/relationships" ref="K535" r:id="rId1183"/>
    <hyperlink xmlns:r="http://schemas.openxmlformats.org/officeDocument/2006/relationships" ref="AA535" r:id="rId1184"/>
    <hyperlink xmlns:r="http://schemas.openxmlformats.org/officeDocument/2006/relationships" ref="K536" r:id="rId1185"/>
    <hyperlink xmlns:r="http://schemas.openxmlformats.org/officeDocument/2006/relationships" ref="AA536" r:id="rId1186"/>
    <hyperlink xmlns:r="http://schemas.openxmlformats.org/officeDocument/2006/relationships" ref="K537" r:id="rId1187"/>
    <hyperlink xmlns:r="http://schemas.openxmlformats.org/officeDocument/2006/relationships" ref="AA537" r:id="rId1188"/>
    <hyperlink xmlns:r="http://schemas.openxmlformats.org/officeDocument/2006/relationships" ref="K538" r:id="rId1189"/>
    <hyperlink xmlns:r="http://schemas.openxmlformats.org/officeDocument/2006/relationships" ref="AA538" r:id="rId1190"/>
    <hyperlink xmlns:r="http://schemas.openxmlformats.org/officeDocument/2006/relationships" ref="K539" r:id="rId1191"/>
    <hyperlink xmlns:r="http://schemas.openxmlformats.org/officeDocument/2006/relationships" ref="AA539" r:id="rId1192"/>
    <hyperlink xmlns:r="http://schemas.openxmlformats.org/officeDocument/2006/relationships" ref="K540" r:id="rId1193"/>
    <hyperlink xmlns:r="http://schemas.openxmlformats.org/officeDocument/2006/relationships" ref="AA540" r:id="rId1194"/>
    <hyperlink xmlns:r="http://schemas.openxmlformats.org/officeDocument/2006/relationships" ref="K541" r:id="rId1195"/>
    <hyperlink xmlns:r="http://schemas.openxmlformats.org/officeDocument/2006/relationships" ref="AA541" r:id="rId1196"/>
    <hyperlink xmlns:r="http://schemas.openxmlformats.org/officeDocument/2006/relationships" ref="K542" r:id="rId1197"/>
    <hyperlink xmlns:r="http://schemas.openxmlformats.org/officeDocument/2006/relationships" ref="AA542" r:id="rId1198"/>
    <hyperlink xmlns:r="http://schemas.openxmlformats.org/officeDocument/2006/relationships" ref="K543" r:id="rId1199"/>
    <hyperlink xmlns:r="http://schemas.openxmlformats.org/officeDocument/2006/relationships" ref="AA543" r:id="rId1200"/>
    <hyperlink xmlns:r="http://schemas.openxmlformats.org/officeDocument/2006/relationships" ref="K544" r:id="rId1201"/>
    <hyperlink xmlns:r="http://schemas.openxmlformats.org/officeDocument/2006/relationships" ref="AA544" r:id="rId1202"/>
    <hyperlink xmlns:r="http://schemas.openxmlformats.org/officeDocument/2006/relationships" ref="K545" r:id="rId1203"/>
    <hyperlink xmlns:r="http://schemas.openxmlformats.org/officeDocument/2006/relationships" ref="AA545" r:id="rId1204"/>
    <hyperlink xmlns:r="http://schemas.openxmlformats.org/officeDocument/2006/relationships" ref="K546" r:id="rId1205"/>
    <hyperlink xmlns:r="http://schemas.openxmlformats.org/officeDocument/2006/relationships" ref="AA546" r:id="rId1206"/>
    <hyperlink xmlns:r="http://schemas.openxmlformats.org/officeDocument/2006/relationships" ref="K547" r:id="rId1207"/>
    <hyperlink xmlns:r="http://schemas.openxmlformats.org/officeDocument/2006/relationships" ref="AA547" r:id="rId1208"/>
    <hyperlink xmlns:r="http://schemas.openxmlformats.org/officeDocument/2006/relationships" ref="K548" r:id="rId1209"/>
    <hyperlink xmlns:r="http://schemas.openxmlformats.org/officeDocument/2006/relationships" ref="N548" r:id="rId1210"/>
    <hyperlink xmlns:r="http://schemas.openxmlformats.org/officeDocument/2006/relationships" ref="AA548" r:id="rId1211"/>
    <hyperlink xmlns:r="http://schemas.openxmlformats.org/officeDocument/2006/relationships" ref="K549" r:id="rId1212"/>
    <hyperlink xmlns:r="http://schemas.openxmlformats.org/officeDocument/2006/relationships" ref="N549" r:id="rId1213"/>
    <hyperlink xmlns:r="http://schemas.openxmlformats.org/officeDocument/2006/relationships" ref="AA549" r:id="rId1214"/>
    <hyperlink xmlns:r="http://schemas.openxmlformats.org/officeDocument/2006/relationships" ref="K550" r:id="rId1215"/>
    <hyperlink xmlns:r="http://schemas.openxmlformats.org/officeDocument/2006/relationships" ref="N550" r:id="rId1216"/>
    <hyperlink xmlns:r="http://schemas.openxmlformats.org/officeDocument/2006/relationships" ref="AA550" r:id="rId1217"/>
    <hyperlink xmlns:r="http://schemas.openxmlformats.org/officeDocument/2006/relationships" ref="K551" r:id="rId1218"/>
    <hyperlink xmlns:r="http://schemas.openxmlformats.org/officeDocument/2006/relationships" ref="N551" r:id="rId1219"/>
    <hyperlink xmlns:r="http://schemas.openxmlformats.org/officeDocument/2006/relationships" ref="AA551" r:id="rId1220"/>
    <hyperlink xmlns:r="http://schemas.openxmlformats.org/officeDocument/2006/relationships" ref="K552" r:id="rId1221"/>
    <hyperlink xmlns:r="http://schemas.openxmlformats.org/officeDocument/2006/relationships" ref="N552" r:id="rId1222"/>
    <hyperlink xmlns:r="http://schemas.openxmlformats.org/officeDocument/2006/relationships" ref="AA552" r:id="rId1223"/>
    <hyperlink xmlns:r="http://schemas.openxmlformats.org/officeDocument/2006/relationships" ref="K553" r:id="rId1224"/>
    <hyperlink xmlns:r="http://schemas.openxmlformats.org/officeDocument/2006/relationships" ref="AA553" r:id="rId1225"/>
    <hyperlink xmlns:r="http://schemas.openxmlformats.org/officeDocument/2006/relationships" ref="K554" r:id="rId1226"/>
    <hyperlink xmlns:r="http://schemas.openxmlformats.org/officeDocument/2006/relationships" ref="AA554" r:id="rId1227"/>
    <hyperlink xmlns:r="http://schemas.openxmlformats.org/officeDocument/2006/relationships" ref="K555" r:id="rId1228"/>
    <hyperlink xmlns:r="http://schemas.openxmlformats.org/officeDocument/2006/relationships" ref="AA555" r:id="rId1229"/>
    <hyperlink xmlns:r="http://schemas.openxmlformats.org/officeDocument/2006/relationships" ref="K556" r:id="rId1230"/>
    <hyperlink xmlns:r="http://schemas.openxmlformats.org/officeDocument/2006/relationships" ref="AA556" r:id="rId1231"/>
    <hyperlink xmlns:r="http://schemas.openxmlformats.org/officeDocument/2006/relationships" ref="K557" r:id="rId1232"/>
    <hyperlink xmlns:r="http://schemas.openxmlformats.org/officeDocument/2006/relationships" ref="AA557" r:id="rId1233"/>
    <hyperlink xmlns:r="http://schemas.openxmlformats.org/officeDocument/2006/relationships" ref="K558" r:id="rId1234"/>
    <hyperlink xmlns:r="http://schemas.openxmlformats.org/officeDocument/2006/relationships" ref="AA558" r:id="rId1235"/>
    <hyperlink xmlns:r="http://schemas.openxmlformats.org/officeDocument/2006/relationships" ref="K559" r:id="rId1236"/>
    <hyperlink xmlns:r="http://schemas.openxmlformats.org/officeDocument/2006/relationships" ref="AA559" r:id="rId1237"/>
    <hyperlink xmlns:r="http://schemas.openxmlformats.org/officeDocument/2006/relationships" ref="K560" r:id="rId1238"/>
    <hyperlink xmlns:r="http://schemas.openxmlformats.org/officeDocument/2006/relationships" ref="AA560" r:id="rId1239"/>
    <hyperlink xmlns:r="http://schemas.openxmlformats.org/officeDocument/2006/relationships" ref="K561" r:id="rId1240"/>
    <hyperlink xmlns:r="http://schemas.openxmlformats.org/officeDocument/2006/relationships" ref="AA561" r:id="rId1241"/>
    <hyperlink xmlns:r="http://schemas.openxmlformats.org/officeDocument/2006/relationships" ref="K562" r:id="rId1242"/>
    <hyperlink xmlns:r="http://schemas.openxmlformats.org/officeDocument/2006/relationships" ref="AA562" r:id="rId1243"/>
    <hyperlink xmlns:r="http://schemas.openxmlformats.org/officeDocument/2006/relationships" ref="K563" r:id="rId1244"/>
    <hyperlink xmlns:r="http://schemas.openxmlformats.org/officeDocument/2006/relationships" ref="AA563" r:id="rId1245"/>
    <hyperlink xmlns:r="http://schemas.openxmlformats.org/officeDocument/2006/relationships" ref="K564" r:id="rId1246"/>
    <hyperlink xmlns:r="http://schemas.openxmlformats.org/officeDocument/2006/relationships" ref="AA564" r:id="rId1247"/>
    <hyperlink xmlns:r="http://schemas.openxmlformats.org/officeDocument/2006/relationships" ref="K565" r:id="rId1248"/>
    <hyperlink xmlns:r="http://schemas.openxmlformats.org/officeDocument/2006/relationships" ref="AA565" r:id="rId1249"/>
    <hyperlink xmlns:r="http://schemas.openxmlformats.org/officeDocument/2006/relationships" ref="K566" r:id="rId1250"/>
    <hyperlink xmlns:r="http://schemas.openxmlformats.org/officeDocument/2006/relationships" ref="AA566" r:id="rId1251"/>
    <hyperlink xmlns:r="http://schemas.openxmlformats.org/officeDocument/2006/relationships" ref="K567" r:id="rId1252"/>
    <hyperlink xmlns:r="http://schemas.openxmlformats.org/officeDocument/2006/relationships" ref="AA567" r:id="rId1253"/>
    <hyperlink xmlns:r="http://schemas.openxmlformats.org/officeDocument/2006/relationships" ref="K568" r:id="rId1254"/>
    <hyperlink xmlns:r="http://schemas.openxmlformats.org/officeDocument/2006/relationships" ref="AA568" r:id="rId1255"/>
    <hyperlink xmlns:r="http://schemas.openxmlformats.org/officeDocument/2006/relationships" ref="K569" r:id="rId1256"/>
    <hyperlink xmlns:r="http://schemas.openxmlformats.org/officeDocument/2006/relationships" ref="N569" r:id="rId1257"/>
    <hyperlink xmlns:r="http://schemas.openxmlformats.org/officeDocument/2006/relationships" ref="AA569" r:id="rId1258"/>
    <hyperlink xmlns:r="http://schemas.openxmlformats.org/officeDocument/2006/relationships" ref="K570" r:id="rId1259"/>
    <hyperlink xmlns:r="http://schemas.openxmlformats.org/officeDocument/2006/relationships" ref="N570" r:id="rId1260"/>
    <hyperlink xmlns:r="http://schemas.openxmlformats.org/officeDocument/2006/relationships" ref="AA570" r:id="rId1261"/>
    <hyperlink xmlns:r="http://schemas.openxmlformats.org/officeDocument/2006/relationships" ref="K571" r:id="rId1262"/>
    <hyperlink xmlns:r="http://schemas.openxmlformats.org/officeDocument/2006/relationships" ref="AA571" r:id="rId1263"/>
    <hyperlink xmlns:r="http://schemas.openxmlformats.org/officeDocument/2006/relationships" ref="K572" r:id="rId1264"/>
    <hyperlink xmlns:r="http://schemas.openxmlformats.org/officeDocument/2006/relationships" ref="AA572" r:id="rId1265"/>
    <hyperlink xmlns:r="http://schemas.openxmlformats.org/officeDocument/2006/relationships" ref="K573" r:id="rId1266"/>
    <hyperlink xmlns:r="http://schemas.openxmlformats.org/officeDocument/2006/relationships" ref="N573" r:id="rId1267"/>
    <hyperlink xmlns:r="http://schemas.openxmlformats.org/officeDocument/2006/relationships" ref="AA573" r:id="rId1268"/>
    <hyperlink xmlns:r="http://schemas.openxmlformats.org/officeDocument/2006/relationships" ref="K574" r:id="rId1269"/>
    <hyperlink xmlns:r="http://schemas.openxmlformats.org/officeDocument/2006/relationships" ref="N574" r:id="rId1270"/>
    <hyperlink xmlns:r="http://schemas.openxmlformats.org/officeDocument/2006/relationships" ref="AA574" r:id="rId1271"/>
    <hyperlink xmlns:r="http://schemas.openxmlformats.org/officeDocument/2006/relationships" ref="K575" r:id="rId1272"/>
    <hyperlink xmlns:r="http://schemas.openxmlformats.org/officeDocument/2006/relationships" ref="N575" r:id="rId1273"/>
    <hyperlink xmlns:r="http://schemas.openxmlformats.org/officeDocument/2006/relationships" ref="AA575" r:id="rId1274"/>
    <hyperlink xmlns:r="http://schemas.openxmlformats.org/officeDocument/2006/relationships" ref="K576" r:id="rId1275"/>
    <hyperlink xmlns:r="http://schemas.openxmlformats.org/officeDocument/2006/relationships" ref="AA576" r:id="rId1276"/>
    <hyperlink xmlns:r="http://schemas.openxmlformats.org/officeDocument/2006/relationships" ref="K577" r:id="rId1277"/>
    <hyperlink xmlns:r="http://schemas.openxmlformats.org/officeDocument/2006/relationships" ref="AA577" r:id="rId1278"/>
    <hyperlink xmlns:r="http://schemas.openxmlformats.org/officeDocument/2006/relationships" ref="K578" r:id="rId1279"/>
    <hyperlink xmlns:r="http://schemas.openxmlformats.org/officeDocument/2006/relationships" ref="AA578" r:id="rId1280"/>
    <hyperlink xmlns:r="http://schemas.openxmlformats.org/officeDocument/2006/relationships" ref="K579" r:id="rId1281"/>
    <hyperlink xmlns:r="http://schemas.openxmlformats.org/officeDocument/2006/relationships" ref="AA579" r:id="rId1282"/>
    <hyperlink xmlns:r="http://schemas.openxmlformats.org/officeDocument/2006/relationships" ref="K580" r:id="rId1283"/>
    <hyperlink xmlns:r="http://schemas.openxmlformats.org/officeDocument/2006/relationships" ref="AA580" r:id="rId1284"/>
    <hyperlink xmlns:r="http://schemas.openxmlformats.org/officeDocument/2006/relationships" ref="K581" r:id="rId1285"/>
    <hyperlink xmlns:r="http://schemas.openxmlformats.org/officeDocument/2006/relationships" ref="AA581" r:id="rId1286"/>
    <hyperlink xmlns:r="http://schemas.openxmlformats.org/officeDocument/2006/relationships" ref="K582" r:id="rId1287"/>
    <hyperlink xmlns:r="http://schemas.openxmlformats.org/officeDocument/2006/relationships" ref="AA582" r:id="rId1288"/>
    <hyperlink xmlns:r="http://schemas.openxmlformats.org/officeDocument/2006/relationships" ref="K583" r:id="rId1289"/>
    <hyperlink xmlns:r="http://schemas.openxmlformats.org/officeDocument/2006/relationships" ref="AA583" r:id="rId1290"/>
    <hyperlink xmlns:r="http://schemas.openxmlformats.org/officeDocument/2006/relationships" ref="K584" r:id="rId1291"/>
    <hyperlink xmlns:r="http://schemas.openxmlformats.org/officeDocument/2006/relationships" ref="AA584" r:id="rId1292"/>
    <hyperlink xmlns:r="http://schemas.openxmlformats.org/officeDocument/2006/relationships" ref="K585" r:id="rId1293"/>
    <hyperlink xmlns:r="http://schemas.openxmlformats.org/officeDocument/2006/relationships" ref="AA585" r:id="rId1294"/>
    <hyperlink xmlns:r="http://schemas.openxmlformats.org/officeDocument/2006/relationships" ref="K586" r:id="rId1295"/>
    <hyperlink xmlns:r="http://schemas.openxmlformats.org/officeDocument/2006/relationships" ref="AA586" r:id="rId1296"/>
    <hyperlink xmlns:r="http://schemas.openxmlformats.org/officeDocument/2006/relationships" ref="K587" r:id="rId1297"/>
    <hyperlink xmlns:r="http://schemas.openxmlformats.org/officeDocument/2006/relationships" ref="AA587" r:id="rId1298"/>
    <hyperlink xmlns:r="http://schemas.openxmlformats.org/officeDocument/2006/relationships" ref="K588" r:id="rId1299"/>
    <hyperlink xmlns:r="http://schemas.openxmlformats.org/officeDocument/2006/relationships" ref="AA588" r:id="rId1300"/>
    <hyperlink xmlns:r="http://schemas.openxmlformats.org/officeDocument/2006/relationships" ref="K589" r:id="rId1301"/>
    <hyperlink xmlns:r="http://schemas.openxmlformats.org/officeDocument/2006/relationships" ref="AA589" r:id="rId1302"/>
    <hyperlink xmlns:r="http://schemas.openxmlformats.org/officeDocument/2006/relationships" ref="K590" r:id="rId1303"/>
    <hyperlink xmlns:r="http://schemas.openxmlformats.org/officeDocument/2006/relationships" ref="AA590" r:id="rId1304"/>
    <hyperlink xmlns:r="http://schemas.openxmlformats.org/officeDocument/2006/relationships" ref="K591" r:id="rId1305"/>
    <hyperlink xmlns:r="http://schemas.openxmlformats.org/officeDocument/2006/relationships" ref="AA591" r:id="rId1306"/>
    <hyperlink xmlns:r="http://schemas.openxmlformats.org/officeDocument/2006/relationships" ref="K592" r:id="rId1307"/>
    <hyperlink xmlns:r="http://schemas.openxmlformats.org/officeDocument/2006/relationships" ref="AA592" r:id="rId1308"/>
    <hyperlink xmlns:r="http://schemas.openxmlformats.org/officeDocument/2006/relationships" ref="K593" r:id="rId1309"/>
    <hyperlink xmlns:r="http://schemas.openxmlformats.org/officeDocument/2006/relationships" ref="AA593" r:id="rId1310"/>
    <hyperlink xmlns:r="http://schemas.openxmlformats.org/officeDocument/2006/relationships" ref="K594" r:id="rId1311"/>
    <hyperlink xmlns:r="http://schemas.openxmlformats.org/officeDocument/2006/relationships" ref="AA594" r:id="rId1312"/>
    <hyperlink xmlns:r="http://schemas.openxmlformats.org/officeDocument/2006/relationships" ref="K595" r:id="rId1313"/>
    <hyperlink xmlns:r="http://schemas.openxmlformats.org/officeDocument/2006/relationships" ref="AA595" r:id="rId1314"/>
    <hyperlink xmlns:r="http://schemas.openxmlformats.org/officeDocument/2006/relationships" ref="K596" r:id="rId1315"/>
    <hyperlink xmlns:r="http://schemas.openxmlformats.org/officeDocument/2006/relationships" ref="AA596" r:id="rId1316"/>
    <hyperlink xmlns:r="http://schemas.openxmlformats.org/officeDocument/2006/relationships" ref="K597" r:id="rId1317"/>
    <hyperlink xmlns:r="http://schemas.openxmlformats.org/officeDocument/2006/relationships" ref="AA597" r:id="rId1318"/>
    <hyperlink xmlns:r="http://schemas.openxmlformats.org/officeDocument/2006/relationships" ref="K598" r:id="rId1319"/>
    <hyperlink xmlns:r="http://schemas.openxmlformats.org/officeDocument/2006/relationships" ref="AA598" r:id="rId1320"/>
    <hyperlink xmlns:r="http://schemas.openxmlformats.org/officeDocument/2006/relationships" ref="K599" r:id="rId1321"/>
    <hyperlink xmlns:r="http://schemas.openxmlformats.org/officeDocument/2006/relationships" ref="AA599" r:id="rId1322"/>
    <hyperlink xmlns:r="http://schemas.openxmlformats.org/officeDocument/2006/relationships" ref="K600" r:id="rId1323"/>
    <hyperlink xmlns:r="http://schemas.openxmlformats.org/officeDocument/2006/relationships" ref="AA600" r:id="rId1324"/>
    <hyperlink xmlns:r="http://schemas.openxmlformats.org/officeDocument/2006/relationships" ref="K601" r:id="rId1325"/>
    <hyperlink xmlns:r="http://schemas.openxmlformats.org/officeDocument/2006/relationships" ref="AA601" r:id="rId1326"/>
    <hyperlink xmlns:r="http://schemas.openxmlformats.org/officeDocument/2006/relationships" ref="K602" r:id="rId1327"/>
    <hyperlink xmlns:r="http://schemas.openxmlformats.org/officeDocument/2006/relationships" ref="AA602" r:id="rId1328"/>
    <hyperlink xmlns:r="http://schemas.openxmlformats.org/officeDocument/2006/relationships" ref="K603" r:id="rId1329"/>
    <hyperlink xmlns:r="http://schemas.openxmlformats.org/officeDocument/2006/relationships" ref="AA603" r:id="rId1330"/>
    <hyperlink xmlns:r="http://schemas.openxmlformats.org/officeDocument/2006/relationships" ref="K604" r:id="rId1331"/>
    <hyperlink xmlns:r="http://schemas.openxmlformats.org/officeDocument/2006/relationships" ref="AA604" r:id="rId1332"/>
    <hyperlink xmlns:r="http://schemas.openxmlformats.org/officeDocument/2006/relationships" ref="K605" r:id="rId1333"/>
    <hyperlink xmlns:r="http://schemas.openxmlformats.org/officeDocument/2006/relationships" ref="AA605" r:id="rId1334"/>
    <hyperlink xmlns:r="http://schemas.openxmlformats.org/officeDocument/2006/relationships" ref="K606" r:id="rId1335"/>
    <hyperlink xmlns:r="http://schemas.openxmlformats.org/officeDocument/2006/relationships" ref="AA606" r:id="rId1336"/>
    <hyperlink xmlns:r="http://schemas.openxmlformats.org/officeDocument/2006/relationships" ref="K607" r:id="rId1337"/>
    <hyperlink xmlns:r="http://schemas.openxmlformats.org/officeDocument/2006/relationships" ref="AA607" r:id="rId1338"/>
    <hyperlink xmlns:r="http://schemas.openxmlformats.org/officeDocument/2006/relationships" ref="K608" r:id="rId1339"/>
    <hyperlink xmlns:r="http://schemas.openxmlformats.org/officeDocument/2006/relationships" ref="AA608" r:id="rId1340"/>
    <hyperlink xmlns:r="http://schemas.openxmlformats.org/officeDocument/2006/relationships" ref="K609" r:id="rId1341"/>
    <hyperlink xmlns:r="http://schemas.openxmlformats.org/officeDocument/2006/relationships" ref="AA609" r:id="rId1342"/>
    <hyperlink xmlns:r="http://schemas.openxmlformats.org/officeDocument/2006/relationships" ref="K610" r:id="rId1343"/>
    <hyperlink xmlns:r="http://schemas.openxmlformats.org/officeDocument/2006/relationships" ref="AA610" r:id="rId1344"/>
    <hyperlink xmlns:r="http://schemas.openxmlformats.org/officeDocument/2006/relationships" ref="K611" r:id="rId1345"/>
    <hyperlink xmlns:r="http://schemas.openxmlformats.org/officeDocument/2006/relationships" ref="AA611" r:id="rId1346"/>
    <hyperlink xmlns:r="http://schemas.openxmlformats.org/officeDocument/2006/relationships" ref="K612" r:id="rId1347"/>
    <hyperlink xmlns:r="http://schemas.openxmlformats.org/officeDocument/2006/relationships" ref="AA612" r:id="rId1348"/>
    <hyperlink xmlns:r="http://schemas.openxmlformats.org/officeDocument/2006/relationships" ref="K613" r:id="rId1349"/>
    <hyperlink xmlns:r="http://schemas.openxmlformats.org/officeDocument/2006/relationships" ref="AA613" r:id="rId1350"/>
    <hyperlink xmlns:r="http://schemas.openxmlformats.org/officeDocument/2006/relationships" ref="K614" r:id="rId1351"/>
    <hyperlink xmlns:r="http://schemas.openxmlformats.org/officeDocument/2006/relationships" ref="AA614" r:id="rId1352"/>
    <hyperlink xmlns:r="http://schemas.openxmlformats.org/officeDocument/2006/relationships" ref="K615" r:id="rId1353"/>
    <hyperlink xmlns:r="http://schemas.openxmlformats.org/officeDocument/2006/relationships" ref="AA615" r:id="rId1354"/>
    <hyperlink xmlns:r="http://schemas.openxmlformats.org/officeDocument/2006/relationships" ref="K616" r:id="rId1355"/>
    <hyperlink xmlns:r="http://schemas.openxmlformats.org/officeDocument/2006/relationships" ref="AA616" r:id="rId1356"/>
    <hyperlink xmlns:r="http://schemas.openxmlformats.org/officeDocument/2006/relationships" ref="K617" r:id="rId1357"/>
    <hyperlink xmlns:r="http://schemas.openxmlformats.org/officeDocument/2006/relationships" ref="N617" r:id="rId1358"/>
    <hyperlink xmlns:r="http://schemas.openxmlformats.org/officeDocument/2006/relationships" ref="AA617" r:id="rId1359"/>
    <hyperlink xmlns:r="http://schemas.openxmlformats.org/officeDocument/2006/relationships" ref="K618" r:id="rId1360"/>
    <hyperlink xmlns:r="http://schemas.openxmlformats.org/officeDocument/2006/relationships" ref="N618" r:id="rId1361"/>
    <hyperlink xmlns:r="http://schemas.openxmlformats.org/officeDocument/2006/relationships" ref="AA618" r:id="rId1362"/>
    <hyperlink xmlns:r="http://schemas.openxmlformats.org/officeDocument/2006/relationships" ref="K619" r:id="rId1363"/>
    <hyperlink xmlns:r="http://schemas.openxmlformats.org/officeDocument/2006/relationships" ref="N619" r:id="rId1364"/>
    <hyperlink xmlns:r="http://schemas.openxmlformats.org/officeDocument/2006/relationships" ref="O619" r:id="rId1365"/>
    <hyperlink xmlns:r="http://schemas.openxmlformats.org/officeDocument/2006/relationships" ref="AA619" r:id="rId1366"/>
    <hyperlink xmlns:r="http://schemas.openxmlformats.org/officeDocument/2006/relationships" ref="K620" r:id="rId1367"/>
    <hyperlink xmlns:r="http://schemas.openxmlformats.org/officeDocument/2006/relationships" ref="AA620" r:id="rId1368"/>
    <hyperlink xmlns:r="http://schemas.openxmlformats.org/officeDocument/2006/relationships" ref="K621" r:id="rId1369"/>
    <hyperlink xmlns:r="http://schemas.openxmlformats.org/officeDocument/2006/relationships" ref="AA621" r:id="rId1370"/>
    <hyperlink xmlns:r="http://schemas.openxmlformats.org/officeDocument/2006/relationships" ref="K622" r:id="rId1371"/>
    <hyperlink xmlns:r="http://schemas.openxmlformats.org/officeDocument/2006/relationships" ref="AA622" r:id="rId1372"/>
    <hyperlink xmlns:r="http://schemas.openxmlformats.org/officeDocument/2006/relationships" ref="K623" r:id="rId1373"/>
    <hyperlink xmlns:r="http://schemas.openxmlformats.org/officeDocument/2006/relationships" ref="AA623" r:id="rId1374"/>
    <hyperlink xmlns:r="http://schemas.openxmlformats.org/officeDocument/2006/relationships" ref="K624" r:id="rId1375"/>
    <hyperlink xmlns:r="http://schemas.openxmlformats.org/officeDocument/2006/relationships" ref="AA624" r:id="rId1376"/>
    <hyperlink xmlns:r="http://schemas.openxmlformats.org/officeDocument/2006/relationships" ref="K625" r:id="rId1377"/>
    <hyperlink xmlns:r="http://schemas.openxmlformats.org/officeDocument/2006/relationships" ref="AA625" r:id="rId1378"/>
    <hyperlink xmlns:r="http://schemas.openxmlformats.org/officeDocument/2006/relationships" ref="K626" r:id="rId1379"/>
    <hyperlink xmlns:r="http://schemas.openxmlformats.org/officeDocument/2006/relationships" ref="AA626" r:id="rId1380"/>
    <hyperlink xmlns:r="http://schemas.openxmlformats.org/officeDocument/2006/relationships" ref="K627" r:id="rId1381"/>
    <hyperlink xmlns:r="http://schemas.openxmlformats.org/officeDocument/2006/relationships" ref="AA627" r:id="rId1382"/>
    <hyperlink xmlns:r="http://schemas.openxmlformats.org/officeDocument/2006/relationships" ref="K628" r:id="rId1383"/>
    <hyperlink xmlns:r="http://schemas.openxmlformats.org/officeDocument/2006/relationships" ref="AA628" r:id="rId1384"/>
    <hyperlink xmlns:r="http://schemas.openxmlformats.org/officeDocument/2006/relationships" ref="K629" r:id="rId1385"/>
    <hyperlink xmlns:r="http://schemas.openxmlformats.org/officeDocument/2006/relationships" ref="AA629" r:id="rId1386"/>
    <hyperlink xmlns:r="http://schemas.openxmlformats.org/officeDocument/2006/relationships" ref="K630" r:id="rId1387"/>
    <hyperlink xmlns:r="http://schemas.openxmlformats.org/officeDocument/2006/relationships" ref="AA630" r:id="rId1388"/>
    <hyperlink xmlns:r="http://schemas.openxmlformats.org/officeDocument/2006/relationships" ref="K631" r:id="rId1389"/>
    <hyperlink xmlns:r="http://schemas.openxmlformats.org/officeDocument/2006/relationships" ref="AA631" r:id="rId1390"/>
    <hyperlink xmlns:r="http://schemas.openxmlformats.org/officeDocument/2006/relationships" ref="AB631" r:id="rId1391"/>
    <hyperlink xmlns:r="http://schemas.openxmlformats.org/officeDocument/2006/relationships" ref="K632" r:id="rId1392"/>
    <hyperlink xmlns:r="http://schemas.openxmlformats.org/officeDocument/2006/relationships" ref="AA632" r:id="rId1393"/>
    <hyperlink xmlns:r="http://schemas.openxmlformats.org/officeDocument/2006/relationships" ref="AB632" r:id="rId1394"/>
    <hyperlink xmlns:r="http://schemas.openxmlformats.org/officeDocument/2006/relationships" ref="K633" r:id="rId1395"/>
    <hyperlink xmlns:r="http://schemas.openxmlformats.org/officeDocument/2006/relationships" ref="N633" r:id="rId1396"/>
    <hyperlink xmlns:r="http://schemas.openxmlformats.org/officeDocument/2006/relationships" ref="AA633" r:id="rId1397"/>
    <hyperlink xmlns:r="http://schemas.openxmlformats.org/officeDocument/2006/relationships" ref="K634" r:id="rId1398"/>
    <hyperlink xmlns:r="http://schemas.openxmlformats.org/officeDocument/2006/relationships" ref="N634" r:id="rId1399"/>
    <hyperlink xmlns:r="http://schemas.openxmlformats.org/officeDocument/2006/relationships" ref="AA634" r:id="rId1400"/>
    <hyperlink xmlns:r="http://schemas.openxmlformats.org/officeDocument/2006/relationships" ref="K635" r:id="rId1401"/>
    <hyperlink xmlns:r="http://schemas.openxmlformats.org/officeDocument/2006/relationships" ref="AA635" r:id="rId1402"/>
    <hyperlink xmlns:r="http://schemas.openxmlformats.org/officeDocument/2006/relationships" ref="K636" r:id="rId1403"/>
    <hyperlink xmlns:r="http://schemas.openxmlformats.org/officeDocument/2006/relationships" ref="AA636" r:id="rId1404"/>
    <hyperlink xmlns:r="http://schemas.openxmlformats.org/officeDocument/2006/relationships" ref="K637" r:id="rId1405"/>
    <hyperlink xmlns:r="http://schemas.openxmlformats.org/officeDocument/2006/relationships" ref="AA637" r:id="rId1406"/>
    <hyperlink xmlns:r="http://schemas.openxmlformats.org/officeDocument/2006/relationships" ref="K638" r:id="rId1407"/>
    <hyperlink xmlns:r="http://schemas.openxmlformats.org/officeDocument/2006/relationships" ref="AA638" r:id="rId1408"/>
    <hyperlink xmlns:r="http://schemas.openxmlformats.org/officeDocument/2006/relationships" ref="K639" r:id="rId1409"/>
    <hyperlink xmlns:r="http://schemas.openxmlformats.org/officeDocument/2006/relationships" ref="AA639" r:id="rId1410"/>
    <hyperlink xmlns:r="http://schemas.openxmlformats.org/officeDocument/2006/relationships" ref="K640" r:id="rId1411"/>
    <hyperlink xmlns:r="http://schemas.openxmlformats.org/officeDocument/2006/relationships" ref="AA640" r:id="rId1412"/>
    <hyperlink xmlns:r="http://schemas.openxmlformats.org/officeDocument/2006/relationships" ref="K641" r:id="rId1413"/>
    <hyperlink xmlns:r="http://schemas.openxmlformats.org/officeDocument/2006/relationships" ref="N641" r:id="rId1414"/>
    <hyperlink xmlns:r="http://schemas.openxmlformats.org/officeDocument/2006/relationships" ref="AA641" r:id="rId1415"/>
    <hyperlink xmlns:r="http://schemas.openxmlformats.org/officeDocument/2006/relationships" ref="K642" r:id="rId1416"/>
    <hyperlink xmlns:r="http://schemas.openxmlformats.org/officeDocument/2006/relationships" ref="N642" r:id="rId1417"/>
    <hyperlink xmlns:r="http://schemas.openxmlformats.org/officeDocument/2006/relationships" ref="AA642" r:id="rId1418"/>
    <hyperlink xmlns:r="http://schemas.openxmlformats.org/officeDocument/2006/relationships" ref="K643" r:id="rId1419"/>
    <hyperlink xmlns:r="http://schemas.openxmlformats.org/officeDocument/2006/relationships" ref="N643" r:id="rId1420"/>
    <hyperlink xmlns:r="http://schemas.openxmlformats.org/officeDocument/2006/relationships" ref="AA643" r:id="rId1421"/>
    <hyperlink xmlns:r="http://schemas.openxmlformats.org/officeDocument/2006/relationships" ref="K644" r:id="rId1422"/>
    <hyperlink xmlns:r="http://schemas.openxmlformats.org/officeDocument/2006/relationships" ref="AA644" r:id="rId1423"/>
    <hyperlink xmlns:r="http://schemas.openxmlformats.org/officeDocument/2006/relationships" ref="K645" r:id="rId1424"/>
    <hyperlink xmlns:r="http://schemas.openxmlformats.org/officeDocument/2006/relationships" ref="AA645" r:id="rId1425"/>
    <hyperlink xmlns:r="http://schemas.openxmlformats.org/officeDocument/2006/relationships" ref="K646" r:id="rId1426"/>
    <hyperlink xmlns:r="http://schemas.openxmlformats.org/officeDocument/2006/relationships" ref="AA646" r:id="rId1427"/>
    <hyperlink xmlns:r="http://schemas.openxmlformats.org/officeDocument/2006/relationships" ref="K647" r:id="rId1428"/>
    <hyperlink xmlns:r="http://schemas.openxmlformats.org/officeDocument/2006/relationships" ref="AA647" r:id="rId1429"/>
    <hyperlink xmlns:r="http://schemas.openxmlformats.org/officeDocument/2006/relationships" ref="K648" r:id="rId1430"/>
    <hyperlink xmlns:r="http://schemas.openxmlformats.org/officeDocument/2006/relationships" ref="AA648" r:id="rId1431"/>
    <hyperlink xmlns:r="http://schemas.openxmlformats.org/officeDocument/2006/relationships" ref="K649" r:id="rId1432"/>
    <hyperlink xmlns:r="http://schemas.openxmlformats.org/officeDocument/2006/relationships" ref="AA649" r:id="rId1433"/>
    <hyperlink xmlns:r="http://schemas.openxmlformats.org/officeDocument/2006/relationships" ref="K650" r:id="rId1434"/>
    <hyperlink xmlns:r="http://schemas.openxmlformats.org/officeDocument/2006/relationships" ref="AA650" r:id="rId1435"/>
    <hyperlink xmlns:r="http://schemas.openxmlformats.org/officeDocument/2006/relationships" ref="K651" r:id="rId1436"/>
    <hyperlink xmlns:r="http://schemas.openxmlformats.org/officeDocument/2006/relationships" ref="AA651" r:id="rId1437"/>
    <hyperlink xmlns:r="http://schemas.openxmlformats.org/officeDocument/2006/relationships" ref="K652" r:id="rId1438"/>
    <hyperlink xmlns:r="http://schemas.openxmlformats.org/officeDocument/2006/relationships" ref="AA652" r:id="rId1439"/>
    <hyperlink xmlns:r="http://schemas.openxmlformats.org/officeDocument/2006/relationships" ref="K653" r:id="rId1440"/>
    <hyperlink xmlns:r="http://schemas.openxmlformats.org/officeDocument/2006/relationships" ref="AA653" r:id="rId1441"/>
    <hyperlink xmlns:r="http://schemas.openxmlformats.org/officeDocument/2006/relationships" ref="K654" r:id="rId1442"/>
    <hyperlink xmlns:r="http://schemas.openxmlformats.org/officeDocument/2006/relationships" ref="AA654" r:id="rId1443"/>
    <hyperlink xmlns:r="http://schemas.openxmlformats.org/officeDocument/2006/relationships" ref="K655" r:id="rId1444"/>
    <hyperlink xmlns:r="http://schemas.openxmlformats.org/officeDocument/2006/relationships" ref="AA655" r:id="rId1445"/>
    <hyperlink xmlns:r="http://schemas.openxmlformats.org/officeDocument/2006/relationships" ref="K656" r:id="rId1446"/>
    <hyperlink xmlns:r="http://schemas.openxmlformats.org/officeDocument/2006/relationships" ref="AA656" r:id="rId1447"/>
    <hyperlink xmlns:r="http://schemas.openxmlformats.org/officeDocument/2006/relationships" ref="K657" r:id="rId1448"/>
    <hyperlink xmlns:r="http://schemas.openxmlformats.org/officeDocument/2006/relationships" ref="AA657" r:id="rId1449"/>
    <hyperlink xmlns:r="http://schemas.openxmlformats.org/officeDocument/2006/relationships" ref="K658" r:id="rId1450"/>
    <hyperlink xmlns:r="http://schemas.openxmlformats.org/officeDocument/2006/relationships" ref="AA658" r:id="rId1451"/>
    <hyperlink xmlns:r="http://schemas.openxmlformats.org/officeDocument/2006/relationships" ref="K659" r:id="rId1452"/>
    <hyperlink xmlns:r="http://schemas.openxmlformats.org/officeDocument/2006/relationships" ref="AA659" r:id="rId1453"/>
    <hyperlink xmlns:r="http://schemas.openxmlformats.org/officeDocument/2006/relationships" ref="K660" r:id="rId1454"/>
    <hyperlink xmlns:r="http://schemas.openxmlformats.org/officeDocument/2006/relationships" ref="AA660" r:id="rId1455"/>
    <hyperlink xmlns:r="http://schemas.openxmlformats.org/officeDocument/2006/relationships" ref="K661" r:id="rId1456"/>
    <hyperlink xmlns:r="http://schemas.openxmlformats.org/officeDocument/2006/relationships" ref="AA661" r:id="rId1457"/>
    <hyperlink xmlns:r="http://schemas.openxmlformats.org/officeDocument/2006/relationships" ref="K662" r:id="rId1458"/>
    <hyperlink xmlns:r="http://schemas.openxmlformats.org/officeDocument/2006/relationships" ref="AA662" r:id="rId1459"/>
    <hyperlink xmlns:r="http://schemas.openxmlformats.org/officeDocument/2006/relationships" ref="K663" r:id="rId1460"/>
    <hyperlink xmlns:r="http://schemas.openxmlformats.org/officeDocument/2006/relationships" ref="AA663" r:id="rId1461"/>
    <hyperlink xmlns:r="http://schemas.openxmlformats.org/officeDocument/2006/relationships" ref="K664" r:id="rId1462"/>
    <hyperlink xmlns:r="http://schemas.openxmlformats.org/officeDocument/2006/relationships" ref="AA664" r:id="rId1463"/>
    <hyperlink xmlns:r="http://schemas.openxmlformats.org/officeDocument/2006/relationships" ref="K665" r:id="rId1464"/>
    <hyperlink xmlns:r="http://schemas.openxmlformats.org/officeDocument/2006/relationships" ref="AA665" r:id="rId1465"/>
    <hyperlink xmlns:r="http://schemas.openxmlformats.org/officeDocument/2006/relationships" ref="K666" r:id="rId1466"/>
    <hyperlink xmlns:r="http://schemas.openxmlformats.org/officeDocument/2006/relationships" ref="AA666" r:id="rId1467"/>
    <hyperlink xmlns:r="http://schemas.openxmlformats.org/officeDocument/2006/relationships" ref="K667" r:id="rId1468"/>
    <hyperlink xmlns:r="http://schemas.openxmlformats.org/officeDocument/2006/relationships" ref="AA667" r:id="rId1469"/>
    <hyperlink xmlns:r="http://schemas.openxmlformats.org/officeDocument/2006/relationships" ref="K668" r:id="rId1470"/>
    <hyperlink xmlns:r="http://schemas.openxmlformats.org/officeDocument/2006/relationships" ref="AA668" r:id="rId1471"/>
    <hyperlink xmlns:r="http://schemas.openxmlformats.org/officeDocument/2006/relationships" ref="K669" r:id="rId1472"/>
    <hyperlink xmlns:r="http://schemas.openxmlformats.org/officeDocument/2006/relationships" ref="AA669" r:id="rId1473"/>
    <hyperlink xmlns:r="http://schemas.openxmlformats.org/officeDocument/2006/relationships" ref="K670" r:id="rId1474"/>
    <hyperlink xmlns:r="http://schemas.openxmlformats.org/officeDocument/2006/relationships" ref="AA670" r:id="rId1475"/>
    <hyperlink xmlns:r="http://schemas.openxmlformats.org/officeDocument/2006/relationships" ref="K671" r:id="rId1476"/>
    <hyperlink xmlns:r="http://schemas.openxmlformats.org/officeDocument/2006/relationships" ref="AA671" r:id="rId1477"/>
    <hyperlink xmlns:r="http://schemas.openxmlformats.org/officeDocument/2006/relationships" ref="K672" r:id="rId1478"/>
    <hyperlink xmlns:r="http://schemas.openxmlformats.org/officeDocument/2006/relationships" ref="N672" r:id="rId1479"/>
    <hyperlink xmlns:r="http://schemas.openxmlformats.org/officeDocument/2006/relationships" ref="AA672" r:id="rId1480"/>
    <hyperlink xmlns:r="http://schemas.openxmlformats.org/officeDocument/2006/relationships" ref="K673" r:id="rId1481"/>
    <hyperlink xmlns:r="http://schemas.openxmlformats.org/officeDocument/2006/relationships" ref="AA673" r:id="rId1482"/>
    <hyperlink xmlns:r="http://schemas.openxmlformats.org/officeDocument/2006/relationships" ref="K674" r:id="rId1483"/>
    <hyperlink xmlns:r="http://schemas.openxmlformats.org/officeDocument/2006/relationships" ref="AA674" r:id="rId1484"/>
    <hyperlink xmlns:r="http://schemas.openxmlformats.org/officeDocument/2006/relationships" ref="K675" r:id="rId1485"/>
    <hyperlink xmlns:r="http://schemas.openxmlformats.org/officeDocument/2006/relationships" ref="AA675" r:id="rId1486"/>
    <hyperlink xmlns:r="http://schemas.openxmlformats.org/officeDocument/2006/relationships" ref="K676" r:id="rId1487"/>
    <hyperlink xmlns:r="http://schemas.openxmlformats.org/officeDocument/2006/relationships" ref="AA676" r:id="rId1488"/>
    <hyperlink xmlns:r="http://schemas.openxmlformats.org/officeDocument/2006/relationships" ref="K677" r:id="rId1489"/>
    <hyperlink xmlns:r="http://schemas.openxmlformats.org/officeDocument/2006/relationships" ref="AA677" r:id="rId1490"/>
    <hyperlink xmlns:r="http://schemas.openxmlformats.org/officeDocument/2006/relationships" ref="K678" r:id="rId1491"/>
    <hyperlink xmlns:r="http://schemas.openxmlformats.org/officeDocument/2006/relationships" ref="AA678" r:id="rId1492"/>
    <hyperlink xmlns:r="http://schemas.openxmlformats.org/officeDocument/2006/relationships" ref="K679" r:id="rId1493"/>
    <hyperlink xmlns:r="http://schemas.openxmlformats.org/officeDocument/2006/relationships" ref="AA679" r:id="rId1494"/>
    <hyperlink xmlns:r="http://schemas.openxmlformats.org/officeDocument/2006/relationships" ref="K680" r:id="rId1495"/>
    <hyperlink xmlns:r="http://schemas.openxmlformats.org/officeDocument/2006/relationships" ref="N680" r:id="rId1496"/>
    <hyperlink xmlns:r="http://schemas.openxmlformats.org/officeDocument/2006/relationships" ref="AA680" r:id="rId1497"/>
    <hyperlink xmlns:r="http://schemas.openxmlformats.org/officeDocument/2006/relationships" ref="K681" r:id="rId1498"/>
    <hyperlink xmlns:r="http://schemas.openxmlformats.org/officeDocument/2006/relationships" ref="N681" r:id="rId1499"/>
    <hyperlink xmlns:r="http://schemas.openxmlformats.org/officeDocument/2006/relationships" ref="AA681" r:id="rId1500"/>
    <hyperlink xmlns:r="http://schemas.openxmlformats.org/officeDocument/2006/relationships" ref="K682" r:id="rId1501"/>
    <hyperlink xmlns:r="http://schemas.openxmlformats.org/officeDocument/2006/relationships" ref="AA682" r:id="rId1502"/>
    <hyperlink xmlns:r="http://schemas.openxmlformats.org/officeDocument/2006/relationships" ref="K683" r:id="rId1503"/>
    <hyperlink xmlns:r="http://schemas.openxmlformats.org/officeDocument/2006/relationships" ref="AA683" r:id="rId1504"/>
    <hyperlink xmlns:r="http://schemas.openxmlformats.org/officeDocument/2006/relationships" ref="K684" r:id="rId1505"/>
    <hyperlink xmlns:r="http://schemas.openxmlformats.org/officeDocument/2006/relationships" ref="N684" r:id="rId1506"/>
    <hyperlink xmlns:r="http://schemas.openxmlformats.org/officeDocument/2006/relationships" ref="AA684" r:id="rId1507"/>
    <hyperlink xmlns:r="http://schemas.openxmlformats.org/officeDocument/2006/relationships" ref="K685" r:id="rId1508"/>
    <hyperlink xmlns:r="http://schemas.openxmlformats.org/officeDocument/2006/relationships" ref="N685" r:id="rId1509"/>
    <hyperlink xmlns:r="http://schemas.openxmlformats.org/officeDocument/2006/relationships" ref="AA685" r:id="rId1510"/>
    <hyperlink xmlns:r="http://schemas.openxmlformats.org/officeDocument/2006/relationships" ref="K686" r:id="rId1511"/>
    <hyperlink xmlns:r="http://schemas.openxmlformats.org/officeDocument/2006/relationships" ref="AA686" r:id="rId1512"/>
    <hyperlink xmlns:r="http://schemas.openxmlformats.org/officeDocument/2006/relationships" ref="K687" r:id="rId1513"/>
    <hyperlink xmlns:r="http://schemas.openxmlformats.org/officeDocument/2006/relationships" ref="N687" r:id="rId1514"/>
    <hyperlink xmlns:r="http://schemas.openxmlformats.org/officeDocument/2006/relationships" ref="AA687" r:id="rId1515"/>
    <hyperlink xmlns:r="http://schemas.openxmlformats.org/officeDocument/2006/relationships" ref="K688" r:id="rId1516"/>
    <hyperlink xmlns:r="http://schemas.openxmlformats.org/officeDocument/2006/relationships" ref="N688" r:id="rId1517"/>
    <hyperlink xmlns:r="http://schemas.openxmlformats.org/officeDocument/2006/relationships" ref="AA688" r:id="rId1518"/>
    <hyperlink xmlns:r="http://schemas.openxmlformats.org/officeDocument/2006/relationships" ref="K689" r:id="rId1519"/>
    <hyperlink xmlns:r="http://schemas.openxmlformats.org/officeDocument/2006/relationships" ref="N689" r:id="rId1520"/>
    <hyperlink xmlns:r="http://schemas.openxmlformats.org/officeDocument/2006/relationships" ref="AA689" r:id="rId1521"/>
    <hyperlink xmlns:r="http://schemas.openxmlformats.org/officeDocument/2006/relationships" ref="K690" r:id="rId1522"/>
    <hyperlink xmlns:r="http://schemas.openxmlformats.org/officeDocument/2006/relationships" ref="N690" r:id="rId1523"/>
    <hyperlink xmlns:r="http://schemas.openxmlformats.org/officeDocument/2006/relationships" ref="O690" r:id="rId1524"/>
    <hyperlink xmlns:r="http://schemas.openxmlformats.org/officeDocument/2006/relationships" ref="AA690" r:id="rId1525"/>
    <hyperlink xmlns:r="http://schemas.openxmlformats.org/officeDocument/2006/relationships" ref="K691" r:id="rId1526"/>
    <hyperlink xmlns:r="http://schemas.openxmlformats.org/officeDocument/2006/relationships" ref="N691" r:id="rId1527"/>
    <hyperlink xmlns:r="http://schemas.openxmlformats.org/officeDocument/2006/relationships" ref="AA691" r:id="rId1528"/>
    <hyperlink xmlns:r="http://schemas.openxmlformats.org/officeDocument/2006/relationships" ref="K692" r:id="rId1529"/>
    <hyperlink xmlns:r="http://schemas.openxmlformats.org/officeDocument/2006/relationships" ref="AA692" r:id="rId1530"/>
    <hyperlink xmlns:r="http://schemas.openxmlformats.org/officeDocument/2006/relationships" ref="K693" r:id="rId1531"/>
    <hyperlink xmlns:r="http://schemas.openxmlformats.org/officeDocument/2006/relationships" ref="AA693" r:id="rId1532"/>
    <hyperlink xmlns:r="http://schemas.openxmlformats.org/officeDocument/2006/relationships" ref="K694" r:id="rId1533"/>
    <hyperlink xmlns:r="http://schemas.openxmlformats.org/officeDocument/2006/relationships" ref="N694" r:id="rId1534"/>
    <hyperlink xmlns:r="http://schemas.openxmlformats.org/officeDocument/2006/relationships" ref="AA694" r:id="rId1535"/>
    <hyperlink xmlns:r="http://schemas.openxmlformats.org/officeDocument/2006/relationships" ref="K695" r:id="rId1536"/>
    <hyperlink xmlns:r="http://schemas.openxmlformats.org/officeDocument/2006/relationships" ref="N695" r:id="rId1537"/>
    <hyperlink xmlns:r="http://schemas.openxmlformats.org/officeDocument/2006/relationships" ref="AA695" r:id="rId1538"/>
    <hyperlink xmlns:r="http://schemas.openxmlformats.org/officeDocument/2006/relationships" ref="K696" r:id="rId1539"/>
    <hyperlink xmlns:r="http://schemas.openxmlformats.org/officeDocument/2006/relationships" ref="N696" r:id="rId1540"/>
    <hyperlink xmlns:r="http://schemas.openxmlformats.org/officeDocument/2006/relationships" ref="AA696" r:id="rId1541"/>
    <hyperlink xmlns:r="http://schemas.openxmlformats.org/officeDocument/2006/relationships" ref="K697" r:id="rId1542"/>
    <hyperlink xmlns:r="http://schemas.openxmlformats.org/officeDocument/2006/relationships" ref="AA697" r:id="rId1543"/>
    <hyperlink xmlns:r="http://schemas.openxmlformats.org/officeDocument/2006/relationships" ref="K698" r:id="rId1544"/>
    <hyperlink xmlns:r="http://schemas.openxmlformats.org/officeDocument/2006/relationships" ref="AA698" r:id="rId1545"/>
    <hyperlink xmlns:r="http://schemas.openxmlformats.org/officeDocument/2006/relationships" ref="K699" r:id="rId1546"/>
    <hyperlink xmlns:r="http://schemas.openxmlformats.org/officeDocument/2006/relationships" ref="AA699" r:id="rId1547"/>
    <hyperlink xmlns:r="http://schemas.openxmlformats.org/officeDocument/2006/relationships" ref="K700" r:id="rId1548"/>
    <hyperlink xmlns:r="http://schemas.openxmlformats.org/officeDocument/2006/relationships" ref="AA700" r:id="rId1549"/>
    <hyperlink xmlns:r="http://schemas.openxmlformats.org/officeDocument/2006/relationships" ref="K701" r:id="rId1550"/>
    <hyperlink xmlns:r="http://schemas.openxmlformats.org/officeDocument/2006/relationships" ref="AA701" r:id="rId1551"/>
    <hyperlink xmlns:r="http://schemas.openxmlformats.org/officeDocument/2006/relationships" ref="K702" r:id="rId1552"/>
    <hyperlink xmlns:r="http://schemas.openxmlformats.org/officeDocument/2006/relationships" ref="AA702" r:id="rId1553"/>
    <hyperlink xmlns:r="http://schemas.openxmlformats.org/officeDocument/2006/relationships" ref="K703" r:id="rId1554"/>
    <hyperlink xmlns:r="http://schemas.openxmlformats.org/officeDocument/2006/relationships" ref="AA703" r:id="rId1555"/>
    <hyperlink xmlns:r="http://schemas.openxmlformats.org/officeDocument/2006/relationships" ref="AB703" r:id="rId1556"/>
    <hyperlink xmlns:r="http://schemas.openxmlformats.org/officeDocument/2006/relationships" ref="K704" r:id="rId1557"/>
    <hyperlink xmlns:r="http://schemas.openxmlformats.org/officeDocument/2006/relationships" ref="AA704" r:id="rId1558"/>
    <hyperlink xmlns:r="http://schemas.openxmlformats.org/officeDocument/2006/relationships" ref="K705" r:id="rId1559"/>
    <hyperlink xmlns:r="http://schemas.openxmlformats.org/officeDocument/2006/relationships" ref="AA705" r:id="rId1560"/>
    <hyperlink xmlns:r="http://schemas.openxmlformats.org/officeDocument/2006/relationships" ref="K706" r:id="rId1561"/>
    <hyperlink xmlns:r="http://schemas.openxmlformats.org/officeDocument/2006/relationships" ref="AA706" r:id="rId1562"/>
    <hyperlink xmlns:r="http://schemas.openxmlformats.org/officeDocument/2006/relationships" ref="K707" r:id="rId1563"/>
    <hyperlink xmlns:r="http://schemas.openxmlformats.org/officeDocument/2006/relationships" ref="AA707" r:id="rId1564"/>
    <hyperlink xmlns:r="http://schemas.openxmlformats.org/officeDocument/2006/relationships" ref="K708" r:id="rId1565"/>
    <hyperlink xmlns:r="http://schemas.openxmlformats.org/officeDocument/2006/relationships" ref="AA708" r:id="rId1566"/>
    <hyperlink xmlns:r="http://schemas.openxmlformats.org/officeDocument/2006/relationships" ref="K709" r:id="rId1567"/>
    <hyperlink xmlns:r="http://schemas.openxmlformats.org/officeDocument/2006/relationships" ref="N709" r:id="rId1568"/>
    <hyperlink xmlns:r="http://schemas.openxmlformats.org/officeDocument/2006/relationships" ref="AA709" r:id="rId1569"/>
    <hyperlink xmlns:r="http://schemas.openxmlformats.org/officeDocument/2006/relationships" ref="K710" r:id="rId1570"/>
    <hyperlink xmlns:r="http://schemas.openxmlformats.org/officeDocument/2006/relationships" ref="N710" r:id="rId1571"/>
    <hyperlink xmlns:r="http://schemas.openxmlformats.org/officeDocument/2006/relationships" ref="AA710" r:id="rId1572"/>
    <hyperlink xmlns:r="http://schemas.openxmlformats.org/officeDocument/2006/relationships" ref="K711" r:id="rId1573"/>
    <hyperlink xmlns:r="http://schemas.openxmlformats.org/officeDocument/2006/relationships" ref="AA711" r:id="rId1574"/>
    <hyperlink xmlns:r="http://schemas.openxmlformats.org/officeDocument/2006/relationships" ref="K712" r:id="rId1575"/>
    <hyperlink xmlns:r="http://schemas.openxmlformats.org/officeDocument/2006/relationships" ref="AA712" r:id="rId1576"/>
    <hyperlink xmlns:r="http://schemas.openxmlformats.org/officeDocument/2006/relationships" ref="K713" r:id="rId1577"/>
    <hyperlink xmlns:r="http://schemas.openxmlformats.org/officeDocument/2006/relationships" ref="AA713" r:id="rId1578"/>
    <hyperlink xmlns:r="http://schemas.openxmlformats.org/officeDocument/2006/relationships" ref="K714" r:id="rId1579"/>
    <hyperlink xmlns:r="http://schemas.openxmlformats.org/officeDocument/2006/relationships" ref="AA714" r:id="rId1580"/>
    <hyperlink xmlns:r="http://schemas.openxmlformats.org/officeDocument/2006/relationships" ref="K715" r:id="rId1581"/>
    <hyperlink xmlns:r="http://schemas.openxmlformats.org/officeDocument/2006/relationships" ref="AA715" r:id="rId1582"/>
    <hyperlink xmlns:r="http://schemas.openxmlformats.org/officeDocument/2006/relationships" ref="K716" r:id="rId1583"/>
    <hyperlink xmlns:r="http://schemas.openxmlformats.org/officeDocument/2006/relationships" ref="AA716" r:id="rId1584"/>
    <hyperlink xmlns:r="http://schemas.openxmlformats.org/officeDocument/2006/relationships" ref="K717" r:id="rId1585"/>
    <hyperlink xmlns:r="http://schemas.openxmlformats.org/officeDocument/2006/relationships" ref="AA717" r:id="rId1586"/>
    <hyperlink xmlns:r="http://schemas.openxmlformats.org/officeDocument/2006/relationships" ref="K718" r:id="rId1587"/>
    <hyperlink xmlns:r="http://schemas.openxmlformats.org/officeDocument/2006/relationships" ref="AA718" r:id="rId1588"/>
    <hyperlink xmlns:r="http://schemas.openxmlformats.org/officeDocument/2006/relationships" ref="K719" r:id="rId1589"/>
    <hyperlink xmlns:r="http://schemas.openxmlformats.org/officeDocument/2006/relationships" ref="AA719" r:id="rId1590"/>
    <hyperlink xmlns:r="http://schemas.openxmlformats.org/officeDocument/2006/relationships" ref="K720" r:id="rId1591"/>
    <hyperlink xmlns:r="http://schemas.openxmlformats.org/officeDocument/2006/relationships" ref="N720" r:id="rId1592"/>
    <hyperlink xmlns:r="http://schemas.openxmlformats.org/officeDocument/2006/relationships" ref="AA720" r:id="rId1593"/>
    <hyperlink xmlns:r="http://schemas.openxmlformats.org/officeDocument/2006/relationships" ref="K721" r:id="rId1594"/>
    <hyperlink xmlns:r="http://schemas.openxmlformats.org/officeDocument/2006/relationships" ref="N721" r:id="rId1595"/>
    <hyperlink xmlns:r="http://schemas.openxmlformats.org/officeDocument/2006/relationships" ref="AA721" r:id="rId1596"/>
    <hyperlink xmlns:r="http://schemas.openxmlformats.org/officeDocument/2006/relationships" ref="K722" r:id="rId1597"/>
    <hyperlink xmlns:r="http://schemas.openxmlformats.org/officeDocument/2006/relationships" ref="N722" r:id="rId1598"/>
    <hyperlink xmlns:r="http://schemas.openxmlformats.org/officeDocument/2006/relationships" ref="O722" r:id="rId1599"/>
    <hyperlink xmlns:r="http://schemas.openxmlformats.org/officeDocument/2006/relationships" ref="AA722" r:id="rId1600"/>
    <hyperlink xmlns:r="http://schemas.openxmlformats.org/officeDocument/2006/relationships" ref="K723" r:id="rId1601"/>
    <hyperlink xmlns:r="http://schemas.openxmlformats.org/officeDocument/2006/relationships" ref="N723" r:id="rId1602"/>
    <hyperlink xmlns:r="http://schemas.openxmlformats.org/officeDocument/2006/relationships" ref="O723" r:id="rId1603"/>
    <hyperlink xmlns:r="http://schemas.openxmlformats.org/officeDocument/2006/relationships" ref="AA723" r:id="rId1604"/>
    <hyperlink xmlns:r="http://schemas.openxmlformats.org/officeDocument/2006/relationships" ref="K724" r:id="rId1605"/>
    <hyperlink xmlns:r="http://schemas.openxmlformats.org/officeDocument/2006/relationships" ref="N724" r:id="rId1606"/>
    <hyperlink xmlns:r="http://schemas.openxmlformats.org/officeDocument/2006/relationships" ref="AA724" r:id="rId1607"/>
    <hyperlink xmlns:r="http://schemas.openxmlformats.org/officeDocument/2006/relationships" ref="K725" r:id="rId1608"/>
    <hyperlink xmlns:r="http://schemas.openxmlformats.org/officeDocument/2006/relationships" ref="N725" r:id="rId1609"/>
    <hyperlink xmlns:r="http://schemas.openxmlformats.org/officeDocument/2006/relationships" ref="AA725" r:id="rId1610"/>
    <hyperlink xmlns:r="http://schemas.openxmlformats.org/officeDocument/2006/relationships" ref="K726" r:id="rId1611"/>
    <hyperlink xmlns:r="http://schemas.openxmlformats.org/officeDocument/2006/relationships" ref="N726" r:id="rId1612"/>
    <hyperlink xmlns:r="http://schemas.openxmlformats.org/officeDocument/2006/relationships" ref="AA726" r:id="rId1613"/>
    <hyperlink xmlns:r="http://schemas.openxmlformats.org/officeDocument/2006/relationships" ref="K727" r:id="rId1614"/>
    <hyperlink xmlns:r="http://schemas.openxmlformats.org/officeDocument/2006/relationships" ref="N727" r:id="rId1615"/>
    <hyperlink xmlns:r="http://schemas.openxmlformats.org/officeDocument/2006/relationships" ref="AA727" r:id="rId1616"/>
    <hyperlink xmlns:r="http://schemas.openxmlformats.org/officeDocument/2006/relationships" ref="K728" r:id="rId1617"/>
    <hyperlink xmlns:r="http://schemas.openxmlformats.org/officeDocument/2006/relationships" ref="N728" r:id="rId1618"/>
    <hyperlink xmlns:r="http://schemas.openxmlformats.org/officeDocument/2006/relationships" ref="AA728" r:id="rId1619"/>
    <hyperlink xmlns:r="http://schemas.openxmlformats.org/officeDocument/2006/relationships" ref="K729" r:id="rId1620"/>
    <hyperlink xmlns:r="http://schemas.openxmlformats.org/officeDocument/2006/relationships" ref="N729" r:id="rId1621"/>
    <hyperlink xmlns:r="http://schemas.openxmlformats.org/officeDocument/2006/relationships" ref="AA729" r:id="rId1622"/>
    <hyperlink xmlns:r="http://schemas.openxmlformats.org/officeDocument/2006/relationships" ref="K730" r:id="rId1623"/>
    <hyperlink xmlns:r="http://schemas.openxmlformats.org/officeDocument/2006/relationships" ref="N730" r:id="rId1624"/>
    <hyperlink xmlns:r="http://schemas.openxmlformats.org/officeDocument/2006/relationships" ref="AA730" r:id="rId1625"/>
    <hyperlink xmlns:r="http://schemas.openxmlformats.org/officeDocument/2006/relationships" ref="K731" r:id="rId1626"/>
    <hyperlink xmlns:r="http://schemas.openxmlformats.org/officeDocument/2006/relationships" ref="AA731" r:id="rId1627"/>
    <hyperlink xmlns:r="http://schemas.openxmlformats.org/officeDocument/2006/relationships" ref="K732" r:id="rId1628"/>
    <hyperlink xmlns:r="http://schemas.openxmlformats.org/officeDocument/2006/relationships" ref="AA732" r:id="rId1629"/>
    <hyperlink xmlns:r="http://schemas.openxmlformats.org/officeDocument/2006/relationships" ref="K733" r:id="rId1630"/>
    <hyperlink xmlns:r="http://schemas.openxmlformats.org/officeDocument/2006/relationships" ref="AA733" r:id="rId1631"/>
    <hyperlink xmlns:r="http://schemas.openxmlformats.org/officeDocument/2006/relationships" ref="K734" r:id="rId1632"/>
    <hyperlink xmlns:r="http://schemas.openxmlformats.org/officeDocument/2006/relationships" ref="AA734" r:id="rId1633"/>
    <hyperlink xmlns:r="http://schemas.openxmlformats.org/officeDocument/2006/relationships" ref="K735" r:id="rId1634"/>
    <hyperlink xmlns:r="http://schemas.openxmlformats.org/officeDocument/2006/relationships" ref="AA735" r:id="rId1635"/>
    <hyperlink xmlns:r="http://schemas.openxmlformats.org/officeDocument/2006/relationships" ref="K736" r:id="rId1636"/>
    <hyperlink xmlns:r="http://schemas.openxmlformats.org/officeDocument/2006/relationships" ref="N736" r:id="rId1637"/>
    <hyperlink xmlns:r="http://schemas.openxmlformats.org/officeDocument/2006/relationships" ref="AA736" r:id="rId1638"/>
    <hyperlink xmlns:r="http://schemas.openxmlformats.org/officeDocument/2006/relationships" ref="K737" r:id="rId1639"/>
    <hyperlink xmlns:r="http://schemas.openxmlformats.org/officeDocument/2006/relationships" ref="AA737" r:id="rId1640"/>
    <hyperlink xmlns:r="http://schemas.openxmlformats.org/officeDocument/2006/relationships" ref="K738" r:id="rId1641"/>
    <hyperlink xmlns:r="http://schemas.openxmlformats.org/officeDocument/2006/relationships" ref="AA738" r:id="rId1642"/>
    <hyperlink xmlns:r="http://schemas.openxmlformats.org/officeDocument/2006/relationships" ref="K739" r:id="rId1643"/>
    <hyperlink xmlns:r="http://schemas.openxmlformats.org/officeDocument/2006/relationships" ref="N739" r:id="rId1644"/>
    <hyperlink xmlns:r="http://schemas.openxmlformats.org/officeDocument/2006/relationships" ref="AA739" r:id="rId1645"/>
    <hyperlink xmlns:r="http://schemas.openxmlformats.org/officeDocument/2006/relationships" ref="K740" r:id="rId1646"/>
    <hyperlink xmlns:r="http://schemas.openxmlformats.org/officeDocument/2006/relationships" ref="AA740" r:id="rId1647"/>
    <hyperlink xmlns:r="http://schemas.openxmlformats.org/officeDocument/2006/relationships" ref="AB740" r:id="rId1648"/>
    <hyperlink xmlns:r="http://schemas.openxmlformats.org/officeDocument/2006/relationships" ref="K741" r:id="rId1649"/>
    <hyperlink xmlns:r="http://schemas.openxmlformats.org/officeDocument/2006/relationships" ref="N741" r:id="rId1650"/>
    <hyperlink xmlns:r="http://schemas.openxmlformats.org/officeDocument/2006/relationships" ref="AA741" r:id="rId1651"/>
    <hyperlink xmlns:r="http://schemas.openxmlformats.org/officeDocument/2006/relationships" ref="K742" r:id="rId1652"/>
    <hyperlink xmlns:r="http://schemas.openxmlformats.org/officeDocument/2006/relationships" ref="N742" r:id="rId1653"/>
    <hyperlink xmlns:r="http://schemas.openxmlformats.org/officeDocument/2006/relationships" ref="AA742" r:id="rId1654"/>
    <hyperlink xmlns:r="http://schemas.openxmlformats.org/officeDocument/2006/relationships" ref="K743" r:id="rId1655"/>
    <hyperlink xmlns:r="http://schemas.openxmlformats.org/officeDocument/2006/relationships" ref="N743" r:id="rId1656"/>
    <hyperlink xmlns:r="http://schemas.openxmlformats.org/officeDocument/2006/relationships" ref="O743" r:id="rId1657"/>
    <hyperlink xmlns:r="http://schemas.openxmlformats.org/officeDocument/2006/relationships" ref="AA743" r:id="rId1658"/>
    <hyperlink xmlns:r="http://schemas.openxmlformats.org/officeDocument/2006/relationships" ref="K744" r:id="rId1659"/>
    <hyperlink xmlns:r="http://schemas.openxmlformats.org/officeDocument/2006/relationships" ref="N744" r:id="rId1660"/>
    <hyperlink xmlns:r="http://schemas.openxmlformats.org/officeDocument/2006/relationships" ref="AA744" r:id="rId1661"/>
    <hyperlink xmlns:r="http://schemas.openxmlformats.org/officeDocument/2006/relationships" ref="K745" r:id="rId1662"/>
    <hyperlink xmlns:r="http://schemas.openxmlformats.org/officeDocument/2006/relationships" ref="N745" r:id="rId1663"/>
    <hyperlink xmlns:r="http://schemas.openxmlformats.org/officeDocument/2006/relationships" ref="O745" r:id="rId1664"/>
    <hyperlink xmlns:r="http://schemas.openxmlformats.org/officeDocument/2006/relationships" ref="AA745" r:id="rId1665"/>
    <hyperlink xmlns:r="http://schemas.openxmlformats.org/officeDocument/2006/relationships" ref="K746" r:id="rId1666"/>
    <hyperlink xmlns:r="http://schemas.openxmlformats.org/officeDocument/2006/relationships" ref="N746" r:id="rId1667"/>
    <hyperlink xmlns:r="http://schemas.openxmlformats.org/officeDocument/2006/relationships" ref="AA746" r:id="rId1668"/>
    <hyperlink xmlns:r="http://schemas.openxmlformats.org/officeDocument/2006/relationships" ref="K747" r:id="rId1669"/>
    <hyperlink xmlns:r="http://schemas.openxmlformats.org/officeDocument/2006/relationships" ref="N747" r:id="rId1670"/>
    <hyperlink xmlns:r="http://schemas.openxmlformats.org/officeDocument/2006/relationships" ref="AA747" r:id="rId1671"/>
    <hyperlink xmlns:r="http://schemas.openxmlformats.org/officeDocument/2006/relationships" ref="K748" r:id="rId1672"/>
    <hyperlink xmlns:r="http://schemas.openxmlformats.org/officeDocument/2006/relationships" ref="N748" r:id="rId1673"/>
    <hyperlink xmlns:r="http://schemas.openxmlformats.org/officeDocument/2006/relationships" ref="AA748" r:id="rId1674"/>
    <hyperlink xmlns:r="http://schemas.openxmlformats.org/officeDocument/2006/relationships" ref="K749" r:id="rId1675"/>
    <hyperlink xmlns:r="http://schemas.openxmlformats.org/officeDocument/2006/relationships" ref="AA749" r:id="rId1676"/>
    <hyperlink xmlns:r="http://schemas.openxmlformats.org/officeDocument/2006/relationships" ref="K750" r:id="rId1677"/>
    <hyperlink xmlns:r="http://schemas.openxmlformats.org/officeDocument/2006/relationships" ref="AA750" r:id="rId1678"/>
    <hyperlink xmlns:r="http://schemas.openxmlformats.org/officeDocument/2006/relationships" ref="K751" r:id="rId1679"/>
    <hyperlink xmlns:r="http://schemas.openxmlformats.org/officeDocument/2006/relationships" ref="AA751" r:id="rId1680"/>
    <hyperlink xmlns:r="http://schemas.openxmlformats.org/officeDocument/2006/relationships" ref="K752" r:id="rId1681"/>
    <hyperlink xmlns:r="http://schemas.openxmlformats.org/officeDocument/2006/relationships" ref="N752" r:id="rId1682"/>
    <hyperlink xmlns:r="http://schemas.openxmlformats.org/officeDocument/2006/relationships" ref="AA752" r:id="rId1683"/>
    <hyperlink xmlns:r="http://schemas.openxmlformats.org/officeDocument/2006/relationships" ref="K753" r:id="rId1684"/>
    <hyperlink xmlns:r="http://schemas.openxmlformats.org/officeDocument/2006/relationships" ref="AA753" r:id="rId1685"/>
    <hyperlink xmlns:r="http://schemas.openxmlformats.org/officeDocument/2006/relationships" ref="K754" r:id="rId1686"/>
    <hyperlink xmlns:r="http://schemas.openxmlformats.org/officeDocument/2006/relationships" ref="AA754" r:id="rId1687"/>
    <hyperlink xmlns:r="http://schemas.openxmlformats.org/officeDocument/2006/relationships" ref="K755" r:id="rId1688"/>
    <hyperlink xmlns:r="http://schemas.openxmlformats.org/officeDocument/2006/relationships" ref="AA755" r:id="rId1689"/>
    <hyperlink xmlns:r="http://schemas.openxmlformats.org/officeDocument/2006/relationships" ref="K756" r:id="rId1690"/>
    <hyperlink xmlns:r="http://schemas.openxmlformats.org/officeDocument/2006/relationships" ref="AA756" r:id="rId1691"/>
    <hyperlink xmlns:r="http://schemas.openxmlformats.org/officeDocument/2006/relationships" ref="K757" r:id="rId1692"/>
    <hyperlink xmlns:r="http://schemas.openxmlformats.org/officeDocument/2006/relationships" ref="N757" r:id="rId1693"/>
    <hyperlink xmlns:r="http://schemas.openxmlformats.org/officeDocument/2006/relationships" ref="AA757" r:id="rId1694"/>
    <hyperlink xmlns:r="http://schemas.openxmlformats.org/officeDocument/2006/relationships" ref="K758" r:id="rId1695"/>
    <hyperlink xmlns:r="http://schemas.openxmlformats.org/officeDocument/2006/relationships" ref="AA758" r:id="rId1696"/>
    <hyperlink xmlns:r="http://schemas.openxmlformats.org/officeDocument/2006/relationships" ref="K759" r:id="rId1697"/>
    <hyperlink xmlns:r="http://schemas.openxmlformats.org/officeDocument/2006/relationships" ref="AA759" r:id="rId1698"/>
    <hyperlink xmlns:r="http://schemas.openxmlformats.org/officeDocument/2006/relationships" ref="K760" r:id="rId1699"/>
    <hyperlink xmlns:r="http://schemas.openxmlformats.org/officeDocument/2006/relationships" ref="N760" r:id="rId1700"/>
    <hyperlink xmlns:r="http://schemas.openxmlformats.org/officeDocument/2006/relationships" ref="AA760" r:id="rId1701"/>
    <hyperlink xmlns:r="http://schemas.openxmlformats.org/officeDocument/2006/relationships" ref="K761" r:id="rId1702"/>
    <hyperlink xmlns:r="http://schemas.openxmlformats.org/officeDocument/2006/relationships" ref="N761" r:id="rId1703"/>
    <hyperlink xmlns:r="http://schemas.openxmlformats.org/officeDocument/2006/relationships" ref="AA761" r:id="rId1704"/>
    <hyperlink xmlns:r="http://schemas.openxmlformats.org/officeDocument/2006/relationships" ref="K762" r:id="rId1705"/>
    <hyperlink xmlns:r="http://schemas.openxmlformats.org/officeDocument/2006/relationships" ref="N762" r:id="rId1706"/>
    <hyperlink xmlns:r="http://schemas.openxmlformats.org/officeDocument/2006/relationships" ref="AA762" r:id="rId1707"/>
    <hyperlink xmlns:r="http://schemas.openxmlformats.org/officeDocument/2006/relationships" ref="K763" r:id="rId1708"/>
    <hyperlink xmlns:r="http://schemas.openxmlformats.org/officeDocument/2006/relationships" ref="N763" r:id="rId1709"/>
    <hyperlink xmlns:r="http://schemas.openxmlformats.org/officeDocument/2006/relationships" ref="AA763" r:id="rId1710"/>
    <hyperlink xmlns:r="http://schemas.openxmlformats.org/officeDocument/2006/relationships" ref="K764" r:id="rId1711"/>
    <hyperlink xmlns:r="http://schemas.openxmlformats.org/officeDocument/2006/relationships" ref="N764" r:id="rId1712"/>
    <hyperlink xmlns:r="http://schemas.openxmlformats.org/officeDocument/2006/relationships" ref="O764" r:id="rId1713"/>
    <hyperlink xmlns:r="http://schemas.openxmlformats.org/officeDocument/2006/relationships" ref="AA764" r:id="rId1714"/>
    <hyperlink xmlns:r="http://schemas.openxmlformats.org/officeDocument/2006/relationships" ref="K765" r:id="rId1715"/>
    <hyperlink xmlns:r="http://schemas.openxmlformats.org/officeDocument/2006/relationships" ref="N765" r:id="rId1716"/>
    <hyperlink xmlns:r="http://schemas.openxmlformats.org/officeDocument/2006/relationships" ref="AA765" r:id="rId1717"/>
    <hyperlink xmlns:r="http://schemas.openxmlformats.org/officeDocument/2006/relationships" ref="K766" r:id="rId1718"/>
    <hyperlink xmlns:r="http://schemas.openxmlformats.org/officeDocument/2006/relationships" ref="N766" r:id="rId1719"/>
    <hyperlink xmlns:r="http://schemas.openxmlformats.org/officeDocument/2006/relationships" ref="AA766" r:id="rId1720"/>
    <hyperlink xmlns:r="http://schemas.openxmlformats.org/officeDocument/2006/relationships" ref="K767" r:id="rId1721"/>
    <hyperlink xmlns:r="http://schemas.openxmlformats.org/officeDocument/2006/relationships" ref="N767" r:id="rId1722"/>
    <hyperlink xmlns:r="http://schemas.openxmlformats.org/officeDocument/2006/relationships" ref="AA767" r:id="rId1723"/>
    <hyperlink xmlns:r="http://schemas.openxmlformats.org/officeDocument/2006/relationships" ref="K768" r:id="rId1724"/>
    <hyperlink xmlns:r="http://schemas.openxmlformats.org/officeDocument/2006/relationships" ref="N768" r:id="rId1725"/>
    <hyperlink xmlns:r="http://schemas.openxmlformats.org/officeDocument/2006/relationships" ref="AA768" r:id="rId1726"/>
    <hyperlink xmlns:r="http://schemas.openxmlformats.org/officeDocument/2006/relationships" ref="K769" r:id="rId1727"/>
    <hyperlink xmlns:r="http://schemas.openxmlformats.org/officeDocument/2006/relationships" ref="N769" r:id="rId1728"/>
    <hyperlink xmlns:r="http://schemas.openxmlformats.org/officeDocument/2006/relationships" ref="AA769" r:id="rId1729"/>
    <hyperlink xmlns:r="http://schemas.openxmlformats.org/officeDocument/2006/relationships" ref="K770" r:id="rId1730"/>
    <hyperlink xmlns:r="http://schemas.openxmlformats.org/officeDocument/2006/relationships" ref="AA770" r:id="rId1731"/>
    <hyperlink xmlns:r="http://schemas.openxmlformats.org/officeDocument/2006/relationships" ref="K771" r:id="rId1732"/>
    <hyperlink xmlns:r="http://schemas.openxmlformats.org/officeDocument/2006/relationships" ref="AA771" r:id="rId1733"/>
    <hyperlink xmlns:r="http://schemas.openxmlformats.org/officeDocument/2006/relationships" ref="K772" r:id="rId1734"/>
    <hyperlink xmlns:r="http://schemas.openxmlformats.org/officeDocument/2006/relationships" ref="N772" r:id="rId1735"/>
    <hyperlink xmlns:r="http://schemas.openxmlformats.org/officeDocument/2006/relationships" ref="AA772" r:id="rId1736"/>
    <hyperlink xmlns:r="http://schemas.openxmlformats.org/officeDocument/2006/relationships" ref="K773" r:id="rId1737"/>
    <hyperlink xmlns:r="http://schemas.openxmlformats.org/officeDocument/2006/relationships" ref="N773" r:id="rId1738"/>
    <hyperlink xmlns:r="http://schemas.openxmlformats.org/officeDocument/2006/relationships" ref="AA773" r:id="rId1739"/>
    <hyperlink xmlns:r="http://schemas.openxmlformats.org/officeDocument/2006/relationships" ref="K774" r:id="rId1740"/>
    <hyperlink xmlns:r="http://schemas.openxmlformats.org/officeDocument/2006/relationships" ref="AA774" r:id="rId1741"/>
    <hyperlink xmlns:r="http://schemas.openxmlformats.org/officeDocument/2006/relationships" ref="K775" r:id="rId1742"/>
    <hyperlink xmlns:r="http://schemas.openxmlformats.org/officeDocument/2006/relationships" ref="N775" r:id="rId1743"/>
    <hyperlink xmlns:r="http://schemas.openxmlformats.org/officeDocument/2006/relationships" ref="AA775" r:id="rId1744"/>
    <hyperlink xmlns:r="http://schemas.openxmlformats.org/officeDocument/2006/relationships" ref="K776" r:id="rId1745"/>
    <hyperlink xmlns:r="http://schemas.openxmlformats.org/officeDocument/2006/relationships" ref="AA776" r:id="rId1746"/>
    <hyperlink xmlns:r="http://schemas.openxmlformats.org/officeDocument/2006/relationships" ref="K777" r:id="rId1747"/>
    <hyperlink xmlns:r="http://schemas.openxmlformats.org/officeDocument/2006/relationships" ref="N777" r:id="rId1748"/>
    <hyperlink xmlns:r="http://schemas.openxmlformats.org/officeDocument/2006/relationships" ref="AA777" r:id="rId1749"/>
    <hyperlink xmlns:r="http://schemas.openxmlformats.org/officeDocument/2006/relationships" ref="K778" r:id="rId1750"/>
    <hyperlink xmlns:r="http://schemas.openxmlformats.org/officeDocument/2006/relationships" ref="N778" r:id="rId1751"/>
    <hyperlink xmlns:r="http://schemas.openxmlformats.org/officeDocument/2006/relationships" ref="AA778" r:id="rId1752"/>
    <hyperlink xmlns:r="http://schemas.openxmlformats.org/officeDocument/2006/relationships" ref="K779" r:id="rId1753"/>
    <hyperlink xmlns:r="http://schemas.openxmlformats.org/officeDocument/2006/relationships" ref="AA779" r:id="rId1754"/>
    <hyperlink xmlns:r="http://schemas.openxmlformats.org/officeDocument/2006/relationships" ref="K780" r:id="rId1755"/>
    <hyperlink xmlns:r="http://schemas.openxmlformats.org/officeDocument/2006/relationships" ref="AA780" r:id="rId1756"/>
    <hyperlink xmlns:r="http://schemas.openxmlformats.org/officeDocument/2006/relationships" ref="K781" r:id="rId1757"/>
    <hyperlink xmlns:r="http://schemas.openxmlformats.org/officeDocument/2006/relationships" ref="AA781" r:id="rId1758"/>
    <hyperlink xmlns:r="http://schemas.openxmlformats.org/officeDocument/2006/relationships" ref="K782" r:id="rId1759"/>
    <hyperlink xmlns:r="http://schemas.openxmlformats.org/officeDocument/2006/relationships" ref="AA782" r:id="rId1760"/>
    <hyperlink xmlns:r="http://schemas.openxmlformats.org/officeDocument/2006/relationships" ref="K783" r:id="rId1761"/>
    <hyperlink xmlns:r="http://schemas.openxmlformats.org/officeDocument/2006/relationships" ref="AA783" r:id="rId1762"/>
    <hyperlink xmlns:r="http://schemas.openxmlformats.org/officeDocument/2006/relationships" ref="K784" r:id="rId1763"/>
    <hyperlink xmlns:r="http://schemas.openxmlformats.org/officeDocument/2006/relationships" ref="AA784" r:id="rId1764"/>
    <hyperlink xmlns:r="http://schemas.openxmlformats.org/officeDocument/2006/relationships" ref="K785" r:id="rId1765"/>
    <hyperlink xmlns:r="http://schemas.openxmlformats.org/officeDocument/2006/relationships" ref="AA785" r:id="rId1766"/>
    <hyperlink xmlns:r="http://schemas.openxmlformats.org/officeDocument/2006/relationships" ref="K786" r:id="rId1767"/>
    <hyperlink xmlns:r="http://schemas.openxmlformats.org/officeDocument/2006/relationships" ref="AA786" r:id="rId1768"/>
    <hyperlink xmlns:r="http://schemas.openxmlformats.org/officeDocument/2006/relationships" ref="K787" r:id="rId1769"/>
    <hyperlink xmlns:r="http://schemas.openxmlformats.org/officeDocument/2006/relationships" ref="AA787" r:id="rId1770"/>
    <hyperlink xmlns:r="http://schemas.openxmlformats.org/officeDocument/2006/relationships" ref="K788" r:id="rId1771"/>
    <hyperlink xmlns:r="http://schemas.openxmlformats.org/officeDocument/2006/relationships" ref="AA788" r:id="rId1772"/>
    <hyperlink xmlns:r="http://schemas.openxmlformats.org/officeDocument/2006/relationships" ref="K789" r:id="rId1773"/>
    <hyperlink xmlns:r="http://schemas.openxmlformats.org/officeDocument/2006/relationships" ref="AA789" r:id="rId1774"/>
    <hyperlink xmlns:r="http://schemas.openxmlformats.org/officeDocument/2006/relationships" ref="K790" r:id="rId1775"/>
    <hyperlink xmlns:r="http://schemas.openxmlformats.org/officeDocument/2006/relationships" ref="AA790" r:id="rId1776"/>
    <hyperlink xmlns:r="http://schemas.openxmlformats.org/officeDocument/2006/relationships" ref="K791" r:id="rId1777"/>
    <hyperlink xmlns:r="http://schemas.openxmlformats.org/officeDocument/2006/relationships" ref="AA791" r:id="rId1778"/>
    <hyperlink xmlns:r="http://schemas.openxmlformats.org/officeDocument/2006/relationships" ref="K792" r:id="rId1779"/>
    <hyperlink xmlns:r="http://schemas.openxmlformats.org/officeDocument/2006/relationships" ref="AA792" r:id="rId1780"/>
    <hyperlink xmlns:r="http://schemas.openxmlformats.org/officeDocument/2006/relationships" ref="K793" r:id="rId1781"/>
    <hyperlink xmlns:r="http://schemas.openxmlformats.org/officeDocument/2006/relationships" ref="AA793" r:id="rId1782"/>
    <hyperlink xmlns:r="http://schemas.openxmlformats.org/officeDocument/2006/relationships" ref="K794" r:id="rId1783"/>
    <hyperlink xmlns:r="http://schemas.openxmlformats.org/officeDocument/2006/relationships" ref="AA794" r:id="rId1784"/>
    <hyperlink xmlns:r="http://schemas.openxmlformats.org/officeDocument/2006/relationships" ref="K795" r:id="rId1785"/>
    <hyperlink xmlns:r="http://schemas.openxmlformats.org/officeDocument/2006/relationships" ref="AA795" r:id="rId1786"/>
    <hyperlink xmlns:r="http://schemas.openxmlformats.org/officeDocument/2006/relationships" ref="K796" r:id="rId1787"/>
    <hyperlink xmlns:r="http://schemas.openxmlformats.org/officeDocument/2006/relationships" ref="AA796" r:id="rId1788"/>
    <hyperlink xmlns:r="http://schemas.openxmlformats.org/officeDocument/2006/relationships" ref="K797" r:id="rId1789"/>
    <hyperlink xmlns:r="http://schemas.openxmlformats.org/officeDocument/2006/relationships" ref="AA797" r:id="rId1790"/>
    <hyperlink xmlns:r="http://schemas.openxmlformats.org/officeDocument/2006/relationships" ref="K798" r:id="rId1791"/>
    <hyperlink xmlns:r="http://schemas.openxmlformats.org/officeDocument/2006/relationships" ref="AA798" r:id="rId1792"/>
    <hyperlink xmlns:r="http://schemas.openxmlformats.org/officeDocument/2006/relationships" ref="K799" r:id="rId1793"/>
    <hyperlink xmlns:r="http://schemas.openxmlformats.org/officeDocument/2006/relationships" ref="AA799" r:id="rId1794"/>
    <hyperlink xmlns:r="http://schemas.openxmlformats.org/officeDocument/2006/relationships" ref="K800" r:id="rId1795"/>
    <hyperlink xmlns:r="http://schemas.openxmlformats.org/officeDocument/2006/relationships" ref="AA800" r:id="rId1796"/>
    <hyperlink xmlns:r="http://schemas.openxmlformats.org/officeDocument/2006/relationships" ref="K801" r:id="rId1797"/>
    <hyperlink xmlns:r="http://schemas.openxmlformats.org/officeDocument/2006/relationships" ref="AA801" r:id="rId1798"/>
    <hyperlink xmlns:r="http://schemas.openxmlformats.org/officeDocument/2006/relationships" ref="K802" r:id="rId1799"/>
    <hyperlink xmlns:r="http://schemas.openxmlformats.org/officeDocument/2006/relationships" ref="AA802" r:id="rId1800"/>
    <hyperlink xmlns:r="http://schemas.openxmlformats.org/officeDocument/2006/relationships" ref="K803" r:id="rId1801"/>
    <hyperlink xmlns:r="http://schemas.openxmlformats.org/officeDocument/2006/relationships" ref="AA803" r:id="rId1802"/>
    <hyperlink xmlns:r="http://schemas.openxmlformats.org/officeDocument/2006/relationships" ref="K804" r:id="rId1803"/>
    <hyperlink xmlns:r="http://schemas.openxmlformats.org/officeDocument/2006/relationships" ref="AA804" r:id="rId1804"/>
    <hyperlink xmlns:r="http://schemas.openxmlformats.org/officeDocument/2006/relationships" ref="K805" r:id="rId1805"/>
    <hyperlink xmlns:r="http://schemas.openxmlformats.org/officeDocument/2006/relationships" ref="AA805" r:id="rId1806"/>
    <hyperlink xmlns:r="http://schemas.openxmlformats.org/officeDocument/2006/relationships" ref="K806" r:id="rId1807"/>
    <hyperlink xmlns:r="http://schemas.openxmlformats.org/officeDocument/2006/relationships" ref="AA806" r:id="rId1808"/>
    <hyperlink xmlns:r="http://schemas.openxmlformats.org/officeDocument/2006/relationships" ref="K807" r:id="rId1809"/>
    <hyperlink xmlns:r="http://schemas.openxmlformats.org/officeDocument/2006/relationships" ref="AA807" r:id="rId1810"/>
    <hyperlink xmlns:r="http://schemas.openxmlformats.org/officeDocument/2006/relationships" ref="K808" r:id="rId1811"/>
    <hyperlink xmlns:r="http://schemas.openxmlformats.org/officeDocument/2006/relationships" ref="AA808" r:id="rId1812"/>
    <hyperlink xmlns:r="http://schemas.openxmlformats.org/officeDocument/2006/relationships" ref="K809" r:id="rId1813"/>
    <hyperlink xmlns:r="http://schemas.openxmlformats.org/officeDocument/2006/relationships" ref="AA809" r:id="rId1814"/>
    <hyperlink xmlns:r="http://schemas.openxmlformats.org/officeDocument/2006/relationships" ref="K810" r:id="rId1815"/>
    <hyperlink xmlns:r="http://schemas.openxmlformats.org/officeDocument/2006/relationships" ref="AA810" r:id="rId1816"/>
    <hyperlink xmlns:r="http://schemas.openxmlformats.org/officeDocument/2006/relationships" ref="K811" r:id="rId1817"/>
    <hyperlink xmlns:r="http://schemas.openxmlformats.org/officeDocument/2006/relationships" ref="AA811" r:id="rId1818"/>
    <hyperlink xmlns:r="http://schemas.openxmlformats.org/officeDocument/2006/relationships" ref="K812" r:id="rId1819"/>
    <hyperlink xmlns:r="http://schemas.openxmlformats.org/officeDocument/2006/relationships" ref="N812" r:id="rId1820"/>
    <hyperlink xmlns:r="http://schemas.openxmlformats.org/officeDocument/2006/relationships" ref="AA812" r:id="rId1821"/>
    <hyperlink xmlns:r="http://schemas.openxmlformats.org/officeDocument/2006/relationships" ref="K813" r:id="rId1822"/>
    <hyperlink xmlns:r="http://schemas.openxmlformats.org/officeDocument/2006/relationships" ref="AA813" r:id="rId1823"/>
    <hyperlink xmlns:r="http://schemas.openxmlformats.org/officeDocument/2006/relationships" ref="K814" r:id="rId1824"/>
    <hyperlink xmlns:r="http://schemas.openxmlformats.org/officeDocument/2006/relationships" ref="AA814" r:id="rId1825"/>
    <hyperlink xmlns:r="http://schemas.openxmlformats.org/officeDocument/2006/relationships" ref="K815" r:id="rId1826"/>
    <hyperlink xmlns:r="http://schemas.openxmlformats.org/officeDocument/2006/relationships" ref="AA815" r:id="rId1827"/>
    <hyperlink xmlns:r="http://schemas.openxmlformats.org/officeDocument/2006/relationships" ref="K816" r:id="rId1828"/>
    <hyperlink xmlns:r="http://schemas.openxmlformats.org/officeDocument/2006/relationships" ref="AA816" r:id="rId1829"/>
    <hyperlink xmlns:r="http://schemas.openxmlformats.org/officeDocument/2006/relationships" ref="K817" r:id="rId1830"/>
    <hyperlink xmlns:r="http://schemas.openxmlformats.org/officeDocument/2006/relationships" ref="AA817" r:id="rId1831"/>
    <hyperlink xmlns:r="http://schemas.openxmlformats.org/officeDocument/2006/relationships" ref="K818" r:id="rId1832"/>
    <hyperlink xmlns:r="http://schemas.openxmlformats.org/officeDocument/2006/relationships" ref="AA818" r:id="rId1833"/>
    <hyperlink xmlns:r="http://schemas.openxmlformats.org/officeDocument/2006/relationships" ref="K819" r:id="rId1834"/>
    <hyperlink xmlns:r="http://schemas.openxmlformats.org/officeDocument/2006/relationships" ref="AA819" r:id="rId1835"/>
    <hyperlink xmlns:r="http://schemas.openxmlformats.org/officeDocument/2006/relationships" ref="K820" r:id="rId1836"/>
    <hyperlink xmlns:r="http://schemas.openxmlformats.org/officeDocument/2006/relationships" ref="AA820" r:id="rId1837"/>
    <hyperlink xmlns:r="http://schemas.openxmlformats.org/officeDocument/2006/relationships" ref="K821" r:id="rId1838"/>
    <hyperlink xmlns:r="http://schemas.openxmlformats.org/officeDocument/2006/relationships" ref="AA821" r:id="rId1839"/>
    <hyperlink xmlns:r="http://schemas.openxmlformats.org/officeDocument/2006/relationships" ref="K822" r:id="rId1840"/>
    <hyperlink xmlns:r="http://schemas.openxmlformats.org/officeDocument/2006/relationships" ref="AA822" r:id="rId1841"/>
    <hyperlink xmlns:r="http://schemas.openxmlformats.org/officeDocument/2006/relationships" ref="K823" r:id="rId1842"/>
    <hyperlink xmlns:r="http://schemas.openxmlformats.org/officeDocument/2006/relationships" ref="AA823" r:id="rId1843"/>
    <hyperlink xmlns:r="http://schemas.openxmlformats.org/officeDocument/2006/relationships" ref="K824" r:id="rId1844"/>
    <hyperlink xmlns:r="http://schemas.openxmlformats.org/officeDocument/2006/relationships" ref="AA824" r:id="rId1845"/>
    <hyperlink xmlns:r="http://schemas.openxmlformats.org/officeDocument/2006/relationships" ref="K825" r:id="rId1846"/>
    <hyperlink xmlns:r="http://schemas.openxmlformats.org/officeDocument/2006/relationships" ref="AA825" r:id="rId1847"/>
    <hyperlink xmlns:r="http://schemas.openxmlformats.org/officeDocument/2006/relationships" ref="K826" r:id="rId1848"/>
    <hyperlink xmlns:r="http://schemas.openxmlformats.org/officeDocument/2006/relationships" ref="AA826" r:id="rId1849"/>
    <hyperlink xmlns:r="http://schemas.openxmlformats.org/officeDocument/2006/relationships" ref="K827" r:id="rId1850"/>
    <hyperlink xmlns:r="http://schemas.openxmlformats.org/officeDocument/2006/relationships" ref="AA827" r:id="rId1851"/>
    <hyperlink xmlns:r="http://schemas.openxmlformats.org/officeDocument/2006/relationships" ref="K828" r:id="rId1852"/>
    <hyperlink xmlns:r="http://schemas.openxmlformats.org/officeDocument/2006/relationships" ref="AA828" r:id="rId1853"/>
    <hyperlink xmlns:r="http://schemas.openxmlformats.org/officeDocument/2006/relationships" ref="K829" r:id="rId1854"/>
    <hyperlink xmlns:r="http://schemas.openxmlformats.org/officeDocument/2006/relationships" ref="AA829" r:id="rId1855"/>
    <hyperlink xmlns:r="http://schemas.openxmlformats.org/officeDocument/2006/relationships" ref="K830" r:id="rId1856"/>
    <hyperlink xmlns:r="http://schemas.openxmlformats.org/officeDocument/2006/relationships" ref="AA830" r:id="rId1857"/>
    <hyperlink xmlns:r="http://schemas.openxmlformats.org/officeDocument/2006/relationships" ref="K831" r:id="rId1858"/>
    <hyperlink xmlns:r="http://schemas.openxmlformats.org/officeDocument/2006/relationships" ref="AA831" r:id="rId1859"/>
    <hyperlink xmlns:r="http://schemas.openxmlformats.org/officeDocument/2006/relationships" ref="K832" r:id="rId1860"/>
    <hyperlink xmlns:r="http://schemas.openxmlformats.org/officeDocument/2006/relationships" ref="AA832" r:id="rId1861"/>
    <hyperlink xmlns:r="http://schemas.openxmlformats.org/officeDocument/2006/relationships" ref="K833" r:id="rId1862"/>
    <hyperlink xmlns:r="http://schemas.openxmlformats.org/officeDocument/2006/relationships" ref="AA833" r:id="rId1863"/>
    <hyperlink xmlns:r="http://schemas.openxmlformats.org/officeDocument/2006/relationships" ref="K834" r:id="rId1864"/>
    <hyperlink xmlns:r="http://schemas.openxmlformats.org/officeDocument/2006/relationships" ref="AA834" r:id="rId1865"/>
    <hyperlink xmlns:r="http://schemas.openxmlformats.org/officeDocument/2006/relationships" ref="K835" r:id="rId1866"/>
    <hyperlink xmlns:r="http://schemas.openxmlformats.org/officeDocument/2006/relationships" ref="AA835" r:id="rId1867"/>
    <hyperlink xmlns:r="http://schemas.openxmlformats.org/officeDocument/2006/relationships" ref="K836" r:id="rId1868"/>
    <hyperlink xmlns:r="http://schemas.openxmlformats.org/officeDocument/2006/relationships" ref="AA836" r:id="rId1869"/>
    <hyperlink xmlns:r="http://schemas.openxmlformats.org/officeDocument/2006/relationships" ref="K837" r:id="rId1870"/>
    <hyperlink xmlns:r="http://schemas.openxmlformats.org/officeDocument/2006/relationships" ref="AA837" r:id="rId1871"/>
    <hyperlink xmlns:r="http://schemas.openxmlformats.org/officeDocument/2006/relationships" ref="K838" r:id="rId1872"/>
    <hyperlink xmlns:r="http://schemas.openxmlformats.org/officeDocument/2006/relationships" ref="AA838" r:id="rId1873"/>
    <hyperlink xmlns:r="http://schemas.openxmlformats.org/officeDocument/2006/relationships" ref="K839" r:id="rId1874"/>
    <hyperlink xmlns:r="http://schemas.openxmlformats.org/officeDocument/2006/relationships" ref="AA839" r:id="rId1875"/>
    <hyperlink xmlns:r="http://schemas.openxmlformats.org/officeDocument/2006/relationships" ref="K840" r:id="rId1876"/>
    <hyperlink xmlns:r="http://schemas.openxmlformats.org/officeDocument/2006/relationships" ref="AA840" r:id="rId1877"/>
    <hyperlink xmlns:r="http://schemas.openxmlformats.org/officeDocument/2006/relationships" ref="K841" r:id="rId1878"/>
    <hyperlink xmlns:r="http://schemas.openxmlformats.org/officeDocument/2006/relationships" ref="AA841" r:id="rId1879"/>
    <hyperlink xmlns:r="http://schemas.openxmlformats.org/officeDocument/2006/relationships" ref="K842" r:id="rId1880"/>
    <hyperlink xmlns:r="http://schemas.openxmlformats.org/officeDocument/2006/relationships" ref="AA842" r:id="rId1881"/>
    <hyperlink xmlns:r="http://schemas.openxmlformats.org/officeDocument/2006/relationships" ref="K843" r:id="rId1882"/>
    <hyperlink xmlns:r="http://schemas.openxmlformats.org/officeDocument/2006/relationships" ref="AA843" r:id="rId1883"/>
    <hyperlink xmlns:r="http://schemas.openxmlformats.org/officeDocument/2006/relationships" ref="K844" r:id="rId1884"/>
    <hyperlink xmlns:r="http://schemas.openxmlformats.org/officeDocument/2006/relationships" ref="AA844" r:id="rId1885"/>
    <hyperlink xmlns:r="http://schemas.openxmlformats.org/officeDocument/2006/relationships" ref="K845" r:id="rId1886"/>
    <hyperlink xmlns:r="http://schemas.openxmlformats.org/officeDocument/2006/relationships" ref="AA845" r:id="rId1887"/>
    <hyperlink xmlns:r="http://schemas.openxmlformats.org/officeDocument/2006/relationships" ref="K846" r:id="rId1888"/>
    <hyperlink xmlns:r="http://schemas.openxmlformats.org/officeDocument/2006/relationships" ref="AA846" r:id="rId1889"/>
    <hyperlink xmlns:r="http://schemas.openxmlformats.org/officeDocument/2006/relationships" ref="K847" r:id="rId1890"/>
    <hyperlink xmlns:r="http://schemas.openxmlformats.org/officeDocument/2006/relationships" ref="AA847" r:id="rId1891"/>
    <hyperlink xmlns:r="http://schemas.openxmlformats.org/officeDocument/2006/relationships" ref="K848" r:id="rId1892"/>
    <hyperlink xmlns:r="http://schemas.openxmlformats.org/officeDocument/2006/relationships" ref="AA848" r:id="rId1893"/>
    <hyperlink xmlns:r="http://schemas.openxmlformats.org/officeDocument/2006/relationships" ref="K849" r:id="rId1894"/>
    <hyperlink xmlns:r="http://schemas.openxmlformats.org/officeDocument/2006/relationships" ref="AA849" r:id="rId1895"/>
    <hyperlink xmlns:r="http://schemas.openxmlformats.org/officeDocument/2006/relationships" ref="K850" r:id="rId1896"/>
    <hyperlink xmlns:r="http://schemas.openxmlformats.org/officeDocument/2006/relationships" ref="AA850" r:id="rId1897"/>
    <hyperlink xmlns:r="http://schemas.openxmlformats.org/officeDocument/2006/relationships" ref="K851" r:id="rId1898"/>
    <hyperlink xmlns:r="http://schemas.openxmlformats.org/officeDocument/2006/relationships" ref="AA851" r:id="rId1899"/>
    <hyperlink xmlns:r="http://schemas.openxmlformats.org/officeDocument/2006/relationships" ref="K852" r:id="rId1900"/>
    <hyperlink xmlns:r="http://schemas.openxmlformats.org/officeDocument/2006/relationships" ref="AA852" r:id="rId1901"/>
    <hyperlink xmlns:r="http://schemas.openxmlformats.org/officeDocument/2006/relationships" ref="K853" r:id="rId1902"/>
    <hyperlink xmlns:r="http://schemas.openxmlformats.org/officeDocument/2006/relationships" ref="AA853" r:id="rId1903"/>
    <hyperlink xmlns:r="http://schemas.openxmlformats.org/officeDocument/2006/relationships" ref="K854" r:id="rId1904"/>
    <hyperlink xmlns:r="http://schemas.openxmlformats.org/officeDocument/2006/relationships" ref="AA854" r:id="rId1905"/>
    <hyperlink xmlns:r="http://schemas.openxmlformats.org/officeDocument/2006/relationships" ref="K855" r:id="rId1906"/>
    <hyperlink xmlns:r="http://schemas.openxmlformats.org/officeDocument/2006/relationships" ref="AA855" r:id="rId1907"/>
    <hyperlink xmlns:r="http://schemas.openxmlformats.org/officeDocument/2006/relationships" ref="K856" r:id="rId1908"/>
    <hyperlink xmlns:r="http://schemas.openxmlformats.org/officeDocument/2006/relationships" ref="AA856" r:id="rId1909"/>
    <hyperlink xmlns:r="http://schemas.openxmlformats.org/officeDocument/2006/relationships" ref="K857" r:id="rId1910"/>
    <hyperlink xmlns:r="http://schemas.openxmlformats.org/officeDocument/2006/relationships" ref="AA857" r:id="rId1911"/>
    <hyperlink xmlns:r="http://schemas.openxmlformats.org/officeDocument/2006/relationships" ref="K858" r:id="rId1912"/>
    <hyperlink xmlns:r="http://schemas.openxmlformats.org/officeDocument/2006/relationships" ref="AA858" r:id="rId1913"/>
    <hyperlink xmlns:r="http://schemas.openxmlformats.org/officeDocument/2006/relationships" ref="K859" r:id="rId1914"/>
    <hyperlink xmlns:r="http://schemas.openxmlformats.org/officeDocument/2006/relationships" ref="AA859" r:id="rId1915"/>
    <hyperlink xmlns:r="http://schemas.openxmlformats.org/officeDocument/2006/relationships" ref="K860" r:id="rId1916"/>
    <hyperlink xmlns:r="http://schemas.openxmlformats.org/officeDocument/2006/relationships" ref="AA860" r:id="rId1917"/>
    <hyperlink xmlns:r="http://schemas.openxmlformats.org/officeDocument/2006/relationships" ref="K861" r:id="rId1918"/>
    <hyperlink xmlns:r="http://schemas.openxmlformats.org/officeDocument/2006/relationships" ref="AA861" r:id="rId1919"/>
    <hyperlink xmlns:r="http://schemas.openxmlformats.org/officeDocument/2006/relationships" ref="K862" r:id="rId1920"/>
    <hyperlink xmlns:r="http://schemas.openxmlformats.org/officeDocument/2006/relationships" ref="AA862" r:id="rId1921"/>
    <hyperlink xmlns:r="http://schemas.openxmlformats.org/officeDocument/2006/relationships" ref="K863" r:id="rId1922"/>
    <hyperlink xmlns:r="http://schemas.openxmlformats.org/officeDocument/2006/relationships" ref="AA863" r:id="rId1923"/>
    <hyperlink xmlns:r="http://schemas.openxmlformats.org/officeDocument/2006/relationships" ref="K864" r:id="rId1924"/>
    <hyperlink xmlns:r="http://schemas.openxmlformats.org/officeDocument/2006/relationships" ref="AA864" r:id="rId1925"/>
    <hyperlink xmlns:r="http://schemas.openxmlformats.org/officeDocument/2006/relationships" ref="K865" r:id="rId1926"/>
    <hyperlink xmlns:r="http://schemas.openxmlformats.org/officeDocument/2006/relationships" ref="AA865" r:id="rId1927"/>
    <hyperlink xmlns:r="http://schemas.openxmlformats.org/officeDocument/2006/relationships" ref="K866" r:id="rId1928"/>
    <hyperlink xmlns:r="http://schemas.openxmlformats.org/officeDocument/2006/relationships" ref="AA866" r:id="rId1929"/>
    <hyperlink xmlns:r="http://schemas.openxmlformats.org/officeDocument/2006/relationships" ref="K867" r:id="rId1930"/>
    <hyperlink xmlns:r="http://schemas.openxmlformats.org/officeDocument/2006/relationships" ref="AA867" r:id="rId1931"/>
    <hyperlink xmlns:r="http://schemas.openxmlformats.org/officeDocument/2006/relationships" ref="K868" r:id="rId1932"/>
    <hyperlink xmlns:r="http://schemas.openxmlformats.org/officeDocument/2006/relationships" ref="AA868" r:id="rId1933"/>
    <hyperlink xmlns:r="http://schemas.openxmlformats.org/officeDocument/2006/relationships" ref="K869" r:id="rId1934"/>
    <hyperlink xmlns:r="http://schemas.openxmlformats.org/officeDocument/2006/relationships" ref="AA869" r:id="rId1935"/>
    <hyperlink xmlns:r="http://schemas.openxmlformats.org/officeDocument/2006/relationships" ref="K870" r:id="rId1936"/>
    <hyperlink xmlns:r="http://schemas.openxmlformats.org/officeDocument/2006/relationships" ref="AA870" r:id="rId1937"/>
    <hyperlink xmlns:r="http://schemas.openxmlformats.org/officeDocument/2006/relationships" ref="K871" r:id="rId1938"/>
    <hyperlink xmlns:r="http://schemas.openxmlformats.org/officeDocument/2006/relationships" ref="AA871" r:id="rId1939"/>
    <hyperlink xmlns:r="http://schemas.openxmlformats.org/officeDocument/2006/relationships" ref="K872" r:id="rId1940"/>
    <hyperlink xmlns:r="http://schemas.openxmlformats.org/officeDocument/2006/relationships" ref="AA872" r:id="rId1941"/>
    <hyperlink xmlns:r="http://schemas.openxmlformats.org/officeDocument/2006/relationships" ref="K873" r:id="rId1942"/>
    <hyperlink xmlns:r="http://schemas.openxmlformats.org/officeDocument/2006/relationships" ref="AA873" r:id="rId1943"/>
    <hyperlink xmlns:r="http://schemas.openxmlformats.org/officeDocument/2006/relationships" ref="K874" r:id="rId1944"/>
    <hyperlink xmlns:r="http://schemas.openxmlformats.org/officeDocument/2006/relationships" ref="AA874" r:id="rId1945"/>
    <hyperlink xmlns:r="http://schemas.openxmlformats.org/officeDocument/2006/relationships" ref="K875" r:id="rId1946"/>
    <hyperlink xmlns:r="http://schemas.openxmlformats.org/officeDocument/2006/relationships" ref="AA875" r:id="rId1947"/>
    <hyperlink xmlns:r="http://schemas.openxmlformats.org/officeDocument/2006/relationships" ref="K876" r:id="rId1948"/>
    <hyperlink xmlns:r="http://schemas.openxmlformats.org/officeDocument/2006/relationships" ref="AA876" r:id="rId1949"/>
    <hyperlink xmlns:r="http://schemas.openxmlformats.org/officeDocument/2006/relationships" ref="K877" r:id="rId1950"/>
    <hyperlink xmlns:r="http://schemas.openxmlformats.org/officeDocument/2006/relationships" ref="AA877" r:id="rId1951"/>
    <hyperlink xmlns:r="http://schemas.openxmlformats.org/officeDocument/2006/relationships" ref="K878" r:id="rId1952"/>
    <hyperlink xmlns:r="http://schemas.openxmlformats.org/officeDocument/2006/relationships" ref="AA878" r:id="rId1953"/>
    <hyperlink xmlns:r="http://schemas.openxmlformats.org/officeDocument/2006/relationships" ref="K879" r:id="rId1954"/>
    <hyperlink xmlns:r="http://schemas.openxmlformats.org/officeDocument/2006/relationships" ref="AA879" r:id="rId1955"/>
    <hyperlink xmlns:r="http://schemas.openxmlformats.org/officeDocument/2006/relationships" ref="K880" r:id="rId1956"/>
    <hyperlink xmlns:r="http://schemas.openxmlformats.org/officeDocument/2006/relationships" ref="AA880" r:id="rId1957"/>
    <hyperlink xmlns:r="http://schemas.openxmlformats.org/officeDocument/2006/relationships" ref="K881" r:id="rId1958"/>
    <hyperlink xmlns:r="http://schemas.openxmlformats.org/officeDocument/2006/relationships" ref="AA881" r:id="rId1959"/>
    <hyperlink xmlns:r="http://schemas.openxmlformats.org/officeDocument/2006/relationships" ref="K882" r:id="rId1960"/>
    <hyperlink xmlns:r="http://schemas.openxmlformats.org/officeDocument/2006/relationships" ref="AA882" r:id="rId1961"/>
    <hyperlink xmlns:r="http://schemas.openxmlformats.org/officeDocument/2006/relationships" ref="K883" r:id="rId1962"/>
    <hyperlink xmlns:r="http://schemas.openxmlformats.org/officeDocument/2006/relationships" ref="AA883" r:id="rId1963"/>
    <hyperlink xmlns:r="http://schemas.openxmlformats.org/officeDocument/2006/relationships" ref="K884" r:id="rId1964"/>
    <hyperlink xmlns:r="http://schemas.openxmlformats.org/officeDocument/2006/relationships" ref="AA884" r:id="rId1965"/>
    <hyperlink xmlns:r="http://schemas.openxmlformats.org/officeDocument/2006/relationships" ref="K885" r:id="rId1966"/>
    <hyperlink xmlns:r="http://schemas.openxmlformats.org/officeDocument/2006/relationships" ref="AA885" r:id="rId1967"/>
    <hyperlink xmlns:r="http://schemas.openxmlformats.org/officeDocument/2006/relationships" ref="K886" r:id="rId1968"/>
    <hyperlink xmlns:r="http://schemas.openxmlformats.org/officeDocument/2006/relationships" ref="AA886" r:id="rId1969"/>
    <hyperlink xmlns:r="http://schemas.openxmlformats.org/officeDocument/2006/relationships" ref="K887" r:id="rId1970"/>
    <hyperlink xmlns:r="http://schemas.openxmlformats.org/officeDocument/2006/relationships" ref="AA887" r:id="rId1971"/>
    <hyperlink xmlns:r="http://schemas.openxmlformats.org/officeDocument/2006/relationships" ref="K888" r:id="rId1972"/>
    <hyperlink xmlns:r="http://schemas.openxmlformats.org/officeDocument/2006/relationships" ref="AA888" r:id="rId1973"/>
    <hyperlink xmlns:r="http://schemas.openxmlformats.org/officeDocument/2006/relationships" ref="K889" r:id="rId1974"/>
    <hyperlink xmlns:r="http://schemas.openxmlformats.org/officeDocument/2006/relationships" ref="AA889" r:id="rId1975"/>
    <hyperlink xmlns:r="http://schemas.openxmlformats.org/officeDocument/2006/relationships" ref="K890" r:id="rId1976"/>
    <hyperlink xmlns:r="http://schemas.openxmlformats.org/officeDocument/2006/relationships" ref="AA890" r:id="rId1977"/>
    <hyperlink xmlns:r="http://schemas.openxmlformats.org/officeDocument/2006/relationships" ref="K891" r:id="rId1978"/>
    <hyperlink xmlns:r="http://schemas.openxmlformats.org/officeDocument/2006/relationships" ref="AA891" r:id="rId1979"/>
    <hyperlink xmlns:r="http://schemas.openxmlformats.org/officeDocument/2006/relationships" ref="K892" r:id="rId1980"/>
    <hyperlink xmlns:r="http://schemas.openxmlformats.org/officeDocument/2006/relationships" ref="AA892" r:id="rId1981"/>
    <hyperlink xmlns:r="http://schemas.openxmlformats.org/officeDocument/2006/relationships" ref="K893" r:id="rId1982"/>
    <hyperlink xmlns:r="http://schemas.openxmlformats.org/officeDocument/2006/relationships" ref="AA893" r:id="rId1983"/>
    <hyperlink xmlns:r="http://schemas.openxmlformats.org/officeDocument/2006/relationships" ref="K894" r:id="rId1984"/>
    <hyperlink xmlns:r="http://schemas.openxmlformats.org/officeDocument/2006/relationships" ref="AA894" r:id="rId1985"/>
    <hyperlink xmlns:r="http://schemas.openxmlformats.org/officeDocument/2006/relationships" ref="K895" r:id="rId1986"/>
    <hyperlink xmlns:r="http://schemas.openxmlformats.org/officeDocument/2006/relationships" ref="AA895" r:id="rId1987"/>
    <hyperlink xmlns:r="http://schemas.openxmlformats.org/officeDocument/2006/relationships" ref="K896" r:id="rId1988"/>
    <hyperlink xmlns:r="http://schemas.openxmlformats.org/officeDocument/2006/relationships" ref="AA896" r:id="rId1989"/>
    <hyperlink xmlns:r="http://schemas.openxmlformats.org/officeDocument/2006/relationships" ref="K897" r:id="rId1990"/>
    <hyperlink xmlns:r="http://schemas.openxmlformats.org/officeDocument/2006/relationships" ref="AA897" r:id="rId1991"/>
    <hyperlink xmlns:r="http://schemas.openxmlformats.org/officeDocument/2006/relationships" ref="K898" r:id="rId1992"/>
    <hyperlink xmlns:r="http://schemas.openxmlformats.org/officeDocument/2006/relationships" ref="AA898" r:id="rId1993"/>
    <hyperlink xmlns:r="http://schemas.openxmlformats.org/officeDocument/2006/relationships" ref="K899" r:id="rId1994"/>
    <hyperlink xmlns:r="http://schemas.openxmlformats.org/officeDocument/2006/relationships" ref="AA899" r:id="rId1995"/>
    <hyperlink xmlns:r="http://schemas.openxmlformats.org/officeDocument/2006/relationships" ref="K900" r:id="rId1996"/>
    <hyperlink xmlns:r="http://schemas.openxmlformats.org/officeDocument/2006/relationships" ref="AA900" r:id="rId1997"/>
    <hyperlink xmlns:r="http://schemas.openxmlformats.org/officeDocument/2006/relationships" ref="K901" r:id="rId1998"/>
    <hyperlink xmlns:r="http://schemas.openxmlformats.org/officeDocument/2006/relationships" ref="AA901" r:id="rId1999"/>
    <hyperlink xmlns:r="http://schemas.openxmlformats.org/officeDocument/2006/relationships" ref="K902" r:id="rId2000"/>
    <hyperlink xmlns:r="http://schemas.openxmlformats.org/officeDocument/2006/relationships" ref="AA902" r:id="rId2001"/>
    <hyperlink xmlns:r="http://schemas.openxmlformats.org/officeDocument/2006/relationships" ref="K903" r:id="rId2002"/>
    <hyperlink xmlns:r="http://schemas.openxmlformats.org/officeDocument/2006/relationships" ref="AA903" r:id="rId2003"/>
    <hyperlink xmlns:r="http://schemas.openxmlformats.org/officeDocument/2006/relationships" ref="K904" r:id="rId2004"/>
    <hyperlink xmlns:r="http://schemas.openxmlformats.org/officeDocument/2006/relationships" ref="AA904" r:id="rId2005"/>
    <hyperlink xmlns:r="http://schemas.openxmlformats.org/officeDocument/2006/relationships" ref="K905" r:id="rId2006"/>
    <hyperlink xmlns:r="http://schemas.openxmlformats.org/officeDocument/2006/relationships" ref="AA905" r:id="rId2007"/>
    <hyperlink xmlns:r="http://schemas.openxmlformats.org/officeDocument/2006/relationships" ref="K906" r:id="rId2008"/>
    <hyperlink xmlns:r="http://schemas.openxmlformats.org/officeDocument/2006/relationships" ref="AA906" r:id="rId2009"/>
    <hyperlink xmlns:r="http://schemas.openxmlformats.org/officeDocument/2006/relationships" ref="K907" r:id="rId2010"/>
    <hyperlink xmlns:r="http://schemas.openxmlformats.org/officeDocument/2006/relationships" ref="AA907" r:id="rId2011"/>
    <hyperlink xmlns:r="http://schemas.openxmlformats.org/officeDocument/2006/relationships" ref="K908" r:id="rId2012"/>
    <hyperlink xmlns:r="http://schemas.openxmlformats.org/officeDocument/2006/relationships" ref="AA908" r:id="rId2013"/>
    <hyperlink xmlns:r="http://schemas.openxmlformats.org/officeDocument/2006/relationships" ref="K909" r:id="rId2014"/>
    <hyperlink xmlns:r="http://schemas.openxmlformats.org/officeDocument/2006/relationships" ref="AA909" r:id="rId2015"/>
    <hyperlink xmlns:r="http://schemas.openxmlformats.org/officeDocument/2006/relationships" ref="K910" r:id="rId2016"/>
    <hyperlink xmlns:r="http://schemas.openxmlformats.org/officeDocument/2006/relationships" ref="AA910" r:id="rId2017"/>
    <hyperlink xmlns:r="http://schemas.openxmlformats.org/officeDocument/2006/relationships" ref="K911" r:id="rId2018"/>
    <hyperlink xmlns:r="http://schemas.openxmlformats.org/officeDocument/2006/relationships" ref="AA911" r:id="rId2019"/>
    <hyperlink xmlns:r="http://schemas.openxmlformats.org/officeDocument/2006/relationships" ref="K912" r:id="rId2020"/>
    <hyperlink xmlns:r="http://schemas.openxmlformats.org/officeDocument/2006/relationships" ref="AA912" r:id="rId2021"/>
    <hyperlink xmlns:r="http://schemas.openxmlformats.org/officeDocument/2006/relationships" ref="K913" r:id="rId2022"/>
    <hyperlink xmlns:r="http://schemas.openxmlformats.org/officeDocument/2006/relationships" ref="AA913" r:id="rId2023"/>
    <hyperlink xmlns:r="http://schemas.openxmlformats.org/officeDocument/2006/relationships" ref="K914" r:id="rId2024"/>
    <hyperlink xmlns:r="http://schemas.openxmlformats.org/officeDocument/2006/relationships" ref="AA914" r:id="rId2025"/>
    <hyperlink xmlns:r="http://schemas.openxmlformats.org/officeDocument/2006/relationships" ref="K915" r:id="rId2026"/>
    <hyperlink xmlns:r="http://schemas.openxmlformats.org/officeDocument/2006/relationships" ref="AA915" r:id="rId2027"/>
    <hyperlink xmlns:r="http://schemas.openxmlformats.org/officeDocument/2006/relationships" ref="K916" r:id="rId2028"/>
    <hyperlink xmlns:r="http://schemas.openxmlformats.org/officeDocument/2006/relationships" ref="AA916" r:id="rId2029"/>
    <hyperlink xmlns:r="http://schemas.openxmlformats.org/officeDocument/2006/relationships" ref="K917" r:id="rId2030"/>
    <hyperlink xmlns:r="http://schemas.openxmlformats.org/officeDocument/2006/relationships" ref="AA917" r:id="rId2031"/>
    <hyperlink xmlns:r="http://schemas.openxmlformats.org/officeDocument/2006/relationships" ref="K918" r:id="rId2032"/>
    <hyperlink xmlns:r="http://schemas.openxmlformats.org/officeDocument/2006/relationships" ref="AA918" r:id="rId2033"/>
    <hyperlink xmlns:r="http://schemas.openxmlformats.org/officeDocument/2006/relationships" ref="K919" r:id="rId2034"/>
    <hyperlink xmlns:r="http://schemas.openxmlformats.org/officeDocument/2006/relationships" ref="AA919" r:id="rId2035"/>
    <hyperlink xmlns:r="http://schemas.openxmlformats.org/officeDocument/2006/relationships" ref="K920" r:id="rId2036"/>
    <hyperlink xmlns:r="http://schemas.openxmlformats.org/officeDocument/2006/relationships" ref="AA920" r:id="rId2037"/>
    <hyperlink xmlns:r="http://schemas.openxmlformats.org/officeDocument/2006/relationships" ref="K921" r:id="rId2038"/>
    <hyperlink xmlns:r="http://schemas.openxmlformats.org/officeDocument/2006/relationships" ref="AA921" r:id="rId2039"/>
    <hyperlink xmlns:r="http://schemas.openxmlformats.org/officeDocument/2006/relationships" ref="K922" r:id="rId2040"/>
    <hyperlink xmlns:r="http://schemas.openxmlformats.org/officeDocument/2006/relationships" ref="AA922" r:id="rId2041"/>
    <hyperlink xmlns:r="http://schemas.openxmlformats.org/officeDocument/2006/relationships" ref="K923" r:id="rId2042"/>
    <hyperlink xmlns:r="http://schemas.openxmlformats.org/officeDocument/2006/relationships" ref="AA923" r:id="rId2043"/>
    <hyperlink xmlns:r="http://schemas.openxmlformats.org/officeDocument/2006/relationships" ref="K924" r:id="rId2044"/>
    <hyperlink xmlns:r="http://schemas.openxmlformats.org/officeDocument/2006/relationships" ref="AA924" r:id="rId2045"/>
    <hyperlink xmlns:r="http://schemas.openxmlformats.org/officeDocument/2006/relationships" ref="K925" r:id="rId2046"/>
    <hyperlink xmlns:r="http://schemas.openxmlformats.org/officeDocument/2006/relationships" ref="AA925" r:id="rId2047"/>
    <hyperlink xmlns:r="http://schemas.openxmlformats.org/officeDocument/2006/relationships" ref="K926" r:id="rId2048"/>
    <hyperlink xmlns:r="http://schemas.openxmlformats.org/officeDocument/2006/relationships" ref="AA926" r:id="rId2049"/>
    <hyperlink xmlns:r="http://schemas.openxmlformats.org/officeDocument/2006/relationships" ref="K927" r:id="rId2050"/>
    <hyperlink xmlns:r="http://schemas.openxmlformats.org/officeDocument/2006/relationships" ref="AA927" r:id="rId2051"/>
    <hyperlink xmlns:r="http://schemas.openxmlformats.org/officeDocument/2006/relationships" ref="K928" r:id="rId2052"/>
    <hyperlink xmlns:r="http://schemas.openxmlformats.org/officeDocument/2006/relationships" ref="AA928" r:id="rId2053"/>
    <hyperlink xmlns:r="http://schemas.openxmlformats.org/officeDocument/2006/relationships" ref="K929" r:id="rId2054"/>
    <hyperlink xmlns:r="http://schemas.openxmlformats.org/officeDocument/2006/relationships" ref="AA929" r:id="rId2055"/>
    <hyperlink xmlns:r="http://schemas.openxmlformats.org/officeDocument/2006/relationships" ref="K930" r:id="rId2056"/>
    <hyperlink xmlns:r="http://schemas.openxmlformats.org/officeDocument/2006/relationships" ref="AA930" r:id="rId2057"/>
    <hyperlink xmlns:r="http://schemas.openxmlformats.org/officeDocument/2006/relationships" ref="K931" r:id="rId2058"/>
    <hyperlink xmlns:r="http://schemas.openxmlformats.org/officeDocument/2006/relationships" ref="AA931" r:id="rId2059"/>
    <hyperlink xmlns:r="http://schemas.openxmlformats.org/officeDocument/2006/relationships" ref="K932" r:id="rId2060"/>
    <hyperlink xmlns:r="http://schemas.openxmlformats.org/officeDocument/2006/relationships" ref="AA932" r:id="rId2061"/>
    <hyperlink xmlns:r="http://schemas.openxmlformats.org/officeDocument/2006/relationships" ref="K933" r:id="rId2062"/>
    <hyperlink xmlns:r="http://schemas.openxmlformats.org/officeDocument/2006/relationships" ref="AA933" r:id="rId2063"/>
    <hyperlink xmlns:r="http://schemas.openxmlformats.org/officeDocument/2006/relationships" ref="K934" r:id="rId2064"/>
    <hyperlink xmlns:r="http://schemas.openxmlformats.org/officeDocument/2006/relationships" ref="AA934" r:id="rId2065"/>
    <hyperlink xmlns:r="http://schemas.openxmlformats.org/officeDocument/2006/relationships" ref="K935" r:id="rId2066"/>
    <hyperlink xmlns:r="http://schemas.openxmlformats.org/officeDocument/2006/relationships" ref="AA935" r:id="rId2067"/>
    <hyperlink xmlns:r="http://schemas.openxmlformats.org/officeDocument/2006/relationships" ref="K936" r:id="rId2068"/>
    <hyperlink xmlns:r="http://schemas.openxmlformats.org/officeDocument/2006/relationships" ref="AA936" r:id="rId2069"/>
    <hyperlink xmlns:r="http://schemas.openxmlformats.org/officeDocument/2006/relationships" ref="K937" r:id="rId2070"/>
    <hyperlink xmlns:r="http://schemas.openxmlformats.org/officeDocument/2006/relationships" ref="AA937" r:id="rId2071"/>
    <hyperlink xmlns:r="http://schemas.openxmlformats.org/officeDocument/2006/relationships" ref="K938" r:id="rId2072"/>
    <hyperlink xmlns:r="http://schemas.openxmlformats.org/officeDocument/2006/relationships" ref="AA938" r:id="rId2073"/>
    <hyperlink xmlns:r="http://schemas.openxmlformats.org/officeDocument/2006/relationships" ref="K939" r:id="rId2074"/>
    <hyperlink xmlns:r="http://schemas.openxmlformats.org/officeDocument/2006/relationships" ref="AA939" r:id="rId2075"/>
    <hyperlink xmlns:r="http://schemas.openxmlformats.org/officeDocument/2006/relationships" ref="K940" r:id="rId2076"/>
    <hyperlink xmlns:r="http://schemas.openxmlformats.org/officeDocument/2006/relationships" ref="AA940" r:id="rId2077"/>
    <hyperlink xmlns:r="http://schemas.openxmlformats.org/officeDocument/2006/relationships" ref="K941" r:id="rId2078"/>
    <hyperlink xmlns:r="http://schemas.openxmlformats.org/officeDocument/2006/relationships" ref="AA941" r:id="rId2079"/>
    <hyperlink xmlns:r="http://schemas.openxmlformats.org/officeDocument/2006/relationships" ref="K942" r:id="rId2080"/>
    <hyperlink xmlns:r="http://schemas.openxmlformats.org/officeDocument/2006/relationships" ref="AA942" r:id="rId2081"/>
    <hyperlink xmlns:r="http://schemas.openxmlformats.org/officeDocument/2006/relationships" ref="K943" r:id="rId2082"/>
    <hyperlink xmlns:r="http://schemas.openxmlformats.org/officeDocument/2006/relationships" ref="AA943" r:id="rId2083"/>
    <hyperlink xmlns:r="http://schemas.openxmlformats.org/officeDocument/2006/relationships" ref="K944" r:id="rId2084"/>
    <hyperlink xmlns:r="http://schemas.openxmlformats.org/officeDocument/2006/relationships" ref="AA944" r:id="rId2085"/>
    <hyperlink xmlns:r="http://schemas.openxmlformats.org/officeDocument/2006/relationships" ref="K945" r:id="rId2086"/>
    <hyperlink xmlns:r="http://schemas.openxmlformats.org/officeDocument/2006/relationships" ref="AA945" r:id="rId2087"/>
    <hyperlink xmlns:r="http://schemas.openxmlformats.org/officeDocument/2006/relationships" ref="K946" r:id="rId2088"/>
    <hyperlink xmlns:r="http://schemas.openxmlformats.org/officeDocument/2006/relationships" ref="AA946" r:id="rId2089"/>
    <hyperlink xmlns:r="http://schemas.openxmlformats.org/officeDocument/2006/relationships" ref="K947" r:id="rId2090"/>
    <hyperlink xmlns:r="http://schemas.openxmlformats.org/officeDocument/2006/relationships" ref="AA947" r:id="rId2091"/>
    <hyperlink xmlns:r="http://schemas.openxmlformats.org/officeDocument/2006/relationships" ref="K948" r:id="rId2092"/>
    <hyperlink xmlns:r="http://schemas.openxmlformats.org/officeDocument/2006/relationships" ref="AA948" r:id="rId2093"/>
    <hyperlink xmlns:r="http://schemas.openxmlformats.org/officeDocument/2006/relationships" ref="K949" r:id="rId2094"/>
    <hyperlink xmlns:r="http://schemas.openxmlformats.org/officeDocument/2006/relationships" ref="AA949" r:id="rId2095"/>
    <hyperlink xmlns:r="http://schemas.openxmlformats.org/officeDocument/2006/relationships" ref="K950" r:id="rId2096"/>
    <hyperlink xmlns:r="http://schemas.openxmlformats.org/officeDocument/2006/relationships" ref="AA950" r:id="rId2097"/>
    <hyperlink xmlns:r="http://schemas.openxmlformats.org/officeDocument/2006/relationships" ref="K951" r:id="rId2098"/>
    <hyperlink xmlns:r="http://schemas.openxmlformats.org/officeDocument/2006/relationships" ref="AA951" r:id="rId2099"/>
    <hyperlink xmlns:r="http://schemas.openxmlformats.org/officeDocument/2006/relationships" ref="K952" r:id="rId2100"/>
    <hyperlink xmlns:r="http://schemas.openxmlformats.org/officeDocument/2006/relationships" ref="AA952" r:id="rId2101"/>
    <hyperlink xmlns:r="http://schemas.openxmlformats.org/officeDocument/2006/relationships" ref="K953" r:id="rId2102"/>
    <hyperlink xmlns:r="http://schemas.openxmlformats.org/officeDocument/2006/relationships" ref="AA953" r:id="rId2103"/>
    <hyperlink xmlns:r="http://schemas.openxmlformats.org/officeDocument/2006/relationships" ref="K954" r:id="rId2104"/>
    <hyperlink xmlns:r="http://schemas.openxmlformats.org/officeDocument/2006/relationships" ref="AA954" r:id="rId2105"/>
    <hyperlink xmlns:r="http://schemas.openxmlformats.org/officeDocument/2006/relationships" ref="K955" r:id="rId2106"/>
    <hyperlink xmlns:r="http://schemas.openxmlformats.org/officeDocument/2006/relationships" ref="AA955" r:id="rId2107"/>
    <hyperlink xmlns:r="http://schemas.openxmlformats.org/officeDocument/2006/relationships" ref="K956" r:id="rId2108"/>
    <hyperlink xmlns:r="http://schemas.openxmlformats.org/officeDocument/2006/relationships" ref="AA956" r:id="rId2109"/>
    <hyperlink xmlns:r="http://schemas.openxmlformats.org/officeDocument/2006/relationships" ref="K957" r:id="rId2110"/>
    <hyperlink xmlns:r="http://schemas.openxmlformats.org/officeDocument/2006/relationships" ref="AA957" r:id="rId2111"/>
    <hyperlink xmlns:r="http://schemas.openxmlformats.org/officeDocument/2006/relationships" ref="K958" r:id="rId2112"/>
    <hyperlink xmlns:r="http://schemas.openxmlformats.org/officeDocument/2006/relationships" ref="AA958" r:id="rId2113"/>
    <hyperlink xmlns:r="http://schemas.openxmlformats.org/officeDocument/2006/relationships" ref="K959" r:id="rId2114"/>
    <hyperlink xmlns:r="http://schemas.openxmlformats.org/officeDocument/2006/relationships" ref="AA959" r:id="rId2115"/>
    <hyperlink xmlns:r="http://schemas.openxmlformats.org/officeDocument/2006/relationships" ref="K960" r:id="rId2116"/>
    <hyperlink xmlns:r="http://schemas.openxmlformats.org/officeDocument/2006/relationships" ref="AA960" r:id="rId2117"/>
    <hyperlink xmlns:r="http://schemas.openxmlformats.org/officeDocument/2006/relationships" ref="K961" r:id="rId2118"/>
    <hyperlink xmlns:r="http://schemas.openxmlformats.org/officeDocument/2006/relationships" ref="AA961" r:id="rId2119"/>
    <hyperlink xmlns:r="http://schemas.openxmlformats.org/officeDocument/2006/relationships" ref="K962" r:id="rId2120"/>
    <hyperlink xmlns:r="http://schemas.openxmlformats.org/officeDocument/2006/relationships" ref="AA962" r:id="rId2121"/>
    <hyperlink xmlns:r="http://schemas.openxmlformats.org/officeDocument/2006/relationships" ref="K963" r:id="rId2122"/>
    <hyperlink xmlns:r="http://schemas.openxmlformats.org/officeDocument/2006/relationships" ref="AA963" r:id="rId2123"/>
    <hyperlink xmlns:r="http://schemas.openxmlformats.org/officeDocument/2006/relationships" ref="K964" r:id="rId2124"/>
    <hyperlink xmlns:r="http://schemas.openxmlformats.org/officeDocument/2006/relationships" ref="AA964" r:id="rId2125"/>
    <hyperlink xmlns:r="http://schemas.openxmlformats.org/officeDocument/2006/relationships" ref="K965" r:id="rId2126"/>
    <hyperlink xmlns:r="http://schemas.openxmlformats.org/officeDocument/2006/relationships" ref="AA965" r:id="rId2127"/>
    <hyperlink xmlns:r="http://schemas.openxmlformats.org/officeDocument/2006/relationships" ref="K966" r:id="rId2128"/>
    <hyperlink xmlns:r="http://schemas.openxmlformats.org/officeDocument/2006/relationships" ref="AA966" r:id="rId2129"/>
    <hyperlink xmlns:r="http://schemas.openxmlformats.org/officeDocument/2006/relationships" ref="K967" r:id="rId2130"/>
    <hyperlink xmlns:r="http://schemas.openxmlformats.org/officeDocument/2006/relationships" ref="AA967" r:id="rId2131"/>
    <hyperlink xmlns:r="http://schemas.openxmlformats.org/officeDocument/2006/relationships" ref="K968" r:id="rId2132"/>
    <hyperlink xmlns:r="http://schemas.openxmlformats.org/officeDocument/2006/relationships" ref="AA968" r:id="rId2133"/>
    <hyperlink xmlns:r="http://schemas.openxmlformats.org/officeDocument/2006/relationships" ref="K969" r:id="rId2134"/>
    <hyperlink xmlns:r="http://schemas.openxmlformats.org/officeDocument/2006/relationships" ref="AA969" r:id="rId2135"/>
    <hyperlink xmlns:r="http://schemas.openxmlformats.org/officeDocument/2006/relationships" ref="K970" r:id="rId2136"/>
    <hyperlink xmlns:r="http://schemas.openxmlformats.org/officeDocument/2006/relationships" ref="AA970" r:id="rId2137"/>
    <hyperlink xmlns:r="http://schemas.openxmlformats.org/officeDocument/2006/relationships" ref="K971" r:id="rId2138"/>
    <hyperlink xmlns:r="http://schemas.openxmlformats.org/officeDocument/2006/relationships" ref="AA971" r:id="rId2139"/>
    <hyperlink xmlns:r="http://schemas.openxmlformats.org/officeDocument/2006/relationships" ref="K972" r:id="rId2140"/>
    <hyperlink xmlns:r="http://schemas.openxmlformats.org/officeDocument/2006/relationships" ref="AA972" r:id="rId2141"/>
    <hyperlink xmlns:r="http://schemas.openxmlformats.org/officeDocument/2006/relationships" ref="K973" r:id="rId2142"/>
    <hyperlink xmlns:r="http://schemas.openxmlformats.org/officeDocument/2006/relationships" ref="AA973" r:id="rId2143"/>
    <hyperlink xmlns:r="http://schemas.openxmlformats.org/officeDocument/2006/relationships" ref="K974" r:id="rId2144"/>
    <hyperlink xmlns:r="http://schemas.openxmlformats.org/officeDocument/2006/relationships" ref="AA974" r:id="rId2145"/>
    <hyperlink xmlns:r="http://schemas.openxmlformats.org/officeDocument/2006/relationships" ref="K975" r:id="rId2146"/>
    <hyperlink xmlns:r="http://schemas.openxmlformats.org/officeDocument/2006/relationships" ref="AA975" r:id="rId2147"/>
    <hyperlink xmlns:r="http://schemas.openxmlformats.org/officeDocument/2006/relationships" ref="K976" r:id="rId2148"/>
    <hyperlink xmlns:r="http://schemas.openxmlformats.org/officeDocument/2006/relationships" ref="AA976" r:id="rId2149"/>
    <hyperlink xmlns:r="http://schemas.openxmlformats.org/officeDocument/2006/relationships" ref="K977" r:id="rId2150"/>
    <hyperlink xmlns:r="http://schemas.openxmlformats.org/officeDocument/2006/relationships" ref="AA977" r:id="rId2151"/>
    <hyperlink xmlns:r="http://schemas.openxmlformats.org/officeDocument/2006/relationships" ref="K978" r:id="rId2152"/>
    <hyperlink xmlns:r="http://schemas.openxmlformats.org/officeDocument/2006/relationships" ref="AA978" r:id="rId2153"/>
    <hyperlink xmlns:r="http://schemas.openxmlformats.org/officeDocument/2006/relationships" ref="K979" r:id="rId2154"/>
    <hyperlink xmlns:r="http://schemas.openxmlformats.org/officeDocument/2006/relationships" ref="AA979" r:id="rId2155"/>
    <hyperlink xmlns:r="http://schemas.openxmlformats.org/officeDocument/2006/relationships" ref="K980" r:id="rId2156"/>
    <hyperlink xmlns:r="http://schemas.openxmlformats.org/officeDocument/2006/relationships" ref="AA980" r:id="rId2157"/>
    <hyperlink xmlns:r="http://schemas.openxmlformats.org/officeDocument/2006/relationships" ref="K981" r:id="rId2158"/>
    <hyperlink xmlns:r="http://schemas.openxmlformats.org/officeDocument/2006/relationships" ref="AA981" r:id="rId2159"/>
    <hyperlink xmlns:r="http://schemas.openxmlformats.org/officeDocument/2006/relationships" ref="K982" r:id="rId2160"/>
    <hyperlink xmlns:r="http://schemas.openxmlformats.org/officeDocument/2006/relationships" ref="AA982" r:id="rId2161"/>
    <hyperlink xmlns:r="http://schemas.openxmlformats.org/officeDocument/2006/relationships" ref="K983" r:id="rId2162"/>
    <hyperlink xmlns:r="http://schemas.openxmlformats.org/officeDocument/2006/relationships" ref="AA983" r:id="rId2163"/>
    <hyperlink xmlns:r="http://schemas.openxmlformats.org/officeDocument/2006/relationships" ref="K984" r:id="rId2164"/>
    <hyperlink xmlns:r="http://schemas.openxmlformats.org/officeDocument/2006/relationships" ref="AA984" r:id="rId2165"/>
    <hyperlink xmlns:r="http://schemas.openxmlformats.org/officeDocument/2006/relationships" ref="K985" r:id="rId2166"/>
    <hyperlink xmlns:r="http://schemas.openxmlformats.org/officeDocument/2006/relationships" ref="AA985" r:id="rId2167"/>
    <hyperlink xmlns:r="http://schemas.openxmlformats.org/officeDocument/2006/relationships" ref="K986" r:id="rId2168"/>
    <hyperlink xmlns:r="http://schemas.openxmlformats.org/officeDocument/2006/relationships" ref="AA986" r:id="rId2169"/>
    <hyperlink xmlns:r="http://schemas.openxmlformats.org/officeDocument/2006/relationships" ref="K987" r:id="rId2170"/>
    <hyperlink xmlns:r="http://schemas.openxmlformats.org/officeDocument/2006/relationships" ref="AA987" r:id="rId2171"/>
    <hyperlink xmlns:r="http://schemas.openxmlformats.org/officeDocument/2006/relationships" ref="K988" r:id="rId2172"/>
    <hyperlink xmlns:r="http://schemas.openxmlformats.org/officeDocument/2006/relationships" ref="AA988" r:id="rId2173"/>
    <hyperlink xmlns:r="http://schemas.openxmlformats.org/officeDocument/2006/relationships" ref="K989" r:id="rId2174"/>
    <hyperlink xmlns:r="http://schemas.openxmlformats.org/officeDocument/2006/relationships" ref="AA989" r:id="rId2175"/>
    <hyperlink xmlns:r="http://schemas.openxmlformats.org/officeDocument/2006/relationships" ref="K990" r:id="rId2176"/>
    <hyperlink xmlns:r="http://schemas.openxmlformats.org/officeDocument/2006/relationships" ref="AA990" r:id="rId2177"/>
    <hyperlink xmlns:r="http://schemas.openxmlformats.org/officeDocument/2006/relationships" ref="K991" r:id="rId2178"/>
    <hyperlink xmlns:r="http://schemas.openxmlformats.org/officeDocument/2006/relationships" ref="AA991" r:id="rId2179"/>
    <hyperlink xmlns:r="http://schemas.openxmlformats.org/officeDocument/2006/relationships" ref="K992" r:id="rId2180"/>
    <hyperlink xmlns:r="http://schemas.openxmlformats.org/officeDocument/2006/relationships" ref="AA992" r:id="rId2181"/>
    <hyperlink xmlns:r="http://schemas.openxmlformats.org/officeDocument/2006/relationships" ref="K993" r:id="rId2182"/>
    <hyperlink xmlns:r="http://schemas.openxmlformats.org/officeDocument/2006/relationships" ref="AA993" r:id="rId2183"/>
    <hyperlink xmlns:r="http://schemas.openxmlformats.org/officeDocument/2006/relationships" ref="K994" r:id="rId2184"/>
    <hyperlink xmlns:r="http://schemas.openxmlformats.org/officeDocument/2006/relationships" ref="AA994" r:id="rId2185"/>
    <hyperlink xmlns:r="http://schemas.openxmlformats.org/officeDocument/2006/relationships" ref="K995" r:id="rId2186"/>
    <hyperlink xmlns:r="http://schemas.openxmlformats.org/officeDocument/2006/relationships" ref="AA995" r:id="rId2187"/>
    <hyperlink xmlns:r="http://schemas.openxmlformats.org/officeDocument/2006/relationships" ref="K996" r:id="rId2188"/>
    <hyperlink xmlns:r="http://schemas.openxmlformats.org/officeDocument/2006/relationships" ref="AA996" r:id="rId2189"/>
    <hyperlink xmlns:r="http://schemas.openxmlformats.org/officeDocument/2006/relationships" ref="K997" r:id="rId2190"/>
    <hyperlink xmlns:r="http://schemas.openxmlformats.org/officeDocument/2006/relationships" ref="AA997" r:id="rId2191"/>
    <hyperlink xmlns:r="http://schemas.openxmlformats.org/officeDocument/2006/relationships" ref="K998" r:id="rId2192"/>
    <hyperlink xmlns:r="http://schemas.openxmlformats.org/officeDocument/2006/relationships" ref="AA998" r:id="rId2193"/>
    <hyperlink xmlns:r="http://schemas.openxmlformats.org/officeDocument/2006/relationships" ref="K999" r:id="rId2194"/>
    <hyperlink xmlns:r="http://schemas.openxmlformats.org/officeDocument/2006/relationships" ref="AA999" r:id="rId2195"/>
    <hyperlink xmlns:r="http://schemas.openxmlformats.org/officeDocument/2006/relationships" ref="K1000" r:id="rId2196"/>
    <hyperlink xmlns:r="http://schemas.openxmlformats.org/officeDocument/2006/relationships" ref="AA1000" r:id="rId2197"/>
    <hyperlink xmlns:r="http://schemas.openxmlformats.org/officeDocument/2006/relationships" ref="K1001" r:id="rId2198"/>
    <hyperlink xmlns:r="http://schemas.openxmlformats.org/officeDocument/2006/relationships" ref="AA1001" r:id="rId2199"/>
    <hyperlink xmlns:r="http://schemas.openxmlformats.org/officeDocument/2006/relationships" ref="K1002" r:id="rId2200"/>
    <hyperlink xmlns:r="http://schemas.openxmlformats.org/officeDocument/2006/relationships" ref="AA1002" r:id="rId2201"/>
    <hyperlink xmlns:r="http://schemas.openxmlformats.org/officeDocument/2006/relationships" ref="K1003" r:id="rId2202"/>
    <hyperlink xmlns:r="http://schemas.openxmlformats.org/officeDocument/2006/relationships" ref="AA1003" r:id="rId2203"/>
    <hyperlink xmlns:r="http://schemas.openxmlformats.org/officeDocument/2006/relationships" ref="K1004" r:id="rId2204"/>
    <hyperlink xmlns:r="http://schemas.openxmlformats.org/officeDocument/2006/relationships" ref="AA1004" r:id="rId2205"/>
    <hyperlink xmlns:r="http://schemas.openxmlformats.org/officeDocument/2006/relationships" ref="K1005" r:id="rId2206"/>
    <hyperlink xmlns:r="http://schemas.openxmlformats.org/officeDocument/2006/relationships" ref="AA1005" r:id="rId2207"/>
    <hyperlink xmlns:r="http://schemas.openxmlformats.org/officeDocument/2006/relationships" ref="K1006" r:id="rId2208"/>
    <hyperlink xmlns:r="http://schemas.openxmlformats.org/officeDocument/2006/relationships" ref="AA1006" r:id="rId2209"/>
    <hyperlink xmlns:r="http://schemas.openxmlformats.org/officeDocument/2006/relationships" ref="K1007" r:id="rId2210"/>
    <hyperlink xmlns:r="http://schemas.openxmlformats.org/officeDocument/2006/relationships" ref="AA1007" r:id="rId2211"/>
    <hyperlink xmlns:r="http://schemas.openxmlformats.org/officeDocument/2006/relationships" ref="K1008" r:id="rId2212"/>
    <hyperlink xmlns:r="http://schemas.openxmlformats.org/officeDocument/2006/relationships" ref="AA1008" r:id="rId2213"/>
    <hyperlink xmlns:r="http://schemas.openxmlformats.org/officeDocument/2006/relationships" ref="K1009" r:id="rId2214"/>
    <hyperlink xmlns:r="http://schemas.openxmlformats.org/officeDocument/2006/relationships" ref="AA1009" r:id="rId2215"/>
    <hyperlink xmlns:r="http://schemas.openxmlformats.org/officeDocument/2006/relationships" ref="K1010" r:id="rId2216"/>
    <hyperlink xmlns:r="http://schemas.openxmlformats.org/officeDocument/2006/relationships" ref="AA1010" r:id="rId2217"/>
    <hyperlink xmlns:r="http://schemas.openxmlformats.org/officeDocument/2006/relationships" ref="K1011" r:id="rId2218"/>
    <hyperlink xmlns:r="http://schemas.openxmlformats.org/officeDocument/2006/relationships" ref="AA1011" r:id="rId2219"/>
    <hyperlink xmlns:r="http://schemas.openxmlformats.org/officeDocument/2006/relationships" ref="K1012" r:id="rId2220"/>
    <hyperlink xmlns:r="http://schemas.openxmlformats.org/officeDocument/2006/relationships" ref="AA1012" r:id="rId2221"/>
    <hyperlink xmlns:r="http://schemas.openxmlformats.org/officeDocument/2006/relationships" ref="K1013" r:id="rId2222"/>
    <hyperlink xmlns:r="http://schemas.openxmlformats.org/officeDocument/2006/relationships" ref="AA1013" r:id="rId2223"/>
    <hyperlink xmlns:r="http://schemas.openxmlformats.org/officeDocument/2006/relationships" ref="K1014" r:id="rId2224"/>
    <hyperlink xmlns:r="http://schemas.openxmlformats.org/officeDocument/2006/relationships" ref="AA1014" r:id="rId2225"/>
    <hyperlink xmlns:r="http://schemas.openxmlformats.org/officeDocument/2006/relationships" ref="K1015" r:id="rId2226"/>
    <hyperlink xmlns:r="http://schemas.openxmlformats.org/officeDocument/2006/relationships" ref="AA1015" r:id="rId2227"/>
    <hyperlink xmlns:r="http://schemas.openxmlformats.org/officeDocument/2006/relationships" ref="K1016" r:id="rId2228"/>
    <hyperlink xmlns:r="http://schemas.openxmlformats.org/officeDocument/2006/relationships" ref="AA1016" r:id="rId2229"/>
    <hyperlink xmlns:r="http://schemas.openxmlformats.org/officeDocument/2006/relationships" ref="K1017" r:id="rId2230"/>
    <hyperlink xmlns:r="http://schemas.openxmlformats.org/officeDocument/2006/relationships" ref="AA1017" r:id="rId2231"/>
    <hyperlink xmlns:r="http://schemas.openxmlformats.org/officeDocument/2006/relationships" ref="K1018" r:id="rId2232"/>
    <hyperlink xmlns:r="http://schemas.openxmlformats.org/officeDocument/2006/relationships" ref="AA1018" r:id="rId2233"/>
    <hyperlink xmlns:r="http://schemas.openxmlformats.org/officeDocument/2006/relationships" ref="K1019" r:id="rId2234"/>
    <hyperlink xmlns:r="http://schemas.openxmlformats.org/officeDocument/2006/relationships" ref="AA1019" r:id="rId2235"/>
    <hyperlink xmlns:r="http://schemas.openxmlformats.org/officeDocument/2006/relationships" ref="K1020" r:id="rId2236"/>
    <hyperlink xmlns:r="http://schemas.openxmlformats.org/officeDocument/2006/relationships" ref="AA1020" r:id="rId2237"/>
    <hyperlink xmlns:r="http://schemas.openxmlformats.org/officeDocument/2006/relationships" ref="K1021" r:id="rId2238"/>
    <hyperlink xmlns:r="http://schemas.openxmlformats.org/officeDocument/2006/relationships" ref="AA1021" r:id="rId2239"/>
    <hyperlink xmlns:r="http://schemas.openxmlformats.org/officeDocument/2006/relationships" ref="K1022" r:id="rId2240"/>
    <hyperlink xmlns:r="http://schemas.openxmlformats.org/officeDocument/2006/relationships" ref="AA1022" r:id="rId2241"/>
    <hyperlink xmlns:r="http://schemas.openxmlformats.org/officeDocument/2006/relationships" ref="K1023" r:id="rId2242"/>
    <hyperlink xmlns:r="http://schemas.openxmlformats.org/officeDocument/2006/relationships" ref="AA1023" r:id="rId2243"/>
    <hyperlink xmlns:r="http://schemas.openxmlformats.org/officeDocument/2006/relationships" ref="K1024" r:id="rId2244"/>
    <hyperlink xmlns:r="http://schemas.openxmlformats.org/officeDocument/2006/relationships" ref="AA1024" r:id="rId2245"/>
    <hyperlink xmlns:r="http://schemas.openxmlformats.org/officeDocument/2006/relationships" ref="K1025" r:id="rId2246"/>
    <hyperlink xmlns:r="http://schemas.openxmlformats.org/officeDocument/2006/relationships" ref="AA1025" r:id="rId2247"/>
    <hyperlink xmlns:r="http://schemas.openxmlformats.org/officeDocument/2006/relationships" ref="K1026" r:id="rId2248"/>
    <hyperlink xmlns:r="http://schemas.openxmlformats.org/officeDocument/2006/relationships" ref="AA1026" r:id="rId2249"/>
    <hyperlink xmlns:r="http://schemas.openxmlformats.org/officeDocument/2006/relationships" ref="K1027" r:id="rId2250"/>
    <hyperlink xmlns:r="http://schemas.openxmlformats.org/officeDocument/2006/relationships" ref="AA1027" r:id="rId2251"/>
    <hyperlink xmlns:r="http://schemas.openxmlformats.org/officeDocument/2006/relationships" ref="K1028" r:id="rId2252"/>
    <hyperlink xmlns:r="http://schemas.openxmlformats.org/officeDocument/2006/relationships" ref="AA1028" r:id="rId2253"/>
    <hyperlink xmlns:r="http://schemas.openxmlformats.org/officeDocument/2006/relationships" ref="K1029" r:id="rId2254"/>
    <hyperlink xmlns:r="http://schemas.openxmlformats.org/officeDocument/2006/relationships" ref="AA1029" r:id="rId2255"/>
    <hyperlink xmlns:r="http://schemas.openxmlformats.org/officeDocument/2006/relationships" ref="K1030" r:id="rId2256"/>
    <hyperlink xmlns:r="http://schemas.openxmlformats.org/officeDocument/2006/relationships" ref="AA1030" r:id="rId2257"/>
    <hyperlink xmlns:r="http://schemas.openxmlformats.org/officeDocument/2006/relationships" ref="K1031" r:id="rId2258"/>
    <hyperlink xmlns:r="http://schemas.openxmlformats.org/officeDocument/2006/relationships" ref="AA1031" r:id="rId2259"/>
    <hyperlink xmlns:r="http://schemas.openxmlformats.org/officeDocument/2006/relationships" ref="K1032" r:id="rId2260"/>
    <hyperlink xmlns:r="http://schemas.openxmlformats.org/officeDocument/2006/relationships" ref="AA1032" r:id="rId2261"/>
    <hyperlink xmlns:r="http://schemas.openxmlformats.org/officeDocument/2006/relationships" ref="K1033" r:id="rId2262"/>
    <hyperlink xmlns:r="http://schemas.openxmlformats.org/officeDocument/2006/relationships" ref="AA1033" r:id="rId2263"/>
    <hyperlink xmlns:r="http://schemas.openxmlformats.org/officeDocument/2006/relationships" ref="K1034" r:id="rId2264"/>
    <hyperlink xmlns:r="http://schemas.openxmlformats.org/officeDocument/2006/relationships" ref="AA1034" r:id="rId2265"/>
    <hyperlink xmlns:r="http://schemas.openxmlformats.org/officeDocument/2006/relationships" ref="K1035" r:id="rId2266"/>
    <hyperlink xmlns:r="http://schemas.openxmlformats.org/officeDocument/2006/relationships" ref="AA1035" r:id="rId2267"/>
    <hyperlink xmlns:r="http://schemas.openxmlformats.org/officeDocument/2006/relationships" ref="K1036" r:id="rId2268"/>
    <hyperlink xmlns:r="http://schemas.openxmlformats.org/officeDocument/2006/relationships" ref="AA1036" r:id="rId2269"/>
    <hyperlink xmlns:r="http://schemas.openxmlformats.org/officeDocument/2006/relationships" ref="K1037" r:id="rId2270"/>
    <hyperlink xmlns:r="http://schemas.openxmlformats.org/officeDocument/2006/relationships" ref="AA1037" r:id="rId2271"/>
    <hyperlink xmlns:r="http://schemas.openxmlformats.org/officeDocument/2006/relationships" ref="K1038" r:id="rId2272"/>
    <hyperlink xmlns:r="http://schemas.openxmlformats.org/officeDocument/2006/relationships" ref="AA1038" r:id="rId2273"/>
    <hyperlink xmlns:r="http://schemas.openxmlformats.org/officeDocument/2006/relationships" ref="K1039" r:id="rId2274"/>
    <hyperlink xmlns:r="http://schemas.openxmlformats.org/officeDocument/2006/relationships" ref="AA1039" r:id="rId2275"/>
    <hyperlink xmlns:r="http://schemas.openxmlformats.org/officeDocument/2006/relationships" ref="K1040" r:id="rId2276"/>
    <hyperlink xmlns:r="http://schemas.openxmlformats.org/officeDocument/2006/relationships" ref="AA1040" r:id="rId2277"/>
    <hyperlink xmlns:r="http://schemas.openxmlformats.org/officeDocument/2006/relationships" ref="K1041" r:id="rId2278"/>
    <hyperlink xmlns:r="http://schemas.openxmlformats.org/officeDocument/2006/relationships" ref="AA1041" r:id="rId2279"/>
    <hyperlink xmlns:r="http://schemas.openxmlformats.org/officeDocument/2006/relationships" ref="K1042" r:id="rId2280"/>
    <hyperlink xmlns:r="http://schemas.openxmlformats.org/officeDocument/2006/relationships" ref="AA1042" r:id="rId2281"/>
    <hyperlink xmlns:r="http://schemas.openxmlformats.org/officeDocument/2006/relationships" ref="K1043" r:id="rId2282"/>
    <hyperlink xmlns:r="http://schemas.openxmlformats.org/officeDocument/2006/relationships" ref="AA1043" r:id="rId2283"/>
    <hyperlink xmlns:r="http://schemas.openxmlformats.org/officeDocument/2006/relationships" ref="K1044" r:id="rId2284"/>
    <hyperlink xmlns:r="http://schemas.openxmlformats.org/officeDocument/2006/relationships" ref="AA1044" r:id="rId2285"/>
    <hyperlink xmlns:r="http://schemas.openxmlformats.org/officeDocument/2006/relationships" ref="K1045" r:id="rId2286"/>
    <hyperlink xmlns:r="http://schemas.openxmlformats.org/officeDocument/2006/relationships" ref="AA1045" r:id="rId2287"/>
    <hyperlink xmlns:r="http://schemas.openxmlformats.org/officeDocument/2006/relationships" ref="K1046" r:id="rId2288"/>
    <hyperlink xmlns:r="http://schemas.openxmlformats.org/officeDocument/2006/relationships" ref="AA1046" r:id="rId2289"/>
    <hyperlink xmlns:r="http://schemas.openxmlformats.org/officeDocument/2006/relationships" ref="K1047" r:id="rId2290"/>
    <hyperlink xmlns:r="http://schemas.openxmlformats.org/officeDocument/2006/relationships" ref="AA1047" r:id="rId2291"/>
    <hyperlink xmlns:r="http://schemas.openxmlformats.org/officeDocument/2006/relationships" ref="K1048" r:id="rId2292"/>
    <hyperlink xmlns:r="http://schemas.openxmlformats.org/officeDocument/2006/relationships" ref="AA1048" r:id="rId2293"/>
    <hyperlink xmlns:r="http://schemas.openxmlformats.org/officeDocument/2006/relationships" ref="K1049" r:id="rId2294"/>
    <hyperlink xmlns:r="http://schemas.openxmlformats.org/officeDocument/2006/relationships" ref="AA1049" r:id="rId2295"/>
    <hyperlink xmlns:r="http://schemas.openxmlformats.org/officeDocument/2006/relationships" ref="K1050" r:id="rId2296"/>
    <hyperlink xmlns:r="http://schemas.openxmlformats.org/officeDocument/2006/relationships" ref="AA1050" r:id="rId2297"/>
    <hyperlink xmlns:r="http://schemas.openxmlformats.org/officeDocument/2006/relationships" ref="K1051" r:id="rId2298"/>
    <hyperlink xmlns:r="http://schemas.openxmlformats.org/officeDocument/2006/relationships" ref="AA1051" r:id="rId2299"/>
    <hyperlink xmlns:r="http://schemas.openxmlformats.org/officeDocument/2006/relationships" ref="K1052" r:id="rId2300"/>
    <hyperlink xmlns:r="http://schemas.openxmlformats.org/officeDocument/2006/relationships" ref="AA1052" r:id="rId2301"/>
    <hyperlink xmlns:r="http://schemas.openxmlformats.org/officeDocument/2006/relationships" ref="K1053" r:id="rId2302"/>
    <hyperlink xmlns:r="http://schemas.openxmlformats.org/officeDocument/2006/relationships" ref="AA1053" r:id="rId2303"/>
    <hyperlink xmlns:r="http://schemas.openxmlformats.org/officeDocument/2006/relationships" ref="K1054" r:id="rId2304"/>
    <hyperlink xmlns:r="http://schemas.openxmlformats.org/officeDocument/2006/relationships" ref="AA1054" r:id="rId2305"/>
    <hyperlink xmlns:r="http://schemas.openxmlformats.org/officeDocument/2006/relationships" ref="K1055" r:id="rId2306"/>
    <hyperlink xmlns:r="http://schemas.openxmlformats.org/officeDocument/2006/relationships" ref="AA1055" r:id="rId2307"/>
    <hyperlink xmlns:r="http://schemas.openxmlformats.org/officeDocument/2006/relationships" ref="K1056" r:id="rId2308"/>
    <hyperlink xmlns:r="http://schemas.openxmlformats.org/officeDocument/2006/relationships" ref="AA1056" r:id="rId2309"/>
    <hyperlink xmlns:r="http://schemas.openxmlformats.org/officeDocument/2006/relationships" ref="K1057" r:id="rId2310"/>
    <hyperlink xmlns:r="http://schemas.openxmlformats.org/officeDocument/2006/relationships" ref="AA1057" r:id="rId2311"/>
    <hyperlink xmlns:r="http://schemas.openxmlformats.org/officeDocument/2006/relationships" ref="K1058" r:id="rId2312"/>
    <hyperlink xmlns:r="http://schemas.openxmlformats.org/officeDocument/2006/relationships" ref="AA1058" r:id="rId2313"/>
    <hyperlink xmlns:r="http://schemas.openxmlformats.org/officeDocument/2006/relationships" ref="K1059" r:id="rId2314"/>
    <hyperlink xmlns:r="http://schemas.openxmlformats.org/officeDocument/2006/relationships" ref="AA1059" r:id="rId2315"/>
    <hyperlink xmlns:r="http://schemas.openxmlformats.org/officeDocument/2006/relationships" ref="K1060" r:id="rId2316"/>
    <hyperlink xmlns:r="http://schemas.openxmlformats.org/officeDocument/2006/relationships" ref="AA1060" r:id="rId2317"/>
    <hyperlink xmlns:r="http://schemas.openxmlformats.org/officeDocument/2006/relationships" ref="K1061" r:id="rId2318"/>
    <hyperlink xmlns:r="http://schemas.openxmlformats.org/officeDocument/2006/relationships" ref="AA1061" r:id="rId2319"/>
    <hyperlink xmlns:r="http://schemas.openxmlformats.org/officeDocument/2006/relationships" ref="K1062" r:id="rId2320"/>
    <hyperlink xmlns:r="http://schemas.openxmlformats.org/officeDocument/2006/relationships" ref="AA1062" r:id="rId2321"/>
    <hyperlink xmlns:r="http://schemas.openxmlformats.org/officeDocument/2006/relationships" ref="K1063" r:id="rId2322"/>
    <hyperlink xmlns:r="http://schemas.openxmlformats.org/officeDocument/2006/relationships" ref="AA1063" r:id="rId2323"/>
    <hyperlink xmlns:r="http://schemas.openxmlformats.org/officeDocument/2006/relationships" ref="K1064" r:id="rId2324"/>
    <hyperlink xmlns:r="http://schemas.openxmlformats.org/officeDocument/2006/relationships" ref="AA1064" r:id="rId2325"/>
    <hyperlink xmlns:r="http://schemas.openxmlformats.org/officeDocument/2006/relationships" ref="K1065" r:id="rId2326"/>
    <hyperlink xmlns:r="http://schemas.openxmlformats.org/officeDocument/2006/relationships" ref="AA1065" r:id="rId2327"/>
    <hyperlink xmlns:r="http://schemas.openxmlformats.org/officeDocument/2006/relationships" ref="K1066" r:id="rId2328"/>
    <hyperlink xmlns:r="http://schemas.openxmlformats.org/officeDocument/2006/relationships" ref="AA1066" r:id="rId2329"/>
    <hyperlink xmlns:r="http://schemas.openxmlformats.org/officeDocument/2006/relationships" ref="K1067" r:id="rId2330"/>
    <hyperlink xmlns:r="http://schemas.openxmlformats.org/officeDocument/2006/relationships" ref="AA1067" r:id="rId2331"/>
    <hyperlink xmlns:r="http://schemas.openxmlformats.org/officeDocument/2006/relationships" ref="K1068" r:id="rId2332"/>
    <hyperlink xmlns:r="http://schemas.openxmlformats.org/officeDocument/2006/relationships" ref="AA1068" r:id="rId2333"/>
    <hyperlink xmlns:r="http://schemas.openxmlformats.org/officeDocument/2006/relationships" ref="K1069" r:id="rId2334"/>
    <hyperlink xmlns:r="http://schemas.openxmlformats.org/officeDocument/2006/relationships" ref="AA1069" r:id="rId2335"/>
    <hyperlink xmlns:r="http://schemas.openxmlformats.org/officeDocument/2006/relationships" ref="K1070" r:id="rId2336"/>
    <hyperlink xmlns:r="http://schemas.openxmlformats.org/officeDocument/2006/relationships" ref="AA1070" r:id="rId2337"/>
    <hyperlink xmlns:r="http://schemas.openxmlformats.org/officeDocument/2006/relationships" ref="K1071" r:id="rId2338"/>
    <hyperlink xmlns:r="http://schemas.openxmlformats.org/officeDocument/2006/relationships" ref="AA1071" r:id="rId2339"/>
    <hyperlink xmlns:r="http://schemas.openxmlformats.org/officeDocument/2006/relationships" ref="K1072" r:id="rId2340"/>
    <hyperlink xmlns:r="http://schemas.openxmlformats.org/officeDocument/2006/relationships" ref="AA1072" r:id="rId2341"/>
    <hyperlink xmlns:r="http://schemas.openxmlformats.org/officeDocument/2006/relationships" ref="K1073" r:id="rId2342"/>
    <hyperlink xmlns:r="http://schemas.openxmlformats.org/officeDocument/2006/relationships" ref="AA1073" r:id="rId2343"/>
    <hyperlink xmlns:r="http://schemas.openxmlformats.org/officeDocument/2006/relationships" ref="K1074" r:id="rId2344"/>
    <hyperlink xmlns:r="http://schemas.openxmlformats.org/officeDocument/2006/relationships" ref="AA1074" r:id="rId2345"/>
    <hyperlink xmlns:r="http://schemas.openxmlformats.org/officeDocument/2006/relationships" ref="K1075" r:id="rId2346"/>
    <hyperlink xmlns:r="http://schemas.openxmlformats.org/officeDocument/2006/relationships" ref="AA1075" r:id="rId2347"/>
    <hyperlink xmlns:r="http://schemas.openxmlformats.org/officeDocument/2006/relationships" ref="K1076" r:id="rId2348"/>
    <hyperlink xmlns:r="http://schemas.openxmlformats.org/officeDocument/2006/relationships" ref="AA1076" r:id="rId2349"/>
    <hyperlink xmlns:r="http://schemas.openxmlformats.org/officeDocument/2006/relationships" ref="K1077" r:id="rId2350"/>
    <hyperlink xmlns:r="http://schemas.openxmlformats.org/officeDocument/2006/relationships" ref="AA1077" r:id="rId2351"/>
    <hyperlink xmlns:r="http://schemas.openxmlformats.org/officeDocument/2006/relationships" ref="K1078" r:id="rId2352"/>
    <hyperlink xmlns:r="http://schemas.openxmlformats.org/officeDocument/2006/relationships" ref="AA1078" r:id="rId2353"/>
    <hyperlink xmlns:r="http://schemas.openxmlformats.org/officeDocument/2006/relationships" ref="K1079" r:id="rId2354"/>
    <hyperlink xmlns:r="http://schemas.openxmlformats.org/officeDocument/2006/relationships" ref="AA1079" r:id="rId2355"/>
    <hyperlink xmlns:r="http://schemas.openxmlformats.org/officeDocument/2006/relationships" ref="K1080" r:id="rId2356"/>
    <hyperlink xmlns:r="http://schemas.openxmlformats.org/officeDocument/2006/relationships" ref="AA1080" r:id="rId2357"/>
    <hyperlink xmlns:r="http://schemas.openxmlformats.org/officeDocument/2006/relationships" ref="AB1080" r:id="rId2358"/>
    <hyperlink xmlns:r="http://schemas.openxmlformats.org/officeDocument/2006/relationships" ref="K1081" r:id="rId2359"/>
    <hyperlink xmlns:r="http://schemas.openxmlformats.org/officeDocument/2006/relationships" ref="AA1081" r:id="rId2360"/>
    <hyperlink xmlns:r="http://schemas.openxmlformats.org/officeDocument/2006/relationships" ref="K1082" r:id="rId2361"/>
    <hyperlink xmlns:r="http://schemas.openxmlformats.org/officeDocument/2006/relationships" ref="AA1082" r:id="rId2362"/>
    <hyperlink xmlns:r="http://schemas.openxmlformats.org/officeDocument/2006/relationships" ref="K1083" r:id="rId2363"/>
    <hyperlink xmlns:r="http://schemas.openxmlformats.org/officeDocument/2006/relationships" ref="AA1083" r:id="rId2364"/>
    <hyperlink xmlns:r="http://schemas.openxmlformats.org/officeDocument/2006/relationships" ref="K1084" r:id="rId2365"/>
    <hyperlink xmlns:r="http://schemas.openxmlformats.org/officeDocument/2006/relationships" ref="AA1084" r:id="rId2366"/>
    <hyperlink xmlns:r="http://schemas.openxmlformats.org/officeDocument/2006/relationships" ref="K1085" r:id="rId2367"/>
    <hyperlink xmlns:r="http://schemas.openxmlformats.org/officeDocument/2006/relationships" ref="AA1085" r:id="rId2368"/>
    <hyperlink xmlns:r="http://schemas.openxmlformats.org/officeDocument/2006/relationships" ref="K1086" r:id="rId2369"/>
    <hyperlink xmlns:r="http://schemas.openxmlformats.org/officeDocument/2006/relationships" ref="AA1086" r:id="rId2370"/>
    <hyperlink xmlns:r="http://schemas.openxmlformats.org/officeDocument/2006/relationships" ref="K1087" r:id="rId2371"/>
    <hyperlink xmlns:r="http://schemas.openxmlformats.org/officeDocument/2006/relationships" ref="AA1087" r:id="rId2372"/>
    <hyperlink xmlns:r="http://schemas.openxmlformats.org/officeDocument/2006/relationships" ref="K1088" r:id="rId2373"/>
    <hyperlink xmlns:r="http://schemas.openxmlformats.org/officeDocument/2006/relationships" ref="AA1088" r:id="rId2374"/>
    <hyperlink xmlns:r="http://schemas.openxmlformats.org/officeDocument/2006/relationships" ref="K1089" r:id="rId2375"/>
    <hyperlink xmlns:r="http://schemas.openxmlformats.org/officeDocument/2006/relationships" ref="AA1089" r:id="rId2376"/>
    <hyperlink xmlns:r="http://schemas.openxmlformats.org/officeDocument/2006/relationships" ref="K1090" r:id="rId2377"/>
    <hyperlink xmlns:r="http://schemas.openxmlformats.org/officeDocument/2006/relationships" ref="AA1090" r:id="rId2378"/>
    <hyperlink xmlns:r="http://schemas.openxmlformats.org/officeDocument/2006/relationships" ref="K1091" r:id="rId2379"/>
    <hyperlink xmlns:r="http://schemas.openxmlformats.org/officeDocument/2006/relationships" ref="AA1091" r:id="rId2380"/>
    <hyperlink xmlns:r="http://schemas.openxmlformats.org/officeDocument/2006/relationships" ref="K1092" r:id="rId2381"/>
    <hyperlink xmlns:r="http://schemas.openxmlformats.org/officeDocument/2006/relationships" ref="AA1092" r:id="rId2382"/>
    <hyperlink xmlns:r="http://schemas.openxmlformats.org/officeDocument/2006/relationships" ref="K1093" r:id="rId2383"/>
    <hyperlink xmlns:r="http://schemas.openxmlformats.org/officeDocument/2006/relationships" ref="AA1093" r:id="rId2384"/>
    <hyperlink xmlns:r="http://schemas.openxmlformats.org/officeDocument/2006/relationships" ref="K1094" r:id="rId2385"/>
    <hyperlink xmlns:r="http://schemas.openxmlformats.org/officeDocument/2006/relationships" ref="AA1094" r:id="rId2386"/>
    <hyperlink xmlns:r="http://schemas.openxmlformats.org/officeDocument/2006/relationships" ref="K1095" r:id="rId2387"/>
    <hyperlink xmlns:r="http://schemas.openxmlformats.org/officeDocument/2006/relationships" ref="AA1095" r:id="rId2388"/>
    <hyperlink xmlns:r="http://schemas.openxmlformats.org/officeDocument/2006/relationships" ref="K1096" r:id="rId2389"/>
    <hyperlink xmlns:r="http://schemas.openxmlformats.org/officeDocument/2006/relationships" ref="AA1096" r:id="rId2390"/>
    <hyperlink xmlns:r="http://schemas.openxmlformats.org/officeDocument/2006/relationships" ref="K1097" r:id="rId2391"/>
    <hyperlink xmlns:r="http://schemas.openxmlformats.org/officeDocument/2006/relationships" ref="AA1097" r:id="rId2392"/>
    <hyperlink xmlns:r="http://schemas.openxmlformats.org/officeDocument/2006/relationships" ref="K1098" r:id="rId2393"/>
    <hyperlink xmlns:r="http://schemas.openxmlformats.org/officeDocument/2006/relationships" ref="AA1098" r:id="rId2394"/>
    <hyperlink xmlns:r="http://schemas.openxmlformats.org/officeDocument/2006/relationships" ref="K1099" r:id="rId2395"/>
    <hyperlink xmlns:r="http://schemas.openxmlformats.org/officeDocument/2006/relationships" ref="AA1099" r:id="rId2396"/>
    <hyperlink xmlns:r="http://schemas.openxmlformats.org/officeDocument/2006/relationships" ref="K1100" r:id="rId2397"/>
    <hyperlink xmlns:r="http://schemas.openxmlformats.org/officeDocument/2006/relationships" ref="AA1100" r:id="rId2398"/>
    <hyperlink xmlns:r="http://schemas.openxmlformats.org/officeDocument/2006/relationships" ref="K1101" r:id="rId2399"/>
    <hyperlink xmlns:r="http://schemas.openxmlformats.org/officeDocument/2006/relationships" ref="AA1101" r:id="rId2400"/>
    <hyperlink xmlns:r="http://schemas.openxmlformats.org/officeDocument/2006/relationships" ref="K1102" r:id="rId2401"/>
    <hyperlink xmlns:r="http://schemas.openxmlformats.org/officeDocument/2006/relationships" ref="AA1102" r:id="rId2402"/>
    <hyperlink xmlns:r="http://schemas.openxmlformats.org/officeDocument/2006/relationships" ref="K1103" r:id="rId2403"/>
    <hyperlink xmlns:r="http://schemas.openxmlformats.org/officeDocument/2006/relationships" ref="AA1103" r:id="rId2404"/>
    <hyperlink xmlns:r="http://schemas.openxmlformats.org/officeDocument/2006/relationships" ref="K1104" r:id="rId2405"/>
    <hyperlink xmlns:r="http://schemas.openxmlformats.org/officeDocument/2006/relationships" ref="AA1104" r:id="rId2406"/>
    <hyperlink xmlns:r="http://schemas.openxmlformats.org/officeDocument/2006/relationships" ref="K1105" r:id="rId2407"/>
    <hyperlink xmlns:r="http://schemas.openxmlformats.org/officeDocument/2006/relationships" ref="AA1105" r:id="rId2408"/>
    <hyperlink xmlns:r="http://schemas.openxmlformats.org/officeDocument/2006/relationships" ref="K1106" r:id="rId2409"/>
    <hyperlink xmlns:r="http://schemas.openxmlformats.org/officeDocument/2006/relationships" ref="AA1106" r:id="rId2410"/>
    <hyperlink xmlns:r="http://schemas.openxmlformats.org/officeDocument/2006/relationships" ref="K1107" r:id="rId2411"/>
    <hyperlink xmlns:r="http://schemas.openxmlformats.org/officeDocument/2006/relationships" ref="N1107" r:id="rId2412"/>
    <hyperlink xmlns:r="http://schemas.openxmlformats.org/officeDocument/2006/relationships" ref="AA1107" r:id="rId2413"/>
    <hyperlink xmlns:r="http://schemas.openxmlformats.org/officeDocument/2006/relationships" ref="K1108" r:id="rId2414"/>
    <hyperlink xmlns:r="http://schemas.openxmlformats.org/officeDocument/2006/relationships" ref="N1108" r:id="rId2415"/>
    <hyperlink xmlns:r="http://schemas.openxmlformats.org/officeDocument/2006/relationships" ref="AA1108" r:id="rId2416"/>
    <hyperlink xmlns:r="http://schemas.openxmlformats.org/officeDocument/2006/relationships" ref="K1109" r:id="rId2417"/>
    <hyperlink xmlns:r="http://schemas.openxmlformats.org/officeDocument/2006/relationships" ref="N1109" r:id="rId2418"/>
    <hyperlink xmlns:r="http://schemas.openxmlformats.org/officeDocument/2006/relationships" ref="AA1109" r:id="rId2419"/>
    <hyperlink xmlns:r="http://schemas.openxmlformats.org/officeDocument/2006/relationships" ref="K1110" r:id="rId2420"/>
    <hyperlink xmlns:r="http://schemas.openxmlformats.org/officeDocument/2006/relationships" ref="N1110" r:id="rId2421"/>
    <hyperlink xmlns:r="http://schemas.openxmlformats.org/officeDocument/2006/relationships" ref="AA1110" r:id="rId2422"/>
    <hyperlink xmlns:r="http://schemas.openxmlformats.org/officeDocument/2006/relationships" ref="K1111" r:id="rId2423"/>
    <hyperlink xmlns:r="http://schemas.openxmlformats.org/officeDocument/2006/relationships" ref="AA1111" r:id="rId2424"/>
    <hyperlink xmlns:r="http://schemas.openxmlformats.org/officeDocument/2006/relationships" ref="K1112" r:id="rId2425"/>
    <hyperlink xmlns:r="http://schemas.openxmlformats.org/officeDocument/2006/relationships" ref="AA1112" r:id="rId2426"/>
    <hyperlink xmlns:r="http://schemas.openxmlformats.org/officeDocument/2006/relationships" ref="AB1112" r:id="rId2427"/>
    <hyperlink xmlns:r="http://schemas.openxmlformats.org/officeDocument/2006/relationships" ref="K1113" r:id="rId2428"/>
    <hyperlink xmlns:r="http://schemas.openxmlformats.org/officeDocument/2006/relationships" ref="AA1113" r:id="rId2429"/>
    <hyperlink xmlns:r="http://schemas.openxmlformats.org/officeDocument/2006/relationships" ref="AB1113" r:id="rId2430"/>
    <hyperlink xmlns:r="http://schemas.openxmlformats.org/officeDocument/2006/relationships" ref="K1114" r:id="rId2431"/>
    <hyperlink xmlns:r="http://schemas.openxmlformats.org/officeDocument/2006/relationships" ref="AA1114" r:id="rId2432"/>
    <hyperlink xmlns:r="http://schemas.openxmlformats.org/officeDocument/2006/relationships" ref="AB1114" r:id="rId2433"/>
    <hyperlink xmlns:r="http://schemas.openxmlformats.org/officeDocument/2006/relationships" ref="K1115" r:id="rId2434"/>
    <hyperlink xmlns:r="http://schemas.openxmlformats.org/officeDocument/2006/relationships" ref="AA1115" r:id="rId2435"/>
    <hyperlink xmlns:r="http://schemas.openxmlformats.org/officeDocument/2006/relationships" ref="AB1115" r:id="rId2436"/>
    <hyperlink xmlns:r="http://schemas.openxmlformats.org/officeDocument/2006/relationships" ref="K1116" r:id="rId2437"/>
    <hyperlink xmlns:r="http://schemas.openxmlformats.org/officeDocument/2006/relationships" ref="AA1116" r:id="rId2438"/>
    <hyperlink xmlns:r="http://schemas.openxmlformats.org/officeDocument/2006/relationships" ref="AB1116" r:id="rId2439"/>
    <hyperlink xmlns:r="http://schemas.openxmlformats.org/officeDocument/2006/relationships" ref="K1117" r:id="rId2440"/>
    <hyperlink xmlns:r="http://schemas.openxmlformats.org/officeDocument/2006/relationships" ref="AA1117" r:id="rId2441"/>
    <hyperlink xmlns:r="http://schemas.openxmlformats.org/officeDocument/2006/relationships" ref="AB1117" r:id="rId2442"/>
    <hyperlink xmlns:r="http://schemas.openxmlformats.org/officeDocument/2006/relationships" ref="K1118" r:id="rId2443"/>
    <hyperlink xmlns:r="http://schemas.openxmlformats.org/officeDocument/2006/relationships" ref="AA1118" r:id="rId2444"/>
    <hyperlink xmlns:r="http://schemas.openxmlformats.org/officeDocument/2006/relationships" ref="AB1118" r:id="rId2445"/>
    <hyperlink xmlns:r="http://schemas.openxmlformats.org/officeDocument/2006/relationships" ref="K1119" r:id="rId2446"/>
    <hyperlink xmlns:r="http://schemas.openxmlformats.org/officeDocument/2006/relationships" ref="AA1119" r:id="rId2447"/>
    <hyperlink xmlns:r="http://schemas.openxmlformats.org/officeDocument/2006/relationships" ref="AB1119" r:id="rId2448"/>
    <hyperlink xmlns:r="http://schemas.openxmlformats.org/officeDocument/2006/relationships" ref="K1120" r:id="rId2449"/>
    <hyperlink xmlns:r="http://schemas.openxmlformats.org/officeDocument/2006/relationships" ref="AA1120" r:id="rId2450"/>
    <hyperlink xmlns:r="http://schemas.openxmlformats.org/officeDocument/2006/relationships" ref="AB1120" r:id="rId2451"/>
    <hyperlink xmlns:r="http://schemas.openxmlformats.org/officeDocument/2006/relationships" ref="K1121" r:id="rId2452"/>
    <hyperlink xmlns:r="http://schemas.openxmlformats.org/officeDocument/2006/relationships" ref="AA1121" r:id="rId2453"/>
    <hyperlink xmlns:r="http://schemas.openxmlformats.org/officeDocument/2006/relationships" ref="AB1121" r:id="rId2454"/>
    <hyperlink xmlns:r="http://schemas.openxmlformats.org/officeDocument/2006/relationships" ref="K1122" r:id="rId2455"/>
    <hyperlink xmlns:r="http://schemas.openxmlformats.org/officeDocument/2006/relationships" ref="AA1122" r:id="rId2456"/>
    <hyperlink xmlns:r="http://schemas.openxmlformats.org/officeDocument/2006/relationships" ref="AB1122" r:id="rId2457"/>
    <hyperlink xmlns:r="http://schemas.openxmlformats.org/officeDocument/2006/relationships" ref="K1123" r:id="rId2458"/>
    <hyperlink xmlns:r="http://schemas.openxmlformats.org/officeDocument/2006/relationships" ref="AA1123" r:id="rId2459"/>
    <hyperlink xmlns:r="http://schemas.openxmlformats.org/officeDocument/2006/relationships" ref="AB1123" r:id="rId2460"/>
    <hyperlink xmlns:r="http://schemas.openxmlformats.org/officeDocument/2006/relationships" ref="K1124" r:id="rId2461"/>
    <hyperlink xmlns:r="http://schemas.openxmlformats.org/officeDocument/2006/relationships" ref="AA1124" r:id="rId2462"/>
    <hyperlink xmlns:r="http://schemas.openxmlformats.org/officeDocument/2006/relationships" ref="AB1124" r:id="rId2463"/>
    <hyperlink xmlns:r="http://schemas.openxmlformats.org/officeDocument/2006/relationships" ref="K1125" r:id="rId2464"/>
    <hyperlink xmlns:r="http://schemas.openxmlformats.org/officeDocument/2006/relationships" ref="AA1125" r:id="rId2465"/>
    <hyperlink xmlns:r="http://schemas.openxmlformats.org/officeDocument/2006/relationships" ref="AB1125" r:id="rId2466"/>
    <hyperlink xmlns:r="http://schemas.openxmlformats.org/officeDocument/2006/relationships" ref="K1126" r:id="rId2467"/>
    <hyperlink xmlns:r="http://schemas.openxmlformats.org/officeDocument/2006/relationships" ref="AA1126" r:id="rId2468"/>
    <hyperlink xmlns:r="http://schemas.openxmlformats.org/officeDocument/2006/relationships" ref="AB1126" r:id="rId2469"/>
    <hyperlink xmlns:r="http://schemas.openxmlformats.org/officeDocument/2006/relationships" ref="K1127" r:id="rId2470"/>
    <hyperlink xmlns:r="http://schemas.openxmlformats.org/officeDocument/2006/relationships" ref="AA1127" r:id="rId2471"/>
    <hyperlink xmlns:r="http://schemas.openxmlformats.org/officeDocument/2006/relationships" ref="AB1127" r:id="rId2472"/>
    <hyperlink xmlns:r="http://schemas.openxmlformats.org/officeDocument/2006/relationships" ref="K1128" r:id="rId2473"/>
    <hyperlink xmlns:r="http://schemas.openxmlformats.org/officeDocument/2006/relationships" ref="AA1128" r:id="rId2474"/>
    <hyperlink xmlns:r="http://schemas.openxmlformats.org/officeDocument/2006/relationships" ref="AB1128" r:id="rId2475"/>
    <hyperlink xmlns:r="http://schemas.openxmlformats.org/officeDocument/2006/relationships" ref="K1129" r:id="rId2476"/>
    <hyperlink xmlns:r="http://schemas.openxmlformats.org/officeDocument/2006/relationships" ref="AA1129" r:id="rId2477"/>
    <hyperlink xmlns:r="http://schemas.openxmlformats.org/officeDocument/2006/relationships" ref="AB1129" r:id="rId2478"/>
    <hyperlink xmlns:r="http://schemas.openxmlformats.org/officeDocument/2006/relationships" ref="K1130" r:id="rId2479"/>
    <hyperlink xmlns:r="http://schemas.openxmlformats.org/officeDocument/2006/relationships" ref="AA1130" r:id="rId2480"/>
    <hyperlink xmlns:r="http://schemas.openxmlformats.org/officeDocument/2006/relationships" ref="K1131" r:id="rId2481"/>
    <hyperlink xmlns:r="http://schemas.openxmlformats.org/officeDocument/2006/relationships" ref="AA1131" r:id="rId2482"/>
    <hyperlink xmlns:r="http://schemas.openxmlformats.org/officeDocument/2006/relationships" ref="K1132" r:id="rId2483"/>
    <hyperlink xmlns:r="http://schemas.openxmlformats.org/officeDocument/2006/relationships" ref="AA1132" r:id="rId2484"/>
    <hyperlink xmlns:r="http://schemas.openxmlformats.org/officeDocument/2006/relationships" ref="K1133" r:id="rId2485"/>
    <hyperlink xmlns:r="http://schemas.openxmlformats.org/officeDocument/2006/relationships" ref="AA1133" r:id="rId2486"/>
    <hyperlink xmlns:r="http://schemas.openxmlformats.org/officeDocument/2006/relationships" ref="K1134" r:id="rId2487"/>
    <hyperlink xmlns:r="http://schemas.openxmlformats.org/officeDocument/2006/relationships" ref="AA1134" r:id="rId2488"/>
    <hyperlink xmlns:r="http://schemas.openxmlformats.org/officeDocument/2006/relationships" ref="K1135" r:id="rId2489"/>
    <hyperlink xmlns:r="http://schemas.openxmlformats.org/officeDocument/2006/relationships" ref="N1135" r:id="rId2490"/>
    <hyperlink xmlns:r="http://schemas.openxmlformats.org/officeDocument/2006/relationships" ref="AA1135" r:id="rId2491"/>
    <hyperlink xmlns:r="http://schemas.openxmlformats.org/officeDocument/2006/relationships" ref="K1136" r:id="rId2492"/>
    <hyperlink xmlns:r="http://schemas.openxmlformats.org/officeDocument/2006/relationships" ref="N1136" r:id="rId2493"/>
    <hyperlink xmlns:r="http://schemas.openxmlformats.org/officeDocument/2006/relationships" ref="AA1136" r:id="rId2494"/>
    <hyperlink xmlns:r="http://schemas.openxmlformats.org/officeDocument/2006/relationships" ref="K1137" r:id="rId2495"/>
    <hyperlink xmlns:r="http://schemas.openxmlformats.org/officeDocument/2006/relationships" ref="N1137" r:id="rId2496"/>
    <hyperlink xmlns:r="http://schemas.openxmlformats.org/officeDocument/2006/relationships" ref="AA1137" r:id="rId2497"/>
    <hyperlink xmlns:r="http://schemas.openxmlformats.org/officeDocument/2006/relationships" ref="K1138" r:id="rId2498"/>
    <hyperlink xmlns:r="http://schemas.openxmlformats.org/officeDocument/2006/relationships" ref="AA1138" r:id="rId2499"/>
    <hyperlink xmlns:r="http://schemas.openxmlformats.org/officeDocument/2006/relationships" ref="K1139" r:id="rId2500"/>
    <hyperlink xmlns:r="http://schemas.openxmlformats.org/officeDocument/2006/relationships" ref="AA1139" r:id="rId2501"/>
    <hyperlink xmlns:r="http://schemas.openxmlformats.org/officeDocument/2006/relationships" ref="K1140" r:id="rId2502"/>
    <hyperlink xmlns:r="http://schemas.openxmlformats.org/officeDocument/2006/relationships" ref="AA1140" r:id="rId2503"/>
    <hyperlink xmlns:r="http://schemas.openxmlformats.org/officeDocument/2006/relationships" ref="K1141" r:id="rId2504"/>
    <hyperlink xmlns:r="http://schemas.openxmlformats.org/officeDocument/2006/relationships" ref="AA1141" r:id="rId2505"/>
    <hyperlink xmlns:r="http://schemas.openxmlformats.org/officeDocument/2006/relationships" ref="K1142" r:id="rId2506"/>
    <hyperlink xmlns:r="http://schemas.openxmlformats.org/officeDocument/2006/relationships" ref="AA1142" r:id="rId2507"/>
    <hyperlink xmlns:r="http://schemas.openxmlformats.org/officeDocument/2006/relationships" ref="K1143" r:id="rId2508"/>
    <hyperlink xmlns:r="http://schemas.openxmlformats.org/officeDocument/2006/relationships" ref="AA1143" r:id="rId2509"/>
    <hyperlink xmlns:r="http://schemas.openxmlformats.org/officeDocument/2006/relationships" ref="K1144" r:id="rId2510"/>
    <hyperlink xmlns:r="http://schemas.openxmlformats.org/officeDocument/2006/relationships" ref="N1144" r:id="rId2511"/>
    <hyperlink xmlns:r="http://schemas.openxmlformats.org/officeDocument/2006/relationships" ref="AA1144" r:id="rId2512"/>
    <hyperlink xmlns:r="http://schemas.openxmlformats.org/officeDocument/2006/relationships" ref="K1145" r:id="rId2513"/>
    <hyperlink xmlns:r="http://schemas.openxmlformats.org/officeDocument/2006/relationships" ref="AA1145" r:id="rId2514"/>
    <hyperlink xmlns:r="http://schemas.openxmlformats.org/officeDocument/2006/relationships" ref="K1146" r:id="rId2515"/>
    <hyperlink xmlns:r="http://schemas.openxmlformats.org/officeDocument/2006/relationships" ref="N1146" r:id="rId2516"/>
    <hyperlink xmlns:r="http://schemas.openxmlformats.org/officeDocument/2006/relationships" ref="O1146" r:id="rId2517"/>
    <hyperlink xmlns:r="http://schemas.openxmlformats.org/officeDocument/2006/relationships" ref="AA1146" r:id="rId2518"/>
    <hyperlink xmlns:r="http://schemas.openxmlformats.org/officeDocument/2006/relationships" ref="K1147" r:id="rId2519"/>
    <hyperlink xmlns:r="http://schemas.openxmlformats.org/officeDocument/2006/relationships" ref="AA1147" r:id="rId2520"/>
    <hyperlink xmlns:r="http://schemas.openxmlformats.org/officeDocument/2006/relationships" ref="K1148" r:id="rId2521"/>
    <hyperlink xmlns:r="http://schemas.openxmlformats.org/officeDocument/2006/relationships" ref="AA1148" r:id="rId2522"/>
    <hyperlink xmlns:r="http://schemas.openxmlformats.org/officeDocument/2006/relationships" ref="K1149" r:id="rId2523"/>
    <hyperlink xmlns:r="http://schemas.openxmlformats.org/officeDocument/2006/relationships" ref="AA1149" r:id="rId2524"/>
    <hyperlink xmlns:r="http://schemas.openxmlformats.org/officeDocument/2006/relationships" ref="K1150" r:id="rId2525"/>
    <hyperlink xmlns:r="http://schemas.openxmlformats.org/officeDocument/2006/relationships" ref="AA1150" r:id="rId2526"/>
    <hyperlink xmlns:r="http://schemas.openxmlformats.org/officeDocument/2006/relationships" ref="K1151" r:id="rId2527"/>
    <hyperlink xmlns:r="http://schemas.openxmlformats.org/officeDocument/2006/relationships" ref="AA1151" r:id="rId2528"/>
    <hyperlink xmlns:r="http://schemas.openxmlformats.org/officeDocument/2006/relationships" ref="K1152" r:id="rId2529"/>
    <hyperlink xmlns:r="http://schemas.openxmlformats.org/officeDocument/2006/relationships" ref="AA1152" r:id="rId2530"/>
    <hyperlink xmlns:r="http://schemas.openxmlformats.org/officeDocument/2006/relationships" ref="K1153" r:id="rId2531"/>
    <hyperlink xmlns:r="http://schemas.openxmlformats.org/officeDocument/2006/relationships" ref="AA1153" r:id="rId2532"/>
    <hyperlink xmlns:r="http://schemas.openxmlformats.org/officeDocument/2006/relationships" ref="K1154" r:id="rId2533"/>
    <hyperlink xmlns:r="http://schemas.openxmlformats.org/officeDocument/2006/relationships" ref="AA1154" r:id="rId2534"/>
    <hyperlink xmlns:r="http://schemas.openxmlformats.org/officeDocument/2006/relationships" ref="K1155" r:id="rId2535"/>
    <hyperlink xmlns:r="http://schemas.openxmlformats.org/officeDocument/2006/relationships" ref="AA1155" r:id="rId2536"/>
    <hyperlink xmlns:r="http://schemas.openxmlformats.org/officeDocument/2006/relationships" ref="K1156" r:id="rId2537"/>
    <hyperlink xmlns:r="http://schemas.openxmlformats.org/officeDocument/2006/relationships" ref="AA1156" r:id="rId2538"/>
    <hyperlink xmlns:r="http://schemas.openxmlformats.org/officeDocument/2006/relationships" ref="K1157" r:id="rId2539"/>
    <hyperlink xmlns:r="http://schemas.openxmlformats.org/officeDocument/2006/relationships" ref="AA1157" r:id="rId2540"/>
    <hyperlink xmlns:r="http://schemas.openxmlformats.org/officeDocument/2006/relationships" ref="K1158" r:id="rId2541"/>
    <hyperlink xmlns:r="http://schemas.openxmlformats.org/officeDocument/2006/relationships" ref="AA1158" r:id="rId2542"/>
    <hyperlink xmlns:r="http://schemas.openxmlformats.org/officeDocument/2006/relationships" ref="K1159" r:id="rId2543"/>
    <hyperlink xmlns:r="http://schemas.openxmlformats.org/officeDocument/2006/relationships" ref="AA1159" r:id="rId2544"/>
    <hyperlink xmlns:r="http://schemas.openxmlformats.org/officeDocument/2006/relationships" ref="K1160" r:id="rId2545"/>
    <hyperlink xmlns:r="http://schemas.openxmlformats.org/officeDocument/2006/relationships" ref="AA1160" r:id="rId2546"/>
    <hyperlink xmlns:r="http://schemas.openxmlformats.org/officeDocument/2006/relationships" ref="K1161" r:id="rId2547"/>
    <hyperlink xmlns:r="http://schemas.openxmlformats.org/officeDocument/2006/relationships" ref="AA1161" r:id="rId2548"/>
    <hyperlink xmlns:r="http://schemas.openxmlformats.org/officeDocument/2006/relationships" ref="K1162" r:id="rId2549"/>
    <hyperlink xmlns:r="http://schemas.openxmlformats.org/officeDocument/2006/relationships" ref="AA1162" r:id="rId2550"/>
    <hyperlink xmlns:r="http://schemas.openxmlformats.org/officeDocument/2006/relationships" ref="K1163" r:id="rId2551"/>
    <hyperlink xmlns:r="http://schemas.openxmlformats.org/officeDocument/2006/relationships" ref="AA1163" r:id="rId2552"/>
    <hyperlink xmlns:r="http://schemas.openxmlformats.org/officeDocument/2006/relationships" ref="K1164" r:id="rId2553"/>
    <hyperlink xmlns:r="http://schemas.openxmlformats.org/officeDocument/2006/relationships" ref="AA1164" r:id="rId2554"/>
    <hyperlink xmlns:r="http://schemas.openxmlformats.org/officeDocument/2006/relationships" ref="K1165" r:id="rId2555"/>
    <hyperlink xmlns:r="http://schemas.openxmlformats.org/officeDocument/2006/relationships" ref="AA1165" r:id="rId2556"/>
    <hyperlink xmlns:r="http://schemas.openxmlformats.org/officeDocument/2006/relationships" ref="K1166" r:id="rId2557"/>
    <hyperlink xmlns:r="http://schemas.openxmlformats.org/officeDocument/2006/relationships" ref="AA1166" r:id="rId2558"/>
    <hyperlink xmlns:r="http://schemas.openxmlformats.org/officeDocument/2006/relationships" ref="K1167" r:id="rId2559"/>
    <hyperlink xmlns:r="http://schemas.openxmlformats.org/officeDocument/2006/relationships" ref="AA1167" r:id="rId2560"/>
    <hyperlink xmlns:r="http://schemas.openxmlformats.org/officeDocument/2006/relationships" ref="K1168" r:id="rId2561"/>
    <hyperlink xmlns:r="http://schemas.openxmlformats.org/officeDocument/2006/relationships" ref="AA1168" r:id="rId2562"/>
    <hyperlink xmlns:r="http://schemas.openxmlformats.org/officeDocument/2006/relationships" ref="K1169" r:id="rId2563"/>
    <hyperlink xmlns:r="http://schemas.openxmlformats.org/officeDocument/2006/relationships" ref="AA1169" r:id="rId2564"/>
    <hyperlink xmlns:r="http://schemas.openxmlformats.org/officeDocument/2006/relationships" ref="K1170" r:id="rId2565"/>
    <hyperlink xmlns:r="http://schemas.openxmlformats.org/officeDocument/2006/relationships" ref="AA1170" r:id="rId2566"/>
    <hyperlink xmlns:r="http://schemas.openxmlformats.org/officeDocument/2006/relationships" ref="K1171" r:id="rId2567"/>
    <hyperlink xmlns:r="http://schemas.openxmlformats.org/officeDocument/2006/relationships" ref="AA1171" r:id="rId2568"/>
    <hyperlink xmlns:r="http://schemas.openxmlformats.org/officeDocument/2006/relationships" ref="K1172" r:id="rId2569"/>
    <hyperlink xmlns:r="http://schemas.openxmlformats.org/officeDocument/2006/relationships" ref="AA1172" r:id="rId2570"/>
    <hyperlink xmlns:r="http://schemas.openxmlformats.org/officeDocument/2006/relationships" ref="K1173" r:id="rId2571"/>
    <hyperlink xmlns:r="http://schemas.openxmlformats.org/officeDocument/2006/relationships" ref="AA1173" r:id="rId2572"/>
    <hyperlink xmlns:r="http://schemas.openxmlformats.org/officeDocument/2006/relationships" ref="K1174" r:id="rId2573"/>
    <hyperlink xmlns:r="http://schemas.openxmlformats.org/officeDocument/2006/relationships" ref="AA1174" r:id="rId2574"/>
    <hyperlink xmlns:r="http://schemas.openxmlformats.org/officeDocument/2006/relationships" ref="K1175" r:id="rId2575"/>
    <hyperlink xmlns:r="http://schemas.openxmlformats.org/officeDocument/2006/relationships" ref="AA1175" r:id="rId2576"/>
    <hyperlink xmlns:r="http://schemas.openxmlformats.org/officeDocument/2006/relationships" ref="K1176" r:id="rId2577"/>
    <hyperlink xmlns:r="http://schemas.openxmlformats.org/officeDocument/2006/relationships" ref="AA1176" r:id="rId2578"/>
    <hyperlink xmlns:r="http://schemas.openxmlformats.org/officeDocument/2006/relationships" ref="K1177" r:id="rId2579"/>
    <hyperlink xmlns:r="http://schemas.openxmlformats.org/officeDocument/2006/relationships" ref="AA1177" r:id="rId2580"/>
    <hyperlink xmlns:r="http://schemas.openxmlformats.org/officeDocument/2006/relationships" ref="K1178" r:id="rId2581"/>
    <hyperlink xmlns:r="http://schemas.openxmlformats.org/officeDocument/2006/relationships" ref="AA1178" r:id="rId2582"/>
    <hyperlink xmlns:r="http://schemas.openxmlformats.org/officeDocument/2006/relationships" ref="K1179" r:id="rId2583"/>
    <hyperlink xmlns:r="http://schemas.openxmlformats.org/officeDocument/2006/relationships" ref="AA1179" r:id="rId2584"/>
    <hyperlink xmlns:r="http://schemas.openxmlformats.org/officeDocument/2006/relationships" ref="K1180" r:id="rId2585"/>
    <hyperlink xmlns:r="http://schemas.openxmlformats.org/officeDocument/2006/relationships" ref="AA1180" r:id="rId2586"/>
    <hyperlink xmlns:r="http://schemas.openxmlformats.org/officeDocument/2006/relationships" ref="K1181" r:id="rId2587"/>
    <hyperlink xmlns:r="http://schemas.openxmlformats.org/officeDocument/2006/relationships" ref="AA1181" r:id="rId2588"/>
    <hyperlink xmlns:r="http://schemas.openxmlformats.org/officeDocument/2006/relationships" ref="K1182" r:id="rId2589"/>
    <hyperlink xmlns:r="http://schemas.openxmlformats.org/officeDocument/2006/relationships" ref="N1182" r:id="rId2590"/>
    <hyperlink xmlns:r="http://schemas.openxmlformats.org/officeDocument/2006/relationships" ref="AA1182" r:id="rId2591"/>
    <hyperlink xmlns:r="http://schemas.openxmlformats.org/officeDocument/2006/relationships" ref="K1183" r:id="rId2592"/>
    <hyperlink xmlns:r="http://schemas.openxmlformats.org/officeDocument/2006/relationships" ref="N1183" r:id="rId2593"/>
    <hyperlink xmlns:r="http://schemas.openxmlformats.org/officeDocument/2006/relationships" ref="O1183" r:id="rId2594"/>
    <hyperlink xmlns:r="http://schemas.openxmlformats.org/officeDocument/2006/relationships" ref="AA1183" r:id="rId2595"/>
    <hyperlink xmlns:r="http://schemas.openxmlformats.org/officeDocument/2006/relationships" ref="K1184" r:id="rId2596"/>
    <hyperlink xmlns:r="http://schemas.openxmlformats.org/officeDocument/2006/relationships" ref="AA1184" r:id="rId2597"/>
    <hyperlink xmlns:r="http://schemas.openxmlformats.org/officeDocument/2006/relationships" ref="K1185" r:id="rId2598"/>
    <hyperlink xmlns:r="http://schemas.openxmlformats.org/officeDocument/2006/relationships" ref="N1185" r:id="rId2599"/>
    <hyperlink xmlns:r="http://schemas.openxmlformats.org/officeDocument/2006/relationships" ref="AA1185" r:id="rId2600"/>
    <hyperlink xmlns:r="http://schemas.openxmlformats.org/officeDocument/2006/relationships" ref="K1186" r:id="rId2601"/>
    <hyperlink xmlns:r="http://schemas.openxmlformats.org/officeDocument/2006/relationships" ref="N1186" r:id="rId2602"/>
    <hyperlink xmlns:r="http://schemas.openxmlformats.org/officeDocument/2006/relationships" ref="AA1186" r:id="rId2603"/>
    <hyperlink xmlns:r="http://schemas.openxmlformats.org/officeDocument/2006/relationships" ref="K1187" r:id="rId2604"/>
    <hyperlink xmlns:r="http://schemas.openxmlformats.org/officeDocument/2006/relationships" ref="N1187" r:id="rId2605"/>
    <hyperlink xmlns:r="http://schemas.openxmlformats.org/officeDocument/2006/relationships" ref="AA1187" r:id="rId2606"/>
    <hyperlink xmlns:r="http://schemas.openxmlformats.org/officeDocument/2006/relationships" ref="K1188" r:id="rId2607"/>
    <hyperlink xmlns:r="http://schemas.openxmlformats.org/officeDocument/2006/relationships" ref="AA1188" r:id="rId2608"/>
    <hyperlink xmlns:r="http://schemas.openxmlformats.org/officeDocument/2006/relationships" ref="K1189" r:id="rId2609"/>
    <hyperlink xmlns:r="http://schemas.openxmlformats.org/officeDocument/2006/relationships" ref="AA1189" r:id="rId2610"/>
    <hyperlink xmlns:r="http://schemas.openxmlformats.org/officeDocument/2006/relationships" ref="K1190" r:id="rId2611"/>
    <hyperlink xmlns:r="http://schemas.openxmlformats.org/officeDocument/2006/relationships" ref="N1190" r:id="rId2612"/>
    <hyperlink xmlns:r="http://schemas.openxmlformats.org/officeDocument/2006/relationships" ref="AA1190" r:id="rId2613"/>
    <hyperlink xmlns:r="http://schemas.openxmlformats.org/officeDocument/2006/relationships" ref="K1191" r:id="rId2614"/>
    <hyperlink xmlns:r="http://schemas.openxmlformats.org/officeDocument/2006/relationships" ref="AA1191" r:id="rId2615"/>
    <hyperlink xmlns:r="http://schemas.openxmlformats.org/officeDocument/2006/relationships" ref="K1192" r:id="rId2616"/>
    <hyperlink xmlns:r="http://schemas.openxmlformats.org/officeDocument/2006/relationships" ref="AA1192" r:id="rId2617"/>
    <hyperlink xmlns:r="http://schemas.openxmlformats.org/officeDocument/2006/relationships" ref="K1193" r:id="rId2618"/>
    <hyperlink xmlns:r="http://schemas.openxmlformats.org/officeDocument/2006/relationships" ref="AA1193" r:id="rId2619"/>
    <hyperlink xmlns:r="http://schemas.openxmlformats.org/officeDocument/2006/relationships" ref="K1194" r:id="rId2620"/>
    <hyperlink xmlns:r="http://schemas.openxmlformats.org/officeDocument/2006/relationships" ref="N1194" r:id="rId2621"/>
    <hyperlink xmlns:r="http://schemas.openxmlformats.org/officeDocument/2006/relationships" ref="O1194" r:id="rId2622"/>
    <hyperlink xmlns:r="http://schemas.openxmlformats.org/officeDocument/2006/relationships" ref="AA1194" r:id="rId2623"/>
    <hyperlink xmlns:r="http://schemas.openxmlformats.org/officeDocument/2006/relationships" ref="K1195" r:id="rId2624"/>
    <hyperlink xmlns:r="http://schemas.openxmlformats.org/officeDocument/2006/relationships" ref="N1195" r:id="rId2625"/>
    <hyperlink xmlns:r="http://schemas.openxmlformats.org/officeDocument/2006/relationships" ref="O1195" r:id="rId2626"/>
    <hyperlink xmlns:r="http://schemas.openxmlformats.org/officeDocument/2006/relationships" ref="AA1195" r:id="rId2627"/>
    <hyperlink xmlns:r="http://schemas.openxmlformats.org/officeDocument/2006/relationships" ref="K1196" r:id="rId2628"/>
    <hyperlink xmlns:r="http://schemas.openxmlformats.org/officeDocument/2006/relationships" ref="N1196" r:id="rId2629"/>
    <hyperlink xmlns:r="http://schemas.openxmlformats.org/officeDocument/2006/relationships" ref="O1196" r:id="rId2630"/>
    <hyperlink xmlns:r="http://schemas.openxmlformats.org/officeDocument/2006/relationships" ref="AA1196" r:id="rId2631"/>
    <hyperlink xmlns:r="http://schemas.openxmlformats.org/officeDocument/2006/relationships" ref="K1197" r:id="rId2632"/>
    <hyperlink xmlns:r="http://schemas.openxmlformats.org/officeDocument/2006/relationships" ref="N1197" r:id="rId2633"/>
    <hyperlink xmlns:r="http://schemas.openxmlformats.org/officeDocument/2006/relationships" ref="O1197" r:id="rId2634"/>
    <hyperlink xmlns:r="http://schemas.openxmlformats.org/officeDocument/2006/relationships" ref="AA1197" r:id="rId2635"/>
    <hyperlink xmlns:r="http://schemas.openxmlformats.org/officeDocument/2006/relationships" ref="K1198" r:id="rId2636"/>
    <hyperlink xmlns:r="http://schemas.openxmlformats.org/officeDocument/2006/relationships" ref="N1198" r:id="rId2637"/>
    <hyperlink xmlns:r="http://schemas.openxmlformats.org/officeDocument/2006/relationships" ref="O1198" r:id="rId2638"/>
    <hyperlink xmlns:r="http://schemas.openxmlformats.org/officeDocument/2006/relationships" ref="AA1198" r:id="rId2639"/>
    <hyperlink xmlns:r="http://schemas.openxmlformats.org/officeDocument/2006/relationships" ref="K1199" r:id="rId2640"/>
    <hyperlink xmlns:r="http://schemas.openxmlformats.org/officeDocument/2006/relationships" ref="AA1199" r:id="rId2641"/>
    <hyperlink xmlns:r="http://schemas.openxmlformats.org/officeDocument/2006/relationships" ref="K1200" r:id="rId2642"/>
    <hyperlink xmlns:r="http://schemas.openxmlformats.org/officeDocument/2006/relationships" ref="AA1200" r:id="rId2643"/>
    <hyperlink xmlns:r="http://schemas.openxmlformats.org/officeDocument/2006/relationships" ref="K1201" r:id="rId2644"/>
    <hyperlink xmlns:r="http://schemas.openxmlformats.org/officeDocument/2006/relationships" ref="AA1201" r:id="rId2645"/>
    <hyperlink xmlns:r="http://schemas.openxmlformats.org/officeDocument/2006/relationships" ref="K1202" r:id="rId2646"/>
    <hyperlink xmlns:r="http://schemas.openxmlformats.org/officeDocument/2006/relationships" ref="AA1202" r:id="rId2647"/>
    <hyperlink xmlns:r="http://schemas.openxmlformats.org/officeDocument/2006/relationships" ref="K1203" r:id="rId2648"/>
    <hyperlink xmlns:r="http://schemas.openxmlformats.org/officeDocument/2006/relationships" ref="AA1203" r:id="rId2649"/>
    <hyperlink xmlns:r="http://schemas.openxmlformats.org/officeDocument/2006/relationships" ref="K1204" r:id="rId2650"/>
    <hyperlink xmlns:r="http://schemas.openxmlformats.org/officeDocument/2006/relationships" ref="AA1204" r:id="rId2651"/>
    <hyperlink xmlns:r="http://schemas.openxmlformats.org/officeDocument/2006/relationships" ref="K1205" r:id="rId2652"/>
    <hyperlink xmlns:r="http://schemas.openxmlformats.org/officeDocument/2006/relationships" ref="AA1205" r:id="rId2653"/>
    <hyperlink xmlns:r="http://schemas.openxmlformats.org/officeDocument/2006/relationships" ref="K1206" r:id="rId2654"/>
    <hyperlink xmlns:r="http://schemas.openxmlformats.org/officeDocument/2006/relationships" ref="N1206" r:id="rId2655"/>
    <hyperlink xmlns:r="http://schemas.openxmlformats.org/officeDocument/2006/relationships" ref="O1206" r:id="rId2656"/>
    <hyperlink xmlns:r="http://schemas.openxmlformats.org/officeDocument/2006/relationships" ref="AA1206" r:id="rId2657"/>
    <hyperlink xmlns:r="http://schemas.openxmlformats.org/officeDocument/2006/relationships" ref="K1207" r:id="rId2658"/>
    <hyperlink xmlns:r="http://schemas.openxmlformats.org/officeDocument/2006/relationships" ref="AA1207" r:id="rId2659"/>
    <hyperlink xmlns:r="http://schemas.openxmlformats.org/officeDocument/2006/relationships" ref="K1208" r:id="rId2660"/>
    <hyperlink xmlns:r="http://schemas.openxmlformats.org/officeDocument/2006/relationships" ref="AA1208" r:id="rId2661"/>
    <hyperlink xmlns:r="http://schemas.openxmlformats.org/officeDocument/2006/relationships" ref="K1209" r:id="rId2662"/>
    <hyperlink xmlns:r="http://schemas.openxmlformats.org/officeDocument/2006/relationships" ref="AA1209" r:id="rId2663"/>
    <hyperlink xmlns:r="http://schemas.openxmlformats.org/officeDocument/2006/relationships" ref="K1210" r:id="rId2664"/>
    <hyperlink xmlns:r="http://schemas.openxmlformats.org/officeDocument/2006/relationships" ref="AA1210" r:id="rId2665"/>
    <hyperlink xmlns:r="http://schemas.openxmlformats.org/officeDocument/2006/relationships" ref="K1211" r:id="rId2666"/>
    <hyperlink xmlns:r="http://schemas.openxmlformats.org/officeDocument/2006/relationships" ref="AA1211" r:id="rId2667"/>
    <hyperlink xmlns:r="http://schemas.openxmlformats.org/officeDocument/2006/relationships" ref="K1212" r:id="rId2668"/>
    <hyperlink xmlns:r="http://schemas.openxmlformats.org/officeDocument/2006/relationships" ref="AA1212" r:id="rId2669"/>
    <hyperlink xmlns:r="http://schemas.openxmlformats.org/officeDocument/2006/relationships" ref="K1213" r:id="rId2670"/>
    <hyperlink xmlns:r="http://schemas.openxmlformats.org/officeDocument/2006/relationships" ref="AA1213" r:id="rId2671"/>
    <hyperlink xmlns:r="http://schemas.openxmlformats.org/officeDocument/2006/relationships" ref="K1214" r:id="rId2672"/>
    <hyperlink xmlns:r="http://schemas.openxmlformats.org/officeDocument/2006/relationships" ref="AA1214" r:id="rId2673"/>
    <hyperlink xmlns:r="http://schemas.openxmlformats.org/officeDocument/2006/relationships" ref="K1215" r:id="rId2674"/>
    <hyperlink xmlns:r="http://schemas.openxmlformats.org/officeDocument/2006/relationships" ref="AA1215" r:id="rId2675"/>
    <hyperlink xmlns:r="http://schemas.openxmlformats.org/officeDocument/2006/relationships" ref="K1216" r:id="rId2676"/>
    <hyperlink xmlns:r="http://schemas.openxmlformats.org/officeDocument/2006/relationships" ref="N1216" r:id="rId2677"/>
    <hyperlink xmlns:r="http://schemas.openxmlformats.org/officeDocument/2006/relationships" ref="O1216" r:id="rId2678"/>
    <hyperlink xmlns:r="http://schemas.openxmlformats.org/officeDocument/2006/relationships" ref="AA1216" r:id="rId2679"/>
    <hyperlink xmlns:r="http://schemas.openxmlformats.org/officeDocument/2006/relationships" ref="K1217" r:id="rId2680"/>
    <hyperlink xmlns:r="http://schemas.openxmlformats.org/officeDocument/2006/relationships" ref="N1217" r:id="rId2681"/>
    <hyperlink xmlns:r="http://schemas.openxmlformats.org/officeDocument/2006/relationships" ref="O1217" r:id="rId2682"/>
    <hyperlink xmlns:r="http://schemas.openxmlformats.org/officeDocument/2006/relationships" ref="AA1217" r:id="rId2683"/>
    <hyperlink xmlns:r="http://schemas.openxmlformats.org/officeDocument/2006/relationships" ref="K1218" r:id="rId2684"/>
    <hyperlink xmlns:r="http://schemas.openxmlformats.org/officeDocument/2006/relationships" ref="N1218" r:id="rId2685"/>
    <hyperlink xmlns:r="http://schemas.openxmlformats.org/officeDocument/2006/relationships" ref="O1218" r:id="rId2686"/>
    <hyperlink xmlns:r="http://schemas.openxmlformats.org/officeDocument/2006/relationships" ref="AA1218" r:id="rId2687"/>
    <hyperlink xmlns:r="http://schemas.openxmlformats.org/officeDocument/2006/relationships" ref="K1219" r:id="rId2688"/>
    <hyperlink xmlns:r="http://schemas.openxmlformats.org/officeDocument/2006/relationships" ref="N1219" r:id="rId2689"/>
    <hyperlink xmlns:r="http://schemas.openxmlformats.org/officeDocument/2006/relationships" ref="O1219" r:id="rId2690"/>
    <hyperlink xmlns:r="http://schemas.openxmlformats.org/officeDocument/2006/relationships" ref="AA1219" r:id="rId2691"/>
    <hyperlink xmlns:r="http://schemas.openxmlformats.org/officeDocument/2006/relationships" ref="K1220" r:id="rId2692"/>
    <hyperlink xmlns:r="http://schemas.openxmlformats.org/officeDocument/2006/relationships" ref="N1220" r:id="rId2693"/>
    <hyperlink xmlns:r="http://schemas.openxmlformats.org/officeDocument/2006/relationships" ref="O1220" r:id="rId2694"/>
    <hyperlink xmlns:r="http://schemas.openxmlformats.org/officeDocument/2006/relationships" ref="AA1220" r:id="rId2695"/>
    <hyperlink xmlns:r="http://schemas.openxmlformats.org/officeDocument/2006/relationships" ref="K1221" r:id="rId2696"/>
    <hyperlink xmlns:r="http://schemas.openxmlformats.org/officeDocument/2006/relationships" ref="N1221" r:id="rId2697"/>
    <hyperlink xmlns:r="http://schemas.openxmlformats.org/officeDocument/2006/relationships" ref="O1221" r:id="rId2698"/>
    <hyperlink xmlns:r="http://schemas.openxmlformats.org/officeDocument/2006/relationships" ref="AA1221" r:id="rId2699"/>
    <hyperlink xmlns:r="http://schemas.openxmlformats.org/officeDocument/2006/relationships" ref="K1222" r:id="rId2700"/>
    <hyperlink xmlns:r="http://schemas.openxmlformats.org/officeDocument/2006/relationships" ref="AA1222" r:id="rId2701"/>
    <hyperlink xmlns:r="http://schemas.openxmlformats.org/officeDocument/2006/relationships" ref="K1223" r:id="rId2702"/>
    <hyperlink xmlns:r="http://schemas.openxmlformats.org/officeDocument/2006/relationships" ref="AA1223" r:id="rId2703"/>
    <hyperlink xmlns:r="http://schemas.openxmlformats.org/officeDocument/2006/relationships" ref="K1224" r:id="rId2704"/>
    <hyperlink xmlns:r="http://schemas.openxmlformats.org/officeDocument/2006/relationships" ref="AA1224" r:id="rId2705"/>
    <hyperlink xmlns:r="http://schemas.openxmlformats.org/officeDocument/2006/relationships" ref="AB1224" r:id="rId2706"/>
    <hyperlink xmlns:r="http://schemas.openxmlformats.org/officeDocument/2006/relationships" ref="K1225" r:id="rId2707"/>
    <hyperlink xmlns:r="http://schemas.openxmlformats.org/officeDocument/2006/relationships" ref="AA1225" r:id="rId2708"/>
    <hyperlink xmlns:r="http://schemas.openxmlformats.org/officeDocument/2006/relationships" ref="K1226" r:id="rId2709"/>
    <hyperlink xmlns:r="http://schemas.openxmlformats.org/officeDocument/2006/relationships" ref="AA1226" r:id="rId2710"/>
    <hyperlink xmlns:r="http://schemas.openxmlformats.org/officeDocument/2006/relationships" ref="K1227" r:id="rId2711"/>
    <hyperlink xmlns:r="http://schemas.openxmlformats.org/officeDocument/2006/relationships" ref="AA1227" r:id="rId2712"/>
    <hyperlink xmlns:r="http://schemas.openxmlformats.org/officeDocument/2006/relationships" ref="K1228" r:id="rId2713"/>
    <hyperlink xmlns:r="http://schemas.openxmlformats.org/officeDocument/2006/relationships" ref="AA1228" r:id="rId2714"/>
    <hyperlink xmlns:r="http://schemas.openxmlformats.org/officeDocument/2006/relationships" ref="K1229" r:id="rId2715"/>
    <hyperlink xmlns:r="http://schemas.openxmlformats.org/officeDocument/2006/relationships" ref="AA1229" r:id="rId2716"/>
    <hyperlink xmlns:r="http://schemas.openxmlformats.org/officeDocument/2006/relationships" ref="K1230" r:id="rId2717"/>
    <hyperlink xmlns:r="http://schemas.openxmlformats.org/officeDocument/2006/relationships" ref="AA1230" r:id="rId2718"/>
    <hyperlink xmlns:r="http://schemas.openxmlformats.org/officeDocument/2006/relationships" ref="K1231" r:id="rId2719"/>
    <hyperlink xmlns:r="http://schemas.openxmlformats.org/officeDocument/2006/relationships" ref="AA1231" r:id="rId2720"/>
    <hyperlink xmlns:r="http://schemas.openxmlformats.org/officeDocument/2006/relationships" ref="K1232" r:id="rId2721"/>
    <hyperlink xmlns:r="http://schemas.openxmlformats.org/officeDocument/2006/relationships" ref="AA1232" r:id="rId2722"/>
    <hyperlink xmlns:r="http://schemas.openxmlformats.org/officeDocument/2006/relationships" ref="K1233" r:id="rId2723"/>
    <hyperlink xmlns:r="http://schemas.openxmlformats.org/officeDocument/2006/relationships" ref="AA1233" r:id="rId2724"/>
    <hyperlink xmlns:r="http://schemas.openxmlformats.org/officeDocument/2006/relationships" ref="K1234" r:id="rId2725"/>
    <hyperlink xmlns:r="http://schemas.openxmlformats.org/officeDocument/2006/relationships" ref="AA1234" r:id="rId2726"/>
    <hyperlink xmlns:r="http://schemas.openxmlformats.org/officeDocument/2006/relationships" ref="K1235" r:id="rId2727"/>
    <hyperlink xmlns:r="http://schemas.openxmlformats.org/officeDocument/2006/relationships" ref="AA1235" r:id="rId2728"/>
    <hyperlink xmlns:r="http://schemas.openxmlformats.org/officeDocument/2006/relationships" ref="K1236" r:id="rId2729"/>
    <hyperlink xmlns:r="http://schemas.openxmlformats.org/officeDocument/2006/relationships" ref="AA1236" r:id="rId2730"/>
    <hyperlink xmlns:r="http://schemas.openxmlformats.org/officeDocument/2006/relationships" ref="K1237" r:id="rId2731"/>
    <hyperlink xmlns:r="http://schemas.openxmlformats.org/officeDocument/2006/relationships" ref="AA1237" r:id="rId2732"/>
    <hyperlink xmlns:r="http://schemas.openxmlformats.org/officeDocument/2006/relationships" ref="K1238" r:id="rId2733"/>
    <hyperlink xmlns:r="http://schemas.openxmlformats.org/officeDocument/2006/relationships" ref="AA1238" r:id="rId2734"/>
    <hyperlink xmlns:r="http://schemas.openxmlformats.org/officeDocument/2006/relationships" ref="K1239" r:id="rId2735"/>
    <hyperlink xmlns:r="http://schemas.openxmlformats.org/officeDocument/2006/relationships" ref="AA1239" r:id="rId2736"/>
    <hyperlink xmlns:r="http://schemas.openxmlformats.org/officeDocument/2006/relationships" ref="K1240" r:id="rId2737"/>
    <hyperlink xmlns:r="http://schemas.openxmlformats.org/officeDocument/2006/relationships" ref="AA1240" r:id="rId2738"/>
    <hyperlink xmlns:r="http://schemas.openxmlformats.org/officeDocument/2006/relationships" ref="K1241" r:id="rId2739"/>
    <hyperlink xmlns:r="http://schemas.openxmlformats.org/officeDocument/2006/relationships" ref="AA1241" r:id="rId2740"/>
    <hyperlink xmlns:r="http://schemas.openxmlformats.org/officeDocument/2006/relationships" ref="K1242" r:id="rId2741"/>
    <hyperlink xmlns:r="http://schemas.openxmlformats.org/officeDocument/2006/relationships" ref="AA1242" r:id="rId2742"/>
    <hyperlink xmlns:r="http://schemas.openxmlformats.org/officeDocument/2006/relationships" ref="K1243" r:id="rId2743"/>
    <hyperlink xmlns:r="http://schemas.openxmlformats.org/officeDocument/2006/relationships" ref="AA1243" r:id="rId2744"/>
    <hyperlink xmlns:r="http://schemas.openxmlformats.org/officeDocument/2006/relationships" ref="K1244" r:id="rId2745"/>
    <hyperlink xmlns:r="http://schemas.openxmlformats.org/officeDocument/2006/relationships" ref="AA1244" r:id="rId2746"/>
    <hyperlink xmlns:r="http://schemas.openxmlformats.org/officeDocument/2006/relationships" ref="K1245" r:id="rId2747"/>
    <hyperlink xmlns:r="http://schemas.openxmlformats.org/officeDocument/2006/relationships" ref="AA1245" r:id="rId2748"/>
    <hyperlink xmlns:r="http://schemas.openxmlformats.org/officeDocument/2006/relationships" ref="K1246" r:id="rId2749"/>
    <hyperlink xmlns:r="http://schemas.openxmlformats.org/officeDocument/2006/relationships" ref="AA1246" r:id="rId2750"/>
    <hyperlink xmlns:r="http://schemas.openxmlformats.org/officeDocument/2006/relationships" ref="K1247" r:id="rId2751"/>
    <hyperlink xmlns:r="http://schemas.openxmlformats.org/officeDocument/2006/relationships" ref="AA1247" r:id="rId2752"/>
    <hyperlink xmlns:r="http://schemas.openxmlformats.org/officeDocument/2006/relationships" ref="K1248" r:id="rId2753"/>
    <hyperlink xmlns:r="http://schemas.openxmlformats.org/officeDocument/2006/relationships" ref="AA1248" r:id="rId2754"/>
    <hyperlink xmlns:r="http://schemas.openxmlformats.org/officeDocument/2006/relationships" ref="K1249" r:id="rId2755"/>
    <hyperlink xmlns:r="http://schemas.openxmlformats.org/officeDocument/2006/relationships" ref="AA1249" r:id="rId2756"/>
    <hyperlink xmlns:r="http://schemas.openxmlformats.org/officeDocument/2006/relationships" ref="K1250" r:id="rId2757"/>
    <hyperlink xmlns:r="http://schemas.openxmlformats.org/officeDocument/2006/relationships" ref="AA1250" r:id="rId2758"/>
    <hyperlink xmlns:r="http://schemas.openxmlformats.org/officeDocument/2006/relationships" ref="K1251" r:id="rId2759"/>
    <hyperlink xmlns:r="http://schemas.openxmlformats.org/officeDocument/2006/relationships" ref="AA1251" r:id="rId2760"/>
    <hyperlink xmlns:r="http://schemas.openxmlformats.org/officeDocument/2006/relationships" ref="K1252" r:id="rId2761"/>
    <hyperlink xmlns:r="http://schemas.openxmlformats.org/officeDocument/2006/relationships" ref="AA1252" r:id="rId2762"/>
    <hyperlink xmlns:r="http://schemas.openxmlformats.org/officeDocument/2006/relationships" ref="K1253" r:id="rId2763"/>
    <hyperlink xmlns:r="http://schemas.openxmlformats.org/officeDocument/2006/relationships" ref="AA1253" r:id="rId2764"/>
    <hyperlink xmlns:r="http://schemas.openxmlformats.org/officeDocument/2006/relationships" ref="K1254" r:id="rId2765"/>
    <hyperlink xmlns:r="http://schemas.openxmlformats.org/officeDocument/2006/relationships" ref="AA1254" r:id="rId2766"/>
    <hyperlink xmlns:r="http://schemas.openxmlformats.org/officeDocument/2006/relationships" ref="K1255" r:id="rId2767"/>
    <hyperlink xmlns:r="http://schemas.openxmlformats.org/officeDocument/2006/relationships" ref="AA1255" r:id="rId2768"/>
    <hyperlink xmlns:r="http://schemas.openxmlformats.org/officeDocument/2006/relationships" ref="K1256" r:id="rId2769"/>
    <hyperlink xmlns:r="http://schemas.openxmlformats.org/officeDocument/2006/relationships" ref="AA1256" r:id="rId2770"/>
    <hyperlink xmlns:r="http://schemas.openxmlformats.org/officeDocument/2006/relationships" ref="K1257" r:id="rId2771"/>
    <hyperlink xmlns:r="http://schemas.openxmlformats.org/officeDocument/2006/relationships" ref="AA1257" r:id="rId2772"/>
    <hyperlink xmlns:r="http://schemas.openxmlformats.org/officeDocument/2006/relationships" ref="K1258" r:id="rId2773"/>
    <hyperlink xmlns:r="http://schemas.openxmlformats.org/officeDocument/2006/relationships" ref="AA1258" r:id="rId2774"/>
    <hyperlink xmlns:r="http://schemas.openxmlformats.org/officeDocument/2006/relationships" ref="K1259" r:id="rId2775"/>
    <hyperlink xmlns:r="http://schemas.openxmlformats.org/officeDocument/2006/relationships" ref="AA1259" r:id="rId2776"/>
    <hyperlink xmlns:r="http://schemas.openxmlformats.org/officeDocument/2006/relationships" ref="K1260" r:id="rId2777"/>
    <hyperlink xmlns:r="http://schemas.openxmlformats.org/officeDocument/2006/relationships" ref="AA1260" r:id="rId2778"/>
    <hyperlink xmlns:r="http://schemas.openxmlformats.org/officeDocument/2006/relationships" ref="K1261" r:id="rId2779"/>
    <hyperlink xmlns:r="http://schemas.openxmlformats.org/officeDocument/2006/relationships" ref="AA1261" r:id="rId2780"/>
    <hyperlink xmlns:r="http://schemas.openxmlformats.org/officeDocument/2006/relationships" ref="K1262" r:id="rId2781"/>
    <hyperlink xmlns:r="http://schemas.openxmlformats.org/officeDocument/2006/relationships" ref="AA1262" r:id="rId2782"/>
    <hyperlink xmlns:r="http://schemas.openxmlformats.org/officeDocument/2006/relationships" ref="K1263" r:id="rId2783"/>
    <hyperlink xmlns:r="http://schemas.openxmlformats.org/officeDocument/2006/relationships" ref="AA1263" r:id="rId2784"/>
    <hyperlink xmlns:r="http://schemas.openxmlformats.org/officeDocument/2006/relationships" ref="K1264" r:id="rId2785"/>
    <hyperlink xmlns:r="http://schemas.openxmlformats.org/officeDocument/2006/relationships" ref="AA1264" r:id="rId2786"/>
    <hyperlink xmlns:r="http://schemas.openxmlformats.org/officeDocument/2006/relationships" ref="K1265" r:id="rId2787"/>
    <hyperlink xmlns:r="http://schemas.openxmlformats.org/officeDocument/2006/relationships" ref="AA1265" r:id="rId2788"/>
    <hyperlink xmlns:r="http://schemas.openxmlformats.org/officeDocument/2006/relationships" ref="K1266" r:id="rId2789"/>
    <hyperlink xmlns:r="http://schemas.openxmlformats.org/officeDocument/2006/relationships" ref="AA1266" r:id="rId2790"/>
    <hyperlink xmlns:r="http://schemas.openxmlformats.org/officeDocument/2006/relationships" ref="K1267" r:id="rId2791"/>
    <hyperlink xmlns:r="http://schemas.openxmlformats.org/officeDocument/2006/relationships" ref="AA1267" r:id="rId2792"/>
    <hyperlink xmlns:r="http://schemas.openxmlformats.org/officeDocument/2006/relationships" ref="K1268" r:id="rId2793"/>
    <hyperlink xmlns:r="http://schemas.openxmlformats.org/officeDocument/2006/relationships" ref="AA1268" r:id="rId2794"/>
    <hyperlink xmlns:r="http://schemas.openxmlformats.org/officeDocument/2006/relationships" ref="K1269" r:id="rId2795"/>
    <hyperlink xmlns:r="http://schemas.openxmlformats.org/officeDocument/2006/relationships" ref="AA1269" r:id="rId2796"/>
    <hyperlink xmlns:r="http://schemas.openxmlformats.org/officeDocument/2006/relationships" ref="K1270" r:id="rId2797"/>
    <hyperlink xmlns:r="http://schemas.openxmlformats.org/officeDocument/2006/relationships" ref="AA1270" r:id="rId2798"/>
    <hyperlink xmlns:r="http://schemas.openxmlformats.org/officeDocument/2006/relationships" ref="K1271" r:id="rId2799"/>
    <hyperlink xmlns:r="http://schemas.openxmlformats.org/officeDocument/2006/relationships" ref="AA1271" r:id="rId2800"/>
    <hyperlink xmlns:r="http://schemas.openxmlformats.org/officeDocument/2006/relationships" ref="K1272" r:id="rId2801"/>
    <hyperlink xmlns:r="http://schemas.openxmlformats.org/officeDocument/2006/relationships" ref="AA1272" r:id="rId2802"/>
    <hyperlink xmlns:r="http://schemas.openxmlformats.org/officeDocument/2006/relationships" ref="K1273" r:id="rId2803"/>
    <hyperlink xmlns:r="http://schemas.openxmlformats.org/officeDocument/2006/relationships" ref="AA1273" r:id="rId2804"/>
    <hyperlink xmlns:r="http://schemas.openxmlformats.org/officeDocument/2006/relationships" ref="K1274" r:id="rId2805"/>
    <hyperlink xmlns:r="http://schemas.openxmlformats.org/officeDocument/2006/relationships" ref="AA1274" r:id="rId2806"/>
    <hyperlink xmlns:r="http://schemas.openxmlformats.org/officeDocument/2006/relationships" ref="K1275" r:id="rId2807"/>
    <hyperlink xmlns:r="http://schemas.openxmlformats.org/officeDocument/2006/relationships" ref="AA1275" r:id="rId2808"/>
    <hyperlink xmlns:r="http://schemas.openxmlformats.org/officeDocument/2006/relationships" ref="K1276" r:id="rId2809"/>
    <hyperlink xmlns:r="http://schemas.openxmlformats.org/officeDocument/2006/relationships" ref="AA1276" r:id="rId2810"/>
    <hyperlink xmlns:r="http://schemas.openxmlformats.org/officeDocument/2006/relationships" ref="K1277" r:id="rId2811"/>
    <hyperlink xmlns:r="http://schemas.openxmlformats.org/officeDocument/2006/relationships" ref="AA1277" r:id="rId2812"/>
    <hyperlink xmlns:r="http://schemas.openxmlformats.org/officeDocument/2006/relationships" ref="K1278" r:id="rId2813"/>
    <hyperlink xmlns:r="http://schemas.openxmlformats.org/officeDocument/2006/relationships" ref="AA1278" r:id="rId2814"/>
    <hyperlink xmlns:r="http://schemas.openxmlformats.org/officeDocument/2006/relationships" ref="K1279" r:id="rId2815"/>
    <hyperlink xmlns:r="http://schemas.openxmlformats.org/officeDocument/2006/relationships" ref="AA1279" r:id="rId2816"/>
    <hyperlink xmlns:r="http://schemas.openxmlformats.org/officeDocument/2006/relationships" ref="K1280" r:id="rId2817"/>
    <hyperlink xmlns:r="http://schemas.openxmlformats.org/officeDocument/2006/relationships" ref="AA1280" r:id="rId2818"/>
    <hyperlink xmlns:r="http://schemas.openxmlformats.org/officeDocument/2006/relationships" ref="K1281" r:id="rId2819"/>
    <hyperlink xmlns:r="http://schemas.openxmlformats.org/officeDocument/2006/relationships" ref="AA1281" r:id="rId2820"/>
    <hyperlink xmlns:r="http://schemas.openxmlformats.org/officeDocument/2006/relationships" ref="K1282" r:id="rId2821"/>
    <hyperlink xmlns:r="http://schemas.openxmlformats.org/officeDocument/2006/relationships" ref="AA1282" r:id="rId2822"/>
    <hyperlink xmlns:r="http://schemas.openxmlformats.org/officeDocument/2006/relationships" ref="K1283" r:id="rId2823"/>
    <hyperlink xmlns:r="http://schemas.openxmlformats.org/officeDocument/2006/relationships" ref="AA1283" r:id="rId2824"/>
    <hyperlink xmlns:r="http://schemas.openxmlformats.org/officeDocument/2006/relationships" ref="K1284" r:id="rId2825"/>
    <hyperlink xmlns:r="http://schemas.openxmlformats.org/officeDocument/2006/relationships" ref="AA1284" r:id="rId2826"/>
    <hyperlink xmlns:r="http://schemas.openxmlformats.org/officeDocument/2006/relationships" ref="K1285" r:id="rId2827"/>
    <hyperlink xmlns:r="http://schemas.openxmlformats.org/officeDocument/2006/relationships" ref="AA1285" r:id="rId2828"/>
    <hyperlink xmlns:r="http://schemas.openxmlformats.org/officeDocument/2006/relationships" ref="K1286" r:id="rId2829"/>
    <hyperlink xmlns:r="http://schemas.openxmlformats.org/officeDocument/2006/relationships" ref="AA1286" r:id="rId2830"/>
    <hyperlink xmlns:r="http://schemas.openxmlformats.org/officeDocument/2006/relationships" ref="K1287" r:id="rId2831"/>
    <hyperlink xmlns:r="http://schemas.openxmlformats.org/officeDocument/2006/relationships" ref="AA1287" r:id="rId2832"/>
    <hyperlink xmlns:r="http://schemas.openxmlformats.org/officeDocument/2006/relationships" ref="K1288" r:id="rId2833"/>
    <hyperlink xmlns:r="http://schemas.openxmlformats.org/officeDocument/2006/relationships" ref="AA1288" r:id="rId2834"/>
    <hyperlink xmlns:r="http://schemas.openxmlformats.org/officeDocument/2006/relationships" ref="K1289" r:id="rId2835"/>
    <hyperlink xmlns:r="http://schemas.openxmlformats.org/officeDocument/2006/relationships" ref="AA1289" r:id="rId2836"/>
    <hyperlink xmlns:r="http://schemas.openxmlformats.org/officeDocument/2006/relationships" ref="K1290" r:id="rId2837"/>
    <hyperlink xmlns:r="http://schemas.openxmlformats.org/officeDocument/2006/relationships" ref="AA1290" r:id="rId2838"/>
    <hyperlink xmlns:r="http://schemas.openxmlformats.org/officeDocument/2006/relationships" ref="K1291" r:id="rId2839"/>
    <hyperlink xmlns:r="http://schemas.openxmlformats.org/officeDocument/2006/relationships" ref="AA1291" r:id="rId2840"/>
    <hyperlink xmlns:r="http://schemas.openxmlformats.org/officeDocument/2006/relationships" ref="K1292" r:id="rId2841"/>
    <hyperlink xmlns:r="http://schemas.openxmlformats.org/officeDocument/2006/relationships" ref="AA1292" r:id="rId2842"/>
    <hyperlink xmlns:r="http://schemas.openxmlformats.org/officeDocument/2006/relationships" ref="K1293" r:id="rId2843"/>
    <hyperlink xmlns:r="http://schemas.openxmlformats.org/officeDocument/2006/relationships" ref="AA1293" r:id="rId2844"/>
    <hyperlink xmlns:r="http://schemas.openxmlformats.org/officeDocument/2006/relationships" ref="K1294" r:id="rId2845"/>
    <hyperlink xmlns:r="http://schemas.openxmlformats.org/officeDocument/2006/relationships" ref="AA1294" r:id="rId2846"/>
    <hyperlink xmlns:r="http://schemas.openxmlformats.org/officeDocument/2006/relationships" ref="K1295" r:id="rId2847"/>
    <hyperlink xmlns:r="http://schemas.openxmlformats.org/officeDocument/2006/relationships" ref="AA1295" r:id="rId2848"/>
    <hyperlink xmlns:r="http://schemas.openxmlformats.org/officeDocument/2006/relationships" ref="K1296" r:id="rId2849"/>
    <hyperlink xmlns:r="http://schemas.openxmlformats.org/officeDocument/2006/relationships" ref="AA1296" r:id="rId2850"/>
    <hyperlink xmlns:r="http://schemas.openxmlformats.org/officeDocument/2006/relationships" ref="K1297" r:id="rId2851"/>
    <hyperlink xmlns:r="http://schemas.openxmlformats.org/officeDocument/2006/relationships" ref="AA1297" r:id="rId2852"/>
    <hyperlink xmlns:r="http://schemas.openxmlformats.org/officeDocument/2006/relationships" ref="K1298" r:id="rId2853"/>
    <hyperlink xmlns:r="http://schemas.openxmlformats.org/officeDocument/2006/relationships" ref="AA1298" r:id="rId2854"/>
    <hyperlink xmlns:r="http://schemas.openxmlformats.org/officeDocument/2006/relationships" ref="K1299" r:id="rId2855"/>
    <hyperlink xmlns:r="http://schemas.openxmlformats.org/officeDocument/2006/relationships" ref="AA1299" r:id="rId2856"/>
    <hyperlink xmlns:r="http://schemas.openxmlformats.org/officeDocument/2006/relationships" ref="K1300" r:id="rId2857"/>
    <hyperlink xmlns:r="http://schemas.openxmlformats.org/officeDocument/2006/relationships" ref="AA1300" r:id="rId2858"/>
    <hyperlink xmlns:r="http://schemas.openxmlformats.org/officeDocument/2006/relationships" ref="K1301" r:id="rId2859"/>
    <hyperlink xmlns:r="http://schemas.openxmlformats.org/officeDocument/2006/relationships" ref="AA1301" r:id="rId2860"/>
    <hyperlink xmlns:r="http://schemas.openxmlformats.org/officeDocument/2006/relationships" ref="K1302" r:id="rId2861"/>
    <hyperlink xmlns:r="http://schemas.openxmlformats.org/officeDocument/2006/relationships" ref="AA1302" r:id="rId2862"/>
    <hyperlink xmlns:r="http://schemas.openxmlformats.org/officeDocument/2006/relationships" ref="K1303" r:id="rId2863"/>
    <hyperlink xmlns:r="http://schemas.openxmlformats.org/officeDocument/2006/relationships" ref="AA1303" r:id="rId2864"/>
    <hyperlink xmlns:r="http://schemas.openxmlformats.org/officeDocument/2006/relationships" ref="K1304" r:id="rId2865"/>
    <hyperlink xmlns:r="http://schemas.openxmlformats.org/officeDocument/2006/relationships" ref="AA1304" r:id="rId2866"/>
    <hyperlink xmlns:r="http://schemas.openxmlformats.org/officeDocument/2006/relationships" ref="K1305" r:id="rId2867"/>
    <hyperlink xmlns:r="http://schemas.openxmlformats.org/officeDocument/2006/relationships" ref="AA1305" r:id="rId2868"/>
    <hyperlink xmlns:r="http://schemas.openxmlformats.org/officeDocument/2006/relationships" ref="K1306" r:id="rId2869"/>
    <hyperlink xmlns:r="http://schemas.openxmlformats.org/officeDocument/2006/relationships" ref="AA1306" r:id="rId2870"/>
    <hyperlink xmlns:r="http://schemas.openxmlformats.org/officeDocument/2006/relationships" ref="K1307" r:id="rId2871"/>
    <hyperlink xmlns:r="http://schemas.openxmlformats.org/officeDocument/2006/relationships" ref="AA1307" r:id="rId2872"/>
    <hyperlink xmlns:r="http://schemas.openxmlformats.org/officeDocument/2006/relationships" ref="K1308" r:id="rId2873"/>
    <hyperlink xmlns:r="http://schemas.openxmlformats.org/officeDocument/2006/relationships" ref="AA1308" r:id="rId2874"/>
    <hyperlink xmlns:r="http://schemas.openxmlformats.org/officeDocument/2006/relationships" ref="K1309" r:id="rId2875"/>
    <hyperlink xmlns:r="http://schemas.openxmlformats.org/officeDocument/2006/relationships" ref="AA1309" r:id="rId2876"/>
    <hyperlink xmlns:r="http://schemas.openxmlformats.org/officeDocument/2006/relationships" ref="K1310" r:id="rId2877"/>
    <hyperlink xmlns:r="http://schemas.openxmlformats.org/officeDocument/2006/relationships" ref="AA1310" r:id="rId2878"/>
    <hyperlink xmlns:r="http://schemas.openxmlformats.org/officeDocument/2006/relationships" ref="K1311" r:id="rId2879"/>
    <hyperlink xmlns:r="http://schemas.openxmlformats.org/officeDocument/2006/relationships" ref="AA1311" r:id="rId2880"/>
    <hyperlink xmlns:r="http://schemas.openxmlformats.org/officeDocument/2006/relationships" ref="K1312" r:id="rId2881"/>
    <hyperlink xmlns:r="http://schemas.openxmlformats.org/officeDocument/2006/relationships" ref="AA1312" r:id="rId2882"/>
    <hyperlink xmlns:r="http://schemas.openxmlformats.org/officeDocument/2006/relationships" ref="K1313" r:id="rId2883"/>
    <hyperlink xmlns:r="http://schemas.openxmlformats.org/officeDocument/2006/relationships" ref="AA1313" r:id="rId2884"/>
    <hyperlink xmlns:r="http://schemas.openxmlformats.org/officeDocument/2006/relationships" ref="K1314" r:id="rId2885"/>
    <hyperlink xmlns:r="http://schemas.openxmlformats.org/officeDocument/2006/relationships" ref="AA1314" r:id="rId2886"/>
    <hyperlink xmlns:r="http://schemas.openxmlformats.org/officeDocument/2006/relationships" ref="K1315" r:id="rId2887"/>
    <hyperlink xmlns:r="http://schemas.openxmlformats.org/officeDocument/2006/relationships" ref="AA1315" r:id="rId2888"/>
    <hyperlink xmlns:r="http://schemas.openxmlformats.org/officeDocument/2006/relationships" ref="K1316" r:id="rId2889"/>
    <hyperlink xmlns:r="http://schemas.openxmlformats.org/officeDocument/2006/relationships" ref="AA1316" r:id="rId2890"/>
    <hyperlink xmlns:r="http://schemas.openxmlformats.org/officeDocument/2006/relationships" ref="K1317" r:id="rId2891"/>
    <hyperlink xmlns:r="http://schemas.openxmlformats.org/officeDocument/2006/relationships" ref="AA1317" r:id="rId2892"/>
    <hyperlink xmlns:r="http://schemas.openxmlformats.org/officeDocument/2006/relationships" ref="K1318" r:id="rId2893"/>
    <hyperlink xmlns:r="http://schemas.openxmlformats.org/officeDocument/2006/relationships" ref="AA1318" r:id="rId2894"/>
    <hyperlink xmlns:r="http://schemas.openxmlformats.org/officeDocument/2006/relationships" ref="K1319" r:id="rId2895"/>
    <hyperlink xmlns:r="http://schemas.openxmlformats.org/officeDocument/2006/relationships" ref="AA1319" r:id="rId2896"/>
    <hyperlink xmlns:r="http://schemas.openxmlformats.org/officeDocument/2006/relationships" ref="K1320" r:id="rId2897"/>
    <hyperlink xmlns:r="http://schemas.openxmlformats.org/officeDocument/2006/relationships" ref="AA1320" r:id="rId2898"/>
    <hyperlink xmlns:r="http://schemas.openxmlformats.org/officeDocument/2006/relationships" ref="K1321" r:id="rId2899"/>
    <hyperlink xmlns:r="http://schemas.openxmlformats.org/officeDocument/2006/relationships" ref="AA1321" r:id="rId2900"/>
    <hyperlink xmlns:r="http://schemas.openxmlformats.org/officeDocument/2006/relationships" ref="K1322" r:id="rId2901"/>
    <hyperlink xmlns:r="http://schemas.openxmlformats.org/officeDocument/2006/relationships" ref="AA1322" r:id="rId2902"/>
    <hyperlink xmlns:r="http://schemas.openxmlformats.org/officeDocument/2006/relationships" ref="K1323" r:id="rId2903"/>
    <hyperlink xmlns:r="http://schemas.openxmlformats.org/officeDocument/2006/relationships" ref="AA1323" r:id="rId2904"/>
    <hyperlink xmlns:r="http://schemas.openxmlformats.org/officeDocument/2006/relationships" ref="K1324" r:id="rId2905"/>
    <hyperlink xmlns:r="http://schemas.openxmlformats.org/officeDocument/2006/relationships" ref="AA1324" r:id="rId2906"/>
    <hyperlink xmlns:r="http://schemas.openxmlformats.org/officeDocument/2006/relationships" ref="K1325" r:id="rId2907"/>
    <hyperlink xmlns:r="http://schemas.openxmlformats.org/officeDocument/2006/relationships" ref="AA1325" r:id="rId2908"/>
    <hyperlink xmlns:r="http://schemas.openxmlformats.org/officeDocument/2006/relationships" ref="K1326" r:id="rId2909"/>
    <hyperlink xmlns:r="http://schemas.openxmlformats.org/officeDocument/2006/relationships" ref="AA1326" r:id="rId2910"/>
    <hyperlink xmlns:r="http://schemas.openxmlformats.org/officeDocument/2006/relationships" ref="K1327" r:id="rId2911"/>
    <hyperlink xmlns:r="http://schemas.openxmlformats.org/officeDocument/2006/relationships" ref="AA1327" r:id="rId2912"/>
    <hyperlink xmlns:r="http://schemas.openxmlformats.org/officeDocument/2006/relationships" ref="K1328" r:id="rId2913"/>
    <hyperlink xmlns:r="http://schemas.openxmlformats.org/officeDocument/2006/relationships" ref="AA1328" r:id="rId2914"/>
    <hyperlink xmlns:r="http://schemas.openxmlformats.org/officeDocument/2006/relationships" ref="K1329" r:id="rId2915"/>
    <hyperlink xmlns:r="http://schemas.openxmlformats.org/officeDocument/2006/relationships" ref="AA1329" r:id="rId2916"/>
    <hyperlink xmlns:r="http://schemas.openxmlformats.org/officeDocument/2006/relationships" ref="K1330" r:id="rId2917"/>
    <hyperlink xmlns:r="http://schemas.openxmlformats.org/officeDocument/2006/relationships" ref="AA1330" r:id="rId2918"/>
    <hyperlink xmlns:r="http://schemas.openxmlformats.org/officeDocument/2006/relationships" ref="K1331" r:id="rId2919"/>
    <hyperlink xmlns:r="http://schemas.openxmlformats.org/officeDocument/2006/relationships" ref="AA1331" r:id="rId2920"/>
    <hyperlink xmlns:r="http://schemas.openxmlformats.org/officeDocument/2006/relationships" ref="K1332" r:id="rId2921"/>
    <hyperlink xmlns:r="http://schemas.openxmlformats.org/officeDocument/2006/relationships" ref="AA1332" r:id="rId2922"/>
    <hyperlink xmlns:r="http://schemas.openxmlformats.org/officeDocument/2006/relationships" ref="K1333" r:id="rId2923"/>
    <hyperlink xmlns:r="http://schemas.openxmlformats.org/officeDocument/2006/relationships" ref="AA1333" r:id="rId2924"/>
    <hyperlink xmlns:r="http://schemas.openxmlformats.org/officeDocument/2006/relationships" ref="K1334" r:id="rId2925"/>
    <hyperlink xmlns:r="http://schemas.openxmlformats.org/officeDocument/2006/relationships" ref="AA1334" r:id="rId2926"/>
    <hyperlink xmlns:r="http://schemas.openxmlformats.org/officeDocument/2006/relationships" ref="K1335" r:id="rId2927"/>
    <hyperlink xmlns:r="http://schemas.openxmlformats.org/officeDocument/2006/relationships" ref="AA1335" r:id="rId2928"/>
    <hyperlink xmlns:r="http://schemas.openxmlformats.org/officeDocument/2006/relationships" ref="K1336" r:id="rId2929"/>
    <hyperlink xmlns:r="http://schemas.openxmlformats.org/officeDocument/2006/relationships" ref="AA1336" r:id="rId2930"/>
    <hyperlink xmlns:r="http://schemas.openxmlformats.org/officeDocument/2006/relationships" ref="K1337" r:id="rId2931"/>
    <hyperlink xmlns:r="http://schemas.openxmlformats.org/officeDocument/2006/relationships" ref="AA1337" r:id="rId2932"/>
    <hyperlink xmlns:r="http://schemas.openxmlformats.org/officeDocument/2006/relationships" ref="K1338" r:id="rId2933"/>
    <hyperlink xmlns:r="http://schemas.openxmlformats.org/officeDocument/2006/relationships" ref="AA1338" r:id="rId2934"/>
    <hyperlink xmlns:r="http://schemas.openxmlformats.org/officeDocument/2006/relationships" ref="K1339" r:id="rId2935"/>
    <hyperlink xmlns:r="http://schemas.openxmlformats.org/officeDocument/2006/relationships" ref="AA1339" r:id="rId2936"/>
    <hyperlink xmlns:r="http://schemas.openxmlformats.org/officeDocument/2006/relationships" ref="K1340" r:id="rId2937"/>
    <hyperlink xmlns:r="http://schemas.openxmlformats.org/officeDocument/2006/relationships" ref="AA1340" r:id="rId2938"/>
    <hyperlink xmlns:r="http://schemas.openxmlformats.org/officeDocument/2006/relationships" ref="K1341" r:id="rId2939"/>
    <hyperlink xmlns:r="http://schemas.openxmlformats.org/officeDocument/2006/relationships" ref="AA1341" r:id="rId2940"/>
    <hyperlink xmlns:r="http://schemas.openxmlformats.org/officeDocument/2006/relationships" ref="K1342" r:id="rId2941"/>
    <hyperlink xmlns:r="http://schemas.openxmlformats.org/officeDocument/2006/relationships" ref="AA1342" r:id="rId2942"/>
    <hyperlink xmlns:r="http://schemas.openxmlformats.org/officeDocument/2006/relationships" ref="K1343" r:id="rId2943"/>
    <hyperlink xmlns:r="http://schemas.openxmlformats.org/officeDocument/2006/relationships" ref="AA1343" r:id="rId2944"/>
    <hyperlink xmlns:r="http://schemas.openxmlformats.org/officeDocument/2006/relationships" ref="K1344" r:id="rId2945"/>
    <hyperlink xmlns:r="http://schemas.openxmlformats.org/officeDocument/2006/relationships" ref="AA1344" r:id="rId2946"/>
    <hyperlink xmlns:r="http://schemas.openxmlformats.org/officeDocument/2006/relationships" ref="K1345" r:id="rId2947"/>
    <hyperlink xmlns:r="http://schemas.openxmlformats.org/officeDocument/2006/relationships" ref="AA1345" r:id="rId2948"/>
    <hyperlink xmlns:r="http://schemas.openxmlformats.org/officeDocument/2006/relationships" ref="K1346" r:id="rId2949"/>
    <hyperlink xmlns:r="http://schemas.openxmlformats.org/officeDocument/2006/relationships" ref="AA1346" r:id="rId2950"/>
    <hyperlink xmlns:r="http://schemas.openxmlformats.org/officeDocument/2006/relationships" ref="K1347" r:id="rId2951"/>
    <hyperlink xmlns:r="http://schemas.openxmlformats.org/officeDocument/2006/relationships" ref="N1347" r:id="rId2952"/>
    <hyperlink xmlns:r="http://schemas.openxmlformats.org/officeDocument/2006/relationships" ref="AA1347" r:id="rId2953"/>
    <hyperlink xmlns:r="http://schemas.openxmlformats.org/officeDocument/2006/relationships" ref="K1348" r:id="rId2954"/>
    <hyperlink xmlns:r="http://schemas.openxmlformats.org/officeDocument/2006/relationships" ref="N1348" r:id="rId2955"/>
    <hyperlink xmlns:r="http://schemas.openxmlformats.org/officeDocument/2006/relationships" ref="AA1348" r:id="rId2956"/>
    <hyperlink xmlns:r="http://schemas.openxmlformats.org/officeDocument/2006/relationships" ref="K1349" r:id="rId2957"/>
    <hyperlink xmlns:r="http://schemas.openxmlformats.org/officeDocument/2006/relationships" ref="N1349" r:id="rId2958"/>
    <hyperlink xmlns:r="http://schemas.openxmlformats.org/officeDocument/2006/relationships" ref="AA1349" r:id="rId2959"/>
    <hyperlink xmlns:r="http://schemas.openxmlformats.org/officeDocument/2006/relationships" ref="K1350" r:id="rId2960"/>
    <hyperlink xmlns:r="http://schemas.openxmlformats.org/officeDocument/2006/relationships" ref="N1350" r:id="rId2961"/>
    <hyperlink xmlns:r="http://schemas.openxmlformats.org/officeDocument/2006/relationships" ref="AA1350" r:id="rId2962"/>
    <hyperlink xmlns:r="http://schemas.openxmlformats.org/officeDocument/2006/relationships" ref="K1351" r:id="rId2963"/>
    <hyperlink xmlns:r="http://schemas.openxmlformats.org/officeDocument/2006/relationships" ref="N1351" r:id="rId2964"/>
    <hyperlink xmlns:r="http://schemas.openxmlformats.org/officeDocument/2006/relationships" ref="AA1351" r:id="rId2965"/>
    <hyperlink xmlns:r="http://schemas.openxmlformats.org/officeDocument/2006/relationships" ref="K1352" r:id="rId2966"/>
    <hyperlink xmlns:r="http://schemas.openxmlformats.org/officeDocument/2006/relationships" ref="N1352" r:id="rId2967"/>
    <hyperlink xmlns:r="http://schemas.openxmlformats.org/officeDocument/2006/relationships" ref="AA1352" r:id="rId2968"/>
    <hyperlink xmlns:r="http://schemas.openxmlformats.org/officeDocument/2006/relationships" ref="K1353" r:id="rId2969"/>
    <hyperlink xmlns:r="http://schemas.openxmlformats.org/officeDocument/2006/relationships" ref="N1353" r:id="rId2970"/>
    <hyperlink xmlns:r="http://schemas.openxmlformats.org/officeDocument/2006/relationships" ref="AA1353" r:id="rId2971"/>
    <hyperlink xmlns:r="http://schemas.openxmlformats.org/officeDocument/2006/relationships" ref="K1354" r:id="rId2972"/>
    <hyperlink xmlns:r="http://schemas.openxmlformats.org/officeDocument/2006/relationships" ref="N1354" r:id="rId2973"/>
    <hyperlink xmlns:r="http://schemas.openxmlformats.org/officeDocument/2006/relationships" ref="AA1354" r:id="rId2974"/>
    <hyperlink xmlns:r="http://schemas.openxmlformats.org/officeDocument/2006/relationships" ref="K1355" r:id="rId2975"/>
    <hyperlink xmlns:r="http://schemas.openxmlformats.org/officeDocument/2006/relationships" ref="N1355" r:id="rId2976"/>
    <hyperlink xmlns:r="http://schemas.openxmlformats.org/officeDocument/2006/relationships" ref="AA1355" r:id="rId2977"/>
    <hyperlink xmlns:r="http://schemas.openxmlformats.org/officeDocument/2006/relationships" ref="K1356" r:id="rId2978"/>
    <hyperlink xmlns:r="http://schemas.openxmlformats.org/officeDocument/2006/relationships" ref="N1356" r:id="rId2979"/>
    <hyperlink xmlns:r="http://schemas.openxmlformats.org/officeDocument/2006/relationships" ref="AA1356" r:id="rId2980"/>
    <hyperlink xmlns:r="http://schemas.openxmlformats.org/officeDocument/2006/relationships" ref="K1357" r:id="rId2981"/>
    <hyperlink xmlns:r="http://schemas.openxmlformats.org/officeDocument/2006/relationships" ref="N1357" r:id="rId2982"/>
    <hyperlink xmlns:r="http://schemas.openxmlformats.org/officeDocument/2006/relationships" ref="AA1357" r:id="rId2983"/>
    <hyperlink xmlns:r="http://schemas.openxmlformats.org/officeDocument/2006/relationships" ref="K1358" r:id="rId2984"/>
    <hyperlink xmlns:r="http://schemas.openxmlformats.org/officeDocument/2006/relationships" ref="N1358" r:id="rId2985"/>
    <hyperlink xmlns:r="http://schemas.openxmlformats.org/officeDocument/2006/relationships" ref="AA1358" r:id="rId2986"/>
    <hyperlink xmlns:r="http://schemas.openxmlformats.org/officeDocument/2006/relationships" ref="K1359" r:id="rId2987"/>
    <hyperlink xmlns:r="http://schemas.openxmlformats.org/officeDocument/2006/relationships" ref="N1359" r:id="rId2988"/>
    <hyperlink xmlns:r="http://schemas.openxmlformats.org/officeDocument/2006/relationships" ref="AA1359" r:id="rId2989"/>
    <hyperlink xmlns:r="http://schemas.openxmlformats.org/officeDocument/2006/relationships" ref="K1360" r:id="rId2990"/>
    <hyperlink xmlns:r="http://schemas.openxmlformats.org/officeDocument/2006/relationships" ref="N1360" r:id="rId2991"/>
    <hyperlink xmlns:r="http://schemas.openxmlformats.org/officeDocument/2006/relationships" ref="AA1360" r:id="rId2992"/>
    <hyperlink xmlns:r="http://schemas.openxmlformats.org/officeDocument/2006/relationships" ref="K1361" r:id="rId2993"/>
    <hyperlink xmlns:r="http://schemas.openxmlformats.org/officeDocument/2006/relationships" ref="N1361" r:id="rId2994"/>
    <hyperlink xmlns:r="http://schemas.openxmlformats.org/officeDocument/2006/relationships" ref="AA1361" r:id="rId2995"/>
    <hyperlink xmlns:r="http://schemas.openxmlformats.org/officeDocument/2006/relationships" ref="K1362" r:id="rId2996"/>
    <hyperlink xmlns:r="http://schemas.openxmlformats.org/officeDocument/2006/relationships" ref="N1362" r:id="rId2997"/>
    <hyperlink xmlns:r="http://schemas.openxmlformats.org/officeDocument/2006/relationships" ref="AA1362" r:id="rId2998"/>
    <hyperlink xmlns:r="http://schemas.openxmlformats.org/officeDocument/2006/relationships" ref="K1363" r:id="rId2999"/>
    <hyperlink xmlns:r="http://schemas.openxmlformats.org/officeDocument/2006/relationships" ref="N1363" r:id="rId3000"/>
    <hyperlink xmlns:r="http://schemas.openxmlformats.org/officeDocument/2006/relationships" ref="AA1363" r:id="rId3001"/>
    <hyperlink xmlns:r="http://schemas.openxmlformats.org/officeDocument/2006/relationships" ref="K1364" r:id="rId3002"/>
    <hyperlink xmlns:r="http://schemas.openxmlformats.org/officeDocument/2006/relationships" ref="N1364" r:id="rId3003"/>
    <hyperlink xmlns:r="http://schemas.openxmlformats.org/officeDocument/2006/relationships" ref="AA1364" r:id="rId3004"/>
    <hyperlink xmlns:r="http://schemas.openxmlformats.org/officeDocument/2006/relationships" ref="K1365" r:id="rId3005"/>
    <hyperlink xmlns:r="http://schemas.openxmlformats.org/officeDocument/2006/relationships" ref="N1365" r:id="rId3006"/>
    <hyperlink xmlns:r="http://schemas.openxmlformats.org/officeDocument/2006/relationships" ref="AA1365" r:id="rId3007"/>
    <hyperlink xmlns:r="http://schemas.openxmlformats.org/officeDocument/2006/relationships" ref="K1366" r:id="rId3008"/>
    <hyperlink xmlns:r="http://schemas.openxmlformats.org/officeDocument/2006/relationships" ref="N1366" r:id="rId3009"/>
    <hyperlink xmlns:r="http://schemas.openxmlformats.org/officeDocument/2006/relationships" ref="AA1366" r:id="rId3010"/>
    <hyperlink xmlns:r="http://schemas.openxmlformats.org/officeDocument/2006/relationships" ref="K1367" r:id="rId3011"/>
    <hyperlink xmlns:r="http://schemas.openxmlformats.org/officeDocument/2006/relationships" ref="N1367" r:id="rId3012"/>
    <hyperlink xmlns:r="http://schemas.openxmlformats.org/officeDocument/2006/relationships" ref="AA1367" r:id="rId3013"/>
    <hyperlink xmlns:r="http://schemas.openxmlformats.org/officeDocument/2006/relationships" ref="K1368" r:id="rId3014"/>
    <hyperlink xmlns:r="http://schemas.openxmlformats.org/officeDocument/2006/relationships" ref="N1368" r:id="rId3015"/>
    <hyperlink xmlns:r="http://schemas.openxmlformats.org/officeDocument/2006/relationships" ref="AA1368" r:id="rId3016"/>
    <hyperlink xmlns:r="http://schemas.openxmlformats.org/officeDocument/2006/relationships" ref="K1369" r:id="rId3017"/>
    <hyperlink xmlns:r="http://schemas.openxmlformats.org/officeDocument/2006/relationships" ref="N1369" r:id="rId3018"/>
    <hyperlink xmlns:r="http://schemas.openxmlformats.org/officeDocument/2006/relationships" ref="AA1369" r:id="rId3019"/>
    <hyperlink xmlns:r="http://schemas.openxmlformats.org/officeDocument/2006/relationships" ref="K1370" r:id="rId3020"/>
    <hyperlink xmlns:r="http://schemas.openxmlformats.org/officeDocument/2006/relationships" ref="N1370" r:id="rId3021"/>
    <hyperlink xmlns:r="http://schemas.openxmlformats.org/officeDocument/2006/relationships" ref="AA1370" r:id="rId3022"/>
    <hyperlink xmlns:r="http://schemas.openxmlformats.org/officeDocument/2006/relationships" ref="K1371" r:id="rId3023"/>
    <hyperlink xmlns:r="http://schemas.openxmlformats.org/officeDocument/2006/relationships" ref="N1371" r:id="rId3024"/>
    <hyperlink xmlns:r="http://schemas.openxmlformats.org/officeDocument/2006/relationships" ref="AA1371" r:id="rId3025"/>
    <hyperlink xmlns:r="http://schemas.openxmlformats.org/officeDocument/2006/relationships" ref="K1372" r:id="rId3026"/>
    <hyperlink xmlns:r="http://schemas.openxmlformats.org/officeDocument/2006/relationships" ref="N1372" r:id="rId3027"/>
    <hyperlink xmlns:r="http://schemas.openxmlformats.org/officeDocument/2006/relationships" ref="AA1372" r:id="rId3028"/>
    <hyperlink xmlns:r="http://schemas.openxmlformats.org/officeDocument/2006/relationships" ref="K1373" r:id="rId3029"/>
    <hyperlink xmlns:r="http://schemas.openxmlformats.org/officeDocument/2006/relationships" ref="N1373" r:id="rId3030"/>
    <hyperlink xmlns:r="http://schemas.openxmlformats.org/officeDocument/2006/relationships" ref="AA1373" r:id="rId3031"/>
    <hyperlink xmlns:r="http://schemas.openxmlformats.org/officeDocument/2006/relationships" ref="K1374" r:id="rId3032"/>
    <hyperlink xmlns:r="http://schemas.openxmlformats.org/officeDocument/2006/relationships" ref="N1374" r:id="rId3033"/>
    <hyperlink xmlns:r="http://schemas.openxmlformats.org/officeDocument/2006/relationships" ref="AA1374" r:id="rId3034"/>
    <hyperlink xmlns:r="http://schemas.openxmlformats.org/officeDocument/2006/relationships" ref="K1375" r:id="rId3035"/>
    <hyperlink xmlns:r="http://schemas.openxmlformats.org/officeDocument/2006/relationships" ref="N1375" r:id="rId3036"/>
    <hyperlink xmlns:r="http://schemas.openxmlformats.org/officeDocument/2006/relationships" ref="AA1375" r:id="rId3037"/>
    <hyperlink xmlns:r="http://schemas.openxmlformats.org/officeDocument/2006/relationships" ref="K1376" r:id="rId3038"/>
    <hyperlink xmlns:r="http://schemas.openxmlformats.org/officeDocument/2006/relationships" ref="N1376" r:id="rId3039"/>
    <hyperlink xmlns:r="http://schemas.openxmlformats.org/officeDocument/2006/relationships" ref="AA1376" r:id="rId3040"/>
    <hyperlink xmlns:r="http://schemas.openxmlformats.org/officeDocument/2006/relationships" ref="K1377" r:id="rId3041"/>
    <hyperlink xmlns:r="http://schemas.openxmlformats.org/officeDocument/2006/relationships" ref="N1377" r:id="rId3042"/>
    <hyperlink xmlns:r="http://schemas.openxmlformats.org/officeDocument/2006/relationships" ref="AA1377" r:id="rId3043"/>
    <hyperlink xmlns:r="http://schemas.openxmlformats.org/officeDocument/2006/relationships" ref="K1378" r:id="rId3044"/>
    <hyperlink xmlns:r="http://schemas.openxmlformats.org/officeDocument/2006/relationships" ref="N1378" r:id="rId3045"/>
    <hyperlink xmlns:r="http://schemas.openxmlformats.org/officeDocument/2006/relationships" ref="AA1378" r:id="rId3046"/>
    <hyperlink xmlns:r="http://schemas.openxmlformats.org/officeDocument/2006/relationships" ref="K1379" r:id="rId3047"/>
    <hyperlink xmlns:r="http://schemas.openxmlformats.org/officeDocument/2006/relationships" ref="N1379" r:id="rId3048"/>
    <hyperlink xmlns:r="http://schemas.openxmlformats.org/officeDocument/2006/relationships" ref="AA1379" r:id="rId3049"/>
    <hyperlink xmlns:r="http://schemas.openxmlformats.org/officeDocument/2006/relationships" ref="K1380" r:id="rId3050"/>
    <hyperlink xmlns:r="http://schemas.openxmlformats.org/officeDocument/2006/relationships" ref="N1380" r:id="rId3051"/>
    <hyperlink xmlns:r="http://schemas.openxmlformats.org/officeDocument/2006/relationships" ref="AA1380" r:id="rId3052"/>
    <hyperlink xmlns:r="http://schemas.openxmlformats.org/officeDocument/2006/relationships" ref="K1381" r:id="rId3053"/>
    <hyperlink xmlns:r="http://schemas.openxmlformats.org/officeDocument/2006/relationships" ref="N1381" r:id="rId3054"/>
    <hyperlink xmlns:r="http://schemas.openxmlformats.org/officeDocument/2006/relationships" ref="AA1381" r:id="rId3055"/>
    <hyperlink xmlns:r="http://schemas.openxmlformats.org/officeDocument/2006/relationships" ref="K1382" r:id="rId3056"/>
    <hyperlink xmlns:r="http://schemas.openxmlformats.org/officeDocument/2006/relationships" ref="N1382" r:id="rId3057"/>
    <hyperlink xmlns:r="http://schemas.openxmlformats.org/officeDocument/2006/relationships" ref="AA1382" r:id="rId3058"/>
    <hyperlink xmlns:r="http://schemas.openxmlformats.org/officeDocument/2006/relationships" ref="K1383" r:id="rId3059"/>
    <hyperlink xmlns:r="http://schemas.openxmlformats.org/officeDocument/2006/relationships" ref="N1383" r:id="rId3060"/>
    <hyperlink xmlns:r="http://schemas.openxmlformats.org/officeDocument/2006/relationships" ref="AA1383" r:id="rId3061"/>
    <hyperlink xmlns:r="http://schemas.openxmlformats.org/officeDocument/2006/relationships" ref="K1384" r:id="rId3062"/>
    <hyperlink xmlns:r="http://schemas.openxmlformats.org/officeDocument/2006/relationships" ref="N1384" r:id="rId3063"/>
    <hyperlink xmlns:r="http://schemas.openxmlformats.org/officeDocument/2006/relationships" ref="AA1384" r:id="rId3064"/>
    <hyperlink xmlns:r="http://schemas.openxmlformats.org/officeDocument/2006/relationships" ref="K1385" r:id="rId3065"/>
    <hyperlink xmlns:r="http://schemas.openxmlformats.org/officeDocument/2006/relationships" ref="N1385" r:id="rId3066"/>
    <hyperlink xmlns:r="http://schemas.openxmlformats.org/officeDocument/2006/relationships" ref="AA1385" r:id="rId3067"/>
    <hyperlink xmlns:r="http://schemas.openxmlformats.org/officeDocument/2006/relationships" ref="K1386" r:id="rId3068"/>
    <hyperlink xmlns:r="http://schemas.openxmlformats.org/officeDocument/2006/relationships" ref="N1386" r:id="rId3069"/>
    <hyperlink xmlns:r="http://schemas.openxmlformats.org/officeDocument/2006/relationships" ref="AA1386" r:id="rId3070"/>
    <hyperlink xmlns:r="http://schemas.openxmlformats.org/officeDocument/2006/relationships" ref="K1387" r:id="rId3071"/>
    <hyperlink xmlns:r="http://schemas.openxmlformats.org/officeDocument/2006/relationships" ref="N1387" r:id="rId3072"/>
    <hyperlink xmlns:r="http://schemas.openxmlformats.org/officeDocument/2006/relationships" ref="AA1387" r:id="rId3073"/>
    <hyperlink xmlns:r="http://schemas.openxmlformats.org/officeDocument/2006/relationships" ref="K1388" r:id="rId3074"/>
    <hyperlink xmlns:r="http://schemas.openxmlformats.org/officeDocument/2006/relationships" ref="N1388" r:id="rId3075"/>
    <hyperlink xmlns:r="http://schemas.openxmlformats.org/officeDocument/2006/relationships" ref="AA1388" r:id="rId3076"/>
    <hyperlink xmlns:r="http://schemas.openxmlformats.org/officeDocument/2006/relationships" ref="K1389" r:id="rId3077"/>
    <hyperlink xmlns:r="http://schemas.openxmlformats.org/officeDocument/2006/relationships" ref="N1389" r:id="rId3078"/>
    <hyperlink xmlns:r="http://schemas.openxmlformats.org/officeDocument/2006/relationships" ref="AA1389" r:id="rId3079"/>
    <hyperlink xmlns:r="http://schemas.openxmlformats.org/officeDocument/2006/relationships" ref="K1390" r:id="rId3080"/>
    <hyperlink xmlns:r="http://schemas.openxmlformats.org/officeDocument/2006/relationships" ref="N1390" r:id="rId3081"/>
    <hyperlink xmlns:r="http://schemas.openxmlformats.org/officeDocument/2006/relationships" ref="AA1390" r:id="rId3082"/>
    <hyperlink xmlns:r="http://schemas.openxmlformats.org/officeDocument/2006/relationships" ref="K1391" r:id="rId3083"/>
    <hyperlink xmlns:r="http://schemas.openxmlformats.org/officeDocument/2006/relationships" ref="N1391" r:id="rId3084"/>
    <hyperlink xmlns:r="http://schemas.openxmlformats.org/officeDocument/2006/relationships" ref="AA1391" r:id="rId3085"/>
    <hyperlink xmlns:r="http://schemas.openxmlformats.org/officeDocument/2006/relationships" ref="K1392" r:id="rId3086"/>
    <hyperlink xmlns:r="http://schemas.openxmlformats.org/officeDocument/2006/relationships" ref="N1392" r:id="rId3087"/>
    <hyperlink xmlns:r="http://schemas.openxmlformats.org/officeDocument/2006/relationships" ref="AA1392" r:id="rId3088"/>
    <hyperlink xmlns:r="http://schemas.openxmlformats.org/officeDocument/2006/relationships" ref="K1393" r:id="rId3089"/>
    <hyperlink xmlns:r="http://schemas.openxmlformats.org/officeDocument/2006/relationships" ref="N1393" r:id="rId3090"/>
    <hyperlink xmlns:r="http://schemas.openxmlformats.org/officeDocument/2006/relationships" ref="AA1393" r:id="rId3091"/>
    <hyperlink xmlns:r="http://schemas.openxmlformats.org/officeDocument/2006/relationships" ref="K1394" r:id="rId3092"/>
    <hyperlink xmlns:r="http://schemas.openxmlformats.org/officeDocument/2006/relationships" ref="N1394" r:id="rId3093"/>
    <hyperlink xmlns:r="http://schemas.openxmlformats.org/officeDocument/2006/relationships" ref="AA1394" r:id="rId3094"/>
    <hyperlink xmlns:r="http://schemas.openxmlformats.org/officeDocument/2006/relationships" ref="K1395" r:id="rId3095"/>
    <hyperlink xmlns:r="http://schemas.openxmlformats.org/officeDocument/2006/relationships" ref="N1395" r:id="rId3096"/>
    <hyperlink xmlns:r="http://schemas.openxmlformats.org/officeDocument/2006/relationships" ref="AA1395" r:id="rId3097"/>
    <hyperlink xmlns:r="http://schemas.openxmlformats.org/officeDocument/2006/relationships" ref="K1396" r:id="rId3098"/>
    <hyperlink xmlns:r="http://schemas.openxmlformats.org/officeDocument/2006/relationships" ref="N1396" r:id="rId3099"/>
    <hyperlink xmlns:r="http://schemas.openxmlformats.org/officeDocument/2006/relationships" ref="AA1396" r:id="rId3100"/>
    <hyperlink xmlns:r="http://schemas.openxmlformats.org/officeDocument/2006/relationships" ref="K1397" r:id="rId3101"/>
    <hyperlink xmlns:r="http://schemas.openxmlformats.org/officeDocument/2006/relationships" ref="N1397" r:id="rId3102"/>
    <hyperlink xmlns:r="http://schemas.openxmlformats.org/officeDocument/2006/relationships" ref="AA1397" r:id="rId3103"/>
    <hyperlink xmlns:r="http://schemas.openxmlformats.org/officeDocument/2006/relationships" ref="K1398" r:id="rId3104"/>
    <hyperlink xmlns:r="http://schemas.openxmlformats.org/officeDocument/2006/relationships" ref="N1398" r:id="rId3105"/>
    <hyperlink xmlns:r="http://schemas.openxmlformats.org/officeDocument/2006/relationships" ref="AA1398" r:id="rId3106"/>
    <hyperlink xmlns:r="http://schemas.openxmlformats.org/officeDocument/2006/relationships" ref="K1399" r:id="rId3107"/>
    <hyperlink xmlns:r="http://schemas.openxmlformats.org/officeDocument/2006/relationships" ref="N1399" r:id="rId3108"/>
    <hyperlink xmlns:r="http://schemas.openxmlformats.org/officeDocument/2006/relationships" ref="AA1399" r:id="rId3109"/>
    <hyperlink xmlns:r="http://schemas.openxmlformats.org/officeDocument/2006/relationships" ref="K1400" r:id="rId3110"/>
    <hyperlink xmlns:r="http://schemas.openxmlformats.org/officeDocument/2006/relationships" ref="N1400" r:id="rId3111"/>
    <hyperlink xmlns:r="http://schemas.openxmlformats.org/officeDocument/2006/relationships" ref="AA1400" r:id="rId3112"/>
    <hyperlink xmlns:r="http://schemas.openxmlformats.org/officeDocument/2006/relationships" ref="K1401" r:id="rId3113"/>
    <hyperlink xmlns:r="http://schemas.openxmlformats.org/officeDocument/2006/relationships" ref="N1401" r:id="rId3114"/>
    <hyperlink xmlns:r="http://schemas.openxmlformats.org/officeDocument/2006/relationships" ref="AA1401" r:id="rId3115"/>
    <hyperlink xmlns:r="http://schemas.openxmlformats.org/officeDocument/2006/relationships" ref="K1402" r:id="rId3116"/>
    <hyperlink xmlns:r="http://schemas.openxmlformats.org/officeDocument/2006/relationships" ref="N1402" r:id="rId3117"/>
    <hyperlink xmlns:r="http://schemas.openxmlformats.org/officeDocument/2006/relationships" ref="AA1402" r:id="rId3118"/>
    <hyperlink xmlns:r="http://schemas.openxmlformats.org/officeDocument/2006/relationships" ref="K1403" r:id="rId3119"/>
    <hyperlink xmlns:r="http://schemas.openxmlformats.org/officeDocument/2006/relationships" ref="N1403" r:id="rId3120"/>
    <hyperlink xmlns:r="http://schemas.openxmlformats.org/officeDocument/2006/relationships" ref="AA1403" r:id="rId3121"/>
    <hyperlink xmlns:r="http://schemas.openxmlformats.org/officeDocument/2006/relationships" ref="K1404" r:id="rId3122"/>
    <hyperlink xmlns:r="http://schemas.openxmlformats.org/officeDocument/2006/relationships" ref="N1404" r:id="rId3123"/>
    <hyperlink xmlns:r="http://schemas.openxmlformats.org/officeDocument/2006/relationships" ref="AA1404" r:id="rId3124"/>
    <hyperlink xmlns:r="http://schemas.openxmlformats.org/officeDocument/2006/relationships" ref="K1405" r:id="rId3125"/>
    <hyperlink xmlns:r="http://schemas.openxmlformats.org/officeDocument/2006/relationships" ref="N1405" r:id="rId3126"/>
    <hyperlink xmlns:r="http://schemas.openxmlformats.org/officeDocument/2006/relationships" ref="AA1405" r:id="rId3127"/>
    <hyperlink xmlns:r="http://schemas.openxmlformats.org/officeDocument/2006/relationships" ref="K1406" r:id="rId3128"/>
    <hyperlink xmlns:r="http://schemas.openxmlformats.org/officeDocument/2006/relationships" ref="N1406" r:id="rId3129"/>
    <hyperlink xmlns:r="http://schemas.openxmlformats.org/officeDocument/2006/relationships" ref="AA1406" r:id="rId3130"/>
    <hyperlink xmlns:r="http://schemas.openxmlformats.org/officeDocument/2006/relationships" ref="K1407" r:id="rId3131"/>
    <hyperlink xmlns:r="http://schemas.openxmlformats.org/officeDocument/2006/relationships" ref="N1407" r:id="rId3132"/>
    <hyperlink xmlns:r="http://schemas.openxmlformats.org/officeDocument/2006/relationships" ref="AA1407" r:id="rId3133"/>
    <hyperlink xmlns:r="http://schemas.openxmlformats.org/officeDocument/2006/relationships" ref="K1408" r:id="rId3134"/>
    <hyperlink xmlns:r="http://schemas.openxmlformats.org/officeDocument/2006/relationships" ref="N1408" r:id="rId3135"/>
    <hyperlink xmlns:r="http://schemas.openxmlformats.org/officeDocument/2006/relationships" ref="AA1408" r:id="rId3136"/>
    <hyperlink xmlns:r="http://schemas.openxmlformats.org/officeDocument/2006/relationships" ref="K1409" r:id="rId3137"/>
    <hyperlink xmlns:r="http://schemas.openxmlformats.org/officeDocument/2006/relationships" ref="N1409" r:id="rId3138"/>
    <hyperlink xmlns:r="http://schemas.openxmlformats.org/officeDocument/2006/relationships" ref="AA1409" r:id="rId3139"/>
    <hyperlink xmlns:r="http://schemas.openxmlformats.org/officeDocument/2006/relationships" ref="K1410" r:id="rId3140"/>
    <hyperlink xmlns:r="http://schemas.openxmlformats.org/officeDocument/2006/relationships" ref="N1410" r:id="rId3141"/>
    <hyperlink xmlns:r="http://schemas.openxmlformats.org/officeDocument/2006/relationships" ref="AA1410" r:id="rId3142"/>
    <hyperlink xmlns:r="http://schemas.openxmlformats.org/officeDocument/2006/relationships" ref="K1411" r:id="rId3143"/>
    <hyperlink xmlns:r="http://schemas.openxmlformats.org/officeDocument/2006/relationships" ref="N1411" r:id="rId3144"/>
    <hyperlink xmlns:r="http://schemas.openxmlformats.org/officeDocument/2006/relationships" ref="AA1411" r:id="rId3145"/>
    <hyperlink xmlns:r="http://schemas.openxmlformats.org/officeDocument/2006/relationships" ref="K1412" r:id="rId3146"/>
    <hyperlink xmlns:r="http://schemas.openxmlformats.org/officeDocument/2006/relationships" ref="N1412" r:id="rId3147"/>
    <hyperlink xmlns:r="http://schemas.openxmlformats.org/officeDocument/2006/relationships" ref="AA1412" r:id="rId3148"/>
    <hyperlink xmlns:r="http://schemas.openxmlformats.org/officeDocument/2006/relationships" ref="K1413" r:id="rId3149"/>
    <hyperlink xmlns:r="http://schemas.openxmlformats.org/officeDocument/2006/relationships" ref="N1413" r:id="rId3150"/>
    <hyperlink xmlns:r="http://schemas.openxmlformats.org/officeDocument/2006/relationships" ref="AA1413" r:id="rId3151"/>
    <hyperlink xmlns:r="http://schemas.openxmlformats.org/officeDocument/2006/relationships" ref="K1414" r:id="rId3152"/>
    <hyperlink xmlns:r="http://schemas.openxmlformats.org/officeDocument/2006/relationships" ref="N1414" r:id="rId3153"/>
    <hyperlink xmlns:r="http://schemas.openxmlformats.org/officeDocument/2006/relationships" ref="AA1414" r:id="rId3154"/>
    <hyperlink xmlns:r="http://schemas.openxmlformats.org/officeDocument/2006/relationships" ref="K1415" r:id="rId3155"/>
    <hyperlink xmlns:r="http://schemas.openxmlformats.org/officeDocument/2006/relationships" ref="N1415" r:id="rId3156"/>
    <hyperlink xmlns:r="http://schemas.openxmlformats.org/officeDocument/2006/relationships" ref="AA1415" r:id="rId3157"/>
    <hyperlink xmlns:r="http://schemas.openxmlformats.org/officeDocument/2006/relationships" ref="K1416" r:id="rId3158"/>
    <hyperlink xmlns:r="http://schemas.openxmlformats.org/officeDocument/2006/relationships" ref="N1416" r:id="rId3159"/>
    <hyperlink xmlns:r="http://schemas.openxmlformats.org/officeDocument/2006/relationships" ref="AA1416" r:id="rId3160"/>
    <hyperlink xmlns:r="http://schemas.openxmlformats.org/officeDocument/2006/relationships" ref="K1417" r:id="rId3161"/>
    <hyperlink xmlns:r="http://schemas.openxmlformats.org/officeDocument/2006/relationships" ref="N1417" r:id="rId3162"/>
    <hyperlink xmlns:r="http://schemas.openxmlformats.org/officeDocument/2006/relationships" ref="AA1417" r:id="rId3163"/>
    <hyperlink xmlns:r="http://schemas.openxmlformats.org/officeDocument/2006/relationships" ref="K1418" r:id="rId3164"/>
    <hyperlink xmlns:r="http://schemas.openxmlformats.org/officeDocument/2006/relationships" ref="N1418" r:id="rId3165"/>
    <hyperlink xmlns:r="http://schemas.openxmlformats.org/officeDocument/2006/relationships" ref="AA1418" r:id="rId3166"/>
    <hyperlink xmlns:r="http://schemas.openxmlformats.org/officeDocument/2006/relationships" ref="K1419" r:id="rId3167"/>
    <hyperlink xmlns:r="http://schemas.openxmlformats.org/officeDocument/2006/relationships" ref="N1419" r:id="rId3168"/>
    <hyperlink xmlns:r="http://schemas.openxmlformats.org/officeDocument/2006/relationships" ref="AA1419" r:id="rId3169"/>
    <hyperlink xmlns:r="http://schemas.openxmlformats.org/officeDocument/2006/relationships" ref="K1420" r:id="rId3170"/>
    <hyperlink xmlns:r="http://schemas.openxmlformats.org/officeDocument/2006/relationships" ref="N1420" r:id="rId3171"/>
    <hyperlink xmlns:r="http://schemas.openxmlformats.org/officeDocument/2006/relationships" ref="AA1420" r:id="rId3172"/>
    <hyperlink xmlns:r="http://schemas.openxmlformats.org/officeDocument/2006/relationships" ref="K1421" r:id="rId3173"/>
    <hyperlink xmlns:r="http://schemas.openxmlformats.org/officeDocument/2006/relationships" ref="N1421" r:id="rId3174"/>
    <hyperlink xmlns:r="http://schemas.openxmlformats.org/officeDocument/2006/relationships" ref="AA1421" r:id="rId3175"/>
    <hyperlink xmlns:r="http://schemas.openxmlformats.org/officeDocument/2006/relationships" ref="K1422" r:id="rId3176"/>
    <hyperlink xmlns:r="http://schemas.openxmlformats.org/officeDocument/2006/relationships" ref="N1422" r:id="rId3177"/>
    <hyperlink xmlns:r="http://schemas.openxmlformats.org/officeDocument/2006/relationships" ref="AA1422" r:id="rId3178"/>
    <hyperlink xmlns:r="http://schemas.openxmlformats.org/officeDocument/2006/relationships" ref="K1423" r:id="rId3179"/>
    <hyperlink xmlns:r="http://schemas.openxmlformats.org/officeDocument/2006/relationships" ref="N1423" r:id="rId3180"/>
    <hyperlink xmlns:r="http://schemas.openxmlformats.org/officeDocument/2006/relationships" ref="AA1423" r:id="rId3181"/>
    <hyperlink xmlns:r="http://schemas.openxmlformats.org/officeDocument/2006/relationships" ref="K1424" r:id="rId3182"/>
    <hyperlink xmlns:r="http://schemas.openxmlformats.org/officeDocument/2006/relationships" ref="N1424" r:id="rId3183"/>
    <hyperlink xmlns:r="http://schemas.openxmlformats.org/officeDocument/2006/relationships" ref="AA1424" r:id="rId3184"/>
    <hyperlink xmlns:r="http://schemas.openxmlformats.org/officeDocument/2006/relationships" ref="K1425" r:id="rId3185"/>
    <hyperlink xmlns:r="http://schemas.openxmlformats.org/officeDocument/2006/relationships" ref="N1425" r:id="rId3186"/>
    <hyperlink xmlns:r="http://schemas.openxmlformats.org/officeDocument/2006/relationships" ref="AA1425" r:id="rId3187"/>
    <hyperlink xmlns:r="http://schemas.openxmlformats.org/officeDocument/2006/relationships" ref="K1426" r:id="rId3188"/>
    <hyperlink xmlns:r="http://schemas.openxmlformats.org/officeDocument/2006/relationships" ref="N1426" r:id="rId3189"/>
    <hyperlink xmlns:r="http://schemas.openxmlformats.org/officeDocument/2006/relationships" ref="AA1426" r:id="rId3190"/>
    <hyperlink xmlns:r="http://schemas.openxmlformats.org/officeDocument/2006/relationships" ref="K1427" r:id="rId3191"/>
    <hyperlink xmlns:r="http://schemas.openxmlformats.org/officeDocument/2006/relationships" ref="N1427" r:id="rId3192"/>
    <hyperlink xmlns:r="http://schemas.openxmlformats.org/officeDocument/2006/relationships" ref="AA1427" r:id="rId3193"/>
    <hyperlink xmlns:r="http://schemas.openxmlformats.org/officeDocument/2006/relationships" ref="K1428" r:id="rId3194"/>
    <hyperlink xmlns:r="http://schemas.openxmlformats.org/officeDocument/2006/relationships" ref="N1428" r:id="rId3195"/>
    <hyperlink xmlns:r="http://schemas.openxmlformats.org/officeDocument/2006/relationships" ref="AA1428" r:id="rId3196"/>
    <hyperlink xmlns:r="http://schemas.openxmlformats.org/officeDocument/2006/relationships" ref="K1429" r:id="rId3197"/>
    <hyperlink xmlns:r="http://schemas.openxmlformats.org/officeDocument/2006/relationships" ref="N1429" r:id="rId3198"/>
    <hyperlink xmlns:r="http://schemas.openxmlformats.org/officeDocument/2006/relationships" ref="AA1429" r:id="rId3199"/>
    <hyperlink xmlns:r="http://schemas.openxmlformats.org/officeDocument/2006/relationships" ref="K1430" r:id="rId3200"/>
    <hyperlink xmlns:r="http://schemas.openxmlformats.org/officeDocument/2006/relationships" ref="N1430" r:id="rId3201"/>
    <hyperlink xmlns:r="http://schemas.openxmlformats.org/officeDocument/2006/relationships" ref="AA1430" r:id="rId3202"/>
    <hyperlink xmlns:r="http://schemas.openxmlformats.org/officeDocument/2006/relationships" ref="K1431" r:id="rId3203"/>
    <hyperlink xmlns:r="http://schemas.openxmlformats.org/officeDocument/2006/relationships" ref="N1431" r:id="rId3204"/>
    <hyperlink xmlns:r="http://schemas.openxmlformats.org/officeDocument/2006/relationships" ref="AA1431" r:id="rId3205"/>
    <hyperlink xmlns:r="http://schemas.openxmlformats.org/officeDocument/2006/relationships" ref="K1432" r:id="rId3206"/>
    <hyperlink xmlns:r="http://schemas.openxmlformats.org/officeDocument/2006/relationships" ref="N1432" r:id="rId3207"/>
    <hyperlink xmlns:r="http://schemas.openxmlformats.org/officeDocument/2006/relationships" ref="AA1432" r:id="rId3208"/>
    <hyperlink xmlns:r="http://schemas.openxmlformats.org/officeDocument/2006/relationships" ref="K1433" r:id="rId3209"/>
    <hyperlink xmlns:r="http://schemas.openxmlformats.org/officeDocument/2006/relationships" ref="N1433" r:id="rId3210"/>
    <hyperlink xmlns:r="http://schemas.openxmlformats.org/officeDocument/2006/relationships" ref="AA1433" r:id="rId3211"/>
    <hyperlink xmlns:r="http://schemas.openxmlformats.org/officeDocument/2006/relationships" ref="K1434" r:id="rId3212"/>
    <hyperlink xmlns:r="http://schemas.openxmlformats.org/officeDocument/2006/relationships" ref="N1434" r:id="rId3213"/>
    <hyperlink xmlns:r="http://schemas.openxmlformats.org/officeDocument/2006/relationships" ref="AA1434" r:id="rId3214"/>
    <hyperlink xmlns:r="http://schemas.openxmlformats.org/officeDocument/2006/relationships" ref="K1435" r:id="rId3215"/>
    <hyperlink xmlns:r="http://schemas.openxmlformats.org/officeDocument/2006/relationships" ref="N1435" r:id="rId3216"/>
    <hyperlink xmlns:r="http://schemas.openxmlformats.org/officeDocument/2006/relationships" ref="AA1435" r:id="rId3217"/>
    <hyperlink xmlns:r="http://schemas.openxmlformats.org/officeDocument/2006/relationships" ref="K1436" r:id="rId3218"/>
    <hyperlink xmlns:r="http://schemas.openxmlformats.org/officeDocument/2006/relationships" ref="N1436" r:id="rId3219"/>
    <hyperlink xmlns:r="http://schemas.openxmlformats.org/officeDocument/2006/relationships" ref="AA1436" r:id="rId3220"/>
    <hyperlink xmlns:r="http://schemas.openxmlformats.org/officeDocument/2006/relationships" ref="K1437" r:id="rId3221"/>
    <hyperlink xmlns:r="http://schemas.openxmlformats.org/officeDocument/2006/relationships" ref="N1437" r:id="rId3222"/>
    <hyperlink xmlns:r="http://schemas.openxmlformats.org/officeDocument/2006/relationships" ref="AA1437" r:id="rId3223"/>
    <hyperlink xmlns:r="http://schemas.openxmlformats.org/officeDocument/2006/relationships" ref="K1438" r:id="rId3224"/>
    <hyperlink xmlns:r="http://schemas.openxmlformats.org/officeDocument/2006/relationships" ref="N1438" r:id="rId3225"/>
    <hyperlink xmlns:r="http://schemas.openxmlformats.org/officeDocument/2006/relationships" ref="AA1438" r:id="rId3226"/>
    <hyperlink xmlns:r="http://schemas.openxmlformats.org/officeDocument/2006/relationships" ref="K1439" r:id="rId3227"/>
    <hyperlink xmlns:r="http://schemas.openxmlformats.org/officeDocument/2006/relationships" ref="N1439" r:id="rId3228"/>
    <hyperlink xmlns:r="http://schemas.openxmlformats.org/officeDocument/2006/relationships" ref="AA1439" r:id="rId3229"/>
    <hyperlink xmlns:r="http://schemas.openxmlformats.org/officeDocument/2006/relationships" ref="K1440" r:id="rId3230"/>
    <hyperlink xmlns:r="http://schemas.openxmlformats.org/officeDocument/2006/relationships" ref="N1440" r:id="rId3231"/>
    <hyperlink xmlns:r="http://schemas.openxmlformats.org/officeDocument/2006/relationships" ref="K1441" r:id="rId3232"/>
    <hyperlink xmlns:r="http://schemas.openxmlformats.org/officeDocument/2006/relationships" ref="N1441" r:id="rId3233"/>
    <hyperlink xmlns:r="http://schemas.openxmlformats.org/officeDocument/2006/relationships" ref="K1442" r:id="rId3234"/>
    <hyperlink xmlns:r="http://schemas.openxmlformats.org/officeDocument/2006/relationships" ref="N1442" r:id="rId3235"/>
    <hyperlink xmlns:r="http://schemas.openxmlformats.org/officeDocument/2006/relationships" ref="K1443" r:id="rId3236"/>
    <hyperlink xmlns:r="http://schemas.openxmlformats.org/officeDocument/2006/relationships" ref="N1443" r:id="rId3237"/>
    <hyperlink xmlns:r="http://schemas.openxmlformats.org/officeDocument/2006/relationships" ref="K1444" r:id="rId3238"/>
    <hyperlink xmlns:r="http://schemas.openxmlformats.org/officeDocument/2006/relationships" ref="N1444" r:id="rId3239"/>
    <hyperlink xmlns:r="http://schemas.openxmlformats.org/officeDocument/2006/relationships" ref="K1445" r:id="rId3240"/>
    <hyperlink xmlns:r="http://schemas.openxmlformats.org/officeDocument/2006/relationships" ref="N1445" r:id="rId3241"/>
    <hyperlink xmlns:r="http://schemas.openxmlformats.org/officeDocument/2006/relationships" ref="K1446" r:id="rId3242"/>
    <hyperlink xmlns:r="http://schemas.openxmlformats.org/officeDocument/2006/relationships" ref="N1446" r:id="rId3243"/>
    <hyperlink xmlns:r="http://schemas.openxmlformats.org/officeDocument/2006/relationships" ref="K1447" r:id="rId3244"/>
    <hyperlink xmlns:r="http://schemas.openxmlformats.org/officeDocument/2006/relationships" ref="N1447" r:id="rId3245"/>
    <hyperlink xmlns:r="http://schemas.openxmlformats.org/officeDocument/2006/relationships" ref="K1448" r:id="rId3246"/>
    <hyperlink xmlns:r="http://schemas.openxmlformats.org/officeDocument/2006/relationships" ref="N1448" r:id="rId3247"/>
    <hyperlink xmlns:r="http://schemas.openxmlformats.org/officeDocument/2006/relationships" ref="K1449" r:id="rId3248"/>
    <hyperlink xmlns:r="http://schemas.openxmlformats.org/officeDocument/2006/relationships" ref="N1449" r:id="rId3249"/>
    <hyperlink xmlns:r="http://schemas.openxmlformats.org/officeDocument/2006/relationships" ref="K1450" r:id="rId3250"/>
    <hyperlink xmlns:r="http://schemas.openxmlformats.org/officeDocument/2006/relationships" ref="N1450" r:id="rId3251"/>
    <hyperlink xmlns:r="http://schemas.openxmlformats.org/officeDocument/2006/relationships" ref="K1451" r:id="rId3252"/>
    <hyperlink xmlns:r="http://schemas.openxmlformats.org/officeDocument/2006/relationships" ref="N1451" r:id="rId3253"/>
    <hyperlink xmlns:r="http://schemas.openxmlformats.org/officeDocument/2006/relationships" ref="K1452" r:id="rId3254"/>
    <hyperlink xmlns:r="http://schemas.openxmlformats.org/officeDocument/2006/relationships" ref="N1452" r:id="rId3255"/>
    <hyperlink xmlns:r="http://schemas.openxmlformats.org/officeDocument/2006/relationships" ref="K1453" r:id="rId3256"/>
    <hyperlink xmlns:r="http://schemas.openxmlformats.org/officeDocument/2006/relationships" ref="N1453" r:id="rId3257"/>
    <hyperlink xmlns:r="http://schemas.openxmlformats.org/officeDocument/2006/relationships" ref="K1454" r:id="rId3258"/>
    <hyperlink xmlns:r="http://schemas.openxmlformats.org/officeDocument/2006/relationships" ref="N1454" r:id="rId3259"/>
    <hyperlink xmlns:r="http://schemas.openxmlformats.org/officeDocument/2006/relationships" ref="K1455" r:id="rId3260"/>
    <hyperlink xmlns:r="http://schemas.openxmlformats.org/officeDocument/2006/relationships" ref="N1455" r:id="rId3261"/>
    <hyperlink xmlns:r="http://schemas.openxmlformats.org/officeDocument/2006/relationships" ref="K1456" r:id="rId3262"/>
    <hyperlink xmlns:r="http://schemas.openxmlformats.org/officeDocument/2006/relationships" ref="N1456" r:id="rId3263"/>
    <hyperlink xmlns:r="http://schemas.openxmlformats.org/officeDocument/2006/relationships" ref="K1457" r:id="rId3264"/>
    <hyperlink xmlns:r="http://schemas.openxmlformats.org/officeDocument/2006/relationships" ref="N1457" r:id="rId3265"/>
    <hyperlink xmlns:r="http://schemas.openxmlformats.org/officeDocument/2006/relationships" ref="K1458" r:id="rId3266"/>
    <hyperlink xmlns:r="http://schemas.openxmlformats.org/officeDocument/2006/relationships" ref="N1458" r:id="rId3267"/>
    <hyperlink xmlns:r="http://schemas.openxmlformats.org/officeDocument/2006/relationships" ref="K1459" r:id="rId3268"/>
    <hyperlink xmlns:r="http://schemas.openxmlformats.org/officeDocument/2006/relationships" ref="N1459" r:id="rId3269"/>
    <hyperlink xmlns:r="http://schemas.openxmlformats.org/officeDocument/2006/relationships" ref="K1460" r:id="rId3270"/>
    <hyperlink xmlns:r="http://schemas.openxmlformats.org/officeDocument/2006/relationships" ref="N1460" r:id="rId3271"/>
    <hyperlink xmlns:r="http://schemas.openxmlformats.org/officeDocument/2006/relationships" ref="K1461" r:id="rId3272"/>
    <hyperlink xmlns:r="http://schemas.openxmlformats.org/officeDocument/2006/relationships" ref="N1461" r:id="rId3273"/>
    <hyperlink xmlns:r="http://schemas.openxmlformats.org/officeDocument/2006/relationships" ref="K1462" r:id="rId3274"/>
    <hyperlink xmlns:r="http://schemas.openxmlformats.org/officeDocument/2006/relationships" ref="N1462" r:id="rId3275"/>
    <hyperlink xmlns:r="http://schemas.openxmlformats.org/officeDocument/2006/relationships" ref="K1463" r:id="rId3276"/>
    <hyperlink xmlns:r="http://schemas.openxmlformats.org/officeDocument/2006/relationships" ref="N1463" r:id="rId3277"/>
    <hyperlink xmlns:r="http://schemas.openxmlformats.org/officeDocument/2006/relationships" ref="K1464" r:id="rId3278"/>
    <hyperlink xmlns:r="http://schemas.openxmlformats.org/officeDocument/2006/relationships" ref="N1464" r:id="rId3279"/>
    <hyperlink xmlns:r="http://schemas.openxmlformats.org/officeDocument/2006/relationships" ref="K1465" r:id="rId3280"/>
    <hyperlink xmlns:r="http://schemas.openxmlformats.org/officeDocument/2006/relationships" ref="N1465" r:id="rId3281"/>
    <hyperlink xmlns:r="http://schemas.openxmlformats.org/officeDocument/2006/relationships" ref="K1466" r:id="rId3282"/>
    <hyperlink xmlns:r="http://schemas.openxmlformats.org/officeDocument/2006/relationships" ref="N1466" r:id="rId3283"/>
    <hyperlink xmlns:r="http://schemas.openxmlformats.org/officeDocument/2006/relationships" ref="K1467" r:id="rId3284"/>
    <hyperlink xmlns:r="http://schemas.openxmlformats.org/officeDocument/2006/relationships" ref="N1467" r:id="rId3285"/>
    <hyperlink xmlns:r="http://schemas.openxmlformats.org/officeDocument/2006/relationships" ref="K1468" r:id="rId3286"/>
    <hyperlink xmlns:r="http://schemas.openxmlformats.org/officeDocument/2006/relationships" ref="N1468" r:id="rId3287"/>
    <hyperlink xmlns:r="http://schemas.openxmlformats.org/officeDocument/2006/relationships" ref="K1469" r:id="rId3288"/>
    <hyperlink xmlns:r="http://schemas.openxmlformats.org/officeDocument/2006/relationships" ref="N1469" r:id="rId3289"/>
    <hyperlink xmlns:r="http://schemas.openxmlformats.org/officeDocument/2006/relationships" ref="K1470" r:id="rId3290"/>
    <hyperlink xmlns:r="http://schemas.openxmlformats.org/officeDocument/2006/relationships" ref="N1470" r:id="rId3291"/>
    <hyperlink xmlns:r="http://schemas.openxmlformats.org/officeDocument/2006/relationships" ref="K1471" r:id="rId3292"/>
    <hyperlink xmlns:r="http://schemas.openxmlformats.org/officeDocument/2006/relationships" ref="N1471" r:id="rId3293"/>
    <hyperlink xmlns:r="http://schemas.openxmlformats.org/officeDocument/2006/relationships" ref="K1472" r:id="rId3294"/>
    <hyperlink xmlns:r="http://schemas.openxmlformats.org/officeDocument/2006/relationships" ref="N1472" r:id="rId3295"/>
    <hyperlink xmlns:r="http://schemas.openxmlformats.org/officeDocument/2006/relationships" ref="K1473" r:id="rId3296"/>
    <hyperlink xmlns:r="http://schemas.openxmlformats.org/officeDocument/2006/relationships" ref="N1473" r:id="rId3297"/>
    <hyperlink xmlns:r="http://schemas.openxmlformats.org/officeDocument/2006/relationships" ref="K1474" r:id="rId3298"/>
    <hyperlink xmlns:r="http://schemas.openxmlformats.org/officeDocument/2006/relationships" ref="N1474" r:id="rId3299"/>
    <hyperlink xmlns:r="http://schemas.openxmlformats.org/officeDocument/2006/relationships" ref="K1475" r:id="rId3300"/>
    <hyperlink xmlns:r="http://schemas.openxmlformats.org/officeDocument/2006/relationships" ref="N1475" r:id="rId3301"/>
    <hyperlink xmlns:r="http://schemas.openxmlformats.org/officeDocument/2006/relationships" ref="K1476" r:id="rId3302"/>
    <hyperlink xmlns:r="http://schemas.openxmlformats.org/officeDocument/2006/relationships" ref="N1476" r:id="rId3303"/>
    <hyperlink xmlns:r="http://schemas.openxmlformats.org/officeDocument/2006/relationships" ref="K1477" r:id="rId3304"/>
    <hyperlink xmlns:r="http://schemas.openxmlformats.org/officeDocument/2006/relationships" ref="N1477" r:id="rId3305"/>
    <hyperlink xmlns:r="http://schemas.openxmlformats.org/officeDocument/2006/relationships" ref="K1478" r:id="rId3306"/>
    <hyperlink xmlns:r="http://schemas.openxmlformats.org/officeDocument/2006/relationships" ref="N1478" r:id="rId3307"/>
    <hyperlink xmlns:r="http://schemas.openxmlformats.org/officeDocument/2006/relationships" ref="K1479" r:id="rId3308"/>
    <hyperlink xmlns:r="http://schemas.openxmlformats.org/officeDocument/2006/relationships" ref="N1479" r:id="rId3309"/>
    <hyperlink xmlns:r="http://schemas.openxmlformats.org/officeDocument/2006/relationships" ref="K1480" r:id="rId3310"/>
    <hyperlink xmlns:r="http://schemas.openxmlformats.org/officeDocument/2006/relationships" ref="N1480" r:id="rId3311"/>
    <hyperlink xmlns:r="http://schemas.openxmlformats.org/officeDocument/2006/relationships" ref="K1481" r:id="rId3312"/>
    <hyperlink xmlns:r="http://schemas.openxmlformats.org/officeDocument/2006/relationships" ref="N1481" r:id="rId3313"/>
    <hyperlink xmlns:r="http://schemas.openxmlformats.org/officeDocument/2006/relationships" ref="K1482" r:id="rId3314"/>
    <hyperlink xmlns:r="http://schemas.openxmlformats.org/officeDocument/2006/relationships" ref="N1482" r:id="rId3315"/>
    <hyperlink xmlns:r="http://schemas.openxmlformats.org/officeDocument/2006/relationships" ref="K1483" r:id="rId3316"/>
    <hyperlink xmlns:r="http://schemas.openxmlformats.org/officeDocument/2006/relationships" ref="N1483" r:id="rId3317"/>
    <hyperlink xmlns:r="http://schemas.openxmlformats.org/officeDocument/2006/relationships" ref="K1484" r:id="rId3318"/>
    <hyperlink xmlns:r="http://schemas.openxmlformats.org/officeDocument/2006/relationships" ref="N1484" r:id="rId3319"/>
    <hyperlink xmlns:r="http://schemas.openxmlformats.org/officeDocument/2006/relationships" ref="K1485" r:id="rId3320"/>
    <hyperlink xmlns:r="http://schemas.openxmlformats.org/officeDocument/2006/relationships" ref="N1485" r:id="rId3321"/>
    <hyperlink xmlns:r="http://schemas.openxmlformats.org/officeDocument/2006/relationships" ref="K1486" r:id="rId3322"/>
    <hyperlink xmlns:r="http://schemas.openxmlformats.org/officeDocument/2006/relationships" ref="N1486" r:id="rId3323"/>
    <hyperlink xmlns:r="http://schemas.openxmlformats.org/officeDocument/2006/relationships" ref="K1487" r:id="rId3324"/>
    <hyperlink xmlns:r="http://schemas.openxmlformats.org/officeDocument/2006/relationships" ref="N1487" r:id="rId3325"/>
    <hyperlink xmlns:r="http://schemas.openxmlformats.org/officeDocument/2006/relationships" ref="K1488" r:id="rId3326"/>
    <hyperlink xmlns:r="http://schemas.openxmlformats.org/officeDocument/2006/relationships" ref="N1488" r:id="rId3327"/>
    <hyperlink xmlns:r="http://schemas.openxmlformats.org/officeDocument/2006/relationships" ref="K1489" r:id="rId3328"/>
    <hyperlink xmlns:r="http://schemas.openxmlformats.org/officeDocument/2006/relationships" ref="N1489" r:id="rId3329"/>
    <hyperlink xmlns:r="http://schemas.openxmlformats.org/officeDocument/2006/relationships" ref="K1490" r:id="rId3330"/>
    <hyperlink xmlns:r="http://schemas.openxmlformats.org/officeDocument/2006/relationships" ref="N1490" r:id="rId3331"/>
    <hyperlink xmlns:r="http://schemas.openxmlformats.org/officeDocument/2006/relationships" ref="K1491" r:id="rId3332"/>
    <hyperlink xmlns:r="http://schemas.openxmlformats.org/officeDocument/2006/relationships" ref="N1491" r:id="rId3333"/>
    <hyperlink xmlns:r="http://schemas.openxmlformats.org/officeDocument/2006/relationships" ref="K1492" r:id="rId3334"/>
    <hyperlink xmlns:r="http://schemas.openxmlformats.org/officeDocument/2006/relationships" ref="N1492" r:id="rId3335"/>
    <hyperlink xmlns:r="http://schemas.openxmlformats.org/officeDocument/2006/relationships" ref="K1493" r:id="rId3336"/>
    <hyperlink xmlns:r="http://schemas.openxmlformats.org/officeDocument/2006/relationships" ref="N1493" r:id="rId3337"/>
    <hyperlink xmlns:r="http://schemas.openxmlformats.org/officeDocument/2006/relationships" ref="K1494" r:id="rId3338"/>
    <hyperlink xmlns:r="http://schemas.openxmlformats.org/officeDocument/2006/relationships" ref="N1494" r:id="rId3339"/>
    <hyperlink xmlns:r="http://schemas.openxmlformats.org/officeDocument/2006/relationships" ref="K1495" r:id="rId3340"/>
    <hyperlink xmlns:r="http://schemas.openxmlformats.org/officeDocument/2006/relationships" ref="N1495" r:id="rId3341"/>
    <hyperlink xmlns:r="http://schemas.openxmlformats.org/officeDocument/2006/relationships" ref="K1496" r:id="rId3342"/>
    <hyperlink xmlns:r="http://schemas.openxmlformats.org/officeDocument/2006/relationships" ref="N1496" r:id="rId3343"/>
    <hyperlink xmlns:r="http://schemas.openxmlformats.org/officeDocument/2006/relationships" ref="K1497" r:id="rId3344"/>
    <hyperlink xmlns:r="http://schemas.openxmlformats.org/officeDocument/2006/relationships" ref="N1497" r:id="rId3345"/>
    <hyperlink xmlns:r="http://schemas.openxmlformats.org/officeDocument/2006/relationships" ref="K1498" r:id="rId3346"/>
    <hyperlink xmlns:r="http://schemas.openxmlformats.org/officeDocument/2006/relationships" ref="N1498" r:id="rId3347"/>
    <hyperlink xmlns:r="http://schemas.openxmlformats.org/officeDocument/2006/relationships" ref="K1499" r:id="rId3348"/>
    <hyperlink xmlns:r="http://schemas.openxmlformats.org/officeDocument/2006/relationships" ref="N1499" r:id="rId3349"/>
    <hyperlink xmlns:r="http://schemas.openxmlformats.org/officeDocument/2006/relationships" ref="K1500" r:id="rId3350"/>
    <hyperlink xmlns:r="http://schemas.openxmlformats.org/officeDocument/2006/relationships" ref="N1500" r:id="rId3351"/>
    <hyperlink xmlns:r="http://schemas.openxmlformats.org/officeDocument/2006/relationships" ref="K1501" r:id="rId3352"/>
    <hyperlink xmlns:r="http://schemas.openxmlformats.org/officeDocument/2006/relationships" ref="N1501" r:id="rId3353"/>
    <hyperlink xmlns:r="http://schemas.openxmlformats.org/officeDocument/2006/relationships" ref="K1502" r:id="rId3354"/>
    <hyperlink xmlns:r="http://schemas.openxmlformats.org/officeDocument/2006/relationships" ref="N1502" r:id="rId3355"/>
    <hyperlink xmlns:r="http://schemas.openxmlformats.org/officeDocument/2006/relationships" ref="K1503" r:id="rId3356"/>
    <hyperlink xmlns:r="http://schemas.openxmlformats.org/officeDocument/2006/relationships" ref="N1503" r:id="rId3357"/>
    <hyperlink xmlns:r="http://schemas.openxmlformats.org/officeDocument/2006/relationships" ref="K1504" r:id="rId3358"/>
    <hyperlink xmlns:r="http://schemas.openxmlformats.org/officeDocument/2006/relationships" ref="N1504" r:id="rId3359"/>
    <hyperlink xmlns:r="http://schemas.openxmlformats.org/officeDocument/2006/relationships" ref="K1505" r:id="rId3360"/>
    <hyperlink xmlns:r="http://schemas.openxmlformats.org/officeDocument/2006/relationships" ref="N1505" r:id="rId3361"/>
    <hyperlink xmlns:r="http://schemas.openxmlformats.org/officeDocument/2006/relationships" ref="K1506" r:id="rId3362"/>
    <hyperlink xmlns:r="http://schemas.openxmlformats.org/officeDocument/2006/relationships" ref="N1506" r:id="rId3363"/>
    <hyperlink xmlns:r="http://schemas.openxmlformats.org/officeDocument/2006/relationships" ref="K1507" r:id="rId3364"/>
    <hyperlink xmlns:r="http://schemas.openxmlformats.org/officeDocument/2006/relationships" ref="N1507" r:id="rId3365"/>
    <hyperlink xmlns:r="http://schemas.openxmlformats.org/officeDocument/2006/relationships" ref="K1508" r:id="rId3366"/>
    <hyperlink xmlns:r="http://schemas.openxmlformats.org/officeDocument/2006/relationships" ref="N1508" r:id="rId3367"/>
    <hyperlink xmlns:r="http://schemas.openxmlformats.org/officeDocument/2006/relationships" ref="K1509" r:id="rId3368"/>
    <hyperlink xmlns:r="http://schemas.openxmlformats.org/officeDocument/2006/relationships" ref="N1509" r:id="rId3369"/>
    <hyperlink xmlns:r="http://schemas.openxmlformats.org/officeDocument/2006/relationships" ref="K1510" r:id="rId3370"/>
    <hyperlink xmlns:r="http://schemas.openxmlformats.org/officeDocument/2006/relationships" ref="N1510" r:id="rId3371"/>
    <hyperlink xmlns:r="http://schemas.openxmlformats.org/officeDocument/2006/relationships" ref="K1511" r:id="rId3372"/>
    <hyperlink xmlns:r="http://schemas.openxmlformats.org/officeDocument/2006/relationships" ref="N1511" r:id="rId3373"/>
    <hyperlink xmlns:r="http://schemas.openxmlformats.org/officeDocument/2006/relationships" ref="K1512" r:id="rId3374"/>
    <hyperlink xmlns:r="http://schemas.openxmlformats.org/officeDocument/2006/relationships" ref="N1512" r:id="rId3375"/>
    <hyperlink xmlns:r="http://schemas.openxmlformats.org/officeDocument/2006/relationships" ref="K1513" r:id="rId3376"/>
    <hyperlink xmlns:r="http://schemas.openxmlformats.org/officeDocument/2006/relationships" ref="N1513" r:id="rId3377"/>
    <hyperlink xmlns:r="http://schemas.openxmlformats.org/officeDocument/2006/relationships" ref="K1514" r:id="rId3378"/>
    <hyperlink xmlns:r="http://schemas.openxmlformats.org/officeDocument/2006/relationships" ref="N1514" r:id="rId3379"/>
    <hyperlink xmlns:r="http://schemas.openxmlformats.org/officeDocument/2006/relationships" ref="K1515" r:id="rId3380"/>
    <hyperlink xmlns:r="http://schemas.openxmlformats.org/officeDocument/2006/relationships" ref="N1515" r:id="rId3381"/>
    <hyperlink xmlns:r="http://schemas.openxmlformats.org/officeDocument/2006/relationships" ref="K1516" r:id="rId3382"/>
    <hyperlink xmlns:r="http://schemas.openxmlformats.org/officeDocument/2006/relationships" ref="N1516" r:id="rId3383"/>
    <hyperlink xmlns:r="http://schemas.openxmlformats.org/officeDocument/2006/relationships" ref="K1517" r:id="rId3384"/>
    <hyperlink xmlns:r="http://schemas.openxmlformats.org/officeDocument/2006/relationships" ref="N1517" r:id="rId3385"/>
    <hyperlink xmlns:r="http://schemas.openxmlformats.org/officeDocument/2006/relationships" ref="K1518" r:id="rId3386"/>
    <hyperlink xmlns:r="http://schemas.openxmlformats.org/officeDocument/2006/relationships" ref="N1518" r:id="rId3387"/>
    <hyperlink xmlns:r="http://schemas.openxmlformats.org/officeDocument/2006/relationships" ref="K1519" r:id="rId3388"/>
    <hyperlink xmlns:r="http://schemas.openxmlformats.org/officeDocument/2006/relationships" ref="N1519" r:id="rId3389"/>
    <hyperlink xmlns:r="http://schemas.openxmlformats.org/officeDocument/2006/relationships" ref="K1520" r:id="rId3390"/>
    <hyperlink xmlns:r="http://schemas.openxmlformats.org/officeDocument/2006/relationships" ref="N1520" r:id="rId3391"/>
    <hyperlink xmlns:r="http://schemas.openxmlformats.org/officeDocument/2006/relationships" ref="AA1520" r:id="rId3392"/>
    <hyperlink xmlns:r="http://schemas.openxmlformats.org/officeDocument/2006/relationships" ref="K1521" r:id="rId3393"/>
    <hyperlink xmlns:r="http://schemas.openxmlformats.org/officeDocument/2006/relationships" ref="N1521" r:id="rId3394"/>
    <hyperlink xmlns:r="http://schemas.openxmlformats.org/officeDocument/2006/relationships" ref="AA1521" r:id="rId3395"/>
    <hyperlink xmlns:r="http://schemas.openxmlformats.org/officeDocument/2006/relationships" ref="K1522" r:id="rId3396"/>
    <hyperlink xmlns:r="http://schemas.openxmlformats.org/officeDocument/2006/relationships" ref="N1522" r:id="rId3397"/>
    <hyperlink xmlns:r="http://schemas.openxmlformats.org/officeDocument/2006/relationships" ref="AA1522" r:id="rId3398"/>
    <hyperlink xmlns:r="http://schemas.openxmlformats.org/officeDocument/2006/relationships" ref="K1523" r:id="rId3399"/>
    <hyperlink xmlns:r="http://schemas.openxmlformats.org/officeDocument/2006/relationships" ref="N1523" r:id="rId3400"/>
    <hyperlink xmlns:r="http://schemas.openxmlformats.org/officeDocument/2006/relationships" ref="AA1523" r:id="rId3401"/>
    <hyperlink xmlns:r="http://schemas.openxmlformats.org/officeDocument/2006/relationships" ref="K1524" r:id="rId3402"/>
    <hyperlink xmlns:r="http://schemas.openxmlformats.org/officeDocument/2006/relationships" ref="N1524" r:id="rId3403"/>
    <hyperlink xmlns:r="http://schemas.openxmlformats.org/officeDocument/2006/relationships" ref="K1525" r:id="rId3404"/>
    <hyperlink xmlns:r="http://schemas.openxmlformats.org/officeDocument/2006/relationships" ref="N1525" r:id="rId3405"/>
    <hyperlink xmlns:r="http://schemas.openxmlformats.org/officeDocument/2006/relationships" ref="K1526" r:id="rId3406"/>
    <hyperlink xmlns:r="http://schemas.openxmlformats.org/officeDocument/2006/relationships" ref="N1526" r:id="rId3407"/>
    <hyperlink xmlns:r="http://schemas.openxmlformats.org/officeDocument/2006/relationships" ref="K1527" r:id="rId3408"/>
    <hyperlink xmlns:r="http://schemas.openxmlformats.org/officeDocument/2006/relationships" ref="N1527" r:id="rId3409"/>
    <hyperlink xmlns:r="http://schemas.openxmlformats.org/officeDocument/2006/relationships" ref="K1528" r:id="rId3410"/>
    <hyperlink xmlns:r="http://schemas.openxmlformats.org/officeDocument/2006/relationships" ref="N1528" r:id="rId3411"/>
    <hyperlink xmlns:r="http://schemas.openxmlformats.org/officeDocument/2006/relationships" ref="K1529" r:id="rId3412"/>
    <hyperlink xmlns:r="http://schemas.openxmlformats.org/officeDocument/2006/relationships" ref="N1529" r:id="rId3413"/>
    <hyperlink xmlns:r="http://schemas.openxmlformats.org/officeDocument/2006/relationships" ref="K1530" r:id="rId3414"/>
    <hyperlink xmlns:r="http://schemas.openxmlformats.org/officeDocument/2006/relationships" ref="N1530" r:id="rId3415"/>
    <hyperlink xmlns:r="http://schemas.openxmlformats.org/officeDocument/2006/relationships" ref="K1531" r:id="rId3416"/>
    <hyperlink xmlns:r="http://schemas.openxmlformats.org/officeDocument/2006/relationships" ref="N1531" r:id="rId3417"/>
    <hyperlink xmlns:r="http://schemas.openxmlformats.org/officeDocument/2006/relationships" ref="K1532" r:id="rId3418"/>
    <hyperlink xmlns:r="http://schemas.openxmlformats.org/officeDocument/2006/relationships" ref="N1532" r:id="rId3419"/>
    <hyperlink xmlns:r="http://schemas.openxmlformats.org/officeDocument/2006/relationships" ref="K1533" r:id="rId3420"/>
    <hyperlink xmlns:r="http://schemas.openxmlformats.org/officeDocument/2006/relationships" ref="N1533" r:id="rId3421"/>
    <hyperlink xmlns:r="http://schemas.openxmlformats.org/officeDocument/2006/relationships" ref="K1534" r:id="rId3422"/>
    <hyperlink xmlns:r="http://schemas.openxmlformats.org/officeDocument/2006/relationships" ref="N1534" r:id="rId3423"/>
    <hyperlink xmlns:r="http://schemas.openxmlformats.org/officeDocument/2006/relationships" ref="K1535" r:id="rId3424"/>
    <hyperlink xmlns:r="http://schemas.openxmlformats.org/officeDocument/2006/relationships" ref="N1535" r:id="rId3425"/>
    <hyperlink xmlns:r="http://schemas.openxmlformats.org/officeDocument/2006/relationships" ref="K1536" r:id="rId3426"/>
    <hyperlink xmlns:r="http://schemas.openxmlformats.org/officeDocument/2006/relationships" ref="N1536" r:id="rId3427"/>
    <hyperlink xmlns:r="http://schemas.openxmlformats.org/officeDocument/2006/relationships" ref="K1537" r:id="rId3428"/>
    <hyperlink xmlns:r="http://schemas.openxmlformats.org/officeDocument/2006/relationships" ref="N1537" r:id="rId3429"/>
    <hyperlink xmlns:r="http://schemas.openxmlformats.org/officeDocument/2006/relationships" ref="K1538" r:id="rId3430"/>
    <hyperlink xmlns:r="http://schemas.openxmlformats.org/officeDocument/2006/relationships" ref="N1538" r:id="rId3431"/>
    <hyperlink xmlns:r="http://schemas.openxmlformats.org/officeDocument/2006/relationships" ref="K1539" r:id="rId3432"/>
    <hyperlink xmlns:r="http://schemas.openxmlformats.org/officeDocument/2006/relationships" ref="N1539" r:id="rId3433"/>
    <hyperlink xmlns:r="http://schemas.openxmlformats.org/officeDocument/2006/relationships" ref="K1540" r:id="rId3434"/>
    <hyperlink xmlns:r="http://schemas.openxmlformats.org/officeDocument/2006/relationships" ref="N1540" r:id="rId3435"/>
    <hyperlink xmlns:r="http://schemas.openxmlformats.org/officeDocument/2006/relationships" ref="K1541" r:id="rId3436"/>
    <hyperlink xmlns:r="http://schemas.openxmlformats.org/officeDocument/2006/relationships" ref="N1541" r:id="rId3437"/>
    <hyperlink xmlns:r="http://schemas.openxmlformats.org/officeDocument/2006/relationships" ref="K1542" r:id="rId3438"/>
    <hyperlink xmlns:r="http://schemas.openxmlformats.org/officeDocument/2006/relationships" ref="N1542" r:id="rId3439"/>
    <hyperlink xmlns:r="http://schemas.openxmlformats.org/officeDocument/2006/relationships" ref="K1543" r:id="rId3440"/>
    <hyperlink xmlns:r="http://schemas.openxmlformats.org/officeDocument/2006/relationships" ref="N1543" r:id="rId3441"/>
    <hyperlink xmlns:r="http://schemas.openxmlformats.org/officeDocument/2006/relationships" ref="K1544" r:id="rId3442"/>
    <hyperlink xmlns:r="http://schemas.openxmlformats.org/officeDocument/2006/relationships" ref="N1544" r:id="rId3443"/>
    <hyperlink xmlns:r="http://schemas.openxmlformats.org/officeDocument/2006/relationships" ref="K1545" r:id="rId3444"/>
    <hyperlink xmlns:r="http://schemas.openxmlformats.org/officeDocument/2006/relationships" ref="N1545" r:id="rId3445"/>
    <hyperlink xmlns:r="http://schemas.openxmlformats.org/officeDocument/2006/relationships" ref="K1546" r:id="rId3446"/>
    <hyperlink xmlns:r="http://schemas.openxmlformats.org/officeDocument/2006/relationships" ref="N1546" r:id="rId3447"/>
    <hyperlink xmlns:r="http://schemas.openxmlformats.org/officeDocument/2006/relationships" ref="K1547" r:id="rId3448"/>
    <hyperlink xmlns:r="http://schemas.openxmlformats.org/officeDocument/2006/relationships" ref="N1547" r:id="rId3449"/>
    <hyperlink xmlns:r="http://schemas.openxmlformats.org/officeDocument/2006/relationships" ref="K1548" r:id="rId3450"/>
    <hyperlink xmlns:r="http://schemas.openxmlformats.org/officeDocument/2006/relationships" ref="N1548" r:id="rId3451"/>
    <hyperlink xmlns:r="http://schemas.openxmlformats.org/officeDocument/2006/relationships" ref="K1549" r:id="rId3452"/>
    <hyperlink xmlns:r="http://schemas.openxmlformats.org/officeDocument/2006/relationships" ref="N1549" r:id="rId3453"/>
    <hyperlink xmlns:r="http://schemas.openxmlformats.org/officeDocument/2006/relationships" ref="K1550" r:id="rId3454"/>
    <hyperlink xmlns:r="http://schemas.openxmlformats.org/officeDocument/2006/relationships" ref="N1550" r:id="rId3455"/>
    <hyperlink xmlns:r="http://schemas.openxmlformats.org/officeDocument/2006/relationships" ref="K1551" r:id="rId3456"/>
    <hyperlink xmlns:r="http://schemas.openxmlformats.org/officeDocument/2006/relationships" ref="N1551" r:id="rId3457"/>
    <hyperlink xmlns:r="http://schemas.openxmlformats.org/officeDocument/2006/relationships" ref="K1552" r:id="rId3458"/>
    <hyperlink xmlns:r="http://schemas.openxmlformats.org/officeDocument/2006/relationships" ref="N1552" r:id="rId3459"/>
    <hyperlink xmlns:r="http://schemas.openxmlformats.org/officeDocument/2006/relationships" ref="K1553" r:id="rId3460"/>
    <hyperlink xmlns:r="http://schemas.openxmlformats.org/officeDocument/2006/relationships" ref="N1553" r:id="rId3461"/>
    <hyperlink xmlns:r="http://schemas.openxmlformats.org/officeDocument/2006/relationships" ref="K1554" r:id="rId3462"/>
    <hyperlink xmlns:r="http://schemas.openxmlformats.org/officeDocument/2006/relationships" ref="N1554" r:id="rId3463"/>
    <hyperlink xmlns:r="http://schemas.openxmlformats.org/officeDocument/2006/relationships" ref="K1555" r:id="rId3464"/>
    <hyperlink xmlns:r="http://schemas.openxmlformats.org/officeDocument/2006/relationships" ref="N1555" r:id="rId3465"/>
    <hyperlink xmlns:r="http://schemas.openxmlformats.org/officeDocument/2006/relationships" ref="K1556" r:id="rId3466"/>
    <hyperlink xmlns:r="http://schemas.openxmlformats.org/officeDocument/2006/relationships" ref="N1556" r:id="rId3467"/>
    <hyperlink xmlns:r="http://schemas.openxmlformats.org/officeDocument/2006/relationships" ref="K1557" r:id="rId3468"/>
    <hyperlink xmlns:r="http://schemas.openxmlformats.org/officeDocument/2006/relationships" ref="N1557" r:id="rId3469"/>
    <hyperlink xmlns:r="http://schemas.openxmlformats.org/officeDocument/2006/relationships" ref="K1558" r:id="rId3470"/>
    <hyperlink xmlns:r="http://schemas.openxmlformats.org/officeDocument/2006/relationships" ref="N1558" r:id="rId3471"/>
    <hyperlink xmlns:r="http://schemas.openxmlformats.org/officeDocument/2006/relationships" ref="K1559" r:id="rId3472"/>
    <hyperlink xmlns:r="http://schemas.openxmlformats.org/officeDocument/2006/relationships" ref="N1559" r:id="rId3473"/>
    <hyperlink xmlns:r="http://schemas.openxmlformats.org/officeDocument/2006/relationships" ref="K1560" r:id="rId3474"/>
    <hyperlink xmlns:r="http://schemas.openxmlformats.org/officeDocument/2006/relationships" ref="N1560" r:id="rId3475"/>
    <hyperlink xmlns:r="http://schemas.openxmlformats.org/officeDocument/2006/relationships" ref="K1561" r:id="rId3476"/>
    <hyperlink xmlns:r="http://schemas.openxmlformats.org/officeDocument/2006/relationships" ref="N1561" r:id="rId3477"/>
    <hyperlink xmlns:r="http://schemas.openxmlformats.org/officeDocument/2006/relationships" ref="K1562" r:id="rId3478"/>
    <hyperlink xmlns:r="http://schemas.openxmlformats.org/officeDocument/2006/relationships" ref="N1562" r:id="rId3479"/>
    <hyperlink xmlns:r="http://schemas.openxmlformats.org/officeDocument/2006/relationships" ref="K1563" r:id="rId3480"/>
    <hyperlink xmlns:r="http://schemas.openxmlformats.org/officeDocument/2006/relationships" ref="N1563" r:id="rId3481"/>
    <hyperlink xmlns:r="http://schemas.openxmlformats.org/officeDocument/2006/relationships" ref="K1564" r:id="rId3482"/>
    <hyperlink xmlns:r="http://schemas.openxmlformats.org/officeDocument/2006/relationships" ref="N1564" r:id="rId3483"/>
    <hyperlink xmlns:r="http://schemas.openxmlformats.org/officeDocument/2006/relationships" ref="K1565" r:id="rId3484"/>
    <hyperlink xmlns:r="http://schemas.openxmlformats.org/officeDocument/2006/relationships" ref="N1565" r:id="rId3485"/>
    <hyperlink xmlns:r="http://schemas.openxmlformats.org/officeDocument/2006/relationships" ref="K1566" r:id="rId3486"/>
    <hyperlink xmlns:r="http://schemas.openxmlformats.org/officeDocument/2006/relationships" ref="N1566" r:id="rId3487"/>
    <hyperlink xmlns:r="http://schemas.openxmlformats.org/officeDocument/2006/relationships" ref="K1567" r:id="rId3488"/>
    <hyperlink xmlns:r="http://schemas.openxmlformats.org/officeDocument/2006/relationships" ref="N1567" r:id="rId3489"/>
    <hyperlink xmlns:r="http://schemas.openxmlformats.org/officeDocument/2006/relationships" ref="K1568" r:id="rId3490"/>
    <hyperlink xmlns:r="http://schemas.openxmlformats.org/officeDocument/2006/relationships" ref="N1568" r:id="rId3491"/>
    <hyperlink xmlns:r="http://schemas.openxmlformats.org/officeDocument/2006/relationships" ref="K1569" r:id="rId3492"/>
    <hyperlink xmlns:r="http://schemas.openxmlformats.org/officeDocument/2006/relationships" ref="N1569" r:id="rId3493"/>
    <hyperlink xmlns:r="http://schemas.openxmlformats.org/officeDocument/2006/relationships" ref="K1570" r:id="rId3494"/>
    <hyperlink xmlns:r="http://schemas.openxmlformats.org/officeDocument/2006/relationships" ref="N1570" r:id="rId3495"/>
    <hyperlink xmlns:r="http://schemas.openxmlformats.org/officeDocument/2006/relationships" ref="K1571" r:id="rId3496"/>
    <hyperlink xmlns:r="http://schemas.openxmlformats.org/officeDocument/2006/relationships" ref="N1571" r:id="rId3497"/>
    <hyperlink xmlns:r="http://schemas.openxmlformats.org/officeDocument/2006/relationships" ref="K1572" r:id="rId3498"/>
    <hyperlink xmlns:r="http://schemas.openxmlformats.org/officeDocument/2006/relationships" ref="N1572" r:id="rId3499"/>
    <hyperlink xmlns:r="http://schemas.openxmlformats.org/officeDocument/2006/relationships" ref="K1573" r:id="rId3500"/>
    <hyperlink xmlns:r="http://schemas.openxmlformats.org/officeDocument/2006/relationships" ref="N1573" r:id="rId3501"/>
    <hyperlink xmlns:r="http://schemas.openxmlformats.org/officeDocument/2006/relationships" ref="K1574" r:id="rId3502"/>
    <hyperlink xmlns:r="http://schemas.openxmlformats.org/officeDocument/2006/relationships" ref="N1574" r:id="rId3503"/>
    <hyperlink xmlns:r="http://schemas.openxmlformats.org/officeDocument/2006/relationships" ref="K1575" r:id="rId3504"/>
    <hyperlink xmlns:r="http://schemas.openxmlformats.org/officeDocument/2006/relationships" ref="N1575" r:id="rId3505"/>
    <hyperlink xmlns:r="http://schemas.openxmlformats.org/officeDocument/2006/relationships" ref="K1576" r:id="rId3506"/>
    <hyperlink xmlns:r="http://schemas.openxmlformats.org/officeDocument/2006/relationships" ref="N1576" r:id="rId3507"/>
    <hyperlink xmlns:r="http://schemas.openxmlformats.org/officeDocument/2006/relationships" ref="K1577" r:id="rId3508"/>
    <hyperlink xmlns:r="http://schemas.openxmlformats.org/officeDocument/2006/relationships" ref="N1577" r:id="rId3509"/>
    <hyperlink xmlns:r="http://schemas.openxmlformats.org/officeDocument/2006/relationships" ref="K1578" r:id="rId3510"/>
    <hyperlink xmlns:r="http://schemas.openxmlformats.org/officeDocument/2006/relationships" ref="N1578" r:id="rId3511"/>
    <hyperlink xmlns:r="http://schemas.openxmlformats.org/officeDocument/2006/relationships" ref="K1579" r:id="rId3512"/>
    <hyperlink xmlns:r="http://schemas.openxmlformats.org/officeDocument/2006/relationships" ref="N1579" r:id="rId3513"/>
    <hyperlink xmlns:r="http://schemas.openxmlformats.org/officeDocument/2006/relationships" ref="K1580" r:id="rId3514"/>
    <hyperlink xmlns:r="http://schemas.openxmlformats.org/officeDocument/2006/relationships" ref="N1580" r:id="rId3515"/>
    <hyperlink xmlns:r="http://schemas.openxmlformats.org/officeDocument/2006/relationships" ref="K1581" r:id="rId3516"/>
    <hyperlink xmlns:r="http://schemas.openxmlformats.org/officeDocument/2006/relationships" ref="N1581" r:id="rId3517"/>
    <hyperlink xmlns:r="http://schemas.openxmlformats.org/officeDocument/2006/relationships" ref="K1582" r:id="rId3518"/>
    <hyperlink xmlns:r="http://schemas.openxmlformats.org/officeDocument/2006/relationships" ref="N1582" r:id="rId3519"/>
    <hyperlink xmlns:r="http://schemas.openxmlformats.org/officeDocument/2006/relationships" ref="K1583" r:id="rId3520"/>
    <hyperlink xmlns:r="http://schemas.openxmlformats.org/officeDocument/2006/relationships" ref="N1583" r:id="rId3521"/>
    <hyperlink xmlns:r="http://schemas.openxmlformats.org/officeDocument/2006/relationships" ref="K1584" r:id="rId3522"/>
    <hyperlink xmlns:r="http://schemas.openxmlformats.org/officeDocument/2006/relationships" ref="N1584" r:id="rId3523"/>
    <hyperlink xmlns:r="http://schemas.openxmlformats.org/officeDocument/2006/relationships" ref="K1585" r:id="rId3524"/>
    <hyperlink xmlns:r="http://schemas.openxmlformats.org/officeDocument/2006/relationships" ref="N1585" r:id="rId3525"/>
    <hyperlink xmlns:r="http://schemas.openxmlformats.org/officeDocument/2006/relationships" ref="K1586" r:id="rId3526"/>
    <hyperlink xmlns:r="http://schemas.openxmlformats.org/officeDocument/2006/relationships" ref="N1586" r:id="rId3527"/>
    <hyperlink xmlns:r="http://schemas.openxmlformats.org/officeDocument/2006/relationships" ref="K1587" r:id="rId3528"/>
    <hyperlink xmlns:r="http://schemas.openxmlformats.org/officeDocument/2006/relationships" ref="N1587" r:id="rId3529"/>
    <hyperlink xmlns:r="http://schemas.openxmlformats.org/officeDocument/2006/relationships" ref="K1588" r:id="rId3530"/>
    <hyperlink xmlns:r="http://schemas.openxmlformats.org/officeDocument/2006/relationships" ref="N1588" r:id="rId3531"/>
    <hyperlink xmlns:r="http://schemas.openxmlformats.org/officeDocument/2006/relationships" ref="K1589" r:id="rId3532"/>
    <hyperlink xmlns:r="http://schemas.openxmlformats.org/officeDocument/2006/relationships" ref="N1589" r:id="rId3533"/>
    <hyperlink xmlns:r="http://schemas.openxmlformats.org/officeDocument/2006/relationships" ref="K1590" r:id="rId3534"/>
    <hyperlink xmlns:r="http://schemas.openxmlformats.org/officeDocument/2006/relationships" ref="N1590" r:id="rId3535"/>
    <hyperlink xmlns:r="http://schemas.openxmlformats.org/officeDocument/2006/relationships" ref="K1591" r:id="rId3536"/>
    <hyperlink xmlns:r="http://schemas.openxmlformats.org/officeDocument/2006/relationships" ref="N1591" r:id="rId3537"/>
    <hyperlink xmlns:r="http://schemas.openxmlformats.org/officeDocument/2006/relationships" ref="K1592" r:id="rId3538"/>
    <hyperlink xmlns:r="http://schemas.openxmlformats.org/officeDocument/2006/relationships" ref="N1592" r:id="rId3539"/>
    <hyperlink xmlns:r="http://schemas.openxmlformats.org/officeDocument/2006/relationships" ref="K1593" r:id="rId3540"/>
    <hyperlink xmlns:r="http://schemas.openxmlformats.org/officeDocument/2006/relationships" ref="N1593" r:id="rId3541"/>
    <hyperlink xmlns:r="http://schemas.openxmlformats.org/officeDocument/2006/relationships" ref="K1594" r:id="rId3542"/>
    <hyperlink xmlns:r="http://schemas.openxmlformats.org/officeDocument/2006/relationships" ref="N1594" r:id="rId3543"/>
    <hyperlink xmlns:r="http://schemas.openxmlformats.org/officeDocument/2006/relationships" ref="K1595" r:id="rId3544"/>
    <hyperlink xmlns:r="http://schemas.openxmlformats.org/officeDocument/2006/relationships" ref="N1595" r:id="rId3545"/>
    <hyperlink xmlns:r="http://schemas.openxmlformats.org/officeDocument/2006/relationships" ref="K1596" r:id="rId3546"/>
    <hyperlink xmlns:r="http://schemas.openxmlformats.org/officeDocument/2006/relationships" ref="N1596" r:id="rId3547"/>
    <hyperlink xmlns:r="http://schemas.openxmlformats.org/officeDocument/2006/relationships" ref="K1597" r:id="rId3548"/>
    <hyperlink xmlns:r="http://schemas.openxmlformats.org/officeDocument/2006/relationships" ref="N1597" r:id="rId3549"/>
    <hyperlink xmlns:r="http://schemas.openxmlformats.org/officeDocument/2006/relationships" ref="K1598" r:id="rId3550"/>
    <hyperlink xmlns:r="http://schemas.openxmlformats.org/officeDocument/2006/relationships" ref="N1598" r:id="rId3551"/>
    <hyperlink xmlns:r="http://schemas.openxmlformats.org/officeDocument/2006/relationships" ref="K1599" r:id="rId3552"/>
    <hyperlink xmlns:r="http://schemas.openxmlformats.org/officeDocument/2006/relationships" ref="N1599" r:id="rId3553"/>
    <hyperlink xmlns:r="http://schemas.openxmlformats.org/officeDocument/2006/relationships" ref="K1600" r:id="rId3554"/>
    <hyperlink xmlns:r="http://schemas.openxmlformats.org/officeDocument/2006/relationships" ref="N1600" r:id="rId3555"/>
    <hyperlink xmlns:r="http://schemas.openxmlformats.org/officeDocument/2006/relationships" ref="K1601" r:id="rId3556"/>
    <hyperlink xmlns:r="http://schemas.openxmlformats.org/officeDocument/2006/relationships" ref="N1601" r:id="rId3557"/>
    <hyperlink xmlns:r="http://schemas.openxmlformats.org/officeDocument/2006/relationships" ref="K1602" r:id="rId3558"/>
    <hyperlink xmlns:r="http://schemas.openxmlformats.org/officeDocument/2006/relationships" ref="N1602" r:id="rId3559"/>
    <hyperlink xmlns:r="http://schemas.openxmlformats.org/officeDocument/2006/relationships" ref="K1603" r:id="rId3560"/>
    <hyperlink xmlns:r="http://schemas.openxmlformats.org/officeDocument/2006/relationships" ref="N1603" r:id="rId3561"/>
    <hyperlink xmlns:r="http://schemas.openxmlformats.org/officeDocument/2006/relationships" ref="K1604" r:id="rId3562"/>
    <hyperlink xmlns:r="http://schemas.openxmlformats.org/officeDocument/2006/relationships" ref="N1604" r:id="rId3563"/>
    <hyperlink xmlns:r="http://schemas.openxmlformats.org/officeDocument/2006/relationships" ref="K1605" r:id="rId3564"/>
    <hyperlink xmlns:r="http://schemas.openxmlformats.org/officeDocument/2006/relationships" ref="N1605" r:id="rId3565"/>
    <hyperlink xmlns:r="http://schemas.openxmlformats.org/officeDocument/2006/relationships" ref="K1606" r:id="rId3566"/>
    <hyperlink xmlns:r="http://schemas.openxmlformats.org/officeDocument/2006/relationships" ref="N1606" r:id="rId3567"/>
    <hyperlink xmlns:r="http://schemas.openxmlformats.org/officeDocument/2006/relationships" ref="K1607" r:id="rId3568"/>
    <hyperlink xmlns:r="http://schemas.openxmlformats.org/officeDocument/2006/relationships" ref="N1607" r:id="rId3569"/>
    <hyperlink xmlns:r="http://schemas.openxmlformats.org/officeDocument/2006/relationships" ref="K1608" r:id="rId3570"/>
    <hyperlink xmlns:r="http://schemas.openxmlformats.org/officeDocument/2006/relationships" ref="N1608" r:id="rId3571"/>
    <hyperlink xmlns:r="http://schemas.openxmlformats.org/officeDocument/2006/relationships" ref="K1609" r:id="rId3572"/>
    <hyperlink xmlns:r="http://schemas.openxmlformats.org/officeDocument/2006/relationships" ref="N1609" r:id="rId3573"/>
    <hyperlink xmlns:r="http://schemas.openxmlformats.org/officeDocument/2006/relationships" ref="K1610" r:id="rId3574"/>
    <hyperlink xmlns:r="http://schemas.openxmlformats.org/officeDocument/2006/relationships" ref="N1610" r:id="rId3575"/>
    <hyperlink xmlns:r="http://schemas.openxmlformats.org/officeDocument/2006/relationships" ref="K1611" r:id="rId3576"/>
    <hyperlink xmlns:r="http://schemas.openxmlformats.org/officeDocument/2006/relationships" ref="AA1611" r:id="rId3577"/>
    <hyperlink xmlns:r="http://schemas.openxmlformats.org/officeDocument/2006/relationships" ref="K1612" r:id="rId3578"/>
    <hyperlink xmlns:r="http://schemas.openxmlformats.org/officeDocument/2006/relationships" ref="AA1612" r:id="rId3579"/>
    <hyperlink xmlns:r="http://schemas.openxmlformats.org/officeDocument/2006/relationships" ref="K1613" r:id="rId3580"/>
    <hyperlink xmlns:r="http://schemas.openxmlformats.org/officeDocument/2006/relationships" ref="AA1613" r:id="rId3581"/>
    <hyperlink xmlns:r="http://schemas.openxmlformats.org/officeDocument/2006/relationships" ref="K1614" r:id="rId3582"/>
    <hyperlink xmlns:r="http://schemas.openxmlformats.org/officeDocument/2006/relationships" ref="AA1614" r:id="rId3583"/>
    <hyperlink xmlns:r="http://schemas.openxmlformats.org/officeDocument/2006/relationships" ref="K1615" r:id="rId3584"/>
    <hyperlink xmlns:r="http://schemas.openxmlformats.org/officeDocument/2006/relationships" ref="AA1615" r:id="rId3585"/>
    <hyperlink xmlns:r="http://schemas.openxmlformats.org/officeDocument/2006/relationships" ref="K1616" r:id="rId3586"/>
    <hyperlink xmlns:r="http://schemas.openxmlformats.org/officeDocument/2006/relationships" ref="AA1616" r:id="rId3587"/>
    <hyperlink xmlns:r="http://schemas.openxmlformats.org/officeDocument/2006/relationships" ref="K1617" r:id="rId3588"/>
    <hyperlink xmlns:r="http://schemas.openxmlformats.org/officeDocument/2006/relationships" ref="AA1617" r:id="rId3589"/>
    <hyperlink xmlns:r="http://schemas.openxmlformats.org/officeDocument/2006/relationships" ref="K1618" r:id="rId3590"/>
    <hyperlink xmlns:r="http://schemas.openxmlformats.org/officeDocument/2006/relationships" ref="AA1618" r:id="rId3591"/>
    <hyperlink xmlns:r="http://schemas.openxmlformats.org/officeDocument/2006/relationships" ref="K1619" r:id="rId3592"/>
    <hyperlink xmlns:r="http://schemas.openxmlformats.org/officeDocument/2006/relationships" ref="AA1619" r:id="rId3593"/>
    <hyperlink xmlns:r="http://schemas.openxmlformats.org/officeDocument/2006/relationships" ref="K1620" r:id="rId3594"/>
    <hyperlink xmlns:r="http://schemas.openxmlformats.org/officeDocument/2006/relationships" ref="AA1620" r:id="rId3595"/>
    <hyperlink xmlns:r="http://schemas.openxmlformats.org/officeDocument/2006/relationships" ref="K1621" r:id="rId3596"/>
    <hyperlink xmlns:r="http://schemas.openxmlformats.org/officeDocument/2006/relationships" ref="N1621" r:id="rId3597"/>
    <hyperlink xmlns:r="http://schemas.openxmlformats.org/officeDocument/2006/relationships" ref="K1622" r:id="rId3598"/>
    <hyperlink xmlns:r="http://schemas.openxmlformats.org/officeDocument/2006/relationships" ref="N1622" r:id="rId3599"/>
    <hyperlink xmlns:r="http://schemas.openxmlformats.org/officeDocument/2006/relationships" ref="K1623" r:id="rId3600"/>
    <hyperlink xmlns:r="http://schemas.openxmlformats.org/officeDocument/2006/relationships" ref="N1623" r:id="rId3601"/>
    <hyperlink xmlns:r="http://schemas.openxmlformats.org/officeDocument/2006/relationships" ref="K1624" r:id="rId3602"/>
    <hyperlink xmlns:r="http://schemas.openxmlformats.org/officeDocument/2006/relationships" ref="N1624" r:id="rId3603"/>
    <hyperlink xmlns:r="http://schemas.openxmlformats.org/officeDocument/2006/relationships" ref="K1625" r:id="rId3604"/>
    <hyperlink xmlns:r="http://schemas.openxmlformats.org/officeDocument/2006/relationships" ref="N1625" r:id="rId3605"/>
    <hyperlink xmlns:r="http://schemas.openxmlformats.org/officeDocument/2006/relationships" ref="K1626" r:id="rId3606"/>
    <hyperlink xmlns:r="http://schemas.openxmlformats.org/officeDocument/2006/relationships" ref="N1626" r:id="rId3607"/>
    <hyperlink xmlns:r="http://schemas.openxmlformats.org/officeDocument/2006/relationships" ref="K1627" r:id="rId3608"/>
    <hyperlink xmlns:r="http://schemas.openxmlformats.org/officeDocument/2006/relationships" ref="N1627" r:id="rId3609"/>
    <hyperlink xmlns:r="http://schemas.openxmlformats.org/officeDocument/2006/relationships" ref="K1628" r:id="rId3610"/>
    <hyperlink xmlns:r="http://schemas.openxmlformats.org/officeDocument/2006/relationships" ref="N1628" r:id="rId3611"/>
    <hyperlink xmlns:r="http://schemas.openxmlformats.org/officeDocument/2006/relationships" ref="K1629" r:id="rId3612"/>
    <hyperlink xmlns:r="http://schemas.openxmlformats.org/officeDocument/2006/relationships" ref="N1629" r:id="rId3613"/>
    <hyperlink xmlns:r="http://schemas.openxmlformats.org/officeDocument/2006/relationships" ref="K1630" r:id="rId3614"/>
    <hyperlink xmlns:r="http://schemas.openxmlformats.org/officeDocument/2006/relationships" ref="N1630" r:id="rId3615"/>
    <hyperlink xmlns:r="http://schemas.openxmlformats.org/officeDocument/2006/relationships" ref="K1631" r:id="rId3616"/>
    <hyperlink xmlns:r="http://schemas.openxmlformats.org/officeDocument/2006/relationships" ref="N1631" r:id="rId3617"/>
    <hyperlink xmlns:r="http://schemas.openxmlformats.org/officeDocument/2006/relationships" ref="K1632" r:id="rId3618"/>
    <hyperlink xmlns:r="http://schemas.openxmlformats.org/officeDocument/2006/relationships" ref="N1632" r:id="rId3619"/>
    <hyperlink xmlns:r="http://schemas.openxmlformats.org/officeDocument/2006/relationships" ref="K1633" r:id="rId3620"/>
    <hyperlink xmlns:r="http://schemas.openxmlformats.org/officeDocument/2006/relationships" ref="N1633" r:id="rId3621"/>
    <hyperlink xmlns:r="http://schemas.openxmlformats.org/officeDocument/2006/relationships" ref="K1634" r:id="rId3622"/>
    <hyperlink xmlns:r="http://schemas.openxmlformats.org/officeDocument/2006/relationships" ref="N1634" r:id="rId3623"/>
    <hyperlink xmlns:r="http://schemas.openxmlformats.org/officeDocument/2006/relationships" ref="K1635" r:id="rId3624"/>
    <hyperlink xmlns:r="http://schemas.openxmlformats.org/officeDocument/2006/relationships" ref="N1635" r:id="rId3625"/>
    <hyperlink xmlns:r="http://schemas.openxmlformats.org/officeDocument/2006/relationships" ref="K1636" r:id="rId3626"/>
    <hyperlink xmlns:r="http://schemas.openxmlformats.org/officeDocument/2006/relationships" ref="N1636" r:id="rId3627"/>
    <hyperlink xmlns:r="http://schemas.openxmlformats.org/officeDocument/2006/relationships" ref="K1637" r:id="rId3628"/>
    <hyperlink xmlns:r="http://schemas.openxmlformats.org/officeDocument/2006/relationships" ref="N1637" r:id="rId3629"/>
    <hyperlink xmlns:r="http://schemas.openxmlformats.org/officeDocument/2006/relationships" ref="K1638" r:id="rId3630"/>
    <hyperlink xmlns:r="http://schemas.openxmlformats.org/officeDocument/2006/relationships" ref="N1638" r:id="rId3631"/>
    <hyperlink xmlns:r="http://schemas.openxmlformats.org/officeDocument/2006/relationships" ref="K1639" r:id="rId3632"/>
    <hyperlink xmlns:r="http://schemas.openxmlformats.org/officeDocument/2006/relationships" ref="N1639" r:id="rId3633"/>
    <hyperlink xmlns:r="http://schemas.openxmlformats.org/officeDocument/2006/relationships" ref="K1640" r:id="rId3634"/>
    <hyperlink xmlns:r="http://schemas.openxmlformats.org/officeDocument/2006/relationships" ref="N1640" r:id="rId3635"/>
    <hyperlink xmlns:r="http://schemas.openxmlformats.org/officeDocument/2006/relationships" ref="K1641" r:id="rId3636"/>
    <hyperlink xmlns:r="http://schemas.openxmlformats.org/officeDocument/2006/relationships" ref="N1641" r:id="rId3637"/>
    <hyperlink xmlns:r="http://schemas.openxmlformats.org/officeDocument/2006/relationships" ref="K1642" r:id="rId3638"/>
    <hyperlink xmlns:r="http://schemas.openxmlformats.org/officeDocument/2006/relationships" ref="N1642" r:id="rId3639"/>
    <hyperlink xmlns:r="http://schemas.openxmlformats.org/officeDocument/2006/relationships" ref="K1643" r:id="rId3640"/>
    <hyperlink xmlns:r="http://schemas.openxmlformats.org/officeDocument/2006/relationships" ref="N1643" r:id="rId3641"/>
    <hyperlink xmlns:r="http://schemas.openxmlformats.org/officeDocument/2006/relationships" ref="K1644" r:id="rId3642"/>
    <hyperlink xmlns:r="http://schemas.openxmlformats.org/officeDocument/2006/relationships" ref="N1644" r:id="rId3643"/>
    <hyperlink xmlns:r="http://schemas.openxmlformats.org/officeDocument/2006/relationships" ref="K1645" r:id="rId3644"/>
    <hyperlink xmlns:r="http://schemas.openxmlformats.org/officeDocument/2006/relationships" ref="N1645" r:id="rId3645"/>
    <hyperlink xmlns:r="http://schemas.openxmlformats.org/officeDocument/2006/relationships" ref="K1646" r:id="rId3646"/>
    <hyperlink xmlns:r="http://schemas.openxmlformats.org/officeDocument/2006/relationships" ref="N1646" r:id="rId3647"/>
    <hyperlink xmlns:r="http://schemas.openxmlformats.org/officeDocument/2006/relationships" ref="K1647" r:id="rId3648"/>
    <hyperlink xmlns:r="http://schemas.openxmlformats.org/officeDocument/2006/relationships" ref="N1647" r:id="rId3649"/>
    <hyperlink xmlns:r="http://schemas.openxmlformats.org/officeDocument/2006/relationships" ref="K1648" r:id="rId3650"/>
    <hyperlink xmlns:r="http://schemas.openxmlformats.org/officeDocument/2006/relationships" ref="N1648" r:id="rId3651"/>
    <hyperlink xmlns:r="http://schemas.openxmlformats.org/officeDocument/2006/relationships" ref="K1649" r:id="rId3652"/>
    <hyperlink xmlns:r="http://schemas.openxmlformats.org/officeDocument/2006/relationships" ref="N1649" r:id="rId3653"/>
    <hyperlink xmlns:r="http://schemas.openxmlformats.org/officeDocument/2006/relationships" ref="K1650" r:id="rId3654"/>
    <hyperlink xmlns:r="http://schemas.openxmlformats.org/officeDocument/2006/relationships" ref="N1650" r:id="rId3655"/>
    <hyperlink xmlns:r="http://schemas.openxmlformats.org/officeDocument/2006/relationships" ref="K1651" r:id="rId3656"/>
    <hyperlink xmlns:r="http://schemas.openxmlformats.org/officeDocument/2006/relationships" ref="N1651" r:id="rId3657"/>
    <hyperlink xmlns:r="http://schemas.openxmlformats.org/officeDocument/2006/relationships" ref="K1652" r:id="rId3658"/>
    <hyperlink xmlns:r="http://schemas.openxmlformats.org/officeDocument/2006/relationships" ref="N1652" r:id="rId3659"/>
    <hyperlink xmlns:r="http://schemas.openxmlformats.org/officeDocument/2006/relationships" ref="K1653" r:id="rId3660"/>
    <hyperlink xmlns:r="http://schemas.openxmlformats.org/officeDocument/2006/relationships" ref="N1653" r:id="rId3661"/>
    <hyperlink xmlns:r="http://schemas.openxmlformats.org/officeDocument/2006/relationships" ref="K1654" r:id="rId3662"/>
    <hyperlink xmlns:r="http://schemas.openxmlformats.org/officeDocument/2006/relationships" ref="N1654" r:id="rId3663"/>
    <hyperlink xmlns:r="http://schemas.openxmlformats.org/officeDocument/2006/relationships" ref="K1655" r:id="rId3664"/>
    <hyperlink xmlns:r="http://schemas.openxmlformats.org/officeDocument/2006/relationships" ref="N1655" r:id="rId3665"/>
    <hyperlink xmlns:r="http://schemas.openxmlformats.org/officeDocument/2006/relationships" ref="K1656" r:id="rId3666"/>
    <hyperlink xmlns:r="http://schemas.openxmlformats.org/officeDocument/2006/relationships" ref="N1656" r:id="rId3667"/>
    <hyperlink xmlns:r="http://schemas.openxmlformats.org/officeDocument/2006/relationships" ref="K1657" r:id="rId3668"/>
    <hyperlink xmlns:r="http://schemas.openxmlformats.org/officeDocument/2006/relationships" ref="N1657" r:id="rId3669"/>
    <hyperlink xmlns:r="http://schemas.openxmlformats.org/officeDocument/2006/relationships" ref="K1658" r:id="rId3670"/>
    <hyperlink xmlns:r="http://schemas.openxmlformats.org/officeDocument/2006/relationships" ref="N1658" r:id="rId3671"/>
    <hyperlink xmlns:r="http://schemas.openxmlformats.org/officeDocument/2006/relationships" ref="K1659" r:id="rId3672"/>
    <hyperlink xmlns:r="http://schemas.openxmlformats.org/officeDocument/2006/relationships" ref="N1659" r:id="rId3673"/>
    <hyperlink xmlns:r="http://schemas.openxmlformats.org/officeDocument/2006/relationships" ref="K1660" r:id="rId3674"/>
    <hyperlink xmlns:r="http://schemas.openxmlformats.org/officeDocument/2006/relationships" ref="N1660" r:id="rId3675"/>
    <hyperlink xmlns:r="http://schemas.openxmlformats.org/officeDocument/2006/relationships" ref="K1661" r:id="rId3676"/>
    <hyperlink xmlns:r="http://schemas.openxmlformats.org/officeDocument/2006/relationships" ref="N1661" r:id="rId3677"/>
    <hyperlink xmlns:r="http://schemas.openxmlformats.org/officeDocument/2006/relationships" ref="K1662" r:id="rId3678"/>
    <hyperlink xmlns:r="http://schemas.openxmlformats.org/officeDocument/2006/relationships" ref="N1662" r:id="rId3679"/>
    <hyperlink xmlns:r="http://schemas.openxmlformats.org/officeDocument/2006/relationships" ref="K1663" r:id="rId3680"/>
    <hyperlink xmlns:r="http://schemas.openxmlformats.org/officeDocument/2006/relationships" ref="N1663" r:id="rId3681"/>
    <hyperlink xmlns:r="http://schemas.openxmlformats.org/officeDocument/2006/relationships" ref="K1664" r:id="rId3682"/>
    <hyperlink xmlns:r="http://schemas.openxmlformats.org/officeDocument/2006/relationships" ref="N1664" r:id="rId3683"/>
    <hyperlink xmlns:r="http://schemas.openxmlformats.org/officeDocument/2006/relationships" ref="K1665" r:id="rId3684"/>
    <hyperlink xmlns:r="http://schemas.openxmlformats.org/officeDocument/2006/relationships" ref="N1665" r:id="rId3685"/>
    <hyperlink xmlns:r="http://schemas.openxmlformats.org/officeDocument/2006/relationships" ref="K1666" r:id="rId3686"/>
    <hyperlink xmlns:r="http://schemas.openxmlformats.org/officeDocument/2006/relationships" ref="N1666" r:id="rId3687"/>
    <hyperlink xmlns:r="http://schemas.openxmlformats.org/officeDocument/2006/relationships" ref="K1667" r:id="rId3688"/>
    <hyperlink xmlns:r="http://schemas.openxmlformats.org/officeDocument/2006/relationships" ref="N1667" r:id="rId3689"/>
    <hyperlink xmlns:r="http://schemas.openxmlformats.org/officeDocument/2006/relationships" ref="K1668" r:id="rId3690"/>
    <hyperlink xmlns:r="http://schemas.openxmlformats.org/officeDocument/2006/relationships" ref="N1668" r:id="rId3691"/>
    <hyperlink xmlns:r="http://schemas.openxmlformats.org/officeDocument/2006/relationships" ref="K1669" r:id="rId3692"/>
    <hyperlink xmlns:r="http://schemas.openxmlformats.org/officeDocument/2006/relationships" ref="N1669" r:id="rId3693"/>
    <hyperlink xmlns:r="http://schemas.openxmlformats.org/officeDocument/2006/relationships" ref="K1670" r:id="rId3694"/>
    <hyperlink xmlns:r="http://schemas.openxmlformats.org/officeDocument/2006/relationships" ref="N1670" r:id="rId3695"/>
    <hyperlink xmlns:r="http://schemas.openxmlformats.org/officeDocument/2006/relationships" ref="K1671" r:id="rId3696"/>
    <hyperlink xmlns:r="http://schemas.openxmlformats.org/officeDocument/2006/relationships" ref="N1671" r:id="rId3697"/>
    <hyperlink xmlns:r="http://schemas.openxmlformats.org/officeDocument/2006/relationships" ref="K1672" r:id="rId3698"/>
    <hyperlink xmlns:r="http://schemas.openxmlformats.org/officeDocument/2006/relationships" ref="N1672" r:id="rId3699"/>
    <hyperlink xmlns:r="http://schemas.openxmlformats.org/officeDocument/2006/relationships" ref="K1673" r:id="rId3700"/>
    <hyperlink xmlns:r="http://schemas.openxmlformats.org/officeDocument/2006/relationships" ref="N1673" r:id="rId3701"/>
    <hyperlink xmlns:r="http://schemas.openxmlformats.org/officeDocument/2006/relationships" ref="K1674" r:id="rId3702"/>
    <hyperlink xmlns:r="http://schemas.openxmlformats.org/officeDocument/2006/relationships" ref="N1674" r:id="rId3703"/>
    <hyperlink xmlns:r="http://schemas.openxmlformats.org/officeDocument/2006/relationships" ref="K1675" r:id="rId3704"/>
    <hyperlink xmlns:r="http://schemas.openxmlformats.org/officeDocument/2006/relationships" ref="N1675" r:id="rId3705"/>
    <hyperlink xmlns:r="http://schemas.openxmlformats.org/officeDocument/2006/relationships" ref="K1676" r:id="rId3706"/>
    <hyperlink xmlns:r="http://schemas.openxmlformats.org/officeDocument/2006/relationships" ref="N1676" r:id="rId3707"/>
    <hyperlink xmlns:r="http://schemas.openxmlformats.org/officeDocument/2006/relationships" ref="K1677" r:id="rId3708"/>
    <hyperlink xmlns:r="http://schemas.openxmlformats.org/officeDocument/2006/relationships" ref="N1677" r:id="rId3709"/>
    <hyperlink xmlns:r="http://schemas.openxmlformats.org/officeDocument/2006/relationships" ref="K1678" r:id="rId3710"/>
    <hyperlink xmlns:r="http://schemas.openxmlformats.org/officeDocument/2006/relationships" ref="N1678" r:id="rId3711"/>
    <hyperlink xmlns:r="http://schemas.openxmlformats.org/officeDocument/2006/relationships" ref="K1679" r:id="rId3712"/>
    <hyperlink xmlns:r="http://schemas.openxmlformats.org/officeDocument/2006/relationships" ref="N1679" r:id="rId3713"/>
    <hyperlink xmlns:r="http://schemas.openxmlformats.org/officeDocument/2006/relationships" ref="K1680" r:id="rId3714"/>
    <hyperlink xmlns:r="http://schemas.openxmlformats.org/officeDocument/2006/relationships" ref="N1680" r:id="rId3715"/>
    <hyperlink xmlns:r="http://schemas.openxmlformats.org/officeDocument/2006/relationships" ref="K1681" r:id="rId3716"/>
    <hyperlink xmlns:r="http://schemas.openxmlformats.org/officeDocument/2006/relationships" ref="N1681" r:id="rId3717"/>
    <hyperlink xmlns:r="http://schemas.openxmlformats.org/officeDocument/2006/relationships" ref="AA1681" r:id="rId3718"/>
    <hyperlink xmlns:r="http://schemas.openxmlformats.org/officeDocument/2006/relationships" ref="K1682" r:id="rId3719"/>
    <hyperlink xmlns:r="http://schemas.openxmlformats.org/officeDocument/2006/relationships" ref="N1682" r:id="rId3720"/>
    <hyperlink xmlns:r="http://schemas.openxmlformats.org/officeDocument/2006/relationships" ref="AA1682" r:id="rId3721"/>
    <hyperlink xmlns:r="http://schemas.openxmlformats.org/officeDocument/2006/relationships" ref="K1683" r:id="rId3722"/>
    <hyperlink xmlns:r="http://schemas.openxmlformats.org/officeDocument/2006/relationships" ref="N1683" r:id="rId3723"/>
    <hyperlink xmlns:r="http://schemas.openxmlformats.org/officeDocument/2006/relationships" ref="AA1683" r:id="rId3724"/>
    <hyperlink xmlns:r="http://schemas.openxmlformats.org/officeDocument/2006/relationships" ref="K1684" r:id="rId3725"/>
    <hyperlink xmlns:r="http://schemas.openxmlformats.org/officeDocument/2006/relationships" ref="N1684" r:id="rId3726"/>
    <hyperlink xmlns:r="http://schemas.openxmlformats.org/officeDocument/2006/relationships" ref="AA1684" r:id="rId3727"/>
    <hyperlink xmlns:r="http://schemas.openxmlformats.org/officeDocument/2006/relationships" ref="K1685" r:id="rId3728"/>
    <hyperlink xmlns:r="http://schemas.openxmlformats.org/officeDocument/2006/relationships" ref="N1685" r:id="rId3729"/>
    <hyperlink xmlns:r="http://schemas.openxmlformats.org/officeDocument/2006/relationships" ref="AA1685" r:id="rId3730"/>
    <hyperlink xmlns:r="http://schemas.openxmlformats.org/officeDocument/2006/relationships" ref="K1686" r:id="rId3731"/>
    <hyperlink xmlns:r="http://schemas.openxmlformats.org/officeDocument/2006/relationships" ref="N1686" r:id="rId3732"/>
    <hyperlink xmlns:r="http://schemas.openxmlformats.org/officeDocument/2006/relationships" ref="AA1686" r:id="rId3733"/>
    <hyperlink xmlns:r="http://schemas.openxmlformats.org/officeDocument/2006/relationships" ref="K1687" r:id="rId3734"/>
    <hyperlink xmlns:r="http://schemas.openxmlformats.org/officeDocument/2006/relationships" ref="N1687" r:id="rId3735"/>
    <hyperlink xmlns:r="http://schemas.openxmlformats.org/officeDocument/2006/relationships" ref="AA1687" r:id="rId3736"/>
    <hyperlink xmlns:r="http://schemas.openxmlformats.org/officeDocument/2006/relationships" ref="K1688" r:id="rId3737"/>
    <hyperlink xmlns:r="http://schemas.openxmlformats.org/officeDocument/2006/relationships" ref="N1688" r:id="rId3738"/>
    <hyperlink xmlns:r="http://schemas.openxmlformats.org/officeDocument/2006/relationships" ref="AA1688" r:id="rId3739"/>
    <hyperlink xmlns:r="http://schemas.openxmlformats.org/officeDocument/2006/relationships" ref="K1689" r:id="rId3740"/>
    <hyperlink xmlns:r="http://schemas.openxmlformats.org/officeDocument/2006/relationships" ref="N1689" r:id="rId3741"/>
    <hyperlink xmlns:r="http://schemas.openxmlformats.org/officeDocument/2006/relationships" ref="AA1689" r:id="rId3742"/>
    <hyperlink xmlns:r="http://schemas.openxmlformats.org/officeDocument/2006/relationships" ref="K1690" r:id="rId3743"/>
    <hyperlink xmlns:r="http://schemas.openxmlformats.org/officeDocument/2006/relationships" ref="N1690" r:id="rId3744"/>
    <hyperlink xmlns:r="http://schemas.openxmlformats.org/officeDocument/2006/relationships" ref="AA1690" r:id="rId3745"/>
    <hyperlink xmlns:r="http://schemas.openxmlformats.org/officeDocument/2006/relationships" ref="K1691" r:id="rId3746"/>
    <hyperlink xmlns:r="http://schemas.openxmlformats.org/officeDocument/2006/relationships" ref="N1691" r:id="rId3747"/>
    <hyperlink xmlns:r="http://schemas.openxmlformats.org/officeDocument/2006/relationships" ref="AA1691" r:id="rId3748"/>
    <hyperlink xmlns:r="http://schemas.openxmlformats.org/officeDocument/2006/relationships" ref="K1692" r:id="rId3749"/>
    <hyperlink xmlns:r="http://schemas.openxmlformats.org/officeDocument/2006/relationships" ref="N1692" r:id="rId3750"/>
    <hyperlink xmlns:r="http://schemas.openxmlformats.org/officeDocument/2006/relationships" ref="AA1692" r:id="rId3751"/>
    <hyperlink xmlns:r="http://schemas.openxmlformats.org/officeDocument/2006/relationships" ref="K1693" r:id="rId3752"/>
    <hyperlink xmlns:r="http://schemas.openxmlformats.org/officeDocument/2006/relationships" ref="N1693" r:id="rId3753"/>
    <hyperlink xmlns:r="http://schemas.openxmlformats.org/officeDocument/2006/relationships" ref="AA1693" r:id="rId3754"/>
    <hyperlink xmlns:r="http://schemas.openxmlformats.org/officeDocument/2006/relationships" ref="K1694" r:id="rId3755"/>
    <hyperlink xmlns:r="http://schemas.openxmlformats.org/officeDocument/2006/relationships" ref="N1694" r:id="rId3756"/>
    <hyperlink xmlns:r="http://schemas.openxmlformats.org/officeDocument/2006/relationships" ref="AA1694" r:id="rId3757"/>
    <hyperlink xmlns:r="http://schemas.openxmlformats.org/officeDocument/2006/relationships" ref="K1695" r:id="rId3758"/>
    <hyperlink xmlns:r="http://schemas.openxmlformats.org/officeDocument/2006/relationships" ref="N1695" r:id="rId3759"/>
    <hyperlink xmlns:r="http://schemas.openxmlformats.org/officeDocument/2006/relationships" ref="AA1695" r:id="rId3760"/>
    <hyperlink xmlns:r="http://schemas.openxmlformats.org/officeDocument/2006/relationships" ref="K1696" r:id="rId3761"/>
    <hyperlink xmlns:r="http://schemas.openxmlformats.org/officeDocument/2006/relationships" ref="N1696" r:id="rId3762"/>
    <hyperlink xmlns:r="http://schemas.openxmlformats.org/officeDocument/2006/relationships" ref="AA1696" r:id="rId3763"/>
    <hyperlink xmlns:r="http://schemas.openxmlformats.org/officeDocument/2006/relationships" ref="K1697" r:id="rId3764"/>
    <hyperlink xmlns:r="http://schemas.openxmlformats.org/officeDocument/2006/relationships" ref="N1697" r:id="rId3765"/>
    <hyperlink xmlns:r="http://schemas.openxmlformats.org/officeDocument/2006/relationships" ref="AA1697" r:id="rId3766"/>
    <hyperlink xmlns:r="http://schemas.openxmlformats.org/officeDocument/2006/relationships" ref="K1698" r:id="rId3767"/>
    <hyperlink xmlns:r="http://schemas.openxmlformats.org/officeDocument/2006/relationships" ref="N1698" r:id="rId3768"/>
    <hyperlink xmlns:r="http://schemas.openxmlformats.org/officeDocument/2006/relationships" ref="AA1698" r:id="rId3769"/>
    <hyperlink xmlns:r="http://schemas.openxmlformats.org/officeDocument/2006/relationships" ref="K1699" r:id="rId3770"/>
    <hyperlink xmlns:r="http://schemas.openxmlformats.org/officeDocument/2006/relationships" ref="N1699" r:id="rId3771"/>
    <hyperlink xmlns:r="http://schemas.openxmlformats.org/officeDocument/2006/relationships" ref="AA1699" r:id="rId3772"/>
    <hyperlink xmlns:r="http://schemas.openxmlformats.org/officeDocument/2006/relationships" ref="K1700" r:id="rId3773"/>
    <hyperlink xmlns:r="http://schemas.openxmlformats.org/officeDocument/2006/relationships" ref="N1700" r:id="rId3774"/>
    <hyperlink xmlns:r="http://schemas.openxmlformats.org/officeDocument/2006/relationships" ref="AA1700" r:id="rId3775"/>
    <hyperlink xmlns:r="http://schemas.openxmlformats.org/officeDocument/2006/relationships" ref="K1701" r:id="rId3776"/>
    <hyperlink xmlns:r="http://schemas.openxmlformats.org/officeDocument/2006/relationships" ref="N1701" r:id="rId3777"/>
    <hyperlink xmlns:r="http://schemas.openxmlformats.org/officeDocument/2006/relationships" ref="AA1701" r:id="rId3778"/>
    <hyperlink xmlns:r="http://schemas.openxmlformats.org/officeDocument/2006/relationships" ref="K1702" r:id="rId3779"/>
    <hyperlink xmlns:r="http://schemas.openxmlformats.org/officeDocument/2006/relationships" ref="N1702" r:id="rId3780"/>
    <hyperlink xmlns:r="http://schemas.openxmlformats.org/officeDocument/2006/relationships" ref="AA1702" r:id="rId3781"/>
    <hyperlink xmlns:r="http://schemas.openxmlformats.org/officeDocument/2006/relationships" ref="K1703" r:id="rId3782"/>
    <hyperlink xmlns:r="http://schemas.openxmlformats.org/officeDocument/2006/relationships" ref="N1703" r:id="rId3783"/>
    <hyperlink xmlns:r="http://schemas.openxmlformats.org/officeDocument/2006/relationships" ref="AA1703" r:id="rId3784"/>
    <hyperlink xmlns:r="http://schemas.openxmlformats.org/officeDocument/2006/relationships" ref="K1704" r:id="rId3785"/>
    <hyperlink xmlns:r="http://schemas.openxmlformats.org/officeDocument/2006/relationships" ref="N1704" r:id="rId3786"/>
    <hyperlink xmlns:r="http://schemas.openxmlformats.org/officeDocument/2006/relationships" ref="AA1704" r:id="rId3787"/>
    <hyperlink xmlns:r="http://schemas.openxmlformats.org/officeDocument/2006/relationships" ref="K1705" r:id="rId3788"/>
    <hyperlink xmlns:r="http://schemas.openxmlformats.org/officeDocument/2006/relationships" ref="N1705" r:id="rId3789"/>
    <hyperlink xmlns:r="http://schemas.openxmlformats.org/officeDocument/2006/relationships" ref="AA1705" r:id="rId3790"/>
    <hyperlink xmlns:r="http://schemas.openxmlformats.org/officeDocument/2006/relationships" ref="K1706" r:id="rId3791"/>
    <hyperlink xmlns:r="http://schemas.openxmlformats.org/officeDocument/2006/relationships" ref="N1706" r:id="rId3792"/>
    <hyperlink xmlns:r="http://schemas.openxmlformats.org/officeDocument/2006/relationships" ref="AA1706" r:id="rId3793"/>
    <hyperlink xmlns:r="http://schemas.openxmlformats.org/officeDocument/2006/relationships" ref="K1707" r:id="rId3794"/>
    <hyperlink xmlns:r="http://schemas.openxmlformats.org/officeDocument/2006/relationships" ref="N1707" r:id="rId3795"/>
    <hyperlink xmlns:r="http://schemas.openxmlformats.org/officeDocument/2006/relationships" ref="AA1707" r:id="rId3796"/>
    <hyperlink xmlns:r="http://schemas.openxmlformats.org/officeDocument/2006/relationships" ref="K1708" r:id="rId3797"/>
    <hyperlink xmlns:r="http://schemas.openxmlformats.org/officeDocument/2006/relationships" ref="N1708" r:id="rId3798"/>
    <hyperlink xmlns:r="http://schemas.openxmlformats.org/officeDocument/2006/relationships" ref="AA1708" r:id="rId3799"/>
    <hyperlink xmlns:r="http://schemas.openxmlformats.org/officeDocument/2006/relationships" ref="K1709" r:id="rId3800"/>
    <hyperlink xmlns:r="http://schemas.openxmlformats.org/officeDocument/2006/relationships" ref="N1709" r:id="rId3801"/>
    <hyperlink xmlns:r="http://schemas.openxmlformats.org/officeDocument/2006/relationships" ref="AA1709" r:id="rId3802"/>
    <hyperlink xmlns:r="http://schemas.openxmlformats.org/officeDocument/2006/relationships" ref="K1710" r:id="rId3803"/>
    <hyperlink xmlns:r="http://schemas.openxmlformats.org/officeDocument/2006/relationships" ref="N1710" r:id="rId3804"/>
    <hyperlink xmlns:r="http://schemas.openxmlformats.org/officeDocument/2006/relationships" ref="AA1710" r:id="rId3805"/>
    <hyperlink xmlns:r="http://schemas.openxmlformats.org/officeDocument/2006/relationships" ref="K1711" r:id="rId3806"/>
    <hyperlink xmlns:r="http://schemas.openxmlformats.org/officeDocument/2006/relationships" ref="N1711" r:id="rId3807"/>
    <hyperlink xmlns:r="http://schemas.openxmlformats.org/officeDocument/2006/relationships" ref="AA1711" r:id="rId3808"/>
    <hyperlink xmlns:r="http://schemas.openxmlformats.org/officeDocument/2006/relationships" ref="K1712" r:id="rId3809"/>
    <hyperlink xmlns:r="http://schemas.openxmlformats.org/officeDocument/2006/relationships" ref="N1712" r:id="rId3810"/>
    <hyperlink xmlns:r="http://schemas.openxmlformats.org/officeDocument/2006/relationships" ref="AA1712" r:id="rId3811"/>
    <hyperlink xmlns:r="http://schemas.openxmlformats.org/officeDocument/2006/relationships" ref="K1713" r:id="rId3812"/>
    <hyperlink xmlns:r="http://schemas.openxmlformats.org/officeDocument/2006/relationships" ref="N1713" r:id="rId3813"/>
    <hyperlink xmlns:r="http://schemas.openxmlformats.org/officeDocument/2006/relationships" ref="AA1713" r:id="rId3814"/>
    <hyperlink xmlns:r="http://schemas.openxmlformats.org/officeDocument/2006/relationships" ref="K1714" r:id="rId3815"/>
    <hyperlink xmlns:r="http://schemas.openxmlformats.org/officeDocument/2006/relationships" ref="N1714" r:id="rId3816"/>
    <hyperlink xmlns:r="http://schemas.openxmlformats.org/officeDocument/2006/relationships" ref="AA1714" r:id="rId3817"/>
    <hyperlink xmlns:r="http://schemas.openxmlformats.org/officeDocument/2006/relationships" ref="K1715" r:id="rId3818"/>
    <hyperlink xmlns:r="http://schemas.openxmlformats.org/officeDocument/2006/relationships" ref="N1715" r:id="rId3819"/>
    <hyperlink xmlns:r="http://schemas.openxmlformats.org/officeDocument/2006/relationships" ref="AA1715" r:id="rId3820"/>
    <hyperlink xmlns:r="http://schemas.openxmlformats.org/officeDocument/2006/relationships" ref="K1716" r:id="rId3821"/>
    <hyperlink xmlns:r="http://schemas.openxmlformats.org/officeDocument/2006/relationships" ref="N1716" r:id="rId3822"/>
    <hyperlink xmlns:r="http://schemas.openxmlformats.org/officeDocument/2006/relationships" ref="AA1716" r:id="rId3823"/>
    <hyperlink xmlns:r="http://schemas.openxmlformats.org/officeDocument/2006/relationships" ref="K1717" r:id="rId3824"/>
    <hyperlink xmlns:r="http://schemas.openxmlformats.org/officeDocument/2006/relationships" ref="N1717" r:id="rId3825"/>
    <hyperlink xmlns:r="http://schemas.openxmlformats.org/officeDocument/2006/relationships" ref="AA1717" r:id="rId3826"/>
    <hyperlink xmlns:r="http://schemas.openxmlformats.org/officeDocument/2006/relationships" ref="K1718" r:id="rId3827"/>
    <hyperlink xmlns:r="http://schemas.openxmlformats.org/officeDocument/2006/relationships" ref="N1718" r:id="rId3828"/>
    <hyperlink xmlns:r="http://schemas.openxmlformats.org/officeDocument/2006/relationships" ref="AA1718" r:id="rId3829"/>
    <hyperlink xmlns:r="http://schemas.openxmlformats.org/officeDocument/2006/relationships" ref="K1719" r:id="rId3830"/>
    <hyperlink xmlns:r="http://schemas.openxmlformats.org/officeDocument/2006/relationships" ref="N1719" r:id="rId3831"/>
    <hyperlink xmlns:r="http://schemas.openxmlformats.org/officeDocument/2006/relationships" ref="AA1719" r:id="rId3832"/>
    <hyperlink xmlns:r="http://schemas.openxmlformats.org/officeDocument/2006/relationships" ref="K1720" r:id="rId3833"/>
    <hyperlink xmlns:r="http://schemas.openxmlformats.org/officeDocument/2006/relationships" ref="N1720" r:id="rId3834"/>
    <hyperlink xmlns:r="http://schemas.openxmlformats.org/officeDocument/2006/relationships" ref="AA1720" r:id="rId3835"/>
    <hyperlink xmlns:r="http://schemas.openxmlformats.org/officeDocument/2006/relationships" ref="K1721" r:id="rId3836"/>
    <hyperlink xmlns:r="http://schemas.openxmlformats.org/officeDocument/2006/relationships" ref="N1721" r:id="rId3837"/>
    <hyperlink xmlns:r="http://schemas.openxmlformats.org/officeDocument/2006/relationships" ref="AA1721" r:id="rId3838"/>
    <hyperlink xmlns:r="http://schemas.openxmlformats.org/officeDocument/2006/relationships" ref="K1722" r:id="rId3839"/>
    <hyperlink xmlns:r="http://schemas.openxmlformats.org/officeDocument/2006/relationships" ref="N1722" r:id="rId3840"/>
    <hyperlink xmlns:r="http://schemas.openxmlformats.org/officeDocument/2006/relationships" ref="AA1722" r:id="rId3841"/>
    <hyperlink xmlns:r="http://schemas.openxmlformats.org/officeDocument/2006/relationships" ref="K1723" r:id="rId3842"/>
    <hyperlink xmlns:r="http://schemas.openxmlformats.org/officeDocument/2006/relationships" ref="N1723" r:id="rId3843"/>
    <hyperlink xmlns:r="http://schemas.openxmlformats.org/officeDocument/2006/relationships" ref="AA1723" r:id="rId3844"/>
    <hyperlink xmlns:r="http://schemas.openxmlformats.org/officeDocument/2006/relationships" ref="K1724" r:id="rId3845"/>
    <hyperlink xmlns:r="http://schemas.openxmlformats.org/officeDocument/2006/relationships" ref="N1724" r:id="rId3846"/>
    <hyperlink xmlns:r="http://schemas.openxmlformats.org/officeDocument/2006/relationships" ref="AA1724" r:id="rId3847"/>
    <hyperlink xmlns:r="http://schemas.openxmlformats.org/officeDocument/2006/relationships" ref="K1725" r:id="rId3848"/>
    <hyperlink xmlns:r="http://schemas.openxmlformats.org/officeDocument/2006/relationships" ref="N1725" r:id="rId3849"/>
    <hyperlink xmlns:r="http://schemas.openxmlformats.org/officeDocument/2006/relationships" ref="AA1725" r:id="rId3850"/>
    <hyperlink xmlns:r="http://schemas.openxmlformats.org/officeDocument/2006/relationships" ref="K1726" r:id="rId3851"/>
    <hyperlink xmlns:r="http://schemas.openxmlformats.org/officeDocument/2006/relationships" ref="N1726" r:id="rId3852"/>
    <hyperlink xmlns:r="http://schemas.openxmlformats.org/officeDocument/2006/relationships" ref="AA1726" r:id="rId3853"/>
    <hyperlink xmlns:r="http://schemas.openxmlformats.org/officeDocument/2006/relationships" ref="K1727" r:id="rId3854"/>
    <hyperlink xmlns:r="http://schemas.openxmlformats.org/officeDocument/2006/relationships" ref="N1727" r:id="rId3855"/>
    <hyperlink xmlns:r="http://schemas.openxmlformats.org/officeDocument/2006/relationships" ref="AA1727" r:id="rId3856"/>
    <hyperlink xmlns:r="http://schemas.openxmlformats.org/officeDocument/2006/relationships" ref="K1728" r:id="rId3857"/>
    <hyperlink xmlns:r="http://schemas.openxmlformats.org/officeDocument/2006/relationships" ref="N1728" r:id="rId3858"/>
    <hyperlink xmlns:r="http://schemas.openxmlformats.org/officeDocument/2006/relationships" ref="AA1728" r:id="rId3859"/>
    <hyperlink xmlns:r="http://schemas.openxmlformats.org/officeDocument/2006/relationships" ref="K1729" r:id="rId3860"/>
    <hyperlink xmlns:r="http://schemas.openxmlformats.org/officeDocument/2006/relationships" ref="N1729" r:id="rId3861"/>
    <hyperlink xmlns:r="http://schemas.openxmlformats.org/officeDocument/2006/relationships" ref="AA1729" r:id="rId3862"/>
    <hyperlink xmlns:r="http://schemas.openxmlformats.org/officeDocument/2006/relationships" ref="K1730" r:id="rId3863"/>
    <hyperlink xmlns:r="http://schemas.openxmlformats.org/officeDocument/2006/relationships" ref="N1730" r:id="rId3864"/>
    <hyperlink xmlns:r="http://schemas.openxmlformats.org/officeDocument/2006/relationships" ref="AA1730" r:id="rId3865"/>
    <hyperlink xmlns:r="http://schemas.openxmlformats.org/officeDocument/2006/relationships" ref="K1731" r:id="rId3866"/>
    <hyperlink xmlns:r="http://schemas.openxmlformats.org/officeDocument/2006/relationships" ref="N1731" r:id="rId3867"/>
    <hyperlink xmlns:r="http://schemas.openxmlformats.org/officeDocument/2006/relationships" ref="AA1731" r:id="rId3868"/>
    <hyperlink xmlns:r="http://schemas.openxmlformats.org/officeDocument/2006/relationships" ref="K1732" r:id="rId3869"/>
    <hyperlink xmlns:r="http://schemas.openxmlformats.org/officeDocument/2006/relationships" ref="N1732" r:id="rId3870"/>
    <hyperlink xmlns:r="http://schemas.openxmlformats.org/officeDocument/2006/relationships" ref="AA1732" r:id="rId3871"/>
    <hyperlink xmlns:r="http://schemas.openxmlformats.org/officeDocument/2006/relationships" ref="K1733" r:id="rId3872"/>
    <hyperlink xmlns:r="http://schemas.openxmlformats.org/officeDocument/2006/relationships" ref="N1733" r:id="rId3873"/>
    <hyperlink xmlns:r="http://schemas.openxmlformats.org/officeDocument/2006/relationships" ref="AA1733" r:id="rId3874"/>
    <hyperlink xmlns:r="http://schemas.openxmlformats.org/officeDocument/2006/relationships" ref="K1734" r:id="rId3875"/>
    <hyperlink xmlns:r="http://schemas.openxmlformats.org/officeDocument/2006/relationships" ref="N1734" r:id="rId3876"/>
    <hyperlink xmlns:r="http://schemas.openxmlformats.org/officeDocument/2006/relationships" ref="AA1734" r:id="rId3877"/>
    <hyperlink xmlns:r="http://schemas.openxmlformats.org/officeDocument/2006/relationships" ref="K1735" r:id="rId3878"/>
    <hyperlink xmlns:r="http://schemas.openxmlformats.org/officeDocument/2006/relationships" ref="N1735" r:id="rId3879"/>
    <hyperlink xmlns:r="http://schemas.openxmlformats.org/officeDocument/2006/relationships" ref="AA1735" r:id="rId3880"/>
    <hyperlink xmlns:r="http://schemas.openxmlformats.org/officeDocument/2006/relationships" ref="K1736" r:id="rId3881"/>
    <hyperlink xmlns:r="http://schemas.openxmlformats.org/officeDocument/2006/relationships" ref="N1736" r:id="rId3882"/>
    <hyperlink xmlns:r="http://schemas.openxmlformats.org/officeDocument/2006/relationships" ref="AA1736" r:id="rId3883"/>
    <hyperlink xmlns:r="http://schemas.openxmlformats.org/officeDocument/2006/relationships" ref="K1737" r:id="rId3884"/>
    <hyperlink xmlns:r="http://schemas.openxmlformats.org/officeDocument/2006/relationships" ref="N1737" r:id="rId3885"/>
    <hyperlink xmlns:r="http://schemas.openxmlformats.org/officeDocument/2006/relationships" ref="AA1737" r:id="rId3886"/>
    <hyperlink xmlns:r="http://schemas.openxmlformats.org/officeDocument/2006/relationships" ref="K1738" r:id="rId3887"/>
    <hyperlink xmlns:r="http://schemas.openxmlformats.org/officeDocument/2006/relationships" ref="N1738" r:id="rId3888"/>
    <hyperlink xmlns:r="http://schemas.openxmlformats.org/officeDocument/2006/relationships" ref="AA1738" r:id="rId3889"/>
    <hyperlink xmlns:r="http://schemas.openxmlformats.org/officeDocument/2006/relationships" ref="K1739" r:id="rId3890"/>
    <hyperlink xmlns:r="http://schemas.openxmlformats.org/officeDocument/2006/relationships" ref="N1739" r:id="rId3891"/>
    <hyperlink xmlns:r="http://schemas.openxmlformats.org/officeDocument/2006/relationships" ref="AA1739" r:id="rId3892"/>
    <hyperlink xmlns:r="http://schemas.openxmlformats.org/officeDocument/2006/relationships" ref="K1740" r:id="rId3893"/>
    <hyperlink xmlns:r="http://schemas.openxmlformats.org/officeDocument/2006/relationships" ref="N1740" r:id="rId3894"/>
    <hyperlink xmlns:r="http://schemas.openxmlformats.org/officeDocument/2006/relationships" ref="AA1740" r:id="rId3895"/>
    <hyperlink xmlns:r="http://schemas.openxmlformats.org/officeDocument/2006/relationships" ref="K1741" r:id="rId3896"/>
    <hyperlink xmlns:r="http://schemas.openxmlformats.org/officeDocument/2006/relationships" ref="N1741" r:id="rId3897"/>
    <hyperlink xmlns:r="http://schemas.openxmlformats.org/officeDocument/2006/relationships" ref="AA1741" r:id="rId3898"/>
    <hyperlink xmlns:r="http://schemas.openxmlformats.org/officeDocument/2006/relationships" ref="K1742" r:id="rId3899"/>
    <hyperlink xmlns:r="http://schemas.openxmlformats.org/officeDocument/2006/relationships" ref="N1742" r:id="rId3900"/>
    <hyperlink xmlns:r="http://schemas.openxmlformats.org/officeDocument/2006/relationships" ref="AA1742" r:id="rId3901"/>
    <hyperlink xmlns:r="http://schemas.openxmlformats.org/officeDocument/2006/relationships" ref="K1743" r:id="rId3902"/>
    <hyperlink xmlns:r="http://schemas.openxmlformats.org/officeDocument/2006/relationships" ref="N1743" r:id="rId3903"/>
    <hyperlink xmlns:r="http://schemas.openxmlformats.org/officeDocument/2006/relationships" ref="AA1743" r:id="rId3904"/>
    <hyperlink xmlns:r="http://schemas.openxmlformats.org/officeDocument/2006/relationships" ref="K1744" r:id="rId3905"/>
    <hyperlink xmlns:r="http://schemas.openxmlformats.org/officeDocument/2006/relationships" ref="N1744" r:id="rId3906"/>
    <hyperlink xmlns:r="http://schemas.openxmlformats.org/officeDocument/2006/relationships" ref="K1745" r:id="rId3907"/>
    <hyperlink xmlns:r="http://schemas.openxmlformats.org/officeDocument/2006/relationships" ref="N1745" r:id="rId3908"/>
    <hyperlink xmlns:r="http://schemas.openxmlformats.org/officeDocument/2006/relationships" ref="K1746" r:id="rId3909"/>
    <hyperlink xmlns:r="http://schemas.openxmlformats.org/officeDocument/2006/relationships" ref="N1746" r:id="rId3910"/>
    <hyperlink xmlns:r="http://schemas.openxmlformats.org/officeDocument/2006/relationships" ref="K1747" r:id="rId3911"/>
    <hyperlink xmlns:r="http://schemas.openxmlformats.org/officeDocument/2006/relationships" ref="N1747" r:id="rId3912"/>
    <hyperlink xmlns:r="http://schemas.openxmlformats.org/officeDocument/2006/relationships" ref="K1748" r:id="rId3913"/>
    <hyperlink xmlns:r="http://schemas.openxmlformats.org/officeDocument/2006/relationships" ref="N1748" r:id="rId3914"/>
    <hyperlink xmlns:r="http://schemas.openxmlformats.org/officeDocument/2006/relationships" ref="K1749" r:id="rId3915"/>
    <hyperlink xmlns:r="http://schemas.openxmlformats.org/officeDocument/2006/relationships" ref="N1749" r:id="rId3916"/>
    <hyperlink xmlns:r="http://schemas.openxmlformats.org/officeDocument/2006/relationships" ref="K1750" r:id="rId3917"/>
    <hyperlink xmlns:r="http://schemas.openxmlformats.org/officeDocument/2006/relationships" ref="N1750" r:id="rId3918"/>
    <hyperlink xmlns:r="http://schemas.openxmlformats.org/officeDocument/2006/relationships" ref="K1751" r:id="rId3919"/>
    <hyperlink xmlns:r="http://schemas.openxmlformats.org/officeDocument/2006/relationships" ref="N1751" r:id="rId3920"/>
    <hyperlink xmlns:r="http://schemas.openxmlformats.org/officeDocument/2006/relationships" ref="K1752" r:id="rId3921"/>
    <hyperlink xmlns:r="http://schemas.openxmlformats.org/officeDocument/2006/relationships" ref="N1752" r:id="rId3922"/>
    <hyperlink xmlns:r="http://schemas.openxmlformats.org/officeDocument/2006/relationships" ref="K1753" r:id="rId3923"/>
    <hyperlink xmlns:r="http://schemas.openxmlformats.org/officeDocument/2006/relationships" ref="N1753" r:id="rId3924"/>
    <hyperlink xmlns:r="http://schemas.openxmlformats.org/officeDocument/2006/relationships" ref="K1754" r:id="rId3925"/>
    <hyperlink xmlns:r="http://schemas.openxmlformats.org/officeDocument/2006/relationships" ref="N1754" r:id="rId3926"/>
    <hyperlink xmlns:r="http://schemas.openxmlformats.org/officeDocument/2006/relationships" ref="K1755" r:id="rId3927"/>
    <hyperlink xmlns:r="http://schemas.openxmlformats.org/officeDocument/2006/relationships" ref="N1755" r:id="rId3928"/>
    <hyperlink xmlns:r="http://schemas.openxmlformats.org/officeDocument/2006/relationships" ref="K1756" r:id="rId3929"/>
    <hyperlink xmlns:r="http://schemas.openxmlformats.org/officeDocument/2006/relationships" ref="N1756" r:id="rId3930"/>
    <hyperlink xmlns:r="http://schemas.openxmlformats.org/officeDocument/2006/relationships" ref="K1757" r:id="rId3931"/>
    <hyperlink xmlns:r="http://schemas.openxmlformats.org/officeDocument/2006/relationships" ref="N1757" r:id="rId3932"/>
    <hyperlink xmlns:r="http://schemas.openxmlformats.org/officeDocument/2006/relationships" ref="K1758" r:id="rId3933"/>
    <hyperlink xmlns:r="http://schemas.openxmlformats.org/officeDocument/2006/relationships" ref="N1758" r:id="rId3934"/>
    <hyperlink xmlns:r="http://schemas.openxmlformats.org/officeDocument/2006/relationships" ref="K1759" r:id="rId3935"/>
    <hyperlink xmlns:r="http://schemas.openxmlformats.org/officeDocument/2006/relationships" ref="N1759" r:id="rId3936"/>
    <hyperlink xmlns:r="http://schemas.openxmlformats.org/officeDocument/2006/relationships" ref="K1760" r:id="rId3937"/>
    <hyperlink xmlns:r="http://schemas.openxmlformats.org/officeDocument/2006/relationships" ref="N1760" r:id="rId3938"/>
    <hyperlink xmlns:r="http://schemas.openxmlformats.org/officeDocument/2006/relationships" ref="K1761" r:id="rId3939"/>
    <hyperlink xmlns:r="http://schemas.openxmlformats.org/officeDocument/2006/relationships" ref="N1761" r:id="rId3940"/>
    <hyperlink xmlns:r="http://schemas.openxmlformats.org/officeDocument/2006/relationships" ref="K1762" r:id="rId3941"/>
    <hyperlink xmlns:r="http://schemas.openxmlformats.org/officeDocument/2006/relationships" ref="N1762" r:id="rId3942"/>
    <hyperlink xmlns:r="http://schemas.openxmlformats.org/officeDocument/2006/relationships" ref="K1763" r:id="rId3943"/>
    <hyperlink xmlns:r="http://schemas.openxmlformats.org/officeDocument/2006/relationships" ref="N1763" r:id="rId3944"/>
    <hyperlink xmlns:r="http://schemas.openxmlformats.org/officeDocument/2006/relationships" ref="K1764" r:id="rId3945"/>
    <hyperlink xmlns:r="http://schemas.openxmlformats.org/officeDocument/2006/relationships" ref="N1764" r:id="rId3946"/>
    <hyperlink xmlns:r="http://schemas.openxmlformats.org/officeDocument/2006/relationships" ref="K1765" r:id="rId3947"/>
    <hyperlink xmlns:r="http://schemas.openxmlformats.org/officeDocument/2006/relationships" ref="N1765" r:id="rId3948"/>
    <hyperlink xmlns:r="http://schemas.openxmlformats.org/officeDocument/2006/relationships" ref="K1766" r:id="rId3949"/>
    <hyperlink xmlns:r="http://schemas.openxmlformats.org/officeDocument/2006/relationships" ref="N1766" r:id="rId3950"/>
    <hyperlink xmlns:r="http://schemas.openxmlformats.org/officeDocument/2006/relationships" ref="K1767" r:id="rId3951"/>
    <hyperlink xmlns:r="http://schemas.openxmlformats.org/officeDocument/2006/relationships" ref="N1767" r:id="rId3952"/>
    <hyperlink xmlns:r="http://schemas.openxmlformats.org/officeDocument/2006/relationships" ref="K1768" r:id="rId3953"/>
    <hyperlink xmlns:r="http://schemas.openxmlformats.org/officeDocument/2006/relationships" ref="N1768" r:id="rId3954"/>
    <hyperlink xmlns:r="http://schemas.openxmlformats.org/officeDocument/2006/relationships" ref="K1769" r:id="rId3955"/>
    <hyperlink xmlns:r="http://schemas.openxmlformats.org/officeDocument/2006/relationships" ref="N1769" r:id="rId3956"/>
    <hyperlink xmlns:r="http://schemas.openxmlformats.org/officeDocument/2006/relationships" ref="K1770" r:id="rId3957"/>
    <hyperlink xmlns:r="http://schemas.openxmlformats.org/officeDocument/2006/relationships" ref="N1770" r:id="rId3958"/>
    <hyperlink xmlns:r="http://schemas.openxmlformats.org/officeDocument/2006/relationships" ref="K1771" r:id="rId3959"/>
    <hyperlink xmlns:r="http://schemas.openxmlformats.org/officeDocument/2006/relationships" ref="N1771" r:id="rId3960"/>
    <hyperlink xmlns:r="http://schemas.openxmlformats.org/officeDocument/2006/relationships" ref="K1772" r:id="rId3961"/>
    <hyperlink xmlns:r="http://schemas.openxmlformats.org/officeDocument/2006/relationships" ref="N1772" r:id="rId3962"/>
    <hyperlink xmlns:r="http://schemas.openxmlformats.org/officeDocument/2006/relationships" ref="K1773" r:id="rId3963"/>
    <hyperlink xmlns:r="http://schemas.openxmlformats.org/officeDocument/2006/relationships" ref="N1773" r:id="rId3964"/>
    <hyperlink xmlns:r="http://schemas.openxmlformats.org/officeDocument/2006/relationships" ref="K1774" r:id="rId3965"/>
    <hyperlink xmlns:r="http://schemas.openxmlformats.org/officeDocument/2006/relationships" ref="N1774" r:id="rId3966"/>
    <hyperlink xmlns:r="http://schemas.openxmlformats.org/officeDocument/2006/relationships" ref="K1775" r:id="rId3967"/>
    <hyperlink xmlns:r="http://schemas.openxmlformats.org/officeDocument/2006/relationships" ref="N1775" r:id="rId3968"/>
    <hyperlink xmlns:r="http://schemas.openxmlformats.org/officeDocument/2006/relationships" ref="K1776" r:id="rId3969"/>
    <hyperlink xmlns:r="http://schemas.openxmlformats.org/officeDocument/2006/relationships" ref="N1776" r:id="rId3970"/>
    <hyperlink xmlns:r="http://schemas.openxmlformats.org/officeDocument/2006/relationships" ref="K1777" r:id="rId3971"/>
    <hyperlink xmlns:r="http://schemas.openxmlformats.org/officeDocument/2006/relationships" ref="N1777" r:id="rId3972"/>
    <hyperlink xmlns:r="http://schemas.openxmlformats.org/officeDocument/2006/relationships" ref="K1778" r:id="rId3973"/>
    <hyperlink xmlns:r="http://schemas.openxmlformats.org/officeDocument/2006/relationships" ref="N1778" r:id="rId3974"/>
    <hyperlink xmlns:r="http://schemas.openxmlformats.org/officeDocument/2006/relationships" ref="K1779" r:id="rId3975"/>
    <hyperlink xmlns:r="http://schemas.openxmlformats.org/officeDocument/2006/relationships" ref="N1779" r:id="rId3976"/>
    <hyperlink xmlns:r="http://schemas.openxmlformats.org/officeDocument/2006/relationships" ref="K1780" r:id="rId3977"/>
    <hyperlink xmlns:r="http://schemas.openxmlformats.org/officeDocument/2006/relationships" ref="N1780" r:id="rId3978"/>
    <hyperlink xmlns:r="http://schemas.openxmlformats.org/officeDocument/2006/relationships" ref="K1781" r:id="rId3979"/>
    <hyperlink xmlns:r="http://schemas.openxmlformats.org/officeDocument/2006/relationships" ref="N1781" r:id="rId3980"/>
    <hyperlink xmlns:r="http://schemas.openxmlformats.org/officeDocument/2006/relationships" ref="K1782" r:id="rId3981"/>
    <hyperlink xmlns:r="http://schemas.openxmlformats.org/officeDocument/2006/relationships" ref="N1782" r:id="rId3982"/>
    <hyperlink xmlns:r="http://schemas.openxmlformats.org/officeDocument/2006/relationships" ref="K1783" r:id="rId3983"/>
    <hyperlink xmlns:r="http://schemas.openxmlformats.org/officeDocument/2006/relationships" ref="N1783" r:id="rId3984"/>
    <hyperlink xmlns:r="http://schemas.openxmlformats.org/officeDocument/2006/relationships" ref="K1784" r:id="rId3985"/>
    <hyperlink xmlns:r="http://schemas.openxmlformats.org/officeDocument/2006/relationships" ref="N1784" r:id="rId3986"/>
    <hyperlink xmlns:r="http://schemas.openxmlformats.org/officeDocument/2006/relationships" ref="K1785" r:id="rId3987"/>
    <hyperlink xmlns:r="http://schemas.openxmlformats.org/officeDocument/2006/relationships" ref="N1785" r:id="rId3988"/>
    <hyperlink xmlns:r="http://schemas.openxmlformats.org/officeDocument/2006/relationships" ref="K1786" r:id="rId3989"/>
    <hyperlink xmlns:r="http://schemas.openxmlformats.org/officeDocument/2006/relationships" ref="N1786" r:id="rId3990"/>
    <hyperlink xmlns:r="http://schemas.openxmlformats.org/officeDocument/2006/relationships" ref="K1787" r:id="rId3991"/>
    <hyperlink xmlns:r="http://schemas.openxmlformats.org/officeDocument/2006/relationships" ref="N1787" r:id="rId3992"/>
    <hyperlink xmlns:r="http://schemas.openxmlformats.org/officeDocument/2006/relationships" ref="K1788" r:id="rId3993"/>
    <hyperlink xmlns:r="http://schemas.openxmlformats.org/officeDocument/2006/relationships" ref="N1788" r:id="rId3994"/>
    <hyperlink xmlns:r="http://schemas.openxmlformats.org/officeDocument/2006/relationships" ref="K1789" r:id="rId3995"/>
    <hyperlink xmlns:r="http://schemas.openxmlformats.org/officeDocument/2006/relationships" ref="N1789" r:id="rId3996"/>
    <hyperlink xmlns:r="http://schemas.openxmlformats.org/officeDocument/2006/relationships" ref="K1790" r:id="rId3997"/>
    <hyperlink xmlns:r="http://schemas.openxmlformats.org/officeDocument/2006/relationships" ref="N1790" r:id="rId3998"/>
    <hyperlink xmlns:r="http://schemas.openxmlformats.org/officeDocument/2006/relationships" ref="K1791" r:id="rId3999"/>
    <hyperlink xmlns:r="http://schemas.openxmlformats.org/officeDocument/2006/relationships" ref="N1791" r:id="rId4000"/>
    <hyperlink xmlns:r="http://schemas.openxmlformats.org/officeDocument/2006/relationships" ref="K1792" r:id="rId4001"/>
    <hyperlink xmlns:r="http://schemas.openxmlformats.org/officeDocument/2006/relationships" ref="N1792" r:id="rId4002"/>
    <hyperlink xmlns:r="http://schemas.openxmlformats.org/officeDocument/2006/relationships" ref="K1793" r:id="rId4003"/>
    <hyperlink xmlns:r="http://schemas.openxmlformats.org/officeDocument/2006/relationships" ref="N1793" r:id="rId4004"/>
    <hyperlink xmlns:r="http://schemas.openxmlformats.org/officeDocument/2006/relationships" ref="K1794" r:id="rId4005"/>
    <hyperlink xmlns:r="http://schemas.openxmlformats.org/officeDocument/2006/relationships" ref="N1794" r:id="rId4006"/>
    <hyperlink xmlns:r="http://schemas.openxmlformats.org/officeDocument/2006/relationships" ref="K1795" r:id="rId4007"/>
    <hyperlink xmlns:r="http://schemas.openxmlformats.org/officeDocument/2006/relationships" ref="N1795" r:id="rId4008"/>
    <hyperlink xmlns:r="http://schemas.openxmlformats.org/officeDocument/2006/relationships" ref="K1796" r:id="rId4009"/>
    <hyperlink xmlns:r="http://schemas.openxmlformats.org/officeDocument/2006/relationships" ref="N1796" r:id="rId4010"/>
    <hyperlink xmlns:r="http://schemas.openxmlformats.org/officeDocument/2006/relationships" ref="K1797" r:id="rId4011"/>
    <hyperlink xmlns:r="http://schemas.openxmlformats.org/officeDocument/2006/relationships" ref="N1797" r:id="rId4012"/>
    <hyperlink xmlns:r="http://schemas.openxmlformats.org/officeDocument/2006/relationships" ref="K1798" r:id="rId4013"/>
    <hyperlink xmlns:r="http://schemas.openxmlformats.org/officeDocument/2006/relationships" ref="N1798" r:id="rId4014"/>
    <hyperlink xmlns:r="http://schemas.openxmlformats.org/officeDocument/2006/relationships" ref="K1799" r:id="rId4015"/>
    <hyperlink xmlns:r="http://schemas.openxmlformats.org/officeDocument/2006/relationships" ref="N1799" r:id="rId4016"/>
    <hyperlink xmlns:r="http://schemas.openxmlformats.org/officeDocument/2006/relationships" ref="K1800" r:id="rId4017"/>
    <hyperlink xmlns:r="http://schemas.openxmlformats.org/officeDocument/2006/relationships" ref="N1800" r:id="rId4018"/>
    <hyperlink xmlns:r="http://schemas.openxmlformats.org/officeDocument/2006/relationships" ref="K1801" r:id="rId4019"/>
    <hyperlink xmlns:r="http://schemas.openxmlformats.org/officeDocument/2006/relationships" ref="N1801" r:id="rId4020"/>
    <hyperlink xmlns:r="http://schemas.openxmlformats.org/officeDocument/2006/relationships" ref="K1802" r:id="rId4021"/>
    <hyperlink xmlns:r="http://schemas.openxmlformats.org/officeDocument/2006/relationships" ref="N1802" r:id="rId4022"/>
    <hyperlink xmlns:r="http://schemas.openxmlformats.org/officeDocument/2006/relationships" ref="K1803" r:id="rId4023"/>
    <hyperlink xmlns:r="http://schemas.openxmlformats.org/officeDocument/2006/relationships" ref="N1803" r:id="rId4024"/>
    <hyperlink xmlns:r="http://schemas.openxmlformats.org/officeDocument/2006/relationships" ref="K1804" r:id="rId4025"/>
    <hyperlink xmlns:r="http://schemas.openxmlformats.org/officeDocument/2006/relationships" ref="N1804" r:id="rId4026"/>
    <hyperlink xmlns:r="http://schemas.openxmlformats.org/officeDocument/2006/relationships" ref="K1805" r:id="rId4027"/>
    <hyperlink xmlns:r="http://schemas.openxmlformats.org/officeDocument/2006/relationships" ref="N1805" r:id="rId4028"/>
    <hyperlink xmlns:r="http://schemas.openxmlformats.org/officeDocument/2006/relationships" ref="K1806" r:id="rId4029"/>
    <hyperlink xmlns:r="http://schemas.openxmlformats.org/officeDocument/2006/relationships" ref="N1806" r:id="rId4030"/>
    <hyperlink xmlns:r="http://schemas.openxmlformats.org/officeDocument/2006/relationships" ref="K1807" r:id="rId4031"/>
    <hyperlink xmlns:r="http://schemas.openxmlformats.org/officeDocument/2006/relationships" ref="N1807" r:id="rId4032"/>
    <hyperlink xmlns:r="http://schemas.openxmlformats.org/officeDocument/2006/relationships" ref="K1808" r:id="rId4033"/>
    <hyperlink xmlns:r="http://schemas.openxmlformats.org/officeDocument/2006/relationships" ref="N1808" r:id="rId4034"/>
    <hyperlink xmlns:r="http://schemas.openxmlformats.org/officeDocument/2006/relationships" ref="K1809" r:id="rId4035"/>
    <hyperlink xmlns:r="http://schemas.openxmlformats.org/officeDocument/2006/relationships" ref="N1809" r:id="rId4036"/>
    <hyperlink xmlns:r="http://schemas.openxmlformats.org/officeDocument/2006/relationships" ref="K1810" r:id="rId4037"/>
    <hyperlink xmlns:r="http://schemas.openxmlformats.org/officeDocument/2006/relationships" ref="N1810" r:id="rId4038"/>
    <hyperlink xmlns:r="http://schemas.openxmlformats.org/officeDocument/2006/relationships" ref="K1811" r:id="rId4039"/>
    <hyperlink xmlns:r="http://schemas.openxmlformats.org/officeDocument/2006/relationships" ref="N1811" r:id="rId4040"/>
    <hyperlink xmlns:r="http://schemas.openxmlformats.org/officeDocument/2006/relationships" ref="K1812" r:id="rId4041"/>
    <hyperlink xmlns:r="http://schemas.openxmlformats.org/officeDocument/2006/relationships" ref="N1812" r:id="rId4042"/>
    <hyperlink xmlns:r="http://schemas.openxmlformats.org/officeDocument/2006/relationships" ref="K1813" r:id="rId4043"/>
    <hyperlink xmlns:r="http://schemas.openxmlformats.org/officeDocument/2006/relationships" ref="N1813" r:id="rId4044"/>
    <hyperlink xmlns:r="http://schemas.openxmlformats.org/officeDocument/2006/relationships" ref="K1814" r:id="rId4045"/>
    <hyperlink xmlns:r="http://schemas.openxmlformats.org/officeDocument/2006/relationships" ref="N1814" r:id="rId4046"/>
    <hyperlink xmlns:r="http://schemas.openxmlformats.org/officeDocument/2006/relationships" ref="K1815" r:id="rId4047"/>
    <hyperlink xmlns:r="http://schemas.openxmlformats.org/officeDocument/2006/relationships" ref="N1815" r:id="rId4048"/>
    <hyperlink xmlns:r="http://schemas.openxmlformats.org/officeDocument/2006/relationships" ref="K1816" r:id="rId4049"/>
    <hyperlink xmlns:r="http://schemas.openxmlformats.org/officeDocument/2006/relationships" ref="N1816" r:id="rId4050"/>
    <hyperlink xmlns:r="http://schemas.openxmlformats.org/officeDocument/2006/relationships" ref="K1817" r:id="rId4051"/>
    <hyperlink xmlns:r="http://schemas.openxmlformats.org/officeDocument/2006/relationships" ref="N1817" r:id="rId4052"/>
    <hyperlink xmlns:r="http://schemas.openxmlformats.org/officeDocument/2006/relationships" ref="K1818" r:id="rId4053"/>
    <hyperlink xmlns:r="http://schemas.openxmlformats.org/officeDocument/2006/relationships" ref="N1818" r:id="rId4054"/>
    <hyperlink xmlns:r="http://schemas.openxmlformats.org/officeDocument/2006/relationships" ref="K1819" r:id="rId4055"/>
    <hyperlink xmlns:r="http://schemas.openxmlformats.org/officeDocument/2006/relationships" ref="N1819" r:id="rId4056"/>
    <hyperlink xmlns:r="http://schemas.openxmlformats.org/officeDocument/2006/relationships" ref="K1820" r:id="rId4057"/>
    <hyperlink xmlns:r="http://schemas.openxmlformats.org/officeDocument/2006/relationships" ref="N1820" r:id="rId4058"/>
    <hyperlink xmlns:r="http://schemas.openxmlformats.org/officeDocument/2006/relationships" ref="K1821" r:id="rId4059"/>
    <hyperlink xmlns:r="http://schemas.openxmlformats.org/officeDocument/2006/relationships" ref="N1821" r:id="rId4060"/>
    <hyperlink xmlns:r="http://schemas.openxmlformats.org/officeDocument/2006/relationships" ref="K1822" r:id="rId4061"/>
    <hyperlink xmlns:r="http://schemas.openxmlformats.org/officeDocument/2006/relationships" ref="N1822" r:id="rId4062"/>
    <hyperlink xmlns:r="http://schemas.openxmlformats.org/officeDocument/2006/relationships" ref="K1823" r:id="rId4063"/>
    <hyperlink xmlns:r="http://schemas.openxmlformats.org/officeDocument/2006/relationships" ref="N1823" r:id="rId4064"/>
    <hyperlink xmlns:r="http://schemas.openxmlformats.org/officeDocument/2006/relationships" ref="K1824" r:id="rId4065"/>
    <hyperlink xmlns:r="http://schemas.openxmlformats.org/officeDocument/2006/relationships" ref="N1824" r:id="rId4066"/>
    <hyperlink xmlns:r="http://schemas.openxmlformats.org/officeDocument/2006/relationships" ref="K1825" r:id="rId4067"/>
    <hyperlink xmlns:r="http://schemas.openxmlformats.org/officeDocument/2006/relationships" ref="N1825" r:id="rId4068"/>
    <hyperlink xmlns:r="http://schemas.openxmlformats.org/officeDocument/2006/relationships" ref="K1826" r:id="rId4069"/>
    <hyperlink xmlns:r="http://schemas.openxmlformats.org/officeDocument/2006/relationships" ref="N1826" r:id="rId4070"/>
    <hyperlink xmlns:r="http://schemas.openxmlformats.org/officeDocument/2006/relationships" ref="K1827" r:id="rId4071"/>
    <hyperlink xmlns:r="http://schemas.openxmlformats.org/officeDocument/2006/relationships" ref="N1827" r:id="rId4072"/>
    <hyperlink xmlns:r="http://schemas.openxmlformats.org/officeDocument/2006/relationships" ref="K1828" r:id="rId4073"/>
    <hyperlink xmlns:r="http://schemas.openxmlformats.org/officeDocument/2006/relationships" ref="N1828" r:id="rId4074"/>
    <hyperlink xmlns:r="http://schemas.openxmlformats.org/officeDocument/2006/relationships" ref="K1829" r:id="rId4075"/>
    <hyperlink xmlns:r="http://schemas.openxmlformats.org/officeDocument/2006/relationships" ref="N1829" r:id="rId4076"/>
    <hyperlink xmlns:r="http://schemas.openxmlformats.org/officeDocument/2006/relationships" ref="K1830" r:id="rId4077"/>
    <hyperlink xmlns:r="http://schemas.openxmlformats.org/officeDocument/2006/relationships" ref="N1830" r:id="rId4078"/>
    <hyperlink xmlns:r="http://schemas.openxmlformats.org/officeDocument/2006/relationships" ref="K1831" r:id="rId4079"/>
    <hyperlink xmlns:r="http://schemas.openxmlformats.org/officeDocument/2006/relationships" ref="N1831" r:id="rId4080"/>
    <hyperlink xmlns:r="http://schemas.openxmlformats.org/officeDocument/2006/relationships" ref="K1832" r:id="rId4081"/>
    <hyperlink xmlns:r="http://schemas.openxmlformats.org/officeDocument/2006/relationships" ref="N1832" r:id="rId4082"/>
    <hyperlink xmlns:r="http://schemas.openxmlformats.org/officeDocument/2006/relationships" ref="K1833" r:id="rId4083"/>
    <hyperlink xmlns:r="http://schemas.openxmlformats.org/officeDocument/2006/relationships" ref="N1833" r:id="rId4084"/>
    <hyperlink xmlns:r="http://schemas.openxmlformats.org/officeDocument/2006/relationships" ref="K1834" r:id="rId4085"/>
    <hyperlink xmlns:r="http://schemas.openxmlformats.org/officeDocument/2006/relationships" ref="N1834" r:id="rId4086"/>
    <hyperlink xmlns:r="http://schemas.openxmlformats.org/officeDocument/2006/relationships" ref="K1835" r:id="rId4087"/>
    <hyperlink xmlns:r="http://schemas.openxmlformats.org/officeDocument/2006/relationships" ref="N1835" r:id="rId4088"/>
    <hyperlink xmlns:r="http://schemas.openxmlformats.org/officeDocument/2006/relationships" ref="K1836" r:id="rId4089"/>
    <hyperlink xmlns:r="http://schemas.openxmlformats.org/officeDocument/2006/relationships" ref="N1836" r:id="rId4090"/>
    <hyperlink xmlns:r="http://schemas.openxmlformats.org/officeDocument/2006/relationships" ref="K1837" r:id="rId4091"/>
    <hyperlink xmlns:r="http://schemas.openxmlformats.org/officeDocument/2006/relationships" ref="N1837" r:id="rId4092"/>
    <hyperlink xmlns:r="http://schemas.openxmlformats.org/officeDocument/2006/relationships" ref="K1838" r:id="rId4093"/>
    <hyperlink xmlns:r="http://schemas.openxmlformats.org/officeDocument/2006/relationships" ref="N1838" r:id="rId4094"/>
    <hyperlink xmlns:r="http://schemas.openxmlformats.org/officeDocument/2006/relationships" ref="K1839" r:id="rId4095"/>
    <hyperlink xmlns:r="http://schemas.openxmlformats.org/officeDocument/2006/relationships" ref="N1839" r:id="rId4096"/>
    <hyperlink xmlns:r="http://schemas.openxmlformats.org/officeDocument/2006/relationships" ref="K1840" r:id="rId4097"/>
    <hyperlink xmlns:r="http://schemas.openxmlformats.org/officeDocument/2006/relationships" ref="N1840" r:id="rId4098"/>
    <hyperlink xmlns:r="http://schemas.openxmlformats.org/officeDocument/2006/relationships" ref="K1841" r:id="rId4099"/>
    <hyperlink xmlns:r="http://schemas.openxmlformats.org/officeDocument/2006/relationships" ref="N1841" r:id="rId4100"/>
    <hyperlink xmlns:r="http://schemas.openxmlformats.org/officeDocument/2006/relationships" ref="K1842" r:id="rId4101"/>
    <hyperlink xmlns:r="http://schemas.openxmlformats.org/officeDocument/2006/relationships" ref="N1842" r:id="rId4102"/>
    <hyperlink xmlns:r="http://schemas.openxmlformats.org/officeDocument/2006/relationships" ref="K1843" r:id="rId4103"/>
    <hyperlink xmlns:r="http://schemas.openxmlformats.org/officeDocument/2006/relationships" ref="N1843" r:id="rId4104"/>
    <hyperlink xmlns:r="http://schemas.openxmlformats.org/officeDocument/2006/relationships" ref="K1844" r:id="rId4105"/>
    <hyperlink xmlns:r="http://schemas.openxmlformats.org/officeDocument/2006/relationships" ref="N1844" r:id="rId4106"/>
    <hyperlink xmlns:r="http://schemas.openxmlformats.org/officeDocument/2006/relationships" ref="K1845" r:id="rId4107"/>
    <hyperlink xmlns:r="http://schemas.openxmlformats.org/officeDocument/2006/relationships" ref="N1845" r:id="rId4108"/>
    <hyperlink xmlns:r="http://schemas.openxmlformats.org/officeDocument/2006/relationships" ref="K1846" r:id="rId4109"/>
    <hyperlink xmlns:r="http://schemas.openxmlformats.org/officeDocument/2006/relationships" ref="N1846" r:id="rId4110"/>
    <hyperlink xmlns:r="http://schemas.openxmlformats.org/officeDocument/2006/relationships" ref="K1847" r:id="rId4111"/>
    <hyperlink xmlns:r="http://schemas.openxmlformats.org/officeDocument/2006/relationships" ref="N1847" r:id="rId4112"/>
    <hyperlink xmlns:r="http://schemas.openxmlformats.org/officeDocument/2006/relationships" ref="K1848" r:id="rId4113"/>
    <hyperlink xmlns:r="http://schemas.openxmlformats.org/officeDocument/2006/relationships" ref="N1848" r:id="rId4114"/>
    <hyperlink xmlns:r="http://schemas.openxmlformats.org/officeDocument/2006/relationships" ref="K1849" r:id="rId4115"/>
    <hyperlink xmlns:r="http://schemas.openxmlformats.org/officeDocument/2006/relationships" ref="N1849" r:id="rId4116"/>
    <hyperlink xmlns:r="http://schemas.openxmlformats.org/officeDocument/2006/relationships" ref="K1850" r:id="rId4117"/>
    <hyperlink xmlns:r="http://schemas.openxmlformats.org/officeDocument/2006/relationships" ref="N1850" r:id="rId4118"/>
    <hyperlink xmlns:r="http://schemas.openxmlformats.org/officeDocument/2006/relationships" ref="K1851" r:id="rId4119"/>
    <hyperlink xmlns:r="http://schemas.openxmlformats.org/officeDocument/2006/relationships" ref="N1851" r:id="rId4120"/>
    <hyperlink xmlns:r="http://schemas.openxmlformats.org/officeDocument/2006/relationships" ref="K1852" r:id="rId4121"/>
    <hyperlink xmlns:r="http://schemas.openxmlformats.org/officeDocument/2006/relationships" ref="N1852" r:id="rId4122"/>
    <hyperlink xmlns:r="http://schemas.openxmlformats.org/officeDocument/2006/relationships" ref="K1853" r:id="rId4123"/>
    <hyperlink xmlns:r="http://schemas.openxmlformats.org/officeDocument/2006/relationships" ref="N1853" r:id="rId4124"/>
    <hyperlink xmlns:r="http://schemas.openxmlformats.org/officeDocument/2006/relationships" ref="K1854" r:id="rId4125"/>
    <hyperlink xmlns:r="http://schemas.openxmlformats.org/officeDocument/2006/relationships" ref="N1854" r:id="rId4126"/>
    <hyperlink xmlns:r="http://schemas.openxmlformats.org/officeDocument/2006/relationships" ref="K1855" r:id="rId4127"/>
    <hyperlink xmlns:r="http://schemas.openxmlformats.org/officeDocument/2006/relationships" ref="N1855" r:id="rId4128"/>
    <hyperlink xmlns:r="http://schemas.openxmlformats.org/officeDocument/2006/relationships" ref="K1856" r:id="rId4129"/>
    <hyperlink xmlns:r="http://schemas.openxmlformats.org/officeDocument/2006/relationships" ref="N1856" r:id="rId4130"/>
    <hyperlink xmlns:r="http://schemas.openxmlformats.org/officeDocument/2006/relationships" ref="K1857" r:id="rId4131"/>
    <hyperlink xmlns:r="http://schemas.openxmlformats.org/officeDocument/2006/relationships" ref="N1857" r:id="rId4132"/>
    <hyperlink xmlns:r="http://schemas.openxmlformats.org/officeDocument/2006/relationships" ref="K1858" r:id="rId4133"/>
    <hyperlink xmlns:r="http://schemas.openxmlformats.org/officeDocument/2006/relationships" ref="N1858" r:id="rId4134"/>
    <hyperlink xmlns:r="http://schemas.openxmlformats.org/officeDocument/2006/relationships" ref="K1859" r:id="rId4135"/>
    <hyperlink xmlns:r="http://schemas.openxmlformats.org/officeDocument/2006/relationships" ref="N1859" r:id="rId4136"/>
    <hyperlink xmlns:r="http://schemas.openxmlformats.org/officeDocument/2006/relationships" ref="K1860" r:id="rId4137"/>
    <hyperlink xmlns:r="http://schemas.openxmlformats.org/officeDocument/2006/relationships" ref="N1860" r:id="rId4138"/>
    <hyperlink xmlns:r="http://schemas.openxmlformats.org/officeDocument/2006/relationships" ref="K1861" r:id="rId4139"/>
    <hyperlink xmlns:r="http://schemas.openxmlformats.org/officeDocument/2006/relationships" ref="N1861" r:id="rId4140"/>
    <hyperlink xmlns:r="http://schemas.openxmlformats.org/officeDocument/2006/relationships" ref="K1862" r:id="rId4141"/>
    <hyperlink xmlns:r="http://schemas.openxmlformats.org/officeDocument/2006/relationships" ref="N1862" r:id="rId4142"/>
    <hyperlink xmlns:r="http://schemas.openxmlformats.org/officeDocument/2006/relationships" ref="K1863" r:id="rId4143"/>
    <hyperlink xmlns:r="http://schemas.openxmlformats.org/officeDocument/2006/relationships" ref="N1863" r:id="rId4144"/>
    <hyperlink xmlns:r="http://schemas.openxmlformats.org/officeDocument/2006/relationships" ref="K1864" r:id="rId4145"/>
    <hyperlink xmlns:r="http://schemas.openxmlformats.org/officeDocument/2006/relationships" ref="N1864" r:id="rId4146"/>
    <hyperlink xmlns:r="http://schemas.openxmlformats.org/officeDocument/2006/relationships" ref="K1865" r:id="rId4147"/>
    <hyperlink xmlns:r="http://schemas.openxmlformats.org/officeDocument/2006/relationships" ref="N1865" r:id="rId4148"/>
    <hyperlink xmlns:r="http://schemas.openxmlformats.org/officeDocument/2006/relationships" ref="K1866" r:id="rId4149"/>
    <hyperlink xmlns:r="http://schemas.openxmlformats.org/officeDocument/2006/relationships" ref="N1866" r:id="rId4150"/>
    <hyperlink xmlns:r="http://schemas.openxmlformats.org/officeDocument/2006/relationships" ref="K1867" r:id="rId4151"/>
    <hyperlink xmlns:r="http://schemas.openxmlformats.org/officeDocument/2006/relationships" ref="N1867" r:id="rId4152"/>
    <hyperlink xmlns:r="http://schemas.openxmlformats.org/officeDocument/2006/relationships" ref="K1868" r:id="rId4153"/>
    <hyperlink xmlns:r="http://schemas.openxmlformats.org/officeDocument/2006/relationships" ref="N1868" r:id="rId4154"/>
    <hyperlink xmlns:r="http://schemas.openxmlformats.org/officeDocument/2006/relationships" ref="K1869" r:id="rId4155"/>
    <hyperlink xmlns:r="http://schemas.openxmlformats.org/officeDocument/2006/relationships" ref="N1869" r:id="rId4156"/>
    <hyperlink xmlns:r="http://schemas.openxmlformats.org/officeDocument/2006/relationships" ref="K1870" r:id="rId4157"/>
    <hyperlink xmlns:r="http://schemas.openxmlformats.org/officeDocument/2006/relationships" ref="N1870" r:id="rId4158"/>
    <hyperlink xmlns:r="http://schemas.openxmlformats.org/officeDocument/2006/relationships" ref="K1871" r:id="rId4159"/>
    <hyperlink xmlns:r="http://schemas.openxmlformats.org/officeDocument/2006/relationships" ref="N1871" r:id="rId4160"/>
    <hyperlink xmlns:r="http://schemas.openxmlformats.org/officeDocument/2006/relationships" ref="K1872" r:id="rId4161"/>
    <hyperlink xmlns:r="http://schemas.openxmlformats.org/officeDocument/2006/relationships" ref="N1872" r:id="rId4162"/>
    <hyperlink xmlns:r="http://schemas.openxmlformats.org/officeDocument/2006/relationships" ref="K1873" r:id="rId4163"/>
    <hyperlink xmlns:r="http://schemas.openxmlformats.org/officeDocument/2006/relationships" ref="N1873" r:id="rId4164"/>
    <hyperlink xmlns:r="http://schemas.openxmlformats.org/officeDocument/2006/relationships" ref="K1874" r:id="rId4165"/>
    <hyperlink xmlns:r="http://schemas.openxmlformats.org/officeDocument/2006/relationships" ref="N1874" r:id="rId4166"/>
    <hyperlink xmlns:r="http://schemas.openxmlformats.org/officeDocument/2006/relationships" ref="K1875" r:id="rId4167"/>
    <hyperlink xmlns:r="http://schemas.openxmlformats.org/officeDocument/2006/relationships" ref="N1875" r:id="rId4168"/>
    <hyperlink xmlns:r="http://schemas.openxmlformats.org/officeDocument/2006/relationships" ref="K1876" r:id="rId4169"/>
    <hyperlink xmlns:r="http://schemas.openxmlformats.org/officeDocument/2006/relationships" ref="N1876" r:id="rId4170"/>
    <hyperlink xmlns:r="http://schemas.openxmlformats.org/officeDocument/2006/relationships" ref="K1877" r:id="rId4171"/>
    <hyperlink xmlns:r="http://schemas.openxmlformats.org/officeDocument/2006/relationships" ref="N1877" r:id="rId4172"/>
    <hyperlink xmlns:r="http://schemas.openxmlformats.org/officeDocument/2006/relationships" ref="K1878" r:id="rId4173"/>
    <hyperlink xmlns:r="http://schemas.openxmlformats.org/officeDocument/2006/relationships" ref="N1878" r:id="rId4174"/>
    <hyperlink xmlns:r="http://schemas.openxmlformats.org/officeDocument/2006/relationships" ref="K1879" r:id="rId4175"/>
    <hyperlink xmlns:r="http://schemas.openxmlformats.org/officeDocument/2006/relationships" ref="N1879" r:id="rId4176"/>
    <hyperlink xmlns:r="http://schemas.openxmlformats.org/officeDocument/2006/relationships" ref="K1880" r:id="rId4177"/>
    <hyperlink xmlns:r="http://schemas.openxmlformats.org/officeDocument/2006/relationships" ref="N1880" r:id="rId4178"/>
    <hyperlink xmlns:r="http://schemas.openxmlformats.org/officeDocument/2006/relationships" ref="K1881" r:id="rId4179"/>
    <hyperlink xmlns:r="http://schemas.openxmlformats.org/officeDocument/2006/relationships" ref="N1881" r:id="rId4180"/>
    <hyperlink xmlns:r="http://schemas.openxmlformats.org/officeDocument/2006/relationships" ref="K1882" r:id="rId4181"/>
    <hyperlink xmlns:r="http://schemas.openxmlformats.org/officeDocument/2006/relationships" ref="N1882" r:id="rId4182"/>
    <hyperlink xmlns:r="http://schemas.openxmlformats.org/officeDocument/2006/relationships" ref="K1883" r:id="rId4183"/>
    <hyperlink xmlns:r="http://schemas.openxmlformats.org/officeDocument/2006/relationships" ref="N1883" r:id="rId4184"/>
    <hyperlink xmlns:r="http://schemas.openxmlformats.org/officeDocument/2006/relationships" ref="K1884" r:id="rId4185"/>
    <hyperlink xmlns:r="http://schemas.openxmlformats.org/officeDocument/2006/relationships" ref="N1884" r:id="rId4186"/>
    <hyperlink xmlns:r="http://schemas.openxmlformats.org/officeDocument/2006/relationships" ref="K1885" r:id="rId4187"/>
    <hyperlink xmlns:r="http://schemas.openxmlformats.org/officeDocument/2006/relationships" ref="N1885" r:id="rId4188"/>
    <hyperlink xmlns:r="http://schemas.openxmlformats.org/officeDocument/2006/relationships" ref="K1886" r:id="rId4189"/>
    <hyperlink xmlns:r="http://schemas.openxmlformats.org/officeDocument/2006/relationships" ref="N1886" r:id="rId4190"/>
    <hyperlink xmlns:r="http://schemas.openxmlformats.org/officeDocument/2006/relationships" ref="K1887" r:id="rId4191"/>
    <hyperlink xmlns:r="http://schemas.openxmlformats.org/officeDocument/2006/relationships" ref="N1887" r:id="rId4192"/>
    <hyperlink xmlns:r="http://schemas.openxmlformats.org/officeDocument/2006/relationships" ref="K1888" r:id="rId4193"/>
    <hyperlink xmlns:r="http://schemas.openxmlformats.org/officeDocument/2006/relationships" ref="N1888" r:id="rId4194"/>
    <hyperlink xmlns:r="http://schemas.openxmlformats.org/officeDocument/2006/relationships" ref="K1889" r:id="rId4195"/>
    <hyperlink xmlns:r="http://schemas.openxmlformats.org/officeDocument/2006/relationships" ref="N1889" r:id="rId4196"/>
    <hyperlink xmlns:r="http://schemas.openxmlformats.org/officeDocument/2006/relationships" ref="K1890" r:id="rId4197"/>
    <hyperlink xmlns:r="http://schemas.openxmlformats.org/officeDocument/2006/relationships" ref="N1890" r:id="rId4198"/>
    <hyperlink xmlns:r="http://schemas.openxmlformats.org/officeDocument/2006/relationships" ref="K1891" r:id="rId4199"/>
    <hyperlink xmlns:r="http://schemas.openxmlformats.org/officeDocument/2006/relationships" ref="N1891" r:id="rId4200"/>
    <hyperlink xmlns:r="http://schemas.openxmlformats.org/officeDocument/2006/relationships" ref="K1892" r:id="rId4201"/>
    <hyperlink xmlns:r="http://schemas.openxmlformats.org/officeDocument/2006/relationships" ref="N1892" r:id="rId4202"/>
    <hyperlink xmlns:r="http://schemas.openxmlformats.org/officeDocument/2006/relationships" ref="K1893" r:id="rId4203"/>
    <hyperlink xmlns:r="http://schemas.openxmlformats.org/officeDocument/2006/relationships" ref="N1893" r:id="rId4204"/>
    <hyperlink xmlns:r="http://schemas.openxmlformats.org/officeDocument/2006/relationships" ref="K1894" r:id="rId4205"/>
    <hyperlink xmlns:r="http://schemas.openxmlformats.org/officeDocument/2006/relationships" ref="N1894" r:id="rId4206"/>
    <hyperlink xmlns:r="http://schemas.openxmlformats.org/officeDocument/2006/relationships" ref="K1895" r:id="rId4207"/>
    <hyperlink xmlns:r="http://schemas.openxmlformats.org/officeDocument/2006/relationships" ref="N1895" r:id="rId4208"/>
    <hyperlink xmlns:r="http://schemas.openxmlformats.org/officeDocument/2006/relationships" ref="AA1895" r:id="rId4209"/>
    <hyperlink xmlns:r="http://schemas.openxmlformats.org/officeDocument/2006/relationships" ref="K1896" r:id="rId4210"/>
    <hyperlink xmlns:r="http://schemas.openxmlformats.org/officeDocument/2006/relationships" ref="N1896" r:id="rId4211"/>
    <hyperlink xmlns:r="http://schemas.openxmlformats.org/officeDocument/2006/relationships" ref="AA1896" r:id="rId4212"/>
    <hyperlink xmlns:r="http://schemas.openxmlformats.org/officeDocument/2006/relationships" ref="K1897" r:id="rId4213"/>
    <hyperlink xmlns:r="http://schemas.openxmlformats.org/officeDocument/2006/relationships" ref="N1897" r:id="rId4214"/>
    <hyperlink xmlns:r="http://schemas.openxmlformats.org/officeDocument/2006/relationships" ref="AA1897" r:id="rId4215"/>
    <hyperlink xmlns:r="http://schemas.openxmlformats.org/officeDocument/2006/relationships" ref="K1898" r:id="rId4216"/>
    <hyperlink xmlns:r="http://schemas.openxmlformats.org/officeDocument/2006/relationships" ref="N1898" r:id="rId4217"/>
    <hyperlink xmlns:r="http://schemas.openxmlformats.org/officeDocument/2006/relationships" ref="AA1898" r:id="rId4218"/>
    <hyperlink xmlns:r="http://schemas.openxmlformats.org/officeDocument/2006/relationships" ref="K1899" r:id="rId4219"/>
    <hyperlink xmlns:r="http://schemas.openxmlformats.org/officeDocument/2006/relationships" ref="N1899" r:id="rId4220"/>
    <hyperlink xmlns:r="http://schemas.openxmlformats.org/officeDocument/2006/relationships" ref="AA1899" r:id="rId4221"/>
    <hyperlink xmlns:r="http://schemas.openxmlformats.org/officeDocument/2006/relationships" ref="K1900" r:id="rId4222"/>
    <hyperlink xmlns:r="http://schemas.openxmlformats.org/officeDocument/2006/relationships" ref="N1900" r:id="rId4223"/>
    <hyperlink xmlns:r="http://schemas.openxmlformats.org/officeDocument/2006/relationships" ref="AA1900" r:id="rId4224"/>
    <hyperlink xmlns:r="http://schemas.openxmlformats.org/officeDocument/2006/relationships" ref="K1901" r:id="rId4225"/>
    <hyperlink xmlns:r="http://schemas.openxmlformats.org/officeDocument/2006/relationships" ref="N1901" r:id="rId4226"/>
    <hyperlink xmlns:r="http://schemas.openxmlformats.org/officeDocument/2006/relationships" ref="AA1901" r:id="rId4227"/>
    <hyperlink xmlns:r="http://schemas.openxmlformats.org/officeDocument/2006/relationships" ref="K1902" r:id="rId4228"/>
    <hyperlink xmlns:r="http://schemas.openxmlformats.org/officeDocument/2006/relationships" ref="N1902" r:id="rId4229"/>
    <hyperlink xmlns:r="http://schemas.openxmlformats.org/officeDocument/2006/relationships" ref="AA1902" r:id="rId4230"/>
    <hyperlink xmlns:r="http://schemas.openxmlformats.org/officeDocument/2006/relationships" ref="K1903" r:id="rId4231"/>
    <hyperlink xmlns:r="http://schemas.openxmlformats.org/officeDocument/2006/relationships" ref="N1903" r:id="rId4232"/>
    <hyperlink xmlns:r="http://schemas.openxmlformats.org/officeDocument/2006/relationships" ref="AA1903" r:id="rId4233"/>
    <hyperlink xmlns:r="http://schemas.openxmlformats.org/officeDocument/2006/relationships" ref="K1904" r:id="rId4234"/>
    <hyperlink xmlns:r="http://schemas.openxmlformats.org/officeDocument/2006/relationships" ref="N1904" r:id="rId4235"/>
    <hyperlink xmlns:r="http://schemas.openxmlformats.org/officeDocument/2006/relationships" ref="AA1904" r:id="rId4236"/>
    <hyperlink xmlns:r="http://schemas.openxmlformats.org/officeDocument/2006/relationships" ref="K1905" r:id="rId4237"/>
    <hyperlink xmlns:r="http://schemas.openxmlformats.org/officeDocument/2006/relationships" ref="N1905" r:id="rId4238"/>
    <hyperlink xmlns:r="http://schemas.openxmlformats.org/officeDocument/2006/relationships" ref="AA1905" r:id="rId4239"/>
    <hyperlink xmlns:r="http://schemas.openxmlformats.org/officeDocument/2006/relationships" ref="K1906" r:id="rId4240"/>
    <hyperlink xmlns:r="http://schemas.openxmlformats.org/officeDocument/2006/relationships" ref="N1906" r:id="rId4241"/>
    <hyperlink xmlns:r="http://schemas.openxmlformats.org/officeDocument/2006/relationships" ref="AA1906" r:id="rId4242"/>
    <hyperlink xmlns:r="http://schemas.openxmlformats.org/officeDocument/2006/relationships" ref="K1907" r:id="rId4243"/>
    <hyperlink xmlns:r="http://schemas.openxmlformats.org/officeDocument/2006/relationships" ref="N1907" r:id="rId4244"/>
    <hyperlink xmlns:r="http://schemas.openxmlformats.org/officeDocument/2006/relationships" ref="AA1907" r:id="rId4245"/>
    <hyperlink xmlns:r="http://schemas.openxmlformats.org/officeDocument/2006/relationships" ref="K1908" r:id="rId4246"/>
    <hyperlink xmlns:r="http://schemas.openxmlformats.org/officeDocument/2006/relationships" ref="N1908" r:id="rId4247"/>
    <hyperlink xmlns:r="http://schemas.openxmlformats.org/officeDocument/2006/relationships" ref="AA1908" r:id="rId4248"/>
    <hyperlink xmlns:r="http://schemas.openxmlformats.org/officeDocument/2006/relationships" ref="K1909" r:id="rId4249"/>
    <hyperlink xmlns:r="http://schemas.openxmlformats.org/officeDocument/2006/relationships" ref="N1909" r:id="rId4250"/>
    <hyperlink xmlns:r="http://schemas.openxmlformats.org/officeDocument/2006/relationships" ref="AA1909" r:id="rId4251"/>
    <hyperlink xmlns:r="http://schemas.openxmlformats.org/officeDocument/2006/relationships" ref="K1910" r:id="rId4252"/>
    <hyperlink xmlns:r="http://schemas.openxmlformats.org/officeDocument/2006/relationships" ref="N1910" r:id="rId4253"/>
    <hyperlink xmlns:r="http://schemas.openxmlformats.org/officeDocument/2006/relationships" ref="AA1910" r:id="rId4254"/>
    <hyperlink xmlns:r="http://schemas.openxmlformats.org/officeDocument/2006/relationships" ref="K1911" r:id="rId4255"/>
    <hyperlink xmlns:r="http://schemas.openxmlformats.org/officeDocument/2006/relationships" ref="N1911" r:id="rId4256"/>
    <hyperlink xmlns:r="http://schemas.openxmlformats.org/officeDocument/2006/relationships" ref="AA1911" r:id="rId4257"/>
    <hyperlink xmlns:r="http://schemas.openxmlformats.org/officeDocument/2006/relationships" ref="K1912" r:id="rId4258"/>
    <hyperlink xmlns:r="http://schemas.openxmlformats.org/officeDocument/2006/relationships" ref="N1912" r:id="rId4259"/>
    <hyperlink xmlns:r="http://schemas.openxmlformats.org/officeDocument/2006/relationships" ref="AA1912" r:id="rId4260"/>
    <hyperlink xmlns:r="http://schemas.openxmlformats.org/officeDocument/2006/relationships" ref="K1913" r:id="rId4261"/>
    <hyperlink xmlns:r="http://schemas.openxmlformats.org/officeDocument/2006/relationships" ref="N1913" r:id="rId4262"/>
    <hyperlink xmlns:r="http://schemas.openxmlformats.org/officeDocument/2006/relationships" ref="AA1913" r:id="rId4263"/>
    <hyperlink xmlns:r="http://schemas.openxmlformats.org/officeDocument/2006/relationships" ref="K1914" r:id="rId4264"/>
    <hyperlink xmlns:r="http://schemas.openxmlformats.org/officeDocument/2006/relationships" ref="N1914" r:id="rId4265"/>
    <hyperlink xmlns:r="http://schemas.openxmlformats.org/officeDocument/2006/relationships" ref="AA1914" r:id="rId4266"/>
    <hyperlink xmlns:r="http://schemas.openxmlformats.org/officeDocument/2006/relationships" ref="K1915" r:id="rId4267"/>
    <hyperlink xmlns:r="http://schemas.openxmlformats.org/officeDocument/2006/relationships" ref="N1915" r:id="rId4268"/>
    <hyperlink xmlns:r="http://schemas.openxmlformats.org/officeDocument/2006/relationships" ref="K1916" r:id="rId4269"/>
    <hyperlink xmlns:r="http://schemas.openxmlformats.org/officeDocument/2006/relationships" ref="N1916" r:id="rId4270"/>
    <hyperlink xmlns:r="http://schemas.openxmlformats.org/officeDocument/2006/relationships" ref="AA1916" r:id="rId4271"/>
    <hyperlink xmlns:r="http://schemas.openxmlformats.org/officeDocument/2006/relationships" ref="K1917" r:id="rId4272"/>
    <hyperlink xmlns:r="http://schemas.openxmlformats.org/officeDocument/2006/relationships" ref="N1917" r:id="rId4273"/>
    <hyperlink xmlns:r="http://schemas.openxmlformats.org/officeDocument/2006/relationships" ref="AA1917" r:id="rId4274"/>
    <hyperlink xmlns:r="http://schemas.openxmlformats.org/officeDocument/2006/relationships" ref="K1918" r:id="rId4275"/>
    <hyperlink xmlns:r="http://schemas.openxmlformats.org/officeDocument/2006/relationships" ref="N1918" r:id="rId4276"/>
    <hyperlink xmlns:r="http://schemas.openxmlformats.org/officeDocument/2006/relationships" ref="AA1918" r:id="rId4277"/>
    <hyperlink xmlns:r="http://schemas.openxmlformats.org/officeDocument/2006/relationships" ref="K1919" r:id="rId4278"/>
    <hyperlink xmlns:r="http://schemas.openxmlformats.org/officeDocument/2006/relationships" ref="N1919" r:id="rId4279"/>
    <hyperlink xmlns:r="http://schemas.openxmlformats.org/officeDocument/2006/relationships" ref="AA1919" r:id="rId4280"/>
    <hyperlink xmlns:r="http://schemas.openxmlformats.org/officeDocument/2006/relationships" ref="K1920" r:id="rId4281"/>
    <hyperlink xmlns:r="http://schemas.openxmlformats.org/officeDocument/2006/relationships" ref="N1920" r:id="rId4282"/>
    <hyperlink xmlns:r="http://schemas.openxmlformats.org/officeDocument/2006/relationships" ref="AA1920" r:id="rId4283"/>
    <hyperlink xmlns:r="http://schemas.openxmlformats.org/officeDocument/2006/relationships" ref="K1921" r:id="rId4284"/>
    <hyperlink xmlns:r="http://schemas.openxmlformats.org/officeDocument/2006/relationships" ref="N1921" r:id="rId4285"/>
    <hyperlink xmlns:r="http://schemas.openxmlformats.org/officeDocument/2006/relationships" ref="AA1921" r:id="rId4286"/>
    <hyperlink xmlns:r="http://schemas.openxmlformats.org/officeDocument/2006/relationships" ref="K1922" r:id="rId4287"/>
    <hyperlink xmlns:r="http://schemas.openxmlformats.org/officeDocument/2006/relationships" ref="N1922" r:id="rId4288"/>
    <hyperlink xmlns:r="http://schemas.openxmlformats.org/officeDocument/2006/relationships" ref="AA1922" r:id="rId4289"/>
    <hyperlink xmlns:r="http://schemas.openxmlformats.org/officeDocument/2006/relationships" ref="K1928" r:id="rId4290"/>
    <hyperlink xmlns:r="http://schemas.openxmlformats.org/officeDocument/2006/relationships" ref="N1928" r:id="rId4291"/>
    <hyperlink xmlns:r="http://schemas.openxmlformats.org/officeDocument/2006/relationships" ref="AA1928" r:id="rId4292"/>
    <hyperlink xmlns:r="http://schemas.openxmlformats.org/officeDocument/2006/relationships" ref="K1929" r:id="rId4293"/>
    <hyperlink xmlns:r="http://schemas.openxmlformats.org/officeDocument/2006/relationships" ref="N1929" r:id="rId4294"/>
    <hyperlink xmlns:r="http://schemas.openxmlformats.org/officeDocument/2006/relationships" ref="AA1929" r:id="rId4295"/>
    <hyperlink xmlns:r="http://schemas.openxmlformats.org/officeDocument/2006/relationships" ref="K1930" r:id="rId4296"/>
    <hyperlink xmlns:r="http://schemas.openxmlformats.org/officeDocument/2006/relationships" ref="N1930" r:id="rId4297"/>
    <hyperlink xmlns:r="http://schemas.openxmlformats.org/officeDocument/2006/relationships" ref="AA1930" r:id="rId4298"/>
    <hyperlink xmlns:r="http://schemas.openxmlformats.org/officeDocument/2006/relationships" ref="K1931" r:id="rId4299"/>
    <hyperlink xmlns:r="http://schemas.openxmlformats.org/officeDocument/2006/relationships" ref="N1931" r:id="rId4300"/>
    <hyperlink xmlns:r="http://schemas.openxmlformats.org/officeDocument/2006/relationships" ref="AA1931" r:id="rId4301"/>
    <hyperlink xmlns:r="http://schemas.openxmlformats.org/officeDocument/2006/relationships" ref="K1932" r:id="rId4302"/>
    <hyperlink xmlns:r="http://schemas.openxmlformats.org/officeDocument/2006/relationships" ref="N1932" r:id="rId4303"/>
    <hyperlink xmlns:r="http://schemas.openxmlformats.org/officeDocument/2006/relationships" ref="AA1932" r:id="rId4304"/>
    <hyperlink xmlns:r="http://schemas.openxmlformats.org/officeDocument/2006/relationships" ref="K1933" r:id="rId4305"/>
    <hyperlink xmlns:r="http://schemas.openxmlformats.org/officeDocument/2006/relationships" ref="N1933" r:id="rId4306"/>
    <hyperlink xmlns:r="http://schemas.openxmlformats.org/officeDocument/2006/relationships" ref="AA1933" r:id="rId4307"/>
    <hyperlink xmlns:r="http://schemas.openxmlformats.org/officeDocument/2006/relationships" ref="K1934" r:id="rId4308"/>
    <hyperlink xmlns:r="http://schemas.openxmlformats.org/officeDocument/2006/relationships" ref="N1934" r:id="rId4309"/>
    <hyperlink xmlns:r="http://schemas.openxmlformats.org/officeDocument/2006/relationships" ref="AA1934" r:id="rId4310"/>
    <hyperlink xmlns:r="http://schemas.openxmlformats.org/officeDocument/2006/relationships" ref="K1935" r:id="rId4311"/>
    <hyperlink xmlns:r="http://schemas.openxmlformats.org/officeDocument/2006/relationships" ref="N1935" r:id="rId4312"/>
    <hyperlink xmlns:r="http://schemas.openxmlformats.org/officeDocument/2006/relationships" ref="AA1935" r:id="rId4313"/>
    <hyperlink xmlns:r="http://schemas.openxmlformats.org/officeDocument/2006/relationships" ref="K1936" r:id="rId4314"/>
    <hyperlink xmlns:r="http://schemas.openxmlformats.org/officeDocument/2006/relationships" ref="N1936" r:id="rId4315"/>
    <hyperlink xmlns:r="http://schemas.openxmlformats.org/officeDocument/2006/relationships" ref="AA1936" r:id="rId4316"/>
    <hyperlink xmlns:r="http://schemas.openxmlformats.org/officeDocument/2006/relationships" ref="K1937" r:id="rId4317"/>
    <hyperlink xmlns:r="http://schemas.openxmlformats.org/officeDocument/2006/relationships" ref="N1937" r:id="rId4318"/>
    <hyperlink xmlns:r="http://schemas.openxmlformats.org/officeDocument/2006/relationships" ref="AA1937" r:id="rId4319"/>
    <hyperlink xmlns:r="http://schemas.openxmlformats.org/officeDocument/2006/relationships" ref="K1938" r:id="rId4320"/>
    <hyperlink xmlns:r="http://schemas.openxmlformats.org/officeDocument/2006/relationships" ref="N1938" r:id="rId4321"/>
    <hyperlink xmlns:r="http://schemas.openxmlformats.org/officeDocument/2006/relationships" ref="AA1938" r:id="rId4322"/>
    <hyperlink xmlns:r="http://schemas.openxmlformats.org/officeDocument/2006/relationships" ref="K1939" r:id="rId4323"/>
    <hyperlink xmlns:r="http://schemas.openxmlformats.org/officeDocument/2006/relationships" ref="N1939" r:id="rId4324"/>
    <hyperlink xmlns:r="http://schemas.openxmlformats.org/officeDocument/2006/relationships" ref="AA1939" r:id="rId4325"/>
    <hyperlink xmlns:r="http://schemas.openxmlformats.org/officeDocument/2006/relationships" ref="K1940" r:id="rId4326"/>
    <hyperlink xmlns:r="http://schemas.openxmlformats.org/officeDocument/2006/relationships" ref="N1940" r:id="rId4327"/>
    <hyperlink xmlns:r="http://schemas.openxmlformats.org/officeDocument/2006/relationships" ref="AA1940" r:id="rId4328"/>
    <hyperlink xmlns:r="http://schemas.openxmlformats.org/officeDocument/2006/relationships" ref="K1941" r:id="rId4329"/>
    <hyperlink xmlns:r="http://schemas.openxmlformats.org/officeDocument/2006/relationships" ref="N1941" r:id="rId4330"/>
    <hyperlink xmlns:r="http://schemas.openxmlformats.org/officeDocument/2006/relationships" ref="AA1941" r:id="rId4331"/>
    <hyperlink xmlns:r="http://schemas.openxmlformats.org/officeDocument/2006/relationships" ref="K1942" r:id="rId4332"/>
    <hyperlink xmlns:r="http://schemas.openxmlformats.org/officeDocument/2006/relationships" ref="N1942" r:id="rId4333"/>
    <hyperlink xmlns:r="http://schemas.openxmlformats.org/officeDocument/2006/relationships" ref="AA1942" r:id="rId4334"/>
    <hyperlink xmlns:r="http://schemas.openxmlformats.org/officeDocument/2006/relationships" ref="K1943" r:id="rId4335"/>
    <hyperlink xmlns:r="http://schemas.openxmlformats.org/officeDocument/2006/relationships" ref="N1943" r:id="rId4336"/>
    <hyperlink xmlns:r="http://schemas.openxmlformats.org/officeDocument/2006/relationships" ref="AA1943" r:id="rId4337"/>
    <hyperlink xmlns:r="http://schemas.openxmlformats.org/officeDocument/2006/relationships" ref="AB1943" r:id="rId4338"/>
    <hyperlink xmlns:r="http://schemas.openxmlformats.org/officeDocument/2006/relationships" ref="K1944" r:id="rId4339"/>
    <hyperlink xmlns:r="http://schemas.openxmlformats.org/officeDocument/2006/relationships" ref="N1944" r:id="rId4340"/>
    <hyperlink xmlns:r="http://schemas.openxmlformats.org/officeDocument/2006/relationships" ref="AA1944" r:id="rId4341"/>
    <hyperlink xmlns:r="http://schemas.openxmlformats.org/officeDocument/2006/relationships" ref="AB1944" r:id="rId4342"/>
    <hyperlink xmlns:r="http://schemas.openxmlformats.org/officeDocument/2006/relationships" ref="K1945" r:id="rId4343"/>
    <hyperlink xmlns:r="http://schemas.openxmlformats.org/officeDocument/2006/relationships" ref="N1945" r:id="rId4344"/>
    <hyperlink xmlns:r="http://schemas.openxmlformats.org/officeDocument/2006/relationships" ref="AA1945" r:id="rId4345"/>
    <hyperlink xmlns:r="http://schemas.openxmlformats.org/officeDocument/2006/relationships" ref="AB1945" r:id="rId4346"/>
    <hyperlink xmlns:r="http://schemas.openxmlformats.org/officeDocument/2006/relationships" ref="K1946" r:id="rId4347"/>
    <hyperlink xmlns:r="http://schemas.openxmlformats.org/officeDocument/2006/relationships" ref="N1946" r:id="rId4348"/>
    <hyperlink xmlns:r="http://schemas.openxmlformats.org/officeDocument/2006/relationships" ref="AA1946" r:id="rId4349"/>
    <hyperlink xmlns:r="http://schemas.openxmlformats.org/officeDocument/2006/relationships" ref="AB1946" r:id="rId4350"/>
    <hyperlink xmlns:r="http://schemas.openxmlformats.org/officeDocument/2006/relationships" ref="K1947" r:id="rId4351"/>
    <hyperlink xmlns:r="http://schemas.openxmlformats.org/officeDocument/2006/relationships" ref="N1947" r:id="rId4352"/>
    <hyperlink xmlns:r="http://schemas.openxmlformats.org/officeDocument/2006/relationships" ref="AA1947" r:id="rId4353"/>
    <hyperlink xmlns:r="http://schemas.openxmlformats.org/officeDocument/2006/relationships" ref="AB1947" r:id="rId4354"/>
    <hyperlink xmlns:r="http://schemas.openxmlformats.org/officeDocument/2006/relationships" ref="K1948" r:id="rId4355"/>
    <hyperlink xmlns:r="http://schemas.openxmlformats.org/officeDocument/2006/relationships" ref="N1948" r:id="rId4356"/>
    <hyperlink xmlns:r="http://schemas.openxmlformats.org/officeDocument/2006/relationships" ref="AA1948" r:id="rId4357"/>
    <hyperlink xmlns:r="http://schemas.openxmlformats.org/officeDocument/2006/relationships" ref="AB1948" r:id="rId4358"/>
    <hyperlink xmlns:r="http://schemas.openxmlformats.org/officeDocument/2006/relationships" ref="K1949" r:id="rId4359"/>
    <hyperlink xmlns:r="http://schemas.openxmlformats.org/officeDocument/2006/relationships" ref="N1949" r:id="rId4360"/>
    <hyperlink xmlns:r="http://schemas.openxmlformats.org/officeDocument/2006/relationships" ref="AA1949" r:id="rId4361"/>
    <hyperlink xmlns:r="http://schemas.openxmlformats.org/officeDocument/2006/relationships" ref="AB1949" r:id="rId4362"/>
    <hyperlink xmlns:r="http://schemas.openxmlformats.org/officeDocument/2006/relationships" ref="K1950" r:id="rId4363"/>
    <hyperlink xmlns:r="http://schemas.openxmlformats.org/officeDocument/2006/relationships" ref="N1950" r:id="rId4364"/>
    <hyperlink xmlns:r="http://schemas.openxmlformats.org/officeDocument/2006/relationships" ref="AA1950" r:id="rId4365"/>
    <hyperlink xmlns:r="http://schemas.openxmlformats.org/officeDocument/2006/relationships" ref="AB1950" r:id="rId4366"/>
    <hyperlink xmlns:r="http://schemas.openxmlformats.org/officeDocument/2006/relationships" ref="K1951" r:id="rId4367"/>
    <hyperlink xmlns:r="http://schemas.openxmlformats.org/officeDocument/2006/relationships" ref="N1951" r:id="rId4368"/>
    <hyperlink xmlns:r="http://schemas.openxmlformats.org/officeDocument/2006/relationships" ref="AA1951" r:id="rId4369"/>
    <hyperlink xmlns:r="http://schemas.openxmlformats.org/officeDocument/2006/relationships" ref="AB1951" r:id="rId4370"/>
    <hyperlink xmlns:r="http://schemas.openxmlformats.org/officeDocument/2006/relationships" ref="K1952" r:id="rId4371"/>
    <hyperlink xmlns:r="http://schemas.openxmlformats.org/officeDocument/2006/relationships" ref="N1952" r:id="rId4372"/>
    <hyperlink xmlns:r="http://schemas.openxmlformats.org/officeDocument/2006/relationships" ref="AA1952" r:id="rId4373"/>
    <hyperlink xmlns:r="http://schemas.openxmlformats.org/officeDocument/2006/relationships" ref="AB1952" r:id="rId4374"/>
    <hyperlink xmlns:r="http://schemas.openxmlformats.org/officeDocument/2006/relationships" ref="K1953" r:id="rId4375"/>
    <hyperlink xmlns:r="http://schemas.openxmlformats.org/officeDocument/2006/relationships" ref="N1953" r:id="rId4376"/>
    <hyperlink xmlns:r="http://schemas.openxmlformats.org/officeDocument/2006/relationships" ref="AA1953" r:id="rId4377"/>
    <hyperlink xmlns:r="http://schemas.openxmlformats.org/officeDocument/2006/relationships" ref="AB1953" r:id="rId4378"/>
    <hyperlink xmlns:r="http://schemas.openxmlformats.org/officeDocument/2006/relationships" ref="K1954" r:id="rId4379"/>
    <hyperlink xmlns:r="http://schemas.openxmlformats.org/officeDocument/2006/relationships" ref="N1954" r:id="rId4380"/>
    <hyperlink xmlns:r="http://schemas.openxmlformats.org/officeDocument/2006/relationships" ref="AA1954" r:id="rId4381"/>
    <hyperlink xmlns:r="http://schemas.openxmlformats.org/officeDocument/2006/relationships" ref="AB1954" r:id="rId4382"/>
    <hyperlink xmlns:r="http://schemas.openxmlformats.org/officeDocument/2006/relationships" ref="K1955" r:id="rId4383"/>
    <hyperlink xmlns:r="http://schemas.openxmlformats.org/officeDocument/2006/relationships" ref="N1955" r:id="rId4384"/>
    <hyperlink xmlns:r="http://schemas.openxmlformats.org/officeDocument/2006/relationships" ref="AA1955" r:id="rId4385"/>
    <hyperlink xmlns:r="http://schemas.openxmlformats.org/officeDocument/2006/relationships" ref="AB1955" r:id="rId4386"/>
    <hyperlink xmlns:r="http://schemas.openxmlformats.org/officeDocument/2006/relationships" ref="K1956" r:id="rId4387"/>
    <hyperlink xmlns:r="http://schemas.openxmlformats.org/officeDocument/2006/relationships" ref="N1956" r:id="rId4388"/>
    <hyperlink xmlns:r="http://schemas.openxmlformats.org/officeDocument/2006/relationships" ref="AA1956" r:id="rId4389"/>
    <hyperlink xmlns:r="http://schemas.openxmlformats.org/officeDocument/2006/relationships" ref="AB1956" r:id="rId4390"/>
    <hyperlink xmlns:r="http://schemas.openxmlformats.org/officeDocument/2006/relationships" ref="K1957" r:id="rId4391"/>
    <hyperlink xmlns:r="http://schemas.openxmlformats.org/officeDocument/2006/relationships" ref="N1957" r:id="rId4392"/>
    <hyperlink xmlns:r="http://schemas.openxmlformats.org/officeDocument/2006/relationships" ref="AA1957" r:id="rId4393"/>
    <hyperlink xmlns:r="http://schemas.openxmlformats.org/officeDocument/2006/relationships" ref="AB1957" r:id="rId4394"/>
    <hyperlink xmlns:r="http://schemas.openxmlformats.org/officeDocument/2006/relationships" ref="K1958" r:id="rId4395"/>
    <hyperlink xmlns:r="http://schemas.openxmlformats.org/officeDocument/2006/relationships" ref="N1958" r:id="rId4396"/>
    <hyperlink xmlns:r="http://schemas.openxmlformats.org/officeDocument/2006/relationships" ref="AA1958" r:id="rId4397"/>
    <hyperlink xmlns:r="http://schemas.openxmlformats.org/officeDocument/2006/relationships" ref="AB1958" r:id="rId4398"/>
    <hyperlink xmlns:r="http://schemas.openxmlformats.org/officeDocument/2006/relationships" ref="K1959" r:id="rId4399"/>
    <hyperlink xmlns:r="http://schemas.openxmlformats.org/officeDocument/2006/relationships" ref="N1959" r:id="rId4400"/>
    <hyperlink xmlns:r="http://schemas.openxmlformats.org/officeDocument/2006/relationships" ref="AA1959" r:id="rId4401"/>
    <hyperlink xmlns:r="http://schemas.openxmlformats.org/officeDocument/2006/relationships" ref="AB1959" r:id="rId4402"/>
    <hyperlink xmlns:r="http://schemas.openxmlformats.org/officeDocument/2006/relationships" ref="K1960" r:id="rId4403"/>
    <hyperlink xmlns:r="http://schemas.openxmlformats.org/officeDocument/2006/relationships" ref="N1960" r:id="rId4404"/>
    <hyperlink xmlns:r="http://schemas.openxmlformats.org/officeDocument/2006/relationships" ref="AA1960" r:id="rId4405"/>
    <hyperlink xmlns:r="http://schemas.openxmlformats.org/officeDocument/2006/relationships" ref="AB1960" r:id="rId4406"/>
    <hyperlink xmlns:r="http://schemas.openxmlformats.org/officeDocument/2006/relationships" ref="K1961" r:id="rId4407"/>
    <hyperlink xmlns:r="http://schemas.openxmlformats.org/officeDocument/2006/relationships" ref="N1961" r:id="rId4408"/>
    <hyperlink xmlns:r="http://schemas.openxmlformats.org/officeDocument/2006/relationships" ref="AA1961" r:id="rId4409"/>
    <hyperlink xmlns:r="http://schemas.openxmlformats.org/officeDocument/2006/relationships" ref="AB1961" r:id="rId4410"/>
    <hyperlink xmlns:r="http://schemas.openxmlformats.org/officeDocument/2006/relationships" ref="K1962" r:id="rId4411"/>
    <hyperlink xmlns:r="http://schemas.openxmlformats.org/officeDocument/2006/relationships" ref="N1962" r:id="rId4412"/>
    <hyperlink xmlns:r="http://schemas.openxmlformats.org/officeDocument/2006/relationships" ref="AA1962" r:id="rId4413"/>
    <hyperlink xmlns:r="http://schemas.openxmlformats.org/officeDocument/2006/relationships" ref="AB1962" r:id="rId4414"/>
    <hyperlink xmlns:r="http://schemas.openxmlformats.org/officeDocument/2006/relationships" ref="K1963" r:id="rId4415"/>
    <hyperlink xmlns:r="http://schemas.openxmlformats.org/officeDocument/2006/relationships" ref="N1963" r:id="rId4416"/>
    <hyperlink xmlns:r="http://schemas.openxmlformats.org/officeDocument/2006/relationships" ref="AA1963" r:id="rId4417"/>
    <hyperlink xmlns:r="http://schemas.openxmlformats.org/officeDocument/2006/relationships" ref="AB1963" r:id="rId4418"/>
    <hyperlink xmlns:r="http://schemas.openxmlformats.org/officeDocument/2006/relationships" ref="K1964" r:id="rId4419"/>
    <hyperlink xmlns:r="http://schemas.openxmlformats.org/officeDocument/2006/relationships" ref="N1964" r:id="rId4420"/>
    <hyperlink xmlns:r="http://schemas.openxmlformats.org/officeDocument/2006/relationships" ref="AA1964" r:id="rId4421"/>
    <hyperlink xmlns:r="http://schemas.openxmlformats.org/officeDocument/2006/relationships" ref="AB1964" r:id="rId4422"/>
    <hyperlink xmlns:r="http://schemas.openxmlformats.org/officeDocument/2006/relationships" ref="K1965" r:id="rId4423"/>
    <hyperlink xmlns:r="http://schemas.openxmlformats.org/officeDocument/2006/relationships" ref="N1965" r:id="rId4424"/>
    <hyperlink xmlns:r="http://schemas.openxmlformats.org/officeDocument/2006/relationships" ref="AA1965" r:id="rId4425"/>
    <hyperlink xmlns:r="http://schemas.openxmlformats.org/officeDocument/2006/relationships" ref="AB1965" r:id="rId4426"/>
    <hyperlink xmlns:r="http://schemas.openxmlformats.org/officeDocument/2006/relationships" ref="K1966" r:id="rId4427"/>
    <hyperlink xmlns:r="http://schemas.openxmlformats.org/officeDocument/2006/relationships" ref="N1966" r:id="rId4428"/>
    <hyperlink xmlns:r="http://schemas.openxmlformats.org/officeDocument/2006/relationships" ref="AA1966" r:id="rId4429"/>
    <hyperlink xmlns:r="http://schemas.openxmlformats.org/officeDocument/2006/relationships" ref="AB1966" r:id="rId4430"/>
    <hyperlink xmlns:r="http://schemas.openxmlformats.org/officeDocument/2006/relationships" ref="K1967" r:id="rId4431"/>
    <hyperlink xmlns:r="http://schemas.openxmlformats.org/officeDocument/2006/relationships" ref="N1967" r:id="rId4432"/>
    <hyperlink xmlns:r="http://schemas.openxmlformats.org/officeDocument/2006/relationships" ref="AA1967" r:id="rId4433"/>
    <hyperlink xmlns:r="http://schemas.openxmlformats.org/officeDocument/2006/relationships" ref="AB1967" r:id="rId4434"/>
    <hyperlink xmlns:r="http://schemas.openxmlformats.org/officeDocument/2006/relationships" ref="K1968" r:id="rId4435"/>
    <hyperlink xmlns:r="http://schemas.openxmlformats.org/officeDocument/2006/relationships" ref="N1968" r:id="rId4436"/>
    <hyperlink xmlns:r="http://schemas.openxmlformats.org/officeDocument/2006/relationships" ref="AA1968" r:id="rId4437"/>
    <hyperlink xmlns:r="http://schemas.openxmlformats.org/officeDocument/2006/relationships" ref="AB1968" r:id="rId4438"/>
    <hyperlink xmlns:r="http://schemas.openxmlformats.org/officeDocument/2006/relationships" ref="K1969" r:id="rId4439"/>
    <hyperlink xmlns:r="http://schemas.openxmlformats.org/officeDocument/2006/relationships" ref="N1969" r:id="rId4440"/>
    <hyperlink xmlns:r="http://schemas.openxmlformats.org/officeDocument/2006/relationships" ref="AA1969" r:id="rId4441"/>
    <hyperlink xmlns:r="http://schemas.openxmlformats.org/officeDocument/2006/relationships" ref="AB1969" r:id="rId4442"/>
    <hyperlink xmlns:r="http://schemas.openxmlformats.org/officeDocument/2006/relationships" ref="K1970" r:id="rId4443"/>
    <hyperlink xmlns:r="http://schemas.openxmlformats.org/officeDocument/2006/relationships" ref="N1970" r:id="rId4444"/>
    <hyperlink xmlns:r="http://schemas.openxmlformats.org/officeDocument/2006/relationships" ref="AA1970" r:id="rId4445"/>
    <hyperlink xmlns:r="http://schemas.openxmlformats.org/officeDocument/2006/relationships" ref="AB1970" r:id="rId4446"/>
    <hyperlink xmlns:r="http://schemas.openxmlformats.org/officeDocument/2006/relationships" ref="K1971" r:id="rId4447"/>
    <hyperlink xmlns:r="http://schemas.openxmlformats.org/officeDocument/2006/relationships" ref="N1971" r:id="rId4448"/>
    <hyperlink xmlns:r="http://schemas.openxmlformats.org/officeDocument/2006/relationships" ref="AA1971" r:id="rId4449"/>
    <hyperlink xmlns:r="http://schemas.openxmlformats.org/officeDocument/2006/relationships" ref="AB1971" r:id="rId4450"/>
    <hyperlink xmlns:r="http://schemas.openxmlformats.org/officeDocument/2006/relationships" ref="K1972" r:id="rId4451"/>
    <hyperlink xmlns:r="http://schemas.openxmlformats.org/officeDocument/2006/relationships" ref="N1972" r:id="rId4452"/>
    <hyperlink xmlns:r="http://schemas.openxmlformats.org/officeDocument/2006/relationships" ref="AA1972" r:id="rId4453"/>
    <hyperlink xmlns:r="http://schemas.openxmlformats.org/officeDocument/2006/relationships" ref="AB1972" r:id="rId4454"/>
    <hyperlink xmlns:r="http://schemas.openxmlformats.org/officeDocument/2006/relationships" ref="K1973" r:id="rId4455"/>
    <hyperlink xmlns:r="http://schemas.openxmlformats.org/officeDocument/2006/relationships" ref="N1973" r:id="rId4456"/>
    <hyperlink xmlns:r="http://schemas.openxmlformats.org/officeDocument/2006/relationships" ref="AA1973" r:id="rId4457"/>
    <hyperlink xmlns:r="http://schemas.openxmlformats.org/officeDocument/2006/relationships" ref="K1974" r:id="rId4458"/>
    <hyperlink xmlns:r="http://schemas.openxmlformats.org/officeDocument/2006/relationships" ref="N1974" r:id="rId4459"/>
    <hyperlink xmlns:r="http://schemas.openxmlformats.org/officeDocument/2006/relationships" ref="AA1974" r:id="rId4460"/>
    <hyperlink xmlns:r="http://schemas.openxmlformats.org/officeDocument/2006/relationships" ref="K1975" r:id="rId4461"/>
    <hyperlink xmlns:r="http://schemas.openxmlformats.org/officeDocument/2006/relationships" ref="N1975" r:id="rId4462"/>
    <hyperlink xmlns:r="http://schemas.openxmlformats.org/officeDocument/2006/relationships" ref="AA1975" r:id="rId4463"/>
    <hyperlink xmlns:r="http://schemas.openxmlformats.org/officeDocument/2006/relationships" ref="K1976" r:id="rId4464"/>
    <hyperlink xmlns:r="http://schemas.openxmlformats.org/officeDocument/2006/relationships" ref="N1976" r:id="rId4465"/>
    <hyperlink xmlns:r="http://schemas.openxmlformats.org/officeDocument/2006/relationships" ref="AA1976" r:id="rId4466"/>
    <hyperlink xmlns:r="http://schemas.openxmlformats.org/officeDocument/2006/relationships" ref="K1977" r:id="rId4467"/>
    <hyperlink xmlns:r="http://schemas.openxmlformats.org/officeDocument/2006/relationships" ref="N1977" r:id="rId4468"/>
    <hyperlink xmlns:r="http://schemas.openxmlformats.org/officeDocument/2006/relationships" ref="K1978" r:id="rId4469"/>
    <hyperlink xmlns:r="http://schemas.openxmlformats.org/officeDocument/2006/relationships" ref="N1978" r:id="rId4470"/>
    <hyperlink xmlns:r="http://schemas.openxmlformats.org/officeDocument/2006/relationships" ref="K1979" r:id="rId4471"/>
    <hyperlink xmlns:r="http://schemas.openxmlformats.org/officeDocument/2006/relationships" ref="N1979" r:id="rId4472"/>
    <hyperlink xmlns:r="http://schemas.openxmlformats.org/officeDocument/2006/relationships" ref="K1980" r:id="rId4473"/>
    <hyperlink xmlns:r="http://schemas.openxmlformats.org/officeDocument/2006/relationships" ref="N1980" r:id="rId4474"/>
    <hyperlink xmlns:r="http://schemas.openxmlformats.org/officeDocument/2006/relationships" ref="K1981" r:id="rId4475"/>
    <hyperlink xmlns:r="http://schemas.openxmlformats.org/officeDocument/2006/relationships" ref="N1981" r:id="rId4476"/>
    <hyperlink xmlns:r="http://schemas.openxmlformats.org/officeDocument/2006/relationships" ref="K1982" r:id="rId4477"/>
    <hyperlink xmlns:r="http://schemas.openxmlformats.org/officeDocument/2006/relationships" ref="N1982" r:id="rId4478"/>
    <hyperlink xmlns:r="http://schemas.openxmlformats.org/officeDocument/2006/relationships" ref="K1983" r:id="rId4479"/>
    <hyperlink xmlns:r="http://schemas.openxmlformats.org/officeDocument/2006/relationships" ref="N1983" r:id="rId4480"/>
    <hyperlink xmlns:r="http://schemas.openxmlformats.org/officeDocument/2006/relationships" ref="K1984" r:id="rId4481"/>
    <hyperlink xmlns:r="http://schemas.openxmlformats.org/officeDocument/2006/relationships" ref="N1984" r:id="rId4482"/>
    <hyperlink xmlns:r="http://schemas.openxmlformats.org/officeDocument/2006/relationships" ref="K1985" r:id="rId4483"/>
    <hyperlink xmlns:r="http://schemas.openxmlformats.org/officeDocument/2006/relationships" ref="N1985" r:id="rId4484"/>
    <hyperlink xmlns:r="http://schemas.openxmlformats.org/officeDocument/2006/relationships" ref="K1986" r:id="rId4485"/>
    <hyperlink xmlns:r="http://schemas.openxmlformats.org/officeDocument/2006/relationships" ref="N1986" r:id="rId4486"/>
    <hyperlink xmlns:r="http://schemas.openxmlformats.org/officeDocument/2006/relationships" ref="K1987" r:id="rId4487"/>
    <hyperlink xmlns:r="http://schemas.openxmlformats.org/officeDocument/2006/relationships" ref="N1987" r:id="rId4488"/>
    <hyperlink xmlns:r="http://schemas.openxmlformats.org/officeDocument/2006/relationships" ref="K1988" r:id="rId4489"/>
    <hyperlink xmlns:r="http://schemas.openxmlformats.org/officeDocument/2006/relationships" ref="N1988" r:id="rId4490"/>
    <hyperlink xmlns:r="http://schemas.openxmlformats.org/officeDocument/2006/relationships" ref="K1989" r:id="rId4491"/>
    <hyperlink xmlns:r="http://schemas.openxmlformats.org/officeDocument/2006/relationships" ref="N1989" r:id="rId4492"/>
    <hyperlink xmlns:r="http://schemas.openxmlformats.org/officeDocument/2006/relationships" ref="K1990" r:id="rId4493"/>
    <hyperlink xmlns:r="http://schemas.openxmlformats.org/officeDocument/2006/relationships" ref="N1990" r:id="rId4494"/>
    <hyperlink xmlns:r="http://schemas.openxmlformats.org/officeDocument/2006/relationships" ref="K1991" r:id="rId4495"/>
    <hyperlink xmlns:r="http://schemas.openxmlformats.org/officeDocument/2006/relationships" ref="N1991" r:id="rId4496"/>
    <hyperlink xmlns:r="http://schemas.openxmlformats.org/officeDocument/2006/relationships" ref="K1992" r:id="rId4497"/>
    <hyperlink xmlns:r="http://schemas.openxmlformats.org/officeDocument/2006/relationships" ref="N1992" r:id="rId4498"/>
    <hyperlink xmlns:r="http://schemas.openxmlformats.org/officeDocument/2006/relationships" ref="K1993" r:id="rId4499"/>
    <hyperlink xmlns:r="http://schemas.openxmlformats.org/officeDocument/2006/relationships" ref="N1993" r:id="rId4500"/>
    <hyperlink xmlns:r="http://schemas.openxmlformats.org/officeDocument/2006/relationships" ref="K1994" r:id="rId4501"/>
    <hyperlink xmlns:r="http://schemas.openxmlformats.org/officeDocument/2006/relationships" ref="N1994" r:id="rId4502"/>
    <hyperlink xmlns:r="http://schemas.openxmlformats.org/officeDocument/2006/relationships" ref="K1995" r:id="rId4503"/>
    <hyperlink xmlns:r="http://schemas.openxmlformats.org/officeDocument/2006/relationships" ref="N1995" r:id="rId4504"/>
    <hyperlink xmlns:r="http://schemas.openxmlformats.org/officeDocument/2006/relationships" ref="K1996" r:id="rId4505"/>
    <hyperlink xmlns:r="http://schemas.openxmlformats.org/officeDocument/2006/relationships" ref="N1996" r:id="rId4506"/>
    <hyperlink xmlns:r="http://schemas.openxmlformats.org/officeDocument/2006/relationships" ref="K1997" r:id="rId4507"/>
    <hyperlink xmlns:r="http://schemas.openxmlformats.org/officeDocument/2006/relationships" ref="N1997" r:id="rId4508"/>
    <hyperlink xmlns:r="http://schemas.openxmlformats.org/officeDocument/2006/relationships" ref="K1998" r:id="rId4509"/>
    <hyperlink xmlns:r="http://schemas.openxmlformats.org/officeDocument/2006/relationships" ref="N1998" r:id="rId4510"/>
    <hyperlink xmlns:r="http://schemas.openxmlformats.org/officeDocument/2006/relationships" ref="K1999" r:id="rId4511"/>
    <hyperlink xmlns:r="http://schemas.openxmlformats.org/officeDocument/2006/relationships" ref="N1999" r:id="rId4512"/>
    <hyperlink xmlns:r="http://schemas.openxmlformats.org/officeDocument/2006/relationships" ref="K2000" r:id="rId4513"/>
    <hyperlink xmlns:r="http://schemas.openxmlformats.org/officeDocument/2006/relationships" ref="N2000" r:id="rId4514"/>
    <hyperlink xmlns:r="http://schemas.openxmlformats.org/officeDocument/2006/relationships" ref="K2001" r:id="rId4515"/>
    <hyperlink xmlns:r="http://schemas.openxmlformats.org/officeDocument/2006/relationships" ref="N2001" r:id="rId4516"/>
    <hyperlink xmlns:r="http://schemas.openxmlformats.org/officeDocument/2006/relationships" ref="K2002" r:id="rId4517"/>
    <hyperlink xmlns:r="http://schemas.openxmlformats.org/officeDocument/2006/relationships" ref="N2002" r:id="rId4518"/>
    <hyperlink xmlns:r="http://schemas.openxmlformats.org/officeDocument/2006/relationships" ref="K2003" r:id="rId4519"/>
    <hyperlink xmlns:r="http://schemas.openxmlformats.org/officeDocument/2006/relationships" ref="N2003" r:id="rId4520"/>
    <hyperlink xmlns:r="http://schemas.openxmlformats.org/officeDocument/2006/relationships" ref="K2004" r:id="rId4521"/>
    <hyperlink xmlns:r="http://schemas.openxmlformats.org/officeDocument/2006/relationships" ref="N2004" r:id="rId4522"/>
    <hyperlink xmlns:r="http://schemas.openxmlformats.org/officeDocument/2006/relationships" ref="K2005" r:id="rId4523"/>
    <hyperlink xmlns:r="http://schemas.openxmlformats.org/officeDocument/2006/relationships" ref="N2005" r:id="rId4524"/>
    <hyperlink xmlns:r="http://schemas.openxmlformats.org/officeDocument/2006/relationships" ref="K2006" r:id="rId4525"/>
    <hyperlink xmlns:r="http://schemas.openxmlformats.org/officeDocument/2006/relationships" ref="N2006" r:id="rId4526"/>
    <hyperlink xmlns:r="http://schemas.openxmlformats.org/officeDocument/2006/relationships" ref="K2007" r:id="rId4527"/>
    <hyperlink xmlns:r="http://schemas.openxmlformats.org/officeDocument/2006/relationships" ref="N2007" r:id="rId4528"/>
  </hyperlinks>
  <pageMargins left="0.7" right="0.7" top="0.75" bottom="0.75" header="0.3" footer="0.3"/>
</worksheet>
</file>

<file path=xl/worksheets/sheet3.xml><?xml version="1.0" encoding="utf-8"?>
<worksheet xmlns="http://schemas.openxmlformats.org/spreadsheetml/2006/main">
  <sheetPr>
    <tabColor rgb="001F497D"/>
    <outlinePr summaryBelow="1" summaryRight="1"/>
    <pageSetUpPr/>
  </sheetPr>
  <dimension ref="A1:AA2007"/>
  <sheetViews>
    <sheetView workbookViewId="0">
      <selection activeCell="A1" sqref="A1"/>
    </sheetView>
  </sheetViews>
  <sheetFormatPr baseColWidth="8" defaultRowHeight="15"/>
  <cols>
    <col width="12" customWidth="1" min="1" max="1"/>
    <col width="12" customWidth="1" min="2" max="2"/>
    <col width="15" customWidth="1" min="3" max="3"/>
    <col width="12" customWidth="1" min="4" max="4"/>
    <col width="12" customWidth="1" min="5" max="5"/>
    <col width="14" customWidth="1" min="6" max="6"/>
    <col width="12" customWidth="1" min="7" max="7"/>
    <col width="14" customWidth="1" min="8" max="8"/>
    <col width="15" customWidth="1" min="9" max="9"/>
    <col width="12" customWidth="1" min="10" max="10"/>
    <col width="13" customWidth="1" min="11" max="11"/>
    <col width="19" customWidth="1" min="12" max="12"/>
    <col width="21" customWidth="1" min="13" max="13"/>
    <col width="24" customWidth="1" min="14" max="14"/>
    <col width="21" customWidth="1" min="15" max="15"/>
    <col width="14" customWidth="1" min="16" max="16"/>
    <col width="19" customWidth="1" min="17" max="17"/>
    <col width="20" customWidth="1" min="18" max="18"/>
    <col width="16" customWidth="1" min="19" max="19"/>
    <col width="20" customWidth="1" min="20" max="20"/>
    <col width="18" customWidth="1" min="21" max="21"/>
    <col width="17" customWidth="1" min="22" max="22"/>
    <col width="13" customWidth="1" min="23" max="23"/>
    <col width="16" customWidth="1" min="24" max="24"/>
    <col width="20" customWidth="1" min="25" max="25"/>
    <col width="17" customWidth="1" min="26" max="26"/>
    <col width="12" customWidth="1" min="27" max="27"/>
  </cols>
  <sheetData>
    <row r="1">
      <c r="A1" s="197" t="inlineStr">
        <is>
          <t>Type</t>
        </is>
      </c>
      <c r="B1" s="197" t="inlineStr">
        <is>
          <t>ID</t>
        </is>
      </c>
      <c r="C1" s="197" t="inlineStr">
        <is>
          <t>Description</t>
        </is>
      </c>
      <c r="D1" s="197" t="inlineStr">
        <is>
          <t>CVSS</t>
        </is>
      </c>
      <c r="E1" s="197" t="inlineStr">
        <is>
          <t>Severity</t>
        </is>
      </c>
      <c r="F1" s="197" t="inlineStr">
        <is>
          <t>Likelihood</t>
        </is>
      </c>
      <c r="G1" s="197" t="inlineStr">
        <is>
          <t>Impact</t>
        </is>
      </c>
      <c r="H1" s="197" t="inlineStr">
        <is>
          <t>Risk_Level</t>
        </is>
      </c>
      <c r="I1" s="197" t="inlineStr">
        <is>
          <t>Final_Score</t>
        </is>
      </c>
      <c r="J1" s="197" t="inlineStr">
        <is>
          <t>CISA_KEV</t>
        </is>
      </c>
      <c r="K1" s="197" t="inlineStr">
        <is>
          <t>Timestamp</t>
        </is>
      </c>
      <c r="L1" s="197" t="inlineStr">
        <is>
          <t>Patch_Available</t>
        </is>
      </c>
      <c r="M1" s="197" t="inlineStr">
        <is>
          <t>Affected_Products</t>
        </is>
      </c>
      <c r="N1" s="197" t="inlineStr">
        <is>
          <t>Remediation_Priority</t>
        </is>
      </c>
      <c r="O1" s="197" t="inlineStr">
        <is>
          <t>GreyNoise_Context</t>
        </is>
      </c>
      <c r="P1" s="197" t="inlineStr">
        <is>
          <t>EPSS_Score</t>
        </is>
      </c>
      <c r="Q1" s="197" t="inlineStr">
        <is>
          <t>EPSS_Percentile</t>
        </is>
      </c>
      <c r="R1" s="197" t="inlineStr">
        <is>
          <t>MITRE_Techniques</t>
        </is>
      </c>
      <c r="S1" s="197" t="inlineStr">
        <is>
          <t>Source_Count</t>
        </is>
      </c>
      <c r="T1" s="197" t="inlineStr">
        <is>
          <t>Confidence_Score</t>
        </is>
      </c>
      <c r="U1" s="197" t="inlineStr">
        <is>
          <t>Exploit_Status</t>
        </is>
      </c>
      <c r="V1" s="197" t="inlineStr">
        <is>
          <t>Fix_Available</t>
        </is>
      </c>
      <c r="W1" s="197" t="inlineStr">
        <is>
          <t>Intel_URL</t>
        </is>
      </c>
      <c r="X1" s="197" t="inlineStr">
        <is>
          <t>ZDI_Advisory</t>
        </is>
      </c>
      <c r="Y1" s="197" t="inlineStr">
        <is>
          <t>AttackerKB_Score</t>
        </is>
      </c>
      <c r="Z1" s="197" t="inlineStr">
        <is>
          <t>News_Coverage</t>
        </is>
      </c>
      <c r="AA1" s="197" t="inlineStr">
        <is>
          <t>Link</t>
        </is>
      </c>
    </row>
    <row r="2">
      <c r="A2" t="inlineStr">
        <is>
          <t>CVE</t>
        </is>
      </c>
      <c r="B2" t="inlineStr">
        <is>
          <t>CVE-2025-12062</t>
        </is>
      </c>
      <c r="C2" t="inlineStr">
        <is>
          <t>The WP Maps – Store Locator,Google Maps,OpenStreetMap,Mapbox,Listing,Directory &amp; Filters plugin for WordPress is vulnerable to Local File Inclusion in all versions up to, and including, 4.8.6 via the fc_load_template function. This makes it possible for authenticated attackers, with Subscriber-level access and above, to include and execute arbitrary .html files on the server, allowing the execution of any PHP code in those files. This can be used to bypass access controls, obtain sensitive data,</t>
        </is>
      </c>
      <c r="D2" t="n">
        <v>8.800000000000001</v>
      </c>
      <c r="E2" t="inlineStr">
        <is>
          <t>HIGH</t>
        </is>
      </c>
      <c r="F2" t="n">
        <v>3</v>
      </c>
      <c r="G2" t="n">
        <v>3</v>
      </c>
      <c r="H2" t="inlineStr">
        <is>
          <t>CRITICAL</t>
        </is>
      </c>
      <c r="I2" t="n">
        <v>17.8</v>
      </c>
      <c r="J2" t="inlineStr">
        <is>
          <t>NO</t>
        </is>
      </c>
      <c r="K2" t="inlineStr">
        <is>
          <t>2026-02-23 23:48</t>
        </is>
      </c>
      <c r="L2" t="inlineStr">
        <is>
          <t>CHECK_VENDOR</t>
        </is>
      </c>
      <c r="M2" t="inlineStr">
        <is>
          <t>See CVE details</t>
        </is>
      </c>
      <c r="N2" t="inlineStr">
        <is>
          <t>P2</t>
        </is>
      </c>
      <c r="O2" t="inlineStr">
        <is>
          <t>CVE - IP enrichment n/a</t>
        </is>
      </c>
      <c r="P2" t="n">
        <v>0</v>
      </c>
      <c r="Q2" t="n">
        <v>0</v>
      </c>
      <c r="R2" t="inlineStr">
        <is>
          <t>T1083:File and Directory Discovery</t>
        </is>
      </c>
      <c r="S2" t="n">
        <v>2</v>
      </c>
      <c r="T2" t="inlineStr">
        <is>
          <t>HIGH (72%)</t>
        </is>
      </c>
      <c r="U2" t="inlineStr">
        <is>
          <t>CONFIRMED</t>
        </is>
      </c>
      <c r="V2" t="inlineStr">
        <is>
          <t>CHECK_VENDOR</t>
        </is>
      </c>
      <c r="W2" t="inlineStr">
        <is>
          <t>https://nvd.nist.gov/vuln/detail/CVE-2025-12062</t>
        </is>
      </c>
      <c r="X2" t="inlineStr">
        <is>
          <t>NONE</t>
        </is>
      </c>
      <c r="Y2" t="n">
        <v>4.4</v>
      </c>
      <c r="Z2" t="inlineStr"/>
      <c r="AA2" t="inlineStr">
        <is>
          <t>https://nvd.nist.gov/vuln/detail/CVE-2025-12062</t>
        </is>
      </c>
    </row>
    <row r="3">
      <c r="A3" t="inlineStr">
        <is>
          <t>CVE</t>
        </is>
      </c>
      <c r="B3" t="inlineStr">
        <is>
          <t>CVE-2026-26220</t>
        </is>
      </c>
      <c r="C3" t="inlineStr">
        <is>
          <t>LightLLM version 1.1.0 and prior contain an unauthenticated remote code execution vulnerability in PD (prefill-decode) disaggregation mode. The PD master node exposes WebSocket endpoints that receive binary frames and pass the data directly to pickle.loads() without authentication or validation. A remote attacker who can reach the PD master can send a crafted payload to achieve arbitrary code execution.</t>
        </is>
      </c>
      <c r="D3" t="n">
        <v>8.5</v>
      </c>
      <c r="E3" t="inlineStr">
        <is>
          <t>HIGH</t>
        </is>
      </c>
      <c r="F3" t="n">
        <v>2</v>
      </c>
      <c r="G3" t="n">
        <v>3</v>
      </c>
      <c r="H3" t="inlineStr">
        <is>
          <t>HIGH</t>
        </is>
      </c>
      <c r="I3" t="n">
        <v>14.5</v>
      </c>
      <c r="J3" t="inlineStr">
        <is>
          <t>NO</t>
        </is>
      </c>
      <c r="K3" t="inlineStr">
        <is>
          <t>2026-02-23 23:48</t>
        </is>
      </c>
      <c r="L3" t="inlineStr">
        <is>
          <t>CHECK_VENDOR</t>
        </is>
      </c>
      <c r="M3" t="inlineStr">
        <is>
          <t>See CVE details</t>
        </is>
      </c>
      <c r="N3" t="inlineStr">
        <is>
          <t>P3</t>
        </is>
      </c>
      <c r="O3" t="inlineStr">
        <is>
          <t>CVE - IP enrichment n/a</t>
        </is>
      </c>
      <c r="P3" t="n">
        <v>0</v>
      </c>
      <c r="Q3" t="n">
        <v>0</v>
      </c>
      <c r="R3" t="inlineStr">
        <is>
          <t>T1059:Command and Scripting Interpreter | T1190:Exploit Public-Facing Application | T1210:Exploitation of Remote Services</t>
        </is>
      </c>
      <c r="S3" t="n">
        <v>1</v>
      </c>
      <c r="T3" t="inlineStr">
        <is>
          <t>LOW (40%)</t>
        </is>
      </c>
      <c r="U3" t="inlineStr">
        <is>
          <t>UNLIKELY</t>
        </is>
      </c>
      <c r="V3" t="inlineStr">
        <is>
          <t>CHECK_VENDOR</t>
        </is>
      </c>
      <c r="W3" t="inlineStr">
        <is>
          <t>https://nvd.nist.gov/vuln/detail/CVE-2026-26220</t>
        </is>
      </c>
      <c r="X3" t="inlineStr">
        <is>
          <t>NONE</t>
        </is>
      </c>
      <c r="Y3" t="n">
        <v>0</v>
      </c>
      <c r="Z3" t="inlineStr"/>
      <c r="AA3" t="inlineStr">
        <is>
          <t>https://nvd.nist.gov/vuln/detail/CVE-2026-26220</t>
        </is>
      </c>
    </row>
    <row r="4">
      <c r="A4" t="inlineStr">
        <is>
          <t>CVE</t>
        </is>
      </c>
      <c r="B4" t="inlineStr">
        <is>
          <t>CVE-2026-2002</t>
        </is>
      </c>
      <c r="C4" t="inlineStr">
        <is>
          <t>The Forminator Forms – Contact Form, Payment Form &amp; Custom Form Builder plugin for WordPress is vulnerable to Stored Cross-Site Scripting via the form_name parameter in all versions up to, and including, 1.50.2 due to insufficient input sanitization and output escaping. This makes it possible for authenticated attackers, with administrator-level access, to inject arbitrary web scripts in pages that will execute whenever a user accesses an injected page. The plugin allows admins to give form mana</t>
        </is>
      </c>
      <c r="D4" t="n">
        <v>4.4</v>
      </c>
      <c r="E4" t="inlineStr">
        <is>
          <t>MEDIUM</t>
        </is>
      </c>
      <c r="F4" t="n">
        <v>2</v>
      </c>
      <c r="G4" t="n">
        <v>2</v>
      </c>
      <c r="H4" t="inlineStr">
        <is>
          <t>MEDIUM</t>
        </is>
      </c>
      <c r="I4" t="n">
        <v>8.4</v>
      </c>
      <c r="J4" t="inlineStr">
        <is>
          <t>NO</t>
        </is>
      </c>
      <c r="K4" t="inlineStr">
        <is>
          <t>2026-02-23 23:48</t>
        </is>
      </c>
      <c r="L4" t="inlineStr">
        <is>
          <t>CHECK_VENDOR</t>
        </is>
      </c>
      <c r="M4" t="inlineStr">
        <is>
          <t>See CVE details</t>
        </is>
      </c>
      <c r="N4" t="inlineStr">
        <is>
          <t>P4</t>
        </is>
      </c>
      <c r="O4" t="inlineStr">
        <is>
          <t>CVE - IP enrichment n/a</t>
        </is>
      </c>
      <c r="P4" t="n">
        <v>0</v>
      </c>
      <c r="Q4" t="n">
        <v>0</v>
      </c>
      <c r="R4" t="inlineStr">
        <is>
          <t>T1189:Drive-by Compromise</t>
        </is>
      </c>
      <c r="S4" t="n">
        <v>1</v>
      </c>
      <c r="T4" t="inlineStr">
        <is>
          <t>LOW (40%)</t>
        </is>
      </c>
      <c r="U4" t="inlineStr">
        <is>
          <t>UNLIKELY</t>
        </is>
      </c>
      <c r="V4" t="inlineStr">
        <is>
          <t>CHECK_VENDOR</t>
        </is>
      </c>
      <c r="W4" t="inlineStr">
        <is>
          <t>https://nvd.nist.gov/vuln/detail/CVE-2026-2002</t>
        </is>
      </c>
      <c r="X4" t="inlineStr">
        <is>
          <t>NONE</t>
        </is>
      </c>
      <c r="Y4" t="n">
        <v>0</v>
      </c>
      <c r="Z4" t="inlineStr"/>
      <c r="AA4" t="inlineStr">
        <is>
          <t>https://nvd.nist.gov/vuln/detail/CVE-2026-2002</t>
        </is>
      </c>
    </row>
    <row r="5">
      <c r="A5" t="inlineStr">
        <is>
          <t>CVE</t>
        </is>
      </c>
      <c r="B5" t="inlineStr">
        <is>
          <t>CVE-2026-2592</t>
        </is>
      </c>
      <c r="C5" t="inlineStr">
        <is>
          <t>The Zarinpal Gateway for WooCommerce plugin for WordPress is vulnerable to Improper Access Control to Payment Status Update in all versions up to and including 5.0.16. This is due to the payment callback handler 'Return_from_ZarinPal_Gateway' failing to validate that the authority token provided in the callback URL belongs to the specific order being marked as paid. This makes it possible for unauthenticated attackers to potentially mark orders as paid without proper payment by reusing a valid a</t>
        </is>
      </c>
      <c r="D5" t="n">
        <v>7.7</v>
      </c>
      <c r="E5" t="inlineStr">
        <is>
          <t>HIGH</t>
        </is>
      </c>
      <c r="F5" t="n">
        <v>2</v>
      </c>
      <c r="G5" t="n">
        <v>3</v>
      </c>
      <c r="H5" t="inlineStr">
        <is>
          <t>HIGH</t>
        </is>
      </c>
      <c r="I5" t="n">
        <v>13.7</v>
      </c>
      <c r="J5" t="inlineStr">
        <is>
          <t>NO</t>
        </is>
      </c>
      <c r="K5" t="inlineStr">
        <is>
          <t>2026-02-23 23:48</t>
        </is>
      </c>
      <c r="L5" t="inlineStr">
        <is>
          <t>CHECK_VENDOR</t>
        </is>
      </c>
      <c r="M5" t="inlineStr">
        <is>
          <t>See CVE details</t>
        </is>
      </c>
      <c r="N5" t="inlineStr">
        <is>
          <t>P2</t>
        </is>
      </c>
      <c r="O5" t="inlineStr">
        <is>
          <t>CVE - IP enrichment n/a</t>
        </is>
      </c>
      <c r="P5" t="n">
        <v>0</v>
      </c>
      <c r="Q5" t="n">
        <v>0</v>
      </c>
      <c r="R5" t="inlineStr">
        <is>
          <t>T1190:Exploit Public-Facing Application</t>
        </is>
      </c>
      <c r="S5" t="n">
        <v>2</v>
      </c>
      <c r="T5" t="inlineStr">
        <is>
          <t>HIGH (72%)</t>
        </is>
      </c>
      <c r="U5" t="inlineStr">
        <is>
          <t>POSSIBLE</t>
        </is>
      </c>
      <c r="V5" t="inlineStr">
        <is>
          <t>CHECK_VENDOR</t>
        </is>
      </c>
      <c r="W5" t="inlineStr">
        <is>
          <t>https://nvd.nist.gov/vuln/detail/CVE-2026-2592</t>
        </is>
      </c>
      <c r="X5" t="inlineStr">
        <is>
          <t>NONE</t>
        </is>
      </c>
      <c r="Y5" t="n">
        <v>3.85</v>
      </c>
      <c r="Z5" t="inlineStr"/>
      <c r="AA5" t="inlineStr">
        <is>
          <t>https://nvd.nist.gov/vuln/detail/CVE-2026-2592</t>
        </is>
      </c>
    </row>
    <row r="6">
      <c r="A6" t="inlineStr">
        <is>
          <t>CVE</t>
        </is>
      </c>
      <c r="B6" t="inlineStr">
        <is>
          <t>CVE-2026-1657</t>
        </is>
      </c>
      <c r="C6" t="inlineStr">
        <is>
          <t>The EventPrime plugin for WordPress is vulnerable to unauthorized image file upload in all versions up to, and including, 4.2.8.4. This is due to the plugin registering the upload_file_media AJAX action as publicly accessible (nopriv-enabled) without implementing any authentication, authorization, or nonce verification despite a nonce being created. This makes it possible for unauthenticated attackers to upload image files to the WordPress uploads directory and create Media Library attachments v</t>
        </is>
      </c>
      <c r="D6" t="n">
        <v>5.3</v>
      </c>
      <c r="E6" t="inlineStr">
        <is>
          <t>MEDIUM</t>
        </is>
      </c>
      <c r="F6" t="n">
        <v>2</v>
      </c>
      <c r="G6" t="n">
        <v>2</v>
      </c>
      <c r="H6" t="inlineStr">
        <is>
          <t>MEDIUM</t>
        </is>
      </c>
      <c r="I6" t="n">
        <v>9.300000000000001</v>
      </c>
      <c r="J6" t="inlineStr">
        <is>
          <t>NO</t>
        </is>
      </c>
      <c r="K6" t="inlineStr">
        <is>
          <t>2026-02-23 23:48</t>
        </is>
      </c>
      <c r="L6" t="inlineStr">
        <is>
          <t>CHECK_VENDOR</t>
        </is>
      </c>
      <c r="M6" t="inlineStr">
        <is>
          <t>See CVE details</t>
        </is>
      </c>
      <c r="N6" t="inlineStr">
        <is>
          <t>P4</t>
        </is>
      </c>
      <c r="O6" t="inlineStr">
        <is>
          <t>CVE - IP enrichment n/a</t>
        </is>
      </c>
      <c r="P6" t="n">
        <v>0</v>
      </c>
      <c r="Q6" t="n">
        <v>0</v>
      </c>
      <c r="R6" t="inlineStr">
        <is>
          <t>T1190:Exploit Public-Facing Application</t>
        </is>
      </c>
      <c r="S6" t="n">
        <v>1</v>
      </c>
      <c r="T6" t="inlineStr">
        <is>
          <t>LOW (40%)</t>
        </is>
      </c>
      <c r="U6" t="inlineStr">
        <is>
          <t>UNLIKELY</t>
        </is>
      </c>
      <c r="V6" t="inlineStr">
        <is>
          <t>CHECK_VENDOR</t>
        </is>
      </c>
      <c r="W6" t="inlineStr">
        <is>
          <t>https://nvd.nist.gov/vuln/detail/CVE-2026-1657</t>
        </is>
      </c>
      <c r="X6" t="inlineStr">
        <is>
          <t>NONE</t>
        </is>
      </c>
      <c r="Y6" t="n">
        <v>0</v>
      </c>
      <c r="Z6" t="inlineStr"/>
      <c r="AA6" t="inlineStr">
        <is>
          <t>https://nvd.nist.gov/vuln/detail/CVE-2026-1657</t>
        </is>
      </c>
    </row>
    <row r="7">
      <c r="A7" t="inlineStr">
        <is>
          <t>CVE</t>
        </is>
      </c>
      <c r="B7" t="inlineStr">
        <is>
          <t>CVE-2026-0829</t>
        </is>
      </c>
      <c r="C7" t="inlineStr">
        <is>
          <t>The Frontend File Manager Plugin WordPress plugin through 23.5 allows unauthenticated users to send emails through the site without any security checks. This lets attackers use the WordPress site as an open relay for spam or phishing emails to anyone. Attackers can also guess file IDs to access and share uploaded files without permission, exposing sensitive information.</t>
        </is>
      </c>
      <c r="D7" t="n">
        <v>5.8</v>
      </c>
      <c r="E7" t="inlineStr">
        <is>
          <t>MEDIUM</t>
        </is>
      </c>
      <c r="F7" t="n">
        <v>2</v>
      </c>
      <c r="G7" t="n">
        <v>2</v>
      </c>
      <c r="H7" t="inlineStr">
        <is>
          <t>MEDIUM</t>
        </is>
      </c>
      <c r="I7" t="n">
        <v>9.800000000000001</v>
      </c>
      <c r="J7" t="inlineStr">
        <is>
          <t>NO</t>
        </is>
      </c>
      <c r="K7" t="inlineStr">
        <is>
          <t>2026-02-23 23:48</t>
        </is>
      </c>
      <c r="L7" t="inlineStr">
        <is>
          <t>CHECK_VENDOR</t>
        </is>
      </c>
      <c r="M7" t="inlineStr">
        <is>
          <t>See CVE details</t>
        </is>
      </c>
      <c r="N7" t="inlineStr">
        <is>
          <t>P4</t>
        </is>
      </c>
      <c r="O7" t="inlineStr">
        <is>
          <t>CVE - IP enrichment n/a</t>
        </is>
      </c>
      <c r="P7" t="n">
        <v>0</v>
      </c>
      <c r="Q7" t="n">
        <v>0</v>
      </c>
      <c r="R7" t="inlineStr">
        <is>
          <t>T1566:Phishing</t>
        </is>
      </c>
      <c r="S7" t="n">
        <v>1</v>
      </c>
      <c r="T7" t="inlineStr">
        <is>
          <t>LOW (40%)</t>
        </is>
      </c>
      <c r="U7" t="inlineStr">
        <is>
          <t>UNLIKELY</t>
        </is>
      </c>
      <c r="V7" t="inlineStr">
        <is>
          <t>CHECK_VENDOR</t>
        </is>
      </c>
      <c r="W7" t="inlineStr">
        <is>
          <t>https://nvd.nist.gov/vuln/detail/CVE-2026-0829</t>
        </is>
      </c>
      <c r="X7" t="inlineStr">
        <is>
          <t>NONE</t>
        </is>
      </c>
      <c r="Y7" t="n">
        <v>0</v>
      </c>
      <c r="Z7" t="inlineStr"/>
      <c r="AA7" t="inlineStr">
        <is>
          <t>https://nvd.nist.gov/vuln/detail/CVE-2026-0829</t>
        </is>
      </c>
    </row>
    <row r="8">
      <c r="A8" t="inlineStr">
        <is>
          <t>CVE</t>
        </is>
      </c>
      <c r="B8" t="inlineStr">
        <is>
          <t>CVE-2026-1216</t>
        </is>
      </c>
      <c r="C8" t="inlineStr">
        <is>
          <t>The RSS Aggregator plugin for WordPress is vulnerable to Reflected Cross-Site Scripting via the 'template' parameter in all versions up to, and including, 5.0.10 due to insufficient input sanitization and output escaping on user supplied attributes. This makes it possible for unauthenticated attackers to inject arbitrary web scripts in pages that execute if they can successfully trick a user into performing an action such as clicking on a link.</t>
        </is>
      </c>
      <c r="D8" t="n">
        <v>7.2</v>
      </c>
      <c r="E8" t="inlineStr">
        <is>
          <t>HIGH</t>
        </is>
      </c>
      <c r="F8" t="n">
        <v>2</v>
      </c>
      <c r="G8" t="n">
        <v>3</v>
      </c>
      <c r="H8" t="inlineStr">
        <is>
          <t>HIGH</t>
        </is>
      </c>
      <c r="I8" t="n">
        <v>13.2</v>
      </c>
      <c r="J8" t="inlineStr">
        <is>
          <t>NO</t>
        </is>
      </c>
      <c r="K8" t="inlineStr">
        <is>
          <t>2026-02-23 23:48</t>
        </is>
      </c>
      <c r="L8" t="inlineStr">
        <is>
          <t>CHECK_VENDOR</t>
        </is>
      </c>
      <c r="M8" t="inlineStr">
        <is>
          <t>See CVE details</t>
        </is>
      </c>
      <c r="N8" t="inlineStr">
        <is>
          <t>P2</t>
        </is>
      </c>
      <c r="O8" t="inlineStr">
        <is>
          <t>CVE - IP enrichment n/a</t>
        </is>
      </c>
      <c r="P8" t="n">
        <v>0</v>
      </c>
      <c r="Q8" t="n">
        <v>0</v>
      </c>
      <c r="R8" t="inlineStr">
        <is>
          <t>T1189:Drive-by Compromise</t>
        </is>
      </c>
      <c r="S8" t="n">
        <v>2</v>
      </c>
      <c r="T8" t="inlineStr">
        <is>
          <t>HIGH (72%)</t>
        </is>
      </c>
      <c r="U8" t="inlineStr">
        <is>
          <t>POSSIBLE</t>
        </is>
      </c>
      <c r="V8" t="inlineStr">
        <is>
          <t>CHECK_VENDOR</t>
        </is>
      </c>
      <c r="W8" t="inlineStr">
        <is>
          <t>https://nvd.nist.gov/vuln/detail/CVE-2026-1216</t>
        </is>
      </c>
      <c r="X8" t="inlineStr">
        <is>
          <t>NONE</t>
        </is>
      </c>
      <c r="Y8" t="n">
        <v>3.6</v>
      </c>
      <c r="Z8" t="inlineStr"/>
      <c r="AA8" t="inlineStr">
        <is>
          <t>https://nvd.nist.gov/vuln/detail/CVE-2026-1216</t>
        </is>
      </c>
    </row>
    <row r="9">
      <c r="A9" t="inlineStr">
        <is>
          <t>CVE</t>
        </is>
      </c>
      <c r="B9" t="inlineStr">
        <is>
          <t>CVE-2026-25903</t>
        </is>
      </c>
      <c r="C9" t="inlineStr">
        <is>
          <t>Apache NiFi 1.1.0 through 2.7.2 are missing authorization when updating configuration properties on extension components that have specific Required Permissions based on the Restricted annotation. The Restricted annotation indicates additional privileges required to add the annotated component to the flow configuration, but framework authorization did not check restricted status when updating a component previously added. The missing authorization requires a more privileged user to add a restric</t>
        </is>
      </c>
      <c r="D9" t="n">
        <v>8.5</v>
      </c>
      <c r="E9" t="inlineStr">
        <is>
          <t>HIGH</t>
        </is>
      </c>
      <c r="F9" t="n">
        <v>2</v>
      </c>
      <c r="G9" t="n">
        <v>3</v>
      </c>
      <c r="H9" t="inlineStr">
        <is>
          <t>HIGH</t>
        </is>
      </c>
      <c r="I9" t="n">
        <v>14.5</v>
      </c>
      <c r="J9" t="inlineStr">
        <is>
          <t>NO</t>
        </is>
      </c>
      <c r="K9" t="inlineStr">
        <is>
          <t>2026-02-23 23:48</t>
        </is>
      </c>
      <c r="L9" t="inlineStr">
        <is>
          <t>CHECK_VENDOR</t>
        </is>
      </c>
      <c r="M9" t="inlineStr">
        <is>
          <t>See CVE details</t>
        </is>
      </c>
      <c r="N9" t="inlineStr">
        <is>
          <t>P3</t>
        </is>
      </c>
      <c r="O9" t="inlineStr">
        <is>
          <t>CVE - IP enrichment n/a</t>
        </is>
      </c>
      <c r="P9" t="n">
        <v>0</v>
      </c>
      <c r="Q9" t="n">
        <v>0</v>
      </c>
      <c r="R9" t="inlineStr">
        <is>
          <t>T1190:Exploit Public-Facing Application</t>
        </is>
      </c>
      <c r="S9" t="n">
        <v>1</v>
      </c>
      <c r="T9" t="inlineStr">
        <is>
          <t>LOW (40%)</t>
        </is>
      </c>
      <c r="U9" t="inlineStr">
        <is>
          <t>UNLIKELY</t>
        </is>
      </c>
      <c r="V9" t="inlineStr">
        <is>
          <t>CHECK_VENDOR</t>
        </is>
      </c>
      <c r="W9" t="inlineStr">
        <is>
          <t>https://nvd.nist.gov/vuln/detail/CVE-2026-25903</t>
        </is>
      </c>
      <c r="X9" t="inlineStr">
        <is>
          <t>NONE</t>
        </is>
      </c>
      <c r="Y9" t="n">
        <v>0</v>
      </c>
      <c r="Z9" t="inlineStr"/>
      <c r="AA9" t="inlineStr">
        <is>
          <t>https://nvd.nist.gov/vuln/detail/CVE-2026-25903</t>
        </is>
      </c>
    </row>
    <row r="10">
      <c r="A10" t="inlineStr">
        <is>
          <t>CVE</t>
        </is>
      </c>
      <c r="B10" t="inlineStr">
        <is>
          <t>CVE-2025-7631</t>
        </is>
      </c>
      <c r="C10" t="inlineStr">
        <is>
          <t>Improper Neutralization of Special Elements used in an SQL Command ('SQL Injection') vulnerability in Tumeva Internet Technologies Software Information Advertising and Consulting Services Trade Ltd. Co. Tumeva News Software allows SQL Injection.This issue affects Tumeva News Software: through 17022026. NOTE: The vendor was contacted early about this disclosure but did not respond in any way.</t>
        </is>
      </c>
      <c r="D10" t="n">
        <v>8.6</v>
      </c>
      <c r="E10" t="inlineStr">
        <is>
          <t>HIGH</t>
        </is>
      </c>
      <c r="F10" t="n">
        <v>2</v>
      </c>
      <c r="G10" t="n">
        <v>3</v>
      </c>
      <c r="H10" t="inlineStr">
        <is>
          <t>HIGH</t>
        </is>
      </c>
      <c r="I10" t="n">
        <v>14.6</v>
      </c>
      <c r="J10" t="inlineStr">
        <is>
          <t>NO</t>
        </is>
      </c>
      <c r="K10" t="inlineStr">
        <is>
          <t>2026-02-23 23:48</t>
        </is>
      </c>
      <c r="L10" t="inlineStr">
        <is>
          <t>CHECK_VENDOR</t>
        </is>
      </c>
      <c r="M10" t="inlineStr">
        <is>
          <t>See CVE details</t>
        </is>
      </c>
      <c r="N10" t="inlineStr">
        <is>
          <t>P3</t>
        </is>
      </c>
      <c r="O10" t="inlineStr">
        <is>
          <t>CVE - IP enrichment n/a</t>
        </is>
      </c>
      <c r="P10" t="n">
        <v>0.0004</v>
      </c>
      <c r="Q10" t="n">
        <v>0.1059</v>
      </c>
      <c r="R10" t="inlineStr">
        <is>
          <t>T1190:Exploit Public-Facing Application</t>
        </is>
      </c>
      <c r="S10" t="n">
        <v>1</v>
      </c>
      <c r="T10" t="inlineStr">
        <is>
          <t>LOW (40%)</t>
        </is>
      </c>
      <c r="U10" t="inlineStr">
        <is>
          <t>UNLIKELY</t>
        </is>
      </c>
      <c r="V10" t="inlineStr">
        <is>
          <t>CHECK_VENDOR</t>
        </is>
      </c>
      <c r="W10" t="inlineStr">
        <is>
          <t>https://nvd.nist.gov/vuln/detail/CVE-2025-7631</t>
        </is>
      </c>
      <c r="X10" t="inlineStr">
        <is>
          <t>NONE</t>
        </is>
      </c>
      <c r="Y10" t="n">
        <v>0</v>
      </c>
      <c r="Z10" t="inlineStr"/>
      <c r="AA10" t="inlineStr">
        <is>
          <t>https://nvd.nist.gov/vuln/detail/CVE-2025-7631</t>
        </is>
      </c>
    </row>
    <row r="11">
      <c r="A11" t="inlineStr">
        <is>
          <t>CVE</t>
        </is>
      </c>
      <c r="B11" t="inlineStr">
        <is>
          <t>CVE-2025-8303</t>
        </is>
      </c>
      <c r="C11" t="inlineStr">
        <is>
          <t>Improper Neutralization of Input During Web Page Generation (XSS or 'Cross-site Scripting') vulnerability in EKA Software Computer Information Advertising Services Ltd. Real Estate Script V5 (With Doping Module – Store Module – New Language System) allows Cross-Site Scripting (XSS).This issue affects Real Estate Script V5 (With Doping Module – Store Module – New Language System): through 17022026.
NOTE: The vendor was contacted early about this disclosure but did not respond in any way.</t>
        </is>
      </c>
      <c r="D11" t="n">
        <v>6.5</v>
      </c>
      <c r="E11" t="inlineStr">
        <is>
          <t>MEDIUM</t>
        </is>
      </c>
      <c r="F11" t="n">
        <v>2</v>
      </c>
      <c r="G11" t="n">
        <v>2</v>
      </c>
      <c r="H11" t="inlineStr">
        <is>
          <t>MEDIUM</t>
        </is>
      </c>
      <c r="I11" t="n">
        <v>10.5</v>
      </c>
      <c r="J11" t="inlineStr">
        <is>
          <t>NO</t>
        </is>
      </c>
      <c r="K11" t="inlineStr">
        <is>
          <t>2026-02-23 23:48</t>
        </is>
      </c>
      <c r="L11" t="inlineStr">
        <is>
          <t>CHECK_VENDOR</t>
        </is>
      </c>
      <c r="M11" t="inlineStr">
        <is>
          <t>See CVE details</t>
        </is>
      </c>
      <c r="N11" t="inlineStr">
        <is>
          <t>P4</t>
        </is>
      </c>
      <c r="O11" t="inlineStr">
        <is>
          <t>CVE - IP enrichment n/a</t>
        </is>
      </c>
      <c r="P11" t="n">
        <v>0.0002</v>
      </c>
      <c r="Q11" t="n">
        <v>0.0451</v>
      </c>
      <c r="R11" t="inlineStr">
        <is>
          <t>T1189:Drive-by Compromise</t>
        </is>
      </c>
      <c r="S11" t="n">
        <v>1</v>
      </c>
      <c r="T11" t="inlineStr">
        <is>
          <t>LOW (40%)</t>
        </is>
      </c>
      <c r="U11" t="inlineStr">
        <is>
          <t>UNLIKELY</t>
        </is>
      </c>
      <c r="V11" t="inlineStr">
        <is>
          <t>CHECK_VENDOR</t>
        </is>
      </c>
      <c r="W11" t="inlineStr">
        <is>
          <t>https://nvd.nist.gov/vuln/detail/CVE-2025-8303</t>
        </is>
      </c>
      <c r="X11" t="inlineStr">
        <is>
          <t>NONE</t>
        </is>
      </c>
      <c r="Y11" t="n">
        <v>0</v>
      </c>
      <c r="Z11" t="inlineStr"/>
      <c r="AA11" t="inlineStr">
        <is>
          <t>https://nvd.nist.gov/vuln/detail/CVE-2025-8303</t>
        </is>
      </c>
    </row>
    <row r="12">
      <c r="A12" t="inlineStr">
        <is>
          <t>CVE</t>
        </is>
      </c>
      <c r="B12" t="inlineStr">
        <is>
          <t>CVE-2026-2247</t>
        </is>
      </c>
      <c r="C12" t="inlineStr">
        <is>
          <t>SQL injection vulnerability (SQLi) in Clicldeu SaaS, specifically in the generation of reports, which occurs when a previously authenticated remote attacker executes a malicious payload in the URL generated after downloading the student's report card in the ‘Day-to-day’ section from the mobile application.
In the URL of the generated PDF, the session token used does not expire, so it remains valid for days after its generation, and unusual characters can be entered after the ‘id_alu’ parameter,</t>
        </is>
      </c>
      <c r="D12" t="n">
        <v>5</v>
      </c>
      <c r="E12" t="inlineStr">
        <is>
          <t>MEDIUM</t>
        </is>
      </c>
      <c r="F12" t="n">
        <v>2</v>
      </c>
      <c r="G12" t="n">
        <v>2</v>
      </c>
      <c r="H12" t="inlineStr">
        <is>
          <t>MEDIUM</t>
        </is>
      </c>
      <c r="I12" t="n">
        <v>9</v>
      </c>
      <c r="J12" t="inlineStr">
        <is>
          <t>NO</t>
        </is>
      </c>
      <c r="K12" t="inlineStr">
        <is>
          <t>2026-02-23 23:48</t>
        </is>
      </c>
      <c r="L12" t="inlineStr">
        <is>
          <t>CHECK_VENDOR</t>
        </is>
      </c>
      <c r="M12" t="inlineStr">
        <is>
          <t>See CVE details</t>
        </is>
      </c>
      <c r="N12" t="inlineStr">
        <is>
          <t>P4</t>
        </is>
      </c>
      <c r="O12" t="inlineStr">
        <is>
          <t>CVE - IP enrichment n/a</t>
        </is>
      </c>
      <c r="P12" t="n">
        <v>0</v>
      </c>
      <c r="Q12" t="n">
        <v>0</v>
      </c>
      <c r="R12" t="inlineStr">
        <is>
          <t>T1190:Exploit Public-Facing Application</t>
        </is>
      </c>
      <c r="S12" t="n">
        <v>1</v>
      </c>
      <c r="T12" t="inlineStr">
        <is>
          <t>LOW (40%)</t>
        </is>
      </c>
      <c r="U12" t="inlineStr">
        <is>
          <t>UNLIKELY</t>
        </is>
      </c>
      <c r="V12" t="inlineStr">
        <is>
          <t>CHECK_VENDOR</t>
        </is>
      </c>
      <c r="W12" t="inlineStr">
        <is>
          <t>https://nvd.nist.gov/vuln/detail/CVE-2026-2247</t>
        </is>
      </c>
      <c r="X12" t="inlineStr">
        <is>
          <t>NONE</t>
        </is>
      </c>
      <c r="Y12" t="n">
        <v>0</v>
      </c>
      <c r="Z12" t="inlineStr"/>
      <c r="AA12" t="inlineStr">
        <is>
          <t>https://nvd.nist.gov/vuln/detail/CVE-2026-2247</t>
        </is>
      </c>
    </row>
    <row r="13">
      <c r="A13" t="inlineStr">
        <is>
          <t>CVE</t>
        </is>
      </c>
      <c r="B13" t="inlineStr">
        <is>
          <t>CVE-2026-2608</t>
        </is>
      </c>
      <c r="C13" t="inlineStr">
        <is>
          <t>The Kadence Blocks — Page Builder Toolkit for Gutenberg Editor plugin for WordPress is vulnerable to unauthorized access due to a missing capability check on a function in all versions up to, and including, 3.5.32. This makes it possible for authenticated attackers, with Contributor-level access and above, to perform an unauthorized action.</t>
        </is>
      </c>
      <c r="D13" t="n">
        <v>4.3</v>
      </c>
      <c r="E13" t="inlineStr">
        <is>
          <t>MEDIUM</t>
        </is>
      </c>
      <c r="F13" t="n">
        <v>2</v>
      </c>
      <c r="G13" t="n">
        <v>2</v>
      </c>
      <c r="H13" t="inlineStr">
        <is>
          <t>MEDIUM</t>
        </is>
      </c>
      <c r="I13" t="n">
        <v>8.300000000000001</v>
      </c>
      <c r="J13" t="inlineStr">
        <is>
          <t>NO</t>
        </is>
      </c>
      <c r="K13" t="inlineStr">
        <is>
          <t>2026-02-23 23:48</t>
        </is>
      </c>
      <c r="L13" t="inlineStr">
        <is>
          <t>CHECK_VENDOR</t>
        </is>
      </c>
      <c r="M13" t="inlineStr">
        <is>
          <t>See CVE details</t>
        </is>
      </c>
      <c r="N13" t="inlineStr">
        <is>
          <t>P4</t>
        </is>
      </c>
      <c r="O13" t="inlineStr">
        <is>
          <t>CVE - IP enrichment n/a</t>
        </is>
      </c>
      <c r="P13" t="n">
        <v>0</v>
      </c>
      <c r="Q13" t="n">
        <v>0</v>
      </c>
      <c r="R13" t="inlineStr">
        <is>
          <t>T1190:Exploit Public-Facing Application</t>
        </is>
      </c>
      <c r="S13" t="n">
        <v>1</v>
      </c>
      <c r="T13" t="inlineStr">
        <is>
          <t>LOW (40%)</t>
        </is>
      </c>
      <c r="U13" t="inlineStr">
        <is>
          <t>UNLIKELY</t>
        </is>
      </c>
      <c r="V13" t="inlineStr">
        <is>
          <t>CHECK_VENDOR</t>
        </is>
      </c>
      <c r="W13" t="inlineStr">
        <is>
          <t>https://nvd.nist.gov/vuln/detail/CVE-2026-2608</t>
        </is>
      </c>
      <c r="X13" t="inlineStr">
        <is>
          <t>NONE</t>
        </is>
      </c>
      <c r="Y13" t="n">
        <v>0</v>
      </c>
      <c r="Z13" t="inlineStr"/>
      <c r="AA13" t="inlineStr">
        <is>
          <t>https://nvd.nist.gov/vuln/detail/CVE-2026-2608</t>
        </is>
      </c>
    </row>
    <row r="14">
      <c r="A14" t="inlineStr">
        <is>
          <t>CVE</t>
        </is>
      </c>
      <c r="B14" t="inlineStr">
        <is>
          <t>CVE-2026-2615</t>
        </is>
      </c>
      <c r="C14" t="inlineStr">
        <is>
          <t>A flaw has been found in Wavlink WL-NU516U1 up to 20251208. The affected element is the function singlePortForwardDelete of the file /cgi-bin/firewall.cgi. Executing a manipulation of the argument del_flag can lead to command injection. The attack may be launched remotely. The exploit has been published and may be used. The vendor was contacted early about this disclosure but did not respond in any way.</t>
        </is>
      </c>
      <c r="D14" t="n">
        <v>7.2</v>
      </c>
      <c r="E14" t="inlineStr">
        <is>
          <t>HIGH</t>
        </is>
      </c>
      <c r="F14" t="n">
        <v>2</v>
      </c>
      <c r="G14" t="n">
        <v>3</v>
      </c>
      <c r="H14" t="inlineStr">
        <is>
          <t>HIGH</t>
        </is>
      </c>
      <c r="I14" t="n">
        <v>13.2</v>
      </c>
      <c r="J14" t="inlineStr">
        <is>
          <t>NO</t>
        </is>
      </c>
      <c r="K14" t="inlineStr">
        <is>
          <t>2026-02-23 23:48</t>
        </is>
      </c>
      <c r="L14" t="inlineStr">
        <is>
          <t>CHECK_VENDOR</t>
        </is>
      </c>
      <c r="M14" t="inlineStr">
        <is>
          <t>wavlink wl-nu516u1 - | wavlink wl-nu516u1_firmware *</t>
        </is>
      </c>
      <c r="N14" t="inlineStr">
        <is>
          <t>P3</t>
        </is>
      </c>
      <c r="O14" t="inlineStr">
        <is>
          <t>CVE - IP enrichment n/a</t>
        </is>
      </c>
      <c r="P14" t="n">
        <v>0.004</v>
      </c>
      <c r="Q14" t="n">
        <v>0.602</v>
      </c>
      <c r="R14" t="inlineStr">
        <is>
          <t>T1059:Command and Scripting Interpreter | T1562:Impair Defenses</t>
        </is>
      </c>
      <c r="S14" t="n">
        <v>1</v>
      </c>
      <c r="T14" t="inlineStr">
        <is>
          <t>LOW (40%)</t>
        </is>
      </c>
      <c r="U14" t="inlineStr">
        <is>
          <t>UNLIKELY</t>
        </is>
      </c>
      <c r="V14" t="inlineStr">
        <is>
          <t>CHECK_VENDOR</t>
        </is>
      </c>
      <c r="W14" t="inlineStr">
        <is>
          <t>https://nvd.nist.gov/vuln/detail/CVE-2026-2615</t>
        </is>
      </c>
      <c r="X14" t="inlineStr">
        <is>
          <t>NONE</t>
        </is>
      </c>
      <c r="Y14" t="n">
        <v>0</v>
      </c>
      <c r="Z14" t="inlineStr"/>
      <c r="AA14" t="inlineStr">
        <is>
          <t>https://nvd.nist.gov/vuln/detail/CVE-2026-2615</t>
        </is>
      </c>
    </row>
    <row r="15">
      <c r="A15" t="inlineStr">
        <is>
          <t>CVE</t>
        </is>
      </c>
      <c r="B15" t="inlineStr">
        <is>
          <t>CVE-2025-7706</t>
        </is>
      </c>
      <c r="C15" t="inlineStr">
        <is>
          <t>Missing Authentication for Critical Function vulnerability in TUBITAK BILGEM Software Technologies Research Institute Liderahenk allows Remote Code Inclusion.This issue affects Liderahenk: from 3.0.0 to 3.3.1 before 3.5.0.</t>
        </is>
      </c>
      <c r="D15" t="n">
        <v>6.1</v>
      </c>
      <c r="E15" t="inlineStr">
        <is>
          <t>MEDIUM</t>
        </is>
      </c>
      <c r="F15" t="n">
        <v>2</v>
      </c>
      <c r="G15" t="n">
        <v>2</v>
      </c>
      <c r="H15" t="inlineStr">
        <is>
          <t>MEDIUM</t>
        </is>
      </c>
      <c r="I15" t="n">
        <v>10.1</v>
      </c>
      <c r="J15" t="inlineStr">
        <is>
          <t>NO</t>
        </is>
      </c>
      <c r="K15" t="inlineStr">
        <is>
          <t>2026-02-23 23:48</t>
        </is>
      </c>
      <c r="L15" t="inlineStr">
        <is>
          <t>CHECK_VENDOR</t>
        </is>
      </c>
      <c r="M15" t="inlineStr">
        <is>
          <t>See CVE details</t>
        </is>
      </c>
      <c r="N15" t="inlineStr">
        <is>
          <t>P4</t>
        </is>
      </c>
      <c r="O15" t="inlineStr">
        <is>
          <t>CVE - IP enrichment n/a</t>
        </is>
      </c>
      <c r="P15" t="n">
        <v>0</v>
      </c>
      <c r="Q15" t="n">
        <v>0</v>
      </c>
      <c r="R15" t="inlineStr">
        <is>
          <t>T1078:Valid Accounts</t>
        </is>
      </c>
      <c r="S15" t="n">
        <v>1</v>
      </c>
      <c r="T15" t="inlineStr">
        <is>
          <t>LOW (40%)</t>
        </is>
      </c>
      <c r="U15" t="inlineStr">
        <is>
          <t>UNLIKELY</t>
        </is>
      </c>
      <c r="V15" t="inlineStr">
        <is>
          <t>CHECK_VENDOR</t>
        </is>
      </c>
      <c r="W15" t="inlineStr">
        <is>
          <t>https://nvd.nist.gov/vuln/detail/CVE-2025-7706</t>
        </is>
      </c>
      <c r="X15" t="inlineStr">
        <is>
          <t>NONE</t>
        </is>
      </c>
      <c r="Y15" t="n">
        <v>0</v>
      </c>
      <c r="Z15" t="inlineStr"/>
      <c r="AA15" t="inlineStr">
        <is>
          <t>https://nvd.nist.gov/vuln/detail/CVE-2025-7706</t>
        </is>
      </c>
    </row>
    <row r="16">
      <c r="A16" t="inlineStr">
        <is>
          <t>CVE</t>
        </is>
      </c>
      <c r="B16" t="inlineStr">
        <is>
          <t>CVE-2026-23861</t>
        </is>
      </c>
      <c r="C16" t="inlineStr">
        <is>
          <t>Dell Unisphere for PowerMax vApp, version(s) 9.2.4.x, contain(s) an Improper Neutralization of Input During Web Page Generation ('Cross-site Scripting') vulnerability. A low privileged attacker with remote access could potentially exploit this vulnerability, leading to the execution of malicious HTML or JavaScript code in a victim user's web browser in the context of the vulnerable web application. Exploitation may lead to information disclosure, session theft, or client-side request forgery.</t>
        </is>
      </c>
      <c r="D16" t="n">
        <v>5.4</v>
      </c>
      <c r="E16" t="inlineStr">
        <is>
          <t>MEDIUM</t>
        </is>
      </c>
      <c r="F16" t="n">
        <v>2</v>
      </c>
      <c r="G16" t="n">
        <v>2</v>
      </c>
      <c r="H16" t="inlineStr">
        <is>
          <t>MEDIUM</t>
        </is>
      </c>
      <c r="I16" t="n">
        <v>9.4</v>
      </c>
      <c r="J16" t="inlineStr">
        <is>
          <t>NO</t>
        </is>
      </c>
      <c r="K16" t="inlineStr">
        <is>
          <t>2026-02-23 23:48</t>
        </is>
      </c>
      <c r="L16" t="inlineStr">
        <is>
          <t>CHECK_VENDOR</t>
        </is>
      </c>
      <c r="M16" t="inlineStr">
        <is>
          <t>See CVE details</t>
        </is>
      </c>
      <c r="N16" t="inlineStr">
        <is>
          <t>P4</t>
        </is>
      </c>
      <c r="O16" t="inlineStr">
        <is>
          <t>CVE - IP enrichment n/a</t>
        </is>
      </c>
      <c r="P16" t="n">
        <v>0</v>
      </c>
      <c r="Q16" t="n">
        <v>0</v>
      </c>
      <c r="R16" t="inlineStr">
        <is>
          <t>T1189:Drive-by Compromise | T1213:Data from Information Repositories</t>
        </is>
      </c>
      <c r="S16" t="n">
        <v>1</v>
      </c>
      <c r="T16" t="inlineStr">
        <is>
          <t>LOW (40%)</t>
        </is>
      </c>
      <c r="U16" t="inlineStr">
        <is>
          <t>UNLIKELY</t>
        </is>
      </c>
      <c r="V16" t="inlineStr">
        <is>
          <t>CHECK_VENDOR</t>
        </is>
      </c>
      <c r="W16" t="inlineStr">
        <is>
          <t>https://nvd.nist.gov/vuln/detail/CVE-2026-23861</t>
        </is>
      </c>
      <c r="X16" t="inlineStr">
        <is>
          <t>NONE</t>
        </is>
      </c>
      <c r="Y16" t="n">
        <v>0</v>
      </c>
      <c r="Z16" t="inlineStr"/>
      <c r="AA16" t="inlineStr">
        <is>
          <t>https://nvd.nist.gov/vuln/detail/CVE-2026-23861</t>
        </is>
      </c>
    </row>
    <row r="17">
      <c r="A17" t="inlineStr">
        <is>
          <t>CVE</t>
        </is>
      </c>
      <c r="B17" t="inlineStr">
        <is>
          <t>CVE-2026-25087</t>
        </is>
      </c>
      <c r="C17" t="inlineStr">
        <is>
          <t>Use After Free vulnerability in Apache Arrow C++. This issue affects Apache Arrow C++ from 15.0.0 through 23.0.0. It can be triggered when reading an Arrow IPC file (but not an IPC stream) with pre-buffering enabled, if the IPC file contains data with variadic buffers (such as Binary View and String View data). Depending on the number of variadic buffers in a record batch column and on the temporal sequence of multi-threaded IO, a write to a dangling pointer could occur. The value (a `std::share</t>
        </is>
      </c>
      <c r="D17" t="n">
        <v>7</v>
      </c>
      <c r="E17" t="inlineStr">
        <is>
          <t>HIGH</t>
        </is>
      </c>
      <c r="F17" t="n">
        <v>2</v>
      </c>
      <c r="G17" t="n">
        <v>3</v>
      </c>
      <c r="H17" t="inlineStr">
        <is>
          <t>HIGH</t>
        </is>
      </c>
      <c r="I17" t="n">
        <v>13</v>
      </c>
      <c r="J17" t="inlineStr">
        <is>
          <t>NO</t>
        </is>
      </c>
      <c r="K17" t="inlineStr">
        <is>
          <t>2026-02-23 23:48</t>
        </is>
      </c>
      <c r="L17" t="inlineStr">
        <is>
          <t>CHECK_VENDOR</t>
        </is>
      </c>
      <c r="M17" t="inlineStr">
        <is>
          <t>See CVE details</t>
        </is>
      </c>
      <c r="N17" t="inlineStr">
        <is>
          <t>P3</t>
        </is>
      </c>
      <c r="O17" t="inlineStr">
        <is>
          <t>CVE - IP enrichment n/a</t>
        </is>
      </c>
      <c r="P17" t="n">
        <v>0</v>
      </c>
      <c r="Q17" t="n">
        <v>0</v>
      </c>
      <c r="R17" t="inlineStr">
        <is>
          <t>T1203:Exploitation for Client Execution | T1190:Exploit Public-Facing Application | T1499:Endpoint Denial of Service</t>
        </is>
      </c>
      <c r="S17" t="n">
        <v>1</v>
      </c>
      <c r="T17" t="inlineStr">
        <is>
          <t>LOW (40%)</t>
        </is>
      </c>
      <c r="U17" t="inlineStr">
        <is>
          <t>UNLIKELY</t>
        </is>
      </c>
      <c r="V17" t="inlineStr">
        <is>
          <t>CHECK_VENDOR</t>
        </is>
      </c>
      <c r="W17" t="inlineStr">
        <is>
          <t>https://nvd.nist.gov/vuln/detail/CVE-2026-25087</t>
        </is>
      </c>
      <c r="X17" t="inlineStr">
        <is>
          <t>NONE</t>
        </is>
      </c>
      <c r="Y17" t="n">
        <v>0</v>
      </c>
      <c r="Z17" t="inlineStr"/>
      <c r="AA17" t="inlineStr">
        <is>
          <t>https://nvd.nist.gov/vuln/detail/CVE-2026-25087</t>
        </is>
      </c>
    </row>
    <row r="18">
      <c r="A18" t="inlineStr">
        <is>
          <t>CVE</t>
        </is>
      </c>
      <c r="B18" t="inlineStr">
        <is>
          <t>CVE-2022-41650</t>
        </is>
      </c>
      <c r="C18" t="inlineStr">
        <is>
          <t>Missing Authorization vulnerability in Paul Custom Content by Country (by Shield Security) custom-content-by-country.This issue affects Custom Content by Country (by Shield Security): from n/a through 3.1.2.</t>
        </is>
      </c>
      <c r="D18" t="n">
        <v>6.5</v>
      </c>
      <c r="E18" t="inlineStr">
        <is>
          <t>MEDIUM</t>
        </is>
      </c>
      <c r="F18" t="n">
        <v>2</v>
      </c>
      <c r="G18" t="n">
        <v>2</v>
      </c>
      <c r="H18" t="inlineStr">
        <is>
          <t>MEDIUM</t>
        </is>
      </c>
      <c r="I18" t="n">
        <v>10.5</v>
      </c>
      <c r="J18" t="inlineStr">
        <is>
          <t>NO</t>
        </is>
      </c>
      <c r="K18" t="inlineStr">
        <is>
          <t>2026-02-23 23:48</t>
        </is>
      </c>
      <c r="L18" t="inlineStr">
        <is>
          <t>CHECK_VENDOR</t>
        </is>
      </c>
      <c r="M18" t="inlineStr">
        <is>
          <t>See CVE details</t>
        </is>
      </c>
      <c r="N18" t="inlineStr">
        <is>
          <t>P4</t>
        </is>
      </c>
      <c r="O18" t="inlineStr">
        <is>
          <t>CVE - IP enrichment n/a</t>
        </is>
      </c>
      <c r="P18" t="n">
        <v>0</v>
      </c>
      <c r="Q18" t="n">
        <v>0</v>
      </c>
      <c r="R18" t="inlineStr">
        <is>
          <t>T1190:Exploit Public-Facing Application</t>
        </is>
      </c>
      <c r="S18" t="n">
        <v>1</v>
      </c>
      <c r="T18" t="inlineStr">
        <is>
          <t>LOW (40%)</t>
        </is>
      </c>
      <c r="U18" t="inlineStr">
        <is>
          <t>UNLIKELY</t>
        </is>
      </c>
      <c r="V18" t="inlineStr">
        <is>
          <t>CHECK_VENDOR</t>
        </is>
      </c>
      <c r="W18" t="inlineStr">
        <is>
          <t>https://nvd.nist.gov/vuln/detail/CVE-2022-41650</t>
        </is>
      </c>
      <c r="X18" t="inlineStr">
        <is>
          <t>NONE</t>
        </is>
      </c>
      <c r="Y18" t="n">
        <v>0</v>
      </c>
      <c r="Z18" t="inlineStr"/>
      <c r="AA18" t="inlineStr">
        <is>
          <t>https://nvd.nist.gov/vuln/detail/CVE-2022-41650</t>
        </is>
      </c>
    </row>
    <row r="19">
      <c r="A19" t="inlineStr">
        <is>
          <t>CVE</t>
        </is>
      </c>
      <c r="B19" t="inlineStr">
        <is>
          <t>CVE-2024-31118</t>
        </is>
      </c>
      <c r="C19" t="inlineStr">
        <is>
          <t>Missing Authorization vulnerability in Smartypants SP Project &amp; Document Manager allows Exploiting Incorrectly Configured Access Control Security Levels.This issue affects SP Project &amp; Document Manager: from n/a through 4.70.</t>
        </is>
      </c>
      <c r="D19" t="n">
        <v>6.5</v>
      </c>
      <c r="E19" t="inlineStr">
        <is>
          <t>MEDIUM</t>
        </is>
      </c>
      <c r="F19" t="n">
        <v>2</v>
      </c>
      <c r="G19" t="n">
        <v>2</v>
      </c>
      <c r="H19" t="inlineStr">
        <is>
          <t>MEDIUM</t>
        </is>
      </c>
      <c r="I19" t="n">
        <v>10.5</v>
      </c>
      <c r="J19" t="inlineStr">
        <is>
          <t>NO</t>
        </is>
      </c>
      <c r="K19" t="inlineStr">
        <is>
          <t>2026-02-23 23:48</t>
        </is>
      </c>
      <c r="L19" t="inlineStr">
        <is>
          <t>CHECK_VENDOR</t>
        </is>
      </c>
      <c r="M19" t="inlineStr">
        <is>
          <t>See CVE details</t>
        </is>
      </c>
      <c r="N19" t="inlineStr">
        <is>
          <t>P4</t>
        </is>
      </c>
      <c r="O19" t="inlineStr">
        <is>
          <t>CVE - IP enrichment n/a</t>
        </is>
      </c>
      <c r="P19" t="n">
        <v>0.0005</v>
      </c>
      <c r="Q19" t="n">
        <v>0.1529</v>
      </c>
      <c r="R19" t="inlineStr">
        <is>
          <t>T1190:Exploit Public-Facing Application</t>
        </is>
      </c>
      <c r="S19" t="n">
        <v>1</v>
      </c>
      <c r="T19" t="inlineStr">
        <is>
          <t>LOW (40%)</t>
        </is>
      </c>
      <c r="U19" t="inlineStr">
        <is>
          <t>UNLIKELY</t>
        </is>
      </c>
      <c r="V19" t="inlineStr">
        <is>
          <t>CHECK_VENDOR</t>
        </is>
      </c>
      <c r="W19" t="inlineStr">
        <is>
          <t>https://nvd.nist.gov/vuln/detail/CVE-2024-31118</t>
        </is>
      </c>
      <c r="X19" t="inlineStr">
        <is>
          <t>NONE</t>
        </is>
      </c>
      <c r="Y19" t="n">
        <v>0</v>
      </c>
      <c r="Z19" t="inlineStr"/>
      <c r="AA19" t="inlineStr">
        <is>
          <t>https://nvd.nist.gov/vuln/detail/CVE-2024-31118</t>
        </is>
      </c>
    </row>
    <row r="20">
      <c r="A20" t="inlineStr">
        <is>
          <t>CVE</t>
        </is>
      </c>
      <c r="B20" t="inlineStr">
        <is>
          <t>CVE-2025-70829</t>
        </is>
      </c>
      <c r="C20" t="inlineStr">
        <is>
          <t>An information exposure vulnerability in Datart v1.0.0-rc.3 allows authenticated attackers to access sensitive data via a custom H2 JDBC connection string.</t>
        </is>
      </c>
      <c r="D20" t="n">
        <v>5.7</v>
      </c>
      <c r="E20" t="inlineStr">
        <is>
          <t>MEDIUM</t>
        </is>
      </c>
      <c r="F20" t="n">
        <v>2</v>
      </c>
      <c r="G20" t="n">
        <v>2</v>
      </c>
      <c r="H20" t="inlineStr">
        <is>
          <t>MEDIUM</t>
        </is>
      </c>
      <c r="I20" t="n">
        <v>9.699999999999999</v>
      </c>
      <c r="J20" t="inlineStr">
        <is>
          <t>NO</t>
        </is>
      </c>
      <c r="K20" t="inlineStr">
        <is>
          <t>2026-02-23 23:48</t>
        </is>
      </c>
      <c r="L20" t="inlineStr">
        <is>
          <t>CHECK_VENDOR</t>
        </is>
      </c>
      <c r="M20" t="inlineStr">
        <is>
          <t>running-elephant datart 1.0.0</t>
        </is>
      </c>
      <c r="N20" t="inlineStr">
        <is>
          <t>P4</t>
        </is>
      </c>
      <c r="O20" t="inlineStr">
        <is>
          <t>CVE - IP enrichment n/a</t>
        </is>
      </c>
      <c r="P20" t="n">
        <v>0</v>
      </c>
      <c r="Q20" t="n">
        <v>0</v>
      </c>
      <c r="R20" t="inlineStr">
        <is>
          <t>T1213:Data from Information Repositories</t>
        </is>
      </c>
      <c r="S20" t="n">
        <v>1</v>
      </c>
      <c r="T20" t="inlineStr">
        <is>
          <t>LOW (40%)</t>
        </is>
      </c>
      <c r="U20" t="inlineStr">
        <is>
          <t>UNLIKELY</t>
        </is>
      </c>
      <c r="V20" t="inlineStr">
        <is>
          <t>CHECK_VENDOR</t>
        </is>
      </c>
      <c r="W20" t="inlineStr">
        <is>
          <t>https://nvd.nist.gov/vuln/detail/CVE-2025-70829</t>
        </is>
      </c>
      <c r="X20" t="inlineStr">
        <is>
          <t>NONE</t>
        </is>
      </c>
      <c r="Y20" t="n">
        <v>0</v>
      </c>
      <c r="Z20" t="inlineStr"/>
      <c r="AA20" t="inlineStr">
        <is>
          <t>https://nvd.nist.gov/vuln/detail/CVE-2025-70829</t>
        </is>
      </c>
    </row>
    <row r="21">
      <c r="A21" t="inlineStr">
        <is>
          <t>CVE</t>
        </is>
      </c>
      <c r="B21" t="inlineStr">
        <is>
          <t>CVE-2026-22208</t>
        </is>
      </c>
      <c r="C21" t="inlineStr">
        <is>
          <t>OpenS100 (the reference implementation S-100 viewer) prior to commit 753cf29 contain a remote code execution vulnerability via an unrestricted Lua interpreter. The Portrayal Engine initializes Lua using luaL_openlibs() without sandboxing or capability restrictions, exposing standard libraries such as 'os' and 'io' to untrusted portrayal catalogues. An attacker can provide a malicious S-100 portrayal catalogue containing Lua scripts that execute arbitrary commands with the privileges of the OpenS</t>
        </is>
      </c>
      <c r="D21" t="n">
        <v>9.6</v>
      </c>
      <c r="E21" t="inlineStr">
        <is>
          <t>CRITICAL</t>
        </is>
      </c>
      <c r="F21" t="n">
        <v>2</v>
      </c>
      <c r="G21" t="n">
        <v>3</v>
      </c>
      <c r="H21" t="inlineStr">
        <is>
          <t>HIGH</t>
        </is>
      </c>
      <c r="I21" t="n">
        <v>15.6</v>
      </c>
      <c r="J21" t="inlineStr">
        <is>
          <t>NO</t>
        </is>
      </c>
      <c r="K21" t="inlineStr">
        <is>
          <t>2026-02-23 23:48</t>
        </is>
      </c>
      <c r="L21" t="inlineStr">
        <is>
          <t>CHECK_VENDOR</t>
        </is>
      </c>
      <c r="M21" t="inlineStr">
        <is>
          <t>See CVE details</t>
        </is>
      </c>
      <c r="N21" t="inlineStr">
        <is>
          <t>P3</t>
        </is>
      </c>
      <c r="O21" t="inlineStr">
        <is>
          <t>CVE - IP enrichment n/a</t>
        </is>
      </c>
      <c r="P21" t="n">
        <v>0</v>
      </c>
      <c r="Q21" t="n">
        <v>0</v>
      </c>
      <c r="R21" t="inlineStr">
        <is>
          <t>T1190:Exploit Public-Facing Application | T1210:Exploitation of Remote Services</t>
        </is>
      </c>
      <c r="S21" t="n">
        <v>1</v>
      </c>
      <c r="T21" t="inlineStr">
        <is>
          <t>LOW (40%)</t>
        </is>
      </c>
      <c r="U21" t="inlineStr">
        <is>
          <t>UNLIKELY</t>
        </is>
      </c>
      <c r="V21" t="inlineStr">
        <is>
          <t>CHECK_VENDOR</t>
        </is>
      </c>
      <c r="W21" t="inlineStr">
        <is>
          <t>https://nvd.nist.gov/vuln/detail/CVE-2026-22208</t>
        </is>
      </c>
      <c r="X21" t="inlineStr">
        <is>
          <t>NONE</t>
        </is>
      </c>
      <c r="Y21" t="n">
        <v>0</v>
      </c>
      <c r="Z21" t="inlineStr"/>
      <c r="AA21" t="inlineStr">
        <is>
          <t>https://nvd.nist.gov/vuln/detail/CVE-2026-22208</t>
        </is>
      </c>
    </row>
    <row r="22">
      <c r="A22" t="inlineStr">
        <is>
          <t>CVE</t>
        </is>
      </c>
      <c r="B22" t="inlineStr">
        <is>
          <t>CVE-2026-2616</t>
        </is>
      </c>
      <c r="C22" t="inlineStr">
        <is>
          <t>A vulnerability has been found in Beetel 777VR1 up to 01.00.09. The impacted element is an unknown function of the component Web Management Interface. The manipulation leads to hard-coded credentials. The attack needs to be initiated within the local network. The exploit has been disclosed to the public and may be used. It is advisable to modify the configuration settings. The vendor was contacted early about this disclosure but did not respond in any way.</t>
        </is>
      </c>
      <c r="D22" t="n">
        <v>8.800000000000001</v>
      </c>
      <c r="E22" t="inlineStr">
        <is>
          <t>HIGH</t>
        </is>
      </c>
      <c r="F22" t="n">
        <v>2</v>
      </c>
      <c r="G22" t="n">
        <v>3</v>
      </c>
      <c r="H22" t="inlineStr">
        <is>
          <t>HIGH</t>
        </is>
      </c>
      <c r="I22" t="n">
        <v>14.8</v>
      </c>
      <c r="J22" t="inlineStr">
        <is>
          <t>NO</t>
        </is>
      </c>
      <c r="K22" t="inlineStr">
        <is>
          <t>2026-02-23 23:48</t>
        </is>
      </c>
      <c r="L22" t="inlineStr">
        <is>
          <t>CHECK_VENDOR</t>
        </is>
      </c>
      <c r="M22" t="inlineStr">
        <is>
          <t>beetel 777vr1_firmware * | beetel 777vr1 -</t>
        </is>
      </c>
      <c r="N22" t="inlineStr">
        <is>
          <t>P3</t>
        </is>
      </c>
      <c r="O22" t="inlineStr">
        <is>
          <t>CVE - IP enrichment n/a</t>
        </is>
      </c>
      <c r="P22" t="n">
        <v>0</v>
      </c>
      <c r="Q22" t="n">
        <v>0</v>
      </c>
      <c r="R22" t="inlineStr">
        <is>
          <t>T1552:Unsecured Credentials</t>
        </is>
      </c>
      <c r="S22" t="n">
        <v>1</v>
      </c>
      <c r="T22" t="inlineStr">
        <is>
          <t>LOW (40%)</t>
        </is>
      </c>
      <c r="U22" t="inlineStr">
        <is>
          <t>UNLIKELY</t>
        </is>
      </c>
      <c r="V22" t="inlineStr">
        <is>
          <t>CHECK_VENDOR</t>
        </is>
      </c>
      <c r="W22" t="inlineStr">
        <is>
          <t>https://nvd.nist.gov/vuln/detail/CVE-2026-2616</t>
        </is>
      </c>
      <c r="X22" t="inlineStr">
        <is>
          <t>NONE</t>
        </is>
      </c>
      <c r="Y22" t="n">
        <v>0</v>
      </c>
      <c r="Z22" t="inlineStr"/>
      <c r="AA22" t="inlineStr">
        <is>
          <t>https://nvd.nist.gov/vuln/detail/CVE-2026-2616</t>
        </is>
      </c>
    </row>
    <row r="23">
      <c r="A23" t="inlineStr">
        <is>
          <t>CVE</t>
        </is>
      </c>
      <c r="B23" t="inlineStr">
        <is>
          <t>CVE-2025-65753</t>
        </is>
      </c>
      <c r="C23" t="inlineStr">
        <is>
          <t>An issue in the TLS certification mechanism of Guardian Gryphon v01.06.0006.22 allows attackers to execute commands as root.</t>
        </is>
      </c>
      <c r="D23" t="n">
        <v>7.5</v>
      </c>
      <c r="E23" t="inlineStr">
        <is>
          <t>HIGH</t>
        </is>
      </c>
      <c r="F23" t="n">
        <v>2</v>
      </c>
      <c r="G23" t="n">
        <v>3</v>
      </c>
      <c r="H23" t="inlineStr">
        <is>
          <t>HIGH</t>
        </is>
      </c>
      <c r="I23" t="n">
        <v>13.5</v>
      </c>
      <c r="J23" t="inlineStr">
        <is>
          <t>NO</t>
        </is>
      </c>
      <c r="K23" t="inlineStr">
        <is>
          <t>2026-02-23 23:48</t>
        </is>
      </c>
      <c r="L23" t="inlineStr">
        <is>
          <t>CHECK_VENDOR</t>
        </is>
      </c>
      <c r="M23" t="inlineStr">
        <is>
          <t>See CVE details</t>
        </is>
      </c>
      <c r="N23" t="inlineStr">
        <is>
          <t>P2</t>
        </is>
      </c>
      <c r="O23" t="inlineStr">
        <is>
          <t>CVE - IP enrichment n/a</t>
        </is>
      </c>
      <c r="P23" t="n">
        <v>0</v>
      </c>
      <c r="Q23" t="n">
        <v>0</v>
      </c>
      <c r="R23" t="inlineStr">
        <is>
          <t>T1190:Exploit Public-Facing Application</t>
        </is>
      </c>
      <c r="S23" t="n">
        <v>2</v>
      </c>
      <c r="T23" t="inlineStr">
        <is>
          <t>HIGH (72%)</t>
        </is>
      </c>
      <c r="U23" t="inlineStr">
        <is>
          <t>POSSIBLE</t>
        </is>
      </c>
      <c r="V23" t="inlineStr">
        <is>
          <t>CHECK_VENDOR</t>
        </is>
      </c>
      <c r="W23" t="inlineStr">
        <is>
          <t>https://nvd.nist.gov/vuln/detail/CVE-2025-65753</t>
        </is>
      </c>
      <c r="X23" t="inlineStr">
        <is>
          <t>NONE</t>
        </is>
      </c>
      <c r="Y23" t="n">
        <v>3.75</v>
      </c>
      <c r="Z23" t="inlineStr"/>
      <c r="AA23" t="inlineStr">
        <is>
          <t>https://nvd.nist.gov/vuln/detail/CVE-2025-65753</t>
        </is>
      </c>
    </row>
    <row r="24">
      <c r="A24" t="inlineStr">
        <is>
          <t>CVE</t>
        </is>
      </c>
      <c r="B24" t="inlineStr">
        <is>
          <t>CVE-2025-70397</t>
        </is>
      </c>
      <c r="C24" t="inlineStr">
        <is>
          <t>jizhicms 2.5.6 is vulnerable to SQL Injection in Article/deleteAll and Extmolds/deleteAll via the data parameter.</t>
        </is>
      </c>
      <c r="D24" t="n">
        <v>7.2</v>
      </c>
      <c r="E24" t="inlineStr">
        <is>
          <t>HIGH</t>
        </is>
      </c>
      <c r="F24" t="n">
        <v>2</v>
      </c>
      <c r="G24" t="n">
        <v>3</v>
      </c>
      <c r="H24" t="inlineStr">
        <is>
          <t>HIGH</t>
        </is>
      </c>
      <c r="I24" t="n">
        <v>13.2</v>
      </c>
      <c r="J24" t="inlineStr">
        <is>
          <t>NO</t>
        </is>
      </c>
      <c r="K24" t="inlineStr">
        <is>
          <t>2026-02-23 23:48</t>
        </is>
      </c>
      <c r="L24" t="inlineStr">
        <is>
          <t>CHECK_VENDOR</t>
        </is>
      </c>
      <c r="M24" t="inlineStr">
        <is>
          <t>jizhicms jizhicms 2.5.6</t>
        </is>
      </c>
      <c r="N24" t="inlineStr">
        <is>
          <t>P3</t>
        </is>
      </c>
      <c r="O24" t="inlineStr">
        <is>
          <t>CVE - IP enrichment n/a</t>
        </is>
      </c>
      <c r="P24" t="n">
        <v>0</v>
      </c>
      <c r="Q24" t="n">
        <v>0</v>
      </c>
      <c r="R24" t="inlineStr">
        <is>
          <t>T1190:Exploit Public-Facing Application</t>
        </is>
      </c>
      <c r="S24" t="n">
        <v>1</v>
      </c>
      <c r="T24" t="inlineStr">
        <is>
          <t>LOW (40%)</t>
        </is>
      </c>
      <c r="U24" t="inlineStr">
        <is>
          <t>UNLIKELY</t>
        </is>
      </c>
      <c r="V24" t="inlineStr">
        <is>
          <t>CHECK_VENDOR</t>
        </is>
      </c>
      <c r="W24" t="inlineStr">
        <is>
          <t>https://nvd.nist.gov/vuln/detail/CVE-2025-70397</t>
        </is>
      </c>
      <c r="X24" t="inlineStr">
        <is>
          <t>NONE</t>
        </is>
      </c>
      <c r="Y24" t="n">
        <v>0</v>
      </c>
      <c r="Z24" t="inlineStr"/>
      <c r="AA24" t="inlineStr">
        <is>
          <t>https://nvd.nist.gov/vuln/detail/CVE-2025-70397</t>
        </is>
      </c>
    </row>
    <row r="25">
      <c r="A25" t="inlineStr">
        <is>
          <t>CVE</t>
        </is>
      </c>
      <c r="B25" t="inlineStr">
        <is>
          <t>CVE-2025-70828</t>
        </is>
      </c>
      <c r="C25" t="inlineStr">
        <is>
          <t>An issue in Datart v1.0.0-rc.3 allows attackers to execute arbitrary code via the url parameter in the JDBC configuration</t>
        </is>
      </c>
      <c r="D25" t="n">
        <v>8.800000000000001</v>
      </c>
      <c r="E25" t="inlineStr">
        <is>
          <t>HIGH</t>
        </is>
      </c>
      <c r="F25" t="n">
        <v>2</v>
      </c>
      <c r="G25" t="n">
        <v>3</v>
      </c>
      <c r="H25" t="inlineStr">
        <is>
          <t>HIGH</t>
        </is>
      </c>
      <c r="I25" t="n">
        <v>14.8</v>
      </c>
      <c r="J25" t="inlineStr">
        <is>
          <t>NO</t>
        </is>
      </c>
      <c r="K25" t="inlineStr">
        <is>
          <t>2026-02-23 23:48</t>
        </is>
      </c>
      <c r="L25" t="inlineStr">
        <is>
          <t>CHECK_VENDOR</t>
        </is>
      </c>
      <c r="M25" t="inlineStr">
        <is>
          <t>See CVE details</t>
        </is>
      </c>
      <c r="N25" t="inlineStr">
        <is>
          <t>P3</t>
        </is>
      </c>
      <c r="O25" t="inlineStr">
        <is>
          <t>CVE - IP enrichment n/a</t>
        </is>
      </c>
      <c r="P25" t="n">
        <v>0</v>
      </c>
      <c r="Q25" t="n">
        <v>0</v>
      </c>
      <c r="R25" t="inlineStr">
        <is>
          <t>T1059:Command and Scripting Interpreter | T1203:Exploitation for Client Execution</t>
        </is>
      </c>
      <c r="S25" t="n">
        <v>1</v>
      </c>
      <c r="T25" t="inlineStr">
        <is>
          <t>LOW (40%)</t>
        </is>
      </c>
      <c r="U25" t="inlineStr">
        <is>
          <t>UNLIKELY</t>
        </is>
      </c>
      <c r="V25" t="inlineStr">
        <is>
          <t>CHECK_VENDOR</t>
        </is>
      </c>
      <c r="W25" t="inlineStr">
        <is>
          <t>https://nvd.nist.gov/vuln/detail/CVE-2025-70828</t>
        </is>
      </c>
      <c r="X25" t="inlineStr">
        <is>
          <t>NONE</t>
        </is>
      </c>
      <c r="Y25" t="n">
        <v>0</v>
      </c>
      <c r="Z25" t="inlineStr"/>
      <c r="AA25" t="inlineStr">
        <is>
          <t>https://nvd.nist.gov/vuln/detail/CVE-2025-70828</t>
        </is>
      </c>
    </row>
    <row r="26">
      <c r="A26" t="inlineStr">
        <is>
          <t>CVE</t>
        </is>
      </c>
      <c r="B26" t="inlineStr">
        <is>
          <t>CVE-2025-70830</t>
        </is>
      </c>
      <c r="C26" t="inlineStr">
        <is>
          <t>A Server-Side Template Injection (SSTI) vulnerability in the Freemarker template engine of Datart v1.0.0-rc.3 allows authenticated attackers to execute arbitrary code via injecting crafted Freemarker template syntax into the SQL script field.</t>
        </is>
      </c>
      <c r="D26" t="n">
        <v>9.9</v>
      </c>
      <c r="E26" t="inlineStr">
        <is>
          <t>CRITICAL</t>
        </is>
      </c>
      <c r="F26" t="n">
        <v>2</v>
      </c>
      <c r="G26" t="n">
        <v>3</v>
      </c>
      <c r="H26" t="inlineStr">
        <is>
          <t>HIGH</t>
        </is>
      </c>
      <c r="I26" t="n">
        <v>15.9</v>
      </c>
      <c r="J26" t="inlineStr">
        <is>
          <t>NO</t>
        </is>
      </c>
      <c r="K26" t="inlineStr">
        <is>
          <t>2026-02-23 23:48</t>
        </is>
      </c>
      <c r="L26" t="inlineStr">
        <is>
          <t>CHECK_VENDOR</t>
        </is>
      </c>
      <c r="M26" t="inlineStr">
        <is>
          <t>See CVE details</t>
        </is>
      </c>
      <c r="N26" t="inlineStr">
        <is>
          <t>P3</t>
        </is>
      </c>
      <c r="O26" t="inlineStr">
        <is>
          <t>CVE - IP enrichment n/a</t>
        </is>
      </c>
      <c r="P26" t="n">
        <v>0</v>
      </c>
      <c r="Q26" t="n">
        <v>0</v>
      </c>
      <c r="R26" t="inlineStr">
        <is>
          <t>T1059:Command and Scripting Interpreter | T1203:Exploitation for Client Execution</t>
        </is>
      </c>
      <c r="S26" t="n">
        <v>1</v>
      </c>
      <c r="T26" t="inlineStr">
        <is>
          <t>LOW (40%)</t>
        </is>
      </c>
      <c r="U26" t="inlineStr">
        <is>
          <t>UNLIKELY</t>
        </is>
      </c>
      <c r="V26" t="inlineStr">
        <is>
          <t>CHECK_VENDOR</t>
        </is>
      </c>
      <c r="W26" t="inlineStr">
        <is>
          <t>https://nvd.nist.gov/vuln/detail/CVE-2025-70830</t>
        </is>
      </c>
      <c r="X26" t="inlineStr">
        <is>
          <t>NONE</t>
        </is>
      </c>
      <c r="Y26" t="n">
        <v>0</v>
      </c>
      <c r="Z26" t="inlineStr"/>
      <c r="AA26" t="inlineStr">
        <is>
          <t>https://nvd.nist.gov/vuln/detail/CVE-2025-70830</t>
        </is>
      </c>
    </row>
    <row r="27">
      <c r="A27" t="inlineStr">
        <is>
          <t>CVE</t>
        </is>
      </c>
      <c r="B27" t="inlineStr">
        <is>
          <t>CVE-2026-2617</t>
        </is>
      </c>
      <c r="C27" t="inlineStr">
        <is>
          <t>A vulnerability was found in Beetel 777VR1 up to 01.00.09. This affects an unknown function of the component Telnet Service/SSH Service. The manipulation results in insecure default initialization of resource. The attack can only be performed from the local network. The exploit has been made public and could be used. The vendor was contacted early about this disclosure but did not respond in any way.</t>
        </is>
      </c>
      <c r="D27" t="n">
        <v>6.3</v>
      </c>
      <c r="E27" t="inlineStr">
        <is>
          <t>MEDIUM</t>
        </is>
      </c>
      <c r="F27" t="n">
        <v>2</v>
      </c>
      <c r="G27" t="n">
        <v>2</v>
      </c>
      <c r="H27" t="inlineStr">
        <is>
          <t>MEDIUM</t>
        </is>
      </c>
      <c r="I27" t="n">
        <v>10.3</v>
      </c>
      <c r="J27" t="inlineStr">
        <is>
          <t>NO</t>
        </is>
      </c>
      <c r="K27" t="inlineStr">
        <is>
          <t>2026-02-23 23:48</t>
        </is>
      </c>
      <c r="L27" t="inlineStr">
        <is>
          <t>CHECK_VENDOR</t>
        </is>
      </c>
      <c r="M27" t="inlineStr">
        <is>
          <t>beetel 777vr1_firmware * | beetel 777vr1 -</t>
        </is>
      </c>
      <c r="N27" t="inlineStr">
        <is>
          <t>P4</t>
        </is>
      </c>
      <c r="O27" t="inlineStr">
        <is>
          <t>CVE - IP enrichment n/a</t>
        </is>
      </c>
      <c r="P27" t="n">
        <v>0</v>
      </c>
      <c r="Q27" t="n">
        <v>0</v>
      </c>
      <c r="R27" t="inlineStr">
        <is>
          <t>T1190:Exploit Public-Facing Application</t>
        </is>
      </c>
      <c r="S27" t="n">
        <v>1</v>
      </c>
      <c r="T27" t="inlineStr">
        <is>
          <t>LOW (40%)</t>
        </is>
      </c>
      <c r="U27" t="inlineStr">
        <is>
          <t>UNLIKELY</t>
        </is>
      </c>
      <c r="V27" t="inlineStr">
        <is>
          <t>CHECK_VENDOR</t>
        </is>
      </c>
      <c r="W27" t="inlineStr">
        <is>
          <t>https://nvd.nist.gov/vuln/detail/CVE-2026-2617</t>
        </is>
      </c>
      <c r="X27" t="inlineStr">
        <is>
          <t>NONE</t>
        </is>
      </c>
      <c r="Y27" t="n">
        <v>0</v>
      </c>
      <c r="Z27" t="inlineStr"/>
      <c r="AA27" t="inlineStr">
        <is>
          <t>https://nvd.nist.gov/vuln/detail/CVE-2026-2617</t>
        </is>
      </c>
    </row>
    <row r="28">
      <c r="A28" t="inlineStr">
        <is>
          <t>CVE</t>
        </is>
      </c>
      <c r="B28" t="inlineStr">
        <is>
          <t>CVE-2024-55271</t>
        </is>
      </c>
      <c r="C28" t="inlineStr">
        <is>
          <t>A Cross-Site Request Forgery (CSRF) vulnerability has been identified in phpgurukul Gym Management System 1.0. This issue is present in the profile update functionality of the User Panel, specifically the /profile.php endpoint.</t>
        </is>
      </c>
      <c r="D28" t="n">
        <v>3.5</v>
      </c>
      <c r="E28" t="inlineStr">
        <is>
          <t>LOW</t>
        </is>
      </c>
      <c r="F28" t="n">
        <v>2</v>
      </c>
      <c r="G28" t="n">
        <v>1</v>
      </c>
      <c r="H28" t="inlineStr">
        <is>
          <t>LOW</t>
        </is>
      </c>
      <c r="I28" t="n">
        <v>5.5</v>
      </c>
      <c r="J28" t="inlineStr">
        <is>
          <t>NO</t>
        </is>
      </c>
      <c r="K28" t="inlineStr">
        <is>
          <t>2026-02-23 23:48</t>
        </is>
      </c>
      <c r="L28" t="inlineStr">
        <is>
          <t>CHECK_VENDOR</t>
        </is>
      </c>
      <c r="M28" t="inlineStr">
        <is>
          <t>phpgurukul gym_management_system 1.0</t>
        </is>
      </c>
      <c r="N28" t="inlineStr">
        <is>
          <t>P4</t>
        </is>
      </c>
      <c r="O28" t="inlineStr">
        <is>
          <t>CVE - IP enrichment n/a</t>
        </is>
      </c>
      <c r="P28" t="n">
        <v>0.0001</v>
      </c>
      <c r="Q28" t="n">
        <v>0.027</v>
      </c>
      <c r="R28" t="inlineStr">
        <is>
          <t>T1185:Browser Session Hijacking</t>
        </is>
      </c>
      <c r="S28" t="n">
        <v>1</v>
      </c>
      <c r="T28" t="inlineStr">
        <is>
          <t>LOW (40%)</t>
        </is>
      </c>
      <c r="U28" t="inlineStr">
        <is>
          <t>UNLIKELY</t>
        </is>
      </c>
      <c r="V28" t="inlineStr">
        <is>
          <t>CHECK_VENDOR</t>
        </is>
      </c>
      <c r="W28" t="inlineStr">
        <is>
          <t>https://nvd.nist.gov/vuln/detail/CVE-2024-55271</t>
        </is>
      </c>
      <c r="X28" t="inlineStr">
        <is>
          <t>NONE</t>
        </is>
      </c>
      <c r="Y28" t="n">
        <v>0</v>
      </c>
      <c r="Z28" t="inlineStr"/>
      <c r="AA28" t="inlineStr">
        <is>
          <t>https://nvd.nist.gov/vuln/detail/CVE-2024-55271</t>
        </is>
      </c>
    </row>
    <row r="29">
      <c r="A29" t="inlineStr">
        <is>
          <t>CVE</t>
        </is>
      </c>
      <c r="B29" t="inlineStr">
        <is>
          <t>CVE-2025-67905</t>
        </is>
      </c>
      <c r="C29" t="inlineStr">
        <is>
          <t>Malwarebytes AdwCleaner before v.8.7.0 runs as Administrator and performs an insecure log file delete operation in which the target location is user-controllable, allowing a non-admin user to escalate privileges to SYSTEM via a symbolic link, a related issue to CVE-2023-28892. To exploit this, an attacker must create a file in a given folder path and intercept the application log file deletion flow.</t>
        </is>
      </c>
      <c r="D29" t="n">
        <v>8.699999999999999</v>
      </c>
      <c r="E29" t="inlineStr">
        <is>
          <t>HIGH</t>
        </is>
      </c>
      <c r="F29" t="n">
        <v>2</v>
      </c>
      <c r="G29" t="n">
        <v>3</v>
      </c>
      <c r="H29" t="inlineStr">
        <is>
          <t>HIGH</t>
        </is>
      </c>
      <c r="I29" t="n">
        <v>14.7</v>
      </c>
      <c r="J29" t="inlineStr">
        <is>
          <t>NO</t>
        </is>
      </c>
      <c r="K29" t="inlineStr">
        <is>
          <t>2026-02-23 23:48</t>
        </is>
      </c>
      <c r="L29" t="inlineStr">
        <is>
          <t>CHECK_VENDOR</t>
        </is>
      </c>
      <c r="M29" t="inlineStr">
        <is>
          <t>See CVE details</t>
        </is>
      </c>
      <c r="N29" t="inlineStr">
        <is>
          <t>P3</t>
        </is>
      </c>
      <c r="O29" t="inlineStr">
        <is>
          <t>CVE - IP enrichment n/a</t>
        </is>
      </c>
      <c r="P29" t="n">
        <v>0</v>
      </c>
      <c r="Q29" t="n">
        <v>0</v>
      </c>
      <c r="R29" t="inlineStr">
        <is>
          <t>T1190:Exploit Public-Facing Application</t>
        </is>
      </c>
      <c r="S29" t="n">
        <v>1</v>
      </c>
      <c r="T29" t="inlineStr">
        <is>
          <t>LOW (40%)</t>
        </is>
      </c>
      <c r="U29" t="inlineStr">
        <is>
          <t>UNLIKELY</t>
        </is>
      </c>
      <c r="V29" t="inlineStr">
        <is>
          <t>CHECK_VENDOR</t>
        </is>
      </c>
      <c r="W29" t="inlineStr">
        <is>
          <t>https://nvd.nist.gov/vuln/detail/CVE-2025-67905</t>
        </is>
      </c>
      <c r="X29" t="inlineStr">
        <is>
          <t>NONE</t>
        </is>
      </c>
      <c r="Y29" t="n">
        <v>0</v>
      </c>
      <c r="Z29" t="inlineStr"/>
      <c r="AA29" t="inlineStr">
        <is>
          <t>https://nvd.nist.gov/vuln/detail/CVE-2025-67905</t>
        </is>
      </c>
    </row>
    <row r="30">
      <c r="A30" t="inlineStr">
        <is>
          <t>CVE</t>
        </is>
      </c>
      <c r="B30" t="inlineStr">
        <is>
          <t>CVE-2026-23647</t>
        </is>
      </c>
      <c r="C30" t="inlineStr">
        <is>
          <t>Glory RBG-100 recycler systems using the ISPK-08 software component contain hard-coded operating system credentials that allow remote authentication to the underlying Linux system. Multiple local user accounts, including accounts with administrative privileges, were found to have fixed, embedded passwords. An attacker with network access to exposed services such as SSH may authenticate using these credentials and gain unauthorized access to the system. Successful exploitation allows remote acces</t>
        </is>
      </c>
      <c r="D30" t="n">
        <v>9.800000000000001</v>
      </c>
      <c r="E30" t="inlineStr">
        <is>
          <t>CRITICAL</t>
        </is>
      </c>
      <c r="F30" t="n">
        <v>2</v>
      </c>
      <c r="G30" t="n">
        <v>3</v>
      </c>
      <c r="H30" t="inlineStr">
        <is>
          <t>HIGH</t>
        </is>
      </c>
      <c r="I30" t="n">
        <v>15.8</v>
      </c>
      <c r="J30" t="inlineStr">
        <is>
          <t>NO</t>
        </is>
      </c>
      <c r="K30" t="inlineStr">
        <is>
          <t>2026-02-23 23:48</t>
        </is>
      </c>
      <c r="L30" t="inlineStr">
        <is>
          <t>CHECK_VENDOR</t>
        </is>
      </c>
      <c r="M30" t="inlineStr">
        <is>
          <t>See CVE details</t>
        </is>
      </c>
      <c r="N30" t="inlineStr">
        <is>
          <t>P3</t>
        </is>
      </c>
      <c r="O30" t="inlineStr">
        <is>
          <t>CVE - IP enrichment n/a</t>
        </is>
      </c>
      <c r="P30" t="n">
        <v>0</v>
      </c>
      <c r="Q30" t="n">
        <v>0</v>
      </c>
      <c r="R30" t="inlineStr">
        <is>
          <t>T1552:Unsecured Credentials</t>
        </is>
      </c>
      <c r="S30" t="n">
        <v>1</v>
      </c>
      <c r="T30" t="inlineStr">
        <is>
          <t>LOW (40%)</t>
        </is>
      </c>
      <c r="U30" t="inlineStr">
        <is>
          <t>UNLIKELY</t>
        </is>
      </c>
      <c r="V30" t="inlineStr">
        <is>
          <t>CHECK_VENDOR</t>
        </is>
      </c>
      <c r="W30" t="inlineStr">
        <is>
          <t>https://nvd.nist.gov/vuln/detail/CVE-2026-23647</t>
        </is>
      </c>
      <c r="X30" t="inlineStr">
        <is>
          <t>NONE</t>
        </is>
      </c>
      <c r="Y30" t="n">
        <v>0</v>
      </c>
      <c r="Z30" t="inlineStr"/>
      <c r="AA30" t="inlineStr">
        <is>
          <t>https://nvd.nist.gov/vuln/detail/CVE-2026-23647</t>
        </is>
      </c>
    </row>
    <row r="31">
      <c r="A31" t="inlineStr">
        <is>
          <t>CVE</t>
        </is>
      </c>
      <c r="B31" t="inlineStr">
        <is>
          <t>CVE-2026-23648</t>
        </is>
      </c>
      <c r="C31" t="inlineStr">
        <is>
          <t>Glory RBG-100 recycler systems using the ISPK-08 software component contain multiple system binaries with overly permissive file permissions. Several binaries executed by the root user are writable and executable by unprivileged local users. An attacker with local access can replace or modify these binaries to execute arbitrary commands with root privileges, enabling local privilege escalation.</t>
        </is>
      </c>
      <c r="D31" t="n">
        <v>7.8</v>
      </c>
      <c r="E31" t="inlineStr">
        <is>
          <t>HIGH</t>
        </is>
      </c>
      <c r="F31" t="n">
        <v>2</v>
      </c>
      <c r="G31" t="n">
        <v>3</v>
      </c>
      <c r="H31" t="inlineStr">
        <is>
          <t>HIGH</t>
        </is>
      </c>
      <c r="I31" t="n">
        <v>13.8</v>
      </c>
      <c r="J31" t="inlineStr">
        <is>
          <t>NO</t>
        </is>
      </c>
      <c r="K31" t="inlineStr">
        <is>
          <t>2026-02-23 23:48</t>
        </is>
      </c>
      <c r="L31" t="inlineStr">
        <is>
          <t>CHECK_VENDOR</t>
        </is>
      </c>
      <c r="M31" t="inlineStr">
        <is>
          <t>See CVE details</t>
        </is>
      </c>
      <c r="N31" t="inlineStr">
        <is>
          <t>P3</t>
        </is>
      </c>
      <c r="O31" t="inlineStr">
        <is>
          <t>CVE - IP enrichment n/a</t>
        </is>
      </c>
      <c r="P31" t="n">
        <v>0.0001</v>
      </c>
      <c r="Q31" t="n">
        <v>0.0248</v>
      </c>
      <c r="R31" t="inlineStr">
        <is>
          <t>T1068:Exploitation for Privilege Escalation</t>
        </is>
      </c>
      <c r="S31" t="n">
        <v>1</v>
      </c>
      <c r="T31" t="inlineStr">
        <is>
          <t>LOW (40%)</t>
        </is>
      </c>
      <c r="U31" t="inlineStr">
        <is>
          <t>UNLIKELY</t>
        </is>
      </c>
      <c r="V31" t="inlineStr">
        <is>
          <t>CHECK_VENDOR</t>
        </is>
      </c>
      <c r="W31" t="inlineStr">
        <is>
          <t>https://nvd.nist.gov/vuln/detail/CVE-2026-23648</t>
        </is>
      </c>
      <c r="X31" t="inlineStr">
        <is>
          <t>NONE</t>
        </is>
      </c>
      <c r="Y31" t="n">
        <v>0</v>
      </c>
      <c r="Z31" t="inlineStr"/>
      <c r="AA31" t="inlineStr">
        <is>
          <t>https://nvd.nist.gov/vuln/detail/CVE-2026-23648</t>
        </is>
      </c>
    </row>
    <row r="32">
      <c r="A32" t="inlineStr">
        <is>
          <t>CVE</t>
        </is>
      </c>
      <c r="B32" t="inlineStr">
        <is>
          <t>CVE-2026-2618</t>
        </is>
      </c>
      <c r="C32" t="inlineStr">
        <is>
          <t>A vulnerability was determined in Beetel 777VR1 up to 01.00.09. This impacts an unknown function of the component SSH Service. This manipulation causes risky cryptographic algorithm. The attack is possible to be carried out remotely. The attack is considered to have high complexity. The exploitability is said to be difficult. The exploit has been publicly disclosed and may be utilized. The vendor was contacted early about this disclosure but did not respond in any way.</t>
        </is>
      </c>
      <c r="D32" t="n">
        <v>3.7</v>
      </c>
      <c r="E32" t="inlineStr">
        <is>
          <t>LOW</t>
        </is>
      </c>
      <c r="F32" t="n">
        <v>2</v>
      </c>
      <c r="G32" t="n">
        <v>1</v>
      </c>
      <c r="H32" t="inlineStr">
        <is>
          <t>LOW</t>
        </is>
      </c>
      <c r="I32" t="n">
        <v>5.7</v>
      </c>
      <c r="J32" t="inlineStr">
        <is>
          <t>NO</t>
        </is>
      </c>
      <c r="K32" t="inlineStr">
        <is>
          <t>2026-02-23 23:48</t>
        </is>
      </c>
      <c r="L32" t="inlineStr">
        <is>
          <t>YES</t>
        </is>
      </c>
      <c r="M32" t="inlineStr">
        <is>
          <t>beetel 777vr1_firmware * | beetel 777vr1 -</t>
        </is>
      </c>
      <c r="N32" t="inlineStr">
        <is>
          <t>P4</t>
        </is>
      </c>
      <c r="O32" t="inlineStr">
        <is>
          <t>CVE - IP enrichment n/a</t>
        </is>
      </c>
      <c r="P32" t="n">
        <v>0</v>
      </c>
      <c r="Q32" t="n">
        <v>0</v>
      </c>
      <c r="R32" t="inlineStr">
        <is>
          <t>T1600:Weaken Encryption</t>
        </is>
      </c>
      <c r="S32" t="n">
        <v>1</v>
      </c>
      <c r="T32" t="inlineStr">
        <is>
          <t>LOW (40%)</t>
        </is>
      </c>
      <c r="U32" t="inlineStr">
        <is>
          <t>UNLIKELY</t>
        </is>
      </c>
      <c r="V32" t="inlineStr">
        <is>
          <t>PATCH_AVAILABLE</t>
        </is>
      </c>
      <c r="W32" t="inlineStr">
        <is>
          <t>https://nvd.nist.gov/vuln/detail/CVE-2026-2618</t>
        </is>
      </c>
      <c r="X32" t="inlineStr">
        <is>
          <t>NONE</t>
        </is>
      </c>
      <c r="Y32" t="n">
        <v>0</v>
      </c>
      <c r="Z32" t="inlineStr"/>
      <c r="AA32" t="inlineStr">
        <is>
          <t>https://nvd.nist.gov/vuln/detail/CVE-2026-2618</t>
        </is>
      </c>
    </row>
    <row r="33">
      <c r="A33" t="inlineStr">
        <is>
          <t>CVE</t>
        </is>
      </c>
      <c r="B33" t="inlineStr">
        <is>
          <t>CVE-2024-55270</t>
        </is>
      </c>
      <c r="C33" t="inlineStr">
        <is>
          <t>phpgurukul Student Management System 1.0 is vulnerable to SQL Injection in studentms/admin/search.php via the searchdata parameter.</t>
        </is>
      </c>
      <c r="D33" t="n">
        <v>8.800000000000001</v>
      </c>
      <c r="E33" t="inlineStr">
        <is>
          <t>HIGH</t>
        </is>
      </c>
      <c r="F33" t="n">
        <v>2</v>
      </c>
      <c r="G33" t="n">
        <v>3</v>
      </c>
      <c r="H33" t="inlineStr">
        <is>
          <t>HIGH</t>
        </is>
      </c>
      <c r="I33" t="n">
        <v>14.8</v>
      </c>
      <c r="J33" t="inlineStr">
        <is>
          <t>NO</t>
        </is>
      </c>
      <c r="K33" t="inlineStr">
        <is>
          <t>2026-02-23 23:48</t>
        </is>
      </c>
      <c r="L33" t="inlineStr">
        <is>
          <t>CHECK_VENDOR</t>
        </is>
      </c>
      <c r="M33" t="inlineStr">
        <is>
          <t>phpgurukul student_management_system 1.0</t>
        </is>
      </c>
      <c r="N33" t="inlineStr">
        <is>
          <t>P3</t>
        </is>
      </c>
      <c r="O33" t="inlineStr">
        <is>
          <t>CVE - IP enrichment n/a</t>
        </is>
      </c>
      <c r="P33" t="n">
        <v>0.0003</v>
      </c>
      <c r="Q33" t="n">
        <v>0.099</v>
      </c>
      <c r="R33" t="inlineStr">
        <is>
          <t>T1190:Exploit Public-Facing Application</t>
        </is>
      </c>
      <c r="S33" t="n">
        <v>1</v>
      </c>
      <c r="T33" t="inlineStr">
        <is>
          <t>LOW (40%)</t>
        </is>
      </c>
      <c r="U33" t="inlineStr">
        <is>
          <t>UNLIKELY</t>
        </is>
      </c>
      <c r="V33" t="inlineStr">
        <is>
          <t>CHECK_VENDOR</t>
        </is>
      </c>
      <c r="W33" t="inlineStr">
        <is>
          <t>https://nvd.nist.gov/vuln/detail/CVE-2024-55270</t>
        </is>
      </c>
      <c r="X33" t="inlineStr">
        <is>
          <t>NONE</t>
        </is>
      </c>
      <c r="Y33" t="n">
        <v>0</v>
      </c>
      <c r="Z33" t="inlineStr"/>
      <c r="AA33" t="inlineStr">
        <is>
          <t>https://nvd.nist.gov/vuln/detail/CVE-2024-55270</t>
        </is>
      </c>
    </row>
    <row r="34">
      <c r="A34" t="inlineStr">
        <is>
          <t>CVE</t>
        </is>
      </c>
      <c r="B34" t="inlineStr">
        <is>
          <t>CVE-2025-13867</t>
        </is>
      </c>
      <c r="C34" t="inlineStr">
        <is>
          <t>IBM Db2 for Linux, UNIX and Windows (includes Db2 Connect Server) 11.5.0 through 11.5.9 and 12.1.0 through 12.1.3 could allow an authenticated user to cause a denial of service due to improper neutralization of special elements in data query logic</t>
        </is>
      </c>
      <c r="D34" t="n">
        <v>6.5</v>
      </c>
      <c r="E34" t="inlineStr">
        <is>
          <t>MEDIUM</t>
        </is>
      </c>
      <c r="F34" t="n">
        <v>2</v>
      </c>
      <c r="G34" t="n">
        <v>2</v>
      </c>
      <c r="H34" t="inlineStr">
        <is>
          <t>MEDIUM</t>
        </is>
      </c>
      <c r="I34" t="n">
        <v>10.5</v>
      </c>
      <c r="J34" t="inlineStr">
        <is>
          <t>NO</t>
        </is>
      </c>
      <c r="K34" t="inlineStr">
        <is>
          <t>2026-02-23 23:48</t>
        </is>
      </c>
      <c r="L34" t="inlineStr">
        <is>
          <t>YES</t>
        </is>
      </c>
      <c r="M34" t="inlineStr">
        <is>
          <t>ibm db2 *</t>
        </is>
      </c>
      <c r="N34" t="inlineStr">
        <is>
          <t>P4</t>
        </is>
      </c>
      <c r="O34" t="inlineStr">
        <is>
          <t>CVE - IP enrichment n/a</t>
        </is>
      </c>
      <c r="P34" t="n">
        <v>0</v>
      </c>
      <c r="Q34" t="n">
        <v>0</v>
      </c>
      <c r="R34" t="inlineStr">
        <is>
          <t>T1499:Endpoint Denial of Service</t>
        </is>
      </c>
      <c r="S34" t="n">
        <v>1</v>
      </c>
      <c r="T34" t="inlineStr">
        <is>
          <t>LOW (40%)</t>
        </is>
      </c>
      <c r="U34" t="inlineStr">
        <is>
          <t>UNLIKELY</t>
        </is>
      </c>
      <c r="V34" t="inlineStr">
        <is>
          <t>PATCH_AVAILABLE</t>
        </is>
      </c>
      <c r="W34" t="inlineStr">
        <is>
          <t>https://nvd.nist.gov/vuln/detail/CVE-2025-13867</t>
        </is>
      </c>
      <c r="X34" t="inlineStr">
        <is>
          <t>NONE</t>
        </is>
      </c>
      <c r="Y34" t="n">
        <v>0</v>
      </c>
      <c r="Z34" t="inlineStr"/>
      <c r="AA34" t="inlineStr">
        <is>
          <t>https://nvd.nist.gov/vuln/detail/CVE-2025-13867</t>
        </is>
      </c>
    </row>
    <row r="35">
      <c r="A35" t="inlineStr">
        <is>
          <t>CVE</t>
        </is>
      </c>
      <c r="B35" t="inlineStr">
        <is>
          <t>CVE-2025-14689</t>
        </is>
      </c>
      <c r="C35" t="inlineStr">
        <is>
          <t>IBM Db2 for Linux, UNIX and Windows (includes Db2 Connect Server) 12.1.0 through 12.1.3 could allow an authenticated user to cause a denial of service due to improper neutralization of special elements in data query logic with federated objects.</t>
        </is>
      </c>
      <c r="D35" t="n">
        <v>6.5</v>
      </c>
      <c r="E35" t="inlineStr">
        <is>
          <t>MEDIUM</t>
        </is>
      </c>
      <c r="F35" t="n">
        <v>2</v>
      </c>
      <c r="G35" t="n">
        <v>2</v>
      </c>
      <c r="H35" t="inlineStr">
        <is>
          <t>MEDIUM</t>
        </is>
      </c>
      <c r="I35" t="n">
        <v>10.5</v>
      </c>
      <c r="J35" t="inlineStr">
        <is>
          <t>NO</t>
        </is>
      </c>
      <c r="K35" t="inlineStr">
        <is>
          <t>2026-02-23 23:48</t>
        </is>
      </c>
      <c r="L35" t="inlineStr">
        <is>
          <t>YES</t>
        </is>
      </c>
      <c r="M35" t="inlineStr">
        <is>
          <t>ibm db2 *</t>
        </is>
      </c>
      <c r="N35" t="inlineStr">
        <is>
          <t>P4</t>
        </is>
      </c>
      <c r="O35" t="inlineStr">
        <is>
          <t>CVE - IP enrichment n/a</t>
        </is>
      </c>
      <c r="P35" t="n">
        <v>0</v>
      </c>
      <c r="Q35" t="n">
        <v>0</v>
      </c>
      <c r="R35" t="inlineStr">
        <is>
          <t>T1499:Endpoint Denial of Service</t>
        </is>
      </c>
      <c r="S35" t="n">
        <v>1</v>
      </c>
      <c r="T35" t="inlineStr">
        <is>
          <t>LOW (40%)</t>
        </is>
      </c>
      <c r="U35" t="inlineStr">
        <is>
          <t>UNLIKELY</t>
        </is>
      </c>
      <c r="V35" t="inlineStr">
        <is>
          <t>PATCH_AVAILABLE</t>
        </is>
      </c>
      <c r="W35" t="inlineStr">
        <is>
          <t>https://nvd.nist.gov/vuln/detail/CVE-2025-14689</t>
        </is>
      </c>
      <c r="X35" t="inlineStr">
        <is>
          <t>NONE</t>
        </is>
      </c>
      <c r="Y35" t="n">
        <v>0</v>
      </c>
      <c r="Z35" t="inlineStr"/>
      <c r="AA35" t="inlineStr">
        <is>
          <t>https://nvd.nist.gov/vuln/detail/CVE-2025-14689</t>
        </is>
      </c>
    </row>
    <row r="36">
      <c r="A36" t="inlineStr">
        <is>
          <t>CVE</t>
        </is>
      </c>
      <c r="B36" t="inlineStr">
        <is>
          <t>CVE-2025-36247</t>
        </is>
      </c>
      <c r="C36" t="inlineStr">
        <is>
          <t>IBM Db2 for Linux, UNIX and Windows (includes Db2 Connect Server) 11.5.0 through 11.5.9 and 12.1.0 through 12.1.3 is vulnerable to an XML external entity injection (XXE) attack when processing XML data. A remote attacker could exploit this vulnerability to expose sensitive information or consume memory resources.</t>
        </is>
      </c>
      <c r="D36" t="n">
        <v>7.1</v>
      </c>
      <c r="E36" t="inlineStr">
        <is>
          <t>HIGH</t>
        </is>
      </c>
      <c r="F36" t="n">
        <v>2</v>
      </c>
      <c r="G36" t="n">
        <v>3</v>
      </c>
      <c r="H36" t="inlineStr">
        <is>
          <t>HIGH</t>
        </is>
      </c>
      <c r="I36" t="n">
        <v>13.1</v>
      </c>
      <c r="J36" t="inlineStr">
        <is>
          <t>NO</t>
        </is>
      </c>
      <c r="K36" t="inlineStr">
        <is>
          <t>2026-02-23 23:48</t>
        </is>
      </c>
      <c r="L36" t="inlineStr">
        <is>
          <t>YES</t>
        </is>
      </c>
      <c r="M36" t="inlineStr">
        <is>
          <t>ibm db2 *</t>
        </is>
      </c>
      <c r="N36" t="inlineStr">
        <is>
          <t>P3</t>
        </is>
      </c>
      <c r="O36" t="inlineStr">
        <is>
          <t>CVE - IP enrichment n/a</t>
        </is>
      </c>
      <c r="P36" t="n">
        <v>0</v>
      </c>
      <c r="Q36" t="n">
        <v>0</v>
      </c>
      <c r="R36" t="inlineStr">
        <is>
          <t>T1059.003:Windows Command Shell | T1190:Exploit Public-Facing Application</t>
        </is>
      </c>
      <c r="S36" t="n">
        <v>1</v>
      </c>
      <c r="T36" t="inlineStr">
        <is>
          <t>LOW (40%)</t>
        </is>
      </c>
      <c r="U36" t="inlineStr">
        <is>
          <t>UNLIKELY</t>
        </is>
      </c>
      <c r="V36" t="inlineStr">
        <is>
          <t>PATCH_AVAILABLE</t>
        </is>
      </c>
      <c r="W36" t="inlineStr">
        <is>
          <t>https://nvd.nist.gov/vuln/detail/CVE-2025-36247</t>
        </is>
      </c>
      <c r="X36" t="inlineStr">
        <is>
          <t>NONE</t>
        </is>
      </c>
      <c r="Y36" t="n">
        <v>0</v>
      </c>
      <c r="Z36" t="inlineStr"/>
      <c r="AA36" t="inlineStr">
        <is>
          <t>https://nvd.nist.gov/vuln/detail/CVE-2025-36247</t>
        </is>
      </c>
    </row>
    <row r="37">
      <c r="A37" t="inlineStr">
        <is>
          <t>CVE</t>
        </is>
      </c>
      <c r="B37" t="inlineStr">
        <is>
          <t>CVE-2025-36425</t>
        </is>
      </c>
      <c r="C37" t="inlineStr">
        <is>
          <t>IBM Db2 for Linux, UNIX and Windows (includes Db2 Connect Server) 11.5.0 through 11.5.9 and 12.1.0 through 12.1.3 could allow an authenticated user to obtain sensitive information under specific HADR configuration.</t>
        </is>
      </c>
      <c r="D37" t="n">
        <v>5.3</v>
      </c>
      <c r="E37" t="inlineStr">
        <is>
          <t>MEDIUM</t>
        </is>
      </c>
      <c r="F37" t="n">
        <v>2</v>
      </c>
      <c r="G37" t="n">
        <v>2</v>
      </c>
      <c r="H37" t="inlineStr">
        <is>
          <t>MEDIUM</t>
        </is>
      </c>
      <c r="I37" t="n">
        <v>9.300000000000001</v>
      </c>
      <c r="J37" t="inlineStr">
        <is>
          <t>NO</t>
        </is>
      </c>
      <c r="K37" t="inlineStr">
        <is>
          <t>2026-02-23 23:48</t>
        </is>
      </c>
      <c r="L37" t="inlineStr">
        <is>
          <t>YES</t>
        </is>
      </c>
      <c r="M37" t="inlineStr">
        <is>
          <t>ibm db2 *</t>
        </is>
      </c>
      <c r="N37" t="inlineStr">
        <is>
          <t>P4</t>
        </is>
      </c>
      <c r="O37" t="inlineStr">
        <is>
          <t>CVE - IP enrichment n/a</t>
        </is>
      </c>
      <c r="P37" t="n">
        <v>0</v>
      </c>
      <c r="Q37" t="n">
        <v>0</v>
      </c>
      <c r="R37" t="inlineStr">
        <is>
          <t>T1190:Exploit Public-Facing Application</t>
        </is>
      </c>
      <c r="S37" t="n">
        <v>1</v>
      </c>
      <c r="T37" t="inlineStr">
        <is>
          <t>LOW (40%)</t>
        </is>
      </c>
      <c r="U37" t="inlineStr">
        <is>
          <t>UNLIKELY</t>
        </is>
      </c>
      <c r="V37" t="inlineStr">
        <is>
          <t>PATCH_AVAILABLE</t>
        </is>
      </c>
      <c r="W37" t="inlineStr">
        <is>
          <t>https://nvd.nist.gov/vuln/detail/CVE-2025-36425</t>
        </is>
      </c>
      <c r="X37" t="inlineStr">
        <is>
          <t>NONE</t>
        </is>
      </c>
      <c r="Y37" t="n">
        <v>0</v>
      </c>
      <c r="Z37" t="inlineStr"/>
      <c r="AA37" t="inlineStr">
        <is>
          <t>https://nvd.nist.gov/vuln/detail/CVE-2025-36425</t>
        </is>
      </c>
    </row>
    <row r="38">
      <c r="A38" t="inlineStr">
        <is>
          <t>CVE</t>
        </is>
      </c>
      <c r="B38" t="inlineStr">
        <is>
          <t>CVE-2026-1452</t>
        </is>
      </c>
      <c r="C38" t="inlineStr">
        <is>
          <t>Rejected reason: ** REJECT ** DO NOT USE THIS CANDIDATE NUMBER. Reason: This candidate was issued in error. Notes: All references and descriptions in this candidate have been removed to prevent accidental usage.</t>
        </is>
      </c>
      <c r="D38" t="n">
        <v>5</v>
      </c>
      <c r="E38" t="inlineStr">
        <is>
          <t>MEDIUM</t>
        </is>
      </c>
      <c r="F38" t="n">
        <v>2</v>
      </c>
      <c r="G38" t="n">
        <v>2</v>
      </c>
      <c r="H38" t="inlineStr">
        <is>
          <t>MEDIUM</t>
        </is>
      </c>
      <c r="I38" t="n">
        <v>9</v>
      </c>
      <c r="J38" t="inlineStr">
        <is>
          <t>NO</t>
        </is>
      </c>
      <c r="K38" t="inlineStr">
        <is>
          <t>2026-02-23 23:48</t>
        </is>
      </c>
      <c r="L38" t="inlineStr">
        <is>
          <t>CHECK_VENDOR</t>
        </is>
      </c>
      <c r="M38" t="inlineStr">
        <is>
          <t>See CVE details</t>
        </is>
      </c>
      <c r="N38" t="inlineStr">
        <is>
          <t>P4</t>
        </is>
      </c>
      <c r="O38" t="inlineStr">
        <is>
          <t>CVE - IP enrichment n/a</t>
        </is>
      </c>
      <c r="P38" t="n">
        <v>0</v>
      </c>
      <c r="Q38" t="n">
        <v>0</v>
      </c>
      <c r="R38" t="inlineStr">
        <is>
          <t>T1190:Exploit Public-Facing Application</t>
        </is>
      </c>
      <c r="S38" t="n">
        <v>1</v>
      </c>
      <c r="T38" t="inlineStr">
        <is>
          <t>LOW (40%)</t>
        </is>
      </c>
      <c r="U38" t="inlineStr">
        <is>
          <t>UNLIKELY</t>
        </is>
      </c>
      <c r="V38" t="inlineStr">
        <is>
          <t>CHECK_VENDOR</t>
        </is>
      </c>
      <c r="W38" t="inlineStr">
        <is>
          <t>https://nvd.nist.gov/vuln/detail/CVE-2026-1452</t>
        </is>
      </c>
      <c r="X38" t="inlineStr">
        <is>
          <t>NONE</t>
        </is>
      </c>
      <c r="Y38" t="n">
        <v>0</v>
      </c>
      <c r="Z38" t="inlineStr"/>
      <c r="AA38" t="inlineStr">
        <is>
          <t>https://nvd.nist.gov/vuln/detail/CVE-2026-1452</t>
        </is>
      </c>
    </row>
    <row r="39">
      <c r="A39" t="inlineStr">
        <is>
          <t>CVE</t>
        </is>
      </c>
      <c r="B39" t="inlineStr">
        <is>
          <t>CVE-2024-43178</t>
        </is>
      </c>
      <c r="C39" t="inlineStr">
        <is>
          <t>IBM Concert 1.0.0 through 2.1.0 uses weaker than expected cryptographic algorithms that could allow an attacker to decrypt highly sensitive information.</t>
        </is>
      </c>
      <c r="D39" t="n">
        <v>5.9</v>
      </c>
      <c r="E39" t="inlineStr">
        <is>
          <t>MEDIUM</t>
        </is>
      </c>
      <c r="F39" t="n">
        <v>2</v>
      </c>
      <c r="G39" t="n">
        <v>2</v>
      </c>
      <c r="H39" t="inlineStr">
        <is>
          <t>MEDIUM</t>
        </is>
      </c>
      <c r="I39" t="n">
        <v>9.9</v>
      </c>
      <c r="J39" t="inlineStr">
        <is>
          <t>NO</t>
        </is>
      </c>
      <c r="K39" t="inlineStr">
        <is>
          <t>2026-02-23 23:48</t>
        </is>
      </c>
      <c r="L39" t="inlineStr">
        <is>
          <t>YES</t>
        </is>
      </c>
      <c r="M39" t="inlineStr">
        <is>
          <t>linux linux_kernel - | ibm concert *</t>
        </is>
      </c>
      <c r="N39" t="inlineStr">
        <is>
          <t>P4</t>
        </is>
      </c>
      <c r="O39" t="inlineStr">
        <is>
          <t>CVE - IP enrichment n/a</t>
        </is>
      </c>
      <c r="P39" t="n">
        <v>0</v>
      </c>
      <c r="Q39" t="n">
        <v>0</v>
      </c>
      <c r="R39" t="inlineStr">
        <is>
          <t>T1600:Weaken Encryption</t>
        </is>
      </c>
      <c r="S39" t="n">
        <v>1</v>
      </c>
      <c r="T39" t="inlineStr">
        <is>
          <t>LOW (40%)</t>
        </is>
      </c>
      <c r="U39" t="inlineStr">
        <is>
          <t>UNLIKELY</t>
        </is>
      </c>
      <c r="V39" t="inlineStr">
        <is>
          <t>PATCH_AVAILABLE</t>
        </is>
      </c>
      <c r="W39" t="inlineStr">
        <is>
          <t>https://nvd.nist.gov/vuln/detail/CVE-2024-43178</t>
        </is>
      </c>
      <c r="X39" t="inlineStr">
        <is>
          <t>NONE</t>
        </is>
      </c>
      <c r="Y39" t="n">
        <v>0</v>
      </c>
      <c r="Z39" t="inlineStr"/>
      <c r="AA39" t="inlineStr">
        <is>
          <t>https://nvd.nist.gov/vuln/detail/CVE-2024-43178</t>
        </is>
      </c>
    </row>
    <row r="40">
      <c r="A40" t="inlineStr">
        <is>
          <t>CVE</t>
        </is>
      </c>
      <c r="B40" t="inlineStr">
        <is>
          <t>CVE-2025-12755</t>
        </is>
      </c>
      <c r="C40" t="inlineStr">
        <is>
          <t>IBM MQ Operator (SC2 v3.2.0–3.8.1, LTS v2.0.0–2.0.29) and IBM‑supplied MQ Advanced container images (across affected SC2, CD, and LTS 9.3.x–9.4.x releases) contain a vulnerability where log messages are not properly neutralized before being written to log files. This flaw could allow an unauthorized user to inject malicious data into MQ log entries, potentially leading to misleading logs, log manipulation, or downstream log‑processing issues.</t>
        </is>
      </c>
      <c r="D40" t="n">
        <v>4</v>
      </c>
      <c r="E40" t="inlineStr">
        <is>
          <t>MEDIUM</t>
        </is>
      </c>
      <c r="F40" t="n">
        <v>2</v>
      </c>
      <c r="G40" t="n">
        <v>2</v>
      </c>
      <c r="H40" t="inlineStr">
        <is>
          <t>MEDIUM</t>
        </is>
      </c>
      <c r="I40" t="n">
        <v>8</v>
      </c>
      <c r="J40" t="inlineStr">
        <is>
          <t>NO</t>
        </is>
      </c>
      <c r="K40" t="inlineStr">
        <is>
          <t>2026-02-23 23:48</t>
        </is>
      </c>
      <c r="L40" t="inlineStr">
        <is>
          <t>CHECK_VENDOR</t>
        </is>
      </c>
      <c r="M40" t="inlineStr">
        <is>
          <t>See CVE details</t>
        </is>
      </c>
      <c r="N40" t="inlineStr">
        <is>
          <t>P4</t>
        </is>
      </c>
      <c r="O40" t="inlineStr">
        <is>
          <t>CVE - IP enrichment n/a</t>
        </is>
      </c>
      <c r="P40" t="n">
        <v>0</v>
      </c>
      <c r="Q40" t="n">
        <v>0</v>
      </c>
      <c r="R40" t="inlineStr">
        <is>
          <t>T1190:Exploit Public-Facing Application</t>
        </is>
      </c>
      <c r="S40" t="n">
        <v>1</v>
      </c>
      <c r="T40" t="inlineStr">
        <is>
          <t>LOW (40%)</t>
        </is>
      </c>
      <c r="U40" t="inlineStr">
        <is>
          <t>UNLIKELY</t>
        </is>
      </c>
      <c r="V40" t="inlineStr">
        <is>
          <t>CHECK_VENDOR</t>
        </is>
      </c>
      <c r="W40" t="inlineStr">
        <is>
          <t>https://nvd.nist.gov/vuln/detail/CVE-2025-12755</t>
        </is>
      </c>
      <c r="X40" t="inlineStr">
        <is>
          <t>NONE</t>
        </is>
      </c>
      <c r="Y40" t="n">
        <v>0</v>
      </c>
      <c r="Z40" t="inlineStr"/>
      <c r="AA40" t="inlineStr">
        <is>
          <t>https://nvd.nist.gov/vuln/detail/CVE-2025-12755</t>
        </is>
      </c>
    </row>
    <row r="41">
      <c r="A41" t="inlineStr">
        <is>
          <t>CVE</t>
        </is>
      </c>
      <c r="B41" t="inlineStr">
        <is>
          <t>CVE-2025-36018</t>
        </is>
      </c>
      <c r="C41" t="inlineStr">
        <is>
          <t>IBM Concert 1.0.0 through 2.1.0 for Z hub component is vulnerable to cross-site request forgery which could allow an attacker to execute malicious and unauthorized actions transmitted from a user that the website trusts.</t>
        </is>
      </c>
      <c r="D41" t="n">
        <v>6.5</v>
      </c>
      <c r="E41" t="inlineStr">
        <is>
          <t>MEDIUM</t>
        </is>
      </c>
      <c r="F41" t="n">
        <v>2</v>
      </c>
      <c r="G41" t="n">
        <v>2</v>
      </c>
      <c r="H41" t="inlineStr">
        <is>
          <t>MEDIUM</t>
        </is>
      </c>
      <c r="I41" t="n">
        <v>10.5</v>
      </c>
      <c r="J41" t="inlineStr">
        <is>
          <t>NO</t>
        </is>
      </c>
      <c r="K41" t="inlineStr">
        <is>
          <t>2026-02-23 23:48</t>
        </is>
      </c>
      <c r="L41" t="inlineStr">
        <is>
          <t>YES</t>
        </is>
      </c>
      <c r="M41" t="inlineStr">
        <is>
          <t>linux linux_kernel - | ibm concert *</t>
        </is>
      </c>
      <c r="N41" t="inlineStr">
        <is>
          <t>P4</t>
        </is>
      </c>
      <c r="O41" t="inlineStr">
        <is>
          <t>CVE - IP enrichment n/a</t>
        </is>
      </c>
      <c r="P41" t="n">
        <v>0.0001</v>
      </c>
      <c r="Q41" t="n">
        <v>0.0281</v>
      </c>
      <c r="R41" t="inlineStr">
        <is>
          <t>T1185:Browser Session Hijacking</t>
        </is>
      </c>
      <c r="S41" t="n">
        <v>1</v>
      </c>
      <c r="T41" t="inlineStr">
        <is>
          <t>LOW (40%)</t>
        </is>
      </c>
      <c r="U41" t="inlineStr">
        <is>
          <t>UNLIKELY</t>
        </is>
      </c>
      <c r="V41" t="inlineStr">
        <is>
          <t>PATCH_AVAILABLE</t>
        </is>
      </c>
      <c r="W41" t="inlineStr">
        <is>
          <t>https://nvd.nist.gov/vuln/detail/CVE-2025-36018</t>
        </is>
      </c>
      <c r="X41" t="inlineStr">
        <is>
          <t>NONE</t>
        </is>
      </c>
      <c r="Y41" t="n">
        <v>0</v>
      </c>
      <c r="Z41" t="inlineStr"/>
      <c r="AA41" t="inlineStr">
        <is>
          <t>https://nvd.nist.gov/vuln/detail/CVE-2025-36018</t>
        </is>
      </c>
    </row>
    <row r="42">
      <c r="A42" t="inlineStr">
        <is>
          <t>CVE</t>
        </is>
      </c>
      <c r="B42" t="inlineStr">
        <is>
          <t>CVE-2025-36019</t>
        </is>
      </c>
      <c r="C42" t="inlineStr">
        <is>
          <t>IBM Concert 1.0.0 through 2.1.0 for Z hub framework is vulnerable to cross-site scripting. This vulnerability allows an unauthenticated attacker to embed arbitrary JavaScript code in the Web UI thus altering the intended functionality potentially leading to credentials disclosure within a trusted session.</t>
        </is>
      </c>
      <c r="D42" t="n">
        <v>6.1</v>
      </c>
      <c r="E42" t="inlineStr">
        <is>
          <t>MEDIUM</t>
        </is>
      </c>
      <c r="F42" t="n">
        <v>2</v>
      </c>
      <c r="G42" t="n">
        <v>2</v>
      </c>
      <c r="H42" t="inlineStr">
        <is>
          <t>MEDIUM</t>
        </is>
      </c>
      <c r="I42" t="n">
        <v>10.1</v>
      </c>
      <c r="J42" t="inlineStr">
        <is>
          <t>NO</t>
        </is>
      </c>
      <c r="K42" t="inlineStr">
        <is>
          <t>2026-02-23 23:48</t>
        </is>
      </c>
      <c r="L42" t="inlineStr">
        <is>
          <t>YES</t>
        </is>
      </c>
      <c r="M42" t="inlineStr">
        <is>
          <t>linux linux_kernel - | ibm concert *</t>
        </is>
      </c>
      <c r="N42" t="inlineStr">
        <is>
          <t>P4</t>
        </is>
      </c>
      <c r="O42" t="inlineStr">
        <is>
          <t>CVE - IP enrichment n/a</t>
        </is>
      </c>
      <c r="P42" t="n">
        <v>0</v>
      </c>
      <c r="Q42" t="n">
        <v>0</v>
      </c>
      <c r="R42" t="inlineStr">
        <is>
          <t>T1189:Drive-by Compromise | T1552:Unsecured Credentials</t>
        </is>
      </c>
      <c r="S42" t="n">
        <v>1</v>
      </c>
      <c r="T42" t="inlineStr">
        <is>
          <t>LOW (40%)</t>
        </is>
      </c>
      <c r="U42" t="inlineStr">
        <is>
          <t>UNLIKELY</t>
        </is>
      </c>
      <c r="V42" t="inlineStr">
        <is>
          <t>PATCH_AVAILABLE</t>
        </is>
      </c>
      <c r="W42" t="inlineStr">
        <is>
          <t>https://nvd.nist.gov/vuln/detail/CVE-2025-36019</t>
        </is>
      </c>
      <c r="X42" t="inlineStr">
        <is>
          <t>NONE</t>
        </is>
      </c>
      <c r="Y42" t="n">
        <v>0</v>
      </c>
      <c r="Z42" t="inlineStr"/>
      <c r="AA42" t="inlineStr">
        <is>
          <t>https://nvd.nist.gov/vuln/detail/CVE-2025-36019</t>
        </is>
      </c>
    </row>
    <row r="43">
      <c r="A43" t="inlineStr">
        <is>
          <t>CVE</t>
        </is>
      </c>
      <c r="B43" t="inlineStr">
        <is>
          <t>CVE-2025-59793</t>
        </is>
      </c>
      <c r="C43" t="inlineStr">
        <is>
          <t>Rocket TRUfusion Enterprise through 7.10.5 exposes the endpoint at /axis2/services/WsPortalV6UpDwAxis2Impl to authenticated users to be able to upload files. However, the application doesn't properly sanitize the jobDirectory parameter, which allows path traversal sequences to be included. This allows writing files to arbitrary local filesystem locations and may subsequently lead to remote code execution.</t>
        </is>
      </c>
      <c r="D43" t="n">
        <v>8.5</v>
      </c>
      <c r="E43" t="inlineStr">
        <is>
          <t>HIGH</t>
        </is>
      </c>
      <c r="F43" t="n">
        <v>2</v>
      </c>
      <c r="G43" t="n">
        <v>3</v>
      </c>
      <c r="H43" t="inlineStr">
        <is>
          <t>HIGH</t>
        </is>
      </c>
      <c r="I43" t="n">
        <v>14.5</v>
      </c>
      <c r="J43" t="inlineStr">
        <is>
          <t>NO</t>
        </is>
      </c>
      <c r="K43" t="inlineStr">
        <is>
          <t>2026-02-23 23:48</t>
        </is>
      </c>
      <c r="L43" t="inlineStr">
        <is>
          <t>CHECK_VENDOR</t>
        </is>
      </c>
      <c r="M43" t="inlineStr">
        <is>
          <t>See CVE details</t>
        </is>
      </c>
      <c r="N43" t="inlineStr">
        <is>
          <t>P3</t>
        </is>
      </c>
      <c r="O43" t="inlineStr">
        <is>
          <t>CVE - IP enrichment n/a</t>
        </is>
      </c>
      <c r="P43" t="n">
        <v>0</v>
      </c>
      <c r="Q43" t="n">
        <v>0</v>
      </c>
      <c r="R43" t="inlineStr">
        <is>
          <t>T1190:Exploit Public-Facing Application | T1210:Exploitation of Remote Services | T1083:File and Directory Discovery</t>
        </is>
      </c>
      <c r="S43" t="n">
        <v>1</v>
      </c>
      <c r="T43" t="inlineStr">
        <is>
          <t>LOW (40%)</t>
        </is>
      </c>
      <c r="U43" t="inlineStr">
        <is>
          <t>UNLIKELY</t>
        </is>
      </c>
      <c r="V43" t="inlineStr">
        <is>
          <t>CHECK_VENDOR</t>
        </is>
      </c>
      <c r="W43" t="inlineStr">
        <is>
          <t>https://nvd.nist.gov/vuln/detail/CVE-2025-59793</t>
        </is>
      </c>
      <c r="X43" t="inlineStr">
        <is>
          <t>NONE</t>
        </is>
      </c>
      <c r="Y43" t="n">
        <v>0</v>
      </c>
      <c r="Z43" t="inlineStr"/>
      <c r="AA43" t="inlineStr">
        <is>
          <t>https://nvd.nist.gov/vuln/detail/CVE-2025-59793</t>
        </is>
      </c>
    </row>
    <row r="44">
      <c r="A44" t="inlineStr">
        <is>
          <t>CVE</t>
        </is>
      </c>
      <c r="B44" t="inlineStr">
        <is>
          <t>CVE-2025-66614</t>
        </is>
      </c>
      <c r="C44" t="inlineStr">
        <is>
          <t>Improper Input Validation vulnerability.
This issue affects Apache Tomcat: from 11.0.0-M1 through 11.0.14, from 10.1.0-M1 through 10.1.49, from 9.0.0-M1 through 9.0.112.
The following versions were EOL at the time the CVE was created but are 
known to be affected: 8.5.0 through 8.5.100. Older EOL versions are not affected.
Tomcat did not validate that the host name provided via the SNI 
extension was the same as the host name provided in the HTTP host header 
field. If Tomcat was configured wi</t>
        </is>
      </c>
      <c r="D44" t="n">
        <v>8.5</v>
      </c>
      <c r="E44" t="inlineStr">
        <is>
          <t>HIGH</t>
        </is>
      </c>
      <c r="F44" t="n">
        <v>2</v>
      </c>
      <c r="G44" t="n">
        <v>3</v>
      </c>
      <c r="H44" t="inlineStr">
        <is>
          <t>HIGH</t>
        </is>
      </c>
      <c r="I44" t="n">
        <v>14.5</v>
      </c>
      <c r="J44" t="inlineStr">
        <is>
          <t>NO</t>
        </is>
      </c>
      <c r="K44" t="inlineStr">
        <is>
          <t>2026-02-23 23:48</t>
        </is>
      </c>
      <c r="L44" t="inlineStr">
        <is>
          <t>CHECK_VENDOR</t>
        </is>
      </c>
      <c r="M44" t="inlineStr">
        <is>
          <t>See CVE details</t>
        </is>
      </c>
      <c r="N44" t="inlineStr">
        <is>
          <t>P3</t>
        </is>
      </c>
      <c r="O44" t="inlineStr">
        <is>
          <t>CVE - IP enrichment n/a</t>
        </is>
      </c>
      <c r="P44" t="n">
        <v>0</v>
      </c>
      <c r="Q44" t="n">
        <v>0</v>
      </c>
      <c r="R44" t="inlineStr">
        <is>
          <t>T1190:Exploit Public-Facing Application</t>
        </is>
      </c>
      <c r="S44" t="n">
        <v>1</v>
      </c>
      <c r="T44" t="inlineStr">
        <is>
          <t>LOW (40%)</t>
        </is>
      </c>
      <c r="U44" t="inlineStr">
        <is>
          <t>UNLIKELY</t>
        </is>
      </c>
      <c r="V44" t="inlineStr">
        <is>
          <t>CHECK_VENDOR</t>
        </is>
      </c>
      <c r="W44" t="inlineStr">
        <is>
          <t>https://nvd.nist.gov/vuln/detail/CVE-2025-66614</t>
        </is>
      </c>
      <c r="X44" t="inlineStr">
        <is>
          <t>NONE</t>
        </is>
      </c>
      <c r="Y44" t="n">
        <v>0</v>
      </c>
      <c r="Z44" t="inlineStr"/>
      <c r="AA44" t="inlineStr">
        <is>
          <t>https://nvd.nist.gov/vuln/detail/CVE-2025-66614</t>
        </is>
      </c>
    </row>
    <row r="45">
      <c r="A45" t="inlineStr">
        <is>
          <t>CVE</t>
        </is>
      </c>
      <c r="B45" t="inlineStr">
        <is>
          <t>CVE-2026-24733</t>
        </is>
      </c>
      <c r="C45" t="inlineStr">
        <is>
          <t>Improper Input Validation vulnerability in Apache Tomcat.
Tomcat did not limit HTTP/0.9 requests to the GET method. If a security 
constraint was configured to allow HEAD requests to a URI but deny GET 
requests, the user could bypass that constraint on GET requests by 
sending a (specification invalid) HEAD request using HTTP/0.9.
This issue affects Apache Tomcat: from 11.0.0-M1 through 11.0.14, from 10.1.0-M1 through 10.1.49, from 9.0.0.M1 through 9.0.112.
Older, EOL versions are also af</t>
        </is>
      </c>
      <c r="D45" t="n">
        <v>5</v>
      </c>
      <c r="E45" t="inlineStr">
        <is>
          <t>MEDIUM</t>
        </is>
      </c>
      <c r="F45" t="n">
        <v>2</v>
      </c>
      <c r="G45" t="n">
        <v>2</v>
      </c>
      <c r="H45" t="inlineStr">
        <is>
          <t>MEDIUM</t>
        </is>
      </c>
      <c r="I45" t="n">
        <v>9</v>
      </c>
      <c r="J45" t="inlineStr">
        <is>
          <t>NO</t>
        </is>
      </c>
      <c r="K45" t="inlineStr">
        <is>
          <t>2026-02-23 23:48</t>
        </is>
      </c>
      <c r="L45" t="inlineStr">
        <is>
          <t>CHECK_VENDOR</t>
        </is>
      </c>
      <c r="M45" t="inlineStr">
        <is>
          <t>See CVE details</t>
        </is>
      </c>
      <c r="N45" t="inlineStr">
        <is>
          <t>P4</t>
        </is>
      </c>
      <c r="O45" t="inlineStr">
        <is>
          <t>CVE - IP enrichment n/a</t>
        </is>
      </c>
      <c r="P45" t="n">
        <v>0</v>
      </c>
      <c r="Q45" t="n">
        <v>0</v>
      </c>
      <c r="R45" t="inlineStr">
        <is>
          <t>T1190:Exploit Public-Facing Application</t>
        </is>
      </c>
      <c r="S45" t="n">
        <v>1</v>
      </c>
      <c r="T45" t="inlineStr">
        <is>
          <t>LOW (40%)</t>
        </is>
      </c>
      <c r="U45" t="inlineStr">
        <is>
          <t>UNLIKELY</t>
        </is>
      </c>
      <c r="V45" t="inlineStr">
        <is>
          <t>CHECK_VENDOR</t>
        </is>
      </c>
      <c r="W45" t="inlineStr">
        <is>
          <t>https://nvd.nist.gov/vuln/detail/CVE-2026-24733</t>
        </is>
      </c>
      <c r="X45" t="inlineStr">
        <is>
          <t>NONE</t>
        </is>
      </c>
      <c r="Y45" t="n">
        <v>0</v>
      </c>
      <c r="Z45" t="inlineStr"/>
      <c r="AA45" t="inlineStr">
        <is>
          <t>https://nvd.nist.gov/vuln/detail/CVE-2026-24733</t>
        </is>
      </c>
    </row>
    <row r="46">
      <c r="A46" t="inlineStr">
        <is>
          <t>CVE</t>
        </is>
      </c>
      <c r="B46" t="inlineStr">
        <is>
          <t>CVE-2026-24734</t>
        </is>
      </c>
      <c r="C46" t="inlineStr">
        <is>
          <t>Improper Input Validation vulnerability in Apache Tomcat Native, Apache Tomcat.
When using an OCSP responder, Tomcat Native (and Tomcat's FFM port of the Tomcat Native code) did not complete verification or freshness checks on the OCSP response which could allow certificate revocation to be bypassed.
This issue affects Apache Tomcat Native:  from 1.3.0 through 1.3.4, from 2.0.0 through 2.0.11; Apache Tomcat: from 11.0.0-M1 through 11.0.17, from 10.1.0-M7 through 10.1.51, from 9.0.83 through 9.</t>
        </is>
      </c>
      <c r="D46" t="n">
        <v>5</v>
      </c>
      <c r="E46" t="inlineStr">
        <is>
          <t>MEDIUM</t>
        </is>
      </c>
      <c r="F46" t="n">
        <v>2</v>
      </c>
      <c r="G46" t="n">
        <v>2</v>
      </c>
      <c r="H46" t="inlineStr">
        <is>
          <t>MEDIUM</t>
        </is>
      </c>
      <c r="I46" t="n">
        <v>9</v>
      </c>
      <c r="J46" t="inlineStr">
        <is>
          <t>NO</t>
        </is>
      </c>
      <c r="K46" t="inlineStr">
        <is>
          <t>2026-02-23 23:48</t>
        </is>
      </c>
      <c r="L46" t="inlineStr">
        <is>
          <t>CHECK_VENDOR</t>
        </is>
      </c>
      <c r="M46" t="inlineStr">
        <is>
          <t>See CVE details</t>
        </is>
      </c>
      <c r="N46" t="inlineStr">
        <is>
          <t>P4</t>
        </is>
      </c>
      <c r="O46" t="inlineStr">
        <is>
          <t>CVE - IP enrichment n/a</t>
        </is>
      </c>
      <c r="P46" t="n">
        <v>0.0003</v>
      </c>
      <c r="Q46" t="n">
        <v>0.0701</v>
      </c>
      <c r="R46" t="inlineStr">
        <is>
          <t>T1190:Exploit Public-Facing Application</t>
        </is>
      </c>
      <c r="S46" t="n">
        <v>1</v>
      </c>
      <c r="T46" t="inlineStr">
        <is>
          <t>LOW (40%)</t>
        </is>
      </c>
      <c r="U46" t="inlineStr">
        <is>
          <t>UNLIKELY</t>
        </is>
      </c>
      <c r="V46" t="inlineStr">
        <is>
          <t>CHECK_VENDOR</t>
        </is>
      </c>
      <c r="W46" t="inlineStr">
        <is>
          <t>https://nvd.nist.gov/vuln/detail/CVE-2026-24734</t>
        </is>
      </c>
      <c r="X46" t="inlineStr">
        <is>
          <t>NONE</t>
        </is>
      </c>
      <c r="Y46" t="n">
        <v>0</v>
      </c>
      <c r="Z46" t="inlineStr"/>
      <c r="AA46" t="inlineStr">
        <is>
          <t>https://nvd.nist.gov/vuln/detail/CVE-2026-24734</t>
        </is>
      </c>
    </row>
    <row r="47">
      <c r="A47" t="inlineStr">
        <is>
          <t>CVE</t>
        </is>
      </c>
      <c r="B47" t="inlineStr">
        <is>
          <t>CVE-2026-26731</t>
        </is>
      </c>
      <c r="C47" t="inlineStr">
        <is>
          <t>TOTOLINK A3002RU V2.1.1-B20211108.1455 was discovered to contain a stack-based buffer overflow via the routernamer`parameter in the formDnsv6 function.</t>
        </is>
      </c>
      <c r="D47" t="n">
        <v>8.800000000000001</v>
      </c>
      <c r="E47" t="inlineStr">
        <is>
          <t>HIGH</t>
        </is>
      </c>
      <c r="F47" t="n">
        <v>3</v>
      </c>
      <c r="G47" t="n">
        <v>3</v>
      </c>
      <c r="H47" t="inlineStr">
        <is>
          <t>CRITICAL</t>
        </is>
      </c>
      <c r="I47" t="n">
        <v>17.8</v>
      </c>
      <c r="J47" t="inlineStr">
        <is>
          <t>NO</t>
        </is>
      </c>
      <c r="K47" t="inlineStr">
        <is>
          <t>2026-02-23 23:48</t>
        </is>
      </c>
      <c r="L47" t="inlineStr">
        <is>
          <t>CHECK_VENDOR</t>
        </is>
      </c>
      <c r="M47" t="inlineStr">
        <is>
          <t>totolink a3002ru-v2 - | totolink a3002ru_firmware 2.1.1-b20211108.1455</t>
        </is>
      </c>
      <c r="N47" t="inlineStr">
        <is>
          <t>P2</t>
        </is>
      </c>
      <c r="O47" t="inlineStr">
        <is>
          <t>CVE - IP enrichment n/a</t>
        </is>
      </c>
      <c r="P47" t="n">
        <v>0</v>
      </c>
      <c r="Q47" t="n">
        <v>0</v>
      </c>
      <c r="R47" t="inlineStr">
        <is>
          <t>T1203:Exploitation for Client Execution</t>
        </is>
      </c>
      <c r="S47" t="n">
        <v>2</v>
      </c>
      <c r="T47" t="inlineStr">
        <is>
          <t>HIGH (72%)</t>
        </is>
      </c>
      <c r="U47" t="inlineStr">
        <is>
          <t>CONFIRMED</t>
        </is>
      </c>
      <c r="V47" t="inlineStr">
        <is>
          <t>CHECK_VENDOR</t>
        </is>
      </c>
      <c r="W47" t="inlineStr">
        <is>
          <t>https://nvd.nist.gov/vuln/detail/CVE-2026-26731</t>
        </is>
      </c>
      <c r="X47" t="inlineStr">
        <is>
          <t>NONE</t>
        </is>
      </c>
      <c r="Y47" t="n">
        <v>4.4</v>
      </c>
      <c r="Z47" t="inlineStr"/>
      <c r="AA47" t="inlineStr">
        <is>
          <t>https://nvd.nist.gov/vuln/detail/CVE-2026-26731</t>
        </is>
      </c>
    </row>
    <row r="48">
      <c r="A48" t="inlineStr">
        <is>
          <t>CVE</t>
        </is>
      </c>
      <c r="B48" t="inlineStr">
        <is>
          <t>CVE-2026-26732</t>
        </is>
      </c>
      <c r="C48" t="inlineStr">
        <is>
          <t>TOTOLINK A3002RU V2.1.1-B20211108.1455 was discovered to contain a stack-based buffer overflow via the vpnUser or vpnPassword` parameters in the formFilter function.</t>
        </is>
      </c>
      <c r="D48" t="n">
        <v>8.800000000000001</v>
      </c>
      <c r="E48" t="inlineStr">
        <is>
          <t>HIGH</t>
        </is>
      </c>
      <c r="F48" t="n">
        <v>2</v>
      </c>
      <c r="G48" t="n">
        <v>3</v>
      </c>
      <c r="H48" t="inlineStr">
        <is>
          <t>HIGH</t>
        </is>
      </c>
      <c r="I48" t="n">
        <v>14.8</v>
      </c>
      <c r="J48" t="inlineStr">
        <is>
          <t>NO</t>
        </is>
      </c>
      <c r="K48" t="inlineStr">
        <is>
          <t>2026-02-23 23:48</t>
        </is>
      </c>
      <c r="L48" t="inlineStr">
        <is>
          <t>CHECK_VENDOR</t>
        </is>
      </c>
      <c r="M48" t="inlineStr">
        <is>
          <t>totolink a3002ru-v2 - | totolink a3002ru_firmware 2.1.1-b20211108.1455</t>
        </is>
      </c>
      <c r="N48" t="inlineStr">
        <is>
          <t>P3</t>
        </is>
      </c>
      <c r="O48" t="inlineStr">
        <is>
          <t>CVE - IP enrichment n/a</t>
        </is>
      </c>
      <c r="P48" t="n">
        <v>0</v>
      </c>
      <c r="Q48" t="n">
        <v>0</v>
      </c>
      <c r="R48" t="inlineStr">
        <is>
          <t>T1203:Exploitation for Client Execution | T1133:External Remote Services</t>
        </is>
      </c>
      <c r="S48" t="n">
        <v>1</v>
      </c>
      <c r="T48" t="inlineStr">
        <is>
          <t>LOW (40%)</t>
        </is>
      </c>
      <c r="U48" t="inlineStr">
        <is>
          <t>UNLIKELY</t>
        </is>
      </c>
      <c r="V48" t="inlineStr">
        <is>
          <t>CHECK_VENDOR</t>
        </is>
      </c>
      <c r="W48" t="inlineStr">
        <is>
          <t>https://nvd.nist.gov/vuln/detail/CVE-2026-26732</t>
        </is>
      </c>
      <c r="X48" t="inlineStr">
        <is>
          <t>NONE</t>
        </is>
      </c>
      <c r="Y48" t="n">
        <v>0</v>
      </c>
      <c r="Z48" t="inlineStr"/>
      <c r="AA48" t="inlineStr">
        <is>
          <t>https://nvd.nist.gov/vuln/detail/CVE-2026-26732</t>
        </is>
      </c>
    </row>
    <row r="49">
      <c r="A49" t="inlineStr">
        <is>
          <t>CVE</t>
        </is>
      </c>
      <c r="B49" t="inlineStr">
        <is>
          <t>CVE-2026-26736</t>
        </is>
      </c>
      <c r="C49" t="inlineStr">
        <is>
          <t>TOTOLINK A3002RU_V3 V3.0.0-B20220304.1804 was discovered to contain a stack-based buffer overflow via the static_ipv6 parameter in the formIpv6Setup function.</t>
        </is>
      </c>
      <c r="D49" t="n">
        <v>8.800000000000001</v>
      </c>
      <c r="E49" t="inlineStr">
        <is>
          <t>HIGH</t>
        </is>
      </c>
      <c r="F49" t="n">
        <v>3</v>
      </c>
      <c r="G49" t="n">
        <v>3</v>
      </c>
      <c r="H49" t="inlineStr">
        <is>
          <t>CRITICAL</t>
        </is>
      </c>
      <c r="I49" t="n">
        <v>17.8</v>
      </c>
      <c r="J49" t="inlineStr">
        <is>
          <t>NO</t>
        </is>
      </c>
      <c r="K49" t="inlineStr">
        <is>
          <t>2026-02-23 23:48</t>
        </is>
      </c>
      <c r="L49" t="inlineStr">
        <is>
          <t>CHECK_VENDOR</t>
        </is>
      </c>
      <c r="M49" t="inlineStr">
        <is>
          <t>totolink a3002ru_firmware * | totolink a3002ru-v3 *</t>
        </is>
      </c>
      <c r="N49" t="inlineStr">
        <is>
          <t>P2</t>
        </is>
      </c>
      <c r="O49" t="inlineStr">
        <is>
          <t>CVE - IP enrichment n/a</t>
        </is>
      </c>
      <c r="P49" t="n">
        <v>0</v>
      </c>
      <c r="Q49" t="n">
        <v>0</v>
      </c>
      <c r="R49" t="inlineStr">
        <is>
          <t>T1203:Exploitation for Client Execution</t>
        </is>
      </c>
      <c r="S49" t="n">
        <v>2</v>
      </c>
      <c r="T49" t="inlineStr">
        <is>
          <t>HIGH (72%)</t>
        </is>
      </c>
      <c r="U49" t="inlineStr">
        <is>
          <t>CONFIRMED</t>
        </is>
      </c>
      <c r="V49" t="inlineStr">
        <is>
          <t>CHECK_VENDOR</t>
        </is>
      </c>
      <c r="W49" t="inlineStr">
        <is>
          <t>https://nvd.nist.gov/vuln/detail/CVE-2026-26736</t>
        </is>
      </c>
      <c r="X49" t="inlineStr">
        <is>
          <t>NONE</t>
        </is>
      </c>
      <c r="Y49" t="n">
        <v>4.4</v>
      </c>
      <c r="Z49" t="inlineStr"/>
      <c r="AA49" t="inlineStr">
        <is>
          <t>https://nvd.nist.gov/vuln/detail/CVE-2026-26736</t>
        </is>
      </c>
    </row>
    <row r="50">
      <c r="A50" t="inlineStr">
        <is>
          <t>CVE</t>
        </is>
      </c>
      <c r="B50" t="inlineStr">
        <is>
          <t>CVE-2026-2630</t>
        </is>
      </c>
      <c r="C50" t="inlineStr">
        <is>
          <t>A Command Injection vulnerability exists where an authenticated, remote attacker could execute arbitrary code on the underlying server where Tenable Security Center is hosted.</t>
        </is>
      </c>
      <c r="D50" t="n">
        <v>8.800000000000001</v>
      </c>
      <c r="E50" t="inlineStr">
        <is>
          <t>HIGH</t>
        </is>
      </c>
      <c r="F50" t="n">
        <v>2</v>
      </c>
      <c r="G50" t="n">
        <v>3</v>
      </c>
      <c r="H50" t="inlineStr">
        <is>
          <t>HIGH</t>
        </is>
      </c>
      <c r="I50" t="n">
        <v>14.8</v>
      </c>
      <c r="J50" t="inlineStr">
        <is>
          <t>NO</t>
        </is>
      </c>
      <c r="K50" t="inlineStr">
        <is>
          <t>2026-02-23 23:48</t>
        </is>
      </c>
      <c r="L50" t="inlineStr">
        <is>
          <t>CHECK_VENDOR</t>
        </is>
      </c>
      <c r="M50" t="inlineStr">
        <is>
          <t>See CVE details</t>
        </is>
      </c>
      <c r="N50" t="inlineStr">
        <is>
          <t>P3</t>
        </is>
      </c>
      <c r="O50" t="inlineStr">
        <is>
          <t>CVE - IP enrichment n/a</t>
        </is>
      </c>
      <c r="P50" t="n">
        <v>0</v>
      </c>
      <c r="Q50" t="n">
        <v>0</v>
      </c>
      <c r="R50" t="inlineStr">
        <is>
          <t>T1059:Command and Scripting Interpreter | T1203:Exploitation for Client Execution</t>
        </is>
      </c>
      <c r="S50" t="n">
        <v>1</v>
      </c>
      <c r="T50" t="inlineStr">
        <is>
          <t>LOW (40%)</t>
        </is>
      </c>
      <c r="U50" t="inlineStr">
        <is>
          <t>UNLIKELY</t>
        </is>
      </c>
      <c r="V50" t="inlineStr">
        <is>
          <t>CHECK_VENDOR</t>
        </is>
      </c>
      <c r="W50" t="inlineStr">
        <is>
          <t>https://nvd.nist.gov/vuln/detail/CVE-2026-2630</t>
        </is>
      </c>
      <c r="X50" t="inlineStr">
        <is>
          <t>NONE</t>
        </is>
      </c>
      <c r="Y50" t="n">
        <v>0</v>
      </c>
      <c r="Z50" t="inlineStr"/>
      <c r="AA50" t="inlineStr">
        <is>
          <t>https://nvd.nist.gov/vuln/detail/CVE-2026-2630</t>
        </is>
      </c>
    </row>
    <row r="51">
      <c r="A51" t="inlineStr">
        <is>
          <t>CVE</t>
        </is>
      </c>
      <c r="B51" t="inlineStr">
        <is>
          <t>CVE-2023-38265</t>
        </is>
      </c>
      <c r="C51" t="inlineStr">
        <is>
          <t>IBM Cloud Pak System 2.3.3.6, 2.3.3.7, 2.3.4.0, 2.3.4.1, and 2.3.5.0 could disclose folder location information to an unauthenticated attacker that could aid in further attacks against the system.</t>
        </is>
      </c>
      <c r="D51" t="n">
        <v>5.3</v>
      </c>
      <c r="E51" t="inlineStr">
        <is>
          <t>MEDIUM</t>
        </is>
      </c>
      <c r="F51" t="n">
        <v>2</v>
      </c>
      <c r="G51" t="n">
        <v>2</v>
      </c>
      <c r="H51" t="inlineStr">
        <is>
          <t>MEDIUM</t>
        </is>
      </c>
      <c r="I51" t="n">
        <v>9.300000000000001</v>
      </c>
      <c r="J51" t="inlineStr">
        <is>
          <t>NO</t>
        </is>
      </c>
      <c r="K51" t="inlineStr">
        <is>
          <t>2026-02-23 23:48</t>
        </is>
      </c>
      <c r="L51" t="inlineStr">
        <is>
          <t>YES</t>
        </is>
      </c>
      <c r="M51" t="inlineStr">
        <is>
          <t>ibm cloud_pak_system 2.3.3.6 | ibm cloud_pak_system 2.3.4.0 | ibm cloud_pak_system 2.3.3.7</t>
        </is>
      </c>
      <c r="N51" t="inlineStr">
        <is>
          <t>P4</t>
        </is>
      </c>
      <c r="O51" t="inlineStr">
        <is>
          <t>CVE - IP enrichment n/a</t>
        </is>
      </c>
      <c r="P51" t="n">
        <v>0.0004</v>
      </c>
      <c r="Q51" t="n">
        <v>0.1384</v>
      </c>
      <c r="R51" t="inlineStr">
        <is>
          <t>T1190:Exploit Public-Facing Application</t>
        </is>
      </c>
      <c r="S51" t="n">
        <v>1</v>
      </c>
      <c r="T51" t="inlineStr">
        <is>
          <t>LOW (40%)</t>
        </is>
      </c>
      <c r="U51" t="inlineStr">
        <is>
          <t>UNLIKELY</t>
        </is>
      </c>
      <c r="V51" t="inlineStr">
        <is>
          <t>PATCH_AVAILABLE</t>
        </is>
      </c>
      <c r="W51" t="inlineStr">
        <is>
          <t>https://nvd.nist.gov/vuln/detail/CVE-2023-38265</t>
        </is>
      </c>
      <c r="X51" t="inlineStr">
        <is>
          <t>NONE</t>
        </is>
      </c>
      <c r="Y51" t="n">
        <v>0</v>
      </c>
      <c r="Z51" t="inlineStr"/>
      <c r="AA51" t="inlineStr">
        <is>
          <t>https://nvd.nist.gov/vuln/detail/CVE-2023-38265</t>
        </is>
      </c>
    </row>
    <row r="52">
      <c r="A52" t="inlineStr">
        <is>
          <t>CVE</t>
        </is>
      </c>
      <c r="B52" t="inlineStr">
        <is>
          <t>CVE-2025-13108</t>
        </is>
      </c>
      <c r="C52" t="inlineStr">
        <is>
          <t>IBM DB2 Merge Backup for Linux, UNIX and Windows 12.1.0.0 could allow an attacker to access sensitive information in memory due to the buffer not properly clearing resources.</t>
        </is>
      </c>
      <c r="D52" t="n">
        <v>5.5</v>
      </c>
      <c r="E52" t="inlineStr">
        <is>
          <t>MEDIUM</t>
        </is>
      </c>
      <c r="F52" t="n">
        <v>2</v>
      </c>
      <c r="G52" t="n">
        <v>2</v>
      </c>
      <c r="H52" t="inlineStr">
        <is>
          <t>MEDIUM</t>
        </is>
      </c>
      <c r="I52" t="n">
        <v>9.5</v>
      </c>
      <c r="J52" t="inlineStr">
        <is>
          <t>NO</t>
        </is>
      </c>
      <c r="K52" t="inlineStr">
        <is>
          <t>2026-02-23 23:48</t>
        </is>
      </c>
      <c r="L52" t="inlineStr">
        <is>
          <t>YES</t>
        </is>
      </c>
      <c r="M52" t="inlineStr">
        <is>
          <t>ibm db2_merge_backup 12.1.0.0</t>
        </is>
      </c>
      <c r="N52" t="inlineStr">
        <is>
          <t>P4</t>
        </is>
      </c>
      <c r="O52" t="inlineStr">
        <is>
          <t>CVE - IP enrichment n/a</t>
        </is>
      </c>
      <c r="P52" t="n">
        <v>0</v>
      </c>
      <c r="Q52" t="n">
        <v>0</v>
      </c>
      <c r="R52" t="inlineStr">
        <is>
          <t>T1190:Exploit Public-Facing Application</t>
        </is>
      </c>
      <c r="S52" t="n">
        <v>1</v>
      </c>
      <c r="T52" t="inlineStr">
        <is>
          <t>LOW (40%)</t>
        </is>
      </c>
      <c r="U52" t="inlineStr">
        <is>
          <t>UNLIKELY</t>
        </is>
      </c>
      <c r="V52" t="inlineStr">
        <is>
          <t>PATCH_AVAILABLE</t>
        </is>
      </c>
      <c r="W52" t="inlineStr">
        <is>
          <t>https://nvd.nist.gov/vuln/detail/CVE-2025-13108</t>
        </is>
      </c>
      <c r="X52" t="inlineStr">
        <is>
          <t>NONE</t>
        </is>
      </c>
      <c r="Y52" t="n">
        <v>0</v>
      </c>
      <c r="Z52" t="inlineStr"/>
      <c r="AA52" t="inlineStr">
        <is>
          <t>https://nvd.nist.gov/vuln/detail/CVE-2025-13108</t>
        </is>
      </c>
    </row>
    <row r="53">
      <c r="A53" t="inlineStr">
        <is>
          <t>CVE</t>
        </is>
      </c>
      <c r="B53" t="inlineStr">
        <is>
          <t>CVE-2025-27898</t>
        </is>
      </c>
      <c r="C53" t="inlineStr">
        <is>
          <t>IBM DB2 Recovery Expert for LUW 5.5 Interim Fix 002 does not invalidate session after a timeout which could allow an authenticated user to impersonate another user on the system.</t>
        </is>
      </c>
      <c r="D53" t="n">
        <v>6.3</v>
      </c>
      <c r="E53" t="inlineStr">
        <is>
          <t>MEDIUM</t>
        </is>
      </c>
      <c r="F53" t="n">
        <v>2</v>
      </c>
      <c r="G53" t="n">
        <v>2</v>
      </c>
      <c r="H53" t="inlineStr">
        <is>
          <t>MEDIUM</t>
        </is>
      </c>
      <c r="I53" t="n">
        <v>10.3</v>
      </c>
      <c r="J53" t="inlineStr">
        <is>
          <t>NO</t>
        </is>
      </c>
      <c r="K53" t="inlineStr">
        <is>
          <t>2026-02-23 23:48</t>
        </is>
      </c>
      <c r="L53" t="inlineStr">
        <is>
          <t>CHECK_VENDOR</t>
        </is>
      </c>
      <c r="M53" t="inlineStr">
        <is>
          <t>See CVE details</t>
        </is>
      </c>
      <c r="N53" t="inlineStr">
        <is>
          <t>P4</t>
        </is>
      </c>
      <c r="O53" t="inlineStr">
        <is>
          <t>CVE - IP enrichment n/a</t>
        </is>
      </c>
      <c r="P53" t="n">
        <v>0</v>
      </c>
      <c r="Q53" t="n">
        <v>0</v>
      </c>
      <c r="R53" t="inlineStr">
        <is>
          <t>T1190:Exploit Public-Facing Application</t>
        </is>
      </c>
      <c r="S53" t="n">
        <v>1</v>
      </c>
      <c r="T53" t="inlineStr">
        <is>
          <t>LOW (40%)</t>
        </is>
      </c>
      <c r="U53" t="inlineStr">
        <is>
          <t>UNLIKELY</t>
        </is>
      </c>
      <c r="V53" t="inlineStr">
        <is>
          <t>CHECK_VENDOR</t>
        </is>
      </c>
      <c r="W53" t="inlineStr">
        <is>
          <t>https://nvd.nist.gov/vuln/detail/CVE-2025-27898</t>
        </is>
      </c>
      <c r="X53" t="inlineStr">
        <is>
          <t>NONE</t>
        </is>
      </c>
      <c r="Y53" t="n">
        <v>0</v>
      </c>
      <c r="Z53" t="inlineStr"/>
      <c r="AA53" t="inlineStr">
        <is>
          <t>https://nvd.nist.gov/vuln/detail/CVE-2025-27898</t>
        </is>
      </c>
    </row>
    <row r="54">
      <c r="A54" t="inlineStr">
        <is>
          <t>CVE</t>
        </is>
      </c>
      <c r="B54" t="inlineStr">
        <is>
          <t>CVE-2025-27899</t>
        </is>
      </c>
      <c r="C54" t="inlineStr">
        <is>
          <t>IBM DB2 Recovery Expert for LUW 5.5 Interim Fix 002 discloses sensitive information in an environment variable that could aid in further attacks against the system.</t>
        </is>
      </c>
      <c r="D54" t="n">
        <v>5.3</v>
      </c>
      <c r="E54" t="inlineStr">
        <is>
          <t>MEDIUM</t>
        </is>
      </c>
      <c r="F54" t="n">
        <v>2</v>
      </c>
      <c r="G54" t="n">
        <v>2</v>
      </c>
      <c r="H54" t="inlineStr">
        <is>
          <t>MEDIUM</t>
        </is>
      </c>
      <c r="I54" t="n">
        <v>9.300000000000001</v>
      </c>
      <c r="J54" t="inlineStr">
        <is>
          <t>NO</t>
        </is>
      </c>
      <c r="K54" t="inlineStr">
        <is>
          <t>2026-02-23 23:48</t>
        </is>
      </c>
      <c r="L54" t="inlineStr">
        <is>
          <t>CHECK_VENDOR</t>
        </is>
      </c>
      <c r="M54" t="inlineStr">
        <is>
          <t>See CVE details</t>
        </is>
      </c>
      <c r="N54" t="inlineStr">
        <is>
          <t>P4</t>
        </is>
      </c>
      <c r="O54" t="inlineStr">
        <is>
          <t>CVE - IP enrichment n/a</t>
        </is>
      </c>
      <c r="P54" t="n">
        <v>0</v>
      </c>
      <c r="Q54" t="n">
        <v>0</v>
      </c>
      <c r="R54" t="inlineStr">
        <is>
          <t>T1190:Exploit Public-Facing Application</t>
        </is>
      </c>
      <c r="S54" t="n">
        <v>1</v>
      </c>
      <c r="T54" t="inlineStr">
        <is>
          <t>LOW (40%)</t>
        </is>
      </c>
      <c r="U54" t="inlineStr">
        <is>
          <t>UNLIKELY</t>
        </is>
      </c>
      <c r="V54" t="inlineStr">
        <is>
          <t>CHECK_VENDOR</t>
        </is>
      </c>
      <c r="W54" t="inlineStr">
        <is>
          <t>https://nvd.nist.gov/vuln/detail/CVE-2025-27899</t>
        </is>
      </c>
      <c r="X54" t="inlineStr">
        <is>
          <t>NONE</t>
        </is>
      </c>
      <c r="Y54" t="n">
        <v>0</v>
      </c>
      <c r="Z54" t="inlineStr"/>
      <c r="AA54" t="inlineStr">
        <is>
          <t>https://nvd.nist.gov/vuln/detail/CVE-2025-27899</t>
        </is>
      </c>
    </row>
    <row r="55">
      <c r="A55" t="inlineStr">
        <is>
          <t>CVE</t>
        </is>
      </c>
      <c r="B55" t="inlineStr">
        <is>
          <t>CVE-2025-27900</t>
        </is>
      </c>
      <c r="C55" t="inlineStr">
        <is>
          <t>IBM DB2 Recovery Expert for LUW 5.5 Interim Fix 002 could allow a remote attacker to conduct phishing attacks, using an open redirect attack. By persuading a victim to visit a specially crafted Web site, a remote attacker could exploit this vulnerability to spoof the URL displayed to redirect a user to a malicious Web site that would appear to be trusted. This could allow the attacker to obtain highly sensitive information or conduct further attacks against the victim.</t>
        </is>
      </c>
      <c r="D55" t="n">
        <v>6.8</v>
      </c>
      <c r="E55" t="inlineStr">
        <is>
          <t>MEDIUM</t>
        </is>
      </c>
      <c r="F55" t="n">
        <v>2</v>
      </c>
      <c r="G55" t="n">
        <v>2</v>
      </c>
      <c r="H55" t="inlineStr">
        <is>
          <t>MEDIUM</t>
        </is>
      </c>
      <c r="I55" t="n">
        <v>10.8</v>
      </c>
      <c r="J55" t="inlineStr">
        <is>
          <t>NO</t>
        </is>
      </c>
      <c r="K55" t="inlineStr">
        <is>
          <t>2026-02-23 23:48</t>
        </is>
      </c>
      <c r="L55" t="inlineStr">
        <is>
          <t>CHECK_VENDOR</t>
        </is>
      </c>
      <c r="M55" t="inlineStr">
        <is>
          <t>See CVE details</t>
        </is>
      </c>
      <c r="N55" t="inlineStr">
        <is>
          <t>P4</t>
        </is>
      </c>
      <c r="O55" t="inlineStr">
        <is>
          <t>CVE - IP enrichment n/a</t>
        </is>
      </c>
      <c r="P55" t="n">
        <v>0</v>
      </c>
      <c r="Q55" t="n">
        <v>0</v>
      </c>
      <c r="R55" t="inlineStr">
        <is>
          <t>T1189:Drive-by Compromise | T1566:Phishing</t>
        </is>
      </c>
      <c r="S55" t="n">
        <v>1</v>
      </c>
      <c r="T55" t="inlineStr">
        <is>
          <t>LOW (40%)</t>
        </is>
      </c>
      <c r="U55" t="inlineStr">
        <is>
          <t>UNLIKELY</t>
        </is>
      </c>
      <c r="V55" t="inlineStr">
        <is>
          <t>CHECK_VENDOR</t>
        </is>
      </c>
      <c r="W55" t="inlineStr">
        <is>
          <t>https://nvd.nist.gov/vuln/detail/CVE-2025-27900</t>
        </is>
      </c>
      <c r="X55" t="inlineStr">
        <is>
          <t>NONE</t>
        </is>
      </c>
      <c r="Y55" t="n">
        <v>0</v>
      </c>
      <c r="Z55" t="inlineStr"/>
      <c r="AA55" t="inlineStr">
        <is>
          <t>https://nvd.nist.gov/vuln/detail/CVE-2025-27900</t>
        </is>
      </c>
    </row>
    <row r="56">
      <c r="A56" t="inlineStr">
        <is>
          <t>CVE</t>
        </is>
      </c>
      <c r="B56" t="inlineStr">
        <is>
          <t>CVE-2025-27901</t>
        </is>
      </c>
      <c r="C56" t="inlineStr">
        <is>
          <t>IBM DB2 Recovery Expert for LUW 5.5 Interim Fix 002 IBM Db2 Recovery Expert for Linux, UNIX and Windows is vulnerable to HTTP header injection, caused by improper validation of input by the HOST headers.  This could allow an attacker to conduct various attacks against the vulnerable system, including cross-site scripting, cache poisoning or session hijacking.</t>
        </is>
      </c>
      <c r="D56" t="n">
        <v>6.5</v>
      </c>
      <c r="E56" t="inlineStr">
        <is>
          <t>MEDIUM</t>
        </is>
      </c>
      <c r="F56" t="n">
        <v>2</v>
      </c>
      <c r="G56" t="n">
        <v>2</v>
      </c>
      <c r="H56" t="inlineStr">
        <is>
          <t>MEDIUM</t>
        </is>
      </c>
      <c r="I56" t="n">
        <v>10.5</v>
      </c>
      <c r="J56" t="inlineStr">
        <is>
          <t>NO</t>
        </is>
      </c>
      <c r="K56" t="inlineStr">
        <is>
          <t>2026-02-23 23:48</t>
        </is>
      </c>
      <c r="L56" t="inlineStr">
        <is>
          <t>CHECK_VENDOR</t>
        </is>
      </c>
      <c r="M56" t="inlineStr">
        <is>
          <t>See CVE details</t>
        </is>
      </c>
      <c r="N56" t="inlineStr">
        <is>
          <t>P4</t>
        </is>
      </c>
      <c r="O56" t="inlineStr">
        <is>
          <t>CVE - IP enrichment n/a</t>
        </is>
      </c>
      <c r="P56" t="n">
        <v>0</v>
      </c>
      <c r="Q56" t="n">
        <v>0</v>
      </c>
      <c r="R56" t="inlineStr">
        <is>
          <t>T1189:Drive-by Compromise</t>
        </is>
      </c>
      <c r="S56" t="n">
        <v>1</v>
      </c>
      <c r="T56" t="inlineStr">
        <is>
          <t>LOW (40%)</t>
        </is>
      </c>
      <c r="U56" t="inlineStr">
        <is>
          <t>UNLIKELY</t>
        </is>
      </c>
      <c r="V56" t="inlineStr">
        <is>
          <t>CHECK_VENDOR</t>
        </is>
      </c>
      <c r="W56" t="inlineStr">
        <is>
          <t>https://nvd.nist.gov/vuln/detail/CVE-2025-27901</t>
        </is>
      </c>
      <c r="X56" t="inlineStr">
        <is>
          <t>NONE</t>
        </is>
      </c>
      <c r="Y56" t="n">
        <v>0</v>
      </c>
      <c r="Z56" t="inlineStr"/>
      <c r="AA56" t="inlineStr">
        <is>
          <t>https://nvd.nist.gov/vuln/detail/CVE-2025-27901</t>
        </is>
      </c>
    </row>
    <row r="57">
      <c r="A57" t="inlineStr">
        <is>
          <t>CVE</t>
        </is>
      </c>
      <c r="B57" t="inlineStr">
        <is>
          <t>CVE-2025-27903</t>
        </is>
      </c>
      <c r="C57" t="inlineStr">
        <is>
          <t>IBM DB2 Recovery Expert for LUW 5.5 Interim Fix 002 IBM Db2 Recovery Expert for Linux, UNIX and Windows transmits data in a cleartext communication channel that could allow an attacker to obtain sensitive information using man in the middle techniques.</t>
        </is>
      </c>
      <c r="D57" t="n">
        <v>5.9</v>
      </c>
      <c r="E57" t="inlineStr">
        <is>
          <t>MEDIUM</t>
        </is>
      </c>
      <c r="F57" t="n">
        <v>2</v>
      </c>
      <c r="G57" t="n">
        <v>2</v>
      </c>
      <c r="H57" t="inlineStr">
        <is>
          <t>MEDIUM</t>
        </is>
      </c>
      <c r="I57" t="n">
        <v>9.9</v>
      </c>
      <c r="J57" t="inlineStr">
        <is>
          <t>NO</t>
        </is>
      </c>
      <c r="K57" t="inlineStr">
        <is>
          <t>2026-02-23 23:48</t>
        </is>
      </c>
      <c r="L57" t="inlineStr">
        <is>
          <t>CHECK_VENDOR</t>
        </is>
      </c>
      <c r="M57" t="inlineStr">
        <is>
          <t>See CVE details</t>
        </is>
      </c>
      <c r="N57" t="inlineStr">
        <is>
          <t>P4</t>
        </is>
      </c>
      <c r="O57" t="inlineStr">
        <is>
          <t>CVE - IP enrichment n/a</t>
        </is>
      </c>
      <c r="P57" t="n">
        <v>0</v>
      </c>
      <c r="Q57" t="n">
        <v>0</v>
      </c>
      <c r="R57" t="inlineStr">
        <is>
          <t>T1190:Exploit Public-Facing Application</t>
        </is>
      </c>
      <c r="S57" t="n">
        <v>1</v>
      </c>
      <c r="T57" t="inlineStr">
        <is>
          <t>LOW (40%)</t>
        </is>
      </c>
      <c r="U57" t="inlineStr">
        <is>
          <t>UNLIKELY</t>
        </is>
      </c>
      <c r="V57" t="inlineStr">
        <is>
          <t>CHECK_VENDOR</t>
        </is>
      </c>
      <c r="W57" t="inlineStr">
        <is>
          <t>https://nvd.nist.gov/vuln/detail/CVE-2025-27903</t>
        </is>
      </c>
      <c r="X57" t="inlineStr">
        <is>
          <t>NONE</t>
        </is>
      </c>
      <c r="Y57" t="n">
        <v>0</v>
      </c>
      <c r="Z57" t="inlineStr"/>
      <c r="AA57" t="inlineStr">
        <is>
          <t>https://nvd.nist.gov/vuln/detail/CVE-2025-27903</t>
        </is>
      </c>
    </row>
    <row r="58">
      <c r="A58" t="inlineStr">
        <is>
          <t>CVE</t>
        </is>
      </c>
      <c r="B58" t="inlineStr">
        <is>
          <t>CVE-2025-27904</t>
        </is>
      </c>
      <c r="C58" t="inlineStr">
        <is>
          <t>IBM DB2 Recovery Expert for LUW 5.5 Interim Fix 002 IBM Db2 Recovery Expert for Linux, UNIX and Windows is vulnerable to cross-site request forgery which could allow an attacker to execute malicious and unauthorized actions transmitted from a user that the website trusts.</t>
        </is>
      </c>
      <c r="D58" t="n">
        <v>6.5</v>
      </c>
      <c r="E58" t="inlineStr">
        <is>
          <t>MEDIUM</t>
        </is>
      </c>
      <c r="F58" t="n">
        <v>2</v>
      </c>
      <c r="G58" t="n">
        <v>2</v>
      </c>
      <c r="H58" t="inlineStr">
        <is>
          <t>MEDIUM</t>
        </is>
      </c>
      <c r="I58" t="n">
        <v>10.5</v>
      </c>
      <c r="J58" t="inlineStr">
        <is>
          <t>NO</t>
        </is>
      </c>
      <c r="K58" t="inlineStr">
        <is>
          <t>2026-02-23 23:48</t>
        </is>
      </c>
      <c r="L58" t="inlineStr">
        <is>
          <t>CHECK_VENDOR</t>
        </is>
      </c>
      <c r="M58" t="inlineStr">
        <is>
          <t>See CVE details</t>
        </is>
      </c>
      <c r="N58" t="inlineStr">
        <is>
          <t>P4</t>
        </is>
      </c>
      <c r="O58" t="inlineStr">
        <is>
          <t>CVE - IP enrichment n/a</t>
        </is>
      </c>
      <c r="P58" t="n">
        <v>0</v>
      </c>
      <c r="Q58" t="n">
        <v>0</v>
      </c>
      <c r="R58" t="inlineStr">
        <is>
          <t>T1185:Browser Session Hijacking</t>
        </is>
      </c>
      <c r="S58" t="n">
        <v>1</v>
      </c>
      <c r="T58" t="inlineStr">
        <is>
          <t>LOW (40%)</t>
        </is>
      </c>
      <c r="U58" t="inlineStr">
        <is>
          <t>UNLIKELY</t>
        </is>
      </c>
      <c r="V58" t="inlineStr">
        <is>
          <t>CHECK_VENDOR</t>
        </is>
      </c>
      <c r="W58" t="inlineStr">
        <is>
          <t>https://nvd.nist.gov/vuln/detail/CVE-2025-27904</t>
        </is>
      </c>
      <c r="X58" t="inlineStr">
        <is>
          <t>NONE</t>
        </is>
      </c>
      <c r="Y58" t="n">
        <v>0</v>
      </c>
      <c r="Z58" t="inlineStr"/>
      <c r="AA58" t="inlineStr">
        <is>
          <t>https://nvd.nist.gov/vuln/detail/CVE-2025-27904</t>
        </is>
      </c>
    </row>
    <row r="59">
      <c r="A59" t="inlineStr">
        <is>
          <t>CVE</t>
        </is>
      </c>
      <c r="B59" t="inlineStr">
        <is>
          <t>CVE-2025-32355</t>
        </is>
      </c>
      <c r="C59" t="inlineStr">
        <is>
          <t>Rocket TRUfusion Enterprise through 7.10.4.0 uses a reverse proxy to handle incoming connections. However, the proxy is misconfigured in a way that allows specifying absolute URLs in the HTTP request line, causing the proxy to load the given resource.</t>
        </is>
      </c>
      <c r="D59" t="n">
        <v>8.5</v>
      </c>
      <c r="E59" t="inlineStr">
        <is>
          <t>HIGH</t>
        </is>
      </c>
      <c r="F59" t="n">
        <v>2</v>
      </c>
      <c r="G59" t="n">
        <v>3</v>
      </c>
      <c r="H59" t="inlineStr">
        <is>
          <t>HIGH</t>
        </is>
      </c>
      <c r="I59" t="n">
        <v>14.5</v>
      </c>
      <c r="J59" t="inlineStr">
        <is>
          <t>NO</t>
        </is>
      </c>
      <c r="K59" t="inlineStr">
        <is>
          <t>2026-02-23 23:48</t>
        </is>
      </c>
      <c r="L59" t="inlineStr">
        <is>
          <t>CHECK_VENDOR</t>
        </is>
      </c>
      <c r="M59" t="inlineStr">
        <is>
          <t>See CVE details</t>
        </is>
      </c>
      <c r="N59" t="inlineStr">
        <is>
          <t>P2</t>
        </is>
      </c>
      <c r="O59" t="inlineStr">
        <is>
          <t>CVE - IP enrichment n/a</t>
        </is>
      </c>
      <c r="P59" t="n">
        <v>0.0121</v>
      </c>
      <c r="Q59" t="n">
        <v>0.7873</v>
      </c>
      <c r="R59" t="inlineStr">
        <is>
          <t>T1190:Exploit Public-Facing Application</t>
        </is>
      </c>
      <c r="S59" t="n">
        <v>1</v>
      </c>
      <c r="T59" t="inlineStr">
        <is>
          <t>LOW (40%)</t>
        </is>
      </c>
      <c r="U59" t="inlineStr">
        <is>
          <t>UNLIKELY</t>
        </is>
      </c>
      <c r="V59" t="inlineStr">
        <is>
          <t>CHECK_VENDOR</t>
        </is>
      </c>
      <c r="W59" t="inlineStr">
        <is>
          <t>https://nvd.nist.gov/vuln/detail/CVE-2025-32355</t>
        </is>
      </c>
      <c r="X59" t="inlineStr">
        <is>
          <t>NONE</t>
        </is>
      </c>
      <c r="Y59" t="n">
        <v>0</v>
      </c>
      <c r="Z59" t="inlineStr"/>
      <c r="AA59" t="inlineStr">
        <is>
          <t>https://nvd.nist.gov/vuln/detail/CVE-2025-32355</t>
        </is>
      </c>
    </row>
    <row r="60">
      <c r="A60" t="inlineStr">
        <is>
          <t>CVE</t>
        </is>
      </c>
      <c r="B60" t="inlineStr">
        <is>
          <t>CVE-2025-33089</t>
        </is>
      </c>
      <c r="C60" t="inlineStr">
        <is>
          <t>IBM Concert 1.0.0 through 2.1.0 could allow a remote attacker to obtain sensitive information or perform unauthorized actions due to the use of hard coded user credentials.</t>
        </is>
      </c>
      <c r="D60" t="n">
        <v>6.5</v>
      </c>
      <c r="E60" t="inlineStr">
        <is>
          <t>MEDIUM</t>
        </is>
      </c>
      <c r="F60" t="n">
        <v>2</v>
      </c>
      <c r="G60" t="n">
        <v>2</v>
      </c>
      <c r="H60" t="inlineStr">
        <is>
          <t>MEDIUM</t>
        </is>
      </c>
      <c r="I60" t="n">
        <v>10.5</v>
      </c>
      <c r="J60" t="inlineStr">
        <is>
          <t>NO</t>
        </is>
      </c>
      <c r="K60" t="inlineStr">
        <is>
          <t>2026-02-23 23:48</t>
        </is>
      </c>
      <c r="L60" t="inlineStr">
        <is>
          <t>YES</t>
        </is>
      </c>
      <c r="M60" t="inlineStr">
        <is>
          <t>ibm concert *</t>
        </is>
      </c>
      <c r="N60" t="inlineStr">
        <is>
          <t>P4</t>
        </is>
      </c>
      <c r="O60" t="inlineStr">
        <is>
          <t>CVE - IP enrichment n/a</t>
        </is>
      </c>
      <c r="P60" t="n">
        <v>0</v>
      </c>
      <c r="Q60" t="n">
        <v>0</v>
      </c>
      <c r="R60" t="inlineStr">
        <is>
          <t>T1552:Unsecured Credentials</t>
        </is>
      </c>
      <c r="S60" t="n">
        <v>1</v>
      </c>
      <c r="T60" t="inlineStr">
        <is>
          <t>LOW (40%)</t>
        </is>
      </c>
      <c r="U60" t="inlineStr">
        <is>
          <t>UNLIKELY</t>
        </is>
      </c>
      <c r="V60" t="inlineStr">
        <is>
          <t>PATCH_AVAILABLE</t>
        </is>
      </c>
      <c r="W60" t="inlineStr">
        <is>
          <t>https://nvd.nist.gov/vuln/detail/CVE-2025-33089</t>
        </is>
      </c>
      <c r="X60" t="inlineStr">
        <is>
          <t>NONE</t>
        </is>
      </c>
      <c r="Y60" t="n">
        <v>0</v>
      </c>
      <c r="Z60" t="inlineStr"/>
      <c r="AA60" t="inlineStr">
        <is>
          <t>https://nvd.nist.gov/vuln/detail/CVE-2025-33089</t>
        </is>
      </c>
    </row>
    <row r="61">
      <c r="A61" t="inlineStr">
        <is>
          <t>CVE</t>
        </is>
      </c>
      <c r="B61" t="inlineStr">
        <is>
          <t>CVE-2025-33101</t>
        </is>
      </c>
      <c r="C61" t="inlineStr">
        <is>
          <t>IBM Concert 1.0.0 through 2.1.0 could allow an attacker to obtain sensitive information using man in the middle techniques due to improper clearing of heap memory.</t>
        </is>
      </c>
      <c r="D61" t="n">
        <v>5.9</v>
      </c>
      <c r="E61" t="inlineStr">
        <is>
          <t>MEDIUM</t>
        </is>
      </c>
      <c r="F61" t="n">
        <v>2</v>
      </c>
      <c r="G61" t="n">
        <v>2</v>
      </c>
      <c r="H61" t="inlineStr">
        <is>
          <t>MEDIUM</t>
        </is>
      </c>
      <c r="I61" t="n">
        <v>9.9</v>
      </c>
      <c r="J61" t="inlineStr">
        <is>
          <t>NO</t>
        </is>
      </c>
      <c r="K61" t="inlineStr">
        <is>
          <t>2026-02-23 23:48</t>
        </is>
      </c>
      <c r="L61" t="inlineStr">
        <is>
          <t>YES</t>
        </is>
      </c>
      <c r="M61" t="inlineStr">
        <is>
          <t>ibm concert *</t>
        </is>
      </c>
      <c r="N61" t="inlineStr">
        <is>
          <t>P4</t>
        </is>
      </c>
      <c r="O61" t="inlineStr">
        <is>
          <t>CVE - IP enrichment n/a</t>
        </is>
      </c>
      <c r="P61" t="n">
        <v>0</v>
      </c>
      <c r="Q61" t="n">
        <v>0</v>
      </c>
      <c r="R61" t="inlineStr">
        <is>
          <t>T1190:Exploit Public-Facing Application</t>
        </is>
      </c>
      <c r="S61" t="n">
        <v>1</v>
      </c>
      <c r="T61" t="inlineStr">
        <is>
          <t>LOW (40%)</t>
        </is>
      </c>
      <c r="U61" t="inlineStr">
        <is>
          <t>UNLIKELY</t>
        </is>
      </c>
      <c r="V61" t="inlineStr">
        <is>
          <t>PATCH_AVAILABLE</t>
        </is>
      </c>
      <c r="W61" t="inlineStr">
        <is>
          <t>https://nvd.nist.gov/vuln/detail/CVE-2025-33101</t>
        </is>
      </c>
      <c r="X61" t="inlineStr">
        <is>
          <t>NONE</t>
        </is>
      </c>
      <c r="Y61" t="n">
        <v>0</v>
      </c>
      <c r="Z61" t="inlineStr"/>
      <c r="AA61" t="inlineStr">
        <is>
          <t>https://nvd.nist.gov/vuln/detail/CVE-2025-33101</t>
        </is>
      </c>
    </row>
    <row r="62">
      <c r="A62" t="inlineStr">
        <is>
          <t>CVE</t>
        </is>
      </c>
      <c r="B62" t="inlineStr">
        <is>
          <t>CVE-2025-33124</t>
        </is>
      </c>
      <c r="C62" t="inlineStr">
        <is>
          <t>IBM DB2 Merge Backup for Linux, UNIX and Windows 12.1.0.0 could allow an authenticated user to cause the program to crash due to the incorrect calculation of a buffer size.</t>
        </is>
      </c>
      <c r="D62" t="n">
        <v>6.5</v>
      </c>
      <c r="E62" t="inlineStr">
        <is>
          <t>MEDIUM</t>
        </is>
      </c>
      <c r="F62" t="n">
        <v>2</v>
      </c>
      <c r="G62" t="n">
        <v>2</v>
      </c>
      <c r="H62" t="inlineStr">
        <is>
          <t>MEDIUM</t>
        </is>
      </c>
      <c r="I62" t="n">
        <v>10.5</v>
      </c>
      <c r="J62" t="inlineStr">
        <is>
          <t>NO</t>
        </is>
      </c>
      <c r="K62" t="inlineStr">
        <is>
          <t>2026-02-23 23:48</t>
        </is>
      </c>
      <c r="L62" t="inlineStr">
        <is>
          <t>YES</t>
        </is>
      </c>
      <c r="M62" t="inlineStr">
        <is>
          <t>ibm db2_merge_backup 12.1.0.0</t>
        </is>
      </c>
      <c r="N62" t="inlineStr">
        <is>
          <t>P4</t>
        </is>
      </c>
      <c r="O62" t="inlineStr">
        <is>
          <t>CVE - IP enrichment n/a</t>
        </is>
      </c>
      <c r="P62" t="n">
        <v>0.0005</v>
      </c>
      <c r="Q62" t="n">
        <v>0.1447</v>
      </c>
      <c r="R62" t="inlineStr">
        <is>
          <t>T1190:Exploit Public-Facing Application</t>
        </is>
      </c>
      <c r="S62" t="n">
        <v>1</v>
      </c>
      <c r="T62" t="inlineStr">
        <is>
          <t>LOW (40%)</t>
        </is>
      </c>
      <c r="U62" t="inlineStr">
        <is>
          <t>UNLIKELY</t>
        </is>
      </c>
      <c r="V62" t="inlineStr">
        <is>
          <t>PATCH_AVAILABLE</t>
        </is>
      </c>
      <c r="W62" t="inlineStr">
        <is>
          <t>https://nvd.nist.gov/vuln/detail/CVE-2025-33124</t>
        </is>
      </c>
      <c r="X62" t="inlineStr">
        <is>
          <t>NONE</t>
        </is>
      </c>
      <c r="Y62" t="n">
        <v>0</v>
      </c>
      <c r="Z62" t="inlineStr"/>
      <c r="AA62" t="inlineStr">
        <is>
          <t>https://nvd.nist.gov/vuln/detail/CVE-2025-33124</t>
        </is>
      </c>
    </row>
    <row r="63">
      <c r="A63" t="inlineStr">
        <is>
          <t>CVE</t>
        </is>
      </c>
      <c r="B63" t="inlineStr">
        <is>
          <t>CVE-2025-33130</t>
        </is>
      </c>
      <c r="C63" t="inlineStr">
        <is>
          <t>IBM DB2 Merge Backup for Linux, UNIX and Windows 12.1.0.0 could allow an authenticated user to cause the program to crash due to a buffer being overwritten when it is allocated on the stack.</t>
        </is>
      </c>
      <c r="D63" t="n">
        <v>6.5</v>
      </c>
      <c r="E63" t="inlineStr">
        <is>
          <t>MEDIUM</t>
        </is>
      </c>
      <c r="F63" t="n">
        <v>2</v>
      </c>
      <c r="G63" t="n">
        <v>2</v>
      </c>
      <c r="H63" t="inlineStr">
        <is>
          <t>MEDIUM</t>
        </is>
      </c>
      <c r="I63" t="n">
        <v>10.5</v>
      </c>
      <c r="J63" t="inlineStr">
        <is>
          <t>NO</t>
        </is>
      </c>
      <c r="K63" t="inlineStr">
        <is>
          <t>2026-02-23 23:48</t>
        </is>
      </c>
      <c r="L63" t="inlineStr">
        <is>
          <t>YES</t>
        </is>
      </c>
      <c r="M63" t="inlineStr">
        <is>
          <t>ibm db2_merge_backup 12.1.0.0</t>
        </is>
      </c>
      <c r="N63" t="inlineStr">
        <is>
          <t>P4</t>
        </is>
      </c>
      <c r="O63" t="inlineStr">
        <is>
          <t>CVE - IP enrichment n/a</t>
        </is>
      </c>
      <c r="P63" t="n">
        <v>0</v>
      </c>
      <c r="Q63" t="n">
        <v>0</v>
      </c>
      <c r="R63" t="inlineStr">
        <is>
          <t>T1203:Exploitation for Client Execution</t>
        </is>
      </c>
      <c r="S63" t="n">
        <v>1</v>
      </c>
      <c r="T63" t="inlineStr">
        <is>
          <t>LOW (40%)</t>
        </is>
      </c>
      <c r="U63" t="inlineStr">
        <is>
          <t>UNLIKELY</t>
        </is>
      </c>
      <c r="V63" t="inlineStr">
        <is>
          <t>PATCH_AVAILABLE</t>
        </is>
      </c>
      <c r="W63" t="inlineStr">
        <is>
          <t>https://nvd.nist.gov/vuln/detail/CVE-2025-33130</t>
        </is>
      </c>
      <c r="X63" t="inlineStr">
        <is>
          <t>NONE</t>
        </is>
      </c>
      <c r="Y63" t="n">
        <v>0</v>
      </c>
      <c r="Z63" t="inlineStr"/>
      <c r="AA63" t="inlineStr">
        <is>
          <t>https://nvd.nist.gov/vuln/detail/CVE-2025-33130</t>
        </is>
      </c>
    </row>
    <row r="64">
      <c r="A64" t="inlineStr">
        <is>
          <t>CVE</t>
        </is>
      </c>
      <c r="B64" t="inlineStr">
        <is>
          <t>CVE-2025-36243</t>
        </is>
      </c>
      <c r="C64" t="inlineStr">
        <is>
          <t>IBM Concert 1.0.0 through 2.1.0 is vulnerable to server-side request forgery (SSRF). This may allow an authenticated attacker to send unauthorized requests from the system, potentially leading to network enumeration or facilitating other attacks.</t>
        </is>
      </c>
      <c r="D64" t="n">
        <v>5.4</v>
      </c>
      <c r="E64" t="inlineStr">
        <is>
          <t>MEDIUM</t>
        </is>
      </c>
      <c r="F64" t="n">
        <v>2</v>
      </c>
      <c r="G64" t="n">
        <v>2</v>
      </c>
      <c r="H64" t="inlineStr">
        <is>
          <t>MEDIUM</t>
        </is>
      </c>
      <c r="I64" t="n">
        <v>9.4</v>
      </c>
      <c r="J64" t="inlineStr">
        <is>
          <t>NO</t>
        </is>
      </c>
      <c r="K64" t="inlineStr">
        <is>
          <t>2026-02-23 23:48</t>
        </is>
      </c>
      <c r="L64" t="inlineStr">
        <is>
          <t>YES</t>
        </is>
      </c>
      <c r="M64" t="inlineStr">
        <is>
          <t>ibm concert *</t>
        </is>
      </c>
      <c r="N64" t="inlineStr">
        <is>
          <t>P4</t>
        </is>
      </c>
      <c r="O64" t="inlineStr">
        <is>
          <t>CVE - IP enrichment n/a</t>
        </is>
      </c>
      <c r="P64" t="n">
        <v>0</v>
      </c>
      <c r="Q64" t="n">
        <v>0</v>
      </c>
      <c r="R64" t="inlineStr">
        <is>
          <t>T1090:Proxy</t>
        </is>
      </c>
      <c r="S64" t="n">
        <v>1</v>
      </c>
      <c r="T64" t="inlineStr">
        <is>
          <t>LOW (40%)</t>
        </is>
      </c>
      <c r="U64" t="inlineStr">
        <is>
          <t>UNLIKELY</t>
        </is>
      </c>
      <c r="V64" t="inlineStr">
        <is>
          <t>PATCH_AVAILABLE</t>
        </is>
      </c>
      <c r="W64" t="inlineStr">
        <is>
          <t>https://nvd.nist.gov/vuln/detail/CVE-2025-36243</t>
        </is>
      </c>
      <c r="X64" t="inlineStr">
        <is>
          <t>NONE</t>
        </is>
      </c>
      <c r="Y64" t="n">
        <v>0</v>
      </c>
      <c r="Z64" t="inlineStr"/>
      <c r="AA64" t="inlineStr">
        <is>
          <t>https://nvd.nist.gov/vuln/detail/CVE-2025-36243</t>
        </is>
      </c>
    </row>
    <row r="65">
      <c r="A65" t="inlineStr">
        <is>
          <t>CVE</t>
        </is>
      </c>
      <c r="B65" t="inlineStr">
        <is>
          <t>CVE-2025-36597</t>
        </is>
      </c>
      <c r="C65" t="inlineStr">
        <is>
          <t>Dell Avamar, versions prior to 19.12 with patch 338905, contains an Improper Limitation of a Pathname to a Restricted Directory ('Path Traversal') vulnerability in the Security. A high privileged attacker with remote access could potentially exploit this vulnerability, leading to information disclosure.</t>
        </is>
      </c>
      <c r="D65" t="n">
        <v>4.7</v>
      </c>
      <c r="E65" t="inlineStr">
        <is>
          <t>MEDIUM</t>
        </is>
      </c>
      <c r="F65" t="n">
        <v>2</v>
      </c>
      <c r="G65" t="n">
        <v>2</v>
      </c>
      <c r="H65" t="inlineStr">
        <is>
          <t>MEDIUM</t>
        </is>
      </c>
      <c r="I65" t="n">
        <v>8.699999999999999</v>
      </c>
      <c r="J65" t="inlineStr">
        <is>
          <t>NO</t>
        </is>
      </c>
      <c r="K65" t="inlineStr">
        <is>
          <t>2026-02-23 23:48</t>
        </is>
      </c>
      <c r="L65" t="inlineStr">
        <is>
          <t>CHECK_VENDOR</t>
        </is>
      </c>
      <c r="M65" t="inlineStr">
        <is>
          <t>See CVE details</t>
        </is>
      </c>
      <c r="N65" t="inlineStr">
        <is>
          <t>P4</t>
        </is>
      </c>
      <c r="O65" t="inlineStr">
        <is>
          <t>CVE - IP enrichment n/a</t>
        </is>
      </c>
      <c r="P65" t="n">
        <v>0.0004</v>
      </c>
      <c r="Q65" t="n">
        <v>0.1336</v>
      </c>
      <c r="R65" t="inlineStr">
        <is>
          <t>T1083:File and Directory Discovery | T1213:Data from Information Repositories</t>
        </is>
      </c>
      <c r="S65" t="n">
        <v>1</v>
      </c>
      <c r="T65" t="inlineStr">
        <is>
          <t>LOW (40%)</t>
        </is>
      </c>
      <c r="U65" t="inlineStr">
        <is>
          <t>UNLIKELY</t>
        </is>
      </c>
      <c r="V65" t="inlineStr">
        <is>
          <t>CHECK_VENDOR</t>
        </is>
      </c>
      <c r="W65" t="inlineStr">
        <is>
          <t>https://nvd.nist.gov/vuln/detail/CVE-2025-36597</t>
        </is>
      </c>
      <c r="X65" t="inlineStr">
        <is>
          <t>NONE</t>
        </is>
      </c>
      <c r="Y65" t="n">
        <v>0</v>
      </c>
      <c r="Z65" t="inlineStr"/>
      <c r="AA65" t="inlineStr">
        <is>
          <t>https://nvd.nist.gov/vuln/detail/CVE-2025-36597</t>
        </is>
      </c>
    </row>
    <row r="66">
      <c r="A66" t="inlineStr">
        <is>
          <t>CVE</t>
        </is>
      </c>
      <c r="B66" t="inlineStr">
        <is>
          <t>CVE-2025-36598</t>
        </is>
      </c>
      <c r="C66" t="inlineStr">
        <is>
          <t>Dell Avamar, versions prior to 19.12 with patch 338905, contains an Improper Limitation of a Pathname to a Restricted Directory ('Path Traversal') vulnerability in the Security. A high privileged attacker with remote access could potentially exploit this vulnerability, leading to upload malicious files.</t>
        </is>
      </c>
      <c r="D66" t="n">
        <v>6.5</v>
      </c>
      <c r="E66" t="inlineStr">
        <is>
          <t>MEDIUM</t>
        </is>
      </c>
      <c r="F66" t="n">
        <v>2</v>
      </c>
      <c r="G66" t="n">
        <v>2</v>
      </c>
      <c r="H66" t="inlineStr">
        <is>
          <t>MEDIUM</t>
        </is>
      </c>
      <c r="I66" t="n">
        <v>10.5</v>
      </c>
      <c r="J66" t="inlineStr">
        <is>
          <t>NO</t>
        </is>
      </c>
      <c r="K66" t="inlineStr">
        <is>
          <t>2026-02-23 23:48</t>
        </is>
      </c>
      <c r="L66" t="inlineStr">
        <is>
          <t>CHECK_VENDOR</t>
        </is>
      </c>
      <c r="M66" t="inlineStr">
        <is>
          <t>See CVE details</t>
        </is>
      </c>
      <c r="N66" t="inlineStr">
        <is>
          <t>P4</t>
        </is>
      </c>
      <c r="O66" t="inlineStr">
        <is>
          <t>CVE - IP enrichment n/a</t>
        </is>
      </c>
      <c r="P66" t="n">
        <v>0.0005</v>
      </c>
      <c r="Q66" t="n">
        <v>0.1638</v>
      </c>
      <c r="R66" t="inlineStr">
        <is>
          <t>T1083:File and Directory Discovery</t>
        </is>
      </c>
      <c r="S66" t="n">
        <v>1</v>
      </c>
      <c r="T66" t="inlineStr">
        <is>
          <t>LOW (40%)</t>
        </is>
      </c>
      <c r="U66" t="inlineStr">
        <is>
          <t>UNLIKELY</t>
        </is>
      </c>
      <c r="V66" t="inlineStr">
        <is>
          <t>CHECK_VENDOR</t>
        </is>
      </c>
      <c r="W66" t="inlineStr">
        <is>
          <t>https://nvd.nist.gov/vuln/detail/CVE-2025-36598</t>
        </is>
      </c>
      <c r="X66" t="inlineStr">
        <is>
          <t>NONE</t>
        </is>
      </c>
      <c r="Y66" t="n">
        <v>0</v>
      </c>
      <c r="Z66" t="inlineStr"/>
      <c r="AA66" t="inlineStr">
        <is>
          <t>https://nvd.nist.gov/vuln/detail/CVE-2025-36598</t>
        </is>
      </c>
    </row>
    <row r="67">
      <c r="A67" t="inlineStr">
        <is>
          <t>CVE</t>
        </is>
      </c>
      <c r="B67" t="inlineStr">
        <is>
          <t>CVE-2025-67102</t>
        </is>
      </c>
      <c r="C67" t="inlineStr">
        <is>
          <t>A SQL injection vulnerability in the alldayoffs feature in Jorani up to v1.0.4, allows an authenticated attacker to execute arbitrary SQL commands via the entity parameter.</t>
        </is>
      </c>
      <c r="D67" t="n">
        <v>5</v>
      </c>
      <c r="E67" t="inlineStr">
        <is>
          <t>MEDIUM</t>
        </is>
      </c>
      <c r="F67" t="n">
        <v>2</v>
      </c>
      <c r="G67" t="n">
        <v>2</v>
      </c>
      <c r="H67" t="inlineStr">
        <is>
          <t>MEDIUM</t>
        </is>
      </c>
      <c r="I67" t="n">
        <v>9</v>
      </c>
      <c r="J67" t="inlineStr">
        <is>
          <t>NO</t>
        </is>
      </c>
      <c r="K67" t="inlineStr">
        <is>
          <t>2026-02-23 23:48</t>
        </is>
      </c>
      <c r="L67" t="inlineStr">
        <is>
          <t>CHECK_VENDOR</t>
        </is>
      </c>
      <c r="M67" t="inlineStr">
        <is>
          <t>See CVE details</t>
        </is>
      </c>
      <c r="N67" t="inlineStr">
        <is>
          <t>P4</t>
        </is>
      </c>
      <c r="O67" t="inlineStr">
        <is>
          <t>CVE - IP enrichment n/a</t>
        </is>
      </c>
      <c r="P67" t="n">
        <v>0</v>
      </c>
      <c r="Q67" t="n">
        <v>0</v>
      </c>
      <c r="R67" t="inlineStr">
        <is>
          <t>T1190:Exploit Public-Facing Application</t>
        </is>
      </c>
      <c r="S67" t="n">
        <v>1</v>
      </c>
      <c r="T67" t="inlineStr">
        <is>
          <t>LOW (40%)</t>
        </is>
      </c>
      <c r="U67" t="inlineStr">
        <is>
          <t>UNLIKELY</t>
        </is>
      </c>
      <c r="V67" t="inlineStr">
        <is>
          <t>CHECK_VENDOR</t>
        </is>
      </c>
      <c r="W67" t="inlineStr">
        <is>
          <t>https://nvd.nist.gov/vuln/detail/CVE-2025-67102</t>
        </is>
      </c>
      <c r="X67" t="inlineStr">
        <is>
          <t>NONE</t>
        </is>
      </c>
      <c r="Y67" t="n">
        <v>0</v>
      </c>
      <c r="Z67" t="inlineStr"/>
      <c r="AA67" t="inlineStr">
        <is>
          <t>https://nvd.nist.gov/vuln/detail/CVE-2025-67102</t>
        </is>
      </c>
    </row>
    <row r="68">
      <c r="A68" t="inlineStr">
        <is>
          <t>CVE</t>
        </is>
      </c>
      <c r="B68" t="inlineStr">
        <is>
          <t>CVE-2025-70846</t>
        </is>
      </c>
      <c r="C68" t="inlineStr">
        <is>
          <t>lty628 aidigu v1.9.1 is vulnerable to Cross Site Scripting (XSS) on the /tools/Password/add page in the input field password.</t>
        </is>
      </c>
      <c r="D68" t="n">
        <v>5</v>
      </c>
      <c r="E68" t="inlineStr">
        <is>
          <t>MEDIUM</t>
        </is>
      </c>
      <c r="F68" t="n">
        <v>2</v>
      </c>
      <c r="G68" t="n">
        <v>2</v>
      </c>
      <c r="H68" t="inlineStr">
        <is>
          <t>MEDIUM</t>
        </is>
      </c>
      <c r="I68" t="n">
        <v>9</v>
      </c>
      <c r="J68" t="inlineStr">
        <is>
          <t>NO</t>
        </is>
      </c>
      <c r="K68" t="inlineStr">
        <is>
          <t>2026-02-23 23:48</t>
        </is>
      </c>
      <c r="L68" t="inlineStr">
        <is>
          <t>CHECK_VENDOR</t>
        </is>
      </c>
      <c r="M68" t="inlineStr">
        <is>
          <t>See CVE details</t>
        </is>
      </c>
      <c r="N68" t="inlineStr">
        <is>
          <t>P4</t>
        </is>
      </c>
      <c r="O68" t="inlineStr">
        <is>
          <t>CVE - IP enrichment n/a</t>
        </is>
      </c>
      <c r="P68" t="n">
        <v>0</v>
      </c>
      <c r="Q68" t="n">
        <v>0</v>
      </c>
      <c r="R68" t="inlineStr">
        <is>
          <t>T1189:Drive-by Compromise</t>
        </is>
      </c>
      <c r="S68" t="n">
        <v>1</v>
      </c>
      <c r="T68" t="inlineStr">
        <is>
          <t>LOW (40%)</t>
        </is>
      </c>
      <c r="U68" t="inlineStr">
        <is>
          <t>UNLIKELY</t>
        </is>
      </c>
      <c r="V68" t="inlineStr">
        <is>
          <t>CHECK_VENDOR</t>
        </is>
      </c>
      <c r="W68" t="inlineStr">
        <is>
          <t>https://nvd.nist.gov/vuln/detail/CVE-2025-70846</t>
        </is>
      </c>
      <c r="X68" t="inlineStr">
        <is>
          <t>NONE</t>
        </is>
      </c>
      <c r="Y68" t="n">
        <v>0</v>
      </c>
      <c r="Z68" t="inlineStr"/>
      <c r="AA68" t="inlineStr">
        <is>
          <t>https://nvd.nist.gov/vuln/detail/CVE-2025-70846</t>
        </is>
      </c>
    </row>
    <row r="69">
      <c r="A69" t="inlineStr">
        <is>
          <t>CVE</t>
        </is>
      </c>
      <c r="B69" t="inlineStr">
        <is>
          <t>CVE-2026-0102</t>
        </is>
      </c>
      <c r="C69" t="inlineStr">
        <is>
          <t>Under specific conditions, a malicious webpage may trigger autofill population after two consecutive taps, potentially without clear or intentional user consent. This could result in disclosure of stored autofill data such as addresses, email, or phone number metadata.</t>
        </is>
      </c>
      <c r="D69" t="n">
        <v>3.1</v>
      </c>
      <c r="E69" t="inlineStr">
        <is>
          <t>LOW</t>
        </is>
      </c>
      <c r="F69" t="n">
        <v>2</v>
      </c>
      <c r="G69" t="n">
        <v>1</v>
      </c>
      <c r="H69" t="inlineStr">
        <is>
          <t>LOW</t>
        </is>
      </c>
      <c r="I69" t="n">
        <v>5.1</v>
      </c>
      <c r="J69" t="inlineStr">
        <is>
          <t>NO</t>
        </is>
      </c>
      <c r="K69" t="inlineStr">
        <is>
          <t>2026-02-23 23:48</t>
        </is>
      </c>
      <c r="L69" t="inlineStr">
        <is>
          <t>YES</t>
        </is>
      </c>
      <c r="M69" t="inlineStr">
        <is>
          <t>microsoft edge_chromium *</t>
        </is>
      </c>
      <c r="N69" t="inlineStr">
        <is>
          <t>P4</t>
        </is>
      </c>
      <c r="O69" t="inlineStr">
        <is>
          <t>CVE - IP enrichment n/a</t>
        </is>
      </c>
      <c r="P69" t="n">
        <v>0</v>
      </c>
      <c r="Q69" t="n">
        <v>0</v>
      </c>
      <c r="R69" t="inlineStr">
        <is>
          <t>T1190:Exploit Public-Facing Application</t>
        </is>
      </c>
      <c r="S69" t="n">
        <v>1</v>
      </c>
      <c r="T69" t="inlineStr">
        <is>
          <t>LOW (40%)</t>
        </is>
      </c>
      <c r="U69" t="inlineStr">
        <is>
          <t>UNLIKELY</t>
        </is>
      </c>
      <c r="V69" t="inlineStr">
        <is>
          <t>PATCH_AVAILABLE</t>
        </is>
      </c>
      <c r="W69" t="inlineStr">
        <is>
          <t>https://nvd.nist.gov/vuln/detail/CVE-2026-0102</t>
        </is>
      </c>
      <c r="X69" t="inlineStr">
        <is>
          <t>NONE</t>
        </is>
      </c>
      <c r="Y69" t="n">
        <v>0</v>
      </c>
      <c r="Z69" t="inlineStr"/>
      <c r="AA69" t="inlineStr">
        <is>
          <t>https://nvd.nist.gov/vuln/detail/CVE-2026-0102</t>
        </is>
      </c>
    </row>
    <row r="70">
      <c r="A70" t="inlineStr">
        <is>
          <t>CVE</t>
        </is>
      </c>
      <c r="B70" t="inlineStr">
        <is>
          <t>CVE-2026-22284</t>
        </is>
      </c>
      <c r="C70" t="inlineStr">
        <is>
          <t>Dell SmartFabric OS10 Software, versions prior to 10.5.6.12, contains an Improper Neutralization of Special Elements used in a Command ('Command Injection') vulnerability. A high privileged attacker with remote access could potentially exploit this vulnerability, leading to Command execution.</t>
        </is>
      </c>
      <c r="D70" t="n">
        <v>6.6</v>
      </c>
      <c r="E70" t="inlineStr">
        <is>
          <t>MEDIUM</t>
        </is>
      </c>
      <c r="F70" t="n">
        <v>2</v>
      </c>
      <c r="G70" t="n">
        <v>2</v>
      </c>
      <c r="H70" t="inlineStr">
        <is>
          <t>MEDIUM</t>
        </is>
      </c>
      <c r="I70" t="n">
        <v>10.6</v>
      </c>
      <c r="J70" t="inlineStr">
        <is>
          <t>NO</t>
        </is>
      </c>
      <c r="K70" t="inlineStr">
        <is>
          <t>2026-02-23 23:48</t>
        </is>
      </c>
      <c r="L70" t="inlineStr">
        <is>
          <t>CHECK_VENDOR</t>
        </is>
      </c>
      <c r="M70" t="inlineStr">
        <is>
          <t>See CVE details</t>
        </is>
      </c>
      <c r="N70" t="inlineStr">
        <is>
          <t>P4</t>
        </is>
      </c>
      <c r="O70" t="inlineStr">
        <is>
          <t>CVE - IP enrichment n/a</t>
        </is>
      </c>
      <c r="P70" t="n">
        <v>0</v>
      </c>
      <c r="Q70" t="n">
        <v>0</v>
      </c>
      <c r="R70" t="inlineStr">
        <is>
          <t>T1059:Command and Scripting Interpreter</t>
        </is>
      </c>
      <c r="S70" t="n">
        <v>1</v>
      </c>
      <c r="T70" t="inlineStr">
        <is>
          <t>LOW (40%)</t>
        </is>
      </c>
      <c r="U70" t="inlineStr">
        <is>
          <t>UNLIKELY</t>
        </is>
      </c>
      <c r="V70" t="inlineStr">
        <is>
          <t>CHECK_VENDOR</t>
        </is>
      </c>
      <c r="W70" t="inlineStr">
        <is>
          <t>https://nvd.nist.gov/vuln/detail/CVE-2026-22284</t>
        </is>
      </c>
      <c r="X70" t="inlineStr">
        <is>
          <t>NONE</t>
        </is>
      </c>
      <c r="Y70" t="n">
        <v>0</v>
      </c>
      <c r="Z70" t="inlineStr"/>
      <c r="AA70" t="inlineStr">
        <is>
          <t>https://nvd.nist.gov/vuln/detail/CVE-2026-22284</t>
        </is>
      </c>
    </row>
    <row r="71">
      <c r="A71" t="inlineStr">
        <is>
          <t>CVE</t>
        </is>
      </c>
      <c r="B71" t="inlineStr">
        <is>
          <t>CVE-2026-22762</t>
        </is>
      </c>
      <c r="C71" t="inlineStr">
        <is>
          <t>Dell Avamar Server and Avamar Virtual Edition, versions prior to 19.10 SP1 with CHF338912, contain an Improper Limitation of a Pathname to a Restricted Directory ('Path Traversal') vulnerability in the Security. A high privileged attacker with remote access could potentially exploit this vulnerability, leading to arbitrary file delete.</t>
        </is>
      </c>
      <c r="D71" t="n">
        <v>6.5</v>
      </c>
      <c r="E71" t="inlineStr">
        <is>
          <t>MEDIUM</t>
        </is>
      </c>
      <c r="F71" t="n">
        <v>2</v>
      </c>
      <c r="G71" t="n">
        <v>2</v>
      </c>
      <c r="H71" t="inlineStr">
        <is>
          <t>MEDIUM</t>
        </is>
      </c>
      <c r="I71" t="n">
        <v>10.5</v>
      </c>
      <c r="J71" t="inlineStr">
        <is>
          <t>NO</t>
        </is>
      </c>
      <c r="K71" t="inlineStr">
        <is>
          <t>2026-02-23 23:48</t>
        </is>
      </c>
      <c r="L71" t="inlineStr">
        <is>
          <t>CHECK_VENDOR</t>
        </is>
      </c>
      <c r="M71" t="inlineStr">
        <is>
          <t>See CVE details</t>
        </is>
      </c>
      <c r="N71" t="inlineStr">
        <is>
          <t>P4</t>
        </is>
      </c>
      <c r="O71" t="inlineStr">
        <is>
          <t>CVE - IP enrichment n/a</t>
        </is>
      </c>
      <c r="P71" t="n">
        <v>0</v>
      </c>
      <c r="Q71" t="n">
        <v>0</v>
      </c>
      <c r="R71" t="inlineStr">
        <is>
          <t>T1083:File and Directory Discovery</t>
        </is>
      </c>
      <c r="S71" t="n">
        <v>1</v>
      </c>
      <c r="T71" t="inlineStr">
        <is>
          <t>LOW (40%)</t>
        </is>
      </c>
      <c r="U71" t="inlineStr">
        <is>
          <t>UNLIKELY</t>
        </is>
      </c>
      <c r="V71" t="inlineStr">
        <is>
          <t>CHECK_VENDOR</t>
        </is>
      </c>
      <c r="W71" t="inlineStr">
        <is>
          <t>https://nvd.nist.gov/vuln/detail/CVE-2026-22762</t>
        </is>
      </c>
      <c r="X71" t="inlineStr">
        <is>
          <t>NONE</t>
        </is>
      </c>
      <c r="Y71" t="n">
        <v>0</v>
      </c>
      <c r="Z71" t="inlineStr"/>
      <c r="AA71" t="inlineStr">
        <is>
          <t>https://nvd.nist.gov/vuln/detail/CVE-2026-22762</t>
        </is>
      </c>
    </row>
    <row r="72">
      <c r="A72" t="inlineStr">
        <is>
          <t>CVE</t>
        </is>
      </c>
      <c r="B72" t="inlineStr">
        <is>
          <t>CVE-2026-22769</t>
        </is>
      </c>
      <c r="C72" t="inlineStr">
        <is>
          <t>Dell RecoverPoint for Virtual Machines, versions prior to 6.0.3.1 HF1, contain a hardcoded credential vulnerability. This is considered critical as an unauthenticated remote attacker with knowledge of the hardcoded credential could potentially exploit this vulnerability leading to unauthorized access to the underlying operating system and root-level persistence. Dell recommends that customers upgrade or apply one of the remediations as soon as possible.</t>
        </is>
      </c>
      <c r="D72" t="n">
        <v>10</v>
      </c>
      <c r="E72" t="inlineStr">
        <is>
          <t>CRITICAL</t>
        </is>
      </c>
      <c r="F72" t="n">
        <v>3</v>
      </c>
      <c r="G72" t="n">
        <v>3</v>
      </c>
      <c r="H72" t="inlineStr">
        <is>
          <t>CRITICAL</t>
        </is>
      </c>
      <c r="I72" t="n">
        <v>19</v>
      </c>
      <c r="J72" t="inlineStr">
        <is>
          <t>YES</t>
        </is>
      </c>
      <c r="K72" t="inlineStr">
        <is>
          <t>2026-02-23 23:48</t>
        </is>
      </c>
      <c r="L72" t="inlineStr">
        <is>
          <t>YES</t>
        </is>
      </c>
      <c r="M72" t="inlineStr">
        <is>
          <t>dell recoverpoint_for_virtual_machines * | dell recoverpoint_for_virtual_machines 6.0</t>
        </is>
      </c>
      <c r="N72" t="inlineStr">
        <is>
          <t>P1</t>
        </is>
      </c>
      <c r="O72" t="inlineStr">
        <is>
          <t>CVE - IP enrichment n/a</t>
        </is>
      </c>
      <c r="P72" t="n">
        <v>0.3416</v>
      </c>
      <c r="Q72" t="n">
        <v>0.9688</v>
      </c>
      <c r="R72" t="inlineStr">
        <is>
          <t>T1552:Unsecured Credentials</t>
        </is>
      </c>
      <c r="S72" t="n">
        <v>3</v>
      </c>
      <c r="T72" t="inlineStr">
        <is>
          <t>HIGH (85%)</t>
        </is>
      </c>
      <c r="U72" t="inlineStr">
        <is>
          <t>CONFIRMED</t>
        </is>
      </c>
      <c r="V72" t="inlineStr">
        <is>
          <t>PATCH_AVAILABLE</t>
        </is>
      </c>
      <c r="W72" t="inlineStr">
        <is>
          <t>https://nvd.nist.gov/vuln/detail/CVE-2026-22769</t>
        </is>
      </c>
      <c r="X72" t="inlineStr">
        <is>
          <t>NONE</t>
        </is>
      </c>
      <c r="Y72" t="n">
        <v>5</v>
      </c>
      <c r="Z72" t="inlineStr"/>
      <c r="AA72" t="inlineStr">
        <is>
          <t>https://nvd.nist.gov/vuln/detail/CVE-2026-22769</t>
        </is>
      </c>
    </row>
    <row r="73">
      <c r="A73" t="inlineStr">
        <is>
          <t>CVE</t>
        </is>
      </c>
      <c r="B73" t="inlineStr">
        <is>
          <t>CVE-2026-26357</t>
        </is>
      </c>
      <c r="C73" t="inlineStr">
        <is>
          <t>Dell Unisphere for PowerMax, version(s) 9.2.4.x, contain(s) an Improper Neutralization of Input During Web Page Generation ('Cross-site Scripting') vulnerability. A low privileged attacker with remote access could potentially exploit this vulnerability, leading to the execution of malicious HTML or JavaScript code in a victim user's web browser in the context of the vulnerable web application. Exploitation may lead to information disclosure, session theft, or client-side request forgery.</t>
        </is>
      </c>
      <c r="D73" t="n">
        <v>5.4</v>
      </c>
      <c r="E73" t="inlineStr">
        <is>
          <t>MEDIUM</t>
        </is>
      </c>
      <c r="F73" t="n">
        <v>2</v>
      </c>
      <c r="G73" t="n">
        <v>2</v>
      </c>
      <c r="H73" t="inlineStr">
        <is>
          <t>MEDIUM</t>
        </is>
      </c>
      <c r="I73" t="n">
        <v>9.4</v>
      </c>
      <c r="J73" t="inlineStr">
        <is>
          <t>NO</t>
        </is>
      </c>
      <c r="K73" t="inlineStr">
        <is>
          <t>2026-02-23 23:48</t>
        </is>
      </c>
      <c r="L73" t="inlineStr">
        <is>
          <t>CHECK_VENDOR</t>
        </is>
      </c>
      <c r="M73" t="inlineStr">
        <is>
          <t>See CVE details</t>
        </is>
      </c>
      <c r="N73" t="inlineStr">
        <is>
          <t>P4</t>
        </is>
      </c>
      <c r="O73" t="inlineStr">
        <is>
          <t>CVE - IP enrichment n/a</t>
        </is>
      </c>
      <c r="P73" t="n">
        <v>0</v>
      </c>
      <c r="Q73" t="n">
        <v>0</v>
      </c>
      <c r="R73" t="inlineStr">
        <is>
          <t>T1189:Drive-by Compromise | T1213:Data from Information Repositories</t>
        </is>
      </c>
      <c r="S73" t="n">
        <v>1</v>
      </c>
      <c r="T73" t="inlineStr">
        <is>
          <t>LOW (40%)</t>
        </is>
      </c>
      <c r="U73" t="inlineStr">
        <is>
          <t>UNLIKELY</t>
        </is>
      </c>
      <c r="V73" t="inlineStr">
        <is>
          <t>CHECK_VENDOR</t>
        </is>
      </c>
      <c r="W73" t="inlineStr">
        <is>
          <t>https://nvd.nist.gov/vuln/detail/CVE-2026-26357</t>
        </is>
      </c>
      <c r="X73" t="inlineStr">
        <is>
          <t>NONE</t>
        </is>
      </c>
      <c r="Y73" t="n">
        <v>0</v>
      </c>
      <c r="Z73" t="inlineStr"/>
      <c r="AA73" t="inlineStr">
        <is>
          <t>https://nvd.nist.gov/vuln/detail/CVE-2026-26357</t>
        </is>
      </c>
    </row>
    <row r="74">
      <c r="A74" t="inlineStr">
        <is>
          <t>CVE</t>
        </is>
      </c>
      <c r="B74" t="inlineStr">
        <is>
          <t>CVE-2026-2620</t>
        </is>
      </c>
      <c r="C74" t="inlineStr">
        <is>
          <t>A weakness has been identified in Huace Monitoring and Early Warning System 2.2. Affected by this issue is some unknown functionality of the file /Web/SysManage/ProjectRole.aspx. Executing a manipulation of the argument ID can lead to sql injection. It is possible to launch the attack remotely. The exploit has been made available to the public and could be used for attacks. The vendor was contacted early about this disclosure but did not respond in any way.</t>
        </is>
      </c>
      <c r="D74" t="n">
        <v>7.3</v>
      </c>
      <c r="E74" t="inlineStr">
        <is>
          <t>HIGH</t>
        </is>
      </c>
      <c r="F74" t="n">
        <v>2</v>
      </c>
      <c r="G74" t="n">
        <v>3</v>
      </c>
      <c r="H74" t="inlineStr">
        <is>
          <t>HIGH</t>
        </is>
      </c>
      <c r="I74" t="n">
        <v>13.3</v>
      </c>
      <c r="J74" t="inlineStr">
        <is>
          <t>NO</t>
        </is>
      </c>
      <c r="K74" t="inlineStr">
        <is>
          <t>2026-02-23 23:48</t>
        </is>
      </c>
      <c r="L74" t="inlineStr">
        <is>
          <t>CHECK_VENDOR</t>
        </is>
      </c>
      <c r="M74" t="inlineStr">
        <is>
          <t>See CVE details</t>
        </is>
      </c>
      <c r="N74" t="inlineStr">
        <is>
          <t>P2</t>
        </is>
      </c>
      <c r="O74" t="inlineStr">
        <is>
          <t>CVE - IP enrichment n/a</t>
        </is>
      </c>
      <c r="P74" t="n">
        <v>0</v>
      </c>
      <c r="Q74" t="n">
        <v>0</v>
      </c>
      <c r="R74" t="inlineStr">
        <is>
          <t>T1190:Exploit Public-Facing Application</t>
        </is>
      </c>
      <c r="S74" t="n">
        <v>2</v>
      </c>
      <c r="T74" t="inlineStr">
        <is>
          <t>HIGH (72%)</t>
        </is>
      </c>
      <c r="U74" t="inlineStr">
        <is>
          <t>POSSIBLE</t>
        </is>
      </c>
      <c r="V74" t="inlineStr">
        <is>
          <t>CHECK_VENDOR</t>
        </is>
      </c>
      <c r="W74" t="inlineStr">
        <is>
          <t>https://nvd.nist.gov/vuln/detail/CVE-2026-2620</t>
        </is>
      </c>
      <c r="X74" t="inlineStr">
        <is>
          <t>NONE</t>
        </is>
      </c>
      <c r="Y74" t="n">
        <v>3.65</v>
      </c>
      <c r="Z74" t="inlineStr"/>
      <c r="AA74" t="inlineStr">
        <is>
          <t>https://nvd.nist.gov/vuln/detail/CVE-2026-2620</t>
        </is>
      </c>
    </row>
    <row r="75">
      <c r="A75" t="inlineStr">
        <is>
          <t>CVE</t>
        </is>
      </c>
      <c r="B75" t="inlineStr">
        <is>
          <t>CVE-2025-13691</t>
        </is>
      </c>
      <c r="C75" t="inlineStr">
        <is>
          <t>IBM DataStage on Cloud Pak for Data 5.1.2 through 5.3.0 returns sensitive information in an HTTP response that could be used to impersonate other users in the system.</t>
        </is>
      </c>
      <c r="D75" t="n">
        <v>8.1</v>
      </c>
      <c r="E75" t="inlineStr">
        <is>
          <t>HIGH</t>
        </is>
      </c>
      <c r="F75" t="n">
        <v>3</v>
      </c>
      <c r="G75" t="n">
        <v>3</v>
      </c>
      <c r="H75" t="inlineStr">
        <is>
          <t>CRITICAL</t>
        </is>
      </c>
      <c r="I75" t="n">
        <v>17.1</v>
      </c>
      <c r="J75" t="inlineStr">
        <is>
          <t>NO</t>
        </is>
      </c>
      <c r="K75" t="inlineStr">
        <is>
          <t>2026-02-23 23:48</t>
        </is>
      </c>
      <c r="L75" t="inlineStr">
        <is>
          <t>YES</t>
        </is>
      </c>
      <c r="M75" t="inlineStr">
        <is>
          <t>ibm datastage_on_cloud_pak_for_data *</t>
        </is>
      </c>
      <c r="N75" t="inlineStr">
        <is>
          <t>P2</t>
        </is>
      </c>
      <c r="O75" t="inlineStr">
        <is>
          <t>CVE - IP enrichment n/a</t>
        </is>
      </c>
      <c r="P75" t="n">
        <v>0.0003</v>
      </c>
      <c r="Q75" t="n">
        <v>0.094</v>
      </c>
      <c r="R75" t="inlineStr">
        <is>
          <t>T1190:Exploit Public-Facing Application</t>
        </is>
      </c>
      <c r="S75" t="n">
        <v>2</v>
      </c>
      <c r="T75" t="inlineStr">
        <is>
          <t>HIGH (72%)</t>
        </is>
      </c>
      <c r="U75" t="inlineStr">
        <is>
          <t>CONFIRMED</t>
        </is>
      </c>
      <c r="V75" t="inlineStr">
        <is>
          <t>PATCH_AVAILABLE</t>
        </is>
      </c>
      <c r="W75" t="inlineStr">
        <is>
          <t>https://nvd.nist.gov/vuln/detail/CVE-2025-13691</t>
        </is>
      </c>
      <c r="X75" t="inlineStr">
        <is>
          <t>NONE</t>
        </is>
      </c>
      <c r="Y75" t="n">
        <v>4.05</v>
      </c>
      <c r="Z75" t="inlineStr"/>
      <c r="AA75" t="inlineStr">
        <is>
          <t>https://nvd.nist.gov/vuln/detail/CVE-2025-13691</t>
        </is>
      </c>
    </row>
    <row r="76">
      <c r="A76" t="inlineStr">
        <is>
          <t>CVE</t>
        </is>
      </c>
      <c r="B76" t="inlineStr">
        <is>
          <t>CVE-2025-14289</t>
        </is>
      </c>
      <c r="C76" t="inlineStr">
        <is>
          <t>IBM webMethods Integration Server 12.0 is vulnerable to HTML injection. A remote attacker could inject malicious HTML code, which when viewed, would be executed in the victim's Web browser within the security context of the hosting site.</t>
        </is>
      </c>
      <c r="D76" t="n">
        <v>5.4</v>
      </c>
      <c r="E76" t="inlineStr">
        <is>
          <t>MEDIUM</t>
        </is>
      </c>
      <c r="F76" t="n">
        <v>2</v>
      </c>
      <c r="G76" t="n">
        <v>2</v>
      </c>
      <c r="H76" t="inlineStr">
        <is>
          <t>MEDIUM</t>
        </is>
      </c>
      <c r="I76" t="n">
        <v>9.4</v>
      </c>
      <c r="J76" t="inlineStr">
        <is>
          <t>NO</t>
        </is>
      </c>
      <c r="K76" t="inlineStr">
        <is>
          <t>2026-02-23 23:48</t>
        </is>
      </c>
      <c r="L76" t="inlineStr">
        <is>
          <t>YES</t>
        </is>
      </c>
      <c r="M76" t="inlineStr">
        <is>
          <t>ibm webmethods_integration_server 12.0.0</t>
        </is>
      </c>
      <c r="N76" t="inlineStr">
        <is>
          <t>P4</t>
        </is>
      </c>
      <c r="O76" t="inlineStr">
        <is>
          <t>CVE - IP enrichment n/a</t>
        </is>
      </c>
      <c r="P76" t="n">
        <v>0.0003</v>
      </c>
      <c r="Q76" t="n">
        <v>0.0946</v>
      </c>
      <c r="R76" t="inlineStr">
        <is>
          <t>T1190:Exploit Public-Facing Application</t>
        </is>
      </c>
      <c r="S76" t="n">
        <v>1</v>
      </c>
      <c r="T76" t="inlineStr">
        <is>
          <t>LOW (40%)</t>
        </is>
      </c>
      <c r="U76" t="inlineStr">
        <is>
          <t>UNLIKELY</t>
        </is>
      </c>
      <c r="V76" t="inlineStr">
        <is>
          <t>PATCH_AVAILABLE</t>
        </is>
      </c>
      <c r="W76" t="inlineStr">
        <is>
          <t>https://nvd.nist.gov/vuln/detail/CVE-2025-14289</t>
        </is>
      </c>
      <c r="X76" t="inlineStr">
        <is>
          <t>NONE</t>
        </is>
      </c>
      <c r="Y76" t="n">
        <v>0</v>
      </c>
      <c r="Z76" t="inlineStr"/>
      <c r="AA76" t="inlineStr">
        <is>
          <t>https://nvd.nist.gov/vuln/detail/CVE-2025-14289</t>
        </is>
      </c>
    </row>
    <row r="77">
      <c r="A77" t="inlineStr">
        <is>
          <t>CVE</t>
        </is>
      </c>
      <c r="B77" t="inlineStr">
        <is>
          <t>CVE-2025-36376</t>
        </is>
      </c>
      <c r="C77" t="inlineStr">
        <is>
          <t>IBM Security QRadar EDR 3.12 through 3.12.23 does not invalidate session after a session expiration which could allow an authenticated user to impersonate another user on the system.</t>
        </is>
      </c>
      <c r="D77" t="n">
        <v>6.3</v>
      </c>
      <c r="E77" t="inlineStr">
        <is>
          <t>MEDIUM</t>
        </is>
      </c>
      <c r="F77" t="n">
        <v>2</v>
      </c>
      <c r="G77" t="n">
        <v>2</v>
      </c>
      <c r="H77" t="inlineStr">
        <is>
          <t>MEDIUM</t>
        </is>
      </c>
      <c r="I77" t="n">
        <v>10.3</v>
      </c>
      <c r="J77" t="inlineStr">
        <is>
          <t>NO</t>
        </is>
      </c>
      <c r="K77" t="inlineStr">
        <is>
          <t>2026-02-23 23:48</t>
        </is>
      </c>
      <c r="L77" t="inlineStr">
        <is>
          <t>YES</t>
        </is>
      </c>
      <c r="M77" t="inlineStr">
        <is>
          <t>ibm security_qradar_edr *</t>
        </is>
      </c>
      <c r="N77" t="inlineStr">
        <is>
          <t>P4</t>
        </is>
      </c>
      <c r="O77" t="inlineStr">
        <is>
          <t>CVE - IP enrichment n/a</t>
        </is>
      </c>
      <c r="P77" t="n">
        <v>0</v>
      </c>
      <c r="Q77" t="n">
        <v>0</v>
      </c>
      <c r="R77" t="inlineStr">
        <is>
          <t>T1190:Exploit Public-Facing Application</t>
        </is>
      </c>
      <c r="S77" t="n">
        <v>1</v>
      </c>
      <c r="T77" t="inlineStr">
        <is>
          <t>LOW (40%)</t>
        </is>
      </c>
      <c r="U77" t="inlineStr">
        <is>
          <t>UNLIKELY</t>
        </is>
      </c>
      <c r="V77" t="inlineStr">
        <is>
          <t>PATCH_AVAILABLE</t>
        </is>
      </c>
      <c r="W77" t="inlineStr">
        <is>
          <t>https://nvd.nist.gov/vuln/detail/CVE-2025-36376</t>
        </is>
      </c>
      <c r="X77" t="inlineStr">
        <is>
          <t>NONE</t>
        </is>
      </c>
      <c r="Y77" t="n">
        <v>0</v>
      </c>
      <c r="Z77" t="inlineStr"/>
      <c r="AA77" t="inlineStr">
        <is>
          <t>https://nvd.nist.gov/vuln/detail/CVE-2025-36376</t>
        </is>
      </c>
    </row>
    <row r="78">
      <c r="A78" t="inlineStr">
        <is>
          <t>CVE</t>
        </is>
      </c>
      <c r="B78" t="inlineStr">
        <is>
          <t>CVE-2025-36377</t>
        </is>
      </c>
      <c r="C78" t="inlineStr">
        <is>
          <t>IBM Security QRadar EDR 3.12 through 3.12.23 does not invalidate session after a session expiration which could allow an authenticated user to impersonate another user on the system.</t>
        </is>
      </c>
      <c r="D78" t="n">
        <v>6.3</v>
      </c>
      <c r="E78" t="inlineStr">
        <is>
          <t>MEDIUM</t>
        </is>
      </c>
      <c r="F78" t="n">
        <v>2</v>
      </c>
      <c r="G78" t="n">
        <v>2</v>
      </c>
      <c r="H78" t="inlineStr">
        <is>
          <t>MEDIUM</t>
        </is>
      </c>
      <c r="I78" t="n">
        <v>10.3</v>
      </c>
      <c r="J78" t="inlineStr">
        <is>
          <t>NO</t>
        </is>
      </c>
      <c r="K78" t="inlineStr">
        <is>
          <t>2026-02-23 23:48</t>
        </is>
      </c>
      <c r="L78" t="inlineStr">
        <is>
          <t>YES</t>
        </is>
      </c>
      <c r="M78" t="inlineStr">
        <is>
          <t>ibm qradar_edr *</t>
        </is>
      </c>
      <c r="N78" t="inlineStr">
        <is>
          <t>P4</t>
        </is>
      </c>
      <c r="O78" t="inlineStr">
        <is>
          <t>CVE - IP enrichment n/a</t>
        </is>
      </c>
      <c r="P78" t="n">
        <v>0</v>
      </c>
      <c r="Q78" t="n">
        <v>0</v>
      </c>
      <c r="R78" t="inlineStr">
        <is>
          <t>T1190:Exploit Public-Facing Application</t>
        </is>
      </c>
      <c r="S78" t="n">
        <v>1</v>
      </c>
      <c r="T78" t="inlineStr">
        <is>
          <t>LOW (40%)</t>
        </is>
      </c>
      <c r="U78" t="inlineStr">
        <is>
          <t>UNLIKELY</t>
        </is>
      </c>
      <c r="V78" t="inlineStr">
        <is>
          <t>PATCH_AVAILABLE</t>
        </is>
      </c>
      <c r="W78" t="inlineStr">
        <is>
          <t>https://nvd.nist.gov/vuln/detail/CVE-2025-36377</t>
        </is>
      </c>
      <c r="X78" t="inlineStr">
        <is>
          <t>NONE</t>
        </is>
      </c>
      <c r="Y78" t="n">
        <v>0</v>
      </c>
      <c r="Z78" t="inlineStr"/>
      <c r="AA78" t="inlineStr">
        <is>
          <t>https://nvd.nist.gov/vuln/detail/CVE-2025-36377</t>
        </is>
      </c>
    </row>
    <row r="79">
      <c r="A79" t="inlineStr">
        <is>
          <t>CVE</t>
        </is>
      </c>
      <c r="B79" t="inlineStr">
        <is>
          <t>CVE-2025-36379</t>
        </is>
      </c>
      <c r="C79" t="inlineStr">
        <is>
          <t>IBM Security QRadar EDR 3.12 through 3.12.23 IBM Security ReaQta uses weaker than expected cryptographic algorithms that could allow an attacker to decrypt highly sensitive information.</t>
        </is>
      </c>
      <c r="D79" t="n">
        <v>5.9</v>
      </c>
      <c r="E79" t="inlineStr">
        <is>
          <t>MEDIUM</t>
        </is>
      </c>
      <c r="F79" t="n">
        <v>2</v>
      </c>
      <c r="G79" t="n">
        <v>2</v>
      </c>
      <c r="H79" t="inlineStr">
        <is>
          <t>MEDIUM</t>
        </is>
      </c>
      <c r="I79" t="n">
        <v>9.9</v>
      </c>
      <c r="J79" t="inlineStr">
        <is>
          <t>NO</t>
        </is>
      </c>
      <c r="K79" t="inlineStr">
        <is>
          <t>2026-02-23 23:48</t>
        </is>
      </c>
      <c r="L79" t="inlineStr">
        <is>
          <t>YES</t>
        </is>
      </c>
      <c r="M79" t="inlineStr">
        <is>
          <t>ibm qradar_edr *</t>
        </is>
      </c>
      <c r="N79" t="inlineStr">
        <is>
          <t>P4</t>
        </is>
      </c>
      <c r="O79" t="inlineStr">
        <is>
          <t>CVE - IP enrichment n/a</t>
        </is>
      </c>
      <c r="P79" t="n">
        <v>0</v>
      </c>
      <c r="Q79" t="n">
        <v>0</v>
      </c>
      <c r="R79" t="inlineStr">
        <is>
          <t>T1600:Weaken Encryption</t>
        </is>
      </c>
      <c r="S79" t="n">
        <v>1</v>
      </c>
      <c r="T79" t="inlineStr">
        <is>
          <t>LOW (40%)</t>
        </is>
      </c>
      <c r="U79" t="inlineStr">
        <is>
          <t>UNLIKELY</t>
        </is>
      </c>
      <c r="V79" t="inlineStr">
        <is>
          <t>PATCH_AVAILABLE</t>
        </is>
      </c>
      <c r="W79" t="inlineStr">
        <is>
          <t>https://nvd.nist.gov/vuln/detail/CVE-2025-36379</t>
        </is>
      </c>
      <c r="X79" t="inlineStr">
        <is>
          <t>NONE</t>
        </is>
      </c>
      <c r="Y79" t="n">
        <v>0</v>
      </c>
      <c r="Z79" t="inlineStr"/>
      <c r="AA79" t="inlineStr">
        <is>
          <t>https://nvd.nist.gov/vuln/detail/CVE-2025-36379</t>
        </is>
      </c>
    </row>
    <row r="80">
      <c r="A80" t="inlineStr">
        <is>
          <t>CVE</t>
        </is>
      </c>
      <c r="B80" t="inlineStr">
        <is>
          <t>CVE-2026-23595</t>
        </is>
      </c>
      <c r="C80" t="inlineStr">
        <is>
          <t>An authentication bypass in the application API allows an unauthorized administrative account to be created. A remote attacker could exploit this vulnerability to create privileged user accounts. Successful exploitation could allow an attacker to gain administrative access, modify system configurations, and access or manipulate sensitive data.</t>
        </is>
      </c>
      <c r="D80" t="n">
        <v>8.800000000000001</v>
      </c>
      <c r="E80" t="inlineStr">
        <is>
          <t>HIGH</t>
        </is>
      </c>
      <c r="F80" t="n">
        <v>3</v>
      </c>
      <c r="G80" t="n">
        <v>3</v>
      </c>
      <c r="H80" t="inlineStr">
        <is>
          <t>CRITICAL</t>
        </is>
      </c>
      <c r="I80" t="n">
        <v>17.8</v>
      </c>
      <c r="J80" t="inlineStr">
        <is>
          <t>NO</t>
        </is>
      </c>
      <c r="K80" t="inlineStr">
        <is>
          <t>2026-02-23 23:48</t>
        </is>
      </c>
      <c r="L80" t="inlineStr">
        <is>
          <t>CHECK_VENDOR</t>
        </is>
      </c>
      <c r="M80" t="inlineStr">
        <is>
          <t>See CVE details</t>
        </is>
      </c>
      <c r="N80" t="inlineStr">
        <is>
          <t>P2</t>
        </is>
      </c>
      <c r="O80" t="inlineStr">
        <is>
          <t>CVE - IP enrichment n/a</t>
        </is>
      </c>
      <c r="P80" t="n">
        <v>0.0011</v>
      </c>
      <c r="Q80" t="n">
        <v>0.2936</v>
      </c>
      <c r="R80" t="inlineStr">
        <is>
          <t>T1078:Valid Accounts</t>
        </is>
      </c>
      <c r="S80" t="n">
        <v>2</v>
      </c>
      <c r="T80" t="inlineStr">
        <is>
          <t>HIGH (72%)</t>
        </is>
      </c>
      <c r="U80" t="inlineStr">
        <is>
          <t>CONFIRMED</t>
        </is>
      </c>
      <c r="V80" t="inlineStr">
        <is>
          <t>CHECK_VENDOR</t>
        </is>
      </c>
      <c r="W80" t="inlineStr">
        <is>
          <t>https://nvd.nist.gov/vuln/detail/CVE-2026-23595</t>
        </is>
      </c>
      <c r="X80" t="inlineStr">
        <is>
          <t>NONE</t>
        </is>
      </c>
      <c r="Y80" t="n">
        <v>4.4</v>
      </c>
      <c r="Z80" t="inlineStr"/>
      <c r="AA80" t="inlineStr">
        <is>
          <t>https://nvd.nist.gov/vuln/detail/CVE-2026-23595</t>
        </is>
      </c>
    </row>
    <row r="81">
      <c r="A81" t="inlineStr">
        <is>
          <t>CVE</t>
        </is>
      </c>
      <c r="B81" t="inlineStr">
        <is>
          <t>CVE-2026-23596</t>
        </is>
      </c>
      <c r="C81" t="inlineStr">
        <is>
          <t>A vulnerability in the management API of the affected product could allow an unauthenticated remote attacker to trigger service restarts. Successful exploitation could allow an attacker to disrupt services and negatively impact system availability.</t>
        </is>
      </c>
      <c r="D81" t="n">
        <v>6.5</v>
      </c>
      <c r="E81" t="inlineStr">
        <is>
          <t>MEDIUM</t>
        </is>
      </c>
      <c r="F81" t="n">
        <v>2</v>
      </c>
      <c r="G81" t="n">
        <v>2</v>
      </c>
      <c r="H81" t="inlineStr">
        <is>
          <t>MEDIUM</t>
        </is>
      </c>
      <c r="I81" t="n">
        <v>10.5</v>
      </c>
      <c r="J81" t="inlineStr">
        <is>
          <t>NO</t>
        </is>
      </c>
      <c r="K81" t="inlineStr">
        <is>
          <t>2026-02-23 23:48</t>
        </is>
      </c>
      <c r="L81" t="inlineStr">
        <is>
          <t>CHECK_VENDOR</t>
        </is>
      </c>
      <c r="M81" t="inlineStr">
        <is>
          <t>See CVE details</t>
        </is>
      </c>
      <c r="N81" t="inlineStr">
        <is>
          <t>P4</t>
        </is>
      </c>
      <c r="O81" t="inlineStr">
        <is>
          <t>CVE - IP enrichment n/a</t>
        </is>
      </c>
      <c r="P81" t="n">
        <v>0</v>
      </c>
      <c r="Q81" t="n">
        <v>0</v>
      </c>
      <c r="R81" t="inlineStr">
        <is>
          <t>T1190:Exploit Public-Facing Application</t>
        </is>
      </c>
      <c r="S81" t="n">
        <v>1</v>
      </c>
      <c r="T81" t="inlineStr">
        <is>
          <t>LOW (40%)</t>
        </is>
      </c>
      <c r="U81" t="inlineStr">
        <is>
          <t>UNLIKELY</t>
        </is>
      </c>
      <c r="V81" t="inlineStr">
        <is>
          <t>CHECK_VENDOR</t>
        </is>
      </c>
      <c r="W81" t="inlineStr">
        <is>
          <t>https://nvd.nist.gov/vuln/detail/CVE-2026-23596</t>
        </is>
      </c>
      <c r="X81" t="inlineStr">
        <is>
          <t>NONE</t>
        </is>
      </c>
      <c r="Y81" t="n">
        <v>0</v>
      </c>
      <c r="Z81" t="inlineStr"/>
      <c r="AA81" t="inlineStr">
        <is>
          <t>https://nvd.nist.gov/vuln/detail/CVE-2026-23596</t>
        </is>
      </c>
    </row>
    <row r="82">
      <c r="A82" t="inlineStr">
        <is>
          <t>CVE</t>
        </is>
      </c>
      <c r="B82" t="inlineStr">
        <is>
          <t>CVE-2026-23597</t>
        </is>
      </c>
      <c r="C82" t="inlineStr">
        <is>
          <t>Vulnerabilities in the API error handling of an HPE Aruba Networking  5G Core server API could allow an unauthenticated remote attacker to obtain sensitive information. Successful exploitation could allow an attacker to access details such as user accounts, roles, and system configuration, as well as to gain insight into internal services and workflows, increasing the risk of unauthorized access and elevated privileges when combined with other vulnerabilities.</t>
        </is>
      </c>
      <c r="D82" t="n">
        <v>6.5</v>
      </c>
      <c r="E82" t="inlineStr">
        <is>
          <t>MEDIUM</t>
        </is>
      </c>
      <c r="F82" t="n">
        <v>2</v>
      </c>
      <c r="G82" t="n">
        <v>2</v>
      </c>
      <c r="H82" t="inlineStr">
        <is>
          <t>MEDIUM</t>
        </is>
      </c>
      <c r="I82" t="n">
        <v>10.5</v>
      </c>
      <c r="J82" t="inlineStr">
        <is>
          <t>NO</t>
        </is>
      </c>
      <c r="K82" t="inlineStr">
        <is>
          <t>2026-02-23 23:48</t>
        </is>
      </c>
      <c r="L82" t="inlineStr">
        <is>
          <t>CHECK_VENDOR</t>
        </is>
      </c>
      <c r="M82" t="inlineStr">
        <is>
          <t>See CVE details</t>
        </is>
      </c>
      <c r="N82" t="inlineStr">
        <is>
          <t>P4</t>
        </is>
      </c>
      <c r="O82" t="inlineStr">
        <is>
          <t>CVE - IP enrichment n/a</t>
        </is>
      </c>
      <c r="P82" t="n">
        <v>0</v>
      </c>
      <c r="Q82" t="n">
        <v>0</v>
      </c>
      <c r="R82" t="inlineStr">
        <is>
          <t>T1213:Data from Information Repositories</t>
        </is>
      </c>
      <c r="S82" t="n">
        <v>1</v>
      </c>
      <c r="T82" t="inlineStr">
        <is>
          <t>LOW (40%)</t>
        </is>
      </c>
      <c r="U82" t="inlineStr">
        <is>
          <t>UNLIKELY</t>
        </is>
      </c>
      <c r="V82" t="inlineStr">
        <is>
          <t>CHECK_VENDOR</t>
        </is>
      </c>
      <c r="W82" t="inlineStr">
        <is>
          <t>https://nvd.nist.gov/vuln/detail/CVE-2026-23597</t>
        </is>
      </c>
      <c r="X82" t="inlineStr">
        <is>
          <t>NONE</t>
        </is>
      </c>
      <c r="Y82" t="n">
        <v>0</v>
      </c>
      <c r="Z82" t="inlineStr"/>
      <c r="AA82" t="inlineStr">
        <is>
          <t>https://nvd.nist.gov/vuln/detail/CVE-2026-23597</t>
        </is>
      </c>
    </row>
    <row r="83">
      <c r="A83" t="inlineStr">
        <is>
          <t>CVE</t>
        </is>
      </c>
      <c r="B83" t="inlineStr">
        <is>
          <t>CVE-2026-23598</t>
        </is>
      </c>
      <c r="C83" t="inlineStr">
        <is>
          <t>Vulnerabilities in the API error handling of an HPE Aruba Networking  5G Core server API could allow an unauthenticated remote attacker to obtain sensitive information. Successful exploitation could allow an attacker to access details such as user accounts, roles, and system configuration, as well as to gain insight into internal services and workflows, increasing the risk of unauthorized access and elevated privileges when combined with other vulnerabilities.</t>
        </is>
      </c>
      <c r="D83" t="n">
        <v>6.5</v>
      </c>
      <c r="E83" t="inlineStr">
        <is>
          <t>MEDIUM</t>
        </is>
      </c>
      <c r="F83" t="n">
        <v>2</v>
      </c>
      <c r="G83" t="n">
        <v>2</v>
      </c>
      <c r="H83" t="inlineStr">
        <is>
          <t>MEDIUM</t>
        </is>
      </c>
      <c r="I83" t="n">
        <v>10.5</v>
      </c>
      <c r="J83" t="inlineStr">
        <is>
          <t>NO</t>
        </is>
      </c>
      <c r="K83" t="inlineStr">
        <is>
          <t>2026-02-23 23:48</t>
        </is>
      </c>
      <c r="L83" t="inlineStr">
        <is>
          <t>CHECK_VENDOR</t>
        </is>
      </c>
      <c r="M83" t="inlineStr">
        <is>
          <t>See CVE details</t>
        </is>
      </c>
      <c r="N83" t="inlineStr">
        <is>
          <t>P4</t>
        </is>
      </c>
      <c r="O83" t="inlineStr">
        <is>
          <t>CVE - IP enrichment n/a</t>
        </is>
      </c>
      <c r="P83" t="n">
        <v>0</v>
      </c>
      <c r="Q83" t="n">
        <v>0</v>
      </c>
      <c r="R83" t="inlineStr">
        <is>
          <t>T1190:Exploit Public-Facing Application</t>
        </is>
      </c>
      <c r="S83" t="n">
        <v>1</v>
      </c>
      <c r="T83" t="inlineStr">
        <is>
          <t>LOW (40%)</t>
        </is>
      </c>
      <c r="U83" t="inlineStr">
        <is>
          <t>UNLIKELY</t>
        </is>
      </c>
      <c r="V83" t="inlineStr">
        <is>
          <t>CHECK_VENDOR</t>
        </is>
      </c>
      <c r="W83" t="inlineStr">
        <is>
          <t>https://nvd.nist.gov/vuln/detail/CVE-2026-23598</t>
        </is>
      </c>
      <c r="X83" t="inlineStr">
        <is>
          <t>NONE</t>
        </is>
      </c>
      <c r="Y83" t="n">
        <v>0</v>
      </c>
      <c r="Z83" t="inlineStr"/>
      <c r="AA83" t="inlineStr">
        <is>
          <t>https://nvd.nist.gov/vuln/detail/CVE-2026-23598</t>
        </is>
      </c>
    </row>
    <row r="84">
      <c r="A84" t="inlineStr">
        <is>
          <t>CVE</t>
        </is>
      </c>
      <c r="B84" t="inlineStr">
        <is>
          <t>CVE-2026-2621</t>
        </is>
      </c>
      <c r="C84" t="inlineStr">
        <is>
          <t>A security vulnerability has been detected in Sciyon Koyuan Thermoelectricity Heat Network Management System 3.0. This affects an unknown part of the file /SISReport/WebReport20/Proxy/AsyncTreeProxy.aspx. The manipulation of the argument PGUID leads to sql injection. The attack can be initiated remotely. The exploit has been disclosed publicly and may be used. The vendor was contacted early about this disclosure but did not respond in any way.</t>
        </is>
      </c>
      <c r="D84" t="n">
        <v>7.3</v>
      </c>
      <c r="E84" t="inlineStr">
        <is>
          <t>HIGH</t>
        </is>
      </c>
      <c r="F84" t="n">
        <v>2</v>
      </c>
      <c r="G84" t="n">
        <v>3</v>
      </c>
      <c r="H84" t="inlineStr">
        <is>
          <t>HIGH</t>
        </is>
      </c>
      <c r="I84" t="n">
        <v>13.3</v>
      </c>
      <c r="J84" t="inlineStr">
        <is>
          <t>NO</t>
        </is>
      </c>
      <c r="K84" t="inlineStr">
        <is>
          <t>2026-02-23 23:48</t>
        </is>
      </c>
      <c r="L84" t="inlineStr">
        <is>
          <t>CHECK_VENDOR</t>
        </is>
      </c>
      <c r="M84" t="inlineStr">
        <is>
          <t>See CVE details</t>
        </is>
      </c>
      <c r="N84" t="inlineStr">
        <is>
          <t>P2</t>
        </is>
      </c>
      <c r="O84" t="inlineStr">
        <is>
          <t>CVE - IP enrichment n/a</t>
        </is>
      </c>
      <c r="P84" t="n">
        <v>0</v>
      </c>
      <c r="Q84" t="n">
        <v>0</v>
      </c>
      <c r="R84" t="inlineStr">
        <is>
          <t>T1190:Exploit Public-Facing Application</t>
        </is>
      </c>
      <c r="S84" t="n">
        <v>2</v>
      </c>
      <c r="T84" t="inlineStr">
        <is>
          <t>HIGH (72%)</t>
        </is>
      </c>
      <c r="U84" t="inlineStr">
        <is>
          <t>POSSIBLE</t>
        </is>
      </c>
      <c r="V84" t="inlineStr">
        <is>
          <t>CHECK_VENDOR</t>
        </is>
      </c>
      <c r="W84" t="inlineStr">
        <is>
          <t>https://nvd.nist.gov/vuln/detail/CVE-2026-2621</t>
        </is>
      </c>
      <c r="X84" t="inlineStr">
        <is>
          <t>NONE</t>
        </is>
      </c>
      <c r="Y84" t="n">
        <v>3.65</v>
      </c>
      <c r="Z84" t="inlineStr"/>
      <c r="AA84" t="inlineStr">
        <is>
          <t>https://nvd.nist.gov/vuln/detail/CVE-2026-2621</t>
        </is>
      </c>
    </row>
    <row r="85">
      <c r="A85" t="inlineStr">
        <is>
          <t>CVE</t>
        </is>
      </c>
      <c r="B85" t="inlineStr">
        <is>
          <t>CVE-2026-2622</t>
        </is>
      </c>
      <c r="C85" t="inlineStr">
        <is>
          <t>A vulnerability was detected in Blossom up to 1.17.1. This vulnerability affects the function content of the file blossom-backend/backend/src/main/java/com/blossom/backend/server/article/draft/ArticleController.java of the component Article Title Handler. The manipulation results in cross site scripting. The attack can be launched remotely. The exploit is now public and may be used. The vendor was contacted early about this disclosure but did not respond in any way.</t>
        </is>
      </c>
      <c r="D85" t="n">
        <v>3.5</v>
      </c>
      <c r="E85" t="inlineStr">
        <is>
          <t>LOW</t>
        </is>
      </c>
      <c r="F85" t="n">
        <v>2</v>
      </c>
      <c r="G85" t="n">
        <v>1</v>
      </c>
      <c r="H85" t="inlineStr">
        <is>
          <t>LOW</t>
        </is>
      </c>
      <c r="I85" t="n">
        <v>5.5</v>
      </c>
      <c r="J85" t="inlineStr">
        <is>
          <t>NO</t>
        </is>
      </c>
      <c r="K85" t="inlineStr">
        <is>
          <t>2026-02-23 23:48</t>
        </is>
      </c>
      <c r="L85" t="inlineStr">
        <is>
          <t>CHECK_VENDOR</t>
        </is>
      </c>
      <c r="M85" t="inlineStr">
        <is>
          <t>wangyunf blossom *</t>
        </is>
      </c>
      <c r="N85" t="inlineStr">
        <is>
          <t>P4</t>
        </is>
      </c>
      <c r="O85" t="inlineStr">
        <is>
          <t>CVE - IP enrichment n/a</t>
        </is>
      </c>
      <c r="P85" t="n">
        <v>0</v>
      </c>
      <c r="Q85" t="n">
        <v>0</v>
      </c>
      <c r="R85" t="inlineStr">
        <is>
          <t>T1189:Drive-by Compromise</t>
        </is>
      </c>
      <c r="S85" t="n">
        <v>1</v>
      </c>
      <c r="T85" t="inlineStr">
        <is>
          <t>LOW (40%)</t>
        </is>
      </c>
      <c r="U85" t="inlineStr">
        <is>
          <t>UNLIKELY</t>
        </is>
      </c>
      <c r="V85" t="inlineStr">
        <is>
          <t>CHECK_VENDOR</t>
        </is>
      </c>
      <c r="W85" t="inlineStr">
        <is>
          <t>https://nvd.nist.gov/vuln/detail/CVE-2026-2622</t>
        </is>
      </c>
      <c r="X85" t="inlineStr">
        <is>
          <t>NONE</t>
        </is>
      </c>
      <c r="Y85" t="n">
        <v>0</v>
      </c>
      <c r="Z85" t="inlineStr"/>
      <c r="AA85" t="inlineStr">
        <is>
          <t>https://nvd.nist.gov/vuln/detail/CVE-2026-2622</t>
        </is>
      </c>
    </row>
    <row r="86">
      <c r="A86" t="inlineStr">
        <is>
          <t>CVE</t>
        </is>
      </c>
      <c r="B86" t="inlineStr">
        <is>
          <t>CVE-2023-38005</t>
        </is>
      </c>
      <c r="C86" t="inlineStr">
        <is>
          <t>IBM Cloud Pak System 2.3.3.6, 2.3.3.7, 2.3.4.0, 2.3.4.1, and 2.3.5.0 could allow an authenticated user to perform unauthorized tasks due to improper access controls.</t>
        </is>
      </c>
      <c r="D86" t="n">
        <v>4.3</v>
      </c>
      <c r="E86" t="inlineStr">
        <is>
          <t>MEDIUM</t>
        </is>
      </c>
      <c r="F86" t="n">
        <v>2</v>
      </c>
      <c r="G86" t="n">
        <v>2</v>
      </c>
      <c r="H86" t="inlineStr">
        <is>
          <t>MEDIUM</t>
        </is>
      </c>
      <c r="I86" t="n">
        <v>8.300000000000001</v>
      </c>
      <c r="J86" t="inlineStr">
        <is>
          <t>NO</t>
        </is>
      </c>
      <c r="K86" t="inlineStr">
        <is>
          <t>2026-02-23 23:48</t>
        </is>
      </c>
      <c r="L86" t="inlineStr">
        <is>
          <t>YES</t>
        </is>
      </c>
      <c r="M86" t="inlineStr">
        <is>
          <t>ibm cloud_pak_system 2.3.3.6 | ibm cloud_pak_system 2.3.4.0 | ibm cloud_pak_system 2.3.3.7</t>
        </is>
      </c>
      <c r="N86" t="inlineStr">
        <is>
          <t>P4</t>
        </is>
      </c>
      <c r="O86" t="inlineStr">
        <is>
          <t>CVE - IP enrichment n/a</t>
        </is>
      </c>
      <c r="P86" t="n">
        <v>0</v>
      </c>
      <c r="Q86" t="n">
        <v>0</v>
      </c>
      <c r="R86" t="inlineStr">
        <is>
          <t>T1190:Exploit Public-Facing Application</t>
        </is>
      </c>
      <c r="S86" t="n">
        <v>1</v>
      </c>
      <c r="T86" t="inlineStr">
        <is>
          <t>LOW (40%)</t>
        </is>
      </c>
      <c r="U86" t="inlineStr">
        <is>
          <t>UNLIKELY</t>
        </is>
      </c>
      <c r="V86" t="inlineStr">
        <is>
          <t>PATCH_AVAILABLE</t>
        </is>
      </c>
      <c r="W86" t="inlineStr">
        <is>
          <t>https://nvd.nist.gov/vuln/detail/CVE-2023-38005</t>
        </is>
      </c>
      <c r="X86" t="inlineStr">
        <is>
          <t>NONE</t>
        </is>
      </c>
      <c r="Y86" t="n">
        <v>0</v>
      </c>
      <c r="Z86" t="inlineStr"/>
      <c r="AA86" t="inlineStr">
        <is>
          <t>https://nvd.nist.gov/vuln/detail/CVE-2023-38005</t>
        </is>
      </c>
    </row>
    <row r="87">
      <c r="A87" t="inlineStr">
        <is>
          <t>CVE</t>
        </is>
      </c>
      <c r="B87" t="inlineStr">
        <is>
          <t>CVE-2025-33088</t>
        </is>
      </c>
      <c r="C87" t="inlineStr">
        <is>
          <t>IBM Concert 1.0.0 through 2.1.0 could allow a local user with specific knowledge about the system's architecture to escalate their privileges due to incorrect file permissions for critical resources.</t>
        </is>
      </c>
      <c r="D87" t="n">
        <v>7.4</v>
      </c>
      <c r="E87" t="inlineStr">
        <is>
          <t>HIGH</t>
        </is>
      </c>
      <c r="F87" t="n">
        <v>2</v>
      </c>
      <c r="G87" t="n">
        <v>3</v>
      </c>
      <c r="H87" t="inlineStr">
        <is>
          <t>HIGH</t>
        </is>
      </c>
      <c r="I87" t="n">
        <v>13.4</v>
      </c>
      <c r="J87" t="inlineStr">
        <is>
          <t>NO</t>
        </is>
      </c>
      <c r="K87" t="inlineStr">
        <is>
          <t>2026-02-23 23:48</t>
        </is>
      </c>
      <c r="L87" t="inlineStr">
        <is>
          <t>YES</t>
        </is>
      </c>
      <c r="M87" t="inlineStr">
        <is>
          <t>linux linux_kernel - | ibm concert *</t>
        </is>
      </c>
      <c r="N87" t="inlineStr">
        <is>
          <t>P2</t>
        </is>
      </c>
      <c r="O87" t="inlineStr">
        <is>
          <t>CVE - IP enrichment n/a</t>
        </is>
      </c>
      <c r="P87" t="n">
        <v>0</v>
      </c>
      <c r="Q87" t="n">
        <v>0</v>
      </c>
      <c r="R87" t="inlineStr">
        <is>
          <t>T1190:Exploit Public-Facing Application</t>
        </is>
      </c>
      <c r="S87" t="n">
        <v>2</v>
      </c>
      <c r="T87" t="inlineStr">
        <is>
          <t>HIGH (72%)</t>
        </is>
      </c>
      <c r="U87" t="inlineStr">
        <is>
          <t>POSSIBLE</t>
        </is>
      </c>
      <c r="V87" t="inlineStr">
        <is>
          <t>PATCH_AVAILABLE</t>
        </is>
      </c>
      <c r="W87" t="inlineStr">
        <is>
          <t>https://nvd.nist.gov/vuln/detail/CVE-2025-33088</t>
        </is>
      </c>
      <c r="X87" t="inlineStr">
        <is>
          <t>NONE</t>
        </is>
      </c>
      <c r="Y87" t="n">
        <v>3.7</v>
      </c>
      <c r="Z87" t="inlineStr"/>
      <c r="AA87" t="inlineStr">
        <is>
          <t>https://nvd.nist.gov/vuln/detail/CVE-2025-33088</t>
        </is>
      </c>
    </row>
    <row r="88">
      <c r="A88" t="inlineStr">
        <is>
          <t>CVE</t>
        </is>
      </c>
      <c r="B88" t="inlineStr">
        <is>
          <t>CVE-2025-33135</t>
        </is>
      </c>
      <c r="C88" t="inlineStr">
        <is>
          <t>IBM Financial Transaction Manager for ACH Services and Check Services for Multi-Platform 3.0.0.0 through 3.0.5.4 Interim Fix 027 IBM Financial Transaction Manager for Check Services v3 (Multiplatforms) is vulnerable to cross-site scripting. This vulnerability allows an unauthenticated attacker to embed arbitrary JavaScript code in the Web UI thus altering the intended functionality potentially leading to credentials disclosure within a trusted session.</t>
        </is>
      </c>
      <c r="D88" t="n">
        <v>6.1</v>
      </c>
      <c r="E88" t="inlineStr">
        <is>
          <t>MEDIUM</t>
        </is>
      </c>
      <c r="F88" t="n">
        <v>2</v>
      </c>
      <c r="G88" t="n">
        <v>2</v>
      </c>
      <c r="H88" t="inlineStr">
        <is>
          <t>MEDIUM</t>
        </is>
      </c>
      <c r="I88" t="n">
        <v>10.1</v>
      </c>
      <c r="J88" t="inlineStr">
        <is>
          <t>NO</t>
        </is>
      </c>
      <c r="K88" t="inlineStr">
        <is>
          <t>2026-02-23 23:48</t>
        </is>
      </c>
      <c r="L88" t="inlineStr">
        <is>
          <t>CHECK_VENDOR</t>
        </is>
      </c>
      <c r="M88" t="inlineStr">
        <is>
          <t>See CVE details</t>
        </is>
      </c>
      <c r="N88" t="inlineStr">
        <is>
          <t>P4</t>
        </is>
      </c>
      <c r="O88" t="inlineStr">
        <is>
          <t>CVE - IP enrichment n/a</t>
        </is>
      </c>
      <c r="P88" t="n">
        <v>0.0007</v>
      </c>
      <c r="Q88" t="n">
        <v>0.2195</v>
      </c>
      <c r="R88" t="inlineStr">
        <is>
          <t>T1189:Drive-by Compromise | T1552:Unsecured Credentials</t>
        </is>
      </c>
      <c r="S88" t="n">
        <v>1</v>
      </c>
      <c r="T88" t="inlineStr">
        <is>
          <t>LOW (40%)</t>
        </is>
      </c>
      <c r="U88" t="inlineStr">
        <is>
          <t>UNLIKELY</t>
        </is>
      </c>
      <c r="V88" t="inlineStr">
        <is>
          <t>CHECK_VENDOR</t>
        </is>
      </c>
      <c r="W88" t="inlineStr">
        <is>
          <t>https://nvd.nist.gov/vuln/detail/CVE-2025-33135</t>
        </is>
      </c>
      <c r="X88" t="inlineStr">
        <is>
          <t>NONE</t>
        </is>
      </c>
      <c r="Y88" t="n">
        <v>0</v>
      </c>
      <c r="Z88" t="inlineStr"/>
      <c r="AA88" t="inlineStr">
        <is>
          <t>https://nvd.nist.gov/vuln/detail/CVE-2025-33135</t>
        </is>
      </c>
    </row>
    <row r="89">
      <c r="A89" t="inlineStr">
        <is>
          <t>CVE</t>
        </is>
      </c>
      <c r="B89" t="inlineStr">
        <is>
          <t>CVE-2025-36183</t>
        </is>
      </c>
      <c r="C89" t="inlineStr">
        <is>
          <t>IBM watsonx.data 2.2 through 2.2.1 IBM Lakehouse could allow a privileged user to upload malicious files that could be executed server to modify limited files or data.</t>
        </is>
      </c>
      <c r="D89" t="n">
        <v>3.8</v>
      </c>
      <c r="E89" t="inlineStr">
        <is>
          <t>LOW</t>
        </is>
      </c>
      <c r="F89" t="n">
        <v>2</v>
      </c>
      <c r="G89" t="n">
        <v>1</v>
      </c>
      <c r="H89" t="inlineStr">
        <is>
          <t>LOW</t>
        </is>
      </c>
      <c r="I89" t="n">
        <v>5.8</v>
      </c>
      <c r="J89" t="inlineStr">
        <is>
          <t>NO</t>
        </is>
      </c>
      <c r="K89" t="inlineStr">
        <is>
          <t>2026-02-23 23:48</t>
        </is>
      </c>
      <c r="L89" t="inlineStr">
        <is>
          <t>YES</t>
        </is>
      </c>
      <c r="M89" t="inlineStr">
        <is>
          <t>ibm watsonx.data *</t>
        </is>
      </c>
      <c r="N89" t="inlineStr">
        <is>
          <t>P4</t>
        </is>
      </c>
      <c r="O89" t="inlineStr">
        <is>
          <t>CVE - IP enrichment n/a</t>
        </is>
      </c>
      <c r="P89" t="n">
        <v>0.0003</v>
      </c>
      <c r="Q89" t="n">
        <v>0.0953</v>
      </c>
      <c r="R89" t="inlineStr">
        <is>
          <t>T1190:Exploit Public-Facing Application</t>
        </is>
      </c>
      <c r="S89" t="n">
        <v>1</v>
      </c>
      <c r="T89" t="inlineStr">
        <is>
          <t>LOW (40%)</t>
        </is>
      </c>
      <c r="U89" t="inlineStr">
        <is>
          <t>UNLIKELY</t>
        </is>
      </c>
      <c r="V89" t="inlineStr">
        <is>
          <t>PATCH_AVAILABLE</t>
        </is>
      </c>
      <c r="W89" t="inlineStr">
        <is>
          <t>https://nvd.nist.gov/vuln/detail/CVE-2025-36183</t>
        </is>
      </c>
      <c r="X89" t="inlineStr">
        <is>
          <t>NONE</t>
        </is>
      </c>
      <c r="Y89" t="n">
        <v>0</v>
      </c>
      <c r="Z89" t="inlineStr"/>
      <c r="AA89" t="inlineStr">
        <is>
          <t>https://nvd.nist.gov/vuln/detail/CVE-2025-36183</t>
        </is>
      </c>
    </row>
    <row r="90">
      <c r="A90" t="inlineStr">
        <is>
          <t>CVE</t>
        </is>
      </c>
      <c r="B90" t="inlineStr">
        <is>
          <t>CVE-2025-36348</t>
        </is>
      </c>
      <c r="C90" t="inlineStr">
        <is>
          <t>IBM Sterling B2B Integrator versions 6.1.0.0 through 6.1.2.7_2, 6.2.0.0 through 6.2.0.5, and 6.2.1.0 through 6.2.1.1, and IBM Sterling File Gateway versions 6.1.0.0 through 6.1.2.7_2, 6.2.0.0 through 6.2.0.5, and 6.2.1.0 through 6.2.1.1 may expose sensitive information to a remote privileged attacker due to the application returning detailed technical error messages in the browser.</t>
        </is>
      </c>
      <c r="D90" t="n">
        <v>4.9</v>
      </c>
      <c r="E90" t="inlineStr">
        <is>
          <t>MEDIUM</t>
        </is>
      </c>
      <c r="F90" t="n">
        <v>2</v>
      </c>
      <c r="G90" t="n">
        <v>2</v>
      </c>
      <c r="H90" t="inlineStr">
        <is>
          <t>MEDIUM</t>
        </is>
      </c>
      <c r="I90" t="n">
        <v>8.9</v>
      </c>
      <c r="J90" t="inlineStr">
        <is>
          <t>NO</t>
        </is>
      </c>
      <c r="K90" t="inlineStr">
        <is>
          <t>2026-02-23 23:48</t>
        </is>
      </c>
      <c r="L90" t="inlineStr">
        <is>
          <t>YES</t>
        </is>
      </c>
      <c r="M90" t="inlineStr">
        <is>
          <t>ibm sterling_b2b_integrator *</t>
        </is>
      </c>
      <c r="N90" t="inlineStr">
        <is>
          <t>P4</t>
        </is>
      </c>
      <c r="O90" t="inlineStr">
        <is>
          <t>CVE - IP enrichment n/a</t>
        </is>
      </c>
      <c r="P90" t="n">
        <v>0</v>
      </c>
      <c r="Q90" t="n">
        <v>0</v>
      </c>
      <c r="R90" t="inlineStr">
        <is>
          <t>T1190:Exploit Public-Facing Application</t>
        </is>
      </c>
      <c r="S90" t="n">
        <v>1</v>
      </c>
      <c r="T90" t="inlineStr">
        <is>
          <t>LOW (40%)</t>
        </is>
      </c>
      <c r="U90" t="inlineStr">
        <is>
          <t>UNLIKELY</t>
        </is>
      </c>
      <c r="V90" t="inlineStr">
        <is>
          <t>PATCH_AVAILABLE</t>
        </is>
      </c>
      <c r="W90" t="inlineStr">
        <is>
          <t>https://nvd.nist.gov/vuln/detail/CVE-2025-36348</t>
        </is>
      </c>
      <c r="X90" t="inlineStr">
        <is>
          <t>NONE</t>
        </is>
      </c>
      <c r="Y90" t="n">
        <v>0</v>
      </c>
      <c r="Z90" t="inlineStr"/>
      <c r="AA90" t="inlineStr">
        <is>
          <t>https://nvd.nist.gov/vuln/detail/CVE-2025-36348</t>
        </is>
      </c>
    </row>
    <row r="91">
      <c r="A91" t="inlineStr">
        <is>
          <t>CVE</t>
        </is>
      </c>
      <c r="B91" t="inlineStr">
        <is>
          <t>CVE-2026-2623</t>
        </is>
      </c>
      <c r="C91" t="inlineStr">
        <is>
          <t>A flaw has been found in Blossom up to 1.17.1. This issue affects the function put of the file blossom-backend/common/common-iaas/src/main/java/com/blossom/common/iaas/blos/BLOSManager.java of the component File Upload. This manipulation causes path traversal. The attack may be initiated remotely. The exploit has been published and may be used. The vendor was contacted early about this disclosure but did not respond in any way.</t>
        </is>
      </c>
      <c r="D91" t="n">
        <v>6.3</v>
      </c>
      <c r="E91" t="inlineStr">
        <is>
          <t>MEDIUM</t>
        </is>
      </c>
      <c r="F91" t="n">
        <v>2</v>
      </c>
      <c r="G91" t="n">
        <v>2</v>
      </c>
      <c r="H91" t="inlineStr">
        <is>
          <t>MEDIUM</t>
        </is>
      </c>
      <c r="I91" t="n">
        <v>10.3</v>
      </c>
      <c r="J91" t="inlineStr">
        <is>
          <t>NO</t>
        </is>
      </c>
      <c r="K91" t="inlineStr">
        <is>
          <t>2026-02-23 23:48</t>
        </is>
      </c>
      <c r="L91" t="inlineStr">
        <is>
          <t>CHECK_VENDOR</t>
        </is>
      </c>
      <c r="M91" t="inlineStr">
        <is>
          <t>wangyunf blossom *</t>
        </is>
      </c>
      <c r="N91" t="inlineStr">
        <is>
          <t>P4</t>
        </is>
      </c>
      <c r="O91" t="inlineStr">
        <is>
          <t>CVE - IP enrichment n/a</t>
        </is>
      </c>
      <c r="P91" t="n">
        <v>0</v>
      </c>
      <c r="Q91" t="n">
        <v>0</v>
      </c>
      <c r="R91" t="inlineStr">
        <is>
          <t>T1083:File and Directory Discovery</t>
        </is>
      </c>
      <c r="S91" t="n">
        <v>1</v>
      </c>
      <c r="T91" t="inlineStr">
        <is>
          <t>LOW (40%)</t>
        </is>
      </c>
      <c r="U91" t="inlineStr">
        <is>
          <t>UNLIKELY</t>
        </is>
      </c>
      <c r="V91" t="inlineStr">
        <is>
          <t>CHECK_VENDOR</t>
        </is>
      </c>
      <c r="W91" t="inlineStr">
        <is>
          <t>https://nvd.nist.gov/vuln/detail/CVE-2026-2623</t>
        </is>
      </c>
      <c r="X91" t="inlineStr">
        <is>
          <t>NONE</t>
        </is>
      </c>
      <c r="Y91" t="n">
        <v>0</v>
      </c>
      <c r="Z91" t="inlineStr"/>
      <c r="AA91" t="inlineStr">
        <is>
          <t>https://nvd.nist.gov/vuln/detail/CVE-2026-2623</t>
        </is>
      </c>
    </row>
    <row r="92">
      <c r="A92" t="inlineStr">
        <is>
          <t>CVE</t>
        </is>
      </c>
      <c r="B92" t="inlineStr">
        <is>
          <t>CVE-2026-2627</t>
        </is>
      </c>
      <c r="C92" t="inlineStr">
        <is>
          <t>A security flaw has been discovered in Softland FBackup up to 9.9. This impacts an unknown function in the library C:\Program Files\Common Files\microsoft shared\ink\HID.dll of the component Backup/Restore. The manipulation results in link following. The attack needs to be approached locally. The exploit has been released to the public and may be used for attacks. The vendor was contacted early about this disclosure but did not respond in any way.</t>
        </is>
      </c>
      <c r="D92" t="n">
        <v>7.8</v>
      </c>
      <c r="E92" t="inlineStr">
        <is>
          <t>HIGH</t>
        </is>
      </c>
      <c r="F92" t="n">
        <v>2</v>
      </c>
      <c r="G92" t="n">
        <v>3</v>
      </c>
      <c r="H92" t="inlineStr">
        <is>
          <t>HIGH</t>
        </is>
      </c>
      <c r="I92" t="n">
        <v>13.8</v>
      </c>
      <c r="J92" t="inlineStr">
        <is>
          <t>NO</t>
        </is>
      </c>
      <c r="K92" t="inlineStr">
        <is>
          <t>2026-02-23 23:48</t>
        </is>
      </c>
      <c r="L92" t="inlineStr">
        <is>
          <t>CHECK_VENDOR</t>
        </is>
      </c>
      <c r="M92" t="inlineStr">
        <is>
          <t>See CVE details</t>
        </is>
      </c>
      <c r="N92" t="inlineStr">
        <is>
          <t>P2</t>
        </is>
      </c>
      <c r="O92" t="inlineStr">
        <is>
          <t>CVE - IP enrichment n/a</t>
        </is>
      </c>
      <c r="P92" t="n">
        <v>0</v>
      </c>
      <c r="Q92" t="n">
        <v>0</v>
      </c>
      <c r="R92" t="inlineStr">
        <is>
          <t>T1190:Exploit Public-Facing Application</t>
        </is>
      </c>
      <c r="S92" t="n">
        <v>2</v>
      </c>
      <c r="T92" t="inlineStr">
        <is>
          <t>HIGH (72%)</t>
        </is>
      </c>
      <c r="U92" t="inlineStr">
        <is>
          <t>POSSIBLE</t>
        </is>
      </c>
      <c r="V92" t="inlineStr">
        <is>
          <t>CHECK_VENDOR</t>
        </is>
      </c>
      <c r="W92" t="inlineStr">
        <is>
          <t>https://nvd.nist.gov/vuln/detail/CVE-2026-2627</t>
        </is>
      </c>
      <c r="X92" t="inlineStr">
        <is>
          <t>NONE</t>
        </is>
      </c>
      <c r="Y92" t="n">
        <v>3.9</v>
      </c>
      <c r="Z92" t="inlineStr"/>
      <c r="AA92" t="inlineStr">
        <is>
          <t>https://nvd.nist.gov/vuln/detail/CVE-2026-2627</t>
        </is>
      </c>
    </row>
    <row r="93">
      <c r="A93" t="inlineStr">
        <is>
          <t>CVE</t>
        </is>
      </c>
      <c r="B93" t="inlineStr">
        <is>
          <t>CVE-2026-2629</t>
        </is>
      </c>
      <c r="C93" t="inlineStr">
        <is>
          <t>A weakness has been identified in jishi node-sonos-http-api up to 3776f0ee2261c924c7b7204de121a38100a08ca7. Affected is the function Promise of the file lib/tts-providers/mac-os.js of the component TTS Provider. This manipulation of the argument phrase causes os command injection. It is possible to initiate the attack remotely. The exploit has been made available to the public and could be used for attacks. This product is using a rolling release to provide continious delivery. Therefore, no ver</t>
        </is>
      </c>
      <c r="D93" t="n">
        <v>7.3</v>
      </c>
      <c r="E93" t="inlineStr">
        <is>
          <t>HIGH</t>
        </is>
      </c>
      <c r="F93" t="n">
        <v>2</v>
      </c>
      <c r="G93" t="n">
        <v>3</v>
      </c>
      <c r="H93" t="inlineStr">
        <is>
          <t>HIGH</t>
        </is>
      </c>
      <c r="I93" t="n">
        <v>13.3</v>
      </c>
      <c r="J93" t="inlineStr">
        <is>
          <t>NO</t>
        </is>
      </c>
      <c r="K93" t="inlineStr">
        <is>
          <t>2026-02-23 23:48</t>
        </is>
      </c>
      <c r="L93" t="inlineStr">
        <is>
          <t>CHECK_VENDOR</t>
        </is>
      </c>
      <c r="M93" t="inlineStr">
        <is>
          <t>See CVE details</t>
        </is>
      </c>
      <c r="N93" t="inlineStr">
        <is>
          <t>P3</t>
        </is>
      </c>
      <c r="O93" t="inlineStr">
        <is>
          <t>CVE - IP enrichment n/a</t>
        </is>
      </c>
      <c r="P93" t="n">
        <v>0</v>
      </c>
      <c r="Q93" t="n">
        <v>0</v>
      </c>
      <c r="R93" t="inlineStr">
        <is>
          <t>T1059:Command and Scripting Interpreter</t>
        </is>
      </c>
      <c r="S93" t="n">
        <v>1</v>
      </c>
      <c r="T93" t="inlineStr">
        <is>
          <t>LOW (40%)</t>
        </is>
      </c>
      <c r="U93" t="inlineStr">
        <is>
          <t>UNLIKELY</t>
        </is>
      </c>
      <c r="V93" t="inlineStr">
        <is>
          <t>CHECK_VENDOR</t>
        </is>
      </c>
      <c r="W93" t="inlineStr">
        <is>
          <t>https://nvd.nist.gov/vuln/detail/CVE-2026-2629</t>
        </is>
      </c>
      <c r="X93" t="inlineStr">
        <is>
          <t>NONE</t>
        </is>
      </c>
      <c r="Y93" t="n">
        <v>0</v>
      </c>
      <c r="Z93" t="inlineStr"/>
      <c r="AA93" t="inlineStr">
        <is>
          <t>https://nvd.nist.gov/vuln/detail/CVE-2026-2629</t>
        </is>
      </c>
    </row>
    <row r="94">
      <c r="A94" t="inlineStr">
        <is>
          <t>CVE</t>
        </is>
      </c>
      <c r="B94" t="inlineStr">
        <is>
          <t>CVE-2025-13333</t>
        </is>
      </c>
      <c r="C94" t="inlineStr">
        <is>
          <t>IBM WebSphere Application Server 9.0, and 8.5 could provide weaker than expected security during system administration of security settings.</t>
        </is>
      </c>
      <c r="D94" t="n">
        <v>4.4</v>
      </c>
      <c r="E94" t="inlineStr">
        <is>
          <t>MEDIUM</t>
        </is>
      </c>
      <c r="F94" t="n">
        <v>2</v>
      </c>
      <c r="G94" t="n">
        <v>2</v>
      </c>
      <c r="H94" t="inlineStr">
        <is>
          <t>MEDIUM</t>
        </is>
      </c>
      <c r="I94" t="n">
        <v>8.4</v>
      </c>
      <c r="J94" t="inlineStr">
        <is>
          <t>NO</t>
        </is>
      </c>
      <c r="K94" t="inlineStr">
        <is>
          <t>2026-02-23 23:48</t>
        </is>
      </c>
      <c r="L94" t="inlineStr">
        <is>
          <t>YES</t>
        </is>
      </c>
      <c r="M94" t="inlineStr">
        <is>
          <t>ibm websphere_application_server 9.0.0.0 | ibm websphere_application_server 8.5.0.0</t>
        </is>
      </c>
      <c r="N94" t="inlineStr">
        <is>
          <t>P4</t>
        </is>
      </c>
      <c r="O94" t="inlineStr">
        <is>
          <t>CVE - IP enrichment n/a</t>
        </is>
      </c>
      <c r="P94" t="n">
        <v>0</v>
      </c>
      <c r="Q94" t="n">
        <v>0</v>
      </c>
      <c r="R94" t="inlineStr">
        <is>
          <t>T1190:Exploit Public-Facing Application</t>
        </is>
      </c>
      <c r="S94" t="n">
        <v>1</v>
      </c>
      <c r="T94" t="inlineStr">
        <is>
          <t>LOW (40%)</t>
        </is>
      </c>
      <c r="U94" t="inlineStr">
        <is>
          <t>UNLIKELY</t>
        </is>
      </c>
      <c r="V94" t="inlineStr">
        <is>
          <t>PATCH_AVAILABLE</t>
        </is>
      </c>
      <c r="W94" t="inlineStr">
        <is>
          <t>https://nvd.nist.gov/vuln/detail/CVE-2025-13333</t>
        </is>
      </c>
      <c r="X94" t="inlineStr">
        <is>
          <t>NONE</t>
        </is>
      </c>
      <c r="Y94" t="n">
        <v>0</v>
      </c>
      <c r="Z94" t="inlineStr"/>
      <c r="AA94" t="inlineStr">
        <is>
          <t>https://nvd.nist.gov/vuln/detail/CVE-2025-13333</t>
        </is>
      </c>
    </row>
    <row r="95">
      <c r="A95" t="inlineStr">
        <is>
          <t>CVE</t>
        </is>
      </c>
      <c r="B95" t="inlineStr">
        <is>
          <t>CVE-2025-13689</t>
        </is>
      </c>
      <c r="C95" t="inlineStr">
        <is>
          <t>IBM DataStage on Cloud Pak for Data could allow an authenticated user to execute arbitrary commands and gain access to sensitive information due to unrestricted file uploads.</t>
        </is>
      </c>
      <c r="D95" t="n">
        <v>8.800000000000001</v>
      </c>
      <c r="E95" t="inlineStr">
        <is>
          <t>HIGH</t>
        </is>
      </c>
      <c r="F95" t="n">
        <v>3</v>
      </c>
      <c r="G95" t="n">
        <v>3</v>
      </c>
      <c r="H95" t="inlineStr">
        <is>
          <t>CRITICAL</t>
        </is>
      </c>
      <c r="I95" t="n">
        <v>17.8</v>
      </c>
      <c r="J95" t="inlineStr">
        <is>
          <t>NO</t>
        </is>
      </c>
      <c r="K95" t="inlineStr">
        <is>
          <t>2026-02-23 23:48</t>
        </is>
      </c>
      <c r="L95" t="inlineStr">
        <is>
          <t>YES</t>
        </is>
      </c>
      <c r="M95" t="inlineStr">
        <is>
          <t>ibm datastage_on_cloud_pak_for_data *</t>
        </is>
      </c>
      <c r="N95" t="inlineStr">
        <is>
          <t>P2</t>
        </is>
      </c>
      <c r="O95" t="inlineStr">
        <is>
          <t>CVE - IP enrichment n/a</t>
        </is>
      </c>
      <c r="P95" t="n">
        <v>0.0004</v>
      </c>
      <c r="Q95" t="n">
        <v>0.1207</v>
      </c>
      <c r="R95" t="inlineStr">
        <is>
          <t>T1190:Exploit Public-Facing Application</t>
        </is>
      </c>
      <c r="S95" t="n">
        <v>2</v>
      </c>
      <c r="T95" t="inlineStr">
        <is>
          <t>HIGH (72%)</t>
        </is>
      </c>
      <c r="U95" t="inlineStr">
        <is>
          <t>CONFIRMED</t>
        </is>
      </c>
      <c r="V95" t="inlineStr">
        <is>
          <t>PATCH_AVAILABLE</t>
        </is>
      </c>
      <c r="W95" t="inlineStr">
        <is>
          <t>https://nvd.nist.gov/vuln/detail/CVE-2025-13689</t>
        </is>
      </c>
      <c r="X95" t="inlineStr">
        <is>
          <t>NONE</t>
        </is>
      </c>
      <c r="Y95" t="n">
        <v>4.4</v>
      </c>
      <c r="Z95" t="inlineStr"/>
      <c r="AA95" t="inlineStr">
        <is>
          <t>https://nvd.nist.gov/vuln/detail/CVE-2025-13689</t>
        </is>
      </c>
    </row>
    <row r="96">
      <c r="A96" t="inlineStr">
        <is>
          <t>CVE</t>
        </is>
      </c>
      <c r="B96" t="inlineStr">
        <is>
          <t>CVE-2025-62183</t>
        </is>
      </c>
      <c r="C96" t="inlineStr">
        <is>
          <t>Pega Platform versions 8.1.0 through 25.1.1 are affected by a Stored Cross-site Scripting vulnerability in a user interface component.  Requires an administrative user and given extensive access rights, impact to Confidentiality and Integrity are low.</t>
        </is>
      </c>
      <c r="D96" t="n">
        <v>5</v>
      </c>
      <c r="E96" t="inlineStr">
        <is>
          <t>MEDIUM</t>
        </is>
      </c>
      <c r="F96" t="n">
        <v>2</v>
      </c>
      <c r="G96" t="n">
        <v>2</v>
      </c>
      <c r="H96" t="inlineStr">
        <is>
          <t>MEDIUM</t>
        </is>
      </c>
      <c r="I96" t="n">
        <v>9</v>
      </c>
      <c r="J96" t="inlineStr">
        <is>
          <t>NO</t>
        </is>
      </c>
      <c r="K96" t="inlineStr">
        <is>
          <t>2026-02-23 23:48</t>
        </is>
      </c>
      <c r="L96" t="inlineStr">
        <is>
          <t>CHECK_VENDOR</t>
        </is>
      </c>
      <c r="M96" t="inlineStr">
        <is>
          <t>See CVE details</t>
        </is>
      </c>
      <c r="N96" t="inlineStr">
        <is>
          <t>P4</t>
        </is>
      </c>
      <c r="O96" t="inlineStr">
        <is>
          <t>CVE - IP enrichment n/a</t>
        </is>
      </c>
      <c r="P96" t="n">
        <v>0</v>
      </c>
      <c r="Q96" t="n">
        <v>0</v>
      </c>
      <c r="R96" t="inlineStr">
        <is>
          <t>T1189:Drive-by Compromise</t>
        </is>
      </c>
      <c r="S96" t="n">
        <v>1</v>
      </c>
      <c r="T96" t="inlineStr">
        <is>
          <t>LOW (40%)</t>
        </is>
      </c>
      <c r="U96" t="inlineStr">
        <is>
          <t>UNLIKELY</t>
        </is>
      </c>
      <c r="V96" t="inlineStr">
        <is>
          <t>CHECK_VENDOR</t>
        </is>
      </c>
      <c r="W96" t="inlineStr">
        <is>
          <t>https://nvd.nist.gov/vuln/detail/CVE-2025-62183</t>
        </is>
      </c>
      <c r="X96" t="inlineStr">
        <is>
          <t>NONE</t>
        </is>
      </c>
      <c r="Y96" t="n">
        <v>0</v>
      </c>
      <c r="Z96" t="inlineStr"/>
      <c r="AA96" t="inlineStr">
        <is>
          <t>https://nvd.nist.gov/vuln/detail/CVE-2025-62183</t>
        </is>
      </c>
    </row>
    <row r="97">
      <c r="A97" t="inlineStr">
        <is>
          <t>CVE</t>
        </is>
      </c>
      <c r="B97" t="inlineStr">
        <is>
          <t>CVE-2026-1670</t>
        </is>
      </c>
      <c r="C97" t="inlineStr">
        <is>
          <t>The affected products are vulnerable to an unauthenticated API endpoint exposure, which may allow an attacker to remotely change the "forgot password" recovery email address.</t>
        </is>
      </c>
      <c r="D97" t="n">
        <v>9.800000000000001</v>
      </c>
      <c r="E97" t="inlineStr">
        <is>
          <t>CRITICAL</t>
        </is>
      </c>
      <c r="F97" t="n">
        <v>2</v>
      </c>
      <c r="G97" t="n">
        <v>3</v>
      </c>
      <c r="H97" t="inlineStr">
        <is>
          <t>HIGH</t>
        </is>
      </c>
      <c r="I97" t="n">
        <v>15.8</v>
      </c>
      <c r="J97" t="inlineStr">
        <is>
          <t>NO</t>
        </is>
      </c>
      <c r="K97" t="inlineStr">
        <is>
          <t>2026-02-23 23:48</t>
        </is>
      </c>
      <c r="L97" t="inlineStr">
        <is>
          <t>CHECK_VENDOR</t>
        </is>
      </c>
      <c r="M97" t="inlineStr">
        <is>
          <t>See CVE details</t>
        </is>
      </c>
      <c r="N97" t="inlineStr">
        <is>
          <t>P3</t>
        </is>
      </c>
      <c r="O97" t="inlineStr">
        <is>
          <t>CVE - IP enrichment n/a</t>
        </is>
      </c>
      <c r="P97" t="n">
        <v>0.0005</v>
      </c>
      <c r="Q97" t="n">
        <v>0.1604</v>
      </c>
      <c r="R97" t="inlineStr">
        <is>
          <t>T1078:Valid Accounts</t>
        </is>
      </c>
      <c r="S97" t="n">
        <v>1</v>
      </c>
      <c r="T97" t="inlineStr">
        <is>
          <t>LOW (40%)</t>
        </is>
      </c>
      <c r="U97" t="inlineStr">
        <is>
          <t>UNLIKELY</t>
        </is>
      </c>
      <c r="V97" t="inlineStr">
        <is>
          <t>CHECK_VENDOR</t>
        </is>
      </c>
      <c r="W97" t="inlineStr">
        <is>
          <t>https://nvd.nist.gov/vuln/detail/CVE-2026-1670</t>
        </is>
      </c>
      <c r="X97" t="inlineStr">
        <is>
          <t>NONE</t>
        </is>
      </c>
      <c r="Y97" t="n">
        <v>0</v>
      </c>
      <c r="Z97" t="inlineStr"/>
      <c r="AA97" t="inlineStr">
        <is>
          <t>https://nvd.nist.gov/vuln/detail/CVE-2026-1670</t>
        </is>
      </c>
    </row>
    <row r="98">
      <c r="A98" t="inlineStr">
        <is>
          <t>CVE</t>
        </is>
      </c>
      <c r="B98" t="inlineStr">
        <is>
          <t>CVE-2026-26119</t>
        </is>
      </c>
      <c r="C98" t="inlineStr">
        <is>
          <t>Improper authentication in Windows Admin Center allows an authorized attacker to elevate privileges over a network.</t>
        </is>
      </c>
      <c r="D98" t="n">
        <v>8.800000000000001</v>
      </c>
      <c r="E98" t="inlineStr">
        <is>
          <t>HIGH</t>
        </is>
      </c>
      <c r="F98" t="n">
        <v>2</v>
      </c>
      <c r="G98" t="n">
        <v>3</v>
      </c>
      <c r="H98" t="inlineStr">
        <is>
          <t>HIGH</t>
        </is>
      </c>
      <c r="I98" t="n">
        <v>14.8</v>
      </c>
      <c r="J98" t="inlineStr">
        <is>
          <t>NO</t>
        </is>
      </c>
      <c r="K98" t="inlineStr">
        <is>
          <t>2026-02-23 23:48</t>
        </is>
      </c>
      <c r="L98" t="inlineStr">
        <is>
          <t>YES</t>
        </is>
      </c>
      <c r="M98" t="inlineStr">
        <is>
          <t>microsoft windows_admin_center *</t>
        </is>
      </c>
      <c r="N98" t="inlineStr">
        <is>
          <t>P3</t>
        </is>
      </c>
      <c r="O98" t="inlineStr">
        <is>
          <t>CVE - IP enrichment n/a</t>
        </is>
      </c>
      <c r="P98" t="n">
        <v>0</v>
      </c>
      <c r="Q98" t="n">
        <v>0</v>
      </c>
      <c r="R98" t="inlineStr">
        <is>
          <t>T1078:Valid Accounts | T1110:Brute Force</t>
        </is>
      </c>
      <c r="S98" t="n">
        <v>1</v>
      </c>
      <c r="T98" t="inlineStr">
        <is>
          <t>LOW (40%)</t>
        </is>
      </c>
      <c r="U98" t="inlineStr">
        <is>
          <t>UNLIKELY</t>
        </is>
      </c>
      <c r="V98" t="inlineStr">
        <is>
          <t>PATCH_AVAILABLE</t>
        </is>
      </c>
      <c r="W98" t="inlineStr">
        <is>
          <t>https://nvd.nist.gov/vuln/detail/CVE-2026-26119</t>
        </is>
      </c>
      <c r="X98" t="inlineStr">
        <is>
          <t>NONE</t>
        </is>
      </c>
      <c r="Y98" t="n">
        <v>0</v>
      </c>
      <c r="Z98" t="inlineStr"/>
      <c r="AA98" t="inlineStr">
        <is>
          <t>https://nvd.nist.gov/vuln/detail/CVE-2026-26119</t>
        </is>
      </c>
    </row>
    <row r="99">
      <c r="A99" t="inlineStr">
        <is>
          <t>CVE</t>
        </is>
      </c>
      <c r="B99" t="inlineStr">
        <is>
          <t>CVE-2026-2570</t>
        </is>
      </c>
      <c r="C99" t="inlineStr">
        <is>
          <t>Rejected reason: ** REJECT ** DO NOT USE THIS CANDIDATE NUMBER. Reason: This candidate was issued in error. Notes: All references and descriptions in this candidate have been removed to prevent accidental usage.</t>
        </is>
      </c>
      <c r="D99" t="n">
        <v>5</v>
      </c>
      <c r="E99" t="inlineStr">
        <is>
          <t>MEDIUM</t>
        </is>
      </c>
      <c r="F99" t="n">
        <v>2</v>
      </c>
      <c r="G99" t="n">
        <v>2</v>
      </c>
      <c r="H99" t="inlineStr">
        <is>
          <t>MEDIUM</t>
        </is>
      </c>
      <c r="I99" t="n">
        <v>9</v>
      </c>
      <c r="J99" t="inlineStr">
        <is>
          <t>NO</t>
        </is>
      </c>
      <c r="K99" t="inlineStr">
        <is>
          <t>2026-02-23 23:48</t>
        </is>
      </c>
      <c r="L99" t="inlineStr">
        <is>
          <t>CHECK_VENDOR</t>
        </is>
      </c>
      <c r="M99" t="inlineStr">
        <is>
          <t>See CVE details</t>
        </is>
      </c>
      <c r="N99" t="inlineStr">
        <is>
          <t>P4</t>
        </is>
      </c>
      <c r="O99" t="inlineStr">
        <is>
          <t>CVE - IP enrichment n/a</t>
        </is>
      </c>
      <c r="P99" t="n">
        <v>0</v>
      </c>
      <c r="Q99" t="n">
        <v>0</v>
      </c>
      <c r="R99" t="inlineStr">
        <is>
          <t>T1190:Exploit Public-Facing Application</t>
        </is>
      </c>
      <c r="S99" t="n">
        <v>1</v>
      </c>
      <c r="T99" t="inlineStr">
        <is>
          <t>LOW (40%)</t>
        </is>
      </c>
      <c r="U99" t="inlineStr">
        <is>
          <t>UNLIKELY</t>
        </is>
      </c>
      <c r="V99" t="inlineStr">
        <is>
          <t>CHECK_VENDOR</t>
        </is>
      </c>
      <c r="W99" t="inlineStr">
        <is>
          <t>https://nvd.nist.gov/vuln/detail/CVE-2026-2570</t>
        </is>
      </c>
      <c r="X99" t="inlineStr">
        <is>
          <t>NONE</t>
        </is>
      </c>
      <c r="Y99" t="n">
        <v>0</v>
      </c>
      <c r="Z99" t="inlineStr"/>
      <c r="AA99" t="inlineStr">
        <is>
          <t>https://nvd.nist.gov/vuln/detail/CVE-2026-2570</t>
        </is>
      </c>
    </row>
    <row r="100">
      <c r="A100" t="inlineStr">
        <is>
          <t>CVE</t>
        </is>
      </c>
      <c r="B100" t="inlineStr">
        <is>
          <t>CVE-2026-1344</t>
        </is>
      </c>
      <c r="C100" t="inlineStr">
        <is>
          <t>Tanium addressed an insecure file permissions vulnerability in Enforce Recovery Key Portal.</t>
        </is>
      </c>
      <c r="D100" t="n">
        <v>6.5</v>
      </c>
      <c r="E100" t="inlineStr">
        <is>
          <t>MEDIUM</t>
        </is>
      </c>
      <c r="F100" t="n">
        <v>2</v>
      </c>
      <c r="G100" t="n">
        <v>2</v>
      </c>
      <c r="H100" t="inlineStr">
        <is>
          <t>MEDIUM</t>
        </is>
      </c>
      <c r="I100" t="n">
        <v>10.5</v>
      </c>
      <c r="J100" t="inlineStr">
        <is>
          <t>NO</t>
        </is>
      </c>
      <c r="K100" t="inlineStr">
        <is>
          <t>2026-02-23 23:48</t>
        </is>
      </c>
      <c r="L100" t="inlineStr">
        <is>
          <t>CHECK_VENDOR</t>
        </is>
      </c>
      <c r="M100" t="inlineStr">
        <is>
          <t>See CVE details</t>
        </is>
      </c>
      <c r="N100" t="inlineStr">
        <is>
          <t>P4</t>
        </is>
      </c>
      <c r="O100" t="inlineStr">
        <is>
          <t>CVE - IP enrichment n/a</t>
        </is>
      </c>
      <c r="P100" t="n">
        <v>0</v>
      </c>
      <c r="Q100" t="n">
        <v>0</v>
      </c>
      <c r="R100" t="inlineStr">
        <is>
          <t>T1190:Exploit Public-Facing Application</t>
        </is>
      </c>
      <c r="S100" t="n">
        <v>1</v>
      </c>
      <c r="T100" t="inlineStr">
        <is>
          <t>LOW (40%)</t>
        </is>
      </c>
      <c r="U100" t="inlineStr">
        <is>
          <t>UNLIKELY</t>
        </is>
      </c>
      <c r="V100" t="inlineStr">
        <is>
          <t>CHECK_VENDOR</t>
        </is>
      </c>
      <c r="W100" t="inlineStr">
        <is>
          <t>https://nvd.nist.gov/vuln/detail/CVE-2026-1344</t>
        </is>
      </c>
      <c r="X100" t="inlineStr">
        <is>
          <t>NONE</t>
        </is>
      </c>
      <c r="Y100" t="n">
        <v>0</v>
      </c>
      <c r="Z100" t="inlineStr"/>
      <c r="AA100" t="inlineStr">
        <is>
          <t>https://nvd.nist.gov/vuln/detail/CVE-2026-1344</t>
        </is>
      </c>
    </row>
    <row r="101">
      <c r="A101" t="inlineStr">
        <is>
          <t>CVE</t>
        </is>
      </c>
      <c r="B101" t="inlineStr">
        <is>
          <t>CVE-2026-22048</t>
        </is>
      </c>
      <c r="C101" t="inlineStr">
        <is>
          <t>StorageGRID (formerly StorageGRID Webscale) versions prior to 11.9.0.12 and 12.0.0.4 with Single Sign-on enabled and configured to use Microsoft Entra ID (formerly Azure AD) as an IdP are susceptible to a Server-Side Request Forgery (SSRF) vulnerability. Successful exploit could allow an authenticated attacker with low privileges to delete configuration data or deny access to some resources.</t>
        </is>
      </c>
      <c r="D101" t="n">
        <v>7.1</v>
      </c>
      <c r="E101" t="inlineStr">
        <is>
          <t>HIGH</t>
        </is>
      </c>
      <c r="F101" t="n">
        <v>2</v>
      </c>
      <c r="G101" t="n">
        <v>3</v>
      </c>
      <c r="H101" t="inlineStr">
        <is>
          <t>HIGH</t>
        </is>
      </c>
      <c r="I101" t="n">
        <v>13.1</v>
      </c>
      <c r="J101" t="inlineStr">
        <is>
          <t>NO</t>
        </is>
      </c>
      <c r="K101" t="inlineStr">
        <is>
          <t>2026-02-23 23:48</t>
        </is>
      </c>
      <c r="L101" t="inlineStr">
        <is>
          <t>CHECK_VENDOR</t>
        </is>
      </c>
      <c r="M101" t="inlineStr">
        <is>
          <t>See CVE details</t>
        </is>
      </c>
      <c r="N101" t="inlineStr">
        <is>
          <t>P3</t>
        </is>
      </c>
      <c r="O101" t="inlineStr">
        <is>
          <t>CVE - IP enrichment n/a</t>
        </is>
      </c>
      <c r="P101" t="n">
        <v>0</v>
      </c>
      <c r="Q101" t="n">
        <v>0</v>
      </c>
      <c r="R101" t="inlineStr">
        <is>
          <t>T1090:Proxy | T1190:Exploit Public-Facing Application</t>
        </is>
      </c>
      <c r="S101" t="n">
        <v>1</v>
      </c>
      <c r="T101" t="inlineStr">
        <is>
          <t>LOW (40%)</t>
        </is>
      </c>
      <c r="U101" t="inlineStr">
        <is>
          <t>UNLIKELY</t>
        </is>
      </c>
      <c r="V101" t="inlineStr">
        <is>
          <t>CHECK_VENDOR</t>
        </is>
      </c>
      <c r="W101" t="inlineStr">
        <is>
          <t>https://nvd.nist.gov/vuln/detail/CVE-2026-22048</t>
        </is>
      </c>
      <c r="X101" t="inlineStr">
        <is>
          <t>NONE</t>
        </is>
      </c>
      <c r="Y101" t="n">
        <v>0</v>
      </c>
      <c r="Z101" t="inlineStr"/>
      <c r="AA101" t="inlineStr">
        <is>
          <t>https://nvd.nist.gov/vuln/detail/CVE-2026-22048</t>
        </is>
      </c>
    </row>
    <row r="102">
      <c r="A102" t="inlineStr">
        <is>
          <t>CVE</t>
        </is>
      </c>
      <c r="B102" t="inlineStr">
        <is>
          <t>CVE-2026-23599</t>
        </is>
      </c>
      <c r="C102" t="inlineStr">
        <is>
          <t>A local privilege-escalation vulnerability has been discovered in the HPE Aruba Networking ClearPass OnGuard Software for Linux. Successful exploitation of this vulnerability could allow a local attacker to achieve arbitrary code execution with root privileges.</t>
        </is>
      </c>
      <c r="D102" t="n">
        <v>7.8</v>
      </c>
      <c r="E102" t="inlineStr">
        <is>
          <t>HIGH</t>
        </is>
      </c>
      <c r="F102" t="n">
        <v>2</v>
      </c>
      <c r="G102" t="n">
        <v>3</v>
      </c>
      <c r="H102" t="inlineStr">
        <is>
          <t>HIGH</t>
        </is>
      </c>
      <c r="I102" t="n">
        <v>13.8</v>
      </c>
      <c r="J102" t="inlineStr">
        <is>
          <t>NO</t>
        </is>
      </c>
      <c r="K102" t="inlineStr">
        <is>
          <t>2026-02-23 23:48</t>
        </is>
      </c>
      <c r="L102" t="inlineStr">
        <is>
          <t>CHECK_VENDOR</t>
        </is>
      </c>
      <c r="M102" t="inlineStr">
        <is>
          <t>See CVE details</t>
        </is>
      </c>
      <c r="N102" t="inlineStr">
        <is>
          <t>P3</t>
        </is>
      </c>
      <c r="O102" t="inlineStr">
        <is>
          <t>CVE - IP enrichment n/a</t>
        </is>
      </c>
      <c r="P102" t="n">
        <v>0.0001</v>
      </c>
      <c r="Q102" t="n">
        <v>0.0193</v>
      </c>
      <c r="R102" t="inlineStr">
        <is>
          <t>T1203:Exploitation for Client Execution</t>
        </is>
      </c>
      <c r="S102" t="n">
        <v>1</v>
      </c>
      <c r="T102" t="inlineStr">
        <is>
          <t>LOW (40%)</t>
        </is>
      </c>
      <c r="U102" t="inlineStr">
        <is>
          <t>UNLIKELY</t>
        </is>
      </c>
      <c r="V102" t="inlineStr">
        <is>
          <t>CHECK_VENDOR</t>
        </is>
      </c>
      <c r="W102" t="inlineStr">
        <is>
          <t>https://nvd.nist.gov/vuln/detail/CVE-2026-23599</t>
        </is>
      </c>
      <c r="X102" t="inlineStr">
        <is>
          <t>NONE</t>
        </is>
      </c>
      <c r="Y102" t="n">
        <v>0</v>
      </c>
      <c r="Z102" t="inlineStr"/>
      <c r="AA102" t="inlineStr">
        <is>
          <t>https://nvd.nist.gov/vuln/detail/CVE-2026-23599</t>
        </is>
      </c>
    </row>
    <row r="103">
      <c r="A103" t="inlineStr">
        <is>
          <t>CVE</t>
        </is>
      </c>
      <c r="B103" t="inlineStr">
        <is>
          <t>CVE-2026-27031</t>
        </is>
      </c>
      <c r="C103" t="inlineStr">
        <is>
          <t>Rejected reason: Not used</t>
        </is>
      </c>
      <c r="D103" t="n">
        <v>5</v>
      </c>
      <c r="E103" t="inlineStr">
        <is>
          <t>MEDIUM</t>
        </is>
      </c>
      <c r="F103" t="n">
        <v>2</v>
      </c>
      <c r="G103" t="n">
        <v>2</v>
      </c>
      <c r="H103" t="inlineStr">
        <is>
          <t>MEDIUM</t>
        </is>
      </c>
      <c r="I103" t="n">
        <v>9</v>
      </c>
      <c r="J103" t="inlineStr">
        <is>
          <t>NO</t>
        </is>
      </c>
      <c r="K103" t="inlineStr">
        <is>
          <t>2026-02-23 23:48</t>
        </is>
      </c>
      <c r="L103" t="inlineStr">
        <is>
          <t>CHECK_VENDOR</t>
        </is>
      </c>
      <c r="M103" t="inlineStr">
        <is>
          <t>See CVE details</t>
        </is>
      </c>
      <c r="N103" t="inlineStr">
        <is>
          <t>P4</t>
        </is>
      </c>
      <c r="O103" t="inlineStr">
        <is>
          <t>CVE - IP enrichment n/a</t>
        </is>
      </c>
      <c r="P103" t="n">
        <v>0</v>
      </c>
      <c r="Q103" t="n">
        <v>0</v>
      </c>
      <c r="R103" t="inlineStr">
        <is>
          <t>T1190:Exploit Public-Facing Application</t>
        </is>
      </c>
      <c r="S103" t="n">
        <v>1</v>
      </c>
      <c r="T103" t="inlineStr">
        <is>
          <t>LOW (40%)</t>
        </is>
      </c>
      <c r="U103" t="inlineStr">
        <is>
          <t>UNLIKELY</t>
        </is>
      </c>
      <c r="V103" t="inlineStr">
        <is>
          <t>CHECK_VENDOR</t>
        </is>
      </c>
      <c r="W103" t="inlineStr">
        <is>
          <t>https://nvd.nist.gov/vuln/detail/CVE-2026-27031</t>
        </is>
      </c>
      <c r="X103" t="inlineStr">
        <is>
          <t>NONE</t>
        </is>
      </c>
      <c r="Y103" t="n">
        <v>0</v>
      </c>
      <c r="Z103" t="inlineStr"/>
      <c r="AA103" t="inlineStr">
        <is>
          <t>https://nvd.nist.gov/vuln/detail/CVE-2026-27031</t>
        </is>
      </c>
    </row>
    <row r="104">
      <c r="A104" t="inlineStr">
        <is>
          <t>CVE</t>
        </is>
      </c>
      <c r="B104" t="inlineStr">
        <is>
          <t>CVE-2026-27032</t>
        </is>
      </c>
      <c r="C104" t="inlineStr">
        <is>
          <t>Rejected reason: Not used</t>
        </is>
      </c>
      <c r="D104" t="n">
        <v>5</v>
      </c>
      <c r="E104" t="inlineStr">
        <is>
          <t>MEDIUM</t>
        </is>
      </c>
      <c r="F104" t="n">
        <v>2</v>
      </c>
      <c r="G104" t="n">
        <v>2</v>
      </c>
      <c r="H104" t="inlineStr">
        <is>
          <t>MEDIUM</t>
        </is>
      </c>
      <c r="I104" t="n">
        <v>9</v>
      </c>
      <c r="J104" t="inlineStr">
        <is>
          <t>NO</t>
        </is>
      </c>
      <c r="K104" t="inlineStr">
        <is>
          <t>2026-02-23 23:48</t>
        </is>
      </c>
      <c r="L104" t="inlineStr">
        <is>
          <t>CHECK_VENDOR</t>
        </is>
      </c>
      <c r="M104" t="inlineStr">
        <is>
          <t>See CVE details</t>
        </is>
      </c>
      <c r="N104" t="inlineStr">
        <is>
          <t>P4</t>
        </is>
      </c>
      <c r="O104" t="inlineStr">
        <is>
          <t>CVE - IP enrichment n/a</t>
        </is>
      </c>
      <c r="P104" t="n">
        <v>0</v>
      </c>
      <c r="Q104" t="n">
        <v>0</v>
      </c>
      <c r="R104" t="inlineStr">
        <is>
          <t>T1190:Exploit Public-Facing Application</t>
        </is>
      </c>
      <c r="S104" t="n">
        <v>1</v>
      </c>
      <c r="T104" t="inlineStr">
        <is>
          <t>LOW (40%)</t>
        </is>
      </c>
      <c r="U104" t="inlineStr">
        <is>
          <t>UNLIKELY</t>
        </is>
      </c>
      <c r="V104" t="inlineStr">
        <is>
          <t>CHECK_VENDOR</t>
        </is>
      </c>
      <c r="W104" t="inlineStr">
        <is>
          <t>https://nvd.nist.gov/vuln/detail/CVE-2026-27032</t>
        </is>
      </c>
      <c r="X104" t="inlineStr">
        <is>
          <t>NONE</t>
        </is>
      </c>
      <c r="Y104" t="n">
        <v>0</v>
      </c>
      <c r="Z104" t="inlineStr"/>
      <c r="AA104" t="inlineStr">
        <is>
          <t>https://nvd.nist.gov/vuln/detail/CVE-2026-27032</t>
        </is>
      </c>
    </row>
    <row r="105">
      <c r="A105" t="inlineStr">
        <is>
          <t>CVE</t>
        </is>
      </c>
      <c r="B105" t="inlineStr">
        <is>
          <t>CVE-2026-27033</t>
        </is>
      </c>
      <c r="C105" t="inlineStr">
        <is>
          <t>Rejected reason: Not used</t>
        </is>
      </c>
      <c r="D105" t="n">
        <v>5</v>
      </c>
      <c r="E105" t="inlineStr">
        <is>
          <t>MEDIUM</t>
        </is>
      </c>
      <c r="F105" t="n">
        <v>2</v>
      </c>
      <c r="G105" t="n">
        <v>2</v>
      </c>
      <c r="H105" t="inlineStr">
        <is>
          <t>MEDIUM</t>
        </is>
      </c>
      <c r="I105" t="n">
        <v>9</v>
      </c>
      <c r="J105" t="inlineStr">
        <is>
          <t>NO</t>
        </is>
      </c>
      <c r="K105" t="inlineStr">
        <is>
          <t>2026-02-23 23:48</t>
        </is>
      </c>
      <c r="L105" t="inlineStr">
        <is>
          <t>CHECK_VENDOR</t>
        </is>
      </c>
      <c r="M105" t="inlineStr">
        <is>
          <t>See CVE details</t>
        </is>
      </c>
      <c r="N105" t="inlineStr">
        <is>
          <t>P4</t>
        </is>
      </c>
      <c r="O105" t="inlineStr">
        <is>
          <t>CVE - IP enrichment n/a</t>
        </is>
      </c>
      <c r="P105" t="n">
        <v>0</v>
      </c>
      <c r="Q105" t="n">
        <v>0</v>
      </c>
      <c r="R105" t="inlineStr">
        <is>
          <t>T1190:Exploit Public-Facing Application</t>
        </is>
      </c>
      <c r="S105" t="n">
        <v>1</v>
      </c>
      <c r="T105" t="inlineStr">
        <is>
          <t>LOW (40%)</t>
        </is>
      </c>
      <c r="U105" t="inlineStr">
        <is>
          <t>UNLIKELY</t>
        </is>
      </c>
      <c r="V105" t="inlineStr">
        <is>
          <t>CHECK_VENDOR</t>
        </is>
      </c>
      <c r="W105" t="inlineStr">
        <is>
          <t>https://nvd.nist.gov/vuln/detail/CVE-2026-27033</t>
        </is>
      </c>
      <c r="X105" t="inlineStr">
        <is>
          <t>NONE</t>
        </is>
      </c>
      <c r="Y105" t="n">
        <v>0</v>
      </c>
      <c r="Z105" t="inlineStr"/>
      <c r="AA105" t="inlineStr">
        <is>
          <t>https://nvd.nist.gov/vuln/detail/CVE-2026-27033</t>
        </is>
      </c>
    </row>
    <row r="106">
      <c r="A106" t="inlineStr">
        <is>
          <t>CVE</t>
        </is>
      </c>
      <c r="B106" t="inlineStr">
        <is>
          <t>CVE-2026-27034</t>
        </is>
      </c>
      <c r="C106" t="inlineStr">
        <is>
          <t>Rejected reason: Not used</t>
        </is>
      </c>
      <c r="D106" t="n">
        <v>5</v>
      </c>
      <c r="E106" t="inlineStr">
        <is>
          <t>MEDIUM</t>
        </is>
      </c>
      <c r="F106" t="n">
        <v>2</v>
      </c>
      <c r="G106" t="n">
        <v>2</v>
      </c>
      <c r="H106" t="inlineStr">
        <is>
          <t>MEDIUM</t>
        </is>
      </c>
      <c r="I106" t="n">
        <v>9</v>
      </c>
      <c r="J106" t="inlineStr">
        <is>
          <t>NO</t>
        </is>
      </c>
      <c r="K106" t="inlineStr">
        <is>
          <t>2026-02-23 23:48</t>
        </is>
      </c>
      <c r="L106" t="inlineStr">
        <is>
          <t>CHECK_VENDOR</t>
        </is>
      </c>
      <c r="M106" t="inlineStr">
        <is>
          <t>See CVE details</t>
        </is>
      </c>
      <c r="N106" t="inlineStr">
        <is>
          <t>P4</t>
        </is>
      </c>
      <c r="O106" t="inlineStr">
        <is>
          <t>CVE - IP enrichment n/a</t>
        </is>
      </c>
      <c r="P106" t="n">
        <v>0</v>
      </c>
      <c r="Q106" t="n">
        <v>0</v>
      </c>
      <c r="R106" t="inlineStr">
        <is>
          <t>T1190:Exploit Public-Facing Application</t>
        </is>
      </c>
      <c r="S106" t="n">
        <v>1</v>
      </c>
      <c r="T106" t="inlineStr">
        <is>
          <t>LOW (40%)</t>
        </is>
      </c>
      <c r="U106" t="inlineStr">
        <is>
          <t>UNLIKELY</t>
        </is>
      </c>
      <c r="V106" t="inlineStr">
        <is>
          <t>CHECK_VENDOR</t>
        </is>
      </c>
      <c r="W106" t="inlineStr">
        <is>
          <t>https://nvd.nist.gov/vuln/detail/CVE-2026-27034</t>
        </is>
      </c>
      <c r="X106" t="inlineStr">
        <is>
          <t>NONE</t>
        </is>
      </c>
      <c r="Y106" t="n">
        <v>0</v>
      </c>
      <c r="Z106" t="inlineStr"/>
      <c r="AA106" t="inlineStr">
        <is>
          <t>https://nvd.nist.gov/vuln/detail/CVE-2026-27034</t>
        </is>
      </c>
    </row>
    <row r="107">
      <c r="A107" t="inlineStr">
        <is>
          <t>CVE</t>
        </is>
      </c>
      <c r="B107" t="inlineStr">
        <is>
          <t>CVE-2026-27035</t>
        </is>
      </c>
      <c r="C107" t="inlineStr">
        <is>
          <t>Rejected reason: Not used</t>
        </is>
      </c>
      <c r="D107" t="n">
        <v>5</v>
      </c>
      <c r="E107" t="inlineStr">
        <is>
          <t>MEDIUM</t>
        </is>
      </c>
      <c r="F107" t="n">
        <v>2</v>
      </c>
      <c r="G107" t="n">
        <v>2</v>
      </c>
      <c r="H107" t="inlineStr">
        <is>
          <t>MEDIUM</t>
        </is>
      </c>
      <c r="I107" t="n">
        <v>9</v>
      </c>
      <c r="J107" t="inlineStr">
        <is>
          <t>NO</t>
        </is>
      </c>
      <c r="K107" t="inlineStr">
        <is>
          <t>2026-02-23 23:48</t>
        </is>
      </c>
      <c r="L107" t="inlineStr">
        <is>
          <t>CHECK_VENDOR</t>
        </is>
      </c>
      <c r="M107" t="inlineStr">
        <is>
          <t>See CVE details</t>
        </is>
      </c>
      <c r="N107" t="inlineStr">
        <is>
          <t>P4</t>
        </is>
      </c>
      <c r="O107" t="inlineStr">
        <is>
          <t>CVE - IP enrichment n/a</t>
        </is>
      </c>
      <c r="P107" t="n">
        <v>0</v>
      </c>
      <c r="Q107" t="n">
        <v>0</v>
      </c>
      <c r="R107" t="inlineStr">
        <is>
          <t>T1190:Exploit Public-Facing Application</t>
        </is>
      </c>
      <c r="S107" t="n">
        <v>1</v>
      </c>
      <c r="T107" t="inlineStr">
        <is>
          <t>LOW (40%)</t>
        </is>
      </c>
      <c r="U107" t="inlineStr">
        <is>
          <t>UNLIKELY</t>
        </is>
      </c>
      <c r="V107" t="inlineStr">
        <is>
          <t>CHECK_VENDOR</t>
        </is>
      </c>
      <c r="W107" t="inlineStr">
        <is>
          <t>https://nvd.nist.gov/vuln/detail/CVE-2026-27035</t>
        </is>
      </c>
      <c r="X107" t="inlineStr">
        <is>
          <t>NONE</t>
        </is>
      </c>
      <c r="Y107" t="n">
        <v>0</v>
      </c>
      <c r="Z107" t="inlineStr"/>
      <c r="AA107" t="inlineStr">
        <is>
          <t>https://nvd.nist.gov/vuln/detail/CVE-2026-27035</t>
        </is>
      </c>
    </row>
    <row r="108">
      <c r="A108" t="inlineStr">
        <is>
          <t>CVE</t>
        </is>
      </c>
      <c r="B108" t="inlineStr">
        <is>
          <t>CVE-2026-27036</t>
        </is>
      </c>
      <c r="C108" t="inlineStr">
        <is>
          <t>Rejected reason: Not used</t>
        </is>
      </c>
      <c r="D108" t="n">
        <v>5</v>
      </c>
      <c r="E108" t="inlineStr">
        <is>
          <t>MEDIUM</t>
        </is>
      </c>
      <c r="F108" t="n">
        <v>2</v>
      </c>
      <c r="G108" t="n">
        <v>2</v>
      </c>
      <c r="H108" t="inlineStr">
        <is>
          <t>MEDIUM</t>
        </is>
      </c>
      <c r="I108" t="n">
        <v>9</v>
      </c>
      <c r="J108" t="inlineStr">
        <is>
          <t>NO</t>
        </is>
      </c>
      <c r="K108" t="inlineStr">
        <is>
          <t>2026-02-23 23:48</t>
        </is>
      </c>
      <c r="L108" t="inlineStr">
        <is>
          <t>CHECK_VENDOR</t>
        </is>
      </c>
      <c r="M108" t="inlineStr">
        <is>
          <t>See CVE details</t>
        </is>
      </c>
      <c r="N108" t="inlineStr">
        <is>
          <t>P4</t>
        </is>
      </c>
      <c r="O108" t="inlineStr">
        <is>
          <t>CVE - IP enrichment n/a</t>
        </is>
      </c>
      <c r="P108" t="n">
        <v>0</v>
      </c>
      <c r="Q108" t="n">
        <v>0</v>
      </c>
      <c r="R108" t="inlineStr">
        <is>
          <t>T1190:Exploit Public-Facing Application</t>
        </is>
      </c>
      <c r="S108" t="n">
        <v>1</v>
      </c>
      <c r="T108" t="inlineStr">
        <is>
          <t>LOW (40%)</t>
        </is>
      </c>
      <c r="U108" t="inlineStr">
        <is>
          <t>UNLIKELY</t>
        </is>
      </c>
      <c r="V108" t="inlineStr">
        <is>
          <t>CHECK_VENDOR</t>
        </is>
      </c>
      <c r="W108" t="inlineStr">
        <is>
          <t>https://nvd.nist.gov/vuln/detail/CVE-2026-27036</t>
        </is>
      </c>
      <c r="X108" t="inlineStr">
        <is>
          <t>NONE</t>
        </is>
      </c>
      <c r="Y108" t="n">
        <v>0</v>
      </c>
      <c r="Z108" t="inlineStr"/>
      <c r="AA108" t="inlineStr">
        <is>
          <t>https://nvd.nist.gov/vuln/detail/CVE-2026-27036</t>
        </is>
      </c>
    </row>
    <row r="109">
      <c r="A109" t="inlineStr">
        <is>
          <t>CVE</t>
        </is>
      </c>
      <c r="B109" t="inlineStr">
        <is>
          <t>CVE-2026-27037</t>
        </is>
      </c>
      <c r="C109" t="inlineStr">
        <is>
          <t>Rejected reason: Not used</t>
        </is>
      </c>
      <c r="D109" t="n">
        <v>5</v>
      </c>
      <c r="E109" t="inlineStr">
        <is>
          <t>MEDIUM</t>
        </is>
      </c>
      <c r="F109" t="n">
        <v>2</v>
      </c>
      <c r="G109" t="n">
        <v>2</v>
      </c>
      <c r="H109" t="inlineStr">
        <is>
          <t>MEDIUM</t>
        </is>
      </c>
      <c r="I109" t="n">
        <v>9</v>
      </c>
      <c r="J109" t="inlineStr">
        <is>
          <t>NO</t>
        </is>
      </c>
      <c r="K109" t="inlineStr">
        <is>
          <t>2026-02-23 23:48</t>
        </is>
      </c>
      <c r="L109" t="inlineStr">
        <is>
          <t>CHECK_VENDOR</t>
        </is>
      </c>
      <c r="M109" t="inlineStr">
        <is>
          <t>See CVE details</t>
        </is>
      </c>
      <c r="N109" t="inlineStr">
        <is>
          <t>P4</t>
        </is>
      </c>
      <c r="O109" t="inlineStr">
        <is>
          <t>CVE - IP enrichment n/a</t>
        </is>
      </c>
      <c r="P109" t="n">
        <v>0</v>
      </c>
      <c r="Q109" t="n">
        <v>0</v>
      </c>
      <c r="R109" t="inlineStr">
        <is>
          <t>T1190:Exploit Public-Facing Application</t>
        </is>
      </c>
      <c r="S109" t="n">
        <v>1</v>
      </c>
      <c r="T109" t="inlineStr">
        <is>
          <t>LOW (40%)</t>
        </is>
      </c>
      <c r="U109" t="inlineStr">
        <is>
          <t>UNLIKELY</t>
        </is>
      </c>
      <c r="V109" t="inlineStr">
        <is>
          <t>CHECK_VENDOR</t>
        </is>
      </c>
      <c r="W109" t="inlineStr">
        <is>
          <t>https://nvd.nist.gov/vuln/detail/CVE-2026-27037</t>
        </is>
      </c>
      <c r="X109" t="inlineStr">
        <is>
          <t>NONE</t>
        </is>
      </c>
      <c r="Y109" t="n">
        <v>0</v>
      </c>
      <c r="Z109" t="inlineStr"/>
      <c r="AA109" t="inlineStr">
        <is>
          <t>https://nvd.nist.gov/vuln/detail/CVE-2026-27037</t>
        </is>
      </c>
    </row>
    <row r="110">
      <c r="A110" t="inlineStr">
        <is>
          <t>CVE</t>
        </is>
      </c>
      <c r="B110" t="inlineStr">
        <is>
          <t>CVE-2026-27038</t>
        </is>
      </c>
      <c r="C110" t="inlineStr">
        <is>
          <t>Rejected reason: Not used</t>
        </is>
      </c>
      <c r="D110" t="n">
        <v>5</v>
      </c>
      <c r="E110" t="inlineStr">
        <is>
          <t>MEDIUM</t>
        </is>
      </c>
      <c r="F110" t="n">
        <v>2</v>
      </c>
      <c r="G110" t="n">
        <v>2</v>
      </c>
      <c r="H110" t="inlineStr">
        <is>
          <t>MEDIUM</t>
        </is>
      </c>
      <c r="I110" t="n">
        <v>9</v>
      </c>
      <c r="J110" t="inlineStr">
        <is>
          <t>NO</t>
        </is>
      </c>
      <c r="K110" t="inlineStr">
        <is>
          <t>2026-02-23 23:48</t>
        </is>
      </c>
      <c r="L110" t="inlineStr">
        <is>
          <t>CHECK_VENDOR</t>
        </is>
      </c>
      <c r="M110" t="inlineStr">
        <is>
          <t>See CVE details</t>
        </is>
      </c>
      <c r="N110" t="inlineStr">
        <is>
          <t>P4</t>
        </is>
      </c>
      <c r="O110" t="inlineStr">
        <is>
          <t>CVE - IP enrichment n/a</t>
        </is>
      </c>
      <c r="P110" t="n">
        <v>0</v>
      </c>
      <c r="Q110" t="n">
        <v>0</v>
      </c>
      <c r="R110" t="inlineStr">
        <is>
          <t>T1190:Exploit Public-Facing Application</t>
        </is>
      </c>
      <c r="S110" t="n">
        <v>1</v>
      </c>
      <c r="T110" t="inlineStr">
        <is>
          <t>LOW (40%)</t>
        </is>
      </c>
      <c r="U110" t="inlineStr">
        <is>
          <t>UNLIKELY</t>
        </is>
      </c>
      <c r="V110" t="inlineStr">
        <is>
          <t>CHECK_VENDOR</t>
        </is>
      </c>
      <c r="W110" t="inlineStr">
        <is>
          <t>https://nvd.nist.gov/vuln/detail/CVE-2026-27038</t>
        </is>
      </c>
      <c r="X110" t="inlineStr">
        <is>
          <t>NONE</t>
        </is>
      </c>
      <c r="Y110" t="n">
        <v>0</v>
      </c>
      <c r="Z110" t="inlineStr"/>
      <c r="AA110" t="inlineStr">
        <is>
          <t>https://nvd.nist.gov/vuln/detail/CVE-2026-27038</t>
        </is>
      </c>
    </row>
    <row r="111">
      <c r="A111" t="inlineStr">
        <is>
          <t>CVE</t>
        </is>
      </c>
      <c r="B111" t="inlineStr">
        <is>
          <t>CVE-2026-27171</t>
        </is>
      </c>
      <c r="C111" t="inlineStr">
        <is>
          <t>zlib before 1.3.2 allows CPU consumption via crc32_combine64 and crc32_combine_gen64 because x2nmodp can do right shifts within a loop that has no termination condition.</t>
        </is>
      </c>
      <c r="D111" t="n">
        <v>2.9</v>
      </c>
      <c r="E111" t="inlineStr">
        <is>
          <t>LOW</t>
        </is>
      </c>
      <c r="F111" t="n">
        <v>2</v>
      </c>
      <c r="G111" t="n">
        <v>1</v>
      </c>
      <c r="H111" t="inlineStr">
        <is>
          <t>LOW</t>
        </is>
      </c>
      <c r="I111" t="n">
        <v>4.9</v>
      </c>
      <c r="J111" t="inlineStr">
        <is>
          <t>NO</t>
        </is>
      </c>
      <c r="K111" t="inlineStr">
        <is>
          <t>2026-02-23 23:48</t>
        </is>
      </c>
      <c r="L111" t="inlineStr">
        <is>
          <t>CHECK_VENDOR</t>
        </is>
      </c>
      <c r="M111" t="inlineStr">
        <is>
          <t>zlib zlib *</t>
        </is>
      </c>
      <c r="N111" t="inlineStr">
        <is>
          <t>P4</t>
        </is>
      </c>
      <c r="O111" t="inlineStr">
        <is>
          <t>CVE - IP enrichment n/a</t>
        </is>
      </c>
      <c r="P111" t="n">
        <v>0</v>
      </c>
      <c r="Q111" t="n">
        <v>0</v>
      </c>
      <c r="R111" t="inlineStr">
        <is>
          <t>T1190:Exploit Public-Facing Application</t>
        </is>
      </c>
      <c r="S111" t="n">
        <v>1</v>
      </c>
      <c r="T111" t="inlineStr">
        <is>
          <t>LOW (40%)</t>
        </is>
      </c>
      <c r="U111" t="inlineStr">
        <is>
          <t>UNLIKELY</t>
        </is>
      </c>
      <c r="V111" t="inlineStr">
        <is>
          <t>CHECK_VENDOR</t>
        </is>
      </c>
      <c r="W111" t="inlineStr">
        <is>
          <t>https://nvd.nist.gov/vuln/detail/CVE-2026-27171</t>
        </is>
      </c>
      <c r="X111" t="inlineStr">
        <is>
          <t>NONE</t>
        </is>
      </c>
      <c r="Y111" t="n">
        <v>0</v>
      </c>
      <c r="Z111" t="inlineStr"/>
      <c r="AA111" t="inlineStr">
        <is>
          <t>https://nvd.nist.gov/vuln/detail/CVE-2026-27171</t>
        </is>
      </c>
    </row>
    <row r="112">
      <c r="A112" t="inlineStr">
        <is>
          <t>CVE</t>
        </is>
      </c>
      <c r="B112" t="inlineStr">
        <is>
          <t>CVE-2025-12037</t>
        </is>
      </c>
      <c r="C112" t="inlineStr">
        <is>
          <t>The WP 404 Auto Redirect to Similar Post plugin for WordPress is vulnerable to Stored Cross-Site Scripting via admin settings in all versions up to, and including, 1.0.5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t>
        </is>
      </c>
      <c r="D112" t="n">
        <v>4.4</v>
      </c>
      <c r="E112" t="inlineStr">
        <is>
          <t>MEDIUM</t>
        </is>
      </c>
      <c r="F112" t="n">
        <v>2</v>
      </c>
      <c r="G112" t="n">
        <v>2</v>
      </c>
      <c r="H112" t="inlineStr">
        <is>
          <t>MEDIUM</t>
        </is>
      </c>
      <c r="I112" t="n">
        <v>8.4</v>
      </c>
      <c r="J112" t="inlineStr">
        <is>
          <t>NO</t>
        </is>
      </c>
      <c r="K112" t="inlineStr">
        <is>
          <t>2026-02-23 23:48</t>
        </is>
      </c>
      <c r="L112" t="inlineStr">
        <is>
          <t>CHECK_VENDOR</t>
        </is>
      </c>
      <c r="M112" t="inlineStr">
        <is>
          <t>See CVE details</t>
        </is>
      </c>
      <c r="N112" t="inlineStr">
        <is>
          <t>P4</t>
        </is>
      </c>
      <c r="O112" t="inlineStr">
        <is>
          <t>CVE - IP enrichment n/a</t>
        </is>
      </c>
      <c r="P112" t="n">
        <v>0</v>
      </c>
      <c r="Q112" t="n">
        <v>0</v>
      </c>
      <c r="R112" t="inlineStr">
        <is>
          <t>T1189:Drive-by Compromise</t>
        </is>
      </c>
      <c r="S112" t="n">
        <v>1</v>
      </c>
      <c r="T112" t="inlineStr">
        <is>
          <t>LOW (40%)</t>
        </is>
      </c>
      <c r="U112" t="inlineStr">
        <is>
          <t>UNLIKELY</t>
        </is>
      </c>
      <c r="V112" t="inlineStr">
        <is>
          <t>CHECK_VENDOR</t>
        </is>
      </c>
      <c r="W112" t="inlineStr">
        <is>
          <t>https://nvd.nist.gov/vuln/detail/CVE-2025-12037</t>
        </is>
      </c>
      <c r="X112" t="inlineStr">
        <is>
          <t>NONE</t>
        </is>
      </c>
      <c r="Y112" t="n">
        <v>0</v>
      </c>
      <c r="Z112" t="inlineStr"/>
      <c r="AA112" t="inlineStr">
        <is>
          <t>https://nvd.nist.gov/vuln/detail/CVE-2025-12037</t>
        </is>
      </c>
    </row>
    <row r="113">
      <c r="A113" t="inlineStr">
        <is>
          <t>CVE</t>
        </is>
      </c>
      <c r="B113" t="inlineStr">
        <is>
          <t>CVE-2025-12071</t>
        </is>
      </c>
      <c r="C113" t="inlineStr">
        <is>
          <t>The Frontend User Notes plugin for WordPress is vulnerable to Insecure Direct Object Reference in all versions up to, and including, 2.1.0 via the 'funp_ajax_modify_notes' AJAX endpoint due to missing validation on a user controlled key. This makes it possible for authenticated attackers, with Subscriber-level access and above, to modify arbitrary notes that do not belong to them.</t>
        </is>
      </c>
      <c r="D113" t="n">
        <v>4.3</v>
      </c>
      <c r="E113" t="inlineStr">
        <is>
          <t>MEDIUM</t>
        </is>
      </c>
      <c r="F113" t="n">
        <v>2</v>
      </c>
      <c r="G113" t="n">
        <v>2</v>
      </c>
      <c r="H113" t="inlineStr">
        <is>
          <t>MEDIUM</t>
        </is>
      </c>
      <c r="I113" t="n">
        <v>8.300000000000001</v>
      </c>
      <c r="J113" t="inlineStr">
        <is>
          <t>NO</t>
        </is>
      </c>
      <c r="K113" t="inlineStr">
        <is>
          <t>2026-02-23 23:48</t>
        </is>
      </c>
      <c r="L113" t="inlineStr">
        <is>
          <t>CHECK_VENDOR</t>
        </is>
      </c>
      <c r="M113" t="inlineStr">
        <is>
          <t>See CVE details</t>
        </is>
      </c>
      <c r="N113" t="inlineStr">
        <is>
          <t>P4</t>
        </is>
      </c>
      <c r="O113" t="inlineStr">
        <is>
          <t>CVE - IP enrichment n/a</t>
        </is>
      </c>
      <c r="P113" t="n">
        <v>0.0003</v>
      </c>
      <c r="Q113" t="n">
        <v>0.0718</v>
      </c>
      <c r="R113" t="inlineStr">
        <is>
          <t>T1190:Exploit Public-Facing Application</t>
        </is>
      </c>
      <c r="S113" t="n">
        <v>1</v>
      </c>
      <c r="T113" t="inlineStr">
        <is>
          <t>LOW (40%)</t>
        </is>
      </c>
      <c r="U113" t="inlineStr">
        <is>
          <t>UNLIKELY</t>
        </is>
      </c>
      <c r="V113" t="inlineStr">
        <is>
          <t>CHECK_VENDOR</t>
        </is>
      </c>
      <c r="W113" t="inlineStr">
        <is>
          <t>https://nvd.nist.gov/vuln/detail/CVE-2025-12071</t>
        </is>
      </c>
      <c r="X113" t="inlineStr">
        <is>
          <t>NONE</t>
        </is>
      </c>
      <c r="Y113" t="n">
        <v>0</v>
      </c>
      <c r="Z113" t="inlineStr"/>
      <c r="AA113" t="inlineStr">
        <is>
          <t>https://nvd.nist.gov/vuln/detail/CVE-2025-12071</t>
        </is>
      </c>
    </row>
    <row r="114">
      <c r="A114" t="inlineStr">
        <is>
          <t>CVE</t>
        </is>
      </c>
      <c r="B114" t="inlineStr">
        <is>
          <t>CVE-2025-12074</t>
        </is>
      </c>
      <c r="C114" t="inlineStr">
        <is>
          <t>The Context Blog theme for WordPress is vulnerable to Information Exposure in all versions up to, and including, 1.2.5 via the 'context_blog_modal_popup' due to insufficient restrictions on which posts can be included. This makes it possible for unauthenticated attackers to extract data from password protected, private, or draft posts that they should not have access to.</t>
        </is>
      </c>
      <c r="D114" t="n">
        <v>5.3</v>
      </c>
      <c r="E114" t="inlineStr">
        <is>
          <t>MEDIUM</t>
        </is>
      </c>
      <c r="F114" t="n">
        <v>2</v>
      </c>
      <c r="G114" t="n">
        <v>2</v>
      </c>
      <c r="H114" t="inlineStr">
        <is>
          <t>MEDIUM</t>
        </is>
      </c>
      <c r="I114" t="n">
        <v>9.300000000000001</v>
      </c>
      <c r="J114" t="inlineStr">
        <is>
          <t>NO</t>
        </is>
      </c>
      <c r="K114" t="inlineStr">
        <is>
          <t>2026-02-23 23:48</t>
        </is>
      </c>
      <c r="L114" t="inlineStr">
        <is>
          <t>CHECK_VENDOR</t>
        </is>
      </c>
      <c r="M114" t="inlineStr">
        <is>
          <t>See CVE details</t>
        </is>
      </c>
      <c r="N114" t="inlineStr">
        <is>
          <t>P4</t>
        </is>
      </c>
      <c r="O114" t="inlineStr">
        <is>
          <t>CVE - IP enrichment n/a</t>
        </is>
      </c>
      <c r="P114" t="n">
        <v>0</v>
      </c>
      <c r="Q114" t="n">
        <v>0</v>
      </c>
      <c r="R114" t="inlineStr">
        <is>
          <t>T1213:Data from Information Repositories</t>
        </is>
      </c>
      <c r="S114" t="n">
        <v>1</v>
      </c>
      <c r="T114" t="inlineStr">
        <is>
          <t>LOW (40%)</t>
        </is>
      </c>
      <c r="U114" t="inlineStr">
        <is>
          <t>UNLIKELY</t>
        </is>
      </c>
      <c r="V114" t="inlineStr">
        <is>
          <t>CHECK_VENDOR</t>
        </is>
      </c>
      <c r="W114" t="inlineStr">
        <is>
          <t>https://nvd.nist.gov/vuln/detail/CVE-2025-12074</t>
        </is>
      </c>
      <c r="X114" t="inlineStr">
        <is>
          <t>NONE</t>
        </is>
      </c>
      <c r="Y114" t="n">
        <v>0</v>
      </c>
      <c r="Z114" t="inlineStr"/>
      <c r="AA114" t="inlineStr">
        <is>
          <t>https://nvd.nist.gov/vuln/detail/CVE-2025-12074</t>
        </is>
      </c>
    </row>
    <row r="115">
      <c r="A115" t="inlineStr">
        <is>
          <t>CVE</t>
        </is>
      </c>
      <c r="B115" t="inlineStr">
        <is>
          <t>CVE-2025-12075</t>
        </is>
      </c>
      <c r="C115" t="inlineStr">
        <is>
          <t>The Order Splitter for WooCommerce plugin for WordPress is vulnerable to unauthorized access of data due to a missing capability check on the 'wos_troubleshooting' AJAX endpoint in all versions up to, and including, 5.3.5. This makes it possible for authenticated attackers, with Subscriber-level access and above, to view information pertaining to other user's orders.</t>
        </is>
      </c>
      <c r="D115" t="n">
        <v>4.3</v>
      </c>
      <c r="E115" t="inlineStr">
        <is>
          <t>MEDIUM</t>
        </is>
      </c>
      <c r="F115" t="n">
        <v>2</v>
      </c>
      <c r="G115" t="n">
        <v>2</v>
      </c>
      <c r="H115" t="inlineStr">
        <is>
          <t>MEDIUM</t>
        </is>
      </c>
      <c r="I115" t="n">
        <v>8.300000000000001</v>
      </c>
      <c r="J115" t="inlineStr">
        <is>
          <t>NO</t>
        </is>
      </c>
      <c r="K115" t="inlineStr">
        <is>
          <t>2026-02-23 23:48</t>
        </is>
      </c>
      <c r="L115" t="inlineStr">
        <is>
          <t>CHECK_VENDOR</t>
        </is>
      </c>
      <c r="M115" t="inlineStr">
        <is>
          <t>See CVE details</t>
        </is>
      </c>
      <c r="N115" t="inlineStr">
        <is>
          <t>P4</t>
        </is>
      </c>
      <c r="O115" t="inlineStr">
        <is>
          <t>CVE - IP enrichment n/a</t>
        </is>
      </c>
      <c r="P115" t="n">
        <v>0</v>
      </c>
      <c r="Q115" t="n">
        <v>0</v>
      </c>
      <c r="R115" t="inlineStr">
        <is>
          <t>T1190:Exploit Public-Facing Application</t>
        </is>
      </c>
      <c r="S115" t="n">
        <v>1</v>
      </c>
      <c r="T115" t="inlineStr">
        <is>
          <t>LOW (40%)</t>
        </is>
      </c>
      <c r="U115" t="inlineStr">
        <is>
          <t>UNLIKELY</t>
        </is>
      </c>
      <c r="V115" t="inlineStr">
        <is>
          <t>CHECK_VENDOR</t>
        </is>
      </c>
      <c r="W115" t="inlineStr">
        <is>
          <t>https://nvd.nist.gov/vuln/detail/CVE-2025-12075</t>
        </is>
      </c>
      <c r="X115" t="inlineStr">
        <is>
          <t>NONE</t>
        </is>
      </c>
      <c r="Y115" t="n">
        <v>0</v>
      </c>
      <c r="Z115" t="inlineStr"/>
      <c r="AA115" t="inlineStr">
        <is>
          <t>https://nvd.nist.gov/vuln/detail/CVE-2025-12075</t>
        </is>
      </c>
    </row>
    <row r="116">
      <c r="A116" t="inlineStr">
        <is>
          <t>CVE</t>
        </is>
      </c>
      <c r="B116" t="inlineStr">
        <is>
          <t>CVE-2025-13959</t>
        </is>
      </c>
      <c r="C116" t="inlineStr">
        <is>
          <t>The Filestack plugin for WordPress is vulnerable to Stored Cross-Site Scripting via the plugin's 'filepicker' shortcode in all versions up to, and including, 2.0.8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116" t="n">
        <v>6.4</v>
      </c>
      <c r="E116" t="inlineStr">
        <is>
          <t>MEDIUM</t>
        </is>
      </c>
      <c r="F116" t="n">
        <v>2</v>
      </c>
      <c r="G116" t="n">
        <v>2</v>
      </c>
      <c r="H116" t="inlineStr">
        <is>
          <t>MEDIUM</t>
        </is>
      </c>
      <c r="I116" t="n">
        <v>10.4</v>
      </c>
      <c r="J116" t="inlineStr">
        <is>
          <t>NO</t>
        </is>
      </c>
      <c r="K116" t="inlineStr">
        <is>
          <t>2026-02-23 23:48</t>
        </is>
      </c>
      <c r="L116" t="inlineStr">
        <is>
          <t>CHECK_VENDOR</t>
        </is>
      </c>
      <c r="M116" t="inlineStr">
        <is>
          <t>See CVE details</t>
        </is>
      </c>
      <c r="N116" t="inlineStr">
        <is>
          <t>P4</t>
        </is>
      </c>
      <c r="O116" t="inlineStr">
        <is>
          <t>CVE - IP enrichment n/a</t>
        </is>
      </c>
      <c r="P116" t="n">
        <v>0</v>
      </c>
      <c r="Q116" t="n">
        <v>0</v>
      </c>
      <c r="R116" t="inlineStr">
        <is>
          <t>T1189:Drive-by Compromise</t>
        </is>
      </c>
      <c r="S116" t="n">
        <v>1</v>
      </c>
      <c r="T116" t="inlineStr">
        <is>
          <t>LOW (40%)</t>
        </is>
      </c>
      <c r="U116" t="inlineStr">
        <is>
          <t>UNLIKELY</t>
        </is>
      </c>
      <c r="V116" t="inlineStr">
        <is>
          <t>CHECK_VENDOR</t>
        </is>
      </c>
      <c r="W116" t="inlineStr">
        <is>
          <t>https://nvd.nist.gov/vuln/detail/CVE-2025-13959</t>
        </is>
      </c>
      <c r="X116" t="inlineStr">
        <is>
          <t>NONE</t>
        </is>
      </c>
      <c r="Y116" t="n">
        <v>0</v>
      </c>
      <c r="Z116" t="inlineStr"/>
      <c r="AA116" t="inlineStr">
        <is>
          <t>https://nvd.nist.gov/vuln/detail/CVE-2025-13959</t>
        </is>
      </c>
    </row>
    <row r="117">
      <c r="A117" t="inlineStr">
        <is>
          <t>CVE</t>
        </is>
      </c>
      <c r="B117" t="inlineStr">
        <is>
          <t>CVE-2025-6460</t>
        </is>
      </c>
      <c r="C117" t="inlineStr">
        <is>
          <t>The Display During Conditional Shortcode plugin for WordPress is vulnerable to Stored Cross-Site Scripting via the ‘message’ parameter in all versions up to, and including, 1.2 due to insufficient input sanitization and output escaping. This makes it possible for authenticated attackers, with Contributor-level access and above, to inject arbitrary web scripts in pages that will execute whenever a user accesses an injected page.</t>
        </is>
      </c>
      <c r="D117" t="n">
        <v>6.4</v>
      </c>
      <c r="E117" t="inlineStr">
        <is>
          <t>MEDIUM</t>
        </is>
      </c>
      <c r="F117" t="n">
        <v>2</v>
      </c>
      <c r="G117" t="n">
        <v>2</v>
      </c>
      <c r="H117" t="inlineStr">
        <is>
          <t>MEDIUM</t>
        </is>
      </c>
      <c r="I117" t="n">
        <v>10.4</v>
      </c>
      <c r="J117" t="inlineStr">
        <is>
          <t>NO</t>
        </is>
      </c>
      <c r="K117" t="inlineStr">
        <is>
          <t>2026-02-23 23:48</t>
        </is>
      </c>
      <c r="L117" t="inlineStr">
        <is>
          <t>CHECK_VENDOR</t>
        </is>
      </c>
      <c r="M117" t="inlineStr">
        <is>
          <t>See CVE details</t>
        </is>
      </c>
      <c r="N117" t="inlineStr">
        <is>
          <t>P4</t>
        </is>
      </c>
      <c r="O117" t="inlineStr">
        <is>
          <t>CVE - IP enrichment n/a</t>
        </is>
      </c>
      <c r="P117" t="n">
        <v>0</v>
      </c>
      <c r="Q117" t="n">
        <v>0</v>
      </c>
      <c r="R117" t="inlineStr">
        <is>
          <t>T1189:Drive-by Compromise</t>
        </is>
      </c>
      <c r="S117" t="n">
        <v>1</v>
      </c>
      <c r="T117" t="inlineStr">
        <is>
          <t>LOW (40%)</t>
        </is>
      </c>
      <c r="U117" t="inlineStr">
        <is>
          <t>UNLIKELY</t>
        </is>
      </c>
      <c r="V117" t="inlineStr">
        <is>
          <t>CHECK_VENDOR</t>
        </is>
      </c>
      <c r="W117" t="inlineStr">
        <is>
          <t>https://nvd.nist.gov/vuln/detail/CVE-2025-6460</t>
        </is>
      </c>
      <c r="X117" t="inlineStr">
        <is>
          <t>NONE</t>
        </is>
      </c>
      <c r="Y117" t="n">
        <v>0</v>
      </c>
      <c r="Z117" t="inlineStr"/>
      <c r="AA117" t="inlineStr">
        <is>
          <t>https://nvd.nist.gov/vuln/detail/CVE-2025-6460</t>
        </is>
      </c>
    </row>
    <row r="118">
      <c r="A118" t="inlineStr">
        <is>
          <t>CVE</t>
        </is>
      </c>
      <c r="B118" t="inlineStr">
        <is>
          <t>CVE-2026-1277</t>
        </is>
      </c>
      <c r="C118" t="inlineStr">
        <is>
          <t>The URL Shortify plugin for WordPress is vulnerable to Open Redirect in all versions up to, and including, 1.12.1 due to insufficient validation on the 'redirect_to' parameter in the promotional dismissal handler. This makes it possible for unauthenticated attackers to redirect users to potentially malicious sites via a crafted link.</t>
        </is>
      </c>
      <c r="D118" t="n">
        <v>4.7</v>
      </c>
      <c r="E118" t="inlineStr">
        <is>
          <t>MEDIUM</t>
        </is>
      </c>
      <c r="F118" t="n">
        <v>2</v>
      </c>
      <c r="G118" t="n">
        <v>2</v>
      </c>
      <c r="H118" t="inlineStr">
        <is>
          <t>MEDIUM</t>
        </is>
      </c>
      <c r="I118" t="n">
        <v>8.699999999999999</v>
      </c>
      <c r="J118" t="inlineStr">
        <is>
          <t>NO</t>
        </is>
      </c>
      <c r="K118" t="inlineStr">
        <is>
          <t>2026-02-23 23:48</t>
        </is>
      </c>
      <c r="L118" t="inlineStr">
        <is>
          <t>CHECK_VENDOR</t>
        </is>
      </c>
      <c r="M118" t="inlineStr">
        <is>
          <t>See CVE details</t>
        </is>
      </c>
      <c r="N118" t="inlineStr">
        <is>
          <t>P4</t>
        </is>
      </c>
      <c r="O118" t="inlineStr">
        <is>
          <t>CVE - IP enrichment n/a</t>
        </is>
      </c>
      <c r="P118" t="n">
        <v>0</v>
      </c>
      <c r="Q118" t="n">
        <v>0</v>
      </c>
      <c r="R118" t="inlineStr">
        <is>
          <t>T1189:Drive-by Compromise</t>
        </is>
      </c>
      <c r="S118" t="n">
        <v>1</v>
      </c>
      <c r="T118" t="inlineStr">
        <is>
          <t>LOW (40%)</t>
        </is>
      </c>
      <c r="U118" t="inlineStr">
        <is>
          <t>UNLIKELY</t>
        </is>
      </c>
      <c r="V118" t="inlineStr">
        <is>
          <t>CHECK_VENDOR</t>
        </is>
      </c>
      <c r="W118" t="inlineStr">
        <is>
          <t>https://nvd.nist.gov/vuln/detail/CVE-2026-1277</t>
        </is>
      </c>
      <c r="X118" t="inlineStr">
        <is>
          <t>NONE</t>
        </is>
      </c>
      <c r="Y118" t="n">
        <v>0</v>
      </c>
      <c r="Z118" t="inlineStr"/>
      <c r="AA118" t="inlineStr">
        <is>
          <t>https://nvd.nist.gov/vuln/detail/CVE-2026-1277</t>
        </is>
      </c>
    </row>
    <row r="119">
      <c r="A119" t="inlineStr">
        <is>
          <t>CVE</t>
        </is>
      </c>
      <c r="B119" t="inlineStr">
        <is>
          <t>CVE-2026-1296</t>
        </is>
      </c>
      <c r="C119" t="inlineStr">
        <is>
          <t>The Frontend Post Submission Manager Lite plugin for WordPress is vulnerable to Open Redirection in all versions up to, and including, 1.2.7 due to insufficient validation on the 'requested_page' POST parameter in the verify_username_password function. This makes it possible for unauthenticated attackers to redirect users to potentially malicious sites if they can successfully trick them into performing an action such as clicking on a link.</t>
        </is>
      </c>
      <c r="D119" t="n">
        <v>6.1</v>
      </c>
      <c r="E119" t="inlineStr">
        <is>
          <t>MEDIUM</t>
        </is>
      </c>
      <c r="F119" t="n">
        <v>2</v>
      </c>
      <c r="G119" t="n">
        <v>2</v>
      </c>
      <c r="H119" t="inlineStr">
        <is>
          <t>MEDIUM</t>
        </is>
      </c>
      <c r="I119" t="n">
        <v>10.1</v>
      </c>
      <c r="J119" t="inlineStr">
        <is>
          <t>NO</t>
        </is>
      </c>
      <c r="K119" t="inlineStr">
        <is>
          <t>2026-02-23 23:48</t>
        </is>
      </c>
      <c r="L119" t="inlineStr">
        <is>
          <t>CHECK_VENDOR</t>
        </is>
      </c>
      <c r="M119" t="inlineStr">
        <is>
          <t>See CVE details</t>
        </is>
      </c>
      <c r="N119" t="inlineStr">
        <is>
          <t>P4</t>
        </is>
      </c>
      <c r="O119" t="inlineStr">
        <is>
          <t>CVE - IP enrichment n/a</t>
        </is>
      </c>
      <c r="P119" t="n">
        <v>0</v>
      </c>
      <c r="Q119" t="n">
        <v>0</v>
      </c>
      <c r="R119" t="inlineStr">
        <is>
          <t>T1189:Drive-by Compromise</t>
        </is>
      </c>
      <c r="S119" t="n">
        <v>1</v>
      </c>
      <c r="T119" t="inlineStr">
        <is>
          <t>LOW (40%)</t>
        </is>
      </c>
      <c r="U119" t="inlineStr">
        <is>
          <t>UNLIKELY</t>
        </is>
      </c>
      <c r="V119" t="inlineStr">
        <is>
          <t>CHECK_VENDOR</t>
        </is>
      </c>
      <c r="W119" t="inlineStr">
        <is>
          <t>https://nvd.nist.gov/vuln/detail/CVE-2026-1296</t>
        </is>
      </c>
      <c r="X119" t="inlineStr">
        <is>
          <t>NONE</t>
        </is>
      </c>
      <c r="Y119" t="n">
        <v>0</v>
      </c>
      <c r="Z119" t="inlineStr"/>
      <c r="AA119" t="inlineStr">
        <is>
          <t>https://nvd.nist.gov/vuln/detail/CVE-2026-1296</t>
        </is>
      </c>
    </row>
    <row r="120">
      <c r="A120" t="inlineStr">
        <is>
          <t>CVE</t>
        </is>
      </c>
      <c r="B120" t="inlineStr">
        <is>
          <t>CVE-2026-1714</t>
        </is>
      </c>
      <c r="C120" t="inlineStr">
        <is>
          <t xml:space="preserve">The ShopLentor – WooCommerce Builder for Elementor &amp; Gutenberg +21 Modules – All in One Solution plugin for WordPress is vulnerable to Email Relay Abuse in all versions up to, and including, 3.3.2. This is due to the lack of validation on the 'send_to', 'product_title', 'wlmessage', and 'wlemail' parameters in the 'woolentor_suggest_price_action' AJAX endpoint. This makes it possible for unauthenticated attackers to send arbitrary emails to any recipient with full control over the subject line, </t>
        </is>
      </c>
      <c r="D120" t="n">
        <v>8.6</v>
      </c>
      <c r="E120" t="inlineStr">
        <is>
          <t>HIGH</t>
        </is>
      </c>
      <c r="F120" t="n">
        <v>2</v>
      </c>
      <c r="G120" t="n">
        <v>3</v>
      </c>
      <c r="H120" t="inlineStr">
        <is>
          <t>HIGH</t>
        </is>
      </c>
      <c r="I120" t="n">
        <v>14.6</v>
      </c>
      <c r="J120" t="inlineStr">
        <is>
          <t>NO</t>
        </is>
      </c>
      <c r="K120" t="inlineStr">
        <is>
          <t>2026-02-23 23:48</t>
        </is>
      </c>
      <c r="L120" t="inlineStr">
        <is>
          <t>CHECK_VENDOR</t>
        </is>
      </c>
      <c r="M120" t="inlineStr">
        <is>
          <t>See CVE details</t>
        </is>
      </c>
      <c r="N120" t="inlineStr">
        <is>
          <t>P3</t>
        </is>
      </c>
      <c r="O120" t="inlineStr">
        <is>
          <t>CVE - IP enrichment n/a</t>
        </is>
      </c>
      <c r="P120" t="n">
        <v>0</v>
      </c>
      <c r="Q120" t="n">
        <v>0</v>
      </c>
      <c r="R120" t="inlineStr">
        <is>
          <t>T1190:Exploit Public-Facing Application | T1566:Phishing</t>
        </is>
      </c>
      <c r="S120" t="n">
        <v>1</v>
      </c>
      <c r="T120" t="inlineStr">
        <is>
          <t>LOW (40%)</t>
        </is>
      </c>
      <c r="U120" t="inlineStr">
        <is>
          <t>UNLIKELY</t>
        </is>
      </c>
      <c r="V120" t="inlineStr">
        <is>
          <t>CHECK_VENDOR</t>
        </is>
      </c>
      <c r="W120" t="inlineStr">
        <is>
          <t>https://nvd.nist.gov/vuln/detail/CVE-2026-1714</t>
        </is>
      </c>
      <c r="X120" t="inlineStr">
        <is>
          <t>NONE</t>
        </is>
      </c>
      <c r="Y120" t="n">
        <v>0</v>
      </c>
      <c r="Z120" t="inlineStr"/>
      <c r="AA120" t="inlineStr">
        <is>
          <t>https://nvd.nist.gov/vuln/detail/CVE-2026-1714</t>
        </is>
      </c>
    </row>
    <row r="121">
      <c r="A121" t="inlineStr">
        <is>
          <t>CVE</t>
        </is>
      </c>
      <c r="B121" t="inlineStr">
        <is>
          <t>CVE-2026-1925</t>
        </is>
      </c>
      <c r="C121" t="inlineStr">
        <is>
          <t>The EmailKit – Email Customizer for WooCommerce &amp; WP plugin for WordPress is vulnerable to unauthorized data modification due to a missing capability check on the 'update_template_data' function in all versions up to, and including, 1.6.2. This makes it possible for authenticated attackers, with Subscriber-level access and above, to modify the title of any post on the site, including posts, pages, and custom post types.</t>
        </is>
      </c>
      <c r="D121" t="n">
        <v>4.3</v>
      </c>
      <c r="E121" t="inlineStr">
        <is>
          <t>MEDIUM</t>
        </is>
      </c>
      <c r="F121" t="n">
        <v>2</v>
      </c>
      <c r="G121" t="n">
        <v>2</v>
      </c>
      <c r="H121" t="inlineStr">
        <is>
          <t>MEDIUM</t>
        </is>
      </c>
      <c r="I121" t="n">
        <v>8.300000000000001</v>
      </c>
      <c r="J121" t="inlineStr">
        <is>
          <t>NO</t>
        </is>
      </c>
      <c r="K121" t="inlineStr">
        <is>
          <t>2026-02-23 23:48</t>
        </is>
      </c>
      <c r="L121" t="inlineStr">
        <is>
          <t>CHECK_VENDOR</t>
        </is>
      </c>
      <c r="M121" t="inlineStr">
        <is>
          <t>See CVE details</t>
        </is>
      </c>
      <c r="N121" t="inlineStr">
        <is>
          <t>P4</t>
        </is>
      </c>
      <c r="O121" t="inlineStr">
        <is>
          <t>CVE - IP enrichment n/a</t>
        </is>
      </c>
      <c r="P121" t="n">
        <v>0.0003</v>
      </c>
      <c r="Q121" t="n">
        <v>0.07240000000000001</v>
      </c>
      <c r="R121" t="inlineStr">
        <is>
          <t>T1190:Exploit Public-Facing Application</t>
        </is>
      </c>
      <c r="S121" t="n">
        <v>1</v>
      </c>
      <c r="T121" t="inlineStr">
        <is>
          <t>LOW (40%)</t>
        </is>
      </c>
      <c r="U121" t="inlineStr">
        <is>
          <t>UNLIKELY</t>
        </is>
      </c>
      <c r="V121" t="inlineStr">
        <is>
          <t>CHECK_VENDOR</t>
        </is>
      </c>
      <c r="W121" t="inlineStr">
        <is>
          <t>https://nvd.nist.gov/vuln/detail/CVE-2026-1925</t>
        </is>
      </c>
      <c r="X121" t="inlineStr">
        <is>
          <t>NONE</t>
        </is>
      </c>
      <c r="Y121" t="n">
        <v>0</v>
      </c>
      <c r="Z121" t="inlineStr"/>
      <c r="AA121" t="inlineStr">
        <is>
          <t>https://nvd.nist.gov/vuln/detail/CVE-2026-1925</t>
        </is>
      </c>
    </row>
    <row r="122">
      <c r="A122" t="inlineStr">
        <is>
          <t>CVE</t>
        </is>
      </c>
      <c r="B122" t="inlineStr">
        <is>
          <t>CVE-2026-1931</t>
        </is>
      </c>
      <c r="C122" t="inlineStr">
        <is>
          <t>The Rent Fetch plugin for WordPress is vulnerable to Stored Cross-Site Scripting via the 'keyword' parameter in all versions up to, and including, 0.32.4 due to insufficient input sanitization and output escaping on user supplied attributes. This makes it possible for unauthenticated attackers to inject arbitrary web scripts in pages that will execute whenever a user accesses an injected page.</t>
        </is>
      </c>
      <c r="D122" t="n">
        <v>7.2</v>
      </c>
      <c r="E122" t="inlineStr">
        <is>
          <t>HIGH</t>
        </is>
      </c>
      <c r="F122" t="n">
        <v>2</v>
      </c>
      <c r="G122" t="n">
        <v>3</v>
      </c>
      <c r="H122" t="inlineStr">
        <is>
          <t>HIGH</t>
        </is>
      </c>
      <c r="I122" t="n">
        <v>13.2</v>
      </c>
      <c r="J122" t="inlineStr">
        <is>
          <t>NO</t>
        </is>
      </c>
      <c r="K122" t="inlineStr">
        <is>
          <t>2026-02-23 23:48</t>
        </is>
      </c>
      <c r="L122" t="inlineStr">
        <is>
          <t>CHECK_VENDOR</t>
        </is>
      </c>
      <c r="M122" t="inlineStr">
        <is>
          <t>See CVE details</t>
        </is>
      </c>
      <c r="N122" t="inlineStr">
        <is>
          <t>P3</t>
        </is>
      </c>
      <c r="O122" t="inlineStr">
        <is>
          <t>CVE - IP enrichment n/a</t>
        </is>
      </c>
      <c r="P122" t="n">
        <v>0.0009</v>
      </c>
      <c r="Q122" t="n">
        <v>0.2619</v>
      </c>
      <c r="R122" t="inlineStr">
        <is>
          <t>T1189:Drive-by Compromise</t>
        </is>
      </c>
      <c r="S122" t="n">
        <v>1</v>
      </c>
      <c r="T122" t="inlineStr">
        <is>
          <t>LOW (40%)</t>
        </is>
      </c>
      <c r="U122" t="inlineStr">
        <is>
          <t>UNLIKELY</t>
        </is>
      </c>
      <c r="V122" t="inlineStr">
        <is>
          <t>CHECK_VENDOR</t>
        </is>
      </c>
      <c r="W122" t="inlineStr">
        <is>
          <t>https://nvd.nist.gov/vuln/detail/CVE-2026-1931</t>
        </is>
      </c>
      <c r="X122" t="inlineStr">
        <is>
          <t>NONE</t>
        </is>
      </c>
      <c r="Y122" t="n">
        <v>0</v>
      </c>
      <c r="Z122" t="inlineStr"/>
      <c r="AA122" t="inlineStr">
        <is>
          <t>https://nvd.nist.gov/vuln/detail/CVE-2026-1931</t>
        </is>
      </c>
    </row>
    <row r="123">
      <c r="A123" t="inlineStr">
        <is>
          <t>CVE</t>
        </is>
      </c>
      <c r="B123" t="inlineStr">
        <is>
          <t>CVE-2026-2576</t>
        </is>
      </c>
      <c r="C123" t="inlineStr">
        <is>
          <t>The Business Directory Plugin – Easy Listing Directories for WordPress plugin for WordPress is vulnerable to time-based SQL Injection via the 'payment' parameter in all versions up to, and including, 6.4.2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t>
        </is>
      </c>
      <c r="D123" t="n">
        <v>7.5</v>
      </c>
      <c r="E123" t="inlineStr">
        <is>
          <t>HIGH</t>
        </is>
      </c>
      <c r="F123" t="n">
        <v>2</v>
      </c>
      <c r="G123" t="n">
        <v>3</v>
      </c>
      <c r="H123" t="inlineStr">
        <is>
          <t>HIGH</t>
        </is>
      </c>
      <c r="I123" t="n">
        <v>13.5</v>
      </c>
      <c r="J123" t="inlineStr">
        <is>
          <t>NO</t>
        </is>
      </c>
      <c r="K123" t="inlineStr">
        <is>
          <t>2026-02-23 23:48</t>
        </is>
      </c>
      <c r="L123" t="inlineStr">
        <is>
          <t>CHECK_VENDOR</t>
        </is>
      </c>
      <c r="M123" t="inlineStr">
        <is>
          <t>See CVE details</t>
        </is>
      </c>
      <c r="N123" t="inlineStr">
        <is>
          <t>P3</t>
        </is>
      </c>
      <c r="O123" t="inlineStr">
        <is>
          <t>CVE - IP enrichment n/a</t>
        </is>
      </c>
      <c r="P123" t="n">
        <v>0</v>
      </c>
      <c r="Q123" t="n">
        <v>0</v>
      </c>
      <c r="R123" t="inlineStr">
        <is>
          <t>T1190:Exploit Public-Facing Application</t>
        </is>
      </c>
      <c r="S123" t="n">
        <v>1</v>
      </c>
      <c r="T123" t="inlineStr">
        <is>
          <t>LOW (40%)</t>
        </is>
      </c>
      <c r="U123" t="inlineStr">
        <is>
          <t>UNLIKELY</t>
        </is>
      </c>
      <c r="V123" t="inlineStr">
        <is>
          <t>CHECK_VENDOR</t>
        </is>
      </c>
      <c r="W123" t="inlineStr">
        <is>
          <t>https://nvd.nist.gov/vuln/detail/CVE-2026-2576</t>
        </is>
      </c>
      <c r="X123" t="inlineStr">
        <is>
          <t>NONE</t>
        </is>
      </c>
      <c r="Y123" t="n">
        <v>0</v>
      </c>
      <c r="Z123" t="inlineStr"/>
      <c r="AA123" t="inlineStr">
        <is>
          <t>https://nvd.nist.gov/vuln/detail/CVE-2026-2576</t>
        </is>
      </c>
    </row>
    <row r="124">
      <c r="A124" t="inlineStr">
        <is>
          <t>CVE</t>
        </is>
      </c>
      <c r="B124" t="inlineStr">
        <is>
          <t>CVE-2025-11737</t>
        </is>
      </c>
      <c r="C124" t="inlineStr">
        <is>
          <t>The VK All in One Expansion Unit plugin for WordPress is vulnerable to Stored Cross-Site Scripting via the 'vkExUnit_sns_title' parameter in all versions up to, and including, 9.112.3 due to insufficient input sanitization and output escaping. This makes it possible for authenticated attackers, with Contributor-level access and above, to inject arbitrary web scripts in pages that will execute whenever a user accesses an injected page.</t>
        </is>
      </c>
      <c r="D124" t="n">
        <v>6.4</v>
      </c>
      <c r="E124" t="inlineStr">
        <is>
          <t>MEDIUM</t>
        </is>
      </c>
      <c r="F124" t="n">
        <v>2</v>
      </c>
      <c r="G124" t="n">
        <v>2</v>
      </c>
      <c r="H124" t="inlineStr">
        <is>
          <t>MEDIUM</t>
        </is>
      </c>
      <c r="I124" t="n">
        <v>10.4</v>
      </c>
      <c r="J124" t="inlineStr">
        <is>
          <t>NO</t>
        </is>
      </c>
      <c r="K124" t="inlineStr">
        <is>
          <t>2026-02-23 23:48</t>
        </is>
      </c>
      <c r="L124" t="inlineStr">
        <is>
          <t>CHECK_VENDOR</t>
        </is>
      </c>
      <c r="M124" t="inlineStr">
        <is>
          <t>See CVE details</t>
        </is>
      </c>
      <c r="N124" t="inlineStr">
        <is>
          <t>P4</t>
        </is>
      </c>
      <c r="O124" t="inlineStr">
        <is>
          <t>CVE - IP enrichment n/a</t>
        </is>
      </c>
      <c r="P124" t="n">
        <v>0</v>
      </c>
      <c r="Q124" t="n">
        <v>0</v>
      </c>
      <c r="R124" t="inlineStr">
        <is>
          <t>T1189:Drive-by Compromise</t>
        </is>
      </c>
      <c r="S124" t="n">
        <v>1</v>
      </c>
      <c r="T124" t="inlineStr">
        <is>
          <t>LOW (40%)</t>
        </is>
      </c>
      <c r="U124" t="inlineStr">
        <is>
          <t>UNLIKELY</t>
        </is>
      </c>
      <c r="V124" t="inlineStr">
        <is>
          <t>CHECK_VENDOR</t>
        </is>
      </c>
      <c r="W124" t="inlineStr">
        <is>
          <t>https://nvd.nist.gov/vuln/detail/CVE-2025-11737</t>
        </is>
      </c>
      <c r="X124" t="inlineStr">
        <is>
          <t>NONE</t>
        </is>
      </c>
      <c r="Y124" t="n">
        <v>0</v>
      </c>
      <c r="Z124" t="inlineStr"/>
      <c r="AA124" t="inlineStr">
        <is>
          <t>https://nvd.nist.gov/vuln/detail/CVE-2025-11737</t>
        </is>
      </c>
    </row>
    <row r="125">
      <c r="A125" t="inlineStr">
        <is>
          <t>CVE</t>
        </is>
      </c>
      <c r="B125" t="inlineStr">
        <is>
          <t>CVE-2025-12122</t>
        </is>
      </c>
      <c r="C125" t="inlineStr">
        <is>
          <t>The Popup Box – Easily Create WordPress Popups plugin for WordPress is vulnerable to Stored Cross-Site Scripting via the plugin's 'iframeBox' shortcode in all versions up to, and including, 3.2.12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125" t="n">
        <v>6.4</v>
      </c>
      <c r="E125" t="inlineStr">
        <is>
          <t>MEDIUM</t>
        </is>
      </c>
      <c r="F125" t="n">
        <v>2</v>
      </c>
      <c r="G125" t="n">
        <v>2</v>
      </c>
      <c r="H125" t="inlineStr">
        <is>
          <t>MEDIUM</t>
        </is>
      </c>
      <c r="I125" t="n">
        <v>10.4</v>
      </c>
      <c r="J125" t="inlineStr">
        <is>
          <t>NO</t>
        </is>
      </c>
      <c r="K125" t="inlineStr">
        <is>
          <t>2026-02-23 23:48</t>
        </is>
      </c>
      <c r="L125" t="inlineStr">
        <is>
          <t>CHECK_VENDOR</t>
        </is>
      </c>
      <c r="M125" t="inlineStr">
        <is>
          <t>See CVE details</t>
        </is>
      </c>
      <c r="N125" t="inlineStr">
        <is>
          <t>P4</t>
        </is>
      </c>
      <c r="O125" t="inlineStr">
        <is>
          <t>CVE - IP enrichment n/a</t>
        </is>
      </c>
      <c r="P125" t="n">
        <v>0.0003</v>
      </c>
      <c r="Q125" t="n">
        <v>0.08119999999999999</v>
      </c>
      <c r="R125" t="inlineStr">
        <is>
          <t>T1059:Command and Scripting Interpreter | T1189:Drive-by Compromise</t>
        </is>
      </c>
      <c r="S125" t="n">
        <v>1</v>
      </c>
      <c r="T125" t="inlineStr">
        <is>
          <t>LOW (40%)</t>
        </is>
      </c>
      <c r="U125" t="inlineStr">
        <is>
          <t>UNLIKELY</t>
        </is>
      </c>
      <c r="V125" t="inlineStr">
        <is>
          <t>CHECK_VENDOR</t>
        </is>
      </c>
      <c r="W125" t="inlineStr">
        <is>
          <t>https://nvd.nist.gov/vuln/detail/CVE-2025-12122</t>
        </is>
      </c>
      <c r="X125" t="inlineStr">
        <is>
          <t>NONE</t>
        </is>
      </c>
      <c r="Y125" t="n">
        <v>0</v>
      </c>
      <c r="Z125" t="inlineStr"/>
      <c r="AA125" t="inlineStr">
        <is>
          <t>https://nvd.nist.gov/vuln/detail/CVE-2025-12122</t>
        </is>
      </c>
    </row>
    <row r="126">
      <c r="A126" t="inlineStr">
        <is>
          <t>CVE</t>
        </is>
      </c>
      <c r="B126" t="inlineStr">
        <is>
          <t>CVE-2025-12356</t>
        </is>
      </c>
      <c r="C126" t="inlineStr">
        <is>
          <t>The Tickera – Sell Tickets &amp; Manage Events plugin for WordPress is vulnerable to unauthorized modification of data due to a missing capability check on the 'wp_ajax_change_ticket_status' AJAX endpoint in all versions up to, and including, 3.5.6.4. This makes it possible for authenticated attackers, with Subscriber-level access and above, to update post/event statuses.</t>
        </is>
      </c>
      <c r="D126" t="n">
        <v>4.3</v>
      </c>
      <c r="E126" t="inlineStr">
        <is>
          <t>MEDIUM</t>
        </is>
      </c>
      <c r="F126" t="n">
        <v>2</v>
      </c>
      <c r="G126" t="n">
        <v>2</v>
      </c>
      <c r="H126" t="inlineStr">
        <is>
          <t>MEDIUM</t>
        </is>
      </c>
      <c r="I126" t="n">
        <v>8.300000000000001</v>
      </c>
      <c r="J126" t="inlineStr">
        <is>
          <t>NO</t>
        </is>
      </c>
      <c r="K126" t="inlineStr">
        <is>
          <t>2026-02-23 23:48</t>
        </is>
      </c>
      <c r="L126" t="inlineStr">
        <is>
          <t>CHECK_VENDOR</t>
        </is>
      </c>
      <c r="M126" t="inlineStr">
        <is>
          <t>See CVE details</t>
        </is>
      </c>
      <c r="N126" t="inlineStr">
        <is>
          <t>P4</t>
        </is>
      </c>
      <c r="O126" t="inlineStr">
        <is>
          <t>CVE - IP enrichment n/a</t>
        </is>
      </c>
      <c r="P126" t="n">
        <v>0</v>
      </c>
      <c r="Q126" t="n">
        <v>0</v>
      </c>
      <c r="R126" t="inlineStr">
        <is>
          <t>T1190:Exploit Public-Facing Application</t>
        </is>
      </c>
      <c r="S126" t="n">
        <v>1</v>
      </c>
      <c r="T126" t="inlineStr">
        <is>
          <t>LOW (40%)</t>
        </is>
      </c>
      <c r="U126" t="inlineStr">
        <is>
          <t>UNLIKELY</t>
        </is>
      </c>
      <c r="V126" t="inlineStr">
        <is>
          <t>CHECK_VENDOR</t>
        </is>
      </c>
      <c r="W126" t="inlineStr">
        <is>
          <t>https://nvd.nist.gov/vuln/detail/CVE-2025-12356</t>
        </is>
      </c>
      <c r="X126" t="inlineStr">
        <is>
          <t>NONE</t>
        </is>
      </c>
      <c r="Y126" t="n">
        <v>0</v>
      </c>
      <c r="Z126" t="inlineStr"/>
      <c r="AA126" t="inlineStr">
        <is>
          <t>https://nvd.nist.gov/vuln/detail/CVE-2025-12356</t>
        </is>
      </c>
    </row>
    <row r="127">
      <c r="A127" t="inlineStr">
        <is>
          <t>CVE</t>
        </is>
      </c>
      <c r="B127" t="inlineStr">
        <is>
          <t>CVE-2026-1072</t>
        </is>
      </c>
      <c r="C127" t="inlineStr">
        <is>
          <t>The Keybase.io Verification plugin for WordPress is vulnerable to Cross-Site Request Forgery in all versions up to, and including, 1.4.5. This is due to missing nonce validation when updating plugin settings. This makes it possible for unauthenticated attackers to update the Keybase verification text via a forged request granted they can trick a site administrator into performing an action such as clicking on a link.</t>
        </is>
      </c>
      <c r="D127" t="n">
        <v>4.3</v>
      </c>
      <c r="E127" t="inlineStr">
        <is>
          <t>MEDIUM</t>
        </is>
      </c>
      <c r="F127" t="n">
        <v>2</v>
      </c>
      <c r="G127" t="n">
        <v>2</v>
      </c>
      <c r="H127" t="inlineStr">
        <is>
          <t>MEDIUM</t>
        </is>
      </c>
      <c r="I127" t="n">
        <v>8.300000000000001</v>
      </c>
      <c r="J127" t="inlineStr">
        <is>
          <t>NO</t>
        </is>
      </c>
      <c r="K127" t="inlineStr">
        <is>
          <t>2026-02-23 23:48</t>
        </is>
      </c>
      <c r="L127" t="inlineStr">
        <is>
          <t>CHECK_VENDOR</t>
        </is>
      </c>
      <c r="M127" t="inlineStr">
        <is>
          <t>See CVE details</t>
        </is>
      </c>
      <c r="N127" t="inlineStr">
        <is>
          <t>P4</t>
        </is>
      </c>
      <c r="O127" t="inlineStr">
        <is>
          <t>CVE - IP enrichment n/a</t>
        </is>
      </c>
      <c r="P127" t="n">
        <v>0.0001</v>
      </c>
      <c r="Q127" t="n">
        <v>0.0175</v>
      </c>
      <c r="R127" t="inlineStr">
        <is>
          <t>T1185:Browser Session Hijacking</t>
        </is>
      </c>
      <c r="S127" t="n">
        <v>1</v>
      </c>
      <c r="T127" t="inlineStr">
        <is>
          <t>LOW (40%)</t>
        </is>
      </c>
      <c r="U127" t="inlineStr">
        <is>
          <t>UNLIKELY</t>
        </is>
      </c>
      <c r="V127" t="inlineStr">
        <is>
          <t>CHECK_VENDOR</t>
        </is>
      </c>
      <c r="W127" t="inlineStr">
        <is>
          <t>https://nvd.nist.gov/vuln/detail/CVE-2026-1072</t>
        </is>
      </c>
      <c r="X127" t="inlineStr">
        <is>
          <t>NONE</t>
        </is>
      </c>
      <c r="Y127" t="n">
        <v>0</v>
      </c>
      <c r="Z127" t="inlineStr"/>
      <c r="AA127" t="inlineStr">
        <is>
          <t>https://nvd.nist.gov/vuln/detail/CVE-2026-1072</t>
        </is>
      </c>
    </row>
    <row r="128">
      <c r="A128" t="inlineStr">
        <is>
          <t>CVE</t>
        </is>
      </c>
      <c r="B128" t="inlineStr">
        <is>
          <t>CVE-2026-1304</t>
        </is>
      </c>
      <c r="C128" t="inlineStr">
        <is>
          <t>The Membership Plugin – Restrict Content for WordPress is vulnerable to Stored Cross-Site Scripting via multiple invoice settings fields in all versions up to, and including, 3.2.18 due to insufficient input sanitization and output escaping. This makes it possible for authenticated attackers, with administrator-level access and above, to inject arbitrary web scripts in pages that will execute whenever a user accesses an injected page.</t>
        </is>
      </c>
      <c r="D128" t="n">
        <v>4.4</v>
      </c>
      <c r="E128" t="inlineStr">
        <is>
          <t>MEDIUM</t>
        </is>
      </c>
      <c r="F128" t="n">
        <v>2</v>
      </c>
      <c r="G128" t="n">
        <v>2</v>
      </c>
      <c r="H128" t="inlineStr">
        <is>
          <t>MEDIUM</t>
        </is>
      </c>
      <c r="I128" t="n">
        <v>8.4</v>
      </c>
      <c r="J128" t="inlineStr">
        <is>
          <t>NO</t>
        </is>
      </c>
      <c r="K128" t="inlineStr">
        <is>
          <t>2026-02-23 23:48</t>
        </is>
      </c>
      <c r="L128" t="inlineStr">
        <is>
          <t>CHECK_VENDOR</t>
        </is>
      </c>
      <c r="M128" t="inlineStr">
        <is>
          <t>See CVE details</t>
        </is>
      </c>
      <c r="N128" t="inlineStr">
        <is>
          <t>P4</t>
        </is>
      </c>
      <c r="O128" t="inlineStr">
        <is>
          <t>CVE - IP enrichment n/a</t>
        </is>
      </c>
      <c r="P128" t="n">
        <v>0</v>
      </c>
      <c r="Q128" t="n">
        <v>0</v>
      </c>
      <c r="R128" t="inlineStr">
        <is>
          <t>T1189:Drive-by Compromise</t>
        </is>
      </c>
      <c r="S128" t="n">
        <v>1</v>
      </c>
      <c r="T128" t="inlineStr">
        <is>
          <t>LOW (40%)</t>
        </is>
      </c>
      <c r="U128" t="inlineStr">
        <is>
          <t>UNLIKELY</t>
        </is>
      </c>
      <c r="V128" t="inlineStr">
        <is>
          <t>CHECK_VENDOR</t>
        </is>
      </c>
      <c r="W128" t="inlineStr">
        <is>
          <t>https://nvd.nist.gov/vuln/detail/CVE-2026-1304</t>
        </is>
      </c>
      <c r="X128" t="inlineStr">
        <is>
          <t>NONE</t>
        </is>
      </c>
      <c r="Y128" t="n">
        <v>0</v>
      </c>
      <c r="Z128" t="inlineStr"/>
      <c r="AA128" t="inlineStr">
        <is>
          <t>https://nvd.nist.gov/vuln/detail/CVE-2026-1304</t>
        </is>
      </c>
    </row>
    <row r="129">
      <c r="A129" t="inlineStr">
        <is>
          <t>CVE</t>
        </is>
      </c>
      <c r="B129" t="inlineStr">
        <is>
          <t>CVE-2026-1368</t>
        </is>
      </c>
      <c r="C129" t="inlineStr">
        <is>
          <t>The Video Conferencing with Zoom WordPress plugin before 4.6.6 contains an AJAX handler that has its nonce verification commented out, allowing unauthenticated attackers to generate valid Zoom SDK signatures for any meeting ID and retrieve the site's Zoom SDK key.</t>
        </is>
      </c>
      <c r="D129" t="n">
        <v>7.5</v>
      </c>
      <c r="E129" t="inlineStr">
        <is>
          <t>HIGH</t>
        </is>
      </c>
      <c r="F129" t="n">
        <v>2</v>
      </c>
      <c r="G129" t="n">
        <v>3</v>
      </c>
      <c r="H129" t="inlineStr">
        <is>
          <t>HIGH</t>
        </is>
      </c>
      <c r="I129" t="n">
        <v>13.5</v>
      </c>
      <c r="J129" t="inlineStr">
        <is>
          <t>NO</t>
        </is>
      </c>
      <c r="K129" t="inlineStr">
        <is>
          <t>2026-02-23 23:48</t>
        </is>
      </c>
      <c r="L129" t="inlineStr">
        <is>
          <t>CHECK_VENDOR</t>
        </is>
      </c>
      <c r="M129" t="inlineStr">
        <is>
          <t>See CVE details</t>
        </is>
      </c>
      <c r="N129" t="inlineStr">
        <is>
          <t>P3</t>
        </is>
      </c>
      <c r="O129" t="inlineStr">
        <is>
          <t>CVE - IP enrichment n/a</t>
        </is>
      </c>
      <c r="P129" t="n">
        <v>0</v>
      </c>
      <c r="Q129" t="n">
        <v>0</v>
      </c>
      <c r="R129" t="inlineStr">
        <is>
          <t>T1078:Valid Accounts | T1110:Brute Force</t>
        </is>
      </c>
      <c r="S129" t="n">
        <v>1</v>
      </c>
      <c r="T129" t="inlineStr">
        <is>
          <t>LOW (40%)</t>
        </is>
      </c>
      <c r="U129" t="inlineStr">
        <is>
          <t>UNLIKELY</t>
        </is>
      </c>
      <c r="V129" t="inlineStr">
        <is>
          <t>CHECK_VENDOR</t>
        </is>
      </c>
      <c r="W129" t="inlineStr">
        <is>
          <t>https://nvd.nist.gov/vuln/detail/CVE-2026-1368</t>
        </is>
      </c>
      <c r="X129" t="inlineStr">
        <is>
          <t>NONE</t>
        </is>
      </c>
      <c r="Y129" t="n">
        <v>0</v>
      </c>
      <c r="Z129" t="inlineStr"/>
      <c r="AA129" t="inlineStr">
        <is>
          <t>https://nvd.nist.gov/vuln/detail/CVE-2026-1368</t>
        </is>
      </c>
    </row>
    <row r="130">
      <c r="A130" t="inlineStr">
        <is>
          <t>CVE</t>
        </is>
      </c>
      <c r="B130" t="inlineStr">
        <is>
          <t>CVE-2026-1639</t>
        </is>
      </c>
      <c r="C130" t="inlineStr">
        <is>
          <t>The Taskbuilder – WordPress Project Management &amp; Task Management plugin for WordPress is vulnerable to time-based blind SQL Injection via the 'order' and 'sort_by' parameters in all versions up to, and including, 5.0.2 due to insufficient escaping on the user supplied parameter and lack of sufficient preparation on the existing SQL query. This makes it possible for authenticated attackers, with subscriber-level access and above, to append additional SQL queries into already existing queries that</t>
        </is>
      </c>
      <c r="D130" t="n">
        <v>6.5</v>
      </c>
      <c r="E130" t="inlineStr">
        <is>
          <t>MEDIUM</t>
        </is>
      </c>
      <c r="F130" t="n">
        <v>2</v>
      </c>
      <c r="G130" t="n">
        <v>2</v>
      </c>
      <c r="H130" t="inlineStr">
        <is>
          <t>MEDIUM</t>
        </is>
      </c>
      <c r="I130" t="n">
        <v>10.5</v>
      </c>
      <c r="J130" t="inlineStr">
        <is>
          <t>NO</t>
        </is>
      </c>
      <c r="K130" t="inlineStr">
        <is>
          <t>2026-02-23 23:48</t>
        </is>
      </c>
      <c r="L130" t="inlineStr">
        <is>
          <t>CHECK_VENDOR</t>
        </is>
      </c>
      <c r="M130" t="inlineStr">
        <is>
          <t>See CVE details</t>
        </is>
      </c>
      <c r="N130" t="inlineStr">
        <is>
          <t>P4</t>
        </is>
      </c>
      <c r="O130" t="inlineStr">
        <is>
          <t>CVE - IP enrichment n/a</t>
        </is>
      </c>
      <c r="P130" t="n">
        <v>0</v>
      </c>
      <c r="Q130" t="n">
        <v>0</v>
      </c>
      <c r="R130" t="inlineStr">
        <is>
          <t>T1190:Exploit Public-Facing Application</t>
        </is>
      </c>
      <c r="S130" t="n">
        <v>1</v>
      </c>
      <c r="T130" t="inlineStr">
        <is>
          <t>LOW (40%)</t>
        </is>
      </c>
      <c r="U130" t="inlineStr">
        <is>
          <t>UNLIKELY</t>
        </is>
      </c>
      <c r="V130" t="inlineStr">
        <is>
          <t>CHECK_VENDOR</t>
        </is>
      </c>
      <c r="W130" t="inlineStr">
        <is>
          <t>https://nvd.nist.gov/vuln/detail/CVE-2026-1639</t>
        </is>
      </c>
      <c r="X130" t="inlineStr">
        <is>
          <t>NONE</t>
        </is>
      </c>
      <c r="Y130" t="n">
        <v>0</v>
      </c>
      <c r="Z130" t="inlineStr"/>
      <c r="AA130" t="inlineStr">
        <is>
          <t>https://nvd.nist.gov/vuln/detail/CVE-2026-1639</t>
        </is>
      </c>
    </row>
    <row r="131">
      <c r="A131" t="inlineStr">
        <is>
          <t>CVE</t>
        </is>
      </c>
      <c r="B131" t="inlineStr">
        <is>
          <t>CVE-2026-1906</t>
        </is>
      </c>
      <c r="C131" t="inlineStr">
        <is>
          <t>The PDF Invoices &amp; Packing Slips for WooCommerce plugin for WordPress is vulnerable to Insecure Direct Object Reference in all versions up to, and including, 5.6.0 via the `wpo_ips_edi_save_order_customer_peppol_identifiers` AJAX action due to missing capability checks and order ownership validation. This makes it possible for authenticated attackers, with Subscriber-level access and above, to modify Peppol/EDI endpoint identifiers (`peppol_endpoint_id`, `peppol_endpoint_eas`) for any customer b</t>
        </is>
      </c>
      <c r="D131" t="n">
        <v>4.3</v>
      </c>
      <c r="E131" t="inlineStr">
        <is>
          <t>MEDIUM</t>
        </is>
      </c>
      <c r="F131" t="n">
        <v>2</v>
      </c>
      <c r="G131" t="n">
        <v>2</v>
      </c>
      <c r="H131" t="inlineStr">
        <is>
          <t>MEDIUM</t>
        </is>
      </c>
      <c r="I131" t="n">
        <v>8.300000000000001</v>
      </c>
      <c r="J131" t="inlineStr">
        <is>
          <t>NO</t>
        </is>
      </c>
      <c r="K131" t="inlineStr">
        <is>
          <t>2026-02-23 23:48</t>
        </is>
      </c>
      <c r="L131" t="inlineStr">
        <is>
          <t>CHECK_VENDOR</t>
        </is>
      </c>
      <c r="M131" t="inlineStr">
        <is>
          <t>See CVE details</t>
        </is>
      </c>
      <c r="N131" t="inlineStr">
        <is>
          <t>P4</t>
        </is>
      </c>
      <c r="O131" t="inlineStr">
        <is>
          <t>CVE - IP enrichment n/a</t>
        </is>
      </c>
      <c r="P131" t="n">
        <v>0.0003</v>
      </c>
      <c r="Q131" t="n">
        <v>0.07240000000000001</v>
      </c>
      <c r="R131" t="inlineStr">
        <is>
          <t>T1190:Exploit Public-Facing Application</t>
        </is>
      </c>
      <c r="S131" t="n">
        <v>1</v>
      </c>
      <c r="T131" t="inlineStr">
        <is>
          <t>LOW (40%)</t>
        </is>
      </c>
      <c r="U131" t="inlineStr">
        <is>
          <t>UNLIKELY</t>
        </is>
      </c>
      <c r="V131" t="inlineStr">
        <is>
          <t>CHECK_VENDOR</t>
        </is>
      </c>
      <c r="W131" t="inlineStr">
        <is>
          <t>https://nvd.nist.gov/vuln/detail/CVE-2026-1906</t>
        </is>
      </c>
      <c r="X131" t="inlineStr">
        <is>
          <t>NONE</t>
        </is>
      </c>
      <c r="Y131" t="n">
        <v>0</v>
      </c>
      <c r="Z131" t="inlineStr"/>
      <c r="AA131" t="inlineStr">
        <is>
          <t>https://nvd.nist.gov/vuln/detail/CVE-2026-1906</t>
        </is>
      </c>
    </row>
    <row r="132">
      <c r="A132" t="inlineStr">
        <is>
          <t>CVE</t>
        </is>
      </c>
      <c r="B132" t="inlineStr">
        <is>
          <t>CVE-2026-2023</t>
        </is>
      </c>
      <c r="C132" t="inlineStr">
        <is>
          <t>The WP Plugin Info Card plugin for WordPress is vulnerable to Cross-Site Request Forgery in all versions up to, and including, 6.2.0. This is due to missing nonce validation in the ajax_save_custom_plugin() function, which is disabled by prefixing the check with 'false &amp;&amp;'. This makes it possible for unauthenticated attackers to create or modify custom plugin entries via a forged request granted they can trick a site administrator into performing an action such as clicking on a link.</t>
        </is>
      </c>
      <c r="D132" t="n">
        <v>4.3</v>
      </c>
      <c r="E132" t="inlineStr">
        <is>
          <t>MEDIUM</t>
        </is>
      </c>
      <c r="F132" t="n">
        <v>2</v>
      </c>
      <c r="G132" t="n">
        <v>2</v>
      </c>
      <c r="H132" t="inlineStr">
        <is>
          <t>MEDIUM</t>
        </is>
      </c>
      <c r="I132" t="n">
        <v>8.300000000000001</v>
      </c>
      <c r="J132" t="inlineStr">
        <is>
          <t>NO</t>
        </is>
      </c>
      <c r="K132" t="inlineStr">
        <is>
          <t>2026-02-23 23:48</t>
        </is>
      </c>
      <c r="L132" t="inlineStr">
        <is>
          <t>CHECK_VENDOR</t>
        </is>
      </c>
      <c r="M132" t="inlineStr">
        <is>
          <t>See CVE details</t>
        </is>
      </c>
      <c r="N132" t="inlineStr">
        <is>
          <t>P4</t>
        </is>
      </c>
      <c r="O132" t="inlineStr">
        <is>
          <t>CVE - IP enrichment n/a</t>
        </is>
      </c>
      <c r="P132" t="n">
        <v>0.0001</v>
      </c>
      <c r="Q132" t="n">
        <v>0.0205</v>
      </c>
      <c r="R132" t="inlineStr">
        <is>
          <t>T1185:Browser Session Hijacking</t>
        </is>
      </c>
      <c r="S132" t="n">
        <v>1</v>
      </c>
      <c r="T132" t="inlineStr">
        <is>
          <t>LOW (40%)</t>
        </is>
      </c>
      <c r="U132" t="inlineStr">
        <is>
          <t>UNLIKELY</t>
        </is>
      </c>
      <c r="V132" t="inlineStr">
        <is>
          <t>CHECK_VENDOR</t>
        </is>
      </c>
      <c r="W132" t="inlineStr">
        <is>
          <t>https://nvd.nist.gov/vuln/detail/CVE-2026-2023</t>
        </is>
      </c>
      <c r="X132" t="inlineStr">
        <is>
          <t>NONE</t>
        </is>
      </c>
      <c r="Y132" t="n">
        <v>0</v>
      </c>
      <c r="Z132" t="inlineStr"/>
      <c r="AA132" t="inlineStr">
        <is>
          <t>https://nvd.nist.gov/vuln/detail/CVE-2026-2023</t>
        </is>
      </c>
    </row>
    <row r="133">
      <c r="A133" t="inlineStr">
        <is>
          <t>CVE</t>
        </is>
      </c>
      <c r="B133" t="inlineStr">
        <is>
          <t>CVE-2026-2641</t>
        </is>
      </c>
      <c r="C133" t="inlineStr">
        <is>
          <t>A weakness has been identified in universal-ctags ctags up to 6.2.1. The affected element is the function parseExpression/parseExprList of the file parsers/v.c of the component V Language Parser. Executing a manipulation can lead to uncontrolled recursion. It is possible to launch the attack on the local host. The exploit has been made available to the public and could be used for attacks. The project was informed of the problem early through an issue report but has not responded yet.</t>
        </is>
      </c>
      <c r="D133" t="n">
        <v>3.3</v>
      </c>
      <c r="E133" t="inlineStr">
        <is>
          <t>LOW</t>
        </is>
      </c>
      <c r="F133" t="n">
        <v>2</v>
      </c>
      <c r="G133" t="n">
        <v>1</v>
      </c>
      <c r="H133" t="inlineStr">
        <is>
          <t>LOW</t>
        </is>
      </c>
      <c r="I133" t="n">
        <v>5.3</v>
      </c>
      <c r="J133" t="inlineStr">
        <is>
          <t>NO</t>
        </is>
      </c>
      <c r="K133" t="inlineStr">
        <is>
          <t>2026-02-23 23:48</t>
        </is>
      </c>
      <c r="L133" t="inlineStr">
        <is>
          <t>CHECK_VENDOR</t>
        </is>
      </c>
      <c r="M133" t="inlineStr">
        <is>
          <t>See CVE details</t>
        </is>
      </c>
      <c r="N133" t="inlineStr">
        <is>
          <t>P1</t>
        </is>
      </c>
      <c r="O133" t="inlineStr">
        <is>
          <t>CVE - IP enrichment n/a</t>
        </is>
      </c>
      <c r="P133" t="n">
        <v>0.0001</v>
      </c>
      <c r="Q133" t="n">
        <v>0.0199</v>
      </c>
      <c r="R133" t="inlineStr">
        <is>
          <t>T1190:Exploit Public-Facing Application</t>
        </is>
      </c>
      <c r="S133" t="n">
        <v>2</v>
      </c>
      <c r="T133" t="inlineStr">
        <is>
          <t>HIGH (72%)</t>
        </is>
      </c>
      <c r="U133" t="inlineStr">
        <is>
          <t>HIGH</t>
        </is>
      </c>
      <c r="V133" t="inlineStr">
        <is>
          <t>CHECK_VENDOR</t>
        </is>
      </c>
      <c r="W133" t="inlineStr">
        <is>
          <t>https://nvd.nist.gov/vuln/detail/CVE-2026-2641</t>
        </is>
      </c>
      <c r="X133" t="inlineStr">
        <is>
          <t>http://www.zerodayinitiative.com/advisories/ZDI-26-123/</t>
        </is>
      </c>
      <c r="Y133" t="n">
        <v>0</v>
      </c>
      <c r="Z133" t="inlineStr"/>
      <c r="AA133" t="inlineStr">
        <is>
          <t>https://nvd.nist.gov/vuln/detail/CVE-2026-2641</t>
        </is>
      </c>
    </row>
    <row r="134">
      <c r="A134" t="inlineStr">
        <is>
          <t>CVE</t>
        </is>
      </c>
      <c r="B134" t="inlineStr">
        <is>
          <t>CVE-2026-1640</t>
        </is>
      </c>
      <c r="C134" t="inlineStr">
        <is>
          <t>The Taskbuilder – WordPress Project Management &amp; Task Management plugin for WordPress is vulnerable to authorization bypass in all versions up to, and including, 5.0.2. This is due to missing authorization checks on the project and task comment submission functions (AJAX actions: wppm_submit_proj_comment and wppm_submit_task_comment). This makes it possible for authenticated attackers, with subscriber-level access and above, to create comments on any project or task (including private projects t</t>
        </is>
      </c>
      <c r="D134" t="n">
        <v>4.3</v>
      </c>
      <c r="E134" t="inlineStr">
        <is>
          <t>MEDIUM</t>
        </is>
      </c>
      <c r="F134" t="n">
        <v>2</v>
      </c>
      <c r="G134" t="n">
        <v>2</v>
      </c>
      <c r="H134" t="inlineStr">
        <is>
          <t>MEDIUM</t>
        </is>
      </c>
      <c r="I134" t="n">
        <v>8.300000000000001</v>
      </c>
      <c r="J134" t="inlineStr">
        <is>
          <t>NO</t>
        </is>
      </c>
      <c r="K134" t="inlineStr">
        <is>
          <t>2026-02-23 23:48</t>
        </is>
      </c>
      <c r="L134" t="inlineStr">
        <is>
          <t>CHECK_VENDOR</t>
        </is>
      </c>
      <c r="M134" t="inlineStr">
        <is>
          <t>See CVE details</t>
        </is>
      </c>
      <c r="N134" t="inlineStr">
        <is>
          <t>P4</t>
        </is>
      </c>
      <c r="O134" t="inlineStr">
        <is>
          <t>CVE - IP enrichment n/a</t>
        </is>
      </c>
      <c r="P134" t="n">
        <v>0</v>
      </c>
      <c r="Q134" t="n">
        <v>0</v>
      </c>
      <c r="R134" t="inlineStr">
        <is>
          <t>T1190:Exploit Public-Facing Application</t>
        </is>
      </c>
      <c r="S134" t="n">
        <v>1</v>
      </c>
      <c r="T134" t="inlineStr">
        <is>
          <t>LOW (40%)</t>
        </is>
      </c>
      <c r="U134" t="inlineStr">
        <is>
          <t>UNLIKELY</t>
        </is>
      </c>
      <c r="V134" t="inlineStr">
        <is>
          <t>CHECK_VENDOR</t>
        </is>
      </c>
      <c r="W134" t="inlineStr">
        <is>
          <t>https://nvd.nist.gov/vuln/detail/CVE-2026-1640</t>
        </is>
      </c>
      <c r="X134" t="inlineStr">
        <is>
          <t>NONE</t>
        </is>
      </c>
      <c r="Y134" t="n">
        <v>0</v>
      </c>
      <c r="Z134" t="inlineStr"/>
      <c r="AA134" t="inlineStr">
        <is>
          <t>https://nvd.nist.gov/vuln/detail/CVE-2026-1640</t>
        </is>
      </c>
    </row>
    <row r="135">
      <c r="A135" t="inlineStr">
        <is>
          <t>CVE</t>
        </is>
      </c>
      <c r="B135" t="inlineStr">
        <is>
          <t>CVE-2026-1666</t>
        </is>
      </c>
      <c r="C135" t="inlineStr">
        <is>
          <t>The Download Manager plugin for WordPress is vulnerable to Reflected Cross-Site Scripting via the 'redirect_to' parameter in all versions up to, and including, 3.3.46. This is due to insufficient input sanitization and output escaping on the 'redirect_to' GET parameter in the login form shortcode. This makes it possible for unauthenticated attackers to inject arbitrary web scripts in pages that execute if they can successfully trick a user into performing an action such as clicking on a link.</t>
        </is>
      </c>
      <c r="D135" t="n">
        <v>6.1</v>
      </c>
      <c r="E135" t="inlineStr">
        <is>
          <t>MEDIUM</t>
        </is>
      </c>
      <c r="F135" t="n">
        <v>2</v>
      </c>
      <c r="G135" t="n">
        <v>2</v>
      </c>
      <c r="H135" t="inlineStr">
        <is>
          <t>MEDIUM</t>
        </is>
      </c>
      <c r="I135" t="n">
        <v>10.1</v>
      </c>
      <c r="J135" t="inlineStr">
        <is>
          <t>NO</t>
        </is>
      </c>
      <c r="K135" t="inlineStr">
        <is>
          <t>2026-02-23 23:48</t>
        </is>
      </c>
      <c r="L135" t="inlineStr">
        <is>
          <t>CHECK_VENDOR</t>
        </is>
      </c>
      <c r="M135" t="inlineStr">
        <is>
          <t>See CVE details</t>
        </is>
      </c>
      <c r="N135" t="inlineStr">
        <is>
          <t>P4</t>
        </is>
      </c>
      <c r="O135" t="inlineStr">
        <is>
          <t>CVE - IP enrichment n/a</t>
        </is>
      </c>
      <c r="P135" t="n">
        <v>0.0009</v>
      </c>
      <c r="Q135" t="n">
        <v>0.2619</v>
      </c>
      <c r="R135" t="inlineStr">
        <is>
          <t>T1189:Drive-by Compromise</t>
        </is>
      </c>
      <c r="S135" t="n">
        <v>1</v>
      </c>
      <c r="T135" t="inlineStr">
        <is>
          <t>LOW (40%)</t>
        </is>
      </c>
      <c r="U135" t="inlineStr">
        <is>
          <t>UNLIKELY</t>
        </is>
      </c>
      <c r="V135" t="inlineStr">
        <is>
          <t>CHECK_VENDOR</t>
        </is>
      </c>
      <c r="W135" t="inlineStr">
        <is>
          <t>https://nvd.nist.gov/vuln/detail/CVE-2026-1666</t>
        </is>
      </c>
      <c r="X135" t="inlineStr">
        <is>
          <t>NONE</t>
        </is>
      </c>
      <c r="Y135" t="n">
        <v>0</v>
      </c>
      <c r="Z135" t="inlineStr"/>
      <c r="AA135" t="inlineStr">
        <is>
          <t>https://nvd.nist.gov/vuln/detail/CVE-2026-1666</t>
        </is>
      </c>
    </row>
    <row r="136">
      <c r="A136" t="inlineStr">
        <is>
          <t>CVE</t>
        </is>
      </c>
      <c r="B136" t="inlineStr">
        <is>
          <t>CVE-2026-1807</t>
        </is>
      </c>
      <c r="C136" t="inlineStr">
        <is>
          <t>The InteractiveCalculator for WordPress plugin for WordPress is vulnerable to Stored Cross-Site Scripting via the plugin's 'interactivecalculator' shortcode in all versions up to, and including, 1.0.3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136" t="n">
        <v>6.4</v>
      </c>
      <c r="E136" t="inlineStr">
        <is>
          <t>MEDIUM</t>
        </is>
      </c>
      <c r="F136" t="n">
        <v>2</v>
      </c>
      <c r="G136" t="n">
        <v>2</v>
      </c>
      <c r="H136" t="inlineStr">
        <is>
          <t>MEDIUM</t>
        </is>
      </c>
      <c r="I136" t="n">
        <v>10.4</v>
      </c>
      <c r="J136" t="inlineStr">
        <is>
          <t>NO</t>
        </is>
      </c>
      <c r="K136" t="inlineStr">
        <is>
          <t>2026-02-23 23:48</t>
        </is>
      </c>
      <c r="L136" t="inlineStr">
        <is>
          <t>CHECK_VENDOR</t>
        </is>
      </c>
      <c r="M136" t="inlineStr">
        <is>
          <t>See CVE details</t>
        </is>
      </c>
      <c r="N136" t="inlineStr">
        <is>
          <t>P4</t>
        </is>
      </c>
      <c r="O136" t="inlineStr">
        <is>
          <t>CVE - IP enrichment n/a</t>
        </is>
      </c>
      <c r="P136" t="n">
        <v>0</v>
      </c>
      <c r="Q136" t="n">
        <v>0</v>
      </c>
      <c r="R136" t="inlineStr">
        <is>
          <t>T1189:Drive-by Compromise</t>
        </is>
      </c>
      <c r="S136" t="n">
        <v>1</v>
      </c>
      <c r="T136" t="inlineStr">
        <is>
          <t>LOW (40%)</t>
        </is>
      </c>
      <c r="U136" t="inlineStr">
        <is>
          <t>UNLIKELY</t>
        </is>
      </c>
      <c r="V136" t="inlineStr">
        <is>
          <t>CHECK_VENDOR</t>
        </is>
      </c>
      <c r="W136" t="inlineStr">
        <is>
          <t>https://nvd.nist.gov/vuln/detail/CVE-2026-1807</t>
        </is>
      </c>
      <c r="X136" t="inlineStr">
        <is>
          <t>NONE</t>
        </is>
      </c>
      <c r="Y136" t="n">
        <v>0</v>
      </c>
      <c r="Z136" t="inlineStr"/>
      <c r="AA136" t="inlineStr">
        <is>
          <t>https://nvd.nist.gov/vuln/detail/CVE-2026-1807</t>
        </is>
      </c>
    </row>
    <row r="137">
      <c r="A137" t="inlineStr">
        <is>
          <t>CVE</t>
        </is>
      </c>
      <c r="B137" t="inlineStr">
        <is>
          <t>CVE-2026-1857</t>
        </is>
      </c>
      <c r="C137" t="inlineStr">
        <is>
          <t>The Gutenberg Blocks with AI by Kadence WP plugin for WordPress is vulnerable to Server-Side Request Forgery in all versions up to, and including, 3.6.1. This is due to insufficient validation of the `endpoint` parameter in the `get_items()` function of the GetResponse REST API handler. The endpoint's permission check only requires `edit_posts` capability (Contributor role) rather than `manage_options` (Administrator). This makes it possible for authenticated attackers, with Contributor-level ac</t>
        </is>
      </c>
      <c r="D137" t="n">
        <v>4.3</v>
      </c>
      <c r="E137" t="inlineStr">
        <is>
          <t>MEDIUM</t>
        </is>
      </c>
      <c r="F137" t="n">
        <v>2</v>
      </c>
      <c r="G137" t="n">
        <v>2</v>
      </c>
      <c r="H137" t="inlineStr">
        <is>
          <t>MEDIUM</t>
        </is>
      </c>
      <c r="I137" t="n">
        <v>8.300000000000001</v>
      </c>
      <c r="J137" t="inlineStr">
        <is>
          <t>NO</t>
        </is>
      </c>
      <c r="K137" t="inlineStr">
        <is>
          <t>2026-02-23 23:48</t>
        </is>
      </c>
      <c r="L137" t="inlineStr">
        <is>
          <t>CHECK_VENDOR</t>
        </is>
      </c>
      <c r="M137" t="inlineStr">
        <is>
          <t>See CVE details</t>
        </is>
      </c>
      <c r="N137" t="inlineStr">
        <is>
          <t>P4</t>
        </is>
      </c>
      <c r="O137" t="inlineStr">
        <is>
          <t>CVE - IP enrichment n/a</t>
        </is>
      </c>
      <c r="P137" t="n">
        <v>0</v>
      </c>
      <c r="Q137" t="n">
        <v>0</v>
      </c>
      <c r="R137" t="inlineStr">
        <is>
          <t>T1090:Proxy | T1552:Unsecured Credentials</t>
        </is>
      </c>
      <c r="S137" t="n">
        <v>1</v>
      </c>
      <c r="T137" t="inlineStr">
        <is>
          <t>LOW (40%)</t>
        </is>
      </c>
      <c r="U137" t="inlineStr">
        <is>
          <t>UNLIKELY</t>
        </is>
      </c>
      <c r="V137" t="inlineStr">
        <is>
          <t>CHECK_VENDOR</t>
        </is>
      </c>
      <c r="W137" t="inlineStr">
        <is>
          <t>https://nvd.nist.gov/vuln/detail/CVE-2026-1857</t>
        </is>
      </c>
      <c r="X137" t="inlineStr">
        <is>
          <t>NONE</t>
        </is>
      </c>
      <c r="Y137" t="n">
        <v>0</v>
      </c>
      <c r="Z137" t="inlineStr"/>
      <c r="AA137" t="inlineStr">
        <is>
          <t>https://nvd.nist.gov/vuln/detail/CVE-2026-1857</t>
        </is>
      </c>
    </row>
    <row r="138">
      <c r="A138" t="inlineStr">
        <is>
          <t>CVE</t>
        </is>
      </c>
      <c r="B138" t="inlineStr">
        <is>
          <t>CVE-2026-1937</t>
        </is>
      </c>
      <c r="C138" t="inlineStr">
        <is>
          <t>The YayMail – WooCommerce Email Customizer plugin for WordPress is vulnerable to unauthorized modification of data that can lead to privilege escalation due to a missing capability check on the `yaymail_import_state` AJAX action in all versions up to, and including, 4.3.2. This makes it possible for authenticated attackers, with Shop Manager-level access and above, to update arbitrary options on the WordPress site. This can be leveraged to update the default role for registration to administrato</t>
        </is>
      </c>
      <c r="D138" t="n">
        <v>9.800000000000001</v>
      </c>
      <c r="E138" t="inlineStr">
        <is>
          <t>CRITICAL</t>
        </is>
      </c>
      <c r="F138" t="n">
        <v>2</v>
      </c>
      <c r="G138" t="n">
        <v>3</v>
      </c>
      <c r="H138" t="inlineStr">
        <is>
          <t>HIGH</t>
        </is>
      </c>
      <c r="I138" t="n">
        <v>15.8</v>
      </c>
      <c r="J138" t="inlineStr">
        <is>
          <t>NO</t>
        </is>
      </c>
      <c r="K138" t="inlineStr">
        <is>
          <t>2026-02-23 23:48</t>
        </is>
      </c>
      <c r="L138" t="inlineStr">
        <is>
          <t>CHECK_VENDOR</t>
        </is>
      </c>
      <c r="M138" t="inlineStr">
        <is>
          <t>See CVE details</t>
        </is>
      </c>
      <c r="N138" t="inlineStr">
        <is>
          <t>P3</t>
        </is>
      </c>
      <c r="O138" t="inlineStr">
        <is>
          <t>CVE - IP enrichment n/a</t>
        </is>
      </c>
      <c r="P138" t="n">
        <v>0</v>
      </c>
      <c r="Q138" t="n">
        <v>0</v>
      </c>
      <c r="R138" t="inlineStr">
        <is>
          <t>T1190:Exploit Public-Facing Application | T1068:Exploitation for Privilege Escalation</t>
        </is>
      </c>
      <c r="S138" t="n">
        <v>1</v>
      </c>
      <c r="T138" t="inlineStr">
        <is>
          <t>LOW (40%)</t>
        </is>
      </c>
      <c r="U138" t="inlineStr">
        <is>
          <t>UNLIKELY</t>
        </is>
      </c>
      <c r="V138" t="inlineStr">
        <is>
          <t>CHECK_VENDOR</t>
        </is>
      </c>
      <c r="W138" t="inlineStr">
        <is>
          <t>https://nvd.nist.gov/vuln/detail/CVE-2026-1937</t>
        </is>
      </c>
      <c r="X138" t="inlineStr">
        <is>
          <t>NONE</t>
        </is>
      </c>
      <c r="Y138" t="n">
        <v>0</v>
      </c>
      <c r="Z138" t="inlineStr"/>
      <c r="AA138" t="inlineStr">
        <is>
          <t>https://nvd.nist.gov/vuln/detail/CVE-2026-1937</t>
        </is>
      </c>
    </row>
    <row r="139">
      <c r="A139" t="inlineStr">
        <is>
          <t>CVE</t>
        </is>
      </c>
      <c r="B139" t="inlineStr">
        <is>
          <t>CVE-2026-2019</t>
        </is>
      </c>
      <c r="C139" t="inlineStr">
        <is>
          <t>The Cart All In One For WooCommerce plugin for WordPress is vulnerable to Code Injection in all versions up to, and including, 1.1.21. This is due to insufficient input validation on the 'Assign page' field which is passed directly to the eval() function. This makes it possible for authenticated attackers, with Administrator-level access and above, to execute arbitrary PHP code on the server.</t>
        </is>
      </c>
      <c r="D139" t="n">
        <v>7.2</v>
      </c>
      <c r="E139" t="inlineStr">
        <is>
          <t>HIGH</t>
        </is>
      </c>
      <c r="F139" t="n">
        <v>2</v>
      </c>
      <c r="G139" t="n">
        <v>3</v>
      </c>
      <c r="H139" t="inlineStr">
        <is>
          <t>HIGH</t>
        </is>
      </c>
      <c r="I139" t="n">
        <v>13.2</v>
      </c>
      <c r="J139" t="inlineStr">
        <is>
          <t>NO</t>
        </is>
      </c>
      <c r="K139" t="inlineStr">
        <is>
          <t>2026-02-23 23:48</t>
        </is>
      </c>
      <c r="L139" t="inlineStr">
        <is>
          <t>CHECK_VENDOR</t>
        </is>
      </c>
      <c r="M139" t="inlineStr">
        <is>
          <t>See CVE details</t>
        </is>
      </c>
      <c r="N139" t="inlineStr">
        <is>
          <t>P3</t>
        </is>
      </c>
      <c r="O139" t="inlineStr">
        <is>
          <t>CVE - IP enrichment n/a</t>
        </is>
      </c>
      <c r="P139" t="n">
        <v>0</v>
      </c>
      <c r="Q139" t="n">
        <v>0</v>
      </c>
      <c r="R139" t="inlineStr">
        <is>
          <t>T1190:Exploit Public-Facing Application</t>
        </is>
      </c>
      <c r="S139" t="n">
        <v>1</v>
      </c>
      <c r="T139" t="inlineStr">
        <is>
          <t>LOW (40%)</t>
        </is>
      </c>
      <c r="U139" t="inlineStr">
        <is>
          <t>UNLIKELY</t>
        </is>
      </c>
      <c r="V139" t="inlineStr">
        <is>
          <t>CHECK_VENDOR</t>
        </is>
      </c>
      <c r="W139" t="inlineStr">
        <is>
          <t>https://nvd.nist.gov/vuln/detail/CVE-2026-2019</t>
        </is>
      </c>
      <c r="X139" t="inlineStr">
        <is>
          <t>NONE</t>
        </is>
      </c>
      <c r="Y139" t="n">
        <v>0</v>
      </c>
      <c r="Z139" t="inlineStr"/>
      <c r="AA139" t="inlineStr">
        <is>
          <t>https://nvd.nist.gov/vuln/detail/CVE-2026-2019</t>
        </is>
      </c>
    </row>
    <row r="140">
      <c r="A140" t="inlineStr">
        <is>
          <t>CVE</t>
        </is>
      </c>
      <c r="B140" t="inlineStr">
        <is>
          <t>CVE-2026-2281</t>
        </is>
      </c>
      <c r="C140" t="inlineStr">
        <is>
          <t>The Private Comment plugin for WordPress is vulnerable to Stored Cross-Site Scripting via the 'Label text' setting in all versions up to, and including, 0.0.4. This is due to insufficient input sanitization and output escaping on the plugin's label text option. This makes it possible for authenticated attackers, with Administrator-level access and above, to inject arbitrary web scripts in pages that will execute whenever a user accesses an injected page. This only affects multi-site installation</t>
        </is>
      </c>
      <c r="D140" t="n">
        <v>4.4</v>
      </c>
      <c r="E140" t="inlineStr">
        <is>
          <t>MEDIUM</t>
        </is>
      </c>
      <c r="F140" t="n">
        <v>2</v>
      </c>
      <c r="G140" t="n">
        <v>2</v>
      </c>
      <c r="H140" t="inlineStr">
        <is>
          <t>MEDIUM</t>
        </is>
      </c>
      <c r="I140" t="n">
        <v>8.4</v>
      </c>
      <c r="J140" t="inlineStr">
        <is>
          <t>NO</t>
        </is>
      </c>
      <c r="K140" t="inlineStr">
        <is>
          <t>2026-02-23 23:48</t>
        </is>
      </c>
      <c r="L140" t="inlineStr">
        <is>
          <t>CHECK_VENDOR</t>
        </is>
      </c>
      <c r="M140" t="inlineStr">
        <is>
          <t>See CVE details</t>
        </is>
      </c>
      <c r="N140" t="inlineStr">
        <is>
          <t>P4</t>
        </is>
      </c>
      <c r="O140" t="inlineStr">
        <is>
          <t>CVE - IP enrichment n/a</t>
        </is>
      </c>
      <c r="P140" t="n">
        <v>0.0003</v>
      </c>
      <c r="Q140" t="n">
        <v>0.0776</v>
      </c>
      <c r="R140" t="inlineStr">
        <is>
          <t>T1189:Drive-by Compromise</t>
        </is>
      </c>
      <c r="S140" t="n">
        <v>1</v>
      </c>
      <c r="T140" t="inlineStr">
        <is>
          <t>LOW (40%)</t>
        </is>
      </c>
      <c r="U140" t="inlineStr">
        <is>
          <t>UNLIKELY</t>
        </is>
      </c>
      <c r="V140" t="inlineStr">
        <is>
          <t>CHECK_VENDOR</t>
        </is>
      </c>
      <c r="W140" t="inlineStr">
        <is>
          <t>https://nvd.nist.gov/vuln/detail/CVE-2026-2281</t>
        </is>
      </c>
      <c r="X140" t="inlineStr">
        <is>
          <t>NONE</t>
        </is>
      </c>
      <c r="Y140" t="n">
        <v>0</v>
      </c>
      <c r="Z140" t="inlineStr"/>
      <c r="AA140" t="inlineStr">
        <is>
          <t>https://nvd.nist.gov/vuln/detail/CVE-2026-2281</t>
        </is>
      </c>
    </row>
    <row r="141">
      <c r="A141" t="inlineStr">
        <is>
          <t>CVE</t>
        </is>
      </c>
      <c r="B141" t="inlineStr">
        <is>
          <t>CVE-2026-2296</t>
        </is>
      </c>
      <c r="C141" t="inlineStr">
        <is>
          <t>The Product Addons for Woocommerce – Product Options with Custom Fields plugin for WordPress is vulnerable to Code Injection in all versions up to, and including, 3.1.0. This is due to insufficient input validation of the 'operator' field in conditional logic rules within the evalConditions() function, which passes unsanitized user input directly to PHP's eval() function. This makes it possible for authenticated attackers, with Shop Manager-level access and above, to inject and execute arbitrary</t>
        </is>
      </c>
      <c r="D141" t="n">
        <v>7.2</v>
      </c>
      <c r="E141" t="inlineStr">
        <is>
          <t>HIGH</t>
        </is>
      </c>
      <c r="F141" t="n">
        <v>2</v>
      </c>
      <c r="G141" t="n">
        <v>3</v>
      </c>
      <c r="H141" t="inlineStr">
        <is>
          <t>HIGH</t>
        </is>
      </c>
      <c r="I141" t="n">
        <v>13.2</v>
      </c>
      <c r="J141" t="inlineStr">
        <is>
          <t>NO</t>
        </is>
      </c>
      <c r="K141" t="inlineStr">
        <is>
          <t>2026-02-23 23:48</t>
        </is>
      </c>
      <c r="L141" t="inlineStr">
        <is>
          <t>CHECK_VENDOR</t>
        </is>
      </c>
      <c r="M141" t="inlineStr">
        <is>
          <t>See CVE details</t>
        </is>
      </c>
      <c r="N141" t="inlineStr">
        <is>
          <t>P3</t>
        </is>
      </c>
      <c r="O141" t="inlineStr">
        <is>
          <t>CVE - IP enrichment n/a</t>
        </is>
      </c>
      <c r="P141" t="n">
        <v>0</v>
      </c>
      <c r="Q141" t="n">
        <v>0</v>
      </c>
      <c r="R141" t="inlineStr">
        <is>
          <t>T1059:Command and Scripting Interpreter | T1190:Exploit Public-Facing Application</t>
        </is>
      </c>
      <c r="S141" t="n">
        <v>1</v>
      </c>
      <c r="T141" t="inlineStr">
        <is>
          <t>LOW (40%)</t>
        </is>
      </c>
      <c r="U141" t="inlineStr">
        <is>
          <t>UNLIKELY</t>
        </is>
      </c>
      <c r="V141" t="inlineStr">
        <is>
          <t>CHECK_VENDOR</t>
        </is>
      </c>
      <c r="W141" t="inlineStr">
        <is>
          <t>https://nvd.nist.gov/vuln/detail/CVE-2026-2296</t>
        </is>
      </c>
      <c r="X141" t="inlineStr">
        <is>
          <t>NONE</t>
        </is>
      </c>
      <c r="Y141" t="n">
        <v>0</v>
      </c>
      <c r="Z141" t="inlineStr"/>
      <c r="AA141" t="inlineStr">
        <is>
          <t>https://nvd.nist.gov/vuln/detail/CVE-2026-2296</t>
        </is>
      </c>
    </row>
    <row r="142">
      <c r="A142" t="inlineStr">
        <is>
          <t>CVE</t>
        </is>
      </c>
      <c r="B142" t="inlineStr">
        <is>
          <t>CVE-2026-2633</t>
        </is>
      </c>
      <c r="C142" t="inlineStr">
        <is>
          <t>The Gutenberg Blocks with AI by Kadence WP plugin for WordPress is vulnerable to Missing Authorization in all versions up to, and including, 3.6.1. This is due to a missing capability check in the `process_image_data_ajax_callback()` function which handles the `kadence_import_process_image_data` AJAX action. The function's authorization check via `verify_ajax_call()` only validates `edit_posts` capability but fails to check for the `upload_files` capability. This makes it possible for authentica</t>
        </is>
      </c>
      <c r="D142" t="n">
        <v>4.3</v>
      </c>
      <c r="E142" t="inlineStr">
        <is>
          <t>MEDIUM</t>
        </is>
      </c>
      <c r="F142" t="n">
        <v>2</v>
      </c>
      <c r="G142" t="n">
        <v>2</v>
      </c>
      <c r="H142" t="inlineStr">
        <is>
          <t>MEDIUM</t>
        </is>
      </c>
      <c r="I142" t="n">
        <v>8.300000000000001</v>
      </c>
      <c r="J142" t="inlineStr">
        <is>
          <t>NO</t>
        </is>
      </c>
      <c r="K142" t="inlineStr">
        <is>
          <t>2026-02-23 23:48</t>
        </is>
      </c>
      <c r="L142" t="inlineStr">
        <is>
          <t>CHECK_VENDOR</t>
        </is>
      </c>
      <c r="M142" t="inlineStr">
        <is>
          <t>See CVE details</t>
        </is>
      </c>
      <c r="N142" t="inlineStr">
        <is>
          <t>P4</t>
        </is>
      </c>
      <c r="O142" t="inlineStr">
        <is>
          <t>CVE - IP enrichment n/a</t>
        </is>
      </c>
      <c r="P142" t="n">
        <v>0.0003</v>
      </c>
      <c r="Q142" t="n">
        <v>0.07240000000000001</v>
      </c>
      <c r="R142" t="inlineStr">
        <is>
          <t>T1190:Exploit Public-Facing Application</t>
        </is>
      </c>
      <c r="S142" t="n">
        <v>1</v>
      </c>
      <c r="T142" t="inlineStr">
        <is>
          <t>LOW (40%)</t>
        </is>
      </c>
      <c r="U142" t="inlineStr">
        <is>
          <t>UNLIKELY</t>
        </is>
      </c>
      <c r="V142" t="inlineStr">
        <is>
          <t>CHECK_VENDOR</t>
        </is>
      </c>
      <c r="W142" t="inlineStr">
        <is>
          <t>https://nvd.nist.gov/vuln/detail/CVE-2026-2633</t>
        </is>
      </c>
      <c r="X142" t="inlineStr">
        <is>
          <t>NONE</t>
        </is>
      </c>
      <c r="Y142" t="n">
        <v>0</v>
      </c>
      <c r="Z142" t="inlineStr"/>
      <c r="AA142" t="inlineStr">
        <is>
          <t>https://nvd.nist.gov/vuln/detail/CVE-2026-2633</t>
        </is>
      </c>
    </row>
    <row r="143">
      <c r="A143" t="inlineStr">
        <is>
          <t>CVE</t>
        </is>
      </c>
      <c r="B143" t="inlineStr">
        <is>
          <t>CVE-2026-2642</t>
        </is>
      </c>
      <c r="C143" t="inlineStr">
        <is>
          <t>A security vulnerability has been detected in ggreer the_silver_searcher up to 2.2.0. The impacted element is the function search_stream of the file src/search.c. The manipulation leads to null pointer dereference. Local access is required to approach this attack. The exploit has been disclosed publicly and may be used. The project was informed of the problem early through an issue report but has not responded yet.</t>
        </is>
      </c>
      <c r="D143" t="n">
        <v>3.3</v>
      </c>
      <c r="E143" t="inlineStr">
        <is>
          <t>LOW</t>
        </is>
      </c>
      <c r="F143" t="n">
        <v>2</v>
      </c>
      <c r="G143" t="n">
        <v>1</v>
      </c>
      <c r="H143" t="inlineStr">
        <is>
          <t>LOW</t>
        </is>
      </c>
      <c r="I143" t="n">
        <v>5.3</v>
      </c>
      <c r="J143" t="inlineStr">
        <is>
          <t>NO</t>
        </is>
      </c>
      <c r="K143" t="inlineStr">
        <is>
          <t>2026-02-23 23:48</t>
        </is>
      </c>
      <c r="L143" t="inlineStr">
        <is>
          <t>CHECK_VENDOR</t>
        </is>
      </c>
      <c r="M143" t="inlineStr">
        <is>
          <t>See CVE details</t>
        </is>
      </c>
      <c r="N143" t="inlineStr">
        <is>
          <t>P4</t>
        </is>
      </c>
      <c r="O143" t="inlineStr">
        <is>
          <t>CVE - IP enrichment n/a</t>
        </is>
      </c>
      <c r="P143" t="n">
        <v>0.0001</v>
      </c>
      <c r="Q143" t="n">
        <v>0.0024</v>
      </c>
      <c r="R143" t="inlineStr">
        <is>
          <t>T1190:Exploit Public-Facing Application</t>
        </is>
      </c>
      <c r="S143" t="n">
        <v>1</v>
      </c>
      <c r="T143" t="inlineStr">
        <is>
          <t>LOW (40%)</t>
        </is>
      </c>
      <c r="U143" t="inlineStr">
        <is>
          <t>UNLIKELY</t>
        </is>
      </c>
      <c r="V143" t="inlineStr">
        <is>
          <t>CHECK_VENDOR</t>
        </is>
      </c>
      <c r="W143" t="inlineStr">
        <is>
          <t>https://nvd.nist.gov/vuln/detail/CVE-2026-2642</t>
        </is>
      </c>
      <c r="X143" t="inlineStr">
        <is>
          <t>NONE</t>
        </is>
      </c>
      <c r="Y143" t="n">
        <v>0</v>
      </c>
      <c r="Z143" t="inlineStr"/>
      <c r="AA143" t="inlineStr">
        <is>
          <t>https://nvd.nist.gov/vuln/detail/CVE-2026-2642</t>
        </is>
      </c>
    </row>
    <row r="144">
      <c r="A144" t="inlineStr">
        <is>
          <t>CVE</t>
        </is>
      </c>
      <c r="B144" t="inlineStr">
        <is>
          <t>CVE-2026-2644</t>
        </is>
      </c>
      <c r="C144" t="inlineStr">
        <is>
          <t>A weakness has been identified in niklasso minisat up to 2.2.0. This issue affects the function Solver::value in the library core/SolverTypes.h of the component DIMACS File Parser. This manipulation of the argument variable index with the input 2147483648 causes out-of-bounds read. The attack needs to be launched locally. The exploit has been made available to the public and could be used for attacks. The project was informed of the problem early through an issue report but has not responded yet</t>
        </is>
      </c>
      <c r="D144" t="n">
        <v>3.3</v>
      </c>
      <c r="E144" t="inlineStr">
        <is>
          <t>LOW</t>
        </is>
      </c>
      <c r="F144" t="n">
        <v>2</v>
      </c>
      <c r="G144" t="n">
        <v>1</v>
      </c>
      <c r="H144" t="inlineStr">
        <is>
          <t>LOW</t>
        </is>
      </c>
      <c r="I144" t="n">
        <v>5.3</v>
      </c>
      <c r="J144" t="inlineStr">
        <is>
          <t>NO</t>
        </is>
      </c>
      <c r="K144" t="inlineStr">
        <is>
          <t>2026-02-23 23:48</t>
        </is>
      </c>
      <c r="L144" t="inlineStr">
        <is>
          <t>YES</t>
        </is>
      </c>
      <c r="M144" t="inlineStr">
        <is>
          <t>minisat minisat *</t>
        </is>
      </c>
      <c r="N144" t="inlineStr">
        <is>
          <t>P4</t>
        </is>
      </c>
      <c r="O144" t="inlineStr">
        <is>
          <t>CVE - IP enrichment n/a</t>
        </is>
      </c>
      <c r="P144" t="n">
        <v>0</v>
      </c>
      <c r="Q144" t="n">
        <v>0</v>
      </c>
      <c r="R144" t="inlineStr">
        <is>
          <t>T1203:Exploitation for Client Execution</t>
        </is>
      </c>
      <c r="S144" t="n">
        <v>1</v>
      </c>
      <c r="T144" t="inlineStr">
        <is>
          <t>LOW (40%)</t>
        </is>
      </c>
      <c r="U144" t="inlineStr">
        <is>
          <t>UNLIKELY</t>
        </is>
      </c>
      <c r="V144" t="inlineStr">
        <is>
          <t>PATCH_AVAILABLE</t>
        </is>
      </c>
      <c r="W144" t="inlineStr">
        <is>
          <t>https://nvd.nist.gov/vuln/detail/CVE-2026-2644</t>
        </is>
      </c>
      <c r="X144" t="inlineStr">
        <is>
          <t>NONE</t>
        </is>
      </c>
      <c r="Y144" t="n">
        <v>0</v>
      </c>
      <c r="Z144" t="inlineStr"/>
      <c r="AA144" t="inlineStr">
        <is>
          <t>https://nvd.nist.gov/vuln/detail/CVE-2026-2644</t>
        </is>
      </c>
    </row>
    <row r="145">
      <c r="A145" t="inlineStr">
        <is>
          <t>CVE</t>
        </is>
      </c>
      <c r="B145" t="inlineStr">
        <is>
          <t>CVE-2026-1655</t>
        </is>
      </c>
      <c r="C145" t="inlineStr">
        <is>
          <t>The EventPrime plugin for WordPress is vulnerable to unauthorized post modification due to missing authorization checks in all versions up to, and including, 4.2.8.4. This is due to the save_frontend_event_submission function accepting a user-controlled event_id parameter and updating the corresponding event post without enforcing ownership or capability checks. This makes it possible for authenticated (Customer+) attackers to modify posts created by administrators by manipulating the event_id p</t>
        </is>
      </c>
      <c r="D145" t="n">
        <v>4.3</v>
      </c>
      <c r="E145" t="inlineStr">
        <is>
          <t>MEDIUM</t>
        </is>
      </c>
      <c r="F145" t="n">
        <v>2</v>
      </c>
      <c r="G145" t="n">
        <v>2</v>
      </c>
      <c r="H145" t="inlineStr">
        <is>
          <t>MEDIUM</t>
        </is>
      </c>
      <c r="I145" t="n">
        <v>8.300000000000001</v>
      </c>
      <c r="J145" t="inlineStr">
        <is>
          <t>NO</t>
        </is>
      </c>
      <c r="K145" t="inlineStr">
        <is>
          <t>2026-02-23 23:48</t>
        </is>
      </c>
      <c r="L145" t="inlineStr">
        <is>
          <t>CHECK_VENDOR</t>
        </is>
      </c>
      <c r="M145" t="inlineStr">
        <is>
          <t>See CVE details</t>
        </is>
      </c>
      <c r="N145" t="inlineStr">
        <is>
          <t>P4</t>
        </is>
      </c>
      <c r="O145" t="inlineStr">
        <is>
          <t>CVE - IP enrichment n/a</t>
        </is>
      </c>
      <c r="P145" t="n">
        <v>0</v>
      </c>
      <c r="Q145" t="n">
        <v>0</v>
      </c>
      <c r="R145" t="inlineStr">
        <is>
          <t>T1190:Exploit Public-Facing Application</t>
        </is>
      </c>
      <c r="S145" t="n">
        <v>1</v>
      </c>
      <c r="T145" t="inlineStr">
        <is>
          <t>LOW (40%)</t>
        </is>
      </c>
      <c r="U145" t="inlineStr">
        <is>
          <t>UNLIKELY</t>
        </is>
      </c>
      <c r="V145" t="inlineStr">
        <is>
          <t>CHECK_VENDOR</t>
        </is>
      </c>
      <c r="W145" t="inlineStr">
        <is>
          <t>https://nvd.nist.gov/vuln/detail/CVE-2026-1655</t>
        </is>
      </c>
      <c r="X145" t="inlineStr">
        <is>
          <t>NONE</t>
        </is>
      </c>
      <c r="Y145" t="n">
        <v>0</v>
      </c>
      <c r="Z145" t="inlineStr"/>
      <c r="AA145" t="inlineStr">
        <is>
          <t>https://nvd.nist.gov/vuln/detail/CVE-2026-1655</t>
        </is>
      </c>
    </row>
    <row r="146">
      <c r="A146" t="inlineStr">
        <is>
          <t>CVE</t>
        </is>
      </c>
      <c r="B146" t="inlineStr">
        <is>
          <t>CVE-2026-1831</t>
        </is>
      </c>
      <c r="C146" t="inlineStr">
        <is>
          <t>The YayMail - WooCommerce Email Customizer plugin for WordPress is vulnerable to unauthorized plugin installation and activation due to missing capability checks on the 'yaymail_install_yaysmtp' AJAX action and `/yaymail/v1/addons/activate` REST endpoint in all versions up to, and including, 4.3.2. This makes it possible for authenticated attackers, with Shop Manager-level access and above, to install and activate the YaySMTP plugin.</t>
        </is>
      </c>
      <c r="D146" t="n">
        <v>2.7</v>
      </c>
      <c r="E146" t="inlineStr">
        <is>
          <t>LOW</t>
        </is>
      </c>
      <c r="F146" t="n">
        <v>2</v>
      </c>
      <c r="G146" t="n">
        <v>1</v>
      </c>
      <c r="H146" t="inlineStr">
        <is>
          <t>LOW</t>
        </is>
      </c>
      <c r="I146" t="n">
        <v>4.7</v>
      </c>
      <c r="J146" t="inlineStr">
        <is>
          <t>NO</t>
        </is>
      </c>
      <c r="K146" t="inlineStr">
        <is>
          <t>2026-02-23 23:48</t>
        </is>
      </c>
      <c r="L146" t="inlineStr">
        <is>
          <t>CHECK_VENDOR</t>
        </is>
      </c>
      <c r="M146" t="inlineStr">
        <is>
          <t>See CVE details</t>
        </is>
      </c>
      <c r="N146" t="inlineStr">
        <is>
          <t>P4</t>
        </is>
      </c>
      <c r="O146" t="inlineStr">
        <is>
          <t>CVE - IP enrichment n/a</t>
        </is>
      </c>
      <c r="P146" t="n">
        <v>0.0001</v>
      </c>
      <c r="Q146" t="n">
        <v>0.0074</v>
      </c>
      <c r="R146" t="inlineStr">
        <is>
          <t>T1190:Exploit Public-Facing Application</t>
        </is>
      </c>
      <c r="S146" t="n">
        <v>1</v>
      </c>
      <c r="T146" t="inlineStr">
        <is>
          <t>LOW (40%)</t>
        </is>
      </c>
      <c r="U146" t="inlineStr">
        <is>
          <t>UNLIKELY</t>
        </is>
      </c>
      <c r="V146" t="inlineStr">
        <is>
          <t>CHECK_VENDOR</t>
        </is>
      </c>
      <c r="W146" t="inlineStr">
        <is>
          <t>https://nvd.nist.gov/vuln/detail/CVE-2026-1831</t>
        </is>
      </c>
      <c r="X146" t="inlineStr">
        <is>
          <t>NONE</t>
        </is>
      </c>
      <c r="Y146" t="n">
        <v>0</v>
      </c>
      <c r="Z146" t="inlineStr"/>
      <c r="AA146" t="inlineStr">
        <is>
          <t>https://nvd.nist.gov/vuln/detail/CVE-2026-1831</t>
        </is>
      </c>
    </row>
    <row r="147">
      <c r="A147" t="inlineStr">
        <is>
          <t>CVE</t>
        </is>
      </c>
      <c r="B147" t="inlineStr">
        <is>
          <t>CVE-2026-1860</t>
        </is>
      </c>
      <c r="C147" t="inlineStr">
        <is>
          <t xml:space="preserve">The Kali Forms plugin for WordPress is vulnerable to Insecure Direct Object Reference in all versions up to, and including, 2.4.8. This is due to the `get_items_permissions_check()` permission callback on the `/kaliforms/v1/forms/{id}` REST API endpoint only checking for the `edit_posts` capability without verifying that the requesting user has ownership or authorization over the specific form resource. This makes it possible for authenticated attackers, with Contributor-level access and above, </t>
        </is>
      </c>
      <c r="D147" t="n">
        <v>4.3</v>
      </c>
      <c r="E147" t="inlineStr">
        <is>
          <t>MEDIUM</t>
        </is>
      </c>
      <c r="F147" t="n">
        <v>2</v>
      </c>
      <c r="G147" t="n">
        <v>2</v>
      </c>
      <c r="H147" t="inlineStr">
        <is>
          <t>MEDIUM</t>
        </is>
      </c>
      <c r="I147" t="n">
        <v>8.300000000000001</v>
      </c>
      <c r="J147" t="inlineStr">
        <is>
          <t>NO</t>
        </is>
      </c>
      <c r="K147" t="inlineStr">
        <is>
          <t>2026-02-23 23:48</t>
        </is>
      </c>
      <c r="L147" t="inlineStr">
        <is>
          <t>CHECK_VENDOR</t>
        </is>
      </c>
      <c r="M147" t="inlineStr">
        <is>
          <t>See CVE details</t>
        </is>
      </c>
      <c r="N147" t="inlineStr">
        <is>
          <t>P4</t>
        </is>
      </c>
      <c r="O147" t="inlineStr">
        <is>
          <t>CVE - IP enrichment n/a</t>
        </is>
      </c>
      <c r="P147" t="n">
        <v>0</v>
      </c>
      <c r="Q147" t="n">
        <v>0</v>
      </c>
      <c r="R147" t="inlineStr">
        <is>
          <t>T1190:Exploit Public-Facing Application</t>
        </is>
      </c>
      <c r="S147" t="n">
        <v>1</v>
      </c>
      <c r="T147" t="inlineStr">
        <is>
          <t>LOW (40%)</t>
        </is>
      </c>
      <c r="U147" t="inlineStr">
        <is>
          <t>UNLIKELY</t>
        </is>
      </c>
      <c r="V147" t="inlineStr">
        <is>
          <t>CHECK_VENDOR</t>
        </is>
      </c>
      <c r="W147" t="inlineStr">
        <is>
          <t>https://nvd.nist.gov/vuln/detail/CVE-2026-1860</t>
        </is>
      </c>
      <c r="X147" t="inlineStr">
        <is>
          <t>NONE</t>
        </is>
      </c>
      <c r="Y147" t="n">
        <v>0</v>
      </c>
      <c r="Z147" t="inlineStr"/>
      <c r="AA147" t="inlineStr">
        <is>
          <t>https://nvd.nist.gov/vuln/detail/CVE-2026-1860</t>
        </is>
      </c>
    </row>
    <row r="148">
      <c r="A148" t="inlineStr">
        <is>
          <t>CVE</t>
        </is>
      </c>
      <c r="B148" t="inlineStr">
        <is>
          <t>CVE-2026-1938</t>
        </is>
      </c>
      <c r="C148" t="inlineStr">
        <is>
          <t>The YayMail – WooCommerce Email Customizer plugin for WordPress is vulnerable to unauthorized license key deletion due to a missing authorization check on the `/yaymail-license/v1/license/delete` REST endpoint in versions up to, and including, 4.3.2. This makes it possible for authenticated attackers, with Shop Manager-level access and above, to delete the plugin's license key via the '/yaymail-license/v1/license/delete' endpoint granted they can obtain the REST API nonce.</t>
        </is>
      </c>
      <c r="D148" t="n">
        <v>5.3</v>
      </c>
      <c r="E148" t="inlineStr">
        <is>
          <t>MEDIUM</t>
        </is>
      </c>
      <c r="F148" t="n">
        <v>2</v>
      </c>
      <c r="G148" t="n">
        <v>2</v>
      </c>
      <c r="H148" t="inlineStr">
        <is>
          <t>MEDIUM</t>
        </is>
      </c>
      <c r="I148" t="n">
        <v>9.300000000000001</v>
      </c>
      <c r="J148" t="inlineStr">
        <is>
          <t>NO</t>
        </is>
      </c>
      <c r="K148" t="inlineStr">
        <is>
          <t>2026-02-23 23:48</t>
        </is>
      </c>
      <c r="L148" t="inlineStr">
        <is>
          <t>CHECK_VENDOR</t>
        </is>
      </c>
      <c r="M148" t="inlineStr">
        <is>
          <t>See CVE details</t>
        </is>
      </c>
      <c r="N148" t="inlineStr">
        <is>
          <t>P4</t>
        </is>
      </c>
      <c r="O148" t="inlineStr">
        <is>
          <t>CVE - IP enrichment n/a</t>
        </is>
      </c>
      <c r="P148" t="n">
        <v>0.0001</v>
      </c>
      <c r="Q148" t="n">
        <v>0.0086</v>
      </c>
      <c r="R148" t="inlineStr">
        <is>
          <t>T1190:Exploit Public-Facing Application</t>
        </is>
      </c>
      <c r="S148" t="n">
        <v>1</v>
      </c>
      <c r="T148" t="inlineStr">
        <is>
          <t>LOW (40%)</t>
        </is>
      </c>
      <c r="U148" t="inlineStr">
        <is>
          <t>UNLIKELY</t>
        </is>
      </c>
      <c r="V148" t="inlineStr">
        <is>
          <t>CHECK_VENDOR</t>
        </is>
      </c>
      <c r="W148" t="inlineStr">
        <is>
          <t>https://nvd.nist.gov/vuln/detail/CVE-2026-1938</t>
        </is>
      </c>
      <c r="X148" t="inlineStr">
        <is>
          <t>NONE</t>
        </is>
      </c>
      <c r="Y148" t="n">
        <v>0</v>
      </c>
      <c r="Z148" t="inlineStr"/>
      <c r="AA148" t="inlineStr">
        <is>
          <t>https://nvd.nist.gov/vuln/detail/CVE-2026-1938</t>
        </is>
      </c>
    </row>
    <row r="149">
      <c r="A149" t="inlineStr">
        <is>
          <t>CVE</t>
        </is>
      </c>
      <c r="B149" t="inlineStr">
        <is>
          <t>CVE-2026-1943</t>
        </is>
      </c>
      <c r="C149" t="inlineStr">
        <is>
          <t>The YayMail – WooCommerce Email Customizer plugin for WordPress is vulnerable to Stored Cross-Site Scripting via settings in all versions up to, and including, 4.3.2 due to insufficient input sanitization and output escaping. This makes it possible for authenticated attackers, with Shop Manager-level permissions and above, to inject arbitrary web scripts in pages that will execute whenever a user accesses an injected page. This only affects multi-site installations and installations where unfilt</t>
        </is>
      </c>
      <c r="D149" t="n">
        <v>4.4</v>
      </c>
      <c r="E149" t="inlineStr">
        <is>
          <t>MEDIUM</t>
        </is>
      </c>
      <c r="F149" t="n">
        <v>2</v>
      </c>
      <c r="G149" t="n">
        <v>2</v>
      </c>
      <c r="H149" t="inlineStr">
        <is>
          <t>MEDIUM</t>
        </is>
      </c>
      <c r="I149" t="n">
        <v>8.4</v>
      </c>
      <c r="J149" t="inlineStr">
        <is>
          <t>NO</t>
        </is>
      </c>
      <c r="K149" t="inlineStr">
        <is>
          <t>2026-02-23 23:48</t>
        </is>
      </c>
      <c r="L149" t="inlineStr">
        <is>
          <t>CHECK_VENDOR</t>
        </is>
      </c>
      <c r="M149" t="inlineStr">
        <is>
          <t>See CVE details</t>
        </is>
      </c>
      <c r="N149" t="inlineStr">
        <is>
          <t>P4</t>
        </is>
      </c>
      <c r="O149" t="inlineStr">
        <is>
          <t>CVE - IP enrichment n/a</t>
        </is>
      </c>
      <c r="P149" t="n">
        <v>0</v>
      </c>
      <c r="Q149" t="n">
        <v>0</v>
      </c>
      <c r="R149" t="inlineStr">
        <is>
          <t>T1189:Drive-by Compromise | T1190:Exploit Public-Facing Application</t>
        </is>
      </c>
      <c r="S149" t="n">
        <v>1</v>
      </c>
      <c r="T149" t="inlineStr">
        <is>
          <t>LOW (40%)</t>
        </is>
      </c>
      <c r="U149" t="inlineStr">
        <is>
          <t>UNLIKELY</t>
        </is>
      </c>
      <c r="V149" t="inlineStr">
        <is>
          <t>CHECK_VENDOR</t>
        </is>
      </c>
      <c r="W149" t="inlineStr">
        <is>
          <t>https://nvd.nist.gov/vuln/detail/CVE-2026-1943</t>
        </is>
      </c>
      <c r="X149" t="inlineStr">
        <is>
          <t>NONE</t>
        </is>
      </c>
      <c r="Y149" t="n">
        <v>0</v>
      </c>
      <c r="Z149" t="inlineStr"/>
      <c r="AA149" t="inlineStr">
        <is>
          <t>https://nvd.nist.gov/vuln/detail/CVE-2026-1943</t>
        </is>
      </c>
    </row>
    <row r="150">
      <c r="A150" t="inlineStr">
        <is>
          <t>CVE</t>
        </is>
      </c>
      <c r="B150" t="inlineStr">
        <is>
          <t>CVE-2026-25421</t>
        </is>
      </c>
      <c r="C150" t="inlineStr">
        <is>
          <t>Rejected reason: This CVE ID has been rejected or withdrawn by its CVE Numbering Authority. Collision with another CVE.</t>
        </is>
      </c>
      <c r="D150" t="n">
        <v>5</v>
      </c>
      <c r="E150" t="inlineStr">
        <is>
          <t>MEDIUM</t>
        </is>
      </c>
      <c r="F150" t="n">
        <v>2</v>
      </c>
      <c r="G150" t="n">
        <v>2</v>
      </c>
      <c r="H150" t="inlineStr">
        <is>
          <t>MEDIUM</t>
        </is>
      </c>
      <c r="I150" t="n">
        <v>9</v>
      </c>
      <c r="J150" t="inlineStr">
        <is>
          <t>NO</t>
        </is>
      </c>
      <c r="K150" t="inlineStr">
        <is>
          <t>2026-02-23 23:48</t>
        </is>
      </c>
      <c r="L150" t="inlineStr">
        <is>
          <t>CHECK_VENDOR</t>
        </is>
      </c>
      <c r="M150" t="inlineStr">
        <is>
          <t>See CVE details</t>
        </is>
      </c>
      <c r="N150" t="inlineStr">
        <is>
          <t>P4</t>
        </is>
      </c>
      <c r="O150" t="inlineStr">
        <is>
          <t>CVE - IP enrichment n/a</t>
        </is>
      </c>
      <c r="P150" t="n">
        <v>0</v>
      </c>
      <c r="Q150" t="n">
        <v>0</v>
      </c>
      <c r="R150" t="inlineStr">
        <is>
          <t>T1190:Exploit Public-Facing Application</t>
        </is>
      </c>
      <c r="S150" t="n">
        <v>1</v>
      </c>
      <c r="T150" t="inlineStr">
        <is>
          <t>LOW (40%)</t>
        </is>
      </c>
      <c r="U150" t="inlineStr">
        <is>
          <t>UNLIKELY</t>
        </is>
      </c>
      <c r="V150" t="inlineStr">
        <is>
          <t>CHECK_VENDOR</t>
        </is>
      </c>
      <c r="W150" t="inlineStr">
        <is>
          <t>https://nvd.nist.gov/vuln/detail/CVE-2026-25421</t>
        </is>
      </c>
      <c r="X150" t="inlineStr">
        <is>
          <t>NONE</t>
        </is>
      </c>
      <c r="Y150" t="n">
        <v>0</v>
      </c>
      <c r="Z150" t="inlineStr"/>
      <c r="AA150" t="inlineStr">
        <is>
          <t>https://nvd.nist.gov/vuln/detail/CVE-2026-25421</t>
        </is>
      </c>
    </row>
    <row r="151">
      <c r="A151" t="inlineStr">
        <is>
          <t>CVE</t>
        </is>
      </c>
      <c r="B151" t="inlineStr">
        <is>
          <t>CVE-2026-2112</t>
        </is>
      </c>
      <c r="C151" t="inlineStr">
        <is>
          <t>The Dam Spam plugin for WordPress is vulnerable to Cross-Site Request Forgery in all versions up to, and including, 1.0.8. This is due to missing nonce verification on the pending comment deletion action in the cleanup page. This makes it possible for unauthenticated attackers to delete all pending comments via a forged request granted they can trick an admin into performing an action such as clicking on a link.</t>
        </is>
      </c>
      <c r="D151" t="n">
        <v>4.3</v>
      </c>
      <c r="E151" t="inlineStr">
        <is>
          <t>MEDIUM</t>
        </is>
      </c>
      <c r="F151" t="n">
        <v>2</v>
      </c>
      <c r="G151" t="n">
        <v>2</v>
      </c>
      <c r="H151" t="inlineStr">
        <is>
          <t>MEDIUM</t>
        </is>
      </c>
      <c r="I151" t="n">
        <v>8.300000000000001</v>
      </c>
      <c r="J151" t="inlineStr">
        <is>
          <t>NO</t>
        </is>
      </c>
      <c r="K151" t="inlineStr">
        <is>
          <t>2026-02-23 23:48</t>
        </is>
      </c>
      <c r="L151" t="inlineStr">
        <is>
          <t>CHECK_VENDOR</t>
        </is>
      </c>
      <c r="M151" t="inlineStr">
        <is>
          <t>See CVE details</t>
        </is>
      </c>
      <c r="N151" t="inlineStr">
        <is>
          <t>P4</t>
        </is>
      </c>
      <c r="O151" t="inlineStr">
        <is>
          <t>CVE - IP enrichment n/a</t>
        </is>
      </c>
      <c r="P151" t="n">
        <v>0</v>
      </c>
      <c r="Q151" t="n">
        <v>0</v>
      </c>
      <c r="R151" t="inlineStr">
        <is>
          <t>T1185:Browser Session Hijacking</t>
        </is>
      </c>
      <c r="S151" t="n">
        <v>1</v>
      </c>
      <c r="T151" t="inlineStr">
        <is>
          <t>LOW (40%)</t>
        </is>
      </c>
      <c r="U151" t="inlineStr">
        <is>
          <t>UNLIKELY</t>
        </is>
      </c>
      <c r="V151" t="inlineStr">
        <is>
          <t>CHECK_VENDOR</t>
        </is>
      </c>
      <c r="W151" t="inlineStr">
        <is>
          <t>https://nvd.nist.gov/vuln/detail/CVE-2026-2112</t>
        </is>
      </c>
      <c r="X151" t="inlineStr">
        <is>
          <t>NONE</t>
        </is>
      </c>
      <c r="Y151" t="n">
        <v>0</v>
      </c>
      <c r="Z151" t="inlineStr"/>
      <c r="AA151" t="inlineStr">
        <is>
          <t>https://nvd.nist.gov/vuln/detail/CVE-2026-2112</t>
        </is>
      </c>
    </row>
    <row r="152">
      <c r="A152" t="inlineStr">
        <is>
          <t>CVE</t>
        </is>
      </c>
      <c r="B152" t="inlineStr">
        <is>
          <t>CVE-2026-2419</t>
        </is>
      </c>
      <c r="C152" t="inlineStr">
        <is>
          <t>The WP-DownloadManager plugin for WordPress is vulnerable to Path Traversal in all versions up to, and including, 1.69 via the 'download_path' configuration parameter. This is due to insufficient validation of the download path setting, which allows directory traversal sequences to bypass the WP_CONTENT_DIR prefix check. This makes it possible for authenticated attackers, with Administrator-level access and above, to configure the plugin to list and access arbitrary files on the server by exploi</t>
        </is>
      </c>
      <c r="D152" t="n">
        <v>2.7</v>
      </c>
      <c r="E152" t="inlineStr">
        <is>
          <t>LOW</t>
        </is>
      </c>
      <c r="F152" t="n">
        <v>2</v>
      </c>
      <c r="G152" t="n">
        <v>1</v>
      </c>
      <c r="H152" t="inlineStr">
        <is>
          <t>LOW</t>
        </is>
      </c>
      <c r="I152" t="n">
        <v>4.7</v>
      </c>
      <c r="J152" t="inlineStr">
        <is>
          <t>NO</t>
        </is>
      </c>
      <c r="K152" t="inlineStr">
        <is>
          <t>2026-02-23 23:48</t>
        </is>
      </c>
      <c r="L152" t="inlineStr">
        <is>
          <t>CHECK_VENDOR</t>
        </is>
      </c>
      <c r="M152" t="inlineStr">
        <is>
          <t>See CVE details</t>
        </is>
      </c>
      <c r="N152" t="inlineStr">
        <is>
          <t>P4</t>
        </is>
      </c>
      <c r="O152" t="inlineStr">
        <is>
          <t>CVE - IP enrichment n/a</t>
        </is>
      </c>
      <c r="P152" t="n">
        <v>0</v>
      </c>
      <c r="Q152" t="n">
        <v>0</v>
      </c>
      <c r="R152" t="inlineStr">
        <is>
          <t>T1083:File and Directory Discovery</t>
        </is>
      </c>
      <c r="S152" t="n">
        <v>1</v>
      </c>
      <c r="T152" t="inlineStr">
        <is>
          <t>LOW (40%)</t>
        </is>
      </c>
      <c r="U152" t="inlineStr">
        <is>
          <t>UNLIKELY</t>
        </is>
      </c>
      <c r="V152" t="inlineStr">
        <is>
          <t>CHECK_VENDOR</t>
        </is>
      </c>
      <c r="W152" t="inlineStr">
        <is>
          <t>https://nvd.nist.gov/vuln/detail/CVE-2026-2419</t>
        </is>
      </c>
      <c r="X152" t="inlineStr">
        <is>
          <t>NONE</t>
        </is>
      </c>
      <c r="Y152" t="n">
        <v>0</v>
      </c>
      <c r="Z152" t="inlineStr"/>
      <c r="AA152" t="inlineStr">
        <is>
          <t>https://nvd.nist.gov/vuln/detail/CVE-2026-2419</t>
        </is>
      </c>
    </row>
    <row r="153">
      <c r="A153" t="inlineStr">
        <is>
          <t>CVE</t>
        </is>
      </c>
      <c r="B153" t="inlineStr">
        <is>
          <t>CVE-2026-1649</t>
        </is>
      </c>
      <c r="C153" t="inlineStr">
        <is>
          <t>The Community Events plugin for WordPress is vulnerable to Stored Cross-Site Scripting via the 'ce_venue_name' parameter in all versions up to, and including, 1.5.7 due to insufficient input sanitization and output escaping. This makes it possible for authenticated attackers, with administrator-level access and above, to inject arbitrary web scripts in pages that will execute whenever a user accesses an injected page.</t>
        </is>
      </c>
      <c r="D153" t="n">
        <v>4.4</v>
      </c>
      <c r="E153" t="inlineStr">
        <is>
          <t>MEDIUM</t>
        </is>
      </c>
      <c r="F153" t="n">
        <v>2</v>
      </c>
      <c r="G153" t="n">
        <v>2</v>
      </c>
      <c r="H153" t="inlineStr">
        <is>
          <t>MEDIUM</t>
        </is>
      </c>
      <c r="I153" t="n">
        <v>8.4</v>
      </c>
      <c r="J153" t="inlineStr">
        <is>
          <t>NO</t>
        </is>
      </c>
      <c r="K153" t="inlineStr">
        <is>
          <t>2026-02-23 23:48</t>
        </is>
      </c>
      <c r="L153" t="inlineStr">
        <is>
          <t>CHECK_VENDOR</t>
        </is>
      </c>
      <c r="M153" t="inlineStr">
        <is>
          <t>See CVE details</t>
        </is>
      </c>
      <c r="N153" t="inlineStr">
        <is>
          <t>P4</t>
        </is>
      </c>
      <c r="O153" t="inlineStr">
        <is>
          <t>CVE - IP enrichment n/a</t>
        </is>
      </c>
      <c r="P153" t="n">
        <v>0</v>
      </c>
      <c r="Q153" t="n">
        <v>0</v>
      </c>
      <c r="R153" t="inlineStr">
        <is>
          <t>T1189:Drive-by Compromise</t>
        </is>
      </c>
      <c r="S153" t="n">
        <v>1</v>
      </c>
      <c r="T153" t="inlineStr">
        <is>
          <t>LOW (40%)</t>
        </is>
      </c>
      <c r="U153" t="inlineStr">
        <is>
          <t>UNLIKELY</t>
        </is>
      </c>
      <c r="V153" t="inlineStr">
        <is>
          <t>CHECK_VENDOR</t>
        </is>
      </c>
      <c r="W153" t="inlineStr">
        <is>
          <t>https://nvd.nist.gov/vuln/detail/CVE-2026-1649</t>
        </is>
      </c>
      <c r="X153" t="inlineStr">
        <is>
          <t>NONE</t>
        </is>
      </c>
      <c r="Y153" t="n">
        <v>0</v>
      </c>
      <c r="Z153" t="inlineStr"/>
      <c r="AA153" t="inlineStr">
        <is>
          <t>https://nvd.nist.gov/vuln/detail/CVE-2026-1649</t>
        </is>
      </c>
    </row>
    <row r="154">
      <c r="A154" t="inlineStr">
        <is>
          <t>CVE</t>
        </is>
      </c>
      <c r="B154" t="inlineStr">
        <is>
          <t>CVE-2026-1656</t>
        </is>
      </c>
      <c r="C154" t="inlineStr">
        <is>
          <t>The Business Directory Plugin for WordPress is vulnerable to authorization bypass due to a missing authorization check in all versions up to, and including, 6.4.20. This makes it possible for unauthenticated attackers to modify arbitrary listings, including changing titles, content, and email addresses, by directly referencing the listing ID in crafted requests to the wpbdp_ajax AJAX action.</t>
        </is>
      </c>
      <c r="D154" t="n">
        <v>5.3</v>
      </c>
      <c r="E154" t="inlineStr">
        <is>
          <t>MEDIUM</t>
        </is>
      </c>
      <c r="F154" t="n">
        <v>2</v>
      </c>
      <c r="G154" t="n">
        <v>2</v>
      </c>
      <c r="H154" t="inlineStr">
        <is>
          <t>MEDIUM</t>
        </is>
      </c>
      <c r="I154" t="n">
        <v>9.300000000000001</v>
      </c>
      <c r="J154" t="inlineStr">
        <is>
          <t>NO</t>
        </is>
      </c>
      <c r="K154" t="inlineStr">
        <is>
          <t>2026-02-23 23:48</t>
        </is>
      </c>
      <c r="L154" t="inlineStr">
        <is>
          <t>CHECK_VENDOR</t>
        </is>
      </c>
      <c r="M154" t="inlineStr">
        <is>
          <t>See CVE details</t>
        </is>
      </c>
      <c r="N154" t="inlineStr">
        <is>
          <t>P4</t>
        </is>
      </c>
      <c r="O154" t="inlineStr">
        <is>
          <t>CVE - IP enrichment n/a</t>
        </is>
      </c>
      <c r="P154" t="n">
        <v>0</v>
      </c>
      <c r="Q154" t="n">
        <v>0</v>
      </c>
      <c r="R154" t="inlineStr">
        <is>
          <t>T1190:Exploit Public-Facing Application</t>
        </is>
      </c>
      <c r="S154" t="n">
        <v>1</v>
      </c>
      <c r="T154" t="inlineStr">
        <is>
          <t>LOW (40%)</t>
        </is>
      </c>
      <c r="U154" t="inlineStr">
        <is>
          <t>UNLIKELY</t>
        </is>
      </c>
      <c r="V154" t="inlineStr">
        <is>
          <t>CHECK_VENDOR</t>
        </is>
      </c>
      <c r="W154" t="inlineStr">
        <is>
          <t>https://nvd.nist.gov/vuln/detail/CVE-2026-1656</t>
        </is>
      </c>
      <c r="X154" t="inlineStr">
        <is>
          <t>NONE</t>
        </is>
      </c>
      <c r="Y154" t="n">
        <v>0</v>
      </c>
      <c r="Z154" t="inlineStr"/>
      <c r="AA154" t="inlineStr">
        <is>
          <t>https://nvd.nist.gov/vuln/detail/CVE-2026-1656</t>
        </is>
      </c>
    </row>
    <row r="155">
      <c r="A155" t="inlineStr">
        <is>
          <t>CVE</t>
        </is>
      </c>
      <c r="B155" t="inlineStr">
        <is>
          <t>CVE-2026-1941</t>
        </is>
      </c>
      <c r="C155" t="inlineStr">
        <is>
          <t>The WP Event Aggregator plugin for WordPress is vulnerable to Stored Cross-Site Scripting via the plugin's 'wp_events' shortcode in all versions up to, and including, 1.8.7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155" t="n">
        <v>6.4</v>
      </c>
      <c r="E155" t="inlineStr">
        <is>
          <t>MEDIUM</t>
        </is>
      </c>
      <c r="F155" t="n">
        <v>2</v>
      </c>
      <c r="G155" t="n">
        <v>2</v>
      </c>
      <c r="H155" t="inlineStr">
        <is>
          <t>MEDIUM</t>
        </is>
      </c>
      <c r="I155" t="n">
        <v>10.4</v>
      </c>
      <c r="J155" t="inlineStr">
        <is>
          <t>NO</t>
        </is>
      </c>
      <c r="K155" t="inlineStr">
        <is>
          <t>2026-02-23 23:48</t>
        </is>
      </c>
      <c r="L155" t="inlineStr">
        <is>
          <t>CHECK_VENDOR</t>
        </is>
      </c>
      <c r="M155" t="inlineStr">
        <is>
          <t>See CVE details</t>
        </is>
      </c>
      <c r="N155" t="inlineStr">
        <is>
          <t>P4</t>
        </is>
      </c>
      <c r="O155" t="inlineStr">
        <is>
          <t>CVE - IP enrichment n/a</t>
        </is>
      </c>
      <c r="P155" t="n">
        <v>0</v>
      </c>
      <c r="Q155" t="n">
        <v>0</v>
      </c>
      <c r="R155" t="inlineStr">
        <is>
          <t>T1189:Drive-by Compromise</t>
        </is>
      </c>
      <c r="S155" t="n">
        <v>1</v>
      </c>
      <c r="T155" t="inlineStr">
        <is>
          <t>LOW (40%)</t>
        </is>
      </c>
      <c r="U155" t="inlineStr">
        <is>
          <t>UNLIKELY</t>
        </is>
      </c>
      <c r="V155" t="inlineStr">
        <is>
          <t>CHECK_VENDOR</t>
        </is>
      </c>
      <c r="W155" t="inlineStr">
        <is>
          <t>https://nvd.nist.gov/vuln/detail/CVE-2026-1941</t>
        </is>
      </c>
      <c r="X155" t="inlineStr">
        <is>
          <t>NONE</t>
        </is>
      </c>
      <c r="Y155" t="n">
        <v>0</v>
      </c>
      <c r="Z155" t="inlineStr"/>
      <c r="AA155" t="inlineStr">
        <is>
          <t>https://nvd.nist.gov/vuln/detail/CVE-2026-1941</t>
        </is>
      </c>
    </row>
    <row r="156">
      <c r="A156" t="inlineStr">
        <is>
          <t>CVE</t>
        </is>
      </c>
      <c r="B156" t="inlineStr">
        <is>
          <t>CVE-2026-2127</t>
        </is>
      </c>
      <c r="C156" t="inlineStr">
        <is>
          <t>The SiteOrigin Widgets Bundle plugin for WordPress is vulnerable to unauthorized arbitrary shortcode execution in all versions up to, and including, 1.70.4. This is due to a missing capability check on the `siteorigin_widget_preview_widget_action()` function which is registered via the `wp_ajax_so_widgets_preview` AJAX action. The function only verifies a nonce (`widgets_action`) but does not check user capabilities. This makes it possible for authenticated attackers, with Subscriber-level acces</t>
        </is>
      </c>
      <c r="D156" t="n">
        <v>5.4</v>
      </c>
      <c r="E156" t="inlineStr">
        <is>
          <t>MEDIUM</t>
        </is>
      </c>
      <c r="F156" t="n">
        <v>2</v>
      </c>
      <c r="G156" t="n">
        <v>2</v>
      </c>
      <c r="H156" t="inlineStr">
        <is>
          <t>MEDIUM</t>
        </is>
      </c>
      <c r="I156" t="n">
        <v>9.4</v>
      </c>
      <c r="J156" t="inlineStr">
        <is>
          <t>NO</t>
        </is>
      </c>
      <c r="K156" t="inlineStr">
        <is>
          <t>2026-02-23 23:48</t>
        </is>
      </c>
      <c r="L156" t="inlineStr">
        <is>
          <t>CHECK_VENDOR</t>
        </is>
      </c>
      <c r="M156" t="inlineStr">
        <is>
          <t>See CVE details</t>
        </is>
      </c>
      <c r="N156" t="inlineStr">
        <is>
          <t>P4</t>
        </is>
      </c>
      <c r="O156" t="inlineStr">
        <is>
          <t>CVE - IP enrichment n/a</t>
        </is>
      </c>
      <c r="P156" t="n">
        <v>0.0003</v>
      </c>
      <c r="Q156" t="n">
        <v>0.0862</v>
      </c>
      <c r="R156" t="inlineStr">
        <is>
          <t>T1190:Exploit Public-Facing Application</t>
        </is>
      </c>
      <c r="S156" t="n">
        <v>1</v>
      </c>
      <c r="T156" t="inlineStr">
        <is>
          <t>LOW (40%)</t>
        </is>
      </c>
      <c r="U156" t="inlineStr">
        <is>
          <t>UNLIKELY</t>
        </is>
      </c>
      <c r="V156" t="inlineStr">
        <is>
          <t>CHECK_VENDOR</t>
        </is>
      </c>
      <c r="W156" t="inlineStr">
        <is>
          <t>https://nvd.nist.gov/vuln/detail/CVE-2026-2127</t>
        </is>
      </c>
      <c r="X156" t="inlineStr">
        <is>
          <t>NONE</t>
        </is>
      </c>
      <c r="Y156" t="n">
        <v>0</v>
      </c>
      <c r="Z156" t="inlineStr"/>
      <c r="AA156" t="inlineStr">
        <is>
          <t>https://nvd.nist.gov/vuln/detail/CVE-2026-2127</t>
        </is>
      </c>
    </row>
    <row r="157">
      <c r="A157" t="inlineStr">
        <is>
          <t>CVE</t>
        </is>
      </c>
      <c r="B157" t="inlineStr">
        <is>
          <t>CVE-2026-2495</t>
        </is>
      </c>
      <c r="C157" t="inlineStr">
        <is>
          <t>The WPNakama – Team and multi-Client Collaboration, Editorial and Project Management plugin for WordPress is vulnerable to SQL Injection via the 'order' parameter of the '/wp-json/WPNakama/v1/boards' REST API endpoint in all versions up to, and including, 0.6.5. This is due to insufficient escaping on the user supplied parameter and lack of sufficient preparation on the existing SQL query. This makes it possible for unauthenticated attackers to append additional SQL queries into already existing</t>
        </is>
      </c>
      <c r="D157" t="n">
        <v>7.5</v>
      </c>
      <c r="E157" t="inlineStr">
        <is>
          <t>HIGH</t>
        </is>
      </c>
      <c r="F157" t="n">
        <v>2</v>
      </c>
      <c r="G157" t="n">
        <v>3</v>
      </c>
      <c r="H157" t="inlineStr">
        <is>
          <t>HIGH</t>
        </is>
      </c>
      <c r="I157" t="n">
        <v>13.5</v>
      </c>
      <c r="J157" t="inlineStr">
        <is>
          <t>NO</t>
        </is>
      </c>
      <c r="K157" t="inlineStr">
        <is>
          <t>2026-02-23 23:48</t>
        </is>
      </c>
      <c r="L157" t="inlineStr">
        <is>
          <t>CHECK_VENDOR</t>
        </is>
      </c>
      <c r="M157" t="inlineStr">
        <is>
          <t>See CVE details</t>
        </is>
      </c>
      <c r="N157" t="inlineStr">
        <is>
          <t>P3</t>
        </is>
      </c>
      <c r="O157" t="inlineStr">
        <is>
          <t>CVE - IP enrichment n/a</t>
        </is>
      </c>
      <c r="P157" t="n">
        <v>0</v>
      </c>
      <c r="Q157" t="n">
        <v>0</v>
      </c>
      <c r="R157" t="inlineStr">
        <is>
          <t>T1190:Exploit Public-Facing Application</t>
        </is>
      </c>
      <c r="S157" t="n">
        <v>1</v>
      </c>
      <c r="T157" t="inlineStr">
        <is>
          <t>LOW (40%)</t>
        </is>
      </c>
      <c r="U157" t="inlineStr">
        <is>
          <t>UNLIKELY</t>
        </is>
      </c>
      <c r="V157" t="inlineStr">
        <is>
          <t>CHECK_VENDOR</t>
        </is>
      </c>
      <c r="W157" t="inlineStr">
        <is>
          <t>https://nvd.nist.gov/vuln/detail/CVE-2026-2495</t>
        </is>
      </c>
      <c r="X157" t="inlineStr">
        <is>
          <t>NONE</t>
        </is>
      </c>
      <c r="Y157" t="n">
        <v>0</v>
      </c>
      <c r="Z157" t="inlineStr"/>
      <c r="AA157" t="inlineStr">
        <is>
          <t>https://nvd.nist.gov/vuln/detail/CVE-2026-2495</t>
        </is>
      </c>
    </row>
    <row r="158">
      <c r="A158" t="inlineStr">
        <is>
          <t>CVE</t>
        </is>
      </c>
      <c r="B158" t="inlineStr">
        <is>
          <t>CVE-2025-11185</t>
        </is>
      </c>
      <c r="C158" t="inlineStr">
        <is>
          <t>The Complianz – GDPR/CCPA Cookie Consent plugin for WordPress is vulnerable to Stored Cross-Site Scripting via the plugin's cmplz-accept-link shortcode in all versions up to, and including, 7.4.3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158" t="n">
        <v>6.4</v>
      </c>
      <c r="E158" t="inlineStr">
        <is>
          <t>MEDIUM</t>
        </is>
      </c>
      <c r="F158" t="n">
        <v>2</v>
      </c>
      <c r="G158" t="n">
        <v>2</v>
      </c>
      <c r="H158" t="inlineStr">
        <is>
          <t>MEDIUM</t>
        </is>
      </c>
      <c r="I158" t="n">
        <v>10.4</v>
      </c>
      <c r="J158" t="inlineStr">
        <is>
          <t>NO</t>
        </is>
      </c>
      <c r="K158" t="inlineStr">
        <is>
          <t>2026-02-23 23:48</t>
        </is>
      </c>
      <c r="L158" t="inlineStr">
        <is>
          <t>CHECK_VENDOR</t>
        </is>
      </c>
      <c r="M158" t="inlineStr">
        <is>
          <t>See CVE details</t>
        </is>
      </c>
      <c r="N158" t="inlineStr">
        <is>
          <t>P4</t>
        </is>
      </c>
      <c r="O158" t="inlineStr">
        <is>
          <t>CVE - IP enrichment n/a</t>
        </is>
      </c>
      <c r="P158" t="n">
        <v>0</v>
      </c>
      <c r="Q158" t="n">
        <v>0</v>
      </c>
      <c r="R158" t="inlineStr">
        <is>
          <t>T1189:Drive-by Compromise</t>
        </is>
      </c>
      <c r="S158" t="n">
        <v>1</v>
      </c>
      <c r="T158" t="inlineStr">
        <is>
          <t>LOW (40%)</t>
        </is>
      </c>
      <c r="U158" t="inlineStr">
        <is>
          <t>UNLIKELY</t>
        </is>
      </c>
      <c r="V158" t="inlineStr">
        <is>
          <t>CHECK_VENDOR</t>
        </is>
      </c>
      <c r="W158" t="inlineStr">
        <is>
          <t>https://nvd.nist.gov/vuln/detail/CVE-2025-11185</t>
        </is>
      </c>
      <c r="X158" t="inlineStr">
        <is>
          <t>NONE</t>
        </is>
      </c>
      <c r="Y158" t="n">
        <v>0</v>
      </c>
      <c r="Z158" t="inlineStr"/>
      <c r="AA158" t="inlineStr">
        <is>
          <t>https://nvd.nist.gov/vuln/detail/CVE-2025-11185</t>
        </is>
      </c>
    </row>
    <row r="159">
      <c r="A159" t="inlineStr">
        <is>
          <t>CVE</t>
        </is>
      </c>
      <c r="B159" t="inlineStr">
        <is>
          <t>CVE-2025-13727</t>
        </is>
      </c>
      <c r="C159" t="inlineStr">
        <is>
          <t>The Video Share VOD – Turnkey Video Site Builder Script plugin for WordPress is vulnerable to Stored Cross-Site Scripting via plugin settings in all versions up to, and including, 2.7.11 due to insufficient input sanitization and output escaping. This makes it possible for authenticated attackers, with editor-level permissions and above, to inject arbitrary web scripts in pages that will execute whenever a user accesses an injected page. This only affects multi-site installations and installatio</t>
        </is>
      </c>
      <c r="D159" t="n">
        <v>4.4</v>
      </c>
      <c r="E159" t="inlineStr">
        <is>
          <t>MEDIUM</t>
        </is>
      </c>
      <c r="F159" t="n">
        <v>2</v>
      </c>
      <c r="G159" t="n">
        <v>2</v>
      </c>
      <c r="H159" t="inlineStr">
        <is>
          <t>MEDIUM</t>
        </is>
      </c>
      <c r="I159" t="n">
        <v>8.4</v>
      </c>
      <c r="J159" t="inlineStr">
        <is>
          <t>NO</t>
        </is>
      </c>
      <c r="K159" t="inlineStr">
        <is>
          <t>2026-02-23 23:48</t>
        </is>
      </c>
      <c r="L159" t="inlineStr">
        <is>
          <t>CHECK_VENDOR</t>
        </is>
      </c>
      <c r="M159" t="inlineStr">
        <is>
          <t>See CVE details</t>
        </is>
      </c>
      <c r="N159" t="inlineStr">
        <is>
          <t>P4</t>
        </is>
      </c>
      <c r="O159" t="inlineStr">
        <is>
          <t>CVE - IP enrichment n/a</t>
        </is>
      </c>
      <c r="P159" t="n">
        <v>0</v>
      </c>
      <c r="Q159" t="n">
        <v>0</v>
      </c>
      <c r="R159" t="inlineStr">
        <is>
          <t>T1189:Drive-by Compromise</t>
        </is>
      </c>
      <c r="S159" t="n">
        <v>1</v>
      </c>
      <c r="T159" t="inlineStr">
        <is>
          <t>LOW (40%)</t>
        </is>
      </c>
      <c r="U159" t="inlineStr">
        <is>
          <t>UNLIKELY</t>
        </is>
      </c>
      <c r="V159" t="inlineStr">
        <is>
          <t>CHECK_VENDOR</t>
        </is>
      </c>
      <c r="W159" t="inlineStr">
        <is>
          <t>https://nvd.nist.gov/vuln/detail/CVE-2025-13727</t>
        </is>
      </c>
      <c r="X159" t="inlineStr">
        <is>
          <t>NONE</t>
        </is>
      </c>
      <c r="Y159" t="n">
        <v>0</v>
      </c>
      <c r="Z159" t="inlineStr"/>
      <c r="AA159" t="inlineStr">
        <is>
          <t>https://nvd.nist.gov/vuln/detail/CVE-2025-13727</t>
        </is>
      </c>
    </row>
    <row r="160">
      <c r="A160" t="inlineStr">
        <is>
          <t>CVE</t>
        </is>
      </c>
      <c r="B160" t="inlineStr">
        <is>
          <t>CVE-2026-2126</t>
        </is>
      </c>
      <c r="C160" t="inlineStr">
        <is>
          <t>The User Submitted Posts – Enable Users to Submit Posts from the Front End plugin for WordPress is vulnerable to Incorrect Authorization in all versions up to, and including, 20260113. This is due to the `usp_get_submitted_category()` function accepting user-submitted category IDs from the POST body without validating them against the admin-configured allowed categories stored in `usp_options['categories']`. This makes it possible for unauthenticated attackers to assign submitted posts to arbitr</t>
        </is>
      </c>
      <c r="D160" t="n">
        <v>5.3</v>
      </c>
      <c r="E160" t="inlineStr">
        <is>
          <t>MEDIUM</t>
        </is>
      </c>
      <c r="F160" t="n">
        <v>2</v>
      </c>
      <c r="G160" t="n">
        <v>2</v>
      </c>
      <c r="H160" t="inlineStr">
        <is>
          <t>MEDIUM</t>
        </is>
      </c>
      <c r="I160" t="n">
        <v>9.300000000000001</v>
      </c>
      <c r="J160" t="inlineStr">
        <is>
          <t>NO</t>
        </is>
      </c>
      <c r="K160" t="inlineStr">
        <is>
          <t>2026-02-23 23:48</t>
        </is>
      </c>
      <c r="L160" t="inlineStr">
        <is>
          <t>CHECK_VENDOR</t>
        </is>
      </c>
      <c r="M160" t="inlineStr">
        <is>
          <t>See CVE details</t>
        </is>
      </c>
      <c r="N160" t="inlineStr">
        <is>
          <t>P4</t>
        </is>
      </c>
      <c r="O160" t="inlineStr">
        <is>
          <t>CVE - IP enrichment n/a</t>
        </is>
      </c>
      <c r="P160" t="n">
        <v>0</v>
      </c>
      <c r="Q160" t="n">
        <v>0</v>
      </c>
      <c r="R160" t="inlineStr">
        <is>
          <t>T1190:Exploit Public-Facing Application</t>
        </is>
      </c>
      <c r="S160" t="n">
        <v>1</v>
      </c>
      <c r="T160" t="inlineStr">
        <is>
          <t>LOW (40%)</t>
        </is>
      </c>
      <c r="U160" t="inlineStr">
        <is>
          <t>UNLIKELY</t>
        </is>
      </c>
      <c r="V160" t="inlineStr">
        <is>
          <t>CHECK_VENDOR</t>
        </is>
      </c>
      <c r="W160" t="inlineStr">
        <is>
          <t>https://nvd.nist.gov/vuln/detail/CVE-2026-2126</t>
        </is>
      </c>
      <c r="X160" t="inlineStr">
        <is>
          <t>NONE</t>
        </is>
      </c>
      <c r="Y160" t="n">
        <v>0</v>
      </c>
      <c r="Z160" t="inlineStr"/>
      <c r="AA160" t="inlineStr">
        <is>
          <t>https://nvd.nist.gov/vuln/detail/CVE-2026-2126</t>
        </is>
      </c>
    </row>
    <row r="161">
      <c r="A161" t="inlineStr">
        <is>
          <t>CVE</t>
        </is>
      </c>
      <c r="B161" t="inlineStr">
        <is>
          <t>CVE-2025-14444</t>
        </is>
      </c>
      <c r="C161" t="inlineStr">
        <is>
          <t>The RegistrationMagic – Custom Registration Forms, User Registration, Payment, and User Login plugin for WordPress is vulnerable to payment bypass due to insufficient verification of data authenticity on the 'process_paypal_sdk_payment' function in all versions up to, and including, 6.0.6.9. This is due to the plugin trusting client-supplied values for payment verification without validating that the payment actually went through PayPal. This makes it possible for unauthenticated attackers to by</t>
        </is>
      </c>
      <c r="D161" t="n">
        <v>5.3</v>
      </c>
      <c r="E161" t="inlineStr">
        <is>
          <t>MEDIUM</t>
        </is>
      </c>
      <c r="F161" t="n">
        <v>2</v>
      </c>
      <c r="G161" t="n">
        <v>2</v>
      </c>
      <c r="H161" t="inlineStr">
        <is>
          <t>MEDIUM</t>
        </is>
      </c>
      <c r="I161" t="n">
        <v>9.300000000000001</v>
      </c>
      <c r="J161" t="inlineStr">
        <is>
          <t>NO</t>
        </is>
      </c>
      <c r="K161" t="inlineStr">
        <is>
          <t>2026-02-23 23:48</t>
        </is>
      </c>
      <c r="L161" t="inlineStr">
        <is>
          <t>CHECK_VENDOR</t>
        </is>
      </c>
      <c r="M161" t="inlineStr">
        <is>
          <t>See CVE details</t>
        </is>
      </c>
      <c r="N161" t="inlineStr">
        <is>
          <t>P4</t>
        </is>
      </c>
      <c r="O161" t="inlineStr">
        <is>
          <t>CVE - IP enrichment n/a</t>
        </is>
      </c>
      <c r="P161" t="n">
        <v>0</v>
      </c>
      <c r="Q161" t="n">
        <v>0</v>
      </c>
      <c r="R161" t="inlineStr">
        <is>
          <t>T1190:Exploit Public-Facing Application</t>
        </is>
      </c>
      <c r="S161" t="n">
        <v>1</v>
      </c>
      <c r="T161" t="inlineStr">
        <is>
          <t>LOW (40%)</t>
        </is>
      </c>
      <c r="U161" t="inlineStr">
        <is>
          <t>UNLIKELY</t>
        </is>
      </c>
      <c r="V161" t="inlineStr">
        <is>
          <t>CHECK_VENDOR</t>
        </is>
      </c>
      <c r="W161" t="inlineStr">
        <is>
          <t>https://nvd.nist.gov/vuln/detail/CVE-2025-14444</t>
        </is>
      </c>
      <c r="X161" t="inlineStr">
        <is>
          <t>NONE</t>
        </is>
      </c>
      <c r="Y161" t="n">
        <v>0</v>
      </c>
      <c r="Z161" t="inlineStr"/>
      <c r="AA161" t="inlineStr">
        <is>
          <t>https://nvd.nist.gov/vuln/detail/CVE-2025-14444</t>
        </is>
      </c>
    </row>
    <row r="162">
      <c r="A162" t="inlineStr">
        <is>
          <t>CVE</t>
        </is>
      </c>
      <c r="B162" t="inlineStr">
        <is>
          <t>CVE-2026-1942</t>
        </is>
      </c>
      <c r="C162" t="inlineStr">
        <is>
          <t>The Blog2Social: Social Media Auto Post &amp; Scheduler plugin for WordPress is vulnerable to unauthorized modification of data due to a missing capability check on the b2s_curation_draft AJAX action in all versions up to, and including, 8.7.4. The curationDraft() function only verifies current_user_can('read') without checking whether the user has edit_post permission for the target post. Combined with the plugin granting UI access and nonce exposure to all roles, this makes it possible for authent</t>
        </is>
      </c>
      <c r="D162" t="n">
        <v>6.5</v>
      </c>
      <c r="E162" t="inlineStr">
        <is>
          <t>MEDIUM</t>
        </is>
      </c>
      <c r="F162" t="n">
        <v>2</v>
      </c>
      <c r="G162" t="n">
        <v>2</v>
      </c>
      <c r="H162" t="inlineStr">
        <is>
          <t>MEDIUM</t>
        </is>
      </c>
      <c r="I162" t="n">
        <v>10.5</v>
      </c>
      <c r="J162" t="inlineStr">
        <is>
          <t>NO</t>
        </is>
      </c>
      <c r="K162" t="inlineStr">
        <is>
          <t>2026-02-23 23:48</t>
        </is>
      </c>
      <c r="L162" t="inlineStr">
        <is>
          <t>CHECK_VENDOR</t>
        </is>
      </c>
      <c r="M162" t="inlineStr">
        <is>
          <t>See CVE details</t>
        </is>
      </c>
      <c r="N162" t="inlineStr">
        <is>
          <t>P4</t>
        </is>
      </c>
      <c r="O162" t="inlineStr">
        <is>
          <t>CVE - IP enrichment n/a</t>
        </is>
      </c>
      <c r="P162" t="n">
        <v>0</v>
      </c>
      <c r="Q162" t="n">
        <v>0</v>
      </c>
      <c r="R162" t="inlineStr">
        <is>
          <t>T1190:Exploit Public-Facing Application</t>
        </is>
      </c>
      <c r="S162" t="n">
        <v>1</v>
      </c>
      <c r="T162" t="inlineStr">
        <is>
          <t>LOW (40%)</t>
        </is>
      </c>
      <c r="U162" t="inlineStr">
        <is>
          <t>UNLIKELY</t>
        </is>
      </c>
      <c r="V162" t="inlineStr">
        <is>
          <t>CHECK_VENDOR</t>
        </is>
      </c>
      <c r="W162" t="inlineStr">
        <is>
          <t>https://nvd.nist.gov/vuln/detail/CVE-2026-1942</t>
        </is>
      </c>
      <c r="X162" t="inlineStr">
        <is>
          <t>NONE</t>
        </is>
      </c>
      <c r="Y162" t="n">
        <v>0</v>
      </c>
      <c r="Z162" t="inlineStr"/>
      <c r="AA162" t="inlineStr">
        <is>
          <t>https://nvd.nist.gov/vuln/detail/CVE-2026-1942</t>
        </is>
      </c>
    </row>
    <row r="163">
      <c r="A163" t="inlineStr">
        <is>
          <t>CVE</t>
        </is>
      </c>
      <c r="B163" t="inlineStr">
        <is>
          <t>CVE-2026-2426</t>
        </is>
      </c>
      <c r="C163" t="inlineStr">
        <is>
          <t>The WP-DownloadManager plugin for WordPress is vulnerable to Path Traversal in all versions up to, and including, 1.69 via the 'file' parameter in the file deletion functionality. This is due to insufficient validation of user-supplied file paths, allowing directory traversal sequences. This makes it possible for authenticated attackers, with Administrator-level access and above, to delete arbitrary files on the server, which can lead to remote code execution when critical files like wp-config.p</t>
        </is>
      </c>
      <c r="D163" t="n">
        <v>6.5</v>
      </c>
      <c r="E163" t="inlineStr">
        <is>
          <t>MEDIUM</t>
        </is>
      </c>
      <c r="F163" t="n">
        <v>2</v>
      </c>
      <c r="G163" t="n">
        <v>2</v>
      </c>
      <c r="H163" t="inlineStr">
        <is>
          <t>MEDIUM</t>
        </is>
      </c>
      <c r="I163" t="n">
        <v>10.5</v>
      </c>
      <c r="J163" t="inlineStr">
        <is>
          <t>NO</t>
        </is>
      </c>
      <c r="K163" t="inlineStr">
        <is>
          <t>2026-02-23 23:48</t>
        </is>
      </c>
      <c r="L163" t="inlineStr">
        <is>
          <t>CHECK_VENDOR</t>
        </is>
      </c>
      <c r="M163" t="inlineStr">
        <is>
          <t>See CVE details</t>
        </is>
      </c>
      <c r="N163" t="inlineStr">
        <is>
          <t>P4</t>
        </is>
      </c>
      <c r="O163" t="inlineStr">
        <is>
          <t>CVE - IP enrichment n/a</t>
        </is>
      </c>
      <c r="P163" t="n">
        <v>0</v>
      </c>
      <c r="Q163" t="n">
        <v>0</v>
      </c>
      <c r="R163" t="inlineStr">
        <is>
          <t>T1083:File and Directory Discovery | T1190:Exploit Public-Facing Application | T1210:Exploitation of Remote Services</t>
        </is>
      </c>
      <c r="S163" t="n">
        <v>1</v>
      </c>
      <c r="T163" t="inlineStr">
        <is>
          <t>LOW (40%)</t>
        </is>
      </c>
      <c r="U163" t="inlineStr">
        <is>
          <t>UNLIKELY</t>
        </is>
      </c>
      <c r="V163" t="inlineStr">
        <is>
          <t>CHECK_VENDOR</t>
        </is>
      </c>
      <c r="W163" t="inlineStr">
        <is>
          <t>https://nvd.nist.gov/vuln/detail/CVE-2026-2426</t>
        </is>
      </c>
      <c r="X163" t="inlineStr">
        <is>
          <t>NONE</t>
        </is>
      </c>
      <c r="Y163" t="n">
        <v>0</v>
      </c>
      <c r="Z163" t="inlineStr"/>
      <c r="AA163" t="inlineStr">
        <is>
          <t>https://nvd.nist.gov/vuln/detail/CVE-2026-2426</t>
        </is>
      </c>
    </row>
    <row r="164">
      <c r="A164" t="inlineStr">
        <is>
          <t>CVE</t>
        </is>
      </c>
      <c r="B164" t="inlineStr">
        <is>
          <t>CVE-2026-2653</t>
        </is>
      </c>
      <c r="C164" t="inlineStr">
        <is>
          <t>A security flaw has been discovered in admesh up to 0.98.5. This issue affects the function stl_check_normal_vector of the file src/normals.c. Performing a manipulation results in heap-based buffer overflow. The attack must be initiated from a local position. The exploit has been released to the public and may be used for attacks. It looks like this product is not really maintained anymore.</t>
        </is>
      </c>
      <c r="D164" t="n">
        <v>5.3</v>
      </c>
      <c r="E164" t="inlineStr">
        <is>
          <t>MEDIUM</t>
        </is>
      </c>
      <c r="F164" t="n">
        <v>2</v>
      </c>
      <c r="G164" t="n">
        <v>2</v>
      </c>
      <c r="H164" t="inlineStr">
        <is>
          <t>MEDIUM</t>
        </is>
      </c>
      <c r="I164" t="n">
        <v>9.300000000000001</v>
      </c>
      <c r="J164" t="inlineStr">
        <is>
          <t>NO</t>
        </is>
      </c>
      <c r="K164" t="inlineStr">
        <is>
          <t>2026-02-23 23:48</t>
        </is>
      </c>
      <c r="L164" t="inlineStr">
        <is>
          <t>CHECK_VENDOR</t>
        </is>
      </c>
      <c r="M164" t="inlineStr">
        <is>
          <t>admesh_project admesh *</t>
        </is>
      </c>
      <c r="N164" t="inlineStr">
        <is>
          <t>P4</t>
        </is>
      </c>
      <c r="O164" t="inlineStr">
        <is>
          <t>CVE - IP enrichment n/a</t>
        </is>
      </c>
      <c r="P164" t="n">
        <v>0</v>
      </c>
      <c r="Q164" t="n">
        <v>0</v>
      </c>
      <c r="R164" t="inlineStr">
        <is>
          <t>T1203:Exploitation for Client Execution</t>
        </is>
      </c>
      <c r="S164" t="n">
        <v>1</v>
      </c>
      <c r="T164" t="inlineStr">
        <is>
          <t>LOW (40%)</t>
        </is>
      </c>
      <c r="U164" t="inlineStr">
        <is>
          <t>UNLIKELY</t>
        </is>
      </c>
      <c r="V164" t="inlineStr">
        <is>
          <t>CHECK_VENDOR</t>
        </is>
      </c>
      <c r="W164" t="inlineStr">
        <is>
          <t>https://nvd.nist.gov/vuln/detail/CVE-2026-2653</t>
        </is>
      </c>
      <c r="X164" t="inlineStr">
        <is>
          <t>NONE</t>
        </is>
      </c>
      <c r="Y164" t="n">
        <v>0</v>
      </c>
      <c r="Z164" t="inlineStr"/>
      <c r="AA164" t="inlineStr">
        <is>
          <t>https://nvd.nist.gov/vuln/detail/CVE-2026-2653</t>
        </is>
      </c>
    </row>
    <row r="165">
      <c r="A165" t="inlineStr">
        <is>
          <t>CVE</t>
        </is>
      </c>
      <c r="B165" t="inlineStr">
        <is>
          <t>CVE-2025-14799</t>
        </is>
      </c>
      <c r="C165" t="inlineStr">
        <is>
          <t xml:space="preserve">The Brevo - Email, SMS, Web Push, Chat, and more. plugin for WordPress is vulnerable to authorization bypass due to type juggling in all versions up to, and including, 3.3.0. This is due to the use of loose comparison (==) instead of strict comparison (===) when validating the installation ID in the `/wp-json/mailin/v1/mailin_disconnect` REST API endpoint. This makes it possible for unauthenticated attackers to disconnect the Brevo integration, delete the API key, remove all subscription forms, </t>
        </is>
      </c>
      <c r="D165" t="n">
        <v>6.5</v>
      </c>
      <c r="E165" t="inlineStr">
        <is>
          <t>MEDIUM</t>
        </is>
      </c>
      <c r="F165" t="n">
        <v>2</v>
      </c>
      <c r="G165" t="n">
        <v>2</v>
      </c>
      <c r="H165" t="inlineStr">
        <is>
          <t>MEDIUM</t>
        </is>
      </c>
      <c r="I165" t="n">
        <v>10.5</v>
      </c>
      <c r="J165" t="inlineStr">
        <is>
          <t>NO</t>
        </is>
      </c>
      <c r="K165" t="inlineStr">
        <is>
          <t>2026-02-23 23:48</t>
        </is>
      </c>
      <c r="L165" t="inlineStr">
        <is>
          <t>CHECK_VENDOR</t>
        </is>
      </c>
      <c r="M165" t="inlineStr">
        <is>
          <t>See CVE details</t>
        </is>
      </c>
      <c r="N165" t="inlineStr">
        <is>
          <t>P4</t>
        </is>
      </c>
      <c r="O165" t="inlineStr">
        <is>
          <t>CVE - IP enrichment n/a</t>
        </is>
      </c>
      <c r="P165" t="n">
        <v>0</v>
      </c>
      <c r="Q165" t="n">
        <v>0</v>
      </c>
      <c r="R165" t="inlineStr">
        <is>
          <t>T1190:Exploit Public-Facing Application</t>
        </is>
      </c>
      <c r="S165" t="n">
        <v>1</v>
      </c>
      <c r="T165" t="inlineStr">
        <is>
          <t>LOW (40%)</t>
        </is>
      </c>
      <c r="U165" t="inlineStr">
        <is>
          <t>UNLIKELY</t>
        </is>
      </c>
      <c r="V165" t="inlineStr">
        <is>
          <t>CHECK_VENDOR</t>
        </is>
      </c>
      <c r="W165" t="inlineStr">
        <is>
          <t>https://nvd.nist.gov/vuln/detail/CVE-2025-14799</t>
        </is>
      </c>
      <c r="X165" t="inlineStr">
        <is>
          <t>NONE</t>
        </is>
      </c>
      <c r="Y165" t="n">
        <v>0</v>
      </c>
      <c r="Z165" t="inlineStr"/>
      <c r="AA165" t="inlineStr">
        <is>
          <t>https://nvd.nist.gov/vuln/detail/CVE-2025-14799</t>
        </is>
      </c>
    </row>
    <row r="166">
      <c r="A166" t="inlineStr">
        <is>
          <t>CVE</t>
        </is>
      </c>
      <c r="B166" t="inlineStr">
        <is>
          <t>CVE-2025-7630</t>
        </is>
      </c>
      <c r="C166" t="inlineStr">
        <is>
          <t>Improper Restriction of Excessive Authentication Attempts, Improper Authentication vulnerability in Doruk Communication and Automation Industry and Trade Inc. Wispotter allows Password Brute Forcing, Brute Force.This issue affects Wispotter: from 1.0 before v2025.10.08.1.</t>
        </is>
      </c>
      <c r="D166" t="n">
        <v>5.3</v>
      </c>
      <c r="E166" t="inlineStr">
        <is>
          <t>MEDIUM</t>
        </is>
      </c>
      <c r="F166" t="n">
        <v>2</v>
      </c>
      <c r="G166" t="n">
        <v>2</v>
      </c>
      <c r="H166" t="inlineStr">
        <is>
          <t>MEDIUM</t>
        </is>
      </c>
      <c r="I166" t="n">
        <v>9.300000000000001</v>
      </c>
      <c r="J166" t="inlineStr">
        <is>
          <t>NO</t>
        </is>
      </c>
      <c r="K166" t="inlineStr">
        <is>
          <t>2026-02-23 23:48</t>
        </is>
      </c>
      <c r="L166" t="inlineStr">
        <is>
          <t>CHECK_VENDOR</t>
        </is>
      </c>
      <c r="M166" t="inlineStr">
        <is>
          <t>See CVE details</t>
        </is>
      </c>
      <c r="N166" t="inlineStr">
        <is>
          <t>P4</t>
        </is>
      </c>
      <c r="O166" t="inlineStr">
        <is>
          <t>CVE - IP enrichment n/a</t>
        </is>
      </c>
      <c r="P166" t="n">
        <v>0</v>
      </c>
      <c r="Q166" t="n">
        <v>0</v>
      </c>
      <c r="R166" t="inlineStr">
        <is>
          <t>T1078:Valid Accounts | T1110:Brute Force | T1190:Exploit Public-Facing Application</t>
        </is>
      </c>
      <c r="S166" t="n">
        <v>1</v>
      </c>
      <c r="T166" t="inlineStr">
        <is>
          <t>LOW (40%)</t>
        </is>
      </c>
      <c r="U166" t="inlineStr">
        <is>
          <t>UNLIKELY</t>
        </is>
      </c>
      <c r="V166" t="inlineStr">
        <is>
          <t>CHECK_VENDOR</t>
        </is>
      </c>
      <c r="W166" t="inlineStr">
        <is>
          <t>https://nvd.nist.gov/vuln/detail/CVE-2025-7630</t>
        </is>
      </c>
      <c r="X166" t="inlineStr">
        <is>
          <t>NONE</t>
        </is>
      </c>
      <c r="Y166" t="n">
        <v>0</v>
      </c>
      <c r="Z166" t="inlineStr"/>
      <c r="AA166" t="inlineStr">
        <is>
          <t>https://nvd.nist.gov/vuln/detail/CVE-2025-7630</t>
        </is>
      </c>
    </row>
    <row r="167">
      <c r="A167" t="inlineStr">
        <is>
          <t>CVE</t>
        </is>
      </c>
      <c r="B167" t="inlineStr">
        <is>
          <t>CVE-2025-8781</t>
        </is>
      </c>
      <c r="C167" t="inlineStr">
        <is>
          <t>The Bookster – WordPress Appointment Booking Plugin plugin for WordPress is vulnerable to SQL Injection via the ‘raw’ parameter in all versions up to, and including, 2.1.1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t>
        </is>
      </c>
      <c r="D167" t="n">
        <v>4.9</v>
      </c>
      <c r="E167" t="inlineStr">
        <is>
          <t>MEDIUM</t>
        </is>
      </c>
      <c r="F167" t="n">
        <v>2</v>
      </c>
      <c r="G167" t="n">
        <v>2</v>
      </c>
      <c r="H167" t="inlineStr">
        <is>
          <t>MEDIUM</t>
        </is>
      </c>
      <c r="I167" t="n">
        <v>8.9</v>
      </c>
      <c r="J167" t="inlineStr">
        <is>
          <t>NO</t>
        </is>
      </c>
      <c r="K167" t="inlineStr">
        <is>
          <t>2026-02-23 23:48</t>
        </is>
      </c>
      <c r="L167" t="inlineStr">
        <is>
          <t>CHECK_VENDOR</t>
        </is>
      </c>
      <c r="M167" t="inlineStr">
        <is>
          <t>See CVE details</t>
        </is>
      </c>
      <c r="N167" t="inlineStr">
        <is>
          <t>P4</t>
        </is>
      </c>
      <c r="O167" t="inlineStr">
        <is>
          <t>CVE - IP enrichment n/a</t>
        </is>
      </c>
      <c r="P167" t="n">
        <v>0.0002</v>
      </c>
      <c r="Q167" t="n">
        <v>0.0582</v>
      </c>
      <c r="R167" t="inlineStr">
        <is>
          <t>T1190:Exploit Public-Facing Application</t>
        </is>
      </c>
      <c r="S167" t="n">
        <v>1</v>
      </c>
      <c r="T167" t="inlineStr">
        <is>
          <t>LOW (40%)</t>
        </is>
      </c>
      <c r="U167" t="inlineStr">
        <is>
          <t>UNLIKELY</t>
        </is>
      </c>
      <c r="V167" t="inlineStr">
        <is>
          <t>CHECK_VENDOR</t>
        </is>
      </c>
      <c r="W167" t="inlineStr">
        <is>
          <t>https://nvd.nist.gov/vuln/detail/CVE-2025-8781</t>
        </is>
      </c>
      <c r="X167" t="inlineStr">
        <is>
          <t>NONE</t>
        </is>
      </c>
      <c r="Y167" t="n">
        <v>0</v>
      </c>
      <c r="Z167" t="inlineStr"/>
      <c r="AA167" t="inlineStr">
        <is>
          <t>https://nvd.nist.gov/vuln/detail/CVE-2025-8781</t>
        </is>
      </c>
    </row>
    <row r="168">
      <c r="A168" t="inlineStr">
        <is>
          <t>CVE</t>
        </is>
      </c>
      <c r="B168" t="inlineStr">
        <is>
          <t>CVE-2026-1317</t>
        </is>
      </c>
      <c r="C168" t="inlineStr">
        <is>
          <t>The WP Import – Ultimate CSV XML Importer for WordPress plugin for WordPress is vulnerable to SQL Injection in all versions up to, and including, 7.37. This is due to insufficient escaping on the `file_name` parameter which is stored in the database during file upload and later used in raw SQL queries without proper sanitization. This makes it possible for authenticated attackers with Subscriber-level access or higher to append additional SQL queries into already existing queries via a malicious</t>
        </is>
      </c>
      <c r="D168" t="n">
        <v>6.5</v>
      </c>
      <c r="E168" t="inlineStr">
        <is>
          <t>MEDIUM</t>
        </is>
      </c>
      <c r="F168" t="n">
        <v>2</v>
      </c>
      <c r="G168" t="n">
        <v>2</v>
      </c>
      <c r="H168" t="inlineStr">
        <is>
          <t>MEDIUM</t>
        </is>
      </c>
      <c r="I168" t="n">
        <v>10.5</v>
      </c>
      <c r="J168" t="inlineStr">
        <is>
          <t>NO</t>
        </is>
      </c>
      <c r="K168" t="inlineStr">
        <is>
          <t>2026-02-23 23:48</t>
        </is>
      </c>
      <c r="L168" t="inlineStr">
        <is>
          <t>CHECK_VENDOR</t>
        </is>
      </c>
      <c r="M168" t="inlineStr">
        <is>
          <t>See CVE details</t>
        </is>
      </c>
      <c r="N168" t="inlineStr">
        <is>
          <t>P4</t>
        </is>
      </c>
      <c r="O168" t="inlineStr">
        <is>
          <t>CVE - IP enrichment n/a</t>
        </is>
      </c>
      <c r="P168" t="n">
        <v>0</v>
      </c>
      <c r="Q168" t="n">
        <v>0</v>
      </c>
      <c r="R168" t="inlineStr">
        <is>
          <t>T1190:Exploit Public-Facing Application</t>
        </is>
      </c>
      <c r="S168" t="n">
        <v>1</v>
      </c>
      <c r="T168" t="inlineStr">
        <is>
          <t>LOW (40%)</t>
        </is>
      </c>
      <c r="U168" t="inlineStr">
        <is>
          <t>UNLIKELY</t>
        </is>
      </c>
      <c r="V168" t="inlineStr">
        <is>
          <t>CHECK_VENDOR</t>
        </is>
      </c>
      <c r="W168" t="inlineStr">
        <is>
          <t>https://nvd.nist.gov/vuln/detail/CVE-2026-1317</t>
        </is>
      </c>
      <c r="X168" t="inlineStr">
        <is>
          <t>NONE</t>
        </is>
      </c>
      <c r="Y168" t="n">
        <v>0</v>
      </c>
      <c r="Z168" t="inlineStr"/>
      <c r="AA168" t="inlineStr">
        <is>
          <t>https://nvd.nist.gov/vuln/detail/CVE-2026-1317</t>
        </is>
      </c>
    </row>
    <row r="169">
      <c r="A169" t="inlineStr">
        <is>
          <t>CVE</t>
        </is>
      </c>
      <c r="B169" t="inlineStr">
        <is>
          <t>CVE-2026-1582</t>
        </is>
      </c>
      <c r="C169" t="inlineStr">
        <is>
          <t>The WP All Export plugin for WordPress is vulnerable to Sensitive Information Exposure in all versions up to, and including, 1.4.14 via the export download endpoint. This is due to a PHP type juggling vulnerability in the security token comparison which uses loose comparison (==) instead of strict comparison (===). This makes it possible for unauthenticated attackers to bypass authentication using "magic hash" values when the expected MD5 hash prefix happens to be numeric-looking (matching patte</t>
        </is>
      </c>
      <c r="D169" t="n">
        <v>3.7</v>
      </c>
      <c r="E169" t="inlineStr">
        <is>
          <t>LOW</t>
        </is>
      </c>
      <c r="F169" t="n">
        <v>2</v>
      </c>
      <c r="G169" t="n">
        <v>1</v>
      </c>
      <c r="H169" t="inlineStr">
        <is>
          <t>LOW</t>
        </is>
      </c>
      <c r="I169" t="n">
        <v>5.7</v>
      </c>
      <c r="J169" t="inlineStr">
        <is>
          <t>NO</t>
        </is>
      </c>
      <c r="K169" t="inlineStr">
        <is>
          <t>2026-02-23 23:48</t>
        </is>
      </c>
      <c r="L169" t="inlineStr">
        <is>
          <t>CHECK_VENDOR</t>
        </is>
      </c>
      <c r="M169" t="inlineStr">
        <is>
          <t>See CVE details</t>
        </is>
      </c>
      <c r="N169" t="inlineStr">
        <is>
          <t>P4</t>
        </is>
      </c>
      <c r="O169" t="inlineStr">
        <is>
          <t>CVE - IP enrichment n/a</t>
        </is>
      </c>
      <c r="P169" t="n">
        <v>0</v>
      </c>
      <c r="Q169" t="n">
        <v>0</v>
      </c>
      <c r="R169" t="inlineStr">
        <is>
          <t>T1213:Data from Information Repositories</t>
        </is>
      </c>
      <c r="S169" t="n">
        <v>1</v>
      </c>
      <c r="T169" t="inlineStr">
        <is>
          <t>LOW (40%)</t>
        </is>
      </c>
      <c r="U169" t="inlineStr">
        <is>
          <t>UNLIKELY</t>
        </is>
      </c>
      <c r="V169" t="inlineStr">
        <is>
          <t>CHECK_VENDOR</t>
        </is>
      </c>
      <c r="W169" t="inlineStr">
        <is>
          <t>https://nvd.nist.gov/vuln/detail/CVE-2026-1582</t>
        </is>
      </c>
      <c r="X169" t="inlineStr">
        <is>
          <t>NONE</t>
        </is>
      </c>
      <c r="Y169" t="n">
        <v>0</v>
      </c>
      <c r="Z169" t="inlineStr"/>
      <c r="AA169" t="inlineStr">
        <is>
          <t>https://nvd.nist.gov/vuln/detail/CVE-2026-1582</t>
        </is>
      </c>
    </row>
    <row r="170">
      <c r="A170" t="inlineStr">
        <is>
          <t>CVE</t>
        </is>
      </c>
      <c r="B170" t="inlineStr">
        <is>
          <t>CVE-2026-2386</t>
        </is>
      </c>
      <c r="C170" t="inlineStr">
        <is>
          <t>The The Plus Addons for Elementor – Addons for Elementor, Page Templates, Widgets, Mega Menu, WooCommerce plugin for WordPress is vulnerable to Incorrect Authorization in all versions up to, and including, 6.4.7. This is due to the tpae_create_page() AJAX handler authorizing users only with current_user_can('edit_posts') while accepting a user-controlled 'post_type' value passed directly to wp_insert_post() without post-type-specific capability checks. This makes it possible for authenticated at</t>
        </is>
      </c>
      <c r="D170" t="n">
        <v>4.3</v>
      </c>
      <c r="E170" t="inlineStr">
        <is>
          <t>MEDIUM</t>
        </is>
      </c>
      <c r="F170" t="n">
        <v>2</v>
      </c>
      <c r="G170" t="n">
        <v>2</v>
      </c>
      <c r="H170" t="inlineStr">
        <is>
          <t>MEDIUM</t>
        </is>
      </c>
      <c r="I170" t="n">
        <v>8.300000000000001</v>
      </c>
      <c r="J170" t="inlineStr">
        <is>
          <t>NO</t>
        </is>
      </c>
      <c r="K170" t="inlineStr">
        <is>
          <t>2026-02-23 23:48</t>
        </is>
      </c>
      <c r="L170" t="inlineStr">
        <is>
          <t>CHECK_VENDOR</t>
        </is>
      </c>
      <c r="M170" t="inlineStr">
        <is>
          <t>See CVE details</t>
        </is>
      </c>
      <c r="N170" t="inlineStr">
        <is>
          <t>P4</t>
        </is>
      </c>
      <c r="O170" t="inlineStr">
        <is>
          <t>CVE - IP enrichment n/a</t>
        </is>
      </c>
      <c r="P170" t="n">
        <v>0</v>
      </c>
      <c r="Q170" t="n">
        <v>0</v>
      </c>
      <c r="R170" t="inlineStr">
        <is>
          <t>T1190:Exploit Public-Facing Application</t>
        </is>
      </c>
      <c r="S170" t="n">
        <v>1</v>
      </c>
      <c r="T170" t="inlineStr">
        <is>
          <t>LOW (40%)</t>
        </is>
      </c>
      <c r="U170" t="inlineStr">
        <is>
          <t>UNLIKELY</t>
        </is>
      </c>
      <c r="V170" t="inlineStr">
        <is>
          <t>CHECK_VENDOR</t>
        </is>
      </c>
      <c r="W170" t="inlineStr">
        <is>
          <t>https://nvd.nist.gov/vuln/detail/CVE-2026-2386</t>
        </is>
      </c>
      <c r="X170" t="inlineStr">
        <is>
          <t>NONE</t>
        </is>
      </c>
      <c r="Y170" t="n">
        <v>0</v>
      </c>
      <c r="Z170" t="inlineStr"/>
      <c r="AA170" t="inlineStr">
        <is>
          <t>https://nvd.nist.gov/vuln/detail/CVE-2026-2386</t>
        </is>
      </c>
    </row>
    <row r="171">
      <c r="A171" t="inlineStr">
        <is>
          <t>CVE</t>
        </is>
      </c>
      <c r="B171" t="inlineStr">
        <is>
          <t>CVE-2025-14340</t>
        </is>
      </c>
      <c r="C171" t="inlineStr">
        <is>
          <t>Cross-site scripting in REST Management Interface in Payara Server &lt;4.1.2.191.54, &lt;5.83.0, &lt;6.34.0, &lt;7.2026.1 allows an attacker to mislead the administrator to change the admin password via URL Payload.</t>
        </is>
      </c>
      <c r="D171" t="n">
        <v>5</v>
      </c>
      <c r="E171" t="inlineStr">
        <is>
          <t>MEDIUM</t>
        </is>
      </c>
      <c r="F171" t="n">
        <v>2</v>
      </c>
      <c r="G171" t="n">
        <v>2</v>
      </c>
      <c r="H171" t="inlineStr">
        <is>
          <t>MEDIUM</t>
        </is>
      </c>
      <c r="I171" t="n">
        <v>9</v>
      </c>
      <c r="J171" t="inlineStr">
        <is>
          <t>NO</t>
        </is>
      </c>
      <c r="K171" t="inlineStr">
        <is>
          <t>2026-02-23 23:48</t>
        </is>
      </c>
      <c r="L171" t="inlineStr">
        <is>
          <t>CHECK_VENDOR</t>
        </is>
      </c>
      <c r="M171" t="inlineStr">
        <is>
          <t>See CVE details</t>
        </is>
      </c>
      <c r="N171" t="inlineStr">
        <is>
          <t>P4</t>
        </is>
      </c>
      <c r="O171" t="inlineStr">
        <is>
          <t>CVE - IP enrichment n/a</t>
        </is>
      </c>
      <c r="P171" t="n">
        <v>0</v>
      </c>
      <c r="Q171" t="n">
        <v>0</v>
      </c>
      <c r="R171" t="inlineStr">
        <is>
          <t>T1189:Drive-by Compromise</t>
        </is>
      </c>
      <c r="S171" t="n">
        <v>1</v>
      </c>
      <c r="T171" t="inlineStr">
        <is>
          <t>LOW (40%)</t>
        </is>
      </c>
      <c r="U171" t="inlineStr">
        <is>
          <t>UNLIKELY</t>
        </is>
      </c>
      <c r="V171" t="inlineStr">
        <is>
          <t>CHECK_VENDOR</t>
        </is>
      </c>
      <c r="W171" t="inlineStr">
        <is>
          <t>https://nvd.nist.gov/vuln/detail/CVE-2025-14340</t>
        </is>
      </c>
      <c r="X171" t="inlineStr">
        <is>
          <t>NONE</t>
        </is>
      </c>
      <c r="Y171" t="n">
        <v>0</v>
      </c>
      <c r="Z171" t="inlineStr"/>
      <c r="AA171" t="inlineStr">
        <is>
          <t>https://nvd.nist.gov/vuln/detail/CVE-2025-14340</t>
        </is>
      </c>
    </row>
    <row r="172">
      <c r="A172" t="inlineStr">
        <is>
          <t>CVE</t>
        </is>
      </c>
      <c r="B172" t="inlineStr">
        <is>
          <t>CVE-2025-33236</t>
        </is>
      </c>
      <c r="C172" t="inlineStr">
        <is>
          <t>NVIDIA NeMo Framework contains a vulnerability where malicious data created by an attacker could cause code injection. A successful exploit of this vulnerability might lead to code execution, escalation of privileges, information disclosure, and data tampering.</t>
        </is>
      </c>
      <c r="D172" t="n">
        <v>7.8</v>
      </c>
      <c r="E172" t="inlineStr">
        <is>
          <t>HIGH</t>
        </is>
      </c>
      <c r="F172" t="n">
        <v>2</v>
      </c>
      <c r="G172" t="n">
        <v>3</v>
      </c>
      <c r="H172" t="inlineStr">
        <is>
          <t>HIGH</t>
        </is>
      </c>
      <c r="I172" t="n">
        <v>13.8</v>
      </c>
      <c r="J172" t="inlineStr">
        <is>
          <t>NO</t>
        </is>
      </c>
      <c r="K172" t="inlineStr">
        <is>
          <t>2026-02-23 23:48</t>
        </is>
      </c>
      <c r="L172" t="inlineStr">
        <is>
          <t>YES</t>
        </is>
      </c>
      <c r="M172" t="inlineStr">
        <is>
          <t>nvidia nemo *</t>
        </is>
      </c>
      <c r="N172" t="inlineStr">
        <is>
          <t>P3</t>
        </is>
      </c>
      <c r="O172" t="inlineStr">
        <is>
          <t>CVE - IP enrichment n/a</t>
        </is>
      </c>
      <c r="P172" t="n">
        <v>0</v>
      </c>
      <c r="Q172" t="n">
        <v>0</v>
      </c>
      <c r="R172" t="inlineStr">
        <is>
          <t>T1059:Command and Scripting Interpreter | T1213:Data from Information Repositories</t>
        </is>
      </c>
      <c r="S172" t="n">
        <v>1</v>
      </c>
      <c r="T172" t="inlineStr">
        <is>
          <t>LOW (40%)</t>
        </is>
      </c>
      <c r="U172" t="inlineStr">
        <is>
          <t>UNLIKELY</t>
        </is>
      </c>
      <c r="V172" t="inlineStr">
        <is>
          <t>PATCH_AVAILABLE</t>
        </is>
      </c>
      <c r="W172" t="inlineStr">
        <is>
          <t>https://nvd.nist.gov/vuln/detail/CVE-2025-33236</t>
        </is>
      </c>
      <c r="X172" t="inlineStr">
        <is>
          <t>NONE</t>
        </is>
      </c>
      <c r="Y172" t="n">
        <v>0</v>
      </c>
      <c r="Z172" t="inlineStr"/>
      <c r="AA172" t="inlineStr">
        <is>
          <t>https://nvd.nist.gov/vuln/detail/CVE-2025-33236</t>
        </is>
      </c>
    </row>
    <row r="173">
      <c r="A173" t="inlineStr">
        <is>
          <t>CVE</t>
        </is>
      </c>
      <c r="B173" t="inlineStr">
        <is>
          <t>CVE-2025-33239</t>
        </is>
      </c>
      <c r="C173" t="inlineStr">
        <is>
          <t>NVIDIA Megatron Bridge contains a vulnerability in a data merging tutorial, where malicious input could cause a code injection. A successful exploit of this vulnerability might lead to code execution, escalation of privileges, information disclosure, and data tampering.</t>
        </is>
      </c>
      <c r="D173" t="n">
        <v>7.8</v>
      </c>
      <c r="E173" t="inlineStr">
        <is>
          <t>HIGH</t>
        </is>
      </c>
      <c r="F173" t="n">
        <v>2</v>
      </c>
      <c r="G173" t="n">
        <v>3</v>
      </c>
      <c r="H173" t="inlineStr">
        <is>
          <t>HIGH</t>
        </is>
      </c>
      <c r="I173" t="n">
        <v>13.8</v>
      </c>
      <c r="J173" t="inlineStr">
        <is>
          <t>NO</t>
        </is>
      </c>
      <c r="K173" t="inlineStr">
        <is>
          <t>2026-02-23 23:48</t>
        </is>
      </c>
      <c r="L173" t="inlineStr">
        <is>
          <t>CHECK_VENDOR</t>
        </is>
      </c>
      <c r="M173" t="inlineStr">
        <is>
          <t>See CVE details</t>
        </is>
      </c>
      <c r="N173" t="inlineStr">
        <is>
          <t>P3</t>
        </is>
      </c>
      <c r="O173" t="inlineStr">
        <is>
          <t>CVE - IP enrichment n/a</t>
        </is>
      </c>
      <c r="P173" t="n">
        <v>0</v>
      </c>
      <c r="Q173" t="n">
        <v>0</v>
      </c>
      <c r="R173" t="inlineStr">
        <is>
          <t>T1059:Command and Scripting Interpreter | T1213:Data from Information Repositories</t>
        </is>
      </c>
      <c r="S173" t="n">
        <v>1</v>
      </c>
      <c r="T173" t="inlineStr">
        <is>
          <t>LOW (40%)</t>
        </is>
      </c>
      <c r="U173" t="inlineStr">
        <is>
          <t>UNLIKELY</t>
        </is>
      </c>
      <c r="V173" t="inlineStr">
        <is>
          <t>CHECK_VENDOR</t>
        </is>
      </c>
      <c r="W173" t="inlineStr">
        <is>
          <t>https://nvd.nist.gov/vuln/detail/CVE-2025-33239</t>
        </is>
      </c>
      <c r="X173" t="inlineStr">
        <is>
          <t>NONE</t>
        </is>
      </c>
      <c r="Y173" t="n">
        <v>0</v>
      </c>
      <c r="Z173" t="inlineStr"/>
      <c r="AA173" t="inlineStr">
        <is>
          <t>https://nvd.nist.gov/vuln/detail/CVE-2025-33239</t>
        </is>
      </c>
    </row>
    <row r="174">
      <c r="A174" t="inlineStr">
        <is>
          <t>CVE</t>
        </is>
      </c>
      <c r="B174" t="inlineStr">
        <is>
          <t>CVE-2025-33240</t>
        </is>
      </c>
      <c r="C174" t="inlineStr">
        <is>
          <t>NVIDIA Megatron Bridge contains a vulnerability in a data shuffling tutorial, where malicious input could cause a code injection. A successful exploit of this vulnerability might lead to code execution, escalation of privileges, information disclosure, and data tampering.</t>
        </is>
      </c>
      <c r="D174" t="n">
        <v>7.8</v>
      </c>
      <c r="E174" t="inlineStr">
        <is>
          <t>HIGH</t>
        </is>
      </c>
      <c r="F174" t="n">
        <v>2</v>
      </c>
      <c r="G174" t="n">
        <v>3</v>
      </c>
      <c r="H174" t="inlineStr">
        <is>
          <t>HIGH</t>
        </is>
      </c>
      <c r="I174" t="n">
        <v>13.8</v>
      </c>
      <c r="J174" t="inlineStr">
        <is>
          <t>NO</t>
        </is>
      </c>
      <c r="K174" t="inlineStr">
        <is>
          <t>2026-02-23 23:48</t>
        </is>
      </c>
      <c r="L174" t="inlineStr">
        <is>
          <t>CHECK_VENDOR</t>
        </is>
      </c>
      <c r="M174" t="inlineStr">
        <is>
          <t>See CVE details</t>
        </is>
      </c>
      <c r="N174" t="inlineStr">
        <is>
          <t>P3</t>
        </is>
      </c>
      <c r="O174" t="inlineStr">
        <is>
          <t>CVE - IP enrichment n/a</t>
        </is>
      </c>
      <c r="P174" t="n">
        <v>0</v>
      </c>
      <c r="Q174" t="n">
        <v>0</v>
      </c>
      <c r="R174" t="inlineStr">
        <is>
          <t>T1059:Command and Scripting Interpreter | T1213:Data from Information Repositories</t>
        </is>
      </c>
      <c r="S174" t="n">
        <v>1</v>
      </c>
      <c r="T174" t="inlineStr">
        <is>
          <t>LOW (40%)</t>
        </is>
      </c>
      <c r="U174" t="inlineStr">
        <is>
          <t>UNLIKELY</t>
        </is>
      </c>
      <c r="V174" t="inlineStr">
        <is>
          <t>CHECK_VENDOR</t>
        </is>
      </c>
      <c r="W174" t="inlineStr">
        <is>
          <t>https://nvd.nist.gov/vuln/detail/CVE-2025-33240</t>
        </is>
      </c>
      <c r="X174" t="inlineStr">
        <is>
          <t>NONE</t>
        </is>
      </c>
      <c r="Y174" t="n">
        <v>0</v>
      </c>
      <c r="Z174" t="inlineStr"/>
      <c r="AA174" t="inlineStr">
        <is>
          <t>https://nvd.nist.gov/vuln/detail/CVE-2025-33240</t>
        </is>
      </c>
    </row>
    <row r="175">
      <c r="A175" t="inlineStr">
        <is>
          <t>CVE</t>
        </is>
      </c>
      <c r="B175" t="inlineStr">
        <is>
          <t>CVE-2025-33241</t>
        </is>
      </c>
      <c r="C175" t="inlineStr">
        <is>
          <t>NVIDIA NeMo Framework contains a vulnerability where an attacker could cause remote code execution by loading a maliciously crafted file. A successful exploit of this vulnerability might lead to code execution, escalation of privileges, information disclosure, and data tampering.</t>
        </is>
      </c>
      <c r="D175" t="n">
        <v>7.8</v>
      </c>
      <c r="E175" t="inlineStr">
        <is>
          <t>HIGH</t>
        </is>
      </c>
      <c r="F175" t="n">
        <v>2</v>
      </c>
      <c r="G175" t="n">
        <v>3</v>
      </c>
      <c r="H175" t="inlineStr">
        <is>
          <t>HIGH</t>
        </is>
      </c>
      <c r="I175" t="n">
        <v>13.8</v>
      </c>
      <c r="J175" t="inlineStr">
        <is>
          <t>NO</t>
        </is>
      </c>
      <c r="K175" t="inlineStr">
        <is>
          <t>2026-02-23 23:48</t>
        </is>
      </c>
      <c r="L175" t="inlineStr">
        <is>
          <t>YES</t>
        </is>
      </c>
      <c r="M175" t="inlineStr">
        <is>
          <t>nvidia nemo *</t>
        </is>
      </c>
      <c r="N175" t="inlineStr">
        <is>
          <t>P3</t>
        </is>
      </c>
      <c r="O175" t="inlineStr">
        <is>
          <t>CVE - IP enrichment n/a</t>
        </is>
      </c>
      <c r="P175" t="n">
        <v>0</v>
      </c>
      <c r="Q175" t="n">
        <v>0</v>
      </c>
      <c r="R175" t="inlineStr">
        <is>
          <t>T1059:Command and Scripting Interpreter | T1190:Exploit Public-Facing Application | T1210:Exploitation of Remote Services</t>
        </is>
      </c>
      <c r="S175" t="n">
        <v>1</v>
      </c>
      <c r="T175" t="inlineStr">
        <is>
          <t>LOW (40%)</t>
        </is>
      </c>
      <c r="U175" t="inlineStr">
        <is>
          <t>UNLIKELY</t>
        </is>
      </c>
      <c r="V175" t="inlineStr">
        <is>
          <t>PATCH_AVAILABLE</t>
        </is>
      </c>
      <c r="W175" t="inlineStr">
        <is>
          <t>https://nvd.nist.gov/vuln/detail/CVE-2025-33241</t>
        </is>
      </c>
      <c r="X175" t="inlineStr">
        <is>
          <t>NONE</t>
        </is>
      </c>
      <c r="Y175" t="n">
        <v>0</v>
      </c>
      <c r="Z175" t="inlineStr"/>
      <c r="AA175" t="inlineStr">
        <is>
          <t>https://nvd.nist.gov/vuln/detail/CVE-2025-33241</t>
        </is>
      </c>
    </row>
    <row r="176">
      <c r="A176" t="inlineStr">
        <is>
          <t>CVE</t>
        </is>
      </c>
      <c r="B176" t="inlineStr">
        <is>
          <t>CVE-2025-33243</t>
        </is>
      </c>
      <c r="C176" t="inlineStr">
        <is>
          <t>NVIDIA NeMo Framework contains a vulnerability where an attacker could cause remote code execution in distributed environments. A successful exploit of this vulnerability might lead to code execution, escalation of privileges, information disclosure, and data tampering.</t>
        </is>
      </c>
      <c r="D176" t="n">
        <v>7.8</v>
      </c>
      <c r="E176" t="inlineStr">
        <is>
          <t>HIGH</t>
        </is>
      </c>
      <c r="F176" t="n">
        <v>2</v>
      </c>
      <c r="G176" t="n">
        <v>3</v>
      </c>
      <c r="H176" t="inlineStr">
        <is>
          <t>HIGH</t>
        </is>
      </c>
      <c r="I176" t="n">
        <v>13.8</v>
      </c>
      <c r="J176" t="inlineStr">
        <is>
          <t>NO</t>
        </is>
      </c>
      <c r="K176" t="inlineStr">
        <is>
          <t>2026-02-23 23:48</t>
        </is>
      </c>
      <c r="L176" t="inlineStr">
        <is>
          <t>YES</t>
        </is>
      </c>
      <c r="M176" t="inlineStr">
        <is>
          <t>nvidia nemo *</t>
        </is>
      </c>
      <c r="N176" t="inlineStr">
        <is>
          <t>P3</t>
        </is>
      </c>
      <c r="O176" t="inlineStr">
        <is>
          <t>CVE - IP enrichment n/a</t>
        </is>
      </c>
      <c r="P176" t="n">
        <v>0</v>
      </c>
      <c r="Q176" t="n">
        <v>0</v>
      </c>
      <c r="R176" t="inlineStr">
        <is>
          <t>T1059:Command and Scripting Interpreter | T1190:Exploit Public-Facing Application | T1210:Exploitation of Remote Services</t>
        </is>
      </c>
      <c r="S176" t="n">
        <v>1</v>
      </c>
      <c r="T176" t="inlineStr">
        <is>
          <t>LOW (40%)</t>
        </is>
      </c>
      <c r="U176" t="inlineStr">
        <is>
          <t>UNLIKELY</t>
        </is>
      </c>
      <c r="V176" t="inlineStr">
        <is>
          <t>PATCH_AVAILABLE</t>
        </is>
      </c>
      <c r="W176" t="inlineStr">
        <is>
          <t>https://nvd.nist.gov/vuln/detail/CVE-2025-33243</t>
        </is>
      </c>
      <c r="X176" t="inlineStr">
        <is>
          <t>NONE</t>
        </is>
      </c>
      <c r="Y176" t="n">
        <v>0</v>
      </c>
      <c r="Z176" t="inlineStr"/>
      <c r="AA176" t="inlineStr">
        <is>
          <t>https://nvd.nist.gov/vuln/detail/CVE-2025-33243</t>
        </is>
      </c>
    </row>
    <row r="177">
      <c r="A177" t="inlineStr">
        <is>
          <t>CVE</t>
        </is>
      </c>
      <c r="B177" t="inlineStr">
        <is>
          <t>CVE-2025-33245</t>
        </is>
      </c>
      <c r="C177" t="inlineStr">
        <is>
          <t>NVIDIA NeMo Framework contains a vulnerability where malicious data could cause remote code execution. A successful exploit of this vulnerability might lead to code execution, escalation of privileges, information disclosure, and data tampering.</t>
        </is>
      </c>
      <c r="D177" t="n">
        <v>8</v>
      </c>
      <c r="E177" t="inlineStr">
        <is>
          <t>HIGH</t>
        </is>
      </c>
      <c r="F177" t="n">
        <v>2</v>
      </c>
      <c r="G177" t="n">
        <v>3</v>
      </c>
      <c r="H177" t="inlineStr">
        <is>
          <t>HIGH</t>
        </is>
      </c>
      <c r="I177" t="n">
        <v>14</v>
      </c>
      <c r="J177" t="inlineStr">
        <is>
          <t>NO</t>
        </is>
      </c>
      <c r="K177" t="inlineStr">
        <is>
          <t>2026-02-23 23:48</t>
        </is>
      </c>
      <c r="L177" t="inlineStr">
        <is>
          <t>YES</t>
        </is>
      </c>
      <c r="M177" t="inlineStr">
        <is>
          <t>nvidia nemo *</t>
        </is>
      </c>
      <c r="N177" t="inlineStr">
        <is>
          <t>P3</t>
        </is>
      </c>
      <c r="O177" t="inlineStr">
        <is>
          <t>CVE - IP enrichment n/a</t>
        </is>
      </c>
      <c r="P177" t="n">
        <v>0</v>
      </c>
      <c r="Q177" t="n">
        <v>0</v>
      </c>
      <c r="R177" t="inlineStr">
        <is>
          <t>T1059:Command and Scripting Interpreter | T1190:Exploit Public-Facing Application | T1210:Exploitation of Remote Services</t>
        </is>
      </c>
      <c r="S177" t="n">
        <v>1</v>
      </c>
      <c r="T177" t="inlineStr">
        <is>
          <t>LOW (40%)</t>
        </is>
      </c>
      <c r="U177" t="inlineStr">
        <is>
          <t>UNLIKELY</t>
        </is>
      </c>
      <c r="V177" t="inlineStr">
        <is>
          <t>PATCH_AVAILABLE</t>
        </is>
      </c>
      <c r="W177" t="inlineStr">
        <is>
          <t>https://nvd.nist.gov/vuln/detail/CVE-2025-33245</t>
        </is>
      </c>
      <c r="X177" t="inlineStr">
        <is>
          <t>NONE</t>
        </is>
      </c>
      <c r="Y177" t="n">
        <v>0</v>
      </c>
      <c r="Z177" t="inlineStr"/>
      <c r="AA177" t="inlineStr">
        <is>
          <t>https://nvd.nist.gov/vuln/detail/CVE-2025-33245</t>
        </is>
      </c>
    </row>
    <row r="178">
      <c r="A178" t="inlineStr">
        <is>
          <t>CVE</t>
        </is>
      </c>
      <c r="B178" t="inlineStr">
        <is>
          <t>CVE-2025-33246</t>
        </is>
      </c>
      <c r="C178" t="inlineStr">
        <is>
          <t>NVIDIA NeMo Framework for all platforms contains a vulnerability in the ASR Evaluator utility, where a user could cause a command injection by supplying crafted input to a configuration parameter. A successful exploit of this vulnerability might lead to code execution, escalation of privileges, data tampering, or information disclosure.</t>
        </is>
      </c>
      <c r="D178" t="n">
        <v>7.8</v>
      </c>
      <c r="E178" t="inlineStr">
        <is>
          <t>HIGH</t>
        </is>
      </c>
      <c r="F178" t="n">
        <v>2</v>
      </c>
      <c r="G178" t="n">
        <v>3</v>
      </c>
      <c r="H178" t="inlineStr">
        <is>
          <t>HIGH</t>
        </is>
      </c>
      <c r="I178" t="n">
        <v>13.8</v>
      </c>
      <c r="J178" t="inlineStr">
        <is>
          <t>NO</t>
        </is>
      </c>
      <c r="K178" t="inlineStr">
        <is>
          <t>2026-02-23 23:48</t>
        </is>
      </c>
      <c r="L178" t="inlineStr">
        <is>
          <t>YES</t>
        </is>
      </c>
      <c r="M178" t="inlineStr">
        <is>
          <t>nvidia nemo *</t>
        </is>
      </c>
      <c r="N178" t="inlineStr">
        <is>
          <t>P3</t>
        </is>
      </c>
      <c r="O178" t="inlineStr">
        <is>
          <t>CVE - IP enrichment n/a</t>
        </is>
      </c>
      <c r="P178" t="n">
        <v>0</v>
      </c>
      <c r="Q178" t="n">
        <v>0</v>
      </c>
      <c r="R178" t="inlineStr">
        <is>
          <t>T1059:Command and Scripting Interpreter | T1213:Data from Information Repositories</t>
        </is>
      </c>
      <c r="S178" t="n">
        <v>1</v>
      </c>
      <c r="T178" t="inlineStr">
        <is>
          <t>LOW (40%)</t>
        </is>
      </c>
      <c r="U178" t="inlineStr">
        <is>
          <t>UNLIKELY</t>
        </is>
      </c>
      <c r="V178" t="inlineStr">
        <is>
          <t>PATCH_AVAILABLE</t>
        </is>
      </c>
      <c r="W178" t="inlineStr">
        <is>
          <t>https://nvd.nist.gov/vuln/detail/CVE-2025-33246</t>
        </is>
      </c>
      <c r="X178" t="inlineStr">
        <is>
          <t>NONE</t>
        </is>
      </c>
      <c r="Y178" t="n">
        <v>0</v>
      </c>
      <c r="Z178" t="inlineStr"/>
      <c r="AA178" t="inlineStr">
        <is>
          <t>https://nvd.nist.gov/vuln/detail/CVE-2025-33246</t>
        </is>
      </c>
    </row>
    <row r="179">
      <c r="A179" t="inlineStr">
        <is>
          <t>CVE</t>
        </is>
      </c>
      <c r="B179" t="inlineStr">
        <is>
          <t>CVE-2025-33249</t>
        </is>
      </c>
      <c r="C179" t="inlineStr">
        <is>
          <t>NVIDIA NeMo Framework for all platforms contains a vulnerability in a voice-preprocessing script, where malicious input created by an attacker could cause a code injection. A successful exploit of this vulnerability might lead to code execution, escalation of privileges, information disclosure, and data tampering.</t>
        </is>
      </c>
      <c r="D179" t="n">
        <v>7.8</v>
      </c>
      <c r="E179" t="inlineStr">
        <is>
          <t>HIGH</t>
        </is>
      </c>
      <c r="F179" t="n">
        <v>2</v>
      </c>
      <c r="G179" t="n">
        <v>3</v>
      </c>
      <c r="H179" t="inlineStr">
        <is>
          <t>HIGH</t>
        </is>
      </c>
      <c r="I179" t="n">
        <v>13.8</v>
      </c>
      <c r="J179" t="inlineStr">
        <is>
          <t>NO</t>
        </is>
      </c>
      <c r="K179" t="inlineStr">
        <is>
          <t>2026-02-23 23:48</t>
        </is>
      </c>
      <c r="L179" t="inlineStr">
        <is>
          <t>YES</t>
        </is>
      </c>
      <c r="M179" t="inlineStr">
        <is>
          <t>nvidia nemo *</t>
        </is>
      </c>
      <c r="N179" t="inlineStr">
        <is>
          <t>P3</t>
        </is>
      </c>
      <c r="O179" t="inlineStr">
        <is>
          <t>CVE - IP enrichment n/a</t>
        </is>
      </c>
      <c r="P179" t="n">
        <v>0</v>
      </c>
      <c r="Q179" t="n">
        <v>0</v>
      </c>
      <c r="R179" t="inlineStr">
        <is>
          <t>T1059:Command and Scripting Interpreter | T1213:Data from Information Repositories</t>
        </is>
      </c>
      <c r="S179" t="n">
        <v>1</v>
      </c>
      <c r="T179" t="inlineStr">
        <is>
          <t>LOW (40%)</t>
        </is>
      </c>
      <c r="U179" t="inlineStr">
        <is>
          <t>UNLIKELY</t>
        </is>
      </c>
      <c r="V179" t="inlineStr">
        <is>
          <t>PATCH_AVAILABLE</t>
        </is>
      </c>
      <c r="W179" t="inlineStr">
        <is>
          <t>https://nvd.nist.gov/vuln/detail/CVE-2025-33249</t>
        </is>
      </c>
      <c r="X179" t="inlineStr">
        <is>
          <t>NONE</t>
        </is>
      </c>
      <c r="Y179" t="n">
        <v>0</v>
      </c>
      <c r="Z179" t="inlineStr"/>
      <c r="AA179" t="inlineStr">
        <is>
          <t>https://nvd.nist.gov/vuln/detail/CVE-2025-33249</t>
        </is>
      </c>
    </row>
    <row r="180">
      <c r="A180" t="inlineStr">
        <is>
          <t>CVE</t>
        </is>
      </c>
      <c r="B180" t="inlineStr">
        <is>
          <t>CVE-2025-33250</t>
        </is>
      </c>
      <c r="C180" t="inlineStr">
        <is>
          <t>NVIDIA NeMo Framework contains a vulnerability where an attacker could cause remote code execution. A successful exploit of this vulnerability might lead to code execution, denial of service, information disclosure, and data tampering.</t>
        </is>
      </c>
      <c r="D180" t="n">
        <v>7.8</v>
      </c>
      <c r="E180" t="inlineStr">
        <is>
          <t>HIGH</t>
        </is>
      </c>
      <c r="F180" t="n">
        <v>2</v>
      </c>
      <c r="G180" t="n">
        <v>3</v>
      </c>
      <c r="H180" t="inlineStr">
        <is>
          <t>HIGH</t>
        </is>
      </c>
      <c r="I180" t="n">
        <v>13.8</v>
      </c>
      <c r="J180" t="inlineStr">
        <is>
          <t>NO</t>
        </is>
      </c>
      <c r="K180" t="inlineStr">
        <is>
          <t>2026-02-23 23:48</t>
        </is>
      </c>
      <c r="L180" t="inlineStr">
        <is>
          <t>YES</t>
        </is>
      </c>
      <c r="M180" t="inlineStr">
        <is>
          <t>nvidia nemo *</t>
        </is>
      </c>
      <c r="N180" t="inlineStr">
        <is>
          <t>P3</t>
        </is>
      </c>
      <c r="O180" t="inlineStr">
        <is>
          <t>CVE - IP enrichment n/a</t>
        </is>
      </c>
      <c r="P180" t="n">
        <v>0</v>
      </c>
      <c r="Q180" t="n">
        <v>0</v>
      </c>
      <c r="R180" t="inlineStr">
        <is>
          <t>T1059:Command and Scripting Interpreter | T1190:Exploit Public-Facing Application | T1210:Exploitation of Remote Services</t>
        </is>
      </c>
      <c r="S180" t="n">
        <v>1</v>
      </c>
      <c r="T180" t="inlineStr">
        <is>
          <t>LOW (40%)</t>
        </is>
      </c>
      <c r="U180" t="inlineStr">
        <is>
          <t>UNLIKELY</t>
        </is>
      </c>
      <c r="V180" t="inlineStr">
        <is>
          <t>PATCH_AVAILABLE</t>
        </is>
      </c>
      <c r="W180" t="inlineStr">
        <is>
          <t>https://nvd.nist.gov/vuln/detail/CVE-2025-33250</t>
        </is>
      </c>
      <c r="X180" t="inlineStr">
        <is>
          <t>NONE</t>
        </is>
      </c>
      <c r="Y180" t="n">
        <v>0</v>
      </c>
      <c r="Z180" t="inlineStr"/>
      <c r="AA180" t="inlineStr">
        <is>
          <t>https://nvd.nist.gov/vuln/detail/CVE-2025-33250</t>
        </is>
      </c>
    </row>
    <row r="181">
      <c r="A181" t="inlineStr">
        <is>
          <t>CVE</t>
        </is>
      </c>
      <c r="B181" t="inlineStr">
        <is>
          <t>CVE-2025-33251</t>
        </is>
      </c>
      <c r="C181" t="inlineStr">
        <is>
          <t>NVIDIA NeMo Framework contains a vulnerability where an attacker could cause remote code execution. A successful exploit of this vulnerability might lead to code execution, denial of service, information disclosure, and data tampering.</t>
        </is>
      </c>
      <c r="D181" t="n">
        <v>7.8</v>
      </c>
      <c r="E181" t="inlineStr">
        <is>
          <t>HIGH</t>
        </is>
      </c>
      <c r="F181" t="n">
        <v>2</v>
      </c>
      <c r="G181" t="n">
        <v>3</v>
      </c>
      <c r="H181" t="inlineStr">
        <is>
          <t>HIGH</t>
        </is>
      </c>
      <c r="I181" t="n">
        <v>13.8</v>
      </c>
      <c r="J181" t="inlineStr">
        <is>
          <t>NO</t>
        </is>
      </c>
      <c r="K181" t="inlineStr">
        <is>
          <t>2026-02-23 23:48</t>
        </is>
      </c>
      <c r="L181" t="inlineStr">
        <is>
          <t>YES</t>
        </is>
      </c>
      <c r="M181" t="inlineStr">
        <is>
          <t>nvidia nemo *</t>
        </is>
      </c>
      <c r="N181" t="inlineStr">
        <is>
          <t>P3</t>
        </is>
      </c>
      <c r="O181" t="inlineStr">
        <is>
          <t>CVE - IP enrichment n/a</t>
        </is>
      </c>
      <c r="P181" t="n">
        <v>0.0016</v>
      </c>
      <c r="Q181" t="n">
        <v>0.3652</v>
      </c>
      <c r="R181" t="inlineStr">
        <is>
          <t>T1059:Command and Scripting Interpreter | T1190:Exploit Public-Facing Application | T1210:Exploitation of Remote Services</t>
        </is>
      </c>
      <c r="S181" t="n">
        <v>1</v>
      </c>
      <c r="T181" t="inlineStr">
        <is>
          <t>LOW (40%)</t>
        </is>
      </c>
      <c r="U181" t="inlineStr">
        <is>
          <t>UNLIKELY</t>
        </is>
      </c>
      <c r="V181" t="inlineStr">
        <is>
          <t>PATCH_AVAILABLE</t>
        </is>
      </c>
      <c r="W181" t="inlineStr">
        <is>
          <t>https://nvd.nist.gov/vuln/detail/CVE-2025-33251</t>
        </is>
      </c>
      <c r="X181" t="inlineStr">
        <is>
          <t>NONE</t>
        </is>
      </c>
      <c r="Y181" t="n">
        <v>0</v>
      </c>
      <c r="Z181" t="inlineStr"/>
      <c r="AA181" t="inlineStr">
        <is>
          <t>https://nvd.nist.gov/vuln/detail/CVE-2025-33251</t>
        </is>
      </c>
    </row>
    <row r="182">
      <c r="A182" t="inlineStr">
        <is>
          <t>CVE</t>
        </is>
      </c>
      <c r="B182" t="inlineStr">
        <is>
          <t>CVE-2025-33252</t>
        </is>
      </c>
      <c r="C182" t="inlineStr">
        <is>
          <t>NVIDIA NeMo Framework contains a vulnerability where an attacker could cause remote code execution. A successful exploit of this vulnerability might lead to code execution, denial of service, information disclosure, and data tampering.</t>
        </is>
      </c>
      <c r="D182" t="n">
        <v>7.8</v>
      </c>
      <c r="E182" t="inlineStr">
        <is>
          <t>HIGH</t>
        </is>
      </c>
      <c r="F182" t="n">
        <v>2</v>
      </c>
      <c r="G182" t="n">
        <v>3</v>
      </c>
      <c r="H182" t="inlineStr">
        <is>
          <t>HIGH</t>
        </is>
      </c>
      <c r="I182" t="n">
        <v>13.8</v>
      </c>
      <c r="J182" t="inlineStr">
        <is>
          <t>NO</t>
        </is>
      </c>
      <c r="K182" t="inlineStr">
        <is>
          <t>2026-02-23 23:48</t>
        </is>
      </c>
      <c r="L182" t="inlineStr">
        <is>
          <t>YES</t>
        </is>
      </c>
      <c r="M182" t="inlineStr">
        <is>
          <t>nvidia nemo *</t>
        </is>
      </c>
      <c r="N182" t="inlineStr">
        <is>
          <t>P3</t>
        </is>
      </c>
      <c r="O182" t="inlineStr">
        <is>
          <t>CVE - IP enrichment n/a</t>
        </is>
      </c>
      <c r="P182" t="n">
        <v>0.0028</v>
      </c>
      <c r="Q182" t="n">
        <v>0.5141</v>
      </c>
      <c r="R182" t="inlineStr">
        <is>
          <t>T1059:Command and Scripting Interpreter | T1190:Exploit Public-Facing Application | T1210:Exploitation of Remote Services</t>
        </is>
      </c>
      <c r="S182" t="n">
        <v>1</v>
      </c>
      <c r="T182" t="inlineStr">
        <is>
          <t>LOW (40%)</t>
        </is>
      </c>
      <c r="U182" t="inlineStr">
        <is>
          <t>UNLIKELY</t>
        </is>
      </c>
      <c r="V182" t="inlineStr">
        <is>
          <t>PATCH_AVAILABLE</t>
        </is>
      </c>
      <c r="W182" t="inlineStr">
        <is>
          <t>https://nvd.nist.gov/vuln/detail/CVE-2025-33252</t>
        </is>
      </c>
      <c r="X182" t="inlineStr">
        <is>
          <t>NONE</t>
        </is>
      </c>
      <c r="Y182" t="n">
        <v>0</v>
      </c>
      <c r="Z182" t="inlineStr"/>
      <c r="AA182" t="inlineStr">
        <is>
          <t>https://nvd.nist.gov/vuln/detail/CVE-2025-33252</t>
        </is>
      </c>
    </row>
    <row r="183">
      <c r="A183" t="inlineStr">
        <is>
          <t>CVE</t>
        </is>
      </c>
      <c r="B183" t="inlineStr">
        <is>
          <t>CVE-2025-33253</t>
        </is>
      </c>
      <c r="C183" t="inlineStr">
        <is>
          <t>NVIDIA NeMo Framework contains a vulnerability where an attacker could cause remote code execution by convincing a user to load a maliciously crafted file. A successful exploit of this vulnerability might lead to code execution, denial of service, information disclosure, and data tampering.</t>
        </is>
      </c>
      <c r="D183" t="n">
        <v>7.8</v>
      </c>
      <c r="E183" t="inlineStr">
        <is>
          <t>HIGH</t>
        </is>
      </c>
      <c r="F183" t="n">
        <v>2</v>
      </c>
      <c r="G183" t="n">
        <v>3</v>
      </c>
      <c r="H183" t="inlineStr">
        <is>
          <t>HIGH</t>
        </is>
      </c>
      <c r="I183" t="n">
        <v>13.8</v>
      </c>
      <c r="J183" t="inlineStr">
        <is>
          <t>NO</t>
        </is>
      </c>
      <c r="K183" t="inlineStr">
        <is>
          <t>2026-02-23 23:48</t>
        </is>
      </c>
      <c r="L183" t="inlineStr">
        <is>
          <t>YES</t>
        </is>
      </c>
      <c r="M183" t="inlineStr">
        <is>
          <t>nvidia nemo *</t>
        </is>
      </c>
      <c r="N183" t="inlineStr">
        <is>
          <t>P3</t>
        </is>
      </c>
      <c r="O183" t="inlineStr">
        <is>
          <t>CVE - IP enrichment n/a</t>
        </is>
      </c>
      <c r="P183" t="n">
        <v>0</v>
      </c>
      <c r="Q183" t="n">
        <v>0</v>
      </c>
      <c r="R183" t="inlineStr">
        <is>
          <t>T1059:Command and Scripting Interpreter | T1190:Exploit Public-Facing Application | T1210:Exploitation of Remote Services</t>
        </is>
      </c>
      <c r="S183" t="n">
        <v>1</v>
      </c>
      <c r="T183" t="inlineStr">
        <is>
          <t>LOW (40%)</t>
        </is>
      </c>
      <c r="U183" t="inlineStr">
        <is>
          <t>UNLIKELY</t>
        </is>
      </c>
      <c r="V183" t="inlineStr">
        <is>
          <t>PATCH_AVAILABLE</t>
        </is>
      </c>
      <c r="W183" t="inlineStr">
        <is>
          <t>https://nvd.nist.gov/vuln/detail/CVE-2025-33253</t>
        </is>
      </c>
      <c r="X183" t="inlineStr">
        <is>
          <t>NONE</t>
        </is>
      </c>
      <c r="Y183" t="n">
        <v>0</v>
      </c>
      <c r="Z183" t="inlineStr"/>
      <c r="AA183" t="inlineStr">
        <is>
          <t>https://nvd.nist.gov/vuln/detail/CVE-2025-33253</t>
        </is>
      </c>
    </row>
    <row r="184">
      <c r="A184" t="inlineStr">
        <is>
          <t>CVE</t>
        </is>
      </c>
      <c r="B184" t="inlineStr">
        <is>
          <t>CVE-2025-59920</t>
        </is>
      </c>
      <c r="C184" t="inlineStr">
        <is>
          <t>When hours are entered in time@work, version 7.0.5, it performs a query to display the projects assigned to the user. If the query URL is copied and opened in a new browser window, the ‘IDClient’ parameter is vulnerable to a blind authenticated SQL injection. If the request is made with the TWAdmin user with the sysadmin role enabled, exploiting the vulnerability will allow commands to be executed on the system; if the user does not belong to the sysadmin role, they will still be able to query d</t>
        </is>
      </c>
      <c r="D184" t="n">
        <v>5</v>
      </c>
      <c r="E184" t="inlineStr">
        <is>
          <t>MEDIUM</t>
        </is>
      </c>
      <c r="F184" t="n">
        <v>2</v>
      </c>
      <c r="G184" t="n">
        <v>2</v>
      </c>
      <c r="H184" t="inlineStr">
        <is>
          <t>MEDIUM</t>
        </is>
      </c>
      <c r="I184" t="n">
        <v>9</v>
      </c>
      <c r="J184" t="inlineStr">
        <is>
          <t>NO</t>
        </is>
      </c>
      <c r="K184" t="inlineStr">
        <is>
          <t>2026-02-23 23:48</t>
        </is>
      </c>
      <c r="L184" t="inlineStr">
        <is>
          <t>CHECK_VENDOR</t>
        </is>
      </c>
      <c r="M184" t="inlineStr">
        <is>
          <t>See CVE details</t>
        </is>
      </c>
      <c r="N184" t="inlineStr">
        <is>
          <t>P4</t>
        </is>
      </c>
      <c r="O184" t="inlineStr">
        <is>
          <t>CVE - IP enrichment n/a</t>
        </is>
      </c>
      <c r="P184" t="n">
        <v>0</v>
      </c>
      <c r="Q184" t="n">
        <v>0</v>
      </c>
      <c r="R184" t="inlineStr">
        <is>
          <t>T1190:Exploit Public-Facing Application</t>
        </is>
      </c>
      <c r="S184" t="n">
        <v>1</v>
      </c>
      <c r="T184" t="inlineStr">
        <is>
          <t>LOW (40%)</t>
        </is>
      </c>
      <c r="U184" t="inlineStr">
        <is>
          <t>UNLIKELY</t>
        </is>
      </c>
      <c r="V184" t="inlineStr">
        <is>
          <t>CHECK_VENDOR</t>
        </is>
      </c>
      <c r="W184" t="inlineStr">
        <is>
          <t>https://nvd.nist.gov/vuln/detail/CVE-2025-59920</t>
        </is>
      </c>
      <c r="X184" t="inlineStr">
        <is>
          <t>NONE</t>
        </is>
      </c>
      <c r="Y184" t="n">
        <v>0</v>
      </c>
      <c r="Z184" t="inlineStr"/>
      <c r="AA184" t="inlineStr">
        <is>
          <t>https://nvd.nist.gov/vuln/detail/CVE-2025-59920</t>
        </is>
      </c>
    </row>
    <row r="185">
      <c r="A185" t="inlineStr">
        <is>
          <t>CVE</t>
        </is>
      </c>
      <c r="B185" t="inlineStr">
        <is>
          <t>CVE-2025-60035</t>
        </is>
      </c>
      <c r="C185" t="inlineStr">
        <is>
          <t>A vulnerability has been identified in the OPC.Testclient utility, which is included in Rexroth IndraWorks. All versions prior to 15V24 are affected. This flaw allows an attacker to execute arbitrary code on the user's system by parsing a manipulated file containing malicious serialized data. Exploitation requires user interaction, specifically opening a specially crafted file, which then causes the application to deserialize the malicious data, enabling Remote Code Execution (RCE). This can lea</t>
        </is>
      </c>
      <c r="D185" t="n">
        <v>7.8</v>
      </c>
      <c r="E185" t="inlineStr">
        <is>
          <t>HIGH</t>
        </is>
      </c>
      <c r="F185" t="n">
        <v>2</v>
      </c>
      <c r="G185" t="n">
        <v>3</v>
      </c>
      <c r="H185" t="inlineStr">
        <is>
          <t>HIGH</t>
        </is>
      </c>
      <c r="I185" t="n">
        <v>13.8</v>
      </c>
      <c r="J185" t="inlineStr">
        <is>
          <t>NO</t>
        </is>
      </c>
      <c r="K185" t="inlineStr">
        <is>
          <t>2026-02-23 23:48</t>
        </is>
      </c>
      <c r="L185" t="inlineStr">
        <is>
          <t>CHECK_VENDOR</t>
        </is>
      </c>
      <c r="M185" t="inlineStr">
        <is>
          <t>See CVE details</t>
        </is>
      </c>
      <c r="N185" t="inlineStr">
        <is>
          <t>P1</t>
        </is>
      </c>
      <c r="O185" t="inlineStr">
        <is>
          <t>CVE - IP enrichment n/a</t>
        </is>
      </c>
      <c r="P185" t="n">
        <v>0</v>
      </c>
      <c r="Q185" t="n">
        <v>0</v>
      </c>
      <c r="R185" t="inlineStr">
        <is>
          <t>T1059:Command and Scripting Interpreter | T1190:Exploit Public-Facing Application | T1210:Exploitation of Remote Services</t>
        </is>
      </c>
      <c r="S185" t="n">
        <v>2</v>
      </c>
      <c r="T185" t="inlineStr">
        <is>
          <t>HIGH (72%)</t>
        </is>
      </c>
      <c r="U185" t="inlineStr">
        <is>
          <t>HIGH</t>
        </is>
      </c>
      <c r="V185" t="inlineStr">
        <is>
          <t>CHECK_VENDOR</t>
        </is>
      </c>
      <c r="W185" t="inlineStr">
        <is>
          <t>https://nvd.nist.gov/vuln/detail/CVE-2025-60035</t>
        </is>
      </c>
      <c r="X185" t="inlineStr">
        <is>
          <t>http://www.zerodayinitiative.com/advisories/ZDI-26-109/</t>
        </is>
      </c>
      <c r="Y185" t="n">
        <v>0</v>
      </c>
      <c r="Z185" t="inlineStr"/>
      <c r="AA185" t="inlineStr">
        <is>
          <t>https://nvd.nist.gov/vuln/detail/CVE-2025-60035</t>
        </is>
      </c>
    </row>
    <row r="186">
      <c r="A186" t="inlineStr">
        <is>
          <t>CVE</t>
        </is>
      </c>
      <c r="B186" t="inlineStr">
        <is>
          <t>CVE-2025-60036</t>
        </is>
      </c>
      <c r="C186" t="inlineStr">
        <is>
          <t>A vulnerability has been identified in the UA.Testclient utility, which is included in Rexroth IndraWorks. All versions prior to 15V24 are affected. This flaw allows an attacker to execute arbitrary code on the user's system by parsing a manipulated file containing malicious serialized data. Exploitation requires user interaction, specifically opening a specially crafted file, which then causes the application to deserialize the malicious data, enabling Remote Code Execution (RCE). This can lead</t>
        </is>
      </c>
      <c r="D186" t="n">
        <v>7.8</v>
      </c>
      <c r="E186" t="inlineStr">
        <is>
          <t>HIGH</t>
        </is>
      </c>
      <c r="F186" t="n">
        <v>2</v>
      </c>
      <c r="G186" t="n">
        <v>3</v>
      </c>
      <c r="H186" t="inlineStr">
        <is>
          <t>HIGH</t>
        </is>
      </c>
      <c r="I186" t="n">
        <v>13.8</v>
      </c>
      <c r="J186" t="inlineStr">
        <is>
          <t>NO</t>
        </is>
      </c>
      <c r="K186" t="inlineStr">
        <is>
          <t>2026-02-23 23:48</t>
        </is>
      </c>
      <c r="L186" t="inlineStr">
        <is>
          <t>CHECK_VENDOR</t>
        </is>
      </c>
      <c r="M186" t="inlineStr">
        <is>
          <t>See CVE details</t>
        </is>
      </c>
      <c r="N186" t="inlineStr">
        <is>
          <t>P1</t>
        </is>
      </c>
      <c r="O186" t="inlineStr">
        <is>
          <t>CVE - IP enrichment n/a</t>
        </is>
      </c>
      <c r="P186" t="n">
        <v>0.0018</v>
      </c>
      <c r="Q186" t="n">
        <v>0.4008</v>
      </c>
      <c r="R186" t="inlineStr">
        <is>
          <t>T1059:Command and Scripting Interpreter | T1190:Exploit Public-Facing Application | T1210:Exploitation of Remote Services</t>
        </is>
      </c>
      <c r="S186" t="n">
        <v>2</v>
      </c>
      <c r="T186" t="inlineStr">
        <is>
          <t>HIGH (72%)</t>
        </is>
      </c>
      <c r="U186" t="inlineStr">
        <is>
          <t>HIGH</t>
        </is>
      </c>
      <c r="V186" t="inlineStr">
        <is>
          <t>CHECK_VENDOR</t>
        </is>
      </c>
      <c r="W186" t="inlineStr">
        <is>
          <t>https://nvd.nist.gov/vuln/detail/CVE-2025-60036</t>
        </is>
      </c>
      <c r="X186" t="inlineStr">
        <is>
          <t>http://www.zerodayinitiative.com/advisories/ZDI-26-108/</t>
        </is>
      </c>
      <c r="Y186" t="n">
        <v>0</v>
      </c>
      <c r="Z186" t="inlineStr"/>
      <c r="AA186" t="inlineStr">
        <is>
          <t>https://nvd.nist.gov/vuln/detail/CVE-2025-60036</t>
        </is>
      </c>
    </row>
    <row r="187">
      <c r="A187" t="inlineStr">
        <is>
          <t>CVE</t>
        </is>
      </c>
      <c r="B187" t="inlineStr">
        <is>
          <t>CVE-2025-60037</t>
        </is>
      </c>
      <c r="C187" t="inlineStr">
        <is>
          <t>A vulnerability has been identified in Rexroth IndraWorks. This flaw allows an attacker to execute arbitrary code on the user's system by parsing a manipulated file containing malicious serialized data. Exploitation requires user interaction, specifically opening a specially crafted file, which then causes the application to deserialize the malicious data, enabling Remote Code Execution (RCE). This can lead to a complete compromise of the system running Rexroth IndraWorks.</t>
        </is>
      </c>
      <c r="D187" t="n">
        <v>7.8</v>
      </c>
      <c r="E187" t="inlineStr">
        <is>
          <t>HIGH</t>
        </is>
      </c>
      <c r="F187" t="n">
        <v>2</v>
      </c>
      <c r="G187" t="n">
        <v>3</v>
      </c>
      <c r="H187" t="inlineStr">
        <is>
          <t>HIGH</t>
        </is>
      </c>
      <c r="I187" t="n">
        <v>13.8</v>
      </c>
      <c r="J187" t="inlineStr">
        <is>
          <t>NO</t>
        </is>
      </c>
      <c r="K187" t="inlineStr">
        <is>
          <t>2026-02-23 23:48</t>
        </is>
      </c>
      <c r="L187" t="inlineStr">
        <is>
          <t>CHECK_VENDOR</t>
        </is>
      </c>
      <c r="M187" t="inlineStr">
        <is>
          <t>See CVE details</t>
        </is>
      </c>
      <c r="N187" t="inlineStr">
        <is>
          <t>P1</t>
        </is>
      </c>
      <c r="O187" t="inlineStr">
        <is>
          <t>CVE - IP enrichment n/a</t>
        </is>
      </c>
      <c r="P187" t="n">
        <v>0</v>
      </c>
      <c r="Q187" t="n">
        <v>0</v>
      </c>
      <c r="R187" t="inlineStr">
        <is>
          <t>T1059:Command and Scripting Interpreter | T1190:Exploit Public-Facing Application | T1210:Exploitation of Remote Services</t>
        </is>
      </c>
      <c r="S187" t="n">
        <v>2</v>
      </c>
      <c r="T187" t="inlineStr">
        <is>
          <t>HIGH (72%)</t>
        </is>
      </c>
      <c r="U187" t="inlineStr">
        <is>
          <t>HIGH</t>
        </is>
      </c>
      <c r="V187" t="inlineStr">
        <is>
          <t>CHECK_VENDOR</t>
        </is>
      </c>
      <c r="W187" t="inlineStr">
        <is>
          <t>https://nvd.nist.gov/vuln/detail/CVE-2025-60037</t>
        </is>
      </c>
      <c r="X187" t="inlineStr">
        <is>
          <t>http://www.zerodayinitiative.com/advisories/ZDI-26-110/</t>
        </is>
      </c>
      <c r="Y187" t="n">
        <v>0</v>
      </c>
      <c r="Z187" t="inlineStr"/>
      <c r="AA187" t="inlineStr">
        <is>
          <t>https://nvd.nist.gov/vuln/detail/CVE-2025-60037</t>
        </is>
      </c>
    </row>
    <row r="188">
      <c r="A188" t="inlineStr">
        <is>
          <t>CVE</t>
        </is>
      </c>
      <c r="B188" t="inlineStr">
        <is>
          <t>CVE-2025-60038</t>
        </is>
      </c>
      <c r="C188" t="inlineStr">
        <is>
          <t>A vulnerability has been identified in Rexroth IndraWorks. This flaw allows an attacker to execute arbitrary code on the user's system by parsing a manipulated file containing malicious serialized data. Exploitation requires user interaction, specifically opening a specially crafted file, which then causes the application to deserialize the malicious data, enabling Remote Code Execution (RCE). This can lead to a complete compromise of the system running Rexroth IndraWorks.</t>
        </is>
      </c>
      <c r="D188" t="n">
        <v>7.8</v>
      </c>
      <c r="E188" t="inlineStr">
        <is>
          <t>HIGH</t>
        </is>
      </c>
      <c r="F188" t="n">
        <v>2</v>
      </c>
      <c r="G188" t="n">
        <v>3</v>
      </c>
      <c r="H188" t="inlineStr">
        <is>
          <t>HIGH</t>
        </is>
      </c>
      <c r="I188" t="n">
        <v>13.8</v>
      </c>
      <c r="J188" t="inlineStr">
        <is>
          <t>NO</t>
        </is>
      </c>
      <c r="K188" t="inlineStr">
        <is>
          <t>2026-02-23 23:48</t>
        </is>
      </c>
      <c r="L188" t="inlineStr">
        <is>
          <t>CHECK_VENDOR</t>
        </is>
      </c>
      <c r="M188" t="inlineStr">
        <is>
          <t>See CVE details</t>
        </is>
      </c>
      <c r="N188" t="inlineStr">
        <is>
          <t>P1</t>
        </is>
      </c>
      <c r="O188" t="inlineStr">
        <is>
          <t>CVE - IP enrichment n/a</t>
        </is>
      </c>
      <c r="P188" t="n">
        <v>0</v>
      </c>
      <c r="Q188" t="n">
        <v>0</v>
      </c>
      <c r="R188" t="inlineStr">
        <is>
          <t>T1059:Command and Scripting Interpreter | T1190:Exploit Public-Facing Application | T1210:Exploitation of Remote Services</t>
        </is>
      </c>
      <c r="S188" t="n">
        <v>2</v>
      </c>
      <c r="T188" t="inlineStr">
        <is>
          <t>HIGH (72%)</t>
        </is>
      </c>
      <c r="U188" t="inlineStr">
        <is>
          <t>HIGH</t>
        </is>
      </c>
      <c r="V188" t="inlineStr">
        <is>
          <t>CHECK_VENDOR</t>
        </is>
      </c>
      <c r="W188" t="inlineStr">
        <is>
          <t>https://nvd.nist.gov/vuln/detail/CVE-2025-60038</t>
        </is>
      </c>
      <c r="X188" t="inlineStr">
        <is>
          <t>http://www.zerodayinitiative.com/advisories/ZDI-26-110/</t>
        </is>
      </c>
      <c r="Y188" t="n">
        <v>0</v>
      </c>
      <c r="Z188" t="inlineStr"/>
      <c r="AA188" t="inlineStr">
        <is>
          <t>https://nvd.nist.gov/vuln/detail/CVE-2025-60038</t>
        </is>
      </c>
    </row>
    <row r="189">
      <c r="A189" t="inlineStr">
        <is>
          <t>CVE</t>
        </is>
      </c>
      <c r="B189" t="inlineStr">
        <is>
          <t>CVE-2025-8308</t>
        </is>
      </c>
      <c r="C189" t="inlineStr">
        <is>
          <t>Improper Neutralization of Input During Web Page Generation (XSS or 'Cross-site Scripting') vulnerability in Key Software Solutions Inc. INFOREX- General Information Management System allows XSS Through HTTP Headers.This issue affects INFOREX- General Information Management System: from 2025 and before through 18022026.
NOTE: The vendor was contacted early about this disclosure but did not respond in any way.</t>
        </is>
      </c>
      <c r="D189" t="n">
        <v>6.3</v>
      </c>
      <c r="E189" t="inlineStr">
        <is>
          <t>MEDIUM</t>
        </is>
      </c>
      <c r="F189" t="n">
        <v>2</v>
      </c>
      <c r="G189" t="n">
        <v>2</v>
      </c>
      <c r="H189" t="inlineStr">
        <is>
          <t>MEDIUM</t>
        </is>
      </c>
      <c r="I189" t="n">
        <v>10.3</v>
      </c>
      <c r="J189" t="inlineStr">
        <is>
          <t>NO</t>
        </is>
      </c>
      <c r="K189" t="inlineStr">
        <is>
          <t>2026-02-23 23:48</t>
        </is>
      </c>
      <c r="L189" t="inlineStr">
        <is>
          <t>CHECK_VENDOR</t>
        </is>
      </c>
      <c r="M189" t="inlineStr">
        <is>
          <t>See CVE details</t>
        </is>
      </c>
      <c r="N189" t="inlineStr">
        <is>
          <t>P4</t>
        </is>
      </c>
      <c r="O189" t="inlineStr">
        <is>
          <t>CVE - IP enrichment n/a</t>
        </is>
      </c>
      <c r="P189" t="n">
        <v>0</v>
      </c>
      <c r="Q189" t="n">
        <v>0</v>
      </c>
      <c r="R189" t="inlineStr">
        <is>
          <t>T1189:Drive-by Compromise</t>
        </is>
      </c>
      <c r="S189" t="n">
        <v>1</v>
      </c>
      <c r="T189" t="inlineStr">
        <is>
          <t>LOW (40%)</t>
        </is>
      </c>
      <c r="U189" t="inlineStr">
        <is>
          <t>UNLIKELY</t>
        </is>
      </c>
      <c r="V189" t="inlineStr">
        <is>
          <t>CHECK_VENDOR</t>
        </is>
      </c>
      <c r="W189" t="inlineStr">
        <is>
          <t>https://nvd.nist.gov/vuln/detail/CVE-2025-8308</t>
        </is>
      </c>
      <c r="X189" t="inlineStr">
        <is>
          <t>NONE</t>
        </is>
      </c>
      <c r="Y189" t="n">
        <v>0</v>
      </c>
      <c r="Z189" t="inlineStr"/>
      <c r="AA189" t="inlineStr">
        <is>
          <t>https://nvd.nist.gov/vuln/detail/CVE-2025-8308</t>
        </is>
      </c>
    </row>
    <row r="190">
      <c r="A190" t="inlineStr">
        <is>
          <t>CVE</t>
        </is>
      </c>
      <c r="B190" t="inlineStr">
        <is>
          <t>CVE-2026-1435</t>
        </is>
      </c>
      <c r="C190" t="inlineStr">
        <is>
          <t>Not properly invalidated session vulnerability in Graylog Web Interface, version 2.2.3, due to incorrect management of session invalidation after new logins. The application generates a new 'sessionId' each time a user authenticates, but does not invalidate previously issued session identifiers, which remain valid even after multiple consecutive logins by the same user. As a result, a stolen or leaked 'sessionId' can continue to be used to authenticate valid requests. Exploiting this vulnerabili</t>
        </is>
      </c>
      <c r="D190" t="n">
        <v>9.800000000000001</v>
      </c>
      <c r="E190" t="inlineStr">
        <is>
          <t>CRITICAL</t>
        </is>
      </c>
      <c r="F190" t="n">
        <v>2</v>
      </c>
      <c r="G190" t="n">
        <v>3</v>
      </c>
      <c r="H190" t="inlineStr">
        <is>
          <t>HIGH</t>
        </is>
      </c>
      <c r="I190" t="n">
        <v>15.8</v>
      </c>
      <c r="J190" t="inlineStr">
        <is>
          <t>NO</t>
        </is>
      </c>
      <c r="K190" t="inlineStr">
        <is>
          <t>2026-02-23 23:48</t>
        </is>
      </c>
      <c r="L190" t="inlineStr">
        <is>
          <t>CHECK_VENDOR</t>
        </is>
      </c>
      <c r="M190" t="inlineStr">
        <is>
          <t>graylog graylog 2.2.3</t>
        </is>
      </c>
      <c r="N190" t="inlineStr">
        <is>
          <t>P3</t>
        </is>
      </c>
      <c r="O190" t="inlineStr">
        <is>
          <t>CVE - IP enrichment n/a</t>
        </is>
      </c>
      <c r="P190" t="n">
        <v>0.0005</v>
      </c>
      <c r="Q190" t="n">
        <v>0.1536</v>
      </c>
      <c r="R190" t="inlineStr">
        <is>
          <t>T1190:Exploit Public-Facing Application</t>
        </is>
      </c>
      <c r="S190" t="n">
        <v>1</v>
      </c>
      <c r="T190" t="inlineStr">
        <is>
          <t>LOW (40%)</t>
        </is>
      </c>
      <c r="U190" t="inlineStr">
        <is>
          <t>UNLIKELY</t>
        </is>
      </c>
      <c r="V190" t="inlineStr">
        <is>
          <t>CHECK_VENDOR</t>
        </is>
      </c>
      <c r="W190" t="inlineStr">
        <is>
          <t>https://nvd.nist.gov/vuln/detail/CVE-2026-1435</t>
        </is>
      </c>
      <c r="X190" t="inlineStr">
        <is>
          <t>NONE</t>
        </is>
      </c>
      <c r="Y190" t="n">
        <v>0</v>
      </c>
      <c r="Z190" t="inlineStr"/>
      <c r="AA190" t="inlineStr">
        <is>
          <t>https://nvd.nist.gov/vuln/detail/CVE-2026-1435</t>
        </is>
      </c>
    </row>
    <row r="191">
      <c r="A191" t="inlineStr">
        <is>
          <t>CVE</t>
        </is>
      </c>
      <c r="B191" t="inlineStr">
        <is>
          <t>CVE-2026-1436</t>
        </is>
      </c>
      <c r="C191" t="inlineStr">
        <is>
          <t>Improper Access Control (IDOR) in the Graylog API, version 2.2.3, which occurs when modifying the user ID in the URL. An authenticated user can access other user's profiles without proper authorization checks. Exploiting this vulnerability allows valid users of the system to be listed and sensitive third-party information to be accessed, such as names, email addresses, internal identifiers, and last activity. The endpoint 'http:// :12900/users/ ' does not implement object-level authorization val</t>
        </is>
      </c>
      <c r="D191" t="n">
        <v>6.5</v>
      </c>
      <c r="E191" t="inlineStr">
        <is>
          <t>MEDIUM</t>
        </is>
      </c>
      <c r="F191" t="n">
        <v>2</v>
      </c>
      <c r="G191" t="n">
        <v>2</v>
      </c>
      <c r="H191" t="inlineStr">
        <is>
          <t>MEDIUM</t>
        </is>
      </c>
      <c r="I191" t="n">
        <v>10.5</v>
      </c>
      <c r="J191" t="inlineStr">
        <is>
          <t>NO</t>
        </is>
      </c>
      <c r="K191" t="inlineStr">
        <is>
          <t>2026-02-23 23:48</t>
        </is>
      </c>
      <c r="L191" t="inlineStr">
        <is>
          <t>CHECK_VENDOR</t>
        </is>
      </c>
      <c r="M191" t="inlineStr">
        <is>
          <t>graylog graylog 2.2.3</t>
        </is>
      </c>
      <c r="N191" t="inlineStr">
        <is>
          <t>P4</t>
        </is>
      </c>
      <c r="O191" t="inlineStr">
        <is>
          <t>CVE - IP enrichment n/a</t>
        </is>
      </c>
      <c r="P191" t="n">
        <v>0</v>
      </c>
      <c r="Q191" t="n">
        <v>0</v>
      </c>
      <c r="R191" t="inlineStr">
        <is>
          <t>T1190:Exploit Public-Facing Application</t>
        </is>
      </c>
      <c r="S191" t="n">
        <v>1</v>
      </c>
      <c r="T191" t="inlineStr">
        <is>
          <t>LOW (40%)</t>
        </is>
      </c>
      <c r="U191" t="inlineStr">
        <is>
          <t>UNLIKELY</t>
        </is>
      </c>
      <c r="V191" t="inlineStr">
        <is>
          <t>CHECK_VENDOR</t>
        </is>
      </c>
      <c r="W191" t="inlineStr">
        <is>
          <t>https://nvd.nist.gov/vuln/detail/CVE-2026-1436</t>
        </is>
      </c>
      <c r="X191" t="inlineStr">
        <is>
          <t>NONE</t>
        </is>
      </c>
      <c r="Y191" t="n">
        <v>0</v>
      </c>
      <c r="Z191" t="inlineStr"/>
      <c r="AA191" t="inlineStr">
        <is>
          <t>https://nvd.nist.gov/vuln/detail/CVE-2026-1436</t>
        </is>
      </c>
    </row>
    <row r="192">
      <c r="A192" t="inlineStr">
        <is>
          <t>CVE</t>
        </is>
      </c>
      <c r="B192" t="inlineStr">
        <is>
          <t>CVE-2026-1437</t>
        </is>
      </c>
      <c r="C192" t="inlineStr">
        <is>
          <t>Reflected Cross-Site Scripting (XSS) vulnerability in the Graylog Web Interface console, version 2.2.3, caused by a lack of proper sanitization and escaping in HTML output. Several endpoints include segments of the URL directly in the response without applying output encoding, allowing an attacker to inject and execute arbitrary JavaScript code when a user visits a specially crafted URL. Exploitation of this vulnerability may allow script execution in the victim's browser and limited manipulatio</t>
        </is>
      </c>
      <c r="D192" t="n">
        <v>6.1</v>
      </c>
      <c r="E192" t="inlineStr">
        <is>
          <t>MEDIUM</t>
        </is>
      </c>
      <c r="F192" t="n">
        <v>2</v>
      </c>
      <c r="G192" t="n">
        <v>2</v>
      </c>
      <c r="H192" t="inlineStr">
        <is>
          <t>MEDIUM</t>
        </is>
      </c>
      <c r="I192" t="n">
        <v>10.1</v>
      </c>
      <c r="J192" t="inlineStr">
        <is>
          <t>NO</t>
        </is>
      </c>
      <c r="K192" t="inlineStr">
        <is>
          <t>2026-02-23 23:48</t>
        </is>
      </c>
      <c r="L192" t="inlineStr">
        <is>
          <t>CHECK_VENDOR</t>
        </is>
      </c>
      <c r="M192" t="inlineStr">
        <is>
          <t>graylog graylog 2.2.3</t>
        </is>
      </c>
      <c r="N192" t="inlineStr">
        <is>
          <t>P4</t>
        </is>
      </c>
      <c r="O192" t="inlineStr">
        <is>
          <t>CVE - IP enrichment n/a</t>
        </is>
      </c>
      <c r="P192" t="n">
        <v>0</v>
      </c>
      <c r="Q192" t="n">
        <v>0</v>
      </c>
      <c r="R192" t="inlineStr">
        <is>
          <t>T1189:Drive-by Compromise</t>
        </is>
      </c>
      <c r="S192" t="n">
        <v>1</v>
      </c>
      <c r="T192" t="inlineStr">
        <is>
          <t>LOW (40%)</t>
        </is>
      </c>
      <c r="U192" t="inlineStr">
        <is>
          <t>UNLIKELY</t>
        </is>
      </c>
      <c r="V192" t="inlineStr">
        <is>
          <t>CHECK_VENDOR</t>
        </is>
      </c>
      <c r="W192" t="inlineStr">
        <is>
          <t>https://nvd.nist.gov/vuln/detail/CVE-2026-1437</t>
        </is>
      </c>
      <c r="X192" t="inlineStr">
        <is>
          <t>NONE</t>
        </is>
      </c>
      <c r="Y192" t="n">
        <v>0</v>
      </c>
      <c r="Z192" t="inlineStr"/>
      <c r="AA192" t="inlineStr">
        <is>
          <t>https://nvd.nist.gov/vuln/detail/CVE-2026-1437</t>
        </is>
      </c>
    </row>
    <row r="193">
      <c r="A193" t="inlineStr">
        <is>
          <t>CVE</t>
        </is>
      </c>
      <c r="B193" t="inlineStr">
        <is>
          <t>CVE-2026-1438</t>
        </is>
      </c>
      <c r="C193" t="inlineStr">
        <is>
          <t>Reflected Cross-Site Scripting (XSS) vulnerability in the Graylog Web Interface console, version 2.2.3, caused by a lack of proper sanitization and escaping in HTML output. Several endpoints include segments of the URL directly in the response without applying output encoding, allowing an attacker to inject and execute arbitrary JavaScript code when a user visits a specially crafted URL. Exploitation of this vulnerability may allow script execution in the victim's browser and limited manipulatio</t>
        </is>
      </c>
      <c r="D193" t="n">
        <v>6.1</v>
      </c>
      <c r="E193" t="inlineStr">
        <is>
          <t>MEDIUM</t>
        </is>
      </c>
      <c r="F193" t="n">
        <v>2</v>
      </c>
      <c r="G193" t="n">
        <v>2</v>
      </c>
      <c r="H193" t="inlineStr">
        <is>
          <t>MEDIUM</t>
        </is>
      </c>
      <c r="I193" t="n">
        <v>10.1</v>
      </c>
      <c r="J193" t="inlineStr">
        <is>
          <t>NO</t>
        </is>
      </c>
      <c r="K193" t="inlineStr">
        <is>
          <t>2026-02-23 23:48</t>
        </is>
      </c>
      <c r="L193" t="inlineStr">
        <is>
          <t>CHECK_VENDOR</t>
        </is>
      </c>
      <c r="M193" t="inlineStr">
        <is>
          <t>graylog graylog 2.2.3</t>
        </is>
      </c>
      <c r="N193" t="inlineStr">
        <is>
          <t>P4</t>
        </is>
      </c>
      <c r="O193" t="inlineStr">
        <is>
          <t>CVE - IP enrichment n/a</t>
        </is>
      </c>
      <c r="P193" t="n">
        <v>0</v>
      </c>
      <c r="Q193" t="n">
        <v>0</v>
      </c>
      <c r="R193" t="inlineStr">
        <is>
          <t>T1189:Drive-by Compromise</t>
        </is>
      </c>
      <c r="S193" t="n">
        <v>1</v>
      </c>
      <c r="T193" t="inlineStr">
        <is>
          <t>LOW (40%)</t>
        </is>
      </c>
      <c r="U193" t="inlineStr">
        <is>
          <t>UNLIKELY</t>
        </is>
      </c>
      <c r="V193" t="inlineStr">
        <is>
          <t>CHECK_VENDOR</t>
        </is>
      </c>
      <c r="W193" t="inlineStr">
        <is>
          <t>https://nvd.nist.gov/vuln/detail/CVE-2026-1438</t>
        </is>
      </c>
      <c r="X193" t="inlineStr">
        <is>
          <t>NONE</t>
        </is>
      </c>
      <c r="Y193" t="n">
        <v>0</v>
      </c>
      <c r="Z193" t="inlineStr"/>
      <c r="AA193" t="inlineStr">
        <is>
          <t>https://nvd.nist.gov/vuln/detail/CVE-2026-1438</t>
        </is>
      </c>
    </row>
    <row r="194">
      <c r="A194" t="inlineStr">
        <is>
          <t>CVE</t>
        </is>
      </c>
      <c r="B194" t="inlineStr">
        <is>
          <t>CVE-2026-1439</t>
        </is>
      </c>
      <c r="C194" t="inlineStr">
        <is>
          <t>Reflected Cross-Site Scripting (XSS) vulnerability in the Graylog Web Interface console, version 2.2.3, caused by a lack of proper sanitization and escaping in HTML output. Several endpoints include segments of the URL directly in the response without applying output encoding, allowing an attacker to inject and execute arbitrary JavaScript code when a user visits a specially crafted URL. Exploitation of this vulnerability may allow script execution in the victim's browser and limited manipulatio</t>
        </is>
      </c>
      <c r="D194" t="n">
        <v>6.1</v>
      </c>
      <c r="E194" t="inlineStr">
        <is>
          <t>MEDIUM</t>
        </is>
      </c>
      <c r="F194" t="n">
        <v>2</v>
      </c>
      <c r="G194" t="n">
        <v>2</v>
      </c>
      <c r="H194" t="inlineStr">
        <is>
          <t>MEDIUM</t>
        </is>
      </c>
      <c r="I194" t="n">
        <v>10.1</v>
      </c>
      <c r="J194" t="inlineStr">
        <is>
          <t>NO</t>
        </is>
      </c>
      <c r="K194" t="inlineStr">
        <is>
          <t>2026-02-23 23:48</t>
        </is>
      </c>
      <c r="L194" t="inlineStr">
        <is>
          <t>CHECK_VENDOR</t>
        </is>
      </c>
      <c r="M194" t="inlineStr">
        <is>
          <t>graylog graylog 2.2.3</t>
        </is>
      </c>
      <c r="N194" t="inlineStr">
        <is>
          <t>P4</t>
        </is>
      </c>
      <c r="O194" t="inlineStr">
        <is>
          <t>CVE - IP enrichment n/a</t>
        </is>
      </c>
      <c r="P194" t="n">
        <v>0</v>
      </c>
      <c r="Q194" t="n">
        <v>0</v>
      </c>
      <c r="R194" t="inlineStr">
        <is>
          <t>T1189:Drive-by Compromise</t>
        </is>
      </c>
      <c r="S194" t="n">
        <v>1</v>
      </c>
      <c r="T194" t="inlineStr">
        <is>
          <t>LOW (40%)</t>
        </is>
      </c>
      <c r="U194" t="inlineStr">
        <is>
          <t>UNLIKELY</t>
        </is>
      </c>
      <c r="V194" t="inlineStr">
        <is>
          <t>CHECK_VENDOR</t>
        </is>
      </c>
      <c r="W194" t="inlineStr">
        <is>
          <t>https://nvd.nist.gov/vuln/detail/CVE-2026-1439</t>
        </is>
      </c>
      <c r="X194" t="inlineStr">
        <is>
          <t>NONE</t>
        </is>
      </c>
      <c r="Y194" t="n">
        <v>0</v>
      </c>
      <c r="Z194" t="inlineStr"/>
      <c r="AA194" t="inlineStr">
        <is>
          <t>https://nvd.nist.gov/vuln/detail/CVE-2026-1439</t>
        </is>
      </c>
    </row>
    <row r="195">
      <c r="A195" t="inlineStr">
        <is>
          <t>CVE</t>
        </is>
      </c>
      <c r="B195" t="inlineStr">
        <is>
          <t>CVE-2026-1440</t>
        </is>
      </c>
      <c r="C195" t="inlineStr">
        <is>
          <t>Reflected Cross-Site Scripting (XSS) vulnerability in the Graylog Web Interface console, version 2.2.3, caused by a lack of proper sanitization and escaping in HTML output. Several endpoints include segments of the URL directly in the response without applying output encoding, allowing an attacker to inject and execute arbitrary JavaScript code when a user visits a specially crafted URL. Exploitation of this vulnerability may allow script execution in the victim's browser and limited manipulatio</t>
        </is>
      </c>
      <c r="D195" t="n">
        <v>6.1</v>
      </c>
      <c r="E195" t="inlineStr">
        <is>
          <t>MEDIUM</t>
        </is>
      </c>
      <c r="F195" t="n">
        <v>2</v>
      </c>
      <c r="G195" t="n">
        <v>2</v>
      </c>
      <c r="H195" t="inlineStr">
        <is>
          <t>MEDIUM</t>
        </is>
      </c>
      <c r="I195" t="n">
        <v>10.1</v>
      </c>
      <c r="J195" t="inlineStr">
        <is>
          <t>NO</t>
        </is>
      </c>
      <c r="K195" t="inlineStr">
        <is>
          <t>2026-02-23 23:48</t>
        </is>
      </c>
      <c r="L195" t="inlineStr">
        <is>
          <t>CHECK_VENDOR</t>
        </is>
      </c>
      <c r="M195" t="inlineStr">
        <is>
          <t>graylog graylog 2.2.3</t>
        </is>
      </c>
      <c r="N195" t="inlineStr">
        <is>
          <t>P4</t>
        </is>
      </c>
      <c r="O195" t="inlineStr">
        <is>
          <t>CVE - IP enrichment n/a</t>
        </is>
      </c>
      <c r="P195" t="n">
        <v>0.0004</v>
      </c>
      <c r="Q195" t="n">
        <v>0.1071</v>
      </c>
      <c r="R195" t="inlineStr">
        <is>
          <t>T1189:Drive-by Compromise</t>
        </is>
      </c>
      <c r="S195" t="n">
        <v>1</v>
      </c>
      <c r="T195" t="inlineStr">
        <is>
          <t>LOW (40%)</t>
        </is>
      </c>
      <c r="U195" t="inlineStr">
        <is>
          <t>UNLIKELY</t>
        </is>
      </c>
      <c r="V195" t="inlineStr">
        <is>
          <t>CHECK_VENDOR</t>
        </is>
      </c>
      <c r="W195" t="inlineStr">
        <is>
          <t>https://nvd.nist.gov/vuln/detail/CVE-2026-1440</t>
        </is>
      </c>
      <c r="X195" t="inlineStr">
        <is>
          <t>NONE</t>
        </is>
      </c>
      <c r="Y195" t="n">
        <v>0</v>
      </c>
      <c r="Z195" t="inlineStr"/>
      <c r="AA195" t="inlineStr">
        <is>
          <t>https://nvd.nist.gov/vuln/detail/CVE-2026-1440</t>
        </is>
      </c>
    </row>
    <row r="196">
      <c r="A196" t="inlineStr">
        <is>
          <t>CVE</t>
        </is>
      </c>
      <c r="B196" t="inlineStr">
        <is>
          <t>CVE-2026-1441</t>
        </is>
      </c>
      <c r="C196" t="inlineStr">
        <is>
          <t>Reflected Cross-Site Scripting (XSS) vulnerability in the Graylog Web Interface console, version 2.2.3, caused by a lack of proper sanitization and escaping in HTML output. Several endpoints include segments of the URL directly in the response without applying output encoding, allowing an attacker to inject and execute arbitrary JavaScript code when a user visits a specially crafted URL. Exploitation of this vulnerability may allow script execution in the victim's browser and limited manipulatio</t>
        </is>
      </c>
      <c r="D196" t="n">
        <v>6.1</v>
      </c>
      <c r="E196" t="inlineStr">
        <is>
          <t>MEDIUM</t>
        </is>
      </c>
      <c r="F196" t="n">
        <v>2</v>
      </c>
      <c r="G196" t="n">
        <v>2</v>
      </c>
      <c r="H196" t="inlineStr">
        <is>
          <t>MEDIUM</t>
        </is>
      </c>
      <c r="I196" t="n">
        <v>10.1</v>
      </c>
      <c r="J196" t="inlineStr">
        <is>
          <t>NO</t>
        </is>
      </c>
      <c r="K196" t="inlineStr">
        <is>
          <t>2026-02-23 23:48</t>
        </is>
      </c>
      <c r="L196" t="inlineStr">
        <is>
          <t>CHECK_VENDOR</t>
        </is>
      </c>
      <c r="M196" t="inlineStr">
        <is>
          <t>graylog graylog 2.2.3</t>
        </is>
      </c>
      <c r="N196" t="inlineStr">
        <is>
          <t>P4</t>
        </is>
      </c>
      <c r="O196" t="inlineStr">
        <is>
          <t>CVE - IP enrichment n/a</t>
        </is>
      </c>
      <c r="P196" t="n">
        <v>0</v>
      </c>
      <c r="Q196" t="n">
        <v>0</v>
      </c>
      <c r="R196" t="inlineStr">
        <is>
          <t>T1189:Drive-by Compromise</t>
        </is>
      </c>
      <c r="S196" t="n">
        <v>1</v>
      </c>
      <c r="T196" t="inlineStr">
        <is>
          <t>LOW (40%)</t>
        </is>
      </c>
      <c r="U196" t="inlineStr">
        <is>
          <t>UNLIKELY</t>
        </is>
      </c>
      <c r="V196" t="inlineStr">
        <is>
          <t>CHECK_VENDOR</t>
        </is>
      </c>
      <c r="W196" t="inlineStr">
        <is>
          <t>https://nvd.nist.gov/vuln/detail/CVE-2026-1441</t>
        </is>
      </c>
      <c r="X196" t="inlineStr">
        <is>
          <t>NONE</t>
        </is>
      </c>
      <c r="Y196" t="n">
        <v>0</v>
      </c>
      <c r="Z196" t="inlineStr"/>
      <c r="AA196" t="inlineStr">
        <is>
          <t>https://nvd.nist.gov/vuln/detail/CVE-2026-1441</t>
        </is>
      </c>
    </row>
    <row r="197">
      <c r="A197" t="inlineStr">
        <is>
          <t>CVE</t>
        </is>
      </c>
      <c r="B197" t="inlineStr">
        <is>
          <t>CVE-2026-2464</t>
        </is>
      </c>
      <c r="C197" t="inlineStr">
        <is>
          <t>Path traversal vulnerability in the AMR Printer Management 1.01 Beta web service, which allows remote attackers to read arbitrary files from the underlying Windows system by using specially crafted path traversal sequences in requests directed to the web management service. The service is accessible without authentication and runs with elevated privileges, amplifying the impact of the vulnerability. An attacker can exploit this condition to access sensitive and privileged files on the system usi</t>
        </is>
      </c>
      <c r="D197" t="n">
        <v>5</v>
      </c>
      <c r="E197" t="inlineStr">
        <is>
          <t>MEDIUM</t>
        </is>
      </c>
      <c r="F197" t="n">
        <v>2</v>
      </c>
      <c r="G197" t="n">
        <v>2</v>
      </c>
      <c r="H197" t="inlineStr">
        <is>
          <t>MEDIUM</t>
        </is>
      </c>
      <c r="I197" t="n">
        <v>9</v>
      </c>
      <c r="J197" t="inlineStr">
        <is>
          <t>NO</t>
        </is>
      </c>
      <c r="K197" t="inlineStr">
        <is>
          <t>2026-02-23 23:48</t>
        </is>
      </c>
      <c r="L197" t="inlineStr">
        <is>
          <t>CHECK_VENDOR</t>
        </is>
      </c>
      <c r="M197" t="inlineStr">
        <is>
          <t>See CVE details</t>
        </is>
      </c>
      <c r="N197" t="inlineStr">
        <is>
          <t>P4</t>
        </is>
      </c>
      <c r="O197" t="inlineStr">
        <is>
          <t>CVE - IP enrichment n/a</t>
        </is>
      </c>
      <c r="P197" t="n">
        <v>0</v>
      </c>
      <c r="Q197" t="n">
        <v>0</v>
      </c>
      <c r="R197" t="inlineStr">
        <is>
          <t>T1083:File and Directory Discovery</t>
        </is>
      </c>
      <c r="S197" t="n">
        <v>1</v>
      </c>
      <c r="T197" t="inlineStr">
        <is>
          <t>LOW (40%)</t>
        </is>
      </c>
      <c r="U197" t="inlineStr">
        <is>
          <t>UNLIKELY</t>
        </is>
      </c>
      <c r="V197" t="inlineStr">
        <is>
          <t>CHECK_VENDOR</t>
        </is>
      </c>
      <c r="W197" t="inlineStr">
        <is>
          <t>https://nvd.nist.gov/vuln/detail/CVE-2026-2464</t>
        </is>
      </c>
      <c r="X197" t="inlineStr">
        <is>
          <t>NONE</t>
        </is>
      </c>
      <c r="Y197" t="n">
        <v>0</v>
      </c>
      <c r="Z197" t="inlineStr"/>
      <c r="AA197" t="inlineStr">
        <is>
          <t>https://nvd.nist.gov/vuln/detail/CVE-2026-2464</t>
        </is>
      </c>
    </row>
    <row r="198">
      <c r="A198" t="inlineStr">
        <is>
          <t>CVE</t>
        </is>
      </c>
      <c r="B198" t="inlineStr">
        <is>
          <t>CVE-2026-2654</t>
        </is>
      </c>
      <c r="C198" t="inlineStr">
        <is>
          <t>A weakness has been identified in huggingface smolagents 1.24.0. Impacted is the function requests.get/requests.post of the component LocalPythonExecutor. Executing a manipulation can lead to server-side request forgery. It is possible to launch the attack remotely. The exploit has been made available to the public and could be used for attacks. The vendor was contacted early about this disclosure but did not respond in any way.</t>
        </is>
      </c>
      <c r="D198" t="n">
        <v>6.3</v>
      </c>
      <c r="E198" t="inlineStr">
        <is>
          <t>MEDIUM</t>
        </is>
      </c>
      <c r="F198" t="n">
        <v>2</v>
      </c>
      <c r="G198" t="n">
        <v>2</v>
      </c>
      <c r="H198" t="inlineStr">
        <is>
          <t>MEDIUM</t>
        </is>
      </c>
      <c r="I198" t="n">
        <v>10.3</v>
      </c>
      <c r="J198" t="inlineStr">
        <is>
          <t>NO</t>
        </is>
      </c>
      <c r="K198" t="inlineStr">
        <is>
          <t>2026-02-23 23:48</t>
        </is>
      </c>
      <c r="L198" t="inlineStr">
        <is>
          <t>CHECK_VENDOR</t>
        </is>
      </c>
      <c r="M198" t="inlineStr">
        <is>
          <t>huggingface smolagents *</t>
        </is>
      </c>
      <c r="N198" t="inlineStr">
        <is>
          <t>P4</t>
        </is>
      </c>
      <c r="O198" t="inlineStr">
        <is>
          <t>CVE - IP enrichment n/a</t>
        </is>
      </c>
      <c r="P198" t="n">
        <v>0</v>
      </c>
      <c r="Q198" t="n">
        <v>0</v>
      </c>
      <c r="R198" t="inlineStr">
        <is>
          <t>T1090:Proxy</t>
        </is>
      </c>
      <c r="S198" t="n">
        <v>1</v>
      </c>
      <c r="T198" t="inlineStr">
        <is>
          <t>LOW (40%)</t>
        </is>
      </c>
      <c r="U198" t="inlineStr">
        <is>
          <t>UNLIKELY</t>
        </is>
      </c>
      <c r="V198" t="inlineStr">
        <is>
          <t>CHECK_VENDOR</t>
        </is>
      </c>
      <c r="W198" t="inlineStr">
        <is>
          <t>https://nvd.nist.gov/vuln/detail/CVE-2026-2654</t>
        </is>
      </c>
      <c r="X198" t="inlineStr">
        <is>
          <t>NONE</t>
        </is>
      </c>
      <c r="Y198" t="n">
        <v>0</v>
      </c>
      <c r="Z198" t="inlineStr"/>
      <c r="AA198" t="inlineStr">
        <is>
          <t>https://nvd.nist.gov/vuln/detail/CVE-2026-2654</t>
        </is>
      </c>
    </row>
    <row r="199">
      <c r="A199" t="inlineStr">
        <is>
          <t>CVE</t>
        </is>
      </c>
      <c r="B199" t="inlineStr">
        <is>
          <t>CVE-2026-2655</t>
        </is>
      </c>
      <c r="C199" t="inlineStr">
        <is>
          <t>A vulnerability was detected in ChaiScript up to 6.1.0. The impacted element is the function chaiscript::str_less::operator of the file include/chaiscript/chaiscript_defines.hpp. The manipulation results in use after free. The attack requires a local approach. The attack requires a high level of complexity. The exploitability is regarded as difficult. The exploit is now public and may be used. The project was informed of the problem early through an issue report but has not responded yet.</t>
        </is>
      </c>
      <c r="D199" t="n">
        <v>2.5</v>
      </c>
      <c r="E199" t="inlineStr">
        <is>
          <t>LOW</t>
        </is>
      </c>
      <c r="F199" t="n">
        <v>2</v>
      </c>
      <c r="G199" t="n">
        <v>1</v>
      </c>
      <c r="H199" t="inlineStr">
        <is>
          <t>LOW</t>
        </is>
      </c>
      <c r="I199" t="n">
        <v>4.5</v>
      </c>
      <c r="J199" t="inlineStr">
        <is>
          <t>NO</t>
        </is>
      </c>
      <c r="K199" t="inlineStr">
        <is>
          <t>2026-02-23 23:48</t>
        </is>
      </c>
      <c r="L199" t="inlineStr">
        <is>
          <t>YES</t>
        </is>
      </c>
      <c r="M199" t="inlineStr">
        <is>
          <t>chaiscript chaiscript *</t>
        </is>
      </c>
      <c r="N199" t="inlineStr">
        <is>
          <t>P4</t>
        </is>
      </c>
      <c r="O199" t="inlineStr">
        <is>
          <t>CVE - IP enrichment n/a</t>
        </is>
      </c>
      <c r="P199" t="n">
        <v>0.0002</v>
      </c>
      <c r="Q199" t="n">
        <v>0.06519999999999999</v>
      </c>
      <c r="R199" t="inlineStr">
        <is>
          <t>T1203:Exploitation for Client Execution</t>
        </is>
      </c>
      <c r="S199" t="n">
        <v>1</v>
      </c>
      <c r="T199" t="inlineStr">
        <is>
          <t>LOW (40%)</t>
        </is>
      </c>
      <c r="U199" t="inlineStr">
        <is>
          <t>UNLIKELY</t>
        </is>
      </c>
      <c r="V199" t="inlineStr">
        <is>
          <t>PATCH_AVAILABLE</t>
        </is>
      </c>
      <c r="W199" t="inlineStr">
        <is>
          <t>https://nvd.nist.gov/vuln/detail/CVE-2026-2655</t>
        </is>
      </c>
      <c r="X199" t="inlineStr">
        <is>
          <t>NONE</t>
        </is>
      </c>
      <c r="Y199" t="n">
        <v>0</v>
      </c>
      <c r="Z199" t="inlineStr"/>
      <c r="AA199" t="inlineStr">
        <is>
          <t>https://nvd.nist.gov/vuln/detail/CVE-2026-2655</t>
        </is>
      </c>
    </row>
    <row r="200">
      <c r="A200" t="inlineStr">
        <is>
          <t>CVE</t>
        </is>
      </c>
      <c r="B200" t="inlineStr">
        <is>
          <t>CVE-2025-61982</t>
        </is>
      </c>
      <c r="C200" t="inlineStr">
        <is>
          <t>An arbitrary code execution vulnerability exists in the Code Stream directive functionality of OpenCFD OpenFOAM 2506. A specially crafted OpenFOAM simulation file can lead to arbitrary code execution. An attacker can provide a malicious file to trigger this vulnerability.</t>
        </is>
      </c>
      <c r="D200" t="n">
        <v>7.8</v>
      </c>
      <c r="E200" t="inlineStr">
        <is>
          <t>HIGH</t>
        </is>
      </c>
      <c r="F200" t="n">
        <v>2</v>
      </c>
      <c r="G200" t="n">
        <v>3</v>
      </c>
      <c r="H200" t="inlineStr">
        <is>
          <t>HIGH</t>
        </is>
      </c>
      <c r="I200" t="n">
        <v>13.8</v>
      </c>
      <c r="J200" t="inlineStr">
        <is>
          <t>NO</t>
        </is>
      </c>
      <c r="K200" t="inlineStr">
        <is>
          <t>2026-02-23 23:48</t>
        </is>
      </c>
      <c r="L200" t="inlineStr">
        <is>
          <t>CHECK_VENDOR</t>
        </is>
      </c>
      <c r="M200" t="inlineStr">
        <is>
          <t>See CVE details</t>
        </is>
      </c>
      <c r="N200" t="inlineStr">
        <is>
          <t>P3</t>
        </is>
      </c>
      <c r="O200" t="inlineStr">
        <is>
          <t>CVE - IP enrichment n/a</t>
        </is>
      </c>
      <c r="P200" t="n">
        <v>0</v>
      </c>
      <c r="Q200" t="n">
        <v>0</v>
      </c>
      <c r="R200" t="inlineStr">
        <is>
          <t>T1059:Command and Scripting Interpreter | T1203:Exploitation for Client Execution</t>
        </is>
      </c>
      <c r="S200" t="n">
        <v>1</v>
      </c>
      <c r="T200" t="inlineStr">
        <is>
          <t>LOW (40%)</t>
        </is>
      </c>
      <c r="U200" t="inlineStr">
        <is>
          <t>UNLIKELY</t>
        </is>
      </c>
      <c r="V200" t="inlineStr">
        <is>
          <t>CHECK_VENDOR</t>
        </is>
      </c>
      <c r="W200" t="inlineStr">
        <is>
          <t>https://nvd.nist.gov/vuln/detail/CVE-2025-61982</t>
        </is>
      </c>
      <c r="X200" t="inlineStr">
        <is>
          <t>NONE</t>
        </is>
      </c>
      <c r="Y200" t="n">
        <v>0</v>
      </c>
      <c r="Z200" t="inlineStr"/>
      <c r="AA200" t="inlineStr">
        <is>
          <t>https://nvd.nist.gov/vuln/detail/CVE-2025-61982</t>
        </is>
      </c>
    </row>
    <row r="201">
      <c r="A201" t="inlineStr">
        <is>
          <t>CVE</t>
        </is>
      </c>
      <c r="B201" t="inlineStr">
        <is>
          <t>CVE-2025-71225</t>
        </is>
      </c>
      <c r="C201" t="inlineStr">
        <is>
          <t>In the Linux kernel, the following vulnerability has been resolved:
md: suspend array while updating raid_disks via sysfs
In raid1_reshape(), freeze_array() is called before modifying the r1bio
memory pool (conf-&gt;r1bio_pool) and conf-&gt;raid_disks, and
unfreeze_array() is called after the update is completed.
However, freeze_array() only waits until nr_sync_pending and
(nr_pending - nr_queued) of all buckets reaches zero. When an I/O error
occurs, nr_queued is increased and the corresponding r1</t>
        </is>
      </c>
      <c r="D201" t="n">
        <v>5</v>
      </c>
      <c r="E201" t="inlineStr">
        <is>
          <t>MEDIUM</t>
        </is>
      </c>
      <c r="F201" t="n">
        <v>2</v>
      </c>
      <c r="G201" t="n">
        <v>2</v>
      </c>
      <c r="H201" t="inlineStr">
        <is>
          <t>MEDIUM</t>
        </is>
      </c>
      <c r="I201" t="n">
        <v>9</v>
      </c>
      <c r="J201" t="inlineStr">
        <is>
          <t>NO</t>
        </is>
      </c>
      <c r="K201" t="inlineStr">
        <is>
          <t>2026-02-23 23:48</t>
        </is>
      </c>
      <c r="L201" t="inlineStr">
        <is>
          <t>CHECK_VENDOR</t>
        </is>
      </c>
      <c r="M201" t="inlineStr">
        <is>
          <t>See CVE details</t>
        </is>
      </c>
      <c r="N201" t="inlineStr">
        <is>
          <t>P4</t>
        </is>
      </c>
      <c r="O201" t="inlineStr">
        <is>
          <t>CVE - IP enrichment n/a</t>
        </is>
      </c>
      <c r="P201" t="n">
        <v>0.0002</v>
      </c>
      <c r="Q201" t="n">
        <v>0.0367</v>
      </c>
      <c r="R201" t="inlineStr">
        <is>
          <t>T1190:Exploit Public-Facing Application</t>
        </is>
      </c>
      <c r="S201" t="n">
        <v>1</v>
      </c>
      <c r="T201" t="inlineStr">
        <is>
          <t>LOW (40%)</t>
        </is>
      </c>
      <c r="U201" t="inlineStr">
        <is>
          <t>UNLIKELY</t>
        </is>
      </c>
      <c r="V201" t="inlineStr">
        <is>
          <t>CHECK_VENDOR</t>
        </is>
      </c>
      <c r="W201" t="inlineStr">
        <is>
          <t>https://nvd.nist.gov/vuln/detail/CVE-2025-71225</t>
        </is>
      </c>
      <c r="X201" t="inlineStr">
        <is>
          <t>NONE</t>
        </is>
      </c>
      <c r="Y201" t="n">
        <v>0</v>
      </c>
      <c r="Z201" t="inlineStr"/>
      <c r="AA201" t="inlineStr">
        <is>
          <t>https://nvd.nist.gov/vuln/detail/CVE-2025-71225</t>
        </is>
      </c>
    </row>
    <row r="202">
      <c r="A202" t="inlineStr">
        <is>
          <t>CVE</t>
        </is>
      </c>
      <c r="B202" t="inlineStr">
        <is>
          <t>CVE-2025-71226</t>
        </is>
      </c>
      <c r="C202" t="inlineStr">
        <is>
          <t>In the Linux kernel, the following vulnerability has been resolved:
wifi: iwlwifi: Implement settime64 as stub for MVM/MLD PTP
Since commit dfb073d32cac ("ptp: Return -EINVAL on ptp_clock_register if
required ops are NULL"), PTP clock registered through ptp_clock_register
is required to have ptp_clock_info.settime64 set, however, neither MVM
nor MLD's PTP clock implementation sets it, resulting in warnings when
the interface starts up, like
WARNING: drivers/ptp/ptp_clock.c:325 at ptp_clock_re</t>
        </is>
      </c>
      <c r="D202" t="n">
        <v>5</v>
      </c>
      <c r="E202" t="inlineStr">
        <is>
          <t>MEDIUM</t>
        </is>
      </c>
      <c r="F202" t="n">
        <v>2</v>
      </c>
      <c r="G202" t="n">
        <v>2</v>
      </c>
      <c r="H202" t="inlineStr">
        <is>
          <t>MEDIUM</t>
        </is>
      </c>
      <c r="I202" t="n">
        <v>9</v>
      </c>
      <c r="J202" t="inlineStr">
        <is>
          <t>NO</t>
        </is>
      </c>
      <c r="K202" t="inlineStr">
        <is>
          <t>2026-02-23 23:48</t>
        </is>
      </c>
      <c r="L202" t="inlineStr">
        <is>
          <t>CHECK_VENDOR</t>
        </is>
      </c>
      <c r="M202" t="inlineStr">
        <is>
          <t>See CVE details</t>
        </is>
      </c>
      <c r="N202" t="inlineStr">
        <is>
          <t>P4</t>
        </is>
      </c>
      <c r="O202" t="inlineStr">
        <is>
          <t>CVE - IP enrichment n/a</t>
        </is>
      </c>
      <c r="P202" t="n">
        <v>0.0002</v>
      </c>
      <c r="Q202" t="n">
        <v>0.0449</v>
      </c>
      <c r="R202" t="inlineStr">
        <is>
          <t>T1190:Exploit Public-Facing Application</t>
        </is>
      </c>
      <c r="S202" t="n">
        <v>1</v>
      </c>
      <c r="T202" t="inlineStr">
        <is>
          <t>LOW (40%)</t>
        </is>
      </c>
      <c r="U202" t="inlineStr">
        <is>
          <t>UNLIKELY</t>
        </is>
      </c>
      <c r="V202" t="inlineStr">
        <is>
          <t>CHECK_VENDOR</t>
        </is>
      </c>
      <c r="W202" t="inlineStr">
        <is>
          <t>https://nvd.nist.gov/vuln/detail/CVE-2025-71226</t>
        </is>
      </c>
      <c r="X202" t="inlineStr">
        <is>
          <t>NONE</t>
        </is>
      </c>
      <c r="Y202" t="n">
        <v>0</v>
      </c>
      <c r="Z202" t="inlineStr"/>
      <c r="AA202" t="inlineStr">
        <is>
          <t>https://nvd.nist.gov/vuln/detail/CVE-2025-71226</t>
        </is>
      </c>
    </row>
    <row r="203">
      <c r="A203" t="inlineStr">
        <is>
          <t>CVE</t>
        </is>
      </c>
      <c r="B203" t="inlineStr">
        <is>
          <t>CVE-2025-71227</t>
        </is>
      </c>
      <c r="C203" t="inlineStr">
        <is>
          <t xml:space="preserve">In the Linux kernel, the following vulnerability has been resolved:
wifi: mac80211: don't WARN for connections on invalid channels
It's not clear (to me) how exactly syzbot managed to hit this,
but it seems conceivable that e.g. regulatory changed and has
disabled a channel between scanning (channel is checked to be
usable by cfg80211_get_ies_channel_number) and connecting on
the channel later.
With one scenario that isn't covered elsewhere described above,
the warning isn't good, replace it </t>
        </is>
      </c>
      <c r="D203" t="n">
        <v>5</v>
      </c>
      <c r="E203" t="inlineStr">
        <is>
          <t>MEDIUM</t>
        </is>
      </c>
      <c r="F203" t="n">
        <v>2</v>
      </c>
      <c r="G203" t="n">
        <v>2</v>
      </c>
      <c r="H203" t="inlineStr">
        <is>
          <t>MEDIUM</t>
        </is>
      </c>
      <c r="I203" t="n">
        <v>9</v>
      </c>
      <c r="J203" t="inlineStr">
        <is>
          <t>NO</t>
        </is>
      </c>
      <c r="K203" t="inlineStr">
        <is>
          <t>2026-02-23 23:48</t>
        </is>
      </c>
      <c r="L203" t="inlineStr">
        <is>
          <t>CHECK_VENDOR</t>
        </is>
      </c>
      <c r="M203" t="inlineStr">
        <is>
          <t>See CVE details</t>
        </is>
      </c>
      <c r="N203" t="inlineStr">
        <is>
          <t>P1</t>
        </is>
      </c>
      <c r="O203" t="inlineStr">
        <is>
          <t>CVE - IP enrichment n/a</t>
        </is>
      </c>
      <c r="P203" t="n">
        <v>0.0002</v>
      </c>
      <c r="Q203" t="n">
        <v>0.0449</v>
      </c>
      <c r="R203" t="inlineStr">
        <is>
          <t>T1190:Exploit Public-Facing Application</t>
        </is>
      </c>
      <c r="S203" t="n">
        <v>2</v>
      </c>
      <c r="T203" t="inlineStr">
        <is>
          <t>HIGH (72%)</t>
        </is>
      </c>
      <c r="U203" t="inlineStr">
        <is>
          <t>HIGH</t>
        </is>
      </c>
      <c r="V203" t="inlineStr">
        <is>
          <t>CHECK_VENDOR</t>
        </is>
      </c>
      <c r="W203" t="inlineStr">
        <is>
          <t>https://nvd.nist.gov/vuln/detail/CVE-2025-71227</t>
        </is>
      </c>
      <c r="X203" t="inlineStr">
        <is>
          <t>http://www.zerodayinitiative.com/advisories/ZDI-26-123/</t>
        </is>
      </c>
      <c r="Y203" t="n">
        <v>0</v>
      </c>
      <c r="Z203" t="inlineStr"/>
      <c r="AA203" t="inlineStr">
        <is>
          <t>https://nvd.nist.gov/vuln/detail/CVE-2025-71227</t>
        </is>
      </c>
    </row>
    <row r="204">
      <c r="A204" t="inlineStr">
        <is>
          <t>CVE</t>
        </is>
      </c>
      <c r="B204" t="inlineStr">
        <is>
          <t>CVE-2025-71228</t>
        </is>
      </c>
      <c r="C204" t="inlineStr">
        <is>
          <t>In the Linux kernel, the following vulnerability has been resolved:
LoongArch: Set correct protection_map[] for VM_NONE/VM_SHARED
For 32BIT platform _PAGE_PROTNONE is 0, so set a VMA to be VM_NONE or
VM_SHARED will make pages non-present, then cause Oops with kernel page
fault.
Fix it by set correct protection_map[] for VM_NONE/VM_SHARED, replacing
_PAGE_PROTNONE with _PAGE_PRESENT.</t>
        </is>
      </c>
      <c r="D204" t="n">
        <v>5</v>
      </c>
      <c r="E204" t="inlineStr">
        <is>
          <t>MEDIUM</t>
        </is>
      </c>
      <c r="F204" t="n">
        <v>2</v>
      </c>
      <c r="G204" t="n">
        <v>2</v>
      </c>
      <c r="H204" t="inlineStr">
        <is>
          <t>MEDIUM</t>
        </is>
      </c>
      <c r="I204" t="n">
        <v>9</v>
      </c>
      <c r="J204" t="inlineStr">
        <is>
          <t>NO</t>
        </is>
      </c>
      <c r="K204" t="inlineStr">
        <is>
          <t>2026-02-23 23:48</t>
        </is>
      </c>
      <c r="L204" t="inlineStr">
        <is>
          <t>CHECK_VENDOR</t>
        </is>
      </c>
      <c r="M204" t="inlineStr">
        <is>
          <t>See CVE details</t>
        </is>
      </c>
      <c r="N204" t="inlineStr">
        <is>
          <t>P4</t>
        </is>
      </c>
      <c r="O204" t="inlineStr">
        <is>
          <t>CVE - IP enrichment n/a</t>
        </is>
      </c>
      <c r="P204" t="n">
        <v>0</v>
      </c>
      <c r="Q204" t="n">
        <v>0</v>
      </c>
      <c r="R204" t="inlineStr">
        <is>
          <t>T1190:Exploit Public-Facing Application</t>
        </is>
      </c>
      <c r="S204" t="n">
        <v>1</v>
      </c>
      <c r="T204" t="inlineStr">
        <is>
          <t>LOW (40%)</t>
        </is>
      </c>
      <c r="U204" t="inlineStr">
        <is>
          <t>UNLIKELY</t>
        </is>
      </c>
      <c r="V204" t="inlineStr">
        <is>
          <t>CHECK_VENDOR</t>
        </is>
      </c>
      <c r="W204" t="inlineStr">
        <is>
          <t>https://nvd.nist.gov/vuln/detail/CVE-2025-71228</t>
        </is>
      </c>
      <c r="X204" t="inlineStr">
        <is>
          <t>NONE</t>
        </is>
      </c>
      <c r="Y204" t="n">
        <v>0</v>
      </c>
      <c r="Z204" t="inlineStr"/>
      <c r="AA204" t="inlineStr">
        <is>
          <t>https://nvd.nist.gov/vuln/detail/CVE-2025-71228</t>
        </is>
      </c>
    </row>
    <row r="205">
      <c r="A205" t="inlineStr">
        <is>
          <t>CVE</t>
        </is>
      </c>
      <c r="B205" t="inlineStr">
        <is>
          <t>CVE-2026-1404</t>
        </is>
      </c>
      <c r="C205" t="inlineStr">
        <is>
          <t>The Ultimate Member – User Profile, Registration, Login, Member Directory, Content Restriction &amp; Membership Plugin plugin for WordPress is vulnerable to Reflected Cross-Site Scripting via the filter parameters (e.g., 'filter_first_name') in all versions up to, and including, 2.11.1 due to insufficient input sanitization and output escaping. This makes it possible for unauthenticated attackers to inject arbitrary web scripts in pages that execute if they can successfully trick a user into perform</t>
        </is>
      </c>
      <c r="D205" t="n">
        <v>6.1</v>
      </c>
      <c r="E205" t="inlineStr">
        <is>
          <t>MEDIUM</t>
        </is>
      </c>
      <c r="F205" t="n">
        <v>2</v>
      </c>
      <c r="G205" t="n">
        <v>2</v>
      </c>
      <c r="H205" t="inlineStr">
        <is>
          <t>MEDIUM</t>
        </is>
      </c>
      <c r="I205" t="n">
        <v>10.1</v>
      </c>
      <c r="J205" t="inlineStr">
        <is>
          <t>NO</t>
        </is>
      </c>
      <c r="K205" t="inlineStr">
        <is>
          <t>2026-02-23 23:48</t>
        </is>
      </c>
      <c r="L205" t="inlineStr">
        <is>
          <t>CHECK_VENDOR</t>
        </is>
      </c>
      <c r="M205" t="inlineStr">
        <is>
          <t>See CVE details</t>
        </is>
      </c>
      <c r="N205" t="inlineStr">
        <is>
          <t>P4</t>
        </is>
      </c>
      <c r="O205" t="inlineStr">
        <is>
          <t>CVE - IP enrichment n/a</t>
        </is>
      </c>
      <c r="P205" t="n">
        <v>0</v>
      </c>
      <c r="Q205" t="n">
        <v>0</v>
      </c>
      <c r="R205" t="inlineStr">
        <is>
          <t>T1189:Drive-by Compromise</t>
        </is>
      </c>
      <c r="S205" t="n">
        <v>1</v>
      </c>
      <c r="T205" t="inlineStr">
        <is>
          <t>LOW (40%)</t>
        </is>
      </c>
      <c r="U205" t="inlineStr">
        <is>
          <t>UNLIKELY</t>
        </is>
      </c>
      <c r="V205" t="inlineStr">
        <is>
          <t>CHECK_VENDOR</t>
        </is>
      </c>
      <c r="W205" t="inlineStr">
        <is>
          <t>https://nvd.nist.gov/vuln/detail/CVE-2026-1404</t>
        </is>
      </c>
      <c r="X205" t="inlineStr">
        <is>
          <t>NONE</t>
        </is>
      </c>
      <c r="Y205" t="n">
        <v>0</v>
      </c>
      <c r="Z205" t="inlineStr"/>
      <c r="AA205" t="inlineStr">
        <is>
          <t>https://nvd.nist.gov/vuln/detail/CVE-2026-1404</t>
        </is>
      </c>
    </row>
    <row r="206">
      <c r="A206" t="inlineStr">
        <is>
          <t>CVE</t>
        </is>
      </c>
      <c r="B206" t="inlineStr">
        <is>
          <t>CVE-2026-1426</t>
        </is>
      </c>
      <c r="C206" t="inlineStr">
        <is>
          <t>The Advanced AJAX Product Filters plugin for WordPress is vulnerable to PHP Object Injection in all versions up to, and including, 3.1.9.6 via deserialization of untrusted input in the shortcode_check function within the Live Composer compatibility layer. This makes it possible for authenticated attackers, with Author-level access and above, to inject a PHP Object. No known POP chain is present in the vulnerable software, which means this vulnerability has no impact unless another plugin or them</t>
        </is>
      </c>
      <c r="D206" t="n">
        <v>8.800000000000001</v>
      </c>
      <c r="E206" t="inlineStr">
        <is>
          <t>HIGH</t>
        </is>
      </c>
      <c r="F206" t="n">
        <v>2</v>
      </c>
      <c r="G206" t="n">
        <v>3</v>
      </c>
      <c r="H206" t="inlineStr">
        <is>
          <t>HIGH</t>
        </is>
      </c>
      <c r="I206" t="n">
        <v>14.8</v>
      </c>
      <c r="J206" t="inlineStr">
        <is>
          <t>NO</t>
        </is>
      </c>
      <c r="K206" t="inlineStr">
        <is>
          <t>2026-02-23 23:48</t>
        </is>
      </c>
      <c r="L206" t="inlineStr">
        <is>
          <t>CHECK_VENDOR</t>
        </is>
      </c>
      <c r="M206" t="inlineStr">
        <is>
          <t>See CVE details</t>
        </is>
      </c>
      <c r="N206" t="inlineStr">
        <is>
          <t>P3</t>
        </is>
      </c>
      <c r="O206" t="inlineStr">
        <is>
          <t>CVE - IP enrichment n/a</t>
        </is>
      </c>
      <c r="P206" t="n">
        <v>0</v>
      </c>
      <c r="Q206" t="n">
        <v>0</v>
      </c>
      <c r="R206" t="inlineStr">
        <is>
          <t>T1059:Command and Scripting Interpreter</t>
        </is>
      </c>
      <c r="S206" t="n">
        <v>1</v>
      </c>
      <c r="T206" t="inlineStr">
        <is>
          <t>LOW (40%)</t>
        </is>
      </c>
      <c r="U206" t="inlineStr">
        <is>
          <t>UNLIKELY</t>
        </is>
      </c>
      <c r="V206" t="inlineStr">
        <is>
          <t>CHECK_VENDOR</t>
        </is>
      </c>
      <c r="W206" t="inlineStr">
        <is>
          <t>https://nvd.nist.gov/vuln/detail/CVE-2026-1426</t>
        </is>
      </c>
      <c r="X206" t="inlineStr">
        <is>
          <t>NONE</t>
        </is>
      </c>
      <c r="Y206" t="n">
        <v>0</v>
      </c>
      <c r="Z206" t="inlineStr"/>
      <c r="AA206" t="inlineStr">
        <is>
          <t>https://nvd.nist.gov/vuln/detail/CVE-2026-1426</t>
        </is>
      </c>
    </row>
    <row r="207">
      <c r="A207" t="inlineStr">
        <is>
          <t>CVE</t>
        </is>
      </c>
      <c r="B207" t="inlineStr">
        <is>
          <t>CVE-2026-23211</t>
        </is>
      </c>
      <c r="C207" t="inlineStr">
        <is>
          <t>In the Linux kernel, the following vulnerability has been resolved:
mm, swap: restore swap_space attr aviod kernel panic
commit 8b47299a411a ("mm, swap: mark swap address space ro and add context
debug check") made the swap address space read-only.  It may lead to
kernel panic if arch_prepare_to_swap returns a failure under heavy memory
pressure as follows,
el1_abort+0x40/0x64
el1h_64_sync_handler+0x48/0xcc
el1h_64_sync+0x84/0x88
errseq_set+0x4c/0xb8 (P)
__filemap_set_wb_err+0x20/0xd0
shrink_</t>
        </is>
      </c>
      <c r="D207" t="n">
        <v>5</v>
      </c>
      <c r="E207" t="inlineStr">
        <is>
          <t>MEDIUM</t>
        </is>
      </c>
      <c r="F207" t="n">
        <v>2</v>
      </c>
      <c r="G207" t="n">
        <v>2</v>
      </c>
      <c r="H207" t="inlineStr">
        <is>
          <t>MEDIUM</t>
        </is>
      </c>
      <c r="I207" t="n">
        <v>9</v>
      </c>
      <c r="J207" t="inlineStr">
        <is>
          <t>NO</t>
        </is>
      </c>
      <c r="K207" t="inlineStr">
        <is>
          <t>2026-02-23 23:48</t>
        </is>
      </c>
      <c r="L207" t="inlineStr">
        <is>
          <t>CHECK_VENDOR</t>
        </is>
      </c>
      <c r="M207" t="inlineStr">
        <is>
          <t>See CVE details</t>
        </is>
      </c>
      <c r="N207" t="inlineStr">
        <is>
          <t>P4</t>
        </is>
      </c>
      <c r="O207" t="inlineStr">
        <is>
          <t>CVE - IP enrichment n/a</t>
        </is>
      </c>
      <c r="P207" t="n">
        <v>0</v>
      </c>
      <c r="Q207" t="n">
        <v>0</v>
      </c>
      <c r="R207" t="inlineStr">
        <is>
          <t>T1190:Exploit Public-Facing Application</t>
        </is>
      </c>
      <c r="S207" t="n">
        <v>1</v>
      </c>
      <c r="T207" t="inlineStr">
        <is>
          <t>LOW (40%)</t>
        </is>
      </c>
      <c r="U207" t="inlineStr">
        <is>
          <t>UNLIKELY</t>
        </is>
      </c>
      <c r="V207" t="inlineStr">
        <is>
          <t>CHECK_VENDOR</t>
        </is>
      </c>
      <c r="W207" t="inlineStr">
        <is>
          <t>https://nvd.nist.gov/vuln/detail/CVE-2026-23211</t>
        </is>
      </c>
      <c r="X207" t="inlineStr">
        <is>
          <t>NONE</t>
        </is>
      </c>
      <c r="Y207" t="n">
        <v>0</v>
      </c>
      <c r="Z207" t="inlineStr"/>
      <c r="AA207" t="inlineStr">
        <is>
          <t>https://nvd.nist.gov/vuln/detail/CVE-2026-23211</t>
        </is>
      </c>
    </row>
    <row r="208">
      <c r="A208" t="inlineStr">
        <is>
          <t>CVE</t>
        </is>
      </c>
      <c r="B208" t="inlineStr">
        <is>
          <t>CVE-2026-23212</t>
        </is>
      </c>
      <c r="C208" t="inlineStr">
        <is>
          <t>In the Linux kernel, the following vulnerability has been resolved:
bonding: annotate data-races around slave-&gt;last_rx
slave-&gt;last_rx and slave-&gt;target_last_arp_rx[...] can be read and written
locklessly. Add READ_ONCE() and WRITE_ONCE() annotations.
syzbot reported:
BUG: KCSAN: data-race in bond_rcv_validate / bond_rcv_validate
write to 0xffff888149f0d428 of 8 bytes by interrupt on cpu 1:
  bond_rcv_validate+0x202/0x7a0 drivers/net/bonding/bond_main.c:3335
  bond_handle_frame+0xde/0x5e0 dr</t>
        </is>
      </c>
      <c r="D208" t="n">
        <v>5</v>
      </c>
      <c r="E208" t="inlineStr">
        <is>
          <t>MEDIUM</t>
        </is>
      </c>
      <c r="F208" t="n">
        <v>2</v>
      </c>
      <c r="G208" t="n">
        <v>2</v>
      </c>
      <c r="H208" t="inlineStr">
        <is>
          <t>MEDIUM</t>
        </is>
      </c>
      <c r="I208" t="n">
        <v>9</v>
      </c>
      <c r="J208" t="inlineStr">
        <is>
          <t>NO</t>
        </is>
      </c>
      <c r="K208" t="inlineStr">
        <is>
          <t>2026-02-23 23:48</t>
        </is>
      </c>
      <c r="L208" t="inlineStr">
        <is>
          <t>CHECK_VENDOR</t>
        </is>
      </c>
      <c r="M208" t="inlineStr">
        <is>
          <t>See CVE details</t>
        </is>
      </c>
      <c r="N208" t="inlineStr">
        <is>
          <t>P4</t>
        </is>
      </c>
      <c r="O208" t="inlineStr">
        <is>
          <t>CVE - IP enrichment n/a</t>
        </is>
      </c>
      <c r="P208" t="n">
        <v>0</v>
      </c>
      <c r="Q208" t="n">
        <v>0</v>
      </c>
      <c r="R208" t="inlineStr">
        <is>
          <t>T1190:Exploit Public-Facing Application</t>
        </is>
      </c>
      <c r="S208" t="n">
        <v>1</v>
      </c>
      <c r="T208" t="inlineStr">
        <is>
          <t>LOW (40%)</t>
        </is>
      </c>
      <c r="U208" t="inlineStr">
        <is>
          <t>UNLIKELY</t>
        </is>
      </c>
      <c r="V208" t="inlineStr">
        <is>
          <t>CHECK_VENDOR</t>
        </is>
      </c>
      <c r="W208" t="inlineStr">
        <is>
          <t>https://nvd.nist.gov/vuln/detail/CVE-2026-23212</t>
        </is>
      </c>
      <c r="X208" t="inlineStr">
        <is>
          <t>NONE</t>
        </is>
      </c>
      <c r="Y208" t="n">
        <v>0</v>
      </c>
      <c r="Z208" t="inlineStr"/>
      <c r="AA208" t="inlineStr">
        <is>
          <t>https://nvd.nist.gov/vuln/detail/CVE-2026-23212</t>
        </is>
      </c>
    </row>
    <row r="209">
      <c r="A209" t="inlineStr">
        <is>
          <t>CVE</t>
        </is>
      </c>
      <c r="B209" t="inlineStr">
        <is>
          <t>CVE-2026-23213</t>
        </is>
      </c>
      <c r="C209" t="inlineStr">
        <is>
          <t>In the Linux kernel, the following vulnerability has been resolved:
drm/amd/pm: Disable MMIO access during SMU Mode 1 reset
During Mode 1 reset, the ASIC undergoes a reset cycle and becomes
temporarily inaccessible via PCIe. Any attempt to access MMIO registers
during this window (e.g., from interrupt handlers or other driver threads)
can result in uncompleted PCIe transactions, leading to NMI panics or
system hangs.
To prevent this, set the `no_hw_access` flag to true immediately after
trigg</t>
        </is>
      </c>
      <c r="D209" t="n">
        <v>5</v>
      </c>
      <c r="E209" t="inlineStr">
        <is>
          <t>MEDIUM</t>
        </is>
      </c>
      <c r="F209" t="n">
        <v>2</v>
      </c>
      <c r="G209" t="n">
        <v>2</v>
      </c>
      <c r="H209" t="inlineStr">
        <is>
          <t>MEDIUM</t>
        </is>
      </c>
      <c r="I209" t="n">
        <v>9</v>
      </c>
      <c r="J209" t="inlineStr">
        <is>
          <t>NO</t>
        </is>
      </c>
      <c r="K209" t="inlineStr">
        <is>
          <t>2026-02-23 23:48</t>
        </is>
      </c>
      <c r="L209" t="inlineStr">
        <is>
          <t>CHECK_VENDOR</t>
        </is>
      </c>
      <c r="M209" t="inlineStr">
        <is>
          <t>See CVE details</t>
        </is>
      </c>
      <c r="N209" t="inlineStr">
        <is>
          <t>P4</t>
        </is>
      </c>
      <c r="O209" t="inlineStr">
        <is>
          <t>CVE - IP enrichment n/a</t>
        </is>
      </c>
      <c r="P209" t="n">
        <v>0</v>
      </c>
      <c r="Q209" t="n">
        <v>0</v>
      </c>
      <c r="R209" t="inlineStr">
        <is>
          <t>T1190:Exploit Public-Facing Application</t>
        </is>
      </c>
      <c r="S209" t="n">
        <v>1</v>
      </c>
      <c r="T209" t="inlineStr">
        <is>
          <t>LOW (40%)</t>
        </is>
      </c>
      <c r="U209" t="inlineStr">
        <is>
          <t>UNLIKELY</t>
        </is>
      </c>
      <c r="V209" t="inlineStr">
        <is>
          <t>CHECK_VENDOR</t>
        </is>
      </c>
      <c r="W209" t="inlineStr">
        <is>
          <t>https://nvd.nist.gov/vuln/detail/CVE-2026-23213</t>
        </is>
      </c>
      <c r="X209" t="inlineStr">
        <is>
          <t>NONE</t>
        </is>
      </c>
      <c r="Y209" t="n">
        <v>0</v>
      </c>
      <c r="Z209" t="inlineStr"/>
      <c r="AA209" t="inlineStr">
        <is>
          <t>https://nvd.nist.gov/vuln/detail/CVE-2026-23213</t>
        </is>
      </c>
    </row>
    <row r="210">
      <c r="A210" t="inlineStr">
        <is>
          <t>CVE</t>
        </is>
      </c>
      <c r="B210" t="inlineStr">
        <is>
          <t>CVE-2026-23214</t>
        </is>
      </c>
      <c r="C210" t="inlineStr">
        <is>
          <t>In the Linux kernel, the following vulnerability has been resolved: btrfs: reject new transactions if the fs is fully read-only [BUG] There is a bug report where a heavily fuzzed fs is mounted with all rescue mount options, which leads to the following warnings during unmount: BTRFS: Transaction aborted (error -22) Modules linked in: CPU: 0 UID: 0 PID: 9758 Comm: repro.out Not tainted 6.19.0-rc5-00002-gb71e635feefc #7 PREEMPT(full) Hardware name: QEMU Standard PC (i440FX + PIIX, 1996), BIOS 1.15</t>
        </is>
      </c>
      <c r="D210" t="n">
        <v>8.5</v>
      </c>
      <c r="E210" t="inlineStr">
        <is>
          <t>HIGH</t>
        </is>
      </c>
      <c r="F210" t="n">
        <v>2</v>
      </c>
      <c r="G210" t="n">
        <v>3</v>
      </c>
      <c r="H210" t="inlineStr">
        <is>
          <t>HIGH</t>
        </is>
      </c>
      <c r="I210" t="n">
        <v>14.5</v>
      </c>
      <c r="J210" t="inlineStr">
        <is>
          <t>NO</t>
        </is>
      </c>
      <c r="K210" t="inlineStr">
        <is>
          <t>2026-02-23 23:48</t>
        </is>
      </c>
      <c r="L210" t="inlineStr">
        <is>
          <t>CHECK_VENDOR</t>
        </is>
      </c>
      <c r="M210" t="inlineStr">
        <is>
          <t>See CVE details</t>
        </is>
      </c>
      <c r="N210" t="inlineStr">
        <is>
          <t>P3</t>
        </is>
      </c>
      <c r="O210" t="inlineStr">
        <is>
          <t>CVE - IP enrichment n/a</t>
        </is>
      </c>
      <c r="P210" t="n">
        <v>0.0002</v>
      </c>
      <c r="Q210" t="n">
        <v>0.0367</v>
      </c>
      <c r="R210" t="inlineStr">
        <is>
          <t>T1190:Exploit Public-Facing Application</t>
        </is>
      </c>
      <c r="S210" t="n">
        <v>1</v>
      </c>
      <c r="T210" t="inlineStr">
        <is>
          <t>LOW (40%)</t>
        </is>
      </c>
      <c r="U210" t="inlineStr">
        <is>
          <t>UNLIKELY</t>
        </is>
      </c>
      <c r="V210" t="inlineStr">
        <is>
          <t>CHECK_VENDOR</t>
        </is>
      </c>
      <c r="W210" t="inlineStr">
        <is>
          <t>https://nvd.nist.gov/vuln/detail/CVE-2026-23214</t>
        </is>
      </c>
      <c r="X210" t="inlineStr">
        <is>
          <t>NONE</t>
        </is>
      </c>
      <c r="Y210" t="n">
        <v>0</v>
      </c>
      <c r="Z210" t="inlineStr"/>
      <c r="AA210" t="inlineStr">
        <is>
          <t>https://nvd.nist.gov/vuln/detail/CVE-2026-23214</t>
        </is>
      </c>
    </row>
    <row r="211">
      <c r="A211" t="inlineStr">
        <is>
          <t>CVE</t>
        </is>
      </c>
      <c r="B211" t="inlineStr">
        <is>
          <t>CVE-2026-23215</t>
        </is>
      </c>
      <c r="C211" t="inlineStr">
        <is>
          <t>In the Linux kernel, the following vulnerability has been resolved:
x86/vmware: Fix hypercall clobbers
Fedora QA reported the following panic:
  BUG: unable to handle page fault for address: 0000000040003e54
  #PF: supervisor write access in kernel mode
  #PF: error_code(0x0002) - not-present page
  Hardware name: QEMU Standard PC (Q35 + ICH9, 2009), BIOS edk2-20251119-3.fc43 11/19/2025
  RIP: 0010:vmware_hypercall4.constprop.0+0x52/0x90
  ..
  Call Trace:
   vmmouse_report_events+0x13e/0x1b0</t>
        </is>
      </c>
      <c r="D211" t="n">
        <v>5</v>
      </c>
      <c r="E211" t="inlineStr">
        <is>
          <t>MEDIUM</t>
        </is>
      </c>
      <c r="F211" t="n">
        <v>2</v>
      </c>
      <c r="G211" t="n">
        <v>2</v>
      </c>
      <c r="H211" t="inlineStr">
        <is>
          <t>MEDIUM</t>
        </is>
      </c>
      <c r="I211" t="n">
        <v>9</v>
      </c>
      <c r="J211" t="inlineStr">
        <is>
          <t>NO</t>
        </is>
      </c>
      <c r="K211" t="inlineStr">
        <is>
          <t>2026-02-23 23:48</t>
        </is>
      </c>
      <c r="L211" t="inlineStr">
        <is>
          <t>CHECK_VENDOR</t>
        </is>
      </c>
      <c r="M211" t="inlineStr">
        <is>
          <t>See CVE details</t>
        </is>
      </c>
      <c r="N211" t="inlineStr">
        <is>
          <t>P1</t>
        </is>
      </c>
      <c r="O211" t="inlineStr">
        <is>
          <t>CVE - IP enrichment n/a</t>
        </is>
      </c>
      <c r="P211" t="n">
        <v>0</v>
      </c>
      <c r="Q211" t="n">
        <v>0</v>
      </c>
      <c r="R211" t="inlineStr">
        <is>
          <t>T1190:Exploit Public-Facing Application</t>
        </is>
      </c>
      <c r="S211" t="n">
        <v>2</v>
      </c>
      <c r="T211" t="inlineStr">
        <is>
          <t>HIGH (72%)</t>
        </is>
      </c>
      <c r="U211" t="inlineStr">
        <is>
          <t>HIGH</t>
        </is>
      </c>
      <c r="V211" t="inlineStr">
        <is>
          <t>CHECK_VENDOR</t>
        </is>
      </c>
      <c r="W211" t="inlineStr">
        <is>
          <t>https://nvd.nist.gov/vuln/detail/CVE-2026-23215</t>
        </is>
      </c>
      <c r="X211" t="inlineStr">
        <is>
          <t>http://www.zerodayinitiative.com/advisories/ZDI-26-123/</t>
        </is>
      </c>
      <c r="Y211" t="n">
        <v>0</v>
      </c>
      <c r="Z211" t="inlineStr"/>
      <c r="AA211" t="inlineStr">
        <is>
          <t>https://nvd.nist.gov/vuln/detail/CVE-2026-23215</t>
        </is>
      </c>
    </row>
    <row r="212">
      <c r="A212" t="inlineStr">
        <is>
          <t>CVE</t>
        </is>
      </c>
      <c r="B212" t="inlineStr">
        <is>
          <t>CVE-2026-23216</t>
        </is>
      </c>
      <c r="C212" t="inlineStr">
        <is>
          <t>In the Linux kernel, the following vulnerability has been resolved:
scsi: target: iscsi: Fix use-after-free in iscsit_dec_conn_usage_count()
In iscsit_dec_conn_usage_count(), the function calls complete() while
holding the conn-&gt;conn_usage_lock. As soon as complete() is invoked, the
waiter (such as iscsit_close_connection()) may wake up and proceed to free
the iscsit_conn structure.
If the waiter frees the memory before the current thread reaches
spin_unlock_bh(), it results in a KASAN slab-u</t>
        </is>
      </c>
      <c r="D212" t="n">
        <v>5</v>
      </c>
      <c r="E212" t="inlineStr">
        <is>
          <t>MEDIUM</t>
        </is>
      </c>
      <c r="F212" t="n">
        <v>2</v>
      </c>
      <c r="G212" t="n">
        <v>2</v>
      </c>
      <c r="H212" t="inlineStr">
        <is>
          <t>MEDIUM</t>
        </is>
      </c>
      <c r="I212" t="n">
        <v>9</v>
      </c>
      <c r="J212" t="inlineStr">
        <is>
          <t>NO</t>
        </is>
      </c>
      <c r="K212" t="inlineStr">
        <is>
          <t>2026-02-23 23:48</t>
        </is>
      </c>
      <c r="L212" t="inlineStr">
        <is>
          <t>CHECK_VENDOR</t>
        </is>
      </c>
      <c r="M212" t="inlineStr">
        <is>
          <t>See CVE details</t>
        </is>
      </c>
      <c r="N212" t="inlineStr">
        <is>
          <t>P4</t>
        </is>
      </c>
      <c r="O212" t="inlineStr">
        <is>
          <t>CVE - IP enrichment n/a</t>
        </is>
      </c>
      <c r="P212" t="n">
        <v>0</v>
      </c>
      <c r="Q212" t="n">
        <v>0</v>
      </c>
      <c r="R212" t="inlineStr">
        <is>
          <t>T1190:Exploit Public-Facing Application</t>
        </is>
      </c>
      <c r="S212" t="n">
        <v>1</v>
      </c>
      <c r="T212" t="inlineStr">
        <is>
          <t>LOW (40%)</t>
        </is>
      </c>
      <c r="U212" t="inlineStr">
        <is>
          <t>UNLIKELY</t>
        </is>
      </c>
      <c r="V212" t="inlineStr">
        <is>
          <t>CHECK_VENDOR</t>
        </is>
      </c>
      <c r="W212" t="inlineStr">
        <is>
          <t>https://nvd.nist.gov/vuln/detail/CVE-2026-23216</t>
        </is>
      </c>
      <c r="X212" t="inlineStr">
        <is>
          <t>NONE</t>
        </is>
      </c>
      <c r="Y212" t="n">
        <v>0</v>
      </c>
      <c r="Z212" t="inlineStr"/>
      <c r="AA212" t="inlineStr">
        <is>
          <t>https://nvd.nist.gov/vuln/detail/CVE-2026-23216</t>
        </is>
      </c>
    </row>
    <row r="213">
      <c r="A213" t="inlineStr">
        <is>
          <t>CVE</t>
        </is>
      </c>
      <c r="B213" t="inlineStr">
        <is>
          <t>CVE-2026-23217</t>
        </is>
      </c>
      <c r="C213" t="inlineStr">
        <is>
          <t>In the Linux kernel, the following vulnerability has been resolved:
riscv: trace: fix snapshot deadlock with sbi ecall
If sbi_ecall.c's functions are traceable,
echo "__sbi_ecall:snapshot" &gt; /sys/kernel/tracing/set_ftrace_filter
may get the kernel into a deadlock.
(Functions in sbi_ecall.c are excluded from tracing if
CONFIG_RISCV_ALTERNATIVE_EARLY is set.)
__sbi_ecall triggers a snapshot of the ringbuffer. The snapshot code
raises an IPI interrupt, which results in another call to __sbi_e</t>
        </is>
      </c>
      <c r="D213" t="n">
        <v>5</v>
      </c>
      <c r="E213" t="inlineStr">
        <is>
          <t>MEDIUM</t>
        </is>
      </c>
      <c r="F213" t="n">
        <v>2</v>
      </c>
      <c r="G213" t="n">
        <v>2</v>
      </c>
      <c r="H213" t="inlineStr">
        <is>
          <t>MEDIUM</t>
        </is>
      </c>
      <c r="I213" t="n">
        <v>9</v>
      </c>
      <c r="J213" t="inlineStr">
        <is>
          <t>NO</t>
        </is>
      </c>
      <c r="K213" t="inlineStr">
        <is>
          <t>2026-02-23 23:48</t>
        </is>
      </c>
      <c r="L213" t="inlineStr">
        <is>
          <t>CHECK_VENDOR</t>
        </is>
      </c>
      <c r="M213" t="inlineStr">
        <is>
          <t>See CVE details</t>
        </is>
      </c>
      <c r="N213" t="inlineStr">
        <is>
          <t>P4</t>
        </is>
      </c>
      <c r="O213" t="inlineStr">
        <is>
          <t>CVE - IP enrichment n/a</t>
        </is>
      </c>
      <c r="P213" t="n">
        <v>0</v>
      </c>
      <c r="Q213" t="n">
        <v>0</v>
      </c>
      <c r="R213" t="inlineStr">
        <is>
          <t>T1190:Exploit Public-Facing Application</t>
        </is>
      </c>
      <c r="S213" t="n">
        <v>1</v>
      </c>
      <c r="T213" t="inlineStr">
        <is>
          <t>LOW (40%)</t>
        </is>
      </c>
      <c r="U213" t="inlineStr">
        <is>
          <t>UNLIKELY</t>
        </is>
      </c>
      <c r="V213" t="inlineStr">
        <is>
          <t>CHECK_VENDOR</t>
        </is>
      </c>
      <c r="W213" t="inlineStr">
        <is>
          <t>https://nvd.nist.gov/vuln/detail/CVE-2026-23217</t>
        </is>
      </c>
      <c r="X213" t="inlineStr">
        <is>
          <t>NONE</t>
        </is>
      </c>
      <c r="Y213" t="n">
        <v>0</v>
      </c>
      <c r="Z213" t="inlineStr"/>
      <c r="AA213" t="inlineStr">
        <is>
          <t>https://nvd.nist.gov/vuln/detail/CVE-2026-23217</t>
        </is>
      </c>
    </row>
    <row r="214">
      <c r="A214" t="inlineStr">
        <is>
          <t>CVE</t>
        </is>
      </c>
      <c r="B214" t="inlineStr">
        <is>
          <t>CVE-2026-23218</t>
        </is>
      </c>
      <c r="C214" t="inlineStr">
        <is>
          <t>In the Linux kernel, the following vulnerability has been resolved:
gpio: loongson-64bit: Fix incorrect NULL check after devm_kcalloc()
Fix incorrect NULL check in loongson_gpio_init_irqchip().
The function checks chip-&gt;parent instead of chip-&gt;irq.parents.</t>
        </is>
      </c>
      <c r="D214" t="n">
        <v>5</v>
      </c>
      <c r="E214" t="inlineStr">
        <is>
          <t>MEDIUM</t>
        </is>
      </c>
      <c r="F214" t="n">
        <v>2</v>
      </c>
      <c r="G214" t="n">
        <v>2</v>
      </c>
      <c r="H214" t="inlineStr">
        <is>
          <t>MEDIUM</t>
        </is>
      </c>
      <c r="I214" t="n">
        <v>9</v>
      </c>
      <c r="J214" t="inlineStr">
        <is>
          <t>NO</t>
        </is>
      </c>
      <c r="K214" t="inlineStr">
        <is>
          <t>2026-02-23 23:48</t>
        </is>
      </c>
      <c r="L214" t="inlineStr">
        <is>
          <t>CHECK_VENDOR</t>
        </is>
      </c>
      <c r="M214" t="inlineStr">
        <is>
          <t>See CVE details</t>
        </is>
      </c>
      <c r="N214" t="inlineStr">
        <is>
          <t>P4</t>
        </is>
      </c>
      <c r="O214" t="inlineStr">
        <is>
          <t>CVE - IP enrichment n/a</t>
        </is>
      </c>
      <c r="P214" t="n">
        <v>0</v>
      </c>
      <c r="Q214" t="n">
        <v>0</v>
      </c>
      <c r="R214" t="inlineStr">
        <is>
          <t>T1190:Exploit Public-Facing Application</t>
        </is>
      </c>
      <c r="S214" t="n">
        <v>1</v>
      </c>
      <c r="T214" t="inlineStr">
        <is>
          <t>LOW (40%)</t>
        </is>
      </c>
      <c r="U214" t="inlineStr">
        <is>
          <t>UNLIKELY</t>
        </is>
      </c>
      <c r="V214" t="inlineStr">
        <is>
          <t>CHECK_VENDOR</t>
        </is>
      </c>
      <c r="W214" t="inlineStr">
        <is>
          <t>https://nvd.nist.gov/vuln/detail/CVE-2026-23218</t>
        </is>
      </c>
      <c r="X214" t="inlineStr">
        <is>
          <t>NONE</t>
        </is>
      </c>
      <c r="Y214" t="n">
        <v>0</v>
      </c>
      <c r="Z214" t="inlineStr"/>
      <c r="AA214" t="inlineStr">
        <is>
          <t>https://nvd.nist.gov/vuln/detail/CVE-2026-23218</t>
        </is>
      </c>
    </row>
    <row r="215">
      <c r="A215" t="inlineStr">
        <is>
          <t>CVE</t>
        </is>
      </c>
      <c r="B215" t="inlineStr">
        <is>
          <t>CVE-2026-23219</t>
        </is>
      </c>
      <c r="C215" t="inlineStr">
        <is>
          <t>In the Linux kernel, the following vulnerability has been resolved:
mm/slab: Add alloc_tagging_slab_free_hook for memcg_alloc_abort_single
When CONFIG_MEM_ALLOC_PROFILING_DEBUG is enabled, the following warning
may be noticed:
[ 3959.023862] ------------[ cut here ]------------
[ 3959.023891] alloc_tag was not cleared (got tag for lib/xarray.c:378)
[ 3959.023947] WARNING: ./include/linux/alloc_tag.h:155 at alloc_tag_add+0x128/0x178, CPU#6: mkfs.ntfs/113998
[ 3959.023978] Modules linked in: dn</t>
        </is>
      </c>
      <c r="D215" t="n">
        <v>5</v>
      </c>
      <c r="E215" t="inlineStr">
        <is>
          <t>MEDIUM</t>
        </is>
      </c>
      <c r="F215" t="n">
        <v>2</v>
      </c>
      <c r="G215" t="n">
        <v>2</v>
      </c>
      <c r="H215" t="inlineStr">
        <is>
          <t>MEDIUM</t>
        </is>
      </c>
      <c r="I215" t="n">
        <v>9</v>
      </c>
      <c r="J215" t="inlineStr">
        <is>
          <t>NO</t>
        </is>
      </c>
      <c r="K215" t="inlineStr">
        <is>
          <t>2026-02-23 23:48</t>
        </is>
      </c>
      <c r="L215" t="inlineStr">
        <is>
          <t>CHECK_VENDOR</t>
        </is>
      </c>
      <c r="M215" t="inlineStr">
        <is>
          <t>See CVE details</t>
        </is>
      </c>
      <c r="N215" t="inlineStr">
        <is>
          <t>P4</t>
        </is>
      </c>
      <c r="O215" t="inlineStr">
        <is>
          <t>CVE - IP enrichment n/a</t>
        </is>
      </c>
      <c r="P215" t="n">
        <v>0</v>
      </c>
      <c r="Q215" t="n">
        <v>0</v>
      </c>
      <c r="R215" t="inlineStr">
        <is>
          <t>T1190:Exploit Public-Facing Application</t>
        </is>
      </c>
      <c r="S215" t="n">
        <v>1</v>
      </c>
      <c r="T215" t="inlineStr">
        <is>
          <t>LOW (40%)</t>
        </is>
      </c>
      <c r="U215" t="inlineStr">
        <is>
          <t>UNLIKELY</t>
        </is>
      </c>
      <c r="V215" t="inlineStr">
        <is>
          <t>CHECK_VENDOR</t>
        </is>
      </c>
      <c r="W215" t="inlineStr">
        <is>
          <t>https://nvd.nist.gov/vuln/detail/CVE-2026-23219</t>
        </is>
      </c>
      <c r="X215" t="inlineStr">
        <is>
          <t>NONE</t>
        </is>
      </c>
      <c r="Y215" t="n">
        <v>0</v>
      </c>
      <c r="Z215" t="inlineStr"/>
      <c r="AA215" t="inlineStr">
        <is>
          <t>https://nvd.nist.gov/vuln/detail/CVE-2026-23219</t>
        </is>
      </c>
    </row>
    <row r="216">
      <c r="A216" t="inlineStr">
        <is>
          <t>CVE</t>
        </is>
      </c>
      <c r="B216" t="inlineStr">
        <is>
          <t>CVE-2026-27099</t>
        </is>
      </c>
      <c r="C216" t="inlineStr">
        <is>
          <t>Jenkins 2.483 through 2.550 (both inclusive), LTS 2.492.1 through 2.541.1 (both inclusive) does not escape the user-provided description of the "Mark temporarily offline" offline cause, resulting in a stored cross-site scripting (XSS) vulnerability exploitable by attackers with Agent/Configure or Agent/Disconnect permission.</t>
        </is>
      </c>
      <c r="D216" t="n">
        <v>8</v>
      </c>
      <c r="E216" t="inlineStr">
        <is>
          <t>HIGH</t>
        </is>
      </c>
      <c r="F216" t="n">
        <v>2</v>
      </c>
      <c r="G216" t="n">
        <v>3</v>
      </c>
      <c r="H216" t="inlineStr">
        <is>
          <t>HIGH</t>
        </is>
      </c>
      <c r="I216" t="n">
        <v>14</v>
      </c>
      <c r="J216" t="inlineStr">
        <is>
          <t>NO</t>
        </is>
      </c>
      <c r="K216" t="inlineStr">
        <is>
          <t>2026-02-23 23:48</t>
        </is>
      </c>
      <c r="L216" t="inlineStr">
        <is>
          <t>YES</t>
        </is>
      </c>
      <c r="M216" t="inlineStr">
        <is>
          <t>jenkins jenkins *</t>
        </is>
      </c>
      <c r="N216" t="inlineStr">
        <is>
          <t>P3</t>
        </is>
      </c>
      <c r="O216" t="inlineStr">
        <is>
          <t>CVE - IP enrichment n/a</t>
        </is>
      </c>
      <c r="P216" t="n">
        <v>0</v>
      </c>
      <c r="Q216" t="n">
        <v>0</v>
      </c>
      <c r="R216" t="inlineStr">
        <is>
          <t>T1189:Drive-by Compromise</t>
        </is>
      </c>
      <c r="S216" t="n">
        <v>1</v>
      </c>
      <c r="T216" t="inlineStr">
        <is>
          <t>LOW (40%)</t>
        </is>
      </c>
      <c r="U216" t="inlineStr">
        <is>
          <t>UNLIKELY</t>
        </is>
      </c>
      <c r="V216" t="inlineStr">
        <is>
          <t>PATCH_AVAILABLE</t>
        </is>
      </c>
      <c r="W216" t="inlineStr">
        <is>
          <t>https://nvd.nist.gov/vuln/detail/CVE-2026-27099</t>
        </is>
      </c>
      <c r="X216" t="inlineStr">
        <is>
          <t>NONE</t>
        </is>
      </c>
      <c r="Y216" t="n">
        <v>0</v>
      </c>
      <c r="Z216" t="inlineStr"/>
      <c r="AA216" t="inlineStr">
        <is>
          <t>https://nvd.nist.gov/vuln/detail/CVE-2026-27099</t>
        </is>
      </c>
    </row>
    <row r="217">
      <c r="A217" t="inlineStr">
        <is>
          <t>CVE</t>
        </is>
      </c>
      <c r="B217" t="inlineStr">
        <is>
          <t>CVE-2026-27100</t>
        </is>
      </c>
      <c r="C217" t="inlineStr">
        <is>
          <t>Jenkins 2.550 and earlier, LTS 2.541.1 and earlier accepts Run Parameter values that refer to builds the user submitting the build does not have access to, allowing attackers with Item/Build and Item/Configure permission to obtain information about the existence of jobs, the existence of builds, and if a specified build exists, its display name.</t>
        </is>
      </c>
      <c r="D217" t="n">
        <v>4.3</v>
      </c>
      <c r="E217" t="inlineStr">
        <is>
          <t>MEDIUM</t>
        </is>
      </c>
      <c r="F217" t="n">
        <v>2</v>
      </c>
      <c r="G217" t="n">
        <v>2</v>
      </c>
      <c r="H217" t="inlineStr">
        <is>
          <t>MEDIUM</t>
        </is>
      </c>
      <c r="I217" t="n">
        <v>8.300000000000001</v>
      </c>
      <c r="J217" t="inlineStr">
        <is>
          <t>NO</t>
        </is>
      </c>
      <c r="K217" t="inlineStr">
        <is>
          <t>2026-02-23 23:48</t>
        </is>
      </c>
      <c r="L217" t="inlineStr">
        <is>
          <t>YES</t>
        </is>
      </c>
      <c r="M217" t="inlineStr">
        <is>
          <t>jenkins jenkins *</t>
        </is>
      </c>
      <c r="N217" t="inlineStr">
        <is>
          <t>P4</t>
        </is>
      </c>
      <c r="O217" t="inlineStr">
        <is>
          <t>CVE - IP enrichment n/a</t>
        </is>
      </c>
      <c r="P217" t="n">
        <v>0.0011</v>
      </c>
      <c r="Q217" t="n">
        <v>0.2891</v>
      </c>
      <c r="R217" t="inlineStr">
        <is>
          <t>T1213:Data from Information Repositories</t>
        </is>
      </c>
      <c r="S217" t="n">
        <v>1</v>
      </c>
      <c r="T217" t="inlineStr">
        <is>
          <t>LOW (40%)</t>
        </is>
      </c>
      <c r="U217" t="inlineStr">
        <is>
          <t>UNLIKELY</t>
        </is>
      </c>
      <c r="V217" t="inlineStr">
        <is>
          <t>PATCH_AVAILABLE</t>
        </is>
      </c>
      <c r="W217" t="inlineStr">
        <is>
          <t>https://nvd.nist.gov/vuln/detail/CVE-2026-27100</t>
        </is>
      </c>
      <c r="X217" t="inlineStr">
        <is>
          <t>NONE</t>
        </is>
      </c>
      <c r="Y217" t="n">
        <v>0</v>
      </c>
      <c r="Z217" t="inlineStr"/>
      <c r="AA217" t="inlineStr">
        <is>
          <t>https://nvd.nist.gov/vuln/detail/CVE-2026-27100</t>
        </is>
      </c>
    </row>
    <row r="218">
      <c r="A218" t="inlineStr">
        <is>
          <t>CVE</t>
        </is>
      </c>
      <c r="B218" t="inlineStr">
        <is>
          <t>CVE-2026-2329</t>
        </is>
      </c>
      <c r="C218" t="inlineStr">
        <is>
          <t>An unauthenticated stack-based buffer overflow vulnerability exists in the HTTP API endpoint /cgi-bin/api.values.get. A remote attacker can leverage this vulnerability to achieve unauthenticated remote code execution (RCE) with root privileges on a target device. The vulnerability affects all six device models in the series: GXP1610, GXP1615, GXP1620, GXP1625, GXP1628, and GXP1630.</t>
        </is>
      </c>
      <c r="D218" t="n">
        <v>9.800000000000001</v>
      </c>
      <c r="E218" t="inlineStr">
        <is>
          <t>CRITICAL</t>
        </is>
      </c>
      <c r="F218" t="n">
        <v>2</v>
      </c>
      <c r="G218" t="n">
        <v>3</v>
      </c>
      <c r="H218" t="inlineStr">
        <is>
          <t>HIGH</t>
        </is>
      </c>
      <c r="I218" t="n">
        <v>15.8</v>
      </c>
      <c r="J218" t="inlineStr">
        <is>
          <t>NO</t>
        </is>
      </c>
      <c r="K218" t="inlineStr">
        <is>
          <t>2026-02-23 23:48</t>
        </is>
      </c>
      <c r="L218" t="inlineStr">
        <is>
          <t>YES</t>
        </is>
      </c>
      <c r="M218" t="inlineStr">
        <is>
          <t>grandstream gxp1625_firmware * | grandstream gxp1625 - | grandstream gxp1610_firmware *</t>
        </is>
      </c>
      <c r="N218" t="inlineStr">
        <is>
          <t>P3</t>
        </is>
      </c>
      <c r="O218" t="inlineStr">
        <is>
          <t>CVE - IP enrichment n/a</t>
        </is>
      </c>
      <c r="P218" t="n">
        <v>0</v>
      </c>
      <c r="Q218" t="n">
        <v>0</v>
      </c>
      <c r="R218" t="inlineStr">
        <is>
          <t>T1190:Exploit Public-Facing Application | T1210:Exploitation of Remote Services | T1203:Exploitation for Client Execution</t>
        </is>
      </c>
      <c r="S218" t="n">
        <v>1</v>
      </c>
      <c r="T218" t="inlineStr">
        <is>
          <t>LOW (40%)</t>
        </is>
      </c>
      <c r="U218" t="inlineStr">
        <is>
          <t>UNLIKELY</t>
        </is>
      </c>
      <c r="V218" t="inlineStr">
        <is>
          <t>PATCH_AVAILABLE</t>
        </is>
      </c>
      <c r="W218" t="inlineStr">
        <is>
          <t>https://nvd.nist.gov/vuln/detail/CVE-2026-2329</t>
        </is>
      </c>
      <c r="X218" t="inlineStr">
        <is>
          <t>NONE</t>
        </is>
      </c>
      <c r="Y218" t="n">
        <v>0</v>
      </c>
      <c r="Z218" t="inlineStr">
        <is>
          <t>[SecurityWeek] Critical Grandstream Phone Vulnerability Exposes Calls to Interception</t>
        </is>
      </c>
      <c r="AA218" t="inlineStr">
        <is>
          <t>https://nvd.nist.gov/vuln/detail/CVE-2026-2329</t>
        </is>
      </c>
    </row>
    <row r="219">
      <c r="A219" t="inlineStr">
        <is>
          <t>CVE</t>
        </is>
      </c>
      <c r="B219" t="inlineStr">
        <is>
          <t>CVE-2026-2656</t>
        </is>
      </c>
      <c r="C219" t="inlineStr">
        <is>
          <t>A flaw has been found in ChaiScript up to 6.1.0. This affects the function chaiscript::Type_Info::bare_equal of the file include/chaiscript/dispatchkit/type_info.hpp. This manipulation causes use after free. The attack requires local access. The attack's complexity is rated as high. The exploitability is reported as difficult. The exploit has been published and may be used. The project was informed of the problem early through an issue report but has not responded yet.</t>
        </is>
      </c>
      <c r="D219" t="n">
        <v>2.5</v>
      </c>
      <c r="E219" t="inlineStr">
        <is>
          <t>LOW</t>
        </is>
      </c>
      <c r="F219" t="n">
        <v>2</v>
      </c>
      <c r="G219" t="n">
        <v>1</v>
      </c>
      <c r="H219" t="inlineStr">
        <is>
          <t>LOW</t>
        </is>
      </c>
      <c r="I219" t="n">
        <v>4.5</v>
      </c>
      <c r="J219" t="inlineStr">
        <is>
          <t>NO</t>
        </is>
      </c>
      <c r="K219" t="inlineStr">
        <is>
          <t>2026-02-23 23:48</t>
        </is>
      </c>
      <c r="L219" t="inlineStr">
        <is>
          <t>YES</t>
        </is>
      </c>
      <c r="M219" t="inlineStr">
        <is>
          <t>chaiscript chaiscript *</t>
        </is>
      </c>
      <c r="N219" t="inlineStr">
        <is>
          <t>P4</t>
        </is>
      </c>
      <c r="O219" t="inlineStr">
        <is>
          <t>CVE - IP enrichment n/a</t>
        </is>
      </c>
      <c r="P219" t="n">
        <v>0.0002</v>
      </c>
      <c r="Q219" t="n">
        <v>0.06519999999999999</v>
      </c>
      <c r="R219" t="inlineStr">
        <is>
          <t>T1203:Exploitation for Client Execution</t>
        </is>
      </c>
      <c r="S219" t="n">
        <v>1</v>
      </c>
      <c r="T219" t="inlineStr">
        <is>
          <t>LOW (40%)</t>
        </is>
      </c>
      <c r="U219" t="inlineStr">
        <is>
          <t>UNLIKELY</t>
        </is>
      </c>
      <c r="V219" t="inlineStr">
        <is>
          <t>PATCH_AVAILABLE</t>
        </is>
      </c>
      <c r="W219" t="inlineStr">
        <is>
          <t>https://nvd.nist.gov/vuln/detail/CVE-2026-2656</t>
        </is>
      </c>
      <c r="X219" t="inlineStr">
        <is>
          <t>NONE</t>
        </is>
      </c>
      <c r="Y219" t="n">
        <v>0</v>
      </c>
      <c r="Z219" t="inlineStr"/>
      <c r="AA219" t="inlineStr">
        <is>
          <t>https://nvd.nist.gov/vuln/detail/CVE-2026-2656</t>
        </is>
      </c>
    </row>
    <row r="220">
      <c r="A220" t="inlineStr">
        <is>
          <t>CVE</t>
        </is>
      </c>
      <c r="B220" t="inlineStr">
        <is>
          <t>CVE-2025-15579</t>
        </is>
      </c>
      <c r="C220" t="inlineStr">
        <is>
          <t>Deserialization of Untrusted Data vulnerability in OpenText™ Directory Services allows Object Injection. The vulnerability could lead to remote code execution, denial of service, or
privilege escalation.
This issue affects Directory Services: from 10.5 through 26.1.</t>
        </is>
      </c>
      <c r="D220" t="n">
        <v>8.5</v>
      </c>
      <c r="E220" t="inlineStr">
        <is>
          <t>HIGH</t>
        </is>
      </c>
      <c r="F220" t="n">
        <v>2</v>
      </c>
      <c r="G220" t="n">
        <v>3</v>
      </c>
      <c r="H220" t="inlineStr">
        <is>
          <t>HIGH</t>
        </is>
      </c>
      <c r="I220" t="n">
        <v>14.5</v>
      </c>
      <c r="J220" t="inlineStr">
        <is>
          <t>NO</t>
        </is>
      </c>
      <c r="K220" t="inlineStr">
        <is>
          <t>2026-02-23 23:48</t>
        </is>
      </c>
      <c r="L220" t="inlineStr">
        <is>
          <t>CHECK_VENDOR</t>
        </is>
      </c>
      <c r="M220" t="inlineStr">
        <is>
          <t>See CVE details</t>
        </is>
      </c>
      <c r="N220" t="inlineStr">
        <is>
          <t>P3</t>
        </is>
      </c>
      <c r="O220" t="inlineStr">
        <is>
          <t>CVE - IP enrichment n/a</t>
        </is>
      </c>
      <c r="P220" t="n">
        <v>0</v>
      </c>
      <c r="Q220" t="n">
        <v>0</v>
      </c>
      <c r="R220" t="inlineStr">
        <is>
          <t>T1059:Command and Scripting Interpreter | T1190:Exploit Public-Facing Application | T1210:Exploitation of Remote Services</t>
        </is>
      </c>
      <c r="S220" t="n">
        <v>1</v>
      </c>
      <c r="T220" t="inlineStr">
        <is>
          <t>LOW (40%)</t>
        </is>
      </c>
      <c r="U220" t="inlineStr">
        <is>
          <t>UNLIKELY</t>
        </is>
      </c>
      <c r="V220" t="inlineStr">
        <is>
          <t>CHECK_VENDOR</t>
        </is>
      </c>
      <c r="W220" t="inlineStr">
        <is>
          <t>https://nvd.nist.gov/vuln/detail/CVE-2025-15579</t>
        </is>
      </c>
      <c r="X220" t="inlineStr">
        <is>
          <t>NONE</t>
        </is>
      </c>
      <c r="Y220" t="n">
        <v>0</v>
      </c>
      <c r="Z220" t="inlineStr"/>
      <c r="AA220" t="inlineStr">
        <is>
          <t>https://nvd.nist.gov/vuln/detail/CVE-2025-15579</t>
        </is>
      </c>
    </row>
    <row r="221">
      <c r="A221" t="inlineStr">
        <is>
          <t>CVE</t>
        </is>
      </c>
      <c r="B221" t="inlineStr">
        <is>
          <t>CVE-2025-65519</t>
        </is>
      </c>
      <c r="C221" t="inlineStr">
        <is>
          <t>mayswind ezbookkeeping versions 1.2.0 and earlier contain a critical vulnerability in JSON and XML file import processing. The application fails to validate nesting depth during parsing operations, allowing authenticated attackers to trigger denial of service conditions by uploading deeply nested malicious files. This results in CPU exhaustion, service degradation, or complete service unavailability.</t>
        </is>
      </c>
      <c r="D221" t="n">
        <v>6.5</v>
      </c>
      <c r="E221" t="inlineStr">
        <is>
          <t>MEDIUM</t>
        </is>
      </c>
      <c r="F221" t="n">
        <v>2</v>
      </c>
      <c r="G221" t="n">
        <v>2</v>
      </c>
      <c r="H221" t="inlineStr">
        <is>
          <t>MEDIUM</t>
        </is>
      </c>
      <c r="I221" t="n">
        <v>10.5</v>
      </c>
      <c r="J221" t="inlineStr">
        <is>
          <t>NO</t>
        </is>
      </c>
      <c r="K221" t="inlineStr">
        <is>
          <t>2026-02-23 23:48</t>
        </is>
      </c>
      <c r="L221" t="inlineStr">
        <is>
          <t>CHECK_VENDOR</t>
        </is>
      </c>
      <c r="M221" t="inlineStr">
        <is>
          <t>mayswind ezbookkeeping *</t>
        </is>
      </c>
      <c r="N221" t="inlineStr">
        <is>
          <t>P4</t>
        </is>
      </c>
      <c r="O221" t="inlineStr">
        <is>
          <t>CVE - IP enrichment n/a</t>
        </is>
      </c>
      <c r="P221" t="n">
        <v>0</v>
      </c>
      <c r="Q221" t="n">
        <v>0</v>
      </c>
      <c r="R221" t="inlineStr">
        <is>
          <t>T1499:Endpoint Denial of Service</t>
        </is>
      </c>
      <c r="S221" t="n">
        <v>1</v>
      </c>
      <c r="T221" t="inlineStr">
        <is>
          <t>LOW (40%)</t>
        </is>
      </c>
      <c r="U221" t="inlineStr">
        <is>
          <t>UNLIKELY</t>
        </is>
      </c>
      <c r="V221" t="inlineStr">
        <is>
          <t>CHECK_VENDOR</t>
        </is>
      </c>
      <c r="W221" t="inlineStr">
        <is>
          <t>https://nvd.nist.gov/vuln/detail/CVE-2025-65519</t>
        </is>
      </c>
      <c r="X221" t="inlineStr">
        <is>
          <t>NONE</t>
        </is>
      </c>
      <c r="Y221" t="n">
        <v>0</v>
      </c>
      <c r="Z221" t="inlineStr"/>
      <c r="AA221" t="inlineStr">
        <is>
          <t>https://nvd.nist.gov/vuln/detail/CVE-2025-65519</t>
        </is>
      </c>
    </row>
    <row r="222">
      <c r="A222" t="inlineStr">
        <is>
          <t>CVE</t>
        </is>
      </c>
      <c r="B222" t="inlineStr">
        <is>
          <t>CVE-2025-65791</t>
        </is>
      </c>
      <c r="C222" t="inlineStr">
        <is>
          <t>ZoneMinder v1.36.34 is vulnerable to Command Injection in web/views/image.php. The application passes unsanitized user input directly to the exec() function.</t>
        </is>
      </c>
      <c r="D222" t="n">
        <v>9.800000000000001</v>
      </c>
      <c r="E222" t="inlineStr">
        <is>
          <t>CRITICAL</t>
        </is>
      </c>
      <c r="F222" t="n">
        <v>2</v>
      </c>
      <c r="G222" t="n">
        <v>3</v>
      </c>
      <c r="H222" t="inlineStr">
        <is>
          <t>HIGH</t>
        </is>
      </c>
      <c r="I222" t="n">
        <v>15.8</v>
      </c>
      <c r="J222" t="inlineStr">
        <is>
          <t>NO</t>
        </is>
      </c>
      <c r="K222" t="inlineStr">
        <is>
          <t>2026-02-23 23:48</t>
        </is>
      </c>
      <c r="L222" t="inlineStr">
        <is>
          <t>CHECK_VENDOR</t>
        </is>
      </c>
      <c r="M222" t="inlineStr">
        <is>
          <t>zoneminder zoneminder 1.36.34</t>
        </is>
      </c>
      <c r="N222" t="inlineStr">
        <is>
          <t>P3</t>
        </is>
      </c>
      <c r="O222" t="inlineStr">
        <is>
          <t>CVE - IP enrichment n/a</t>
        </is>
      </c>
      <c r="P222" t="n">
        <v>0</v>
      </c>
      <c r="Q222" t="n">
        <v>0</v>
      </c>
      <c r="R222" t="inlineStr">
        <is>
          <t>T1059:Command and Scripting Interpreter</t>
        </is>
      </c>
      <c r="S222" t="n">
        <v>1</v>
      </c>
      <c r="T222" t="inlineStr">
        <is>
          <t>LOW (40%)</t>
        </is>
      </c>
      <c r="U222" t="inlineStr">
        <is>
          <t>UNLIKELY</t>
        </is>
      </c>
      <c r="V222" t="inlineStr">
        <is>
          <t>CHECK_VENDOR</t>
        </is>
      </c>
      <c r="W222" t="inlineStr">
        <is>
          <t>https://nvd.nist.gov/vuln/detail/CVE-2025-65791</t>
        </is>
      </c>
      <c r="X222" t="inlineStr">
        <is>
          <t>NONE</t>
        </is>
      </c>
      <c r="Y222" t="n">
        <v>0</v>
      </c>
      <c r="Z222" t="inlineStr"/>
      <c r="AA222" t="inlineStr">
        <is>
          <t>https://nvd.nist.gov/vuln/detail/CVE-2025-65791</t>
        </is>
      </c>
    </row>
    <row r="223">
      <c r="A223" t="inlineStr">
        <is>
          <t>CVE</t>
        </is>
      </c>
      <c r="B223" t="inlineStr">
        <is>
          <t>CVE-2025-70998</t>
        </is>
      </c>
      <c r="C223" t="inlineStr">
        <is>
          <t>UTT HiPER 810 / nv810v4 router firmware v1.5.0-140603 was discovered to contain insecure default credentials for the telnet service, possibly allowing a remote attacker to gain root access via a crafted script.</t>
        </is>
      </c>
      <c r="D223" t="n">
        <v>9.800000000000001</v>
      </c>
      <c r="E223" t="inlineStr">
        <is>
          <t>CRITICAL</t>
        </is>
      </c>
      <c r="F223" t="n">
        <v>2</v>
      </c>
      <c r="G223" t="n">
        <v>3</v>
      </c>
      <c r="H223" t="inlineStr">
        <is>
          <t>HIGH</t>
        </is>
      </c>
      <c r="I223" t="n">
        <v>15.8</v>
      </c>
      <c r="J223" t="inlineStr">
        <is>
          <t>NO</t>
        </is>
      </c>
      <c r="K223" t="inlineStr">
        <is>
          <t>2026-02-23 23:48</t>
        </is>
      </c>
      <c r="L223" t="inlineStr">
        <is>
          <t>CHECK_VENDOR</t>
        </is>
      </c>
      <c r="M223" t="inlineStr">
        <is>
          <t>utt 810_firmware 1.5.0-140603 | utt 810 4.0</t>
        </is>
      </c>
      <c r="N223" t="inlineStr">
        <is>
          <t>P3</t>
        </is>
      </c>
      <c r="O223" t="inlineStr">
        <is>
          <t>CVE - IP enrichment n/a</t>
        </is>
      </c>
      <c r="P223" t="n">
        <v>0.0013</v>
      </c>
      <c r="Q223" t="n">
        <v>0.319</v>
      </c>
      <c r="R223" t="inlineStr">
        <is>
          <t>T1552:Unsecured Credentials</t>
        </is>
      </c>
      <c r="S223" t="n">
        <v>1</v>
      </c>
      <c r="T223" t="inlineStr">
        <is>
          <t>LOW (40%)</t>
        </is>
      </c>
      <c r="U223" t="inlineStr">
        <is>
          <t>UNLIKELY</t>
        </is>
      </c>
      <c r="V223" t="inlineStr">
        <is>
          <t>CHECK_VENDOR</t>
        </is>
      </c>
      <c r="W223" t="inlineStr">
        <is>
          <t>https://nvd.nist.gov/vuln/detail/CVE-2025-70998</t>
        </is>
      </c>
      <c r="X223" t="inlineStr">
        <is>
          <t>NONE</t>
        </is>
      </c>
      <c r="Y223" t="n">
        <v>0</v>
      </c>
      <c r="Z223" t="inlineStr"/>
      <c r="AA223" t="inlineStr">
        <is>
          <t>https://nvd.nist.gov/vuln/detail/CVE-2025-70998</t>
        </is>
      </c>
    </row>
    <row r="224">
      <c r="A224" t="inlineStr">
        <is>
          <t>CVE</t>
        </is>
      </c>
      <c r="B224" t="inlineStr">
        <is>
          <t>CVE-2025-71229</t>
        </is>
      </c>
      <c r="C224" t="inlineStr">
        <is>
          <t xml:space="preserve">In the Linux kernel, the following vulnerability has been resolved:
wifi: rtw88: Fix alignment fault in rtw_core_enable_beacon()
rtw_core_enable_beacon() reads 4 bytes from an address that is not a
multiple of 4. This results in a crash on some systems.
Do 1 byte reads/writes instead.
Unable to handle kernel paging request at virtual address ffff8000827e0522
Mem abort info:
  ESR = 0x0000000096000021
  EC = 0x25: DABT (current EL), IL = 32 bits
  SET = 0, FnV = 0
  EA = 0, S1PTW = 0
  FSC = </t>
        </is>
      </c>
      <c r="D224" t="n">
        <v>5</v>
      </c>
      <c r="E224" t="inlineStr">
        <is>
          <t>MEDIUM</t>
        </is>
      </c>
      <c r="F224" t="n">
        <v>2</v>
      </c>
      <c r="G224" t="n">
        <v>2</v>
      </c>
      <c r="H224" t="inlineStr">
        <is>
          <t>MEDIUM</t>
        </is>
      </c>
      <c r="I224" t="n">
        <v>9</v>
      </c>
      <c r="J224" t="inlineStr">
        <is>
          <t>NO</t>
        </is>
      </c>
      <c r="K224" t="inlineStr">
        <is>
          <t>2026-02-23 23:48</t>
        </is>
      </c>
      <c r="L224" t="inlineStr">
        <is>
          <t>CHECK_VENDOR</t>
        </is>
      </c>
      <c r="M224" t="inlineStr">
        <is>
          <t>See CVE details</t>
        </is>
      </c>
      <c r="N224" t="inlineStr">
        <is>
          <t>P4</t>
        </is>
      </c>
      <c r="O224" t="inlineStr">
        <is>
          <t>CVE - IP enrichment n/a</t>
        </is>
      </c>
      <c r="P224" t="n">
        <v>0</v>
      </c>
      <c r="Q224" t="n">
        <v>0</v>
      </c>
      <c r="R224" t="inlineStr">
        <is>
          <t>T1190:Exploit Public-Facing Application</t>
        </is>
      </c>
      <c r="S224" t="n">
        <v>1</v>
      </c>
      <c r="T224" t="inlineStr">
        <is>
          <t>LOW (40%)</t>
        </is>
      </c>
      <c r="U224" t="inlineStr">
        <is>
          <t>UNLIKELY</t>
        </is>
      </c>
      <c r="V224" t="inlineStr">
        <is>
          <t>CHECK_VENDOR</t>
        </is>
      </c>
      <c r="W224" t="inlineStr">
        <is>
          <t>https://nvd.nist.gov/vuln/detail/CVE-2025-71229</t>
        </is>
      </c>
      <c r="X224" t="inlineStr">
        <is>
          <t>NONE</t>
        </is>
      </c>
      <c r="Y224" t="n">
        <v>0</v>
      </c>
      <c r="Z224" t="inlineStr"/>
      <c r="AA224" t="inlineStr">
        <is>
          <t>https://nvd.nist.gov/vuln/detail/CVE-2025-71229</t>
        </is>
      </c>
    </row>
    <row r="225">
      <c r="A225" t="inlineStr">
        <is>
          <t>CVE</t>
        </is>
      </c>
      <c r="B225" t="inlineStr">
        <is>
          <t>CVE-2025-71230</t>
        </is>
      </c>
      <c r="C225" t="inlineStr">
        <is>
          <t>In the Linux kernel, the following vulnerability has been resolved:
hfs: ensure sb-&gt;s_fs_info is always cleaned up
When hfs was converted to the new mount api a bug was introduced by
changing the allocation pattern of sb-&gt;s_fs_info. If setup_bdev_super()
fails after a new superblock has been allocated by sget_fc(), but before
hfs_fill_super() takes ownership of the filesystem-specific s_fs_info
data it was leaked.
Fix this by freeing sb-&gt;s_fs_info in hfs_kill_super().</t>
        </is>
      </c>
      <c r="D225" t="n">
        <v>5</v>
      </c>
      <c r="E225" t="inlineStr">
        <is>
          <t>MEDIUM</t>
        </is>
      </c>
      <c r="F225" t="n">
        <v>2</v>
      </c>
      <c r="G225" t="n">
        <v>2</v>
      </c>
      <c r="H225" t="inlineStr">
        <is>
          <t>MEDIUM</t>
        </is>
      </c>
      <c r="I225" t="n">
        <v>9</v>
      </c>
      <c r="J225" t="inlineStr">
        <is>
          <t>NO</t>
        </is>
      </c>
      <c r="K225" t="inlineStr">
        <is>
          <t>2026-02-23 23:48</t>
        </is>
      </c>
      <c r="L225" t="inlineStr">
        <is>
          <t>CHECK_VENDOR</t>
        </is>
      </c>
      <c r="M225" t="inlineStr">
        <is>
          <t>See CVE details</t>
        </is>
      </c>
      <c r="N225" t="inlineStr">
        <is>
          <t>P4</t>
        </is>
      </c>
      <c r="O225" t="inlineStr">
        <is>
          <t>CVE - IP enrichment n/a</t>
        </is>
      </c>
      <c r="P225" t="n">
        <v>0</v>
      </c>
      <c r="Q225" t="n">
        <v>0</v>
      </c>
      <c r="R225" t="inlineStr">
        <is>
          <t>T1190:Exploit Public-Facing Application</t>
        </is>
      </c>
      <c r="S225" t="n">
        <v>1</v>
      </c>
      <c r="T225" t="inlineStr">
        <is>
          <t>LOW (40%)</t>
        </is>
      </c>
      <c r="U225" t="inlineStr">
        <is>
          <t>UNLIKELY</t>
        </is>
      </c>
      <c r="V225" t="inlineStr">
        <is>
          <t>CHECK_VENDOR</t>
        </is>
      </c>
      <c r="W225" t="inlineStr">
        <is>
          <t>https://nvd.nist.gov/vuln/detail/CVE-2025-71230</t>
        </is>
      </c>
      <c r="X225" t="inlineStr">
        <is>
          <t>NONE</t>
        </is>
      </c>
      <c r="Y225" t="n">
        <v>0</v>
      </c>
      <c r="Z225" t="inlineStr"/>
      <c r="AA225" t="inlineStr">
        <is>
          <t>https://nvd.nist.gov/vuln/detail/CVE-2025-71230</t>
        </is>
      </c>
    </row>
    <row r="226">
      <c r="A226" t="inlineStr">
        <is>
          <t>CVE</t>
        </is>
      </c>
      <c r="B226" t="inlineStr">
        <is>
          <t>CVE-2025-71231</t>
        </is>
      </c>
      <c r="C226" t="inlineStr">
        <is>
          <t>In the Linux kernel, the following vulnerability has been resolved:
crypto: iaa - Fix out-of-bounds index in find_empty_iaa_compression_mode
The local variable 'i' is initialized with -EINVAL, but the for loop
immediately overwrites it and -EINVAL is never returned.
If no empty compression mode can be found, the function would return the
out-of-bounds index IAA_COMP_MODES_MAX, which would cause an invalid
array access in add_iaa_compression_mode().
Fix both issues by returning either a valid</t>
        </is>
      </c>
      <c r="D226" t="n">
        <v>5</v>
      </c>
      <c r="E226" t="inlineStr">
        <is>
          <t>MEDIUM</t>
        </is>
      </c>
      <c r="F226" t="n">
        <v>2</v>
      </c>
      <c r="G226" t="n">
        <v>2</v>
      </c>
      <c r="H226" t="inlineStr">
        <is>
          <t>MEDIUM</t>
        </is>
      </c>
      <c r="I226" t="n">
        <v>9</v>
      </c>
      <c r="J226" t="inlineStr">
        <is>
          <t>NO</t>
        </is>
      </c>
      <c r="K226" t="inlineStr">
        <is>
          <t>2026-02-23 23:48</t>
        </is>
      </c>
      <c r="L226" t="inlineStr">
        <is>
          <t>CHECK_VENDOR</t>
        </is>
      </c>
      <c r="M226" t="inlineStr">
        <is>
          <t>See CVE details</t>
        </is>
      </c>
      <c r="N226" t="inlineStr">
        <is>
          <t>P4</t>
        </is>
      </c>
      <c r="O226" t="inlineStr">
        <is>
          <t>CVE - IP enrichment n/a</t>
        </is>
      </c>
      <c r="P226" t="n">
        <v>0</v>
      </c>
      <c r="Q226" t="n">
        <v>0</v>
      </c>
      <c r="R226" t="inlineStr">
        <is>
          <t>T1203:Exploitation for Client Execution</t>
        </is>
      </c>
      <c r="S226" t="n">
        <v>1</v>
      </c>
      <c r="T226" t="inlineStr">
        <is>
          <t>LOW (40%)</t>
        </is>
      </c>
      <c r="U226" t="inlineStr">
        <is>
          <t>UNLIKELY</t>
        </is>
      </c>
      <c r="V226" t="inlineStr">
        <is>
          <t>CHECK_VENDOR</t>
        </is>
      </c>
      <c r="W226" t="inlineStr">
        <is>
          <t>https://nvd.nist.gov/vuln/detail/CVE-2025-71231</t>
        </is>
      </c>
      <c r="X226" t="inlineStr">
        <is>
          <t>NONE</t>
        </is>
      </c>
      <c r="Y226" t="n">
        <v>0</v>
      </c>
      <c r="Z226" t="inlineStr"/>
      <c r="AA226" t="inlineStr">
        <is>
          <t>https://nvd.nist.gov/vuln/detail/CVE-2025-71231</t>
        </is>
      </c>
    </row>
    <row r="227">
      <c r="A227" t="inlineStr">
        <is>
          <t>CVE</t>
        </is>
      </c>
      <c r="B227" t="inlineStr">
        <is>
          <t>CVE-2025-71232</t>
        </is>
      </c>
      <c r="C227" t="inlineStr">
        <is>
          <t>In the Linux kernel, the following vulnerability has been resolved: scsi: qla2xxx: Free sp in error path to fix system crash System crash seen during load/unload test in a loop, [61110.449331] qla2xxx [0000:27:00.0]-0042:0: Disabled MSI-X. [61110.467494] ============================================================================= [61110.467498] BUG qla2xxx_srbs (Tainted: G OE -------- --- ): Objects remaining in qla2xxx_srbs on __kmem_cache_shutdown() [61110.467501] ----------------------------</t>
        </is>
      </c>
      <c r="D227" t="n">
        <v>5</v>
      </c>
      <c r="E227" t="inlineStr">
        <is>
          <t>MEDIUM</t>
        </is>
      </c>
      <c r="F227" t="n">
        <v>2</v>
      </c>
      <c r="G227" t="n">
        <v>2</v>
      </c>
      <c r="H227" t="inlineStr">
        <is>
          <t>MEDIUM</t>
        </is>
      </c>
      <c r="I227" t="n">
        <v>9</v>
      </c>
      <c r="J227" t="inlineStr">
        <is>
          <t>NO</t>
        </is>
      </c>
      <c r="K227" t="inlineStr">
        <is>
          <t>2026-02-23 23:48</t>
        </is>
      </c>
      <c r="L227" t="inlineStr">
        <is>
          <t>CHECK_VENDOR</t>
        </is>
      </c>
      <c r="M227" t="inlineStr">
        <is>
          <t>See CVE details</t>
        </is>
      </c>
      <c r="N227" t="inlineStr">
        <is>
          <t>P1</t>
        </is>
      </c>
      <c r="O227" t="inlineStr">
        <is>
          <t>CVE - IP enrichment n/a</t>
        </is>
      </c>
      <c r="P227" t="n">
        <v>0</v>
      </c>
      <c r="Q227" t="n">
        <v>0</v>
      </c>
      <c r="R227" t="inlineStr">
        <is>
          <t>T1190:Exploit Public-Facing Application</t>
        </is>
      </c>
      <c r="S227" t="n">
        <v>2</v>
      </c>
      <c r="T227" t="inlineStr">
        <is>
          <t>HIGH (72%)</t>
        </is>
      </c>
      <c r="U227" t="inlineStr">
        <is>
          <t>HIGH</t>
        </is>
      </c>
      <c r="V227" t="inlineStr">
        <is>
          <t>CHECK_VENDOR</t>
        </is>
      </c>
      <c r="W227" t="inlineStr">
        <is>
          <t>https://nvd.nist.gov/vuln/detail/CVE-2025-71232</t>
        </is>
      </c>
      <c r="X227" t="inlineStr">
        <is>
          <t>http://www.zerodayinitiative.com/advisories/ZDI-26-123/</t>
        </is>
      </c>
      <c r="Y227" t="n">
        <v>0</v>
      </c>
      <c r="Z227" t="inlineStr"/>
      <c r="AA227" t="inlineStr">
        <is>
          <t>https://nvd.nist.gov/vuln/detail/CVE-2025-71232</t>
        </is>
      </c>
    </row>
    <row r="228">
      <c r="A228" t="inlineStr">
        <is>
          <t>CVE</t>
        </is>
      </c>
      <c r="B228" t="inlineStr">
        <is>
          <t>CVE-2025-71233</t>
        </is>
      </c>
      <c r="C228" t="inlineStr">
        <is>
          <t>In the Linux kernel, the following vulnerability has been resolved:
PCI: endpoint: Avoid creating sub-groups asynchronously
The asynchronous creation of sub-groups by a delayed work could lead to a
NULL pointer dereference when the driver directory is removed before the
work completes.
The crash can be easily reproduced with the following commands:
  # cd /sys/kernel/config/pci_ep/functions/pci_epf_test
  # for i in {1..20}; do mkdir test &amp;&amp; rmdir test; done
  BUG: kernel NULL pointer deref</t>
        </is>
      </c>
      <c r="D228" t="n">
        <v>5</v>
      </c>
      <c r="E228" t="inlineStr">
        <is>
          <t>MEDIUM</t>
        </is>
      </c>
      <c r="F228" t="n">
        <v>2</v>
      </c>
      <c r="G228" t="n">
        <v>2</v>
      </c>
      <c r="H228" t="inlineStr">
        <is>
          <t>MEDIUM</t>
        </is>
      </c>
      <c r="I228" t="n">
        <v>9</v>
      </c>
      <c r="J228" t="inlineStr">
        <is>
          <t>NO</t>
        </is>
      </c>
      <c r="K228" t="inlineStr">
        <is>
          <t>2026-02-23 23:48</t>
        </is>
      </c>
      <c r="L228" t="inlineStr">
        <is>
          <t>CHECK_VENDOR</t>
        </is>
      </c>
      <c r="M228" t="inlineStr">
        <is>
          <t>See CVE details</t>
        </is>
      </c>
      <c r="N228" t="inlineStr">
        <is>
          <t>P4</t>
        </is>
      </c>
      <c r="O228" t="inlineStr">
        <is>
          <t>CVE - IP enrichment n/a</t>
        </is>
      </c>
      <c r="P228" t="n">
        <v>0.0002</v>
      </c>
      <c r="Q228" t="n">
        <v>0.06510000000000001</v>
      </c>
      <c r="R228" t="inlineStr">
        <is>
          <t>T1190:Exploit Public-Facing Application</t>
        </is>
      </c>
      <c r="S228" t="n">
        <v>1</v>
      </c>
      <c r="T228" t="inlineStr">
        <is>
          <t>LOW (40%)</t>
        </is>
      </c>
      <c r="U228" t="inlineStr">
        <is>
          <t>UNLIKELY</t>
        </is>
      </c>
      <c r="V228" t="inlineStr">
        <is>
          <t>CHECK_VENDOR</t>
        </is>
      </c>
      <c r="W228" t="inlineStr">
        <is>
          <t>https://nvd.nist.gov/vuln/detail/CVE-2025-71233</t>
        </is>
      </c>
      <c r="X228" t="inlineStr">
        <is>
          <t>NONE</t>
        </is>
      </c>
      <c r="Y228" t="n">
        <v>0</v>
      </c>
      <c r="Z228" t="inlineStr"/>
      <c r="AA228" t="inlineStr">
        <is>
          <t>https://nvd.nist.gov/vuln/detail/CVE-2025-71233</t>
        </is>
      </c>
    </row>
    <row r="229">
      <c r="A229" t="inlineStr">
        <is>
          <t>CVE</t>
        </is>
      </c>
      <c r="B229" t="inlineStr">
        <is>
          <t>CVE-2025-71234</t>
        </is>
      </c>
      <c r="C229" t="inlineStr">
        <is>
          <t>In the Linux kernel, the following vulnerability has been resolved:
wifi: rtl8xxxu: fix slab-out-of-bounds in rtl8xxxu_sta_add
The driver does not set hw-&gt;sta_data_size, which causes mac80211 to
allocate insufficient space for driver private station data in
__sta_info_alloc(). When rtl8xxxu_sta_add() accesses members of
struct rtl8xxxu_sta_info through sta-&gt;drv_priv, this results in a
slab-out-of-bounds write.
KASAN report on RISC-V (VisionFive 2) with RTL8192EU adapter:
  BUG: KASAN: slab-o</t>
        </is>
      </c>
      <c r="D229" t="n">
        <v>5</v>
      </c>
      <c r="E229" t="inlineStr">
        <is>
          <t>MEDIUM</t>
        </is>
      </c>
      <c r="F229" t="n">
        <v>2</v>
      </c>
      <c r="G229" t="n">
        <v>2</v>
      </c>
      <c r="H229" t="inlineStr">
        <is>
          <t>MEDIUM</t>
        </is>
      </c>
      <c r="I229" t="n">
        <v>9</v>
      </c>
      <c r="J229" t="inlineStr">
        <is>
          <t>NO</t>
        </is>
      </c>
      <c r="K229" t="inlineStr">
        <is>
          <t>2026-02-23 23:48</t>
        </is>
      </c>
      <c r="L229" t="inlineStr">
        <is>
          <t>CHECK_VENDOR</t>
        </is>
      </c>
      <c r="M229" t="inlineStr">
        <is>
          <t>See CVE details</t>
        </is>
      </c>
      <c r="N229" t="inlineStr">
        <is>
          <t>P4</t>
        </is>
      </c>
      <c r="O229" t="inlineStr">
        <is>
          <t>CVE - IP enrichment n/a</t>
        </is>
      </c>
      <c r="P229" t="n">
        <v>0</v>
      </c>
      <c r="Q229" t="n">
        <v>0</v>
      </c>
      <c r="R229" t="inlineStr">
        <is>
          <t>T1203:Exploitation for Client Execution</t>
        </is>
      </c>
      <c r="S229" t="n">
        <v>1</v>
      </c>
      <c r="T229" t="inlineStr">
        <is>
          <t>LOW (40%)</t>
        </is>
      </c>
      <c r="U229" t="inlineStr">
        <is>
          <t>UNLIKELY</t>
        </is>
      </c>
      <c r="V229" t="inlineStr">
        <is>
          <t>CHECK_VENDOR</t>
        </is>
      </c>
      <c r="W229" t="inlineStr">
        <is>
          <t>https://nvd.nist.gov/vuln/detail/CVE-2025-71234</t>
        </is>
      </c>
      <c r="X229" t="inlineStr">
        <is>
          <t>NONE</t>
        </is>
      </c>
      <c r="Y229" t="n">
        <v>0</v>
      </c>
      <c r="Z229" t="inlineStr"/>
      <c r="AA229" t="inlineStr">
        <is>
          <t>https://nvd.nist.gov/vuln/detail/CVE-2025-71234</t>
        </is>
      </c>
    </row>
    <row r="230">
      <c r="A230" t="inlineStr">
        <is>
          <t>CVE</t>
        </is>
      </c>
      <c r="B230" t="inlineStr">
        <is>
          <t>CVE-2025-71235</t>
        </is>
      </c>
      <c r="C230" t="inlineStr">
        <is>
          <t>In the Linux kernel, the following vulnerability has been resolved: scsi: qla2xxx: Delay module unload while fabric scan in progress System crash seen during load/unload test in a loop. [105954.384919] RBP: ffff914589838dc0 R08: 0000000000000000 R09: 0000000000000086 [105954.384920] R10: 000000000000000f R11: ffffa31240904be5 R12: ffff914605f868e0 [105954.384921] R13: ffff914605f86910 R14: 0000000000008010 R15: 00000000ddb7c000 [105954.384923] FS: 0000000000000000(0000) GS:ffff9163fec40000(0000)</t>
        </is>
      </c>
      <c r="D230" t="n">
        <v>5</v>
      </c>
      <c r="E230" t="inlineStr">
        <is>
          <t>MEDIUM</t>
        </is>
      </c>
      <c r="F230" t="n">
        <v>2</v>
      </c>
      <c r="G230" t="n">
        <v>2</v>
      </c>
      <c r="H230" t="inlineStr">
        <is>
          <t>MEDIUM</t>
        </is>
      </c>
      <c r="I230" t="n">
        <v>9</v>
      </c>
      <c r="J230" t="inlineStr">
        <is>
          <t>NO</t>
        </is>
      </c>
      <c r="K230" t="inlineStr">
        <is>
          <t>2026-02-23 23:48</t>
        </is>
      </c>
      <c r="L230" t="inlineStr">
        <is>
          <t>CHECK_VENDOR</t>
        </is>
      </c>
      <c r="M230" t="inlineStr">
        <is>
          <t>See CVE details</t>
        </is>
      </c>
      <c r="N230" t="inlineStr">
        <is>
          <t>P1</t>
        </is>
      </c>
      <c r="O230" t="inlineStr">
        <is>
          <t>CVE - IP enrichment n/a</t>
        </is>
      </c>
      <c r="P230" t="n">
        <v>0</v>
      </c>
      <c r="Q230" t="n">
        <v>0</v>
      </c>
      <c r="R230" t="inlineStr">
        <is>
          <t>T1190:Exploit Public-Facing Application</t>
        </is>
      </c>
      <c r="S230" t="n">
        <v>2</v>
      </c>
      <c r="T230" t="inlineStr">
        <is>
          <t>HIGH (72%)</t>
        </is>
      </c>
      <c r="U230" t="inlineStr">
        <is>
          <t>HIGH</t>
        </is>
      </c>
      <c r="V230" t="inlineStr">
        <is>
          <t>CHECK_VENDOR</t>
        </is>
      </c>
      <c r="W230" t="inlineStr">
        <is>
          <t>https://nvd.nist.gov/vuln/detail/CVE-2025-71235</t>
        </is>
      </c>
      <c r="X230" t="inlineStr">
        <is>
          <t>http://www.zerodayinitiative.com/advisories/ZDI-26-123/</t>
        </is>
      </c>
      <c r="Y230" t="n">
        <v>0</v>
      </c>
      <c r="Z230" t="inlineStr"/>
      <c r="AA230" t="inlineStr">
        <is>
          <t>https://nvd.nist.gov/vuln/detail/CVE-2025-71235</t>
        </is>
      </c>
    </row>
    <row r="231">
      <c r="A231" t="inlineStr">
        <is>
          <t>CVE</t>
        </is>
      </c>
      <c r="B231" t="inlineStr">
        <is>
          <t>CVE-2025-71236</t>
        </is>
      </c>
      <c r="C231" t="inlineStr">
        <is>
          <t>In the Linux kernel, the following vulnerability has been resolved: scsi: qla2xxx: Validate sp before freeing associated memory System crash with the following signature [154563.214890] nvme nvme2: NVME-FC{1}: controller connect complete [154564.169363] qla2xxx [0000:b0:00.1]-3002:2: nvme: Sched: Set ZIO exchange threshold to 3. [154564.169405] qla2xxx [0000:b0:00.1]-ffffff:2: SET ZIO Activity exchange threshold to 5. [154565.539974] qla2xxx [0000:b0:00.1]-5013:2: RSCN database changed – 0078 00</t>
        </is>
      </c>
      <c r="D231" t="n">
        <v>5</v>
      </c>
      <c r="E231" t="inlineStr">
        <is>
          <t>MEDIUM</t>
        </is>
      </c>
      <c r="F231" t="n">
        <v>2</v>
      </c>
      <c r="G231" t="n">
        <v>2</v>
      </c>
      <c r="H231" t="inlineStr">
        <is>
          <t>MEDIUM</t>
        </is>
      </c>
      <c r="I231" t="n">
        <v>9</v>
      </c>
      <c r="J231" t="inlineStr">
        <is>
          <t>NO</t>
        </is>
      </c>
      <c r="K231" t="inlineStr">
        <is>
          <t>2026-02-23 23:48</t>
        </is>
      </c>
      <c r="L231" t="inlineStr">
        <is>
          <t>CHECK_VENDOR</t>
        </is>
      </c>
      <c r="M231" t="inlineStr">
        <is>
          <t>See CVE details</t>
        </is>
      </c>
      <c r="N231" t="inlineStr">
        <is>
          <t>P4</t>
        </is>
      </c>
      <c r="O231" t="inlineStr">
        <is>
          <t>CVE - IP enrichment n/a</t>
        </is>
      </c>
      <c r="P231" t="n">
        <v>0</v>
      </c>
      <c r="Q231" t="n">
        <v>0</v>
      </c>
      <c r="R231" t="inlineStr">
        <is>
          <t>T1190:Exploit Public-Facing Application</t>
        </is>
      </c>
      <c r="S231" t="n">
        <v>1</v>
      </c>
      <c r="T231" t="inlineStr">
        <is>
          <t>LOW (40%)</t>
        </is>
      </c>
      <c r="U231" t="inlineStr">
        <is>
          <t>UNLIKELY</t>
        </is>
      </c>
      <c r="V231" t="inlineStr">
        <is>
          <t>CHECK_VENDOR</t>
        </is>
      </c>
      <c r="W231" t="inlineStr">
        <is>
          <t>https://nvd.nist.gov/vuln/detail/CVE-2025-71236</t>
        </is>
      </c>
      <c r="X231" t="inlineStr">
        <is>
          <t>NONE</t>
        </is>
      </c>
      <c r="Y231" t="n">
        <v>0</v>
      </c>
      <c r="Z231" t="inlineStr"/>
      <c r="AA231" t="inlineStr">
        <is>
          <t>https://nvd.nist.gov/vuln/detail/CVE-2025-71236</t>
        </is>
      </c>
    </row>
    <row r="232">
      <c r="A232" t="inlineStr">
        <is>
          <t>CVE</t>
        </is>
      </c>
      <c r="B232" t="inlineStr">
        <is>
          <t>CVE-2025-71237</t>
        </is>
      </c>
      <c r="C232" t="inlineStr">
        <is>
          <t xml:space="preserve">In the Linux kernel, the following vulnerability has been resolved:
nilfs2: Fix potential block overflow that cause system hang
When a user executes the FITRIM command, an underflow can occur when
calculating nblocks if end_block is too small. Since nblocks is of
type sector_t, which is u64, a negative nblocks value will become a
very large positive integer. This ultimately leads to the block layer
function __blkdev_issue_discard() taking an excessively long time to
process the bio chain, and </t>
        </is>
      </c>
      <c r="D232" t="n">
        <v>5</v>
      </c>
      <c r="E232" t="inlineStr">
        <is>
          <t>MEDIUM</t>
        </is>
      </c>
      <c r="F232" t="n">
        <v>2</v>
      </c>
      <c r="G232" t="n">
        <v>2</v>
      </c>
      <c r="H232" t="inlineStr">
        <is>
          <t>MEDIUM</t>
        </is>
      </c>
      <c r="I232" t="n">
        <v>9</v>
      </c>
      <c r="J232" t="inlineStr">
        <is>
          <t>NO</t>
        </is>
      </c>
      <c r="K232" t="inlineStr">
        <is>
          <t>2026-02-23 23:48</t>
        </is>
      </c>
      <c r="L232" t="inlineStr">
        <is>
          <t>CHECK_VENDOR</t>
        </is>
      </c>
      <c r="M232" t="inlineStr">
        <is>
          <t>See CVE details</t>
        </is>
      </c>
      <c r="N232" t="inlineStr">
        <is>
          <t>P4</t>
        </is>
      </c>
      <c r="O232" t="inlineStr">
        <is>
          <t>CVE - IP enrichment n/a</t>
        </is>
      </c>
      <c r="P232" t="n">
        <v>0.0002</v>
      </c>
      <c r="Q232" t="n">
        <v>0.06510000000000001</v>
      </c>
      <c r="R232" t="inlineStr">
        <is>
          <t>T1190:Exploit Public-Facing Application</t>
        </is>
      </c>
      <c r="S232" t="n">
        <v>1</v>
      </c>
      <c r="T232" t="inlineStr">
        <is>
          <t>LOW (40%)</t>
        </is>
      </c>
      <c r="U232" t="inlineStr">
        <is>
          <t>UNLIKELY</t>
        </is>
      </c>
      <c r="V232" t="inlineStr">
        <is>
          <t>CHECK_VENDOR</t>
        </is>
      </c>
      <c r="W232" t="inlineStr">
        <is>
          <t>https://nvd.nist.gov/vuln/detail/CVE-2025-71237</t>
        </is>
      </c>
      <c r="X232" t="inlineStr">
        <is>
          <t>NONE</t>
        </is>
      </c>
      <c r="Y232" t="n">
        <v>0</v>
      </c>
      <c r="Z232" t="inlineStr"/>
      <c r="AA232" t="inlineStr">
        <is>
          <t>https://nvd.nist.gov/vuln/detail/CVE-2025-71237</t>
        </is>
      </c>
    </row>
    <row r="233">
      <c r="A233" t="inlineStr">
        <is>
          <t>CVE</t>
        </is>
      </c>
      <c r="B233" t="inlineStr">
        <is>
          <t>CVE-2026-23220</t>
        </is>
      </c>
      <c r="C233" t="inlineStr">
        <is>
          <t>In the Linux kernel, the following vulnerability has been resolved:
ksmbd: fix infinite loop caused by next_smb2_rcv_hdr_off reset in error paths
The problem occurs when a signed request fails smb2 signature verification
check. In __process_request(), if check_sign_req() returns an error,
set_smb2_rsp_status(work, STATUS_ACCESS_DENIED) is called.
set_smb2_rsp_status() set work-&gt;next_smb2_rcv_hdr_off as zero. By resetting
next_smb2_rcv_hdr_off to zero, the pointer to the next command in the cha</t>
        </is>
      </c>
      <c r="D233" t="n">
        <v>5</v>
      </c>
      <c r="E233" t="inlineStr">
        <is>
          <t>MEDIUM</t>
        </is>
      </c>
      <c r="F233" t="n">
        <v>2</v>
      </c>
      <c r="G233" t="n">
        <v>2</v>
      </c>
      <c r="H233" t="inlineStr">
        <is>
          <t>MEDIUM</t>
        </is>
      </c>
      <c r="I233" t="n">
        <v>9</v>
      </c>
      <c r="J233" t="inlineStr">
        <is>
          <t>NO</t>
        </is>
      </c>
      <c r="K233" t="inlineStr">
        <is>
          <t>2026-02-23 23:48</t>
        </is>
      </c>
      <c r="L233" t="inlineStr">
        <is>
          <t>CHECK_VENDOR</t>
        </is>
      </c>
      <c r="M233" t="inlineStr">
        <is>
          <t>See CVE details</t>
        </is>
      </c>
      <c r="N233" t="inlineStr">
        <is>
          <t>P4</t>
        </is>
      </c>
      <c r="O233" t="inlineStr">
        <is>
          <t>CVE - IP enrichment n/a</t>
        </is>
      </c>
      <c r="P233" t="n">
        <v>0</v>
      </c>
      <c r="Q233" t="n">
        <v>0</v>
      </c>
      <c r="R233" t="inlineStr">
        <is>
          <t>T1190:Exploit Public-Facing Application</t>
        </is>
      </c>
      <c r="S233" t="n">
        <v>1</v>
      </c>
      <c r="T233" t="inlineStr">
        <is>
          <t>LOW (40%)</t>
        </is>
      </c>
      <c r="U233" t="inlineStr">
        <is>
          <t>UNLIKELY</t>
        </is>
      </c>
      <c r="V233" t="inlineStr">
        <is>
          <t>CHECK_VENDOR</t>
        </is>
      </c>
      <c r="W233" t="inlineStr">
        <is>
          <t>https://nvd.nist.gov/vuln/detail/CVE-2026-23220</t>
        </is>
      </c>
      <c r="X233" t="inlineStr">
        <is>
          <t>NONE</t>
        </is>
      </c>
      <c r="Y233" t="n">
        <v>0</v>
      </c>
      <c r="Z233" t="inlineStr"/>
      <c r="AA233" t="inlineStr">
        <is>
          <t>https://nvd.nist.gov/vuln/detail/CVE-2026-23220</t>
        </is>
      </c>
    </row>
    <row r="234">
      <c r="A234" t="inlineStr">
        <is>
          <t>CVE</t>
        </is>
      </c>
      <c r="B234" t="inlineStr">
        <is>
          <t>CVE-2026-23221</t>
        </is>
      </c>
      <c r="C234" t="inlineStr">
        <is>
          <t xml:space="preserve">In the Linux kernel, the following vulnerability has been resolved:
bus: fsl-mc: fix use-after-free in driver_override_show()
The driver_override_show() function reads the driver_override string
without holding the device_lock. However, driver_override_store() uses
driver_set_override(), which modifies and frees the string while holding
the device_lock.
This can result in a concurrent use-after-free if the string is freed
by the store function while being read by the show function.
Fix this </t>
        </is>
      </c>
      <c r="D234" t="n">
        <v>5</v>
      </c>
      <c r="E234" t="inlineStr">
        <is>
          <t>MEDIUM</t>
        </is>
      </c>
      <c r="F234" t="n">
        <v>2</v>
      </c>
      <c r="G234" t="n">
        <v>2</v>
      </c>
      <c r="H234" t="inlineStr">
        <is>
          <t>MEDIUM</t>
        </is>
      </c>
      <c r="I234" t="n">
        <v>9</v>
      </c>
      <c r="J234" t="inlineStr">
        <is>
          <t>NO</t>
        </is>
      </c>
      <c r="K234" t="inlineStr">
        <is>
          <t>2026-02-23 23:48</t>
        </is>
      </c>
      <c r="L234" t="inlineStr">
        <is>
          <t>CHECK_VENDOR</t>
        </is>
      </c>
      <c r="M234" t="inlineStr">
        <is>
          <t>See CVE details</t>
        </is>
      </c>
      <c r="N234" t="inlineStr">
        <is>
          <t>P4</t>
        </is>
      </c>
      <c r="O234" t="inlineStr">
        <is>
          <t>CVE - IP enrichment n/a</t>
        </is>
      </c>
      <c r="P234" t="n">
        <v>0</v>
      </c>
      <c r="Q234" t="n">
        <v>0</v>
      </c>
      <c r="R234" t="inlineStr">
        <is>
          <t>T1190:Exploit Public-Facing Application</t>
        </is>
      </c>
      <c r="S234" t="n">
        <v>1</v>
      </c>
      <c r="T234" t="inlineStr">
        <is>
          <t>LOW (40%)</t>
        </is>
      </c>
      <c r="U234" t="inlineStr">
        <is>
          <t>UNLIKELY</t>
        </is>
      </c>
      <c r="V234" t="inlineStr">
        <is>
          <t>CHECK_VENDOR</t>
        </is>
      </c>
      <c r="W234" t="inlineStr">
        <is>
          <t>https://nvd.nist.gov/vuln/detail/CVE-2026-23221</t>
        </is>
      </c>
      <c r="X234" t="inlineStr">
        <is>
          <t>NONE</t>
        </is>
      </c>
      <c r="Y234" t="n">
        <v>0</v>
      </c>
      <c r="Z234" t="inlineStr"/>
      <c r="AA234" t="inlineStr">
        <is>
          <t>https://nvd.nist.gov/vuln/detail/CVE-2026-23221</t>
        </is>
      </c>
    </row>
    <row r="235">
      <c r="A235" t="inlineStr">
        <is>
          <t>CVE</t>
        </is>
      </c>
      <c r="B235" t="inlineStr">
        <is>
          <t>CVE-2026-23222</t>
        </is>
      </c>
      <c r="C235" t="inlineStr">
        <is>
          <t>In the Linux kernel, the following vulnerability has been resolved:
crypto: omap - Allocate OMAP_CRYPTO_FORCE_COPY scatterlists correctly
The existing allocation of scatterlists in omap_crypto_copy_sg_lists()
was allocating an array of scatterlist pointers, not scatterlist objects,
resulting in a 4x too small allocation.
Use sizeof(*new_sg) to get the correct object size.</t>
        </is>
      </c>
      <c r="D235" t="n">
        <v>8.5</v>
      </c>
      <c r="E235" t="inlineStr">
        <is>
          <t>HIGH</t>
        </is>
      </c>
      <c r="F235" t="n">
        <v>2</v>
      </c>
      <c r="G235" t="n">
        <v>3</v>
      </c>
      <c r="H235" t="inlineStr">
        <is>
          <t>HIGH</t>
        </is>
      </c>
      <c r="I235" t="n">
        <v>14.5</v>
      </c>
      <c r="J235" t="inlineStr">
        <is>
          <t>NO</t>
        </is>
      </c>
      <c r="K235" t="inlineStr">
        <is>
          <t>2026-02-23 23:48</t>
        </is>
      </c>
      <c r="L235" t="inlineStr">
        <is>
          <t>CHECK_VENDOR</t>
        </is>
      </c>
      <c r="M235" t="inlineStr">
        <is>
          <t>See CVE details</t>
        </is>
      </c>
      <c r="N235" t="inlineStr">
        <is>
          <t>P3</t>
        </is>
      </c>
      <c r="O235" t="inlineStr">
        <is>
          <t>CVE - IP enrichment n/a</t>
        </is>
      </c>
      <c r="P235" t="n">
        <v>0.0002</v>
      </c>
      <c r="Q235" t="n">
        <v>0.06510000000000001</v>
      </c>
      <c r="R235" t="inlineStr">
        <is>
          <t>T1190:Exploit Public-Facing Application</t>
        </is>
      </c>
      <c r="S235" t="n">
        <v>1</v>
      </c>
      <c r="T235" t="inlineStr">
        <is>
          <t>LOW (40%)</t>
        </is>
      </c>
      <c r="U235" t="inlineStr">
        <is>
          <t>UNLIKELY</t>
        </is>
      </c>
      <c r="V235" t="inlineStr">
        <is>
          <t>CHECK_VENDOR</t>
        </is>
      </c>
      <c r="W235" t="inlineStr">
        <is>
          <t>https://nvd.nist.gov/vuln/detail/CVE-2026-23222</t>
        </is>
      </c>
      <c r="X235" t="inlineStr">
        <is>
          <t>NONE</t>
        </is>
      </c>
      <c r="Y235" t="n">
        <v>0</v>
      </c>
      <c r="Z235" t="inlineStr"/>
      <c r="AA235" t="inlineStr">
        <is>
          <t>https://nvd.nist.gov/vuln/detail/CVE-2026-23222</t>
        </is>
      </c>
    </row>
    <row r="236">
      <c r="A236" t="inlineStr">
        <is>
          <t>CVE</t>
        </is>
      </c>
      <c r="B236" t="inlineStr">
        <is>
          <t>CVE-2026-23223</t>
        </is>
      </c>
      <c r="C236" t="inlineStr">
        <is>
          <t>In the Linux kernel, the following vulnerability has been resolved:
xfs: fix UAF in xchk_btree_check_block_owner
We cannot dereference bs-&gt;cur when trying to determine if bs-&gt;cur
aliases bs-&gt;sc-&gt;sa.{bno,rmap}_cur after the latter has been freed.
Fix this by sampling before type before any freeing could happen.
The correct temporal ordering was broken when we removed xfs_btnum_t.</t>
        </is>
      </c>
      <c r="D236" t="n">
        <v>5</v>
      </c>
      <c r="E236" t="inlineStr">
        <is>
          <t>MEDIUM</t>
        </is>
      </c>
      <c r="F236" t="n">
        <v>2</v>
      </c>
      <c r="G236" t="n">
        <v>2</v>
      </c>
      <c r="H236" t="inlineStr">
        <is>
          <t>MEDIUM</t>
        </is>
      </c>
      <c r="I236" t="n">
        <v>9</v>
      </c>
      <c r="J236" t="inlineStr">
        <is>
          <t>NO</t>
        </is>
      </c>
      <c r="K236" t="inlineStr">
        <is>
          <t>2026-02-23 23:48</t>
        </is>
      </c>
      <c r="L236" t="inlineStr">
        <is>
          <t>CHECK_VENDOR</t>
        </is>
      </c>
      <c r="M236" t="inlineStr">
        <is>
          <t>See CVE details</t>
        </is>
      </c>
      <c r="N236" t="inlineStr">
        <is>
          <t>P4</t>
        </is>
      </c>
      <c r="O236" t="inlineStr">
        <is>
          <t>CVE - IP enrichment n/a</t>
        </is>
      </c>
      <c r="P236" t="n">
        <v>0.0002</v>
      </c>
      <c r="Q236" t="n">
        <v>0.0412</v>
      </c>
      <c r="R236" t="inlineStr">
        <is>
          <t>T1190:Exploit Public-Facing Application</t>
        </is>
      </c>
      <c r="S236" t="n">
        <v>1</v>
      </c>
      <c r="T236" t="inlineStr">
        <is>
          <t>LOW (40%)</t>
        </is>
      </c>
      <c r="U236" t="inlineStr">
        <is>
          <t>UNLIKELY</t>
        </is>
      </c>
      <c r="V236" t="inlineStr">
        <is>
          <t>CHECK_VENDOR</t>
        </is>
      </c>
      <c r="W236" t="inlineStr">
        <is>
          <t>https://nvd.nist.gov/vuln/detail/CVE-2026-23223</t>
        </is>
      </c>
      <c r="X236" t="inlineStr">
        <is>
          <t>NONE</t>
        </is>
      </c>
      <c r="Y236" t="n">
        <v>0</v>
      </c>
      <c r="Z236" t="inlineStr"/>
      <c r="AA236" t="inlineStr">
        <is>
          <t>https://nvd.nist.gov/vuln/detail/CVE-2026-23223</t>
        </is>
      </c>
    </row>
    <row r="237">
      <c r="A237" t="inlineStr">
        <is>
          <t>CVE</t>
        </is>
      </c>
      <c r="B237" t="inlineStr">
        <is>
          <t>CVE-2026-23224</t>
        </is>
      </c>
      <c r="C237" t="inlineStr">
        <is>
          <t>In the Linux kernel, the following vulnerability has been resolved:
erofs: fix UAF issue for file-backed mounts w/ directio option
[    9.269940][ T3222] Call trace:
[    9.269948][ T3222]  ext4_file_read_iter+0xac/0x108
[    9.269979][ T3222]  vfs_iocb_iter_read+0xac/0x198
[    9.269993][ T3222]  erofs_fileio_rq_submit+0x12c/0x180
[    9.270008][ T3222]  erofs_fileio_submit_bio+0x14/0x24
[    9.270030][ T3222]  z_erofs_runqueue+0x834/0x8ac
[    9.270054][ T3222]  z_erofs_read_folio+0x120/0x22</t>
        </is>
      </c>
      <c r="D237" t="n">
        <v>5</v>
      </c>
      <c r="E237" t="inlineStr">
        <is>
          <t>MEDIUM</t>
        </is>
      </c>
      <c r="F237" t="n">
        <v>2</v>
      </c>
      <c r="G237" t="n">
        <v>2</v>
      </c>
      <c r="H237" t="inlineStr">
        <is>
          <t>MEDIUM</t>
        </is>
      </c>
      <c r="I237" t="n">
        <v>9</v>
      </c>
      <c r="J237" t="inlineStr">
        <is>
          <t>NO</t>
        </is>
      </c>
      <c r="K237" t="inlineStr">
        <is>
          <t>2026-02-23 23:48</t>
        </is>
      </c>
      <c r="L237" t="inlineStr">
        <is>
          <t>CHECK_VENDOR</t>
        </is>
      </c>
      <c r="M237" t="inlineStr">
        <is>
          <t>See CVE details</t>
        </is>
      </c>
      <c r="N237" t="inlineStr">
        <is>
          <t>P4</t>
        </is>
      </c>
      <c r="O237" t="inlineStr">
        <is>
          <t>CVE - IP enrichment n/a</t>
        </is>
      </c>
      <c r="P237" t="n">
        <v>0</v>
      </c>
      <c r="Q237" t="n">
        <v>0</v>
      </c>
      <c r="R237" t="inlineStr">
        <is>
          <t>T1190:Exploit Public-Facing Application</t>
        </is>
      </c>
      <c r="S237" t="n">
        <v>1</v>
      </c>
      <c r="T237" t="inlineStr">
        <is>
          <t>LOW (40%)</t>
        </is>
      </c>
      <c r="U237" t="inlineStr">
        <is>
          <t>UNLIKELY</t>
        </is>
      </c>
      <c r="V237" t="inlineStr">
        <is>
          <t>CHECK_VENDOR</t>
        </is>
      </c>
      <c r="W237" t="inlineStr">
        <is>
          <t>https://nvd.nist.gov/vuln/detail/CVE-2026-23224</t>
        </is>
      </c>
      <c r="X237" t="inlineStr">
        <is>
          <t>NONE</t>
        </is>
      </c>
      <c r="Y237" t="n">
        <v>0</v>
      </c>
      <c r="Z237" t="inlineStr"/>
      <c r="AA237" t="inlineStr">
        <is>
          <t>https://nvd.nist.gov/vuln/detail/CVE-2026-23224</t>
        </is>
      </c>
    </row>
    <row r="238">
      <c r="A238" t="inlineStr">
        <is>
          <t>CVE</t>
        </is>
      </c>
      <c r="B238" t="inlineStr">
        <is>
          <t>CVE-2026-23225</t>
        </is>
      </c>
      <c r="C238" t="inlineStr">
        <is>
          <t>In the Linux kernel, the following vulnerability has been resolved:
sched/mmcid: Don't assume CID is CPU owned on mode switch
Shinichiro reported a KASAN UAF, which is actually an out of bounds access
in the MMCID management code.
   CPU0						CPU1
   						T1 runs in userspace
   T0: fork(T4) -&gt; Switch to per CPU CID mode
         fixup() set MM_CID_TRANSIT on T1/CPU1
   T4 exit()
   T3 exit()
   T2 exit()
						T1 exit() switch to per task mode
						 ---&gt; Out of bounds access.
As T1 has n</t>
        </is>
      </c>
      <c r="D238" t="n">
        <v>5</v>
      </c>
      <c r="E238" t="inlineStr">
        <is>
          <t>MEDIUM</t>
        </is>
      </c>
      <c r="F238" t="n">
        <v>2</v>
      </c>
      <c r="G238" t="n">
        <v>2</v>
      </c>
      <c r="H238" t="inlineStr">
        <is>
          <t>MEDIUM</t>
        </is>
      </c>
      <c r="I238" t="n">
        <v>9</v>
      </c>
      <c r="J238" t="inlineStr">
        <is>
          <t>NO</t>
        </is>
      </c>
      <c r="K238" t="inlineStr">
        <is>
          <t>2026-02-23 23:48</t>
        </is>
      </c>
      <c r="L238" t="inlineStr">
        <is>
          <t>CHECK_VENDOR</t>
        </is>
      </c>
      <c r="M238" t="inlineStr">
        <is>
          <t>See CVE details</t>
        </is>
      </c>
      <c r="N238" t="inlineStr">
        <is>
          <t>P4</t>
        </is>
      </c>
      <c r="O238" t="inlineStr">
        <is>
          <t>CVE - IP enrichment n/a</t>
        </is>
      </c>
      <c r="P238" t="n">
        <v>0</v>
      </c>
      <c r="Q238" t="n">
        <v>0</v>
      </c>
      <c r="R238" t="inlineStr">
        <is>
          <t>T1190:Exploit Public-Facing Application</t>
        </is>
      </c>
      <c r="S238" t="n">
        <v>1</v>
      </c>
      <c r="T238" t="inlineStr">
        <is>
          <t>LOW (40%)</t>
        </is>
      </c>
      <c r="U238" t="inlineStr">
        <is>
          <t>UNLIKELY</t>
        </is>
      </c>
      <c r="V238" t="inlineStr">
        <is>
          <t>CHECK_VENDOR</t>
        </is>
      </c>
      <c r="W238" t="inlineStr">
        <is>
          <t>https://nvd.nist.gov/vuln/detail/CVE-2026-23225</t>
        </is>
      </c>
      <c r="X238" t="inlineStr">
        <is>
          <t>NONE</t>
        </is>
      </c>
      <c r="Y238" t="n">
        <v>0</v>
      </c>
      <c r="Z238" t="inlineStr"/>
      <c r="AA238" t="inlineStr">
        <is>
          <t>https://nvd.nist.gov/vuln/detail/CVE-2026-23225</t>
        </is>
      </c>
    </row>
    <row r="239">
      <c r="A239" t="inlineStr">
        <is>
          <t>CVE</t>
        </is>
      </c>
      <c r="B239" t="inlineStr">
        <is>
          <t>CVE-2026-23226</t>
        </is>
      </c>
      <c r="C239" t="inlineStr">
        <is>
          <t>In the Linux kernel, the following vulnerability has been resolved:
ksmbd: add chann_lock to protect ksmbd_chann_list xarray
ksmbd_chann_list xarray lacks synchronization, allowing use-after-free in
multi-channel sessions (between lookup_chann_list() and ksmbd_chann_del).
Adds rw_semaphore chann_lock to struct ksmbd_session and protects
all xa_load/xa_store/xa_erase accesses.</t>
        </is>
      </c>
      <c r="D239" t="n">
        <v>5</v>
      </c>
      <c r="E239" t="inlineStr">
        <is>
          <t>MEDIUM</t>
        </is>
      </c>
      <c r="F239" t="n">
        <v>2</v>
      </c>
      <c r="G239" t="n">
        <v>2</v>
      </c>
      <c r="H239" t="inlineStr">
        <is>
          <t>MEDIUM</t>
        </is>
      </c>
      <c r="I239" t="n">
        <v>9</v>
      </c>
      <c r="J239" t="inlineStr">
        <is>
          <t>NO</t>
        </is>
      </c>
      <c r="K239" t="inlineStr">
        <is>
          <t>2026-02-23 23:48</t>
        </is>
      </c>
      <c r="L239" t="inlineStr">
        <is>
          <t>CHECK_VENDOR</t>
        </is>
      </c>
      <c r="M239" t="inlineStr">
        <is>
          <t>See CVE details</t>
        </is>
      </c>
      <c r="N239" t="inlineStr">
        <is>
          <t>P4</t>
        </is>
      </c>
      <c r="O239" t="inlineStr">
        <is>
          <t>CVE - IP enrichment n/a</t>
        </is>
      </c>
      <c r="P239" t="n">
        <v>0</v>
      </c>
      <c r="Q239" t="n">
        <v>0</v>
      </c>
      <c r="R239" t="inlineStr">
        <is>
          <t>T1190:Exploit Public-Facing Application</t>
        </is>
      </c>
      <c r="S239" t="n">
        <v>1</v>
      </c>
      <c r="T239" t="inlineStr">
        <is>
          <t>LOW (40%)</t>
        </is>
      </c>
      <c r="U239" t="inlineStr">
        <is>
          <t>UNLIKELY</t>
        </is>
      </c>
      <c r="V239" t="inlineStr">
        <is>
          <t>CHECK_VENDOR</t>
        </is>
      </c>
      <c r="W239" t="inlineStr">
        <is>
          <t>https://nvd.nist.gov/vuln/detail/CVE-2026-23226</t>
        </is>
      </c>
      <c r="X239" t="inlineStr">
        <is>
          <t>NONE</t>
        </is>
      </c>
      <c r="Y239" t="n">
        <v>0</v>
      </c>
      <c r="Z239" t="inlineStr"/>
      <c r="AA239" t="inlineStr">
        <is>
          <t>https://nvd.nist.gov/vuln/detail/CVE-2026-23226</t>
        </is>
      </c>
    </row>
    <row r="240">
      <c r="A240" t="inlineStr">
        <is>
          <t>CVE</t>
        </is>
      </c>
      <c r="B240" t="inlineStr">
        <is>
          <t>CVE-2026-23227</t>
        </is>
      </c>
      <c r="C240" t="inlineStr">
        <is>
          <t>In the Linux kernel, the following vulnerability has been resolved:
drm/exynos: vidi: use ctx-&gt;lock to protect struct vidi_context member variables related to memory alloc/free
Exynos Virtual Display driver performs memory alloc/free operations
without lock protection, which easily causes concurrency problem.
For example, use-after-free can occur in race scenario like this:
```
	CPU0				CPU1				CPU2
	----				----				----
  vidi_connection_ioctl()
    if (vidi-&gt;connection) // true
      drm_ed</t>
        </is>
      </c>
      <c r="D240" t="n">
        <v>5</v>
      </c>
      <c r="E240" t="inlineStr">
        <is>
          <t>MEDIUM</t>
        </is>
      </c>
      <c r="F240" t="n">
        <v>2</v>
      </c>
      <c r="G240" t="n">
        <v>2</v>
      </c>
      <c r="H240" t="inlineStr">
        <is>
          <t>MEDIUM</t>
        </is>
      </c>
      <c r="I240" t="n">
        <v>9</v>
      </c>
      <c r="J240" t="inlineStr">
        <is>
          <t>NO</t>
        </is>
      </c>
      <c r="K240" t="inlineStr">
        <is>
          <t>2026-02-23 23:48</t>
        </is>
      </c>
      <c r="L240" t="inlineStr">
        <is>
          <t>CHECK_VENDOR</t>
        </is>
      </c>
      <c r="M240" t="inlineStr">
        <is>
          <t>See CVE details</t>
        </is>
      </c>
      <c r="N240" t="inlineStr">
        <is>
          <t>P4</t>
        </is>
      </c>
      <c r="O240" t="inlineStr">
        <is>
          <t>CVE - IP enrichment n/a</t>
        </is>
      </c>
      <c r="P240" t="n">
        <v>0</v>
      </c>
      <c r="Q240" t="n">
        <v>0</v>
      </c>
      <c r="R240" t="inlineStr">
        <is>
          <t>T1190:Exploit Public-Facing Application</t>
        </is>
      </c>
      <c r="S240" t="n">
        <v>1</v>
      </c>
      <c r="T240" t="inlineStr">
        <is>
          <t>LOW (40%)</t>
        </is>
      </c>
      <c r="U240" t="inlineStr">
        <is>
          <t>UNLIKELY</t>
        </is>
      </c>
      <c r="V240" t="inlineStr">
        <is>
          <t>CHECK_VENDOR</t>
        </is>
      </c>
      <c r="W240" t="inlineStr">
        <is>
          <t>https://nvd.nist.gov/vuln/detail/CVE-2026-23227</t>
        </is>
      </c>
      <c r="X240" t="inlineStr">
        <is>
          <t>NONE</t>
        </is>
      </c>
      <c r="Y240" t="n">
        <v>0</v>
      </c>
      <c r="Z240" t="inlineStr"/>
      <c r="AA240" t="inlineStr">
        <is>
          <t>https://nvd.nist.gov/vuln/detail/CVE-2026-23227</t>
        </is>
      </c>
    </row>
    <row r="241">
      <c r="A241" t="inlineStr">
        <is>
          <t>CVE</t>
        </is>
      </c>
      <c r="B241" t="inlineStr">
        <is>
          <t>CVE-2026-23228</t>
        </is>
      </c>
      <c r="C241" t="inlineStr">
        <is>
          <t>In the Linux kernel, the following vulnerability has been resolved:
smb: server: fix leak of active_num_conn in ksmbd_tcp_new_connection()
On kthread_run() failure in ksmbd_tcp_new_connection(), the transport is
freed via free_transport(), which does not decrement active_num_conn,
leaking this counter.
Replace free_transport() with ksmbd_tcp_disconnect().</t>
        </is>
      </c>
      <c r="D241" t="n">
        <v>5</v>
      </c>
      <c r="E241" t="inlineStr">
        <is>
          <t>MEDIUM</t>
        </is>
      </c>
      <c r="F241" t="n">
        <v>2</v>
      </c>
      <c r="G241" t="n">
        <v>2</v>
      </c>
      <c r="H241" t="inlineStr">
        <is>
          <t>MEDIUM</t>
        </is>
      </c>
      <c r="I241" t="n">
        <v>9</v>
      </c>
      <c r="J241" t="inlineStr">
        <is>
          <t>NO</t>
        </is>
      </c>
      <c r="K241" t="inlineStr">
        <is>
          <t>2026-02-23 23:48</t>
        </is>
      </c>
      <c r="L241" t="inlineStr">
        <is>
          <t>CHECK_VENDOR</t>
        </is>
      </c>
      <c r="M241" t="inlineStr">
        <is>
          <t>See CVE details</t>
        </is>
      </c>
      <c r="N241" t="inlineStr">
        <is>
          <t>P4</t>
        </is>
      </c>
      <c r="O241" t="inlineStr">
        <is>
          <t>CVE - IP enrichment n/a</t>
        </is>
      </c>
      <c r="P241" t="n">
        <v>0</v>
      </c>
      <c r="Q241" t="n">
        <v>0</v>
      </c>
      <c r="R241" t="inlineStr">
        <is>
          <t>T1190:Exploit Public-Facing Application</t>
        </is>
      </c>
      <c r="S241" t="n">
        <v>1</v>
      </c>
      <c r="T241" t="inlineStr">
        <is>
          <t>LOW (40%)</t>
        </is>
      </c>
      <c r="U241" t="inlineStr">
        <is>
          <t>UNLIKELY</t>
        </is>
      </c>
      <c r="V241" t="inlineStr">
        <is>
          <t>CHECK_VENDOR</t>
        </is>
      </c>
      <c r="W241" t="inlineStr">
        <is>
          <t>https://nvd.nist.gov/vuln/detail/CVE-2026-23228</t>
        </is>
      </c>
      <c r="X241" t="inlineStr">
        <is>
          <t>NONE</t>
        </is>
      </c>
      <c r="Y241" t="n">
        <v>0</v>
      </c>
      <c r="Z241" t="inlineStr"/>
      <c r="AA241" t="inlineStr">
        <is>
          <t>https://nvd.nist.gov/vuln/detail/CVE-2026-23228</t>
        </is>
      </c>
    </row>
    <row r="242">
      <c r="A242" t="inlineStr">
        <is>
          <t>CVE</t>
        </is>
      </c>
      <c r="B242" t="inlineStr">
        <is>
          <t>CVE-2026-23229</t>
        </is>
      </c>
      <c r="C242" t="inlineStr">
        <is>
          <t>In the Linux kernel, the following vulnerability has been resolved:
crypto: virtio - Add spinlock protection with virtqueue notification
When VM boots with one virtio-crypto PCI device and builtin backend,
run openssl benchmark command with multiple processes, such as
  openssl speed -evp aes-128-cbc -engine afalg  -seconds 10 -multi 32
openssl processes will hangup and there is error reported like this:
 virtio_crypto virtio0: dataq.0:id 3 is not a head!
It seems that the data virtqueue nee</t>
        </is>
      </c>
      <c r="D242" t="n">
        <v>5</v>
      </c>
      <c r="E242" t="inlineStr">
        <is>
          <t>MEDIUM</t>
        </is>
      </c>
      <c r="F242" t="n">
        <v>2</v>
      </c>
      <c r="G242" t="n">
        <v>2</v>
      </c>
      <c r="H242" t="inlineStr">
        <is>
          <t>MEDIUM</t>
        </is>
      </c>
      <c r="I242" t="n">
        <v>9</v>
      </c>
      <c r="J242" t="inlineStr">
        <is>
          <t>NO</t>
        </is>
      </c>
      <c r="K242" t="inlineStr">
        <is>
          <t>2026-02-23 23:48</t>
        </is>
      </c>
      <c r="L242" t="inlineStr">
        <is>
          <t>CHECK_VENDOR</t>
        </is>
      </c>
      <c r="M242" t="inlineStr">
        <is>
          <t>See CVE details</t>
        </is>
      </c>
      <c r="N242" t="inlineStr">
        <is>
          <t>P1</t>
        </is>
      </c>
      <c r="O242" t="inlineStr">
        <is>
          <t>CVE - IP enrichment n/a</t>
        </is>
      </c>
      <c r="P242" t="n">
        <v>0</v>
      </c>
      <c r="Q242" t="n">
        <v>0</v>
      </c>
      <c r="R242" t="inlineStr">
        <is>
          <t>T1190:Exploit Public-Facing Application</t>
        </is>
      </c>
      <c r="S242" t="n">
        <v>2</v>
      </c>
      <c r="T242" t="inlineStr">
        <is>
          <t>HIGH (72%)</t>
        </is>
      </c>
      <c r="U242" t="inlineStr">
        <is>
          <t>HIGH</t>
        </is>
      </c>
      <c r="V242" t="inlineStr">
        <is>
          <t>CHECK_VENDOR</t>
        </is>
      </c>
      <c r="W242" t="inlineStr">
        <is>
          <t>https://nvd.nist.gov/vuln/detail/CVE-2026-23229</t>
        </is>
      </c>
      <c r="X242" t="inlineStr">
        <is>
          <t>http://www.zerodayinitiative.com/advisories/ZDI-26-123/</t>
        </is>
      </c>
      <c r="Y242" t="n">
        <v>0</v>
      </c>
      <c r="Z242" t="inlineStr"/>
      <c r="AA242" t="inlineStr">
        <is>
          <t>https://nvd.nist.gov/vuln/detail/CVE-2026-23229</t>
        </is>
      </c>
    </row>
    <row r="243">
      <c r="A243" t="inlineStr">
        <is>
          <t>CVE</t>
        </is>
      </c>
      <c r="B243" t="inlineStr">
        <is>
          <t>CVE-2026-23230</t>
        </is>
      </c>
      <c r="C243" t="inlineStr">
        <is>
          <t>In the Linux kernel, the following vulnerability has been resolved:
smb: client: split cached_fid bitfields to avoid shared-byte RMW races
is_open, has_lease and on_list are stored in the same bitfield byte in
struct cached_fid but are updated in different code paths that may run
concurrently. Bitfield assignments generate byte read–modify–write
operations (e.g. `orb $mask, addr` on x86_64), so updating one flag can
restore stale values of the others.
A possible interleaving is:
    CPU1: loa</t>
        </is>
      </c>
      <c r="D243" t="n">
        <v>5</v>
      </c>
      <c r="E243" t="inlineStr">
        <is>
          <t>MEDIUM</t>
        </is>
      </c>
      <c r="F243" t="n">
        <v>2</v>
      </c>
      <c r="G243" t="n">
        <v>2</v>
      </c>
      <c r="H243" t="inlineStr">
        <is>
          <t>MEDIUM</t>
        </is>
      </c>
      <c r="I243" t="n">
        <v>9</v>
      </c>
      <c r="J243" t="inlineStr">
        <is>
          <t>NO</t>
        </is>
      </c>
      <c r="K243" t="inlineStr">
        <is>
          <t>2026-02-23 23:48</t>
        </is>
      </c>
      <c r="L243" t="inlineStr">
        <is>
          <t>CHECK_VENDOR</t>
        </is>
      </c>
      <c r="M243" t="inlineStr">
        <is>
          <t>See CVE details</t>
        </is>
      </c>
      <c r="N243" t="inlineStr">
        <is>
          <t>P4</t>
        </is>
      </c>
      <c r="O243" t="inlineStr">
        <is>
          <t>CVE - IP enrichment n/a</t>
        </is>
      </c>
      <c r="P243" t="n">
        <v>0</v>
      </c>
      <c r="Q243" t="n">
        <v>0</v>
      </c>
      <c r="R243" t="inlineStr">
        <is>
          <t>T1190:Exploit Public-Facing Application</t>
        </is>
      </c>
      <c r="S243" t="n">
        <v>1</v>
      </c>
      <c r="T243" t="inlineStr">
        <is>
          <t>LOW (40%)</t>
        </is>
      </c>
      <c r="U243" t="inlineStr">
        <is>
          <t>UNLIKELY</t>
        </is>
      </c>
      <c r="V243" t="inlineStr">
        <is>
          <t>CHECK_VENDOR</t>
        </is>
      </c>
      <c r="W243" t="inlineStr">
        <is>
          <t>https://nvd.nist.gov/vuln/detail/CVE-2026-23230</t>
        </is>
      </c>
      <c r="X243" t="inlineStr">
        <is>
          <t>NONE</t>
        </is>
      </c>
      <c r="Y243" t="n">
        <v>0</v>
      </c>
      <c r="Z243" t="inlineStr"/>
      <c r="AA243" t="inlineStr">
        <is>
          <t>https://nvd.nist.gov/vuln/detail/CVE-2026-23230</t>
        </is>
      </c>
    </row>
    <row r="244">
      <c r="A244" t="inlineStr">
        <is>
          <t>CVE</t>
        </is>
      </c>
      <c r="B244" t="inlineStr">
        <is>
          <t>CVE-2025-13602</t>
        </is>
      </c>
      <c r="C244" t="inlineStr">
        <is>
          <t>Rejected reason: ** REJECT ** DO NOT USE THIS CANDIDATE NUMBER. Reason: This candidate was issued in error. Notes: All references and descriptions in this candidate have been removed to prevent accidental usage.</t>
        </is>
      </c>
      <c r="D244" t="n">
        <v>5</v>
      </c>
      <c r="E244" t="inlineStr">
        <is>
          <t>MEDIUM</t>
        </is>
      </c>
      <c r="F244" t="n">
        <v>2</v>
      </c>
      <c r="G244" t="n">
        <v>2</v>
      </c>
      <c r="H244" t="inlineStr">
        <is>
          <t>MEDIUM</t>
        </is>
      </c>
      <c r="I244" t="n">
        <v>9</v>
      </c>
      <c r="J244" t="inlineStr">
        <is>
          <t>NO</t>
        </is>
      </c>
      <c r="K244" t="inlineStr">
        <is>
          <t>2026-02-23 23:48</t>
        </is>
      </c>
      <c r="L244" t="inlineStr">
        <is>
          <t>CHECK_VENDOR</t>
        </is>
      </c>
      <c r="M244" t="inlineStr">
        <is>
          <t>See CVE details</t>
        </is>
      </c>
      <c r="N244" t="inlineStr">
        <is>
          <t>P4</t>
        </is>
      </c>
      <c r="O244" t="inlineStr">
        <is>
          <t>CVE - IP enrichment n/a</t>
        </is>
      </c>
      <c r="P244" t="n">
        <v>0</v>
      </c>
      <c r="Q244" t="n">
        <v>0</v>
      </c>
      <c r="R244" t="inlineStr">
        <is>
          <t>T1190:Exploit Public-Facing Application</t>
        </is>
      </c>
      <c r="S244" t="n">
        <v>1</v>
      </c>
      <c r="T244" t="inlineStr">
        <is>
          <t>LOW (40%)</t>
        </is>
      </c>
      <c r="U244" t="inlineStr">
        <is>
          <t>UNLIKELY</t>
        </is>
      </c>
      <c r="V244" t="inlineStr">
        <is>
          <t>CHECK_VENDOR</t>
        </is>
      </c>
      <c r="W244" t="inlineStr">
        <is>
          <t>https://nvd.nist.gov/vuln/detail/CVE-2025-13602</t>
        </is>
      </c>
      <c r="X244" t="inlineStr">
        <is>
          <t>NONE</t>
        </is>
      </c>
      <c r="Y244" t="n">
        <v>0</v>
      </c>
      <c r="Z244" t="inlineStr"/>
      <c r="AA244" t="inlineStr">
        <is>
          <t>https://nvd.nist.gov/vuln/detail/CVE-2025-13602</t>
        </is>
      </c>
    </row>
    <row r="245">
      <c r="A245" t="inlineStr">
        <is>
          <t>CVE</t>
        </is>
      </c>
      <c r="B245" t="inlineStr">
        <is>
          <t>CVE-2025-13933</t>
        </is>
      </c>
      <c r="C245" t="inlineStr">
        <is>
          <t>Rejected reason: ** REJECT ** DO NOT USE THIS CANDIDATE NUMBER. ConsultIDs: CVE-2025-12500. Reason: This candidate is a reservation duplicate of CVE-2025-12500. Notes: All CVE users should reference CVE-2025-12500 instead of this candidate. All references and descriptions in this candidate have been removed to prevent accidental usage.</t>
        </is>
      </c>
      <c r="D245" t="n">
        <v>5</v>
      </c>
      <c r="E245" t="inlineStr">
        <is>
          <t>MEDIUM</t>
        </is>
      </c>
      <c r="F245" t="n">
        <v>2</v>
      </c>
      <c r="G245" t="n">
        <v>2</v>
      </c>
      <c r="H245" t="inlineStr">
        <is>
          <t>MEDIUM</t>
        </is>
      </c>
      <c r="I245" t="n">
        <v>9</v>
      </c>
      <c r="J245" t="inlineStr">
        <is>
          <t>NO</t>
        </is>
      </c>
      <c r="K245" t="inlineStr">
        <is>
          <t>2026-02-23 23:48</t>
        </is>
      </c>
      <c r="L245" t="inlineStr">
        <is>
          <t>CHECK_VENDOR</t>
        </is>
      </c>
      <c r="M245" t="inlineStr">
        <is>
          <t>See CVE details</t>
        </is>
      </c>
      <c r="N245" t="inlineStr">
        <is>
          <t>P4</t>
        </is>
      </c>
      <c r="O245" t="inlineStr">
        <is>
          <t>CVE - IP enrichment n/a</t>
        </is>
      </c>
      <c r="P245" t="n">
        <v>0</v>
      </c>
      <c r="Q245" t="n">
        <v>0</v>
      </c>
      <c r="R245" t="inlineStr">
        <is>
          <t>T1190:Exploit Public-Facing Application</t>
        </is>
      </c>
      <c r="S245" t="n">
        <v>1</v>
      </c>
      <c r="T245" t="inlineStr">
        <is>
          <t>LOW (40%)</t>
        </is>
      </c>
      <c r="U245" t="inlineStr">
        <is>
          <t>UNLIKELY</t>
        </is>
      </c>
      <c r="V245" t="inlineStr">
        <is>
          <t>CHECK_VENDOR</t>
        </is>
      </c>
      <c r="W245" t="inlineStr">
        <is>
          <t>https://nvd.nist.gov/vuln/detail/CVE-2025-13933</t>
        </is>
      </c>
      <c r="X245" t="inlineStr">
        <is>
          <t>NONE</t>
        </is>
      </c>
      <c r="Y245" t="n">
        <v>0</v>
      </c>
      <c r="Z245" t="inlineStr"/>
      <c r="AA245" t="inlineStr">
        <is>
          <t>https://nvd.nist.gov/vuln/detail/CVE-2025-13933</t>
        </is>
      </c>
    </row>
    <row r="246">
      <c r="A246" t="inlineStr">
        <is>
          <t>CVE</t>
        </is>
      </c>
      <c r="B246" t="inlineStr">
        <is>
          <t>CVE-2025-13965</t>
        </is>
      </c>
      <c r="C246" t="inlineStr">
        <is>
          <t>Rejected reason: ** REJECT ** DO NOT USE THIS CANDIDATE NUMBER. ConsultIDs: CVE-2025-12500. Reason: This candidate is a reservation duplicate of CVE-2025-12500. Notes: All CVE users should reference CVE-2025-12500 instead of this candidate. All references and descriptions in this candidate have been removed to prevent accidental usage.</t>
        </is>
      </c>
      <c r="D246" t="n">
        <v>5</v>
      </c>
      <c r="E246" t="inlineStr">
        <is>
          <t>MEDIUM</t>
        </is>
      </c>
      <c r="F246" t="n">
        <v>2</v>
      </c>
      <c r="G246" t="n">
        <v>2</v>
      </c>
      <c r="H246" t="inlineStr">
        <is>
          <t>MEDIUM</t>
        </is>
      </c>
      <c r="I246" t="n">
        <v>9</v>
      </c>
      <c r="J246" t="inlineStr">
        <is>
          <t>NO</t>
        </is>
      </c>
      <c r="K246" t="inlineStr">
        <is>
          <t>2026-02-23 23:48</t>
        </is>
      </c>
      <c r="L246" t="inlineStr">
        <is>
          <t>CHECK_VENDOR</t>
        </is>
      </c>
      <c r="M246" t="inlineStr">
        <is>
          <t>See CVE details</t>
        </is>
      </c>
      <c r="N246" t="inlineStr">
        <is>
          <t>P4</t>
        </is>
      </c>
      <c r="O246" t="inlineStr">
        <is>
          <t>CVE - IP enrichment n/a</t>
        </is>
      </c>
      <c r="P246" t="n">
        <v>0</v>
      </c>
      <c r="Q246" t="n">
        <v>0</v>
      </c>
      <c r="R246" t="inlineStr">
        <is>
          <t>T1190:Exploit Public-Facing Application</t>
        </is>
      </c>
      <c r="S246" t="n">
        <v>1</v>
      </c>
      <c r="T246" t="inlineStr">
        <is>
          <t>LOW (40%)</t>
        </is>
      </c>
      <c r="U246" t="inlineStr">
        <is>
          <t>UNLIKELY</t>
        </is>
      </c>
      <c r="V246" t="inlineStr">
        <is>
          <t>CHECK_VENDOR</t>
        </is>
      </c>
      <c r="W246" t="inlineStr">
        <is>
          <t>https://nvd.nist.gov/vuln/detail/CVE-2025-13965</t>
        </is>
      </c>
      <c r="X246" t="inlineStr">
        <is>
          <t>NONE</t>
        </is>
      </c>
      <c r="Y246" t="n">
        <v>0</v>
      </c>
      <c r="Z246" t="inlineStr"/>
      <c r="AA246" t="inlineStr">
        <is>
          <t>https://nvd.nist.gov/vuln/detail/CVE-2025-13965</t>
        </is>
      </c>
    </row>
    <row r="247">
      <c r="A247" t="inlineStr">
        <is>
          <t>CVE</t>
        </is>
      </c>
      <c r="B247" t="inlineStr">
        <is>
          <t>CVE-2025-70141</t>
        </is>
      </c>
      <c r="C247" t="inlineStr">
        <is>
          <t>SourceCodester Customer Support System 1.0 contains an incorrect access control vulnerability in ajax.php. The AJAX dispatcher does not enforce authentication or authorization before invoking administrative methods in admin_class.php based on the action parameter. An unauthenticated remote attacker can perform sensitive operations such as creating customers and deleting users (including the admin account), as well as modifying or deleting other application records (tickets, departments, comments</t>
        </is>
      </c>
      <c r="D247" t="n">
        <v>9.4</v>
      </c>
      <c r="E247" t="inlineStr">
        <is>
          <t>CRITICAL</t>
        </is>
      </c>
      <c r="F247" t="n">
        <v>2</v>
      </c>
      <c r="G247" t="n">
        <v>3</v>
      </c>
      <c r="H247" t="inlineStr">
        <is>
          <t>HIGH</t>
        </is>
      </c>
      <c r="I247" t="n">
        <v>15.4</v>
      </c>
      <c r="J247" t="inlineStr">
        <is>
          <t>NO</t>
        </is>
      </c>
      <c r="K247" t="inlineStr">
        <is>
          <t>2026-02-23 23:48</t>
        </is>
      </c>
      <c r="L247" t="inlineStr">
        <is>
          <t>YES</t>
        </is>
      </c>
      <c r="M247" t="inlineStr">
        <is>
          <t>oretnom23 customer_support_system 1.0</t>
        </is>
      </c>
      <c r="N247" t="inlineStr">
        <is>
          <t>P3</t>
        </is>
      </c>
      <c r="O247" t="inlineStr">
        <is>
          <t>CVE - IP enrichment n/a</t>
        </is>
      </c>
      <c r="P247" t="n">
        <v>0</v>
      </c>
      <c r="Q247" t="n">
        <v>0</v>
      </c>
      <c r="R247" t="inlineStr">
        <is>
          <t>T1078:Valid Accounts | T1190:Exploit Public-Facing Application</t>
        </is>
      </c>
      <c r="S247" t="n">
        <v>1</v>
      </c>
      <c r="T247" t="inlineStr">
        <is>
          <t>LOW (40%)</t>
        </is>
      </c>
      <c r="U247" t="inlineStr">
        <is>
          <t>UNLIKELY</t>
        </is>
      </c>
      <c r="V247" t="inlineStr">
        <is>
          <t>PATCH_AVAILABLE</t>
        </is>
      </c>
      <c r="W247" t="inlineStr">
        <is>
          <t>https://nvd.nist.gov/vuln/detail/CVE-2025-70141</t>
        </is>
      </c>
      <c r="X247" t="inlineStr">
        <is>
          <t>NONE</t>
        </is>
      </c>
      <c r="Y247" t="n">
        <v>0</v>
      </c>
      <c r="Z247" t="inlineStr"/>
      <c r="AA247" t="inlineStr">
        <is>
          <t>https://nvd.nist.gov/vuln/detail/CVE-2025-70141</t>
        </is>
      </c>
    </row>
    <row r="248">
      <c r="A248" t="inlineStr">
        <is>
          <t>CVE</t>
        </is>
      </c>
      <c r="B248" t="inlineStr">
        <is>
          <t>CVE-2025-70146</t>
        </is>
      </c>
      <c r="C248" t="inlineStr">
        <is>
          <t>Missing authentication in multiple administrative action scripts under /admin/ in ProjectWorlds Online Time Table Generator 1.0 allows remote attackers to perform unauthorized administrative operations (e.g.,adding records, deleting records) via direct HTTP requests to affected endpoints without a valid session.</t>
        </is>
      </c>
      <c r="D248" t="n">
        <v>9.1</v>
      </c>
      <c r="E248" t="inlineStr">
        <is>
          <t>CRITICAL</t>
        </is>
      </c>
      <c r="F248" t="n">
        <v>2</v>
      </c>
      <c r="G248" t="n">
        <v>3</v>
      </c>
      <c r="H248" t="inlineStr">
        <is>
          <t>HIGH</t>
        </is>
      </c>
      <c r="I248" t="n">
        <v>15.1</v>
      </c>
      <c r="J248" t="inlineStr">
        <is>
          <t>NO</t>
        </is>
      </c>
      <c r="K248" t="inlineStr">
        <is>
          <t>2026-02-23 23:48</t>
        </is>
      </c>
      <c r="L248" t="inlineStr">
        <is>
          <t>YES</t>
        </is>
      </c>
      <c r="M248" t="inlineStr">
        <is>
          <t>projectworlds online_time_table_generator 1.0</t>
        </is>
      </c>
      <c r="N248" t="inlineStr">
        <is>
          <t>P3</t>
        </is>
      </c>
      <c r="O248" t="inlineStr">
        <is>
          <t>CVE - IP enrichment n/a</t>
        </is>
      </c>
      <c r="P248" t="n">
        <v>0</v>
      </c>
      <c r="Q248" t="n">
        <v>0</v>
      </c>
      <c r="R248" t="inlineStr">
        <is>
          <t>T1078:Valid Accounts</t>
        </is>
      </c>
      <c r="S248" t="n">
        <v>1</v>
      </c>
      <c r="T248" t="inlineStr">
        <is>
          <t>LOW (40%)</t>
        </is>
      </c>
      <c r="U248" t="inlineStr">
        <is>
          <t>UNLIKELY</t>
        </is>
      </c>
      <c r="V248" t="inlineStr">
        <is>
          <t>PATCH_AVAILABLE</t>
        </is>
      </c>
      <c r="W248" t="inlineStr">
        <is>
          <t>https://nvd.nist.gov/vuln/detail/CVE-2025-70146</t>
        </is>
      </c>
      <c r="X248" t="inlineStr">
        <is>
          <t>NONE</t>
        </is>
      </c>
      <c r="Y248" t="n">
        <v>0</v>
      </c>
      <c r="Z248" t="inlineStr"/>
      <c r="AA248" t="inlineStr">
        <is>
          <t>https://nvd.nist.gov/vuln/detail/CVE-2025-70146</t>
        </is>
      </c>
    </row>
    <row r="249">
      <c r="A249" t="inlineStr">
        <is>
          <t>CVE</t>
        </is>
      </c>
      <c r="B249" t="inlineStr">
        <is>
          <t>CVE-2025-70147</t>
        </is>
      </c>
      <c r="C249" t="inlineStr">
        <is>
          <t>Missing authentication in /admin/student.php and /admin/teacher.php in ProjectWorlds Online Time Table Generator 1.0 allows remote attackers to obtain sensitive information (including plaintext password field values) via direct HTTP GET requests to these endpoints without a valid session.</t>
        </is>
      </c>
      <c r="D249" t="n">
        <v>7.5</v>
      </c>
      <c r="E249" t="inlineStr">
        <is>
          <t>HIGH</t>
        </is>
      </c>
      <c r="F249" t="n">
        <v>2</v>
      </c>
      <c r="G249" t="n">
        <v>3</v>
      </c>
      <c r="H249" t="inlineStr">
        <is>
          <t>HIGH</t>
        </is>
      </c>
      <c r="I249" t="n">
        <v>13.5</v>
      </c>
      <c r="J249" t="inlineStr">
        <is>
          <t>NO</t>
        </is>
      </c>
      <c r="K249" t="inlineStr">
        <is>
          <t>2026-02-23 23:48</t>
        </is>
      </c>
      <c r="L249" t="inlineStr">
        <is>
          <t>YES</t>
        </is>
      </c>
      <c r="M249" t="inlineStr">
        <is>
          <t>projectworlds online_time_table_generator 1.0</t>
        </is>
      </c>
      <c r="N249" t="inlineStr">
        <is>
          <t>P3</t>
        </is>
      </c>
      <c r="O249" t="inlineStr">
        <is>
          <t>CVE - IP enrichment n/a</t>
        </is>
      </c>
      <c r="P249" t="n">
        <v>0</v>
      </c>
      <c r="Q249" t="n">
        <v>0</v>
      </c>
      <c r="R249" t="inlineStr">
        <is>
          <t>T1078:Valid Accounts</t>
        </is>
      </c>
      <c r="S249" t="n">
        <v>1</v>
      </c>
      <c r="T249" t="inlineStr">
        <is>
          <t>LOW (40%)</t>
        </is>
      </c>
      <c r="U249" t="inlineStr">
        <is>
          <t>UNLIKELY</t>
        </is>
      </c>
      <c r="V249" t="inlineStr">
        <is>
          <t>PATCH_AVAILABLE</t>
        </is>
      </c>
      <c r="W249" t="inlineStr">
        <is>
          <t>https://nvd.nist.gov/vuln/detail/CVE-2025-70147</t>
        </is>
      </c>
      <c r="X249" t="inlineStr">
        <is>
          <t>NONE</t>
        </is>
      </c>
      <c r="Y249" t="n">
        <v>0</v>
      </c>
      <c r="Z249" t="inlineStr"/>
      <c r="AA249" t="inlineStr">
        <is>
          <t>https://nvd.nist.gov/vuln/detail/CVE-2025-70147</t>
        </is>
      </c>
    </row>
    <row r="250">
      <c r="A250" t="inlineStr">
        <is>
          <t>CVE</t>
        </is>
      </c>
      <c r="B250" t="inlineStr">
        <is>
          <t>CVE-2025-70149</t>
        </is>
      </c>
      <c r="C250" t="inlineStr">
        <is>
          <t>CodeAstro Membership Management System 1.0 is vulnerable to SQL Injection in print_membership_card.php via the ID parameter.</t>
        </is>
      </c>
      <c r="D250" t="n">
        <v>9.800000000000001</v>
      </c>
      <c r="E250" t="inlineStr">
        <is>
          <t>CRITICAL</t>
        </is>
      </c>
      <c r="F250" t="n">
        <v>2</v>
      </c>
      <c r="G250" t="n">
        <v>3</v>
      </c>
      <c r="H250" t="inlineStr">
        <is>
          <t>HIGH</t>
        </is>
      </c>
      <c r="I250" t="n">
        <v>15.8</v>
      </c>
      <c r="J250" t="inlineStr">
        <is>
          <t>NO</t>
        </is>
      </c>
      <c r="K250" t="inlineStr">
        <is>
          <t>2026-02-23 23:48</t>
        </is>
      </c>
      <c r="L250" t="inlineStr">
        <is>
          <t>YES</t>
        </is>
      </c>
      <c r="M250" t="inlineStr">
        <is>
          <t>codeastro membership_management_system 1.0</t>
        </is>
      </c>
      <c r="N250" t="inlineStr">
        <is>
          <t>P3</t>
        </is>
      </c>
      <c r="O250" t="inlineStr">
        <is>
          <t>CVE - IP enrichment n/a</t>
        </is>
      </c>
      <c r="P250" t="n">
        <v>0</v>
      </c>
      <c r="Q250" t="n">
        <v>0</v>
      </c>
      <c r="R250" t="inlineStr">
        <is>
          <t>T1190:Exploit Public-Facing Application</t>
        </is>
      </c>
      <c r="S250" t="n">
        <v>1</v>
      </c>
      <c r="T250" t="inlineStr">
        <is>
          <t>LOW (40%)</t>
        </is>
      </c>
      <c r="U250" t="inlineStr">
        <is>
          <t>UNLIKELY</t>
        </is>
      </c>
      <c r="V250" t="inlineStr">
        <is>
          <t>PATCH_AVAILABLE</t>
        </is>
      </c>
      <c r="W250" t="inlineStr">
        <is>
          <t>https://nvd.nist.gov/vuln/detail/CVE-2025-70149</t>
        </is>
      </c>
      <c r="X250" t="inlineStr">
        <is>
          <t>NONE</t>
        </is>
      </c>
      <c r="Y250" t="n">
        <v>0</v>
      </c>
      <c r="Z250" t="inlineStr"/>
      <c r="AA250" t="inlineStr">
        <is>
          <t>https://nvd.nist.gov/vuln/detail/CVE-2025-70149</t>
        </is>
      </c>
    </row>
    <row r="251">
      <c r="A251" t="inlineStr">
        <is>
          <t>CVE</t>
        </is>
      </c>
      <c r="B251" t="inlineStr">
        <is>
          <t>CVE-2026-2230</t>
        </is>
      </c>
      <c r="C251" t="inlineStr">
        <is>
          <t>The Booking Calendar plugin for WordPress is vulnerable to Insecure Direct Object Reference in all versions up to, and including, 10.14.14 via the handle_ajax_save function due to missing validation on a user controlled key. This makes it possible for authenticated attackers, with Subscriber-level access and above, and booking permissions granted by an Administrator, to modify other users' plugin settings, such as booking calendar display options, which can disrupt the booking calendar functiona</t>
        </is>
      </c>
      <c r="D251" t="n">
        <v>4.3</v>
      </c>
      <c r="E251" t="inlineStr">
        <is>
          <t>MEDIUM</t>
        </is>
      </c>
      <c r="F251" t="n">
        <v>2</v>
      </c>
      <c r="G251" t="n">
        <v>2</v>
      </c>
      <c r="H251" t="inlineStr">
        <is>
          <t>MEDIUM</t>
        </is>
      </c>
      <c r="I251" t="n">
        <v>8.300000000000001</v>
      </c>
      <c r="J251" t="inlineStr">
        <is>
          <t>NO</t>
        </is>
      </c>
      <c r="K251" t="inlineStr">
        <is>
          <t>2026-02-23 23:48</t>
        </is>
      </c>
      <c r="L251" t="inlineStr">
        <is>
          <t>CHECK_VENDOR</t>
        </is>
      </c>
      <c r="M251" t="inlineStr">
        <is>
          <t>See CVE details</t>
        </is>
      </c>
      <c r="N251" t="inlineStr">
        <is>
          <t>P4</t>
        </is>
      </c>
      <c r="O251" t="inlineStr">
        <is>
          <t>CVE - IP enrichment n/a</t>
        </is>
      </c>
      <c r="P251" t="n">
        <v>0</v>
      </c>
      <c r="Q251" t="n">
        <v>0</v>
      </c>
      <c r="R251" t="inlineStr">
        <is>
          <t>T1190:Exploit Public-Facing Application</t>
        </is>
      </c>
      <c r="S251" t="n">
        <v>1</v>
      </c>
      <c r="T251" t="inlineStr">
        <is>
          <t>LOW (40%)</t>
        </is>
      </c>
      <c r="U251" t="inlineStr">
        <is>
          <t>UNLIKELY</t>
        </is>
      </c>
      <c r="V251" t="inlineStr">
        <is>
          <t>CHECK_VENDOR</t>
        </is>
      </c>
      <c r="W251" t="inlineStr">
        <is>
          <t>https://nvd.nist.gov/vuln/detail/CVE-2026-2230</t>
        </is>
      </c>
      <c r="X251" t="inlineStr">
        <is>
          <t>NONE</t>
        </is>
      </c>
      <c r="Y251" t="n">
        <v>0</v>
      </c>
      <c r="Z251" t="inlineStr"/>
      <c r="AA251" t="inlineStr">
        <is>
          <t>https://nvd.nist.gov/vuln/detail/CVE-2026-2230</t>
        </is>
      </c>
    </row>
    <row r="252">
      <c r="A252" t="inlineStr">
        <is>
          <t>CVE</t>
        </is>
      </c>
      <c r="B252" t="inlineStr">
        <is>
          <t>CVE-2026-2507</t>
        </is>
      </c>
      <c r="C252" t="inlineStr">
        <is>
          <t>When BIG-IP AFM or BIG-IP DDoS is provisioned, undisclosed traffic can cause TMM to terminate.  Note: Software versions which have reached End of Technical Support (EoTS) are not evaluated.</t>
        </is>
      </c>
      <c r="D252" t="n">
        <v>7.5</v>
      </c>
      <c r="E252" t="inlineStr">
        <is>
          <t>HIGH</t>
        </is>
      </c>
      <c r="F252" t="n">
        <v>2</v>
      </c>
      <c r="G252" t="n">
        <v>3</v>
      </c>
      <c r="H252" t="inlineStr">
        <is>
          <t>HIGH</t>
        </is>
      </c>
      <c r="I252" t="n">
        <v>13.5</v>
      </c>
      <c r="J252" t="inlineStr">
        <is>
          <t>NO</t>
        </is>
      </c>
      <c r="K252" t="inlineStr">
        <is>
          <t>2026-02-23 23:48</t>
        </is>
      </c>
      <c r="L252" t="inlineStr">
        <is>
          <t>CHECK_VENDOR</t>
        </is>
      </c>
      <c r="M252" t="inlineStr">
        <is>
          <t>See CVE details</t>
        </is>
      </c>
      <c r="N252" t="inlineStr">
        <is>
          <t>P3</t>
        </is>
      </c>
      <c r="O252" t="inlineStr">
        <is>
          <t>CVE - IP enrichment n/a</t>
        </is>
      </c>
      <c r="P252" t="n">
        <v>0</v>
      </c>
      <c r="Q252" t="n">
        <v>0</v>
      </c>
      <c r="R252" t="inlineStr">
        <is>
          <t>T1499:Endpoint Denial of Service</t>
        </is>
      </c>
      <c r="S252" t="n">
        <v>1</v>
      </c>
      <c r="T252" t="inlineStr">
        <is>
          <t>LOW (40%)</t>
        </is>
      </c>
      <c r="U252" t="inlineStr">
        <is>
          <t>UNLIKELY</t>
        </is>
      </c>
      <c r="V252" t="inlineStr">
        <is>
          <t>CHECK_VENDOR</t>
        </is>
      </c>
      <c r="W252" t="inlineStr">
        <is>
          <t>https://nvd.nist.gov/vuln/detail/CVE-2026-2507</t>
        </is>
      </c>
      <c r="X252" t="inlineStr">
        <is>
          <t>NONE</t>
        </is>
      </c>
      <c r="Y252" t="n">
        <v>0</v>
      </c>
      <c r="Z252" t="inlineStr"/>
      <c r="AA252" t="inlineStr">
        <is>
          <t>https://nvd.nist.gov/vuln/detail/CVE-2026-2507</t>
        </is>
      </c>
    </row>
    <row r="253">
      <c r="A253" t="inlineStr">
        <is>
          <t>CVE</t>
        </is>
      </c>
      <c r="B253" t="inlineStr">
        <is>
          <t>CVE-2026-2657</t>
        </is>
      </c>
      <c r="C253" t="inlineStr">
        <is>
          <t>A vulnerability has been found in wren-lang wren up to 0.4.0. This impacts the function printError of the file src/vm/wren_compiler.c of the component Error Message Handler. Such manipulation leads to stack-based buffer overflow. An attack has to be approached locally. The exploit has been disclosed to the public and may be used. The project was informed of the problem early through an issue report but has not responded yet.</t>
        </is>
      </c>
      <c r="D253" t="n">
        <v>3.3</v>
      </c>
      <c r="E253" t="inlineStr">
        <is>
          <t>LOW</t>
        </is>
      </c>
      <c r="F253" t="n">
        <v>2</v>
      </c>
      <c r="G253" t="n">
        <v>1</v>
      </c>
      <c r="H253" t="inlineStr">
        <is>
          <t>LOW</t>
        </is>
      </c>
      <c r="I253" t="n">
        <v>5.3</v>
      </c>
      <c r="J253" t="inlineStr">
        <is>
          <t>NO</t>
        </is>
      </c>
      <c r="K253" t="inlineStr">
        <is>
          <t>2026-02-23 23:48</t>
        </is>
      </c>
      <c r="L253" t="inlineStr">
        <is>
          <t>YES</t>
        </is>
      </c>
      <c r="M253" t="inlineStr">
        <is>
          <t>wren wren *</t>
        </is>
      </c>
      <c r="N253" t="inlineStr">
        <is>
          <t>P4</t>
        </is>
      </c>
      <c r="O253" t="inlineStr">
        <is>
          <t>CVE - IP enrichment n/a</t>
        </is>
      </c>
      <c r="P253" t="n">
        <v>0</v>
      </c>
      <c r="Q253" t="n">
        <v>0</v>
      </c>
      <c r="R253" t="inlineStr">
        <is>
          <t>T1203:Exploitation for Client Execution</t>
        </is>
      </c>
      <c r="S253" t="n">
        <v>1</v>
      </c>
      <c r="T253" t="inlineStr">
        <is>
          <t>LOW (40%)</t>
        </is>
      </c>
      <c r="U253" t="inlineStr">
        <is>
          <t>UNLIKELY</t>
        </is>
      </c>
      <c r="V253" t="inlineStr">
        <is>
          <t>PATCH_AVAILABLE</t>
        </is>
      </c>
      <c r="W253" t="inlineStr">
        <is>
          <t>https://nvd.nist.gov/vuln/detail/CVE-2026-2657</t>
        </is>
      </c>
      <c r="X253" t="inlineStr">
        <is>
          <t>NONE</t>
        </is>
      </c>
      <c r="Y253" t="n">
        <v>0</v>
      </c>
      <c r="Z253" t="inlineStr"/>
      <c r="AA253" t="inlineStr">
        <is>
          <t>https://nvd.nist.gov/vuln/detail/CVE-2026-2657</t>
        </is>
      </c>
    </row>
    <row r="254">
      <c r="A254" t="inlineStr">
        <is>
          <t>CVE</t>
        </is>
      </c>
      <c r="B254" t="inlineStr">
        <is>
          <t>CVE-2025-14009</t>
        </is>
      </c>
      <c r="C254" t="inlineStr">
        <is>
          <t>A critical vulnerability exists in the NLTK downloader component of nltk/nltk, affecting all versions. The _unzip_iter function in nltk/downloader.py uses zipfile.extractall() without performing path validation or security checks. This allows attackers to craft malicious zip packages that, when downloaded and extracted by NLTK, can execute arbitrary code. The vulnerability arises because NLTK assumes all downloaded packages are trusted and extracts them without validation. If a malicious package</t>
        </is>
      </c>
      <c r="D254" t="n">
        <v>10</v>
      </c>
      <c r="E254" t="inlineStr">
        <is>
          <t>CRITICAL</t>
        </is>
      </c>
      <c r="F254" t="n">
        <v>2</v>
      </c>
      <c r="G254" t="n">
        <v>3</v>
      </c>
      <c r="H254" t="inlineStr">
        <is>
          <t>HIGH</t>
        </is>
      </c>
      <c r="I254" t="n">
        <v>16</v>
      </c>
      <c r="J254" t="inlineStr">
        <is>
          <t>NO</t>
        </is>
      </c>
      <c r="K254" t="inlineStr">
        <is>
          <t>2026-02-23 23:48</t>
        </is>
      </c>
      <c r="L254" t="inlineStr">
        <is>
          <t>CHECK_VENDOR</t>
        </is>
      </c>
      <c r="M254" t="inlineStr">
        <is>
          <t>See CVE details</t>
        </is>
      </c>
      <c r="N254" t="inlineStr">
        <is>
          <t>P3</t>
        </is>
      </c>
      <c r="O254" t="inlineStr">
        <is>
          <t>CVE - IP enrichment n/a</t>
        </is>
      </c>
      <c r="P254" t="n">
        <v>0</v>
      </c>
      <c r="Q254" t="n">
        <v>0</v>
      </c>
      <c r="R254" t="inlineStr">
        <is>
          <t>T1059:Command and Scripting Interpreter | T1190:Exploit Public-Facing Application | T1210:Exploitation of Remote Services</t>
        </is>
      </c>
      <c r="S254" t="n">
        <v>1</v>
      </c>
      <c r="T254" t="inlineStr">
        <is>
          <t>LOW (40%)</t>
        </is>
      </c>
      <c r="U254" t="inlineStr">
        <is>
          <t>UNLIKELY</t>
        </is>
      </c>
      <c r="V254" t="inlineStr">
        <is>
          <t>CHECK_VENDOR</t>
        </is>
      </c>
      <c r="W254" t="inlineStr">
        <is>
          <t>https://nvd.nist.gov/vuln/detail/CVE-2025-14009</t>
        </is>
      </c>
      <c r="X254" t="inlineStr">
        <is>
          <t>NONE</t>
        </is>
      </c>
      <c r="Y254" t="n">
        <v>0</v>
      </c>
      <c r="Z254" t="inlineStr"/>
      <c r="AA254" t="inlineStr">
        <is>
          <t>https://nvd.nist.gov/vuln/detail/CVE-2025-14009</t>
        </is>
      </c>
    </row>
    <row r="255">
      <c r="A255" t="inlineStr">
        <is>
          <t>CVE</t>
        </is>
      </c>
      <c r="B255" t="inlineStr">
        <is>
          <t>CVE-2025-70148</t>
        </is>
      </c>
      <c r="C255" t="inlineStr">
        <is>
          <t>Missing authentication and authorization in print_membership_card.php in CodeAstro Membership Management System 1.0 allows unauthenticated attackers to access membership card data of arbitrary users via direct requests with a manipulated id parameter, resulting in insecure direct object reference (IDOR).</t>
        </is>
      </c>
      <c r="D255" t="n">
        <v>7.5</v>
      </c>
      <c r="E255" t="inlineStr">
        <is>
          <t>HIGH</t>
        </is>
      </c>
      <c r="F255" t="n">
        <v>2</v>
      </c>
      <c r="G255" t="n">
        <v>3</v>
      </c>
      <c r="H255" t="inlineStr">
        <is>
          <t>HIGH</t>
        </is>
      </c>
      <c r="I255" t="n">
        <v>13.5</v>
      </c>
      <c r="J255" t="inlineStr">
        <is>
          <t>NO</t>
        </is>
      </c>
      <c r="K255" t="inlineStr">
        <is>
          <t>2026-02-23 23:48</t>
        </is>
      </c>
      <c r="L255" t="inlineStr">
        <is>
          <t>CHECK_VENDOR</t>
        </is>
      </c>
      <c r="M255" t="inlineStr">
        <is>
          <t>codeastro membership_management_system 1.0</t>
        </is>
      </c>
      <c r="N255" t="inlineStr">
        <is>
          <t>P3</t>
        </is>
      </c>
      <c r="O255" t="inlineStr">
        <is>
          <t>CVE - IP enrichment n/a</t>
        </is>
      </c>
      <c r="P255" t="n">
        <v>0</v>
      </c>
      <c r="Q255" t="n">
        <v>0</v>
      </c>
      <c r="R255" t="inlineStr">
        <is>
          <t>T1190:Exploit Public-Facing Application</t>
        </is>
      </c>
      <c r="S255" t="n">
        <v>1</v>
      </c>
      <c r="T255" t="inlineStr">
        <is>
          <t>LOW (40%)</t>
        </is>
      </c>
      <c r="U255" t="inlineStr">
        <is>
          <t>UNLIKELY</t>
        </is>
      </c>
      <c r="V255" t="inlineStr">
        <is>
          <t>CHECK_VENDOR</t>
        </is>
      </c>
      <c r="W255" t="inlineStr">
        <is>
          <t>https://nvd.nist.gov/vuln/detail/CVE-2025-70148</t>
        </is>
      </c>
      <c r="X255" t="inlineStr">
        <is>
          <t>NONE</t>
        </is>
      </c>
      <c r="Y255" t="n">
        <v>0</v>
      </c>
      <c r="Z255" t="inlineStr"/>
      <c r="AA255" t="inlineStr">
        <is>
          <t>https://nvd.nist.gov/vuln/detail/CVE-2025-70148</t>
        </is>
      </c>
    </row>
    <row r="256">
      <c r="A256" t="inlineStr">
        <is>
          <t>CVE</t>
        </is>
      </c>
      <c r="B256" t="inlineStr">
        <is>
          <t>CVE-2025-70150</t>
        </is>
      </c>
      <c r="C256" t="inlineStr">
        <is>
          <t>CodeAstro Membership Management System 1.0 contains a missing authentication vulnerability in delete_members.php that allows unauthenticated attackers to delete arbitrary member records via the id parameter.</t>
        </is>
      </c>
      <c r="D256" t="n">
        <v>9.800000000000001</v>
      </c>
      <c r="E256" t="inlineStr">
        <is>
          <t>CRITICAL</t>
        </is>
      </c>
      <c r="F256" t="n">
        <v>2</v>
      </c>
      <c r="G256" t="n">
        <v>3</v>
      </c>
      <c r="H256" t="inlineStr">
        <is>
          <t>HIGH</t>
        </is>
      </c>
      <c r="I256" t="n">
        <v>15.8</v>
      </c>
      <c r="J256" t="inlineStr">
        <is>
          <t>NO</t>
        </is>
      </c>
      <c r="K256" t="inlineStr">
        <is>
          <t>2026-02-23 23:48</t>
        </is>
      </c>
      <c r="L256" t="inlineStr">
        <is>
          <t>YES</t>
        </is>
      </c>
      <c r="M256" t="inlineStr">
        <is>
          <t>codeastro membership_management_system 1.0</t>
        </is>
      </c>
      <c r="N256" t="inlineStr">
        <is>
          <t>P3</t>
        </is>
      </c>
      <c r="O256" t="inlineStr">
        <is>
          <t>CVE - IP enrichment n/a</t>
        </is>
      </c>
      <c r="P256" t="n">
        <v>0</v>
      </c>
      <c r="Q256" t="n">
        <v>0</v>
      </c>
      <c r="R256" t="inlineStr">
        <is>
          <t>T1190:Exploit Public-Facing Application</t>
        </is>
      </c>
      <c r="S256" t="n">
        <v>1</v>
      </c>
      <c r="T256" t="inlineStr">
        <is>
          <t>LOW (40%)</t>
        </is>
      </c>
      <c r="U256" t="inlineStr">
        <is>
          <t>UNLIKELY</t>
        </is>
      </c>
      <c r="V256" t="inlineStr">
        <is>
          <t>PATCH_AVAILABLE</t>
        </is>
      </c>
      <c r="W256" t="inlineStr">
        <is>
          <t>https://nvd.nist.gov/vuln/detail/CVE-2025-70150</t>
        </is>
      </c>
      <c r="X256" t="inlineStr">
        <is>
          <t>NONE</t>
        </is>
      </c>
      <c r="Y256" t="n">
        <v>0</v>
      </c>
      <c r="Z256" t="inlineStr"/>
      <c r="AA256" t="inlineStr">
        <is>
          <t>https://nvd.nist.gov/vuln/detail/CVE-2025-70150</t>
        </is>
      </c>
    </row>
    <row r="257">
      <c r="A257" t="inlineStr">
        <is>
          <t>CVE</t>
        </is>
      </c>
      <c r="B257" t="inlineStr">
        <is>
          <t>CVE-2025-70151</t>
        </is>
      </c>
      <c r="C257" t="inlineStr">
        <is>
          <t>code-projects Scholars Tracking System 1.0 allows an authenticated attacker to achieve remote code execution via unrestricted file upload. The endpoints update_profile_picture.php and upload_picture.php store uploaded files in a web-accessible uploads/ directory using the original, user-supplied filename without validating the file type or extension. By uploading a PHP file and then requesting it from /uploads/, an attacker can execute arbitrary PHP code as the web server user.</t>
        </is>
      </c>
      <c r="D257" t="n">
        <v>8.800000000000001</v>
      </c>
      <c r="E257" t="inlineStr">
        <is>
          <t>HIGH</t>
        </is>
      </c>
      <c r="F257" t="n">
        <v>2</v>
      </c>
      <c r="G257" t="n">
        <v>3</v>
      </c>
      <c r="H257" t="inlineStr">
        <is>
          <t>HIGH</t>
        </is>
      </c>
      <c r="I257" t="n">
        <v>14.8</v>
      </c>
      <c r="J257" t="inlineStr">
        <is>
          <t>NO</t>
        </is>
      </c>
      <c r="K257" t="inlineStr">
        <is>
          <t>2026-02-23 23:48</t>
        </is>
      </c>
      <c r="L257" t="inlineStr">
        <is>
          <t>YES</t>
        </is>
      </c>
      <c r="M257" t="inlineStr">
        <is>
          <t>fabian scholars_tracking_system 1.0</t>
        </is>
      </c>
      <c r="N257" t="inlineStr">
        <is>
          <t>P3</t>
        </is>
      </c>
      <c r="O257" t="inlineStr">
        <is>
          <t>CVE - IP enrichment n/a</t>
        </is>
      </c>
      <c r="P257" t="n">
        <v>0.0021</v>
      </c>
      <c r="Q257" t="n">
        <v>0.4316</v>
      </c>
      <c r="R257" t="inlineStr">
        <is>
          <t>T1190:Exploit Public-Facing Application | T1210:Exploitation of Remote Services</t>
        </is>
      </c>
      <c r="S257" t="n">
        <v>1</v>
      </c>
      <c r="T257" t="inlineStr">
        <is>
          <t>LOW (40%)</t>
        </is>
      </c>
      <c r="U257" t="inlineStr">
        <is>
          <t>UNLIKELY</t>
        </is>
      </c>
      <c r="V257" t="inlineStr">
        <is>
          <t>PATCH_AVAILABLE</t>
        </is>
      </c>
      <c r="W257" t="inlineStr">
        <is>
          <t>https://nvd.nist.gov/vuln/detail/CVE-2025-70151</t>
        </is>
      </c>
      <c r="X257" t="inlineStr">
        <is>
          <t>NONE</t>
        </is>
      </c>
      <c r="Y257" t="n">
        <v>0</v>
      </c>
      <c r="Z257" t="inlineStr"/>
      <c r="AA257" t="inlineStr">
        <is>
          <t>https://nvd.nist.gov/vuln/detail/CVE-2025-70151</t>
        </is>
      </c>
    </row>
    <row r="258">
      <c r="A258" t="inlineStr">
        <is>
          <t>CVE</t>
        </is>
      </c>
      <c r="B258" t="inlineStr">
        <is>
          <t>CVE-2025-70152</t>
        </is>
      </c>
      <c r="C258" t="inlineStr">
        <is>
          <t>code-projects Community Project Scholars Tracking System 1.0 is vulnerable to SQL Injection in the admin user management endpoints /admin/save_user.php and /admin/update_user.php. These endpoints lack authentication checks and directly concatenate user-supplied POST parameters (firstname, lastname, username, password, user_id) into SQL queries without validation or parameterization.</t>
        </is>
      </c>
      <c r="D258" t="n">
        <v>9.800000000000001</v>
      </c>
      <c r="E258" t="inlineStr">
        <is>
          <t>CRITICAL</t>
        </is>
      </c>
      <c r="F258" t="n">
        <v>2</v>
      </c>
      <c r="G258" t="n">
        <v>3</v>
      </c>
      <c r="H258" t="inlineStr">
        <is>
          <t>HIGH</t>
        </is>
      </c>
      <c r="I258" t="n">
        <v>15.8</v>
      </c>
      <c r="J258" t="inlineStr">
        <is>
          <t>NO</t>
        </is>
      </c>
      <c r="K258" t="inlineStr">
        <is>
          <t>2026-02-23 23:48</t>
        </is>
      </c>
      <c r="L258" t="inlineStr">
        <is>
          <t>YES</t>
        </is>
      </c>
      <c r="M258" t="inlineStr">
        <is>
          <t>fabian scholars_tracking_system 1.0</t>
        </is>
      </c>
      <c r="N258" t="inlineStr">
        <is>
          <t>P3</t>
        </is>
      </c>
      <c r="O258" t="inlineStr">
        <is>
          <t>CVE - IP enrichment n/a</t>
        </is>
      </c>
      <c r="P258" t="n">
        <v>0</v>
      </c>
      <c r="Q258" t="n">
        <v>0</v>
      </c>
      <c r="R258" t="inlineStr">
        <is>
          <t>T1190:Exploit Public-Facing Application</t>
        </is>
      </c>
      <c r="S258" t="n">
        <v>1</v>
      </c>
      <c r="T258" t="inlineStr">
        <is>
          <t>LOW (40%)</t>
        </is>
      </c>
      <c r="U258" t="inlineStr">
        <is>
          <t>UNLIKELY</t>
        </is>
      </c>
      <c r="V258" t="inlineStr">
        <is>
          <t>PATCH_AVAILABLE</t>
        </is>
      </c>
      <c r="W258" t="inlineStr">
        <is>
          <t>https://nvd.nist.gov/vuln/detail/CVE-2025-70152</t>
        </is>
      </c>
      <c r="X258" t="inlineStr">
        <is>
          <t>NONE</t>
        </is>
      </c>
      <c r="Y258" t="n">
        <v>0</v>
      </c>
      <c r="Z258" t="inlineStr"/>
      <c r="AA258" t="inlineStr">
        <is>
          <t>https://nvd.nist.gov/vuln/detail/CVE-2025-70152</t>
        </is>
      </c>
    </row>
    <row r="259">
      <c r="A259" t="inlineStr">
        <is>
          <t>CVE</t>
        </is>
      </c>
      <c r="B259" t="inlineStr">
        <is>
          <t>CVE-2026-20137</t>
        </is>
      </c>
      <c r="C259" t="inlineStr">
        <is>
          <t>In Splunk Enterprise versions below 10.2.0, 10.0.3, 9.4.5, 9.3.7, and 9.2.9, and Splunk Cloud Platform versions below 10.1.2507.0, 10.0.2503.9, 9.3.2411.112, and 9.3.2408.122, a low-privileged user who does not hold the "admin" or "power" Splunk roles could bypass the SPL safeguards for risky commands when they create a Data Model that contains an injected SPL query within an object. They can bypass the safeguards by exploiting a path traversal vulnerability.</t>
        </is>
      </c>
      <c r="D259" t="n">
        <v>3.5</v>
      </c>
      <c r="E259" t="inlineStr">
        <is>
          <t>LOW</t>
        </is>
      </c>
      <c r="F259" t="n">
        <v>2</v>
      </c>
      <c r="G259" t="n">
        <v>1</v>
      </c>
      <c r="H259" t="inlineStr">
        <is>
          <t>LOW</t>
        </is>
      </c>
      <c r="I259" t="n">
        <v>5.5</v>
      </c>
      <c r="J259" t="inlineStr">
        <is>
          <t>NO</t>
        </is>
      </c>
      <c r="K259" t="inlineStr">
        <is>
          <t>2026-02-23 23:48</t>
        </is>
      </c>
      <c r="L259" t="inlineStr">
        <is>
          <t>YES</t>
        </is>
      </c>
      <c r="M259" t="inlineStr">
        <is>
          <t>splunk splunk *</t>
        </is>
      </c>
      <c r="N259" t="inlineStr">
        <is>
          <t>P4</t>
        </is>
      </c>
      <c r="O259" t="inlineStr">
        <is>
          <t>CVE - IP enrichment n/a</t>
        </is>
      </c>
      <c r="P259" t="n">
        <v>0.0004</v>
      </c>
      <c r="Q259" t="n">
        <v>0.1064</v>
      </c>
      <c r="R259" t="inlineStr">
        <is>
          <t>T1213:Data from Information Repositories | T1083:File and Directory Discovery</t>
        </is>
      </c>
      <c r="S259" t="n">
        <v>1</v>
      </c>
      <c r="T259" t="inlineStr">
        <is>
          <t>LOW (40%)</t>
        </is>
      </c>
      <c r="U259" t="inlineStr">
        <is>
          <t>UNLIKELY</t>
        </is>
      </c>
      <c r="V259" t="inlineStr">
        <is>
          <t>PATCH_AVAILABLE</t>
        </is>
      </c>
      <c r="W259" t="inlineStr">
        <is>
          <t>https://nvd.nist.gov/vuln/detail/CVE-2026-20137</t>
        </is>
      </c>
      <c r="X259" t="inlineStr">
        <is>
          <t>NONE</t>
        </is>
      </c>
      <c r="Y259" t="n">
        <v>0</v>
      </c>
      <c r="Z259" t="inlineStr"/>
      <c r="AA259" t="inlineStr">
        <is>
          <t>https://nvd.nist.gov/vuln/detail/CVE-2026-20137</t>
        </is>
      </c>
    </row>
    <row r="260">
      <c r="A260" t="inlineStr">
        <is>
          <t>CVE</t>
        </is>
      </c>
      <c r="B260" t="inlineStr">
        <is>
          <t>CVE-2026-20138</t>
        </is>
      </c>
      <c r="C260" t="inlineStr">
        <is>
          <t>In Splunk Enterprise versions below 10.2.0, 10.0.2, 9.4.7, 9.3.9, and 9.2.11, a user of a Splunk Search Head Cluster (SHC) deployment who holds a role with access to the Splunk `_internal` index could view the  `integrationKey`, `secretKey`, and `appSecretKey` secrets, generated by [Duo Two-Factor Authentication for Splunk Enterprise](https://duo.com/docs/splunk), in plain text.</t>
        </is>
      </c>
      <c r="D260" t="n">
        <v>6.8</v>
      </c>
      <c r="E260" t="inlineStr">
        <is>
          <t>MEDIUM</t>
        </is>
      </c>
      <c r="F260" t="n">
        <v>2</v>
      </c>
      <c r="G260" t="n">
        <v>2</v>
      </c>
      <c r="H260" t="inlineStr">
        <is>
          <t>MEDIUM</t>
        </is>
      </c>
      <c r="I260" t="n">
        <v>10.8</v>
      </c>
      <c r="J260" t="inlineStr">
        <is>
          <t>NO</t>
        </is>
      </c>
      <c r="K260" t="inlineStr">
        <is>
          <t>2026-02-23 23:48</t>
        </is>
      </c>
      <c r="L260" t="inlineStr">
        <is>
          <t>YES</t>
        </is>
      </c>
      <c r="M260" t="inlineStr">
        <is>
          <t>splunk splunk *</t>
        </is>
      </c>
      <c r="N260" t="inlineStr">
        <is>
          <t>P4</t>
        </is>
      </c>
      <c r="O260" t="inlineStr">
        <is>
          <t>CVE - IP enrichment n/a</t>
        </is>
      </c>
      <c r="P260" t="n">
        <v>0</v>
      </c>
      <c r="Q260" t="n">
        <v>0</v>
      </c>
      <c r="R260" t="inlineStr">
        <is>
          <t>T1190:Exploit Public-Facing Application</t>
        </is>
      </c>
      <c r="S260" t="n">
        <v>1</v>
      </c>
      <c r="T260" t="inlineStr">
        <is>
          <t>LOW (40%)</t>
        </is>
      </c>
      <c r="U260" t="inlineStr">
        <is>
          <t>UNLIKELY</t>
        </is>
      </c>
      <c r="V260" t="inlineStr">
        <is>
          <t>PATCH_AVAILABLE</t>
        </is>
      </c>
      <c r="W260" t="inlineStr">
        <is>
          <t>https://nvd.nist.gov/vuln/detail/CVE-2026-20138</t>
        </is>
      </c>
      <c r="X260" t="inlineStr">
        <is>
          <t>NONE</t>
        </is>
      </c>
      <c r="Y260" t="n">
        <v>0</v>
      </c>
      <c r="Z260" t="inlineStr"/>
      <c r="AA260" t="inlineStr">
        <is>
          <t>https://nvd.nist.gov/vuln/detail/CVE-2026-20138</t>
        </is>
      </c>
    </row>
    <row r="261">
      <c r="A261" t="inlineStr">
        <is>
          <t>CVE</t>
        </is>
      </c>
      <c r="B261" t="inlineStr">
        <is>
          <t>CVE-2026-20139</t>
        </is>
      </c>
      <c r="C261" t="inlineStr">
        <is>
          <t>In Splunk Enterprise versions below 10.2.0, 10.0.2, 9.4.8, 9.3.9, and 9.2.12, and Splunk Cloud Platform versions below 10.2.2510.3, 10.1.2507.8, 10.0.2503.9, and 9.3.2411.121, a low-privileged user that does not hold the "admin" or "power" Splunk roles could craft a malicious payload into the `realname`, `tz`, or `email` parameters of the `/splunkd/__raw/services/authentication/users/username` REST API endpoint when they change a password. This could potentially lead to a client‑side denial‑of‑s</t>
        </is>
      </c>
      <c r="D261" t="n">
        <v>4.3</v>
      </c>
      <c r="E261" t="inlineStr">
        <is>
          <t>MEDIUM</t>
        </is>
      </c>
      <c r="F261" t="n">
        <v>2</v>
      </c>
      <c r="G261" t="n">
        <v>2</v>
      </c>
      <c r="H261" t="inlineStr">
        <is>
          <t>MEDIUM</t>
        </is>
      </c>
      <c r="I261" t="n">
        <v>8.300000000000001</v>
      </c>
      <c r="J261" t="inlineStr">
        <is>
          <t>NO</t>
        </is>
      </c>
      <c r="K261" t="inlineStr">
        <is>
          <t>2026-02-23 23:48</t>
        </is>
      </c>
      <c r="L261" t="inlineStr">
        <is>
          <t>YES</t>
        </is>
      </c>
      <c r="M261" t="inlineStr">
        <is>
          <t>splunk splunk *</t>
        </is>
      </c>
      <c r="N261" t="inlineStr">
        <is>
          <t>P4</t>
        </is>
      </c>
      <c r="O261" t="inlineStr">
        <is>
          <t>CVE - IP enrichment n/a</t>
        </is>
      </c>
      <c r="P261" t="n">
        <v>0</v>
      </c>
      <c r="Q261" t="n">
        <v>0</v>
      </c>
      <c r="R261" t="inlineStr">
        <is>
          <t>T1190:Exploit Public-Facing Application</t>
        </is>
      </c>
      <c r="S261" t="n">
        <v>1</v>
      </c>
      <c r="T261" t="inlineStr">
        <is>
          <t>LOW (40%)</t>
        </is>
      </c>
      <c r="U261" t="inlineStr">
        <is>
          <t>UNLIKELY</t>
        </is>
      </c>
      <c r="V261" t="inlineStr">
        <is>
          <t>PATCH_AVAILABLE</t>
        </is>
      </c>
      <c r="W261" t="inlineStr">
        <is>
          <t>https://nvd.nist.gov/vuln/detail/CVE-2026-20139</t>
        </is>
      </c>
      <c r="X261" t="inlineStr">
        <is>
          <t>NONE</t>
        </is>
      </c>
      <c r="Y261" t="n">
        <v>0</v>
      </c>
      <c r="Z261" t="inlineStr"/>
      <c r="AA261" t="inlineStr">
        <is>
          <t>https://nvd.nist.gov/vuln/detail/CVE-2026-20139</t>
        </is>
      </c>
    </row>
    <row r="262">
      <c r="A262" t="inlineStr">
        <is>
          <t>CVE</t>
        </is>
      </c>
      <c r="B262" t="inlineStr">
        <is>
          <t>CVE-2026-20141</t>
        </is>
      </c>
      <c r="C262" t="inlineStr">
        <is>
          <t xml:space="preserve">In Splunk Enterprise versions below 10.0.2, 10.0.3, 9.4.8, and 9.3.9, a low-privileged user who does not hold the "admin" Splunk role could access the Splunk Monitoring Console App endpoints due to an improper access control. This could lead to a sensitive information disclosure. The Monitoring Console app is a bundled app that comes with Splunk Enterprise. It is not available for download on SplunkBase, and is not installed on Splunk Cloud Platform instances. This vulnerability does not affect </t>
        </is>
      </c>
      <c r="D262" t="n">
        <v>4.3</v>
      </c>
      <c r="E262" t="inlineStr">
        <is>
          <t>MEDIUM</t>
        </is>
      </c>
      <c r="F262" t="n">
        <v>2</v>
      </c>
      <c r="G262" t="n">
        <v>2</v>
      </c>
      <c r="H262" t="inlineStr">
        <is>
          <t>MEDIUM</t>
        </is>
      </c>
      <c r="I262" t="n">
        <v>8.300000000000001</v>
      </c>
      <c r="J262" t="inlineStr">
        <is>
          <t>NO</t>
        </is>
      </c>
      <c r="K262" t="inlineStr">
        <is>
          <t>2026-02-23 23:48</t>
        </is>
      </c>
      <c r="L262" t="inlineStr">
        <is>
          <t>YES</t>
        </is>
      </c>
      <c r="M262" t="inlineStr">
        <is>
          <t>splunk splunk *</t>
        </is>
      </c>
      <c r="N262" t="inlineStr">
        <is>
          <t>P4</t>
        </is>
      </c>
      <c r="O262" t="inlineStr">
        <is>
          <t>CVE - IP enrichment n/a</t>
        </is>
      </c>
      <c r="P262" t="n">
        <v>0</v>
      </c>
      <c r="Q262" t="n">
        <v>0</v>
      </c>
      <c r="R262" t="inlineStr">
        <is>
          <t>T1213:Data from Information Repositories</t>
        </is>
      </c>
      <c r="S262" t="n">
        <v>1</v>
      </c>
      <c r="T262" t="inlineStr">
        <is>
          <t>LOW (40%)</t>
        </is>
      </c>
      <c r="U262" t="inlineStr">
        <is>
          <t>UNLIKELY</t>
        </is>
      </c>
      <c r="V262" t="inlineStr">
        <is>
          <t>PATCH_AVAILABLE</t>
        </is>
      </c>
      <c r="W262" t="inlineStr">
        <is>
          <t>https://nvd.nist.gov/vuln/detail/CVE-2026-20141</t>
        </is>
      </c>
      <c r="X262" t="inlineStr">
        <is>
          <t>NONE</t>
        </is>
      </c>
      <c r="Y262" t="n">
        <v>0</v>
      </c>
      <c r="Z262" t="inlineStr"/>
      <c r="AA262" t="inlineStr">
        <is>
          <t>https://nvd.nist.gov/vuln/detail/CVE-2026-20141</t>
        </is>
      </c>
    </row>
    <row r="263">
      <c r="A263" t="inlineStr">
        <is>
          <t>CVE</t>
        </is>
      </c>
      <c r="B263" t="inlineStr">
        <is>
          <t>CVE-2026-20142</t>
        </is>
      </c>
      <c r="C263" t="inlineStr">
        <is>
          <t>In Splunk Enterprise versions below 10.2.0, 10.0.2, 9.4.7, 9.3.9, and 9.2.11, a user of a Splunk Search Head Cluster (SHC) deployment who holds a role with access to the Splunk `_internal` index could view the RSA `accessKey` value from the [ Authentication.conf ](https://help.splunk.com/en/splunk-enterprise/administer/admin-manual/10.2/configuration-file-reference/10.2.0-configuration-file-reference/authentication.conf)file, in plain text.</t>
        </is>
      </c>
      <c r="D263" t="n">
        <v>6.8</v>
      </c>
      <c r="E263" t="inlineStr">
        <is>
          <t>MEDIUM</t>
        </is>
      </c>
      <c r="F263" t="n">
        <v>2</v>
      </c>
      <c r="G263" t="n">
        <v>2</v>
      </c>
      <c r="H263" t="inlineStr">
        <is>
          <t>MEDIUM</t>
        </is>
      </c>
      <c r="I263" t="n">
        <v>10.8</v>
      </c>
      <c r="J263" t="inlineStr">
        <is>
          <t>NO</t>
        </is>
      </c>
      <c r="K263" t="inlineStr">
        <is>
          <t>2026-02-23 23:48</t>
        </is>
      </c>
      <c r="L263" t="inlineStr">
        <is>
          <t>YES</t>
        </is>
      </c>
      <c r="M263" t="inlineStr">
        <is>
          <t>splunk splunk *</t>
        </is>
      </c>
      <c r="N263" t="inlineStr">
        <is>
          <t>P4</t>
        </is>
      </c>
      <c r="O263" t="inlineStr">
        <is>
          <t>CVE - IP enrichment n/a</t>
        </is>
      </c>
      <c r="P263" t="n">
        <v>0.0002</v>
      </c>
      <c r="Q263" t="n">
        <v>0.0415</v>
      </c>
      <c r="R263" t="inlineStr">
        <is>
          <t>T1190:Exploit Public-Facing Application</t>
        </is>
      </c>
      <c r="S263" t="n">
        <v>1</v>
      </c>
      <c r="T263" t="inlineStr">
        <is>
          <t>LOW (40%)</t>
        </is>
      </c>
      <c r="U263" t="inlineStr">
        <is>
          <t>UNLIKELY</t>
        </is>
      </c>
      <c r="V263" t="inlineStr">
        <is>
          <t>PATCH_AVAILABLE</t>
        </is>
      </c>
      <c r="W263" t="inlineStr">
        <is>
          <t>https://nvd.nist.gov/vuln/detail/CVE-2026-20142</t>
        </is>
      </c>
      <c r="X263" t="inlineStr">
        <is>
          <t>NONE</t>
        </is>
      </c>
      <c r="Y263" t="n">
        <v>0</v>
      </c>
      <c r="Z263" t="inlineStr"/>
      <c r="AA263" t="inlineStr">
        <is>
          <t>https://nvd.nist.gov/vuln/detail/CVE-2026-20142</t>
        </is>
      </c>
    </row>
    <row r="264">
      <c r="A264" t="inlineStr">
        <is>
          <t>CVE</t>
        </is>
      </c>
      <c r="B264" t="inlineStr">
        <is>
          <t>CVE-2026-20144</t>
        </is>
      </c>
      <c r="C264" t="inlineStr">
        <is>
          <t xml:space="preserve">In Splunk Enterprise versions below 10.2.0, 10.0.2, 9.4.7, 9.3.8, and 9.2.11, and Splunk Cloud Platform versions below 10.2.2510.0, 10.1.2507.11, 10.0.2503.9, and 9.3.2411.120, a user of a Splunk Search Head Cluster (SHC) deployment who holds a role with access to the the Splunk _internal index could view the Security Assertion Markup Language (SAML) configurations for Attribute query requests (AQRs) or Authentication extensions in plain text within the conf.log file, depending on which feature </t>
        </is>
      </c>
      <c r="D264" t="n">
        <v>6.8</v>
      </c>
      <c r="E264" t="inlineStr">
        <is>
          <t>MEDIUM</t>
        </is>
      </c>
      <c r="F264" t="n">
        <v>2</v>
      </c>
      <c r="G264" t="n">
        <v>2</v>
      </c>
      <c r="H264" t="inlineStr">
        <is>
          <t>MEDIUM</t>
        </is>
      </c>
      <c r="I264" t="n">
        <v>10.8</v>
      </c>
      <c r="J264" t="inlineStr">
        <is>
          <t>NO</t>
        </is>
      </c>
      <c r="K264" t="inlineStr">
        <is>
          <t>2026-02-23 23:48</t>
        </is>
      </c>
      <c r="L264" t="inlineStr">
        <is>
          <t>YES</t>
        </is>
      </c>
      <c r="M264" t="inlineStr">
        <is>
          <t>splunk splunk *</t>
        </is>
      </c>
      <c r="N264" t="inlineStr">
        <is>
          <t>P4</t>
        </is>
      </c>
      <c r="O264" t="inlineStr">
        <is>
          <t>CVE - IP enrichment n/a</t>
        </is>
      </c>
      <c r="P264" t="n">
        <v>0</v>
      </c>
      <c r="Q264" t="n">
        <v>0</v>
      </c>
      <c r="R264" t="inlineStr">
        <is>
          <t>T1190:Exploit Public-Facing Application</t>
        </is>
      </c>
      <c r="S264" t="n">
        <v>1</v>
      </c>
      <c r="T264" t="inlineStr">
        <is>
          <t>LOW (40%)</t>
        </is>
      </c>
      <c r="U264" t="inlineStr">
        <is>
          <t>UNLIKELY</t>
        </is>
      </c>
      <c r="V264" t="inlineStr">
        <is>
          <t>PATCH_AVAILABLE</t>
        </is>
      </c>
      <c r="W264" t="inlineStr">
        <is>
          <t>https://nvd.nist.gov/vuln/detail/CVE-2026-20144</t>
        </is>
      </c>
      <c r="X264" t="inlineStr">
        <is>
          <t>NONE</t>
        </is>
      </c>
      <c r="Y264" t="n">
        <v>0</v>
      </c>
      <c r="Z264" t="inlineStr"/>
      <c r="AA264" t="inlineStr">
        <is>
          <t>https://nvd.nist.gov/vuln/detail/CVE-2026-20144</t>
        </is>
      </c>
    </row>
    <row r="265">
      <c r="A265" t="inlineStr">
        <is>
          <t>CVE</t>
        </is>
      </c>
      <c r="B265" t="inlineStr">
        <is>
          <t>CVE-2026-24708</t>
        </is>
      </c>
      <c r="C265" t="inlineStr">
        <is>
          <t>An issue was discovered in OpenStack Nova before 30.2.2, 31 before 31.2.1, and 32 before 32.1.1. By writing a malicious QCOW header to a root or ephemeral disk and then triggering a resize, a user may convince Nova's Flat image backend to call qemu-img without a format restriction, resulting in an unsafe image resize operation that could destroy data on the host system. Only compute nodes using the Flat image backend (usually configured with use_cow_images=False) are affected.</t>
        </is>
      </c>
      <c r="D265" t="n">
        <v>8.199999999999999</v>
      </c>
      <c r="E265" t="inlineStr">
        <is>
          <t>HIGH</t>
        </is>
      </c>
      <c r="F265" t="n">
        <v>2</v>
      </c>
      <c r="G265" t="n">
        <v>3</v>
      </c>
      <c r="H265" t="inlineStr">
        <is>
          <t>HIGH</t>
        </is>
      </c>
      <c r="I265" t="n">
        <v>14.2</v>
      </c>
      <c r="J265" t="inlineStr">
        <is>
          <t>NO</t>
        </is>
      </c>
      <c r="K265" t="inlineStr">
        <is>
          <t>2026-02-23 23:48</t>
        </is>
      </c>
      <c r="L265" t="inlineStr">
        <is>
          <t>CHECK_VENDOR</t>
        </is>
      </c>
      <c r="M265" t="inlineStr">
        <is>
          <t>See CVE details</t>
        </is>
      </c>
      <c r="N265" t="inlineStr">
        <is>
          <t>P3</t>
        </is>
      </c>
      <c r="O265" t="inlineStr">
        <is>
          <t>CVE - IP enrichment n/a</t>
        </is>
      </c>
      <c r="P265" t="n">
        <v>0</v>
      </c>
      <c r="Q265" t="n">
        <v>0</v>
      </c>
      <c r="R265" t="inlineStr">
        <is>
          <t>T1190:Exploit Public-Facing Application</t>
        </is>
      </c>
      <c r="S265" t="n">
        <v>1</v>
      </c>
      <c r="T265" t="inlineStr">
        <is>
          <t>LOW (40%)</t>
        </is>
      </c>
      <c r="U265" t="inlineStr">
        <is>
          <t>UNLIKELY</t>
        </is>
      </c>
      <c r="V265" t="inlineStr">
        <is>
          <t>CHECK_VENDOR</t>
        </is>
      </c>
      <c r="W265" t="inlineStr">
        <is>
          <t>https://nvd.nist.gov/vuln/detail/CVE-2026-24708</t>
        </is>
      </c>
      <c r="X265" t="inlineStr">
        <is>
          <t>NONE</t>
        </is>
      </c>
      <c r="Y265" t="n">
        <v>0</v>
      </c>
      <c r="Z265" t="inlineStr"/>
      <c r="AA265" t="inlineStr">
        <is>
          <t>https://nvd.nist.gov/vuln/detail/CVE-2026-24708</t>
        </is>
      </c>
    </row>
    <row r="266">
      <c r="A266" t="inlineStr">
        <is>
          <t>CVE</t>
        </is>
      </c>
      <c r="B266" t="inlineStr">
        <is>
          <t>CVE-2026-2658</t>
        </is>
      </c>
      <c r="C266" t="inlineStr">
        <is>
          <t>A vulnerability was found in newbee-ltd newbee-mall up to a069069b07027613bf0e7f571736be86f431faee. Affected is an unknown function of the component Multiple Endpoints. Performing a manipulation results in cross-site request forgery. Remote exploitation of the attack is possible. The exploit has been made public and could be used. This product follows a rolling release approach for continuous delivery, so version details for affected or updated releases are not provided. The project was informed</t>
        </is>
      </c>
      <c r="D266" t="n">
        <v>4.3</v>
      </c>
      <c r="E266" t="inlineStr">
        <is>
          <t>MEDIUM</t>
        </is>
      </c>
      <c r="F266" t="n">
        <v>2</v>
      </c>
      <c r="G266" t="n">
        <v>2</v>
      </c>
      <c r="H266" t="inlineStr">
        <is>
          <t>MEDIUM</t>
        </is>
      </c>
      <c r="I266" t="n">
        <v>8.300000000000001</v>
      </c>
      <c r="J266" t="inlineStr">
        <is>
          <t>NO</t>
        </is>
      </c>
      <c r="K266" t="inlineStr">
        <is>
          <t>2026-02-23 23:48</t>
        </is>
      </c>
      <c r="L266" t="inlineStr">
        <is>
          <t>CHECK_VENDOR</t>
        </is>
      </c>
      <c r="M266" t="inlineStr">
        <is>
          <t>See CVE details</t>
        </is>
      </c>
      <c r="N266" t="inlineStr">
        <is>
          <t>P4</t>
        </is>
      </c>
      <c r="O266" t="inlineStr">
        <is>
          <t>CVE - IP enrichment n/a</t>
        </is>
      </c>
      <c r="P266" t="n">
        <v>0.0002</v>
      </c>
      <c r="Q266" t="n">
        <v>0.0621</v>
      </c>
      <c r="R266" t="inlineStr">
        <is>
          <t>T1185:Browser Session Hijacking</t>
        </is>
      </c>
      <c r="S266" t="n">
        <v>1</v>
      </c>
      <c r="T266" t="inlineStr">
        <is>
          <t>LOW (40%)</t>
        </is>
      </c>
      <c r="U266" t="inlineStr">
        <is>
          <t>UNLIKELY</t>
        </is>
      </c>
      <c r="V266" t="inlineStr">
        <is>
          <t>CHECK_VENDOR</t>
        </is>
      </c>
      <c r="W266" t="inlineStr">
        <is>
          <t>https://nvd.nist.gov/vuln/detail/CVE-2026-2658</t>
        </is>
      </c>
      <c r="X266" t="inlineStr">
        <is>
          <t>NONE</t>
        </is>
      </c>
      <c r="Y266" t="n">
        <v>0</v>
      </c>
      <c r="Z266" t="inlineStr"/>
      <c r="AA266" t="inlineStr">
        <is>
          <t>https://nvd.nist.gov/vuln/detail/CVE-2026-2658</t>
        </is>
      </c>
    </row>
    <row r="267">
      <c r="A267" t="inlineStr">
        <is>
          <t>CVE</t>
        </is>
      </c>
      <c r="B267" t="inlineStr">
        <is>
          <t>CVE-2026-2659</t>
        </is>
      </c>
      <c r="C267" t="inlineStr">
        <is>
          <t>A vulnerability was determined in Squirrel up to 3.2. Affected by this vulnerability is the function SQFuncState::PopTarget of the file src/squirrel/squirrel/sqfuncstate.cpp. Executing a manipulation of the argument _target_stack can lead to out-of-bounds read. It is possible to launch the attack on the local host. The exploit has been publicly disclosed and may be utilized. The project was informed of the problem early through an issue report but has not responded yet.</t>
        </is>
      </c>
      <c r="D267" t="n">
        <v>3.3</v>
      </c>
      <c r="E267" t="inlineStr">
        <is>
          <t>LOW</t>
        </is>
      </c>
      <c r="F267" t="n">
        <v>2</v>
      </c>
      <c r="G267" t="n">
        <v>1</v>
      </c>
      <c r="H267" t="inlineStr">
        <is>
          <t>LOW</t>
        </is>
      </c>
      <c r="I267" t="n">
        <v>5.3</v>
      </c>
      <c r="J267" t="inlineStr">
        <is>
          <t>NO</t>
        </is>
      </c>
      <c r="K267" t="inlineStr">
        <is>
          <t>2026-02-23 23:48</t>
        </is>
      </c>
      <c r="L267" t="inlineStr">
        <is>
          <t>CHECK_VENDOR</t>
        </is>
      </c>
      <c r="M267" t="inlineStr">
        <is>
          <t>squirrel-lang squirrel *</t>
        </is>
      </c>
      <c r="N267" t="inlineStr">
        <is>
          <t>P4</t>
        </is>
      </c>
      <c r="O267" t="inlineStr">
        <is>
          <t>CVE - IP enrichment n/a</t>
        </is>
      </c>
      <c r="P267" t="n">
        <v>0</v>
      </c>
      <c r="Q267" t="n">
        <v>0</v>
      </c>
      <c r="R267" t="inlineStr">
        <is>
          <t>T1203:Exploitation for Client Execution</t>
        </is>
      </c>
      <c r="S267" t="n">
        <v>1</v>
      </c>
      <c r="T267" t="inlineStr">
        <is>
          <t>LOW (40%)</t>
        </is>
      </c>
      <c r="U267" t="inlineStr">
        <is>
          <t>UNLIKELY</t>
        </is>
      </c>
      <c r="V267" t="inlineStr">
        <is>
          <t>CHECK_VENDOR</t>
        </is>
      </c>
      <c r="W267" t="inlineStr">
        <is>
          <t>https://nvd.nist.gov/vuln/detail/CVE-2026-2659</t>
        </is>
      </c>
      <c r="X267" t="inlineStr">
        <is>
          <t>NONE</t>
        </is>
      </c>
      <c r="Y267" t="n">
        <v>0</v>
      </c>
      <c r="Z267" t="inlineStr"/>
      <c r="AA267" t="inlineStr">
        <is>
          <t>https://nvd.nist.gov/vuln/detail/CVE-2026-2659</t>
        </is>
      </c>
    </row>
    <row r="268">
      <c r="A268" t="inlineStr">
        <is>
          <t>CVE</t>
        </is>
      </c>
      <c r="B268" t="inlineStr">
        <is>
          <t>CVE-2025-69287</t>
        </is>
      </c>
      <c r="C268" t="inlineStr">
        <is>
          <t>The BSV Blockchain SDK is a unified TypeScript SDK for developing scalable apps on the BSV Blockchain. Prior to version 2.0.0, a cryptographic vulnerability in the TypeScript SDK's BRC-104 authentication implementation caused incorrect signature data preparation, resulting in signature incompatibility between SDK implementations and potential authentication bypass scenarios. The vulnerability was located in the `Peer.ts` file of the TypeScript SDK, specifically in the `processInitialRequest` and</t>
        </is>
      </c>
      <c r="D268" t="n">
        <v>5.4</v>
      </c>
      <c r="E268" t="inlineStr">
        <is>
          <t>MEDIUM</t>
        </is>
      </c>
      <c r="F268" t="n">
        <v>2</v>
      </c>
      <c r="G268" t="n">
        <v>2</v>
      </c>
      <c r="H268" t="inlineStr">
        <is>
          <t>MEDIUM</t>
        </is>
      </c>
      <c r="I268" t="n">
        <v>9.4</v>
      </c>
      <c r="J268" t="inlineStr">
        <is>
          <t>NO</t>
        </is>
      </c>
      <c r="K268" t="inlineStr">
        <is>
          <t>2026-02-23 23:48</t>
        </is>
      </c>
      <c r="L268" t="inlineStr">
        <is>
          <t>CHECK_VENDOR</t>
        </is>
      </c>
      <c r="M268" t="inlineStr">
        <is>
          <t>See CVE details</t>
        </is>
      </c>
      <c r="N268" t="inlineStr">
        <is>
          <t>P4</t>
        </is>
      </c>
      <c r="O268" t="inlineStr">
        <is>
          <t>CVE - IP enrichment n/a</t>
        </is>
      </c>
      <c r="P268" t="n">
        <v>0</v>
      </c>
      <c r="Q268" t="n">
        <v>0</v>
      </c>
      <c r="R268" t="inlineStr">
        <is>
          <t>T1078:Valid Accounts | T1600:Weaken Encryption</t>
        </is>
      </c>
      <c r="S268" t="n">
        <v>1</v>
      </c>
      <c r="T268" t="inlineStr">
        <is>
          <t>LOW (40%)</t>
        </is>
      </c>
      <c r="U268" t="inlineStr">
        <is>
          <t>UNLIKELY</t>
        </is>
      </c>
      <c r="V268" t="inlineStr">
        <is>
          <t>CHECK_VENDOR</t>
        </is>
      </c>
      <c r="W268" t="inlineStr">
        <is>
          <t>https://nvd.nist.gov/vuln/detail/CVE-2025-69287</t>
        </is>
      </c>
      <c r="X268" t="inlineStr">
        <is>
          <t>NONE</t>
        </is>
      </c>
      <c r="Y268" t="n">
        <v>0</v>
      </c>
      <c r="Z268" t="inlineStr"/>
      <c r="AA268" t="inlineStr">
        <is>
          <t>https://nvd.nist.gov/vuln/detail/CVE-2025-69287</t>
        </is>
      </c>
    </row>
    <row r="269">
      <c r="A269" t="inlineStr">
        <is>
          <t>CVE</t>
        </is>
      </c>
      <c r="B269" t="inlineStr">
        <is>
          <t>CVE-2025-70062</t>
        </is>
      </c>
      <c r="C269" t="inlineStr">
        <is>
          <t>PHPGurukul Hospital Management System v4.0 contains a Cross-Site Request Forgery (CSRF) vulnerability in the 'Add Doctor' module. The application fails to enforce CSRF token validation on the add-doctor.php endpoint. This allows remote attackers to create arbitrary Doctor accounts (privileged users) by tricking an authenticated administrator into visiting a malicious page.</t>
        </is>
      </c>
      <c r="D269" t="n">
        <v>6.5</v>
      </c>
      <c r="E269" t="inlineStr">
        <is>
          <t>MEDIUM</t>
        </is>
      </c>
      <c r="F269" t="n">
        <v>2</v>
      </c>
      <c r="G269" t="n">
        <v>2</v>
      </c>
      <c r="H269" t="inlineStr">
        <is>
          <t>MEDIUM</t>
        </is>
      </c>
      <c r="I269" t="n">
        <v>10.5</v>
      </c>
      <c r="J269" t="inlineStr">
        <is>
          <t>NO</t>
        </is>
      </c>
      <c r="K269" t="inlineStr">
        <is>
          <t>2026-02-23 23:48</t>
        </is>
      </c>
      <c r="L269" t="inlineStr">
        <is>
          <t>YES</t>
        </is>
      </c>
      <c r="M269" t="inlineStr">
        <is>
          <t>phpgurukul hospital_management_system 4.0</t>
        </is>
      </c>
      <c r="N269" t="inlineStr">
        <is>
          <t>P4</t>
        </is>
      </c>
      <c r="O269" t="inlineStr">
        <is>
          <t>CVE - IP enrichment n/a</t>
        </is>
      </c>
      <c r="P269" t="n">
        <v>0.0002</v>
      </c>
      <c r="Q269" t="n">
        <v>0.0493</v>
      </c>
      <c r="R269" t="inlineStr">
        <is>
          <t>T1185:Browser Session Hijacking | T1190:Exploit Public-Facing Application</t>
        </is>
      </c>
      <c r="S269" t="n">
        <v>1</v>
      </c>
      <c r="T269" t="inlineStr">
        <is>
          <t>LOW (40%)</t>
        </is>
      </c>
      <c r="U269" t="inlineStr">
        <is>
          <t>UNLIKELY</t>
        </is>
      </c>
      <c r="V269" t="inlineStr">
        <is>
          <t>PATCH_AVAILABLE</t>
        </is>
      </c>
      <c r="W269" t="inlineStr">
        <is>
          <t>https://nvd.nist.gov/vuln/detail/CVE-2025-70062</t>
        </is>
      </c>
      <c r="X269" t="inlineStr">
        <is>
          <t>NONE</t>
        </is>
      </c>
      <c r="Y269" t="n">
        <v>0</v>
      </c>
      <c r="Z269" t="inlineStr"/>
      <c r="AA269" t="inlineStr">
        <is>
          <t>https://nvd.nist.gov/vuln/detail/CVE-2025-70062</t>
        </is>
      </c>
    </row>
    <row r="270">
      <c r="A270" t="inlineStr">
        <is>
          <t>CVE</t>
        </is>
      </c>
      <c r="B270" t="inlineStr">
        <is>
          <t>CVE-2025-70063</t>
        </is>
      </c>
      <c r="C270" t="inlineStr">
        <is>
          <t>The 'Medical History' module in PHPGurukul Hospital Management System v4.0 contains an Insecure Direct Object Reference (IDOR) vulnerability. The application fails to verify that the requested 'viewid' parameter belongs to the currently authenticated patient. This allows a user to access the confidential medical records of other patients by iterating the 'viewid' integer.</t>
        </is>
      </c>
      <c r="D270" t="n">
        <v>6.5</v>
      </c>
      <c r="E270" t="inlineStr">
        <is>
          <t>MEDIUM</t>
        </is>
      </c>
      <c r="F270" t="n">
        <v>2</v>
      </c>
      <c r="G270" t="n">
        <v>2</v>
      </c>
      <c r="H270" t="inlineStr">
        <is>
          <t>MEDIUM</t>
        </is>
      </c>
      <c r="I270" t="n">
        <v>10.5</v>
      </c>
      <c r="J270" t="inlineStr">
        <is>
          <t>NO</t>
        </is>
      </c>
      <c r="K270" t="inlineStr">
        <is>
          <t>2026-02-23 23:48</t>
        </is>
      </c>
      <c r="L270" t="inlineStr">
        <is>
          <t>CHECK_VENDOR</t>
        </is>
      </c>
      <c r="M270" t="inlineStr">
        <is>
          <t>See CVE details</t>
        </is>
      </c>
      <c r="N270" t="inlineStr">
        <is>
          <t>P4</t>
        </is>
      </c>
      <c r="O270" t="inlineStr">
        <is>
          <t>CVE - IP enrichment n/a</t>
        </is>
      </c>
      <c r="P270" t="n">
        <v>0</v>
      </c>
      <c r="Q270" t="n">
        <v>0</v>
      </c>
      <c r="R270" t="inlineStr">
        <is>
          <t>T1190:Exploit Public-Facing Application</t>
        </is>
      </c>
      <c r="S270" t="n">
        <v>1</v>
      </c>
      <c r="T270" t="inlineStr">
        <is>
          <t>LOW (40%)</t>
        </is>
      </c>
      <c r="U270" t="inlineStr">
        <is>
          <t>UNLIKELY</t>
        </is>
      </c>
      <c r="V270" t="inlineStr">
        <is>
          <t>CHECK_VENDOR</t>
        </is>
      </c>
      <c r="W270" t="inlineStr">
        <is>
          <t>https://nvd.nist.gov/vuln/detail/CVE-2025-70063</t>
        </is>
      </c>
      <c r="X270" t="inlineStr">
        <is>
          <t>NONE</t>
        </is>
      </c>
      <c r="Y270" t="n">
        <v>0</v>
      </c>
      <c r="Z270" t="inlineStr"/>
      <c r="AA270" t="inlineStr">
        <is>
          <t>https://nvd.nist.gov/vuln/detail/CVE-2025-70063</t>
        </is>
      </c>
    </row>
    <row r="271">
      <c r="A271" t="inlineStr">
        <is>
          <t>CVE</t>
        </is>
      </c>
      <c r="B271" t="inlineStr">
        <is>
          <t>CVE-2025-70064</t>
        </is>
      </c>
      <c r="C271" t="inlineStr">
        <is>
          <t>PHPGurukul Hospital Management System v4.0 contains a Privilege Escalation vulnerability. A low-privileged user (Patient) can directly access the Administrator Dashboard and all sub-modules (e.g., User Logs, Doctor Management) by manually browsing to the /admin/ directory after authentication. This allows any self-registered user to takeover the application, view confidential logs, and modify system data.</t>
        </is>
      </c>
      <c r="D271" t="n">
        <v>8.800000000000001</v>
      </c>
      <c r="E271" t="inlineStr">
        <is>
          <t>HIGH</t>
        </is>
      </c>
      <c r="F271" t="n">
        <v>2</v>
      </c>
      <c r="G271" t="n">
        <v>3</v>
      </c>
      <c r="H271" t="inlineStr">
        <is>
          <t>HIGH</t>
        </is>
      </c>
      <c r="I271" t="n">
        <v>14.8</v>
      </c>
      <c r="J271" t="inlineStr">
        <is>
          <t>NO</t>
        </is>
      </c>
      <c r="K271" t="inlineStr">
        <is>
          <t>2026-02-23 23:48</t>
        </is>
      </c>
      <c r="L271" t="inlineStr">
        <is>
          <t>YES</t>
        </is>
      </c>
      <c r="M271" t="inlineStr">
        <is>
          <t>phpgurukul hospital_management_system 4.0</t>
        </is>
      </c>
      <c r="N271" t="inlineStr">
        <is>
          <t>P3</t>
        </is>
      </c>
      <c r="O271" t="inlineStr">
        <is>
          <t>CVE - IP enrichment n/a</t>
        </is>
      </c>
      <c r="P271" t="n">
        <v>0</v>
      </c>
      <c r="Q271" t="n">
        <v>0</v>
      </c>
      <c r="R271" t="inlineStr">
        <is>
          <t>T1068:Exploitation for Privilege Escalation</t>
        </is>
      </c>
      <c r="S271" t="n">
        <v>1</v>
      </c>
      <c r="T271" t="inlineStr">
        <is>
          <t>LOW (40%)</t>
        </is>
      </c>
      <c r="U271" t="inlineStr">
        <is>
          <t>UNLIKELY</t>
        </is>
      </c>
      <c r="V271" t="inlineStr">
        <is>
          <t>PATCH_AVAILABLE</t>
        </is>
      </c>
      <c r="W271" t="inlineStr">
        <is>
          <t>https://nvd.nist.gov/vuln/detail/CVE-2025-70064</t>
        </is>
      </c>
      <c r="X271" t="inlineStr">
        <is>
          <t>NONE</t>
        </is>
      </c>
      <c r="Y271" t="n">
        <v>0</v>
      </c>
      <c r="Z271" t="inlineStr"/>
      <c r="AA271" t="inlineStr">
        <is>
          <t>https://nvd.nist.gov/vuln/detail/CVE-2025-70064</t>
        </is>
      </c>
    </row>
    <row r="272">
      <c r="A272" t="inlineStr">
        <is>
          <t>CVE</t>
        </is>
      </c>
      <c r="B272" t="inlineStr">
        <is>
          <t>CVE-2026-22860</t>
        </is>
      </c>
      <c r="C272" t="inlineStr">
        <is>
          <t>Rack is a modular Ruby web server interface. Prior to versions 2.2.22, 3.1.20, and 3.2.5, `Rack::Directory`’s path check used a string prefix match on the expanded path. A request like `/../root_example/` can escape the configured root if the target path starts with the root string, allowing directory listing outside the intended root. Versions 2.2.22, 3.1.20, and 3.2.5 fix the issue.</t>
        </is>
      </c>
      <c r="D272" t="n">
        <v>7.5</v>
      </c>
      <c r="E272" t="inlineStr">
        <is>
          <t>HIGH</t>
        </is>
      </c>
      <c r="F272" t="n">
        <v>2</v>
      </c>
      <c r="G272" t="n">
        <v>3</v>
      </c>
      <c r="H272" t="inlineStr">
        <is>
          <t>HIGH</t>
        </is>
      </c>
      <c r="I272" t="n">
        <v>13.5</v>
      </c>
      <c r="J272" t="inlineStr">
        <is>
          <t>NO</t>
        </is>
      </c>
      <c r="K272" t="inlineStr">
        <is>
          <t>2026-02-23 23:48</t>
        </is>
      </c>
      <c r="L272" t="inlineStr">
        <is>
          <t>YES</t>
        </is>
      </c>
      <c r="M272" t="inlineStr">
        <is>
          <t>rack rack *</t>
        </is>
      </c>
      <c r="N272" t="inlineStr">
        <is>
          <t>P3</t>
        </is>
      </c>
      <c r="O272" t="inlineStr">
        <is>
          <t>CVE - IP enrichment n/a</t>
        </is>
      </c>
      <c r="P272" t="n">
        <v>0.0005</v>
      </c>
      <c r="Q272" t="n">
        <v>0.1605</v>
      </c>
      <c r="R272" t="inlineStr">
        <is>
          <t>T1083:File and Directory Discovery</t>
        </is>
      </c>
      <c r="S272" t="n">
        <v>1</v>
      </c>
      <c r="T272" t="inlineStr">
        <is>
          <t>LOW (40%)</t>
        </is>
      </c>
      <c r="U272" t="inlineStr">
        <is>
          <t>UNLIKELY</t>
        </is>
      </c>
      <c r="V272" t="inlineStr">
        <is>
          <t>PATCH_AVAILABLE</t>
        </is>
      </c>
      <c r="W272" t="inlineStr">
        <is>
          <t>https://nvd.nist.gov/vuln/detail/CVE-2026-22860</t>
        </is>
      </c>
      <c r="X272" t="inlineStr">
        <is>
          <t>NONE</t>
        </is>
      </c>
      <c r="Y272" t="n">
        <v>0</v>
      </c>
      <c r="Z272" t="inlineStr"/>
      <c r="AA272" t="inlineStr">
        <is>
          <t>https://nvd.nist.gov/vuln/detail/CVE-2026-22860</t>
        </is>
      </c>
    </row>
    <row r="273">
      <c r="A273" t="inlineStr">
        <is>
          <t>CVE</t>
        </is>
      </c>
      <c r="B273" t="inlineStr">
        <is>
          <t>CVE-2026-2660</t>
        </is>
      </c>
      <c r="C273" t="inlineStr">
        <is>
          <t>A vulnerability was identified in FascinatedBox lily up to 2.3. Affected by this issue is the function shorthash_for_name of the file src/lily_symtab.c. The manipulation leads to use after free. Local access is required to approach this attack. The exploit is publicly available and might be used. The project was informed of the problem early through an issue report but has not responded yet.</t>
        </is>
      </c>
      <c r="D273" t="n">
        <v>3.3</v>
      </c>
      <c r="E273" t="inlineStr">
        <is>
          <t>LOW</t>
        </is>
      </c>
      <c r="F273" t="n">
        <v>2</v>
      </c>
      <c r="G273" t="n">
        <v>1</v>
      </c>
      <c r="H273" t="inlineStr">
        <is>
          <t>LOW</t>
        </is>
      </c>
      <c r="I273" t="n">
        <v>5.3</v>
      </c>
      <c r="J273" t="inlineStr">
        <is>
          <t>NO</t>
        </is>
      </c>
      <c r="K273" t="inlineStr">
        <is>
          <t>2026-02-23 23:48</t>
        </is>
      </c>
      <c r="L273" t="inlineStr">
        <is>
          <t>CHECK_VENDOR</t>
        </is>
      </c>
      <c r="M273" t="inlineStr">
        <is>
          <t>lily-lang lily *</t>
        </is>
      </c>
      <c r="N273" t="inlineStr">
        <is>
          <t>P4</t>
        </is>
      </c>
      <c r="O273" t="inlineStr">
        <is>
          <t>CVE - IP enrichment n/a</t>
        </is>
      </c>
      <c r="P273" t="n">
        <v>0</v>
      </c>
      <c r="Q273" t="n">
        <v>0</v>
      </c>
      <c r="R273" t="inlineStr">
        <is>
          <t>T1203:Exploitation for Client Execution</t>
        </is>
      </c>
      <c r="S273" t="n">
        <v>1</v>
      </c>
      <c r="T273" t="inlineStr">
        <is>
          <t>LOW (40%)</t>
        </is>
      </c>
      <c r="U273" t="inlineStr">
        <is>
          <t>UNLIKELY</t>
        </is>
      </c>
      <c r="V273" t="inlineStr">
        <is>
          <t>CHECK_VENDOR</t>
        </is>
      </c>
      <c r="W273" t="inlineStr">
        <is>
          <t>https://nvd.nist.gov/vuln/detail/CVE-2026-2660</t>
        </is>
      </c>
      <c r="X273" t="inlineStr">
        <is>
          <t>NONE</t>
        </is>
      </c>
      <c r="Y273" t="n">
        <v>0</v>
      </c>
      <c r="Z273" t="inlineStr"/>
      <c r="AA273" t="inlineStr">
        <is>
          <t>https://nvd.nist.gov/vuln/detail/CVE-2026-2660</t>
        </is>
      </c>
    </row>
    <row r="274">
      <c r="A274" t="inlineStr">
        <is>
          <t>CVE</t>
        </is>
      </c>
      <c r="B274" t="inlineStr">
        <is>
          <t>CVE-2026-0874</t>
        </is>
      </c>
      <c r="C274" t="inlineStr">
        <is>
          <t>A maliciously crafted CATPART file, when parsed through certain Autodesk products, can force an Out-of-Bounds Write vulnerability. A malicious actor may leverage this vulnerability to cause a crash, cause data corruption, or execute arbitrary code in the context of the current process.</t>
        </is>
      </c>
      <c r="D274" t="n">
        <v>7.8</v>
      </c>
      <c r="E274" t="inlineStr">
        <is>
          <t>HIGH</t>
        </is>
      </c>
      <c r="F274" t="n">
        <v>2</v>
      </c>
      <c r="G274" t="n">
        <v>3</v>
      </c>
      <c r="H274" t="inlineStr">
        <is>
          <t>HIGH</t>
        </is>
      </c>
      <c r="I274" t="n">
        <v>13.8</v>
      </c>
      <c r="J274" t="inlineStr">
        <is>
          <t>NO</t>
        </is>
      </c>
      <c r="K274" t="inlineStr">
        <is>
          <t>2026-02-23 23:48</t>
        </is>
      </c>
      <c r="L274" t="inlineStr">
        <is>
          <t>YES</t>
        </is>
      </c>
      <c r="M274" t="inlineStr">
        <is>
          <t>autodesk advance_steel 2026 | autodesk autocad 2026 | autodesk shared_components *</t>
        </is>
      </c>
      <c r="N274" t="inlineStr">
        <is>
          <t>P1</t>
        </is>
      </c>
      <c r="O274" t="inlineStr">
        <is>
          <t>CVE - IP enrichment n/a</t>
        </is>
      </c>
      <c r="P274" t="n">
        <v>0</v>
      </c>
      <c r="Q274" t="n">
        <v>0</v>
      </c>
      <c r="R274" t="inlineStr">
        <is>
          <t>T1203:Exploitation for Client Execution | T1190:Exploit Public-Facing Application</t>
        </is>
      </c>
      <c r="S274" t="n">
        <v>2</v>
      </c>
      <c r="T274" t="inlineStr">
        <is>
          <t>HIGH (72%)</t>
        </is>
      </c>
      <c r="U274" t="inlineStr">
        <is>
          <t>HIGH</t>
        </is>
      </c>
      <c r="V274" t="inlineStr">
        <is>
          <t>PATCH_AVAILABLE</t>
        </is>
      </c>
      <c r="W274" t="inlineStr">
        <is>
          <t>https://nvd.nist.gov/vuln/detail/CVE-2026-0874</t>
        </is>
      </c>
      <c r="X274" t="inlineStr">
        <is>
          <t>http://www.zerodayinitiative.com/advisories/ZDI-26-106/</t>
        </is>
      </c>
      <c r="Y274" t="n">
        <v>0</v>
      </c>
      <c r="Z274" t="inlineStr"/>
      <c r="AA274" t="inlineStr">
        <is>
          <t>https://nvd.nist.gov/vuln/detail/CVE-2026-0874</t>
        </is>
      </c>
    </row>
    <row r="275">
      <c r="A275" t="inlineStr">
        <is>
          <t>CVE</t>
        </is>
      </c>
      <c r="B275" t="inlineStr">
        <is>
          <t>CVE-2026-0875</t>
        </is>
      </c>
      <c r="C275" t="inlineStr">
        <is>
          <t>A maliciously crafted MODEL file, when parsed through certain Autodesk products, can force an Out-of-Bounds Write vulnerability. A malicious actor may leverage this vulnerability to cause a crash, cause data corruption, or execute arbitrary code in the context of the current process.</t>
        </is>
      </c>
      <c r="D275" t="n">
        <v>7.8</v>
      </c>
      <c r="E275" t="inlineStr">
        <is>
          <t>HIGH</t>
        </is>
      </c>
      <c r="F275" t="n">
        <v>2</v>
      </c>
      <c r="G275" t="n">
        <v>3</v>
      </c>
      <c r="H275" t="inlineStr">
        <is>
          <t>HIGH</t>
        </is>
      </c>
      <c r="I275" t="n">
        <v>13.8</v>
      </c>
      <c r="J275" t="inlineStr">
        <is>
          <t>NO</t>
        </is>
      </c>
      <c r="K275" t="inlineStr">
        <is>
          <t>2026-02-23 23:48</t>
        </is>
      </c>
      <c r="L275" t="inlineStr">
        <is>
          <t>YES</t>
        </is>
      </c>
      <c r="M275" t="inlineStr">
        <is>
          <t>autodesk advance_steel 2026 | autodesk autocad 2026 | autodesk shared_components *</t>
        </is>
      </c>
      <c r="N275" t="inlineStr">
        <is>
          <t>P1</t>
        </is>
      </c>
      <c r="O275" t="inlineStr">
        <is>
          <t>CVE - IP enrichment n/a</t>
        </is>
      </c>
      <c r="P275" t="n">
        <v>0</v>
      </c>
      <c r="Q275" t="n">
        <v>0</v>
      </c>
      <c r="R275" t="inlineStr">
        <is>
          <t>T1203:Exploitation for Client Execution | T1190:Exploit Public-Facing Application</t>
        </is>
      </c>
      <c r="S275" t="n">
        <v>2</v>
      </c>
      <c r="T275" t="inlineStr">
        <is>
          <t>HIGH (72%)</t>
        </is>
      </c>
      <c r="U275" t="inlineStr">
        <is>
          <t>HIGH</t>
        </is>
      </c>
      <c r="V275" t="inlineStr">
        <is>
          <t>PATCH_AVAILABLE</t>
        </is>
      </c>
      <c r="W275" t="inlineStr">
        <is>
          <t>https://nvd.nist.gov/vuln/detail/CVE-2026-0875</t>
        </is>
      </c>
      <c r="X275" t="inlineStr">
        <is>
          <t>http://www.zerodayinitiative.com/advisories/ZDI-26-107/</t>
        </is>
      </c>
      <c r="Y275" t="n">
        <v>0</v>
      </c>
      <c r="Z275" t="inlineStr"/>
      <c r="AA275" t="inlineStr">
        <is>
          <t>https://nvd.nist.gov/vuln/detail/CVE-2026-0875</t>
        </is>
      </c>
    </row>
    <row r="276">
      <c r="A276" t="inlineStr">
        <is>
          <t>CVE</t>
        </is>
      </c>
      <c r="B276" t="inlineStr">
        <is>
          <t>CVE-2026-23491</t>
        </is>
      </c>
      <c r="C276" t="inlineStr">
        <is>
          <t xml:space="preserve">InvoicePlane is a self-hosted open source application for managing invoices, clients, and payments. a path traversal vulnerability exists in the `get_file` method of the `Guest` module's `Get` controller in InvoicePlane up to and including through 1.6.3. The vulnerability allows unauthenticated attackers to read arbitrary files on the server by manipulating the input filename. This leads to the disclosure of sensitive information, including configuration files with database credentials. Version </t>
        </is>
      </c>
      <c r="D276" t="n">
        <v>7.5</v>
      </c>
      <c r="E276" t="inlineStr">
        <is>
          <t>HIGH</t>
        </is>
      </c>
      <c r="F276" t="n">
        <v>2</v>
      </c>
      <c r="G276" t="n">
        <v>3</v>
      </c>
      <c r="H276" t="inlineStr">
        <is>
          <t>HIGH</t>
        </is>
      </c>
      <c r="I276" t="n">
        <v>13.5</v>
      </c>
      <c r="J276" t="inlineStr">
        <is>
          <t>NO</t>
        </is>
      </c>
      <c r="K276" t="inlineStr">
        <is>
          <t>2026-02-23 23:48</t>
        </is>
      </c>
      <c r="L276" t="inlineStr">
        <is>
          <t>YES</t>
        </is>
      </c>
      <c r="M276" t="inlineStr">
        <is>
          <t>invoiceplane invoiceplane *</t>
        </is>
      </c>
      <c r="N276" t="inlineStr">
        <is>
          <t>P3</t>
        </is>
      </c>
      <c r="O276" t="inlineStr">
        <is>
          <t>CVE - IP enrichment n/a</t>
        </is>
      </c>
      <c r="P276" t="n">
        <v>0</v>
      </c>
      <c r="Q276" t="n">
        <v>0</v>
      </c>
      <c r="R276" t="inlineStr">
        <is>
          <t>T1083:File and Directory Discovery | T1190:Exploit Public-Facing Application | T1552:Unsecured Credentials</t>
        </is>
      </c>
      <c r="S276" t="n">
        <v>1</v>
      </c>
      <c r="T276" t="inlineStr">
        <is>
          <t>LOW (40%)</t>
        </is>
      </c>
      <c r="U276" t="inlineStr">
        <is>
          <t>UNLIKELY</t>
        </is>
      </c>
      <c r="V276" t="inlineStr">
        <is>
          <t>PATCH_AVAILABLE</t>
        </is>
      </c>
      <c r="W276" t="inlineStr">
        <is>
          <t>https://nvd.nist.gov/vuln/detail/CVE-2026-23491</t>
        </is>
      </c>
      <c r="X276" t="inlineStr">
        <is>
          <t>NONE</t>
        </is>
      </c>
      <c r="Y276" t="n">
        <v>0</v>
      </c>
      <c r="Z276" t="inlineStr"/>
      <c r="AA276" t="inlineStr">
        <is>
          <t>https://nvd.nist.gov/vuln/detail/CVE-2026-23491</t>
        </is>
      </c>
    </row>
    <row r="277">
      <c r="A277" t="inlineStr">
        <is>
          <t>CVE</t>
        </is>
      </c>
      <c r="B277" t="inlineStr">
        <is>
          <t>CVE-2026-25500</t>
        </is>
      </c>
      <c r="C277" t="inlineStr">
        <is>
          <t>Rack is a modular Ruby web server interface. Prior to versions 2.2.22, 3.1.20, and 3.2.5, `Rack::Directory` generates an HTML directory index where each file entry is rendered as a clickable link. If a file exists on disk whose basename starts with the `javascript:` scheme (e.g. `javascript:alert(1)`), the generated index contains an anchor whose `href` is exactly `javascript:alert(1)`. Clicking the entry executes JavaScript in the browser (demonstrated with `alert(1)`). Versions 2.2.22, 3.1.20,</t>
        </is>
      </c>
      <c r="D277" t="n">
        <v>5.4</v>
      </c>
      <c r="E277" t="inlineStr">
        <is>
          <t>MEDIUM</t>
        </is>
      </c>
      <c r="F277" t="n">
        <v>2</v>
      </c>
      <c r="G277" t="n">
        <v>2</v>
      </c>
      <c r="H277" t="inlineStr">
        <is>
          <t>MEDIUM</t>
        </is>
      </c>
      <c r="I277" t="n">
        <v>9.4</v>
      </c>
      <c r="J277" t="inlineStr">
        <is>
          <t>NO</t>
        </is>
      </c>
      <c r="K277" t="inlineStr">
        <is>
          <t>2026-02-23 23:48</t>
        </is>
      </c>
      <c r="L277" t="inlineStr">
        <is>
          <t>YES</t>
        </is>
      </c>
      <c r="M277" t="inlineStr">
        <is>
          <t>rack rack *</t>
        </is>
      </c>
      <c r="N277" t="inlineStr">
        <is>
          <t>P4</t>
        </is>
      </c>
      <c r="O277" t="inlineStr">
        <is>
          <t>CVE - IP enrichment n/a</t>
        </is>
      </c>
      <c r="P277" t="n">
        <v>0</v>
      </c>
      <c r="Q277" t="n">
        <v>0</v>
      </c>
      <c r="R277" t="inlineStr">
        <is>
          <t>T1189:Drive-by Compromise</t>
        </is>
      </c>
      <c r="S277" t="n">
        <v>1</v>
      </c>
      <c r="T277" t="inlineStr">
        <is>
          <t>LOW (40%)</t>
        </is>
      </c>
      <c r="U277" t="inlineStr">
        <is>
          <t>UNLIKELY</t>
        </is>
      </c>
      <c r="V277" t="inlineStr">
        <is>
          <t>PATCH_AVAILABLE</t>
        </is>
      </c>
      <c r="W277" t="inlineStr">
        <is>
          <t>https://nvd.nist.gov/vuln/detail/CVE-2026-25500</t>
        </is>
      </c>
      <c r="X277" t="inlineStr">
        <is>
          <t>NONE</t>
        </is>
      </c>
      <c r="Y277" t="n">
        <v>0</v>
      </c>
      <c r="Z277" t="inlineStr"/>
      <c r="AA277" t="inlineStr">
        <is>
          <t>https://nvd.nist.gov/vuln/detail/CVE-2026-25500</t>
        </is>
      </c>
    </row>
    <row r="278">
      <c r="A278" t="inlineStr">
        <is>
          <t>CVE</t>
        </is>
      </c>
      <c r="B278" t="inlineStr">
        <is>
          <t>CVE-2026-2661</t>
        </is>
      </c>
      <c r="C278" t="inlineStr">
        <is>
          <t>A security flaw has been discovered in Squirrel up to 3.2. This affects the function SQObjectPtr::operator in the library squirrel/sqobject.h. The manipulation results in heap-based buffer overflow. The attack needs to be approached locally. The exploit has been released to the public and may be used for attacks. The project was informed of the problem early through an issue report but has not responded yet.</t>
        </is>
      </c>
      <c r="D278" t="n">
        <v>3.3</v>
      </c>
      <c r="E278" t="inlineStr">
        <is>
          <t>LOW</t>
        </is>
      </c>
      <c r="F278" t="n">
        <v>2</v>
      </c>
      <c r="G278" t="n">
        <v>1</v>
      </c>
      <c r="H278" t="inlineStr">
        <is>
          <t>LOW</t>
        </is>
      </c>
      <c r="I278" t="n">
        <v>5.3</v>
      </c>
      <c r="J278" t="inlineStr">
        <is>
          <t>NO</t>
        </is>
      </c>
      <c r="K278" t="inlineStr">
        <is>
          <t>2026-02-23 23:48</t>
        </is>
      </c>
      <c r="L278" t="inlineStr">
        <is>
          <t>CHECK_VENDOR</t>
        </is>
      </c>
      <c r="M278" t="inlineStr">
        <is>
          <t>squirrel-lang squirrel *</t>
        </is>
      </c>
      <c r="N278" t="inlineStr">
        <is>
          <t>P4</t>
        </is>
      </c>
      <c r="O278" t="inlineStr">
        <is>
          <t>CVE - IP enrichment n/a</t>
        </is>
      </c>
      <c r="P278" t="n">
        <v>0.0002</v>
      </c>
      <c r="Q278" t="n">
        <v>0.0635</v>
      </c>
      <c r="R278" t="inlineStr">
        <is>
          <t>T1203:Exploitation for Client Execution</t>
        </is>
      </c>
      <c r="S278" t="n">
        <v>1</v>
      </c>
      <c r="T278" t="inlineStr">
        <is>
          <t>LOW (40%)</t>
        </is>
      </c>
      <c r="U278" t="inlineStr">
        <is>
          <t>UNLIKELY</t>
        </is>
      </c>
      <c r="V278" t="inlineStr">
        <is>
          <t>CHECK_VENDOR</t>
        </is>
      </c>
      <c r="W278" t="inlineStr">
        <is>
          <t>https://nvd.nist.gov/vuln/detail/CVE-2026-2661</t>
        </is>
      </c>
      <c r="X278" t="inlineStr">
        <is>
          <t>NONE</t>
        </is>
      </c>
      <c r="Y278" t="n">
        <v>0</v>
      </c>
      <c r="Z278" t="inlineStr"/>
      <c r="AA278" t="inlineStr">
        <is>
          <t>https://nvd.nist.gov/vuln/detail/CVE-2026-2661</t>
        </is>
      </c>
    </row>
    <row r="279">
      <c r="A279" t="inlineStr">
        <is>
          <t>CVE</t>
        </is>
      </c>
      <c r="B279" t="inlineStr">
        <is>
          <t>CVE-2026-2662</t>
        </is>
      </c>
      <c r="C279" t="inlineStr">
        <is>
          <t>A weakness has been identified in FascinatedBox lily up to 2.3. This vulnerability affects the function count_transforms of the file src/lily_emitter.c. This manipulation causes out-of-bounds read. The attack can only be executed locally. The exploit has been made available to the public and could be used for attacks. The project was informed of the problem early through an issue report but has not responded yet.</t>
        </is>
      </c>
      <c r="D279" t="n">
        <v>3.3</v>
      </c>
      <c r="E279" t="inlineStr">
        <is>
          <t>LOW</t>
        </is>
      </c>
      <c r="F279" t="n">
        <v>2</v>
      </c>
      <c r="G279" t="n">
        <v>1</v>
      </c>
      <c r="H279" t="inlineStr">
        <is>
          <t>LOW</t>
        </is>
      </c>
      <c r="I279" t="n">
        <v>5.3</v>
      </c>
      <c r="J279" t="inlineStr">
        <is>
          <t>NO</t>
        </is>
      </c>
      <c r="K279" t="inlineStr">
        <is>
          <t>2026-02-23 23:48</t>
        </is>
      </c>
      <c r="L279" t="inlineStr">
        <is>
          <t>CHECK_VENDOR</t>
        </is>
      </c>
      <c r="M279" t="inlineStr">
        <is>
          <t>lily-lang lily *</t>
        </is>
      </c>
      <c r="N279" t="inlineStr">
        <is>
          <t>P4</t>
        </is>
      </c>
      <c r="O279" t="inlineStr">
        <is>
          <t>CVE - IP enrichment n/a</t>
        </is>
      </c>
      <c r="P279" t="n">
        <v>0</v>
      </c>
      <c r="Q279" t="n">
        <v>0</v>
      </c>
      <c r="R279" t="inlineStr">
        <is>
          <t>T1203:Exploitation for Client Execution</t>
        </is>
      </c>
      <c r="S279" t="n">
        <v>1</v>
      </c>
      <c r="T279" t="inlineStr">
        <is>
          <t>LOW (40%)</t>
        </is>
      </c>
      <c r="U279" t="inlineStr">
        <is>
          <t>UNLIKELY</t>
        </is>
      </c>
      <c r="V279" t="inlineStr">
        <is>
          <t>CHECK_VENDOR</t>
        </is>
      </c>
      <c r="W279" t="inlineStr">
        <is>
          <t>https://nvd.nist.gov/vuln/detail/CVE-2026-2662</t>
        </is>
      </c>
      <c r="X279" t="inlineStr">
        <is>
          <t>NONE</t>
        </is>
      </c>
      <c r="Y279" t="n">
        <v>0</v>
      </c>
      <c r="Z279" t="inlineStr"/>
      <c r="AA279" t="inlineStr">
        <is>
          <t>https://nvd.nist.gov/vuln/detail/CVE-2026-2662</t>
        </is>
      </c>
    </row>
    <row r="280">
      <c r="A280" t="inlineStr">
        <is>
          <t>CVE</t>
        </is>
      </c>
      <c r="B280" t="inlineStr">
        <is>
          <t>CVE-2026-2663</t>
        </is>
      </c>
      <c r="C280" t="inlineStr">
        <is>
          <t>A security vulnerability has been detected in Alixhan xh-admin-backend up to 1.7.0. This issue affects some unknown processing of the file /frontend-api/system-service/api/system/role/query of the component Database Query Handler. Such manipulation of the argument prop leads to sql injection. It is possible to launch the attack remotely. The exploit has been disclosed publicly and may be used. The vendor was contacted early about this disclosure but did not respond in any way.</t>
        </is>
      </c>
      <c r="D280" t="n">
        <v>6.3</v>
      </c>
      <c r="E280" t="inlineStr">
        <is>
          <t>MEDIUM</t>
        </is>
      </c>
      <c r="F280" t="n">
        <v>2</v>
      </c>
      <c r="G280" t="n">
        <v>2</v>
      </c>
      <c r="H280" t="inlineStr">
        <is>
          <t>MEDIUM</t>
        </is>
      </c>
      <c r="I280" t="n">
        <v>10.3</v>
      </c>
      <c r="J280" t="inlineStr">
        <is>
          <t>NO</t>
        </is>
      </c>
      <c r="K280" t="inlineStr">
        <is>
          <t>2026-02-23 23:48</t>
        </is>
      </c>
      <c r="L280" t="inlineStr">
        <is>
          <t>CHECK_VENDOR</t>
        </is>
      </c>
      <c r="M280" t="inlineStr">
        <is>
          <t>See CVE details</t>
        </is>
      </c>
      <c r="N280" t="inlineStr">
        <is>
          <t>P4</t>
        </is>
      </c>
      <c r="O280" t="inlineStr">
        <is>
          <t>CVE - IP enrichment n/a</t>
        </is>
      </c>
      <c r="P280" t="n">
        <v>0</v>
      </c>
      <c r="Q280" t="n">
        <v>0</v>
      </c>
      <c r="R280" t="inlineStr">
        <is>
          <t>T1190:Exploit Public-Facing Application</t>
        </is>
      </c>
      <c r="S280" t="n">
        <v>1</v>
      </c>
      <c r="T280" t="inlineStr">
        <is>
          <t>LOW (40%)</t>
        </is>
      </c>
      <c r="U280" t="inlineStr">
        <is>
          <t>UNLIKELY</t>
        </is>
      </c>
      <c r="V280" t="inlineStr">
        <is>
          <t>CHECK_VENDOR</t>
        </is>
      </c>
      <c r="W280" t="inlineStr">
        <is>
          <t>https://nvd.nist.gov/vuln/detail/CVE-2026-2663</t>
        </is>
      </c>
      <c r="X280" t="inlineStr">
        <is>
          <t>NONE</t>
        </is>
      </c>
      <c r="Y280" t="n">
        <v>0</v>
      </c>
      <c r="Z280" t="inlineStr"/>
      <c r="AA280" t="inlineStr">
        <is>
          <t>https://nvd.nist.gov/vuln/detail/CVE-2026-2663</t>
        </is>
      </c>
    </row>
    <row r="281">
      <c r="A281" t="inlineStr">
        <is>
          <t>CVE</t>
        </is>
      </c>
      <c r="B281" t="inlineStr">
        <is>
          <t>CVE-2026-2665</t>
        </is>
      </c>
      <c r="C281" t="inlineStr">
        <is>
          <t>A vulnerability was detected in huanzi-qch base-admin up to 57a8126bb3353a004f3c7722089e3b926ea83596. Impacted is the function Upload of the file SysFileController.java of the component JSP Parser. Performing a manipulation of the argument File results in unrestricted upload. The attack can be initiated remotely. The exploit is now public and may be used. Continious delivery with rolling releases is used by this product. Therefore, no version details of affected nor updated releases are availabl</t>
        </is>
      </c>
      <c r="D281" t="n">
        <v>6.3</v>
      </c>
      <c r="E281" t="inlineStr">
        <is>
          <t>MEDIUM</t>
        </is>
      </c>
      <c r="F281" t="n">
        <v>2</v>
      </c>
      <c r="G281" t="n">
        <v>2</v>
      </c>
      <c r="H281" t="inlineStr">
        <is>
          <t>MEDIUM</t>
        </is>
      </c>
      <c r="I281" t="n">
        <v>10.3</v>
      </c>
      <c r="J281" t="inlineStr">
        <is>
          <t>NO</t>
        </is>
      </c>
      <c r="K281" t="inlineStr">
        <is>
          <t>2026-02-23 23:48</t>
        </is>
      </c>
      <c r="L281" t="inlineStr">
        <is>
          <t>CHECK_VENDOR</t>
        </is>
      </c>
      <c r="M281" t="inlineStr">
        <is>
          <t>See CVE details</t>
        </is>
      </c>
      <c r="N281" t="inlineStr">
        <is>
          <t>P4</t>
        </is>
      </c>
      <c r="O281" t="inlineStr">
        <is>
          <t>CVE - IP enrichment n/a</t>
        </is>
      </c>
      <c r="P281" t="n">
        <v>0.0004</v>
      </c>
      <c r="Q281" t="n">
        <v>0.1306</v>
      </c>
      <c r="R281" t="inlineStr">
        <is>
          <t>T1190:Exploit Public-Facing Application</t>
        </is>
      </c>
      <c r="S281" t="n">
        <v>1</v>
      </c>
      <c r="T281" t="inlineStr">
        <is>
          <t>LOW (40%)</t>
        </is>
      </c>
      <c r="U281" t="inlineStr">
        <is>
          <t>UNLIKELY</t>
        </is>
      </c>
      <c r="V281" t="inlineStr">
        <is>
          <t>CHECK_VENDOR</t>
        </is>
      </c>
      <c r="W281" t="inlineStr">
        <is>
          <t>https://nvd.nist.gov/vuln/detail/CVE-2026-2665</t>
        </is>
      </c>
      <c r="X281" t="inlineStr">
        <is>
          <t>NONE</t>
        </is>
      </c>
      <c r="Y281" t="n">
        <v>0</v>
      </c>
      <c r="Z281" t="inlineStr"/>
      <c r="AA281" t="inlineStr">
        <is>
          <t>https://nvd.nist.gov/vuln/detail/CVE-2026-2665</t>
        </is>
      </c>
    </row>
    <row r="282">
      <c r="A282" t="inlineStr">
        <is>
          <t>CVE</t>
        </is>
      </c>
      <c r="B282" t="inlineStr">
        <is>
          <t>CVE-2026-2666</t>
        </is>
      </c>
      <c r="C282" t="inlineStr">
        <is>
          <t>A flaw has been found in mingSoft MCMS 6.1.1. The affected element is an unknown function of the file /ms/file/uploadTemplate.do of the component Template Archive Handler. Executing a manipulation of the argument File can lead to unrestricted upload. The attack can be launched remotely. The exploit has been published and may be used.</t>
        </is>
      </c>
      <c r="D282" t="n">
        <v>4.7</v>
      </c>
      <c r="E282" t="inlineStr">
        <is>
          <t>MEDIUM</t>
        </is>
      </c>
      <c r="F282" t="n">
        <v>2</v>
      </c>
      <c r="G282" t="n">
        <v>2</v>
      </c>
      <c r="H282" t="inlineStr">
        <is>
          <t>MEDIUM</t>
        </is>
      </c>
      <c r="I282" t="n">
        <v>8.699999999999999</v>
      </c>
      <c r="J282" t="inlineStr">
        <is>
          <t>NO</t>
        </is>
      </c>
      <c r="K282" t="inlineStr">
        <is>
          <t>2026-02-23 23:48</t>
        </is>
      </c>
      <c r="L282" t="inlineStr">
        <is>
          <t>CHECK_VENDOR</t>
        </is>
      </c>
      <c r="M282" t="inlineStr">
        <is>
          <t>mingsoft mcms 6.1.1</t>
        </is>
      </c>
      <c r="N282" t="inlineStr">
        <is>
          <t>P4</t>
        </is>
      </c>
      <c r="O282" t="inlineStr">
        <is>
          <t>CVE - IP enrichment n/a</t>
        </is>
      </c>
      <c r="P282" t="n">
        <v>0</v>
      </c>
      <c r="Q282" t="n">
        <v>0</v>
      </c>
      <c r="R282" t="inlineStr">
        <is>
          <t>T1190:Exploit Public-Facing Application</t>
        </is>
      </c>
      <c r="S282" t="n">
        <v>1</v>
      </c>
      <c r="T282" t="inlineStr">
        <is>
          <t>LOW (40%)</t>
        </is>
      </c>
      <c r="U282" t="inlineStr">
        <is>
          <t>UNLIKELY</t>
        </is>
      </c>
      <c r="V282" t="inlineStr">
        <is>
          <t>CHECK_VENDOR</t>
        </is>
      </c>
      <c r="W282" t="inlineStr">
        <is>
          <t>https://nvd.nist.gov/vuln/detail/CVE-2026-2666</t>
        </is>
      </c>
      <c r="X282" t="inlineStr">
        <is>
          <t>NONE</t>
        </is>
      </c>
      <c r="Y282" t="n">
        <v>0</v>
      </c>
      <c r="Z282" t="inlineStr"/>
      <c r="AA282" t="inlineStr">
        <is>
          <t>https://nvd.nist.gov/vuln/detail/CVE-2026-2666</t>
        </is>
      </c>
    </row>
    <row r="283">
      <c r="A283" t="inlineStr">
        <is>
          <t>CVE</t>
        </is>
      </c>
      <c r="B283" t="inlineStr">
        <is>
          <t>CVE-2025-0577</t>
        </is>
      </c>
      <c r="C283" t="inlineStr">
        <is>
          <t>An insufficient entropy vulnerability was found in glibc. The getrandom and arc4random family of functions may return predictable randomness if these functions are called again after the fork, which happens concurrently with a call to any of these functions.</t>
        </is>
      </c>
      <c r="D283" t="n">
        <v>4.8</v>
      </c>
      <c r="E283" t="inlineStr">
        <is>
          <t>MEDIUM</t>
        </is>
      </c>
      <c r="F283" t="n">
        <v>2</v>
      </c>
      <c r="G283" t="n">
        <v>2</v>
      </c>
      <c r="H283" t="inlineStr">
        <is>
          <t>MEDIUM</t>
        </is>
      </c>
      <c r="I283" t="n">
        <v>8.800000000000001</v>
      </c>
      <c r="J283" t="inlineStr">
        <is>
          <t>NO</t>
        </is>
      </c>
      <c r="K283" t="inlineStr">
        <is>
          <t>2026-02-23 23:48</t>
        </is>
      </c>
      <c r="L283" t="inlineStr">
        <is>
          <t>CHECK_VENDOR</t>
        </is>
      </c>
      <c r="M283" t="inlineStr">
        <is>
          <t>See CVE details</t>
        </is>
      </c>
      <c r="N283" t="inlineStr">
        <is>
          <t>P4</t>
        </is>
      </c>
      <c r="O283" t="inlineStr">
        <is>
          <t>CVE - IP enrichment n/a</t>
        </is>
      </c>
      <c r="P283" t="n">
        <v>0</v>
      </c>
      <c r="Q283" t="n">
        <v>0</v>
      </c>
      <c r="R283" t="inlineStr">
        <is>
          <t>T1190:Exploit Public-Facing Application</t>
        </is>
      </c>
      <c r="S283" t="n">
        <v>1</v>
      </c>
      <c r="T283" t="inlineStr">
        <is>
          <t>LOW (40%)</t>
        </is>
      </c>
      <c r="U283" t="inlineStr">
        <is>
          <t>UNLIKELY</t>
        </is>
      </c>
      <c r="V283" t="inlineStr">
        <is>
          <t>CHECK_VENDOR</t>
        </is>
      </c>
      <c r="W283" t="inlineStr">
        <is>
          <t>https://nvd.nist.gov/vuln/detail/CVE-2025-0577</t>
        </is>
      </c>
      <c r="X283" t="inlineStr">
        <is>
          <t>NONE</t>
        </is>
      </c>
      <c r="Y283" t="n">
        <v>0</v>
      </c>
      <c r="Z283" t="inlineStr"/>
      <c r="AA283" t="inlineStr">
        <is>
          <t>https://nvd.nist.gov/vuln/detail/CVE-2025-0577</t>
        </is>
      </c>
    </row>
    <row r="284">
      <c r="A284" t="inlineStr">
        <is>
          <t>CVE</t>
        </is>
      </c>
      <c r="B284" t="inlineStr">
        <is>
          <t>CVE-2025-10256</t>
        </is>
      </c>
      <c r="C284" t="inlineStr">
        <is>
          <t>A NULL pointer dereference vulnerability exists in FFmpeg’s Firequalizer filter (libavfilter/af_firequalizer.c) due to a missing check on the return value of av_malloc_array() in the config_input() function. An attacker could exploit this by tricking a victim into processing a crafted media file with the Firequalizer filter enabled, causing the application to dereference a NULL pointer and crash, leading to denial of service.</t>
        </is>
      </c>
      <c r="D284" t="n">
        <v>5.3</v>
      </c>
      <c r="E284" t="inlineStr">
        <is>
          <t>MEDIUM</t>
        </is>
      </c>
      <c r="F284" t="n">
        <v>2</v>
      </c>
      <c r="G284" t="n">
        <v>2</v>
      </c>
      <c r="H284" t="inlineStr">
        <is>
          <t>MEDIUM</t>
        </is>
      </c>
      <c r="I284" t="n">
        <v>9.300000000000001</v>
      </c>
      <c r="J284" t="inlineStr">
        <is>
          <t>NO</t>
        </is>
      </c>
      <c r="K284" t="inlineStr">
        <is>
          <t>2026-02-23 23:48</t>
        </is>
      </c>
      <c r="L284" t="inlineStr">
        <is>
          <t>CHECK_VENDOR</t>
        </is>
      </c>
      <c r="M284" t="inlineStr">
        <is>
          <t>See CVE details</t>
        </is>
      </c>
      <c r="N284" t="inlineStr">
        <is>
          <t>P4</t>
        </is>
      </c>
      <c r="O284" t="inlineStr">
        <is>
          <t>CVE - IP enrichment n/a</t>
        </is>
      </c>
      <c r="P284" t="n">
        <v>0</v>
      </c>
      <c r="Q284" t="n">
        <v>0</v>
      </c>
      <c r="R284" t="inlineStr">
        <is>
          <t>T1499:Endpoint Denial of Service</t>
        </is>
      </c>
      <c r="S284" t="n">
        <v>1</v>
      </c>
      <c r="T284" t="inlineStr">
        <is>
          <t>LOW (40%)</t>
        </is>
      </c>
      <c r="U284" t="inlineStr">
        <is>
          <t>UNLIKELY</t>
        </is>
      </c>
      <c r="V284" t="inlineStr">
        <is>
          <t>CHECK_VENDOR</t>
        </is>
      </c>
      <c r="W284" t="inlineStr">
        <is>
          <t>https://nvd.nist.gov/vuln/detail/CVE-2025-10256</t>
        </is>
      </c>
      <c r="X284" t="inlineStr">
        <is>
          <t>NONE</t>
        </is>
      </c>
      <c r="Y284" t="n">
        <v>0</v>
      </c>
      <c r="Z284" t="inlineStr"/>
      <c r="AA284" t="inlineStr">
        <is>
          <t>https://nvd.nist.gov/vuln/detail/CVE-2025-10256</t>
        </is>
      </c>
    </row>
    <row r="285">
      <c r="A285" t="inlineStr">
        <is>
          <t>CVE</t>
        </is>
      </c>
      <c r="B285" t="inlineStr">
        <is>
          <t>CVE-2025-12343</t>
        </is>
      </c>
      <c r="C285" t="inlineStr">
        <is>
          <t>A flaw was found in FFmpeg’s TensorFlow backend within the libavfilter/dnn_backend_tf.c source file. The issue occurs in the dnn_execute_model_tf() function, where a task object is freed multiple times in certain error-handling paths. This redundant memory deallocation can lead to a double-free condition, potentially causing FFmpeg or any application using it to crash when processing TensorFlow-based DNN models. This results in a denial-of-service scenario but does not allow arbitrary code execu</t>
        </is>
      </c>
      <c r="D285" t="n">
        <v>3.3</v>
      </c>
      <c r="E285" t="inlineStr">
        <is>
          <t>LOW</t>
        </is>
      </c>
      <c r="F285" t="n">
        <v>2</v>
      </c>
      <c r="G285" t="n">
        <v>1</v>
      </c>
      <c r="H285" t="inlineStr">
        <is>
          <t>LOW</t>
        </is>
      </c>
      <c r="I285" t="n">
        <v>5.3</v>
      </c>
      <c r="J285" t="inlineStr">
        <is>
          <t>NO</t>
        </is>
      </c>
      <c r="K285" t="inlineStr">
        <is>
          <t>2026-02-23 23:48</t>
        </is>
      </c>
      <c r="L285" t="inlineStr">
        <is>
          <t>CHECK_VENDOR</t>
        </is>
      </c>
      <c r="M285" t="inlineStr">
        <is>
          <t>See CVE details</t>
        </is>
      </c>
      <c r="N285" t="inlineStr">
        <is>
          <t>P4</t>
        </is>
      </c>
      <c r="O285" t="inlineStr">
        <is>
          <t>CVE - IP enrichment n/a</t>
        </is>
      </c>
      <c r="P285" t="n">
        <v>0.0001</v>
      </c>
      <c r="Q285" t="n">
        <v>0.0298</v>
      </c>
      <c r="R285" t="inlineStr">
        <is>
          <t>T1190:Exploit Public-Facing Application | T1203:Exploitation for Client Execution</t>
        </is>
      </c>
      <c r="S285" t="n">
        <v>1</v>
      </c>
      <c r="T285" t="inlineStr">
        <is>
          <t>LOW (40%)</t>
        </is>
      </c>
      <c r="U285" t="inlineStr">
        <is>
          <t>UNLIKELY</t>
        </is>
      </c>
      <c r="V285" t="inlineStr">
        <is>
          <t>CHECK_VENDOR</t>
        </is>
      </c>
      <c r="W285" t="inlineStr">
        <is>
          <t>https://nvd.nist.gov/vuln/detail/CVE-2025-12343</t>
        </is>
      </c>
      <c r="X285" t="inlineStr">
        <is>
          <t>NONE</t>
        </is>
      </c>
      <c r="Y285" t="n">
        <v>0</v>
      </c>
      <c r="Z285" t="inlineStr"/>
      <c r="AA285" t="inlineStr">
        <is>
          <t>https://nvd.nist.gov/vuln/detail/CVE-2025-12343</t>
        </is>
      </c>
    </row>
    <row r="286">
      <c r="A286" t="inlineStr">
        <is>
          <t>CVE</t>
        </is>
      </c>
      <c r="B286" t="inlineStr">
        <is>
          <t>CVE-2025-14876</t>
        </is>
      </c>
      <c r="C286" t="inlineStr">
        <is>
          <t>A flaw was found in the virtio-crypto device of QEMU. A malicious guest operating system can exploit a missing length limit in the AKCIPHER path, leading to uncontrolled memory allocation. This can result in a denial of service (DoS) on the host system by causing the QEMU process to terminate unexpectedly.</t>
        </is>
      </c>
      <c r="D286" t="n">
        <v>5.5</v>
      </c>
      <c r="E286" t="inlineStr">
        <is>
          <t>MEDIUM</t>
        </is>
      </c>
      <c r="F286" t="n">
        <v>2</v>
      </c>
      <c r="G286" t="n">
        <v>2</v>
      </c>
      <c r="H286" t="inlineStr">
        <is>
          <t>MEDIUM</t>
        </is>
      </c>
      <c r="I286" t="n">
        <v>9.5</v>
      </c>
      <c r="J286" t="inlineStr">
        <is>
          <t>NO</t>
        </is>
      </c>
      <c r="K286" t="inlineStr">
        <is>
          <t>2026-02-23 23:48</t>
        </is>
      </c>
      <c r="L286" t="inlineStr">
        <is>
          <t>CHECK_VENDOR</t>
        </is>
      </c>
      <c r="M286" t="inlineStr">
        <is>
          <t>See CVE details</t>
        </is>
      </c>
      <c r="N286" t="inlineStr">
        <is>
          <t>P4</t>
        </is>
      </c>
      <c r="O286" t="inlineStr">
        <is>
          <t>CVE - IP enrichment n/a</t>
        </is>
      </c>
      <c r="P286" t="n">
        <v>0</v>
      </c>
      <c r="Q286" t="n">
        <v>0</v>
      </c>
      <c r="R286" t="inlineStr">
        <is>
          <t>T1499:Endpoint Denial of Service</t>
        </is>
      </c>
      <c r="S286" t="n">
        <v>1</v>
      </c>
      <c r="T286" t="inlineStr">
        <is>
          <t>LOW (40%)</t>
        </is>
      </c>
      <c r="U286" t="inlineStr">
        <is>
          <t>UNLIKELY</t>
        </is>
      </c>
      <c r="V286" t="inlineStr">
        <is>
          <t>CHECK_VENDOR</t>
        </is>
      </c>
      <c r="W286" t="inlineStr">
        <is>
          <t>https://nvd.nist.gov/vuln/detail/CVE-2025-14876</t>
        </is>
      </c>
      <c r="X286" t="inlineStr">
        <is>
          <t>NONE</t>
        </is>
      </c>
      <c r="Y286" t="n">
        <v>0</v>
      </c>
      <c r="Z286" t="inlineStr"/>
      <c r="AA286" t="inlineStr">
        <is>
          <t>https://nvd.nist.gov/vuln/detail/CVE-2025-14876</t>
        </is>
      </c>
    </row>
    <row r="287">
      <c r="A287" t="inlineStr">
        <is>
          <t>CVE</t>
        </is>
      </c>
      <c r="B287" t="inlineStr">
        <is>
          <t>CVE-2025-1272</t>
        </is>
      </c>
      <c r="C287" t="inlineStr">
        <is>
          <t>The Linux Kernel lockdown mode for kernel versions starting on 6.12 and above for Fedora Linux has the lockdown mode disabled without any warning. This may allow an attacker to gain access to sensitive information such kernel memory mappings, I/O ports, BPF and kprobes. Additionally unsigned modules can be loaded, leading to execution of untrusted code breaking breaking any Secure Boot protection. This vulnerability affects only Fedora Linux.</t>
        </is>
      </c>
      <c r="D287" t="n">
        <v>7.7</v>
      </c>
      <c r="E287" t="inlineStr">
        <is>
          <t>HIGH</t>
        </is>
      </c>
      <c r="F287" t="n">
        <v>2</v>
      </c>
      <c r="G287" t="n">
        <v>3</v>
      </c>
      <c r="H287" t="inlineStr">
        <is>
          <t>HIGH</t>
        </is>
      </c>
      <c r="I287" t="n">
        <v>13.7</v>
      </c>
      <c r="J287" t="inlineStr">
        <is>
          <t>NO</t>
        </is>
      </c>
      <c r="K287" t="inlineStr">
        <is>
          <t>2026-02-23 23:48</t>
        </is>
      </c>
      <c r="L287" t="inlineStr">
        <is>
          <t>CHECK_VENDOR</t>
        </is>
      </c>
      <c r="M287" t="inlineStr">
        <is>
          <t>See CVE details</t>
        </is>
      </c>
      <c r="N287" t="inlineStr">
        <is>
          <t>P3</t>
        </is>
      </c>
      <c r="O287" t="inlineStr">
        <is>
          <t>CVE - IP enrichment n/a</t>
        </is>
      </c>
      <c r="P287" t="n">
        <v>0</v>
      </c>
      <c r="Q287" t="n">
        <v>0</v>
      </c>
      <c r="R287" t="inlineStr">
        <is>
          <t>T1190:Exploit Public-Facing Application</t>
        </is>
      </c>
      <c r="S287" t="n">
        <v>1</v>
      </c>
      <c r="T287" t="inlineStr">
        <is>
          <t>LOW (40%)</t>
        </is>
      </c>
      <c r="U287" t="inlineStr">
        <is>
          <t>UNLIKELY</t>
        </is>
      </c>
      <c r="V287" t="inlineStr">
        <is>
          <t>CHECK_VENDOR</t>
        </is>
      </c>
      <c r="W287" t="inlineStr">
        <is>
          <t>https://nvd.nist.gov/vuln/detail/CVE-2025-1272</t>
        </is>
      </c>
      <c r="X287" t="inlineStr">
        <is>
          <t>NONE</t>
        </is>
      </c>
      <c r="Y287" t="n">
        <v>0</v>
      </c>
      <c r="Z287" t="inlineStr"/>
      <c r="AA287" t="inlineStr">
        <is>
          <t>https://nvd.nist.gov/vuln/detail/CVE-2025-1272</t>
        </is>
      </c>
    </row>
    <row r="288">
      <c r="A288" t="inlineStr">
        <is>
          <t>CVE</t>
        </is>
      </c>
      <c r="B288" t="inlineStr">
        <is>
          <t>CVE-2025-8860</t>
        </is>
      </c>
      <c r="C288" t="inlineStr">
        <is>
          <t>A flaw was found in QEMU in the uefi-vars virtual device. When the guest writes to register UEFI_VARS_REG_BUFFER_SIZE, the .write callback `uefi_vars_write` is invoked. The function allocates a heap buffer without zeroing the memory, leaving the buffer filled with residual data from prior allocations. When the guest later reads from register UEFI_VARS_REG_PIO_BUFFER_TRANSFER, the .read callback `uefi_vars_read` returns leftover metadata or other sensitive process memory from the previously alloc</t>
        </is>
      </c>
      <c r="D288" t="n">
        <v>3.3</v>
      </c>
      <c r="E288" t="inlineStr">
        <is>
          <t>LOW</t>
        </is>
      </c>
      <c r="F288" t="n">
        <v>2</v>
      </c>
      <c r="G288" t="n">
        <v>1</v>
      </c>
      <c r="H288" t="inlineStr">
        <is>
          <t>LOW</t>
        </is>
      </c>
      <c r="I288" t="n">
        <v>5.3</v>
      </c>
      <c r="J288" t="inlineStr">
        <is>
          <t>NO</t>
        </is>
      </c>
      <c r="K288" t="inlineStr">
        <is>
          <t>2026-02-23 23:48</t>
        </is>
      </c>
      <c r="L288" t="inlineStr">
        <is>
          <t>CHECK_VENDOR</t>
        </is>
      </c>
      <c r="M288" t="inlineStr">
        <is>
          <t>See CVE details</t>
        </is>
      </c>
      <c r="N288" t="inlineStr">
        <is>
          <t>P4</t>
        </is>
      </c>
      <c r="O288" t="inlineStr">
        <is>
          <t>CVE - IP enrichment n/a</t>
        </is>
      </c>
      <c r="P288" t="n">
        <v>0</v>
      </c>
      <c r="Q288" t="n">
        <v>0</v>
      </c>
      <c r="R288" t="inlineStr">
        <is>
          <t>T1213:Data from Information Repositories</t>
        </is>
      </c>
      <c r="S288" t="n">
        <v>1</v>
      </c>
      <c r="T288" t="inlineStr">
        <is>
          <t>LOW (40%)</t>
        </is>
      </c>
      <c r="U288" t="inlineStr">
        <is>
          <t>UNLIKELY</t>
        </is>
      </c>
      <c r="V288" t="inlineStr">
        <is>
          <t>CHECK_VENDOR</t>
        </is>
      </c>
      <c r="W288" t="inlineStr">
        <is>
          <t>https://nvd.nist.gov/vuln/detail/CVE-2025-8860</t>
        </is>
      </c>
      <c r="X288" t="inlineStr">
        <is>
          <t>NONE</t>
        </is>
      </c>
      <c r="Y288" t="n">
        <v>0</v>
      </c>
      <c r="Z288" t="inlineStr"/>
      <c r="AA288" t="inlineStr">
        <is>
          <t>https://nvd.nist.gov/vuln/detail/CVE-2025-8860</t>
        </is>
      </c>
    </row>
    <row r="289">
      <c r="A289" t="inlineStr">
        <is>
          <t>CVE</t>
        </is>
      </c>
      <c r="B289" t="inlineStr">
        <is>
          <t>CVE-2026-0573</t>
        </is>
      </c>
      <c r="C289" t="inlineStr">
        <is>
          <t>An URL redirection vulnerability was identified in GitHub Enterprise Server that allowed attacker-controlled redirects to leak sensitive authorization tokens. The repository_pages API insecurely followed HTTP redirects when fetching artifact URLs, preserving the authorization header containing a privileged JWT. An authenticated user could redirect these requests to an attacker-controlled domain, exfiltrate the Actions.ManageOrgs JWT, and leverage it for potential remote code execution. Attackers</t>
        </is>
      </c>
      <c r="D289" t="n">
        <v>9</v>
      </c>
      <c r="E289" t="inlineStr">
        <is>
          <t>CRITICAL</t>
        </is>
      </c>
      <c r="F289" t="n">
        <v>2</v>
      </c>
      <c r="G289" t="n">
        <v>3</v>
      </c>
      <c r="H289" t="inlineStr">
        <is>
          <t>HIGH</t>
        </is>
      </c>
      <c r="I289" t="n">
        <v>15</v>
      </c>
      <c r="J289" t="inlineStr">
        <is>
          <t>NO</t>
        </is>
      </c>
      <c r="K289" t="inlineStr">
        <is>
          <t>2026-02-23 23:48</t>
        </is>
      </c>
      <c r="L289" t="inlineStr">
        <is>
          <t>CHECK_VENDOR</t>
        </is>
      </c>
      <c r="M289" t="inlineStr">
        <is>
          <t>github enterprise_server *</t>
        </is>
      </c>
      <c r="N289" t="inlineStr">
        <is>
          <t>P3</t>
        </is>
      </c>
      <c r="O289" t="inlineStr">
        <is>
          <t>CVE - IP enrichment n/a</t>
        </is>
      </c>
      <c r="P289" t="n">
        <v>0</v>
      </c>
      <c r="Q289" t="n">
        <v>0</v>
      </c>
      <c r="R289" t="inlineStr">
        <is>
          <t>T1189:Drive-by Compromise | T1190:Exploit Public-Facing Application | T1210:Exploitation of Remote Services</t>
        </is>
      </c>
      <c r="S289" t="n">
        <v>1</v>
      </c>
      <c r="T289" t="inlineStr">
        <is>
          <t>LOW (40%)</t>
        </is>
      </c>
      <c r="U289" t="inlineStr">
        <is>
          <t>UNLIKELY</t>
        </is>
      </c>
      <c r="V289" t="inlineStr">
        <is>
          <t>CHECK_VENDOR</t>
        </is>
      </c>
      <c r="W289" t="inlineStr">
        <is>
          <t>https://nvd.nist.gov/vuln/detail/CVE-2026-0573</t>
        </is>
      </c>
      <c r="X289" t="inlineStr">
        <is>
          <t>NONE</t>
        </is>
      </c>
      <c r="Y289" t="n">
        <v>0</v>
      </c>
      <c r="Z289" t="inlineStr"/>
      <c r="AA289" t="inlineStr">
        <is>
          <t>https://nvd.nist.gov/vuln/detail/CVE-2026-0573</t>
        </is>
      </c>
    </row>
    <row r="290">
      <c r="A290" t="inlineStr">
        <is>
          <t>CVE</t>
        </is>
      </c>
      <c r="B290" t="inlineStr">
        <is>
          <t>CVE-2026-0665</t>
        </is>
      </c>
      <c r="C290" t="inlineStr">
        <is>
          <t>An off-by-one error was found in QEMU's KVM Xen guest support. A malicious guest could use this flaw to trigger out-of-bounds heap accesses in the QEMU process via the emulated Xen physdev hypercall interface, leading to a denial of service or potential memory corruption.</t>
        </is>
      </c>
      <c r="D290" t="n">
        <v>6.5</v>
      </c>
      <c r="E290" t="inlineStr">
        <is>
          <t>MEDIUM</t>
        </is>
      </c>
      <c r="F290" t="n">
        <v>2</v>
      </c>
      <c r="G290" t="n">
        <v>2</v>
      </c>
      <c r="H290" t="inlineStr">
        <is>
          <t>MEDIUM</t>
        </is>
      </c>
      <c r="I290" t="n">
        <v>10.5</v>
      </c>
      <c r="J290" t="inlineStr">
        <is>
          <t>NO</t>
        </is>
      </c>
      <c r="K290" t="inlineStr">
        <is>
          <t>2026-02-23 23:48</t>
        </is>
      </c>
      <c r="L290" t="inlineStr">
        <is>
          <t>CHECK_VENDOR</t>
        </is>
      </c>
      <c r="M290" t="inlineStr">
        <is>
          <t>See CVE details</t>
        </is>
      </c>
      <c r="N290" t="inlineStr">
        <is>
          <t>P4</t>
        </is>
      </c>
      <c r="O290" t="inlineStr">
        <is>
          <t>CVE - IP enrichment n/a</t>
        </is>
      </c>
      <c r="P290" t="n">
        <v>0</v>
      </c>
      <c r="Q290" t="n">
        <v>0</v>
      </c>
      <c r="R290" t="inlineStr">
        <is>
          <t>T1203:Exploitation for Client Execution | T1499:Endpoint Denial of Service</t>
        </is>
      </c>
      <c r="S290" t="n">
        <v>1</v>
      </c>
      <c r="T290" t="inlineStr">
        <is>
          <t>LOW (40%)</t>
        </is>
      </c>
      <c r="U290" t="inlineStr">
        <is>
          <t>UNLIKELY</t>
        </is>
      </c>
      <c r="V290" t="inlineStr">
        <is>
          <t>CHECK_VENDOR</t>
        </is>
      </c>
      <c r="W290" t="inlineStr">
        <is>
          <t>https://nvd.nist.gov/vuln/detail/CVE-2026-0665</t>
        </is>
      </c>
      <c r="X290" t="inlineStr">
        <is>
          <t>NONE</t>
        </is>
      </c>
      <c r="Y290" t="n">
        <v>0</v>
      </c>
      <c r="Z290" t="inlineStr"/>
      <c r="AA290" t="inlineStr">
        <is>
          <t>https://nvd.nist.gov/vuln/detail/CVE-2026-0665</t>
        </is>
      </c>
    </row>
    <row r="291">
      <c r="A291" t="inlineStr">
        <is>
          <t>CVE</t>
        </is>
      </c>
      <c r="B291" t="inlineStr">
        <is>
          <t>CVE-2026-1200</t>
        </is>
      </c>
      <c r="C291" t="inlineStr">
        <is>
          <t>A flaw was found in the rgaufman/live555 fork of live555. A remote attacker could exploit a segmentation fault, in the `increaseBufferTo` function. This vulnerability can lead to memory corruption problems and potentially other consequences.</t>
        </is>
      </c>
      <c r="D291" t="n">
        <v>6.3</v>
      </c>
      <c r="E291" t="inlineStr">
        <is>
          <t>MEDIUM</t>
        </is>
      </c>
      <c r="F291" t="n">
        <v>2</v>
      </c>
      <c r="G291" t="n">
        <v>2</v>
      </c>
      <c r="H291" t="inlineStr">
        <is>
          <t>MEDIUM</t>
        </is>
      </c>
      <c r="I291" t="n">
        <v>10.3</v>
      </c>
      <c r="J291" t="inlineStr">
        <is>
          <t>NO</t>
        </is>
      </c>
      <c r="K291" t="inlineStr">
        <is>
          <t>2026-02-23 23:48</t>
        </is>
      </c>
      <c r="L291" t="inlineStr">
        <is>
          <t>CHECK_VENDOR</t>
        </is>
      </c>
      <c r="M291" t="inlineStr">
        <is>
          <t>See CVE details</t>
        </is>
      </c>
      <c r="N291" t="inlineStr">
        <is>
          <t>P4</t>
        </is>
      </c>
      <c r="O291" t="inlineStr">
        <is>
          <t>CVE - IP enrichment n/a</t>
        </is>
      </c>
      <c r="P291" t="n">
        <v>0</v>
      </c>
      <c r="Q291" t="n">
        <v>0</v>
      </c>
      <c r="R291" t="inlineStr">
        <is>
          <t>T1203:Exploitation for Client Execution</t>
        </is>
      </c>
      <c r="S291" t="n">
        <v>1</v>
      </c>
      <c r="T291" t="inlineStr">
        <is>
          <t>LOW (40%)</t>
        </is>
      </c>
      <c r="U291" t="inlineStr">
        <is>
          <t>UNLIKELY</t>
        </is>
      </c>
      <c r="V291" t="inlineStr">
        <is>
          <t>CHECK_VENDOR</t>
        </is>
      </c>
      <c r="W291" t="inlineStr">
        <is>
          <t>https://nvd.nist.gov/vuln/detail/CVE-2026-1200</t>
        </is>
      </c>
      <c r="X291" t="inlineStr">
        <is>
          <t>NONE</t>
        </is>
      </c>
      <c r="Y291" t="n">
        <v>0</v>
      </c>
      <c r="Z291" t="inlineStr"/>
      <c r="AA291" t="inlineStr">
        <is>
          <t>https://nvd.nist.gov/vuln/detail/CVE-2026-1200</t>
        </is>
      </c>
    </row>
    <row r="292">
      <c r="A292" t="inlineStr">
        <is>
          <t>CVE</t>
        </is>
      </c>
      <c r="B292" t="inlineStr">
        <is>
          <t>CVE-2026-1355</t>
        </is>
      </c>
      <c r="C292" t="inlineStr">
        <is>
          <t xml:space="preserve">A Missing Authorization vulnerability was identified in GitHub Enterprise Server that allowed an attacker to upload unauthorized content to another user’s repository migration export due to a missing authorization check in the repository migration upload endpoint. By supplying the migration identifier, an attacker could overwrite or replace a victim’s migration archive, potentially causing victims to download attacker-controlled repository data during migration restores or automated imports. An </t>
        </is>
      </c>
      <c r="D292" t="n">
        <v>6.5</v>
      </c>
      <c r="E292" t="inlineStr">
        <is>
          <t>MEDIUM</t>
        </is>
      </c>
      <c r="F292" t="n">
        <v>2</v>
      </c>
      <c r="G292" t="n">
        <v>2</v>
      </c>
      <c r="H292" t="inlineStr">
        <is>
          <t>MEDIUM</t>
        </is>
      </c>
      <c r="I292" t="n">
        <v>10.5</v>
      </c>
      <c r="J292" t="inlineStr">
        <is>
          <t>NO</t>
        </is>
      </c>
      <c r="K292" t="inlineStr">
        <is>
          <t>2026-02-23 23:48</t>
        </is>
      </c>
      <c r="L292" t="inlineStr">
        <is>
          <t>CHECK_VENDOR</t>
        </is>
      </c>
      <c r="M292" t="inlineStr">
        <is>
          <t>github enterprise_server *</t>
        </is>
      </c>
      <c r="N292" t="inlineStr">
        <is>
          <t>P4</t>
        </is>
      </c>
      <c r="O292" t="inlineStr">
        <is>
          <t>CVE - IP enrichment n/a</t>
        </is>
      </c>
      <c r="P292" t="n">
        <v>0</v>
      </c>
      <c r="Q292" t="n">
        <v>0</v>
      </c>
      <c r="R292" t="inlineStr">
        <is>
          <t>T1190:Exploit Public-Facing Application</t>
        </is>
      </c>
      <c r="S292" t="n">
        <v>1</v>
      </c>
      <c r="T292" t="inlineStr">
        <is>
          <t>LOW (40%)</t>
        </is>
      </c>
      <c r="U292" t="inlineStr">
        <is>
          <t>UNLIKELY</t>
        </is>
      </c>
      <c r="V292" t="inlineStr">
        <is>
          <t>CHECK_VENDOR</t>
        </is>
      </c>
      <c r="W292" t="inlineStr">
        <is>
          <t>https://nvd.nist.gov/vuln/detail/CVE-2026-1355</t>
        </is>
      </c>
      <c r="X292" t="inlineStr">
        <is>
          <t>NONE</t>
        </is>
      </c>
      <c r="Y292" t="n">
        <v>0</v>
      </c>
      <c r="Z292" t="inlineStr"/>
      <c r="AA292" t="inlineStr">
        <is>
          <t>https://nvd.nist.gov/vuln/detail/CVE-2026-1355</t>
        </is>
      </c>
    </row>
    <row r="293">
      <c r="A293" t="inlineStr">
        <is>
          <t>CVE</t>
        </is>
      </c>
      <c r="B293" t="inlineStr">
        <is>
          <t>CVE-2026-1999</t>
        </is>
      </c>
      <c r="C293" t="inlineStr">
        <is>
          <t>An incorrect authorization vulnerability was identified in GitHub Enterprise Server that allowed an attacker to merge their own pull request into a repository without having push access by exploiting an authorization bypass in the enable_auto_merge mutation for pull requests. This issue only affected repositories that allow forking as the attack relies on opening a pull request from an attacker-controlled fork into the target repository. Exploitation was only possible in specific scenarios. It r</t>
        </is>
      </c>
      <c r="D293" t="n">
        <v>6.5</v>
      </c>
      <c r="E293" t="inlineStr">
        <is>
          <t>MEDIUM</t>
        </is>
      </c>
      <c r="F293" t="n">
        <v>2</v>
      </c>
      <c r="G293" t="n">
        <v>2</v>
      </c>
      <c r="H293" t="inlineStr">
        <is>
          <t>MEDIUM</t>
        </is>
      </c>
      <c r="I293" t="n">
        <v>10.5</v>
      </c>
      <c r="J293" t="inlineStr">
        <is>
          <t>NO</t>
        </is>
      </c>
      <c r="K293" t="inlineStr">
        <is>
          <t>2026-02-23 23:48</t>
        </is>
      </c>
      <c r="L293" t="inlineStr">
        <is>
          <t>CHECK_VENDOR</t>
        </is>
      </c>
      <c r="M293" t="inlineStr">
        <is>
          <t>github enterprise_server *</t>
        </is>
      </c>
      <c r="N293" t="inlineStr">
        <is>
          <t>P4</t>
        </is>
      </c>
      <c r="O293" t="inlineStr">
        <is>
          <t>CVE - IP enrichment n/a</t>
        </is>
      </c>
      <c r="P293" t="n">
        <v>0</v>
      </c>
      <c r="Q293" t="n">
        <v>0</v>
      </c>
      <c r="R293" t="inlineStr">
        <is>
          <t>T1190:Exploit Public-Facing Application</t>
        </is>
      </c>
      <c r="S293" t="n">
        <v>1</v>
      </c>
      <c r="T293" t="inlineStr">
        <is>
          <t>LOW (40%)</t>
        </is>
      </c>
      <c r="U293" t="inlineStr">
        <is>
          <t>UNLIKELY</t>
        </is>
      </c>
      <c r="V293" t="inlineStr">
        <is>
          <t>CHECK_VENDOR</t>
        </is>
      </c>
      <c r="W293" t="inlineStr">
        <is>
          <t>https://nvd.nist.gov/vuln/detail/CVE-2026-1999</t>
        </is>
      </c>
      <c r="X293" t="inlineStr">
        <is>
          <t>NONE</t>
        </is>
      </c>
      <c r="Y293" t="n">
        <v>0</v>
      </c>
      <c r="Z293" t="inlineStr"/>
      <c r="AA293" t="inlineStr">
        <is>
          <t>https://nvd.nist.gov/vuln/detail/CVE-2026-1999</t>
        </is>
      </c>
    </row>
    <row r="294">
      <c r="A294" t="inlineStr">
        <is>
          <t>CVE</t>
        </is>
      </c>
      <c r="B294" t="inlineStr">
        <is>
          <t>CVE-2026-24746</t>
        </is>
      </c>
      <c r="C294" t="inlineStr">
        <is>
          <t>InvoicePlane is a self-hosted open source application for managing invoices, clients, and payments. A Stored Cross-Site Scripting (XSS) vulnerability occurs in the Edit Quotes functions of InvoicePlane version 1.7.0. In the Editing Quotes function, the application does not validate user input at the quote_number parameter. Although administrator privileges are required to exploit it, this is still considered a critical vulnerability as it can cause actions such as unauthorized modification of ap</t>
        </is>
      </c>
      <c r="D294" t="n">
        <v>5.7</v>
      </c>
      <c r="E294" t="inlineStr">
        <is>
          <t>MEDIUM</t>
        </is>
      </c>
      <c r="F294" t="n">
        <v>2</v>
      </c>
      <c r="G294" t="n">
        <v>2</v>
      </c>
      <c r="H294" t="inlineStr">
        <is>
          <t>MEDIUM</t>
        </is>
      </c>
      <c r="I294" t="n">
        <v>9.699999999999999</v>
      </c>
      <c r="J294" t="inlineStr">
        <is>
          <t>NO</t>
        </is>
      </c>
      <c r="K294" t="inlineStr">
        <is>
          <t>2026-02-23 23:48</t>
        </is>
      </c>
      <c r="L294" t="inlineStr">
        <is>
          <t>YES</t>
        </is>
      </c>
      <c r="M294" t="inlineStr">
        <is>
          <t>invoiceplane invoiceplane 1.7.0</t>
        </is>
      </c>
      <c r="N294" t="inlineStr">
        <is>
          <t>P4</t>
        </is>
      </c>
      <c r="O294" t="inlineStr">
        <is>
          <t>CVE - IP enrichment n/a</t>
        </is>
      </c>
      <c r="P294" t="n">
        <v>0</v>
      </c>
      <c r="Q294" t="n">
        <v>0</v>
      </c>
      <c r="R294" t="inlineStr">
        <is>
          <t>T1189:Drive-by Compromise | T1190:Exploit Public-Facing Application | T1543:Create or Modify System Process</t>
        </is>
      </c>
      <c r="S294" t="n">
        <v>1</v>
      </c>
      <c r="T294" t="inlineStr">
        <is>
          <t>LOW (40%)</t>
        </is>
      </c>
      <c r="U294" t="inlineStr">
        <is>
          <t>UNLIKELY</t>
        </is>
      </c>
      <c r="V294" t="inlineStr">
        <is>
          <t>PATCH_AVAILABLE</t>
        </is>
      </c>
      <c r="W294" t="inlineStr">
        <is>
          <t>https://nvd.nist.gov/vuln/detail/CVE-2026-24746</t>
        </is>
      </c>
      <c r="X294" t="inlineStr">
        <is>
          <t>NONE</t>
        </is>
      </c>
      <c r="Y294" t="n">
        <v>0</v>
      </c>
      <c r="Z294" t="inlineStr"/>
      <c r="AA294" t="inlineStr">
        <is>
          <t>https://nvd.nist.gov/vuln/detail/CVE-2026-24746</t>
        </is>
      </c>
    </row>
    <row r="295">
      <c r="A295" t="inlineStr">
        <is>
          <t>CVE</t>
        </is>
      </c>
      <c r="B295" t="inlineStr">
        <is>
          <t>CVE-2026-2667</t>
        </is>
      </c>
      <c r="C295" t="inlineStr">
        <is>
          <t>A vulnerability has been found in Rongzhitong Visual Integrated Command and Dispatch Platform up to 20260206. The impacted element is an unknown function of the file /dispatch/api?cmd=userinfo. The manipulation leads to improper access controls. The attack may be initiated remotely. The exploit has been disclosed to the public and may be used. The vendor was contacted early about this disclosure but did not respond in any way.</t>
        </is>
      </c>
      <c r="D295" t="n">
        <v>5.3</v>
      </c>
      <c r="E295" t="inlineStr">
        <is>
          <t>MEDIUM</t>
        </is>
      </c>
      <c r="F295" t="n">
        <v>2</v>
      </c>
      <c r="G295" t="n">
        <v>2</v>
      </c>
      <c r="H295" t="inlineStr">
        <is>
          <t>MEDIUM</t>
        </is>
      </c>
      <c r="I295" t="n">
        <v>9.300000000000001</v>
      </c>
      <c r="J295" t="inlineStr">
        <is>
          <t>NO</t>
        </is>
      </c>
      <c r="K295" t="inlineStr">
        <is>
          <t>2026-02-23 23:48</t>
        </is>
      </c>
      <c r="L295" t="inlineStr">
        <is>
          <t>CHECK_VENDOR</t>
        </is>
      </c>
      <c r="M295" t="inlineStr">
        <is>
          <t>See CVE details</t>
        </is>
      </c>
      <c r="N295" t="inlineStr">
        <is>
          <t>P4</t>
        </is>
      </c>
      <c r="O295" t="inlineStr">
        <is>
          <t>CVE - IP enrichment n/a</t>
        </is>
      </c>
      <c r="P295" t="n">
        <v>0</v>
      </c>
      <c r="Q295" t="n">
        <v>0</v>
      </c>
      <c r="R295" t="inlineStr">
        <is>
          <t>T1190:Exploit Public-Facing Application</t>
        </is>
      </c>
      <c r="S295" t="n">
        <v>1</v>
      </c>
      <c r="T295" t="inlineStr">
        <is>
          <t>LOW (40%)</t>
        </is>
      </c>
      <c r="U295" t="inlineStr">
        <is>
          <t>UNLIKELY</t>
        </is>
      </c>
      <c r="V295" t="inlineStr">
        <is>
          <t>CHECK_VENDOR</t>
        </is>
      </c>
      <c r="W295" t="inlineStr">
        <is>
          <t>https://nvd.nist.gov/vuln/detail/CVE-2026-2667</t>
        </is>
      </c>
      <c r="X295" t="inlineStr">
        <is>
          <t>NONE</t>
        </is>
      </c>
      <c r="Y295" t="n">
        <v>0</v>
      </c>
      <c r="Z295" t="inlineStr"/>
      <c r="AA295" t="inlineStr">
        <is>
          <t>https://nvd.nist.gov/vuln/detail/CVE-2026-2667</t>
        </is>
      </c>
    </row>
    <row r="296">
      <c r="A296" t="inlineStr">
        <is>
          <t>CVE</t>
        </is>
      </c>
      <c r="B296" t="inlineStr">
        <is>
          <t>CVE-2026-2668</t>
        </is>
      </c>
      <c r="C296" t="inlineStr">
        <is>
          <t>A vulnerability was found in Rongzhitong Visual Integrated Command and Dispatch Platform up to 20260206. This affects an unknown function of the file /dm/dispatch/user/add of the component User Handler. The manipulation results in improper access controls. The attack may be launched remotely. The exploit has been made public and could be used. The vendor was contacted early about this disclosure but did not respond in any way.</t>
        </is>
      </c>
      <c r="D296" t="n">
        <v>7.3</v>
      </c>
      <c r="E296" t="inlineStr">
        <is>
          <t>HIGH</t>
        </is>
      </c>
      <c r="F296" t="n">
        <v>2</v>
      </c>
      <c r="G296" t="n">
        <v>3</v>
      </c>
      <c r="H296" t="inlineStr">
        <is>
          <t>HIGH</t>
        </is>
      </c>
      <c r="I296" t="n">
        <v>13.3</v>
      </c>
      <c r="J296" t="inlineStr">
        <is>
          <t>NO</t>
        </is>
      </c>
      <c r="K296" t="inlineStr">
        <is>
          <t>2026-02-23 23:48</t>
        </is>
      </c>
      <c r="L296" t="inlineStr">
        <is>
          <t>CHECK_VENDOR</t>
        </is>
      </c>
      <c r="M296" t="inlineStr">
        <is>
          <t>See CVE details</t>
        </is>
      </c>
      <c r="N296" t="inlineStr">
        <is>
          <t>P3</t>
        </is>
      </c>
      <c r="O296" t="inlineStr">
        <is>
          <t>CVE - IP enrichment n/a</t>
        </is>
      </c>
      <c r="P296" t="n">
        <v>0</v>
      </c>
      <c r="Q296" t="n">
        <v>0</v>
      </c>
      <c r="R296" t="inlineStr">
        <is>
          <t>T1190:Exploit Public-Facing Application</t>
        </is>
      </c>
      <c r="S296" t="n">
        <v>1</v>
      </c>
      <c r="T296" t="inlineStr">
        <is>
          <t>LOW (40%)</t>
        </is>
      </c>
      <c r="U296" t="inlineStr">
        <is>
          <t>UNLIKELY</t>
        </is>
      </c>
      <c r="V296" t="inlineStr">
        <is>
          <t>CHECK_VENDOR</t>
        </is>
      </c>
      <c r="W296" t="inlineStr">
        <is>
          <t>https://nvd.nist.gov/vuln/detail/CVE-2026-2668</t>
        </is>
      </c>
      <c r="X296" t="inlineStr">
        <is>
          <t>NONE</t>
        </is>
      </c>
      <c r="Y296" t="n">
        <v>0</v>
      </c>
      <c r="Z296" t="inlineStr"/>
      <c r="AA296" t="inlineStr">
        <is>
          <t>https://nvd.nist.gov/vuln/detail/CVE-2026-2668</t>
        </is>
      </c>
    </row>
    <row r="297">
      <c r="A297" t="inlineStr">
        <is>
          <t>CVE</t>
        </is>
      </c>
      <c r="B297" t="inlineStr">
        <is>
          <t>CVE-2019-25326</t>
        </is>
      </c>
      <c r="C297" t="inlineStr">
        <is>
          <t>ipPulse 1.92 contains a denial of service vulnerability that allows local attackers to crash the application by providing an oversized input in the Enter Key field. Attackers can generate a 256-byte buffer of repeated 'A' characters to trigger an application crash when pasting the malicious content.</t>
        </is>
      </c>
      <c r="D297" t="n">
        <v>6.2</v>
      </c>
      <c r="E297" t="inlineStr">
        <is>
          <t>MEDIUM</t>
        </is>
      </c>
      <c r="F297" t="n">
        <v>2</v>
      </c>
      <c r="G297" t="n">
        <v>2</v>
      </c>
      <c r="H297" t="inlineStr">
        <is>
          <t>MEDIUM</t>
        </is>
      </c>
      <c r="I297" t="n">
        <v>10.2</v>
      </c>
      <c r="J297" t="inlineStr">
        <is>
          <t>NO</t>
        </is>
      </c>
      <c r="K297" t="inlineStr">
        <is>
          <t>2026-02-23 23:48</t>
        </is>
      </c>
      <c r="L297" t="inlineStr">
        <is>
          <t>CHECK_VENDOR</t>
        </is>
      </c>
      <c r="M297" t="inlineStr">
        <is>
          <t>See CVE details</t>
        </is>
      </c>
      <c r="N297" t="inlineStr">
        <is>
          <t>P4</t>
        </is>
      </c>
      <c r="O297" t="inlineStr">
        <is>
          <t>CVE - IP enrichment n/a</t>
        </is>
      </c>
      <c r="P297" t="n">
        <v>0</v>
      </c>
      <c r="Q297" t="n">
        <v>0</v>
      </c>
      <c r="R297" t="inlineStr">
        <is>
          <t>T1203:Exploitation for Client Execution | T1499:Endpoint Denial of Service</t>
        </is>
      </c>
      <c r="S297" t="n">
        <v>1</v>
      </c>
      <c r="T297" t="inlineStr">
        <is>
          <t>LOW (40%)</t>
        </is>
      </c>
      <c r="U297" t="inlineStr">
        <is>
          <t>UNLIKELY</t>
        </is>
      </c>
      <c r="V297" t="inlineStr">
        <is>
          <t>CHECK_VENDOR</t>
        </is>
      </c>
      <c r="W297" t="inlineStr">
        <is>
          <t>https://nvd.nist.gov/vuln/detail/CVE-2019-25326</t>
        </is>
      </c>
      <c r="X297" t="inlineStr">
        <is>
          <t>NONE</t>
        </is>
      </c>
      <c r="Y297" t="n">
        <v>0</v>
      </c>
      <c r="Z297" t="inlineStr"/>
      <c r="AA297" t="inlineStr">
        <is>
          <t>https://nvd.nist.gov/vuln/detail/CVE-2019-25326</t>
        </is>
      </c>
    </row>
    <row r="298">
      <c r="A298" t="inlineStr">
        <is>
          <t>CVE</t>
        </is>
      </c>
      <c r="B298" t="inlineStr">
        <is>
          <t>CVE-2019-25349</t>
        </is>
      </c>
      <c r="C298" t="inlineStr">
        <is>
          <t>ScadaApp for iOS 1.1.4.0 contains a denial of service vulnerability that allows attackers to crash the application by inputting an oversized buffer in the Servername field. Attackers can paste a 257-character buffer during login to trigger an application crash on iOS devices.</t>
        </is>
      </c>
      <c r="D298" t="n">
        <v>7.5</v>
      </c>
      <c r="E298" t="inlineStr">
        <is>
          <t>HIGH</t>
        </is>
      </c>
      <c r="F298" t="n">
        <v>2</v>
      </c>
      <c r="G298" t="n">
        <v>3</v>
      </c>
      <c r="H298" t="inlineStr">
        <is>
          <t>HIGH</t>
        </is>
      </c>
      <c r="I298" t="n">
        <v>13.5</v>
      </c>
      <c r="J298" t="inlineStr">
        <is>
          <t>NO</t>
        </is>
      </c>
      <c r="K298" t="inlineStr">
        <is>
          <t>2026-02-23 23:48</t>
        </is>
      </c>
      <c r="L298" t="inlineStr">
        <is>
          <t>CHECK_VENDOR</t>
        </is>
      </c>
      <c r="M298" t="inlineStr">
        <is>
          <t>See CVE details</t>
        </is>
      </c>
      <c r="N298" t="inlineStr">
        <is>
          <t>P3</t>
        </is>
      </c>
      <c r="O298" t="inlineStr">
        <is>
          <t>CVE - IP enrichment n/a</t>
        </is>
      </c>
      <c r="P298" t="n">
        <v>0</v>
      </c>
      <c r="Q298" t="n">
        <v>0</v>
      </c>
      <c r="R298" t="inlineStr">
        <is>
          <t>T1203:Exploitation for Client Execution | T1499:Endpoint Denial of Service</t>
        </is>
      </c>
      <c r="S298" t="n">
        <v>1</v>
      </c>
      <c r="T298" t="inlineStr">
        <is>
          <t>LOW (40%)</t>
        </is>
      </c>
      <c r="U298" t="inlineStr">
        <is>
          <t>UNLIKELY</t>
        </is>
      </c>
      <c r="V298" t="inlineStr">
        <is>
          <t>CHECK_VENDOR</t>
        </is>
      </c>
      <c r="W298" t="inlineStr">
        <is>
          <t>https://nvd.nist.gov/vuln/detail/CVE-2019-25349</t>
        </is>
      </c>
      <c r="X298" t="inlineStr">
        <is>
          <t>NONE</t>
        </is>
      </c>
      <c r="Y298" t="n">
        <v>0</v>
      </c>
      <c r="Z298" t="inlineStr"/>
      <c r="AA298" t="inlineStr">
        <is>
          <t>https://nvd.nist.gov/vuln/detail/CVE-2019-25349</t>
        </is>
      </c>
    </row>
    <row r="299">
      <c r="A299" t="inlineStr">
        <is>
          <t>CVE</t>
        </is>
      </c>
      <c r="B299" t="inlineStr">
        <is>
          <t>CVE-2019-25350</t>
        </is>
      </c>
      <c r="C299" t="inlineStr">
        <is>
          <t>XMedia Recode 3.4.8.6 contains a denial of service vulnerability that allows attackers to crash the application by loading a specially crafted .m3u playlist file. Attackers can create a malicious .m3u file with an oversized buffer to trigger an application crash when the file is opened.</t>
        </is>
      </c>
      <c r="D299" t="n">
        <v>7.5</v>
      </c>
      <c r="E299" t="inlineStr">
        <is>
          <t>HIGH</t>
        </is>
      </c>
      <c r="F299" t="n">
        <v>2</v>
      </c>
      <c r="G299" t="n">
        <v>3</v>
      </c>
      <c r="H299" t="inlineStr">
        <is>
          <t>HIGH</t>
        </is>
      </c>
      <c r="I299" t="n">
        <v>13.5</v>
      </c>
      <c r="J299" t="inlineStr">
        <is>
          <t>NO</t>
        </is>
      </c>
      <c r="K299" t="inlineStr">
        <is>
          <t>2026-02-23 23:48</t>
        </is>
      </c>
      <c r="L299" t="inlineStr">
        <is>
          <t>CHECK_VENDOR</t>
        </is>
      </c>
      <c r="M299" t="inlineStr">
        <is>
          <t>See CVE details</t>
        </is>
      </c>
      <c r="N299" t="inlineStr">
        <is>
          <t>P3</t>
        </is>
      </c>
      <c r="O299" t="inlineStr">
        <is>
          <t>CVE - IP enrichment n/a</t>
        </is>
      </c>
      <c r="P299" t="n">
        <v>0</v>
      </c>
      <c r="Q299" t="n">
        <v>0</v>
      </c>
      <c r="R299" t="inlineStr">
        <is>
          <t>T1499:Endpoint Denial of Service</t>
        </is>
      </c>
      <c r="S299" t="n">
        <v>1</v>
      </c>
      <c r="T299" t="inlineStr">
        <is>
          <t>LOW (40%)</t>
        </is>
      </c>
      <c r="U299" t="inlineStr">
        <is>
          <t>UNLIKELY</t>
        </is>
      </c>
      <c r="V299" t="inlineStr">
        <is>
          <t>CHECK_VENDOR</t>
        </is>
      </c>
      <c r="W299" t="inlineStr">
        <is>
          <t>https://nvd.nist.gov/vuln/detail/CVE-2019-25350</t>
        </is>
      </c>
      <c r="X299" t="inlineStr">
        <is>
          <t>NONE</t>
        </is>
      </c>
      <c r="Y299" t="n">
        <v>0</v>
      </c>
      <c r="Z299" t="inlineStr"/>
      <c r="AA299" t="inlineStr">
        <is>
          <t>https://nvd.nist.gov/vuln/detail/CVE-2019-25350</t>
        </is>
      </c>
    </row>
    <row r="300">
      <c r="A300" t="inlineStr">
        <is>
          <t>CVE</t>
        </is>
      </c>
      <c r="B300" t="inlineStr">
        <is>
          <t>CVE-2019-25351</t>
        </is>
      </c>
      <c r="C300" t="inlineStr">
        <is>
          <t>Centova Cast 3.2.11 contains a file download vulnerability that allows authenticated attackers to retrieve arbitrary system files through the server.copyfile API endpoint. Attackers can exploit the vulnerability by supplying crafted parameters to download sensitive files like /etc/passwd using curl and wget requests.</t>
        </is>
      </c>
      <c r="D300" t="n">
        <v>8.800000000000001</v>
      </c>
      <c r="E300" t="inlineStr">
        <is>
          <t>HIGH</t>
        </is>
      </c>
      <c r="F300" t="n">
        <v>2</v>
      </c>
      <c r="G300" t="n">
        <v>3</v>
      </c>
      <c r="H300" t="inlineStr">
        <is>
          <t>HIGH</t>
        </is>
      </c>
      <c r="I300" t="n">
        <v>14.8</v>
      </c>
      <c r="J300" t="inlineStr">
        <is>
          <t>NO</t>
        </is>
      </c>
      <c r="K300" t="inlineStr">
        <is>
          <t>2026-02-23 23:48</t>
        </is>
      </c>
      <c r="L300" t="inlineStr">
        <is>
          <t>CHECK_VENDOR</t>
        </is>
      </c>
      <c r="M300" t="inlineStr">
        <is>
          <t>See CVE details</t>
        </is>
      </c>
      <c r="N300" t="inlineStr">
        <is>
          <t>P3</t>
        </is>
      </c>
      <c r="O300" t="inlineStr">
        <is>
          <t>CVE - IP enrichment n/a</t>
        </is>
      </c>
      <c r="P300" t="n">
        <v>0</v>
      </c>
      <c r="Q300" t="n">
        <v>0</v>
      </c>
      <c r="R300" t="inlineStr">
        <is>
          <t>T1190:Exploit Public-Facing Application</t>
        </is>
      </c>
      <c r="S300" t="n">
        <v>1</v>
      </c>
      <c r="T300" t="inlineStr">
        <is>
          <t>LOW (40%)</t>
        </is>
      </c>
      <c r="U300" t="inlineStr">
        <is>
          <t>UNLIKELY</t>
        </is>
      </c>
      <c r="V300" t="inlineStr">
        <is>
          <t>CHECK_VENDOR</t>
        </is>
      </c>
      <c r="W300" t="inlineStr">
        <is>
          <t>https://nvd.nist.gov/vuln/detail/CVE-2019-25351</t>
        </is>
      </c>
      <c r="X300" t="inlineStr">
        <is>
          <t>NONE</t>
        </is>
      </c>
      <c r="Y300" t="n">
        <v>0</v>
      </c>
      <c r="Z300" t="inlineStr"/>
      <c r="AA300" t="inlineStr">
        <is>
          <t>https://nvd.nist.gov/vuln/detail/CVE-2019-25351</t>
        </is>
      </c>
    </row>
    <row r="301">
      <c r="A301" t="inlineStr">
        <is>
          <t>CVE</t>
        </is>
      </c>
      <c r="B301" t="inlineStr">
        <is>
          <t>CVE-2019-25352</t>
        </is>
      </c>
      <c r="C301" t="inlineStr">
        <is>
          <t>Crystal Live HTTP Server 6.01 contains a directory traversal vulnerability that allows remote attackers to access system files by manipulating URL path segments. Attackers can use multiple '../' sequences to navigate outside the web root and retrieve sensitive configuration files like Windows system files.</t>
        </is>
      </c>
      <c r="D301" t="n">
        <v>7.5</v>
      </c>
      <c r="E301" t="inlineStr">
        <is>
          <t>HIGH</t>
        </is>
      </c>
      <c r="F301" t="n">
        <v>2</v>
      </c>
      <c r="G301" t="n">
        <v>3</v>
      </c>
      <c r="H301" t="inlineStr">
        <is>
          <t>HIGH</t>
        </is>
      </c>
      <c r="I301" t="n">
        <v>13.5</v>
      </c>
      <c r="J301" t="inlineStr">
        <is>
          <t>NO</t>
        </is>
      </c>
      <c r="K301" t="inlineStr">
        <is>
          <t>2026-02-23 23:48</t>
        </is>
      </c>
      <c r="L301" t="inlineStr">
        <is>
          <t>CHECK_VENDOR</t>
        </is>
      </c>
      <c r="M301" t="inlineStr">
        <is>
          <t>See CVE details</t>
        </is>
      </c>
      <c r="N301" t="inlineStr">
        <is>
          <t>P3</t>
        </is>
      </c>
      <c r="O301" t="inlineStr">
        <is>
          <t>CVE - IP enrichment n/a</t>
        </is>
      </c>
      <c r="P301" t="n">
        <v>0.0032</v>
      </c>
      <c r="Q301" t="n">
        <v>0.5459000000000001</v>
      </c>
      <c r="R301" t="inlineStr">
        <is>
          <t>T1083:File and Directory Discovery</t>
        </is>
      </c>
      <c r="S301" t="n">
        <v>1</v>
      </c>
      <c r="T301" t="inlineStr">
        <is>
          <t>LOW (40%)</t>
        </is>
      </c>
      <c r="U301" t="inlineStr">
        <is>
          <t>UNLIKELY</t>
        </is>
      </c>
      <c r="V301" t="inlineStr">
        <is>
          <t>CHECK_VENDOR</t>
        </is>
      </c>
      <c r="W301" t="inlineStr">
        <is>
          <t>https://nvd.nist.gov/vuln/detail/CVE-2019-25352</t>
        </is>
      </c>
      <c r="X301" t="inlineStr">
        <is>
          <t>NONE</t>
        </is>
      </c>
      <c r="Y301" t="n">
        <v>0</v>
      </c>
      <c r="Z301" t="inlineStr"/>
      <c r="AA301" t="inlineStr">
        <is>
          <t>https://nvd.nist.gov/vuln/detail/CVE-2019-25352</t>
        </is>
      </c>
    </row>
    <row r="302">
      <c r="A302" t="inlineStr">
        <is>
          <t>CVE</t>
        </is>
      </c>
      <c r="B302" t="inlineStr">
        <is>
          <t>CVE-2019-25353</t>
        </is>
      </c>
      <c r="C302" t="inlineStr">
        <is>
          <t>Foscam Video Management System 1.1.4.9 contains a denial of service vulnerability in the username input field that allows attackers to crash the application. Attackers can overwrite the username with a 520-byte buffer of repeated 'A' characters to trigger an application crash during device login.</t>
        </is>
      </c>
      <c r="D302" t="n">
        <v>7.5</v>
      </c>
      <c r="E302" t="inlineStr">
        <is>
          <t>HIGH</t>
        </is>
      </c>
      <c r="F302" t="n">
        <v>2</v>
      </c>
      <c r="G302" t="n">
        <v>3</v>
      </c>
      <c r="H302" t="inlineStr">
        <is>
          <t>HIGH</t>
        </is>
      </c>
      <c r="I302" t="n">
        <v>13.5</v>
      </c>
      <c r="J302" t="inlineStr">
        <is>
          <t>NO</t>
        </is>
      </c>
      <c r="K302" t="inlineStr">
        <is>
          <t>2026-02-23 23:48</t>
        </is>
      </c>
      <c r="L302" t="inlineStr">
        <is>
          <t>CHECK_VENDOR</t>
        </is>
      </c>
      <c r="M302" t="inlineStr">
        <is>
          <t>See CVE details</t>
        </is>
      </c>
      <c r="N302" t="inlineStr">
        <is>
          <t>P3</t>
        </is>
      </c>
      <c r="O302" t="inlineStr">
        <is>
          <t>CVE - IP enrichment n/a</t>
        </is>
      </c>
      <c r="P302" t="n">
        <v>0</v>
      </c>
      <c r="Q302" t="n">
        <v>0</v>
      </c>
      <c r="R302" t="inlineStr">
        <is>
          <t>T1203:Exploitation for Client Execution | T1499:Endpoint Denial of Service</t>
        </is>
      </c>
      <c r="S302" t="n">
        <v>1</v>
      </c>
      <c r="T302" t="inlineStr">
        <is>
          <t>LOW (40%)</t>
        </is>
      </c>
      <c r="U302" t="inlineStr">
        <is>
          <t>UNLIKELY</t>
        </is>
      </c>
      <c r="V302" t="inlineStr">
        <is>
          <t>CHECK_VENDOR</t>
        </is>
      </c>
      <c r="W302" t="inlineStr">
        <is>
          <t>https://nvd.nist.gov/vuln/detail/CVE-2019-25353</t>
        </is>
      </c>
      <c r="X302" t="inlineStr">
        <is>
          <t>NONE</t>
        </is>
      </c>
      <c r="Y302" t="n">
        <v>0</v>
      </c>
      <c r="Z302" t="inlineStr"/>
      <c r="AA302" t="inlineStr">
        <is>
          <t>https://nvd.nist.gov/vuln/detail/CVE-2019-25353</t>
        </is>
      </c>
    </row>
    <row r="303">
      <c r="A303" t="inlineStr">
        <is>
          <t>CVE</t>
        </is>
      </c>
      <c r="B303" t="inlineStr">
        <is>
          <t>CVE-2019-25354</t>
        </is>
      </c>
      <c r="C303" t="inlineStr">
        <is>
          <t>iSmartViewPro 1.3.34 contains a denial of service vulnerability that allows attackers to crash the application by overflowing the camera ID input field. Attackers can paste a 257-character buffer into the camera DID and password fields to trigger an application crash on iOS devices.</t>
        </is>
      </c>
      <c r="D303" t="n">
        <v>7.5</v>
      </c>
      <c r="E303" t="inlineStr">
        <is>
          <t>HIGH</t>
        </is>
      </c>
      <c r="F303" t="n">
        <v>2</v>
      </c>
      <c r="G303" t="n">
        <v>3</v>
      </c>
      <c r="H303" t="inlineStr">
        <is>
          <t>HIGH</t>
        </is>
      </c>
      <c r="I303" t="n">
        <v>13.5</v>
      </c>
      <c r="J303" t="inlineStr">
        <is>
          <t>NO</t>
        </is>
      </c>
      <c r="K303" t="inlineStr">
        <is>
          <t>2026-02-23 23:48</t>
        </is>
      </c>
      <c r="L303" t="inlineStr">
        <is>
          <t>CHECK_VENDOR</t>
        </is>
      </c>
      <c r="M303" t="inlineStr">
        <is>
          <t>See CVE details</t>
        </is>
      </c>
      <c r="N303" t="inlineStr">
        <is>
          <t>P3</t>
        </is>
      </c>
      <c r="O303" t="inlineStr">
        <is>
          <t>CVE - IP enrichment n/a</t>
        </is>
      </c>
      <c r="P303" t="n">
        <v>0</v>
      </c>
      <c r="Q303" t="n">
        <v>0</v>
      </c>
      <c r="R303" t="inlineStr">
        <is>
          <t>T1203:Exploitation for Client Execution | T1499:Endpoint Denial of Service</t>
        </is>
      </c>
      <c r="S303" t="n">
        <v>1</v>
      </c>
      <c r="T303" t="inlineStr">
        <is>
          <t>LOW (40%)</t>
        </is>
      </c>
      <c r="U303" t="inlineStr">
        <is>
          <t>UNLIKELY</t>
        </is>
      </c>
      <c r="V303" t="inlineStr">
        <is>
          <t>CHECK_VENDOR</t>
        </is>
      </c>
      <c r="W303" t="inlineStr">
        <is>
          <t>https://nvd.nist.gov/vuln/detail/CVE-2019-25354</t>
        </is>
      </c>
      <c r="X303" t="inlineStr">
        <is>
          <t>NONE</t>
        </is>
      </c>
      <c r="Y303" t="n">
        <v>0</v>
      </c>
      <c r="Z303" t="inlineStr"/>
      <c r="AA303" t="inlineStr">
        <is>
          <t>https://nvd.nist.gov/vuln/detail/CVE-2019-25354</t>
        </is>
      </c>
    </row>
    <row r="304">
      <c r="A304" t="inlineStr">
        <is>
          <t>CVE</t>
        </is>
      </c>
      <c r="B304" t="inlineStr">
        <is>
          <t>CVE-2019-25355</t>
        </is>
      </c>
      <c r="C304" t="inlineStr">
        <is>
          <t>gSOAP 2.8 contains a directory traversal vulnerability that allows unauthenticated attackers to access system files by manipulating HTTP path traversal techniques. Attackers can retrieve sensitive files like /etc/passwd by sending crafted GET requests with multiple '../' directory traversal sequences.</t>
        </is>
      </c>
      <c r="D304" t="n">
        <v>7.5</v>
      </c>
      <c r="E304" t="inlineStr">
        <is>
          <t>HIGH</t>
        </is>
      </c>
      <c r="F304" t="n">
        <v>2</v>
      </c>
      <c r="G304" t="n">
        <v>3</v>
      </c>
      <c r="H304" t="inlineStr">
        <is>
          <t>HIGH</t>
        </is>
      </c>
      <c r="I304" t="n">
        <v>13.5</v>
      </c>
      <c r="J304" t="inlineStr">
        <is>
          <t>NO</t>
        </is>
      </c>
      <c r="K304" t="inlineStr">
        <is>
          <t>2026-02-23 23:48</t>
        </is>
      </c>
      <c r="L304" t="inlineStr">
        <is>
          <t>CHECK_VENDOR</t>
        </is>
      </c>
      <c r="M304" t="inlineStr">
        <is>
          <t>See CVE details</t>
        </is>
      </c>
      <c r="N304" t="inlineStr">
        <is>
          <t>P3</t>
        </is>
      </c>
      <c r="O304" t="inlineStr">
        <is>
          <t>CVE - IP enrichment n/a</t>
        </is>
      </c>
      <c r="P304" t="n">
        <v>0.0043</v>
      </c>
      <c r="Q304" t="n">
        <v>0.6193</v>
      </c>
      <c r="R304" t="inlineStr">
        <is>
          <t>T1083:File and Directory Discovery</t>
        </is>
      </c>
      <c r="S304" t="n">
        <v>1</v>
      </c>
      <c r="T304" t="inlineStr">
        <is>
          <t>LOW (40%)</t>
        </is>
      </c>
      <c r="U304" t="inlineStr">
        <is>
          <t>UNLIKELY</t>
        </is>
      </c>
      <c r="V304" t="inlineStr">
        <is>
          <t>CHECK_VENDOR</t>
        </is>
      </c>
      <c r="W304" t="inlineStr">
        <is>
          <t>https://nvd.nist.gov/vuln/detail/CVE-2019-25355</t>
        </is>
      </c>
      <c r="X304" t="inlineStr">
        <is>
          <t>NONE</t>
        </is>
      </c>
      <c r="Y304" t="n">
        <v>0</v>
      </c>
      <c r="Z304" t="inlineStr"/>
      <c r="AA304" t="inlineStr">
        <is>
          <t>https://nvd.nist.gov/vuln/detail/CVE-2019-25355</t>
        </is>
      </c>
    </row>
    <row r="305">
      <c r="A305" t="inlineStr">
        <is>
          <t>CVE</t>
        </is>
      </c>
      <c r="B305" t="inlineStr">
        <is>
          <t>CVE-2019-25356</t>
        </is>
      </c>
      <c r="C305" t="inlineStr">
        <is>
          <t>Bematech (formerly Logic Controls, now Elgin) MP-4200 TH printer contains a cross-site scripting vulnerability in the admin configuration page. Attackers can inject malicious scripts via crafted POST requests with malformed 'admin' and 'person' parameters, allowing execution of arbitrary JavaScript in the context of an authenticated user's browser session.</t>
        </is>
      </c>
      <c r="D305" t="n">
        <v>6.1</v>
      </c>
      <c r="E305" t="inlineStr">
        <is>
          <t>MEDIUM</t>
        </is>
      </c>
      <c r="F305" t="n">
        <v>2</v>
      </c>
      <c r="G305" t="n">
        <v>2</v>
      </c>
      <c r="H305" t="inlineStr">
        <is>
          <t>MEDIUM</t>
        </is>
      </c>
      <c r="I305" t="n">
        <v>10.1</v>
      </c>
      <c r="J305" t="inlineStr">
        <is>
          <t>NO</t>
        </is>
      </c>
      <c r="K305" t="inlineStr">
        <is>
          <t>2026-02-23 23:48</t>
        </is>
      </c>
      <c r="L305" t="inlineStr">
        <is>
          <t>CHECK_VENDOR</t>
        </is>
      </c>
      <c r="M305" t="inlineStr">
        <is>
          <t>See CVE details</t>
        </is>
      </c>
      <c r="N305" t="inlineStr">
        <is>
          <t>P4</t>
        </is>
      </c>
      <c r="O305" t="inlineStr">
        <is>
          <t>CVE - IP enrichment n/a</t>
        </is>
      </c>
      <c r="P305" t="n">
        <v>0</v>
      </c>
      <c r="Q305" t="n">
        <v>0</v>
      </c>
      <c r="R305" t="inlineStr">
        <is>
          <t>T1189:Drive-by Compromise</t>
        </is>
      </c>
      <c r="S305" t="n">
        <v>1</v>
      </c>
      <c r="T305" t="inlineStr">
        <is>
          <t>LOW (40%)</t>
        </is>
      </c>
      <c r="U305" t="inlineStr">
        <is>
          <t>UNLIKELY</t>
        </is>
      </c>
      <c r="V305" t="inlineStr">
        <is>
          <t>CHECK_VENDOR</t>
        </is>
      </c>
      <c r="W305" t="inlineStr">
        <is>
          <t>https://nvd.nist.gov/vuln/detail/CVE-2019-25356</t>
        </is>
      </c>
      <c r="X305" t="inlineStr">
        <is>
          <t>NONE</t>
        </is>
      </c>
      <c r="Y305" t="n">
        <v>0</v>
      </c>
      <c r="Z305" t="inlineStr"/>
      <c r="AA305" t="inlineStr">
        <is>
          <t>https://nvd.nist.gov/vuln/detail/CVE-2019-25356</t>
        </is>
      </c>
    </row>
    <row r="306">
      <c r="A306" t="inlineStr">
        <is>
          <t>CVE</t>
        </is>
      </c>
      <c r="B306" t="inlineStr">
        <is>
          <t>CVE-2019-25357</t>
        </is>
      </c>
      <c r="C306" t="inlineStr">
        <is>
          <t>Control Center PRO 6.2.9 contains a stack-based buffer overflow vulnerability in the user creation module's username field that allows attackers to overwrite Structured Exception Handler (SEH). Attackers can craft a malicious payload exceeding 664 bytes to inject shellcode and potentially execute arbitrary code on vulnerable Windows systems.</t>
        </is>
      </c>
      <c r="D306" t="n">
        <v>8.4</v>
      </c>
      <c r="E306" t="inlineStr">
        <is>
          <t>HIGH</t>
        </is>
      </c>
      <c r="F306" t="n">
        <v>2</v>
      </c>
      <c r="G306" t="n">
        <v>3</v>
      </c>
      <c r="H306" t="inlineStr">
        <is>
          <t>HIGH</t>
        </is>
      </c>
      <c r="I306" t="n">
        <v>14.4</v>
      </c>
      <c r="J306" t="inlineStr">
        <is>
          <t>NO</t>
        </is>
      </c>
      <c r="K306" t="inlineStr">
        <is>
          <t>2026-02-23 23:48</t>
        </is>
      </c>
      <c r="L306" t="inlineStr">
        <is>
          <t>CHECK_VENDOR</t>
        </is>
      </c>
      <c r="M306" t="inlineStr">
        <is>
          <t>See CVE details</t>
        </is>
      </c>
      <c r="N306" t="inlineStr">
        <is>
          <t>P3</t>
        </is>
      </c>
      <c r="O306" t="inlineStr">
        <is>
          <t>CVE - IP enrichment n/a</t>
        </is>
      </c>
      <c r="P306" t="n">
        <v>0</v>
      </c>
      <c r="Q306" t="n">
        <v>0</v>
      </c>
      <c r="R306" t="inlineStr">
        <is>
          <t>T1190:Exploit Public-Facing Application | T1203:Exploitation for Client Execution</t>
        </is>
      </c>
      <c r="S306" t="n">
        <v>1</v>
      </c>
      <c r="T306" t="inlineStr">
        <is>
          <t>LOW (40%)</t>
        </is>
      </c>
      <c r="U306" t="inlineStr">
        <is>
          <t>UNLIKELY</t>
        </is>
      </c>
      <c r="V306" t="inlineStr">
        <is>
          <t>CHECK_VENDOR</t>
        </is>
      </c>
      <c r="W306" t="inlineStr">
        <is>
          <t>https://nvd.nist.gov/vuln/detail/CVE-2019-25357</t>
        </is>
      </c>
      <c r="X306" t="inlineStr">
        <is>
          <t>NONE</t>
        </is>
      </c>
      <c r="Y306" t="n">
        <v>0</v>
      </c>
      <c r="Z306" t="inlineStr"/>
      <c r="AA306" t="inlineStr">
        <is>
          <t>https://nvd.nist.gov/vuln/detail/CVE-2019-25357</t>
        </is>
      </c>
    </row>
    <row r="307">
      <c r="A307" t="inlineStr">
        <is>
          <t>CVE</t>
        </is>
      </c>
      <c r="B307" t="inlineStr">
        <is>
          <t>CVE-2019-25358</t>
        </is>
      </c>
      <c r="C307" t="inlineStr">
        <is>
          <t>FileOptimizer 14.00.2524 contains a denial of service vulnerability that allows attackers to crash the application by manipulating the FileOptimizer32.ini configuration file. Attackers can overwrite the TempDirectory parameter with a 5000-character buffer to cause the application to crash when opening options.</t>
        </is>
      </c>
      <c r="D307" t="n">
        <v>7.5</v>
      </c>
      <c r="E307" t="inlineStr">
        <is>
          <t>HIGH</t>
        </is>
      </c>
      <c r="F307" t="n">
        <v>2</v>
      </c>
      <c r="G307" t="n">
        <v>3</v>
      </c>
      <c r="H307" t="inlineStr">
        <is>
          <t>HIGH</t>
        </is>
      </c>
      <c r="I307" t="n">
        <v>13.5</v>
      </c>
      <c r="J307" t="inlineStr">
        <is>
          <t>NO</t>
        </is>
      </c>
      <c r="K307" t="inlineStr">
        <is>
          <t>2026-02-23 23:48</t>
        </is>
      </c>
      <c r="L307" t="inlineStr">
        <is>
          <t>CHECK_VENDOR</t>
        </is>
      </c>
      <c r="M307" t="inlineStr">
        <is>
          <t>See CVE details</t>
        </is>
      </c>
      <c r="N307" t="inlineStr">
        <is>
          <t>P3</t>
        </is>
      </c>
      <c r="O307" t="inlineStr">
        <is>
          <t>CVE - IP enrichment n/a</t>
        </is>
      </c>
      <c r="P307" t="n">
        <v>0</v>
      </c>
      <c r="Q307" t="n">
        <v>0</v>
      </c>
      <c r="R307" t="inlineStr">
        <is>
          <t>T1499:Endpoint Denial of Service</t>
        </is>
      </c>
      <c r="S307" t="n">
        <v>1</v>
      </c>
      <c r="T307" t="inlineStr">
        <is>
          <t>LOW (40%)</t>
        </is>
      </c>
      <c r="U307" t="inlineStr">
        <is>
          <t>UNLIKELY</t>
        </is>
      </c>
      <c r="V307" t="inlineStr">
        <is>
          <t>CHECK_VENDOR</t>
        </is>
      </c>
      <c r="W307" t="inlineStr">
        <is>
          <t>https://nvd.nist.gov/vuln/detail/CVE-2019-25358</t>
        </is>
      </c>
      <c r="X307" t="inlineStr">
        <is>
          <t>NONE</t>
        </is>
      </c>
      <c r="Y307" t="n">
        <v>0</v>
      </c>
      <c r="Z307" t="inlineStr"/>
      <c r="AA307" t="inlineStr">
        <is>
          <t>https://nvd.nist.gov/vuln/detail/CVE-2019-25358</t>
        </is>
      </c>
    </row>
    <row r="308">
      <c r="A308" t="inlineStr">
        <is>
          <t>CVE</t>
        </is>
      </c>
      <c r="B308" t="inlineStr">
        <is>
          <t>CVE-2019-25359</t>
        </is>
      </c>
      <c r="C308" t="inlineStr">
        <is>
          <t>SD.NET RIM versions before 4.7.3c contain a SQL injection vulnerability that allows attackers to inject malicious SQL statements through POST parameters 'idtyp' and 'idgremium'. Attackers can exploit this vulnerability by crafting specially formed POST requests to the /vorlagen/ endpoint, enabling unauthorized database manipulation and potential information disclosure.</t>
        </is>
      </c>
      <c r="D308" t="n">
        <v>8.199999999999999</v>
      </c>
      <c r="E308" t="inlineStr">
        <is>
          <t>HIGH</t>
        </is>
      </c>
      <c r="F308" t="n">
        <v>2</v>
      </c>
      <c r="G308" t="n">
        <v>3</v>
      </c>
      <c r="H308" t="inlineStr">
        <is>
          <t>HIGH</t>
        </is>
      </c>
      <c r="I308" t="n">
        <v>14.2</v>
      </c>
      <c r="J308" t="inlineStr">
        <is>
          <t>NO</t>
        </is>
      </c>
      <c r="K308" t="inlineStr">
        <is>
          <t>2026-02-23 23:48</t>
        </is>
      </c>
      <c r="L308" t="inlineStr">
        <is>
          <t>CHECK_VENDOR</t>
        </is>
      </c>
      <c r="M308" t="inlineStr">
        <is>
          <t>See CVE details</t>
        </is>
      </c>
      <c r="N308" t="inlineStr">
        <is>
          <t>P3</t>
        </is>
      </c>
      <c r="O308" t="inlineStr">
        <is>
          <t>CVE - IP enrichment n/a</t>
        </is>
      </c>
      <c r="P308" t="n">
        <v>0</v>
      </c>
      <c r="Q308" t="n">
        <v>0</v>
      </c>
      <c r="R308" t="inlineStr">
        <is>
          <t>T1185:Browser Session Hijacking | T1190:Exploit Public-Facing Application | T1213:Data from Information Repositories</t>
        </is>
      </c>
      <c r="S308" t="n">
        <v>1</v>
      </c>
      <c r="T308" t="inlineStr">
        <is>
          <t>LOW (40%)</t>
        </is>
      </c>
      <c r="U308" t="inlineStr">
        <is>
          <t>UNLIKELY</t>
        </is>
      </c>
      <c r="V308" t="inlineStr">
        <is>
          <t>CHECK_VENDOR</t>
        </is>
      </c>
      <c r="W308" t="inlineStr">
        <is>
          <t>https://nvd.nist.gov/vuln/detail/CVE-2019-25359</t>
        </is>
      </c>
      <c r="X308" t="inlineStr">
        <is>
          <t>NONE</t>
        </is>
      </c>
      <c r="Y308" t="n">
        <v>0</v>
      </c>
      <c r="Z308" t="inlineStr"/>
      <c r="AA308" t="inlineStr">
        <is>
          <t>https://nvd.nist.gov/vuln/detail/CVE-2019-25359</t>
        </is>
      </c>
    </row>
    <row r="309">
      <c r="A309" t="inlineStr">
        <is>
          <t>CVE</t>
        </is>
      </c>
      <c r="B309" t="inlineStr">
        <is>
          <t>CVE-2019-25360</t>
        </is>
      </c>
      <c r="C309" t="inlineStr">
        <is>
          <t>Aida64 Engineer 6.10.5200 contains a buffer overflow vulnerability in the CSV logging configuration that allows attackers to execute malicious code by crafting a specially designed payload. Attackers can exploit the vulnerability by creating a malformed log file with carefully constructed SEH (Structured Exception Handler) overwrite techniques to achieve remote code execution.</t>
        </is>
      </c>
      <c r="D309" t="n">
        <v>9.800000000000001</v>
      </c>
      <c r="E309" t="inlineStr">
        <is>
          <t>CRITICAL</t>
        </is>
      </c>
      <c r="F309" t="n">
        <v>2</v>
      </c>
      <c r="G309" t="n">
        <v>3</v>
      </c>
      <c r="H309" t="inlineStr">
        <is>
          <t>HIGH</t>
        </is>
      </c>
      <c r="I309" t="n">
        <v>15.8</v>
      </c>
      <c r="J309" t="inlineStr">
        <is>
          <t>NO</t>
        </is>
      </c>
      <c r="K309" t="inlineStr">
        <is>
          <t>2026-02-23 23:48</t>
        </is>
      </c>
      <c r="L309" t="inlineStr">
        <is>
          <t>CHECK_VENDOR</t>
        </is>
      </c>
      <c r="M309" t="inlineStr">
        <is>
          <t>See CVE details</t>
        </is>
      </c>
      <c r="N309" t="inlineStr">
        <is>
          <t>P3</t>
        </is>
      </c>
      <c r="O309" t="inlineStr">
        <is>
          <t>CVE - IP enrichment n/a</t>
        </is>
      </c>
      <c r="P309" t="n">
        <v>0</v>
      </c>
      <c r="Q309" t="n">
        <v>0</v>
      </c>
      <c r="R309" t="inlineStr">
        <is>
          <t>T1190:Exploit Public-Facing Application | T1210:Exploitation of Remote Services | T1203:Exploitation for Client Execution</t>
        </is>
      </c>
      <c r="S309" t="n">
        <v>1</v>
      </c>
      <c r="T309" t="inlineStr">
        <is>
          <t>LOW (40%)</t>
        </is>
      </c>
      <c r="U309" t="inlineStr">
        <is>
          <t>UNLIKELY</t>
        </is>
      </c>
      <c r="V309" t="inlineStr">
        <is>
          <t>CHECK_VENDOR</t>
        </is>
      </c>
      <c r="W309" t="inlineStr">
        <is>
          <t>https://nvd.nist.gov/vuln/detail/CVE-2019-25360</t>
        </is>
      </c>
      <c r="X309" t="inlineStr">
        <is>
          <t>NONE</t>
        </is>
      </c>
      <c r="Y309" t="n">
        <v>0</v>
      </c>
      <c r="Z309" t="inlineStr"/>
      <c r="AA309" t="inlineStr">
        <is>
          <t>https://nvd.nist.gov/vuln/detail/CVE-2019-25360</t>
        </is>
      </c>
    </row>
    <row r="310">
      <c r="A310" t="inlineStr">
        <is>
          <t>CVE</t>
        </is>
      </c>
      <c r="B310" t="inlineStr">
        <is>
          <t>CVE-2019-25361</t>
        </is>
      </c>
      <c r="C310" t="inlineStr">
        <is>
          <t>Ayukov NFTP client 1.71 contains a buffer overflow vulnerability in the SYST command handling that allows remote attackers to execute arbitrary code. Attackers can send a specially crafted SYST command with oversized payload to trigger a buffer overflow and execute a bind shell on port 5150.</t>
        </is>
      </c>
      <c r="D310" t="n">
        <v>9.800000000000001</v>
      </c>
      <c r="E310" t="inlineStr">
        <is>
          <t>CRITICAL</t>
        </is>
      </c>
      <c r="F310" t="n">
        <v>2</v>
      </c>
      <c r="G310" t="n">
        <v>3</v>
      </c>
      <c r="H310" t="inlineStr">
        <is>
          <t>HIGH</t>
        </is>
      </c>
      <c r="I310" t="n">
        <v>15.8</v>
      </c>
      <c r="J310" t="inlineStr">
        <is>
          <t>NO</t>
        </is>
      </c>
      <c r="K310" t="inlineStr">
        <is>
          <t>2026-02-23 23:48</t>
        </is>
      </c>
      <c r="L310" t="inlineStr">
        <is>
          <t>CHECK_VENDOR</t>
        </is>
      </c>
      <c r="M310" t="inlineStr">
        <is>
          <t>See CVE details</t>
        </is>
      </c>
      <c r="N310" t="inlineStr">
        <is>
          <t>P3</t>
        </is>
      </c>
      <c r="O310" t="inlineStr">
        <is>
          <t>CVE - IP enrichment n/a</t>
        </is>
      </c>
      <c r="P310" t="n">
        <v>0</v>
      </c>
      <c r="Q310" t="n">
        <v>0</v>
      </c>
      <c r="R310" t="inlineStr">
        <is>
          <t>T1190:Exploit Public-Facing Application | T1203:Exploitation for Client Execution</t>
        </is>
      </c>
      <c r="S310" t="n">
        <v>1</v>
      </c>
      <c r="T310" t="inlineStr">
        <is>
          <t>LOW (40%)</t>
        </is>
      </c>
      <c r="U310" t="inlineStr">
        <is>
          <t>UNLIKELY</t>
        </is>
      </c>
      <c r="V310" t="inlineStr">
        <is>
          <t>CHECK_VENDOR</t>
        </is>
      </c>
      <c r="W310" t="inlineStr">
        <is>
          <t>https://nvd.nist.gov/vuln/detail/CVE-2019-25361</t>
        </is>
      </c>
      <c r="X310" t="inlineStr">
        <is>
          <t>NONE</t>
        </is>
      </c>
      <c r="Y310" t="n">
        <v>0</v>
      </c>
      <c r="Z310" t="inlineStr"/>
      <c r="AA310" t="inlineStr">
        <is>
          <t>https://nvd.nist.gov/vuln/detail/CVE-2019-25361</t>
        </is>
      </c>
    </row>
    <row r="311">
      <c r="A311" t="inlineStr">
        <is>
          <t>CVE</t>
        </is>
      </c>
      <c r="B311" t="inlineStr">
        <is>
          <t>CVE-2019-25362</t>
        </is>
      </c>
      <c r="C311" t="inlineStr">
        <is>
          <t>WMV to AVI MPEG DVD WMV Convertor 4.6.1217 contains a buffer overflow vulnerability that allows attackers to execute arbitrary code by overwriting the license name and license code fields. Attackers can craft a malicious payload of 6000 bytes to trigger a bind shell on port 4444 by exploiting a stack-based buffer overflow in the application's input handling.</t>
        </is>
      </c>
      <c r="D311" t="n">
        <v>9.800000000000001</v>
      </c>
      <c r="E311" t="inlineStr">
        <is>
          <t>CRITICAL</t>
        </is>
      </c>
      <c r="F311" t="n">
        <v>2</v>
      </c>
      <c r="G311" t="n">
        <v>3</v>
      </c>
      <c r="H311" t="inlineStr">
        <is>
          <t>HIGH</t>
        </is>
      </c>
      <c r="I311" t="n">
        <v>15.8</v>
      </c>
      <c r="J311" t="inlineStr">
        <is>
          <t>NO</t>
        </is>
      </c>
      <c r="K311" t="inlineStr">
        <is>
          <t>2026-02-23 23:48</t>
        </is>
      </c>
      <c r="L311" t="inlineStr">
        <is>
          <t>CHECK_VENDOR</t>
        </is>
      </c>
      <c r="M311" t="inlineStr">
        <is>
          <t>See CVE details</t>
        </is>
      </c>
      <c r="N311" t="inlineStr">
        <is>
          <t>P3</t>
        </is>
      </c>
      <c r="O311" t="inlineStr">
        <is>
          <t>CVE - IP enrichment n/a</t>
        </is>
      </c>
      <c r="P311" t="n">
        <v>0.0007</v>
      </c>
      <c r="Q311" t="n">
        <v>0.2215</v>
      </c>
      <c r="R311" t="inlineStr">
        <is>
          <t>T1203:Exploitation for Client Execution</t>
        </is>
      </c>
      <c r="S311" t="n">
        <v>1</v>
      </c>
      <c r="T311" t="inlineStr">
        <is>
          <t>LOW (40%)</t>
        </is>
      </c>
      <c r="U311" t="inlineStr">
        <is>
          <t>UNLIKELY</t>
        </is>
      </c>
      <c r="V311" t="inlineStr">
        <is>
          <t>CHECK_VENDOR</t>
        </is>
      </c>
      <c r="W311" t="inlineStr">
        <is>
          <t>https://nvd.nist.gov/vuln/detail/CVE-2019-25362</t>
        </is>
      </c>
      <c r="X311" t="inlineStr">
        <is>
          <t>NONE</t>
        </is>
      </c>
      <c r="Y311" t="n">
        <v>0</v>
      </c>
      <c r="Z311" t="inlineStr"/>
      <c r="AA311" t="inlineStr">
        <is>
          <t>https://nvd.nist.gov/vuln/detail/CVE-2019-25362</t>
        </is>
      </c>
    </row>
    <row r="312">
      <c r="A312" t="inlineStr">
        <is>
          <t>CVE</t>
        </is>
      </c>
      <c r="B312" t="inlineStr">
        <is>
          <t>CVE-2019-25363</t>
        </is>
      </c>
      <c r="C312" t="inlineStr">
        <is>
          <t>WMV to AVI MPEG DVD WMV Convertor 4.6.1217 contains a buffer overflow vulnerability that allows attackers to crash the application by providing an oversized license input. Attackers can generate a 6000-byte payload and paste it into the 'License Name and License Code' field to trigger an application crash.</t>
        </is>
      </c>
      <c r="D312" t="n">
        <v>7.5</v>
      </c>
      <c r="E312" t="inlineStr">
        <is>
          <t>HIGH</t>
        </is>
      </c>
      <c r="F312" t="n">
        <v>2</v>
      </c>
      <c r="G312" t="n">
        <v>3</v>
      </c>
      <c r="H312" t="inlineStr">
        <is>
          <t>HIGH</t>
        </is>
      </c>
      <c r="I312" t="n">
        <v>13.5</v>
      </c>
      <c r="J312" t="inlineStr">
        <is>
          <t>NO</t>
        </is>
      </c>
      <c r="K312" t="inlineStr">
        <is>
          <t>2026-02-23 23:48</t>
        </is>
      </c>
      <c r="L312" t="inlineStr">
        <is>
          <t>CHECK_VENDOR</t>
        </is>
      </c>
      <c r="M312" t="inlineStr">
        <is>
          <t>See CVE details</t>
        </is>
      </c>
      <c r="N312" t="inlineStr">
        <is>
          <t>P3</t>
        </is>
      </c>
      <c r="O312" t="inlineStr">
        <is>
          <t>CVE - IP enrichment n/a</t>
        </is>
      </c>
      <c r="P312" t="n">
        <v>0</v>
      </c>
      <c r="Q312" t="n">
        <v>0</v>
      </c>
      <c r="R312" t="inlineStr">
        <is>
          <t>T1190:Exploit Public-Facing Application | T1203:Exploitation for Client Execution</t>
        </is>
      </c>
      <c r="S312" t="n">
        <v>1</v>
      </c>
      <c r="T312" t="inlineStr">
        <is>
          <t>LOW (40%)</t>
        </is>
      </c>
      <c r="U312" t="inlineStr">
        <is>
          <t>UNLIKELY</t>
        </is>
      </c>
      <c r="V312" t="inlineStr">
        <is>
          <t>CHECK_VENDOR</t>
        </is>
      </c>
      <c r="W312" t="inlineStr">
        <is>
          <t>https://nvd.nist.gov/vuln/detail/CVE-2019-25363</t>
        </is>
      </c>
      <c r="X312" t="inlineStr">
        <is>
          <t>NONE</t>
        </is>
      </c>
      <c r="Y312" t="n">
        <v>0</v>
      </c>
      <c r="Z312" t="inlineStr"/>
      <c r="AA312" t="inlineStr">
        <is>
          <t>https://nvd.nist.gov/vuln/detail/CVE-2019-25363</t>
        </is>
      </c>
    </row>
    <row r="313">
      <c r="A313" t="inlineStr">
        <is>
          <t>CVE</t>
        </is>
      </c>
      <c r="B313" t="inlineStr">
        <is>
          <t>CVE-2019-25364</t>
        </is>
      </c>
      <c r="C313" t="inlineStr">
        <is>
          <t>MailCarrier 2.51 contains a buffer overflow vulnerability in the POP3 USER command that allows remote attackers to execute arbitrary code. Attackers can send a crafted oversized buffer to the POP3 service, overwriting memory and potentially gaining remote system access.</t>
        </is>
      </c>
      <c r="D313" t="n">
        <v>9.800000000000001</v>
      </c>
      <c r="E313" t="inlineStr">
        <is>
          <t>CRITICAL</t>
        </is>
      </c>
      <c r="F313" t="n">
        <v>2</v>
      </c>
      <c r="G313" t="n">
        <v>3</v>
      </c>
      <c r="H313" t="inlineStr">
        <is>
          <t>HIGH</t>
        </is>
      </c>
      <c r="I313" t="n">
        <v>15.8</v>
      </c>
      <c r="J313" t="inlineStr">
        <is>
          <t>NO</t>
        </is>
      </c>
      <c r="K313" t="inlineStr">
        <is>
          <t>2026-02-23 23:48</t>
        </is>
      </c>
      <c r="L313" t="inlineStr">
        <is>
          <t>CHECK_VENDOR</t>
        </is>
      </c>
      <c r="M313" t="inlineStr">
        <is>
          <t>See CVE details</t>
        </is>
      </c>
      <c r="N313" t="inlineStr">
        <is>
          <t>P3</t>
        </is>
      </c>
      <c r="O313" t="inlineStr">
        <is>
          <t>CVE - IP enrichment n/a</t>
        </is>
      </c>
      <c r="P313" t="n">
        <v>0</v>
      </c>
      <c r="Q313" t="n">
        <v>0</v>
      </c>
      <c r="R313" t="inlineStr">
        <is>
          <t>T1190:Exploit Public-Facing Application | T1203:Exploitation for Client Execution</t>
        </is>
      </c>
      <c r="S313" t="n">
        <v>1</v>
      </c>
      <c r="T313" t="inlineStr">
        <is>
          <t>LOW (40%)</t>
        </is>
      </c>
      <c r="U313" t="inlineStr">
        <is>
          <t>UNLIKELY</t>
        </is>
      </c>
      <c r="V313" t="inlineStr">
        <is>
          <t>CHECK_VENDOR</t>
        </is>
      </c>
      <c r="W313" t="inlineStr">
        <is>
          <t>https://nvd.nist.gov/vuln/detail/CVE-2019-25364</t>
        </is>
      </c>
      <c r="X313" t="inlineStr">
        <is>
          <t>NONE</t>
        </is>
      </c>
      <c r="Y313" t="n">
        <v>0</v>
      </c>
      <c r="Z313" t="inlineStr"/>
      <c r="AA313" t="inlineStr">
        <is>
          <t>https://nvd.nist.gov/vuln/detail/CVE-2019-25364</t>
        </is>
      </c>
    </row>
    <row r="314">
      <c r="A314" t="inlineStr">
        <is>
          <t>CVE</t>
        </is>
      </c>
      <c r="B314" t="inlineStr">
        <is>
          <t>CVE-2019-25365</t>
        </is>
      </c>
      <c r="C314" t="inlineStr">
        <is>
          <t>ChaosPro 2.0 contains a buffer overflow vulnerability in the configuration file path handling that allows attackers to execute arbitrary code by overwriting the Structured Exception Handler. Attackers can craft a malicious configuration file with carefully constructed payload to overwrite memory and gain remote code execution on vulnerable Windows XP systems.</t>
        </is>
      </c>
      <c r="D314" t="n">
        <v>9.800000000000001</v>
      </c>
      <c r="E314" t="inlineStr">
        <is>
          <t>CRITICAL</t>
        </is>
      </c>
      <c r="F314" t="n">
        <v>2</v>
      </c>
      <c r="G314" t="n">
        <v>3</v>
      </c>
      <c r="H314" t="inlineStr">
        <is>
          <t>HIGH</t>
        </is>
      </c>
      <c r="I314" t="n">
        <v>15.8</v>
      </c>
      <c r="J314" t="inlineStr">
        <is>
          <t>NO</t>
        </is>
      </c>
      <c r="K314" t="inlineStr">
        <is>
          <t>2026-02-23 23:48</t>
        </is>
      </c>
      <c r="L314" t="inlineStr">
        <is>
          <t>CHECK_VENDOR</t>
        </is>
      </c>
      <c r="M314" t="inlineStr">
        <is>
          <t>See CVE details</t>
        </is>
      </c>
      <c r="N314" t="inlineStr">
        <is>
          <t>P3</t>
        </is>
      </c>
      <c r="O314" t="inlineStr">
        <is>
          <t>CVE - IP enrichment n/a</t>
        </is>
      </c>
      <c r="P314" t="n">
        <v>0.0018</v>
      </c>
      <c r="Q314" t="n">
        <v>0.3892</v>
      </c>
      <c r="R314" t="inlineStr">
        <is>
          <t>T1190:Exploit Public-Facing Application | T1210:Exploitation of Remote Services | T1203:Exploitation for Client Execution</t>
        </is>
      </c>
      <c r="S314" t="n">
        <v>1</v>
      </c>
      <c r="T314" t="inlineStr">
        <is>
          <t>LOW (40%)</t>
        </is>
      </c>
      <c r="U314" t="inlineStr">
        <is>
          <t>UNLIKELY</t>
        </is>
      </c>
      <c r="V314" t="inlineStr">
        <is>
          <t>CHECK_VENDOR</t>
        </is>
      </c>
      <c r="W314" t="inlineStr">
        <is>
          <t>https://nvd.nist.gov/vuln/detail/CVE-2019-25365</t>
        </is>
      </c>
      <c r="X314" t="inlineStr">
        <is>
          <t>NONE</t>
        </is>
      </c>
      <c r="Y314" t="n">
        <v>0</v>
      </c>
      <c r="Z314" t="inlineStr"/>
      <c r="AA314" t="inlineStr">
        <is>
          <t>https://nvd.nist.gov/vuln/detail/CVE-2019-25365</t>
        </is>
      </c>
    </row>
    <row r="315">
      <c r="A315" t="inlineStr">
        <is>
          <t>CVE</t>
        </is>
      </c>
      <c r="B315" t="inlineStr">
        <is>
          <t>CVE-2019-25396</t>
        </is>
      </c>
      <c r="C315" t="inlineStr">
        <is>
          <t>IPFire 2.21 Core Update 127 contains a reflected cross-site scripting vulnerability in the updatexlrator.cgi script that allows attackers to inject malicious scripts through POST parameters. Attackers can submit crafted requests with script payloads in the MAX_DISK_USAGE or MAX_DOWNLOAD_RATE parameters to execute arbitrary JavaScript in users' browsers.</t>
        </is>
      </c>
      <c r="D315" t="n">
        <v>6.1</v>
      </c>
      <c r="E315" t="inlineStr">
        <is>
          <t>MEDIUM</t>
        </is>
      </c>
      <c r="F315" t="n">
        <v>2</v>
      </c>
      <c r="G315" t="n">
        <v>2</v>
      </c>
      <c r="H315" t="inlineStr">
        <is>
          <t>MEDIUM</t>
        </is>
      </c>
      <c r="I315" t="n">
        <v>10.1</v>
      </c>
      <c r="J315" t="inlineStr">
        <is>
          <t>NO</t>
        </is>
      </c>
      <c r="K315" t="inlineStr">
        <is>
          <t>2026-02-23 23:48</t>
        </is>
      </c>
      <c r="L315" t="inlineStr">
        <is>
          <t>CHECK_VENDOR</t>
        </is>
      </c>
      <c r="M315" t="inlineStr">
        <is>
          <t>See CVE details</t>
        </is>
      </c>
      <c r="N315" t="inlineStr">
        <is>
          <t>P4</t>
        </is>
      </c>
      <c r="O315" t="inlineStr">
        <is>
          <t>CVE - IP enrichment n/a</t>
        </is>
      </c>
      <c r="P315" t="n">
        <v>0</v>
      </c>
      <c r="Q315" t="n">
        <v>0</v>
      </c>
      <c r="R315" t="inlineStr">
        <is>
          <t>T1189:Drive-by Compromise</t>
        </is>
      </c>
      <c r="S315" t="n">
        <v>1</v>
      </c>
      <c r="T315" t="inlineStr">
        <is>
          <t>LOW (40%)</t>
        </is>
      </c>
      <c r="U315" t="inlineStr">
        <is>
          <t>UNLIKELY</t>
        </is>
      </c>
      <c r="V315" t="inlineStr">
        <is>
          <t>CHECK_VENDOR</t>
        </is>
      </c>
      <c r="W315" t="inlineStr">
        <is>
          <t>https://nvd.nist.gov/vuln/detail/CVE-2019-25396</t>
        </is>
      </c>
      <c r="X315" t="inlineStr">
        <is>
          <t>NONE</t>
        </is>
      </c>
      <c r="Y315" t="n">
        <v>0</v>
      </c>
      <c r="Z315" t="inlineStr"/>
      <c r="AA315" t="inlineStr">
        <is>
          <t>https://nvd.nist.gov/vuln/detail/CVE-2019-25396</t>
        </is>
      </c>
    </row>
    <row r="316">
      <c r="A316" t="inlineStr">
        <is>
          <t>CVE</t>
        </is>
      </c>
      <c r="B316" t="inlineStr">
        <is>
          <t>CVE-2019-25397</t>
        </is>
      </c>
      <c r="C316" t="inlineStr">
        <is>
          <t>IPFire 2.21 Core Update 127 contains multiple reflected cross-site scripting vulnerabilities in the hosts.cgi script that allow attackers to inject malicious scripts through unvalidated parameters. Attackers can submit POST requests with script payloads in the KEY1, IP, HOST, or DOM parameters to execute arbitrary JavaScript in users' browsers.</t>
        </is>
      </c>
      <c r="D316" t="n">
        <v>6.1</v>
      </c>
      <c r="E316" t="inlineStr">
        <is>
          <t>MEDIUM</t>
        </is>
      </c>
      <c r="F316" t="n">
        <v>2</v>
      </c>
      <c r="G316" t="n">
        <v>2</v>
      </c>
      <c r="H316" t="inlineStr">
        <is>
          <t>MEDIUM</t>
        </is>
      </c>
      <c r="I316" t="n">
        <v>10.1</v>
      </c>
      <c r="J316" t="inlineStr">
        <is>
          <t>NO</t>
        </is>
      </c>
      <c r="K316" t="inlineStr">
        <is>
          <t>2026-02-23 23:48</t>
        </is>
      </c>
      <c r="L316" t="inlineStr">
        <is>
          <t>CHECK_VENDOR</t>
        </is>
      </c>
      <c r="M316" t="inlineStr">
        <is>
          <t>See CVE details</t>
        </is>
      </c>
      <c r="N316" t="inlineStr">
        <is>
          <t>P4</t>
        </is>
      </c>
      <c r="O316" t="inlineStr">
        <is>
          <t>CVE - IP enrichment n/a</t>
        </is>
      </c>
      <c r="P316" t="n">
        <v>0</v>
      </c>
      <c r="Q316" t="n">
        <v>0</v>
      </c>
      <c r="R316" t="inlineStr">
        <is>
          <t>T1189:Drive-by Compromise</t>
        </is>
      </c>
      <c r="S316" t="n">
        <v>1</v>
      </c>
      <c r="T316" t="inlineStr">
        <is>
          <t>LOW (40%)</t>
        </is>
      </c>
      <c r="U316" t="inlineStr">
        <is>
          <t>UNLIKELY</t>
        </is>
      </c>
      <c r="V316" t="inlineStr">
        <is>
          <t>CHECK_VENDOR</t>
        </is>
      </c>
      <c r="W316" t="inlineStr">
        <is>
          <t>https://nvd.nist.gov/vuln/detail/CVE-2019-25397</t>
        </is>
      </c>
      <c r="X316" t="inlineStr">
        <is>
          <t>NONE</t>
        </is>
      </c>
      <c r="Y316" t="n">
        <v>0</v>
      </c>
      <c r="Z316" t="inlineStr"/>
      <c r="AA316" t="inlineStr">
        <is>
          <t>https://nvd.nist.gov/vuln/detail/CVE-2019-25397</t>
        </is>
      </c>
    </row>
    <row r="317">
      <c r="A317" t="inlineStr">
        <is>
          <t>CVE</t>
        </is>
      </c>
      <c r="B317" t="inlineStr">
        <is>
          <t>CVE-2019-25398</t>
        </is>
      </c>
      <c r="C317" t="inlineStr">
        <is>
          <t>IPFire 2.21 Core Update 127 contains multiple cross-site scripting vulnerabilities in the ovpnmain.cgi script that allow attackers to inject malicious scripts through VPN configuration parameters. Attackers can submit POST requests with script payloads in parameters like VPN_IP, DMTU, ccdname, ccdsubnet, DOVPN_SUBNET, DHCP_DOMAIN, DHCP_DNS, DHCP_WINS, ROUTES_PUSH, FRAGMENT, KEEPALIVE_1, and KEEPALIVE_2 to execute arbitrary JavaScript in administrator browsers.</t>
        </is>
      </c>
      <c r="D317" t="n">
        <v>6.1</v>
      </c>
      <c r="E317" t="inlineStr">
        <is>
          <t>MEDIUM</t>
        </is>
      </c>
      <c r="F317" t="n">
        <v>2</v>
      </c>
      <c r="G317" t="n">
        <v>2</v>
      </c>
      <c r="H317" t="inlineStr">
        <is>
          <t>MEDIUM</t>
        </is>
      </c>
      <c r="I317" t="n">
        <v>10.1</v>
      </c>
      <c r="J317" t="inlineStr">
        <is>
          <t>NO</t>
        </is>
      </c>
      <c r="K317" t="inlineStr">
        <is>
          <t>2026-02-23 23:48</t>
        </is>
      </c>
      <c r="L317" t="inlineStr">
        <is>
          <t>CHECK_VENDOR</t>
        </is>
      </c>
      <c r="M317" t="inlineStr">
        <is>
          <t>See CVE details</t>
        </is>
      </c>
      <c r="N317" t="inlineStr">
        <is>
          <t>P4</t>
        </is>
      </c>
      <c r="O317" t="inlineStr">
        <is>
          <t>CVE - IP enrichment n/a</t>
        </is>
      </c>
      <c r="P317" t="n">
        <v>0</v>
      </c>
      <c r="Q317" t="n">
        <v>0</v>
      </c>
      <c r="R317" t="inlineStr">
        <is>
          <t>T1189:Drive-by Compromise | T1133:External Remote Services</t>
        </is>
      </c>
      <c r="S317" t="n">
        <v>1</v>
      </c>
      <c r="T317" t="inlineStr">
        <is>
          <t>LOW (40%)</t>
        </is>
      </c>
      <c r="U317" t="inlineStr">
        <is>
          <t>UNLIKELY</t>
        </is>
      </c>
      <c r="V317" t="inlineStr">
        <is>
          <t>CHECK_VENDOR</t>
        </is>
      </c>
      <c r="W317" t="inlineStr">
        <is>
          <t>https://nvd.nist.gov/vuln/detail/CVE-2019-25398</t>
        </is>
      </c>
      <c r="X317" t="inlineStr">
        <is>
          <t>NONE</t>
        </is>
      </c>
      <c r="Y317" t="n">
        <v>0</v>
      </c>
      <c r="Z317" t="inlineStr"/>
      <c r="AA317" t="inlineStr">
        <is>
          <t>https://nvd.nist.gov/vuln/detail/CVE-2019-25398</t>
        </is>
      </c>
    </row>
    <row r="318">
      <c r="A318" t="inlineStr">
        <is>
          <t>CVE</t>
        </is>
      </c>
      <c r="B318" t="inlineStr">
        <is>
          <t>CVE-2019-25399</t>
        </is>
      </c>
      <c r="C318" t="inlineStr">
        <is>
          <t>IPFire 2.21 Core Update 127 contains multiple stored cross-site scripting vulnerabilities in the extrahd.cgi script that allow attackers to inject malicious scripts through the FS, PATH, and UUID parameters. Attackers can submit POST requests with script payloads in these parameters to execute arbitrary JavaScript in the context of authenticated administrator sessions.</t>
        </is>
      </c>
      <c r="D318" t="n">
        <v>6.4</v>
      </c>
      <c r="E318" t="inlineStr">
        <is>
          <t>MEDIUM</t>
        </is>
      </c>
      <c r="F318" t="n">
        <v>2</v>
      </c>
      <c r="G318" t="n">
        <v>2</v>
      </c>
      <c r="H318" t="inlineStr">
        <is>
          <t>MEDIUM</t>
        </is>
      </c>
      <c r="I318" t="n">
        <v>10.4</v>
      </c>
      <c r="J318" t="inlineStr">
        <is>
          <t>NO</t>
        </is>
      </c>
      <c r="K318" t="inlineStr">
        <is>
          <t>2026-02-23 23:48</t>
        </is>
      </c>
      <c r="L318" t="inlineStr">
        <is>
          <t>CHECK_VENDOR</t>
        </is>
      </c>
      <c r="M318" t="inlineStr">
        <is>
          <t>See CVE details</t>
        </is>
      </c>
      <c r="N318" t="inlineStr">
        <is>
          <t>P4</t>
        </is>
      </c>
      <c r="O318" t="inlineStr">
        <is>
          <t>CVE - IP enrichment n/a</t>
        </is>
      </c>
      <c r="P318" t="n">
        <v>0.0003</v>
      </c>
      <c r="Q318" t="n">
        <v>0.08690000000000001</v>
      </c>
      <c r="R318" t="inlineStr">
        <is>
          <t>T1189:Drive-by Compromise</t>
        </is>
      </c>
      <c r="S318" t="n">
        <v>1</v>
      </c>
      <c r="T318" t="inlineStr">
        <is>
          <t>LOW (40%)</t>
        </is>
      </c>
      <c r="U318" t="inlineStr">
        <is>
          <t>UNLIKELY</t>
        </is>
      </c>
      <c r="V318" t="inlineStr">
        <is>
          <t>CHECK_VENDOR</t>
        </is>
      </c>
      <c r="W318" t="inlineStr">
        <is>
          <t>https://nvd.nist.gov/vuln/detail/CVE-2019-25399</t>
        </is>
      </c>
      <c r="X318" t="inlineStr">
        <is>
          <t>NONE</t>
        </is>
      </c>
      <c r="Y318" t="n">
        <v>0</v>
      </c>
      <c r="Z318" t="inlineStr"/>
      <c r="AA318" t="inlineStr">
        <is>
          <t>https://nvd.nist.gov/vuln/detail/CVE-2019-25399</t>
        </is>
      </c>
    </row>
    <row r="319">
      <c r="A319" t="inlineStr">
        <is>
          <t>CVE</t>
        </is>
      </c>
      <c r="B319" t="inlineStr">
        <is>
          <t>CVE-2019-25400</t>
        </is>
      </c>
      <c r="C319" t="inlineStr">
        <is>
          <t>IPFire 2.21 Core Update 127 contains multiple reflected cross-site scripting vulnerabilities in the fwhosts.cgi script that allow attackers to inject malicious scripts through multiple parameters including HOSTNAME, IP, SUBNET, NETREMARK, HOSTREMARK, newhost, grp_name, remark, SRV_NAME, SRV_PORT, SRVGRP_NAME, SRVGRP_REMARK, and updatesrvgrp. Attackers can submit POST requests with script payloads in these parameters to execute arbitrary JavaScript in the context of authenticated users' browsers.</t>
        </is>
      </c>
      <c r="D319" t="n">
        <v>5.4</v>
      </c>
      <c r="E319" t="inlineStr">
        <is>
          <t>MEDIUM</t>
        </is>
      </c>
      <c r="F319" t="n">
        <v>2</v>
      </c>
      <c r="G319" t="n">
        <v>2</v>
      </c>
      <c r="H319" t="inlineStr">
        <is>
          <t>MEDIUM</t>
        </is>
      </c>
      <c r="I319" t="n">
        <v>9.4</v>
      </c>
      <c r="J319" t="inlineStr">
        <is>
          <t>NO</t>
        </is>
      </c>
      <c r="K319" t="inlineStr">
        <is>
          <t>2026-02-23 23:48</t>
        </is>
      </c>
      <c r="L319" t="inlineStr">
        <is>
          <t>CHECK_VENDOR</t>
        </is>
      </c>
      <c r="M319" t="inlineStr">
        <is>
          <t>See CVE details</t>
        </is>
      </c>
      <c r="N319" t="inlineStr">
        <is>
          <t>P4</t>
        </is>
      </c>
      <c r="O319" t="inlineStr">
        <is>
          <t>CVE - IP enrichment n/a</t>
        </is>
      </c>
      <c r="P319" t="n">
        <v>0.0003</v>
      </c>
      <c r="Q319" t="n">
        <v>0.08690000000000001</v>
      </c>
      <c r="R319" t="inlineStr">
        <is>
          <t>T1189:Drive-by Compromise</t>
        </is>
      </c>
      <c r="S319" t="n">
        <v>1</v>
      </c>
      <c r="T319" t="inlineStr">
        <is>
          <t>LOW (40%)</t>
        </is>
      </c>
      <c r="U319" t="inlineStr">
        <is>
          <t>UNLIKELY</t>
        </is>
      </c>
      <c r="V319" t="inlineStr">
        <is>
          <t>CHECK_VENDOR</t>
        </is>
      </c>
      <c r="W319" t="inlineStr">
        <is>
          <t>https://nvd.nist.gov/vuln/detail/CVE-2019-25400</t>
        </is>
      </c>
      <c r="X319" t="inlineStr">
        <is>
          <t>NONE</t>
        </is>
      </c>
      <c r="Y319" t="n">
        <v>0</v>
      </c>
      <c r="Z319" t="inlineStr"/>
      <c r="AA319" t="inlineStr">
        <is>
          <t>https://nvd.nist.gov/vuln/detail/CVE-2019-25400</t>
        </is>
      </c>
    </row>
    <row r="320">
      <c r="A320" t="inlineStr">
        <is>
          <t>CVE</t>
        </is>
      </c>
      <c r="B320" t="inlineStr">
        <is>
          <t>CVE-2019-25401</t>
        </is>
      </c>
      <c r="C320" t="inlineStr">
        <is>
          <t>Bematech (formerly Logic Controls, now Elgin) MP-4200 TH printer contains a denial of service vulnerability in the admin configuration page. Remote attackers can send crafted POST requests with malformed 'admin' and 'person' parameters to crash the printer's web service, causing a denial of service condition.</t>
        </is>
      </c>
      <c r="D320" t="n">
        <v>7.5</v>
      </c>
      <c r="E320" t="inlineStr">
        <is>
          <t>HIGH</t>
        </is>
      </c>
      <c r="F320" t="n">
        <v>2</v>
      </c>
      <c r="G320" t="n">
        <v>3</v>
      </c>
      <c r="H320" t="inlineStr">
        <is>
          <t>HIGH</t>
        </is>
      </c>
      <c r="I320" t="n">
        <v>13.5</v>
      </c>
      <c r="J320" t="inlineStr">
        <is>
          <t>NO</t>
        </is>
      </c>
      <c r="K320" t="inlineStr">
        <is>
          <t>2026-02-23 23:48</t>
        </is>
      </c>
      <c r="L320" t="inlineStr">
        <is>
          <t>CHECK_VENDOR</t>
        </is>
      </c>
      <c r="M320" t="inlineStr">
        <is>
          <t>See CVE details</t>
        </is>
      </c>
      <c r="N320" t="inlineStr">
        <is>
          <t>P3</t>
        </is>
      </c>
      <c r="O320" t="inlineStr">
        <is>
          <t>CVE - IP enrichment n/a</t>
        </is>
      </c>
      <c r="P320" t="n">
        <v>0.001</v>
      </c>
      <c r="Q320" t="n">
        <v>0.2796</v>
      </c>
      <c r="R320" t="inlineStr">
        <is>
          <t>T1499:Endpoint Denial of Service</t>
        </is>
      </c>
      <c r="S320" t="n">
        <v>1</v>
      </c>
      <c r="T320" t="inlineStr">
        <is>
          <t>LOW (40%)</t>
        </is>
      </c>
      <c r="U320" t="inlineStr">
        <is>
          <t>UNLIKELY</t>
        </is>
      </c>
      <c r="V320" t="inlineStr">
        <is>
          <t>CHECK_VENDOR</t>
        </is>
      </c>
      <c r="W320" t="inlineStr">
        <is>
          <t>https://nvd.nist.gov/vuln/detail/CVE-2019-25401</t>
        </is>
      </c>
      <c r="X320" t="inlineStr">
        <is>
          <t>NONE</t>
        </is>
      </c>
      <c r="Y320" t="n">
        <v>0</v>
      </c>
      <c r="Z320" t="inlineStr"/>
      <c r="AA320" t="inlineStr">
        <is>
          <t>https://nvd.nist.gov/vuln/detail/CVE-2019-25401</t>
        </is>
      </c>
    </row>
    <row r="321">
      <c r="A321" t="inlineStr">
        <is>
          <t>CVE</t>
        </is>
      </c>
      <c r="B321" t="inlineStr">
        <is>
          <t>CVE-2026-24743</t>
        </is>
      </c>
      <c r="C321" t="inlineStr">
        <is>
          <t>InvoicePlane is a self-hosted open source application for managing invoices, clients, and payments. A Stored Cross-Site Scripting (XSS) vulnerability occurs in the upload Invoice Logo functions of InvoicePlane version 1.7.0. The Upload Invoice Logo function allows the application to upload svg files. Although administrator privileges are required to exploit it, this is still considered a critical vulnerability as it can cause actions such as unauthorized modification of application data, creatio</t>
        </is>
      </c>
      <c r="D321" t="n">
        <v>5.7</v>
      </c>
      <c r="E321" t="inlineStr">
        <is>
          <t>MEDIUM</t>
        </is>
      </c>
      <c r="F321" t="n">
        <v>2</v>
      </c>
      <c r="G321" t="n">
        <v>2</v>
      </c>
      <c r="H321" t="inlineStr">
        <is>
          <t>MEDIUM</t>
        </is>
      </c>
      <c r="I321" t="n">
        <v>9.699999999999999</v>
      </c>
      <c r="J321" t="inlineStr">
        <is>
          <t>NO</t>
        </is>
      </c>
      <c r="K321" t="inlineStr">
        <is>
          <t>2026-02-23 23:48</t>
        </is>
      </c>
      <c r="L321" t="inlineStr">
        <is>
          <t>YES</t>
        </is>
      </c>
      <c r="M321" t="inlineStr">
        <is>
          <t>invoiceplane invoiceplane 1.7.0</t>
        </is>
      </c>
      <c r="N321" t="inlineStr">
        <is>
          <t>P4</t>
        </is>
      </c>
      <c r="O321" t="inlineStr">
        <is>
          <t>CVE - IP enrichment n/a</t>
        </is>
      </c>
      <c r="P321" t="n">
        <v>0</v>
      </c>
      <c r="Q321" t="n">
        <v>0</v>
      </c>
      <c r="R321" t="inlineStr">
        <is>
          <t>T1189:Drive-by Compromise | T1190:Exploit Public-Facing Application | T1543:Create or Modify System Process</t>
        </is>
      </c>
      <c r="S321" t="n">
        <v>1</v>
      </c>
      <c r="T321" t="inlineStr">
        <is>
          <t>LOW (40%)</t>
        </is>
      </c>
      <c r="U321" t="inlineStr">
        <is>
          <t>UNLIKELY</t>
        </is>
      </c>
      <c r="V321" t="inlineStr">
        <is>
          <t>PATCH_AVAILABLE</t>
        </is>
      </c>
      <c r="W321" t="inlineStr">
        <is>
          <t>https://nvd.nist.gov/vuln/detail/CVE-2026-24743</t>
        </is>
      </c>
      <c r="X321" t="inlineStr">
        <is>
          <t>NONE</t>
        </is>
      </c>
      <c r="Y321" t="n">
        <v>0</v>
      </c>
      <c r="Z321" t="inlineStr"/>
      <c r="AA321" t="inlineStr">
        <is>
          <t>https://nvd.nist.gov/vuln/detail/CVE-2026-24743</t>
        </is>
      </c>
    </row>
    <row r="322">
      <c r="A322" t="inlineStr">
        <is>
          <t>CVE</t>
        </is>
      </c>
      <c r="B322" t="inlineStr">
        <is>
          <t>CVE-2026-24744</t>
        </is>
      </c>
      <c r="C322" t="inlineStr">
        <is>
          <t>InvoicePlane is a self-hosted open source application for managing invoices, clients, and payments. A Stored Cross-Site Scripting (XSS) vulnerability occurs in the Edit Invoices functions of InvoicePlane version 1.7.0. When editing invoices, the application does not validate user input at the `invoice_number` parameter. Although administrator privileges are required to exploit it, this is still considered a critical vulnerability as it can cause actions such as unauthorized modification of appli</t>
        </is>
      </c>
      <c r="D322" t="n">
        <v>5.7</v>
      </c>
      <c r="E322" t="inlineStr">
        <is>
          <t>MEDIUM</t>
        </is>
      </c>
      <c r="F322" t="n">
        <v>2</v>
      </c>
      <c r="G322" t="n">
        <v>2</v>
      </c>
      <c r="H322" t="inlineStr">
        <is>
          <t>MEDIUM</t>
        </is>
      </c>
      <c r="I322" t="n">
        <v>9.699999999999999</v>
      </c>
      <c r="J322" t="inlineStr">
        <is>
          <t>NO</t>
        </is>
      </c>
      <c r="K322" t="inlineStr">
        <is>
          <t>2026-02-23 23:48</t>
        </is>
      </c>
      <c r="L322" t="inlineStr">
        <is>
          <t>YES</t>
        </is>
      </c>
      <c r="M322" t="inlineStr">
        <is>
          <t>invoiceplane invoiceplane 1.7.0</t>
        </is>
      </c>
      <c r="N322" t="inlineStr">
        <is>
          <t>P4</t>
        </is>
      </c>
      <c r="O322" t="inlineStr">
        <is>
          <t>CVE - IP enrichment n/a</t>
        </is>
      </c>
      <c r="P322" t="n">
        <v>0</v>
      </c>
      <c r="Q322" t="n">
        <v>0</v>
      </c>
      <c r="R322" t="inlineStr">
        <is>
          <t>T1189:Drive-by Compromise | T1190:Exploit Public-Facing Application | T1543:Create or Modify System Process</t>
        </is>
      </c>
      <c r="S322" t="n">
        <v>1</v>
      </c>
      <c r="T322" t="inlineStr">
        <is>
          <t>LOW (40%)</t>
        </is>
      </c>
      <c r="U322" t="inlineStr">
        <is>
          <t>UNLIKELY</t>
        </is>
      </c>
      <c r="V322" t="inlineStr">
        <is>
          <t>PATCH_AVAILABLE</t>
        </is>
      </c>
      <c r="W322" t="inlineStr">
        <is>
          <t>https://nvd.nist.gov/vuln/detail/CVE-2026-24744</t>
        </is>
      </c>
      <c r="X322" t="inlineStr">
        <is>
          <t>NONE</t>
        </is>
      </c>
      <c r="Y322" t="n">
        <v>0</v>
      </c>
      <c r="Z322" t="inlineStr"/>
      <c r="AA322" t="inlineStr">
        <is>
          <t>https://nvd.nist.gov/vuln/detail/CVE-2026-24744</t>
        </is>
      </c>
    </row>
    <row r="323">
      <c r="A323" t="inlineStr">
        <is>
          <t>CVE</t>
        </is>
      </c>
      <c r="B323" t="inlineStr">
        <is>
          <t>CVE-2026-27174</t>
        </is>
      </c>
      <c r="C323" t="inlineStr">
        <is>
          <t>MajorDoMo (aka Major Domestic Module) allows unauthenticated remote code execution via the admin panel's PHP console feature. An include order bug in modules/panel.class.php causes execution to continue past a redirect() call that lacks an exit statement, allowing unauthenticated requests to reach the ajax handler in inc_panel_ajax.php. The console handler within that file passes user-supplied input from GET parameters (via register_globals) directly to eval() without any authentication check. A</t>
        </is>
      </c>
      <c r="D323" t="n">
        <v>9.800000000000001</v>
      </c>
      <c r="E323" t="inlineStr">
        <is>
          <t>CRITICAL</t>
        </is>
      </c>
      <c r="F323" t="n">
        <v>2</v>
      </c>
      <c r="G323" t="n">
        <v>3</v>
      </c>
      <c r="H323" t="inlineStr">
        <is>
          <t>HIGH</t>
        </is>
      </c>
      <c r="I323" t="n">
        <v>15.8</v>
      </c>
      <c r="J323" t="inlineStr">
        <is>
          <t>NO</t>
        </is>
      </c>
      <c r="K323" t="inlineStr">
        <is>
          <t>2026-02-23 23:48</t>
        </is>
      </c>
      <c r="L323" t="inlineStr">
        <is>
          <t>CHECK_VENDOR</t>
        </is>
      </c>
      <c r="M323" t="inlineStr">
        <is>
          <t>mjdm majordomo -</t>
        </is>
      </c>
      <c r="N323" t="inlineStr">
        <is>
          <t>P3</t>
        </is>
      </c>
      <c r="O323" t="inlineStr">
        <is>
          <t>CVE - IP enrichment n/a</t>
        </is>
      </c>
      <c r="P323" t="n">
        <v>0.0039</v>
      </c>
      <c r="Q323" t="n">
        <v>0.5926</v>
      </c>
      <c r="R323" t="inlineStr">
        <is>
          <t>T1059:Command and Scripting Interpreter | T1190:Exploit Public-Facing Application | T1210:Exploitation of Remote Services</t>
        </is>
      </c>
      <c r="S323" t="n">
        <v>1</v>
      </c>
      <c r="T323" t="inlineStr">
        <is>
          <t>LOW (40%)</t>
        </is>
      </c>
      <c r="U323" t="inlineStr">
        <is>
          <t>UNLIKELY</t>
        </is>
      </c>
      <c r="V323" t="inlineStr">
        <is>
          <t>CHECK_VENDOR</t>
        </is>
      </c>
      <c r="W323" t="inlineStr">
        <is>
          <t>https://nvd.nist.gov/vuln/detail/CVE-2026-27174</t>
        </is>
      </c>
      <c r="X323" t="inlineStr">
        <is>
          <t>NONE</t>
        </is>
      </c>
      <c r="Y323" t="n">
        <v>0</v>
      </c>
      <c r="Z323" t="inlineStr"/>
      <c r="AA323" t="inlineStr">
        <is>
          <t>https://nvd.nist.gov/vuln/detail/CVE-2026-27174</t>
        </is>
      </c>
    </row>
    <row r="324">
      <c r="A324" t="inlineStr">
        <is>
          <t>CVE</t>
        </is>
      </c>
      <c r="B324" t="inlineStr">
        <is>
          <t>CVE-2026-27175</t>
        </is>
      </c>
      <c r="C324" t="inlineStr">
        <is>
          <t>MajorDoMo (aka Major Domestic Module) is vulnerable to unauthenticated OS command injection via rc/index.php. The $param variable from user input is interpolated into a command string within double quotes without sanitization via escapeshellarg(). The command is inserted into a database queue by safe_exec(), which performs no sanitization. The cycle_execs.php script, which is web-accessible without authentication, retrieves queued commands and passes them directly to exec(). An attacker can expl</t>
        </is>
      </c>
      <c r="D324" t="n">
        <v>9.800000000000001</v>
      </c>
      <c r="E324" t="inlineStr">
        <is>
          <t>CRITICAL</t>
        </is>
      </c>
      <c r="F324" t="n">
        <v>2</v>
      </c>
      <c r="G324" t="n">
        <v>3</v>
      </c>
      <c r="H324" t="inlineStr">
        <is>
          <t>HIGH</t>
        </is>
      </c>
      <c r="I324" t="n">
        <v>15.8</v>
      </c>
      <c r="J324" t="inlineStr">
        <is>
          <t>NO</t>
        </is>
      </c>
      <c r="K324" t="inlineStr">
        <is>
          <t>2026-02-23 23:48</t>
        </is>
      </c>
      <c r="L324" t="inlineStr">
        <is>
          <t>CHECK_VENDOR</t>
        </is>
      </c>
      <c r="M324" t="inlineStr">
        <is>
          <t>mjdm majordomo -</t>
        </is>
      </c>
      <c r="N324" t="inlineStr">
        <is>
          <t>P3</t>
        </is>
      </c>
      <c r="O324" t="inlineStr">
        <is>
          <t>CVE - IP enrichment n/a</t>
        </is>
      </c>
      <c r="P324" t="n">
        <v>0</v>
      </c>
      <c r="Q324" t="n">
        <v>0</v>
      </c>
      <c r="R324" t="inlineStr">
        <is>
          <t>T1059:Command and Scripting Interpreter | T1190:Exploit Public-Facing Application | T1210:Exploitation of Remote Services</t>
        </is>
      </c>
      <c r="S324" t="n">
        <v>1</v>
      </c>
      <c r="T324" t="inlineStr">
        <is>
          <t>LOW (40%)</t>
        </is>
      </c>
      <c r="U324" t="inlineStr">
        <is>
          <t>UNLIKELY</t>
        </is>
      </c>
      <c r="V324" t="inlineStr">
        <is>
          <t>CHECK_VENDOR</t>
        </is>
      </c>
      <c r="W324" t="inlineStr">
        <is>
          <t>https://nvd.nist.gov/vuln/detail/CVE-2026-27175</t>
        </is>
      </c>
      <c r="X324" t="inlineStr">
        <is>
          <t>NONE</t>
        </is>
      </c>
      <c r="Y324" t="n">
        <v>0</v>
      </c>
      <c r="Z324" t="inlineStr"/>
      <c r="AA324" t="inlineStr">
        <is>
          <t>https://nvd.nist.gov/vuln/detail/CVE-2026-27175</t>
        </is>
      </c>
    </row>
    <row r="325">
      <c r="A325" t="inlineStr">
        <is>
          <t>CVE</t>
        </is>
      </c>
      <c r="B325" t="inlineStr">
        <is>
          <t>CVE-2026-27176</t>
        </is>
      </c>
      <c r="C325" t="inlineStr">
        <is>
          <t>MajorDoMo (aka Major Domestic Module) contains a reflected cross-site scripting (XSS) vulnerability in command.php. The $qry parameter is rendered directly into the HTML page without sanitization via htmlspecialchars(), both in an input field value attribute and in a paragraph element. An attacker can inject arbitrary JavaScript by crafting a URL with malicious content in the qry parameter.</t>
        </is>
      </c>
      <c r="D325" t="n">
        <v>6.1</v>
      </c>
      <c r="E325" t="inlineStr">
        <is>
          <t>MEDIUM</t>
        </is>
      </c>
      <c r="F325" t="n">
        <v>2</v>
      </c>
      <c r="G325" t="n">
        <v>2</v>
      </c>
      <c r="H325" t="inlineStr">
        <is>
          <t>MEDIUM</t>
        </is>
      </c>
      <c r="I325" t="n">
        <v>10.1</v>
      </c>
      <c r="J325" t="inlineStr">
        <is>
          <t>NO</t>
        </is>
      </c>
      <c r="K325" t="inlineStr">
        <is>
          <t>2026-02-23 23:48</t>
        </is>
      </c>
      <c r="L325" t="inlineStr">
        <is>
          <t>CHECK_VENDOR</t>
        </is>
      </c>
      <c r="M325" t="inlineStr">
        <is>
          <t>mjdm majordomo -</t>
        </is>
      </c>
      <c r="N325" t="inlineStr">
        <is>
          <t>P4</t>
        </is>
      </c>
      <c r="O325" t="inlineStr">
        <is>
          <t>CVE - IP enrichment n/a</t>
        </is>
      </c>
      <c r="P325" t="n">
        <v>0</v>
      </c>
      <c r="Q325" t="n">
        <v>0</v>
      </c>
      <c r="R325" t="inlineStr">
        <is>
          <t>T1189:Drive-by Compromise</t>
        </is>
      </c>
      <c r="S325" t="n">
        <v>1</v>
      </c>
      <c r="T325" t="inlineStr">
        <is>
          <t>LOW (40%)</t>
        </is>
      </c>
      <c r="U325" t="inlineStr">
        <is>
          <t>UNLIKELY</t>
        </is>
      </c>
      <c r="V325" t="inlineStr">
        <is>
          <t>CHECK_VENDOR</t>
        </is>
      </c>
      <c r="W325" t="inlineStr">
        <is>
          <t>https://nvd.nist.gov/vuln/detail/CVE-2026-27176</t>
        </is>
      </c>
      <c r="X325" t="inlineStr">
        <is>
          <t>NONE</t>
        </is>
      </c>
      <c r="Y325" t="n">
        <v>0</v>
      </c>
      <c r="Z325" t="inlineStr"/>
      <c r="AA325" t="inlineStr">
        <is>
          <t>https://nvd.nist.gov/vuln/detail/CVE-2026-27176</t>
        </is>
      </c>
    </row>
    <row r="326">
      <c r="A326" t="inlineStr">
        <is>
          <t>CVE</t>
        </is>
      </c>
      <c r="B326" t="inlineStr">
        <is>
          <t>CVE-2026-27177</t>
        </is>
      </c>
      <c r="C326" t="inlineStr">
        <is>
          <t>MajorDoMo (aka Major Domestic Module) contains a stored cross-site scripting (XSS) vulnerability via the /objects/?op=set endpoint, which is intentionally unauthenticated for IoT device integration. User-supplied property values are stored raw in the database without sanitization. When an administrator views the property editor in the admin panel, the stored values are rendered without escaping in both a paragraph tag (SOURCE field) and a textarea element (VALUE field). The XSS fires on page loa</t>
        </is>
      </c>
      <c r="D326" t="n">
        <v>7.2</v>
      </c>
      <c r="E326" t="inlineStr">
        <is>
          <t>HIGH</t>
        </is>
      </c>
      <c r="F326" t="n">
        <v>2</v>
      </c>
      <c r="G326" t="n">
        <v>3</v>
      </c>
      <c r="H326" t="inlineStr">
        <is>
          <t>HIGH</t>
        </is>
      </c>
      <c r="I326" t="n">
        <v>13.2</v>
      </c>
      <c r="J326" t="inlineStr">
        <is>
          <t>NO</t>
        </is>
      </c>
      <c r="K326" t="inlineStr">
        <is>
          <t>2026-02-23 23:48</t>
        </is>
      </c>
      <c r="L326" t="inlineStr">
        <is>
          <t>CHECK_VENDOR</t>
        </is>
      </c>
      <c r="M326" t="inlineStr">
        <is>
          <t>mjdm majordomo -</t>
        </is>
      </c>
      <c r="N326" t="inlineStr">
        <is>
          <t>P3</t>
        </is>
      </c>
      <c r="O326" t="inlineStr">
        <is>
          <t>CVE - IP enrichment n/a</t>
        </is>
      </c>
      <c r="P326" t="n">
        <v>0.0003</v>
      </c>
      <c r="Q326" t="n">
        <v>0.0857</v>
      </c>
      <c r="R326" t="inlineStr">
        <is>
          <t>T1189:Drive-by Compromise | T1190:Exploit Public-Facing Application</t>
        </is>
      </c>
      <c r="S326" t="n">
        <v>1</v>
      </c>
      <c r="T326" t="inlineStr">
        <is>
          <t>LOW (40%)</t>
        </is>
      </c>
      <c r="U326" t="inlineStr">
        <is>
          <t>UNLIKELY</t>
        </is>
      </c>
      <c r="V326" t="inlineStr">
        <is>
          <t>CHECK_VENDOR</t>
        </is>
      </c>
      <c r="W326" t="inlineStr">
        <is>
          <t>https://nvd.nist.gov/vuln/detail/CVE-2026-27177</t>
        </is>
      </c>
      <c r="X326" t="inlineStr">
        <is>
          <t>NONE</t>
        </is>
      </c>
      <c r="Y326" t="n">
        <v>0</v>
      </c>
      <c r="Z326" t="inlineStr"/>
      <c r="AA326" t="inlineStr">
        <is>
          <t>https://nvd.nist.gov/vuln/detail/CVE-2026-27177</t>
        </is>
      </c>
    </row>
    <row r="327">
      <c r="A327" t="inlineStr">
        <is>
          <t>CVE</t>
        </is>
      </c>
      <c r="B327" t="inlineStr">
        <is>
          <t>CVE-2026-27178</t>
        </is>
      </c>
      <c r="C327" t="inlineStr">
        <is>
          <t>MajorDoMo (aka Major Domestic Module) contains a stored cross-site scripting (XSS) vulnerability through method parameter injection into the shoutbox. The /objects/?method= endpoint allows unauthenticated execution of stored methods with attacker-controlled parameters. Default methods such as ThisComputer.VolumeLevelChanged pass the user-supplied VALUE parameter directly into the say() function, which stores the message raw in the shouts database table without escaping. The shoutbox widget rende</t>
        </is>
      </c>
      <c r="D327" t="n">
        <v>7.2</v>
      </c>
      <c r="E327" t="inlineStr">
        <is>
          <t>HIGH</t>
        </is>
      </c>
      <c r="F327" t="n">
        <v>2</v>
      </c>
      <c r="G327" t="n">
        <v>3</v>
      </c>
      <c r="H327" t="inlineStr">
        <is>
          <t>HIGH</t>
        </is>
      </c>
      <c r="I327" t="n">
        <v>13.2</v>
      </c>
      <c r="J327" t="inlineStr">
        <is>
          <t>NO</t>
        </is>
      </c>
      <c r="K327" t="inlineStr">
        <is>
          <t>2026-02-23 23:48</t>
        </is>
      </c>
      <c r="L327" t="inlineStr">
        <is>
          <t>CHECK_VENDOR</t>
        </is>
      </c>
      <c r="M327" t="inlineStr">
        <is>
          <t>mjdm majordomo -</t>
        </is>
      </c>
      <c r="N327" t="inlineStr">
        <is>
          <t>P3</t>
        </is>
      </c>
      <c r="O327" t="inlineStr">
        <is>
          <t>CVE - IP enrichment n/a</t>
        </is>
      </c>
      <c r="P327" t="n">
        <v>0.0003</v>
      </c>
      <c r="Q327" t="n">
        <v>0.0973</v>
      </c>
      <c r="R327" t="inlineStr">
        <is>
          <t>T1189:Drive-by Compromise</t>
        </is>
      </c>
      <c r="S327" t="n">
        <v>1</v>
      </c>
      <c r="T327" t="inlineStr">
        <is>
          <t>LOW (40%)</t>
        </is>
      </c>
      <c r="U327" t="inlineStr">
        <is>
          <t>UNLIKELY</t>
        </is>
      </c>
      <c r="V327" t="inlineStr">
        <is>
          <t>CHECK_VENDOR</t>
        </is>
      </c>
      <c r="W327" t="inlineStr">
        <is>
          <t>https://nvd.nist.gov/vuln/detail/CVE-2026-27178</t>
        </is>
      </c>
      <c r="X327" t="inlineStr">
        <is>
          <t>NONE</t>
        </is>
      </c>
      <c r="Y327" t="n">
        <v>0</v>
      </c>
      <c r="Z327" t="inlineStr"/>
      <c r="AA327" t="inlineStr">
        <is>
          <t>https://nvd.nist.gov/vuln/detail/CVE-2026-27178</t>
        </is>
      </c>
    </row>
    <row r="328">
      <c r="A328" t="inlineStr">
        <is>
          <t>CVE</t>
        </is>
      </c>
      <c r="B328" t="inlineStr">
        <is>
          <t>CVE-2026-27179</t>
        </is>
      </c>
      <c r="C328" t="inlineStr">
        <is>
          <t xml:space="preserve">MajorDoMo (aka Major Domestic Module) contains an unauthenticated SQL injection vulnerability in the commands module. The commands_search.inc.php file directly interpolates the $_GET['parent'] parameter into multiple SQL queries without sanitization or parameterized queries. The commands module is loadable without authentication via the /objects/?module=commands endpoint, which includes arbitrary modules by name and calls their usual() method. Time-based blind SQL injection is exploitable using </t>
        </is>
      </c>
      <c r="D328" t="n">
        <v>8.199999999999999</v>
      </c>
      <c r="E328" t="inlineStr">
        <is>
          <t>HIGH</t>
        </is>
      </c>
      <c r="F328" t="n">
        <v>2</v>
      </c>
      <c r="G328" t="n">
        <v>3</v>
      </c>
      <c r="H328" t="inlineStr">
        <is>
          <t>HIGH</t>
        </is>
      </c>
      <c r="I328" t="n">
        <v>14.2</v>
      </c>
      <c r="J328" t="inlineStr">
        <is>
          <t>NO</t>
        </is>
      </c>
      <c r="K328" t="inlineStr">
        <is>
          <t>2026-02-23 23:48</t>
        </is>
      </c>
      <c r="L328" t="inlineStr">
        <is>
          <t>CHECK_VENDOR</t>
        </is>
      </c>
      <c r="M328" t="inlineStr">
        <is>
          <t>mjdm majordomo -</t>
        </is>
      </c>
      <c r="N328" t="inlineStr">
        <is>
          <t>P3</t>
        </is>
      </c>
      <c r="O328" t="inlineStr">
        <is>
          <t>CVE - IP enrichment n/a</t>
        </is>
      </c>
      <c r="P328" t="n">
        <v>0.0007</v>
      </c>
      <c r="Q328" t="n">
        <v>0.2119</v>
      </c>
      <c r="R328" t="inlineStr">
        <is>
          <t>T1190:Exploit Public-Facing Application | T1552:Unsecured Credentials</t>
        </is>
      </c>
      <c r="S328" t="n">
        <v>1</v>
      </c>
      <c r="T328" t="inlineStr">
        <is>
          <t>LOW (40%)</t>
        </is>
      </c>
      <c r="U328" t="inlineStr">
        <is>
          <t>UNLIKELY</t>
        </is>
      </c>
      <c r="V328" t="inlineStr">
        <is>
          <t>CHECK_VENDOR</t>
        </is>
      </c>
      <c r="W328" t="inlineStr">
        <is>
          <t>https://nvd.nist.gov/vuln/detail/CVE-2026-27179</t>
        </is>
      </c>
      <c r="X328" t="inlineStr">
        <is>
          <t>NONE</t>
        </is>
      </c>
      <c r="Y328" t="n">
        <v>0</v>
      </c>
      <c r="Z328" t="inlineStr"/>
      <c r="AA328" t="inlineStr">
        <is>
          <t>https://nvd.nist.gov/vuln/detail/CVE-2026-27179</t>
        </is>
      </c>
    </row>
    <row r="329">
      <c r="A329" t="inlineStr">
        <is>
          <t>CVE</t>
        </is>
      </c>
      <c r="B329" t="inlineStr">
        <is>
          <t>CVE-2026-27180</t>
        </is>
      </c>
      <c r="C329" t="inlineStr">
        <is>
          <t>MajorDoMo (aka Major Domestic Module) is vulnerable to unauthenticated remote code execution through supply chain compromise via update URL poisoning. The saverestore module exposes its admin() method through the /objects/?module=saverestore endpoint without authentication because it uses gr('mode') (which reads directly from $_REQUEST) instead of the framework's $this-&gt;mode. An attacker can poison the system update URL via the auto_update_settings mode handler, then trigger the force_update han</t>
        </is>
      </c>
      <c r="D329" t="n">
        <v>9.800000000000001</v>
      </c>
      <c r="E329" t="inlineStr">
        <is>
          <t>CRITICAL</t>
        </is>
      </c>
      <c r="F329" t="n">
        <v>2</v>
      </c>
      <c r="G329" t="n">
        <v>3</v>
      </c>
      <c r="H329" t="inlineStr">
        <is>
          <t>HIGH</t>
        </is>
      </c>
      <c r="I329" t="n">
        <v>15.8</v>
      </c>
      <c r="J329" t="inlineStr">
        <is>
          <t>NO</t>
        </is>
      </c>
      <c r="K329" t="inlineStr">
        <is>
          <t>2026-02-23 23:48</t>
        </is>
      </c>
      <c r="L329" t="inlineStr">
        <is>
          <t>CHECK_VENDOR</t>
        </is>
      </c>
      <c r="M329" t="inlineStr">
        <is>
          <t>mjdm majordomo -</t>
        </is>
      </c>
      <c r="N329" t="inlineStr">
        <is>
          <t>P3</t>
        </is>
      </c>
      <c r="O329" t="inlineStr">
        <is>
          <t>CVE - IP enrichment n/a</t>
        </is>
      </c>
      <c r="P329" t="n">
        <v>0.0028</v>
      </c>
      <c r="Q329" t="n">
        <v>0.5114</v>
      </c>
      <c r="R329" t="inlineStr">
        <is>
          <t>T1190:Exploit Public-Facing Application | T1210:Exploitation of Remote Services</t>
        </is>
      </c>
      <c r="S329" t="n">
        <v>1</v>
      </c>
      <c r="T329" t="inlineStr">
        <is>
          <t>LOW (40%)</t>
        </is>
      </c>
      <c r="U329" t="inlineStr">
        <is>
          <t>UNLIKELY</t>
        </is>
      </c>
      <c r="V329" t="inlineStr">
        <is>
          <t>CHECK_VENDOR</t>
        </is>
      </c>
      <c r="W329" t="inlineStr">
        <is>
          <t>https://nvd.nist.gov/vuln/detail/CVE-2026-27180</t>
        </is>
      </c>
      <c r="X329" t="inlineStr">
        <is>
          <t>NONE</t>
        </is>
      </c>
      <c r="Y329" t="n">
        <v>0</v>
      </c>
      <c r="Z329" t="inlineStr"/>
      <c r="AA329" t="inlineStr">
        <is>
          <t>https://nvd.nist.gov/vuln/detail/CVE-2026-27180</t>
        </is>
      </c>
    </row>
    <row r="330">
      <c r="A330" t="inlineStr">
        <is>
          <t>CVE</t>
        </is>
      </c>
      <c r="B330" t="inlineStr">
        <is>
          <t>CVE-2026-27181</t>
        </is>
      </c>
      <c r="C330" t="inlineStr">
        <is>
          <t>MajorDoMo (aka Major Domestic Module) allows unauthenticated arbitrary module uninstallation through the market module. The market module's admin() method reads gr('mode') from $_REQUEST and assigns it to $this-&gt;mode at the start of execution, making all mode-gated code paths reachable without authentication via the /objects/?module=market endpoint. The uninstall mode handler calls uninstallPlugin(), which deletes module records from the database, executes the module's uninstall() method via eva</t>
        </is>
      </c>
      <c r="D330" t="n">
        <v>7.5</v>
      </c>
      <c r="E330" t="inlineStr">
        <is>
          <t>HIGH</t>
        </is>
      </c>
      <c r="F330" t="n">
        <v>2</v>
      </c>
      <c r="G330" t="n">
        <v>3</v>
      </c>
      <c r="H330" t="inlineStr">
        <is>
          <t>HIGH</t>
        </is>
      </c>
      <c r="I330" t="n">
        <v>13.5</v>
      </c>
      <c r="J330" t="inlineStr">
        <is>
          <t>NO</t>
        </is>
      </c>
      <c r="K330" t="inlineStr">
        <is>
          <t>2026-02-23 23:48</t>
        </is>
      </c>
      <c r="L330" t="inlineStr">
        <is>
          <t>CHECK_VENDOR</t>
        </is>
      </c>
      <c r="M330" t="inlineStr">
        <is>
          <t>mjdm majordomo -</t>
        </is>
      </c>
      <c r="N330" t="inlineStr">
        <is>
          <t>P3</t>
        </is>
      </c>
      <c r="O330" t="inlineStr">
        <is>
          <t>CVE - IP enrichment n/a</t>
        </is>
      </c>
      <c r="P330" t="n">
        <v>0</v>
      </c>
      <c r="Q330" t="n">
        <v>0</v>
      </c>
      <c r="R330" t="inlineStr">
        <is>
          <t>T1190:Exploit Public-Facing Application</t>
        </is>
      </c>
      <c r="S330" t="n">
        <v>1</v>
      </c>
      <c r="T330" t="inlineStr">
        <is>
          <t>LOW (40%)</t>
        </is>
      </c>
      <c r="U330" t="inlineStr">
        <is>
          <t>UNLIKELY</t>
        </is>
      </c>
      <c r="V330" t="inlineStr">
        <is>
          <t>CHECK_VENDOR</t>
        </is>
      </c>
      <c r="W330" t="inlineStr">
        <is>
          <t>https://nvd.nist.gov/vuln/detail/CVE-2026-27181</t>
        </is>
      </c>
      <c r="X330" t="inlineStr">
        <is>
          <t>NONE</t>
        </is>
      </c>
      <c r="Y330" t="n">
        <v>0</v>
      </c>
      <c r="Z330" t="inlineStr"/>
      <c r="AA330" t="inlineStr">
        <is>
          <t>https://nvd.nist.gov/vuln/detail/CVE-2026-27181</t>
        </is>
      </c>
    </row>
    <row r="331">
      <c r="A331" t="inlineStr">
        <is>
          <t>CVE</t>
        </is>
      </c>
      <c r="B331" t="inlineStr">
        <is>
          <t>CVE-2026-27182</t>
        </is>
      </c>
      <c r="C331" t="inlineStr">
        <is>
          <t>Saturn Remote Mouse Server contains a command injection vulnerability that allows unauthenticated attackers to execute arbitrary commands by sending specially crafted UDP JSON frames to port 27000. Attackers on the local network can send malformed packets with unsanitized command data that the service forwards directly to OS execution functions, enabling remote code execution under the service account.</t>
        </is>
      </c>
      <c r="D331" t="n">
        <v>8.4</v>
      </c>
      <c r="E331" t="inlineStr">
        <is>
          <t>HIGH</t>
        </is>
      </c>
      <c r="F331" t="n">
        <v>2</v>
      </c>
      <c r="G331" t="n">
        <v>3</v>
      </c>
      <c r="H331" t="inlineStr">
        <is>
          <t>HIGH</t>
        </is>
      </c>
      <c r="I331" t="n">
        <v>14.4</v>
      </c>
      <c r="J331" t="inlineStr">
        <is>
          <t>NO</t>
        </is>
      </c>
      <c r="K331" t="inlineStr">
        <is>
          <t>2026-02-23 23:48</t>
        </is>
      </c>
      <c r="L331" t="inlineStr">
        <is>
          <t>CHECK_VENDOR</t>
        </is>
      </c>
      <c r="M331" t="inlineStr">
        <is>
          <t>See CVE details</t>
        </is>
      </c>
      <c r="N331" t="inlineStr">
        <is>
          <t>P3</t>
        </is>
      </c>
      <c r="O331" t="inlineStr">
        <is>
          <t>CVE - IP enrichment n/a</t>
        </is>
      </c>
      <c r="P331" t="n">
        <v>0</v>
      </c>
      <c r="Q331" t="n">
        <v>0</v>
      </c>
      <c r="R331" t="inlineStr">
        <is>
          <t>T1078:Valid Accounts | T1190:Exploit Public-Facing Application | T1210:Exploitation of Remote Services</t>
        </is>
      </c>
      <c r="S331" t="n">
        <v>1</v>
      </c>
      <c r="T331" t="inlineStr">
        <is>
          <t>LOW (40%)</t>
        </is>
      </c>
      <c r="U331" t="inlineStr">
        <is>
          <t>UNLIKELY</t>
        </is>
      </c>
      <c r="V331" t="inlineStr">
        <is>
          <t>CHECK_VENDOR</t>
        </is>
      </c>
      <c r="W331" t="inlineStr">
        <is>
          <t>https://nvd.nist.gov/vuln/detail/CVE-2026-27182</t>
        </is>
      </c>
      <c r="X331" t="inlineStr">
        <is>
          <t>NONE</t>
        </is>
      </c>
      <c r="Y331" t="n">
        <v>0</v>
      </c>
      <c r="Z331" t="inlineStr"/>
      <c r="AA331" t="inlineStr">
        <is>
          <t>https://nvd.nist.gov/vuln/detail/CVE-2026-27182</t>
        </is>
      </c>
    </row>
    <row r="332">
      <c r="A332" t="inlineStr">
        <is>
          <t>CVE</t>
        </is>
      </c>
      <c r="B332" t="inlineStr">
        <is>
          <t>CVE-2026-2648</t>
        </is>
      </c>
      <c r="C332" t="inlineStr">
        <is>
          <t>Heap buffer overflow in PDFium in Google Chrome prior to 145.0.7632.109 allowed a remote attacker to perform an out of bounds memory write via a crafted PDF file. (Chromium security severity: High)</t>
        </is>
      </c>
      <c r="D332" t="n">
        <v>8.800000000000001</v>
      </c>
      <c r="E332" t="inlineStr">
        <is>
          <t>HIGH</t>
        </is>
      </c>
      <c r="F332" t="n">
        <v>2</v>
      </c>
      <c r="G332" t="n">
        <v>3</v>
      </c>
      <c r="H332" t="inlineStr">
        <is>
          <t>HIGH</t>
        </is>
      </c>
      <c r="I332" t="n">
        <v>14.8</v>
      </c>
      <c r="J332" t="inlineStr">
        <is>
          <t>NO</t>
        </is>
      </c>
      <c r="K332" t="inlineStr">
        <is>
          <t>2026-02-23 23:48</t>
        </is>
      </c>
      <c r="L332" t="inlineStr">
        <is>
          <t>CHECK_VENDOR</t>
        </is>
      </c>
      <c r="M332" t="inlineStr">
        <is>
          <t>google chrome *</t>
        </is>
      </c>
      <c r="N332" t="inlineStr">
        <is>
          <t>P3</t>
        </is>
      </c>
      <c r="O332" t="inlineStr">
        <is>
          <t>CVE - IP enrichment n/a</t>
        </is>
      </c>
      <c r="P332" t="n">
        <v>0</v>
      </c>
      <c r="Q332" t="n">
        <v>0</v>
      </c>
      <c r="R332" t="inlineStr">
        <is>
          <t>T1203:Exploitation for Client Execution</t>
        </is>
      </c>
      <c r="S332" t="n">
        <v>1</v>
      </c>
      <c r="T332" t="inlineStr">
        <is>
          <t>LOW (40%)</t>
        </is>
      </c>
      <c r="U332" t="inlineStr">
        <is>
          <t>UNLIKELY</t>
        </is>
      </c>
      <c r="V332" t="inlineStr">
        <is>
          <t>CHECK_VENDOR</t>
        </is>
      </c>
      <c r="W332" t="inlineStr">
        <is>
          <t>https://nvd.nist.gov/vuln/detail/CVE-2026-2648</t>
        </is>
      </c>
      <c r="X332" t="inlineStr">
        <is>
          <t>NONE</t>
        </is>
      </c>
      <c r="Y332" t="n">
        <v>0</v>
      </c>
      <c r="Z332" t="inlineStr"/>
      <c r="AA332" t="inlineStr">
        <is>
          <t>https://nvd.nist.gov/vuln/detail/CVE-2026-2648</t>
        </is>
      </c>
    </row>
    <row r="333">
      <c r="A333" t="inlineStr">
        <is>
          <t>CVE</t>
        </is>
      </c>
      <c r="B333" t="inlineStr">
        <is>
          <t>CVE-2026-2649</t>
        </is>
      </c>
      <c r="C333" t="inlineStr">
        <is>
          <t>Integer overflow in V8 in Google Chrome prior to 145.0.7632.109 allowed a remote attacker to potentially exploit heap corruption via a crafted HTML page. (Chromium security severity: High)</t>
        </is>
      </c>
      <c r="D333" t="n">
        <v>8.800000000000001</v>
      </c>
      <c r="E333" t="inlineStr">
        <is>
          <t>HIGH</t>
        </is>
      </c>
      <c r="F333" t="n">
        <v>2</v>
      </c>
      <c r="G333" t="n">
        <v>3</v>
      </c>
      <c r="H333" t="inlineStr">
        <is>
          <t>HIGH</t>
        </is>
      </c>
      <c r="I333" t="n">
        <v>14.8</v>
      </c>
      <c r="J333" t="inlineStr">
        <is>
          <t>NO</t>
        </is>
      </c>
      <c r="K333" t="inlineStr">
        <is>
          <t>2026-02-23 23:48</t>
        </is>
      </c>
      <c r="L333" t="inlineStr">
        <is>
          <t>CHECK_VENDOR</t>
        </is>
      </c>
      <c r="M333" t="inlineStr">
        <is>
          <t>google chrome *</t>
        </is>
      </c>
      <c r="N333" t="inlineStr">
        <is>
          <t>P3</t>
        </is>
      </c>
      <c r="O333" t="inlineStr">
        <is>
          <t>CVE - IP enrichment n/a</t>
        </is>
      </c>
      <c r="P333" t="n">
        <v>0</v>
      </c>
      <c r="Q333" t="n">
        <v>0</v>
      </c>
      <c r="R333" t="inlineStr">
        <is>
          <t>T1203:Exploitation for Client Execution</t>
        </is>
      </c>
      <c r="S333" t="n">
        <v>1</v>
      </c>
      <c r="T333" t="inlineStr">
        <is>
          <t>LOW (40%)</t>
        </is>
      </c>
      <c r="U333" t="inlineStr">
        <is>
          <t>UNLIKELY</t>
        </is>
      </c>
      <c r="V333" t="inlineStr">
        <is>
          <t>CHECK_VENDOR</t>
        </is>
      </c>
      <c r="W333" t="inlineStr">
        <is>
          <t>https://nvd.nist.gov/vuln/detail/CVE-2026-2649</t>
        </is>
      </c>
      <c r="X333" t="inlineStr">
        <is>
          <t>NONE</t>
        </is>
      </c>
      <c r="Y333" t="n">
        <v>0</v>
      </c>
      <c r="Z333" t="inlineStr"/>
      <c r="AA333" t="inlineStr">
        <is>
          <t>https://nvd.nist.gov/vuln/detail/CVE-2026-2649</t>
        </is>
      </c>
    </row>
    <row r="334">
      <c r="A334" t="inlineStr">
        <is>
          <t>CVE</t>
        </is>
      </c>
      <c r="B334" t="inlineStr">
        <is>
          <t>CVE-2026-2650</t>
        </is>
      </c>
      <c r="C334" t="inlineStr">
        <is>
          <t>Heap buffer overflow in Media in Google Chrome prior to 145.0.7632.109 allowed a remote attacker to potentially exploit heap corruption via a crafted HTML page. (Chromium security severity: Medium)</t>
        </is>
      </c>
      <c r="D334" t="n">
        <v>8.800000000000001</v>
      </c>
      <c r="E334" t="inlineStr">
        <is>
          <t>HIGH</t>
        </is>
      </c>
      <c r="F334" t="n">
        <v>2</v>
      </c>
      <c r="G334" t="n">
        <v>3</v>
      </c>
      <c r="H334" t="inlineStr">
        <is>
          <t>HIGH</t>
        </is>
      </c>
      <c r="I334" t="n">
        <v>14.8</v>
      </c>
      <c r="J334" t="inlineStr">
        <is>
          <t>NO</t>
        </is>
      </c>
      <c r="K334" t="inlineStr">
        <is>
          <t>2026-02-23 23:48</t>
        </is>
      </c>
      <c r="L334" t="inlineStr">
        <is>
          <t>CHECK_VENDOR</t>
        </is>
      </c>
      <c r="M334" t="inlineStr">
        <is>
          <t>google chrome *</t>
        </is>
      </c>
      <c r="N334" t="inlineStr">
        <is>
          <t>P3</t>
        </is>
      </c>
      <c r="O334" t="inlineStr">
        <is>
          <t>CVE - IP enrichment n/a</t>
        </is>
      </c>
      <c r="P334" t="n">
        <v>0</v>
      </c>
      <c r="Q334" t="n">
        <v>0</v>
      </c>
      <c r="R334" t="inlineStr">
        <is>
          <t>T1203:Exploitation for Client Execution</t>
        </is>
      </c>
      <c r="S334" t="n">
        <v>1</v>
      </c>
      <c r="T334" t="inlineStr">
        <is>
          <t>LOW (40%)</t>
        </is>
      </c>
      <c r="U334" t="inlineStr">
        <is>
          <t>UNLIKELY</t>
        </is>
      </c>
      <c r="V334" t="inlineStr">
        <is>
          <t>CHECK_VENDOR</t>
        </is>
      </c>
      <c r="W334" t="inlineStr">
        <is>
          <t>https://nvd.nist.gov/vuln/detail/CVE-2026-2650</t>
        </is>
      </c>
      <c r="X334" t="inlineStr">
        <is>
          <t>NONE</t>
        </is>
      </c>
      <c r="Y334" t="n">
        <v>0</v>
      </c>
      <c r="Z334" t="inlineStr"/>
      <c r="AA334" t="inlineStr">
        <is>
          <t>https://nvd.nist.gov/vuln/detail/CVE-2026-2650</t>
        </is>
      </c>
    </row>
    <row r="335">
      <c r="A335" t="inlineStr">
        <is>
          <t>CVE</t>
        </is>
      </c>
      <c r="B335" t="inlineStr">
        <is>
          <t>CVE-2026-2669</t>
        </is>
      </c>
      <c r="C335" t="inlineStr">
        <is>
          <t>A vulnerability was determined in Rongzhitong Visual Integrated Command and Dispatch Platform up to 20260206. This impacts an unknown function of the file /dm/dispatch/user/delete of the component User Handler. This manipulation of the argument ID causes improper access controls. Remote exploitation of the attack is possible. The exploit has been publicly disclosed and may be utilized. The vendor was contacted early about this disclosure but did not respond in any way.</t>
        </is>
      </c>
      <c r="D335" t="n">
        <v>6.5</v>
      </c>
      <c r="E335" t="inlineStr">
        <is>
          <t>MEDIUM</t>
        </is>
      </c>
      <c r="F335" t="n">
        <v>2</v>
      </c>
      <c r="G335" t="n">
        <v>2</v>
      </c>
      <c r="H335" t="inlineStr">
        <is>
          <t>MEDIUM</t>
        </is>
      </c>
      <c r="I335" t="n">
        <v>10.5</v>
      </c>
      <c r="J335" t="inlineStr">
        <is>
          <t>NO</t>
        </is>
      </c>
      <c r="K335" t="inlineStr">
        <is>
          <t>2026-02-23 23:48</t>
        </is>
      </c>
      <c r="L335" t="inlineStr">
        <is>
          <t>CHECK_VENDOR</t>
        </is>
      </c>
      <c r="M335" t="inlineStr">
        <is>
          <t>See CVE details</t>
        </is>
      </c>
      <c r="N335" t="inlineStr">
        <is>
          <t>P4</t>
        </is>
      </c>
      <c r="O335" t="inlineStr">
        <is>
          <t>CVE - IP enrichment n/a</t>
        </is>
      </c>
      <c r="P335" t="n">
        <v>0</v>
      </c>
      <c r="Q335" t="n">
        <v>0</v>
      </c>
      <c r="R335" t="inlineStr">
        <is>
          <t>T1190:Exploit Public-Facing Application</t>
        </is>
      </c>
      <c r="S335" t="n">
        <v>1</v>
      </c>
      <c r="T335" t="inlineStr">
        <is>
          <t>LOW (40%)</t>
        </is>
      </c>
      <c r="U335" t="inlineStr">
        <is>
          <t>UNLIKELY</t>
        </is>
      </c>
      <c r="V335" t="inlineStr">
        <is>
          <t>CHECK_VENDOR</t>
        </is>
      </c>
      <c r="W335" t="inlineStr">
        <is>
          <t>https://nvd.nist.gov/vuln/detail/CVE-2026-2669</t>
        </is>
      </c>
      <c r="X335" t="inlineStr">
        <is>
          <t>NONE</t>
        </is>
      </c>
      <c r="Y335" t="n">
        <v>0</v>
      </c>
      <c r="Z335" t="inlineStr"/>
      <c r="AA335" t="inlineStr">
        <is>
          <t>https://nvd.nist.gov/vuln/detail/CVE-2026-2669</t>
        </is>
      </c>
    </row>
    <row r="336">
      <c r="A336" t="inlineStr">
        <is>
          <t>CVE</t>
        </is>
      </c>
      <c r="B336" t="inlineStr">
        <is>
          <t>CVE-2026-2670</t>
        </is>
      </c>
      <c r="C336" t="inlineStr">
        <is>
          <t>A vulnerability was identified in Advantech WISE-6610 1.2.1_20251110. Affected is an unknown function of the file /cgi-bin/luci/admin/openvpn_apply of the component Background Management. Such manipulation of the argument delete_file leads to os command injection. The attack can be executed remotely. The exploit is publicly available and might be used. The vendor was contacted early about this disclosure but did not respond in any way.</t>
        </is>
      </c>
      <c r="D336" t="n">
        <v>7.2</v>
      </c>
      <c r="E336" t="inlineStr">
        <is>
          <t>HIGH</t>
        </is>
      </c>
      <c r="F336" t="n">
        <v>2</v>
      </c>
      <c r="G336" t="n">
        <v>3</v>
      </c>
      <c r="H336" t="inlineStr">
        <is>
          <t>HIGH</t>
        </is>
      </c>
      <c r="I336" t="n">
        <v>13.2</v>
      </c>
      <c r="J336" t="inlineStr">
        <is>
          <t>NO</t>
        </is>
      </c>
      <c r="K336" t="inlineStr">
        <is>
          <t>2026-02-23 23:48</t>
        </is>
      </c>
      <c r="L336" t="inlineStr">
        <is>
          <t>CHECK_VENDOR</t>
        </is>
      </c>
      <c r="M336" t="inlineStr">
        <is>
          <t>See CVE details</t>
        </is>
      </c>
      <c r="N336" t="inlineStr">
        <is>
          <t>P3</t>
        </is>
      </c>
      <c r="O336" t="inlineStr">
        <is>
          <t>CVE - IP enrichment n/a</t>
        </is>
      </c>
      <c r="P336" t="n">
        <v>0</v>
      </c>
      <c r="Q336" t="n">
        <v>0</v>
      </c>
      <c r="R336" t="inlineStr">
        <is>
          <t>T1059:Command and Scripting Interpreter | T1133:External Remote Services</t>
        </is>
      </c>
      <c r="S336" t="n">
        <v>1</v>
      </c>
      <c r="T336" t="inlineStr">
        <is>
          <t>LOW (40%)</t>
        </is>
      </c>
      <c r="U336" t="inlineStr">
        <is>
          <t>UNLIKELY</t>
        </is>
      </c>
      <c r="V336" t="inlineStr">
        <is>
          <t>CHECK_VENDOR</t>
        </is>
      </c>
      <c r="W336" t="inlineStr">
        <is>
          <t>https://nvd.nist.gov/vuln/detail/CVE-2026-2670</t>
        </is>
      </c>
      <c r="X336" t="inlineStr">
        <is>
          <t>NONE</t>
        </is>
      </c>
      <c r="Y336" t="n">
        <v>0</v>
      </c>
      <c r="Z336" t="inlineStr"/>
      <c r="AA336" t="inlineStr">
        <is>
          <t>https://nvd.nist.gov/vuln/detail/CVE-2026-2670</t>
        </is>
      </c>
    </row>
    <row r="337">
      <c r="A337" t="inlineStr">
        <is>
          <t>CVE</t>
        </is>
      </c>
      <c r="B337" t="inlineStr">
        <is>
          <t>CVE-2026-2672</t>
        </is>
      </c>
      <c r="C337" t="inlineStr">
        <is>
          <t>A security flaw has been discovered in Tsinghua Unigroup Electronic Archives System 3.2.210802(62532). Affected by this vulnerability is the function Download of the file /Search/Subject/downLoad. Performing a manipulation of the argument path results in path traversal. The attack is possible to be carried out remotely. The exploit has been released to the public and may be used for attacks. The vendor was contacted early about this disclosure but did not respond in any way.</t>
        </is>
      </c>
      <c r="D337" t="n">
        <v>4.3</v>
      </c>
      <c r="E337" t="inlineStr">
        <is>
          <t>MEDIUM</t>
        </is>
      </c>
      <c r="F337" t="n">
        <v>2</v>
      </c>
      <c r="G337" t="n">
        <v>2</v>
      </c>
      <c r="H337" t="inlineStr">
        <is>
          <t>MEDIUM</t>
        </is>
      </c>
      <c r="I337" t="n">
        <v>8.300000000000001</v>
      </c>
      <c r="J337" t="inlineStr">
        <is>
          <t>NO</t>
        </is>
      </c>
      <c r="K337" t="inlineStr">
        <is>
          <t>2026-02-23 23:48</t>
        </is>
      </c>
      <c r="L337" t="inlineStr">
        <is>
          <t>CHECK_VENDOR</t>
        </is>
      </c>
      <c r="M337" t="inlineStr">
        <is>
          <t>See CVE details</t>
        </is>
      </c>
      <c r="N337" t="inlineStr">
        <is>
          <t>P4</t>
        </is>
      </c>
      <c r="O337" t="inlineStr">
        <is>
          <t>CVE - IP enrichment n/a</t>
        </is>
      </c>
      <c r="P337" t="n">
        <v>0</v>
      </c>
      <c r="Q337" t="n">
        <v>0</v>
      </c>
      <c r="R337" t="inlineStr">
        <is>
          <t>T1083:File and Directory Discovery</t>
        </is>
      </c>
      <c r="S337" t="n">
        <v>1</v>
      </c>
      <c r="T337" t="inlineStr">
        <is>
          <t>LOW (40%)</t>
        </is>
      </c>
      <c r="U337" t="inlineStr">
        <is>
          <t>UNLIKELY</t>
        </is>
      </c>
      <c r="V337" t="inlineStr">
        <is>
          <t>CHECK_VENDOR</t>
        </is>
      </c>
      <c r="W337" t="inlineStr">
        <is>
          <t>https://nvd.nist.gov/vuln/detail/CVE-2026-2672</t>
        </is>
      </c>
      <c r="X337" t="inlineStr">
        <is>
          <t>NONE</t>
        </is>
      </c>
      <c r="Y337" t="n">
        <v>0</v>
      </c>
      <c r="Z337" t="inlineStr"/>
      <c r="AA337" t="inlineStr">
        <is>
          <t>https://nvd.nist.gov/vuln/detail/CVE-2026-2672</t>
        </is>
      </c>
    </row>
    <row r="338">
      <c r="A338" t="inlineStr">
        <is>
          <t>CVE</t>
        </is>
      </c>
      <c r="B338" t="inlineStr">
        <is>
          <t>CVE-2025-12811</t>
        </is>
      </c>
      <c r="C338" t="inlineStr">
        <is>
          <t>Improper Inconsistent Interpretation of
HTTP Requests ('HTTP Request Smuggling') in Delinea Inc. Cloud Suite and
Privileged Access Service.
If you're not using the latest Server Suite agents, this fix requires that you upgrade to Server Suite 2023.1 (agent 6.0.1) or later.  *  If you cannot upgrade to Release 2023.1 (agent version 6.0.1) or later, you can choose one of the following versions:
  *  Server Suite release 2023.0.5 (agent version 6.0.0-158)
  *  Server Suite release 2022.1.10 (ag</t>
        </is>
      </c>
      <c r="D338" t="n">
        <v>5</v>
      </c>
      <c r="E338" t="inlineStr">
        <is>
          <t>MEDIUM</t>
        </is>
      </c>
      <c r="F338" t="n">
        <v>2</v>
      </c>
      <c r="G338" t="n">
        <v>2</v>
      </c>
      <c r="H338" t="inlineStr">
        <is>
          <t>MEDIUM</t>
        </is>
      </c>
      <c r="I338" t="n">
        <v>9</v>
      </c>
      <c r="J338" t="inlineStr">
        <is>
          <t>NO</t>
        </is>
      </c>
      <c r="K338" t="inlineStr">
        <is>
          <t>2026-02-23 23:48</t>
        </is>
      </c>
      <c r="L338" t="inlineStr">
        <is>
          <t>CHECK_VENDOR</t>
        </is>
      </c>
      <c r="M338" t="inlineStr">
        <is>
          <t>See CVE details</t>
        </is>
      </c>
      <c r="N338" t="inlineStr">
        <is>
          <t>P4</t>
        </is>
      </c>
      <c r="O338" t="inlineStr">
        <is>
          <t>CVE - IP enrichment n/a</t>
        </is>
      </c>
      <c r="P338" t="n">
        <v>0</v>
      </c>
      <c r="Q338" t="n">
        <v>0</v>
      </c>
      <c r="R338" t="inlineStr">
        <is>
          <t>T1190:Exploit Public-Facing Application</t>
        </is>
      </c>
      <c r="S338" t="n">
        <v>1</v>
      </c>
      <c r="T338" t="inlineStr">
        <is>
          <t>LOW (40%)</t>
        </is>
      </c>
      <c r="U338" t="inlineStr">
        <is>
          <t>UNLIKELY</t>
        </is>
      </c>
      <c r="V338" t="inlineStr">
        <is>
          <t>CHECK_VENDOR</t>
        </is>
      </c>
      <c r="W338" t="inlineStr">
        <is>
          <t>https://nvd.nist.gov/vuln/detail/CVE-2025-12811</t>
        </is>
      </c>
      <c r="X338" t="inlineStr">
        <is>
          <t>NONE</t>
        </is>
      </c>
      <c r="Y338" t="n">
        <v>0</v>
      </c>
      <c r="Z338" t="inlineStr"/>
      <c r="AA338" t="inlineStr">
        <is>
          <t>https://nvd.nist.gov/vuln/detail/CVE-2025-12811</t>
        </is>
      </c>
    </row>
    <row r="339">
      <c r="A339" t="inlineStr">
        <is>
          <t>CVE</t>
        </is>
      </c>
      <c r="B339" t="inlineStr">
        <is>
          <t>CVE-2025-12812</t>
        </is>
      </c>
      <c r="C339" t="inlineStr">
        <is>
          <t>Improper Neutralization of Special Elements used in an SQL Command
('SQL Injection') in Delinea Inc. Cloud Suite and Privileged Access Service.
Remediation: This issue is fixed in Cloud Suite: 25.1</t>
        </is>
      </c>
      <c r="D339" t="n">
        <v>5</v>
      </c>
      <c r="E339" t="inlineStr">
        <is>
          <t>MEDIUM</t>
        </is>
      </c>
      <c r="F339" t="n">
        <v>2</v>
      </c>
      <c r="G339" t="n">
        <v>2</v>
      </c>
      <c r="H339" t="inlineStr">
        <is>
          <t>MEDIUM</t>
        </is>
      </c>
      <c r="I339" t="n">
        <v>9</v>
      </c>
      <c r="J339" t="inlineStr">
        <is>
          <t>NO</t>
        </is>
      </c>
      <c r="K339" t="inlineStr">
        <is>
          <t>2026-02-23 23:48</t>
        </is>
      </c>
      <c r="L339" t="inlineStr">
        <is>
          <t>CHECK_VENDOR</t>
        </is>
      </c>
      <c r="M339" t="inlineStr">
        <is>
          <t>See CVE details</t>
        </is>
      </c>
      <c r="N339" t="inlineStr">
        <is>
          <t>P4</t>
        </is>
      </c>
      <c r="O339" t="inlineStr">
        <is>
          <t>CVE - IP enrichment n/a</t>
        </is>
      </c>
      <c r="P339" t="n">
        <v>0</v>
      </c>
      <c r="Q339" t="n">
        <v>0</v>
      </c>
      <c r="R339" t="inlineStr">
        <is>
          <t>T1190:Exploit Public-Facing Application</t>
        </is>
      </c>
      <c r="S339" t="n">
        <v>1</v>
      </c>
      <c r="T339" t="inlineStr">
        <is>
          <t>LOW (40%)</t>
        </is>
      </c>
      <c r="U339" t="inlineStr">
        <is>
          <t>UNLIKELY</t>
        </is>
      </c>
      <c r="V339" t="inlineStr">
        <is>
          <t>CHECK_VENDOR</t>
        </is>
      </c>
      <c r="W339" t="inlineStr">
        <is>
          <t>https://nvd.nist.gov/vuln/detail/CVE-2025-12812</t>
        </is>
      </c>
      <c r="X339" t="inlineStr">
        <is>
          <t>NONE</t>
        </is>
      </c>
      <c r="Y339" t="n">
        <v>0</v>
      </c>
      <c r="Z339" t="inlineStr"/>
      <c r="AA339" t="inlineStr">
        <is>
          <t>https://nvd.nist.gov/vuln/detail/CVE-2025-12812</t>
        </is>
      </c>
    </row>
    <row r="340">
      <c r="A340" t="inlineStr">
        <is>
          <t>CVE</t>
        </is>
      </c>
      <c r="B340" t="inlineStr">
        <is>
          <t>CVE-2025-15581</t>
        </is>
      </c>
      <c r="C340" t="inlineStr">
        <is>
          <t>Orthanc versions before 1.12.10 are affected by an authorisation logic flaw in the application's HTTP Basic Authentication implementation. 
Successful exploitation could result in Privilege Escalation, potentially allowing full administrative access.</t>
        </is>
      </c>
      <c r="D340" t="n">
        <v>5</v>
      </c>
      <c r="E340" t="inlineStr">
        <is>
          <t>MEDIUM</t>
        </is>
      </c>
      <c r="F340" t="n">
        <v>2</v>
      </c>
      <c r="G340" t="n">
        <v>2</v>
      </c>
      <c r="H340" t="inlineStr">
        <is>
          <t>MEDIUM</t>
        </is>
      </c>
      <c r="I340" t="n">
        <v>9</v>
      </c>
      <c r="J340" t="inlineStr">
        <is>
          <t>NO</t>
        </is>
      </c>
      <c r="K340" t="inlineStr">
        <is>
          <t>2026-02-23 23:48</t>
        </is>
      </c>
      <c r="L340" t="inlineStr">
        <is>
          <t>CHECK_VENDOR</t>
        </is>
      </c>
      <c r="M340" t="inlineStr">
        <is>
          <t>See CVE details</t>
        </is>
      </c>
      <c r="N340" t="inlineStr">
        <is>
          <t>P4</t>
        </is>
      </c>
      <c r="O340" t="inlineStr">
        <is>
          <t>CVE - IP enrichment n/a</t>
        </is>
      </c>
      <c r="P340" t="n">
        <v>0</v>
      </c>
      <c r="Q340" t="n">
        <v>0</v>
      </c>
      <c r="R340" t="inlineStr">
        <is>
          <t>T1078:Valid Accounts | T1110:Brute Force | T1068:Exploitation for Privilege Escalation</t>
        </is>
      </c>
      <c r="S340" t="n">
        <v>1</v>
      </c>
      <c r="T340" t="inlineStr">
        <is>
          <t>LOW (40%)</t>
        </is>
      </c>
      <c r="U340" t="inlineStr">
        <is>
          <t>UNLIKELY</t>
        </is>
      </c>
      <c r="V340" t="inlineStr">
        <is>
          <t>CHECK_VENDOR</t>
        </is>
      </c>
      <c r="W340" t="inlineStr">
        <is>
          <t>https://nvd.nist.gov/vuln/detail/CVE-2025-15581</t>
        </is>
      </c>
      <c r="X340" t="inlineStr">
        <is>
          <t>NONE</t>
        </is>
      </c>
      <c r="Y340" t="n">
        <v>0</v>
      </c>
      <c r="Z340" t="inlineStr"/>
      <c r="AA340" t="inlineStr">
        <is>
          <t>https://nvd.nist.gov/vuln/detail/CVE-2025-15581</t>
        </is>
      </c>
    </row>
    <row r="341">
      <c r="A341" t="inlineStr">
        <is>
          <t>CVE</t>
        </is>
      </c>
      <c r="B341" t="inlineStr">
        <is>
          <t>CVE-2026-24745</t>
        </is>
      </c>
      <c r="C341" t="inlineStr">
        <is>
          <t>InvoicePlane is a self-hosted open source application for managing invoices, clients, and payments. A Stored Cross-Site Scripting (XSS) vulnerability occurs in the upload Login Logo functions of InvoicePlane version 1.7.0. In the Upload Login Logo, the application allows uploading svg files. Although administrator privileges are required to exploit it, this is still considered a critical vulnerability as it can cause actions such as unauthorized modification of application data, creation of pers</t>
        </is>
      </c>
      <c r="D341" t="n">
        <v>5.7</v>
      </c>
      <c r="E341" t="inlineStr">
        <is>
          <t>MEDIUM</t>
        </is>
      </c>
      <c r="F341" t="n">
        <v>2</v>
      </c>
      <c r="G341" t="n">
        <v>2</v>
      </c>
      <c r="H341" t="inlineStr">
        <is>
          <t>MEDIUM</t>
        </is>
      </c>
      <c r="I341" t="n">
        <v>9.699999999999999</v>
      </c>
      <c r="J341" t="inlineStr">
        <is>
          <t>NO</t>
        </is>
      </c>
      <c r="K341" t="inlineStr">
        <is>
          <t>2026-02-23 23:48</t>
        </is>
      </c>
      <c r="L341" t="inlineStr">
        <is>
          <t>YES</t>
        </is>
      </c>
      <c r="M341" t="inlineStr">
        <is>
          <t>invoiceplane invoiceplane 1.7.0</t>
        </is>
      </c>
      <c r="N341" t="inlineStr">
        <is>
          <t>P4</t>
        </is>
      </c>
      <c r="O341" t="inlineStr">
        <is>
          <t>CVE - IP enrichment n/a</t>
        </is>
      </c>
      <c r="P341" t="n">
        <v>0</v>
      </c>
      <c r="Q341" t="n">
        <v>0</v>
      </c>
      <c r="R341" t="inlineStr">
        <is>
          <t>T1189:Drive-by Compromise | T1190:Exploit Public-Facing Application | T1543:Create or Modify System Process</t>
        </is>
      </c>
      <c r="S341" t="n">
        <v>1</v>
      </c>
      <c r="T341" t="inlineStr">
        <is>
          <t>LOW (40%)</t>
        </is>
      </c>
      <c r="U341" t="inlineStr">
        <is>
          <t>UNLIKELY</t>
        </is>
      </c>
      <c r="V341" t="inlineStr">
        <is>
          <t>PATCH_AVAILABLE</t>
        </is>
      </c>
      <c r="W341" t="inlineStr">
        <is>
          <t>https://nvd.nist.gov/vuln/detail/CVE-2026-24745</t>
        </is>
      </c>
      <c r="X341" t="inlineStr">
        <is>
          <t>NONE</t>
        </is>
      </c>
      <c r="Y341" t="n">
        <v>0</v>
      </c>
      <c r="Z341" t="inlineStr"/>
      <c r="AA341" t="inlineStr">
        <is>
          <t>https://nvd.nist.gov/vuln/detail/CVE-2026-24745</t>
        </is>
      </c>
    </row>
    <row r="342">
      <c r="A342" t="inlineStr">
        <is>
          <t>CVE</t>
        </is>
      </c>
      <c r="B342" t="inlineStr">
        <is>
          <t>CVE-2026-25548</t>
        </is>
      </c>
      <c r="C342" t="inlineStr">
        <is>
          <t>InvoicePlane is a self-hosted open source application for managing invoices, clients, and payments. A critical Remote Code Execution (RCE) vulnerability exists in InvoicePlane 1.7.0 through a chained Local File Inclusion (LFI) and Log Poisoning attack. An authenticated administrator can execute arbitrary system commands on the server by manipulating the `public_invoice_template` setting to include poisoned log files containing PHP code. Version 1.7.1 patches the issue.</t>
        </is>
      </c>
      <c r="D342" t="n">
        <v>9.1</v>
      </c>
      <c r="E342" t="inlineStr">
        <is>
          <t>CRITICAL</t>
        </is>
      </c>
      <c r="F342" t="n">
        <v>2</v>
      </c>
      <c r="G342" t="n">
        <v>3</v>
      </c>
      <c r="H342" t="inlineStr">
        <is>
          <t>HIGH</t>
        </is>
      </c>
      <c r="I342" t="n">
        <v>15.1</v>
      </c>
      <c r="J342" t="inlineStr">
        <is>
          <t>NO</t>
        </is>
      </c>
      <c r="K342" t="inlineStr">
        <is>
          <t>2026-02-23 23:48</t>
        </is>
      </c>
      <c r="L342" t="inlineStr">
        <is>
          <t>YES</t>
        </is>
      </c>
      <c r="M342" t="inlineStr">
        <is>
          <t>invoiceplane invoiceplane *</t>
        </is>
      </c>
      <c r="N342" t="inlineStr">
        <is>
          <t>P3</t>
        </is>
      </c>
      <c r="O342" t="inlineStr">
        <is>
          <t>CVE - IP enrichment n/a</t>
        </is>
      </c>
      <c r="P342" t="n">
        <v>0</v>
      </c>
      <c r="Q342" t="n">
        <v>0</v>
      </c>
      <c r="R342" t="inlineStr">
        <is>
          <t>T1059:Command and Scripting Interpreter | T1190:Exploit Public-Facing Application | T1210:Exploitation of Remote Services</t>
        </is>
      </c>
      <c r="S342" t="n">
        <v>1</v>
      </c>
      <c r="T342" t="inlineStr">
        <is>
          <t>LOW (40%)</t>
        </is>
      </c>
      <c r="U342" t="inlineStr">
        <is>
          <t>UNLIKELY</t>
        </is>
      </c>
      <c r="V342" t="inlineStr">
        <is>
          <t>PATCH_AVAILABLE</t>
        </is>
      </c>
      <c r="W342" t="inlineStr">
        <is>
          <t>https://nvd.nist.gov/vuln/detail/CVE-2026-25548</t>
        </is>
      </c>
      <c r="X342" t="inlineStr">
        <is>
          <t>NONE</t>
        </is>
      </c>
      <c r="Y342" t="n">
        <v>0</v>
      </c>
      <c r="Z342" t="inlineStr"/>
      <c r="AA342" t="inlineStr">
        <is>
          <t>https://nvd.nist.gov/vuln/detail/CVE-2026-25548</t>
        </is>
      </c>
    </row>
    <row r="343">
      <c r="A343" t="inlineStr">
        <is>
          <t>CVE</t>
        </is>
      </c>
      <c r="B343" t="inlineStr">
        <is>
          <t>CVE-2026-25594</t>
        </is>
      </c>
      <c r="C343" t="inlineStr">
        <is>
          <t>InvoicePlane is a self-hosted open source application for managing invoices, clients, and payments. A Stored Cross-Site Scripting (XSS) vulnerability exists in InvoicePlane 1.7.0 via the Family Name field. The `family_name` value is rendered without HTML encoding inside the family dropdown on the product form. When an administrator creates a family with a malicious name, the payload executes in the browser of any administrator who visits the product form. Version 1.7.1 patches the issue.</t>
        </is>
      </c>
      <c r="D343" t="n">
        <v>4.8</v>
      </c>
      <c r="E343" t="inlineStr">
        <is>
          <t>MEDIUM</t>
        </is>
      </c>
      <c r="F343" t="n">
        <v>2</v>
      </c>
      <c r="G343" t="n">
        <v>2</v>
      </c>
      <c r="H343" t="inlineStr">
        <is>
          <t>MEDIUM</t>
        </is>
      </c>
      <c r="I343" t="n">
        <v>8.800000000000001</v>
      </c>
      <c r="J343" t="inlineStr">
        <is>
          <t>NO</t>
        </is>
      </c>
      <c r="K343" t="inlineStr">
        <is>
          <t>2026-02-23 23:48</t>
        </is>
      </c>
      <c r="L343" t="inlineStr">
        <is>
          <t>YES</t>
        </is>
      </c>
      <c r="M343" t="inlineStr">
        <is>
          <t>invoiceplane invoiceplane *</t>
        </is>
      </c>
      <c r="N343" t="inlineStr">
        <is>
          <t>P4</t>
        </is>
      </c>
      <c r="O343" t="inlineStr">
        <is>
          <t>CVE - IP enrichment n/a</t>
        </is>
      </c>
      <c r="P343" t="n">
        <v>0</v>
      </c>
      <c r="Q343" t="n">
        <v>0</v>
      </c>
      <c r="R343" t="inlineStr">
        <is>
          <t>T1189:Drive-by Compromise | T1190:Exploit Public-Facing Application</t>
        </is>
      </c>
      <c r="S343" t="n">
        <v>1</v>
      </c>
      <c r="T343" t="inlineStr">
        <is>
          <t>LOW (40%)</t>
        </is>
      </c>
      <c r="U343" t="inlineStr">
        <is>
          <t>UNLIKELY</t>
        </is>
      </c>
      <c r="V343" t="inlineStr">
        <is>
          <t>PATCH_AVAILABLE</t>
        </is>
      </c>
      <c r="W343" t="inlineStr">
        <is>
          <t>https://nvd.nist.gov/vuln/detail/CVE-2026-25594</t>
        </is>
      </c>
      <c r="X343" t="inlineStr">
        <is>
          <t>NONE</t>
        </is>
      </c>
      <c r="Y343" t="n">
        <v>0</v>
      </c>
      <c r="Z343" t="inlineStr"/>
      <c r="AA343" t="inlineStr">
        <is>
          <t>https://nvd.nist.gov/vuln/detail/CVE-2026-25594</t>
        </is>
      </c>
    </row>
    <row r="344">
      <c r="A344" t="inlineStr">
        <is>
          <t>CVE</t>
        </is>
      </c>
      <c r="B344" t="inlineStr">
        <is>
          <t>CVE-2026-25595</t>
        </is>
      </c>
      <c r="C344" t="inlineStr">
        <is>
          <t>InvoicePlane is a self-hosted open source application for managing invoices, clients, and payments. A Stored Cross-Site Scripting (XSS) vulnerability exists in InvoicePlane 1.7.0 via the Invoice Number field. An authenticated administrator can inject malicious JavaScript that executes when any administrator views the affected invoice or visits the dashboard. Version 1.7.1 patches the issue.</t>
        </is>
      </c>
      <c r="D344" t="n">
        <v>4.8</v>
      </c>
      <c r="E344" t="inlineStr">
        <is>
          <t>MEDIUM</t>
        </is>
      </c>
      <c r="F344" t="n">
        <v>2</v>
      </c>
      <c r="G344" t="n">
        <v>2</v>
      </c>
      <c r="H344" t="inlineStr">
        <is>
          <t>MEDIUM</t>
        </is>
      </c>
      <c r="I344" t="n">
        <v>8.800000000000001</v>
      </c>
      <c r="J344" t="inlineStr">
        <is>
          <t>NO</t>
        </is>
      </c>
      <c r="K344" t="inlineStr">
        <is>
          <t>2026-02-23 23:48</t>
        </is>
      </c>
      <c r="L344" t="inlineStr">
        <is>
          <t>YES</t>
        </is>
      </c>
      <c r="M344" t="inlineStr">
        <is>
          <t>invoiceplane invoiceplane *</t>
        </is>
      </c>
      <c r="N344" t="inlineStr">
        <is>
          <t>P4</t>
        </is>
      </c>
      <c r="O344" t="inlineStr">
        <is>
          <t>CVE - IP enrichment n/a</t>
        </is>
      </c>
      <c r="P344" t="n">
        <v>0</v>
      </c>
      <c r="Q344" t="n">
        <v>0</v>
      </c>
      <c r="R344" t="inlineStr">
        <is>
          <t>T1189:Drive-by Compromise | T1190:Exploit Public-Facing Application</t>
        </is>
      </c>
      <c r="S344" t="n">
        <v>1</v>
      </c>
      <c r="T344" t="inlineStr">
        <is>
          <t>LOW (40%)</t>
        </is>
      </c>
      <c r="U344" t="inlineStr">
        <is>
          <t>UNLIKELY</t>
        </is>
      </c>
      <c r="V344" t="inlineStr">
        <is>
          <t>PATCH_AVAILABLE</t>
        </is>
      </c>
      <c r="W344" t="inlineStr">
        <is>
          <t>https://nvd.nist.gov/vuln/detail/CVE-2026-25595</t>
        </is>
      </c>
      <c r="X344" t="inlineStr">
        <is>
          <t>NONE</t>
        </is>
      </c>
      <c r="Y344" t="n">
        <v>0</v>
      </c>
      <c r="Z344" t="inlineStr"/>
      <c r="AA344" t="inlineStr">
        <is>
          <t>https://nvd.nist.gov/vuln/detail/CVE-2026-25595</t>
        </is>
      </c>
    </row>
    <row r="345">
      <c r="A345" t="inlineStr">
        <is>
          <t>CVE</t>
        </is>
      </c>
      <c r="B345" t="inlineStr">
        <is>
          <t>CVE-2026-25596</t>
        </is>
      </c>
      <c r="C345" t="inlineStr">
        <is>
          <t>InvoicePlane is a self-hosted open source application for managing invoices, clients, and payments. A Stored Cross-Site Scripting (XSS) vulnerability exists in InvoicePlane 1.7.0 via the Product Unit Name fields. An authenticated administrator can inject malicious JavaScript that executes when any administrator views an invoice containing a product with the malicious unit. Version 1.7.1 patches the issue.</t>
        </is>
      </c>
      <c r="D345" t="n">
        <v>4.8</v>
      </c>
      <c r="E345" t="inlineStr">
        <is>
          <t>MEDIUM</t>
        </is>
      </c>
      <c r="F345" t="n">
        <v>2</v>
      </c>
      <c r="G345" t="n">
        <v>2</v>
      </c>
      <c r="H345" t="inlineStr">
        <is>
          <t>MEDIUM</t>
        </is>
      </c>
      <c r="I345" t="n">
        <v>8.800000000000001</v>
      </c>
      <c r="J345" t="inlineStr">
        <is>
          <t>NO</t>
        </is>
      </c>
      <c r="K345" t="inlineStr">
        <is>
          <t>2026-02-23 23:48</t>
        </is>
      </c>
      <c r="L345" t="inlineStr">
        <is>
          <t>YES</t>
        </is>
      </c>
      <c r="M345" t="inlineStr">
        <is>
          <t>invoiceplane invoiceplane *</t>
        </is>
      </c>
      <c r="N345" t="inlineStr">
        <is>
          <t>P4</t>
        </is>
      </c>
      <c r="O345" t="inlineStr">
        <is>
          <t>CVE - IP enrichment n/a</t>
        </is>
      </c>
      <c r="P345" t="n">
        <v>0.0001</v>
      </c>
      <c r="Q345" t="n">
        <v>0.0074</v>
      </c>
      <c r="R345" t="inlineStr">
        <is>
          <t>T1189:Drive-by Compromise | T1190:Exploit Public-Facing Application</t>
        </is>
      </c>
      <c r="S345" t="n">
        <v>1</v>
      </c>
      <c r="T345" t="inlineStr">
        <is>
          <t>LOW (40%)</t>
        </is>
      </c>
      <c r="U345" t="inlineStr">
        <is>
          <t>UNLIKELY</t>
        </is>
      </c>
      <c r="V345" t="inlineStr">
        <is>
          <t>PATCH_AVAILABLE</t>
        </is>
      </c>
      <c r="W345" t="inlineStr">
        <is>
          <t>https://nvd.nist.gov/vuln/detail/CVE-2026-25596</t>
        </is>
      </c>
      <c r="X345" t="inlineStr">
        <is>
          <t>NONE</t>
        </is>
      </c>
      <c r="Y345" t="n">
        <v>0</v>
      </c>
      <c r="Z345" t="inlineStr"/>
      <c r="AA345" t="inlineStr">
        <is>
          <t>https://nvd.nist.gov/vuln/detail/CVE-2026-25596</t>
        </is>
      </c>
    </row>
    <row r="346">
      <c r="A346" t="inlineStr">
        <is>
          <t>CVE</t>
        </is>
      </c>
      <c r="B346" t="inlineStr">
        <is>
          <t>CVE-2026-26270</t>
        </is>
      </c>
      <c r="C346" t="inlineStr">
        <is>
          <t>InvoicePlane is a self-hosted open source application for managing invoices, clients, and payments. A Stored Cross-Site Scripting (XSS) vulnerability exists in InvoicePlane (latest version) that allows an authenticated user with permissions to manage Invoice Groups to inject malicious JavaScript into the "Identifier Format" field. This script executes when any user views the invoice list or the main dashboard. Version 1.7.1 patches the issue.</t>
        </is>
      </c>
      <c r="D346" t="n">
        <v>5.4</v>
      </c>
      <c r="E346" t="inlineStr">
        <is>
          <t>MEDIUM</t>
        </is>
      </c>
      <c r="F346" t="n">
        <v>2</v>
      </c>
      <c r="G346" t="n">
        <v>2</v>
      </c>
      <c r="H346" t="inlineStr">
        <is>
          <t>MEDIUM</t>
        </is>
      </c>
      <c r="I346" t="n">
        <v>9.4</v>
      </c>
      <c r="J346" t="inlineStr">
        <is>
          <t>NO</t>
        </is>
      </c>
      <c r="K346" t="inlineStr">
        <is>
          <t>2026-02-23 23:48</t>
        </is>
      </c>
      <c r="L346" t="inlineStr">
        <is>
          <t>YES</t>
        </is>
      </c>
      <c r="M346" t="inlineStr">
        <is>
          <t>invoiceplane invoiceplane 1.7.0</t>
        </is>
      </c>
      <c r="N346" t="inlineStr">
        <is>
          <t>P4</t>
        </is>
      </c>
      <c r="O346" t="inlineStr">
        <is>
          <t>CVE - IP enrichment n/a</t>
        </is>
      </c>
      <c r="P346" t="n">
        <v>0</v>
      </c>
      <c r="Q346" t="n">
        <v>0</v>
      </c>
      <c r="R346" t="inlineStr">
        <is>
          <t>T1189:Drive-by Compromise | T1190:Exploit Public-Facing Application</t>
        </is>
      </c>
      <c r="S346" t="n">
        <v>1</v>
      </c>
      <c r="T346" t="inlineStr">
        <is>
          <t>LOW (40%)</t>
        </is>
      </c>
      <c r="U346" t="inlineStr">
        <is>
          <t>UNLIKELY</t>
        </is>
      </c>
      <c r="V346" t="inlineStr">
        <is>
          <t>PATCH_AVAILABLE</t>
        </is>
      </c>
      <c r="W346" t="inlineStr">
        <is>
          <t>https://nvd.nist.gov/vuln/detail/CVE-2026-26270</t>
        </is>
      </c>
      <c r="X346" t="inlineStr">
        <is>
          <t>NONE</t>
        </is>
      </c>
      <c r="Y346" t="n">
        <v>0</v>
      </c>
      <c r="Z346" t="inlineStr"/>
      <c r="AA346" t="inlineStr">
        <is>
          <t>https://nvd.nist.gov/vuln/detail/CVE-2026-26270</t>
        </is>
      </c>
    </row>
    <row r="347">
      <c r="A347" t="inlineStr">
        <is>
          <t>CVE</t>
        </is>
      </c>
      <c r="B347" t="inlineStr">
        <is>
          <t>CVE-2026-26281</t>
        </is>
      </c>
      <c r="C347" t="inlineStr">
        <is>
          <t>InvoicePlane is a self-hosted open source application for managing invoices, clients, and payments. A stored cross-site scripting (XSS) vulnerability in the Sumex invoice view allows an authenticated user with client and invoice management privileges to execute arbitrary JavaScript in the browser of any user viewing the invoice. This can lead to session hijacking, data theft, or other malicious actions on behalf of the victim user. Version 1.7.1 patches the issue.</t>
        </is>
      </c>
      <c r="D347" t="n">
        <v>4.4</v>
      </c>
      <c r="E347" t="inlineStr">
        <is>
          <t>MEDIUM</t>
        </is>
      </c>
      <c r="F347" t="n">
        <v>2</v>
      </c>
      <c r="G347" t="n">
        <v>2</v>
      </c>
      <c r="H347" t="inlineStr">
        <is>
          <t>MEDIUM</t>
        </is>
      </c>
      <c r="I347" t="n">
        <v>8.4</v>
      </c>
      <c r="J347" t="inlineStr">
        <is>
          <t>NO</t>
        </is>
      </c>
      <c r="K347" t="inlineStr">
        <is>
          <t>2026-02-23 23:48</t>
        </is>
      </c>
      <c r="L347" t="inlineStr">
        <is>
          <t>YES</t>
        </is>
      </c>
      <c r="M347" t="inlineStr">
        <is>
          <t>invoiceplane invoiceplane 1.7.0</t>
        </is>
      </c>
      <c r="N347" t="inlineStr">
        <is>
          <t>P4</t>
        </is>
      </c>
      <c r="O347" t="inlineStr">
        <is>
          <t>CVE - IP enrichment n/a</t>
        </is>
      </c>
      <c r="P347" t="n">
        <v>0.0001</v>
      </c>
      <c r="Q347" t="n">
        <v>0.0089</v>
      </c>
      <c r="R347" t="inlineStr">
        <is>
          <t>T1189:Drive-by Compromise | T1190:Exploit Public-Facing Application</t>
        </is>
      </c>
      <c r="S347" t="n">
        <v>1</v>
      </c>
      <c r="T347" t="inlineStr">
        <is>
          <t>LOW (40%)</t>
        </is>
      </c>
      <c r="U347" t="inlineStr">
        <is>
          <t>UNLIKELY</t>
        </is>
      </c>
      <c r="V347" t="inlineStr">
        <is>
          <t>PATCH_AVAILABLE</t>
        </is>
      </c>
      <c r="W347" t="inlineStr">
        <is>
          <t>https://nvd.nist.gov/vuln/detail/CVE-2026-26281</t>
        </is>
      </c>
      <c r="X347" t="inlineStr">
        <is>
          <t>NONE</t>
        </is>
      </c>
      <c r="Y347" t="n">
        <v>0</v>
      </c>
      <c r="Z347" t="inlineStr"/>
      <c r="AA347" t="inlineStr">
        <is>
          <t>https://nvd.nist.gov/vuln/detail/CVE-2026-26281</t>
        </is>
      </c>
    </row>
    <row r="348">
      <c r="A348" t="inlineStr">
        <is>
          <t>CVE</t>
        </is>
      </c>
      <c r="B348" t="inlineStr">
        <is>
          <t>CVE-2026-2676</t>
        </is>
      </c>
      <c r="C348" t="inlineStr">
        <is>
          <t>A weakness has been identified in GoogTech sms-ssm up to e8534c766fd13f5f94c01dab475d75f286918a8d. Affected by this issue is the function preHandle of the file LoginInterceptor.java of the component API Interface. Executing a manipulation can lead to improper authorization. The attack may be performed from remote. The exploit has been made available to the public and could be used for attacks. This product utilizes a rolling release system for continuous delivery, and as such, version informatio</t>
        </is>
      </c>
      <c r="D348" t="n">
        <v>6.3</v>
      </c>
      <c r="E348" t="inlineStr">
        <is>
          <t>MEDIUM</t>
        </is>
      </c>
      <c r="F348" t="n">
        <v>2</v>
      </c>
      <c r="G348" t="n">
        <v>2</v>
      </c>
      <c r="H348" t="inlineStr">
        <is>
          <t>MEDIUM</t>
        </is>
      </c>
      <c r="I348" t="n">
        <v>10.3</v>
      </c>
      <c r="J348" t="inlineStr">
        <is>
          <t>NO</t>
        </is>
      </c>
      <c r="K348" t="inlineStr">
        <is>
          <t>2026-02-23 23:48</t>
        </is>
      </c>
      <c r="L348" t="inlineStr">
        <is>
          <t>CHECK_VENDOR</t>
        </is>
      </c>
      <c r="M348" t="inlineStr">
        <is>
          <t>See CVE details</t>
        </is>
      </c>
      <c r="N348" t="inlineStr">
        <is>
          <t>P4</t>
        </is>
      </c>
      <c r="O348" t="inlineStr">
        <is>
          <t>CVE - IP enrichment n/a</t>
        </is>
      </c>
      <c r="P348" t="n">
        <v>0</v>
      </c>
      <c r="Q348" t="n">
        <v>0</v>
      </c>
      <c r="R348" t="inlineStr">
        <is>
          <t>T1190:Exploit Public-Facing Application</t>
        </is>
      </c>
      <c r="S348" t="n">
        <v>1</v>
      </c>
      <c r="T348" t="inlineStr">
        <is>
          <t>LOW (40%)</t>
        </is>
      </c>
      <c r="U348" t="inlineStr">
        <is>
          <t>UNLIKELY</t>
        </is>
      </c>
      <c r="V348" t="inlineStr">
        <is>
          <t>CHECK_VENDOR</t>
        </is>
      </c>
      <c r="W348" t="inlineStr">
        <is>
          <t>https://nvd.nist.gov/vuln/detail/CVE-2026-2676</t>
        </is>
      </c>
      <c r="X348" t="inlineStr">
        <is>
          <t>NONE</t>
        </is>
      </c>
      <c r="Y348" t="n">
        <v>0</v>
      </c>
      <c r="Z348" t="inlineStr"/>
      <c r="AA348" t="inlineStr">
        <is>
          <t>https://nvd.nist.gov/vuln/detail/CVE-2026-2676</t>
        </is>
      </c>
    </row>
    <row r="349">
      <c r="A349" t="inlineStr">
        <is>
          <t>CVE</t>
        </is>
      </c>
      <c r="B349" t="inlineStr">
        <is>
          <t>CVE-2026-2682</t>
        </is>
      </c>
      <c r="C349" t="inlineStr">
        <is>
          <t>A vulnerability has been found in Tsinghua Unigroup Electronic Archives System up to 3.2.210802(62532). Impacted is an unknown function of the file /mine/PublicReport/prinReport.html?token=java. Such manipulation of the argument comid leads to sql injection. The attack can be launched remotely. The exploit has been disclosed to the public and may be used. The vendor was contacted early about this disclosure but did not respond in any way.</t>
        </is>
      </c>
      <c r="D349" t="n">
        <v>6.3</v>
      </c>
      <c r="E349" t="inlineStr">
        <is>
          <t>MEDIUM</t>
        </is>
      </c>
      <c r="F349" t="n">
        <v>2</v>
      </c>
      <c r="G349" t="n">
        <v>2</v>
      </c>
      <c r="H349" t="inlineStr">
        <is>
          <t>MEDIUM</t>
        </is>
      </c>
      <c r="I349" t="n">
        <v>10.3</v>
      </c>
      <c r="J349" t="inlineStr">
        <is>
          <t>NO</t>
        </is>
      </c>
      <c r="K349" t="inlineStr">
        <is>
          <t>2026-02-23 23:48</t>
        </is>
      </c>
      <c r="L349" t="inlineStr">
        <is>
          <t>CHECK_VENDOR</t>
        </is>
      </c>
      <c r="M349" t="inlineStr">
        <is>
          <t>See CVE details</t>
        </is>
      </c>
      <c r="N349" t="inlineStr">
        <is>
          <t>P4</t>
        </is>
      </c>
      <c r="O349" t="inlineStr">
        <is>
          <t>CVE - IP enrichment n/a</t>
        </is>
      </c>
      <c r="P349" t="n">
        <v>0</v>
      </c>
      <c r="Q349" t="n">
        <v>0</v>
      </c>
      <c r="R349" t="inlineStr">
        <is>
          <t>T1190:Exploit Public-Facing Application</t>
        </is>
      </c>
      <c r="S349" t="n">
        <v>1</v>
      </c>
      <c r="T349" t="inlineStr">
        <is>
          <t>LOW (40%)</t>
        </is>
      </c>
      <c r="U349" t="inlineStr">
        <is>
          <t>UNLIKELY</t>
        </is>
      </c>
      <c r="V349" t="inlineStr">
        <is>
          <t>CHECK_VENDOR</t>
        </is>
      </c>
      <c r="W349" t="inlineStr">
        <is>
          <t>https://nvd.nist.gov/vuln/detail/CVE-2026-2682</t>
        </is>
      </c>
      <c r="X349" t="inlineStr">
        <is>
          <t>NONE</t>
        </is>
      </c>
      <c r="Y349" t="n">
        <v>0</v>
      </c>
      <c r="Z349" t="inlineStr"/>
      <c r="AA349" t="inlineStr">
        <is>
          <t>https://nvd.nist.gov/vuln/detail/CVE-2026-2682</t>
        </is>
      </c>
    </row>
    <row r="350">
      <c r="A350" t="inlineStr">
        <is>
          <t>CVE</t>
        </is>
      </c>
      <c r="B350" t="inlineStr">
        <is>
          <t>CVE-2026-2683</t>
        </is>
      </c>
      <c r="C350" t="inlineStr">
        <is>
          <t>A vulnerability was found in Tsinghua Unigroup Electronic Archives System 3.2.210802(62532). The affected element is an unknown function of the file /Using/Subject/downLoad.html. Performing a manipulation of the argument path results in path traversal. The attack may be initiated remotely. The exploit has been made public and could be used. The vendor was contacted early about this disclosure but did not respond in any way.</t>
        </is>
      </c>
      <c r="D350" t="n">
        <v>4.3</v>
      </c>
      <c r="E350" t="inlineStr">
        <is>
          <t>MEDIUM</t>
        </is>
      </c>
      <c r="F350" t="n">
        <v>2</v>
      </c>
      <c r="G350" t="n">
        <v>2</v>
      </c>
      <c r="H350" t="inlineStr">
        <is>
          <t>MEDIUM</t>
        </is>
      </c>
      <c r="I350" t="n">
        <v>8.300000000000001</v>
      </c>
      <c r="J350" t="inlineStr">
        <is>
          <t>NO</t>
        </is>
      </c>
      <c r="K350" t="inlineStr">
        <is>
          <t>2026-02-23 23:48</t>
        </is>
      </c>
      <c r="L350" t="inlineStr">
        <is>
          <t>CHECK_VENDOR</t>
        </is>
      </c>
      <c r="M350" t="inlineStr">
        <is>
          <t>See CVE details</t>
        </is>
      </c>
      <c r="N350" t="inlineStr">
        <is>
          <t>P4</t>
        </is>
      </c>
      <c r="O350" t="inlineStr">
        <is>
          <t>CVE - IP enrichment n/a</t>
        </is>
      </c>
      <c r="P350" t="n">
        <v>0.0001</v>
      </c>
      <c r="Q350" t="n">
        <v>0.0266</v>
      </c>
      <c r="R350" t="inlineStr">
        <is>
          <t>T1083:File and Directory Discovery</t>
        </is>
      </c>
      <c r="S350" t="n">
        <v>1</v>
      </c>
      <c r="T350" t="inlineStr">
        <is>
          <t>LOW (40%)</t>
        </is>
      </c>
      <c r="U350" t="inlineStr">
        <is>
          <t>UNLIKELY</t>
        </is>
      </c>
      <c r="V350" t="inlineStr">
        <is>
          <t>CHECK_VENDOR</t>
        </is>
      </c>
      <c r="W350" t="inlineStr">
        <is>
          <t>https://nvd.nist.gov/vuln/detail/CVE-2026-2683</t>
        </is>
      </c>
      <c r="X350" t="inlineStr">
        <is>
          <t>NONE</t>
        </is>
      </c>
      <c r="Y350" t="n">
        <v>0</v>
      </c>
      <c r="Z350" t="inlineStr"/>
      <c r="AA350" t="inlineStr">
        <is>
          <t>https://nvd.nist.gov/vuln/detail/CVE-2026-2683</t>
        </is>
      </c>
    </row>
    <row r="351">
      <c r="A351" t="inlineStr">
        <is>
          <t>CVE</t>
        </is>
      </c>
      <c r="B351" t="inlineStr">
        <is>
          <t>CVE-2025-15585</t>
        </is>
      </c>
      <c r="C351" t="inlineStr">
        <is>
          <t>Fileflows versions before 25.05.2 are affected by an authenticated SQL injection vulnerability in the library-file search function. Successful exploitation requires the system to use MySQL as the underlying database and could result in privilege escalation or data exfiltration.</t>
        </is>
      </c>
      <c r="D351" t="n">
        <v>5</v>
      </c>
      <c r="E351" t="inlineStr">
        <is>
          <t>MEDIUM</t>
        </is>
      </c>
      <c r="F351" t="n">
        <v>2</v>
      </c>
      <c r="G351" t="n">
        <v>2</v>
      </c>
      <c r="H351" t="inlineStr">
        <is>
          <t>MEDIUM</t>
        </is>
      </c>
      <c r="I351" t="n">
        <v>9</v>
      </c>
      <c r="J351" t="inlineStr">
        <is>
          <t>NO</t>
        </is>
      </c>
      <c r="K351" t="inlineStr">
        <is>
          <t>2026-02-23 23:48</t>
        </is>
      </c>
      <c r="L351" t="inlineStr">
        <is>
          <t>CHECK_VENDOR</t>
        </is>
      </c>
      <c r="M351" t="inlineStr">
        <is>
          <t>See CVE details</t>
        </is>
      </c>
      <c r="N351" t="inlineStr">
        <is>
          <t>P4</t>
        </is>
      </c>
      <c r="O351" t="inlineStr">
        <is>
          <t>CVE - IP enrichment n/a</t>
        </is>
      </c>
      <c r="P351" t="n">
        <v>0</v>
      </c>
      <c r="Q351" t="n">
        <v>0</v>
      </c>
      <c r="R351" t="inlineStr">
        <is>
          <t>T1190:Exploit Public-Facing Application | T1068:Exploitation for Privilege Escalation | T1041:Exfiltration Over C2 Channel</t>
        </is>
      </c>
      <c r="S351" t="n">
        <v>1</v>
      </c>
      <c r="T351" t="inlineStr">
        <is>
          <t>LOW (40%)</t>
        </is>
      </c>
      <c r="U351" t="inlineStr">
        <is>
          <t>UNLIKELY</t>
        </is>
      </c>
      <c r="V351" t="inlineStr">
        <is>
          <t>CHECK_VENDOR</t>
        </is>
      </c>
      <c r="W351" t="inlineStr">
        <is>
          <t>https://nvd.nist.gov/vuln/detail/CVE-2025-15585</t>
        </is>
      </c>
      <c r="X351" t="inlineStr">
        <is>
          <t>NONE</t>
        </is>
      </c>
      <c r="Y351" t="n">
        <v>0</v>
      </c>
      <c r="Z351" t="inlineStr"/>
      <c r="AA351" t="inlineStr">
        <is>
          <t>https://nvd.nist.gov/vuln/detail/CVE-2025-15585</t>
        </is>
      </c>
    </row>
    <row r="352">
      <c r="A352" t="inlineStr">
        <is>
          <t>CVE</t>
        </is>
      </c>
      <c r="B352" t="inlineStr">
        <is>
          <t>CVE-2026-24126</t>
        </is>
      </c>
      <c r="C352" t="inlineStr">
        <is>
          <t>Weblate is a web based localization tool. Prior to 5.16.0, the SSH management console did not validate the passed input while adding the SSH host key, which could lead to an argument injection to `ssh-add`. Version 5.16.0 fixes the issue. As a workaround, properly limit access to the management console.</t>
        </is>
      </c>
      <c r="D352" t="n">
        <v>6.6</v>
      </c>
      <c r="E352" t="inlineStr">
        <is>
          <t>MEDIUM</t>
        </is>
      </c>
      <c r="F352" t="n">
        <v>2</v>
      </c>
      <c r="G352" t="n">
        <v>2</v>
      </c>
      <c r="H352" t="inlineStr">
        <is>
          <t>MEDIUM</t>
        </is>
      </c>
      <c r="I352" t="n">
        <v>10.6</v>
      </c>
      <c r="J352" t="inlineStr">
        <is>
          <t>NO</t>
        </is>
      </c>
      <c r="K352" t="inlineStr">
        <is>
          <t>2026-02-23 23:48</t>
        </is>
      </c>
      <c r="L352" t="inlineStr">
        <is>
          <t>YES</t>
        </is>
      </c>
      <c r="M352" t="inlineStr">
        <is>
          <t>weblate weblate *</t>
        </is>
      </c>
      <c r="N352" t="inlineStr">
        <is>
          <t>P4</t>
        </is>
      </c>
      <c r="O352" t="inlineStr">
        <is>
          <t>CVE - IP enrichment n/a</t>
        </is>
      </c>
      <c r="P352" t="n">
        <v>0.0001</v>
      </c>
      <c r="Q352" t="n">
        <v>0.0202</v>
      </c>
      <c r="R352" t="inlineStr">
        <is>
          <t>T1190:Exploit Public-Facing Application</t>
        </is>
      </c>
      <c r="S352" t="n">
        <v>1</v>
      </c>
      <c r="T352" t="inlineStr">
        <is>
          <t>LOW (40%)</t>
        </is>
      </c>
      <c r="U352" t="inlineStr">
        <is>
          <t>UNLIKELY</t>
        </is>
      </c>
      <c r="V352" t="inlineStr">
        <is>
          <t>PATCH_AVAILABLE</t>
        </is>
      </c>
      <c r="W352" t="inlineStr">
        <is>
          <t>https://nvd.nist.gov/vuln/detail/CVE-2026-24126</t>
        </is>
      </c>
      <c r="X352" t="inlineStr">
        <is>
          <t>NONE</t>
        </is>
      </c>
      <c r="Y352" t="n">
        <v>0</v>
      </c>
      <c r="Z352" t="inlineStr"/>
      <c r="AA352" t="inlineStr">
        <is>
          <t>https://nvd.nist.gov/vuln/detail/CVE-2026-24126</t>
        </is>
      </c>
    </row>
    <row r="353">
      <c r="A353" t="inlineStr">
        <is>
          <t>CVE</t>
        </is>
      </c>
      <c r="B353" t="inlineStr">
        <is>
          <t>CVE-2026-25926</t>
        </is>
      </c>
      <c r="C353" t="inlineStr">
        <is>
          <t>Notepad++ is a free and open-source source code editor. An Unsafe Search Path vulnerability (CWE-426) exists in versions prior to 8.9.2 when launching Windows Explorer without an absolute executable path. This may allow execution of a malicious explorer.exe if an attacker can control the process working directory. Under certain conditions, this could lead to arbitrary code execution in the context of the running application. Version 8.9.2 patches the issue.</t>
        </is>
      </c>
      <c r="D353" t="n">
        <v>7.3</v>
      </c>
      <c r="E353" t="inlineStr">
        <is>
          <t>HIGH</t>
        </is>
      </c>
      <c r="F353" t="n">
        <v>2</v>
      </c>
      <c r="G353" t="n">
        <v>3</v>
      </c>
      <c r="H353" t="inlineStr">
        <is>
          <t>HIGH</t>
        </is>
      </c>
      <c r="I353" t="n">
        <v>13.3</v>
      </c>
      <c r="J353" t="inlineStr">
        <is>
          <t>NO</t>
        </is>
      </c>
      <c r="K353" t="inlineStr">
        <is>
          <t>2026-02-23 23:48</t>
        </is>
      </c>
      <c r="L353" t="inlineStr">
        <is>
          <t>YES</t>
        </is>
      </c>
      <c r="M353" t="inlineStr">
        <is>
          <t>notepad-plus-plus notepad\+\+ *</t>
        </is>
      </c>
      <c r="N353" t="inlineStr">
        <is>
          <t>P3</t>
        </is>
      </c>
      <c r="O353" t="inlineStr">
        <is>
          <t>CVE - IP enrichment n/a</t>
        </is>
      </c>
      <c r="P353" t="n">
        <v>0</v>
      </c>
      <c r="Q353" t="n">
        <v>0</v>
      </c>
      <c r="R353" t="inlineStr">
        <is>
          <t>T1190:Exploit Public-Facing Application | T1203:Exploitation for Client Execution</t>
        </is>
      </c>
      <c r="S353" t="n">
        <v>1</v>
      </c>
      <c r="T353" t="inlineStr">
        <is>
          <t>LOW (40%)</t>
        </is>
      </c>
      <c r="U353" t="inlineStr">
        <is>
          <t>UNLIKELY</t>
        </is>
      </c>
      <c r="V353" t="inlineStr">
        <is>
          <t>PATCH_AVAILABLE</t>
        </is>
      </c>
      <c r="W353" t="inlineStr">
        <is>
          <t>https://nvd.nist.gov/vuln/detail/CVE-2026-25926</t>
        </is>
      </c>
      <c r="X353" t="inlineStr">
        <is>
          <t>NONE</t>
        </is>
      </c>
      <c r="Y353" t="n">
        <v>0</v>
      </c>
      <c r="Z353" t="inlineStr"/>
      <c r="AA353" t="inlineStr">
        <is>
          <t>https://nvd.nist.gov/vuln/detail/CVE-2026-25926</t>
        </is>
      </c>
    </row>
    <row r="354">
      <c r="A354" t="inlineStr">
        <is>
          <t>CVE</t>
        </is>
      </c>
      <c r="B354" t="inlineStr">
        <is>
          <t>CVE-2026-2684</t>
        </is>
      </c>
      <c r="C354" t="inlineStr">
        <is>
          <t>A vulnerability was determined in Tsinghua Unigroup Electronic Archives System up to 3.2.210802(62532). The impacted element is an unknown function of the file /Archive/ErecordManage/uploadFile.html. Executing a manipulation of the argument File can lead to unrestricted upload. The attack may be launched remotely. The exploit has been publicly disclosed and may be utilized. The vendor was contacted early about this disclosure but did not respond in any way.</t>
        </is>
      </c>
      <c r="D354" t="n">
        <v>7.3</v>
      </c>
      <c r="E354" t="inlineStr">
        <is>
          <t>HIGH</t>
        </is>
      </c>
      <c r="F354" t="n">
        <v>2</v>
      </c>
      <c r="G354" t="n">
        <v>3</v>
      </c>
      <c r="H354" t="inlineStr">
        <is>
          <t>HIGH</t>
        </is>
      </c>
      <c r="I354" t="n">
        <v>13.3</v>
      </c>
      <c r="J354" t="inlineStr">
        <is>
          <t>NO</t>
        </is>
      </c>
      <c r="K354" t="inlineStr">
        <is>
          <t>2026-02-23 23:48</t>
        </is>
      </c>
      <c r="L354" t="inlineStr">
        <is>
          <t>CHECK_VENDOR</t>
        </is>
      </c>
      <c r="M354" t="inlineStr">
        <is>
          <t>See CVE details</t>
        </is>
      </c>
      <c r="N354" t="inlineStr">
        <is>
          <t>P3</t>
        </is>
      </c>
      <c r="O354" t="inlineStr">
        <is>
          <t>CVE - IP enrichment n/a</t>
        </is>
      </c>
      <c r="P354" t="n">
        <v>0</v>
      </c>
      <c r="Q354" t="n">
        <v>0</v>
      </c>
      <c r="R354" t="inlineStr">
        <is>
          <t>T1190:Exploit Public-Facing Application</t>
        </is>
      </c>
      <c r="S354" t="n">
        <v>1</v>
      </c>
      <c r="T354" t="inlineStr">
        <is>
          <t>LOW (40%)</t>
        </is>
      </c>
      <c r="U354" t="inlineStr">
        <is>
          <t>UNLIKELY</t>
        </is>
      </c>
      <c r="V354" t="inlineStr">
        <is>
          <t>CHECK_VENDOR</t>
        </is>
      </c>
      <c r="W354" t="inlineStr">
        <is>
          <t>https://nvd.nist.gov/vuln/detail/CVE-2026-2684</t>
        </is>
      </c>
      <c r="X354" t="inlineStr">
        <is>
          <t>NONE</t>
        </is>
      </c>
      <c r="Y354" t="n">
        <v>0</v>
      </c>
      <c r="Z354" t="inlineStr"/>
      <c r="AA354" t="inlineStr">
        <is>
          <t>https://nvd.nist.gov/vuln/detail/CVE-2026-2684</t>
        </is>
      </c>
    </row>
    <row r="355">
      <c r="A355" t="inlineStr">
        <is>
          <t>CVE</t>
        </is>
      </c>
      <c r="B355" t="inlineStr">
        <is>
          <t>CVE-2026-2686</t>
        </is>
      </c>
      <c r="C355" t="inlineStr">
        <is>
          <t>A security vulnerability has been detected in SECCN Dingcheng G10 3.1.0.181203. This impacts the function qq of the file /cgi-bin/session_login.cgi. The manipulation of the argument User leads to os command injection. The attack is possible to be carried out remotely. The exploit has been disclosed publicly and may be used.</t>
        </is>
      </c>
      <c r="D355" t="n">
        <v>9.800000000000001</v>
      </c>
      <c r="E355" t="inlineStr">
        <is>
          <t>CRITICAL</t>
        </is>
      </c>
      <c r="F355" t="n">
        <v>2</v>
      </c>
      <c r="G355" t="n">
        <v>3</v>
      </c>
      <c r="H355" t="inlineStr">
        <is>
          <t>HIGH</t>
        </is>
      </c>
      <c r="I355" t="n">
        <v>15.8</v>
      </c>
      <c r="J355" t="inlineStr">
        <is>
          <t>NO</t>
        </is>
      </c>
      <c r="K355" t="inlineStr">
        <is>
          <t>2026-02-23 23:48</t>
        </is>
      </c>
      <c r="L355" t="inlineStr">
        <is>
          <t>CHECK_VENDOR</t>
        </is>
      </c>
      <c r="M355" t="inlineStr">
        <is>
          <t>See CVE details</t>
        </is>
      </c>
      <c r="N355" t="inlineStr">
        <is>
          <t>P3</t>
        </is>
      </c>
      <c r="O355" t="inlineStr">
        <is>
          <t>CVE - IP enrichment n/a</t>
        </is>
      </c>
      <c r="P355" t="n">
        <v>0.0015</v>
      </c>
      <c r="Q355" t="n">
        <v>0.3601</v>
      </c>
      <c r="R355" t="inlineStr">
        <is>
          <t>T1059:Command and Scripting Interpreter</t>
        </is>
      </c>
      <c r="S355" t="n">
        <v>1</v>
      </c>
      <c r="T355" t="inlineStr">
        <is>
          <t>LOW (40%)</t>
        </is>
      </c>
      <c r="U355" t="inlineStr">
        <is>
          <t>UNLIKELY</t>
        </is>
      </c>
      <c r="V355" t="inlineStr">
        <is>
          <t>CHECK_VENDOR</t>
        </is>
      </c>
      <c r="W355" t="inlineStr">
        <is>
          <t>https://nvd.nist.gov/vuln/detail/CVE-2026-2686</t>
        </is>
      </c>
      <c r="X355" t="inlineStr">
        <is>
          <t>NONE</t>
        </is>
      </c>
      <c r="Y355" t="n">
        <v>0</v>
      </c>
      <c r="Z355" t="inlineStr"/>
      <c r="AA355" t="inlineStr">
        <is>
          <t>https://nvd.nist.gov/vuln/detail/CVE-2026-2686</t>
        </is>
      </c>
    </row>
    <row r="356">
      <c r="A356" t="inlineStr">
        <is>
          <t>CVE</t>
        </is>
      </c>
      <c r="B356" t="inlineStr">
        <is>
          <t>CVE-2025-11706</t>
        </is>
      </c>
      <c r="C356" t="inlineStr">
        <is>
          <t>The Aruba HiSpeed Cache plugin for WordPress is vulnerable to Reflected Cross-Site Scripting via the dbstatus parameter in all versions up to, and including, 3.0.2 due to insufficient input sanitization and output escaping. This makes it possible for unauthenticated attackers to inject arbitrary web scripts in pages that execute if they can successfully trick a user into performing an action such as clicking on a link.</t>
        </is>
      </c>
      <c r="D356" t="n">
        <v>6.1</v>
      </c>
      <c r="E356" t="inlineStr">
        <is>
          <t>MEDIUM</t>
        </is>
      </c>
      <c r="F356" t="n">
        <v>2</v>
      </c>
      <c r="G356" t="n">
        <v>2</v>
      </c>
      <c r="H356" t="inlineStr">
        <is>
          <t>MEDIUM</t>
        </is>
      </c>
      <c r="I356" t="n">
        <v>10.1</v>
      </c>
      <c r="J356" t="inlineStr">
        <is>
          <t>NO</t>
        </is>
      </c>
      <c r="K356" t="inlineStr">
        <is>
          <t>2026-02-23 23:48</t>
        </is>
      </c>
      <c r="L356" t="inlineStr">
        <is>
          <t>CHECK_VENDOR</t>
        </is>
      </c>
      <c r="M356" t="inlineStr">
        <is>
          <t>See CVE details</t>
        </is>
      </c>
      <c r="N356" t="inlineStr">
        <is>
          <t>P4</t>
        </is>
      </c>
      <c r="O356" t="inlineStr">
        <is>
          <t>CVE - IP enrichment n/a</t>
        </is>
      </c>
      <c r="P356" t="n">
        <v>0</v>
      </c>
      <c r="Q356" t="n">
        <v>0</v>
      </c>
      <c r="R356" t="inlineStr">
        <is>
          <t>T1189:Drive-by Compromise</t>
        </is>
      </c>
      <c r="S356" t="n">
        <v>1</v>
      </c>
      <c r="T356" t="inlineStr">
        <is>
          <t>LOW (40%)</t>
        </is>
      </c>
      <c r="U356" t="inlineStr">
        <is>
          <t>UNLIKELY</t>
        </is>
      </c>
      <c r="V356" t="inlineStr">
        <is>
          <t>CHECK_VENDOR</t>
        </is>
      </c>
      <c r="W356" t="inlineStr">
        <is>
          <t>https://nvd.nist.gov/vuln/detail/CVE-2025-11706</t>
        </is>
      </c>
      <c r="X356" t="inlineStr">
        <is>
          <t>NONE</t>
        </is>
      </c>
      <c r="Y356" t="n">
        <v>0</v>
      </c>
      <c r="Z356" t="inlineStr"/>
      <c r="AA356" t="inlineStr">
        <is>
          <t>https://nvd.nist.gov/vuln/detail/CVE-2025-11706</t>
        </is>
      </c>
    </row>
    <row r="357">
      <c r="A357" t="inlineStr">
        <is>
          <t>CVE</t>
        </is>
      </c>
      <c r="B357" t="inlineStr">
        <is>
          <t>CVE-2025-11725</t>
        </is>
      </c>
      <c r="C357" t="inlineStr">
        <is>
          <t>The Aruba HiSpeed Cache plugin for WordPress is vulnerable to unauthorized modification of data due to a missing capability checks on the multiple functions in all versions up to, and including, 3.0.2. This makes it possible for unauthenticated attackers to modify plugin's configuration settings, enable or disable features, as well as enable/disable WordPress cron jobs or debug mode</t>
        </is>
      </c>
      <c r="D357" t="n">
        <v>6.5</v>
      </c>
      <c r="E357" t="inlineStr">
        <is>
          <t>MEDIUM</t>
        </is>
      </c>
      <c r="F357" t="n">
        <v>2</v>
      </c>
      <c r="G357" t="n">
        <v>2</v>
      </c>
      <c r="H357" t="inlineStr">
        <is>
          <t>MEDIUM</t>
        </is>
      </c>
      <c r="I357" t="n">
        <v>10.5</v>
      </c>
      <c r="J357" t="inlineStr">
        <is>
          <t>NO</t>
        </is>
      </c>
      <c r="K357" t="inlineStr">
        <is>
          <t>2026-02-23 23:48</t>
        </is>
      </c>
      <c r="L357" t="inlineStr">
        <is>
          <t>CHECK_VENDOR</t>
        </is>
      </c>
      <c r="M357" t="inlineStr">
        <is>
          <t>See CVE details</t>
        </is>
      </c>
      <c r="N357" t="inlineStr">
        <is>
          <t>P4</t>
        </is>
      </c>
      <c r="O357" t="inlineStr">
        <is>
          <t>CVE - IP enrichment n/a</t>
        </is>
      </c>
      <c r="P357" t="n">
        <v>0</v>
      </c>
      <c r="Q357" t="n">
        <v>0</v>
      </c>
      <c r="R357" t="inlineStr">
        <is>
          <t>T1190:Exploit Public-Facing Application</t>
        </is>
      </c>
      <c r="S357" t="n">
        <v>1</v>
      </c>
      <c r="T357" t="inlineStr">
        <is>
          <t>LOW (40%)</t>
        </is>
      </c>
      <c r="U357" t="inlineStr">
        <is>
          <t>UNLIKELY</t>
        </is>
      </c>
      <c r="V357" t="inlineStr">
        <is>
          <t>CHECK_VENDOR</t>
        </is>
      </c>
      <c r="W357" t="inlineStr">
        <is>
          <t>https://nvd.nist.gov/vuln/detail/CVE-2025-11725</t>
        </is>
      </c>
      <c r="X357" t="inlineStr">
        <is>
          <t>NONE</t>
        </is>
      </c>
      <c r="Y357" t="n">
        <v>0</v>
      </c>
      <c r="Z357" t="inlineStr"/>
      <c r="AA357" t="inlineStr">
        <is>
          <t>https://nvd.nist.gov/vuln/detail/CVE-2025-11725</t>
        </is>
      </c>
    </row>
    <row r="358">
      <c r="A358" t="inlineStr">
        <is>
          <t>CVE</t>
        </is>
      </c>
      <c r="B358" t="inlineStr">
        <is>
          <t>CVE-2025-11754</t>
        </is>
      </c>
      <c r="C358" t="inlineStr">
        <is>
          <t>The GDPR Cookie Consent plugin for WordPress is vulnerable to unauthorized access of data due to a missing capability check on the 'gdpr/v1/settings' REST API endpoint in all versions up to, and including, 4.1.2. This makes it possible for unauthenticated attackers to retrieve sensitive plugin settings including API tokens, email addresses, account IDs, and site keys.</t>
        </is>
      </c>
      <c r="D358" t="n">
        <v>7.5</v>
      </c>
      <c r="E358" t="inlineStr">
        <is>
          <t>HIGH</t>
        </is>
      </c>
      <c r="F358" t="n">
        <v>2</v>
      </c>
      <c r="G358" t="n">
        <v>3</v>
      </c>
      <c r="H358" t="inlineStr">
        <is>
          <t>HIGH</t>
        </is>
      </c>
      <c r="I358" t="n">
        <v>13.5</v>
      </c>
      <c r="J358" t="inlineStr">
        <is>
          <t>NO</t>
        </is>
      </c>
      <c r="K358" t="inlineStr">
        <is>
          <t>2026-02-23 23:48</t>
        </is>
      </c>
      <c r="L358" t="inlineStr">
        <is>
          <t>CHECK_VENDOR</t>
        </is>
      </c>
      <c r="M358" t="inlineStr">
        <is>
          <t>See CVE details</t>
        </is>
      </c>
      <c r="N358" t="inlineStr">
        <is>
          <t>P3</t>
        </is>
      </c>
      <c r="O358" t="inlineStr">
        <is>
          <t>CVE - IP enrichment n/a</t>
        </is>
      </c>
      <c r="P358" t="n">
        <v>0.0004</v>
      </c>
      <c r="Q358" t="n">
        <v>0.1205</v>
      </c>
      <c r="R358" t="inlineStr">
        <is>
          <t>T1190:Exploit Public-Facing Application</t>
        </is>
      </c>
      <c r="S358" t="n">
        <v>1</v>
      </c>
      <c r="T358" t="inlineStr">
        <is>
          <t>LOW (40%)</t>
        </is>
      </c>
      <c r="U358" t="inlineStr">
        <is>
          <t>UNLIKELY</t>
        </is>
      </c>
      <c r="V358" t="inlineStr">
        <is>
          <t>CHECK_VENDOR</t>
        </is>
      </c>
      <c r="W358" t="inlineStr">
        <is>
          <t>https://nvd.nist.gov/vuln/detail/CVE-2025-11754</t>
        </is>
      </c>
      <c r="X358" t="inlineStr">
        <is>
          <t>NONE</t>
        </is>
      </c>
      <c r="Y358" t="n">
        <v>0</v>
      </c>
      <c r="Z358" t="inlineStr"/>
      <c r="AA358" t="inlineStr">
        <is>
          <t>https://nvd.nist.gov/vuln/detail/CVE-2025-11754</t>
        </is>
      </c>
    </row>
    <row r="359">
      <c r="A359" t="inlineStr">
        <is>
          <t>CVE</t>
        </is>
      </c>
      <c r="B359" t="inlineStr">
        <is>
          <t>CVE-2025-12027</t>
        </is>
      </c>
      <c r="C359" t="inlineStr">
        <is>
          <t>The Mesmerize Companion plugin for WordPress is vulnerable to unauthorized access and modification of data due to a missing capability check on the "openPageInCustomizer" and "openPageInDefaultEditor" functions in all versions up to, and including, 1.6.158. This makes it possible for authenticated attackers - with subscriber level access and above, on websites with the Mesmerize theme activated -  to mark arbitrary pages as maintainable, wrap their content in custom sections, change page templat</t>
        </is>
      </c>
      <c r="D359" t="n">
        <v>4.3</v>
      </c>
      <c r="E359" t="inlineStr">
        <is>
          <t>MEDIUM</t>
        </is>
      </c>
      <c r="F359" t="n">
        <v>2</v>
      </c>
      <c r="G359" t="n">
        <v>2</v>
      </c>
      <c r="H359" t="inlineStr">
        <is>
          <t>MEDIUM</t>
        </is>
      </c>
      <c r="I359" t="n">
        <v>8.300000000000001</v>
      </c>
      <c r="J359" t="inlineStr">
        <is>
          <t>NO</t>
        </is>
      </c>
      <c r="K359" t="inlineStr">
        <is>
          <t>2026-02-23 23:48</t>
        </is>
      </c>
      <c r="L359" t="inlineStr">
        <is>
          <t>CHECK_VENDOR</t>
        </is>
      </c>
      <c r="M359" t="inlineStr">
        <is>
          <t>See CVE details</t>
        </is>
      </c>
      <c r="N359" t="inlineStr">
        <is>
          <t>P4</t>
        </is>
      </c>
      <c r="O359" t="inlineStr">
        <is>
          <t>CVE - IP enrichment n/a</t>
        </is>
      </c>
      <c r="P359" t="n">
        <v>0</v>
      </c>
      <c r="Q359" t="n">
        <v>0</v>
      </c>
      <c r="R359" t="inlineStr">
        <is>
          <t>T1190:Exploit Public-Facing Application</t>
        </is>
      </c>
      <c r="S359" t="n">
        <v>1</v>
      </c>
      <c r="T359" t="inlineStr">
        <is>
          <t>LOW (40%)</t>
        </is>
      </c>
      <c r="U359" t="inlineStr">
        <is>
          <t>UNLIKELY</t>
        </is>
      </c>
      <c r="V359" t="inlineStr">
        <is>
          <t>CHECK_VENDOR</t>
        </is>
      </c>
      <c r="W359" t="inlineStr">
        <is>
          <t>https://nvd.nist.gov/vuln/detail/CVE-2025-12027</t>
        </is>
      </c>
      <c r="X359" t="inlineStr">
        <is>
          <t>NONE</t>
        </is>
      </c>
      <c r="Y359" t="n">
        <v>0</v>
      </c>
      <c r="Z359" t="inlineStr"/>
      <c r="AA359" t="inlineStr">
        <is>
          <t>https://nvd.nist.gov/vuln/detail/CVE-2025-12027</t>
        </is>
      </c>
    </row>
    <row r="360">
      <c r="A360" t="inlineStr">
        <is>
          <t>CVE</t>
        </is>
      </c>
      <c r="B360" t="inlineStr">
        <is>
          <t>CVE-2025-12081</t>
        </is>
      </c>
      <c r="C360" t="inlineStr">
        <is>
          <t>The ACF Photo Gallery Field plugin for WordPress is vulnerable to unauthorized modification of data due to a missing capability check on the "acf_photo_gallery_edit_save" function in all versions up to, and including, 3.0. This makes it possible for authenticated attackers, with subscriber level access and above, to modify the title, caption, and custom metadata of arbitrary media attachments.</t>
        </is>
      </c>
      <c r="D360" t="n">
        <v>4.3</v>
      </c>
      <c r="E360" t="inlineStr">
        <is>
          <t>MEDIUM</t>
        </is>
      </c>
      <c r="F360" t="n">
        <v>2</v>
      </c>
      <c r="G360" t="n">
        <v>2</v>
      </c>
      <c r="H360" t="inlineStr">
        <is>
          <t>MEDIUM</t>
        </is>
      </c>
      <c r="I360" t="n">
        <v>8.300000000000001</v>
      </c>
      <c r="J360" t="inlineStr">
        <is>
          <t>NO</t>
        </is>
      </c>
      <c r="K360" t="inlineStr">
        <is>
          <t>2026-02-23 23:48</t>
        </is>
      </c>
      <c r="L360" t="inlineStr">
        <is>
          <t>CHECK_VENDOR</t>
        </is>
      </c>
      <c r="M360" t="inlineStr">
        <is>
          <t>See CVE details</t>
        </is>
      </c>
      <c r="N360" t="inlineStr">
        <is>
          <t>P4</t>
        </is>
      </c>
      <c r="O360" t="inlineStr">
        <is>
          <t>CVE - IP enrichment n/a</t>
        </is>
      </c>
      <c r="P360" t="n">
        <v>0.0003</v>
      </c>
      <c r="Q360" t="n">
        <v>0.07240000000000001</v>
      </c>
      <c r="R360" t="inlineStr">
        <is>
          <t>T1190:Exploit Public-Facing Application</t>
        </is>
      </c>
      <c r="S360" t="n">
        <v>1</v>
      </c>
      <c r="T360" t="inlineStr">
        <is>
          <t>LOW (40%)</t>
        </is>
      </c>
      <c r="U360" t="inlineStr">
        <is>
          <t>UNLIKELY</t>
        </is>
      </c>
      <c r="V360" t="inlineStr">
        <is>
          <t>CHECK_VENDOR</t>
        </is>
      </c>
      <c r="W360" t="inlineStr">
        <is>
          <t>https://nvd.nist.gov/vuln/detail/CVE-2025-12081</t>
        </is>
      </c>
      <c r="X360" t="inlineStr">
        <is>
          <t>NONE</t>
        </is>
      </c>
      <c r="Y360" t="n">
        <v>0</v>
      </c>
      <c r="Z360" t="inlineStr"/>
      <c r="AA360" t="inlineStr">
        <is>
          <t>https://nvd.nist.gov/vuln/detail/CVE-2025-12081</t>
        </is>
      </c>
    </row>
    <row r="361">
      <c r="A361" t="inlineStr">
        <is>
          <t>CVE</t>
        </is>
      </c>
      <c r="B361" t="inlineStr">
        <is>
          <t>CVE-2025-12116</t>
        </is>
      </c>
      <c r="C361" t="inlineStr">
        <is>
          <t>The Drift theme for WordPress is vulnerable to Stored Cross-Site Scripting via the post title in all versions up to, and including, 1.5.0 due to insufficient input sanitization and output escaping. This makes it possible for authenticated attackers, with Contributor-level access and above, to inject arbitrary web scripts in pages that will execute whenever a user accesses an injected page.</t>
        </is>
      </c>
      <c r="D361" t="n">
        <v>6.4</v>
      </c>
      <c r="E361" t="inlineStr">
        <is>
          <t>MEDIUM</t>
        </is>
      </c>
      <c r="F361" t="n">
        <v>2</v>
      </c>
      <c r="G361" t="n">
        <v>2</v>
      </c>
      <c r="H361" t="inlineStr">
        <is>
          <t>MEDIUM</t>
        </is>
      </c>
      <c r="I361" t="n">
        <v>10.4</v>
      </c>
      <c r="J361" t="inlineStr">
        <is>
          <t>NO</t>
        </is>
      </c>
      <c r="K361" t="inlineStr">
        <is>
          <t>2026-02-23 23:48</t>
        </is>
      </c>
      <c r="L361" t="inlineStr">
        <is>
          <t>CHECK_VENDOR</t>
        </is>
      </c>
      <c r="M361" t="inlineStr">
        <is>
          <t>See CVE details</t>
        </is>
      </c>
      <c r="N361" t="inlineStr">
        <is>
          <t>P4</t>
        </is>
      </c>
      <c r="O361" t="inlineStr">
        <is>
          <t>CVE - IP enrichment n/a</t>
        </is>
      </c>
      <c r="P361" t="n">
        <v>0</v>
      </c>
      <c r="Q361" t="n">
        <v>0</v>
      </c>
      <c r="R361" t="inlineStr">
        <is>
          <t>T1189:Drive-by Compromise</t>
        </is>
      </c>
      <c r="S361" t="n">
        <v>1</v>
      </c>
      <c r="T361" t="inlineStr">
        <is>
          <t>LOW (40%)</t>
        </is>
      </c>
      <c r="U361" t="inlineStr">
        <is>
          <t>UNLIKELY</t>
        </is>
      </c>
      <c r="V361" t="inlineStr">
        <is>
          <t>CHECK_VENDOR</t>
        </is>
      </c>
      <c r="W361" t="inlineStr">
        <is>
          <t>https://nvd.nist.gov/vuln/detail/CVE-2025-12116</t>
        </is>
      </c>
      <c r="X361" t="inlineStr">
        <is>
          <t>NONE</t>
        </is>
      </c>
      <c r="Y361" t="n">
        <v>0</v>
      </c>
      <c r="Z361" t="inlineStr"/>
      <c r="AA361" t="inlineStr">
        <is>
          <t>https://nvd.nist.gov/vuln/detail/CVE-2025-12116</t>
        </is>
      </c>
    </row>
    <row r="362">
      <c r="A362" t="inlineStr">
        <is>
          <t>CVE</t>
        </is>
      </c>
      <c r="B362" t="inlineStr">
        <is>
          <t>CVE-2025-12117</t>
        </is>
      </c>
      <c r="C362" t="inlineStr">
        <is>
          <t>The Renden theme for WordPress is vulnerable to Stored Cross-Site Scripting via the post title in all versions up to, and including, 1.8.1 due to insufficient input sanitization and output escaping. This makes it possible for authenticated attackers, with Contributor-level access and above, to inject arbitrary web scripts in pages that will execute whenever a user accesses an injected page.</t>
        </is>
      </c>
      <c r="D362" t="n">
        <v>6.4</v>
      </c>
      <c r="E362" t="inlineStr">
        <is>
          <t>MEDIUM</t>
        </is>
      </c>
      <c r="F362" t="n">
        <v>2</v>
      </c>
      <c r="G362" t="n">
        <v>2</v>
      </c>
      <c r="H362" t="inlineStr">
        <is>
          <t>MEDIUM</t>
        </is>
      </c>
      <c r="I362" t="n">
        <v>10.4</v>
      </c>
      <c r="J362" t="inlineStr">
        <is>
          <t>NO</t>
        </is>
      </c>
      <c r="K362" t="inlineStr">
        <is>
          <t>2026-02-23 23:48</t>
        </is>
      </c>
      <c r="L362" t="inlineStr">
        <is>
          <t>CHECK_VENDOR</t>
        </is>
      </c>
      <c r="M362" t="inlineStr">
        <is>
          <t>See CVE details</t>
        </is>
      </c>
      <c r="N362" t="inlineStr">
        <is>
          <t>P4</t>
        </is>
      </c>
      <c r="O362" t="inlineStr">
        <is>
          <t>CVE - IP enrichment n/a</t>
        </is>
      </c>
      <c r="P362" t="n">
        <v>0</v>
      </c>
      <c r="Q362" t="n">
        <v>0</v>
      </c>
      <c r="R362" t="inlineStr">
        <is>
          <t>T1189:Drive-by Compromise</t>
        </is>
      </c>
      <c r="S362" t="n">
        <v>1</v>
      </c>
      <c r="T362" t="inlineStr">
        <is>
          <t>LOW (40%)</t>
        </is>
      </c>
      <c r="U362" t="inlineStr">
        <is>
          <t>UNLIKELY</t>
        </is>
      </c>
      <c r="V362" t="inlineStr">
        <is>
          <t>CHECK_VENDOR</t>
        </is>
      </c>
      <c r="W362" t="inlineStr">
        <is>
          <t>https://nvd.nist.gov/vuln/detail/CVE-2025-12117</t>
        </is>
      </c>
      <c r="X362" t="inlineStr">
        <is>
          <t>NONE</t>
        </is>
      </c>
      <c r="Y362" t="n">
        <v>0</v>
      </c>
      <c r="Z362" t="inlineStr"/>
      <c r="AA362" t="inlineStr">
        <is>
          <t>https://nvd.nist.gov/vuln/detail/CVE-2025-12117</t>
        </is>
      </c>
    </row>
    <row r="363">
      <c r="A363" t="inlineStr">
        <is>
          <t>CVE</t>
        </is>
      </c>
      <c r="B363" t="inlineStr">
        <is>
          <t>CVE-2025-12172</t>
        </is>
      </c>
      <c r="C363" t="inlineStr">
        <is>
          <t>The Mailchimp List Subscribe Form plugin for WordPress is vulnerable to Cross-Site Request Forgery in all versions up to, and including, 2.0.0. This is due to missing or incorrect nonce validation on the mailchimp_sf_change_list_if_necessary() function. This makes it possible for unauthenticated attackers to change Mailchimp lists via a forged request granted they can trick a site administrator into performing an action such as clicking on a link.</t>
        </is>
      </c>
      <c r="D363" t="n">
        <v>4.3</v>
      </c>
      <c r="E363" t="inlineStr">
        <is>
          <t>MEDIUM</t>
        </is>
      </c>
      <c r="F363" t="n">
        <v>2</v>
      </c>
      <c r="G363" t="n">
        <v>2</v>
      </c>
      <c r="H363" t="inlineStr">
        <is>
          <t>MEDIUM</t>
        </is>
      </c>
      <c r="I363" t="n">
        <v>8.300000000000001</v>
      </c>
      <c r="J363" t="inlineStr">
        <is>
          <t>NO</t>
        </is>
      </c>
      <c r="K363" t="inlineStr">
        <is>
          <t>2026-02-23 23:48</t>
        </is>
      </c>
      <c r="L363" t="inlineStr">
        <is>
          <t>CHECK_VENDOR</t>
        </is>
      </c>
      <c r="M363" t="inlineStr">
        <is>
          <t>See CVE details</t>
        </is>
      </c>
      <c r="N363" t="inlineStr">
        <is>
          <t>P4</t>
        </is>
      </c>
      <c r="O363" t="inlineStr">
        <is>
          <t>CVE - IP enrichment n/a</t>
        </is>
      </c>
      <c r="P363" t="n">
        <v>0</v>
      </c>
      <c r="Q363" t="n">
        <v>0</v>
      </c>
      <c r="R363" t="inlineStr">
        <is>
          <t>T1185:Browser Session Hijacking</t>
        </is>
      </c>
      <c r="S363" t="n">
        <v>1</v>
      </c>
      <c r="T363" t="inlineStr">
        <is>
          <t>LOW (40%)</t>
        </is>
      </c>
      <c r="U363" t="inlineStr">
        <is>
          <t>UNLIKELY</t>
        </is>
      </c>
      <c r="V363" t="inlineStr">
        <is>
          <t>CHECK_VENDOR</t>
        </is>
      </c>
      <c r="W363" t="inlineStr">
        <is>
          <t>https://nvd.nist.gov/vuln/detail/CVE-2025-12172</t>
        </is>
      </c>
      <c r="X363" t="inlineStr">
        <is>
          <t>NONE</t>
        </is>
      </c>
      <c r="Y363" t="n">
        <v>0</v>
      </c>
      <c r="Z363" t="inlineStr"/>
      <c r="AA363" t="inlineStr">
        <is>
          <t>https://nvd.nist.gov/vuln/detail/CVE-2025-12172</t>
        </is>
      </c>
    </row>
    <row r="364">
      <c r="A364" t="inlineStr">
        <is>
          <t>CVE</t>
        </is>
      </c>
      <c r="B364" t="inlineStr">
        <is>
          <t>CVE-2025-12375</t>
        </is>
      </c>
      <c r="C364" t="inlineStr">
        <is>
          <t>The Printful Integration for WooCommerce plugin for WordPress is vulnerable to Server-Side Request Forgery in all versions up to, and including, 2.2.11 via the advanced size chart REST API endpoint. This is due to insufficient validation of user-supplied URLs before passing them to the download_url() function. This makes it possible for authenticated attackers, with Contributor-level access and above, to make web requests to arbitrary locations originating from the web application which can be u</t>
        </is>
      </c>
      <c r="D364" t="n">
        <v>6.4</v>
      </c>
      <c r="E364" t="inlineStr">
        <is>
          <t>MEDIUM</t>
        </is>
      </c>
      <c r="F364" t="n">
        <v>2</v>
      </c>
      <c r="G364" t="n">
        <v>2</v>
      </c>
      <c r="H364" t="inlineStr">
        <is>
          <t>MEDIUM</t>
        </is>
      </c>
      <c r="I364" t="n">
        <v>10.4</v>
      </c>
      <c r="J364" t="inlineStr">
        <is>
          <t>NO</t>
        </is>
      </c>
      <c r="K364" t="inlineStr">
        <is>
          <t>2026-02-23 23:48</t>
        </is>
      </c>
      <c r="L364" t="inlineStr">
        <is>
          <t>CHECK_VENDOR</t>
        </is>
      </c>
      <c r="M364" t="inlineStr">
        <is>
          <t>See CVE details</t>
        </is>
      </c>
      <c r="N364" t="inlineStr">
        <is>
          <t>P4</t>
        </is>
      </c>
      <c r="O364" t="inlineStr">
        <is>
          <t>CVE - IP enrichment n/a</t>
        </is>
      </c>
      <c r="P364" t="n">
        <v>0.0003</v>
      </c>
      <c r="Q364" t="n">
        <v>0.0905</v>
      </c>
      <c r="R364" t="inlineStr">
        <is>
          <t>T1090:Proxy | T1190:Exploit Public-Facing Application</t>
        </is>
      </c>
      <c r="S364" t="n">
        <v>1</v>
      </c>
      <c r="T364" t="inlineStr">
        <is>
          <t>LOW (40%)</t>
        </is>
      </c>
      <c r="U364" t="inlineStr">
        <is>
          <t>UNLIKELY</t>
        </is>
      </c>
      <c r="V364" t="inlineStr">
        <is>
          <t>CHECK_VENDOR</t>
        </is>
      </c>
      <c r="W364" t="inlineStr">
        <is>
          <t>https://nvd.nist.gov/vuln/detail/CVE-2025-12375</t>
        </is>
      </c>
      <c r="X364" t="inlineStr">
        <is>
          <t>NONE</t>
        </is>
      </c>
      <c r="Y364" t="n">
        <v>0</v>
      </c>
      <c r="Z364" t="inlineStr"/>
      <c r="AA364" t="inlineStr">
        <is>
          <t>https://nvd.nist.gov/vuln/detail/CVE-2025-12375</t>
        </is>
      </c>
    </row>
    <row r="365">
      <c r="A365" t="inlineStr">
        <is>
          <t>CVE</t>
        </is>
      </c>
      <c r="B365" t="inlineStr">
        <is>
          <t>CVE-2025-12448</t>
        </is>
      </c>
      <c r="C365" t="inlineStr">
        <is>
          <t>The Smartsupp – live chat, AI shopping assistant and chatbots plugin for WordPress is vulnerable to Stored Cross-Site Scripting via the 'code' parameter in all versions up to, and including, 3.9.1 due to insufficient input sanitization and output escaping. This makes it possible for authenticated attackers, with Subscriber-level access and above, to inject arbitrary web scripts in pages that will execute whenever a user accesses an injected page.</t>
        </is>
      </c>
      <c r="D365" t="n">
        <v>6.4</v>
      </c>
      <c r="E365" t="inlineStr">
        <is>
          <t>MEDIUM</t>
        </is>
      </c>
      <c r="F365" t="n">
        <v>2</v>
      </c>
      <c r="G365" t="n">
        <v>2</v>
      </c>
      <c r="H365" t="inlineStr">
        <is>
          <t>MEDIUM</t>
        </is>
      </c>
      <c r="I365" t="n">
        <v>10.4</v>
      </c>
      <c r="J365" t="inlineStr">
        <is>
          <t>NO</t>
        </is>
      </c>
      <c r="K365" t="inlineStr">
        <is>
          <t>2026-02-23 23:48</t>
        </is>
      </c>
      <c r="L365" t="inlineStr">
        <is>
          <t>CHECK_VENDOR</t>
        </is>
      </c>
      <c r="M365" t="inlineStr">
        <is>
          <t>See CVE details</t>
        </is>
      </c>
      <c r="N365" t="inlineStr">
        <is>
          <t>P4</t>
        </is>
      </c>
      <c r="O365" t="inlineStr">
        <is>
          <t>CVE - IP enrichment n/a</t>
        </is>
      </c>
      <c r="P365" t="n">
        <v>0</v>
      </c>
      <c r="Q365" t="n">
        <v>0</v>
      </c>
      <c r="R365" t="inlineStr">
        <is>
          <t>T1189:Drive-by Compromise</t>
        </is>
      </c>
      <c r="S365" t="n">
        <v>1</v>
      </c>
      <c r="T365" t="inlineStr">
        <is>
          <t>LOW (40%)</t>
        </is>
      </c>
      <c r="U365" t="inlineStr">
        <is>
          <t>UNLIKELY</t>
        </is>
      </c>
      <c r="V365" t="inlineStr">
        <is>
          <t>CHECK_VENDOR</t>
        </is>
      </c>
      <c r="W365" t="inlineStr">
        <is>
          <t>https://nvd.nist.gov/vuln/detail/CVE-2025-12448</t>
        </is>
      </c>
      <c r="X365" t="inlineStr">
        <is>
          <t>NONE</t>
        </is>
      </c>
      <c r="Y365" t="n">
        <v>0</v>
      </c>
      <c r="Z365" t="inlineStr"/>
      <c r="AA365" t="inlineStr">
        <is>
          <t>https://nvd.nist.gov/vuln/detail/CVE-2025-12448</t>
        </is>
      </c>
    </row>
    <row r="366">
      <c r="A366" t="inlineStr">
        <is>
          <t>CVE</t>
        </is>
      </c>
      <c r="B366" t="inlineStr">
        <is>
          <t>CVE-2025-12451</t>
        </is>
      </c>
      <c r="C366" t="inlineStr">
        <is>
          <t>The Easy SVG Support plugin for WordPress is vulnerable to Stored Cross-Site Scripting via SVG file uploads in all versions up to, and including, 4.0 due to insufficient input sanitization and output escaping. This makes it possible for authenticated attackers, with Author-level access and above, to inject arbitrary web scripts in pages that will execute whenever a user accesses the SVG file.</t>
        </is>
      </c>
      <c r="D366" t="n">
        <v>6.1</v>
      </c>
      <c r="E366" t="inlineStr">
        <is>
          <t>MEDIUM</t>
        </is>
      </c>
      <c r="F366" t="n">
        <v>2</v>
      </c>
      <c r="G366" t="n">
        <v>2</v>
      </c>
      <c r="H366" t="inlineStr">
        <is>
          <t>MEDIUM</t>
        </is>
      </c>
      <c r="I366" t="n">
        <v>10.1</v>
      </c>
      <c r="J366" t="inlineStr">
        <is>
          <t>NO</t>
        </is>
      </c>
      <c r="K366" t="inlineStr">
        <is>
          <t>2026-02-23 23:48</t>
        </is>
      </c>
      <c r="L366" t="inlineStr">
        <is>
          <t>CHECK_VENDOR</t>
        </is>
      </c>
      <c r="M366" t="inlineStr">
        <is>
          <t>See CVE details</t>
        </is>
      </c>
      <c r="N366" t="inlineStr">
        <is>
          <t>P4</t>
        </is>
      </c>
      <c r="O366" t="inlineStr">
        <is>
          <t>CVE - IP enrichment n/a</t>
        </is>
      </c>
      <c r="P366" t="n">
        <v>0</v>
      </c>
      <c r="Q366" t="n">
        <v>0</v>
      </c>
      <c r="R366" t="inlineStr">
        <is>
          <t>T1189:Drive-by Compromise</t>
        </is>
      </c>
      <c r="S366" t="n">
        <v>1</v>
      </c>
      <c r="T366" t="inlineStr">
        <is>
          <t>LOW (40%)</t>
        </is>
      </c>
      <c r="U366" t="inlineStr">
        <is>
          <t>UNLIKELY</t>
        </is>
      </c>
      <c r="V366" t="inlineStr">
        <is>
          <t>CHECK_VENDOR</t>
        </is>
      </c>
      <c r="W366" t="inlineStr">
        <is>
          <t>https://nvd.nist.gov/vuln/detail/CVE-2025-12451</t>
        </is>
      </c>
      <c r="X366" t="inlineStr">
        <is>
          <t>NONE</t>
        </is>
      </c>
      <c r="Y366" t="n">
        <v>0</v>
      </c>
      <c r="Z366" t="inlineStr"/>
      <c r="AA366" t="inlineStr">
        <is>
          <t>https://nvd.nist.gov/vuln/detail/CVE-2025-12451</t>
        </is>
      </c>
    </row>
    <row r="367">
      <c r="A367" t="inlineStr">
        <is>
          <t>CVE</t>
        </is>
      </c>
      <c r="B367" t="inlineStr">
        <is>
          <t>CVE-2025-12500</t>
        </is>
      </c>
      <c r="C367" t="inlineStr">
        <is>
          <t>The Checkout Field Manager (Checkout Manager) for WooCommerce plugin for WordPress is vulnerable to unauthenticated limited file upload in all versions up to, and including, 7.8.1. This is due to the plugin not properly verifying that a user is authorized to perform file upload actions via the "ajax_checkout_attachment_upload" function. This makes it possible for unauthenticated attackers to upload files to the server, though file types are limited to WordPress's default allowed MIME types (imag</t>
        </is>
      </c>
      <c r="D367" t="n">
        <v>5.3</v>
      </c>
      <c r="E367" t="inlineStr">
        <is>
          <t>MEDIUM</t>
        </is>
      </c>
      <c r="F367" t="n">
        <v>2</v>
      </c>
      <c r="G367" t="n">
        <v>2</v>
      </c>
      <c r="H367" t="inlineStr">
        <is>
          <t>MEDIUM</t>
        </is>
      </c>
      <c r="I367" t="n">
        <v>9.300000000000001</v>
      </c>
      <c r="J367" t="inlineStr">
        <is>
          <t>NO</t>
        </is>
      </c>
      <c r="K367" t="inlineStr">
        <is>
          <t>2026-02-23 23:48</t>
        </is>
      </c>
      <c r="L367" t="inlineStr">
        <is>
          <t>CHECK_VENDOR</t>
        </is>
      </c>
      <c r="M367" t="inlineStr">
        <is>
          <t>See CVE details</t>
        </is>
      </c>
      <c r="N367" t="inlineStr">
        <is>
          <t>P4</t>
        </is>
      </c>
      <c r="O367" t="inlineStr">
        <is>
          <t>CVE - IP enrichment n/a</t>
        </is>
      </c>
      <c r="P367" t="n">
        <v>0.0005</v>
      </c>
      <c r="Q367" t="n">
        <v>0.1647</v>
      </c>
      <c r="R367" t="inlineStr">
        <is>
          <t>T1190:Exploit Public-Facing Application</t>
        </is>
      </c>
      <c r="S367" t="n">
        <v>1</v>
      </c>
      <c r="T367" t="inlineStr">
        <is>
          <t>LOW (40%)</t>
        </is>
      </c>
      <c r="U367" t="inlineStr">
        <is>
          <t>UNLIKELY</t>
        </is>
      </c>
      <c r="V367" t="inlineStr">
        <is>
          <t>CHECK_VENDOR</t>
        </is>
      </c>
      <c r="W367" t="inlineStr">
        <is>
          <t>https://nvd.nist.gov/vuln/detail/CVE-2025-12500</t>
        </is>
      </c>
      <c r="X367" t="inlineStr">
        <is>
          <t>NONE</t>
        </is>
      </c>
      <c r="Y367" t="n">
        <v>0</v>
      </c>
      <c r="Z367" t="inlineStr"/>
      <c r="AA367" t="inlineStr">
        <is>
          <t>https://nvd.nist.gov/vuln/detail/CVE-2025-12500</t>
        </is>
      </c>
    </row>
    <row r="368">
      <c r="A368" t="inlineStr">
        <is>
          <t>CVE</t>
        </is>
      </c>
      <c r="B368" t="inlineStr">
        <is>
          <t>CVE-2025-12707</t>
        </is>
      </c>
      <c r="C368" t="inlineStr">
        <is>
          <t>The Library Management System plugin for WordPress is vulnerable to SQL Injection via the 'bid' parameter in all versions up to, and including, 3.2.1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D368" t="n">
        <v>7.5</v>
      </c>
      <c r="E368" t="inlineStr">
        <is>
          <t>HIGH</t>
        </is>
      </c>
      <c r="F368" t="n">
        <v>2</v>
      </c>
      <c r="G368" t="n">
        <v>3</v>
      </c>
      <c r="H368" t="inlineStr">
        <is>
          <t>HIGH</t>
        </is>
      </c>
      <c r="I368" t="n">
        <v>13.5</v>
      </c>
      <c r="J368" t="inlineStr">
        <is>
          <t>NO</t>
        </is>
      </c>
      <c r="K368" t="inlineStr">
        <is>
          <t>2026-02-23 23:48</t>
        </is>
      </c>
      <c r="L368" t="inlineStr">
        <is>
          <t>CHECK_VENDOR</t>
        </is>
      </c>
      <c r="M368" t="inlineStr">
        <is>
          <t>See CVE details</t>
        </is>
      </c>
      <c r="N368" t="inlineStr">
        <is>
          <t>P3</t>
        </is>
      </c>
      <c r="O368" t="inlineStr">
        <is>
          <t>CVE - IP enrichment n/a</t>
        </is>
      </c>
      <c r="P368" t="n">
        <v>0</v>
      </c>
      <c r="Q368" t="n">
        <v>0</v>
      </c>
      <c r="R368" t="inlineStr">
        <is>
          <t>T1190:Exploit Public-Facing Application</t>
        </is>
      </c>
      <c r="S368" t="n">
        <v>1</v>
      </c>
      <c r="T368" t="inlineStr">
        <is>
          <t>LOW (40%)</t>
        </is>
      </c>
      <c r="U368" t="inlineStr">
        <is>
          <t>UNLIKELY</t>
        </is>
      </c>
      <c r="V368" t="inlineStr">
        <is>
          <t>CHECK_VENDOR</t>
        </is>
      </c>
      <c r="W368" t="inlineStr">
        <is>
          <t>https://nvd.nist.gov/vuln/detail/CVE-2025-12707</t>
        </is>
      </c>
      <c r="X368" t="inlineStr">
        <is>
          <t>NONE</t>
        </is>
      </c>
      <c r="Y368" t="n">
        <v>0</v>
      </c>
      <c r="Z368" t="inlineStr"/>
      <c r="AA368" t="inlineStr">
        <is>
          <t>https://nvd.nist.gov/vuln/detail/CVE-2025-12707</t>
        </is>
      </c>
    </row>
    <row r="369">
      <c r="A369" t="inlineStr">
        <is>
          <t>CVE</t>
        </is>
      </c>
      <c r="B369" t="inlineStr">
        <is>
          <t>CVE-2025-12821</t>
        </is>
      </c>
      <c r="C369" t="inlineStr">
        <is>
          <t>The NewsBlogger theme for WordPress is vulnerable to Cross-Site Request Forgery in versions 0.2.5.6  to 0.2.6.1. This is due to missing or incorrect nonce validation on the newsblogger_install_and_activate_plugin() function. This makes it possible for unauthenticated attackers to upload arbitrary files and achieve remote code execution via a forged request granted they can trick a site administrator into performing an action such as clicking on a link. This is due to a reverted fix of CVE-2025-1</t>
        </is>
      </c>
      <c r="D369" t="n">
        <v>8.800000000000001</v>
      </c>
      <c r="E369" t="inlineStr">
        <is>
          <t>HIGH</t>
        </is>
      </c>
      <c r="F369" t="n">
        <v>2</v>
      </c>
      <c r="G369" t="n">
        <v>3</v>
      </c>
      <c r="H369" t="inlineStr">
        <is>
          <t>HIGH</t>
        </is>
      </c>
      <c r="I369" t="n">
        <v>14.8</v>
      </c>
      <c r="J369" t="inlineStr">
        <is>
          <t>NO</t>
        </is>
      </c>
      <c r="K369" t="inlineStr">
        <is>
          <t>2026-02-23 23:48</t>
        </is>
      </c>
      <c r="L369" t="inlineStr">
        <is>
          <t>CHECK_VENDOR</t>
        </is>
      </c>
      <c r="M369" t="inlineStr">
        <is>
          <t>See CVE details</t>
        </is>
      </c>
      <c r="N369" t="inlineStr">
        <is>
          <t>P3</t>
        </is>
      </c>
      <c r="O369" t="inlineStr">
        <is>
          <t>CVE - IP enrichment n/a</t>
        </is>
      </c>
      <c r="P369" t="n">
        <v>0.0005</v>
      </c>
      <c r="Q369" t="n">
        <v>0.1545</v>
      </c>
      <c r="R369" t="inlineStr">
        <is>
          <t>T1185:Browser Session Hijacking | T1190:Exploit Public-Facing Application | T1210:Exploitation of Remote Services</t>
        </is>
      </c>
      <c r="S369" t="n">
        <v>1</v>
      </c>
      <c r="T369" t="inlineStr">
        <is>
          <t>LOW (40%)</t>
        </is>
      </c>
      <c r="U369" t="inlineStr">
        <is>
          <t>UNLIKELY</t>
        </is>
      </c>
      <c r="V369" t="inlineStr">
        <is>
          <t>CHECK_VENDOR</t>
        </is>
      </c>
      <c r="W369" t="inlineStr">
        <is>
          <t>https://nvd.nist.gov/vuln/detail/CVE-2025-12821</t>
        </is>
      </c>
      <c r="X369" t="inlineStr">
        <is>
          <t>NONE</t>
        </is>
      </c>
      <c r="Y369" t="n">
        <v>0</v>
      </c>
      <c r="Z369" t="inlineStr"/>
      <c r="AA369" t="inlineStr">
        <is>
          <t>https://nvd.nist.gov/vuln/detail/CVE-2025-12821</t>
        </is>
      </c>
    </row>
    <row r="370">
      <c r="A370" t="inlineStr">
        <is>
          <t>CVE</t>
        </is>
      </c>
      <c r="B370" t="inlineStr">
        <is>
          <t>CVE-2025-12845</t>
        </is>
      </c>
      <c r="C370" t="inlineStr">
        <is>
          <t>The Tablesome Table – Contact Form DB – WPForms, CF7, Gravity, Forminator, Fluent plugin for WordPress is vulnerable to unauthorized access of data that leads to privilege escalation due to a missing capability check on the get_table_data() function in versions 0.5.4 to 1.2.1. This makes it possible for authenticated attackers, with Subscriber-level access and above, to retrieve plugin table data that can expose email log information. Attackers can leverage this on sites where the table log is e</t>
        </is>
      </c>
      <c r="D370" t="n">
        <v>8.800000000000001</v>
      </c>
      <c r="E370" t="inlineStr">
        <is>
          <t>HIGH</t>
        </is>
      </c>
      <c r="F370" t="n">
        <v>2</v>
      </c>
      <c r="G370" t="n">
        <v>3</v>
      </c>
      <c r="H370" t="inlineStr">
        <is>
          <t>HIGH</t>
        </is>
      </c>
      <c r="I370" t="n">
        <v>14.8</v>
      </c>
      <c r="J370" t="inlineStr">
        <is>
          <t>NO</t>
        </is>
      </c>
      <c r="K370" t="inlineStr">
        <is>
          <t>2026-02-23 23:48</t>
        </is>
      </c>
      <c r="L370" t="inlineStr">
        <is>
          <t>CHECK_VENDOR</t>
        </is>
      </c>
      <c r="M370" t="inlineStr">
        <is>
          <t>See CVE details</t>
        </is>
      </c>
      <c r="N370" t="inlineStr">
        <is>
          <t>P3</t>
        </is>
      </c>
      <c r="O370" t="inlineStr">
        <is>
          <t>CVE - IP enrichment n/a</t>
        </is>
      </c>
      <c r="P370" t="n">
        <v>0</v>
      </c>
      <c r="Q370" t="n">
        <v>0</v>
      </c>
      <c r="R370" t="inlineStr">
        <is>
          <t>T1068:Exploitation for Privilege Escalation</t>
        </is>
      </c>
      <c r="S370" t="n">
        <v>1</v>
      </c>
      <c r="T370" t="inlineStr">
        <is>
          <t>LOW (40%)</t>
        </is>
      </c>
      <c r="U370" t="inlineStr">
        <is>
          <t>UNLIKELY</t>
        </is>
      </c>
      <c r="V370" t="inlineStr">
        <is>
          <t>CHECK_VENDOR</t>
        </is>
      </c>
      <c r="W370" t="inlineStr">
        <is>
          <t>https://nvd.nist.gov/vuln/detail/CVE-2025-12845</t>
        </is>
      </c>
      <c r="X370" t="inlineStr">
        <is>
          <t>NONE</t>
        </is>
      </c>
      <c r="Y370" t="n">
        <v>0</v>
      </c>
      <c r="Z370" t="inlineStr"/>
      <c r="AA370" t="inlineStr">
        <is>
          <t>https://nvd.nist.gov/vuln/detail/CVE-2025-12845</t>
        </is>
      </c>
    </row>
    <row r="371">
      <c r="A371" t="inlineStr">
        <is>
          <t>CVE</t>
        </is>
      </c>
      <c r="B371" t="inlineStr">
        <is>
          <t>CVE-2025-12882</t>
        </is>
      </c>
      <c r="C371" t="inlineStr">
        <is>
          <t>The Clasifico Listing plugin for WordPress is vulnerable to privilege escalation in versions up to, and including, 2.0. This is due to the plugin allowing users who are registering new accounts to set their own role by supplying the 'listing_user_role' parameter. This makes it possible for unauthenticated attackers to gain elevated privileges by registering an account with the administrator role.</t>
        </is>
      </c>
      <c r="D371" t="n">
        <v>9.800000000000001</v>
      </c>
      <c r="E371" t="inlineStr">
        <is>
          <t>CRITICAL</t>
        </is>
      </c>
      <c r="F371" t="n">
        <v>2</v>
      </c>
      <c r="G371" t="n">
        <v>3</v>
      </c>
      <c r="H371" t="inlineStr">
        <is>
          <t>HIGH</t>
        </is>
      </c>
      <c r="I371" t="n">
        <v>15.8</v>
      </c>
      <c r="J371" t="inlineStr">
        <is>
          <t>NO</t>
        </is>
      </c>
      <c r="K371" t="inlineStr">
        <is>
          <t>2026-02-23 23:48</t>
        </is>
      </c>
      <c r="L371" t="inlineStr">
        <is>
          <t>CHECK_VENDOR</t>
        </is>
      </c>
      <c r="M371" t="inlineStr">
        <is>
          <t>See CVE details</t>
        </is>
      </c>
      <c r="N371" t="inlineStr">
        <is>
          <t>P3</t>
        </is>
      </c>
      <c r="O371" t="inlineStr">
        <is>
          <t>CVE - IP enrichment n/a</t>
        </is>
      </c>
      <c r="P371" t="n">
        <v>0</v>
      </c>
      <c r="Q371" t="n">
        <v>0</v>
      </c>
      <c r="R371" t="inlineStr">
        <is>
          <t>T1068:Exploitation for Privilege Escalation</t>
        </is>
      </c>
      <c r="S371" t="n">
        <v>1</v>
      </c>
      <c r="T371" t="inlineStr">
        <is>
          <t>LOW (40%)</t>
        </is>
      </c>
      <c r="U371" t="inlineStr">
        <is>
          <t>UNLIKELY</t>
        </is>
      </c>
      <c r="V371" t="inlineStr">
        <is>
          <t>CHECK_VENDOR</t>
        </is>
      </c>
      <c r="W371" t="inlineStr">
        <is>
          <t>https://nvd.nist.gov/vuln/detail/CVE-2025-12882</t>
        </is>
      </c>
      <c r="X371" t="inlineStr">
        <is>
          <t>NONE</t>
        </is>
      </c>
      <c r="Y371" t="n">
        <v>0</v>
      </c>
      <c r="Z371" t="inlineStr"/>
      <c r="AA371" t="inlineStr">
        <is>
          <t>https://nvd.nist.gov/vuln/detail/CVE-2025-12882</t>
        </is>
      </c>
    </row>
    <row r="372">
      <c r="A372" t="inlineStr">
        <is>
          <t>CVE</t>
        </is>
      </c>
      <c r="B372" t="inlineStr">
        <is>
          <t>CVE-2025-12884</t>
        </is>
      </c>
      <c r="C372" t="inlineStr">
        <is>
          <t>The Advanced Ads – Ad Manager &amp; AdSense plugin for WordPress is vulnerable to authorization bypass in versions up to, and including, 2.0.14. This is due to the plugin not properly verifying that a user is authorized to perform an action in the `placement_update_item()` function. This makes it possible for authenticated attackers, with subscriber-level access and above, to update ad placements, allowing them to change which ad or ad group a placement serves.</t>
        </is>
      </c>
      <c r="D372" t="n">
        <v>4.3</v>
      </c>
      <c r="E372" t="inlineStr">
        <is>
          <t>MEDIUM</t>
        </is>
      </c>
      <c r="F372" t="n">
        <v>2</v>
      </c>
      <c r="G372" t="n">
        <v>2</v>
      </c>
      <c r="H372" t="inlineStr">
        <is>
          <t>MEDIUM</t>
        </is>
      </c>
      <c r="I372" t="n">
        <v>8.300000000000001</v>
      </c>
      <c r="J372" t="inlineStr">
        <is>
          <t>NO</t>
        </is>
      </c>
      <c r="K372" t="inlineStr">
        <is>
          <t>2026-02-23 23:48</t>
        </is>
      </c>
      <c r="L372" t="inlineStr">
        <is>
          <t>CHECK_VENDOR</t>
        </is>
      </c>
      <c r="M372" t="inlineStr">
        <is>
          <t>See CVE details</t>
        </is>
      </c>
      <c r="N372" t="inlineStr">
        <is>
          <t>P4</t>
        </is>
      </c>
      <c r="O372" t="inlineStr">
        <is>
          <t>CVE - IP enrichment n/a</t>
        </is>
      </c>
      <c r="P372" t="n">
        <v>0</v>
      </c>
      <c r="Q372" t="n">
        <v>0</v>
      </c>
      <c r="R372" t="inlineStr">
        <is>
          <t>T1190:Exploit Public-Facing Application</t>
        </is>
      </c>
      <c r="S372" t="n">
        <v>1</v>
      </c>
      <c r="T372" t="inlineStr">
        <is>
          <t>LOW (40%)</t>
        </is>
      </c>
      <c r="U372" t="inlineStr">
        <is>
          <t>UNLIKELY</t>
        </is>
      </c>
      <c r="V372" t="inlineStr">
        <is>
          <t>CHECK_VENDOR</t>
        </is>
      </c>
      <c r="W372" t="inlineStr">
        <is>
          <t>https://nvd.nist.gov/vuln/detail/CVE-2025-12884</t>
        </is>
      </c>
      <c r="X372" t="inlineStr">
        <is>
          <t>NONE</t>
        </is>
      </c>
      <c r="Y372" t="n">
        <v>0</v>
      </c>
      <c r="Z372" t="inlineStr"/>
      <c r="AA372" t="inlineStr">
        <is>
          <t>https://nvd.nist.gov/vuln/detail/CVE-2025-12884</t>
        </is>
      </c>
    </row>
    <row r="373">
      <c r="A373" t="inlineStr">
        <is>
          <t>CVE</t>
        </is>
      </c>
      <c r="B373" t="inlineStr">
        <is>
          <t>CVE-2025-12975</t>
        </is>
      </c>
      <c r="C373" t="inlineStr">
        <is>
          <t>The CTX Feed – WooCommerce Product Feed Manager plugin for WordPress is vulnerable to unauthorized arbitrary plugin installation due to a missing capability check on the woo_feed_plugin_installing() function in all versions up to, and including, 6.6.11. This makes it possible for authenticated attackers, with Shop Manager-level access and above, to install arbitrary plugins which can be leveraged to achieve remote code execution.</t>
        </is>
      </c>
      <c r="D373" t="n">
        <v>7.2</v>
      </c>
      <c r="E373" t="inlineStr">
        <is>
          <t>HIGH</t>
        </is>
      </c>
      <c r="F373" t="n">
        <v>2</v>
      </c>
      <c r="G373" t="n">
        <v>3</v>
      </c>
      <c r="H373" t="inlineStr">
        <is>
          <t>HIGH</t>
        </is>
      </c>
      <c r="I373" t="n">
        <v>13.2</v>
      </c>
      <c r="J373" t="inlineStr">
        <is>
          <t>NO</t>
        </is>
      </c>
      <c r="K373" t="inlineStr">
        <is>
          <t>2026-02-23 23:48</t>
        </is>
      </c>
      <c r="L373" t="inlineStr">
        <is>
          <t>CHECK_VENDOR</t>
        </is>
      </c>
      <c r="M373" t="inlineStr">
        <is>
          <t>See CVE details</t>
        </is>
      </c>
      <c r="N373" t="inlineStr">
        <is>
          <t>P3</t>
        </is>
      </c>
      <c r="O373" t="inlineStr">
        <is>
          <t>CVE - IP enrichment n/a</t>
        </is>
      </c>
      <c r="P373" t="n">
        <v>0</v>
      </c>
      <c r="Q373" t="n">
        <v>0</v>
      </c>
      <c r="R373" t="inlineStr">
        <is>
          <t>T1190:Exploit Public-Facing Application | T1210:Exploitation of Remote Services</t>
        </is>
      </c>
      <c r="S373" t="n">
        <v>1</v>
      </c>
      <c r="T373" t="inlineStr">
        <is>
          <t>LOW (40%)</t>
        </is>
      </c>
      <c r="U373" t="inlineStr">
        <is>
          <t>UNLIKELY</t>
        </is>
      </c>
      <c r="V373" t="inlineStr">
        <is>
          <t>CHECK_VENDOR</t>
        </is>
      </c>
      <c r="W373" t="inlineStr">
        <is>
          <t>https://nvd.nist.gov/vuln/detail/CVE-2025-12975</t>
        </is>
      </c>
      <c r="X373" t="inlineStr">
        <is>
          <t>NONE</t>
        </is>
      </c>
      <c r="Y373" t="n">
        <v>0</v>
      </c>
      <c r="Z373" t="inlineStr"/>
      <c r="AA373" t="inlineStr">
        <is>
          <t>https://nvd.nist.gov/vuln/detail/CVE-2025-12975</t>
        </is>
      </c>
    </row>
    <row r="374">
      <c r="A374" t="inlineStr">
        <is>
          <t>CVE</t>
        </is>
      </c>
      <c r="B374" t="inlineStr">
        <is>
          <t>CVE-2025-13048</t>
        </is>
      </c>
      <c r="C374" t="inlineStr">
        <is>
          <t>The StatCounter – Free Real Time Visitor Stats plugin for WordPress is vulnerable to Stored Cross-Site Scripting via the user's Nickname in all versions up to, and including, 2.1.0 due to insufficient input sanitization and output escaping. This makes it possible for authenticated attackers, with Contributor-level access and above, to inject arbitrary web scripts in pages that will execute whenever a user accesses an injected page.</t>
        </is>
      </c>
      <c r="D374" t="n">
        <v>6.4</v>
      </c>
      <c r="E374" t="inlineStr">
        <is>
          <t>MEDIUM</t>
        </is>
      </c>
      <c r="F374" t="n">
        <v>2</v>
      </c>
      <c r="G374" t="n">
        <v>2</v>
      </c>
      <c r="H374" t="inlineStr">
        <is>
          <t>MEDIUM</t>
        </is>
      </c>
      <c r="I374" t="n">
        <v>10.4</v>
      </c>
      <c r="J374" t="inlineStr">
        <is>
          <t>NO</t>
        </is>
      </c>
      <c r="K374" t="inlineStr">
        <is>
          <t>2026-02-23 23:48</t>
        </is>
      </c>
      <c r="L374" t="inlineStr">
        <is>
          <t>CHECK_VENDOR</t>
        </is>
      </c>
      <c r="M374" t="inlineStr">
        <is>
          <t>See CVE details</t>
        </is>
      </c>
      <c r="N374" t="inlineStr">
        <is>
          <t>P4</t>
        </is>
      </c>
      <c r="O374" t="inlineStr">
        <is>
          <t>CVE - IP enrichment n/a</t>
        </is>
      </c>
      <c r="P374" t="n">
        <v>0</v>
      </c>
      <c r="Q374" t="n">
        <v>0</v>
      </c>
      <c r="R374" t="inlineStr">
        <is>
          <t>T1189:Drive-by Compromise</t>
        </is>
      </c>
      <c r="S374" t="n">
        <v>1</v>
      </c>
      <c r="T374" t="inlineStr">
        <is>
          <t>LOW (40%)</t>
        </is>
      </c>
      <c r="U374" t="inlineStr">
        <is>
          <t>UNLIKELY</t>
        </is>
      </c>
      <c r="V374" t="inlineStr">
        <is>
          <t>CHECK_VENDOR</t>
        </is>
      </c>
      <c r="W374" t="inlineStr">
        <is>
          <t>https://nvd.nist.gov/vuln/detail/CVE-2025-13048</t>
        </is>
      </c>
      <c r="X374" t="inlineStr">
        <is>
          <t>NONE</t>
        </is>
      </c>
      <c r="Y374" t="n">
        <v>0</v>
      </c>
      <c r="Z374" t="inlineStr"/>
      <c r="AA374" t="inlineStr">
        <is>
          <t>https://nvd.nist.gov/vuln/detail/CVE-2025-13048</t>
        </is>
      </c>
    </row>
    <row r="375">
      <c r="A375" t="inlineStr">
        <is>
          <t>CVE</t>
        </is>
      </c>
      <c r="B375" t="inlineStr">
        <is>
          <t>CVE-2025-13079</t>
        </is>
      </c>
      <c r="C375" t="inlineStr">
        <is>
          <t>The Popup Builder – Create highly converting, mobile friendly marketing popups. plugin for WordPress is vulnerable to authorization bypass in all versions up to, and including, 4.4.2. This is due to the plugin generating predictable unsubscribe tokens using deterministic data. This makes it possible for unauthenticated attackers to unsubscribe arbitrary subscribers from mailing lists via brute-forcing the unsubscribe token, granted they know the victim's email address</t>
        </is>
      </c>
      <c r="D375" t="n">
        <v>5.3</v>
      </c>
      <c r="E375" t="inlineStr">
        <is>
          <t>MEDIUM</t>
        </is>
      </c>
      <c r="F375" t="n">
        <v>2</v>
      </c>
      <c r="G375" t="n">
        <v>2</v>
      </c>
      <c r="H375" t="inlineStr">
        <is>
          <t>MEDIUM</t>
        </is>
      </c>
      <c r="I375" t="n">
        <v>9.300000000000001</v>
      </c>
      <c r="J375" t="inlineStr">
        <is>
          <t>NO</t>
        </is>
      </c>
      <c r="K375" t="inlineStr">
        <is>
          <t>2026-02-23 23:48</t>
        </is>
      </c>
      <c r="L375" t="inlineStr">
        <is>
          <t>CHECK_VENDOR</t>
        </is>
      </c>
      <c r="M375" t="inlineStr">
        <is>
          <t>See CVE details</t>
        </is>
      </c>
      <c r="N375" t="inlineStr">
        <is>
          <t>P4</t>
        </is>
      </c>
      <c r="O375" t="inlineStr">
        <is>
          <t>CVE - IP enrichment n/a</t>
        </is>
      </c>
      <c r="P375" t="n">
        <v>0</v>
      </c>
      <c r="Q375" t="n">
        <v>0</v>
      </c>
      <c r="R375" t="inlineStr">
        <is>
          <t>T1190:Exploit Public-Facing Application</t>
        </is>
      </c>
      <c r="S375" t="n">
        <v>1</v>
      </c>
      <c r="T375" t="inlineStr">
        <is>
          <t>LOW (40%)</t>
        </is>
      </c>
      <c r="U375" t="inlineStr">
        <is>
          <t>UNLIKELY</t>
        </is>
      </c>
      <c r="V375" t="inlineStr">
        <is>
          <t>CHECK_VENDOR</t>
        </is>
      </c>
      <c r="W375" t="inlineStr">
        <is>
          <t>https://nvd.nist.gov/vuln/detail/CVE-2025-13079</t>
        </is>
      </c>
      <c r="X375" t="inlineStr">
        <is>
          <t>NONE</t>
        </is>
      </c>
      <c r="Y375" t="n">
        <v>0</v>
      </c>
      <c r="Z375" t="inlineStr"/>
      <c r="AA375" t="inlineStr">
        <is>
          <t>https://nvd.nist.gov/vuln/detail/CVE-2025-13079</t>
        </is>
      </c>
    </row>
    <row r="376">
      <c r="A376" t="inlineStr">
        <is>
          <t>CVE</t>
        </is>
      </c>
      <c r="B376" t="inlineStr">
        <is>
          <t>CVE-2025-13091</t>
        </is>
      </c>
      <c r="C376" t="inlineStr">
        <is>
          <t>The Shopire theme for WordPress is vulnerable to unauthorized modification of data due to a missing capability check on the shopire_admin_install_plugin() function in all versions up to, and including, 1.0.57. This makes it possible for authenticated attackers, with Subscriber-level access and above, to install the 'fable-extra' plugin.</t>
        </is>
      </c>
      <c r="D376" t="n">
        <v>4.3</v>
      </c>
      <c r="E376" t="inlineStr">
        <is>
          <t>MEDIUM</t>
        </is>
      </c>
      <c r="F376" t="n">
        <v>2</v>
      </c>
      <c r="G376" t="n">
        <v>2</v>
      </c>
      <c r="H376" t="inlineStr">
        <is>
          <t>MEDIUM</t>
        </is>
      </c>
      <c r="I376" t="n">
        <v>8.300000000000001</v>
      </c>
      <c r="J376" t="inlineStr">
        <is>
          <t>NO</t>
        </is>
      </c>
      <c r="K376" t="inlineStr">
        <is>
          <t>2026-02-23 23:48</t>
        </is>
      </c>
      <c r="L376" t="inlineStr">
        <is>
          <t>CHECK_VENDOR</t>
        </is>
      </c>
      <c r="M376" t="inlineStr">
        <is>
          <t>See CVE details</t>
        </is>
      </c>
      <c r="N376" t="inlineStr">
        <is>
          <t>P4</t>
        </is>
      </c>
      <c r="O376" t="inlineStr">
        <is>
          <t>CVE - IP enrichment n/a</t>
        </is>
      </c>
      <c r="P376" t="n">
        <v>0</v>
      </c>
      <c r="Q376" t="n">
        <v>0</v>
      </c>
      <c r="R376" t="inlineStr">
        <is>
          <t>T1190:Exploit Public-Facing Application</t>
        </is>
      </c>
      <c r="S376" t="n">
        <v>1</v>
      </c>
      <c r="T376" t="inlineStr">
        <is>
          <t>LOW (40%)</t>
        </is>
      </c>
      <c r="U376" t="inlineStr">
        <is>
          <t>UNLIKELY</t>
        </is>
      </c>
      <c r="V376" t="inlineStr">
        <is>
          <t>CHECK_VENDOR</t>
        </is>
      </c>
      <c r="W376" t="inlineStr">
        <is>
          <t>https://nvd.nist.gov/vuln/detail/CVE-2025-13091</t>
        </is>
      </c>
      <c r="X376" t="inlineStr">
        <is>
          <t>NONE</t>
        </is>
      </c>
      <c r="Y376" t="n">
        <v>0</v>
      </c>
      <c r="Z376" t="inlineStr"/>
      <c r="AA376" t="inlineStr">
        <is>
          <t>https://nvd.nist.gov/vuln/detail/CVE-2025-13091</t>
        </is>
      </c>
    </row>
    <row r="377">
      <c r="A377" t="inlineStr">
        <is>
          <t>CVE</t>
        </is>
      </c>
      <c r="B377" t="inlineStr">
        <is>
          <t>CVE-2025-13113</t>
        </is>
      </c>
      <c r="C377" t="inlineStr">
        <is>
          <t xml:space="preserve">The Web Accessibility by accessiBe plugin for WordPress is vulnerable to Sensitive Information Exposure in all versions up to, and including, 2.11. This is due to the `accessibe_render_js_in_footer()` function logging the complete plugin options array to the browser console on public pages, without restricting output to privileged users or checking for debug mode. This makes it possible for unauthenticated attackers to view sensitive configuration data, including email addresses, accessiBe user </t>
        </is>
      </c>
      <c r="D377" t="n">
        <v>5.3</v>
      </c>
      <c r="E377" t="inlineStr">
        <is>
          <t>MEDIUM</t>
        </is>
      </c>
      <c r="F377" t="n">
        <v>2</v>
      </c>
      <c r="G377" t="n">
        <v>2</v>
      </c>
      <c r="H377" t="inlineStr">
        <is>
          <t>MEDIUM</t>
        </is>
      </c>
      <c r="I377" t="n">
        <v>9.300000000000001</v>
      </c>
      <c r="J377" t="inlineStr">
        <is>
          <t>NO</t>
        </is>
      </c>
      <c r="K377" t="inlineStr">
        <is>
          <t>2026-02-23 23:48</t>
        </is>
      </c>
      <c r="L377" t="inlineStr">
        <is>
          <t>CHECK_VENDOR</t>
        </is>
      </c>
      <c r="M377" t="inlineStr">
        <is>
          <t>See CVE details</t>
        </is>
      </c>
      <c r="N377" t="inlineStr">
        <is>
          <t>P4</t>
        </is>
      </c>
      <c r="O377" t="inlineStr">
        <is>
          <t>CVE - IP enrichment n/a</t>
        </is>
      </c>
      <c r="P377" t="n">
        <v>0</v>
      </c>
      <c r="Q377" t="n">
        <v>0</v>
      </c>
      <c r="R377" t="inlineStr">
        <is>
          <t>T1213:Data from Information Repositories</t>
        </is>
      </c>
      <c r="S377" t="n">
        <v>1</v>
      </c>
      <c r="T377" t="inlineStr">
        <is>
          <t>LOW (40%)</t>
        </is>
      </c>
      <c r="U377" t="inlineStr">
        <is>
          <t>UNLIKELY</t>
        </is>
      </c>
      <c r="V377" t="inlineStr">
        <is>
          <t>CHECK_VENDOR</t>
        </is>
      </c>
      <c r="W377" t="inlineStr">
        <is>
          <t>https://nvd.nist.gov/vuln/detail/CVE-2025-13113</t>
        </is>
      </c>
      <c r="X377" t="inlineStr">
        <is>
          <t>NONE</t>
        </is>
      </c>
      <c r="Y377" t="n">
        <v>0</v>
      </c>
      <c r="Z377" t="inlineStr"/>
      <c r="AA377" t="inlineStr">
        <is>
          <t>https://nvd.nist.gov/vuln/detail/CVE-2025-13113</t>
        </is>
      </c>
    </row>
    <row r="378">
      <c r="A378" t="inlineStr">
        <is>
          <t>CVE</t>
        </is>
      </c>
      <c r="B378" t="inlineStr">
        <is>
          <t>CVE-2025-13413</t>
        </is>
      </c>
      <c r="C378" t="inlineStr">
        <is>
          <t>The Country Blocker for AdSense plugin for WordPress is vulnerable to Cross-Site Request Forgery in all versions up to, and including, 1.0. This is due to missing nonce validation on the CBFA_guardar_cbfa() function. This makes it possible for unauthenticated attackers to update the plugin's settings via a forged request granted they can trick a site administrator into performing an action such as clicking on a link.</t>
        </is>
      </c>
      <c r="D378" t="n">
        <v>4.3</v>
      </c>
      <c r="E378" t="inlineStr">
        <is>
          <t>MEDIUM</t>
        </is>
      </c>
      <c r="F378" t="n">
        <v>2</v>
      </c>
      <c r="G378" t="n">
        <v>2</v>
      </c>
      <c r="H378" t="inlineStr">
        <is>
          <t>MEDIUM</t>
        </is>
      </c>
      <c r="I378" t="n">
        <v>8.300000000000001</v>
      </c>
      <c r="J378" t="inlineStr">
        <is>
          <t>NO</t>
        </is>
      </c>
      <c r="K378" t="inlineStr">
        <is>
          <t>2026-02-23 23:48</t>
        </is>
      </c>
      <c r="L378" t="inlineStr">
        <is>
          <t>CHECK_VENDOR</t>
        </is>
      </c>
      <c r="M378" t="inlineStr">
        <is>
          <t>See CVE details</t>
        </is>
      </c>
      <c r="N378" t="inlineStr">
        <is>
          <t>P4</t>
        </is>
      </c>
      <c r="O378" t="inlineStr">
        <is>
          <t>CVE - IP enrichment n/a</t>
        </is>
      </c>
      <c r="P378" t="n">
        <v>0.0001</v>
      </c>
      <c r="Q378" t="n">
        <v>0.015</v>
      </c>
      <c r="R378" t="inlineStr">
        <is>
          <t>T1185:Browser Session Hijacking</t>
        </is>
      </c>
      <c r="S378" t="n">
        <v>1</v>
      </c>
      <c r="T378" t="inlineStr">
        <is>
          <t>LOW (40%)</t>
        </is>
      </c>
      <c r="U378" t="inlineStr">
        <is>
          <t>UNLIKELY</t>
        </is>
      </c>
      <c r="V378" t="inlineStr">
        <is>
          <t>CHECK_VENDOR</t>
        </is>
      </c>
      <c r="W378" t="inlineStr">
        <is>
          <t>https://nvd.nist.gov/vuln/detail/CVE-2025-13413</t>
        </is>
      </c>
      <c r="X378" t="inlineStr">
        <is>
          <t>NONE</t>
        </is>
      </c>
      <c r="Y378" t="n">
        <v>0</v>
      </c>
      <c r="Z378" t="inlineStr"/>
      <c r="AA378" t="inlineStr">
        <is>
          <t>https://nvd.nist.gov/vuln/detail/CVE-2025-13413</t>
        </is>
      </c>
    </row>
    <row r="379">
      <c r="A379" t="inlineStr">
        <is>
          <t>CVE</t>
        </is>
      </c>
      <c r="B379" t="inlineStr">
        <is>
          <t>CVE-2025-13438</t>
        </is>
      </c>
      <c r="C379" t="inlineStr">
        <is>
          <t>The Page Title, Description &amp; Open Graph Updater plugin for WordPress is vulnerable to Cross-Site Request Forgery in all versions up to, and including, 1.02. This is due to missing nonce validation on multiple AJAX actions including dieno_update_page_title. This makes it possible for unauthenticated attackers to update page titles and metadata via a forged request granted they can trick a site administrator into performing an action such as clicking on a link.</t>
        </is>
      </c>
      <c r="D379" t="n">
        <v>4.3</v>
      </c>
      <c r="E379" t="inlineStr">
        <is>
          <t>MEDIUM</t>
        </is>
      </c>
      <c r="F379" t="n">
        <v>2</v>
      </c>
      <c r="G379" t="n">
        <v>2</v>
      </c>
      <c r="H379" t="inlineStr">
        <is>
          <t>MEDIUM</t>
        </is>
      </c>
      <c r="I379" t="n">
        <v>8.300000000000001</v>
      </c>
      <c r="J379" t="inlineStr">
        <is>
          <t>NO</t>
        </is>
      </c>
      <c r="K379" t="inlineStr">
        <is>
          <t>2026-02-23 23:48</t>
        </is>
      </c>
      <c r="L379" t="inlineStr">
        <is>
          <t>CHECK_VENDOR</t>
        </is>
      </c>
      <c r="M379" t="inlineStr">
        <is>
          <t>See CVE details</t>
        </is>
      </c>
      <c r="N379" t="inlineStr">
        <is>
          <t>P4</t>
        </is>
      </c>
      <c r="O379" t="inlineStr">
        <is>
          <t>CVE - IP enrichment n/a</t>
        </is>
      </c>
      <c r="P379" t="n">
        <v>0</v>
      </c>
      <c r="Q379" t="n">
        <v>0</v>
      </c>
      <c r="R379" t="inlineStr">
        <is>
          <t>T1185:Browser Session Hijacking</t>
        </is>
      </c>
      <c r="S379" t="n">
        <v>1</v>
      </c>
      <c r="T379" t="inlineStr">
        <is>
          <t>LOW (40%)</t>
        </is>
      </c>
      <c r="U379" t="inlineStr">
        <is>
          <t>UNLIKELY</t>
        </is>
      </c>
      <c r="V379" t="inlineStr">
        <is>
          <t>CHECK_VENDOR</t>
        </is>
      </c>
      <c r="W379" t="inlineStr">
        <is>
          <t>https://nvd.nist.gov/vuln/detail/CVE-2025-13438</t>
        </is>
      </c>
      <c r="X379" t="inlineStr">
        <is>
          <t>NONE</t>
        </is>
      </c>
      <c r="Y379" t="n">
        <v>0</v>
      </c>
      <c r="Z379" t="inlineStr"/>
      <c r="AA379" t="inlineStr">
        <is>
          <t>https://nvd.nist.gov/vuln/detail/CVE-2025-13438</t>
        </is>
      </c>
    </row>
    <row r="380">
      <c r="A380" t="inlineStr">
        <is>
          <t>CVE</t>
        </is>
      </c>
      <c r="B380" t="inlineStr">
        <is>
          <t>CVE-2025-13563</t>
        </is>
      </c>
      <c r="C380" t="inlineStr">
        <is>
          <t>The Lizza LMS Pro plugin for WordPress is vulnerable to Privilege Escalation in all versions up to, and including, 1.0.3. This is due to the 'lizza_lms_pro_register_user_front_end' function not restricting what user roles a user can register with. This makes it possible for unauthenticated attackers to supply the 'administrator' role during registration and gain administrator access to the site.</t>
        </is>
      </c>
      <c r="D380" t="n">
        <v>9.800000000000001</v>
      </c>
      <c r="E380" t="inlineStr">
        <is>
          <t>CRITICAL</t>
        </is>
      </c>
      <c r="F380" t="n">
        <v>2</v>
      </c>
      <c r="G380" t="n">
        <v>3</v>
      </c>
      <c r="H380" t="inlineStr">
        <is>
          <t>HIGH</t>
        </is>
      </c>
      <c r="I380" t="n">
        <v>15.8</v>
      </c>
      <c r="J380" t="inlineStr">
        <is>
          <t>NO</t>
        </is>
      </c>
      <c r="K380" t="inlineStr">
        <is>
          <t>2026-02-23 23:48</t>
        </is>
      </c>
      <c r="L380" t="inlineStr">
        <is>
          <t>CHECK_VENDOR</t>
        </is>
      </c>
      <c r="M380" t="inlineStr">
        <is>
          <t>See CVE details</t>
        </is>
      </c>
      <c r="N380" t="inlineStr">
        <is>
          <t>P3</t>
        </is>
      </c>
      <c r="O380" t="inlineStr">
        <is>
          <t>CVE - IP enrichment n/a</t>
        </is>
      </c>
      <c r="P380" t="n">
        <v>0.0005999999999999999</v>
      </c>
      <c r="Q380" t="n">
        <v>0.1727</v>
      </c>
      <c r="R380" t="inlineStr">
        <is>
          <t>T1068:Exploitation for Privilege Escalation</t>
        </is>
      </c>
      <c r="S380" t="n">
        <v>1</v>
      </c>
      <c r="T380" t="inlineStr">
        <is>
          <t>LOW (40%)</t>
        </is>
      </c>
      <c r="U380" t="inlineStr">
        <is>
          <t>UNLIKELY</t>
        </is>
      </c>
      <c r="V380" t="inlineStr">
        <is>
          <t>CHECK_VENDOR</t>
        </is>
      </c>
      <c r="W380" t="inlineStr">
        <is>
          <t>https://nvd.nist.gov/vuln/detail/CVE-2025-13563</t>
        </is>
      </c>
      <c r="X380" t="inlineStr">
        <is>
          <t>NONE</t>
        </is>
      </c>
      <c r="Y380" t="n">
        <v>0</v>
      </c>
      <c r="Z380" t="inlineStr"/>
      <c r="AA380" t="inlineStr">
        <is>
          <t>https://nvd.nist.gov/vuln/detail/CVE-2025-13563</t>
        </is>
      </c>
    </row>
    <row r="381">
      <c r="A381" t="inlineStr">
        <is>
          <t>CVE</t>
        </is>
      </c>
      <c r="B381" t="inlineStr">
        <is>
          <t>CVE-2025-13587</t>
        </is>
      </c>
      <c r="C381" t="inlineStr">
        <is>
          <t>The Two Factor (2FA) Authentication via Email plugin for WordPress is vulnerable to Two-Factor Authentication Bypass in versions up to, and including, 1.9.8. This is because the SS88_2FAVE::wp_login() method only enforces the 2FA requirement if the 'token' HTTP GET parameter is undefined, which makes it possible to bypass two-factor authentication by supplying any value in the 'token' parameter during login, including an empty one.</t>
        </is>
      </c>
      <c r="D381" t="n">
        <v>6.5</v>
      </c>
      <c r="E381" t="inlineStr">
        <is>
          <t>MEDIUM</t>
        </is>
      </c>
      <c r="F381" t="n">
        <v>2</v>
      </c>
      <c r="G381" t="n">
        <v>2</v>
      </c>
      <c r="H381" t="inlineStr">
        <is>
          <t>MEDIUM</t>
        </is>
      </c>
      <c r="I381" t="n">
        <v>10.5</v>
      </c>
      <c r="J381" t="inlineStr">
        <is>
          <t>NO</t>
        </is>
      </c>
      <c r="K381" t="inlineStr">
        <is>
          <t>2026-02-23 23:48</t>
        </is>
      </c>
      <c r="L381" t="inlineStr">
        <is>
          <t>CHECK_VENDOR</t>
        </is>
      </c>
      <c r="M381" t="inlineStr">
        <is>
          <t>See CVE details</t>
        </is>
      </c>
      <c r="N381" t="inlineStr">
        <is>
          <t>P4</t>
        </is>
      </c>
      <c r="O381" t="inlineStr">
        <is>
          <t>CVE - IP enrichment n/a</t>
        </is>
      </c>
      <c r="P381" t="n">
        <v>0</v>
      </c>
      <c r="Q381" t="n">
        <v>0</v>
      </c>
      <c r="R381" t="inlineStr">
        <is>
          <t>T1190:Exploit Public-Facing Application | T1078:Valid Accounts</t>
        </is>
      </c>
      <c r="S381" t="n">
        <v>1</v>
      </c>
      <c r="T381" t="inlineStr">
        <is>
          <t>LOW (40%)</t>
        </is>
      </c>
      <c r="U381" t="inlineStr">
        <is>
          <t>UNLIKELY</t>
        </is>
      </c>
      <c r="V381" t="inlineStr">
        <is>
          <t>CHECK_VENDOR</t>
        </is>
      </c>
      <c r="W381" t="inlineStr">
        <is>
          <t>https://nvd.nist.gov/vuln/detail/CVE-2025-13587</t>
        </is>
      </c>
      <c r="X381" t="inlineStr">
        <is>
          <t>NONE</t>
        </is>
      </c>
      <c r="Y381" t="n">
        <v>0</v>
      </c>
      <c r="Z381" t="inlineStr"/>
      <c r="AA381" t="inlineStr">
        <is>
          <t>https://nvd.nist.gov/vuln/detail/CVE-2025-13587</t>
        </is>
      </c>
    </row>
    <row r="382">
      <c r="A382" t="inlineStr">
        <is>
          <t>CVE</t>
        </is>
      </c>
      <c r="B382" t="inlineStr">
        <is>
          <t>CVE-2025-13603</t>
        </is>
      </c>
      <c r="C382" t="inlineStr">
        <is>
          <t>The WP AUDIO GALLERY plugin for WordPress is vulnerable to Unauthorized Arbitrary File Read in all versions up to, and including, 2.0. This is due to insufficient capability checks and lack of nonce verification on the "wpag_htaccess_callback" function This makes it possible for authenticated attackers, with subscriber-level access and above, to overwrite the site's .htaccess file with arbitrary content, which can lead to arbitrary file read on the server under certain configurations.</t>
        </is>
      </c>
      <c r="D382" t="n">
        <v>8.800000000000001</v>
      </c>
      <c r="E382" t="inlineStr">
        <is>
          <t>HIGH</t>
        </is>
      </c>
      <c r="F382" t="n">
        <v>2</v>
      </c>
      <c r="G382" t="n">
        <v>3</v>
      </c>
      <c r="H382" t="inlineStr">
        <is>
          <t>HIGH</t>
        </is>
      </c>
      <c r="I382" t="n">
        <v>14.8</v>
      </c>
      <c r="J382" t="inlineStr">
        <is>
          <t>NO</t>
        </is>
      </c>
      <c r="K382" t="inlineStr">
        <is>
          <t>2026-02-23 23:48</t>
        </is>
      </c>
      <c r="L382" t="inlineStr">
        <is>
          <t>CHECK_VENDOR</t>
        </is>
      </c>
      <c r="M382" t="inlineStr">
        <is>
          <t>See CVE details</t>
        </is>
      </c>
      <c r="N382" t="inlineStr">
        <is>
          <t>P3</t>
        </is>
      </c>
      <c r="O382" t="inlineStr">
        <is>
          <t>CVE - IP enrichment n/a</t>
        </is>
      </c>
      <c r="P382" t="n">
        <v>0</v>
      </c>
      <c r="Q382" t="n">
        <v>0</v>
      </c>
      <c r="R382" t="inlineStr">
        <is>
          <t>T1190:Exploit Public-Facing Application</t>
        </is>
      </c>
      <c r="S382" t="n">
        <v>1</v>
      </c>
      <c r="T382" t="inlineStr">
        <is>
          <t>LOW (40%)</t>
        </is>
      </c>
      <c r="U382" t="inlineStr">
        <is>
          <t>UNLIKELY</t>
        </is>
      </c>
      <c r="V382" t="inlineStr">
        <is>
          <t>CHECK_VENDOR</t>
        </is>
      </c>
      <c r="W382" t="inlineStr">
        <is>
          <t>https://nvd.nist.gov/vuln/detail/CVE-2025-13603</t>
        </is>
      </c>
      <c r="X382" t="inlineStr">
        <is>
          <t>NONE</t>
        </is>
      </c>
      <c r="Y382" t="n">
        <v>0</v>
      </c>
      <c r="Z382" t="inlineStr"/>
      <c r="AA382" t="inlineStr">
        <is>
          <t>https://nvd.nist.gov/vuln/detail/CVE-2025-13603</t>
        </is>
      </c>
    </row>
    <row r="383">
      <c r="A383" t="inlineStr">
        <is>
          <t>CVE</t>
        </is>
      </c>
      <c r="B383" t="inlineStr">
        <is>
          <t>CVE-2025-13612</t>
        </is>
      </c>
      <c r="C383" t="inlineStr">
        <is>
          <t>The Album and Image Gallery plus Lightbox plugin for WordPress is vulnerable to Stored Cross-Site Scripting via the plugin's `aigpl-gallery-album` shortcode in all versions up to, and including, 2.1.7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383" t="n">
        <v>6.4</v>
      </c>
      <c r="E383" t="inlineStr">
        <is>
          <t>MEDIUM</t>
        </is>
      </c>
      <c r="F383" t="n">
        <v>2</v>
      </c>
      <c r="G383" t="n">
        <v>2</v>
      </c>
      <c r="H383" t="inlineStr">
        <is>
          <t>MEDIUM</t>
        </is>
      </c>
      <c r="I383" t="n">
        <v>10.4</v>
      </c>
      <c r="J383" t="inlineStr">
        <is>
          <t>NO</t>
        </is>
      </c>
      <c r="K383" t="inlineStr">
        <is>
          <t>2026-02-23 23:48</t>
        </is>
      </c>
      <c r="L383" t="inlineStr">
        <is>
          <t>CHECK_VENDOR</t>
        </is>
      </c>
      <c r="M383" t="inlineStr">
        <is>
          <t>See CVE details</t>
        </is>
      </c>
      <c r="N383" t="inlineStr">
        <is>
          <t>P4</t>
        </is>
      </c>
      <c r="O383" t="inlineStr">
        <is>
          <t>CVE - IP enrichment n/a</t>
        </is>
      </c>
      <c r="P383" t="n">
        <v>0</v>
      </c>
      <c r="Q383" t="n">
        <v>0</v>
      </c>
      <c r="R383" t="inlineStr">
        <is>
          <t>T1189:Drive-by Compromise</t>
        </is>
      </c>
      <c r="S383" t="n">
        <v>1</v>
      </c>
      <c r="T383" t="inlineStr">
        <is>
          <t>LOW (40%)</t>
        </is>
      </c>
      <c r="U383" t="inlineStr">
        <is>
          <t>UNLIKELY</t>
        </is>
      </c>
      <c r="V383" t="inlineStr">
        <is>
          <t>CHECK_VENDOR</t>
        </is>
      </c>
      <c r="W383" t="inlineStr">
        <is>
          <t>https://nvd.nist.gov/vuln/detail/CVE-2025-13612</t>
        </is>
      </c>
      <c r="X383" t="inlineStr">
        <is>
          <t>NONE</t>
        </is>
      </c>
      <c r="Y383" t="n">
        <v>0</v>
      </c>
      <c r="Z383" t="inlineStr"/>
      <c r="AA383" t="inlineStr">
        <is>
          <t>https://nvd.nist.gov/vuln/detail/CVE-2025-13612</t>
        </is>
      </c>
    </row>
    <row r="384">
      <c r="A384" t="inlineStr">
        <is>
          <t>CVE</t>
        </is>
      </c>
      <c r="B384" t="inlineStr">
        <is>
          <t>CVE-2025-13617</t>
        </is>
      </c>
      <c r="C384" t="inlineStr">
        <is>
          <t>The Apollo13 Framework Extensions plugin for WordPress is vulnerable to Stored Cross-Site Scripting via the ‘a13_alt_link’ parameter in all versions up to, and including, 1.9.8 due to insufficient input sanitization and output escaping. This makes it possible for authenticated attackers, with Contributor-level access and above, to inject arbitrary web scripts in pages that will execute whenever a user accesses an injected page.</t>
        </is>
      </c>
      <c r="D384" t="n">
        <v>6.4</v>
      </c>
      <c r="E384" t="inlineStr">
        <is>
          <t>MEDIUM</t>
        </is>
      </c>
      <c r="F384" t="n">
        <v>2</v>
      </c>
      <c r="G384" t="n">
        <v>2</v>
      </c>
      <c r="H384" t="inlineStr">
        <is>
          <t>MEDIUM</t>
        </is>
      </c>
      <c r="I384" t="n">
        <v>10.4</v>
      </c>
      <c r="J384" t="inlineStr">
        <is>
          <t>NO</t>
        </is>
      </c>
      <c r="K384" t="inlineStr">
        <is>
          <t>2026-02-23 23:48</t>
        </is>
      </c>
      <c r="L384" t="inlineStr">
        <is>
          <t>CHECK_VENDOR</t>
        </is>
      </c>
      <c r="M384" t="inlineStr">
        <is>
          <t>See CVE details</t>
        </is>
      </c>
      <c r="N384" t="inlineStr">
        <is>
          <t>P4</t>
        </is>
      </c>
      <c r="O384" t="inlineStr">
        <is>
          <t>CVE - IP enrichment n/a</t>
        </is>
      </c>
      <c r="P384" t="n">
        <v>0</v>
      </c>
      <c r="Q384" t="n">
        <v>0</v>
      </c>
      <c r="R384" t="inlineStr">
        <is>
          <t>T1189:Drive-by Compromise</t>
        </is>
      </c>
      <c r="S384" t="n">
        <v>1</v>
      </c>
      <c r="T384" t="inlineStr">
        <is>
          <t>LOW (40%)</t>
        </is>
      </c>
      <c r="U384" t="inlineStr">
        <is>
          <t>UNLIKELY</t>
        </is>
      </c>
      <c r="V384" t="inlineStr">
        <is>
          <t>CHECK_VENDOR</t>
        </is>
      </c>
      <c r="W384" t="inlineStr">
        <is>
          <t>https://nvd.nist.gov/vuln/detail/CVE-2025-13617</t>
        </is>
      </c>
      <c r="X384" t="inlineStr">
        <is>
          <t>NONE</t>
        </is>
      </c>
      <c r="Y384" t="n">
        <v>0</v>
      </c>
      <c r="Z384" t="inlineStr"/>
      <c r="AA384" t="inlineStr">
        <is>
          <t>https://nvd.nist.gov/vuln/detail/CVE-2025-13617</t>
        </is>
      </c>
    </row>
    <row r="385">
      <c r="A385" t="inlineStr">
        <is>
          <t>CVE</t>
        </is>
      </c>
      <c r="B385" t="inlineStr">
        <is>
          <t>CVE-2025-13732</t>
        </is>
      </c>
      <c r="C385" t="inlineStr">
        <is>
          <t xml:space="preserve">The s2Member – Excellent for All Kinds of Memberships, Content Restriction Paywalls &amp; Member Access Subscriptions plugin for WordPress is vulnerable to Stored Cross-Site Scripting via the plugin's 's2Eot' shortcode in all versions up to, and including, 251005 due to insufficient input sanitization and output escaping. This makes it possible for authenticated attackers, with Contributor-level access and above, to inject arbitrary web scripts in pages that will execute whenever a user accesses an </t>
        </is>
      </c>
      <c r="D385" t="n">
        <v>6.4</v>
      </c>
      <c r="E385" t="inlineStr">
        <is>
          <t>MEDIUM</t>
        </is>
      </c>
      <c r="F385" t="n">
        <v>2</v>
      </c>
      <c r="G385" t="n">
        <v>2</v>
      </c>
      <c r="H385" t="inlineStr">
        <is>
          <t>MEDIUM</t>
        </is>
      </c>
      <c r="I385" t="n">
        <v>10.4</v>
      </c>
      <c r="J385" t="inlineStr">
        <is>
          <t>NO</t>
        </is>
      </c>
      <c r="K385" t="inlineStr">
        <is>
          <t>2026-02-23 23:48</t>
        </is>
      </c>
      <c r="L385" t="inlineStr">
        <is>
          <t>CHECK_VENDOR</t>
        </is>
      </c>
      <c r="M385" t="inlineStr">
        <is>
          <t>See CVE details</t>
        </is>
      </c>
      <c r="N385" t="inlineStr">
        <is>
          <t>P4</t>
        </is>
      </c>
      <c r="O385" t="inlineStr">
        <is>
          <t>CVE - IP enrichment n/a</t>
        </is>
      </c>
      <c r="P385" t="n">
        <v>0.0003</v>
      </c>
      <c r="Q385" t="n">
        <v>0.0939</v>
      </c>
      <c r="R385" t="inlineStr">
        <is>
          <t>T1189:Drive-by Compromise</t>
        </is>
      </c>
      <c r="S385" t="n">
        <v>1</v>
      </c>
      <c r="T385" t="inlineStr">
        <is>
          <t>LOW (40%)</t>
        </is>
      </c>
      <c r="U385" t="inlineStr">
        <is>
          <t>UNLIKELY</t>
        </is>
      </c>
      <c r="V385" t="inlineStr">
        <is>
          <t>CHECK_VENDOR</t>
        </is>
      </c>
      <c r="W385" t="inlineStr">
        <is>
          <t>https://nvd.nist.gov/vuln/detail/CVE-2025-13732</t>
        </is>
      </c>
      <c r="X385" t="inlineStr">
        <is>
          <t>NONE</t>
        </is>
      </c>
      <c r="Y385" t="n">
        <v>0</v>
      </c>
      <c r="Z385" t="inlineStr"/>
      <c r="AA385" t="inlineStr">
        <is>
          <t>https://nvd.nist.gov/vuln/detail/CVE-2025-13732</t>
        </is>
      </c>
    </row>
    <row r="386">
      <c r="A386" t="inlineStr">
        <is>
          <t>CVE</t>
        </is>
      </c>
      <c r="B386" t="inlineStr">
        <is>
          <t>CVE-2025-13738</t>
        </is>
      </c>
      <c r="C386" t="inlineStr">
        <is>
          <t>The Easy Table of Contents plugin for WordPress is vulnerable to Stored Cross-Site Scripting via the plugin's `ez-toc` shortcode in all versions up to, and including, 2.0.78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386" t="n">
        <v>6.4</v>
      </c>
      <c r="E386" t="inlineStr">
        <is>
          <t>MEDIUM</t>
        </is>
      </c>
      <c r="F386" t="n">
        <v>2</v>
      </c>
      <c r="G386" t="n">
        <v>2</v>
      </c>
      <c r="H386" t="inlineStr">
        <is>
          <t>MEDIUM</t>
        </is>
      </c>
      <c r="I386" t="n">
        <v>10.4</v>
      </c>
      <c r="J386" t="inlineStr">
        <is>
          <t>NO</t>
        </is>
      </c>
      <c r="K386" t="inlineStr">
        <is>
          <t>2026-02-23 23:48</t>
        </is>
      </c>
      <c r="L386" t="inlineStr">
        <is>
          <t>CHECK_VENDOR</t>
        </is>
      </c>
      <c r="M386" t="inlineStr">
        <is>
          <t>See CVE details</t>
        </is>
      </c>
      <c r="N386" t="inlineStr">
        <is>
          <t>P4</t>
        </is>
      </c>
      <c r="O386" t="inlineStr">
        <is>
          <t>CVE - IP enrichment n/a</t>
        </is>
      </c>
      <c r="P386" t="n">
        <v>0</v>
      </c>
      <c r="Q386" t="n">
        <v>0</v>
      </c>
      <c r="R386" t="inlineStr">
        <is>
          <t>T1189:Drive-by Compromise</t>
        </is>
      </c>
      <c r="S386" t="n">
        <v>1</v>
      </c>
      <c r="T386" t="inlineStr">
        <is>
          <t>LOW (40%)</t>
        </is>
      </c>
      <c r="U386" t="inlineStr">
        <is>
          <t>UNLIKELY</t>
        </is>
      </c>
      <c r="V386" t="inlineStr">
        <is>
          <t>CHECK_VENDOR</t>
        </is>
      </c>
      <c r="W386" t="inlineStr">
        <is>
          <t>https://nvd.nist.gov/vuln/detail/CVE-2025-13738</t>
        </is>
      </c>
      <c r="X386" t="inlineStr">
        <is>
          <t>NONE</t>
        </is>
      </c>
      <c r="Y386" t="n">
        <v>0</v>
      </c>
      <c r="Z386" t="inlineStr"/>
      <c r="AA386" t="inlineStr">
        <is>
          <t>https://nvd.nist.gov/vuln/detail/CVE-2025-13738</t>
        </is>
      </c>
    </row>
    <row r="387">
      <c r="A387" t="inlineStr">
        <is>
          <t>CVE</t>
        </is>
      </c>
      <c r="B387" t="inlineStr">
        <is>
          <t>CVE-2025-13842</t>
        </is>
      </c>
      <c r="C387" t="inlineStr">
        <is>
          <t xml:space="preserve">The Breadcrumb NavXT plugin for WordPress is vulnerable to authorization bypass through user-controlled key in versions up to and including 7.5.0. This is due to the Gutenberg block renderer trusting the $_REQUEST['post_id'] parameter without verification in the includes/blocks/build/breadcrumb-trail/render.php file. This makes it possible for unauthenticated attackers to enumerate and view breadcrumb trails for draft or private posts by manipulating the post_id parameter, revealing post titles </t>
        </is>
      </c>
      <c r="D387" t="n">
        <v>5.3</v>
      </c>
      <c r="E387" t="inlineStr">
        <is>
          <t>MEDIUM</t>
        </is>
      </c>
      <c r="F387" t="n">
        <v>2</v>
      </c>
      <c r="G387" t="n">
        <v>2</v>
      </c>
      <c r="H387" t="inlineStr">
        <is>
          <t>MEDIUM</t>
        </is>
      </c>
      <c r="I387" t="n">
        <v>9.300000000000001</v>
      </c>
      <c r="J387" t="inlineStr">
        <is>
          <t>NO</t>
        </is>
      </c>
      <c r="K387" t="inlineStr">
        <is>
          <t>2026-02-23 23:48</t>
        </is>
      </c>
      <c r="L387" t="inlineStr">
        <is>
          <t>CHECK_VENDOR</t>
        </is>
      </c>
      <c r="M387" t="inlineStr">
        <is>
          <t>See CVE details</t>
        </is>
      </c>
      <c r="N387" t="inlineStr">
        <is>
          <t>P4</t>
        </is>
      </c>
      <c r="O387" t="inlineStr">
        <is>
          <t>CVE - IP enrichment n/a</t>
        </is>
      </c>
      <c r="P387" t="n">
        <v>0</v>
      </c>
      <c r="Q387" t="n">
        <v>0</v>
      </c>
      <c r="R387" t="inlineStr">
        <is>
          <t>T1190:Exploit Public-Facing Application</t>
        </is>
      </c>
      <c r="S387" t="n">
        <v>1</v>
      </c>
      <c r="T387" t="inlineStr">
        <is>
          <t>LOW (40%)</t>
        </is>
      </c>
      <c r="U387" t="inlineStr">
        <is>
          <t>UNLIKELY</t>
        </is>
      </c>
      <c r="V387" t="inlineStr">
        <is>
          <t>CHECK_VENDOR</t>
        </is>
      </c>
      <c r="W387" t="inlineStr">
        <is>
          <t>https://nvd.nist.gov/vuln/detail/CVE-2025-13842</t>
        </is>
      </c>
      <c r="X387" t="inlineStr">
        <is>
          <t>NONE</t>
        </is>
      </c>
      <c r="Y387" t="n">
        <v>0</v>
      </c>
      <c r="Z387" t="inlineStr"/>
      <c r="AA387" t="inlineStr">
        <is>
          <t>https://nvd.nist.gov/vuln/detail/CVE-2025-13842</t>
        </is>
      </c>
    </row>
    <row r="388">
      <c r="A388" t="inlineStr">
        <is>
          <t>CVE</t>
        </is>
      </c>
      <c r="B388" t="inlineStr">
        <is>
          <t>CVE-2025-13851</t>
        </is>
      </c>
      <c r="C388" t="inlineStr">
        <is>
          <t>The Buyent Classified plugin for WordPress (bundled with Buyent theme) is vulnerable to privilege escalation via user registration in all versions up to, and including, 1.0.7. This is due to the plugin not validating or restricting the user role during registration via the REST API endpoint. This makes it possible for unauthenticated attackers to register accounts with arbitrary roles, including administrator, by manipulating the _buyent_classified_user_type parameter during the registration pro</t>
        </is>
      </c>
      <c r="D388" t="n">
        <v>9.800000000000001</v>
      </c>
      <c r="E388" t="inlineStr">
        <is>
          <t>CRITICAL</t>
        </is>
      </c>
      <c r="F388" t="n">
        <v>2</v>
      </c>
      <c r="G388" t="n">
        <v>3</v>
      </c>
      <c r="H388" t="inlineStr">
        <is>
          <t>HIGH</t>
        </is>
      </c>
      <c r="I388" t="n">
        <v>15.8</v>
      </c>
      <c r="J388" t="inlineStr">
        <is>
          <t>NO</t>
        </is>
      </c>
      <c r="K388" t="inlineStr">
        <is>
          <t>2026-02-23 23:48</t>
        </is>
      </c>
      <c r="L388" t="inlineStr">
        <is>
          <t>CHECK_VENDOR</t>
        </is>
      </c>
      <c r="M388" t="inlineStr">
        <is>
          <t>See CVE details</t>
        </is>
      </c>
      <c r="N388" t="inlineStr">
        <is>
          <t>P3</t>
        </is>
      </c>
      <c r="O388" t="inlineStr">
        <is>
          <t>CVE - IP enrichment n/a</t>
        </is>
      </c>
      <c r="P388" t="n">
        <v>0</v>
      </c>
      <c r="Q388" t="n">
        <v>0</v>
      </c>
      <c r="R388" t="inlineStr">
        <is>
          <t>T1068:Exploitation for Privilege Escalation</t>
        </is>
      </c>
      <c r="S388" t="n">
        <v>1</v>
      </c>
      <c r="T388" t="inlineStr">
        <is>
          <t>LOW (40%)</t>
        </is>
      </c>
      <c r="U388" t="inlineStr">
        <is>
          <t>UNLIKELY</t>
        </is>
      </c>
      <c r="V388" t="inlineStr">
        <is>
          <t>CHECK_VENDOR</t>
        </is>
      </c>
      <c r="W388" t="inlineStr">
        <is>
          <t>https://nvd.nist.gov/vuln/detail/CVE-2025-13851</t>
        </is>
      </c>
      <c r="X388" t="inlineStr">
        <is>
          <t>NONE</t>
        </is>
      </c>
      <c r="Y388" t="n">
        <v>0</v>
      </c>
      <c r="Z388" t="inlineStr"/>
      <c r="AA388" t="inlineStr">
        <is>
          <t>https://nvd.nist.gov/vuln/detail/CVE-2025-13851</t>
        </is>
      </c>
    </row>
    <row r="389">
      <c r="A389" t="inlineStr">
        <is>
          <t>CVE</t>
        </is>
      </c>
      <c r="B389" t="inlineStr">
        <is>
          <t>CVE-2025-13864</t>
        </is>
      </c>
      <c r="C389" t="inlineStr">
        <is>
          <t>The Breeze - WordPress Cache Plugin plugin for WordPress is vulnerable to unauthorized cache clearing in all versions up to, and including, 2.2.21. This is due to the REST API endpoint `/wp-json/breeze/v1/clear-all-cache` being registered with `permission_callback =&gt; '__return_true'` and authentication being disabled by default when the API is enabled. This makes it possible for unauthenticated attackers to clear all site caches (page cache, Varnish, and Cloudflare) via a simple POST request, gr</t>
        </is>
      </c>
      <c r="D389" t="n">
        <v>5.3</v>
      </c>
      <c r="E389" t="inlineStr">
        <is>
          <t>MEDIUM</t>
        </is>
      </c>
      <c r="F389" t="n">
        <v>2</v>
      </c>
      <c r="G389" t="n">
        <v>2</v>
      </c>
      <c r="H389" t="inlineStr">
        <is>
          <t>MEDIUM</t>
        </is>
      </c>
      <c r="I389" t="n">
        <v>9.300000000000001</v>
      </c>
      <c r="J389" t="inlineStr">
        <is>
          <t>NO</t>
        </is>
      </c>
      <c r="K389" t="inlineStr">
        <is>
          <t>2026-02-23 23:48</t>
        </is>
      </c>
      <c r="L389" t="inlineStr">
        <is>
          <t>CHECK_VENDOR</t>
        </is>
      </c>
      <c r="M389" t="inlineStr">
        <is>
          <t>See CVE details</t>
        </is>
      </c>
      <c r="N389" t="inlineStr">
        <is>
          <t>P4</t>
        </is>
      </c>
      <c r="O389" t="inlineStr">
        <is>
          <t>CVE - IP enrichment n/a</t>
        </is>
      </c>
      <c r="P389" t="n">
        <v>0</v>
      </c>
      <c r="Q389" t="n">
        <v>0</v>
      </c>
      <c r="R389" t="inlineStr">
        <is>
          <t>T1190:Exploit Public-Facing Application</t>
        </is>
      </c>
      <c r="S389" t="n">
        <v>1</v>
      </c>
      <c r="T389" t="inlineStr">
        <is>
          <t>LOW (40%)</t>
        </is>
      </c>
      <c r="U389" t="inlineStr">
        <is>
          <t>UNLIKELY</t>
        </is>
      </c>
      <c r="V389" t="inlineStr">
        <is>
          <t>CHECK_VENDOR</t>
        </is>
      </c>
      <c r="W389" t="inlineStr">
        <is>
          <t>https://nvd.nist.gov/vuln/detail/CVE-2025-13864</t>
        </is>
      </c>
      <c r="X389" t="inlineStr">
        <is>
          <t>NONE</t>
        </is>
      </c>
      <c r="Y389" t="n">
        <v>0</v>
      </c>
      <c r="Z389" t="inlineStr"/>
      <c r="AA389" t="inlineStr">
        <is>
          <t>https://nvd.nist.gov/vuln/detail/CVE-2025-13864</t>
        </is>
      </c>
    </row>
    <row r="390">
      <c r="A390" t="inlineStr">
        <is>
          <t>CVE</t>
        </is>
      </c>
      <c r="B390" t="inlineStr">
        <is>
          <t>CVE-2025-13930</t>
        </is>
      </c>
      <c r="C390" t="inlineStr">
        <is>
          <t>The Checkout Field Manager (Checkout Manager) for WooCommerce plugin for WordPress is vulnerable to authorization bypass in versions up to, and including, 7.8.5. This is due to the plugin not properly verifying that a user is authorized to delete an attachment combined with flawed guest order ownership validation. This makes it possible for unauthenticated attackers to delete attachments associated with guest orders using only the publicly available wooccm_upload nonce and attachment ID.</t>
        </is>
      </c>
      <c r="D390" t="n">
        <v>5.3</v>
      </c>
      <c r="E390" t="inlineStr">
        <is>
          <t>MEDIUM</t>
        </is>
      </c>
      <c r="F390" t="n">
        <v>2</v>
      </c>
      <c r="G390" t="n">
        <v>2</v>
      </c>
      <c r="H390" t="inlineStr">
        <is>
          <t>MEDIUM</t>
        </is>
      </c>
      <c r="I390" t="n">
        <v>9.300000000000001</v>
      </c>
      <c r="J390" t="inlineStr">
        <is>
          <t>NO</t>
        </is>
      </c>
      <c r="K390" t="inlineStr">
        <is>
          <t>2026-02-23 23:48</t>
        </is>
      </c>
      <c r="L390" t="inlineStr">
        <is>
          <t>CHECK_VENDOR</t>
        </is>
      </c>
      <c r="M390" t="inlineStr">
        <is>
          <t>See CVE details</t>
        </is>
      </c>
      <c r="N390" t="inlineStr">
        <is>
          <t>P4</t>
        </is>
      </c>
      <c r="O390" t="inlineStr">
        <is>
          <t>CVE - IP enrichment n/a</t>
        </is>
      </c>
      <c r="P390" t="n">
        <v>0</v>
      </c>
      <c r="Q390" t="n">
        <v>0</v>
      </c>
      <c r="R390" t="inlineStr">
        <is>
          <t>T1190:Exploit Public-Facing Application</t>
        </is>
      </c>
      <c r="S390" t="n">
        <v>1</v>
      </c>
      <c r="T390" t="inlineStr">
        <is>
          <t>LOW (40%)</t>
        </is>
      </c>
      <c r="U390" t="inlineStr">
        <is>
          <t>UNLIKELY</t>
        </is>
      </c>
      <c r="V390" t="inlineStr">
        <is>
          <t>CHECK_VENDOR</t>
        </is>
      </c>
      <c r="W390" t="inlineStr">
        <is>
          <t>https://nvd.nist.gov/vuln/detail/CVE-2025-13930</t>
        </is>
      </c>
      <c r="X390" t="inlineStr">
        <is>
          <t>NONE</t>
        </is>
      </c>
      <c r="Y390" t="n">
        <v>0</v>
      </c>
      <c r="Z390" t="inlineStr"/>
      <c r="AA390" t="inlineStr">
        <is>
          <t>https://nvd.nist.gov/vuln/detail/CVE-2025-13930</t>
        </is>
      </c>
    </row>
    <row r="391">
      <c r="A391" t="inlineStr">
        <is>
          <t>CVE</t>
        </is>
      </c>
      <c r="B391" t="inlineStr">
        <is>
          <t>CVE-2025-14076</t>
        </is>
      </c>
      <c r="C391" t="inlineStr">
        <is>
          <t>The iXML – Google XML sitemap generator plugin for WordPress is vulnerable to Reflected Cross-Site Scripting via the 'iXML_email' parameter in all versions up to, and including, 0.6 due to insufficient input sanitization and output escaping. This makes it possible for unauthenticated attackers to inject arbitrary web scripts in pages that execute if they can successfully trick a user into performing an action such as clicking on a link.</t>
        </is>
      </c>
      <c r="D391" t="n">
        <v>6.1</v>
      </c>
      <c r="E391" t="inlineStr">
        <is>
          <t>MEDIUM</t>
        </is>
      </c>
      <c r="F391" t="n">
        <v>2</v>
      </c>
      <c r="G391" t="n">
        <v>2</v>
      </c>
      <c r="H391" t="inlineStr">
        <is>
          <t>MEDIUM</t>
        </is>
      </c>
      <c r="I391" t="n">
        <v>10.1</v>
      </c>
      <c r="J391" t="inlineStr">
        <is>
          <t>NO</t>
        </is>
      </c>
      <c r="K391" t="inlineStr">
        <is>
          <t>2026-02-23 23:48</t>
        </is>
      </c>
      <c r="L391" t="inlineStr">
        <is>
          <t>CHECK_VENDOR</t>
        </is>
      </c>
      <c r="M391" t="inlineStr">
        <is>
          <t>See CVE details</t>
        </is>
      </c>
      <c r="N391" t="inlineStr">
        <is>
          <t>P4</t>
        </is>
      </c>
      <c r="O391" t="inlineStr">
        <is>
          <t>CVE - IP enrichment n/a</t>
        </is>
      </c>
      <c r="P391" t="n">
        <v>0</v>
      </c>
      <c r="Q391" t="n">
        <v>0</v>
      </c>
      <c r="R391" t="inlineStr">
        <is>
          <t>T1189:Drive-by Compromise</t>
        </is>
      </c>
      <c r="S391" t="n">
        <v>1</v>
      </c>
      <c r="T391" t="inlineStr">
        <is>
          <t>LOW (40%)</t>
        </is>
      </c>
      <c r="U391" t="inlineStr">
        <is>
          <t>UNLIKELY</t>
        </is>
      </c>
      <c r="V391" t="inlineStr">
        <is>
          <t>CHECK_VENDOR</t>
        </is>
      </c>
      <c r="W391" t="inlineStr">
        <is>
          <t>https://nvd.nist.gov/vuln/detail/CVE-2025-14076</t>
        </is>
      </c>
      <c r="X391" t="inlineStr">
        <is>
          <t>NONE</t>
        </is>
      </c>
      <c r="Y391" t="n">
        <v>0</v>
      </c>
      <c r="Z391" t="inlineStr"/>
      <c r="AA391" t="inlineStr">
        <is>
          <t>https://nvd.nist.gov/vuln/detail/CVE-2025-14076</t>
        </is>
      </c>
    </row>
    <row r="392">
      <c r="A392" t="inlineStr">
        <is>
          <t>CVE</t>
        </is>
      </c>
      <c r="B392" t="inlineStr">
        <is>
          <t>CVE-2025-14167</t>
        </is>
      </c>
      <c r="C392" t="inlineStr">
        <is>
          <t>The Remove Post Type Slug plugin for WordPress is vulnerable to Cross-Site Request Forgery in all versions up to, and including, 1.0.2. This is due to incorrect nonce validation logic that uses OR (||) instead of AND (&amp;&amp;), causing the validation to fail when the nonce field is not empty OR when verification fails, rather than when it's empty AND verification fails. This makes it possible for unauthenticated attackers to modify the plugin's post type slug removal settings via a forged request gra</t>
        </is>
      </c>
      <c r="D392" t="n">
        <v>4.3</v>
      </c>
      <c r="E392" t="inlineStr">
        <is>
          <t>MEDIUM</t>
        </is>
      </c>
      <c r="F392" t="n">
        <v>2</v>
      </c>
      <c r="G392" t="n">
        <v>2</v>
      </c>
      <c r="H392" t="inlineStr">
        <is>
          <t>MEDIUM</t>
        </is>
      </c>
      <c r="I392" t="n">
        <v>8.300000000000001</v>
      </c>
      <c r="J392" t="inlineStr">
        <is>
          <t>NO</t>
        </is>
      </c>
      <c r="K392" t="inlineStr">
        <is>
          <t>2026-02-23 23:48</t>
        </is>
      </c>
      <c r="L392" t="inlineStr">
        <is>
          <t>CHECK_VENDOR</t>
        </is>
      </c>
      <c r="M392" t="inlineStr">
        <is>
          <t>See CVE details</t>
        </is>
      </c>
      <c r="N392" t="inlineStr">
        <is>
          <t>P4</t>
        </is>
      </c>
      <c r="O392" t="inlineStr">
        <is>
          <t>CVE - IP enrichment n/a</t>
        </is>
      </c>
      <c r="P392" t="n">
        <v>0</v>
      </c>
      <c r="Q392" t="n">
        <v>0</v>
      </c>
      <c r="R392" t="inlineStr">
        <is>
          <t>T1185:Browser Session Hijacking</t>
        </is>
      </c>
      <c r="S392" t="n">
        <v>1</v>
      </c>
      <c r="T392" t="inlineStr">
        <is>
          <t>LOW (40%)</t>
        </is>
      </c>
      <c r="U392" t="inlineStr">
        <is>
          <t>UNLIKELY</t>
        </is>
      </c>
      <c r="V392" t="inlineStr">
        <is>
          <t>CHECK_VENDOR</t>
        </is>
      </c>
      <c r="W392" t="inlineStr">
        <is>
          <t>https://nvd.nist.gov/vuln/detail/CVE-2025-14167</t>
        </is>
      </c>
      <c r="X392" t="inlineStr">
        <is>
          <t>NONE</t>
        </is>
      </c>
      <c r="Y392" t="n">
        <v>0</v>
      </c>
      <c r="Z392" t="inlineStr"/>
      <c r="AA392" t="inlineStr">
        <is>
          <t>https://nvd.nist.gov/vuln/detail/CVE-2025-14167</t>
        </is>
      </c>
    </row>
    <row r="393">
      <c r="A393" t="inlineStr">
        <is>
          <t>CVE</t>
        </is>
      </c>
      <c r="B393" t="inlineStr">
        <is>
          <t>CVE-2025-14270</t>
        </is>
      </c>
      <c r="C393" t="inlineStr">
        <is>
          <t>The OneClick Chat to Order plugin for WordPress is vulnerable to authorization bypass in versions up to, and including, 1.0.9. This is due to the plugin not properly verifying that a user is authorized to perform an action in the wa_order_number_save_number_field function. This makes it possible for authenticated attackers, with Editor-level access and above, to modify WhatsApp phone numbers used by the plugin, redirecting customer orders and messages to attacker-controlled phone numbers.</t>
        </is>
      </c>
      <c r="D393" t="n">
        <v>2.7</v>
      </c>
      <c r="E393" t="inlineStr">
        <is>
          <t>LOW</t>
        </is>
      </c>
      <c r="F393" t="n">
        <v>2</v>
      </c>
      <c r="G393" t="n">
        <v>1</v>
      </c>
      <c r="H393" t="inlineStr">
        <is>
          <t>LOW</t>
        </is>
      </c>
      <c r="I393" t="n">
        <v>4.7</v>
      </c>
      <c r="J393" t="inlineStr">
        <is>
          <t>NO</t>
        </is>
      </c>
      <c r="K393" t="inlineStr">
        <is>
          <t>2026-02-23 23:48</t>
        </is>
      </c>
      <c r="L393" t="inlineStr">
        <is>
          <t>CHECK_VENDOR</t>
        </is>
      </c>
      <c r="M393" t="inlineStr">
        <is>
          <t>See CVE details</t>
        </is>
      </c>
      <c r="N393" t="inlineStr">
        <is>
          <t>P4</t>
        </is>
      </c>
      <c r="O393" t="inlineStr">
        <is>
          <t>CVE - IP enrichment n/a</t>
        </is>
      </c>
      <c r="P393" t="n">
        <v>0.0003</v>
      </c>
      <c r="Q393" t="n">
        <v>0.0824</v>
      </c>
      <c r="R393" t="inlineStr">
        <is>
          <t>T1190:Exploit Public-Facing Application</t>
        </is>
      </c>
      <c r="S393" t="n">
        <v>1</v>
      </c>
      <c r="T393" t="inlineStr">
        <is>
          <t>LOW (40%)</t>
        </is>
      </c>
      <c r="U393" t="inlineStr">
        <is>
          <t>UNLIKELY</t>
        </is>
      </c>
      <c r="V393" t="inlineStr">
        <is>
          <t>CHECK_VENDOR</t>
        </is>
      </c>
      <c r="W393" t="inlineStr">
        <is>
          <t>https://nvd.nist.gov/vuln/detail/CVE-2025-14270</t>
        </is>
      </c>
      <c r="X393" t="inlineStr">
        <is>
          <t>NONE</t>
        </is>
      </c>
      <c r="Y393" t="n">
        <v>0</v>
      </c>
      <c r="Z393" t="inlineStr"/>
      <c r="AA393" t="inlineStr">
        <is>
          <t>https://nvd.nist.gov/vuln/detail/CVE-2025-14270</t>
        </is>
      </c>
    </row>
    <row r="394">
      <c r="A394" t="inlineStr">
        <is>
          <t>CVE</t>
        </is>
      </c>
      <c r="B394" t="inlineStr">
        <is>
          <t>CVE-2025-14294</t>
        </is>
      </c>
      <c r="C394" t="inlineStr">
        <is>
          <t>The Razorpay for WooCommerce plugin for WordPress is vulnerable to unauthorized modification of data due to a missing capability check on the getCouponList() function in all versions up to, and including, 4.7.8. This is due to the checkAuthCredentials() permission callback always returning true, providing no actual authentication. This makes it possible for unauthenticated attackers to modify the billing and shipping contact information (email and phone) of any WooCommerce order by knowing or gu</t>
        </is>
      </c>
      <c r="D394" t="n">
        <v>5.3</v>
      </c>
      <c r="E394" t="inlineStr">
        <is>
          <t>MEDIUM</t>
        </is>
      </c>
      <c r="F394" t="n">
        <v>2</v>
      </c>
      <c r="G394" t="n">
        <v>2</v>
      </c>
      <c r="H394" t="inlineStr">
        <is>
          <t>MEDIUM</t>
        </is>
      </c>
      <c r="I394" t="n">
        <v>9.300000000000001</v>
      </c>
      <c r="J394" t="inlineStr">
        <is>
          <t>NO</t>
        </is>
      </c>
      <c r="K394" t="inlineStr">
        <is>
          <t>2026-02-23 23:48</t>
        </is>
      </c>
      <c r="L394" t="inlineStr">
        <is>
          <t>CHECK_VENDOR</t>
        </is>
      </c>
      <c r="M394" t="inlineStr">
        <is>
          <t>See CVE details</t>
        </is>
      </c>
      <c r="N394" t="inlineStr">
        <is>
          <t>P4</t>
        </is>
      </c>
      <c r="O394" t="inlineStr">
        <is>
          <t>CVE - IP enrichment n/a</t>
        </is>
      </c>
      <c r="P394" t="n">
        <v>0</v>
      </c>
      <c r="Q394" t="n">
        <v>0</v>
      </c>
      <c r="R394" t="inlineStr">
        <is>
          <t>T1078:Valid Accounts | T1190:Exploit Public-Facing Application | T1552:Unsecured Credentials</t>
        </is>
      </c>
      <c r="S394" t="n">
        <v>1</v>
      </c>
      <c r="T394" t="inlineStr">
        <is>
          <t>LOW (40%)</t>
        </is>
      </c>
      <c r="U394" t="inlineStr">
        <is>
          <t>UNLIKELY</t>
        </is>
      </c>
      <c r="V394" t="inlineStr">
        <is>
          <t>CHECK_VENDOR</t>
        </is>
      </c>
      <c r="W394" t="inlineStr">
        <is>
          <t>https://nvd.nist.gov/vuln/detail/CVE-2025-14294</t>
        </is>
      </c>
      <c r="X394" t="inlineStr">
        <is>
          <t>NONE</t>
        </is>
      </c>
      <c r="Y394" t="n">
        <v>0</v>
      </c>
      <c r="Z394" t="inlineStr"/>
      <c r="AA394" t="inlineStr">
        <is>
          <t>https://nvd.nist.gov/vuln/detail/CVE-2025-14294</t>
        </is>
      </c>
    </row>
    <row r="395">
      <c r="A395" t="inlineStr">
        <is>
          <t>CVE</t>
        </is>
      </c>
      <c r="B395" t="inlineStr">
        <is>
          <t>CVE-2025-14342</t>
        </is>
      </c>
      <c r="C395" t="inlineStr">
        <is>
          <t>The SEO Plugin by Squirrly SEO plugin for WordPress is vulnerable to unauthorized modification of data due to a missing capability check on the sq_ajax_uninstall function in all versions up to, and including, 12.4.14. This makes it possible for authenticated attackers, with Subscriber-level access and above, to disconnect the site from Squirrly's cloud service.</t>
        </is>
      </c>
      <c r="D395" t="n">
        <v>4.3</v>
      </c>
      <c r="E395" t="inlineStr">
        <is>
          <t>MEDIUM</t>
        </is>
      </c>
      <c r="F395" t="n">
        <v>2</v>
      </c>
      <c r="G395" t="n">
        <v>2</v>
      </c>
      <c r="H395" t="inlineStr">
        <is>
          <t>MEDIUM</t>
        </is>
      </c>
      <c r="I395" t="n">
        <v>8.300000000000001</v>
      </c>
      <c r="J395" t="inlineStr">
        <is>
          <t>NO</t>
        </is>
      </c>
      <c r="K395" t="inlineStr">
        <is>
          <t>2026-02-23 23:48</t>
        </is>
      </c>
      <c r="L395" t="inlineStr">
        <is>
          <t>CHECK_VENDOR</t>
        </is>
      </c>
      <c r="M395" t="inlineStr">
        <is>
          <t>See CVE details</t>
        </is>
      </c>
      <c r="N395" t="inlineStr">
        <is>
          <t>P4</t>
        </is>
      </c>
      <c r="O395" t="inlineStr">
        <is>
          <t>CVE - IP enrichment n/a</t>
        </is>
      </c>
      <c r="P395" t="n">
        <v>0</v>
      </c>
      <c r="Q395" t="n">
        <v>0</v>
      </c>
      <c r="R395" t="inlineStr">
        <is>
          <t>T1190:Exploit Public-Facing Application</t>
        </is>
      </c>
      <c r="S395" t="n">
        <v>1</v>
      </c>
      <c r="T395" t="inlineStr">
        <is>
          <t>LOW (40%)</t>
        </is>
      </c>
      <c r="U395" t="inlineStr">
        <is>
          <t>UNLIKELY</t>
        </is>
      </c>
      <c r="V395" t="inlineStr">
        <is>
          <t>CHECK_VENDOR</t>
        </is>
      </c>
      <c r="W395" t="inlineStr">
        <is>
          <t>https://nvd.nist.gov/vuln/detail/CVE-2025-14342</t>
        </is>
      </c>
      <c r="X395" t="inlineStr">
        <is>
          <t>NONE</t>
        </is>
      </c>
      <c r="Y395" t="n">
        <v>0</v>
      </c>
      <c r="Z395" t="inlineStr"/>
      <c r="AA395" t="inlineStr">
        <is>
          <t>https://nvd.nist.gov/vuln/detail/CVE-2025-14342</t>
        </is>
      </c>
    </row>
    <row r="396">
      <c r="A396" t="inlineStr">
        <is>
          <t>CVE</t>
        </is>
      </c>
      <c r="B396" t="inlineStr">
        <is>
          <t>CVE-2025-14357</t>
        </is>
      </c>
      <c r="C396" t="inlineStr">
        <is>
          <t>The Mega Store Woocommerce theme for WordPress is vulnerable to unauthorized modification of data due to a missing capability check on the setup_widgets() function in core/includes/importer/whizzie.php in all versions up to, and including, 5.9. This makes it possible for authenticated attackers, with Subscriber-level access and above, to create arbitrary pages and modify site settings.</t>
        </is>
      </c>
      <c r="D396" t="n">
        <v>5.3</v>
      </c>
      <c r="E396" t="inlineStr">
        <is>
          <t>MEDIUM</t>
        </is>
      </c>
      <c r="F396" t="n">
        <v>2</v>
      </c>
      <c r="G396" t="n">
        <v>2</v>
      </c>
      <c r="H396" t="inlineStr">
        <is>
          <t>MEDIUM</t>
        </is>
      </c>
      <c r="I396" t="n">
        <v>9.300000000000001</v>
      </c>
      <c r="J396" t="inlineStr">
        <is>
          <t>NO</t>
        </is>
      </c>
      <c r="K396" t="inlineStr">
        <is>
          <t>2026-02-23 23:48</t>
        </is>
      </c>
      <c r="L396" t="inlineStr">
        <is>
          <t>CHECK_VENDOR</t>
        </is>
      </c>
      <c r="M396" t="inlineStr">
        <is>
          <t>See CVE details</t>
        </is>
      </c>
      <c r="N396" t="inlineStr">
        <is>
          <t>P4</t>
        </is>
      </c>
      <c r="O396" t="inlineStr">
        <is>
          <t>CVE - IP enrichment n/a</t>
        </is>
      </c>
      <c r="P396" t="n">
        <v>0</v>
      </c>
      <c r="Q396" t="n">
        <v>0</v>
      </c>
      <c r="R396" t="inlineStr">
        <is>
          <t>T1190:Exploit Public-Facing Application</t>
        </is>
      </c>
      <c r="S396" t="n">
        <v>1</v>
      </c>
      <c r="T396" t="inlineStr">
        <is>
          <t>LOW (40%)</t>
        </is>
      </c>
      <c r="U396" t="inlineStr">
        <is>
          <t>UNLIKELY</t>
        </is>
      </c>
      <c r="V396" t="inlineStr">
        <is>
          <t>CHECK_VENDOR</t>
        </is>
      </c>
      <c r="W396" t="inlineStr">
        <is>
          <t>https://nvd.nist.gov/vuln/detail/CVE-2025-14357</t>
        </is>
      </c>
      <c r="X396" t="inlineStr">
        <is>
          <t>NONE</t>
        </is>
      </c>
      <c r="Y396" t="n">
        <v>0</v>
      </c>
      <c r="Z396" t="inlineStr"/>
      <c r="AA396" t="inlineStr">
        <is>
          <t>https://nvd.nist.gov/vuln/detail/CVE-2025-14357</t>
        </is>
      </c>
    </row>
    <row r="397">
      <c r="A397" t="inlineStr">
        <is>
          <t>CVE</t>
        </is>
      </c>
      <c r="B397" t="inlineStr">
        <is>
          <t>CVE-2025-14427</t>
        </is>
      </c>
      <c r="C397" t="inlineStr">
        <is>
          <t>The Shield Security: Blocks Bots, Protects Users, and Prevents Security Breaches plugin for WordPress is vulnerable to unauthorized modification of data due to a missing capability check on the `MfaEmailDisable` action in all versions up to, and including, 21.0.9. This makes it possible for authenticated attackers, with Subscriber-level access and above, to disable the global Email 2FA setting for the entire site.</t>
        </is>
      </c>
      <c r="D397" t="n">
        <v>4.3</v>
      </c>
      <c r="E397" t="inlineStr">
        <is>
          <t>MEDIUM</t>
        </is>
      </c>
      <c r="F397" t="n">
        <v>2</v>
      </c>
      <c r="G397" t="n">
        <v>2</v>
      </c>
      <c r="H397" t="inlineStr">
        <is>
          <t>MEDIUM</t>
        </is>
      </c>
      <c r="I397" t="n">
        <v>8.300000000000001</v>
      </c>
      <c r="J397" t="inlineStr">
        <is>
          <t>NO</t>
        </is>
      </c>
      <c r="K397" t="inlineStr">
        <is>
          <t>2026-02-23 23:48</t>
        </is>
      </c>
      <c r="L397" t="inlineStr">
        <is>
          <t>CHECK_VENDOR</t>
        </is>
      </c>
      <c r="M397" t="inlineStr">
        <is>
          <t>See CVE details</t>
        </is>
      </c>
      <c r="N397" t="inlineStr">
        <is>
          <t>P4</t>
        </is>
      </c>
      <c r="O397" t="inlineStr">
        <is>
          <t>CVE - IP enrichment n/a</t>
        </is>
      </c>
      <c r="P397" t="n">
        <v>0</v>
      </c>
      <c r="Q397" t="n">
        <v>0</v>
      </c>
      <c r="R397" t="inlineStr">
        <is>
          <t>T1190:Exploit Public-Facing Application</t>
        </is>
      </c>
      <c r="S397" t="n">
        <v>1</v>
      </c>
      <c r="T397" t="inlineStr">
        <is>
          <t>LOW (40%)</t>
        </is>
      </c>
      <c r="U397" t="inlineStr">
        <is>
          <t>UNLIKELY</t>
        </is>
      </c>
      <c r="V397" t="inlineStr">
        <is>
          <t>CHECK_VENDOR</t>
        </is>
      </c>
      <c r="W397" t="inlineStr">
        <is>
          <t>https://nvd.nist.gov/vuln/detail/CVE-2025-14427</t>
        </is>
      </c>
      <c r="X397" t="inlineStr">
        <is>
          <t>NONE</t>
        </is>
      </c>
      <c r="Y397" t="n">
        <v>0</v>
      </c>
      <c r="Z397" t="inlineStr"/>
      <c r="AA397" t="inlineStr">
        <is>
          <t>https://nvd.nist.gov/vuln/detail/CVE-2025-14427</t>
        </is>
      </c>
    </row>
    <row r="398">
      <c r="A398" t="inlineStr">
        <is>
          <t>CVE</t>
        </is>
      </c>
      <c r="B398" t="inlineStr">
        <is>
          <t>CVE-2025-14445</t>
        </is>
      </c>
      <c r="C398" t="inlineStr">
        <is>
          <t>The Image Hotspot by DevVN plugin for WordPress is vulnerable to Stored Cross-Site Scripting via the 'hotspot_content' custom field meta in all versions up to, and including, 1.2.9 due to insufficient input sanitization and output escaping. This makes it possible for authenticated attackers, with author level access and above, to inject arbitrary web scripts in pages that will execute whenever a user accesses an injected page.</t>
        </is>
      </c>
      <c r="D398" t="n">
        <v>6.4</v>
      </c>
      <c r="E398" t="inlineStr">
        <is>
          <t>MEDIUM</t>
        </is>
      </c>
      <c r="F398" t="n">
        <v>2</v>
      </c>
      <c r="G398" t="n">
        <v>2</v>
      </c>
      <c r="H398" t="inlineStr">
        <is>
          <t>MEDIUM</t>
        </is>
      </c>
      <c r="I398" t="n">
        <v>10.4</v>
      </c>
      <c r="J398" t="inlineStr">
        <is>
          <t>NO</t>
        </is>
      </c>
      <c r="K398" t="inlineStr">
        <is>
          <t>2026-02-23 23:48</t>
        </is>
      </c>
      <c r="L398" t="inlineStr">
        <is>
          <t>CHECK_VENDOR</t>
        </is>
      </c>
      <c r="M398" t="inlineStr">
        <is>
          <t>See CVE details</t>
        </is>
      </c>
      <c r="N398" t="inlineStr">
        <is>
          <t>P4</t>
        </is>
      </c>
      <c r="O398" t="inlineStr">
        <is>
          <t>CVE - IP enrichment n/a</t>
        </is>
      </c>
      <c r="P398" t="n">
        <v>0</v>
      </c>
      <c r="Q398" t="n">
        <v>0</v>
      </c>
      <c r="R398" t="inlineStr">
        <is>
          <t>T1189:Drive-by Compromise</t>
        </is>
      </c>
      <c r="S398" t="n">
        <v>1</v>
      </c>
      <c r="T398" t="inlineStr">
        <is>
          <t>LOW (40%)</t>
        </is>
      </c>
      <c r="U398" t="inlineStr">
        <is>
          <t>UNLIKELY</t>
        </is>
      </c>
      <c r="V398" t="inlineStr">
        <is>
          <t>CHECK_VENDOR</t>
        </is>
      </c>
      <c r="W398" t="inlineStr">
        <is>
          <t>https://nvd.nist.gov/vuln/detail/CVE-2025-14445</t>
        </is>
      </c>
      <c r="X398" t="inlineStr">
        <is>
          <t>NONE</t>
        </is>
      </c>
      <c r="Y398" t="n">
        <v>0</v>
      </c>
      <c r="Z398" t="inlineStr"/>
      <c r="AA398" t="inlineStr">
        <is>
          <t>https://nvd.nist.gov/vuln/detail/CVE-2025-14445</t>
        </is>
      </c>
    </row>
    <row r="399">
      <c r="A399" t="inlineStr">
        <is>
          <t>CVE</t>
        </is>
      </c>
      <c r="B399" t="inlineStr">
        <is>
          <t>CVE-2025-14452</t>
        </is>
      </c>
      <c r="C399" t="inlineStr">
        <is>
          <t>The WP Customer Reviews plugin for WordPress is vulnerable to Reflected Cross-Site Scripting via the 'wpcr3_fname' parameter in all versions up to, and including, 3.7.5 due to insufficient input sanitization and output escaping. This makes it possible for unauthenticated attackers to inject arbitrary web scripts in pages that execute if they can successfully trick a user into performing an action such as clicking on a link.</t>
        </is>
      </c>
      <c r="D399" t="n">
        <v>7.2</v>
      </c>
      <c r="E399" t="inlineStr">
        <is>
          <t>HIGH</t>
        </is>
      </c>
      <c r="F399" t="n">
        <v>2</v>
      </c>
      <c r="G399" t="n">
        <v>3</v>
      </c>
      <c r="H399" t="inlineStr">
        <is>
          <t>HIGH</t>
        </is>
      </c>
      <c r="I399" t="n">
        <v>13.2</v>
      </c>
      <c r="J399" t="inlineStr">
        <is>
          <t>NO</t>
        </is>
      </c>
      <c r="K399" t="inlineStr">
        <is>
          <t>2026-02-23 23:48</t>
        </is>
      </c>
      <c r="L399" t="inlineStr">
        <is>
          <t>CHECK_VENDOR</t>
        </is>
      </c>
      <c r="M399" t="inlineStr">
        <is>
          <t>See CVE details</t>
        </is>
      </c>
      <c r="N399" t="inlineStr">
        <is>
          <t>P3</t>
        </is>
      </c>
      <c r="O399" t="inlineStr">
        <is>
          <t>CVE - IP enrichment n/a</t>
        </is>
      </c>
      <c r="P399" t="n">
        <v>0</v>
      </c>
      <c r="Q399" t="n">
        <v>0</v>
      </c>
      <c r="R399" t="inlineStr">
        <is>
          <t>T1189:Drive-by Compromise</t>
        </is>
      </c>
      <c r="S399" t="n">
        <v>1</v>
      </c>
      <c r="T399" t="inlineStr">
        <is>
          <t>LOW (40%)</t>
        </is>
      </c>
      <c r="U399" t="inlineStr">
        <is>
          <t>UNLIKELY</t>
        </is>
      </c>
      <c r="V399" t="inlineStr">
        <is>
          <t>CHECK_VENDOR</t>
        </is>
      </c>
      <c r="W399" t="inlineStr">
        <is>
          <t>https://nvd.nist.gov/vuln/detail/CVE-2025-14452</t>
        </is>
      </c>
      <c r="X399" t="inlineStr">
        <is>
          <t>NONE</t>
        </is>
      </c>
      <c r="Y399" t="n">
        <v>0</v>
      </c>
      <c r="Z399" t="inlineStr"/>
      <c r="AA399" t="inlineStr">
        <is>
          <t>https://nvd.nist.gov/vuln/detail/CVE-2025-14452</t>
        </is>
      </c>
    </row>
    <row r="400">
      <c r="A400" t="inlineStr">
        <is>
          <t>CVE</t>
        </is>
      </c>
      <c r="B400" t="inlineStr">
        <is>
          <t>CVE-2025-14851</t>
        </is>
      </c>
      <c r="C400" t="inlineStr">
        <is>
          <t>The YaMaps for WordPress plugin for WordPress is vulnerable to Stored Cross-Site Scripting via the `yamap` shortcode parameters in all versions up to, and including, 0.6.40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400" t="n">
        <v>6.4</v>
      </c>
      <c r="E400" t="inlineStr">
        <is>
          <t>MEDIUM</t>
        </is>
      </c>
      <c r="F400" t="n">
        <v>2</v>
      </c>
      <c r="G400" t="n">
        <v>2</v>
      </c>
      <c r="H400" t="inlineStr">
        <is>
          <t>MEDIUM</t>
        </is>
      </c>
      <c r="I400" t="n">
        <v>10.4</v>
      </c>
      <c r="J400" t="inlineStr">
        <is>
          <t>NO</t>
        </is>
      </c>
      <c r="K400" t="inlineStr">
        <is>
          <t>2026-02-23 23:48</t>
        </is>
      </c>
      <c r="L400" t="inlineStr">
        <is>
          <t>CHECK_VENDOR</t>
        </is>
      </c>
      <c r="M400" t="inlineStr">
        <is>
          <t>See CVE details</t>
        </is>
      </c>
      <c r="N400" t="inlineStr">
        <is>
          <t>P4</t>
        </is>
      </c>
      <c r="O400" t="inlineStr">
        <is>
          <t>CVE - IP enrichment n/a</t>
        </is>
      </c>
      <c r="P400" t="n">
        <v>0</v>
      </c>
      <c r="Q400" t="n">
        <v>0</v>
      </c>
      <c r="R400" t="inlineStr">
        <is>
          <t>T1189:Drive-by Compromise</t>
        </is>
      </c>
      <c r="S400" t="n">
        <v>1</v>
      </c>
      <c r="T400" t="inlineStr">
        <is>
          <t>LOW (40%)</t>
        </is>
      </c>
      <c r="U400" t="inlineStr">
        <is>
          <t>UNLIKELY</t>
        </is>
      </c>
      <c r="V400" t="inlineStr">
        <is>
          <t>CHECK_VENDOR</t>
        </is>
      </c>
      <c r="W400" t="inlineStr">
        <is>
          <t>https://nvd.nist.gov/vuln/detail/CVE-2025-14851</t>
        </is>
      </c>
      <c r="X400" t="inlineStr">
        <is>
          <t>NONE</t>
        </is>
      </c>
      <c r="Y400" t="n">
        <v>0</v>
      </c>
      <c r="Z400" t="inlineStr"/>
      <c r="AA400" t="inlineStr">
        <is>
          <t>https://nvd.nist.gov/vuln/detail/CVE-2025-14851</t>
        </is>
      </c>
    </row>
    <row r="401">
      <c r="A401" t="inlineStr">
        <is>
          <t>CVE</t>
        </is>
      </c>
      <c r="B401" t="inlineStr">
        <is>
          <t>CVE-2025-14864</t>
        </is>
      </c>
      <c r="C401" t="inlineStr">
        <is>
          <t>The Virusdie - One-click website security plugin for WordPress is vulnerable to Sensitive Information Exposure in all versions up to, and including, 1.1.7. This is due to missing capability checks on the `vd_get_apikey` function which is hooked to `wp_ajax_virusdie_apikey`. This makes it possible for authenticated attackers, with Subscriber-level access and above, to retrieve the site's Virusdie API key, which could be used to access the site owner's Virusdie account and potentially compromise s</t>
        </is>
      </c>
      <c r="D401" t="n">
        <v>4.3</v>
      </c>
      <c r="E401" t="inlineStr">
        <is>
          <t>MEDIUM</t>
        </is>
      </c>
      <c r="F401" t="n">
        <v>2</v>
      </c>
      <c r="G401" t="n">
        <v>2</v>
      </c>
      <c r="H401" t="inlineStr">
        <is>
          <t>MEDIUM</t>
        </is>
      </c>
      <c r="I401" t="n">
        <v>8.300000000000001</v>
      </c>
      <c r="J401" t="inlineStr">
        <is>
          <t>NO</t>
        </is>
      </c>
      <c r="K401" t="inlineStr">
        <is>
          <t>2026-02-23 23:48</t>
        </is>
      </c>
      <c r="L401" t="inlineStr">
        <is>
          <t>CHECK_VENDOR</t>
        </is>
      </c>
      <c r="M401" t="inlineStr">
        <is>
          <t>See CVE details</t>
        </is>
      </c>
      <c r="N401" t="inlineStr">
        <is>
          <t>P4</t>
        </is>
      </c>
      <c r="O401" t="inlineStr">
        <is>
          <t>CVE - IP enrichment n/a</t>
        </is>
      </c>
      <c r="P401" t="n">
        <v>0</v>
      </c>
      <c r="Q401" t="n">
        <v>0</v>
      </c>
      <c r="R401" t="inlineStr">
        <is>
          <t>T1190:Exploit Public-Facing Application</t>
        </is>
      </c>
      <c r="S401" t="n">
        <v>1</v>
      </c>
      <c r="T401" t="inlineStr">
        <is>
          <t>LOW (40%)</t>
        </is>
      </c>
      <c r="U401" t="inlineStr">
        <is>
          <t>UNLIKELY</t>
        </is>
      </c>
      <c r="V401" t="inlineStr">
        <is>
          <t>CHECK_VENDOR</t>
        </is>
      </c>
      <c r="W401" t="inlineStr">
        <is>
          <t>https://nvd.nist.gov/vuln/detail/CVE-2025-14864</t>
        </is>
      </c>
      <c r="X401" t="inlineStr">
        <is>
          <t>NONE</t>
        </is>
      </c>
      <c r="Y401" t="n">
        <v>0</v>
      </c>
      <c r="Z401" t="inlineStr"/>
      <c r="AA401" t="inlineStr">
        <is>
          <t>https://nvd.nist.gov/vuln/detail/CVE-2025-14864</t>
        </is>
      </c>
    </row>
    <row r="402">
      <c r="A402" t="inlineStr">
        <is>
          <t>CVE</t>
        </is>
      </c>
      <c r="B402" t="inlineStr">
        <is>
          <t>CVE-2025-14983</t>
        </is>
      </c>
      <c r="C402" t="inlineStr">
        <is>
          <t>The Advanced Custom Fields: Font Awesome Field plugin for WordPress is vulnerable to Cross-Site Scripting in all versions up to, and including, 5.0.1 due to insufficient input sanitization and output escaping. This makes it possible forauthenticated attackers, with Contributor-level access and above, to inject arbitrary web scripts that execute in a victim's browser.</t>
        </is>
      </c>
      <c r="D402" t="n">
        <v>6.4</v>
      </c>
      <c r="E402" t="inlineStr">
        <is>
          <t>MEDIUM</t>
        </is>
      </c>
      <c r="F402" t="n">
        <v>2</v>
      </c>
      <c r="G402" t="n">
        <v>2</v>
      </c>
      <c r="H402" t="inlineStr">
        <is>
          <t>MEDIUM</t>
        </is>
      </c>
      <c r="I402" t="n">
        <v>10.4</v>
      </c>
      <c r="J402" t="inlineStr">
        <is>
          <t>NO</t>
        </is>
      </c>
      <c r="K402" t="inlineStr">
        <is>
          <t>2026-02-23 23:48</t>
        </is>
      </c>
      <c r="L402" t="inlineStr">
        <is>
          <t>CHECK_VENDOR</t>
        </is>
      </c>
      <c r="M402" t="inlineStr">
        <is>
          <t>See CVE details</t>
        </is>
      </c>
      <c r="N402" t="inlineStr">
        <is>
          <t>P4</t>
        </is>
      </c>
      <c r="O402" t="inlineStr">
        <is>
          <t>CVE - IP enrichment n/a</t>
        </is>
      </c>
      <c r="P402" t="n">
        <v>0</v>
      </c>
      <c r="Q402" t="n">
        <v>0</v>
      </c>
      <c r="R402" t="inlineStr">
        <is>
          <t>T1189:Drive-by Compromise</t>
        </is>
      </c>
      <c r="S402" t="n">
        <v>1</v>
      </c>
      <c r="T402" t="inlineStr">
        <is>
          <t>LOW (40%)</t>
        </is>
      </c>
      <c r="U402" t="inlineStr">
        <is>
          <t>UNLIKELY</t>
        </is>
      </c>
      <c r="V402" t="inlineStr">
        <is>
          <t>CHECK_VENDOR</t>
        </is>
      </c>
      <c r="W402" t="inlineStr">
        <is>
          <t>https://nvd.nist.gov/vuln/detail/CVE-2025-14983</t>
        </is>
      </c>
      <c r="X402" t="inlineStr">
        <is>
          <t>NONE</t>
        </is>
      </c>
      <c r="Y402" t="n">
        <v>0</v>
      </c>
      <c r="Z402" t="inlineStr"/>
      <c r="AA402" t="inlineStr">
        <is>
          <t>https://nvd.nist.gov/vuln/detail/CVE-2025-14983</t>
        </is>
      </c>
    </row>
    <row r="403">
      <c r="A403" t="inlineStr">
        <is>
          <t>CVE</t>
        </is>
      </c>
      <c r="B403" t="inlineStr">
        <is>
          <t>CVE-2025-15041</t>
        </is>
      </c>
      <c r="C403" t="inlineStr">
        <is>
          <t>The BackWPup – WordPress Backup &amp; Restore Plugin plugin for WordPress is vulnerable to unauthorized modification of data that can lead to privilege escalation due to a missing capability check on the save_site_option() function in all versions up to, and including, 5.6.2. This makes it possible for authenticated attackers, with level access and above, to update arbitrary options on the WordPress site. This can be leveraged to update the default role for registration to administrator and enable u</t>
        </is>
      </c>
      <c r="D403" t="n">
        <v>7.2</v>
      </c>
      <c r="E403" t="inlineStr">
        <is>
          <t>HIGH</t>
        </is>
      </c>
      <c r="F403" t="n">
        <v>2</v>
      </c>
      <c r="G403" t="n">
        <v>3</v>
      </c>
      <c r="H403" t="inlineStr">
        <is>
          <t>HIGH</t>
        </is>
      </c>
      <c r="I403" t="n">
        <v>13.2</v>
      </c>
      <c r="J403" t="inlineStr">
        <is>
          <t>NO</t>
        </is>
      </c>
      <c r="K403" t="inlineStr">
        <is>
          <t>2026-02-23 23:48</t>
        </is>
      </c>
      <c r="L403" t="inlineStr">
        <is>
          <t>CHECK_VENDOR</t>
        </is>
      </c>
      <c r="M403" t="inlineStr">
        <is>
          <t>See CVE details</t>
        </is>
      </c>
      <c r="N403" t="inlineStr">
        <is>
          <t>P3</t>
        </is>
      </c>
      <c r="O403" t="inlineStr">
        <is>
          <t>CVE - IP enrichment n/a</t>
        </is>
      </c>
      <c r="P403" t="n">
        <v>0</v>
      </c>
      <c r="Q403" t="n">
        <v>0</v>
      </c>
      <c r="R403" t="inlineStr">
        <is>
          <t>T1068:Exploitation for Privilege Escalation</t>
        </is>
      </c>
      <c r="S403" t="n">
        <v>1</v>
      </c>
      <c r="T403" t="inlineStr">
        <is>
          <t>LOW (40%)</t>
        </is>
      </c>
      <c r="U403" t="inlineStr">
        <is>
          <t>UNLIKELY</t>
        </is>
      </c>
      <c r="V403" t="inlineStr">
        <is>
          <t>CHECK_VENDOR</t>
        </is>
      </c>
      <c r="W403" t="inlineStr">
        <is>
          <t>https://nvd.nist.gov/vuln/detail/CVE-2025-15041</t>
        </is>
      </c>
      <c r="X403" t="inlineStr">
        <is>
          <t>NONE</t>
        </is>
      </c>
      <c r="Y403" t="n">
        <v>0</v>
      </c>
      <c r="Z403" t="inlineStr"/>
      <c r="AA403" t="inlineStr">
        <is>
          <t>https://nvd.nist.gov/vuln/detail/CVE-2025-15041</t>
        </is>
      </c>
    </row>
    <row r="404">
      <c r="A404" t="inlineStr">
        <is>
          <t>CVE</t>
        </is>
      </c>
      <c r="B404" t="inlineStr">
        <is>
          <t>CVE-2025-15586</t>
        </is>
      </c>
      <c r="C404" t="inlineStr">
        <is>
          <t>OGP-Website installs prior git commit 52f865a4fba763594453068acf8fa9e3fc38d663 are affected by a type juggling flaw which if exploited can result in authentication bypass without knowledge of the victim account's password.</t>
        </is>
      </c>
      <c r="D404" t="n">
        <v>5</v>
      </c>
      <c r="E404" t="inlineStr">
        <is>
          <t>MEDIUM</t>
        </is>
      </c>
      <c r="F404" t="n">
        <v>2</v>
      </c>
      <c r="G404" t="n">
        <v>2</v>
      </c>
      <c r="H404" t="inlineStr">
        <is>
          <t>MEDIUM</t>
        </is>
      </c>
      <c r="I404" t="n">
        <v>9</v>
      </c>
      <c r="J404" t="inlineStr">
        <is>
          <t>NO</t>
        </is>
      </c>
      <c r="K404" t="inlineStr">
        <is>
          <t>2026-02-23 23:48</t>
        </is>
      </c>
      <c r="L404" t="inlineStr">
        <is>
          <t>CHECK_VENDOR</t>
        </is>
      </c>
      <c r="M404" t="inlineStr">
        <is>
          <t>See CVE details</t>
        </is>
      </c>
      <c r="N404" t="inlineStr">
        <is>
          <t>P4</t>
        </is>
      </c>
      <c r="O404" t="inlineStr">
        <is>
          <t>CVE - IP enrichment n/a</t>
        </is>
      </c>
      <c r="P404" t="n">
        <v>0.0008</v>
      </c>
      <c r="Q404" t="n">
        <v>0.2255</v>
      </c>
      <c r="R404" t="inlineStr">
        <is>
          <t>T1078:Valid Accounts | T1110:Brute Force</t>
        </is>
      </c>
      <c r="S404" t="n">
        <v>1</v>
      </c>
      <c r="T404" t="inlineStr">
        <is>
          <t>LOW (40%)</t>
        </is>
      </c>
      <c r="U404" t="inlineStr">
        <is>
          <t>UNLIKELY</t>
        </is>
      </c>
      <c r="V404" t="inlineStr">
        <is>
          <t>CHECK_VENDOR</t>
        </is>
      </c>
      <c r="W404" t="inlineStr">
        <is>
          <t>https://nvd.nist.gov/vuln/detail/CVE-2025-15586</t>
        </is>
      </c>
      <c r="X404" t="inlineStr">
        <is>
          <t>NONE</t>
        </is>
      </c>
      <c r="Y404" t="n">
        <v>0</v>
      </c>
      <c r="Z404" t="inlineStr"/>
      <c r="AA404" t="inlineStr">
        <is>
          <t>https://nvd.nist.gov/vuln/detail/CVE-2025-15586</t>
        </is>
      </c>
    </row>
    <row r="405">
      <c r="A405" t="inlineStr">
        <is>
          <t>CVE</t>
        </is>
      </c>
      <c r="B405" t="inlineStr">
        <is>
          <t>CVE-2025-4521</t>
        </is>
      </c>
      <c r="C405" t="inlineStr">
        <is>
          <t>The IDonate – Blood Donation, Request And Donor Management System plugin for WordPress is vulnerable to Privilege Escalation due to a missing capability check on the idonate_donor_profile() function in versions 2.1.5 to 2.1.9. This makes it possible for authenticated attackers, with Subscriber-level access and above, to hijack any account by reassigning its email address (via the donor_id they supply) and then triggering a password reset, ultimately granting themselves full administrator privile</t>
        </is>
      </c>
      <c r="D405" t="n">
        <v>8.800000000000001</v>
      </c>
      <c r="E405" t="inlineStr">
        <is>
          <t>HIGH</t>
        </is>
      </c>
      <c r="F405" t="n">
        <v>2</v>
      </c>
      <c r="G405" t="n">
        <v>3</v>
      </c>
      <c r="H405" t="inlineStr">
        <is>
          <t>HIGH</t>
        </is>
      </c>
      <c r="I405" t="n">
        <v>14.8</v>
      </c>
      <c r="J405" t="inlineStr">
        <is>
          <t>NO</t>
        </is>
      </c>
      <c r="K405" t="inlineStr">
        <is>
          <t>2026-02-23 23:48</t>
        </is>
      </c>
      <c r="L405" t="inlineStr">
        <is>
          <t>CHECK_VENDOR</t>
        </is>
      </c>
      <c r="M405" t="inlineStr">
        <is>
          <t>See CVE details</t>
        </is>
      </c>
      <c r="N405" t="inlineStr">
        <is>
          <t>P3</t>
        </is>
      </c>
      <c r="O405" t="inlineStr">
        <is>
          <t>CVE - IP enrichment n/a</t>
        </is>
      </c>
      <c r="P405" t="n">
        <v>0</v>
      </c>
      <c r="Q405" t="n">
        <v>0</v>
      </c>
      <c r="R405" t="inlineStr">
        <is>
          <t>T1068:Exploitation for Privilege Escalation</t>
        </is>
      </c>
      <c r="S405" t="n">
        <v>1</v>
      </c>
      <c r="T405" t="inlineStr">
        <is>
          <t>LOW (40%)</t>
        </is>
      </c>
      <c r="U405" t="inlineStr">
        <is>
          <t>UNLIKELY</t>
        </is>
      </c>
      <c r="V405" t="inlineStr">
        <is>
          <t>CHECK_VENDOR</t>
        </is>
      </c>
      <c r="W405" t="inlineStr">
        <is>
          <t>https://nvd.nist.gov/vuln/detail/CVE-2025-4521</t>
        </is>
      </c>
      <c r="X405" t="inlineStr">
        <is>
          <t>NONE</t>
        </is>
      </c>
      <c r="Y405" t="n">
        <v>0</v>
      </c>
      <c r="Z405" t="inlineStr"/>
      <c r="AA405" t="inlineStr">
        <is>
          <t>https://nvd.nist.gov/vuln/detail/CVE-2025-4521</t>
        </is>
      </c>
    </row>
    <row r="406">
      <c r="A406" t="inlineStr">
        <is>
          <t>CVE</t>
        </is>
      </c>
      <c r="B406" t="inlineStr">
        <is>
          <t>CVE-2025-4960</t>
        </is>
      </c>
      <c r="C406" t="inlineStr">
        <is>
          <t xml:space="preserve">The com.epson.InstallNavi.helper tool, deployed with the EPSON printer driver installer, contains a local privilege escalation vulnerability due to multiple flaws in its implementation. It fails to properly authenticate clients over the XPC protocol and does not correctly enforce macOS’s authorization model, exposing privileged functionality to untrusted users. Although it invokes the AuthorizationCopyRights API, it does so using overly permissive custom rights that it registers in the system’s </t>
        </is>
      </c>
      <c r="D406" t="n">
        <v>7.8</v>
      </c>
      <c r="E406" t="inlineStr">
        <is>
          <t>HIGH</t>
        </is>
      </c>
      <c r="F406" t="n">
        <v>2</v>
      </c>
      <c r="G406" t="n">
        <v>3</v>
      </c>
      <c r="H406" t="inlineStr">
        <is>
          <t>HIGH</t>
        </is>
      </c>
      <c r="I406" t="n">
        <v>13.8</v>
      </c>
      <c r="J406" t="inlineStr">
        <is>
          <t>NO</t>
        </is>
      </c>
      <c r="K406" t="inlineStr">
        <is>
          <t>2026-02-23 23:48</t>
        </is>
      </c>
      <c r="L406" t="inlineStr">
        <is>
          <t>CHECK_VENDOR</t>
        </is>
      </c>
      <c r="M406" t="inlineStr">
        <is>
          <t>See CVE details</t>
        </is>
      </c>
      <c r="N406" t="inlineStr">
        <is>
          <t>P3</t>
        </is>
      </c>
      <c r="O406" t="inlineStr">
        <is>
          <t>CVE - IP enrichment n/a</t>
        </is>
      </c>
      <c r="P406" t="n">
        <v>0</v>
      </c>
      <c r="Q406" t="n">
        <v>0</v>
      </c>
      <c r="R406" t="inlineStr">
        <is>
          <t>T1190:Exploit Public-Facing Application | T1068:Exploitation for Privilege Escalation | T1552:Unsecured Credentials</t>
        </is>
      </c>
      <c r="S406" t="n">
        <v>1</v>
      </c>
      <c r="T406" t="inlineStr">
        <is>
          <t>LOW (40%)</t>
        </is>
      </c>
      <c r="U406" t="inlineStr">
        <is>
          <t>UNLIKELY</t>
        </is>
      </c>
      <c r="V406" t="inlineStr">
        <is>
          <t>CHECK_VENDOR</t>
        </is>
      </c>
      <c r="W406" t="inlineStr">
        <is>
          <t>https://nvd.nist.gov/vuln/detail/CVE-2025-4960</t>
        </is>
      </c>
      <c r="X406" t="inlineStr">
        <is>
          <t>NONE</t>
        </is>
      </c>
      <c r="Y406" t="n">
        <v>0</v>
      </c>
      <c r="Z406" t="inlineStr"/>
      <c r="AA406" t="inlineStr">
        <is>
          <t>https://nvd.nist.gov/vuln/detail/CVE-2025-4960</t>
        </is>
      </c>
    </row>
    <row r="407">
      <c r="A407" t="inlineStr">
        <is>
          <t>CVE</t>
        </is>
      </c>
      <c r="B407" t="inlineStr">
        <is>
          <t>CVE-2026-0549</t>
        </is>
      </c>
      <c r="C407" t="inlineStr">
        <is>
          <t>The Groups plugin for WordPress is vulnerable to Stored Cross-Site Scripting via the plugin's 'groups_group_info' shortcode in all versions up to, and including, 3.10.0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407" t="n">
        <v>6.4</v>
      </c>
      <c r="E407" t="inlineStr">
        <is>
          <t>MEDIUM</t>
        </is>
      </c>
      <c r="F407" t="n">
        <v>2</v>
      </c>
      <c r="G407" t="n">
        <v>2</v>
      </c>
      <c r="H407" t="inlineStr">
        <is>
          <t>MEDIUM</t>
        </is>
      </c>
      <c r="I407" t="n">
        <v>10.4</v>
      </c>
      <c r="J407" t="inlineStr">
        <is>
          <t>NO</t>
        </is>
      </c>
      <c r="K407" t="inlineStr">
        <is>
          <t>2026-02-23 23:48</t>
        </is>
      </c>
      <c r="L407" t="inlineStr">
        <is>
          <t>CHECK_VENDOR</t>
        </is>
      </c>
      <c r="M407" t="inlineStr">
        <is>
          <t>See CVE details</t>
        </is>
      </c>
      <c r="N407" t="inlineStr">
        <is>
          <t>P4</t>
        </is>
      </c>
      <c r="O407" t="inlineStr">
        <is>
          <t>CVE - IP enrichment n/a</t>
        </is>
      </c>
      <c r="P407" t="n">
        <v>0</v>
      </c>
      <c r="Q407" t="n">
        <v>0</v>
      </c>
      <c r="R407" t="inlineStr">
        <is>
          <t>T1189:Drive-by Compromise</t>
        </is>
      </c>
      <c r="S407" t="n">
        <v>1</v>
      </c>
      <c r="T407" t="inlineStr">
        <is>
          <t>LOW (40%)</t>
        </is>
      </c>
      <c r="U407" t="inlineStr">
        <is>
          <t>UNLIKELY</t>
        </is>
      </c>
      <c r="V407" t="inlineStr">
        <is>
          <t>CHECK_VENDOR</t>
        </is>
      </c>
      <c r="W407" t="inlineStr">
        <is>
          <t>https://nvd.nist.gov/vuln/detail/CVE-2026-0549</t>
        </is>
      </c>
      <c r="X407" t="inlineStr">
        <is>
          <t>NONE</t>
        </is>
      </c>
      <c r="Y407" t="n">
        <v>0</v>
      </c>
      <c r="Z407" t="inlineStr"/>
      <c r="AA407" t="inlineStr">
        <is>
          <t>https://nvd.nist.gov/vuln/detail/CVE-2026-0549</t>
        </is>
      </c>
    </row>
    <row r="408">
      <c r="A408" t="inlineStr">
        <is>
          <t>CVE</t>
        </is>
      </c>
      <c r="B408" t="inlineStr">
        <is>
          <t>CVE-2026-0556</t>
        </is>
      </c>
      <c r="C408" t="inlineStr">
        <is>
          <t>The XO Event Calendar plugin for WordPress is vulnerable to Stored Cross-Site Scripting via the plugin's 'xo_event_field' shortcode in all versions up to, and including, 3.2.10 due to insufficient input sanitization and output escaping on user supplied attributes. This makes it possible for authenticated attackers, with contributor level access and above, to inject arbitrary web scripts in pages that will execute whenever a user accesses an injected page.</t>
        </is>
      </c>
      <c r="D408" t="n">
        <v>6.4</v>
      </c>
      <c r="E408" t="inlineStr">
        <is>
          <t>MEDIUM</t>
        </is>
      </c>
      <c r="F408" t="n">
        <v>2</v>
      </c>
      <c r="G408" t="n">
        <v>2</v>
      </c>
      <c r="H408" t="inlineStr">
        <is>
          <t>MEDIUM</t>
        </is>
      </c>
      <c r="I408" t="n">
        <v>10.4</v>
      </c>
      <c r="J408" t="inlineStr">
        <is>
          <t>NO</t>
        </is>
      </c>
      <c r="K408" t="inlineStr">
        <is>
          <t>2026-02-23 23:48</t>
        </is>
      </c>
      <c r="L408" t="inlineStr">
        <is>
          <t>CHECK_VENDOR</t>
        </is>
      </c>
      <c r="M408" t="inlineStr">
        <is>
          <t>See CVE details</t>
        </is>
      </c>
      <c r="N408" t="inlineStr">
        <is>
          <t>P4</t>
        </is>
      </c>
      <c r="O408" t="inlineStr">
        <is>
          <t>CVE - IP enrichment n/a</t>
        </is>
      </c>
      <c r="P408" t="n">
        <v>0</v>
      </c>
      <c r="Q408" t="n">
        <v>0</v>
      </c>
      <c r="R408" t="inlineStr">
        <is>
          <t>T1189:Drive-by Compromise</t>
        </is>
      </c>
      <c r="S408" t="n">
        <v>1</v>
      </c>
      <c r="T408" t="inlineStr">
        <is>
          <t>LOW (40%)</t>
        </is>
      </c>
      <c r="U408" t="inlineStr">
        <is>
          <t>UNLIKELY</t>
        </is>
      </c>
      <c r="V408" t="inlineStr">
        <is>
          <t>CHECK_VENDOR</t>
        </is>
      </c>
      <c r="W408" t="inlineStr">
        <is>
          <t>https://nvd.nist.gov/vuln/detail/CVE-2026-0556</t>
        </is>
      </c>
      <c r="X408" t="inlineStr">
        <is>
          <t>NONE</t>
        </is>
      </c>
      <c r="Y408" t="n">
        <v>0</v>
      </c>
      <c r="Z408" t="inlineStr"/>
      <c r="AA408" t="inlineStr">
        <is>
          <t>https://nvd.nist.gov/vuln/detail/CVE-2026-0556</t>
        </is>
      </c>
    </row>
    <row r="409">
      <c r="A409" t="inlineStr">
        <is>
          <t>CVE</t>
        </is>
      </c>
      <c r="B409" t="inlineStr">
        <is>
          <t>CVE-2026-0561</t>
        </is>
      </c>
      <c r="C409" t="inlineStr">
        <is>
          <t>The Shield Security plugin for WordPress is vulnerable to Reflected Cross-Site Scripting via the 'message' parameter in all versions up to, and including, 21.0.8 due to insufficient input sanitization and output escaping. This makes it possible for unauthenticated attackers to inject arbitrary web scripts in pages that execute if they can successfully trick a user into performing an action such as clicking on a link.</t>
        </is>
      </c>
      <c r="D409" t="n">
        <v>6.1</v>
      </c>
      <c r="E409" t="inlineStr">
        <is>
          <t>MEDIUM</t>
        </is>
      </c>
      <c r="F409" t="n">
        <v>2</v>
      </c>
      <c r="G409" t="n">
        <v>2</v>
      </c>
      <c r="H409" t="inlineStr">
        <is>
          <t>MEDIUM</t>
        </is>
      </c>
      <c r="I409" t="n">
        <v>10.1</v>
      </c>
      <c r="J409" t="inlineStr">
        <is>
          <t>NO</t>
        </is>
      </c>
      <c r="K409" t="inlineStr">
        <is>
          <t>2026-02-23 23:48</t>
        </is>
      </c>
      <c r="L409" t="inlineStr">
        <is>
          <t>CHECK_VENDOR</t>
        </is>
      </c>
      <c r="M409" t="inlineStr">
        <is>
          <t>See CVE details</t>
        </is>
      </c>
      <c r="N409" t="inlineStr">
        <is>
          <t>P4</t>
        </is>
      </c>
      <c r="O409" t="inlineStr">
        <is>
          <t>CVE - IP enrichment n/a</t>
        </is>
      </c>
      <c r="P409" t="n">
        <v>0</v>
      </c>
      <c r="Q409" t="n">
        <v>0</v>
      </c>
      <c r="R409" t="inlineStr">
        <is>
          <t>T1189:Drive-by Compromise</t>
        </is>
      </c>
      <c r="S409" t="n">
        <v>1</v>
      </c>
      <c r="T409" t="inlineStr">
        <is>
          <t>LOW (40%)</t>
        </is>
      </c>
      <c r="U409" t="inlineStr">
        <is>
          <t>UNLIKELY</t>
        </is>
      </c>
      <c r="V409" t="inlineStr">
        <is>
          <t>CHECK_VENDOR</t>
        </is>
      </c>
      <c r="W409" t="inlineStr">
        <is>
          <t>https://nvd.nist.gov/vuln/detail/CVE-2026-0561</t>
        </is>
      </c>
      <c r="X409" t="inlineStr">
        <is>
          <t>NONE</t>
        </is>
      </c>
      <c r="Y409" t="n">
        <v>0</v>
      </c>
      <c r="Z409" t="inlineStr"/>
      <c r="AA409" t="inlineStr">
        <is>
          <t>https://nvd.nist.gov/vuln/detail/CVE-2026-0561</t>
        </is>
      </c>
    </row>
    <row r="410">
      <c r="A410" t="inlineStr">
        <is>
          <t>CVE</t>
        </is>
      </c>
      <c r="B410" t="inlineStr">
        <is>
          <t>CVE-2026-0722</t>
        </is>
      </c>
      <c r="C410" t="inlineStr">
        <is>
          <t>The Shield Security plugin for WordPress is vulnerable to Cross-Site Request Forgery in all versions up to, and including, 21.0.8. This is due to the plugin allowing nonce verification to be bypassed via user-supplied parameter in the 'isNonceVerifyRequired' function. This makes it possible for unauthenticated attackers to execute SQL injection attacks, extracting sensitive information from the database, via a forged request granted they can trick a site administrator into performing an action s</t>
        </is>
      </c>
      <c r="D410" t="n">
        <v>6.5</v>
      </c>
      <c r="E410" t="inlineStr">
        <is>
          <t>MEDIUM</t>
        </is>
      </c>
      <c r="F410" t="n">
        <v>2</v>
      </c>
      <c r="G410" t="n">
        <v>2</v>
      </c>
      <c r="H410" t="inlineStr">
        <is>
          <t>MEDIUM</t>
        </is>
      </c>
      <c r="I410" t="n">
        <v>10.5</v>
      </c>
      <c r="J410" t="inlineStr">
        <is>
          <t>NO</t>
        </is>
      </c>
      <c r="K410" t="inlineStr">
        <is>
          <t>2026-02-23 23:48</t>
        </is>
      </c>
      <c r="L410" t="inlineStr">
        <is>
          <t>CHECK_VENDOR</t>
        </is>
      </c>
      <c r="M410" t="inlineStr">
        <is>
          <t>See CVE details</t>
        </is>
      </c>
      <c r="N410" t="inlineStr">
        <is>
          <t>P4</t>
        </is>
      </c>
      <c r="O410" t="inlineStr">
        <is>
          <t>CVE - IP enrichment n/a</t>
        </is>
      </c>
      <c r="P410" t="n">
        <v>0.0008</v>
      </c>
      <c r="Q410" t="n">
        <v>0.2344</v>
      </c>
      <c r="R410" t="inlineStr">
        <is>
          <t>T1190:Exploit Public-Facing Application</t>
        </is>
      </c>
      <c r="S410" t="n">
        <v>1</v>
      </c>
      <c r="T410" t="inlineStr">
        <is>
          <t>LOW (40%)</t>
        </is>
      </c>
      <c r="U410" t="inlineStr">
        <is>
          <t>UNLIKELY</t>
        </is>
      </c>
      <c r="V410" t="inlineStr">
        <is>
          <t>CHECK_VENDOR</t>
        </is>
      </c>
      <c r="W410" t="inlineStr">
        <is>
          <t>https://nvd.nist.gov/vuln/detail/CVE-2026-0722</t>
        </is>
      </c>
      <c r="X410" t="inlineStr">
        <is>
          <t>NONE</t>
        </is>
      </c>
      <c r="Y410" t="n">
        <v>0</v>
      </c>
      <c r="Z410" t="inlineStr"/>
      <c r="AA410" t="inlineStr">
        <is>
          <t>https://nvd.nist.gov/vuln/detail/CVE-2026-0722</t>
        </is>
      </c>
    </row>
    <row r="411">
      <c r="A411" t="inlineStr">
        <is>
          <t>CVE</t>
        </is>
      </c>
      <c r="B411" t="inlineStr">
        <is>
          <t>CVE-2026-0912</t>
        </is>
      </c>
      <c r="C411" t="inlineStr">
        <is>
          <t>The Toret Manager plugin for WordPress is vulnerable to unauthorized modification of data that can lead to privilege escalation due to a missing capability check on the 'trman_save_option' function and on the 'trman_save_option_items' in all versions up to, and including, 1.2.7. This makes it possible for authenticated attackers, with Subscriber-level access and above, to update arbitrary options on the WordPress site. This can be leveraged to update the default role for registration to administ</t>
        </is>
      </c>
      <c r="D411" t="n">
        <v>8.800000000000001</v>
      </c>
      <c r="E411" t="inlineStr">
        <is>
          <t>HIGH</t>
        </is>
      </c>
      <c r="F411" t="n">
        <v>2</v>
      </c>
      <c r="G411" t="n">
        <v>3</v>
      </c>
      <c r="H411" t="inlineStr">
        <is>
          <t>HIGH</t>
        </is>
      </c>
      <c r="I411" t="n">
        <v>14.8</v>
      </c>
      <c r="J411" t="inlineStr">
        <is>
          <t>NO</t>
        </is>
      </c>
      <c r="K411" t="inlineStr">
        <is>
          <t>2026-02-23 23:48</t>
        </is>
      </c>
      <c r="L411" t="inlineStr">
        <is>
          <t>CHECK_VENDOR</t>
        </is>
      </c>
      <c r="M411" t="inlineStr">
        <is>
          <t>See CVE details</t>
        </is>
      </c>
      <c r="N411" t="inlineStr">
        <is>
          <t>P3</t>
        </is>
      </c>
      <c r="O411" t="inlineStr">
        <is>
          <t>CVE - IP enrichment n/a</t>
        </is>
      </c>
      <c r="P411" t="n">
        <v>0</v>
      </c>
      <c r="Q411" t="n">
        <v>0</v>
      </c>
      <c r="R411" t="inlineStr">
        <is>
          <t>T1068:Exploitation for Privilege Escalation</t>
        </is>
      </c>
      <c r="S411" t="n">
        <v>1</v>
      </c>
      <c r="T411" t="inlineStr">
        <is>
          <t>LOW (40%)</t>
        </is>
      </c>
      <c r="U411" t="inlineStr">
        <is>
          <t>UNLIKELY</t>
        </is>
      </c>
      <c r="V411" t="inlineStr">
        <is>
          <t>CHECK_VENDOR</t>
        </is>
      </c>
      <c r="W411" t="inlineStr">
        <is>
          <t>https://nvd.nist.gov/vuln/detail/CVE-2026-0912</t>
        </is>
      </c>
      <c r="X411" t="inlineStr">
        <is>
          <t>NONE</t>
        </is>
      </c>
      <c r="Y411" t="n">
        <v>0</v>
      </c>
      <c r="Z411" t="inlineStr"/>
      <c r="AA411" t="inlineStr">
        <is>
          <t>https://nvd.nist.gov/vuln/detail/CVE-2026-0912</t>
        </is>
      </c>
    </row>
    <row r="412">
      <c r="A412" t="inlineStr">
        <is>
          <t>CVE</t>
        </is>
      </c>
      <c r="B412" t="inlineStr">
        <is>
          <t>CVE-2026-0926</t>
        </is>
      </c>
      <c r="C412" t="inlineStr">
        <is>
          <t xml:space="preserve">The Prodigy Commerce plugin for WordPress is vulnerable to Local File Inclusion in all versions up to, and including, 3.2.9 via the 'parameters[template_name]' parameter. This makes it possible for unauthenticated attackers to include and read arbitrary files or execute arbitrary files on the server, allowing the execution of any PHP code in those files. This can be used to bypass access controls, obtain sensitive data, or achieve code execution in cases where images and other “safe” file types </t>
        </is>
      </c>
      <c r="D412" t="n">
        <v>9.800000000000001</v>
      </c>
      <c r="E412" t="inlineStr">
        <is>
          <t>CRITICAL</t>
        </is>
      </c>
      <c r="F412" t="n">
        <v>2</v>
      </c>
      <c r="G412" t="n">
        <v>3</v>
      </c>
      <c r="H412" t="inlineStr">
        <is>
          <t>HIGH</t>
        </is>
      </c>
      <c r="I412" t="n">
        <v>15.8</v>
      </c>
      <c r="J412" t="inlineStr">
        <is>
          <t>NO</t>
        </is>
      </c>
      <c r="K412" t="inlineStr">
        <is>
          <t>2026-02-23 23:48</t>
        </is>
      </c>
      <c r="L412" t="inlineStr">
        <is>
          <t>CHECK_VENDOR</t>
        </is>
      </c>
      <c r="M412" t="inlineStr">
        <is>
          <t>See CVE details</t>
        </is>
      </c>
      <c r="N412" t="inlineStr">
        <is>
          <t>P3</t>
        </is>
      </c>
      <c r="O412" t="inlineStr">
        <is>
          <t>CVE - IP enrichment n/a</t>
        </is>
      </c>
      <c r="P412" t="n">
        <v>0</v>
      </c>
      <c r="Q412" t="n">
        <v>0</v>
      </c>
      <c r="R412" t="inlineStr">
        <is>
          <t>T1190:Exploit Public-Facing Application</t>
        </is>
      </c>
      <c r="S412" t="n">
        <v>1</v>
      </c>
      <c r="T412" t="inlineStr">
        <is>
          <t>LOW (40%)</t>
        </is>
      </c>
      <c r="U412" t="inlineStr">
        <is>
          <t>UNLIKELY</t>
        </is>
      </c>
      <c r="V412" t="inlineStr">
        <is>
          <t>CHECK_VENDOR</t>
        </is>
      </c>
      <c r="W412" t="inlineStr">
        <is>
          <t>https://nvd.nist.gov/vuln/detail/CVE-2026-0926</t>
        </is>
      </c>
      <c r="X412" t="inlineStr">
        <is>
          <t>NONE</t>
        </is>
      </c>
      <c r="Y412" t="n">
        <v>0</v>
      </c>
      <c r="Z412" t="inlineStr"/>
      <c r="AA412" t="inlineStr">
        <is>
          <t>https://nvd.nist.gov/vuln/detail/CVE-2026-0926</t>
        </is>
      </c>
    </row>
    <row r="413">
      <c r="A413" t="inlineStr">
        <is>
          <t>CVE</t>
        </is>
      </c>
      <c r="B413" t="inlineStr">
        <is>
          <t>CVE-2026-0974</t>
        </is>
      </c>
      <c r="C413" t="inlineStr">
        <is>
          <t>The Orderable – WordPress Restaurant Online Ordering System and Food Ordering Plugin plugin for WordPress is vulnerable to unauthorized plugin installation due to a missing capability check on the 'install_plugin' function in all versions up to, and including, 1.20.0. This makes it possible for authenticated attackers, with Subscriber-level access and above, to install arbitrary plugins, which can lead to Remote Code Execution.</t>
        </is>
      </c>
      <c r="D413" t="n">
        <v>8.800000000000001</v>
      </c>
      <c r="E413" t="inlineStr">
        <is>
          <t>HIGH</t>
        </is>
      </c>
      <c r="F413" t="n">
        <v>2</v>
      </c>
      <c r="G413" t="n">
        <v>3</v>
      </c>
      <c r="H413" t="inlineStr">
        <is>
          <t>HIGH</t>
        </is>
      </c>
      <c r="I413" t="n">
        <v>14.8</v>
      </c>
      <c r="J413" t="inlineStr">
        <is>
          <t>NO</t>
        </is>
      </c>
      <c r="K413" t="inlineStr">
        <is>
          <t>2026-02-23 23:48</t>
        </is>
      </c>
      <c r="L413" t="inlineStr">
        <is>
          <t>CHECK_VENDOR</t>
        </is>
      </c>
      <c r="M413" t="inlineStr">
        <is>
          <t>See CVE details</t>
        </is>
      </c>
      <c r="N413" t="inlineStr">
        <is>
          <t>P3</t>
        </is>
      </c>
      <c r="O413" t="inlineStr">
        <is>
          <t>CVE - IP enrichment n/a</t>
        </is>
      </c>
      <c r="P413" t="n">
        <v>0</v>
      </c>
      <c r="Q413" t="n">
        <v>0</v>
      </c>
      <c r="R413" t="inlineStr">
        <is>
          <t>T1190:Exploit Public-Facing Application | T1210:Exploitation of Remote Services</t>
        </is>
      </c>
      <c r="S413" t="n">
        <v>1</v>
      </c>
      <c r="T413" t="inlineStr">
        <is>
          <t>LOW (40%)</t>
        </is>
      </c>
      <c r="U413" t="inlineStr">
        <is>
          <t>UNLIKELY</t>
        </is>
      </c>
      <c r="V413" t="inlineStr">
        <is>
          <t>CHECK_VENDOR</t>
        </is>
      </c>
      <c r="W413" t="inlineStr">
        <is>
          <t>https://nvd.nist.gov/vuln/detail/CVE-2026-0974</t>
        </is>
      </c>
      <c r="X413" t="inlineStr">
        <is>
          <t>NONE</t>
        </is>
      </c>
      <c r="Y413" t="n">
        <v>0</v>
      </c>
      <c r="Z413" t="inlineStr"/>
      <c r="AA413" t="inlineStr">
        <is>
          <t>https://nvd.nist.gov/vuln/detail/CVE-2026-0974</t>
        </is>
      </c>
    </row>
    <row r="414">
      <c r="A414" t="inlineStr">
        <is>
          <t>CVE</t>
        </is>
      </c>
      <c r="B414" t="inlineStr">
        <is>
          <t>CVE-2026-1043</t>
        </is>
      </c>
      <c r="C414" t="inlineStr">
        <is>
          <t>The PostmarkApp Email Integrator plugin for WordPress is vulnerable to Stored Cross-Site Scripting via the plugin settings in versions up to, and including, 2.4. This is due to insufficient input sanitization and output escaping on the pma_api_key and pma_sender_address parameters. This makes it possible for authenticated attackers, with Administrator-level access and above, to inject arbitrary web scripts in pages that will execute whenever a user accesses the settings page.</t>
        </is>
      </c>
      <c r="D414" t="n">
        <v>4.4</v>
      </c>
      <c r="E414" t="inlineStr">
        <is>
          <t>MEDIUM</t>
        </is>
      </c>
      <c r="F414" t="n">
        <v>2</v>
      </c>
      <c r="G414" t="n">
        <v>2</v>
      </c>
      <c r="H414" t="inlineStr">
        <is>
          <t>MEDIUM</t>
        </is>
      </c>
      <c r="I414" t="n">
        <v>8.4</v>
      </c>
      <c r="J414" t="inlineStr">
        <is>
          <t>NO</t>
        </is>
      </c>
      <c r="K414" t="inlineStr">
        <is>
          <t>2026-02-23 23:48</t>
        </is>
      </c>
      <c r="L414" t="inlineStr">
        <is>
          <t>CHECK_VENDOR</t>
        </is>
      </c>
      <c r="M414" t="inlineStr">
        <is>
          <t>See CVE details</t>
        </is>
      </c>
      <c r="N414" t="inlineStr">
        <is>
          <t>P4</t>
        </is>
      </c>
      <c r="O414" t="inlineStr">
        <is>
          <t>CVE - IP enrichment n/a</t>
        </is>
      </c>
      <c r="P414" t="n">
        <v>0</v>
      </c>
      <c r="Q414" t="n">
        <v>0</v>
      </c>
      <c r="R414" t="inlineStr">
        <is>
          <t>T1189:Drive-by Compromise</t>
        </is>
      </c>
      <c r="S414" t="n">
        <v>1</v>
      </c>
      <c r="T414" t="inlineStr">
        <is>
          <t>LOW (40%)</t>
        </is>
      </c>
      <c r="U414" t="inlineStr">
        <is>
          <t>UNLIKELY</t>
        </is>
      </c>
      <c r="V414" t="inlineStr">
        <is>
          <t>CHECK_VENDOR</t>
        </is>
      </c>
      <c r="W414" t="inlineStr">
        <is>
          <t>https://nvd.nist.gov/vuln/detail/CVE-2026-1043</t>
        </is>
      </c>
      <c r="X414" t="inlineStr">
        <is>
          <t>NONE</t>
        </is>
      </c>
      <c r="Y414" t="n">
        <v>0</v>
      </c>
      <c r="Z414" t="inlineStr"/>
      <c r="AA414" t="inlineStr">
        <is>
          <t>https://nvd.nist.gov/vuln/detail/CVE-2026-1043</t>
        </is>
      </c>
    </row>
    <row r="415">
      <c r="A415" t="inlineStr">
        <is>
          <t>CVE</t>
        </is>
      </c>
      <c r="B415" t="inlineStr">
        <is>
          <t>CVE-2026-1044</t>
        </is>
      </c>
      <c r="C415" t="inlineStr">
        <is>
          <t xml:space="preserve">The Tennis Court Bookings plugin for WordPress is vulnerable to Stored Cross-Site Scripting via admin settings in all versions up to, and including, 1.2.7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t>
        </is>
      </c>
      <c r="D415" t="n">
        <v>4.4</v>
      </c>
      <c r="E415" t="inlineStr">
        <is>
          <t>MEDIUM</t>
        </is>
      </c>
      <c r="F415" t="n">
        <v>2</v>
      </c>
      <c r="G415" t="n">
        <v>2</v>
      </c>
      <c r="H415" t="inlineStr">
        <is>
          <t>MEDIUM</t>
        </is>
      </c>
      <c r="I415" t="n">
        <v>8.4</v>
      </c>
      <c r="J415" t="inlineStr">
        <is>
          <t>NO</t>
        </is>
      </c>
      <c r="K415" t="inlineStr">
        <is>
          <t>2026-02-23 23:48</t>
        </is>
      </c>
      <c r="L415" t="inlineStr">
        <is>
          <t>CHECK_VENDOR</t>
        </is>
      </c>
      <c r="M415" t="inlineStr">
        <is>
          <t>See CVE details</t>
        </is>
      </c>
      <c r="N415" t="inlineStr">
        <is>
          <t>P4</t>
        </is>
      </c>
      <c r="O415" t="inlineStr">
        <is>
          <t>CVE - IP enrichment n/a</t>
        </is>
      </c>
      <c r="P415" t="n">
        <v>0</v>
      </c>
      <c r="Q415" t="n">
        <v>0</v>
      </c>
      <c r="R415" t="inlineStr">
        <is>
          <t>T1189:Drive-by Compromise</t>
        </is>
      </c>
      <c r="S415" t="n">
        <v>1</v>
      </c>
      <c r="T415" t="inlineStr">
        <is>
          <t>LOW (40%)</t>
        </is>
      </c>
      <c r="U415" t="inlineStr">
        <is>
          <t>UNLIKELY</t>
        </is>
      </c>
      <c r="V415" t="inlineStr">
        <is>
          <t>CHECK_VENDOR</t>
        </is>
      </c>
      <c r="W415" t="inlineStr">
        <is>
          <t>https://nvd.nist.gov/vuln/detail/CVE-2026-1044</t>
        </is>
      </c>
      <c r="X415" t="inlineStr">
        <is>
          <t>NONE</t>
        </is>
      </c>
      <c r="Y415" t="n">
        <v>0</v>
      </c>
      <c r="Z415" t="inlineStr"/>
      <c r="AA415" t="inlineStr">
        <is>
          <t>https://nvd.nist.gov/vuln/detail/CVE-2026-1044</t>
        </is>
      </c>
    </row>
    <row r="416">
      <c r="A416" t="inlineStr">
        <is>
          <t>CVE</t>
        </is>
      </c>
      <c r="B416" t="inlineStr">
        <is>
          <t>CVE-2026-1047</t>
        </is>
      </c>
      <c r="C416" t="inlineStr">
        <is>
          <t>The salavat counter Plugin plugin for WordPress is vulnerable to Stored Cross-Site Scripting via the 'image_url' parameter in all versions up to, and including, 0.9.5 due to insufficient input sanitization and output escaping. This makes it possible for authenticated attackers, with administrator-level access and above, to inject arbitrary web scripts in pages that will execute whenever a user accesses an injected page.</t>
        </is>
      </c>
      <c r="D416" t="n">
        <v>4.4</v>
      </c>
      <c r="E416" t="inlineStr">
        <is>
          <t>MEDIUM</t>
        </is>
      </c>
      <c r="F416" t="n">
        <v>2</v>
      </c>
      <c r="G416" t="n">
        <v>2</v>
      </c>
      <c r="H416" t="inlineStr">
        <is>
          <t>MEDIUM</t>
        </is>
      </c>
      <c r="I416" t="n">
        <v>8.4</v>
      </c>
      <c r="J416" t="inlineStr">
        <is>
          <t>NO</t>
        </is>
      </c>
      <c r="K416" t="inlineStr">
        <is>
          <t>2026-02-23 23:48</t>
        </is>
      </c>
      <c r="L416" t="inlineStr">
        <is>
          <t>CHECK_VENDOR</t>
        </is>
      </c>
      <c r="M416" t="inlineStr">
        <is>
          <t>See CVE details</t>
        </is>
      </c>
      <c r="N416" t="inlineStr">
        <is>
          <t>P4</t>
        </is>
      </c>
      <c r="O416" t="inlineStr">
        <is>
          <t>CVE - IP enrichment n/a</t>
        </is>
      </c>
      <c r="P416" t="n">
        <v>0</v>
      </c>
      <c r="Q416" t="n">
        <v>0</v>
      </c>
      <c r="R416" t="inlineStr">
        <is>
          <t>T1189:Drive-by Compromise</t>
        </is>
      </c>
      <c r="S416" t="n">
        <v>1</v>
      </c>
      <c r="T416" t="inlineStr">
        <is>
          <t>LOW (40%)</t>
        </is>
      </c>
      <c r="U416" t="inlineStr">
        <is>
          <t>UNLIKELY</t>
        </is>
      </c>
      <c r="V416" t="inlineStr">
        <is>
          <t>CHECK_VENDOR</t>
        </is>
      </c>
      <c r="W416" t="inlineStr">
        <is>
          <t>https://nvd.nist.gov/vuln/detail/CVE-2026-1047</t>
        </is>
      </c>
      <c r="X416" t="inlineStr">
        <is>
          <t>NONE</t>
        </is>
      </c>
      <c r="Y416" t="n">
        <v>0</v>
      </c>
      <c r="Z416" t="inlineStr"/>
      <c r="AA416" t="inlineStr">
        <is>
          <t>https://nvd.nist.gov/vuln/detail/CVE-2026-1047</t>
        </is>
      </c>
    </row>
    <row r="417">
      <c r="A417" t="inlineStr">
        <is>
          <t>CVE</t>
        </is>
      </c>
      <c r="B417" t="inlineStr">
        <is>
          <t>CVE-2026-1055</t>
        </is>
      </c>
      <c r="C417" t="inlineStr">
        <is>
          <t>The TalkJS plugin for WordPress is vulnerable to Stored Cross-Site Scripting via admin settings in all versions up to, and including, 0.1.15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t>
        </is>
      </c>
      <c r="D417" t="n">
        <v>4.4</v>
      </c>
      <c r="E417" t="inlineStr">
        <is>
          <t>MEDIUM</t>
        </is>
      </c>
      <c r="F417" t="n">
        <v>2</v>
      </c>
      <c r="G417" t="n">
        <v>2</v>
      </c>
      <c r="H417" t="inlineStr">
        <is>
          <t>MEDIUM</t>
        </is>
      </c>
      <c r="I417" t="n">
        <v>8.4</v>
      </c>
      <c r="J417" t="inlineStr">
        <is>
          <t>NO</t>
        </is>
      </c>
      <c r="K417" t="inlineStr">
        <is>
          <t>2026-02-23 23:48</t>
        </is>
      </c>
      <c r="L417" t="inlineStr">
        <is>
          <t>CHECK_VENDOR</t>
        </is>
      </c>
      <c r="M417" t="inlineStr">
        <is>
          <t>See CVE details</t>
        </is>
      </c>
      <c r="N417" t="inlineStr">
        <is>
          <t>P4</t>
        </is>
      </c>
      <c r="O417" t="inlineStr">
        <is>
          <t>CVE - IP enrichment n/a</t>
        </is>
      </c>
      <c r="P417" t="n">
        <v>0</v>
      </c>
      <c r="Q417" t="n">
        <v>0</v>
      </c>
      <c r="R417" t="inlineStr">
        <is>
          <t>T1189:Drive-by Compromise</t>
        </is>
      </c>
      <c r="S417" t="n">
        <v>1</v>
      </c>
      <c r="T417" t="inlineStr">
        <is>
          <t>LOW (40%)</t>
        </is>
      </c>
      <c r="U417" t="inlineStr">
        <is>
          <t>UNLIKELY</t>
        </is>
      </c>
      <c r="V417" t="inlineStr">
        <is>
          <t>CHECK_VENDOR</t>
        </is>
      </c>
      <c r="W417" t="inlineStr">
        <is>
          <t>https://nvd.nist.gov/vuln/detail/CVE-2026-1055</t>
        </is>
      </c>
      <c r="X417" t="inlineStr">
        <is>
          <t>NONE</t>
        </is>
      </c>
      <c r="Y417" t="n">
        <v>0</v>
      </c>
      <c r="Z417" t="inlineStr"/>
      <c r="AA417" t="inlineStr">
        <is>
          <t>https://nvd.nist.gov/vuln/detail/CVE-2026-1055</t>
        </is>
      </c>
    </row>
    <row r="418">
      <c r="A418" t="inlineStr">
        <is>
          <t>CVE</t>
        </is>
      </c>
      <c r="B418" t="inlineStr">
        <is>
          <t>CVE-2026-1373</t>
        </is>
      </c>
      <c r="C418" t="inlineStr">
        <is>
          <t>The Easy Author Image plugin for WordPress is vulnerable to Stored Cross-Site Scripting via the 'author_profile_picture_url' parameter in all versions up to, and including, 1.7 due to insufficient input sanitization and output escaping. This makes it possible for authenticated attackers, with Subscriber-level access and above, to inject arbitrary web scripts in pages that will execute whenever a user accesses an injected page.</t>
        </is>
      </c>
      <c r="D418" t="n">
        <v>6.4</v>
      </c>
      <c r="E418" t="inlineStr">
        <is>
          <t>MEDIUM</t>
        </is>
      </c>
      <c r="F418" t="n">
        <v>2</v>
      </c>
      <c r="G418" t="n">
        <v>2</v>
      </c>
      <c r="H418" t="inlineStr">
        <is>
          <t>MEDIUM</t>
        </is>
      </c>
      <c r="I418" t="n">
        <v>10.4</v>
      </c>
      <c r="J418" t="inlineStr">
        <is>
          <t>NO</t>
        </is>
      </c>
      <c r="K418" t="inlineStr">
        <is>
          <t>2026-02-23 23:48</t>
        </is>
      </c>
      <c r="L418" t="inlineStr">
        <is>
          <t>CHECK_VENDOR</t>
        </is>
      </c>
      <c r="M418" t="inlineStr">
        <is>
          <t>See CVE details</t>
        </is>
      </c>
      <c r="N418" t="inlineStr">
        <is>
          <t>P4</t>
        </is>
      </c>
      <c r="O418" t="inlineStr">
        <is>
          <t>CVE - IP enrichment n/a</t>
        </is>
      </c>
      <c r="P418" t="n">
        <v>0</v>
      </c>
      <c r="Q418" t="n">
        <v>0</v>
      </c>
      <c r="R418" t="inlineStr">
        <is>
          <t>T1189:Drive-by Compromise</t>
        </is>
      </c>
      <c r="S418" t="n">
        <v>1</v>
      </c>
      <c r="T418" t="inlineStr">
        <is>
          <t>LOW (40%)</t>
        </is>
      </c>
      <c r="U418" t="inlineStr">
        <is>
          <t>UNLIKELY</t>
        </is>
      </c>
      <c r="V418" t="inlineStr">
        <is>
          <t>CHECK_VENDOR</t>
        </is>
      </c>
      <c r="W418" t="inlineStr">
        <is>
          <t>https://nvd.nist.gov/vuln/detail/CVE-2026-1373</t>
        </is>
      </c>
      <c r="X418" t="inlineStr">
        <is>
          <t>NONE</t>
        </is>
      </c>
      <c r="Y418" t="n">
        <v>0</v>
      </c>
      <c r="Z418" t="inlineStr"/>
      <c r="AA418" t="inlineStr">
        <is>
          <t>https://nvd.nist.gov/vuln/detail/CVE-2026-1373</t>
        </is>
      </c>
    </row>
    <row r="419">
      <c r="A419" t="inlineStr">
        <is>
          <t>CVE</t>
        </is>
      </c>
      <c r="B419" t="inlineStr">
        <is>
          <t>CVE-2026-1405</t>
        </is>
      </c>
      <c r="C419" t="inlineStr">
        <is>
          <t>The Slider Future plugin for WordPress is vulnerable to arbitrary file uploads due to missing file type validation in the 'slider_future_handle_image_upload' function in all versions up to, and including, 1.0.5. This makes it possible for unauthenticated attackers to upload arbitrary files on the affected site's server which may make remote code execution possible.</t>
        </is>
      </c>
      <c r="D419" t="n">
        <v>9.800000000000001</v>
      </c>
      <c r="E419" t="inlineStr">
        <is>
          <t>CRITICAL</t>
        </is>
      </c>
      <c r="F419" t="n">
        <v>2</v>
      </c>
      <c r="G419" t="n">
        <v>3</v>
      </c>
      <c r="H419" t="inlineStr">
        <is>
          <t>HIGH</t>
        </is>
      </c>
      <c r="I419" t="n">
        <v>15.8</v>
      </c>
      <c r="J419" t="inlineStr">
        <is>
          <t>NO</t>
        </is>
      </c>
      <c r="K419" t="inlineStr">
        <is>
          <t>2026-02-23 23:48</t>
        </is>
      </c>
      <c r="L419" t="inlineStr">
        <is>
          <t>CHECK_VENDOR</t>
        </is>
      </c>
      <c r="M419" t="inlineStr">
        <is>
          <t>See CVE details</t>
        </is>
      </c>
      <c r="N419" t="inlineStr">
        <is>
          <t>P3</t>
        </is>
      </c>
      <c r="O419" t="inlineStr">
        <is>
          <t>CVE - IP enrichment n/a</t>
        </is>
      </c>
      <c r="P419" t="n">
        <v>0</v>
      </c>
      <c r="Q419" t="n">
        <v>0</v>
      </c>
      <c r="R419" t="inlineStr">
        <is>
          <t>T1190:Exploit Public-Facing Application | T1210:Exploitation of Remote Services</t>
        </is>
      </c>
      <c r="S419" t="n">
        <v>1</v>
      </c>
      <c r="T419" t="inlineStr">
        <is>
          <t>LOW (40%)</t>
        </is>
      </c>
      <c r="U419" t="inlineStr">
        <is>
          <t>UNLIKELY</t>
        </is>
      </c>
      <c r="V419" t="inlineStr">
        <is>
          <t>CHECK_VENDOR</t>
        </is>
      </c>
      <c r="W419" t="inlineStr">
        <is>
          <t>https://nvd.nist.gov/vuln/detail/CVE-2026-1405</t>
        </is>
      </c>
      <c r="X419" t="inlineStr">
        <is>
          <t>NONE</t>
        </is>
      </c>
      <c r="Y419" t="n">
        <v>0</v>
      </c>
      <c r="Z419" t="inlineStr"/>
      <c r="AA419" t="inlineStr">
        <is>
          <t>https://nvd.nist.gov/vuln/detail/CVE-2026-1405</t>
        </is>
      </c>
    </row>
    <row r="420">
      <c r="A420" t="inlineStr">
        <is>
          <t>CVE</t>
        </is>
      </c>
      <c r="B420" t="inlineStr">
        <is>
          <t>CVE-2026-1455</t>
        </is>
      </c>
      <c r="C420" t="inlineStr">
        <is>
          <t>The Whatsiplus Scheduled Notification for Woocommerce plugin for WordPress is vulnerable to Cross-Site Request Forgery in all versions up to, and including, 1.0.1. This is due to missing nonce validation on the 'wsnfw_save_users_settings' AJAX action. This makes it possible for unauthenticated attackers to modify plugin configuration settings via a forged request granted they can trick a site administrator into performing an action such as clicking on a link.</t>
        </is>
      </c>
      <c r="D420" t="n">
        <v>4.3</v>
      </c>
      <c r="E420" t="inlineStr">
        <is>
          <t>MEDIUM</t>
        </is>
      </c>
      <c r="F420" t="n">
        <v>2</v>
      </c>
      <c r="G420" t="n">
        <v>2</v>
      </c>
      <c r="H420" t="inlineStr">
        <is>
          <t>MEDIUM</t>
        </is>
      </c>
      <c r="I420" t="n">
        <v>8.300000000000001</v>
      </c>
      <c r="J420" t="inlineStr">
        <is>
          <t>NO</t>
        </is>
      </c>
      <c r="K420" t="inlineStr">
        <is>
          <t>2026-02-23 23:48</t>
        </is>
      </c>
      <c r="L420" t="inlineStr">
        <is>
          <t>CHECK_VENDOR</t>
        </is>
      </c>
      <c r="M420" t="inlineStr">
        <is>
          <t>See CVE details</t>
        </is>
      </c>
      <c r="N420" t="inlineStr">
        <is>
          <t>P4</t>
        </is>
      </c>
      <c r="O420" t="inlineStr">
        <is>
          <t>CVE - IP enrichment n/a</t>
        </is>
      </c>
      <c r="P420" t="n">
        <v>0</v>
      </c>
      <c r="Q420" t="n">
        <v>0</v>
      </c>
      <c r="R420" t="inlineStr">
        <is>
          <t>T1185:Browser Session Hijacking | T1190:Exploit Public-Facing Application</t>
        </is>
      </c>
      <c r="S420" t="n">
        <v>1</v>
      </c>
      <c r="T420" t="inlineStr">
        <is>
          <t>LOW (40%)</t>
        </is>
      </c>
      <c r="U420" t="inlineStr">
        <is>
          <t>UNLIKELY</t>
        </is>
      </c>
      <c r="V420" t="inlineStr">
        <is>
          <t>CHECK_VENDOR</t>
        </is>
      </c>
      <c r="W420" t="inlineStr">
        <is>
          <t>https://nvd.nist.gov/vuln/detail/CVE-2026-1455</t>
        </is>
      </c>
      <c r="X420" t="inlineStr">
        <is>
          <t>NONE</t>
        </is>
      </c>
      <c r="Y420" t="n">
        <v>0</v>
      </c>
      <c r="Z420" t="inlineStr"/>
      <c r="AA420" t="inlineStr">
        <is>
          <t>https://nvd.nist.gov/vuln/detail/CVE-2026-1455</t>
        </is>
      </c>
    </row>
    <row r="421">
      <c r="A421" t="inlineStr">
        <is>
          <t>CVE</t>
        </is>
      </c>
      <c r="B421" t="inlineStr">
        <is>
          <t>CVE-2026-1646</t>
        </is>
      </c>
      <c r="C421" t="inlineStr">
        <is>
          <t>The Advance Block Extend plugin for WordPress is vulnerable to Stored Cross-Site Scripting via the TitleColor block attribute in the Latest Posts Gutenberg block in all versions up to, and including, 1.0.4 due to insufficient input sanitization and output escaping. This makes it possible for authenticated attackers, with Contributor-level access and above, to inject arbitrary web scripts in pages that will execute whenever a user accesses an injected page.</t>
        </is>
      </c>
      <c r="D421" t="n">
        <v>6.4</v>
      </c>
      <c r="E421" t="inlineStr">
        <is>
          <t>MEDIUM</t>
        </is>
      </c>
      <c r="F421" t="n">
        <v>2</v>
      </c>
      <c r="G421" t="n">
        <v>2</v>
      </c>
      <c r="H421" t="inlineStr">
        <is>
          <t>MEDIUM</t>
        </is>
      </c>
      <c r="I421" t="n">
        <v>10.4</v>
      </c>
      <c r="J421" t="inlineStr">
        <is>
          <t>NO</t>
        </is>
      </c>
      <c r="K421" t="inlineStr">
        <is>
          <t>2026-02-23 23:48</t>
        </is>
      </c>
      <c r="L421" t="inlineStr">
        <is>
          <t>CHECK_VENDOR</t>
        </is>
      </c>
      <c r="M421" t="inlineStr">
        <is>
          <t>See CVE details</t>
        </is>
      </c>
      <c r="N421" t="inlineStr">
        <is>
          <t>P4</t>
        </is>
      </c>
      <c r="O421" t="inlineStr">
        <is>
          <t>CVE - IP enrichment n/a</t>
        </is>
      </c>
      <c r="P421" t="n">
        <v>0</v>
      </c>
      <c r="Q421" t="n">
        <v>0</v>
      </c>
      <c r="R421" t="inlineStr">
        <is>
          <t>T1189:Drive-by Compromise</t>
        </is>
      </c>
      <c r="S421" t="n">
        <v>1</v>
      </c>
      <c r="T421" t="inlineStr">
        <is>
          <t>LOW (40%)</t>
        </is>
      </c>
      <c r="U421" t="inlineStr">
        <is>
          <t>UNLIKELY</t>
        </is>
      </c>
      <c r="V421" t="inlineStr">
        <is>
          <t>CHECK_VENDOR</t>
        </is>
      </c>
      <c r="W421" t="inlineStr">
        <is>
          <t>https://nvd.nist.gov/vuln/detail/CVE-2026-1646</t>
        </is>
      </c>
      <c r="X421" t="inlineStr">
        <is>
          <t>NONE</t>
        </is>
      </c>
      <c r="Y421" t="n">
        <v>0</v>
      </c>
      <c r="Z421" t="inlineStr"/>
      <c r="AA421" t="inlineStr">
        <is>
          <t>https://nvd.nist.gov/vuln/detail/CVE-2026-1646</t>
        </is>
      </c>
    </row>
    <row r="422">
      <c r="A422" t="inlineStr">
        <is>
          <t>CVE</t>
        </is>
      </c>
      <c r="B422" t="inlineStr">
        <is>
          <t>CVE-2026-1994</t>
        </is>
      </c>
      <c r="C422" t="inlineStr">
        <is>
          <t>The s2Member plugin for WordPress is vulnerable to privilege escalation via account takeover in all versions up to, and including, 260127. This is due to the plugin not properly validating a user's identity prior to updating their password. This makes it possible for unauthenticated attackers to change arbitrary user's passwords, including administrators, and leverage that to gain access to their account.</t>
        </is>
      </c>
      <c r="D422" t="n">
        <v>9.800000000000001</v>
      </c>
      <c r="E422" t="inlineStr">
        <is>
          <t>CRITICAL</t>
        </is>
      </c>
      <c r="F422" t="n">
        <v>2</v>
      </c>
      <c r="G422" t="n">
        <v>3</v>
      </c>
      <c r="H422" t="inlineStr">
        <is>
          <t>HIGH</t>
        </is>
      </c>
      <c r="I422" t="n">
        <v>15.8</v>
      </c>
      <c r="J422" t="inlineStr">
        <is>
          <t>NO</t>
        </is>
      </c>
      <c r="K422" t="inlineStr">
        <is>
          <t>2026-02-23 23:48</t>
        </is>
      </c>
      <c r="L422" t="inlineStr">
        <is>
          <t>CHECK_VENDOR</t>
        </is>
      </c>
      <c r="M422" t="inlineStr">
        <is>
          <t>See CVE details</t>
        </is>
      </c>
      <c r="N422" t="inlineStr">
        <is>
          <t>P3</t>
        </is>
      </c>
      <c r="O422" t="inlineStr">
        <is>
          <t>CVE - IP enrichment n/a</t>
        </is>
      </c>
      <c r="P422" t="n">
        <v>0.0005</v>
      </c>
      <c r="Q422" t="n">
        <v>0.1624</v>
      </c>
      <c r="R422" t="inlineStr">
        <is>
          <t>T1068:Exploitation for Privilege Escalation</t>
        </is>
      </c>
      <c r="S422" t="n">
        <v>1</v>
      </c>
      <c r="T422" t="inlineStr">
        <is>
          <t>LOW (40%)</t>
        </is>
      </c>
      <c r="U422" t="inlineStr">
        <is>
          <t>UNLIKELY</t>
        </is>
      </c>
      <c r="V422" t="inlineStr">
        <is>
          <t>CHECK_VENDOR</t>
        </is>
      </c>
      <c r="W422" t="inlineStr">
        <is>
          <t>https://nvd.nist.gov/vuln/detail/CVE-2026-1994</t>
        </is>
      </c>
      <c r="X422" t="inlineStr">
        <is>
          <t>NONE</t>
        </is>
      </c>
      <c r="Y422" t="n">
        <v>0</v>
      </c>
      <c r="Z422" t="inlineStr"/>
      <c r="AA422" t="inlineStr">
        <is>
          <t>https://nvd.nist.gov/vuln/detail/CVE-2026-1994</t>
        </is>
      </c>
    </row>
    <row r="423">
      <c r="A423" t="inlineStr">
        <is>
          <t>CVE</t>
        </is>
      </c>
      <c r="B423" t="inlineStr">
        <is>
          <t>CVE-2026-24764</t>
        </is>
      </c>
      <c r="C423" t="inlineStr">
        <is>
          <t>OpenClaw (formerly Clawdbot) is a personal AI assistant users run on their own devices. In versions 2026.2.2 and below, when the Slack integration is enabled, channel metadata (topic/description) can be incorporated into the model's system prompt. Prompt injection is a documented risk for LLM-driven systems. This issue increases the injection surface by allowing untrusted Slack channel metadata to be treated as higher-trust system input. This issue has been fixed in version 2026.2.3.</t>
        </is>
      </c>
      <c r="D423" t="n">
        <v>3.7</v>
      </c>
      <c r="E423" t="inlineStr">
        <is>
          <t>LOW</t>
        </is>
      </c>
      <c r="F423" t="n">
        <v>2</v>
      </c>
      <c r="G423" t="n">
        <v>1</v>
      </c>
      <c r="H423" t="inlineStr">
        <is>
          <t>LOW</t>
        </is>
      </c>
      <c r="I423" t="n">
        <v>5.7</v>
      </c>
      <c r="J423" t="inlineStr">
        <is>
          <t>NO</t>
        </is>
      </c>
      <c r="K423" t="inlineStr">
        <is>
          <t>2026-02-23 23:48</t>
        </is>
      </c>
      <c r="L423" t="inlineStr">
        <is>
          <t>YES</t>
        </is>
      </c>
      <c r="M423" t="inlineStr">
        <is>
          <t>openclaw openclaw *</t>
        </is>
      </c>
      <c r="N423" t="inlineStr">
        <is>
          <t>P4</t>
        </is>
      </c>
      <c r="O423" t="inlineStr">
        <is>
          <t>CVE - IP enrichment n/a</t>
        </is>
      </c>
      <c r="P423" t="n">
        <v>0</v>
      </c>
      <c r="Q423" t="n">
        <v>0</v>
      </c>
      <c r="R423" t="inlineStr">
        <is>
          <t>T1190:Exploit Public-Facing Application</t>
        </is>
      </c>
      <c r="S423" t="n">
        <v>1</v>
      </c>
      <c r="T423" t="inlineStr">
        <is>
          <t>LOW (40%)</t>
        </is>
      </c>
      <c r="U423" t="inlineStr">
        <is>
          <t>UNLIKELY</t>
        </is>
      </c>
      <c r="V423" t="inlineStr">
        <is>
          <t>PATCH_AVAILABLE</t>
        </is>
      </c>
      <c r="W423" t="inlineStr">
        <is>
          <t>https://nvd.nist.gov/vuln/detail/CVE-2026-24764</t>
        </is>
      </c>
      <c r="X423" t="inlineStr">
        <is>
          <t>NONE</t>
        </is>
      </c>
      <c r="Y423" t="n">
        <v>0</v>
      </c>
      <c r="Z423" t="inlineStr"/>
      <c r="AA423" t="inlineStr">
        <is>
          <t>https://nvd.nist.gov/vuln/detail/CVE-2026-24764</t>
        </is>
      </c>
    </row>
    <row r="424">
      <c r="A424" t="inlineStr">
        <is>
          <t>CVE</t>
        </is>
      </c>
      <c r="B424" t="inlineStr">
        <is>
          <t>CVE-2026-25120</t>
        </is>
      </c>
      <c r="C424" t="inlineStr">
        <is>
          <t>Gogs is an open source self-hosted Git service. In versions 0.13.4 and below, the DeleteComment API does not verify that the comment belongs to the repository specified in the URL. This allows a repository administrator to delete comments from any other repository by supplying arbitrary comment IDs, bypassing authorization controls. The DeleteComment function retrieves a comment by ID without verifying repository ownership and the Database function DeleteCommentByID performs no repository valida</t>
        </is>
      </c>
      <c r="D424" t="n">
        <v>2.7</v>
      </c>
      <c r="E424" t="inlineStr">
        <is>
          <t>LOW</t>
        </is>
      </c>
      <c r="F424" t="n">
        <v>2</v>
      </c>
      <c r="G424" t="n">
        <v>1</v>
      </c>
      <c r="H424" t="inlineStr">
        <is>
          <t>LOW</t>
        </is>
      </c>
      <c r="I424" t="n">
        <v>4.7</v>
      </c>
      <c r="J424" t="inlineStr">
        <is>
          <t>NO</t>
        </is>
      </c>
      <c r="K424" t="inlineStr">
        <is>
          <t>2026-02-23 23:48</t>
        </is>
      </c>
      <c r="L424" t="inlineStr">
        <is>
          <t>YES</t>
        </is>
      </c>
      <c r="M424" t="inlineStr">
        <is>
          <t>gogs gogs *</t>
        </is>
      </c>
      <c r="N424" t="inlineStr">
        <is>
          <t>P4</t>
        </is>
      </c>
      <c r="O424" t="inlineStr">
        <is>
          <t>CVE - IP enrichment n/a</t>
        </is>
      </c>
      <c r="P424" t="n">
        <v>0</v>
      </c>
      <c r="Q424" t="n">
        <v>0</v>
      </c>
      <c r="R424" t="inlineStr">
        <is>
          <t>T1190:Exploit Public-Facing Application</t>
        </is>
      </c>
      <c r="S424" t="n">
        <v>1</v>
      </c>
      <c r="T424" t="inlineStr">
        <is>
          <t>LOW (40%)</t>
        </is>
      </c>
      <c r="U424" t="inlineStr">
        <is>
          <t>UNLIKELY</t>
        </is>
      </c>
      <c r="V424" t="inlineStr">
        <is>
          <t>PATCH_AVAILABLE</t>
        </is>
      </c>
      <c r="W424" t="inlineStr">
        <is>
          <t>https://nvd.nist.gov/vuln/detail/CVE-2026-25120</t>
        </is>
      </c>
      <c r="X424" t="inlineStr">
        <is>
          <t>NONE</t>
        </is>
      </c>
      <c r="Y424" t="n">
        <v>0</v>
      </c>
      <c r="Z424" t="inlineStr"/>
      <c r="AA424" t="inlineStr">
        <is>
          <t>https://nvd.nist.gov/vuln/detail/CVE-2026-25120</t>
        </is>
      </c>
    </row>
    <row r="425">
      <c r="A425" t="inlineStr">
        <is>
          <t>CVE</t>
        </is>
      </c>
      <c r="B425" t="inlineStr">
        <is>
          <t>CVE-2026-25229</t>
        </is>
      </c>
      <c r="C425" t="inlineStr">
        <is>
          <t>Gogs is an open source self-hosted Git service. Versions 0.13.4 and below have a broken access control vulnerability which allows authenticated users with write access to any repository to modify labels belonging to other repositories. The UpdateLabel function in the Web UI (internal/route/repo/issue.go) fails to verify that the label being modified belongs to the repository specified in the URL path, enabling cross-repository label tampering attacks. The vulnerability exists in the Web UI's lab</t>
        </is>
      </c>
      <c r="D425" t="n">
        <v>6.5</v>
      </c>
      <c r="E425" t="inlineStr">
        <is>
          <t>MEDIUM</t>
        </is>
      </c>
      <c r="F425" t="n">
        <v>2</v>
      </c>
      <c r="G425" t="n">
        <v>2</v>
      </c>
      <c r="H425" t="inlineStr">
        <is>
          <t>MEDIUM</t>
        </is>
      </c>
      <c r="I425" t="n">
        <v>10.5</v>
      </c>
      <c r="J425" t="inlineStr">
        <is>
          <t>NO</t>
        </is>
      </c>
      <c r="K425" t="inlineStr">
        <is>
          <t>2026-02-23 23:48</t>
        </is>
      </c>
      <c r="L425" t="inlineStr">
        <is>
          <t>YES</t>
        </is>
      </c>
      <c r="M425" t="inlineStr">
        <is>
          <t>gogs gogs *</t>
        </is>
      </c>
      <c r="N425" t="inlineStr">
        <is>
          <t>P4</t>
        </is>
      </c>
      <c r="O425" t="inlineStr">
        <is>
          <t>CVE - IP enrichment n/a</t>
        </is>
      </c>
      <c r="P425" t="n">
        <v>0.0003</v>
      </c>
      <c r="Q425" t="n">
        <v>0.08359999999999999</v>
      </c>
      <c r="R425" t="inlineStr">
        <is>
          <t>T1190:Exploit Public-Facing Application</t>
        </is>
      </c>
      <c r="S425" t="n">
        <v>1</v>
      </c>
      <c r="T425" t="inlineStr">
        <is>
          <t>LOW (40%)</t>
        </is>
      </c>
      <c r="U425" t="inlineStr">
        <is>
          <t>UNLIKELY</t>
        </is>
      </c>
      <c r="V425" t="inlineStr">
        <is>
          <t>PATCH_AVAILABLE</t>
        </is>
      </c>
      <c r="W425" t="inlineStr">
        <is>
          <t>https://nvd.nist.gov/vuln/detail/CVE-2026-25229</t>
        </is>
      </c>
      <c r="X425" t="inlineStr">
        <is>
          <t>NONE</t>
        </is>
      </c>
      <c r="Y425" t="n">
        <v>0</v>
      </c>
      <c r="Z425" t="inlineStr"/>
      <c r="AA425" t="inlineStr">
        <is>
          <t>https://nvd.nist.gov/vuln/detail/CVE-2026-25229</t>
        </is>
      </c>
    </row>
    <row r="426">
      <c r="A426" t="inlineStr">
        <is>
          <t>CVE</t>
        </is>
      </c>
      <c r="B426" t="inlineStr">
        <is>
          <t>CVE-2026-25232</t>
        </is>
      </c>
      <c r="C426" t="inlineStr">
        <is>
          <t xml:space="preserve">Gogs is an open source self-hosted Git service. Versions 0.13.4 and below have an access control bypass vulnerability which allows any repository collaborator with Write permissions to delete protected branches (including the default branch) by sending a direct POST request, completely bypassing the branch protection mechanism. This vulnerability in the DeleteBranchPost function eenables privilege escalation from Write to Admin level, allowing low-privilege users to perform dangerous operations </t>
        </is>
      </c>
      <c r="D426" t="n">
        <v>8.800000000000001</v>
      </c>
      <c r="E426" t="inlineStr">
        <is>
          <t>HIGH</t>
        </is>
      </c>
      <c r="F426" t="n">
        <v>2</v>
      </c>
      <c r="G426" t="n">
        <v>3</v>
      </c>
      <c r="H426" t="inlineStr">
        <is>
          <t>HIGH</t>
        </is>
      </c>
      <c r="I426" t="n">
        <v>14.8</v>
      </c>
      <c r="J426" t="inlineStr">
        <is>
          <t>NO</t>
        </is>
      </c>
      <c r="K426" t="inlineStr">
        <is>
          <t>2026-02-23 23:48</t>
        </is>
      </c>
      <c r="L426" t="inlineStr">
        <is>
          <t>YES</t>
        </is>
      </c>
      <c r="M426" t="inlineStr">
        <is>
          <t>gogs gogs *</t>
        </is>
      </c>
      <c r="N426" t="inlineStr">
        <is>
          <t>P3</t>
        </is>
      </c>
      <c r="O426" t="inlineStr">
        <is>
          <t>CVE - IP enrichment n/a</t>
        </is>
      </c>
      <c r="P426" t="n">
        <v>0</v>
      </c>
      <c r="Q426" t="n">
        <v>0</v>
      </c>
      <c r="R426" t="inlineStr">
        <is>
          <t>T1190:Exploit Public-Facing Application | T1068:Exploitation for Privilege Escalation</t>
        </is>
      </c>
      <c r="S426" t="n">
        <v>1</v>
      </c>
      <c r="T426" t="inlineStr">
        <is>
          <t>LOW (40%)</t>
        </is>
      </c>
      <c r="U426" t="inlineStr">
        <is>
          <t>UNLIKELY</t>
        </is>
      </c>
      <c r="V426" t="inlineStr">
        <is>
          <t>PATCH_AVAILABLE</t>
        </is>
      </c>
      <c r="W426" t="inlineStr">
        <is>
          <t>https://nvd.nist.gov/vuln/detail/CVE-2026-25232</t>
        </is>
      </c>
      <c r="X426" t="inlineStr">
        <is>
          <t>NONE</t>
        </is>
      </c>
      <c r="Y426" t="n">
        <v>0</v>
      </c>
      <c r="Z426" t="inlineStr"/>
      <c r="AA426" t="inlineStr">
        <is>
          <t>https://nvd.nist.gov/vuln/detail/CVE-2026-25232</t>
        </is>
      </c>
    </row>
    <row r="427">
      <c r="A427" t="inlineStr">
        <is>
          <t>CVE</t>
        </is>
      </c>
      <c r="B427" t="inlineStr">
        <is>
          <t>CVE-2026-25242</t>
        </is>
      </c>
      <c r="C427" t="inlineStr">
        <is>
          <t>Gogs is an open source self-hosted Git service. Versions 0.13.4 and below expose unauthenticated file upload endpoints by default. When the global RequireSigninView setting is disabled (default), any remote user can upload arbitrary files to the server via /releases/attachments and /issues/attachments. This enables the instance to be abused as a public file host, potentially leading to disk exhaustion, content hosting, or delivery of malware. CSRF tokens do not mitigate this attack due to same-o</t>
        </is>
      </c>
      <c r="D427" t="n">
        <v>9.800000000000001</v>
      </c>
      <c r="E427" t="inlineStr">
        <is>
          <t>CRITICAL</t>
        </is>
      </c>
      <c r="F427" t="n">
        <v>2</v>
      </c>
      <c r="G427" t="n">
        <v>3</v>
      </c>
      <c r="H427" t="inlineStr">
        <is>
          <t>HIGH</t>
        </is>
      </c>
      <c r="I427" t="n">
        <v>15.8</v>
      </c>
      <c r="J427" t="inlineStr">
        <is>
          <t>NO</t>
        </is>
      </c>
      <c r="K427" t="inlineStr">
        <is>
          <t>2026-02-23 23:48</t>
        </is>
      </c>
      <c r="L427" t="inlineStr">
        <is>
          <t>YES</t>
        </is>
      </c>
      <c r="M427" t="inlineStr">
        <is>
          <t>gogs gogs *</t>
        </is>
      </c>
      <c r="N427" t="inlineStr">
        <is>
          <t>P3</t>
        </is>
      </c>
      <c r="O427" t="inlineStr">
        <is>
          <t>CVE - IP enrichment n/a</t>
        </is>
      </c>
      <c r="P427" t="n">
        <v>0.0005</v>
      </c>
      <c r="Q427" t="n">
        <v>0.143</v>
      </c>
      <c r="R427" t="inlineStr">
        <is>
          <t>T1190:Exploit Public-Facing Application</t>
        </is>
      </c>
      <c r="S427" t="n">
        <v>1</v>
      </c>
      <c r="T427" t="inlineStr">
        <is>
          <t>LOW (40%)</t>
        </is>
      </c>
      <c r="U427" t="inlineStr">
        <is>
          <t>UNLIKELY</t>
        </is>
      </c>
      <c r="V427" t="inlineStr">
        <is>
          <t>PATCH_AVAILABLE</t>
        </is>
      </c>
      <c r="W427" t="inlineStr">
        <is>
          <t>https://nvd.nist.gov/vuln/detail/CVE-2026-25242</t>
        </is>
      </c>
      <c r="X427" t="inlineStr">
        <is>
          <t>NONE</t>
        </is>
      </c>
      <c r="Y427" t="n">
        <v>0</v>
      </c>
      <c r="Z427" t="inlineStr"/>
      <c r="AA427" t="inlineStr">
        <is>
          <t>https://nvd.nist.gov/vuln/detail/CVE-2026-25242</t>
        </is>
      </c>
    </row>
    <row r="428">
      <c r="A428" t="inlineStr">
        <is>
          <t>CVE</t>
        </is>
      </c>
      <c r="B428" t="inlineStr">
        <is>
          <t>CVE-2026-25474</t>
        </is>
      </c>
      <c r="C428" t="inlineStr">
        <is>
          <t>OpenClaw is a personal AI assistant. In versions 2026.1.30 and below, if channels.telegram.webhookSecret is not set when in Telegram webhook mode, OpenClaw may accept webhook HTTP requests without verifying Telegram’s secret token header. In deployments where the webhook endpoint is reachable by an attacker, this can allow forged Telegram updates (for example spoofing message.from.id). If an attacker can reach the webhook endpoint, they may be able to send forged updates that are processed as if</t>
        </is>
      </c>
      <c r="D428" t="n">
        <v>7.5</v>
      </c>
      <c r="E428" t="inlineStr">
        <is>
          <t>HIGH</t>
        </is>
      </c>
      <c r="F428" t="n">
        <v>2</v>
      </c>
      <c r="G428" t="n">
        <v>3</v>
      </c>
      <c r="H428" t="inlineStr">
        <is>
          <t>HIGH</t>
        </is>
      </c>
      <c r="I428" t="n">
        <v>13.5</v>
      </c>
      <c r="J428" t="inlineStr">
        <is>
          <t>NO</t>
        </is>
      </c>
      <c r="K428" t="inlineStr">
        <is>
          <t>2026-02-23 23:48</t>
        </is>
      </c>
      <c r="L428" t="inlineStr">
        <is>
          <t>YES</t>
        </is>
      </c>
      <c r="M428" t="inlineStr">
        <is>
          <t>openclaw openclaw *</t>
        </is>
      </c>
      <c r="N428" t="inlineStr">
        <is>
          <t>P3</t>
        </is>
      </c>
      <c r="O428" t="inlineStr">
        <is>
          <t>CVE - IP enrichment n/a</t>
        </is>
      </c>
      <c r="P428" t="n">
        <v>0</v>
      </c>
      <c r="Q428" t="n">
        <v>0</v>
      </c>
      <c r="R428" t="inlineStr">
        <is>
          <t>T1190:Exploit Public-Facing Application</t>
        </is>
      </c>
      <c r="S428" t="n">
        <v>1</v>
      </c>
      <c r="T428" t="inlineStr">
        <is>
          <t>LOW (40%)</t>
        </is>
      </c>
      <c r="U428" t="inlineStr">
        <is>
          <t>UNLIKELY</t>
        </is>
      </c>
      <c r="V428" t="inlineStr">
        <is>
          <t>PATCH_AVAILABLE</t>
        </is>
      </c>
      <c r="W428" t="inlineStr">
        <is>
          <t>https://nvd.nist.gov/vuln/detail/CVE-2026-25474</t>
        </is>
      </c>
      <c r="X428" t="inlineStr">
        <is>
          <t>NONE</t>
        </is>
      </c>
      <c r="Y428" t="n">
        <v>0</v>
      </c>
      <c r="Z428" t="inlineStr"/>
      <c r="AA428" t="inlineStr">
        <is>
          <t>https://nvd.nist.gov/vuln/detail/CVE-2026-25474</t>
        </is>
      </c>
    </row>
    <row r="429">
      <c r="A429" t="inlineStr">
        <is>
          <t>CVE</t>
        </is>
      </c>
      <c r="B429" t="inlineStr">
        <is>
          <t>CVE-2026-2282</t>
        </is>
      </c>
      <c r="C429" t="inlineStr">
        <is>
          <t>The Slidorion plugin for WordPress is vulnerable to Stored Cross-Site Scripting via admin settings in all versions up to, and including, 1.0.2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t>
        </is>
      </c>
      <c r="D429" t="n">
        <v>4.4</v>
      </c>
      <c r="E429" t="inlineStr">
        <is>
          <t>MEDIUM</t>
        </is>
      </c>
      <c r="F429" t="n">
        <v>2</v>
      </c>
      <c r="G429" t="n">
        <v>2</v>
      </c>
      <c r="H429" t="inlineStr">
        <is>
          <t>MEDIUM</t>
        </is>
      </c>
      <c r="I429" t="n">
        <v>8.4</v>
      </c>
      <c r="J429" t="inlineStr">
        <is>
          <t>NO</t>
        </is>
      </c>
      <c r="K429" t="inlineStr">
        <is>
          <t>2026-02-23 23:48</t>
        </is>
      </c>
      <c r="L429" t="inlineStr">
        <is>
          <t>CHECK_VENDOR</t>
        </is>
      </c>
      <c r="M429" t="inlineStr">
        <is>
          <t>See CVE details</t>
        </is>
      </c>
      <c r="N429" t="inlineStr">
        <is>
          <t>P4</t>
        </is>
      </c>
      <c r="O429" t="inlineStr">
        <is>
          <t>CVE - IP enrichment n/a</t>
        </is>
      </c>
      <c r="P429" t="n">
        <v>0</v>
      </c>
      <c r="Q429" t="n">
        <v>0</v>
      </c>
      <c r="R429" t="inlineStr">
        <is>
          <t>T1189:Drive-by Compromise</t>
        </is>
      </c>
      <c r="S429" t="n">
        <v>1</v>
      </c>
      <c r="T429" t="inlineStr">
        <is>
          <t>LOW (40%)</t>
        </is>
      </c>
      <c r="U429" t="inlineStr">
        <is>
          <t>UNLIKELY</t>
        </is>
      </c>
      <c r="V429" t="inlineStr">
        <is>
          <t>CHECK_VENDOR</t>
        </is>
      </c>
      <c r="W429" t="inlineStr">
        <is>
          <t>https://nvd.nist.gov/vuln/detail/CVE-2026-2282</t>
        </is>
      </c>
      <c r="X429" t="inlineStr">
        <is>
          <t>NONE</t>
        </is>
      </c>
      <c r="Y429" t="n">
        <v>0</v>
      </c>
      <c r="Z429" t="inlineStr"/>
      <c r="AA429" t="inlineStr">
        <is>
          <t>https://nvd.nist.gov/vuln/detail/CVE-2026-2282</t>
        </is>
      </c>
    </row>
    <row r="430">
      <c r="A430" t="inlineStr">
        <is>
          <t>CVE</t>
        </is>
      </c>
      <c r="B430" t="inlineStr">
        <is>
          <t>CVE-2026-2284</t>
        </is>
      </c>
      <c r="C430" t="inlineStr">
        <is>
          <t>The News Element Elementor Blog Magazine plugin for WordPress is vulnerable to Missing Authorization in all versions up to, and including, 1.0.8. This is due to a missing capability check and nonce verification on the 'ne_clean_data' AJAX action. This makes it possible for authenticated attackers, with Subscriber-level access and above, to truncate 8 core WordPress database tables (posts, comments, terms, term_relationships, term_taxonomy, postmeta, commentmeta, termmeta) and delete the entire W</t>
        </is>
      </c>
      <c r="D430" t="n">
        <v>5.4</v>
      </c>
      <c r="E430" t="inlineStr">
        <is>
          <t>MEDIUM</t>
        </is>
      </c>
      <c r="F430" t="n">
        <v>2</v>
      </c>
      <c r="G430" t="n">
        <v>2</v>
      </c>
      <c r="H430" t="inlineStr">
        <is>
          <t>MEDIUM</t>
        </is>
      </c>
      <c r="I430" t="n">
        <v>9.4</v>
      </c>
      <c r="J430" t="inlineStr">
        <is>
          <t>NO</t>
        </is>
      </c>
      <c r="K430" t="inlineStr">
        <is>
          <t>2026-02-23 23:48</t>
        </is>
      </c>
      <c r="L430" t="inlineStr">
        <is>
          <t>CHECK_VENDOR</t>
        </is>
      </c>
      <c r="M430" t="inlineStr">
        <is>
          <t>See CVE details</t>
        </is>
      </c>
      <c r="N430" t="inlineStr">
        <is>
          <t>P4</t>
        </is>
      </c>
      <c r="O430" t="inlineStr">
        <is>
          <t>CVE - IP enrichment n/a</t>
        </is>
      </c>
      <c r="P430" t="n">
        <v>0</v>
      </c>
      <c r="Q430" t="n">
        <v>0</v>
      </c>
      <c r="R430" t="inlineStr">
        <is>
          <t>T1190:Exploit Public-Facing Application</t>
        </is>
      </c>
      <c r="S430" t="n">
        <v>1</v>
      </c>
      <c r="T430" t="inlineStr">
        <is>
          <t>LOW (40%)</t>
        </is>
      </c>
      <c r="U430" t="inlineStr">
        <is>
          <t>UNLIKELY</t>
        </is>
      </c>
      <c r="V430" t="inlineStr">
        <is>
          <t>CHECK_VENDOR</t>
        </is>
      </c>
      <c r="W430" t="inlineStr">
        <is>
          <t>https://nvd.nist.gov/vuln/detail/CVE-2026-2284</t>
        </is>
      </c>
      <c r="X430" t="inlineStr">
        <is>
          <t>NONE</t>
        </is>
      </c>
      <c r="Y430" t="n">
        <v>0</v>
      </c>
      <c r="Z430" t="inlineStr"/>
      <c r="AA430" t="inlineStr">
        <is>
          <t>https://nvd.nist.gov/vuln/detail/CVE-2026-2284</t>
        </is>
      </c>
    </row>
    <row r="431">
      <c r="A431" t="inlineStr">
        <is>
          <t>CVE</t>
        </is>
      </c>
      <c r="B431" t="inlineStr">
        <is>
          <t>CVE-2026-2502</t>
        </is>
      </c>
      <c r="C431" t="inlineStr">
        <is>
          <t>The xmlrpc attacks blocker plugin for WordPress is vulnerable to Stored Cross-Site Scripting in versions up to, and including, 1.0, via the 'X-Forwarded-For' HTTP header. This is due to the plugin trusting and logging attacker-controlled IP header data and rendering debug log entries without output escaping. This makes it possible for unauthenticated attackers to inject arbitrary web scripts that execute when an administrator views the debug log page.</t>
        </is>
      </c>
      <c r="D431" t="n">
        <v>6.1</v>
      </c>
      <c r="E431" t="inlineStr">
        <is>
          <t>MEDIUM</t>
        </is>
      </c>
      <c r="F431" t="n">
        <v>2</v>
      </c>
      <c r="G431" t="n">
        <v>2</v>
      </c>
      <c r="H431" t="inlineStr">
        <is>
          <t>MEDIUM</t>
        </is>
      </c>
      <c r="I431" t="n">
        <v>10.1</v>
      </c>
      <c r="J431" t="inlineStr">
        <is>
          <t>NO</t>
        </is>
      </c>
      <c r="K431" t="inlineStr">
        <is>
          <t>2026-02-23 23:48</t>
        </is>
      </c>
      <c r="L431" t="inlineStr">
        <is>
          <t>CHECK_VENDOR</t>
        </is>
      </c>
      <c r="M431" t="inlineStr">
        <is>
          <t>See CVE details</t>
        </is>
      </c>
      <c r="N431" t="inlineStr">
        <is>
          <t>P4</t>
        </is>
      </c>
      <c r="O431" t="inlineStr">
        <is>
          <t>CVE - IP enrichment n/a</t>
        </is>
      </c>
      <c r="P431" t="n">
        <v>0</v>
      </c>
      <c r="Q431" t="n">
        <v>0</v>
      </c>
      <c r="R431" t="inlineStr">
        <is>
          <t>T1189:Drive-by Compromise</t>
        </is>
      </c>
      <c r="S431" t="n">
        <v>1</v>
      </c>
      <c r="T431" t="inlineStr">
        <is>
          <t>LOW (40%)</t>
        </is>
      </c>
      <c r="U431" t="inlineStr">
        <is>
          <t>UNLIKELY</t>
        </is>
      </c>
      <c r="V431" t="inlineStr">
        <is>
          <t>CHECK_VENDOR</t>
        </is>
      </c>
      <c r="W431" t="inlineStr">
        <is>
          <t>https://nvd.nist.gov/vuln/detail/CVE-2026-2502</t>
        </is>
      </c>
      <c r="X431" t="inlineStr">
        <is>
          <t>NONE</t>
        </is>
      </c>
      <c r="Y431" t="n">
        <v>0</v>
      </c>
      <c r="Z431" t="inlineStr"/>
      <c r="AA431" t="inlineStr">
        <is>
          <t>https://nvd.nist.gov/vuln/detail/CVE-2026-2502</t>
        </is>
      </c>
    </row>
    <row r="432">
      <c r="A432" t="inlineStr">
        <is>
          <t>CVE</t>
        </is>
      </c>
      <c r="B432" t="inlineStr">
        <is>
          <t>CVE-2026-2504</t>
        </is>
      </c>
      <c r="C432" t="inlineStr">
        <is>
          <t>The Dealia – Request a quote plugin for WordPress is vulnerable to unauthorized modification of data due to missing capability checks on multiple AJAX handlers in all versions up to, and including, 1.0.6. The admin nonce (DEALIA_ADMIN_NONCE) is exposed to all users with edit_posts capability (Contributor+) via wp_localize_script() in PostsController.php, while the AJAX handlers in AdminSettingsController.php only verify the nonce without checking current_user_can('manage_options'). This makes it</t>
        </is>
      </c>
      <c r="D432" t="n">
        <v>4.3</v>
      </c>
      <c r="E432" t="inlineStr">
        <is>
          <t>MEDIUM</t>
        </is>
      </c>
      <c r="F432" t="n">
        <v>2</v>
      </c>
      <c r="G432" t="n">
        <v>2</v>
      </c>
      <c r="H432" t="inlineStr">
        <is>
          <t>MEDIUM</t>
        </is>
      </c>
      <c r="I432" t="n">
        <v>8.300000000000001</v>
      </c>
      <c r="J432" t="inlineStr">
        <is>
          <t>NO</t>
        </is>
      </c>
      <c r="K432" t="inlineStr">
        <is>
          <t>2026-02-23 23:48</t>
        </is>
      </c>
      <c r="L432" t="inlineStr">
        <is>
          <t>CHECK_VENDOR</t>
        </is>
      </c>
      <c r="M432" t="inlineStr">
        <is>
          <t>See CVE details</t>
        </is>
      </c>
      <c r="N432" t="inlineStr">
        <is>
          <t>P4</t>
        </is>
      </c>
      <c r="O432" t="inlineStr">
        <is>
          <t>CVE - IP enrichment n/a</t>
        </is>
      </c>
      <c r="P432" t="n">
        <v>0</v>
      </c>
      <c r="Q432" t="n">
        <v>0</v>
      </c>
      <c r="R432" t="inlineStr">
        <is>
          <t>T1190:Exploit Public-Facing Application</t>
        </is>
      </c>
      <c r="S432" t="n">
        <v>1</v>
      </c>
      <c r="T432" t="inlineStr">
        <is>
          <t>LOW (40%)</t>
        </is>
      </c>
      <c r="U432" t="inlineStr">
        <is>
          <t>UNLIKELY</t>
        </is>
      </c>
      <c r="V432" t="inlineStr">
        <is>
          <t>CHECK_VENDOR</t>
        </is>
      </c>
      <c r="W432" t="inlineStr">
        <is>
          <t>https://nvd.nist.gov/vuln/detail/CVE-2026-2504</t>
        </is>
      </c>
      <c r="X432" t="inlineStr">
        <is>
          <t>NONE</t>
        </is>
      </c>
      <c r="Y432" t="n">
        <v>0</v>
      </c>
      <c r="Z432" t="inlineStr"/>
      <c r="AA432" t="inlineStr">
        <is>
          <t>https://nvd.nist.gov/vuln/detail/CVE-2026-2504</t>
        </is>
      </c>
    </row>
    <row r="433">
      <c r="A433" t="inlineStr">
        <is>
          <t>CVE</t>
        </is>
      </c>
      <c r="B433" t="inlineStr">
        <is>
          <t>CVE-2026-2681</t>
        </is>
      </c>
      <c r="C433" t="inlineStr">
        <is>
          <t>A flaw was found in the blst cryptographic library. This out-of-bounds stack write vulnerability, specifically in the blst_sha256_bcopy assembly routine, occurs due to a missing zero-length guard. A remote attacker can exploit this by providing a zero-length salt parameter to key generation functions, such as blst_keygen_v5(), if the application exposes this functionality. Successful exploitation leads to memory corruption and immediate process termination, resulting in a denial-of-service (DoS)</t>
        </is>
      </c>
      <c r="D433" t="n">
        <v>5.3</v>
      </c>
      <c r="E433" t="inlineStr">
        <is>
          <t>MEDIUM</t>
        </is>
      </c>
      <c r="F433" t="n">
        <v>2</v>
      </c>
      <c r="G433" t="n">
        <v>2</v>
      </c>
      <c r="H433" t="inlineStr">
        <is>
          <t>MEDIUM</t>
        </is>
      </c>
      <c r="I433" t="n">
        <v>9.300000000000001</v>
      </c>
      <c r="J433" t="inlineStr">
        <is>
          <t>NO</t>
        </is>
      </c>
      <c r="K433" t="inlineStr">
        <is>
          <t>2026-02-23 23:48</t>
        </is>
      </c>
      <c r="L433" t="inlineStr">
        <is>
          <t>CHECK_VENDOR</t>
        </is>
      </c>
      <c r="M433" t="inlineStr">
        <is>
          <t>See CVE details</t>
        </is>
      </c>
      <c r="N433" t="inlineStr">
        <is>
          <t>P4</t>
        </is>
      </c>
      <c r="O433" t="inlineStr">
        <is>
          <t>CVE - IP enrichment n/a</t>
        </is>
      </c>
      <c r="P433" t="n">
        <v>0</v>
      </c>
      <c r="Q433" t="n">
        <v>0</v>
      </c>
      <c r="R433" t="inlineStr">
        <is>
          <t>T1203:Exploitation for Client Execution | T1600:Weaken Encryption</t>
        </is>
      </c>
      <c r="S433" t="n">
        <v>1</v>
      </c>
      <c r="T433" t="inlineStr">
        <is>
          <t>LOW (40%)</t>
        </is>
      </c>
      <c r="U433" t="inlineStr">
        <is>
          <t>UNLIKELY</t>
        </is>
      </c>
      <c r="V433" t="inlineStr">
        <is>
          <t>CHECK_VENDOR</t>
        </is>
      </c>
      <c r="W433" t="inlineStr">
        <is>
          <t>https://nvd.nist.gov/vuln/detail/CVE-2026-2681</t>
        </is>
      </c>
      <c r="X433" t="inlineStr">
        <is>
          <t>NONE</t>
        </is>
      </c>
      <c r="Y433" t="n">
        <v>0</v>
      </c>
      <c r="Z433" t="inlineStr"/>
      <c r="AA433" t="inlineStr">
        <is>
          <t>https://nvd.nist.gov/vuln/detail/CVE-2026-2681</t>
        </is>
      </c>
    </row>
    <row r="434">
      <c r="A434" t="inlineStr">
        <is>
          <t>CVE</t>
        </is>
      </c>
      <c r="B434" t="inlineStr">
        <is>
          <t>CVE-2026-2689</t>
        </is>
      </c>
      <c r="C434" t="inlineStr">
        <is>
          <t>A vulnerability was detected in itsourcecode Event Management System 1.0. Affected is an unknown function of the file /admin/manage_booking.php. The manipulation of the argument ID results in sql injection. The attack may be performed from remote. The exploit is now public and may be used.</t>
        </is>
      </c>
      <c r="D434" t="n">
        <v>7.3</v>
      </c>
      <c r="E434" t="inlineStr">
        <is>
          <t>HIGH</t>
        </is>
      </c>
      <c r="F434" t="n">
        <v>2</v>
      </c>
      <c r="G434" t="n">
        <v>3</v>
      </c>
      <c r="H434" t="inlineStr">
        <is>
          <t>HIGH</t>
        </is>
      </c>
      <c r="I434" t="n">
        <v>13.3</v>
      </c>
      <c r="J434" t="inlineStr">
        <is>
          <t>NO</t>
        </is>
      </c>
      <c r="K434" t="inlineStr">
        <is>
          <t>2026-02-23 23:48</t>
        </is>
      </c>
      <c r="L434" t="inlineStr">
        <is>
          <t>CHECK_VENDOR</t>
        </is>
      </c>
      <c r="M434" t="inlineStr">
        <is>
          <t>See CVE details</t>
        </is>
      </c>
      <c r="N434" t="inlineStr">
        <is>
          <t>P3</t>
        </is>
      </c>
      <c r="O434" t="inlineStr">
        <is>
          <t>CVE - IP enrichment n/a</t>
        </is>
      </c>
      <c r="P434" t="n">
        <v>0</v>
      </c>
      <c r="Q434" t="n">
        <v>0</v>
      </c>
      <c r="R434" t="inlineStr">
        <is>
          <t>T1190:Exploit Public-Facing Application</t>
        </is>
      </c>
      <c r="S434" t="n">
        <v>1</v>
      </c>
      <c r="T434" t="inlineStr">
        <is>
          <t>LOW (40%)</t>
        </is>
      </c>
      <c r="U434" t="inlineStr">
        <is>
          <t>UNLIKELY</t>
        </is>
      </c>
      <c r="V434" t="inlineStr">
        <is>
          <t>CHECK_VENDOR</t>
        </is>
      </c>
      <c r="W434" t="inlineStr">
        <is>
          <t>https://nvd.nist.gov/vuln/detail/CVE-2026-2689</t>
        </is>
      </c>
      <c r="X434" t="inlineStr">
        <is>
          <t>NONE</t>
        </is>
      </c>
      <c r="Y434" t="n">
        <v>0</v>
      </c>
      <c r="Z434" t="inlineStr"/>
      <c r="AA434" t="inlineStr">
        <is>
          <t>https://nvd.nist.gov/vuln/detail/CVE-2026-2689</t>
        </is>
      </c>
    </row>
    <row r="435">
      <c r="A435" t="inlineStr">
        <is>
          <t>CVE</t>
        </is>
      </c>
      <c r="B435" t="inlineStr">
        <is>
          <t>CVE-2026-2690</t>
        </is>
      </c>
      <c r="C435" t="inlineStr">
        <is>
          <t>A flaw has been found in itsourcecode Event Management System 1.0. Affected by this vulnerability is an unknown functionality of the file /admin/ajax.php?action=login of the component Admin Login. This manipulation of the argument Username causes sql injection. It is possible to initiate the attack remotely. The exploit has been published and may be used.</t>
        </is>
      </c>
      <c r="D435" t="n">
        <v>7.3</v>
      </c>
      <c r="E435" t="inlineStr">
        <is>
          <t>HIGH</t>
        </is>
      </c>
      <c r="F435" t="n">
        <v>2</v>
      </c>
      <c r="G435" t="n">
        <v>3</v>
      </c>
      <c r="H435" t="inlineStr">
        <is>
          <t>HIGH</t>
        </is>
      </c>
      <c r="I435" t="n">
        <v>13.3</v>
      </c>
      <c r="J435" t="inlineStr">
        <is>
          <t>NO</t>
        </is>
      </c>
      <c r="K435" t="inlineStr">
        <is>
          <t>2026-02-23 23:48</t>
        </is>
      </c>
      <c r="L435" t="inlineStr">
        <is>
          <t>CHECK_VENDOR</t>
        </is>
      </c>
      <c r="M435" t="inlineStr">
        <is>
          <t>See CVE details</t>
        </is>
      </c>
      <c r="N435" t="inlineStr">
        <is>
          <t>P3</t>
        </is>
      </c>
      <c r="O435" t="inlineStr">
        <is>
          <t>CVE - IP enrichment n/a</t>
        </is>
      </c>
      <c r="P435" t="n">
        <v>0</v>
      </c>
      <c r="Q435" t="n">
        <v>0</v>
      </c>
      <c r="R435" t="inlineStr">
        <is>
          <t>T1190:Exploit Public-Facing Application</t>
        </is>
      </c>
      <c r="S435" t="n">
        <v>1</v>
      </c>
      <c r="T435" t="inlineStr">
        <is>
          <t>LOW (40%)</t>
        </is>
      </c>
      <c r="U435" t="inlineStr">
        <is>
          <t>UNLIKELY</t>
        </is>
      </c>
      <c r="V435" t="inlineStr">
        <is>
          <t>CHECK_VENDOR</t>
        </is>
      </c>
      <c r="W435" t="inlineStr">
        <is>
          <t>https://nvd.nist.gov/vuln/detail/CVE-2026-2690</t>
        </is>
      </c>
      <c r="X435" t="inlineStr">
        <is>
          <t>NONE</t>
        </is>
      </c>
      <c r="Y435" t="n">
        <v>0</v>
      </c>
      <c r="Z435" t="inlineStr"/>
      <c r="AA435" t="inlineStr">
        <is>
          <t>https://nvd.nist.gov/vuln/detail/CVE-2026-2690</t>
        </is>
      </c>
    </row>
    <row r="436">
      <c r="A436" t="inlineStr">
        <is>
          <t>CVE</t>
        </is>
      </c>
      <c r="B436" t="inlineStr">
        <is>
          <t>CVE-2026-2691</t>
        </is>
      </c>
      <c r="C436" t="inlineStr">
        <is>
          <t>A vulnerability has been found in itsourcecode Event Management System 1.0. Affected by this issue is some unknown functionality of the file /admin/manage_register.php. Such manipulation of the argument ID leads to sql injection. It is possible to launch the attack remotely. The exploit has been disclosed to the public and may be used.</t>
        </is>
      </c>
      <c r="D436" t="n">
        <v>7.3</v>
      </c>
      <c r="E436" t="inlineStr">
        <is>
          <t>HIGH</t>
        </is>
      </c>
      <c r="F436" t="n">
        <v>2</v>
      </c>
      <c r="G436" t="n">
        <v>3</v>
      </c>
      <c r="H436" t="inlineStr">
        <is>
          <t>HIGH</t>
        </is>
      </c>
      <c r="I436" t="n">
        <v>13.3</v>
      </c>
      <c r="J436" t="inlineStr">
        <is>
          <t>NO</t>
        </is>
      </c>
      <c r="K436" t="inlineStr">
        <is>
          <t>2026-02-23 23:48</t>
        </is>
      </c>
      <c r="L436" t="inlineStr">
        <is>
          <t>YES</t>
        </is>
      </c>
      <c r="M436" t="inlineStr">
        <is>
          <t>admerc event_management_system 1.0</t>
        </is>
      </c>
      <c r="N436" t="inlineStr">
        <is>
          <t>P3</t>
        </is>
      </c>
      <c r="O436" t="inlineStr">
        <is>
          <t>CVE - IP enrichment n/a</t>
        </is>
      </c>
      <c r="P436" t="n">
        <v>0</v>
      </c>
      <c r="Q436" t="n">
        <v>0</v>
      </c>
      <c r="R436" t="inlineStr">
        <is>
          <t>T1190:Exploit Public-Facing Application</t>
        </is>
      </c>
      <c r="S436" t="n">
        <v>1</v>
      </c>
      <c r="T436" t="inlineStr">
        <is>
          <t>LOW (40%)</t>
        </is>
      </c>
      <c r="U436" t="inlineStr">
        <is>
          <t>UNLIKELY</t>
        </is>
      </c>
      <c r="V436" t="inlineStr">
        <is>
          <t>PATCH_AVAILABLE</t>
        </is>
      </c>
      <c r="W436" t="inlineStr">
        <is>
          <t>https://nvd.nist.gov/vuln/detail/CVE-2026-2691</t>
        </is>
      </c>
      <c r="X436" t="inlineStr">
        <is>
          <t>NONE</t>
        </is>
      </c>
      <c r="Y436" t="n">
        <v>0</v>
      </c>
      <c r="Z436" t="inlineStr"/>
      <c r="AA436" t="inlineStr">
        <is>
          <t>https://nvd.nist.gov/vuln/detail/CVE-2026-2691</t>
        </is>
      </c>
    </row>
    <row r="437">
      <c r="A437" t="inlineStr">
        <is>
          <t>CVE</t>
        </is>
      </c>
      <c r="B437" t="inlineStr">
        <is>
          <t>CVE-2026-2692</t>
        </is>
      </c>
      <c r="C437" t="inlineStr">
        <is>
          <t>A vulnerability was found in CoCoTeaNet CyreneAdmin up to 1.3.0. This affects an unknown part of the file /api/system/user/getAvatar of the component Image Handler. Performing a manipulation of the argument Avatar results in path traversal. The attack can be initiated remotely. The exploit has been made public and could be used.</t>
        </is>
      </c>
      <c r="D437" t="n">
        <v>4.3</v>
      </c>
      <c r="E437" t="inlineStr">
        <is>
          <t>MEDIUM</t>
        </is>
      </c>
      <c r="F437" t="n">
        <v>2</v>
      </c>
      <c r="G437" t="n">
        <v>2</v>
      </c>
      <c r="H437" t="inlineStr">
        <is>
          <t>MEDIUM</t>
        </is>
      </c>
      <c r="I437" t="n">
        <v>8.300000000000001</v>
      </c>
      <c r="J437" t="inlineStr">
        <is>
          <t>NO</t>
        </is>
      </c>
      <c r="K437" t="inlineStr">
        <is>
          <t>2026-02-23 23:48</t>
        </is>
      </c>
      <c r="L437" t="inlineStr">
        <is>
          <t>CHECK_VENDOR</t>
        </is>
      </c>
      <c r="M437" t="inlineStr">
        <is>
          <t>cocoteanet cyreneadmin *</t>
        </is>
      </c>
      <c r="N437" t="inlineStr">
        <is>
          <t>P4</t>
        </is>
      </c>
      <c r="O437" t="inlineStr">
        <is>
          <t>CVE - IP enrichment n/a</t>
        </is>
      </c>
      <c r="P437" t="n">
        <v>0.0007</v>
      </c>
      <c r="Q437" t="n">
        <v>0.22</v>
      </c>
      <c r="R437" t="inlineStr">
        <is>
          <t>T1083:File and Directory Discovery</t>
        </is>
      </c>
      <c r="S437" t="n">
        <v>1</v>
      </c>
      <c r="T437" t="inlineStr">
        <is>
          <t>LOW (40%)</t>
        </is>
      </c>
      <c r="U437" t="inlineStr">
        <is>
          <t>UNLIKELY</t>
        </is>
      </c>
      <c r="V437" t="inlineStr">
        <is>
          <t>CHECK_VENDOR</t>
        </is>
      </c>
      <c r="W437" t="inlineStr">
        <is>
          <t>https://nvd.nist.gov/vuln/detail/CVE-2026-2692</t>
        </is>
      </c>
      <c r="X437" t="inlineStr">
        <is>
          <t>NONE</t>
        </is>
      </c>
      <c r="Y437" t="n">
        <v>0</v>
      </c>
      <c r="Z437" t="inlineStr"/>
      <c r="AA437" t="inlineStr">
        <is>
          <t>https://nvd.nist.gov/vuln/detail/CVE-2026-2692</t>
        </is>
      </c>
    </row>
    <row r="438">
      <c r="A438" t="inlineStr">
        <is>
          <t>CVE</t>
        </is>
      </c>
      <c r="B438" t="inlineStr">
        <is>
          <t>CVE-2026-2693</t>
        </is>
      </c>
      <c r="C438" t="inlineStr">
        <is>
          <t>A vulnerability was determined in CoCoTeaNet CyreneAdmin up to 1.3.0. This vulnerability affects unknown code of the file /api/system/dashboard/getCount of the component System Info Endpoint. Executing a manipulation can lead to improper authorization. The attack can be launched remotely. The exploit has been publicly disclosed and may be utilized.</t>
        </is>
      </c>
      <c r="D438" t="n">
        <v>4.3</v>
      </c>
      <c r="E438" t="inlineStr">
        <is>
          <t>MEDIUM</t>
        </is>
      </c>
      <c r="F438" t="n">
        <v>2</v>
      </c>
      <c r="G438" t="n">
        <v>2</v>
      </c>
      <c r="H438" t="inlineStr">
        <is>
          <t>MEDIUM</t>
        </is>
      </c>
      <c r="I438" t="n">
        <v>8.300000000000001</v>
      </c>
      <c r="J438" t="inlineStr">
        <is>
          <t>NO</t>
        </is>
      </c>
      <c r="K438" t="inlineStr">
        <is>
          <t>2026-02-23 23:48</t>
        </is>
      </c>
      <c r="L438" t="inlineStr">
        <is>
          <t>CHECK_VENDOR</t>
        </is>
      </c>
      <c r="M438" t="inlineStr">
        <is>
          <t>cocoteanet cyreneadmin *</t>
        </is>
      </c>
      <c r="N438" t="inlineStr">
        <is>
          <t>P4</t>
        </is>
      </c>
      <c r="O438" t="inlineStr">
        <is>
          <t>CVE - IP enrichment n/a</t>
        </is>
      </c>
      <c r="P438" t="n">
        <v>0.0003</v>
      </c>
      <c r="Q438" t="n">
        <v>0.0678</v>
      </c>
      <c r="R438" t="inlineStr">
        <is>
          <t>T1190:Exploit Public-Facing Application</t>
        </is>
      </c>
      <c r="S438" t="n">
        <v>1</v>
      </c>
      <c r="T438" t="inlineStr">
        <is>
          <t>LOW (40%)</t>
        </is>
      </c>
      <c r="U438" t="inlineStr">
        <is>
          <t>UNLIKELY</t>
        </is>
      </c>
      <c r="V438" t="inlineStr">
        <is>
          <t>CHECK_VENDOR</t>
        </is>
      </c>
      <c r="W438" t="inlineStr">
        <is>
          <t>https://nvd.nist.gov/vuln/detail/CVE-2026-2693</t>
        </is>
      </c>
      <c r="X438" t="inlineStr">
        <is>
          <t>NONE</t>
        </is>
      </c>
      <c r="Y438" t="n">
        <v>0</v>
      </c>
      <c r="Z438" t="inlineStr"/>
      <c r="AA438" t="inlineStr">
        <is>
          <t>https://nvd.nist.gov/vuln/detail/CVE-2026-2693</t>
        </is>
      </c>
    </row>
    <row r="439">
      <c r="A439" t="inlineStr">
        <is>
          <t>CVE</t>
        </is>
      </c>
      <c r="B439" t="inlineStr">
        <is>
          <t>CVE-2026-2702</t>
        </is>
      </c>
      <c r="C439" t="inlineStr">
        <is>
          <t>A security flaw has been discovered in Beetel 777VR1 up to 01.00.09. This issue affects some unknown processing of the component WPA2 PSK. Performing a manipulation results in hard-coded credentials. The attacker must have access to the local network to execute the attack. The complexity of an attack is rather high. The exploitability is assessed as difficult. The exploit has been released to the public and may be used for attacks. The vendor was contacted early about this disclosure but did not</t>
        </is>
      </c>
      <c r="D439" t="n">
        <v>3.1</v>
      </c>
      <c r="E439" t="inlineStr">
        <is>
          <t>LOW</t>
        </is>
      </c>
      <c r="F439" t="n">
        <v>2</v>
      </c>
      <c r="G439" t="n">
        <v>1</v>
      </c>
      <c r="H439" t="inlineStr">
        <is>
          <t>LOW</t>
        </is>
      </c>
      <c r="I439" t="n">
        <v>5.1</v>
      </c>
      <c r="J439" t="inlineStr">
        <is>
          <t>NO</t>
        </is>
      </c>
      <c r="K439" t="inlineStr">
        <is>
          <t>2026-02-23 23:48</t>
        </is>
      </c>
      <c r="L439" t="inlineStr">
        <is>
          <t>CHECK_VENDOR</t>
        </is>
      </c>
      <c r="M439" t="inlineStr">
        <is>
          <t>See CVE details</t>
        </is>
      </c>
      <c r="N439" t="inlineStr">
        <is>
          <t>P4</t>
        </is>
      </c>
      <c r="O439" t="inlineStr">
        <is>
          <t>CVE - IP enrichment n/a</t>
        </is>
      </c>
      <c r="P439" t="n">
        <v>0</v>
      </c>
      <c r="Q439" t="n">
        <v>0</v>
      </c>
      <c r="R439" t="inlineStr">
        <is>
          <t>T1552:Unsecured Credentials</t>
        </is>
      </c>
      <c r="S439" t="n">
        <v>1</v>
      </c>
      <c r="T439" t="inlineStr">
        <is>
          <t>LOW (40%)</t>
        </is>
      </c>
      <c r="U439" t="inlineStr">
        <is>
          <t>UNLIKELY</t>
        </is>
      </c>
      <c r="V439" t="inlineStr">
        <is>
          <t>CHECK_VENDOR</t>
        </is>
      </c>
      <c r="W439" t="inlineStr">
        <is>
          <t>https://nvd.nist.gov/vuln/detail/CVE-2026-2702</t>
        </is>
      </c>
      <c r="X439" t="inlineStr">
        <is>
          <t>NONE</t>
        </is>
      </c>
      <c r="Y439" t="n">
        <v>0</v>
      </c>
      <c r="Z439" t="inlineStr"/>
      <c r="AA439" t="inlineStr">
        <is>
          <t>https://nvd.nist.gov/vuln/detail/CVE-2026-2702</t>
        </is>
      </c>
    </row>
    <row r="440">
      <c r="A440" t="inlineStr">
        <is>
          <t>CVE</t>
        </is>
      </c>
      <c r="B440" t="inlineStr">
        <is>
          <t>CVE-2026-2703</t>
        </is>
      </c>
      <c r="C440" t="inlineStr">
        <is>
          <t>A weakness has been identified in xlnt-community xlnt up to 1.6.1. Impacted is the function xlnt::detail::decode_base64 of the file source/detail/cryptography/base64.cpp of the component Encrypted XLSX File Parser. Executing a manipulation can lead to off-by-one. The attack requires local access. The exploit has been made available to the public and could be used for attacks. This patch is called f2d7bf494e5c52706843cf7eb9892821bffb0734. Applying a patch is advised to resolve this issue.</t>
        </is>
      </c>
      <c r="D440" t="n">
        <v>3.3</v>
      </c>
      <c r="E440" t="inlineStr">
        <is>
          <t>LOW</t>
        </is>
      </c>
      <c r="F440" t="n">
        <v>2</v>
      </c>
      <c r="G440" t="n">
        <v>1</v>
      </c>
      <c r="H440" t="inlineStr">
        <is>
          <t>LOW</t>
        </is>
      </c>
      <c r="I440" t="n">
        <v>5.3</v>
      </c>
      <c r="J440" t="inlineStr">
        <is>
          <t>NO</t>
        </is>
      </c>
      <c r="K440" t="inlineStr">
        <is>
          <t>2026-02-23 23:48</t>
        </is>
      </c>
      <c r="L440" t="inlineStr">
        <is>
          <t>CHECK_VENDOR</t>
        </is>
      </c>
      <c r="M440" t="inlineStr">
        <is>
          <t>See CVE details</t>
        </is>
      </c>
      <c r="N440" t="inlineStr">
        <is>
          <t>P4</t>
        </is>
      </c>
      <c r="O440" t="inlineStr">
        <is>
          <t>CVE - IP enrichment n/a</t>
        </is>
      </c>
      <c r="P440" t="n">
        <v>0</v>
      </c>
      <c r="Q440" t="n">
        <v>0</v>
      </c>
      <c r="R440" t="inlineStr">
        <is>
          <t>T1190:Exploit Public-Facing Application</t>
        </is>
      </c>
      <c r="S440" t="n">
        <v>1</v>
      </c>
      <c r="T440" t="inlineStr">
        <is>
          <t>LOW (40%)</t>
        </is>
      </c>
      <c r="U440" t="inlineStr">
        <is>
          <t>UNLIKELY</t>
        </is>
      </c>
      <c r="V440" t="inlineStr">
        <is>
          <t>CHECK_VENDOR</t>
        </is>
      </c>
      <c r="W440" t="inlineStr">
        <is>
          <t>https://nvd.nist.gov/vuln/detail/CVE-2026-2703</t>
        </is>
      </c>
      <c r="X440" t="inlineStr">
        <is>
          <t>NONE</t>
        </is>
      </c>
      <c r="Y440" t="n">
        <v>0</v>
      </c>
      <c r="Z440" t="inlineStr"/>
      <c r="AA440" t="inlineStr">
        <is>
          <t>https://nvd.nist.gov/vuln/detail/CVE-2026-2703</t>
        </is>
      </c>
    </row>
    <row r="441">
      <c r="A441" t="inlineStr">
        <is>
          <t>CVE</t>
        </is>
      </c>
      <c r="B441" t="inlineStr">
        <is>
          <t>CVE-2026-2704</t>
        </is>
      </c>
      <c r="C441" t="inlineStr">
        <is>
          <t>A security vulnerability has been detected in Open Babel up to 3.1.1. The affected element is the function OpenBabel::transform3d::DescribeAsString of the file src/math/transform3d.cpp of the component CIF File Handler. The manipulation leads to out-of-bounds read. It is possible to initiate the attack remotely. The exploit has been disclosed publicly and may be used. The project was informed of the problem early through an issue report but has not responded yet.</t>
        </is>
      </c>
      <c r="D441" t="n">
        <v>4.3</v>
      </c>
      <c r="E441" t="inlineStr">
        <is>
          <t>MEDIUM</t>
        </is>
      </c>
      <c r="F441" t="n">
        <v>2</v>
      </c>
      <c r="G441" t="n">
        <v>2</v>
      </c>
      <c r="H441" t="inlineStr">
        <is>
          <t>MEDIUM</t>
        </is>
      </c>
      <c r="I441" t="n">
        <v>8.300000000000001</v>
      </c>
      <c r="J441" t="inlineStr">
        <is>
          <t>NO</t>
        </is>
      </c>
      <c r="K441" t="inlineStr">
        <is>
          <t>2026-02-23 23:48</t>
        </is>
      </c>
      <c r="L441" t="inlineStr">
        <is>
          <t>CHECK_VENDOR</t>
        </is>
      </c>
      <c r="M441" t="inlineStr">
        <is>
          <t>openbabel open_babel *</t>
        </is>
      </c>
      <c r="N441" t="inlineStr">
        <is>
          <t>P4</t>
        </is>
      </c>
      <c r="O441" t="inlineStr">
        <is>
          <t>CVE - IP enrichment n/a</t>
        </is>
      </c>
      <c r="P441" t="n">
        <v>0</v>
      </c>
      <c r="Q441" t="n">
        <v>0</v>
      </c>
      <c r="R441" t="inlineStr">
        <is>
          <t>T1203:Exploitation for Client Execution</t>
        </is>
      </c>
      <c r="S441" t="n">
        <v>1</v>
      </c>
      <c r="T441" t="inlineStr">
        <is>
          <t>LOW (40%)</t>
        </is>
      </c>
      <c r="U441" t="inlineStr">
        <is>
          <t>UNLIKELY</t>
        </is>
      </c>
      <c r="V441" t="inlineStr">
        <is>
          <t>CHECK_VENDOR</t>
        </is>
      </c>
      <c r="W441" t="inlineStr">
        <is>
          <t>https://nvd.nist.gov/vuln/detail/CVE-2026-2704</t>
        </is>
      </c>
      <c r="X441" t="inlineStr">
        <is>
          <t>NONE</t>
        </is>
      </c>
      <c r="Y441" t="n">
        <v>0</v>
      </c>
      <c r="Z441" t="inlineStr"/>
      <c r="AA441" t="inlineStr">
        <is>
          <t>https://nvd.nist.gov/vuln/detail/CVE-2026-2704</t>
        </is>
      </c>
    </row>
    <row r="442">
      <c r="A442" t="inlineStr">
        <is>
          <t>CVE</t>
        </is>
      </c>
      <c r="B442" t="inlineStr">
        <is>
          <t>CVE-2026-2705</t>
        </is>
      </c>
      <c r="C442" t="inlineStr">
        <is>
          <t>A vulnerability was detected in Open Babel up to 3.1.1. The impacted element is the function OBAtom::SetFormalCharge in the library include/openbabel/atom.h of the component MOL2 File Handler. The manipulation results in out-of-bounds read. It is possible to launch the attack remotely. The exploit is now public and may be used. The project was informed of the problem early through an issue report but has not responded yet.</t>
        </is>
      </c>
      <c r="D442" t="n">
        <v>4.3</v>
      </c>
      <c r="E442" t="inlineStr">
        <is>
          <t>MEDIUM</t>
        </is>
      </c>
      <c r="F442" t="n">
        <v>2</v>
      </c>
      <c r="G442" t="n">
        <v>2</v>
      </c>
      <c r="H442" t="inlineStr">
        <is>
          <t>MEDIUM</t>
        </is>
      </c>
      <c r="I442" t="n">
        <v>8.300000000000001</v>
      </c>
      <c r="J442" t="inlineStr">
        <is>
          <t>NO</t>
        </is>
      </c>
      <c r="K442" t="inlineStr">
        <is>
          <t>2026-02-23 23:48</t>
        </is>
      </c>
      <c r="L442" t="inlineStr">
        <is>
          <t>CHECK_VENDOR</t>
        </is>
      </c>
      <c r="M442" t="inlineStr">
        <is>
          <t>openbabel open_babel *</t>
        </is>
      </c>
      <c r="N442" t="inlineStr">
        <is>
          <t>P4</t>
        </is>
      </c>
      <c r="O442" t="inlineStr">
        <is>
          <t>CVE - IP enrichment n/a</t>
        </is>
      </c>
      <c r="P442" t="n">
        <v>0</v>
      </c>
      <c r="Q442" t="n">
        <v>0</v>
      </c>
      <c r="R442" t="inlineStr">
        <is>
          <t>T1203:Exploitation for Client Execution</t>
        </is>
      </c>
      <c r="S442" t="n">
        <v>1</v>
      </c>
      <c r="T442" t="inlineStr">
        <is>
          <t>LOW (40%)</t>
        </is>
      </c>
      <c r="U442" t="inlineStr">
        <is>
          <t>UNLIKELY</t>
        </is>
      </c>
      <c r="V442" t="inlineStr">
        <is>
          <t>CHECK_VENDOR</t>
        </is>
      </c>
      <c r="W442" t="inlineStr">
        <is>
          <t>https://nvd.nist.gov/vuln/detail/CVE-2026-2705</t>
        </is>
      </c>
      <c r="X442" t="inlineStr">
        <is>
          <t>NONE</t>
        </is>
      </c>
      <c r="Y442" t="n">
        <v>0</v>
      </c>
      <c r="Z442" t="inlineStr"/>
      <c r="AA442" t="inlineStr">
        <is>
          <t>https://nvd.nist.gov/vuln/detail/CVE-2026-2705</t>
        </is>
      </c>
    </row>
    <row r="443">
      <c r="A443" t="inlineStr">
        <is>
          <t>CVE</t>
        </is>
      </c>
      <c r="B443" t="inlineStr">
        <is>
          <t>CVE-2026-2706</t>
        </is>
      </c>
      <c r="C443" t="inlineStr">
        <is>
          <t>A flaw has been found in code-projects Patient Record Management System 1.0. This affects an unknown function of the file /fecalysis_not.php. This manipulation of the argument comp_id causes sql injection. The attack can be initiated remotely. The exploit has been published and may be used.</t>
        </is>
      </c>
      <c r="D443" t="n">
        <v>6.3</v>
      </c>
      <c r="E443" t="inlineStr">
        <is>
          <t>MEDIUM</t>
        </is>
      </c>
      <c r="F443" t="n">
        <v>2</v>
      </c>
      <c r="G443" t="n">
        <v>2</v>
      </c>
      <c r="H443" t="inlineStr">
        <is>
          <t>MEDIUM</t>
        </is>
      </c>
      <c r="I443" t="n">
        <v>10.3</v>
      </c>
      <c r="J443" t="inlineStr">
        <is>
          <t>NO</t>
        </is>
      </c>
      <c r="K443" t="inlineStr">
        <is>
          <t>2026-02-23 23:48</t>
        </is>
      </c>
      <c r="L443" t="inlineStr">
        <is>
          <t>CHECK_VENDOR</t>
        </is>
      </c>
      <c r="M443" t="inlineStr">
        <is>
          <t>code-projects patient_record_management_system 1.0</t>
        </is>
      </c>
      <c r="N443" t="inlineStr">
        <is>
          <t>P4</t>
        </is>
      </c>
      <c r="O443" t="inlineStr">
        <is>
          <t>CVE - IP enrichment n/a</t>
        </is>
      </c>
      <c r="P443" t="n">
        <v>0</v>
      </c>
      <c r="Q443" t="n">
        <v>0</v>
      </c>
      <c r="R443" t="inlineStr">
        <is>
          <t>T1190:Exploit Public-Facing Application</t>
        </is>
      </c>
      <c r="S443" t="n">
        <v>1</v>
      </c>
      <c r="T443" t="inlineStr">
        <is>
          <t>LOW (40%)</t>
        </is>
      </c>
      <c r="U443" t="inlineStr">
        <is>
          <t>UNLIKELY</t>
        </is>
      </c>
      <c r="V443" t="inlineStr">
        <is>
          <t>CHECK_VENDOR</t>
        </is>
      </c>
      <c r="W443" t="inlineStr">
        <is>
          <t>https://nvd.nist.gov/vuln/detail/CVE-2026-2706</t>
        </is>
      </c>
      <c r="X443" t="inlineStr">
        <is>
          <t>NONE</t>
        </is>
      </c>
      <c r="Y443" t="n">
        <v>0</v>
      </c>
      <c r="Z443" t="inlineStr"/>
      <c r="AA443" t="inlineStr">
        <is>
          <t>https://nvd.nist.gov/vuln/detail/CVE-2026-2706</t>
        </is>
      </c>
    </row>
    <row r="444">
      <c r="A444" t="inlineStr">
        <is>
          <t>CVE</t>
        </is>
      </c>
      <c r="B444" t="inlineStr">
        <is>
          <t>CVE-2026-2709</t>
        </is>
      </c>
      <c r="C444" t="inlineStr">
        <is>
          <t>A flaw has been found in busy up to 2.5.5. The affected element is an unknown function of the file source-code/busy-master/src/server/app.js of the component Callback Handler. Executing a manipulation of the argument state can lead to open redirect. It is possible to launch the attack remotely. The exploit has been published and may be used. The project was informed of the problem early through an issue report but has not responded yet.</t>
        </is>
      </c>
      <c r="D444" t="n">
        <v>3.5</v>
      </c>
      <c r="E444" t="inlineStr">
        <is>
          <t>LOW</t>
        </is>
      </c>
      <c r="F444" t="n">
        <v>2</v>
      </c>
      <c r="G444" t="n">
        <v>1</v>
      </c>
      <c r="H444" t="inlineStr">
        <is>
          <t>LOW</t>
        </is>
      </c>
      <c r="I444" t="n">
        <v>5.5</v>
      </c>
      <c r="J444" t="inlineStr">
        <is>
          <t>NO</t>
        </is>
      </c>
      <c r="K444" t="inlineStr">
        <is>
          <t>2026-02-23 23:48</t>
        </is>
      </c>
      <c r="L444" t="inlineStr">
        <is>
          <t>CHECK_VENDOR</t>
        </is>
      </c>
      <c r="M444" t="inlineStr">
        <is>
          <t>See CVE details</t>
        </is>
      </c>
      <c r="N444" t="inlineStr">
        <is>
          <t>P4</t>
        </is>
      </c>
      <c r="O444" t="inlineStr">
        <is>
          <t>CVE - IP enrichment n/a</t>
        </is>
      </c>
      <c r="P444" t="n">
        <v>0</v>
      </c>
      <c r="Q444" t="n">
        <v>0</v>
      </c>
      <c r="R444" t="inlineStr">
        <is>
          <t>T1189:Drive-by Compromise | T1190:Exploit Public-Facing Application</t>
        </is>
      </c>
      <c r="S444" t="n">
        <v>1</v>
      </c>
      <c r="T444" t="inlineStr">
        <is>
          <t>LOW (40%)</t>
        </is>
      </c>
      <c r="U444" t="inlineStr">
        <is>
          <t>UNLIKELY</t>
        </is>
      </c>
      <c r="V444" t="inlineStr">
        <is>
          <t>CHECK_VENDOR</t>
        </is>
      </c>
      <c r="W444" t="inlineStr">
        <is>
          <t>https://nvd.nist.gov/vuln/detail/CVE-2026-2709</t>
        </is>
      </c>
      <c r="X444" t="inlineStr">
        <is>
          <t>NONE</t>
        </is>
      </c>
      <c r="Y444" t="n">
        <v>0</v>
      </c>
      <c r="Z444" t="inlineStr"/>
      <c r="AA444" t="inlineStr">
        <is>
          <t>https://nvd.nist.gov/vuln/detail/CVE-2026-2709</t>
        </is>
      </c>
    </row>
    <row r="445">
      <c r="A445" t="inlineStr">
        <is>
          <t>CVE</t>
        </is>
      </c>
      <c r="B445" t="inlineStr">
        <is>
          <t>CVE-2026-2731</t>
        </is>
      </c>
      <c r="C445" t="inlineStr">
        <is>
          <t>Path traversal and content injection in JobRunnerBackground.aspx in DynamicWeb 8 (all) and 9 (&lt;9.19.7 and &lt;9.20.3) allows unauthenticated attackers to execute code via simple web requests</t>
        </is>
      </c>
      <c r="D445" t="n">
        <v>8.5</v>
      </c>
      <c r="E445" t="inlineStr">
        <is>
          <t>HIGH</t>
        </is>
      </c>
      <c r="F445" t="n">
        <v>2</v>
      </c>
      <c r="G445" t="n">
        <v>3</v>
      </c>
      <c r="H445" t="inlineStr">
        <is>
          <t>HIGH</t>
        </is>
      </c>
      <c r="I445" t="n">
        <v>14.5</v>
      </c>
      <c r="J445" t="inlineStr">
        <is>
          <t>NO</t>
        </is>
      </c>
      <c r="K445" t="inlineStr">
        <is>
          <t>2026-02-23 23:48</t>
        </is>
      </c>
      <c r="L445" t="inlineStr">
        <is>
          <t>CHECK_VENDOR</t>
        </is>
      </c>
      <c r="M445" t="inlineStr">
        <is>
          <t>See CVE details</t>
        </is>
      </c>
      <c r="N445" t="inlineStr">
        <is>
          <t>P3</t>
        </is>
      </c>
      <c r="O445" t="inlineStr">
        <is>
          <t>CVE - IP enrichment n/a</t>
        </is>
      </c>
      <c r="P445" t="n">
        <v>0.0016</v>
      </c>
      <c r="Q445" t="n">
        <v>0.371</v>
      </c>
      <c r="R445" t="inlineStr">
        <is>
          <t>T1083:File and Directory Discovery</t>
        </is>
      </c>
      <c r="S445" t="n">
        <v>1</v>
      </c>
      <c r="T445" t="inlineStr">
        <is>
          <t>LOW (40%)</t>
        </is>
      </c>
      <c r="U445" t="inlineStr">
        <is>
          <t>UNLIKELY</t>
        </is>
      </c>
      <c r="V445" t="inlineStr">
        <is>
          <t>CHECK_VENDOR</t>
        </is>
      </c>
      <c r="W445" t="inlineStr">
        <is>
          <t>https://nvd.nist.gov/vuln/detail/CVE-2026-2731</t>
        </is>
      </c>
      <c r="X445" t="inlineStr">
        <is>
          <t>NONE</t>
        </is>
      </c>
      <c r="Y445" t="n">
        <v>0</v>
      </c>
      <c r="Z445" t="inlineStr"/>
      <c r="AA445" t="inlineStr">
        <is>
          <t>https://nvd.nist.gov/vuln/detail/CVE-2026-2731</t>
        </is>
      </c>
    </row>
    <row r="446">
      <c r="A446" t="inlineStr">
        <is>
          <t>CVE</t>
        </is>
      </c>
      <c r="B446" t="inlineStr">
        <is>
          <t>CVE-2026-2711</t>
        </is>
      </c>
      <c r="C446" t="inlineStr">
        <is>
          <t>A vulnerability has been found in zhutoutoutousan worldquant-miner up to 1.0.9. The impacted element is an unknown function of the file worldquant-miner-master/agent-dify-api/core/helper/ssrf_proxy.py of the component URL Handler. The manipulation of the argument make_request leads to server-side request forgery. The attack can be initiated remotely. The attack's complexity is rated as high. The exploitability is regarded as difficult. The exploit has been disclosed to the public and may be used</t>
        </is>
      </c>
      <c r="D446" t="n">
        <v>5.6</v>
      </c>
      <c r="E446" t="inlineStr">
        <is>
          <t>MEDIUM</t>
        </is>
      </c>
      <c r="F446" t="n">
        <v>2</v>
      </c>
      <c r="G446" t="n">
        <v>2</v>
      </c>
      <c r="H446" t="inlineStr">
        <is>
          <t>MEDIUM</t>
        </is>
      </c>
      <c r="I446" t="n">
        <v>9.6</v>
      </c>
      <c r="J446" t="inlineStr">
        <is>
          <t>NO</t>
        </is>
      </c>
      <c r="K446" t="inlineStr">
        <is>
          <t>2026-02-23 23:48</t>
        </is>
      </c>
      <c r="L446" t="inlineStr">
        <is>
          <t>CHECK_VENDOR</t>
        </is>
      </c>
      <c r="M446" t="inlineStr">
        <is>
          <t>See CVE details</t>
        </is>
      </c>
      <c r="N446" t="inlineStr">
        <is>
          <t>P4</t>
        </is>
      </c>
      <c r="O446" t="inlineStr">
        <is>
          <t>CVE - IP enrichment n/a</t>
        </is>
      </c>
      <c r="P446" t="n">
        <v>0</v>
      </c>
      <c r="Q446" t="n">
        <v>0</v>
      </c>
      <c r="R446" t="inlineStr">
        <is>
          <t>T1090:Proxy</t>
        </is>
      </c>
      <c r="S446" t="n">
        <v>1</v>
      </c>
      <c r="T446" t="inlineStr">
        <is>
          <t>LOW (40%)</t>
        </is>
      </c>
      <c r="U446" t="inlineStr">
        <is>
          <t>UNLIKELY</t>
        </is>
      </c>
      <c r="V446" t="inlineStr">
        <is>
          <t>CHECK_VENDOR</t>
        </is>
      </c>
      <c r="W446" t="inlineStr">
        <is>
          <t>https://nvd.nist.gov/vuln/detail/CVE-2026-2711</t>
        </is>
      </c>
      <c r="X446" t="inlineStr">
        <is>
          <t>NONE</t>
        </is>
      </c>
      <c r="Y446" t="n">
        <v>0</v>
      </c>
      <c r="Z446" t="inlineStr"/>
      <c r="AA446" t="inlineStr">
        <is>
          <t>https://nvd.nist.gov/vuln/detail/CVE-2026-2711</t>
        </is>
      </c>
    </row>
    <row r="447">
      <c r="A447" t="inlineStr">
        <is>
          <t>CVE</t>
        </is>
      </c>
      <c r="B447" t="inlineStr">
        <is>
          <t>CVE-2026-2733</t>
        </is>
      </c>
      <c r="C447" t="inlineStr">
        <is>
          <t>A flaw was identified in the Docker v2 authentication endpoint of Keycloak, where tokens continue to be issued even after a Docker registry client has been administratively disabled. This means that turning the client “Enabled” setting to OFF does not fully prevent access. As a result, previously valid credentials can still be used to obtain authentication tokens. This weakens administrative controls and could allow unintended access to container registry resources.</t>
        </is>
      </c>
      <c r="D447" t="n">
        <v>3.8</v>
      </c>
      <c r="E447" t="inlineStr">
        <is>
          <t>LOW</t>
        </is>
      </c>
      <c r="F447" t="n">
        <v>2</v>
      </c>
      <c r="G447" t="n">
        <v>1</v>
      </c>
      <c r="H447" t="inlineStr">
        <is>
          <t>LOW</t>
        </is>
      </c>
      <c r="I447" t="n">
        <v>5.8</v>
      </c>
      <c r="J447" t="inlineStr">
        <is>
          <t>NO</t>
        </is>
      </c>
      <c r="K447" t="inlineStr">
        <is>
          <t>2026-02-23 23:48</t>
        </is>
      </c>
      <c r="L447" t="inlineStr">
        <is>
          <t>CHECK_VENDOR</t>
        </is>
      </c>
      <c r="M447" t="inlineStr">
        <is>
          <t>See CVE details</t>
        </is>
      </c>
      <c r="N447" t="inlineStr">
        <is>
          <t>P4</t>
        </is>
      </c>
      <c r="O447" t="inlineStr">
        <is>
          <t>CVE - IP enrichment n/a</t>
        </is>
      </c>
      <c r="P447" t="n">
        <v>0</v>
      </c>
      <c r="Q447" t="n">
        <v>0</v>
      </c>
      <c r="R447" t="inlineStr">
        <is>
          <t>T1190:Exploit Public-Facing Application | T1552:Unsecured Credentials</t>
        </is>
      </c>
      <c r="S447" t="n">
        <v>1</v>
      </c>
      <c r="T447" t="inlineStr">
        <is>
          <t>LOW (40%)</t>
        </is>
      </c>
      <c r="U447" t="inlineStr">
        <is>
          <t>UNLIKELY</t>
        </is>
      </c>
      <c r="V447" t="inlineStr">
        <is>
          <t>CHECK_VENDOR</t>
        </is>
      </c>
      <c r="W447" t="inlineStr">
        <is>
          <t>https://nvd.nist.gov/vuln/detail/CVE-2026-2733</t>
        </is>
      </c>
      <c r="X447" t="inlineStr">
        <is>
          <t>NONE</t>
        </is>
      </c>
      <c r="Y447" t="n">
        <v>0</v>
      </c>
      <c r="Z447" t="inlineStr"/>
      <c r="AA447" t="inlineStr">
        <is>
          <t>https://nvd.nist.gov/vuln/detail/CVE-2026-2733</t>
        </is>
      </c>
    </row>
    <row r="448">
      <c r="A448" t="inlineStr">
        <is>
          <t>CVE</t>
        </is>
      </c>
      <c r="B448" t="inlineStr">
        <is>
          <t>CVE-2025-40697</t>
        </is>
      </c>
      <c r="C448" t="inlineStr">
        <is>
          <t>Reflected Cross-Site Scripting (XSS) vulnerability in '/index.php' in Lewe WebMeasure, which allows remote attackers to execute arbitrary code through the 'page' parameter. This vulnerability can be exploited to steal sensitive user data, such as session cookies, or to perform actions on behalf of the user.</t>
        </is>
      </c>
      <c r="D448" t="n">
        <v>5</v>
      </c>
      <c r="E448" t="inlineStr">
        <is>
          <t>MEDIUM</t>
        </is>
      </c>
      <c r="F448" t="n">
        <v>2</v>
      </c>
      <c r="G448" t="n">
        <v>2</v>
      </c>
      <c r="H448" t="inlineStr">
        <is>
          <t>MEDIUM</t>
        </is>
      </c>
      <c r="I448" t="n">
        <v>9</v>
      </c>
      <c r="J448" t="inlineStr">
        <is>
          <t>NO</t>
        </is>
      </c>
      <c r="K448" t="inlineStr">
        <is>
          <t>2026-02-23 23:48</t>
        </is>
      </c>
      <c r="L448" t="inlineStr">
        <is>
          <t>CHECK_VENDOR</t>
        </is>
      </c>
      <c r="M448" t="inlineStr">
        <is>
          <t>See CVE details</t>
        </is>
      </c>
      <c r="N448" t="inlineStr">
        <is>
          <t>P4</t>
        </is>
      </c>
      <c r="O448" t="inlineStr">
        <is>
          <t>CVE - IP enrichment n/a</t>
        </is>
      </c>
      <c r="P448" t="n">
        <v>0</v>
      </c>
      <c r="Q448" t="n">
        <v>0</v>
      </c>
      <c r="R448" t="inlineStr">
        <is>
          <t>T1189:Drive-by Compromise | T1203:Exploitation for Client Execution</t>
        </is>
      </c>
      <c r="S448" t="n">
        <v>1</v>
      </c>
      <c r="T448" t="inlineStr">
        <is>
          <t>LOW (40%)</t>
        </is>
      </c>
      <c r="U448" t="inlineStr">
        <is>
          <t>UNLIKELY</t>
        </is>
      </c>
      <c r="V448" t="inlineStr">
        <is>
          <t>CHECK_VENDOR</t>
        </is>
      </c>
      <c r="W448" t="inlineStr">
        <is>
          <t>https://nvd.nist.gov/vuln/detail/CVE-2025-40697</t>
        </is>
      </c>
      <c r="X448" t="inlineStr">
        <is>
          <t>NONE</t>
        </is>
      </c>
      <c r="Y448" t="n">
        <v>0</v>
      </c>
      <c r="Z448" t="inlineStr"/>
      <c r="AA448" t="inlineStr">
        <is>
          <t>https://nvd.nist.gov/vuln/detail/CVE-2025-40697</t>
        </is>
      </c>
    </row>
    <row r="449">
      <c r="A449" t="inlineStr">
        <is>
          <t>CVE</t>
        </is>
      </c>
      <c r="B449" t="inlineStr">
        <is>
          <t>CVE-2025-41023</t>
        </is>
      </c>
      <c r="C449" t="inlineStr">
        <is>
          <t>An authentication bypass vulnerability has been found in Thesamur's AutoGPT. This vulnerability allows an attacker to bypass authentication mechanisms. Once inside the web application, the attacker can use any of its features regardless of the authorisation method used.</t>
        </is>
      </c>
      <c r="D449" t="n">
        <v>5</v>
      </c>
      <c r="E449" t="inlineStr">
        <is>
          <t>MEDIUM</t>
        </is>
      </c>
      <c r="F449" t="n">
        <v>2</v>
      </c>
      <c r="G449" t="n">
        <v>2</v>
      </c>
      <c r="H449" t="inlineStr">
        <is>
          <t>MEDIUM</t>
        </is>
      </c>
      <c r="I449" t="n">
        <v>9</v>
      </c>
      <c r="J449" t="inlineStr">
        <is>
          <t>NO</t>
        </is>
      </c>
      <c r="K449" t="inlineStr">
        <is>
          <t>2026-02-23 23:48</t>
        </is>
      </c>
      <c r="L449" t="inlineStr">
        <is>
          <t>CHECK_VENDOR</t>
        </is>
      </c>
      <c r="M449" t="inlineStr">
        <is>
          <t>See CVE details</t>
        </is>
      </c>
      <c r="N449" t="inlineStr">
        <is>
          <t>P4</t>
        </is>
      </c>
      <c r="O449" t="inlineStr">
        <is>
          <t>CVE - IP enrichment n/a</t>
        </is>
      </c>
      <c r="P449" t="n">
        <v>0</v>
      </c>
      <c r="Q449" t="n">
        <v>0</v>
      </c>
      <c r="R449" t="inlineStr">
        <is>
          <t>T1078:Valid Accounts | T1110:Brute Force</t>
        </is>
      </c>
      <c r="S449" t="n">
        <v>1</v>
      </c>
      <c r="T449" t="inlineStr">
        <is>
          <t>LOW (40%)</t>
        </is>
      </c>
      <c r="U449" t="inlineStr">
        <is>
          <t>UNLIKELY</t>
        </is>
      </c>
      <c r="V449" t="inlineStr">
        <is>
          <t>CHECK_VENDOR</t>
        </is>
      </c>
      <c r="W449" t="inlineStr">
        <is>
          <t>https://nvd.nist.gov/vuln/detail/CVE-2025-41023</t>
        </is>
      </c>
      <c r="X449" t="inlineStr">
        <is>
          <t>NONE</t>
        </is>
      </c>
      <c r="Y449" t="n">
        <v>0</v>
      </c>
      <c r="Z449" t="inlineStr"/>
      <c r="AA449" t="inlineStr">
        <is>
          <t>https://nvd.nist.gov/vuln/detail/CVE-2025-41023</t>
        </is>
      </c>
    </row>
    <row r="450">
      <c r="A450" t="inlineStr">
        <is>
          <t>CVE</t>
        </is>
      </c>
      <c r="B450" t="inlineStr">
        <is>
          <t>CVE-2026-22269</t>
        </is>
      </c>
      <c r="C450" t="inlineStr">
        <is>
          <t>Dell PowerProtect Data Manager, version(s) prior to 19.22, contain(s) an Improper Verification of Source of a Communication Channel vulnerability in the REST API. A high privileged attacker with remote access could potentially exploit this vulnerability, leading to protection mechanism bypass.</t>
        </is>
      </c>
      <c r="D450" t="n">
        <v>4.7</v>
      </c>
      <c r="E450" t="inlineStr">
        <is>
          <t>MEDIUM</t>
        </is>
      </c>
      <c r="F450" t="n">
        <v>2</v>
      </c>
      <c r="G450" t="n">
        <v>2</v>
      </c>
      <c r="H450" t="inlineStr">
        <is>
          <t>MEDIUM</t>
        </is>
      </c>
      <c r="I450" t="n">
        <v>8.699999999999999</v>
      </c>
      <c r="J450" t="inlineStr">
        <is>
          <t>NO</t>
        </is>
      </c>
      <c r="K450" t="inlineStr">
        <is>
          <t>2026-02-23 23:48</t>
        </is>
      </c>
      <c r="L450" t="inlineStr">
        <is>
          <t>YES</t>
        </is>
      </c>
      <c r="M450" t="inlineStr">
        <is>
          <t>dell powerprotect_data_manager *</t>
        </is>
      </c>
      <c r="N450" t="inlineStr">
        <is>
          <t>P4</t>
        </is>
      </c>
      <c r="O450" t="inlineStr">
        <is>
          <t>CVE - IP enrichment n/a</t>
        </is>
      </c>
      <c r="P450" t="n">
        <v>0.0003</v>
      </c>
      <c r="Q450" t="n">
        <v>0.0959</v>
      </c>
      <c r="R450" t="inlineStr">
        <is>
          <t>T1190:Exploit Public-Facing Application</t>
        </is>
      </c>
      <c r="S450" t="n">
        <v>1</v>
      </c>
      <c r="T450" t="inlineStr">
        <is>
          <t>LOW (40%)</t>
        </is>
      </c>
      <c r="U450" t="inlineStr">
        <is>
          <t>UNLIKELY</t>
        </is>
      </c>
      <c r="V450" t="inlineStr">
        <is>
          <t>PATCH_AVAILABLE</t>
        </is>
      </c>
      <c r="W450" t="inlineStr">
        <is>
          <t>https://nvd.nist.gov/vuln/detail/CVE-2026-22269</t>
        </is>
      </c>
      <c r="X450" t="inlineStr">
        <is>
          <t>NONE</t>
        </is>
      </c>
      <c r="Y450" t="n">
        <v>0</v>
      </c>
      <c r="Z450" t="inlineStr"/>
      <c r="AA450" t="inlineStr">
        <is>
          <t>https://nvd.nist.gov/vuln/detail/CVE-2026-22269</t>
        </is>
      </c>
    </row>
    <row r="451">
      <c r="A451" t="inlineStr">
        <is>
          <t>CVE</t>
        </is>
      </c>
      <c r="B451" t="inlineStr">
        <is>
          <t>CVE-2026-22333</t>
        </is>
      </c>
      <c r="C451" t="inlineStr">
        <is>
          <t>Deserialization of Untrusted Data vulnerability in YITHEMES YITH WooCommerce Compare yith-woocommerce-compare allows Object Injection.This issue affects YITH WooCommerce Compare: from n/a through &lt;= 3.6.0.</t>
        </is>
      </c>
      <c r="D451" t="n">
        <v>8.5</v>
      </c>
      <c r="E451" t="inlineStr">
        <is>
          <t>HIGH</t>
        </is>
      </c>
      <c r="F451" t="n">
        <v>2</v>
      </c>
      <c r="G451" t="n">
        <v>3</v>
      </c>
      <c r="H451" t="inlineStr">
        <is>
          <t>HIGH</t>
        </is>
      </c>
      <c r="I451" t="n">
        <v>14.5</v>
      </c>
      <c r="J451" t="inlineStr">
        <is>
          <t>NO</t>
        </is>
      </c>
      <c r="K451" t="inlineStr">
        <is>
          <t>2026-02-23 23:48</t>
        </is>
      </c>
      <c r="L451" t="inlineStr">
        <is>
          <t>CHECK_VENDOR</t>
        </is>
      </c>
      <c r="M451" t="inlineStr">
        <is>
          <t>See CVE details</t>
        </is>
      </c>
      <c r="N451" t="inlineStr">
        <is>
          <t>P3</t>
        </is>
      </c>
      <c r="O451" t="inlineStr">
        <is>
          <t>CVE - IP enrichment n/a</t>
        </is>
      </c>
      <c r="P451" t="n">
        <v>0.0002</v>
      </c>
      <c r="Q451" t="n">
        <v>0.0636</v>
      </c>
      <c r="R451" t="inlineStr">
        <is>
          <t>T1059:Command and Scripting Interpreter | T1190:Exploit Public-Facing Application</t>
        </is>
      </c>
      <c r="S451" t="n">
        <v>1</v>
      </c>
      <c r="T451" t="inlineStr">
        <is>
          <t>LOW (40%)</t>
        </is>
      </c>
      <c r="U451" t="inlineStr">
        <is>
          <t>UNLIKELY</t>
        </is>
      </c>
      <c r="V451" t="inlineStr">
        <is>
          <t>CHECK_VENDOR</t>
        </is>
      </c>
      <c r="W451" t="inlineStr">
        <is>
          <t>https://nvd.nist.gov/vuln/detail/CVE-2026-22333</t>
        </is>
      </c>
      <c r="X451" t="inlineStr">
        <is>
          <t>NONE</t>
        </is>
      </c>
      <c r="Y451" t="n">
        <v>0</v>
      </c>
      <c r="Z451" t="inlineStr"/>
      <c r="AA451" t="inlineStr">
        <is>
          <t>https://nvd.nist.gov/vuln/detail/CVE-2026-22333</t>
        </is>
      </c>
    </row>
    <row r="452">
      <c r="A452" t="inlineStr">
        <is>
          <t>CVE</t>
        </is>
      </c>
      <c r="B452" t="inlineStr">
        <is>
          <t>CVE-2026-22422</t>
        </is>
      </c>
      <c r="C452" t="inlineStr">
        <is>
          <t>Improper Neutralization of Script-Related HTML Tags in a Web Page (Basic XSS) vulnerability in wpeverest Everest Forms everest-forms allows Code Injection.This issue affects Everest Forms: from n/a through &lt;= 3.4.1.</t>
        </is>
      </c>
      <c r="D452" t="n">
        <v>5.3</v>
      </c>
      <c r="E452" t="inlineStr">
        <is>
          <t>MEDIUM</t>
        </is>
      </c>
      <c r="F452" t="n">
        <v>2</v>
      </c>
      <c r="G452" t="n">
        <v>2</v>
      </c>
      <c r="H452" t="inlineStr">
        <is>
          <t>MEDIUM</t>
        </is>
      </c>
      <c r="I452" t="n">
        <v>9.300000000000001</v>
      </c>
      <c r="J452" t="inlineStr">
        <is>
          <t>NO</t>
        </is>
      </c>
      <c r="K452" t="inlineStr">
        <is>
          <t>2026-02-23 23:48</t>
        </is>
      </c>
      <c r="L452" t="inlineStr">
        <is>
          <t>CHECK_VENDOR</t>
        </is>
      </c>
      <c r="M452" t="inlineStr">
        <is>
          <t>See CVE details</t>
        </is>
      </c>
      <c r="N452" t="inlineStr">
        <is>
          <t>P4</t>
        </is>
      </c>
      <c r="O452" t="inlineStr">
        <is>
          <t>CVE - IP enrichment n/a</t>
        </is>
      </c>
      <c r="P452" t="n">
        <v>0</v>
      </c>
      <c r="Q452" t="n">
        <v>0</v>
      </c>
      <c r="R452" t="inlineStr">
        <is>
          <t>T1189:Drive-by Compromise</t>
        </is>
      </c>
      <c r="S452" t="n">
        <v>1</v>
      </c>
      <c r="T452" t="inlineStr">
        <is>
          <t>LOW (40%)</t>
        </is>
      </c>
      <c r="U452" t="inlineStr">
        <is>
          <t>UNLIKELY</t>
        </is>
      </c>
      <c r="V452" t="inlineStr">
        <is>
          <t>CHECK_VENDOR</t>
        </is>
      </c>
      <c r="W452" t="inlineStr">
        <is>
          <t>https://nvd.nist.gov/vuln/detail/CVE-2026-22422</t>
        </is>
      </c>
      <c r="X452" t="inlineStr">
        <is>
          <t>NONE</t>
        </is>
      </c>
      <c r="Y452" t="n">
        <v>0</v>
      </c>
      <c r="Z452" t="inlineStr"/>
      <c r="AA452" t="inlineStr">
        <is>
          <t>https://nvd.nist.gov/vuln/detail/CVE-2026-22422</t>
        </is>
      </c>
    </row>
    <row r="453">
      <c r="A453" t="inlineStr">
        <is>
          <t>CVE</t>
        </is>
      </c>
      <c r="B453" t="inlineStr">
        <is>
          <t>CVE-2026-23541</t>
        </is>
      </c>
      <c r="C453" t="inlineStr">
        <is>
          <t>Missing Authorization vulnerability in WPFunnels Mail Mint mail-mint allows Accessing Functionality Not Properly Constrained by ACLs.This issue affects Mail Mint: from n/a through &lt;= 1.19.4.</t>
        </is>
      </c>
      <c r="D453" t="n">
        <v>5</v>
      </c>
      <c r="E453" t="inlineStr">
        <is>
          <t>MEDIUM</t>
        </is>
      </c>
      <c r="F453" t="n">
        <v>2</v>
      </c>
      <c r="G453" t="n">
        <v>2</v>
      </c>
      <c r="H453" t="inlineStr">
        <is>
          <t>MEDIUM</t>
        </is>
      </c>
      <c r="I453" t="n">
        <v>9</v>
      </c>
      <c r="J453" t="inlineStr">
        <is>
          <t>NO</t>
        </is>
      </c>
      <c r="K453" t="inlineStr">
        <is>
          <t>2026-02-23 23:48</t>
        </is>
      </c>
      <c r="L453" t="inlineStr">
        <is>
          <t>CHECK_VENDOR</t>
        </is>
      </c>
      <c r="M453" t="inlineStr">
        <is>
          <t>See CVE details</t>
        </is>
      </c>
      <c r="N453" t="inlineStr">
        <is>
          <t>P4</t>
        </is>
      </c>
      <c r="O453" t="inlineStr">
        <is>
          <t>CVE - IP enrichment n/a</t>
        </is>
      </c>
      <c r="P453" t="n">
        <v>0</v>
      </c>
      <c r="Q453" t="n">
        <v>0</v>
      </c>
      <c r="R453" t="inlineStr">
        <is>
          <t>T1190:Exploit Public-Facing Application</t>
        </is>
      </c>
      <c r="S453" t="n">
        <v>1</v>
      </c>
      <c r="T453" t="inlineStr">
        <is>
          <t>LOW (40%)</t>
        </is>
      </c>
      <c r="U453" t="inlineStr">
        <is>
          <t>UNLIKELY</t>
        </is>
      </c>
      <c r="V453" t="inlineStr">
        <is>
          <t>CHECK_VENDOR</t>
        </is>
      </c>
      <c r="W453" t="inlineStr">
        <is>
          <t>https://nvd.nist.gov/vuln/detail/CVE-2026-23541</t>
        </is>
      </c>
      <c r="X453" t="inlineStr">
        <is>
          <t>NONE</t>
        </is>
      </c>
      <c r="Y453" t="n">
        <v>0</v>
      </c>
      <c r="Z453" t="inlineStr"/>
      <c r="AA453" t="inlineStr">
        <is>
          <t>https://nvd.nist.gov/vuln/detail/CVE-2026-23541</t>
        </is>
      </c>
    </row>
    <row r="454">
      <c r="A454" t="inlineStr">
        <is>
          <t>CVE</t>
        </is>
      </c>
      <c r="B454" t="inlineStr">
        <is>
          <t>CVE-2026-23542</t>
        </is>
      </c>
      <c r="C454" t="inlineStr">
        <is>
          <t>Deserialization of Untrusted Data vulnerability in ThemeGoods Grand Restaurant grandrestaurant allows Object Injection.This issue affects Grand Restaurant: from n/a through &lt;= 7.0.10.</t>
        </is>
      </c>
      <c r="D454" t="n">
        <v>9.800000000000001</v>
      </c>
      <c r="E454" t="inlineStr">
        <is>
          <t>CRITICAL</t>
        </is>
      </c>
      <c r="F454" t="n">
        <v>2</v>
      </c>
      <c r="G454" t="n">
        <v>3</v>
      </c>
      <c r="H454" t="inlineStr">
        <is>
          <t>HIGH</t>
        </is>
      </c>
      <c r="I454" t="n">
        <v>15.8</v>
      </c>
      <c r="J454" t="inlineStr">
        <is>
          <t>NO</t>
        </is>
      </c>
      <c r="K454" t="inlineStr">
        <is>
          <t>2026-02-23 23:48</t>
        </is>
      </c>
      <c r="L454" t="inlineStr">
        <is>
          <t>CHECK_VENDOR</t>
        </is>
      </c>
      <c r="M454" t="inlineStr">
        <is>
          <t>See CVE details</t>
        </is>
      </c>
      <c r="N454" t="inlineStr">
        <is>
          <t>P3</t>
        </is>
      </c>
      <c r="O454" t="inlineStr">
        <is>
          <t>CVE - IP enrichment n/a</t>
        </is>
      </c>
      <c r="P454" t="n">
        <v>0</v>
      </c>
      <c r="Q454" t="n">
        <v>0</v>
      </c>
      <c r="R454" t="inlineStr">
        <is>
          <t>T1059:Command and Scripting Interpreter</t>
        </is>
      </c>
      <c r="S454" t="n">
        <v>1</v>
      </c>
      <c r="T454" t="inlineStr">
        <is>
          <t>LOW (40%)</t>
        </is>
      </c>
      <c r="U454" t="inlineStr">
        <is>
          <t>UNLIKELY</t>
        </is>
      </c>
      <c r="V454" t="inlineStr">
        <is>
          <t>CHECK_VENDOR</t>
        </is>
      </c>
      <c r="W454" t="inlineStr">
        <is>
          <t>https://nvd.nist.gov/vuln/detail/CVE-2026-23542</t>
        </is>
      </c>
      <c r="X454" t="inlineStr">
        <is>
          <t>NONE</t>
        </is>
      </c>
      <c r="Y454" t="n">
        <v>0</v>
      </c>
      <c r="Z454" t="inlineStr"/>
      <c r="AA454" t="inlineStr">
        <is>
          <t>https://nvd.nist.gov/vuln/detail/CVE-2026-23542</t>
        </is>
      </c>
    </row>
    <row r="455">
      <c r="A455" t="inlineStr">
        <is>
          <t>CVE</t>
        </is>
      </c>
      <c r="B455" t="inlineStr">
        <is>
          <t>CVE-2026-23543</t>
        </is>
      </c>
      <c r="C455" t="inlineStr">
        <is>
          <t>Missing Authorization vulnerability in WPDeveloper Essential Addons for Elementor essential-addons-for-elementor-lite allows Exploiting Incorrectly Configured Access Control Security Levels.This issue affects Essential Addons for Elementor: from n/a through &lt;= 6.5.5.</t>
        </is>
      </c>
      <c r="D455" t="n">
        <v>5</v>
      </c>
      <c r="E455" t="inlineStr">
        <is>
          <t>MEDIUM</t>
        </is>
      </c>
      <c r="F455" t="n">
        <v>2</v>
      </c>
      <c r="G455" t="n">
        <v>2</v>
      </c>
      <c r="H455" t="inlineStr">
        <is>
          <t>MEDIUM</t>
        </is>
      </c>
      <c r="I455" t="n">
        <v>9</v>
      </c>
      <c r="J455" t="inlineStr">
        <is>
          <t>NO</t>
        </is>
      </c>
      <c r="K455" t="inlineStr">
        <is>
          <t>2026-02-23 23:48</t>
        </is>
      </c>
      <c r="L455" t="inlineStr">
        <is>
          <t>CHECK_VENDOR</t>
        </is>
      </c>
      <c r="M455" t="inlineStr">
        <is>
          <t>See CVE details</t>
        </is>
      </c>
      <c r="N455" t="inlineStr">
        <is>
          <t>P4</t>
        </is>
      </c>
      <c r="O455" t="inlineStr">
        <is>
          <t>CVE - IP enrichment n/a</t>
        </is>
      </c>
      <c r="P455" t="n">
        <v>0</v>
      </c>
      <c r="Q455" t="n">
        <v>0</v>
      </c>
      <c r="R455" t="inlineStr">
        <is>
          <t>T1190:Exploit Public-Facing Application</t>
        </is>
      </c>
      <c r="S455" t="n">
        <v>1</v>
      </c>
      <c r="T455" t="inlineStr">
        <is>
          <t>LOW (40%)</t>
        </is>
      </c>
      <c r="U455" t="inlineStr">
        <is>
          <t>UNLIKELY</t>
        </is>
      </c>
      <c r="V455" t="inlineStr">
        <is>
          <t>CHECK_VENDOR</t>
        </is>
      </c>
      <c r="W455" t="inlineStr">
        <is>
          <t>https://nvd.nist.gov/vuln/detail/CVE-2026-23543</t>
        </is>
      </c>
      <c r="X455" t="inlineStr">
        <is>
          <t>NONE</t>
        </is>
      </c>
      <c r="Y455" t="n">
        <v>0</v>
      </c>
      <c r="Z455" t="inlineStr"/>
      <c r="AA455" t="inlineStr">
        <is>
          <t>https://nvd.nist.gov/vuln/detail/CVE-2026-23543</t>
        </is>
      </c>
    </row>
    <row r="456">
      <c r="A456" t="inlineStr">
        <is>
          <t>CVE</t>
        </is>
      </c>
      <c r="B456" t="inlineStr">
        <is>
          <t>CVE-2026-23544</t>
        </is>
      </c>
      <c r="C456" t="inlineStr">
        <is>
          <t>Deserialization of Untrusted Data vulnerability in codetipi Valenti valenti allows Object Injection.This issue affects Valenti: from n/a through &lt;= 5.6.3.5.</t>
        </is>
      </c>
      <c r="D456" t="n">
        <v>8.800000000000001</v>
      </c>
      <c r="E456" t="inlineStr">
        <is>
          <t>HIGH</t>
        </is>
      </c>
      <c r="F456" t="n">
        <v>2</v>
      </c>
      <c r="G456" t="n">
        <v>3</v>
      </c>
      <c r="H456" t="inlineStr">
        <is>
          <t>HIGH</t>
        </is>
      </c>
      <c r="I456" t="n">
        <v>14.8</v>
      </c>
      <c r="J456" t="inlineStr">
        <is>
          <t>NO</t>
        </is>
      </c>
      <c r="K456" t="inlineStr">
        <is>
          <t>2026-02-23 23:48</t>
        </is>
      </c>
      <c r="L456" t="inlineStr">
        <is>
          <t>CHECK_VENDOR</t>
        </is>
      </c>
      <c r="M456" t="inlineStr">
        <is>
          <t>See CVE details</t>
        </is>
      </c>
      <c r="N456" t="inlineStr">
        <is>
          <t>P3</t>
        </is>
      </c>
      <c r="O456" t="inlineStr">
        <is>
          <t>CVE - IP enrichment n/a</t>
        </is>
      </c>
      <c r="P456" t="n">
        <v>0</v>
      </c>
      <c r="Q456" t="n">
        <v>0</v>
      </c>
      <c r="R456" t="inlineStr">
        <is>
          <t>T1059:Command and Scripting Interpreter</t>
        </is>
      </c>
      <c r="S456" t="n">
        <v>1</v>
      </c>
      <c r="T456" t="inlineStr">
        <is>
          <t>LOW (40%)</t>
        </is>
      </c>
      <c r="U456" t="inlineStr">
        <is>
          <t>UNLIKELY</t>
        </is>
      </c>
      <c r="V456" t="inlineStr">
        <is>
          <t>CHECK_VENDOR</t>
        </is>
      </c>
      <c r="W456" t="inlineStr">
        <is>
          <t>https://nvd.nist.gov/vuln/detail/CVE-2026-23544</t>
        </is>
      </c>
      <c r="X456" t="inlineStr">
        <is>
          <t>NONE</t>
        </is>
      </c>
      <c r="Y456" t="n">
        <v>0</v>
      </c>
      <c r="Z456" t="inlineStr"/>
      <c r="AA456" t="inlineStr">
        <is>
          <t>https://nvd.nist.gov/vuln/detail/CVE-2026-23544</t>
        </is>
      </c>
    </row>
    <row r="457">
      <c r="A457" t="inlineStr">
        <is>
          <t>CVE</t>
        </is>
      </c>
      <c r="B457" t="inlineStr">
        <is>
          <t>CVE-2026-23545</t>
        </is>
      </c>
      <c r="C457" t="inlineStr">
        <is>
          <t>Missing Authorization vulnerability in Aruba.it Dev Aruba HiSpeed Cache aruba-hispeed-cache allows Exploiting Incorrectly Configured Access Control Security Levels.This issue affects Aruba HiSpeed Cache: from n/a through &lt;= 3.0.4.</t>
        </is>
      </c>
      <c r="D457" t="n">
        <v>5</v>
      </c>
      <c r="E457" t="inlineStr">
        <is>
          <t>MEDIUM</t>
        </is>
      </c>
      <c r="F457" t="n">
        <v>2</v>
      </c>
      <c r="G457" t="n">
        <v>2</v>
      </c>
      <c r="H457" t="inlineStr">
        <is>
          <t>MEDIUM</t>
        </is>
      </c>
      <c r="I457" t="n">
        <v>9</v>
      </c>
      <c r="J457" t="inlineStr">
        <is>
          <t>NO</t>
        </is>
      </c>
      <c r="K457" t="inlineStr">
        <is>
          <t>2026-02-23 23:48</t>
        </is>
      </c>
      <c r="L457" t="inlineStr">
        <is>
          <t>CHECK_VENDOR</t>
        </is>
      </c>
      <c r="M457" t="inlineStr">
        <is>
          <t>See CVE details</t>
        </is>
      </c>
      <c r="N457" t="inlineStr">
        <is>
          <t>P4</t>
        </is>
      </c>
      <c r="O457" t="inlineStr">
        <is>
          <t>CVE - IP enrichment n/a</t>
        </is>
      </c>
      <c r="P457" t="n">
        <v>0</v>
      </c>
      <c r="Q457" t="n">
        <v>0</v>
      </c>
      <c r="R457" t="inlineStr">
        <is>
          <t>T1190:Exploit Public-Facing Application</t>
        </is>
      </c>
      <c r="S457" t="n">
        <v>1</v>
      </c>
      <c r="T457" t="inlineStr">
        <is>
          <t>LOW (40%)</t>
        </is>
      </c>
      <c r="U457" t="inlineStr">
        <is>
          <t>UNLIKELY</t>
        </is>
      </c>
      <c r="V457" t="inlineStr">
        <is>
          <t>CHECK_VENDOR</t>
        </is>
      </c>
      <c r="W457" t="inlineStr">
        <is>
          <t>https://nvd.nist.gov/vuln/detail/CVE-2026-23545</t>
        </is>
      </c>
      <c r="X457" t="inlineStr">
        <is>
          <t>NONE</t>
        </is>
      </c>
      <c r="Y457" t="n">
        <v>0</v>
      </c>
      <c r="Z457" t="inlineStr"/>
      <c r="AA457" t="inlineStr">
        <is>
          <t>https://nvd.nist.gov/vuln/detail/CVE-2026-23545</t>
        </is>
      </c>
    </row>
    <row r="458">
      <c r="A458" t="inlineStr">
        <is>
          <t>CVE</t>
        </is>
      </c>
      <c r="B458" t="inlineStr">
        <is>
          <t>CVE-2026-23547</t>
        </is>
      </c>
      <c r="C458" t="inlineStr">
        <is>
          <t>Missing Authorization vulnerability in cmsmasters CMSMasters Content Composer cmsmasters-content-composer allows Exploiting Incorrectly Configured Access Control Security Levels.This issue affects CMSMasters Content Composer: from n/a through &lt;= 2.5.8.</t>
        </is>
      </c>
      <c r="D458" t="n">
        <v>7.1</v>
      </c>
      <c r="E458" t="inlineStr">
        <is>
          <t>HIGH</t>
        </is>
      </c>
      <c r="F458" t="n">
        <v>2</v>
      </c>
      <c r="G458" t="n">
        <v>3</v>
      </c>
      <c r="H458" t="inlineStr">
        <is>
          <t>HIGH</t>
        </is>
      </c>
      <c r="I458" t="n">
        <v>13.1</v>
      </c>
      <c r="J458" t="inlineStr">
        <is>
          <t>NO</t>
        </is>
      </c>
      <c r="K458" t="inlineStr">
        <is>
          <t>2026-02-23 23:48</t>
        </is>
      </c>
      <c r="L458" t="inlineStr">
        <is>
          <t>CHECK_VENDOR</t>
        </is>
      </c>
      <c r="M458" t="inlineStr">
        <is>
          <t>See CVE details</t>
        </is>
      </c>
      <c r="N458" t="inlineStr">
        <is>
          <t>P3</t>
        </is>
      </c>
      <c r="O458" t="inlineStr">
        <is>
          <t>CVE - IP enrichment n/a</t>
        </is>
      </c>
      <c r="P458" t="n">
        <v>0.0003</v>
      </c>
      <c r="Q458" t="n">
        <v>0.0786</v>
      </c>
      <c r="R458" t="inlineStr">
        <is>
          <t>T1190:Exploit Public-Facing Application</t>
        </is>
      </c>
      <c r="S458" t="n">
        <v>1</v>
      </c>
      <c r="T458" t="inlineStr">
        <is>
          <t>LOW (40%)</t>
        </is>
      </c>
      <c r="U458" t="inlineStr">
        <is>
          <t>UNLIKELY</t>
        </is>
      </c>
      <c r="V458" t="inlineStr">
        <is>
          <t>CHECK_VENDOR</t>
        </is>
      </c>
      <c r="W458" t="inlineStr">
        <is>
          <t>https://nvd.nist.gov/vuln/detail/CVE-2026-23547</t>
        </is>
      </c>
      <c r="X458" t="inlineStr">
        <is>
          <t>NONE</t>
        </is>
      </c>
      <c r="Y458" t="n">
        <v>0</v>
      </c>
      <c r="Z458" t="inlineStr"/>
      <c r="AA458" t="inlineStr">
        <is>
          <t>https://nvd.nist.gov/vuln/detail/CVE-2026-23547</t>
        </is>
      </c>
    </row>
    <row r="459">
      <c r="A459" t="inlineStr">
        <is>
          <t>CVE</t>
        </is>
      </c>
      <c r="B459" t="inlineStr">
        <is>
          <t>CVE-2026-23548</t>
        </is>
      </c>
      <c r="C459" t="inlineStr">
        <is>
          <t>Missing Authorization vulnerability in designinvento DirectoryPress directorypress allows Exploiting Incorrectly Configured Access Control Security Levels.This issue affects DirectoryPress: from n/a through &lt;= 3.6.25.</t>
        </is>
      </c>
      <c r="D459" t="n">
        <v>5</v>
      </c>
      <c r="E459" t="inlineStr">
        <is>
          <t>MEDIUM</t>
        </is>
      </c>
      <c r="F459" t="n">
        <v>2</v>
      </c>
      <c r="G459" t="n">
        <v>2</v>
      </c>
      <c r="H459" t="inlineStr">
        <is>
          <t>MEDIUM</t>
        </is>
      </c>
      <c r="I459" t="n">
        <v>9</v>
      </c>
      <c r="J459" t="inlineStr">
        <is>
          <t>NO</t>
        </is>
      </c>
      <c r="K459" t="inlineStr">
        <is>
          <t>2026-02-23 23:48</t>
        </is>
      </c>
      <c r="L459" t="inlineStr">
        <is>
          <t>CHECK_VENDOR</t>
        </is>
      </c>
      <c r="M459" t="inlineStr">
        <is>
          <t>See CVE details</t>
        </is>
      </c>
      <c r="N459" t="inlineStr">
        <is>
          <t>P4</t>
        </is>
      </c>
      <c r="O459" t="inlineStr">
        <is>
          <t>CVE - IP enrichment n/a</t>
        </is>
      </c>
      <c r="P459" t="n">
        <v>0</v>
      </c>
      <c r="Q459" t="n">
        <v>0</v>
      </c>
      <c r="R459" t="inlineStr">
        <is>
          <t>T1190:Exploit Public-Facing Application</t>
        </is>
      </c>
      <c r="S459" t="n">
        <v>1</v>
      </c>
      <c r="T459" t="inlineStr">
        <is>
          <t>LOW (40%)</t>
        </is>
      </c>
      <c r="U459" t="inlineStr">
        <is>
          <t>UNLIKELY</t>
        </is>
      </c>
      <c r="V459" t="inlineStr">
        <is>
          <t>CHECK_VENDOR</t>
        </is>
      </c>
      <c r="W459" t="inlineStr">
        <is>
          <t>https://nvd.nist.gov/vuln/detail/CVE-2026-23548</t>
        </is>
      </c>
      <c r="X459" t="inlineStr">
        <is>
          <t>NONE</t>
        </is>
      </c>
      <c r="Y459" t="n">
        <v>0</v>
      </c>
      <c r="Z459" t="inlineStr"/>
      <c r="AA459" t="inlineStr">
        <is>
          <t>https://nvd.nist.gov/vuln/detail/CVE-2026-23548</t>
        </is>
      </c>
    </row>
    <row r="460">
      <c r="A460" t="inlineStr">
        <is>
          <t>CVE</t>
        </is>
      </c>
      <c r="B460" t="inlineStr">
        <is>
          <t>CVE-2026-23549</t>
        </is>
      </c>
      <c r="C460" t="inlineStr">
        <is>
          <t>Deserialization of Untrusted Data vulnerability in magepeopleteam WpEvently mage-eventpress allows Object Injection.This issue affects WpEvently: from n/a through &lt;= 5.1.1.</t>
        </is>
      </c>
      <c r="D460" t="n">
        <v>9.800000000000001</v>
      </c>
      <c r="E460" t="inlineStr">
        <is>
          <t>CRITICAL</t>
        </is>
      </c>
      <c r="F460" t="n">
        <v>2</v>
      </c>
      <c r="G460" t="n">
        <v>3</v>
      </c>
      <c r="H460" t="inlineStr">
        <is>
          <t>HIGH</t>
        </is>
      </c>
      <c r="I460" t="n">
        <v>15.8</v>
      </c>
      <c r="J460" t="inlineStr">
        <is>
          <t>NO</t>
        </is>
      </c>
      <c r="K460" t="inlineStr">
        <is>
          <t>2026-02-23 23:48</t>
        </is>
      </c>
      <c r="L460" t="inlineStr">
        <is>
          <t>CHECK_VENDOR</t>
        </is>
      </c>
      <c r="M460" t="inlineStr">
        <is>
          <t>See CVE details</t>
        </is>
      </c>
      <c r="N460" t="inlineStr">
        <is>
          <t>P3</t>
        </is>
      </c>
      <c r="O460" t="inlineStr">
        <is>
          <t>CVE - IP enrichment n/a</t>
        </is>
      </c>
      <c r="P460" t="n">
        <v>0</v>
      </c>
      <c r="Q460" t="n">
        <v>0</v>
      </c>
      <c r="R460" t="inlineStr">
        <is>
          <t>T1059:Command and Scripting Interpreter</t>
        </is>
      </c>
      <c r="S460" t="n">
        <v>1</v>
      </c>
      <c r="T460" t="inlineStr">
        <is>
          <t>LOW (40%)</t>
        </is>
      </c>
      <c r="U460" t="inlineStr">
        <is>
          <t>UNLIKELY</t>
        </is>
      </c>
      <c r="V460" t="inlineStr">
        <is>
          <t>CHECK_VENDOR</t>
        </is>
      </c>
      <c r="W460" t="inlineStr">
        <is>
          <t>https://nvd.nist.gov/vuln/detail/CVE-2026-23549</t>
        </is>
      </c>
      <c r="X460" t="inlineStr">
        <is>
          <t>NONE</t>
        </is>
      </c>
      <c r="Y460" t="n">
        <v>0</v>
      </c>
      <c r="Z460" t="inlineStr"/>
      <c r="AA460" t="inlineStr">
        <is>
          <t>https://nvd.nist.gov/vuln/detail/CVE-2026-23549</t>
        </is>
      </c>
    </row>
    <row r="461">
      <c r="A461" t="inlineStr">
        <is>
          <t>CVE</t>
        </is>
      </c>
      <c r="B461" t="inlineStr">
        <is>
          <t>CVE-2026-23803</t>
        </is>
      </c>
      <c r="C461" t="inlineStr">
        <is>
          <t>Server-Side Request Forgery (SSRF) vulnerability in Burhan Nasir Smart Auto Upload Images smart-auto-upload-images allows Server Side Request Forgery.This issue affects Smart Auto Upload Images: from n/a through &lt;= 1.2.2.</t>
        </is>
      </c>
      <c r="D461" t="n">
        <v>5</v>
      </c>
      <c r="E461" t="inlineStr">
        <is>
          <t>MEDIUM</t>
        </is>
      </c>
      <c r="F461" t="n">
        <v>2</v>
      </c>
      <c r="G461" t="n">
        <v>2</v>
      </c>
      <c r="H461" t="inlineStr">
        <is>
          <t>MEDIUM</t>
        </is>
      </c>
      <c r="I461" t="n">
        <v>9</v>
      </c>
      <c r="J461" t="inlineStr">
        <is>
          <t>NO</t>
        </is>
      </c>
      <c r="K461" t="inlineStr">
        <is>
          <t>2026-02-23 23:48</t>
        </is>
      </c>
      <c r="L461" t="inlineStr">
        <is>
          <t>CHECK_VENDOR</t>
        </is>
      </c>
      <c r="M461" t="inlineStr">
        <is>
          <t>See CVE details</t>
        </is>
      </c>
      <c r="N461" t="inlineStr">
        <is>
          <t>P4</t>
        </is>
      </c>
      <c r="O461" t="inlineStr">
        <is>
          <t>CVE - IP enrichment n/a</t>
        </is>
      </c>
      <c r="P461" t="n">
        <v>0</v>
      </c>
      <c r="Q461" t="n">
        <v>0</v>
      </c>
      <c r="R461" t="inlineStr">
        <is>
          <t>T1090:Proxy</t>
        </is>
      </c>
      <c r="S461" t="n">
        <v>1</v>
      </c>
      <c r="T461" t="inlineStr">
        <is>
          <t>LOW (40%)</t>
        </is>
      </c>
      <c r="U461" t="inlineStr">
        <is>
          <t>UNLIKELY</t>
        </is>
      </c>
      <c r="V461" t="inlineStr">
        <is>
          <t>CHECK_VENDOR</t>
        </is>
      </c>
      <c r="W461" t="inlineStr">
        <is>
          <t>https://nvd.nist.gov/vuln/detail/CVE-2026-23803</t>
        </is>
      </c>
      <c r="X461" t="inlineStr">
        <is>
          <t>NONE</t>
        </is>
      </c>
      <c r="Y461" t="n">
        <v>0</v>
      </c>
      <c r="Z461" t="inlineStr"/>
      <c r="AA461" t="inlineStr">
        <is>
          <t>https://nvd.nist.gov/vuln/detail/CVE-2026-23803</t>
        </is>
      </c>
    </row>
    <row r="462">
      <c r="A462" t="inlineStr">
        <is>
          <t>CVE</t>
        </is>
      </c>
      <c r="B462" t="inlineStr">
        <is>
          <t>CVE-2026-23804</t>
        </is>
      </c>
      <c r="C462" t="inlineStr">
        <is>
          <t>Missing Authorization vulnerability in BBR Plugins Better Business Reviews better-business-reviews allows Exploiting Incorrectly Configured Access Control Security Levels.This issue affects Better Business Reviews: from n/a through &lt;= 0.1.1.</t>
        </is>
      </c>
      <c r="D462" t="n">
        <v>5.4</v>
      </c>
      <c r="E462" t="inlineStr">
        <is>
          <t>MEDIUM</t>
        </is>
      </c>
      <c r="F462" t="n">
        <v>2</v>
      </c>
      <c r="G462" t="n">
        <v>2</v>
      </c>
      <c r="H462" t="inlineStr">
        <is>
          <t>MEDIUM</t>
        </is>
      </c>
      <c r="I462" t="n">
        <v>9.4</v>
      </c>
      <c r="J462" t="inlineStr">
        <is>
          <t>NO</t>
        </is>
      </c>
      <c r="K462" t="inlineStr">
        <is>
          <t>2026-02-23 23:48</t>
        </is>
      </c>
      <c r="L462" t="inlineStr">
        <is>
          <t>CHECK_VENDOR</t>
        </is>
      </c>
      <c r="M462" t="inlineStr">
        <is>
          <t>See CVE details</t>
        </is>
      </c>
      <c r="N462" t="inlineStr">
        <is>
          <t>P4</t>
        </is>
      </c>
      <c r="O462" t="inlineStr">
        <is>
          <t>CVE - IP enrichment n/a</t>
        </is>
      </c>
      <c r="P462" t="n">
        <v>0</v>
      </c>
      <c r="Q462" t="n">
        <v>0</v>
      </c>
      <c r="R462" t="inlineStr">
        <is>
          <t>T1190:Exploit Public-Facing Application</t>
        </is>
      </c>
      <c r="S462" t="n">
        <v>1</v>
      </c>
      <c r="T462" t="inlineStr">
        <is>
          <t>LOW (40%)</t>
        </is>
      </c>
      <c r="U462" t="inlineStr">
        <is>
          <t>UNLIKELY</t>
        </is>
      </c>
      <c r="V462" t="inlineStr">
        <is>
          <t>CHECK_VENDOR</t>
        </is>
      </c>
      <c r="W462" t="inlineStr">
        <is>
          <t>https://nvd.nist.gov/vuln/detail/CVE-2026-23804</t>
        </is>
      </c>
      <c r="X462" t="inlineStr">
        <is>
          <t>NONE</t>
        </is>
      </c>
      <c r="Y462" t="n">
        <v>0</v>
      </c>
      <c r="Z462" t="inlineStr"/>
      <c r="AA462" t="inlineStr">
        <is>
          <t>https://nvd.nist.gov/vuln/detail/CVE-2026-23804</t>
        </is>
      </c>
    </row>
    <row r="463">
      <c r="A463" t="inlineStr">
        <is>
          <t>CVE</t>
        </is>
      </c>
      <c r="B463" t="inlineStr">
        <is>
          <t>CVE-2026-23805</t>
        </is>
      </c>
      <c r="C463" t="inlineStr">
        <is>
          <t>Improper Neutralization of Special Elements used in an SQL Command ('SQL Injection') vulnerability in Yoren Chang Media Search Enhanced media-search-enhanced allows SQL Injection.This issue affects Media Search Enhanced: from n/a through &lt;= 0.9.1.</t>
        </is>
      </c>
      <c r="D463" t="n">
        <v>5</v>
      </c>
      <c r="E463" t="inlineStr">
        <is>
          <t>MEDIUM</t>
        </is>
      </c>
      <c r="F463" t="n">
        <v>2</v>
      </c>
      <c r="G463" t="n">
        <v>2</v>
      </c>
      <c r="H463" t="inlineStr">
        <is>
          <t>MEDIUM</t>
        </is>
      </c>
      <c r="I463" t="n">
        <v>9</v>
      </c>
      <c r="J463" t="inlineStr">
        <is>
          <t>NO</t>
        </is>
      </c>
      <c r="K463" t="inlineStr">
        <is>
          <t>2026-02-23 23:48</t>
        </is>
      </c>
      <c r="L463" t="inlineStr">
        <is>
          <t>CHECK_VENDOR</t>
        </is>
      </c>
      <c r="M463" t="inlineStr">
        <is>
          <t>See CVE details</t>
        </is>
      </c>
      <c r="N463" t="inlineStr">
        <is>
          <t>P4</t>
        </is>
      </c>
      <c r="O463" t="inlineStr">
        <is>
          <t>CVE - IP enrichment n/a</t>
        </is>
      </c>
      <c r="P463" t="n">
        <v>0</v>
      </c>
      <c r="Q463" t="n">
        <v>0</v>
      </c>
      <c r="R463" t="inlineStr">
        <is>
          <t>T1190:Exploit Public-Facing Application</t>
        </is>
      </c>
      <c r="S463" t="n">
        <v>1</v>
      </c>
      <c r="T463" t="inlineStr">
        <is>
          <t>LOW (40%)</t>
        </is>
      </c>
      <c r="U463" t="inlineStr">
        <is>
          <t>UNLIKELY</t>
        </is>
      </c>
      <c r="V463" t="inlineStr">
        <is>
          <t>CHECK_VENDOR</t>
        </is>
      </c>
      <c r="W463" t="inlineStr">
        <is>
          <t>https://nvd.nist.gov/vuln/detail/CVE-2026-23805</t>
        </is>
      </c>
      <c r="X463" t="inlineStr">
        <is>
          <t>NONE</t>
        </is>
      </c>
      <c r="Y463" t="n">
        <v>0</v>
      </c>
      <c r="Z463" t="inlineStr"/>
      <c r="AA463" t="inlineStr">
        <is>
          <t>https://nvd.nist.gov/vuln/detail/CVE-2026-23805</t>
        </is>
      </c>
    </row>
    <row r="464">
      <c r="A464" t="inlineStr">
        <is>
          <t>CVE</t>
        </is>
      </c>
      <c r="B464" t="inlineStr">
        <is>
          <t>CVE-2026-24375</t>
        </is>
      </c>
      <c r="C464" t="inlineStr">
        <is>
          <t>Missing Authorization vulnerability in WP Swings Ultimate Gift Cards For WooCommerce woo-gift-cards-lite allows Exploiting Incorrectly Configured Access Control Security Levels.This issue affects Ultimate Gift Cards For WooCommerce: from n/a through &lt;= 3.2.4.</t>
        </is>
      </c>
      <c r="D464" t="n">
        <v>5.3</v>
      </c>
      <c r="E464" t="inlineStr">
        <is>
          <t>MEDIUM</t>
        </is>
      </c>
      <c r="F464" t="n">
        <v>2</v>
      </c>
      <c r="G464" t="n">
        <v>2</v>
      </c>
      <c r="H464" t="inlineStr">
        <is>
          <t>MEDIUM</t>
        </is>
      </c>
      <c r="I464" t="n">
        <v>9.300000000000001</v>
      </c>
      <c r="J464" t="inlineStr">
        <is>
          <t>NO</t>
        </is>
      </c>
      <c r="K464" t="inlineStr">
        <is>
          <t>2026-02-23 23:48</t>
        </is>
      </c>
      <c r="L464" t="inlineStr">
        <is>
          <t>CHECK_VENDOR</t>
        </is>
      </c>
      <c r="M464" t="inlineStr">
        <is>
          <t>See CVE details</t>
        </is>
      </c>
      <c r="N464" t="inlineStr">
        <is>
          <t>P4</t>
        </is>
      </c>
      <c r="O464" t="inlineStr">
        <is>
          <t>CVE - IP enrichment n/a</t>
        </is>
      </c>
      <c r="P464" t="n">
        <v>0</v>
      </c>
      <c r="Q464" t="n">
        <v>0</v>
      </c>
      <c r="R464" t="inlineStr">
        <is>
          <t>T1190:Exploit Public-Facing Application</t>
        </is>
      </c>
      <c r="S464" t="n">
        <v>1</v>
      </c>
      <c r="T464" t="inlineStr">
        <is>
          <t>LOW (40%)</t>
        </is>
      </c>
      <c r="U464" t="inlineStr">
        <is>
          <t>UNLIKELY</t>
        </is>
      </c>
      <c r="V464" t="inlineStr">
        <is>
          <t>CHECK_VENDOR</t>
        </is>
      </c>
      <c r="W464" t="inlineStr">
        <is>
          <t>https://nvd.nist.gov/vuln/detail/CVE-2026-24375</t>
        </is>
      </c>
      <c r="X464" t="inlineStr">
        <is>
          <t>NONE</t>
        </is>
      </c>
      <c r="Y464" t="n">
        <v>0</v>
      </c>
      <c r="Z464" t="inlineStr"/>
      <c r="AA464" t="inlineStr">
        <is>
          <t>https://nvd.nist.gov/vuln/detail/CVE-2026-24375</t>
        </is>
      </c>
    </row>
    <row r="465">
      <c r="A465" t="inlineStr">
        <is>
          <t>CVE</t>
        </is>
      </c>
      <c r="B465" t="inlineStr">
        <is>
          <t>CVE-2026-24392</t>
        </is>
      </c>
      <c r="C465" t="inlineStr">
        <is>
          <t>Improper Neutralization of Input During Web Page Generation ('Cross-site Scripting') vulnerability in Nabil Lemsieh HurryTimer hurrytimer allows Stored XSS.This issue affects HurryTimer: from n/a through &lt;= 2.14.2.</t>
        </is>
      </c>
      <c r="D465" t="n">
        <v>5.9</v>
      </c>
      <c r="E465" t="inlineStr">
        <is>
          <t>MEDIUM</t>
        </is>
      </c>
      <c r="F465" t="n">
        <v>2</v>
      </c>
      <c r="G465" t="n">
        <v>2</v>
      </c>
      <c r="H465" t="inlineStr">
        <is>
          <t>MEDIUM</t>
        </is>
      </c>
      <c r="I465" t="n">
        <v>9.9</v>
      </c>
      <c r="J465" t="inlineStr">
        <is>
          <t>NO</t>
        </is>
      </c>
      <c r="K465" t="inlineStr">
        <is>
          <t>2026-02-23 23:48</t>
        </is>
      </c>
      <c r="L465" t="inlineStr">
        <is>
          <t>CHECK_VENDOR</t>
        </is>
      </c>
      <c r="M465" t="inlineStr">
        <is>
          <t>See CVE details</t>
        </is>
      </c>
      <c r="N465" t="inlineStr">
        <is>
          <t>P4</t>
        </is>
      </c>
      <c r="O465" t="inlineStr">
        <is>
          <t>CVE - IP enrichment n/a</t>
        </is>
      </c>
      <c r="P465" t="n">
        <v>0.0003</v>
      </c>
      <c r="Q465" t="n">
        <v>0.08749999999999999</v>
      </c>
      <c r="R465" t="inlineStr">
        <is>
          <t>T1189:Drive-by Compromise</t>
        </is>
      </c>
      <c r="S465" t="n">
        <v>1</v>
      </c>
      <c r="T465" t="inlineStr">
        <is>
          <t>LOW (40%)</t>
        </is>
      </c>
      <c r="U465" t="inlineStr">
        <is>
          <t>UNLIKELY</t>
        </is>
      </c>
      <c r="V465" t="inlineStr">
        <is>
          <t>CHECK_VENDOR</t>
        </is>
      </c>
      <c r="W465" t="inlineStr">
        <is>
          <t>https://nvd.nist.gov/vuln/detail/CVE-2026-24392</t>
        </is>
      </c>
      <c r="X465" t="inlineStr">
        <is>
          <t>NONE</t>
        </is>
      </c>
      <c r="Y465" t="n">
        <v>0</v>
      </c>
      <c r="Z465" t="inlineStr"/>
      <c r="AA465" t="inlineStr">
        <is>
          <t>https://nvd.nist.gov/vuln/detail/CVE-2026-24392</t>
        </is>
      </c>
    </row>
    <row r="466">
      <c r="A466" t="inlineStr">
        <is>
          <t>CVE</t>
        </is>
      </c>
      <c r="B466" t="inlineStr">
        <is>
          <t>CVE-2026-24999</t>
        </is>
      </c>
      <c r="C466" t="inlineStr">
        <is>
          <t>Missing Authorization vulnerability in Alma Alma alma-gateway-for-woocommerce allows Exploiting Incorrectly Configured Access Control Security Levels.This issue affects Alma: from n/a through &lt;= 5.16.1.</t>
        </is>
      </c>
      <c r="D466" t="n">
        <v>5.3</v>
      </c>
      <c r="E466" t="inlineStr">
        <is>
          <t>MEDIUM</t>
        </is>
      </c>
      <c r="F466" t="n">
        <v>2</v>
      </c>
      <c r="G466" t="n">
        <v>2</v>
      </c>
      <c r="H466" t="inlineStr">
        <is>
          <t>MEDIUM</t>
        </is>
      </c>
      <c r="I466" t="n">
        <v>9.300000000000001</v>
      </c>
      <c r="J466" t="inlineStr">
        <is>
          <t>NO</t>
        </is>
      </c>
      <c r="K466" t="inlineStr">
        <is>
          <t>2026-02-23 23:48</t>
        </is>
      </c>
      <c r="L466" t="inlineStr">
        <is>
          <t>CHECK_VENDOR</t>
        </is>
      </c>
      <c r="M466" t="inlineStr">
        <is>
          <t>See CVE details</t>
        </is>
      </c>
      <c r="N466" t="inlineStr">
        <is>
          <t>P4</t>
        </is>
      </c>
      <c r="O466" t="inlineStr">
        <is>
          <t>CVE - IP enrichment n/a</t>
        </is>
      </c>
      <c r="P466" t="n">
        <v>0</v>
      </c>
      <c r="Q466" t="n">
        <v>0</v>
      </c>
      <c r="R466" t="inlineStr">
        <is>
          <t>T1190:Exploit Public-Facing Application</t>
        </is>
      </c>
      <c r="S466" t="n">
        <v>1</v>
      </c>
      <c r="T466" t="inlineStr">
        <is>
          <t>LOW (40%)</t>
        </is>
      </c>
      <c r="U466" t="inlineStr">
        <is>
          <t>UNLIKELY</t>
        </is>
      </c>
      <c r="V466" t="inlineStr">
        <is>
          <t>CHECK_VENDOR</t>
        </is>
      </c>
      <c r="W466" t="inlineStr">
        <is>
          <t>https://nvd.nist.gov/vuln/detail/CVE-2026-24999</t>
        </is>
      </c>
      <c r="X466" t="inlineStr">
        <is>
          <t>NONE</t>
        </is>
      </c>
      <c r="Y466" t="n">
        <v>0</v>
      </c>
      <c r="Z466" t="inlineStr"/>
      <c r="AA466" t="inlineStr">
        <is>
          <t>https://nvd.nist.gov/vuln/detail/CVE-2026-24999</t>
        </is>
      </c>
    </row>
    <row r="467">
      <c r="A467" t="inlineStr">
        <is>
          <t>CVE</t>
        </is>
      </c>
      <c r="B467" t="inlineStr">
        <is>
          <t>CVE-2026-25000</t>
        </is>
      </c>
      <c r="C467" t="inlineStr">
        <is>
          <t>Missing Authorization vulnerability in Kraft Plugins Wheel of Life wheel-of-life allows Exploiting Incorrectly Configured Access Control Security Levels.This issue affects Wheel of Life: from n/a through &lt;= 1.2.0.</t>
        </is>
      </c>
      <c r="D467" t="n">
        <v>5.3</v>
      </c>
      <c r="E467" t="inlineStr">
        <is>
          <t>MEDIUM</t>
        </is>
      </c>
      <c r="F467" t="n">
        <v>2</v>
      </c>
      <c r="G467" t="n">
        <v>2</v>
      </c>
      <c r="H467" t="inlineStr">
        <is>
          <t>MEDIUM</t>
        </is>
      </c>
      <c r="I467" t="n">
        <v>9.300000000000001</v>
      </c>
      <c r="J467" t="inlineStr">
        <is>
          <t>NO</t>
        </is>
      </c>
      <c r="K467" t="inlineStr">
        <is>
          <t>2026-02-23 23:48</t>
        </is>
      </c>
      <c r="L467" t="inlineStr">
        <is>
          <t>CHECK_VENDOR</t>
        </is>
      </c>
      <c r="M467" t="inlineStr">
        <is>
          <t>See CVE details</t>
        </is>
      </c>
      <c r="N467" t="inlineStr">
        <is>
          <t>P4</t>
        </is>
      </c>
      <c r="O467" t="inlineStr">
        <is>
          <t>CVE - IP enrichment n/a</t>
        </is>
      </c>
      <c r="P467" t="n">
        <v>0</v>
      </c>
      <c r="Q467" t="n">
        <v>0</v>
      </c>
      <c r="R467" t="inlineStr">
        <is>
          <t>T1190:Exploit Public-Facing Application</t>
        </is>
      </c>
      <c r="S467" t="n">
        <v>1</v>
      </c>
      <c r="T467" t="inlineStr">
        <is>
          <t>LOW (40%)</t>
        </is>
      </c>
      <c r="U467" t="inlineStr">
        <is>
          <t>UNLIKELY</t>
        </is>
      </c>
      <c r="V467" t="inlineStr">
        <is>
          <t>CHECK_VENDOR</t>
        </is>
      </c>
      <c r="W467" t="inlineStr">
        <is>
          <t>https://nvd.nist.gov/vuln/detail/CVE-2026-25000</t>
        </is>
      </c>
      <c r="X467" t="inlineStr">
        <is>
          <t>NONE</t>
        </is>
      </c>
      <c r="Y467" t="n">
        <v>0</v>
      </c>
      <c r="Z467" t="inlineStr"/>
      <c r="AA467" t="inlineStr">
        <is>
          <t>https://nvd.nist.gov/vuln/detail/CVE-2026-25000</t>
        </is>
      </c>
    </row>
    <row r="468">
      <c r="A468" t="inlineStr">
        <is>
          <t>CVE</t>
        </is>
      </c>
      <c r="B468" t="inlineStr">
        <is>
          <t>CVE-2026-25003</t>
        </is>
      </c>
      <c r="C468" t="inlineStr">
        <is>
          <t>Missing Authorization vulnerability in madalin.ungureanu Client Portal client-portal allows Exploiting Incorrectly Configured Access Control Security Levels.This issue affects Client Portal: from n/a through &lt;= 1.2.1.</t>
        </is>
      </c>
      <c r="D468" t="n">
        <v>4.3</v>
      </c>
      <c r="E468" t="inlineStr">
        <is>
          <t>MEDIUM</t>
        </is>
      </c>
      <c r="F468" t="n">
        <v>2</v>
      </c>
      <c r="G468" t="n">
        <v>2</v>
      </c>
      <c r="H468" t="inlineStr">
        <is>
          <t>MEDIUM</t>
        </is>
      </c>
      <c r="I468" t="n">
        <v>8.300000000000001</v>
      </c>
      <c r="J468" t="inlineStr">
        <is>
          <t>NO</t>
        </is>
      </c>
      <c r="K468" t="inlineStr">
        <is>
          <t>2026-02-23 23:48</t>
        </is>
      </c>
      <c r="L468" t="inlineStr">
        <is>
          <t>CHECK_VENDOR</t>
        </is>
      </c>
      <c r="M468" t="inlineStr">
        <is>
          <t>See CVE details</t>
        </is>
      </c>
      <c r="N468" t="inlineStr">
        <is>
          <t>P4</t>
        </is>
      </c>
      <c r="O468" t="inlineStr">
        <is>
          <t>CVE - IP enrichment n/a</t>
        </is>
      </c>
      <c r="P468" t="n">
        <v>0</v>
      </c>
      <c r="Q468" t="n">
        <v>0</v>
      </c>
      <c r="R468" t="inlineStr">
        <is>
          <t>T1190:Exploit Public-Facing Application</t>
        </is>
      </c>
      <c r="S468" t="n">
        <v>1</v>
      </c>
      <c r="T468" t="inlineStr">
        <is>
          <t>LOW (40%)</t>
        </is>
      </c>
      <c r="U468" t="inlineStr">
        <is>
          <t>UNLIKELY</t>
        </is>
      </c>
      <c r="V468" t="inlineStr">
        <is>
          <t>CHECK_VENDOR</t>
        </is>
      </c>
      <c r="W468" t="inlineStr">
        <is>
          <t>https://nvd.nist.gov/vuln/detail/CVE-2026-25003</t>
        </is>
      </c>
      <c r="X468" t="inlineStr">
        <is>
          <t>NONE</t>
        </is>
      </c>
      <c r="Y468" t="n">
        <v>0</v>
      </c>
      <c r="Z468" t="inlineStr"/>
      <c r="AA468" t="inlineStr">
        <is>
          <t>https://nvd.nist.gov/vuln/detail/CVE-2026-25003</t>
        </is>
      </c>
    </row>
    <row r="469">
      <c r="A469" t="inlineStr">
        <is>
          <t>CVE</t>
        </is>
      </c>
      <c r="B469" t="inlineStr">
        <is>
          <t>CVE-2026-25004</t>
        </is>
      </c>
      <c r="C469" t="inlineStr">
        <is>
          <t>Improper Neutralization of Input During Web Page Generation ('Cross-site Scripting') vulnerability in CreativeMindsSolutions CM Business Directory cm-business-directory allows Stored XSS.This issue affects CM Business Directory: from n/a through &lt;= 1.5.3.</t>
        </is>
      </c>
      <c r="D469" t="n">
        <v>5</v>
      </c>
      <c r="E469" t="inlineStr">
        <is>
          <t>MEDIUM</t>
        </is>
      </c>
      <c r="F469" t="n">
        <v>2</v>
      </c>
      <c r="G469" t="n">
        <v>2</v>
      </c>
      <c r="H469" t="inlineStr">
        <is>
          <t>MEDIUM</t>
        </is>
      </c>
      <c r="I469" t="n">
        <v>9</v>
      </c>
      <c r="J469" t="inlineStr">
        <is>
          <t>NO</t>
        </is>
      </c>
      <c r="K469" t="inlineStr">
        <is>
          <t>2026-02-23 23:48</t>
        </is>
      </c>
      <c r="L469" t="inlineStr">
        <is>
          <t>CHECK_VENDOR</t>
        </is>
      </c>
      <c r="M469" t="inlineStr">
        <is>
          <t>See CVE details</t>
        </is>
      </c>
      <c r="N469" t="inlineStr">
        <is>
          <t>P4</t>
        </is>
      </c>
      <c r="O469" t="inlineStr">
        <is>
          <t>CVE - IP enrichment n/a</t>
        </is>
      </c>
      <c r="P469" t="n">
        <v>0</v>
      </c>
      <c r="Q469" t="n">
        <v>0</v>
      </c>
      <c r="R469" t="inlineStr">
        <is>
          <t>T1189:Drive-by Compromise</t>
        </is>
      </c>
      <c r="S469" t="n">
        <v>1</v>
      </c>
      <c r="T469" t="inlineStr">
        <is>
          <t>LOW (40%)</t>
        </is>
      </c>
      <c r="U469" t="inlineStr">
        <is>
          <t>UNLIKELY</t>
        </is>
      </c>
      <c r="V469" t="inlineStr">
        <is>
          <t>CHECK_VENDOR</t>
        </is>
      </c>
      <c r="W469" t="inlineStr">
        <is>
          <t>https://nvd.nist.gov/vuln/detail/CVE-2026-25004</t>
        </is>
      </c>
      <c r="X469" t="inlineStr">
        <is>
          <t>NONE</t>
        </is>
      </c>
      <c r="Y469" t="n">
        <v>0</v>
      </c>
      <c r="Z469" t="inlineStr"/>
      <c r="AA469" t="inlineStr">
        <is>
          <t>https://nvd.nist.gov/vuln/detail/CVE-2026-25004</t>
        </is>
      </c>
    </row>
    <row r="470">
      <c r="A470" t="inlineStr">
        <is>
          <t>CVE</t>
        </is>
      </c>
      <c r="B470" t="inlineStr">
        <is>
          <t>CVE-2026-25005</t>
        </is>
      </c>
      <c r="C470" t="inlineStr">
        <is>
          <t>Authorization Bypass Through User-Controlled Key vulnerability in N-Media Frontend File Manager nmedia-user-file-uploader allows Exploiting Incorrectly Configured Access Control Security Levels.This issue affects Frontend File Manager: from n/a through &lt;= 23.5.</t>
        </is>
      </c>
      <c r="D470" t="n">
        <v>5.3</v>
      </c>
      <c r="E470" t="inlineStr">
        <is>
          <t>MEDIUM</t>
        </is>
      </c>
      <c r="F470" t="n">
        <v>2</v>
      </c>
      <c r="G470" t="n">
        <v>2</v>
      </c>
      <c r="H470" t="inlineStr">
        <is>
          <t>MEDIUM</t>
        </is>
      </c>
      <c r="I470" t="n">
        <v>9.300000000000001</v>
      </c>
      <c r="J470" t="inlineStr">
        <is>
          <t>NO</t>
        </is>
      </c>
      <c r="K470" t="inlineStr">
        <is>
          <t>2026-02-23 23:48</t>
        </is>
      </c>
      <c r="L470" t="inlineStr">
        <is>
          <t>CHECK_VENDOR</t>
        </is>
      </c>
      <c r="M470" t="inlineStr">
        <is>
          <t>See CVE details</t>
        </is>
      </c>
      <c r="N470" t="inlineStr">
        <is>
          <t>P4</t>
        </is>
      </c>
      <c r="O470" t="inlineStr">
        <is>
          <t>CVE - IP enrichment n/a</t>
        </is>
      </c>
      <c r="P470" t="n">
        <v>0</v>
      </c>
      <c r="Q470" t="n">
        <v>0</v>
      </c>
      <c r="R470" t="inlineStr">
        <is>
          <t>T1190:Exploit Public-Facing Application</t>
        </is>
      </c>
      <c r="S470" t="n">
        <v>1</v>
      </c>
      <c r="T470" t="inlineStr">
        <is>
          <t>LOW (40%)</t>
        </is>
      </c>
      <c r="U470" t="inlineStr">
        <is>
          <t>UNLIKELY</t>
        </is>
      </c>
      <c r="V470" t="inlineStr">
        <is>
          <t>CHECK_VENDOR</t>
        </is>
      </c>
      <c r="W470" t="inlineStr">
        <is>
          <t>https://nvd.nist.gov/vuln/detail/CVE-2026-25005</t>
        </is>
      </c>
      <c r="X470" t="inlineStr">
        <is>
          <t>NONE</t>
        </is>
      </c>
      <c r="Y470" t="n">
        <v>0</v>
      </c>
      <c r="Z470" t="inlineStr"/>
      <c r="AA470" t="inlineStr">
        <is>
          <t>https://nvd.nist.gov/vuln/detail/CVE-2026-25005</t>
        </is>
      </c>
    </row>
    <row r="471">
      <c r="A471" t="inlineStr">
        <is>
          <t>CVE</t>
        </is>
      </c>
      <c r="B471" t="inlineStr">
        <is>
          <t>CVE-2026-25006</t>
        </is>
      </c>
      <c r="C471" t="inlineStr">
        <is>
          <t>Improper Neutralization of Script-Related HTML Tags in a Web Page (Basic XSS) vulnerability in 8theme XStore xstore allows Code Injection.This issue affects XStore: from n/a through &lt;= 9.6.4.</t>
        </is>
      </c>
      <c r="D471" t="n">
        <v>5</v>
      </c>
      <c r="E471" t="inlineStr">
        <is>
          <t>MEDIUM</t>
        </is>
      </c>
      <c r="F471" t="n">
        <v>2</v>
      </c>
      <c r="G471" t="n">
        <v>2</v>
      </c>
      <c r="H471" t="inlineStr">
        <is>
          <t>MEDIUM</t>
        </is>
      </c>
      <c r="I471" t="n">
        <v>9</v>
      </c>
      <c r="J471" t="inlineStr">
        <is>
          <t>NO</t>
        </is>
      </c>
      <c r="K471" t="inlineStr">
        <is>
          <t>2026-02-23 23:48</t>
        </is>
      </c>
      <c r="L471" t="inlineStr">
        <is>
          <t>CHECK_VENDOR</t>
        </is>
      </c>
      <c r="M471" t="inlineStr">
        <is>
          <t>See CVE details</t>
        </is>
      </c>
      <c r="N471" t="inlineStr">
        <is>
          <t>P4</t>
        </is>
      </c>
      <c r="O471" t="inlineStr">
        <is>
          <t>CVE - IP enrichment n/a</t>
        </is>
      </c>
      <c r="P471" t="n">
        <v>0</v>
      </c>
      <c r="Q471" t="n">
        <v>0</v>
      </c>
      <c r="R471" t="inlineStr">
        <is>
          <t>T1189:Drive-by Compromise</t>
        </is>
      </c>
      <c r="S471" t="n">
        <v>1</v>
      </c>
      <c r="T471" t="inlineStr">
        <is>
          <t>LOW (40%)</t>
        </is>
      </c>
      <c r="U471" t="inlineStr">
        <is>
          <t>UNLIKELY</t>
        </is>
      </c>
      <c r="V471" t="inlineStr">
        <is>
          <t>CHECK_VENDOR</t>
        </is>
      </c>
      <c r="W471" t="inlineStr">
        <is>
          <t>https://nvd.nist.gov/vuln/detail/CVE-2026-25006</t>
        </is>
      </c>
      <c r="X471" t="inlineStr">
        <is>
          <t>NONE</t>
        </is>
      </c>
      <c r="Y471" t="n">
        <v>0</v>
      </c>
      <c r="Z471" t="inlineStr"/>
      <c r="AA471" t="inlineStr">
        <is>
          <t>https://nvd.nist.gov/vuln/detail/CVE-2026-25006</t>
        </is>
      </c>
    </row>
    <row r="472">
      <c r="A472" t="inlineStr">
        <is>
          <t>CVE</t>
        </is>
      </c>
      <c r="B472" t="inlineStr">
        <is>
          <t>CVE-2026-25008</t>
        </is>
      </c>
      <c r="C472" t="inlineStr">
        <is>
          <t>Insertion of Sensitive Information Into Sent Data vulnerability in Shahjahan Jewel Ninja Tables ninja-tables allows Retrieve Embedded Sensitive Data.This issue affects Ninja Tables: from n/a through &lt;= 5.2.5.</t>
        </is>
      </c>
      <c r="D472" t="n">
        <v>4.3</v>
      </c>
      <c r="E472" t="inlineStr">
        <is>
          <t>MEDIUM</t>
        </is>
      </c>
      <c r="F472" t="n">
        <v>2</v>
      </c>
      <c r="G472" t="n">
        <v>2</v>
      </c>
      <c r="H472" t="inlineStr">
        <is>
          <t>MEDIUM</t>
        </is>
      </c>
      <c r="I472" t="n">
        <v>8.300000000000001</v>
      </c>
      <c r="J472" t="inlineStr">
        <is>
          <t>NO</t>
        </is>
      </c>
      <c r="K472" t="inlineStr">
        <is>
          <t>2026-02-23 23:48</t>
        </is>
      </c>
      <c r="L472" t="inlineStr">
        <is>
          <t>CHECK_VENDOR</t>
        </is>
      </c>
      <c r="M472" t="inlineStr">
        <is>
          <t>See CVE details</t>
        </is>
      </c>
      <c r="N472" t="inlineStr">
        <is>
          <t>P4</t>
        </is>
      </c>
      <c r="O472" t="inlineStr">
        <is>
          <t>CVE - IP enrichment n/a</t>
        </is>
      </c>
      <c r="P472" t="n">
        <v>0.0003</v>
      </c>
      <c r="Q472" t="n">
        <v>0.07489999999999999</v>
      </c>
      <c r="R472" t="inlineStr">
        <is>
          <t>T1190:Exploit Public-Facing Application</t>
        </is>
      </c>
      <c r="S472" t="n">
        <v>1</v>
      </c>
      <c r="T472" t="inlineStr">
        <is>
          <t>LOW (40%)</t>
        </is>
      </c>
      <c r="U472" t="inlineStr">
        <is>
          <t>UNLIKELY</t>
        </is>
      </c>
      <c r="V472" t="inlineStr">
        <is>
          <t>CHECK_VENDOR</t>
        </is>
      </c>
      <c r="W472" t="inlineStr">
        <is>
          <t>https://nvd.nist.gov/vuln/detail/CVE-2026-25008</t>
        </is>
      </c>
      <c r="X472" t="inlineStr">
        <is>
          <t>NONE</t>
        </is>
      </c>
      <c r="Y472" t="n">
        <v>0</v>
      </c>
      <c r="Z472" t="inlineStr"/>
      <c r="AA472" t="inlineStr">
        <is>
          <t>https://nvd.nist.gov/vuln/detail/CVE-2026-25008</t>
        </is>
      </c>
    </row>
    <row r="473">
      <c r="A473" t="inlineStr">
        <is>
          <t>CVE</t>
        </is>
      </c>
      <c r="B473" t="inlineStr">
        <is>
          <t>CVE-2026-25305</t>
        </is>
      </c>
      <c r="C473" t="inlineStr">
        <is>
          <t>Improper Neutralization of Input During Web Page Generation ('Cross-site Scripting') vulnerability in 8theme XStore xstore allows DOM-Based XSS.This issue affects XStore: from n/a through &lt;= 9.6.4.</t>
        </is>
      </c>
      <c r="D473" t="n">
        <v>5</v>
      </c>
      <c r="E473" t="inlineStr">
        <is>
          <t>MEDIUM</t>
        </is>
      </c>
      <c r="F473" t="n">
        <v>2</v>
      </c>
      <c r="G473" t="n">
        <v>2</v>
      </c>
      <c r="H473" t="inlineStr">
        <is>
          <t>MEDIUM</t>
        </is>
      </c>
      <c r="I473" t="n">
        <v>9</v>
      </c>
      <c r="J473" t="inlineStr">
        <is>
          <t>NO</t>
        </is>
      </c>
      <c r="K473" t="inlineStr">
        <is>
          <t>2026-02-23 23:48</t>
        </is>
      </c>
      <c r="L473" t="inlineStr">
        <is>
          <t>CHECK_VENDOR</t>
        </is>
      </c>
      <c r="M473" t="inlineStr">
        <is>
          <t>See CVE details</t>
        </is>
      </c>
      <c r="N473" t="inlineStr">
        <is>
          <t>P4</t>
        </is>
      </c>
      <c r="O473" t="inlineStr">
        <is>
          <t>CVE - IP enrichment n/a</t>
        </is>
      </c>
      <c r="P473" t="n">
        <v>0</v>
      </c>
      <c r="Q473" t="n">
        <v>0</v>
      </c>
      <c r="R473" t="inlineStr">
        <is>
          <t>T1189:Drive-by Compromise</t>
        </is>
      </c>
      <c r="S473" t="n">
        <v>1</v>
      </c>
      <c r="T473" t="inlineStr">
        <is>
          <t>LOW (40%)</t>
        </is>
      </c>
      <c r="U473" t="inlineStr">
        <is>
          <t>UNLIKELY</t>
        </is>
      </c>
      <c r="V473" t="inlineStr">
        <is>
          <t>CHECK_VENDOR</t>
        </is>
      </c>
      <c r="W473" t="inlineStr">
        <is>
          <t>https://nvd.nist.gov/vuln/detail/CVE-2026-25305</t>
        </is>
      </c>
      <c r="X473" t="inlineStr">
        <is>
          <t>NONE</t>
        </is>
      </c>
      <c r="Y473" t="n">
        <v>0</v>
      </c>
      <c r="Z473" t="inlineStr"/>
      <c r="AA473" t="inlineStr">
        <is>
          <t>https://nvd.nist.gov/vuln/detail/CVE-2026-25305</t>
        </is>
      </c>
    </row>
    <row r="474">
      <c r="A474" t="inlineStr">
        <is>
          <t>CVE</t>
        </is>
      </c>
      <c r="B474" t="inlineStr">
        <is>
          <t>CVE-2026-25307</t>
        </is>
      </c>
      <c r="C474" t="inlineStr">
        <is>
          <t>Improper Neutralization of Input During Web Page Generation ('Cross-site Scripting') vulnerability in 8theme XStore Core et-core-plugin allows DOM-Based XSS.This issue affects XStore Core: from n/a through &lt; 5.7.</t>
        </is>
      </c>
      <c r="D474" t="n">
        <v>6.5</v>
      </c>
      <c r="E474" t="inlineStr">
        <is>
          <t>MEDIUM</t>
        </is>
      </c>
      <c r="F474" t="n">
        <v>2</v>
      </c>
      <c r="G474" t="n">
        <v>2</v>
      </c>
      <c r="H474" t="inlineStr">
        <is>
          <t>MEDIUM</t>
        </is>
      </c>
      <c r="I474" t="n">
        <v>10.5</v>
      </c>
      <c r="J474" t="inlineStr">
        <is>
          <t>NO</t>
        </is>
      </c>
      <c r="K474" t="inlineStr">
        <is>
          <t>2026-02-23 23:48</t>
        </is>
      </c>
      <c r="L474" t="inlineStr">
        <is>
          <t>CHECK_VENDOR</t>
        </is>
      </c>
      <c r="M474" t="inlineStr">
        <is>
          <t>See CVE details</t>
        </is>
      </c>
      <c r="N474" t="inlineStr">
        <is>
          <t>P4</t>
        </is>
      </c>
      <c r="O474" t="inlineStr">
        <is>
          <t>CVE - IP enrichment n/a</t>
        </is>
      </c>
      <c r="P474" t="n">
        <v>0</v>
      </c>
      <c r="Q474" t="n">
        <v>0</v>
      </c>
      <c r="R474" t="inlineStr">
        <is>
          <t>T1189:Drive-by Compromise</t>
        </is>
      </c>
      <c r="S474" t="n">
        <v>1</v>
      </c>
      <c r="T474" t="inlineStr">
        <is>
          <t>LOW (40%)</t>
        </is>
      </c>
      <c r="U474" t="inlineStr">
        <is>
          <t>UNLIKELY</t>
        </is>
      </c>
      <c r="V474" t="inlineStr">
        <is>
          <t>CHECK_VENDOR</t>
        </is>
      </c>
      <c r="W474" t="inlineStr">
        <is>
          <t>https://nvd.nist.gov/vuln/detail/CVE-2026-25307</t>
        </is>
      </c>
      <c r="X474" t="inlineStr">
        <is>
          <t>NONE</t>
        </is>
      </c>
      <c r="Y474" t="n">
        <v>0</v>
      </c>
      <c r="Z474" t="inlineStr"/>
      <c r="AA474" t="inlineStr">
        <is>
          <t>https://nvd.nist.gov/vuln/detail/CVE-2026-25307</t>
        </is>
      </c>
    </row>
    <row r="475">
      <c r="A475" t="inlineStr">
        <is>
          <t>CVE</t>
        </is>
      </c>
      <c r="B475" t="inlineStr">
        <is>
          <t>CVE-2026-25308</t>
        </is>
      </c>
      <c r="C475" t="inlineStr">
        <is>
          <t>Missing Authorization vulnerability in wp.insider Simple Membership simple-membership allows Exploiting Incorrectly Configured Access Control Security Levels.This issue affects Simple Membership: from n/a through &lt;= 4.6.9.</t>
        </is>
      </c>
      <c r="D475" t="n">
        <v>4.3</v>
      </c>
      <c r="E475" t="inlineStr">
        <is>
          <t>MEDIUM</t>
        </is>
      </c>
      <c r="F475" t="n">
        <v>2</v>
      </c>
      <c r="G475" t="n">
        <v>2</v>
      </c>
      <c r="H475" t="inlineStr">
        <is>
          <t>MEDIUM</t>
        </is>
      </c>
      <c r="I475" t="n">
        <v>8.300000000000001</v>
      </c>
      <c r="J475" t="inlineStr">
        <is>
          <t>NO</t>
        </is>
      </c>
      <c r="K475" t="inlineStr">
        <is>
          <t>2026-02-23 23:48</t>
        </is>
      </c>
      <c r="L475" t="inlineStr">
        <is>
          <t>CHECK_VENDOR</t>
        </is>
      </c>
      <c r="M475" t="inlineStr">
        <is>
          <t>See CVE details</t>
        </is>
      </c>
      <c r="N475" t="inlineStr">
        <is>
          <t>P4</t>
        </is>
      </c>
      <c r="O475" t="inlineStr">
        <is>
          <t>CVE - IP enrichment n/a</t>
        </is>
      </c>
      <c r="P475" t="n">
        <v>0</v>
      </c>
      <c r="Q475" t="n">
        <v>0</v>
      </c>
      <c r="R475" t="inlineStr">
        <is>
          <t>T1190:Exploit Public-Facing Application</t>
        </is>
      </c>
      <c r="S475" t="n">
        <v>1</v>
      </c>
      <c r="T475" t="inlineStr">
        <is>
          <t>LOW (40%)</t>
        </is>
      </c>
      <c r="U475" t="inlineStr">
        <is>
          <t>UNLIKELY</t>
        </is>
      </c>
      <c r="V475" t="inlineStr">
        <is>
          <t>CHECK_VENDOR</t>
        </is>
      </c>
      <c r="W475" t="inlineStr">
        <is>
          <t>https://nvd.nist.gov/vuln/detail/CVE-2026-25308</t>
        </is>
      </c>
      <c r="X475" t="inlineStr">
        <is>
          <t>NONE</t>
        </is>
      </c>
      <c r="Y475" t="n">
        <v>0</v>
      </c>
      <c r="Z475" t="inlineStr"/>
      <c r="AA475" t="inlineStr">
        <is>
          <t>https://nvd.nist.gov/vuln/detail/CVE-2026-25308</t>
        </is>
      </c>
    </row>
    <row r="476">
      <c r="A476" t="inlineStr">
        <is>
          <t>CVE</t>
        </is>
      </c>
      <c r="B476" t="inlineStr">
        <is>
          <t>CVE-2026-25310</t>
        </is>
      </c>
      <c r="C476" t="inlineStr">
        <is>
          <t>Server-Side Request Forgery (SSRF) vulnerability in Alobaidi Extend Link extend-link allows Server Side Request Forgery.This issue affects Extend Link: from n/a through &lt;= 2.0.0.</t>
        </is>
      </c>
      <c r="D476" t="n">
        <v>4.9</v>
      </c>
      <c r="E476" t="inlineStr">
        <is>
          <t>MEDIUM</t>
        </is>
      </c>
      <c r="F476" t="n">
        <v>2</v>
      </c>
      <c r="G476" t="n">
        <v>2</v>
      </c>
      <c r="H476" t="inlineStr">
        <is>
          <t>MEDIUM</t>
        </is>
      </c>
      <c r="I476" t="n">
        <v>8.9</v>
      </c>
      <c r="J476" t="inlineStr">
        <is>
          <t>NO</t>
        </is>
      </c>
      <c r="K476" t="inlineStr">
        <is>
          <t>2026-02-23 23:48</t>
        </is>
      </c>
      <c r="L476" t="inlineStr">
        <is>
          <t>CHECK_VENDOR</t>
        </is>
      </c>
      <c r="M476" t="inlineStr">
        <is>
          <t>See CVE details</t>
        </is>
      </c>
      <c r="N476" t="inlineStr">
        <is>
          <t>P4</t>
        </is>
      </c>
      <c r="O476" t="inlineStr">
        <is>
          <t>CVE - IP enrichment n/a</t>
        </is>
      </c>
      <c r="P476" t="n">
        <v>0</v>
      </c>
      <c r="Q476" t="n">
        <v>0</v>
      </c>
      <c r="R476" t="inlineStr">
        <is>
          <t>T1090:Proxy</t>
        </is>
      </c>
      <c r="S476" t="n">
        <v>1</v>
      </c>
      <c r="T476" t="inlineStr">
        <is>
          <t>LOW (40%)</t>
        </is>
      </c>
      <c r="U476" t="inlineStr">
        <is>
          <t>UNLIKELY</t>
        </is>
      </c>
      <c r="V476" t="inlineStr">
        <is>
          <t>CHECK_VENDOR</t>
        </is>
      </c>
      <c r="W476" t="inlineStr">
        <is>
          <t>https://nvd.nist.gov/vuln/detail/CVE-2026-25310</t>
        </is>
      </c>
      <c r="X476" t="inlineStr">
        <is>
          <t>NONE</t>
        </is>
      </c>
      <c r="Y476" t="n">
        <v>0</v>
      </c>
      <c r="Z476" t="inlineStr"/>
      <c r="AA476" t="inlineStr">
        <is>
          <t>https://nvd.nist.gov/vuln/detail/CVE-2026-25310</t>
        </is>
      </c>
    </row>
    <row r="477">
      <c r="A477" t="inlineStr">
        <is>
          <t>CVE</t>
        </is>
      </c>
      <c r="B477" t="inlineStr">
        <is>
          <t>CVE-2026-25311</t>
        </is>
      </c>
      <c r="C477" t="inlineStr">
        <is>
          <t>Missing Authorization vulnerability in 10up Autoshare for Twitter autoshare-for-twitter allows Exploiting Incorrectly Configured Access Control Security Levels.This issue affects Autoshare for Twitter: from n/a through &lt;= 2.3.1.</t>
        </is>
      </c>
      <c r="D477" t="n">
        <v>5.4</v>
      </c>
      <c r="E477" t="inlineStr">
        <is>
          <t>MEDIUM</t>
        </is>
      </c>
      <c r="F477" t="n">
        <v>2</v>
      </c>
      <c r="G477" t="n">
        <v>2</v>
      </c>
      <c r="H477" t="inlineStr">
        <is>
          <t>MEDIUM</t>
        </is>
      </c>
      <c r="I477" t="n">
        <v>9.4</v>
      </c>
      <c r="J477" t="inlineStr">
        <is>
          <t>NO</t>
        </is>
      </c>
      <c r="K477" t="inlineStr">
        <is>
          <t>2026-02-23 23:48</t>
        </is>
      </c>
      <c r="L477" t="inlineStr">
        <is>
          <t>CHECK_VENDOR</t>
        </is>
      </c>
      <c r="M477" t="inlineStr">
        <is>
          <t>See CVE details</t>
        </is>
      </c>
      <c r="N477" t="inlineStr">
        <is>
          <t>P4</t>
        </is>
      </c>
      <c r="O477" t="inlineStr">
        <is>
          <t>CVE - IP enrichment n/a</t>
        </is>
      </c>
      <c r="P477" t="n">
        <v>0</v>
      </c>
      <c r="Q477" t="n">
        <v>0</v>
      </c>
      <c r="R477" t="inlineStr">
        <is>
          <t>T1190:Exploit Public-Facing Application</t>
        </is>
      </c>
      <c r="S477" t="n">
        <v>1</v>
      </c>
      <c r="T477" t="inlineStr">
        <is>
          <t>LOW (40%)</t>
        </is>
      </c>
      <c r="U477" t="inlineStr">
        <is>
          <t>UNLIKELY</t>
        </is>
      </c>
      <c r="V477" t="inlineStr">
        <is>
          <t>CHECK_VENDOR</t>
        </is>
      </c>
      <c r="W477" t="inlineStr">
        <is>
          <t>https://nvd.nist.gov/vuln/detail/CVE-2026-25311</t>
        </is>
      </c>
      <c r="X477" t="inlineStr">
        <is>
          <t>NONE</t>
        </is>
      </c>
      <c r="Y477" t="n">
        <v>0</v>
      </c>
      <c r="Z477" t="inlineStr"/>
      <c r="AA477" t="inlineStr">
        <is>
          <t>https://nvd.nist.gov/vuln/detail/CVE-2026-25311</t>
        </is>
      </c>
    </row>
    <row r="478">
      <c r="A478" t="inlineStr">
        <is>
          <t>CVE</t>
        </is>
      </c>
      <c r="B478" t="inlineStr">
        <is>
          <t>CVE-2026-25313</t>
        </is>
      </c>
      <c r="C478" t="inlineStr">
        <is>
          <t>Missing Authorization vulnerability in Shahjahan Jewel FluentForm fluentform allows Exploiting Incorrectly Configured Access Control Security Levels.This issue affects FluentForm: from n/a through &lt;= 6.1.14.</t>
        </is>
      </c>
      <c r="D478" t="n">
        <v>4.3</v>
      </c>
      <c r="E478" t="inlineStr">
        <is>
          <t>MEDIUM</t>
        </is>
      </c>
      <c r="F478" t="n">
        <v>2</v>
      </c>
      <c r="G478" t="n">
        <v>2</v>
      </c>
      <c r="H478" t="inlineStr">
        <is>
          <t>MEDIUM</t>
        </is>
      </c>
      <c r="I478" t="n">
        <v>8.300000000000001</v>
      </c>
      <c r="J478" t="inlineStr">
        <is>
          <t>NO</t>
        </is>
      </c>
      <c r="K478" t="inlineStr">
        <is>
          <t>2026-02-23 23:48</t>
        </is>
      </c>
      <c r="L478" t="inlineStr">
        <is>
          <t>CHECK_VENDOR</t>
        </is>
      </c>
      <c r="M478" t="inlineStr">
        <is>
          <t>See CVE details</t>
        </is>
      </c>
      <c r="N478" t="inlineStr">
        <is>
          <t>P4</t>
        </is>
      </c>
      <c r="O478" t="inlineStr">
        <is>
          <t>CVE - IP enrichment n/a</t>
        </is>
      </c>
      <c r="P478" t="n">
        <v>0.0003</v>
      </c>
      <c r="Q478" t="n">
        <v>0.0718</v>
      </c>
      <c r="R478" t="inlineStr">
        <is>
          <t>T1190:Exploit Public-Facing Application</t>
        </is>
      </c>
      <c r="S478" t="n">
        <v>1</v>
      </c>
      <c r="T478" t="inlineStr">
        <is>
          <t>LOW (40%)</t>
        </is>
      </c>
      <c r="U478" t="inlineStr">
        <is>
          <t>UNLIKELY</t>
        </is>
      </c>
      <c r="V478" t="inlineStr">
        <is>
          <t>CHECK_VENDOR</t>
        </is>
      </c>
      <c r="W478" t="inlineStr">
        <is>
          <t>https://nvd.nist.gov/vuln/detail/CVE-2026-25313</t>
        </is>
      </c>
      <c r="X478" t="inlineStr">
        <is>
          <t>NONE</t>
        </is>
      </c>
      <c r="Y478" t="n">
        <v>0</v>
      </c>
      <c r="Z478" t="inlineStr"/>
      <c r="AA478" t="inlineStr">
        <is>
          <t>https://nvd.nist.gov/vuln/detail/CVE-2026-25313</t>
        </is>
      </c>
    </row>
    <row r="479">
      <c r="A479" t="inlineStr">
        <is>
          <t>CVE</t>
        </is>
      </c>
      <c r="B479" t="inlineStr">
        <is>
          <t>CVE-2026-25314</t>
        </is>
      </c>
      <c r="C479" t="inlineStr">
        <is>
          <t>Missing Authorization vulnerability in WP Messiah TOP Table Of Contents top-table-of-contents allows Exploiting Incorrectly Configured Access Control Security Levels.This issue affects TOP Table Of Contents: from n/a through &lt;= 1.3.31.</t>
        </is>
      </c>
      <c r="D479" t="n">
        <v>4.3</v>
      </c>
      <c r="E479" t="inlineStr">
        <is>
          <t>MEDIUM</t>
        </is>
      </c>
      <c r="F479" t="n">
        <v>2</v>
      </c>
      <c r="G479" t="n">
        <v>2</v>
      </c>
      <c r="H479" t="inlineStr">
        <is>
          <t>MEDIUM</t>
        </is>
      </c>
      <c r="I479" t="n">
        <v>8.300000000000001</v>
      </c>
      <c r="J479" t="inlineStr">
        <is>
          <t>NO</t>
        </is>
      </c>
      <c r="K479" t="inlineStr">
        <is>
          <t>2026-02-23 23:48</t>
        </is>
      </c>
      <c r="L479" t="inlineStr">
        <is>
          <t>CHECK_VENDOR</t>
        </is>
      </c>
      <c r="M479" t="inlineStr">
        <is>
          <t>See CVE details</t>
        </is>
      </c>
      <c r="N479" t="inlineStr">
        <is>
          <t>P4</t>
        </is>
      </c>
      <c r="O479" t="inlineStr">
        <is>
          <t>CVE - IP enrichment n/a</t>
        </is>
      </c>
      <c r="P479" t="n">
        <v>0.0003</v>
      </c>
      <c r="Q479" t="n">
        <v>0.0718</v>
      </c>
      <c r="R479" t="inlineStr">
        <is>
          <t>T1190:Exploit Public-Facing Application</t>
        </is>
      </c>
      <c r="S479" t="n">
        <v>1</v>
      </c>
      <c r="T479" t="inlineStr">
        <is>
          <t>LOW (40%)</t>
        </is>
      </c>
      <c r="U479" t="inlineStr">
        <is>
          <t>UNLIKELY</t>
        </is>
      </c>
      <c r="V479" t="inlineStr">
        <is>
          <t>CHECK_VENDOR</t>
        </is>
      </c>
      <c r="W479" t="inlineStr">
        <is>
          <t>https://nvd.nist.gov/vuln/detail/CVE-2026-25314</t>
        </is>
      </c>
      <c r="X479" t="inlineStr">
        <is>
          <t>NONE</t>
        </is>
      </c>
      <c r="Y479" t="n">
        <v>0</v>
      </c>
      <c r="Z479" t="inlineStr"/>
      <c r="AA479" t="inlineStr">
        <is>
          <t>https://nvd.nist.gov/vuln/detail/CVE-2026-25314</t>
        </is>
      </c>
    </row>
    <row r="480">
      <c r="A480" t="inlineStr">
        <is>
          <t>CVE</t>
        </is>
      </c>
      <c r="B480" t="inlineStr">
        <is>
          <t>CVE-2026-25315</t>
        </is>
      </c>
      <c r="C480" t="inlineStr">
        <is>
          <t>Missing Authorization vulnerability in hcaptcha hCaptcha for WP hcaptcha-for-forms-and-more allows Exploiting Incorrectly Configured Access Control Security Levels.This issue affects hCaptcha for WP: from n/a through &lt;= 4.22.0.</t>
        </is>
      </c>
      <c r="D480" t="n">
        <v>5.3</v>
      </c>
      <c r="E480" t="inlineStr">
        <is>
          <t>MEDIUM</t>
        </is>
      </c>
      <c r="F480" t="n">
        <v>2</v>
      </c>
      <c r="G480" t="n">
        <v>2</v>
      </c>
      <c r="H480" t="inlineStr">
        <is>
          <t>MEDIUM</t>
        </is>
      </c>
      <c r="I480" t="n">
        <v>9.300000000000001</v>
      </c>
      <c r="J480" t="inlineStr">
        <is>
          <t>NO</t>
        </is>
      </c>
      <c r="K480" t="inlineStr">
        <is>
          <t>2026-02-23 23:48</t>
        </is>
      </c>
      <c r="L480" t="inlineStr">
        <is>
          <t>CHECK_VENDOR</t>
        </is>
      </c>
      <c r="M480" t="inlineStr">
        <is>
          <t>See CVE details</t>
        </is>
      </c>
      <c r="N480" t="inlineStr">
        <is>
          <t>P4</t>
        </is>
      </c>
      <c r="O480" t="inlineStr">
        <is>
          <t>CVE - IP enrichment n/a</t>
        </is>
      </c>
      <c r="P480" t="n">
        <v>0.0003</v>
      </c>
      <c r="Q480" t="n">
        <v>0.07870000000000001</v>
      </c>
      <c r="R480" t="inlineStr">
        <is>
          <t>T1190:Exploit Public-Facing Application</t>
        </is>
      </c>
      <c r="S480" t="n">
        <v>1</v>
      </c>
      <c r="T480" t="inlineStr">
        <is>
          <t>LOW (40%)</t>
        </is>
      </c>
      <c r="U480" t="inlineStr">
        <is>
          <t>UNLIKELY</t>
        </is>
      </c>
      <c r="V480" t="inlineStr">
        <is>
          <t>CHECK_VENDOR</t>
        </is>
      </c>
      <c r="W480" t="inlineStr">
        <is>
          <t>https://nvd.nist.gov/vuln/detail/CVE-2026-25315</t>
        </is>
      </c>
      <c r="X480" t="inlineStr">
        <is>
          <t>NONE</t>
        </is>
      </c>
      <c r="Y480" t="n">
        <v>0</v>
      </c>
      <c r="Z480" t="inlineStr"/>
      <c r="AA480" t="inlineStr">
        <is>
          <t>https://nvd.nist.gov/vuln/detail/CVE-2026-25315</t>
        </is>
      </c>
    </row>
    <row r="481">
      <c r="A481" t="inlineStr">
        <is>
          <t>CVE</t>
        </is>
      </c>
      <c r="B481" t="inlineStr">
        <is>
          <t>CVE-2026-25316</t>
        </is>
      </c>
      <c r="C481" t="inlineStr">
        <is>
          <t>Deserialization of Untrusted Data vulnerability in Brainstorm Force CartFlows cartflows allows Object Injection.This issue affects CartFlows: from n/a through &lt;= 2.1.19.</t>
        </is>
      </c>
      <c r="D481" t="n">
        <v>8.5</v>
      </c>
      <c r="E481" t="inlineStr">
        <is>
          <t>HIGH</t>
        </is>
      </c>
      <c r="F481" t="n">
        <v>2</v>
      </c>
      <c r="G481" t="n">
        <v>3</v>
      </c>
      <c r="H481" t="inlineStr">
        <is>
          <t>HIGH</t>
        </is>
      </c>
      <c r="I481" t="n">
        <v>14.5</v>
      </c>
      <c r="J481" t="inlineStr">
        <is>
          <t>NO</t>
        </is>
      </c>
      <c r="K481" t="inlineStr">
        <is>
          <t>2026-02-23 23:48</t>
        </is>
      </c>
      <c r="L481" t="inlineStr">
        <is>
          <t>CHECK_VENDOR</t>
        </is>
      </c>
      <c r="M481" t="inlineStr">
        <is>
          <t>See CVE details</t>
        </is>
      </c>
      <c r="N481" t="inlineStr">
        <is>
          <t>P3</t>
        </is>
      </c>
      <c r="O481" t="inlineStr">
        <is>
          <t>CVE - IP enrichment n/a</t>
        </is>
      </c>
      <c r="P481" t="n">
        <v>0</v>
      </c>
      <c r="Q481" t="n">
        <v>0</v>
      </c>
      <c r="R481" t="inlineStr">
        <is>
          <t>T1059:Command and Scripting Interpreter | T1190:Exploit Public-Facing Application</t>
        </is>
      </c>
      <c r="S481" t="n">
        <v>1</v>
      </c>
      <c r="T481" t="inlineStr">
        <is>
          <t>LOW (40%)</t>
        </is>
      </c>
      <c r="U481" t="inlineStr">
        <is>
          <t>UNLIKELY</t>
        </is>
      </c>
      <c r="V481" t="inlineStr">
        <is>
          <t>CHECK_VENDOR</t>
        </is>
      </c>
      <c r="W481" t="inlineStr">
        <is>
          <t>https://nvd.nist.gov/vuln/detail/CVE-2026-25316</t>
        </is>
      </c>
      <c r="X481" t="inlineStr">
        <is>
          <t>NONE</t>
        </is>
      </c>
      <c r="Y481" t="n">
        <v>0</v>
      </c>
      <c r="Z481" t="inlineStr"/>
      <c r="AA481" t="inlineStr">
        <is>
          <t>https://nvd.nist.gov/vuln/detail/CVE-2026-25316</t>
        </is>
      </c>
    </row>
    <row r="482">
      <c r="A482" t="inlineStr">
        <is>
          <t>CVE</t>
        </is>
      </c>
      <c r="B482" t="inlineStr">
        <is>
          <t>CVE-2026-25318</t>
        </is>
      </c>
      <c r="C482" t="inlineStr">
        <is>
          <t>Missing Authorization vulnerability in Wisernotify team WiserReview Product Reviews for WooCommerce wiser-review allows Exploiting Incorrectly Configured Access Control Security Levels.This issue affects WiserReview Product Reviews for WooCommerce: from n/a through &lt;= 2.9.</t>
        </is>
      </c>
      <c r="D482" t="n">
        <v>4.3</v>
      </c>
      <c r="E482" t="inlineStr">
        <is>
          <t>MEDIUM</t>
        </is>
      </c>
      <c r="F482" t="n">
        <v>2</v>
      </c>
      <c r="G482" t="n">
        <v>2</v>
      </c>
      <c r="H482" t="inlineStr">
        <is>
          <t>MEDIUM</t>
        </is>
      </c>
      <c r="I482" t="n">
        <v>8.300000000000001</v>
      </c>
      <c r="J482" t="inlineStr">
        <is>
          <t>NO</t>
        </is>
      </c>
      <c r="K482" t="inlineStr">
        <is>
          <t>2026-02-23 23:48</t>
        </is>
      </c>
      <c r="L482" t="inlineStr">
        <is>
          <t>CHECK_VENDOR</t>
        </is>
      </c>
      <c r="M482" t="inlineStr">
        <is>
          <t>See CVE details</t>
        </is>
      </c>
      <c r="N482" t="inlineStr">
        <is>
          <t>P4</t>
        </is>
      </c>
      <c r="O482" t="inlineStr">
        <is>
          <t>CVE - IP enrichment n/a</t>
        </is>
      </c>
      <c r="P482" t="n">
        <v>0</v>
      </c>
      <c r="Q482" t="n">
        <v>0</v>
      </c>
      <c r="R482" t="inlineStr">
        <is>
          <t>T1190:Exploit Public-Facing Application</t>
        </is>
      </c>
      <c r="S482" t="n">
        <v>1</v>
      </c>
      <c r="T482" t="inlineStr">
        <is>
          <t>LOW (40%)</t>
        </is>
      </c>
      <c r="U482" t="inlineStr">
        <is>
          <t>UNLIKELY</t>
        </is>
      </c>
      <c r="V482" t="inlineStr">
        <is>
          <t>CHECK_VENDOR</t>
        </is>
      </c>
      <c r="W482" t="inlineStr">
        <is>
          <t>https://nvd.nist.gov/vuln/detail/CVE-2026-25318</t>
        </is>
      </c>
      <c r="X482" t="inlineStr">
        <is>
          <t>NONE</t>
        </is>
      </c>
      <c r="Y482" t="n">
        <v>0</v>
      </c>
      <c r="Z482" t="inlineStr"/>
      <c r="AA482" t="inlineStr">
        <is>
          <t>https://nvd.nist.gov/vuln/detail/CVE-2026-25318</t>
        </is>
      </c>
    </row>
    <row r="483">
      <c r="A483" t="inlineStr">
        <is>
          <t>CVE</t>
        </is>
      </c>
      <c r="B483" t="inlineStr">
        <is>
          <t>CVE-2026-25319</t>
        </is>
      </c>
      <c r="C483" t="inlineStr">
        <is>
          <t>Cross-Site Request Forgery (CSRF) vulnerability in wpzita Zita Elementor Site Library zita-site-library allows Cross Site Request Forgery.This issue affects Zita Elementor Site Library: from n/a through &lt;= 1.6.6.</t>
        </is>
      </c>
      <c r="D483" t="n">
        <v>4.3</v>
      </c>
      <c r="E483" t="inlineStr">
        <is>
          <t>MEDIUM</t>
        </is>
      </c>
      <c r="F483" t="n">
        <v>2</v>
      </c>
      <c r="G483" t="n">
        <v>2</v>
      </c>
      <c r="H483" t="inlineStr">
        <is>
          <t>MEDIUM</t>
        </is>
      </c>
      <c r="I483" t="n">
        <v>8.300000000000001</v>
      </c>
      <c r="J483" t="inlineStr">
        <is>
          <t>NO</t>
        </is>
      </c>
      <c r="K483" t="inlineStr">
        <is>
          <t>2026-02-23 23:48</t>
        </is>
      </c>
      <c r="L483" t="inlineStr">
        <is>
          <t>CHECK_VENDOR</t>
        </is>
      </c>
      <c r="M483" t="inlineStr">
        <is>
          <t>See CVE details</t>
        </is>
      </c>
      <c r="N483" t="inlineStr">
        <is>
          <t>P4</t>
        </is>
      </c>
      <c r="O483" t="inlineStr">
        <is>
          <t>CVE - IP enrichment n/a</t>
        </is>
      </c>
      <c r="P483" t="n">
        <v>0</v>
      </c>
      <c r="Q483" t="n">
        <v>0</v>
      </c>
      <c r="R483" t="inlineStr">
        <is>
          <t>T1185:Browser Session Hijacking</t>
        </is>
      </c>
      <c r="S483" t="n">
        <v>1</v>
      </c>
      <c r="T483" t="inlineStr">
        <is>
          <t>LOW (40%)</t>
        </is>
      </c>
      <c r="U483" t="inlineStr">
        <is>
          <t>UNLIKELY</t>
        </is>
      </c>
      <c r="V483" t="inlineStr">
        <is>
          <t>CHECK_VENDOR</t>
        </is>
      </c>
      <c r="W483" t="inlineStr">
        <is>
          <t>https://nvd.nist.gov/vuln/detail/CVE-2026-25319</t>
        </is>
      </c>
      <c r="X483" t="inlineStr">
        <is>
          <t>NONE</t>
        </is>
      </c>
      <c r="Y483" t="n">
        <v>0</v>
      </c>
      <c r="Z483" t="inlineStr"/>
      <c r="AA483" t="inlineStr">
        <is>
          <t>https://nvd.nist.gov/vuln/detail/CVE-2026-25319</t>
        </is>
      </c>
    </row>
    <row r="484">
      <c r="A484" t="inlineStr">
        <is>
          <t>CVE</t>
        </is>
      </c>
      <c r="B484" t="inlineStr">
        <is>
          <t>CVE-2026-25320</t>
        </is>
      </c>
      <c r="C484" t="inlineStr">
        <is>
          <t>Missing Authorization vulnerability in Cool Plugins Elementor Contact Form DB sb-elementor-contact-form-db allows Exploiting Incorrectly Configured Access Control Security Levels.This issue affects Elementor Contact Form DB: from n/a through &lt;= 2.1.3.</t>
        </is>
      </c>
      <c r="D484" t="n">
        <v>5.3</v>
      </c>
      <c r="E484" t="inlineStr">
        <is>
          <t>MEDIUM</t>
        </is>
      </c>
      <c r="F484" t="n">
        <v>2</v>
      </c>
      <c r="G484" t="n">
        <v>2</v>
      </c>
      <c r="H484" t="inlineStr">
        <is>
          <t>MEDIUM</t>
        </is>
      </c>
      <c r="I484" t="n">
        <v>9.300000000000001</v>
      </c>
      <c r="J484" t="inlineStr">
        <is>
          <t>NO</t>
        </is>
      </c>
      <c r="K484" t="inlineStr">
        <is>
          <t>2026-02-23 23:48</t>
        </is>
      </c>
      <c r="L484" t="inlineStr">
        <is>
          <t>CHECK_VENDOR</t>
        </is>
      </c>
      <c r="M484" t="inlineStr">
        <is>
          <t>See CVE details</t>
        </is>
      </c>
      <c r="N484" t="inlineStr">
        <is>
          <t>P4</t>
        </is>
      </c>
      <c r="O484" t="inlineStr">
        <is>
          <t>CVE - IP enrichment n/a</t>
        </is>
      </c>
      <c r="P484" t="n">
        <v>0</v>
      </c>
      <c r="Q484" t="n">
        <v>0</v>
      </c>
      <c r="R484" t="inlineStr">
        <is>
          <t>T1190:Exploit Public-Facing Application</t>
        </is>
      </c>
      <c r="S484" t="n">
        <v>1</v>
      </c>
      <c r="T484" t="inlineStr">
        <is>
          <t>LOW (40%)</t>
        </is>
      </c>
      <c r="U484" t="inlineStr">
        <is>
          <t>UNLIKELY</t>
        </is>
      </c>
      <c r="V484" t="inlineStr">
        <is>
          <t>CHECK_VENDOR</t>
        </is>
      </c>
      <c r="W484" t="inlineStr">
        <is>
          <t>https://nvd.nist.gov/vuln/detail/CVE-2026-25320</t>
        </is>
      </c>
      <c r="X484" t="inlineStr">
        <is>
          <t>NONE</t>
        </is>
      </c>
      <c r="Y484" t="n">
        <v>0</v>
      </c>
      <c r="Z484" t="inlineStr"/>
      <c r="AA484" t="inlineStr">
        <is>
          <t>https://nvd.nist.gov/vuln/detail/CVE-2026-25320</t>
        </is>
      </c>
    </row>
    <row r="485">
      <c r="A485" t="inlineStr">
        <is>
          <t>CVE</t>
        </is>
      </c>
      <c r="B485" t="inlineStr">
        <is>
          <t>CVE-2026-25321</t>
        </is>
      </c>
      <c r="C485" t="inlineStr">
        <is>
          <t>Missing Authorization vulnerability in PSM Plugins SupportCandy supportcandy allows Exploiting Incorrectly Configured Access Control Security Levels.This issue affects SupportCandy: from n/a through &lt;= 3.4.4.</t>
        </is>
      </c>
      <c r="D485" t="n">
        <v>5.3</v>
      </c>
      <c r="E485" t="inlineStr">
        <is>
          <t>MEDIUM</t>
        </is>
      </c>
      <c r="F485" t="n">
        <v>2</v>
      </c>
      <c r="G485" t="n">
        <v>2</v>
      </c>
      <c r="H485" t="inlineStr">
        <is>
          <t>MEDIUM</t>
        </is>
      </c>
      <c r="I485" t="n">
        <v>9.300000000000001</v>
      </c>
      <c r="J485" t="inlineStr">
        <is>
          <t>NO</t>
        </is>
      </c>
      <c r="K485" t="inlineStr">
        <is>
          <t>2026-02-23 23:48</t>
        </is>
      </c>
      <c r="L485" t="inlineStr">
        <is>
          <t>CHECK_VENDOR</t>
        </is>
      </c>
      <c r="M485" t="inlineStr">
        <is>
          <t>See CVE details</t>
        </is>
      </c>
      <c r="N485" t="inlineStr">
        <is>
          <t>P4</t>
        </is>
      </c>
      <c r="O485" t="inlineStr">
        <is>
          <t>CVE - IP enrichment n/a</t>
        </is>
      </c>
      <c r="P485" t="n">
        <v>0</v>
      </c>
      <c r="Q485" t="n">
        <v>0</v>
      </c>
      <c r="R485" t="inlineStr">
        <is>
          <t>T1190:Exploit Public-Facing Application</t>
        </is>
      </c>
      <c r="S485" t="n">
        <v>1</v>
      </c>
      <c r="T485" t="inlineStr">
        <is>
          <t>LOW (40%)</t>
        </is>
      </c>
      <c r="U485" t="inlineStr">
        <is>
          <t>UNLIKELY</t>
        </is>
      </c>
      <c r="V485" t="inlineStr">
        <is>
          <t>CHECK_VENDOR</t>
        </is>
      </c>
      <c r="W485" t="inlineStr">
        <is>
          <t>https://nvd.nist.gov/vuln/detail/CVE-2026-25321</t>
        </is>
      </c>
      <c r="X485" t="inlineStr">
        <is>
          <t>NONE</t>
        </is>
      </c>
      <c r="Y485" t="n">
        <v>0</v>
      </c>
      <c r="Z485" t="inlineStr"/>
      <c r="AA485" t="inlineStr">
        <is>
          <t>https://nvd.nist.gov/vuln/detail/CVE-2026-25321</t>
        </is>
      </c>
    </row>
    <row r="486">
      <c r="A486" t="inlineStr">
        <is>
          <t>CVE</t>
        </is>
      </c>
      <c r="B486" t="inlineStr">
        <is>
          <t>CVE-2026-25322</t>
        </is>
      </c>
      <c r="C486" t="inlineStr">
        <is>
          <t>Cross-Site Request Forgery (CSRF) vulnerability in PublishPress PublishPress Revisions revisionary allows Cross Site Request Forgery.This issue affects PublishPress Revisions: from n/a through &lt;= 3.7.22.</t>
        </is>
      </c>
      <c r="D486" t="n">
        <v>5.4</v>
      </c>
      <c r="E486" t="inlineStr">
        <is>
          <t>MEDIUM</t>
        </is>
      </c>
      <c r="F486" t="n">
        <v>2</v>
      </c>
      <c r="G486" t="n">
        <v>2</v>
      </c>
      <c r="H486" t="inlineStr">
        <is>
          <t>MEDIUM</t>
        </is>
      </c>
      <c r="I486" t="n">
        <v>9.4</v>
      </c>
      <c r="J486" t="inlineStr">
        <is>
          <t>NO</t>
        </is>
      </c>
      <c r="K486" t="inlineStr">
        <is>
          <t>2026-02-23 23:48</t>
        </is>
      </c>
      <c r="L486" t="inlineStr">
        <is>
          <t>CHECK_VENDOR</t>
        </is>
      </c>
      <c r="M486" t="inlineStr">
        <is>
          <t>See CVE details</t>
        </is>
      </c>
      <c r="N486" t="inlineStr">
        <is>
          <t>P4</t>
        </is>
      </c>
      <c r="O486" t="inlineStr">
        <is>
          <t>CVE - IP enrichment n/a</t>
        </is>
      </c>
      <c r="P486" t="n">
        <v>0</v>
      </c>
      <c r="Q486" t="n">
        <v>0</v>
      </c>
      <c r="R486" t="inlineStr">
        <is>
          <t>T1185:Browser Session Hijacking</t>
        </is>
      </c>
      <c r="S486" t="n">
        <v>1</v>
      </c>
      <c r="T486" t="inlineStr">
        <is>
          <t>LOW (40%)</t>
        </is>
      </c>
      <c r="U486" t="inlineStr">
        <is>
          <t>UNLIKELY</t>
        </is>
      </c>
      <c r="V486" t="inlineStr">
        <is>
          <t>CHECK_VENDOR</t>
        </is>
      </c>
      <c r="W486" t="inlineStr">
        <is>
          <t>https://nvd.nist.gov/vuln/detail/CVE-2026-25322</t>
        </is>
      </c>
      <c r="X486" t="inlineStr">
        <is>
          <t>NONE</t>
        </is>
      </c>
      <c r="Y486" t="n">
        <v>0</v>
      </c>
      <c r="Z486" t="inlineStr"/>
      <c r="AA486" t="inlineStr">
        <is>
          <t>https://nvd.nist.gov/vuln/detail/CVE-2026-25322</t>
        </is>
      </c>
    </row>
    <row r="487">
      <c r="A487" t="inlineStr">
        <is>
          <t>CVE</t>
        </is>
      </c>
      <c r="B487" t="inlineStr">
        <is>
          <t>CVE-2026-25323</t>
        </is>
      </c>
      <c r="C487" t="inlineStr">
        <is>
          <t>Missing Authorization vulnerability in MiKa OSM osm allows Exploiting Incorrectly Configured Access Control Security Levels.This issue affects OSM: from n/a through &lt;= 6.1.12.</t>
        </is>
      </c>
      <c r="D487" t="n">
        <v>5</v>
      </c>
      <c r="E487" t="inlineStr">
        <is>
          <t>MEDIUM</t>
        </is>
      </c>
      <c r="F487" t="n">
        <v>2</v>
      </c>
      <c r="G487" t="n">
        <v>2</v>
      </c>
      <c r="H487" t="inlineStr">
        <is>
          <t>MEDIUM</t>
        </is>
      </c>
      <c r="I487" t="n">
        <v>9</v>
      </c>
      <c r="J487" t="inlineStr">
        <is>
          <t>NO</t>
        </is>
      </c>
      <c r="K487" t="inlineStr">
        <is>
          <t>2026-02-23 23:48</t>
        </is>
      </c>
      <c r="L487" t="inlineStr">
        <is>
          <t>CHECK_VENDOR</t>
        </is>
      </c>
      <c r="M487" t="inlineStr">
        <is>
          <t>See CVE details</t>
        </is>
      </c>
      <c r="N487" t="inlineStr">
        <is>
          <t>P4</t>
        </is>
      </c>
      <c r="O487" t="inlineStr">
        <is>
          <t>CVE - IP enrichment n/a</t>
        </is>
      </c>
      <c r="P487" t="n">
        <v>0</v>
      </c>
      <c r="Q487" t="n">
        <v>0</v>
      </c>
      <c r="R487" t="inlineStr">
        <is>
          <t>T1190:Exploit Public-Facing Application</t>
        </is>
      </c>
      <c r="S487" t="n">
        <v>1</v>
      </c>
      <c r="T487" t="inlineStr">
        <is>
          <t>LOW (40%)</t>
        </is>
      </c>
      <c r="U487" t="inlineStr">
        <is>
          <t>UNLIKELY</t>
        </is>
      </c>
      <c r="V487" t="inlineStr">
        <is>
          <t>CHECK_VENDOR</t>
        </is>
      </c>
      <c r="W487" t="inlineStr">
        <is>
          <t>https://nvd.nist.gov/vuln/detail/CVE-2026-25323</t>
        </is>
      </c>
      <c r="X487" t="inlineStr">
        <is>
          <t>NONE</t>
        </is>
      </c>
      <c r="Y487" t="n">
        <v>0</v>
      </c>
      <c r="Z487" t="inlineStr"/>
      <c r="AA487" t="inlineStr">
        <is>
          <t>https://nvd.nist.gov/vuln/detail/CVE-2026-25323</t>
        </is>
      </c>
    </row>
    <row r="488">
      <c r="A488" t="inlineStr">
        <is>
          <t>CVE</t>
        </is>
      </c>
      <c r="B488" t="inlineStr">
        <is>
          <t>CVE-2026-25324</t>
        </is>
      </c>
      <c r="C488" t="inlineStr">
        <is>
          <t>Authorization Bypass Through User-Controlled Key vulnerability in ExpressTech Systems Quiz And Survey Master quiz-master-next allows Exploiting Incorrectly Configured Access Control Security Levels.This issue affects Quiz And Survey Master: from n/a through &lt;= 10.3.4.</t>
        </is>
      </c>
      <c r="D488" t="n">
        <v>5.3</v>
      </c>
      <c r="E488" t="inlineStr">
        <is>
          <t>MEDIUM</t>
        </is>
      </c>
      <c r="F488" t="n">
        <v>2</v>
      </c>
      <c r="G488" t="n">
        <v>2</v>
      </c>
      <c r="H488" t="inlineStr">
        <is>
          <t>MEDIUM</t>
        </is>
      </c>
      <c r="I488" t="n">
        <v>9.300000000000001</v>
      </c>
      <c r="J488" t="inlineStr">
        <is>
          <t>NO</t>
        </is>
      </c>
      <c r="K488" t="inlineStr">
        <is>
          <t>2026-02-23 23:48</t>
        </is>
      </c>
      <c r="L488" t="inlineStr">
        <is>
          <t>CHECK_VENDOR</t>
        </is>
      </c>
      <c r="M488" t="inlineStr">
        <is>
          <t>See CVE details</t>
        </is>
      </c>
      <c r="N488" t="inlineStr">
        <is>
          <t>P4</t>
        </is>
      </c>
      <c r="O488" t="inlineStr">
        <is>
          <t>CVE - IP enrichment n/a</t>
        </is>
      </c>
      <c r="P488" t="n">
        <v>0</v>
      </c>
      <c r="Q488" t="n">
        <v>0</v>
      </c>
      <c r="R488" t="inlineStr">
        <is>
          <t>T1190:Exploit Public-Facing Application</t>
        </is>
      </c>
      <c r="S488" t="n">
        <v>1</v>
      </c>
      <c r="T488" t="inlineStr">
        <is>
          <t>LOW (40%)</t>
        </is>
      </c>
      <c r="U488" t="inlineStr">
        <is>
          <t>UNLIKELY</t>
        </is>
      </c>
      <c r="V488" t="inlineStr">
        <is>
          <t>CHECK_VENDOR</t>
        </is>
      </c>
      <c r="W488" t="inlineStr">
        <is>
          <t>https://nvd.nist.gov/vuln/detail/CVE-2026-25324</t>
        </is>
      </c>
      <c r="X488" t="inlineStr">
        <is>
          <t>NONE</t>
        </is>
      </c>
      <c r="Y488" t="n">
        <v>0</v>
      </c>
      <c r="Z488" t="inlineStr"/>
      <c r="AA488" t="inlineStr">
        <is>
          <t>https://nvd.nist.gov/vuln/detail/CVE-2026-25324</t>
        </is>
      </c>
    </row>
    <row r="489">
      <c r="A489" t="inlineStr">
        <is>
          <t>CVE</t>
        </is>
      </c>
      <c r="B489" t="inlineStr">
        <is>
          <t>CVE-2026-25325</t>
        </is>
      </c>
      <c r="C489" t="inlineStr">
        <is>
          <t>Exposure of Sensitive System Information to an Unauthorized Control Sphere vulnerability in rtCamp rtMedia for WordPress, BuddyPress and bbPress buddypress-media allows Retrieve Embedded Sensitive Data.This issue affects rtMedia for WordPress, BuddyPress and bbPress: from n/a through &lt;= 4.7.8.</t>
        </is>
      </c>
      <c r="D489" t="n">
        <v>5.3</v>
      </c>
      <c r="E489" t="inlineStr">
        <is>
          <t>MEDIUM</t>
        </is>
      </c>
      <c r="F489" t="n">
        <v>2</v>
      </c>
      <c r="G489" t="n">
        <v>2</v>
      </c>
      <c r="H489" t="inlineStr">
        <is>
          <t>MEDIUM</t>
        </is>
      </c>
      <c r="I489" t="n">
        <v>9.300000000000001</v>
      </c>
      <c r="J489" t="inlineStr">
        <is>
          <t>NO</t>
        </is>
      </c>
      <c r="K489" t="inlineStr">
        <is>
          <t>2026-02-23 23:48</t>
        </is>
      </c>
      <c r="L489" t="inlineStr">
        <is>
          <t>CHECK_VENDOR</t>
        </is>
      </c>
      <c r="M489" t="inlineStr">
        <is>
          <t>See CVE details</t>
        </is>
      </c>
      <c r="N489" t="inlineStr">
        <is>
          <t>P4</t>
        </is>
      </c>
      <c r="O489" t="inlineStr">
        <is>
          <t>CVE - IP enrichment n/a</t>
        </is>
      </c>
      <c r="P489" t="n">
        <v>0</v>
      </c>
      <c r="Q489" t="n">
        <v>0</v>
      </c>
      <c r="R489" t="inlineStr">
        <is>
          <t>T1190:Exploit Public-Facing Application</t>
        </is>
      </c>
      <c r="S489" t="n">
        <v>1</v>
      </c>
      <c r="T489" t="inlineStr">
        <is>
          <t>LOW (40%)</t>
        </is>
      </c>
      <c r="U489" t="inlineStr">
        <is>
          <t>UNLIKELY</t>
        </is>
      </c>
      <c r="V489" t="inlineStr">
        <is>
          <t>CHECK_VENDOR</t>
        </is>
      </c>
      <c r="W489" t="inlineStr">
        <is>
          <t>https://nvd.nist.gov/vuln/detail/CVE-2026-25325</t>
        </is>
      </c>
      <c r="X489" t="inlineStr">
        <is>
          <t>NONE</t>
        </is>
      </c>
      <c r="Y489" t="n">
        <v>0</v>
      </c>
      <c r="Z489" t="inlineStr"/>
      <c r="AA489" t="inlineStr">
        <is>
          <t>https://nvd.nist.gov/vuln/detail/CVE-2026-25325</t>
        </is>
      </c>
    </row>
    <row r="490">
      <c r="A490" t="inlineStr">
        <is>
          <t>CVE</t>
        </is>
      </c>
      <c r="B490" t="inlineStr">
        <is>
          <t>CVE-2026-25326</t>
        </is>
      </c>
      <c r="C490" t="inlineStr">
        <is>
          <t>Improper Control of Filename for Include/Require Statement in PHP Program ('PHP Remote File Inclusion') vulnerability in cmsmasters CMSMasters Content Composer cmsmasters-content-composer allows PHP Local File Inclusion.This issue affects CMSMasters Content Composer: from n/a through &lt;= 1.4.5.</t>
        </is>
      </c>
      <c r="D490" t="n">
        <v>7.5</v>
      </c>
      <c r="E490" t="inlineStr">
        <is>
          <t>HIGH</t>
        </is>
      </c>
      <c r="F490" t="n">
        <v>2</v>
      </c>
      <c r="G490" t="n">
        <v>3</v>
      </c>
      <c r="H490" t="inlineStr">
        <is>
          <t>HIGH</t>
        </is>
      </c>
      <c r="I490" t="n">
        <v>13.5</v>
      </c>
      <c r="J490" t="inlineStr">
        <is>
          <t>NO</t>
        </is>
      </c>
      <c r="K490" t="inlineStr">
        <is>
          <t>2026-02-23 23:48</t>
        </is>
      </c>
      <c r="L490" t="inlineStr">
        <is>
          <t>CHECK_VENDOR</t>
        </is>
      </c>
      <c r="M490" t="inlineStr">
        <is>
          <t>See CVE details</t>
        </is>
      </c>
      <c r="N490" t="inlineStr">
        <is>
          <t>P3</t>
        </is>
      </c>
      <c r="O490" t="inlineStr">
        <is>
          <t>CVE - IP enrichment n/a</t>
        </is>
      </c>
      <c r="P490" t="n">
        <v>0</v>
      </c>
      <c r="Q490" t="n">
        <v>0</v>
      </c>
      <c r="R490" t="inlineStr">
        <is>
          <t>T1190:Exploit Public-Facing Application</t>
        </is>
      </c>
      <c r="S490" t="n">
        <v>1</v>
      </c>
      <c r="T490" t="inlineStr">
        <is>
          <t>LOW (40%)</t>
        </is>
      </c>
      <c r="U490" t="inlineStr">
        <is>
          <t>UNLIKELY</t>
        </is>
      </c>
      <c r="V490" t="inlineStr">
        <is>
          <t>CHECK_VENDOR</t>
        </is>
      </c>
      <c r="W490" t="inlineStr">
        <is>
          <t>https://nvd.nist.gov/vuln/detail/CVE-2026-25326</t>
        </is>
      </c>
      <c r="X490" t="inlineStr">
        <is>
          <t>NONE</t>
        </is>
      </c>
      <c r="Y490" t="n">
        <v>0</v>
      </c>
      <c r="Z490" t="inlineStr"/>
      <c r="AA490" t="inlineStr">
        <is>
          <t>https://nvd.nist.gov/vuln/detail/CVE-2026-25326</t>
        </is>
      </c>
    </row>
    <row r="491">
      <c r="A491" t="inlineStr">
        <is>
          <t>CVE</t>
        </is>
      </c>
      <c r="B491" t="inlineStr">
        <is>
          <t>CVE-2026-25329</t>
        </is>
      </c>
      <c r="C491" t="inlineStr">
        <is>
          <t>Missing Authorization vulnerability in ExpressTech Systems Quiz And Survey Master quiz-master-next allows Exploiting Incorrectly Configured Access Control Security Levels.This issue affects Quiz And Survey Master: from n/a through &lt;= 10.3.4.</t>
        </is>
      </c>
      <c r="D491" t="n">
        <v>5</v>
      </c>
      <c r="E491" t="inlineStr">
        <is>
          <t>MEDIUM</t>
        </is>
      </c>
      <c r="F491" t="n">
        <v>2</v>
      </c>
      <c r="G491" t="n">
        <v>2</v>
      </c>
      <c r="H491" t="inlineStr">
        <is>
          <t>MEDIUM</t>
        </is>
      </c>
      <c r="I491" t="n">
        <v>9</v>
      </c>
      <c r="J491" t="inlineStr">
        <is>
          <t>NO</t>
        </is>
      </c>
      <c r="K491" t="inlineStr">
        <is>
          <t>2026-02-23 23:48</t>
        </is>
      </c>
      <c r="L491" t="inlineStr">
        <is>
          <t>CHECK_VENDOR</t>
        </is>
      </c>
      <c r="M491" t="inlineStr">
        <is>
          <t>See CVE details</t>
        </is>
      </c>
      <c r="N491" t="inlineStr">
        <is>
          <t>P4</t>
        </is>
      </c>
      <c r="O491" t="inlineStr">
        <is>
          <t>CVE - IP enrichment n/a</t>
        </is>
      </c>
      <c r="P491" t="n">
        <v>0</v>
      </c>
      <c r="Q491" t="n">
        <v>0</v>
      </c>
      <c r="R491" t="inlineStr">
        <is>
          <t>T1190:Exploit Public-Facing Application</t>
        </is>
      </c>
      <c r="S491" t="n">
        <v>1</v>
      </c>
      <c r="T491" t="inlineStr">
        <is>
          <t>LOW (40%)</t>
        </is>
      </c>
      <c r="U491" t="inlineStr">
        <is>
          <t>UNLIKELY</t>
        </is>
      </c>
      <c r="V491" t="inlineStr">
        <is>
          <t>CHECK_VENDOR</t>
        </is>
      </c>
      <c r="W491" t="inlineStr">
        <is>
          <t>https://nvd.nist.gov/vuln/detail/CVE-2026-25329</t>
        </is>
      </c>
      <c r="X491" t="inlineStr">
        <is>
          <t>NONE</t>
        </is>
      </c>
      <c r="Y491" t="n">
        <v>0</v>
      </c>
      <c r="Z491" t="inlineStr"/>
      <c r="AA491" t="inlineStr">
        <is>
          <t>https://nvd.nist.gov/vuln/detail/CVE-2026-25329</t>
        </is>
      </c>
    </row>
    <row r="492">
      <c r="A492" t="inlineStr">
        <is>
          <t>CVE</t>
        </is>
      </c>
      <c r="B492" t="inlineStr">
        <is>
          <t>CVE-2026-25330</t>
        </is>
      </c>
      <c r="C492" t="inlineStr">
        <is>
          <t>Missing Authorization vulnerability in PublishPress PublishPress Authors publishpress-authors allows Exploiting Incorrectly Configured Access Control Security Levels.This issue affects PublishPress Authors: from n/a through &lt;= 4.10.1.</t>
        </is>
      </c>
      <c r="D492" t="n">
        <v>4.3</v>
      </c>
      <c r="E492" t="inlineStr">
        <is>
          <t>MEDIUM</t>
        </is>
      </c>
      <c r="F492" t="n">
        <v>2</v>
      </c>
      <c r="G492" t="n">
        <v>2</v>
      </c>
      <c r="H492" t="inlineStr">
        <is>
          <t>MEDIUM</t>
        </is>
      </c>
      <c r="I492" t="n">
        <v>8.300000000000001</v>
      </c>
      <c r="J492" t="inlineStr">
        <is>
          <t>NO</t>
        </is>
      </c>
      <c r="K492" t="inlineStr">
        <is>
          <t>2026-02-23 23:48</t>
        </is>
      </c>
      <c r="L492" t="inlineStr">
        <is>
          <t>CHECK_VENDOR</t>
        </is>
      </c>
      <c r="M492" t="inlineStr">
        <is>
          <t>See CVE details</t>
        </is>
      </c>
      <c r="N492" t="inlineStr">
        <is>
          <t>P4</t>
        </is>
      </c>
      <c r="O492" t="inlineStr">
        <is>
          <t>CVE - IP enrichment n/a</t>
        </is>
      </c>
      <c r="P492" t="n">
        <v>0.0003</v>
      </c>
      <c r="Q492" t="n">
        <v>0.0718</v>
      </c>
      <c r="R492" t="inlineStr">
        <is>
          <t>T1190:Exploit Public-Facing Application</t>
        </is>
      </c>
      <c r="S492" t="n">
        <v>1</v>
      </c>
      <c r="T492" t="inlineStr">
        <is>
          <t>LOW (40%)</t>
        </is>
      </c>
      <c r="U492" t="inlineStr">
        <is>
          <t>UNLIKELY</t>
        </is>
      </c>
      <c r="V492" t="inlineStr">
        <is>
          <t>CHECK_VENDOR</t>
        </is>
      </c>
      <c r="W492" t="inlineStr">
        <is>
          <t>https://nvd.nist.gov/vuln/detail/CVE-2026-25330</t>
        </is>
      </c>
      <c r="X492" t="inlineStr">
        <is>
          <t>NONE</t>
        </is>
      </c>
      <c r="Y492" t="n">
        <v>0</v>
      </c>
      <c r="Z492" t="inlineStr"/>
      <c r="AA492" t="inlineStr">
        <is>
          <t>https://nvd.nist.gov/vuln/detail/CVE-2026-25330</t>
        </is>
      </c>
    </row>
    <row r="493">
      <c r="A493" t="inlineStr">
        <is>
          <t>CVE</t>
        </is>
      </c>
      <c r="B493" t="inlineStr">
        <is>
          <t>CVE-2026-25331</t>
        </is>
      </c>
      <c r="C493" t="inlineStr">
        <is>
          <t>Improper Neutralization of Input During Web Page Generation ('Cross-site Scripting') vulnerability in Melapress WP Activity Log wp-security-audit-log allows DOM-Based XSS.This issue affects WP Activity Log: from n/a through &lt;= 5.5.4.</t>
        </is>
      </c>
      <c r="D493" t="n">
        <v>5</v>
      </c>
      <c r="E493" t="inlineStr">
        <is>
          <t>MEDIUM</t>
        </is>
      </c>
      <c r="F493" t="n">
        <v>2</v>
      </c>
      <c r="G493" t="n">
        <v>2</v>
      </c>
      <c r="H493" t="inlineStr">
        <is>
          <t>MEDIUM</t>
        </is>
      </c>
      <c r="I493" t="n">
        <v>9</v>
      </c>
      <c r="J493" t="inlineStr">
        <is>
          <t>NO</t>
        </is>
      </c>
      <c r="K493" t="inlineStr">
        <is>
          <t>2026-02-23 23:48</t>
        </is>
      </c>
      <c r="L493" t="inlineStr">
        <is>
          <t>CHECK_VENDOR</t>
        </is>
      </c>
      <c r="M493" t="inlineStr">
        <is>
          <t>See CVE details</t>
        </is>
      </c>
      <c r="N493" t="inlineStr">
        <is>
          <t>P4</t>
        </is>
      </c>
      <c r="O493" t="inlineStr">
        <is>
          <t>CVE - IP enrichment n/a</t>
        </is>
      </c>
      <c r="P493" t="n">
        <v>0</v>
      </c>
      <c r="Q493" t="n">
        <v>0</v>
      </c>
      <c r="R493" t="inlineStr">
        <is>
          <t>T1189:Drive-by Compromise</t>
        </is>
      </c>
      <c r="S493" t="n">
        <v>1</v>
      </c>
      <c r="T493" t="inlineStr">
        <is>
          <t>LOW (40%)</t>
        </is>
      </c>
      <c r="U493" t="inlineStr">
        <is>
          <t>UNLIKELY</t>
        </is>
      </c>
      <c r="V493" t="inlineStr">
        <is>
          <t>CHECK_VENDOR</t>
        </is>
      </c>
      <c r="W493" t="inlineStr">
        <is>
          <t>https://nvd.nist.gov/vuln/detail/CVE-2026-25331</t>
        </is>
      </c>
      <c r="X493" t="inlineStr">
        <is>
          <t>NONE</t>
        </is>
      </c>
      <c r="Y493" t="n">
        <v>0</v>
      </c>
      <c r="Z493" t="inlineStr"/>
      <c r="AA493" t="inlineStr">
        <is>
          <t>https://nvd.nist.gov/vuln/detail/CVE-2026-25331</t>
        </is>
      </c>
    </row>
    <row r="494">
      <c r="A494" t="inlineStr">
        <is>
          <t>CVE</t>
        </is>
      </c>
      <c r="B494" t="inlineStr">
        <is>
          <t>CVE-2026-25332</t>
        </is>
      </c>
      <c r="C494" t="inlineStr">
        <is>
          <t>Missing Authorization vulnerability in Fahad Mahmood Endless Posts Navigation endless-posts-navigation allows Exploiting Incorrectly Configured Access Control Security Levels.This issue affects Endless Posts Navigation: from n/a through &lt;= 2.2.9.</t>
        </is>
      </c>
      <c r="D494" t="n">
        <v>5.3</v>
      </c>
      <c r="E494" t="inlineStr">
        <is>
          <t>MEDIUM</t>
        </is>
      </c>
      <c r="F494" t="n">
        <v>2</v>
      </c>
      <c r="G494" t="n">
        <v>2</v>
      </c>
      <c r="H494" t="inlineStr">
        <is>
          <t>MEDIUM</t>
        </is>
      </c>
      <c r="I494" t="n">
        <v>9.300000000000001</v>
      </c>
      <c r="J494" t="inlineStr">
        <is>
          <t>NO</t>
        </is>
      </c>
      <c r="K494" t="inlineStr">
        <is>
          <t>2026-02-23 23:48</t>
        </is>
      </c>
      <c r="L494" t="inlineStr">
        <is>
          <t>CHECK_VENDOR</t>
        </is>
      </c>
      <c r="M494" t="inlineStr">
        <is>
          <t>See CVE details</t>
        </is>
      </c>
      <c r="N494" t="inlineStr">
        <is>
          <t>P4</t>
        </is>
      </c>
      <c r="O494" t="inlineStr">
        <is>
          <t>CVE - IP enrichment n/a</t>
        </is>
      </c>
      <c r="P494" t="n">
        <v>0</v>
      </c>
      <c r="Q494" t="n">
        <v>0</v>
      </c>
      <c r="R494" t="inlineStr">
        <is>
          <t>T1190:Exploit Public-Facing Application</t>
        </is>
      </c>
      <c r="S494" t="n">
        <v>1</v>
      </c>
      <c r="T494" t="inlineStr">
        <is>
          <t>LOW (40%)</t>
        </is>
      </c>
      <c r="U494" t="inlineStr">
        <is>
          <t>UNLIKELY</t>
        </is>
      </c>
      <c r="V494" t="inlineStr">
        <is>
          <t>CHECK_VENDOR</t>
        </is>
      </c>
      <c r="W494" t="inlineStr">
        <is>
          <t>https://nvd.nist.gov/vuln/detail/CVE-2026-25332</t>
        </is>
      </c>
      <c r="X494" t="inlineStr">
        <is>
          <t>NONE</t>
        </is>
      </c>
      <c r="Y494" t="n">
        <v>0</v>
      </c>
      <c r="Z494" t="inlineStr"/>
      <c r="AA494" t="inlineStr">
        <is>
          <t>https://nvd.nist.gov/vuln/detail/CVE-2026-25332</t>
        </is>
      </c>
    </row>
    <row r="495">
      <c r="A495" t="inlineStr">
        <is>
          <t>CVE</t>
        </is>
      </c>
      <c r="B495" t="inlineStr">
        <is>
          <t>CVE-2026-25333</t>
        </is>
      </c>
      <c r="C495" t="inlineStr">
        <is>
          <t>Missing Authorization vulnerability in peregrinethemes Shopwell shopwell allows Exploiting Incorrectly Configured Access Control Security Levels.This issue affects Shopwell: from n/a through &lt;= 1.0.11.</t>
        </is>
      </c>
      <c r="D495" t="n">
        <v>5.3</v>
      </c>
      <c r="E495" t="inlineStr">
        <is>
          <t>MEDIUM</t>
        </is>
      </c>
      <c r="F495" t="n">
        <v>2</v>
      </c>
      <c r="G495" t="n">
        <v>2</v>
      </c>
      <c r="H495" t="inlineStr">
        <is>
          <t>MEDIUM</t>
        </is>
      </c>
      <c r="I495" t="n">
        <v>9.300000000000001</v>
      </c>
      <c r="J495" t="inlineStr">
        <is>
          <t>NO</t>
        </is>
      </c>
      <c r="K495" t="inlineStr">
        <is>
          <t>2026-02-23 23:48</t>
        </is>
      </c>
      <c r="L495" t="inlineStr">
        <is>
          <t>CHECK_VENDOR</t>
        </is>
      </c>
      <c r="M495" t="inlineStr">
        <is>
          <t>See CVE details</t>
        </is>
      </c>
      <c r="N495" t="inlineStr">
        <is>
          <t>P4</t>
        </is>
      </c>
      <c r="O495" t="inlineStr">
        <is>
          <t>CVE - IP enrichment n/a</t>
        </is>
      </c>
      <c r="P495" t="n">
        <v>0</v>
      </c>
      <c r="Q495" t="n">
        <v>0</v>
      </c>
      <c r="R495" t="inlineStr">
        <is>
          <t>T1190:Exploit Public-Facing Application</t>
        </is>
      </c>
      <c r="S495" t="n">
        <v>1</v>
      </c>
      <c r="T495" t="inlineStr">
        <is>
          <t>LOW (40%)</t>
        </is>
      </c>
      <c r="U495" t="inlineStr">
        <is>
          <t>UNLIKELY</t>
        </is>
      </c>
      <c r="V495" t="inlineStr">
        <is>
          <t>CHECK_VENDOR</t>
        </is>
      </c>
      <c r="W495" t="inlineStr">
        <is>
          <t>https://nvd.nist.gov/vuln/detail/CVE-2026-25333</t>
        </is>
      </c>
      <c r="X495" t="inlineStr">
        <is>
          <t>NONE</t>
        </is>
      </c>
      <c r="Y495" t="n">
        <v>0</v>
      </c>
      <c r="Z495" t="inlineStr"/>
      <c r="AA495" t="inlineStr">
        <is>
          <t>https://nvd.nist.gov/vuln/detail/CVE-2026-25333</t>
        </is>
      </c>
    </row>
    <row r="496">
      <c r="A496" t="inlineStr">
        <is>
          <t>CVE</t>
        </is>
      </c>
      <c r="B496" t="inlineStr">
        <is>
          <t>CVE-2026-25335</t>
        </is>
      </c>
      <c r="C496" t="inlineStr">
        <is>
          <t>Missing Authorization vulnerability in Ays Pro Secure Copy Content Protection and Content Locking secure-copy-content-protection allows Exploiting Incorrectly Configured Access Control Security Levels.This issue affects Secure Copy Content Protection and Content Locking: from n/a through &lt;= 5.0.0.</t>
        </is>
      </c>
      <c r="D496" t="n">
        <v>4.3</v>
      </c>
      <c r="E496" t="inlineStr">
        <is>
          <t>MEDIUM</t>
        </is>
      </c>
      <c r="F496" t="n">
        <v>2</v>
      </c>
      <c r="G496" t="n">
        <v>2</v>
      </c>
      <c r="H496" t="inlineStr">
        <is>
          <t>MEDIUM</t>
        </is>
      </c>
      <c r="I496" t="n">
        <v>8.300000000000001</v>
      </c>
      <c r="J496" t="inlineStr">
        <is>
          <t>NO</t>
        </is>
      </c>
      <c r="K496" t="inlineStr">
        <is>
          <t>2026-02-23 23:48</t>
        </is>
      </c>
      <c r="L496" t="inlineStr">
        <is>
          <t>CHECK_VENDOR</t>
        </is>
      </c>
      <c r="M496" t="inlineStr">
        <is>
          <t>See CVE details</t>
        </is>
      </c>
      <c r="N496" t="inlineStr">
        <is>
          <t>P4</t>
        </is>
      </c>
      <c r="O496" t="inlineStr">
        <is>
          <t>CVE - IP enrichment n/a</t>
        </is>
      </c>
      <c r="P496" t="n">
        <v>0</v>
      </c>
      <c r="Q496" t="n">
        <v>0</v>
      </c>
      <c r="R496" t="inlineStr">
        <is>
          <t>T1190:Exploit Public-Facing Application</t>
        </is>
      </c>
      <c r="S496" t="n">
        <v>1</v>
      </c>
      <c r="T496" t="inlineStr">
        <is>
          <t>LOW (40%)</t>
        </is>
      </c>
      <c r="U496" t="inlineStr">
        <is>
          <t>UNLIKELY</t>
        </is>
      </c>
      <c r="V496" t="inlineStr">
        <is>
          <t>CHECK_VENDOR</t>
        </is>
      </c>
      <c r="W496" t="inlineStr">
        <is>
          <t>https://nvd.nist.gov/vuln/detail/CVE-2026-25335</t>
        </is>
      </c>
      <c r="X496" t="inlineStr">
        <is>
          <t>NONE</t>
        </is>
      </c>
      <c r="Y496" t="n">
        <v>0</v>
      </c>
      <c r="Z496" t="inlineStr"/>
      <c r="AA496" t="inlineStr">
        <is>
          <t>https://nvd.nist.gov/vuln/detail/CVE-2026-25335</t>
        </is>
      </c>
    </row>
    <row r="497">
      <c r="A497" t="inlineStr">
        <is>
          <t>CVE</t>
        </is>
      </c>
      <c r="B497" t="inlineStr">
        <is>
          <t>CVE-2026-25336</t>
        </is>
      </c>
      <c r="C497" t="inlineStr">
        <is>
          <t>Missing Authorization vulnerability in wpcoachify Coachify coachify allows Exploiting Incorrectly Configured Access Control Security Levels.This issue affects Coachify: from n/a through &lt;= 1.1.5.</t>
        </is>
      </c>
      <c r="D497" t="n">
        <v>5.3</v>
      </c>
      <c r="E497" t="inlineStr">
        <is>
          <t>MEDIUM</t>
        </is>
      </c>
      <c r="F497" t="n">
        <v>2</v>
      </c>
      <c r="G497" t="n">
        <v>2</v>
      </c>
      <c r="H497" t="inlineStr">
        <is>
          <t>MEDIUM</t>
        </is>
      </c>
      <c r="I497" t="n">
        <v>9.300000000000001</v>
      </c>
      <c r="J497" t="inlineStr">
        <is>
          <t>NO</t>
        </is>
      </c>
      <c r="K497" t="inlineStr">
        <is>
          <t>2026-02-23 23:48</t>
        </is>
      </c>
      <c r="L497" t="inlineStr">
        <is>
          <t>CHECK_VENDOR</t>
        </is>
      </c>
      <c r="M497" t="inlineStr">
        <is>
          <t>See CVE details</t>
        </is>
      </c>
      <c r="N497" t="inlineStr">
        <is>
          <t>P4</t>
        </is>
      </c>
      <c r="O497" t="inlineStr">
        <is>
          <t>CVE - IP enrichment n/a</t>
        </is>
      </c>
      <c r="P497" t="n">
        <v>0.0004</v>
      </c>
      <c r="Q497" t="n">
        <v>0.1213</v>
      </c>
      <c r="R497" t="inlineStr">
        <is>
          <t>T1190:Exploit Public-Facing Application</t>
        </is>
      </c>
      <c r="S497" t="n">
        <v>1</v>
      </c>
      <c r="T497" t="inlineStr">
        <is>
          <t>LOW (40%)</t>
        </is>
      </c>
      <c r="U497" t="inlineStr">
        <is>
          <t>UNLIKELY</t>
        </is>
      </c>
      <c r="V497" t="inlineStr">
        <is>
          <t>CHECK_VENDOR</t>
        </is>
      </c>
      <c r="W497" t="inlineStr">
        <is>
          <t>https://nvd.nist.gov/vuln/detail/CVE-2026-25336</t>
        </is>
      </c>
      <c r="X497" t="inlineStr">
        <is>
          <t>NONE</t>
        </is>
      </c>
      <c r="Y497" t="n">
        <v>0</v>
      </c>
      <c r="Z497" t="inlineStr"/>
      <c r="AA497" t="inlineStr">
        <is>
          <t>https://nvd.nist.gov/vuln/detail/CVE-2026-25336</t>
        </is>
      </c>
    </row>
    <row r="498">
      <c r="A498" t="inlineStr">
        <is>
          <t>CVE</t>
        </is>
      </c>
      <c r="B498" t="inlineStr">
        <is>
          <t>CVE-2026-25337</t>
        </is>
      </c>
      <c r="C498" t="inlineStr">
        <is>
          <t>Cross-Site Request Forgery (CSRF) vulnerability in wpcoachify Coachify coachify allows Cross Site Request Forgery.This issue affects Coachify: from n/a through &lt;= 1.1.5.</t>
        </is>
      </c>
      <c r="D498" t="n">
        <v>5.4</v>
      </c>
      <c r="E498" t="inlineStr">
        <is>
          <t>MEDIUM</t>
        </is>
      </c>
      <c r="F498" t="n">
        <v>2</v>
      </c>
      <c r="G498" t="n">
        <v>2</v>
      </c>
      <c r="H498" t="inlineStr">
        <is>
          <t>MEDIUM</t>
        </is>
      </c>
      <c r="I498" t="n">
        <v>9.4</v>
      </c>
      <c r="J498" t="inlineStr">
        <is>
          <t>NO</t>
        </is>
      </c>
      <c r="K498" t="inlineStr">
        <is>
          <t>2026-02-23 23:48</t>
        </is>
      </c>
      <c r="L498" t="inlineStr">
        <is>
          <t>CHECK_VENDOR</t>
        </is>
      </c>
      <c r="M498" t="inlineStr">
        <is>
          <t>See CVE details</t>
        </is>
      </c>
      <c r="N498" t="inlineStr">
        <is>
          <t>P4</t>
        </is>
      </c>
      <c r="O498" t="inlineStr">
        <is>
          <t>CVE - IP enrichment n/a</t>
        </is>
      </c>
      <c r="P498" t="n">
        <v>0.0001</v>
      </c>
      <c r="Q498" t="n">
        <v>0.0286</v>
      </c>
      <c r="R498" t="inlineStr">
        <is>
          <t>T1185:Browser Session Hijacking</t>
        </is>
      </c>
      <c r="S498" t="n">
        <v>1</v>
      </c>
      <c r="T498" t="inlineStr">
        <is>
          <t>LOW (40%)</t>
        </is>
      </c>
      <c r="U498" t="inlineStr">
        <is>
          <t>UNLIKELY</t>
        </is>
      </c>
      <c r="V498" t="inlineStr">
        <is>
          <t>CHECK_VENDOR</t>
        </is>
      </c>
      <c r="W498" t="inlineStr">
        <is>
          <t>https://nvd.nist.gov/vuln/detail/CVE-2026-25337</t>
        </is>
      </c>
      <c r="X498" t="inlineStr">
        <is>
          <t>NONE</t>
        </is>
      </c>
      <c r="Y498" t="n">
        <v>0</v>
      </c>
      <c r="Z498" t="inlineStr"/>
      <c r="AA498" t="inlineStr">
        <is>
          <t>https://nvd.nist.gov/vuln/detail/CVE-2026-25337</t>
        </is>
      </c>
    </row>
    <row r="499">
      <c r="A499" t="inlineStr">
        <is>
          <t>CVE</t>
        </is>
      </c>
      <c r="B499" t="inlineStr">
        <is>
          <t>CVE-2026-25338</t>
        </is>
      </c>
      <c r="C499" t="inlineStr">
        <is>
          <t>Missing Authorization vulnerability in Ays Pro AI ChatBot with ChatGPT and Content Generator by AYS ays-chatgpt-assistant allows Exploiting Incorrectly Configured Access Control Security Levels.This issue affects AI ChatBot with ChatGPT and Content Generator by AYS: from n/a through &lt;= 2.7.4.</t>
        </is>
      </c>
      <c r="D499" t="n">
        <v>5.3</v>
      </c>
      <c r="E499" t="inlineStr">
        <is>
          <t>MEDIUM</t>
        </is>
      </c>
      <c r="F499" t="n">
        <v>2</v>
      </c>
      <c r="G499" t="n">
        <v>2</v>
      </c>
      <c r="H499" t="inlineStr">
        <is>
          <t>MEDIUM</t>
        </is>
      </c>
      <c r="I499" t="n">
        <v>9.300000000000001</v>
      </c>
      <c r="J499" t="inlineStr">
        <is>
          <t>NO</t>
        </is>
      </c>
      <c r="K499" t="inlineStr">
        <is>
          <t>2026-02-23 23:48</t>
        </is>
      </c>
      <c r="L499" t="inlineStr">
        <is>
          <t>CHECK_VENDOR</t>
        </is>
      </c>
      <c r="M499" t="inlineStr">
        <is>
          <t>See CVE details</t>
        </is>
      </c>
      <c r="N499" t="inlineStr">
        <is>
          <t>P4</t>
        </is>
      </c>
      <c r="O499" t="inlineStr">
        <is>
          <t>CVE - IP enrichment n/a</t>
        </is>
      </c>
      <c r="P499" t="n">
        <v>0</v>
      </c>
      <c r="Q499" t="n">
        <v>0</v>
      </c>
      <c r="R499" t="inlineStr">
        <is>
          <t>T1190:Exploit Public-Facing Application</t>
        </is>
      </c>
      <c r="S499" t="n">
        <v>1</v>
      </c>
      <c r="T499" t="inlineStr">
        <is>
          <t>LOW (40%)</t>
        </is>
      </c>
      <c r="U499" t="inlineStr">
        <is>
          <t>UNLIKELY</t>
        </is>
      </c>
      <c r="V499" t="inlineStr">
        <is>
          <t>CHECK_VENDOR</t>
        </is>
      </c>
      <c r="W499" t="inlineStr">
        <is>
          <t>https://nvd.nist.gov/vuln/detail/CVE-2026-25338</t>
        </is>
      </c>
      <c r="X499" t="inlineStr">
        <is>
          <t>NONE</t>
        </is>
      </c>
      <c r="Y499" t="n">
        <v>0</v>
      </c>
      <c r="Z499" t="inlineStr"/>
      <c r="AA499" t="inlineStr">
        <is>
          <t>https://nvd.nist.gov/vuln/detail/CVE-2026-25338</t>
        </is>
      </c>
    </row>
    <row r="500">
      <c r="A500" t="inlineStr">
        <is>
          <t>CVE</t>
        </is>
      </c>
      <c r="B500" t="inlineStr">
        <is>
          <t>CVE-2026-25343</t>
        </is>
      </c>
      <c r="C500" t="inlineStr">
        <is>
          <t>Improper Neutralization of Input During Web Page Generation ('Cross-site Scripting') vulnerability in VeronaLabs WP SMS wp-sms allows DOM-Based XSS.This issue affects WP SMS: from n/a through &lt;= 7.1.</t>
        </is>
      </c>
      <c r="D500" t="n">
        <v>5.9</v>
      </c>
      <c r="E500" t="inlineStr">
        <is>
          <t>MEDIUM</t>
        </is>
      </c>
      <c r="F500" t="n">
        <v>2</v>
      </c>
      <c r="G500" t="n">
        <v>2</v>
      </c>
      <c r="H500" t="inlineStr">
        <is>
          <t>MEDIUM</t>
        </is>
      </c>
      <c r="I500" t="n">
        <v>9.9</v>
      </c>
      <c r="J500" t="inlineStr">
        <is>
          <t>NO</t>
        </is>
      </c>
      <c r="K500" t="inlineStr">
        <is>
          <t>2026-02-23 23:48</t>
        </is>
      </c>
      <c r="L500" t="inlineStr">
        <is>
          <t>CHECK_VENDOR</t>
        </is>
      </c>
      <c r="M500" t="inlineStr">
        <is>
          <t>See CVE details</t>
        </is>
      </c>
      <c r="N500" t="inlineStr">
        <is>
          <t>P4</t>
        </is>
      </c>
      <c r="O500" t="inlineStr">
        <is>
          <t>CVE - IP enrichment n/a</t>
        </is>
      </c>
      <c r="P500" t="n">
        <v>0</v>
      </c>
      <c r="Q500" t="n">
        <v>0</v>
      </c>
      <c r="R500" t="inlineStr">
        <is>
          <t>T1189:Drive-by Compromise</t>
        </is>
      </c>
      <c r="S500" t="n">
        <v>1</v>
      </c>
      <c r="T500" t="inlineStr">
        <is>
          <t>LOW (40%)</t>
        </is>
      </c>
      <c r="U500" t="inlineStr">
        <is>
          <t>UNLIKELY</t>
        </is>
      </c>
      <c r="V500" t="inlineStr">
        <is>
          <t>CHECK_VENDOR</t>
        </is>
      </c>
      <c r="W500" t="inlineStr">
        <is>
          <t>https://nvd.nist.gov/vuln/detail/CVE-2026-25343</t>
        </is>
      </c>
      <c r="X500" t="inlineStr">
        <is>
          <t>NONE</t>
        </is>
      </c>
      <c r="Y500" t="n">
        <v>0</v>
      </c>
      <c r="Z500" t="inlineStr"/>
      <c r="AA500" t="inlineStr">
        <is>
          <t>https://nvd.nist.gov/vuln/detail/CVE-2026-25343</t>
        </is>
      </c>
    </row>
    <row r="501">
      <c r="A501" t="inlineStr">
        <is>
          <t>CVE</t>
        </is>
      </c>
      <c r="B501" t="inlineStr">
        <is>
          <t>CVE-2026-25348</t>
        </is>
      </c>
      <c r="C501" t="inlineStr">
        <is>
          <t>Missing Authorization vulnerability in alttextai Download Alt Text AI alttext-ai allows Exploiting Incorrectly Configured Access Control Security Levels.This issue affects Download Alt Text AI: from n/a through &lt;= 1.10.15.</t>
        </is>
      </c>
      <c r="D501" t="n">
        <v>5.3</v>
      </c>
      <c r="E501" t="inlineStr">
        <is>
          <t>MEDIUM</t>
        </is>
      </c>
      <c r="F501" t="n">
        <v>2</v>
      </c>
      <c r="G501" t="n">
        <v>2</v>
      </c>
      <c r="H501" t="inlineStr">
        <is>
          <t>MEDIUM</t>
        </is>
      </c>
      <c r="I501" t="n">
        <v>9.300000000000001</v>
      </c>
      <c r="J501" t="inlineStr">
        <is>
          <t>NO</t>
        </is>
      </c>
      <c r="K501" t="inlineStr">
        <is>
          <t>2026-02-23 23:48</t>
        </is>
      </c>
      <c r="L501" t="inlineStr">
        <is>
          <t>CHECK_VENDOR</t>
        </is>
      </c>
      <c r="M501" t="inlineStr">
        <is>
          <t>See CVE details</t>
        </is>
      </c>
      <c r="N501" t="inlineStr">
        <is>
          <t>P4</t>
        </is>
      </c>
      <c r="O501" t="inlineStr">
        <is>
          <t>CVE - IP enrichment n/a</t>
        </is>
      </c>
      <c r="P501" t="n">
        <v>0</v>
      </c>
      <c r="Q501" t="n">
        <v>0</v>
      </c>
      <c r="R501" t="inlineStr">
        <is>
          <t>T1190:Exploit Public-Facing Application</t>
        </is>
      </c>
      <c r="S501" t="n">
        <v>1</v>
      </c>
      <c r="T501" t="inlineStr">
        <is>
          <t>LOW (40%)</t>
        </is>
      </c>
      <c r="U501" t="inlineStr">
        <is>
          <t>UNLIKELY</t>
        </is>
      </c>
      <c r="V501" t="inlineStr">
        <is>
          <t>CHECK_VENDOR</t>
        </is>
      </c>
      <c r="W501" t="inlineStr">
        <is>
          <t>https://nvd.nist.gov/vuln/detail/CVE-2026-25348</t>
        </is>
      </c>
      <c r="X501" t="inlineStr">
        <is>
          <t>NONE</t>
        </is>
      </c>
      <c r="Y501" t="n">
        <v>0</v>
      </c>
      <c r="Z501" t="inlineStr"/>
      <c r="AA501" t="inlineStr">
        <is>
          <t>https://nvd.nist.gov/vuln/detail/CVE-2026-25348</t>
        </is>
      </c>
    </row>
    <row r="502">
      <c r="A502" t="inlineStr">
        <is>
          <t>CVE</t>
        </is>
      </c>
      <c r="B502" t="inlineStr">
        <is>
          <t>CVE-2026-25362</t>
        </is>
      </c>
      <c r="C502" t="inlineStr">
        <is>
          <t>Improper Neutralization of Input During Web Page Generation ('Cross-site Scripting') vulnerability in FooPlugins FooGallery foogallery allows Stored XSS.This issue affects FooGallery: from n/a through &lt;= 3.1.11.</t>
        </is>
      </c>
      <c r="D502" t="n">
        <v>5.9</v>
      </c>
      <c r="E502" t="inlineStr">
        <is>
          <t>MEDIUM</t>
        </is>
      </c>
      <c r="F502" t="n">
        <v>2</v>
      </c>
      <c r="G502" t="n">
        <v>2</v>
      </c>
      <c r="H502" t="inlineStr">
        <is>
          <t>MEDIUM</t>
        </is>
      </c>
      <c r="I502" t="n">
        <v>9.9</v>
      </c>
      <c r="J502" t="inlineStr">
        <is>
          <t>NO</t>
        </is>
      </c>
      <c r="K502" t="inlineStr">
        <is>
          <t>2026-02-23 23:48</t>
        </is>
      </c>
      <c r="L502" t="inlineStr">
        <is>
          <t>CHECK_VENDOR</t>
        </is>
      </c>
      <c r="M502" t="inlineStr">
        <is>
          <t>See CVE details</t>
        </is>
      </c>
      <c r="N502" t="inlineStr">
        <is>
          <t>P4</t>
        </is>
      </c>
      <c r="O502" t="inlineStr">
        <is>
          <t>CVE - IP enrichment n/a</t>
        </is>
      </c>
      <c r="P502" t="n">
        <v>0</v>
      </c>
      <c r="Q502" t="n">
        <v>0</v>
      </c>
      <c r="R502" t="inlineStr">
        <is>
          <t>T1189:Drive-by Compromise</t>
        </is>
      </c>
      <c r="S502" t="n">
        <v>1</v>
      </c>
      <c r="T502" t="inlineStr">
        <is>
          <t>LOW (40%)</t>
        </is>
      </c>
      <c r="U502" t="inlineStr">
        <is>
          <t>UNLIKELY</t>
        </is>
      </c>
      <c r="V502" t="inlineStr">
        <is>
          <t>CHECK_VENDOR</t>
        </is>
      </c>
      <c r="W502" t="inlineStr">
        <is>
          <t>https://nvd.nist.gov/vuln/detail/CVE-2026-25362</t>
        </is>
      </c>
      <c r="X502" t="inlineStr">
        <is>
          <t>NONE</t>
        </is>
      </c>
      <c r="Y502" t="n">
        <v>0</v>
      </c>
      <c r="Z502" t="inlineStr"/>
      <c r="AA502" t="inlineStr">
        <is>
          <t>https://nvd.nist.gov/vuln/detail/CVE-2026-25362</t>
        </is>
      </c>
    </row>
    <row r="503">
      <c r="A503" t="inlineStr">
        <is>
          <t>CVE</t>
        </is>
      </c>
      <c r="B503" t="inlineStr">
        <is>
          <t>CVE-2026-25363</t>
        </is>
      </c>
      <c r="C503" t="inlineStr">
        <is>
          <t>Missing Authorization vulnerability in FooPlugins FooGallery foogallery allows Exploiting Incorrectly Configured Access Control Security Levels.This issue affects FooGallery: from n/a through &lt;= 3.1.11.</t>
        </is>
      </c>
      <c r="D503" t="n">
        <v>5</v>
      </c>
      <c r="E503" t="inlineStr">
        <is>
          <t>MEDIUM</t>
        </is>
      </c>
      <c r="F503" t="n">
        <v>2</v>
      </c>
      <c r="G503" t="n">
        <v>2</v>
      </c>
      <c r="H503" t="inlineStr">
        <is>
          <t>MEDIUM</t>
        </is>
      </c>
      <c r="I503" t="n">
        <v>9</v>
      </c>
      <c r="J503" t="inlineStr">
        <is>
          <t>NO</t>
        </is>
      </c>
      <c r="K503" t="inlineStr">
        <is>
          <t>2026-02-23 23:48</t>
        </is>
      </c>
      <c r="L503" t="inlineStr">
        <is>
          <t>CHECK_VENDOR</t>
        </is>
      </c>
      <c r="M503" t="inlineStr">
        <is>
          <t>See CVE details</t>
        </is>
      </c>
      <c r="N503" t="inlineStr">
        <is>
          <t>P4</t>
        </is>
      </c>
      <c r="O503" t="inlineStr">
        <is>
          <t>CVE - IP enrichment n/a</t>
        </is>
      </c>
      <c r="P503" t="n">
        <v>0</v>
      </c>
      <c r="Q503" t="n">
        <v>0</v>
      </c>
      <c r="R503" t="inlineStr">
        <is>
          <t>T1190:Exploit Public-Facing Application</t>
        </is>
      </c>
      <c r="S503" t="n">
        <v>1</v>
      </c>
      <c r="T503" t="inlineStr">
        <is>
          <t>LOW (40%)</t>
        </is>
      </c>
      <c r="U503" t="inlineStr">
        <is>
          <t>UNLIKELY</t>
        </is>
      </c>
      <c r="V503" t="inlineStr">
        <is>
          <t>CHECK_VENDOR</t>
        </is>
      </c>
      <c r="W503" t="inlineStr">
        <is>
          <t>https://nvd.nist.gov/vuln/detail/CVE-2026-25363</t>
        </is>
      </c>
      <c r="X503" t="inlineStr">
        <is>
          <t>NONE</t>
        </is>
      </c>
      <c r="Y503" t="n">
        <v>0</v>
      </c>
      <c r="Z503" t="inlineStr"/>
      <c r="AA503" t="inlineStr">
        <is>
          <t>https://nvd.nist.gov/vuln/detail/CVE-2026-25363</t>
        </is>
      </c>
    </row>
    <row r="504">
      <c r="A504" t="inlineStr">
        <is>
          <t>CVE</t>
        </is>
      </c>
      <c r="B504" t="inlineStr">
        <is>
          <t>CVE-2026-25364</t>
        </is>
      </c>
      <c r="C504" t="inlineStr">
        <is>
          <t>Missing Authorization vulnerability in BoldGrid Client Invoicing by Sprout Invoices sprout-invoices allows Exploiting Incorrectly Configured Access Control Security Levels.This issue affects Client Invoicing by Sprout Invoices: from n/a through &lt;= 20.8.8.</t>
        </is>
      </c>
      <c r="D504" t="n">
        <v>5.3</v>
      </c>
      <c r="E504" t="inlineStr">
        <is>
          <t>MEDIUM</t>
        </is>
      </c>
      <c r="F504" t="n">
        <v>2</v>
      </c>
      <c r="G504" t="n">
        <v>2</v>
      </c>
      <c r="H504" t="inlineStr">
        <is>
          <t>MEDIUM</t>
        </is>
      </c>
      <c r="I504" t="n">
        <v>9.300000000000001</v>
      </c>
      <c r="J504" t="inlineStr">
        <is>
          <t>NO</t>
        </is>
      </c>
      <c r="K504" t="inlineStr">
        <is>
          <t>2026-02-23 23:48</t>
        </is>
      </c>
      <c r="L504" t="inlineStr">
        <is>
          <t>CHECK_VENDOR</t>
        </is>
      </c>
      <c r="M504" t="inlineStr">
        <is>
          <t>See CVE details</t>
        </is>
      </c>
      <c r="N504" t="inlineStr">
        <is>
          <t>P4</t>
        </is>
      </c>
      <c r="O504" t="inlineStr">
        <is>
          <t>CVE - IP enrichment n/a</t>
        </is>
      </c>
      <c r="P504" t="n">
        <v>0</v>
      </c>
      <c r="Q504" t="n">
        <v>0</v>
      </c>
      <c r="R504" t="inlineStr">
        <is>
          <t>T1190:Exploit Public-Facing Application</t>
        </is>
      </c>
      <c r="S504" t="n">
        <v>1</v>
      </c>
      <c r="T504" t="inlineStr">
        <is>
          <t>LOW (40%)</t>
        </is>
      </c>
      <c r="U504" t="inlineStr">
        <is>
          <t>UNLIKELY</t>
        </is>
      </c>
      <c r="V504" t="inlineStr">
        <is>
          <t>CHECK_VENDOR</t>
        </is>
      </c>
      <c r="W504" t="inlineStr">
        <is>
          <t>https://nvd.nist.gov/vuln/detail/CVE-2026-25364</t>
        </is>
      </c>
      <c r="X504" t="inlineStr">
        <is>
          <t>NONE</t>
        </is>
      </c>
      <c r="Y504" t="n">
        <v>0</v>
      </c>
      <c r="Z504" t="inlineStr"/>
      <c r="AA504" t="inlineStr">
        <is>
          <t>https://nvd.nist.gov/vuln/detail/CVE-2026-25364</t>
        </is>
      </c>
    </row>
    <row r="505">
      <c r="A505" t="inlineStr">
        <is>
          <t>CVE</t>
        </is>
      </c>
      <c r="B505" t="inlineStr">
        <is>
          <t>CVE-2026-25367</t>
        </is>
      </c>
      <c r="C505" t="inlineStr">
        <is>
          <t>Missing Authorization vulnerability in NooTheme CitiLights noo-citilights allows Exploiting Incorrectly Configured Access Control Security Levels.This issue affects CitiLights: from n/a through &lt; 3.7.2.</t>
        </is>
      </c>
      <c r="D505" t="n">
        <v>5.3</v>
      </c>
      <c r="E505" t="inlineStr">
        <is>
          <t>MEDIUM</t>
        </is>
      </c>
      <c r="F505" t="n">
        <v>2</v>
      </c>
      <c r="G505" t="n">
        <v>2</v>
      </c>
      <c r="H505" t="inlineStr">
        <is>
          <t>MEDIUM</t>
        </is>
      </c>
      <c r="I505" t="n">
        <v>9.300000000000001</v>
      </c>
      <c r="J505" t="inlineStr">
        <is>
          <t>NO</t>
        </is>
      </c>
      <c r="K505" t="inlineStr">
        <is>
          <t>2026-02-23 23:48</t>
        </is>
      </c>
      <c r="L505" t="inlineStr">
        <is>
          <t>CHECK_VENDOR</t>
        </is>
      </c>
      <c r="M505" t="inlineStr">
        <is>
          <t>See CVE details</t>
        </is>
      </c>
      <c r="N505" t="inlineStr">
        <is>
          <t>P4</t>
        </is>
      </c>
      <c r="O505" t="inlineStr">
        <is>
          <t>CVE - IP enrichment n/a</t>
        </is>
      </c>
      <c r="P505" t="n">
        <v>0</v>
      </c>
      <c r="Q505" t="n">
        <v>0</v>
      </c>
      <c r="R505" t="inlineStr">
        <is>
          <t>T1190:Exploit Public-Facing Application</t>
        </is>
      </c>
      <c r="S505" t="n">
        <v>1</v>
      </c>
      <c r="T505" t="inlineStr">
        <is>
          <t>LOW (40%)</t>
        </is>
      </c>
      <c r="U505" t="inlineStr">
        <is>
          <t>UNLIKELY</t>
        </is>
      </c>
      <c r="V505" t="inlineStr">
        <is>
          <t>CHECK_VENDOR</t>
        </is>
      </c>
      <c r="W505" t="inlineStr">
        <is>
          <t>https://nvd.nist.gov/vuln/detail/CVE-2026-25367</t>
        </is>
      </c>
      <c r="X505" t="inlineStr">
        <is>
          <t>NONE</t>
        </is>
      </c>
      <c r="Y505" t="n">
        <v>0</v>
      </c>
      <c r="Z505" t="inlineStr"/>
      <c r="AA505" t="inlineStr">
        <is>
          <t>https://nvd.nist.gov/vuln/detail/CVE-2026-25367</t>
        </is>
      </c>
    </row>
    <row r="506">
      <c r="A506" t="inlineStr">
        <is>
          <t>CVE</t>
        </is>
      </c>
      <c r="B506" t="inlineStr">
        <is>
          <t>CVE-2026-25368</t>
        </is>
      </c>
      <c r="C506" t="inlineStr">
        <is>
          <t>Missing Authorization vulnerability in codepeople Calculated Fields Form calculated-fields-form allows Exploiting Incorrectly Configured Access Control Security Levels.This issue affects Calculated Fields Form: from n/a through &lt;= 5.4.4.1.</t>
        </is>
      </c>
      <c r="D506" t="n">
        <v>6.5</v>
      </c>
      <c r="E506" t="inlineStr">
        <is>
          <t>MEDIUM</t>
        </is>
      </c>
      <c r="F506" t="n">
        <v>2</v>
      </c>
      <c r="G506" t="n">
        <v>2</v>
      </c>
      <c r="H506" t="inlineStr">
        <is>
          <t>MEDIUM</t>
        </is>
      </c>
      <c r="I506" t="n">
        <v>10.5</v>
      </c>
      <c r="J506" t="inlineStr">
        <is>
          <t>NO</t>
        </is>
      </c>
      <c r="K506" t="inlineStr">
        <is>
          <t>2026-02-23 23:48</t>
        </is>
      </c>
      <c r="L506" t="inlineStr">
        <is>
          <t>CHECK_VENDOR</t>
        </is>
      </c>
      <c r="M506" t="inlineStr">
        <is>
          <t>See CVE details</t>
        </is>
      </c>
      <c r="N506" t="inlineStr">
        <is>
          <t>P4</t>
        </is>
      </c>
      <c r="O506" t="inlineStr">
        <is>
          <t>CVE - IP enrichment n/a</t>
        </is>
      </c>
      <c r="P506" t="n">
        <v>0</v>
      </c>
      <c r="Q506" t="n">
        <v>0</v>
      </c>
      <c r="R506" t="inlineStr">
        <is>
          <t>T1190:Exploit Public-Facing Application</t>
        </is>
      </c>
      <c r="S506" t="n">
        <v>1</v>
      </c>
      <c r="T506" t="inlineStr">
        <is>
          <t>LOW (40%)</t>
        </is>
      </c>
      <c r="U506" t="inlineStr">
        <is>
          <t>UNLIKELY</t>
        </is>
      </c>
      <c r="V506" t="inlineStr">
        <is>
          <t>CHECK_VENDOR</t>
        </is>
      </c>
      <c r="W506" t="inlineStr">
        <is>
          <t>https://nvd.nist.gov/vuln/detail/CVE-2026-25368</t>
        </is>
      </c>
      <c r="X506" t="inlineStr">
        <is>
          <t>NONE</t>
        </is>
      </c>
      <c r="Y506" t="n">
        <v>0</v>
      </c>
      <c r="Z506" t="inlineStr"/>
      <c r="AA506" t="inlineStr">
        <is>
          <t>https://nvd.nist.gov/vuln/detail/CVE-2026-25368</t>
        </is>
      </c>
    </row>
    <row r="507">
      <c r="A507" t="inlineStr">
        <is>
          <t>CVE</t>
        </is>
      </c>
      <c r="B507" t="inlineStr">
        <is>
          <t>CVE-2026-25370</t>
        </is>
      </c>
      <c r="C507" t="inlineStr">
        <is>
          <t>Missing Authorization vulnerability in AresIT WP Compress wp-compress-image-optimizer allows Exploiting Incorrectly Configured Access Control Security Levels.This issue affects WP Compress: from n/a through &lt;= 6.60.28.</t>
        </is>
      </c>
      <c r="D507" t="n">
        <v>5</v>
      </c>
      <c r="E507" t="inlineStr">
        <is>
          <t>MEDIUM</t>
        </is>
      </c>
      <c r="F507" t="n">
        <v>2</v>
      </c>
      <c r="G507" t="n">
        <v>2</v>
      </c>
      <c r="H507" t="inlineStr">
        <is>
          <t>MEDIUM</t>
        </is>
      </c>
      <c r="I507" t="n">
        <v>9</v>
      </c>
      <c r="J507" t="inlineStr">
        <is>
          <t>NO</t>
        </is>
      </c>
      <c r="K507" t="inlineStr">
        <is>
          <t>2026-02-23 23:48</t>
        </is>
      </c>
      <c r="L507" t="inlineStr">
        <is>
          <t>CHECK_VENDOR</t>
        </is>
      </c>
      <c r="M507" t="inlineStr">
        <is>
          <t>See CVE details</t>
        </is>
      </c>
      <c r="N507" t="inlineStr">
        <is>
          <t>P4</t>
        </is>
      </c>
      <c r="O507" t="inlineStr">
        <is>
          <t>CVE - IP enrichment n/a</t>
        </is>
      </c>
      <c r="P507" t="n">
        <v>0.0002</v>
      </c>
      <c r="Q507" t="n">
        <v>0.0381</v>
      </c>
      <c r="R507" t="inlineStr">
        <is>
          <t>T1190:Exploit Public-Facing Application</t>
        </is>
      </c>
      <c r="S507" t="n">
        <v>1</v>
      </c>
      <c r="T507" t="inlineStr">
        <is>
          <t>LOW (40%)</t>
        </is>
      </c>
      <c r="U507" t="inlineStr">
        <is>
          <t>UNLIKELY</t>
        </is>
      </c>
      <c r="V507" t="inlineStr">
        <is>
          <t>CHECK_VENDOR</t>
        </is>
      </c>
      <c r="W507" t="inlineStr">
        <is>
          <t>https://nvd.nist.gov/vuln/detail/CVE-2026-25370</t>
        </is>
      </c>
      <c r="X507" t="inlineStr">
        <is>
          <t>NONE</t>
        </is>
      </c>
      <c r="Y507" t="n">
        <v>0</v>
      </c>
      <c r="Z507" t="inlineStr"/>
      <c r="AA507" t="inlineStr">
        <is>
          <t>https://nvd.nist.gov/vuln/detail/CVE-2026-25370</t>
        </is>
      </c>
    </row>
    <row r="508">
      <c r="A508" t="inlineStr">
        <is>
          <t>CVE</t>
        </is>
      </c>
      <c r="B508" t="inlineStr">
        <is>
          <t>CVE-2026-25372</t>
        </is>
      </c>
      <c r="C508" t="inlineStr">
        <is>
          <t>Missing Authorization vulnerability in Kodezen LLC Academy LMS academy allows Exploiting Incorrectly Configured Access Control Security Levels.This issue affects Academy LMS: from n/a through &lt;= 3.5.3.</t>
        </is>
      </c>
      <c r="D508" t="n">
        <v>6.5</v>
      </c>
      <c r="E508" t="inlineStr">
        <is>
          <t>MEDIUM</t>
        </is>
      </c>
      <c r="F508" t="n">
        <v>2</v>
      </c>
      <c r="G508" t="n">
        <v>2</v>
      </c>
      <c r="H508" t="inlineStr">
        <is>
          <t>MEDIUM</t>
        </is>
      </c>
      <c r="I508" t="n">
        <v>10.5</v>
      </c>
      <c r="J508" t="inlineStr">
        <is>
          <t>NO</t>
        </is>
      </c>
      <c r="K508" t="inlineStr">
        <is>
          <t>2026-02-23 23:48</t>
        </is>
      </c>
      <c r="L508" t="inlineStr">
        <is>
          <t>CHECK_VENDOR</t>
        </is>
      </c>
      <c r="M508" t="inlineStr">
        <is>
          <t>See CVE details</t>
        </is>
      </c>
      <c r="N508" t="inlineStr">
        <is>
          <t>P4</t>
        </is>
      </c>
      <c r="O508" t="inlineStr">
        <is>
          <t>CVE - IP enrichment n/a</t>
        </is>
      </c>
      <c r="P508" t="n">
        <v>0</v>
      </c>
      <c r="Q508" t="n">
        <v>0</v>
      </c>
      <c r="R508" t="inlineStr">
        <is>
          <t>T1190:Exploit Public-Facing Application</t>
        </is>
      </c>
      <c r="S508" t="n">
        <v>1</v>
      </c>
      <c r="T508" t="inlineStr">
        <is>
          <t>LOW (40%)</t>
        </is>
      </c>
      <c r="U508" t="inlineStr">
        <is>
          <t>UNLIKELY</t>
        </is>
      </c>
      <c r="V508" t="inlineStr">
        <is>
          <t>CHECK_VENDOR</t>
        </is>
      </c>
      <c r="W508" t="inlineStr">
        <is>
          <t>https://nvd.nist.gov/vuln/detail/CVE-2026-25372</t>
        </is>
      </c>
      <c r="X508" t="inlineStr">
        <is>
          <t>NONE</t>
        </is>
      </c>
      <c r="Y508" t="n">
        <v>0</v>
      </c>
      <c r="Z508" t="inlineStr"/>
      <c r="AA508" t="inlineStr">
        <is>
          <t>https://nvd.nist.gov/vuln/detail/CVE-2026-25372</t>
        </is>
      </c>
    </row>
    <row r="509">
      <c r="A509" t="inlineStr">
        <is>
          <t>CVE</t>
        </is>
      </c>
      <c r="B509" t="inlineStr">
        <is>
          <t>CVE-2026-25374</t>
        </is>
      </c>
      <c r="C509" t="inlineStr">
        <is>
          <t>Missing Authorization vulnerability in raratheme Spa and Salon spa-and-salon allows Exploiting Incorrectly Configured Access Control Security Levels.This issue affects Spa and Salon: from n/a through &lt;= 1.3.2.</t>
        </is>
      </c>
      <c r="D509" t="n">
        <v>5.3</v>
      </c>
      <c r="E509" t="inlineStr">
        <is>
          <t>MEDIUM</t>
        </is>
      </c>
      <c r="F509" t="n">
        <v>2</v>
      </c>
      <c r="G509" t="n">
        <v>2</v>
      </c>
      <c r="H509" t="inlineStr">
        <is>
          <t>MEDIUM</t>
        </is>
      </c>
      <c r="I509" t="n">
        <v>9.300000000000001</v>
      </c>
      <c r="J509" t="inlineStr">
        <is>
          <t>NO</t>
        </is>
      </c>
      <c r="K509" t="inlineStr">
        <is>
          <t>2026-02-23 23:48</t>
        </is>
      </c>
      <c r="L509" t="inlineStr">
        <is>
          <t>CHECK_VENDOR</t>
        </is>
      </c>
      <c r="M509" t="inlineStr">
        <is>
          <t>See CVE details</t>
        </is>
      </c>
      <c r="N509" t="inlineStr">
        <is>
          <t>P4</t>
        </is>
      </c>
      <c r="O509" t="inlineStr">
        <is>
          <t>CVE - IP enrichment n/a</t>
        </is>
      </c>
      <c r="P509" t="n">
        <v>0</v>
      </c>
      <c r="Q509" t="n">
        <v>0</v>
      </c>
      <c r="R509" t="inlineStr">
        <is>
          <t>T1190:Exploit Public-Facing Application</t>
        </is>
      </c>
      <c r="S509" t="n">
        <v>1</v>
      </c>
      <c r="T509" t="inlineStr">
        <is>
          <t>LOW (40%)</t>
        </is>
      </c>
      <c r="U509" t="inlineStr">
        <is>
          <t>UNLIKELY</t>
        </is>
      </c>
      <c r="V509" t="inlineStr">
        <is>
          <t>CHECK_VENDOR</t>
        </is>
      </c>
      <c r="W509" t="inlineStr">
        <is>
          <t>https://nvd.nist.gov/vuln/detail/CVE-2026-25374</t>
        </is>
      </c>
      <c r="X509" t="inlineStr">
        <is>
          <t>NONE</t>
        </is>
      </c>
      <c r="Y509" t="n">
        <v>0</v>
      </c>
      <c r="Z509" t="inlineStr"/>
      <c r="AA509" t="inlineStr">
        <is>
          <t>https://nvd.nist.gov/vuln/detail/CVE-2026-25374</t>
        </is>
      </c>
    </row>
    <row r="510">
      <c r="A510" t="inlineStr">
        <is>
          <t>CVE</t>
        </is>
      </c>
      <c r="B510" t="inlineStr">
        <is>
          <t>CVE-2026-25375</t>
        </is>
      </c>
      <c r="C510" t="inlineStr">
        <is>
          <t>Missing Authorization vulnerability in WP Chill Image Photo Gallery Final Tiles Grid final-tiles-grid-gallery-lite allows Exploiting Incorrectly Configured Access Control Security Levels.This issue affects Image Photo Gallery Final Tiles Grid: from n/a through &lt;= 3.6.10.</t>
        </is>
      </c>
      <c r="D510" t="n">
        <v>4.3</v>
      </c>
      <c r="E510" t="inlineStr">
        <is>
          <t>MEDIUM</t>
        </is>
      </c>
      <c r="F510" t="n">
        <v>2</v>
      </c>
      <c r="G510" t="n">
        <v>2</v>
      </c>
      <c r="H510" t="inlineStr">
        <is>
          <t>MEDIUM</t>
        </is>
      </c>
      <c r="I510" t="n">
        <v>8.300000000000001</v>
      </c>
      <c r="J510" t="inlineStr">
        <is>
          <t>NO</t>
        </is>
      </c>
      <c r="K510" t="inlineStr">
        <is>
          <t>2026-02-23 23:48</t>
        </is>
      </c>
      <c r="L510" t="inlineStr">
        <is>
          <t>CHECK_VENDOR</t>
        </is>
      </c>
      <c r="M510" t="inlineStr">
        <is>
          <t>See CVE details</t>
        </is>
      </c>
      <c r="N510" t="inlineStr">
        <is>
          <t>P4</t>
        </is>
      </c>
      <c r="O510" t="inlineStr">
        <is>
          <t>CVE - IP enrichment n/a</t>
        </is>
      </c>
      <c r="P510" t="n">
        <v>0</v>
      </c>
      <c r="Q510" t="n">
        <v>0</v>
      </c>
      <c r="R510" t="inlineStr">
        <is>
          <t>T1190:Exploit Public-Facing Application</t>
        </is>
      </c>
      <c r="S510" t="n">
        <v>1</v>
      </c>
      <c r="T510" t="inlineStr">
        <is>
          <t>LOW (40%)</t>
        </is>
      </c>
      <c r="U510" t="inlineStr">
        <is>
          <t>UNLIKELY</t>
        </is>
      </c>
      <c r="V510" t="inlineStr">
        <is>
          <t>CHECK_VENDOR</t>
        </is>
      </c>
      <c r="W510" t="inlineStr">
        <is>
          <t>https://nvd.nist.gov/vuln/detail/CVE-2026-25375</t>
        </is>
      </c>
      <c r="X510" t="inlineStr">
        <is>
          <t>NONE</t>
        </is>
      </c>
      <c r="Y510" t="n">
        <v>0</v>
      </c>
      <c r="Z510" t="inlineStr"/>
      <c r="AA510" t="inlineStr">
        <is>
          <t>https://nvd.nist.gov/vuln/detail/CVE-2026-25375</t>
        </is>
      </c>
    </row>
    <row r="511">
      <c r="A511" t="inlineStr">
        <is>
          <t>CVE</t>
        </is>
      </c>
      <c r="B511" t="inlineStr">
        <is>
          <t>CVE-2026-25378</t>
        </is>
      </c>
      <c r="C511" t="inlineStr">
        <is>
          <t>Improper Neutralization of Special Elements used in an SQL Command ('SQL Injection') vulnerability in Nelio Software Nelio AB Testing nelio-ab-testing allows Blind SQL Injection.This issue affects Nelio AB Testing: from n/a through &lt;= 8.2.4.</t>
        </is>
      </c>
      <c r="D511" t="n">
        <v>7.6</v>
      </c>
      <c r="E511" t="inlineStr">
        <is>
          <t>HIGH</t>
        </is>
      </c>
      <c r="F511" t="n">
        <v>2</v>
      </c>
      <c r="G511" t="n">
        <v>3</v>
      </c>
      <c r="H511" t="inlineStr">
        <is>
          <t>HIGH</t>
        </is>
      </c>
      <c r="I511" t="n">
        <v>13.6</v>
      </c>
      <c r="J511" t="inlineStr">
        <is>
          <t>NO</t>
        </is>
      </c>
      <c r="K511" t="inlineStr">
        <is>
          <t>2026-02-23 23:48</t>
        </is>
      </c>
      <c r="L511" t="inlineStr">
        <is>
          <t>CHECK_VENDOR</t>
        </is>
      </c>
      <c r="M511" t="inlineStr">
        <is>
          <t>See CVE details</t>
        </is>
      </c>
      <c r="N511" t="inlineStr">
        <is>
          <t>P3</t>
        </is>
      </c>
      <c r="O511" t="inlineStr">
        <is>
          <t>CVE - IP enrichment n/a</t>
        </is>
      </c>
      <c r="P511" t="n">
        <v>0</v>
      </c>
      <c r="Q511" t="n">
        <v>0</v>
      </c>
      <c r="R511" t="inlineStr">
        <is>
          <t>T1190:Exploit Public-Facing Application</t>
        </is>
      </c>
      <c r="S511" t="n">
        <v>1</v>
      </c>
      <c r="T511" t="inlineStr">
        <is>
          <t>LOW (40%)</t>
        </is>
      </c>
      <c r="U511" t="inlineStr">
        <is>
          <t>UNLIKELY</t>
        </is>
      </c>
      <c r="V511" t="inlineStr">
        <is>
          <t>CHECK_VENDOR</t>
        </is>
      </c>
      <c r="W511" t="inlineStr">
        <is>
          <t>https://nvd.nist.gov/vuln/detail/CVE-2026-25378</t>
        </is>
      </c>
      <c r="X511" t="inlineStr">
        <is>
          <t>NONE</t>
        </is>
      </c>
      <c r="Y511" t="n">
        <v>0</v>
      </c>
      <c r="Z511" t="inlineStr"/>
      <c r="AA511" t="inlineStr">
        <is>
          <t>https://nvd.nist.gov/vuln/detail/CVE-2026-25378</t>
        </is>
      </c>
    </row>
    <row r="512">
      <c r="A512" t="inlineStr">
        <is>
          <t>CVE</t>
        </is>
      </c>
      <c r="B512" t="inlineStr">
        <is>
          <t>CVE-2026-25384</t>
        </is>
      </c>
      <c r="C512" t="inlineStr">
        <is>
          <t>Missing Authorization vulnerability in WP Lab WP-Lister Lite for eBay wp-lister-for-ebay allows Exploiting Incorrectly Configured Access Control Security Levels.This issue affects WP-Lister Lite for eBay: from n/a through &lt;= 3.8.5.</t>
        </is>
      </c>
      <c r="D512" t="n">
        <v>5.3</v>
      </c>
      <c r="E512" t="inlineStr">
        <is>
          <t>MEDIUM</t>
        </is>
      </c>
      <c r="F512" t="n">
        <v>2</v>
      </c>
      <c r="G512" t="n">
        <v>2</v>
      </c>
      <c r="H512" t="inlineStr">
        <is>
          <t>MEDIUM</t>
        </is>
      </c>
      <c r="I512" t="n">
        <v>9.300000000000001</v>
      </c>
      <c r="J512" t="inlineStr">
        <is>
          <t>NO</t>
        </is>
      </c>
      <c r="K512" t="inlineStr">
        <is>
          <t>2026-02-23 23:48</t>
        </is>
      </c>
      <c r="L512" t="inlineStr">
        <is>
          <t>CHECK_VENDOR</t>
        </is>
      </c>
      <c r="M512" t="inlineStr">
        <is>
          <t>See CVE details</t>
        </is>
      </c>
      <c r="N512" t="inlineStr">
        <is>
          <t>P4</t>
        </is>
      </c>
      <c r="O512" t="inlineStr">
        <is>
          <t>CVE - IP enrichment n/a</t>
        </is>
      </c>
      <c r="P512" t="n">
        <v>0</v>
      </c>
      <c r="Q512" t="n">
        <v>0</v>
      </c>
      <c r="R512" t="inlineStr">
        <is>
          <t>T1190:Exploit Public-Facing Application</t>
        </is>
      </c>
      <c r="S512" t="n">
        <v>1</v>
      </c>
      <c r="T512" t="inlineStr">
        <is>
          <t>LOW (40%)</t>
        </is>
      </c>
      <c r="U512" t="inlineStr">
        <is>
          <t>UNLIKELY</t>
        </is>
      </c>
      <c r="V512" t="inlineStr">
        <is>
          <t>CHECK_VENDOR</t>
        </is>
      </c>
      <c r="W512" t="inlineStr">
        <is>
          <t>https://nvd.nist.gov/vuln/detail/CVE-2026-25384</t>
        </is>
      </c>
      <c r="X512" t="inlineStr">
        <is>
          <t>NONE</t>
        </is>
      </c>
      <c r="Y512" t="n">
        <v>0</v>
      </c>
      <c r="Z512" t="inlineStr"/>
      <c r="AA512" t="inlineStr">
        <is>
          <t>https://nvd.nist.gov/vuln/detail/CVE-2026-25384</t>
        </is>
      </c>
    </row>
    <row r="513">
      <c r="A513" t="inlineStr">
        <is>
          <t>CVE</t>
        </is>
      </c>
      <c r="B513" t="inlineStr">
        <is>
          <t>CVE-2026-25385</t>
        </is>
      </c>
      <c r="C513" t="inlineStr">
        <is>
          <t>Server-Side Request Forgery (SSRF) vulnerability in KaizenCoders URL Shortify url-shortify allows Server Side Request Forgery.This issue affects URL Shortify: from n/a through &lt;= 1.12.3.</t>
        </is>
      </c>
      <c r="D513" t="n">
        <v>5.5</v>
      </c>
      <c r="E513" t="inlineStr">
        <is>
          <t>MEDIUM</t>
        </is>
      </c>
      <c r="F513" t="n">
        <v>2</v>
      </c>
      <c r="G513" t="n">
        <v>2</v>
      </c>
      <c r="H513" t="inlineStr">
        <is>
          <t>MEDIUM</t>
        </is>
      </c>
      <c r="I513" t="n">
        <v>9.5</v>
      </c>
      <c r="J513" t="inlineStr">
        <is>
          <t>NO</t>
        </is>
      </c>
      <c r="K513" t="inlineStr">
        <is>
          <t>2026-02-23 23:48</t>
        </is>
      </c>
      <c r="L513" t="inlineStr">
        <is>
          <t>CHECK_VENDOR</t>
        </is>
      </c>
      <c r="M513" t="inlineStr">
        <is>
          <t>See CVE details</t>
        </is>
      </c>
      <c r="N513" t="inlineStr">
        <is>
          <t>P4</t>
        </is>
      </c>
      <c r="O513" t="inlineStr">
        <is>
          <t>CVE - IP enrichment n/a</t>
        </is>
      </c>
      <c r="P513" t="n">
        <v>0</v>
      </c>
      <c r="Q513" t="n">
        <v>0</v>
      </c>
      <c r="R513" t="inlineStr">
        <is>
          <t>T1090:Proxy</t>
        </is>
      </c>
      <c r="S513" t="n">
        <v>1</v>
      </c>
      <c r="T513" t="inlineStr">
        <is>
          <t>LOW (40%)</t>
        </is>
      </c>
      <c r="U513" t="inlineStr">
        <is>
          <t>UNLIKELY</t>
        </is>
      </c>
      <c r="V513" t="inlineStr">
        <is>
          <t>CHECK_VENDOR</t>
        </is>
      </c>
      <c r="W513" t="inlineStr">
        <is>
          <t>https://nvd.nist.gov/vuln/detail/CVE-2026-25385</t>
        </is>
      </c>
      <c r="X513" t="inlineStr">
        <is>
          <t>NONE</t>
        </is>
      </c>
      <c r="Y513" t="n">
        <v>0</v>
      </c>
      <c r="Z513" t="inlineStr"/>
      <c r="AA513" t="inlineStr">
        <is>
          <t>https://nvd.nist.gov/vuln/detail/CVE-2026-25385</t>
        </is>
      </c>
    </row>
    <row r="514">
      <c r="A514" t="inlineStr">
        <is>
          <t>CVE</t>
        </is>
      </c>
      <c r="B514" t="inlineStr">
        <is>
          <t>CVE-2026-25386</t>
        </is>
      </c>
      <c r="C514" t="inlineStr">
        <is>
          <t>Missing Authorization vulnerability in Elementor Ally pojo-accessibility allows Exploiting Incorrectly Configured Access Control Security Levels.This issue affects Ally: from n/a through &lt;= 4.0.2.</t>
        </is>
      </c>
      <c r="D514" t="n">
        <v>5.3</v>
      </c>
      <c r="E514" t="inlineStr">
        <is>
          <t>MEDIUM</t>
        </is>
      </c>
      <c r="F514" t="n">
        <v>2</v>
      </c>
      <c r="G514" t="n">
        <v>2</v>
      </c>
      <c r="H514" t="inlineStr">
        <is>
          <t>MEDIUM</t>
        </is>
      </c>
      <c r="I514" t="n">
        <v>9.300000000000001</v>
      </c>
      <c r="J514" t="inlineStr">
        <is>
          <t>NO</t>
        </is>
      </c>
      <c r="K514" t="inlineStr">
        <is>
          <t>2026-02-23 23:48</t>
        </is>
      </c>
      <c r="L514" t="inlineStr">
        <is>
          <t>CHECK_VENDOR</t>
        </is>
      </c>
      <c r="M514" t="inlineStr">
        <is>
          <t>See CVE details</t>
        </is>
      </c>
      <c r="N514" t="inlineStr">
        <is>
          <t>P4</t>
        </is>
      </c>
      <c r="O514" t="inlineStr">
        <is>
          <t>CVE - IP enrichment n/a</t>
        </is>
      </c>
      <c r="P514" t="n">
        <v>0.0003</v>
      </c>
      <c r="Q514" t="n">
        <v>0.0775</v>
      </c>
      <c r="R514" t="inlineStr">
        <is>
          <t>T1190:Exploit Public-Facing Application</t>
        </is>
      </c>
      <c r="S514" t="n">
        <v>1</v>
      </c>
      <c r="T514" t="inlineStr">
        <is>
          <t>LOW (40%)</t>
        </is>
      </c>
      <c r="U514" t="inlineStr">
        <is>
          <t>UNLIKELY</t>
        </is>
      </c>
      <c r="V514" t="inlineStr">
        <is>
          <t>CHECK_VENDOR</t>
        </is>
      </c>
      <c r="W514" t="inlineStr">
        <is>
          <t>https://nvd.nist.gov/vuln/detail/CVE-2026-25386</t>
        </is>
      </c>
      <c r="X514" t="inlineStr">
        <is>
          <t>NONE</t>
        </is>
      </c>
      <c r="Y514" t="n">
        <v>0</v>
      </c>
      <c r="Z514" t="inlineStr"/>
      <c r="AA514" t="inlineStr">
        <is>
          <t>https://nvd.nist.gov/vuln/detail/CVE-2026-25386</t>
        </is>
      </c>
    </row>
    <row r="515">
      <c r="A515" t="inlineStr">
        <is>
          <t>CVE</t>
        </is>
      </c>
      <c r="B515" t="inlineStr">
        <is>
          <t>CVE-2026-25387</t>
        </is>
      </c>
      <c r="C515" t="inlineStr">
        <is>
          <t>Missing Authorization vulnerability in Elementor Image Optimizer by Elementor image-optimization allows Exploiting Incorrectly Configured Access Control Security Levels.This issue affects Image Optimizer by Elementor: from n/a through &lt;= 1.7.1.</t>
        </is>
      </c>
      <c r="D515" t="n">
        <v>5</v>
      </c>
      <c r="E515" t="inlineStr">
        <is>
          <t>MEDIUM</t>
        </is>
      </c>
      <c r="F515" t="n">
        <v>2</v>
      </c>
      <c r="G515" t="n">
        <v>2</v>
      </c>
      <c r="H515" t="inlineStr">
        <is>
          <t>MEDIUM</t>
        </is>
      </c>
      <c r="I515" t="n">
        <v>9</v>
      </c>
      <c r="J515" t="inlineStr">
        <is>
          <t>NO</t>
        </is>
      </c>
      <c r="K515" t="inlineStr">
        <is>
          <t>2026-02-23 23:48</t>
        </is>
      </c>
      <c r="L515" t="inlineStr">
        <is>
          <t>CHECK_VENDOR</t>
        </is>
      </c>
      <c r="M515" t="inlineStr">
        <is>
          <t>See CVE details</t>
        </is>
      </c>
      <c r="N515" t="inlineStr">
        <is>
          <t>P4</t>
        </is>
      </c>
      <c r="O515" t="inlineStr">
        <is>
          <t>CVE - IP enrichment n/a</t>
        </is>
      </c>
      <c r="P515" t="n">
        <v>0</v>
      </c>
      <c r="Q515" t="n">
        <v>0</v>
      </c>
      <c r="R515" t="inlineStr">
        <is>
          <t>T1190:Exploit Public-Facing Application</t>
        </is>
      </c>
      <c r="S515" t="n">
        <v>1</v>
      </c>
      <c r="T515" t="inlineStr">
        <is>
          <t>LOW (40%)</t>
        </is>
      </c>
      <c r="U515" t="inlineStr">
        <is>
          <t>UNLIKELY</t>
        </is>
      </c>
      <c r="V515" t="inlineStr">
        <is>
          <t>CHECK_VENDOR</t>
        </is>
      </c>
      <c r="W515" t="inlineStr">
        <is>
          <t>https://nvd.nist.gov/vuln/detail/CVE-2026-25387</t>
        </is>
      </c>
      <c r="X515" t="inlineStr">
        <is>
          <t>NONE</t>
        </is>
      </c>
      <c r="Y515" t="n">
        <v>0</v>
      </c>
      <c r="Z515" t="inlineStr"/>
      <c r="AA515" t="inlineStr">
        <is>
          <t>https://nvd.nist.gov/vuln/detail/CVE-2026-25387</t>
        </is>
      </c>
    </row>
    <row r="516">
      <c r="A516" t="inlineStr">
        <is>
          <t>CVE</t>
        </is>
      </c>
      <c r="B516" t="inlineStr">
        <is>
          <t>CVE-2026-25388</t>
        </is>
      </c>
      <c r="C516" t="inlineStr">
        <is>
          <t>Missing Authorization vulnerability in scripteo Ads Pro ap-plugin-scripteo allows Exploiting Incorrectly Configured Access Control Security Levels.This issue affects Ads Pro: from n/a through &lt;= 5.0.</t>
        </is>
      </c>
      <c r="D516" t="n">
        <v>5.4</v>
      </c>
      <c r="E516" t="inlineStr">
        <is>
          <t>MEDIUM</t>
        </is>
      </c>
      <c r="F516" t="n">
        <v>2</v>
      </c>
      <c r="G516" t="n">
        <v>2</v>
      </c>
      <c r="H516" t="inlineStr">
        <is>
          <t>MEDIUM</t>
        </is>
      </c>
      <c r="I516" t="n">
        <v>9.4</v>
      </c>
      <c r="J516" t="inlineStr">
        <is>
          <t>NO</t>
        </is>
      </c>
      <c r="K516" t="inlineStr">
        <is>
          <t>2026-02-23 23:48</t>
        </is>
      </c>
      <c r="L516" t="inlineStr">
        <is>
          <t>CHECK_VENDOR</t>
        </is>
      </c>
      <c r="M516" t="inlineStr">
        <is>
          <t>See CVE details</t>
        </is>
      </c>
      <c r="N516" t="inlineStr">
        <is>
          <t>P4</t>
        </is>
      </c>
      <c r="O516" t="inlineStr">
        <is>
          <t>CVE - IP enrichment n/a</t>
        </is>
      </c>
      <c r="P516" t="n">
        <v>0</v>
      </c>
      <c r="Q516" t="n">
        <v>0</v>
      </c>
      <c r="R516" t="inlineStr">
        <is>
          <t>T1190:Exploit Public-Facing Application</t>
        </is>
      </c>
      <c r="S516" t="n">
        <v>1</v>
      </c>
      <c r="T516" t="inlineStr">
        <is>
          <t>LOW (40%)</t>
        </is>
      </c>
      <c r="U516" t="inlineStr">
        <is>
          <t>UNLIKELY</t>
        </is>
      </c>
      <c r="V516" t="inlineStr">
        <is>
          <t>CHECK_VENDOR</t>
        </is>
      </c>
      <c r="W516" t="inlineStr">
        <is>
          <t>https://nvd.nist.gov/vuln/detail/CVE-2026-25388</t>
        </is>
      </c>
      <c r="X516" t="inlineStr">
        <is>
          <t>NONE</t>
        </is>
      </c>
      <c r="Y516" t="n">
        <v>0</v>
      </c>
      <c r="Z516" t="inlineStr"/>
      <c r="AA516" t="inlineStr">
        <is>
          <t>https://nvd.nist.gov/vuln/detail/CVE-2026-25388</t>
        </is>
      </c>
    </row>
    <row r="517">
      <c r="A517" t="inlineStr">
        <is>
          <t>CVE</t>
        </is>
      </c>
      <c r="B517" t="inlineStr">
        <is>
          <t>CVE-2026-25389</t>
        </is>
      </c>
      <c r="C517" t="inlineStr">
        <is>
          <t>Exposure of Sensitive System Information to an Unauthorized Control Sphere vulnerability in Metagauss EventPrime eventprime-event-calendar-management allows Retrieve Embedded Sensitive Data.This issue affects EventPrime: from n/a through &lt;= 4.2.8.3.</t>
        </is>
      </c>
      <c r="D517" t="n">
        <v>5</v>
      </c>
      <c r="E517" t="inlineStr">
        <is>
          <t>MEDIUM</t>
        </is>
      </c>
      <c r="F517" t="n">
        <v>2</v>
      </c>
      <c r="G517" t="n">
        <v>2</v>
      </c>
      <c r="H517" t="inlineStr">
        <is>
          <t>MEDIUM</t>
        </is>
      </c>
      <c r="I517" t="n">
        <v>9</v>
      </c>
      <c r="J517" t="inlineStr">
        <is>
          <t>NO</t>
        </is>
      </c>
      <c r="K517" t="inlineStr">
        <is>
          <t>2026-02-23 23:48</t>
        </is>
      </c>
      <c r="L517" t="inlineStr">
        <is>
          <t>CHECK_VENDOR</t>
        </is>
      </c>
      <c r="M517" t="inlineStr">
        <is>
          <t>See CVE details</t>
        </is>
      </c>
      <c r="N517" t="inlineStr">
        <is>
          <t>P4</t>
        </is>
      </c>
      <c r="O517" t="inlineStr">
        <is>
          <t>CVE - IP enrichment n/a</t>
        </is>
      </c>
      <c r="P517" t="n">
        <v>0.0002</v>
      </c>
      <c r="Q517" t="n">
        <v>0.0449</v>
      </c>
      <c r="R517" t="inlineStr">
        <is>
          <t>T1190:Exploit Public-Facing Application</t>
        </is>
      </c>
      <c r="S517" t="n">
        <v>1</v>
      </c>
      <c r="T517" t="inlineStr">
        <is>
          <t>LOW (40%)</t>
        </is>
      </c>
      <c r="U517" t="inlineStr">
        <is>
          <t>UNLIKELY</t>
        </is>
      </c>
      <c r="V517" t="inlineStr">
        <is>
          <t>CHECK_VENDOR</t>
        </is>
      </c>
      <c r="W517" t="inlineStr">
        <is>
          <t>https://nvd.nist.gov/vuln/detail/CVE-2026-25389</t>
        </is>
      </c>
      <c r="X517" t="inlineStr">
        <is>
          <t>NONE</t>
        </is>
      </c>
      <c r="Y517" t="n">
        <v>0</v>
      </c>
      <c r="Z517" t="inlineStr"/>
      <c r="AA517" t="inlineStr">
        <is>
          <t>https://nvd.nist.gov/vuln/detail/CVE-2026-25389</t>
        </is>
      </c>
    </row>
    <row r="518">
      <c r="A518" t="inlineStr">
        <is>
          <t>CVE</t>
        </is>
      </c>
      <c r="B518" t="inlineStr">
        <is>
          <t>CVE-2026-25391</t>
        </is>
      </c>
      <c r="C518" t="inlineStr">
        <is>
          <t>Missing Authorization vulnerability in WP Grids WP Wand ai-content-generation allows Exploiting Incorrectly Configured Access Control Security Levels.This issue affects WP Wand: from n/a through &lt;= 1.3.07.</t>
        </is>
      </c>
      <c r="D518" t="n">
        <v>5.4</v>
      </c>
      <c r="E518" t="inlineStr">
        <is>
          <t>MEDIUM</t>
        </is>
      </c>
      <c r="F518" t="n">
        <v>2</v>
      </c>
      <c r="G518" t="n">
        <v>2</v>
      </c>
      <c r="H518" t="inlineStr">
        <is>
          <t>MEDIUM</t>
        </is>
      </c>
      <c r="I518" t="n">
        <v>9.4</v>
      </c>
      <c r="J518" t="inlineStr">
        <is>
          <t>NO</t>
        </is>
      </c>
      <c r="K518" t="inlineStr">
        <is>
          <t>2026-02-23 23:48</t>
        </is>
      </c>
      <c r="L518" t="inlineStr">
        <is>
          <t>CHECK_VENDOR</t>
        </is>
      </c>
      <c r="M518" t="inlineStr">
        <is>
          <t>See CVE details</t>
        </is>
      </c>
      <c r="N518" t="inlineStr">
        <is>
          <t>P4</t>
        </is>
      </c>
      <c r="O518" t="inlineStr">
        <is>
          <t>CVE - IP enrichment n/a</t>
        </is>
      </c>
      <c r="P518" t="n">
        <v>0</v>
      </c>
      <c r="Q518" t="n">
        <v>0</v>
      </c>
      <c r="R518" t="inlineStr">
        <is>
          <t>T1190:Exploit Public-Facing Application</t>
        </is>
      </c>
      <c r="S518" t="n">
        <v>1</v>
      </c>
      <c r="T518" t="inlineStr">
        <is>
          <t>LOW (40%)</t>
        </is>
      </c>
      <c r="U518" t="inlineStr">
        <is>
          <t>UNLIKELY</t>
        </is>
      </c>
      <c r="V518" t="inlineStr">
        <is>
          <t>CHECK_VENDOR</t>
        </is>
      </c>
      <c r="W518" t="inlineStr">
        <is>
          <t>https://nvd.nist.gov/vuln/detail/CVE-2026-25391</t>
        </is>
      </c>
      <c r="X518" t="inlineStr">
        <is>
          <t>NONE</t>
        </is>
      </c>
      <c r="Y518" t="n">
        <v>0</v>
      </c>
      <c r="Z518" t="inlineStr"/>
      <c r="AA518" t="inlineStr">
        <is>
          <t>https://nvd.nist.gov/vuln/detail/CVE-2026-25391</t>
        </is>
      </c>
    </row>
    <row r="519">
      <c r="A519" t="inlineStr">
        <is>
          <t>CVE</t>
        </is>
      </c>
      <c r="B519" t="inlineStr">
        <is>
          <t>CVE-2026-25392</t>
        </is>
      </c>
      <c r="C519" t="inlineStr">
        <is>
          <t>URL Redirection to Untrusted Site ('Open Redirect') vulnerability in KaizenCoders Update URLs &amp;#8211; Quick and Easy way to search old links and replace them with new links in WordPress update-urls allows Phishing.This issue affects Update URLs &amp;#8211; Quick and Easy way to search old links and replace them with new links in WordPress: from n/a through &lt;= 1.4.0.</t>
        </is>
      </c>
      <c r="D519" t="n">
        <v>4.7</v>
      </c>
      <c r="E519" t="inlineStr">
        <is>
          <t>MEDIUM</t>
        </is>
      </c>
      <c r="F519" t="n">
        <v>2</v>
      </c>
      <c r="G519" t="n">
        <v>2</v>
      </c>
      <c r="H519" t="inlineStr">
        <is>
          <t>MEDIUM</t>
        </is>
      </c>
      <c r="I519" t="n">
        <v>8.699999999999999</v>
      </c>
      <c r="J519" t="inlineStr">
        <is>
          <t>NO</t>
        </is>
      </c>
      <c r="K519" t="inlineStr">
        <is>
          <t>2026-02-23 23:48</t>
        </is>
      </c>
      <c r="L519" t="inlineStr">
        <is>
          <t>CHECK_VENDOR</t>
        </is>
      </c>
      <c r="M519" t="inlineStr">
        <is>
          <t>See CVE details</t>
        </is>
      </c>
      <c r="N519" t="inlineStr">
        <is>
          <t>P4</t>
        </is>
      </c>
      <c r="O519" t="inlineStr">
        <is>
          <t>CVE - IP enrichment n/a</t>
        </is>
      </c>
      <c r="P519" t="n">
        <v>0.0003</v>
      </c>
      <c r="Q519" t="n">
        <v>0.07870000000000001</v>
      </c>
      <c r="R519" t="inlineStr">
        <is>
          <t>T1189:Drive-by Compromise | T1566:Phishing</t>
        </is>
      </c>
      <c r="S519" t="n">
        <v>1</v>
      </c>
      <c r="T519" t="inlineStr">
        <is>
          <t>LOW (40%)</t>
        </is>
      </c>
      <c r="U519" t="inlineStr">
        <is>
          <t>UNLIKELY</t>
        </is>
      </c>
      <c r="V519" t="inlineStr">
        <is>
          <t>CHECK_VENDOR</t>
        </is>
      </c>
      <c r="W519" t="inlineStr">
        <is>
          <t>https://nvd.nist.gov/vuln/detail/CVE-2026-25392</t>
        </is>
      </c>
      <c r="X519" t="inlineStr">
        <is>
          <t>NONE</t>
        </is>
      </c>
      <c r="Y519" t="n">
        <v>0</v>
      </c>
      <c r="Z519" t="inlineStr"/>
      <c r="AA519" t="inlineStr">
        <is>
          <t>https://nvd.nist.gov/vuln/detail/CVE-2026-25392</t>
        </is>
      </c>
    </row>
    <row r="520">
      <c r="A520" t="inlineStr">
        <is>
          <t>CVE</t>
        </is>
      </c>
      <c r="B520" t="inlineStr">
        <is>
          <t>CVE-2026-25393</t>
        </is>
      </c>
      <c r="C520" t="inlineStr">
        <is>
          <t>Missing Authorization vulnerability in sparklewpthemes Hello FSE hello-fse allows Exploiting Incorrectly Configured Access Control Security Levels.This issue affects Hello FSE: from n/a through &lt;= 1.0.6.</t>
        </is>
      </c>
      <c r="D520" t="n">
        <v>4.3</v>
      </c>
      <c r="E520" t="inlineStr">
        <is>
          <t>MEDIUM</t>
        </is>
      </c>
      <c r="F520" t="n">
        <v>2</v>
      </c>
      <c r="G520" t="n">
        <v>2</v>
      </c>
      <c r="H520" t="inlineStr">
        <is>
          <t>MEDIUM</t>
        </is>
      </c>
      <c r="I520" t="n">
        <v>8.300000000000001</v>
      </c>
      <c r="J520" t="inlineStr">
        <is>
          <t>NO</t>
        </is>
      </c>
      <c r="K520" t="inlineStr">
        <is>
          <t>2026-02-23 23:48</t>
        </is>
      </c>
      <c r="L520" t="inlineStr">
        <is>
          <t>CHECK_VENDOR</t>
        </is>
      </c>
      <c r="M520" t="inlineStr">
        <is>
          <t>See CVE details</t>
        </is>
      </c>
      <c r="N520" t="inlineStr">
        <is>
          <t>P4</t>
        </is>
      </c>
      <c r="O520" t="inlineStr">
        <is>
          <t>CVE - IP enrichment n/a</t>
        </is>
      </c>
      <c r="P520" t="n">
        <v>0</v>
      </c>
      <c r="Q520" t="n">
        <v>0</v>
      </c>
      <c r="R520" t="inlineStr">
        <is>
          <t>T1190:Exploit Public-Facing Application</t>
        </is>
      </c>
      <c r="S520" t="n">
        <v>1</v>
      </c>
      <c r="T520" t="inlineStr">
        <is>
          <t>LOW (40%)</t>
        </is>
      </c>
      <c r="U520" t="inlineStr">
        <is>
          <t>UNLIKELY</t>
        </is>
      </c>
      <c r="V520" t="inlineStr">
        <is>
          <t>CHECK_VENDOR</t>
        </is>
      </c>
      <c r="W520" t="inlineStr">
        <is>
          <t>https://nvd.nist.gov/vuln/detail/CVE-2026-25393</t>
        </is>
      </c>
      <c r="X520" t="inlineStr">
        <is>
          <t>NONE</t>
        </is>
      </c>
      <c r="Y520" t="n">
        <v>0</v>
      </c>
      <c r="Z520" t="inlineStr"/>
      <c r="AA520" t="inlineStr">
        <is>
          <t>https://nvd.nist.gov/vuln/detail/CVE-2026-25393</t>
        </is>
      </c>
    </row>
    <row r="521">
      <c r="A521" t="inlineStr">
        <is>
          <t>CVE</t>
        </is>
      </c>
      <c r="B521" t="inlineStr">
        <is>
          <t>CVE-2026-25394</t>
        </is>
      </c>
      <c r="C521" t="inlineStr">
        <is>
          <t>Missing Authorization vulnerability in sparklewpthemes Fitness FSE fitness-fse allows Exploiting Incorrectly Configured Access Control Security Levels.This issue affects Fitness FSE: from n/a through &lt;= 1.0.6.</t>
        </is>
      </c>
      <c r="D521" t="n">
        <v>4.3</v>
      </c>
      <c r="E521" t="inlineStr">
        <is>
          <t>MEDIUM</t>
        </is>
      </c>
      <c r="F521" t="n">
        <v>2</v>
      </c>
      <c r="G521" t="n">
        <v>2</v>
      </c>
      <c r="H521" t="inlineStr">
        <is>
          <t>MEDIUM</t>
        </is>
      </c>
      <c r="I521" t="n">
        <v>8.300000000000001</v>
      </c>
      <c r="J521" t="inlineStr">
        <is>
          <t>NO</t>
        </is>
      </c>
      <c r="K521" t="inlineStr">
        <is>
          <t>2026-02-23 23:48</t>
        </is>
      </c>
      <c r="L521" t="inlineStr">
        <is>
          <t>CHECK_VENDOR</t>
        </is>
      </c>
      <c r="M521" t="inlineStr">
        <is>
          <t>See CVE details</t>
        </is>
      </c>
      <c r="N521" t="inlineStr">
        <is>
          <t>P4</t>
        </is>
      </c>
      <c r="O521" t="inlineStr">
        <is>
          <t>CVE - IP enrichment n/a</t>
        </is>
      </c>
      <c r="P521" t="n">
        <v>0.0003</v>
      </c>
      <c r="Q521" t="n">
        <v>0.0718</v>
      </c>
      <c r="R521" t="inlineStr">
        <is>
          <t>T1190:Exploit Public-Facing Application</t>
        </is>
      </c>
      <c r="S521" t="n">
        <v>1</v>
      </c>
      <c r="T521" t="inlineStr">
        <is>
          <t>LOW (40%)</t>
        </is>
      </c>
      <c r="U521" t="inlineStr">
        <is>
          <t>UNLIKELY</t>
        </is>
      </c>
      <c r="V521" t="inlineStr">
        <is>
          <t>CHECK_VENDOR</t>
        </is>
      </c>
      <c r="W521" t="inlineStr">
        <is>
          <t>https://nvd.nist.gov/vuln/detail/CVE-2026-25394</t>
        </is>
      </c>
      <c r="X521" t="inlineStr">
        <is>
          <t>NONE</t>
        </is>
      </c>
      <c r="Y521" t="n">
        <v>0</v>
      </c>
      <c r="Z521" t="inlineStr"/>
      <c r="AA521" t="inlineStr">
        <is>
          <t>https://nvd.nist.gov/vuln/detail/CVE-2026-25394</t>
        </is>
      </c>
    </row>
    <row r="522">
      <c r="A522" t="inlineStr">
        <is>
          <t>CVE</t>
        </is>
      </c>
      <c r="B522" t="inlineStr">
        <is>
          <t>CVE-2026-25395</t>
        </is>
      </c>
      <c r="C522" t="inlineStr">
        <is>
          <t>Missing Authorization vulnerability in ikreatethemes Business Roy business-roy allows Exploiting Incorrectly Configured Access Control Security Levels.This issue affects Business Roy: from n/a through &lt;= 1.1.4.</t>
        </is>
      </c>
      <c r="D522" t="n">
        <v>4.3</v>
      </c>
      <c r="E522" t="inlineStr">
        <is>
          <t>MEDIUM</t>
        </is>
      </c>
      <c r="F522" t="n">
        <v>2</v>
      </c>
      <c r="G522" t="n">
        <v>2</v>
      </c>
      <c r="H522" t="inlineStr">
        <is>
          <t>MEDIUM</t>
        </is>
      </c>
      <c r="I522" t="n">
        <v>8.300000000000001</v>
      </c>
      <c r="J522" t="inlineStr">
        <is>
          <t>NO</t>
        </is>
      </c>
      <c r="K522" t="inlineStr">
        <is>
          <t>2026-02-23 23:48</t>
        </is>
      </c>
      <c r="L522" t="inlineStr">
        <is>
          <t>CHECK_VENDOR</t>
        </is>
      </c>
      <c r="M522" t="inlineStr">
        <is>
          <t>See CVE details</t>
        </is>
      </c>
      <c r="N522" t="inlineStr">
        <is>
          <t>P4</t>
        </is>
      </c>
      <c r="O522" t="inlineStr">
        <is>
          <t>CVE - IP enrichment n/a</t>
        </is>
      </c>
      <c r="P522" t="n">
        <v>0</v>
      </c>
      <c r="Q522" t="n">
        <v>0</v>
      </c>
      <c r="R522" t="inlineStr">
        <is>
          <t>T1190:Exploit Public-Facing Application</t>
        </is>
      </c>
      <c r="S522" t="n">
        <v>1</v>
      </c>
      <c r="T522" t="inlineStr">
        <is>
          <t>LOW (40%)</t>
        </is>
      </c>
      <c r="U522" t="inlineStr">
        <is>
          <t>UNLIKELY</t>
        </is>
      </c>
      <c r="V522" t="inlineStr">
        <is>
          <t>CHECK_VENDOR</t>
        </is>
      </c>
      <c r="W522" t="inlineStr">
        <is>
          <t>https://nvd.nist.gov/vuln/detail/CVE-2026-25395</t>
        </is>
      </c>
      <c r="X522" t="inlineStr">
        <is>
          <t>NONE</t>
        </is>
      </c>
      <c r="Y522" t="n">
        <v>0</v>
      </c>
      <c r="Z522" t="inlineStr"/>
      <c r="AA522" t="inlineStr">
        <is>
          <t>https://nvd.nist.gov/vuln/detail/CVE-2026-25395</t>
        </is>
      </c>
    </row>
    <row r="523">
      <c r="A523" t="inlineStr">
        <is>
          <t>CVE</t>
        </is>
      </c>
      <c r="B523" t="inlineStr">
        <is>
          <t>CVE-2026-25399</t>
        </is>
      </c>
      <c r="C523" t="inlineStr">
        <is>
          <t>Missing Authorization vulnerability in CryoutCreations Serious Slider cryout-serious-slider allows Exploiting Incorrectly Configured Access Control Security Levels.This issue affects Serious Slider: from n/a through &lt;= 1.2.7.</t>
        </is>
      </c>
      <c r="D523" t="n">
        <v>4.3</v>
      </c>
      <c r="E523" t="inlineStr">
        <is>
          <t>MEDIUM</t>
        </is>
      </c>
      <c r="F523" t="n">
        <v>2</v>
      </c>
      <c r="G523" t="n">
        <v>2</v>
      </c>
      <c r="H523" t="inlineStr">
        <is>
          <t>MEDIUM</t>
        </is>
      </c>
      <c r="I523" t="n">
        <v>8.300000000000001</v>
      </c>
      <c r="J523" t="inlineStr">
        <is>
          <t>NO</t>
        </is>
      </c>
      <c r="K523" t="inlineStr">
        <is>
          <t>2026-02-23 23:48</t>
        </is>
      </c>
      <c r="L523" t="inlineStr">
        <is>
          <t>CHECK_VENDOR</t>
        </is>
      </c>
      <c r="M523" t="inlineStr">
        <is>
          <t>See CVE details</t>
        </is>
      </c>
      <c r="N523" t="inlineStr">
        <is>
          <t>P4</t>
        </is>
      </c>
      <c r="O523" t="inlineStr">
        <is>
          <t>CVE - IP enrichment n/a</t>
        </is>
      </c>
      <c r="P523" t="n">
        <v>0</v>
      </c>
      <c r="Q523" t="n">
        <v>0</v>
      </c>
      <c r="R523" t="inlineStr">
        <is>
          <t>T1190:Exploit Public-Facing Application</t>
        </is>
      </c>
      <c r="S523" t="n">
        <v>1</v>
      </c>
      <c r="T523" t="inlineStr">
        <is>
          <t>LOW (40%)</t>
        </is>
      </c>
      <c r="U523" t="inlineStr">
        <is>
          <t>UNLIKELY</t>
        </is>
      </c>
      <c r="V523" t="inlineStr">
        <is>
          <t>CHECK_VENDOR</t>
        </is>
      </c>
      <c r="W523" t="inlineStr">
        <is>
          <t>https://nvd.nist.gov/vuln/detail/CVE-2026-25399</t>
        </is>
      </c>
      <c r="X523" t="inlineStr">
        <is>
          <t>NONE</t>
        </is>
      </c>
      <c r="Y523" t="n">
        <v>0</v>
      </c>
      <c r="Z523" t="inlineStr"/>
      <c r="AA523" t="inlineStr">
        <is>
          <t>https://nvd.nist.gov/vuln/detail/CVE-2026-25399</t>
        </is>
      </c>
    </row>
    <row r="524">
      <c r="A524" t="inlineStr">
        <is>
          <t>CVE</t>
        </is>
      </c>
      <c r="B524" t="inlineStr">
        <is>
          <t>CVE-2026-25402</t>
        </is>
      </c>
      <c r="C524" t="inlineStr">
        <is>
          <t>Missing Authorization vulnerability in echoplugins Knowledge Base for Documentation, FAQs with AI Assistance echo-knowledge-base allows Exploiting Incorrectly Configured Access Control Security Levels.This issue affects Knowledge Base for Documentation, FAQs with AI Assistance: from n/a through &lt;= 16.011.0.</t>
        </is>
      </c>
      <c r="D524" t="n">
        <v>4.3</v>
      </c>
      <c r="E524" t="inlineStr">
        <is>
          <t>MEDIUM</t>
        </is>
      </c>
      <c r="F524" t="n">
        <v>2</v>
      </c>
      <c r="G524" t="n">
        <v>2</v>
      </c>
      <c r="H524" t="inlineStr">
        <is>
          <t>MEDIUM</t>
        </is>
      </c>
      <c r="I524" t="n">
        <v>8.300000000000001</v>
      </c>
      <c r="J524" t="inlineStr">
        <is>
          <t>NO</t>
        </is>
      </c>
      <c r="K524" t="inlineStr">
        <is>
          <t>2026-02-23 23:48</t>
        </is>
      </c>
      <c r="L524" t="inlineStr">
        <is>
          <t>CHECK_VENDOR</t>
        </is>
      </c>
      <c r="M524" t="inlineStr">
        <is>
          <t>See CVE details</t>
        </is>
      </c>
      <c r="N524" t="inlineStr">
        <is>
          <t>P4</t>
        </is>
      </c>
      <c r="O524" t="inlineStr">
        <is>
          <t>CVE - IP enrichment n/a</t>
        </is>
      </c>
      <c r="P524" t="n">
        <v>0</v>
      </c>
      <c r="Q524" t="n">
        <v>0</v>
      </c>
      <c r="R524" t="inlineStr">
        <is>
          <t>T1190:Exploit Public-Facing Application</t>
        </is>
      </c>
      <c r="S524" t="n">
        <v>1</v>
      </c>
      <c r="T524" t="inlineStr">
        <is>
          <t>LOW (40%)</t>
        </is>
      </c>
      <c r="U524" t="inlineStr">
        <is>
          <t>UNLIKELY</t>
        </is>
      </c>
      <c r="V524" t="inlineStr">
        <is>
          <t>CHECK_VENDOR</t>
        </is>
      </c>
      <c r="W524" t="inlineStr">
        <is>
          <t>https://nvd.nist.gov/vuln/detail/CVE-2026-25402</t>
        </is>
      </c>
      <c r="X524" t="inlineStr">
        <is>
          <t>NONE</t>
        </is>
      </c>
      <c r="Y524" t="n">
        <v>0</v>
      </c>
      <c r="Z524" t="inlineStr"/>
      <c r="AA524" t="inlineStr">
        <is>
          <t>https://nvd.nist.gov/vuln/detail/CVE-2026-25402</t>
        </is>
      </c>
    </row>
    <row r="525">
      <c r="A525" t="inlineStr">
        <is>
          <t>CVE</t>
        </is>
      </c>
      <c r="B525" t="inlineStr">
        <is>
          <t>CVE-2026-25404</t>
        </is>
      </c>
      <c r="C525" t="inlineStr">
        <is>
          <t>Missing Authorization vulnerability in Automattic WP Job Manager wp-job-manager allows Exploiting Incorrectly Configured Access Control Security Levels.This issue affects WP Job Manager: from n/a through &lt;= 2.4.0.</t>
        </is>
      </c>
      <c r="D525" t="n">
        <v>5</v>
      </c>
      <c r="E525" t="inlineStr">
        <is>
          <t>MEDIUM</t>
        </is>
      </c>
      <c r="F525" t="n">
        <v>2</v>
      </c>
      <c r="G525" t="n">
        <v>2</v>
      </c>
      <c r="H525" t="inlineStr">
        <is>
          <t>MEDIUM</t>
        </is>
      </c>
      <c r="I525" t="n">
        <v>9</v>
      </c>
      <c r="J525" t="inlineStr">
        <is>
          <t>NO</t>
        </is>
      </c>
      <c r="K525" t="inlineStr">
        <is>
          <t>2026-02-23 23:48</t>
        </is>
      </c>
      <c r="L525" t="inlineStr">
        <is>
          <t>CHECK_VENDOR</t>
        </is>
      </c>
      <c r="M525" t="inlineStr">
        <is>
          <t>See CVE details</t>
        </is>
      </c>
      <c r="N525" t="inlineStr">
        <is>
          <t>P4</t>
        </is>
      </c>
      <c r="O525" t="inlineStr">
        <is>
          <t>CVE - IP enrichment n/a</t>
        </is>
      </c>
      <c r="P525" t="n">
        <v>0</v>
      </c>
      <c r="Q525" t="n">
        <v>0</v>
      </c>
      <c r="R525" t="inlineStr">
        <is>
          <t>T1190:Exploit Public-Facing Application</t>
        </is>
      </c>
      <c r="S525" t="n">
        <v>1</v>
      </c>
      <c r="T525" t="inlineStr">
        <is>
          <t>LOW (40%)</t>
        </is>
      </c>
      <c r="U525" t="inlineStr">
        <is>
          <t>UNLIKELY</t>
        </is>
      </c>
      <c r="V525" t="inlineStr">
        <is>
          <t>CHECK_VENDOR</t>
        </is>
      </c>
      <c r="W525" t="inlineStr">
        <is>
          <t>https://nvd.nist.gov/vuln/detail/CVE-2026-25404</t>
        </is>
      </c>
      <c r="X525" t="inlineStr">
        <is>
          <t>NONE</t>
        </is>
      </c>
      <c r="Y525" t="n">
        <v>0</v>
      </c>
      <c r="Z525" t="inlineStr"/>
      <c r="AA525" t="inlineStr">
        <is>
          <t>https://nvd.nist.gov/vuln/detail/CVE-2026-25404</t>
        </is>
      </c>
    </row>
    <row r="526">
      <c r="A526" t="inlineStr">
        <is>
          <t>CVE</t>
        </is>
      </c>
      <c r="B526" t="inlineStr">
        <is>
          <t>CVE-2026-25407</t>
        </is>
      </c>
      <c r="C526" t="inlineStr">
        <is>
          <t>Missing Authorization vulnerability in cookiebot Cookiebot cookiebot allows Exploiting Incorrectly Configured Access Control Security Levels.This issue affects Cookiebot: from n/a through &lt;= 4.6.4.</t>
        </is>
      </c>
      <c r="D526" t="n">
        <v>4.3</v>
      </c>
      <c r="E526" t="inlineStr">
        <is>
          <t>MEDIUM</t>
        </is>
      </c>
      <c r="F526" t="n">
        <v>2</v>
      </c>
      <c r="G526" t="n">
        <v>2</v>
      </c>
      <c r="H526" t="inlineStr">
        <is>
          <t>MEDIUM</t>
        </is>
      </c>
      <c r="I526" t="n">
        <v>8.300000000000001</v>
      </c>
      <c r="J526" t="inlineStr">
        <is>
          <t>NO</t>
        </is>
      </c>
      <c r="K526" t="inlineStr">
        <is>
          <t>2026-02-23 23:48</t>
        </is>
      </c>
      <c r="L526" t="inlineStr">
        <is>
          <t>CHECK_VENDOR</t>
        </is>
      </c>
      <c r="M526" t="inlineStr">
        <is>
          <t>See CVE details</t>
        </is>
      </c>
      <c r="N526" t="inlineStr">
        <is>
          <t>P4</t>
        </is>
      </c>
      <c r="O526" t="inlineStr">
        <is>
          <t>CVE - IP enrichment n/a</t>
        </is>
      </c>
      <c r="P526" t="n">
        <v>0</v>
      </c>
      <c r="Q526" t="n">
        <v>0</v>
      </c>
      <c r="R526" t="inlineStr">
        <is>
          <t>T1190:Exploit Public-Facing Application</t>
        </is>
      </c>
      <c r="S526" t="n">
        <v>1</v>
      </c>
      <c r="T526" t="inlineStr">
        <is>
          <t>LOW (40%)</t>
        </is>
      </c>
      <c r="U526" t="inlineStr">
        <is>
          <t>UNLIKELY</t>
        </is>
      </c>
      <c r="V526" t="inlineStr">
        <is>
          <t>CHECK_VENDOR</t>
        </is>
      </c>
      <c r="W526" t="inlineStr">
        <is>
          <t>https://nvd.nist.gov/vuln/detail/CVE-2026-25407</t>
        </is>
      </c>
      <c r="X526" t="inlineStr">
        <is>
          <t>NONE</t>
        </is>
      </c>
      <c r="Y526" t="n">
        <v>0</v>
      </c>
      <c r="Z526" t="inlineStr"/>
      <c r="AA526" t="inlineStr">
        <is>
          <t>https://nvd.nist.gov/vuln/detail/CVE-2026-25407</t>
        </is>
      </c>
    </row>
    <row r="527">
      <c r="A527" t="inlineStr">
        <is>
          <t>CVE</t>
        </is>
      </c>
      <c r="B527" t="inlineStr">
        <is>
          <t>CVE-2026-25408</t>
        </is>
      </c>
      <c r="C527" t="inlineStr">
        <is>
          <t>Missing Authorization vulnerability in PluginRx Broken Link Notifier broken-link-notifier allows Exploiting Incorrectly Configured Access Control Security Levels.This issue affects Broken Link Notifier: from n/a through &lt;= 1.3.5.</t>
        </is>
      </c>
      <c r="D527" t="n">
        <v>5.3</v>
      </c>
      <c r="E527" t="inlineStr">
        <is>
          <t>MEDIUM</t>
        </is>
      </c>
      <c r="F527" t="n">
        <v>2</v>
      </c>
      <c r="G527" t="n">
        <v>2</v>
      </c>
      <c r="H527" t="inlineStr">
        <is>
          <t>MEDIUM</t>
        </is>
      </c>
      <c r="I527" t="n">
        <v>9.300000000000001</v>
      </c>
      <c r="J527" t="inlineStr">
        <is>
          <t>NO</t>
        </is>
      </c>
      <c r="K527" t="inlineStr">
        <is>
          <t>2026-02-23 23:48</t>
        </is>
      </c>
      <c r="L527" t="inlineStr">
        <is>
          <t>CHECK_VENDOR</t>
        </is>
      </c>
      <c r="M527" t="inlineStr">
        <is>
          <t>See CVE details</t>
        </is>
      </c>
      <c r="N527" t="inlineStr">
        <is>
          <t>P4</t>
        </is>
      </c>
      <c r="O527" t="inlineStr">
        <is>
          <t>CVE - IP enrichment n/a</t>
        </is>
      </c>
      <c r="P527" t="n">
        <v>0.0003</v>
      </c>
      <c r="Q527" t="n">
        <v>0.0775</v>
      </c>
      <c r="R527" t="inlineStr">
        <is>
          <t>T1190:Exploit Public-Facing Application</t>
        </is>
      </c>
      <c r="S527" t="n">
        <v>1</v>
      </c>
      <c r="T527" t="inlineStr">
        <is>
          <t>LOW (40%)</t>
        </is>
      </c>
      <c r="U527" t="inlineStr">
        <is>
          <t>UNLIKELY</t>
        </is>
      </c>
      <c r="V527" t="inlineStr">
        <is>
          <t>CHECK_VENDOR</t>
        </is>
      </c>
      <c r="W527" t="inlineStr">
        <is>
          <t>https://nvd.nist.gov/vuln/detail/CVE-2026-25408</t>
        </is>
      </c>
      <c r="X527" t="inlineStr">
        <is>
          <t>NONE</t>
        </is>
      </c>
      <c r="Y527" t="n">
        <v>0</v>
      </c>
      <c r="Z527" t="inlineStr"/>
      <c r="AA527" t="inlineStr">
        <is>
          <t>https://nvd.nist.gov/vuln/detail/CVE-2026-25408</t>
        </is>
      </c>
    </row>
    <row r="528">
      <c r="A528" t="inlineStr">
        <is>
          <t>CVE</t>
        </is>
      </c>
      <c r="B528" t="inlineStr">
        <is>
          <t>CVE-2026-25409</t>
        </is>
      </c>
      <c r="C528" t="inlineStr">
        <is>
          <t>Missing Authorization vulnerability in crgeary JAMstack Deployments wp-jamstack-deployments allows Exploiting Incorrectly Configured Access Control Security Levels.This issue affects JAMstack Deployments: from n/a through &lt;= 1.1.1.</t>
        </is>
      </c>
      <c r="D528" t="n">
        <v>4.3</v>
      </c>
      <c r="E528" t="inlineStr">
        <is>
          <t>MEDIUM</t>
        </is>
      </c>
      <c r="F528" t="n">
        <v>2</v>
      </c>
      <c r="G528" t="n">
        <v>2</v>
      </c>
      <c r="H528" t="inlineStr">
        <is>
          <t>MEDIUM</t>
        </is>
      </c>
      <c r="I528" t="n">
        <v>8.300000000000001</v>
      </c>
      <c r="J528" t="inlineStr">
        <is>
          <t>NO</t>
        </is>
      </c>
      <c r="K528" t="inlineStr">
        <is>
          <t>2026-02-23 23:48</t>
        </is>
      </c>
      <c r="L528" t="inlineStr">
        <is>
          <t>CHECK_VENDOR</t>
        </is>
      </c>
      <c r="M528" t="inlineStr">
        <is>
          <t>See CVE details</t>
        </is>
      </c>
      <c r="N528" t="inlineStr">
        <is>
          <t>P4</t>
        </is>
      </c>
      <c r="O528" t="inlineStr">
        <is>
          <t>CVE - IP enrichment n/a</t>
        </is>
      </c>
      <c r="P528" t="n">
        <v>0</v>
      </c>
      <c r="Q528" t="n">
        <v>0</v>
      </c>
      <c r="R528" t="inlineStr">
        <is>
          <t>T1190:Exploit Public-Facing Application</t>
        </is>
      </c>
      <c r="S528" t="n">
        <v>1</v>
      </c>
      <c r="T528" t="inlineStr">
        <is>
          <t>LOW (40%)</t>
        </is>
      </c>
      <c r="U528" t="inlineStr">
        <is>
          <t>UNLIKELY</t>
        </is>
      </c>
      <c r="V528" t="inlineStr">
        <is>
          <t>CHECK_VENDOR</t>
        </is>
      </c>
      <c r="W528" t="inlineStr">
        <is>
          <t>https://nvd.nist.gov/vuln/detail/CVE-2026-25409</t>
        </is>
      </c>
      <c r="X528" t="inlineStr">
        <is>
          <t>NONE</t>
        </is>
      </c>
      <c r="Y528" t="n">
        <v>0</v>
      </c>
      <c r="Z528" t="inlineStr"/>
      <c r="AA528" t="inlineStr">
        <is>
          <t>https://nvd.nist.gov/vuln/detail/CVE-2026-25409</t>
        </is>
      </c>
    </row>
    <row r="529">
      <c r="A529" t="inlineStr">
        <is>
          <t>CVE</t>
        </is>
      </c>
      <c r="B529" t="inlineStr">
        <is>
          <t>CVE-2026-25410</t>
        </is>
      </c>
      <c r="C529" t="inlineStr">
        <is>
          <t>Missing Authorization vulnerability in tstephenson WP-CORS wp-cors allows Exploiting Incorrectly Configured Access Control Security Levels.This issue affects WP-CORS: from n/a through &lt;= 0.2.2.</t>
        </is>
      </c>
      <c r="D529" t="n">
        <v>4.3</v>
      </c>
      <c r="E529" t="inlineStr">
        <is>
          <t>MEDIUM</t>
        </is>
      </c>
      <c r="F529" t="n">
        <v>2</v>
      </c>
      <c r="G529" t="n">
        <v>2</v>
      </c>
      <c r="H529" t="inlineStr">
        <is>
          <t>MEDIUM</t>
        </is>
      </c>
      <c r="I529" t="n">
        <v>8.300000000000001</v>
      </c>
      <c r="J529" t="inlineStr">
        <is>
          <t>NO</t>
        </is>
      </c>
      <c r="K529" t="inlineStr">
        <is>
          <t>2026-02-23 23:48</t>
        </is>
      </c>
      <c r="L529" t="inlineStr">
        <is>
          <t>CHECK_VENDOR</t>
        </is>
      </c>
      <c r="M529" t="inlineStr">
        <is>
          <t>See CVE details</t>
        </is>
      </c>
      <c r="N529" t="inlineStr">
        <is>
          <t>P4</t>
        </is>
      </c>
      <c r="O529" t="inlineStr">
        <is>
          <t>CVE - IP enrichment n/a</t>
        </is>
      </c>
      <c r="P529" t="n">
        <v>0</v>
      </c>
      <c r="Q529" t="n">
        <v>0</v>
      </c>
      <c r="R529" t="inlineStr">
        <is>
          <t>T1190:Exploit Public-Facing Application</t>
        </is>
      </c>
      <c r="S529" t="n">
        <v>1</v>
      </c>
      <c r="T529" t="inlineStr">
        <is>
          <t>LOW (40%)</t>
        </is>
      </c>
      <c r="U529" t="inlineStr">
        <is>
          <t>UNLIKELY</t>
        </is>
      </c>
      <c r="V529" t="inlineStr">
        <is>
          <t>CHECK_VENDOR</t>
        </is>
      </c>
      <c r="W529" t="inlineStr">
        <is>
          <t>https://nvd.nist.gov/vuln/detail/CVE-2026-25410</t>
        </is>
      </c>
      <c r="X529" t="inlineStr">
        <is>
          <t>NONE</t>
        </is>
      </c>
      <c r="Y529" t="n">
        <v>0</v>
      </c>
      <c r="Z529" t="inlineStr"/>
      <c r="AA529" t="inlineStr">
        <is>
          <t>https://nvd.nist.gov/vuln/detail/CVE-2026-25410</t>
        </is>
      </c>
    </row>
    <row r="530">
      <c r="A530" t="inlineStr">
        <is>
          <t>CVE</t>
        </is>
      </c>
      <c r="B530" t="inlineStr">
        <is>
          <t>CVE-2026-25411</t>
        </is>
      </c>
      <c r="C530" t="inlineStr">
        <is>
          <t>Cross-Site Request Forgery (CSRF) vulnerability in themastercut Revision Manager TMC revision-manager-tmc allows Cross Site Request Forgery.This issue affects Revision Manager TMC: from n/a through &lt;= 2.8.22.</t>
        </is>
      </c>
      <c r="D530" t="n">
        <v>4.3</v>
      </c>
      <c r="E530" t="inlineStr">
        <is>
          <t>MEDIUM</t>
        </is>
      </c>
      <c r="F530" t="n">
        <v>2</v>
      </c>
      <c r="G530" t="n">
        <v>2</v>
      </c>
      <c r="H530" t="inlineStr">
        <is>
          <t>MEDIUM</t>
        </is>
      </c>
      <c r="I530" t="n">
        <v>8.300000000000001</v>
      </c>
      <c r="J530" t="inlineStr">
        <is>
          <t>NO</t>
        </is>
      </c>
      <c r="K530" t="inlineStr">
        <is>
          <t>2026-02-23 23:48</t>
        </is>
      </c>
      <c r="L530" t="inlineStr">
        <is>
          <t>CHECK_VENDOR</t>
        </is>
      </c>
      <c r="M530" t="inlineStr">
        <is>
          <t>See CVE details</t>
        </is>
      </c>
      <c r="N530" t="inlineStr">
        <is>
          <t>P4</t>
        </is>
      </c>
      <c r="O530" t="inlineStr">
        <is>
          <t>CVE - IP enrichment n/a</t>
        </is>
      </c>
      <c r="P530" t="n">
        <v>0</v>
      </c>
      <c r="Q530" t="n">
        <v>0</v>
      </c>
      <c r="R530" t="inlineStr">
        <is>
          <t>T1185:Browser Session Hijacking</t>
        </is>
      </c>
      <c r="S530" t="n">
        <v>1</v>
      </c>
      <c r="T530" t="inlineStr">
        <is>
          <t>LOW (40%)</t>
        </is>
      </c>
      <c r="U530" t="inlineStr">
        <is>
          <t>UNLIKELY</t>
        </is>
      </c>
      <c r="V530" t="inlineStr">
        <is>
          <t>CHECK_VENDOR</t>
        </is>
      </c>
      <c r="W530" t="inlineStr">
        <is>
          <t>https://nvd.nist.gov/vuln/detail/CVE-2026-25411</t>
        </is>
      </c>
      <c r="X530" t="inlineStr">
        <is>
          <t>NONE</t>
        </is>
      </c>
      <c r="Y530" t="n">
        <v>0</v>
      </c>
      <c r="Z530" t="inlineStr"/>
      <c r="AA530" t="inlineStr">
        <is>
          <t>https://nvd.nist.gov/vuln/detail/CVE-2026-25411</t>
        </is>
      </c>
    </row>
    <row r="531">
      <c r="A531" t="inlineStr">
        <is>
          <t>CVE</t>
        </is>
      </c>
      <c r="B531" t="inlineStr">
        <is>
          <t>CVE-2026-25412</t>
        </is>
      </c>
      <c r="C531" t="inlineStr">
        <is>
          <t>Missing Authorization vulnerability in mdempfle Advanced iFrame advanced-iframe allows Exploiting Incorrectly Configured Access Control Security Levels.This issue affects Advanced iFrame: from n/a through &lt;= 2025.10.</t>
        </is>
      </c>
      <c r="D531" t="n">
        <v>5.3</v>
      </c>
      <c r="E531" t="inlineStr">
        <is>
          <t>MEDIUM</t>
        </is>
      </c>
      <c r="F531" t="n">
        <v>2</v>
      </c>
      <c r="G531" t="n">
        <v>2</v>
      </c>
      <c r="H531" t="inlineStr">
        <is>
          <t>MEDIUM</t>
        </is>
      </c>
      <c r="I531" t="n">
        <v>9.300000000000001</v>
      </c>
      <c r="J531" t="inlineStr">
        <is>
          <t>NO</t>
        </is>
      </c>
      <c r="K531" t="inlineStr">
        <is>
          <t>2026-02-23 23:48</t>
        </is>
      </c>
      <c r="L531" t="inlineStr">
        <is>
          <t>CHECK_VENDOR</t>
        </is>
      </c>
      <c r="M531" t="inlineStr">
        <is>
          <t>See CVE details</t>
        </is>
      </c>
      <c r="N531" t="inlineStr">
        <is>
          <t>P4</t>
        </is>
      </c>
      <c r="O531" t="inlineStr">
        <is>
          <t>CVE - IP enrichment n/a</t>
        </is>
      </c>
      <c r="P531" t="n">
        <v>0</v>
      </c>
      <c r="Q531" t="n">
        <v>0</v>
      </c>
      <c r="R531" t="inlineStr">
        <is>
          <t>T1190:Exploit Public-Facing Application</t>
        </is>
      </c>
      <c r="S531" t="n">
        <v>1</v>
      </c>
      <c r="T531" t="inlineStr">
        <is>
          <t>LOW (40%)</t>
        </is>
      </c>
      <c r="U531" t="inlineStr">
        <is>
          <t>UNLIKELY</t>
        </is>
      </c>
      <c r="V531" t="inlineStr">
        <is>
          <t>CHECK_VENDOR</t>
        </is>
      </c>
      <c r="W531" t="inlineStr">
        <is>
          <t>https://nvd.nist.gov/vuln/detail/CVE-2026-25412</t>
        </is>
      </c>
      <c r="X531" t="inlineStr">
        <is>
          <t>NONE</t>
        </is>
      </c>
      <c r="Y531" t="n">
        <v>0</v>
      </c>
      <c r="Z531" t="inlineStr"/>
      <c r="AA531" t="inlineStr">
        <is>
          <t>https://nvd.nist.gov/vuln/detail/CVE-2026-25412</t>
        </is>
      </c>
    </row>
    <row r="532">
      <c r="A532" t="inlineStr">
        <is>
          <t>CVE</t>
        </is>
      </c>
      <c r="B532" t="inlineStr">
        <is>
          <t>CVE-2026-25415</t>
        </is>
      </c>
      <c r="C532" t="inlineStr">
        <is>
          <t>Missing Authorization vulnerability in iqonicdesign WPBookit Pro wpbookit-pro allows Exploiting Incorrectly Configured Access Control Security Levels.This issue affects WPBookit Pro: from n/a through &lt;= 1.6.18.</t>
        </is>
      </c>
      <c r="D532" t="n">
        <v>5.3</v>
      </c>
      <c r="E532" t="inlineStr">
        <is>
          <t>MEDIUM</t>
        </is>
      </c>
      <c r="F532" t="n">
        <v>2</v>
      </c>
      <c r="G532" t="n">
        <v>2</v>
      </c>
      <c r="H532" t="inlineStr">
        <is>
          <t>MEDIUM</t>
        </is>
      </c>
      <c r="I532" t="n">
        <v>9.300000000000001</v>
      </c>
      <c r="J532" t="inlineStr">
        <is>
          <t>NO</t>
        </is>
      </c>
      <c r="K532" t="inlineStr">
        <is>
          <t>2026-02-23 23:48</t>
        </is>
      </c>
      <c r="L532" t="inlineStr">
        <is>
          <t>CHECK_VENDOR</t>
        </is>
      </c>
      <c r="M532" t="inlineStr">
        <is>
          <t>See CVE details</t>
        </is>
      </c>
      <c r="N532" t="inlineStr">
        <is>
          <t>P4</t>
        </is>
      </c>
      <c r="O532" t="inlineStr">
        <is>
          <t>CVE - IP enrichment n/a</t>
        </is>
      </c>
      <c r="P532" t="n">
        <v>0.0003</v>
      </c>
      <c r="Q532" t="n">
        <v>0.0775</v>
      </c>
      <c r="R532" t="inlineStr">
        <is>
          <t>T1190:Exploit Public-Facing Application</t>
        </is>
      </c>
      <c r="S532" t="n">
        <v>1</v>
      </c>
      <c r="T532" t="inlineStr">
        <is>
          <t>LOW (40%)</t>
        </is>
      </c>
      <c r="U532" t="inlineStr">
        <is>
          <t>UNLIKELY</t>
        </is>
      </c>
      <c r="V532" t="inlineStr">
        <is>
          <t>CHECK_VENDOR</t>
        </is>
      </c>
      <c r="W532" t="inlineStr">
        <is>
          <t>https://nvd.nist.gov/vuln/detail/CVE-2026-25415</t>
        </is>
      </c>
      <c r="X532" t="inlineStr">
        <is>
          <t>NONE</t>
        </is>
      </c>
      <c r="Y532" t="n">
        <v>0</v>
      </c>
      <c r="Z532" t="inlineStr"/>
      <c r="AA532" t="inlineStr">
        <is>
          <t>https://nvd.nist.gov/vuln/detail/CVE-2026-25415</t>
        </is>
      </c>
    </row>
    <row r="533">
      <c r="A533" t="inlineStr">
        <is>
          <t>CVE</t>
        </is>
      </c>
      <c r="B533" t="inlineStr">
        <is>
          <t>CVE-2026-25416</t>
        </is>
      </c>
      <c r="C533" t="inlineStr">
        <is>
          <t>Missing Authorization vulnerability in blazethemes News Kit Elementor Addons news-kit-elementor-addons allows Exploiting Incorrectly Configured Access Control Security Levels.This issue affects News Kit Elementor Addons: from n/a through &lt;= 1.4.2.</t>
        </is>
      </c>
      <c r="D533" t="n">
        <v>4.3</v>
      </c>
      <c r="E533" t="inlineStr">
        <is>
          <t>MEDIUM</t>
        </is>
      </c>
      <c r="F533" t="n">
        <v>2</v>
      </c>
      <c r="G533" t="n">
        <v>2</v>
      </c>
      <c r="H533" t="inlineStr">
        <is>
          <t>MEDIUM</t>
        </is>
      </c>
      <c r="I533" t="n">
        <v>8.300000000000001</v>
      </c>
      <c r="J533" t="inlineStr">
        <is>
          <t>NO</t>
        </is>
      </c>
      <c r="K533" t="inlineStr">
        <is>
          <t>2026-02-23 23:48</t>
        </is>
      </c>
      <c r="L533" t="inlineStr">
        <is>
          <t>CHECK_VENDOR</t>
        </is>
      </c>
      <c r="M533" t="inlineStr">
        <is>
          <t>See CVE details</t>
        </is>
      </c>
      <c r="N533" t="inlineStr">
        <is>
          <t>P4</t>
        </is>
      </c>
      <c r="O533" t="inlineStr">
        <is>
          <t>CVE - IP enrichment n/a</t>
        </is>
      </c>
      <c r="P533" t="n">
        <v>0</v>
      </c>
      <c r="Q533" t="n">
        <v>0</v>
      </c>
      <c r="R533" t="inlineStr">
        <is>
          <t>T1190:Exploit Public-Facing Application</t>
        </is>
      </c>
      <c r="S533" t="n">
        <v>1</v>
      </c>
      <c r="T533" t="inlineStr">
        <is>
          <t>LOW (40%)</t>
        </is>
      </c>
      <c r="U533" t="inlineStr">
        <is>
          <t>UNLIKELY</t>
        </is>
      </c>
      <c r="V533" t="inlineStr">
        <is>
          <t>CHECK_VENDOR</t>
        </is>
      </c>
      <c r="W533" t="inlineStr">
        <is>
          <t>https://nvd.nist.gov/vuln/detail/CVE-2026-25416</t>
        </is>
      </c>
      <c r="X533" t="inlineStr">
        <is>
          <t>NONE</t>
        </is>
      </c>
      <c r="Y533" t="n">
        <v>0</v>
      </c>
      <c r="Z533" t="inlineStr"/>
      <c r="AA533" t="inlineStr">
        <is>
          <t>https://nvd.nist.gov/vuln/detail/CVE-2026-25416</t>
        </is>
      </c>
    </row>
    <row r="534">
      <c r="A534" t="inlineStr">
        <is>
          <t>CVE</t>
        </is>
      </c>
      <c r="B534" t="inlineStr">
        <is>
          <t>CVE-2026-25418</t>
        </is>
      </c>
      <c r="C534" t="inlineStr">
        <is>
          <t>Improper Neutralization of Special Elements used in an SQL Command ('SQL Injection') vulnerability in bitpressadmin Bit Form bit-form allows SQL Injection.This issue affects Bit Form: from n/a through &lt;= 2.21.10.</t>
        </is>
      </c>
      <c r="D534" t="n">
        <v>7.6</v>
      </c>
      <c r="E534" t="inlineStr">
        <is>
          <t>HIGH</t>
        </is>
      </c>
      <c r="F534" t="n">
        <v>2</v>
      </c>
      <c r="G534" t="n">
        <v>3</v>
      </c>
      <c r="H534" t="inlineStr">
        <is>
          <t>HIGH</t>
        </is>
      </c>
      <c r="I534" t="n">
        <v>13.6</v>
      </c>
      <c r="J534" t="inlineStr">
        <is>
          <t>NO</t>
        </is>
      </c>
      <c r="K534" t="inlineStr">
        <is>
          <t>2026-02-23 23:48</t>
        </is>
      </c>
      <c r="L534" t="inlineStr">
        <is>
          <t>CHECK_VENDOR</t>
        </is>
      </c>
      <c r="M534" t="inlineStr">
        <is>
          <t>See CVE details</t>
        </is>
      </c>
      <c r="N534" t="inlineStr">
        <is>
          <t>P3</t>
        </is>
      </c>
      <c r="O534" t="inlineStr">
        <is>
          <t>CVE - IP enrichment n/a</t>
        </is>
      </c>
      <c r="P534" t="n">
        <v>0</v>
      </c>
      <c r="Q534" t="n">
        <v>0</v>
      </c>
      <c r="R534" t="inlineStr">
        <is>
          <t>T1190:Exploit Public-Facing Application</t>
        </is>
      </c>
      <c r="S534" t="n">
        <v>1</v>
      </c>
      <c r="T534" t="inlineStr">
        <is>
          <t>LOW (40%)</t>
        </is>
      </c>
      <c r="U534" t="inlineStr">
        <is>
          <t>UNLIKELY</t>
        </is>
      </c>
      <c r="V534" t="inlineStr">
        <is>
          <t>CHECK_VENDOR</t>
        </is>
      </c>
      <c r="W534" t="inlineStr">
        <is>
          <t>https://nvd.nist.gov/vuln/detail/CVE-2026-25418</t>
        </is>
      </c>
      <c r="X534" t="inlineStr">
        <is>
          <t>NONE</t>
        </is>
      </c>
      <c r="Y534" t="n">
        <v>0</v>
      </c>
      <c r="Z534" t="inlineStr"/>
      <c r="AA534" t="inlineStr">
        <is>
          <t>https://nvd.nist.gov/vuln/detail/CVE-2026-25418</t>
        </is>
      </c>
    </row>
    <row r="535">
      <c r="A535" t="inlineStr">
        <is>
          <t>CVE</t>
        </is>
      </c>
      <c r="B535" t="inlineStr">
        <is>
          <t>CVE-2026-25419</t>
        </is>
      </c>
      <c r="C535" t="inlineStr">
        <is>
          <t>Missing Authorization vulnerability in flycart UpsellWP checkout-upsell-and-order-bumps allows Exploiting Incorrectly Configured Access Control Security Levels.This issue affects UpsellWP: from n/a through &lt;= 2.2.3.</t>
        </is>
      </c>
      <c r="D535" t="n">
        <v>4.3</v>
      </c>
      <c r="E535" t="inlineStr">
        <is>
          <t>MEDIUM</t>
        </is>
      </c>
      <c r="F535" t="n">
        <v>2</v>
      </c>
      <c r="G535" t="n">
        <v>2</v>
      </c>
      <c r="H535" t="inlineStr">
        <is>
          <t>MEDIUM</t>
        </is>
      </c>
      <c r="I535" t="n">
        <v>8.300000000000001</v>
      </c>
      <c r="J535" t="inlineStr">
        <is>
          <t>NO</t>
        </is>
      </c>
      <c r="K535" t="inlineStr">
        <is>
          <t>2026-02-23 23:48</t>
        </is>
      </c>
      <c r="L535" t="inlineStr">
        <is>
          <t>CHECK_VENDOR</t>
        </is>
      </c>
      <c r="M535" t="inlineStr">
        <is>
          <t>See CVE details</t>
        </is>
      </c>
      <c r="N535" t="inlineStr">
        <is>
          <t>P4</t>
        </is>
      </c>
      <c r="O535" t="inlineStr">
        <is>
          <t>CVE - IP enrichment n/a</t>
        </is>
      </c>
      <c r="P535" t="n">
        <v>0</v>
      </c>
      <c r="Q535" t="n">
        <v>0</v>
      </c>
      <c r="R535" t="inlineStr">
        <is>
          <t>T1190:Exploit Public-Facing Application</t>
        </is>
      </c>
      <c r="S535" t="n">
        <v>1</v>
      </c>
      <c r="T535" t="inlineStr">
        <is>
          <t>LOW (40%)</t>
        </is>
      </c>
      <c r="U535" t="inlineStr">
        <is>
          <t>UNLIKELY</t>
        </is>
      </c>
      <c r="V535" t="inlineStr">
        <is>
          <t>CHECK_VENDOR</t>
        </is>
      </c>
      <c r="W535" t="inlineStr">
        <is>
          <t>https://nvd.nist.gov/vuln/detail/CVE-2026-25419</t>
        </is>
      </c>
      <c r="X535" t="inlineStr">
        <is>
          <t>NONE</t>
        </is>
      </c>
      <c r="Y535" t="n">
        <v>0</v>
      </c>
      <c r="Z535" t="inlineStr"/>
      <c r="AA535" t="inlineStr">
        <is>
          <t>https://nvd.nist.gov/vuln/detail/CVE-2026-25419</t>
        </is>
      </c>
    </row>
    <row r="536">
      <c r="A536" t="inlineStr">
        <is>
          <t>CVE</t>
        </is>
      </c>
      <c r="B536" t="inlineStr">
        <is>
          <t>CVE-2026-25420</t>
        </is>
      </c>
      <c r="C536" t="inlineStr">
        <is>
          <t>Missing Authorization vulnerability in MailerLite MailerLite official-mailerlite-sign-up-forms allows Exploiting Incorrectly Configured Access Control Security Levels.This issue affects MailerLite: from n/a through &lt;= 1.7.18.</t>
        </is>
      </c>
      <c r="D536" t="n">
        <v>4.3</v>
      </c>
      <c r="E536" t="inlineStr">
        <is>
          <t>MEDIUM</t>
        </is>
      </c>
      <c r="F536" t="n">
        <v>2</v>
      </c>
      <c r="G536" t="n">
        <v>2</v>
      </c>
      <c r="H536" t="inlineStr">
        <is>
          <t>MEDIUM</t>
        </is>
      </c>
      <c r="I536" t="n">
        <v>8.300000000000001</v>
      </c>
      <c r="J536" t="inlineStr">
        <is>
          <t>NO</t>
        </is>
      </c>
      <c r="K536" t="inlineStr">
        <is>
          <t>2026-02-23 23:48</t>
        </is>
      </c>
      <c r="L536" t="inlineStr">
        <is>
          <t>CHECK_VENDOR</t>
        </is>
      </c>
      <c r="M536" t="inlineStr">
        <is>
          <t>See CVE details</t>
        </is>
      </c>
      <c r="N536" t="inlineStr">
        <is>
          <t>P4</t>
        </is>
      </c>
      <c r="O536" t="inlineStr">
        <is>
          <t>CVE - IP enrichment n/a</t>
        </is>
      </c>
      <c r="P536" t="n">
        <v>0.0004</v>
      </c>
      <c r="Q536" t="n">
        <v>0.1048</v>
      </c>
      <c r="R536" t="inlineStr">
        <is>
          <t>T1190:Exploit Public-Facing Application</t>
        </is>
      </c>
      <c r="S536" t="n">
        <v>1</v>
      </c>
      <c r="T536" t="inlineStr">
        <is>
          <t>LOW (40%)</t>
        </is>
      </c>
      <c r="U536" t="inlineStr">
        <is>
          <t>UNLIKELY</t>
        </is>
      </c>
      <c r="V536" t="inlineStr">
        <is>
          <t>CHECK_VENDOR</t>
        </is>
      </c>
      <c r="W536" t="inlineStr">
        <is>
          <t>https://nvd.nist.gov/vuln/detail/CVE-2026-25420</t>
        </is>
      </c>
      <c r="X536" t="inlineStr">
        <is>
          <t>NONE</t>
        </is>
      </c>
      <c r="Y536" t="n">
        <v>0</v>
      </c>
      <c r="Z536" t="inlineStr"/>
      <c r="AA536" t="inlineStr">
        <is>
          <t>https://nvd.nist.gov/vuln/detail/CVE-2026-25420</t>
        </is>
      </c>
    </row>
    <row r="537">
      <c r="A537" t="inlineStr">
        <is>
          <t>CVE</t>
        </is>
      </c>
      <c r="B537" t="inlineStr">
        <is>
          <t>CVE-2026-25422</t>
        </is>
      </c>
      <c r="C537" t="inlineStr">
        <is>
          <t>Cross-Site Request Forgery (CSRF) vulnerability in Themes4WP Popularis Extra popularis-extra allows Cross Site Request Forgery.This issue affects Popularis Extra: from n/a through &lt;= 1.2.10.</t>
        </is>
      </c>
      <c r="D537" t="n">
        <v>5</v>
      </c>
      <c r="E537" t="inlineStr">
        <is>
          <t>MEDIUM</t>
        </is>
      </c>
      <c r="F537" t="n">
        <v>2</v>
      </c>
      <c r="G537" t="n">
        <v>2</v>
      </c>
      <c r="H537" t="inlineStr">
        <is>
          <t>MEDIUM</t>
        </is>
      </c>
      <c r="I537" t="n">
        <v>9</v>
      </c>
      <c r="J537" t="inlineStr">
        <is>
          <t>NO</t>
        </is>
      </c>
      <c r="K537" t="inlineStr">
        <is>
          <t>2026-02-23 23:48</t>
        </is>
      </c>
      <c r="L537" t="inlineStr">
        <is>
          <t>CHECK_VENDOR</t>
        </is>
      </c>
      <c r="M537" t="inlineStr">
        <is>
          <t>See CVE details</t>
        </is>
      </c>
      <c r="N537" t="inlineStr">
        <is>
          <t>P4</t>
        </is>
      </c>
      <c r="O537" t="inlineStr">
        <is>
          <t>CVE - IP enrichment n/a</t>
        </is>
      </c>
      <c r="P537" t="n">
        <v>0</v>
      </c>
      <c r="Q537" t="n">
        <v>0</v>
      </c>
      <c r="R537" t="inlineStr">
        <is>
          <t>T1185:Browser Session Hijacking</t>
        </is>
      </c>
      <c r="S537" t="n">
        <v>1</v>
      </c>
      <c r="T537" t="inlineStr">
        <is>
          <t>LOW (40%)</t>
        </is>
      </c>
      <c r="U537" t="inlineStr">
        <is>
          <t>UNLIKELY</t>
        </is>
      </c>
      <c r="V537" t="inlineStr">
        <is>
          <t>CHECK_VENDOR</t>
        </is>
      </c>
      <c r="W537" t="inlineStr">
        <is>
          <t>https://nvd.nist.gov/vuln/detail/CVE-2026-25422</t>
        </is>
      </c>
      <c r="X537" t="inlineStr">
        <is>
          <t>NONE</t>
        </is>
      </c>
      <c r="Y537" t="n">
        <v>0</v>
      </c>
      <c r="Z537" t="inlineStr"/>
      <c r="AA537" t="inlineStr">
        <is>
          <t>https://nvd.nist.gov/vuln/detail/CVE-2026-25422</t>
        </is>
      </c>
    </row>
    <row r="538">
      <c r="A538" t="inlineStr">
        <is>
          <t>CVE</t>
        </is>
      </c>
      <c r="B538" t="inlineStr">
        <is>
          <t>CVE-2026-25423</t>
        </is>
      </c>
      <c r="C538" t="inlineStr">
        <is>
          <t>Missing Authorization vulnerability in creativeinteractivemedia Real 3D FlipBook real3d-flipbook-lite allows Exploiting Incorrectly Configured Access Control Security Levels.This issue affects Real 3D FlipBook: from n/a through &lt;= 4.16.4.</t>
        </is>
      </c>
      <c r="D538" t="n">
        <v>3.8</v>
      </c>
      <c r="E538" t="inlineStr">
        <is>
          <t>LOW</t>
        </is>
      </c>
      <c r="F538" t="n">
        <v>2</v>
      </c>
      <c r="G538" t="n">
        <v>1</v>
      </c>
      <c r="H538" t="inlineStr">
        <is>
          <t>LOW</t>
        </is>
      </c>
      <c r="I538" t="n">
        <v>5.8</v>
      </c>
      <c r="J538" t="inlineStr">
        <is>
          <t>NO</t>
        </is>
      </c>
      <c r="K538" t="inlineStr">
        <is>
          <t>2026-02-23 23:48</t>
        </is>
      </c>
      <c r="L538" t="inlineStr">
        <is>
          <t>CHECK_VENDOR</t>
        </is>
      </c>
      <c r="M538" t="inlineStr">
        <is>
          <t>See CVE details</t>
        </is>
      </c>
      <c r="N538" t="inlineStr">
        <is>
          <t>P4</t>
        </is>
      </c>
      <c r="O538" t="inlineStr">
        <is>
          <t>CVE - IP enrichment n/a</t>
        </is>
      </c>
      <c r="P538" t="n">
        <v>0</v>
      </c>
      <c r="Q538" t="n">
        <v>0</v>
      </c>
      <c r="R538" t="inlineStr">
        <is>
          <t>T1190:Exploit Public-Facing Application</t>
        </is>
      </c>
      <c r="S538" t="n">
        <v>1</v>
      </c>
      <c r="T538" t="inlineStr">
        <is>
          <t>LOW (40%)</t>
        </is>
      </c>
      <c r="U538" t="inlineStr">
        <is>
          <t>UNLIKELY</t>
        </is>
      </c>
      <c r="V538" t="inlineStr">
        <is>
          <t>CHECK_VENDOR</t>
        </is>
      </c>
      <c r="W538" t="inlineStr">
        <is>
          <t>https://nvd.nist.gov/vuln/detail/CVE-2026-25423</t>
        </is>
      </c>
      <c r="X538" t="inlineStr">
        <is>
          <t>NONE</t>
        </is>
      </c>
      <c r="Y538" t="n">
        <v>0</v>
      </c>
      <c r="Z538" t="inlineStr"/>
      <c r="AA538" t="inlineStr">
        <is>
          <t>https://nvd.nist.gov/vuln/detail/CVE-2026-25423</t>
        </is>
      </c>
    </row>
    <row r="539">
      <c r="A539" t="inlineStr">
        <is>
          <t>CVE</t>
        </is>
      </c>
      <c r="B539" t="inlineStr">
        <is>
          <t>CVE-2026-25428</t>
        </is>
      </c>
      <c r="C539" t="inlineStr">
        <is>
          <t>Server-Side Request Forgery (SSRF) vulnerability in totalsoft TS Poll poll-wp allows Server Side Request Forgery.This issue affects TS Poll: from n/a through &lt;= 2.5.5.</t>
        </is>
      </c>
      <c r="D539" t="n">
        <v>4.4</v>
      </c>
      <c r="E539" t="inlineStr">
        <is>
          <t>MEDIUM</t>
        </is>
      </c>
      <c r="F539" t="n">
        <v>2</v>
      </c>
      <c r="G539" t="n">
        <v>2</v>
      </c>
      <c r="H539" t="inlineStr">
        <is>
          <t>MEDIUM</t>
        </is>
      </c>
      <c r="I539" t="n">
        <v>8.4</v>
      </c>
      <c r="J539" t="inlineStr">
        <is>
          <t>NO</t>
        </is>
      </c>
      <c r="K539" t="inlineStr">
        <is>
          <t>2026-02-23 23:48</t>
        </is>
      </c>
      <c r="L539" t="inlineStr">
        <is>
          <t>CHECK_VENDOR</t>
        </is>
      </c>
      <c r="M539" t="inlineStr">
        <is>
          <t>See CVE details</t>
        </is>
      </c>
      <c r="N539" t="inlineStr">
        <is>
          <t>P4</t>
        </is>
      </c>
      <c r="O539" t="inlineStr">
        <is>
          <t>CVE - IP enrichment n/a</t>
        </is>
      </c>
      <c r="P539" t="n">
        <v>0</v>
      </c>
      <c r="Q539" t="n">
        <v>0</v>
      </c>
      <c r="R539" t="inlineStr">
        <is>
          <t>T1090:Proxy</t>
        </is>
      </c>
      <c r="S539" t="n">
        <v>1</v>
      </c>
      <c r="T539" t="inlineStr">
        <is>
          <t>LOW (40%)</t>
        </is>
      </c>
      <c r="U539" t="inlineStr">
        <is>
          <t>UNLIKELY</t>
        </is>
      </c>
      <c r="V539" t="inlineStr">
        <is>
          <t>CHECK_VENDOR</t>
        </is>
      </c>
      <c r="W539" t="inlineStr">
        <is>
          <t>https://nvd.nist.gov/vuln/detail/CVE-2026-25428</t>
        </is>
      </c>
      <c r="X539" t="inlineStr">
        <is>
          <t>NONE</t>
        </is>
      </c>
      <c r="Y539" t="n">
        <v>0</v>
      </c>
      <c r="Z539" t="inlineStr"/>
      <c r="AA539" t="inlineStr">
        <is>
          <t>https://nvd.nist.gov/vuln/detail/CVE-2026-25428</t>
        </is>
      </c>
    </row>
    <row r="540">
      <c r="A540" t="inlineStr">
        <is>
          <t>CVE</t>
        </is>
      </c>
      <c r="B540" t="inlineStr">
        <is>
          <t>CVE-2026-25432</t>
        </is>
      </c>
      <c r="C540" t="inlineStr">
        <is>
          <t>Improper Neutralization of Input During Web Page Generation ('Cross-site Scripting') vulnerability in omnipressteam Omnipress omnipress allows Stored XSS.This issue affects Omnipress: from n/a through &lt;= 1.6.7.</t>
        </is>
      </c>
      <c r="D540" t="n">
        <v>6.5</v>
      </c>
      <c r="E540" t="inlineStr">
        <is>
          <t>MEDIUM</t>
        </is>
      </c>
      <c r="F540" t="n">
        <v>2</v>
      </c>
      <c r="G540" t="n">
        <v>2</v>
      </c>
      <c r="H540" t="inlineStr">
        <is>
          <t>MEDIUM</t>
        </is>
      </c>
      <c r="I540" t="n">
        <v>10.5</v>
      </c>
      <c r="J540" t="inlineStr">
        <is>
          <t>NO</t>
        </is>
      </c>
      <c r="K540" t="inlineStr">
        <is>
          <t>2026-02-23 23:48</t>
        </is>
      </c>
      <c r="L540" t="inlineStr">
        <is>
          <t>CHECK_VENDOR</t>
        </is>
      </c>
      <c r="M540" t="inlineStr">
        <is>
          <t>See CVE details</t>
        </is>
      </c>
      <c r="N540" t="inlineStr">
        <is>
          <t>P4</t>
        </is>
      </c>
      <c r="O540" t="inlineStr">
        <is>
          <t>CVE - IP enrichment n/a</t>
        </is>
      </c>
      <c r="P540" t="n">
        <v>0</v>
      </c>
      <c r="Q540" t="n">
        <v>0</v>
      </c>
      <c r="R540" t="inlineStr">
        <is>
          <t>T1189:Drive-by Compromise</t>
        </is>
      </c>
      <c r="S540" t="n">
        <v>1</v>
      </c>
      <c r="T540" t="inlineStr">
        <is>
          <t>LOW (40%)</t>
        </is>
      </c>
      <c r="U540" t="inlineStr">
        <is>
          <t>UNLIKELY</t>
        </is>
      </c>
      <c r="V540" t="inlineStr">
        <is>
          <t>CHECK_VENDOR</t>
        </is>
      </c>
      <c r="W540" t="inlineStr">
        <is>
          <t>https://nvd.nist.gov/vuln/detail/CVE-2026-25432</t>
        </is>
      </c>
      <c r="X540" t="inlineStr">
        <is>
          <t>NONE</t>
        </is>
      </c>
      <c r="Y540" t="n">
        <v>0</v>
      </c>
      <c r="Z540" t="inlineStr"/>
      <c r="AA540" t="inlineStr">
        <is>
          <t>https://nvd.nist.gov/vuln/detail/CVE-2026-25432</t>
        </is>
      </c>
    </row>
    <row r="541">
      <c r="A541" t="inlineStr">
        <is>
          <t>CVE</t>
        </is>
      </c>
      <c r="B541" t="inlineStr">
        <is>
          <t>CVE-2026-25441</t>
        </is>
      </c>
      <c r="C541" t="inlineStr">
        <is>
          <t>Missing Authorization vulnerability in LeadConnector LeadConnector leadconnector allows Exploiting Incorrectly Configured Access Control Security Levels.This issue affects LeadConnector: from n/a through &lt;= 3.0.21.</t>
        </is>
      </c>
      <c r="D541" t="n">
        <v>5.3</v>
      </c>
      <c r="E541" t="inlineStr">
        <is>
          <t>MEDIUM</t>
        </is>
      </c>
      <c r="F541" t="n">
        <v>2</v>
      </c>
      <c r="G541" t="n">
        <v>2</v>
      </c>
      <c r="H541" t="inlineStr">
        <is>
          <t>MEDIUM</t>
        </is>
      </c>
      <c r="I541" t="n">
        <v>9.300000000000001</v>
      </c>
      <c r="J541" t="inlineStr">
        <is>
          <t>NO</t>
        </is>
      </c>
      <c r="K541" t="inlineStr">
        <is>
          <t>2026-02-23 23:48</t>
        </is>
      </c>
      <c r="L541" t="inlineStr">
        <is>
          <t>CHECK_VENDOR</t>
        </is>
      </c>
      <c r="M541" t="inlineStr">
        <is>
          <t>See CVE details</t>
        </is>
      </c>
      <c r="N541" t="inlineStr">
        <is>
          <t>P4</t>
        </is>
      </c>
      <c r="O541" t="inlineStr">
        <is>
          <t>CVE - IP enrichment n/a</t>
        </is>
      </c>
      <c r="P541" t="n">
        <v>0</v>
      </c>
      <c r="Q541" t="n">
        <v>0</v>
      </c>
      <c r="R541" t="inlineStr">
        <is>
          <t>T1190:Exploit Public-Facing Application</t>
        </is>
      </c>
      <c r="S541" t="n">
        <v>1</v>
      </c>
      <c r="T541" t="inlineStr">
        <is>
          <t>LOW (40%)</t>
        </is>
      </c>
      <c r="U541" t="inlineStr">
        <is>
          <t>UNLIKELY</t>
        </is>
      </c>
      <c r="V541" t="inlineStr">
        <is>
          <t>CHECK_VENDOR</t>
        </is>
      </c>
      <c r="W541" t="inlineStr">
        <is>
          <t>https://nvd.nist.gov/vuln/detail/CVE-2026-25441</t>
        </is>
      </c>
      <c r="X541" t="inlineStr">
        <is>
          <t>NONE</t>
        </is>
      </c>
      <c r="Y541" t="n">
        <v>0</v>
      </c>
      <c r="Z541" t="inlineStr"/>
      <c r="AA541" t="inlineStr">
        <is>
          <t>https://nvd.nist.gov/vuln/detail/CVE-2026-25441</t>
        </is>
      </c>
    </row>
    <row r="542">
      <c r="A542" t="inlineStr">
        <is>
          <t>CVE</t>
        </is>
      </c>
      <c r="B542" t="inlineStr">
        <is>
          <t>CVE-2026-25451</t>
        </is>
      </c>
      <c r="C542" t="inlineStr">
        <is>
          <t>Improper Neutralization of Input During Web Page Generation ('Cross-site Scripting') vulnerability in boldthemes Bold Page Builder bold-page-builder allows Stored XSS.This issue affects Bold Page Builder: from n/a through &lt;= 5.6.4.</t>
        </is>
      </c>
      <c r="D542" t="n">
        <v>6.5</v>
      </c>
      <c r="E542" t="inlineStr">
        <is>
          <t>MEDIUM</t>
        </is>
      </c>
      <c r="F542" t="n">
        <v>2</v>
      </c>
      <c r="G542" t="n">
        <v>2</v>
      </c>
      <c r="H542" t="inlineStr">
        <is>
          <t>MEDIUM</t>
        </is>
      </c>
      <c r="I542" t="n">
        <v>10.5</v>
      </c>
      <c r="J542" t="inlineStr">
        <is>
          <t>NO</t>
        </is>
      </c>
      <c r="K542" t="inlineStr">
        <is>
          <t>2026-02-23 23:48</t>
        </is>
      </c>
      <c r="L542" t="inlineStr">
        <is>
          <t>CHECK_VENDOR</t>
        </is>
      </c>
      <c r="M542" t="inlineStr">
        <is>
          <t>See CVE details</t>
        </is>
      </c>
      <c r="N542" t="inlineStr">
        <is>
          <t>P4</t>
        </is>
      </c>
      <c r="O542" t="inlineStr">
        <is>
          <t>CVE - IP enrichment n/a</t>
        </is>
      </c>
      <c r="P542" t="n">
        <v>0</v>
      </c>
      <c r="Q542" t="n">
        <v>0</v>
      </c>
      <c r="R542" t="inlineStr">
        <is>
          <t>T1189:Drive-by Compromise</t>
        </is>
      </c>
      <c r="S542" t="n">
        <v>1</v>
      </c>
      <c r="T542" t="inlineStr">
        <is>
          <t>LOW (40%)</t>
        </is>
      </c>
      <c r="U542" t="inlineStr">
        <is>
          <t>UNLIKELY</t>
        </is>
      </c>
      <c r="V542" t="inlineStr">
        <is>
          <t>CHECK_VENDOR</t>
        </is>
      </c>
      <c r="W542" t="inlineStr">
        <is>
          <t>https://nvd.nist.gov/vuln/detail/CVE-2026-25451</t>
        </is>
      </c>
      <c r="X542" t="inlineStr">
        <is>
          <t>NONE</t>
        </is>
      </c>
      <c r="Y542" t="n">
        <v>0</v>
      </c>
      <c r="Z542" t="inlineStr"/>
      <c r="AA542" t="inlineStr">
        <is>
          <t>https://nvd.nist.gov/vuln/detail/CVE-2026-25451</t>
        </is>
      </c>
    </row>
    <row r="543">
      <c r="A543" t="inlineStr">
        <is>
          <t>CVE</t>
        </is>
      </c>
      <c r="B543" t="inlineStr">
        <is>
          <t>CVE-2026-25453</t>
        </is>
      </c>
      <c r="C543" t="inlineStr">
        <is>
          <t>Improper Neutralization of Input During Web Page Generation ('Cross-site Scripting') vulnerability in mdempfle Advanced iFrame advanced-iframe allows DOM-Based XSS.This issue affects Advanced iFrame: from n/a through &lt;= 2025.10.</t>
        </is>
      </c>
      <c r="D543" t="n">
        <v>6.5</v>
      </c>
      <c r="E543" t="inlineStr">
        <is>
          <t>MEDIUM</t>
        </is>
      </c>
      <c r="F543" t="n">
        <v>2</v>
      </c>
      <c r="G543" t="n">
        <v>2</v>
      </c>
      <c r="H543" t="inlineStr">
        <is>
          <t>MEDIUM</t>
        </is>
      </c>
      <c r="I543" t="n">
        <v>10.5</v>
      </c>
      <c r="J543" t="inlineStr">
        <is>
          <t>NO</t>
        </is>
      </c>
      <c r="K543" t="inlineStr">
        <is>
          <t>2026-02-23 23:48</t>
        </is>
      </c>
      <c r="L543" t="inlineStr">
        <is>
          <t>CHECK_VENDOR</t>
        </is>
      </c>
      <c r="M543" t="inlineStr">
        <is>
          <t>See CVE details</t>
        </is>
      </c>
      <c r="N543" t="inlineStr">
        <is>
          <t>P4</t>
        </is>
      </c>
      <c r="O543" t="inlineStr">
        <is>
          <t>CVE - IP enrichment n/a</t>
        </is>
      </c>
      <c r="P543" t="n">
        <v>0</v>
      </c>
      <c r="Q543" t="n">
        <v>0</v>
      </c>
      <c r="R543" t="inlineStr">
        <is>
          <t>T1189:Drive-by Compromise</t>
        </is>
      </c>
      <c r="S543" t="n">
        <v>1</v>
      </c>
      <c r="T543" t="inlineStr">
        <is>
          <t>LOW (40%)</t>
        </is>
      </c>
      <c r="U543" t="inlineStr">
        <is>
          <t>UNLIKELY</t>
        </is>
      </c>
      <c r="V543" t="inlineStr">
        <is>
          <t>CHECK_VENDOR</t>
        </is>
      </c>
      <c r="W543" t="inlineStr">
        <is>
          <t>https://nvd.nist.gov/vuln/detail/CVE-2026-25453</t>
        </is>
      </c>
      <c r="X543" t="inlineStr">
        <is>
          <t>NONE</t>
        </is>
      </c>
      <c r="Y543" t="n">
        <v>0</v>
      </c>
      <c r="Z543" t="inlineStr"/>
      <c r="AA543" t="inlineStr">
        <is>
          <t>https://nvd.nist.gov/vuln/detail/CVE-2026-25453</t>
        </is>
      </c>
    </row>
    <row r="544">
      <c r="A544" t="inlineStr">
        <is>
          <t>CVE</t>
        </is>
      </c>
      <c r="B544" t="inlineStr">
        <is>
          <t>CVE-2026-25459</t>
        </is>
      </c>
      <c r="C544" t="inlineStr">
        <is>
          <t>Missing Authorization vulnerability in uixthemes Sober sober allows Exploiting Incorrectly Configured Access Control Security Levels.This issue affects Sober: from n/a through &lt;= 3.5.12.</t>
        </is>
      </c>
      <c r="D544" t="n">
        <v>4.3</v>
      </c>
      <c r="E544" t="inlineStr">
        <is>
          <t>MEDIUM</t>
        </is>
      </c>
      <c r="F544" t="n">
        <v>2</v>
      </c>
      <c r="G544" t="n">
        <v>2</v>
      </c>
      <c r="H544" t="inlineStr">
        <is>
          <t>MEDIUM</t>
        </is>
      </c>
      <c r="I544" t="n">
        <v>8.300000000000001</v>
      </c>
      <c r="J544" t="inlineStr">
        <is>
          <t>NO</t>
        </is>
      </c>
      <c r="K544" t="inlineStr">
        <is>
          <t>2026-02-23 23:48</t>
        </is>
      </c>
      <c r="L544" t="inlineStr">
        <is>
          <t>CHECK_VENDOR</t>
        </is>
      </c>
      <c r="M544" t="inlineStr">
        <is>
          <t>See CVE details</t>
        </is>
      </c>
      <c r="N544" t="inlineStr">
        <is>
          <t>P4</t>
        </is>
      </c>
      <c r="O544" t="inlineStr">
        <is>
          <t>CVE - IP enrichment n/a</t>
        </is>
      </c>
      <c r="P544" t="n">
        <v>0</v>
      </c>
      <c r="Q544" t="n">
        <v>0</v>
      </c>
      <c r="R544" t="inlineStr">
        <is>
          <t>T1190:Exploit Public-Facing Application</t>
        </is>
      </c>
      <c r="S544" t="n">
        <v>1</v>
      </c>
      <c r="T544" t="inlineStr">
        <is>
          <t>LOW (40%)</t>
        </is>
      </c>
      <c r="U544" t="inlineStr">
        <is>
          <t>UNLIKELY</t>
        </is>
      </c>
      <c r="V544" t="inlineStr">
        <is>
          <t>CHECK_VENDOR</t>
        </is>
      </c>
      <c r="W544" t="inlineStr">
        <is>
          <t>https://nvd.nist.gov/vuln/detail/CVE-2026-25459</t>
        </is>
      </c>
      <c r="X544" t="inlineStr">
        <is>
          <t>NONE</t>
        </is>
      </c>
      <c r="Y544" t="n">
        <v>0</v>
      </c>
      <c r="Z544" t="inlineStr"/>
      <c r="AA544" t="inlineStr">
        <is>
          <t>https://nvd.nist.gov/vuln/detail/CVE-2026-25459</t>
        </is>
      </c>
    </row>
    <row r="545">
      <c r="A545" t="inlineStr">
        <is>
          <t>CVE</t>
        </is>
      </c>
      <c r="B545" t="inlineStr">
        <is>
          <t>CVE-2026-25463</t>
        </is>
      </c>
      <c r="C545" t="inlineStr">
        <is>
          <t>Improper Neutralization of Input During Web Page Generation ('Cross-site Scripting') vulnerability in WpEstate Wpresidence Core wpresidence-core allows Stored XSS.This issue affects Wpresidence Core: from n/a through &lt;= 5.4.0.</t>
        </is>
      </c>
      <c r="D545" t="n">
        <v>6.5</v>
      </c>
      <c r="E545" t="inlineStr">
        <is>
          <t>MEDIUM</t>
        </is>
      </c>
      <c r="F545" t="n">
        <v>2</v>
      </c>
      <c r="G545" t="n">
        <v>2</v>
      </c>
      <c r="H545" t="inlineStr">
        <is>
          <t>MEDIUM</t>
        </is>
      </c>
      <c r="I545" t="n">
        <v>10.5</v>
      </c>
      <c r="J545" t="inlineStr">
        <is>
          <t>NO</t>
        </is>
      </c>
      <c r="K545" t="inlineStr">
        <is>
          <t>2026-02-23 23:48</t>
        </is>
      </c>
      <c r="L545" t="inlineStr">
        <is>
          <t>CHECK_VENDOR</t>
        </is>
      </c>
      <c r="M545" t="inlineStr">
        <is>
          <t>See CVE details</t>
        </is>
      </c>
      <c r="N545" t="inlineStr">
        <is>
          <t>P4</t>
        </is>
      </c>
      <c r="O545" t="inlineStr">
        <is>
          <t>CVE - IP enrichment n/a</t>
        </is>
      </c>
      <c r="P545" t="n">
        <v>0</v>
      </c>
      <c r="Q545" t="n">
        <v>0</v>
      </c>
      <c r="R545" t="inlineStr">
        <is>
          <t>T1189:Drive-by Compromise</t>
        </is>
      </c>
      <c r="S545" t="n">
        <v>1</v>
      </c>
      <c r="T545" t="inlineStr">
        <is>
          <t>LOW (40%)</t>
        </is>
      </c>
      <c r="U545" t="inlineStr">
        <is>
          <t>UNLIKELY</t>
        </is>
      </c>
      <c r="V545" t="inlineStr">
        <is>
          <t>CHECK_VENDOR</t>
        </is>
      </c>
      <c r="W545" t="inlineStr">
        <is>
          <t>https://nvd.nist.gov/vuln/detail/CVE-2026-25463</t>
        </is>
      </c>
      <c r="X545" t="inlineStr">
        <is>
          <t>NONE</t>
        </is>
      </c>
      <c r="Y545" t="n">
        <v>0</v>
      </c>
      <c r="Z545" t="inlineStr"/>
      <c r="AA545" t="inlineStr">
        <is>
          <t>https://nvd.nist.gov/vuln/detail/CVE-2026-25463</t>
        </is>
      </c>
    </row>
    <row r="546">
      <c r="A546" t="inlineStr">
        <is>
          <t>CVE</t>
        </is>
      </c>
      <c r="B546" t="inlineStr">
        <is>
          <t>CVE-2026-25472</t>
        </is>
      </c>
      <c r="C546" t="inlineStr">
        <is>
          <t>Improper Neutralization of Input During Web Page Generation ('Cross-site Scripting') vulnerability in ThemeFusion Fusion Builder fusion-builder allows Stored XSS.This issue affects Fusion Builder: from n/a through &lt;= 3.14.3.</t>
        </is>
      </c>
      <c r="D546" t="n">
        <v>6.5</v>
      </c>
      <c r="E546" t="inlineStr">
        <is>
          <t>MEDIUM</t>
        </is>
      </c>
      <c r="F546" t="n">
        <v>2</v>
      </c>
      <c r="G546" t="n">
        <v>2</v>
      </c>
      <c r="H546" t="inlineStr">
        <is>
          <t>MEDIUM</t>
        </is>
      </c>
      <c r="I546" t="n">
        <v>10.5</v>
      </c>
      <c r="J546" t="inlineStr">
        <is>
          <t>NO</t>
        </is>
      </c>
      <c r="K546" t="inlineStr">
        <is>
          <t>2026-02-23 23:48</t>
        </is>
      </c>
      <c r="L546" t="inlineStr">
        <is>
          <t>CHECK_VENDOR</t>
        </is>
      </c>
      <c r="M546" t="inlineStr">
        <is>
          <t>See CVE details</t>
        </is>
      </c>
      <c r="N546" t="inlineStr">
        <is>
          <t>P4</t>
        </is>
      </c>
      <c r="O546" t="inlineStr">
        <is>
          <t>CVE - IP enrichment n/a</t>
        </is>
      </c>
      <c r="P546" t="n">
        <v>0.0003</v>
      </c>
      <c r="Q546" t="n">
        <v>0.096</v>
      </c>
      <c r="R546" t="inlineStr">
        <is>
          <t>T1189:Drive-by Compromise</t>
        </is>
      </c>
      <c r="S546" t="n">
        <v>1</v>
      </c>
      <c r="T546" t="inlineStr">
        <is>
          <t>LOW (40%)</t>
        </is>
      </c>
      <c r="U546" t="inlineStr">
        <is>
          <t>UNLIKELY</t>
        </is>
      </c>
      <c r="V546" t="inlineStr">
        <is>
          <t>CHECK_VENDOR</t>
        </is>
      </c>
      <c r="W546" t="inlineStr">
        <is>
          <t>https://nvd.nist.gov/vuln/detail/CVE-2026-25472</t>
        </is>
      </c>
      <c r="X546" t="inlineStr">
        <is>
          <t>NONE</t>
        </is>
      </c>
      <c r="Y546" t="n">
        <v>0</v>
      </c>
      <c r="Z546" t="inlineStr"/>
      <c r="AA546" t="inlineStr">
        <is>
          <t>https://nvd.nist.gov/vuln/detail/CVE-2026-25472</t>
        </is>
      </c>
    </row>
    <row r="547">
      <c r="A547" t="inlineStr">
        <is>
          <t>CVE</t>
        </is>
      </c>
      <c r="B547" t="inlineStr">
        <is>
          <t>CVE-2026-25473</t>
        </is>
      </c>
      <c r="C547" t="inlineStr">
        <is>
          <t>Missing Authorization vulnerability in AA-Team WZone woozone allows Exploiting Incorrectly Configured Access Control Security Levels.This issue affects WZone: from n/a through &lt;= 14.0.31.</t>
        </is>
      </c>
      <c r="D547" t="n">
        <v>5.4</v>
      </c>
      <c r="E547" t="inlineStr">
        <is>
          <t>MEDIUM</t>
        </is>
      </c>
      <c r="F547" t="n">
        <v>2</v>
      </c>
      <c r="G547" t="n">
        <v>2</v>
      </c>
      <c r="H547" t="inlineStr">
        <is>
          <t>MEDIUM</t>
        </is>
      </c>
      <c r="I547" t="n">
        <v>9.4</v>
      </c>
      <c r="J547" t="inlineStr">
        <is>
          <t>NO</t>
        </is>
      </c>
      <c r="K547" t="inlineStr">
        <is>
          <t>2026-02-23 23:48</t>
        </is>
      </c>
      <c r="L547" t="inlineStr">
        <is>
          <t>CHECK_VENDOR</t>
        </is>
      </c>
      <c r="M547" t="inlineStr">
        <is>
          <t>See CVE details</t>
        </is>
      </c>
      <c r="N547" t="inlineStr">
        <is>
          <t>P4</t>
        </is>
      </c>
      <c r="O547" t="inlineStr">
        <is>
          <t>CVE - IP enrichment n/a</t>
        </is>
      </c>
      <c r="P547" t="n">
        <v>0.0004</v>
      </c>
      <c r="Q547" t="n">
        <v>0.1048</v>
      </c>
      <c r="R547" t="inlineStr">
        <is>
          <t>T1190:Exploit Public-Facing Application</t>
        </is>
      </c>
      <c r="S547" t="n">
        <v>1</v>
      </c>
      <c r="T547" t="inlineStr">
        <is>
          <t>LOW (40%)</t>
        </is>
      </c>
      <c r="U547" t="inlineStr">
        <is>
          <t>UNLIKELY</t>
        </is>
      </c>
      <c r="V547" t="inlineStr">
        <is>
          <t>CHECK_VENDOR</t>
        </is>
      </c>
      <c r="W547" t="inlineStr">
        <is>
          <t>https://nvd.nist.gov/vuln/detail/CVE-2026-25473</t>
        </is>
      </c>
      <c r="X547" t="inlineStr">
        <is>
          <t>NONE</t>
        </is>
      </c>
      <c r="Y547" t="n">
        <v>0</v>
      </c>
      <c r="Z547" t="inlineStr"/>
      <c r="AA547" t="inlineStr">
        <is>
          <t>https://nvd.nist.gov/vuln/detail/CVE-2026-25473</t>
        </is>
      </c>
    </row>
    <row r="548">
      <c r="A548" t="inlineStr">
        <is>
          <t>CVE</t>
        </is>
      </c>
      <c r="B548" t="inlineStr">
        <is>
          <t>CVE-2026-26358</t>
        </is>
      </c>
      <c r="C548" t="inlineStr">
        <is>
          <t>Dell Unisphere for PowerMax, version(s) 10.2, contain(s) a Missing Authorization vulnerability. A low privileged attacker with remote access could potentially exploit this vulnerability, leading to Unauthorized access.</t>
        </is>
      </c>
      <c r="D548" t="n">
        <v>8.800000000000001</v>
      </c>
      <c r="E548" t="inlineStr">
        <is>
          <t>HIGH</t>
        </is>
      </c>
      <c r="F548" t="n">
        <v>2</v>
      </c>
      <c r="G548" t="n">
        <v>3</v>
      </c>
      <c r="H548" t="inlineStr">
        <is>
          <t>HIGH</t>
        </is>
      </c>
      <c r="I548" t="n">
        <v>14.8</v>
      </c>
      <c r="J548" t="inlineStr">
        <is>
          <t>NO</t>
        </is>
      </c>
      <c r="K548" t="inlineStr">
        <is>
          <t>2026-02-23 23:48</t>
        </is>
      </c>
      <c r="L548" t="inlineStr">
        <is>
          <t>YES</t>
        </is>
      </c>
      <c r="M548" t="inlineStr">
        <is>
          <t>dell unisphere_for_powermax *</t>
        </is>
      </c>
      <c r="N548" t="inlineStr">
        <is>
          <t>P3</t>
        </is>
      </c>
      <c r="O548" t="inlineStr">
        <is>
          <t>CVE - IP enrichment n/a</t>
        </is>
      </c>
      <c r="P548" t="n">
        <v>0.0005</v>
      </c>
      <c r="Q548" t="n">
        <v>0.1526</v>
      </c>
      <c r="R548" t="inlineStr">
        <is>
          <t>T1190:Exploit Public-Facing Application</t>
        </is>
      </c>
      <c r="S548" t="n">
        <v>1</v>
      </c>
      <c r="T548" t="inlineStr">
        <is>
          <t>LOW (40%)</t>
        </is>
      </c>
      <c r="U548" t="inlineStr">
        <is>
          <t>UNLIKELY</t>
        </is>
      </c>
      <c r="V548" t="inlineStr">
        <is>
          <t>PATCH_AVAILABLE</t>
        </is>
      </c>
      <c r="W548" t="inlineStr">
        <is>
          <t>https://nvd.nist.gov/vuln/detail/CVE-2026-26358</t>
        </is>
      </c>
      <c r="X548" t="inlineStr">
        <is>
          <t>NONE</t>
        </is>
      </c>
      <c r="Y548" t="n">
        <v>0</v>
      </c>
      <c r="Z548" t="inlineStr"/>
      <c r="AA548" t="inlineStr">
        <is>
          <t>https://nvd.nist.gov/vuln/detail/CVE-2026-26358</t>
        </is>
      </c>
    </row>
    <row r="549">
      <c r="A549" t="inlineStr">
        <is>
          <t>CVE</t>
        </is>
      </c>
      <c r="B549" t="inlineStr">
        <is>
          <t>CVE-2026-26359</t>
        </is>
      </c>
      <c r="C549" t="inlineStr">
        <is>
          <t>Dell Unisphere for PowerMax, version(s) 10.2, contain(s) an External Control of File Name or Path vulnerability. A low privileged attacker with remote access could potentially exploit this vulnerability, leading to the ability to overwrite arbitrary files.</t>
        </is>
      </c>
      <c r="D549" t="n">
        <v>8.800000000000001</v>
      </c>
      <c r="E549" t="inlineStr">
        <is>
          <t>HIGH</t>
        </is>
      </c>
      <c r="F549" t="n">
        <v>2</v>
      </c>
      <c r="G549" t="n">
        <v>3</v>
      </c>
      <c r="H549" t="inlineStr">
        <is>
          <t>HIGH</t>
        </is>
      </c>
      <c r="I549" t="n">
        <v>14.8</v>
      </c>
      <c r="J549" t="inlineStr">
        <is>
          <t>NO</t>
        </is>
      </c>
      <c r="K549" t="inlineStr">
        <is>
          <t>2026-02-23 23:48</t>
        </is>
      </c>
      <c r="L549" t="inlineStr">
        <is>
          <t>YES</t>
        </is>
      </c>
      <c r="M549" t="inlineStr">
        <is>
          <t>dell unisphere_for_powermax *</t>
        </is>
      </c>
      <c r="N549" t="inlineStr">
        <is>
          <t>P3</t>
        </is>
      </c>
      <c r="O549" t="inlineStr">
        <is>
          <t>CVE - IP enrichment n/a</t>
        </is>
      </c>
      <c r="P549" t="n">
        <v>0</v>
      </c>
      <c r="Q549" t="n">
        <v>0</v>
      </c>
      <c r="R549" t="inlineStr">
        <is>
          <t>T1190:Exploit Public-Facing Application</t>
        </is>
      </c>
      <c r="S549" t="n">
        <v>1</v>
      </c>
      <c r="T549" t="inlineStr">
        <is>
          <t>LOW (40%)</t>
        </is>
      </c>
      <c r="U549" t="inlineStr">
        <is>
          <t>UNLIKELY</t>
        </is>
      </c>
      <c r="V549" t="inlineStr">
        <is>
          <t>PATCH_AVAILABLE</t>
        </is>
      </c>
      <c r="W549" t="inlineStr">
        <is>
          <t>https://nvd.nist.gov/vuln/detail/CVE-2026-26359</t>
        </is>
      </c>
      <c r="X549" t="inlineStr">
        <is>
          <t>NONE</t>
        </is>
      </c>
      <c r="Y549" t="n">
        <v>0</v>
      </c>
      <c r="Z549" t="inlineStr"/>
      <c r="AA549" t="inlineStr">
        <is>
          <t>https://nvd.nist.gov/vuln/detail/CVE-2026-26359</t>
        </is>
      </c>
    </row>
    <row r="550">
      <c r="A550" t="inlineStr">
        <is>
          <t>CVE</t>
        </is>
      </c>
      <c r="B550" t="inlineStr">
        <is>
          <t>CVE-2026-26360</t>
        </is>
      </c>
      <c r="C550" t="inlineStr">
        <is>
          <t>Dell Unisphere for PowerMax, version(s) 10.2, contain(s) an External Control of File Name or Path vulnerability. A low privileged attacker with remote access could potentially exploit this vulnerability to delete arbitrary files.</t>
        </is>
      </c>
      <c r="D550" t="n">
        <v>8.1</v>
      </c>
      <c r="E550" t="inlineStr">
        <is>
          <t>HIGH</t>
        </is>
      </c>
      <c r="F550" t="n">
        <v>2</v>
      </c>
      <c r="G550" t="n">
        <v>3</v>
      </c>
      <c r="H550" t="inlineStr">
        <is>
          <t>HIGH</t>
        </is>
      </c>
      <c r="I550" t="n">
        <v>14.1</v>
      </c>
      <c r="J550" t="inlineStr">
        <is>
          <t>NO</t>
        </is>
      </c>
      <c r="K550" t="inlineStr">
        <is>
          <t>2026-02-23 23:48</t>
        </is>
      </c>
      <c r="L550" t="inlineStr">
        <is>
          <t>YES</t>
        </is>
      </c>
      <c r="M550" t="inlineStr">
        <is>
          <t>dell unisphere_for_powermax *</t>
        </is>
      </c>
      <c r="N550" t="inlineStr">
        <is>
          <t>P3</t>
        </is>
      </c>
      <c r="O550" t="inlineStr">
        <is>
          <t>CVE - IP enrichment n/a</t>
        </is>
      </c>
      <c r="P550" t="n">
        <v>0</v>
      </c>
      <c r="Q550" t="n">
        <v>0</v>
      </c>
      <c r="R550" t="inlineStr">
        <is>
          <t>T1190:Exploit Public-Facing Application</t>
        </is>
      </c>
      <c r="S550" t="n">
        <v>1</v>
      </c>
      <c r="T550" t="inlineStr">
        <is>
          <t>LOW (40%)</t>
        </is>
      </c>
      <c r="U550" t="inlineStr">
        <is>
          <t>UNLIKELY</t>
        </is>
      </c>
      <c r="V550" t="inlineStr">
        <is>
          <t>PATCH_AVAILABLE</t>
        </is>
      </c>
      <c r="W550" t="inlineStr">
        <is>
          <t>https://nvd.nist.gov/vuln/detail/CVE-2026-26360</t>
        </is>
      </c>
      <c r="X550" t="inlineStr">
        <is>
          <t>NONE</t>
        </is>
      </c>
      <c r="Y550" t="n">
        <v>0</v>
      </c>
      <c r="Z550" t="inlineStr"/>
      <c r="AA550" t="inlineStr">
        <is>
          <t>https://nvd.nist.gov/vuln/detail/CVE-2026-26360</t>
        </is>
      </c>
    </row>
    <row r="551">
      <c r="A551" t="inlineStr">
        <is>
          <t>CVE</t>
        </is>
      </c>
      <c r="B551" t="inlineStr">
        <is>
          <t>CVE-2026-26361</t>
        </is>
      </c>
      <c r="C551" t="inlineStr">
        <is>
          <t>Dell Unisphere for PowerMax, version(s) 10.2, contain(s) an External Control of File Name or Path vulnerability. A low privileged attacker with remote access could potentially exploit this vulnerability, leading to Information disclosure.</t>
        </is>
      </c>
      <c r="D551" t="n">
        <v>6.5</v>
      </c>
      <c r="E551" t="inlineStr">
        <is>
          <t>MEDIUM</t>
        </is>
      </c>
      <c r="F551" t="n">
        <v>2</v>
      </c>
      <c r="G551" t="n">
        <v>2</v>
      </c>
      <c r="H551" t="inlineStr">
        <is>
          <t>MEDIUM</t>
        </is>
      </c>
      <c r="I551" t="n">
        <v>10.5</v>
      </c>
      <c r="J551" t="inlineStr">
        <is>
          <t>NO</t>
        </is>
      </c>
      <c r="K551" t="inlineStr">
        <is>
          <t>2026-02-23 23:48</t>
        </is>
      </c>
      <c r="L551" t="inlineStr">
        <is>
          <t>YES</t>
        </is>
      </c>
      <c r="M551" t="inlineStr">
        <is>
          <t>dell unisphere_for_powermax *</t>
        </is>
      </c>
      <c r="N551" t="inlineStr">
        <is>
          <t>P4</t>
        </is>
      </c>
      <c r="O551" t="inlineStr">
        <is>
          <t>CVE - IP enrichment n/a</t>
        </is>
      </c>
      <c r="P551" t="n">
        <v>0</v>
      </c>
      <c r="Q551" t="n">
        <v>0</v>
      </c>
      <c r="R551" t="inlineStr">
        <is>
          <t>T1213:Data from Information Repositories</t>
        </is>
      </c>
      <c r="S551" t="n">
        <v>1</v>
      </c>
      <c r="T551" t="inlineStr">
        <is>
          <t>LOW (40%)</t>
        </is>
      </c>
      <c r="U551" t="inlineStr">
        <is>
          <t>UNLIKELY</t>
        </is>
      </c>
      <c r="V551" t="inlineStr">
        <is>
          <t>PATCH_AVAILABLE</t>
        </is>
      </c>
      <c r="W551" t="inlineStr">
        <is>
          <t>https://nvd.nist.gov/vuln/detail/CVE-2026-26361</t>
        </is>
      </c>
      <c r="X551" t="inlineStr">
        <is>
          <t>NONE</t>
        </is>
      </c>
      <c r="Y551" t="n">
        <v>0</v>
      </c>
      <c r="Z551" t="inlineStr"/>
      <c r="AA551" t="inlineStr">
        <is>
          <t>https://nvd.nist.gov/vuln/detail/CVE-2026-26361</t>
        </is>
      </c>
    </row>
    <row r="552">
      <c r="A552" t="inlineStr">
        <is>
          <t>CVE</t>
        </is>
      </c>
      <c r="B552" t="inlineStr">
        <is>
          <t>CVE-2026-26362</t>
        </is>
      </c>
      <c r="C552" t="inlineStr">
        <is>
          <t>Dell Unisphere for PowerMax, version(s) 10.2, contain(s) a Relative Path Traversal vulnerability. A low privileged attacker with remote access could potentially exploit this vulnerability, leading to unauthorized modification of critical system files.</t>
        </is>
      </c>
      <c r="D552" t="n">
        <v>8.1</v>
      </c>
      <c r="E552" t="inlineStr">
        <is>
          <t>HIGH</t>
        </is>
      </c>
      <c r="F552" t="n">
        <v>2</v>
      </c>
      <c r="G552" t="n">
        <v>3</v>
      </c>
      <c r="H552" t="inlineStr">
        <is>
          <t>HIGH</t>
        </is>
      </c>
      <c r="I552" t="n">
        <v>14.1</v>
      </c>
      <c r="J552" t="inlineStr">
        <is>
          <t>NO</t>
        </is>
      </c>
      <c r="K552" t="inlineStr">
        <is>
          <t>2026-02-23 23:48</t>
        </is>
      </c>
      <c r="L552" t="inlineStr">
        <is>
          <t>YES</t>
        </is>
      </c>
      <c r="M552" t="inlineStr">
        <is>
          <t>dell unisphere_for_powermax *</t>
        </is>
      </c>
      <c r="N552" t="inlineStr">
        <is>
          <t>P3</t>
        </is>
      </c>
      <c r="O552" t="inlineStr">
        <is>
          <t>CVE - IP enrichment n/a</t>
        </is>
      </c>
      <c r="P552" t="n">
        <v>0</v>
      </c>
      <c r="Q552" t="n">
        <v>0</v>
      </c>
      <c r="R552" t="inlineStr">
        <is>
          <t>T1083:File and Directory Discovery</t>
        </is>
      </c>
      <c r="S552" t="n">
        <v>1</v>
      </c>
      <c r="T552" t="inlineStr">
        <is>
          <t>LOW (40%)</t>
        </is>
      </c>
      <c r="U552" t="inlineStr">
        <is>
          <t>UNLIKELY</t>
        </is>
      </c>
      <c r="V552" t="inlineStr">
        <is>
          <t>PATCH_AVAILABLE</t>
        </is>
      </c>
      <c r="W552" t="inlineStr">
        <is>
          <t>https://nvd.nist.gov/vuln/detail/CVE-2026-26362</t>
        </is>
      </c>
      <c r="X552" t="inlineStr">
        <is>
          <t>NONE</t>
        </is>
      </c>
      <c r="Y552" t="n">
        <v>0</v>
      </c>
      <c r="Z552" t="inlineStr"/>
      <c r="AA552" t="inlineStr">
        <is>
          <t>https://nvd.nist.gov/vuln/detail/CVE-2026-26362</t>
        </is>
      </c>
    </row>
    <row r="553">
      <c r="A553" t="inlineStr">
        <is>
          <t>CVE</t>
        </is>
      </c>
      <c r="B553" t="inlineStr">
        <is>
          <t>CVE-2026-27042</t>
        </is>
      </c>
      <c r="C553" t="inlineStr">
        <is>
          <t>Missing Authorization vulnerability in WPDeveloper NotificationX notificationx allows Exploiting Incorrectly Configured Access Control Security Levels.This issue affects NotificationX: from n/a through &lt;= 3.2.1.</t>
        </is>
      </c>
      <c r="D553" t="n">
        <v>5.3</v>
      </c>
      <c r="E553" t="inlineStr">
        <is>
          <t>MEDIUM</t>
        </is>
      </c>
      <c r="F553" t="n">
        <v>2</v>
      </c>
      <c r="G553" t="n">
        <v>2</v>
      </c>
      <c r="H553" t="inlineStr">
        <is>
          <t>MEDIUM</t>
        </is>
      </c>
      <c r="I553" t="n">
        <v>9.300000000000001</v>
      </c>
      <c r="J553" t="inlineStr">
        <is>
          <t>NO</t>
        </is>
      </c>
      <c r="K553" t="inlineStr">
        <is>
          <t>2026-02-23 23:48</t>
        </is>
      </c>
      <c r="L553" t="inlineStr">
        <is>
          <t>CHECK_VENDOR</t>
        </is>
      </c>
      <c r="M553" t="inlineStr">
        <is>
          <t>See CVE details</t>
        </is>
      </c>
      <c r="N553" t="inlineStr">
        <is>
          <t>P4</t>
        </is>
      </c>
      <c r="O553" t="inlineStr">
        <is>
          <t>CVE - IP enrichment n/a</t>
        </is>
      </c>
      <c r="P553" t="n">
        <v>0</v>
      </c>
      <c r="Q553" t="n">
        <v>0</v>
      </c>
      <c r="R553" t="inlineStr">
        <is>
          <t>T1190:Exploit Public-Facing Application</t>
        </is>
      </c>
      <c r="S553" t="n">
        <v>1</v>
      </c>
      <c r="T553" t="inlineStr">
        <is>
          <t>LOW (40%)</t>
        </is>
      </c>
      <c r="U553" t="inlineStr">
        <is>
          <t>UNLIKELY</t>
        </is>
      </c>
      <c r="V553" t="inlineStr">
        <is>
          <t>CHECK_VENDOR</t>
        </is>
      </c>
      <c r="W553" t="inlineStr">
        <is>
          <t>https://nvd.nist.gov/vuln/detail/CVE-2026-27042</t>
        </is>
      </c>
      <c r="X553" t="inlineStr">
        <is>
          <t>NONE</t>
        </is>
      </c>
      <c r="Y553" t="n">
        <v>0</v>
      </c>
      <c r="Z553" t="inlineStr"/>
      <c r="AA553" t="inlineStr">
        <is>
          <t>https://nvd.nist.gov/vuln/detail/CVE-2026-27042</t>
        </is>
      </c>
    </row>
    <row r="554">
      <c r="A554" t="inlineStr">
        <is>
          <t>CVE</t>
        </is>
      </c>
      <c r="B554" t="inlineStr">
        <is>
          <t>CVE-2026-27050</t>
        </is>
      </c>
      <c r="C554" t="inlineStr">
        <is>
          <t>Cross-Site Request Forgery (CSRF) vulnerability in ThimPress RealPress realpress allows Cross Site Request Forgery.This issue affects RealPress: from n/a through &lt;= 1.1.0.</t>
        </is>
      </c>
      <c r="D554" t="n">
        <v>5.4</v>
      </c>
      <c r="E554" t="inlineStr">
        <is>
          <t>MEDIUM</t>
        </is>
      </c>
      <c r="F554" t="n">
        <v>2</v>
      </c>
      <c r="G554" t="n">
        <v>2</v>
      </c>
      <c r="H554" t="inlineStr">
        <is>
          <t>MEDIUM</t>
        </is>
      </c>
      <c r="I554" t="n">
        <v>9.4</v>
      </c>
      <c r="J554" t="inlineStr">
        <is>
          <t>NO</t>
        </is>
      </c>
      <c r="K554" t="inlineStr">
        <is>
          <t>2026-02-23 23:48</t>
        </is>
      </c>
      <c r="L554" t="inlineStr">
        <is>
          <t>CHECK_VENDOR</t>
        </is>
      </c>
      <c r="M554" t="inlineStr">
        <is>
          <t>See CVE details</t>
        </is>
      </c>
      <c r="N554" t="inlineStr">
        <is>
          <t>P4</t>
        </is>
      </c>
      <c r="O554" t="inlineStr">
        <is>
          <t>CVE - IP enrichment n/a</t>
        </is>
      </c>
      <c r="P554" t="n">
        <v>0</v>
      </c>
      <c r="Q554" t="n">
        <v>0</v>
      </c>
      <c r="R554" t="inlineStr">
        <is>
          <t>T1185:Browser Session Hijacking</t>
        </is>
      </c>
      <c r="S554" t="n">
        <v>1</v>
      </c>
      <c r="T554" t="inlineStr">
        <is>
          <t>LOW (40%)</t>
        </is>
      </c>
      <c r="U554" t="inlineStr">
        <is>
          <t>UNLIKELY</t>
        </is>
      </c>
      <c r="V554" t="inlineStr">
        <is>
          <t>CHECK_VENDOR</t>
        </is>
      </c>
      <c r="W554" t="inlineStr">
        <is>
          <t>https://nvd.nist.gov/vuln/detail/CVE-2026-27050</t>
        </is>
      </c>
      <c r="X554" t="inlineStr">
        <is>
          <t>NONE</t>
        </is>
      </c>
      <c r="Y554" t="n">
        <v>0</v>
      </c>
      <c r="Z554" t="inlineStr"/>
      <c r="AA554" t="inlineStr">
        <is>
          <t>https://nvd.nist.gov/vuln/detail/CVE-2026-27050</t>
        </is>
      </c>
    </row>
    <row r="555">
      <c r="A555" t="inlineStr">
        <is>
          <t>CVE</t>
        </is>
      </c>
      <c r="B555" t="inlineStr">
        <is>
          <t>CVE-2026-27052</t>
        </is>
      </c>
      <c r="C555" t="inlineStr">
        <is>
          <t>Improper Control of Filename for Include/Require Statement in PHP Program ('PHP Remote File Inclusion') vulnerability in villatheme Sales Countdown Timer for WooCommerce and WordPress sctv-sales-countdown-timer allows PHP Local File Inclusion.This issue affects Sales Countdown Timer for WooCommerce and WordPress: from n/a through &lt;= 1.1.8.1.</t>
        </is>
      </c>
      <c r="D555" t="n">
        <v>7.5</v>
      </c>
      <c r="E555" t="inlineStr">
        <is>
          <t>HIGH</t>
        </is>
      </c>
      <c r="F555" t="n">
        <v>2</v>
      </c>
      <c r="G555" t="n">
        <v>3</v>
      </c>
      <c r="H555" t="inlineStr">
        <is>
          <t>HIGH</t>
        </is>
      </c>
      <c r="I555" t="n">
        <v>13.5</v>
      </c>
      <c r="J555" t="inlineStr">
        <is>
          <t>NO</t>
        </is>
      </c>
      <c r="K555" t="inlineStr">
        <is>
          <t>2026-02-23 23:48</t>
        </is>
      </c>
      <c r="L555" t="inlineStr">
        <is>
          <t>CHECK_VENDOR</t>
        </is>
      </c>
      <c r="M555" t="inlineStr">
        <is>
          <t>See CVE details</t>
        </is>
      </c>
      <c r="N555" t="inlineStr">
        <is>
          <t>P3</t>
        </is>
      </c>
      <c r="O555" t="inlineStr">
        <is>
          <t>CVE - IP enrichment n/a</t>
        </is>
      </c>
      <c r="P555" t="n">
        <v>0</v>
      </c>
      <c r="Q555" t="n">
        <v>0</v>
      </c>
      <c r="R555" t="inlineStr">
        <is>
          <t>T1190:Exploit Public-Facing Application</t>
        </is>
      </c>
      <c r="S555" t="n">
        <v>1</v>
      </c>
      <c r="T555" t="inlineStr">
        <is>
          <t>LOW (40%)</t>
        </is>
      </c>
      <c r="U555" t="inlineStr">
        <is>
          <t>UNLIKELY</t>
        </is>
      </c>
      <c r="V555" t="inlineStr">
        <is>
          <t>CHECK_VENDOR</t>
        </is>
      </c>
      <c r="W555" t="inlineStr">
        <is>
          <t>https://nvd.nist.gov/vuln/detail/CVE-2026-27052</t>
        </is>
      </c>
      <c r="X555" t="inlineStr">
        <is>
          <t>NONE</t>
        </is>
      </c>
      <c r="Y555" t="n">
        <v>0</v>
      </c>
      <c r="Z555" t="inlineStr"/>
      <c r="AA555" t="inlineStr">
        <is>
          <t>https://nvd.nist.gov/vuln/detail/CVE-2026-27052</t>
        </is>
      </c>
    </row>
    <row r="556">
      <c r="A556" t="inlineStr">
        <is>
          <t>CVE</t>
        </is>
      </c>
      <c r="B556" t="inlineStr">
        <is>
          <t>CVE-2026-27055</t>
        </is>
      </c>
      <c r="C556" t="inlineStr">
        <is>
          <t>Missing Authorization vulnerability in PenciDesign Penci AI SmartContent Creator penci-ai allows Exploiting Incorrectly Configured Access Control Security Levels.This issue affects Penci AI SmartContent Creator: from n/a through &lt;= 2.0.</t>
        </is>
      </c>
      <c r="D556" t="n">
        <v>4.3</v>
      </c>
      <c r="E556" t="inlineStr">
        <is>
          <t>MEDIUM</t>
        </is>
      </c>
      <c r="F556" t="n">
        <v>2</v>
      </c>
      <c r="G556" t="n">
        <v>2</v>
      </c>
      <c r="H556" t="inlineStr">
        <is>
          <t>MEDIUM</t>
        </is>
      </c>
      <c r="I556" t="n">
        <v>8.300000000000001</v>
      </c>
      <c r="J556" t="inlineStr">
        <is>
          <t>NO</t>
        </is>
      </c>
      <c r="K556" t="inlineStr">
        <is>
          <t>2026-02-23 23:48</t>
        </is>
      </c>
      <c r="L556" t="inlineStr">
        <is>
          <t>CHECK_VENDOR</t>
        </is>
      </c>
      <c r="M556" t="inlineStr">
        <is>
          <t>See CVE details</t>
        </is>
      </c>
      <c r="N556" t="inlineStr">
        <is>
          <t>P4</t>
        </is>
      </c>
      <c r="O556" t="inlineStr">
        <is>
          <t>CVE - IP enrichment n/a</t>
        </is>
      </c>
      <c r="P556" t="n">
        <v>0</v>
      </c>
      <c r="Q556" t="n">
        <v>0</v>
      </c>
      <c r="R556" t="inlineStr">
        <is>
          <t>T1190:Exploit Public-Facing Application</t>
        </is>
      </c>
      <c r="S556" t="n">
        <v>1</v>
      </c>
      <c r="T556" t="inlineStr">
        <is>
          <t>LOW (40%)</t>
        </is>
      </c>
      <c r="U556" t="inlineStr">
        <is>
          <t>UNLIKELY</t>
        </is>
      </c>
      <c r="V556" t="inlineStr">
        <is>
          <t>CHECK_VENDOR</t>
        </is>
      </c>
      <c r="W556" t="inlineStr">
        <is>
          <t>https://nvd.nist.gov/vuln/detail/CVE-2026-27055</t>
        </is>
      </c>
      <c r="X556" t="inlineStr">
        <is>
          <t>NONE</t>
        </is>
      </c>
      <c r="Y556" t="n">
        <v>0</v>
      </c>
      <c r="Z556" t="inlineStr"/>
      <c r="AA556" t="inlineStr">
        <is>
          <t>https://nvd.nist.gov/vuln/detail/CVE-2026-27055</t>
        </is>
      </c>
    </row>
    <row r="557">
      <c r="A557" t="inlineStr">
        <is>
          <t>CVE</t>
        </is>
      </c>
      <c r="B557" t="inlineStr">
        <is>
          <t>CVE-2026-27056</t>
        </is>
      </c>
      <c r="C557" t="inlineStr">
        <is>
          <t>Missing Authorization vulnerability in StellarWP iThemes Sync ithemes-sync allows Exploiting Incorrectly Configured Access Control Security Levels.This issue affects iThemes Sync: from n/a through &lt;= 3.2.8.</t>
        </is>
      </c>
      <c r="D557" t="n">
        <v>4.3</v>
      </c>
      <c r="E557" t="inlineStr">
        <is>
          <t>MEDIUM</t>
        </is>
      </c>
      <c r="F557" t="n">
        <v>2</v>
      </c>
      <c r="G557" t="n">
        <v>2</v>
      </c>
      <c r="H557" t="inlineStr">
        <is>
          <t>MEDIUM</t>
        </is>
      </c>
      <c r="I557" t="n">
        <v>8.300000000000001</v>
      </c>
      <c r="J557" t="inlineStr">
        <is>
          <t>NO</t>
        </is>
      </c>
      <c r="K557" t="inlineStr">
        <is>
          <t>2026-02-23 23:48</t>
        </is>
      </c>
      <c r="L557" t="inlineStr">
        <is>
          <t>CHECK_VENDOR</t>
        </is>
      </c>
      <c r="M557" t="inlineStr">
        <is>
          <t>See CVE details</t>
        </is>
      </c>
      <c r="N557" t="inlineStr">
        <is>
          <t>P4</t>
        </is>
      </c>
      <c r="O557" t="inlineStr">
        <is>
          <t>CVE - IP enrichment n/a</t>
        </is>
      </c>
      <c r="P557" t="n">
        <v>0.0003</v>
      </c>
      <c r="Q557" t="n">
        <v>0.0718</v>
      </c>
      <c r="R557" t="inlineStr">
        <is>
          <t>T1190:Exploit Public-Facing Application</t>
        </is>
      </c>
      <c r="S557" t="n">
        <v>1</v>
      </c>
      <c r="T557" t="inlineStr">
        <is>
          <t>LOW (40%)</t>
        </is>
      </c>
      <c r="U557" t="inlineStr">
        <is>
          <t>UNLIKELY</t>
        </is>
      </c>
      <c r="V557" t="inlineStr">
        <is>
          <t>CHECK_VENDOR</t>
        </is>
      </c>
      <c r="W557" t="inlineStr">
        <is>
          <t>https://nvd.nist.gov/vuln/detail/CVE-2026-27056</t>
        </is>
      </c>
      <c r="X557" t="inlineStr">
        <is>
          <t>NONE</t>
        </is>
      </c>
      <c r="Y557" t="n">
        <v>0</v>
      </c>
      <c r="Z557" t="inlineStr"/>
      <c r="AA557" t="inlineStr">
        <is>
          <t>https://nvd.nist.gov/vuln/detail/CVE-2026-27056</t>
        </is>
      </c>
    </row>
    <row r="558">
      <c r="A558" t="inlineStr">
        <is>
          <t>CVE</t>
        </is>
      </c>
      <c r="B558" t="inlineStr">
        <is>
          <t>CVE-2026-27057</t>
        </is>
      </c>
      <c r="C558" t="inlineStr">
        <is>
          <t>Improper Neutralization of Input During Web Page Generation ('Cross-site Scripting') vulnerability in PenciDesign Penci Filter Everything penci-filter-everything allows Stored XSS.This issue affects Penci Filter Everything: from n/a through &lt;= 1.7.</t>
        </is>
      </c>
      <c r="D558" t="n">
        <v>6.5</v>
      </c>
      <c r="E558" t="inlineStr">
        <is>
          <t>MEDIUM</t>
        </is>
      </c>
      <c r="F558" t="n">
        <v>2</v>
      </c>
      <c r="G558" t="n">
        <v>2</v>
      </c>
      <c r="H558" t="inlineStr">
        <is>
          <t>MEDIUM</t>
        </is>
      </c>
      <c r="I558" t="n">
        <v>10.5</v>
      </c>
      <c r="J558" t="inlineStr">
        <is>
          <t>NO</t>
        </is>
      </c>
      <c r="K558" t="inlineStr">
        <is>
          <t>2026-02-23 23:48</t>
        </is>
      </c>
      <c r="L558" t="inlineStr">
        <is>
          <t>CHECK_VENDOR</t>
        </is>
      </c>
      <c r="M558" t="inlineStr">
        <is>
          <t>See CVE details</t>
        </is>
      </c>
      <c r="N558" t="inlineStr">
        <is>
          <t>P4</t>
        </is>
      </c>
      <c r="O558" t="inlineStr">
        <is>
          <t>CVE - IP enrichment n/a</t>
        </is>
      </c>
      <c r="P558" t="n">
        <v>0</v>
      </c>
      <c r="Q558" t="n">
        <v>0</v>
      </c>
      <c r="R558" t="inlineStr">
        <is>
          <t>T1189:Drive-by Compromise</t>
        </is>
      </c>
      <c r="S558" t="n">
        <v>1</v>
      </c>
      <c r="T558" t="inlineStr">
        <is>
          <t>LOW (40%)</t>
        </is>
      </c>
      <c r="U558" t="inlineStr">
        <is>
          <t>UNLIKELY</t>
        </is>
      </c>
      <c r="V558" t="inlineStr">
        <is>
          <t>CHECK_VENDOR</t>
        </is>
      </c>
      <c r="W558" t="inlineStr">
        <is>
          <t>https://nvd.nist.gov/vuln/detail/CVE-2026-27057</t>
        </is>
      </c>
      <c r="X558" t="inlineStr">
        <is>
          <t>NONE</t>
        </is>
      </c>
      <c r="Y558" t="n">
        <v>0</v>
      </c>
      <c r="Z558" t="inlineStr"/>
      <c r="AA558" t="inlineStr">
        <is>
          <t>https://nvd.nist.gov/vuln/detail/CVE-2026-27057</t>
        </is>
      </c>
    </row>
    <row r="559">
      <c r="A559" t="inlineStr">
        <is>
          <t>CVE</t>
        </is>
      </c>
      <c r="B559" t="inlineStr">
        <is>
          <t>CVE-2026-27058</t>
        </is>
      </c>
      <c r="C559" t="inlineStr">
        <is>
          <t>Improper Neutralization of Input During Web Page Generation ('Cross-site Scripting') vulnerability in PenciDesign Penci Podcast penci-podcast allows DOM-Based XSS.This issue affects Penci Podcast: from n/a through &lt;= 1.7.</t>
        </is>
      </c>
      <c r="D559" t="n">
        <v>6.5</v>
      </c>
      <c r="E559" t="inlineStr">
        <is>
          <t>MEDIUM</t>
        </is>
      </c>
      <c r="F559" t="n">
        <v>2</v>
      </c>
      <c r="G559" t="n">
        <v>2</v>
      </c>
      <c r="H559" t="inlineStr">
        <is>
          <t>MEDIUM</t>
        </is>
      </c>
      <c r="I559" t="n">
        <v>10.5</v>
      </c>
      <c r="J559" t="inlineStr">
        <is>
          <t>NO</t>
        </is>
      </c>
      <c r="K559" t="inlineStr">
        <is>
          <t>2026-02-23 23:48</t>
        </is>
      </c>
      <c r="L559" t="inlineStr">
        <is>
          <t>CHECK_VENDOR</t>
        </is>
      </c>
      <c r="M559" t="inlineStr">
        <is>
          <t>See CVE details</t>
        </is>
      </c>
      <c r="N559" t="inlineStr">
        <is>
          <t>P4</t>
        </is>
      </c>
      <c r="O559" t="inlineStr">
        <is>
          <t>CVE - IP enrichment n/a</t>
        </is>
      </c>
      <c r="P559" t="n">
        <v>0</v>
      </c>
      <c r="Q559" t="n">
        <v>0</v>
      </c>
      <c r="R559" t="inlineStr">
        <is>
          <t>T1189:Drive-by Compromise</t>
        </is>
      </c>
      <c r="S559" t="n">
        <v>1</v>
      </c>
      <c r="T559" t="inlineStr">
        <is>
          <t>LOW (40%)</t>
        </is>
      </c>
      <c r="U559" t="inlineStr">
        <is>
          <t>UNLIKELY</t>
        </is>
      </c>
      <c r="V559" t="inlineStr">
        <is>
          <t>CHECK_VENDOR</t>
        </is>
      </c>
      <c r="W559" t="inlineStr">
        <is>
          <t>https://nvd.nist.gov/vuln/detail/CVE-2026-27058</t>
        </is>
      </c>
      <c r="X559" t="inlineStr">
        <is>
          <t>NONE</t>
        </is>
      </c>
      <c r="Y559" t="n">
        <v>0</v>
      </c>
      <c r="Z559" t="inlineStr"/>
      <c r="AA559" t="inlineStr">
        <is>
          <t>https://nvd.nist.gov/vuln/detail/CVE-2026-27058</t>
        </is>
      </c>
    </row>
    <row r="560">
      <c r="A560" t="inlineStr">
        <is>
          <t>CVE</t>
        </is>
      </c>
      <c r="B560" t="inlineStr">
        <is>
          <t>CVE-2026-27059</t>
        </is>
      </c>
      <c r="C560" t="inlineStr">
        <is>
          <t>Improper Neutralization of Input During Web Page Generation ('Cross-site Scripting') vulnerability in PenciDesign Penci Recipe penci-recipe allows DOM-Based XSS.This issue affects Penci Recipe: from n/a through &lt;= 4.1.</t>
        </is>
      </c>
      <c r="D560" t="n">
        <v>6.5</v>
      </c>
      <c r="E560" t="inlineStr">
        <is>
          <t>MEDIUM</t>
        </is>
      </c>
      <c r="F560" t="n">
        <v>2</v>
      </c>
      <c r="G560" t="n">
        <v>2</v>
      </c>
      <c r="H560" t="inlineStr">
        <is>
          <t>MEDIUM</t>
        </is>
      </c>
      <c r="I560" t="n">
        <v>10.5</v>
      </c>
      <c r="J560" t="inlineStr">
        <is>
          <t>NO</t>
        </is>
      </c>
      <c r="K560" t="inlineStr">
        <is>
          <t>2026-02-23 23:48</t>
        </is>
      </c>
      <c r="L560" t="inlineStr">
        <is>
          <t>CHECK_VENDOR</t>
        </is>
      </c>
      <c r="M560" t="inlineStr">
        <is>
          <t>See CVE details</t>
        </is>
      </c>
      <c r="N560" t="inlineStr">
        <is>
          <t>P4</t>
        </is>
      </c>
      <c r="O560" t="inlineStr">
        <is>
          <t>CVE - IP enrichment n/a</t>
        </is>
      </c>
      <c r="P560" t="n">
        <v>0</v>
      </c>
      <c r="Q560" t="n">
        <v>0</v>
      </c>
      <c r="R560" t="inlineStr">
        <is>
          <t>T1189:Drive-by Compromise</t>
        </is>
      </c>
      <c r="S560" t="n">
        <v>1</v>
      </c>
      <c r="T560" t="inlineStr">
        <is>
          <t>LOW (40%)</t>
        </is>
      </c>
      <c r="U560" t="inlineStr">
        <is>
          <t>UNLIKELY</t>
        </is>
      </c>
      <c r="V560" t="inlineStr">
        <is>
          <t>CHECK_VENDOR</t>
        </is>
      </c>
      <c r="W560" t="inlineStr">
        <is>
          <t>https://nvd.nist.gov/vuln/detail/CVE-2026-27059</t>
        </is>
      </c>
      <c r="X560" t="inlineStr">
        <is>
          <t>NONE</t>
        </is>
      </c>
      <c r="Y560" t="n">
        <v>0</v>
      </c>
      <c r="Z560" t="inlineStr"/>
      <c r="AA560" t="inlineStr">
        <is>
          <t>https://nvd.nist.gov/vuln/detail/CVE-2026-27059</t>
        </is>
      </c>
    </row>
    <row r="561">
      <c r="A561" t="inlineStr">
        <is>
          <t>CVE</t>
        </is>
      </c>
      <c r="B561" t="inlineStr">
        <is>
          <t>CVE-2026-27066</t>
        </is>
      </c>
      <c r="C561" t="inlineStr">
        <is>
          <t>Missing Authorization vulnerability in PI Web Solution Live sales notification for WooCommerce live-sales-notifications-for-woocommerce allows Exploiting Incorrectly Configured Access Control Security Levels.This issue affects Live sales notification for WooCommerce: from n/a through &lt;= 2.3.46.</t>
        </is>
      </c>
      <c r="D561" t="n">
        <v>5.3</v>
      </c>
      <c r="E561" t="inlineStr">
        <is>
          <t>MEDIUM</t>
        </is>
      </c>
      <c r="F561" t="n">
        <v>2</v>
      </c>
      <c r="G561" t="n">
        <v>2</v>
      </c>
      <c r="H561" t="inlineStr">
        <is>
          <t>MEDIUM</t>
        </is>
      </c>
      <c r="I561" t="n">
        <v>9.300000000000001</v>
      </c>
      <c r="J561" t="inlineStr">
        <is>
          <t>NO</t>
        </is>
      </c>
      <c r="K561" t="inlineStr">
        <is>
          <t>2026-02-23 23:48</t>
        </is>
      </c>
      <c r="L561" t="inlineStr">
        <is>
          <t>CHECK_VENDOR</t>
        </is>
      </c>
      <c r="M561" t="inlineStr">
        <is>
          <t>See CVE details</t>
        </is>
      </c>
      <c r="N561" t="inlineStr">
        <is>
          <t>P4</t>
        </is>
      </c>
      <c r="O561" t="inlineStr">
        <is>
          <t>CVE - IP enrichment n/a</t>
        </is>
      </c>
      <c r="P561" t="n">
        <v>0.0003</v>
      </c>
      <c r="Q561" t="n">
        <v>0.07870000000000001</v>
      </c>
      <c r="R561" t="inlineStr">
        <is>
          <t>T1190:Exploit Public-Facing Application</t>
        </is>
      </c>
      <c r="S561" t="n">
        <v>1</v>
      </c>
      <c r="T561" t="inlineStr">
        <is>
          <t>LOW (40%)</t>
        </is>
      </c>
      <c r="U561" t="inlineStr">
        <is>
          <t>UNLIKELY</t>
        </is>
      </c>
      <c r="V561" t="inlineStr">
        <is>
          <t>CHECK_VENDOR</t>
        </is>
      </c>
      <c r="W561" t="inlineStr">
        <is>
          <t>https://nvd.nist.gov/vuln/detail/CVE-2026-27066</t>
        </is>
      </c>
      <c r="X561" t="inlineStr">
        <is>
          <t>NONE</t>
        </is>
      </c>
      <c r="Y561" t="n">
        <v>0</v>
      </c>
      <c r="Z561" t="inlineStr"/>
      <c r="AA561" t="inlineStr">
        <is>
          <t>https://nvd.nist.gov/vuln/detail/CVE-2026-27066</t>
        </is>
      </c>
    </row>
    <row r="562">
      <c r="A562" t="inlineStr">
        <is>
          <t>CVE</t>
        </is>
      </c>
      <c r="B562" t="inlineStr">
        <is>
          <t>CVE-2026-27069</t>
        </is>
      </c>
      <c r="C562" t="inlineStr">
        <is>
          <t>Improper Neutralization of Input During Web Page Generation ('Cross-site Scripting') vulnerability in PenciDesign Soledad soledad allows DOM-Based XSS.This issue affects Soledad: from n/a through &lt;= 8.7.2.</t>
        </is>
      </c>
      <c r="D562" t="n">
        <v>6.5</v>
      </c>
      <c r="E562" t="inlineStr">
        <is>
          <t>MEDIUM</t>
        </is>
      </c>
      <c r="F562" t="n">
        <v>2</v>
      </c>
      <c r="G562" t="n">
        <v>2</v>
      </c>
      <c r="H562" t="inlineStr">
        <is>
          <t>MEDIUM</t>
        </is>
      </c>
      <c r="I562" t="n">
        <v>10.5</v>
      </c>
      <c r="J562" t="inlineStr">
        <is>
          <t>NO</t>
        </is>
      </c>
      <c r="K562" t="inlineStr">
        <is>
          <t>2026-02-23 23:48</t>
        </is>
      </c>
      <c r="L562" t="inlineStr">
        <is>
          <t>CHECK_VENDOR</t>
        </is>
      </c>
      <c r="M562" t="inlineStr">
        <is>
          <t>See CVE details</t>
        </is>
      </c>
      <c r="N562" t="inlineStr">
        <is>
          <t>P4</t>
        </is>
      </c>
      <c r="O562" t="inlineStr">
        <is>
          <t>CVE - IP enrichment n/a</t>
        </is>
      </c>
      <c r="P562" t="n">
        <v>0</v>
      </c>
      <c r="Q562" t="n">
        <v>0</v>
      </c>
      <c r="R562" t="inlineStr">
        <is>
          <t>T1189:Drive-by Compromise</t>
        </is>
      </c>
      <c r="S562" t="n">
        <v>1</v>
      </c>
      <c r="T562" t="inlineStr">
        <is>
          <t>LOW (40%)</t>
        </is>
      </c>
      <c r="U562" t="inlineStr">
        <is>
          <t>UNLIKELY</t>
        </is>
      </c>
      <c r="V562" t="inlineStr">
        <is>
          <t>CHECK_VENDOR</t>
        </is>
      </c>
      <c r="W562" t="inlineStr">
        <is>
          <t>https://nvd.nist.gov/vuln/detail/CVE-2026-27069</t>
        </is>
      </c>
      <c r="X562" t="inlineStr">
        <is>
          <t>NONE</t>
        </is>
      </c>
      <c r="Y562" t="n">
        <v>0</v>
      </c>
      <c r="Z562" t="inlineStr"/>
      <c r="AA562" t="inlineStr">
        <is>
          <t>https://nvd.nist.gov/vuln/detail/CVE-2026-27069</t>
        </is>
      </c>
    </row>
    <row r="563">
      <c r="A563" t="inlineStr">
        <is>
          <t>CVE</t>
        </is>
      </c>
      <c r="B563" t="inlineStr">
        <is>
          <t>CVE-2026-27074</t>
        </is>
      </c>
      <c r="C563" t="inlineStr">
        <is>
          <t>Improper Neutralization of Input During Web Page Generation ('Cross-site Scripting') vulnerability in vaakash Shortcoder shortcoder allows Stored XSS.This issue affects Shortcoder: from n/a through &lt;= 6.5.1.</t>
        </is>
      </c>
      <c r="D563" t="n">
        <v>5</v>
      </c>
      <c r="E563" t="inlineStr">
        <is>
          <t>MEDIUM</t>
        </is>
      </c>
      <c r="F563" t="n">
        <v>2</v>
      </c>
      <c r="G563" t="n">
        <v>2</v>
      </c>
      <c r="H563" t="inlineStr">
        <is>
          <t>MEDIUM</t>
        </is>
      </c>
      <c r="I563" t="n">
        <v>9</v>
      </c>
      <c r="J563" t="inlineStr">
        <is>
          <t>NO</t>
        </is>
      </c>
      <c r="K563" t="inlineStr">
        <is>
          <t>2026-02-23 23:48</t>
        </is>
      </c>
      <c r="L563" t="inlineStr">
        <is>
          <t>CHECK_VENDOR</t>
        </is>
      </c>
      <c r="M563" t="inlineStr">
        <is>
          <t>See CVE details</t>
        </is>
      </c>
      <c r="N563" t="inlineStr">
        <is>
          <t>P4</t>
        </is>
      </c>
      <c r="O563" t="inlineStr">
        <is>
          <t>CVE - IP enrichment n/a</t>
        </is>
      </c>
      <c r="P563" t="n">
        <v>0</v>
      </c>
      <c r="Q563" t="n">
        <v>0</v>
      </c>
      <c r="R563" t="inlineStr">
        <is>
          <t>T1189:Drive-by Compromise</t>
        </is>
      </c>
      <c r="S563" t="n">
        <v>1</v>
      </c>
      <c r="T563" t="inlineStr">
        <is>
          <t>LOW (40%)</t>
        </is>
      </c>
      <c r="U563" t="inlineStr">
        <is>
          <t>UNLIKELY</t>
        </is>
      </c>
      <c r="V563" t="inlineStr">
        <is>
          <t>CHECK_VENDOR</t>
        </is>
      </c>
      <c r="W563" t="inlineStr">
        <is>
          <t>https://nvd.nist.gov/vuln/detail/CVE-2026-27074</t>
        </is>
      </c>
      <c r="X563" t="inlineStr">
        <is>
          <t>NONE</t>
        </is>
      </c>
      <c r="Y563" t="n">
        <v>0</v>
      </c>
      <c r="Z563" t="inlineStr"/>
      <c r="AA563" t="inlineStr">
        <is>
          <t>https://nvd.nist.gov/vuln/detail/CVE-2026-27074</t>
        </is>
      </c>
    </row>
    <row r="564">
      <c r="A564" t="inlineStr">
        <is>
          <t>CVE</t>
        </is>
      </c>
      <c r="B564" t="inlineStr">
        <is>
          <t>CVE-2026-27090</t>
        </is>
      </c>
      <c r="C564" t="inlineStr">
        <is>
          <t>Cross-Site Request Forgery (CSRF) vulnerability in WP Moose Kenta Companion kenta-companion allows Cross Site Request Forgery.This issue affects Kenta Companion: from n/a through &lt;= 1.3.3.</t>
        </is>
      </c>
      <c r="D564" t="n">
        <v>4.3</v>
      </c>
      <c r="E564" t="inlineStr">
        <is>
          <t>MEDIUM</t>
        </is>
      </c>
      <c r="F564" t="n">
        <v>2</v>
      </c>
      <c r="G564" t="n">
        <v>2</v>
      </c>
      <c r="H564" t="inlineStr">
        <is>
          <t>MEDIUM</t>
        </is>
      </c>
      <c r="I564" t="n">
        <v>8.300000000000001</v>
      </c>
      <c r="J564" t="inlineStr">
        <is>
          <t>NO</t>
        </is>
      </c>
      <c r="K564" t="inlineStr">
        <is>
          <t>2026-02-23 23:48</t>
        </is>
      </c>
      <c r="L564" t="inlineStr">
        <is>
          <t>CHECK_VENDOR</t>
        </is>
      </c>
      <c r="M564" t="inlineStr">
        <is>
          <t>See CVE details</t>
        </is>
      </c>
      <c r="N564" t="inlineStr">
        <is>
          <t>P4</t>
        </is>
      </c>
      <c r="O564" t="inlineStr">
        <is>
          <t>CVE - IP enrichment n/a</t>
        </is>
      </c>
      <c r="P564" t="n">
        <v>0.0001</v>
      </c>
      <c r="Q564" t="n">
        <v>0.0263</v>
      </c>
      <c r="R564" t="inlineStr">
        <is>
          <t>T1185:Browser Session Hijacking</t>
        </is>
      </c>
      <c r="S564" t="n">
        <v>1</v>
      </c>
      <c r="T564" t="inlineStr">
        <is>
          <t>LOW (40%)</t>
        </is>
      </c>
      <c r="U564" t="inlineStr">
        <is>
          <t>UNLIKELY</t>
        </is>
      </c>
      <c r="V564" t="inlineStr">
        <is>
          <t>CHECK_VENDOR</t>
        </is>
      </c>
      <c r="W564" t="inlineStr">
        <is>
          <t>https://nvd.nist.gov/vuln/detail/CVE-2026-27090</t>
        </is>
      </c>
      <c r="X564" t="inlineStr">
        <is>
          <t>NONE</t>
        </is>
      </c>
      <c r="Y564" t="n">
        <v>0</v>
      </c>
      <c r="Z564" t="inlineStr"/>
      <c r="AA564" t="inlineStr">
        <is>
          <t>https://nvd.nist.gov/vuln/detail/CVE-2026-27090</t>
        </is>
      </c>
    </row>
    <row r="565">
      <c r="A565" t="inlineStr">
        <is>
          <t>CVE</t>
        </is>
      </c>
      <c r="B565" t="inlineStr">
        <is>
          <t>CVE-2026-27092</t>
        </is>
      </c>
      <c r="C565" t="inlineStr">
        <is>
          <t>Missing Authorization vulnerability in Greg Winiarski WPAdverts wpadverts allows Exploiting Incorrectly Configured Access Control Security Levels.This issue affects WPAdverts: from n/a through &lt;= 2.2.11.</t>
        </is>
      </c>
      <c r="D565" t="n">
        <v>6.5</v>
      </c>
      <c r="E565" t="inlineStr">
        <is>
          <t>MEDIUM</t>
        </is>
      </c>
      <c r="F565" t="n">
        <v>2</v>
      </c>
      <c r="G565" t="n">
        <v>2</v>
      </c>
      <c r="H565" t="inlineStr">
        <is>
          <t>MEDIUM</t>
        </is>
      </c>
      <c r="I565" t="n">
        <v>10.5</v>
      </c>
      <c r="J565" t="inlineStr">
        <is>
          <t>NO</t>
        </is>
      </c>
      <c r="K565" t="inlineStr">
        <is>
          <t>2026-02-23 23:48</t>
        </is>
      </c>
      <c r="L565" t="inlineStr">
        <is>
          <t>CHECK_VENDOR</t>
        </is>
      </c>
      <c r="M565" t="inlineStr">
        <is>
          <t>See CVE details</t>
        </is>
      </c>
      <c r="N565" t="inlineStr">
        <is>
          <t>P4</t>
        </is>
      </c>
      <c r="O565" t="inlineStr">
        <is>
          <t>CVE - IP enrichment n/a</t>
        </is>
      </c>
      <c r="P565" t="n">
        <v>0</v>
      </c>
      <c r="Q565" t="n">
        <v>0</v>
      </c>
      <c r="R565" t="inlineStr">
        <is>
          <t>T1190:Exploit Public-Facing Application</t>
        </is>
      </c>
      <c r="S565" t="n">
        <v>1</v>
      </c>
      <c r="T565" t="inlineStr">
        <is>
          <t>LOW (40%)</t>
        </is>
      </c>
      <c r="U565" t="inlineStr">
        <is>
          <t>UNLIKELY</t>
        </is>
      </c>
      <c r="V565" t="inlineStr">
        <is>
          <t>CHECK_VENDOR</t>
        </is>
      </c>
      <c r="W565" t="inlineStr">
        <is>
          <t>https://nvd.nist.gov/vuln/detail/CVE-2026-27092</t>
        </is>
      </c>
      <c r="X565" t="inlineStr">
        <is>
          <t>NONE</t>
        </is>
      </c>
      <c r="Y565" t="n">
        <v>0</v>
      </c>
      <c r="Z565" t="inlineStr"/>
      <c r="AA565" t="inlineStr">
        <is>
          <t>https://nvd.nist.gov/vuln/detail/CVE-2026-27092</t>
        </is>
      </c>
    </row>
    <row r="566">
      <c r="A566" t="inlineStr">
        <is>
          <t>CVE</t>
        </is>
      </c>
      <c r="B566" t="inlineStr">
        <is>
          <t>CVE-2026-27094</t>
        </is>
      </c>
      <c r="C566" t="inlineStr">
        <is>
          <t>Improper Neutralization of Input During Web Page Generation ('Cross-site Scripting') vulnerability in GoDaddy CoBlocks coblocks allows Stored XSS.This issue affects CoBlocks: from n/a through &lt;= 3.1.16.</t>
        </is>
      </c>
      <c r="D566" t="n">
        <v>6.5</v>
      </c>
      <c r="E566" t="inlineStr">
        <is>
          <t>MEDIUM</t>
        </is>
      </c>
      <c r="F566" t="n">
        <v>2</v>
      </c>
      <c r="G566" t="n">
        <v>2</v>
      </c>
      <c r="H566" t="inlineStr">
        <is>
          <t>MEDIUM</t>
        </is>
      </c>
      <c r="I566" t="n">
        <v>10.5</v>
      </c>
      <c r="J566" t="inlineStr">
        <is>
          <t>NO</t>
        </is>
      </c>
      <c r="K566" t="inlineStr">
        <is>
          <t>2026-02-23 23:48</t>
        </is>
      </c>
      <c r="L566" t="inlineStr">
        <is>
          <t>CHECK_VENDOR</t>
        </is>
      </c>
      <c r="M566" t="inlineStr">
        <is>
          <t>See CVE details</t>
        </is>
      </c>
      <c r="N566" t="inlineStr">
        <is>
          <t>P4</t>
        </is>
      </c>
      <c r="O566" t="inlineStr">
        <is>
          <t>CVE - IP enrichment n/a</t>
        </is>
      </c>
      <c r="P566" t="n">
        <v>0.0003</v>
      </c>
      <c r="Q566" t="n">
        <v>0.096</v>
      </c>
      <c r="R566" t="inlineStr">
        <is>
          <t>T1189:Drive-by Compromise</t>
        </is>
      </c>
      <c r="S566" t="n">
        <v>1</v>
      </c>
      <c r="T566" t="inlineStr">
        <is>
          <t>LOW (40%)</t>
        </is>
      </c>
      <c r="U566" t="inlineStr">
        <is>
          <t>UNLIKELY</t>
        </is>
      </c>
      <c r="V566" t="inlineStr">
        <is>
          <t>CHECK_VENDOR</t>
        </is>
      </c>
      <c r="W566" t="inlineStr">
        <is>
          <t>https://nvd.nist.gov/vuln/detail/CVE-2026-27094</t>
        </is>
      </c>
      <c r="X566" t="inlineStr">
        <is>
          <t>NONE</t>
        </is>
      </c>
      <c r="Y566" t="n">
        <v>0</v>
      </c>
      <c r="Z566" t="inlineStr"/>
      <c r="AA566" t="inlineStr">
        <is>
          <t>https://nvd.nist.gov/vuln/detail/CVE-2026-27094</t>
        </is>
      </c>
    </row>
    <row r="567">
      <c r="A567" t="inlineStr">
        <is>
          <t>CVE</t>
        </is>
      </c>
      <c r="B567" t="inlineStr">
        <is>
          <t>CVE-2026-2735</t>
        </is>
      </c>
      <c r="C567" t="inlineStr">
        <is>
          <t>Stored Cross-Site Scripting (XSS) in Alkacon's OpenCms v18.0, which occurs when user input is not properly validated when sending a POST request to ‘/blog/new-article/org.opencms.ugc.CmsUgcEditService.gwt’ using the ‘text’ parameter.</t>
        </is>
      </c>
      <c r="D567" t="n">
        <v>5.4</v>
      </c>
      <c r="E567" t="inlineStr">
        <is>
          <t>MEDIUM</t>
        </is>
      </c>
      <c r="F567" t="n">
        <v>2</v>
      </c>
      <c r="G567" t="n">
        <v>2</v>
      </c>
      <c r="H567" t="inlineStr">
        <is>
          <t>MEDIUM</t>
        </is>
      </c>
      <c r="I567" t="n">
        <v>9.4</v>
      </c>
      <c r="J567" t="inlineStr">
        <is>
          <t>NO</t>
        </is>
      </c>
      <c r="K567" t="inlineStr">
        <is>
          <t>2026-02-23 23:48</t>
        </is>
      </c>
      <c r="L567" t="inlineStr">
        <is>
          <t>CHECK_VENDOR</t>
        </is>
      </c>
      <c r="M567" t="inlineStr">
        <is>
          <t>alkacon opencms 18.0.0</t>
        </is>
      </c>
      <c r="N567" t="inlineStr">
        <is>
          <t>P4</t>
        </is>
      </c>
      <c r="O567" t="inlineStr">
        <is>
          <t>CVE - IP enrichment n/a</t>
        </is>
      </c>
      <c r="P567" t="n">
        <v>0</v>
      </c>
      <c r="Q567" t="n">
        <v>0</v>
      </c>
      <c r="R567" t="inlineStr">
        <is>
          <t>T1189:Drive-by Compromise</t>
        </is>
      </c>
      <c r="S567" t="n">
        <v>1</v>
      </c>
      <c r="T567" t="inlineStr">
        <is>
          <t>LOW (40%)</t>
        </is>
      </c>
      <c r="U567" t="inlineStr">
        <is>
          <t>UNLIKELY</t>
        </is>
      </c>
      <c r="V567" t="inlineStr">
        <is>
          <t>CHECK_VENDOR</t>
        </is>
      </c>
      <c r="W567" t="inlineStr">
        <is>
          <t>https://nvd.nist.gov/vuln/detail/CVE-2026-2735</t>
        </is>
      </c>
      <c r="X567" t="inlineStr">
        <is>
          <t>NONE</t>
        </is>
      </c>
      <c r="Y567" t="n">
        <v>0</v>
      </c>
      <c r="Z567" t="inlineStr"/>
      <c r="AA567" t="inlineStr">
        <is>
          <t>https://nvd.nist.gov/vuln/detail/CVE-2026-2735</t>
        </is>
      </c>
    </row>
    <row r="568">
      <c r="A568" t="inlineStr">
        <is>
          <t>CVE</t>
        </is>
      </c>
      <c r="B568" t="inlineStr">
        <is>
          <t>CVE-2026-2736</t>
        </is>
      </c>
      <c r="C568" t="inlineStr">
        <is>
          <t>Reflected Cross-site Scripting (XSS) in Alkacon's OpenCms v18.0, which allows an attacker to execute JavaScript code in the victim's browser by sending the victim a malicious URL containing the ‘q’ parameter in ‘/search/index.html’. This vulnerability can be exploited to steal sensitive user information such as session cookies, or to perform actions while impersonating the user.</t>
        </is>
      </c>
      <c r="D568" t="n">
        <v>6.1</v>
      </c>
      <c r="E568" t="inlineStr">
        <is>
          <t>MEDIUM</t>
        </is>
      </c>
      <c r="F568" t="n">
        <v>2</v>
      </c>
      <c r="G568" t="n">
        <v>2</v>
      </c>
      <c r="H568" t="inlineStr">
        <is>
          <t>MEDIUM</t>
        </is>
      </c>
      <c r="I568" t="n">
        <v>10.1</v>
      </c>
      <c r="J568" t="inlineStr">
        <is>
          <t>NO</t>
        </is>
      </c>
      <c r="K568" t="inlineStr">
        <is>
          <t>2026-02-23 23:48</t>
        </is>
      </c>
      <c r="L568" t="inlineStr">
        <is>
          <t>CHECK_VENDOR</t>
        </is>
      </c>
      <c r="M568" t="inlineStr">
        <is>
          <t>alkacon opencms 18.0.0</t>
        </is>
      </c>
      <c r="N568" t="inlineStr">
        <is>
          <t>P4</t>
        </is>
      </c>
      <c r="O568" t="inlineStr">
        <is>
          <t>CVE - IP enrichment n/a</t>
        </is>
      </c>
      <c r="P568" t="n">
        <v>0.0005</v>
      </c>
      <c r="Q568" t="n">
        <v>0.1461</v>
      </c>
      <c r="R568" t="inlineStr">
        <is>
          <t>T1189:Drive-by Compromise</t>
        </is>
      </c>
      <c r="S568" t="n">
        <v>1</v>
      </c>
      <c r="T568" t="inlineStr">
        <is>
          <t>LOW (40%)</t>
        </is>
      </c>
      <c r="U568" t="inlineStr">
        <is>
          <t>UNLIKELY</t>
        </is>
      </c>
      <c r="V568" t="inlineStr">
        <is>
          <t>CHECK_VENDOR</t>
        </is>
      </c>
      <c r="W568" t="inlineStr">
        <is>
          <t>https://nvd.nist.gov/vuln/detail/CVE-2026-2736</t>
        </is>
      </c>
      <c r="X568" t="inlineStr">
        <is>
          <t>NONE</t>
        </is>
      </c>
      <c r="Y568" t="n">
        <v>0</v>
      </c>
      <c r="Z568" t="inlineStr"/>
      <c r="AA568" t="inlineStr">
        <is>
          <t>https://nvd.nist.gov/vuln/detail/CVE-2026-2736</t>
        </is>
      </c>
    </row>
    <row r="569">
      <c r="A569" t="inlineStr">
        <is>
          <t>CVE</t>
        </is>
      </c>
      <c r="B569" t="inlineStr">
        <is>
          <t>CVE-2025-12107</t>
        </is>
      </c>
      <c r="C569" t="inlineStr">
        <is>
          <t>Due to the use of a vulnerable third-party Velocity template engine, a malicious actor with admin privilege may inject and execute arbitrary template syntax within server-side templates. 
 Successful exploitation of this vulnerability could allow a malicious actor with admin privilege to inject and execute arbitrary template code on the server, potentially leading to remote code execution, data manipulation, or unauthorized access to sensitive information.</t>
        </is>
      </c>
      <c r="D569" t="n">
        <v>10</v>
      </c>
      <c r="E569" t="inlineStr">
        <is>
          <t>CRITICAL</t>
        </is>
      </c>
      <c r="F569" t="n">
        <v>2</v>
      </c>
      <c r="G569" t="n">
        <v>3</v>
      </c>
      <c r="H569" t="inlineStr">
        <is>
          <t>HIGH</t>
        </is>
      </c>
      <c r="I569" t="n">
        <v>16</v>
      </c>
      <c r="J569" t="inlineStr">
        <is>
          <t>NO</t>
        </is>
      </c>
      <c r="K569" t="inlineStr">
        <is>
          <t>2026-02-23 23:48</t>
        </is>
      </c>
      <c r="L569" t="inlineStr">
        <is>
          <t>YES</t>
        </is>
      </c>
      <c r="M569" t="inlineStr">
        <is>
          <t>wso2 identity_server 5.11.0</t>
        </is>
      </c>
      <c r="N569" t="inlineStr">
        <is>
          <t>P3</t>
        </is>
      </c>
      <c r="O569" t="inlineStr">
        <is>
          <t>CVE - IP enrichment n/a</t>
        </is>
      </c>
      <c r="P569" t="n">
        <v>0</v>
      </c>
      <c r="Q569" t="n">
        <v>0</v>
      </c>
      <c r="R569" t="inlineStr">
        <is>
          <t>T1190:Exploit Public-Facing Application | T1210:Exploitation of Remote Services</t>
        </is>
      </c>
      <c r="S569" t="n">
        <v>1</v>
      </c>
      <c r="T569" t="inlineStr">
        <is>
          <t>LOW (40%)</t>
        </is>
      </c>
      <c r="U569" t="inlineStr">
        <is>
          <t>UNLIKELY</t>
        </is>
      </c>
      <c r="V569" t="inlineStr">
        <is>
          <t>PATCH_AVAILABLE</t>
        </is>
      </c>
      <c r="W569" t="inlineStr">
        <is>
          <t>https://nvd.nist.gov/vuln/detail/CVE-2025-12107</t>
        </is>
      </c>
      <c r="X569" t="inlineStr">
        <is>
          <t>NONE</t>
        </is>
      </c>
      <c r="Y569" t="n">
        <v>0</v>
      </c>
      <c r="Z569" t="inlineStr"/>
      <c r="AA569" t="inlineStr">
        <is>
          <t>https://nvd.nist.gov/vuln/detail/CVE-2025-12107</t>
        </is>
      </c>
    </row>
    <row r="570">
      <c r="A570" t="inlineStr">
        <is>
          <t>CVE</t>
        </is>
      </c>
      <c r="B570" t="inlineStr">
        <is>
          <t>CVE-2025-13590</t>
        </is>
      </c>
      <c r="C570" t="inlineStr">
        <is>
          <t>A malicious actor with administrative privileges can upload an arbitrary file to a user-controlled location within the deployment via a system REST API. Successful uploads may lead to remote code execution. 
 By leveraging the vulnerability, a malicious actor may perform Remote Code Execution by uploading a specially crafted payload.</t>
        </is>
      </c>
      <c r="D570" t="n">
        <v>9.1</v>
      </c>
      <c r="E570" t="inlineStr">
        <is>
          <t>CRITICAL</t>
        </is>
      </c>
      <c r="F570" t="n">
        <v>2</v>
      </c>
      <c r="G570" t="n">
        <v>3</v>
      </c>
      <c r="H570" t="inlineStr">
        <is>
          <t>HIGH</t>
        </is>
      </c>
      <c r="I570" t="n">
        <v>15.1</v>
      </c>
      <c r="J570" t="inlineStr">
        <is>
          <t>NO</t>
        </is>
      </c>
      <c r="K570" t="inlineStr">
        <is>
          <t>2026-02-23 23:48</t>
        </is>
      </c>
      <c r="L570" t="inlineStr">
        <is>
          <t>YES</t>
        </is>
      </c>
      <c r="M570" t="inlineStr">
        <is>
          <t>wso2 api_manager 4.2.0 | wso2 api_control_plane 4.5.0 | wso2 api_control_plane 4.6.0</t>
        </is>
      </c>
      <c r="N570" t="inlineStr">
        <is>
          <t>P3</t>
        </is>
      </c>
      <c r="O570" t="inlineStr">
        <is>
          <t>CVE - IP enrichment n/a</t>
        </is>
      </c>
      <c r="P570" t="n">
        <v>0</v>
      </c>
      <c r="Q570" t="n">
        <v>0</v>
      </c>
      <c r="R570" t="inlineStr">
        <is>
          <t>T1190:Exploit Public-Facing Application | T1210:Exploitation of Remote Services</t>
        </is>
      </c>
      <c r="S570" t="n">
        <v>1</v>
      </c>
      <c r="T570" t="inlineStr">
        <is>
          <t>LOW (40%)</t>
        </is>
      </c>
      <c r="U570" t="inlineStr">
        <is>
          <t>UNLIKELY</t>
        </is>
      </c>
      <c r="V570" t="inlineStr">
        <is>
          <t>PATCH_AVAILABLE</t>
        </is>
      </c>
      <c r="W570" t="inlineStr">
        <is>
          <t>https://nvd.nist.gov/vuln/detail/CVE-2025-13590</t>
        </is>
      </c>
      <c r="X570" t="inlineStr">
        <is>
          <t>NONE</t>
        </is>
      </c>
      <c r="Y570" t="n">
        <v>0</v>
      </c>
      <c r="Z570" t="inlineStr"/>
      <c r="AA570" t="inlineStr">
        <is>
          <t>https://nvd.nist.gov/vuln/detail/CVE-2025-13590</t>
        </is>
      </c>
    </row>
    <row r="571">
      <c r="A571" t="inlineStr">
        <is>
          <t>CVE</t>
        </is>
      </c>
      <c r="B571" t="inlineStr">
        <is>
          <t>CVE-2026-1219</t>
        </is>
      </c>
      <c r="C571" t="inlineStr">
        <is>
          <t>The MP3 Audio Player – Music Player, Podcast Player &amp; Radio by Sonaar plugin for WordPress is vulnerable to Insecure Direct Object Reference in versions 4.0 to 5.10 via the 'load_track_note_ajax' due to missing validation on a user controlled key. This makes it possible for unauthenticated attackers to view the contents of private posts.</t>
        </is>
      </c>
      <c r="D571" t="n">
        <v>5.3</v>
      </c>
      <c r="E571" t="inlineStr">
        <is>
          <t>MEDIUM</t>
        </is>
      </c>
      <c r="F571" t="n">
        <v>2</v>
      </c>
      <c r="G571" t="n">
        <v>2</v>
      </c>
      <c r="H571" t="inlineStr">
        <is>
          <t>MEDIUM</t>
        </is>
      </c>
      <c r="I571" t="n">
        <v>9.300000000000001</v>
      </c>
      <c r="J571" t="inlineStr">
        <is>
          <t>NO</t>
        </is>
      </c>
      <c r="K571" t="inlineStr">
        <is>
          <t>2026-02-23 23:48</t>
        </is>
      </c>
      <c r="L571" t="inlineStr">
        <is>
          <t>CHECK_VENDOR</t>
        </is>
      </c>
      <c r="M571" t="inlineStr">
        <is>
          <t>See CVE details</t>
        </is>
      </c>
      <c r="N571" t="inlineStr">
        <is>
          <t>P4</t>
        </is>
      </c>
      <c r="O571" t="inlineStr">
        <is>
          <t>CVE - IP enrichment n/a</t>
        </is>
      </c>
      <c r="P571" t="n">
        <v>0</v>
      </c>
      <c r="Q571" t="n">
        <v>0</v>
      </c>
      <c r="R571" t="inlineStr">
        <is>
          <t>T1190:Exploit Public-Facing Application</t>
        </is>
      </c>
      <c r="S571" t="n">
        <v>1</v>
      </c>
      <c r="T571" t="inlineStr">
        <is>
          <t>LOW (40%)</t>
        </is>
      </c>
      <c r="U571" t="inlineStr">
        <is>
          <t>UNLIKELY</t>
        </is>
      </c>
      <c r="V571" t="inlineStr">
        <is>
          <t>CHECK_VENDOR</t>
        </is>
      </c>
      <c r="W571" t="inlineStr">
        <is>
          <t>https://nvd.nist.gov/vuln/detail/CVE-2026-1219</t>
        </is>
      </c>
      <c r="X571" t="inlineStr">
        <is>
          <t>NONE</t>
        </is>
      </c>
      <c r="Y571" t="n">
        <v>0</v>
      </c>
      <c r="Z571" t="inlineStr"/>
      <c r="AA571" t="inlineStr">
        <is>
          <t>https://nvd.nist.gov/vuln/detail/CVE-2026-1219</t>
        </is>
      </c>
    </row>
    <row r="572">
      <c r="A572" t="inlineStr">
        <is>
          <t>CVE</t>
        </is>
      </c>
      <c r="B572" t="inlineStr">
        <is>
          <t>CVE-2026-1461</t>
        </is>
      </c>
      <c r="C572" t="inlineStr">
        <is>
          <t>The Simple Membership plugin for WordPress is vulnerable to Improper Handling of Missing Values in all versions up to, and including, 4.7.0 via the Stripe webhook handler. This is due to the plugin only validating webhook signatures when the stripe-webhook-signing-secret setting is configured, which is empty by default. This makes it possible for unauthenticated attackers to forge Stripe webhook events to manipulate membership subscriptions, including reactivating expired memberships without pay</t>
        </is>
      </c>
      <c r="D572" t="n">
        <v>6.5</v>
      </c>
      <c r="E572" t="inlineStr">
        <is>
          <t>MEDIUM</t>
        </is>
      </c>
      <c r="F572" t="n">
        <v>2</v>
      </c>
      <c r="G572" t="n">
        <v>2</v>
      </c>
      <c r="H572" t="inlineStr">
        <is>
          <t>MEDIUM</t>
        </is>
      </c>
      <c r="I572" t="n">
        <v>10.5</v>
      </c>
      <c r="J572" t="inlineStr">
        <is>
          <t>NO</t>
        </is>
      </c>
      <c r="K572" t="inlineStr">
        <is>
          <t>2026-02-23 23:48</t>
        </is>
      </c>
      <c r="L572" t="inlineStr">
        <is>
          <t>CHECK_VENDOR</t>
        </is>
      </c>
      <c r="M572" t="inlineStr">
        <is>
          <t>See CVE details</t>
        </is>
      </c>
      <c r="N572" t="inlineStr">
        <is>
          <t>P4</t>
        </is>
      </c>
      <c r="O572" t="inlineStr">
        <is>
          <t>CVE - IP enrichment n/a</t>
        </is>
      </c>
      <c r="P572" t="n">
        <v>0</v>
      </c>
      <c r="Q572" t="n">
        <v>0</v>
      </c>
      <c r="R572" t="inlineStr">
        <is>
          <t>T1190:Exploit Public-Facing Application</t>
        </is>
      </c>
      <c r="S572" t="n">
        <v>1</v>
      </c>
      <c r="T572" t="inlineStr">
        <is>
          <t>LOW (40%)</t>
        </is>
      </c>
      <c r="U572" t="inlineStr">
        <is>
          <t>UNLIKELY</t>
        </is>
      </c>
      <c r="V572" t="inlineStr">
        <is>
          <t>CHECK_VENDOR</t>
        </is>
      </c>
      <c r="W572" t="inlineStr">
        <is>
          <t>https://nvd.nist.gov/vuln/detail/CVE-2026-1461</t>
        </is>
      </c>
      <c r="X572" t="inlineStr">
        <is>
          <t>NONE</t>
        </is>
      </c>
      <c r="Y572" t="n">
        <v>0</v>
      </c>
      <c r="Z572" t="inlineStr"/>
      <c r="AA572" t="inlineStr">
        <is>
          <t>https://nvd.nist.gov/vuln/detail/CVE-2026-1461</t>
        </is>
      </c>
    </row>
    <row r="573">
      <c r="A573" t="inlineStr">
        <is>
          <t>CVE</t>
        </is>
      </c>
      <c r="B573" t="inlineStr">
        <is>
          <t>CVE-2026-22266</t>
        </is>
      </c>
      <c r="C573" t="inlineStr">
        <is>
          <t>Dell PowerProtect Data Manager, version(s) prior to 19.22, contain(s) an Improper Verification of Source of a Communication Channel vulnerability in the REST API. A high privileged attacker with remote access could potentially exploit this vulnerability, leading to protection mechanism bypass.</t>
        </is>
      </c>
      <c r="D573" t="n">
        <v>4.7</v>
      </c>
      <c r="E573" t="inlineStr">
        <is>
          <t>MEDIUM</t>
        </is>
      </c>
      <c r="F573" t="n">
        <v>2</v>
      </c>
      <c r="G573" t="n">
        <v>2</v>
      </c>
      <c r="H573" t="inlineStr">
        <is>
          <t>MEDIUM</t>
        </is>
      </c>
      <c r="I573" t="n">
        <v>8.699999999999999</v>
      </c>
      <c r="J573" t="inlineStr">
        <is>
          <t>NO</t>
        </is>
      </c>
      <c r="K573" t="inlineStr">
        <is>
          <t>2026-02-23 23:48</t>
        </is>
      </c>
      <c r="L573" t="inlineStr">
        <is>
          <t>YES</t>
        </is>
      </c>
      <c r="M573" t="inlineStr">
        <is>
          <t>dell powerprotect_data_manager *</t>
        </is>
      </c>
      <c r="N573" t="inlineStr">
        <is>
          <t>P4</t>
        </is>
      </c>
      <c r="O573" t="inlineStr">
        <is>
          <t>CVE - IP enrichment n/a</t>
        </is>
      </c>
      <c r="P573" t="n">
        <v>0</v>
      </c>
      <c r="Q573" t="n">
        <v>0</v>
      </c>
      <c r="R573" t="inlineStr">
        <is>
          <t>T1190:Exploit Public-Facing Application</t>
        </is>
      </c>
      <c r="S573" t="n">
        <v>1</v>
      </c>
      <c r="T573" t="inlineStr">
        <is>
          <t>LOW (40%)</t>
        </is>
      </c>
      <c r="U573" t="inlineStr">
        <is>
          <t>UNLIKELY</t>
        </is>
      </c>
      <c r="V573" t="inlineStr">
        <is>
          <t>PATCH_AVAILABLE</t>
        </is>
      </c>
      <c r="W573" t="inlineStr">
        <is>
          <t>https://nvd.nist.gov/vuln/detail/CVE-2026-22266</t>
        </is>
      </c>
      <c r="X573" t="inlineStr">
        <is>
          <t>NONE</t>
        </is>
      </c>
      <c r="Y573" t="n">
        <v>0</v>
      </c>
      <c r="Z573" t="inlineStr"/>
      <c r="AA573" t="inlineStr">
        <is>
          <t>https://nvd.nist.gov/vuln/detail/CVE-2026-22266</t>
        </is>
      </c>
    </row>
    <row r="574">
      <c r="A574" t="inlineStr">
        <is>
          <t>CVE</t>
        </is>
      </c>
      <c r="B574" t="inlineStr">
        <is>
          <t>CVE-2026-22267</t>
        </is>
      </c>
      <c r="C574" t="inlineStr">
        <is>
          <t>Dell PowerProtect Data Manager, version(s) prior to 19.22, contain(s) an Incorrect Privilege Assignment vulnerability. A low privileged attacker with remote access could potentially exploit this vulnerability, leading to Elevation of privileges.</t>
        </is>
      </c>
      <c r="D574" t="n">
        <v>8.1</v>
      </c>
      <c r="E574" t="inlineStr">
        <is>
          <t>HIGH</t>
        </is>
      </c>
      <c r="F574" t="n">
        <v>2</v>
      </c>
      <c r="G574" t="n">
        <v>3</v>
      </c>
      <c r="H574" t="inlineStr">
        <is>
          <t>HIGH</t>
        </is>
      </c>
      <c r="I574" t="n">
        <v>14.1</v>
      </c>
      <c r="J574" t="inlineStr">
        <is>
          <t>NO</t>
        </is>
      </c>
      <c r="K574" t="inlineStr">
        <is>
          <t>2026-02-23 23:48</t>
        </is>
      </c>
      <c r="L574" t="inlineStr">
        <is>
          <t>YES</t>
        </is>
      </c>
      <c r="M574" t="inlineStr">
        <is>
          <t>dell powerprotect_data_manager *</t>
        </is>
      </c>
      <c r="N574" t="inlineStr">
        <is>
          <t>P3</t>
        </is>
      </c>
      <c r="O574" t="inlineStr">
        <is>
          <t>CVE - IP enrichment n/a</t>
        </is>
      </c>
      <c r="P574" t="n">
        <v>0</v>
      </c>
      <c r="Q574" t="n">
        <v>0</v>
      </c>
      <c r="R574" t="inlineStr">
        <is>
          <t>T1190:Exploit Public-Facing Application</t>
        </is>
      </c>
      <c r="S574" t="n">
        <v>1</v>
      </c>
      <c r="T574" t="inlineStr">
        <is>
          <t>LOW (40%)</t>
        </is>
      </c>
      <c r="U574" t="inlineStr">
        <is>
          <t>UNLIKELY</t>
        </is>
      </c>
      <c r="V574" t="inlineStr">
        <is>
          <t>PATCH_AVAILABLE</t>
        </is>
      </c>
      <c r="W574" t="inlineStr">
        <is>
          <t>https://nvd.nist.gov/vuln/detail/CVE-2026-22267</t>
        </is>
      </c>
      <c r="X574" t="inlineStr">
        <is>
          <t>NONE</t>
        </is>
      </c>
      <c r="Y574" t="n">
        <v>0</v>
      </c>
      <c r="Z574" t="inlineStr"/>
      <c r="AA574" t="inlineStr">
        <is>
          <t>https://nvd.nist.gov/vuln/detail/CVE-2026-22267</t>
        </is>
      </c>
    </row>
    <row r="575">
      <c r="A575" t="inlineStr">
        <is>
          <t>CVE</t>
        </is>
      </c>
      <c r="B575" t="inlineStr">
        <is>
          <t>CVE-2026-22268</t>
        </is>
      </c>
      <c r="C575" t="inlineStr">
        <is>
          <t>Dell PowerProtect Data Manager, version(s) prior to 19.22, contain(s) an Incorrect Privilege Assignment vulnerability. A low privileged attacker with remote access could potentially exploit this vulnerability, leading to denial of service of a Dell Enterprise Support connection.</t>
        </is>
      </c>
      <c r="D575" t="n">
        <v>6.3</v>
      </c>
      <c r="E575" t="inlineStr">
        <is>
          <t>MEDIUM</t>
        </is>
      </c>
      <c r="F575" t="n">
        <v>2</v>
      </c>
      <c r="G575" t="n">
        <v>2</v>
      </c>
      <c r="H575" t="inlineStr">
        <is>
          <t>MEDIUM</t>
        </is>
      </c>
      <c r="I575" t="n">
        <v>10.3</v>
      </c>
      <c r="J575" t="inlineStr">
        <is>
          <t>NO</t>
        </is>
      </c>
      <c r="K575" t="inlineStr">
        <is>
          <t>2026-02-23 23:48</t>
        </is>
      </c>
      <c r="L575" t="inlineStr">
        <is>
          <t>YES</t>
        </is>
      </c>
      <c r="M575" t="inlineStr">
        <is>
          <t>dell powerprotect_data_manager *</t>
        </is>
      </c>
      <c r="N575" t="inlineStr">
        <is>
          <t>P4</t>
        </is>
      </c>
      <c r="O575" t="inlineStr">
        <is>
          <t>CVE - IP enrichment n/a</t>
        </is>
      </c>
      <c r="P575" t="n">
        <v>0</v>
      </c>
      <c r="Q575" t="n">
        <v>0</v>
      </c>
      <c r="R575" t="inlineStr">
        <is>
          <t>T1499:Endpoint Denial of Service</t>
        </is>
      </c>
      <c r="S575" t="n">
        <v>1</v>
      </c>
      <c r="T575" t="inlineStr">
        <is>
          <t>LOW (40%)</t>
        </is>
      </c>
      <c r="U575" t="inlineStr">
        <is>
          <t>UNLIKELY</t>
        </is>
      </c>
      <c r="V575" t="inlineStr">
        <is>
          <t>PATCH_AVAILABLE</t>
        </is>
      </c>
      <c r="W575" t="inlineStr">
        <is>
          <t>https://nvd.nist.gov/vuln/detail/CVE-2026-22268</t>
        </is>
      </c>
      <c r="X575" t="inlineStr">
        <is>
          <t>NONE</t>
        </is>
      </c>
      <c r="Y575" t="n">
        <v>0</v>
      </c>
      <c r="Z575" t="inlineStr"/>
      <c r="AA575" t="inlineStr">
        <is>
          <t>https://nvd.nist.gov/vuln/detail/CVE-2026-22268</t>
        </is>
      </c>
    </row>
    <row r="576">
      <c r="A576" t="inlineStr">
        <is>
          <t>CVE</t>
        </is>
      </c>
      <c r="B576" t="inlineStr">
        <is>
          <t>CVE-2026-2716</t>
        </is>
      </c>
      <c r="C576" t="inlineStr">
        <is>
          <t>The Client Testimonial Slider plugin for WordPress is vulnerable to Stored Cross-Site Scripting via the 'Testimonial Heading' setting in all versions up to, and including, 2.0. This is due to insufficient input sanitization and output escaping. This makes it possible for authenticated attackers, with Administrator-level access and above, to inject arbitrary web scripts in pages that will execute whenever a user accesses an injected page. This only affects multi-site installations and installatio</t>
        </is>
      </c>
      <c r="D576" t="n">
        <v>4.4</v>
      </c>
      <c r="E576" t="inlineStr">
        <is>
          <t>MEDIUM</t>
        </is>
      </c>
      <c r="F576" t="n">
        <v>2</v>
      </c>
      <c r="G576" t="n">
        <v>2</v>
      </c>
      <c r="H576" t="inlineStr">
        <is>
          <t>MEDIUM</t>
        </is>
      </c>
      <c r="I576" t="n">
        <v>8.4</v>
      </c>
      <c r="J576" t="inlineStr">
        <is>
          <t>NO</t>
        </is>
      </c>
      <c r="K576" t="inlineStr">
        <is>
          <t>2026-02-23 23:48</t>
        </is>
      </c>
      <c r="L576" t="inlineStr">
        <is>
          <t>CHECK_VENDOR</t>
        </is>
      </c>
      <c r="M576" t="inlineStr">
        <is>
          <t>See CVE details</t>
        </is>
      </c>
      <c r="N576" t="inlineStr">
        <is>
          <t>P4</t>
        </is>
      </c>
      <c r="O576" t="inlineStr">
        <is>
          <t>CVE - IP enrichment n/a</t>
        </is>
      </c>
      <c r="P576" t="n">
        <v>0</v>
      </c>
      <c r="Q576" t="n">
        <v>0</v>
      </c>
      <c r="R576" t="inlineStr">
        <is>
          <t>T1189:Drive-by Compromise</t>
        </is>
      </c>
      <c r="S576" t="n">
        <v>1</v>
      </c>
      <c r="T576" t="inlineStr">
        <is>
          <t>LOW (40%)</t>
        </is>
      </c>
      <c r="U576" t="inlineStr">
        <is>
          <t>UNLIKELY</t>
        </is>
      </c>
      <c r="V576" t="inlineStr">
        <is>
          <t>CHECK_VENDOR</t>
        </is>
      </c>
      <c r="W576" t="inlineStr">
        <is>
          <t>https://nvd.nist.gov/vuln/detail/CVE-2026-2716</t>
        </is>
      </c>
      <c r="X576" t="inlineStr">
        <is>
          <t>NONE</t>
        </is>
      </c>
      <c r="Y576" t="n">
        <v>0</v>
      </c>
      <c r="Z576" t="inlineStr"/>
      <c r="AA576" t="inlineStr">
        <is>
          <t>https://nvd.nist.gov/vuln/detail/CVE-2026-2716</t>
        </is>
      </c>
    </row>
    <row r="577">
      <c r="A577" t="inlineStr">
        <is>
          <t>CVE</t>
        </is>
      </c>
      <c r="B577" t="inlineStr">
        <is>
          <t>CVE-2026-2718</t>
        </is>
      </c>
      <c r="C577" t="inlineStr">
        <is>
          <t>The Dealia – Request a Quote plugin for WordPress is vulnerable to Stored Cross-Site Scripting via Gutenberg block attributes in all versions up to, and including, 1.0.6. This is due to the use of `wp_kses()` for output escaping within HTML attribute contexts where `esc_attr()` is required. This makes it possible for authenticated attackers, with Contributor-level access and above, to inject arbitrary web scripts in pages that will execute whenever a user accesses an injected page.</t>
        </is>
      </c>
      <c r="D577" t="n">
        <v>6.4</v>
      </c>
      <c r="E577" t="inlineStr">
        <is>
          <t>MEDIUM</t>
        </is>
      </c>
      <c r="F577" t="n">
        <v>2</v>
      </c>
      <c r="G577" t="n">
        <v>2</v>
      </c>
      <c r="H577" t="inlineStr">
        <is>
          <t>MEDIUM</t>
        </is>
      </c>
      <c r="I577" t="n">
        <v>10.4</v>
      </c>
      <c r="J577" t="inlineStr">
        <is>
          <t>NO</t>
        </is>
      </c>
      <c r="K577" t="inlineStr">
        <is>
          <t>2026-02-23 23:48</t>
        </is>
      </c>
      <c r="L577" t="inlineStr">
        <is>
          <t>CHECK_VENDOR</t>
        </is>
      </c>
      <c r="M577" t="inlineStr">
        <is>
          <t>See CVE details</t>
        </is>
      </c>
      <c r="N577" t="inlineStr">
        <is>
          <t>P4</t>
        </is>
      </c>
      <c r="O577" t="inlineStr">
        <is>
          <t>CVE - IP enrichment n/a</t>
        </is>
      </c>
      <c r="P577" t="n">
        <v>0</v>
      </c>
      <c r="Q577" t="n">
        <v>0</v>
      </c>
      <c r="R577" t="inlineStr">
        <is>
          <t>T1189:Drive-by Compromise</t>
        </is>
      </c>
      <c r="S577" t="n">
        <v>1</v>
      </c>
      <c r="T577" t="inlineStr">
        <is>
          <t>LOW (40%)</t>
        </is>
      </c>
      <c r="U577" t="inlineStr">
        <is>
          <t>UNLIKELY</t>
        </is>
      </c>
      <c r="V577" t="inlineStr">
        <is>
          <t>CHECK_VENDOR</t>
        </is>
      </c>
      <c r="W577" t="inlineStr">
        <is>
          <t>https://nvd.nist.gov/vuln/detail/CVE-2026-2718</t>
        </is>
      </c>
      <c r="X577" t="inlineStr">
        <is>
          <t>NONE</t>
        </is>
      </c>
      <c r="Y577" t="n">
        <v>0</v>
      </c>
      <c r="Z577" t="inlineStr"/>
      <c r="AA577" t="inlineStr">
        <is>
          <t>https://nvd.nist.gov/vuln/detail/CVE-2026-2718</t>
        </is>
      </c>
    </row>
    <row r="578">
      <c r="A578" t="inlineStr">
        <is>
          <t>CVE</t>
        </is>
      </c>
      <c r="B578" t="inlineStr">
        <is>
          <t>CVE-2025-15559</t>
        </is>
      </c>
      <c r="C578" t="inlineStr">
        <is>
          <t>An unauthenticated attacker can inject OS commands when calling a server API endpoint in NesterSoft WorkTime. The server API call to generate and download the WorkTime client from the WorkTime server is vulnerable in the “guid” parameter. This allows an attacker to execute arbitrary commands on the WorkTime server as NT Authority\SYSTEM with the highest privileges. Attackers are able to access or manipulate sensitive data and take over the whole server.</t>
        </is>
      </c>
      <c r="D578" t="n">
        <v>9.800000000000001</v>
      </c>
      <c r="E578" t="inlineStr">
        <is>
          <t>CRITICAL</t>
        </is>
      </c>
      <c r="F578" t="n">
        <v>2</v>
      </c>
      <c r="G578" t="n">
        <v>3</v>
      </c>
      <c r="H578" t="inlineStr">
        <is>
          <t>HIGH</t>
        </is>
      </c>
      <c r="I578" t="n">
        <v>15.8</v>
      </c>
      <c r="J578" t="inlineStr">
        <is>
          <t>NO</t>
        </is>
      </c>
      <c r="K578" t="inlineStr">
        <is>
          <t>2026-02-23 23:48</t>
        </is>
      </c>
      <c r="L578" t="inlineStr">
        <is>
          <t>CHECK_VENDOR</t>
        </is>
      </c>
      <c r="M578" t="inlineStr">
        <is>
          <t>See CVE details</t>
        </is>
      </c>
      <c r="N578" t="inlineStr">
        <is>
          <t>P3</t>
        </is>
      </c>
      <c r="O578" t="inlineStr">
        <is>
          <t>CVE - IP enrichment n/a</t>
        </is>
      </c>
      <c r="P578" t="n">
        <v>0</v>
      </c>
      <c r="Q578" t="n">
        <v>0</v>
      </c>
      <c r="R578" t="inlineStr">
        <is>
          <t>T1059:Command and Scripting Interpreter</t>
        </is>
      </c>
      <c r="S578" t="n">
        <v>1</v>
      </c>
      <c r="T578" t="inlineStr">
        <is>
          <t>LOW (40%)</t>
        </is>
      </c>
      <c r="U578" t="inlineStr">
        <is>
          <t>UNLIKELY</t>
        </is>
      </c>
      <c r="V578" t="inlineStr">
        <is>
          <t>CHECK_VENDOR</t>
        </is>
      </c>
      <c r="W578" t="inlineStr">
        <is>
          <t>https://nvd.nist.gov/vuln/detail/CVE-2025-15559</t>
        </is>
      </c>
      <c r="X578" t="inlineStr">
        <is>
          <t>NONE</t>
        </is>
      </c>
      <c r="Y578" t="n">
        <v>0</v>
      </c>
      <c r="Z578" t="inlineStr"/>
      <c r="AA578" t="inlineStr">
        <is>
          <t>https://nvd.nist.gov/vuln/detail/CVE-2025-15559</t>
        </is>
      </c>
    </row>
    <row r="579">
      <c r="A579" t="inlineStr">
        <is>
          <t>CVE</t>
        </is>
      </c>
      <c r="B579" t="inlineStr">
        <is>
          <t>CVE-2025-15560</t>
        </is>
      </c>
      <c r="C579" t="inlineStr">
        <is>
          <t>An authenticated attacker with minimal permissions can exploit a SQL injection in the WorkTime server "widget" API endpoint to inject SQL queries. If the Firebird backend is used, attackers are able to retrieve all data from the database backend. If the MSSQL backend is used the attacker can execute arbitrary SQL statements on the database backend and gain access to sensitive data.</t>
        </is>
      </c>
      <c r="D579" t="n">
        <v>8.800000000000001</v>
      </c>
      <c r="E579" t="inlineStr">
        <is>
          <t>HIGH</t>
        </is>
      </c>
      <c r="F579" t="n">
        <v>2</v>
      </c>
      <c r="G579" t="n">
        <v>3</v>
      </c>
      <c r="H579" t="inlineStr">
        <is>
          <t>HIGH</t>
        </is>
      </c>
      <c r="I579" t="n">
        <v>14.8</v>
      </c>
      <c r="J579" t="inlineStr">
        <is>
          <t>NO</t>
        </is>
      </c>
      <c r="K579" t="inlineStr">
        <is>
          <t>2026-02-23 23:48</t>
        </is>
      </c>
      <c r="L579" t="inlineStr">
        <is>
          <t>CHECK_VENDOR</t>
        </is>
      </c>
      <c r="M579" t="inlineStr">
        <is>
          <t>See CVE details</t>
        </is>
      </c>
      <c r="N579" t="inlineStr">
        <is>
          <t>P3</t>
        </is>
      </c>
      <c r="O579" t="inlineStr">
        <is>
          <t>CVE - IP enrichment n/a</t>
        </is>
      </c>
      <c r="P579" t="n">
        <v>0</v>
      </c>
      <c r="Q579" t="n">
        <v>0</v>
      </c>
      <c r="R579" t="inlineStr">
        <is>
          <t>T1190:Exploit Public-Facing Application</t>
        </is>
      </c>
      <c r="S579" t="n">
        <v>1</v>
      </c>
      <c r="T579" t="inlineStr">
        <is>
          <t>LOW (40%)</t>
        </is>
      </c>
      <c r="U579" t="inlineStr">
        <is>
          <t>UNLIKELY</t>
        </is>
      </c>
      <c r="V579" t="inlineStr">
        <is>
          <t>CHECK_VENDOR</t>
        </is>
      </c>
      <c r="W579" t="inlineStr">
        <is>
          <t>https://nvd.nist.gov/vuln/detail/CVE-2025-15560</t>
        </is>
      </c>
      <c r="X579" t="inlineStr">
        <is>
          <t>NONE</t>
        </is>
      </c>
      <c r="Y579" t="n">
        <v>0</v>
      </c>
      <c r="Z579" t="inlineStr"/>
      <c r="AA579" t="inlineStr">
        <is>
          <t>https://nvd.nist.gov/vuln/detail/CVE-2025-15560</t>
        </is>
      </c>
    </row>
    <row r="580">
      <c r="A580" t="inlineStr">
        <is>
          <t>CVE</t>
        </is>
      </c>
      <c r="B580" t="inlineStr">
        <is>
          <t>CVE-2025-15561</t>
        </is>
      </c>
      <c r="C580" t="inlineStr">
        <is>
          <t>An attacker can exploit the update behavior of the WorkTime monitoring daemon to elevate privileges on the local system to NT Authority\SYSTEM. A malicious executable must be named  WTWatch.exe and dropped in the C:\ProgramData\wta\ClientExe directory, which is writable by "Everyone". The executable will then be run by the WorkTime monitoring daemon.</t>
        </is>
      </c>
      <c r="D580" t="n">
        <v>7.8</v>
      </c>
      <c r="E580" t="inlineStr">
        <is>
          <t>HIGH</t>
        </is>
      </c>
      <c r="F580" t="n">
        <v>2</v>
      </c>
      <c r="G580" t="n">
        <v>3</v>
      </c>
      <c r="H580" t="inlineStr">
        <is>
          <t>HIGH</t>
        </is>
      </c>
      <c r="I580" t="n">
        <v>13.8</v>
      </c>
      <c r="J580" t="inlineStr">
        <is>
          <t>NO</t>
        </is>
      </c>
      <c r="K580" t="inlineStr">
        <is>
          <t>2026-02-23 23:48</t>
        </is>
      </c>
      <c r="L580" t="inlineStr">
        <is>
          <t>CHECK_VENDOR</t>
        </is>
      </c>
      <c r="M580" t="inlineStr">
        <is>
          <t>See CVE details</t>
        </is>
      </c>
      <c r="N580" t="inlineStr">
        <is>
          <t>P3</t>
        </is>
      </c>
      <c r="O580" t="inlineStr">
        <is>
          <t>CVE - IP enrichment n/a</t>
        </is>
      </c>
      <c r="P580" t="n">
        <v>0.0002</v>
      </c>
      <c r="Q580" t="n">
        <v>0.0381</v>
      </c>
      <c r="R580" t="inlineStr">
        <is>
          <t>T1190:Exploit Public-Facing Application</t>
        </is>
      </c>
      <c r="S580" t="n">
        <v>1</v>
      </c>
      <c r="T580" t="inlineStr">
        <is>
          <t>LOW (40%)</t>
        </is>
      </c>
      <c r="U580" t="inlineStr">
        <is>
          <t>UNLIKELY</t>
        </is>
      </c>
      <c r="V580" t="inlineStr">
        <is>
          <t>CHECK_VENDOR</t>
        </is>
      </c>
      <c r="W580" t="inlineStr">
        <is>
          <t>https://nvd.nist.gov/vuln/detail/CVE-2025-15561</t>
        </is>
      </c>
      <c r="X580" t="inlineStr">
        <is>
          <t>NONE</t>
        </is>
      </c>
      <c r="Y580" t="n">
        <v>0</v>
      </c>
      <c r="Z580" t="inlineStr"/>
      <c r="AA580" t="inlineStr">
        <is>
          <t>https://nvd.nist.gov/vuln/detail/CVE-2025-15561</t>
        </is>
      </c>
    </row>
    <row r="581">
      <c r="A581" t="inlineStr">
        <is>
          <t>CVE</t>
        </is>
      </c>
      <c r="B581" t="inlineStr">
        <is>
          <t>CVE-2025-15562</t>
        </is>
      </c>
      <c r="C581" t="inlineStr">
        <is>
          <t>The server API endpoint /report/internet/urls reflects received data into the HTML response without applying proper encoding or filtering. This allows an attacker to execute arbitrary JavaScript in the victim's browser if the victim opens a URL prepared by the attacker.</t>
        </is>
      </c>
      <c r="D581" t="n">
        <v>6.1</v>
      </c>
      <c r="E581" t="inlineStr">
        <is>
          <t>MEDIUM</t>
        </is>
      </c>
      <c r="F581" t="n">
        <v>2</v>
      </c>
      <c r="G581" t="n">
        <v>2</v>
      </c>
      <c r="H581" t="inlineStr">
        <is>
          <t>MEDIUM</t>
        </is>
      </c>
      <c r="I581" t="n">
        <v>10.1</v>
      </c>
      <c r="J581" t="inlineStr">
        <is>
          <t>NO</t>
        </is>
      </c>
      <c r="K581" t="inlineStr">
        <is>
          <t>2026-02-23 23:48</t>
        </is>
      </c>
      <c r="L581" t="inlineStr">
        <is>
          <t>CHECK_VENDOR</t>
        </is>
      </c>
      <c r="M581" t="inlineStr">
        <is>
          <t>See CVE details</t>
        </is>
      </c>
      <c r="N581" t="inlineStr">
        <is>
          <t>P4</t>
        </is>
      </c>
      <c r="O581" t="inlineStr">
        <is>
          <t>CVE - IP enrichment n/a</t>
        </is>
      </c>
      <c r="P581" t="n">
        <v>0.0003</v>
      </c>
      <c r="Q581" t="n">
        <v>0.0823</v>
      </c>
      <c r="R581" t="inlineStr">
        <is>
          <t>T1189:Drive-by Compromise</t>
        </is>
      </c>
      <c r="S581" t="n">
        <v>1</v>
      </c>
      <c r="T581" t="inlineStr">
        <is>
          <t>LOW (40%)</t>
        </is>
      </c>
      <c r="U581" t="inlineStr">
        <is>
          <t>UNLIKELY</t>
        </is>
      </c>
      <c r="V581" t="inlineStr">
        <is>
          <t>CHECK_VENDOR</t>
        </is>
      </c>
      <c r="W581" t="inlineStr">
        <is>
          <t>https://nvd.nist.gov/vuln/detail/CVE-2025-15562</t>
        </is>
      </c>
      <c r="X581" t="inlineStr">
        <is>
          <t>NONE</t>
        </is>
      </c>
      <c r="Y581" t="n">
        <v>0</v>
      </c>
      <c r="Z581" t="inlineStr"/>
      <c r="AA581" t="inlineStr">
        <is>
          <t>https://nvd.nist.gov/vuln/detail/CVE-2025-15562</t>
        </is>
      </c>
    </row>
    <row r="582">
      <c r="A582" t="inlineStr">
        <is>
          <t>CVE</t>
        </is>
      </c>
      <c r="B582" t="inlineStr">
        <is>
          <t>CVE-2025-15563</t>
        </is>
      </c>
      <c r="C582" t="inlineStr">
        <is>
          <t>Any unauthenticated user can reset the WorkTime on-prem database configuration by sending a specific HTTP request to the WorkTime server. No authorization check is applied here.</t>
        </is>
      </c>
      <c r="D582" t="n">
        <v>5.3</v>
      </c>
      <c r="E582" t="inlineStr">
        <is>
          <t>MEDIUM</t>
        </is>
      </c>
      <c r="F582" t="n">
        <v>2</v>
      </c>
      <c r="G582" t="n">
        <v>2</v>
      </c>
      <c r="H582" t="inlineStr">
        <is>
          <t>MEDIUM</t>
        </is>
      </c>
      <c r="I582" t="n">
        <v>9.300000000000001</v>
      </c>
      <c r="J582" t="inlineStr">
        <is>
          <t>NO</t>
        </is>
      </c>
      <c r="K582" t="inlineStr">
        <is>
          <t>2026-02-23 23:48</t>
        </is>
      </c>
      <c r="L582" t="inlineStr">
        <is>
          <t>CHECK_VENDOR</t>
        </is>
      </c>
      <c r="M582" t="inlineStr">
        <is>
          <t>See CVE details</t>
        </is>
      </c>
      <c r="N582" t="inlineStr">
        <is>
          <t>P4</t>
        </is>
      </c>
      <c r="O582" t="inlineStr">
        <is>
          <t>CVE - IP enrichment n/a</t>
        </is>
      </c>
      <c r="P582" t="n">
        <v>0</v>
      </c>
      <c r="Q582" t="n">
        <v>0</v>
      </c>
      <c r="R582" t="inlineStr">
        <is>
          <t>T1190:Exploit Public-Facing Application</t>
        </is>
      </c>
      <c r="S582" t="n">
        <v>1</v>
      </c>
      <c r="T582" t="inlineStr">
        <is>
          <t>LOW (40%)</t>
        </is>
      </c>
      <c r="U582" t="inlineStr">
        <is>
          <t>UNLIKELY</t>
        </is>
      </c>
      <c r="V582" t="inlineStr">
        <is>
          <t>CHECK_VENDOR</t>
        </is>
      </c>
      <c r="W582" t="inlineStr">
        <is>
          <t>https://nvd.nist.gov/vuln/detail/CVE-2025-15563</t>
        </is>
      </c>
      <c r="X582" t="inlineStr">
        <is>
          <t>NONE</t>
        </is>
      </c>
      <c r="Y582" t="n">
        <v>0</v>
      </c>
      <c r="Z582" t="inlineStr"/>
      <c r="AA582" t="inlineStr">
        <is>
          <t>https://nvd.nist.gov/vuln/detail/CVE-2025-15563</t>
        </is>
      </c>
    </row>
    <row r="583">
      <c r="A583" t="inlineStr">
        <is>
          <t>CVE</t>
        </is>
      </c>
      <c r="B583" t="inlineStr">
        <is>
          <t>CVE-2025-9062</t>
        </is>
      </c>
      <c r="C583" t="inlineStr">
        <is>
          <t>Authorization Bypass Through User-Controlled Key vulnerability in MeCODE Informatics and Engineering Services Ltd. Envanty allows Parameter Injection.This issue affects Envanty: before 1.0.6.  
NOTE: The vendor was contacted early about this disclosure but did not respond in any way. 
The vulnerability was learned to be remediated through reporter information and testing.</t>
        </is>
      </c>
      <c r="D583" t="n">
        <v>7.3</v>
      </c>
      <c r="E583" t="inlineStr">
        <is>
          <t>HIGH</t>
        </is>
      </c>
      <c r="F583" t="n">
        <v>2</v>
      </c>
      <c r="G583" t="n">
        <v>3</v>
      </c>
      <c r="H583" t="inlineStr">
        <is>
          <t>HIGH</t>
        </is>
      </c>
      <c r="I583" t="n">
        <v>13.3</v>
      </c>
      <c r="J583" t="inlineStr">
        <is>
          <t>NO</t>
        </is>
      </c>
      <c r="K583" t="inlineStr">
        <is>
          <t>2026-02-23 23:48</t>
        </is>
      </c>
      <c r="L583" t="inlineStr">
        <is>
          <t>CHECK_VENDOR</t>
        </is>
      </c>
      <c r="M583" t="inlineStr">
        <is>
          <t>See CVE details</t>
        </is>
      </c>
      <c r="N583" t="inlineStr">
        <is>
          <t>P3</t>
        </is>
      </c>
      <c r="O583" t="inlineStr">
        <is>
          <t>CVE - IP enrichment n/a</t>
        </is>
      </c>
      <c r="P583" t="n">
        <v>0</v>
      </c>
      <c r="Q583" t="n">
        <v>0</v>
      </c>
      <c r="R583" t="inlineStr">
        <is>
          <t>T1190:Exploit Public-Facing Application</t>
        </is>
      </c>
      <c r="S583" t="n">
        <v>1</v>
      </c>
      <c r="T583" t="inlineStr">
        <is>
          <t>LOW (40%)</t>
        </is>
      </c>
      <c r="U583" t="inlineStr">
        <is>
          <t>UNLIKELY</t>
        </is>
      </c>
      <c r="V583" t="inlineStr">
        <is>
          <t>CHECK_VENDOR</t>
        </is>
      </c>
      <c r="W583" t="inlineStr">
        <is>
          <t>https://nvd.nist.gov/vuln/detail/CVE-2025-9062</t>
        </is>
      </c>
      <c r="X583" t="inlineStr">
        <is>
          <t>NONE</t>
        </is>
      </c>
      <c r="Y583" t="n">
        <v>0</v>
      </c>
      <c r="Z583" t="inlineStr"/>
      <c r="AA583" t="inlineStr">
        <is>
          <t>https://nvd.nist.gov/vuln/detail/CVE-2025-9062</t>
        </is>
      </c>
    </row>
    <row r="584">
      <c r="A584" t="inlineStr">
        <is>
          <t>CVE</t>
        </is>
      </c>
      <c r="B584" t="inlineStr">
        <is>
          <t>CVE-2025-8350</t>
        </is>
      </c>
      <c r="C584" t="inlineStr">
        <is>
          <t>Execution After Redirect (EAR), Missing Authentication for Critical Function vulnerability in Inrove Software and Internet Services BiEticaret CMS allows Authentication Bypass, HTTP Response Splitting.This issue affects BiEticaret CMS: from 2.1.13 through 19022026.
NOTE: The vendor was contacted early about this disclosure but did not respond in any way.</t>
        </is>
      </c>
      <c r="D584" t="n">
        <v>9.800000000000001</v>
      </c>
      <c r="E584" t="inlineStr">
        <is>
          <t>CRITICAL</t>
        </is>
      </c>
      <c r="F584" t="n">
        <v>2</v>
      </c>
      <c r="G584" t="n">
        <v>3</v>
      </c>
      <c r="H584" t="inlineStr">
        <is>
          <t>HIGH</t>
        </is>
      </c>
      <c r="I584" t="n">
        <v>15.8</v>
      </c>
      <c r="J584" t="inlineStr">
        <is>
          <t>NO</t>
        </is>
      </c>
      <c r="K584" t="inlineStr">
        <is>
          <t>2026-02-23 23:48</t>
        </is>
      </c>
      <c r="L584" t="inlineStr">
        <is>
          <t>CHECK_VENDOR</t>
        </is>
      </c>
      <c r="M584" t="inlineStr">
        <is>
          <t>See CVE details</t>
        </is>
      </c>
      <c r="N584" t="inlineStr">
        <is>
          <t>P3</t>
        </is>
      </c>
      <c r="O584" t="inlineStr">
        <is>
          <t>CVE - IP enrichment n/a</t>
        </is>
      </c>
      <c r="P584" t="n">
        <v>0</v>
      </c>
      <c r="Q584" t="n">
        <v>0</v>
      </c>
      <c r="R584" t="inlineStr">
        <is>
          <t>T1078:Valid Accounts</t>
        </is>
      </c>
      <c r="S584" t="n">
        <v>1</v>
      </c>
      <c r="T584" t="inlineStr">
        <is>
          <t>LOW (40%)</t>
        </is>
      </c>
      <c r="U584" t="inlineStr">
        <is>
          <t>UNLIKELY</t>
        </is>
      </c>
      <c r="V584" t="inlineStr">
        <is>
          <t>CHECK_VENDOR</t>
        </is>
      </c>
      <c r="W584" t="inlineStr">
        <is>
          <t>https://nvd.nist.gov/vuln/detail/CVE-2025-8350</t>
        </is>
      </c>
      <c r="X584" t="inlineStr">
        <is>
          <t>NONE</t>
        </is>
      </c>
      <c r="Y584" t="n">
        <v>0</v>
      </c>
      <c r="Z584" t="inlineStr"/>
      <c r="AA584" t="inlineStr">
        <is>
          <t>https://nvd.nist.gov/vuln/detail/CVE-2025-8350</t>
        </is>
      </c>
    </row>
    <row r="585">
      <c r="A585" t="inlineStr">
        <is>
          <t>CVE</t>
        </is>
      </c>
      <c r="B585" t="inlineStr">
        <is>
          <t>CVE-2025-9953</t>
        </is>
      </c>
      <c r="C585" t="inlineStr">
        <is>
          <t>Authorization Bypass Through User-Controlled SQL Primary Key vulnerability in DATABASE Software Training Consulting Ltd. Databank Accreditation Software allows SQL Injection.This issue affects Databank Accreditation Software: through 19022026.
NOTE: The vendor was contacted early about this disclosure but did not respond in any way.</t>
        </is>
      </c>
      <c r="D585" t="n">
        <v>9.800000000000001</v>
      </c>
      <c r="E585" t="inlineStr">
        <is>
          <t>CRITICAL</t>
        </is>
      </c>
      <c r="F585" t="n">
        <v>2</v>
      </c>
      <c r="G585" t="n">
        <v>3</v>
      </c>
      <c r="H585" t="inlineStr">
        <is>
          <t>HIGH</t>
        </is>
      </c>
      <c r="I585" t="n">
        <v>15.8</v>
      </c>
      <c r="J585" t="inlineStr">
        <is>
          <t>NO</t>
        </is>
      </c>
      <c r="K585" t="inlineStr">
        <is>
          <t>2026-02-23 23:48</t>
        </is>
      </c>
      <c r="L585" t="inlineStr">
        <is>
          <t>CHECK_VENDOR</t>
        </is>
      </c>
      <c r="M585" t="inlineStr">
        <is>
          <t>See CVE details</t>
        </is>
      </c>
      <c r="N585" t="inlineStr">
        <is>
          <t>P3</t>
        </is>
      </c>
      <c r="O585" t="inlineStr">
        <is>
          <t>CVE - IP enrichment n/a</t>
        </is>
      </c>
      <c r="P585" t="n">
        <v>0</v>
      </c>
      <c r="Q585" t="n">
        <v>0</v>
      </c>
      <c r="R585" t="inlineStr">
        <is>
          <t>T1190:Exploit Public-Facing Application</t>
        </is>
      </c>
      <c r="S585" t="n">
        <v>1</v>
      </c>
      <c r="T585" t="inlineStr">
        <is>
          <t>LOW (40%)</t>
        </is>
      </c>
      <c r="U585" t="inlineStr">
        <is>
          <t>UNLIKELY</t>
        </is>
      </c>
      <c r="V585" t="inlineStr">
        <is>
          <t>CHECK_VENDOR</t>
        </is>
      </c>
      <c r="W585" t="inlineStr">
        <is>
          <t>https://nvd.nist.gov/vuln/detail/CVE-2025-9953</t>
        </is>
      </c>
      <c r="X585" t="inlineStr">
        <is>
          <t>NONE</t>
        </is>
      </c>
      <c r="Y585" t="n">
        <v>0</v>
      </c>
      <c r="Z585" t="inlineStr"/>
      <c r="AA585" t="inlineStr">
        <is>
          <t>https://nvd.nist.gov/vuln/detail/CVE-2025-9953</t>
        </is>
      </c>
    </row>
    <row r="586">
      <c r="A586" t="inlineStr">
        <is>
          <t>CVE</t>
        </is>
      </c>
      <c r="B586" t="inlineStr">
        <is>
          <t>CVE-2019-25402</t>
        </is>
      </c>
      <c r="C586" t="inlineStr">
        <is>
          <t>Comodo Dome Firewall 2.7.0 contains a reflected cross-site scripting vulnerability that allows unauthenticated attackers to inject malicious scripts by submitting crafted input to the username parameter. Attackers can send POST requests to the login endpoint with script payloads in the username field to execute arbitrary JavaScript in users' browsers.</t>
        </is>
      </c>
      <c r="D586" t="n">
        <v>6.1</v>
      </c>
      <c r="E586" t="inlineStr">
        <is>
          <t>MEDIUM</t>
        </is>
      </c>
      <c r="F586" t="n">
        <v>2</v>
      </c>
      <c r="G586" t="n">
        <v>2</v>
      </c>
      <c r="H586" t="inlineStr">
        <is>
          <t>MEDIUM</t>
        </is>
      </c>
      <c r="I586" t="n">
        <v>10.1</v>
      </c>
      <c r="J586" t="inlineStr">
        <is>
          <t>NO</t>
        </is>
      </c>
      <c r="K586" t="inlineStr">
        <is>
          <t>2026-02-23 23:48</t>
        </is>
      </c>
      <c r="L586" t="inlineStr">
        <is>
          <t>CHECK_VENDOR</t>
        </is>
      </c>
      <c r="M586" t="inlineStr">
        <is>
          <t>comodo dome_firewall *</t>
        </is>
      </c>
      <c r="N586" t="inlineStr">
        <is>
          <t>P4</t>
        </is>
      </c>
      <c r="O586" t="inlineStr">
        <is>
          <t>CVE - IP enrichment n/a</t>
        </is>
      </c>
      <c r="P586" t="n">
        <v>0.0005999999999999999</v>
      </c>
      <c r="Q586" t="n">
        <v>0.1827</v>
      </c>
      <c r="R586" t="inlineStr">
        <is>
          <t>T1189:Drive-by Compromise | T1562:Impair Defenses</t>
        </is>
      </c>
      <c r="S586" t="n">
        <v>1</v>
      </c>
      <c r="T586" t="inlineStr">
        <is>
          <t>LOW (40%)</t>
        </is>
      </c>
      <c r="U586" t="inlineStr">
        <is>
          <t>UNLIKELY</t>
        </is>
      </c>
      <c r="V586" t="inlineStr">
        <is>
          <t>CHECK_VENDOR</t>
        </is>
      </c>
      <c r="W586" t="inlineStr">
        <is>
          <t>https://nvd.nist.gov/vuln/detail/CVE-2019-25402</t>
        </is>
      </c>
      <c r="X586" t="inlineStr">
        <is>
          <t>NONE</t>
        </is>
      </c>
      <c r="Y586" t="n">
        <v>0</v>
      </c>
      <c r="Z586" t="inlineStr"/>
      <c r="AA586" t="inlineStr">
        <is>
          <t>https://nvd.nist.gov/vuln/detail/CVE-2019-25402</t>
        </is>
      </c>
    </row>
    <row r="587">
      <c r="A587" t="inlineStr">
        <is>
          <t>CVE</t>
        </is>
      </c>
      <c r="B587" t="inlineStr">
        <is>
          <t>CVE-2019-25403</t>
        </is>
      </c>
      <c r="C587" t="inlineStr">
        <is>
          <t>Comodo Dome Firewall 2.7.0 contains a stored cross-site scripting vulnerability that allows authenticated attackers to inject malicious scripts by submitting crafted input to the comment parameter. Attackers can inject JavaScript code through the admin_profiles endpoint that executes in the browsers of other users who view the affected page.</t>
        </is>
      </c>
      <c r="D587" t="n">
        <v>6.4</v>
      </c>
      <c r="E587" t="inlineStr">
        <is>
          <t>MEDIUM</t>
        </is>
      </c>
      <c r="F587" t="n">
        <v>2</v>
      </c>
      <c r="G587" t="n">
        <v>2</v>
      </c>
      <c r="H587" t="inlineStr">
        <is>
          <t>MEDIUM</t>
        </is>
      </c>
      <c r="I587" t="n">
        <v>10.4</v>
      </c>
      <c r="J587" t="inlineStr">
        <is>
          <t>NO</t>
        </is>
      </c>
      <c r="K587" t="inlineStr">
        <is>
          <t>2026-02-23 23:48</t>
        </is>
      </c>
      <c r="L587" t="inlineStr">
        <is>
          <t>CHECK_VENDOR</t>
        </is>
      </c>
      <c r="M587" t="inlineStr">
        <is>
          <t>comodo dome_firewall 2.7.0</t>
        </is>
      </c>
      <c r="N587" t="inlineStr">
        <is>
          <t>P4</t>
        </is>
      </c>
      <c r="O587" t="inlineStr">
        <is>
          <t>CVE - IP enrichment n/a</t>
        </is>
      </c>
      <c r="P587" t="n">
        <v>0</v>
      </c>
      <c r="Q587" t="n">
        <v>0</v>
      </c>
      <c r="R587" t="inlineStr">
        <is>
          <t>T1189:Drive-by Compromise | T1562:Impair Defenses</t>
        </is>
      </c>
      <c r="S587" t="n">
        <v>1</v>
      </c>
      <c r="T587" t="inlineStr">
        <is>
          <t>LOW (40%)</t>
        </is>
      </c>
      <c r="U587" t="inlineStr">
        <is>
          <t>UNLIKELY</t>
        </is>
      </c>
      <c r="V587" t="inlineStr">
        <is>
          <t>CHECK_VENDOR</t>
        </is>
      </c>
      <c r="W587" t="inlineStr">
        <is>
          <t>https://nvd.nist.gov/vuln/detail/CVE-2019-25403</t>
        </is>
      </c>
      <c r="X587" t="inlineStr">
        <is>
          <t>NONE</t>
        </is>
      </c>
      <c r="Y587" t="n">
        <v>0</v>
      </c>
      <c r="Z587" t="inlineStr"/>
      <c r="AA587" t="inlineStr">
        <is>
          <t>https://nvd.nist.gov/vuln/detail/CVE-2019-25403</t>
        </is>
      </c>
    </row>
    <row r="588">
      <c r="A588" t="inlineStr">
        <is>
          <t>CVE</t>
        </is>
      </c>
      <c r="B588" t="inlineStr">
        <is>
          <t>CVE-2019-25404</t>
        </is>
      </c>
      <c r="C588" t="inlineStr">
        <is>
          <t>Comodo Dome Firewall 2.7.0 contains a stored cross-site scripting vulnerability that allows authenticated attackers to inject malicious scripts by submitting crafted input through admin management parameters. Attackers can inject script payloads in the admin_name, name, and surname parameters via POST requests to the /korugan/admins endpoint, which are stored and executed when administrators access the interface.</t>
        </is>
      </c>
      <c r="D588" t="n">
        <v>6.4</v>
      </c>
      <c r="E588" t="inlineStr">
        <is>
          <t>MEDIUM</t>
        </is>
      </c>
      <c r="F588" t="n">
        <v>2</v>
      </c>
      <c r="G588" t="n">
        <v>2</v>
      </c>
      <c r="H588" t="inlineStr">
        <is>
          <t>MEDIUM</t>
        </is>
      </c>
      <c r="I588" t="n">
        <v>10.4</v>
      </c>
      <c r="J588" t="inlineStr">
        <is>
          <t>NO</t>
        </is>
      </c>
      <c r="K588" t="inlineStr">
        <is>
          <t>2026-02-23 23:48</t>
        </is>
      </c>
      <c r="L588" t="inlineStr">
        <is>
          <t>CHECK_VENDOR</t>
        </is>
      </c>
      <c r="M588" t="inlineStr">
        <is>
          <t>comodo dome_firewall *</t>
        </is>
      </c>
      <c r="N588" t="inlineStr">
        <is>
          <t>P4</t>
        </is>
      </c>
      <c r="O588" t="inlineStr">
        <is>
          <t>CVE - IP enrichment n/a</t>
        </is>
      </c>
      <c r="P588" t="n">
        <v>0</v>
      </c>
      <c r="Q588" t="n">
        <v>0</v>
      </c>
      <c r="R588" t="inlineStr">
        <is>
          <t>T1189:Drive-by Compromise | T1562:Impair Defenses</t>
        </is>
      </c>
      <c r="S588" t="n">
        <v>1</v>
      </c>
      <c r="T588" t="inlineStr">
        <is>
          <t>LOW (40%)</t>
        </is>
      </c>
      <c r="U588" t="inlineStr">
        <is>
          <t>UNLIKELY</t>
        </is>
      </c>
      <c r="V588" t="inlineStr">
        <is>
          <t>CHECK_VENDOR</t>
        </is>
      </c>
      <c r="W588" t="inlineStr">
        <is>
          <t>https://nvd.nist.gov/vuln/detail/CVE-2019-25404</t>
        </is>
      </c>
      <c r="X588" t="inlineStr">
        <is>
          <t>NONE</t>
        </is>
      </c>
      <c r="Y588" t="n">
        <v>0</v>
      </c>
      <c r="Z588" t="inlineStr"/>
      <c r="AA588" t="inlineStr">
        <is>
          <t>https://nvd.nist.gov/vuln/detail/CVE-2019-25404</t>
        </is>
      </c>
    </row>
    <row r="589">
      <c r="A589" t="inlineStr">
        <is>
          <t>CVE</t>
        </is>
      </c>
      <c r="B589" t="inlineStr">
        <is>
          <t>CVE-2019-25405</t>
        </is>
      </c>
      <c r="C589" t="inlineStr">
        <is>
          <t>Comodo Dome Firewall 2.7.0 contains a stored cross-site scripting vulnerability that allows attackers to inject malicious scripts by submitting crafted input to the newLicense parameter. Attackers can send POST requests to the license activation endpoint with script payloads in the newLicense field to execute arbitrary JavaScript in administrators' browsers.</t>
        </is>
      </c>
      <c r="D589" t="n">
        <v>7.2</v>
      </c>
      <c r="E589" t="inlineStr">
        <is>
          <t>HIGH</t>
        </is>
      </c>
      <c r="F589" t="n">
        <v>2</v>
      </c>
      <c r="G589" t="n">
        <v>3</v>
      </c>
      <c r="H589" t="inlineStr">
        <is>
          <t>HIGH</t>
        </is>
      </c>
      <c r="I589" t="n">
        <v>13.2</v>
      </c>
      <c r="J589" t="inlineStr">
        <is>
          <t>NO</t>
        </is>
      </c>
      <c r="K589" t="inlineStr">
        <is>
          <t>2026-02-23 23:48</t>
        </is>
      </c>
      <c r="L589" t="inlineStr">
        <is>
          <t>CHECK_VENDOR</t>
        </is>
      </c>
      <c r="M589" t="inlineStr">
        <is>
          <t>comodo dome_firewall 2.7.0</t>
        </is>
      </c>
      <c r="N589" t="inlineStr">
        <is>
          <t>P3</t>
        </is>
      </c>
      <c r="O589" t="inlineStr">
        <is>
          <t>CVE - IP enrichment n/a</t>
        </is>
      </c>
      <c r="P589" t="n">
        <v>0</v>
      </c>
      <c r="Q589" t="n">
        <v>0</v>
      </c>
      <c r="R589" t="inlineStr">
        <is>
          <t>T1189:Drive-by Compromise | T1562:Impair Defenses</t>
        </is>
      </c>
      <c r="S589" t="n">
        <v>1</v>
      </c>
      <c r="T589" t="inlineStr">
        <is>
          <t>LOW (40%)</t>
        </is>
      </c>
      <c r="U589" t="inlineStr">
        <is>
          <t>UNLIKELY</t>
        </is>
      </c>
      <c r="V589" t="inlineStr">
        <is>
          <t>CHECK_VENDOR</t>
        </is>
      </c>
      <c r="W589" t="inlineStr">
        <is>
          <t>https://nvd.nist.gov/vuln/detail/CVE-2019-25405</t>
        </is>
      </c>
      <c r="X589" t="inlineStr">
        <is>
          <t>NONE</t>
        </is>
      </c>
      <c r="Y589" t="n">
        <v>0</v>
      </c>
      <c r="Z589" t="inlineStr"/>
      <c r="AA589" t="inlineStr">
        <is>
          <t>https://nvd.nist.gov/vuln/detail/CVE-2019-25405</t>
        </is>
      </c>
    </row>
    <row r="590">
      <c r="A590" t="inlineStr">
        <is>
          <t>CVE</t>
        </is>
      </c>
      <c r="B590" t="inlineStr">
        <is>
          <t>CVE-2019-25406</t>
        </is>
      </c>
      <c r="C590" t="inlineStr">
        <is>
          <t>Comodo Dome Firewall 2.7.0 contains a reflected cross-site scripting vulnerability that allows attackers to inject malicious scripts by manipulating the organization parameter. Attackers can send POST requests to the korugan/cmclient endpoint with script payloads in the organization parameter to execute arbitrary JavaScript in users' browsers.</t>
        </is>
      </c>
      <c r="D590" t="n">
        <v>6.1</v>
      </c>
      <c r="E590" t="inlineStr">
        <is>
          <t>MEDIUM</t>
        </is>
      </c>
      <c r="F590" t="n">
        <v>2</v>
      </c>
      <c r="G590" t="n">
        <v>2</v>
      </c>
      <c r="H590" t="inlineStr">
        <is>
          <t>MEDIUM</t>
        </is>
      </c>
      <c r="I590" t="n">
        <v>10.1</v>
      </c>
      <c r="J590" t="inlineStr">
        <is>
          <t>NO</t>
        </is>
      </c>
      <c r="K590" t="inlineStr">
        <is>
          <t>2026-02-23 23:48</t>
        </is>
      </c>
      <c r="L590" t="inlineStr">
        <is>
          <t>CHECK_VENDOR</t>
        </is>
      </c>
      <c r="M590" t="inlineStr">
        <is>
          <t>comodo dome_firewall *</t>
        </is>
      </c>
      <c r="N590" t="inlineStr">
        <is>
          <t>P4</t>
        </is>
      </c>
      <c r="O590" t="inlineStr">
        <is>
          <t>CVE - IP enrichment n/a</t>
        </is>
      </c>
      <c r="P590" t="n">
        <v>0.0003</v>
      </c>
      <c r="Q590" t="n">
        <v>0.07000000000000001</v>
      </c>
      <c r="R590" t="inlineStr">
        <is>
          <t>T1189:Drive-by Compromise | T1562:Impair Defenses</t>
        </is>
      </c>
      <c r="S590" t="n">
        <v>1</v>
      </c>
      <c r="T590" t="inlineStr">
        <is>
          <t>LOW (40%)</t>
        </is>
      </c>
      <c r="U590" t="inlineStr">
        <is>
          <t>UNLIKELY</t>
        </is>
      </c>
      <c r="V590" t="inlineStr">
        <is>
          <t>CHECK_VENDOR</t>
        </is>
      </c>
      <c r="W590" t="inlineStr">
        <is>
          <t>https://nvd.nist.gov/vuln/detail/CVE-2019-25406</t>
        </is>
      </c>
      <c r="X590" t="inlineStr">
        <is>
          <t>NONE</t>
        </is>
      </c>
      <c r="Y590" t="n">
        <v>0</v>
      </c>
      <c r="Z590" t="inlineStr"/>
      <c r="AA590" t="inlineStr">
        <is>
          <t>https://nvd.nist.gov/vuln/detail/CVE-2019-25406</t>
        </is>
      </c>
    </row>
    <row r="591">
      <c r="A591" t="inlineStr">
        <is>
          <t>CVE</t>
        </is>
      </c>
      <c r="B591" t="inlineStr">
        <is>
          <t>CVE-2019-25407</t>
        </is>
      </c>
      <c r="C591" t="inlineStr">
        <is>
          <t>Comodo Dome Firewall 2.7.0 contains a reflected cross-site scripting vulnerability that allows attackers to inject malicious scripts by submitting crafted input to the backup schedule interface. Attackers can send POST requests to the backupschedule endpoint with JavaScript code in the BACKUP_RCPTTO parameter to execute arbitrary scripts in users' browsers.</t>
        </is>
      </c>
      <c r="D591" t="n">
        <v>6.1</v>
      </c>
      <c r="E591" t="inlineStr">
        <is>
          <t>MEDIUM</t>
        </is>
      </c>
      <c r="F591" t="n">
        <v>2</v>
      </c>
      <c r="G591" t="n">
        <v>2</v>
      </c>
      <c r="H591" t="inlineStr">
        <is>
          <t>MEDIUM</t>
        </is>
      </c>
      <c r="I591" t="n">
        <v>10.1</v>
      </c>
      <c r="J591" t="inlineStr">
        <is>
          <t>NO</t>
        </is>
      </c>
      <c r="K591" t="inlineStr">
        <is>
          <t>2026-02-23 23:48</t>
        </is>
      </c>
      <c r="L591" t="inlineStr">
        <is>
          <t>CHECK_VENDOR</t>
        </is>
      </c>
      <c r="M591" t="inlineStr">
        <is>
          <t>comodo dome_firewall *</t>
        </is>
      </c>
      <c r="N591" t="inlineStr">
        <is>
          <t>P4</t>
        </is>
      </c>
      <c r="O591" t="inlineStr">
        <is>
          <t>CVE - IP enrichment n/a</t>
        </is>
      </c>
      <c r="P591" t="n">
        <v>0</v>
      </c>
      <c r="Q591" t="n">
        <v>0</v>
      </c>
      <c r="R591" t="inlineStr">
        <is>
          <t>T1189:Drive-by Compromise | T1562:Impair Defenses</t>
        </is>
      </c>
      <c r="S591" t="n">
        <v>1</v>
      </c>
      <c r="T591" t="inlineStr">
        <is>
          <t>LOW (40%)</t>
        </is>
      </c>
      <c r="U591" t="inlineStr">
        <is>
          <t>UNLIKELY</t>
        </is>
      </c>
      <c r="V591" t="inlineStr">
        <is>
          <t>CHECK_VENDOR</t>
        </is>
      </c>
      <c r="W591" t="inlineStr">
        <is>
          <t>https://nvd.nist.gov/vuln/detail/CVE-2019-25407</t>
        </is>
      </c>
      <c r="X591" t="inlineStr">
        <is>
          <t>NONE</t>
        </is>
      </c>
      <c r="Y591" t="n">
        <v>0</v>
      </c>
      <c r="Z591" t="inlineStr"/>
      <c r="AA591" t="inlineStr">
        <is>
          <t>https://nvd.nist.gov/vuln/detail/CVE-2019-25407</t>
        </is>
      </c>
    </row>
    <row r="592">
      <c r="A592" t="inlineStr">
        <is>
          <t>CVE</t>
        </is>
      </c>
      <c r="B592" t="inlineStr">
        <is>
          <t>CVE-2019-25408</t>
        </is>
      </c>
      <c r="C592" t="inlineStr">
        <is>
          <t>Comodo Dome Firewall 2.7.0 contains a reflected cross-site scripting vulnerability that allows attackers to inject malicious scripts by submitting crafted input to the netmask_addr parameter. Attackers can send POST requests to the netwizard2 endpoint with script payloads in the netmask_addr parameter to execute arbitrary JavaScript in users' browsers.</t>
        </is>
      </c>
      <c r="D592" t="n">
        <v>6.1</v>
      </c>
      <c r="E592" t="inlineStr">
        <is>
          <t>MEDIUM</t>
        </is>
      </c>
      <c r="F592" t="n">
        <v>2</v>
      </c>
      <c r="G592" t="n">
        <v>2</v>
      </c>
      <c r="H592" t="inlineStr">
        <is>
          <t>MEDIUM</t>
        </is>
      </c>
      <c r="I592" t="n">
        <v>10.1</v>
      </c>
      <c r="J592" t="inlineStr">
        <is>
          <t>NO</t>
        </is>
      </c>
      <c r="K592" t="inlineStr">
        <is>
          <t>2026-02-23 23:48</t>
        </is>
      </c>
      <c r="L592" t="inlineStr">
        <is>
          <t>CHECK_VENDOR</t>
        </is>
      </c>
      <c r="M592" t="inlineStr">
        <is>
          <t>comodo dome_firewall 2.7.0</t>
        </is>
      </c>
      <c r="N592" t="inlineStr">
        <is>
          <t>P4</t>
        </is>
      </c>
      <c r="O592" t="inlineStr">
        <is>
          <t>CVE - IP enrichment n/a</t>
        </is>
      </c>
      <c r="P592" t="n">
        <v>0.0003</v>
      </c>
      <c r="Q592" t="n">
        <v>0.07000000000000001</v>
      </c>
      <c r="R592" t="inlineStr">
        <is>
          <t>T1189:Drive-by Compromise | T1562:Impair Defenses</t>
        </is>
      </c>
      <c r="S592" t="n">
        <v>1</v>
      </c>
      <c r="T592" t="inlineStr">
        <is>
          <t>LOW (40%)</t>
        </is>
      </c>
      <c r="U592" t="inlineStr">
        <is>
          <t>UNLIKELY</t>
        </is>
      </c>
      <c r="V592" t="inlineStr">
        <is>
          <t>CHECK_VENDOR</t>
        </is>
      </c>
      <c r="W592" t="inlineStr">
        <is>
          <t>https://nvd.nist.gov/vuln/detail/CVE-2019-25408</t>
        </is>
      </c>
      <c r="X592" t="inlineStr">
        <is>
          <t>NONE</t>
        </is>
      </c>
      <c r="Y592" t="n">
        <v>0</v>
      </c>
      <c r="Z592" t="inlineStr"/>
      <c r="AA592" t="inlineStr">
        <is>
          <t>https://nvd.nist.gov/vuln/detail/CVE-2019-25408</t>
        </is>
      </c>
    </row>
    <row r="593">
      <c r="A593" t="inlineStr">
        <is>
          <t>CVE</t>
        </is>
      </c>
      <c r="B593" t="inlineStr">
        <is>
          <t>CVE-2019-25409</t>
        </is>
      </c>
      <c r="C593" t="inlineStr">
        <is>
          <t>Comodo Dome Firewall 2.7.0 contains a reflected cross-site scripting vulnerability that allows attackers to inject malicious scripts by manipulating the destination parameter. Attackers can send POST requests to the routing endpoint with script payloads in the destination parameter to execute arbitrary JavaScript in users' browsers.</t>
        </is>
      </c>
      <c r="D593" t="n">
        <v>6.1</v>
      </c>
      <c r="E593" t="inlineStr">
        <is>
          <t>MEDIUM</t>
        </is>
      </c>
      <c r="F593" t="n">
        <v>2</v>
      </c>
      <c r="G593" t="n">
        <v>2</v>
      </c>
      <c r="H593" t="inlineStr">
        <is>
          <t>MEDIUM</t>
        </is>
      </c>
      <c r="I593" t="n">
        <v>10.1</v>
      </c>
      <c r="J593" t="inlineStr">
        <is>
          <t>NO</t>
        </is>
      </c>
      <c r="K593" t="inlineStr">
        <is>
          <t>2026-02-23 23:48</t>
        </is>
      </c>
      <c r="L593" t="inlineStr">
        <is>
          <t>CHECK_VENDOR</t>
        </is>
      </c>
      <c r="M593" t="inlineStr">
        <is>
          <t>comodo dome_firewall *</t>
        </is>
      </c>
      <c r="N593" t="inlineStr">
        <is>
          <t>P4</t>
        </is>
      </c>
      <c r="O593" t="inlineStr">
        <is>
          <t>CVE - IP enrichment n/a</t>
        </is>
      </c>
      <c r="P593" t="n">
        <v>0</v>
      </c>
      <c r="Q593" t="n">
        <v>0</v>
      </c>
      <c r="R593" t="inlineStr">
        <is>
          <t>T1189:Drive-by Compromise | T1562:Impair Defenses</t>
        </is>
      </c>
      <c r="S593" t="n">
        <v>1</v>
      </c>
      <c r="T593" t="inlineStr">
        <is>
          <t>LOW (40%)</t>
        </is>
      </c>
      <c r="U593" t="inlineStr">
        <is>
          <t>UNLIKELY</t>
        </is>
      </c>
      <c r="V593" t="inlineStr">
        <is>
          <t>CHECK_VENDOR</t>
        </is>
      </c>
      <c r="W593" t="inlineStr">
        <is>
          <t>https://nvd.nist.gov/vuln/detail/CVE-2019-25409</t>
        </is>
      </c>
      <c r="X593" t="inlineStr">
        <is>
          <t>NONE</t>
        </is>
      </c>
      <c r="Y593" t="n">
        <v>0</v>
      </c>
      <c r="Z593" t="inlineStr"/>
      <c r="AA593" t="inlineStr">
        <is>
          <t>https://nvd.nist.gov/vuln/detail/CVE-2019-25409</t>
        </is>
      </c>
    </row>
    <row r="594">
      <c r="A594" t="inlineStr">
        <is>
          <t>CVE</t>
        </is>
      </c>
      <c r="B594" t="inlineStr">
        <is>
          <t>CVE-2019-25410</t>
        </is>
      </c>
      <c r="C594" t="inlineStr">
        <is>
          <t>Comodo Dome Firewall 2.7.0 contains a reflected cross-site scripting vulnerability that allows attackers to inject malicious scripts through the source and destination parameters. Attackers can submit POST requests to the policy routing endpoint with script payloads in these parameters to execute arbitrary JavaScript in users' browsers.</t>
        </is>
      </c>
      <c r="D594" t="n">
        <v>6.1</v>
      </c>
      <c r="E594" t="inlineStr">
        <is>
          <t>MEDIUM</t>
        </is>
      </c>
      <c r="F594" t="n">
        <v>2</v>
      </c>
      <c r="G594" t="n">
        <v>2</v>
      </c>
      <c r="H594" t="inlineStr">
        <is>
          <t>MEDIUM</t>
        </is>
      </c>
      <c r="I594" t="n">
        <v>10.1</v>
      </c>
      <c r="J594" t="inlineStr">
        <is>
          <t>NO</t>
        </is>
      </c>
      <c r="K594" t="inlineStr">
        <is>
          <t>2026-02-23 23:48</t>
        </is>
      </c>
      <c r="L594" t="inlineStr">
        <is>
          <t>CHECK_VENDOR</t>
        </is>
      </c>
      <c r="M594" t="inlineStr">
        <is>
          <t>comodo dome_firewall 2.7.0</t>
        </is>
      </c>
      <c r="N594" t="inlineStr">
        <is>
          <t>P4</t>
        </is>
      </c>
      <c r="O594" t="inlineStr">
        <is>
          <t>CVE - IP enrichment n/a</t>
        </is>
      </c>
      <c r="P594" t="n">
        <v>0</v>
      </c>
      <c r="Q594" t="n">
        <v>0</v>
      </c>
      <c r="R594" t="inlineStr">
        <is>
          <t>T1189:Drive-by Compromise | T1190:Exploit Public-Facing Application | T1562:Impair Defenses</t>
        </is>
      </c>
      <c r="S594" t="n">
        <v>1</v>
      </c>
      <c r="T594" t="inlineStr">
        <is>
          <t>LOW (40%)</t>
        </is>
      </c>
      <c r="U594" t="inlineStr">
        <is>
          <t>UNLIKELY</t>
        </is>
      </c>
      <c r="V594" t="inlineStr">
        <is>
          <t>CHECK_VENDOR</t>
        </is>
      </c>
      <c r="W594" t="inlineStr">
        <is>
          <t>https://nvd.nist.gov/vuln/detail/CVE-2019-25410</t>
        </is>
      </c>
      <c r="X594" t="inlineStr">
        <is>
          <t>NONE</t>
        </is>
      </c>
      <c r="Y594" t="n">
        <v>0</v>
      </c>
      <c r="Z594" t="inlineStr"/>
      <c r="AA594" t="inlineStr">
        <is>
          <t>https://nvd.nist.gov/vuln/detail/CVE-2019-25410</t>
        </is>
      </c>
    </row>
    <row r="595">
      <c r="A595" t="inlineStr">
        <is>
          <t>CVE</t>
        </is>
      </c>
      <c r="B595" t="inlineStr">
        <is>
          <t>CVE-2019-25411</t>
        </is>
      </c>
      <c r="C595" t="inlineStr">
        <is>
          <t>Comodo Dome Firewall 2.7.0 contains a reflected cross-site scripting vulnerability that allows attackers to inject malicious scripts by manipulating the GATEWAY_GREEN parameter. Attackers can send POST requests to the DHCP configuration endpoint with script payloads to execute arbitrary JavaScript in administrator browsers.</t>
        </is>
      </c>
      <c r="D595" t="n">
        <v>6.1</v>
      </c>
      <c r="E595" t="inlineStr">
        <is>
          <t>MEDIUM</t>
        </is>
      </c>
      <c r="F595" t="n">
        <v>2</v>
      </c>
      <c r="G595" t="n">
        <v>2</v>
      </c>
      <c r="H595" t="inlineStr">
        <is>
          <t>MEDIUM</t>
        </is>
      </c>
      <c r="I595" t="n">
        <v>10.1</v>
      </c>
      <c r="J595" t="inlineStr">
        <is>
          <t>NO</t>
        </is>
      </c>
      <c r="K595" t="inlineStr">
        <is>
          <t>2026-02-23 23:48</t>
        </is>
      </c>
      <c r="L595" t="inlineStr">
        <is>
          <t>CHECK_VENDOR</t>
        </is>
      </c>
      <c r="M595" t="inlineStr">
        <is>
          <t>comodo dome_firewall *</t>
        </is>
      </c>
      <c r="N595" t="inlineStr">
        <is>
          <t>P4</t>
        </is>
      </c>
      <c r="O595" t="inlineStr">
        <is>
          <t>CVE - IP enrichment n/a</t>
        </is>
      </c>
      <c r="P595" t="n">
        <v>0</v>
      </c>
      <c r="Q595" t="n">
        <v>0</v>
      </c>
      <c r="R595" t="inlineStr">
        <is>
          <t>T1189:Drive-by Compromise | T1562:Impair Defenses</t>
        </is>
      </c>
      <c r="S595" t="n">
        <v>1</v>
      </c>
      <c r="T595" t="inlineStr">
        <is>
          <t>LOW (40%)</t>
        </is>
      </c>
      <c r="U595" t="inlineStr">
        <is>
          <t>UNLIKELY</t>
        </is>
      </c>
      <c r="V595" t="inlineStr">
        <is>
          <t>CHECK_VENDOR</t>
        </is>
      </c>
      <c r="W595" t="inlineStr">
        <is>
          <t>https://nvd.nist.gov/vuln/detail/CVE-2019-25411</t>
        </is>
      </c>
      <c r="X595" t="inlineStr">
        <is>
          <t>NONE</t>
        </is>
      </c>
      <c r="Y595" t="n">
        <v>0</v>
      </c>
      <c r="Z595" t="inlineStr"/>
      <c r="AA595" t="inlineStr">
        <is>
          <t>https://nvd.nist.gov/vuln/detail/CVE-2019-25411</t>
        </is>
      </c>
    </row>
    <row r="596">
      <c r="A596" t="inlineStr">
        <is>
          <t>CVE</t>
        </is>
      </c>
      <c r="B596" t="inlineStr">
        <is>
          <t>CVE-2019-25412</t>
        </is>
      </c>
      <c r="C596" t="inlineStr">
        <is>
          <t>Comodo Dome Firewall 2.7.0 contains a reflected cross-site scripting vulnerability that allows attackers to inject malicious scripts by submitting unsanitized input through the NTP_SERVER_LIST parameter. Attackers can send POST requests to the /korugan/time endpoint with script payloads in the NTP_SERVER_LIST parameter to execute arbitrary JavaScript in users' browsers.</t>
        </is>
      </c>
      <c r="D596" t="n">
        <v>6.1</v>
      </c>
      <c r="E596" t="inlineStr">
        <is>
          <t>MEDIUM</t>
        </is>
      </c>
      <c r="F596" t="n">
        <v>2</v>
      </c>
      <c r="G596" t="n">
        <v>2</v>
      </c>
      <c r="H596" t="inlineStr">
        <is>
          <t>MEDIUM</t>
        </is>
      </c>
      <c r="I596" t="n">
        <v>10.1</v>
      </c>
      <c r="J596" t="inlineStr">
        <is>
          <t>NO</t>
        </is>
      </c>
      <c r="K596" t="inlineStr">
        <is>
          <t>2026-02-23 23:48</t>
        </is>
      </c>
      <c r="L596" t="inlineStr">
        <is>
          <t>CHECK_VENDOR</t>
        </is>
      </c>
      <c r="M596" t="inlineStr">
        <is>
          <t>comodo dome_firewall 2.7.0</t>
        </is>
      </c>
      <c r="N596" t="inlineStr">
        <is>
          <t>P4</t>
        </is>
      </c>
      <c r="O596" t="inlineStr">
        <is>
          <t>CVE - IP enrichment n/a</t>
        </is>
      </c>
      <c r="P596" t="n">
        <v>0</v>
      </c>
      <c r="Q596" t="n">
        <v>0</v>
      </c>
      <c r="R596" t="inlineStr">
        <is>
          <t>T1189:Drive-by Compromise | T1562:Impair Defenses</t>
        </is>
      </c>
      <c r="S596" t="n">
        <v>1</v>
      </c>
      <c r="T596" t="inlineStr">
        <is>
          <t>LOW (40%)</t>
        </is>
      </c>
      <c r="U596" t="inlineStr">
        <is>
          <t>UNLIKELY</t>
        </is>
      </c>
      <c r="V596" t="inlineStr">
        <is>
          <t>CHECK_VENDOR</t>
        </is>
      </c>
      <c r="W596" t="inlineStr">
        <is>
          <t>https://nvd.nist.gov/vuln/detail/CVE-2019-25412</t>
        </is>
      </c>
      <c r="X596" t="inlineStr">
        <is>
          <t>NONE</t>
        </is>
      </c>
      <c r="Y596" t="n">
        <v>0</v>
      </c>
      <c r="Z596" t="inlineStr"/>
      <c r="AA596" t="inlineStr">
        <is>
          <t>https://nvd.nist.gov/vuln/detail/CVE-2019-25412</t>
        </is>
      </c>
    </row>
    <row r="597">
      <c r="A597" t="inlineStr">
        <is>
          <t>CVE</t>
        </is>
      </c>
      <c r="B597" t="inlineStr">
        <is>
          <t>CVE-2019-25413</t>
        </is>
      </c>
      <c r="C597" t="inlineStr">
        <is>
          <t>Comodo Dome Firewall 2.7.0 contains a reflected cross-site scripting vulnerability that allows unauthenticated attackers to inject malicious scripts by manipulating the ID parameter. Attackers can craft requests to the /manage/ips/rules/ endpoint with script payloads in the ID parameter to execute arbitrary JavaScript in victim browsers.</t>
        </is>
      </c>
      <c r="D597" t="n">
        <v>6.1</v>
      </c>
      <c r="E597" t="inlineStr">
        <is>
          <t>MEDIUM</t>
        </is>
      </c>
      <c r="F597" t="n">
        <v>2</v>
      </c>
      <c r="G597" t="n">
        <v>2</v>
      </c>
      <c r="H597" t="inlineStr">
        <is>
          <t>MEDIUM</t>
        </is>
      </c>
      <c r="I597" t="n">
        <v>10.1</v>
      </c>
      <c r="J597" t="inlineStr">
        <is>
          <t>NO</t>
        </is>
      </c>
      <c r="K597" t="inlineStr">
        <is>
          <t>2026-02-23 23:48</t>
        </is>
      </c>
      <c r="L597" t="inlineStr">
        <is>
          <t>CHECK_VENDOR</t>
        </is>
      </c>
      <c r="M597" t="inlineStr">
        <is>
          <t>comodo dome_firewall *</t>
        </is>
      </c>
      <c r="N597" t="inlineStr">
        <is>
          <t>P4</t>
        </is>
      </c>
      <c r="O597" t="inlineStr">
        <is>
          <t>CVE - IP enrichment n/a</t>
        </is>
      </c>
      <c r="P597" t="n">
        <v>0.0005999999999999999</v>
      </c>
      <c r="Q597" t="n">
        <v>0.1827</v>
      </c>
      <c r="R597" t="inlineStr">
        <is>
          <t>T1189:Drive-by Compromise | T1562:Impair Defenses</t>
        </is>
      </c>
      <c r="S597" t="n">
        <v>1</v>
      </c>
      <c r="T597" t="inlineStr">
        <is>
          <t>LOW (40%)</t>
        </is>
      </c>
      <c r="U597" t="inlineStr">
        <is>
          <t>UNLIKELY</t>
        </is>
      </c>
      <c r="V597" t="inlineStr">
        <is>
          <t>CHECK_VENDOR</t>
        </is>
      </c>
      <c r="W597" t="inlineStr">
        <is>
          <t>https://nvd.nist.gov/vuln/detail/CVE-2019-25413</t>
        </is>
      </c>
      <c r="X597" t="inlineStr">
        <is>
          <t>NONE</t>
        </is>
      </c>
      <c r="Y597" t="n">
        <v>0</v>
      </c>
      <c r="Z597" t="inlineStr"/>
      <c r="AA597" t="inlineStr">
        <is>
          <t>https://nvd.nist.gov/vuln/detail/CVE-2019-25413</t>
        </is>
      </c>
    </row>
    <row r="598">
      <c r="A598" t="inlineStr">
        <is>
          <t>CVE</t>
        </is>
      </c>
      <c r="B598" t="inlineStr">
        <is>
          <t>CVE-2019-25414</t>
        </is>
      </c>
      <c r="C598" t="inlineStr">
        <is>
          <t>Comodo Dome Firewall 2.7.0 contains a reflected cross-site scripting vulnerability that allows unauthenticated attackers to inject malicious scripts by manipulating the ID parameter. Attackers can craft requests to the /manage/ips/appid/ endpoint with script payloads in the ID parameter to execute arbitrary JavaScript in victim browsers.</t>
        </is>
      </c>
      <c r="D598" t="n">
        <v>6.1</v>
      </c>
      <c r="E598" t="inlineStr">
        <is>
          <t>MEDIUM</t>
        </is>
      </c>
      <c r="F598" t="n">
        <v>2</v>
      </c>
      <c r="G598" t="n">
        <v>2</v>
      </c>
      <c r="H598" t="inlineStr">
        <is>
          <t>MEDIUM</t>
        </is>
      </c>
      <c r="I598" t="n">
        <v>10.1</v>
      </c>
      <c r="J598" t="inlineStr">
        <is>
          <t>NO</t>
        </is>
      </c>
      <c r="K598" t="inlineStr">
        <is>
          <t>2026-02-23 23:48</t>
        </is>
      </c>
      <c r="L598" t="inlineStr">
        <is>
          <t>CHECK_VENDOR</t>
        </is>
      </c>
      <c r="M598" t="inlineStr">
        <is>
          <t>comodo dome_firewall *</t>
        </is>
      </c>
      <c r="N598" t="inlineStr">
        <is>
          <t>P4</t>
        </is>
      </c>
      <c r="O598" t="inlineStr">
        <is>
          <t>CVE - IP enrichment n/a</t>
        </is>
      </c>
      <c r="P598" t="n">
        <v>0.0005999999999999999</v>
      </c>
      <c r="Q598" t="n">
        <v>0.1827</v>
      </c>
      <c r="R598" t="inlineStr">
        <is>
          <t>T1189:Drive-by Compromise | T1562:Impair Defenses</t>
        </is>
      </c>
      <c r="S598" t="n">
        <v>1</v>
      </c>
      <c r="T598" t="inlineStr">
        <is>
          <t>LOW (40%)</t>
        </is>
      </c>
      <c r="U598" t="inlineStr">
        <is>
          <t>UNLIKELY</t>
        </is>
      </c>
      <c r="V598" t="inlineStr">
        <is>
          <t>CHECK_VENDOR</t>
        </is>
      </c>
      <c r="W598" t="inlineStr">
        <is>
          <t>https://nvd.nist.gov/vuln/detail/CVE-2019-25414</t>
        </is>
      </c>
      <c r="X598" t="inlineStr">
        <is>
          <t>NONE</t>
        </is>
      </c>
      <c r="Y598" t="n">
        <v>0</v>
      </c>
      <c r="Z598" t="inlineStr"/>
      <c r="AA598" t="inlineStr">
        <is>
          <t>https://nvd.nist.gov/vuln/detail/CVE-2019-25414</t>
        </is>
      </c>
    </row>
    <row r="599">
      <c r="A599" t="inlineStr">
        <is>
          <t>CVE</t>
        </is>
      </c>
      <c r="B599" t="inlineStr">
        <is>
          <t>CVE-2019-25415</t>
        </is>
      </c>
      <c r="C599" t="inlineStr">
        <is>
          <t>Comodo Dome Firewall 2.7.0 contains a reflected cross-site scripting vulnerability that allows attackers to inject malicious scripts by submitting unsanitized input to the hotspot_permanent_users endpoint. Attackers can send POST requests with JavaScript payloads in the MACADDRESSES parameter to execute arbitrary scripts in users' browsers.</t>
        </is>
      </c>
      <c r="D599" t="n">
        <v>6.1</v>
      </c>
      <c r="E599" t="inlineStr">
        <is>
          <t>MEDIUM</t>
        </is>
      </c>
      <c r="F599" t="n">
        <v>2</v>
      </c>
      <c r="G599" t="n">
        <v>2</v>
      </c>
      <c r="H599" t="inlineStr">
        <is>
          <t>MEDIUM</t>
        </is>
      </c>
      <c r="I599" t="n">
        <v>10.1</v>
      </c>
      <c r="J599" t="inlineStr">
        <is>
          <t>NO</t>
        </is>
      </c>
      <c r="K599" t="inlineStr">
        <is>
          <t>2026-02-23 23:48</t>
        </is>
      </c>
      <c r="L599" t="inlineStr">
        <is>
          <t>CHECK_VENDOR</t>
        </is>
      </c>
      <c r="M599" t="inlineStr">
        <is>
          <t>comodo dome_firewall 2.7.0</t>
        </is>
      </c>
      <c r="N599" t="inlineStr">
        <is>
          <t>P4</t>
        </is>
      </c>
      <c r="O599" t="inlineStr">
        <is>
          <t>CVE - IP enrichment n/a</t>
        </is>
      </c>
      <c r="P599" t="n">
        <v>0</v>
      </c>
      <c r="Q599" t="n">
        <v>0</v>
      </c>
      <c r="R599" t="inlineStr">
        <is>
          <t>T1189:Drive-by Compromise | T1562:Impair Defenses</t>
        </is>
      </c>
      <c r="S599" t="n">
        <v>1</v>
      </c>
      <c r="T599" t="inlineStr">
        <is>
          <t>LOW (40%)</t>
        </is>
      </c>
      <c r="U599" t="inlineStr">
        <is>
          <t>UNLIKELY</t>
        </is>
      </c>
      <c r="V599" t="inlineStr">
        <is>
          <t>CHECK_VENDOR</t>
        </is>
      </c>
      <c r="W599" t="inlineStr">
        <is>
          <t>https://nvd.nist.gov/vuln/detail/CVE-2019-25415</t>
        </is>
      </c>
      <c r="X599" t="inlineStr">
        <is>
          <t>NONE</t>
        </is>
      </c>
      <c r="Y599" t="n">
        <v>0</v>
      </c>
      <c r="Z599" t="inlineStr"/>
      <c r="AA599" t="inlineStr">
        <is>
          <t>https://nvd.nist.gov/vuln/detail/CVE-2019-25415</t>
        </is>
      </c>
    </row>
    <row r="600">
      <c r="A600" t="inlineStr">
        <is>
          <t>CVE</t>
        </is>
      </c>
      <c r="B600" t="inlineStr">
        <is>
          <t>CVE-2019-25416</t>
        </is>
      </c>
      <c r="C600" t="inlineStr">
        <is>
          <t>Comodo Dome Firewall 2.7.0 contains a reflected cross-site scripting vulnerability that allows attackers to inject malicious scripts by submitting crafted input through the device parameter. Attackers can send POST requests to the QoS devices management endpoint with script payloads in the device parameter to execute arbitrary JavaScript in users' browsers.</t>
        </is>
      </c>
      <c r="D600" t="n">
        <v>6.1</v>
      </c>
      <c r="E600" t="inlineStr">
        <is>
          <t>MEDIUM</t>
        </is>
      </c>
      <c r="F600" t="n">
        <v>2</v>
      </c>
      <c r="G600" t="n">
        <v>2</v>
      </c>
      <c r="H600" t="inlineStr">
        <is>
          <t>MEDIUM</t>
        </is>
      </c>
      <c r="I600" t="n">
        <v>10.1</v>
      </c>
      <c r="J600" t="inlineStr">
        <is>
          <t>NO</t>
        </is>
      </c>
      <c r="K600" t="inlineStr">
        <is>
          <t>2026-02-23 23:48</t>
        </is>
      </c>
      <c r="L600" t="inlineStr">
        <is>
          <t>CHECK_VENDOR</t>
        </is>
      </c>
      <c r="M600" t="inlineStr">
        <is>
          <t>comodo dome_firewall *</t>
        </is>
      </c>
      <c r="N600" t="inlineStr">
        <is>
          <t>P4</t>
        </is>
      </c>
      <c r="O600" t="inlineStr">
        <is>
          <t>CVE - IP enrichment n/a</t>
        </is>
      </c>
      <c r="P600" t="n">
        <v>0</v>
      </c>
      <c r="Q600" t="n">
        <v>0</v>
      </c>
      <c r="R600" t="inlineStr">
        <is>
          <t>T1189:Drive-by Compromise | T1562:Impair Defenses</t>
        </is>
      </c>
      <c r="S600" t="n">
        <v>1</v>
      </c>
      <c r="T600" t="inlineStr">
        <is>
          <t>LOW (40%)</t>
        </is>
      </c>
      <c r="U600" t="inlineStr">
        <is>
          <t>UNLIKELY</t>
        </is>
      </c>
      <c r="V600" t="inlineStr">
        <is>
          <t>CHECK_VENDOR</t>
        </is>
      </c>
      <c r="W600" t="inlineStr">
        <is>
          <t>https://nvd.nist.gov/vuln/detail/CVE-2019-25416</t>
        </is>
      </c>
      <c r="X600" t="inlineStr">
        <is>
          <t>NONE</t>
        </is>
      </c>
      <c r="Y600" t="n">
        <v>0</v>
      </c>
      <c r="Z600" t="inlineStr"/>
      <c r="AA600" t="inlineStr">
        <is>
          <t>https://nvd.nist.gov/vuln/detail/CVE-2019-25416</t>
        </is>
      </c>
    </row>
    <row r="601">
      <c r="A601" t="inlineStr">
        <is>
          <t>CVE</t>
        </is>
      </c>
      <c r="B601" t="inlineStr">
        <is>
          <t>CVE-2019-25417</t>
        </is>
      </c>
      <c r="C601" t="inlineStr">
        <is>
          <t>Comodo Dome Firewall 2.7.0 contains a reflected cross-site scripting vulnerability that allows attackers to inject malicious scripts by submitting crafted input to the protocol parameter. Attackers can send POST requests to the QoS rules management endpoint with JavaScript payloads in the protocol parameter to execute arbitrary code in administrator browsers.</t>
        </is>
      </c>
      <c r="D601" t="n">
        <v>6.1</v>
      </c>
      <c r="E601" t="inlineStr">
        <is>
          <t>MEDIUM</t>
        </is>
      </c>
      <c r="F601" t="n">
        <v>2</v>
      </c>
      <c r="G601" t="n">
        <v>2</v>
      </c>
      <c r="H601" t="inlineStr">
        <is>
          <t>MEDIUM</t>
        </is>
      </c>
      <c r="I601" t="n">
        <v>10.1</v>
      </c>
      <c r="J601" t="inlineStr">
        <is>
          <t>NO</t>
        </is>
      </c>
      <c r="K601" t="inlineStr">
        <is>
          <t>2026-02-23 23:48</t>
        </is>
      </c>
      <c r="L601" t="inlineStr">
        <is>
          <t>CHECK_VENDOR</t>
        </is>
      </c>
      <c r="M601" t="inlineStr">
        <is>
          <t>comodo dome_firewall *</t>
        </is>
      </c>
      <c r="N601" t="inlineStr">
        <is>
          <t>P4</t>
        </is>
      </c>
      <c r="O601" t="inlineStr">
        <is>
          <t>CVE - IP enrichment n/a</t>
        </is>
      </c>
      <c r="P601" t="n">
        <v>0</v>
      </c>
      <c r="Q601" t="n">
        <v>0</v>
      </c>
      <c r="R601" t="inlineStr">
        <is>
          <t>T1189:Drive-by Compromise | T1203:Exploitation for Client Execution | T1562:Impair Defenses</t>
        </is>
      </c>
      <c r="S601" t="n">
        <v>1</v>
      </c>
      <c r="T601" t="inlineStr">
        <is>
          <t>LOW (40%)</t>
        </is>
      </c>
      <c r="U601" t="inlineStr">
        <is>
          <t>UNLIKELY</t>
        </is>
      </c>
      <c r="V601" t="inlineStr">
        <is>
          <t>CHECK_VENDOR</t>
        </is>
      </c>
      <c r="W601" t="inlineStr">
        <is>
          <t>https://nvd.nist.gov/vuln/detail/CVE-2019-25417</t>
        </is>
      </c>
      <c r="X601" t="inlineStr">
        <is>
          <t>NONE</t>
        </is>
      </c>
      <c r="Y601" t="n">
        <v>0</v>
      </c>
      <c r="Z601" t="inlineStr"/>
      <c r="AA601" t="inlineStr">
        <is>
          <t>https://nvd.nist.gov/vuln/detail/CVE-2019-25417</t>
        </is>
      </c>
    </row>
    <row r="602">
      <c r="A602" t="inlineStr">
        <is>
          <t>CVE</t>
        </is>
      </c>
      <c r="B602" t="inlineStr">
        <is>
          <t>CVE-2019-25418</t>
        </is>
      </c>
      <c r="C602" t="inlineStr">
        <is>
          <t>Comodo Dome Firewall 2.7.0 contains a reflected cross-site scripting vulnerability that allows attackers to inject malicious scripts by submitting crafted input to the FWADDRESSES parameter. Attackers can send POST requests to the /korugan/fwgroups endpoint with script payloads to execute arbitrary JavaScript in users' browsers and steal session data.</t>
        </is>
      </c>
      <c r="D602" t="n">
        <v>6.1</v>
      </c>
      <c r="E602" t="inlineStr">
        <is>
          <t>MEDIUM</t>
        </is>
      </c>
      <c r="F602" t="n">
        <v>2</v>
      </c>
      <c r="G602" t="n">
        <v>2</v>
      </c>
      <c r="H602" t="inlineStr">
        <is>
          <t>MEDIUM</t>
        </is>
      </c>
      <c r="I602" t="n">
        <v>10.1</v>
      </c>
      <c r="J602" t="inlineStr">
        <is>
          <t>NO</t>
        </is>
      </c>
      <c r="K602" t="inlineStr">
        <is>
          <t>2026-02-23 23:48</t>
        </is>
      </c>
      <c r="L602" t="inlineStr">
        <is>
          <t>CHECK_VENDOR</t>
        </is>
      </c>
      <c r="M602" t="inlineStr">
        <is>
          <t>comodo dome_firewall *</t>
        </is>
      </c>
      <c r="N602" t="inlineStr">
        <is>
          <t>P4</t>
        </is>
      </c>
      <c r="O602" t="inlineStr">
        <is>
          <t>CVE - IP enrichment n/a</t>
        </is>
      </c>
      <c r="P602" t="n">
        <v>0</v>
      </c>
      <c r="Q602" t="n">
        <v>0</v>
      </c>
      <c r="R602" t="inlineStr">
        <is>
          <t>T1189:Drive-by Compromise | T1562:Impair Defenses</t>
        </is>
      </c>
      <c r="S602" t="n">
        <v>1</v>
      </c>
      <c r="T602" t="inlineStr">
        <is>
          <t>LOW (40%)</t>
        </is>
      </c>
      <c r="U602" t="inlineStr">
        <is>
          <t>UNLIKELY</t>
        </is>
      </c>
      <c r="V602" t="inlineStr">
        <is>
          <t>CHECK_VENDOR</t>
        </is>
      </c>
      <c r="W602" t="inlineStr">
        <is>
          <t>https://nvd.nist.gov/vuln/detail/CVE-2019-25418</t>
        </is>
      </c>
      <c r="X602" t="inlineStr">
        <is>
          <t>NONE</t>
        </is>
      </c>
      <c r="Y602" t="n">
        <v>0</v>
      </c>
      <c r="Z602" t="inlineStr"/>
      <c r="AA602" t="inlineStr">
        <is>
          <t>https://nvd.nist.gov/vuln/detail/CVE-2019-25418</t>
        </is>
      </c>
    </row>
    <row r="603">
      <c r="A603" t="inlineStr">
        <is>
          <t>CVE</t>
        </is>
      </c>
      <c r="B603" t="inlineStr">
        <is>
          <t>CVE-2019-25419</t>
        </is>
      </c>
      <c r="C603" t="inlineStr">
        <is>
          <t>Comodo Dome Firewall 2.7.0 contains a stored cross-site scripting vulnerability that allows attackers to inject malicious scripts by submitting crafted input to the schedule endpoint. Attackers can submit POST requests with JavaScript payloads in the SCHNAME parameter to execute arbitrary code in administrators' browsers when the schedule page is accessed.</t>
        </is>
      </c>
      <c r="D603" t="n">
        <v>7.2</v>
      </c>
      <c r="E603" t="inlineStr">
        <is>
          <t>HIGH</t>
        </is>
      </c>
      <c r="F603" t="n">
        <v>2</v>
      </c>
      <c r="G603" t="n">
        <v>3</v>
      </c>
      <c r="H603" t="inlineStr">
        <is>
          <t>HIGH</t>
        </is>
      </c>
      <c r="I603" t="n">
        <v>13.2</v>
      </c>
      <c r="J603" t="inlineStr">
        <is>
          <t>NO</t>
        </is>
      </c>
      <c r="K603" t="inlineStr">
        <is>
          <t>2026-02-23 23:48</t>
        </is>
      </c>
      <c r="L603" t="inlineStr">
        <is>
          <t>CHECK_VENDOR</t>
        </is>
      </c>
      <c r="M603" t="inlineStr">
        <is>
          <t>comodo dome_firewall *</t>
        </is>
      </c>
      <c r="N603" t="inlineStr">
        <is>
          <t>P3</t>
        </is>
      </c>
      <c r="O603" t="inlineStr">
        <is>
          <t>CVE - IP enrichment n/a</t>
        </is>
      </c>
      <c r="P603" t="n">
        <v>0</v>
      </c>
      <c r="Q603" t="n">
        <v>0</v>
      </c>
      <c r="R603" t="inlineStr">
        <is>
          <t>T1189:Drive-by Compromise | T1203:Exploitation for Client Execution | T1562:Impair Defenses</t>
        </is>
      </c>
      <c r="S603" t="n">
        <v>1</v>
      </c>
      <c r="T603" t="inlineStr">
        <is>
          <t>LOW (40%)</t>
        </is>
      </c>
      <c r="U603" t="inlineStr">
        <is>
          <t>UNLIKELY</t>
        </is>
      </c>
      <c r="V603" t="inlineStr">
        <is>
          <t>CHECK_VENDOR</t>
        </is>
      </c>
      <c r="W603" t="inlineStr">
        <is>
          <t>https://nvd.nist.gov/vuln/detail/CVE-2019-25419</t>
        </is>
      </c>
      <c r="X603" t="inlineStr">
        <is>
          <t>NONE</t>
        </is>
      </c>
      <c r="Y603" t="n">
        <v>0</v>
      </c>
      <c r="Z603" t="inlineStr"/>
      <c r="AA603" t="inlineStr">
        <is>
          <t>https://nvd.nist.gov/vuln/detail/CVE-2019-25419</t>
        </is>
      </c>
    </row>
    <row r="604">
      <c r="A604" t="inlineStr">
        <is>
          <t>CVE</t>
        </is>
      </c>
      <c r="B604" t="inlineStr">
        <is>
          <t>CVE-2019-25420</t>
        </is>
      </c>
      <c r="C604" t="inlineStr">
        <is>
          <t>Comodo Dome Firewall 2.7.0 contains a reflected cross-site scripting vulnerability that allows attackers to inject malicious scripts by submitting crafted input to the snat endpoint. Attackers can send POST requests with JavaScript payloads in the port or snat_to_ip parameters to execute arbitrary scripts in users' browsers.</t>
        </is>
      </c>
      <c r="D604" t="n">
        <v>6.1</v>
      </c>
      <c r="E604" t="inlineStr">
        <is>
          <t>MEDIUM</t>
        </is>
      </c>
      <c r="F604" t="n">
        <v>2</v>
      </c>
      <c r="G604" t="n">
        <v>2</v>
      </c>
      <c r="H604" t="inlineStr">
        <is>
          <t>MEDIUM</t>
        </is>
      </c>
      <c r="I604" t="n">
        <v>10.1</v>
      </c>
      <c r="J604" t="inlineStr">
        <is>
          <t>NO</t>
        </is>
      </c>
      <c r="K604" t="inlineStr">
        <is>
          <t>2026-02-23 23:48</t>
        </is>
      </c>
      <c r="L604" t="inlineStr">
        <is>
          <t>CHECK_VENDOR</t>
        </is>
      </c>
      <c r="M604" t="inlineStr">
        <is>
          <t>comodo dome_firewall *</t>
        </is>
      </c>
      <c r="N604" t="inlineStr">
        <is>
          <t>P4</t>
        </is>
      </c>
      <c r="O604" t="inlineStr">
        <is>
          <t>CVE - IP enrichment n/a</t>
        </is>
      </c>
      <c r="P604" t="n">
        <v>0.0003</v>
      </c>
      <c r="Q604" t="n">
        <v>0.0951</v>
      </c>
      <c r="R604" t="inlineStr">
        <is>
          <t>T1189:Drive-by Compromise | T1562:Impair Defenses</t>
        </is>
      </c>
      <c r="S604" t="n">
        <v>1</v>
      </c>
      <c r="T604" t="inlineStr">
        <is>
          <t>LOW (40%)</t>
        </is>
      </c>
      <c r="U604" t="inlineStr">
        <is>
          <t>UNLIKELY</t>
        </is>
      </c>
      <c r="V604" t="inlineStr">
        <is>
          <t>CHECK_VENDOR</t>
        </is>
      </c>
      <c r="W604" t="inlineStr">
        <is>
          <t>https://nvd.nist.gov/vuln/detail/CVE-2019-25420</t>
        </is>
      </c>
      <c r="X604" t="inlineStr">
        <is>
          <t>NONE</t>
        </is>
      </c>
      <c r="Y604" t="n">
        <v>0</v>
      </c>
      <c r="Z604" t="inlineStr"/>
      <c r="AA604" t="inlineStr">
        <is>
          <t>https://nvd.nist.gov/vuln/detail/CVE-2019-25420</t>
        </is>
      </c>
    </row>
    <row r="605">
      <c r="A605" t="inlineStr">
        <is>
          <t>CVE</t>
        </is>
      </c>
      <c r="B605" t="inlineStr">
        <is>
          <t>CVE-2019-25421</t>
        </is>
      </c>
      <c r="C605" t="inlineStr">
        <is>
          <t>Comodo Dome Firewall 2.7.0 contains multiple cross-site scripting vulnerabilities that allow attackers to inject malicious scripts through the policyfw endpoint. Attackers can submit POST requests with JavaScript payloads in the mac, target, and remark parameters to execute arbitrary code in administrator browsers or store persistent scripts in the application.</t>
        </is>
      </c>
      <c r="D605" t="n">
        <v>6.1</v>
      </c>
      <c r="E605" t="inlineStr">
        <is>
          <t>MEDIUM</t>
        </is>
      </c>
      <c r="F605" t="n">
        <v>2</v>
      </c>
      <c r="G605" t="n">
        <v>2</v>
      </c>
      <c r="H605" t="inlineStr">
        <is>
          <t>MEDIUM</t>
        </is>
      </c>
      <c r="I605" t="n">
        <v>10.1</v>
      </c>
      <c r="J605" t="inlineStr">
        <is>
          <t>NO</t>
        </is>
      </c>
      <c r="K605" t="inlineStr">
        <is>
          <t>2026-02-23 23:48</t>
        </is>
      </c>
      <c r="L605" t="inlineStr">
        <is>
          <t>CHECK_VENDOR</t>
        </is>
      </c>
      <c r="M605" t="inlineStr">
        <is>
          <t>comodo dome_firewall *</t>
        </is>
      </c>
      <c r="N605" t="inlineStr">
        <is>
          <t>P4</t>
        </is>
      </c>
      <c r="O605" t="inlineStr">
        <is>
          <t>CVE - IP enrichment n/a</t>
        </is>
      </c>
      <c r="P605" t="n">
        <v>0</v>
      </c>
      <c r="Q605" t="n">
        <v>0</v>
      </c>
      <c r="R605" t="inlineStr">
        <is>
          <t>T1189:Drive-by Compromise | T1203:Exploitation for Client Execution | T1562:Impair Defenses</t>
        </is>
      </c>
      <c r="S605" t="n">
        <v>1</v>
      </c>
      <c r="T605" t="inlineStr">
        <is>
          <t>LOW (40%)</t>
        </is>
      </c>
      <c r="U605" t="inlineStr">
        <is>
          <t>UNLIKELY</t>
        </is>
      </c>
      <c r="V605" t="inlineStr">
        <is>
          <t>CHECK_VENDOR</t>
        </is>
      </c>
      <c r="W605" t="inlineStr">
        <is>
          <t>https://nvd.nist.gov/vuln/detail/CVE-2019-25421</t>
        </is>
      </c>
      <c r="X605" t="inlineStr">
        <is>
          <t>NONE</t>
        </is>
      </c>
      <c r="Y605" t="n">
        <v>0</v>
      </c>
      <c r="Z605" t="inlineStr"/>
      <c r="AA605" t="inlineStr">
        <is>
          <t>https://nvd.nist.gov/vuln/detail/CVE-2019-25421</t>
        </is>
      </c>
    </row>
    <row r="606">
      <c r="A606" t="inlineStr">
        <is>
          <t>CVE</t>
        </is>
      </c>
      <c r="B606" t="inlineStr">
        <is>
          <t>CVE-2019-25422</t>
        </is>
      </c>
      <c r="C606" t="inlineStr">
        <is>
          <t>Comodo Dome Firewall 2.7.0 contains cross-site scripting vulnerabilities that allow attackers to inject malicious scripts through the vpnfw endpoint. Attackers can submit POST requests with script payloads in the target parameter for reflected XSS or the remark parameter for stored XSS to execute arbitrary JavaScript in administrator browsers.</t>
        </is>
      </c>
      <c r="D606" t="n">
        <v>7.2</v>
      </c>
      <c r="E606" t="inlineStr">
        <is>
          <t>HIGH</t>
        </is>
      </c>
      <c r="F606" t="n">
        <v>2</v>
      </c>
      <c r="G606" t="n">
        <v>3</v>
      </c>
      <c r="H606" t="inlineStr">
        <is>
          <t>HIGH</t>
        </is>
      </c>
      <c r="I606" t="n">
        <v>13.2</v>
      </c>
      <c r="J606" t="inlineStr">
        <is>
          <t>NO</t>
        </is>
      </c>
      <c r="K606" t="inlineStr">
        <is>
          <t>2026-02-23 23:48</t>
        </is>
      </c>
      <c r="L606" t="inlineStr">
        <is>
          <t>CHECK_VENDOR</t>
        </is>
      </c>
      <c r="M606" t="inlineStr">
        <is>
          <t>comodo dome_firewall *</t>
        </is>
      </c>
      <c r="N606" t="inlineStr">
        <is>
          <t>P3</t>
        </is>
      </c>
      <c r="O606" t="inlineStr">
        <is>
          <t>CVE - IP enrichment n/a</t>
        </is>
      </c>
      <c r="P606" t="n">
        <v>0</v>
      </c>
      <c r="Q606" t="n">
        <v>0</v>
      </c>
      <c r="R606" t="inlineStr">
        <is>
          <t>T1189:Drive-by Compromise | T1133:External Remote Services | T1562:Impair Defenses</t>
        </is>
      </c>
      <c r="S606" t="n">
        <v>1</v>
      </c>
      <c r="T606" t="inlineStr">
        <is>
          <t>LOW (40%)</t>
        </is>
      </c>
      <c r="U606" t="inlineStr">
        <is>
          <t>UNLIKELY</t>
        </is>
      </c>
      <c r="V606" t="inlineStr">
        <is>
          <t>CHECK_VENDOR</t>
        </is>
      </c>
      <c r="W606" t="inlineStr">
        <is>
          <t>https://nvd.nist.gov/vuln/detail/CVE-2019-25422</t>
        </is>
      </c>
      <c r="X606" t="inlineStr">
        <is>
          <t>NONE</t>
        </is>
      </c>
      <c r="Y606" t="n">
        <v>0</v>
      </c>
      <c r="Z606" t="inlineStr"/>
      <c r="AA606" t="inlineStr">
        <is>
          <t>https://nvd.nist.gov/vuln/detail/CVE-2019-25422</t>
        </is>
      </c>
    </row>
    <row r="607">
      <c r="A607" t="inlineStr">
        <is>
          <t>CVE</t>
        </is>
      </c>
      <c r="B607" t="inlineStr">
        <is>
          <t>CVE-2019-25423</t>
        </is>
      </c>
      <c r="C607" t="inlineStr">
        <is>
          <t>Comodo Dome Firewall 2.7.0 contains multiple reflected cross-site scripting vulnerabilities in the /korugan/proxyconfig endpoint that allow attackers to inject malicious scripts through POST parameters. Attackers can submit crafted POST requests with JavaScript payloads in parameters like PROXY_PORT, VISIBLE_HOSTNAME, ADMIN_MAIL_ADDRESS, CACHE_MEM, MAX_SIZE, MIN_SIZE, and DST_NOCACHE to execute arbitrary scripts in administrator browsers.</t>
        </is>
      </c>
      <c r="D607" t="n">
        <v>6.1</v>
      </c>
      <c r="E607" t="inlineStr">
        <is>
          <t>MEDIUM</t>
        </is>
      </c>
      <c r="F607" t="n">
        <v>2</v>
      </c>
      <c r="G607" t="n">
        <v>2</v>
      </c>
      <c r="H607" t="inlineStr">
        <is>
          <t>MEDIUM</t>
        </is>
      </c>
      <c r="I607" t="n">
        <v>10.1</v>
      </c>
      <c r="J607" t="inlineStr">
        <is>
          <t>NO</t>
        </is>
      </c>
      <c r="K607" t="inlineStr">
        <is>
          <t>2026-02-23 23:48</t>
        </is>
      </c>
      <c r="L607" t="inlineStr">
        <is>
          <t>CHECK_VENDOR</t>
        </is>
      </c>
      <c r="M607" t="inlineStr">
        <is>
          <t>comodo dome_firewall *</t>
        </is>
      </c>
      <c r="N607" t="inlineStr">
        <is>
          <t>P4</t>
        </is>
      </c>
      <c r="O607" t="inlineStr">
        <is>
          <t>CVE - IP enrichment n/a</t>
        </is>
      </c>
      <c r="P607" t="n">
        <v>0</v>
      </c>
      <c r="Q607" t="n">
        <v>0</v>
      </c>
      <c r="R607" t="inlineStr">
        <is>
          <t>T1189:Drive-by Compromise | T1562:Impair Defenses</t>
        </is>
      </c>
      <c r="S607" t="n">
        <v>1</v>
      </c>
      <c r="T607" t="inlineStr">
        <is>
          <t>LOW (40%)</t>
        </is>
      </c>
      <c r="U607" t="inlineStr">
        <is>
          <t>UNLIKELY</t>
        </is>
      </c>
      <c r="V607" t="inlineStr">
        <is>
          <t>CHECK_VENDOR</t>
        </is>
      </c>
      <c r="W607" t="inlineStr">
        <is>
          <t>https://nvd.nist.gov/vuln/detail/CVE-2019-25423</t>
        </is>
      </c>
      <c r="X607" t="inlineStr">
        <is>
          <t>NONE</t>
        </is>
      </c>
      <c r="Y607" t="n">
        <v>0</v>
      </c>
      <c r="Z607" t="inlineStr"/>
      <c r="AA607" t="inlineStr">
        <is>
          <t>https://nvd.nist.gov/vuln/detail/CVE-2019-25423</t>
        </is>
      </c>
    </row>
    <row r="608">
      <c r="A608" t="inlineStr">
        <is>
          <t>CVE</t>
        </is>
      </c>
      <c r="B608" t="inlineStr">
        <is>
          <t>CVE-2019-25424</t>
        </is>
      </c>
      <c r="C608" t="inlineStr">
        <is>
          <t>Comodo Dome Firewall 2.7.0 contains a reflected cross-site scripting vulnerability that allows attackers to inject malicious scripts by submitting unsanitized input to the EXCEPTIONSITELIST parameter. Attackers can craft POST requests to the https_exceptions endpoint with script payloads to execute arbitrary JavaScript in users' browsers and steal session data.</t>
        </is>
      </c>
      <c r="D608" t="n">
        <v>6.1</v>
      </c>
      <c r="E608" t="inlineStr">
        <is>
          <t>MEDIUM</t>
        </is>
      </c>
      <c r="F608" t="n">
        <v>2</v>
      </c>
      <c r="G608" t="n">
        <v>2</v>
      </c>
      <c r="H608" t="inlineStr">
        <is>
          <t>MEDIUM</t>
        </is>
      </c>
      <c r="I608" t="n">
        <v>10.1</v>
      </c>
      <c r="J608" t="inlineStr">
        <is>
          <t>NO</t>
        </is>
      </c>
      <c r="K608" t="inlineStr">
        <is>
          <t>2026-02-23 23:48</t>
        </is>
      </c>
      <c r="L608" t="inlineStr">
        <is>
          <t>CHECK_VENDOR</t>
        </is>
      </c>
      <c r="M608" t="inlineStr">
        <is>
          <t>comodo dome_firewall 2.7.0</t>
        </is>
      </c>
      <c r="N608" t="inlineStr">
        <is>
          <t>P4</t>
        </is>
      </c>
      <c r="O608" t="inlineStr">
        <is>
          <t>CVE - IP enrichment n/a</t>
        </is>
      </c>
      <c r="P608" t="n">
        <v>0</v>
      </c>
      <c r="Q608" t="n">
        <v>0</v>
      </c>
      <c r="R608" t="inlineStr">
        <is>
          <t>T1189:Drive-by Compromise | T1562:Impair Defenses</t>
        </is>
      </c>
      <c r="S608" t="n">
        <v>1</v>
      </c>
      <c r="T608" t="inlineStr">
        <is>
          <t>LOW (40%)</t>
        </is>
      </c>
      <c r="U608" t="inlineStr">
        <is>
          <t>UNLIKELY</t>
        </is>
      </c>
      <c r="V608" t="inlineStr">
        <is>
          <t>CHECK_VENDOR</t>
        </is>
      </c>
      <c r="W608" t="inlineStr">
        <is>
          <t>https://nvd.nist.gov/vuln/detail/CVE-2019-25424</t>
        </is>
      </c>
      <c r="X608" t="inlineStr">
        <is>
          <t>NONE</t>
        </is>
      </c>
      <c r="Y608" t="n">
        <v>0</v>
      </c>
      <c r="Z608" t="inlineStr"/>
      <c r="AA608" t="inlineStr">
        <is>
          <t>https://nvd.nist.gov/vuln/detail/CVE-2019-25424</t>
        </is>
      </c>
    </row>
    <row r="609">
      <c r="A609" t="inlineStr">
        <is>
          <t>CVE</t>
        </is>
      </c>
      <c r="B609" t="inlineStr">
        <is>
          <t>CVE-2019-25425</t>
        </is>
      </c>
      <c r="C609" t="inlineStr">
        <is>
          <t>Comodo Dome Firewall 2.7.0 contains a reflected cross-site scripting vulnerability that allows attackers to inject malicious scripts by submitting crafted input to the VIRUS_ADMIN parameter. Attackers can send POST requests to the smtpconfig endpoint with script payloads to execute arbitrary JavaScript in the context of an administrator's browser session.</t>
        </is>
      </c>
      <c r="D609" t="n">
        <v>6.1</v>
      </c>
      <c r="E609" t="inlineStr">
        <is>
          <t>MEDIUM</t>
        </is>
      </c>
      <c r="F609" t="n">
        <v>2</v>
      </c>
      <c r="G609" t="n">
        <v>2</v>
      </c>
      <c r="H609" t="inlineStr">
        <is>
          <t>MEDIUM</t>
        </is>
      </c>
      <c r="I609" t="n">
        <v>10.1</v>
      </c>
      <c r="J609" t="inlineStr">
        <is>
          <t>NO</t>
        </is>
      </c>
      <c r="K609" t="inlineStr">
        <is>
          <t>2026-02-23 23:48</t>
        </is>
      </c>
      <c r="L609" t="inlineStr">
        <is>
          <t>CHECK_VENDOR</t>
        </is>
      </c>
      <c r="M609" t="inlineStr">
        <is>
          <t>comodo dome_firewall *</t>
        </is>
      </c>
      <c r="N609" t="inlineStr">
        <is>
          <t>P4</t>
        </is>
      </c>
      <c r="O609" t="inlineStr">
        <is>
          <t>CVE - IP enrichment n/a</t>
        </is>
      </c>
      <c r="P609" t="n">
        <v>0</v>
      </c>
      <c r="Q609" t="n">
        <v>0</v>
      </c>
      <c r="R609" t="inlineStr">
        <is>
          <t>T1189:Drive-by Compromise | T1562:Impair Defenses</t>
        </is>
      </c>
      <c r="S609" t="n">
        <v>1</v>
      </c>
      <c r="T609" t="inlineStr">
        <is>
          <t>LOW (40%)</t>
        </is>
      </c>
      <c r="U609" t="inlineStr">
        <is>
          <t>UNLIKELY</t>
        </is>
      </c>
      <c r="V609" t="inlineStr">
        <is>
          <t>CHECK_VENDOR</t>
        </is>
      </c>
      <c r="W609" t="inlineStr">
        <is>
          <t>https://nvd.nist.gov/vuln/detail/CVE-2019-25425</t>
        </is>
      </c>
      <c r="X609" t="inlineStr">
        <is>
          <t>NONE</t>
        </is>
      </c>
      <c r="Y609" t="n">
        <v>0</v>
      </c>
      <c r="Z609" t="inlineStr"/>
      <c r="AA609" t="inlineStr">
        <is>
          <t>https://nvd.nist.gov/vuln/detail/CVE-2019-25425</t>
        </is>
      </c>
    </row>
    <row r="610">
      <c r="A610" t="inlineStr">
        <is>
          <t>CVE</t>
        </is>
      </c>
      <c r="B610" t="inlineStr">
        <is>
          <t>CVE-2019-25426</t>
        </is>
      </c>
      <c r="C610" t="inlineStr">
        <is>
          <t>Comodo Dome Firewall 2.7.0 contains a reflected cross-site scripting vulnerability that allows attackers to inject malicious scripts by submitting crafted input to the dnsmasq endpoint. Attackers can send POST requests with script payloads in the TRANSPARENT_SOURCE_BYPASS or TRANSPARENT_DESTINATION_BYPASS parameters to execute arbitrary JavaScript in users' browsers.</t>
        </is>
      </c>
      <c r="D610" t="n">
        <v>6.1</v>
      </c>
      <c r="E610" t="inlineStr">
        <is>
          <t>MEDIUM</t>
        </is>
      </c>
      <c r="F610" t="n">
        <v>2</v>
      </c>
      <c r="G610" t="n">
        <v>2</v>
      </c>
      <c r="H610" t="inlineStr">
        <is>
          <t>MEDIUM</t>
        </is>
      </c>
      <c r="I610" t="n">
        <v>10.1</v>
      </c>
      <c r="J610" t="inlineStr">
        <is>
          <t>NO</t>
        </is>
      </c>
      <c r="K610" t="inlineStr">
        <is>
          <t>2026-02-23 23:48</t>
        </is>
      </c>
      <c r="L610" t="inlineStr">
        <is>
          <t>CHECK_VENDOR</t>
        </is>
      </c>
      <c r="M610" t="inlineStr">
        <is>
          <t>comodo dome_firewall *</t>
        </is>
      </c>
      <c r="N610" t="inlineStr">
        <is>
          <t>P4</t>
        </is>
      </c>
      <c r="O610" t="inlineStr">
        <is>
          <t>CVE - IP enrichment n/a</t>
        </is>
      </c>
      <c r="P610" t="n">
        <v>0.0003</v>
      </c>
      <c r="Q610" t="n">
        <v>0.0819</v>
      </c>
      <c r="R610" t="inlineStr">
        <is>
          <t>T1189:Drive-by Compromise | T1190:Exploit Public-Facing Application | T1562:Impair Defenses</t>
        </is>
      </c>
      <c r="S610" t="n">
        <v>1</v>
      </c>
      <c r="T610" t="inlineStr">
        <is>
          <t>LOW (40%)</t>
        </is>
      </c>
      <c r="U610" t="inlineStr">
        <is>
          <t>UNLIKELY</t>
        </is>
      </c>
      <c r="V610" t="inlineStr">
        <is>
          <t>CHECK_VENDOR</t>
        </is>
      </c>
      <c r="W610" t="inlineStr">
        <is>
          <t>https://nvd.nist.gov/vuln/detail/CVE-2019-25426</t>
        </is>
      </c>
      <c r="X610" t="inlineStr">
        <is>
          <t>NONE</t>
        </is>
      </c>
      <c r="Y610" t="n">
        <v>0</v>
      </c>
      <c r="Z610" t="inlineStr"/>
      <c r="AA610" t="inlineStr">
        <is>
          <t>https://nvd.nist.gov/vuln/detail/CVE-2019-25426</t>
        </is>
      </c>
    </row>
    <row r="611">
      <c r="A611" t="inlineStr">
        <is>
          <t>CVE</t>
        </is>
      </c>
      <c r="B611" t="inlineStr">
        <is>
          <t>CVE-2019-25427</t>
        </is>
      </c>
      <c r="C611" t="inlineStr">
        <is>
          <t>Comodo Dome Firewall 2.7.0 contains a reflected cross-site scripting vulnerability that allows attackers to inject malicious scripts by submitting crafted input to the antispyware endpoint. Attackers can send POST requests with JavaScript payloads in the DNSMASQ_WHITELIST or DNSMASQ_BLACKLIST parameters to execute arbitrary code in users' browsers.</t>
        </is>
      </c>
      <c r="D611" t="n">
        <v>6.1</v>
      </c>
      <c r="E611" t="inlineStr">
        <is>
          <t>MEDIUM</t>
        </is>
      </c>
      <c r="F611" t="n">
        <v>2</v>
      </c>
      <c r="G611" t="n">
        <v>2</v>
      </c>
      <c r="H611" t="inlineStr">
        <is>
          <t>MEDIUM</t>
        </is>
      </c>
      <c r="I611" t="n">
        <v>10.1</v>
      </c>
      <c r="J611" t="inlineStr">
        <is>
          <t>NO</t>
        </is>
      </c>
      <c r="K611" t="inlineStr">
        <is>
          <t>2026-02-23 23:48</t>
        </is>
      </c>
      <c r="L611" t="inlineStr">
        <is>
          <t>CHECK_VENDOR</t>
        </is>
      </c>
      <c r="M611" t="inlineStr">
        <is>
          <t>comodo dome_firewall *</t>
        </is>
      </c>
      <c r="N611" t="inlineStr">
        <is>
          <t>P4</t>
        </is>
      </c>
      <c r="O611" t="inlineStr">
        <is>
          <t>CVE - IP enrichment n/a</t>
        </is>
      </c>
      <c r="P611" t="n">
        <v>0</v>
      </c>
      <c r="Q611" t="n">
        <v>0</v>
      </c>
      <c r="R611" t="inlineStr">
        <is>
          <t>T1189:Drive-by Compromise | T1203:Exploitation for Client Execution | T1562:Impair Defenses</t>
        </is>
      </c>
      <c r="S611" t="n">
        <v>1</v>
      </c>
      <c r="T611" t="inlineStr">
        <is>
          <t>LOW (40%)</t>
        </is>
      </c>
      <c r="U611" t="inlineStr">
        <is>
          <t>UNLIKELY</t>
        </is>
      </c>
      <c r="V611" t="inlineStr">
        <is>
          <t>CHECK_VENDOR</t>
        </is>
      </c>
      <c r="W611" t="inlineStr">
        <is>
          <t>https://nvd.nist.gov/vuln/detail/CVE-2019-25427</t>
        </is>
      </c>
      <c r="X611" t="inlineStr">
        <is>
          <t>NONE</t>
        </is>
      </c>
      <c r="Y611" t="n">
        <v>0</v>
      </c>
      <c r="Z611" t="inlineStr"/>
      <c r="AA611" t="inlineStr">
        <is>
          <t>https://nvd.nist.gov/vuln/detail/CVE-2019-25427</t>
        </is>
      </c>
    </row>
    <row r="612">
      <c r="A612" t="inlineStr">
        <is>
          <t>CVE</t>
        </is>
      </c>
      <c r="B612" t="inlineStr">
        <is>
          <t>CVE-2019-25428</t>
        </is>
      </c>
      <c r="C612" t="inlineStr">
        <is>
          <t>Comodo Dome Firewall 2.7.0 contains multiple reflected cross-site scripting vulnerabilities in the openvpn_users endpoint that allow attackers to inject malicious scripts through POST parameters. Attackers can submit crafted POST requests with script payloads in the username, remotenets, explicitroutes, static_ip, custom_dns, or custom_domain parameters to execute arbitrary JavaScript in users' browsers.</t>
        </is>
      </c>
      <c r="D612" t="n">
        <v>6.1</v>
      </c>
      <c r="E612" t="inlineStr">
        <is>
          <t>MEDIUM</t>
        </is>
      </c>
      <c r="F612" t="n">
        <v>2</v>
      </c>
      <c r="G612" t="n">
        <v>2</v>
      </c>
      <c r="H612" t="inlineStr">
        <is>
          <t>MEDIUM</t>
        </is>
      </c>
      <c r="I612" t="n">
        <v>10.1</v>
      </c>
      <c r="J612" t="inlineStr">
        <is>
          <t>NO</t>
        </is>
      </c>
      <c r="K612" t="inlineStr">
        <is>
          <t>2026-02-23 23:48</t>
        </is>
      </c>
      <c r="L612" t="inlineStr">
        <is>
          <t>CHECK_VENDOR</t>
        </is>
      </c>
      <c r="M612" t="inlineStr">
        <is>
          <t>comodo dome_firewall 2.7.0</t>
        </is>
      </c>
      <c r="N612" t="inlineStr">
        <is>
          <t>P4</t>
        </is>
      </c>
      <c r="O612" t="inlineStr">
        <is>
          <t>CVE - IP enrichment n/a</t>
        </is>
      </c>
      <c r="P612" t="n">
        <v>0</v>
      </c>
      <c r="Q612" t="n">
        <v>0</v>
      </c>
      <c r="R612" t="inlineStr">
        <is>
          <t>T1189:Drive-by Compromise | T1133:External Remote Services | T1562:Impair Defenses</t>
        </is>
      </c>
      <c r="S612" t="n">
        <v>1</v>
      </c>
      <c r="T612" t="inlineStr">
        <is>
          <t>LOW (40%)</t>
        </is>
      </c>
      <c r="U612" t="inlineStr">
        <is>
          <t>UNLIKELY</t>
        </is>
      </c>
      <c r="V612" t="inlineStr">
        <is>
          <t>CHECK_VENDOR</t>
        </is>
      </c>
      <c r="W612" t="inlineStr">
        <is>
          <t>https://nvd.nist.gov/vuln/detail/CVE-2019-25428</t>
        </is>
      </c>
      <c r="X612" t="inlineStr">
        <is>
          <t>NONE</t>
        </is>
      </c>
      <c r="Y612" t="n">
        <v>0</v>
      </c>
      <c r="Z612" t="inlineStr"/>
      <c r="AA612" t="inlineStr">
        <is>
          <t>https://nvd.nist.gov/vuln/detail/CVE-2019-25428</t>
        </is>
      </c>
    </row>
    <row r="613">
      <c r="A613" t="inlineStr">
        <is>
          <t>CVE</t>
        </is>
      </c>
      <c r="B613" t="inlineStr">
        <is>
          <t>CVE-2019-25429</t>
        </is>
      </c>
      <c r="C613" t="inlineStr">
        <is>
          <t>Comodo Dome Firewall 2.7.0 contains a reflected cross-site scripting vulnerability that allows attackers to inject malicious scripts by submitting crafted input to the openvpn_advanced endpoint. Attackers can inject JavaScript code through the GLOBAL_NETWORKS and GLOBAL_DNS parameters via POST requests to execute arbitrary scripts in users' browsers.</t>
        </is>
      </c>
      <c r="D613" t="n">
        <v>6.1</v>
      </c>
      <c r="E613" t="inlineStr">
        <is>
          <t>MEDIUM</t>
        </is>
      </c>
      <c r="F613" t="n">
        <v>2</v>
      </c>
      <c r="G613" t="n">
        <v>2</v>
      </c>
      <c r="H613" t="inlineStr">
        <is>
          <t>MEDIUM</t>
        </is>
      </c>
      <c r="I613" t="n">
        <v>10.1</v>
      </c>
      <c r="J613" t="inlineStr">
        <is>
          <t>NO</t>
        </is>
      </c>
      <c r="K613" t="inlineStr">
        <is>
          <t>2026-02-23 23:48</t>
        </is>
      </c>
      <c r="L613" t="inlineStr">
        <is>
          <t>CHECK_VENDOR</t>
        </is>
      </c>
      <c r="M613" t="inlineStr">
        <is>
          <t>comodo dome_firewall 2.7.0</t>
        </is>
      </c>
      <c r="N613" t="inlineStr">
        <is>
          <t>P4</t>
        </is>
      </c>
      <c r="O613" t="inlineStr">
        <is>
          <t>CVE - IP enrichment n/a</t>
        </is>
      </c>
      <c r="P613" t="n">
        <v>0</v>
      </c>
      <c r="Q613" t="n">
        <v>0</v>
      </c>
      <c r="R613" t="inlineStr">
        <is>
          <t>T1189:Drive-by Compromise | T1133:External Remote Services | T1562:Impair Defenses</t>
        </is>
      </c>
      <c r="S613" t="n">
        <v>1</v>
      </c>
      <c r="T613" t="inlineStr">
        <is>
          <t>LOW (40%)</t>
        </is>
      </c>
      <c r="U613" t="inlineStr">
        <is>
          <t>UNLIKELY</t>
        </is>
      </c>
      <c r="V613" t="inlineStr">
        <is>
          <t>CHECK_VENDOR</t>
        </is>
      </c>
      <c r="W613" t="inlineStr">
        <is>
          <t>https://nvd.nist.gov/vuln/detail/CVE-2019-25429</t>
        </is>
      </c>
      <c r="X613" t="inlineStr">
        <is>
          <t>NONE</t>
        </is>
      </c>
      <c r="Y613" t="n">
        <v>0</v>
      </c>
      <c r="Z613" t="inlineStr"/>
      <c r="AA613" t="inlineStr">
        <is>
          <t>https://nvd.nist.gov/vuln/detail/CVE-2019-25429</t>
        </is>
      </c>
    </row>
    <row r="614">
      <c r="A614" t="inlineStr">
        <is>
          <t>CVE</t>
        </is>
      </c>
      <c r="B614" t="inlineStr">
        <is>
          <t>CVE-2019-25430</t>
        </is>
      </c>
      <c r="C614" t="inlineStr">
        <is>
          <t>Comodo Dome Firewall 2.7.0 contains a reflected cross-site scripting vulnerability that allows unauthenticated attackers to inject malicious scripts by submitting crafted input to the username parameter. Attackers can send POST requests to the vpn_users endpoint with script payloads in the username field to execute arbitrary JavaScript in victim browsers.</t>
        </is>
      </c>
      <c r="D614" t="n">
        <v>6.1</v>
      </c>
      <c r="E614" t="inlineStr">
        <is>
          <t>MEDIUM</t>
        </is>
      </c>
      <c r="F614" t="n">
        <v>2</v>
      </c>
      <c r="G614" t="n">
        <v>2</v>
      </c>
      <c r="H614" t="inlineStr">
        <is>
          <t>MEDIUM</t>
        </is>
      </c>
      <c r="I614" t="n">
        <v>10.1</v>
      </c>
      <c r="J614" t="inlineStr">
        <is>
          <t>NO</t>
        </is>
      </c>
      <c r="K614" t="inlineStr">
        <is>
          <t>2026-02-23 23:48</t>
        </is>
      </c>
      <c r="L614" t="inlineStr">
        <is>
          <t>CHECK_VENDOR</t>
        </is>
      </c>
      <c r="M614" t="inlineStr">
        <is>
          <t>comodo dome_firewall 2.7.0</t>
        </is>
      </c>
      <c r="N614" t="inlineStr">
        <is>
          <t>P4</t>
        </is>
      </c>
      <c r="O614" t="inlineStr">
        <is>
          <t>CVE - IP enrichment n/a</t>
        </is>
      </c>
      <c r="P614" t="n">
        <v>0</v>
      </c>
      <c r="Q614" t="n">
        <v>0</v>
      </c>
      <c r="R614" t="inlineStr">
        <is>
          <t>T1189:Drive-by Compromise | T1133:External Remote Services | T1562:Impair Defenses</t>
        </is>
      </c>
      <c r="S614" t="n">
        <v>1</v>
      </c>
      <c r="T614" t="inlineStr">
        <is>
          <t>LOW (40%)</t>
        </is>
      </c>
      <c r="U614" t="inlineStr">
        <is>
          <t>UNLIKELY</t>
        </is>
      </c>
      <c r="V614" t="inlineStr">
        <is>
          <t>CHECK_VENDOR</t>
        </is>
      </c>
      <c r="W614" t="inlineStr">
        <is>
          <t>https://nvd.nist.gov/vuln/detail/CVE-2019-25430</t>
        </is>
      </c>
      <c r="X614" t="inlineStr">
        <is>
          <t>NONE</t>
        </is>
      </c>
      <c r="Y614" t="n">
        <v>0</v>
      </c>
      <c r="Z614" t="inlineStr"/>
      <c r="AA614" t="inlineStr">
        <is>
          <t>https://nvd.nist.gov/vuln/detail/CVE-2019-25430</t>
        </is>
      </c>
    </row>
    <row r="615">
      <c r="A615" t="inlineStr">
        <is>
          <t>CVE</t>
        </is>
      </c>
      <c r="B615" t="inlineStr">
        <is>
          <t>CVE-2026-2744</t>
        </is>
      </c>
      <c r="C615" t="inlineStr">
        <is>
          <t>Rejected reason: This CVE ID has been rejected or withdrawn by its CVE Numbering Authority.</t>
        </is>
      </c>
      <c r="D615" t="n">
        <v>5</v>
      </c>
      <c r="E615" t="inlineStr">
        <is>
          <t>MEDIUM</t>
        </is>
      </c>
      <c r="F615" t="n">
        <v>2</v>
      </c>
      <c r="G615" t="n">
        <v>2</v>
      </c>
      <c r="H615" t="inlineStr">
        <is>
          <t>MEDIUM</t>
        </is>
      </c>
      <c r="I615" t="n">
        <v>9</v>
      </c>
      <c r="J615" t="inlineStr">
        <is>
          <t>NO</t>
        </is>
      </c>
      <c r="K615" t="inlineStr">
        <is>
          <t>2026-02-23 23:48</t>
        </is>
      </c>
      <c r="L615" t="inlineStr">
        <is>
          <t>CHECK_VENDOR</t>
        </is>
      </c>
      <c r="M615" t="inlineStr">
        <is>
          <t>See CVE details</t>
        </is>
      </c>
      <c r="N615" t="inlineStr">
        <is>
          <t>P4</t>
        </is>
      </c>
      <c r="O615" t="inlineStr">
        <is>
          <t>CVE - IP enrichment n/a</t>
        </is>
      </c>
      <c r="P615" t="n">
        <v>0</v>
      </c>
      <c r="Q615" t="n">
        <v>0</v>
      </c>
      <c r="R615" t="inlineStr">
        <is>
          <t>T1190:Exploit Public-Facing Application</t>
        </is>
      </c>
      <c r="S615" t="n">
        <v>1</v>
      </c>
      <c r="T615" t="inlineStr">
        <is>
          <t>LOW (40%)</t>
        </is>
      </c>
      <c r="U615" t="inlineStr">
        <is>
          <t>UNLIKELY</t>
        </is>
      </c>
      <c r="V615" t="inlineStr">
        <is>
          <t>CHECK_VENDOR</t>
        </is>
      </c>
      <c r="W615" t="inlineStr">
        <is>
          <t>https://nvd.nist.gov/vuln/detail/CVE-2026-2744</t>
        </is>
      </c>
      <c r="X615" t="inlineStr">
        <is>
          <t>NONE</t>
        </is>
      </c>
      <c r="Y615" t="n">
        <v>0</v>
      </c>
      <c r="Z615" t="inlineStr"/>
      <c r="AA615" t="inlineStr">
        <is>
          <t>https://nvd.nist.gov/vuln/detail/CVE-2026-2744</t>
        </is>
      </c>
    </row>
    <row r="616">
      <c r="A616" t="inlineStr">
        <is>
          <t>CVE</t>
        </is>
      </c>
      <c r="B616" t="inlineStr">
        <is>
          <t>CVE-2025-55853</t>
        </is>
      </c>
      <c r="C616" t="inlineStr">
        <is>
          <t>SoftVision webPDF before 10.0.2 is vulnerable to Server-Side Request Forgery (SSRF). The PDF converter function does not check if internal or external resources are requested in the uploaded files and allows for protocols such as http:// and file:///. This allows an attacker to upload an XML or HTML file in the application, which when rendered to a PDF allows for internal port scanning and Local File Inclusion (LFI).</t>
        </is>
      </c>
      <c r="D616" t="n">
        <v>9.1</v>
      </c>
      <c r="E616" t="inlineStr">
        <is>
          <t>CRITICAL</t>
        </is>
      </c>
      <c r="F616" t="n">
        <v>2</v>
      </c>
      <c r="G616" t="n">
        <v>3</v>
      </c>
      <c r="H616" t="inlineStr">
        <is>
          <t>HIGH</t>
        </is>
      </c>
      <c r="I616" t="n">
        <v>15.1</v>
      </c>
      <c r="J616" t="inlineStr">
        <is>
          <t>NO</t>
        </is>
      </c>
      <c r="K616" t="inlineStr">
        <is>
          <t>2026-02-23 23:48</t>
        </is>
      </c>
      <c r="L616" t="inlineStr">
        <is>
          <t>CHECK_VENDOR</t>
        </is>
      </c>
      <c r="M616" t="inlineStr">
        <is>
          <t>See CVE details</t>
        </is>
      </c>
      <c r="N616" t="inlineStr">
        <is>
          <t>P3</t>
        </is>
      </c>
      <c r="O616" t="inlineStr">
        <is>
          <t>CVE - IP enrichment n/a</t>
        </is>
      </c>
      <c r="P616" t="n">
        <v>0.0001</v>
      </c>
      <c r="Q616" t="n">
        <v>0.0031</v>
      </c>
      <c r="R616" t="inlineStr">
        <is>
          <t>T1090:Proxy | T1190:Exploit Public-Facing Application</t>
        </is>
      </c>
      <c r="S616" t="n">
        <v>1</v>
      </c>
      <c r="T616" t="inlineStr">
        <is>
          <t>LOW (40%)</t>
        </is>
      </c>
      <c r="U616" t="inlineStr">
        <is>
          <t>UNLIKELY</t>
        </is>
      </c>
      <c r="V616" t="inlineStr">
        <is>
          <t>CHECK_VENDOR</t>
        </is>
      </c>
      <c r="W616" t="inlineStr">
        <is>
          <t>https://nvd.nist.gov/vuln/detail/CVE-2025-55853</t>
        </is>
      </c>
      <c r="X616" t="inlineStr">
        <is>
          <t>NONE</t>
        </is>
      </c>
      <c r="Y616" t="n">
        <v>0</v>
      </c>
      <c r="Z616" t="inlineStr"/>
      <c r="AA616" t="inlineStr">
        <is>
          <t>https://nvd.nist.gov/vuln/detail/CVE-2025-55853</t>
        </is>
      </c>
    </row>
    <row r="617">
      <c r="A617" t="inlineStr">
        <is>
          <t>CVE</t>
        </is>
      </c>
      <c r="B617" t="inlineStr">
        <is>
          <t>CVE-2026-25527</t>
        </is>
      </c>
      <c r="C617" t="inlineStr">
        <is>
          <t>changedetection.io is a free open source web page change detection tool. In versions prior to 0.53.2, the `/static/ / ` route accepts `group=".."`, which causes `send_from_directory("static/..", filename)` to execute. This moves the base directory up to `/app/changedetectionio`, enabling unauthenticated local file read of application source files (e.g., `flask_app.py`). Version 0.53.2 fixes the issue.</t>
        </is>
      </c>
      <c r="D617" t="n">
        <v>5.3</v>
      </c>
      <c r="E617" t="inlineStr">
        <is>
          <t>MEDIUM</t>
        </is>
      </c>
      <c r="F617" t="n">
        <v>2</v>
      </c>
      <c r="G617" t="n">
        <v>2</v>
      </c>
      <c r="H617" t="inlineStr">
        <is>
          <t>MEDIUM</t>
        </is>
      </c>
      <c r="I617" t="n">
        <v>9.300000000000001</v>
      </c>
      <c r="J617" t="inlineStr">
        <is>
          <t>NO</t>
        </is>
      </c>
      <c r="K617" t="inlineStr">
        <is>
          <t>2026-02-23 23:48</t>
        </is>
      </c>
      <c r="L617" t="inlineStr">
        <is>
          <t>YES</t>
        </is>
      </c>
      <c r="M617" t="inlineStr">
        <is>
          <t>webtechnologies changedetection *</t>
        </is>
      </c>
      <c r="N617" t="inlineStr">
        <is>
          <t>P4</t>
        </is>
      </c>
      <c r="O617" t="inlineStr">
        <is>
          <t>CVE - IP enrichment n/a</t>
        </is>
      </c>
      <c r="P617" t="n">
        <v>0.0005</v>
      </c>
      <c r="Q617" t="n">
        <v>0.1521</v>
      </c>
      <c r="R617" t="inlineStr">
        <is>
          <t>T1083:File and Directory Discovery | T1190:Exploit Public-Facing Application</t>
        </is>
      </c>
      <c r="S617" t="n">
        <v>1</v>
      </c>
      <c r="T617" t="inlineStr">
        <is>
          <t>LOW (40%)</t>
        </is>
      </c>
      <c r="U617" t="inlineStr">
        <is>
          <t>UNLIKELY</t>
        </is>
      </c>
      <c r="V617" t="inlineStr">
        <is>
          <t>PATCH_AVAILABLE</t>
        </is>
      </c>
      <c r="W617" t="inlineStr">
        <is>
          <t>https://nvd.nist.gov/vuln/detail/CVE-2026-25527</t>
        </is>
      </c>
      <c r="X617" t="inlineStr">
        <is>
          <t>NONE</t>
        </is>
      </c>
      <c r="Y617" t="n">
        <v>0</v>
      </c>
      <c r="Z617" t="inlineStr"/>
      <c r="AA617" t="inlineStr">
        <is>
          <t>https://nvd.nist.gov/vuln/detail/CVE-2026-25527</t>
        </is>
      </c>
    </row>
    <row r="618">
      <c r="A618" t="inlineStr">
        <is>
          <t>CVE</t>
        </is>
      </c>
      <c r="B618" t="inlineStr">
        <is>
          <t>CVE-2026-25535</t>
        </is>
      </c>
      <c r="C618" t="inlineStr">
        <is>
          <t>jsPDF is a library to generate PDFs in JavaScript. Prior to 4.2.0, user control of the first argument of the `addImage` method results in denial of service. If given the possibility to pass unsanitized image data or URLs to the `addImage` method, a user can provide a harmful GIF file that results in out of memory errors and denial of service. Harmful GIF files have large width and/or height entries in their headers, which lead to excessive memory allocation. Other affected methods are: `html`. T</t>
        </is>
      </c>
      <c r="D618" t="n">
        <v>7.5</v>
      </c>
      <c r="E618" t="inlineStr">
        <is>
          <t>HIGH</t>
        </is>
      </c>
      <c r="F618" t="n">
        <v>2</v>
      </c>
      <c r="G618" t="n">
        <v>3</v>
      </c>
      <c r="H618" t="inlineStr">
        <is>
          <t>HIGH</t>
        </is>
      </c>
      <c r="I618" t="n">
        <v>13.5</v>
      </c>
      <c r="J618" t="inlineStr">
        <is>
          <t>NO</t>
        </is>
      </c>
      <c r="K618" t="inlineStr">
        <is>
          <t>2026-02-23 23:48</t>
        </is>
      </c>
      <c r="L618" t="inlineStr">
        <is>
          <t>YES</t>
        </is>
      </c>
      <c r="M618" t="inlineStr">
        <is>
          <t>parall jspdf *</t>
        </is>
      </c>
      <c r="N618" t="inlineStr">
        <is>
          <t>P3</t>
        </is>
      </c>
      <c r="O618" t="inlineStr">
        <is>
          <t>CVE - IP enrichment n/a</t>
        </is>
      </c>
      <c r="P618" t="n">
        <v>0</v>
      </c>
      <c r="Q618" t="n">
        <v>0</v>
      </c>
      <c r="R618" t="inlineStr">
        <is>
          <t>T1499:Endpoint Denial of Service</t>
        </is>
      </c>
      <c r="S618" t="n">
        <v>1</v>
      </c>
      <c r="T618" t="inlineStr">
        <is>
          <t>LOW (40%)</t>
        </is>
      </c>
      <c r="U618" t="inlineStr">
        <is>
          <t>UNLIKELY</t>
        </is>
      </c>
      <c r="V618" t="inlineStr">
        <is>
          <t>PATCH_AVAILABLE</t>
        </is>
      </c>
      <c r="W618" t="inlineStr">
        <is>
          <t>https://nvd.nist.gov/vuln/detail/CVE-2026-25535</t>
        </is>
      </c>
      <c r="X618" t="inlineStr">
        <is>
          <t>NONE</t>
        </is>
      </c>
      <c r="Y618" t="n">
        <v>0</v>
      </c>
      <c r="Z618" t="inlineStr"/>
      <c r="AA618" t="inlineStr">
        <is>
          <t>https://nvd.nist.gov/vuln/detail/CVE-2026-25535</t>
        </is>
      </c>
    </row>
    <row r="619">
      <c r="A619" t="inlineStr">
        <is>
          <t>CVE</t>
        </is>
      </c>
      <c r="B619" t="inlineStr">
        <is>
          <t>CVE-2026-25755</t>
        </is>
      </c>
      <c r="C619" t="inlineStr">
        <is>
          <t>jsPDF is a library to generate PDFs in JavaScript. Prior to 4.2.0, user control of the argument of the `addJS` method allows an attacker to inject arbitrary PDF objects into the generated document. By crafting a payload that escapes the JavaScript string delimiter, an attacker can execute malicious actions or alter the document structure, impacting any user who opens the generated PDF. The vulnerability has been fixed in jspdf@4.2.0. As a workaround, escape parentheses in user-provided JavaScrip</t>
        </is>
      </c>
      <c r="D619" t="n">
        <v>8.1</v>
      </c>
      <c r="E619" t="inlineStr">
        <is>
          <t>HIGH</t>
        </is>
      </c>
      <c r="F619" t="n">
        <v>2</v>
      </c>
      <c r="G619" t="n">
        <v>3</v>
      </c>
      <c r="H619" t="inlineStr">
        <is>
          <t>HIGH</t>
        </is>
      </c>
      <c r="I619" t="n">
        <v>14.1</v>
      </c>
      <c r="J619" t="inlineStr">
        <is>
          <t>NO</t>
        </is>
      </c>
      <c r="K619" t="inlineStr">
        <is>
          <t>2026-02-23 23:48</t>
        </is>
      </c>
      <c r="L619" t="inlineStr">
        <is>
          <t>YES</t>
        </is>
      </c>
      <c r="M619" t="inlineStr">
        <is>
          <t>parall jspdf *</t>
        </is>
      </c>
      <c r="N619" t="inlineStr">
        <is>
          <t>P3</t>
        </is>
      </c>
      <c r="O619" t="inlineStr">
        <is>
          <t>CVE - IP enrichment n/a</t>
        </is>
      </c>
      <c r="P619" t="n">
        <v>0.0003</v>
      </c>
      <c r="Q619" t="n">
        <v>0.093</v>
      </c>
      <c r="R619" t="inlineStr">
        <is>
          <t>T1059:Command and Scripting Interpreter</t>
        </is>
      </c>
      <c r="S619" t="n">
        <v>1</v>
      </c>
      <c r="T619" t="inlineStr">
        <is>
          <t>LOW (40%)</t>
        </is>
      </c>
      <c r="U619" t="inlineStr">
        <is>
          <t>UNLIKELY</t>
        </is>
      </c>
      <c r="V619" t="inlineStr">
        <is>
          <t>PATCH_AVAILABLE</t>
        </is>
      </c>
      <c r="W619" t="inlineStr">
        <is>
          <t>https://nvd.nist.gov/vuln/detail/CVE-2026-25755</t>
        </is>
      </c>
      <c r="X619" t="inlineStr">
        <is>
          <t>NONE</t>
        </is>
      </c>
      <c r="Y619" t="n">
        <v>0</v>
      </c>
      <c r="Z619" t="inlineStr"/>
      <c r="AA619" t="inlineStr">
        <is>
          <t>https://nvd.nist.gov/vuln/detail/CVE-2026-25755</t>
        </is>
      </c>
    </row>
    <row r="620">
      <c r="A620" t="inlineStr">
        <is>
          <t>CVE</t>
        </is>
      </c>
      <c r="B620" t="inlineStr">
        <is>
          <t>CVE-2025-71240</t>
        </is>
      </c>
      <c r="C620" t="inlineStr">
        <is>
          <t>SPIP before 4.2.15 allows Cross-Site Scripting (XSS) via crafted content in HTML code tags. The application does not properly verify JavaScript within code tags, allowing an attacker to inject malicious scripts that execute in a victim's browser.</t>
        </is>
      </c>
      <c r="D620" t="n">
        <v>5.4</v>
      </c>
      <c r="E620" t="inlineStr">
        <is>
          <t>MEDIUM</t>
        </is>
      </c>
      <c r="F620" t="n">
        <v>2</v>
      </c>
      <c r="G620" t="n">
        <v>2</v>
      </c>
      <c r="H620" t="inlineStr">
        <is>
          <t>MEDIUM</t>
        </is>
      </c>
      <c r="I620" t="n">
        <v>9.4</v>
      </c>
      <c r="J620" t="inlineStr">
        <is>
          <t>NO</t>
        </is>
      </c>
      <c r="K620" t="inlineStr">
        <is>
          <t>2026-02-23 23:48</t>
        </is>
      </c>
      <c r="L620" t="inlineStr">
        <is>
          <t>CHECK_VENDOR</t>
        </is>
      </c>
      <c r="M620" t="inlineStr">
        <is>
          <t>See CVE details</t>
        </is>
      </c>
      <c r="N620" t="inlineStr">
        <is>
          <t>P4</t>
        </is>
      </c>
      <c r="O620" t="inlineStr">
        <is>
          <t>CVE - IP enrichment n/a</t>
        </is>
      </c>
      <c r="P620" t="n">
        <v>0.0003</v>
      </c>
      <c r="Q620" t="n">
        <v>0.0803</v>
      </c>
      <c r="R620" t="inlineStr">
        <is>
          <t>T1189:Drive-by Compromise</t>
        </is>
      </c>
      <c r="S620" t="n">
        <v>1</v>
      </c>
      <c r="T620" t="inlineStr">
        <is>
          <t>LOW (40%)</t>
        </is>
      </c>
      <c r="U620" t="inlineStr">
        <is>
          <t>UNLIKELY</t>
        </is>
      </c>
      <c r="V620" t="inlineStr">
        <is>
          <t>CHECK_VENDOR</t>
        </is>
      </c>
      <c r="W620" t="inlineStr">
        <is>
          <t>https://nvd.nist.gov/vuln/detail/CVE-2025-71240</t>
        </is>
      </c>
      <c r="X620" t="inlineStr">
        <is>
          <t>NONE</t>
        </is>
      </c>
      <c r="Y620" t="n">
        <v>0</v>
      </c>
      <c r="Z620" t="inlineStr"/>
      <c r="AA620" t="inlineStr">
        <is>
          <t>https://nvd.nist.gov/vuln/detail/CVE-2025-71240</t>
        </is>
      </c>
    </row>
    <row r="621">
      <c r="A621" t="inlineStr">
        <is>
          <t>CVE</t>
        </is>
      </c>
      <c r="B621" t="inlineStr">
        <is>
          <t>CVE-2025-71241</t>
        </is>
      </c>
      <c r="C621" t="inlineStr">
        <is>
          <t>SPIP before 4.3.6, 4.2.17, and 4.1.20 allows Cross-Site Scripting (XSS) in the private area. The content of the error message displayed by the 'transmettre' API is not properly sanitized, allowing an attacker to inject malicious scripts. This vulnerability is mitigated by the SPIP security screen.</t>
        </is>
      </c>
      <c r="D621" t="n">
        <v>5.4</v>
      </c>
      <c r="E621" t="inlineStr">
        <is>
          <t>MEDIUM</t>
        </is>
      </c>
      <c r="F621" t="n">
        <v>2</v>
      </c>
      <c r="G621" t="n">
        <v>2</v>
      </c>
      <c r="H621" t="inlineStr">
        <is>
          <t>MEDIUM</t>
        </is>
      </c>
      <c r="I621" t="n">
        <v>9.4</v>
      </c>
      <c r="J621" t="inlineStr">
        <is>
          <t>NO</t>
        </is>
      </c>
      <c r="K621" t="inlineStr">
        <is>
          <t>2026-02-23 23:48</t>
        </is>
      </c>
      <c r="L621" t="inlineStr">
        <is>
          <t>CHECK_VENDOR</t>
        </is>
      </c>
      <c r="M621" t="inlineStr">
        <is>
          <t>See CVE details</t>
        </is>
      </c>
      <c r="N621" t="inlineStr">
        <is>
          <t>P4</t>
        </is>
      </c>
      <c r="O621" t="inlineStr">
        <is>
          <t>CVE - IP enrichment n/a</t>
        </is>
      </c>
      <c r="P621" t="n">
        <v>0</v>
      </c>
      <c r="Q621" t="n">
        <v>0</v>
      </c>
      <c r="R621" t="inlineStr">
        <is>
          <t>T1189:Drive-by Compromise</t>
        </is>
      </c>
      <c r="S621" t="n">
        <v>1</v>
      </c>
      <c r="T621" t="inlineStr">
        <is>
          <t>LOW (40%)</t>
        </is>
      </c>
      <c r="U621" t="inlineStr">
        <is>
          <t>UNLIKELY</t>
        </is>
      </c>
      <c r="V621" t="inlineStr">
        <is>
          <t>CHECK_VENDOR</t>
        </is>
      </c>
      <c r="W621" t="inlineStr">
        <is>
          <t>https://nvd.nist.gov/vuln/detail/CVE-2025-71241</t>
        </is>
      </c>
      <c r="X621" t="inlineStr">
        <is>
          <t>NONE</t>
        </is>
      </c>
      <c r="Y621" t="n">
        <v>0</v>
      </c>
      <c r="Z621" t="inlineStr"/>
      <c r="AA621" t="inlineStr">
        <is>
          <t>https://nvd.nist.gov/vuln/detail/CVE-2025-71241</t>
        </is>
      </c>
    </row>
    <row r="622">
      <c r="A622" t="inlineStr">
        <is>
          <t>CVE</t>
        </is>
      </c>
      <c r="B622" t="inlineStr">
        <is>
          <t>CVE-2025-71242</t>
        </is>
      </c>
      <c r="C622" t="inlineStr">
        <is>
          <t>SPIP before 4.3.6, 4.2.17, and 4.1.20 allows unauthorized content disclosure in the private area. The application does not properly check authorization when displaying content of articles and sections (rubriques) in AJAX-loaded fragments, allowing an authenticated attacker to access restricted content. This vulnerability is not mitigated by the SPIP security screen.</t>
        </is>
      </c>
      <c r="D622" t="n">
        <v>4.3</v>
      </c>
      <c r="E622" t="inlineStr">
        <is>
          <t>MEDIUM</t>
        </is>
      </c>
      <c r="F622" t="n">
        <v>2</v>
      </c>
      <c r="G622" t="n">
        <v>2</v>
      </c>
      <c r="H622" t="inlineStr">
        <is>
          <t>MEDIUM</t>
        </is>
      </c>
      <c r="I622" t="n">
        <v>8.300000000000001</v>
      </c>
      <c r="J622" t="inlineStr">
        <is>
          <t>NO</t>
        </is>
      </c>
      <c r="K622" t="inlineStr">
        <is>
          <t>2026-02-23 23:48</t>
        </is>
      </c>
      <c r="L622" t="inlineStr">
        <is>
          <t>CHECK_VENDOR</t>
        </is>
      </c>
      <c r="M622" t="inlineStr">
        <is>
          <t>See CVE details</t>
        </is>
      </c>
      <c r="N622" t="inlineStr">
        <is>
          <t>P4</t>
        </is>
      </c>
      <c r="O622" t="inlineStr">
        <is>
          <t>CVE - IP enrichment n/a</t>
        </is>
      </c>
      <c r="P622" t="n">
        <v>0</v>
      </c>
      <c r="Q622" t="n">
        <v>0</v>
      </c>
      <c r="R622" t="inlineStr">
        <is>
          <t>T1190:Exploit Public-Facing Application</t>
        </is>
      </c>
      <c r="S622" t="n">
        <v>1</v>
      </c>
      <c r="T622" t="inlineStr">
        <is>
          <t>LOW (40%)</t>
        </is>
      </c>
      <c r="U622" t="inlineStr">
        <is>
          <t>UNLIKELY</t>
        </is>
      </c>
      <c r="V622" t="inlineStr">
        <is>
          <t>CHECK_VENDOR</t>
        </is>
      </c>
      <c r="W622" t="inlineStr">
        <is>
          <t>https://nvd.nist.gov/vuln/detail/CVE-2025-71242</t>
        </is>
      </c>
      <c r="X622" t="inlineStr">
        <is>
          <t>NONE</t>
        </is>
      </c>
      <c r="Y622" t="n">
        <v>0</v>
      </c>
      <c r="Z622" t="inlineStr"/>
      <c r="AA622" t="inlineStr">
        <is>
          <t>https://nvd.nist.gov/vuln/detail/CVE-2025-71242</t>
        </is>
      </c>
    </row>
    <row r="623">
      <c r="A623" t="inlineStr">
        <is>
          <t>CVE</t>
        </is>
      </c>
      <c r="B623" t="inlineStr">
        <is>
          <t>CVE-2025-71243</t>
        </is>
      </c>
      <c r="C623" t="inlineStr">
        <is>
          <t>The 'Saisies pour formulaire' (Saisies) plugin for SPIP versions 5.4.0 through 5.11.0 contains a critical Remote Code Execution (RCE) vulnerability. An attacker can exploit this vulnerability to execute arbitrary code on the server. Users should immediately update to version 5.11.1 or later.</t>
        </is>
      </c>
      <c r="D623" t="n">
        <v>9.800000000000001</v>
      </c>
      <c r="E623" t="inlineStr">
        <is>
          <t>CRITICAL</t>
        </is>
      </c>
      <c r="F623" t="n">
        <v>2</v>
      </c>
      <c r="G623" t="n">
        <v>3</v>
      </c>
      <c r="H623" t="inlineStr">
        <is>
          <t>HIGH</t>
        </is>
      </c>
      <c r="I623" t="n">
        <v>15.8</v>
      </c>
      <c r="J623" t="inlineStr">
        <is>
          <t>NO</t>
        </is>
      </c>
      <c r="K623" t="inlineStr">
        <is>
          <t>2026-02-23 23:48</t>
        </is>
      </c>
      <c r="L623" t="inlineStr">
        <is>
          <t>CHECK_VENDOR</t>
        </is>
      </c>
      <c r="M623" t="inlineStr">
        <is>
          <t>See CVE details</t>
        </is>
      </c>
      <c r="N623" t="inlineStr">
        <is>
          <t>P3</t>
        </is>
      </c>
      <c r="O623" t="inlineStr">
        <is>
          <t>CVE - IP enrichment n/a</t>
        </is>
      </c>
      <c r="P623" t="n">
        <v>0</v>
      </c>
      <c r="Q623" t="n">
        <v>0</v>
      </c>
      <c r="R623" t="inlineStr">
        <is>
          <t>T1059:Command and Scripting Interpreter | T1190:Exploit Public-Facing Application | T1210:Exploitation of Remote Services</t>
        </is>
      </c>
      <c r="S623" t="n">
        <v>1</v>
      </c>
      <c r="T623" t="inlineStr">
        <is>
          <t>LOW (40%)</t>
        </is>
      </c>
      <c r="U623" t="inlineStr">
        <is>
          <t>UNLIKELY</t>
        </is>
      </c>
      <c r="V623" t="inlineStr">
        <is>
          <t>CHECK_VENDOR</t>
        </is>
      </c>
      <c r="W623" t="inlineStr">
        <is>
          <t>https://nvd.nist.gov/vuln/detail/CVE-2025-71243</t>
        </is>
      </c>
      <c r="X623" t="inlineStr">
        <is>
          <t>NONE</t>
        </is>
      </c>
      <c r="Y623" t="n">
        <v>0</v>
      </c>
      <c r="Z623" t="inlineStr"/>
      <c r="AA623" t="inlineStr">
        <is>
          <t>https://nvd.nist.gov/vuln/detail/CVE-2025-71243</t>
        </is>
      </c>
    </row>
    <row r="624">
      <c r="A624" t="inlineStr">
        <is>
          <t>CVE</t>
        </is>
      </c>
      <c r="B624" t="inlineStr">
        <is>
          <t>CVE-2025-71244</t>
        </is>
      </c>
      <c r="C624" t="inlineStr">
        <is>
          <t>SPIP before 4.4.5 and 4.3.9 allows an Open Redirect via the login form when used in AJAX mode. An attacker can craft a malicious URL that, when visited by a victim, redirects them to an arbitrary external site after login. This vulnerability only affects sites where the login page has been overridden to function in AJAX mode. It is not mitigated by the SPIP security screen.</t>
        </is>
      </c>
      <c r="D624" t="n">
        <v>6.1</v>
      </c>
      <c r="E624" t="inlineStr">
        <is>
          <t>MEDIUM</t>
        </is>
      </c>
      <c r="F624" t="n">
        <v>2</v>
      </c>
      <c r="G624" t="n">
        <v>2</v>
      </c>
      <c r="H624" t="inlineStr">
        <is>
          <t>MEDIUM</t>
        </is>
      </c>
      <c r="I624" t="n">
        <v>10.1</v>
      </c>
      <c r="J624" t="inlineStr">
        <is>
          <t>NO</t>
        </is>
      </c>
      <c r="K624" t="inlineStr">
        <is>
          <t>2026-02-23 23:48</t>
        </is>
      </c>
      <c r="L624" t="inlineStr">
        <is>
          <t>CHECK_VENDOR</t>
        </is>
      </c>
      <c r="M624" t="inlineStr">
        <is>
          <t>See CVE details</t>
        </is>
      </c>
      <c r="N624" t="inlineStr">
        <is>
          <t>P4</t>
        </is>
      </c>
      <c r="O624" t="inlineStr">
        <is>
          <t>CVE - IP enrichment n/a</t>
        </is>
      </c>
      <c r="P624" t="n">
        <v>0</v>
      </c>
      <c r="Q624" t="n">
        <v>0</v>
      </c>
      <c r="R624" t="inlineStr">
        <is>
          <t>T1189:Drive-by Compromise</t>
        </is>
      </c>
      <c r="S624" t="n">
        <v>1</v>
      </c>
      <c r="T624" t="inlineStr">
        <is>
          <t>LOW (40%)</t>
        </is>
      </c>
      <c r="U624" t="inlineStr">
        <is>
          <t>UNLIKELY</t>
        </is>
      </c>
      <c r="V624" t="inlineStr">
        <is>
          <t>CHECK_VENDOR</t>
        </is>
      </c>
      <c r="W624" t="inlineStr">
        <is>
          <t>https://nvd.nist.gov/vuln/detail/CVE-2025-71244</t>
        </is>
      </c>
      <c r="X624" t="inlineStr">
        <is>
          <t>NONE</t>
        </is>
      </c>
      <c r="Y624" t="n">
        <v>0</v>
      </c>
      <c r="Z624" t="inlineStr"/>
      <c r="AA624" t="inlineStr">
        <is>
          <t>https://nvd.nist.gov/vuln/detail/CVE-2025-71244</t>
        </is>
      </c>
    </row>
    <row r="625">
      <c r="A625" t="inlineStr">
        <is>
          <t>CVE</t>
        </is>
      </c>
      <c r="B625" t="inlineStr">
        <is>
          <t>CVE-2025-71245</t>
        </is>
      </c>
      <c r="C625" t="inlineStr">
        <is>
          <t>Rejected reason: This CVE ID has been rejected or withdrawn by its CVE Numbering Authority.</t>
        </is>
      </c>
      <c r="D625" t="n">
        <v>5</v>
      </c>
      <c r="E625" t="inlineStr">
        <is>
          <t>MEDIUM</t>
        </is>
      </c>
      <c r="F625" t="n">
        <v>2</v>
      </c>
      <c r="G625" t="n">
        <v>2</v>
      </c>
      <c r="H625" t="inlineStr">
        <is>
          <t>MEDIUM</t>
        </is>
      </c>
      <c r="I625" t="n">
        <v>9</v>
      </c>
      <c r="J625" t="inlineStr">
        <is>
          <t>NO</t>
        </is>
      </c>
      <c r="K625" t="inlineStr">
        <is>
          <t>2026-02-23 23:48</t>
        </is>
      </c>
      <c r="L625" t="inlineStr">
        <is>
          <t>CHECK_VENDOR</t>
        </is>
      </c>
      <c r="M625" t="inlineStr">
        <is>
          <t>See CVE details</t>
        </is>
      </c>
      <c r="N625" t="inlineStr">
        <is>
          <t>P4</t>
        </is>
      </c>
      <c r="O625" t="inlineStr">
        <is>
          <t>CVE - IP enrichment n/a</t>
        </is>
      </c>
      <c r="P625" t="n">
        <v>0</v>
      </c>
      <c r="Q625" t="n">
        <v>0</v>
      </c>
      <c r="R625" t="inlineStr">
        <is>
          <t>T1190:Exploit Public-Facing Application</t>
        </is>
      </c>
      <c r="S625" t="n">
        <v>1</v>
      </c>
      <c r="T625" t="inlineStr">
        <is>
          <t>LOW (40%)</t>
        </is>
      </c>
      <c r="U625" t="inlineStr">
        <is>
          <t>UNLIKELY</t>
        </is>
      </c>
      <c r="V625" t="inlineStr">
        <is>
          <t>CHECK_VENDOR</t>
        </is>
      </c>
      <c r="W625" t="inlineStr">
        <is>
          <t>https://nvd.nist.gov/vuln/detail/CVE-2025-71245</t>
        </is>
      </c>
      <c r="X625" t="inlineStr">
        <is>
          <t>NONE</t>
        </is>
      </c>
      <c r="Y625" t="n">
        <v>0</v>
      </c>
      <c r="Z625" t="inlineStr"/>
      <c r="AA625" t="inlineStr">
        <is>
          <t>https://nvd.nist.gov/vuln/detail/CVE-2025-71245</t>
        </is>
      </c>
    </row>
    <row r="626">
      <c r="A626" t="inlineStr">
        <is>
          <t>CVE</t>
        </is>
      </c>
      <c r="B626" t="inlineStr">
        <is>
          <t>CVE-2025-71246</t>
        </is>
      </c>
      <c r="C626" t="inlineStr">
        <is>
          <t>Rejected reason: This CVE ID has been rejected or withdrawn by its CVE Numbering Authority.</t>
        </is>
      </c>
      <c r="D626" t="n">
        <v>5</v>
      </c>
      <c r="E626" t="inlineStr">
        <is>
          <t>MEDIUM</t>
        </is>
      </c>
      <c r="F626" t="n">
        <v>2</v>
      </c>
      <c r="G626" t="n">
        <v>2</v>
      </c>
      <c r="H626" t="inlineStr">
        <is>
          <t>MEDIUM</t>
        </is>
      </c>
      <c r="I626" t="n">
        <v>9</v>
      </c>
      <c r="J626" t="inlineStr">
        <is>
          <t>NO</t>
        </is>
      </c>
      <c r="K626" t="inlineStr">
        <is>
          <t>2026-02-23 23:48</t>
        </is>
      </c>
      <c r="L626" t="inlineStr">
        <is>
          <t>CHECK_VENDOR</t>
        </is>
      </c>
      <c r="M626" t="inlineStr">
        <is>
          <t>See CVE details</t>
        </is>
      </c>
      <c r="N626" t="inlineStr">
        <is>
          <t>P4</t>
        </is>
      </c>
      <c r="O626" t="inlineStr">
        <is>
          <t>CVE - IP enrichment n/a</t>
        </is>
      </c>
      <c r="P626" t="n">
        <v>0</v>
      </c>
      <c r="Q626" t="n">
        <v>0</v>
      </c>
      <c r="R626" t="inlineStr">
        <is>
          <t>T1190:Exploit Public-Facing Application</t>
        </is>
      </c>
      <c r="S626" t="n">
        <v>1</v>
      </c>
      <c r="T626" t="inlineStr">
        <is>
          <t>LOW (40%)</t>
        </is>
      </c>
      <c r="U626" t="inlineStr">
        <is>
          <t>UNLIKELY</t>
        </is>
      </c>
      <c r="V626" t="inlineStr">
        <is>
          <t>CHECK_VENDOR</t>
        </is>
      </c>
      <c r="W626" t="inlineStr">
        <is>
          <t>https://nvd.nist.gov/vuln/detail/CVE-2025-71246</t>
        </is>
      </c>
      <c r="X626" t="inlineStr">
        <is>
          <t>NONE</t>
        </is>
      </c>
      <c r="Y626" t="n">
        <v>0</v>
      </c>
      <c r="Z626" t="inlineStr"/>
      <c r="AA626" t="inlineStr">
        <is>
          <t>https://nvd.nist.gov/vuln/detail/CVE-2025-71246</t>
        </is>
      </c>
    </row>
    <row r="627">
      <c r="A627" t="inlineStr">
        <is>
          <t>CVE</t>
        </is>
      </c>
      <c r="B627" t="inlineStr">
        <is>
          <t>CVE-2025-71247</t>
        </is>
      </c>
      <c r="C627" t="inlineStr">
        <is>
          <t>Rejected reason: This CVE ID has been rejected or withdrawn by its CVE Numbering Authority.</t>
        </is>
      </c>
      <c r="D627" t="n">
        <v>5</v>
      </c>
      <c r="E627" t="inlineStr">
        <is>
          <t>MEDIUM</t>
        </is>
      </c>
      <c r="F627" t="n">
        <v>2</v>
      </c>
      <c r="G627" t="n">
        <v>2</v>
      </c>
      <c r="H627" t="inlineStr">
        <is>
          <t>MEDIUM</t>
        </is>
      </c>
      <c r="I627" t="n">
        <v>9</v>
      </c>
      <c r="J627" t="inlineStr">
        <is>
          <t>NO</t>
        </is>
      </c>
      <c r="K627" t="inlineStr">
        <is>
          <t>2026-02-23 23:48</t>
        </is>
      </c>
      <c r="L627" t="inlineStr">
        <is>
          <t>CHECK_VENDOR</t>
        </is>
      </c>
      <c r="M627" t="inlineStr">
        <is>
          <t>See CVE details</t>
        </is>
      </c>
      <c r="N627" t="inlineStr">
        <is>
          <t>P4</t>
        </is>
      </c>
      <c r="O627" t="inlineStr">
        <is>
          <t>CVE - IP enrichment n/a</t>
        </is>
      </c>
      <c r="P627" t="n">
        <v>0</v>
      </c>
      <c r="Q627" t="n">
        <v>0</v>
      </c>
      <c r="R627" t="inlineStr">
        <is>
          <t>T1190:Exploit Public-Facing Application</t>
        </is>
      </c>
      <c r="S627" t="n">
        <v>1</v>
      </c>
      <c r="T627" t="inlineStr">
        <is>
          <t>LOW (40%)</t>
        </is>
      </c>
      <c r="U627" t="inlineStr">
        <is>
          <t>UNLIKELY</t>
        </is>
      </c>
      <c r="V627" t="inlineStr">
        <is>
          <t>CHECK_VENDOR</t>
        </is>
      </c>
      <c r="W627" t="inlineStr">
        <is>
          <t>https://nvd.nist.gov/vuln/detail/CVE-2025-71247</t>
        </is>
      </c>
      <c r="X627" t="inlineStr">
        <is>
          <t>NONE</t>
        </is>
      </c>
      <c r="Y627" t="n">
        <v>0</v>
      </c>
      <c r="Z627" t="inlineStr"/>
      <c r="AA627" t="inlineStr">
        <is>
          <t>https://nvd.nist.gov/vuln/detail/CVE-2025-71247</t>
        </is>
      </c>
    </row>
    <row r="628">
      <c r="A628" t="inlineStr">
        <is>
          <t>CVE</t>
        </is>
      </c>
      <c r="B628" t="inlineStr">
        <is>
          <t>CVE-2025-71248</t>
        </is>
      </c>
      <c r="C628" t="inlineStr">
        <is>
          <t>Rejected reason: This CVE ID has been rejected or withdrawn by its CVE Numbering Authority.</t>
        </is>
      </c>
      <c r="D628" t="n">
        <v>5</v>
      </c>
      <c r="E628" t="inlineStr">
        <is>
          <t>MEDIUM</t>
        </is>
      </c>
      <c r="F628" t="n">
        <v>2</v>
      </c>
      <c r="G628" t="n">
        <v>2</v>
      </c>
      <c r="H628" t="inlineStr">
        <is>
          <t>MEDIUM</t>
        </is>
      </c>
      <c r="I628" t="n">
        <v>9</v>
      </c>
      <c r="J628" t="inlineStr">
        <is>
          <t>NO</t>
        </is>
      </c>
      <c r="K628" t="inlineStr">
        <is>
          <t>2026-02-23 23:48</t>
        </is>
      </c>
      <c r="L628" t="inlineStr">
        <is>
          <t>CHECK_VENDOR</t>
        </is>
      </c>
      <c r="M628" t="inlineStr">
        <is>
          <t>See CVE details</t>
        </is>
      </c>
      <c r="N628" t="inlineStr">
        <is>
          <t>P4</t>
        </is>
      </c>
      <c r="O628" t="inlineStr">
        <is>
          <t>CVE - IP enrichment n/a</t>
        </is>
      </c>
      <c r="P628" t="n">
        <v>0</v>
      </c>
      <c r="Q628" t="n">
        <v>0</v>
      </c>
      <c r="R628" t="inlineStr">
        <is>
          <t>T1190:Exploit Public-Facing Application</t>
        </is>
      </c>
      <c r="S628" t="n">
        <v>1</v>
      </c>
      <c r="T628" t="inlineStr">
        <is>
          <t>LOW (40%)</t>
        </is>
      </c>
      <c r="U628" t="inlineStr">
        <is>
          <t>UNLIKELY</t>
        </is>
      </c>
      <c r="V628" t="inlineStr">
        <is>
          <t>CHECK_VENDOR</t>
        </is>
      </c>
      <c r="W628" t="inlineStr">
        <is>
          <t>https://nvd.nist.gov/vuln/detail/CVE-2025-71248</t>
        </is>
      </c>
      <c r="X628" t="inlineStr">
        <is>
          <t>NONE</t>
        </is>
      </c>
      <c r="Y628" t="n">
        <v>0</v>
      </c>
      <c r="Z628" t="inlineStr"/>
      <c r="AA628" t="inlineStr">
        <is>
          <t>https://nvd.nist.gov/vuln/detail/CVE-2025-71248</t>
        </is>
      </c>
    </row>
    <row r="629">
      <c r="A629" t="inlineStr">
        <is>
          <t>CVE</t>
        </is>
      </c>
      <c r="B629" t="inlineStr">
        <is>
          <t>CVE-2025-71249</t>
        </is>
      </c>
      <c r="C629" t="inlineStr">
        <is>
          <t>Rejected reason: This CVE ID has been rejected or withdrawn by its CVE Numbering Authority.</t>
        </is>
      </c>
      <c r="D629" t="n">
        <v>5</v>
      </c>
      <c r="E629" t="inlineStr">
        <is>
          <t>MEDIUM</t>
        </is>
      </c>
      <c r="F629" t="n">
        <v>2</v>
      </c>
      <c r="G629" t="n">
        <v>2</v>
      </c>
      <c r="H629" t="inlineStr">
        <is>
          <t>MEDIUM</t>
        </is>
      </c>
      <c r="I629" t="n">
        <v>9</v>
      </c>
      <c r="J629" t="inlineStr">
        <is>
          <t>NO</t>
        </is>
      </c>
      <c r="K629" t="inlineStr">
        <is>
          <t>2026-02-23 23:48</t>
        </is>
      </c>
      <c r="L629" t="inlineStr">
        <is>
          <t>CHECK_VENDOR</t>
        </is>
      </c>
      <c r="M629" t="inlineStr">
        <is>
          <t>See CVE details</t>
        </is>
      </c>
      <c r="N629" t="inlineStr">
        <is>
          <t>P4</t>
        </is>
      </c>
      <c r="O629" t="inlineStr">
        <is>
          <t>CVE - IP enrichment n/a</t>
        </is>
      </c>
      <c r="P629" t="n">
        <v>0</v>
      </c>
      <c r="Q629" t="n">
        <v>0</v>
      </c>
      <c r="R629" t="inlineStr">
        <is>
          <t>T1190:Exploit Public-Facing Application</t>
        </is>
      </c>
      <c r="S629" t="n">
        <v>1</v>
      </c>
      <c r="T629" t="inlineStr">
        <is>
          <t>LOW (40%)</t>
        </is>
      </c>
      <c r="U629" t="inlineStr">
        <is>
          <t>UNLIKELY</t>
        </is>
      </c>
      <c r="V629" t="inlineStr">
        <is>
          <t>CHECK_VENDOR</t>
        </is>
      </c>
      <c r="W629" t="inlineStr">
        <is>
          <t>https://nvd.nist.gov/vuln/detail/CVE-2025-71249</t>
        </is>
      </c>
      <c r="X629" t="inlineStr">
        <is>
          <t>NONE</t>
        </is>
      </c>
      <c r="Y629" t="n">
        <v>0</v>
      </c>
      <c r="Z629" t="inlineStr"/>
      <c r="AA629" t="inlineStr">
        <is>
          <t>https://nvd.nist.gov/vuln/detail/CVE-2025-71249</t>
        </is>
      </c>
    </row>
    <row r="630">
      <c r="A630" t="inlineStr">
        <is>
          <t>CVE</t>
        </is>
      </c>
      <c r="B630" t="inlineStr">
        <is>
          <t>CVE-2025-71250</t>
        </is>
      </c>
      <c r="C630" t="inlineStr">
        <is>
          <t>Rejected reason: This CVE ID has been rejected or withdrawn by its CVE Numbering Authority.</t>
        </is>
      </c>
      <c r="D630" t="n">
        <v>5</v>
      </c>
      <c r="E630" t="inlineStr">
        <is>
          <t>MEDIUM</t>
        </is>
      </c>
      <c r="F630" t="n">
        <v>2</v>
      </c>
      <c r="G630" t="n">
        <v>2</v>
      </c>
      <c r="H630" t="inlineStr">
        <is>
          <t>MEDIUM</t>
        </is>
      </c>
      <c r="I630" t="n">
        <v>9</v>
      </c>
      <c r="J630" t="inlineStr">
        <is>
          <t>NO</t>
        </is>
      </c>
      <c r="K630" t="inlineStr">
        <is>
          <t>2026-02-23 23:48</t>
        </is>
      </c>
      <c r="L630" t="inlineStr">
        <is>
          <t>CHECK_VENDOR</t>
        </is>
      </c>
      <c r="M630" t="inlineStr">
        <is>
          <t>See CVE details</t>
        </is>
      </c>
      <c r="N630" t="inlineStr">
        <is>
          <t>P4</t>
        </is>
      </c>
      <c r="O630" t="inlineStr">
        <is>
          <t>CVE - IP enrichment n/a</t>
        </is>
      </c>
      <c r="P630" t="n">
        <v>0</v>
      </c>
      <c r="Q630" t="n">
        <v>0</v>
      </c>
      <c r="R630" t="inlineStr">
        <is>
          <t>T1190:Exploit Public-Facing Application</t>
        </is>
      </c>
      <c r="S630" t="n">
        <v>1</v>
      </c>
      <c r="T630" t="inlineStr">
        <is>
          <t>LOW (40%)</t>
        </is>
      </c>
      <c r="U630" t="inlineStr">
        <is>
          <t>UNLIKELY</t>
        </is>
      </c>
      <c r="V630" t="inlineStr">
        <is>
          <t>CHECK_VENDOR</t>
        </is>
      </c>
      <c r="W630" t="inlineStr">
        <is>
          <t>https://nvd.nist.gov/vuln/detail/CVE-2025-71250</t>
        </is>
      </c>
      <c r="X630" t="inlineStr">
        <is>
          <t>NONE</t>
        </is>
      </c>
      <c r="Y630" t="n">
        <v>0</v>
      </c>
      <c r="Z630" t="inlineStr"/>
      <c r="AA630" t="inlineStr">
        <is>
          <t>https://nvd.nist.gov/vuln/detail/CVE-2025-71250</t>
        </is>
      </c>
    </row>
    <row r="631">
      <c r="A631" t="inlineStr">
        <is>
          <t>CVE</t>
        </is>
      </c>
      <c r="B631" t="inlineStr">
        <is>
          <t>CVE-2026-25738</t>
        </is>
      </c>
      <c r="C631" t="inlineStr">
        <is>
          <t>Indico is an event management system that uses Flask-Multipass, a multi-backend authentication system for Flask. Versions prior to 3.3.10 are vulnerable to server-side request forgery. Indico makes outgoing requests to user-provides URLs in various places. This is mostly intentional and part of Indico's functionality but is never intended to let users access "special" targets such as localhost or cloud metadata endpoints. Users should upgrade to version 3.3.10 to receive a patch. Those who do no</t>
        </is>
      </c>
      <c r="D631" t="n">
        <v>8.5</v>
      </c>
      <c r="E631" t="inlineStr">
        <is>
          <t>HIGH</t>
        </is>
      </c>
      <c r="F631" t="n">
        <v>2</v>
      </c>
      <c r="G631" t="n">
        <v>3</v>
      </c>
      <c r="H631" t="inlineStr">
        <is>
          <t>HIGH</t>
        </is>
      </c>
      <c r="I631" t="n">
        <v>14.5</v>
      </c>
      <c r="J631" t="inlineStr">
        <is>
          <t>NO</t>
        </is>
      </c>
      <c r="K631" t="inlineStr">
        <is>
          <t>2026-02-23 23:48</t>
        </is>
      </c>
      <c r="L631" t="inlineStr">
        <is>
          <t>CHECK_VENDOR</t>
        </is>
      </c>
      <c r="M631" t="inlineStr">
        <is>
          <t>See CVE details</t>
        </is>
      </c>
      <c r="N631" t="inlineStr">
        <is>
          <t>P1</t>
        </is>
      </c>
      <c r="O631" t="inlineStr">
        <is>
          <t>CVE - IP enrichment n/a</t>
        </is>
      </c>
      <c r="P631" t="n">
        <v>0.0008</v>
      </c>
      <c r="Q631" t="n">
        <v>0.2251</v>
      </c>
      <c r="R631" t="inlineStr">
        <is>
          <t>T1190:Exploit Public-Facing Application | T1090:Proxy</t>
        </is>
      </c>
      <c r="S631" t="n">
        <v>2</v>
      </c>
      <c r="T631" t="inlineStr">
        <is>
          <t>HIGH (72%)</t>
        </is>
      </c>
      <c r="U631" t="inlineStr">
        <is>
          <t>HIGH</t>
        </is>
      </c>
      <c r="V631" t="inlineStr">
        <is>
          <t>CHECK_VENDOR</t>
        </is>
      </c>
      <c r="W631" t="inlineStr">
        <is>
          <t>https://nvd.nist.gov/vuln/detail/CVE-2026-25738</t>
        </is>
      </c>
      <c r="X631" t="inlineStr">
        <is>
          <t>http://www.zerodayinitiative.com/advisories/ZDI-26-123/</t>
        </is>
      </c>
      <c r="Y631" t="n">
        <v>0</v>
      </c>
      <c r="Z631" t="inlineStr"/>
      <c r="AA631" t="inlineStr">
        <is>
          <t>https://nvd.nist.gov/vuln/detail/CVE-2026-25738</t>
        </is>
      </c>
    </row>
    <row r="632">
      <c r="A632" t="inlineStr">
        <is>
          <t>CVE</t>
        </is>
      </c>
      <c r="B632" t="inlineStr">
        <is>
          <t>CVE-2026-25739</t>
        </is>
      </c>
      <c r="C632" t="inlineStr">
        <is>
          <t>Indico is an event management system that uses Flask-Multipass, a multi-backend authentication system for Flask. Versions prior to 3.3.10 are vulnerable to cross-site scripting when uploading certain file types as materials. Users should upgrade to version 3.3.10 to receive a patch. To apply the fix itself updating is sufficient, but to benefit from the strict Content Security Policy (CSP) Indico now applies by default for file downloads, update the webserver config in case one uses nginx with I</t>
        </is>
      </c>
      <c r="D632" t="n">
        <v>5.4</v>
      </c>
      <c r="E632" t="inlineStr">
        <is>
          <t>MEDIUM</t>
        </is>
      </c>
      <c r="F632" t="n">
        <v>2</v>
      </c>
      <c r="G632" t="n">
        <v>2</v>
      </c>
      <c r="H632" t="inlineStr">
        <is>
          <t>MEDIUM</t>
        </is>
      </c>
      <c r="I632" t="n">
        <v>9.4</v>
      </c>
      <c r="J632" t="inlineStr">
        <is>
          <t>NO</t>
        </is>
      </c>
      <c r="K632" t="inlineStr">
        <is>
          <t>2026-02-23 23:48</t>
        </is>
      </c>
      <c r="L632" t="inlineStr">
        <is>
          <t>CHECK_VENDOR</t>
        </is>
      </c>
      <c r="M632" t="inlineStr">
        <is>
          <t>See CVE details</t>
        </is>
      </c>
      <c r="N632" t="inlineStr">
        <is>
          <t>P1</t>
        </is>
      </c>
      <c r="O632" t="inlineStr">
        <is>
          <t>CVE - IP enrichment n/a</t>
        </is>
      </c>
      <c r="P632" t="n">
        <v>0</v>
      </c>
      <c r="Q632" t="n">
        <v>0</v>
      </c>
      <c r="R632" t="inlineStr">
        <is>
          <t>T1189:Drive-by Compromise</t>
        </is>
      </c>
      <c r="S632" t="n">
        <v>2</v>
      </c>
      <c r="T632" t="inlineStr">
        <is>
          <t>HIGH (72%)</t>
        </is>
      </c>
      <c r="U632" t="inlineStr">
        <is>
          <t>HIGH</t>
        </is>
      </c>
      <c r="V632" t="inlineStr">
        <is>
          <t>CHECK_VENDOR</t>
        </is>
      </c>
      <c r="W632" t="inlineStr">
        <is>
          <t>https://nvd.nist.gov/vuln/detail/CVE-2026-25739</t>
        </is>
      </c>
      <c r="X632" t="inlineStr">
        <is>
          <t>http://www.zerodayinitiative.com/advisories/ZDI-26-123/</t>
        </is>
      </c>
      <c r="Y632" t="n">
        <v>0</v>
      </c>
      <c r="Z632" t="inlineStr"/>
      <c r="AA632" t="inlineStr">
        <is>
          <t>https://nvd.nist.gov/vuln/detail/CVE-2026-25739</t>
        </is>
      </c>
    </row>
    <row r="633">
      <c r="A633" t="inlineStr">
        <is>
          <t>CVE</t>
        </is>
      </c>
      <c r="B633" t="inlineStr">
        <is>
          <t>CVE-2026-25766</t>
        </is>
      </c>
      <c r="C633" t="inlineStr">
        <is>
          <t>Echo is a Go web framework. In versions 5.0.0 through 5.0.2 on Windows, Echo’s `middleware.Static` using the default filesystem allows path traversal via backslashes, enabling unauthenticated remote file read outside the static root. In `middleware/static.go`, the requested path is unescaped and normalized with `path.Clean` (URL semantics). `path.Clean` does not treat `\` as a path separator, so `..\` sequences remain in the cleaned path. The resulting path is then passed to `currentFS.Open(...)</t>
        </is>
      </c>
      <c r="D633" t="n">
        <v>5.3</v>
      </c>
      <c r="E633" t="inlineStr">
        <is>
          <t>MEDIUM</t>
        </is>
      </c>
      <c r="F633" t="n">
        <v>2</v>
      </c>
      <c r="G633" t="n">
        <v>2</v>
      </c>
      <c r="H633" t="inlineStr">
        <is>
          <t>MEDIUM</t>
        </is>
      </c>
      <c r="I633" t="n">
        <v>9.300000000000001</v>
      </c>
      <c r="J633" t="inlineStr">
        <is>
          <t>NO</t>
        </is>
      </c>
      <c r="K633" t="inlineStr">
        <is>
          <t>2026-02-23 23:48</t>
        </is>
      </c>
      <c r="L633" t="inlineStr">
        <is>
          <t>YES</t>
        </is>
      </c>
      <c r="M633" t="inlineStr">
        <is>
          <t>microsoft windows - | labstack echo *</t>
        </is>
      </c>
      <c r="N633" t="inlineStr">
        <is>
          <t>P4</t>
        </is>
      </c>
      <c r="O633" t="inlineStr">
        <is>
          <t>CVE - IP enrichment n/a</t>
        </is>
      </c>
      <c r="P633" t="n">
        <v>0</v>
      </c>
      <c r="Q633" t="n">
        <v>0</v>
      </c>
      <c r="R633" t="inlineStr">
        <is>
          <t>T1083:File and Directory Discovery</t>
        </is>
      </c>
      <c r="S633" t="n">
        <v>1</v>
      </c>
      <c r="T633" t="inlineStr">
        <is>
          <t>LOW (40%)</t>
        </is>
      </c>
      <c r="U633" t="inlineStr">
        <is>
          <t>UNLIKELY</t>
        </is>
      </c>
      <c r="V633" t="inlineStr">
        <is>
          <t>PATCH_AVAILABLE</t>
        </is>
      </c>
      <c r="W633" t="inlineStr">
        <is>
          <t>https://nvd.nist.gov/vuln/detail/CVE-2026-25766</t>
        </is>
      </c>
      <c r="X633" t="inlineStr">
        <is>
          <t>NONE</t>
        </is>
      </c>
      <c r="Y633" t="n">
        <v>0</v>
      </c>
      <c r="Z633" t="inlineStr"/>
      <c r="AA633" t="inlineStr">
        <is>
          <t>https://nvd.nist.gov/vuln/detail/CVE-2026-25766</t>
        </is>
      </c>
    </row>
    <row r="634">
      <c r="A634" t="inlineStr">
        <is>
          <t>CVE</t>
        </is>
      </c>
      <c r="B634" t="inlineStr">
        <is>
          <t>CVE-2026-25940</t>
        </is>
      </c>
      <c r="C634" t="inlineStr">
        <is>
          <t>jsPDF is a library to generate PDFs in JavaScript. Prior to 4.2.0, user control of properties and methods of the Acroform module allows users to inject arbitrary PDF objects, such as JavaScript actions. If given the possibility to pass unsanitized input to one of the following property, a user can inject arbitrary PDF objects, such as JavaScript actions, which are executed when the victim hovers over the radio option. The vulnerability has been fixed in jsPDF@4.2.0. As a workaround, sanitize use</t>
        </is>
      </c>
      <c r="D634" t="n">
        <v>8.1</v>
      </c>
      <c r="E634" t="inlineStr">
        <is>
          <t>HIGH</t>
        </is>
      </c>
      <c r="F634" t="n">
        <v>2</v>
      </c>
      <c r="G634" t="n">
        <v>3</v>
      </c>
      <c r="H634" t="inlineStr">
        <is>
          <t>HIGH</t>
        </is>
      </c>
      <c r="I634" t="n">
        <v>14.1</v>
      </c>
      <c r="J634" t="inlineStr">
        <is>
          <t>NO</t>
        </is>
      </c>
      <c r="K634" t="inlineStr">
        <is>
          <t>2026-02-23 23:48</t>
        </is>
      </c>
      <c r="L634" t="inlineStr">
        <is>
          <t>YES</t>
        </is>
      </c>
      <c r="M634" t="inlineStr">
        <is>
          <t>parall jspdf *</t>
        </is>
      </c>
      <c r="N634" t="inlineStr">
        <is>
          <t>P3</t>
        </is>
      </c>
      <c r="O634" t="inlineStr">
        <is>
          <t>CVE - IP enrichment n/a</t>
        </is>
      </c>
      <c r="P634" t="n">
        <v>0.0003</v>
      </c>
      <c r="Q634" t="n">
        <v>0.0829</v>
      </c>
      <c r="R634" t="inlineStr">
        <is>
          <t>T1190:Exploit Public-Facing Application</t>
        </is>
      </c>
      <c r="S634" t="n">
        <v>1</v>
      </c>
      <c r="T634" t="inlineStr">
        <is>
          <t>LOW (40%)</t>
        </is>
      </c>
      <c r="U634" t="inlineStr">
        <is>
          <t>UNLIKELY</t>
        </is>
      </c>
      <c r="V634" t="inlineStr">
        <is>
          <t>PATCH_AVAILABLE</t>
        </is>
      </c>
      <c r="W634" t="inlineStr">
        <is>
          <t>https://nvd.nist.gov/vuln/detail/CVE-2026-25940</t>
        </is>
      </c>
      <c r="X634" t="inlineStr">
        <is>
          <t>NONE</t>
        </is>
      </c>
      <c r="Y634" t="n">
        <v>0</v>
      </c>
      <c r="Z634" t="inlineStr"/>
      <c r="AA634" t="inlineStr">
        <is>
          <t>https://nvd.nist.gov/vuln/detail/CVE-2026-25940</t>
        </is>
      </c>
    </row>
    <row r="635">
      <c r="A635" t="inlineStr">
        <is>
          <t>CVE</t>
        </is>
      </c>
      <c r="B635" t="inlineStr">
        <is>
          <t>CVE-2026-26223</t>
        </is>
      </c>
      <c r="C635" t="inlineStr">
        <is>
          <t>SPIP before 4.4.8 allows cross-site scripting (XSS) in the private area via malicious iframe tags. The application does not properly sandbox or escape iframe content in the back-office, allowing an attacker to inject and execute malicious scripts. The fix adds a sandbox attribute to iframe tags in the private area. This vulnerability is not mitigated by the SPIP security screen.</t>
        </is>
      </c>
      <c r="D635" t="n">
        <v>5.4</v>
      </c>
      <c r="E635" t="inlineStr">
        <is>
          <t>MEDIUM</t>
        </is>
      </c>
      <c r="F635" t="n">
        <v>2</v>
      </c>
      <c r="G635" t="n">
        <v>2</v>
      </c>
      <c r="H635" t="inlineStr">
        <is>
          <t>MEDIUM</t>
        </is>
      </c>
      <c r="I635" t="n">
        <v>9.4</v>
      </c>
      <c r="J635" t="inlineStr">
        <is>
          <t>NO</t>
        </is>
      </c>
      <c r="K635" t="inlineStr">
        <is>
          <t>2026-02-23 23:48</t>
        </is>
      </c>
      <c r="L635" t="inlineStr">
        <is>
          <t>CHECK_VENDOR</t>
        </is>
      </c>
      <c r="M635" t="inlineStr">
        <is>
          <t>See CVE details</t>
        </is>
      </c>
      <c r="N635" t="inlineStr">
        <is>
          <t>P4</t>
        </is>
      </c>
      <c r="O635" t="inlineStr">
        <is>
          <t>CVE - IP enrichment n/a</t>
        </is>
      </c>
      <c r="P635" t="n">
        <v>0</v>
      </c>
      <c r="Q635" t="n">
        <v>0</v>
      </c>
      <c r="R635" t="inlineStr">
        <is>
          <t>T1189:Drive-by Compromise</t>
        </is>
      </c>
      <c r="S635" t="n">
        <v>1</v>
      </c>
      <c r="T635" t="inlineStr">
        <is>
          <t>LOW (40%)</t>
        </is>
      </c>
      <c r="U635" t="inlineStr">
        <is>
          <t>UNLIKELY</t>
        </is>
      </c>
      <c r="V635" t="inlineStr">
        <is>
          <t>CHECK_VENDOR</t>
        </is>
      </c>
      <c r="W635" t="inlineStr">
        <is>
          <t>https://nvd.nist.gov/vuln/detail/CVE-2026-26223</t>
        </is>
      </c>
      <c r="X635" t="inlineStr">
        <is>
          <t>NONE</t>
        </is>
      </c>
      <c r="Y635" t="n">
        <v>0</v>
      </c>
      <c r="Z635" t="inlineStr"/>
      <c r="AA635" t="inlineStr">
        <is>
          <t>https://nvd.nist.gov/vuln/detail/CVE-2026-26223</t>
        </is>
      </c>
    </row>
    <row r="636">
      <c r="A636" t="inlineStr">
        <is>
          <t>CVE</t>
        </is>
      </c>
      <c r="B636" t="inlineStr">
        <is>
          <t>CVE-2026-26345</t>
        </is>
      </c>
      <c r="C636" t="inlineStr">
        <is>
          <t>SPIP before 4.4.8 contains a stored cross-site scripting (XSS) vulnerability in the public area triggered in certain edge-case usage patterns. The echapper_html_suspect() function does not adequately sanitize user-controlled content, allowing authenticated users with content-editing privileges (e.g., author-level roles and above) to inject malicious scripts. The injected payload may be rendered across multiple pages within the framework and execute in the browser context of other users, includin</t>
        </is>
      </c>
      <c r="D636" t="n">
        <v>5.4</v>
      </c>
      <c r="E636" t="inlineStr">
        <is>
          <t>MEDIUM</t>
        </is>
      </c>
      <c r="F636" t="n">
        <v>2</v>
      </c>
      <c r="G636" t="n">
        <v>2</v>
      </c>
      <c r="H636" t="inlineStr">
        <is>
          <t>MEDIUM</t>
        </is>
      </c>
      <c r="I636" t="n">
        <v>9.4</v>
      </c>
      <c r="J636" t="inlineStr">
        <is>
          <t>NO</t>
        </is>
      </c>
      <c r="K636" t="inlineStr">
        <is>
          <t>2026-02-23 23:48</t>
        </is>
      </c>
      <c r="L636" t="inlineStr">
        <is>
          <t>CHECK_VENDOR</t>
        </is>
      </c>
      <c r="M636" t="inlineStr">
        <is>
          <t>See CVE details</t>
        </is>
      </c>
      <c r="N636" t="inlineStr">
        <is>
          <t>P4</t>
        </is>
      </c>
      <c r="O636" t="inlineStr">
        <is>
          <t>CVE - IP enrichment n/a</t>
        </is>
      </c>
      <c r="P636" t="n">
        <v>0</v>
      </c>
      <c r="Q636" t="n">
        <v>0</v>
      </c>
      <c r="R636" t="inlineStr">
        <is>
          <t>T1189:Drive-by Compromise</t>
        </is>
      </c>
      <c r="S636" t="n">
        <v>1</v>
      </c>
      <c r="T636" t="inlineStr">
        <is>
          <t>LOW (40%)</t>
        </is>
      </c>
      <c r="U636" t="inlineStr">
        <is>
          <t>UNLIKELY</t>
        </is>
      </c>
      <c r="V636" t="inlineStr">
        <is>
          <t>CHECK_VENDOR</t>
        </is>
      </c>
      <c r="W636" t="inlineStr">
        <is>
          <t>https://nvd.nist.gov/vuln/detail/CVE-2026-26345</t>
        </is>
      </c>
      <c r="X636" t="inlineStr">
        <is>
          <t>NONE</t>
        </is>
      </c>
      <c r="Y636" t="n">
        <v>0</v>
      </c>
      <c r="Z636" t="inlineStr"/>
      <c r="AA636" t="inlineStr">
        <is>
          <t>https://nvd.nist.gov/vuln/detail/CVE-2026-26345</t>
        </is>
      </c>
    </row>
    <row r="637">
      <c r="A637" t="inlineStr">
        <is>
          <t>CVE</t>
        </is>
      </c>
      <c r="B637" t="inlineStr">
        <is>
          <t>CVE-2026-2274</t>
        </is>
      </c>
      <c r="C637" t="inlineStr">
        <is>
          <t>A SSRF and Arbitrary File Read vulnerability in AppSheet Core in Google AppSheet prior to 2025-11-23 allows an authenticated remote attacker to read sensitive local files and access internal network resources via crafted requests to the production cluster.
This vulnerability was patched and no customer action is needed.</t>
        </is>
      </c>
      <c r="D637" t="n">
        <v>8.5</v>
      </c>
      <c r="E637" t="inlineStr">
        <is>
          <t>HIGH</t>
        </is>
      </c>
      <c r="F637" t="n">
        <v>2</v>
      </c>
      <c r="G637" t="n">
        <v>3</v>
      </c>
      <c r="H637" t="inlineStr">
        <is>
          <t>HIGH</t>
        </is>
      </c>
      <c r="I637" t="n">
        <v>14.5</v>
      </c>
      <c r="J637" t="inlineStr">
        <is>
          <t>NO</t>
        </is>
      </c>
      <c r="K637" t="inlineStr">
        <is>
          <t>2026-02-23 23:48</t>
        </is>
      </c>
      <c r="L637" t="inlineStr">
        <is>
          <t>CHECK_VENDOR</t>
        </is>
      </c>
      <c r="M637" t="inlineStr">
        <is>
          <t>See CVE details</t>
        </is>
      </c>
      <c r="N637" t="inlineStr">
        <is>
          <t>P3</t>
        </is>
      </c>
      <c r="O637" t="inlineStr">
        <is>
          <t>CVE - IP enrichment n/a</t>
        </is>
      </c>
      <c r="P637" t="n">
        <v>0</v>
      </c>
      <c r="Q637" t="n">
        <v>0</v>
      </c>
      <c r="R637" t="inlineStr">
        <is>
          <t>T1090:Proxy | T1190:Exploit Public-Facing Application</t>
        </is>
      </c>
      <c r="S637" t="n">
        <v>1</v>
      </c>
      <c r="T637" t="inlineStr">
        <is>
          <t>LOW (40%)</t>
        </is>
      </c>
      <c r="U637" t="inlineStr">
        <is>
          <t>UNLIKELY</t>
        </is>
      </c>
      <c r="V637" t="inlineStr">
        <is>
          <t>CHECK_VENDOR</t>
        </is>
      </c>
      <c r="W637" t="inlineStr">
        <is>
          <t>https://nvd.nist.gov/vuln/detail/CVE-2026-2274</t>
        </is>
      </c>
      <c r="X637" t="inlineStr">
        <is>
          <t>NONE</t>
        </is>
      </c>
      <c r="Y637" t="n">
        <v>0</v>
      </c>
      <c r="Z637" t="inlineStr"/>
      <c r="AA637" t="inlineStr">
        <is>
          <t>https://nvd.nist.gov/vuln/detail/CVE-2026-2274</t>
        </is>
      </c>
    </row>
    <row r="638">
      <c r="A638" t="inlineStr">
        <is>
          <t>CVE</t>
        </is>
      </c>
      <c r="B638" t="inlineStr">
        <is>
          <t>CVE-2025-69674</t>
        </is>
      </c>
      <c r="C638" t="inlineStr">
        <is>
          <t>Buffer Overflow vulnerability in CDATA FD614GS3-R850 V3.2.7_P161006 (Build.0333.250211) allows an attacker to execute arbitrary code via the node_mac, node_opt, opt_param, and domainblk parameters of the mesh_node_config and domiainblk_config modules</t>
        </is>
      </c>
      <c r="D638" t="n">
        <v>9.800000000000001</v>
      </c>
      <c r="E638" t="inlineStr">
        <is>
          <t>CRITICAL</t>
        </is>
      </c>
      <c r="F638" t="n">
        <v>2</v>
      </c>
      <c r="G638" t="n">
        <v>3</v>
      </c>
      <c r="H638" t="inlineStr">
        <is>
          <t>HIGH</t>
        </is>
      </c>
      <c r="I638" t="n">
        <v>15.8</v>
      </c>
      <c r="J638" t="inlineStr">
        <is>
          <t>NO</t>
        </is>
      </c>
      <c r="K638" t="inlineStr">
        <is>
          <t>2026-02-23 23:48</t>
        </is>
      </c>
      <c r="L638" t="inlineStr">
        <is>
          <t>CHECK_VENDOR</t>
        </is>
      </c>
      <c r="M638" t="inlineStr">
        <is>
          <t>See CVE details</t>
        </is>
      </c>
      <c r="N638" t="inlineStr">
        <is>
          <t>P3</t>
        </is>
      </c>
      <c r="O638" t="inlineStr">
        <is>
          <t>CVE - IP enrichment n/a</t>
        </is>
      </c>
      <c r="P638" t="n">
        <v>0</v>
      </c>
      <c r="Q638" t="n">
        <v>0</v>
      </c>
      <c r="R638" t="inlineStr">
        <is>
          <t>T1203:Exploitation for Client Execution</t>
        </is>
      </c>
      <c r="S638" t="n">
        <v>1</v>
      </c>
      <c r="T638" t="inlineStr">
        <is>
          <t>LOW (40%)</t>
        </is>
      </c>
      <c r="U638" t="inlineStr">
        <is>
          <t>UNLIKELY</t>
        </is>
      </c>
      <c r="V638" t="inlineStr">
        <is>
          <t>CHECK_VENDOR</t>
        </is>
      </c>
      <c r="W638" t="inlineStr">
        <is>
          <t>https://nvd.nist.gov/vuln/detail/CVE-2025-69674</t>
        </is>
      </c>
      <c r="X638" t="inlineStr">
        <is>
          <t>NONE</t>
        </is>
      </c>
      <c r="Y638" t="n">
        <v>0</v>
      </c>
      <c r="Z638" t="inlineStr"/>
      <c r="AA638" t="inlineStr">
        <is>
          <t>https://nvd.nist.gov/vuln/detail/CVE-2025-69674</t>
        </is>
      </c>
    </row>
    <row r="639">
      <c r="A639" t="inlineStr">
        <is>
          <t>CVE</t>
        </is>
      </c>
      <c r="B639" t="inlineStr">
        <is>
          <t>CVE-2025-69725</t>
        </is>
      </c>
      <c r="C639" t="inlineStr">
        <is>
          <t>An Open Redirect vulnerability in the go-chi/chi &gt;=5.2.2 RedirectSlashes function allows remote attackers to redirect victim users to malicious websites using the legitimate website domain.</t>
        </is>
      </c>
      <c r="D639" t="n">
        <v>4.7</v>
      </c>
      <c r="E639" t="inlineStr">
        <is>
          <t>MEDIUM</t>
        </is>
      </c>
      <c r="F639" t="n">
        <v>2</v>
      </c>
      <c r="G639" t="n">
        <v>2</v>
      </c>
      <c r="H639" t="inlineStr">
        <is>
          <t>MEDIUM</t>
        </is>
      </c>
      <c r="I639" t="n">
        <v>8.699999999999999</v>
      </c>
      <c r="J639" t="inlineStr">
        <is>
          <t>NO</t>
        </is>
      </c>
      <c r="K639" t="inlineStr">
        <is>
          <t>2026-02-23 23:48</t>
        </is>
      </c>
      <c r="L639" t="inlineStr">
        <is>
          <t>CHECK_VENDOR</t>
        </is>
      </c>
      <c r="M639" t="inlineStr">
        <is>
          <t>See CVE details</t>
        </is>
      </c>
      <c r="N639" t="inlineStr">
        <is>
          <t>P4</t>
        </is>
      </c>
      <c r="O639" t="inlineStr">
        <is>
          <t>CVE - IP enrichment n/a</t>
        </is>
      </c>
      <c r="P639" t="n">
        <v>0.0003</v>
      </c>
      <c r="Q639" t="n">
        <v>0.1008</v>
      </c>
      <c r="R639" t="inlineStr">
        <is>
          <t>T1189:Drive-by Compromise</t>
        </is>
      </c>
      <c r="S639" t="n">
        <v>1</v>
      </c>
      <c r="T639" t="inlineStr">
        <is>
          <t>LOW (40%)</t>
        </is>
      </c>
      <c r="U639" t="inlineStr">
        <is>
          <t>UNLIKELY</t>
        </is>
      </c>
      <c r="V639" t="inlineStr">
        <is>
          <t>CHECK_VENDOR</t>
        </is>
      </c>
      <c r="W639" t="inlineStr">
        <is>
          <t>https://nvd.nist.gov/vuln/detail/CVE-2025-69725</t>
        </is>
      </c>
      <c r="X639" t="inlineStr">
        <is>
          <t>NONE</t>
        </is>
      </c>
      <c r="Y639" t="n">
        <v>0</v>
      </c>
      <c r="Z639" t="inlineStr"/>
      <c r="AA639" t="inlineStr">
        <is>
          <t>https://nvd.nist.gov/vuln/detail/CVE-2025-69725</t>
        </is>
      </c>
    </row>
    <row r="640">
      <c r="A640" t="inlineStr">
        <is>
          <t>CVE</t>
        </is>
      </c>
      <c r="B640" t="inlineStr">
        <is>
          <t>CVE-2026-1581</t>
        </is>
      </c>
      <c r="C640" t="inlineStr">
        <is>
          <t>The wpForo Forum plugin for WordPress is vulnerable to time-based SQL Injection via the 'wpfob' parameter in all versions up to, and including, 2.4.14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D640" t="n">
        <v>7.5</v>
      </c>
      <c r="E640" t="inlineStr">
        <is>
          <t>HIGH</t>
        </is>
      </c>
      <c r="F640" t="n">
        <v>2</v>
      </c>
      <c r="G640" t="n">
        <v>3</v>
      </c>
      <c r="H640" t="inlineStr">
        <is>
          <t>HIGH</t>
        </is>
      </c>
      <c r="I640" t="n">
        <v>13.5</v>
      </c>
      <c r="J640" t="inlineStr">
        <is>
          <t>NO</t>
        </is>
      </c>
      <c r="K640" t="inlineStr">
        <is>
          <t>2026-02-23 23:48</t>
        </is>
      </c>
      <c r="L640" t="inlineStr">
        <is>
          <t>CHECK_VENDOR</t>
        </is>
      </c>
      <c r="M640" t="inlineStr">
        <is>
          <t>See CVE details</t>
        </is>
      </c>
      <c r="N640" t="inlineStr">
        <is>
          <t>P3</t>
        </is>
      </c>
      <c r="O640" t="inlineStr">
        <is>
          <t>CVE - IP enrichment n/a</t>
        </is>
      </c>
      <c r="P640" t="n">
        <v>0</v>
      </c>
      <c r="Q640" t="n">
        <v>0</v>
      </c>
      <c r="R640" t="inlineStr">
        <is>
          <t>T1190:Exploit Public-Facing Application</t>
        </is>
      </c>
      <c r="S640" t="n">
        <v>1</v>
      </c>
      <c r="T640" t="inlineStr">
        <is>
          <t>LOW (40%)</t>
        </is>
      </c>
      <c r="U640" t="inlineStr">
        <is>
          <t>UNLIKELY</t>
        </is>
      </c>
      <c r="V640" t="inlineStr">
        <is>
          <t>CHECK_VENDOR</t>
        </is>
      </c>
      <c r="W640" t="inlineStr">
        <is>
          <t>https://nvd.nist.gov/vuln/detail/CVE-2026-1581</t>
        </is>
      </c>
      <c r="X640" t="inlineStr">
        <is>
          <t>NONE</t>
        </is>
      </c>
      <c r="Y640" t="n">
        <v>0</v>
      </c>
      <c r="Z640" t="inlineStr"/>
      <c r="AA640" t="inlineStr">
        <is>
          <t>https://nvd.nist.gov/vuln/detail/CVE-2026-1581</t>
        </is>
      </c>
    </row>
    <row r="641">
      <c r="A641" t="inlineStr">
        <is>
          <t>CVE</t>
        </is>
      </c>
      <c r="B641" t="inlineStr">
        <is>
          <t>CVE-2026-24834</t>
        </is>
      </c>
      <c r="C641" t="inlineStr">
        <is>
          <t>Kata Containers is an open source project focusing on a standard implementation of lightweight Virtual Machines (VMs) that perform like containers. In versions prior to 3.27.0, an issue in Kata with Cloud Hypervisor allows a user of the container to modify the file system used by the Guest micro VM ultimately achieving arbitrary code execution as root in said VM. The current understanding is this doesn’t impact the security of the Host or of other containers / VMs running on that Host (note that</t>
        </is>
      </c>
      <c r="D641" t="n">
        <v>9.300000000000001</v>
      </c>
      <c r="E641" t="inlineStr">
        <is>
          <t>CRITICAL</t>
        </is>
      </c>
      <c r="F641" t="n">
        <v>2</v>
      </c>
      <c r="G641" t="n">
        <v>3</v>
      </c>
      <c r="H641" t="inlineStr">
        <is>
          <t>HIGH</t>
        </is>
      </c>
      <c r="I641" t="n">
        <v>15.3</v>
      </c>
      <c r="J641" t="inlineStr">
        <is>
          <t>NO</t>
        </is>
      </c>
      <c r="K641" t="inlineStr">
        <is>
          <t>2026-02-23 23:48</t>
        </is>
      </c>
      <c r="L641" t="inlineStr">
        <is>
          <t>YES</t>
        </is>
      </c>
      <c r="M641" t="inlineStr">
        <is>
          <t>katacontainers kata_containers *</t>
        </is>
      </c>
      <c r="N641" t="inlineStr">
        <is>
          <t>P3</t>
        </is>
      </c>
      <c r="O641" t="inlineStr">
        <is>
          <t>CVE - IP enrichment n/a</t>
        </is>
      </c>
      <c r="P641" t="n">
        <v>0.0001</v>
      </c>
      <c r="Q641" t="n">
        <v>0.0152</v>
      </c>
      <c r="R641" t="inlineStr">
        <is>
          <t>T1190:Exploit Public-Facing Application | T1203:Exploitation for Client Execution</t>
        </is>
      </c>
      <c r="S641" t="n">
        <v>1</v>
      </c>
      <c r="T641" t="inlineStr">
        <is>
          <t>LOW (40%)</t>
        </is>
      </c>
      <c r="U641" t="inlineStr">
        <is>
          <t>UNLIKELY</t>
        </is>
      </c>
      <c r="V641" t="inlineStr">
        <is>
          <t>PATCH_AVAILABLE</t>
        </is>
      </c>
      <c r="W641" t="inlineStr">
        <is>
          <t>https://nvd.nist.gov/vuln/detail/CVE-2026-24834</t>
        </is>
      </c>
      <c r="X641" t="inlineStr">
        <is>
          <t>NONE</t>
        </is>
      </c>
      <c r="Y641" t="n">
        <v>0</v>
      </c>
      <c r="Z641" t="inlineStr"/>
      <c r="AA641" t="inlineStr">
        <is>
          <t>https://nvd.nist.gov/vuln/detail/CVE-2026-24834</t>
        </is>
      </c>
    </row>
    <row r="642">
      <c r="A642" t="inlineStr">
        <is>
          <t>CVE</t>
        </is>
      </c>
      <c r="B642" t="inlineStr">
        <is>
          <t>CVE-2026-25998</t>
        </is>
      </c>
      <c r="C642" t="inlineStr">
        <is>
          <t>strongMan is a management interface for strongSwan, an OpenSource IPsec-based VPN. When storing credentials in the database (private keys, EAP secrets), strongMan encrypts the corresponding database fields. So far it used AES in CTR mode with a global database key. Together with an initialization vector (IV), a key stream is generated to encrypt the data in the database fields. But because strongMan did not generate individual IVs, every database field was encrypted using the same key stream. An</t>
        </is>
      </c>
      <c r="D642" t="n">
        <v>7.5</v>
      </c>
      <c r="E642" t="inlineStr">
        <is>
          <t>HIGH</t>
        </is>
      </c>
      <c r="F642" t="n">
        <v>2</v>
      </c>
      <c r="G642" t="n">
        <v>3</v>
      </c>
      <c r="H642" t="inlineStr">
        <is>
          <t>HIGH</t>
        </is>
      </c>
      <c r="I642" t="n">
        <v>13.5</v>
      </c>
      <c r="J642" t="inlineStr">
        <is>
          <t>NO</t>
        </is>
      </c>
      <c r="K642" t="inlineStr">
        <is>
          <t>2026-02-23 23:48</t>
        </is>
      </c>
      <c r="L642" t="inlineStr">
        <is>
          <t>YES</t>
        </is>
      </c>
      <c r="M642" t="inlineStr">
        <is>
          <t>strongswan strongman 0.1.0</t>
        </is>
      </c>
      <c r="N642" t="inlineStr">
        <is>
          <t>P3</t>
        </is>
      </c>
      <c r="O642" t="inlineStr">
        <is>
          <t>CVE - IP enrichment n/a</t>
        </is>
      </c>
      <c r="P642" t="n">
        <v>0</v>
      </c>
      <c r="Q642" t="n">
        <v>0</v>
      </c>
      <c r="R642" t="inlineStr">
        <is>
          <t>T1190:Exploit Public-Facing Application | T1552:Unsecured Credentials | T1133:External Remote Services</t>
        </is>
      </c>
      <c r="S642" t="n">
        <v>1</v>
      </c>
      <c r="T642" t="inlineStr">
        <is>
          <t>LOW (40%)</t>
        </is>
      </c>
      <c r="U642" t="inlineStr">
        <is>
          <t>UNLIKELY</t>
        </is>
      </c>
      <c r="V642" t="inlineStr">
        <is>
          <t>PATCH_AVAILABLE</t>
        </is>
      </c>
      <c r="W642" t="inlineStr">
        <is>
          <t>https://nvd.nist.gov/vuln/detail/CVE-2026-25998</t>
        </is>
      </c>
      <c r="X642" t="inlineStr">
        <is>
          <t>NONE</t>
        </is>
      </c>
      <c r="Y642" t="n">
        <v>0</v>
      </c>
      <c r="Z642" t="inlineStr"/>
      <c r="AA642" t="inlineStr">
        <is>
          <t>https://nvd.nist.gov/vuln/detail/CVE-2026-25998</t>
        </is>
      </c>
    </row>
    <row r="643">
      <c r="A643" t="inlineStr">
        <is>
          <t>CVE</t>
        </is>
      </c>
      <c r="B643" t="inlineStr">
        <is>
          <t>CVE-2026-26016</t>
        </is>
      </c>
      <c r="C643" t="inlineStr">
        <is>
          <t>Wings is the server control plane for Pterodactyl, a free, open-source game server management panel. Prior to version 1.12.1, a missing authorization check in multiple controllers allows any user with access to a node secret token to fetch information about any server on a Pterodactyl instance, even if that server is associated with a different node. This issue stems from missing logic to verify that the node requesting server data is the same node that the server is associated with. Any authent</t>
        </is>
      </c>
      <c r="D643" t="n">
        <v>8.1</v>
      </c>
      <c r="E643" t="inlineStr">
        <is>
          <t>HIGH</t>
        </is>
      </c>
      <c r="F643" t="n">
        <v>2</v>
      </c>
      <c r="G643" t="n">
        <v>3</v>
      </c>
      <c r="H643" t="inlineStr">
        <is>
          <t>HIGH</t>
        </is>
      </c>
      <c r="I643" t="n">
        <v>14.1</v>
      </c>
      <c r="J643" t="inlineStr">
        <is>
          <t>NO</t>
        </is>
      </c>
      <c r="K643" t="inlineStr">
        <is>
          <t>2026-02-23 23:48</t>
        </is>
      </c>
      <c r="L643" t="inlineStr">
        <is>
          <t>YES</t>
        </is>
      </c>
      <c r="M643" t="inlineStr">
        <is>
          <t>pterodactyl panel *</t>
        </is>
      </c>
      <c r="N643" t="inlineStr">
        <is>
          <t>P3</t>
        </is>
      </c>
      <c r="O643" t="inlineStr">
        <is>
          <t>CVE - IP enrichment n/a</t>
        </is>
      </c>
      <c r="P643" t="n">
        <v>0</v>
      </c>
      <c r="Q643" t="n">
        <v>0</v>
      </c>
      <c r="R643" t="inlineStr">
        <is>
          <t>T1190:Exploit Public-Facing Application</t>
        </is>
      </c>
      <c r="S643" t="n">
        <v>1</v>
      </c>
      <c r="T643" t="inlineStr">
        <is>
          <t>LOW (40%)</t>
        </is>
      </c>
      <c r="U643" t="inlineStr">
        <is>
          <t>UNLIKELY</t>
        </is>
      </c>
      <c r="V643" t="inlineStr">
        <is>
          <t>PATCH_AVAILABLE</t>
        </is>
      </c>
      <c r="W643" t="inlineStr">
        <is>
          <t>https://nvd.nist.gov/vuln/detail/CVE-2026-26016</t>
        </is>
      </c>
      <c r="X643" t="inlineStr">
        <is>
          <t>NONE</t>
        </is>
      </c>
      <c r="Y643" t="n">
        <v>0</v>
      </c>
      <c r="Z643" t="inlineStr"/>
      <c r="AA643" t="inlineStr">
        <is>
          <t>https://nvd.nist.gov/vuln/detail/CVE-2026-26016</t>
        </is>
      </c>
    </row>
    <row r="644">
      <c r="A644" t="inlineStr">
        <is>
          <t>CVE</t>
        </is>
      </c>
      <c r="B644" t="inlineStr">
        <is>
          <t>CVE-2026-26030</t>
        </is>
      </c>
      <c r="C644" t="inlineStr">
        <is>
          <t>Semantic Kernel, Microsoft's semantic kernel Python SDK, has a remote code execution vulnerability in versions prior to 1.39.4, specifically within the `InMemoryVectorStore` filter functionality. The problem has been fixed in version `python-1.39.4`. Users should upgrade this version or higher. As a workaround, avoid using `InMemoryVectorStore` for production scenarios.</t>
        </is>
      </c>
      <c r="D644" t="n">
        <v>9.9</v>
      </c>
      <c r="E644" t="inlineStr">
        <is>
          <t>CRITICAL</t>
        </is>
      </c>
      <c r="F644" t="n">
        <v>2</v>
      </c>
      <c r="G644" t="n">
        <v>3</v>
      </c>
      <c r="H644" t="inlineStr">
        <is>
          <t>HIGH</t>
        </is>
      </c>
      <c r="I644" t="n">
        <v>15.9</v>
      </c>
      <c r="J644" t="inlineStr">
        <is>
          <t>NO</t>
        </is>
      </c>
      <c r="K644" t="inlineStr">
        <is>
          <t>2026-02-23 23:48</t>
        </is>
      </c>
      <c r="L644" t="inlineStr">
        <is>
          <t>CHECK_VENDOR</t>
        </is>
      </c>
      <c r="M644" t="inlineStr">
        <is>
          <t>See CVE details</t>
        </is>
      </c>
      <c r="N644" t="inlineStr">
        <is>
          <t>P3</t>
        </is>
      </c>
      <c r="O644" t="inlineStr">
        <is>
          <t>CVE - IP enrichment n/a</t>
        </is>
      </c>
      <c r="P644" t="n">
        <v>0</v>
      </c>
      <c r="Q644" t="n">
        <v>0</v>
      </c>
      <c r="R644" t="inlineStr">
        <is>
          <t>T1059:Command and Scripting Interpreter | T1190:Exploit Public-Facing Application | T1210:Exploitation of Remote Services</t>
        </is>
      </c>
      <c r="S644" t="n">
        <v>1</v>
      </c>
      <c r="T644" t="inlineStr">
        <is>
          <t>LOW (40%)</t>
        </is>
      </c>
      <c r="U644" t="inlineStr">
        <is>
          <t>UNLIKELY</t>
        </is>
      </c>
      <c r="V644" t="inlineStr">
        <is>
          <t>CHECK_VENDOR</t>
        </is>
      </c>
      <c r="W644" t="inlineStr">
        <is>
          <t>https://nvd.nist.gov/vuln/detail/CVE-2026-26030</t>
        </is>
      </c>
      <c r="X644" t="inlineStr">
        <is>
          <t>NONE</t>
        </is>
      </c>
      <c r="Y644" t="n">
        <v>0</v>
      </c>
      <c r="Z644" t="inlineStr"/>
      <c r="AA644" t="inlineStr">
        <is>
          <t>https://nvd.nist.gov/vuln/detail/CVE-2026-26030</t>
        </is>
      </c>
    </row>
    <row r="645">
      <c r="A645" t="inlineStr">
        <is>
          <t>CVE</t>
        </is>
      </c>
      <c r="B645" t="inlineStr">
        <is>
          <t>CVE-2026-26336</t>
        </is>
      </c>
      <c r="C645" t="inlineStr">
        <is>
          <t>Hyland Alfresco allows unauthenticated attackers to read arbitrary files from protected directories (like WEB-INF) via the "/share/page/resource/" endpoint, thus leading to the disclosure of sensitive configuration files.</t>
        </is>
      </c>
      <c r="D645" t="n">
        <v>7.5</v>
      </c>
      <c r="E645" t="inlineStr">
        <is>
          <t>HIGH</t>
        </is>
      </c>
      <c r="F645" t="n">
        <v>2</v>
      </c>
      <c r="G645" t="n">
        <v>3</v>
      </c>
      <c r="H645" t="inlineStr">
        <is>
          <t>HIGH</t>
        </is>
      </c>
      <c r="I645" t="n">
        <v>13.5</v>
      </c>
      <c r="J645" t="inlineStr">
        <is>
          <t>NO</t>
        </is>
      </c>
      <c r="K645" t="inlineStr">
        <is>
          <t>2026-02-23 23:48</t>
        </is>
      </c>
      <c r="L645" t="inlineStr">
        <is>
          <t>CHECK_VENDOR</t>
        </is>
      </c>
      <c r="M645" t="inlineStr">
        <is>
          <t>See CVE details</t>
        </is>
      </c>
      <c r="N645" t="inlineStr">
        <is>
          <t>P3</t>
        </is>
      </c>
      <c r="O645" t="inlineStr">
        <is>
          <t>CVE - IP enrichment n/a</t>
        </is>
      </c>
      <c r="P645" t="n">
        <v>0</v>
      </c>
      <c r="Q645" t="n">
        <v>0</v>
      </c>
      <c r="R645" t="inlineStr">
        <is>
          <t>T1190:Exploit Public-Facing Application</t>
        </is>
      </c>
      <c r="S645" t="n">
        <v>1</v>
      </c>
      <c r="T645" t="inlineStr">
        <is>
          <t>LOW (40%)</t>
        </is>
      </c>
      <c r="U645" t="inlineStr">
        <is>
          <t>UNLIKELY</t>
        </is>
      </c>
      <c r="V645" t="inlineStr">
        <is>
          <t>CHECK_VENDOR</t>
        </is>
      </c>
      <c r="W645" t="inlineStr">
        <is>
          <t>https://nvd.nist.gov/vuln/detail/CVE-2026-26336</t>
        </is>
      </c>
      <c r="X645" t="inlineStr">
        <is>
          <t>NONE</t>
        </is>
      </c>
      <c r="Y645" t="n">
        <v>0</v>
      </c>
      <c r="Z645" t="inlineStr"/>
      <c r="AA645" t="inlineStr">
        <is>
          <t>https://nvd.nist.gov/vuln/detail/CVE-2026-26336</t>
        </is>
      </c>
    </row>
    <row r="646">
      <c r="A646" t="inlineStr">
        <is>
          <t>CVE</t>
        </is>
      </c>
      <c r="B646" t="inlineStr">
        <is>
          <t>CVE-2026-2232</t>
        </is>
      </c>
      <c r="C646" t="inlineStr">
        <is>
          <t>The Product Table and List Builder for WooCommerce Lite plugin for WordPress is vulnerable to time-based SQL Injection via the 'search' parameter in all versions up to, and including, 4.6.2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D646" t="n">
        <v>7.5</v>
      </c>
      <c r="E646" t="inlineStr">
        <is>
          <t>HIGH</t>
        </is>
      </c>
      <c r="F646" t="n">
        <v>2</v>
      </c>
      <c r="G646" t="n">
        <v>3</v>
      </c>
      <c r="H646" t="inlineStr">
        <is>
          <t>HIGH</t>
        </is>
      </c>
      <c r="I646" t="n">
        <v>13.5</v>
      </c>
      <c r="J646" t="inlineStr">
        <is>
          <t>NO</t>
        </is>
      </c>
      <c r="K646" t="inlineStr">
        <is>
          <t>2026-02-23 23:48</t>
        </is>
      </c>
      <c r="L646" t="inlineStr">
        <is>
          <t>CHECK_VENDOR</t>
        </is>
      </c>
      <c r="M646" t="inlineStr">
        <is>
          <t>See CVE details</t>
        </is>
      </c>
      <c r="N646" t="inlineStr">
        <is>
          <t>P3</t>
        </is>
      </c>
      <c r="O646" t="inlineStr">
        <is>
          <t>CVE - IP enrichment n/a</t>
        </is>
      </c>
      <c r="P646" t="n">
        <v>0</v>
      </c>
      <c r="Q646" t="n">
        <v>0</v>
      </c>
      <c r="R646" t="inlineStr">
        <is>
          <t>T1190:Exploit Public-Facing Application</t>
        </is>
      </c>
      <c r="S646" t="n">
        <v>1</v>
      </c>
      <c r="T646" t="inlineStr">
        <is>
          <t>LOW (40%)</t>
        </is>
      </c>
      <c r="U646" t="inlineStr">
        <is>
          <t>UNLIKELY</t>
        </is>
      </c>
      <c r="V646" t="inlineStr">
        <is>
          <t>CHECK_VENDOR</t>
        </is>
      </c>
      <c r="W646" t="inlineStr">
        <is>
          <t>https://nvd.nist.gov/vuln/detail/CVE-2026-2232</t>
        </is>
      </c>
      <c r="X646" t="inlineStr">
        <is>
          <t>NONE</t>
        </is>
      </c>
      <c r="Y646" t="n">
        <v>0</v>
      </c>
      <c r="Z646" t="inlineStr"/>
      <c r="AA646" t="inlineStr">
        <is>
          <t>https://nvd.nist.gov/vuln/detail/CVE-2026-2232</t>
        </is>
      </c>
    </row>
    <row r="647">
      <c r="A647" t="inlineStr">
        <is>
          <t>CVE</t>
        </is>
      </c>
      <c r="B647" t="inlineStr">
        <is>
          <t>CVE-2026-23604</t>
        </is>
      </c>
      <c r="C647" t="inlineStr">
        <is>
          <t>GFI MailEssentials AI versions prior to 22.4 contain a stored cross-site scripting vulnerability in the Keyword Filtering rule creation workflow. An authenticated user can supply HTML/JavaScript in the ctl00$ContentPlaceHolder1$pv1$TXB_RuleName parameter to /MailEssentials/pages/MailSecurity/contentchecking.aspx, which is stored and later rendered in the management interface, allowing script execution in the context of a logged-in user.</t>
        </is>
      </c>
      <c r="D647" t="n">
        <v>5.4</v>
      </c>
      <c r="E647" t="inlineStr">
        <is>
          <t>MEDIUM</t>
        </is>
      </c>
      <c r="F647" t="n">
        <v>2</v>
      </c>
      <c r="G647" t="n">
        <v>2</v>
      </c>
      <c r="H647" t="inlineStr">
        <is>
          <t>MEDIUM</t>
        </is>
      </c>
      <c r="I647" t="n">
        <v>9.4</v>
      </c>
      <c r="J647" t="inlineStr">
        <is>
          <t>NO</t>
        </is>
      </c>
      <c r="K647" t="inlineStr">
        <is>
          <t>2026-02-23 23:48</t>
        </is>
      </c>
      <c r="L647" t="inlineStr">
        <is>
          <t>CHECK_VENDOR</t>
        </is>
      </c>
      <c r="M647" t="inlineStr">
        <is>
          <t>gfi mailessentials *</t>
        </is>
      </c>
      <c r="N647" t="inlineStr">
        <is>
          <t>P4</t>
        </is>
      </c>
      <c r="O647" t="inlineStr">
        <is>
          <t>CVE - IP enrichment n/a</t>
        </is>
      </c>
      <c r="P647" t="n">
        <v>0</v>
      </c>
      <c r="Q647" t="n">
        <v>0</v>
      </c>
      <c r="R647" t="inlineStr">
        <is>
          <t>T1189:Drive-by Compromise</t>
        </is>
      </c>
      <c r="S647" t="n">
        <v>1</v>
      </c>
      <c r="T647" t="inlineStr">
        <is>
          <t>LOW (40%)</t>
        </is>
      </c>
      <c r="U647" t="inlineStr">
        <is>
          <t>UNLIKELY</t>
        </is>
      </c>
      <c r="V647" t="inlineStr">
        <is>
          <t>CHECK_VENDOR</t>
        </is>
      </c>
      <c r="W647" t="inlineStr">
        <is>
          <t>https://nvd.nist.gov/vuln/detail/CVE-2026-23604</t>
        </is>
      </c>
      <c r="X647" t="inlineStr">
        <is>
          <t>NONE</t>
        </is>
      </c>
      <c r="Y647" t="n">
        <v>0</v>
      </c>
      <c r="Z647" t="inlineStr"/>
      <c r="AA647" t="inlineStr">
        <is>
          <t>https://nvd.nist.gov/vuln/detail/CVE-2026-23604</t>
        </is>
      </c>
    </row>
    <row r="648">
      <c r="A648" t="inlineStr">
        <is>
          <t>CVE</t>
        </is>
      </c>
      <c r="B648" t="inlineStr">
        <is>
          <t>CVE-2026-23605</t>
        </is>
      </c>
      <c r="C648" t="inlineStr">
        <is>
          <t>GFI MailEssentials AI versions prior to 22.4 contain a stored cross-site scripting vulnerability in the Attachment Filtering rule creation workflow. An authenticated user can supply HTML/JavaScript in the ctl00$ContentPlaceHolder1$pv1$TXB_RuleName parameter to /MailEssentials/pages/MailSecurity/attachmentchecking.aspx, which is stored and later rendered in the management interface, allowing script execution in the context of a logged-in user.</t>
        </is>
      </c>
      <c r="D648" t="n">
        <v>5.4</v>
      </c>
      <c r="E648" t="inlineStr">
        <is>
          <t>MEDIUM</t>
        </is>
      </c>
      <c r="F648" t="n">
        <v>2</v>
      </c>
      <c r="G648" t="n">
        <v>2</v>
      </c>
      <c r="H648" t="inlineStr">
        <is>
          <t>MEDIUM</t>
        </is>
      </c>
      <c r="I648" t="n">
        <v>9.4</v>
      </c>
      <c r="J648" t="inlineStr">
        <is>
          <t>NO</t>
        </is>
      </c>
      <c r="K648" t="inlineStr">
        <is>
          <t>2026-02-23 23:48</t>
        </is>
      </c>
      <c r="L648" t="inlineStr">
        <is>
          <t>CHECK_VENDOR</t>
        </is>
      </c>
      <c r="M648" t="inlineStr">
        <is>
          <t>gfi mailessentials *</t>
        </is>
      </c>
      <c r="N648" t="inlineStr">
        <is>
          <t>P4</t>
        </is>
      </c>
      <c r="O648" t="inlineStr">
        <is>
          <t>CVE - IP enrichment n/a</t>
        </is>
      </c>
      <c r="P648" t="n">
        <v>0</v>
      </c>
      <c r="Q648" t="n">
        <v>0</v>
      </c>
      <c r="R648" t="inlineStr">
        <is>
          <t>T1189:Drive-by Compromise</t>
        </is>
      </c>
      <c r="S648" t="n">
        <v>1</v>
      </c>
      <c r="T648" t="inlineStr">
        <is>
          <t>LOW (40%)</t>
        </is>
      </c>
      <c r="U648" t="inlineStr">
        <is>
          <t>UNLIKELY</t>
        </is>
      </c>
      <c r="V648" t="inlineStr">
        <is>
          <t>CHECK_VENDOR</t>
        </is>
      </c>
      <c r="W648" t="inlineStr">
        <is>
          <t>https://nvd.nist.gov/vuln/detail/CVE-2026-23605</t>
        </is>
      </c>
      <c r="X648" t="inlineStr">
        <is>
          <t>NONE</t>
        </is>
      </c>
      <c r="Y648" t="n">
        <v>0</v>
      </c>
      <c r="Z648" t="inlineStr"/>
      <c r="AA648" t="inlineStr">
        <is>
          <t>https://nvd.nist.gov/vuln/detail/CVE-2026-23605</t>
        </is>
      </c>
    </row>
    <row r="649">
      <c r="A649" t="inlineStr">
        <is>
          <t>CVE</t>
        </is>
      </c>
      <c r="B649" t="inlineStr">
        <is>
          <t>CVE-2026-23606</t>
        </is>
      </c>
      <c r="C649" t="inlineStr">
        <is>
          <t>GFI MailEssentials AI versions prior to 22.4 contain a stored cross-site scripting vulnerability in the Advanced Content Filtering rule creation workflow. An authenticated user can supply HTML/JavaScript in the ctl00$ContentPlaceHolder1$pv1$txtRuleName parameter to /MailEssentials/pages/MailSecurity/advancedfiltering.aspx, which is stored and later rendered in the management interface, allowing script execution in the context of a logged-in user.</t>
        </is>
      </c>
      <c r="D649" t="n">
        <v>5.4</v>
      </c>
      <c r="E649" t="inlineStr">
        <is>
          <t>MEDIUM</t>
        </is>
      </c>
      <c r="F649" t="n">
        <v>2</v>
      </c>
      <c r="G649" t="n">
        <v>2</v>
      </c>
      <c r="H649" t="inlineStr">
        <is>
          <t>MEDIUM</t>
        </is>
      </c>
      <c r="I649" t="n">
        <v>9.4</v>
      </c>
      <c r="J649" t="inlineStr">
        <is>
          <t>NO</t>
        </is>
      </c>
      <c r="K649" t="inlineStr">
        <is>
          <t>2026-02-23 23:48</t>
        </is>
      </c>
      <c r="L649" t="inlineStr">
        <is>
          <t>CHECK_VENDOR</t>
        </is>
      </c>
      <c r="M649" t="inlineStr">
        <is>
          <t>gfi mailessentials *</t>
        </is>
      </c>
      <c r="N649" t="inlineStr">
        <is>
          <t>P4</t>
        </is>
      </c>
      <c r="O649" t="inlineStr">
        <is>
          <t>CVE - IP enrichment n/a</t>
        </is>
      </c>
      <c r="P649" t="n">
        <v>0</v>
      </c>
      <c r="Q649" t="n">
        <v>0</v>
      </c>
      <c r="R649" t="inlineStr">
        <is>
          <t>T1189:Drive-by Compromise</t>
        </is>
      </c>
      <c r="S649" t="n">
        <v>1</v>
      </c>
      <c r="T649" t="inlineStr">
        <is>
          <t>LOW (40%)</t>
        </is>
      </c>
      <c r="U649" t="inlineStr">
        <is>
          <t>UNLIKELY</t>
        </is>
      </c>
      <c r="V649" t="inlineStr">
        <is>
          <t>CHECK_VENDOR</t>
        </is>
      </c>
      <c r="W649" t="inlineStr">
        <is>
          <t>https://nvd.nist.gov/vuln/detail/CVE-2026-23606</t>
        </is>
      </c>
      <c r="X649" t="inlineStr">
        <is>
          <t>NONE</t>
        </is>
      </c>
      <c r="Y649" t="n">
        <v>0</v>
      </c>
      <c r="Z649" t="inlineStr"/>
      <c r="AA649" t="inlineStr">
        <is>
          <t>https://nvd.nist.gov/vuln/detail/CVE-2026-23606</t>
        </is>
      </c>
    </row>
    <row r="650">
      <c r="A650" t="inlineStr">
        <is>
          <t>CVE</t>
        </is>
      </c>
      <c r="B650" t="inlineStr">
        <is>
          <t>CVE-2026-23607</t>
        </is>
      </c>
      <c r="C650" t="inlineStr">
        <is>
          <t>GFI MailEssentials AI versions prior to 22.4 contain a stored cross-site scripting vulnerability in the Anti-Spam Whitelist management interface. An authenticated user can supply HTML/JavaScript in the ctl00$ContentPlaceHolder1$pv1$txtDescription parameter to /MailEssentials/pages/MailSecurity/Whitelist.aspx, which is stored and later rendered in the management interface, allowing script execution in the context of a logged-in user.</t>
        </is>
      </c>
      <c r="D650" t="n">
        <v>5.4</v>
      </c>
      <c r="E650" t="inlineStr">
        <is>
          <t>MEDIUM</t>
        </is>
      </c>
      <c r="F650" t="n">
        <v>2</v>
      </c>
      <c r="G650" t="n">
        <v>2</v>
      </c>
      <c r="H650" t="inlineStr">
        <is>
          <t>MEDIUM</t>
        </is>
      </c>
      <c r="I650" t="n">
        <v>9.4</v>
      </c>
      <c r="J650" t="inlineStr">
        <is>
          <t>NO</t>
        </is>
      </c>
      <c r="K650" t="inlineStr">
        <is>
          <t>2026-02-23 23:48</t>
        </is>
      </c>
      <c r="L650" t="inlineStr">
        <is>
          <t>CHECK_VENDOR</t>
        </is>
      </c>
      <c r="M650" t="inlineStr">
        <is>
          <t>gfi mailessentials *</t>
        </is>
      </c>
      <c r="N650" t="inlineStr">
        <is>
          <t>P4</t>
        </is>
      </c>
      <c r="O650" t="inlineStr">
        <is>
          <t>CVE - IP enrichment n/a</t>
        </is>
      </c>
      <c r="P650" t="n">
        <v>0.0003</v>
      </c>
      <c r="Q650" t="n">
        <v>0.0949</v>
      </c>
      <c r="R650" t="inlineStr">
        <is>
          <t>T1189:Drive-by Compromise</t>
        </is>
      </c>
      <c r="S650" t="n">
        <v>1</v>
      </c>
      <c r="T650" t="inlineStr">
        <is>
          <t>LOW (40%)</t>
        </is>
      </c>
      <c r="U650" t="inlineStr">
        <is>
          <t>UNLIKELY</t>
        </is>
      </c>
      <c r="V650" t="inlineStr">
        <is>
          <t>CHECK_VENDOR</t>
        </is>
      </c>
      <c r="W650" t="inlineStr">
        <is>
          <t>https://nvd.nist.gov/vuln/detail/CVE-2026-23607</t>
        </is>
      </c>
      <c r="X650" t="inlineStr">
        <is>
          <t>NONE</t>
        </is>
      </c>
      <c r="Y650" t="n">
        <v>0</v>
      </c>
      <c r="Z650" t="inlineStr"/>
      <c r="AA650" t="inlineStr">
        <is>
          <t>https://nvd.nist.gov/vuln/detail/CVE-2026-23607</t>
        </is>
      </c>
    </row>
    <row r="651">
      <c r="A651" t="inlineStr">
        <is>
          <t>CVE</t>
        </is>
      </c>
      <c r="B651" t="inlineStr">
        <is>
          <t>CVE-2026-23608</t>
        </is>
      </c>
      <c r="C651" t="inlineStr">
        <is>
          <t>GFI MailEssentials AI versions prior to 22.4 contain a stored cross-site scripting vulnerability in the Mail Monitoring rule creation endpoint. An authenticated user can supply HTML/JavaScript in the JSON \"name\" field to /MailEssentials/pages/MailSecurity/MailMonitoring.aspx/Save, which is stored and later rendered in the management interface, allowing script execution in the context of a logged-in user.</t>
        </is>
      </c>
      <c r="D651" t="n">
        <v>5.4</v>
      </c>
      <c r="E651" t="inlineStr">
        <is>
          <t>MEDIUM</t>
        </is>
      </c>
      <c r="F651" t="n">
        <v>2</v>
      </c>
      <c r="G651" t="n">
        <v>2</v>
      </c>
      <c r="H651" t="inlineStr">
        <is>
          <t>MEDIUM</t>
        </is>
      </c>
      <c r="I651" t="n">
        <v>9.4</v>
      </c>
      <c r="J651" t="inlineStr">
        <is>
          <t>NO</t>
        </is>
      </c>
      <c r="K651" t="inlineStr">
        <is>
          <t>2026-02-23 23:48</t>
        </is>
      </c>
      <c r="L651" t="inlineStr">
        <is>
          <t>CHECK_VENDOR</t>
        </is>
      </c>
      <c r="M651" t="inlineStr">
        <is>
          <t>gfi mailessentials *</t>
        </is>
      </c>
      <c r="N651" t="inlineStr">
        <is>
          <t>P4</t>
        </is>
      </c>
      <c r="O651" t="inlineStr">
        <is>
          <t>CVE - IP enrichment n/a</t>
        </is>
      </c>
      <c r="P651" t="n">
        <v>0</v>
      </c>
      <c r="Q651" t="n">
        <v>0</v>
      </c>
      <c r="R651" t="inlineStr">
        <is>
          <t>T1189:Drive-by Compromise</t>
        </is>
      </c>
      <c r="S651" t="n">
        <v>1</v>
      </c>
      <c r="T651" t="inlineStr">
        <is>
          <t>LOW (40%)</t>
        </is>
      </c>
      <c r="U651" t="inlineStr">
        <is>
          <t>UNLIKELY</t>
        </is>
      </c>
      <c r="V651" t="inlineStr">
        <is>
          <t>CHECK_VENDOR</t>
        </is>
      </c>
      <c r="W651" t="inlineStr">
        <is>
          <t>https://nvd.nist.gov/vuln/detail/CVE-2026-23608</t>
        </is>
      </c>
      <c r="X651" t="inlineStr">
        <is>
          <t>NONE</t>
        </is>
      </c>
      <c r="Y651" t="n">
        <v>0</v>
      </c>
      <c r="Z651" t="inlineStr"/>
      <c r="AA651" t="inlineStr">
        <is>
          <t>https://nvd.nist.gov/vuln/detail/CVE-2026-23608</t>
        </is>
      </c>
    </row>
    <row r="652">
      <c r="A652" t="inlineStr">
        <is>
          <t>CVE</t>
        </is>
      </c>
      <c r="B652" t="inlineStr">
        <is>
          <t>CVE-2026-23609</t>
        </is>
      </c>
      <c r="C652" t="inlineStr">
        <is>
          <t>GFI MailEssentials AI versions prior to 22.4 contain a stored cross-site scripting vulnerability in the Perimeter SMTP Servers configuration page. An authenticated user can supply HTML/JavaScript in the ctl00$ContentPlaceHolder1$pv3$txtDescription parameter to /MailEssentials/pages/MailSecurity/PerimeterSMTPServers.aspx, which is stored and later rendered in the management interface, allowing script execution in the context of a logged-in user.</t>
        </is>
      </c>
      <c r="D652" t="n">
        <v>5.4</v>
      </c>
      <c r="E652" t="inlineStr">
        <is>
          <t>MEDIUM</t>
        </is>
      </c>
      <c r="F652" t="n">
        <v>2</v>
      </c>
      <c r="G652" t="n">
        <v>2</v>
      </c>
      <c r="H652" t="inlineStr">
        <is>
          <t>MEDIUM</t>
        </is>
      </c>
      <c r="I652" t="n">
        <v>9.4</v>
      </c>
      <c r="J652" t="inlineStr">
        <is>
          <t>NO</t>
        </is>
      </c>
      <c r="K652" t="inlineStr">
        <is>
          <t>2026-02-23 23:48</t>
        </is>
      </c>
      <c r="L652" t="inlineStr">
        <is>
          <t>CHECK_VENDOR</t>
        </is>
      </c>
      <c r="M652" t="inlineStr">
        <is>
          <t>gfi mailessentials *</t>
        </is>
      </c>
      <c r="N652" t="inlineStr">
        <is>
          <t>P4</t>
        </is>
      </c>
      <c r="O652" t="inlineStr">
        <is>
          <t>CVE - IP enrichment n/a</t>
        </is>
      </c>
      <c r="P652" t="n">
        <v>0</v>
      </c>
      <c r="Q652" t="n">
        <v>0</v>
      </c>
      <c r="R652" t="inlineStr">
        <is>
          <t>T1189:Drive-by Compromise</t>
        </is>
      </c>
      <c r="S652" t="n">
        <v>1</v>
      </c>
      <c r="T652" t="inlineStr">
        <is>
          <t>LOW (40%)</t>
        </is>
      </c>
      <c r="U652" t="inlineStr">
        <is>
          <t>UNLIKELY</t>
        </is>
      </c>
      <c r="V652" t="inlineStr">
        <is>
          <t>CHECK_VENDOR</t>
        </is>
      </c>
      <c r="W652" t="inlineStr">
        <is>
          <t>https://nvd.nist.gov/vuln/detail/CVE-2026-23609</t>
        </is>
      </c>
      <c r="X652" t="inlineStr">
        <is>
          <t>NONE</t>
        </is>
      </c>
      <c r="Y652" t="n">
        <v>0</v>
      </c>
      <c r="Z652" t="inlineStr"/>
      <c r="AA652" t="inlineStr">
        <is>
          <t>https://nvd.nist.gov/vuln/detail/CVE-2026-23609</t>
        </is>
      </c>
    </row>
    <row r="653">
      <c r="A653" t="inlineStr">
        <is>
          <t>CVE</t>
        </is>
      </c>
      <c r="B653" t="inlineStr">
        <is>
          <t>CVE-2026-23610</t>
        </is>
      </c>
      <c r="C653" t="inlineStr">
        <is>
          <t>GFI MailEssentials AI versions prior to 22.4 contain a stored cross-site scripting vulnerability in the POP2Exchange configuration endpoint. An authenticated user can supply HTML/JavaScript in the POP3 server login field within the JSON \"popServers\" payload to /MailEssentials/pages/MailSecurity/POP2Exchange.aspx/Save, which is stored and later rendered in the management interface, allowing script execution in the context of a logged-in user.</t>
        </is>
      </c>
      <c r="D653" t="n">
        <v>5.4</v>
      </c>
      <c r="E653" t="inlineStr">
        <is>
          <t>MEDIUM</t>
        </is>
      </c>
      <c r="F653" t="n">
        <v>2</v>
      </c>
      <c r="G653" t="n">
        <v>2</v>
      </c>
      <c r="H653" t="inlineStr">
        <is>
          <t>MEDIUM</t>
        </is>
      </c>
      <c r="I653" t="n">
        <v>9.4</v>
      </c>
      <c r="J653" t="inlineStr">
        <is>
          <t>NO</t>
        </is>
      </c>
      <c r="K653" t="inlineStr">
        <is>
          <t>2026-02-23 23:48</t>
        </is>
      </c>
      <c r="L653" t="inlineStr">
        <is>
          <t>CHECK_VENDOR</t>
        </is>
      </c>
      <c r="M653" t="inlineStr">
        <is>
          <t>gfi mailessentials *</t>
        </is>
      </c>
      <c r="N653" t="inlineStr">
        <is>
          <t>P4</t>
        </is>
      </c>
      <c r="O653" t="inlineStr">
        <is>
          <t>CVE - IP enrichment n/a</t>
        </is>
      </c>
      <c r="P653" t="n">
        <v>0</v>
      </c>
      <c r="Q653" t="n">
        <v>0</v>
      </c>
      <c r="R653" t="inlineStr">
        <is>
          <t>T1189:Drive-by Compromise</t>
        </is>
      </c>
      <c r="S653" t="n">
        <v>1</v>
      </c>
      <c r="T653" t="inlineStr">
        <is>
          <t>LOW (40%)</t>
        </is>
      </c>
      <c r="U653" t="inlineStr">
        <is>
          <t>UNLIKELY</t>
        </is>
      </c>
      <c r="V653" t="inlineStr">
        <is>
          <t>CHECK_VENDOR</t>
        </is>
      </c>
      <c r="W653" t="inlineStr">
        <is>
          <t>https://nvd.nist.gov/vuln/detail/CVE-2026-23610</t>
        </is>
      </c>
      <c r="X653" t="inlineStr">
        <is>
          <t>NONE</t>
        </is>
      </c>
      <c r="Y653" t="n">
        <v>0</v>
      </c>
      <c r="Z653" t="inlineStr"/>
      <c r="AA653" t="inlineStr">
        <is>
          <t>https://nvd.nist.gov/vuln/detail/CVE-2026-23610</t>
        </is>
      </c>
    </row>
    <row r="654">
      <c r="A654" t="inlineStr">
        <is>
          <t>CVE</t>
        </is>
      </c>
      <c r="B654" t="inlineStr">
        <is>
          <t>CVE-2026-23611</t>
        </is>
      </c>
      <c r="C654" t="inlineStr">
        <is>
          <t>GFI MailEssentials AI versions prior to 22.4 contain a stored cross-site scripting vulnerability in the IP Blocklist management page. An authenticated user can supply HTML/JavaScript in the ctl00$ContentPlaceHolder1$pv1$txtIPDescription parameter to /MailEssentials/pages/MailSecurity/ipblocklist.aspx, which is stored and later rendered in the management interface, allowing script execution in the context of a logged-in user.</t>
        </is>
      </c>
      <c r="D654" t="n">
        <v>5.4</v>
      </c>
      <c r="E654" t="inlineStr">
        <is>
          <t>MEDIUM</t>
        </is>
      </c>
      <c r="F654" t="n">
        <v>2</v>
      </c>
      <c r="G654" t="n">
        <v>2</v>
      </c>
      <c r="H654" t="inlineStr">
        <is>
          <t>MEDIUM</t>
        </is>
      </c>
      <c r="I654" t="n">
        <v>9.4</v>
      </c>
      <c r="J654" t="inlineStr">
        <is>
          <t>NO</t>
        </is>
      </c>
      <c r="K654" t="inlineStr">
        <is>
          <t>2026-02-23 23:48</t>
        </is>
      </c>
      <c r="L654" t="inlineStr">
        <is>
          <t>CHECK_VENDOR</t>
        </is>
      </c>
      <c r="M654" t="inlineStr">
        <is>
          <t>gfi mailessentials *</t>
        </is>
      </c>
      <c r="N654" t="inlineStr">
        <is>
          <t>P4</t>
        </is>
      </c>
      <c r="O654" t="inlineStr">
        <is>
          <t>CVE - IP enrichment n/a</t>
        </is>
      </c>
      <c r="P654" t="n">
        <v>0</v>
      </c>
      <c r="Q654" t="n">
        <v>0</v>
      </c>
      <c r="R654" t="inlineStr">
        <is>
          <t>T1189:Drive-by Compromise</t>
        </is>
      </c>
      <c r="S654" t="n">
        <v>1</v>
      </c>
      <c r="T654" t="inlineStr">
        <is>
          <t>LOW (40%)</t>
        </is>
      </c>
      <c r="U654" t="inlineStr">
        <is>
          <t>UNLIKELY</t>
        </is>
      </c>
      <c r="V654" t="inlineStr">
        <is>
          <t>CHECK_VENDOR</t>
        </is>
      </c>
      <c r="W654" t="inlineStr">
        <is>
          <t>https://nvd.nist.gov/vuln/detail/CVE-2026-23611</t>
        </is>
      </c>
      <c r="X654" t="inlineStr">
        <is>
          <t>NONE</t>
        </is>
      </c>
      <c r="Y654" t="n">
        <v>0</v>
      </c>
      <c r="Z654" t="inlineStr"/>
      <c r="AA654" t="inlineStr">
        <is>
          <t>https://nvd.nist.gov/vuln/detail/CVE-2026-23611</t>
        </is>
      </c>
    </row>
    <row r="655">
      <c r="A655" t="inlineStr">
        <is>
          <t>CVE</t>
        </is>
      </c>
      <c r="B655" t="inlineStr">
        <is>
          <t>CVE-2026-23612</t>
        </is>
      </c>
      <c r="C655" t="inlineStr">
        <is>
          <t>GFI MailEssentials AI versions prior to 22.4 contain a stored cross-site scripting vulnerability in the IP DNS Blocklist configuration page. An authenticated user can supply HTML/JavaScript in the ctl00$ContentPlaceHolder1$pv1$TXB_IPs parameter to /MailEssentials/pages/MailSecurity/ipdnsblocklist.aspx, which is stored and later rendered in the management interface, allowing script execution in the context of a logged-in user.</t>
        </is>
      </c>
      <c r="D655" t="n">
        <v>5.4</v>
      </c>
      <c r="E655" t="inlineStr">
        <is>
          <t>MEDIUM</t>
        </is>
      </c>
      <c r="F655" t="n">
        <v>2</v>
      </c>
      <c r="G655" t="n">
        <v>2</v>
      </c>
      <c r="H655" t="inlineStr">
        <is>
          <t>MEDIUM</t>
        </is>
      </c>
      <c r="I655" t="n">
        <v>9.4</v>
      </c>
      <c r="J655" t="inlineStr">
        <is>
          <t>NO</t>
        </is>
      </c>
      <c r="K655" t="inlineStr">
        <is>
          <t>2026-02-23 23:48</t>
        </is>
      </c>
      <c r="L655" t="inlineStr">
        <is>
          <t>CHECK_VENDOR</t>
        </is>
      </c>
      <c r="M655" t="inlineStr">
        <is>
          <t>gfi mailessentials *</t>
        </is>
      </c>
      <c r="N655" t="inlineStr">
        <is>
          <t>P4</t>
        </is>
      </c>
      <c r="O655" t="inlineStr">
        <is>
          <t>CVE - IP enrichment n/a</t>
        </is>
      </c>
      <c r="P655" t="n">
        <v>0.0003</v>
      </c>
      <c r="Q655" t="n">
        <v>0.0949</v>
      </c>
      <c r="R655" t="inlineStr">
        <is>
          <t>T1189:Drive-by Compromise</t>
        </is>
      </c>
      <c r="S655" t="n">
        <v>1</v>
      </c>
      <c r="T655" t="inlineStr">
        <is>
          <t>LOW (40%)</t>
        </is>
      </c>
      <c r="U655" t="inlineStr">
        <is>
          <t>UNLIKELY</t>
        </is>
      </c>
      <c r="V655" t="inlineStr">
        <is>
          <t>CHECK_VENDOR</t>
        </is>
      </c>
      <c r="W655" t="inlineStr">
        <is>
          <t>https://nvd.nist.gov/vuln/detail/CVE-2026-23612</t>
        </is>
      </c>
      <c r="X655" t="inlineStr">
        <is>
          <t>NONE</t>
        </is>
      </c>
      <c r="Y655" t="n">
        <v>0</v>
      </c>
      <c r="Z655" t="inlineStr"/>
      <c r="AA655" t="inlineStr">
        <is>
          <t>https://nvd.nist.gov/vuln/detail/CVE-2026-23612</t>
        </is>
      </c>
    </row>
    <row r="656">
      <c r="A656" t="inlineStr">
        <is>
          <t>CVE</t>
        </is>
      </c>
      <c r="B656" t="inlineStr">
        <is>
          <t>CVE-2026-23613</t>
        </is>
      </c>
      <c r="C656" t="inlineStr">
        <is>
          <t>GFI MailEssentials AI versions prior to 22.4 contain a stored cross-site scripting vulnerability in the URI DNS Blocklist configuration page. An authenticated user can supply HTML/JavaScript in the ctl00$ContentPlaceHolder1$pv1$TXB_URIs parameter to /MailEssentials/pages/MailSecurity/uridnsblocklist.aspx, which is stored and later rendered in the management interface, allowing script execution in the context of a logged-in user.</t>
        </is>
      </c>
      <c r="D656" t="n">
        <v>5.4</v>
      </c>
      <c r="E656" t="inlineStr">
        <is>
          <t>MEDIUM</t>
        </is>
      </c>
      <c r="F656" t="n">
        <v>2</v>
      </c>
      <c r="G656" t="n">
        <v>2</v>
      </c>
      <c r="H656" t="inlineStr">
        <is>
          <t>MEDIUM</t>
        </is>
      </c>
      <c r="I656" t="n">
        <v>9.4</v>
      </c>
      <c r="J656" t="inlineStr">
        <is>
          <t>NO</t>
        </is>
      </c>
      <c r="K656" t="inlineStr">
        <is>
          <t>2026-02-23 23:48</t>
        </is>
      </c>
      <c r="L656" t="inlineStr">
        <is>
          <t>CHECK_VENDOR</t>
        </is>
      </c>
      <c r="M656" t="inlineStr">
        <is>
          <t>gfi mailessentials *</t>
        </is>
      </c>
      <c r="N656" t="inlineStr">
        <is>
          <t>P4</t>
        </is>
      </c>
      <c r="O656" t="inlineStr">
        <is>
          <t>CVE - IP enrichment n/a</t>
        </is>
      </c>
      <c r="P656" t="n">
        <v>0.0003</v>
      </c>
      <c r="Q656" t="n">
        <v>0.0949</v>
      </c>
      <c r="R656" t="inlineStr">
        <is>
          <t>T1189:Drive-by Compromise</t>
        </is>
      </c>
      <c r="S656" t="n">
        <v>1</v>
      </c>
      <c r="T656" t="inlineStr">
        <is>
          <t>LOW (40%)</t>
        </is>
      </c>
      <c r="U656" t="inlineStr">
        <is>
          <t>UNLIKELY</t>
        </is>
      </c>
      <c r="V656" t="inlineStr">
        <is>
          <t>CHECK_VENDOR</t>
        </is>
      </c>
      <c r="W656" t="inlineStr">
        <is>
          <t>https://nvd.nist.gov/vuln/detail/CVE-2026-23613</t>
        </is>
      </c>
      <c r="X656" t="inlineStr">
        <is>
          <t>NONE</t>
        </is>
      </c>
      <c r="Y656" t="n">
        <v>0</v>
      </c>
      <c r="Z656" t="inlineStr"/>
      <c r="AA656" t="inlineStr">
        <is>
          <t>https://nvd.nist.gov/vuln/detail/CVE-2026-23613</t>
        </is>
      </c>
    </row>
    <row r="657">
      <c r="A657" t="inlineStr">
        <is>
          <t>CVE</t>
        </is>
      </c>
      <c r="B657" t="inlineStr">
        <is>
          <t>CVE-2026-23614</t>
        </is>
      </c>
      <c r="C657" t="inlineStr">
        <is>
          <t>GFI MailEssentials AI versions prior to 22.4 contain a stored cross-site scripting vulnerability in the Sender Policy Framework IP Exceptions interface. An authenticated user can supply HTML/JavaScript in the ctl00$ContentPlaceHolder1$pv2$txtIPDescription parameter to /MailEssentials/pages/MailSecurity/SenderPolicyFramework.aspx, which is stored and later rendered in the management interface, allowing script execution in the context of a logged-in user.</t>
        </is>
      </c>
      <c r="D657" t="n">
        <v>5.4</v>
      </c>
      <c r="E657" t="inlineStr">
        <is>
          <t>MEDIUM</t>
        </is>
      </c>
      <c r="F657" t="n">
        <v>2</v>
      </c>
      <c r="G657" t="n">
        <v>2</v>
      </c>
      <c r="H657" t="inlineStr">
        <is>
          <t>MEDIUM</t>
        </is>
      </c>
      <c r="I657" t="n">
        <v>9.4</v>
      </c>
      <c r="J657" t="inlineStr">
        <is>
          <t>NO</t>
        </is>
      </c>
      <c r="K657" t="inlineStr">
        <is>
          <t>2026-02-23 23:48</t>
        </is>
      </c>
      <c r="L657" t="inlineStr">
        <is>
          <t>CHECK_VENDOR</t>
        </is>
      </c>
      <c r="M657" t="inlineStr">
        <is>
          <t>gfi mailessentials *</t>
        </is>
      </c>
      <c r="N657" t="inlineStr">
        <is>
          <t>P4</t>
        </is>
      </c>
      <c r="O657" t="inlineStr">
        <is>
          <t>CVE - IP enrichment n/a</t>
        </is>
      </c>
      <c r="P657" t="n">
        <v>0</v>
      </c>
      <c r="Q657" t="n">
        <v>0</v>
      </c>
      <c r="R657" t="inlineStr">
        <is>
          <t>T1189:Drive-by Compromise</t>
        </is>
      </c>
      <c r="S657" t="n">
        <v>1</v>
      </c>
      <c r="T657" t="inlineStr">
        <is>
          <t>LOW (40%)</t>
        </is>
      </c>
      <c r="U657" t="inlineStr">
        <is>
          <t>UNLIKELY</t>
        </is>
      </c>
      <c r="V657" t="inlineStr">
        <is>
          <t>CHECK_VENDOR</t>
        </is>
      </c>
      <c r="W657" t="inlineStr">
        <is>
          <t>https://nvd.nist.gov/vuln/detail/CVE-2026-23614</t>
        </is>
      </c>
      <c r="X657" t="inlineStr">
        <is>
          <t>NONE</t>
        </is>
      </c>
      <c r="Y657" t="n">
        <v>0</v>
      </c>
      <c r="Z657" t="inlineStr"/>
      <c r="AA657" t="inlineStr">
        <is>
          <t>https://nvd.nist.gov/vuln/detail/CVE-2026-23614</t>
        </is>
      </c>
    </row>
    <row r="658">
      <c r="A658" t="inlineStr">
        <is>
          <t>CVE</t>
        </is>
      </c>
      <c r="B658" t="inlineStr">
        <is>
          <t>CVE-2026-23615</t>
        </is>
      </c>
      <c r="C658" t="inlineStr">
        <is>
          <t>GFI MailEssentials AI versions prior to 22.4 contain a stored cross-site scripting vulnerability in the Sender Policy Framework Email Exceptions interface. An authenticated user can supply HTML/JavaScript in the ctl00$ContentPlaceHolder1$pv4$txtEmailDescription parameter to /MailEssentials/pages/MailSecurity/SenderPolicyFramework.aspx, which is stored and later rendered in the management interface, allowing script execution in the context of a logged-in user.</t>
        </is>
      </c>
      <c r="D658" t="n">
        <v>5.4</v>
      </c>
      <c r="E658" t="inlineStr">
        <is>
          <t>MEDIUM</t>
        </is>
      </c>
      <c r="F658" t="n">
        <v>2</v>
      </c>
      <c r="G658" t="n">
        <v>2</v>
      </c>
      <c r="H658" t="inlineStr">
        <is>
          <t>MEDIUM</t>
        </is>
      </c>
      <c r="I658" t="n">
        <v>9.4</v>
      </c>
      <c r="J658" t="inlineStr">
        <is>
          <t>NO</t>
        </is>
      </c>
      <c r="K658" t="inlineStr">
        <is>
          <t>2026-02-23 23:48</t>
        </is>
      </c>
      <c r="L658" t="inlineStr">
        <is>
          <t>CHECK_VENDOR</t>
        </is>
      </c>
      <c r="M658" t="inlineStr">
        <is>
          <t>gfi mailessentials *</t>
        </is>
      </c>
      <c r="N658" t="inlineStr">
        <is>
          <t>P4</t>
        </is>
      </c>
      <c r="O658" t="inlineStr">
        <is>
          <t>CVE - IP enrichment n/a</t>
        </is>
      </c>
      <c r="P658" t="n">
        <v>0</v>
      </c>
      <c r="Q658" t="n">
        <v>0</v>
      </c>
      <c r="R658" t="inlineStr">
        <is>
          <t>T1189:Drive-by Compromise</t>
        </is>
      </c>
      <c r="S658" t="n">
        <v>1</v>
      </c>
      <c r="T658" t="inlineStr">
        <is>
          <t>LOW (40%)</t>
        </is>
      </c>
      <c r="U658" t="inlineStr">
        <is>
          <t>UNLIKELY</t>
        </is>
      </c>
      <c r="V658" t="inlineStr">
        <is>
          <t>CHECK_VENDOR</t>
        </is>
      </c>
      <c r="W658" t="inlineStr">
        <is>
          <t>https://nvd.nist.gov/vuln/detail/CVE-2026-23615</t>
        </is>
      </c>
      <c r="X658" t="inlineStr">
        <is>
          <t>NONE</t>
        </is>
      </c>
      <c r="Y658" t="n">
        <v>0</v>
      </c>
      <c r="Z658" t="inlineStr"/>
      <c r="AA658" t="inlineStr">
        <is>
          <t>https://nvd.nist.gov/vuln/detail/CVE-2026-23615</t>
        </is>
      </c>
    </row>
    <row r="659">
      <c r="A659" t="inlineStr">
        <is>
          <t>CVE</t>
        </is>
      </c>
      <c r="B659" t="inlineStr">
        <is>
          <t>CVE-2026-23616</t>
        </is>
      </c>
      <c r="C659" t="inlineStr">
        <is>
          <t>GFI MailEssentials AI versions prior to 22.4 contain a stored cross-site scripting vulnerability in the Anti-Spoofing configuration page. An authenticated user can supply HTML/JavaScript in the ctl00$ContentPlaceHolder1$AntiSpoofingGeneral1$TxtSmtpDesc parameter to /MailEssentials/pages/MailSecurity/AntiSpoofing.aspx, which is stored and later rendered in the management interface, allowing script execution in the context of a logged-in user.</t>
        </is>
      </c>
      <c r="D659" t="n">
        <v>5.4</v>
      </c>
      <c r="E659" t="inlineStr">
        <is>
          <t>MEDIUM</t>
        </is>
      </c>
      <c r="F659" t="n">
        <v>2</v>
      </c>
      <c r="G659" t="n">
        <v>2</v>
      </c>
      <c r="H659" t="inlineStr">
        <is>
          <t>MEDIUM</t>
        </is>
      </c>
      <c r="I659" t="n">
        <v>9.4</v>
      </c>
      <c r="J659" t="inlineStr">
        <is>
          <t>NO</t>
        </is>
      </c>
      <c r="K659" t="inlineStr">
        <is>
          <t>2026-02-23 23:48</t>
        </is>
      </c>
      <c r="L659" t="inlineStr">
        <is>
          <t>CHECK_VENDOR</t>
        </is>
      </c>
      <c r="M659" t="inlineStr">
        <is>
          <t>gfi mailessentials *</t>
        </is>
      </c>
      <c r="N659" t="inlineStr">
        <is>
          <t>P4</t>
        </is>
      </c>
      <c r="O659" t="inlineStr">
        <is>
          <t>CVE - IP enrichment n/a</t>
        </is>
      </c>
      <c r="P659" t="n">
        <v>0</v>
      </c>
      <c r="Q659" t="n">
        <v>0</v>
      </c>
      <c r="R659" t="inlineStr">
        <is>
          <t>T1189:Drive-by Compromise</t>
        </is>
      </c>
      <c r="S659" t="n">
        <v>1</v>
      </c>
      <c r="T659" t="inlineStr">
        <is>
          <t>LOW (40%)</t>
        </is>
      </c>
      <c r="U659" t="inlineStr">
        <is>
          <t>UNLIKELY</t>
        </is>
      </c>
      <c r="V659" t="inlineStr">
        <is>
          <t>CHECK_VENDOR</t>
        </is>
      </c>
      <c r="W659" t="inlineStr">
        <is>
          <t>https://nvd.nist.gov/vuln/detail/CVE-2026-23616</t>
        </is>
      </c>
      <c r="X659" t="inlineStr">
        <is>
          <t>NONE</t>
        </is>
      </c>
      <c r="Y659" t="n">
        <v>0</v>
      </c>
      <c r="Z659" t="inlineStr"/>
      <c r="AA659" t="inlineStr">
        <is>
          <t>https://nvd.nist.gov/vuln/detail/CVE-2026-23616</t>
        </is>
      </c>
    </row>
    <row r="660">
      <c r="A660" t="inlineStr">
        <is>
          <t>CVE</t>
        </is>
      </c>
      <c r="B660" t="inlineStr">
        <is>
          <t>CVE-2026-23617</t>
        </is>
      </c>
      <c r="C660" t="inlineStr">
        <is>
          <t>GFI MailEssentials AI versions prior to 22.4 contain a stored cross-site scripting vulnerability in the Spam Keyword Checking (Body) conditions interface. An authenticated user can supply HTML/JavaScript in the ctl00$ContentPlaceHolder1$pvGeneral$TXB_Condition parameter to /MailEssentials/pages/MailSecurity/ASKeywordChecking.aspx, which is stored and later rendered in the management interface, allowing script execution in the context of a logged-in user.</t>
        </is>
      </c>
      <c r="D660" t="n">
        <v>5.4</v>
      </c>
      <c r="E660" t="inlineStr">
        <is>
          <t>MEDIUM</t>
        </is>
      </c>
      <c r="F660" t="n">
        <v>2</v>
      </c>
      <c r="G660" t="n">
        <v>2</v>
      </c>
      <c r="H660" t="inlineStr">
        <is>
          <t>MEDIUM</t>
        </is>
      </c>
      <c r="I660" t="n">
        <v>9.4</v>
      </c>
      <c r="J660" t="inlineStr">
        <is>
          <t>NO</t>
        </is>
      </c>
      <c r="K660" t="inlineStr">
        <is>
          <t>2026-02-23 23:48</t>
        </is>
      </c>
      <c r="L660" t="inlineStr">
        <is>
          <t>CHECK_VENDOR</t>
        </is>
      </c>
      <c r="M660" t="inlineStr">
        <is>
          <t>gfi mailessentials *</t>
        </is>
      </c>
      <c r="N660" t="inlineStr">
        <is>
          <t>P4</t>
        </is>
      </c>
      <c r="O660" t="inlineStr">
        <is>
          <t>CVE - IP enrichment n/a</t>
        </is>
      </c>
      <c r="P660" t="n">
        <v>0</v>
      </c>
      <c r="Q660" t="n">
        <v>0</v>
      </c>
      <c r="R660" t="inlineStr">
        <is>
          <t>T1189:Drive-by Compromise</t>
        </is>
      </c>
      <c r="S660" t="n">
        <v>1</v>
      </c>
      <c r="T660" t="inlineStr">
        <is>
          <t>LOW (40%)</t>
        </is>
      </c>
      <c r="U660" t="inlineStr">
        <is>
          <t>UNLIKELY</t>
        </is>
      </c>
      <c r="V660" t="inlineStr">
        <is>
          <t>CHECK_VENDOR</t>
        </is>
      </c>
      <c r="W660" t="inlineStr">
        <is>
          <t>https://nvd.nist.gov/vuln/detail/CVE-2026-23617</t>
        </is>
      </c>
      <c r="X660" t="inlineStr">
        <is>
          <t>NONE</t>
        </is>
      </c>
      <c r="Y660" t="n">
        <v>0</v>
      </c>
      <c r="Z660" t="inlineStr"/>
      <c r="AA660" t="inlineStr">
        <is>
          <t>https://nvd.nist.gov/vuln/detail/CVE-2026-23617</t>
        </is>
      </c>
    </row>
    <row r="661">
      <c r="A661" t="inlineStr">
        <is>
          <t>CVE</t>
        </is>
      </c>
      <c r="B661" t="inlineStr">
        <is>
          <t>CVE-2026-23618</t>
        </is>
      </c>
      <c r="C661" t="inlineStr">
        <is>
          <t>GFI MailEssentials AI versions prior to 22.4 contain a stored cross-site scripting vulnerability in the Spam Keyword Checking (Subject) conditions interface. An authenticated user can supply HTML/JavaScript in the ctl00$ContentPlaceHolder1$pvSubject$TXB_SubjectCondition parameter to /MailEssentials/pages/MailSecurity/ASKeywordChecking.aspx, which is stored and later rendered in the management interface, allowing script execution in the context of a logged-in user.</t>
        </is>
      </c>
      <c r="D661" t="n">
        <v>5.4</v>
      </c>
      <c r="E661" t="inlineStr">
        <is>
          <t>MEDIUM</t>
        </is>
      </c>
      <c r="F661" t="n">
        <v>2</v>
      </c>
      <c r="G661" t="n">
        <v>2</v>
      </c>
      <c r="H661" t="inlineStr">
        <is>
          <t>MEDIUM</t>
        </is>
      </c>
      <c r="I661" t="n">
        <v>9.4</v>
      </c>
      <c r="J661" t="inlineStr">
        <is>
          <t>NO</t>
        </is>
      </c>
      <c r="K661" t="inlineStr">
        <is>
          <t>2026-02-23 23:48</t>
        </is>
      </c>
      <c r="L661" t="inlineStr">
        <is>
          <t>CHECK_VENDOR</t>
        </is>
      </c>
      <c r="M661" t="inlineStr">
        <is>
          <t>gfi mailessentials *</t>
        </is>
      </c>
      <c r="N661" t="inlineStr">
        <is>
          <t>P4</t>
        </is>
      </c>
      <c r="O661" t="inlineStr">
        <is>
          <t>CVE - IP enrichment n/a</t>
        </is>
      </c>
      <c r="P661" t="n">
        <v>0</v>
      </c>
      <c r="Q661" t="n">
        <v>0</v>
      </c>
      <c r="R661" t="inlineStr">
        <is>
          <t>T1189:Drive-by Compromise</t>
        </is>
      </c>
      <c r="S661" t="n">
        <v>1</v>
      </c>
      <c r="T661" t="inlineStr">
        <is>
          <t>LOW (40%)</t>
        </is>
      </c>
      <c r="U661" t="inlineStr">
        <is>
          <t>UNLIKELY</t>
        </is>
      </c>
      <c r="V661" t="inlineStr">
        <is>
          <t>CHECK_VENDOR</t>
        </is>
      </c>
      <c r="W661" t="inlineStr">
        <is>
          <t>https://nvd.nist.gov/vuln/detail/CVE-2026-23618</t>
        </is>
      </c>
      <c r="X661" t="inlineStr">
        <is>
          <t>NONE</t>
        </is>
      </c>
      <c r="Y661" t="n">
        <v>0</v>
      </c>
      <c r="Z661" t="inlineStr"/>
      <c r="AA661" t="inlineStr">
        <is>
          <t>https://nvd.nist.gov/vuln/detail/CVE-2026-23618</t>
        </is>
      </c>
    </row>
    <row r="662">
      <c r="A662" t="inlineStr">
        <is>
          <t>CVE</t>
        </is>
      </c>
      <c r="B662" t="inlineStr">
        <is>
          <t>CVE-2026-23619</t>
        </is>
      </c>
      <c r="C662" t="inlineStr">
        <is>
          <t>GFI MailEssentials AI versions prior to 22.4 contain a stored cross-site scripting vulnerability in the Local Domains settings page. An authenticated user can supply HTML/JavaScript in the ctl00$ContentPlaceHolder1$Pv3$txtDescription parameter to /MailEssentials/pages/MailSecurity/general.aspx, which is stored and later rendered in the management interface, allowing script execution in the context of a logged-in user.</t>
        </is>
      </c>
      <c r="D662" t="n">
        <v>5.4</v>
      </c>
      <c r="E662" t="inlineStr">
        <is>
          <t>MEDIUM</t>
        </is>
      </c>
      <c r="F662" t="n">
        <v>2</v>
      </c>
      <c r="G662" t="n">
        <v>2</v>
      </c>
      <c r="H662" t="inlineStr">
        <is>
          <t>MEDIUM</t>
        </is>
      </c>
      <c r="I662" t="n">
        <v>9.4</v>
      </c>
      <c r="J662" t="inlineStr">
        <is>
          <t>NO</t>
        </is>
      </c>
      <c r="K662" t="inlineStr">
        <is>
          <t>2026-02-23 23:48</t>
        </is>
      </c>
      <c r="L662" t="inlineStr">
        <is>
          <t>CHECK_VENDOR</t>
        </is>
      </c>
      <c r="M662" t="inlineStr">
        <is>
          <t>gfi mailessentials *</t>
        </is>
      </c>
      <c r="N662" t="inlineStr">
        <is>
          <t>P4</t>
        </is>
      </c>
      <c r="O662" t="inlineStr">
        <is>
          <t>CVE - IP enrichment n/a</t>
        </is>
      </c>
      <c r="P662" t="n">
        <v>0</v>
      </c>
      <c r="Q662" t="n">
        <v>0</v>
      </c>
      <c r="R662" t="inlineStr">
        <is>
          <t>T1189:Drive-by Compromise</t>
        </is>
      </c>
      <c r="S662" t="n">
        <v>1</v>
      </c>
      <c r="T662" t="inlineStr">
        <is>
          <t>LOW (40%)</t>
        </is>
      </c>
      <c r="U662" t="inlineStr">
        <is>
          <t>UNLIKELY</t>
        </is>
      </c>
      <c r="V662" t="inlineStr">
        <is>
          <t>CHECK_VENDOR</t>
        </is>
      </c>
      <c r="W662" t="inlineStr">
        <is>
          <t>https://nvd.nist.gov/vuln/detail/CVE-2026-23619</t>
        </is>
      </c>
      <c r="X662" t="inlineStr">
        <is>
          <t>NONE</t>
        </is>
      </c>
      <c r="Y662" t="n">
        <v>0</v>
      </c>
      <c r="Z662" t="inlineStr"/>
      <c r="AA662" t="inlineStr">
        <is>
          <t>https://nvd.nist.gov/vuln/detail/CVE-2026-23619</t>
        </is>
      </c>
    </row>
    <row r="663">
      <c r="A663" t="inlineStr">
        <is>
          <t>CVE</t>
        </is>
      </c>
      <c r="B663" t="inlineStr">
        <is>
          <t>CVE-2026-23620</t>
        </is>
      </c>
      <c r="C663" t="inlineStr">
        <is>
          <t>GFI MailEssentials AI versions prior to 22.4 contain an arbitrary file existence enumeration vulnerability in the ListServer.IsDBExist() web method exposed at /MailEssentials/pages/MailSecurity/ListServer.aspx/IsDBExist. An authenticated user can supply an unrestricted filesystem path via the JSON key \"path\", which is URL-decoded and passed to File.Exists(), allowing the attacker to determine whether arbitrary files exist on the server.</t>
        </is>
      </c>
      <c r="D663" t="n">
        <v>4.3</v>
      </c>
      <c r="E663" t="inlineStr">
        <is>
          <t>MEDIUM</t>
        </is>
      </c>
      <c r="F663" t="n">
        <v>2</v>
      </c>
      <c r="G663" t="n">
        <v>2</v>
      </c>
      <c r="H663" t="inlineStr">
        <is>
          <t>MEDIUM</t>
        </is>
      </c>
      <c r="I663" t="n">
        <v>8.300000000000001</v>
      </c>
      <c r="J663" t="inlineStr">
        <is>
          <t>NO</t>
        </is>
      </c>
      <c r="K663" t="inlineStr">
        <is>
          <t>2026-02-23 23:48</t>
        </is>
      </c>
      <c r="L663" t="inlineStr">
        <is>
          <t>CHECK_VENDOR</t>
        </is>
      </c>
      <c r="M663" t="inlineStr">
        <is>
          <t>gfi mailessentials *</t>
        </is>
      </c>
      <c r="N663" t="inlineStr">
        <is>
          <t>P4</t>
        </is>
      </c>
      <c r="O663" t="inlineStr">
        <is>
          <t>CVE - IP enrichment n/a</t>
        </is>
      </c>
      <c r="P663" t="n">
        <v>0</v>
      </c>
      <c r="Q663" t="n">
        <v>0</v>
      </c>
      <c r="R663" t="inlineStr">
        <is>
          <t>T1190:Exploit Public-Facing Application</t>
        </is>
      </c>
      <c r="S663" t="n">
        <v>1</v>
      </c>
      <c r="T663" t="inlineStr">
        <is>
          <t>LOW (40%)</t>
        </is>
      </c>
      <c r="U663" t="inlineStr">
        <is>
          <t>UNLIKELY</t>
        </is>
      </c>
      <c r="V663" t="inlineStr">
        <is>
          <t>CHECK_VENDOR</t>
        </is>
      </c>
      <c r="W663" t="inlineStr">
        <is>
          <t>https://nvd.nist.gov/vuln/detail/CVE-2026-23620</t>
        </is>
      </c>
      <c r="X663" t="inlineStr">
        <is>
          <t>NONE</t>
        </is>
      </c>
      <c r="Y663" t="n">
        <v>0</v>
      </c>
      <c r="Z663" t="inlineStr"/>
      <c r="AA663" t="inlineStr">
        <is>
          <t>https://nvd.nist.gov/vuln/detail/CVE-2026-23620</t>
        </is>
      </c>
    </row>
    <row r="664">
      <c r="A664" t="inlineStr">
        <is>
          <t>CVE</t>
        </is>
      </c>
      <c r="B664" t="inlineStr">
        <is>
          <t>CVE-2026-26337</t>
        </is>
      </c>
      <c r="C664" t="inlineStr">
        <is>
          <t>Hyland Alfresco Transformation Service allows unauthenticated attackers to achieve both arbitrary file read and server-side request forgery through the absolute path traversal.</t>
        </is>
      </c>
      <c r="D664" t="n">
        <v>8.199999999999999</v>
      </c>
      <c r="E664" t="inlineStr">
        <is>
          <t>HIGH</t>
        </is>
      </c>
      <c r="F664" t="n">
        <v>2</v>
      </c>
      <c r="G664" t="n">
        <v>3</v>
      </c>
      <c r="H664" t="inlineStr">
        <is>
          <t>HIGH</t>
        </is>
      </c>
      <c r="I664" t="n">
        <v>14.2</v>
      </c>
      <c r="J664" t="inlineStr">
        <is>
          <t>NO</t>
        </is>
      </c>
      <c r="K664" t="inlineStr">
        <is>
          <t>2026-02-23 23:48</t>
        </is>
      </c>
      <c r="L664" t="inlineStr">
        <is>
          <t>CHECK_VENDOR</t>
        </is>
      </c>
      <c r="M664" t="inlineStr">
        <is>
          <t>See CVE details</t>
        </is>
      </c>
      <c r="N664" t="inlineStr">
        <is>
          <t>P3</t>
        </is>
      </c>
      <c r="O664" t="inlineStr">
        <is>
          <t>CVE - IP enrichment n/a</t>
        </is>
      </c>
      <c r="P664" t="n">
        <v>0</v>
      </c>
      <c r="Q664" t="n">
        <v>0</v>
      </c>
      <c r="R664" t="inlineStr">
        <is>
          <t>T1083:File and Directory Discovery</t>
        </is>
      </c>
      <c r="S664" t="n">
        <v>1</v>
      </c>
      <c r="T664" t="inlineStr">
        <is>
          <t>LOW (40%)</t>
        </is>
      </c>
      <c r="U664" t="inlineStr">
        <is>
          <t>UNLIKELY</t>
        </is>
      </c>
      <c r="V664" t="inlineStr">
        <is>
          <t>CHECK_VENDOR</t>
        </is>
      </c>
      <c r="W664" t="inlineStr">
        <is>
          <t>https://nvd.nist.gov/vuln/detail/CVE-2026-26337</t>
        </is>
      </c>
      <c r="X664" t="inlineStr">
        <is>
          <t>NONE</t>
        </is>
      </c>
      <c r="Y664" t="n">
        <v>0</v>
      </c>
      <c r="Z664" t="inlineStr"/>
      <c r="AA664" t="inlineStr">
        <is>
          <t>https://nvd.nist.gov/vuln/detail/CVE-2026-26337</t>
        </is>
      </c>
    </row>
    <row r="665">
      <c r="A665" t="inlineStr">
        <is>
          <t>CVE</t>
        </is>
      </c>
      <c r="B665" t="inlineStr">
        <is>
          <t>CVE-2026-26338</t>
        </is>
      </c>
      <c r="C665" t="inlineStr">
        <is>
          <t>Hyland Alfresco Transformation Service allows unauthenticated attackers to achieve server-side request forgery (SSRF) through the document processing functionality.</t>
        </is>
      </c>
      <c r="D665" t="n">
        <v>6.5</v>
      </c>
      <c r="E665" t="inlineStr">
        <is>
          <t>MEDIUM</t>
        </is>
      </c>
      <c r="F665" t="n">
        <v>2</v>
      </c>
      <c r="G665" t="n">
        <v>2</v>
      </c>
      <c r="H665" t="inlineStr">
        <is>
          <t>MEDIUM</t>
        </is>
      </c>
      <c r="I665" t="n">
        <v>10.5</v>
      </c>
      <c r="J665" t="inlineStr">
        <is>
          <t>NO</t>
        </is>
      </c>
      <c r="K665" t="inlineStr">
        <is>
          <t>2026-02-23 23:48</t>
        </is>
      </c>
      <c r="L665" t="inlineStr">
        <is>
          <t>CHECK_VENDOR</t>
        </is>
      </c>
      <c r="M665" t="inlineStr">
        <is>
          <t>See CVE details</t>
        </is>
      </c>
      <c r="N665" t="inlineStr">
        <is>
          <t>P4</t>
        </is>
      </c>
      <c r="O665" t="inlineStr">
        <is>
          <t>CVE - IP enrichment n/a</t>
        </is>
      </c>
      <c r="P665" t="n">
        <v>0</v>
      </c>
      <c r="Q665" t="n">
        <v>0</v>
      </c>
      <c r="R665" t="inlineStr">
        <is>
          <t>T1090:Proxy</t>
        </is>
      </c>
      <c r="S665" t="n">
        <v>1</v>
      </c>
      <c r="T665" t="inlineStr">
        <is>
          <t>LOW (40%)</t>
        </is>
      </c>
      <c r="U665" t="inlineStr">
        <is>
          <t>UNLIKELY</t>
        </is>
      </c>
      <c r="V665" t="inlineStr">
        <is>
          <t>CHECK_VENDOR</t>
        </is>
      </c>
      <c r="W665" t="inlineStr">
        <is>
          <t>https://nvd.nist.gov/vuln/detail/CVE-2026-26338</t>
        </is>
      </c>
      <c r="X665" t="inlineStr">
        <is>
          <t>NONE</t>
        </is>
      </c>
      <c r="Y665" t="n">
        <v>0</v>
      </c>
      <c r="Z665" t="inlineStr"/>
      <c r="AA665" t="inlineStr">
        <is>
          <t>https://nvd.nist.gov/vuln/detail/CVE-2026-26338</t>
        </is>
      </c>
    </row>
    <row r="666">
      <c r="A666" t="inlineStr">
        <is>
          <t>CVE</t>
        </is>
      </c>
      <c r="B666" t="inlineStr">
        <is>
          <t>CVE-2026-26339</t>
        </is>
      </c>
      <c r="C666" t="inlineStr">
        <is>
          <t>Hyland Alfresco Transformation Service allows unauthenticated attackers to achieve remote code execution through the argument injection vulnerability, which exists in the document processing functionality.</t>
        </is>
      </c>
      <c r="D666" t="n">
        <v>9.800000000000001</v>
      </c>
      <c r="E666" t="inlineStr">
        <is>
          <t>CRITICAL</t>
        </is>
      </c>
      <c r="F666" t="n">
        <v>2</v>
      </c>
      <c r="G666" t="n">
        <v>3</v>
      </c>
      <c r="H666" t="inlineStr">
        <is>
          <t>HIGH</t>
        </is>
      </c>
      <c r="I666" t="n">
        <v>15.8</v>
      </c>
      <c r="J666" t="inlineStr">
        <is>
          <t>NO</t>
        </is>
      </c>
      <c r="K666" t="inlineStr">
        <is>
          <t>2026-02-23 23:48</t>
        </is>
      </c>
      <c r="L666" t="inlineStr">
        <is>
          <t>CHECK_VENDOR</t>
        </is>
      </c>
      <c r="M666" t="inlineStr">
        <is>
          <t>See CVE details</t>
        </is>
      </c>
      <c r="N666" t="inlineStr">
        <is>
          <t>P3</t>
        </is>
      </c>
      <c r="O666" t="inlineStr">
        <is>
          <t>CVE - IP enrichment n/a</t>
        </is>
      </c>
      <c r="P666" t="n">
        <v>0.0016</v>
      </c>
      <c r="Q666" t="n">
        <v>0.375</v>
      </c>
      <c r="R666" t="inlineStr">
        <is>
          <t>T1090:Proxy | T1190:Exploit Public-Facing Application | T1210:Exploitation of Remote Services</t>
        </is>
      </c>
      <c r="S666" t="n">
        <v>1</v>
      </c>
      <c r="T666" t="inlineStr">
        <is>
          <t>LOW (40%)</t>
        </is>
      </c>
      <c r="U666" t="inlineStr">
        <is>
          <t>UNLIKELY</t>
        </is>
      </c>
      <c r="V666" t="inlineStr">
        <is>
          <t>CHECK_VENDOR</t>
        </is>
      </c>
      <c r="W666" t="inlineStr">
        <is>
          <t>https://nvd.nist.gov/vuln/detail/CVE-2026-26339</t>
        </is>
      </c>
      <c r="X666" t="inlineStr">
        <is>
          <t>NONE</t>
        </is>
      </c>
      <c r="Y666" t="n">
        <v>0</v>
      </c>
      <c r="Z666" t="inlineStr"/>
      <c r="AA666" t="inlineStr">
        <is>
          <t>https://nvd.nist.gov/vuln/detail/CVE-2026-26339</t>
        </is>
      </c>
    </row>
    <row r="667">
      <c r="A667" t="inlineStr">
        <is>
          <t>CVE</t>
        </is>
      </c>
      <c r="B667" t="inlineStr">
        <is>
          <t>CVE-2026-2243</t>
        </is>
      </c>
      <c r="C667" t="inlineStr">
        <is>
          <t>A flaw was found in QEMU. A specially crafted VMDK image could trigger an out-of-bounds read vulnerability, potentially leading to a 12-byte leak of sensitive information or a denial of service condition (DoS).</t>
        </is>
      </c>
      <c r="D667" t="n">
        <v>5.1</v>
      </c>
      <c r="E667" t="inlineStr">
        <is>
          <t>MEDIUM</t>
        </is>
      </c>
      <c r="F667" t="n">
        <v>2</v>
      </c>
      <c r="G667" t="n">
        <v>2</v>
      </c>
      <c r="H667" t="inlineStr">
        <is>
          <t>MEDIUM</t>
        </is>
      </c>
      <c r="I667" t="n">
        <v>9.1</v>
      </c>
      <c r="J667" t="inlineStr">
        <is>
          <t>NO</t>
        </is>
      </c>
      <c r="K667" t="inlineStr">
        <is>
          <t>2026-02-23 23:48</t>
        </is>
      </c>
      <c r="L667" t="inlineStr">
        <is>
          <t>CHECK_VENDOR</t>
        </is>
      </c>
      <c r="M667" t="inlineStr">
        <is>
          <t>See CVE details</t>
        </is>
      </c>
      <c r="N667" t="inlineStr">
        <is>
          <t>P4</t>
        </is>
      </c>
      <c r="O667" t="inlineStr">
        <is>
          <t>CVE - IP enrichment n/a</t>
        </is>
      </c>
      <c r="P667" t="n">
        <v>0</v>
      </c>
      <c r="Q667" t="n">
        <v>0</v>
      </c>
      <c r="R667" t="inlineStr">
        <is>
          <t>T1203:Exploitation for Client Execution | T1499:Endpoint Denial of Service</t>
        </is>
      </c>
      <c r="S667" t="n">
        <v>1</v>
      </c>
      <c r="T667" t="inlineStr">
        <is>
          <t>LOW (40%)</t>
        </is>
      </c>
      <c r="U667" t="inlineStr">
        <is>
          <t>UNLIKELY</t>
        </is>
      </c>
      <c r="V667" t="inlineStr">
        <is>
          <t>CHECK_VENDOR</t>
        </is>
      </c>
      <c r="W667" t="inlineStr">
        <is>
          <t>https://nvd.nist.gov/vuln/detail/CVE-2026-2243</t>
        </is>
      </c>
      <c r="X667" t="inlineStr">
        <is>
          <t>NONE</t>
        </is>
      </c>
      <c r="Y667" t="n">
        <v>0</v>
      </c>
      <c r="Z667" t="inlineStr"/>
      <c r="AA667" t="inlineStr">
        <is>
          <t>https://nvd.nist.gov/vuln/detail/CVE-2026-2243</t>
        </is>
      </c>
    </row>
    <row r="668">
      <c r="A668" t="inlineStr">
        <is>
          <t>CVE</t>
        </is>
      </c>
      <c r="B668" t="inlineStr">
        <is>
          <t>CVE-2026-2409</t>
        </is>
      </c>
      <c r="C668" t="inlineStr">
        <is>
          <t>Improper Neutralization of Special Elements used in an SQL Command ('SQL Injection') vulnerability in Delinea Cloud Suite allows Argument Injection.This issue affects Cloud Suite: before 25.2 HF1.</t>
        </is>
      </c>
      <c r="D668" t="n">
        <v>5</v>
      </c>
      <c r="E668" t="inlineStr">
        <is>
          <t>MEDIUM</t>
        </is>
      </c>
      <c r="F668" t="n">
        <v>2</v>
      </c>
      <c r="G668" t="n">
        <v>2</v>
      </c>
      <c r="H668" t="inlineStr">
        <is>
          <t>MEDIUM</t>
        </is>
      </c>
      <c r="I668" t="n">
        <v>9</v>
      </c>
      <c r="J668" t="inlineStr">
        <is>
          <t>NO</t>
        </is>
      </c>
      <c r="K668" t="inlineStr">
        <is>
          <t>2026-02-23 23:48</t>
        </is>
      </c>
      <c r="L668" t="inlineStr">
        <is>
          <t>CHECK_VENDOR</t>
        </is>
      </c>
      <c r="M668" t="inlineStr">
        <is>
          <t>See CVE details</t>
        </is>
      </c>
      <c r="N668" t="inlineStr">
        <is>
          <t>P4</t>
        </is>
      </c>
      <c r="O668" t="inlineStr">
        <is>
          <t>CVE - IP enrichment n/a</t>
        </is>
      </c>
      <c r="P668" t="n">
        <v>0</v>
      </c>
      <c r="Q668" t="n">
        <v>0</v>
      </c>
      <c r="R668" t="inlineStr">
        <is>
          <t>T1190:Exploit Public-Facing Application</t>
        </is>
      </c>
      <c r="S668" t="n">
        <v>1</v>
      </c>
      <c r="T668" t="inlineStr">
        <is>
          <t>LOW (40%)</t>
        </is>
      </c>
      <c r="U668" t="inlineStr">
        <is>
          <t>UNLIKELY</t>
        </is>
      </c>
      <c r="V668" t="inlineStr">
        <is>
          <t>CHECK_VENDOR</t>
        </is>
      </c>
      <c r="W668" t="inlineStr">
        <is>
          <t>https://nvd.nist.gov/vuln/detail/CVE-2026-2409</t>
        </is>
      </c>
      <c r="X668" t="inlineStr">
        <is>
          <t>NONE</t>
        </is>
      </c>
      <c r="Y668" t="n">
        <v>0</v>
      </c>
      <c r="Z668" t="inlineStr"/>
      <c r="AA668" t="inlineStr">
        <is>
          <t>https://nvd.nist.gov/vuln/detail/CVE-2026-2409</t>
        </is>
      </c>
    </row>
    <row r="669">
      <c r="A669" t="inlineStr">
        <is>
          <t>CVE</t>
        </is>
      </c>
      <c r="B669" t="inlineStr">
        <is>
          <t>CVE-2026-2817</t>
        </is>
      </c>
      <c r="C669" t="inlineStr">
        <is>
          <t>Use of insecure directory in Spring Data Geode snapshot import extracts archives into predictable, permissive directories under the system temp location. On shared hosts, a local user with basic privileges can access another user’s extracted snapshot contents, leading to unintended exposure of cache data.</t>
        </is>
      </c>
      <c r="D669" t="n">
        <v>4.4</v>
      </c>
      <c r="E669" t="inlineStr">
        <is>
          <t>MEDIUM</t>
        </is>
      </c>
      <c r="F669" t="n">
        <v>2</v>
      </c>
      <c r="G669" t="n">
        <v>2</v>
      </c>
      <c r="H669" t="inlineStr">
        <is>
          <t>MEDIUM</t>
        </is>
      </c>
      <c r="I669" t="n">
        <v>8.4</v>
      </c>
      <c r="J669" t="inlineStr">
        <is>
          <t>NO</t>
        </is>
      </c>
      <c r="K669" t="inlineStr">
        <is>
          <t>2026-02-23 23:48</t>
        </is>
      </c>
      <c r="L669" t="inlineStr">
        <is>
          <t>CHECK_VENDOR</t>
        </is>
      </c>
      <c r="M669" t="inlineStr">
        <is>
          <t>See CVE details</t>
        </is>
      </c>
      <c r="N669" t="inlineStr">
        <is>
          <t>P4</t>
        </is>
      </c>
      <c r="O669" t="inlineStr">
        <is>
          <t>CVE - IP enrichment n/a</t>
        </is>
      </c>
      <c r="P669" t="n">
        <v>0</v>
      </c>
      <c r="Q669" t="n">
        <v>0</v>
      </c>
      <c r="R669" t="inlineStr">
        <is>
          <t>T1190:Exploit Public-Facing Application</t>
        </is>
      </c>
      <c r="S669" t="n">
        <v>1</v>
      </c>
      <c r="T669" t="inlineStr">
        <is>
          <t>LOW (40%)</t>
        </is>
      </c>
      <c r="U669" t="inlineStr">
        <is>
          <t>UNLIKELY</t>
        </is>
      </c>
      <c r="V669" t="inlineStr">
        <is>
          <t>CHECK_VENDOR</t>
        </is>
      </c>
      <c r="W669" t="inlineStr">
        <is>
          <t>https://nvd.nist.gov/vuln/detail/CVE-2026-2817</t>
        </is>
      </c>
      <c r="X669" t="inlineStr">
        <is>
          <t>NONE</t>
        </is>
      </c>
      <c r="Y669" t="n">
        <v>0</v>
      </c>
      <c r="Z669" t="inlineStr"/>
      <c r="AA669" t="inlineStr">
        <is>
          <t>https://nvd.nist.gov/vuln/detail/CVE-2026-2817</t>
        </is>
      </c>
    </row>
    <row r="670">
      <c r="A670" t="inlineStr">
        <is>
          <t>CVE</t>
        </is>
      </c>
      <c r="B670" t="inlineStr">
        <is>
          <t>CVE-2026-23621</t>
        </is>
      </c>
      <c r="C670" t="inlineStr">
        <is>
          <t>GFI MailEssentials AI versions prior to 22.4 contain an arbitrary directory existence enumeration vulnerability in the ListServer.IsPathExist() web method exposed at /MailEssentials/pages/MailSecurity/ListServer.aspx/IsPathExist. An authenticated user can supply an unrestricted filesystem path via the JSON key \"path\", which is URL-decoded and passed to Directory.Exists(), allowing the attacker to determine whether arbitrary directories exist on the server.</t>
        </is>
      </c>
      <c r="D670" t="n">
        <v>4.3</v>
      </c>
      <c r="E670" t="inlineStr">
        <is>
          <t>MEDIUM</t>
        </is>
      </c>
      <c r="F670" t="n">
        <v>2</v>
      </c>
      <c r="G670" t="n">
        <v>2</v>
      </c>
      <c r="H670" t="inlineStr">
        <is>
          <t>MEDIUM</t>
        </is>
      </c>
      <c r="I670" t="n">
        <v>8.300000000000001</v>
      </c>
      <c r="J670" t="inlineStr">
        <is>
          <t>NO</t>
        </is>
      </c>
      <c r="K670" t="inlineStr">
        <is>
          <t>2026-02-23 23:48</t>
        </is>
      </c>
      <c r="L670" t="inlineStr">
        <is>
          <t>CHECK_VENDOR</t>
        </is>
      </c>
      <c r="M670" t="inlineStr">
        <is>
          <t>gfi mailessentials *</t>
        </is>
      </c>
      <c r="N670" t="inlineStr">
        <is>
          <t>P4</t>
        </is>
      </c>
      <c r="O670" t="inlineStr">
        <is>
          <t>CVE - IP enrichment n/a</t>
        </is>
      </c>
      <c r="P670" t="n">
        <v>0</v>
      </c>
      <c r="Q670" t="n">
        <v>0</v>
      </c>
      <c r="R670" t="inlineStr">
        <is>
          <t>T1190:Exploit Public-Facing Application</t>
        </is>
      </c>
      <c r="S670" t="n">
        <v>1</v>
      </c>
      <c r="T670" t="inlineStr">
        <is>
          <t>LOW (40%)</t>
        </is>
      </c>
      <c r="U670" t="inlineStr">
        <is>
          <t>UNLIKELY</t>
        </is>
      </c>
      <c r="V670" t="inlineStr">
        <is>
          <t>CHECK_VENDOR</t>
        </is>
      </c>
      <c r="W670" t="inlineStr">
        <is>
          <t>https://nvd.nist.gov/vuln/detail/CVE-2026-23621</t>
        </is>
      </c>
      <c r="X670" t="inlineStr">
        <is>
          <t>NONE</t>
        </is>
      </c>
      <c r="Y670" t="n">
        <v>0</v>
      </c>
      <c r="Z670" t="inlineStr"/>
      <c r="AA670" t="inlineStr">
        <is>
          <t>https://nvd.nist.gov/vuln/detail/CVE-2026-23621</t>
        </is>
      </c>
    </row>
    <row r="671">
      <c r="A671" t="inlineStr">
        <is>
          <t>CVE</t>
        </is>
      </c>
      <c r="B671" t="inlineStr">
        <is>
          <t>CVE-2026-26057</t>
        </is>
      </c>
      <c r="C671" t="inlineStr">
        <is>
          <t>Skill Scanner is a security scanner for AI Agent Skills that detects prompt injection, data exfiltration, and malicious code patterns. A vulnerability in the API Server of Skill Scanner could allow a unauthenticated, remote attacker to interact with the server API and either trigger a denial of service (DoS) condition or upload arbitrary files. This vulnerability is due to an erroneous binding to multiple interfaces. An attacker could exploit this vulnerability by sending API requests to a devic</t>
        </is>
      </c>
      <c r="D671" t="n">
        <v>6.5</v>
      </c>
      <c r="E671" t="inlineStr">
        <is>
          <t>MEDIUM</t>
        </is>
      </c>
      <c r="F671" t="n">
        <v>2</v>
      </c>
      <c r="G671" t="n">
        <v>2</v>
      </c>
      <c r="H671" t="inlineStr">
        <is>
          <t>MEDIUM</t>
        </is>
      </c>
      <c r="I671" t="n">
        <v>10.5</v>
      </c>
      <c r="J671" t="inlineStr">
        <is>
          <t>NO</t>
        </is>
      </c>
      <c r="K671" t="inlineStr">
        <is>
          <t>2026-02-23 23:48</t>
        </is>
      </c>
      <c r="L671" t="inlineStr">
        <is>
          <t>CHECK_VENDOR</t>
        </is>
      </c>
      <c r="M671" t="inlineStr">
        <is>
          <t>See CVE details</t>
        </is>
      </c>
      <c r="N671" t="inlineStr">
        <is>
          <t>P4</t>
        </is>
      </c>
      <c r="O671" t="inlineStr">
        <is>
          <t>CVE - IP enrichment n/a</t>
        </is>
      </c>
      <c r="P671" t="n">
        <v>0</v>
      </c>
      <c r="Q671" t="n">
        <v>0</v>
      </c>
      <c r="R671" t="inlineStr">
        <is>
          <t>T1190:Exploit Public-Facing Application | T1499:Endpoint Denial of Service | T1041:Exfiltration Over C2 Channel</t>
        </is>
      </c>
      <c r="S671" t="n">
        <v>1</v>
      </c>
      <c r="T671" t="inlineStr">
        <is>
          <t>LOW (40%)</t>
        </is>
      </c>
      <c r="U671" t="inlineStr">
        <is>
          <t>UNLIKELY</t>
        </is>
      </c>
      <c r="V671" t="inlineStr">
        <is>
          <t>CHECK_VENDOR</t>
        </is>
      </c>
      <c r="W671" t="inlineStr">
        <is>
          <t>https://nvd.nist.gov/vuln/detail/CVE-2026-26057</t>
        </is>
      </c>
      <c r="X671" t="inlineStr">
        <is>
          <t>NONE</t>
        </is>
      </c>
      <c r="Y671" t="n">
        <v>0</v>
      </c>
      <c r="Z671" t="inlineStr"/>
      <c r="AA671" t="inlineStr">
        <is>
          <t>https://nvd.nist.gov/vuln/detail/CVE-2026-26057</t>
        </is>
      </c>
    </row>
    <row r="672">
      <c r="A672" t="inlineStr">
        <is>
          <t>CVE</t>
        </is>
      </c>
      <c r="B672" t="inlineStr">
        <is>
          <t>CVE-2026-26059</t>
        </is>
      </c>
      <c r="C672" t="inlineStr">
        <is>
          <t>ChurchCRM is an open-source church management system. In versions prior to 6.8.2, it was possible for an authenticated user with permission to edit groups to store a JavaScript payload that would execute when the group was viewed in the Group View. Version 6.8.2 fixes this issue.</t>
        </is>
      </c>
      <c r="D672" t="n">
        <v>5.4</v>
      </c>
      <c r="E672" t="inlineStr">
        <is>
          <t>MEDIUM</t>
        </is>
      </c>
      <c r="F672" t="n">
        <v>2</v>
      </c>
      <c r="G672" t="n">
        <v>2</v>
      </c>
      <c r="H672" t="inlineStr">
        <is>
          <t>MEDIUM</t>
        </is>
      </c>
      <c r="I672" t="n">
        <v>9.4</v>
      </c>
      <c r="J672" t="inlineStr">
        <is>
          <t>NO</t>
        </is>
      </c>
      <c r="K672" t="inlineStr">
        <is>
          <t>2026-02-23 23:48</t>
        </is>
      </c>
      <c r="L672" t="inlineStr">
        <is>
          <t>YES</t>
        </is>
      </c>
      <c r="M672" t="inlineStr">
        <is>
          <t>churchcrm churchcrm *</t>
        </is>
      </c>
      <c r="N672" t="inlineStr">
        <is>
          <t>P4</t>
        </is>
      </c>
      <c r="O672" t="inlineStr">
        <is>
          <t>CVE - IP enrichment n/a</t>
        </is>
      </c>
      <c r="P672" t="n">
        <v>0</v>
      </c>
      <c r="Q672" t="n">
        <v>0</v>
      </c>
      <c r="R672" t="inlineStr">
        <is>
          <t>T1189:Drive-by Compromise | T1190:Exploit Public-Facing Application</t>
        </is>
      </c>
      <c r="S672" t="n">
        <v>1</v>
      </c>
      <c r="T672" t="inlineStr">
        <is>
          <t>LOW (40%)</t>
        </is>
      </c>
      <c r="U672" t="inlineStr">
        <is>
          <t>UNLIKELY</t>
        </is>
      </c>
      <c r="V672" t="inlineStr">
        <is>
          <t>PATCH_AVAILABLE</t>
        </is>
      </c>
      <c r="W672" t="inlineStr">
        <is>
          <t>https://nvd.nist.gov/vuln/detail/CVE-2026-26059</t>
        </is>
      </c>
      <c r="X672" t="inlineStr">
        <is>
          <t>NONE</t>
        </is>
      </c>
      <c r="Y672" t="n">
        <v>0</v>
      </c>
      <c r="Z672" t="inlineStr"/>
      <c r="AA672" t="inlineStr">
        <is>
          <t>https://nvd.nist.gov/vuln/detail/CVE-2026-26059</t>
        </is>
      </c>
    </row>
    <row r="673">
      <c r="A673" t="inlineStr">
        <is>
          <t>CVE</t>
        </is>
      </c>
      <c r="B673" t="inlineStr">
        <is>
          <t>CVE-2026-27472</t>
        </is>
      </c>
      <c r="C673" t="inlineStr">
        <is>
          <t>SPIP before 4.4.9 allows Blind Server-Side Request Forgery (SSRF) via syndicated sites in the private area. When editing a syndicated site, the application does not verify that the syndication URL is a valid remote URL, allowing an authenticated attacker to make the server issue requests to arbitrary internal or external destinations. This vulnerability is not mitigated by the SPIP security screen.</t>
        </is>
      </c>
      <c r="D673" t="n">
        <v>4.3</v>
      </c>
      <c r="E673" t="inlineStr">
        <is>
          <t>MEDIUM</t>
        </is>
      </c>
      <c r="F673" t="n">
        <v>2</v>
      </c>
      <c r="G673" t="n">
        <v>2</v>
      </c>
      <c r="H673" t="inlineStr">
        <is>
          <t>MEDIUM</t>
        </is>
      </c>
      <c r="I673" t="n">
        <v>8.300000000000001</v>
      </c>
      <c r="J673" t="inlineStr">
        <is>
          <t>NO</t>
        </is>
      </c>
      <c r="K673" t="inlineStr">
        <is>
          <t>2026-02-23 23:48</t>
        </is>
      </c>
      <c r="L673" t="inlineStr">
        <is>
          <t>CHECK_VENDOR</t>
        </is>
      </c>
      <c r="M673" t="inlineStr">
        <is>
          <t>See CVE details</t>
        </is>
      </c>
      <c r="N673" t="inlineStr">
        <is>
          <t>P4</t>
        </is>
      </c>
      <c r="O673" t="inlineStr">
        <is>
          <t>CVE - IP enrichment n/a</t>
        </is>
      </c>
      <c r="P673" t="n">
        <v>0.0003</v>
      </c>
      <c r="Q673" t="n">
        <v>0.0742</v>
      </c>
      <c r="R673" t="inlineStr">
        <is>
          <t>T1090:Proxy</t>
        </is>
      </c>
      <c r="S673" t="n">
        <v>1</v>
      </c>
      <c r="T673" t="inlineStr">
        <is>
          <t>LOW (40%)</t>
        </is>
      </c>
      <c r="U673" t="inlineStr">
        <is>
          <t>UNLIKELY</t>
        </is>
      </c>
      <c r="V673" t="inlineStr">
        <is>
          <t>CHECK_VENDOR</t>
        </is>
      </c>
      <c r="W673" t="inlineStr">
        <is>
          <t>https://nvd.nist.gov/vuln/detail/CVE-2026-27472</t>
        </is>
      </c>
      <c r="X673" t="inlineStr">
        <is>
          <t>NONE</t>
        </is>
      </c>
      <c r="Y673" t="n">
        <v>0</v>
      </c>
      <c r="Z673" t="inlineStr"/>
      <c r="AA673" t="inlineStr">
        <is>
          <t>https://nvd.nist.gov/vuln/detail/CVE-2026-27472</t>
        </is>
      </c>
    </row>
    <row r="674">
      <c r="A674" t="inlineStr">
        <is>
          <t>CVE</t>
        </is>
      </c>
      <c r="B674" t="inlineStr">
        <is>
          <t>CVE-2026-27473</t>
        </is>
      </c>
      <c r="C674" t="inlineStr">
        <is>
          <t>SPIP before 4.4.9 allows Stored Cross-Site Scripting (XSS) via syndicated sites in the private area. The #URL_SYNDIC output is not properly sanitized on the private syndicated site page, allowing an attacker who can set a malicious syndication URL to inject persistent scripts that execute when other administrators view the syndicated site details.</t>
        </is>
      </c>
      <c r="D674" t="n">
        <v>6.4</v>
      </c>
      <c r="E674" t="inlineStr">
        <is>
          <t>MEDIUM</t>
        </is>
      </c>
      <c r="F674" t="n">
        <v>2</v>
      </c>
      <c r="G674" t="n">
        <v>2</v>
      </c>
      <c r="H674" t="inlineStr">
        <is>
          <t>MEDIUM</t>
        </is>
      </c>
      <c r="I674" t="n">
        <v>10.4</v>
      </c>
      <c r="J674" t="inlineStr">
        <is>
          <t>NO</t>
        </is>
      </c>
      <c r="K674" t="inlineStr">
        <is>
          <t>2026-02-23 23:48</t>
        </is>
      </c>
      <c r="L674" t="inlineStr">
        <is>
          <t>CHECK_VENDOR</t>
        </is>
      </c>
      <c r="M674" t="inlineStr">
        <is>
          <t>See CVE details</t>
        </is>
      </c>
      <c r="N674" t="inlineStr">
        <is>
          <t>P4</t>
        </is>
      </c>
      <c r="O674" t="inlineStr">
        <is>
          <t>CVE - IP enrichment n/a</t>
        </is>
      </c>
      <c r="P674" t="n">
        <v>0</v>
      </c>
      <c r="Q674" t="n">
        <v>0</v>
      </c>
      <c r="R674" t="inlineStr">
        <is>
          <t>T1189:Drive-by Compromise</t>
        </is>
      </c>
      <c r="S674" t="n">
        <v>1</v>
      </c>
      <c r="T674" t="inlineStr">
        <is>
          <t>LOW (40%)</t>
        </is>
      </c>
      <c r="U674" t="inlineStr">
        <is>
          <t>UNLIKELY</t>
        </is>
      </c>
      <c r="V674" t="inlineStr">
        <is>
          <t>CHECK_VENDOR</t>
        </is>
      </c>
      <c r="W674" t="inlineStr">
        <is>
          <t>https://nvd.nist.gov/vuln/detail/CVE-2026-27473</t>
        </is>
      </c>
      <c r="X674" t="inlineStr">
        <is>
          <t>NONE</t>
        </is>
      </c>
      <c r="Y674" t="n">
        <v>0</v>
      </c>
      <c r="Z674" t="inlineStr"/>
      <c r="AA674" t="inlineStr">
        <is>
          <t>https://nvd.nist.gov/vuln/detail/CVE-2026-27473</t>
        </is>
      </c>
    </row>
    <row r="675">
      <c r="A675" t="inlineStr">
        <is>
          <t>CVE</t>
        </is>
      </c>
      <c r="B675" t="inlineStr">
        <is>
          <t>CVE-2026-27474</t>
        </is>
      </c>
      <c r="C675" t="inlineStr">
        <is>
          <t>SPIP before 4.4.9 allows Cross-Site Scripting (XSS) in the private area, complementing an incomplete fix from SPIP 4.4.8. The echappe_anti_xss() function was not systematically applied to input, form, button, and anchor (a) HTML tags, allowing an attacker to inject malicious scripts through these elements. This vulnerability is not mitigated by the SPIP security screen.</t>
        </is>
      </c>
      <c r="D675" t="n">
        <v>5.4</v>
      </c>
      <c r="E675" t="inlineStr">
        <is>
          <t>MEDIUM</t>
        </is>
      </c>
      <c r="F675" t="n">
        <v>2</v>
      </c>
      <c r="G675" t="n">
        <v>2</v>
      </c>
      <c r="H675" t="inlineStr">
        <is>
          <t>MEDIUM</t>
        </is>
      </c>
      <c r="I675" t="n">
        <v>9.4</v>
      </c>
      <c r="J675" t="inlineStr">
        <is>
          <t>NO</t>
        </is>
      </c>
      <c r="K675" t="inlineStr">
        <is>
          <t>2026-02-23 23:48</t>
        </is>
      </c>
      <c r="L675" t="inlineStr">
        <is>
          <t>CHECK_VENDOR</t>
        </is>
      </c>
      <c r="M675" t="inlineStr">
        <is>
          <t>See CVE details</t>
        </is>
      </c>
      <c r="N675" t="inlineStr">
        <is>
          <t>P4</t>
        </is>
      </c>
      <c r="O675" t="inlineStr">
        <is>
          <t>CVE - IP enrichment n/a</t>
        </is>
      </c>
      <c r="P675" t="n">
        <v>0</v>
      </c>
      <c r="Q675" t="n">
        <v>0</v>
      </c>
      <c r="R675" t="inlineStr">
        <is>
          <t>T1189:Drive-by Compromise</t>
        </is>
      </c>
      <c r="S675" t="n">
        <v>1</v>
      </c>
      <c r="T675" t="inlineStr">
        <is>
          <t>LOW (40%)</t>
        </is>
      </c>
      <c r="U675" t="inlineStr">
        <is>
          <t>UNLIKELY</t>
        </is>
      </c>
      <c r="V675" t="inlineStr">
        <is>
          <t>CHECK_VENDOR</t>
        </is>
      </c>
      <c r="W675" t="inlineStr">
        <is>
          <t>https://nvd.nist.gov/vuln/detail/CVE-2026-27474</t>
        </is>
      </c>
      <c r="X675" t="inlineStr">
        <is>
          <t>NONE</t>
        </is>
      </c>
      <c r="Y675" t="n">
        <v>0</v>
      </c>
      <c r="Z675" t="inlineStr"/>
      <c r="AA675" t="inlineStr">
        <is>
          <t>https://nvd.nist.gov/vuln/detail/CVE-2026-27474</t>
        </is>
      </c>
    </row>
    <row r="676">
      <c r="A676" t="inlineStr">
        <is>
          <t>CVE</t>
        </is>
      </c>
      <c r="B676" t="inlineStr">
        <is>
          <t>CVE-2026-27475</t>
        </is>
      </c>
      <c r="C676" t="inlineStr">
        <is>
          <t>SPIP before 4.4.9 allows Insecure Deserialization in the public area through the table_valeur filter and the DATA iterator, which accept serialized data. An attacker who can place malicious serialized content (a pre-condition requiring prior access or another vulnerability) can trigger arbitrary object instantiation and potentially achieve code execution. The use of serialized data in these components has been deprecated and will be removed in SPIP 5. This vulnerability is not mitigated by the S</t>
        </is>
      </c>
      <c r="D676" t="n">
        <v>8.1</v>
      </c>
      <c r="E676" t="inlineStr">
        <is>
          <t>HIGH</t>
        </is>
      </c>
      <c r="F676" t="n">
        <v>2</v>
      </c>
      <c r="G676" t="n">
        <v>3</v>
      </c>
      <c r="H676" t="inlineStr">
        <is>
          <t>HIGH</t>
        </is>
      </c>
      <c r="I676" t="n">
        <v>14.1</v>
      </c>
      <c r="J676" t="inlineStr">
        <is>
          <t>NO</t>
        </is>
      </c>
      <c r="K676" t="inlineStr">
        <is>
          <t>2026-02-23 23:48</t>
        </is>
      </c>
      <c r="L676" t="inlineStr">
        <is>
          <t>CHECK_VENDOR</t>
        </is>
      </c>
      <c r="M676" t="inlineStr">
        <is>
          <t>See CVE details</t>
        </is>
      </c>
      <c r="N676" t="inlineStr">
        <is>
          <t>P3</t>
        </is>
      </c>
      <c r="O676" t="inlineStr">
        <is>
          <t>CVE - IP enrichment n/a</t>
        </is>
      </c>
      <c r="P676" t="n">
        <v>0</v>
      </c>
      <c r="Q676" t="n">
        <v>0</v>
      </c>
      <c r="R676" t="inlineStr">
        <is>
          <t>T1059:Command and Scripting Interpreter</t>
        </is>
      </c>
      <c r="S676" t="n">
        <v>1</v>
      </c>
      <c r="T676" t="inlineStr">
        <is>
          <t>LOW (40%)</t>
        </is>
      </c>
      <c r="U676" t="inlineStr">
        <is>
          <t>UNLIKELY</t>
        </is>
      </c>
      <c r="V676" t="inlineStr">
        <is>
          <t>CHECK_VENDOR</t>
        </is>
      </c>
      <c r="W676" t="inlineStr">
        <is>
          <t>https://nvd.nist.gov/vuln/detail/CVE-2026-27475</t>
        </is>
      </c>
      <c r="X676" t="inlineStr">
        <is>
          <t>NONE</t>
        </is>
      </c>
      <c r="Y676" t="n">
        <v>0</v>
      </c>
      <c r="Z676" t="inlineStr"/>
      <c r="AA676" t="inlineStr">
        <is>
          <t>https://nvd.nist.gov/vuln/detail/CVE-2026-27475</t>
        </is>
      </c>
    </row>
    <row r="677">
      <c r="A677" t="inlineStr">
        <is>
          <t>CVE</t>
        </is>
      </c>
      <c r="B677" t="inlineStr">
        <is>
          <t>CVE-2025-67304</t>
        </is>
      </c>
      <c r="C677" t="inlineStr">
        <is>
          <t>In Ruckus Network Director (RND) &lt; 4.5.0.54, the OVA appliance contains hardcoded credentials for the ruckus PostgreSQL database user. In the default configuration, the PostgreSQL service is accessible over the network on TCP port 5432. An attacker can use the hardcoded credentials to authenticate remotely, gaining superuser access to the database. This allows creation of administrative users for the web interface, extraction of password hashes, and execution of arbitrary OS commands.</t>
        </is>
      </c>
      <c r="D677" t="n">
        <v>9.800000000000001</v>
      </c>
      <c r="E677" t="inlineStr">
        <is>
          <t>CRITICAL</t>
        </is>
      </c>
      <c r="F677" t="n">
        <v>2</v>
      </c>
      <c r="G677" t="n">
        <v>3</v>
      </c>
      <c r="H677" t="inlineStr">
        <is>
          <t>HIGH</t>
        </is>
      </c>
      <c r="I677" t="n">
        <v>15.8</v>
      </c>
      <c r="J677" t="inlineStr">
        <is>
          <t>NO</t>
        </is>
      </c>
      <c r="K677" t="inlineStr">
        <is>
          <t>2026-02-23 23:48</t>
        </is>
      </c>
      <c r="L677" t="inlineStr">
        <is>
          <t>CHECK_VENDOR</t>
        </is>
      </c>
      <c r="M677" t="inlineStr">
        <is>
          <t>See CVE details</t>
        </is>
      </c>
      <c r="N677" t="inlineStr">
        <is>
          <t>P3</t>
        </is>
      </c>
      <c r="O677" t="inlineStr">
        <is>
          <t>CVE - IP enrichment n/a</t>
        </is>
      </c>
      <c r="P677" t="n">
        <v>0</v>
      </c>
      <c r="Q677" t="n">
        <v>0</v>
      </c>
      <c r="R677" t="inlineStr">
        <is>
          <t>T1552:Unsecured Credentials</t>
        </is>
      </c>
      <c r="S677" t="n">
        <v>1</v>
      </c>
      <c r="T677" t="inlineStr">
        <is>
          <t>LOW (40%)</t>
        </is>
      </c>
      <c r="U677" t="inlineStr">
        <is>
          <t>UNLIKELY</t>
        </is>
      </c>
      <c r="V677" t="inlineStr">
        <is>
          <t>CHECK_VENDOR</t>
        </is>
      </c>
      <c r="W677" t="inlineStr">
        <is>
          <t>https://nvd.nist.gov/vuln/detail/CVE-2025-67304</t>
        </is>
      </c>
      <c r="X677" t="inlineStr">
        <is>
          <t>NONE</t>
        </is>
      </c>
      <c r="Y677" t="n">
        <v>0</v>
      </c>
      <c r="Z677" t="inlineStr"/>
      <c r="AA677" t="inlineStr">
        <is>
          <t>https://nvd.nist.gov/vuln/detail/CVE-2025-67304</t>
        </is>
      </c>
    </row>
    <row r="678">
      <c r="A678" t="inlineStr">
        <is>
          <t>CVE</t>
        </is>
      </c>
      <c r="B678" t="inlineStr">
        <is>
          <t>CVE-2026-26063</t>
        </is>
      </c>
      <c r="C678" t="inlineStr">
        <is>
          <t>CediPay is a crypto-to-fiat app for the Ghanaian market. A vulnerability in CediPay prior to version 1.2.3 allows attackers to bypass input validation in the transaction API. The issue has been fixed in version 1.2.3. If upgrading is not immediately possible, restrict API access to trusted networks or IP ranges; enforce strict input validation at the application layer; and/or monitor transaction logs for anomalies or suspicious activity. These mitigations reduce exposure but do not fully elimina</t>
        </is>
      </c>
      <c r="D678" t="n">
        <v>8.5</v>
      </c>
      <c r="E678" t="inlineStr">
        <is>
          <t>HIGH</t>
        </is>
      </c>
      <c r="F678" t="n">
        <v>2</v>
      </c>
      <c r="G678" t="n">
        <v>3</v>
      </c>
      <c r="H678" t="inlineStr">
        <is>
          <t>HIGH</t>
        </is>
      </c>
      <c r="I678" t="n">
        <v>14.5</v>
      </c>
      <c r="J678" t="inlineStr">
        <is>
          <t>NO</t>
        </is>
      </c>
      <c r="K678" t="inlineStr">
        <is>
          <t>2026-02-23 23:48</t>
        </is>
      </c>
      <c r="L678" t="inlineStr">
        <is>
          <t>CHECK_VENDOR</t>
        </is>
      </c>
      <c r="M678" t="inlineStr">
        <is>
          <t>See CVE details</t>
        </is>
      </c>
      <c r="N678" t="inlineStr">
        <is>
          <t>P3</t>
        </is>
      </c>
      <c r="O678" t="inlineStr">
        <is>
          <t>CVE - IP enrichment n/a</t>
        </is>
      </c>
      <c r="P678" t="n">
        <v>0</v>
      </c>
      <c r="Q678" t="n">
        <v>0</v>
      </c>
      <c r="R678" t="inlineStr">
        <is>
          <t>T1190:Exploit Public-Facing Application</t>
        </is>
      </c>
      <c r="S678" t="n">
        <v>1</v>
      </c>
      <c r="T678" t="inlineStr">
        <is>
          <t>LOW (40%)</t>
        </is>
      </c>
      <c r="U678" t="inlineStr">
        <is>
          <t>UNLIKELY</t>
        </is>
      </c>
      <c r="V678" t="inlineStr">
        <is>
          <t>CHECK_VENDOR</t>
        </is>
      </c>
      <c r="W678" t="inlineStr">
        <is>
          <t>https://nvd.nist.gov/vuln/detail/CVE-2026-26063</t>
        </is>
      </c>
      <c r="X678" t="inlineStr">
        <is>
          <t>NONE</t>
        </is>
      </c>
      <c r="Y678" t="n">
        <v>0</v>
      </c>
      <c r="Z678" t="inlineStr"/>
      <c r="AA678" t="inlineStr">
        <is>
          <t>https://nvd.nist.gov/vuln/detail/CVE-2026-26063</t>
        </is>
      </c>
    </row>
    <row r="679">
      <c r="A679" t="inlineStr">
        <is>
          <t>CVE</t>
        </is>
      </c>
      <c r="B679" t="inlineStr">
        <is>
          <t>CVE-2026-26189</t>
        </is>
      </c>
      <c r="C679" t="inlineStr">
        <is>
          <t>Trivy Action runs Trivy as GitHub action to scan a Docker container image for vulnerabilities. A command injection vulnerability exists in `aquasecurity/trivy-action` versions 0.31.0 through 0.33.1 due to improper handling of action inputs when exporting environment variables. The action writes `export VAR= ` lines to `trivy_envs.txt` based on user-supplied inputs and subsequently sources this file in `entrypoint.sh`. Because input values are written without appropriate shell escaping, attacker-</t>
        </is>
      </c>
      <c r="D679" t="n">
        <v>5.9</v>
      </c>
      <c r="E679" t="inlineStr">
        <is>
          <t>MEDIUM</t>
        </is>
      </c>
      <c r="F679" t="n">
        <v>2</v>
      </c>
      <c r="G679" t="n">
        <v>2</v>
      </c>
      <c r="H679" t="inlineStr">
        <is>
          <t>MEDIUM</t>
        </is>
      </c>
      <c r="I679" t="n">
        <v>9.9</v>
      </c>
      <c r="J679" t="inlineStr">
        <is>
          <t>NO</t>
        </is>
      </c>
      <c r="K679" t="inlineStr">
        <is>
          <t>2026-02-23 23:48</t>
        </is>
      </c>
      <c r="L679" t="inlineStr">
        <is>
          <t>CHECK_VENDOR</t>
        </is>
      </c>
      <c r="M679" t="inlineStr">
        <is>
          <t>See CVE details</t>
        </is>
      </c>
      <c r="N679" t="inlineStr">
        <is>
          <t>P4</t>
        </is>
      </c>
      <c r="O679" t="inlineStr">
        <is>
          <t>CVE - IP enrichment n/a</t>
        </is>
      </c>
      <c r="P679" t="n">
        <v>0.001</v>
      </c>
      <c r="Q679" t="n">
        <v>0.2801</v>
      </c>
      <c r="R679" t="inlineStr">
        <is>
          <t>T1059:Command and Scripting Interpreter | T1190:Exploit Public-Facing Application</t>
        </is>
      </c>
      <c r="S679" t="n">
        <v>1</v>
      </c>
      <c r="T679" t="inlineStr">
        <is>
          <t>LOW (40%)</t>
        </is>
      </c>
      <c r="U679" t="inlineStr">
        <is>
          <t>UNLIKELY</t>
        </is>
      </c>
      <c r="V679" t="inlineStr">
        <is>
          <t>CHECK_VENDOR</t>
        </is>
      </c>
      <c r="W679" t="inlineStr">
        <is>
          <t>https://nvd.nist.gov/vuln/detail/CVE-2026-26189</t>
        </is>
      </c>
      <c r="X679" t="inlineStr">
        <is>
          <t>NONE</t>
        </is>
      </c>
      <c r="Y679" t="n">
        <v>0</v>
      </c>
      <c r="Z679" t="inlineStr"/>
      <c r="AA679" t="inlineStr">
        <is>
          <t>https://nvd.nist.gov/vuln/detail/CVE-2026-26189</t>
        </is>
      </c>
    </row>
    <row r="680">
      <c r="A680" t="inlineStr">
        <is>
          <t>CVE</t>
        </is>
      </c>
      <c r="B680" t="inlineStr">
        <is>
          <t>CVE-2026-26192</t>
        </is>
      </c>
      <c r="C680" t="inlineStr">
        <is>
          <t>Open WebUI is a self-hosted artificial intelligence platform designed to operate entirely offline. Prior to version 0.7.0, aanually modifying chat history allows setting the `html` property within document metadata. This causes the frontend to enter a code path that treats document contents as HTML, and render them in an iFrame when the citation is previewed. This allows stored XSS via a weaponized document payload in a chat. The payload also executes when the citation is viewed on a shared chat</t>
        </is>
      </c>
      <c r="D680" t="n">
        <v>7.3</v>
      </c>
      <c r="E680" t="inlineStr">
        <is>
          <t>HIGH</t>
        </is>
      </c>
      <c r="F680" t="n">
        <v>2</v>
      </c>
      <c r="G680" t="n">
        <v>3</v>
      </c>
      <c r="H680" t="inlineStr">
        <is>
          <t>HIGH</t>
        </is>
      </c>
      <c r="I680" t="n">
        <v>13.3</v>
      </c>
      <c r="J680" t="inlineStr">
        <is>
          <t>NO</t>
        </is>
      </c>
      <c r="K680" t="inlineStr">
        <is>
          <t>2026-02-23 23:48</t>
        </is>
      </c>
      <c r="L680" t="inlineStr">
        <is>
          <t>YES</t>
        </is>
      </c>
      <c r="M680" t="inlineStr">
        <is>
          <t>openwebui open_webui *</t>
        </is>
      </c>
      <c r="N680" t="inlineStr">
        <is>
          <t>P3</t>
        </is>
      </c>
      <c r="O680" t="inlineStr">
        <is>
          <t>CVE - IP enrichment n/a</t>
        </is>
      </c>
      <c r="P680" t="n">
        <v>0</v>
      </c>
      <c r="Q680" t="n">
        <v>0</v>
      </c>
      <c r="R680" t="inlineStr">
        <is>
          <t>T1189:Drive-by Compromise</t>
        </is>
      </c>
      <c r="S680" t="n">
        <v>1</v>
      </c>
      <c r="T680" t="inlineStr">
        <is>
          <t>LOW (40%)</t>
        </is>
      </c>
      <c r="U680" t="inlineStr">
        <is>
          <t>UNLIKELY</t>
        </is>
      </c>
      <c r="V680" t="inlineStr">
        <is>
          <t>PATCH_AVAILABLE</t>
        </is>
      </c>
      <c r="W680" t="inlineStr">
        <is>
          <t>https://nvd.nist.gov/vuln/detail/CVE-2026-26192</t>
        </is>
      </c>
      <c r="X680" t="inlineStr">
        <is>
          <t>NONE</t>
        </is>
      </c>
      <c r="Y680" t="n">
        <v>0</v>
      </c>
      <c r="Z680" t="inlineStr"/>
      <c r="AA680" t="inlineStr">
        <is>
          <t>https://nvd.nist.gov/vuln/detail/CVE-2026-26192</t>
        </is>
      </c>
    </row>
    <row r="681">
      <c r="A681" t="inlineStr">
        <is>
          <t>CVE</t>
        </is>
      </c>
      <c r="B681" t="inlineStr">
        <is>
          <t>CVE-2026-26193</t>
        </is>
      </c>
      <c r="C681" t="inlineStr">
        <is>
          <t>Open WebUI is a self-hosted artificial intelligence platform designed to operate entirely offline. Prior to version 0.6.44, aanually modifying chat history allows setting the `embeds` property on a response message, the content of which is loaded into an iFrame with a sandbox that has `allow-scripts` and `allow-same-origin` set, ignoring the "iframe Sandbox Allow Same Origin" configuration. This enables stored XSS on the affected chat. This also triggers when the chat is in the shared format. Th</t>
        </is>
      </c>
      <c r="D681" t="n">
        <v>7.3</v>
      </c>
      <c r="E681" t="inlineStr">
        <is>
          <t>HIGH</t>
        </is>
      </c>
      <c r="F681" t="n">
        <v>2</v>
      </c>
      <c r="G681" t="n">
        <v>3</v>
      </c>
      <c r="H681" t="inlineStr">
        <is>
          <t>HIGH</t>
        </is>
      </c>
      <c r="I681" t="n">
        <v>13.3</v>
      </c>
      <c r="J681" t="inlineStr">
        <is>
          <t>NO</t>
        </is>
      </c>
      <c r="K681" t="inlineStr">
        <is>
          <t>2026-02-23 23:48</t>
        </is>
      </c>
      <c r="L681" t="inlineStr">
        <is>
          <t>YES</t>
        </is>
      </c>
      <c r="M681" t="inlineStr">
        <is>
          <t>openwebui open_webui *</t>
        </is>
      </c>
      <c r="N681" t="inlineStr">
        <is>
          <t>P3</t>
        </is>
      </c>
      <c r="O681" t="inlineStr">
        <is>
          <t>CVE - IP enrichment n/a</t>
        </is>
      </c>
      <c r="P681" t="n">
        <v>0</v>
      </c>
      <c r="Q681" t="n">
        <v>0</v>
      </c>
      <c r="R681" t="inlineStr">
        <is>
          <t>T1189:Drive-by Compromise</t>
        </is>
      </c>
      <c r="S681" t="n">
        <v>1</v>
      </c>
      <c r="T681" t="inlineStr">
        <is>
          <t>LOW (40%)</t>
        </is>
      </c>
      <c r="U681" t="inlineStr">
        <is>
          <t>UNLIKELY</t>
        </is>
      </c>
      <c r="V681" t="inlineStr">
        <is>
          <t>PATCH_AVAILABLE</t>
        </is>
      </c>
      <c r="W681" t="inlineStr">
        <is>
          <t>https://nvd.nist.gov/vuln/detail/CVE-2026-26193</t>
        </is>
      </c>
      <c r="X681" t="inlineStr">
        <is>
          <t>NONE</t>
        </is>
      </c>
      <c r="Y681" t="n">
        <v>0</v>
      </c>
      <c r="Z681" t="inlineStr"/>
      <c r="AA681" t="inlineStr">
        <is>
          <t>https://nvd.nist.gov/vuln/detail/CVE-2026-26193</t>
        </is>
      </c>
    </row>
    <row r="682">
      <c r="A682" t="inlineStr">
        <is>
          <t>CVE</t>
        </is>
      </c>
      <c r="B682" t="inlineStr">
        <is>
          <t>CVE-2026-26200</t>
        </is>
      </c>
      <c r="C682" t="inlineStr">
        <is>
          <t>HDF5 is software for managing data. Prior to version 1.14.4-2, an attacker who can control an `h5` file parsed by HDF5 can trigger a write-based heap buffer overflow condition. This can lead to a denial-of-service condition, and potentially further issues such as remote code execution depending on the practical exploitability of the heap overflow against modern operating systems. Real-world exploitability of this issue in terms of remote-code execution is currently unknown. Version 1.14.4-2 fixe</t>
        </is>
      </c>
      <c r="D682" t="n">
        <v>7.8</v>
      </c>
      <c r="E682" t="inlineStr">
        <is>
          <t>HIGH</t>
        </is>
      </c>
      <c r="F682" t="n">
        <v>2</v>
      </c>
      <c r="G682" t="n">
        <v>3</v>
      </c>
      <c r="H682" t="inlineStr">
        <is>
          <t>HIGH</t>
        </is>
      </c>
      <c r="I682" t="n">
        <v>13.8</v>
      </c>
      <c r="J682" t="inlineStr">
        <is>
          <t>NO</t>
        </is>
      </c>
      <c r="K682" t="inlineStr">
        <is>
          <t>2026-02-23 23:48</t>
        </is>
      </c>
      <c r="L682" t="inlineStr">
        <is>
          <t>CHECK_VENDOR</t>
        </is>
      </c>
      <c r="M682" t="inlineStr">
        <is>
          <t>hdfgroup hdf5 *</t>
        </is>
      </c>
      <c r="N682" t="inlineStr">
        <is>
          <t>P3</t>
        </is>
      </c>
      <c r="O682" t="inlineStr">
        <is>
          <t>CVE - IP enrichment n/a</t>
        </is>
      </c>
      <c r="P682" t="n">
        <v>0</v>
      </c>
      <c r="Q682" t="n">
        <v>0</v>
      </c>
      <c r="R682" t="inlineStr">
        <is>
          <t>T1203:Exploitation for Client Execution | T1190:Exploit Public-Facing Application | T1210:Exploitation of Remote Services</t>
        </is>
      </c>
      <c r="S682" t="n">
        <v>1</v>
      </c>
      <c r="T682" t="inlineStr">
        <is>
          <t>LOW (40%)</t>
        </is>
      </c>
      <c r="U682" t="inlineStr">
        <is>
          <t>UNLIKELY</t>
        </is>
      </c>
      <c r="V682" t="inlineStr">
        <is>
          <t>CHECK_VENDOR</t>
        </is>
      </c>
      <c r="W682" t="inlineStr">
        <is>
          <t>https://nvd.nist.gov/vuln/detail/CVE-2026-26200</t>
        </is>
      </c>
      <c r="X682" t="inlineStr">
        <is>
          <t>NONE</t>
        </is>
      </c>
      <c r="Y682" t="n">
        <v>0</v>
      </c>
      <c r="Z682" t="inlineStr"/>
      <c r="AA682" t="inlineStr">
        <is>
          <t>https://nvd.nist.gov/vuln/detail/CVE-2026-26200</t>
        </is>
      </c>
    </row>
    <row r="683">
      <c r="A683" t="inlineStr">
        <is>
          <t>CVE</t>
        </is>
      </c>
      <c r="B683" t="inlineStr">
        <is>
          <t>CVE-2026-26201</t>
        </is>
      </c>
      <c r="C683" t="inlineStr">
        <is>
          <t>emp3r0r is a C2 designed by Linux users for Linux environments. Prior to version 3.21.2, multiple shared maps are accessed without consistent synchronization across goroutines. Under concurrent activity, Go runtime can trigger `fatal error: concurrent map read and map write`, causing C2 process crash (availability loss). Version 3.21.2 fixes this issue.</t>
        </is>
      </c>
      <c r="D683" t="n">
        <v>5</v>
      </c>
      <c r="E683" t="inlineStr">
        <is>
          <t>MEDIUM</t>
        </is>
      </c>
      <c r="F683" t="n">
        <v>2</v>
      </c>
      <c r="G683" t="n">
        <v>2</v>
      </c>
      <c r="H683" t="inlineStr">
        <is>
          <t>MEDIUM</t>
        </is>
      </c>
      <c r="I683" t="n">
        <v>9</v>
      </c>
      <c r="J683" t="inlineStr">
        <is>
          <t>NO</t>
        </is>
      </c>
      <c r="K683" t="inlineStr">
        <is>
          <t>2026-02-23 23:48</t>
        </is>
      </c>
      <c r="L683" t="inlineStr">
        <is>
          <t>CHECK_VENDOR</t>
        </is>
      </c>
      <c r="M683" t="inlineStr">
        <is>
          <t>See CVE details</t>
        </is>
      </c>
      <c r="N683" t="inlineStr">
        <is>
          <t>P4</t>
        </is>
      </c>
      <c r="O683" t="inlineStr">
        <is>
          <t>CVE - IP enrichment n/a</t>
        </is>
      </c>
      <c r="P683" t="n">
        <v>0</v>
      </c>
      <c r="Q683" t="n">
        <v>0</v>
      </c>
      <c r="R683" t="inlineStr">
        <is>
          <t>T1068:Exploitation for Privilege Escalation</t>
        </is>
      </c>
      <c r="S683" t="n">
        <v>1</v>
      </c>
      <c r="T683" t="inlineStr">
        <is>
          <t>LOW (40%)</t>
        </is>
      </c>
      <c r="U683" t="inlineStr">
        <is>
          <t>UNLIKELY</t>
        </is>
      </c>
      <c r="V683" t="inlineStr">
        <is>
          <t>CHECK_VENDOR</t>
        </is>
      </c>
      <c r="W683" t="inlineStr">
        <is>
          <t>https://nvd.nist.gov/vuln/detail/CVE-2026-26201</t>
        </is>
      </c>
      <c r="X683" t="inlineStr">
        <is>
          <t>NONE</t>
        </is>
      </c>
      <c r="Y683" t="n">
        <v>0</v>
      </c>
      <c r="Z683" t="inlineStr"/>
      <c r="AA683" t="inlineStr">
        <is>
          <t>https://nvd.nist.gov/vuln/detail/CVE-2026-26201</t>
        </is>
      </c>
    </row>
    <row r="684">
      <c r="A684" t="inlineStr">
        <is>
          <t>CVE</t>
        </is>
      </c>
      <c r="B684" t="inlineStr">
        <is>
          <t>CVE-2026-26202</t>
        </is>
      </c>
      <c r="C684" t="inlineStr">
        <is>
          <t>Penpot is an open-source design tool for design and code collaboration. Prior to version 2.13.2, an authenticated user can read arbitrary files from the server by supplying a local file path (e.g. `/etc/passwd`) as a font data chunk in the `create-font-variant` RPC endpoint, resulting in the file contents being stored and retrievable as a "font" asset. This is an arbitrary file read vulnerability. Any authenticated user with team edit permissions can read arbitrary files accessible to the Penpot</t>
        </is>
      </c>
      <c r="D684" t="n">
        <v>7.5</v>
      </c>
      <c r="E684" t="inlineStr">
        <is>
          <t>HIGH</t>
        </is>
      </c>
      <c r="F684" t="n">
        <v>2</v>
      </c>
      <c r="G684" t="n">
        <v>3</v>
      </c>
      <c r="H684" t="inlineStr">
        <is>
          <t>HIGH</t>
        </is>
      </c>
      <c r="I684" t="n">
        <v>13.5</v>
      </c>
      <c r="J684" t="inlineStr">
        <is>
          <t>NO</t>
        </is>
      </c>
      <c r="K684" t="inlineStr">
        <is>
          <t>2026-02-23 23:48</t>
        </is>
      </c>
      <c r="L684" t="inlineStr">
        <is>
          <t>YES</t>
        </is>
      </c>
      <c r="M684" t="inlineStr">
        <is>
          <t>kaleidos penpot *</t>
        </is>
      </c>
      <c r="N684" t="inlineStr">
        <is>
          <t>P3</t>
        </is>
      </c>
      <c r="O684" t="inlineStr">
        <is>
          <t>CVE - IP enrichment n/a</t>
        </is>
      </c>
      <c r="P684" t="n">
        <v>0</v>
      </c>
      <c r="Q684" t="n">
        <v>0</v>
      </c>
      <c r="R684" t="inlineStr">
        <is>
          <t>T1083:File and Directory Discovery | T1190:Exploit Public-Facing Application | T1552:Unsecured Credentials</t>
        </is>
      </c>
      <c r="S684" t="n">
        <v>1</v>
      </c>
      <c r="T684" t="inlineStr">
        <is>
          <t>LOW (40%)</t>
        </is>
      </c>
      <c r="U684" t="inlineStr">
        <is>
          <t>UNLIKELY</t>
        </is>
      </c>
      <c r="V684" t="inlineStr">
        <is>
          <t>PATCH_AVAILABLE</t>
        </is>
      </c>
      <c r="W684" t="inlineStr">
        <is>
          <t>https://nvd.nist.gov/vuln/detail/CVE-2026-26202</t>
        </is>
      </c>
      <c r="X684" t="inlineStr">
        <is>
          <t>NONE</t>
        </is>
      </c>
      <c r="Y684" t="n">
        <v>0</v>
      </c>
      <c r="Z684" t="inlineStr"/>
      <c r="AA684" t="inlineStr">
        <is>
          <t>https://nvd.nist.gov/vuln/detail/CVE-2026-26202</t>
        </is>
      </c>
    </row>
    <row r="685">
      <c r="A685" t="inlineStr">
        <is>
          <t>CVE</t>
        </is>
      </c>
      <c r="B685" t="inlineStr">
        <is>
          <t>CVE-2026-26203</t>
        </is>
      </c>
      <c r="C685" t="inlineStr">
        <is>
          <t>PJSIP is a free and open source multimedia communication library. Versions prior to 2.17 have a critical heap buffer underflow vulnerability in PJSIP's H.264 packetizer. The bug occurs when processing malformed H.264 bitstreams without NAL unit start codes, where the packetizer performs unchecked pointer arithmetic that can read from memory located before the allocated buffer. Version 2.17 contains a patch for the issue.</t>
        </is>
      </c>
      <c r="D685" t="n">
        <v>6.5</v>
      </c>
      <c r="E685" t="inlineStr">
        <is>
          <t>MEDIUM</t>
        </is>
      </c>
      <c r="F685" t="n">
        <v>2</v>
      </c>
      <c r="G685" t="n">
        <v>2</v>
      </c>
      <c r="H685" t="inlineStr">
        <is>
          <t>MEDIUM</t>
        </is>
      </c>
      <c r="I685" t="n">
        <v>10.5</v>
      </c>
      <c r="J685" t="inlineStr">
        <is>
          <t>NO</t>
        </is>
      </c>
      <c r="K685" t="inlineStr">
        <is>
          <t>2026-02-23 23:48</t>
        </is>
      </c>
      <c r="L685" t="inlineStr">
        <is>
          <t>YES</t>
        </is>
      </c>
      <c r="M685" t="inlineStr">
        <is>
          <t>pjsip pjsip *</t>
        </is>
      </c>
      <c r="N685" t="inlineStr">
        <is>
          <t>P4</t>
        </is>
      </c>
      <c r="O685" t="inlineStr">
        <is>
          <t>CVE - IP enrichment n/a</t>
        </is>
      </c>
      <c r="P685" t="n">
        <v>0</v>
      </c>
      <c r="Q685" t="n">
        <v>0</v>
      </c>
      <c r="R685" t="inlineStr">
        <is>
          <t>T1203:Exploitation for Client Execution | T1190:Exploit Public-Facing Application</t>
        </is>
      </c>
      <c r="S685" t="n">
        <v>1</v>
      </c>
      <c r="T685" t="inlineStr">
        <is>
          <t>LOW (40%)</t>
        </is>
      </c>
      <c r="U685" t="inlineStr">
        <is>
          <t>UNLIKELY</t>
        </is>
      </c>
      <c r="V685" t="inlineStr">
        <is>
          <t>PATCH_AVAILABLE</t>
        </is>
      </c>
      <c r="W685" t="inlineStr">
        <is>
          <t>https://nvd.nist.gov/vuln/detail/CVE-2026-26203</t>
        </is>
      </c>
      <c r="X685" t="inlineStr">
        <is>
          <t>NONE</t>
        </is>
      </c>
      <c r="Y685" t="n">
        <v>0</v>
      </c>
      <c r="Z685" t="inlineStr"/>
      <c r="AA685" t="inlineStr">
        <is>
          <t>https://nvd.nist.gov/vuln/detail/CVE-2026-26203</t>
        </is>
      </c>
    </row>
    <row r="686">
      <c r="A686" t="inlineStr">
        <is>
          <t>CVE</t>
        </is>
      </c>
      <c r="B686" t="inlineStr">
        <is>
          <t>CVE-2026-26205</t>
        </is>
      </c>
      <c r="C686" t="inlineStr">
        <is>
          <t xml:space="preserve">opa-envoy-plugun is a plugin to enforce OPA policies with Envoy. Versions prior to 1.13.2-envoy-2 have a vulnerability in how the `input.parsed_path` field is constructed. HTTP request paths are treated as full URIs when parsed; interpreting leading path segments prefixed with double slashes (`//`) as authority components, and therefore dropping them from the parsed path. This creates a path interpretation mismatch between authorization policies and backend servers, enabling attackers to bypass </t>
        </is>
      </c>
      <c r="D686" t="n">
        <v>8.5</v>
      </c>
      <c r="E686" t="inlineStr">
        <is>
          <t>HIGH</t>
        </is>
      </c>
      <c r="F686" t="n">
        <v>2</v>
      </c>
      <c r="G686" t="n">
        <v>3</v>
      </c>
      <c r="H686" t="inlineStr">
        <is>
          <t>HIGH</t>
        </is>
      </c>
      <c r="I686" t="n">
        <v>14.5</v>
      </c>
      <c r="J686" t="inlineStr">
        <is>
          <t>NO</t>
        </is>
      </c>
      <c r="K686" t="inlineStr">
        <is>
          <t>2026-02-23 23:48</t>
        </is>
      </c>
      <c r="L686" t="inlineStr">
        <is>
          <t>CHECK_VENDOR</t>
        </is>
      </c>
      <c r="M686" t="inlineStr">
        <is>
          <t>See CVE details</t>
        </is>
      </c>
      <c r="N686" t="inlineStr">
        <is>
          <t>P3</t>
        </is>
      </c>
      <c r="O686" t="inlineStr">
        <is>
          <t>CVE - IP enrichment n/a</t>
        </is>
      </c>
      <c r="P686" t="n">
        <v>0.0008</v>
      </c>
      <c r="Q686" t="n">
        <v>0.241</v>
      </c>
      <c r="R686" t="inlineStr">
        <is>
          <t>T1190:Exploit Public-Facing Application</t>
        </is>
      </c>
      <c r="S686" t="n">
        <v>1</v>
      </c>
      <c r="T686" t="inlineStr">
        <is>
          <t>LOW (40%)</t>
        </is>
      </c>
      <c r="U686" t="inlineStr">
        <is>
          <t>UNLIKELY</t>
        </is>
      </c>
      <c r="V686" t="inlineStr">
        <is>
          <t>CHECK_VENDOR</t>
        </is>
      </c>
      <c r="W686" t="inlineStr">
        <is>
          <t>https://nvd.nist.gov/vuln/detail/CVE-2026-26205</t>
        </is>
      </c>
      <c r="X686" t="inlineStr">
        <is>
          <t>NONE</t>
        </is>
      </c>
      <c r="Y686" t="n">
        <v>0</v>
      </c>
      <c r="Z686" t="inlineStr"/>
      <c r="AA686" t="inlineStr">
        <is>
          <t>https://nvd.nist.gov/vuln/detail/CVE-2026-26205</t>
        </is>
      </c>
    </row>
    <row r="687">
      <c r="A687" t="inlineStr">
        <is>
          <t>CVE</t>
        </is>
      </c>
      <c r="B687" t="inlineStr">
        <is>
          <t>CVE-2026-26267</t>
        </is>
      </c>
      <c r="C687" t="inlineStr">
        <is>
          <t>soroban-sdk is a Rust SDK for Soroban contracts. Prior to versions 22.0.10, 23.5.2, and 25.1.1, the `#[contractimpl]` macro contains a bug in how it wires up function calls. `#[contractimpl]` generates code that uses `MyContract::value()` style calls even when it's processing the trait version. This means if an inherent function is also defined with the same name, the inherent function gets called instead of the trait function. This means the Wasm-exported entry point silently calls the wrong fu</t>
        </is>
      </c>
      <c r="D687" t="n">
        <v>7.5</v>
      </c>
      <c r="E687" t="inlineStr">
        <is>
          <t>HIGH</t>
        </is>
      </c>
      <c r="F687" t="n">
        <v>2</v>
      </c>
      <c r="G687" t="n">
        <v>3</v>
      </c>
      <c r="H687" t="inlineStr">
        <is>
          <t>HIGH</t>
        </is>
      </c>
      <c r="I687" t="n">
        <v>13.5</v>
      </c>
      <c r="J687" t="inlineStr">
        <is>
          <t>NO</t>
        </is>
      </c>
      <c r="K687" t="inlineStr">
        <is>
          <t>2026-02-23 23:48</t>
        </is>
      </c>
      <c r="L687" t="inlineStr">
        <is>
          <t>YES</t>
        </is>
      </c>
      <c r="M687" t="inlineStr">
        <is>
          <t>stellar rs-soroban-sdk *</t>
        </is>
      </c>
      <c r="N687" t="inlineStr">
        <is>
          <t>P3</t>
        </is>
      </c>
      <c r="O687" t="inlineStr">
        <is>
          <t>CVE - IP enrichment n/a</t>
        </is>
      </c>
      <c r="P687" t="n">
        <v>0.0003</v>
      </c>
      <c r="Q687" t="n">
        <v>0.0701</v>
      </c>
      <c r="R687" t="inlineStr">
        <is>
          <t>T1190:Exploit Public-Facing Application</t>
        </is>
      </c>
      <c r="S687" t="n">
        <v>1</v>
      </c>
      <c r="T687" t="inlineStr">
        <is>
          <t>LOW (40%)</t>
        </is>
      </c>
      <c r="U687" t="inlineStr">
        <is>
          <t>UNLIKELY</t>
        </is>
      </c>
      <c r="V687" t="inlineStr">
        <is>
          <t>PATCH_AVAILABLE</t>
        </is>
      </c>
      <c r="W687" t="inlineStr">
        <is>
          <t>https://nvd.nist.gov/vuln/detail/CVE-2026-26267</t>
        </is>
      </c>
      <c r="X687" t="inlineStr">
        <is>
          <t>NONE</t>
        </is>
      </c>
      <c r="Y687" t="n">
        <v>0</v>
      </c>
      <c r="Z687" t="inlineStr"/>
      <c r="AA687" t="inlineStr">
        <is>
          <t>https://nvd.nist.gov/vuln/detail/CVE-2026-26267</t>
        </is>
      </c>
    </row>
    <row r="688">
      <c r="A688" t="inlineStr">
        <is>
          <t>CVE</t>
        </is>
      </c>
      <c r="B688" t="inlineStr">
        <is>
          <t>CVE-2026-26278</t>
        </is>
      </c>
      <c r="C688" t="inlineStr">
        <is>
          <t>fast-xml-parser allows users to validate XML, parse XML to JS object, or build XML from JS object without C/C++ based libraries and no callback. In versions 4.1.3 through 5.3.5, the XML parser can be forced to do an unlimited amount of entity expansion. With a very small XML input, it’s possible to make the parser spend seconds or even minutes processing a single request, effectively freezing the application. Version 5.3.6 fixes the issue. As a workaround, avoid using DOCTYPE parsing by `process</t>
        </is>
      </c>
      <c r="D688" t="n">
        <v>7.5</v>
      </c>
      <c r="E688" t="inlineStr">
        <is>
          <t>HIGH</t>
        </is>
      </c>
      <c r="F688" t="n">
        <v>2</v>
      </c>
      <c r="G688" t="n">
        <v>3</v>
      </c>
      <c r="H688" t="inlineStr">
        <is>
          <t>HIGH</t>
        </is>
      </c>
      <c r="I688" t="n">
        <v>13.5</v>
      </c>
      <c r="J688" t="inlineStr">
        <is>
          <t>NO</t>
        </is>
      </c>
      <c r="K688" t="inlineStr">
        <is>
          <t>2026-02-23 23:48</t>
        </is>
      </c>
      <c r="L688" t="inlineStr">
        <is>
          <t>YES</t>
        </is>
      </c>
      <c r="M688" t="inlineStr">
        <is>
          <t>naturalintelligence fast-xml-parser *</t>
        </is>
      </c>
      <c r="N688" t="inlineStr">
        <is>
          <t>P3</t>
        </is>
      </c>
      <c r="O688" t="inlineStr">
        <is>
          <t>CVE - IP enrichment n/a</t>
        </is>
      </c>
      <c r="P688" t="n">
        <v>0</v>
      </c>
      <c r="Q688" t="n">
        <v>0</v>
      </c>
      <c r="R688" t="inlineStr">
        <is>
          <t>T1190:Exploit Public-Facing Application</t>
        </is>
      </c>
      <c r="S688" t="n">
        <v>1</v>
      </c>
      <c r="T688" t="inlineStr">
        <is>
          <t>LOW (40%)</t>
        </is>
      </c>
      <c r="U688" t="inlineStr">
        <is>
          <t>UNLIKELY</t>
        </is>
      </c>
      <c r="V688" t="inlineStr">
        <is>
          <t>PATCH_AVAILABLE</t>
        </is>
      </c>
      <c r="W688" t="inlineStr">
        <is>
          <t>https://nvd.nist.gov/vuln/detail/CVE-2026-26278</t>
        </is>
      </c>
      <c r="X688" t="inlineStr">
        <is>
          <t>NONE</t>
        </is>
      </c>
      <c r="Y688" t="n">
        <v>0</v>
      </c>
      <c r="Z688" t="inlineStr"/>
      <c r="AA688" t="inlineStr">
        <is>
          <t>https://nvd.nist.gov/vuln/detail/CVE-2026-26278</t>
        </is>
      </c>
    </row>
    <row r="689">
      <c r="A689" t="inlineStr">
        <is>
          <t>CVE</t>
        </is>
      </c>
      <c r="B689" t="inlineStr">
        <is>
          <t>CVE-2026-26280</t>
        </is>
      </c>
      <c r="C689" t="inlineStr">
        <is>
          <t>systeminformation is a System and OS information library for node.js. In versions prior to 5.30.8, a command injection vulnerability in the `wifiNetworks()` function allows an attacker to execute arbitrary OS commands via an unsanitized network interface parameter in the retry code path. In `lib/wifi.js`, the `wifiNetworks()` function sanitizes the `iface` parameter on the initial call (line 437). However, when the initial scan returns empty results, a `setTimeout` retry (lines 440-441) calls `g</t>
        </is>
      </c>
      <c r="D689" t="n">
        <v>8.4</v>
      </c>
      <c r="E689" t="inlineStr">
        <is>
          <t>HIGH</t>
        </is>
      </c>
      <c r="F689" t="n">
        <v>2</v>
      </c>
      <c r="G689" t="n">
        <v>3</v>
      </c>
      <c r="H689" t="inlineStr">
        <is>
          <t>HIGH</t>
        </is>
      </c>
      <c r="I689" t="n">
        <v>14.4</v>
      </c>
      <c r="J689" t="inlineStr">
        <is>
          <t>NO</t>
        </is>
      </c>
      <c r="K689" t="inlineStr">
        <is>
          <t>2026-02-23 23:48</t>
        </is>
      </c>
      <c r="L689" t="inlineStr">
        <is>
          <t>YES</t>
        </is>
      </c>
      <c r="M689" t="inlineStr">
        <is>
          <t>systeminformation systeminformation *</t>
        </is>
      </c>
      <c r="N689" t="inlineStr">
        <is>
          <t>P3</t>
        </is>
      </c>
      <c r="O689" t="inlineStr">
        <is>
          <t>CVE - IP enrichment n/a</t>
        </is>
      </c>
      <c r="P689" t="n">
        <v>0.0005999999999999999</v>
      </c>
      <c r="Q689" t="n">
        <v>0.1939</v>
      </c>
      <c r="R689" t="inlineStr">
        <is>
          <t>T1059:Command and Scripting Interpreter</t>
        </is>
      </c>
      <c r="S689" t="n">
        <v>1</v>
      </c>
      <c r="T689" t="inlineStr">
        <is>
          <t>LOW (40%)</t>
        </is>
      </c>
      <c r="U689" t="inlineStr">
        <is>
          <t>UNLIKELY</t>
        </is>
      </c>
      <c r="V689" t="inlineStr">
        <is>
          <t>PATCH_AVAILABLE</t>
        </is>
      </c>
      <c r="W689" t="inlineStr">
        <is>
          <t>https://nvd.nist.gov/vuln/detail/CVE-2026-26280</t>
        </is>
      </c>
      <c r="X689" t="inlineStr">
        <is>
          <t>NONE</t>
        </is>
      </c>
      <c r="Y689" t="n">
        <v>0</v>
      </c>
      <c r="Z689" t="inlineStr"/>
      <c r="AA689" t="inlineStr">
        <is>
          <t>https://nvd.nist.gov/vuln/detail/CVE-2026-26280</t>
        </is>
      </c>
    </row>
    <row r="690">
      <c r="A690" t="inlineStr">
        <is>
          <t>CVE</t>
        </is>
      </c>
      <c r="B690" t="inlineStr">
        <is>
          <t>CVE-2026-26318</t>
        </is>
      </c>
      <c r="C690" t="inlineStr">
        <is>
          <t>systeminformation is a System and OS information library for node.js. Versions prior to 5.31.0 are vulnerable to command injection via unsanitized `locate` output in `versions()`. Version 5.31.0 fixes the issue.</t>
        </is>
      </c>
      <c r="D690" t="n">
        <v>8.800000000000001</v>
      </c>
      <c r="E690" t="inlineStr">
        <is>
          <t>HIGH</t>
        </is>
      </c>
      <c r="F690" t="n">
        <v>2</v>
      </c>
      <c r="G690" t="n">
        <v>3</v>
      </c>
      <c r="H690" t="inlineStr">
        <is>
          <t>HIGH</t>
        </is>
      </c>
      <c r="I690" t="n">
        <v>14.8</v>
      </c>
      <c r="J690" t="inlineStr">
        <is>
          <t>NO</t>
        </is>
      </c>
      <c r="K690" t="inlineStr">
        <is>
          <t>2026-02-23 23:48</t>
        </is>
      </c>
      <c r="L690" t="inlineStr">
        <is>
          <t>YES</t>
        </is>
      </c>
      <c r="M690" t="inlineStr">
        <is>
          <t>systeminformation systeminformation *</t>
        </is>
      </c>
      <c r="N690" t="inlineStr">
        <is>
          <t>P3</t>
        </is>
      </c>
      <c r="O690" t="inlineStr">
        <is>
          <t>CVE - IP enrichment n/a</t>
        </is>
      </c>
      <c r="P690" t="n">
        <v>0</v>
      </c>
      <c r="Q690" t="n">
        <v>0</v>
      </c>
      <c r="R690" t="inlineStr">
        <is>
          <t>T1059:Command and Scripting Interpreter</t>
        </is>
      </c>
      <c r="S690" t="n">
        <v>1</v>
      </c>
      <c r="T690" t="inlineStr">
        <is>
          <t>LOW (40%)</t>
        </is>
      </c>
      <c r="U690" t="inlineStr">
        <is>
          <t>UNLIKELY</t>
        </is>
      </c>
      <c r="V690" t="inlineStr">
        <is>
          <t>PATCH_AVAILABLE</t>
        </is>
      </c>
      <c r="W690" t="inlineStr">
        <is>
          <t>https://nvd.nist.gov/vuln/detail/CVE-2026-26318</t>
        </is>
      </c>
      <c r="X690" t="inlineStr">
        <is>
          <t>NONE</t>
        </is>
      </c>
      <c r="Y690" t="n">
        <v>0</v>
      </c>
      <c r="Z690" t="inlineStr"/>
      <c r="AA690" t="inlineStr">
        <is>
          <t>https://nvd.nist.gov/vuln/detail/CVE-2026-26318</t>
        </is>
      </c>
    </row>
    <row r="691">
      <c r="A691" t="inlineStr">
        <is>
          <t>CVE</t>
        </is>
      </c>
      <c r="B691" t="inlineStr">
        <is>
          <t>CVE-2026-27013</t>
        </is>
      </c>
      <c r="C691" t="inlineStr">
        <is>
          <t>Fabric.js is a Javascript HTML5 canvas library. Prior to version 7.2.0, Fabric.js applies `escapeXml()` to text content during SVG export (`src/shapes/Text/TextSVGExportMixin.ts:186`) but fails to apply it to other user-controlled string values that are interpolated into SVG attribute markup. When attacker-controlled JSON is loaded via `loadFromJSON()` and later exported via `toSVG()`, the unescaped values break out of XML attributes and inject arbitrary SVG elements including event handlers. An</t>
        </is>
      </c>
      <c r="D691" t="n">
        <v>7.6</v>
      </c>
      <c r="E691" t="inlineStr">
        <is>
          <t>HIGH</t>
        </is>
      </c>
      <c r="F691" t="n">
        <v>2</v>
      </c>
      <c r="G691" t="n">
        <v>3</v>
      </c>
      <c r="H691" t="inlineStr">
        <is>
          <t>HIGH</t>
        </is>
      </c>
      <c r="I691" t="n">
        <v>13.6</v>
      </c>
      <c r="J691" t="inlineStr">
        <is>
          <t>NO</t>
        </is>
      </c>
      <c r="K691" t="inlineStr">
        <is>
          <t>2026-02-23 23:48</t>
        </is>
      </c>
      <c r="L691" t="inlineStr">
        <is>
          <t>YES</t>
        </is>
      </c>
      <c r="M691" t="inlineStr">
        <is>
          <t>fabricjs fabric.js *</t>
        </is>
      </c>
      <c r="N691" t="inlineStr">
        <is>
          <t>P3</t>
        </is>
      </c>
      <c r="O691" t="inlineStr">
        <is>
          <t>CVE - IP enrichment n/a</t>
        </is>
      </c>
      <c r="P691" t="n">
        <v>0.0004</v>
      </c>
      <c r="Q691" t="n">
        <v>0.1142</v>
      </c>
      <c r="R691" t="inlineStr">
        <is>
          <t>T1189:Drive-by Compromise</t>
        </is>
      </c>
      <c r="S691" t="n">
        <v>1</v>
      </c>
      <c r="T691" t="inlineStr">
        <is>
          <t>LOW (40%)</t>
        </is>
      </c>
      <c r="U691" t="inlineStr">
        <is>
          <t>UNLIKELY</t>
        </is>
      </c>
      <c r="V691" t="inlineStr">
        <is>
          <t>PATCH_AVAILABLE</t>
        </is>
      </c>
      <c r="W691" t="inlineStr">
        <is>
          <t>https://nvd.nist.gov/vuln/detail/CVE-2026-27013</t>
        </is>
      </c>
      <c r="X691" t="inlineStr">
        <is>
          <t>NONE</t>
        </is>
      </c>
      <c r="Y691" t="n">
        <v>0</v>
      </c>
      <c r="Z691" t="inlineStr"/>
      <c r="AA691" t="inlineStr">
        <is>
          <t>https://nvd.nist.gov/vuln/detail/CVE-2026-27013</t>
        </is>
      </c>
    </row>
    <row r="692">
      <c r="A692" t="inlineStr">
        <is>
          <t>CVE</t>
        </is>
      </c>
      <c r="B692" t="inlineStr">
        <is>
          <t>CVE-2025-67305</t>
        </is>
      </c>
      <c r="C692" t="inlineStr">
        <is>
          <t>In RUCKUS Network Director (RND) &lt; 4.5.0.56, the OVA appliance contains hardcoded SSH keys for the postgres user. These keys are identical across all deployments, allowing an attacker with network access to authenticate via SSH without a password. Once authenticated, the attacker can access the PostgreSQL database with superuser privileges, create administrative users for the web interface, and potentially escalate privileges further.</t>
        </is>
      </c>
      <c r="D692" t="n">
        <v>9.800000000000001</v>
      </c>
      <c r="E692" t="inlineStr">
        <is>
          <t>CRITICAL</t>
        </is>
      </c>
      <c r="F692" t="n">
        <v>2</v>
      </c>
      <c r="G692" t="n">
        <v>3</v>
      </c>
      <c r="H692" t="inlineStr">
        <is>
          <t>HIGH</t>
        </is>
      </c>
      <c r="I692" t="n">
        <v>15.8</v>
      </c>
      <c r="J692" t="inlineStr">
        <is>
          <t>NO</t>
        </is>
      </c>
      <c r="K692" t="inlineStr">
        <is>
          <t>2026-02-23 23:48</t>
        </is>
      </c>
      <c r="L692" t="inlineStr">
        <is>
          <t>CHECK_VENDOR</t>
        </is>
      </c>
      <c r="M692" t="inlineStr">
        <is>
          <t>See CVE details</t>
        </is>
      </c>
      <c r="N692" t="inlineStr">
        <is>
          <t>P3</t>
        </is>
      </c>
      <c r="O692" t="inlineStr">
        <is>
          <t>CVE - IP enrichment n/a</t>
        </is>
      </c>
      <c r="P692" t="n">
        <v>0</v>
      </c>
      <c r="Q692" t="n">
        <v>0</v>
      </c>
      <c r="R692" t="inlineStr">
        <is>
          <t>T1552:Unsecured Credentials</t>
        </is>
      </c>
      <c r="S692" t="n">
        <v>1</v>
      </c>
      <c r="T692" t="inlineStr">
        <is>
          <t>LOW (40%)</t>
        </is>
      </c>
      <c r="U692" t="inlineStr">
        <is>
          <t>UNLIKELY</t>
        </is>
      </c>
      <c r="V692" t="inlineStr">
        <is>
          <t>CHECK_VENDOR</t>
        </is>
      </c>
      <c r="W692" t="inlineStr">
        <is>
          <t>https://nvd.nist.gov/vuln/detail/CVE-2025-67305</t>
        </is>
      </c>
      <c r="X692" t="inlineStr">
        <is>
          <t>NONE</t>
        </is>
      </c>
      <c r="Y692" t="n">
        <v>0</v>
      </c>
      <c r="Z692" t="inlineStr"/>
      <c r="AA692" t="inlineStr">
        <is>
          <t>https://nvd.nist.gov/vuln/detail/CVE-2025-67305</t>
        </is>
      </c>
    </row>
    <row r="693">
      <c r="A693" t="inlineStr">
        <is>
          <t>CVE</t>
        </is>
      </c>
      <c r="B693" t="inlineStr">
        <is>
          <t>CVE-2026-26282</t>
        </is>
      </c>
      <c r="C693" t="inlineStr">
        <is>
          <t>NanaZip is an open source file archive Starting in version 5.0.1252.0 and prior to version 6.0.1630.0, NanaZip has an out-of-bounds heap read in `.NET Single File` bundle header parser due to missing bounds check. Opening a crafted file with NanaZip causes a crash or leaks heap data to the user. Version 6.0.1630.0 patches the issue.</t>
        </is>
      </c>
      <c r="D693" t="n">
        <v>6.6</v>
      </c>
      <c r="E693" t="inlineStr">
        <is>
          <t>MEDIUM</t>
        </is>
      </c>
      <c r="F693" t="n">
        <v>2</v>
      </c>
      <c r="G693" t="n">
        <v>2</v>
      </c>
      <c r="H693" t="inlineStr">
        <is>
          <t>MEDIUM</t>
        </is>
      </c>
      <c r="I693" t="n">
        <v>10.6</v>
      </c>
      <c r="J693" t="inlineStr">
        <is>
          <t>NO</t>
        </is>
      </c>
      <c r="K693" t="inlineStr">
        <is>
          <t>2026-02-23 23:48</t>
        </is>
      </c>
      <c r="L693" t="inlineStr">
        <is>
          <t>CHECK_VENDOR</t>
        </is>
      </c>
      <c r="M693" t="inlineStr">
        <is>
          <t>m2team nanazip *</t>
        </is>
      </c>
      <c r="N693" t="inlineStr">
        <is>
          <t>P4</t>
        </is>
      </c>
      <c r="O693" t="inlineStr">
        <is>
          <t>CVE - IP enrichment n/a</t>
        </is>
      </c>
      <c r="P693" t="n">
        <v>0</v>
      </c>
      <c r="Q693" t="n">
        <v>0</v>
      </c>
      <c r="R693" t="inlineStr">
        <is>
          <t>T1203:Exploitation for Client Execution | T1190:Exploit Public-Facing Application</t>
        </is>
      </c>
      <c r="S693" t="n">
        <v>1</v>
      </c>
      <c r="T693" t="inlineStr">
        <is>
          <t>LOW (40%)</t>
        </is>
      </c>
      <c r="U693" t="inlineStr">
        <is>
          <t>UNLIKELY</t>
        </is>
      </c>
      <c r="V693" t="inlineStr">
        <is>
          <t>CHECK_VENDOR</t>
        </is>
      </c>
      <c r="W693" t="inlineStr">
        <is>
          <t>https://nvd.nist.gov/vuln/detail/CVE-2026-26282</t>
        </is>
      </c>
      <c r="X693" t="inlineStr">
        <is>
          <t>NONE</t>
        </is>
      </c>
      <c r="Y693" t="n">
        <v>0</v>
      </c>
      <c r="Z693" t="inlineStr"/>
      <c r="AA693" t="inlineStr">
        <is>
          <t>https://nvd.nist.gov/vuln/detail/CVE-2026-26282</t>
        </is>
      </c>
    </row>
    <row r="694">
      <c r="A694" t="inlineStr">
        <is>
          <t>CVE</t>
        </is>
      </c>
      <c r="B694" t="inlineStr">
        <is>
          <t>CVE-2026-26286</t>
        </is>
      </c>
      <c r="C694" t="inlineStr">
        <is>
          <t>SillyTavern is a locally installed user interface that allows users to interact with text generation large language models, image generation engines, and text-to-speech voice models. In versions prior to 1.16.0, a Server-Side Request Forgery (SSRF) vulnerability in the asset download endpoint allows authenticated users to make arbitrary HTTP requests from the server and read the full response body, enabling access to internal services, cloud metadata, and private network resources. The vulnerabi</t>
        </is>
      </c>
      <c r="D694" t="n">
        <v>8.5</v>
      </c>
      <c r="E694" t="inlineStr">
        <is>
          <t>HIGH</t>
        </is>
      </c>
      <c r="F694" t="n">
        <v>2</v>
      </c>
      <c r="G694" t="n">
        <v>3</v>
      </c>
      <c r="H694" t="inlineStr">
        <is>
          <t>HIGH</t>
        </is>
      </c>
      <c r="I694" t="n">
        <v>14.5</v>
      </c>
      <c r="J694" t="inlineStr">
        <is>
          <t>NO</t>
        </is>
      </c>
      <c r="K694" t="inlineStr">
        <is>
          <t>2026-02-23 23:48</t>
        </is>
      </c>
      <c r="L694" t="inlineStr">
        <is>
          <t>YES</t>
        </is>
      </c>
      <c r="M694" t="inlineStr">
        <is>
          <t>sillytavern sillytavern *</t>
        </is>
      </c>
      <c r="N694" t="inlineStr">
        <is>
          <t>P3</t>
        </is>
      </c>
      <c r="O694" t="inlineStr">
        <is>
          <t>CVE - IP enrichment n/a</t>
        </is>
      </c>
      <c r="P694" t="n">
        <v>0</v>
      </c>
      <c r="Q694" t="n">
        <v>0</v>
      </c>
      <c r="R694" t="inlineStr">
        <is>
          <t>T1090:Proxy | T1190:Exploit Public-Facing Application</t>
        </is>
      </c>
      <c r="S694" t="n">
        <v>1</v>
      </c>
      <c r="T694" t="inlineStr">
        <is>
          <t>LOW (40%)</t>
        </is>
      </c>
      <c r="U694" t="inlineStr">
        <is>
          <t>UNLIKELY</t>
        </is>
      </c>
      <c r="V694" t="inlineStr">
        <is>
          <t>PATCH_AVAILABLE</t>
        </is>
      </c>
      <c r="W694" t="inlineStr">
        <is>
          <t>https://nvd.nist.gov/vuln/detail/CVE-2026-26286</t>
        </is>
      </c>
      <c r="X694" t="inlineStr">
        <is>
          <t>NONE</t>
        </is>
      </c>
      <c r="Y694" t="n">
        <v>0</v>
      </c>
      <c r="Z694" t="inlineStr"/>
      <c r="AA694" t="inlineStr">
        <is>
          <t>https://nvd.nist.gov/vuln/detail/CVE-2026-26286</t>
        </is>
      </c>
    </row>
    <row r="695">
      <c r="A695" t="inlineStr">
        <is>
          <t>CVE</t>
        </is>
      </c>
      <c r="B695" t="inlineStr">
        <is>
          <t>CVE-2026-26312</t>
        </is>
      </c>
      <c r="C695" t="inlineStr">
        <is>
          <t xml:space="preserve">Stalwart is a mail and collaboration server. A denial-of-service vulnerability exists in Stalwart Mail Server versions 0.13.0 through 0.15.4 where accessing a specially crafted email containing malformed nested `message/rfc822` MIME parts via IMAP or JMAP causes excessive CPU and memory consumption, potentially leading to an out-of-memory condition and server crash. The malformed structure causes the `mail-parser` crate to produce cyclical references in its parsed representation, which Stalwart </t>
        </is>
      </c>
      <c r="D695" t="n">
        <v>6.5</v>
      </c>
      <c r="E695" t="inlineStr">
        <is>
          <t>MEDIUM</t>
        </is>
      </c>
      <c r="F695" t="n">
        <v>2</v>
      </c>
      <c r="G695" t="n">
        <v>2</v>
      </c>
      <c r="H695" t="inlineStr">
        <is>
          <t>MEDIUM</t>
        </is>
      </c>
      <c r="I695" t="n">
        <v>10.5</v>
      </c>
      <c r="J695" t="inlineStr">
        <is>
          <t>NO</t>
        </is>
      </c>
      <c r="K695" t="inlineStr">
        <is>
          <t>2026-02-23 23:48</t>
        </is>
      </c>
      <c r="L695" t="inlineStr">
        <is>
          <t>YES</t>
        </is>
      </c>
      <c r="M695" t="inlineStr">
        <is>
          <t>stalw stalwart *</t>
        </is>
      </c>
      <c r="N695" t="inlineStr">
        <is>
          <t>P4</t>
        </is>
      </c>
      <c r="O695" t="inlineStr">
        <is>
          <t>CVE - IP enrichment n/a</t>
        </is>
      </c>
      <c r="P695" t="n">
        <v>0</v>
      </c>
      <c r="Q695" t="n">
        <v>0</v>
      </c>
      <c r="R695" t="inlineStr">
        <is>
          <t>T1190:Exploit Public-Facing Application</t>
        </is>
      </c>
      <c r="S695" t="n">
        <v>1</v>
      </c>
      <c r="T695" t="inlineStr">
        <is>
          <t>LOW (40%)</t>
        </is>
      </c>
      <c r="U695" t="inlineStr">
        <is>
          <t>UNLIKELY</t>
        </is>
      </c>
      <c r="V695" t="inlineStr">
        <is>
          <t>PATCH_AVAILABLE</t>
        </is>
      </c>
      <c r="W695" t="inlineStr">
        <is>
          <t>https://nvd.nist.gov/vuln/detail/CVE-2026-26312</t>
        </is>
      </c>
      <c r="X695" t="inlineStr">
        <is>
          <t>NONE</t>
        </is>
      </c>
      <c r="Y695" t="n">
        <v>0</v>
      </c>
      <c r="Z695" t="inlineStr"/>
      <c r="AA695" t="inlineStr">
        <is>
          <t>https://nvd.nist.gov/vuln/detail/CVE-2026-26312</t>
        </is>
      </c>
    </row>
    <row r="696">
      <c r="A696" t="inlineStr">
        <is>
          <t>CVE</t>
        </is>
      </c>
      <c r="B696" t="inlineStr">
        <is>
          <t>CVE-2026-26313</t>
        </is>
      </c>
      <c r="C696" t="inlineStr">
        <is>
          <t>go-ethereum (geth) is a golang execution layer implementation of the Ethereum protocol. Prior to version 1.17.0, an attacker can cause high memory usage by sending a specially-crafted p2p message. The issue is resolved in the v1.17.0 release.</t>
        </is>
      </c>
      <c r="D696" t="n">
        <v>7.5</v>
      </c>
      <c r="E696" t="inlineStr">
        <is>
          <t>HIGH</t>
        </is>
      </c>
      <c r="F696" t="n">
        <v>2</v>
      </c>
      <c r="G696" t="n">
        <v>3</v>
      </c>
      <c r="H696" t="inlineStr">
        <is>
          <t>HIGH</t>
        </is>
      </c>
      <c r="I696" t="n">
        <v>13.5</v>
      </c>
      <c r="J696" t="inlineStr">
        <is>
          <t>NO</t>
        </is>
      </c>
      <c r="K696" t="inlineStr">
        <is>
          <t>2026-02-23 23:48</t>
        </is>
      </c>
      <c r="L696" t="inlineStr">
        <is>
          <t>YES</t>
        </is>
      </c>
      <c r="M696" t="inlineStr">
        <is>
          <t>ethereum go_ethereum *</t>
        </is>
      </c>
      <c r="N696" t="inlineStr">
        <is>
          <t>P3</t>
        </is>
      </c>
      <c r="O696" t="inlineStr">
        <is>
          <t>CVE - IP enrichment n/a</t>
        </is>
      </c>
      <c r="P696" t="n">
        <v>0</v>
      </c>
      <c r="Q696" t="n">
        <v>0</v>
      </c>
      <c r="R696" t="inlineStr">
        <is>
          <t>T1190:Exploit Public-Facing Application</t>
        </is>
      </c>
      <c r="S696" t="n">
        <v>1</v>
      </c>
      <c r="T696" t="inlineStr">
        <is>
          <t>LOW (40%)</t>
        </is>
      </c>
      <c r="U696" t="inlineStr">
        <is>
          <t>UNLIKELY</t>
        </is>
      </c>
      <c r="V696" t="inlineStr">
        <is>
          <t>PATCH_AVAILABLE</t>
        </is>
      </c>
      <c r="W696" t="inlineStr">
        <is>
          <t>https://nvd.nist.gov/vuln/detail/CVE-2026-26313</t>
        </is>
      </c>
      <c r="X696" t="inlineStr">
        <is>
          <t>NONE</t>
        </is>
      </c>
      <c r="Y696" t="n">
        <v>0</v>
      </c>
      <c r="Z696" t="inlineStr"/>
      <c r="AA696" t="inlineStr">
        <is>
          <t>https://nvd.nist.gov/vuln/detail/CVE-2026-26313</t>
        </is>
      </c>
    </row>
    <row r="697">
      <c r="A697" t="inlineStr">
        <is>
          <t>CVE</t>
        </is>
      </c>
      <c r="B697" t="inlineStr">
        <is>
          <t>CVE-2026-27014</t>
        </is>
      </c>
      <c r="C697" t="inlineStr">
        <is>
          <t>NanaZip is an open source file archive Starting in version 5.0.1252.0 and prior to version 6.0.1630.0, circular `NextOffset` chains cause an infinite loop, and deeply nested directories cause unbounded recursion (stack overflow) in the ROMFS archive parser. Version 6.0.1630.0 patches the issue.</t>
        </is>
      </c>
      <c r="D697" t="n">
        <v>5.5</v>
      </c>
      <c r="E697" t="inlineStr">
        <is>
          <t>MEDIUM</t>
        </is>
      </c>
      <c r="F697" t="n">
        <v>2</v>
      </c>
      <c r="G697" t="n">
        <v>2</v>
      </c>
      <c r="H697" t="inlineStr">
        <is>
          <t>MEDIUM</t>
        </is>
      </c>
      <c r="I697" t="n">
        <v>9.5</v>
      </c>
      <c r="J697" t="inlineStr">
        <is>
          <t>NO</t>
        </is>
      </c>
      <c r="K697" t="inlineStr">
        <is>
          <t>2026-02-23 23:48</t>
        </is>
      </c>
      <c r="L697" t="inlineStr">
        <is>
          <t>CHECK_VENDOR</t>
        </is>
      </c>
      <c r="M697" t="inlineStr">
        <is>
          <t>m2team nanazip *</t>
        </is>
      </c>
      <c r="N697" t="inlineStr">
        <is>
          <t>P4</t>
        </is>
      </c>
      <c r="O697" t="inlineStr">
        <is>
          <t>CVE - IP enrichment n/a</t>
        </is>
      </c>
      <c r="P697" t="n">
        <v>0</v>
      </c>
      <c r="Q697" t="n">
        <v>0</v>
      </c>
      <c r="R697" t="inlineStr">
        <is>
          <t>T1190:Exploit Public-Facing Application</t>
        </is>
      </c>
      <c r="S697" t="n">
        <v>1</v>
      </c>
      <c r="T697" t="inlineStr">
        <is>
          <t>LOW (40%)</t>
        </is>
      </c>
      <c r="U697" t="inlineStr">
        <is>
          <t>UNLIKELY</t>
        </is>
      </c>
      <c r="V697" t="inlineStr">
        <is>
          <t>CHECK_VENDOR</t>
        </is>
      </c>
      <c r="W697" t="inlineStr">
        <is>
          <t>https://nvd.nist.gov/vuln/detail/CVE-2026-27014</t>
        </is>
      </c>
      <c r="X697" t="inlineStr">
        <is>
          <t>NONE</t>
        </is>
      </c>
      <c r="Y697" t="n">
        <v>0</v>
      </c>
      <c r="Z697" t="inlineStr"/>
      <c r="AA697" t="inlineStr">
        <is>
          <t>https://nvd.nist.gov/vuln/detail/CVE-2026-27014</t>
        </is>
      </c>
    </row>
    <row r="698">
      <c r="A698" t="inlineStr">
        <is>
          <t>CVE</t>
        </is>
      </c>
      <c r="B698" t="inlineStr">
        <is>
          <t>CVE-2026-27114</t>
        </is>
      </c>
      <c r="C698" t="inlineStr">
        <is>
          <t>NanaZip is an open source file archive Starting in version 5.0.1252.0 and prior to version 6.0.1630.0, circular `NextOffset` chains cause an infinite loop in the ROMFS archive parser. Version 6.0.1630.0 patches the issue.</t>
        </is>
      </c>
      <c r="D698" t="n">
        <v>7.5</v>
      </c>
      <c r="E698" t="inlineStr">
        <is>
          <t>HIGH</t>
        </is>
      </c>
      <c r="F698" t="n">
        <v>2</v>
      </c>
      <c r="G698" t="n">
        <v>3</v>
      </c>
      <c r="H698" t="inlineStr">
        <is>
          <t>HIGH</t>
        </is>
      </c>
      <c r="I698" t="n">
        <v>13.5</v>
      </c>
      <c r="J698" t="inlineStr">
        <is>
          <t>NO</t>
        </is>
      </c>
      <c r="K698" t="inlineStr">
        <is>
          <t>2026-02-23 23:48</t>
        </is>
      </c>
      <c r="L698" t="inlineStr">
        <is>
          <t>CHECK_VENDOR</t>
        </is>
      </c>
      <c r="M698" t="inlineStr">
        <is>
          <t>m2team nanazip *</t>
        </is>
      </c>
      <c r="N698" t="inlineStr">
        <is>
          <t>P3</t>
        </is>
      </c>
      <c r="O698" t="inlineStr">
        <is>
          <t>CVE - IP enrichment n/a</t>
        </is>
      </c>
      <c r="P698" t="n">
        <v>0</v>
      </c>
      <c r="Q698" t="n">
        <v>0</v>
      </c>
      <c r="R698" t="inlineStr">
        <is>
          <t>T1190:Exploit Public-Facing Application</t>
        </is>
      </c>
      <c r="S698" t="n">
        <v>1</v>
      </c>
      <c r="T698" t="inlineStr">
        <is>
          <t>LOW (40%)</t>
        </is>
      </c>
      <c r="U698" t="inlineStr">
        <is>
          <t>UNLIKELY</t>
        </is>
      </c>
      <c r="V698" t="inlineStr">
        <is>
          <t>CHECK_VENDOR</t>
        </is>
      </c>
      <c r="W698" t="inlineStr">
        <is>
          <t>https://nvd.nist.gov/vuln/detail/CVE-2026-27114</t>
        </is>
      </c>
      <c r="X698" t="inlineStr">
        <is>
          <t>NONE</t>
        </is>
      </c>
      <c r="Y698" t="n">
        <v>0</v>
      </c>
      <c r="Z698" t="inlineStr"/>
      <c r="AA698" t="inlineStr">
        <is>
          <t>https://nvd.nist.gov/vuln/detail/CVE-2026-27114</t>
        </is>
      </c>
    </row>
    <row r="699">
      <c r="A699" t="inlineStr">
        <is>
          <t>CVE</t>
        </is>
      </c>
      <c r="B699" t="inlineStr">
        <is>
          <t>CVE-2026-27327</t>
        </is>
      </c>
      <c r="C699" t="inlineStr">
        <is>
          <t>Missing Authorization vulnerability in YayCommerce YayMail – WooCommerce Email Customizer yaymail allows Exploiting Incorrectly Configured Access Control Security Levels.This issue affects YayMail – WooCommerce Email Customizer: from n/a through &lt;= 4.3.2.</t>
        </is>
      </c>
      <c r="D699" t="n">
        <v>8.5</v>
      </c>
      <c r="E699" t="inlineStr">
        <is>
          <t>HIGH</t>
        </is>
      </c>
      <c r="F699" t="n">
        <v>2</v>
      </c>
      <c r="G699" t="n">
        <v>3</v>
      </c>
      <c r="H699" t="inlineStr">
        <is>
          <t>HIGH</t>
        </is>
      </c>
      <c r="I699" t="n">
        <v>14.5</v>
      </c>
      <c r="J699" t="inlineStr">
        <is>
          <t>NO</t>
        </is>
      </c>
      <c r="K699" t="inlineStr">
        <is>
          <t>2026-02-23 23:48</t>
        </is>
      </c>
      <c r="L699" t="inlineStr">
        <is>
          <t>CHECK_VENDOR</t>
        </is>
      </c>
      <c r="M699" t="inlineStr">
        <is>
          <t>See CVE details</t>
        </is>
      </c>
      <c r="N699" t="inlineStr">
        <is>
          <t>P3</t>
        </is>
      </c>
      <c r="O699" t="inlineStr">
        <is>
          <t>CVE - IP enrichment n/a</t>
        </is>
      </c>
      <c r="P699" t="n">
        <v>0</v>
      </c>
      <c r="Q699" t="n">
        <v>0</v>
      </c>
      <c r="R699" t="inlineStr">
        <is>
          <t>T1190:Exploit Public-Facing Application</t>
        </is>
      </c>
      <c r="S699" t="n">
        <v>1</v>
      </c>
      <c r="T699" t="inlineStr">
        <is>
          <t>LOW (40%)</t>
        </is>
      </c>
      <c r="U699" t="inlineStr">
        <is>
          <t>UNLIKELY</t>
        </is>
      </c>
      <c r="V699" t="inlineStr">
        <is>
          <t>CHECK_VENDOR</t>
        </is>
      </c>
      <c r="W699" t="inlineStr">
        <is>
          <t>https://nvd.nist.gov/vuln/detail/CVE-2026-27327</t>
        </is>
      </c>
      <c r="X699" t="inlineStr">
        <is>
          <t>NONE</t>
        </is>
      </c>
      <c r="Y699" t="n">
        <v>0</v>
      </c>
      <c r="Z699" t="inlineStr"/>
      <c r="AA699" t="inlineStr">
        <is>
          <t>https://nvd.nist.gov/vuln/detail/CVE-2026-27327</t>
        </is>
      </c>
    </row>
    <row r="700">
      <c r="A700" t="inlineStr">
        <is>
          <t>CVE</t>
        </is>
      </c>
      <c r="B700" t="inlineStr">
        <is>
          <t>CVE-2026-27328</t>
        </is>
      </c>
      <c r="C700" t="inlineStr">
        <is>
          <t>Missing Authorization vulnerability in DevsBlink EduBlink edublink allows Exploiting Incorrectly Configured Access Control Security Levels.This issue affects EduBlink: from n/a through &lt;= 2.0.7.</t>
        </is>
      </c>
      <c r="D700" t="n">
        <v>5.3</v>
      </c>
      <c r="E700" t="inlineStr">
        <is>
          <t>MEDIUM</t>
        </is>
      </c>
      <c r="F700" t="n">
        <v>2</v>
      </c>
      <c r="G700" t="n">
        <v>2</v>
      </c>
      <c r="H700" t="inlineStr">
        <is>
          <t>MEDIUM</t>
        </is>
      </c>
      <c r="I700" t="n">
        <v>9.300000000000001</v>
      </c>
      <c r="J700" t="inlineStr">
        <is>
          <t>NO</t>
        </is>
      </c>
      <c r="K700" t="inlineStr">
        <is>
          <t>2026-02-23 23:48</t>
        </is>
      </c>
      <c r="L700" t="inlineStr">
        <is>
          <t>CHECK_VENDOR</t>
        </is>
      </c>
      <c r="M700" t="inlineStr">
        <is>
          <t>See CVE details</t>
        </is>
      </c>
      <c r="N700" t="inlineStr">
        <is>
          <t>P4</t>
        </is>
      </c>
      <c r="O700" t="inlineStr">
        <is>
          <t>CVE - IP enrichment n/a</t>
        </is>
      </c>
      <c r="P700" t="n">
        <v>0</v>
      </c>
      <c r="Q700" t="n">
        <v>0</v>
      </c>
      <c r="R700" t="inlineStr">
        <is>
          <t>T1190:Exploit Public-Facing Application</t>
        </is>
      </c>
      <c r="S700" t="n">
        <v>1</v>
      </c>
      <c r="T700" t="inlineStr">
        <is>
          <t>LOW (40%)</t>
        </is>
      </c>
      <c r="U700" t="inlineStr">
        <is>
          <t>UNLIKELY</t>
        </is>
      </c>
      <c r="V700" t="inlineStr">
        <is>
          <t>CHECK_VENDOR</t>
        </is>
      </c>
      <c r="W700" t="inlineStr">
        <is>
          <t>https://nvd.nist.gov/vuln/detail/CVE-2026-27328</t>
        </is>
      </c>
      <c r="X700" t="inlineStr">
        <is>
          <t>NONE</t>
        </is>
      </c>
      <c r="Y700" t="n">
        <v>0</v>
      </c>
      <c r="Z700" t="inlineStr"/>
      <c r="AA700" t="inlineStr">
        <is>
          <t>https://nvd.nist.gov/vuln/detail/CVE-2026-27328</t>
        </is>
      </c>
    </row>
    <row r="701">
      <c r="A701" t="inlineStr">
        <is>
          <t>CVE</t>
        </is>
      </c>
      <c r="B701" t="inlineStr">
        <is>
          <t>CVE-2026-27343</t>
        </is>
      </c>
      <c r="C701" t="inlineStr">
        <is>
          <t>Improper Control of Filename for Include/Require Statement in PHP Program ('PHP Remote File Inclusion') vulnerability in VanKarWai Airtifact airtifact allows PHP Local File Inclusion.This issue affects Airtifact: from n/a through &lt;= 1.2.91.</t>
        </is>
      </c>
      <c r="D701" t="n">
        <v>7.5</v>
      </c>
      <c r="E701" t="inlineStr">
        <is>
          <t>HIGH</t>
        </is>
      </c>
      <c r="F701" t="n">
        <v>2</v>
      </c>
      <c r="G701" t="n">
        <v>3</v>
      </c>
      <c r="H701" t="inlineStr">
        <is>
          <t>HIGH</t>
        </is>
      </c>
      <c r="I701" t="n">
        <v>13.5</v>
      </c>
      <c r="J701" t="inlineStr">
        <is>
          <t>NO</t>
        </is>
      </c>
      <c r="K701" t="inlineStr">
        <is>
          <t>2026-02-23 23:48</t>
        </is>
      </c>
      <c r="L701" t="inlineStr">
        <is>
          <t>CHECK_VENDOR</t>
        </is>
      </c>
      <c r="M701" t="inlineStr">
        <is>
          <t>See CVE details</t>
        </is>
      </c>
      <c r="N701" t="inlineStr">
        <is>
          <t>P3</t>
        </is>
      </c>
      <c r="O701" t="inlineStr">
        <is>
          <t>CVE - IP enrichment n/a</t>
        </is>
      </c>
      <c r="P701" t="n">
        <v>0</v>
      </c>
      <c r="Q701" t="n">
        <v>0</v>
      </c>
      <c r="R701" t="inlineStr">
        <is>
          <t>T1190:Exploit Public-Facing Application</t>
        </is>
      </c>
      <c r="S701" t="n">
        <v>1</v>
      </c>
      <c r="T701" t="inlineStr">
        <is>
          <t>LOW (40%)</t>
        </is>
      </c>
      <c r="U701" t="inlineStr">
        <is>
          <t>UNLIKELY</t>
        </is>
      </c>
      <c r="V701" t="inlineStr">
        <is>
          <t>CHECK_VENDOR</t>
        </is>
      </c>
      <c r="W701" t="inlineStr">
        <is>
          <t>https://nvd.nist.gov/vuln/detail/CVE-2026-27343</t>
        </is>
      </c>
      <c r="X701" t="inlineStr">
        <is>
          <t>NONE</t>
        </is>
      </c>
      <c r="Y701" t="n">
        <v>0</v>
      </c>
      <c r="Z701" t="inlineStr"/>
      <c r="AA701" t="inlineStr">
        <is>
          <t>https://nvd.nist.gov/vuln/detail/CVE-2026-27343</t>
        </is>
      </c>
    </row>
    <row r="702">
      <c r="A702" t="inlineStr">
        <is>
          <t>CVE</t>
        </is>
      </c>
      <c r="B702" t="inlineStr">
        <is>
          <t>CVE-2026-27360</t>
        </is>
      </c>
      <c r="C702" t="inlineStr">
        <is>
          <t>Improper Neutralization of Input During Web Page Generation ('Cross-site Scripting') vulnerability in 10Web Photo Gallery by 10Web photo-gallery allows Stored XSS.This issue affects Photo Gallery by 10Web: from n/a through &lt;= 1.8.37.</t>
        </is>
      </c>
      <c r="D702" t="n">
        <v>5.9</v>
      </c>
      <c r="E702" t="inlineStr">
        <is>
          <t>MEDIUM</t>
        </is>
      </c>
      <c r="F702" t="n">
        <v>2</v>
      </c>
      <c r="G702" t="n">
        <v>2</v>
      </c>
      <c r="H702" t="inlineStr">
        <is>
          <t>MEDIUM</t>
        </is>
      </c>
      <c r="I702" t="n">
        <v>9.9</v>
      </c>
      <c r="J702" t="inlineStr">
        <is>
          <t>NO</t>
        </is>
      </c>
      <c r="K702" t="inlineStr">
        <is>
          <t>2026-02-23 23:48</t>
        </is>
      </c>
      <c r="L702" t="inlineStr">
        <is>
          <t>CHECK_VENDOR</t>
        </is>
      </c>
      <c r="M702" t="inlineStr">
        <is>
          <t>See CVE details</t>
        </is>
      </c>
      <c r="N702" t="inlineStr">
        <is>
          <t>P4</t>
        </is>
      </c>
      <c r="O702" t="inlineStr">
        <is>
          <t>CVE - IP enrichment n/a</t>
        </is>
      </c>
      <c r="P702" t="n">
        <v>0</v>
      </c>
      <c r="Q702" t="n">
        <v>0</v>
      </c>
      <c r="R702" t="inlineStr">
        <is>
          <t>T1189:Drive-by Compromise</t>
        </is>
      </c>
      <c r="S702" t="n">
        <v>1</v>
      </c>
      <c r="T702" t="inlineStr">
        <is>
          <t>LOW (40%)</t>
        </is>
      </c>
      <c r="U702" t="inlineStr">
        <is>
          <t>UNLIKELY</t>
        </is>
      </c>
      <c r="V702" t="inlineStr">
        <is>
          <t>CHECK_VENDOR</t>
        </is>
      </c>
      <c r="W702" t="inlineStr">
        <is>
          <t>https://nvd.nist.gov/vuln/detail/CVE-2026-27360</t>
        </is>
      </c>
      <c r="X702" t="inlineStr">
        <is>
          <t>NONE</t>
        </is>
      </c>
      <c r="Y702" t="n">
        <v>0</v>
      </c>
      <c r="Z702" t="inlineStr"/>
      <c r="AA702" t="inlineStr">
        <is>
          <t>https://nvd.nist.gov/vuln/detail/CVE-2026-27360</t>
        </is>
      </c>
    </row>
    <row r="703">
      <c r="A703" t="inlineStr">
        <is>
          <t>CVE</t>
        </is>
      </c>
      <c r="B703" t="inlineStr">
        <is>
          <t>CVE-2026-27368</t>
        </is>
      </c>
      <c r="C703" t="inlineStr">
        <is>
          <t>Missing Authorization vulnerability in SeedProd Coming Soon Page, Under Construction &amp; Maintenance Mode by SeedProd coming-soon allows Exploiting Incorrectly Configured Access Control Security Levels.This issue affects Coming Soon Page, Under Construction &amp; Maintenance Mode by SeedProd: from n/a through &lt;= 6.19.7.</t>
        </is>
      </c>
      <c r="D703" t="n">
        <v>5.9</v>
      </c>
      <c r="E703" t="inlineStr">
        <is>
          <t>MEDIUM</t>
        </is>
      </c>
      <c r="F703" t="n">
        <v>2</v>
      </c>
      <c r="G703" t="n">
        <v>2</v>
      </c>
      <c r="H703" t="inlineStr">
        <is>
          <t>MEDIUM</t>
        </is>
      </c>
      <c r="I703" t="n">
        <v>9.9</v>
      </c>
      <c r="J703" t="inlineStr">
        <is>
          <t>NO</t>
        </is>
      </c>
      <c r="K703" t="inlineStr">
        <is>
          <t>2026-02-23 23:48</t>
        </is>
      </c>
      <c r="L703" t="inlineStr">
        <is>
          <t>CHECK_VENDOR</t>
        </is>
      </c>
      <c r="M703" t="inlineStr">
        <is>
          <t>See CVE details</t>
        </is>
      </c>
      <c r="N703" t="inlineStr">
        <is>
          <t>P1</t>
        </is>
      </c>
      <c r="O703" t="inlineStr">
        <is>
          <t>CVE - IP enrichment n/a</t>
        </is>
      </c>
      <c r="P703" t="n">
        <v>0</v>
      </c>
      <c r="Q703" t="n">
        <v>0</v>
      </c>
      <c r="R703" t="inlineStr">
        <is>
          <t>T1190:Exploit Public-Facing Application</t>
        </is>
      </c>
      <c r="S703" t="n">
        <v>2</v>
      </c>
      <c r="T703" t="inlineStr">
        <is>
          <t>HIGH (72%)</t>
        </is>
      </c>
      <c r="U703" t="inlineStr">
        <is>
          <t>HIGH</t>
        </is>
      </c>
      <c r="V703" t="inlineStr">
        <is>
          <t>CHECK_VENDOR</t>
        </is>
      </c>
      <c r="W703" t="inlineStr">
        <is>
          <t>https://nvd.nist.gov/vuln/detail/CVE-2026-27368</t>
        </is>
      </c>
      <c r="X703" t="inlineStr">
        <is>
          <t>http://www.zerodayinitiative.com/advisories/ZDI-26-123/</t>
        </is>
      </c>
      <c r="Y703" t="n">
        <v>0</v>
      </c>
      <c r="Z703" t="inlineStr"/>
      <c r="AA703" t="inlineStr">
        <is>
          <t>https://nvd.nist.gov/vuln/detail/CVE-2026-27368</t>
        </is>
      </c>
    </row>
    <row r="704">
      <c r="A704" t="inlineStr">
        <is>
          <t>CVE</t>
        </is>
      </c>
      <c r="B704" t="inlineStr">
        <is>
          <t>CVE-2026-27387</t>
        </is>
      </c>
      <c r="C704" t="inlineStr">
        <is>
          <t>Missing Authorization vulnerability in designinvento DirectoryPress directorypress allows Exploiting Incorrectly Configured Access Control Security Levels.This issue affects DirectoryPress: from n/a through &lt;= 3.6.26.</t>
        </is>
      </c>
      <c r="D704" t="n">
        <v>5.4</v>
      </c>
      <c r="E704" t="inlineStr">
        <is>
          <t>MEDIUM</t>
        </is>
      </c>
      <c r="F704" t="n">
        <v>2</v>
      </c>
      <c r="G704" t="n">
        <v>2</v>
      </c>
      <c r="H704" t="inlineStr">
        <is>
          <t>MEDIUM</t>
        </is>
      </c>
      <c r="I704" t="n">
        <v>9.4</v>
      </c>
      <c r="J704" t="inlineStr">
        <is>
          <t>NO</t>
        </is>
      </c>
      <c r="K704" t="inlineStr">
        <is>
          <t>2026-02-23 23:48</t>
        </is>
      </c>
      <c r="L704" t="inlineStr">
        <is>
          <t>CHECK_VENDOR</t>
        </is>
      </c>
      <c r="M704" t="inlineStr">
        <is>
          <t>See CVE details</t>
        </is>
      </c>
      <c r="N704" t="inlineStr">
        <is>
          <t>P4</t>
        </is>
      </c>
      <c r="O704" t="inlineStr">
        <is>
          <t>CVE - IP enrichment n/a</t>
        </is>
      </c>
      <c r="P704" t="n">
        <v>0</v>
      </c>
      <c r="Q704" t="n">
        <v>0</v>
      </c>
      <c r="R704" t="inlineStr">
        <is>
          <t>T1190:Exploit Public-Facing Application</t>
        </is>
      </c>
      <c r="S704" t="n">
        <v>1</v>
      </c>
      <c r="T704" t="inlineStr">
        <is>
          <t>LOW (40%)</t>
        </is>
      </c>
      <c r="U704" t="inlineStr">
        <is>
          <t>UNLIKELY</t>
        </is>
      </c>
      <c r="V704" t="inlineStr">
        <is>
          <t>CHECK_VENDOR</t>
        </is>
      </c>
      <c r="W704" t="inlineStr">
        <is>
          <t>https://nvd.nist.gov/vuln/detail/CVE-2026-27387</t>
        </is>
      </c>
      <c r="X704" t="inlineStr">
        <is>
          <t>NONE</t>
        </is>
      </c>
      <c r="Y704" t="n">
        <v>0</v>
      </c>
      <c r="Z704" t="inlineStr"/>
      <c r="AA704" t="inlineStr">
        <is>
          <t>https://nvd.nist.gov/vuln/detail/CVE-2026-27387</t>
        </is>
      </c>
    </row>
    <row r="705">
      <c r="A705" t="inlineStr">
        <is>
          <t>CVE</t>
        </is>
      </c>
      <c r="B705" t="inlineStr">
        <is>
          <t>CVE-2026-27440</t>
        </is>
      </c>
      <c r="C705" t="inlineStr">
        <is>
          <t>Improper Neutralization of Input During Web Page Generation ('Cross-site Scripting') vulnerability in Saad Iqbal myCred mycred allows Stored XSS.This issue affects myCred: from n/a through &lt;= 2.9.7.6.</t>
        </is>
      </c>
      <c r="D705" t="n">
        <v>6.5</v>
      </c>
      <c r="E705" t="inlineStr">
        <is>
          <t>MEDIUM</t>
        </is>
      </c>
      <c r="F705" t="n">
        <v>2</v>
      </c>
      <c r="G705" t="n">
        <v>2</v>
      </c>
      <c r="H705" t="inlineStr">
        <is>
          <t>MEDIUM</t>
        </is>
      </c>
      <c r="I705" t="n">
        <v>10.5</v>
      </c>
      <c r="J705" t="inlineStr">
        <is>
          <t>NO</t>
        </is>
      </c>
      <c r="K705" t="inlineStr">
        <is>
          <t>2026-02-23 23:48</t>
        </is>
      </c>
      <c r="L705" t="inlineStr">
        <is>
          <t>CHECK_VENDOR</t>
        </is>
      </c>
      <c r="M705" t="inlineStr">
        <is>
          <t>See CVE details</t>
        </is>
      </c>
      <c r="N705" t="inlineStr">
        <is>
          <t>P4</t>
        </is>
      </c>
      <c r="O705" t="inlineStr">
        <is>
          <t>CVE - IP enrichment n/a</t>
        </is>
      </c>
      <c r="P705" t="n">
        <v>0</v>
      </c>
      <c r="Q705" t="n">
        <v>0</v>
      </c>
      <c r="R705" t="inlineStr">
        <is>
          <t>T1189:Drive-by Compromise</t>
        </is>
      </c>
      <c r="S705" t="n">
        <v>1</v>
      </c>
      <c r="T705" t="inlineStr">
        <is>
          <t>LOW (40%)</t>
        </is>
      </c>
      <c r="U705" t="inlineStr">
        <is>
          <t>UNLIKELY</t>
        </is>
      </c>
      <c r="V705" t="inlineStr">
        <is>
          <t>CHECK_VENDOR</t>
        </is>
      </c>
      <c r="W705" t="inlineStr">
        <is>
          <t>https://nvd.nist.gov/vuln/detail/CVE-2026-27440</t>
        </is>
      </c>
      <c r="X705" t="inlineStr">
        <is>
          <t>NONE</t>
        </is>
      </c>
      <c r="Y705" t="n">
        <v>0</v>
      </c>
      <c r="Z705" t="inlineStr"/>
      <c r="AA705" t="inlineStr">
        <is>
          <t>https://nvd.nist.gov/vuln/detail/CVE-2026-27440</t>
        </is>
      </c>
    </row>
    <row r="706">
      <c r="A706" t="inlineStr">
        <is>
          <t>CVE</t>
        </is>
      </c>
      <c r="B706" t="inlineStr">
        <is>
          <t>CVE-2026-27476</t>
        </is>
      </c>
      <c r="C706" t="inlineStr">
        <is>
          <t>RustFly 2.0.0 contains a command injection vulnerability in its remote UI control mechanism that accepts hex-encoded instructions over UDP port 5005 without proper sanitization. Attackers can send crafted hex-encoded payloads containing system commands to execute arbitrary operations on the target system, including reverse shell establishment and command execution.</t>
        </is>
      </c>
      <c r="D706" t="n">
        <v>9.800000000000001</v>
      </c>
      <c r="E706" t="inlineStr">
        <is>
          <t>CRITICAL</t>
        </is>
      </c>
      <c r="F706" t="n">
        <v>2</v>
      </c>
      <c r="G706" t="n">
        <v>3</v>
      </c>
      <c r="H706" t="inlineStr">
        <is>
          <t>HIGH</t>
        </is>
      </c>
      <c r="I706" t="n">
        <v>15.8</v>
      </c>
      <c r="J706" t="inlineStr">
        <is>
          <t>NO</t>
        </is>
      </c>
      <c r="K706" t="inlineStr">
        <is>
          <t>2026-02-23 23:48</t>
        </is>
      </c>
      <c r="L706" t="inlineStr">
        <is>
          <t>CHECK_VENDOR</t>
        </is>
      </c>
      <c r="M706" t="inlineStr">
        <is>
          <t>See CVE details</t>
        </is>
      </c>
      <c r="N706" t="inlineStr">
        <is>
          <t>P3</t>
        </is>
      </c>
      <c r="O706" t="inlineStr">
        <is>
          <t>CVE - IP enrichment n/a</t>
        </is>
      </c>
      <c r="P706" t="n">
        <v>0</v>
      </c>
      <c r="Q706" t="n">
        <v>0</v>
      </c>
      <c r="R706" t="inlineStr">
        <is>
          <t>T1059:Command and Scripting Interpreter</t>
        </is>
      </c>
      <c r="S706" t="n">
        <v>1</v>
      </c>
      <c r="T706" t="inlineStr">
        <is>
          <t>LOW (40%)</t>
        </is>
      </c>
      <c r="U706" t="inlineStr">
        <is>
          <t>UNLIKELY</t>
        </is>
      </c>
      <c r="V706" t="inlineStr">
        <is>
          <t>CHECK_VENDOR</t>
        </is>
      </c>
      <c r="W706" t="inlineStr">
        <is>
          <t>https://nvd.nist.gov/vuln/detail/CVE-2026-27476</t>
        </is>
      </c>
      <c r="X706" t="inlineStr">
        <is>
          <t>NONE</t>
        </is>
      </c>
      <c r="Y706" t="n">
        <v>0</v>
      </c>
      <c r="Z706" t="inlineStr"/>
      <c r="AA706" t="inlineStr">
        <is>
          <t>https://nvd.nist.gov/vuln/detail/CVE-2026-27476</t>
        </is>
      </c>
    </row>
    <row r="707">
      <c r="A707" t="inlineStr">
        <is>
          <t>CVE</t>
        </is>
      </c>
      <c r="B707" t="inlineStr">
        <is>
          <t>CVE-2026-2738</t>
        </is>
      </c>
      <c r="C707" t="inlineStr">
        <is>
          <t>Buffer overflow in ovpn‑dco‑win version 2.8.0 allows local attackers to cause a system crash by sending too large packets to the remote peer when the AEAD tag appears at the end of the encrypted packet</t>
        </is>
      </c>
      <c r="D707" t="n">
        <v>5</v>
      </c>
      <c r="E707" t="inlineStr">
        <is>
          <t>MEDIUM</t>
        </is>
      </c>
      <c r="F707" t="n">
        <v>2</v>
      </c>
      <c r="G707" t="n">
        <v>2</v>
      </c>
      <c r="H707" t="inlineStr">
        <is>
          <t>MEDIUM</t>
        </is>
      </c>
      <c r="I707" t="n">
        <v>9</v>
      </c>
      <c r="J707" t="inlineStr">
        <is>
          <t>NO</t>
        </is>
      </c>
      <c r="K707" t="inlineStr">
        <is>
          <t>2026-02-23 23:48</t>
        </is>
      </c>
      <c r="L707" t="inlineStr">
        <is>
          <t>CHECK_VENDOR</t>
        </is>
      </c>
      <c r="M707" t="inlineStr">
        <is>
          <t>See CVE details</t>
        </is>
      </c>
      <c r="N707" t="inlineStr">
        <is>
          <t>P4</t>
        </is>
      </c>
      <c r="O707" t="inlineStr">
        <is>
          <t>CVE - IP enrichment n/a</t>
        </is>
      </c>
      <c r="P707" t="n">
        <v>0</v>
      </c>
      <c r="Q707" t="n">
        <v>0</v>
      </c>
      <c r="R707" t="inlineStr">
        <is>
          <t>T1203:Exploitation for Client Execution | T1133:External Remote Services</t>
        </is>
      </c>
      <c r="S707" t="n">
        <v>1</v>
      </c>
      <c r="T707" t="inlineStr">
        <is>
          <t>LOW (40%)</t>
        </is>
      </c>
      <c r="U707" t="inlineStr">
        <is>
          <t>UNLIKELY</t>
        </is>
      </c>
      <c r="V707" t="inlineStr">
        <is>
          <t>CHECK_VENDOR</t>
        </is>
      </c>
      <c r="W707" t="inlineStr">
        <is>
          <t>https://nvd.nist.gov/vuln/detail/CVE-2026-2738</t>
        </is>
      </c>
      <c r="X707" t="inlineStr">
        <is>
          <t>NONE</t>
        </is>
      </c>
      <c r="Y707" t="n">
        <v>0</v>
      </c>
      <c r="Z707" t="inlineStr"/>
      <c r="AA707" t="inlineStr">
        <is>
          <t>https://nvd.nist.gov/vuln/detail/CVE-2026-2738</t>
        </is>
      </c>
    </row>
    <row r="708">
      <c r="A708" t="inlineStr">
        <is>
          <t>CVE</t>
        </is>
      </c>
      <c r="B708" t="inlineStr">
        <is>
          <t>CVE-2026-26275</t>
        </is>
      </c>
      <c r="C708" t="inlineStr">
        <is>
          <t>httpsig-hyper is a hyper extension for http message signatures. An issue was discovered in `httpsig-hyper` prior to version 0.0.23 where Digest header verification could incorrectly succeed due to misuse of Rust's `matches!` macro. Specifically, the comparison `if matches!(digest, _expected_digest)` treated `_expected_digest` as a pattern binding rather than a value comparison, resulting in unconditional success of the match expression. As a consequence, digest verification could incorrectly ret</t>
        </is>
      </c>
      <c r="D708" t="n">
        <v>7.5</v>
      </c>
      <c r="E708" t="inlineStr">
        <is>
          <t>HIGH</t>
        </is>
      </c>
      <c r="F708" t="n">
        <v>2</v>
      </c>
      <c r="G708" t="n">
        <v>3</v>
      </c>
      <c r="H708" t="inlineStr">
        <is>
          <t>HIGH</t>
        </is>
      </c>
      <c r="I708" t="n">
        <v>13.5</v>
      </c>
      <c r="J708" t="inlineStr">
        <is>
          <t>NO</t>
        </is>
      </c>
      <c r="K708" t="inlineStr">
        <is>
          <t>2026-02-23 23:48</t>
        </is>
      </c>
      <c r="L708" t="inlineStr">
        <is>
          <t>CHECK_VENDOR</t>
        </is>
      </c>
      <c r="M708" t="inlineStr">
        <is>
          <t>See CVE details</t>
        </is>
      </c>
      <c r="N708" t="inlineStr">
        <is>
          <t>P3</t>
        </is>
      </c>
      <c r="O708" t="inlineStr">
        <is>
          <t>CVE - IP enrichment n/a</t>
        </is>
      </c>
      <c r="P708" t="n">
        <v>0</v>
      </c>
      <c r="Q708" t="n">
        <v>0</v>
      </c>
      <c r="R708" t="inlineStr">
        <is>
          <t>T1190:Exploit Public-Facing Application</t>
        </is>
      </c>
      <c r="S708" t="n">
        <v>1</v>
      </c>
      <c r="T708" t="inlineStr">
        <is>
          <t>LOW (40%)</t>
        </is>
      </c>
      <c r="U708" t="inlineStr">
        <is>
          <t>UNLIKELY</t>
        </is>
      </c>
      <c r="V708" t="inlineStr">
        <is>
          <t>CHECK_VENDOR</t>
        </is>
      </c>
      <c r="W708" t="inlineStr">
        <is>
          <t>https://nvd.nist.gov/vuln/detail/CVE-2026-26275</t>
        </is>
      </c>
      <c r="X708" t="inlineStr">
        <is>
          <t>NONE</t>
        </is>
      </c>
      <c r="Y708" t="n">
        <v>0</v>
      </c>
      <c r="Z708" t="inlineStr"/>
      <c r="AA708" t="inlineStr">
        <is>
          <t>https://nvd.nist.gov/vuln/detail/CVE-2026-26275</t>
        </is>
      </c>
    </row>
    <row r="709">
      <c r="A709" t="inlineStr">
        <is>
          <t>CVE</t>
        </is>
      </c>
      <c r="B709" t="inlineStr">
        <is>
          <t>CVE-2026-26314</t>
        </is>
      </c>
      <c r="C709" t="inlineStr">
        <is>
          <t>go-ethereum (geth) is a golang execution layer implementation of the Ethereum protocol. Prior to version 1.16.9, a vulnerable node can be forced to shutdown/crash using a specially crafted message. The problem is resolved in the v1.16.9 and v1.17.0 releases of Geth.</t>
        </is>
      </c>
      <c r="D709" t="n">
        <v>7.5</v>
      </c>
      <c r="E709" t="inlineStr">
        <is>
          <t>HIGH</t>
        </is>
      </c>
      <c r="F709" t="n">
        <v>2</v>
      </c>
      <c r="G709" t="n">
        <v>3</v>
      </c>
      <c r="H709" t="inlineStr">
        <is>
          <t>HIGH</t>
        </is>
      </c>
      <c r="I709" t="n">
        <v>13.5</v>
      </c>
      <c r="J709" t="inlineStr">
        <is>
          <t>NO</t>
        </is>
      </c>
      <c r="K709" t="inlineStr">
        <is>
          <t>2026-02-23 23:48</t>
        </is>
      </c>
      <c r="L709" t="inlineStr">
        <is>
          <t>YES</t>
        </is>
      </c>
      <c r="M709" t="inlineStr">
        <is>
          <t>ethereum go_ethereum *</t>
        </is>
      </c>
      <c r="N709" t="inlineStr">
        <is>
          <t>P3</t>
        </is>
      </c>
      <c r="O709" t="inlineStr">
        <is>
          <t>CVE - IP enrichment n/a</t>
        </is>
      </c>
      <c r="P709" t="n">
        <v>0</v>
      </c>
      <c r="Q709" t="n">
        <v>0</v>
      </c>
      <c r="R709" t="inlineStr">
        <is>
          <t>T1190:Exploit Public-Facing Application</t>
        </is>
      </c>
      <c r="S709" t="n">
        <v>1</v>
      </c>
      <c r="T709" t="inlineStr">
        <is>
          <t>LOW (40%)</t>
        </is>
      </c>
      <c r="U709" t="inlineStr">
        <is>
          <t>UNLIKELY</t>
        </is>
      </c>
      <c r="V709" t="inlineStr">
        <is>
          <t>PATCH_AVAILABLE</t>
        </is>
      </c>
      <c r="W709" t="inlineStr">
        <is>
          <t>https://nvd.nist.gov/vuln/detail/CVE-2026-26314</t>
        </is>
      </c>
      <c r="X709" t="inlineStr">
        <is>
          <t>NONE</t>
        </is>
      </c>
      <c r="Y709" t="n">
        <v>0</v>
      </c>
      <c r="Z709" t="inlineStr"/>
      <c r="AA709" t="inlineStr">
        <is>
          <t>https://nvd.nist.gov/vuln/detail/CVE-2026-26314</t>
        </is>
      </c>
    </row>
    <row r="710">
      <c r="A710" t="inlineStr">
        <is>
          <t>CVE</t>
        </is>
      </c>
      <c r="B710" t="inlineStr">
        <is>
          <t>CVE-2026-26315</t>
        </is>
      </c>
      <c r="C710" t="inlineStr">
        <is>
          <t>go-ethereum (Geth) is a golang execution layer implementation of the Ethereum protocol. Prior to version 1.16.9, through a flaw in the ECIES cryptography implementation, an attacker may be able to extract bits of the p2p node key. The issue is resolved in the v1.16.9 and v1.17.0 releases of Geth. Geth maintainers recommend rotating the node key after applying the upgrade, which can be done by removing the file ` /geth/nodekey` before starting Geth.</t>
        </is>
      </c>
      <c r="D710" t="n">
        <v>7.5</v>
      </c>
      <c r="E710" t="inlineStr">
        <is>
          <t>HIGH</t>
        </is>
      </c>
      <c r="F710" t="n">
        <v>2</v>
      </c>
      <c r="G710" t="n">
        <v>3</v>
      </c>
      <c r="H710" t="inlineStr">
        <is>
          <t>HIGH</t>
        </is>
      </c>
      <c r="I710" t="n">
        <v>13.5</v>
      </c>
      <c r="J710" t="inlineStr">
        <is>
          <t>NO</t>
        </is>
      </c>
      <c r="K710" t="inlineStr">
        <is>
          <t>2026-02-23 23:48</t>
        </is>
      </c>
      <c r="L710" t="inlineStr">
        <is>
          <t>YES</t>
        </is>
      </c>
      <c r="M710" t="inlineStr">
        <is>
          <t>ethereum go_ethereum *</t>
        </is>
      </c>
      <c r="N710" t="inlineStr">
        <is>
          <t>P3</t>
        </is>
      </c>
      <c r="O710" t="inlineStr">
        <is>
          <t>CVE - IP enrichment n/a</t>
        </is>
      </c>
      <c r="P710" t="n">
        <v>0.0002</v>
      </c>
      <c r="Q710" t="n">
        <v>0.0572</v>
      </c>
      <c r="R710" t="inlineStr">
        <is>
          <t>T1190:Exploit Public-Facing Application</t>
        </is>
      </c>
      <c r="S710" t="n">
        <v>1</v>
      </c>
      <c r="T710" t="inlineStr">
        <is>
          <t>LOW (40%)</t>
        </is>
      </c>
      <c r="U710" t="inlineStr">
        <is>
          <t>UNLIKELY</t>
        </is>
      </c>
      <c r="V710" t="inlineStr">
        <is>
          <t>PATCH_AVAILABLE</t>
        </is>
      </c>
      <c r="W710" t="inlineStr">
        <is>
          <t>https://nvd.nist.gov/vuln/detail/CVE-2026-26315</t>
        </is>
      </c>
      <c r="X710" t="inlineStr">
        <is>
          <t>NONE</t>
        </is>
      </c>
      <c r="Y710" t="n">
        <v>0</v>
      </c>
      <c r="Z710" t="inlineStr"/>
      <c r="AA710" t="inlineStr">
        <is>
          <t>https://nvd.nist.gov/vuln/detail/CVE-2026-26315</t>
        </is>
      </c>
    </row>
    <row r="711">
      <c r="A711" t="inlineStr">
        <is>
          <t>CVE</t>
        </is>
      </c>
      <c r="B711" t="inlineStr">
        <is>
          <t>CVE-2026-26316</t>
        </is>
      </c>
      <c r="C711" t="inlineStr">
        <is>
          <t>OpenClaw is a personal AI assistant. Prior to 2026.2.13, the optional BlueBubbles iMessage channel plugin could accept webhook requests as authenticated based only on the TCP peer address being loopback (`127.0.0.1`, `::1`, `::ffff:127.0.0.1`) even when the configured webhook secret was missing or incorrect. This does not affect the default iMessage integration unless BlueBubbles is installed and enabled. Version 2026.2.13 contains a patch. Other mitigations include setting a non-empty BlueBubbl</t>
        </is>
      </c>
      <c r="D711" t="n">
        <v>7.5</v>
      </c>
      <c r="E711" t="inlineStr">
        <is>
          <t>HIGH</t>
        </is>
      </c>
      <c r="F711" t="n">
        <v>2</v>
      </c>
      <c r="G711" t="n">
        <v>3</v>
      </c>
      <c r="H711" t="inlineStr">
        <is>
          <t>HIGH</t>
        </is>
      </c>
      <c r="I711" t="n">
        <v>13.5</v>
      </c>
      <c r="J711" t="inlineStr">
        <is>
          <t>NO</t>
        </is>
      </c>
      <c r="K711" t="inlineStr">
        <is>
          <t>2026-02-23 23:48</t>
        </is>
      </c>
      <c r="L711" t="inlineStr">
        <is>
          <t>CHECK_VENDOR</t>
        </is>
      </c>
      <c r="M711" t="inlineStr">
        <is>
          <t>See CVE details</t>
        </is>
      </c>
      <c r="N711" t="inlineStr">
        <is>
          <t>P3</t>
        </is>
      </c>
      <c r="O711" t="inlineStr">
        <is>
          <t>CVE - IP enrichment n/a</t>
        </is>
      </c>
      <c r="P711" t="n">
        <v>0</v>
      </c>
      <c r="Q711" t="n">
        <v>0</v>
      </c>
      <c r="R711" t="inlineStr">
        <is>
          <t>T1190:Exploit Public-Facing Application</t>
        </is>
      </c>
      <c r="S711" t="n">
        <v>1</v>
      </c>
      <c r="T711" t="inlineStr">
        <is>
          <t>LOW (40%)</t>
        </is>
      </c>
      <c r="U711" t="inlineStr">
        <is>
          <t>UNLIKELY</t>
        </is>
      </c>
      <c r="V711" t="inlineStr">
        <is>
          <t>CHECK_VENDOR</t>
        </is>
      </c>
      <c r="W711" t="inlineStr">
        <is>
          <t>https://nvd.nist.gov/vuln/detail/CVE-2026-26316</t>
        </is>
      </c>
      <c r="X711" t="inlineStr">
        <is>
          <t>NONE</t>
        </is>
      </c>
      <c r="Y711" t="n">
        <v>0</v>
      </c>
      <c r="Z711" t="inlineStr"/>
      <c r="AA711" t="inlineStr">
        <is>
          <t>https://nvd.nist.gov/vuln/detail/CVE-2026-26316</t>
        </is>
      </c>
    </row>
    <row r="712">
      <c r="A712" t="inlineStr">
        <is>
          <t>CVE</t>
        </is>
      </c>
      <c r="B712" t="inlineStr">
        <is>
          <t>CVE-2026-26317</t>
        </is>
      </c>
      <c r="C712" t="inlineStr">
        <is>
          <t xml:space="preserve">OpenClaw is a personal AI assistant. Prior to 2026.2.14, browser-facing localhost mutation routes accepted cross-origin browser requests without explicit Origin/Referer validation. Loopback binding reduces remote exposure but does not prevent browser-initiated requests from malicious origins. A malicious website can trigger unauthorized state changes against a victim's local OpenClaw browser control plane (for example opening tabs, starting/stopping the browser, mutating storage/cookies) if the </t>
        </is>
      </c>
      <c r="D712" t="n">
        <v>7.1</v>
      </c>
      <c r="E712" t="inlineStr">
        <is>
          <t>HIGH</t>
        </is>
      </c>
      <c r="F712" t="n">
        <v>2</v>
      </c>
      <c r="G712" t="n">
        <v>3</v>
      </c>
      <c r="H712" t="inlineStr">
        <is>
          <t>HIGH</t>
        </is>
      </c>
      <c r="I712" t="n">
        <v>13.1</v>
      </c>
      <c r="J712" t="inlineStr">
        <is>
          <t>NO</t>
        </is>
      </c>
      <c r="K712" t="inlineStr">
        <is>
          <t>2026-02-23 23:48</t>
        </is>
      </c>
      <c r="L712" t="inlineStr">
        <is>
          <t>CHECK_VENDOR</t>
        </is>
      </c>
      <c r="M712" t="inlineStr">
        <is>
          <t>See CVE details</t>
        </is>
      </c>
      <c r="N712" t="inlineStr">
        <is>
          <t>P3</t>
        </is>
      </c>
      <c r="O712" t="inlineStr">
        <is>
          <t>CVE - IP enrichment n/a</t>
        </is>
      </c>
      <c r="P712" t="n">
        <v>0</v>
      </c>
      <c r="Q712" t="n">
        <v>0</v>
      </c>
      <c r="R712" t="inlineStr">
        <is>
          <t>T1185:Browser Session Hijacking</t>
        </is>
      </c>
      <c r="S712" t="n">
        <v>1</v>
      </c>
      <c r="T712" t="inlineStr">
        <is>
          <t>LOW (40%)</t>
        </is>
      </c>
      <c r="U712" t="inlineStr">
        <is>
          <t>UNLIKELY</t>
        </is>
      </c>
      <c r="V712" t="inlineStr">
        <is>
          <t>CHECK_VENDOR</t>
        </is>
      </c>
      <c r="W712" t="inlineStr">
        <is>
          <t>https://nvd.nist.gov/vuln/detail/CVE-2026-26317</t>
        </is>
      </c>
      <c r="X712" t="inlineStr">
        <is>
          <t>NONE</t>
        </is>
      </c>
      <c r="Y712" t="n">
        <v>0</v>
      </c>
      <c r="Z712" t="inlineStr"/>
      <c r="AA712" t="inlineStr">
        <is>
          <t>https://nvd.nist.gov/vuln/detail/CVE-2026-26317</t>
        </is>
      </c>
    </row>
    <row r="713">
      <c r="A713" t="inlineStr">
        <is>
          <t>CVE</t>
        </is>
      </c>
      <c r="B713" t="inlineStr">
        <is>
          <t>CVE-2026-26744</t>
        </is>
      </c>
      <c r="C713" t="inlineStr">
        <is>
          <t>A user enumeration vulnerability exists in FormaLMS 4.1.18 and below in the password recovery functionality accessible via the /lostpwd endpoint. The application returns different error messages for valid and invalid usernames allowing an unauthenticated attacker to determine which usernames are registered in the system through observable response discrepancy.</t>
        </is>
      </c>
      <c r="D713" t="n">
        <v>8.5</v>
      </c>
      <c r="E713" t="inlineStr">
        <is>
          <t>HIGH</t>
        </is>
      </c>
      <c r="F713" t="n">
        <v>2</v>
      </c>
      <c r="G713" t="n">
        <v>3</v>
      </c>
      <c r="H713" t="inlineStr">
        <is>
          <t>HIGH</t>
        </is>
      </c>
      <c r="I713" t="n">
        <v>14.5</v>
      </c>
      <c r="J713" t="inlineStr">
        <is>
          <t>NO</t>
        </is>
      </c>
      <c r="K713" t="inlineStr">
        <is>
          <t>2026-02-23 23:48</t>
        </is>
      </c>
      <c r="L713" t="inlineStr">
        <is>
          <t>CHECK_VENDOR</t>
        </is>
      </c>
      <c r="M713" t="inlineStr">
        <is>
          <t>See CVE details</t>
        </is>
      </c>
      <c r="N713" t="inlineStr">
        <is>
          <t>P3</t>
        </is>
      </c>
      <c r="O713" t="inlineStr">
        <is>
          <t>CVE - IP enrichment n/a</t>
        </is>
      </c>
      <c r="P713" t="n">
        <v>0</v>
      </c>
      <c r="Q713" t="n">
        <v>0</v>
      </c>
      <c r="R713" t="inlineStr">
        <is>
          <t>T1190:Exploit Public-Facing Application</t>
        </is>
      </c>
      <c r="S713" t="n">
        <v>1</v>
      </c>
      <c r="T713" t="inlineStr">
        <is>
          <t>LOW (40%)</t>
        </is>
      </c>
      <c r="U713" t="inlineStr">
        <is>
          <t>UNLIKELY</t>
        </is>
      </c>
      <c r="V713" t="inlineStr">
        <is>
          <t>CHECK_VENDOR</t>
        </is>
      </c>
      <c r="W713" t="inlineStr">
        <is>
          <t>https://nvd.nist.gov/vuln/detail/CVE-2026-26744</t>
        </is>
      </c>
      <c r="X713" t="inlineStr">
        <is>
          <t>NONE</t>
        </is>
      </c>
      <c r="Y713" t="n">
        <v>0</v>
      </c>
      <c r="Z713" t="inlineStr"/>
      <c r="AA713" t="inlineStr">
        <is>
          <t>https://nvd.nist.gov/vuln/detail/CVE-2026-26744</t>
        </is>
      </c>
    </row>
    <row r="714">
      <c r="A714" t="inlineStr">
        <is>
          <t>CVE</t>
        </is>
      </c>
      <c r="B714" t="inlineStr">
        <is>
          <t>CVE-2025-13671</t>
        </is>
      </c>
      <c r="C714" t="inlineStr">
        <is>
          <t>Cross-Site Request Forgery (CSRF) vulnerability in OpenText™ Web Site Management Server allows Cross Site Request Forgery. The vulnerability could make a user, with active session inside the product, click on a page that contains this malicious HTML triggering to perform changes unconsciously.
This issue affects Web Site Management Server: 16.7.0, 16.7.1.</t>
        </is>
      </c>
      <c r="D714" t="n">
        <v>5</v>
      </c>
      <c r="E714" t="inlineStr">
        <is>
          <t>MEDIUM</t>
        </is>
      </c>
      <c r="F714" t="n">
        <v>2</v>
      </c>
      <c r="G714" t="n">
        <v>2</v>
      </c>
      <c r="H714" t="inlineStr">
        <is>
          <t>MEDIUM</t>
        </is>
      </c>
      <c r="I714" t="n">
        <v>9</v>
      </c>
      <c r="J714" t="inlineStr">
        <is>
          <t>NO</t>
        </is>
      </c>
      <c r="K714" t="inlineStr">
        <is>
          <t>2026-02-23 23:48</t>
        </is>
      </c>
      <c r="L714" t="inlineStr">
        <is>
          <t>CHECK_VENDOR</t>
        </is>
      </c>
      <c r="M714" t="inlineStr">
        <is>
          <t>See CVE details</t>
        </is>
      </c>
      <c r="N714" t="inlineStr">
        <is>
          <t>P4</t>
        </is>
      </c>
      <c r="O714" t="inlineStr">
        <is>
          <t>CVE - IP enrichment n/a</t>
        </is>
      </c>
      <c r="P714" t="n">
        <v>0</v>
      </c>
      <c r="Q714" t="n">
        <v>0</v>
      </c>
      <c r="R714" t="inlineStr">
        <is>
          <t>T1185:Browser Session Hijacking</t>
        </is>
      </c>
      <c r="S714" t="n">
        <v>1</v>
      </c>
      <c r="T714" t="inlineStr">
        <is>
          <t>LOW (40%)</t>
        </is>
      </c>
      <c r="U714" t="inlineStr">
        <is>
          <t>UNLIKELY</t>
        </is>
      </c>
      <c r="V714" t="inlineStr">
        <is>
          <t>CHECK_VENDOR</t>
        </is>
      </c>
      <c r="W714" t="inlineStr">
        <is>
          <t>https://nvd.nist.gov/vuln/detail/CVE-2025-13671</t>
        </is>
      </c>
      <c r="X714" t="inlineStr">
        <is>
          <t>NONE</t>
        </is>
      </c>
      <c r="Y714" t="n">
        <v>0</v>
      </c>
      <c r="Z714" t="inlineStr"/>
      <c r="AA714" t="inlineStr">
        <is>
          <t>https://nvd.nist.gov/vuln/detail/CVE-2025-13671</t>
        </is>
      </c>
    </row>
    <row r="715">
      <c r="A715" t="inlineStr">
        <is>
          <t>CVE</t>
        </is>
      </c>
      <c r="B715" t="inlineStr">
        <is>
          <t>CVE-2025-13672</t>
        </is>
      </c>
      <c r="C715" t="inlineStr">
        <is>
          <t>Improper Neutralization of Input During Web Page Generation (XSS or 'Cross-site Scripting') vulnerability in OpenText™ Web Site Management Server allows Reflected XSS. The vulnerability could allow injecting malicious JavaScript inside URL parameters that was then rendered with the preview of the page, so that malicious scripts could be executed on the client side.
This issue affects Web Site Management Server: 16.7.0, 16.7.1.</t>
        </is>
      </c>
      <c r="D715" t="n">
        <v>5</v>
      </c>
      <c r="E715" t="inlineStr">
        <is>
          <t>MEDIUM</t>
        </is>
      </c>
      <c r="F715" t="n">
        <v>2</v>
      </c>
      <c r="G715" t="n">
        <v>2</v>
      </c>
      <c r="H715" t="inlineStr">
        <is>
          <t>MEDIUM</t>
        </is>
      </c>
      <c r="I715" t="n">
        <v>9</v>
      </c>
      <c r="J715" t="inlineStr">
        <is>
          <t>NO</t>
        </is>
      </c>
      <c r="K715" t="inlineStr">
        <is>
          <t>2026-02-23 23:48</t>
        </is>
      </c>
      <c r="L715" t="inlineStr">
        <is>
          <t>CHECK_VENDOR</t>
        </is>
      </c>
      <c r="M715" t="inlineStr">
        <is>
          <t>See CVE details</t>
        </is>
      </c>
      <c r="N715" t="inlineStr">
        <is>
          <t>P4</t>
        </is>
      </c>
      <c r="O715" t="inlineStr">
        <is>
          <t>CVE - IP enrichment n/a</t>
        </is>
      </c>
      <c r="P715" t="n">
        <v>0</v>
      </c>
      <c r="Q715" t="n">
        <v>0</v>
      </c>
      <c r="R715" t="inlineStr">
        <is>
          <t>T1189:Drive-by Compromise</t>
        </is>
      </c>
      <c r="S715" t="n">
        <v>1</v>
      </c>
      <c r="T715" t="inlineStr">
        <is>
          <t>LOW (40%)</t>
        </is>
      </c>
      <c r="U715" t="inlineStr">
        <is>
          <t>UNLIKELY</t>
        </is>
      </c>
      <c r="V715" t="inlineStr">
        <is>
          <t>CHECK_VENDOR</t>
        </is>
      </c>
      <c r="W715" t="inlineStr">
        <is>
          <t>https://nvd.nist.gov/vuln/detail/CVE-2025-13672</t>
        </is>
      </c>
      <c r="X715" t="inlineStr">
        <is>
          <t>NONE</t>
        </is>
      </c>
      <c r="Y715" t="n">
        <v>0</v>
      </c>
      <c r="Z715" t="inlineStr"/>
      <c r="AA715" t="inlineStr">
        <is>
          <t>https://nvd.nist.gov/vuln/detail/CVE-2025-13672</t>
        </is>
      </c>
    </row>
    <row r="716">
      <c r="A716" t="inlineStr">
        <is>
          <t>CVE</t>
        </is>
      </c>
      <c r="B716" t="inlineStr">
        <is>
          <t>CVE-2025-8054</t>
        </is>
      </c>
      <c r="C716" t="inlineStr">
        <is>
          <t>Improper Limitation of a Pathname to a Restricted Directory ('Path Traversal') vulnerability in OpenText™ XM Fax allows Path Traversal. 
The vulnerability could allow an attacker to arbitrarily disclose content of files on the local filesystem. This issue affects XM Fax: 24.2.</t>
        </is>
      </c>
      <c r="D716" t="n">
        <v>5</v>
      </c>
      <c r="E716" t="inlineStr">
        <is>
          <t>MEDIUM</t>
        </is>
      </c>
      <c r="F716" t="n">
        <v>2</v>
      </c>
      <c r="G716" t="n">
        <v>2</v>
      </c>
      <c r="H716" t="inlineStr">
        <is>
          <t>MEDIUM</t>
        </is>
      </c>
      <c r="I716" t="n">
        <v>9</v>
      </c>
      <c r="J716" t="inlineStr">
        <is>
          <t>NO</t>
        </is>
      </c>
      <c r="K716" t="inlineStr">
        <is>
          <t>2026-02-23 23:48</t>
        </is>
      </c>
      <c r="L716" t="inlineStr">
        <is>
          <t>CHECK_VENDOR</t>
        </is>
      </c>
      <c r="M716" t="inlineStr">
        <is>
          <t>See CVE details</t>
        </is>
      </c>
      <c r="N716" t="inlineStr">
        <is>
          <t>P4</t>
        </is>
      </c>
      <c r="O716" t="inlineStr">
        <is>
          <t>CVE - IP enrichment n/a</t>
        </is>
      </c>
      <c r="P716" t="n">
        <v>0</v>
      </c>
      <c r="Q716" t="n">
        <v>0</v>
      </c>
      <c r="R716" t="inlineStr">
        <is>
          <t>T1083:File and Directory Discovery</t>
        </is>
      </c>
      <c r="S716" t="n">
        <v>1</v>
      </c>
      <c r="T716" t="inlineStr">
        <is>
          <t>LOW (40%)</t>
        </is>
      </c>
      <c r="U716" t="inlineStr">
        <is>
          <t>UNLIKELY</t>
        </is>
      </c>
      <c r="V716" t="inlineStr">
        <is>
          <t>CHECK_VENDOR</t>
        </is>
      </c>
      <c r="W716" t="inlineStr">
        <is>
          <t>https://nvd.nist.gov/vuln/detail/CVE-2025-8054</t>
        </is>
      </c>
      <c r="X716" t="inlineStr">
        <is>
          <t>NONE</t>
        </is>
      </c>
      <c r="Y716" t="n">
        <v>0</v>
      </c>
      <c r="Z716" t="inlineStr"/>
      <c r="AA716" t="inlineStr">
        <is>
          <t>https://nvd.nist.gov/vuln/detail/CVE-2025-8054</t>
        </is>
      </c>
    </row>
    <row r="717">
      <c r="A717" t="inlineStr">
        <is>
          <t>CVE</t>
        </is>
      </c>
      <c r="B717" t="inlineStr">
        <is>
          <t>CVE-2025-8055</t>
        </is>
      </c>
      <c r="C717" t="inlineStr">
        <is>
          <t>Server-Side Request Forgery (SSRF) vulnerability in OpenText™ XM Fax allows Server Side Request Forgery. 
The vulnerability could allow an attacker to
perform blind SSRF to other systems accessible from the XM Fax server.
This issue affects XM Fax: 24.2.</t>
        </is>
      </c>
      <c r="D717" t="n">
        <v>5.3</v>
      </c>
      <c r="E717" t="inlineStr">
        <is>
          <t>MEDIUM</t>
        </is>
      </c>
      <c r="F717" t="n">
        <v>2</v>
      </c>
      <c r="G717" t="n">
        <v>2</v>
      </c>
      <c r="H717" t="inlineStr">
        <is>
          <t>MEDIUM</t>
        </is>
      </c>
      <c r="I717" t="n">
        <v>9.300000000000001</v>
      </c>
      <c r="J717" t="inlineStr">
        <is>
          <t>NO</t>
        </is>
      </c>
      <c r="K717" t="inlineStr">
        <is>
          <t>2026-02-23 23:48</t>
        </is>
      </c>
      <c r="L717" t="inlineStr">
        <is>
          <t>CHECK_VENDOR</t>
        </is>
      </c>
      <c r="M717" t="inlineStr">
        <is>
          <t>See CVE details</t>
        </is>
      </c>
      <c r="N717" t="inlineStr">
        <is>
          <t>P4</t>
        </is>
      </c>
      <c r="O717" t="inlineStr">
        <is>
          <t>CVE - IP enrichment n/a</t>
        </is>
      </c>
      <c r="P717" t="n">
        <v>0</v>
      </c>
      <c r="Q717" t="n">
        <v>0</v>
      </c>
      <c r="R717" t="inlineStr">
        <is>
          <t>T1090:Proxy</t>
        </is>
      </c>
      <c r="S717" t="n">
        <v>1</v>
      </c>
      <c r="T717" t="inlineStr">
        <is>
          <t>LOW (40%)</t>
        </is>
      </c>
      <c r="U717" t="inlineStr">
        <is>
          <t>UNLIKELY</t>
        </is>
      </c>
      <c r="V717" t="inlineStr">
        <is>
          <t>CHECK_VENDOR</t>
        </is>
      </c>
      <c r="W717" t="inlineStr">
        <is>
          <t>https://nvd.nist.gov/vuln/detail/CVE-2025-8055</t>
        </is>
      </c>
      <c r="X717" t="inlineStr">
        <is>
          <t>NONE</t>
        </is>
      </c>
      <c r="Y717" t="n">
        <v>0</v>
      </c>
      <c r="Z717" t="inlineStr"/>
      <c r="AA717" t="inlineStr">
        <is>
          <t>https://nvd.nist.gov/vuln/detail/CVE-2025-8055</t>
        </is>
      </c>
    </row>
    <row r="718">
      <c r="A718" t="inlineStr">
        <is>
          <t>CVE</t>
        </is>
      </c>
      <c r="B718" t="inlineStr">
        <is>
          <t>CVE-2025-9208</t>
        </is>
      </c>
      <c r="C718" t="inlineStr">
        <is>
          <t>Improper Neutralization of Input During Web Page Generation (XSS or 'Cross-site Scripting') vulnerability in OpenText™ Web Site Management Server allows Stored XSS. The vulnerability could execute malicious scripts on the client side when the download query parameter is removed from the file URL, allowing attackers to compromise user sessions and data.
This issue affects Web Site Management Server: 16.7.X, 16.8, 16.8.1.</t>
        </is>
      </c>
      <c r="D718" t="n">
        <v>5</v>
      </c>
      <c r="E718" t="inlineStr">
        <is>
          <t>MEDIUM</t>
        </is>
      </c>
      <c r="F718" t="n">
        <v>2</v>
      </c>
      <c r="G718" t="n">
        <v>2</v>
      </c>
      <c r="H718" t="inlineStr">
        <is>
          <t>MEDIUM</t>
        </is>
      </c>
      <c r="I718" t="n">
        <v>9</v>
      </c>
      <c r="J718" t="inlineStr">
        <is>
          <t>NO</t>
        </is>
      </c>
      <c r="K718" t="inlineStr">
        <is>
          <t>2026-02-23 23:48</t>
        </is>
      </c>
      <c r="L718" t="inlineStr">
        <is>
          <t>CHECK_VENDOR</t>
        </is>
      </c>
      <c r="M718" t="inlineStr">
        <is>
          <t>See CVE details</t>
        </is>
      </c>
      <c r="N718" t="inlineStr">
        <is>
          <t>P4</t>
        </is>
      </c>
      <c r="O718" t="inlineStr">
        <is>
          <t>CVE - IP enrichment n/a</t>
        </is>
      </c>
      <c r="P718" t="n">
        <v>0.0005</v>
      </c>
      <c r="Q718" t="n">
        <v>0.1444</v>
      </c>
      <c r="R718" t="inlineStr">
        <is>
          <t>T1189:Drive-by Compromise</t>
        </is>
      </c>
      <c r="S718" t="n">
        <v>1</v>
      </c>
      <c r="T718" t="inlineStr">
        <is>
          <t>LOW (40%)</t>
        </is>
      </c>
      <c r="U718" t="inlineStr">
        <is>
          <t>UNLIKELY</t>
        </is>
      </c>
      <c r="V718" t="inlineStr">
        <is>
          <t>CHECK_VENDOR</t>
        </is>
      </c>
      <c r="W718" t="inlineStr">
        <is>
          <t>https://nvd.nist.gov/vuln/detail/CVE-2025-9208</t>
        </is>
      </c>
      <c r="X718" t="inlineStr">
        <is>
          <t>NONE</t>
        </is>
      </c>
      <c r="Y718" t="n">
        <v>0</v>
      </c>
      <c r="Z718" t="inlineStr"/>
      <c r="AA718" t="inlineStr">
        <is>
          <t>https://nvd.nist.gov/vuln/detail/CVE-2025-9208</t>
        </is>
      </c>
    </row>
    <row r="719">
      <c r="A719" t="inlineStr">
        <is>
          <t>CVE</t>
        </is>
      </c>
      <c r="B719" t="inlineStr">
        <is>
          <t>CVE-2026-1658</t>
        </is>
      </c>
      <c r="C719" t="inlineStr">
        <is>
          <t>User Interface (UI) Misrepresentation of Critical Information vulnerability in OpenText™ Directory Services allows Cache Poisoning. 
The vulnerability could be exploited by a bad actor to inject manipulated text into the OpenText application, potentially misleading users.
This issue affects Directory Services: from 20.4.1 through 25.2.</t>
        </is>
      </c>
      <c r="D719" t="n">
        <v>5</v>
      </c>
      <c r="E719" t="inlineStr">
        <is>
          <t>MEDIUM</t>
        </is>
      </c>
      <c r="F719" t="n">
        <v>2</v>
      </c>
      <c r="G719" t="n">
        <v>2</v>
      </c>
      <c r="H719" t="inlineStr">
        <is>
          <t>MEDIUM</t>
        </is>
      </c>
      <c r="I719" t="n">
        <v>9</v>
      </c>
      <c r="J719" t="inlineStr">
        <is>
          <t>NO</t>
        </is>
      </c>
      <c r="K719" t="inlineStr">
        <is>
          <t>2026-02-23 23:48</t>
        </is>
      </c>
      <c r="L719" t="inlineStr">
        <is>
          <t>CHECK_VENDOR</t>
        </is>
      </c>
      <c r="M719" t="inlineStr">
        <is>
          <t>See CVE details</t>
        </is>
      </c>
      <c r="N719" t="inlineStr">
        <is>
          <t>P4</t>
        </is>
      </c>
      <c r="O719" t="inlineStr">
        <is>
          <t>CVE - IP enrichment n/a</t>
        </is>
      </c>
      <c r="P719" t="n">
        <v>0</v>
      </c>
      <c r="Q719" t="n">
        <v>0</v>
      </c>
      <c r="R719" t="inlineStr">
        <is>
          <t>T1190:Exploit Public-Facing Application</t>
        </is>
      </c>
      <c r="S719" t="n">
        <v>1</v>
      </c>
      <c r="T719" t="inlineStr">
        <is>
          <t>LOW (40%)</t>
        </is>
      </c>
      <c r="U719" t="inlineStr">
        <is>
          <t>UNLIKELY</t>
        </is>
      </c>
      <c r="V719" t="inlineStr">
        <is>
          <t>CHECK_VENDOR</t>
        </is>
      </c>
      <c r="W719" t="inlineStr">
        <is>
          <t>https://nvd.nist.gov/vuln/detail/CVE-2026-1658</t>
        </is>
      </c>
      <c r="X719" t="inlineStr">
        <is>
          <t>NONE</t>
        </is>
      </c>
      <c r="Y719" t="n">
        <v>0</v>
      </c>
      <c r="Z719" t="inlineStr"/>
      <c r="AA719" t="inlineStr">
        <is>
          <t>https://nvd.nist.gov/vuln/detail/CVE-2026-1658</t>
        </is>
      </c>
    </row>
    <row r="720">
      <c r="A720" t="inlineStr">
        <is>
          <t>CVE</t>
        </is>
      </c>
      <c r="B720" t="inlineStr">
        <is>
          <t>CVE-2026-21535</t>
        </is>
      </c>
      <c r="C720" t="inlineStr">
        <is>
          <t>Improper access control in Microsoft Teams allows an unauthorized attacker to disclose information over a network.</t>
        </is>
      </c>
      <c r="D720" t="n">
        <v>8.199999999999999</v>
      </c>
      <c r="E720" t="inlineStr">
        <is>
          <t>HIGH</t>
        </is>
      </c>
      <c r="F720" t="n">
        <v>2</v>
      </c>
      <c r="G720" t="n">
        <v>3</v>
      </c>
      <c r="H720" t="inlineStr">
        <is>
          <t>HIGH</t>
        </is>
      </c>
      <c r="I720" t="n">
        <v>14.2</v>
      </c>
      <c r="J720" t="inlineStr">
        <is>
          <t>NO</t>
        </is>
      </c>
      <c r="K720" t="inlineStr">
        <is>
          <t>2026-02-23 23:48</t>
        </is>
      </c>
      <c r="L720" t="inlineStr">
        <is>
          <t>YES</t>
        </is>
      </c>
      <c r="M720" t="inlineStr">
        <is>
          <t>microsoft teams -</t>
        </is>
      </c>
      <c r="N720" t="inlineStr">
        <is>
          <t>P3</t>
        </is>
      </c>
      <c r="O720" t="inlineStr">
        <is>
          <t>CVE - IP enrichment n/a</t>
        </is>
      </c>
      <c r="P720" t="n">
        <v>0</v>
      </c>
      <c r="Q720" t="n">
        <v>0</v>
      </c>
      <c r="R720" t="inlineStr">
        <is>
          <t>T1190:Exploit Public-Facing Application</t>
        </is>
      </c>
      <c r="S720" t="n">
        <v>1</v>
      </c>
      <c r="T720" t="inlineStr">
        <is>
          <t>LOW (40%)</t>
        </is>
      </c>
      <c r="U720" t="inlineStr">
        <is>
          <t>UNLIKELY</t>
        </is>
      </c>
      <c r="V720" t="inlineStr">
        <is>
          <t>PATCH_AVAILABLE</t>
        </is>
      </c>
      <c r="W720" t="inlineStr">
        <is>
          <t>https://nvd.nist.gov/vuln/detail/CVE-2026-21535</t>
        </is>
      </c>
      <c r="X720" t="inlineStr">
        <is>
          <t>NONE</t>
        </is>
      </c>
      <c r="Y720" t="n">
        <v>0</v>
      </c>
      <c r="Z720" t="inlineStr"/>
      <c r="AA720" t="inlineStr">
        <is>
          <t>https://nvd.nist.gov/vuln/detail/CVE-2026-21535</t>
        </is>
      </c>
    </row>
    <row r="721">
      <c r="A721" t="inlineStr">
        <is>
          <t>CVE</t>
        </is>
      </c>
      <c r="B721" t="inlineStr">
        <is>
          <t>CVE-2026-24122</t>
        </is>
      </c>
      <c r="C721" t="inlineStr">
        <is>
          <t>Cosign provides code signing and transparency for containers and binaries. In versions 3.0.4 and below, an issuing certificate with a validity that expires before the leaf certificate will be considered valid during verification even if the provided timestamp would mean the issuing certificate should be considered expired. When verifying artifact signatures using a certificate, Cosign first verifies the certificate chain using the leaf certificate's "not before" timestamp and later checks expiry</t>
        </is>
      </c>
      <c r="D721" t="n">
        <v>3.7</v>
      </c>
      <c r="E721" t="inlineStr">
        <is>
          <t>LOW</t>
        </is>
      </c>
      <c r="F721" t="n">
        <v>2</v>
      </c>
      <c r="G721" t="n">
        <v>1</v>
      </c>
      <c r="H721" t="inlineStr">
        <is>
          <t>LOW</t>
        </is>
      </c>
      <c r="I721" t="n">
        <v>5.7</v>
      </c>
      <c r="J721" t="inlineStr">
        <is>
          <t>NO</t>
        </is>
      </c>
      <c r="K721" t="inlineStr">
        <is>
          <t>2026-02-23 23:48</t>
        </is>
      </c>
      <c r="L721" t="inlineStr">
        <is>
          <t>YES</t>
        </is>
      </c>
      <c r="M721" t="inlineStr">
        <is>
          <t>sigstore cosign *</t>
        </is>
      </c>
      <c r="N721" t="inlineStr">
        <is>
          <t>P4</t>
        </is>
      </c>
      <c r="O721" t="inlineStr">
        <is>
          <t>CVE - IP enrichment n/a</t>
        </is>
      </c>
      <c r="P721" t="n">
        <v>0</v>
      </c>
      <c r="Q721" t="n">
        <v>0</v>
      </c>
      <c r="R721" t="inlineStr">
        <is>
          <t>T1190:Exploit Public-Facing Application</t>
        </is>
      </c>
      <c r="S721" t="n">
        <v>1</v>
      </c>
      <c r="T721" t="inlineStr">
        <is>
          <t>LOW (40%)</t>
        </is>
      </c>
      <c r="U721" t="inlineStr">
        <is>
          <t>UNLIKELY</t>
        </is>
      </c>
      <c r="V721" t="inlineStr">
        <is>
          <t>PATCH_AVAILABLE</t>
        </is>
      </c>
      <c r="W721" t="inlineStr">
        <is>
          <t>https://nvd.nist.gov/vuln/detail/CVE-2026-24122</t>
        </is>
      </c>
      <c r="X721" t="inlineStr">
        <is>
          <t>NONE</t>
        </is>
      </c>
      <c r="Y721" t="n">
        <v>0</v>
      </c>
      <c r="Z721" t="inlineStr"/>
      <c r="AA721" t="inlineStr">
        <is>
          <t>https://nvd.nist.gov/vuln/detail/CVE-2026-24122</t>
        </is>
      </c>
    </row>
    <row r="722">
      <c r="A722" t="inlineStr">
        <is>
          <t>CVE</t>
        </is>
      </c>
      <c r="B722" t="inlineStr">
        <is>
          <t>CVE-2026-26319</t>
        </is>
      </c>
      <c r="C722" t="inlineStr">
        <is>
          <t>OpenClaw is a personal AI assistant. Versions 2026.2.13 and below allow the optional @openclaw/voice-call plugin Telnyx webhook handler to accept unsigned inbound webhook requests when telnyx.publicKey is not configured, enabling unauthenticated callers to forge Telnyx events. Telnyx webhooks are expected to be authenticated via Ed25519 signature verification. In affected versions, TelnyxProvider.verifyWebhook() could effectively fail open when no Telnyx public key was configured, allowing arbit</t>
        </is>
      </c>
      <c r="D722" t="n">
        <v>7.5</v>
      </c>
      <c r="E722" t="inlineStr">
        <is>
          <t>HIGH</t>
        </is>
      </c>
      <c r="F722" t="n">
        <v>2</v>
      </c>
      <c r="G722" t="n">
        <v>3</v>
      </c>
      <c r="H722" t="inlineStr">
        <is>
          <t>HIGH</t>
        </is>
      </c>
      <c r="I722" t="n">
        <v>13.5</v>
      </c>
      <c r="J722" t="inlineStr">
        <is>
          <t>NO</t>
        </is>
      </c>
      <c r="K722" t="inlineStr">
        <is>
          <t>2026-02-23 23:48</t>
        </is>
      </c>
      <c r="L722" t="inlineStr">
        <is>
          <t>YES</t>
        </is>
      </c>
      <c r="M722" t="inlineStr">
        <is>
          <t>openclaw openclaw *</t>
        </is>
      </c>
      <c r="N722" t="inlineStr">
        <is>
          <t>P3</t>
        </is>
      </c>
      <c r="O722" t="inlineStr">
        <is>
          <t>CVE - IP enrichment n/a</t>
        </is>
      </c>
      <c r="P722" t="n">
        <v>0</v>
      </c>
      <c r="Q722" t="n">
        <v>0</v>
      </c>
      <c r="R722" t="inlineStr">
        <is>
          <t>T1078:Valid Accounts</t>
        </is>
      </c>
      <c r="S722" t="n">
        <v>1</v>
      </c>
      <c r="T722" t="inlineStr">
        <is>
          <t>LOW (40%)</t>
        </is>
      </c>
      <c r="U722" t="inlineStr">
        <is>
          <t>UNLIKELY</t>
        </is>
      </c>
      <c r="V722" t="inlineStr">
        <is>
          <t>PATCH_AVAILABLE</t>
        </is>
      </c>
      <c r="W722" t="inlineStr">
        <is>
          <t>https://nvd.nist.gov/vuln/detail/CVE-2026-26319</t>
        </is>
      </c>
      <c r="X722" t="inlineStr">
        <is>
          <t>NONE</t>
        </is>
      </c>
      <c r="Y722" t="n">
        <v>0</v>
      </c>
      <c r="Z722" t="inlineStr"/>
      <c r="AA722" t="inlineStr">
        <is>
          <t>https://nvd.nist.gov/vuln/detail/CVE-2026-26319</t>
        </is>
      </c>
    </row>
    <row r="723">
      <c r="A723" t="inlineStr">
        <is>
          <t>CVE</t>
        </is>
      </c>
      <c r="B723" t="inlineStr">
        <is>
          <t>CVE-2026-26320</t>
        </is>
      </c>
      <c r="C723" t="inlineStr">
        <is>
          <t>OpenClaw is a personal AI assistant. OpenClaw macOS desktop client registers the `openclaw://` URL scheme. For `openclaw://agent` deep links without an unattended `key`, the app shows a confirmation dialog that previously displayed only the first 240 characters of the message, but executed the full message after the user clicked "Run." At the time of writing, the OpenClaw macOS desktop client is still in beta. In versions 2026.2.6 through 2026.2.13, an attacker could pad the message with whitesp</t>
        </is>
      </c>
      <c r="D723" t="n">
        <v>6.5</v>
      </c>
      <c r="E723" t="inlineStr">
        <is>
          <t>MEDIUM</t>
        </is>
      </c>
      <c r="F723" t="n">
        <v>2</v>
      </c>
      <c r="G723" t="n">
        <v>2</v>
      </c>
      <c r="H723" t="inlineStr">
        <is>
          <t>MEDIUM</t>
        </is>
      </c>
      <c r="I723" t="n">
        <v>10.5</v>
      </c>
      <c r="J723" t="inlineStr">
        <is>
          <t>NO</t>
        </is>
      </c>
      <c r="K723" t="inlineStr">
        <is>
          <t>2026-02-23 23:48</t>
        </is>
      </c>
      <c r="L723" t="inlineStr">
        <is>
          <t>YES</t>
        </is>
      </c>
      <c r="M723" t="inlineStr">
        <is>
          <t>openclaw openclaw * | apple macos -</t>
        </is>
      </c>
      <c r="N723" t="inlineStr">
        <is>
          <t>P4</t>
        </is>
      </c>
      <c r="O723" t="inlineStr">
        <is>
          <t>CVE - IP enrichment n/a</t>
        </is>
      </c>
      <c r="P723" t="n">
        <v>0</v>
      </c>
      <c r="Q723" t="n">
        <v>0</v>
      </c>
      <c r="R723" t="inlineStr">
        <is>
          <t>T1190:Exploit Public-Facing Application</t>
        </is>
      </c>
      <c r="S723" t="n">
        <v>1</v>
      </c>
      <c r="T723" t="inlineStr">
        <is>
          <t>LOW (40%)</t>
        </is>
      </c>
      <c r="U723" t="inlineStr">
        <is>
          <t>UNLIKELY</t>
        </is>
      </c>
      <c r="V723" t="inlineStr">
        <is>
          <t>PATCH_AVAILABLE</t>
        </is>
      </c>
      <c r="W723" t="inlineStr">
        <is>
          <t>https://nvd.nist.gov/vuln/detail/CVE-2026-26320</t>
        </is>
      </c>
      <c r="X723" t="inlineStr">
        <is>
          <t>NONE</t>
        </is>
      </c>
      <c r="Y723" t="n">
        <v>0</v>
      </c>
      <c r="Z723" t="inlineStr"/>
      <c r="AA723" t="inlineStr">
        <is>
          <t>https://nvd.nist.gov/vuln/detail/CVE-2026-26320</t>
        </is>
      </c>
    </row>
    <row r="724">
      <c r="A724" t="inlineStr">
        <is>
          <t>CVE</t>
        </is>
      </c>
      <c r="B724" t="inlineStr">
        <is>
          <t>CVE-2026-26321</t>
        </is>
      </c>
      <c r="C724" t="inlineStr">
        <is>
          <t>OpenClaw is a personal AI assistant. Prior to OpenClaw version 2026.2.14, the Feishu extension previously allowed `sendMediaFeishu` to treat attacker-controlled `mediaUrl` values as local filesystem paths and read them directly. If an attacker can influence tool calls (directly or via prompt injection), they may be able to exfiltrate local files by supplying paths such as `/etc/passwd` as `mediaUrl`. Upgrade to OpenClaw `2026.2.14` or newer to receive a fix. The fix removes direct local file rea</t>
        </is>
      </c>
      <c r="D724" t="n">
        <v>7.5</v>
      </c>
      <c r="E724" t="inlineStr">
        <is>
          <t>HIGH</t>
        </is>
      </c>
      <c r="F724" t="n">
        <v>2</v>
      </c>
      <c r="G724" t="n">
        <v>3</v>
      </c>
      <c r="H724" t="inlineStr">
        <is>
          <t>HIGH</t>
        </is>
      </c>
      <c r="I724" t="n">
        <v>13.5</v>
      </c>
      <c r="J724" t="inlineStr">
        <is>
          <t>NO</t>
        </is>
      </c>
      <c r="K724" t="inlineStr">
        <is>
          <t>2026-02-23 23:48</t>
        </is>
      </c>
      <c r="L724" t="inlineStr">
        <is>
          <t>YES</t>
        </is>
      </c>
      <c r="M724" t="inlineStr">
        <is>
          <t>openclaw openclaw *</t>
        </is>
      </c>
      <c r="N724" t="inlineStr">
        <is>
          <t>P3</t>
        </is>
      </c>
      <c r="O724" t="inlineStr">
        <is>
          <t>CVE - IP enrichment n/a</t>
        </is>
      </c>
      <c r="P724" t="n">
        <v>0.0005999999999999999</v>
      </c>
      <c r="Q724" t="n">
        <v>0.1885</v>
      </c>
      <c r="R724" t="inlineStr">
        <is>
          <t>T1083:File and Directory Discovery | T1190:Exploit Public-Facing Application</t>
        </is>
      </c>
      <c r="S724" t="n">
        <v>1</v>
      </c>
      <c r="T724" t="inlineStr">
        <is>
          <t>LOW (40%)</t>
        </is>
      </c>
      <c r="U724" t="inlineStr">
        <is>
          <t>UNLIKELY</t>
        </is>
      </c>
      <c r="V724" t="inlineStr">
        <is>
          <t>PATCH_AVAILABLE</t>
        </is>
      </c>
      <c r="W724" t="inlineStr">
        <is>
          <t>https://nvd.nist.gov/vuln/detail/CVE-2026-26321</t>
        </is>
      </c>
      <c r="X724" t="inlineStr">
        <is>
          <t>NONE</t>
        </is>
      </c>
      <c r="Y724" t="n">
        <v>0</v>
      </c>
      <c r="Z724" t="inlineStr"/>
      <c r="AA724" t="inlineStr">
        <is>
          <t>https://nvd.nist.gov/vuln/detail/CVE-2026-26321</t>
        </is>
      </c>
    </row>
    <row r="725">
      <c r="A725" t="inlineStr">
        <is>
          <t>CVE</t>
        </is>
      </c>
      <c r="B725" t="inlineStr">
        <is>
          <t>CVE-2026-26322</t>
        </is>
      </c>
      <c r="C725" t="inlineStr">
        <is>
          <t xml:space="preserve">OpenClaw is a personal AI assistant. Prior to OpenClaw version 2026.2.14, the Gateway tool accepted a tool-supplied `gatewayUrl` without sufficient restrictions, which could cause the OpenClaw host to attempt outbound WebSocket connections to user-specified targets. This requires the ability to invoke tools that accept `gatewayUrl` overrides (directly or indirectly). In typical setups this is limited to authenticated operators, trusted automation, or environments where tool calls are exposed to </t>
        </is>
      </c>
      <c r="D725" t="n">
        <v>7.6</v>
      </c>
      <c r="E725" t="inlineStr">
        <is>
          <t>HIGH</t>
        </is>
      </c>
      <c r="F725" t="n">
        <v>2</v>
      </c>
      <c r="G725" t="n">
        <v>3</v>
      </c>
      <c r="H725" t="inlineStr">
        <is>
          <t>HIGH</t>
        </is>
      </c>
      <c r="I725" t="n">
        <v>13.6</v>
      </c>
      <c r="J725" t="inlineStr">
        <is>
          <t>NO</t>
        </is>
      </c>
      <c r="K725" t="inlineStr">
        <is>
          <t>2026-02-23 23:48</t>
        </is>
      </c>
      <c r="L725" t="inlineStr">
        <is>
          <t>YES</t>
        </is>
      </c>
      <c r="M725" t="inlineStr">
        <is>
          <t>openclaw openclaw *</t>
        </is>
      </c>
      <c r="N725" t="inlineStr">
        <is>
          <t>P3</t>
        </is>
      </c>
      <c r="O725" t="inlineStr">
        <is>
          <t>CVE - IP enrichment n/a</t>
        </is>
      </c>
      <c r="P725" t="n">
        <v>0</v>
      </c>
      <c r="Q725" t="n">
        <v>0</v>
      </c>
      <c r="R725" t="inlineStr">
        <is>
          <t>T1090:Proxy | T1552:Unsecured Credentials</t>
        </is>
      </c>
      <c r="S725" t="n">
        <v>1</v>
      </c>
      <c r="T725" t="inlineStr">
        <is>
          <t>LOW (40%)</t>
        </is>
      </c>
      <c r="U725" t="inlineStr">
        <is>
          <t>UNLIKELY</t>
        </is>
      </c>
      <c r="V725" t="inlineStr">
        <is>
          <t>PATCH_AVAILABLE</t>
        </is>
      </c>
      <c r="W725" t="inlineStr">
        <is>
          <t>https://nvd.nist.gov/vuln/detail/CVE-2026-26322</t>
        </is>
      </c>
      <c r="X725" t="inlineStr">
        <is>
          <t>NONE</t>
        </is>
      </c>
      <c r="Y725" t="n">
        <v>0</v>
      </c>
      <c r="Z725" t="inlineStr"/>
      <c r="AA725" t="inlineStr">
        <is>
          <t>https://nvd.nist.gov/vuln/detail/CVE-2026-26322</t>
        </is>
      </c>
    </row>
    <row r="726">
      <c r="A726" t="inlineStr">
        <is>
          <t>CVE</t>
        </is>
      </c>
      <c r="B726" t="inlineStr">
        <is>
          <t>CVE-2026-26323</t>
        </is>
      </c>
      <c r="C726" t="inlineStr">
        <is>
          <t>OpenClaw is a personal AI assistant. Versions 2026.1.8 through 2026.2.13 have a command injection in the maintainer/dev script `scripts/update-clawtributors.ts`. The issue affects contributors/maintainers (or CI) who run `bun scripts/update-clawtributors.ts` in a source checkout that contains a malicious commit author email (e.g. crafted `@users[.]noreply[.]github[.]com` values). Normal CLI usage is not affected (`npm i -g openclaw`): this script is not part of the shipped CLI and is not execute</t>
        </is>
      </c>
      <c r="D726" t="n">
        <v>8.800000000000001</v>
      </c>
      <c r="E726" t="inlineStr">
        <is>
          <t>HIGH</t>
        </is>
      </c>
      <c r="F726" t="n">
        <v>2</v>
      </c>
      <c r="G726" t="n">
        <v>3</v>
      </c>
      <c r="H726" t="inlineStr">
        <is>
          <t>HIGH</t>
        </is>
      </c>
      <c r="I726" t="n">
        <v>14.8</v>
      </c>
      <c r="J726" t="inlineStr">
        <is>
          <t>NO</t>
        </is>
      </c>
      <c r="K726" t="inlineStr">
        <is>
          <t>2026-02-23 23:48</t>
        </is>
      </c>
      <c r="L726" t="inlineStr">
        <is>
          <t>YES</t>
        </is>
      </c>
      <c r="M726" t="inlineStr">
        <is>
          <t>openclaw openclaw *</t>
        </is>
      </c>
      <c r="N726" t="inlineStr">
        <is>
          <t>P3</t>
        </is>
      </c>
      <c r="O726" t="inlineStr">
        <is>
          <t>CVE - IP enrichment n/a</t>
        </is>
      </c>
      <c r="P726" t="n">
        <v>0.0018</v>
      </c>
      <c r="Q726" t="n">
        <v>0.3886</v>
      </c>
      <c r="R726" t="inlineStr">
        <is>
          <t>T1059:Command and Scripting Interpreter | T1190:Exploit Public-Facing Application</t>
        </is>
      </c>
      <c r="S726" t="n">
        <v>1</v>
      </c>
      <c r="T726" t="inlineStr">
        <is>
          <t>LOW (40%)</t>
        </is>
      </c>
      <c r="U726" t="inlineStr">
        <is>
          <t>UNLIKELY</t>
        </is>
      </c>
      <c r="V726" t="inlineStr">
        <is>
          <t>PATCH_AVAILABLE</t>
        </is>
      </c>
      <c r="W726" t="inlineStr">
        <is>
          <t>https://nvd.nist.gov/vuln/detail/CVE-2026-26323</t>
        </is>
      </c>
      <c r="X726" t="inlineStr">
        <is>
          <t>NONE</t>
        </is>
      </c>
      <c r="Y726" t="n">
        <v>0</v>
      </c>
      <c r="Z726" t="inlineStr"/>
      <c r="AA726" t="inlineStr">
        <is>
          <t>https://nvd.nist.gov/vuln/detail/CVE-2026-26323</t>
        </is>
      </c>
    </row>
    <row r="727">
      <c r="A727" t="inlineStr">
        <is>
          <t>CVE</t>
        </is>
      </c>
      <c r="B727" t="inlineStr">
        <is>
          <t>CVE-2026-26324</t>
        </is>
      </c>
      <c r="C727" t="inlineStr">
        <is>
          <t>OpenClaw is a personal AI assistant. Prior to version 2026.2.14, OpenClaw's SSRF protection could be bypassed using full-form IPv4-mapped IPv6 literals such as `0:0:0:0:0:ffff:7f00:1` (which is `127.0.0.1`). This could allow requests that should be blocked (loopback / private network / link-local metadata) to pass the SSRF guard. Version 2026.2.14 patches the issue.</t>
        </is>
      </c>
      <c r="D727" t="n">
        <v>7.5</v>
      </c>
      <c r="E727" t="inlineStr">
        <is>
          <t>HIGH</t>
        </is>
      </c>
      <c r="F727" t="n">
        <v>2</v>
      </c>
      <c r="G727" t="n">
        <v>3</v>
      </c>
      <c r="H727" t="inlineStr">
        <is>
          <t>HIGH</t>
        </is>
      </c>
      <c r="I727" t="n">
        <v>13.5</v>
      </c>
      <c r="J727" t="inlineStr">
        <is>
          <t>NO</t>
        </is>
      </c>
      <c r="K727" t="inlineStr">
        <is>
          <t>2026-02-23 23:48</t>
        </is>
      </c>
      <c r="L727" t="inlineStr">
        <is>
          <t>YES</t>
        </is>
      </c>
      <c r="M727" t="inlineStr">
        <is>
          <t>openclaw openclaw *</t>
        </is>
      </c>
      <c r="N727" t="inlineStr">
        <is>
          <t>P3</t>
        </is>
      </c>
      <c r="O727" t="inlineStr">
        <is>
          <t>CVE - IP enrichment n/a</t>
        </is>
      </c>
      <c r="P727" t="n">
        <v>0</v>
      </c>
      <c r="Q727" t="n">
        <v>0</v>
      </c>
      <c r="R727" t="inlineStr">
        <is>
          <t>T1090:Proxy</t>
        </is>
      </c>
      <c r="S727" t="n">
        <v>1</v>
      </c>
      <c r="T727" t="inlineStr">
        <is>
          <t>LOW (40%)</t>
        </is>
      </c>
      <c r="U727" t="inlineStr">
        <is>
          <t>UNLIKELY</t>
        </is>
      </c>
      <c r="V727" t="inlineStr">
        <is>
          <t>PATCH_AVAILABLE</t>
        </is>
      </c>
      <c r="W727" t="inlineStr">
        <is>
          <t>https://nvd.nist.gov/vuln/detail/CVE-2026-26324</t>
        </is>
      </c>
      <c r="X727" t="inlineStr">
        <is>
          <t>NONE</t>
        </is>
      </c>
      <c r="Y727" t="n">
        <v>0</v>
      </c>
      <c r="Z727" t="inlineStr"/>
      <c r="AA727" t="inlineStr">
        <is>
          <t>https://nvd.nist.gov/vuln/detail/CVE-2026-26324</t>
        </is>
      </c>
    </row>
    <row r="728">
      <c r="A728" t="inlineStr">
        <is>
          <t>CVE</t>
        </is>
      </c>
      <c r="B728" t="inlineStr">
        <is>
          <t>CVE-2026-26325</t>
        </is>
      </c>
      <c r="C728" t="inlineStr">
        <is>
          <t>OpenClaw is a personal AI assistant. Prior to version 2026.2.14, a mismatch between `rawCommand` and `command[]` in the node host `system.run` handler could cause allowlist/approval evaluation to be performed on one command while executing a different argv. This only impacts deployments that use the node host / companion node execution path (`system.run` on a node), enable allowlist-based exec policy (`security=allowlist`) with approval prompting driven by allowlist misses (for example `ask=on-m</t>
        </is>
      </c>
      <c r="D728" t="n">
        <v>7.2</v>
      </c>
      <c r="E728" t="inlineStr">
        <is>
          <t>HIGH</t>
        </is>
      </c>
      <c r="F728" t="n">
        <v>2</v>
      </c>
      <c r="G728" t="n">
        <v>3</v>
      </c>
      <c r="H728" t="inlineStr">
        <is>
          <t>HIGH</t>
        </is>
      </c>
      <c r="I728" t="n">
        <v>13.2</v>
      </c>
      <c r="J728" t="inlineStr">
        <is>
          <t>NO</t>
        </is>
      </c>
      <c r="K728" t="inlineStr">
        <is>
          <t>2026-02-23 23:48</t>
        </is>
      </c>
      <c r="L728" t="inlineStr">
        <is>
          <t>YES</t>
        </is>
      </c>
      <c r="M728" t="inlineStr">
        <is>
          <t>openclaw openclaw *</t>
        </is>
      </c>
      <c r="N728" t="inlineStr">
        <is>
          <t>P3</t>
        </is>
      </c>
      <c r="O728" t="inlineStr">
        <is>
          <t>CVE - IP enrichment n/a</t>
        </is>
      </c>
      <c r="P728" t="n">
        <v>0</v>
      </c>
      <c r="Q728" t="n">
        <v>0</v>
      </c>
      <c r="R728" t="inlineStr">
        <is>
          <t>T1190:Exploit Public-Facing Application</t>
        </is>
      </c>
      <c r="S728" t="n">
        <v>1</v>
      </c>
      <c r="T728" t="inlineStr">
        <is>
          <t>LOW (40%)</t>
        </is>
      </c>
      <c r="U728" t="inlineStr">
        <is>
          <t>UNLIKELY</t>
        </is>
      </c>
      <c r="V728" t="inlineStr">
        <is>
          <t>PATCH_AVAILABLE</t>
        </is>
      </c>
      <c r="W728" t="inlineStr">
        <is>
          <t>https://nvd.nist.gov/vuln/detail/CVE-2026-26325</t>
        </is>
      </c>
      <c r="X728" t="inlineStr">
        <is>
          <t>NONE</t>
        </is>
      </c>
      <c r="Y728" t="n">
        <v>0</v>
      </c>
      <c r="Z728" t="inlineStr"/>
      <c r="AA728" t="inlineStr">
        <is>
          <t>https://nvd.nist.gov/vuln/detail/CVE-2026-26325</t>
        </is>
      </c>
    </row>
    <row r="729">
      <c r="A729" t="inlineStr">
        <is>
          <t>CVE</t>
        </is>
      </c>
      <c r="B729" t="inlineStr">
        <is>
          <t>CVE-2026-26326</t>
        </is>
      </c>
      <c r="C729" t="inlineStr">
        <is>
          <t>OpenClaw is a personal AI assistant. Prior to version 2026.2.14, `skills.status` could disclose secrets to `operator.read` clients by returning raw resolved config values in `configChecks` for skill `requires.config` paths. Version 2026.2.14 stops including raw resolved config values in requirement checks (return only `{ path, satisfied }`) and narrows the Discord skill requirement to the token key. In addition to upgrading, users should rotate any Discord tokens that may have been exposed to re</t>
        </is>
      </c>
      <c r="D729" t="n">
        <v>4.3</v>
      </c>
      <c r="E729" t="inlineStr">
        <is>
          <t>MEDIUM</t>
        </is>
      </c>
      <c r="F729" t="n">
        <v>2</v>
      </c>
      <c r="G729" t="n">
        <v>2</v>
      </c>
      <c r="H729" t="inlineStr">
        <is>
          <t>MEDIUM</t>
        </is>
      </c>
      <c r="I729" t="n">
        <v>8.300000000000001</v>
      </c>
      <c r="J729" t="inlineStr">
        <is>
          <t>NO</t>
        </is>
      </c>
      <c r="K729" t="inlineStr">
        <is>
          <t>2026-02-23 23:48</t>
        </is>
      </c>
      <c r="L729" t="inlineStr">
        <is>
          <t>YES</t>
        </is>
      </c>
      <c r="M729" t="inlineStr">
        <is>
          <t>openclaw openclaw *</t>
        </is>
      </c>
      <c r="N729" t="inlineStr">
        <is>
          <t>P4</t>
        </is>
      </c>
      <c r="O729" t="inlineStr">
        <is>
          <t>CVE - IP enrichment n/a</t>
        </is>
      </c>
      <c r="P729" t="n">
        <v>0.0001</v>
      </c>
      <c r="Q729" t="n">
        <v>0.0239</v>
      </c>
      <c r="R729" t="inlineStr">
        <is>
          <t>T1213:Data from Information Repositories</t>
        </is>
      </c>
      <c r="S729" t="n">
        <v>1</v>
      </c>
      <c r="T729" t="inlineStr">
        <is>
          <t>LOW (40%)</t>
        </is>
      </c>
      <c r="U729" t="inlineStr">
        <is>
          <t>UNLIKELY</t>
        </is>
      </c>
      <c r="V729" t="inlineStr">
        <is>
          <t>PATCH_AVAILABLE</t>
        </is>
      </c>
      <c r="W729" t="inlineStr">
        <is>
          <t>https://nvd.nist.gov/vuln/detail/CVE-2026-26326</t>
        </is>
      </c>
      <c r="X729" t="inlineStr">
        <is>
          <t>NONE</t>
        </is>
      </c>
      <c r="Y729" t="n">
        <v>0</v>
      </c>
      <c r="Z729" t="inlineStr"/>
      <c r="AA729" t="inlineStr">
        <is>
          <t>https://nvd.nist.gov/vuln/detail/CVE-2026-26326</t>
        </is>
      </c>
    </row>
    <row r="730">
      <c r="A730" t="inlineStr">
        <is>
          <t>CVE</t>
        </is>
      </c>
      <c r="B730" t="inlineStr">
        <is>
          <t>CVE-2026-26327</t>
        </is>
      </c>
      <c r="C730" t="inlineStr">
        <is>
          <t>OpenClaw is a personal AI assistant. Discovery beacons (Bonjour/mDNS and DNS-SD) include TXT records such as `lanHost`, `tailnetDns`, `gatewayPort`, and `gatewayTlsSha256`. TXT records are unauthenticated. Prior to version 2026.2.14, some clients treated TXT values as authoritative routing/pinning inputs. iOS and macOS used TXT-provided host hints (`lanHost`/`tailnetDns`) and ports (`gatewayPort`) to build the connection URL. iOS and Android allowed the discovery-provided TLS fingerprint (`gatew</t>
        </is>
      </c>
      <c r="D730" t="n">
        <v>6.5</v>
      </c>
      <c r="E730" t="inlineStr">
        <is>
          <t>MEDIUM</t>
        </is>
      </c>
      <c r="F730" t="n">
        <v>2</v>
      </c>
      <c r="G730" t="n">
        <v>2</v>
      </c>
      <c r="H730" t="inlineStr">
        <is>
          <t>MEDIUM</t>
        </is>
      </c>
      <c r="I730" t="n">
        <v>10.5</v>
      </c>
      <c r="J730" t="inlineStr">
        <is>
          <t>NO</t>
        </is>
      </c>
      <c r="K730" t="inlineStr">
        <is>
          <t>2026-02-23 23:48</t>
        </is>
      </c>
      <c r="L730" t="inlineStr">
        <is>
          <t>YES</t>
        </is>
      </c>
      <c r="M730" t="inlineStr">
        <is>
          <t>openclaw openclaw *</t>
        </is>
      </c>
      <c r="N730" t="inlineStr">
        <is>
          <t>P4</t>
        </is>
      </c>
      <c r="O730" t="inlineStr">
        <is>
          <t>CVE - IP enrichment n/a</t>
        </is>
      </c>
      <c r="P730" t="n">
        <v>0</v>
      </c>
      <c r="Q730" t="n">
        <v>0</v>
      </c>
      <c r="R730" t="inlineStr">
        <is>
          <t>T1552:Unsecured Credentials</t>
        </is>
      </c>
      <c r="S730" t="n">
        <v>1</v>
      </c>
      <c r="T730" t="inlineStr">
        <is>
          <t>LOW (40%)</t>
        </is>
      </c>
      <c r="U730" t="inlineStr">
        <is>
          <t>UNLIKELY</t>
        </is>
      </c>
      <c r="V730" t="inlineStr">
        <is>
          <t>PATCH_AVAILABLE</t>
        </is>
      </c>
      <c r="W730" t="inlineStr">
        <is>
          <t>https://nvd.nist.gov/vuln/detail/CVE-2026-26327</t>
        </is>
      </c>
      <c r="X730" t="inlineStr">
        <is>
          <t>NONE</t>
        </is>
      </c>
      <c r="Y730" t="n">
        <v>0</v>
      </c>
      <c r="Z730" t="inlineStr"/>
      <c r="AA730" t="inlineStr">
        <is>
          <t>https://nvd.nist.gov/vuln/detail/CVE-2026-26327</t>
        </is>
      </c>
    </row>
    <row r="731">
      <c r="A731" t="inlineStr">
        <is>
          <t>CVE</t>
        </is>
      </c>
      <c r="B731" t="inlineStr">
        <is>
          <t>CVE-2026-26952</t>
        </is>
      </c>
      <c r="C731" t="inlineStr">
        <is>
          <t xml:space="preserve">Pi-hole Admin Interface is a web interface for managing Pi-hole, a network-level ad and internet tracker blocking application. Versions 6.4 and below are vulnerable to stored HTML injection through the local DNS records configuration page, which allows an authenticated administrator to inject code that is stored in the Pi-hole configuration and rendered every time the DNS records table is viewed. The populateDataTable() function contains a data variable with the full DNS record value exactly as </t>
        </is>
      </c>
      <c r="D731" t="n">
        <v>5.4</v>
      </c>
      <c r="E731" t="inlineStr">
        <is>
          <t>MEDIUM</t>
        </is>
      </c>
      <c r="F731" t="n">
        <v>2</v>
      </c>
      <c r="G731" t="n">
        <v>2</v>
      </c>
      <c r="H731" t="inlineStr">
        <is>
          <t>MEDIUM</t>
        </is>
      </c>
      <c r="I731" t="n">
        <v>9.4</v>
      </c>
      <c r="J731" t="inlineStr">
        <is>
          <t>NO</t>
        </is>
      </c>
      <c r="K731" t="inlineStr">
        <is>
          <t>2026-02-23 23:48</t>
        </is>
      </c>
      <c r="L731" t="inlineStr">
        <is>
          <t>CHECK_VENDOR</t>
        </is>
      </c>
      <c r="M731" t="inlineStr">
        <is>
          <t>See CVE details</t>
        </is>
      </c>
      <c r="N731" t="inlineStr">
        <is>
          <t>P4</t>
        </is>
      </c>
      <c r="O731" t="inlineStr">
        <is>
          <t>CVE - IP enrichment n/a</t>
        </is>
      </c>
      <c r="P731" t="n">
        <v>0</v>
      </c>
      <c r="Q731" t="n">
        <v>0</v>
      </c>
      <c r="R731" t="inlineStr">
        <is>
          <t>T1190:Exploit Public-Facing Application</t>
        </is>
      </c>
      <c r="S731" t="n">
        <v>1</v>
      </c>
      <c r="T731" t="inlineStr">
        <is>
          <t>LOW (40%)</t>
        </is>
      </c>
      <c r="U731" t="inlineStr">
        <is>
          <t>UNLIKELY</t>
        </is>
      </c>
      <c r="V731" t="inlineStr">
        <is>
          <t>CHECK_VENDOR</t>
        </is>
      </c>
      <c r="W731" t="inlineStr">
        <is>
          <t>https://nvd.nist.gov/vuln/detail/CVE-2026-26952</t>
        </is>
      </c>
      <c r="X731" t="inlineStr">
        <is>
          <t>NONE</t>
        </is>
      </c>
      <c r="Y731" t="n">
        <v>0</v>
      </c>
      <c r="Z731" t="inlineStr"/>
      <c r="AA731" t="inlineStr">
        <is>
          <t>https://nvd.nist.gov/vuln/detail/CVE-2026-26952</t>
        </is>
      </c>
    </row>
    <row r="732">
      <c r="A732" t="inlineStr">
        <is>
          <t>CVE</t>
        </is>
      </c>
      <c r="B732" t="inlineStr">
        <is>
          <t>CVE-2026-26953</t>
        </is>
      </c>
      <c r="C732" t="inlineStr">
        <is>
          <t>Pi-hole Admin Interface is a web interface for managing Pi-hole, a network-level ad and internet tracker blocking application.  Versions 6.0 and above have a Stored HTML Injection vulnerability in the active sessions table located on the API settings page, allowing an attacker with valid credentials to inject arbitrary HTML code that will be rendered in the browser of any administrator who visits the active sessions page. The rowCallback function contains the value data.x_forwarded_for, which is</t>
        </is>
      </c>
      <c r="D732" t="n">
        <v>5.4</v>
      </c>
      <c r="E732" t="inlineStr">
        <is>
          <t>MEDIUM</t>
        </is>
      </c>
      <c r="F732" t="n">
        <v>2</v>
      </c>
      <c r="G732" t="n">
        <v>2</v>
      </c>
      <c r="H732" t="inlineStr">
        <is>
          <t>MEDIUM</t>
        </is>
      </c>
      <c r="I732" t="n">
        <v>9.4</v>
      </c>
      <c r="J732" t="inlineStr">
        <is>
          <t>NO</t>
        </is>
      </c>
      <c r="K732" t="inlineStr">
        <is>
          <t>2026-02-23 23:48</t>
        </is>
      </c>
      <c r="L732" t="inlineStr">
        <is>
          <t>CHECK_VENDOR</t>
        </is>
      </c>
      <c r="M732" t="inlineStr">
        <is>
          <t>See CVE details</t>
        </is>
      </c>
      <c r="N732" t="inlineStr">
        <is>
          <t>P4</t>
        </is>
      </c>
      <c r="O732" t="inlineStr">
        <is>
          <t>CVE - IP enrichment n/a</t>
        </is>
      </c>
      <c r="P732" t="n">
        <v>0</v>
      </c>
      <c r="Q732" t="n">
        <v>0</v>
      </c>
      <c r="R732" t="inlineStr">
        <is>
          <t>T1552:Unsecured Credentials</t>
        </is>
      </c>
      <c r="S732" t="n">
        <v>1</v>
      </c>
      <c r="T732" t="inlineStr">
        <is>
          <t>LOW (40%)</t>
        </is>
      </c>
      <c r="U732" t="inlineStr">
        <is>
          <t>UNLIKELY</t>
        </is>
      </c>
      <c r="V732" t="inlineStr">
        <is>
          <t>CHECK_VENDOR</t>
        </is>
      </c>
      <c r="W732" t="inlineStr">
        <is>
          <t>https://nvd.nist.gov/vuln/detail/CVE-2026-26953</t>
        </is>
      </c>
      <c r="X732" t="inlineStr">
        <is>
          <t>NONE</t>
        </is>
      </c>
      <c r="Y732" t="n">
        <v>0</v>
      </c>
      <c r="Z732" t="inlineStr"/>
      <c r="AA732" t="inlineStr">
        <is>
          <t>https://nvd.nist.gov/vuln/detail/CVE-2026-26953</t>
        </is>
      </c>
    </row>
    <row r="733">
      <c r="A733" t="inlineStr">
        <is>
          <t>CVE</t>
        </is>
      </c>
      <c r="B733" t="inlineStr">
        <is>
          <t>CVE-2026-26958</t>
        </is>
      </c>
      <c r="C733" t="inlineStr">
        <is>
          <t>filippo.io/edwards25519 is a Go library implementing the edwards25519 elliptic curve with APIs for building cryptographic primitives. In versions 1.1.0 and earlier, MultiScalarMult produces invalid results or undefined behavior if the receiver is not the identity point. If (*Point).MultiScalarMult is called on an initialized point that is not the identity point, it returns an incorrect result. If the method is called on an uninitialized point, the behavior is undefined. In particular, if the rec</t>
        </is>
      </c>
      <c r="D733" t="n">
        <v>5</v>
      </c>
      <c r="E733" t="inlineStr">
        <is>
          <t>MEDIUM</t>
        </is>
      </c>
      <c r="F733" t="n">
        <v>2</v>
      </c>
      <c r="G733" t="n">
        <v>2</v>
      </c>
      <c r="H733" t="inlineStr">
        <is>
          <t>MEDIUM</t>
        </is>
      </c>
      <c r="I733" t="n">
        <v>9</v>
      </c>
      <c r="J733" t="inlineStr">
        <is>
          <t>NO</t>
        </is>
      </c>
      <c r="K733" t="inlineStr">
        <is>
          <t>2026-02-23 23:48</t>
        </is>
      </c>
      <c r="L733" t="inlineStr">
        <is>
          <t>CHECK_VENDOR</t>
        </is>
      </c>
      <c r="M733" t="inlineStr">
        <is>
          <t>See CVE details</t>
        </is>
      </c>
      <c r="N733" t="inlineStr">
        <is>
          <t>P4</t>
        </is>
      </c>
      <c r="O733" t="inlineStr">
        <is>
          <t>CVE - IP enrichment n/a</t>
        </is>
      </c>
      <c r="P733" t="n">
        <v>0</v>
      </c>
      <c r="Q733" t="n">
        <v>0</v>
      </c>
      <c r="R733" t="inlineStr">
        <is>
          <t>T1600:Weaken Encryption</t>
        </is>
      </c>
      <c r="S733" t="n">
        <v>1</v>
      </c>
      <c r="T733" t="inlineStr">
        <is>
          <t>LOW (40%)</t>
        </is>
      </c>
      <c r="U733" t="inlineStr">
        <is>
          <t>UNLIKELY</t>
        </is>
      </c>
      <c r="V733" t="inlineStr">
        <is>
          <t>CHECK_VENDOR</t>
        </is>
      </c>
      <c r="W733" t="inlineStr">
        <is>
          <t>https://nvd.nist.gov/vuln/detail/CVE-2026-26958</t>
        </is>
      </c>
      <c r="X733" t="inlineStr">
        <is>
          <t>NONE</t>
        </is>
      </c>
      <c r="Y733" t="n">
        <v>0</v>
      </c>
      <c r="Z733" t="inlineStr"/>
      <c r="AA733" t="inlineStr">
        <is>
          <t>https://nvd.nist.gov/vuln/detail/CVE-2026-26958</t>
        </is>
      </c>
    </row>
    <row r="734">
      <c r="A734" t="inlineStr">
        <is>
          <t>CVE</t>
        </is>
      </c>
      <c r="B734" t="inlineStr">
        <is>
          <t>CVE-2026-1292</t>
        </is>
      </c>
      <c r="C734" t="inlineStr">
        <is>
          <t>Tanium addressed an insertion of sensitive information into log file vulnerability in Trends.</t>
        </is>
      </c>
      <c r="D734" t="n">
        <v>6.5</v>
      </c>
      <c r="E734" t="inlineStr">
        <is>
          <t>MEDIUM</t>
        </is>
      </c>
      <c r="F734" t="n">
        <v>2</v>
      </c>
      <c r="G734" t="n">
        <v>2</v>
      </c>
      <c r="H734" t="inlineStr">
        <is>
          <t>MEDIUM</t>
        </is>
      </c>
      <c r="I734" t="n">
        <v>10.5</v>
      </c>
      <c r="J734" t="inlineStr">
        <is>
          <t>NO</t>
        </is>
      </c>
      <c r="K734" t="inlineStr">
        <is>
          <t>2026-02-23 23:48</t>
        </is>
      </c>
      <c r="L734" t="inlineStr">
        <is>
          <t>CHECK_VENDOR</t>
        </is>
      </c>
      <c r="M734" t="inlineStr">
        <is>
          <t>See CVE details</t>
        </is>
      </c>
      <c r="N734" t="inlineStr">
        <is>
          <t>P4</t>
        </is>
      </c>
      <c r="O734" t="inlineStr">
        <is>
          <t>CVE - IP enrichment n/a</t>
        </is>
      </c>
      <c r="P734" t="n">
        <v>0</v>
      </c>
      <c r="Q734" t="n">
        <v>0</v>
      </c>
      <c r="R734" t="inlineStr">
        <is>
          <t>T1190:Exploit Public-Facing Application</t>
        </is>
      </c>
      <c r="S734" t="n">
        <v>1</v>
      </c>
      <c r="T734" t="inlineStr">
        <is>
          <t>LOW (40%)</t>
        </is>
      </c>
      <c r="U734" t="inlineStr">
        <is>
          <t>UNLIKELY</t>
        </is>
      </c>
      <c r="V734" t="inlineStr">
        <is>
          <t>CHECK_VENDOR</t>
        </is>
      </c>
      <c r="W734" t="inlineStr">
        <is>
          <t>https://nvd.nist.gov/vuln/detail/CVE-2026-1292</t>
        </is>
      </c>
      <c r="X734" t="inlineStr">
        <is>
          <t>NONE</t>
        </is>
      </c>
      <c r="Y734" t="n">
        <v>0</v>
      </c>
      <c r="Z734" t="inlineStr"/>
      <c r="AA734" t="inlineStr">
        <is>
          <t>https://nvd.nist.gov/vuln/detail/CVE-2026-1292</t>
        </is>
      </c>
    </row>
    <row r="735">
      <c r="A735" t="inlineStr">
        <is>
          <t>CVE</t>
        </is>
      </c>
      <c r="B735" t="inlineStr">
        <is>
          <t>CVE-2026-26328</t>
        </is>
      </c>
      <c r="C735" t="inlineStr">
        <is>
          <t>OpenClaw is a personal AI assistant. Prior to version 2026.2.14, under iMessage `groupPolicy=allowlist`, group authorization could be satisfied by sender identities coming from the DM pairing store, broadening DM trust into group contexts. Version 2026.2.14 fixes the issue.</t>
        </is>
      </c>
      <c r="D735" t="n">
        <v>6.5</v>
      </c>
      <c r="E735" t="inlineStr">
        <is>
          <t>MEDIUM</t>
        </is>
      </c>
      <c r="F735" t="n">
        <v>2</v>
      </c>
      <c r="G735" t="n">
        <v>2</v>
      </c>
      <c r="H735" t="inlineStr">
        <is>
          <t>MEDIUM</t>
        </is>
      </c>
      <c r="I735" t="n">
        <v>10.5</v>
      </c>
      <c r="J735" t="inlineStr">
        <is>
          <t>NO</t>
        </is>
      </c>
      <c r="K735" t="inlineStr">
        <is>
          <t>2026-02-23 23:48</t>
        </is>
      </c>
      <c r="L735" t="inlineStr">
        <is>
          <t>CHECK_VENDOR</t>
        </is>
      </c>
      <c r="M735" t="inlineStr">
        <is>
          <t>See CVE details</t>
        </is>
      </c>
      <c r="N735" t="inlineStr">
        <is>
          <t>P4</t>
        </is>
      </c>
      <c r="O735" t="inlineStr">
        <is>
          <t>CVE - IP enrichment n/a</t>
        </is>
      </c>
      <c r="P735" t="n">
        <v>0</v>
      </c>
      <c r="Q735" t="n">
        <v>0</v>
      </c>
      <c r="R735" t="inlineStr">
        <is>
          <t>T1190:Exploit Public-Facing Application</t>
        </is>
      </c>
      <c r="S735" t="n">
        <v>1</v>
      </c>
      <c r="T735" t="inlineStr">
        <is>
          <t>LOW (40%)</t>
        </is>
      </c>
      <c r="U735" t="inlineStr">
        <is>
          <t>UNLIKELY</t>
        </is>
      </c>
      <c r="V735" t="inlineStr">
        <is>
          <t>CHECK_VENDOR</t>
        </is>
      </c>
      <c r="W735" t="inlineStr">
        <is>
          <t>https://nvd.nist.gov/vuln/detail/CVE-2026-26328</t>
        </is>
      </c>
      <c r="X735" t="inlineStr">
        <is>
          <t>NONE</t>
        </is>
      </c>
      <c r="Y735" t="n">
        <v>0</v>
      </c>
      <c r="Z735" t="inlineStr"/>
      <c r="AA735" t="inlineStr">
        <is>
          <t>https://nvd.nist.gov/vuln/detail/CVE-2026-26328</t>
        </is>
      </c>
    </row>
    <row r="736">
      <c r="A736" t="inlineStr">
        <is>
          <t>CVE</t>
        </is>
      </c>
      <c r="B736" t="inlineStr">
        <is>
          <t>CVE-2026-26329</t>
        </is>
      </c>
      <c r="C736" t="inlineStr">
        <is>
          <t>OpenClaw is a personal AI assistant. Prior to version 2026.2.14, authenticated attackers can read arbitrary files from the Gateway host by supplying absolute paths or path traversal sequences to the browser tool's `upload` action. The server passed these paths to Playwright's `setInputFiles()` APIs without restricting them to a safe root. An attacker must reach the Gateway HTTP surface (or otherwise invoke the same browser control hook endpoints); present valid Gateway auth (bearer token / passw</t>
        </is>
      </c>
      <c r="D736" t="n">
        <v>6.5</v>
      </c>
      <c r="E736" t="inlineStr">
        <is>
          <t>MEDIUM</t>
        </is>
      </c>
      <c r="F736" t="n">
        <v>2</v>
      </c>
      <c r="G736" t="n">
        <v>2</v>
      </c>
      <c r="H736" t="inlineStr">
        <is>
          <t>MEDIUM</t>
        </is>
      </c>
      <c r="I736" t="n">
        <v>10.5</v>
      </c>
      <c r="J736" t="inlineStr">
        <is>
          <t>NO</t>
        </is>
      </c>
      <c r="K736" t="inlineStr">
        <is>
          <t>2026-02-23 23:48</t>
        </is>
      </c>
      <c r="L736" t="inlineStr">
        <is>
          <t>YES</t>
        </is>
      </c>
      <c r="M736" t="inlineStr">
        <is>
          <t>openclaw openclaw *</t>
        </is>
      </c>
      <c r="N736" t="inlineStr">
        <is>
          <t>P4</t>
        </is>
      </c>
      <c r="O736" t="inlineStr">
        <is>
          <t>CVE - IP enrichment n/a</t>
        </is>
      </c>
      <c r="P736" t="n">
        <v>0</v>
      </c>
      <c r="Q736" t="n">
        <v>0</v>
      </c>
      <c r="R736" t="inlineStr">
        <is>
          <t>T1083:File and Directory Discovery</t>
        </is>
      </c>
      <c r="S736" t="n">
        <v>1</v>
      </c>
      <c r="T736" t="inlineStr">
        <is>
          <t>LOW (40%)</t>
        </is>
      </c>
      <c r="U736" t="inlineStr">
        <is>
          <t>UNLIKELY</t>
        </is>
      </c>
      <c r="V736" t="inlineStr">
        <is>
          <t>PATCH_AVAILABLE</t>
        </is>
      </c>
      <c r="W736" t="inlineStr">
        <is>
          <t>https://nvd.nist.gov/vuln/detail/CVE-2026-26329</t>
        </is>
      </c>
      <c r="X736" t="inlineStr">
        <is>
          <t>NONE</t>
        </is>
      </c>
      <c r="Y736" t="n">
        <v>0</v>
      </c>
      <c r="Z736" t="inlineStr"/>
      <c r="AA736" t="inlineStr">
        <is>
          <t>https://nvd.nist.gov/vuln/detail/CVE-2026-26329</t>
        </is>
      </c>
    </row>
    <row r="737">
      <c r="A737" t="inlineStr">
        <is>
          <t>CVE</t>
        </is>
      </c>
      <c r="B737" t="inlineStr">
        <is>
          <t>CVE-2026-26957</t>
        </is>
      </c>
      <c r="C737" t="inlineStr">
        <is>
          <t>Libredesk is a self-hosted customer support desk application. Versions prior to 1.0.2-0.20260215211005-727213631ce6 fail to validate destination URLs for webhooks, allowing an attacker posing as an authenticated "Application Admin" to force the server to make HTTP requests to arbitrary internal destinations. This could compromise the underlying cloud infrastructure or internal corporate network where the service is hosted. This issue has been fixed in version 1.0.2-0.20260215211005-727213631ce6.</t>
        </is>
      </c>
      <c r="D737" t="n">
        <v>8.5</v>
      </c>
      <c r="E737" t="inlineStr">
        <is>
          <t>HIGH</t>
        </is>
      </c>
      <c r="F737" t="n">
        <v>2</v>
      </c>
      <c r="G737" t="n">
        <v>3</v>
      </c>
      <c r="H737" t="inlineStr">
        <is>
          <t>HIGH</t>
        </is>
      </c>
      <c r="I737" t="n">
        <v>14.5</v>
      </c>
      <c r="J737" t="inlineStr">
        <is>
          <t>NO</t>
        </is>
      </c>
      <c r="K737" t="inlineStr">
        <is>
          <t>2026-02-23 23:48</t>
        </is>
      </c>
      <c r="L737" t="inlineStr">
        <is>
          <t>CHECK_VENDOR</t>
        </is>
      </c>
      <c r="M737" t="inlineStr">
        <is>
          <t>See CVE details</t>
        </is>
      </c>
      <c r="N737" t="inlineStr">
        <is>
          <t>P3</t>
        </is>
      </c>
      <c r="O737" t="inlineStr">
        <is>
          <t>CVE - IP enrichment n/a</t>
        </is>
      </c>
      <c r="P737" t="n">
        <v>0.0004</v>
      </c>
      <c r="Q737" t="n">
        <v>0.1245</v>
      </c>
      <c r="R737" t="inlineStr">
        <is>
          <t>T1190:Exploit Public-Facing Application</t>
        </is>
      </c>
      <c r="S737" t="n">
        <v>1</v>
      </c>
      <c r="T737" t="inlineStr">
        <is>
          <t>LOW (40%)</t>
        </is>
      </c>
      <c r="U737" t="inlineStr">
        <is>
          <t>UNLIKELY</t>
        </is>
      </c>
      <c r="V737" t="inlineStr">
        <is>
          <t>CHECK_VENDOR</t>
        </is>
      </c>
      <c r="W737" t="inlineStr">
        <is>
          <t>https://nvd.nist.gov/vuln/detail/CVE-2026-26957</t>
        </is>
      </c>
      <c r="X737" t="inlineStr">
        <is>
          <t>NONE</t>
        </is>
      </c>
      <c r="Y737" t="n">
        <v>0</v>
      </c>
      <c r="Z737" t="inlineStr"/>
      <c r="AA737" t="inlineStr">
        <is>
          <t>https://nvd.nist.gov/vuln/detail/CVE-2026-26957</t>
        </is>
      </c>
    </row>
    <row r="738">
      <c r="A738" t="inlineStr">
        <is>
          <t>CVE</t>
        </is>
      </c>
      <c r="B738" t="inlineStr">
        <is>
          <t>CVE-2026-26959</t>
        </is>
      </c>
      <c r="C738" t="inlineStr">
        <is>
          <t>ADB Explorer is a fluent UI for ADB on Windows. Versions 0.9.26020 and below fail to validate the integrity or authenticity of the ADB binary path specified in the ManualAdbPath setting before executing it, allowing arbitrary code execution with the privileges of the current user. An attacker can exploit this by crafting a malicious App.txt settings file that points ManualAdbPath to an arbitrary executable, then convincing a victim to launch the application with a command-line argument directing</t>
        </is>
      </c>
      <c r="D738" t="n">
        <v>7.8</v>
      </c>
      <c r="E738" t="inlineStr">
        <is>
          <t>HIGH</t>
        </is>
      </c>
      <c r="F738" t="n">
        <v>2</v>
      </c>
      <c r="G738" t="n">
        <v>3</v>
      </c>
      <c r="H738" t="inlineStr">
        <is>
          <t>HIGH</t>
        </is>
      </c>
      <c r="I738" t="n">
        <v>13.8</v>
      </c>
      <c r="J738" t="inlineStr">
        <is>
          <t>NO</t>
        </is>
      </c>
      <c r="K738" t="inlineStr">
        <is>
          <t>2026-02-23 23:48</t>
        </is>
      </c>
      <c r="L738" t="inlineStr">
        <is>
          <t>CHECK_VENDOR</t>
        </is>
      </c>
      <c r="M738" t="inlineStr">
        <is>
          <t>See CVE details</t>
        </is>
      </c>
      <c r="N738" t="inlineStr">
        <is>
          <t>P3</t>
        </is>
      </c>
      <c r="O738" t="inlineStr">
        <is>
          <t>CVE - IP enrichment n/a</t>
        </is>
      </c>
      <c r="P738" t="n">
        <v>0</v>
      </c>
      <c r="Q738" t="n">
        <v>0</v>
      </c>
      <c r="R738" t="inlineStr">
        <is>
          <t>T1190:Exploit Public-Facing Application | T1203:Exploitation for Client Execution</t>
        </is>
      </c>
      <c r="S738" t="n">
        <v>1</v>
      </c>
      <c r="T738" t="inlineStr">
        <is>
          <t>LOW (40%)</t>
        </is>
      </c>
      <c r="U738" t="inlineStr">
        <is>
          <t>UNLIKELY</t>
        </is>
      </c>
      <c r="V738" t="inlineStr">
        <is>
          <t>CHECK_VENDOR</t>
        </is>
      </c>
      <c r="W738" t="inlineStr">
        <is>
          <t>https://nvd.nist.gov/vuln/detail/CVE-2026-26959</t>
        </is>
      </c>
      <c r="X738" t="inlineStr">
        <is>
          <t>NONE</t>
        </is>
      </c>
      <c r="Y738" t="n">
        <v>0</v>
      </c>
      <c r="Z738" t="inlineStr"/>
      <c r="AA738" t="inlineStr">
        <is>
          <t>https://nvd.nist.gov/vuln/detail/CVE-2026-26959</t>
        </is>
      </c>
    </row>
    <row r="739">
      <c r="A739" t="inlineStr">
        <is>
          <t>CVE</t>
        </is>
      </c>
      <c r="B739" t="inlineStr">
        <is>
          <t>CVE-2026-26963</t>
        </is>
      </c>
      <c r="C739" t="inlineStr">
        <is>
          <t>Cilium is a networking, observability, and security solution with an eBPF-based dataplane. Versions 1.18.0 through 1.18.5 will incorrectly permit traffic from Pods on other nodes when Native Routing, WireGuard and Node Encryption are enabled. This issue has been fixed in version 1.18.6.</t>
        </is>
      </c>
      <c r="D739" t="n">
        <v>6.1</v>
      </c>
      <c r="E739" t="inlineStr">
        <is>
          <t>MEDIUM</t>
        </is>
      </c>
      <c r="F739" t="n">
        <v>2</v>
      </c>
      <c r="G739" t="n">
        <v>2</v>
      </c>
      <c r="H739" t="inlineStr">
        <is>
          <t>MEDIUM</t>
        </is>
      </c>
      <c r="I739" t="n">
        <v>10.1</v>
      </c>
      <c r="J739" t="inlineStr">
        <is>
          <t>NO</t>
        </is>
      </c>
      <c r="K739" t="inlineStr">
        <is>
          <t>2026-02-23 23:48</t>
        </is>
      </c>
      <c r="L739" t="inlineStr">
        <is>
          <t>YES</t>
        </is>
      </c>
      <c r="M739" t="inlineStr">
        <is>
          <t>cilium cilium *</t>
        </is>
      </c>
      <c r="N739" t="inlineStr">
        <is>
          <t>P4</t>
        </is>
      </c>
      <c r="O739" t="inlineStr">
        <is>
          <t>CVE - IP enrichment n/a</t>
        </is>
      </c>
      <c r="P739" t="n">
        <v>0.0001</v>
      </c>
      <c r="Q739" t="n">
        <v>0.0061</v>
      </c>
      <c r="R739" t="inlineStr">
        <is>
          <t>T1190:Exploit Public-Facing Application</t>
        </is>
      </c>
      <c r="S739" t="n">
        <v>1</v>
      </c>
      <c r="T739" t="inlineStr">
        <is>
          <t>LOW (40%)</t>
        </is>
      </c>
      <c r="U739" t="inlineStr">
        <is>
          <t>UNLIKELY</t>
        </is>
      </c>
      <c r="V739" t="inlineStr">
        <is>
          <t>PATCH_AVAILABLE</t>
        </is>
      </c>
      <c r="W739" t="inlineStr">
        <is>
          <t>https://nvd.nist.gov/vuln/detail/CVE-2026-26963</t>
        </is>
      </c>
      <c r="X739" t="inlineStr">
        <is>
          <t>NONE</t>
        </is>
      </c>
      <c r="Y739" t="n">
        <v>0</v>
      </c>
      <c r="Z739" t="inlineStr"/>
      <c r="AA739" t="inlineStr">
        <is>
          <t>https://nvd.nist.gov/vuln/detail/CVE-2026-26963</t>
        </is>
      </c>
    </row>
    <row r="740">
      <c r="A740" t="inlineStr">
        <is>
          <t>CVE</t>
        </is>
      </c>
      <c r="B740" t="inlineStr">
        <is>
          <t>CVE-2026-26964</t>
        </is>
      </c>
      <c r="C740" t="inlineStr">
        <is>
          <t>Windmill is an open-source developer platform for internal code: APIs, background jobs, workflows and UIs. Versions 1.634.6
 and below allow non-admin users to obtain Slack OAuth client secrets, which should only be accessible to workspace administrators. The GET /api/w/{workspace}/workspaces/get_settings endpoint returns the slack_oauth_client_secret to any authenticated workspace member, regardless of their admin status. It is expected behavior for non-admin users see a redacted version of wor</t>
        </is>
      </c>
      <c r="D740" t="n">
        <v>2.7</v>
      </c>
      <c r="E740" t="inlineStr">
        <is>
          <t>LOW</t>
        </is>
      </c>
      <c r="F740" t="n">
        <v>2</v>
      </c>
      <c r="G740" t="n">
        <v>1</v>
      </c>
      <c r="H740" t="inlineStr">
        <is>
          <t>LOW</t>
        </is>
      </c>
      <c r="I740" t="n">
        <v>4.7</v>
      </c>
      <c r="J740" t="inlineStr">
        <is>
          <t>NO</t>
        </is>
      </c>
      <c r="K740" t="inlineStr">
        <is>
          <t>2026-02-23 23:48</t>
        </is>
      </c>
      <c r="L740" t="inlineStr">
        <is>
          <t>CHECK_VENDOR</t>
        </is>
      </c>
      <c r="M740" t="inlineStr">
        <is>
          <t>See CVE details</t>
        </is>
      </c>
      <c r="N740" t="inlineStr">
        <is>
          <t>P1</t>
        </is>
      </c>
      <c r="O740" t="inlineStr">
        <is>
          <t>CVE - IP enrichment n/a</t>
        </is>
      </c>
      <c r="P740" t="n">
        <v>0</v>
      </c>
      <c r="Q740" t="n">
        <v>0</v>
      </c>
      <c r="R740" t="inlineStr">
        <is>
          <t>T1213:Data from Information Repositories | T1190:Exploit Public-Facing Application</t>
        </is>
      </c>
      <c r="S740" t="n">
        <v>2</v>
      </c>
      <c r="T740" t="inlineStr">
        <is>
          <t>HIGH (72%)</t>
        </is>
      </c>
      <c r="U740" t="inlineStr">
        <is>
          <t>HIGH</t>
        </is>
      </c>
      <c r="V740" t="inlineStr">
        <is>
          <t>CHECK_VENDOR</t>
        </is>
      </c>
      <c r="W740" t="inlineStr">
        <is>
          <t>https://nvd.nist.gov/vuln/detail/CVE-2026-26964</t>
        </is>
      </c>
      <c r="X740" t="inlineStr">
        <is>
          <t>http://www.zerodayinitiative.com/advisories/ZDI-26-123/</t>
        </is>
      </c>
      <c r="Y740" t="n">
        <v>0</v>
      </c>
      <c r="Z740" t="inlineStr"/>
      <c r="AA740" t="inlineStr">
        <is>
          <t>https://nvd.nist.gov/vuln/detail/CVE-2026-26964</t>
        </is>
      </c>
    </row>
    <row r="741">
      <c r="A741" t="inlineStr">
        <is>
          <t>CVE</t>
        </is>
      </c>
      <c r="B741" t="inlineStr">
        <is>
          <t>CVE-2026-26972</t>
        </is>
      </c>
      <c r="C741" t="inlineStr">
        <is>
          <t>OpenClaw is a personal AI assistant. In versions 2026.1.12 through 2026.2.12, OpenClaw browser download helpers accepted an unsanitized output path. When invoked via the browser control gateway routes, this allowed path traversal to write downloads outside the intended OpenClaw temp downloads directory. This issue is not exposed via the AI agent tool schema (no `download` action). Exploitation requires authenticated CLI access or an authenticated gateway RPC token. Version 2026.2.13 fixes the is</t>
        </is>
      </c>
      <c r="D741" t="n">
        <v>6.7</v>
      </c>
      <c r="E741" t="inlineStr">
        <is>
          <t>MEDIUM</t>
        </is>
      </c>
      <c r="F741" t="n">
        <v>2</v>
      </c>
      <c r="G741" t="n">
        <v>2</v>
      </c>
      <c r="H741" t="inlineStr">
        <is>
          <t>MEDIUM</t>
        </is>
      </c>
      <c r="I741" t="n">
        <v>10.7</v>
      </c>
      <c r="J741" t="inlineStr">
        <is>
          <t>NO</t>
        </is>
      </c>
      <c r="K741" t="inlineStr">
        <is>
          <t>2026-02-23 23:48</t>
        </is>
      </c>
      <c r="L741" t="inlineStr">
        <is>
          <t>YES</t>
        </is>
      </c>
      <c r="M741" t="inlineStr">
        <is>
          <t>openclaw openclaw *</t>
        </is>
      </c>
      <c r="N741" t="inlineStr">
        <is>
          <t>P4</t>
        </is>
      </c>
      <c r="O741" t="inlineStr">
        <is>
          <t>CVE - IP enrichment n/a</t>
        </is>
      </c>
      <c r="P741" t="n">
        <v>0</v>
      </c>
      <c r="Q741" t="n">
        <v>0</v>
      </c>
      <c r="R741" t="inlineStr">
        <is>
          <t>T1083:File and Directory Discovery</t>
        </is>
      </c>
      <c r="S741" t="n">
        <v>1</v>
      </c>
      <c r="T741" t="inlineStr">
        <is>
          <t>LOW (40%)</t>
        </is>
      </c>
      <c r="U741" t="inlineStr">
        <is>
          <t>UNLIKELY</t>
        </is>
      </c>
      <c r="V741" t="inlineStr">
        <is>
          <t>PATCH_AVAILABLE</t>
        </is>
      </c>
      <c r="W741" t="inlineStr">
        <is>
          <t>https://nvd.nist.gov/vuln/detail/CVE-2026-26972</t>
        </is>
      </c>
      <c r="X741" t="inlineStr">
        <is>
          <t>NONE</t>
        </is>
      </c>
      <c r="Y741" t="n">
        <v>0</v>
      </c>
      <c r="Z741" t="inlineStr"/>
      <c r="AA741" t="inlineStr">
        <is>
          <t>https://nvd.nist.gov/vuln/detail/CVE-2026-26972</t>
        </is>
      </c>
    </row>
    <row r="742">
      <c r="A742" t="inlineStr">
        <is>
          <t>CVE</t>
        </is>
      </c>
      <c r="B742" t="inlineStr">
        <is>
          <t>CVE-2026-27001</t>
        </is>
      </c>
      <c r="C742" t="inlineStr">
        <is>
          <t>OpenClaw is a personal AI assistant. Prior to version 2026.2.15, OpenClaw embedded the current working directory (workspace path) into the agent system prompt without sanitization. If an attacker can cause OpenClaw to run inside a directory whose name contains control/format characters (for example newlines or Unicode bidi/zero-width markers), those characters could break the prompt structure and inject attacker-controlled instructions. Starting in version 2026.2.15, the workspace path is saniti</t>
        </is>
      </c>
      <c r="D742" t="n">
        <v>7.8</v>
      </c>
      <c r="E742" t="inlineStr">
        <is>
          <t>HIGH</t>
        </is>
      </c>
      <c r="F742" t="n">
        <v>2</v>
      </c>
      <c r="G742" t="n">
        <v>3</v>
      </c>
      <c r="H742" t="inlineStr">
        <is>
          <t>HIGH</t>
        </is>
      </c>
      <c r="I742" t="n">
        <v>13.8</v>
      </c>
      <c r="J742" t="inlineStr">
        <is>
          <t>NO</t>
        </is>
      </c>
      <c r="K742" t="inlineStr">
        <is>
          <t>2026-02-23 23:48</t>
        </is>
      </c>
      <c r="L742" t="inlineStr">
        <is>
          <t>YES</t>
        </is>
      </c>
      <c r="M742" t="inlineStr">
        <is>
          <t>openclaw openclaw *</t>
        </is>
      </c>
      <c r="N742" t="inlineStr">
        <is>
          <t>P3</t>
        </is>
      </c>
      <c r="O742" t="inlineStr">
        <is>
          <t>CVE - IP enrichment n/a</t>
        </is>
      </c>
      <c r="P742" t="n">
        <v>0</v>
      </c>
      <c r="Q742" t="n">
        <v>0</v>
      </c>
      <c r="R742" t="inlineStr">
        <is>
          <t>T1059:Command and Scripting Interpreter</t>
        </is>
      </c>
      <c r="S742" t="n">
        <v>1</v>
      </c>
      <c r="T742" t="inlineStr">
        <is>
          <t>LOW (40%)</t>
        </is>
      </c>
      <c r="U742" t="inlineStr">
        <is>
          <t>UNLIKELY</t>
        </is>
      </c>
      <c r="V742" t="inlineStr">
        <is>
          <t>PATCH_AVAILABLE</t>
        </is>
      </c>
      <c r="W742" t="inlineStr">
        <is>
          <t>https://nvd.nist.gov/vuln/detail/CVE-2026-27001</t>
        </is>
      </c>
      <c r="X742" t="inlineStr">
        <is>
          <t>NONE</t>
        </is>
      </c>
      <c r="Y742" t="n">
        <v>0</v>
      </c>
      <c r="Z742" t="inlineStr"/>
      <c r="AA742" t="inlineStr">
        <is>
          <t>https://nvd.nist.gov/vuln/detail/CVE-2026-27001</t>
        </is>
      </c>
    </row>
    <row r="743">
      <c r="A743" t="inlineStr">
        <is>
          <t>CVE</t>
        </is>
      </c>
      <c r="B743" t="inlineStr">
        <is>
          <t>CVE-2026-27002</t>
        </is>
      </c>
      <c r="C743" t="inlineStr">
        <is>
          <t>OpenClaw is a personal AI assistant. Prior to version 2026.2.15, a configuration injection issue in the Docker tool sandbox could allow dangerous Docker options (bind mounts, host networking, unconfined profiles) to be applied, enabling container escape or host data access. OpenClaw 2026.2.15 blocks dangerous sandbox Docker settings and includes runtime enforcement when building `docker create` args; config-schema validation for `network=host`, `seccompProfile=unconfined`, `apparmorProfile=uncon</t>
        </is>
      </c>
      <c r="D743" t="n">
        <v>9.800000000000001</v>
      </c>
      <c r="E743" t="inlineStr">
        <is>
          <t>CRITICAL</t>
        </is>
      </c>
      <c r="F743" t="n">
        <v>2</v>
      </c>
      <c r="G743" t="n">
        <v>3</v>
      </c>
      <c r="H743" t="inlineStr">
        <is>
          <t>HIGH</t>
        </is>
      </c>
      <c r="I743" t="n">
        <v>15.8</v>
      </c>
      <c r="J743" t="inlineStr">
        <is>
          <t>NO</t>
        </is>
      </c>
      <c r="K743" t="inlineStr">
        <is>
          <t>2026-02-23 23:48</t>
        </is>
      </c>
      <c r="L743" t="inlineStr">
        <is>
          <t>YES</t>
        </is>
      </c>
      <c r="M743" t="inlineStr">
        <is>
          <t>openclaw openclaw *</t>
        </is>
      </c>
      <c r="N743" t="inlineStr">
        <is>
          <t>P3</t>
        </is>
      </c>
      <c r="O743" t="inlineStr">
        <is>
          <t>CVE - IP enrichment n/a</t>
        </is>
      </c>
      <c r="P743" t="n">
        <v>0</v>
      </c>
      <c r="Q743" t="n">
        <v>0</v>
      </c>
      <c r="R743" t="inlineStr">
        <is>
          <t>T1190:Exploit Public-Facing Application</t>
        </is>
      </c>
      <c r="S743" t="n">
        <v>1</v>
      </c>
      <c r="T743" t="inlineStr">
        <is>
          <t>LOW (40%)</t>
        </is>
      </c>
      <c r="U743" t="inlineStr">
        <is>
          <t>UNLIKELY</t>
        </is>
      </c>
      <c r="V743" t="inlineStr">
        <is>
          <t>PATCH_AVAILABLE</t>
        </is>
      </c>
      <c r="W743" t="inlineStr">
        <is>
          <t>https://nvd.nist.gov/vuln/detail/CVE-2026-27002</t>
        </is>
      </c>
      <c r="X743" t="inlineStr">
        <is>
          <t>NONE</t>
        </is>
      </c>
      <c r="Y743" t="n">
        <v>0</v>
      </c>
      <c r="Z743" t="inlineStr"/>
      <c r="AA743" t="inlineStr">
        <is>
          <t>https://nvd.nist.gov/vuln/detail/CVE-2026-27002</t>
        </is>
      </c>
    </row>
    <row r="744">
      <c r="A744" t="inlineStr">
        <is>
          <t>CVE</t>
        </is>
      </c>
      <c r="B744" t="inlineStr">
        <is>
          <t>CVE-2026-27003</t>
        </is>
      </c>
      <c r="C744" t="inlineStr">
        <is>
          <t>OpenClaw is a personal AI assistant. Telegram bot tokens can appear in error messages and stack traces (for example, when request URLs include `https://api.telegram.org/bot /...`). Prior to version 2026.2.15, OpenClaw logged these strings without redaction, which could leak the bot token into logs, crash reports, CI output, or support bundles. Disclosure of a Telegram bot token allows an attacker to impersonate the bot and take over Bot API access. Users should upgrade to version 2026.2.15 to ob</t>
        </is>
      </c>
      <c r="D744" t="n">
        <v>5.5</v>
      </c>
      <c r="E744" t="inlineStr">
        <is>
          <t>MEDIUM</t>
        </is>
      </c>
      <c r="F744" t="n">
        <v>2</v>
      </c>
      <c r="G744" t="n">
        <v>2</v>
      </c>
      <c r="H744" t="inlineStr">
        <is>
          <t>MEDIUM</t>
        </is>
      </c>
      <c r="I744" t="n">
        <v>9.5</v>
      </c>
      <c r="J744" t="inlineStr">
        <is>
          <t>NO</t>
        </is>
      </c>
      <c r="K744" t="inlineStr">
        <is>
          <t>2026-02-23 23:48</t>
        </is>
      </c>
      <c r="L744" t="inlineStr">
        <is>
          <t>YES</t>
        </is>
      </c>
      <c r="M744" t="inlineStr">
        <is>
          <t>openclaw openclaw *</t>
        </is>
      </c>
      <c r="N744" t="inlineStr">
        <is>
          <t>P4</t>
        </is>
      </c>
      <c r="O744" t="inlineStr">
        <is>
          <t>CVE - IP enrichment n/a</t>
        </is>
      </c>
      <c r="P744" t="n">
        <v>0.0001</v>
      </c>
      <c r="Q744" t="n">
        <v>0.0192</v>
      </c>
      <c r="R744" t="inlineStr">
        <is>
          <t>T1190:Exploit Public-Facing Application</t>
        </is>
      </c>
      <c r="S744" t="n">
        <v>1</v>
      </c>
      <c r="T744" t="inlineStr">
        <is>
          <t>LOW (40%)</t>
        </is>
      </c>
      <c r="U744" t="inlineStr">
        <is>
          <t>UNLIKELY</t>
        </is>
      </c>
      <c r="V744" t="inlineStr">
        <is>
          <t>PATCH_AVAILABLE</t>
        </is>
      </c>
      <c r="W744" t="inlineStr">
        <is>
          <t>https://nvd.nist.gov/vuln/detail/CVE-2026-27003</t>
        </is>
      </c>
      <c r="X744" t="inlineStr">
        <is>
          <t>NONE</t>
        </is>
      </c>
      <c r="Y744" t="n">
        <v>0</v>
      </c>
      <c r="Z744" t="inlineStr"/>
      <c r="AA744" t="inlineStr">
        <is>
          <t>https://nvd.nist.gov/vuln/detail/CVE-2026-27003</t>
        </is>
      </c>
    </row>
    <row r="745">
      <c r="A745" t="inlineStr">
        <is>
          <t>CVE</t>
        </is>
      </c>
      <c r="B745" t="inlineStr">
        <is>
          <t>CVE-2026-27004</t>
        </is>
      </c>
      <c r="C745" t="inlineStr">
        <is>
          <t>OpenClaw is a personal AI assistant. Prior to version 2026.2.15, in some shared-agent deployments, OpenClaw session tools (`sessions_list`, `sessions_history`, `sessions_send`) allowed broader session targeting than some operators intended. This is primarily a configuration/visibility-scoping issue in multi-user environments where peers are not equally trusted. In Telegram webhook mode, monitor startup also did not fall back to per-account `webhookSecret` when only the account-level secret was c</t>
        </is>
      </c>
      <c r="D745" t="n">
        <v>5.5</v>
      </c>
      <c r="E745" t="inlineStr">
        <is>
          <t>MEDIUM</t>
        </is>
      </c>
      <c r="F745" t="n">
        <v>2</v>
      </c>
      <c r="G745" t="n">
        <v>2</v>
      </c>
      <c r="H745" t="inlineStr">
        <is>
          <t>MEDIUM</t>
        </is>
      </c>
      <c r="I745" t="n">
        <v>9.5</v>
      </c>
      <c r="J745" t="inlineStr">
        <is>
          <t>NO</t>
        </is>
      </c>
      <c r="K745" t="inlineStr">
        <is>
          <t>2026-02-23 23:48</t>
        </is>
      </c>
      <c r="L745" t="inlineStr">
        <is>
          <t>YES</t>
        </is>
      </c>
      <c r="M745" t="inlineStr">
        <is>
          <t>openclaw openclaw *</t>
        </is>
      </c>
      <c r="N745" t="inlineStr">
        <is>
          <t>P4</t>
        </is>
      </c>
      <c r="O745" t="inlineStr">
        <is>
          <t>CVE - IP enrichment n/a</t>
        </is>
      </c>
      <c r="P745" t="n">
        <v>0</v>
      </c>
      <c r="Q745" t="n">
        <v>0</v>
      </c>
      <c r="R745" t="inlineStr">
        <is>
          <t>T1190:Exploit Public-Facing Application</t>
        </is>
      </c>
      <c r="S745" t="n">
        <v>1</v>
      </c>
      <c r="T745" t="inlineStr">
        <is>
          <t>LOW (40%)</t>
        </is>
      </c>
      <c r="U745" t="inlineStr">
        <is>
          <t>UNLIKELY</t>
        </is>
      </c>
      <c r="V745" t="inlineStr">
        <is>
          <t>PATCH_AVAILABLE</t>
        </is>
      </c>
      <c r="W745" t="inlineStr">
        <is>
          <t>https://nvd.nist.gov/vuln/detail/CVE-2026-27004</t>
        </is>
      </c>
      <c r="X745" t="inlineStr">
        <is>
          <t>NONE</t>
        </is>
      </c>
      <c r="Y745" t="n">
        <v>0</v>
      </c>
      <c r="Z745" t="inlineStr"/>
      <c r="AA745" t="inlineStr">
        <is>
          <t>https://nvd.nist.gov/vuln/detail/CVE-2026-27004</t>
        </is>
      </c>
    </row>
    <row r="746">
      <c r="A746" t="inlineStr">
        <is>
          <t>CVE</t>
        </is>
      </c>
      <c r="B746" t="inlineStr">
        <is>
          <t>CVE-2026-27007</t>
        </is>
      </c>
      <c r="C746" t="inlineStr">
        <is>
          <t>OpenClaw is a personal AI assistant. Prior to version 2026.2.15, `normalizeForHash` in `src/agents/sandbox/config-hash.ts` recursively sorted arrays that contained only primitive values. This made order-sensitive sandbox configuration arrays hash to the same value even when order changed. In OpenClaw sandbox flows, this hash is used to decide whether existing sandbox containers should be recreated. As a result, order-only config changes (for example Docker `dns` and `binds` array order) could be</t>
        </is>
      </c>
      <c r="D746" t="n">
        <v>3.3</v>
      </c>
      <c r="E746" t="inlineStr">
        <is>
          <t>LOW</t>
        </is>
      </c>
      <c r="F746" t="n">
        <v>2</v>
      </c>
      <c r="G746" t="n">
        <v>1</v>
      </c>
      <c r="H746" t="inlineStr">
        <is>
          <t>LOW</t>
        </is>
      </c>
      <c r="I746" t="n">
        <v>5.3</v>
      </c>
      <c r="J746" t="inlineStr">
        <is>
          <t>NO</t>
        </is>
      </c>
      <c r="K746" t="inlineStr">
        <is>
          <t>2026-02-23 23:48</t>
        </is>
      </c>
      <c r="L746" t="inlineStr">
        <is>
          <t>YES</t>
        </is>
      </c>
      <c r="M746" t="inlineStr">
        <is>
          <t>openclaw openclaw *</t>
        </is>
      </c>
      <c r="N746" t="inlineStr">
        <is>
          <t>P4</t>
        </is>
      </c>
      <c r="O746" t="inlineStr">
        <is>
          <t>CVE - IP enrichment n/a</t>
        </is>
      </c>
      <c r="P746" t="n">
        <v>0</v>
      </c>
      <c r="Q746" t="n">
        <v>0</v>
      </c>
      <c r="R746" t="inlineStr">
        <is>
          <t>T1190:Exploit Public-Facing Application</t>
        </is>
      </c>
      <c r="S746" t="n">
        <v>1</v>
      </c>
      <c r="T746" t="inlineStr">
        <is>
          <t>LOW (40%)</t>
        </is>
      </c>
      <c r="U746" t="inlineStr">
        <is>
          <t>UNLIKELY</t>
        </is>
      </c>
      <c r="V746" t="inlineStr">
        <is>
          <t>PATCH_AVAILABLE</t>
        </is>
      </c>
      <c r="W746" t="inlineStr">
        <is>
          <t>https://nvd.nist.gov/vuln/detail/CVE-2026-27007</t>
        </is>
      </c>
      <c r="X746" t="inlineStr">
        <is>
          <t>NONE</t>
        </is>
      </c>
      <c r="Y746" t="n">
        <v>0</v>
      </c>
      <c r="Z746" t="inlineStr"/>
      <c r="AA746" t="inlineStr">
        <is>
          <t>https://nvd.nist.gov/vuln/detail/CVE-2026-27007</t>
        </is>
      </c>
    </row>
    <row r="747">
      <c r="A747" t="inlineStr">
        <is>
          <t>CVE</t>
        </is>
      </c>
      <c r="B747" t="inlineStr">
        <is>
          <t>CVE-2026-27008</t>
        </is>
      </c>
      <c r="C747" t="inlineStr">
        <is>
          <t>OpenClaw is a personal AI assistant. Prior to version 2026.2.15, a bug in `download` skill installation allowed `targetDir` values from skill frontmatter to resolve outside the per-skill tools directory if not strictly validated. In the admin-only `skills.install` flow, this could write files outside the intended install sandbox. Version 2026.2.15 contains a fix for the issue.</t>
        </is>
      </c>
      <c r="D747" t="n">
        <v>6.7</v>
      </c>
      <c r="E747" t="inlineStr">
        <is>
          <t>MEDIUM</t>
        </is>
      </c>
      <c r="F747" t="n">
        <v>2</v>
      </c>
      <c r="G747" t="n">
        <v>2</v>
      </c>
      <c r="H747" t="inlineStr">
        <is>
          <t>MEDIUM</t>
        </is>
      </c>
      <c r="I747" t="n">
        <v>10.7</v>
      </c>
      <c r="J747" t="inlineStr">
        <is>
          <t>NO</t>
        </is>
      </c>
      <c r="K747" t="inlineStr">
        <is>
          <t>2026-02-23 23:48</t>
        </is>
      </c>
      <c r="L747" t="inlineStr">
        <is>
          <t>YES</t>
        </is>
      </c>
      <c r="M747" t="inlineStr">
        <is>
          <t>openclaw openclaw *</t>
        </is>
      </c>
      <c r="N747" t="inlineStr">
        <is>
          <t>P4</t>
        </is>
      </c>
      <c r="O747" t="inlineStr">
        <is>
          <t>CVE - IP enrichment n/a</t>
        </is>
      </c>
      <c r="P747" t="n">
        <v>0.0001</v>
      </c>
      <c r="Q747" t="n">
        <v>0.0226</v>
      </c>
      <c r="R747" t="inlineStr">
        <is>
          <t>T1190:Exploit Public-Facing Application</t>
        </is>
      </c>
      <c r="S747" t="n">
        <v>1</v>
      </c>
      <c r="T747" t="inlineStr">
        <is>
          <t>LOW (40%)</t>
        </is>
      </c>
      <c r="U747" t="inlineStr">
        <is>
          <t>UNLIKELY</t>
        </is>
      </c>
      <c r="V747" t="inlineStr">
        <is>
          <t>PATCH_AVAILABLE</t>
        </is>
      </c>
      <c r="W747" t="inlineStr">
        <is>
          <t>https://nvd.nist.gov/vuln/detail/CVE-2026-27008</t>
        </is>
      </c>
      <c r="X747" t="inlineStr">
        <is>
          <t>NONE</t>
        </is>
      </c>
      <c r="Y747" t="n">
        <v>0</v>
      </c>
      <c r="Z747" t="inlineStr"/>
      <c r="AA747" t="inlineStr">
        <is>
          <t>https://nvd.nist.gov/vuln/detail/CVE-2026-27008</t>
        </is>
      </c>
    </row>
    <row r="748">
      <c r="A748" t="inlineStr">
        <is>
          <t>CVE</t>
        </is>
      </c>
      <c r="B748" t="inlineStr">
        <is>
          <t>CVE-2026-27009</t>
        </is>
      </c>
      <c r="C748" t="inlineStr">
        <is>
          <t xml:space="preserve">OpenClaw is a personal AI assistant. Prior to version 2026.2.15, a atored XSS issue in the OpenClaw Control UI when rendering assistant identity (name/avatar) into an inline ` ` tag without script-context-safe escaping. A crafted value containing ` ` could break out of the script tag and execute attacker-controlled JavaScript in the Control UI origin. Version 2026.2.15 removed inline script injection and serve bootstrap config from a JSON endpoint and added a restrictive Content Security Policy </t>
        </is>
      </c>
      <c r="D748" t="n">
        <v>5.8</v>
      </c>
      <c r="E748" t="inlineStr">
        <is>
          <t>MEDIUM</t>
        </is>
      </c>
      <c r="F748" t="n">
        <v>2</v>
      </c>
      <c r="G748" t="n">
        <v>2</v>
      </c>
      <c r="H748" t="inlineStr">
        <is>
          <t>MEDIUM</t>
        </is>
      </c>
      <c r="I748" t="n">
        <v>9.800000000000001</v>
      </c>
      <c r="J748" t="inlineStr">
        <is>
          <t>NO</t>
        </is>
      </c>
      <c r="K748" t="inlineStr">
        <is>
          <t>2026-02-23 23:48</t>
        </is>
      </c>
      <c r="L748" t="inlineStr">
        <is>
          <t>YES</t>
        </is>
      </c>
      <c r="M748" t="inlineStr">
        <is>
          <t>openclaw openclaw *</t>
        </is>
      </c>
      <c r="N748" t="inlineStr">
        <is>
          <t>P4</t>
        </is>
      </c>
      <c r="O748" t="inlineStr">
        <is>
          <t>CVE - IP enrichment n/a</t>
        </is>
      </c>
      <c r="P748" t="n">
        <v>0</v>
      </c>
      <c r="Q748" t="n">
        <v>0</v>
      </c>
      <c r="R748" t="inlineStr">
        <is>
          <t>T1189:Drive-by Compromise</t>
        </is>
      </c>
      <c r="S748" t="n">
        <v>1</v>
      </c>
      <c r="T748" t="inlineStr">
        <is>
          <t>LOW (40%)</t>
        </is>
      </c>
      <c r="U748" t="inlineStr">
        <is>
          <t>UNLIKELY</t>
        </is>
      </c>
      <c r="V748" t="inlineStr">
        <is>
          <t>PATCH_AVAILABLE</t>
        </is>
      </c>
      <c r="W748" t="inlineStr">
        <is>
          <t>https://nvd.nist.gov/vuln/detail/CVE-2026-27009</t>
        </is>
      </c>
      <c r="X748" t="inlineStr">
        <is>
          <t>NONE</t>
        </is>
      </c>
      <c r="Y748" t="n">
        <v>0</v>
      </c>
      <c r="Z748" t="inlineStr"/>
      <c r="AA748" t="inlineStr">
        <is>
          <t>https://nvd.nist.gov/vuln/detail/CVE-2026-27009</t>
        </is>
      </c>
    </row>
    <row r="749">
      <c r="A749" t="inlineStr">
        <is>
          <t>CVE</t>
        </is>
      </c>
      <c r="B749" t="inlineStr">
        <is>
          <t>CVE-2026-2350</t>
        </is>
      </c>
      <c r="C749" t="inlineStr">
        <is>
          <t>Tanium addressed an insertion of sensitive information into log file vulnerability in Interact and TDS.</t>
        </is>
      </c>
      <c r="D749" t="n">
        <v>6.5</v>
      </c>
      <c r="E749" t="inlineStr">
        <is>
          <t>MEDIUM</t>
        </is>
      </c>
      <c r="F749" t="n">
        <v>2</v>
      </c>
      <c r="G749" t="n">
        <v>2</v>
      </c>
      <c r="H749" t="inlineStr">
        <is>
          <t>MEDIUM</t>
        </is>
      </c>
      <c r="I749" t="n">
        <v>10.5</v>
      </c>
      <c r="J749" t="inlineStr">
        <is>
          <t>NO</t>
        </is>
      </c>
      <c r="K749" t="inlineStr">
        <is>
          <t>2026-02-23 23:48</t>
        </is>
      </c>
      <c r="L749" t="inlineStr">
        <is>
          <t>CHECK_VENDOR</t>
        </is>
      </c>
      <c r="M749" t="inlineStr">
        <is>
          <t>See CVE details</t>
        </is>
      </c>
      <c r="N749" t="inlineStr">
        <is>
          <t>P4</t>
        </is>
      </c>
      <c r="O749" t="inlineStr">
        <is>
          <t>CVE - IP enrichment n/a</t>
        </is>
      </c>
      <c r="P749" t="n">
        <v>0.0003</v>
      </c>
      <c r="Q749" t="n">
        <v>0.08749999999999999</v>
      </c>
      <c r="R749" t="inlineStr">
        <is>
          <t>T1190:Exploit Public-Facing Application</t>
        </is>
      </c>
      <c r="S749" t="n">
        <v>1</v>
      </c>
      <c r="T749" t="inlineStr">
        <is>
          <t>LOW (40%)</t>
        </is>
      </c>
      <c r="U749" t="inlineStr">
        <is>
          <t>UNLIKELY</t>
        </is>
      </c>
      <c r="V749" t="inlineStr">
        <is>
          <t>CHECK_VENDOR</t>
        </is>
      </c>
      <c r="W749" t="inlineStr">
        <is>
          <t>https://nvd.nist.gov/vuln/detail/CVE-2026-2350</t>
        </is>
      </c>
      <c r="X749" t="inlineStr">
        <is>
          <t>NONE</t>
        </is>
      </c>
      <c r="Y749" t="n">
        <v>0</v>
      </c>
      <c r="Z749" t="inlineStr"/>
      <c r="AA749" t="inlineStr">
        <is>
          <t>https://nvd.nist.gov/vuln/detail/CVE-2026-2350</t>
        </is>
      </c>
    </row>
    <row r="750">
      <c r="A750" t="inlineStr">
        <is>
          <t>CVE</t>
        </is>
      </c>
      <c r="B750" t="inlineStr">
        <is>
          <t>CVE-2026-2408</t>
        </is>
      </c>
      <c r="C750" t="inlineStr">
        <is>
          <t>Tanium addressed a use-after-free vulnerability in the Cloud Workloads Enforce client extension.</t>
        </is>
      </c>
      <c r="D750" t="n">
        <v>4.7</v>
      </c>
      <c r="E750" t="inlineStr">
        <is>
          <t>MEDIUM</t>
        </is>
      </c>
      <c r="F750" t="n">
        <v>2</v>
      </c>
      <c r="G750" t="n">
        <v>2</v>
      </c>
      <c r="H750" t="inlineStr">
        <is>
          <t>MEDIUM</t>
        </is>
      </c>
      <c r="I750" t="n">
        <v>8.699999999999999</v>
      </c>
      <c r="J750" t="inlineStr">
        <is>
          <t>NO</t>
        </is>
      </c>
      <c r="K750" t="inlineStr">
        <is>
          <t>2026-02-23 23:48</t>
        </is>
      </c>
      <c r="L750" t="inlineStr">
        <is>
          <t>CHECK_VENDOR</t>
        </is>
      </c>
      <c r="M750" t="inlineStr">
        <is>
          <t>See CVE details</t>
        </is>
      </c>
      <c r="N750" t="inlineStr">
        <is>
          <t>P4</t>
        </is>
      </c>
      <c r="O750" t="inlineStr">
        <is>
          <t>CVE - IP enrichment n/a</t>
        </is>
      </c>
      <c r="P750" t="n">
        <v>0</v>
      </c>
      <c r="Q750" t="n">
        <v>0</v>
      </c>
      <c r="R750" t="inlineStr">
        <is>
          <t>T1203:Exploitation for Client Execution | T1190:Exploit Public-Facing Application</t>
        </is>
      </c>
      <c r="S750" t="n">
        <v>1</v>
      </c>
      <c r="T750" t="inlineStr">
        <is>
          <t>LOW (40%)</t>
        </is>
      </c>
      <c r="U750" t="inlineStr">
        <is>
          <t>UNLIKELY</t>
        </is>
      </c>
      <c r="V750" t="inlineStr">
        <is>
          <t>CHECK_VENDOR</t>
        </is>
      </c>
      <c r="W750" t="inlineStr">
        <is>
          <t>https://nvd.nist.gov/vuln/detail/CVE-2026-2408</t>
        </is>
      </c>
      <c r="X750" t="inlineStr">
        <is>
          <t>NONE</t>
        </is>
      </c>
      <c r="Y750" t="n">
        <v>0</v>
      </c>
      <c r="Z750" t="inlineStr"/>
      <c r="AA750" t="inlineStr">
        <is>
          <t>https://nvd.nist.gov/vuln/detail/CVE-2026-2408</t>
        </is>
      </c>
    </row>
    <row r="751">
      <c r="A751" t="inlineStr">
        <is>
          <t>CVE</t>
        </is>
      </c>
      <c r="B751" t="inlineStr">
        <is>
          <t>CVE-2026-2435</t>
        </is>
      </c>
      <c r="C751" t="inlineStr">
        <is>
          <t>Tanium addressed a SQL injection vulnerability in Asset.</t>
        </is>
      </c>
      <c r="D751" t="n">
        <v>6.3</v>
      </c>
      <c r="E751" t="inlineStr">
        <is>
          <t>MEDIUM</t>
        </is>
      </c>
      <c r="F751" t="n">
        <v>2</v>
      </c>
      <c r="G751" t="n">
        <v>2</v>
      </c>
      <c r="H751" t="inlineStr">
        <is>
          <t>MEDIUM</t>
        </is>
      </c>
      <c r="I751" t="n">
        <v>10.3</v>
      </c>
      <c r="J751" t="inlineStr">
        <is>
          <t>NO</t>
        </is>
      </c>
      <c r="K751" t="inlineStr">
        <is>
          <t>2026-02-23 23:48</t>
        </is>
      </c>
      <c r="L751" t="inlineStr">
        <is>
          <t>CHECK_VENDOR</t>
        </is>
      </c>
      <c r="M751" t="inlineStr">
        <is>
          <t>See CVE details</t>
        </is>
      </c>
      <c r="N751" t="inlineStr">
        <is>
          <t>P4</t>
        </is>
      </c>
      <c r="O751" t="inlineStr">
        <is>
          <t>CVE - IP enrichment n/a</t>
        </is>
      </c>
      <c r="P751" t="n">
        <v>0</v>
      </c>
      <c r="Q751" t="n">
        <v>0</v>
      </c>
      <c r="R751" t="inlineStr">
        <is>
          <t>T1190:Exploit Public-Facing Application</t>
        </is>
      </c>
      <c r="S751" t="n">
        <v>1</v>
      </c>
      <c r="T751" t="inlineStr">
        <is>
          <t>LOW (40%)</t>
        </is>
      </c>
      <c r="U751" t="inlineStr">
        <is>
          <t>UNLIKELY</t>
        </is>
      </c>
      <c r="V751" t="inlineStr">
        <is>
          <t>CHECK_VENDOR</t>
        </is>
      </c>
      <c r="W751" t="inlineStr">
        <is>
          <t>https://nvd.nist.gov/vuln/detail/CVE-2026-2435</t>
        </is>
      </c>
      <c r="X751" t="inlineStr">
        <is>
          <t>NONE</t>
        </is>
      </c>
      <c r="Y751" t="n">
        <v>0</v>
      </c>
      <c r="Z751" t="inlineStr"/>
      <c r="AA751" t="inlineStr">
        <is>
          <t>https://nvd.nist.gov/vuln/detail/CVE-2026-2435</t>
        </is>
      </c>
    </row>
    <row r="752">
      <c r="A752" t="inlineStr">
        <is>
          <t>CVE</t>
        </is>
      </c>
      <c r="B752" t="inlineStr">
        <is>
          <t>CVE-2026-2605</t>
        </is>
      </c>
      <c r="C752" t="inlineStr">
        <is>
          <t>Tanium addressed an insertion of sensitive information into log file vulnerability in TanOS.</t>
        </is>
      </c>
      <c r="D752" t="n">
        <v>5.3</v>
      </c>
      <c r="E752" t="inlineStr">
        <is>
          <t>MEDIUM</t>
        </is>
      </c>
      <c r="F752" t="n">
        <v>2</v>
      </c>
      <c r="G752" t="n">
        <v>2</v>
      </c>
      <c r="H752" t="inlineStr">
        <is>
          <t>MEDIUM</t>
        </is>
      </c>
      <c r="I752" t="n">
        <v>9.300000000000001</v>
      </c>
      <c r="J752" t="inlineStr">
        <is>
          <t>NO</t>
        </is>
      </c>
      <c r="K752" t="inlineStr">
        <is>
          <t>2026-02-23 23:48</t>
        </is>
      </c>
      <c r="L752" t="inlineStr">
        <is>
          <t>YES</t>
        </is>
      </c>
      <c r="M752" t="inlineStr">
        <is>
          <t>tanium tanos *</t>
        </is>
      </c>
      <c r="N752" t="inlineStr">
        <is>
          <t>P4</t>
        </is>
      </c>
      <c r="O752" t="inlineStr">
        <is>
          <t>CVE - IP enrichment n/a</t>
        </is>
      </c>
      <c r="P752" t="n">
        <v>0</v>
      </c>
      <c r="Q752" t="n">
        <v>0</v>
      </c>
      <c r="R752" t="inlineStr">
        <is>
          <t>T1190:Exploit Public-Facing Application</t>
        </is>
      </c>
      <c r="S752" t="n">
        <v>1</v>
      </c>
      <c r="T752" t="inlineStr">
        <is>
          <t>LOW (40%)</t>
        </is>
      </c>
      <c r="U752" t="inlineStr">
        <is>
          <t>UNLIKELY</t>
        </is>
      </c>
      <c r="V752" t="inlineStr">
        <is>
          <t>PATCH_AVAILABLE</t>
        </is>
      </c>
      <c r="W752" t="inlineStr">
        <is>
          <t>https://nvd.nist.gov/vuln/detail/CVE-2026-2605</t>
        </is>
      </c>
      <c r="X752" t="inlineStr">
        <is>
          <t>NONE</t>
        </is>
      </c>
      <c r="Y752" t="n">
        <v>0</v>
      </c>
      <c r="Z752" t="inlineStr"/>
      <c r="AA752" t="inlineStr">
        <is>
          <t>https://nvd.nist.gov/vuln/detail/CVE-2026-2605</t>
        </is>
      </c>
    </row>
    <row r="753">
      <c r="A753" t="inlineStr">
        <is>
          <t>CVE</t>
        </is>
      </c>
      <c r="B753" t="inlineStr">
        <is>
          <t>CVE-2025-30410</t>
        </is>
      </c>
      <c r="C753" t="inlineStr">
        <is>
          <t>Sensitive data disclosure and manipulation due to missing authentication. The following products are affected: Acronis Cyber Protect Cloud Agent (Linux, macOS, Windows) before build 39870, Acronis Cyber Protect 16 (Linux, macOS, Windows) before build 39938, Acronis Cyber Protect 15 (Linux, macOS, Windows) before build 41800.</t>
        </is>
      </c>
      <c r="D753" t="n">
        <v>9.800000000000001</v>
      </c>
      <c r="E753" t="inlineStr">
        <is>
          <t>CRITICAL</t>
        </is>
      </c>
      <c r="F753" t="n">
        <v>2</v>
      </c>
      <c r="G753" t="n">
        <v>3</v>
      </c>
      <c r="H753" t="inlineStr">
        <is>
          <t>HIGH</t>
        </is>
      </c>
      <c r="I753" t="n">
        <v>15.8</v>
      </c>
      <c r="J753" t="inlineStr">
        <is>
          <t>NO</t>
        </is>
      </c>
      <c r="K753" t="inlineStr">
        <is>
          <t>2026-02-23 23:48</t>
        </is>
      </c>
      <c r="L753" t="inlineStr">
        <is>
          <t>CHECK_VENDOR</t>
        </is>
      </c>
      <c r="M753" t="inlineStr">
        <is>
          <t>See CVE details</t>
        </is>
      </c>
      <c r="N753" t="inlineStr">
        <is>
          <t>P3</t>
        </is>
      </c>
      <c r="O753" t="inlineStr">
        <is>
          <t>CVE - IP enrichment n/a</t>
        </is>
      </c>
      <c r="P753" t="n">
        <v>0</v>
      </c>
      <c r="Q753" t="n">
        <v>0</v>
      </c>
      <c r="R753" t="inlineStr">
        <is>
          <t>T1078:Valid Accounts</t>
        </is>
      </c>
      <c r="S753" t="n">
        <v>1</v>
      </c>
      <c r="T753" t="inlineStr">
        <is>
          <t>LOW (40%)</t>
        </is>
      </c>
      <c r="U753" t="inlineStr">
        <is>
          <t>UNLIKELY</t>
        </is>
      </c>
      <c r="V753" t="inlineStr">
        <is>
          <t>CHECK_VENDOR</t>
        </is>
      </c>
      <c r="W753" t="inlineStr">
        <is>
          <t>https://nvd.nist.gov/vuln/detail/CVE-2025-30410</t>
        </is>
      </c>
      <c r="X753" t="inlineStr">
        <is>
          <t>NONE</t>
        </is>
      </c>
      <c r="Y753" t="n">
        <v>0</v>
      </c>
      <c r="Z753" t="inlineStr"/>
      <c r="AA753" t="inlineStr">
        <is>
          <t>https://nvd.nist.gov/vuln/detail/CVE-2025-30410</t>
        </is>
      </c>
    </row>
    <row r="754">
      <c r="A754" t="inlineStr">
        <is>
          <t>CVE</t>
        </is>
      </c>
      <c r="B754" t="inlineStr">
        <is>
          <t>CVE-2025-30411</t>
        </is>
      </c>
      <c r="C754" t="inlineStr">
        <is>
          <t>Sensitive data disclosure and manipulation due to improper authentication. The following products are affected: Acronis Cyber Protect 16 (Linux, Windows) before build 39938, Acronis Cyber Protect 15 (Linux, Windows) before build 41800.</t>
        </is>
      </c>
      <c r="D754" t="n">
        <v>10</v>
      </c>
      <c r="E754" t="inlineStr">
        <is>
          <t>CRITICAL</t>
        </is>
      </c>
      <c r="F754" t="n">
        <v>2</v>
      </c>
      <c r="G754" t="n">
        <v>3</v>
      </c>
      <c r="H754" t="inlineStr">
        <is>
          <t>HIGH</t>
        </is>
      </c>
      <c r="I754" t="n">
        <v>16</v>
      </c>
      <c r="J754" t="inlineStr">
        <is>
          <t>NO</t>
        </is>
      </c>
      <c r="K754" t="inlineStr">
        <is>
          <t>2026-02-23 23:48</t>
        </is>
      </c>
      <c r="L754" t="inlineStr">
        <is>
          <t>CHECK_VENDOR</t>
        </is>
      </c>
      <c r="M754" t="inlineStr">
        <is>
          <t>See CVE details</t>
        </is>
      </c>
      <c r="N754" t="inlineStr">
        <is>
          <t>P3</t>
        </is>
      </c>
      <c r="O754" t="inlineStr">
        <is>
          <t>CVE - IP enrichment n/a</t>
        </is>
      </c>
      <c r="P754" t="n">
        <v>0</v>
      </c>
      <c r="Q754" t="n">
        <v>0</v>
      </c>
      <c r="R754" t="inlineStr">
        <is>
          <t>T1190:Exploit Public-Facing Application</t>
        </is>
      </c>
      <c r="S754" t="n">
        <v>1</v>
      </c>
      <c r="T754" t="inlineStr">
        <is>
          <t>LOW (40%)</t>
        </is>
      </c>
      <c r="U754" t="inlineStr">
        <is>
          <t>UNLIKELY</t>
        </is>
      </c>
      <c r="V754" t="inlineStr">
        <is>
          <t>CHECK_VENDOR</t>
        </is>
      </c>
      <c r="W754" t="inlineStr">
        <is>
          <t>https://nvd.nist.gov/vuln/detail/CVE-2025-30411</t>
        </is>
      </c>
      <c r="X754" t="inlineStr">
        <is>
          <t>NONE</t>
        </is>
      </c>
      <c r="Y754" t="n">
        <v>0</v>
      </c>
      <c r="Z754" t="inlineStr"/>
      <c r="AA754" t="inlineStr">
        <is>
          <t>https://nvd.nist.gov/vuln/detail/CVE-2025-30411</t>
        </is>
      </c>
    </row>
    <row r="755">
      <c r="A755" t="inlineStr">
        <is>
          <t>CVE</t>
        </is>
      </c>
      <c r="B755" t="inlineStr">
        <is>
          <t>CVE-2025-30412</t>
        </is>
      </c>
      <c r="C755" t="inlineStr">
        <is>
          <t>Sensitive data disclosure and manipulation due to improper authentication. The following products are affected: Acronis Cyber Protect 16 (Linux, Windows) before build 39938, Acronis Cyber Protect 15 (Linux, Windows) before build 41800.</t>
        </is>
      </c>
      <c r="D755" t="n">
        <v>10</v>
      </c>
      <c r="E755" t="inlineStr">
        <is>
          <t>CRITICAL</t>
        </is>
      </c>
      <c r="F755" t="n">
        <v>2</v>
      </c>
      <c r="G755" t="n">
        <v>3</v>
      </c>
      <c r="H755" t="inlineStr">
        <is>
          <t>HIGH</t>
        </is>
      </c>
      <c r="I755" t="n">
        <v>16</v>
      </c>
      <c r="J755" t="inlineStr">
        <is>
          <t>NO</t>
        </is>
      </c>
      <c r="K755" t="inlineStr">
        <is>
          <t>2026-02-23 23:48</t>
        </is>
      </c>
      <c r="L755" t="inlineStr">
        <is>
          <t>CHECK_VENDOR</t>
        </is>
      </c>
      <c r="M755" t="inlineStr">
        <is>
          <t>See CVE details</t>
        </is>
      </c>
      <c r="N755" t="inlineStr">
        <is>
          <t>P3</t>
        </is>
      </c>
      <c r="O755" t="inlineStr">
        <is>
          <t>CVE - IP enrichment n/a</t>
        </is>
      </c>
      <c r="P755" t="n">
        <v>0</v>
      </c>
      <c r="Q755" t="n">
        <v>0</v>
      </c>
      <c r="R755" t="inlineStr">
        <is>
          <t>T1190:Exploit Public-Facing Application</t>
        </is>
      </c>
      <c r="S755" t="n">
        <v>1</v>
      </c>
      <c r="T755" t="inlineStr">
        <is>
          <t>LOW (40%)</t>
        </is>
      </c>
      <c r="U755" t="inlineStr">
        <is>
          <t>UNLIKELY</t>
        </is>
      </c>
      <c r="V755" t="inlineStr">
        <is>
          <t>CHECK_VENDOR</t>
        </is>
      </c>
      <c r="W755" t="inlineStr">
        <is>
          <t>https://nvd.nist.gov/vuln/detail/CVE-2025-30412</t>
        </is>
      </c>
      <c r="X755" t="inlineStr">
        <is>
          <t>NONE</t>
        </is>
      </c>
      <c r="Y755" t="n">
        <v>0</v>
      </c>
      <c r="Z755" t="inlineStr"/>
      <c r="AA755" t="inlineStr">
        <is>
          <t>https://nvd.nist.gov/vuln/detail/CVE-2025-30412</t>
        </is>
      </c>
    </row>
    <row r="756">
      <c r="A756" t="inlineStr">
        <is>
          <t>CVE</t>
        </is>
      </c>
      <c r="B756" t="inlineStr">
        <is>
          <t>CVE-2025-30416</t>
        </is>
      </c>
      <c r="C756" t="inlineStr">
        <is>
          <t>Sensitive data disclosure and manipulation due to missing authorization. The following products are affected: Acronis Cyber Protect 16 (Linux, Windows) before build 39938, Acronis Cyber Protect 15 (Linux, Windows) before build 41800.</t>
        </is>
      </c>
      <c r="D756" t="n">
        <v>10</v>
      </c>
      <c r="E756" t="inlineStr">
        <is>
          <t>CRITICAL</t>
        </is>
      </c>
      <c r="F756" t="n">
        <v>2</v>
      </c>
      <c r="G756" t="n">
        <v>3</v>
      </c>
      <c r="H756" t="inlineStr">
        <is>
          <t>HIGH</t>
        </is>
      </c>
      <c r="I756" t="n">
        <v>16</v>
      </c>
      <c r="J756" t="inlineStr">
        <is>
          <t>NO</t>
        </is>
      </c>
      <c r="K756" t="inlineStr">
        <is>
          <t>2026-02-23 23:48</t>
        </is>
      </c>
      <c r="L756" t="inlineStr">
        <is>
          <t>CHECK_VENDOR</t>
        </is>
      </c>
      <c r="M756" t="inlineStr">
        <is>
          <t>See CVE details</t>
        </is>
      </c>
      <c r="N756" t="inlineStr">
        <is>
          <t>P3</t>
        </is>
      </c>
      <c r="O756" t="inlineStr">
        <is>
          <t>CVE - IP enrichment n/a</t>
        </is>
      </c>
      <c r="P756" t="n">
        <v>0</v>
      </c>
      <c r="Q756" t="n">
        <v>0</v>
      </c>
      <c r="R756" t="inlineStr">
        <is>
          <t>T1190:Exploit Public-Facing Application</t>
        </is>
      </c>
      <c r="S756" t="n">
        <v>1</v>
      </c>
      <c r="T756" t="inlineStr">
        <is>
          <t>LOW (40%)</t>
        </is>
      </c>
      <c r="U756" t="inlineStr">
        <is>
          <t>UNLIKELY</t>
        </is>
      </c>
      <c r="V756" t="inlineStr">
        <is>
          <t>CHECK_VENDOR</t>
        </is>
      </c>
      <c r="W756" t="inlineStr">
        <is>
          <t>https://nvd.nist.gov/vuln/detail/CVE-2025-30416</t>
        </is>
      </c>
      <c r="X756" t="inlineStr">
        <is>
          <t>NONE</t>
        </is>
      </c>
      <c r="Y756" t="n">
        <v>0</v>
      </c>
      <c r="Z756" t="inlineStr"/>
      <c r="AA756" t="inlineStr">
        <is>
          <t>https://nvd.nist.gov/vuln/detail/CVE-2025-30416</t>
        </is>
      </c>
    </row>
    <row r="757">
      <c r="A757" t="inlineStr">
        <is>
          <t>CVE</t>
        </is>
      </c>
      <c r="B757" t="inlineStr">
        <is>
          <t>CVE-2026-26967</t>
        </is>
      </c>
      <c r="C757" t="inlineStr">
        <is>
          <t>PJSIP is a free and open source multimedia communication library written in C. In versions 2.16 and below, there is a critical Heap-based Buffer Overflow vulnerability in PJSIP's H.264 unpacketizer. The bug occurs when processing malformed SRTP packets, where the unpacketizer reads a 2-byte NAL unit size field without validating that both bytes are within the payload buffer bounds. The vulnerability affects applications that receive video using H.264. A patch is available at https://github.com/p</t>
        </is>
      </c>
      <c r="D757" t="n">
        <v>5.3</v>
      </c>
      <c r="E757" t="inlineStr">
        <is>
          <t>MEDIUM</t>
        </is>
      </c>
      <c r="F757" t="n">
        <v>2</v>
      </c>
      <c r="G757" t="n">
        <v>2</v>
      </c>
      <c r="H757" t="inlineStr">
        <is>
          <t>MEDIUM</t>
        </is>
      </c>
      <c r="I757" t="n">
        <v>9.300000000000001</v>
      </c>
      <c r="J757" t="inlineStr">
        <is>
          <t>NO</t>
        </is>
      </c>
      <c r="K757" t="inlineStr">
        <is>
          <t>2026-02-23 23:48</t>
        </is>
      </c>
      <c r="L757" t="inlineStr">
        <is>
          <t>YES</t>
        </is>
      </c>
      <c r="M757" t="inlineStr">
        <is>
          <t>pjsip pjsip *</t>
        </is>
      </c>
      <c r="N757" t="inlineStr">
        <is>
          <t>P4</t>
        </is>
      </c>
      <c r="O757" t="inlineStr">
        <is>
          <t>CVE - IP enrichment n/a</t>
        </is>
      </c>
      <c r="P757" t="n">
        <v>0</v>
      </c>
      <c r="Q757" t="n">
        <v>0</v>
      </c>
      <c r="R757" t="inlineStr">
        <is>
          <t>T1190:Exploit Public-Facing Application | T1203:Exploitation for Client Execution</t>
        </is>
      </c>
      <c r="S757" t="n">
        <v>1</v>
      </c>
      <c r="T757" t="inlineStr">
        <is>
          <t>LOW (40%)</t>
        </is>
      </c>
      <c r="U757" t="inlineStr">
        <is>
          <t>UNLIKELY</t>
        </is>
      </c>
      <c r="V757" t="inlineStr">
        <is>
          <t>PATCH_AVAILABLE</t>
        </is>
      </c>
      <c r="W757" t="inlineStr">
        <is>
          <t>https://nvd.nist.gov/vuln/detail/CVE-2026-26967</t>
        </is>
      </c>
      <c r="X757" t="inlineStr">
        <is>
          <t>NONE</t>
        </is>
      </c>
      <c r="Y757" t="n">
        <v>0</v>
      </c>
      <c r="Z757" t="inlineStr"/>
      <c r="AA757" t="inlineStr">
        <is>
          <t>https://nvd.nist.gov/vuln/detail/CVE-2026-26967</t>
        </is>
      </c>
    </row>
    <row r="758">
      <c r="A758" t="inlineStr">
        <is>
          <t>CVE</t>
        </is>
      </c>
      <c r="B758" t="inlineStr">
        <is>
          <t>CVE-2026-26974</t>
        </is>
      </c>
      <c r="C758" t="inlineStr">
        <is>
          <t>Slyde is a program that creates animated presentations from XML. In versions 0.0.4 and below, Node.js automatically imports **/*.plugin.{js,mjs} files including those from node_modules, so any malicious package with a .plugin.js file can execute arbitrary code when installed or required. All projects using this loading behavior are affected, especially those installing untrusted packages. This issue has been fixed in version 0.0.5. To workaround this issue, users can audit and restrict which pac</t>
        </is>
      </c>
      <c r="D758" t="n">
        <v>5</v>
      </c>
      <c r="E758" t="inlineStr">
        <is>
          <t>MEDIUM</t>
        </is>
      </c>
      <c r="F758" t="n">
        <v>2</v>
      </c>
      <c r="G758" t="n">
        <v>2</v>
      </c>
      <c r="H758" t="inlineStr">
        <is>
          <t>MEDIUM</t>
        </is>
      </c>
      <c r="I758" t="n">
        <v>9</v>
      </c>
      <c r="J758" t="inlineStr">
        <is>
          <t>NO</t>
        </is>
      </c>
      <c r="K758" t="inlineStr">
        <is>
          <t>2026-02-23 23:48</t>
        </is>
      </c>
      <c r="L758" t="inlineStr">
        <is>
          <t>CHECK_VENDOR</t>
        </is>
      </c>
      <c r="M758" t="inlineStr">
        <is>
          <t>See CVE details</t>
        </is>
      </c>
      <c r="N758" t="inlineStr">
        <is>
          <t>P4</t>
        </is>
      </c>
      <c r="O758" t="inlineStr">
        <is>
          <t>CVE - IP enrichment n/a</t>
        </is>
      </c>
      <c r="P758" t="n">
        <v>0</v>
      </c>
      <c r="Q758" t="n">
        <v>0</v>
      </c>
      <c r="R758" t="inlineStr">
        <is>
          <t>T1203:Exploitation for Client Execution</t>
        </is>
      </c>
      <c r="S758" t="n">
        <v>1</v>
      </c>
      <c r="T758" t="inlineStr">
        <is>
          <t>LOW (40%)</t>
        </is>
      </c>
      <c r="U758" t="inlineStr">
        <is>
          <t>UNLIKELY</t>
        </is>
      </c>
      <c r="V758" t="inlineStr">
        <is>
          <t>CHECK_VENDOR</t>
        </is>
      </c>
      <c r="W758" t="inlineStr">
        <is>
          <t>https://nvd.nist.gov/vuln/detail/CVE-2026-26974</t>
        </is>
      </c>
      <c r="X758" t="inlineStr">
        <is>
          <t>NONE</t>
        </is>
      </c>
      <c r="Y758" t="n">
        <v>0</v>
      </c>
      <c r="Z758" t="inlineStr"/>
      <c r="AA758" t="inlineStr">
        <is>
          <t>https://nvd.nist.gov/vuln/detail/CVE-2026-26974</t>
        </is>
      </c>
    </row>
    <row r="759">
      <c r="A759" t="inlineStr">
        <is>
          <t>CVE</t>
        </is>
      </c>
      <c r="B759" t="inlineStr">
        <is>
          <t>CVE-2026-26975</t>
        </is>
      </c>
      <c r="C759" t="inlineStr">
        <is>
          <t>Music Assistant is an open-source media library manager that integrates streaming services with connected speakers. Versions 2.6.3 and below allow unauthenticated network-adjacent attackers to execute arbitrary code on affected installations. The music/playlists/update API allows users to bypass the .m3u extension enforcement and write files anywhere on the filesystem, which is exacerbated by the container running as root. This can be exploited to achieve Remote Code Execution by writing a malic</t>
        </is>
      </c>
      <c r="D759" t="n">
        <v>8.800000000000001</v>
      </c>
      <c r="E759" t="inlineStr">
        <is>
          <t>HIGH</t>
        </is>
      </c>
      <c r="F759" t="n">
        <v>2</v>
      </c>
      <c r="G759" t="n">
        <v>3</v>
      </c>
      <c r="H759" t="inlineStr">
        <is>
          <t>HIGH</t>
        </is>
      </c>
      <c r="I759" t="n">
        <v>14.8</v>
      </c>
      <c r="J759" t="inlineStr">
        <is>
          <t>NO</t>
        </is>
      </c>
      <c r="K759" t="inlineStr">
        <is>
          <t>2026-02-23 23:48</t>
        </is>
      </c>
      <c r="L759" t="inlineStr">
        <is>
          <t>CHECK_VENDOR</t>
        </is>
      </c>
      <c r="M759" t="inlineStr">
        <is>
          <t>See CVE details</t>
        </is>
      </c>
      <c r="N759" t="inlineStr">
        <is>
          <t>P3</t>
        </is>
      </c>
      <c r="O759" t="inlineStr">
        <is>
          <t>CVE - IP enrichment n/a</t>
        </is>
      </c>
      <c r="P759" t="n">
        <v>0</v>
      </c>
      <c r="Q759" t="n">
        <v>0</v>
      </c>
      <c r="R759" t="inlineStr">
        <is>
          <t>T1083:File and Directory Discovery | T1190:Exploit Public-Facing Application | T1210:Exploitation of Remote Services</t>
        </is>
      </c>
      <c r="S759" t="n">
        <v>1</v>
      </c>
      <c r="T759" t="inlineStr">
        <is>
          <t>LOW (40%)</t>
        </is>
      </c>
      <c r="U759" t="inlineStr">
        <is>
          <t>UNLIKELY</t>
        </is>
      </c>
      <c r="V759" t="inlineStr">
        <is>
          <t>CHECK_VENDOR</t>
        </is>
      </c>
      <c r="W759" t="inlineStr">
        <is>
          <t>https://nvd.nist.gov/vuln/detail/CVE-2026-26975</t>
        </is>
      </c>
      <c r="X759" t="inlineStr">
        <is>
          <t>NONE</t>
        </is>
      </c>
      <c r="Y759" t="n">
        <v>0</v>
      </c>
      <c r="Z759" t="inlineStr"/>
      <c r="AA759" t="inlineStr">
        <is>
          <t>https://nvd.nist.gov/vuln/detail/CVE-2026-26975</t>
        </is>
      </c>
    </row>
    <row r="760">
      <c r="A760" t="inlineStr">
        <is>
          <t>CVE</t>
        </is>
      </c>
      <c r="B760" t="inlineStr">
        <is>
          <t>CVE-2026-26064</t>
        </is>
      </c>
      <c r="C760" t="inlineStr">
        <is>
          <t xml:space="preserve">calibre is a cross-platform e-book manager for viewing, converting, editing, and cataloging e-books. Versions 9.2.1 and below contain a Path Traversal vulnerability that allows arbitrary file writes anywhere the user has write permissions. On Windows, this leads to Remote Code Execution by writing a payload to the Startup folder, which executes on next login. Function extract_pictures only checks startswith('Pictures'), and does not sanitize '..' sequences. calibre's own ZipFile.extractall() in </t>
        </is>
      </c>
      <c r="D760" t="n">
        <v>8.800000000000001</v>
      </c>
      <c r="E760" t="inlineStr">
        <is>
          <t>HIGH</t>
        </is>
      </c>
      <c r="F760" t="n">
        <v>2</v>
      </c>
      <c r="G760" t="n">
        <v>3</v>
      </c>
      <c r="H760" t="inlineStr">
        <is>
          <t>HIGH</t>
        </is>
      </c>
      <c r="I760" t="n">
        <v>14.8</v>
      </c>
      <c r="J760" t="inlineStr">
        <is>
          <t>NO</t>
        </is>
      </c>
      <c r="K760" t="inlineStr">
        <is>
          <t>2026-02-23 23:48</t>
        </is>
      </c>
      <c r="L760" t="inlineStr">
        <is>
          <t>YES</t>
        </is>
      </c>
      <c r="M760" t="inlineStr">
        <is>
          <t>calibre-ebook calibre *</t>
        </is>
      </c>
      <c r="N760" t="inlineStr">
        <is>
          <t>P3</t>
        </is>
      </c>
      <c r="O760" t="inlineStr">
        <is>
          <t>CVE - IP enrichment n/a</t>
        </is>
      </c>
      <c r="P760" t="n">
        <v>0.0005</v>
      </c>
      <c r="Q760" t="n">
        <v>0.1534</v>
      </c>
      <c r="R760" t="inlineStr">
        <is>
          <t>T1083:File and Directory Discovery | T1190:Exploit Public-Facing Application | T1210:Exploitation of Remote Services</t>
        </is>
      </c>
      <c r="S760" t="n">
        <v>1</v>
      </c>
      <c r="T760" t="inlineStr">
        <is>
          <t>LOW (40%)</t>
        </is>
      </c>
      <c r="U760" t="inlineStr">
        <is>
          <t>UNLIKELY</t>
        </is>
      </c>
      <c r="V760" t="inlineStr">
        <is>
          <t>PATCH_AVAILABLE</t>
        </is>
      </c>
      <c r="W760" t="inlineStr">
        <is>
          <t>https://nvd.nist.gov/vuln/detail/CVE-2026-26064</t>
        </is>
      </c>
      <c r="X760" t="inlineStr">
        <is>
          <t>NONE</t>
        </is>
      </c>
      <c r="Y760" t="n">
        <v>0</v>
      </c>
      <c r="Z760" t="inlineStr"/>
      <c r="AA760" t="inlineStr">
        <is>
          <t>https://nvd.nist.gov/vuln/detail/CVE-2026-26064</t>
        </is>
      </c>
    </row>
    <row r="761">
      <c r="A761" t="inlineStr">
        <is>
          <t>CVE</t>
        </is>
      </c>
      <c r="B761" t="inlineStr">
        <is>
          <t>CVE-2026-26065</t>
        </is>
      </c>
      <c r="C761" t="inlineStr">
        <is>
          <t>calibre is a cross-platform e-book manager for viewing, converting, editing, and cataloging e-books. Versions 9.2.1 and below are vulnerable to Path Traversal through PDB readers (both 132-byte and 202-byte header variants) that allow arbitrary file writes with arbitrary extension and arbitrary content anywhere the user has write permissions. Files are written in 'wb' mode, silently overwriting existing files. This can lead to potential code execution and Denial of Service through file corruptio</t>
        </is>
      </c>
      <c r="D761" t="n">
        <v>8.800000000000001</v>
      </c>
      <c r="E761" t="inlineStr">
        <is>
          <t>HIGH</t>
        </is>
      </c>
      <c r="F761" t="n">
        <v>2</v>
      </c>
      <c r="G761" t="n">
        <v>3</v>
      </c>
      <c r="H761" t="inlineStr">
        <is>
          <t>HIGH</t>
        </is>
      </c>
      <c r="I761" t="n">
        <v>14.8</v>
      </c>
      <c r="J761" t="inlineStr">
        <is>
          <t>NO</t>
        </is>
      </c>
      <c r="K761" t="inlineStr">
        <is>
          <t>2026-02-23 23:48</t>
        </is>
      </c>
      <c r="L761" t="inlineStr">
        <is>
          <t>YES</t>
        </is>
      </c>
      <c r="M761" t="inlineStr">
        <is>
          <t>calibre-ebook calibre *</t>
        </is>
      </c>
      <c r="N761" t="inlineStr">
        <is>
          <t>P3</t>
        </is>
      </c>
      <c r="O761" t="inlineStr">
        <is>
          <t>CVE - IP enrichment n/a</t>
        </is>
      </c>
      <c r="P761" t="n">
        <v>0</v>
      </c>
      <c r="Q761" t="n">
        <v>0</v>
      </c>
      <c r="R761" t="inlineStr">
        <is>
          <t>T1083:File and Directory Discovery | T1499:Endpoint Denial of Service</t>
        </is>
      </c>
      <c r="S761" t="n">
        <v>1</v>
      </c>
      <c r="T761" t="inlineStr">
        <is>
          <t>LOW (40%)</t>
        </is>
      </c>
      <c r="U761" t="inlineStr">
        <is>
          <t>UNLIKELY</t>
        </is>
      </c>
      <c r="V761" t="inlineStr">
        <is>
          <t>PATCH_AVAILABLE</t>
        </is>
      </c>
      <c r="W761" t="inlineStr">
        <is>
          <t>https://nvd.nist.gov/vuln/detail/CVE-2026-26065</t>
        </is>
      </c>
      <c r="X761" t="inlineStr">
        <is>
          <t>NONE</t>
        </is>
      </c>
      <c r="Y761" t="n">
        <v>0</v>
      </c>
      <c r="Z761" t="inlineStr"/>
      <c r="AA761" t="inlineStr">
        <is>
          <t>https://nvd.nist.gov/vuln/detail/CVE-2026-26065</t>
        </is>
      </c>
    </row>
    <row r="762">
      <c r="A762" t="inlineStr">
        <is>
          <t>CVE</t>
        </is>
      </c>
      <c r="B762" t="inlineStr">
        <is>
          <t>CVE-2026-26960</t>
        </is>
      </c>
      <c r="C762" t="inlineStr">
        <is>
          <t>node-tar is a full-featured Tar for Node.js. When using default options in versions 7.5.7 and below, an attacker-controlled archive can create a hardlink inside the extraction directory that points to a file outside the extraction root, enabling arbitrary file read and write as the extracting user. Severity is high because the primitive bypasses path protections and turns archive extraction into a direct filesystem access primitive. This issue has been fixed in version 7.5.8.</t>
        </is>
      </c>
      <c r="D762" t="n">
        <v>7.1</v>
      </c>
      <c r="E762" t="inlineStr">
        <is>
          <t>HIGH</t>
        </is>
      </c>
      <c r="F762" t="n">
        <v>2</v>
      </c>
      <c r="G762" t="n">
        <v>3</v>
      </c>
      <c r="H762" t="inlineStr">
        <is>
          <t>HIGH</t>
        </is>
      </c>
      <c r="I762" t="n">
        <v>13.1</v>
      </c>
      <c r="J762" t="inlineStr">
        <is>
          <t>NO</t>
        </is>
      </c>
      <c r="K762" t="inlineStr">
        <is>
          <t>2026-02-23 23:48</t>
        </is>
      </c>
      <c r="L762" t="inlineStr">
        <is>
          <t>YES</t>
        </is>
      </c>
      <c r="M762" t="inlineStr">
        <is>
          <t>isaacs tar *</t>
        </is>
      </c>
      <c r="N762" t="inlineStr">
        <is>
          <t>P3</t>
        </is>
      </c>
      <c r="O762" t="inlineStr">
        <is>
          <t>CVE - IP enrichment n/a</t>
        </is>
      </c>
      <c r="P762" t="n">
        <v>0</v>
      </c>
      <c r="Q762" t="n">
        <v>0</v>
      </c>
      <c r="R762" t="inlineStr">
        <is>
          <t>T1083:File and Directory Discovery</t>
        </is>
      </c>
      <c r="S762" t="n">
        <v>2</v>
      </c>
      <c r="T762" t="inlineStr">
        <is>
          <t>MEDIUM (52%)</t>
        </is>
      </c>
      <c r="U762" t="inlineStr">
        <is>
          <t>UNLIKELY</t>
        </is>
      </c>
      <c r="V762" t="inlineStr">
        <is>
          <t>PATCH_AVAILABLE</t>
        </is>
      </c>
      <c r="W762" t="inlineStr">
        <is>
          <t>https://nvd.nist.gov/vuln/detail/CVE-2026-26960</t>
        </is>
      </c>
      <c r="X762" t="inlineStr">
        <is>
          <t>NONE</t>
        </is>
      </c>
      <c r="Y762" t="n">
        <v>0</v>
      </c>
      <c r="Z762" t="inlineStr"/>
      <c r="AA762" t="inlineStr">
        <is>
          <t>https://nvd.nist.gov/vuln/detail/CVE-2026-26960</t>
        </is>
      </c>
    </row>
    <row r="763">
      <c r="A763" t="inlineStr">
        <is>
          <t>CVE</t>
        </is>
      </c>
      <c r="B763" t="inlineStr">
        <is>
          <t>CVE-2026-26977</t>
        </is>
      </c>
      <c r="C763" t="inlineStr">
        <is>
          <t>Frappe Learning Management System (LMS) is a learning system that helps users structure their content. In versions 2.44.0 and below, unauthorized users are able to access the details of unpublished courses via API endpoints. A fix for this issue is planned for the 2.45.0 release.</t>
        </is>
      </c>
      <c r="D763" t="n">
        <v>5.3</v>
      </c>
      <c r="E763" t="inlineStr">
        <is>
          <t>MEDIUM</t>
        </is>
      </c>
      <c r="F763" t="n">
        <v>2</v>
      </c>
      <c r="G763" t="n">
        <v>2</v>
      </c>
      <c r="H763" t="inlineStr">
        <is>
          <t>MEDIUM</t>
        </is>
      </c>
      <c r="I763" t="n">
        <v>9.300000000000001</v>
      </c>
      <c r="J763" t="inlineStr">
        <is>
          <t>NO</t>
        </is>
      </c>
      <c r="K763" t="inlineStr">
        <is>
          <t>2026-02-23 23:48</t>
        </is>
      </c>
      <c r="L763" t="inlineStr">
        <is>
          <t>YES</t>
        </is>
      </c>
      <c r="M763" t="inlineStr">
        <is>
          <t>frappe learning *</t>
        </is>
      </c>
      <c r="N763" t="inlineStr">
        <is>
          <t>P4</t>
        </is>
      </c>
      <c r="O763" t="inlineStr">
        <is>
          <t>CVE - IP enrichment n/a</t>
        </is>
      </c>
      <c r="P763" t="n">
        <v>0</v>
      </c>
      <c r="Q763" t="n">
        <v>0</v>
      </c>
      <c r="R763" t="inlineStr">
        <is>
          <t>T1190:Exploit Public-Facing Application</t>
        </is>
      </c>
      <c r="S763" t="n">
        <v>1</v>
      </c>
      <c r="T763" t="inlineStr">
        <is>
          <t>LOW (40%)</t>
        </is>
      </c>
      <c r="U763" t="inlineStr">
        <is>
          <t>UNLIKELY</t>
        </is>
      </c>
      <c r="V763" t="inlineStr">
        <is>
          <t>PATCH_AVAILABLE</t>
        </is>
      </c>
      <c r="W763" t="inlineStr">
        <is>
          <t>https://nvd.nist.gov/vuln/detail/CVE-2026-26977</t>
        </is>
      </c>
      <c r="X763" t="inlineStr">
        <is>
          <t>NONE</t>
        </is>
      </c>
      <c r="Y763" t="n">
        <v>0</v>
      </c>
      <c r="Z763" t="inlineStr"/>
      <c r="AA763" t="inlineStr">
        <is>
          <t>https://nvd.nist.gov/vuln/detail/CVE-2026-26977</t>
        </is>
      </c>
    </row>
    <row r="764">
      <c r="A764" t="inlineStr">
        <is>
          <t>CVE</t>
        </is>
      </c>
      <c r="B764" t="inlineStr">
        <is>
          <t>CVE-2026-26980</t>
        </is>
      </c>
      <c r="C764" t="inlineStr">
        <is>
          <t>Ghost is a Node.js content management system. Versions 3.24.0 through 6.19.0 allow unauthenticated attackers to perform arbitrary reads from the database. This issue has been fixed in version 6.19.1.</t>
        </is>
      </c>
      <c r="D764" t="n">
        <v>9.4</v>
      </c>
      <c r="E764" t="inlineStr">
        <is>
          <t>CRITICAL</t>
        </is>
      </c>
      <c r="F764" t="n">
        <v>2</v>
      </c>
      <c r="G764" t="n">
        <v>3</v>
      </c>
      <c r="H764" t="inlineStr">
        <is>
          <t>HIGH</t>
        </is>
      </c>
      <c r="I764" t="n">
        <v>15.4</v>
      </c>
      <c r="J764" t="inlineStr">
        <is>
          <t>NO</t>
        </is>
      </c>
      <c r="K764" t="inlineStr">
        <is>
          <t>2026-02-23 23:48</t>
        </is>
      </c>
      <c r="L764" t="inlineStr">
        <is>
          <t>YES</t>
        </is>
      </c>
      <c r="M764" t="inlineStr">
        <is>
          <t>ghost ghost *</t>
        </is>
      </c>
      <c r="N764" t="inlineStr">
        <is>
          <t>P3</t>
        </is>
      </c>
      <c r="O764" t="inlineStr">
        <is>
          <t>CVE - IP enrichment n/a</t>
        </is>
      </c>
      <c r="P764" t="n">
        <v>0</v>
      </c>
      <c r="Q764" t="n">
        <v>0</v>
      </c>
      <c r="R764" t="inlineStr">
        <is>
          <t>T1190:Exploit Public-Facing Application</t>
        </is>
      </c>
      <c r="S764" t="n">
        <v>1</v>
      </c>
      <c r="T764" t="inlineStr">
        <is>
          <t>LOW (40%)</t>
        </is>
      </c>
      <c r="U764" t="inlineStr">
        <is>
          <t>UNLIKELY</t>
        </is>
      </c>
      <c r="V764" t="inlineStr">
        <is>
          <t>PATCH_AVAILABLE</t>
        </is>
      </c>
      <c r="W764" t="inlineStr">
        <is>
          <t>https://nvd.nist.gov/vuln/detail/CVE-2026-26980</t>
        </is>
      </c>
      <c r="X764" t="inlineStr">
        <is>
          <t>NONE</t>
        </is>
      </c>
      <c r="Y764" t="n">
        <v>0</v>
      </c>
      <c r="Z764" t="inlineStr"/>
      <c r="AA764" t="inlineStr">
        <is>
          <t>https://nvd.nist.gov/vuln/detail/CVE-2026-26980</t>
        </is>
      </c>
    </row>
    <row r="765">
      <c r="A765" t="inlineStr">
        <is>
          <t>CVE</t>
        </is>
      </c>
      <c r="B765" t="inlineStr">
        <is>
          <t>CVE-2026-26987</t>
        </is>
      </c>
      <c r="C765" t="inlineStr">
        <is>
          <t>LibreNMS is an auto-discovering PHP/MySQL/SNMP based network monitoring tool. Versions 25.12.0 and below are vulnerable to  Reflected XSS attacks via email field. This issue has been fixed in version 26.2.0.</t>
        </is>
      </c>
      <c r="D765" t="n">
        <v>6.1</v>
      </c>
      <c r="E765" t="inlineStr">
        <is>
          <t>MEDIUM</t>
        </is>
      </c>
      <c r="F765" t="n">
        <v>2</v>
      </c>
      <c r="G765" t="n">
        <v>2</v>
      </c>
      <c r="H765" t="inlineStr">
        <is>
          <t>MEDIUM</t>
        </is>
      </c>
      <c r="I765" t="n">
        <v>10.1</v>
      </c>
      <c r="J765" t="inlineStr">
        <is>
          <t>NO</t>
        </is>
      </c>
      <c r="K765" t="inlineStr">
        <is>
          <t>2026-02-23 23:48</t>
        </is>
      </c>
      <c r="L765" t="inlineStr">
        <is>
          <t>YES</t>
        </is>
      </c>
      <c r="M765" t="inlineStr">
        <is>
          <t>librenms librenms *</t>
        </is>
      </c>
      <c r="N765" t="inlineStr">
        <is>
          <t>P4</t>
        </is>
      </c>
      <c r="O765" t="inlineStr">
        <is>
          <t>CVE - IP enrichment n/a</t>
        </is>
      </c>
      <c r="P765" t="n">
        <v>0</v>
      </c>
      <c r="Q765" t="n">
        <v>0</v>
      </c>
      <c r="R765" t="inlineStr">
        <is>
          <t>T1189:Drive-by Compromise</t>
        </is>
      </c>
      <c r="S765" t="n">
        <v>1</v>
      </c>
      <c r="T765" t="inlineStr">
        <is>
          <t>LOW (40%)</t>
        </is>
      </c>
      <c r="U765" t="inlineStr">
        <is>
          <t>UNLIKELY</t>
        </is>
      </c>
      <c r="V765" t="inlineStr">
        <is>
          <t>PATCH_AVAILABLE</t>
        </is>
      </c>
      <c r="W765" t="inlineStr">
        <is>
          <t>https://nvd.nist.gov/vuln/detail/CVE-2026-26987</t>
        </is>
      </c>
      <c r="X765" t="inlineStr">
        <is>
          <t>NONE</t>
        </is>
      </c>
      <c r="Y765" t="n">
        <v>0</v>
      </c>
      <c r="Z765" t="inlineStr"/>
      <c r="AA765" t="inlineStr">
        <is>
          <t>https://nvd.nist.gov/vuln/detail/CVE-2026-26987</t>
        </is>
      </c>
    </row>
    <row r="766">
      <c r="A766" t="inlineStr">
        <is>
          <t>CVE</t>
        </is>
      </c>
      <c r="B766" t="inlineStr">
        <is>
          <t>CVE-2026-26988</t>
        </is>
      </c>
      <c r="C766" t="inlineStr">
        <is>
          <t>LibreNMS is an auto-discovering PHP/MySQL/SNMP based network monitoring tool. Versions 25.12.0 and below contain an SQL Injection vulnerability in the ajax_table.php endpoint. The application fails to properly sanitize or parameterize user input when processing IPv6 address searches. Specifically, the address parameter is split into an address and a prefix, and the prefix portion is directly concatenated into the SQL query string without validation. This allows an attacker to inject arbitrary SQ</t>
        </is>
      </c>
      <c r="D766" t="n">
        <v>9.1</v>
      </c>
      <c r="E766" t="inlineStr">
        <is>
          <t>CRITICAL</t>
        </is>
      </c>
      <c r="F766" t="n">
        <v>2</v>
      </c>
      <c r="G766" t="n">
        <v>3</v>
      </c>
      <c r="H766" t="inlineStr">
        <is>
          <t>HIGH</t>
        </is>
      </c>
      <c r="I766" t="n">
        <v>15.1</v>
      </c>
      <c r="J766" t="inlineStr">
        <is>
          <t>NO</t>
        </is>
      </c>
      <c r="K766" t="inlineStr">
        <is>
          <t>2026-02-23 23:48</t>
        </is>
      </c>
      <c r="L766" t="inlineStr">
        <is>
          <t>YES</t>
        </is>
      </c>
      <c r="M766" t="inlineStr">
        <is>
          <t>librenms librenms *</t>
        </is>
      </c>
      <c r="N766" t="inlineStr">
        <is>
          <t>P3</t>
        </is>
      </c>
      <c r="O766" t="inlineStr">
        <is>
          <t>CVE - IP enrichment n/a</t>
        </is>
      </c>
      <c r="P766" t="n">
        <v>0</v>
      </c>
      <c r="Q766" t="n">
        <v>0</v>
      </c>
      <c r="R766" t="inlineStr">
        <is>
          <t>T1190:Exploit Public-Facing Application</t>
        </is>
      </c>
      <c r="S766" t="n">
        <v>1</v>
      </c>
      <c r="T766" t="inlineStr">
        <is>
          <t>LOW (40%)</t>
        </is>
      </c>
      <c r="U766" t="inlineStr">
        <is>
          <t>UNLIKELY</t>
        </is>
      </c>
      <c r="V766" t="inlineStr">
        <is>
          <t>PATCH_AVAILABLE</t>
        </is>
      </c>
      <c r="W766" t="inlineStr">
        <is>
          <t>https://nvd.nist.gov/vuln/detail/CVE-2026-26988</t>
        </is>
      </c>
      <c r="X766" t="inlineStr">
        <is>
          <t>NONE</t>
        </is>
      </c>
      <c r="Y766" t="n">
        <v>0</v>
      </c>
      <c r="Z766" t="inlineStr"/>
      <c r="AA766" t="inlineStr">
        <is>
          <t>https://nvd.nist.gov/vuln/detail/CVE-2026-26988</t>
        </is>
      </c>
    </row>
    <row r="767">
      <c r="A767" t="inlineStr">
        <is>
          <t>CVE</t>
        </is>
      </c>
      <c r="B767" t="inlineStr">
        <is>
          <t>CVE-2026-26989</t>
        </is>
      </c>
      <c r="C767" t="inlineStr">
        <is>
          <t>LibreNMS is an auto-discovering PHP/MySQL/SNMP based network monitoring tool. Versions 25.12.0 and below are affected by a Stored Cross-Site Scripting (XSS) vulnerability in the Alert Rules workflow. An attacker with administrative privileges can inject malicious scripts that execute in the browser context of any user who accesses the Alert Rules page. This issue has been fixed in version 26.2.0.</t>
        </is>
      </c>
      <c r="D767" t="n">
        <v>4.3</v>
      </c>
      <c r="E767" t="inlineStr">
        <is>
          <t>MEDIUM</t>
        </is>
      </c>
      <c r="F767" t="n">
        <v>2</v>
      </c>
      <c r="G767" t="n">
        <v>2</v>
      </c>
      <c r="H767" t="inlineStr">
        <is>
          <t>MEDIUM</t>
        </is>
      </c>
      <c r="I767" t="n">
        <v>8.300000000000001</v>
      </c>
      <c r="J767" t="inlineStr">
        <is>
          <t>NO</t>
        </is>
      </c>
      <c r="K767" t="inlineStr">
        <is>
          <t>2026-02-23 23:48</t>
        </is>
      </c>
      <c r="L767" t="inlineStr">
        <is>
          <t>YES</t>
        </is>
      </c>
      <c r="M767" t="inlineStr">
        <is>
          <t>librenms librenms *</t>
        </is>
      </c>
      <c r="N767" t="inlineStr">
        <is>
          <t>P4</t>
        </is>
      </c>
      <c r="O767" t="inlineStr">
        <is>
          <t>CVE - IP enrichment n/a</t>
        </is>
      </c>
      <c r="P767" t="n">
        <v>0</v>
      </c>
      <c r="Q767" t="n">
        <v>0</v>
      </c>
      <c r="R767" t="inlineStr">
        <is>
          <t>T1189:Drive-by Compromise</t>
        </is>
      </c>
      <c r="S767" t="n">
        <v>1</v>
      </c>
      <c r="T767" t="inlineStr">
        <is>
          <t>LOW (40%)</t>
        </is>
      </c>
      <c r="U767" t="inlineStr">
        <is>
          <t>UNLIKELY</t>
        </is>
      </c>
      <c r="V767" t="inlineStr">
        <is>
          <t>PATCH_AVAILABLE</t>
        </is>
      </c>
      <c r="W767" t="inlineStr">
        <is>
          <t>https://nvd.nist.gov/vuln/detail/CVE-2026-26989</t>
        </is>
      </c>
      <c r="X767" t="inlineStr">
        <is>
          <t>NONE</t>
        </is>
      </c>
      <c r="Y767" t="n">
        <v>0</v>
      </c>
      <c r="Z767" t="inlineStr"/>
      <c r="AA767" t="inlineStr">
        <is>
          <t>https://nvd.nist.gov/vuln/detail/CVE-2026-26989</t>
        </is>
      </c>
    </row>
    <row r="768">
      <c r="A768" t="inlineStr">
        <is>
          <t>CVE</t>
        </is>
      </c>
      <c r="B768" t="inlineStr">
        <is>
          <t>CVE-2026-26990</t>
        </is>
      </c>
      <c r="C768" t="inlineStr">
        <is>
          <t>LibreNMS is an auto-discovering PHP/MySQL/SNMP based network monitoring tool. Versions 25.12.0 and below have a Time-Based Blind SQL Injection vulnerability in address-search.inc.php via the address parameter. When a crafted subnet prefix is supplied, the prefix value is concatenated directly into an SQL query without proper parameter binding, allowing an attacker to manipulate query logic and infer database information through time-based conditional responses. This vulnerability requires authen</t>
        </is>
      </c>
      <c r="D768" t="n">
        <v>8.800000000000001</v>
      </c>
      <c r="E768" t="inlineStr">
        <is>
          <t>HIGH</t>
        </is>
      </c>
      <c r="F768" t="n">
        <v>2</v>
      </c>
      <c r="G768" t="n">
        <v>3</v>
      </c>
      <c r="H768" t="inlineStr">
        <is>
          <t>HIGH</t>
        </is>
      </c>
      <c r="I768" t="n">
        <v>14.8</v>
      </c>
      <c r="J768" t="inlineStr">
        <is>
          <t>NO</t>
        </is>
      </c>
      <c r="K768" t="inlineStr">
        <is>
          <t>2026-02-23 23:48</t>
        </is>
      </c>
      <c r="L768" t="inlineStr">
        <is>
          <t>YES</t>
        </is>
      </c>
      <c r="M768" t="inlineStr">
        <is>
          <t>librenms librenms *</t>
        </is>
      </c>
      <c r="N768" t="inlineStr">
        <is>
          <t>P3</t>
        </is>
      </c>
      <c r="O768" t="inlineStr">
        <is>
          <t>CVE - IP enrichment n/a</t>
        </is>
      </c>
      <c r="P768" t="n">
        <v>0</v>
      </c>
      <c r="Q768" t="n">
        <v>0</v>
      </c>
      <c r="R768" t="inlineStr">
        <is>
          <t>T1190:Exploit Public-Facing Application</t>
        </is>
      </c>
      <c r="S768" t="n">
        <v>1</v>
      </c>
      <c r="T768" t="inlineStr">
        <is>
          <t>LOW (40%)</t>
        </is>
      </c>
      <c r="U768" t="inlineStr">
        <is>
          <t>UNLIKELY</t>
        </is>
      </c>
      <c r="V768" t="inlineStr">
        <is>
          <t>PATCH_AVAILABLE</t>
        </is>
      </c>
      <c r="W768" t="inlineStr">
        <is>
          <t>https://nvd.nist.gov/vuln/detail/CVE-2026-26990</t>
        </is>
      </c>
      <c r="X768" t="inlineStr">
        <is>
          <t>NONE</t>
        </is>
      </c>
      <c r="Y768" t="n">
        <v>0</v>
      </c>
      <c r="Z768" t="inlineStr"/>
      <c r="AA768" t="inlineStr">
        <is>
          <t>https://nvd.nist.gov/vuln/detail/CVE-2026-26990</t>
        </is>
      </c>
    </row>
    <row r="769">
      <c r="A769" t="inlineStr">
        <is>
          <t>CVE</t>
        </is>
      </c>
      <c r="B769" t="inlineStr">
        <is>
          <t>CVE-2026-27016</t>
        </is>
      </c>
      <c r="C769" t="inlineStr">
        <is>
          <t>LibreNMS is an auto-discovering PHP/MySQL/SNMP based network monitoring tool. Versions 24.10.0 through 26.1.1 are vulnerable to Stored XSS via the unit parameter in Custom OID. The Custom OID functionality lacks strip_tags() sanitization while other fields (name, oid, datatype) are sanitized. The unsanitized value is stored in the database and rendered without HTML escaping. This issue is fixed in version 26.2.0.</t>
        </is>
      </c>
      <c r="D769" t="n">
        <v>5.4</v>
      </c>
      <c r="E769" t="inlineStr">
        <is>
          <t>MEDIUM</t>
        </is>
      </c>
      <c r="F769" t="n">
        <v>2</v>
      </c>
      <c r="G769" t="n">
        <v>2</v>
      </c>
      <c r="H769" t="inlineStr">
        <is>
          <t>MEDIUM</t>
        </is>
      </c>
      <c r="I769" t="n">
        <v>9.4</v>
      </c>
      <c r="J769" t="inlineStr">
        <is>
          <t>NO</t>
        </is>
      </c>
      <c r="K769" t="inlineStr">
        <is>
          <t>2026-02-23 23:48</t>
        </is>
      </c>
      <c r="L769" t="inlineStr">
        <is>
          <t>YES</t>
        </is>
      </c>
      <c r="M769" t="inlineStr">
        <is>
          <t>librenms librenms *</t>
        </is>
      </c>
      <c r="N769" t="inlineStr">
        <is>
          <t>P4</t>
        </is>
      </c>
      <c r="O769" t="inlineStr">
        <is>
          <t>CVE - IP enrichment n/a</t>
        </is>
      </c>
      <c r="P769" t="n">
        <v>0</v>
      </c>
      <c r="Q769" t="n">
        <v>0</v>
      </c>
      <c r="R769" t="inlineStr">
        <is>
          <t>T1189:Drive-by Compromise</t>
        </is>
      </c>
      <c r="S769" t="n">
        <v>1</v>
      </c>
      <c r="T769" t="inlineStr">
        <is>
          <t>LOW (40%)</t>
        </is>
      </c>
      <c r="U769" t="inlineStr">
        <is>
          <t>UNLIKELY</t>
        </is>
      </c>
      <c r="V769" t="inlineStr">
        <is>
          <t>PATCH_AVAILABLE</t>
        </is>
      </c>
      <c r="W769" t="inlineStr">
        <is>
          <t>https://nvd.nist.gov/vuln/detail/CVE-2026-27016</t>
        </is>
      </c>
      <c r="X769" t="inlineStr">
        <is>
          <t>NONE</t>
        </is>
      </c>
      <c r="Y769" t="n">
        <v>0</v>
      </c>
      <c r="Z769" t="inlineStr"/>
      <c r="AA769" t="inlineStr">
        <is>
          <t>https://nvd.nist.gov/vuln/detail/CVE-2026-27016</t>
        </is>
      </c>
    </row>
    <row r="770">
      <c r="A770" t="inlineStr">
        <is>
          <t>CVE</t>
        </is>
      </c>
      <c r="B770" t="inlineStr">
        <is>
          <t>CVE-2026-2819</t>
        </is>
      </c>
      <c r="C770" t="inlineStr">
        <is>
          <t>A vulnerability was identified in Dromara RuoYi-Vue-Plus up to 5.5.3. This vulnerability affects the function SaServletFilter of the file /workflow/instance/deleteByInstanceIds of the component Workflow Module. The manipulation leads to missing authorization. The attack may be initiated remotely. The exploit is publicly available and might be used. The vendor was contacted early about this disclosure but did not respond in any way.</t>
        </is>
      </c>
      <c r="D770" t="n">
        <v>6.3</v>
      </c>
      <c r="E770" t="inlineStr">
        <is>
          <t>MEDIUM</t>
        </is>
      </c>
      <c r="F770" t="n">
        <v>2</v>
      </c>
      <c r="G770" t="n">
        <v>2</v>
      </c>
      <c r="H770" t="inlineStr">
        <is>
          <t>MEDIUM</t>
        </is>
      </c>
      <c r="I770" t="n">
        <v>10.3</v>
      </c>
      <c r="J770" t="inlineStr">
        <is>
          <t>NO</t>
        </is>
      </c>
      <c r="K770" t="inlineStr">
        <is>
          <t>2026-02-23 23:48</t>
        </is>
      </c>
      <c r="L770" t="inlineStr">
        <is>
          <t>CHECK_VENDOR</t>
        </is>
      </c>
      <c r="M770" t="inlineStr">
        <is>
          <t>See CVE details</t>
        </is>
      </c>
      <c r="N770" t="inlineStr">
        <is>
          <t>P4</t>
        </is>
      </c>
      <c r="O770" t="inlineStr">
        <is>
          <t>CVE - IP enrichment n/a</t>
        </is>
      </c>
      <c r="P770" t="n">
        <v>0</v>
      </c>
      <c r="Q770" t="n">
        <v>0</v>
      </c>
      <c r="R770" t="inlineStr">
        <is>
          <t>T1190:Exploit Public-Facing Application</t>
        </is>
      </c>
      <c r="S770" t="n">
        <v>1</v>
      </c>
      <c r="T770" t="inlineStr">
        <is>
          <t>LOW (40%)</t>
        </is>
      </c>
      <c r="U770" t="inlineStr">
        <is>
          <t>UNLIKELY</t>
        </is>
      </c>
      <c r="V770" t="inlineStr">
        <is>
          <t>CHECK_VENDOR</t>
        </is>
      </c>
      <c r="W770" t="inlineStr">
        <is>
          <t>https://nvd.nist.gov/vuln/detail/CVE-2026-2819</t>
        </is>
      </c>
      <c r="X770" t="inlineStr">
        <is>
          <t>NONE</t>
        </is>
      </c>
      <c r="Y770" t="n">
        <v>0</v>
      </c>
      <c r="Z770" t="inlineStr"/>
      <c r="AA770" t="inlineStr">
        <is>
          <t>https://nvd.nist.gov/vuln/detail/CVE-2026-2819</t>
        </is>
      </c>
    </row>
    <row r="771">
      <c r="A771" t="inlineStr">
        <is>
          <t>CVE</t>
        </is>
      </c>
      <c r="B771" t="inlineStr">
        <is>
          <t>CVE-2026-2820</t>
        </is>
      </c>
      <c r="C771" t="inlineStr">
        <is>
          <t>A security flaw has been discovered in Fujian Smart Integrated Management Platform System up to 7.5. This issue affects some unknown processing of the file /Module/CRXT/Controller/XAccessPermissionPlus.ashx. The manipulation of the argument DeviceIDS results in sql injection. The attack may be launched remotely. The exploit has been released to the public and may be used for attacks.</t>
        </is>
      </c>
      <c r="D771" t="n">
        <v>7.3</v>
      </c>
      <c r="E771" t="inlineStr">
        <is>
          <t>HIGH</t>
        </is>
      </c>
      <c r="F771" t="n">
        <v>2</v>
      </c>
      <c r="G771" t="n">
        <v>3</v>
      </c>
      <c r="H771" t="inlineStr">
        <is>
          <t>HIGH</t>
        </is>
      </c>
      <c r="I771" t="n">
        <v>13.3</v>
      </c>
      <c r="J771" t="inlineStr">
        <is>
          <t>NO</t>
        </is>
      </c>
      <c r="K771" t="inlineStr">
        <is>
          <t>2026-02-23 23:48</t>
        </is>
      </c>
      <c r="L771" t="inlineStr">
        <is>
          <t>CHECK_VENDOR</t>
        </is>
      </c>
      <c r="M771" t="inlineStr">
        <is>
          <t>See CVE details</t>
        </is>
      </c>
      <c r="N771" t="inlineStr">
        <is>
          <t>P3</t>
        </is>
      </c>
      <c r="O771" t="inlineStr">
        <is>
          <t>CVE - IP enrichment n/a</t>
        </is>
      </c>
      <c r="P771" t="n">
        <v>0.0001</v>
      </c>
      <c r="Q771" t="n">
        <v>0.0098</v>
      </c>
      <c r="R771" t="inlineStr">
        <is>
          <t>T1190:Exploit Public-Facing Application</t>
        </is>
      </c>
      <c r="S771" t="n">
        <v>1</v>
      </c>
      <c r="T771" t="inlineStr">
        <is>
          <t>LOW (40%)</t>
        </is>
      </c>
      <c r="U771" t="inlineStr">
        <is>
          <t>UNLIKELY</t>
        </is>
      </c>
      <c r="V771" t="inlineStr">
        <is>
          <t>CHECK_VENDOR</t>
        </is>
      </c>
      <c r="W771" t="inlineStr">
        <is>
          <t>https://nvd.nist.gov/vuln/detail/CVE-2026-2820</t>
        </is>
      </c>
      <c r="X771" t="inlineStr">
        <is>
          <t>NONE</t>
        </is>
      </c>
      <c r="Y771" t="n">
        <v>0</v>
      </c>
      <c r="Z771" t="inlineStr"/>
      <c r="AA771" t="inlineStr">
        <is>
          <t>https://nvd.nist.gov/vuln/detail/CVE-2026-2820</t>
        </is>
      </c>
    </row>
    <row r="772">
      <c r="A772" t="inlineStr">
        <is>
          <t>CVE</t>
        </is>
      </c>
      <c r="B772" t="inlineStr">
        <is>
          <t>CVE-2026-26991</t>
        </is>
      </c>
      <c r="C772" t="inlineStr">
        <is>
          <t xml:space="preserve">LibreNMS is an auto-discovering PHP/MySQL/SNMP based network monitoring tool. In versions 26.1.1 and below, the device group name is not sanitized, allowing attackers with admin privileges to perform Stored Cross-Site Scripting (XSS) attacks. When a user adds a device group, an HTTP POST request is sent to the Request-URI "/device-groups". The name of the newly created device group is stored in the value of the name parameter. After the device group is created, the entry is displayed along with </t>
        </is>
      </c>
      <c r="D772" t="n">
        <v>4.8</v>
      </c>
      <c r="E772" t="inlineStr">
        <is>
          <t>MEDIUM</t>
        </is>
      </c>
      <c r="F772" t="n">
        <v>2</v>
      </c>
      <c r="G772" t="n">
        <v>2</v>
      </c>
      <c r="H772" t="inlineStr">
        <is>
          <t>MEDIUM</t>
        </is>
      </c>
      <c r="I772" t="n">
        <v>8.800000000000001</v>
      </c>
      <c r="J772" t="inlineStr">
        <is>
          <t>NO</t>
        </is>
      </c>
      <c r="K772" t="inlineStr">
        <is>
          <t>2026-02-23 23:48</t>
        </is>
      </c>
      <c r="L772" t="inlineStr">
        <is>
          <t>YES</t>
        </is>
      </c>
      <c r="M772" t="inlineStr">
        <is>
          <t>librenms librenms *</t>
        </is>
      </c>
      <c r="N772" t="inlineStr">
        <is>
          <t>P4</t>
        </is>
      </c>
      <c r="O772" t="inlineStr">
        <is>
          <t>CVE - IP enrichment n/a</t>
        </is>
      </c>
      <c r="P772" t="n">
        <v>0</v>
      </c>
      <c r="Q772" t="n">
        <v>0</v>
      </c>
      <c r="R772" t="inlineStr">
        <is>
          <t>T1189:Drive-by Compromise</t>
        </is>
      </c>
      <c r="S772" t="n">
        <v>1</v>
      </c>
      <c r="T772" t="inlineStr">
        <is>
          <t>LOW (40%)</t>
        </is>
      </c>
      <c r="U772" t="inlineStr">
        <is>
          <t>UNLIKELY</t>
        </is>
      </c>
      <c r="V772" t="inlineStr">
        <is>
          <t>PATCH_AVAILABLE</t>
        </is>
      </c>
      <c r="W772" t="inlineStr">
        <is>
          <t>https://nvd.nist.gov/vuln/detail/CVE-2026-26991</t>
        </is>
      </c>
      <c r="X772" t="inlineStr">
        <is>
          <t>NONE</t>
        </is>
      </c>
      <c r="Y772" t="n">
        <v>0</v>
      </c>
      <c r="Z772" t="inlineStr"/>
      <c r="AA772" t="inlineStr">
        <is>
          <t>https://nvd.nist.gov/vuln/detail/CVE-2026-26991</t>
        </is>
      </c>
    </row>
    <row r="773">
      <c r="A773" t="inlineStr">
        <is>
          <t>CVE</t>
        </is>
      </c>
      <c r="B773" t="inlineStr">
        <is>
          <t>CVE-2026-26992</t>
        </is>
      </c>
      <c r="C773" t="inlineStr">
        <is>
          <t>LibreNMS is an auto-discovering PHP/MySQL/SNMP based network monitoring tool. In versions 26.1.1 and below, the port group name is not sanitized, allowing attackers with admin privileges to perform Stored Cross-Site Scripting (XSS) attacks. When a user adds a port group, an HTTP POST request is sent to the Request-URI "/port-groups". The name of the newly created port group is stored in the value of the name parameter. After the port group is created, the entry is displayed along with relevant b</t>
        </is>
      </c>
      <c r="D773" t="n">
        <v>4.8</v>
      </c>
      <c r="E773" t="inlineStr">
        <is>
          <t>MEDIUM</t>
        </is>
      </c>
      <c r="F773" t="n">
        <v>2</v>
      </c>
      <c r="G773" t="n">
        <v>2</v>
      </c>
      <c r="H773" t="inlineStr">
        <is>
          <t>MEDIUM</t>
        </is>
      </c>
      <c r="I773" t="n">
        <v>8.800000000000001</v>
      </c>
      <c r="J773" t="inlineStr">
        <is>
          <t>NO</t>
        </is>
      </c>
      <c r="K773" t="inlineStr">
        <is>
          <t>2026-02-23 23:48</t>
        </is>
      </c>
      <c r="L773" t="inlineStr">
        <is>
          <t>YES</t>
        </is>
      </c>
      <c r="M773" t="inlineStr">
        <is>
          <t>librenms librenms *</t>
        </is>
      </c>
      <c r="N773" t="inlineStr">
        <is>
          <t>P4</t>
        </is>
      </c>
      <c r="O773" t="inlineStr">
        <is>
          <t>CVE - IP enrichment n/a</t>
        </is>
      </c>
      <c r="P773" t="n">
        <v>0</v>
      </c>
      <c r="Q773" t="n">
        <v>0</v>
      </c>
      <c r="R773" t="inlineStr">
        <is>
          <t>T1189:Drive-by Compromise</t>
        </is>
      </c>
      <c r="S773" t="n">
        <v>1</v>
      </c>
      <c r="T773" t="inlineStr">
        <is>
          <t>LOW (40%)</t>
        </is>
      </c>
      <c r="U773" t="inlineStr">
        <is>
          <t>UNLIKELY</t>
        </is>
      </c>
      <c r="V773" t="inlineStr">
        <is>
          <t>PATCH_AVAILABLE</t>
        </is>
      </c>
      <c r="W773" t="inlineStr">
        <is>
          <t>https://nvd.nist.gov/vuln/detail/CVE-2026-26992</t>
        </is>
      </c>
      <c r="X773" t="inlineStr">
        <is>
          <t>NONE</t>
        </is>
      </c>
      <c r="Y773" t="n">
        <v>0</v>
      </c>
      <c r="Z773" t="inlineStr"/>
      <c r="AA773" t="inlineStr">
        <is>
          <t>https://nvd.nist.gov/vuln/detail/CVE-2026-26992</t>
        </is>
      </c>
    </row>
    <row r="774">
      <c r="A774" t="inlineStr">
        <is>
          <t>CVE</t>
        </is>
      </c>
      <c r="B774" t="inlineStr">
        <is>
          <t>CVE-2026-26993</t>
        </is>
      </c>
      <c r="C774" t="inlineStr">
        <is>
          <t>Flare is a Next.js-based, self-hostable file sharing platform that integrates with screenshot tools. Versions 1.7.0 and below allow users to upload files without proper content validation or sanitization. By embedding malicious JavaScript within an SVG (or other active content formats such as HTML or XML), an attacker can achieve script execution in the context of the application's origin when a victim views the file in “raw” mode. This results in a stored Cross-Site Scripting (XSS) vulnerabilit</t>
        </is>
      </c>
      <c r="D774" t="n">
        <v>4.6</v>
      </c>
      <c r="E774" t="inlineStr">
        <is>
          <t>MEDIUM</t>
        </is>
      </c>
      <c r="F774" t="n">
        <v>2</v>
      </c>
      <c r="G774" t="n">
        <v>2</v>
      </c>
      <c r="H774" t="inlineStr">
        <is>
          <t>MEDIUM</t>
        </is>
      </c>
      <c r="I774" t="n">
        <v>8.6</v>
      </c>
      <c r="J774" t="inlineStr">
        <is>
          <t>NO</t>
        </is>
      </c>
      <c r="K774" t="inlineStr">
        <is>
          <t>2026-02-23 23:48</t>
        </is>
      </c>
      <c r="L774" t="inlineStr">
        <is>
          <t>CHECK_VENDOR</t>
        </is>
      </c>
      <c r="M774" t="inlineStr">
        <is>
          <t>See CVE details</t>
        </is>
      </c>
      <c r="N774" t="inlineStr">
        <is>
          <t>P4</t>
        </is>
      </c>
      <c r="O774" t="inlineStr">
        <is>
          <t>CVE - IP enrichment n/a</t>
        </is>
      </c>
      <c r="P774" t="n">
        <v>0</v>
      </c>
      <c r="Q774" t="n">
        <v>0</v>
      </c>
      <c r="R774" t="inlineStr">
        <is>
          <t>T1189:Drive-by Compromise</t>
        </is>
      </c>
      <c r="S774" t="n">
        <v>1</v>
      </c>
      <c r="T774" t="inlineStr">
        <is>
          <t>LOW (40%)</t>
        </is>
      </c>
      <c r="U774" t="inlineStr">
        <is>
          <t>UNLIKELY</t>
        </is>
      </c>
      <c r="V774" t="inlineStr">
        <is>
          <t>CHECK_VENDOR</t>
        </is>
      </c>
      <c r="W774" t="inlineStr">
        <is>
          <t>https://nvd.nist.gov/vuln/detail/CVE-2026-26993</t>
        </is>
      </c>
      <c r="X774" t="inlineStr">
        <is>
          <t>NONE</t>
        </is>
      </c>
      <c r="Y774" t="n">
        <v>0</v>
      </c>
      <c r="Z774" t="inlineStr"/>
      <c r="AA774" t="inlineStr">
        <is>
          <t>https://nvd.nist.gov/vuln/detail/CVE-2026-26993</t>
        </is>
      </c>
    </row>
    <row r="775">
      <c r="A775" t="inlineStr">
        <is>
          <t>CVE</t>
        </is>
      </c>
      <c r="B775" t="inlineStr">
        <is>
          <t>CVE-2026-26994</t>
        </is>
      </c>
      <c r="C775" t="inlineStr">
        <is>
          <t>uTLS is a fork of crypto/tls, created to customize ClientHello for fingerprinting resistance while still using it for the handshake. In versions 1.6.7 and below, uTLS did not implement the TLS 1.3 downgrade protection mechanism specified in RFC 8446 Section 4.1.3 when using a uTLS ClientHello spec. This allowed an active network adversary to downgrade TLS 1.3 connections initiated by a uTLS client to a lower TLS version (e.g., TLS 1.2) by modifying the ClientHello message to exclude the Supporte</t>
        </is>
      </c>
      <c r="D775" t="n">
        <v>6.5</v>
      </c>
      <c r="E775" t="inlineStr">
        <is>
          <t>MEDIUM</t>
        </is>
      </c>
      <c r="F775" t="n">
        <v>2</v>
      </c>
      <c r="G775" t="n">
        <v>2</v>
      </c>
      <c r="H775" t="inlineStr">
        <is>
          <t>MEDIUM</t>
        </is>
      </c>
      <c r="I775" t="n">
        <v>10.5</v>
      </c>
      <c r="J775" t="inlineStr">
        <is>
          <t>NO</t>
        </is>
      </c>
      <c r="K775" t="inlineStr">
        <is>
          <t>2026-02-23 23:48</t>
        </is>
      </c>
      <c r="L775" t="inlineStr">
        <is>
          <t>YES</t>
        </is>
      </c>
      <c r="M775" t="inlineStr">
        <is>
          <t>refraction-networking utls *</t>
        </is>
      </c>
      <c r="N775" t="inlineStr">
        <is>
          <t>P4</t>
        </is>
      </c>
      <c r="O775" t="inlineStr">
        <is>
          <t>CVE - IP enrichment n/a</t>
        </is>
      </c>
      <c r="P775" t="n">
        <v>0</v>
      </c>
      <c r="Q775" t="n">
        <v>0</v>
      </c>
      <c r="R775" t="inlineStr">
        <is>
          <t>T1190:Exploit Public-Facing Application</t>
        </is>
      </c>
      <c r="S775" t="n">
        <v>1</v>
      </c>
      <c r="T775" t="inlineStr">
        <is>
          <t>LOW (40%)</t>
        </is>
      </c>
      <c r="U775" t="inlineStr">
        <is>
          <t>UNLIKELY</t>
        </is>
      </c>
      <c r="V775" t="inlineStr">
        <is>
          <t>PATCH_AVAILABLE</t>
        </is>
      </c>
      <c r="W775" t="inlineStr">
        <is>
          <t>https://nvd.nist.gov/vuln/detail/CVE-2026-26994</t>
        </is>
      </c>
      <c r="X775" t="inlineStr">
        <is>
          <t>NONE</t>
        </is>
      </c>
      <c r="Y775" t="n">
        <v>0</v>
      </c>
      <c r="Z775" t="inlineStr"/>
      <c r="AA775" t="inlineStr">
        <is>
          <t>https://nvd.nist.gov/vuln/detail/CVE-2026-26994</t>
        </is>
      </c>
    </row>
    <row r="776">
      <c r="A776" t="inlineStr">
        <is>
          <t>CVE</t>
        </is>
      </c>
      <c r="B776" t="inlineStr">
        <is>
          <t>CVE-2026-26995</t>
        </is>
      </c>
      <c r="C776" t="inlineStr">
        <is>
          <t>Rejected reason: Further research determined the issue is an external dependency vulnerability.</t>
        </is>
      </c>
      <c r="D776" t="n">
        <v>5</v>
      </c>
      <c r="E776" t="inlineStr">
        <is>
          <t>MEDIUM</t>
        </is>
      </c>
      <c r="F776" t="n">
        <v>2</v>
      </c>
      <c r="G776" t="n">
        <v>2</v>
      </c>
      <c r="H776" t="inlineStr">
        <is>
          <t>MEDIUM</t>
        </is>
      </c>
      <c r="I776" t="n">
        <v>9</v>
      </c>
      <c r="J776" t="inlineStr">
        <is>
          <t>NO</t>
        </is>
      </c>
      <c r="K776" t="inlineStr">
        <is>
          <t>2026-02-23 23:48</t>
        </is>
      </c>
      <c r="L776" t="inlineStr">
        <is>
          <t>CHECK_VENDOR</t>
        </is>
      </c>
      <c r="M776" t="inlineStr">
        <is>
          <t>See CVE details</t>
        </is>
      </c>
      <c r="N776" t="inlineStr">
        <is>
          <t>P4</t>
        </is>
      </c>
      <c r="O776" t="inlineStr">
        <is>
          <t>CVE - IP enrichment n/a</t>
        </is>
      </c>
      <c r="P776" t="n">
        <v>0</v>
      </c>
      <c r="Q776" t="n">
        <v>0</v>
      </c>
      <c r="R776" t="inlineStr">
        <is>
          <t>T1190:Exploit Public-Facing Application</t>
        </is>
      </c>
      <c r="S776" t="n">
        <v>1</v>
      </c>
      <c r="T776" t="inlineStr">
        <is>
          <t>LOW (40%)</t>
        </is>
      </c>
      <c r="U776" t="inlineStr">
        <is>
          <t>UNLIKELY</t>
        </is>
      </c>
      <c r="V776" t="inlineStr">
        <is>
          <t>CHECK_VENDOR</t>
        </is>
      </c>
      <c r="W776" t="inlineStr">
        <is>
          <t>https://nvd.nist.gov/vuln/detail/CVE-2026-26995</t>
        </is>
      </c>
      <c r="X776" t="inlineStr">
        <is>
          <t>NONE</t>
        </is>
      </c>
      <c r="Y776" t="n">
        <v>0</v>
      </c>
      <c r="Z776" t="inlineStr"/>
      <c r="AA776" t="inlineStr">
        <is>
          <t>https://nvd.nist.gov/vuln/detail/CVE-2026-26995</t>
        </is>
      </c>
    </row>
    <row r="777">
      <c r="A777" t="inlineStr">
        <is>
          <t>CVE</t>
        </is>
      </c>
      <c r="B777" t="inlineStr">
        <is>
          <t>CVE-2026-26996</t>
        </is>
      </c>
      <c r="C777" t="inlineStr">
        <is>
          <t xml:space="preserve">minimatch is a minimal matching utility for converting glob expressions into JavaScript RegExp objects. Versions 10.2.0 and below are vulnerable to Regular Expression Denial of Service (ReDoS) when a glob pattern contains many consecutive * wildcards followed by a literal character that doesn't appear in the test string. Each * compiles to a separate [^/]*? regex group, and when the match fails, V8's regex engine backtracks exponentially across all possible splits. The time complexity is O(4^N) </t>
        </is>
      </c>
      <c r="D777" t="n">
        <v>7.5</v>
      </c>
      <c r="E777" t="inlineStr">
        <is>
          <t>HIGH</t>
        </is>
      </c>
      <c r="F777" t="n">
        <v>2</v>
      </c>
      <c r="G777" t="n">
        <v>3</v>
      </c>
      <c r="H777" t="inlineStr">
        <is>
          <t>HIGH</t>
        </is>
      </c>
      <c r="I777" t="n">
        <v>13.5</v>
      </c>
      <c r="J777" t="inlineStr">
        <is>
          <t>NO</t>
        </is>
      </c>
      <c r="K777" t="inlineStr">
        <is>
          <t>2026-02-23 23:48</t>
        </is>
      </c>
      <c r="L777" t="inlineStr">
        <is>
          <t>YES</t>
        </is>
      </c>
      <c r="M777" t="inlineStr">
        <is>
          <t>minimatch_project minimatch *</t>
        </is>
      </c>
      <c r="N777" t="inlineStr">
        <is>
          <t>P3</t>
        </is>
      </c>
      <c r="O777" t="inlineStr">
        <is>
          <t>CVE - IP enrichment n/a</t>
        </is>
      </c>
      <c r="P777" t="n">
        <v>0</v>
      </c>
      <c r="Q777" t="n">
        <v>0</v>
      </c>
      <c r="R777" t="inlineStr">
        <is>
          <t>T1499:Endpoint Denial of Service</t>
        </is>
      </c>
      <c r="S777" t="n">
        <v>2</v>
      </c>
      <c r="T777" t="inlineStr">
        <is>
          <t>MEDIUM (52%)</t>
        </is>
      </c>
      <c r="U777" t="inlineStr">
        <is>
          <t>UNLIKELY</t>
        </is>
      </c>
      <c r="V777" t="inlineStr">
        <is>
          <t>PATCH_AVAILABLE</t>
        </is>
      </c>
      <c r="W777" t="inlineStr">
        <is>
          <t>https://nvd.nist.gov/vuln/detail/CVE-2026-26996</t>
        </is>
      </c>
      <c r="X777" t="inlineStr">
        <is>
          <t>NONE</t>
        </is>
      </c>
      <c r="Y777" t="n">
        <v>0</v>
      </c>
      <c r="Z777" t="inlineStr"/>
      <c r="AA777" t="inlineStr">
        <is>
          <t>https://nvd.nist.gov/vuln/detail/CVE-2026-26996</t>
        </is>
      </c>
    </row>
    <row r="778">
      <c r="A778" t="inlineStr">
        <is>
          <t>CVE</t>
        </is>
      </c>
      <c r="B778" t="inlineStr">
        <is>
          <t>CVE-2026-27017</t>
        </is>
      </c>
      <c r="C778" t="inlineStr">
        <is>
          <t>uTLS is a fork of crypto/tls, created to customize ClientHello for fingerprinting resistance while still using it for the handshake. Versions 1.6.0 through 1.8.0 contain a fingerprint mismatch with Chrome when using GREASE ECH, related to cipher suite selection. When Chrome selects the preferred cipher suite in the outer ClientHello and for ECH, it does so consistently based on hardware support—for example, if it prefers AES for the outer cipher suite, it also uses AES for ECH. However, the Chro</t>
        </is>
      </c>
      <c r="D778" t="n">
        <v>5.3</v>
      </c>
      <c r="E778" t="inlineStr">
        <is>
          <t>MEDIUM</t>
        </is>
      </c>
      <c r="F778" t="n">
        <v>2</v>
      </c>
      <c r="G778" t="n">
        <v>2</v>
      </c>
      <c r="H778" t="inlineStr">
        <is>
          <t>MEDIUM</t>
        </is>
      </c>
      <c r="I778" t="n">
        <v>9.300000000000001</v>
      </c>
      <c r="J778" t="inlineStr">
        <is>
          <t>NO</t>
        </is>
      </c>
      <c r="K778" t="inlineStr">
        <is>
          <t>2026-02-23 23:48</t>
        </is>
      </c>
      <c r="L778" t="inlineStr">
        <is>
          <t>YES</t>
        </is>
      </c>
      <c r="M778" t="inlineStr">
        <is>
          <t>refraction-networking utls *</t>
        </is>
      </c>
      <c r="N778" t="inlineStr">
        <is>
          <t>P4</t>
        </is>
      </c>
      <c r="O778" t="inlineStr">
        <is>
          <t>CVE - IP enrichment n/a</t>
        </is>
      </c>
      <c r="P778" t="n">
        <v>0.0002</v>
      </c>
      <c r="Q778" t="n">
        <v>0.0507</v>
      </c>
      <c r="R778" t="inlineStr">
        <is>
          <t>T1190:Exploit Public-Facing Application</t>
        </is>
      </c>
      <c r="S778" t="n">
        <v>1</v>
      </c>
      <c r="T778" t="inlineStr">
        <is>
          <t>LOW (40%)</t>
        </is>
      </c>
      <c r="U778" t="inlineStr">
        <is>
          <t>UNLIKELY</t>
        </is>
      </c>
      <c r="V778" t="inlineStr">
        <is>
          <t>PATCH_AVAILABLE</t>
        </is>
      </c>
      <c r="W778" t="inlineStr">
        <is>
          <t>https://nvd.nist.gov/vuln/detail/CVE-2026-27017</t>
        </is>
      </c>
      <c r="X778" t="inlineStr">
        <is>
          <t>NONE</t>
        </is>
      </c>
      <c r="Y778" t="n">
        <v>0</v>
      </c>
      <c r="Z778" t="inlineStr"/>
      <c r="AA778" t="inlineStr">
        <is>
          <t>https://nvd.nist.gov/vuln/detail/CVE-2026-27017</t>
        </is>
      </c>
    </row>
    <row r="779">
      <c r="A779" t="inlineStr">
        <is>
          <t>CVE</t>
        </is>
      </c>
      <c r="B779" t="inlineStr">
        <is>
          <t>CVE-2026-2384</t>
        </is>
      </c>
      <c r="C779" t="inlineStr">
        <is>
          <t>The Quiz Maker plugin for WordPress is vulnerable to Stored Cross-Site Scripting via the plugin's `vc_quizmaker` shortcode in all versions up to, and including, 6.7.1.7 due to insufficient input sanitization and output escaping on user supplied attributes. This makes it possible for authenticated attackers, with contributor-level access and above, to inject arbitrary web scripts in pages that will execute whenever a user accesses an injected page.
Note: This vulnerability requires WPBakery Page</t>
        </is>
      </c>
      <c r="D779" t="n">
        <v>6.4</v>
      </c>
      <c r="E779" t="inlineStr">
        <is>
          <t>MEDIUM</t>
        </is>
      </c>
      <c r="F779" t="n">
        <v>2</v>
      </c>
      <c r="G779" t="n">
        <v>2</v>
      </c>
      <c r="H779" t="inlineStr">
        <is>
          <t>MEDIUM</t>
        </is>
      </c>
      <c r="I779" t="n">
        <v>10.4</v>
      </c>
      <c r="J779" t="inlineStr">
        <is>
          <t>NO</t>
        </is>
      </c>
      <c r="K779" t="inlineStr">
        <is>
          <t>2026-02-23 23:48</t>
        </is>
      </c>
      <c r="L779" t="inlineStr">
        <is>
          <t>CHECK_VENDOR</t>
        </is>
      </c>
      <c r="M779" t="inlineStr">
        <is>
          <t>See CVE details</t>
        </is>
      </c>
      <c r="N779" t="inlineStr">
        <is>
          <t>P4</t>
        </is>
      </c>
      <c r="O779" t="inlineStr">
        <is>
          <t>CVE - IP enrichment n/a</t>
        </is>
      </c>
      <c r="P779" t="n">
        <v>0</v>
      </c>
      <c r="Q779" t="n">
        <v>0</v>
      </c>
      <c r="R779" t="inlineStr">
        <is>
          <t>T1189:Drive-by Compromise</t>
        </is>
      </c>
      <c r="S779" t="n">
        <v>1</v>
      </c>
      <c r="T779" t="inlineStr">
        <is>
          <t>LOW (40%)</t>
        </is>
      </c>
      <c r="U779" t="inlineStr">
        <is>
          <t>UNLIKELY</t>
        </is>
      </c>
      <c r="V779" t="inlineStr">
        <is>
          <t>CHECK_VENDOR</t>
        </is>
      </c>
      <c r="W779" t="inlineStr">
        <is>
          <t>https://nvd.nist.gov/vuln/detail/CVE-2026-2384</t>
        </is>
      </c>
      <c r="X779" t="inlineStr">
        <is>
          <t>NONE</t>
        </is>
      </c>
      <c r="Y779" t="n">
        <v>0</v>
      </c>
      <c r="Z779" t="inlineStr"/>
      <c r="AA779" t="inlineStr">
        <is>
          <t>https://nvd.nist.gov/vuln/detail/CVE-2026-2384</t>
        </is>
      </c>
    </row>
    <row r="780">
      <c r="A780" t="inlineStr">
        <is>
          <t>CVE</t>
        </is>
      </c>
      <c r="B780" t="inlineStr">
        <is>
          <t>CVE-2026-2821</t>
        </is>
      </c>
      <c r="C780" t="inlineStr">
        <is>
          <t>A weakness has been identified in Fujian Smart Integrated Management Platform System up to 7.5. Impacted is an unknown function of the file /Module/CRXT/Controller/XCamera.ashx. This manipulation of the argument ChannelName causes sql injection. Remote exploitation of the attack is possible. The exploit has been made available to the public and could be used for attacks.</t>
        </is>
      </c>
      <c r="D780" t="n">
        <v>7.3</v>
      </c>
      <c r="E780" t="inlineStr">
        <is>
          <t>HIGH</t>
        </is>
      </c>
      <c r="F780" t="n">
        <v>2</v>
      </c>
      <c r="G780" t="n">
        <v>3</v>
      </c>
      <c r="H780" t="inlineStr">
        <is>
          <t>HIGH</t>
        </is>
      </c>
      <c r="I780" t="n">
        <v>13.3</v>
      </c>
      <c r="J780" t="inlineStr">
        <is>
          <t>NO</t>
        </is>
      </c>
      <c r="K780" t="inlineStr">
        <is>
          <t>2026-02-23 23:48</t>
        </is>
      </c>
      <c r="L780" t="inlineStr">
        <is>
          <t>CHECK_VENDOR</t>
        </is>
      </c>
      <c r="M780" t="inlineStr">
        <is>
          <t>See CVE details</t>
        </is>
      </c>
      <c r="N780" t="inlineStr">
        <is>
          <t>P3</t>
        </is>
      </c>
      <c r="O780" t="inlineStr">
        <is>
          <t>CVE - IP enrichment n/a</t>
        </is>
      </c>
      <c r="P780" t="n">
        <v>0</v>
      </c>
      <c r="Q780" t="n">
        <v>0</v>
      </c>
      <c r="R780" t="inlineStr">
        <is>
          <t>T1190:Exploit Public-Facing Application</t>
        </is>
      </c>
      <c r="S780" t="n">
        <v>1</v>
      </c>
      <c r="T780" t="inlineStr">
        <is>
          <t>LOW (40%)</t>
        </is>
      </c>
      <c r="U780" t="inlineStr">
        <is>
          <t>UNLIKELY</t>
        </is>
      </c>
      <c r="V780" t="inlineStr">
        <is>
          <t>CHECK_VENDOR</t>
        </is>
      </c>
      <c r="W780" t="inlineStr">
        <is>
          <t>https://nvd.nist.gov/vuln/detail/CVE-2026-2821</t>
        </is>
      </c>
      <c r="X780" t="inlineStr">
        <is>
          <t>NONE</t>
        </is>
      </c>
      <c r="Y780" t="n">
        <v>0</v>
      </c>
      <c r="Z780" t="inlineStr"/>
      <c r="AA780" t="inlineStr">
        <is>
          <t>https://nvd.nist.gov/vuln/detail/CVE-2026-2821</t>
        </is>
      </c>
    </row>
    <row r="781">
      <c r="A781" t="inlineStr">
        <is>
          <t>CVE</t>
        </is>
      </c>
      <c r="B781" t="inlineStr">
        <is>
          <t>CVE-2026-27317</t>
        </is>
      </c>
      <c r="C781" t="inlineStr">
        <is>
          <t>Rejected reason: Not used</t>
        </is>
      </c>
      <c r="D781" t="n">
        <v>5</v>
      </c>
      <c r="E781" t="inlineStr">
        <is>
          <t>MEDIUM</t>
        </is>
      </c>
      <c r="F781" t="n">
        <v>2</v>
      </c>
      <c r="G781" t="n">
        <v>2</v>
      </c>
      <c r="H781" t="inlineStr">
        <is>
          <t>MEDIUM</t>
        </is>
      </c>
      <c r="I781" t="n">
        <v>9</v>
      </c>
      <c r="J781" t="inlineStr">
        <is>
          <t>NO</t>
        </is>
      </c>
      <c r="K781" t="inlineStr">
        <is>
          <t>2026-02-23 23:48</t>
        </is>
      </c>
      <c r="L781" t="inlineStr">
        <is>
          <t>CHECK_VENDOR</t>
        </is>
      </c>
      <c r="M781" t="inlineStr">
        <is>
          <t>See CVE details</t>
        </is>
      </c>
      <c r="N781" t="inlineStr">
        <is>
          <t>P4</t>
        </is>
      </c>
      <c r="O781" t="inlineStr">
        <is>
          <t>CVE - IP enrichment n/a</t>
        </is>
      </c>
      <c r="P781" t="n">
        <v>0</v>
      </c>
      <c r="Q781" t="n">
        <v>0</v>
      </c>
      <c r="R781" t="inlineStr">
        <is>
          <t>T1190:Exploit Public-Facing Application</t>
        </is>
      </c>
      <c r="S781" t="n">
        <v>1</v>
      </c>
      <c r="T781" t="inlineStr">
        <is>
          <t>LOW (40%)</t>
        </is>
      </c>
      <c r="U781" t="inlineStr">
        <is>
          <t>UNLIKELY</t>
        </is>
      </c>
      <c r="V781" t="inlineStr">
        <is>
          <t>CHECK_VENDOR</t>
        </is>
      </c>
      <c r="W781" t="inlineStr">
        <is>
          <t>https://nvd.nist.gov/vuln/detail/CVE-2026-27317</t>
        </is>
      </c>
      <c r="X781" t="inlineStr">
        <is>
          <t>NONE</t>
        </is>
      </c>
      <c r="Y781" t="n">
        <v>0</v>
      </c>
      <c r="Z781" t="inlineStr"/>
      <c r="AA781" t="inlineStr">
        <is>
          <t>https://nvd.nist.gov/vuln/detail/CVE-2026-27317</t>
        </is>
      </c>
    </row>
    <row r="782">
      <c r="A782" t="inlineStr">
        <is>
          <t>CVE</t>
        </is>
      </c>
      <c r="B782" t="inlineStr">
        <is>
          <t>CVE-2026-27318</t>
        </is>
      </c>
      <c r="C782" t="inlineStr">
        <is>
          <t>Rejected reason: Not used</t>
        </is>
      </c>
      <c r="D782" t="n">
        <v>5</v>
      </c>
      <c r="E782" t="inlineStr">
        <is>
          <t>MEDIUM</t>
        </is>
      </c>
      <c r="F782" t="n">
        <v>2</v>
      </c>
      <c r="G782" t="n">
        <v>2</v>
      </c>
      <c r="H782" t="inlineStr">
        <is>
          <t>MEDIUM</t>
        </is>
      </c>
      <c r="I782" t="n">
        <v>9</v>
      </c>
      <c r="J782" t="inlineStr">
        <is>
          <t>NO</t>
        </is>
      </c>
      <c r="K782" t="inlineStr">
        <is>
          <t>2026-02-23 23:48</t>
        </is>
      </c>
      <c r="L782" t="inlineStr">
        <is>
          <t>CHECK_VENDOR</t>
        </is>
      </c>
      <c r="M782" t="inlineStr">
        <is>
          <t>See CVE details</t>
        </is>
      </c>
      <c r="N782" t="inlineStr">
        <is>
          <t>P4</t>
        </is>
      </c>
      <c r="O782" t="inlineStr">
        <is>
          <t>CVE - IP enrichment n/a</t>
        </is>
      </c>
      <c r="P782" t="n">
        <v>0</v>
      </c>
      <c r="Q782" t="n">
        <v>0</v>
      </c>
      <c r="R782" t="inlineStr">
        <is>
          <t>T1190:Exploit Public-Facing Application</t>
        </is>
      </c>
      <c r="S782" t="n">
        <v>1</v>
      </c>
      <c r="T782" t="inlineStr">
        <is>
          <t>LOW (40%)</t>
        </is>
      </c>
      <c r="U782" t="inlineStr">
        <is>
          <t>UNLIKELY</t>
        </is>
      </c>
      <c r="V782" t="inlineStr">
        <is>
          <t>CHECK_VENDOR</t>
        </is>
      </c>
      <c r="W782" t="inlineStr">
        <is>
          <t>https://nvd.nist.gov/vuln/detail/CVE-2026-27318</t>
        </is>
      </c>
      <c r="X782" t="inlineStr">
        <is>
          <t>NONE</t>
        </is>
      </c>
      <c r="Y782" t="n">
        <v>0</v>
      </c>
      <c r="Z782" t="inlineStr"/>
      <c r="AA782" t="inlineStr">
        <is>
          <t>https://nvd.nist.gov/vuln/detail/CVE-2026-27318</t>
        </is>
      </c>
    </row>
    <row r="783">
      <c r="A783" t="inlineStr">
        <is>
          <t>CVE</t>
        </is>
      </c>
      <c r="B783" t="inlineStr">
        <is>
          <t>CVE-2026-27319</t>
        </is>
      </c>
      <c r="C783" t="inlineStr">
        <is>
          <t>Rejected reason: Not used</t>
        </is>
      </c>
      <c r="D783" t="n">
        <v>5</v>
      </c>
      <c r="E783" t="inlineStr">
        <is>
          <t>MEDIUM</t>
        </is>
      </c>
      <c r="F783" t="n">
        <v>2</v>
      </c>
      <c r="G783" t="n">
        <v>2</v>
      </c>
      <c r="H783" t="inlineStr">
        <is>
          <t>MEDIUM</t>
        </is>
      </c>
      <c r="I783" t="n">
        <v>9</v>
      </c>
      <c r="J783" t="inlineStr">
        <is>
          <t>NO</t>
        </is>
      </c>
      <c r="K783" t="inlineStr">
        <is>
          <t>2026-02-23 23:48</t>
        </is>
      </c>
      <c r="L783" t="inlineStr">
        <is>
          <t>CHECK_VENDOR</t>
        </is>
      </c>
      <c r="M783" t="inlineStr">
        <is>
          <t>See CVE details</t>
        </is>
      </c>
      <c r="N783" t="inlineStr">
        <is>
          <t>P4</t>
        </is>
      </c>
      <c r="O783" t="inlineStr">
        <is>
          <t>CVE - IP enrichment n/a</t>
        </is>
      </c>
      <c r="P783" t="n">
        <v>0</v>
      </c>
      <c r="Q783" t="n">
        <v>0</v>
      </c>
      <c r="R783" t="inlineStr">
        <is>
          <t>T1190:Exploit Public-Facing Application</t>
        </is>
      </c>
      <c r="S783" t="n">
        <v>1</v>
      </c>
      <c r="T783" t="inlineStr">
        <is>
          <t>LOW (40%)</t>
        </is>
      </c>
      <c r="U783" t="inlineStr">
        <is>
          <t>UNLIKELY</t>
        </is>
      </c>
      <c r="V783" t="inlineStr">
        <is>
          <t>CHECK_VENDOR</t>
        </is>
      </c>
      <c r="W783" t="inlineStr">
        <is>
          <t>https://nvd.nist.gov/vuln/detail/CVE-2026-27319</t>
        </is>
      </c>
      <c r="X783" t="inlineStr">
        <is>
          <t>NONE</t>
        </is>
      </c>
      <c r="Y783" t="n">
        <v>0</v>
      </c>
      <c r="Z783" t="inlineStr"/>
      <c r="AA783" t="inlineStr">
        <is>
          <t>https://nvd.nist.gov/vuln/detail/CVE-2026-27319</t>
        </is>
      </c>
    </row>
    <row r="784">
      <c r="A784" t="inlineStr">
        <is>
          <t>CVE</t>
        </is>
      </c>
      <c r="B784" t="inlineStr">
        <is>
          <t>CVE-2026-27320</t>
        </is>
      </c>
      <c r="C784" t="inlineStr">
        <is>
          <t>Rejected reason: Not used</t>
        </is>
      </c>
      <c r="D784" t="n">
        <v>5</v>
      </c>
      <c r="E784" t="inlineStr">
        <is>
          <t>MEDIUM</t>
        </is>
      </c>
      <c r="F784" t="n">
        <v>2</v>
      </c>
      <c r="G784" t="n">
        <v>2</v>
      </c>
      <c r="H784" t="inlineStr">
        <is>
          <t>MEDIUM</t>
        </is>
      </c>
      <c r="I784" t="n">
        <v>9</v>
      </c>
      <c r="J784" t="inlineStr">
        <is>
          <t>NO</t>
        </is>
      </c>
      <c r="K784" t="inlineStr">
        <is>
          <t>2026-02-23 23:48</t>
        </is>
      </c>
      <c r="L784" t="inlineStr">
        <is>
          <t>CHECK_VENDOR</t>
        </is>
      </c>
      <c r="M784" t="inlineStr">
        <is>
          <t>See CVE details</t>
        </is>
      </c>
      <c r="N784" t="inlineStr">
        <is>
          <t>P4</t>
        </is>
      </c>
      <c r="O784" t="inlineStr">
        <is>
          <t>CVE - IP enrichment n/a</t>
        </is>
      </c>
      <c r="P784" t="n">
        <v>0</v>
      </c>
      <c r="Q784" t="n">
        <v>0</v>
      </c>
      <c r="R784" t="inlineStr">
        <is>
          <t>T1190:Exploit Public-Facing Application</t>
        </is>
      </c>
      <c r="S784" t="n">
        <v>1</v>
      </c>
      <c r="T784" t="inlineStr">
        <is>
          <t>LOW (40%)</t>
        </is>
      </c>
      <c r="U784" t="inlineStr">
        <is>
          <t>UNLIKELY</t>
        </is>
      </c>
      <c r="V784" t="inlineStr">
        <is>
          <t>CHECK_VENDOR</t>
        </is>
      </c>
      <c r="W784" t="inlineStr">
        <is>
          <t>https://nvd.nist.gov/vuln/detail/CVE-2026-27320</t>
        </is>
      </c>
      <c r="X784" t="inlineStr">
        <is>
          <t>NONE</t>
        </is>
      </c>
      <c r="Y784" t="n">
        <v>0</v>
      </c>
      <c r="Z784" t="inlineStr"/>
      <c r="AA784" t="inlineStr">
        <is>
          <t>https://nvd.nist.gov/vuln/detail/CVE-2026-27320</t>
        </is>
      </c>
    </row>
    <row r="785">
      <c r="A785" t="inlineStr">
        <is>
          <t>CVE</t>
        </is>
      </c>
      <c r="B785" t="inlineStr">
        <is>
          <t>CVE-2026-27321</t>
        </is>
      </c>
      <c r="C785" t="inlineStr">
        <is>
          <t>Rejected reason: Not used</t>
        </is>
      </c>
      <c r="D785" t="n">
        <v>5</v>
      </c>
      <c r="E785" t="inlineStr">
        <is>
          <t>MEDIUM</t>
        </is>
      </c>
      <c r="F785" t="n">
        <v>2</v>
      </c>
      <c r="G785" t="n">
        <v>2</v>
      </c>
      <c r="H785" t="inlineStr">
        <is>
          <t>MEDIUM</t>
        </is>
      </c>
      <c r="I785" t="n">
        <v>9</v>
      </c>
      <c r="J785" t="inlineStr">
        <is>
          <t>NO</t>
        </is>
      </c>
      <c r="K785" t="inlineStr">
        <is>
          <t>2026-02-23 23:48</t>
        </is>
      </c>
      <c r="L785" t="inlineStr">
        <is>
          <t>CHECK_VENDOR</t>
        </is>
      </c>
      <c r="M785" t="inlineStr">
        <is>
          <t>See CVE details</t>
        </is>
      </c>
      <c r="N785" t="inlineStr">
        <is>
          <t>P4</t>
        </is>
      </c>
      <c r="O785" t="inlineStr">
        <is>
          <t>CVE - IP enrichment n/a</t>
        </is>
      </c>
      <c r="P785" t="n">
        <v>0</v>
      </c>
      <c r="Q785" t="n">
        <v>0</v>
      </c>
      <c r="R785" t="inlineStr">
        <is>
          <t>T1190:Exploit Public-Facing Application</t>
        </is>
      </c>
      <c r="S785" t="n">
        <v>1</v>
      </c>
      <c r="T785" t="inlineStr">
        <is>
          <t>LOW (40%)</t>
        </is>
      </c>
      <c r="U785" t="inlineStr">
        <is>
          <t>UNLIKELY</t>
        </is>
      </c>
      <c r="V785" t="inlineStr">
        <is>
          <t>CHECK_VENDOR</t>
        </is>
      </c>
      <c r="W785" t="inlineStr">
        <is>
          <t>https://nvd.nist.gov/vuln/detail/CVE-2026-27321</t>
        </is>
      </c>
      <c r="X785" t="inlineStr">
        <is>
          <t>NONE</t>
        </is>
      </c>
      <c r="Y785" t="n">
        <v>0</v>
      </c>
      <c r="Z785" t="inlineStr"/>
      <c r="AA785" t="inlineStr">
        <is>
          <t>https://nvd.nist.gov/vuln/detail/CVE-2026-27321</t>
        </is>
      </c>
    </row>
    <row r="786">
      <c r="A786" t="inlineStr">
        <is>
          <t>CVE</t>
        </is>
      </c>
      <c r="B786" t="inlineStr">
        <is>
          <t>CVE-2026-27322</t>
        </is>
      </c>
      <c r="C786" t="inlineStr">
        <is>
          <t>Rejected reason: Not used</t>
        </is>
      </c>
      <c r="D786" t="n">
        <v>5</v>
      </c>
      <c r="E786" t="inlineStr">
        <is>
          <t>MEDIUM</t>
        </is>
      </c>
      <c r="F786" t="n">
        <v>2</v>
      </c>
      <c r="G786" t="n">
        <v>2</v>
      </c>
      <c r="H786" t="inlineStr">
        <is>
          <t>MEDIUM</t>
        </is>
      </c>
      <c r="I786" t="n">
        <v>9</v>
      </c>
      <c r="J786" t="inlineStr">
        <is>
          <t>NO</t>
        </is>
      </c>
      <c r="K786" t="inlineStr">
        <is>
          <t>2026-02-23 23:48</t>
        </is>
      </c>
      <c r="L786" t="inlineStr">
        <is>
          <t>CHECK_VENDOR</t>
        </is>
      </c>
      <c r="M786" t="inlineStr">
        <is>
          <t>See CVE details</t>
        </is>
      </c>
      <c r="N786" t="inlineStr">
        <is>
          <t>P4</t>
        </is>
      </c>
      <c r="O786" t="inlineStr">
        <is>
          <t>CVE - IP enrichment n/a</t>
        </is>
      </c>
      <c r="P786" t="n">
        <v>0</v>
      </c>
      <c r="Q786" t="n">
        <v>0</v>
      </c>
      <c r="R786" t="inlineStr">
        <is>
          <t>T1190:Exploit Public-Facing Application</t>
        </is>
      </c>
      <c r="S786" t="n">
        <v>1</v>
      </c>
      <c r="T786" t="inlineStr">
        <is>
          <t>LOW (40%)</t>
        </is>
      </c>
      <c r="U786" t="inlineStr">
        <is>
          <t>UNLIKELY</t>
        </is>
      </c>
      <c r="V786" t="inlineStr">
        <is>
          <t>CHECK_VENDOR</t>
        </is>
      </c>
      <c r="W786" t="inlineStr">
        <is>
          <t>https://nvd.nist.gov/vuln/detail/CVE-2026-27322</t>
        </is>
      </c>
      <c r="X786" t="inlineStr">
        <is>
          <t>NONE</t>
        </is>
      </c>
      <c r="Y786" t="n">
        <v>0</v>
      </c>
      <c r="Z786" t="inlineStr"/>
      <c r="AA786" t="inlineStr">
        <is>
          <t>https://nvd.nist.gov/vuln/detail/CVE-2026-27322</t>
        </is>
      </c>
    </row>
    <row r="787">
      <c r="A787" t="inlineStr">
        <is>
          <t>CVE</t>
        </is>
      </c>
      <c r="B787" t="inlineStr">
        <is>
          <t>CVE-2026-27323</t>
        </is>
      </c>
      <c r="C787" t="inlineStr">
        <is>
          <t>Rejected reason: Not used</t>
        </is>
      </c>
      <c r="D787" t="n">
        <v>5</v>
      </c>
      <c r="E787" t="inlineStr">
        <is>
          <t>MEDIUM</t>
        </is>
      </c>
      <c r="F787" t="n">
        <v>2</v>
      </c>
      <c r="G787" t="n">
        <v>2</v>
      </c>
      <c r="H787" t="inlineStr">
        <is>
          <t>MEDIUM</t>
        </is>
      </c>
      <c r="I787" t="n">
        <v>9</v>
      </c>
      <c r="J787" t="inlineStr">
        <is>
          <t>NO</t>
        </is>
      </c>
      <c r="K787" t="inlineStr">
        <is>
          <t>2026-02-23 23:48</t>
        </is>
      </c>
      <c r="L787" t="inlineStr">
        <is>
          <t>CHECK_VENDOR</t>
        </is>
      </c>
      <c r="M787" t="inlineStr">
        <is>
          <t>See CVE details</t>
        </is>
      </c>
      <c r="N787" t="inlineStr">
        <is>
          <t>P4</t>
        </is>
      </c>
      <c r="O787" t="inlineStr">
        <is>
          <t>CVE - IP enrichment n/a</t>
        </is>
      </c>
      <c r="P787" t="n">
        <v>0</v>
      </c>
      <c r="Q787" t="n">
        <v>0</v>
      </c>
      <c r="R787" t="inlineStr">
        <is>
          <t>T1190:Exploit Public-Facing Application</t>
        </is>
      </c>
      <c r="S787" t="n">
        <v>1</v>
      </c>
      <c r="T787" t="inlineStr">
        <is>
          <t>LOW (40%)</t>
        </is>
      </c>
      <c r="U787" t="inlineStr">
        <is>
          <t>UNLIKELY</t>
        </is>
      </c>
      <c r="V787" t="inlineStr">
        <is>
          <t>CHECK_VENDOR</t>
        </is>
      </c>
      <c r="W787" t="inlineStr">
        <is>
          <t>https://nvd.nist.gov/vuln/detail/CVE-2026-27323</t>
        </is>
      </c>
      <c r="X787" t="inlineStr">
        <is>
          <t>NONE</t>
        </is>
      </c>
      <c r="Y787" t="n">
        <v>0</v>
      </c>
      <c r="Z787" t="inlineStr"/>
      <c r="AA787" t="inlineStr">
        <is>
          <t>https://nvd.nist.gov/vuln/detail/CVE-2026-27323</t>
        </is>
      </c>
    </row>
    <row r="788">
      <c r="A788" t="inlineStr">
        <is>
          <t>CVE</t>
        </is>
      </c>
      <c r="B788" t="inlineStr">
        <is>
          <t>CVE-2026-27324</t>
        </is>
      </c>
      <c r="C788" t="inlineStr">
        <is>
          <t>Rejected reason: Not used</t>
        </is>
      </c>
      <c r="D788" t="n">
        <v>5</v>
      </c>
      <c r="E788" t="inlineStr">
        <is>
          <t>MEDIUM</t>
        </is>
      </c>
      <c r="F788" t="n">
        <v>2</v>
      </c>
      <c r="G788" t="n">
        <v>2</v>
      </c>
      <c r="H788" t="inlineStr">
        <is>
          <t>MEDIUM</t>
        </is>
      </c>
      <c r="I788" t="n">
        <v>9</v>
      </c>
      <c r="J788" t="inlineStr">
        <is>
          <t>NO</t>
        </is>
      </c>
      <c r="K788" t="inlineStr">
        <is>
          <t>2026-02-23 23:48</t>
        </is>
      </c>
      <c r="L788" t="inlineStr">
        <is>
          <t>CHECK_VENDOR</t>
        </is>
      </c>
      <c r="M788" t="inlineStr">
        <is>
          <t>See CVE details</t>
        </is>
      </c>
      <c r="N788" t="inlineStr">
        <is>
          <t>P4</t>
        </is>
      </c>
      <c r="O788" t="inlineStr">
        <is>
          <t>CVE - IP enrichment n/a</t>
        </is>
      </c>
      <c r="P788" t="n">
        <v>0</v>
      </c>
      <c r="Q788" t="n">
        <v>0</v>
      </c>
      <c r="R788" t="inlineStr">
        <is>
          <t>T1190:Exploit Public-Facing Application</t>
        </is>
      </c>
      <c r="S788" t="n">
        <v>1</v>
      </c>
      <c r="T788" t="inlineStr">
        <is>
          <t>LOW (40%)</t>
        </is>
      </c>
      <c r="U788" t="inlineStr">
        <is>
          <t>UNLIKELY</t>
        </is>
      </c>
      <c r="V788" t="inlineStr">
        <is>
          <t>CHECK_VENDOR</t>
        </is>
      </c>
      <c r="W788" t="inlineStr">
        <is>
          <t>https://nvd.nist.gov/vuln/detail/CVE-2026-27324</t>
        </is>
      </c>
      <c r="X788" t="inlineStr">
        <is>
          <t>NONE</t>
        </is>
      </c>
      <c r="Y788" t="n">
        <v>0</v>
      </c>
      <c r="Z788" t="inlineStr"/>
      <c r="AA788" t="inlineStr">
        <is>
          <t>https://nvd.nist.gov/vuln/detail/CVE-2026-27324</t>
        </is>
      </c>
    </row>
    <row r="789">
      <c r="A789" t="inlineStr">
        <is>
          <t>CVE</t>
        </is>
      </c>
      <c r="B789" t="inlineStr">
        <is>
          <t>CVE-2026-27325</t>
        </is>
      </c>
      <c r="C789" t="inlineStr">
        <is>
          <t>Rejected reason: Not used</t>
        </is>
      </c>
      <c r="D789" t="n">
        <v>5</v>
      </c>
      <c r="E789" t="inlineStr">
        <is>
          <t>MEDIUM</t>
        </is>
      </c>
      <c r="F789" t="n">
        <v>2</v>
      </c>
      <c r="G789" t="n">
        <v>2</v>
      </c>
      <c r="H789" t="inlineStr">
        <is>
          <t>MEDIUM</t>
        </is>
      </c>
      <c r="I789" t="n">
        <v>9</v>
      </c>
      <c r="J789" t="inlineStr">
        <is>
          <t>NO</t>
        </is>
      </c>
      <c r="K789" t="inlineStr">
        <is>
          <t>2026-02-23 23:48</t>
        </is>
      </c>
      <c r="L789" t="inlineStr">
        <is>
          <t>CHECK_VENDOR</t>
        </is>
      </c>
      <c r="M789" t="inlineStr">
        <is>
          <t>See CVE details</t>
        </is>
      </c>
      <c r="N789" t="inlineStr">
        <is>
          <t>P4</t>
        </is>
      </c>
      <c r="O789" t="inlineStr">
        <is>
          <t>CVE - IP enrichment n/a</t>
        </is>
      </c>
      <c r="P789" t="n">
        <v>0</v>
      </c>
      <c r="Q789" t="n">
        <v>0</v>
      </c>
      <c r="R789" t="inlineStr">
        <is>
          <t>T1190:Exploit Public-Facing Application</t>
        </is>
      </c>
      <c r="S789" t="n">
        <v>1</v>
      </c>
      <c r="T789" t="inlineStr">
        <is>
          <t>LOW (40%)</t>
        </is>
      </c>
      <c r="U789" t="inlineStr">
        <is>
          <t>UNLIKELY</t>
        </is>
      </c>
      <c r="V789" t="inlineStr">
        <is>
          <t>CHECK_VENDOR</t>
        </is>
      </c>
      <c r="W789" t="inlineStr">
        <is>
          <t>https://nvd.nist.gov/vuln/detail/CVE-2026-27325</t>
        </is>
      </c>
      <c r="X789" t="inlineStr">
        <is>
          <t>NONE</t>
        </is>
      </c>
      <c r="Y789" t="n">
        <v>0</v>
      </c>
      <c r="Z789" t="inlineStr"/>
      <c r="AA789" t="inlineStr">
        <is>
          <t>https://nvd.nist.gov/vuln/detail/CVE-2026-27325</t>
        </is>
      </c>
    </row>
    <row r="790">
      <c r="A790" t="inlineStr">
        <is>
          <t>CVE</t>
        </is>
      </c>
      <c r="B790" t="inlineStr">
        <is>
          <t>CVE-2026-2739</t>
        </is>
      </c>
      <c r="C790" t="inlineStr">
        <is>
          <t>This affects versions of the package bn.js before 5.2.3. Calling maskn(0) on any BN instance corrupts the internal state, causing toString(), divmod(), and other methods to enter an infinite loop, hanging the process indefinitely.</t>
        </is>
      </c>
      <c r="D790" t="n">
        <v>5.3</v>
      </c>
      <c r="E790" t="inlineStr">
        <is>
          <t>MEDIUM</t>
        </is>
      </c>
      <c r="F790" t="n">
        <v>2</v>
      </c>
      <c r="G790" t="n">
        <v>2</v>
      </c>
      <c r="H790" t="inlineStr">
        <is>
          <t>MEDIUM</t>
        </is>
      </c>
      <c r="I790" t="n">
        <v>9.300000000000001</v>
      </c>
      <c r="J790" t="inlineStr">
        <is>
          <t>NO</t>
        </is>
      </c>
      <c r="K790" t="inlineStr">
        <is>
          <t>2026-02-23 23:48</t>
        </is>
      </c>
      <c r="L790" t="inlineStr">
        <is>
          <t>CHECK_VENDOR</t>
        </is>
      </c>
      <c r="M790" t="inlineStr">
        <is>
          <t>See CVE details</t>
        </is>
      </c>
      <c r="N790" t="inlineStr">
        <is>
          <t>P3</t>
        </is>
      </c>
      <c r="O790" t="inlineStr">
        <is>
          <t>CVE - IP enrichment n/a</t>
        </is>
      </c>
      <c r="P790" t="n">
        <v>0</v>
      </c>
      <c r="Q790" t="n">
        <v>0</v>
      </c>
      <c r="R790" t="inlineStr">
        <is>
          <t>T1190:Exploit Public-Facing Application</t>
        </is>
      </c>
      <c r="S790" t="n">
        <v>2</v>
      </c>
      <c r="T790" t="inlineStr">
        <is>
          <t>MEDIUM (52%)</t>
        </is>
      </c>
      <c r="U790" t="inlineStr">
        <is>
          <t>UNLIKELY</t>
        </is>
      </c>
      <c r="V790" t="inlineStr">
        <is>
          <t>CHECK_VENDOR</t>
        </is>
      </c>
      <c r="W790" t="inlineStr">
        <is>
          <t>https://nvd.nist.gov/vuln/detail/CVE-2026-2739</t>
        </is>
      </c>
      <c r="X790" t="inlineStr">
        <is>
          <t>NONE</t>
        </is>
      </c>
      <c r="Y790" t="n">
        <v>0</v>
      </c>
      <c r="Z790" t="inlineStr"/>
      <c r="AA790" t="inlineStr">
        <is>
          <t>https://nvd.nist.gov/vuln/detail/CVE-2026-2739</t>
        </is>
      </c>
    </row>
    <row r="791">
      <c r="A791" t="inlineStr">
        <is>
          <t>CVE</t>
        </is>
      </c>
      <c r="B791" t="inlineStr">
        <is>
          <t>CVE-2026-2822</t>
        </is>
      </c>
      <c r="C791" t="inlineStr">
        <is>
          <t>A security vulnerability has been detected in JeecgBoot up to 3.9.1. The affected element is an unknown function of the file /jeecgboot/sys/dict/loadDict/airag_app,1,create_by of the component Backend Interface. Such manipulation of the argument keyword leads to sql injection. The attack can be executed remotely. The exploit has been disclosed publicly and may be used.</t>
        </is>
      </c>
      <c r="D791" t="n">
        <v>6.3</v>
      </c>
      <c r="E791" t="inlineStr">
        <is>
          <t>MEDIUM</t>
        </is>
      </c>
      <c r="F791" t="n">
        <v>2</v>
      </c>
      <c r="G791" t="n">
        <v>2</v>
      </c>
      <c r="H791" t="inlineStr">
        <is>
          <t>MEDIUM</t>
        </is>
      </c>
      <c r="I791" t="n">
        <v>10.3</v>
      </c>
      <c r="J791" t="inlineStr">
        <is>
          <t>NO</t>
        </is>
      </c>
      <c r="K791" t="inlineStr">
        <is>
          <t>2026-02-23 23:48</t>
        </is>
      </c>
      <c r="L791" t="inlineStr">
        <is>
          <t>CHECK_VENDOR</t>
        </is>
      </c>
      <c r="M791" t="inlineStr">
        <is>
          <t>See CVE details</t>
        </is>
      </c>
      <c r="N791" t="inlineStr">
        <is>
          <t>P4</t>
        </is>
      </c>
      <c r="O791" t="inlineStr">
        <is>
          <t>CVE - IP enrichment n/a</t>
        </is>
      </c>
      <c r="P791" t="n">
        <v>0</v>
      </c>
      <c r="Q791" t="n">
        <v>0</v>
      </c>
      <c r="R791" t="inlineStr">
        <is>
          <t>T1190:Exploit Public-Facing Application</t>
        </is>
      </c>
      <c r="S791" t="n">
        <v>1</v>
      </c>
      <c r="T791" t="inlineStr">
        <is>
          <t>LOW (40%)</t>
        </is>
      </c>
      <c r="U791" t="inlineStr">
        <is>
          <t>UNLIKELY</t>
        </is>
      </c>
      <c r="V791" t="inlineStr">
        <is>
          <t>CHECK_VENDOR</t>
        </is>
      </c>
      <c r="W791" t="inlineStr">
        <is>
          <t>https://nvd.nist.gov/vuln/detail/CVE-2026-2822</t>
        </is>
      </c>
      <c r="X791" t="inlineStr">
        <is>
          <t>NONE</t>
        </is>
      </c>
      <c r="Y791" t="n">
        <v>0</v>
      </c>
      <c r="Z791" t="inlineStr"/>
      <c r="AA791" t="inlineStr">
        <is>
          <t>https://nvd.nist.gov/vuln/detail/CVE-2026-2822</t>
        </is>
      </c>
    </row>
    <row r="792">
      <c r="A792" t="inlineStr">
        <is>
          <t>CVE</t>
        </is>
      </c>
      <c r="B792" t="inlineStr">
        <is>
          <t>CVE-2026-2823</t>
        </is>
      </c>
      <c r="C792" t="inlineStr">
        <is>
          <t>A vulnerability was detected in Comfast CF-E7 2.6.0.9. The impacted element is the function sub_41ACCC of the file /cgi-bin/mbox-config?method=SET&amp;section=ntp_timezone of the component webmggnt. Performing a manipulation of the argument timestr results in command injection. The attack is possible to be carried out remotely. The exploit is now public and may be used. The vendor was contacted early about this disclosure but did not respond in any way.</t>
        </is>
      </c>
      <c r="D792" t="n">
        <v>6.3</v>
      </c>
      <c r="E792" t="inlineStr">
        <is>
          <t>MEDIUM</t>
        </is>
      </c>
      <c r="F792" t="n">
        <v>2</v>
      </c>
      <c r="G792" t="n">
        <v>2</v>
      </c>
      <c r="H792" t="inlineStr">
        <is>
          <t>MEDIUM</t>
        </is>
      </c>
      <c r="I792" t="n">
        <v>10.3</v>
      </c>
      <c r="J792" t="inlineStr">
        <is>
          <t>NO</t>
        </is>
      </c>
      <c r="K792" t="inlineStr">
        <is>
          <t>2026-02-23 23:48</t>
        </is>
      </c>
      <c r="L792" t="inlineStr">
        <is>
          <t>CHECK_VENDOR</t>
        </is>
      </c>
      <c r="M792" t="inlineStr">
        <is>
          <t>comfast cf-e7 - | comfast cf-e7_firmware 2.6.0.9</t>
        </is>
      </c>
      <c r="N792" t="inlineStr">
        <is>
          <t>P4</t>
        </is>
      </c>
      <c r="O792" t="inlineStr">
        <is>
          <t>CVE - IP enrichment n/a</t>
        </is>
      </c>
      <c r="P792" t="n">
        <v>0</v>
      </c>
      <c r="Q792" t="n">
        <v>0</v>
      </c>
      <c r="R792" t="inlineStr">
        <is>
          <t>T1059:Command and Scripting Interpreter</t>
        </is>
      </c>
      <c r="S792" t="n">
        <v>1</v>
      </c>
      <c r="T792" t="inlineStr">
        <is>
          <t>LOW (40%)</t>
        </is>
      </c>
      <c r="U792" t="inlineStr">
        <is>
          <t>UNLIKELY</t>
        </is>
      </c>
      <c r="V792" t="inlineStr">
        <is>
          <t>CHECK_VENDOR</t>
        </is>
      </c>
      <c r="W792" t="inlineStr">
        <is>
          <t>https://nvd.nist.gov/vuln/detail/CVE-2026-2823</t>
        </is>
      </c>
      <c r="X792" t="inlineStr">
        <is>
          <t>NONE</t>
        </is>
      </c>
      <c r="Y792" t="n">
        <v>0</v>
      </c>
      <c r="Z792" t="inlineStr"/>
      <c r="AA792" t="inlineStr">
        <is>
          <t>https://nvd.nist.gov/vuln/detail/CVE-2026-2823</t>
        </is>
      </c>
    </row>
    <row r="793">
      <c r="A793" t="inlineStr">
        <is>
          <t>CVE</t>
        </is>
      </c>
      <c r="B793" t="inlineStr">
        <is>
          <t>CVE-2026-2824</t>
        </is>
      </c>
      <c r="C793" t="inlineStr">
        <is>
          <t>A flaw has been found in Comfast CF-E7 2.6.0.9. This affects the function sub_441CF4 of the file /cgi-bin/mbox-config?method=SET&amp;section=ping_config of the component webmggnt. Executing a manipulation of the argument destination can lead to command injection. The attack may be performed from remote. The exploit has been published and may be used. The vendor was contacted early about this disclosure but did not respond in any way.</t>
        </is>
      </c>
      <c r="D793" t="n">
        <v>6.3</v>
      </c>
      <c r="E793" t="inlineStr">
        <is>
          <t>MEDIUM</t>
        </is>
      </c>
      <c r="F793" t="n">
        <v>2</v>
      </c>
      <c r="G793" t="n">
        <v>2</v>
      </c>
      <c r="H793" t="inlineStr">
        <is>
          <t>MEDIUM</t>
        </is>
      </c>
      <c r="I793" t="n">
        <v>10.3</v>
      </c>
      <c r="J793" t="inlineStr">
        <is>
          <t>NO</t>
        </is>
      </c>
      <c r="K793" t="inlineStr">
        <is>
          <t>2026-02-23 23:48</t>
        </is>
      </c>
      <c r="L793" t="inlineStr">
        <is>
          <t>CHECK_VENDOR</t>
        </is>
      </c>
      <c r="M793" t="inlineStr">
        <is>
          <t>comfast cf-e7 - | comfast cf-e7_firmware 2.6.0.9</t>
        </is>
      </c>
      <c r="N793" t="inlineStr">
        <is>
          <t>P4</t>
        </is>
      </c>
      <c r="O793" t="inlineStr">
        <is>
          <t>CVE - IP enrichment n/a</t>
        </is>
      </c>
      <c r="P793" t="n">
        <v>0</v>
      </c>
      <c r="Q793" t="n">
        <v>0</v>
      </c>
      <c r="R793" t="inlineStr">
        <is>
          <t>T1059:Command and Scripting Interpreter</t>
        </is>
      </c>
      <c r="S793" t="n">
        <v>1</v>
      </c>
      <c r="T793" t="inlineStr">
        <is>
          <t>LOW (40%)</t>
        </is>
      </c>
      <c r="U793" t="inlineStr">
        <is>
          <t>UNLIKELY</t>
        </is>
      </c>
      <c r="V793" t="inlineStr">
        <is>
          <t>CHECK_VENDOR</t>
        </is>
      </c>
      <c r="W793" t="inlineStr">
        <is>
          <t>https://nvd.nist.gov/vuln/detail/CVE-2026-2824</t>
        </is>
      </c>
      <c r="X793" t="inlineStr">
        <is>
          <t>NONE</t>
        </is>
      </c>
      <c r="Y793" t="n">
        <v>0</v>
      </c>
      <c r="Z793" t="inlineStr"/>
      <c r="AA793" t="inlineStr">
        <is>
          <t>https://nvd.nist.gov/vuln/detail/CVE-2026-2824</t>
        </is>
      </c>
    </row>
    <row r="794">
      <c r="A794" t="inlineStr">
        <is>
          <t>CVE</t>
        </is>
      </c>
      <c r="B794" t="inlineStr">
        <is>
          <t>CVE-2026-2825</t>
        </is>
      </c>
      <c r="C794" t="inlineStr">
        <is>
          <t>A vulnerability has been found in rachelos WeRSS we-mp-rss up to 1.4.8. This impacts the function fix_html of the file tools/fix.py of the component Article Module. The manipulation leads to cross site scripting. It is possible to initiate the attack remotely. The exploit has been disclosed to the public and may be used.</t>
        </is>
      </c>
      <c r="D794" t="n">
        <v>3.5</v>
      </c>
      <c r="E794" t="inlineStr">
        <is>
          <t>LOW</t>
        </is>
      </c>
      <c r="F794" t="n">
        <v>2</v>
      </c>
      <c r="G794" t="n">
        <v>1</v>
      </c>
      <c r="H794" t="inlineStr">
        <is>
          <t>LOW</t>
        </is>
      </c>
      <c r="I794" t="n">
        <v>5.5</v>
      </c>
      <c r="J794" t="inlineStr">
        <is>
          <t>NO</t>
        </is>
      </c>
      <c r="K794" t="inlineStr">
        <is>
          <t>2026-02-23 23:48</t>
        </is>
      </c>
      <c r="L794" t="inlineStr">
        <is>
          <t>CHECK_VENDOR</t>
        </is>
      </c>
      <c r="M794" t="inlineStr">
        <is>
          <t>See CVE details</t>
        </is>
      </c>
      <c r="N794" t="inlineStr">
        <is>
          <t>P4</t>
        </is>
      </c>
      <c r="O794" t="inlineStr">
        <is>
          <t>CVE - IP enrichment n/a</t>
        </is>
      </c>
      <c r="P794" t="n">
        <v>0.0003</v>
      </c>
      <c r="Q794" t="n">
        <v>0.081</v>
      </c>
      <c r="R794" t="inlineStr">
        <is>
          <t>T1189:Drive-by Compromise</t>
        </is>
      </c>
      <c r="S794" t="n">
        <v>1</v>
      </c>
      <c r="T794" t="inlineStr">
        <is>
          <t>LOW (40%)</t>
        </is>
      </c>
      <c r="U794" t="inlineStr">
        <is>
          <t>UNLIKELY</t>
        </is>
      </c>
      <c r="V794" t="inlineStr">
        <is>
          <t>CHECK_VENDOR</t>
        </is>
      </c>
      <c r="W794" t="inlineStr">
        <is>
          <t>https://nvd.nist.gov/vuln/detail/CVE-2026-2825</t>
        </is>
      </c>
      <c r="X794" t="inlineStr">
        <is>
          <t>NONE</t>
        </is>
      </c>
      <c r="Y794" t="n">
        <v>0</v>
      </c>
      <c r="Z794" t="inlineStr"/>
      <c r="AA794" t="inlineStr">
        <is>
          <t>https://nvd.nist.gov/vuln/detail/CVE-2026-2825</t>
        </is>
      </c>
    </row>
    <row r="795">
      <c r="A795" t="inlineStr">
        <is>
          <t>CVE</t>
        </is>
      </c>
      <c r="B795" t="inlineStr">
        <is>
          <t>CVE-2025-59819</t>
        </is>
      </c>
      <c r="C795" t="inlineStr">
        <is>
          <t>This vulnerability allows authenticated attackers to read an arbitrary file by changing a filepath parameter into an internal system path.</t>
        </is>
      </c>
      <c r="D795" t="n">
        <v>6.5</v>
      </c>
      <c r="E795" t="inlineStr">
        <is>
          <t>MEDIUM</t>
        </is>
      </c>
      <c r="F795" t="n">
        <v>2</v>
      </c>
      <c r="G795" t="n">
        <v>2</v>
      </c>
      <c r="H795" t="inlineStr">
        <is>
          <t>MEDIUM</t>
        </is>
      </c>
      <c r="I795" t="n">
        <v>10.5</v>
      </c>
      <c r="J795" t="inlineStr">
        <is>
          <t>NO</t>
        </is>
      </c>
      <c r="K795" t="inlineStr">
        <is>
          <t>2026-02-23 23:48</t>
        </is>
      </c>
      <c r="L795" t="inlineStr">
        <is>
          <t>CHECK_VENDOR</t>
        </is>
      </c>
      <c r="M795" t="inlineStr">
        <is>
          <t>See CVE details</t>
        </is>
      </c>
      <c r="N795" t="inlineStr">
        <is>
          <t>P4</t>
        </is>
      </c>
      <c r="O795" t="inlineStr">
        <is>
          <t>CVE - IP enrichment n/a</t>
        </is>
      </c>
      <c r="P795" t="n">
        <v>0</v>
      </c>
      <c r="Q795" t="n">
        <v>0</v>
      </c>
      <c r="R795" t="inlineStr">
        <is>
          <t>T1083:File and Directory Discovery</t>
        </is>
      </c>
      <c r="S795" t="n">
        <v>1</v>
      </c>
      <c r="T795" t="inlineStr">
        <is>
          <t>LOW (40%)</t>
        </is>
      </c>
      <c r="U795" t="inlineStr">
        <is>
          <t>UNLIKELY</t>
        </is>
      </c>
      <c r="V795" t="inlineStr">
        <is>
          <t>CHECK_VENDOR</t>
        </is>
      </c>
      <c r="W795" t="inlineStr">
        <is>
          <t>https://nvd.nist.gov/vuln/detail/CVE-2025-59819</t>
        </is>
      </c>
      <c r="X795" t="inlineStr">
        <is>
          <t>NONE</t>
        </is>
      </c>
      <c r="Y795" t="n">
        <v>0</v>
      </c>
      <c r="Z795" t="inlineStr"/>
      <c r="AA795" t="inlineStr">
        <is>
          <t>https://nvd.nist.gov/vuln/detail/CVE-2025-59819</t>
        </is>
      </c>
    </row>
    <row r="796">
      <c r="A796" t="inlineStr">
        <is>
          <t>CVE</t>
        </is>
      </c>
      <c r="B796" t="inlineStr">
        <is>
          <t>CVE-2026-26370</t>
        </is>
      </c>
      <c r="C796" t="inlineStr">
        <is>
          <t>WordPress Plugin "Survey Maker" versions 5.1.7.7 and prior contain a cross-site scripting vulnerability. If this vulnerability is exploited, an arbitrary script may be executed in the user's web browser.</t>
        </is>
      </c>
      <c r="D796" t="n">
        <v>6.1</v>
      </c>
      <c r="E796" t="inlineStr">
        <is>
          <t>MEDIUM</t>
        </is>
      </c>
      <c r="F796" t="n">
        <v>2</v>
      </c>
      <c r="G796" t="n">
        <v>2</v>
      </c>
      <c r="H796" t="inlineStr">
        <is>
          <t>MEDIUM</t>
        </is>
      </c>
      <c r="I796" t="n">
        <v>10.1</v>
      </c>
      <c r="J796" t="inlineStr">
        <is>
          <t>NO</t>
        </is>
      </c>
      <c r="K796" t="inlineStr">
        <is>
          <t>2026-02-23 23:48</t>
        </is>
      </c>
      <c r="L796" t="inlineStr">
        <is>
          <t>CHECK_VENDOR</t>
        </is>
      </c>
      <c r="M796" t="inlineStr">
        <is>
          <t>See CVE details</t>
        </is>
      </c>
      <c r="N796" t="inlineStr">
        <is>
          <t>P4</t>
        </is>
      </c>
      <c r="O796" t="inlineStr">
        <is>
          <t>CVE - IP enrichment n/a</t>
        </is>
      </c>
      <c r="P796" t="n">
        <v>0</v>
      </c>
      <c r="Q796" t="n">
        <v>0</v>
      </c>
      <c r="R796" t="inlineStr">
        <is>
          <t>T1189:Drive-by Compromise</t>
        </is>
      </c>
      <c r="S796" t="n">
        <v>1</v>
      </c>
      <c r="T796" t="inlineStr">
        <is>
          <t>LOW (40%)</t>
        </is>
      </c>
      <c r="U796" t="inlineStr">
        <is>
          <t>UNLIKELY</t>
        </is>
      </c>
      <c r="V796" t="inlineStr">
        <is>
          <t>CHECK_VENDOR</t>
        </is>
      </c>
      <c r="W796" t="inlineStr">
        <is>
          <t>https://nvd.nist.gov/vuln/detail/CVE-2026-26370</t>
        </is>
      </c>
      <c r="X796" t="inlineStr">
        <is>
          <t>NONE</t>
        </is>
      </c>
      <c r="Y796" t="n">
        <v>0</v>
      </c>
      <c r="Z796" t="inlineStr"/>
      <c r="AA796" t="inlineStr">
        <is>
          <t>https://nvd.nist.gov/vuln/detail/CVE-2026-26370</t>
        </is>
      </c>
    </row>
    <row r="797">
      <c r="A797" t="inlineStr">
        <is>
          <t>CVE</t>
        </is>
      </c>
      <c r="B797" t="inlineStr">
        <is>
          <t>CVE-2026-26050</t>
        </is>
      </c>
      <c r="C797" t="inlineStr">
        <is>
          <t>The installer for ジョブログ集計/分析ソフトウェア RICOHジョブログ集計ツール versions prior to Ver.1.3.7 contains an issue with the DLL search path, which may lead to insecurely loading Dynamic Link Libraries. As a result, arbitrary code may be executed with administrative privileges.</t>
        </is>
      </c>
      <c r="D797" t="n">
        <v>7.8</v>
      </c>
      <c r="E797" t="inlineStr">
        <is>
          <t>HIGH</t>
        </is>
      </c>
      <c r="F797" t="n">
        <v>2</v>
      </c>
      <c r="G797" t="n">
        <v>3</v>
      </c>
      <c r="H797" t="inlineStr">
        <is>
          <t>HIGH</t>
        </is>
      </c>
      <c r="I797" t="n">
        <v>13.8</v>
      </c>
      <c r="J797" t="inlineStr">
        <is>
          <t>NO</t>
        </is>
      </c>
      <c r="K797" t="inlineStr">
        <is>
          <t>2026-02-23 23:48</t>
        </is>
      </c>
      <c r="L797" t="inlineStr">
        <is>
          <t>CHECK_VENDOR</t>
        </is>
      </c>
      <c r="M797" t="inlineStr">
        <is>
          <t>See CVE details</t>
        </is>
      </c>
      <c r="N797" t="inlineStr">
        <is>
          <t>P3</t>
        </is>
      </c>
      <c r="O797" t="inlineStr">
        <is>
          <t>CVE - IP enrichment n/a</t>
        </is>
      </c>
      <c r="P797" t="n">
        <v>0</v>
      </c>
      <c r="Q797" t="n">
        <v>0</v>
      </c>
      <c r="R797" t="inlineStr">
        <is>
          <t>T1203:Exploitation for Client Execution</t>
        </is>
      </c>
      <c r="S797" t="n">
        <v>1</v>
      </c>
      <c r="T797" t="inlineStr">
        <is>
          <t>LOW (40%)</t>
        </is>
      </c>
      <c r="U797" t="inlineStr">
        <is>
          <t>UNLIKELY</t>
        </is>
      </c>
      <c r="V797" t="inlineStr">
        <is>
          <t>CHECK_VENDOR</t>
        </is>
      </c>
      <c r="W797" t="inlineStr">
        <is>
          <t>https://nvd.nist.gov/vuln/detail/CVE-2026-26050</t>
        </is>
      </c>
      <c r="X797" t="inlineStr">
        <is>
          <t>NONE</t>
        </is>
      </c>
      <c r="Y797" t="n">
        <v>0</v>
      </c>
      <c r="Z797" t="inlineStr"/>
      <c r="AA797" t="inlineStr">
        <is>
          <t>https://nvd.nist.gov/vuln/detail/CVE-2026-26050</t>
        </is>
      </c>
    </row>
    <row r="798">
      <c r="A798" t="inlineStr">
        <is>
          <t>CVE</t>
        </is>
      </c>
      <c r="B798" t="inlineStr">
        <is>
          <t>CVE-2026-21620</t>
        </is>
      </c>
      <c r="C798" t="inlineStr">
        <is>
          <t>Relative Path Traversal, Improper Isolation or Compartmentalization vulnerability in erlang otp erlang/otp (tftp_file modules), erlang otp inets (tftp_file modules), erlang otp tftp (tftp_file modules) allows Relative Path Traversal. This vulnerability is associated with program files lib/tftp/src/tftp_file.erl, src/tftp_file.erl.
This issue affects otp: from 17.0, from 07b8f441ca711f9812fad9e9115bab3c3aa92f79; otp: from 5.10 before 7.0; otp: from 1.0.</t>
        </is>
      </c>
      <c r="D798" t="n">
        <v>5</v>
      </c>
      <c r="E798" t="inlineStr">
        <is>
          <t>MEDIUM</t>
        </is>
      </c>
      <c r="F798" t="n">
        <v>2</v>
      </c>
      <c r="G798" t="n">
        <v>2</v>
      </c>
      <c r="H798" t="inlineStr">
        <is>
          <t>MEDIUM</t>
        </is>
      </c>
      <c r="I798" t="n">
        <v>9</v>
      </c>
      <c r="J798" t="inlineStr">
        <is>
          <t>NO</t>
        </is>
      </c>
      <c r="K798" t="inlineStr">
        <is>
          <t>2026-02-23 23:48</t>
        </is>
      </c>
      <c r="L798" t="inlineStr">
        <is>
          <t>CHECK_VENDOR</t>
        </is>
      </c>
      <c r="M798" t="inlineStr">
        <is>
          <t>See CVE details</t>
        </is>
      </c>
      <c r="N798" t="inlineStr">
        <is>
          <t>P3</t>
        </is>
      </c>
      <c r="O798" t="inlineStr">
        <is>
          <t>CVE - IP enrichment n/a</t>
        </is>
      </c>
      <c r="P798" t="n">
        <v>0</v>
      </c>
      <c r="Q798" t="n">
        <v>0</v>
      </c>
      <c r="R798" t="inlineStr">
        <is>
          <t>T1083:File and Directory Discovery</t>
        </is>
      </c>
      <c r="S798" t="n">
        <v>2</v>
      </c>
      <c r="T798" t="inlineStr">
        <is>
          <t>MEDIUM (52%)</t>
        </is>
      </c>
      <c r="U798" t="inlineStr">
        <is>
          <t>UNLIKELY</t>
        </is>
      </c>
      <c r="V798" t="inlineStr">
        <is>
          <t>CHECK_VENDOR</t>
        </is>
      </c>
      <c r="W798" t="inlineStr">
        <is>
          <t>https://nvd.nist.gov/vuln/detail/CVE-2026-21620</t>
        </is>
      </c>
      <c r="X798" t="inlineStr">
        <is>
          <t>NONE</t>
        </is>
      </c>
      <c r="Y798" t="n">
        <v>0</v>
      </c>
      <c r="Z798" t="inlineStr"/>
      <c r="AA798" t="inlineStr">
        <is>
          <t>https://nvd.nist.gov/vuln/detail/CVE-2026-21620</t>
        </is>
      </c>
    </row>
    <row r="799">
      <c r="A799" t="inlineStr">
        <is>
          <t>CVE</t>
        </is>
      </c>
      <c r="B799" t="inlineStr">
        <is>
          <t>CVE-2025-10970</t>
        </is>
      </c>
      <c r="C799" t="inlineStr">
        <is>
          <t>Improper Neutralization of Special Elements used in an SQL Command ('SQL Injection') vulnerability in Kolay Software Inc. Talentics allows Blind SQL Injection.This issue affects Talentics: through 20022026.
NOTE: The vendor was contacted early about this disclosure but did not respond in any way.</t>
        </is>
      </c>
      <c r="D799" t="n">
        <v>9.800000000000001</v>
      </c>
      <c r="E799" t="inlineStr">
        <is>
          <t>CRITICAL</t>
        </is>
      </c>
      <c r="F799" t="n">
        <v>2</v>
      </c>
      <c r="G799" t="n">
        <v>3</v>
      </c>
      <c r="H799" t="inlineStr">
        <is>
          <t>HIGH</t>
        </is>
      </c>
      <c r="I799" t="n">
        <v>15.8</v>
      </c>
      <c r="J799" t="inlineStr">
        <is>
          <t>NO</t>
        </is>
      </c>
      <c r="K799" t="inlineStr">
        <is>
          <t>2026-02-23 23:48</t>
        </is>
      </c>
      <c r="L799" t="inlineStr">
        <is>
          <t>CHECK_VENDOR</t>
        </is>
      </c>
      <c r="M799" t="inlineStr">
        <is>
          <t>See CVE details</t>
        </is>
      </c>
      <c r="N799" t="inlineStr">
        <is>
          <t>P3</t>
        </is>
      </c>
      <c r="O799" t="inlineStr">
        <is>
          <t>CVE - IP enrichment n/a</t>
        </is>
      </c>
      <c r="P799" t="n">
        <v>0</v>
      </c>
      <c r="Q799" t="n">
        <v>0</v>
      </c>
      <c r="R799" t="inlineStr">
        <is>
          <t>T1190:Exploit Public-Facing Application</t>
        </is>
      </c>
      <c r="S799" t="n">
        <v>1</v>
      </c>
      <c r="T799" t="inlineStr">
        <is>
          <t>LOW (40%)</t>
        </is>
      </c>
      <c r="U799" t="inlineStr">
        <is>
          <t>UNLIKELY</t>
        </is>
      </c>
      <c r="V799" t="inlineStr">
        <is>
          <t>CHECK_VENDOR</t>
        </is>
      </c>
      <c r="W799" t="inlineStr">
        <is>
          <t>https://nvd.nist.gov/vuln/detail/CVE-2025-10970</t>
        </is>
      </c>
      <c r="X799" t="inlineStr">
        <is>
          <t>NONE</t>
        </is>
      </c>
      <c r="Y799" t="n">
        <v>0</v>
      </c>
      <c r="Z799" t="inlineStr"/>
      <c r="AA799" t="inlineStr">
        <is>
          <t>https://nvd.nist.gov/vuln/detail/CVE-2025-10970</t>
        </is>
      </c>
    </row>
    <row r="800">
      <c r="A800" t="inlineStr">
        <is>
          <t>CVE</t>
        </is>
      </c>
      <c r="B800" t="inlineStr">
        <is>
          <t>CVE-2026-2486</t>
        </is>
      </c>
      <c r="C800" t="inlineStr">
        <is>
          <t>The Master Addons For Elementor plugin for WordPress is vulnerable to Stored Cross-Site Scripting via the 'ma_el_bh_table_btn_text' parameter in versions up to, and including, 2.1.1 due to insufficient input sanitization and output escaping. This makes it possible for authenticated attackers, with contributor-level access and above, to inject arbitrary web scripts in pages that will execute whenever a user accesses an injected page.</t>
        </is>
      </c>
      <c r="D800" t="n">
        <v>6.4</v>
      </c>
      <c r="E800" t="inlineStr">
        <is>
          <t>MEDIUM</t>
        </is>
      </c>
      <c r="F800" t="n">
        <v>2</v>
      </c>
      <c r="G800" t="n">
        <v>2</v>
      </c>
      <c r="H800" t="inlineStr">
        <is>
          <t>MEDIUM</t>
        </is>
      </c>
      <c r="I800" t="n">
        <v>10.4</v>
      </c>
      <c r="J800" t="inlineStr">
        <is>
          <t>NO</t>
        </is>
      </c>
      <c r="K800" t="inlineStr">
        <is>
          <t>2026-02-23 23:48</t>
        </is>
      </c>
      <c r="L800" t="inlineStr">
        <is>
          <t>CHECK_VENDOR</t>
        </is>
      </c>
      <c r="M800" t="inlineStr">
        <is>
          <t>See CVE details</t>
        </is>
      </c>
      <c r="N800" t="inlineStr">
        <is>
          <t>P4</t>
        </is>
      </c>
      <c r="O800" t="inlineStr">
        <is>
          <t>CVE - IP enrichment n/a</t>
        </is>
      </c>
      <c r="P800" t="n">
        <v>0</v>
      </c>
      <c r="Q800" t="n">
        <v>0</v>
      </c>
      <c r="R800" t="inlineStr">
        <is>
          <t>T1189:Drive-by Compromise</t>
        </is>
      </c>
      <c r="S800" t="n">
        <v>1</v>
      </c>
      <c r="T800" t="inlineStr">
        <is>
          <t>LOW (40%)</t>
        </is>
      </c>
      <c r="U800" t="inlineStr">
        <is>
          <t>UNLIKELY</t>
        </is>
      </c>
      <c r="V800" t="inlineStr">
        <is>
          <t>CHECK_VENDOR</t>
        </is>
      </c>
      <c r="W800" t="inlineStr">
        <is>
          <t>https://nvd.nist.gov/vuln/detail/CVE-2026-2486</t>
        </is>
      </c>
      <c r="X800" t="inlineStr">
        <is>
          <t>NONE</t>
        </is>
      </c>
      <c r="Y800" t="n">
        <v>0</v>
      </c>
      <c r="Z800" t="inlineStr"/>
      <c r="AA800" t="inlineStr">
        <is>
          <t>https://nvd.nist.gov/vuln/detail/CVE-2026-2486</t>
        </is>
      </c>
    </row>
    <row r="801">
      <c r="A801" t="inlineStr">
        <is>
          <t>CVE</t>
        </is>
      </c>
      <c r="B801" t="inlineStr">
        <is>
          <t>CVE-2025-14055</t>
        </is>
      </c>
      <c r="C801" t="inlineStr">
        <is>
          <t>An integer underflow vulnerability in Silicon Labs Secure NCP host implementation allows a buffer overread via a specially crafted packet.</t>
        </is>
      </c>
      <c r="D801" t="n">
        <v>5</v>
      </c>
      <c r="E801" t="inlineStr">
        <is>
          <t>MEDIUM</t>
        </is>
      </c>
      <c r="F801" t="n">
        <v>2</v>
      </c>
      <c r="G801" t="n">
        <v>2</v>
      </c>
      <c r="H801" t="inlineStr">
        <is>
          <t>MEDIUM</t>
        </is>
      </c>
      <c r="I801" t="n">
        <v>9</v>
      </c>
      <c r="J801" t="inlineStr">
        <is>
          <t>NO</t>
        </is>
      </c>
      <c r="K801" t="inlineStr">
        <is>
          <t>2026-02-23 23:48</t>
        </is>
      </c>
      <c r="L801" t="inlineStr">
        <is>
          <t>CHECK_VENDOR</t>
        </is>
      </c>
      <c r="M801" t="inlineStr">
        <is>
          <t>See CVE details</t>
        </is>
      </c>
      <c r="N801" t="inlineStr">
        <is>
          <t>P4</t>
        </is>
      </c>
      <c r="O801" t="inlineStr">
        <is>
          <t>CVE - IP enrichment n/a</t>
        </is>
      </c>
      <c r="P801" t="n">
        <v>0</v>
      </c>
      <c r="Q801" t="n">
        <v>0</v>
      </c>
      <c r="R801" t="inlineStr">
        <is>
          <t>T1203:Exploitation for Client Execution</t>
        </is>
      </c>
      <c r="S801" t="n">
        <v>1</v>
      </c>
      <c r="T801" t="inlineStr">
        <is>
          <t>LOW (40%)</t>
        </is>
      </c>
      <c r="U801" t="inlineStr">
        <is>
          <t>UNLIKELY</t>
        </is>
      </c>
      <c r="V801" t="inlineStr">
        <is>
          <t>CHECK_VENDOR</t>
        </is>
      </c>
      <c r="W801" t="inlineStr">
        <is>
          <t>https://nvd.nist.gov/vuln/detail/CVE-2025-14055</t>
        </is>
      </c>
      <c r="X801" t="inlineStr">
        <is>
          <t>NONE</t>
        </is>
      </c>
      <c r="Y801" t="n">
        <v>0</v>
      </c>
      <c r="Z801" t="inlineStr"/>
      <c r="AA801" t="inlineStr">
        <is>
          <t>https://nvd.nist.gov/vuln/detail/CVE-2025-14055</t>
        </is>
      </c>
    </row>
    <row r="802">
      <c r="A802" t="inlineStr">
        <is>
          <t>CVE</t>
        </is>
      </c>
      <c r="B802" t="inlineStr">
        <is>
          <t>CVE-2025-14547</t>
        </is>
      </c>
      <c r="C802" t="inlineStr">
        <is>
          <t>An integer underflow vulnerability is present in Silicon Lab’s implementation of PSA Crypto and SE Manager EC-JPAKE APIs during ZKP parsing. Triggering the underflow can lead to a hard fault, causing a temporary denial of service.</t>
        </is>
      </c>
      <c r="D802" t="n">
        <v>5</v>
      </c>
      <c r="E802" t="inlineStr">
        <is>
          <t>MEDIUM</t>
        </is>
      </c>
      <c r="F802" t="n">
        <v>2</v>
      </c>
      <c r="G802" t="n">
        <v>2</v>
      </c>
      <c r="H802" t="inlineStr">
        <is>
          <t>MEDIUM</t>
        </is>
      </c>
      <c r="I802" t="n">
        <v>9</v>
      </c>
      <c r="J802" t="inlineStr">
        <is>
          <t>NO</t>
        </is>
      </c>
      <c r="K802" t="inlineStr">
        <is>
          <t>2026-02-23 23:48</t>
        </is>
      </c>
      <c r="L802" t="inlineStr">
        <is>
          <t>CHECK_VENDOR</t>
        </is>
      </c>
      <c r="M802" t="inlineStr">
        <is>
          <t>See CVE details</t>
        </is>
      </c>
      <c r="N802" t="inlineStr">
        <is>
          <t>P4</t>
        </is>
      </c>
      <c r="O802" t="inlineStr">
        <is>
          <t>CVE - IP enrichment n/a</t>
        </is>
      </c>
      <c r="P802" t="n">
        <v>0</v>
      </c>
      <c r="Q802" t="n">
        <v>0</v>
      </c>
      <c r="R802" t="inlineStr">
        <is>
          <t>T1499:Endpoint Denial of Service</t>
        </is>
      </c>
      <c r="S802" t="n">
        <v>1</v>
      </c>
      <c r="T802" t="inlineStr">
        <is>
          <t>LOW (40%)</t>
        </is>
      </c>
      <c r="U802" t="inlineStr">
        <is>
          <t>UNLIKELY</t>
        </is>
      </c>
      <c r="V802" t="inlineStr">
        <is>
          <t>CHECK_VENDOR</t>
        </is>
      </c>
      <c r="W802" t="inlineStr">
        <is>
          <t>https://nvd.nist.gov/vuln/detail/CVE-2025-14547</t>
        </is>
      </c>
      <c r="X802" t="inlineStr">
        <is>
          <t>NONE</t>
        </is>
      </c>
      <c r="Y802" t="n">
        <v>0</v>
      </c>
      <c r="Z802" t="inlineStr"/>
      <c r="AA802" t="inlineStr">
        <is>
          <t>https://nvd.nist.gov/vuln/detail/CVE-2025-14547</t>
        </is>
      </c>
    </row>
    <row r="803">
      <c r="A803" t="inlineStr">
        <is>
          <t>CVE</t>
        </is>
      </c>
      <c r="B803" t="inlineStr">
        <is>
          <t>CVE-2026-21627</t>
        </is>
      </c>
      <c r="C803" t="inlineStr">
        <is>
          <t>The vulnerability was rooted in how the Tassos Framework plugin handled specific AJAX requests through Joomla’s com_ajax entry point. Under certain conditions, internal framework functionality could be invoked without proper restriction.</t>
        </is>
      </c>
      <c r="D803" t="n">
        <v>5</v>
      </c>
      <c r="E803" t="inlineStr">
        <is>
          <t>MEDIUM</t>
        </is>
      </c>
      <c r="F803" t="n">
        <v>2</v>
      </c>
      <c r="G803" t="n">
        <v>2</v>
      </c>
      <c r="H803" t="inlineStr">
        <is>
          <t>MEDIUM</t>
        </is>
      </c>
      <c r="I803" t="n">
        <v>9</v>
      </c>
      <c r="J803" t="inlineStr">
        <is>
          <t>NO</t>
        </is>
      </c>
      <c r="K803" t="inlineStr">
        <is>
          <t>2026-02-23 23:48</t>
        </is>
      </c>
      <c r="L803" t="inlineStr">
        <is>
          <t>CHECK_VENDOR</t>
        </is>
      </c>
      <c r="M803" t="inlineStr">
        <is>
          <t>See CVE details</t>
        </is>
      </c>
      <c r="N803" t="inlineStr">
        <is>
          <t>P4</t>
        </is>
      </c>
      <c r="O803" t="inlineStr">
        <is>
          <t>CVE - IP enrichment n/a</t>
        </is>
      </c>
      <c r="P803" t="n">
        <v>0.0001</v>
      </c>
      <c r="Q803" t="n">
        <v>0.0191</v>
      </c>
      <c r="R803" t="inlineStr">
        <is>
          <t>T1190:Exploit Public-Facing Application</t>
        </is>
      </c>
      <c r="S803" t="n">
        <v>1</v>
      </c>
      <c r="T803" t="inlineStr">
        <is>
          <t>LOW (40%)</t>
        </is>
      </c>
      <c r="U803" t="inlineStr">
        <is>
          <t>UNLIKELY</t>
        </is>
      </c>
      <c r="V803" t="inlineStr">
        <is>
          <t>CHECK_VENDOR</t>
        </is>
      </c>
      <c r="W803" t="inlineStr">
        <is>
          <t>https://nvd.nist.gov/vuln/detail/CVE-2026-21627</t>
        </is>
      </c>
      <c r="X803" t="inlineStr">
        <is>
          <t>NONE</t>
        </is>
      </c>
      <c r="Y803" t="n">
        <v>0</v>
      </c>
      <c r="Z803" t="inlineStr"/>
      <c r="AA803" t="inlineStr">
        <is>
          <t>https://nvd.nist.gov/vuln/detail/CVE-2026-21627</t>
        </is>
      </c>
    </row>
    <row r="804">
      <c r="A804" t="inlineStr">
        <is>
          <t>CVE</t>
        </is>
      </c>
      <c r="B804" t="inlineStr">
        <is>
          <t>CVE-2024-34438</t>
        </is>
      </c>
      <c r="C804" t="inlineStr">
        <is>
          <t>Missing Authorization vulnerability in Anssi Laitila Shared Files shared-files.This issue affects Shared Files: from n/a through &lt;= 1.7.19.</t>
        </is>
      </c>
      <c r="D804" t="n">
        <v>5</v>
      </c>
      <c r="E804" t="inlineStr">
        <is>
          <t>MEDIUM</t>
        </is>
      </c>
      <c r="F804" t="n">
        <v>2</v>
      </c>
      <c r="G804" t="n">
        <v>2</v>
      </c>
      <c r="H804" t="inlineStr">
        <is>
          <t>MEDIUM</t>
        </is>
      </c>
      <c r="I804" t="n">
        <v>9</v>
      </c>
      <c r="J804" t="inlineStr">
        <is>
          <t>NO</t>
        </is>
      </c>
      <c r="K804" t="inlineStr">
        <is>
          <t>2026-02-23 23:48</t>
        </is>
      </c>
      <c r="L804" t="inlineStr">
        <is>
          <t>CHECK_VENDOR</t>
        </is>
      </c>
      <c r="M804" t="inlineStr">
        <is>
          <t>See CVE details</t>
        </is>
      </c>
      <c r="N804" t="inlineStr">
        <is>
          <t>P4</t>
        </is>
      </c>
      <c r="O804" t="inlineStr">
        <is>
          <t>CVE - IP enrichment n/a</t>
        </is>
      </c>
      <c r="P804" t="n">
        <v>0.0008</v>
      </c>
      <c r="Q804" t="n">
        <v>0.2427</v>
      </c>
      <c r="R804" t="inlineStr">
        <is>
          <t>T1190:Exploit Public-Facing Application</t>
        </is>
      </c>
      <c r="S804" t="n">
        <v>1</v>
      </c>
      <c r="T804" t="inlineStr">
        <is>
          <t>LOW (40%)</t>
        </is>
      </c>
      <c r="U804" t="inlineStr">
        <is>
          <t>UNLIKELY</t>
        </is>
      </c>
      <c r="V804" t="inlineStr">
        <is>
          <t>CHECK_VENDOR</t>
        </is>
      </c>
      <c r="W804" t="inlineStr">
        <is>
          <t>https://nvd.nist.gov/vuln/detail/CVE-2024-34438</t>
        </is>
      </c>
      <c r="X804" t="inlineStr">
        <is>
          <t>NONE</t>
        </is>
      </c>
      <c r="Y804" t="n">
        <v>0</v>
      </c>
      <c r="Z804" t="inlineStr"/>
      <c r="AA804" t="inlineStr">
        <is>
          <t>https://nvd.nist.gov/vuln/detail/CVE-2024-34438</t>
        </is>
      </c>
    </row>
    <row r="805">
      <c r="A805" t="inlineStr">
        <is>
          <t>CVE</t>
        </is>
      </c>
      <c r="B805" t="inlineStr">
        <is>
          <t>CVE-2024-43228</t>
        </is>
      </c>
      <c r="C805" t="inlineStr">
        <is>
          <t>Missing Authorization vulnerability in SecuPress SecuPress Free secupress.This issue affects SecuPress Free: from n/a through &lt;= 2.2.5.3.</t>
        </is>
      </c>
      <c r="D805" t="n">
        <v>5</v>
      </c>
      <c r="E805" t="inlineStr">
        <is>
          <t>MEDIUM</t>
        </is>
      </c>
      <c r="F805" t="n">
        <v>2</v>
      </c>
      <c r="G805" t="n">
        <v>2</v>
      </c>
      <c r="H805" t="inlineStr">
        <is>
          <t>MEDIUM</t>
        </is>
      </c>
      <c r="I805" t="n">
        <v>9</v>
      </c>
      <c r="J805" t="inlineStr">
        <is>
          <t>NO</t>
        </is>
      </c>
      <c r="K805" t="inlineStr">
        <is>
          <t>2026-02-23 23:48</t>
        </is>
      </c>
      <c r="L805" t="inlineStr">
        <is>
          <t>CHECK_VENDOR</t>
        </is>
      </c>
      <c r="M805" t="inlineStr">
        <is>
          <t>See CVE details</t>
        </is>
      </c>
      <c r="N805" t="inlineStr">
        <is>
          <t>P4</t>
        </is>
      </c>
      <c r="O805" t="inlineStr">
        <is>
          <t>CVE - IP enrichment n/a</t>
        </is>
      </c>
      <c r="P805" t="n">
        <v>0</v>
      </c>
      <c r="Q805" t="n">
        <v>0</v>
      </c>
      <c r="R805" t="inlineStr">
        <is>
          <t>T1190:Exploit Public-Facing Application</t>
        </is>
      </c>
      <c r="S805" t="n">
        <v>1</v>
      </c>
      <c r="T805" t="inlineStr">
        <is>
          <t>LOW (40%)</t>
        </is>
      </c>
      <c r="U805" t="inlineStr">
        <is>
          <t>UNLIKELY</t>
        </is>
      </c>
      <c r="V805" t="inlineStr">
        <is>
          <t>CHECK_VENDOR</t>
        </is>
      </c>
      <c r="W805" t="inlineStr">
        <is>
          <t>https://nvd.nist.gov/vuln/detail/CVE-2024-43228</t>
        </is>
      </c>
      <c r="X805" t="inlineStr">
        <is>
          <t>NONE</t>
        </is>
      </c>
      <c r="Y805" t="n">
        <v>0</v>
      </c>
      <c r="Z805" t="inlineStr"/>
      <c r="AA805" t="inlineStr">
        <is>
          <t>https://nvd.nist.gov/vuln/detail/CVE-2024-43228</t>
        </is>
      </c>
    </row>
    <row r="806">
      <c r="A806" t="inlineStr">
        <is>
          <t>CVE</t>
        </is>
      </c>
      <c r="B806" t="inlineStr">
        <is>
          <t>CVE-2024-50452</t>
        </is>
      </c>
      <c r="C806" t="inlineStr">
        <is>
          <t>Improper Neutralization of Input During Web Page Generation ('Cross-site Scripting') vulnerability in POSIMYTH Nexter Blocks the-plus-addons-for-block-editor allows Stored XSS.This issue affects Nexter Blocks: from n/a through &lt;= 3.3.3.</t>
        </is>
      </c>
      <c r="D806" t="n">
        <v>5</v>
      </c>
      <c r="E806" t="inlineStr">
        <is>
          <t>MEDIUM</t>
        </is>
      </c>
      <c r="F806" t="n">
        <v>2</v>
      </c>
      <c r="G806" t="n">
        <v>2</v>
      </c>
      <c r="H806" t="inlineStr">
        <is>
          <t>MEDIUM</t>
        </is>
      </c>
      <c r="I806" t="n">
        <v>9</v>
      </c>
      <c r="J806" t="inlineStr">
        <is>
          <t>NO</t>
        </is>
      </c>
      <c r="K806" t="inlineStr">
        <is>
          <t>2026-02-23 23:48</t>
        </is>
      </c>
      <c r="L806" t="inlineStr">
        <is>
          <t>CHECK_VENDOR</t>
        </is>
      </c>
      <c r="M806" t="inlineStr">
        <is>
          <t>See CVE details</t>
        </is>
      </c>
      <c r="N806" t="inlineStr">
        <is>
          <t>P4</t>
        </is>
      </c>
      <c r="O806" t="inlineStr">
        <is>
          <t>CVE - IP enrichment n/a</t>
        </is>
      </c>
      <c r="P806" t="n">
        <v>0</v>
      </c>
      <c r="Q806" t="n">
        <v>0</v>
      </c>
      <c r="R806" t="inlineStr">
        <is>
          <t>T1189:Drive-by Compromise</t>
        </is>
      </c>
      <c r="S806" t="n">
        <v>1</v>
      </c>
      <c r="T806" t="inlineStr">
        <is>
          <t>LOW (40%)</t>
        </is>
      </c>
      <c r="U806" t="inlineStr">
        <is>
          <t>UNLIKELY</t>
        </is>
      </c>
      <c r="V806" t="inlineStr">
        <is>
          <t>CHECK_VENDOR</t>
        </is>
      </c>
      <c r="W806" t="inlineStr">
        <is>
          <t>https://nvd.nist.gov/vuln/detail/CVE-2024-50452</t>
        </is>
      </c>
      <c r="X806" t="inlineStr">
        <is>
          <t>NONE</t>
        </is>
      </c>
      <c r="Y806" t="n">
        <v>0</v>
      </c>
      <c r="Z806" t="inlineStr"/>
      <c r="AA806" t="inlineStr">
        <is>
          <t>https://nvd.nist.gov/vuln/detail/CVE-2024-50452</t>
        </is>
      </c>
    </row>
    <row r="807">
      <c r="A807" t="inlineStr">
        <is>
          <t>CVE</t>
        </is>
      </c>
      <c r="B807" t="inlineStr">
        <is>
          <t>CVE-2024-50555</t>
        </is>
      </c>
      <c r="C807" t="inlineStr">
        <is>
          <t>Improper Neutralization of Input During Web Page Generation ('Cross-site Scripting') vulnerability in Elementor Elementor Website Builder elementor allows Stored XSS.This issue affects Elementor Website Builder: from n/a through &lt;= 3.29.0.</t>
        </is>
      </c>
      <c r="D807" t="n">
        <v>5</v>
      </c>
      <c r="E807" t="inlineStr">
        <is>
          <t>MEDIUM</t>
        </is>
      </c>
      <c r="F807" t="n">
        <v>2</v>
      </c>
      <c r="G807" t="n">
        <v>2</v>
      </c>
      <c r="H807" t="inlineStr">
        <is>
          <t>MEDIUM</t>
        </is>
      </c>
      <c r="I807" t="n">
        <v>9</v>
      </c>
      <c r="J807" t="inlineStr">
        <is>
          <t>NO</t>
        </is>
      </c>
      <c r="K807" t="inlineStr">
        <is>
          <t>2026-02-23 23:48</t>
        </is>
      </c>
      <c r="L807" t="inlineStr">
        <is>
          <t>CHECK_VENDOR</t>
        </is>
      </c>
      <c r="M807" t="inlineStr">
        <is>
          <t>See CVE details</t>
        </is>
      </c>
      <c r="N807" t="inlineStr">
        <is>
          <t>P4</t>
        </is>
      </c>
      <c r="O807" t="inlineStr">
        <is>
          <t>CVE - IP enrichment n/a</t>
        </is>
      </c>
      <c r="P807" t="n">
        <v>0</v>
      </c>
      <c r="Q807" t="n">
        <v>0</v>
      </c>
      <c r="R807" t="inlineStr">
        <is>
          <t>T1189:Drive-by Compromise</t>
        </is>
      </c>
      <c r="S807" t="n">
        <v>1</v>
      </c>
      <c r="T807" t="inlineStr">
        <is>
          <t>LOW (40%)</t>
        </is>
      </c>
      <c r="U807" t="inlineStr">
        <is>
          <t>UNLIKELY</t>
        </is>
      </c>
      <c r="V807" t="inlineStr">
        <is>
          <t>CHECK_VENDOR</t>
        </is>
      </c>
      <c r="W807" t="inlineStr">
        <is>
          <t>https://nvd.nist.gov/vuln/detail/CVE-2024-50555</t>
        </is>
      </c>
      <c r="X807" t="inlineStr">
        <is>
          <t>NONE</t>
        </is>
      </c>
      <c r="Y807" t="n">
        <v>0</v>
      </c>
      <c r="Z807" t="inlineStr"/>
      <c r="AA807" t="inlineStr">
        <is>
          <t>https://nvd.nist.gov/vuln/detail/CVE-2024-50555</t>
        </is>
      </c>
    </row>
    <row r="808">
      <c r="A808" t="inlineStr">
        <is>
          <t>CVE</t>
        </is>
      </c>
      <c r="B808" t="inlineStr">
        <is>
          <t>CVE-2024-51915</t>
        </is>
      </c>
      <c r="C808" t="inlineStr">
        <is>
          <t>Improper Neutralization of Input During Web Page Generation ('Cross-site Scripting') vulnerability in LiteSpeed Technologies LiteSpeed Cache litespeed-cache allows Stored XSS.This issue affects LiteSpeed Cache: from n/a through &lt;= 6.5.2.</t>
        </is>
      </c>
      <c r="D808" t="n">
        <v>5</v>
      </c>
      <c r="E808" t="inlineStr">
        <is>
          <t>MEDIUM</t>
        </is>
      </c>
      <c r="F808" t="n">
        <v>2</v>
      </c>
      <c r="G808" t="n">
        <v>2</v>
      </c>
      <c r="H808" t="inlineStr">
        <is>
          <t>MEDIUM</t>
        </is>
      </c>
      <c r="I808" t="n">
        <v>9</v>
      </c>
      <c r="J808" t="inlineStr">
        <is>
          <t>NO</t>
        </is>
      </c>
      <c r="K808" t="inlineStr">
        <is>
          <t>2026-02-23 23:48</t>
        </is>
      </c>
      <c r="L808" t="inlineStr">
        <is>
          <t>CHECK_VENDOR</t>
        </is>
      </c>
      <c r="M808" t="inlineStr">
        <is>
          <t>See CVE details</t>
        </is>
      </c>
      <c r="N808" t="inlineStr">
        <is>
          <t>P4</t>
        </is>
      </c>
      <c r="O808" t="inlineStr">
        <is>
          <t>CVE - IP enrichment n/a</t>
        </is>
      </c>
      <c r="P808" t="n">
        <v>0</v>
      </c>
      <c r="Q808" t="n">
        <v>0</v>
      </c>
      <c r="R808" t="inlineStr">
        <is>
          <t>T1189:Drive-by Compromise</t>
        </is>
      </c>
      <c r="S808" t="n">
        <v>1</v>
      </c>
      <c r="T808" t="inlineStr">
        <is>
          <t>LOW (40%)</t>
        </is>
      </c>
      <c r="U808" t="inlineStr">
        <is>
          <t>UNLIKELY</t>
        </is>
      </c>
      <c r="V808" t="inlineStr">
        <is>
          <t>CHECK_VENDOR</t>
        </is>
      </c>
      <c r="W808" t="inlineStr">
        <is>
          <t>https://nvd.nist.gov/vuln/detail/CVE-2024-51915</t>
        </is>
      </c>
      <c r="X808" t="inlineStr">
        <is>
          <t>NONE</t>
        </is>
      </c>
      <c r="Y808" t="n">
        <v>0</v>
      </c>
      <c r="Z808" t="inlineStr"/>
      <c r="AA808" t="inlineStr">
        <is>
          <t>https://nvd.nist.gov/vuln/detail/CVE-2024-51915</t>
        </is>
      </c>
    </row>
    <row r="809">
      <c r="A809" t="inlineStr">
        <is>
          <t>CVE</t>
        </is>
      </c>
      <c r="B809" t="inlineStr">
        <is>
          <t>CVE-2024-52387</t>
        </is>
      </c>
      <c r="C809" t="inlineStr">
        <is>
          <t>Improper Neutralization of Input During Web Page Generation ('Cross-site Scripting') vulnerability in Liton Arefin Master Addons for Elementor master-addons allows Stored XSS.This issue affects Master Addons for Elementor: from n/a through &lt;= 2.0.9.9.4.</t>
        </is>
      </c>
      <c r="D809" t="n">
        <v>5</v>
      </c>
      <c r="E809" t="inlineStr">
        <is>
          <t>MEDIUM</t>
        </is>
      </c>
      <c r="F809" t="n">
        <v>2</v>
      </c>
      <c r="G809" t="n">
        <v>2</v>
      </c>
      <c r="H809" t="inlineStr">
        <is>
          <t>MEDIUM</t>
        </is>
      </c>
      <c r="I809" t="n">
        <v>9</v>
      </c>
      <c r="J809" t="inlineStr">
        <is>
          <t>NO</t>
        </is>
      </c>
      <c r="K809" t="inlineStr">
        <is>
          <t>2026-02-23 23:48</t>
        </is>
      </c>
      <c r="L809" t="inlineStr">
        <is>
          <t>CHECK_VENDOR</t>
        </is>
      </c>
      <c r="M809" t="inlineStr">
        <is>
          <t>See CVE details</t>
        </is>
      </c>
      <c r="N809" t="inlineStr">
        <is>
          <t>P4</t>
        </is>
      </c>
      <c r="O809" t="inlineStr">
        <is>
          <t>CVE - IP enrichment n/a</t>
        </is>
      </c>
      <c r="P809" t="n">
        <v>0.0013</v>
      </c>
      <c r="Q809" t="n">
        <v>0.3252</v>
      </c>
      <c r="R809" t="inlineStr">
        <is>
          <t>T1189:Drive-by Compromise</t>
        </is>
      </c>
      <c r="S809" t="n">
        <v>1</v>
      </c>
      <c r="T809" t="inlineStr">
        <is>
          <t>LOW (40%)</t>
        </is>
      </c>
      <c r="U809" t="inlineStr">
        <is>
          <t>UNLIKELY</t>
        </is>
      </c>
      <c r="V809" t="inlineStr">
        <is>
          <t>CHECK_VENDOR</t>
        </is>
      </c>
      <c r="W809" t="inlineStr">
        <is>
          <t>https://nvd.nist.gov/vuln/detail/CVE-2024-52387</t>
        </is>
      </c>
      <c r="X809" t="inlineStr">
        <is>
          <t>NONE</t>
        </is>
      </c>
      <c r="Y809" t="n">
        <v>0</v>
      </c>
      <c r="Z809" t="inlineStr"/>
      <c r="AA809" t="inlineStr">
        <is>
          <t>https://nvd.nist.gov/vuln/detail/CVE-2024-52387</t>
        </is>
      </c>
    </row>
    <row r="810">
      <c r="A810" t="inlineStr">
        <is>
          <t>CVE</t>
        </is>
      </c>
      <c r="B810" t="inlineStr">
        <is>
          <t>CVE-2024-54222</t>
        </is>
      </c>
      <c r="C810" t="inlineStr">
        <is>
          <t>Missing Authorization vulnerability in Seraphinite Solutions Seraphinite Accelerator seraphinite-accelerator allows Retrieve Embedded Sensitive Data.This issue affects Seraphinite Accelerator: from n/a through &lt;= 2.22.15.</t>
        </is>
      </c>
      <c r="D810" t="n">
        <v>5</v>
      </c>
      <c r="E810" t="inlineStr">
        <is>
          <t>MEDIUM</t>
        </is>
      </c>
      <c r="F810" t="n">
        <v>2</v>
      </c>
      <c r="G810" t="n">
        <v>2</v>
      </c>
      <c r="H810" t="inlineStr">
        <is>
          <t>MEDIUM</t>
        </is>
      </c>
      <c r="I810" t="n">
        <v>9</v>
      </c>
      <c r="J810" t="inlineStr">
        <is>
          <t>NO</t>
        </is>
      </c>
      <c r="K810" t="inlineStr">
        <is>
          <t>2026-02-23 23:48</t>
        </is>
      </c>
      <c r="L810" t="inlineStr">
        <is>
          <t>CHECK_VENDOR</t>
        </is>
      </c>
      <c r="M810" t="inlineStr">
        <is>
          <t>See CVE details</t>
        </is>
      </c>
      <c r="N810" t="inlineStr">
        <is>
          <t>P4</t>
        </is>
      </c>
      <c r="O810" t="inlineStr">
        <is>
          <t>CVE - IP enrichment n/a</t>
        </is>
      </c>
      <c r="P810" t="n">
        <v>0</v>
      </c>
      <c r="Q810" t="n">
        <v>0</v>
      </c>
      <c r="R810" t="inlineStr">
        <is>
          <t>T1190:Exploit Public-Facing Application</t>
        </is>
      </c>
      <c r="S810" t="n">
        <v>1</v>
      </c>
      <c r="T810" t="inlineStr">
        <is>
          <t>LOW (40%)</t>
        </is>
      </c>
      <c r="U810" t="inlineStr">
        <is>
          <t>UNLIKELY</t>
        </is>
      </c>
      <c r="V810" t="inlineStr">
        <is>
          <t>CHECK_VENDOR</t>
        </is>
      </c>
      <c r="W810" t="inlineStr">
        <is>
          <t>https://nvd.nist.gov/vuln/detail/CVE-2024-54222</t>
        </is>
      </c>
      <c r="X810" t="inlineStr">
        <is>
          <t>NONE</t>
        </is>
      </c>
      <c r="Y810" t="n">
        <v>0</v>
      </c>
      <c r="Z810" t="inlineStr"/>
      <c r="AA810" t="inlineStr">
        <is>
          <t>https://nvd.nist.gov/vuln/detail/CVE-2024-54222</t>
        </is>
      </c>
    </row>
    <row r="811">
      <c r="A811" t="inlineStr">
        <is>
          <t>CVE</t>
        </is>
      </c>
      <c r="B811" t="inlineStr">
        <is>
          <t>CVE-2024-56208</t>
        </is>
      </c>
      <c r="C811" t="inlineStr">
        <is>
          <t>Improper Neutralization of Input During Web Page Generation ('Cross-site Scripting') vulnerability in desertthemes NewsMash newsmash allows Stored XSS.This issue affects NewsMash: from n/a through &lt;= 1.0.71.</t>
        </is>
      </c>
      <c r="D811" t="n">
        <v>5</v>
      </c>
      <c r="E811" t="inlineStr">
        <is>
          <t>MEDIUM</t>
        </is>
      </c>
      <c r="F811" t="n">
        <v>2</v>
      </c>
      <c r="G811" t="n">
        <v>2</v>
      </c>
      <c r="H811" t="inlineStr">
        <is>
          <t>MEDIUM</t>
        </is>
      </c>
      <c r="I811" t="n">
        <v>9</v>
      </c>
      <c r="J811" t="inlineStr">
        <is>
          <t>NO</t>
        </is>
      </c>
      <c r="K811" t="inlineStr">
        <is>
          <t>2026-02-23 23:48</t>
        </is>
      </c>
      <c r="L811" t="inlineStr">
        <is>
          <t>CHECK_VENDOR</t>
        </is>
      </c>
      <c r="M811" t="inlineStr">
        <is>
          <t>See CVE details</t>
        </is>
      </c>
      <c r="N811" t="inlineStr">
        <is>
          <t>P4</t>
        </is>
      </c>
      <c r="O811" t="inlineStr">
        <is>
          <t>CVE - IP enrichment n/a</t>
        </is>
      </c>
      <c r="P811" t="n">
        <v>0.0013</v>
      </c>
      <c r="Q811" t="n">
        <v>0.3252</v>
      </c>
      <c r="R811" t="inlineStr">
        <is>
          <t>T1189:Drive-by Compromise</t>
        </is>
      </c>
      <c r="S811" t="n">
        <v>1</v>
      </c>
      <c r="T811" t="inlineStr">
        <is>
          <t>LOW (40%)</t>
        </is>
      </c>
      <c r="U811" t="inlineStr">
        <is>
          <t>UNLIKELY</t>
        </is>
      </c>
      <c r="V811" t="inlineStr">
        <is>
          <t>CHECK_VENDOR</t>
        </is>
      </c>
      <c r="W811" t="inlineStr">
        <is>
          <t>https://nvd.nist.gov/vuln/detail/CVE-2024-56208</t>
        </is>
      </c>
      <c r="X811" t="inlineStr">
        <is>
          <t>NONE</t>
        </is>
      </c>
      <c r="Y811" t="n">
        <v>0</v>
      </c>
      <c r="Z811" t="inlineStr"/>
      <c r="AA811" t="inlineStr">
        <is>
          <t>https://nvd.nist.gov/vuln/detail/CVE-2024-56208</t>
        </is>
      </c>
    </row>
    <row r="812">
      <c r="A812" t="inlineStr">
        <is>
          <t>CVE</t>
        </is>
      </c>
      <c r="B812" t="inlineStr">
        <is>
          <t>CVE-2025-52603</t>
        </is>
      </c>
      <c r="C812" t="inlineStr">
        <is>
          <t>HCL Connections is vulnerable to information disclosure.  In a very specific user navigation scenario, this could allow a user to obtain limited information when a single piece of internal metadata is returned in the browser.</t>
        </is>
      </c>
      <c r="D812" t="n">
        <v>3.5</v>
      </c>
      <c r="E812" t="inlineStr">
        <is>
          <t>LOW</t>
        </is>
      </c>
      <c r="F812" t="n">
        <v>2</v>
      </c>
      <c r="G812" t="n">
        <v>1</v>
      </c>
      <c r="H812" t="inlineStr">
        <is>
          <t>LOW</t>
        </is>
      </c>
      <c r="I812" t="n">
        <v>5.5</v>
      </c>
      <c r="J812" t="inlineStr">
        <is>
          <t>NO</t>
        </is>
      </c>
      <c r="K812" t="inlineStr">
        <is>
          <t>2026-02-23 23:48</t>
        </is>
      </c>
      <c r="L812" t="inlineStr">
        <is>
          <t>YES</t>
        </is>
      </c>
      <c r="M812" t="inlineStr">
        <is>
          <t>hcltech connections 8.0 | hcltech connections 7.0</t>
        </is>
      </c>
      <c r="N812" t="inlineStr">
        <is>
          <t>P4</t>
        </is>
      </c>
      <c r="O812" t="inlineStr">
        <is>
          <t>CVE - IP enrichment n/a</t>
        </is>
      </c>
      <c r="P812" t="n">
        <v>0</v>
      </c>
      <c r="Q812" t="n">
        <v>0</v>
      </c>
      <c r="R812" t="inlineStr">
        <is>
          <t>T1213:Data from Information Repositories</t>
        </is>
      </c>
      <c r="S812" t="n">
        <v>1</v>
      </c>
      <c r="T812" t="inlineStr">
        <is>
          <t>LOW (40%)</t>
        </is>
      </c>
      <c r="U812" t="inlineStr">
        <is>
          <t>UNLIKELY</t>
        </is>
      </c>
      <c r="V812" t="inlineStr">
        <is>
          <t>PATCH_AVAILABLE</t>
        </is>
      </c>
      <c r="W812" t="inlineStr">
        <is>
          <t>https://nvd.nist.gov/vuln/detail/CVE-2025-52603</t>
        </is>
      </c>
      <c r="X812" t="inlineStr">
        <is>
          <t>NONE</t>
        </is>
      </c>
      <c r="Y812" t="n">
        <v>0</v>
      </c>
      <c r="Z812" t="inlineStr"/>
      <c r="AA812" t="inlineStr">
        <is>
          <t>https://nvd.nist.gov/vuln/detail/CVE-2025-52603</t>
        </is>
      </c>
    </row>
    <row r="813">
      <c r="A813" t="inlineStr">
        <is>
          <t>CVE</t>
        </is>
      </c>
      <c r="B813" t="inlineStr">
        <is>
          <t>CVE-2025-52744</t>
        </is>
      </c>
      <c r="C813" t="inlineStr">
        <is>
          <t>Improper Control of Generation of Code ('Code Injection') vulnerability in inpersttion Inpersttion For Theme err-our-team allows Code Injection.This issue affects Inpersttion For Theme: from n/a through &lt;= 1.0.</t>
        </is>
      </c>
      <c r="D813" t="n">
        <v>5</v>
      </c>
      <c r="E813" t="inlineStr">
        <is>
          <t>MEDIUM</t>
        </is>
      </c>
      <c r="F813" t="n">
        <v>2</v>
      </c>
      <c r="G813" t="n">
        <v>2</v>
      </c>
      <c r="H813" t="inlineStr">
        <is>
          <t>MEDIUM</t>
        </is>
      </c>
      <c r="I813" t="n">
        <v>9</v>
      </c>
      <c r="J813" t="inlineStr">
        <is>
          <t>NO</t>
        </is>
      </c>
      <c r="K813" t="inlineStr">
        <is>
          <t>2026-02-23 23:48</t>
        </is>
      </c>
      <c r="L813" t="inlineStr">
        <is>
          <t>CHECK_VENDOR</t>
        </is>
      </c>
      <c r="M813" t="inlineStr">
        <is>
          <t>See CVE details</t>
        </is>
      </c>
      <c r="N813" t="inlineStr">
        <is>
          <t>P4</t>
        </is>
      </c>
      <c r="O813" t="inlineStr">
        <is>
          <t>CVE - IP enrichment n/a</t>
        </is>
      </c>
      <c r="P813" t="n">
        <v>0</v>
      </c>
      <c r="Q813" t="n">
        <v>0</v>
      </c>
      <c r="R813" t="inlineStr">
        <is>
          <t>T1059:Command and Scripting Interpreter</t>
        </is>
      </c>
      <c r="S813" t="n">
        <v>1</v>
      </c>
      <c r="T813" t="inlineStr">
        <is>
          <t>LOW (40%)</t>
        </is>
      </c>
      <c r="U813" t="inlineStr">
        <is>
          <t>UNLIKELY</t>
        </is>
      </c>
      <c r="V813" t="inlineStr">
        <is>
          <t>CHECK_VENDOR</t>
        </is>
      </c>
      <c r="W813" t="inlineStr">
        <is>
          <t>https://nvd.nist.gov/vuln/detail/CVE-2025-52744</t>
        </is>
      </c>
      <c r="X813" t="inlineStr">
        <is>
          <t>NONE</t>
        </is>
      </c>
      <c r="Y813" t="n">
        <v>0</v>
      </c>
      <c r="Z813" t="inlineStr"/>
      <c r="AA813" t="inlineStr">
        <is>
          <t>https://nvd.nist.gov/vuln/detail/CVE-2025-52744</t>
        </is>
      </c>
    </row>
    <row r="814">
      <c r="A814" t="inlineStr">
        <is>
          <t>CVE</t>
        </is>
      </c>
      <c r="B814" t="inlineStr">
        <is>
          <t>CVE-2025-53217</t>
        </is>
      </c>
      <c r="C814" t="inlineStr">
        <is>
          <t>Missing Authorization vulnerability in staviravn AIO WP Builder all-in-one-wp-builder allows Exploiting Incorrectly Configured Access Control Security Levels.This issue affects AIO WP Builder: from n/a through &lt;= 2.0.2.</t>
        </is>
      </c>
      <c r="D814" t="n">
        <v>5</v>
      </c>
      <c r="E814" t="inlineStr">
        <is>
          <t>MEDIUM</t>
        </is>
      </c>
      <c r="F814" t="n">
        <v>2</v>
      </c>
      <c r="G814" t="n">
        <v>2</v>
      </c>
      <c r="H814" t="inlineStr">
        <is>
          <t>MEDIUM</t>
        </is>
      </c>
      <c r="I814" t="n">
        <v>9</v>
      </c>
      <c r="J814" t="inlineStr">
        <is>
          <t>NO</t>
        </is>
      </c>
      <c r="K814" t="inlineStr">
        <is>
          <t>2026-02-23 23:48</t>
        </is>
      </c>
      <c r="L814" t="inlineStr">
        <is>
          <t>CHECK_VENDOR</t>
        </is>
      </c>
      <c r="M814" t="inlineStr">
        <is>
          <t>See CVE details</t>
        </is>
      </c>
      <c r="N814" t="inlineStr">
        <is>
          <t>P4</t>
        </is>
      </c>
      <c r="O814" t="inlineStr">
        <is>
          <t>CVE - IP enrichment n/a</t>
        </is>
      </c>
      <c r="P814" t="n">
        <v>0</v>
      </c>
      <c r="Q814" t="n">
        <v>0</v>
      </c>
      <c r="R814" t="inlineStr">
        <is>
          <t>T1190:Exploit Public-Facing Application</t>
        </is>
      </c>
      <c r="S814" t="n">
        <v>1</v>
      </c>
      <c r="T814" t="inlineStr">
        <is>
          <t>LOW (40%)</t>
        </is>
      </c>
      <c r="U814" t="inlineStr">
        <is>
          <t>UNLIKELY</t>
        </is>
      </c>
      <c r="V814" t="inlineStr">
        <is>
          <t>CHECK_VENDOR</t>
        </is>
      </c>
      <c r="W814" t="inlineStr">
        <is>
          <t>https://nvd.nist.gov/vuln/detail/CVE-2025-53217</t>
        </is>
      </c>
      <c r="X814" t="inlineStr">
        <is>
          <t>NONE</t>
        </is>
      </c>
      <c r="Y814" t="n">
        <v>0</v>
      </c>
      <c r="Z814" t="inlineStr"/>
      <c r="AA814" t="inlineStr">
        <is>
          <t>https://nvd.nist.gov/vuln/detail/CVE-2025-53217</t>
        </is>
      </c>
    </row>
    <row r="815">
      <c r="A815" t="inlineStr">
        <is>
          <t>CVE</t>
        </is>
      </c>
      <c r="B815" t="inlineStr">
        <is>
          <t>CVE-2025-53228</t>
        </is>
      </c>
      <c r="C815" t="inlineStr">
        <is>
          <t>Improper Neutralization of Input During Web Page Generation ('Cross-site Scripting') vulnerability in jezza101 bbpress Simple Advert Units bbpress-simple-advert-units allows Reflected XSS.This issue affects bbpress Simple Advert Units: from n/a through &lt;= 0.41.</t>
        </is>
      </c>
      <c r="D815" t="n">
        <v>5</v>
      </c>
      <c r="E815" t="inlineStr">
        <is>
          <t>MEDIUM</t>
        </is>
      </c>
      <c r="F815" t="n">
        <v>2</v>
      </c>
      <c r="G815" t="n">
        <v>2</v>
      </c>
      <c r="H815" t="inlineStr">
        <is>
          <t>MEDIUM</t>
        </is>
      </c>
      <c r="I815" t="n">
        <v>9</v>
      </c>
      <c r="J815" t="inlineStr">
        <is>
          <t>NO</t>
        </is>
      </c>
      <c r="K815" t="inlineStr">
        <is>
          <t>2026-02-23 23:48</t>
        </is>
      </c>
      <c r="L815" t="inlineStr">
        <is>
          <t>CHECK_VENDOR</t>
        </is>
      </c>
      <c r="M815" t="inlineStr">
        <is>
          <t>See CVE details</t>
        </is>
      </c>
      <c r="N815" t="inlineStr">
        <is>
          <t>P4</t>
        </is>
      </c>
      <c r="O815" t="inlineStr">
        <is>
          <t>CVE - IP enrichment n/a</t>
        </is>
      </c>
      <c r="P815" t="n">
        <v>0</v>
      </c>
      <c r="Q815" t="n">
        <v>0</v>
      </c>
      <c r="R815" t="inlineStr">
        <is>
          <t>T1189:Drive-by Compromise</t>
        </is>
      </c>
      <c r="S815" t="n">
        <v>1</v>
      </c>
      <c r="T815" t="inlineStr">
        <is>
          <t>LOW (40%)</t>
        </is>
      </c>
      <c r="U815" t="inlineStr">
        <is>
          <t>UNLIKELY</t>
        </is>
      </c>
      <c r="V815" t="inlineStr">
        <is>
          <t>CHECK_VENDOR</t>
        </is>
      </c>
      <c r="W815" t="inlineStr">
        <is>
          <t>https://nvd.nist.gov/vuln/detail/CVE-2025-53228</t>
        </is>
      </c>
      <c r="X815" t="inlineStr">
        <is>
          <t>NONE</t>
        </is>
      </c>
      <c r="Y815" t="n">
        <v>0</v>
      </c>
      <c r="Z815" t="inlineStr"/>
      <c r="AA815" t="inlineStr">
        <is>
          <t>https://nvd.nist.gov/vuln/detail/CVE-2025-53228</t>
        </is>
      </c>
    </row>
    <row r="816">
      <c r="A816" t="inlineStr">
        <is>
          <t>CVE</t>
        </is>
      </c>
      <c r="B816" t="inlineStr">
        <is>
          <t>CVE-2025-53231</t>
        </is>
      </c>
      <c r="C816" t="inlineStr">
        <is>
          <t>Improper Neutralization of Input During Web Page Generation ('Cross-site Scripting') vulnerability in wpdevstudio Easy Taxonomy Images easy-taxonomy-images allows Stored XSS.This issue affects Easy Taxonomy Images: from n/a through &lt;= 1.0.1.</t>
        </is>
      </c>
      <c r="D816" t="n">
        <v>5</v>
      </c>
      <c r="E816" t="inlineStr">
        <is>
          <t>MEDIUM</t>
        </is>
      </c>
      <c r="F816" t="n">
        <v>2</v>
      </c>
      <c r="G816" t="n">
        <v>2</v>
      </c>
      <c r="H816" t="inlineStr">
        <is>
          <t>MEDIUM</t>
        </is>
      </c>
      <c r="I816" t="n">
        <v>9</v>
      </c>
      <c r="J816" t="inlineStr">
        <is>
          <t>NO</t>
        </is>
      </c>
      <c r="K816" t="inlineStr">
        <is>
          <t>2026-02-23 23:48</t>
        </is>
      </c>
      <c r="L816" t="inlineStr">
        <is>
          <t>CHECK_VENDOR</t>
        </is>
      </c>
      <c r="M816" t="inlineStr">
        <is>
          <t>See CVE details</t>
        </is>
      </c>
      <c r="N816" t="inlineStr">
        <is>
          <t>P4</t>
        </is>
      </c>
      <c r="O816" t="inlineStr">
        <is>
          <t>CVE - IP enrichment n/a</t>
        </is>
      </c>
      <c r="P816" t="n">
        <v>0</v>
      </c>
      <c r="Q816" t="n">
        <v>0</v>
      </c>
      <c r="R816" t="inlineStr">
        <is>
          <t>T1189:Drive-by Compromise</t>
        </is>
      </c>
      <c r="S816" t="n">
        <v>1</v>
      </c>
      <c r="T816" t="inlineStr">
        <is>
          <t>LOW (40%)</t>
        </is>
      </c>
      <c r="U816" t="inlineStr">
        <is>
          <t>UNLIKELY</t>
        </is>
      </c>
      <c r="V816" t="inlineStr">
        <is>
          <t>CHECK_VENDOR</t>
        </is>
      </c>
      <c r="W816" t="inlineStr">
        <is>
          <t>https://nvd.nist.gov/vuln/detail/CVE-2025-53231</t>
        </is>
      </c>
      <c r="X816" t="inlineStr">
        <is>
          <t>NONE</t>
        </is>
      </c>
      <c r="Y816" t="n">
        <v>0</v>
      </c>
      <c r="Z816" t="inlineStr"/>
      <c r="AA816" t="inlineStr">
        <is>
          <t>https://nvd.nist.gov/vuln/detail/CVE-2025-53231</t>
        </is>
      </c>
    </row>
    <row r="817">
      <c r="A817" t="inlineStr">
        <is>
          <t>CVE</t>
        </is>
      </c>
      <c r="B817" t="inlineStr">
        <is>
          <t>CVE-2025-53233</t>
        </is>
      </c>
      <c r="C817" t="inlineStr">
        <is>
          <t>Improper Neutralization of Input During Web Page Generation ('Cross-site Scripting') vulnerability in RylanH Storyform storyform allows Reflected XSS.This issue affects Storyform: from n/a through &lt;= 0.6.14.</t>
        </is>
      </c>
      <c r="D817" t="n">
        <v>5</v>
      </c>
      <c r="E817" t="inlineStr">
        <is>
          <t>MEDIUM</t>
        </is>
      </c>
      <c r="F817" t="n">
        <v>2</v>
      </c>
      <c r="G817" t="n">
        <v>2</v>
      </c>
      <c r="H817" t="inlineStr">
        <is>
          <t>MEDIUM</t>
        </is>
      </c>
      <c r="I817" t="n">
        <v>9</v>
      </c>
      <c r="J817" t="inlineStr">
        <is>
          <t>NO</t>
        </is>
      </c>
      <c r="K817" t="inlineStr">
        <is>
          <t>2026-02-23 23:48</t>
        </is>
      </c>
      <c r="L817" t="inlineStr">
        <is>
          <t>CHECK_VENDOR</t>
        </is>
      </c>
      <c r="M817" t="inlineStr">
        <is>
          <t>See CVE details</t>
        </is>
      </c>
      <c r="N817" t="inlineStr">
        <is>
          <t>P4</t>
        </is>
      </c>
      <c r="O817" t="inlineStr">
        <is>
          <t>CVE - IP enrichment n/a</t>
        </is>
      </c>
      <c r="P817" t="n">
        <v>0</v>
      </c>
      <c r="Q817" t="n">
        <v>0</v>
      </c>
      <c r="R817" t="inlineStr">
        <is>
          <t>T1189:Drive-by Compromise</t>
        </is>
      </c>
      <c r="S817" t="n">
        <v>1</v>
      </c>
      <c r="T817" t="inlineStr">
        <is>
          <t>LOW (40%)</t>
        </is>
      </c>
      <c r="U817" t="inlineStr">
        <is>
          <t>UNLIKELY</t>
        </is>
      </c>
      <c r="V817" t="inlineStr">
        <is>
          <t>CHECK_VENDOR</t>
        </is>
      </c>
      <c r="W817" t="inlineStr">
        <is>
          <t>https://nvd.nist.gov/vuln/detail/CVE-2025-53233</t>
        </is>
      </c>
      <c r="X817" t="inlineStr">
        <is>
          <t>NONE</t>
        </is>
      </c>
      <c r="Y817" t="n">
        <v>0</v>
      </c>
      <c r="Z817" t="inlineStr"/>
      <c r="AA817" t="inlineStr">
        <is>
          <t>https://nvd.nist.gov/vuln/detail/CVE-2025-53233</t>
        </is>
      </c>
    </row>
    <row r="818">
      <c r="A818" t="inlineStr">
        <is>
          <t>CVE</t>
        </is>
      </c>
      <c r="B818" t="inlineStr">
        <is>
          <t>CVE-2025-53237</t>
        </is>
      </c>
      <c r="C818" t="inlineStr">
        <is>
          <t>Improper Neutralization of Input During Web Page Generation ('Cross-site Scripting') vulnerability in Soflyy WP Wizard Cloak wp-wizard-cloak allows Reflected XSS.This issue affects WP Wizard Cloak: from n/a through &lt;= 1.0.1.</t>
        </is>
      </c>
      <c r="D818" t="n">
        <v>5</v>
      </c>
      <c r="E818" t="inlineStr">
        <is>
          <t>MEDIUM</t>
        </is>
      </c>
      <c r="F818" t="n">
        <v>2</v>
      </c>
      <c r="G818" t="n">
        <v>2</v>
      </c>
      <c r="H818" t="inlineStr">
        <is>
          <t>MEDIUM</t>
        </is>
      </c>
      <c r="I818" t="n">
        <v>9</v>
      </c>
      <c r="J818" t="inlineStr">
        <is>
          <t>NO</t>
        </is>
      </c>
      <c r="K818" t="inlineStr">
        <is>
          <t>2026-02-23 23:48</t>
        </is>
      </c>
      <c r="L818" t="inlineStr">
        <is>
          <t>CHECK_VENDOR</t>
        </is>
      </c>
      <c r="M818" t="inlineStr">
        <is>
          <t>See CVE details</t>
        </is>
      </c>
      <c r="N818" t="inlineStr">
        <is>
          <t>P4</t>
        </is>
      </c>
      <c r="O818" t="inlineStr">
        <is>
          <t>CVE - IP enrichment n/a</t>
        </is>
      </c>
      <c r="P818" t="n">
        <v>0</v>
      </c>
      <c r="Q818" t="n">
        <v>0</v>
      </c>
      <c r="R818" t="inlineStr">
        <is>
          <t>T1189:Drive-by Compromise</t>
        </is>
      </c>
      <c r="S818" t="n">
        <v>1</v>
      </c>
      <c r="T818" t="inlineStr">
        <is>
          <t>LOW (40%)</t>
        </is>
      </c>
      <c r="U818" t="inlineStr">
        <is>
          <t>UNLIKELY</t>
        </is>
      </c>
      <c r="V818" t="inlineStr">
        <is>
          <t>CHECK_VENDOR</t>
        </is>
      </c>
      <c r="W818" t="inlineStr">
        <is>
          <t>https://nvd.nist.gov/vuln/detail/CVE-2025-53237</t>
        </is>
      </c>
      <c r="X818" t="inlineStr">
        <is>
          <t>NONE</t>
        </is>
      </c>
      <c r="Y818" t="n">
        <v>0</v>
      </c>
      <c r="Z818" t="inlineStr"/>
      <c r="AA818" t="inlineStr">
        <is>
          <t>https://nvd.nist.gov/vuln/detail/CVE-2025-53237</t>
        </is>
      </c>
    </row>
    <row r="819">
      <c r="A819" t="inlineStr">
        <is>
          <t>CVE</t>
        </is>
      </c>
      <c r="B819" t="inlineStr">
        <is>
          <t>CVE-2025-60087</t>
        </is>
      </c>
      <c r="C819" t="inlineStr">
        <is>
          <t>Improper Control of Filename for Include/Require Statement in PHP Program ('PHP Remote File Inclusion') vulnerability in Nenad Obradovic Extensive VC Addons for WPBakery page builder extensive-vc-addon allows PHP Local File Inclusion.This issue affects Extensive VC Addons for WPBakery page builder: from n/a through &lt;= 1.9.1.</t>
        </is>
      </c>
      <c r="D819" t="n">
        <v>5</v>
      </c>
      <c r="E819" t="inlineStr">
        <is>
          <t>MEDIUM</t>
        </is>
      </c>
      <c r="F819" t="n">
        <v>2</v>
      </c>
      <c r="G819" t="n">
        <v>2</v>
      </c>
      <c r="H819" t="inlineStr">
        <is>
          <t>MEDIUM</t>
        </is>
      </c>
      <c r="I819" t="n">
        <v>9</v>
      </c>
      <c r="J819" t="inlineStr">
        <is>
          <t>NO</t>
        </is>
      </c>
      <c r="K819" t="inlineStr">
        <is>
          <t>2026-02-23 23:48</t>
        </is>
      </c>
      <c r="L819" t="inlineStr">
        <is>
          <t>CHECK_VENDOR</t>
        </is>
      </c>
      <c r="M819" t="inlineStr">
        <is>
          <t>See CVE details</t>
        </is>
      </c>
      <c r="N819" t="inlineStr">
        <is>
          <t>P4</t>
        </is>
      </c>
      <c r="O819" t="inlineStr">
        <is>
          <t>CVE - IP enrichment n/a</t>
        </is>
      </c>
      <c r="P819" t="n">
        <v>0</v>
      </c>
      <c r="Q819" t="n">
        <v>0</v>
      </c>
      <c r="R819" t="inlineStr">
        <is>
          <t>T1190:Exploit Public-Facing Application</t>
        </is>
      </c>
      <c r="S819" t="n">
        <v>1</v>
      </c>
      <c r="T819" t="inlineStr">
        <is>
          <t>LOW (40%)</t>
        </is>
      </c>
      <c r="U819" t="inlineStr">
        <is>
          <t>UNLIKELY</t>
        </is>
      </c>
      <c r="V819" t="inlineStr">
        <is>
          <t>CHECK_VENDOR</t>
        </is>
      </c>
      <c r="W819" t="inlineStr">
        <is>
          <t>https://nvd.nist.gov/vuln/detail/CVE-2025-60087</t>
        </is>
      </c>
      <c r="X819" t="inlineStr">
        <is>
          <t>NONE</t>
        </is>
      </c>
      <c r="Y819" t="n">
        <v>0</v>
      </c>
      <c r="Z819" t="inlineStr"/>
      <c r="AA819" t="inlineStr">
        <is>
          <t>https://nvd.nist.gov/vuln/detail/CVE-2025-60087</t>
        </is>
      </c>
    </row>
    <row r="820">
      <c r="A820" t="inlineStr">
        <is>
          <t>CVE</t>
        </is>
      </c>
      <c r="B820" t="inlineStr">
        <is>
          <t>CVE-2025-60183</t>
        </is>
      </c>
      <c r="C820" t="inlineStr">
        <is>
          <t>Improper Neutralization of Input During Web Page Generation ('Cross-site Scripting') vulnerability in silence Silencesoft RSS Reader external-rss-reader allows Stored XSS.This issue affects Silencesoft RSS Reader: from n/a through &lt;= 0.6.</t>
        </is>
      </c>
      <c r="D820" t="n">
        <v>5</v>
      </c>
      <c r="E820" t="inlineStr">
        <is>
          <t>MEDIUM</t>
        </is>
      </c>
      <c r="F820" t="n">
        <v>2</v>
      </c>
      <c r="G820" t="n">
        <v>2</v>
      </c>
      <c r="H820" t="inlineStr">
        <is>
          <t>MEDIUM</t>
        </is>
      </c>
      <c r="I820" t="n">
        <v>9</v>
      </c>
      <c r="J820" t="inlineStr">
        <is>
          <t>NO</t>
        </is>
      </c>
      <c r="K820" t="inlineStr">
        <is>
          <t>2026-02-23 23:48</t>
        </is>
      </c>
      <c r="L820" t="inlineStr">
        <is>
          <t>CHECK_VENDOR</t>
        </is>
      </c>
      <c r="M820" t="inlineStr">
        <is>
          <t>See CVE details</t>
        </is>
      </c>
      <c r="N820" t="inlineStr">
        <is>
          <t>P4</t>
        </is>
      </c>
      <c r="O820" t="inlineStr">
        <is>
          <t>CVE - IP enrichment n/a</t>
        </is>
      </c>
      <c r="P820" t="n">
        <v>0</v>
      </c>
      <c r="Q820" t="n">
        <v>0</v>
      </c>
      <c r="R820" t="inlineStr">
        <is>
          <t>T1189:Drive-by Compromise</t>
        </is>
      </c>
      <c r="S820" t="n">
        <v>1</v>
      </c>
      <c r="T820" t="inlineStr">
        <is>
          <t>LOW (40%)</t>
        </is>
      </c>
      <c r="U820" t="inlineStr">
        <is>
          <t>UNLIKELY</t>
        </is>
      </c>
      <c r="V820" t="inlineStr">
        <is>
          <t>CHECK_VENDOR</t>
        </is>
      </c>
      <c r="W820" t="inlineStr">
        <is>
          <t>https://nvd.nist.gov/vuln/detail/CVE-2025-60183</t>
        </is>
      </c>
      <c r="X820" t="inlineStr">
        <is>
          <t>NONE</t>
        </is>
      </c>
      <c r="Y820" t="n">
        <v>0</v>
      </c>
      <c r="Z820" t="inlineStr"/>
      <c r="AA820" t="inlineStr">
        <is>
          <t>https://nvd.nist.gov/vuln/detail/CVE-2025-60183</t>
        </is>
      </c>
    </row>
    <row r="821">
      <c r="A821" t="inlineStr">
        <is>
          <t>CVE</t>
        </is>
      </c>
      <c r="B821" t="inlineStr">
        <is>
          <t>CVE-2025-67438</t>
        </is>
      </c>
      <c r="C821" t="inlineStr">
        <is>
          <t>A Stored Cross-Site Scripting (XSS) vulnerability in Sync-in Server before 1.9.3 allows an authenticated attacker to execute arbitrary JavaScript in a victim's browser. By uploading a crafted SVG file containing a malicious payload, an attacker can access and exfiltrate sensitive information, including the user's session cookies.</t>
        </is>
      </c>
      <c r="D821" t="n">
        <v>6.1</v>
      </c>
      <c r="E821" t="inlineStr">
        <is>
          <t>MEDIUM</t>
        </is>
      </c>
      <c r="F821" t="n">
        <v>2</v>
      </c>
      <c r="G821" t="n">
        <v>2</v>
      </c>
      <c r="H821" t="inlineStr">
        <is>
          <t>MEDIUM</t>
        </is>
      </c>
      <c r="I821" t="n">
        <v>10.1</v>
      </c>
      <c r="J821" t="inlineStr">
        <is>
          <t>NO</t>
        </is>
      </c>
      <c r="K821" t="inlineStr">
        <is>
          <t>2026-02-23 23:48</t>
        </is>
      </c>
      <c r="L821" t="inlineStr">
        <is>
          <t>CHECK_VENDOR</t>
        </is>
      </c>
      <c r="M821" t="inlineStr">
        <is>
          <t>See CVE details</t>
        </is>
      </c>
      <c r="N821" t="inlineStr">
        <is>
          <t>P4</t>
        </is>
      </c>
      <c r="O821" t="inlineStr">
        <is>
          <t>CVE - IP enrichment n/a</t>
        </is>
      </c>
      <c r="P821" t="n">
        <v>0.0002</v>
      </c>
      <c r="Q821" t="n">
        <v>0.0449</v>
      </c>
      <c r="R821" t="inlineStr">
        <is>
          <t>T1189:Drive-by Compromise</t>
        </is>
      </c>
      <c r="S821" t="n">
        <v>1</v>
      </c>
      <c r="T821" t="inlineStr">
        <is>
          <t>LOW (40%)</t>
        </is>
      </c>
      <c r="U821" t="inlineStr">
        <is>
          <t>UNLIKELY</t>
        </is>
      </c>
      <c r="V821" t="inlineStr">
        <is>
          <t>CHECK_VENDOR</t>
        </is>
      </c>
      <c r="W821" t="inlineStr">
        <is>
          <t>https://nvd.nist.gov/vuln/detail/CVE-2025-67438</t>
        </is>
      </c>
      <c r="X821" t="inlineStr">
        <is>
          <t>NONE</t>
        </is>
      </c>
      <c r="Y821" t="n">
        <v>0</v>
      </c>
      <c r="Z821" t="inlineStr"/>
      <c r="AA821" t="inlineStr">
        <is>
          <t>https://nvd.nist.gov/vuln/detail/CVE-2025-67438</t>
        </is>
      </c>
    </row>
    <row r="822">
      <c r="A822" t="inlineStr">
        <is>
          <t>CVE</t>
        </is>
      </c>
      <c r="B822" t="inlineStr">
        <is>
          <t>CVE-2025-67547</t>
        </is>
      </c>
      <c r="C822" t="inlineStr">
        <is>
          <t>Missing Authorization vulnerability in uixthemes Konte konte allows Exploiting Incorrectly Configured Access Control Security Levels.This issue affects Konte: from n/a through &lt;= 2.4.6.</t>
        </is>
      </c>
      <c r="D822" t="n">
        <v>5</v>
      </c>
      <c r="E822" t="inlineStr">
        <is>
          <t>MEDIUM</t>
        </is>
      </c>
      <c r="F822" t="n">
        <v>2</v>
      </c>
      <c r="G822" t="n">
        <v>2</v>
      </c>
      <c r="H822" t="inlineStr">
        <is>
          <t>MEDIUM</t>
        </is>
      </c>
      <c r="I822" t="n">
        <v>9</v>
      </c>
      <c r="J822" t="inlineStr">
        <is>
          <t>NO</t>
        </is>
      </c>
      <c r="K822" t="inlineStr">
        <is>
          <t>2026-02-23 23:48</t>
        </is>
      </c>
      <c r="L822" t="inlineStr">
        <is>
          <t>CHECK_VENDOR</t>
        </is>
      </c>
      <c r="M822" t="inlineStr">
        <is>
          <t>See CVE details</t>
        </is>
      </c>
      <c r="N822" t="inlineStr">
        <is>
          <t>P4</t>
        </is>
      </c>
      <c r="O822" t="inlineStr">
        <is>
          <t>CVE - IP enrichment n/a</t>
        </is>
      </c>
      <c r="P822" t="n">
        <v>0</v>
      </c>
      <c r="Q822" t="n">
        <v>0</v>
      </c>
      <c r="R822" t="inlineStr">
        <is>
          <t>T1190:Exploit Public-Facing Application</t>
        </is>
      </c>
      <c r="S822" t="n">
        <v>1</v>
      </c>
      <c r="T822" t="inlineStr">
        <is>
          <t>LOW (40%)</t>
        </is>
      </c>
      <c r="U822" t="inlineStr">
        <is>
          <t>UNLIKELY</t>
        </is>
      </c>
      <c r="V822" t="inlineStr">
        <is>
          <t>CHECK_VENDOR</t>
        </is>
      </c>
      <c r="W822" t="inlineStr">
        <is>
          <t>https://nvd.nist.gov/vuln/detail/CVE-2025-67547</t>
        </is>
      </c>
      <c r="X822" t="inlineStr">
        <is>
          <t>NONE</t>
        </is>
      </c>
      <c r="Y822" t="n">
        <v>0</v>
      </c>
      <c r="Z822" t="inlineStr"/>
      <c r="AA822" t="inlineStr">
        <is>
          <t>https://nvd.nist.gov/vuln/detail/CVE-2025-67547</t>
        </is>
      </c>
    </row>
    <row r="823">
      <c r="A823" t="inlineStr">
        <is>
          <t>CVE</t>
        </is>
      </c>
      <c r="B823" t="inlineStr">
        <is>
          <t>CVE-2025-67624</t>
        </is>
      </c>
      <c r="C823" t="inlineStr">
        <is>
          <t>Missing Authorization vulnerability in Arya Dhiratara Optimize More! &amp;#8211; Images optimize-more-images allows Exploiting Incorrectly Configured Access Control Security Levels.This issue affects Optimize More! &amp;#8211; Images: from n/a through &lt;= 1.1.3.</t>
        </is>
      </c>
      <c r="D823" t="n">
        <v>5</v>
      </c>
      <c r="E823" t="inlineStr">
        <is>
          <t>MEDIUM</t>
        </is>
      </c>
      <c r="F823" t="n">
        <v>2</v>
      </c>
      <c r="G823" t="n">
        <v>2</v>
      </c>
      <c r="H823" t="inlineStr">
        <is>
          <t>MEDIUM</t>
        </is>
      </c>
      <c r="I823" t="n">
        <v>9</v>
      </c>
      <c r="J823" t="inlineStr">
        <is>
          <t>NO</t>
        </is>
      </c>
      <c r="K823" t="inlineStr">
        <is>
          <t>2026-02-23 23:48</t>
        </is>
      </c>
      <c r="L823" t="inlineStr">
        <is>
          <t>CHECK_VENDOR</t>
        </is>
      </c>
      <c r="M823" t="inlineStr">
        <is>
          <t>See CVE details</t>
        </is>
      </c>
      <c r="N823" t="inlineStr">
        <is>
          <t>P4</t>
        </is>
      </c>
      <c r="O823" t="inlineStr">
        <is>
          <t>CVE - IP enrichment n/a</t>
        </is>
      </c>
      <c r="P823" t="n">
        <v>0</v>
      </c>
      <c r="Q823" t="n">
        <v>0</v>
      </c>
      <c r="R823" t="inlineStr">
        <is>
          <t>T1190:Exploit Public-Facing Application</t>
        </is>
      </c>
      <c r="S823" t="n">
        <v>1</v>
      </c>
      <c r="T823" t="inlineStr">
        <is>
          <t>LOW (40%)</t>
        </is>
      </c>
      <c r="U823" t="inlineStr">
        <is>
          <t>UNLIKELY</t>
        </is>
      </c>
      <c r="V823" t="inlineStr">
        <is>
          <t>CHECK_VENDOR</t>
        </is>
      </c>
      <c r="W823" t="inlineStr">
        <is>
          <t>https://nvd.nist.gov/vuln/detail/CVE-2025-67624</t>
        </is>
      </c>
      <c r="X823" t="inlineStr">
        <is>
          <t>NONE</t>
        </is>
      </c>
      <c r="Y823" t="n">
        <v>0</v>
      </c>
      <c r="Z823" t="inlineStr"/>
      <c r="AA823" t="inlineStr">
        <is>
          <t>https://nvd.nist.gov/vuln/detail/CVE-2025-67624</t>
        </is>
      </c>
    </row>
    <row r="824">
      <c r="A824" t="inlineStr">
        <is>
          <t>CVE</t>
        </is>
      </c>
      <c r="B824" t="inlineStr">
        <is>
          <t>CVE-2025-67969</t>
        </is>
      </c>
      <c r="C824" t="inlineStr">
        <is>
          <t>Missing Authorization vulnerability in knitpay UPI QR Code Payment Gateway for WooCommerce upi-qr-code-payment-for-woocommerce allows Exploiting Incorrectly Configured Access Control Security Levels.This issue affects UPI QR Code Payment Gateway for WooCommerce: from n/a through &lt;= 1.5.1.</t>
        </is>
      </c>
      <c r="D824" t="n">
        <v>8.5</v>
      </c>
      <c r="E824" t="inlineStr">
        <is>
          <t>HIGH</t>
        </is>
      </c>
      <c r="F824" t="n">
        <v>2</v>
      </c>
      <c r="G824" t="n">
        <v>3</v>
      </c>
      <c r="H824" t="inlineStr">
        <is>
          <t>HIGH</t>
        </is>
      </c>
      <c r="I824" t="n">
        <v>14.5</v>
      </c>
      <c r="J824" t="inlineStr">
        <is>
          <t>NO</t>
        </is>
      </c>
      <c r="K824" t="inlineStr">
        <is>
          <t>2026-02-23 23:48</t>
        </is>
      </c>
      <c r="L824" t="inlineStr">
        <is>
          <t>CHECK_VENDOR</t>
        </is>
      </c>
      <c r="M824" t="inlineStr">
        <is>
          <t>See CVE details</t>
        </is>
      </c>
      <c r="N824" t="inlineStr">
        <is>
          <t>P3</t>
        </is>
      </c>
      <c r="O824" t="inlineStr">
        <is>
          <t>CVE - IP enrichment n/a</t>
        </is>
      </c>
      <c r="P824" t="n">
        <v>0</v>
      </c>
      <c r="Q824" t="n">
        <v>0</v>
      </c>
      <c r="R824" t="inlineStr">
        <is>
          <t>T1190:Exploit Public-Facing Application</t>
        </is>
      </c>
      <c r="S824" t="n">
        <v>1</v>
      </c>
      <c r="T824" t="inlineStr">
        <is>
          <t>LOW (40%)</t>
        </is>
      </c>
      <c r="U824" t="inlineStr">
        <is>
          <t>UNLIKELY</t>
        </is>
      </c>
      <c r="V824" t="inlineStr">
        <is>
          <t>CHECK_VENDOR</t>
        </is>
      </c>
      <c r="W824" t="inlineStr">
        <is>
          <t>https://nvd.nist.gov/vuln/detail/CVE-2025-67969</t>
        </is>
      </c>
      <c r="X824" t="inlineStr">
        <is>
          <t>NONE</t>
        </is>
      </c>
      <c r="Y824" t="n">
        <v>0</v>
      </c>
      <c r="Z824" t="inlineStr"/>
      <c r="AA824" t="inlineStr">
        <is>
          <t>https://nvd.nist.gov/vuln/detail/CVE-2025-67969</t>
        </is>
      </c>
    </row>
    <row r="825">
      <c r="A825" t="inlineStr">
        <is>
          <t>CVE</t>
        </is>
      </c>
      <c r="B825" t="inlineStr">
        <is>
          <t>CVE-2025-67970</t>
        </is>
      </c>
      <c r="C825" t="inlineStr">
        <is>
          <t>Missing Authorization vulnerability in vertim Schedula schedula-smart-appointment-booking allows Exploiting Incorrectly Configured Access Control Security Levels.This issue affects Schedula: from n/a through &lt;= 1.0.</t>
        </is>
      </c>
      <c r="D825" t="n">
        <v>5</v>
      </c>
      <c r="E825" t="inlineStr">
        <is>
          <t>MEDIUM</t>
        </is>
      </c>
      <c r="F825" t="n">
        <v>2</v>
      </c>
      <c r="G825" t="n">
        <v>2</v>
      </c>
      <c r="H825" t="inlineStr">
        <is>
          <t>MEDIUM</t>
        </is>
      </c>
      <c r="I825" t="n">
        <v>9</v>
      </c>
      <c r="J825" t="inlineStr">
        <is>
          <t>NO</t>
        </is>
      </c>
      <c r="K825" t="inlineStr">
        <is>
          <t>2026-02-23 23:48</t>
        </is>
      </c>
      <c r="L825" t="inlineStr">
        <is>
          <t>CHECK_VENDOR</t>
        </is>
      </c>
      <c r="M825" t="inlineStr">
        <is>
          <t>See CVE details</t>
        </is>
      </c>
      <c r="N825" t="inlineStr">
        <is>
          <t>P4</t>
        </is>
      </c>
      <c r="O825" t="inlineStr">
        <is>
          <t>CVE - IP enrichment n/a</t>
        </is>
      </c>
      <c r="P825" t="n">
        <v>0.0002</v>
      </c>
      <c r="Q825" t="n">
        <v>0.0381</v>
      </c>
      <c r="R825" t="inlineStr">
        <is>
          <t>T1190:Exploit Public-Facing Application</t>
        </is>
      </c>
      <c r="S825" t="n">
        <v>1</v>
      </c>
      <c r="T825" t="inlineStr">
        <is>
          <t>LOW (40%)</t>
        </is>
      </c>
      <c r="U825" t="inlineStr">
        <is>
          <t>UNLIKELY</t>
        </is>
      </c>
      <c r="V825" t="inlineStr">
        <is>
          <t>CHECK_VENDOR</t>
        </is>
      </c>
      <c r="W825" t="inlineStr">
        <is>
          <t>https://nvd.nist.gov/vuln/detail/CVE-2025-67970</t>
        </is>
      </c>
      <c r="X825" t="inlineStr">
        <is>
          <t>NONE</t>
        </is>
      </c>
      <c r="Y825" t="n">
        <v>0</v>
      </c>
      <c r="Z825" t="inlineStr"/>
      <c r="AA825" t="inlineStr">
        <is>
          <t>https://nvd.nist.gov/vuln/detail/CVE-2025-67970</t>
        </is>
      </c>
    </row>
    <row r="826">
      <c r="A826" t="inlineStr">
        <is>
          <t>CVE</t>
        </is>
      </c>
      <c r="B826" t="inlineStr">
        <is>
          <t>CVE-2025-67971</t>
        </is>
      </c>
      <c r="C826" t="inlineStr">
        <is>
          <t>Improper Neutralization of Input During Web Page Generation ('Cross-site Scripting') vulnerability in WPManageNinja FluentCart fluent-cart allows Reflected XSS.This issue affects FluentCart: from n/a through &lt; 1.3.0.</t>
        </is>
      </c>
      <c r="D826" t="n">
        <v>5</v>
      </c>
      <c r="E826" t="inlineStr">
        <is>
          <t>MEDIUM</t>
        </is>
      </c>
      <c r="F826" t="n">
        <v>2</v>
      </c>
      <c r="G826" t="n">
        <v>2</v>
      </c>
      <c r="H826" t="inlineStr">
        <is>
          <t>MEDIUM</t>
        </is>
      </c>
      <c r="I826" t="n">
        <v>9</v>
      </c>
      <c r="J826" t="inlineStr">
        <is>
          <t>NO</t>
        </is>
      </c>
      <c r="K826" t="inlineStr">
        <is>
          <t>2026-02-23 23:48</t>
        </is>
      </c>
      <c r="L826" t="inlineStr">
        <is>
          <t>CHECK_VENDOR</t>
        </is>
      </c>
      <c r="M826" t="inlineStr">
        <is>
          <t>See CVE details</t>
        </is>
      </c>
      <c r="N826" t="inlineStr">
        <is>
          <t>P4</t>
        </is>
      </c>
      <c r="O826" t="inlineStr">
        <is>
          <t>CVE - IP enrichment n/a</t>
        </is>
      </c>
      <c r="P826" t="n">
        <v>0</v>
      </c>
      <c r="Q826" t="n">
        <v>0</v>
      </c>
      <c r="R826" t="inlineStr">
        <is>
          <t>T1189:Drive-by Compromise</t>
        </is>
      </c>
      <c r="S826" t="n">
        <v>1</v>
      </c>
      <c r="T826" t="inlineStr">
        <is>
          <t>LOW (40%)</t>
        </is>
      </c>
      <c r="U826" t="inlineStr">
        <is>
          <t>UNLIKELY</t>
        </is>
      </c>
      <c r="V826" t="inlineStr">
        <is>
          <t>CHECK_VENDOR</t>
        </is>
      </c>
      <c r="W826" t="inlineStr">
        <is>
          <t>https://nvd.nist.gov/vuln/detail/CVE-2025-67971</t>
        </is>
      </c>
      <c r="X826" t="inlineStr">
        <is>
          <t>NONE</t>
        </is>
      </c>
      <c r="Y826" t="n">
        <v>0</v>
      </c>
      <c r="Z826" t="inlineStr"/>
      <c r="AA826" t="inlineStr">
        <is>
          <t>https://nvd.nist.gov/vuln/detail/CVE-2025-67971</t>
        </is>
      </c>
    </row>
    <row r="827">
      <c r="A827" t="inlineStr">
        <is>
          <t>CVE</t>
        </is>
      </c>
      <c r="B827" t="inlineStr">
        <is>
          <t>CVE-2025-67972</t>
        </is>
      </c>
      <c r="C827" t="inlineStr">
        <is>
          <t>Improper Neutralization of Input During Web Page Generation ('Cross-site Scripting') vulnerability in fox-themes Prague prague-plugins allows Reflected XSS.This issue affects Prague: from n/a through &lt;= 2.2.8.</t>
        </is>
      </c>
      <c r="D827" t="n">
        <v>5</v>
      </c>
      <c r="E827" t="inlineStr">
        <is>
          <t>MEDIUM</t>
        </is>
      </c>
      <c r="F827" t="n">
        <v>2</v>
      </c>
      <c r="G827" t="n">
        <v>2</v>
      </c>
      <c r="H827" t="inlineStr">
        <is>
          <t>MEDIUM</t>
        </is>
      </c>
      <c r="I827" t="n">
        <v>9</v>
      </c>
      <c r="J827" t="inlineStr">
        <is>
          <t>NO</t>
        </is>
      </c>
      <c r="K827" t="inlineStr">
        <is>
          <t>2026-02-23 23:48</t>
        </is>
      </c>
      <c r="L827" t="inlineStr">
        <is>
          <t>CHECK_VENDOR</t>
        </is>
      </c>
      <c r="M827" t="inlineStr">
        <is>
          <t>See CVE details</t>
        </is>
      </c>
      <c r="N827" t="inlineStr">
        <is>
          <t>P4</t>
        </is>
      </c>
      <c r="O827" t="inlineStr">
        <is>
          <t>CVE - IP enrichment n/a</t>
        </is>
      </c>
      <c r="P827" t="n">
        <v>0.0003</v>
      </c>
      <c r="Q827" t="n">
        <v>0.0808</v>
      </c>
      <c r="R827" t="inlineStr">
        <is>
          <t>T1189:Drive-by Compromise</t>
        </is>
      </c>
      <c r="S827" t="n">
        <v>1</v>
      </c>
      <c r="T827" t="inlineStr">
        <is>
          <t>LOW (40%)</t>
        </is>
      </c>
      <c r="U827" t="inlineStr">
        <is>
          <t>UNLIKELY</t>
        </is>
      </c>
      <c r="V827" t="inlineStr">
        <is>
          <t>CHECK_VENDOR</t>
        </is>
      </c>
      <c r="W827" t="inlineStr">
        <is>
          <t>https://nvd.nist.gov/vuln/detail/CVE-2025-67972</t>
        </is>
      </c>
      <c r="X827" t="inlineStr">
        <is>
          <t>NONE</t>
        </is>
      </c>
      <c r="Y827" t="n">
        <v>0</v>
      </c>
      <c r="Z827" t="inlineStr"/>
      <c r="AA827" t="inlineStr">
        <is>
          <t>https://nvd.nist.gov/vuln/detail/CVE-2025-67972</t>
        </is>
      </c>
    </row>
    <row r="828">
      <c r="A828" t="inlineStr">
        <is>
          <t>CVE</t>
        </is>
      </c>
      <c r="B828" t="inlineStr">
        <is>
          <t>CVE-2025-67973</t>
        </is>
      </c>
      <c r="C828" t="inlineStr">
        <is>
          <t>Missing Authorization vulnerability in sunshinephotocart Sunshine Photo Cart sunshine-photo-cart allows Exploiting Incorrectly Configured Access Control Security Levels.This issue affects Sunshine Photo Cart: from n/a through &lt;= 3.5.6.2.</t>
        </is>
      </c>
      <c r="D828" t="n">
        <v>5</v>
      </c>
      <c r="E828" t="inlineStr">
        <is>
          <t>MEDIUM</t>
        </is>
      </c>
      <c r="F828" t="n">
        <v>2</v>
      </c>
      <c r="G828" t="n">
        <v>2</v>
      </c>
      <c r="H828" t="inlineStr">
        <is>
          <t>MEDIUM</t>
        </is>
      </c>
      <c r="I828" t="n">
        <v>9</v>
      </c>
      <c r="J828" t="inlineStr">
        <is>
          <t>NO</t>
        </is>
      </c>
      <c r="K828" t="inlineStr">
        <is>
          <t>2026-02-23 23:48</t>
        </is>
      </c>
      <c r="L828" t="inlineStr">
        <is>
          <t>CHECK_VENDOR</t>
        </is>
      </c>
      <c r="M828" t="inlineStr">
        <is>
          <t>See CVE details</t>
        </is>
      </c>
      <c r="N828" t="inlineStr">
        <is>
          <t>P4</t>
        </is>
      </c>
      <c r="O828" t="inlineStr">
        <is>
          <t>CVE - IP enrichment n/a</t>
        </is>
      </c>
      <c r="P828" t="n">
        <v>0.0002</v>
      </c>
      <c r="Q828" t="n">
        <v>0.0381</v>
      </c>
      <c r="R828" t="inlineStr">
        <is>
          <t>T1190:Exploit Public-Facing Application</t>
        </is>
      </c>
      <c r="S828" t="n">
        <v>1</v>
      </c>
      <c r="T828" t="inlineStr">
        <is>
          <t>LOW (40%)</t>
        </is>
      </c>
      <c r="U828" t="inlineStr">
        <is>
          <t>UNLIKELY</t>
        </is>
      </c>
      <c r="V828" t="inlineStr">
        <is>
          <t>CHECK_VENDOR</t>
        </is>
      </c>
      <c r="W828" t="inlineStr">
        <is>
          <t>https://nvd.nist.gov/vuln/detail/CVE-2025-67973</t>
        </is>
      </c>
      <c r="X828" t="inlineStr">
        <is>
          <t>NONE</t>
        </is>
      </c>
      <c r="Y828" t="n">
        <v>0</v>
      </c>
      <c r="Z828" t="inlineStr"/>
      <c r="AA828" t="inlineStr">
        <is>
          <t>https://nvd.nist.gov/vuln/detail/CVE-2025-67973</t>
        </is>
      </c>
    </row>
    <row r="829">
      <c r="A829" t="inlineStr">
        <is>
          <t>CVE</t>
        </is>
      </c>
      <c r="B829" t="inlineStr">
        <is>
          <t>CVE-2025-67974</t>
        </is>
      </c>
      <c r="C829" t="inlineStr">
        <is>
          <t>Missing Authorization vulnerability in WP Legal Pages WPLegalPages wplegalpages allows Exploiting Incorrectly Configured Access Control Security Levels.This issue affects WPLegalPages: from n/a through &lt;= 3.5.4.</t>
        </is>
      </c>
      <c r="D829" t="n">
        <v>5</v>
      </c>
      <c r="E829" t="inlineStr">
        <is>
          <t>MEDIUM</t>
        </is>
      </c>
      <c r="F829" t="n">
        <v>2</v>
      </c>
      <c r="G829" t="n">
        <v>2</v>
      </c>
      <c r="H829" t="inlineStr">
        <is>
          <t>MEDIUM</t>
        </is>
      </c>
      <c r="I829" t="n">
        <v>9</v>
      </c>
      <c r="J829" t="inlineStr">
        <is>
          <t>NO</t>
        </is>
      </c>
      <c r="K829" t="inlineStr">
        <is>
          <t>2026-02-23 23:48</t>
        </is>
      </c>
      <c r="L829" t="inlineStr">
        <is>
          <t>CHECK_VENDOR</t>
        </is>
      </c>
      <c r="M829" t="inlineStr">
        <is>
          <t>See CVE details</t>
        </is>
      </c>
      <c r="N829" t="inlineStr">
        <is>
          <t>P4</t>
        </is>
      </c>
      <c r="O829" t="inlineStr">
        <is>
          <t>CVE - IP enrichment n/a</t>
        </is>
      </c>
      <c r="P829" t="n">
        <v>0</v>
      </c>
      <c r="Q829" t="n">
        <v>0</v>
      </c>
      <c r="R829" t="inlineStr">
        <is>
          <t>T1190:Exploit Public-Facing Application</t>
        </is>
      </c>
      <c r="S829" t="n">
        <v>1</v>
      </c>
      <c r="T829" t="inlineStr">
        <is>
          <t>LOW (40%)</t>
        </is>
      </c>
      <c r="U829" t="inlineStr">
        <is>
          <t>UNLIKELY</t>
        </is>
      </c>
      <c r="V829" t="inlineStr">
        <is>
          <t>CHECK_VENDOR</t>
        </is>
      </c>
      <c r="W829" t="inlineStr">
        <is>
          <t>https://nvd.nist.gov/vuln/detail/CVE-2025-67974</t>
        </is>
      </c>
      <c r="X829" t="inlineStr">
        <is>
          <t>NONE</t>
        </is>
      </c>
      <c r="Y829" t="n">
        <v>0</v>
      </c>
      <c r="Z829" t="inlineStr"/>
      <c r="AA829" t="inlineStr">
        <is>
          <t>https://nvd.nist.gov/vuln/detail/CVE-2025-67974</t>
        </is>
      </c>
    </row>
    <row r="830">
      <c r="A830" t="inlineStr">
        <is>
          <t>CVE</t>
        </is>
      </c>
      <c r="B830" t="inlineStr">
        <is>
          <t>CVE-2025-67975</t>
        </is>
      </c>
      <c r="C830" t="inlineStr">
        <is>
          <t>Missing Authorization vulnerability in aDirectory aDirectory adirectory allows Exploiting Incorrectly Configured Access Control Security Levels.This issue affects aDirectory: from n/a through &lt;= 3.0.3.</t>
        </is>
      </c>
      <c r="D830" t="n">
        <v>5</v>
      </c>
      <c r="E830" t="inlineStr">
        <is>
          <t>MEDIUM</t>
        </is>
      </c>
      <c r="F830" t="n">
        <v>2</v>
      </c>
      <c r="G830" t="n">
        <v>2</v>
      </c>
      <c r="H830" t="inlineStr">
        <is>
          <t>MEDIUM</t>
        </is>
      </c>
      <c r="I830" t="n">
        <v>9</v>
      </c>
      <c r="J830" t="inlineStr">
        <is>
          <t>NO</t>
        </is>
      </c>
      <c r="K830" t="inlineStr">
        <is>
          <t>2026-02-23 23:48</t>
        </is>
      </c>
      <c r="L830" t="inlineStr">
        <is>
          <t>CHECK_VENDOR</t>
        </is>
      </c>
      <c r="M830" t="inlineStr">
        <is>
          <t>See CVE details</t>
        </is>
      </c>
      <c r="N830" t="inlineStr">
        <is>
          <t>P4</t>
        </is>
      </c>
      <c r="O830" t="inlineStr">
        <is>
          <t>CVE - IP enrichment n/a</t>
        </is>
      </c>
      <c r="P830" t="n">
        <v>0</v>
      </c>
      <c r="Q830" t="n">
        <v>0</v>
      </c>
      <c r="R830" t="inlineStr">
        <is>
          <t>T1190:Exploit Public-Facing Application</t>
        </is>
      </c>
      <c r="S830" t="n">
        <v>1</v>
      </c>
      <c r="T830" t="inlineStr">
        <is>
          <t>LOW (40%)</t>
        </is>
      </c>
      <c r="U830" t="inlineStr">
        <is>
          <t>UNLIKELY</t>
        </is>
      </c>
      <c r="V830" t="inlineStr">
        <is>
          <t>CHECK_VENDOR</t>
        </is>
      </c>
      <c r="W830" t="inlineStr">
        <is>
          <t>https://nvd.nist.gov/vuln/detail/CVE-2025-67975</t>
        </is>
      </c>
      <c r="X830" t="inlineStr">
        <is>
          <t>NONE</t>
        </is>
      </c>
      <c r="Y830" t="n">
        <v>0</v>
      </c>
      <c r="Z830" t="inlineStr"/>
      <c r="AA830" t="inlineStr">
        <is>
          <t>https://nvd.nist.gov/vuln/detail/CVE-2025-67975</t>
        </is>
      </c>
    </row>
    <row r="831">
      <c r="A831" t="inlineStr">
        <is>
          <t>CVE</t>
        </is>
      </c>
      <c r="B831" t="inlineStr">
        <is>
          <t>CVE-2025-67977</t>
        </is>
      </c>
      <c r="C831" t="inlineStr">
        <is>
          <t>Missing Authorization vulnerability in VillaTheme HAPPY happy-helpdesk-support-ticket-system allows Exploiting Incorrectly Configured Access Control Security Levels.This issue affects HAPPY: from n/a through &lt;= 1.0.8.</t>
        </is>
      </c>
      <c r="D831" t="n">
        <v>5</v>
      </c>
      <c r="E831" t="inlineStr">
        <is>
          <t>MEDIUM</t>
        </is>
      </c>
      <c r="F831" t="n">
        <v>2</v>
      </c>
      <c r="G831" t="n">
        <v>2</v>
      </c>
      <c r="H831" t="inlineStr">
        <is>
          <t>MEDIUM</t>
        </is>
      </c>
      <c r="I831" t="n">
        <v>9</v>
      </c>
      <c r="J831" t="inlineStr">
        <is>
          <t>NO</t>
        </is>
      </c>
      <c r="K831" t="inlineStr">
        <is>
          <t>2026-02-23 23:48</t>
        </is>
      </c>
      <c r="L831" t="inlineStr">
        <is>
          <t>CHECK_VENDOR</t>
        </is>
      </c>
      <c r="M831" t="inlineStr">
        <is>
          <t>See CVE details</t>
        </is>
      </c>
      <c r="N831" t="inlineStr">
        <is>
          <t>P4</t>
        </is>
      </c>
      <c r="O831" t="inlineStr">
        <is>
          <t>CVE - IP enrichment n/a</t>
        </is>
      </c>
      <c r="P831" t="n">
        <v>0</v>
      </c>
      <c r="Q831" t="n">
        <v>0</v>
      </c>
      <c r="R831" t="inlineStr">
        <is>
          <t>T1190:Exploit Public-Facing Application</t>
        </is>
      </c>
      <c r="S831" t="n">
        <v>1</v>
      </c>
      <c r="T831" t="inlineStr">
        <is>
          <t>LOW (40%)</t>
        </is>
      </c>
      <c r="U831" t="inlineStr">
        <is>
          <t>UNLIKELY</t>
        </is>
      </c>
      <c r="V831" t="inlineStr">
        <is>
          <t>CHECK_VENDOR</t>
        </is>
      </c>
      <c r="W831" t="inlineStr">
        <is>
          <t>https://nvd.nist.gov/vuln/detail/CVE-2025-67977</t>
        </is>
      </c>
      <c r="X831" t="inlineStr">
        <is>
          <t>NONE</t>
        </is>
      </c>
      <c r="Y831" t="n">
        <v>0</v>
      </c>
      <c r="Z831" t="inlineStr"/>
      <c r="AA831" t="inlineStr">
        <is>
          <t>https://nvd.nist.gov/vuln/detail/CVE-2025-67977</t>
        </is>
      </c>
    </row>
    <row r="832">
      <c r="A832" t="inlineStr">
        <is>
          <t>CVE</t>
        </is>
      </c>
      <c r="B832" t="inlineStr">
        <is>
          <t>CVE-2025-67978</t>
        </is>
      </c>
      <c r="C832" t="inlineStr">
        <is>
          <t>Improper Neutralization of Input During Web Page Generation ('Cross-site Scripting') vulnerability in FixBD Educare educare allows Reflected XSS.This issue affects Educare: from n/a through &lt;= 1.6.1.</t>
        </is>
      </c>
      <c r="D832" t="n">
        <v>5</v>
      </c>
      <c r="E832" t="inlineStr">
        <is>
          <t>MEDIUM</t>
        </is>
      </c>
      <c r="F832" t="n">
        <v>2</v>
      </c>
      <c r="G832" t="n">
        <v>2</v>
      </c>
      <c r="H832" t="inlineStr">
        <is>
          <t>MEDIUM</t>
        </is>
      </c>
      <c r="I832" t="n">
        <v>9</v>
      </c>
      <c r="J832" t="inlineStr">
        <is>
          <t>NO</t>
        </is>
      </c>
      <c r="K832" t="inlineStr">
        <is>
          <t>2026-02-23 23:48</t>
        </is>
      </c>
      <c r="L832" t="inlineStr">
        <is>
          <t>CHECK_VENDOR</t>
        </is>
      </c>
      <c r="M832" t="inlineStr">
        <is>
          <t>See CVE details</t>
        </is>
      </c>
      <c r="N832" t="inlineStr">
        <is>
          <t>P4</t>
        </is>
      </c>
      <c r="O832" t="inlineStr">
        <is>
          <t>CVE - IP enrichment n/a</t>
        </is>
      </c>
      <c r="P832" t="n">
        <v>0.0003</v>
      </c>
      <c r="Q832" t="n">
        <v>0.0808</v>
      </c>
      <c r="R832" t="inlineStr">
        <is>
          <t>T1189:Drive-by Compromise</t>
        </is>
      </c>
      <c r="S832" t="n">
        <v>1</v>
      </c>
      <c r="T832" t="inlineStr">
        <is>
          <t>LOW (40%)</t>
        </is>
      </c>
      <c r="U832" t="inlineStr">
        <is>
          <t>UNLIKELY</t>
        </is>
      </c>
      <c r="V832" t="inlineStr">
        <is>
          <t>CHECK_VENDOR</t>
        </is>
      </c>
      <c r="W832" t="inlineStr">
        <is>
          <t>https://nvd.nist.gov/vuln/detail/CVE-2025-67978</t>
        </is>
      </c>
      <c r="X832" t="inlineStr">
        <is>
          <t>NONE</t>
        </is>
      </c>
      <c r="Y832" t="n">
        <v>0</v>
      </c>
      <c r="Z832" t="inlineStr"/>
      <c r="AA832" t="inlineStr">
        <is>
          <t>https://nvd.nist.gov/vuln/detail/CVE-2025-67978</t>
        </is>
      </c>
    </row>
    <row r="833">
      <c r="A833" t="inlineStr">
        <is>
          <t>CVE</t>
        </is>
      </c>
      <c r="B833" t="inlineStr">
        <is>
          <t>CVE-2025-67979</t>
        </is>
      </c>
      <c r="C833" t="inlineStr">
        <is>
          <t>Improper Control of Generation of Code ('Code Injection') vulnerability in WesternDeal WPForms Google Sheet Connector gsheetconnector-wpforms allows Code Injection.This issue affects WPForms Google Sheet Connector: from n/a through &lt;= 4.0.1.</t>
        </is>
      </c>
      <c r="D833" t="n">
        <v>5</v>
      </c>
      <c r="E833" t="inlineStr">
        <is>
          <t>MEDIUM</t>
        </is>
      </c>
      <c r="F833" t="n">
        <v>2</v>
      </c>
      <c r="G833" t="n">
        <v>2</v>
      </c>
      <c r="H833" t="inlineStr">
        <is>
          <t>MEDIUM</t>
        </is>
      </c>
      <c r="I833" t="n">
        <v>9</v>
      </c>
      <c r="J833" t="inlineStr">
        <is>
          <t>NO</t>
        </is>
      </c>
      <c r="K833" t="inlineStr">
        <is>
          <t>2026-02-23 23:48</t>
        </is>
      </c>
      <c r="L833" t="inlineStr">
        <is>
          <t>CHECK_VENDOR</t>
        </is>
      </c>
      <c r="M833" t="inlineStr">
        <is>
          <t>See CVE details</t>
        </is>
      </c>
      <c r="N833" t="inlineStr">
        <is>
          <t>P4</t>
        </is>
      </c>
      <c r="O833" t="inlineStr">
        <is>
          <t>CVE - IP enrichment n/a</t>
        </is>
      </c>
      <c r="P833" t="n">
        <v>0</v>
      </c>
      <c r="Q833" t="n">
        <v>0</v>
      </c>
      <c r="R833" t="inlineStr">
        <is>
          <t>T1059:Command and Scripting Interpreter</t>
        </is>
      </c>
      <c r="S833" t="n">
        <v>1</v>
      </c>
      <c r="T833" t="inlineStr">
        <is>
          <t>LOW (40%)</t>
        </is>
      </c>
      <c r="U833" t="inlineStr">
        <is>
          <t>UNLIKELY</t>
        </is>
      </c>
      <c r="V833" t="inlineStr">
        <is>
          <t>CHECK_VENDOR</t>
        </is>
      </c>
      <c r="W833" t="inlineStr">
        <is>
          <t>https://nvd.nist.gov/vuln/detail/CVE-2025-67979</t>
        </is>
      </c>
      <c r="X833" t="inlineStr">
        <is>
          <t>NONE</t>
        </is>
      </c>
      <c r="Y833" t="n">
        <v>0</v>
      </c>
      <c r="Z833" t="inlineStr"/>
      <c r="AA833" t="inlineStr">
        <is>
          <t>https://nvd.nist.gov/vuln/detail/CVE-2025-67979</t>
        </is>
      </c>
    </row>
    <row r="834">
      <c r="A834" t="inlineStr">
        <is>
          <t>CVE</t>
        </is>
      </c>
      <c r="B834" t="inlineStr">
        <is>
          <t>CVE-2025-67980</t>
        </is>
      </c>
      <c r="C834" t="inlineStr">
        <is>
          <t>Improper Control of Filename for Include/Require Statement in PHP Program ('PHP Remote File Inclusion') vulnerability in thembay Hara hara allows PHP Local File Inclusion.This issue affects Hara: from n/a through &lt;= 1.2.17.</t>
        </is>
      </c>
      <c r="D834" t="n">
        <v>5</v>
      </c>
      <c r="E834" t="inlineStr">
        <is>
          <t>MEDIUM</t>
        </is>
      </c>
      <c r="F834" t="n">
        <v>2</v>
      </c>
      <c r="G834" t="n">
        <v>2</v>
      </c>
      <c r="H834" t="inlineStr">
        <is>
          <t>MEDIUM</t>
        </is>
      </c>
      <c r="I834" t="n">
        <v>9</v>
      </c>
      <c r="J834" t="inlineStr">
        <is>
          <t>NO</t>
        </is>
      </c>
      <c r="K834" t="inlineStr">
        <is>
          <t>2026-02-23 23:48</t>
        </is>
      </c>
      <c r="L834" t="inlineStr">
        <is>
          <t>CHECK_VENDOR</t>
        </is>
      </c>
      <c r="M834" t="inlineStr">
        <is>
          <t>See CVE details</t>
        </is>
      </c>
      <c r="N834" t="inlineStr">
        <is>
          <t>P4</t>
        </is>
      </c>
      <c r="O834" t="inlineStr">
        <is>
          <t>CVE - IP enrichment n/a</t>
        </is>
      </c>
      <c r="P834" t="n">
        <v>0</v>
      </c>
      <c r="Q834" t="n">
        <v>0</v>
      </c>
      <c r="R834" t="inlineStr">
        <is>
          <t>T1190:Exploit Public-Facing Application</t>
        </is>
      </c>
      <c r="S834" t="n">
        <v>1</v>
      </c>
      <c r="T834" t="inlineStr">
        <is>
          <t>LOW (40%)</t>
        </is>
      </c>
      <c r="U834" t="inlineStr">
        <is>
          <t>UNLIKELY</t>
        </is>
      </c>
      <c r="V834" t="inlineStr">
        <is>
          <t>CHECK_VENDOR</t>
        </is>
      </c>
      <c r="W834" t="inlineStr">
        <is>
          <t>https://nvd.nist.gov/vuln/detail/CVE-2025-67980</t>
        </is>
      </c>
      <c r="X834" t="inlineStr">
        <is>
          <t>NONE</t>
        </is>
      </c>
      <c r="Y834" t="n">
        <v>0</v>
      </c>
      <c r="Z834" t="inlineStr"/>
      <c r="AA834" t="inlineStr">
        <is>
          <t>https://nvd.nist.gov/vuln/detail/CVE-2025-67980</t>
        </is>
      </c>
    </row>
    <row r="835">
      <c r="A835" t="inlineStr">
        <is>
          <t>CVE</t>
        </is>
      </c>
      <c r="B835" t="inlineStr">
        <is>
          <t>CVE-2025-67981</t>
        </is>
      </c>
      <c r="C835" t="inlineStr">
        <is>
          <t>Improper Control of Filename for Include/Require Statement in PHP Program ('PHP Remote File Inclusion') vulnerability in thembay Besa besa allows PHP Local File Inclusion.This issue affects Besa: from n/a through &lt;= 2.3.15.</t>
        </is>
      </c>
      <c r="D835" t="n">
        <v>5</v>
      </c>
      <c r="E835" t="inlineStr">
        <is>
          <t>MEDIUM</t>
        </is>
      </c>
      <c r="F835" t="n">
        <v>2</v>
      </c>
      <c r="G835" t="n">
        <v>2</v>
      </c>
      <c r="H835" t="inlineStr">
        <is>
          <t>MEDIUM</t>
        </is>
      </c>
      <c r="I835" t="n">
        <v>9</v>
      </c>
      <c r="J835" t="inlineStr">
        <is>
          <t>NO</t>
        </is>
      </c>
      <c r="K835" t="inlineStr">
        <is>
          <t>2026-02-23 23:48</t>
        </is>
      </c>
      <c r="L835" t="inlineStr">
        <is>
          <t>CHECK_VENDOR</t>
        </is>
      </c>
      <c r="M835" t="inlineStr">
        <is>
          <t>See CVE details</t>
        </is>
      </c>
      <c r="N835" t="inlineStr">
        <is>
          <t>P4</t>
        </is>
      </c>
      <c r="O835" t="inlineStr">
        <is>
          <t>CVE - IP enrichment n/a</t>
        </is>
      </c>
      <c r="P835" t="n">
        <v>0</v>
      </c>
      <c r="Q835" t="n">
        <v>0</v>
      </c>
      <c r="R835" t="inlineStr">
        <is>
          <t>T1190:Exploit Public-Facing Application</t>
        </is>
      </c>
      <c r="S835" t="n">
        <v>1</v>
      </c>
      <c r="T835" t="inlineStr">
        <is>
          <t>LOW (40%)</t>
        </is>
      </c>
      <c r="U835" t="inlineStr">
        <is>
          <t>UNLIKELY</t>
        </is>
      </c>
      <c r="V835" t="inlineStr">
        <is>
          <t>CHECK_VENDOR</t>
        </is>
      </c>
      <c r="W835" t="inlineStr">
        <is>
          <t>https://nvd.nist.gov/vuln/detail/CVE-2025-67981</t>
        </is>
      </c>
      <c r="X835" t="inlineStr">
        <is>
          <t>NONE</t>
        </is>
      </c>
      <c r="Y835" t="n">
        <v>0</v>
      </c>
      <c r="Z835" t="inlineStr"/>
      <c r="AA835" t="inlineStr">
        <is>
          <t>https://nvd.nist.gov/vuln/detail/CVE-2025-67981</t>
        </is>
      </c>
    </row>
    <row r="836">
      <c r="A836" t="inlineStr">
        <is>
          <t>CVE</t>
        </is>
      </c>
      <c r="B836" t="inlineStr">
        <is>
          <t>CVE-2025-67982</t>
        </is>
      </c>
      <c r="C836" t="inlineStr">
        <is>
          <t>Improper Control of Filename for Include/Require Statement in PHP Program ('PHP Remote File Inclusion') vulnerability in thembay Urna urna allows PHP Local File Inclusion.This issue affects Urna: from n/a through &lt;= 2.5.12.</t>
        </is>
      </c>
      <c r="D836" t="n">
        <v>5</v>
      </c>
      <c r="E836" t="inlineStr">
        <is>
          <t>MEDIUM</t>
        </is>
      </c>
      <c r="F836" t="n">
        <v>2</v>
      </c>
      <c r="G836" t="n">
        <v>2</v>
      </c>
      <c r="H836" t="inlineStr">
        <is>
          <t>MEDIUM</t>
        </is>
      </c>
      <c r="I836" t="n">
        <v>9</v>
      </c>
      <c r="J836" t="inlineStr">
        <is>
          <t>NO</t>
        </is>
      </c>
      <c r="K836" t="inlineStr">
        <is>
          <t>2026-02-23 23:48</t>
        </is>
      </c>
      <c r="L836" t="inlineStr">
        <is>
          <t>CHECK_VENDOR</t>
        </is>
      </c>
      <c r="M836" t="inlineStr">
        <is>
          <t>See CVE details</t>
        </is>
      </c>
      <c r="N836" t="inlineStr">
        <is>
          <t>P4</t>
        </is>
      </c>
      <c r="O836" t="inlineStr">
        <is>
          <t>CVE - IP enrichment n/a</t>
        </is>
      </c>
      <c r="P836" t="n">
        <v>0</v>
      </c>
      <c r="Q836" t="n">
        <v>0</v>
      </c>
      <c r="R836" t="inlineStr">
        <is>
          <t>T1190:Exploit Public-Facing Application</t>
        </is>
      </c>
      <c r="S836" t="n">
        <v>1</v>
      </c>
      <c r="T836" t="inlineStr">
        <is>
          <t>LOW (40%)</t>
        </is>
      </c>
      <c r="U836" t="inlineStr">
        <is>
          <t>UNLIKELY</t>
        </is>
      </c>
      <c r="V836" t="inlineStr">
        <is>
          <t>CHECK_VENDOR</t>
        </is>
      </c>
      <c r="W836" t="inlineStr">
        <is>
          <t>https://nvd.nist.gov/vuln/detail/CVE-2025-67982</t>
        </is>
      </c>
      <c r="X836" t="inlineStr">
        <is>
          <t>NONE</t>
        </is>
      </c>
      <c r="Y836" t="n">
        <v>0</v>
      </c>
      <c r="Z836" t="inlineStr"/>
      <c r="AA836" t="inlineStr">
        <is>
          <t>https://nvd.nist.gov/vuln/detail/CVE-2025-67982</t>
        </is>
      </c>
    </row>
    <row r="837">
      <c r="A837" t="inlineStr">
        <is>
          <t>CVE</t>
        </is>
      </c>
      <c r="B837" t="inlineStr">
        <is>
          <t>CVE-2025-67984</t>
        </is>
      </c>
      <c r="C837" t="inlineStr">
        <is>
          <t>Improper Neutralization of Input During Web Page Generation ('Cross-site Scripting') vulnerability in calliko NPS computy nps-computy allows DOM-Based XSS.This issue affects NPS computy: from n/a through &lt;= 2.8.2.</t>
        </is>
      </c>
      <c r="D837" t="n">
        <v>5</v>
      </c>
      <c r="E837" t="inlineStr">
        <is>
          <t>MEDIUM</t>
        </is>
      </c>
      <c r="F837" t="n">
        <v>2</v>
      </c>
      <c r="G837" t="n">
        <v>2</v>
      </c>
      <c r="H837" t="inlineStr">
        <is>
          <t>MEDIUM</t>
        </is>
      </c>
      <c r="I837" t="n">
        <v>9</v>
      </c>
      <c r="J837" t="inlineStr">
        <is>
          <t>NO</t>
        </is>
      </c>
      <c r="K837" t="inlineStr">
        <is>
          <t>2026-02-23 23:48</t>
        </is>
      </c>
      <c r="L837" t="inlineStr">
        <is>
          <t>CHECK_VENDOR</t>
        </is>
      </c>
      <c r="M837" t="inlineStr">
        <is>
          <t>See CVE details</t>
        </is>
      </c>
      <c r="N837" t="inlineStr">
        <is>
          <t>P4</t>
        </is>
      </c>
      <c r="O837" t="inlineStr">
        <is>
          <t>CVE - IP enrichment n/a</t>
        </is>
      </c>
      <c r="P837" t="n">
        <v>0</v>
      </c>
      <c r="Q837" t="n">
        <v>0</v>
      </c>
      <c r="R837" t="inlineStr">
        <is>
          <t>T1189:Drive-by Compromise</t>
        </is>
      </c>
      <c r="S837" t="n">
        <v>1</v>
      </c>
      <c r="T837" t="inlineStr">
        <is>
          <t>LOW (40%)</t>
        </is>
      </c>
      <c r="U837" t="inlineStr">
        <is>
          <t>UNLIKELY</t>
        </is>
      </c>
      <c r="V837" t="inlineStr">
        <is>
          <t>CHECK_VENDOR</t>
        </is>
      </c>
      <c r="W837" t="inlineStr">
        <is>
          <t>https://nvd.nist.gov/vuln/detail/CVE-2025-67984</t>
        </is>
      </c>
      <c r="X837" t="inlineStr">
        <is>
          <t>NONE</t>
        </is>
      </c>
      <c r="Y837" t="n">
        <v>0</v>
      </c>
      <c r="Z837" t="inlineStr"/>
      <c r="AA837" t="inlineStr">
        <is>
          <t>https://nvd.nist.gov/vuln/detail/CVE-2025-67984</t>
        </is>
      </c>
    </row>
    <row r="838">
      <c r="A838" t="inlineStr">
        <is>
          <t>CVE</t>
        </is>
      </c>
      <c r="B838" t="inlineStr">
        <is>
          <t>CVE-2025-67987</t>
        </is>
      </c>
      <c r="C838" t="inlineStr">
        <is>
          <t>Improper Neutralization of Special Elements used in an SQL Command ('SQL Injection') vulnerability in ExpressTech Systems Quiz And Survey Master quiz-master-next allows SQL Injection.This issue affects Quiz And Survey Master: from n/a through &lt;= 10.3.1.</t>
        </is>
      </c>
      <c r="D838" t="n">
        <v>5</v>
      </c>
      <c r="E838" t="inlineStr">
        <is>
          <t>MEDIUM</t>
        </is>
      </c>
      <c r="F838" t="n">
        <v>2</v>
      </c>
      <c r="G838" t="n">
        <v>2</v>
      </c>
      <c r="H838" t="inlineStr">
        <is>
          <t>MEDIUM</t>
        </is>
      </c>
      <c r="I838" t="n">
        <v>9</v>
      </c>
      <c r="J838" t="inlineStr">
        <is>
          <t>NO</t>
        </is>
      </c>
      <c r="K838" t="inlineStr">
        <is>
          <t>2026-02-23 23:48</t>
        </is>
      </c>
      <c r="L838" t="inlineStr">
        <is>
          <t>CHECK_VENDOR</t>
        </is>
      </c>
      <c r="M838" t="inlineStr">
        <is>
          <t>See CVE details</t>
        </is>
      </c>
      <c r="N838" t="inlineStr">
        <is>
          <t>P4</t>
        </is>
      </c>
      <c r="O838" t="inlineStr">
        <is>
          <t>CVE - IP enrichment n/a</t>
        </is>
      </c>
      <c r="P838" t="n">
        <v>0.0002</v>
      </c>
      <c r="Q838" t="n">
        <v>0.0536</v>
      </c>
      <c r="R838" t="inlineStr">
        <is>
          <t>T1190:Exploit Public-Facing Application</t>
        </is>
      </c>
      <c r="S838" t="n">
        <v>1</v>
      </c>
      <c r="T838" t="inlineStr">
        <is>
          <t>LOW (40%)</t>
        </is>
      </c>
      <c r="U838" t="inlineStr">
        <is>
          <t>UNLIKELY</t>
        </is>
      </c>
      <c r="V838" t="inlineStr">
        <is>
          <t>CHECK_VENDOR</t>
        </is>
      </c>
      <c r="W838" t="inlineStr">
        <is>
          <t>https://nvd.nist.gov/vuln/detail/CVE-2025-67987</t>
        </is>
      </c>
      <c r="X838" t="inlineStr">
        <is>
          <t>NONE</t>
        </is>
      </c>
      <c r="Y838" t="n">
        <v>0</v>
      </c>
      <c r="Z838" t="inlineStr"/>
      <c r="AA838" t="inlineStr">
        <is>
          <t>https://nvd.nist.gov/vuln/detail/CVE-2025-67987</t>
        </is>
      </c>
    </row>
    <row r="839">
      <c r="A839" t="inlineStr">
        <is>
          <t>CVE</t>
        </is>
      </c>
      <c r="B839" t="inlineStr">
        <is>
          <t>CVE-2025-67988</t>
        </is>
      </c>
      <c r="C839" t="inlineStr">
        <is>
          <t>Improper Control of Filename for Include/Require Statement in PHP Program ('PHP Remote File Inclusion') vulnerability in LoftOcean CozyStay cozystay allows PHP Local File Inclusion.This issue affects CozyStay: from n/a through &lt; 1.9.1.</t>
        </is>
      </c>
      <c r="D839" t="n">
        <v>5</v>
      </c>
      <c r="E839" t="inlineStr">
        <is>
          <t>MEDIUM</t>
        </is>
      </c>
      <c r="F839" t="n">
        <v>2</v>
      </c>
      <c r="G839" t="n">
        <v>2</v>
      </c>
      <c r="H839" t="inlineStr">
        <is>
          <t>MEDIUM</t>
        </is>
      </c>
      <c r="I839" t="n">
        <v>9</v>
      </c>
      <c r="J839" t="inlineStr">
        <is>
          <t>NO</t>
        </is>
      </c>
      <c r="K839" t="inlineStr">
        <is>
          <t>2026-02-23 23:48</t>
        </is>
      </c>
      <c r="L839" t="inlineStr">
        <is>
          <t>CHECK_VENDOR</t>
        </is>
      </c>
      <c r="M839" t="inlineStr">
        <is>
          <t>See CVE details</t>
        </is>
      </c>
      <c r="N839" t="inlineStr">
        <is>
          <t>P4</t>
        </is>
      </c>
      <c r="O839" t="inlineStr">
        <is>
          <t>CVE - IP enrichment n/a</t>
        </is>
      </c>
      <c r="P839" t="n">
        <v>0.0005</v>
      </c>
      <c r="Q839" t="n">
        <v>0.1673</v>
      </c>
      <c r="R839" t="inlineStr">
        <is>
          <t>T1190:Exploit Public-Facing Application</t>
        </is>
      </c>
      <c r="S839" t="n">
        <v>1</v>
      </c>
      <c r="T839" t="inlineStr">
        <is>
          <t>LOW (40%)</t>
        </is>
      </c>
      <c r="U839" t="inlineStr">
        <is>
          <t>UNLIKELY</t>
        </is>
      </c>
      <c r="V839" t="inlineStr">
        <is>
          <t>CHECK_VENDOR</t>
        </is>
      </c>
      <c r="W839" t="inlineStr">
        <is>
          <t>https://nvd.nist.gov/vuln/detail/CVE-2025-67988</t>
        </is>
      </c>
      <c r="X839" t="inlineStr">
        <is>
          <t>NONE</t>
        </is>
      </c>
      <c r="Y839" t="n">
        <v>0</v>
      </c>
      <c r="Z839" t="inlineStr"/>
      <c r="AA839" t="inlineStr">
        <is>
          <t>https://nvd.nist.gov/vuln/detail/CVE-2025-67988</t>
        </is>
      </c>
    </row>
    <row r="840">
      <c r="A840" t="inlineStr">
        <is>
          <t>CVE</t>
        </is>
      </c>
      <c r="B840" t="inlineStr">
        <is>
          <t>CVE-2025-67990</t>
        </is>
      </c>
      <c r="C840" t="inlineStr">
        <is>
          <t>Improper Neutralization of Input During Web Page Generation ('Cross-site Scripting') vulnerability in RealMag777 GMap Targeting gmap-targeting allows Reflected XSS.This issue affects GMap Targeting: from n/a through &lt;= 1.1.7.</t>
        </is>
      </c>
      <c r="D840" t="n">
        <v>5</v>
      </c>
      <c r="E840" t="inlineStr">
        <is>
          <t>MEDIUM</t>
        </is>
      </c>
      <c r="F840" t="n">
        <v>2</v>
      </c>
      <c r="G840" t="n">
        <v>2</v>
      </c>
      <c r="H840" t="inlineStr">
        <is>
          <t>MEDIUM</t>
        </is>
      </c>
      <c r="I840" t="n">
        <v>9</v>
      </c>
      <c r="J840" t="inlineStr">
        <is>
          <t>NO</t>
        </is>
      </c>
      <c r="K840" t="inlineStr">
        <is>
          <t>2026-02-23 23:48</t>
        </is>
      </c>
      <c r="L840" t="inlineStr">
        <is>
          <t>CHECK_VENDOR</t>
        </is>
      </c>
      <c r="M840" t="inlineStr">
        <is>
          <t>See CVE details</t>
        </is>
      </c>
      <c r="N840" t="inlineStr">
        <is>
          <t>P4</t>
        </is>
      </c>
      <c r="O840" t="inlineStr">
        <is>
          <t>CVE - IP enrichment n/a</t>
        </is>
      </c>
      <c r="P840" t="n">
        <v>0.0003</v>
      </c>
      <c r="Q840" t="n">
        <v>0.0808</v>
      </c>
      <c r="R840" t="inlineStr">
        <is>
          <t>T1189:Drive-by Compromise</t>
        </is>
      </c>
      <c r="S840" t="n">
        <v>1</v>
      </c>
      <c r="T840" t="inlineStr">
        <is>
          <t>LOW (40%)</t>
        </is>
      </c>
      <c r="U840" t="inlineStr">
        <is>
          <t>UNLIKELY</t>
        </is>
      </c>
      <c r="V840" t="inlineStr">
        <is>
          <t>CHECK_VENDOR</t>
        </is>
      </c>
      <c r="W840" t="inlineStr">
        <is>
          <t>https://nvd.nist.gov/vuln/detail/CVE-2025-67990</t>
        </is>
      </c>
      <c r="X840" t="inlineStr">
        <is>
          <t>NONE</t>
        </is>
      </c>
      <c r="Y840" t="n">
        <v>0</v>
      </c>
      <c r="Z840" t="inlineStr"/>
      <c r="AA840" t="inlineStr">
        <is>
          <t>https://nvd.nist.gov/vuln/detail/CVE-2025-67990</t>
        </is>
      </c>
    </row>
    <row r="841">
      <c r="A841" t="inlineStr">
        <is>
          <t>CVE</t>
        </is>
      </c>
      <c r="B841" t="inlineStr">
        <is>
          <t>CVE-2025-67991</t>
        </is>
      </c>
      <c r="C841" t="inlineStr">
        <is>
          <t>Improper Neutralization of Input During Web Page Generation ('Cross-site Scripting') vulnerability in vanquish User Extra Fields wp-user-extra-fields allows Reflected XSS.This issue affects User Extra Fields: from n/a through &lt;= 16.8.</t>
        </is>
      </c>
      <c r="D841" t="n">
        <v>5</v>
      </c>
      <c r="E841" t="inlineStr">
        <is>
          <t>MEDIUM</t>
        </is>
      </c>
      <c r="F841" t="n">
        <v>2</v>
      </c>
      <c r="G841" t="n">
        <v>2</v>
      </c>
      <c r="H841" t="inlineStr">
        <is>
          <t>MEDIUM</t>
        </is>
      </c>
      <c r="I841" t="n">
        <v>9</v>
      </c>
      <c r="J841" t="inlineStr">
        <is>
          <t>NO</t>
        </is>
      </c>
      <c r="K841" t="inlineStr">
        <is>
          <t>2026-02-23 23:48</t>
        </is>
      </c>
      <c r="L841" t="inlineStr">
        <is>
          <t>CHECK_VENDOR</t>
        </is>
      </c>
      <c r="M841" t="inlineStr">
        <is>
          <t>See CVE details</t>
        </is>
      </c>
      <c r="N841" t="inlineStr">
        <is>
          <t>P4</t>
        </is>
      </c>
      <c r="O841" t="inlineStr">
        <is>
          <t>CVE - IP enrichment n/a</t>
        </is>
      </c>
      <c r="P841" t="n">
        <v>0</v>
      </c>
      <c r="Q841" t="n">
        <v>0</v>
      </c>
      <c r="R841" t="inlineStr">
        <is>
          <t>T1189:Drive-by Compromise</t>
        </is>
      </c>
      <c r="S841" t="n">
        <v>1</v>
      </c>
      <c r="T841" t="inlineStr">
        <is>
          <t>LOW (40%)</t>
        </is>
      </c>
      <c r="U841" t="inlineStr">
        <is>
          <t>UNLIKELY</t>
        </is>
      </c>
      <c r="V841" t="inlineStr">
        <is>
          <t>CHECK_VENDOR</t>
        </is>
      </c>
      <c r="W841" t="inlineStr">
        <is>
          <t>https://nvd.nist.gov/vuln/detail/CVE-2025-67991</t>
        </is>
      </c>
      <c r="X841" t="inlineStr">
        <is>
          <t>NONE</t>
        </is>
      </c>
      <c r="Y841" t="n">
        <v>0</v>
      </c>
      <c r="Z841" t="inlineStr"/>
      <c r="AA841" t="inlineStr">
        <is>
          <t>https://nvd.nist.gov/vuln/detail/CVE-2025-67991</t>
        </is>
      </c>
    </row>
    <row r="842">
      <c r="A842" t="inlineStr">
        <is>
          <t>CVE</t>
        </is>
      </c>
      <c r="B842" t="inlineStr">
        <is>
          <t>CVE-2025-67992</t>
        </is>
      </c>
      <c r="C842" t="inlineStr">
        <is>
          <t>Improper Control of Filename for Include/Require Statement in PHP Program ('PHP Remote File Inclusion') vulnerability in LoftOcean PatioTime patiotime allows PHP Local File Inclusion.This issue affects PatioTime: from n/a through &lt; 2.1.</t>
        </is>
      </c>
      <c r="D842" t="n">
        <v>5</v>
      </c>
      <c r="E842" t="inlineStr">
        <is>
          <t>MEDIUM</t>
        </is>
      </c>
      <c r="F842" t="n">
        <v>2</v>
      </c>
      <c r="G842" t="n">
        <v>2</v>
      </c>
      <c r="H842" t="inlineStr">
        <is>
          <t>MEDIUM</t>
        </is>
      </c>
      <c r="I842" t="n">
        <v>9</v>
      </c>
      <c r="J842" t="inlineStr">
        <is>
          <t>NO</t>
        </is>
      </c>
      <c r="K842" t="inlineStr">
        <is>
          <t>2026-02-23 23:48</t>
        </is>
      </c>
      <c r="L842" t="inlineStr">
        <is>
          <t>CHECK_VENDOR</t>
        </is>
      </c>
      <c r="M842" t="inlineStr">
        <is>
          <t>See CVE details</t>
        </is>
      </c>
      <c r="N842" t="inlineStr">
        <is>
          <t>P4</t>
        </is>
      </c>
      <c r="O842" t="inlineStr">
        <is>
          <t>CVE - IP enrichment n/a</t>
        </is>
      </c>
      <c r="P842" t="n">
        <v>0</v>
      </c>
      <c r="Q842" t="n">
        <v>0</v>
      </c>
      <c r="R842" t="inlineStr">
        <is>
          <t>T1190:Exploit Public-Facing Application</t>
        </is>
      </c>
      <c r="S842" t="n">
        <v>1</v>
      </c>
      <c r="T842" t="inlineStr">
        <is>
          <t>LOW (40%)</t>
        </is>
      </c>
      <c r="U842" t="inlineStr">
        <is>
          <t>UNLIKELY</t>
        </is>
      </c>
      <c r="V842" t="inlineStr">
        <is>
          <t>CHECK_VENDOR</t>
        </is>
      </c>
      <c r="W842" t="inlineStr">
        <is>
          <t>https://nvd.nist.gov/vuln/detail/CVE-2025-67992</t>
        </is>
      </c>
      <c r="X842" t="inlineStr">
        <is>
          <t>NONE</t>
        </is>
      </c>
      <c r="Y842" t="n">
        <v>0</v>
      </c>
      <c r="Z842" t="inlineStr"/>
      <c r="AA842" t="inlineStr">
        <is>
          <t>https://nvd.nist.gov/vuln/detail/CVE-2025-67992</t>
        </is>
      </c>
    </row>
    <row r="843">
      <c r="A843" t="inlineStr">
        <is>
          <t>CVE</t>
        </is>
      </c>
      <c r="B843" t="inlineStr">
        <is>
          <t>CVE-2025-67993</t>
        </is>
      </c>
      <c r="C843" t="inlineStr">
        <is>
          <t>Missing Authorization vulnerability in Vito Peleg Atarim atarim-visual-collaboration allows Exploiting Incorrectly Configured Access Control Security Levels.This issue affects Atarim: from n/a through &lt;= 4.2.1.</t>
        </is>
      </c>
      <c r="D843" t="n">
        <v>5</v>
      </c>
      <c r="E843" t="inlineStr">
        <is>
          <t>MEDIUM</t>
        </is>
      </c>
      <c r="F843" t="n">
        <v>2</v>
      </c>
      <c r="G843" t="n">
        <v>2</v>
      </c>
      <c r="H843" t="inlineStr">
        <is>
          <t>MEDIUM</t>
        </is>
      </c>
      <c r="I843" t="n">
        <v>9</v>
      </c>
      <c r="J843" t="inlineStr">
        <is>
          <t>NO</t>
        </is>
      </c>
      <c r="K843" t="inlineStr">
        <is>
          <t>2026-02-23 23:48</t>
        </is>
      </c>
      <c r="L843" t="inlineStr">
        <is>
          <t>CHECK_VENDOR</t>
        </is>
      </c>
      <c r="M843" t="inlineStr">
        <is>
          <t>See CVE details</t>
        </is>
      </c>
      <c r="N843" t="inlineStr">
        <is>
          <t>P4</t>
        </is>
      </c>
      <c r="O843" t="inlineStr">
        <is>
          <t>CVE - IP enrichment n/a</t>
        </is>
      </c>
      <c r="P843" t="n">
        <v>0</v>
      </c>
      <c r="Q843" t="n">
        <v>0</v>
      </c>
      <c r="R843" t="inlineStr">
        <is>
          <t>T1190:Exploit Public-Facing Application</t>
        </is>
      </c>
      <c r="S843" t="n">
        <v>1</v>
      </c>
      <c r="T843" t="inlineStr">
        <is>
          <t>LOW (40%)</t>
        </is>
      </c>
      <c r="U843" t="inlineStr">
        <is>
          <t>UNLIKELY</t>
        </is>
      </c>
      <c r="V843" t="inlineStr">
        <is>
          <t>CHECK_VENDOR</t>
        </is>
      </c>
      <c r="W843" t="inlineStr">
        <is>
          <t>https://nvd.nist.gov/vuln/detail/CVE-2025-67993</t>
        </is>
      </c>
      <c r="X843" t="inlineStr">
        <is>
          <t>NONE</t>
        </is>
      </c>
      <c r="Y843" t="n">
        <v>0</v>
      </c>
      <c r="Z843" t="inlineStr"/>
      <c r="AA843" t="inlineStr">
        <is>
          <t>https://nvd.nist.gov/vuln/detail/CVE-2025-67993</t>
        </is>
      </c>
    </row>
    <row r="844">
      <c r="A844" t="inlineStr">
        <is>
          <t>CVE</t>
        </is>
      </c>
      <c r="B844" t="inlineStr">
        <is>
          <t>CVE-2025-67994</t>
        </is>
      </c>
      <c r="C844" t="inlineStr">
        <is>
          <t>Missing Authorization vulnerability in YayCommerce YayCurrency yaycurrency allows Exploiting Incorrectly Configured Access Control Security Levels.This issue affects YayCurrency: from n/a through &lt;= 3.3.</t>
        </is>
      </c>
      <c r="D844" t="n">
        <v>8.5</v>
      </c>
      <c r="E844" t="inlineStr">
        <is>
          <t>HIGH</t>
        </is>
      </c>
      <c r="F844" t="n">
        <v>2</v>
      </c>
      <c r="G844" t="n">
        <v>3</v>
      </c>
      <c r="H844" t="inlineStr">
        <is>
          <t>HIGH</t>
        </is>
      </c>
      <c r="I844" t="n">
        <v>14.5</v>
      </c>
      <c r="J844" t="inlineStr">
        <is>
          <t>NO</t>
        </is>
      </c>
      <c r="K844" t="inlineStr">
        <is>
          <t>2026-02-23 23:48</t>
        </is>
      </c>
      <c r="L844" t="inlineStr">
        <is>
          <t>CHECK_VENDOR</t>
        </is>
      </c>
      <c r="M844" t="inlineStr">
        <is>
          <t>See CVE details</t>
        </is>
      </c>
      <c r="N844" t="inlineStr">
        <is>
          <t>P3</t>
        </is>
      </c>
      <c r="O844" t="inlineStr">
        <is>
          <t>CVE - IP enrichment n/a</t>
        </is>
      </c>
      <c r="P844" t="n">
        <v>0.0002</v>
      </c>
      <c r="Q844" t="n">
        <v>0.0381</v>
      </c>
      <c r="R844" t="inlineStr">
        <is>
          <t>T1190:Exploit Public-Facing Application</t>
        </is>
      </c>
      <c r="S844" t="n">
        <v>1</v>
      </c>
      <c r="T844" t="inlineStr">
        <is>
          <t>LOW (40%)</t>
        </is>
      </c>
      <c r="U844" t="inlineStr">
        <is>
          <t>UNLIKELY</t>
        </is>
      </c>
      <c r="V844" t="inlineStr">
        <is>
          <t>CHECK_VENDOR</t>
        </is>
      </c>
      <c r="W844" t="inlineStr">
        <is>
          <t>https://nvd.nist.gov/vuln/detail/CVE-2025-67994</t>
        </is>
      </c>
      <c r="X844" t="inlineStr">
        <is>
          <t>NONE</t>
        </is>
      </c>
      <c r="Y844" t="n">
        <v>0</v>
      </c>
      <c r="Z844" t="inlineStr"/>
      <c r="AA844" t="inlineStr">
        <is>
          <t>https://nvd.nist.gov/vuln/detail/CVE-2025-67994</t>
        </is>
      </c>
    </row>
    <row r="845">
      <c r="A845" t="inlineStr">
        <is>
          <t>CVE</t>
        </is>
      </c>
      <c r="B845" t="inlineStr">
        <is>
          <t>CVE-2025-67995</t>
        </is>
      </c>
      <c r="C845" t="inlineStr">
        <is>
          <t>Deserialization of Untrusted Data vulnerability in LoftOcean PatioTime patiotime allows Object Injection.This issue affects PatioTime: from n/a through &lt; 2.1.</t>
        </is>
      </c>
      <c r="D845" t="n">
        <v>5</v>
      </c>
      <c r="E845" t="inlineStr">
        <is>
          <t>MEDIUM</t>
        </is>
      </c>
      <c r="F845" t="n">
        <v>2</v>
      </c>
      <c r="G845" t="n">
        <v>2</v>
      </c>
      <c r="H845" t="inlineStr">
        <is>
          <t>MEDIUM</t>
        </is>
      </c>
      <c r="I845" t="n">
        <v>9</v>
      </c>
      <c r="J845" t="inlineStr">
        <is>
          <t>NO</t>
        </is>
      </c>
      <c r="K845" t="inlineStr">
        <is>
          <t>2026-02-23 23:48</t>
        </is>
      </c>
      <c r="L845" t="inlineStr">
        <is>
          <t>CHECK_VENDOR</t>
        </is>
      </c>
      <c r="M845" t="inlineStr">
        <is>
          <t>See CVE details</t>
        </is>
      </c>
      <c r="N845" t="inlineStr">
        <is>
          <t>P4</t>
        </is>
      </c>
      <c r="O845" t="inlineStr">
        <is>
          <t>CVE - IP enrichment n/a</t>
        </is>
      </c>
      <c r="P845" t="n">
        <v>0.0002</v>
      </c>
      <c r="Q845" t="n">
        <v>0.0636</v>
      </c>
      <c r="R845" t="inlineStr">
        <is>
          <t>T1059:Command and Scripting Interpreter</t>
        </is>
      </c>
      <c r="S845" t="n">
        <v>1</v>
      </c>
      <c r="T845" t="inlineStr">
        <is>
          <t>LOW (40%)</t>
        </is>
      </c>
      <c r="U845" t="inlineStr">
        <is>
          <t>UNLIKELY</t>
        </is>
      </c>
      <c r="V845" t="inlineStr">
        <is>
          <t>CHECK_VENDOR</t>
        </is>
      </c>
      <c r="W845" t="inlineStr">
        <is>
          <t>https://nvd.nist.gov/vuln/detail/CVE-2025-67995</t>
        </is>
      </c>
      <c r="X845" t="inlineStr">
        <is>
          <t>NONE</t>
        </is>
      </c>
      <c r="Y845" t="n">
        <v>0</v>
      </c>
      <c r="Z845" t="inlineStr"/>
      <c r="AA845" t="inlineStr">
        <is>
          <t>https://nvd.nist.gov/vuln/detail/CVE-2025-67995</t>
        </is>
      </c>
    </row>
    <row r="846">
      <c r="A846" t="inlineStr">
        <is>
          <t>CVE</t>
        </is>
      </c>
      <c r="B846" t="inlineStr">
        <is>
          <t>CVE-2025-67996</t>
        </is>
      </c>
      <c r="C846" t="inlineStr">
        <is>
          <t>Deserialization of Untrusted Data vulnerability in BoldThemes Nestin nestin allows Object Injection.This issue affects Nestin: from n/a through &lt; 1.2.6.</t>
        </is>
      </c>
      <c r="D846" t="n">
        <v>5</v>
      </c>
      <c r="E846" t="inlineStr">
        <is>
          <t>MEDIUM</t>
        </is>
      </c>
      <c r="F846" t="n">
        <v>2</v>
      </c>
      <c r="G846" t="n">
        <v>2</v>
      </c>
      <c r="H846" t="inlineStr">
        <is>
          <t>MEDIUM</t>
        </is>
      </c>
      <c r="I846" t="n">
        <v>9</v>
      </c>
      <c r="J846" t="inlineStr">
        <is>
          <t>NO</t>
        </is>
      </c>
      <c r="K846" t="inlineStr">
        <is>
          <t>2026-02-23 23:48</t>
        </is>
      </c>
      <c r="L846" t="inlineStr">
        <is>
          <t>CHECK_VENDOR</t>
        </is>
      </c>
      <c r="M846" t="inlineStr">
        <is>
          <t>See CVE details</t>
        </is>
      </c>
      <c r="N846" t="inlineStr">
        <is>
          <t>P4</t>
        </is>
      </c>
      <c r="O846" t="inlineStr">
        <is>
          <t>CVE - IP enrichment n/a</t>
        </is>
      </c>
      <c r="P846" t="n">
        <v>0</v>
      </c>
      <c r="Q846" t="n">
        <v>0</v>
      </c>
      <c r="R846" t="inlineStr">
        <is>
          <t>T1059:Command and Scripting Interpreter</t>
        </is>
      </c>
      <c r="S846" t="n">
        <v>1</v>
      </c>
      <c r="T846" t="inlineStr">
        <is>
          <t>LOW (40%)</t>
        </is>
      </c>
      <c r="U846" t="inlineStr">
        <is>
          <t>UNLIKELY</t>
        </is>
      </c>
      <c r="V846" t="inlineStr">
        <is>
          <t>CHECK_VENDOR</t>
        </is>
      </c>
      <c r="W846" t="inlineStr">
        <is>
          <t>https://nvd.nist.gov/vuln/detail/CVE-2025-67996</t>
        </is>
      </c>
      <c r="X846" t="inlineStr">
        <is>
          <t>NONE</t>
        </is>
      </c>
      <c r="Y846" t="n">
        <v>0</v>
      </c>
      <c r="Z846" t="inlineStr"/>
      <c r="AA846" t="inlineStr">
        <is>
          <t>https://nvd.nist.gov/vuln/detail/CVE-2025-67996</t>
        </is>
      </c>
    </row>
    <row r="847">
      <c r="A847" t="inlineStr">
        <is>
          <t>CVE</t>
        </is>
      </c>
      <c r="B847" t="inlineStr">
        <is>
          <t>CVE-2025-67997</t>
        </is>
      </c>
      <c r="C847" t="inlineStr">
        <is>
          <t>Deserialization of Untrusted Data vulnerability in BoldThemes Travelicious travelicious allows Object Injection.This issue affects Travelicious: from n/a through &lt; 1.6.7.</t>
        </is>
      </c>
      <c r="D847" t="n">
        <v>5</v>
      </c>
      <c r="E847" t="inlineStr">
        <is>
          <t>MEDIUM</t>
        </is>
      </c>
      <c r="F847" t="n">
        <v>2</v>
      </c>
      <c r="G847" t="n">
        <v>2</v>
      </c>
      <c r="H847" t="inlineStr">
        <is>
          <t>MEDIUM</t>
        </is>
      </c>
      <c r="I847" t="n">
        <v>9</v>
      </c>
      <c r="J847" t="inlineStr">
        <is>
          <t>NO</t>
        </is>
      </c>
      <c r="K847" t="inlineStr">
        <is>
          <t>2026-02-23 23:48</t>
        </is>
      </c>
      <c r="L847" t="inlineStr">
        <is>
          <t>CHECK_VENDOR</t>
        </is>
      </c>
      <c r="M847" t="inlineStr">
        <is>
          <t>See CVE details</t>
        </is>
      </c>
      <c r="N847" t="inlineStr">
        <is>
          <t>P4</t>
        </is>
      </c>
      <c r="O847" t="inlineStr">
        <is>
          <t>CVE - IP enrichment n/a</t>
        </is>
      </c>
      <c r="P847" t="n">
        <v>0</v>
      </c>
      <c r="Q847" t="n">
        <v>0</v>
      </c>
      <c r="R847" t="inlineStr">
        <is>
          <t>T1059:Command and Scripting Interpreter</t>
        </is>
      </c>
      <c r="S847" t="n">
        <v>1</v>
      </c>
      <c r="T847" t="inlineStr">
        <is>
          <t>LOW (40%)</t>
        </is>
      </c>
      <c r="U847" t="inlineStr">
        <is>
          <t>UNLIKELY</t>
        </is>
      </c>
      <c r="V847" t="inlineStr">
        <is>
          <t>CHECK_VENDOR</t>
        </is>
      </c>
      <c r="W847" t="inlineStr">
        <is>
          <t>https://nvd.nist.gov/vuln/detail/CVE-2025-67997</t>
        </is>
      </c>
      <c r="X847" t="inlineStr">
        <is>
          <t>NONE</t>
        </is>
      </c>
      <c r="Y847" t="n">
        <v>0</v>
      </c>
      <c r="Z847" t="inlineStr"/>
      <c r="AA847" t="inlineStr">
        <is>
          <t>https://nvd.nist.gov/vuln/detail/CVE-2025-67997</t>
        </is>
      </c>
    </row>
    <row r="848">
      <c r="A848" t="inlineStr">
        <is>
          <t>CVE</t>
        </is>
      </c>
      <c r="B848" t="inlineStr">
        <is>
          <t>CVE-2025-67998</t>
        </is>
      </c>
      <c r="C848" t="inlineStr">
        <is>
          <t>Authentication Bypass Using an Alternate Path or Channel vulnerability in kamleshyadav Miraculous Elementor miraculous-el allows Authentication Abuse.This issue affects Miraculous Elementor: from n/a through &lt;= 2.0.7.</t>
        </is>
      </c>
      <c r="D848" t="n">
        <v>5</v>
      </c>
      <c r="E848" t="inlineStr">
        <is>
          <t>MEDIUM</t>
        </is>
      </c>
      <c r="F848" t="n">
        <v>2</v>
      </c>
      <c r="G848" t="n">
        <v>2</v>
      </c>
      <c r="H848" t="inlineStr">
        <is>
          <t>MEDIUM</t>
        </is>
      </c>
      <c r="I848" t="n">
        <v>9</v>
      </c>
      <c r="J848" t="inlineStr">
        <is>
          <t>NO</t>
        </is>
      </c>
      <c r="K848" t="inlineStr">
        <is>
          <t>2026-02-23 23:48</t>
        </is>
      </c>
      <c r="L848" t="inlineStr">
        <is>
          <t>CHECK_VENDOR</t>
        </is>
      </c>
      <c r="M848" t="inlineStr">
        <is>
          <t>See CVE details</t>
        </is>
      </c>
      <c r="N848" t="inlineStr">
        <is>
          <t>P4</t>
        </is>
      </c>
      <c r="O848" t="inlineStr">
        <is>
          <t>CVE - IP enrichment n/a</t>
        </is>
      </c>
      <c r="P848" t="n">
        <v>0</v>
      </c>
      <c r="Q848" t="n">
        <v>0</v>
      </c>
      <c r="R848" t="inlineStr">
        <is>
          <t>T1078:Valid Accounts</t>
        </is>
      </c>
      <c r="S848" t="n">
        <v>1</v>
      </c>
      <c r="T848" t="inlineStr">
        <is>
          <t>LOW (40%)</t>
        </is>
      </c>
      <c r="U848" t="inlineStr">
        <is>
          <t>UNLIKELY</t>
        </is>
      </c>
      <c r="V848" t="inlineStr">
        <is>
          <t>CHECK_VENDOR</t>
        </is>
      </c>
      <c r="W848" t="inlineStr">
        <is>
          <t>https://nvd.nist.gov/vuln/detail/CVE-2025-67998</t>
        </is>
      </c>
      <c r="X848" t="inlineStr">
        <is>
          <t>NONE</t>
        </is>
      </c>
      <c r="Y848" t="n">
        <v>0</v>
      </c>
      <c r="Z848" t="inlineStr"/>
      <c r="AA848" t="inlineStr">
        <is>
          <t>https://nvd.nist.gov/vuln/detail/CVE-2025-67998</t>
        </is>
      </c>
    </row>
    <row r="849">
      <c r="A849" t="inlineStr">
        <is>
          <t>CVE</t>
        </is>
      </c>
      <c r="B849" t="inlineStr">
        <is>
          <t>CVE-2025-68000</t>
        </is>
      </c>
      <c r="C849" t="inlineStr">
        <is>
          <t>Missing Authorization vulnerability in PickPlugins Testimonial Slider testimonial allows Exploiting Incorrectly Configured Access Control Security Levels.This issue affects Testimonial Slider: from n/a through &lt;= 2.0.15.</t>
        </is>
      </c>
      <c r="D849" t="n">
        <v>5</v>
      </c>
      <c r="E849" t="inlineStr">
        <is>
          <t>MEDIUM</t>
        </is>
      </c>
      <c r="F849" t="n">
        <v>2</v>
      </c>
      <c r="G849" t="n">
        <v>2</v>
      </c>
      <c r="H849" t="inlineStr">
        <is>
          <t>MEDIUM</t>
        </is>
      </c>
      <c r="I849" t="n">
        <v>9</v>
      </c>
      <c r="J849" t="inlineStr">
        <is>
          <t>NO</t>
        </is>
      </c>
      <c r="K849" t="inlineStr">
        <is>
          <t>2026-02-23 23:48</t>
        </is>
      </c>
      <c r="L849" t="inlineStr">
        <is>
          <t>CHECK_VENDOR</t>
        </is>
      </c>
      <c r="M849" t="inlineStr">
        <is>
          <t>See CVE details</t>
        </is>
      </c>
      <c r="N849" t="inlineStr">
        <is>
          <t>P4</t>
        </is>
      </c>
      <c r="O849" t="inlineStr">
        <is>
          <t>CVE - IP enrichment n/a</t>
        </is>
      </c>
      <c r="P849" t="n">
        <v>0</v>
      </c>
      <c r="Q849" t="n">
        <v>0</v>
      </c>
      <c r="R849" t="inlineStr">
        <is>
          <t>T1190:Exploit Public-Facing Application</t>
        </is>
      </c>
      <c r="S849" t="n">
        <v>1</v>
      </c>
      <c r="T849" t="inlineStr">
        <is>
          <t>LOW (40%)</t>
        </is>
      </c>
      <c r="U849" t="inlineStr">
        <is>
          <t>UNLIKELY</t>
        </is>
      </c>
      <c r="V849" t="inlineStr">
        <is>
          <t>CHECK_VENDOR</t>
        </is>
      </c>
      <c r="W849" t="inlineStr">
        <is>
          <t>https://nvd.nist.gov/vuln/detail/CVE-2025-68000</t>
        </is>
      </c>
      <c r="X849" t="inlineStr">
        <is>
          <t>NONE</t>
        </is>
      </c>
      <c r="Y849" t="n">
        <v>0</v>
      </c>
      <c r="Z849" t="inlineStr"/>
      <c r="AA849" t="inlineStr">
        <is>
          <t>https://nvd.nist.gov/vuln/detail/CVE-2025-68000</t>
        </is>
      </c>
    </row>
    <row r="850">
      <c r="A850" t="inlineStr">
        <is>
          <t>CVE</t>
        </is>
      </c>
      <c r="B850" t="inlineStr">
        <is>
          <t>CVE-2025-68002</t>
        </is>
      </c>
      <c r="C850" t="inlineStr">
        <is>
          <t>Improper Limitation of a Pathname to a Restricted Directory ('Path Traversal') vulnerability in 100plugins Open User Map open-user-map allows Path Traversal.This issue affects Open User Map: from n/a through &lt;= 1.4.16.</t>
        </is>
      </c>
      <c r="D850" t="n">
        <v>5</v>
      </c>
      <c r="E850" t="inlineStr">
        <is>
          <t>MEDIUM</t>
        </is>
      </c>
      <c r="F850" t="n">
        <v>2</v>
      </c>
      <c r="G850" t="n">
        <v>2</v>
      </c>
      <c r="H850" t="inlineStr">
        <is>
          <t>MEDIUM</t>
        </is>
      </c>
      <c r="I850" t="n">
        <v>9</v>
      </c>
      <c r="J850" t="inlineStr">
        <is>
          <t>NO</t>
        </is>
      </c>
      <c r="K850" t="inlineStr">
        <is>
          <t>2026-02-23 23:48</t>
        </is>
      </c>
      <c r="L850" t="inlineStr">
        <is>
          <t>CHECK_VENDOR</t>
        </is>
      </c>
      <c r="M850" t="inlineStr">
        <is>
          <t>See CVE details</t>
        </is>
      </c>
      <c r="N850" t="inlineStr">
        <is>
          <t>P4</t>
        </is>
      </c>
      <c r="O850" t="inlineStr">
        <is>
          <t>CVE - IP enrichment n/a</t>
        </is>
      </c>
      <c r="P850" t="n">
        <v>0</v>
      </c>
      <c r="Q850" t="n">
        <v>0</v>
      </c>
      <c r="R850" t="inlineStr">
        <is>
          <t>T1083:File and Directory Discovery</t>
        </is>
      </c>
      <c r="S850" t="n">
        <v>1</v>
      </c>
      <c r="T850" t="inlineStr">
        <is>
          <t>LOW (40%)</t>
        </is>
      </c>
      <c r="U850" t="inlineStr">
        <is>
          <t>UNLIKELY</t>
        </is>
      </c>
      <c r="V850" t="inlineStr">
        <is>
          <t>CHECK_VENDOR</t>
        </is>
      </c>
      <c r="W850" t="inlineStr">
        <is>
          <t>https://nvd.nist.gov/vuln/detail/CVE-2025-68002</t>
        </is>
      </c>
      <c r="X850" t="inlineStr">
        <is>
          <t>NONE</t>
        </is>
      </c>
      <c r="Y850" t="n">
        <v>0</v>
      </c>
      <c r="Z850" t="inlineStr"/>
      <c r="AA850" t="inlineStr">
        <is>
          <t>https://nvd.nist.gov/vuln/detail/CVE-2025-68002</t>
        </is>
      </c>
    </row>
    <row r="851">
      <c r="A851" t="inlineStr">
        <is>
          <t>CVE</t>
        </is>
      </c>
      <c r="B851" t="inlineStr">
        <is>
          <t>CVE-2025-68005</t>
        </is>
      </c>
      <c r="C851" t="inlineStr">
        <is>
          <t>Missing Authorization vulnerability in themewant Easy Hotel Booking easy-hotel allows Exploiting Incorrectly Configured Access Control Security Levels.This issue affects Easy Hotel Booking: from n/a through &lt;= 1.8.7.</t>
        </is>
      </c>
      <c r="D851" t="n">
        <v>5</v>
      </c>
      <c r="E851" t="inlineStr">
        <is>
          <t>MEDIUM</t>
        </is>
      </c>
      <c r="F851" t="n">
        <v>2</v>
      </c>
      <c r="G851" t="n">
        <v>2</v>
      </c>
      <c r="H851" t="inlineStr">
        <is>
          <t>MEDIUM</t>
        </is>
      </c>
      <c r="I851" t="n">
        <v>9</v>
      </c>
      <c r="J851" t="inlineStr">
        <is>
          <t>NO</t>
        </is>
      </c>
      <c r="K851" t="inlineStr">
        <is>
          <t>2026-02-23 23:48</t>
        </is>
      </c>
      <c r="L851" t="inlineStr">
        <is>
          <t>CHECK_VENDOR</t>
        </is>
      </c>
      <c r="M851" t="inlineStr">
        <is>
          <t>See CVE details</t>
        </is>
      </c>
      <c r="N851" t="inlineStr">
        <is>
          <t>P4</t>
        </is>
      </c>
      <c r="O851" t="inlineStr">
        <is>
          <t>CVE - IP enrichment n/a</t>
        </is>
      </c>
      <c r="P851" t="n">
        <v>0</v>
      </c>
      <c r="Q851" t="n">
        <v>0</v>
      </c>
      <c r="R851" t="inlineStr">
        <is>
          <t>T1190:Exploit Public-Facing Application</t>
        </is>
      </c>
      <c r="S851" t="n">
        <v>1</v>
      </c>
      <c r="T851" t="inlineStr">
        <is>
          <t>LOW (40%)</t>
        </is>
      </c>
      <c r="U851" t="inlineStr">
        <is>
          <t>UNLIKELY</t>
        </is>
      </c>
      <c r="V851" t="inlineStr">
        <is>
          <t>CHECK_VENDOR</t>
        </is>
      </c>
      <c r="W851" t="inlineStr">
        <is>
          <t>https://nvd.nist.gov/vuln/detail/CVE-2025-68005</t>
        </is>
      </c>
      <c r="X851" t="inlineStr">
        <is>
          <t>NONE</t>
        </is>
      </c>
      <c r="Y851" t="n">
        <v>0</v>
      </c>
      <c r="Z851" t="inlineStr"/>
      <c r="AA851" t="inlineStr">
        <is>
          <t>https://nvd.nist.gov/vuln/detail/CVE-2025-68005</t>
        </is>
      </c>
    </row>
    <row r="852">
      <c r="A852" t="inlineStr">
        <is>
          <t>CVE</t>
        </is>
      </c>
      <c r="B852" t="inlineStr">
        <is>
          <t>CVE-2025-68021</t>
        </is>
      </c>
      <c r="C852" t="inlineStr">
        <is>
          <t>Missing Authorization vulnerability in ConveyThis ConveyThis conveythis-translate allows Exploiting Incorrectly Configured Access Control Security Levels.This issue affects ConveyThis: from n/a through &lt;= 269.5.</t>
        </is>
      </c>
      <c r="D852" t="n">
        <v>5</v>
      </c>
      <c r="E852" t="inlineStr">
        <is>
          <t>MEDIUM</t>
        </is>
      </c>
      <c r="F852" t="n">
        <v>2</v>
      </c>
      <c r="G852" t="n">
        <v>2</v>
      </c>
      <c r="H852" t="inlineStr">
        <is>
          <t>MEDIUM</t>
        </is>
      </c>
      <c r="I852" t="n">
        <v>9</v>
      </c>
      <c r="J852" t="inlineStr">
        <is>
          <t>NO</t>
        </is>
      </c>
      <c r="K852" t="inlineStr">
        <is>
          <t>2026-02-23 23:48</t>
        </is>
      </c>
      <c r="L852" t="inlineStr">
        <is>
          <t>CHECK_VENDOR</t>
        </is>
      </c>
      <c r="M852" t="inlineStr">
        <is>
          <t>See CVE details</t>
        </is>
      </c>
      <c r="N852" t="inlineStr">
        <is>
          <t>P4</t>
        </is>
      </c>
      <c r="O852" t="inlineStr">
        <is>
          <t>CVE - IP enrichment n/a</t>
        </is>
      </c>
      <c r="P852" t="n">
        <v>0</v>
      </c>
      <c r="Q852" t="n">
        <v>0</v>
      </c>
      <c r="R852" t="inlineStr">
        <is>
          <t>T1190:Exploit Public-Facing Application</t>
        </is>
      </c>
      <c r="S852" t="n">
        <v>1</v>
      </c>
      <c r="T852" t="inlineStr">
        <is>
          <t>LOW (40%)</t>
        </is>
      </c>
      <c r="U852" t="inlineStr">
        <is>
          <t>UNLIKELY</t>
        </is>
      </c>
      <c r="V852" t="inlineStr">
        <is>
          <t>CHECK_VENDOR</t>
        </is>
      </c>
      <c r="W852" t="inlineStr">
        <is>
          <t>https://nvd.nist.gov/vuln/detail/CVE-2025-68021</t>
        </is>
      </c>
      <c r="X852" t="inlineStr">
        <is>
          <t>NONE</t>
        </is>
      </c>
      <c r="Y852" t="n">
        <v>0</v>
      </c>
      <c r="Z852" t="inlineStr"/>
      <c r="AA852" t="inlineStr">
        <is>
          <t>https://nvd.nist.gov/vuln/detail/CVE-2025-68021</t>
        </is>
      </c>
    </row>
    <row r="853">
      <c r="A853" t="inlineStr">
        <is>
          <t>CVE</t>
        </is>
      </c>
      <c r="B853" t="inlineStr">
        <is>
          <t>CVE-2025-68022</t>
        </is>
      </c>
      <c r="C853" t="inlineStr">
        <is>
          <t>Missing Authorization vulnerability in soporteblue Plugin BlueX for WooCommerce bluex-for-woocommerce allows Exploiting Incorrectly Configured Access Control Security Levels.This issue affects Plugin BlueX for WooCommerce: from n/a through &lt;= 3.1.6.</t>
        </is>
      </c>
      <c r="D853" t="n">
        <v>8.5</v>
      </c>
      <c r="E853" t="inlineStr">
        <is>
          <t>HIGH</t>
        </is>
      </c>
      <c r="F853" t="n">
        <v>2</v>
      </c>
      <c r="G853" t="n">
        <v>3</v>
      </c>
      <c r="H853" t="inlineStr">
        <is>
          <t>HIGH</t>
        </is>
      </c>
      <c r="I853" t="n">
        <v>14.5</v>
      </c>
      <c r="J853" t="inlineStr">
        <is>
          <t>NO</t>
        </is>
      </c>
      <c r="K853" t="inlineStr">
        <is>
          <t>2026-02-23 23:48</t>
        </is>
      </c>
      <c r="L853" t="inlineStr">
        <is>
          <t>CHECK_VENDOR</t>
        </is>
      </c>
      <c r="M853" t="inlineStr">
        <is>
          <t>See CVE details</t>
        </is>
      </c>
      <c r="N853" t="inlineStr">
        <is>
          <t>P3</t>
        </is>
      </c>
      <c r="O853" t="inlineStr">
        <is>
          <t>CVE - IP enrichment n/a</t>
        </is>
      </c>
      <c r="P853" t="n">
        <v>0</v>
      </c>
      <c r="Q853" t="n">
        <v>0</v>
      </c>
      <c r="R853" t="inlineStr">
        <is>
          <t>T1190:Exploit Public-Facing Application</t>
        </is>
      </c>
      <c r="S853" t="n">
        <v>1</v>
      </c>
      <c r="T853" t="inlineStr">
        <is>
          <t>LOW (40%)</t>
        </is>
      </c>
      <c r="U853" t="inlineStr">
        <is>
          <t>UNLIKELY</t>
        </is>
      </c>
      <c r="V853" t="inlineStr">
        <is>
          <t>CHECK_VENDOR</t>
        </is>
      </c>
      <c r="W853" t="inlineStr">
        <is>
          <t>https://nvd.nist.gov/vuln/detail/CVE-2025-68022</t>
        </is>
      </c>
      <c r="X853" t="inlineStr">
        <is>
          <t>NONE</t>
        </is>
      </c>
      <c r="Y853" t="n">
        <v>0</v>
      </c>
      <c r="Z853" t="inlineStr"/>
      <c r="AA853" t="inlineStr">
        <is>
          <t>https://nvd.nist.gov/vuln/detail/CVE-2025-68022</t>
        </is>
      </c>
    </row>
    <row r="854">
      <c r="A854" t="inlineStr">
        <is>
          <t>CVE</t>
        </is>
      </c>
      <c r="B854" t="inlineStr">
        <is>
          <t>CVE-2025-68023</t>
        </is>
      </c>
      <c r="C854" t="inlineStr">
        <is>
          <t>Missing Authorization vulnerability in Addonify Addonify &amp;#8211; Compare Products For WooCommerce addonify-compare-products allows Exploiting Incorrectly Configured Access Control Security Levels.This issue affects Addonify &amp;#8211; Compare Products For WooCommerce: from n/a through &lt;= 1.1.17.</t>
        </is>
      </c>
      <c r="D854" t="n">
        <v>8.5</v>
      </c>
      <c r="E854" t="inlineStr">
        <is>
          <t>HIGH</t>
        </is>
      </c>
      <c r="F854" t="n">
        <v>2</v>
      </c>
      <c r="G854" t="n">
        <v>3</v>
      </c>
      <c r="H854" t="inlineStr">
        <is>
          <t>HIGH</t>
        </is>
      </c>
      <c r="I854" t="n">
        <v>14.5</v>
      </c>
      <c r="J854" t="inlineStr">
        <is>
          <t>NO</t>
        </is>
      </c>
      <c r="K854" t="inlineStr">
        <is>
          <t>2026-02-23 23:48</t>
        </is>
      </c>
      <c r="L854" t="inlineStr">
        <is>
          <t>CHECK_VENDOR</t>
        </is>
      </c>
      <c r="M854" t="inlineStr">
        <is>
          <t>See CVE details</t>
        </is>
      </c>
      <c r="N854" t="inlineStr">
        <is>
          <t>P3</t>
        </is>
      </c>
      <c r="O854" t="inlineStr">
        <is>
          <t>CVE - IP enrichment n/a</t>
        </is>
      </c>
      <c r="P854" t="n">
        <v>0</v>
      </c>
      <c r="Q854" t="n">
        <v>0</v>
      </c>
      <c r="R854" t="inlineStr">
        <is>
          <t>T1190:Exploit Public-Facing Application</t>
        </is>
      </c>
      <c r="S854" t="n">
        <v>1</v>
      </c>
      <c r="T854" t="inlineStr">
        <is>
          <t>LOW (40%)</t>
        </is>
      </c>
      <c r="U854" t="inlineStr">
        <is>
          <t>UNLIKELY</t>
        </is>
      </c>
      <c r="V854" t="inlineStr">
        <is>
          <t>CHECK_VENDOR</t>
        </is>
      </c>
      <c r="W854" t="inlineStr">
        <is>
          <t>https://nvd.nist.gov/vuln/detail/CVE-2025-68023</t>
        </is>
      </c>
      <c r="X854" t="inlineStr">
        <is>
          <t>NONE</t>
        </is>
      </c>
      <c r="Y854" t="n">
        <v>0</v>
      </c>
      <c r="Z854" t="inlineStr"/>
      <c r="AA854" t="inlineStr">
        <is>
          <t>https://nvd.nist.gov/vuln/detail/CVE-2025-68023</t>
        </is>
      </c>
    </row>
    <row r="855">
      <c r="A855" t="inlineStr">
        <is>
          <t>CVE</t>
        </is>
      </c>
      <c r="B855" t="inlineStr">
        <is>
          <t>CVE-2025-68024</t>
        </is>
      </c>
      <c r="C855" t="inlineStr">
        <is>
          <t>Missing Authorization vulnerability in Addonify Addonify – WooCommerce Wishlist addonify-wishlist allows Exploiting Incorrectly Configured Access Control Security Levels.This issue affects Addonify – WooCommerce Wishlist: from n/a through &lt;= 2.0.15.</t>
        </is>
      </c>
      <c r="D855" t="n">
        <v>8.5</v>
      </c>
      <c r="E855" t="inlineStr">
        <is>
          <t>HIGH</t>
        </is>
      </c>
      <c r="F855" t="n">
        <v>2</v>
      </c>
      <c r="G855" t="n">
        <v>3</v>
      </c>
      <c r="H855" t="inlineStr">
        <is>
          <t>HIGH</t>
        </is>
      </c>
      <c r="I855" t="n">
        <v>14.5</v>
      </c>
      <c r="J855" t="inlineStr">
        <is>
          <t>NO</t>
        </is>
      </c>
      <c r="K855" t="inlineStr">
        <is>
          <t>2026-02-23 23:48</t>
        </is>
      </c>
      <c r="L855" t="inlineStr">
        <is>
          <t>CHECK_VENDOR</t>
        </is>
      </c>
      <c r="M855" t="inlineStr">
        <is>
          <t>See CVE details</t>
        </is>
      </c>
      <c r="N855" t="inlineStr">
        <is>
          <t>P3</t>
        </is>
      </c>
      <c r="O855" t="inlineStr">
        <is>
          <t>CVE - IP enrichment n/a</t>
        </is>
      </c>
      <c r="P855" t="n">
        <v>0</v>
      </c>
      <c r="Q855" t="n">
        <v>0</v>
      </c>
      <c r="R855" t="inlineStr">
        <is>
          <t>T1190:Exploit Public-Facing Application</t>
        </is>
      </c>
      <c r="S855" t="n">
        <v>1</v>
      </c>
      <c r="T855" t="inlineStr">
        <is>
          <t>LOW (40%)</t>
        </is>
      </c>
      <c r="U855" t="inlineStr">
        <is>
          <t>UNLIKELY</t>
        </is>
      </c>
      <c r="V855" t="inlineStr">
        <is>
          <t>CHECK_VENDOR</t>
        </is>
      </c>
      <c r="W855" t="inlineStr">
        <is>
          <t>https://nvd.nist.gov/vuln/detail/CVE-2025-68024</t>
        </is>
      </c>
      <c r="X855" t="inlineStr">
        <is>
          <t>NONE</t>
        </is>
      </c>
      <c r="Y855" t="n">
        <v>0</v>
      </c>
      <c r="Z855" t="inlineStr"/>
      <c r="AA855" t="inlineStr">
        <is>
          <t>https://nvd.nist.gov/vuln/detail/CVE-2025-68024</t>
        </is>
      </c>
    </row>
    <row r="856">
      <c r="A856" t="inlineStr">
        <is>
          <t>CVE</t>
        </is>
      </c>
      <c r="B856" t="inlineStr">
        <is>
          <t>CVE-2025-68025</t>
        </is>
      </c>
      <c r="C856" t="inlineStr">
        <is>
          <t>Missing Authorization vulnerability in Addonify Addonify Floating Cart For WooCommerce addonify-floating-cart allows Exploiting Incorrectly Configured Access Control Security Levels.This issue affects Addonify Floating Cart For WooCommerce: from n/a through &lt;= 1.2.17.</t>
        </is>
      </c>
      <c r="D856" t="n">
        <v>8.5</v>
      </c>
      <c r="E856" t="inlineStr">
        <is>
          <t>HIGH</t>
        </is>
      </c>
      <c r="F856" t="n">
        <v>2</v>
      </c>
      <c r="G856" t="n">
        <v>3</v>
      </c>
      <c r="H856" t="inlineStr">
        <is>
          <t>HIGH</t>
        </is>
      </c>
      <c r="I856" t="n">
        <v>14.5</v>
      </c>
      <c r="J856" t="inlineStr">
        <is>
          <t>NO</t>
        </is>
      </c>
      <c r="K856" t="inlineStr">
        <is>
          <t>2026-02-23 23:48</t>
        </is>
      </c>
      <c r="L856" t="inlineStr">
        <is>
          <t>CHECK_VENDOR</t>
        </is>
      </c>
      <c r="M856" t="inlineStr">
        <is>
          <t>See CVE details</t>
        </is>
      </c>
      <c r="N856" t="inlineStr">
        <is>
          <t>P3</t>
        </is>
      </c>
      <c r="O856" t="inlineStr">
        <is>
          <t>CVE - IP enrichment n/a</t>
        </is>
      </c>
      <c r="P856" t="n">
        <v>0</v>
      </c>
      <c r="Q856" t="n">
        <v>0</v>
      </c>
      <c r="R856" t="inlineStr">
        <is>
          <t>T1190:Exploit Public-Facing Application</t>
        </is>
      </c>
      <c r="S856" t="n">
        <v>1</v>
      </c>
      <c r="T856" t="inlineStr">
        <is>
          <t>LOW (40%)</t>
        </is>
      </c>
      <c r="U856" t="inlineStr">
        <is>
          <t>UNLIKELY</t>
        </is>
      </c>
      <c r="V856" t="inlineStr">
        <is>
          <t>CHECK_VENDOR</t>
        </is>
      </c>
      <c r="W856" t="inlineStr">
        <is>
          <t>https://nvd.nist.gov/vuln/detail/CVE-2025-68025</t>
        </is>
      </c>
      <c r="X856" t="inlineStr">
        <is>
          <t>NONE</t>
        </is>
      </c>
      <c r="Y856" t="n">
        <v>0</v>
      </c>
      <c r="Z856" t="inlineStr"/>
      <c r="AA856" t="inlineStr">
        <is>
          <t>https://nvd.nist.gov/vuln/detail/CVE-2025-68025</t>
        </is>
      </c>
    </row>
    <row r="857">
      <c r="A857" t="inlineStr">
        <is>
          <t>CVE</t>
        </is>
      </c>
      <c r="B857" t="inlineStr">
        <is>
          <t>CVE-2025-68026</t>
        </is>
      </c>
      <c r="C857" t="inlineStr">
        <is>
          <t>Missing Authorization vulnerability in Niaj Morshed LC Wizard ghl-wizard allows Exploiting Incorrectly Configured Access Control Security Levels.This issue affects LC Wizard: from n/a through &lt;= 2.1.1.</t>
        </is>
      </c>
      <c r="D857" t="n">
        <v>5</v>
      </c>
      <c r="E857" t="inlineStr">
        <is>
          <t>MEDIUM</t>
        </is>
      </c>
      <c r="F857" t="n">
        <v>2</v>
      </c>
      <c r="G857" t="n">
        <v>2</v>
      </c>
      <c r="H857" t="inlineStr">
        <is>
          <t>MEDIUM</t>
        </is>
      </c>
      <c r="I857" t="n">
        <v>9</v>
      </c>
      <c r="J857" t="inlineStr">
        <is>
          <t>NO</t>
        </is>
      </c>
      <c r="K857" t="inlineStr">
        <is>
          <t>2026-02-23 23:48</t>
        </is>
      </c>
      <c r="L857" t="inlineStr">
        <is>
          <t>CHECK_VENDOR</t>
        </is>
      </c>
      <c r="M857" t="inlineStr">
        <is>
          <t>See CVE details</t>
        </is>
      </c>
      <c r="N857" t="inlineStr">
        <is>
          <t>P4</t>
        </is>
      </c>
      <c r="O857" t="inlineStr">
        <is>
          <t>CVE - IP enrichment n/a</t>
        </is>
      </c>
      <c r="P857" t="n">
        <v>0.0002</v>
      </c>
      <c r="Q857" t="n">
        <v>0.0381</v>
      </c>
      <c r="R857" t="inlineStr">
        <is>
          <t>T1190:Exploit Public-Facing Application</t>
        </is>
      </c>
      <c r="S857" t="n">
        <v>1</v>
      </c>
      <c r="T857" t="inlineStr">
        <is>
          <t>LOW (40%)</t>
        </is>
      </c>
      <c r="U857" t="inlineStr">
        <is>
          <t>UNLIKELY</t>
        </is>
      </c>
      <c r="V857" t="inlineStr">
        <is>
          <t>CHECK_VENDOR</t>
        </is>
      </c>
      <c r="W857" t="inlineStr">
        <is>
          <t>https://nvd.nist.gov/vuln/detail/CVE-2025-68026</t>
        </is>
      </c>
      <c r="X857" t="inlineStr">
        <is>
          <t>NONE</t>
        </is>
      </c>
      <c r="Y857" t="n">
        <v>0</v>
      </c>
      <c r="Z857" t="inlineStr"/>
      <c r="AA857" t="inlineStr">
        <is>
          <t>https://nvd.nist.gov/vuln/detail/CVE-2025-68026</t>
        </is>
      </c>
    </row>
    <row r="858">
      <c r="A858" t="inlineStr">
        <is>
          <t>CVE</t>
        </is>
      </c>
      <c r="B858" t="inlineStr">
        <is>
          <t>CVE-2025-68028</t>
        </is>
      </c>
      <c r="C858" t="inlineStr">
        <is>
          <t>Missing Authorization vulnerability in Passionate Brains GA4WP: Google Analytics for WordPress ga-for-wp allows Exploiting Incorrectly Configured Access Control Security Levels.This issue affects GA4WP: Google Analytics for WordPress: from n/a through &lt;= 2.10.0.</t>
        </is>
      </c>
      <c r="D858" t="n">
        <v>5</v>
      </c>
      <c r="E858" t="inlineStr">
        <is>
          <t>MEDIUM</t>
        </is>
      </c>
      <c r="F858" t="n">
        <v>2</v>
      </c>
      <c r="G858" t="n">
        <v>2</v>
      </c>
      <c r="H858" t="inlineStr">
        <is>
          <t>MEDIUM</t>
        </is>
      </c>
      <c r="I858" t="n">
        <v>9</v>
      </c>
      <c r="J858" t="inlineStr">
        <is>
          <t>NO</t>
        </is>
      </c>
      <c r="K858" t="inlineStr">
        <is>
          <t>2026-02-23 23:48</t>
        </is>
      </c>
      <c r="L858" t="inlineStr">
        <is>
          <t>CHECK_VENDOR</t>
        </is>
      </c>
      <c r="M858" t="inlineStr">
        <is>
          <t>See CVE details</t>
        </is>
      </c>
      <c r="N858" t="inlineStr">
        <is>
          <t>P4</t>
        </is>
      </c>
      <c r="O858" t="inlineStr">
        <is>
          <t>CVE - IP enrichment n/a</t>
        </is>
      </c>
      <c r="P858" t="n">
        <v>0.0002</v>
      </c>
      <c r="Q858" t="n">
        <v>0.0381</v>
      </c>
      <c r="R858" t="inlineStr">
        <is>
          <t>T1190:Exploit Public-Facing Application</t>
        </is>
      </c>
      <c r="S858" t="n">
        <v>1</v>
      </c>
      <c r="T858" t="inlineStr">
        <is>
          <t>LOW (40%)</t>
        </is>
      </c>
      <c r="U858" t="inlineStr">
        <is>
          <t>UNLIKELY</t>
        </is>
      </c>
      <c r="V858" t="inlineStr">
        <is>
          <t>CHECK_VENDOR</t>
        </is>
      </c>
      <c r="W858" t="inlineStr">
        <is>
          <t>https://nvd.nist.gov/vuln/detail/CVE-2025-68028</t>
        </is>
      </c>
      <c r="X858" t="inlineStr">
        <is>
          <t>NONE</t>
        </is>
      </c>
      <c r="Y858" t="n">
        <v>0</v>
      </c>
      <c r="Z858" t="inlineStr"/>
      <c r="AA858" t="inlineStr">
        <is>
          <t>https://nvd.nist.gov/vuln/detail/CVE-2025-68028</t>
        </is>
      </c>
    </row>
    <row r="859">
      <c r="A859" t="inlineStr">
        <is>
          <t>CVE</t>
        </is>
      </c>
      <c r="B859" t="inlineStr">
        <is>
          <t>CVE-2025-68031</t>
        </is>
      </c>
      <c r="C859" t="inlineStr">
        <is>
          <t>Improper Neutralization of Input During Web Page Generation ('Cross-site Scripting') vulnerability in faraz sms افزونه پیامک حرفه ای فراز اس ام اس farazsms allows Reflected XSS.This issue affects افزونه پیامک حرفه ای فراز اس ام اس: from n/a through &lt;= 2.7.3.</t>
        </is>
      </c>
      <c r="D859" t="n">
        <v>5</v>
      </c>
      <c r="E859" t="inlineStr">
        <is>
          <t>MEDIUM</t>
        </is>
      </c>
      <c r="F859" t="n">
        <v>2</v>
      </c>
      <c r="G859" t="n">
        <v>2</v>
      </c>
      <c r="H859" t="inlineStr">
        <is>
          <t>MEDIUM</t>
        </is>
      </c>
      <c r="I859" t="n">
        <v>9</v>
      </c>
      <c r="J859" t="inlineStr">
        <is>
          <t>NO</t>
        </is>
      </c>
      <c r="K859" t="inlineStr">
        <is>
          <t>2026-02-23 23:48</t>
        </is>
      </c>
      <c r="L859" t="inlineStr">
        <is>
          <t>CHECK_VENDOR</t>
        </is>
      </c>
      <c r="M859" t="inlineStr">
        <is>
          <t>See CVE details</t>
        </is>
      </c>
      <c r="N859" t="inlineStr">
        <is>
          <t>P4</t>
        </is>
      </c>
      <c r="O859" t="inlineStr">
        <is>
          <t>CVE - IP enrichment n/a</t>
        </is>
      </c>
      <c r="P859" t="n">
        <v>0</v>
      </c>
      <c r="Q859" t="n">
        <v>0</v>
      </c>
      <c r="R859" t="inlineStr">
        <is>
          <t>T1189:Drive-by Compromise</t>
        </is>
      </c>
      <c r="S859" t="n">
        <v>1</v>
      </c>
      <c r="T859" t="inlineStr">
        <is>
          <t>LOW (40%)</t>
        </is>
      </c>
      <c r="U859" t="inlineStr">
        <is>
          <t>UNLIKELY</t>
        </is>
      </c>
      <c r="V859" t="inlineStr">
        <is>
          <t>CHECK_VENDOR</t>
        </is>
      </c>
      <c r="W859" t="inlineStr">
        <is>
          <t>https://nvd.nist.gov/vuln/detail/CVE-2025-68031</t>
        </is>
      </c>
      <c r="X859" t="inlineStr">
        <is>
          <t>NONE</t>
        </is>
      </c>
      <c r="Y859" t="n">
        <v>0</v>
      </c>
      <c r="Z859" t="inlineStr"/>
      <c r="AA859" t="inlineStr">
        <is>
          <t>https://nvd.nist.gov/vuln/detail/CVE-2025-68031</t>
        </is>
      </c>
    </row>
    <row r="860">
      <c r="A860" t="inlineStr">
        <is>
          <t>CVE</t>
        </is>
      </c>
      <c r="B860" t="inlineStr">
        <is>
          <t>CVE-2025-68032</t>
        </is>
      </c>
      <c r="C860" t="inlineStr">
        <is>
          <t>Missing Authorization vulnerability in Passionate Brains Advanced WC Analytics advance-wc-analytics allows Exploiting Incorrectly Configured Access Control Security Levels.This issue affects Advanced WC Analytics: from n/a through &lt;= 3.19.0.</t>
        </is>
      </c>
      <c r="D860" t="n">
        <v>5</v>
      </c>
      <c r="E860" t="inlineStr">
        <is>
          <t>MEDIUM</t>
        </is>
      </c>
      <c r="F860" t="n">
        <v>2</v>
      </c>
      <c r="G860" t="n">
        <v>2</v>
      </c>
      <c r="H860" t="inlineStr">
        <is>
          <t>MEDIUM</t>
        </is>
      </c>
      <c r="I860" t="n">
        <v>9</v>
      </c>
      <c r="J860" t="inlineStr">
        <is>
          <t>NO</t>
        </is>
      </c>
      <c r="K860" t="inlineStr">
        <is>
          <t>2026-02-23 23:48</t>
        </is>
      </c>
      <c r="L860" t="inlineStr">
        <is>
          <t>CHECK_VENDOR</t>
        </is>
      </c>
      <c r="M860" t="inlineStr">
        <is>
          <t>See CVE details</t>
        </is>
      </c>
      <c r="N860" t="inlineStr">
        <is>
          <t>P4</t>
        </is>
      </c>
      <c r="O860" t="inlineStr">
        <is>
          <t>CVE - IP enrichment n/a</t>
        </is>
      </c>
      <c r="P860" t="n">
        <v>0</v>
      </c>
      <c r="Q860" t="n">
        <v>0</v>
      </c>
      <c r="R860" t="inlineStr">
        <is>
          <t>T1190:Exploit Public-Facing Application</t>
        </is>
      </c>
      <c r="S860" t="n">
        <v>1</v>
      </c>
      <c r="T860" t="inlineStr">
        <is>
          <t>LOW (40%)</t>
        </is>
      </c>
      <c r="U860" t="inlineStr">
        <is>
          <t>UNLIKELY</t>
        </is>
      </c>
      <c r="V860" t="inlineStr">
        <is>
          <t>CHECK_VENDOR</t>
        </is>
      </c>
      <c r="W860" t="inlineStr">
        <is>
          <t>https://nvd.nist.gov/vuln/detail/CVE-2025-68032</t>
        </is>
      </c>
      <c r="X860" t="inlineStr">
        <is>
          <t>NONE</t>
        </is>
      </c>
      <c r="Y860" t="n">
        <v>0</v>
      </c>
      <c r="Z860" t="inlineStr"/>
      <c r="AA860" t="inlineStr">
        <is>
          <t>https://nvd.nist.gov/vuln/detail/CVE-2025-68032</t>
        </is>
      </c>
    </row>
    <row r="861">
      <c r="A861" t="inlineStr">
        <is>
          <t>CVE</t>
        </is>
      </c>
      <c r="B861" t="inlineStr">
        <is>
          <t>CVE-2025-68037</t>
        </is>
      </c>
      <c r="C861" t="inlineStr">
        <is>
          <t>Improper Neutralization of Input During Web Page Generation ('Cross-site Scripting') vulnerability in Atlas Gondal Export Media URLs export-media-urls allows Reflected XSS.This issue affects Export Media URLs: from n/a through &lt;= 2.2.</t>
        </is>
      </c>
      <c r="D861" t="n">
        <v>5</v>
      </c>
      <c r="E861" t="inlineStr">
        <is>
          <t>MEDIUM</t>
        </is>
      </c>
      <c r="F861" t="n">
        <v>2</v>
      </c>
      <c r="G861" t="n">
        <v>2</v>
      </c>
      <c r="H861" t="inlineStr">
        <is>
          <t>MEDIUM</t>
        </is>
      </c>
      <c r="I861" t="n">
        <v>9</v>
      </c>
      <c r="J861" t="inlineStr">
        <is>
          <t>NO</t>
        </is>
      </c>
      <c r="K861" t="inlineStr">
        <is>
          <t>2026-02-23 23:48</t>
        </is>
      </c>
      <c r="L861" t="inlineStr">
        <is>
          <t>CHECK_VENDOR</t>
        </is>
      </c>
      <c r="M861" t="inlineStr">
        <is>
          <t>See CVE details</t>
        </is>
      </c>
      <c r="N861" t="inlineStr">
        <is>
          <t>P4</t>
        </is>
      </c>
      <c r="O861" t="inlineStr">
        <is>
          <t>CVE - IP enrichment n/a</t>
        </is>
      </c>
      <c r="P861" t="n">
        <v>0</v>
      </c>
      <c r="Q861" t="n">
        <v>0</v>
      </c>
      <c r="R861" t="inlineStr">
        <is>
          <t>T1189:Drive-by Compromise</t>
        </is>
      </c>
      <c r="S861" t="n">
        <v>1</v>
      </c>
      <c r="T861" t="inlineStr">
        <is>
          <t>LOW (40%)</t>
        </is>
      </c>
      <c r="U861" t="inlineStr">
        <is>
          <t>UNLIKELY</t>
        </is>
      </c>
      <c r="V861" t="inlineStr">
        <is>
          <t>CHECK_VENDOR</t>
        </is>
      </c>
      <c r="W861" t="inlineStr">
        <is>
          <t>https://nvd.nist.gov/vuln/detail/CVE-2025-68037</t>
        </is>
      </c>
      <c r="X861" t="inlineStr">
        <is>
          <t>NONE</t>
        </is>
      </c>
      <c r="Y861" t="n">
        <v>0</v>
      </c>
      <c r="Z861" t="inlineStr"/>
      <c r="AA861" t="inlineStr">
        <is>
          <t>https://nvd.nist.gov/vuln/detail/CVE-2025-68037</t>
        </is>
      </c>
    </row>
    <row r="862">
      <c r="A862" t="inlineStr">
        <is>
          <t>CVE</t>
        </is>
      </c>
      <c r="B862" t="inlineStr">
        <is>
          <t>CVE-2025-68042</t>
        </is>
      </c>
      <c r="C862" t="inlineStr">
        <is>
          <t>Missing Authorization vulnerability in Travelpayouts Travelpayouts travelpayouts allows Exploiting Incorrectly Configured Access Control Security Levels.This issue affects Travelpayouts: from n/a through &lt;= 1.2.1.</t>
        </is>
      </c>
      <c r="D862" t="n">
        <v>5</v>
      </c>
      <c r="E862" t="inlineStr">
        <is>
          <t>MEDIUM</t>
        </is>
      </c>
      <c r="F862" t="n">
        <v>2</v>
      </c>
      <c r="G862" t="n">
        <v>2</v>
      </c>
      <c r="H862" t="inlineStr">
        <is>
          <t>MEDIUM</t>
        </is>
      </c>
      <c r="I862" t="n">
        <v>9</v>
      </c>
      <c r="J862" t="inlineStr">
        <is>
          <t>NO</t>
        </is>
      </c>
      <c r="K862" t="inlineStr">
        <is>
          <t>2026-02-23 23:48</t>
        </is>
      </c>
      <c r="L862" t="inlineStr">
        <is>
          <t>CHECK_VENDOR</t>
        </is>
      </c>
      <c r="M862" t="inlineStr">
        <is>
          <t>See CVE details</t>
        </is>
      </c>
      <c r="N862" t="inlineStr">
        <is>
          <t>P4</t>
        </is>
      </c>
      <c r="O862" t="inlineStr">
        <is>
          <t>CVE - IP enrichment n/a</t>
        </is>
      </c>
      <c r="P862" t="n">
        <v>0</v>
      </c>
      <c r="Q862" t="n">
        <v>0</v>
      </c>
      <c r="R862" t="inlineStr">
        <is>
          <t>T1190:Exploit Public-Facing Application</t>
        </is>
      </c>
      <c r="S862" t="n">
        <v>1</v>
      </c>
      <c r="T862" t="inlineStr">
        <is>
          <t>LOW (40%)</t>
        </is>
      </c>
      <c r="U862" t="inlineStr">
        <is>
          <t>UNLIKELY</t>
        </is>
      </c>
      <c r="V862" t="inlineStr">
        <is>
          <t>CHECK_VENDOR</t>
        </is>
      </c>
      <c r="W862" t="inlineStr">
        <is>
          <t>https://nvd.nist.gov/vuln/detail/CVE-2025-68042</t>
        </is>
      </c>
      <c r="X862" t="inlineStr">
        <is>
          <t>NONE</t>
        </is>
      </c>
      <c r="Y862" t="n">
        <v>0</v>
      </c>
      <c r="Z862" t="inlineStr"/>
      <c r="AA862" t="inlineStr">
        <is>
          <t>https://nvd.nist.gov/vuln/detail/CVE-2025-68042</t>
        </is>
      </c>
    </row>
    <row r="863">
      <c r="A863" t="inlineStr">
        <is>
          <t>CVE</t>
        </is>
      </c>
      <c r="B863" t="inlineStr">
        <is>
          <t>CVE-2025-68043</t>
        </is>
      </c>
      <c r="C863" t="inlineStr">
        <is>
          <t>Missing Authorization vulnerability in LottieFiles LottieFiles lottiefiles allows Exploiting Incorrectly Configured Access Control Security Levels.This issue affects LottieFiles: from n/a through &lt;= 3.0.0.</t>
        </is>
      </c>
      <c r="D863" t="n">
        <v>5</v>
      </c>
      <c r="E863" t="inlineStr">
        <is>
          <t>MEDIUM</t>
        </is>
      </c>
      <c r="F863" t="n">
        <v>2</v>
      </c>
      <c r="G863" t="n">
        <v>2</v>
      </c>
      <c r="H863" t="inlineStr">
        <is>
          <t>MEDIUM</t>
        </is>
      </c>
      <c r="I863" t="n">
        <v>9</v>
      </c>
      <c r="J863" t="inlineStr">
        <is>
          <t>NO</t>
        </is>
      </c>
      <c r="K863" t="inlineStr">
        <is>
          <t>2026-02-23 23:48</t>
        </is>
      </c>
      <c r="L863" t="inlineStr">
        <is>
          <t>CHECK_VENDOR</t>
        </is>
      </c>
      <c r="M863" t="inlineStr">
        <is>
          <t>See CVE details</t>
        </is>
      </c>
      <c r="N863" t="inlineStr">
        <is>
          <t>P4</t>
        </is>
      </c>
      <c r="O863" t="inlineStr">
        <is>
          <t>CVE - IP enrichment n/a</t>
        </is>
      </c>
      <c r="P863" t="n">
        <v>0</v>
      </c>
      <c r="Q863" t="n">
        <v>0</v>
      </c>
      <c r="R863" t="inlineStr">
        <is>
          <t>T1190:Exploit Public-Facing Application</t>
        </is>
      </c>
      <c r="S863" t="n">
        <v>1</v>
      </c>
      <c r="T863" t="inlineStr">
        <is>
          <t>LOW (40%)</t>
        </is>
      </c>
      <c r="U863" t="inlineStr">
        <is>
          <t>UNLIKELY</t>
        </is>
      </c>
      <c r="V863" t="inlineStr">
        <is>
          <t>CHECK_VENDOR</t>
        </is>
      </c>
      <c r="W863" t="inlineStr">
        <is>
          <t>https://nvd.nist.gov/vuln/detail/CVE-2025-68043</t>
        </is>
      </c>
      <c r="X863" t="inlineStr">
        <is>
          <t>NONE</t>
        </is>
      </c>
      <c r="Y863" t="n">
        <v>0</v>
      </c>
      <c r="Z863" t="inlineStr"/>
      <c r="AA863" t="inlineStr">
        <is>
          <t>https://nvd.nist.gov/vuln/detail/CVE-2025-68043</t>
        </is>
      </c>
    </row>
    <row r="864">
      <c r="A864" t="inlineStr">
        <is>
          <t>CVE</t>
        </is>
      </c>
      <c r="B864" t="inlineStr">
        <is>
          <t>CVE-2025-68048</t>
        </is>
      </c>
      <c r="C864" t="inlineStr">
        <is>
          <t>Missing Authorization vulnerability in XLPlugins NextMove Lite woo-thank-you-page-nextmove-lite allows Exploiting Incorrectly Configured Access Control Security Levels.This issue affects NextMove Lite: from n/a through &lt;= 2.23.0.</t>
        </is>
      </c>
      <c r="D864" t="n">
        <v>5</v>
      </c>
      <c r="E864" t="inlineStr">
        <is>
          <t>MEDIUM</t>
        </is>
      </c>
      <c r="F864" t="n">
        <v>2</v>
      </c>
      <c r="G864" t="n">
        <v>2</v>
      </c>
      <c r="H864" t="inlineStr">
        <is>
          <t>MEDIUM</t>
        </is>
      </c>
      <c r="I864" t="n">
        <v>9</v>
      </c>
      <c r="J864" t="inlineStr">
        <is>
          <t>NO</t>
        </is>
      </c>
      <c r="K864" t="inlineStr">
        <is>
          <t>2026-02-23 23:48</t>
        </is>
      </c>
      <c r="L864" t="inlineStr">
        <is>
          <t>CHECK_VENDOR</t>
        </is>
      </c>
      <c r="M864" t="inlineStr">
        <is>
          <t>See CVE details</t>
        </is>
      </c>
      <c r="N864" t="inlineStr">
        <is>
          <t>P4</t>
        </is>
      </c>
      <c r="O864" t="inlineStr">
        <is>
          <t>CVE - IP enrichment n/a</t>
        </is>
      </c>
      <c r="P864" t="n">
        <v>0.0002</v>
      </c>
      <c r="Q864" t="n">
        <v>0.0381</v>
      </c>
      <c r="R864" t="inlineStr">
        <is>
          <t>T1190:Exploit Public-Facing Application</t>
        </is>
      </c>
      <c r="S864" t="n">
        <v>1</v>
      </c>
      <c r="T864" t="inlineStr">
        <is>
          <t>LOW (40%)</t>
        </is>
      </c>
      <c r="U864" t="inlineStr">
        <is>
          <t>UNLIKELY</t>
        </is>
      </c>
      <c r="V864" t="inlineStr">
        <is>
          <t>CHECK_VENDOR</t>
        </is>
      </c>
      <c r="W864" t="inlineStr">
        <is>
          <t>https://nvd.nist.gov/vuln/detail/CVE-2025-68048</t>
        </is>
      </c>
      <c r="X864" t="inlineStr">
        <is>
          <t>NONE</t>
        </is>
      </c>
      <c r="Y864" t="n">
        <v>0</v>
      </c>
      <c r="Z864" t="inlineStr"/>
      <c r="AA864" t="inlineStr">
        <is>
          <t>https://nvd.nist.gov/vuln/detail/CVE-2025-68048</t>
        </is>
      </c>
    </row>
    <row r="865">
      <c r="A865" t="inlineStr">
        <is>
          <t>CVE</t>
        </is>
      </c>
      <c r="B865" t="inlineStr">
        <is>
          <t>CVE-2025-68050</t>
        </is>
      </c>
      <c r="C865" t="inlineStr">
        <is>
          <t>Missing Authorization vulnerability in Leadpages Leadpages leadpages allows Exploiting Incorrectly Configured Access Control Security Levels.This issue affects Leadpages: from n/a through &lt;= 1.1.3.</t>
        </is>
      </c>
      <c r="D865" t="n">
        <v>5</v>
      </c>
      <c r="E865" t="inlineStr">
        <is>
          <t>MEDIUM</t>
        </is>
      </c>
      <c r="F865" t="n">
        <v>2</v>
      </c>
      <c r="G865" t="n">
        <v>2</v>
      </c>
      <c r="H865" t="inlineStr">
        <is>
          <t>MEDIUM</t>
        </is>
      </c>
      <c r="I865" t="n">
        <v>9</v>
      </c>
      <c r="J865" t="inlineStr">
        <is>
          <t>NO</t>
        </is>
      </c>
      <c r="K865" t="inlineStr">
        <is>
          <t>2026-02-23 23:48</t>
        </is>
      </c>
      <c r="L865" t="inlineStr">
        <is>
          <t>CHECK_VENDOR</t>
        </is>
      </c>
      <c r="M865" t="inlineStr">
        <is>
          <t>See CVE details</t>
        </is>
      </c>
      <c r="N865" t="inlineStr">
        <is>
          <t>P4</t>
        </is>
      </c>
      <c r="O865" t="inlineStr">
        <is>
          <t>CVE - IP enrichment n/a</t>
        </is>
      </c>
      <c r="P865" t="n">
        <v>0</v>
      </c>
      <c r="Q865" t="n">
        <v>0</v>
      </c>
      <c r="R865" t="inlineStr">
        <is>
          <t>T1190:Exploit Public-Facing Application</t>
        </is>
      </c>
      <c r="S865" t="n">
        <v>1</v>
      </c>
      <c r="T865" t="inlineStr">
        <is>
          <t>LOW (40%)</t>
        </is>
      </c>
      <c r="U865" t="inlineStr">
        <is>
          <t>UNLIKELY</t>
        </is>
      </c>
      <c r="V865" t="inlineStr">
        <is>
          <t>CHECK_VENDOR</t>
        </is>
      </c>
      <c r="W865" t="inlineStr">
        <is>
          <t>https://nvd.nist.gov/vuln/detail/CVE-2025-68050</t>
        </is>
      </c>
      <c r="X865" t="inlineStr">
        <is>
          <t>NONE</t>
        </is>
      </c>
      <c r="Y865" t="n">
        <v>0</v>
      </c>
      <c r="Z865" t="inlineStr"/>
      <c r="AA865" t="inlineStr">
        <is>
          <t>https://nvd.nist.gov/vuln/detail/CVE-2025-68050</t>
        </is>
      </c>
    </row>
    <row r="866">
      <c r="A866" t="inlineStr">
        <is>
          <t>CVE</t>
        </is>
      </c>
      <c r="B866" t="inlineStr">
        <is>
          <t>CVE-2025-68051</t>
        </is>
      </c>
      <c r="C866" t="inlineStr">
        <is>
          <t>Authorization Bypass Through User-Controlled Key vulnerability in Shiprocket Shiprocket shiprocket allows Exploiting Incorrectly Configured Access Control Security Levels.This issue affects Shiprocket: from n/a through &lt;= 2.0.8.</t>
        </is>
      </c>
      <c r="D866" t="n">
        <v>5</v>
      </c>
      <c r="E866" t="inlineStr">
        <is>
          <t>MEDIUM</t>
        </is>
      </c>
      <c r="F866" t="n">
        <v>2</v>
      </c>
      <c r="G866" t="n">
        <v>2</v>
      </c>
      <c r="H866" t="inlineStr">
        <is>
          <t>MEDIUM</t>
        </is>
      </c>
      <c r="I866" t="n">
        <v>9</v>
      </c>
      <c r="J866" t="inlineStr">
        <is>
          <t>NO</t>
        </is>
      </c>
      <c r="K866" t="inlineStr">
        <is>
          <t>2026-02-23 23:48</t>
        </is>
      </c>
      <c r="L866" t="inlineStr">
        <is>
          <t>CHECK_VENDOR</t>
        </is>
      </c>
      <c r="M866" t="inlineStr">
        <is>
          <t>See CVE details</t>
        </is>
      </c>
      <c r="N866" t="inlineStr">
        <is>
          <t>P4</t>
        </is>
      </c>
      <c r="O866" t="inlineStr">
        <is>
          <t>CVE - IP enrichment n/a</t>
        </is>
      </c>
      <c r="P866" t="n">
        <v>0</v>
      </c>
      <c r="Q866" t="n">
        <v>0</v>
      </c>
      <c r="R866" t="inlineStr">
        <is>
          <t>T1190:Exploit Public-Facing Application</t>
        </is>
      </c>
      <c r="S866" t="n">
        <v>1</v>
      </c>
      <c r="T866" t="inlineStr">
        <is>
          <t>LOW (40%)</t>
        </is>
      </c>
      <c r="U866" t="inlineStr">
        <is>
          <t>UNLIKELY</t>
        </is>
      </c>
      <c r="V866" t="inlineStr">
        <is>
          <t>CHECK_VENDOR</t>
        </is>
      </c>
      <c r="W866" t="inlineStr">
        <is>
          <t>https://nvd.nist.gov/vuln/detail/CVE-2025-68051</t>
        </is>
      </c>
      <c r="X866" t="inlineStr">
        <is>
          <t>NONE</t>
        </is>
      </c>
      <c r="Y866" t="n">
        <v>0</v>
      </c>
      <c r="Z866" t="inlineStr"/>
      <c r="AA866" t="inlineStr">
        <is>
          <t>https://nvd.nist.gov/vuln/detail/CVE-2025-68051</t>
        </is>
      </c>
    </row>
    <row r="867">
      <c r="A867" t="inlineStr">
        <is>
          <t>CVE</t>
        </is>
      </c>
      <c r="B867" t="inlineStr">
        <is>
          <t>CVE-2025-68069</t>
        </is>
      </c>
      <c r="C867" t="inlineStr">
        <is>
          <t>Missing Authorization vulnerability in wpWax Directorist directorist allows Exploiting Incorrectly Configured Access Control Security Levels.This issue affects Directorist: from n/a through &lt;= 8.5.10.</t>
        </is>
      </c>
      <c r="D867" t="n">
        <v>5</v>
      </c>
      <c r="E867" t="inlineStr">
        <is>
          <t>MEDIUM</t>
        </is>
      </c>
      <c r="F867" t="n">
        <v>2</v>
      </c>
      <c r="G867" t="n">
        <v>2</v>
      </c>
      <c r="H867" t="inlineStr">
        <is>
          <t>MEDIUM</t>
        </is>
      </c>
      <c r="I867" t="n">
        <v>9</v>
      </c>
      <c r="J867" t="inlineStr">
        <is>
          <t>NO</t>
        </is>
      </c>
      <c r="K867" t="inlineStr">
        <is>
          <t>2026-02-23 23:48</t>
        </is>
      </c>
      <c r="L867" t="inlineStr">
        <is>
          <t>CHECK_VENDOR</t>
        </is>
      </c>
      <c r="M867" t="inlineStr">
        <is>
          <t>See CVE details</t>
        </is>
      </c>
      <c r="N867" t="inlineStr">
        <is>
          <t>P4</t>
        </is>
      </c>
      <c r="O867" t="inlineStr">
        <is>
          <t>CVE - IP enrichment n/a</t>
        </is>
      </c>
      <c r="P867" t="n">
        <v>0</v>
      </c>
      <c r="Q867" t="n">
        <v>0</v>
      </c>
      <c r="R867" t="inlineStr">
        <is>
          <t>T1190:Exploit Public-Facing Application</t>
        </is>
      </c>
      <c r="S867" t="n">
        <v>1</v>
      </c>
      <c r="T867" t="inlineStr">
        <is>
          <t>LOW (40%)</t>
        </is>
      </c>
      <c r="U867" t="inlineStr">
        <is>
          <t>UNLIKELY</t>
        </is>
      </c>
      <c r="V867" t="inlineStr">
        <is>
          <t>CHECK_VENDOR</t>
        </is>
      </c>
      <c r="W867" t="inlineStr">
        <is>
          <t>https://nvd.nist.gov/vuln/detail/CVE-2025-68069</t>
        </is>
      </c>
      <c r="X867" t="inlineStr">
        <is>
          <t>NONE</t>
        </is>
      </c>
      <c r="Y867" t="n">
        <v>0</v>
      </c>
      <c r="Z867" t="inlineStr"/>
      <c r="AA867" t="inlineStr">
        <is>
          <t>https://nvd.nist.gov/vuln/detail/CVE-2025-68069</t>
        </is>
      </c>
    </row>
    <row r="868">
      <c r="A868" t="inlineStr">
        <is>
          <t>CVE</t>
        </is>
      </c>
      <c r="B868" t="inlineStr">
        <is>
          <t>CVE-2025-68495</t>
        </is>
      </c>
      <c r="C868" t="inlineStr">
        <is>
          <t>Improper Neutralization of Input During Web Page Generation ('Cross-site Scripting') vulnerability in Crocoblock JetEngine jet-engine allows Reflected XSS.This issue affects JetEngine: from n/a through &lt;= 3.8.0.</t>
        </is>
      </c>
      <c r="D868" t="n">
        <v>5</v>
      </c>
      <c r="E868" t="inlineStr">
        <is>
          <t>MEDIUM</t>
        </is>
      </c>
      <c r="F868" t="n">
        <v>2</v>
      </c>
      <c r="G868" t="n">
        <v>2</v>
      </c>
      <c r="H868" t="inlineStr">
        <is>
          <t>MEDIUM</t>
        </is>
      </c>
      <c r="I868" t="n">
        <v>9</v>
      </c>
      <c r="J868" t="inlineStr">
        <is>
          <t>NO</t>
        </is>
      </c>
      <c r="K868" t="inlineStr">
        <is>
          <t>2026-02-23 23:48</t>
        </is>
      </c>
      <c r="L868" t="inlineStr">
        <is>
          <t>CHECK_VENDOR</t>
        </is>
      </c>
      <c r="M868" t="inlineStr">
        <is>
          <t>See CVE details</t>
        </is>
      </c>
      <c r="N868" t="inlineStr">
        <is>
          <t>P4</t>
        </is>
      </c>
      <c r="O868" t="inlineStr">
        <is>
          <t>CVE - IP enrichment n/a</t>
        </is>
      </c>
      <c r="P868" t="n">
        <v>0</v>
      </c>
      <c r="Q868" t="n">
        <v>0</v>
      </c>
      <c r="R868" t="inlineStr">
        <is>
          <t>T1189:Drive-by Compromise</t>
        </is>
      </c>
      <c r="S868" t="n">
        <v>1</v>
      </c>
      <c r="T868" t="inlineStr">
        <is>
          <t>LOW (40%)</t>
        </is>
      </c>
      <c r="U868" t="inlineStr">
        <is>
          <t>UNLIKELY</t>
        </is>
      </c>
      <c r="V868" t="inlineStr">
        <is>
          <t>CHECK_VENDOR</t>
        </is>
      </c>
      <c r="W868" t="inlineStr">
        <is>
          <t>https://nvd.nist.gov/vuln/detail/CVE-2025-68495</t>
        </is>
      </c>
      <c r="X868" t="inlineStr">
        <is>
          <t>NONE</t>
        </is>
      </c>
      <c r="Y868" t="n">
        <v>0</v>
      </c>
      <c r="Z868" t="inlineStr"/>
      <c r="AA868" t="inlineStr">
        <is>
          <t>https://nvd.nist.gov/vuln/detail/CVE-2025-68495</t>
        </is>
      </c>
    </row>
    <row r="869">
      <c r="A869" t="inlineStr">
        <is>
          <t>CVE</t>
        </is>
      </c>
      <c r="B869" t="inlineStr">
        <is>
          <t>CVE-2025-68501</t>
        </is>
      </c>
      <c r="C869" t="inlineStr">
        <is>
          <t>Improper Neutralization of Input During Web Page Generation ('Cross-site Scripting') vulnerability in Mollie Mollie Payments for WooCommerce mollie-payments-for-woocommerce allows Reflected XSS.This issue affects Mollie Payments for WooCommerce: from n/a through &lt;= 8.1.1.</t>
        </is>
      </c>
      <c r="D869" t="n">
        <v>8.5</v>
      </c>
      <c r="E869" t="inlineStr">
        <is>
          <t>HIGH</t>
        </is>
      </c>
      <c r="F869" t="n">
        <v>2</v>
      </c>
      <c r="G869" t="n">
        <v>3</v>
      </c>
      <c r="H869" t="inlineStr">
        <is>
          <t>HIGH</t>
        </is>
      </c>
      <c r="I869" t="n">
        <v>14.5</v>
      </c>
      <c r="J869" t="inlineStr">
        <is>
          <t>NO</t>
        </is>
      </c>
      <c r="K869" t="inlineStr">
        <is>
          <t>2026-02-23 23:48</t>
        </is>
      </c>
      <c r="L869" t="inlineStr">
        <is>
          <t>CHECK_VENDOR</t>
        </is>
      </c>
      <c r="M869" t="inlineStr">
        <is>
          <t>See CVE details</t>
        </is>
      </c>
      <c r="N869" t="inlineStr">
        <is>
          <t>P3</t>
        </is>
      </c>
      <c r="O869" t="inlineStr">
        <is>
          <t>CVE - IP enrichment n/a</t>
        </is>
      </c>
      <c r="P869" t="n">
        <v>0</v>
      </c>
      <c r="Q869" t="n">
        <v>0</v>
      </c>
      <c r="R869" t="inlineStr">
        <is>
          <t>T1189:Drive-by Compromise | T1190:Exploit Public-Facing Application</t>
        </is>
      </c>
      <c r="S869" t="n">
        <v>1</v>
      </c>
      <c r="T869" t="inlineStr">
        <is>
          <t>LOW (40%)</t>
        </is>
      </c>
      <c r="U869" t="inlineStr">
        <is>
          <t>UNLIKELY</t>
        </is>
      </c>
      <c r="V869" t="inlineStr">
        <is>
          <t>CHECK_VENDOR</t>
        </is>
      </c>
      <c r="W869" t="inlineStr">
        <is>
          <t>https://nvd.nist.gov/vuln/detail/CVE-2025-68501</t>
        </is>
      </c>
      <c r="X869" t="inlineStr">
        <is>
          <t>NONE</t>
        </is>
      </c>
      <c r="Y869" t="n">
        <v>0</v>
      </c>
      <c r="Z869" t="inlineStr"/>
      <c r="AA869" t="inlineStr">
        <is>
          <t>https://nvd.nist.gov/vuln/detail/CVE-2025-68501</t>
        </is>
      </c>
    </row>
    <row r="870">
      <c r="A870" t="inlineStr">
        <is>
          <t>CVE</t>
        </is>
      </c>
      <c r="B870" t="inlineStr">
        <is>
          <t>CVE-2025-68514</t>
        </is>
      </c>
      <c r="C870" t="inlineStr">
        <is>
          <t>Authorization Bypass Through User-Controlled Key vulnerability in Cozmoslabs Paid Member Subscriptions paid-member-subscriptions allows Exploiting Incorrectly Configured Access Control Security Levels.This issue affects Paid Member Subscriptions: from n/a through &lt;= 2.16.8.</t>
        </is>
      </c>
      <c r="D870" t="n">
        <v>5</v>
      </c>
      <c r="E870" t="inlineStr">
        <is>
          <t>MEDIUM</t>
        </is>
      </c>
      <c r="F870" t="n">
        <v>2</v>
      </c>
      <c r="G870" t="n">
        <v>2</v>
      </c>
      <c r="H870" t="inlineStr">
        <is>
          <t>MEDIUM</t>
        </is>
      </c>
      <c r="I870" t="n">
        <v>9</v>
      </c>
      <c r="J870" t="inlineStr">
        <is>
          <t>NO</t>
        </is>
      </c>
      <c r="K870" t="inlineStr">
        <is>
          <t>2026-02-23 23:48</t>
        </is>
      </c>
      <c r="L870" t="inlineStr">
        <is>
          <t>CHECK_VENDOR</t>
        </is>
      </c>
      <c r="M870" t="inlineStr">
        <is>
          <t>See CVE details</t>
        </is>
      </c>
      <c r="N870" t="inlineStr">
        <is>
          <t>P4</t>
        </is>
      </c>
      <c r="O870" t="inlineStr">
        <is>
          <t>CVE - IP enrichment n/a</t>
        </is>
      </c>
      <c r="P870" t="n">
        <v>0.0002</v>
      </c>
      <c r="Q870" t="n">
        <v>0.0381</v>
      </c>
      <c r="R870" t="inlineStr">
        <is>
          <t>T1190:Exploit Public-Facing Application</t>
        </is>
      </c>
      <c r="S870" t="n">
        <v>1</v>
      </c>
      <c r="T870" t="inlineStr">
        <is>
          <t>LOW (40%)</t>
        </is>
      </c>
      <c r="U870" t="inlineStr">
        <is>
          <t>UNLIKELY</t>
        </is>
      </c>
      <c r="V870" t="inlineStr">
        <is>
          <t>CHECK_VENDOR</t>
        </is>
      </c>
      <c r="W870" t="inlineStr">
        <is>
          <t>https://nvd.nist.gov/vuln/detail/CVE-2025-68514</t>
        </is>
      </c>
      <c r="X870" t="inlineStr">
        <is>
          <t>NONE</t>
        </is>
      </c>
      <c r="Y870" t="n">
        <v>0</v>
      </c>
      <c r="Z870" t="inlineStr"/>
      <c r="AA870" t="inlineStr">
        <is>
          <t>https://nvd.nist.gov/vuln/detail/CVE-2025-68514</t>
        </is>
      </c>
    </row>
    <row r="871">
      <c r="A871" t="inlineStr">
        <is>
          <t>CVE</t>
        </is>
      </c>
      <c r="B871" t="inlineStr">
        <is>
          <t>CVE-2025-68526</t>
        </is>
      </c>
      <c r="C871" t="inlineStr">
        <is>
          <t>Deserialization of Untrusted Data vulnerability in A WP Life Modal Popup Box modal-popup-box allows Object Injection.This issue affects Modal Popup Box: from n/a through &lt;= 1.6.1.</t>
        </is>
      </c>
      <c r="D871" t="n">
        <v>5</v>
      </c>
      <c r="E871" t="inlineStr">
        <is>
          <t>MEDIUM</t>
        </is>
      </c>
      <c r="F871" t="n">
        <v>2</v>
      </c>
      <c r="G871" t="n">
        <v>2</v>
      </c>
      <c r="H871" t="inlineStr">
        <is>
          <t>MEDIUM</t>
        </is>
      </c>
      <c r="I871" t="n">
        <v>9</v>
      </c>
      <c r="J871" t="inlineStr">
        <is>
          <t>NO</t>
        </is>
      </c>
      <c r="K871" t="inlineStr">
        <is>
          <t>2026-02-23 23:48</t>
        </is>
      </c>
      <c r="L871" t="inlineStr">
        <is>
          <t>CHECK_VENDOR</t>
        </is>
      </c>
      <c r="M871" t="inlineStr">
        <is>
          <t>See CVE details</t>
        </is>
      </c>
      <c r="N871" t="inlineStr">
        <is>
          <t>P4</t>
        </is>
      </c>
      <c r="O871" t="inlineStr">
        <is>
          <t>CVE - IP enrichment n/a</t>
        </is>
      </c>
      <c r="P871" t="n">
        <v>0.0002</v>
      </c>
      <c r="Q871" t="n">
        <v>0.0636</v>
      </c>
      <c r="R871" t="inlineStr">
        <is>
          <t>T1059:Command and Scripting Interpreter</t>
        </is>
      </c>
      <c r="S871" t="n">
        <v>1</v>
      </c>
      <c r="T871" t="inlineStr">
        <is>
          <t>LOW (40%)</t>
        </is>
      </c>
      <c r="U871" t="inlineStr">
        <is>
          <t>UNLIKELY</t>
        </is>
      </c>
      <c r="V871" t="inlineStr">
        <is>
          <t>CHECK_VENDOR</t>
        </is>
      </c>
      <c r="W871" t="inlineStr">
        <is>
          <t>https://nvd.nist.gov/vuln/detail/CVE-2025-68526</t>
        </is>
      </c>
      <c r="X871" t="inlineStr">
        <is>
          <t>NONE</t>
        </is>
      </c>
      <c r="Y871" t="n">
        <v>0</v>
      </c>
      <c r="Z871" t="inlineStr"/>
      <c r="AA871" t="inlineStr">
        <is>
          <t>https://nvd.nist.gov/vuln/detail/CVE-2025-68526</t>
        </is>
      </c>
    </row>
    <row r="872">
      <c r="A872" t="inlineStr">
        <is>
          <t>CVE</t>
        </is>
      </c>
      <c r="B872" t="inlineStr">
        <is>
          <t>CVE-2025-68531</t>
        </is>
      </c>
      <c r="C872" t="inlineStr">
        <is>
          <t>Deserialization of Untrusted Data vulnerability in modeltheme ModelTheme Addons for WPBakery and Elementor modeltheme-addons-for-wpbakery allows Object Injection.This issue affects ModelTheme Addons for WPBakery and Elementor: from n/a through &lt; 1.5.6.</t>
        </is>
      </c>
      <c r="D872" t="n">
        <v>5</v>
      </c>
      <c r="E872" t="inlineStr">
        <is>
          <t>MEDIUM</t>
        </is>
      </c>
      <c r="F872" t="n">
        <v>2</v>
      </c>
      <c r="G872" t="n">
        <v>2</v>
      </c>
      <c r="H872" t="inlineStr">
        <is>
          <t>MEDIUM</t>
        </is>
      </c>
      <c r="I872" t="n">
        <v>9</v>
      </c>
      <c r="J872" t="inlineStr">
        <is>
          <t>NO</t>
        </is>
      </c>
      <c r="K872" t="inlineStr">
        <is>
          <t>2026-02-23 23:48</t>
        </is>
      </c>
      <c r="L872" t="inlineStr">
        <is>
          <t>CHECK_VENDOR</t>
        </is>
      </c>
      <c r="M872" t="inlineStr">
        <is>
          <t>See CVE details</t>
        </is>
      </c>
      <c r="N872" t="inlineStr">
        <is>
          <t>P4</t>
        </is>
      </c>
      <c r="O872" t="inlineStr">
        <is>
          <t>CVE - IP enrichment n/a</t>
        </is>
      </c>
      <c r="P872" t="n">
        <v>0</v>
      </c>
      <c r="Q872" t="n">
        <v>0</v>
      </c>
      <c r="R872" t="inlineStr">
        <is>
          <t>T1059:Command and Scripting Interpreter</t>
        </is>
      </c>
      <c r="S872" t="n">
        <v>1</v>
      </c>
      <c r="T872" t="inlineStr">
        <is>
          <t>LOW (40%)</t>
        </is>
      </c>
      <c r="U872" t="inlineStr">
        <is>
          <t>UNLIKELY</t>
        </is>
      </c>
      <c r="V872" t="inlineStr">
        <is>
          <t>CHECK_VENDOR</t>
        </is>
      </c>
      <c r="W872" t="inlineStr">
        <is>
          <t>https://nvd.nist.gov/vuln/detail/CVE-2025-68531</t>
        </is>
      </c>
      <c r="X872" t="inlineStr">
        <is>
          <t>NONE</t>
        </is>
      </c>
      <c r="Y872" t="n">
        <v>0</v>
      </c>
      <c r="Z872" t="inlineStr"/>
      <c r="AA872" t="inlineStr">
        <is>
          <t>https://nvd.nist.gov/vuln/detail/CVE-2025-68531</t>
        </is>
      </c>
    </row>
    <row r="873">
      <c r="A873" t="inlineStr">
        <is>
          <t>CVE</t>
        </is>
      </c>
      <c r="B873" t="inlineStr">
        <is>
          <t>CVE-2025-68534</t>
        </is>
      </c>
      <c r="C873" t="inlineStr">
        <is>
          <t>Missing Authorization vulnerability in add-ons.org PDF for WPForms pdf-for-wpforms allows Exploiting Incorrectly Configured Access Control Security Levels.This issue affects PDF for WPForms: from n/a through &lt;= 6.3.0.</t>
        </is>
      </c>
      <c r="D873" t="n">
        <v>5</v>
      </c>
      <c r="E873" t="inlineStr">
        <is>
          <t>MEDIUM</t>
        </is>
      </c>
      <c r="F873" t="n">
        <v>2</v>
      </c>
      <c r="G873" t="n">
        <v>2</v>
      </c>
      <c r="H873" t="inlineStr">
        <is>
          <t>MEDIUM</t>
        </is>
      </c>
      <c r="I873" t="n">
        <v>9</v>
      </c>
      <c r="J873" t="inlineStr">
        <is>
          <t>NO</t>
        </is>
      </c>
      <c r="K873" t="inlineStr">
        <is>
          <t>2026-02-23 23:48</t>
        </is>
      </c>
      <c r="L873" t="inlineStr">
        <is>
          <t>CHECK_VENDOR</t>
        </is>
      </c>
      <c r="M873" t="inlineStr">
        <is>
          <t>See CVE details</t>
        </is>
      </c>
      <c r="N873" t="inlineStr">
        <is>
          <t>P4</t>
        </is>
      </c>
      <c r="O873" t="inlineStr">
        <is>
          <t>CVE - IP enrichment n/a</t>
        </is>
      </c>
      <c r="P873" t="n">
        <v>0</v>
      </c>
      <c r="Q873" t="n">
        <v>0</v>
      </c>
      <c r="R873" t="inlineStr">
        <is>
          <t>T1190:Exploit Public-Facing Application</t>
        </is>
      </c>
      <c r="S873" t="n">
        <v>1</v>
      </c>
      <c r="T873" t="inlineStr">
        <is>
          <t>LOW (40%)</t>
        </is>
      </c>
      <c r="U873" t="inlineStr">
        <is>
          <t>UNLIKELY</t>
        </is>
      </c>
      <c r="V873" t="inlineStr">
        <is>
          <t>CHECK_VENDOR</t>
        </is>
      </c>
      <c r="W873" t="inlineStr">
        <is>
          <t>https://nvd.nist.gov/vuln/detail/CVE-2025-68534</t>
        </is>
      </c>
      <c r="X873" t="inlineStr">
        <is>
          <t>NONE</t>
        </is>
      </c>
      <c r="Y873" t="n">
        <v>0</v>
      </c>
      <c r="Z873" t="inlineStr"/>
      <c r="AA873" t="inlineStr">
        <is>
          <t>https://nvd.nist.gov/vuln/detail/CVE-2025-68534</t>
        </is>
      </c>
    </row>
    <row r="874">
      <c r="A874" t="inlineStr">
        <is>
          <t>CVE</t>
        </is>
      </c>
      <c r="B874" t="inlineStr">
        <is>
          <t>CVE-2025-68536</t>
        </is>
      </c>
      <c r="C874" t="inlineStr">
        <is>
          <t>Improper Control of Filename for Include/Require Statement in PHP Program ('PHP Remote File Inclusion') vulnerability in thembay Zota zota allows PHP Local File Inclusion.This issue affects Zota: from n/a through &lt;= 1.3.14.</t>
        </is>
      </c>
      <c r="D874" t="n">
        <v>5</v>
      </c>
      <c r="E874" t="inlineStr">
        <is>
          <t>MEDIUM</t>
        </is>
      </c>
      <c r="F874" t="n">
        <v>2</v>
      </c>
      <c r="G874" t="n">
        <v>2</v>
      </c>
      <c r="H874" t="inlineStr">
        <is>
          <t>MEDIUM</t>
        </is>
      </c>
      <c r="I874" t="n">
        <v>9</v>
      </c>
      <c r="J874" t="inlineStr">
        <is>
          <t>NO</t>
        </is>
      </c>
      <c r="K874" t="inlineStr">
        <is>
          <t>2026-02-23 23:48</t>
        </is>
      </c>
      <c r="L874" t="inlineStr">
        <is>
          <t>CHECK_VENDOR</t>
        </is>
      </c>
      <c r="M874" t="inlineStr">
        <is>
          <t>See CVE details</t>
        </is>
      </c>
      <c r="N874" t="inlineStr">
        <is>
          <t>P4</t>
        </is>
      </c>
      <c r="O874" t="inlineStr">
        <is>
          <t>CVE - IP enrichment n/a</t>
        </is>
      </c>
      <c r="P874" t="n">
        <v>0</v>
      </c>
      <c r="Q874" t="n">
        <v>0</v>
      </c>
      <c r="R874" t="inlineStr">
        <is>
          <t>T1190:Exploit Public-Facing Application</t>
        </is>
      </c>
      <c r="S874" t="n">
        <v>1</v>
      </c>
      <c r="T874" t="inlineStr">
        <is>
          <t>LOW (40%)</t>
        </is>
      </c>
      <c r="U874" t="inlineStr">
        <is>
          <t>UNLIKELY</t>
        </is>
      </c>
      <c r="V874" t="inlineStr">
        <is>
          <t>CHECK_VENDOR</t>
        </is>
      </c>
      <c r="W874" t="inlineStr">
        <is>
          <t>https://nvd.nist.gov/vuln/detail/CVE-2025-68536</t>
        </is>
      </c>
      <c r="X874" t="inlineStr">
        <is>
          <t>NONE</t>
        </is>
      </c>
      <c r="Y874" t="n">
        <v>0</v>
      </c>
      <c r="Z874" t="inlineStr"/>
      <c r="AA874" t="inlineStr">
        <is>
          <t>https://nvd.nist.gov/vuln/detail/CVE-2025-68536</t>
        </is>
      </c>
    </row>
    <row r="875">
      <c r="A875" t="inlineStr">
        <is>
          <t>CVE</t>
        </is>
      </c>
      <c r="B875" t="inlineStr">
        <is>
          <t>CVE-2025-68539</t>
        </is>
      </c>
      <c r="C875" t="inlineStr">
        <is>
          <t>Improper Control of Filename for Include/Require Statement in PHP Program ('PHP Remote File Inclusion') vulnerability in thembay Fana fana allows PHP Local File Inclusion.This issue affects Fana: from n/a through &lt;= 1.1.35.</t>
        </is>
      </c>
      <c r="D875" t="n">
        <v>5</v>
      </c>
      <c r="E875" t="inlineStr">
        <is>
          <t>MEDIUM</t>
        </is>
      </c>
      <c r="F875" t="n">
        <v>2</v>
      </c>
      <c r="G875" t="n">
        <v>2</v>
      </c>
      <c r="H875" t="inlineStr">
        <is>
          <t>MEDIUM</t>
        </is>
      </c>
      <c r="I875" t="n">
        <v>9</v>
      </c>
      <c r="J875" t="inlineStr">
        <is>
          <t>NO</t>
        </is>
      </c>
      <c r="K875" t="inlineStr">
        <is>
          <t>2026-02-23 23:48</t>
        </is>
      </c>
      <c r="L875" t="inlineStr">
        <is>
          <t>CHECK_VENDOR</t>
        </is>
      </c>
      <c r="M875" t="inlineStr">
        <is>
          <t>See CVE details</t>
        </is>
      </c>
      <c r="N875" t="inlineStr">
        <is>
          <t>P4</t>
        </is>
      </c>
      <c r="O875" t="inlineStr">
        <is>
          <t>CVE - IP enrichment n/a</t>
        </is>
      </c>
      <c r="P875" t="n">
        <v>0</v>
      </c>
      <c r="Q875" t="n">
        <v>0</v>
      </c>
      <c r="R875" t="inlineStr">
        <is>
          <t>T1190:Exploit Public-Facing Application</t>
        </is>
      </c>
      <c r="S875" t="n">
        <v>1</v>
      </c>
      <c r="T875" t="inlineStr">
        <is>
          <t>LOW (40%)</t>
        </is>
      </c>
      <c r="U875" t="inlineStr">
        <is>
          <t>UNLIKELY</t>
        </is>
      </c>
      <c r="V875" t="inlineStr">
        <is>
          <t>CHECK_VENDOR</t>
        </is>
      </c>
      <c r="W875" t="inlineStr">
        <is>
          <t>https://nvd.nist.gov/vuln/detail/CVE-2025-68539</t>
        </is>
      </c>
      <c r="X875" t="inlineStr">
        <is>
          <t>NONE</t>
        </is>
      </c>
      <c r="Y875" t="n">
        <v>0</v>
      </c>
      <c r="Z875" t="inlineStr"/>
      <c r="AA875" t="inlineStr">
        <is>
          <t>https://nvd.nist.gov/vuln/detail/CVE-2025-68539</t>
        </is>
      </c>
    </row>
    <row r="876">
      <c r="A876" t="inlineStr">
        <is>
          <t>CVE</t>
        </is>
      </c>
      <c r="B876" t="inlineStr">
        <is>
          <t>CVE-2025-68541</t>
        </is>
      </c>
      <c r="C876" t="inlineStr">
        <is>
          <t>Deserialization of Untrusted Data vulnerability in BoldThemes Ippsum ippsum allows Object Injection.This issue affects Ippsum: from n/a through &lt;= 1.2.0.</t>
        </is>
      </c>
      <c r="D876" t="n">
        <v>5</v>
      </c>
      <c r="E876" t="inlineStr">
        <is>
          <t>MEDIUM</t>
        </is>
      </c>
      <c r="F876" t="n">
        <v>2</v>
      </c>
      <c r="G876" t="n">
        <v>2</v>
      </c>
      <c r="H876" t="inlineStr">
        <is>
          <t>MEDIUM</t>
        </is>
      </c>
      <c r="I876" t="n">
        <v>9</v>
      </c>
      <c r="J876" t="inlineStr">
        <is>
          <t>NO</t>
        </is>
      </c>
      <c r="K876" t="inlineStr">
        <is>
          <t>2026-02-23 23:48</t>
        </is>
      </c>
      <c r="L876" t="inlineStr">
        <is>
          <t>CHECK_VENDOR</t>
        </is>
      </c>
      <c r="M876" t="inlineStr">
        <is>
          <t>See CVE details</t>
        </is>
      </c>
      <c r="N876" t="inlineStr">
        <is>
          <t>P4</t>
        </is>
      </c>
      <c r="O876" t="inlineStr">
        <is>
          <t>CVE - IP enrichment n/a</t>
        </is>
      </c>
      <c r="P876" t="n">
        <v>0.0002</v>
      </c>
      <c r="Q876" t="n">
        <v>0.0636</v>
      </c>
      <c r="R876" t="inlineStr">
        <is>
          <t>T1059:Command and Scripting Interpreter</t>
        </is>
      </c>
      <c r="S876" t="n">
        <v>1</v>
      </c>
      <c r="T876" t="inlineStr">
        <is>
          <t>LOW (40%)</t>
        </is>
      </c>
      <c r="U876" t="inlineStr">
        <is>
          <t>UNLIKELY</t>
        </is>
      </c>
      <c r="V876" t="inlineStr">
        <is>
          <t>CHECK_VENDOR</t>
        </is>
      </c>
      <c r="W876" t="inlineStr">
        <is>
          <t>https://nvd.nist.gov/vuln/detail/CVE-2025-68541</t>
        </is>
      </c>
      <c r="X876" t="inlineStr">
        <is>
          <t>NONE</t>
        </is>
      </c>
      <c r="Y876" t="n">
        <v>0</v>
      </c>
      <c r="Z876" t="inlineStr"/>
      <c r="AA876" t="inlineStr">
        <is>
          <t>https://nvd.nist.gov/vuln/detail/CVE-2025-68541</t>
        </is>
      </c>
    </row>
    <row r="877">
      <c r="A877" t="inlineStr">
        <is>
          <t>CVE</t>
        </is>
      </c>
      <c r="B877" t="inlineStr">
        <is>
          <t>CVE-2025-68542</t>
        </is>
      </c>
      <c r="C877" t="inlineStr">
        <is>
          <t>Missing Authorization vulnerability in vgdevsolutions Checkout Gateway for IRIS checkout-gateway-iris allows Exploiting Incorrectly Configured Access Control Security Levels.This issue affects Checkout Gateway for IRIS: from n/a through &lt;= 1.3.</t>
        </is>
      </c>
      <c r="D877" t="n">
        <v>5</v>
      </c>
      <c r="E877" t="inlineStr">
        <is>
          <t>MEDIUM</t>
        </is>
      </c>
      <c r="F877" t="n">
        <v>2</v>
      </c>
      <c r="G877" t="n">
        <v>2</v>
      </c>
      <c r="H877" t="inlineStr">
        <is>
          <t>MEDIUM</t>
        </is>
      </c>
      <c r="I877" t="n">
        <v>9</v>
      </c>
      <c r="J877" t="inlineStr">
        <is>
          <t>NO</t>
        </is>
      </c>
      <c r="K877" t="inlineStr">
        <is>
          <t>2026-02-23 23:48</t>
        </is>
      </c>
      <c r="L877" t="inlineStr">
        <is>
          <t>CHECK_VENDOR</t>
        </is>
      </c>
      <c r="M877" t="inlineStr">
        <is>
          <t>See CVE details</t>
        </is>
      </c>
      <c r="N877" t="inlineStr">
        <is>
          <t>P4</t>
        </is>
      </c>
      <c r="O877" t="inlineStr">
        <is>
          <t>CVE - IP enrichment n/a</t>
        </is>
      </c>
      <c r="P877" t="n">
        <v>0</v>
      </c>
      <c r="Q877" t="n">
        <v>0</v>
      </c>
      <c r="R877" t="inlineStr">
        <is>
          <t>T1190:Exploit Public-Facing Application</t>
        </is>
      </c>
      <c r="S877" t="n">
        <v>1</v>
      </c>
      <c r="T877" t="inlineStr">
        <is>
          <t>LOW (40%)</t>
        </is>
      </c>
      <c r="U877" t="inlineStr">
        <is>
          <t>UNLIKELY</t>
        </is>
      </c>
      <c r="V877" t="inlineStr">
        <is>
          <t>CHECK_VENDOR</t>
        </is>
      </c>
      <c r="W877" t="inlineStr">
        <is>
          <t>https://nvd.nist.gov/vuln/detail/CVE-2025-68542</t>
        </is>
      </c>
      <c r="X877" t="inlineStr">
        <is>
          <t>NONE</t>
        </is>
      </c>
      <c r="Y877" t="n">
        <v>0</v>
      </c>
      <c r="Z877" t="inlineStr"/>
      <c r="AA877" t="inlineStr">
        <is>
          <t>https://nvd.nist.gov/vuln/detail/CVE-2025-68542</t>
        </is>
      </c>
    </row>
    <row r="878">
      <c r="A878" t="inlineStr">
        <is>
          <t>CVE</t>
        </is>
      </c>
      <c r="B878" t="inlineStr">
        <is>
          <t>CVE-2025-68543</t>
        </is>
      </c>
      <c r="C878" t="inlineStr">
        <is>
          <t>Improper Control of Filename for Include/Require Statement in PHP Program ('PHP Remote File Inclusion') vulnerability in thembay Diza diza allows PHP Local File Inclusion.This issue affects Diza: from n/a through &lt;= 1.3.15.</t>
        </is>
      </c>
      <c r="D878" t="n">
        <v>5</v>
      </c>
      <c r="E878" t="inlineStr">
        <is>
          <t>MEDIUM</t>
        </is>
      </c>
      <c r="F878" t="n">
        <v>2</v>
      </c>
      <c r="G878" t="n">
        <v>2</v>
      </c>
      <c r="H878" t="inlineStr">
        <is>
          <t>MEDIUM</t>
        </is>
      </c>
      <c r="I878" t="n">
        <v>9</v>
      </c>
      <c r="J878" t="inlineStr">
        <is>
          <t>NO</t>
        </is>
      </c>
      <c r="K878" t="inlineStr">
        <is>
          <t>2026-02-23 23:48</t>
        </is>
      </c>
      <c r="L878" t="inlineStr">
        <is>
          <t>CHECK_VENDOR</t>
        </is>
      </c>
      <c r="M878" t="inlineStr">
        <is>
          <t>See CVE details</t>
        </is>
      </c>
      <c r="N878" t="inlineStr">
        <is>
          <t>P4</t>
        </is>
      </c>
      <c r="O878" t="inlineStr">
        <is>
          <t>CVE - IP enrichment n/a</t>
        </is>
      </c>
      <c r="P878" t="n">
        <v>0</v>
      </c>
      <c r="Q878" t="n">
        <v>0</v>
      </c>
      <c r="R878" t="inlineStr">
        <is>
          <t>T1190:Exploit Public-Facing Application</t>
        </is>
      </c>
      <c r="S878" t="n">
        <v>1</v>
      </c>
      <c r="T878" t="inlineStr">
        <is>
          <t>LOW (40%)</t>
        </is>
      </c>
      <c r="U878" t="inlineStr">
        <is>
          <t>UNLIKELY</t>
        </is>
      </c>
      <c r="V878" t="inlineStr">
        <is>
          <t>CHECK_VENDOR</t>
        </is>
      </c>
      <c r="W878" t="inlineStr">
        <is>
          <t>https://nvd.nist.gov/vuln/detail/CVE-2025-68543</t>
        </is>
      </c>
      <c r="X878" t="inlineStr">
        <is>
          <t>NONE</t>
        </is>
      </c>
      <c r="Y878" t="n">
        <v>0</v>
      </c>
      <c r="Z878" t="inlineStr"/>
      <c r="AA878" t="inlineStr">
        <is>
          <t>https://nvd.nist.gov/vuln/detail/CVE-2025-68543</t>
        </is>
      </c>
    </row>
    <row r="879">
      <c r="A879" t="inlineStr">
        <is>
          <t>CVE</t>
        </is>
      </c>
      <c r="B879" t="inlineStr">
        <is>
          <t>CVE-2025-68545</t>
        </is>
      </c>
      <c r="C879" t="inlineStr">
        <is>
          <t>Improper Control of Filename for Include/Require Statement in PHP Program ('PHP Remote File Inclusion') vulnerability in thembay Nika nika allows PHP Local File Inclusion.This issue affects Nika: from n/a through &lt;= 1.2.14.</t>
        </is>
      </c>
      <c r="D879" t="n">
        <v>5</v>
      </c>
      <c r="E879" t="inlineStr">
        <is>
          <t>MEDIUM</t>
        </is>
      </c>
      <c r="F879" t="n">
        <v>2</v>
      </c>
      <c r="G879" t="n">
        <v>2</v>
      </c>
      <c r="H879" t="inlineStr">
        <is>
          <t>MEDIUM</t>
        </is>
      </c>
      <c r="I879" t="n">
        <v>9</v>
      </c>
      <c r="J879" t="inlineStr">
        <is>
          <t>NO</t>
        </is>
      </c>
      <c r="K879" t="inlineStr">
        <is>
          <t>2026-02-23 23:48</t>
        </is>
      </c>
      <c r="L879" t="inlineStr">
        <is>
          <t>CHECK_VENDOR</t>
        </is>
      </c>
      <c r="M879" t="inlineStr">
        <is>
          <t>See CVE details</t>
        </is>
      </c>
      <c r="N879" t="inlineStr">
        <is>
          <t>P4</t>
        </is>
      </c>
      <c r="O879" t="inlineStr">
        <is>
          <t>CVE - IP enrichment n/a</t>
        </is>
      </c>
      <c r="P879" t="n">
        <v>0.0005</v>
      </c>
      <c r="Q879" t="n">
        <v>0.1673</v>
      </c>
      <c r="R879" t="inlineStr">
        <is>
          <t>T1190:Exploit Public-Facing Application</t>
        </is>
      </c>
      <c r="S879" t="n">
        <v>1</v>
      </c>
      <c r="T879" t="inlineStr">
        <is>
          <t>LOW (40%)</t>
        </is>
      </c>
      <c r="U879" t="inlineStr">
        <is>
          <t>UNLIKELY</t>
        </is>
      </c>
      <c r="V879" t="inlineStr">
        <is>
          <t>CHECK_VENDOR</t>
        </is>
      </c>
      <c r="W879" t="inlineStr">
        <is>
          <t>https://nvd.nist.gov/vuln/detail/CVE-2025-68545</t>
        </is>
      </c>
      <c r="X879" t="inlineStr">
        <is>
          <t>NONE</t>
        </is>
      </c>
      <c r="Y879" t="n">
        <v>0</v>
      </c>
      <c r="Z879" t="inlineStr"/>
      <c r="AA879" t="inlineStr">
        <is>
          <t>https://nvd.nist.gov/vuln/detail/CVE-2025-68545</t>
        </is>
      </c>
    </row>
    <row r="880">
      <c r="A880" t="inlineStr">
        <is>
          <t>CVE</t>
        </is>
      </c>
      <c r="B880" t="inlineStr">
        <is>
          <t>CVE-2025-68549</t>
        </is>
      </c>
      <c r="C880" t="inlineStr">
        <is>
          <t>Unrestricted Upload of File with Dangerous Type vulnerability in zozothemes Wiguard wiguard allows Upload a Web Shell to a Web Server.This issue affects Wiguard: from n/a through &lt; 2.0.1.</t>
        </is>
      </c>
      <c r="D880" t="n">
        <v>5</v>
      </c>
      <c r="E880" t="inlineStr">
        <is>
          <t>MEDIUM</t>
        </is>
      </c>
      <c r="F880" t="n">
        <v>2</v>
      </c>
      <c r="G880" t="n">
        <v>2</v>
      </c>
      <c r="H880" t="inlineStr">
        <is>
          <t>MEDIUM</t>
        </is>
      </c>
      <c r="I880" t="n">
        <v>9</v>
      </c>
      <c r="J880" t="inlineStr">
        <is>
          <t>NO</t>
        </is>
      </c>
      <c r="K880" t="inlineStr">
        <is>
          <t>2026-02-23 23:48</t>
        </is>
      </c>
      <c r="L880" t="inlineStr">
        <is>
          <t>CHECK_VENDOR</t>
        </is>
      </c>
      <c r="M880" t="inlineStr">
        <is>
          <t>See CVE details</t>
        </is>
      </c>
      <c r="N880" t="inlineStr">
        <is>
          <t>P4</t>
        </is>
      </c>
      <c r="O880" t="inlineStr">
        <is>
          <t>CVE - IP enrichment n/a</t>
        </is>
      </c>
      <c r="P880" t="n">
        <v>0</v>
      </c>
      <c r="Q880" t="n">
        <v>0</v>
      </c>
      <c r="R880" t="inlineStr">
        <is>
          <t>T1190:Exploit Public-Facing Application</t>
        </is>
      </c>
      <c r="S880" t="n">
        <v>1</v>
      </c>
      <c r="T880" t="inlineStr">
        <is>
          <t>LOW (40%)</t>
        </is>
      </c>
      <c r="U880" t="inlineStr">
        <is>
          <t>UNLIKELY</t>
        </is>
      </c>
      <c r="V880" t="inlineStr">
        <is>
          <t>CHECK_VENDOR</t>
        </is>
      </c>
      <c r="W880" t="inlineStr">
        <is>
          <t>https://nvd.nist.gov/vuln/detail/CVE-2025-68549</t>
        </is>
      </c>
      <c r="X880" t="inlineStr">
        <is>
          <t>NONE</t>
        </is>
      </c>
      <c r="Y880" t="n">
        <v>0</v>
      </c>
      <c r="Z880" t="inlineStr"/>
      <c r="AA880" t="inlineStr">
        <is>
          <t>https://nvd.nist.gov/vuln/detail/CVE-2025-68549</t>
        </is>
      </c>
    </row>
    <row r="881">
      <c r="A881" t="inlineStr">
        <is>
          <t>CVE</t>
        </is>
      </c>
      <c r="B881" t="inlineStr">
        <is>
          <t>CVE-2025-68552</t>
        </is>
      </c>
      <c r="C881" t="inlineStr">
        <is>
          <t>Improper Control of Filename for Include/Require Statement in PHP Program ('PHP Remote File Inclusion') vulnerability in WebCodingPlace WooCommerce Coming Soon Product with Countdown woo-coming-soon-product allows PHP Local File Inclusion.This issue affects WooCommerce Coming Soon Product with Countdown: from n/a through &lt;= 5.0.</t>
        </is>
      </c>
      <c r="D881" t="n">
        <v>8.5</v>
      </c>
      <c r="E881" t="inlineStr">
        <is>
          <t>HIGH</t>
        </is>
      </c>
      <c r="F881" t="n">
        <v>2</v>
      </c>
      <c r="G881" t="n">
        <v>3</v>
      </c>
      <c r="H881" t="inlineStr">
        <is>
          <t>HIGH</t>
        </is>
      </c>
      <c r="I881" t="n">
        <v>14.5</v>
      </c>
      <c r="J881" t="inlineStr">
        <is>
          <t>NO</t>
        </is>
      </c>
      <c r="K881" t="inlineStr">
        <is>
          <t>2026-02-23 23:48</t>
        </is>
      </c>
      <c r="L881" t="inlineStr">
        <is>
          <t>CHECK_VENDOR</t>
        </is>
      </c>
      <c r="M881" t="inlineStr">
        <is>
          <t>See CVE details</t>
        </is>
      </c>
      <c r="N881" t="inlineStr">
        <is>
          <t>P3</t>
        </is>
      </c>
      <c r="O881" t="inlineStr">
        <is>
          <t>CVE - IP enrichment n/a</t>
        </is>
      </c>
      <c r="P881" t="n">
        <v>0</v>
      </c>
      <c r="Q881" t="n">
        <v>0</v>
      </c>
      <c r="R881" t="inlineStr">
        <is>
          <t>T1190:Exploit Public-Facing Application</t>
        </is>
      </c>
      <c r="S881" t="n">
        <v>1</v>
      </c>
      <c r="T881" t="inlineStr">
        <is>
          <t>LOW (40%)</t>
        </is>
      </c>
      <c r="U881" t="inlineStr">
        <is>
          <t>UNLIKELY</t>
        </is>
      </c>
      <c r="V881" t="inlineStr">
        <is>
          <t>CHECK_VENDOR</t>
        </is>
      </c>
      <c r="W881" t="inlineStr">
        <is>
          <t>https://nvd.nist.gov/vuln/detail/CVE-2025-68552</t>
        </is>
      </c>
      <c r="X881" t="inlineStr">
        <is>
          <t>NONE</t>
        </is>
      </c>
      <c r="Y881" t="n">
        <v>0</v>
      </c>
      <c r="Z881" t="inlineStr"/>
      <c r="AA881" t="inlineStr">
        <is>
          <t>https://nvd.nist.gov/vuln/detail/CVE-2025-68552</t>
        </is>
      </c>
    </row>
    <row r="882">
      <c r="A882" t="inlineStr">
        <is>
          <t>CVE</t>
        </is>
      </c>
      <c r="B882" t="inlineStr">
        <is>
          <t>CVE-2025-68564</t>
        </is>
      </c>
      <c r="C882" t="inlineStr">
        <is>
          <t>Missing Authorization vulnerability in sendy Sendy sendy allows Exploiting Incorrectly Configured Access Control Security Levels.This issue affects Sendy: from n/a through &lt;= 3.4.2.</t>
        </is>
      </c>
      <c r="D882" t="n">
        <v>5</v>
      </c>
      <c r="E882" t="inlineStr">
        <is>
          <t>MEDIUM</t>
        </is>
      </c>
      <c r="F882" t="n">
        <v>2</v>
      </c>
      <c r="G882" t="n">
        <v>2</v>
      </c>
      <c r="H882" t="inlineStr">
        <is>
          <t>MEDIUM</t>
        </is>
      </c>
      <c r="I882" t="n">
        <v>9</v>
      </c>
      <c r="J882" t="inlineStr">
        <is>
          <t>NO</t>
        </is>
      </c>
      <c r="K882" t="inlineStr">
        <is>
          <t>2026-02-23 23:48</t>
        </is>
      </c>
      <c r="L882" t="inlineStr">
        <is>
          <t>CHECK_VENDOR</t>
        </is>
      </c>
      <c r="M882" t="inlineStr">
        <is>
          <t>See CVE details</t>
        </is>
      </c>
      <c r="N882" t="inlineStr">
        <is>
          <t>P4</t>
        </is>
      </c>
      <c r="O882" t="inlineStr">
        <is>
          <t>CVE - IP enrichment n/a</t>
        </is>
      </c>
      <c r="P882" t="n">
        <v>0</v>
      </c>
      <c r="Q882" t="n">
        <v>0</v>
      </c>
      <c r="R882" t="inlineStr">
        <is>
          <t>T1190:Exploit Public-Facing Application</t>
        </is>
      </c>
      <c r="S882" t="n">
        <v>1</v>
      </c>
      <c r="T882" t="inlineStr">
        <is>
          <t>LOW (40%)</t>
        </is>
      </c>
      <c r="U882" t="inlineStr">
        <is>
          <t>UNLIKELY</t>
        </is>
      </c>
      <c r="V882" t="inlineStr">
        <is>
          <t>CHECK_VENDOR</t>
        </is>
      </c>
      <c r="W882" t="inlineStr">
        <is>
          <t>https://nvd.nist.gov/vuln/detail/CVE-2025-68564</t>
        </is>
      </c>
      <c r="X882" t="inlineStr">
        <is>
          <t>NONE</t>
        </is>
      </c>
      <c r="Y882" t="n">
        <v>0</v>
      </c>
      <c r="Z882" t="inlineStr"/>
      <c r="AA882" t="inlineStr">
        <is>
          <t>https://nvd.nist.gov/vuln/detail/CVE-2025-68564</t>
        </is>
      </c>
    </row>
    <row r="883">
      <c r="A883" t="inlineStr">
        <is>
          <t>CVE</t>
        </is>
      </c>
      <c r="B883" t="inlineStr">
        <is>
          <t>CVE-2025-68834</t>
        </is>
      </c>
      <c r="C883" t="inlineStr">
        <is>
          <t>Missing Authorization vulnerability in Saiful Islam Sync Master Sheet &amp;#8211; Product Sync with Google Sheet for WooCommerce product-sync-master-sheet allows Exploiting Incorrectly Configured Access Control Security Levels.This issue affects Sync Master Sheet &amp;#8211; Product Sync with Google Sheet for WooCommerce: from n/a through &lt;= 1.1.3.</t>
        </is>
      </c>
      <c r="D883" t="n">
        <v>8.5</v>
      </c>
      <c r="E883" t="inlineStr">
        <is>
          <t>HIGH</t>
        </is>
      </c>
      <c r="F883" t="n">
        <v>2</v>
      </c>
      <c r="G883" t="n">
        <v>3</v>
      </c>
      <c r="H883" t="inlineStr">
        <is>
          <t>HIGH</t>
        </is>
      </c>
      <c r="I883" t="n">
        <v>14.5</v>
      </c>
      <c r="J883" t="inlineStr">
        <is>
          <t>NO</t>
        </is>
      </c>
      <c r="K883" t="inlineStr">
        <is>
          <t>2026-02-23 23:48</t>
        </is>
      </c>
      <c r="L883" t="inlineStr">
        <is>
          <t>CHECK_VENDOR</t>
        </is>
      </c>
      <c r="M883" t="inlineStr">
        <is>
          <t>See CVE details</t>
        </is>
      </c>
      <c r="N883" t="inlineStr">
        <is>
          <t>P3</t>
        </is>
      </c>
      <c r="O883" t="inlineStr">
        <is>
          <t>CVE - IP enrichment n/a</t>
        </is>
      </c>
      <c r="P883" t="n">
        <v>0</v>
      </c>
      <c r="Q883" t="n">
        <v>0</v>
      </c>
      <c r="R883" t="inlineStr">
        <is>
          <t>T1190:Exploit Public-Facing Application</t>
        </is>
      </c>
      <c r="S883" t="n">
        <v>1</v>
      </c>
      <c r="T883" t="inlineStr">
        <is>
          <t>LOW (40%)</t>
        </is>
      </c>
      <c r="U883" t="inlineStr">
        <is>
          <t>UNLIKELY</t>
        </is>
      </c>
      <c r="V883" t="inlineStr">
        <is>
          <t>CHECK_VENDOR</t>
        </is>
      </c>
      <c r="W883" t="inlineStr">
        <is>
          <t>https://nvd.nist.gov/vuln/detail/CVE-2025-68834</t>
        </is>
      </c>
      <c r="X883" t="inlineStr">
        <is>
          <t>NONE</t>
        </is>
      </c>
      <c r="Y883" t="n">
        <v>0</v>
      </c>
      <c r="Z883" t="inlineStr"/>
      <c r="AA883" t="inlineStr">
        <is>
          <t>https://nvd.nist.gov/vuln/detail/CVE-2025-68834</t>
        </is>
      </c>
    </row>
    <row r="884">
      <c r="A884" t="inlineStr">
        <is>
          <t>CVE</t>
        </is>
      </c>
      <c r="B884" t="inlineStr">
        <is>
          <t>CVE-2025-68837</t>
        </is>
      </c>
      <c r="C884" t="inlineStr">
        <is>
          <t>Missing Authorization vulnerability in ELEXtensions ELEX WordPress HelpDesk &amp; Customer Ticketing System elex-helpdesk-customer-support-ticket-system allows Exploiting Incorrectly Configured Access Control Security Levels.This issue affects ELEX WordPress HelpDesk &amp; Customer Ticketing System: from n/a through &lt;= 3.3.5.</t>
        </is>
      </c>
      <c r="D884" t="n">
        <v>5</v>
      </c>
      <c r="E884" t="inlineStr">
        <is>
          <t>MEDIUM</t>
        </is>
      </c>
      <c r="F884" t="n">
        <v>2</v>
      </c>
      <c r="G884" t="n">
        <v>2</v>
      </c>
      <c r="H884" t="inlineStr">
        <is>
          <t>MEDIUM</t>
        </is>
      </c>
      <c r="I884" t="n">
        <v>9</v>
      </c>
      <c r="J884" t="inlineStr">
        <is>
          <t>NO</t>
        </is>
      </c>
      <c r="K884" t="inlineStr">
        <is>
          <t>2026-02-23 23:48</t>
        </is>
      </c>
      <c r="L884" t="inlineStr">
        <is>
          <t>CHECK_VENDOR</t>
        </is>
      </c>
      <c r="M884" t="inlineStr">
        <is>
          <t>See CVE details</t>
        </is>
      </c>
      <c r="N884" t="inlineStr">
        <is>
          <t>P4</t>
        </is>
      </c>
      <c r="O884" t="inlineStr">
        <is>
          <t>CVE - IP enrichment n/a</t>
        </is>
      </c>
      <c r="P884" t="n">
        <v>0</v>
      </c>
      <c r="Q884" t="n">
        <v>0</v>
      </c>
      <c r="R884" t="inlineStr">
        <is>
          <t>T1190:Exploit Public-Facing Application</t>
        </is>
      </c>
      <c r="S884" t="n">
        <v>1</v>
      </c>
      <c r="T884" t="inlineStr">
        <is>
          <t>LOW (40%)</t>
        </is>
      </c>
      <c r="U884" t="inlineStr">
        <is>
          <t>UNLIKELY</t>
        </is>
      </c>
      <c r="V884" t="inlineStr">
        <is>
          <t>CHECK_VENDOR</t>
        </is>
      </c>
      <c r="W884" t="inlineStr">
        <is>
          <t>https://nvd.nist.gov/vuln/detail/CVE-2025-68837</t>
        </is>
      </c>
      <c r="X884" t="inlineStr">
        <is>
          <t>NONE</t>
        </is>
      </c>
      <c r="Y884" t="n">
        <v>0</v>
      </c>
      <c r="Z884" t="inlineStr"/>
      <c r="AA884" t="inlineStr">
        <is>
          <t>https://nvd.nist.gov/vuln/detail/CVE-2025-68837</t>
        </is>
      </c>
    </row>
    <row r="885">
      <c r="A885" t="inlineStr">
        <is>
          <t>CVE</t>
        </is>
      </c>
      <c r="B885" t="inlineStr">
        <is>
          <t>CVE-2025-68841</t>
        </is>
      </c>
      <c r="C885" t="inlineStr">
        <is>
          <t>Improper Control of Filename for Include/Require Statement in PHP Program ('PHP Remote File Inclusion') vulnerability in Themepul TopperPack – Complete Elementor Addons, Theme &amp; CPT Builder topper-pack allows PHP Local File Inclusion.This issue affects TopperPack – Complete Elementor Addons, Theme &amp; CPT Builder: from n/a through &lt;= 1.2.1.</t>
        </is>
      </c>
      <c r="D885" t="n">
        <v>5</v>
      </c>
      <c r="E885" t="inlineStr">
        <is>
          <t>MEDIUM</t>
        </is>
      </c>
      <c r="F885" t="n">
        <v>2</v>
      </c>
      <c r="G885" t="n">
        <v>2</v>
      </c>
      <c r="H885" t="inlineStr">
        <is>
          <t>MEDIUM</t>
        </is>
      </c>
      <c r="I885" t="n">
        <v>9</v>
      </c>
      <c r="J885" t="inlineStr">
        <is>
          <t>NO</t>
        </is>
      </c>
      <c r="K885" t="inlineStr">
        <is>
          <t>2026-02-23 23:48</t>
        </is>
      </c>
      <c r="L885" t="inlineStr">
        <is>
          <t>CHECK_VENDOR</t>
        </is>
      </c>
      <c r="M885" t="inlineStr">
        <is>
          <t>See CVE details</t>
        </is>
      </c>
      <c r="N885" t="inlineStr">
        <is>
          <t>P4</t>
        </is>
      </c>
      <c r="O885" t="inlineStr">
        <is>
          <t>CVE - IP enrichment n/a</t>
        </is>
      </c>
      <c r="P885" t="n">
        <v>0.0005</v>
      </c>
      <c r="Q885" t="n">
        <v>0.1673</v>
      </c>
      <c r="R885" t="inlineStr">
        <is>
          <t>T1190:Exploit Public-Facing Application</t>
        </is>
      </c>
      <c r="S885" t="n">
        <v>1</v>
      </c>
      <c r="T885" t="inlineStr">
        <is>
          <t>LOW (40%)</t>
        </is>
      </c>
      <c r="U885" t="inlineStr">
        <is>
          <t>UNLIKELY</t>
        </is>
      </c>
      <c r="V885" t="inlineStr">
        <is>
          <t>CHECK_VENDOR</t>
        </is>
      </c>
      <c r="W885" t="inlineStr">
        <is>
          <t>https://nvd.nist.gov/vuln/detail/CVE-2025-68841</t>
        </is>
      </c>
      <c r="X885" t="inlineStr">
        <is>
          <t>NONE</t>
        </is>
      </c>
      <c r="Y885" t="n">
        <v>0</v>
      </c>
      <c r="Z885" t="inlineStr"/>
      <c r="AA885" t="inlineStr">
        <is>
          <t>https://nvd.nist.gov/vuln/detail/CVE-2025-68841</t>
        </is>
      </c>
    </row>
    <row r="886">
      <c r="A886" t="inlineStr">
        <is>
          <t>CVE</t>
        </is>
      </c>
      <c r="B886" t="inlineStr">
        <is>
          <t>CVE-2025-68842</t>
        </is>
      </c>
      <c r="C886" t="inlineStr">
        <is>
          <t>Improper Neutralization of Input During Web Page Generation ('Cross-site Scripting') vulnerability in totalbounty Widget Logic Visual widget-logic-visual allows Reflected XSS.This issue affects Widget Logic Visual: from n/a through &lt;= 1.52.</t>
        </is>
      </c>
      <c r="D886" t="n">
        <v>5</v>
      </c>
      <c r="E886" t="inlineStr">
        <is>
          <t>MEDIUM</t>
        </is>
      </c>
      <c r="F886" t="n">
        <v>2</v>
      </c>
      <c r="G886" t="n">
        <v>2</v>
      </c>
      <c r="H886" t="inlineStr">
        <is>
          <t>MEDIUM</t>
        </is>
      </c>
      <c r="I886" t="n">
        <v>9</v>
      </c>
      <c r="J886" t="inlineStr">
        <is>
          <t>NO</t>
        </is>
      </c>
      <c r="K886" t="inlineStr">
        <is>
          <t>2026-02-23 23:48</t>
        </is>
      </c>
      <c r="L886" t="inlineStr">
        <is>
          <t>CHECK_VENDOR</t>
        </is>
      </c>
      <c r="M886" t="inlineStr">
        <is>
          <t>See CVE details</t>
        </is>
      </c>
      <c r="N886" t="inlineStr">
        <is>
          <t>P4</t>
        </is>
      </c>
      <c r="O886" t="inlineStr">
        <is>
          <t>CVE - IP enrichment n/a</t>
        </is>
      </c>
      <c r="P886" t="n">
        <v>0</v>
      </c>
      <c r="Q886" t="n">
        <v>0</v>
      </c>
      <c r="R886" t="inlineStr">
        <is>
          <t>T1189:Drive-by Compromise</t>
        </is>
      </c>
      <c r="S886" t="n">
        <v>1</v>
      </c>
      <c r="T886" t="inlineStr">
        <is>
          <t>LOW (40%)</t>
        </is>
      </c>
      <c r="U886" t="inlineStr">
        <is>
          <t>UNLIKELY</t>
        </is>
      </c>
      <c r="V886" t="inlineStr">
        <is>
          <t>CHECK_VENDOR</t>
        </is>
      </c>
      <c r="W886" t="inlineStr">
        <is>
          <t>https://nvd.nist.gov/vuln/detail/CVE-2025-68842</t>
        </is>
      </c>
      <c r="X886" t="inlineStr">
        <is>
          <t>NONE</t>
        </is>
      </c>
      <c r="Y886" t="n">
        <v>0</v>
      </c>
      <c r="Z886" t="inlineStr"/>
      <c r="AA886" t="inlineStr">
        <is>
          <t>https://nvd.nist.gov/vuln/detail/CVE-2025-68842</t>
        </is>
      </c>
    </row>
    <row r="887">
      <c r="A887" t="inlineStr">
        <is>
          <t>CVE</t>
        </is>
      </c>
      <c r="B887" t="inlineStr">
        <is>
          <t>CVE-2025-68843</t>
        </is>
      </c>
      <c r="C887" t="inlineStr">
        <is>
          <t>Improper Neutralization of Input During Web Page Generation ('Cross-site Scripting') vulnerability in Bas Schuiling FeedWordPress Advanced Filters faf allows Reflected XSS.This issue affects FeedWordPress Advanced Filters: from n/a through &lt;= 0.6.2.</t>
        </is>
      </c>
      <c r="D887" t="n">
        <v>5</v>
      </c>
      <c r="E887" t="inlineStr">
        <is>
          <t>MEDIUM</t>
        </is>
      </c>
      <c r="F887" t="n">
        <v>2</v>
      </c>
      <c r="G887" t="n">
        <v>2</v>
      </c>
      <c r="H887" t="inlineStr">
        <is>
          <t>MEDIUM</t>
        </is>
      </c>
      <c r="I887" t="n">
        <v>9</v>
      </c>
      <c r="J887" t="inlineStr">
        <is>
          <t>NO</t>
        </is>
      </c>
      <c r="K887" t="inlineStr">
        <is>
          <t>2026-02-23 23:48</t>
        </is>
      </c>
      <c r="L887" t="inlineStr">
        <is>
          <t>CHECK_VENDOR</t>
        </is>
      </c>
      <c r="M887" t="inlineStr">
        <is>
          <t>See CVE details</t>
        </is>
      </c>
      <c r="N887" t="inlineStr">
        <is>
          <t>P4</t>
        </is>
      </c>
      <c r="O887" t="inlineStr">
        <is>
          <t>CVE - IP enrichment n/a</t>
        </is>
      </c>
      <c r="P887" t="n">
        <v>0</v>
      </c>
      <c r="Q887" t="n">
        <v>0</v>
      </c>
      <c r="R887" t="inlineStr">
        <is>
          <t>T1189:Drive-by Compromise</t>
        </is>
      </c>
      <c r="S887" t="n">
        <v>1</v>
      </c>
      <c r="T887" t="inlineStr">
        <is>
          <t>LOW (40%)</t>
        </is>
      </c>
      <c r="U887" t="inlineStr">
        <is>
          <t>UNLIKELY</t>
        </is>
      </c>
      <c r="V887" t="inlineStr">
        <is>
          <t>CHECK_VENDOR</t>
        </is>
      </c>
      <c r="W887" t="inlineStr">
        <is>
          <t>https://nvd.nist.gov/vuln/detail/CVE-2025-68843</t>
        </is>
      </c>
      <c r="X887" t="inlineStr">
        <is>
          <t>NONE</t>
        </is>
      </c>
      <c r="Y887" t="n">
        <v>0</v>
      </c>
      <c r="Z887" t="inlineStr"/>
      <c r="AA887" t="inlineStr">
        <is>
          <t>https://nvd.nist.gov/vuln/detail/CVE-2025-68843</t>
        </is>
      </c>
    </row>
    <row r="888">
      <c r="A888" t="inlineStr">
        <is>
          <t>CVE</t>
        </is>
      </c>
      <c r="B888" t="inlineStr">
        <is>
          <t>CVE-2025-68844</t>
        </is>
      </c>
      <c r="C888" t="inlineStr">
        <is>
          <t>Improper Neutralization of Input During Web Page Generation ('Cross-site Scripting') vulnerability in DaleAB Membee Login membees-member-login-widget allows Reflected XSS.This issue affects Membee Login: from n/a through &lt;= 2.3.6.</t>
        </is>
      </c>
      <c r="D888" t="n">
        <v>5</v>
      </c>
      <c r="E888" t="inlineStr">
        <is>
          <t>MEDIUM</t>
        </is>
      </c>
      <c r="F888" t="n">
        <v>2</v>
      </c>
      <c r="G888" t="n">
        <v>2</v>
      </c>
      <c r="H888" t="inlineStr">
        <is>
          <t>MEDIUM</t>
        </is>
      </c>
      <c r="I888" t="n">
        <v>9</v>
      </c>
      <c r="J888" t="inlineStr">
        <is>
          <t>NO</t>
        </is>
      </c>
      <c r="K888" t="inlineStr">
        <is>
          <t>2026-02-23 23:48</t>
        </is>
      </c>
      <c r="L888" t="inlineStr">
        <is>
          <t>CHECK_VENDOR</t>
        </is>
      </c>
      <c r="M888" t="inlineStr">
        <is>
          <t>See CVE details</t>
        </is>
      </c>
      <c r="N888" t="inlineStr">
        <is>
          <t>P4</t>
        </is>
      </c>
      <c r="O888" t="inlineStr">
        <is>
          <t>CVE - IP enrichment n/a</t>
        </is>
      </c>
      <c r="P888" t="n">
        <v>0</v>
      </c>
      <c r="Q888" t="n">
        <v>0</v>
      </c>
      <c r="R888" t="inlineStr">
        <is>
          <t>T1189:Drive-by Compromise</t>
        </is>
      </c>
      <c r="S888" t="n">
        <v>1</v>
      </c>
      <c r="T888" t="inlineStr">
        <is>
          <t>LOW (40%)</t>
        </is>
      </c>
      <c r="U888" t="inlineStr">
        <is>
          <t>UNLIKELY</t>
        </is>
      </c>
      <c r="V888" t="inlineStr">
        <is>
          <t>CHECK_VENDOR</t>
        </is>
      </c>
      <c r="W888" t="inlineStr">
        <is>
          <t>https://nvd.nist.gov/vuln/detail/CVE-2025-68844</t>
        </is>
      </c>
      <c r="X888" t="inlineStr">
        <is>
          <t>NONE</t>
        </is>
      </c>
      <c r="Y888" t="n">
        <v>0</v>
      </c>
      <c r="Z888" t="inlineStr"/>
      <c r="AA888" t="inlineStr">
        <is>
          <t>https://nvd.nist.gov/vuln/detail/CVE-2025-68844</t>
        </is>
      </c>
    </row>
    <row r="889">
      <c r="A889" t="inlineStr">
        <is>
          <t>CVE</t>
        </is>
      </c>
      <c r="B889" t="inlineStr">
        <is>
          <t>CVE-2025-68845</t>
        </is>
      </c>
      <c r="C889" t="inlineStr">
        <is>
          <t>Improper Neutralization of Input During Web Page Generation ('Cross-site Scripting') vulnerability in aThemeArt Translations eDS Responsive Menu eds-responsive-menu allows Reflected XSS.This issue affects eDS Responsive Menu: from n/a through &lt;= 1.2.</t>
        </is>
      </c>
      <c r="D889" t="n">
        <v>5</v>
      </c>
      <c r="E889" t="inlineStr">
        <is>
          <t>MEDIUM</t>
        </is>
      </c>
      <c r="F889" t="n">
        <v>2</v>
      </c>
      <c r="G889" t="n">
        <v>2</v>
      </c>
      <c r="H889" t="inlineStr">
        <is>
          <t>MEDIUM</t>
        </is>
      </c>
      <c r="I889" t="n">
        <v>9</v>
      </c>
      <c r="J889" t="inlineStr">
        <is>
          <t>NO</t>
        </is>
      </c>
      <c r="K889" t="inlineStr">
        <is>
          <t>2026-02-23 23:48</t>
        </is>
      </c>
      <c r="L889" t="inlineStr">
        <is>
          <t>CHECK_VENDOR</t>
        </is>
      </c>
      <c r="M889" t="inlineStr">
        <is>
          <t>See CVE details</t>
        </is>
      </c>
      <c r="N889" t="inlineStr">
        <is>
          <t>P4</t>
        </is>
      </c>
      <c r="O889" t="inlineStr">
        <is>
          <t>CVE - IP enrichment n/a</t>
        </is>
      </c>
      <c r="P889" t="n">
        <v>0.0003</v>
      </c>
      <c r="Q889" t="n">
        <v>0.0808</v>
      </c>
      <c r="R889" t="inlineStr">
        <is>
          <t>T1189:Drive-by Compromise</t>
        </is>
      </c>
      <c r="S889" t="n">
        <v>1</v>
      </c>
      <c r="T889" t="inlineStr">
        <is>
          <t>LOW (40%)</t>
        </is>
      </c>
      <c r="U889" t="inlineStr">
        <is>
          <t>UNLIKELY</t>
        </is>
      </c>
      <c r="V889" t="inlineStr">
        <is>
          <t>CHECK_VENDOR</t>
        </is>
      </c>
      <c r="W889" t="inlineStr">
        <is>
          <t>https://nvd.nist.gov/vuln/detail/CVE-2025-68845</t>
        </is>
      </c>
      <c r="X889" t="inlineStr">
        <is>
          <t>NONE</t>
        </is>
      </c>
      <c r="Y889" t="n">
        <v>0</v>
      </c>
      <c r="Z889" t="inlineStr"/>
      <c r="AA889" t="inlineStr">
        <is>
          <t>https://nvd.nist.gov/vuln/detail/CVE-2025-68845</t>
        </is>
      </c>
    </row>
    <row r="890">
      <c r="A890" t="inlineStr">
        <is>
          <t>CVE</t>
        </is>
      </c>
      <c r="B890" t="inlineStr">
        <is>
          <t>CVE-2025-68846</t>
        </is>
      </c>
      <c r="C890" t="inlineStr">
        <is>
          <t>Improper Neutralization of Input During Web Page Generation ('Cross-site Scripting') vulnerability in Paris Holley Asynchronous Javascript asynchronous-javascript allows Reflected XSS.This issue affects Asynchronous Javascript: from n/a through &lt;= 1.3.5.</t>
        </is>
      </c>
      <c r="D890" t="n">
        <v>5</v>
      </c>
      <c r="E890" t="inlineStr">
        <is>
          <t>MEDIUM</t>
        </is>
      </c>
      <c r="F890" t="n">
        <v>2</v>
      </c>
      <c r="G890" t="n">
        <v>2</v>
      </c>
      <c r="H890" t="inlineStr">
        <is>
          <t>MEDIUM</t>
        </is>
      </c>
      <c r="I890" t="n">
        <v>9</v>
      </c>
      <c r="J890" t="inlineStr">
        <is>
          <t>NO</t>
        </is>
      </c>
      <c r="K890" t="inlineStr">
        <is>
          <t>2026-02-23 23:48</t>
        </is>
      </c>
      <c r="L890" t="inlineStr">
        <is>
          <t>CHECK_VENDOR</t>
        </is>
      </c>
      <c r="M890" t="inlineStr">
        <is>
          <t>See CVE details</t>
        </is>
      </c>
      <c r="N890" t="inlineStr">
        <is>
          <t>P4</t>
        </is>
      </c>
      <c r="O890" t="inlineStr">
        <is>
          <t>CVE - IP enrichment n/a</t>
        </is>
      </c>
      <c r="P890" t="n">
        <v>0</v>
      </c>
      <c r="Q890" t="n">
        <v>0</v>
      </c>
      <c r="R890" t="inlineStr">
        <is>
          <t>T1189:Drive-by Compromise</t>
        </is>
      </c>
      <c r="S890" t="n">
        <v>1</v>
      </c>
      <c r="T890" t="inlineStr">
        <is>
          <t>LOW (40%)</t>
        </is>
      </c>
      <c r="U890" t="inlineStr">
        <is>
          <t>UNLIKELY</t>
        </is>
      </c>
      <c r="V890" t="inlineStr">
        <is>
          <t>CHECK_VENDOR</t>
        </is>
      </c>
      <c r="W890" t="inlineStr">
        <is>
          <t>https://nvd.nist.gov/vuln/detail/CVE-2025-68846</t>
        </is>
      </c>
      <c r="X890" t="inlineStr">
        <is>
          <t>NONE</t>
        </is>
      </c>
      <c r="Y890" t="n">
        <v>0</v>
      </c>
      <c r="Z890" t="inlineStr"/>
      <c r="AA890" t="inlineStr">
        <is>
          <t>https://nvd.nist.gov/vuln/detail/CVE-2025-68846</t>
        </is>
      </c>
    </row>
    <row r="891">
      <c r="A891" t="inlineStr">
        <is>
          <t>CVE</t>
        </is>
      </c>
      <c r="B891" t="inlineStr">
        <is>
          <t>CVE-2025-68847</t>
        </is>
      </c>
      <c r="C891" t="inlineStr">
        <is>
          <t>Improper Neutralization of Input During Web Page Generation ('Cross-site Scripting') vulnerability in itex iSape isape allows Reflected XSS.This issue affects iSape: from n/a through &lt;= 0.72.</t>
        </is>
      </c>
      <c r="D891" t="n">
        <v>5</v>
      </c>
      <c r="E891" t="inlineStr">
        <is>
          <t>MEDIUM</t>
        </is>
      </c>
      <c r="F891" t="n">
        <v>2</v>
      </c>
      <c r="G891" t="n">
        <v>2</v>
      </c>
      <c r="H891" t="inlineStr">
        <is>
          <t>MEDIUM</t>
        </is>
      </c>
      <c r="I891" t="n">
        <v>9</v>
      </c>
      <c r="J891" t="inlineStr">
        <is>
          <t>NO</t>
        </is>
      </c>
      <c r="K891" t="inlineStr">
        <is>
          <t>2026-02-23 23:48</t>
        </is>
      </c>
      <c r="L891" t="inlineStr">
        <is>
          <t>CHECK_VENDOR</t>
        </is>
      </c>
      <c r="M891" t="inlineStr">
        <is>
          <t>See CVE details</t>
        </is>
      </c>
      <c r="N891" t="inlineStr">
        <is>
          <t>P4</t>
        </is>
      </c>
      <c r="O891" t="inlineStr">
        <is>
          <t>CVE - IP enrichment n/a</t>
        </is>
      </c>
      <c r="P891" t="n">
        <v>0</v>
      </c>
      <c r="Q891" t="n">
        <v>0</v>
      </c>
      <c r="R891" t="inlineStr">
        <is>
          <t>T1189:Drive-by Compromise</t>
        </is>
      </c>
      <c r="S891" t="n">
        <v>1</v>
      </c>
      <c r="T891" t="inlineStr">
        <is>
          <t>LOW (40%)</t>
        </is>
      </c>
      <c r="U891" t="inlineStr">
        <is>
          <t>UNLIKELY</t>
        </is>
      </c>
      <c r="V891" t="inlineStr">
        <is>
          <t>CHECK_VENDOR</t>
        </is>
      </c>
      <c r="W891" t="inlineStr">
        <is>
          <t>https://nvd.nist.gov/vuln/detail/CVE-2025-68847</t>
        </is>
      </c>
      <c r="X891" t="inlineStr">
        <is>
          <t>NONE</t>
        </is>
      </c>
      <c r="Y891" t="n">
        <v>0</v>
      </c>
      <c r="Z891" t="inlineStr"/>
      <c r="AA891" t="inlineStr">
        <is>
          <t>https://nvd.nist.gov/vuln/detail/CVE-2025-68847</t>
        </is>
      </c>
    </row>
    <row r="892">
      <c r="A892" t="inlineStr">
        <is>
          <t>CVE</t>
        </is>
      </c>
      <c r="B892" t="inlineStr">
        <is>
          <t>CVE-2025-68848</t>
        </is>
      </c>
      <c r="C892" t="inlineStr">
        <is>
          <t>Improper Neutralization of Input During Web Page Generation ('Cross-site Scripting') vulnerability in anmari amr cron manager amr-cron-manager allows Reflected XSS.This issue affects amr cron manager: from n/a through &lt;= 2.3.</t>
        </is>
      </c>
      <c r="D892" t="n">
        <v>5</v>
      </c>
      <c r="E892" t="inlineStr">
        <is>
          <t>MEDIUM</t>
        </is>
      </c>
      <c r="F892" t="n">
        <v>2</v>
      </c>
      <c r="G892" t="n">
        <v>2</v>
      </c>
      <c r="H892" t="inlineStr">
        <is>
          <t>MEDIUM</t>
        </is>
      </c>
      <c r="I892" t="n">
        <v>9</v>
      </c>
      <c r="J892" t="inlineStr">
        <is>
          <t>NO</t>
        </is>
      </c>
      <c r="K892" t="inlineStr">
        <is>
          <t>2026-02-23 23:48</t>
        </is>
      </c>
      <c r="L892" t="inlineStr">
        <is>
          <t>CHECK_VENDOR</t>
        </is>
      </c>
      <c r="M892" t="inlineStr">
        <is>
          <t>See CVE details</t>
        </is>
      </c>
      <c r="N892" t="inlineStr">
        <is>
          <t>P4</t>
        </is>
      </c>
      <c r="O892" t="inlineStr">
        <is>
          <t>CVE - IP enrichment n/a</t>
        </is>
      </c>
      <c r="P892" t="n">
        <v>0.0003</v>
      </c>
      <c r="Q892" t="n">
        <v>0.0808</v>
      </c>
      <c r="R892" t="inlineStr">
        <is>
          <t>T1189:Drive-by Compromise</t>
        </is>
      </c>
      <c r="S892" t="n">
        <v>1</v>
      </c>
      <c r="T892" t="inlineStr">
        <is>
          <t>LOW (40%)</t>
        </is>
      </c>
      <c r="U892" t="inlineStr">
        <is>
          <t>UNLIKELY</t>
        </is>
      </c>
      <c r="V892" t="inlineStr">
        <is>
          <t>CHECK_VENDOR</t>
        </is>
      </c>
      <c r="W892" t="inlineStr">
        <is>
          <t>https://nvd.nist.gov/vuln/detail/CVE-2025-68848</t>
        </is>
      </c>
      <c r="X892" t="inlineStr">
        <is>
          <t>NONE</t>
        </is>
      </c>
      <c r="Y892" t="n">
        <v>0</v>
      </c>
      <c r="Z892" t="inlineStr"/>
      <c r="AA892" t="inlineStr">
        <is>
          <t>https://nvd.nist.gov/vuln/detail/CVE-2025-68848</t>
        </is>
      </c>
    </row>
    <row r="893">
      <c r="A893" t="inlineStr">
        <is>
          <t>CVE</t>
        </is>
      </c>
      <c r="B893" t="inlineStr">
        <is>
          <t>CVE-2025-68852</t>
        </is>
      </c>
      <c r="C893" t="inlineStr">
        <is>
          <t>Improper Neutralization of Input During Web Page Generation ('Cross-site Scripting') vulnerability in webmuehle Court Reservation court-reservation allows Reflected XSS.This issue affects Court Reservation: from n/a through &lt;= 1.10.9.</t>
        </is>
      </c>
      <c r="D893" t="n">
        <v>5</v>
      </c>
      <c r="E893" t="inlineStr">
        <is>
          <t>MEDIUM</t>
        </is>
      </c>
      <c r="F893" t="n">
        <v>2</v>
      </c>
      <c r="G893" t="n">
        <v>2</v>
      </c>
      <c r="H893" t="inlineStr">
        <is>
          <t>MEDIUM</t>
        </is>
      </c>
      <c r="I893" t="n">
        <v>9</v>
      </c>
      <c r="J893" t="inlineStr">
        <is>
          <t>NO</t>
        </is>
      </c>
      <c r="K893" t="inlineStr">
        <is>
          <t>2026-02-23 23:48</t>
        </is>
      </c>
      <c r="L893" t="inlineStr">
        <is>
          <t>CHECK_VENDOR</t>
        </is>
      </c>
      <c r="M893" t="inlineStr">
        <is>
          <t>See CVE details</t>
        </is>
      </c>
      <c r="N893" t="inlineStr">
        <is>
          <t>P4</t>
        </is>
      </c>
      <c r="O893" t="inlineStr">
        <is>
          <t>CVE - IP enrichment n/a</t>
        </is>
      </c>
      <c r="P893" t="n">
        <v>0</v>
      </c>
      <c r="Q893" t="n">
        <v>0</v>
      </c>
      <c r="R893" t="inlineStr">
        <is>
          <t>T1189:Drive-by Compromise</t>
        </is>
      </c>
      <c r="S893" t="n">
        <v>1</v>
      </c>
      <c r="T893" t="inlineStr">
        <is>
          <t>LOW (40%)</t>
        </is>
      </c>
      <c r="U893" t="inlineStr">
        <is>
          <t>UNLIKELY</t>
        </is>
      </c>
      <c r="V893" t="inlineStr">
        <is>
          <t>CHECK_VENDOR</t>
        </is>
      </c>
      <c r="W893" t="inlineStr">
        <is>
          <t>https://nvd.nist.gov/vuln/detail/CVE-2025-68852</t>
        </is>
      </c>
      <c r="X893" t="inlineStr">
        <is>
          <t>NONE</t>
        </is>
      </c>
      <c r="Y893" t="n">
        <v>0</v>
      </c>
      <c r="Z893" t="inlineStr"/>
      <c r="AA893" t="inlineStr">
        <is>
          <t>https://nvd.nist.gov/vuln/detail/CVE-2025-68852</t>
        </is>
      </c>
    </row>
    <row r="894">
      <c r="A894" t="inlineStr">
        <is>
          <t>CVE</t>
        </is>
      </c>
      <c r="B894" t="inlineStr">
        <is>
          <t>CVE-2025-68853</t>
        </is>
      </c>
      <c r="C894" t="inlineStr">
        <is>
          <t>Deserialization of Untrusted Data vulnerability in Kleor Contact Manager contact-manager allows Object Injection.This issue affects Contact Manager: from n/a through &lt;= 9.1.1.</t>
        </is>
      </c>
      <c r="D894" t="n">
        <v>5</v>
      </c>
      <c r="E894" t="inlineStr">
        <is>
          <t>MEDIUM</t>
        </is>
      </c>
      <c r="F894" t="n">
        <v>2</v>
      </c>
      <c r="G894" t="n">
        <v>2</v>
      </c>
      <c r="H894" t="inlineStr">
        <is>
          <t>MEDIUM</t>
        </is>
      </c>
      <c r="I894" t="n">
        <v>9</v>
      </c>
      <c r="J894" t="inlineStr">
        <is>
          <t>NO</t>
        </is>
      </c>
      <c r="K894" t="inlineStr">
        <is>
          <t>2026-02-23 23:48</t>
        </is>
      </c>
      <c r="L894" t="inlineStr">
        <is>
          <t>CHECK_VENDOR</t>
        </is>
      </c>
      <c r="M894" t="inlineStr">
        <is>
          <t>See CVE details</t>
        </is>
      </c>
      <c r="N894" t="inlineStr">
        <is>
          <t>P4</t>
        </is>
      </c>
      <c r="O894" t="inlineStr">
        <is>
          <t>CVE - IP enrichment n/a</t>
        </is>
      </c>
      <c r="P894" t="n">
        <v>0</v>
      </c>
      <c r="Q894" t="n">
        <v>0</v>
      </c>
      <c r="R894" t="inlineStr">
        <is>
          <t>T1059:Command and Scripting Interpreter</t>
        </is>
      </c>
      <c r="S894" t="n">
        <v>1</v>
      </c>
      <c r="T894" t="inlineStr">
        <is>
          <t>LOW (40%)</t>
        </is>
      </c>
      <c r="U894" t="inlineStr">
        <is>
          <t>UNLIKELY</t>
        </is>
      </c>
      <c r="V894" t="inlineStr">
        <is>
          <t>CHECK_VENDOR</t>
        </is>
      </c>
      <c r="W894" t="inlineStr">
        <is>
          <t>https://nvd.nist.gov/vuln/detail/CVE-2025-68853</t>
        </is>
      </c>
      <c r="X894" t="inlineStr">
        <is>
          <t>NONE</t>
        </is>
      </c>
      <c r="Y894" t="n">
        <v>0</v>
      </c>
      <c r="Z894" t="inlineStr"/>
      <c r="AA894" t="inlineStr">
        <is>
          <t>https://nvd.nist.gov/vuln/detail/CVE-2025-68853</t>
        </is>
      </c>
    </row>
    <row r="895">
      <c r="A895" t="inlineStr">
        <is>
          <t>CVE</t>
        </is>
      </c>
      <c r="B895" t="inlineStr">
        <is>
          <t>CVE-2025-68854</t>
        </is>
      </c>
      <c r="C895" t="inlineStr">
        <is>
          <t>Improper Neutralization of Input During Web Page Generation ('Cross-site Scripting') vulnerability in harman79 ID Arrays id-arrays allows DOM-Based XSS.This issue affects ID Arrays: from n/a through &lt;= 2.1.2.</t>
        </is>
      </c>
      <c r="D895" t="n">
        <v>5</v>
      </c>
      <c r="E895" t="inlineStr">
        <is>
          <t>MEDIUM</t>
        </is>
      </c>
      <c r="F895" t="n">
        <v>2</v>
      </c>
      <c r="G895" t="n">
        <v>2</v>
      </c>
      <c r="H895" t="inlineStr">
        <is>
          <t>MEDIUM</t>
        </is>
      </c>
      <c r="I895" t="n">
        <v>9</v>
      </c>
      <c r="J895" t="inlineStr">
        <is>
          <t>NO</t>
        </is>
      </c>
      <c r="K895" t="inlineStr">
        <is>
          <t>2026-02-23 23:48</t>
        </is>
      </c>
      <c r="L895" t="inlineStr">
        <is>
          <t>CHECK_VENDOR</t>
        </is>
      </c>
      <c r="M895" t="inlineStr">
        <is>
          <t>See CVE details</t>
        </is>
      </c>
      <c r="N895" t="inlineStr">
        <is>
          <t>P4</t>
        </is>
      </c>
      <c r="O895" t="inlineStr">
        <is>
          <t>CVE - IP enrichment n/a</t>
        </is>
      </c>
      <c r="P895" t="n">
        <v>0</v>
      </c>
      <c r="Q895" t="n">
        <v>0</v>
      </c>
      <c r="R895" t="inlineStr">
        <is>
          <t>T1189:Drive-by Compromise</t>
        </is>
      </c>
      <c r="S895" t="n">
        <v>1</v>
      </c>
      <c r="T895" t="inlineStr">
        <is>
          <t>LOW (40%)</t>
        </is>
      </c>
      <c r="U895" t="inlineStr">
        <is>
          <t>UNLIKELY</t>
        </is>
      </c>
      <c r="V895" t="inlineStr">
        <is>
          <t>CHECK_VENDOR</t>
        </is>
      </c>
      <c r="W895" t="inlineStr">
        <is>
          <t>https://nvd.nist.gov/vuln/detail/CVE-2025-68854</t>
        </is>
      </c>
      <c r="X895" t="inlineStr">
        <is>
          <t>NONE</t>
        </is>
      </c>
      <c r="Y895" t="n">
        <v>0</v>
      </c>
      <c r="Z895" t="inlineStr"/>
      <c r="AA895" t="inlineStr">
        <is>
          <t>https://nvd.nist.gov/vuln/detail/CVE-2025-68854</t>
        </is>
      </c>
    </row>
    <row r="896">
      <c r="A896" t="inlineStr">
        <is>
          <t>CVE</t>
        </is>
      </c>
      <c r="B896" t="inlineStr">
        <is>
          <t>CVE-2025-68855</t>
        </is>
      </c>
      <c r="C896" t="inlineStr">
        <is>
          <t>Insertion of Sensitive Information Into Sent Data vulnerability in themeglow JobBoard Job listing job-board-light allows Retrieve Embedded Sensitive Data.This issue affects JobBoard Job listing: from n/a through &lt;= 1.2.8.</t>
        </is>
      </c>
      <c r="D896" t="n">
        <v>5</v>
      </c>
      <c r="E896" t="inlineStr">
        <is>
          <t>MEDIUM</t>
        </is>
      </c>
      <c r="F896" t="n">
        <v>2</v>
      </c>
      <c r="G896" t="n">
        <v>2</v>
      </c>
      <c r="H896" t="inlineStr">
        <is>
          <t>MEDIUM</t>
        </is>
      </c>
      <c r="I896" t="n">
        <v>9</v>
      </c>
      <c r="J896" t="inlineStr">
        <is>
          <t>NO</t>
        </is>
      </c>
      <c r="K896" t="inlineStr">
        <is>
          <t>2026-02-23 23:48</t>
        </is>
      </c>
      <c r="L896" t="inlineStr">
        <is>
          <t>CHECK_VENDOR</t>
        </is>
      </c>
      <c r="M896" t="inlineStr">
        <is>
          <t>See CVE details</t>
        </is>
      </c>
      <c r="N896" t="inlineStr">
        <is>
          <t>P4</t>
        </is>
      </c>
      <c r="O896" t="inlineStr">
        <is>
          <t>CVE - IP enrichment n/a</t>
        </is>
      </c>
      <c r="P896" t="n">
        <v>0.0002</v>
      </c>
      <c r="Q896" t="n">
        <v>0.0449</v>
      </c>
      <c r="R896" t="inlineStr">
        <is>
          <t>T1190:Exploit Public-Facing Application</t>
        </is>
      </c>
      <c r="S896" t="n">
        <v>1</v>
      </c>
      <c r="T896" t="inlineStr">
        <is>
          <t>LOW (40%)</t>
        </is>
      </c>
      <c r="U896" t="inlineStr">
        <is>
          <t>UNLIKELY</t>
        </is>
      </c>
      <c r="V896" t="inlineStr">
        <is>
          <t>CHECK_VENDOR</t>
        </is>
      </c>
      <c r="W896" t="inlineStr">
        <is>
          <t>https://nvd.nist.gov/vuln/detail/CVE-2025-68855</t>
        </is>
      </c>
      <c r="X896" t="inlineStr">
        <is>
          <t>NONE</t>
        </is>
      </c>
      <c r="Y896" t="n">
        <v>0</v>
      </c>
      <c r="Z896" t="inlineStr"/>
      <c r="AA896" t="inlineStr">
        <is>
          <t>https://nvd.nist.gov/vuln/detail/CVE-2025-68855</t>
        </is>
      </c>
    </row>
    <row r="897">
      <c r="A897" t="inlineStr">
        <is>
          <t>CVE</t>
        </is>
      </c>
      <c r="B897" t="inlineStr">
        <is>
          <t>CVE-2025-68856</t>
        </is>
      </c>
      <c r="C897" t="inlineStr">
        <is>
          <t>Improper Neutralization of Input During Web Page Generation ('Cross-site Scripting') vulnerability in keeswolters Mopinion Feedback Form mopinion-feedback-form allows DOM-Based XSS.This issue affects Mopinion Feedback Form: from n/a through &lt;= 1.1.1.</t>
        </is>
      </c>
      <c r="D897" t="n">
        <v>5</v>
      </c>
      <c r="E897" t="inlineStr">
        <is>
          <t>MEDIUM</t>
        </is>
      </c>
      <c r="F897" t="n">
        <v>2</v>
      </c>
      <c r="G897" t="n">
        <v>2</v>
      </c>
      <c r="H897" t="inlineStr">
        <is>
          <t>MEDIUM</t>
        </is>
      </c>
      <c r="I897" t="n">
        <v>9</v>
      </c>
      <c r="J897" t="inlineStr">
        <is>
          <t>NO</t>
        </is>
      </c>
      <c r="K897" t="inlineStr">
        <is>
          <t>2026-02-23 23:48</t>
        </is>
      </c>
      <c r="L897" t="inlineStr">
        <is>
          <t>CHECK_VENDOR</t>
        </is>
      </c>
      <c r="M897" t="inlineStr">
        <is>
          <t>See CVE details</t>
        </is>
      </c>
      <c r="N897" t="inlineStr">
        <is>
          <t>P4</t>
        </is>
      </c>
      <c r="O897" t="inlineStr">
        <is>
          <t>CVE - IP enrichment n/a</t>
        </is>
      </c>
      <c r="P897" t="n">
        <v>0</v>
      </c>
      <c r="Q897" t="n">
        <v>0</v>
      </c>
      <c r="R897" t="inlineStr">
        <is>
          <t>T1189:Drive-by Compromise</t>
        </is>
      </c>
      <c r="S897" t="n">
        <v>1</v>
      </c>
      <c r="T897" t="inlineStr">
        <is>
          <t>LOW (40%)</t>
        </is>
      </c>
      <c r="U897" t="inlineStr">
        <is>
          <t>UNLIKELY</t>
        </is>
      </c>
      <c r="V897" t="inlineStr">
        <is>
          <t>CHECK_VENDOR</t>
        </is>
      </c>
      <c r="W897" t="inlineStr">
        <is>
          <t>https://nvd.nist.gov/vuln/detail/CVE-2025-68856</t>
        </is>
      </c>
      <c r="X897" t="inlineStr">
        <is>
          <t>NONE</t>
        </is>
      </c>
      <c r="Y897" t="n">
        <v>0</v>
      </c>
      <c r="Z897" t="inlineStr"/>
      <c r="AA897" t="inlineStr">
        <is>
          <t>https://nvd.nist.gov/vuln/detail/CVE-2025-68856</t>
        </is>
      </c>
    </row>
    <row r="898">
      <c r="A898" t="inlineStr">
        <is>
          <t>CVE</t>
        </is>
      </c>
      <c r="B898" t="inlineStr">
        <is>
          <t>CVE-2025-68862</t>
        </is>
      </c>
      <c r="C898" t="inlineStr">
        <is>
          <t>Improper Limitation of a Pathname to a Restricted Directory ('Path Traversal') vulnerability in Murtaza Bhurgri Woo File Dropzone woo-file-dropzone allows Path Traversal.This issue affects Woo File Dropzone: from n/a through &lt;= 1.1.7.</t>
        </is>
      </c>
      <c r="D898" t="n">
        <v>5</v>
      </c>
      <c r="E898" t="inlineStr">
        <is>
          <t>MEDIUM</t>
        </is>
      </c>
      <c r="F898" t="n">
        <v>2</v>
      </c>
      <c r="G898" t="n">
        <v>2</v>
      </c>
      <c r="H898" t="inlineStr">
        <is>
          <t>MEDIUM</t>
        </is>
      </c>
      <c r="I898" t="n">
        <v>9</v>
      </c>
      <c r="J898" t="inlineStr">
        <is>
          <t>NO</t>
        </is>
      </c>
      <c r="K898" t="inlineStr">
        <is>
          <t>2026-02-23 23:48</t>
        </is>
      </c>
      <c r="L898" t="inlineStr">
        <is>
          <t>CHECK_VENDOR</t>
        </is>
      </c>
      <c r="M898" t="inlineStr">
        <is>
          <t>See CVE details</t>
        </is>
      </c>
      <c r="N898" t="inlineStr">
        <is>
          <t>P4</t>
        </is>
      </c>
      <c r="O898" t="inlineStr">
        <is>
          <t>CVE - IP enrichment n/a</t>
        </is>
      </c>
      <c r="P898" t="n">
        <v>0</v>
      </c>
      <c r="Q898" t="n">
        <v>0</v>
      </c>
      <c r="R898" t="inlineStr">
        <is>
          <t>T1083:File and Directory Discovery</t>
        </is>
      </c>
      <c r="S898" t="n">
        <v>1</v>
      </c>
      <c r="T898" t="inlineStr">
        <is>
          <t>LOW (40%)</t>
        </is>
      </c>
      <c r="U898" t="inlineStr">
        <is>
          <t>UNLIKELY</t>
        </is>
      </c>
      <c r="V898" t="inlineStr">
        <is>
          <t>CHECK_VENDOR</t>
        </is>
      </c>
      <c r="W898" t="inlineStr">
        <is>
          <t>https://nvd.nist.gov/vuln/detail/CVE-2025-68862</t>
        </is>
      </c>
      <c r="X898" t="inlineStr">
        <is>
          <t>NONE</t>
        </is>
      </c>
      <c r="Y898" t="n">
        <v>0</v>
      </c>
      <c r="Z898" t="inlineStr"/>
      <c r="AA898" t="inlineStr">
        <is>
          <t>https://nvd.nist.gov/vuln/detail/CVE-2025-68862</t>
        </is>
      </c>
    </row>
    <row r="899">
      <c r="A899" t="inlineStr">
        <is>
          <t>CVE</t>
        </is>
      </c>
      <c r="B899" t="inlineStr">
        <is>
          <t>CVE-2025-68863</t>
        </is>
      </c>
      <c r="C899" t="inlineStr">
        <is>
          <t>Improper Neutralization of Input During Web Page Generation ('Cross-site Scripting') vulnerability in Zack Katz iContact for Gravity Forms gravity-forms-icontact allows Reflected XSS.This issue affects iContact for Gravity Forms: from n/a through &lt;= 1.3.2.</t>
        </is>
      </c>
      <c r="D899" t="n">
        <v>5</v>
      </c>
      <c r="E899" t="inlineStr">
        <is>
          <t>MEDIUM</t>
        </is>
      </c>
      <c r="F899" t="n">
        <v>2</v>
      </c>
      <c r="G899" t="n">
        <v>2</v>
      </c>
      <c r="H899" t="inlineStr">
        <is>
          <t>MEDIUM</t>
        </is>
      </c>
      <c r="I899" t="n">
        <v>9</v>
      </c>
      <c r="J899" t="inlineStr">
        <is>
          <t>NO</t>
        </is>
      </c>
      <c r="K899" t="inlineStr">
        <is>
          <t>2026-02-23 23:48</t>
        </is>
      </c>
      <c r="L899" t="inlineStr">
        <is>
          <t>CHECK_VENDOR</t>
        </is>
      </c>
      <c r="M899" t="inlineStr">
        <is>
          <t>See CVE details</t>
        </is>
      </c>
      <c r="N899" t="inlineStr">
        <is>
          <t>P4</t>
        </is>
      </c>
      <c r="O899" t="inlineStr">
        <is>
          <t>CVE - IP enrichment n/a</t>
        </is>
      </c>
      <c r="P899" t="n">
        <v>0</v>
      </c>
      <c r="Q899" t="n">
        <v>0</v>
      </c>
      <c r="R899" t="inlineStr">
        <is>
          <t>T1189:Drive-by Compromise</t>
        </is>
      </c>
      <c r="S899" t="n">
        <v>1</v>
      </c>
      <c r="T899" t="inlineStr">
        <is>
          <t>LOW (40%)</t>
        </is>
      </c>
      <c r="U899" t="inlineStr">
        <is>
          <t>UNLIKELY</t>
        </is>
      </c>
      <c r="V899" t="inlineStr">
        <is>
          <t>CHECK_VENDOR</t>
        </is>
      </c>
      <c r="W899" t="inlineStr">
        <is>
          <t>https://nvd.nist.gov/vuln/detail/CVE-2025-68863</t>
        </is>
      </c>
      <c r="X899" t="inlineStr">
        <is>
          <t>NONE</t>
        </is>
      </c>
      <c r="Y899" t="n">
        <v>0</v>
      </c>
      <c r="Z899" t="inlineStr"/>
      <c r="AA899" t="inlineStr">
        <is>
          <t>https://nvd.nist.gov/vuln/detail/CVE-2025-68863</t>
        </is>
      </c>
    </row>
    <row r="900">
      <c r="A900" t="inlineStr">
        <is>
          <t>CVE</t>
        </is>
      </c>
      <c r="B900" t="inlineStr">
        <is>
          <t>CVE-2025-68880</t>
        </is>
      </c>
      <c r="C900" t="inlineStr">
        <is>
          <t>Improper Neutralization of Input During Web Page Generation ('Cross-site Scripting') vulnerability in peterwsterling Simple Archive Generator simple-archive-generator allows Reflected XSS.This issue affects Simple Archive Generator: from n/a through &lt;= 5.2.</t>
        </is>
      </c>
      <c r="D900" t="n">
        <v>5</v>
      </c>
      <c r="E900" t="inlineStr">
        <is>
          <t>MEDIUM</t>
        </is>
      </c>
      <c r="F900" t="n">
        <v>2</v>
      </c>
      <c r="G900" t="n">
        <v>2</v>
      </c>
      <c r="H900" t="inlineStr">
        <is>
          <t>MEDIUM</t>
        </is>
      </c>
      <c r="I900" t="n">
        <v>9</v>
      </c>
      <c r="J900" t="inlineStr">
        <is>
          <t>NO</t>
        </is>
      </c>
      <c r="K900" t="inlineStr">
        <is>
          <t>2026-02-23 23:48</t>
        </is>
      </c>
      <c r="L900" t="inlineStr">
        <is>
          <t>CHECK_VENDOR</t>
        </is>
      </c>
      <c r="M900" t="inlineStr">
        <is>
          <t>See CVE details</t>
        </is>
      </c>
      <c r="N900" t="inlineStr">
        <is>
          <t>P4</t>
        </is>
      </c>
      <c r="O900" t="inlineStr">
        <is>
          <t>CVE - IP enrichment n/a</t>
        </is>
      </c>
      <c r="P900" t="n">
        <v>0.0003</v>
      </c>
      <c r="Q900" t="n">
        <v>0.0808</v>
      </c>
      <c r="R900" t="inlineStr">
        <is>
          <t>T1189:Drive-by Compromise</t>
        </is>
      </c>
      <c r="S900" t="n">
        <v>1</v>
      </c>
      <c r="T900" t="inlineStr">
        <is>
          <t>LOW (40%)</t>
        </is>
      </c>
      <c r="U900" t="inlineStr">
        <is>
          <t>UNLIKELY</t>
        </is>
      </c>
      <c r="V900" t="inlineStr">
        <is>
          <t>CHECK_VENDOR</t>
        </is>
      </c>
      <c r="W900" t="inlineStr">
        <is>
          <t>https://nvd.nist.gov/vuln/detail/CVE-2025-68880</t>
        </is>
      </c>
      <c r="X900" t="inlineStr">
        <is>
          <t>NONE</t>
        </is>
      </c>
      <c r="Y900" t="n">
        <v>0</v>
      </c>
      <c r="Z900" t="inlineStr"/>
      <c r="AA900" t="inlineStr">
        <is>
          <t>https://nvd.nist.gov/vuln/detail/CVE-2025-68880</t>
        </is>
      </c>
    </row>
    <row r="901">
      <c r="A901" t="inlineStr">
        <is>
          <t>CVE</t>
        </is>
      </c>
      <c r="B901" t="inlineStr">
        <is>
          <t>CVE-2025-68895</t>
        </is>
      </c>
      <c r="C901" t="inlineStr">
        <is>
          <t>Authentication Bypass Using an Alternate Path or Channel vulnerability in ahachat AhaChat Messenger Marketing ahachat-messenger-marketing allows Password Recovery Exploitation.This issue affects AhaChat Messenger Marketing: from n/a through &lt;= 1.1.</t>
        </is>
      </c>
      <c r="D901" t="n">
        <v>5</v>
      </c>
      <c r="E901" t="inlineStr">
        <is>
          <t>MEDIUM</t>
        </is>
      </c>
      <c r="F901" t="n">
        <v>2</v>
      </c>
      <c r="G901" t="n">
        <v>2</v>
      </c>
      <c r="H901" t="inlineStr">
        <is>
          <t>MEDIUM</t>
        </is>
      </c>
      <c r="I901" t="n">
        <v>9</v>
      </c>
      <c r="J901" t="inlineStr">
        <is>
          <t>NO</t>
        </is>
      </c>
      <c r="K901" t="inlineStr">
        <is>
          <t>2026-02-23 23:48</t>
        </is>
      </c>
      <c r="L901" t="inlineStr">
        <is>
          <t>CHECK_VENDOR</t>
        </is>
      </c>
      <c r="M901" t="inlineStr">
        <is>
          <t>See CVE details</t>
        </is>
      </c>
      <c r="N901" t="inlineStr">
        <is>
          <t>P4</t>
        </is>
      </c>
      <c r="O901" t="inlineStr">
        <is>
          <t>CVE - IP enrichment n/a</t>
        </is>
      </c>
      <c r="P901" t="n">
        <v>0</v>
      </c>
      <c r="Q901" t="n">
        <v>0</v>
      </c>
      <c r="R901" t="inlineStr">
        <is>
          <t>T1078:Valid Accounts</t>
        </is>
      </c>
      <c r="S901" t="n">
        <v>1</v>
      </c>
      <c r="T901" t="inlineStr">
        <is>
          <t>LOW (40%)</t>
        </is>
      </c>
      <c r="U901" t="inlineStr">
        <is>
          <t>UNLIKELY</t>
        </is>
      </c>
      <c r="V901" t="inlineStr">
        <is>
          <t>CHECK_VENDOR</t>
        </is>
      </c>
      <c r="W901" t="inlineStr">
        <is>
          <t>https://nvd.nist.gov/vuln/detail/CVE-2025-68895</t>
        </is>
      </c>
      <c r="X901" t="inlineStr">
        <is>
          <t>NONE</t>
        </is>
      </c>
      <c r="Y901" t="n">
        <v>0</v>
      </c>
      <c r="Z901" t="inlineStr"/>
      <c r="AA901" t="inlineStr">
        <is>
          <t>https://nvd.nist.gov/vuln/detail/CVE-2025-68895</t>
        </is>
      </c>
    </row>
    <row r="902">
      <c r="A902" t="inlineStr">
        <is>
          <t>CVE</t>
        </is>
      </c>
      <c r="B902" t="inlineStr">
        <is>
          <t>CVE-2025-69011</t>
        </is>
      </c>
      <c r="C902" t="inlineStr">
        <is>
          <t>Improper Neutralization of Input During Web Page Generation ('Cross-site Scripting') vulnerability in WPKube Cool Tag Cloud cool-tag-cloud allows Stored XSS.This issue affects Cool Tag Cloud: from n/a through &lt;= 2.29.</t>
        </is>
      </c>
      <c r="D902" t="n">
        <v>5</v>
      </c>
      <c r="E902" t="inlineStr">
        <is>
          <t>MEDIUM</t>
        </is>
      </c>
      <c r="F902" t="n">
        <v>2</v>
      </c>
      <c r="G902" t="n">
        <v>2</v>
      </c>
      <c r="H902" t="inlineStr">
        <is>
          <t>MEDIUM</t>
        </is>
      </c>
      <c r="I902" t="n">
        <v>9</v>
      </c>
      <c r="J902" t="inlineStr">
        <is>
          <t>NO</t>
        </is>
      </c>
      <c r="K902" t="inlineStr">
        <is>
          <t>2026-02-23 23:48</t>
        </is>
      </c>
      <c r="L902" t="inlineStr">
        <is>
          <t>CHECK_VENDOR</t>
        </is>
      </c>
      <c r="M902" t="inlineStr">
        <is>
          <t>See CVE details</t>
        </is>
      </c>
      <c r="N902" t="inlineStr">
        <is>
          <t>P4</t>
        </is>
      </c>
      <c r="O902" t="inlineStr">
        <is>
          <t>CVE - IP enrichment n/a</t>
        </is>
      </c>
      <c r="P902" t="n">
        <v>0.0003</v>
      </c>
      <c r="Q902" t="n">
        <v>0.0808</v>
      </c>
      <c r="R902" t="inlineStr">
        <is>
          <t>T1189:Drive-by Compromise</t>
        </is>
      </c>
      <c r="S902" t="n">
        <v>1</v>
      </c>
      <c r="T902" t="inlineStr">
        <is>
          <t>LOW (40%)</t>
        </is>
      </c>
      <c r="U902" t="inlineStr">
        <is>
          <t>UNLIKELY</t>
        </is>
      </c>
      <c r="V902" t="inlineStr">
        <is>
          <t>CHECK_VENDOR</t>
        </is>
      </c>
      <c r="W902" t="inlineStr">
        <is>
          <t>https://nvd.nist.gov/vuln/detail/CVE-2025-69011</t>
        </is>
      </c>
      <c r="X902" t="inlineStr">
        <is>
          <t>NONE</t>
        </is>
      </c>
      <c r="Y902" t="n">
        <v>0</v>
      </c>
      <c r="Z902" t="inlineStr"/>
      <c r="AA902" t="inlineStr">
        <is>
          <t>https://nvd.nist.gov/vuln/detail/CVE-2025-69011</t>
        </is>
      </c>
    </row>
    <row r="903">
      <c r="A903" t="inlineStr">
        <is>
          <t>CVE</t>
        </is>
      </c>
      <c r="B903" t="inlineStr">
        <is>
          <t>CVE-2025-69063</t>
        </is>
      </c>
      <c r="C903" t="inlineStr">
        <is>
          <t>Missing Authorization vulnerability in Saad Iqbal New User Approve new-user-approve allows Exploiting Incorrectly Configured Access Control Security Levels.This issue affects New User Approve: from n/a through &lt;= 3.2.0.</t>
        </is>
      </c>
      <c r="D903" t="n">
        <v>5</v>
      </c>
      <c r="E903" t="inlineStr">
        <is>
          <t>MEDIUM</t>
        </is>
      </c>
      <c r="F903" t="n">
        <v>2</v>
      </c>
      <c r="G903" t="n">
        <v>2</v>
      </c>
      <c r="H903" t="inlineStr">
        <is>
          <t>MEDIUM</t>
        </is>
      </c>
      <c r="I903" t="n">
        <v>9</v>
      </c>
      <c r="J903" t="inlineStr">
        <is>
          <t>NO</t>
        </is>
      </c>
      <c r="K903" t="inlineStr">
        <is>
          <t>2026-02-23 23:48</t>
        </is>
      </c>
      <c r="L903" t="inlineStr">
        <is>
          <t>CHECK_VENDOR</t>
        </is>
      </c>
      <c r="M903" t="inlineStr">
        <is>
          <t>See CVE details</t>
        </is>
      </c>
      <c r="N903" t="inlineStr">
        <is>
          <t>P4</t>
        </is>
      </c>
      <c r="O903" t="inlineStr">
        <is>
          <t>CVE - IP enrichment n/a</t>
        </is>
      </c>
      <c r="P903" t="n">
        <v>0.0002</v>
      </c>
      <c r="Q903" t="n">
        <v>0.0381</v>
      </c>
      <c r="R903" t="inlineStr">
        <is>
          <t>T1190:Exploit Public-Facing Application</t>
        </is>
      </c>
      <c r="S903" t="n">
        <v>1</v>
      </c>
      <c r="T903" t="inlineStr">
        <is>
          <t>LOW (40%)</t>
        </is>
      </c>
      <c r="U903" t="inlineStr">
        <is>
          <t>UNLIKELY</t>
        </is>
      </c>
      <c r="V903" t="inlineStr">
        <is>
          <t>CHECK_VENDOR</t>
        </is>
      </c>
      <c r="W903" t="inlineStr">
        <is>
          <t>https://nvd.nist.gov/vuln/detail/CVE-2025-69063</t>
        </is>
      </c>
      <c r="X903" t="inlineStr">
        <is>
          <t>NONE</t>
        </is>
      </c>
      <c r="Y903" t="n">
        <v>0</v>
      </c>
      <c r="Z903" t="inlineStr"/>
      <c r="AA903" t="inlineStr">
        <is>
          <t>https://nvd.nist.gov/vuln/detail/CVE-2025-69063</t>
        </is>
      </c>
    </row>
    <row r="904">
      <c r="A904" t="inlineStr">
        <is>
          <t>CVE</t>
        </is>
      </c>
      <c r="B904" t="inlineStr">
        <is>
          <t>CVE-2025-69294</t>
        </is>
      </c>
      <c r="C904" t="inlineStr">
        <is>
          <t>Deserialization of Untrusted Data vulnerability in fuelthemes PeakShops peakshops allows Object Injection.This issue affects PeakShops: from n/a through &lt;= 1.5.9.</t>
        </is>
      </c>
      <c r="D904" t="n">
        <v>5</v>
      </c>
      <c r="E904" t="inlineStr">
        <is>
          <t>MEDIUM</t>
        </is>
      </c>
      <c r="F904" t="n">
        <v>2</v>
      </c>
      <c r="G904" t="n">
        <v>2</v>
      </c>
      <c r="H904" t="inlineStr">
        <is>
          <t>MEDIUM</t>
        </is>
      </c>
      <c r="I904" t="n">
        <v>9</v>
      </c>
      <c r="J904" t="inlineStr">
        <is>
          <t>NO</t>
        </is>
      </c>
      <c r="K904" t="inlineStr">
        <is>
          <t>2026-02-23 23:48</t>
        </is>
      </c>
      <c r="L904" t="inlineStr">
        <is>
          <t>CHECK_VENDOR</t>
        </is>
      </c>
      <c r="M904" t="inlineStr">
        <is>
          <t>See CVE details</t>
        </is>
      </c>
      <c r="N904" t="inlineStr">
        <is>
          <t>P4</t>
        </is>
      </c>
      <c r="O904" t="inlineStr">
        <is>
          <t>CVE - IP enrichment n/a</t>
        </is>
      </c>
      <c r="P904" t="n">
        <v>0.0002</v>
      </c>
      <c r="Q904" t="n">
        <v>0.0636</v>
      </c>
      <c r="R904" t="inlineStr">
        <is>
          <t>T1059:Command and Scripting Interpreter</t>
        </is>
      </c>
      <c r="S904" t="n">
        <v>1</v>
      </c>
      <c r="T904" t="inlineStr">
        <is>
          <t>LOW (40%)</t>
        </is>
      </c>
      <c r="U904" t="inlineStr">
        <is>
          <t>UNLIKELY</t>
        </is>
      </c>
      <c r="V904" t="inlineStr">
        <is>
          <t>CHECK_VENDOR</t>
        </is>
      </c>
      <c r="W904" t="inlineStr">
        <is>
          <t>https://nvd.nist.gov/vuln/detail/CVE-2025-69294</t>
        </is>
      </c>
      <c r="X904" t="inlineStr">
        <is>
          <t>NONE</t>
        </is>
      </c>
      <c r="Y904" t="n">
        <v>0</v>
      </c>
      <c r="Z904" t="inlineStr"/>
      <c r="AA904" t="inlineStr">
        <is>
          <t>https://nvd.nist.gov/vuln/detail/CVE-2025-69294</t>
        </is>
      </c>
    </row>
    <row r="905">
      <c r="A905" t="inlineStr">
        <is>
          <t>CVE</t>
        </is>
      </c>
      <c r="B905" t="inlineStr">
        <is>
          <t>CVE-2025-69295</t>
        </is>
      </c>
      <c r="C905" t="inlineStr">
        <is>
          <t>Improper Neutralization of Special Elements used in an SQL Command ('SQL Injection') vulnerability in TeconceTheme Coven Core coven-core allows Blind SQL Injection.This issue affects Coven Core: from n/a through &lt;= 1.3.</t>
        </is>
      </c>
      <c r="D905" t="n">
        <v>5</v>
      </c>
      <c r="E905" t="inlineStr">
        <is>
          <t>MEDIUM</t>
        </is>
      </c>
      <c r="F905" t="n">
        <v>2</v>
      </c>
      <c r="G905" t="n">
        <v>2</v>
      </c>
      <c r="H905" t="inlineStr">
        <is>
          <t>MEDIUM</t>
        </is>
      </c>
      <c r="I905" t="n">
        <v>9</v>
      </c>
      <c r="J905" t="inlineStr">
        <is>
          <t>NO</t>
        </is>
      </c>
      <c r="K905" t="inlineStr">
        <is>
          <t>2026-02-23 23:48</t>
        </is>
      </c>
      <c r="L905" t="inlineStr">
        <is>
          <t>CHECK_VENDOR</t>
        </is>
      </c>
      <c r="M905" t="inlineStr">
        <is>
          <t>See CVE details</t>
        </is>
      </c>
      <c r="N905" t="inlineStr">
        <is>
          <t>P4</t>
        </is>
      </c>
      <c r="O905" t="inlineStr">
        <is>
          <t>CVE - IP enrichment n/a</t>
        </is>
      </c>
      <c r="P905" t="n">
        <v>0.0002</v>
      </c>
      <c r="Q905" t="n">
        <v>0.0536</v>
      </c>
      <c r="R905" t="inlineStr">
        <is>
          <t>T1190:Exploit Public-Facing Application</t>
        </is>
      </c>
      <c r="S905" t="n">
        <v>1</v>
      </c>
      <c r="T905" t="inlineStr">
        <is>
          <t>LOW (40%)</t>
        </is>
      </c>
      <c r="U905" t="inlineStr">
        <is>
          <t>UNLIKELY</t>
        </is>
      </c>
      <c r="V905" t="inlineStr">
        <is>
          <t>CHECK_VENDOR</t>
        </is>
      </c>
      <c r="W905" t="inlineStr">
        <is>
          <t>https://nvd.nist.gov/vuln/detail/CVE-2025-69295</t>
        </is>
      </c>
      <c r="X905" t="inlineStr">
        <is>
          <t>NONE</t>
        </is>
      </c>
      <c r="Y905" t="n">
        <v>0</v>
      </c>
      <c r="Z905" t="inlineStr"/>
      <c r="AA905" t="inlineStr">
        <is>
          <t>https://nvd.nist.gov/vuln/detail/CVE-2025-69295</t>
        </is>
      </c>
    </row>
    <row r="906">
      <c r="A906" t="inlineStr">
        <is>
          <t>CVE</t>
        </is>
      </c>
      <c r="B906" t="inlineStr">
        <is>
          <t>CVE-2025-69296</t>
        </is>
      </c>
      <c r="C906" t="inlineStr">
        <is>
          <t>Improper Neutralization of Input During Web Page Generation ('Cross-site Scripting') vulnerability in GhostPool Aardvark aardvark allows Reflected XSS.This issue affects Aardvark: from n/a through &lt;= 4.6.3.</t>
        </is>
      </c>
      <c r="D906" t="n">
        <v>5</v>
      </c>
      <c r="E906" t="inlineStr">
        <is>
          <t>MEDIUM</t>
        </is>
      </c>
      <c r="F906" t="n">
        <v>2</v>
      </c>
      <c r="G906" t="n">
        <v>2</v>
      </c>
      <c r="H906" t="inlineStr">
        <is>
          <t>MEDIUM</t>
        </is>
      </c>
      <c r="I906" t="n">
        <v>9</v>
      </c>
      <c r="J906" t="inlineStr">
        <is>
          <t>NO</t>
        </is>
      </c>
      <c r="K906" t="inlineStr">
        <is>
          <t>2026-02-23 23:48</t>
        </is>
      </c>
      <c r="L906" t="inlineStr">
        <is>
          <t>CHECK_VENDOR</t>
        </is>
      </c>
      <c r="M906" t="inlineStr">
        <is>
          <t>See CVE details</t>
        </is>
      </c>
      <c r="N906" t="inlineStr">
        <is>
          <t>P4</t>
        </is>
      </c>
      <c r="O906" t="inlineStr">
        <is>
          <t>CVE - IP enrichment n/a</t>
        </is>
      </c>
      <c r="P906" t="n">
        <v>0.0003</v>
      </c>
      <c r="Q906" t="n">
        <v>0.0808</v>
      </c>
      <c r="R906" t="inlineStr">
        <is>
          <t>T1189:Drive-by Compromise</t>
        </is>
      </c>
      <c r="S906" t="n">
        <v>1</v>
      </c>
      <c r="T906" t="inlineStr">
        <is>
          <t>LOW (40%)</t>
        </is>
      </c>
      <c r="U906" t="inlineStr">
        <is>
          <t>UNLIKELY</t>
        </is>
      </c>
      <c r="V906" t="inlineStr">
        <is>
          <t>CHECK_VENDOR</t>
        </is>
      </c>
      <c r="W906" t="inlineStr">
        <is>
          <t>https://nvd.nist.gov/vuln/detail/CVE-2025-69296</t>
        </is>
      </c>
      <c r="X906" t="inlineStr">
        <is>
          <t>NONE</t>
        </is>
      </c>
      <c r="Y906" t="n">
        <v>0</v>
      </c>
      <c r="Z906" t="inlineStr"/>
      <c r="AA906" t="inlineStr">
        <is>
          <t>https://nvd.nist.gov/vuln/detail/CVE-2025-69296</t>
        </is>
      </c>
    </row>
    <row r="907">
      <c r="A907" t="inlineStr">
        <is>
          <t>CVE</t>
        </is>
      </c>
      <c r="B907" t="inlineStr">
        <is>
          <t>CVE-2025-69297</t>
        </is>
      </c>
      <c r="C907" t="inlineStr">
        <is>
          <t>Missing Authorization vulnerability in GhostPool Aardvark Plugin aardvark-plugin allows Exploiting Incorrectly Configured Access Control Security Levels.This issue affects Aardvark Plugin: from n/a through &lt;= 2.19.</t>
        </is>
      </c>
      <c r="D907" t="n">
        <v>5</v>
      </c>
      <c r="E907" t="inlineStr">
        <is>
          <t>MEDIUM</t>
        </is>
      </c>
      <c r="F907" t="n">
        <v>2</v>
      </c>
      <c r="G907" t="n">
        <v>2</v>
      </c>
      <c r="H907" t="inlineStr">
        <is>
          <t>MEDIUM</t>
        </is>
      </c>
      <c r="I907" t="n">
        <v>9</v>
      </c>
      <c r="J907" t="inlineStr">
        <is>
          <t>NO</t>
        </is>
      </c>
      <c r="K907" t="inlineStr">
        <is>
          <t>2026-02-23 23:48</t>
        </is>
      </c>
      <c r="L907" t="inlineStr">
        <is>
          <t>CHECK_VENDOR</t>
        </is>
      </c>
      <c r="M907" t="inlineStr">
        <is>
          <t>See CVE details</t>
        </is>
      </c>
      <c r="N907" t="inlineStr">
        <is>
          <t>P4</t>
        </is>
      </c>
      <c r="O907" t="inlineStr">
        <is>
          <t>CVE - IP enrichment n/a</t>
        </is>
      </c>
      <c r="P907" t="n">
        <v>0</v>
      </c>
      <c r="Q907" t="n">
        <v>0</v>
      </c>
      <c r="R907" t="inlineStr">
        <is>
          <t>T1190:Exploit Public-Facing Application</t>
        </is>
      </c>
      <c r="S907" t="n">
        <v>1</v>
      </c>
      <c r="T907" t="inlineStr">
        <is>
          <t>LOW (40%)</t>
        </is>
      </c>
      <c r="U907" t="inlineStr">
        <is>
          <t>UNLIKELY</t>
        </is>
      </c>
      <c r="V907" t="inlineStr">
        <is>
          <t>CHECK_VENDOR</t>
        </is>
      </c>
      <c r="W907" t="inlineStr">
        <is>
          <t>https://nvd.nist.gov/vuln/detail/CVE-2025-69297</t>
        </is>
      </c>
      <c r="X907" t="inlineStr">
        <is>
          <t>NONE</t>
        </is>
      </c>
      <c r="Y907" t="n">
        <v>0</v>
      </c>
      <c r="Z907" t="inlineStr"/>
      <c r="AA907" t="inlineStr">
        <is>
          <t>https://nvd.nist.gov/vuln/detail/CVE-2025-69297</t>
        </is>
      </c>
    </row>
    <row r="908">
      <c r="A908" t="inlineStr">
        <is>
          <t>CVE</t>
        </is>
      </c>
      <c r="B908" t="inlineStr">
        <is>
          <t>CVE-2025-69298</t>
        </is>
      </c>
      <c r="C908" t="inlineStr">
        <is>
          <t>Missing Authorization vulnerability in GhostPool Gauge gauge allows Exploiting Incorrectly Configured Access Control Security Levels.This issue affects Gauge: from n/a through &lt;= 6.56.4.</t>
        </is>
      </c>
      <c r="D908" t="n">
        <v>5</v>
      </c>
      <c r="E908" t="inlineStr">
        <is>
          <t>MEDIUM</t>
        </is>
      </c>
      <c r="F908" t="n">
        <v>2</v>
      </c>
      <c r="G908" t="n">
        <v>2</v>
      </c>
      <c r="H908" t="inlineStr">
        <is>
          <t>MEDIUM</t>
        </is>
      </c>
      <c r="I908" t="n">
        <v>9</v>
      </c>
      <c r="J908" t="inlineStr">
        <is>
          <t>NO</t>
        </is>
      </c>
      <c r="K908" t="inlineStr">
        <is>
          <t>2026-02-23 23:48</t>
        </is>
      </c>
      <c r="L908" t="inlineStr">
        <is>
          <t>CHECK_VENDOR</t>
        </is>
      </c>
      <c r="M908" t="inlineStr">
        <is>
          <t>See CVE details</t>
        </is>
      </c>
      <c r="N908" t="inlineStr">
        <is>
          <t>P4</t>
        </is>
      </c>
      <c r="O908" t="inlineStr">
        <is>
          <t>CVE - IP enrichment n/a</t>
        </is>
      </c>
      <c r="P908" t="n">
        <v>0</v>
      </c>
      <c r="Q908" t="n">
        <v>0</v>
      </c>
      <c r="R908" t="inlineStr">
        <is>
          <t>T1190:Exploit Public-Facing Application</t>
        </is>
      </c>
      <c r="S908" t="n">
        <v>1</v>
      </c>
      <c r="T908" t="inlineStr">
        <is>
          <t>LOW (40%)</t>
        </is>
      </c>
      <c r="U908" t="inlineStr">
        <is>
          <t>UNLIKELY</t>
        </is>
      </c>
      <c r="V908" t="inlineStr">
        <is>
          <t>CHECK_VENDOR</t>
        </is>
      </c>
      <c r="W908" t="inlineStr">
        <is>
          <t>https://nvd.nist.gov/vuln/detail/CVE-2025-69298</t>
        </is>
      </c>
      <c r="X908" t="inlineStr">
        <is>
          <t>NONE</t>
        </is>
      </c>
      <c r="Y908" t="n">
        <v>0</v>
      </c>
      <c r="Z908" t="inlineStr"/>
      <c r="AA908" t="inlineStr">
        <is>
          <t>https://nvd.nist.gov/vuln/detail/CVE-2025-69298</t>
        </is>
      </c>
    </row>
    <row r="909">
      <c r="A909" t="inlineStr">
        <is>
          <t>CVE</t>
        </is>
      </c>
      <c r="B909" t="inlineStr">
        <is>
          <t>CVE-2025-69299</t>
        </is>
      </c>
      <c r="C909" t="inlineStr">
        <is>
          <t>Server-Side Request Forgery (SSRF) vulnerability in Laborator Oxygen oxygen allows Server Side Request Forgery.This issue affects Oxygen: from n/a through &lt;= 6.0.8.</t>
        </is>
      </c>
      <c r="D909" t="n">
        <v>5</v>
      </c>
      <c r="E909" t="inlineStr">
        <is>
          <t>MEDIUM</t>
        </is>
      </c>
      <c r="F909" t="n">
        <v>2</v>
      </c>
      <c r="G909" t="n">
        <v>2</v>
      </c>
      <c r="H909" t="inlineStr">
        <is>
          <t>MEDIUM</t>
        </is>
      </c>
      <c r="I909" t="n">
        <v>9</v>
      </c>
      <c r="J909" t="inlineStr">
        <is>
          <t>NO</t>
        </is>
      </c>
      <c r="K909" t="inlineStr">
        <is>
          <t>2026-02-23 23:48</t>
        </is>
      </c>
      <c r="L909" t="inlineStr">
        <is>
          <t>CHECK_VENDOR</t>
        </is>
      </c>
      <c r="M909" t="inlineStr">
        <is>
          <t>See CVE details</t>
        </is>
      </c>
      <c r="N909" t="inlineStr">
        <is>
          <t>P4</t>
        </is>
      </c>
      <c r="O909" t="inlineStr">
        <is>
          <t>CVE - IP enrichment n/a</t>
        </is>
      </c>
      <c r="P909" t="n">
        <v>0</v>
      </c>
      <c r="Q909" t="n">
        <v>0</v>
      </c>
      <c r="R909" t="inlineStr">
        <is>
          <t>T1090:Proxy</t>
        </is>
      </c>
      <c r="S909" t="n">
        <v>1</v>
      </c>
      <c r="T909" t="inlineStr">
        <is>
          <t>LOW (40%)</t>
        </is>
      </c>
      <c r="U909" t="inlineStr">
        <is>
          <t>UNLIKELY</t>
        </is>
      </c>
      <c r="V909" t="inlineStr">
        <is>
          <t>CHECK_VENDOR</t>
        </is>
      </c>
      <c r="W909" t="inlineStr">
        <is>
          <t>https://nvd.nist.gov/vuln/detail/CVE-2025-69299</t>
        </is>
      </c>
      <c r="X909" t="inlineStr">
        <is>
          <t>NONE</t>
        </is>
      </c>
      <c r="Y909" t="n">
        <v>0</v>
      </c>
      <c r="Z909" t="inlineStr"/>
      <c r="AA909" t="inlineStr">
        <is>
          <t>https://nvd.nist.gov/vuln/detail/CVE-2025-69299</t>
        </is>
      </c>
    </row>
    <row r="910">
      <c r="A910" t="inlineStr">
        <is>
          <t>CVE</t>
        </is>
      </c>
      <c r="B910" t="inlineStr">
        <is>
          <t>CVE-2025-69301</t>
        </is>
      </c>
      <c r="C910" t="inlineStr">
        <is>
          <t>Deserialization of Untrusted Data vulnerability in ThemeGoods PhotoMe photome allows Object Injection.This issue affects PhotoMe: from n/a through &lt;= 5.6.11.</t>
        </is>
      </c>
      <c r="D910" t="n">
        <v>5</v>
      </c>
      <c r="E910" t="inlineStr">
        <is>
          <t>MEDIUM</t>
        </is>
      </c>
      <c r="F910" t="n">
        <v>2</v>
      </c>
      <c r="G910" t="n">
        <v>2</v>
      </c>
      <c r="H910" t="inlineStr">
        <is>
          <t>MEDIUM</t>
        </is>
      </c>
      <c r="I910" t="n">
        <v>9</v>
      </c>
      <c r="J910" t="inlineStr">
        <is>
          <t>NO</t>
        </is>
      </c>
      <c r="K910" t="inlineStr">
        <is>
          <t>2026-02-23 23:48</t>
        </is>
      </c>
      <c r="L910" t="inlineStr">
        <is>
          <t>CHECK_VENDOR</t>
        </is>
      </c>
      <c r="M910" t="inlineStr">
        <is>
          <t>See CVE details</t>
        </is>
      </c>
      <c r="N910" t="inlineStr">
        <is>
          <t>P4</t>
        </is>
      </c>
      <c r="O910" t="inlineStr">
        <is>
          <t>CVE - IP enrichment n/a</t>
        </is>
      </c>
      <c r="P910" t="n">
        <v>0</v>
      </c>
      <c r="Q910" t="n">
        <v>0</v>
      </c>
      <c r="R910" t="inlineStr">
        <is>
          <t>T1059:Command and Scripting Interpreter</t>
        </is>
      </c>
      <c r="S910" t="n">
        <v>1</v>
      </c>
      <c r="T910" t="inlineStr">
        <is>
          <t>LOW (40%)</t>
        </is>
      </c>
      <c r="U910" t="inlineStr">
        <is>
          <t>UNLIKELY</t>
        </is>
      </c>
      <c r="V910" t="inlineStr">
        <is>
          <t>CHECK_VENDOR</t>
        </is>
      </c>
      <c r="W910" t="inlineStr">
        <is>
          <t>https://nvd.nist.gov/vuln/detail/CVE-2025-69301</t>
        </is>
      </c>
      <c r="X910" t="inlineStr">
        <is>
          <t>NONE</t>
        </is>
      </c>
      <c r="Y910" t="n">
        <v>0</v>
      </c>
      <c r="Z910" t="inlineStr"/>
      <c r="AA910" t="inlineStr">
        <is>
          <t>https://nvd.nist.gov/vuln/detail/CVE-2025-69301</t>
        </is>
      </c>
    </row>
    <row r="911">
      <c r="A911" t="inlineStr">
        <is>
          <t>CVE</t>
        </is>
      </c>
      <c r="B911" t="inlineStr">
        <is>
          <t>CVE-2025-69302</t>
        </is>
      </c>
      <c r="C911" t="inlineStr">
        <is>
          <t>Improper Neutralization of Input During Web Page Generation ('Cross-site Scripting') vulnerability in designthemes DesignThemes Core Features designthemes-core-features allows Reflected XSS.This issue affects DesignThemes Core Features: from n/a through &lt;= 2.3.</t>
        </is>
      </c>
      <c r="D911" t="n">
        <v>5</v>
      </c>
      <c r="E911" t="inlineStr">
        <is>
          <t>MEDIUM</t>
        </is>
      </c>
      <c r="F911" t="n">
        <v>2</v>
      </c>
      <c r="G911" t="n">
        <v>2</v>
      </c>
      <c r="H911" t="inlineStr">
        <is>
          <t>MEDIUM</t>
        </is>
      </c>
      <c r="I911" t="n">
        <v>9</v>
      </c>
      <c r="J911" t="inlineStr">
        <is>
          <t>NO</t>
        </is>
      </c>
      <c r="K911" t="inlineStr">
        <is>
          <t>2026-02-23 23:48</t>
        </is>
      </c>
      <c r="L911" t="inlineStr">
        <is>
          <t>CHECK_VENDOR</t>
        </is>
      </c>
      <c r="M911" t="inlineStr">
        <is>
          <t>See CVE details</t>
        </is>
      </c>
      <c r="N911" t="inlineStr">
        <is>
          <t>P4</t>
        </is>
      </c>
      <c r="O911" t="inlineStr">
        <is>
          <t>CVE - IP enrichment n/a</t>
        </is>
      </c>
      <c r="P911" t="n">
        <v>0</v>
      </c>
      <c r="Q911" t="n">
        <v>0</v>
      </c>
      <c r="R911" t="inlineStr">
        <is>
          <t>T1189:Drive-by Compromise</t>
        </is>
      </c>
      <c r="S911" t="n">
        <v>1</v>
      </c>
      <c r="T911" t="inlineStr">
        <is>
          <t>LOW (40%)</t>
        </is>
      </c>
      <c r="U911" t="inlineStr">
        <is>
          <t>UNLIKELY</t>
        </is>
      </c>
      <c r="V911" t="inlineStr">
        <is>
          <t>CHECK_VENDOR</t>
        </is>
      </c>
      <c r="W911" t="inlineStr">
        <is>
          <t>https://nvd.nist.gov/vuln/detail/CVE-2025-69302</t>
        </is>
      </c>
      <c r="X911" t="inlineStr">
        <is>
          <t>NONE</t>
        </is>
      </c>
      <c r="Y911" t="n">
        <v>0</v>
      </c>
      <c r="Z911" t="inlineStr"/>
      <c r="AA911" t="inlineStr">
        <is>
          <t>https://nvd.nist.gov/vuln/detail/CVE-2025-69302</t>
        </is>
      </c>
    </row>
    <row r="912">
      <c r="A912" t="inlineStr">
        <is>
          <t>CVE</t>
        </is>
      </c>
      <c r="B912" t="inlineStr">
        <is>
          <t>CVE-2025-69303</t>
        </is>
      </c>
      <c r="C912" t="inlineStr">
        <is>
          <t>Missing Authorization vulnerability in modeltheme ModelTheme Framework modeltheme-framework allows Exploiting Incorrectly Configured Access Control Security Levels.This issue affects ModelTheme Framework: from n/a through &lt;= 1.9.2.</t>
        </is>
      </c>
      <c r="D912" t="n">
        <v>5</v>
      </c>
      <c r="E912" t="inlineStr">
        <is>
          <t>MEDIUM</t>
        </is>
      </c>
      <c r="F912" t="n">
        <v>2</v>
      </c>
      <c r="G912" t="n">
        <v>2</v>
      </c>
      <c r="H912" t="inlineStr">
        <is>
          <t>MEDIUM</t>
        </is>
      </c>
      <c r="I912" t="n">
        <v>9</v>
      </c>
      <c r="J912" t="inlineStr">
        <is>
          <t>NO</t>
        </is>
      </c>
      <c r="K912" t="inlineStr">
        <is>
          <t>2026-02-23 23:48</t>
        </is>
      </c>
      <c r="L912" t="inlineStr">
        <is>
          <t>CHECK_VENDOR</t>
        </is>
      </c>
      <c r="M912" t="inlineStr">
        <is>
          <t>See CVE details</t>
        </is>
      </c>
      <c r="N912" t="inlineStr">
        <is>
          <t>P4</t>
        </is>
      </c>
      <c r="O912" t="inlineStr">
        <is>
          <t>CVE - IP enrichment n/a</t>
        </is>
      </c>
      <c r="P912" t="n">
        <v>0</v>
      </c>
      <c r="Q912" t="n">
        <v>0</v>
      </c>
      <c r="R912" t="inlineStr">
        <is>
          <t>T1190:Exploit Public-Facing Application</t>
        </is>
      </c>
      <c r="S912" t="n">
        <v>1</v>
      </c>
      <c r="T912" t="inlineStr">
        <is>
          <t>LOW (40%)</t>
        </is>
      </c>
      <c r="U912" t="inlineStr">
        <is>
          <t>UNLIKELY</t>
        </is>
      </c>
      <c r="V912" t="inlineStr">
        <is>
          <t>CHECK_VENDOR</t>
        </is>
      </c>
      <c r="W912" t="inlineStr">
        <is>
          <t>https://nvd.nist.gov/vuln/detail/CVE-2025-69303</t>
        </is>
      </c>
      <c r="X912" t="inlineStr">
        <is>
          <t>NONE</t>
        </is>
      </c>
      <c r="Y912" t="n">
        <v>0</v>
      </c>
      <c r="Z912" t="inlineStr"/>
      <c r="AA912" t="inlineStr">
        <is>
          <t>https://nvd.nist.gov/vuln/detail/CVE-2025-69303</t>
        </is>
      </c>
    </row>
    <row r="913">
      <c r="A913" t="inlineStr">
        <is>
          <t>CVE</t>
        </is>
      </c>
      <c r="B913" t="inlineStr">
        <is>
          <t>CVE-2025-69304</t>
        </is>
      </c>
      <c r="C913" t="inlineStr">
        <is>
          <t>Improper Neutralization of Special Elements used in an SQL Command ('SQL Injection') vulnerability in TeconceTheme Allmart allmart-core allows Blind SQL Injection.This issue affects Allmart: from n/a through &lt;= 1.1.</t>
        </is>
      </c>
      <c r="D913" t="n">
        <v>5</v>
      </c>
      <c r="E913" t="inlineStr">
        <is>
          <t>MEDIUM</t>
        </is>
      </c>
      <c r="F913" t="n">
        <v>2</v>
      </c>
      <c r="G913" t="n">
        <v>2</v>
      </c>
      <c r="H913" t="inlineStr">
        <is>
          <t>MEDIUM</t>
        </is>
      </c>
      <c r="I913" t="n">
        <v>9</v>
      </c>
      <c r="J913" t="inlineStr">
        <is>
          <t>NO</t>
        </is>
      </c>
      <c r="K913" t="inlineStr">
        <is>
          <t>2026-02-23 23:48</t>
        </is>
      </c>
      <c r="L913" t="inlineStr">
        <is>
          <t>CHECK_VENDOR</t>
        </is>
      </c>
      <c r="M913" t="inlineStr">
        <is>
          <t>See CVE details</t>
        </is>
      </c>
      <c r="N913" t="inlineStr">
        <is>
          <t>P4</t>
        </is>
      </c>
      <c r="O913" t="inlineStr">
        <is>
          <t>CVE - IP enrichment n/a</t>
        </is>
      </c>
      <c r="P913" t="n">
        <v>0.0002</v>
      </c>
      <c r="Q913" t="n">
        <v>0.0536</v>
      </c>
      <c r="R913" t="inlineStr">
        <is>
          <t>T1190:Exploit Public-Facing Application</t>
        </is>
      </c>
      <c r="S913" t="n">
        <v>1</v>
      </c>
      <c r="T913" t="inlineStr">
        <is>
          <t>LOW (40%)</t>
        </is>
      </c>
      <c r="U913" t="inlineStr">
        <is>
          <t>UNLIKELY</t>
        </is>
      </c>
      <c r="V913" t="inlineStr">
        <is>
          <t>CHECK_VENDOR</t>
        </is>
      </c>
      <c r="W913" t="inlineStr">
        <is>
          <t>https://nvd.nist.gov/vuln/detail/CVE-2025-69304</t>
        </is>
      </c>
      <c r="X913" t="inlineStr">
        <is>
          <t>NONE</t>
        </is>
      </c>
      <c r="Y913" t="n">
        <v>0</v>
      </c>
      <c r="Z913" t="inlineStr"/>
      <c r="AA913" t="inlineStr">
        <is>
          <t>https://nvd.nist.gov/vuln/detail/CVE-2025-69304</t>
        </is>
      </c>
    </row>
    <row r="914">
      <c r="A914" t="inlineStr">
        <is>
          <t>CVE</t>
        </is>
      </c>
      <c r="B914" t="inlineStr">
        <is>
          <t>CVE-2025-69305</t>
        </is>
      </c>
      <c r="C914" t="inlineStr">
        <is>
          <t>Improper Neutralization of Special Elements used in an SQL Command ('SQL Injection') vulnerability in TeconceTheme Crete Core crete-core allows Blind SQL Injection.This issue affects Crete Core: from n/a through &lt;= 1.4.3.</t>
        </is>
      </c>
      <c r="D914" t="n">
        <v>5</v>
      </c>
      <c r="E914" t="inlineStr">
        <is>
          <t>MEDIUM</t>
        </is>
      </c>
      <c r="F914" t="n">
        <v>2</v>
      </c>
      <c r="G914" t="n">
        <v>2</v>
      </c>
      <c r="H914" t="inlineStr">
        <is>
          <t>MEDIUM</t>
        </is>
      </c>
      <c r="I914" t="n">
        <v>9</v>
      </c>
      <c r="J914" t="inlineStr">
        <is>
          <t>NO</t>
        </is>
      </c>
      <c r="K914" t="inlineStr">
        <is>
          <t>2026-02-23 23:48</t>
        </is>
      </c>
      <c r="L914" t="inlineStr">
        <is>
          <t>CHECK_VENDOR</t>
        </is>
      </c>
      <c r="M914" t="inlineStr">
        <is>
          <t>See CVE details</t>
        </is>
      </c>
      <c r="N914" t="inlineStr">
        <is>
          <t>P4</t>
        </is>
      </c>
      <c r="O914" t="inlineStr">
        <is>
          <t>CVE - IP enrichment n/a</t>
        </is>
      </c>
      <c r="P914" t="n">
        <v>0.0002</v>
      </c>
      <c r="Q914" t="n">
        <v>0.0536</v>
      </c>
      <c r="R914" t="inlineStr">
        <is>
          <t>T1190:Exploit Public-Facing Application</t>
        </is>
      </c>
      <c r="S914" t="n">
        <v>1</v>
      </c>
      <c r="T914" t="inlineStr">
        <is>
          <t>LOW (40%)</t>
        </is>
      </c>
      <c r="U914" t="inlineStr">
        <is>
          <t>UNLIKELY</t>
        </is>
      </c>
      <c r="V914" t="inlineStr">
        <is>
          <t>CHECK_VENDOR</t>
        </is>
      </c>
      <c r="W914" t="inlineStr">
        <is>
          <t>https://nvd.nist.gov/vuln/detail/CVE-2025-69305</t>
        </is>
      </c>
      <c r="X914" t="inlineStr">
        <is>
          <t>NONE</t>
        </is>
      </c>
      <c r="Y914" t="n">
        <v>0</v>
      </c>
      <c r="Z914" t="inlineStr"/>
      <c r="AA914" t="inlineStr">
        <is>
          <t>https://nvd.nist.gov/vuln/detail/CVE-2025-69305</t>
        </is>
      </c>
    </row>
    <row r="915">
      <c r="A915" t="inlineStr">
        <is>
          <t>CVE</t>
        </is>
      </c>
      <c r="B915" t="inlineStr">
        <is>
          <t>CVE-2025-69306</t>
        </is>
      </c>
      <c r="C915" t="inlineStr">
        <is>
          <t>Improper Neutralization of Special Elements used in an SQL Command ('SQL Injection') vulnerability in TeconceTheme Electio Core electio-core allows Blind SQL Injection.This issue affects Electio Core: from n/a through &lt;= 1.4.</t>
        </is>
      </c>
      <c r="D915" t="n">
        <v>5</v>
      </c>
      <c r="E915" t="inlineStr">
        <is>
          <t>MEDIUM</t>
        </is>
      </c>
      <c r="F915" t="n">
        <v>2</v>
      </c>
      <c r="G915" t="n">
        <v>2</v>
      </c>
      <c r="H915" t="inlineStr">
        <is>
          <t>MEDIUM</t>
        </is>
      </c>
      <c r="I915" t="n">
        <v>9</v>
      </c>
      <c r="J915" t="inlineStr">
        <is>
          <t>NO</t>
        </is>
      </c>
      <c r="K915" t="inlineStr">
        <is>
          <t>2026-02-23 23:48</t>
        </is>
      </c>
      <c r="L915" t="inlineStr">
        <is>
          <t>CHECK_VENDOR</t>
        </is>
      </c>
      <c r="M915" t="inlineStr">
        <is>
          <t>See CVE details</t>
        </is>
      </c>
      <c r="N915" t="inlineStr">
        <is>
          <t>P4</t>
        </is>
      </c>
      <c r="O915" t="inlineStr">
        <is>
          <t>CVE - IP enrichment n/a</t>
        </is>
      </c>
      <c r="P915" t="n">
        <v>0.0002</v>
      </c>
      <c r="Q915" t="n">
        <v>0.0536</v>
      </c>
      <c r="R915" t="inlineStr">
        <is>
          <t>T1190:Exploit Public-Facing Application</t>
        </is>
      </c>
      <c r="S915" t="n">
        <v>1</v>
      </c>
      <c r="T915" t="inlineStr">
        <is>
          <t>LOW (40%)</t>
        </is>
      </c>
      <c r="U915" t="inlineStr">
        <is>
          <t>UNLIKELY</t>
        </is>
      </c>
      <c r="V915" t="inlineStr">
        <is>
          <t>CHECK_VENDOR</t>
        </is>
      </c>
      <c r="W915" t="inlineStr">
        <is>
          <t>https://nvd.nist.gov/vuln/detail/CVE-2025-69306</t>
        </is>
      </c>
      <c r="X915" t="inlineStr">
        <is>
          <t>NONE</t>
        </is>
      </c>
      <c r="Y915" t="n">
        <v>0</v>
      </c>
      <c r="Z915" t="inlineStr"/>
      <c r="AA915" t="inlineStr">
        <is>
          <t>https://nvd.nist.gov/vuln/detail/CVE-2025-69306</t>
        </is>
      </c>
    </row>
    <row r="916">
      <c r="A916" t="inlineStr">
        <is>
          <t>CVE</t>
        </is>
      </c>
      <c r="B916" t="inlineStr">
        <is>
          <t>CVE-2025-69307</t>
        </is>
      </c>
      <c r="C916" t="inlineStr">
        <is>
          <t>Improper Neutralization of Special Elements used in an SQL Command ('SQL Injection') vulnerability in TeconceTheme Medinik Core medinik-core allows Blind SQL Injection.This issue affects Medinik Core: from n/a through &lt;= 1.3.6.</t>
        </is>
      </c>
      <c r="D916" t="n">
        <v>5</v>
      </c>
      <c r="E916" t="inlineStr">
        <is>
          <t>MEDIUM</t>
        </is>
      </c>
      <c r="F916" t="n">
        <v>2</v>
      </c>
      <c r="G916" t="n">
        <v>2</v>
      </c>
      <c r="H916" t="inlineStr">
        <is>
          <t>MEDIUM</t>
        </is>
      </c>
      <c r="I916" t="n">
        <v>9</v>
      </c>
      <c r="J916" t="inlineStr">
        <is>
          <t>NO</t>
        </is>
      </c>
      <c r="K916" t="inlineStr">
        <is>
          <t>2026-02-23 23:48</t>
        </is>
      </c>
      <c r="L916" t="inlineStr">
        <is>
          <t>CHECK_VENDOR</t>
        </is>
      </c>
      <c r="M916" t="inlineStr">
        <is>
          <t>See CVE details</t>
        </is>
      </c>
      <c r="N916" t="inlineStr">
        <is>
          <t>P4</t>
        </is>
      </c>
      <c r="O916" t="inlineStr">
        <is>
          <t>CVE - IP enrichment n/a</t>
        </is>
      </c>
      <c r="P916" t="n">
        <v>0</v>
      </c>
      <c r="Q916" t="n">
        <v>0</v>
      </c>
      <c r="R916" t="inlineStr">
        <is>
          <t>T1190:Exploit Public-Facing Application</t>
        </is>
      </c>
      <c r="S916" t="n">
        <v>1</v>
      </c>
      <c r="T916" t="inlineStr">
        <is>
          <t>LOW (40%)</t>
        </is>
      </c>
      <c r="U916" t="inlineStr">
        <is>
          <t>UNLIKELY</t>
        </is>
      </c>
      <c r="V916" t="inlineStr">
        <is>
          <t>CHECK_VENDOR</t>
        </is>
      </c>
      <c r="W916" t="inlineStr">
        <is>
          <t>https://nvd.nist.gov/vuln/detail/CVE-2025-69307</t>
        </is>
      </c>
      <c r="X916" t="inlineStr">
        <is>
          <t>NONE</t>
        </is>
      </c>
      <c r="Y916" t="n">
        <v>0</v>
      </c>
      <c r="Z916" t="inlineStr"/>
      <c r="AA916" t="inlineStr">
        <is>
          <t>https://nvd.nist.gov/vuln/detail/CVE-2025-69307</t>
        </is>
      </c>
    </row>
    <row r="917">
      <c r="A917" t="inlineStr">
        <is>
          <t>CVE</t>
        </is>
      </c>
      <c r="B917" t="inlineStr">
        <is>
          <t>CVE-2025-69308</t>
        </is>
      </c>
      <c r="C917" t="inlineStr">
        <is>
          <t>Improper Neutralization of Special Elements used in an SQL Command ('SQL Injection') vulnerability in TeconceTheme Nestbyte Core nestbyte-core allows Blind SQL Injection.This issue affects Nestbyte Core: from n/a through &lt;= 1.2.</t>
        </is>
      </c>
      <c r="D917" t="n">
        <v>5</v>
      </c>
      <c r="E917" t="inlineStr">
        <is>
          <t>MEDIUM</t>
        </is>
      </c>
      <c r="F917" t="n">
        <v>2</v>
      </c>
      <c r="G917" t="n">
        <v>2</v>
      </c>
      <c r="H917" t="inlineStr">
        <is>
          <t>MEDIUM</t>
        </is>
      </c>
      <c r="I917" t="n">
        <v>9</v>
      </c>
      <c r="J917" t="inlineStr">
        <is>
          <t>NO</t>
        </is>
      </c>
      <c r="K917" t="inlineStr">
        <is>
          <t>2026-02-23 23:48</t>
        </is>
      </c>
      <c r="L917" t="inlineStr">
        <is>
          <t>CHECK_VENDOR</t>
        </is>
      </c>
      <c r="M917" t="inlineStr">
        <is>
          <t>See CVE details</t>
        </is>
      </c>
      <c r="N917" t="inlineStr">
        <is>
          <t>P4</t>
        </is>
      </c>
      <c r="O917" t="inlineStr">
        <is>
          <t>CVE - IP enrichment n/a</t>
        </is>
      </c>
      <c r="P917" t="n">
        <v>0.0002</v>
      </c>
      <c r="Q917" t="n">
        <v>0.0536</v>
      </c>
      <c r="R917" t="inlineStr">
        <is>
          <t>T1190:Exploit Public-Facing Application</t>
        </is>
      </c>
      <c r="S917" t="n">
        <v>1</v>
      </c>
      <c r="T917" t="inlineStr">
        <is>
          <t>LOW (40%)</t>
        </is>
      </c>
      <c r="U917" t="inlineStr">
        <is>
          <t>UNLIKELY</t>
        </is>
      </c>
      <c r="V917" t="inlineStr">
        <is>
          <t>CHECK_VENDOR</t>
        </is>
      </c>
      <c r="W917" t="inlineStr">
        <is>
          <t>https://nvd.nist.gov/vuln/detail/CVE-2025-69308</t>
        </is>
      </c>
      <c r="X917" t="inlineStr">
        <is>
          <t>NONE</t>
        </is>
      </c>
      <c r="Y917" t="n">
        <v>0</v>
      </c>
      <c r="Z917" t="inlineStr"/>
      <c r="AA917" t="inlineStr">
        <is>
          <t>https://nvd.nist.gov/vuln/detail/CVE-2025-69308</t>
        </is>
      </c>
    </row>
    <row r="918">
      <c r="A918" t="inlineStr">
        <is>
          <t>CVE</t>
        </is>
      </c>
      <c r="B918" t="inlineStr">
        <is>
          <t>CVE-2025-69309</t>
        </is>
      </c>
      <c r="C918" t="inlineStr">
        <is>
          <t>Improper Neutralization of Special Elements used in an SQL Command ('SQL Injection') vulnerability in TeconceTheme Saasplate Core saasplate-core allows Blind SQL Injection.This issue affects Saasplate Core: from n/a through &lt;= 1.2.8.</t>
        </is>
      </c>
      <c r="D918" t="n">
        <v>5</v>
      </c>
      <c r="E918" t="inlineStr">
        <is>
          <t>MEDIUM</t>
        </is>
      </c>
      <c r="F918" t="n">
        <v>2</v>
      </c>
      <c r="G918" t="n">
        <v>2</v>
      </c>
      <c r="H918" t="inlineStr">
        <is>
          <t>MEDIUM</t>
        </is>
      </c>
      <c r="I918" t="n">
        <v>9</v>
      </c>
      <c r="J918" t="inlineStr">
        <is>
          <t>NO</t>
        </is>
      </c>
      <c r="K918" t="inlineStr">
        <is>
          <t>2026-02-23 23:48</t>
        </is>
      </c>
      <c r="L918" t="inlineStr">
        <is>
          <t>CHECK_VENDOR</t>
        </is>
      </c>
      <c r="M918" t="inlineStr">
        <is>
          <t>See CVE details</t>
        </is>
      </c>
      <c r="N918" t="inlineStr">
        <is>
          <t>P4</t>
        </is>
      </c>
      <c r="O918" t="inlineStr">
        <is>
          <t>CVE - IP enrichment n/a</t>
        </is>
      </c>
      <c r="P918" t="n">
        <v>0</v>
      </c>
      <c r="Q918" t="n">
        <v>0</v>
      </c>
      <c r="R918" t="inlineStr">
        <is>
          <t>T1190:Exploit Public-Facing Application</t>
        </is>
      </c>
      <c r="S918" t="n">
        <v>1</v>
      </c>
      <c r="T918" t="inlineStr">
        <is>
          <t>LOW (40%)</t>
        </is>
      </c>
      <c r="U918" t="inlineStr">
        <is>
          <t>UNLIKELY</t>
        </is>
      </c>
      <c r="V918" t="inlineStr">
        <is>
          <t>CHECK_VENDOR</t>
        </is>
      </c>
      <c r="W918" t="inlineStr">
        <is>
          <t>https://nvd.nist.gov/vuln/detail/CVE-2025-69309</t>
        </is>
      </c>
      <c r="X918" t="inlineStr">
        <is>
          <t>NONE</t>
        </is>
      </c>
      <c r="Y918" t="n">
        <v>0</v>
      </c>
      <c r="Z918" t="inlineStr"/>
      <c r="AA918" t="inlineStr">
        <is>
          <t>https://nvd.nist.gov/vuln/detail/CVE-2025-69309</t>
        </is>
      </c>
    </row>
    <row r="919">
      <c r="A919" t="inlineStr">
        <is>
          <t>CVE</t>
        </is>
      </c>
      <c r="B919" t="inlineStr">
        <is>
          <t>CVE-2025-69310</t>
        </is>
      </c>
      <c r="C919" t="inlineStr">
        <is>
          <t>Improper Neutralization of Special Elements used in an SQL Command ('SQL Injection') vulnerability in TeconceTheme Woodly Core woodly-core allows Blind SQL Injection.This issue affects Woodly Core: from n/a through &lt;= 1.4.</t>
        </is>
      </c>
      <c r="D919" t="n">
        <v>5</v>
      </c>
      <c r="E919" t="inlineStr">
        <is>
          <t>MEDIUM</t>
        </is>
      </c>
      <c r="F919" t="n">
        <v>2</v>
      </c>
      <c r="G919" t="n">
        <v>2</v>
      </c>
      <c r="H919" t="inlineStr">
        <is>
          <t>MEDIUM</t>
        </is>
      </c>
      <c r="I919" t="n">
        <v>9</v>
      </c>
      <c r="J919" t="inlineStr">
        <is>
          <t>NO</t>
        </is>
      </c>
      <c r="K919" t="inlineStr">
        <is>
          <t>2026-02-23 23:48</t>
        </is>
      </c>
      <c r="L919" t="inlineStr">
        <is>
          <t>CHECK_VENDOR</t>
        </is>
      </c>
      <c r="M919" t="inlineStr">
        <is>
          <t>See CVE details</t>
        </is>
      </c>
      <c r="N919" t="inlineStr">
        <is>
          <t>P4</t>
        </is>
      </c>
      <c r="O919" t="inlineStr">
        <is>
          <t>CVE - IP enrichment n/a</t>
        </is>
      </c>
      <c r="P919" t="n">
        <v>0</v>
      </c>
      <c r="Q919" t="n">
        <v>0</v>
      </c>
      <c r="R919" t="inlineStr">
        <is>
          <t>T1190:Exploit Public-Facing Application</t>
        </is>
      </c>
      <c r="S919" t="n">
        <v>1</v>
      </c>
      <c r="T919" t="inlineStr">
        <is>
          <t>LOW (40%)</t>
        </is>
      </c>
      <c r="U919" t="inlineStr">
        <is>
          <t>UNLIKELY</t>
        </is>
      </c>
      <c r="V919" t="inlineStr">
        <is>
          <t>CHECK_VENDOR</t>
        </is>
      </c>
      <c r="W919" t="inlineStr">
        <is>
          <t>https://nvd.nist.gov/vuln/detail/CVE-2025-69310</t>
        </is>
      </c>
      <c r="X919" t="inlineStr">
        <is>
          <t>NONE</t>
        </is>
      </c>
      <c r="Y919" t="n">
        <v>0</v>
      </c>
      <c r="Z919" t="inlineStr"/>
      <c r="AA919" t="inlineStr">
        <is>
          <t>https://nvd.nist.gov/vuln/detail/CVE-2025-69310</t>
        </is>
      </c>
    </row>
    <row r="920">
      <c r="A920" t="inlineStr">
        <is>
          <t>CVE</t>
        </is>
      </c>
      <c r="B920" t="inlineStr">
        <is>
          <t>CVE-2025-69322</t>
        </is>
      </c>
      <c r="C920" t="inlineStr">
        <is>
          <t>Improper Control of Filename for Include/Require Statement in PHP Program ('PHP Remote File Inclusion') vulnerability in fuelthemes PeakShops peakshops allows PHP Local File Inclusion.This issue affects PeakShops: from n/a through &lt; 1.5.9.</t>
        </is>
      </c>
      <c r="D920" t="n">
        <v>5</v>
      </c>
      <c r="E920" t="inlineStr">
        <is>
          <t>MEDIUM</t>
        </is>
      </c>
      <c r="F920" t="n">
        <v>2</v>
      </c>
      <c r="G920" t="n">
        <v>2</v>
      </c>
      <c r="H920" t="inlineStr">
        <is>
          <t>MEDIUM</t>
        </is>
      </c>
      <c r="I920" t="n">
        <v>9</v>
      </c>
      <c r="J920" t="inlineStr">
        <is>
          <t>NO</t>
        </is>
      </c>
      <c r="K920" t="inlineStr">
        <is>
          <t>2026-02-23 23:48</t>
        </is>
      </c>
      <c r="L920" t="inlineStr">
        <is>
          <t>CHECK_VENDOR</t>
        </is>
      </c>
      <c r="M920" t="inlineStr">
        <is>
          <t>See CVE details</t>
        </is>
      </c>
      <c r="N920" t="inlineStr">
        <is>
          <t>P4</t>
        </is>
      </c>
      <c r="O920" t="inlineStr">
        <is>
          <t>CVE - IP enrichment n/a</t>
        </is>
      </c>
      <c r="P920" t="n">
        <v>0</v>
      </c>
      <c r="Q920" t="n">
        <v>0</v>
      </c>
      <c r="R920" t="inlineStr">
        <is>
          <t>T1190:Exploit Public-Facing Application</t>
        </is>
      </c>
      <c r="S920" t="n">
        <v>1</v>
      </c>
      <c r="T920" t="inlineStr">
        <is>
          <t>LOW (40%)</t>
        </is>
      </c>
      <c r="U920" t="inlineStr">
        <is>
          <t>UNLIKELY</t>
        </is>
      </c>
      <c r="V920" t="inlineStr">
        <is>
          <t>CHECK_VENDOR</t>
        </is>
      </c>
      <c r="W920" t="inlineStr">
        <is>
          <t>https://nvd.nist.gov/vuln/detail/CVE-2025-69322</t>
        </is>
      </c>
      <c r="X920" t="inlineStr">
        <is>
          <t>NONE</t>
        </is>
      </c>
      <c r="Y920" t="n">
        <v>0</v>
      </c>
      <c r="Z920" t="inlineStr"/>
      <c r="AA920" t="inlineStr">
        <is>
          <t>https://nvd.nist.gov/vuln/detail/CVE-2025-69322</t>
        </is>
      </c>
    </row>
    <row r="921">
      <c r="A921" t="inlineStr">
        <is>
          <t>CVE</t>
        </is>
      </c>
      <c r="B921" t="inlineStr">
        <is>
          <t>CVE-2025-69323</t>
        </is>
      </c>
      <c r="C921" t="inlineStr">
        <is>
          <t>Improper Neutralization of Input During Web Page Generation ('Cross-site Scripting') vulnerability in VeronaLabs Slimstat Analytics wp-slimstat allows Reflected XSS.This issue affects Slimstat Analytics: from n/a through &lt;= 5.3.2.</t>
        </is>
      </c>
      <c r="D921" t="n">
        <v>5</v>
      </c>
      <c r="E921" t="inlineStr">
        <is>
          <t>MEDIUM</t>
        </is>
      </c>
      <c r="F921" t="n">
        <v>2</v>
      </c>
      <c r="G921" t="n">
        <v>2</v>
      </c>
      <c r="H921" t="inlineStr">
        <is>
          <t>MEDIUM</t>
        </is>
      </c>
      <c r="I921" t="n">
        <v>9</v>
      </c>
      <c r="J921" t="inlineStr">
        <is>
          <t>NO</t>
        </is>
      </c>
      <c r="K921" t="inlineStr">
        <is>
          <t>2026-02-23 23:48</t>
        </is>
      </c>
      <c r="L921" t="inlineStr">
        <is>
          <t>CHECK_VENDOR</t>
        </is>
      </c>
      <c r="M921" t="inlineStr">
        <is>
          <t>See CVE details</t>
        </is>
      </c>
      <c r="N921" t="inlineStr">
        <is>
          <t>P4</t>
        </is>
      </c>
      <c r="O921" t="inlineStr">
        <is>
          <t>CVE - IP enrichment n/a</t>
        </is>
      </c>
      <c r="P921" t="n">
        <v>0</v>
      </c>
      <c r="Q921" t="n">
        <v>0</v>
      </c>
      <c r="R921" t="inlineStr">
        <is>
          <t>T1189:Drive-by Compromise</t>
        </is>
      </c>
      <c r="S921" t="n">
        <v>1</v>
      </c>
      <c r="T921" t="inlineStr">
        <is>
          <t>LOW (40%)</t>
        </is>
      </c>
      <c r="U921" t="inlineStr">
        <is>
          <t>UNLIKELY</t>
        </is>
      </c>
      <c r="V921" t="inlineStr">
        <is>
          <t>CHECK_VENDOR</t>
        </is>
      </c>
      <c r="W921" t="inlineStr">
        <is>
          <t>https://nvd.nist.gov/vuln/detail/CVE-2025-69323</t>
        </is>
      </c>
      <c r="X921" t="inlineStr">
        <is>
          <t>NONE</t>
        </is>
      </c>
      <c r="Y921" t="n">
        <v>0</v>
      </c>
      <c r="Z921" t="inlineStr"/>
      <c r="AA921" t="inlineStr">
        <is>
          <t>https://nvd.nist.gov/vuln/detail/CVE-2025-69323</t>
        </is>
      </c>
    </row>
    <row r="922">
      <c r="A922" t="inlineStr">
        <is>
          <t>CVE</t>
        </is>
      </c>
      <c r="B922" t="inlineStr">
        <is>
          <t>CVE-2025-69324</t>
        </is>
      </c>
      <c r="C922" t="inlineStr">
        <is>
          <t>Improper Neutralization of Input During Web Page Generation ('Cross-site Scripting') vulnerability in Basix NEX-Forms nex-forms-express-wp-form-builder allows Stored XSS.This issue affects NEX-Forms: from n/a through &lt;= 9.1.7.</t>
        </is>
      </c>
      <c r="D922" t="n">
        <v>5</v>
      </c>
      <c r="E922" t="inlineStr">
        <is>
          <t>MEDIUM</t>
        </is>
      </c>
      <c r="F922" t="n">
        <v>2</v>
      </c>
      <c r="G922" t="n">
        <v>2</v>
      </c>
      <c r="H922" t="inlineStr">
        <is>
          <t>MEDIUM</t>
        </is>
      </c>
      <c r="I922" t="n">
        <v>9</v>
      </c>
      <c r="J922" t="inlineStr">
        <is>
          <t>NO</t>
        </is>
      </c>
      <c r="K922" t="inlineStr">
        <is>
          <t>2026-02-23 23:48</t>
        </is>
      </c>
      <c r="L922" t="inlineStr">
        <is>
          <t>CHECK_VENDOR</t>
        </is>
      </c>
      <c r="M922" t="inlineStr">
        <is>
          <t>See CVE details</t>
        </is>
      </c>
      <c r="N922" t="inlineStr">
        <is>
          <t>P4</t>
        </is>
      </c>
      <c r="O922" t="inlineStr">
        <is>
          <t>CVE - IP enrichment n/a</t>
        </is>
      </c>
      <c r="P922" t="n">
        <v>0</v>
      </c>
      <c r="Q922" t="n">
        <v>0</v>
      </c>
      <c r="R922" t="inlineStr">
        <is>
          <t>T1189:Drive-by Compromise</t>
        </is>
      </c>
      <c r="S922" t="n">
        <v>1</v>
      </c>
      <c r="T922" t="inlineStr">
        <is>
          <t>LOW (40%)</t>
        </is>
      </c>
      <c r="U922" t="inlineStr">
        <is>
          <t>UNLIKELY</t>
        </is>
      </c>
      <c r="V922" t="inlineStr">
        <is>
          <t>CHECK_VENDOR</t>
        </is>
      </c>
      <c r="W922" t="inlineStr">
        <is>
          <t>https://nvd.nist.gov/vuln/detail/CVE-2025-69324</t>
        </is>
      </c>
      <c r="X922" t="inlineStr">
        <is>
          <t>NONE</t>
        </is>
      </c>
      <c r="Y922" t="n">
        <v>0</v>
      </c>
      <c r="Z922" t="inlineStr"/>
      <c r="AA922" t="inlineStr">
        <is>
          <t>https://nvd.nist.gov/vuln/detail/CVE-2025-69324</t>
        </is>
      </c>
    </row>
    <row r="923">
      <c r="A923" t="inlineStr">
        <is>
          <t>CVE</t>
        </is>
      </c>
      <c r="B923" t="inlineStr">
        <is>
          <t>CVE-2025-69325</t>
        </is>
      </c>
      <c r="C923" t="inlineStr">
        <is>
          <t>Path Traversal: '.../...//' vulnerability in primersoftware Primer MyData for Woocommerce primer-mydata allows Path Traversal.This issue affects Primer MyData for Woocommerce: from n/a through &lt;= 4.2.8.</t>
        </is>
      </c>
      <c r="D923" t="n">
        <v>8.5</v>
      </c>
      <c r="E923" t="inlineStr">
        <is>
          <t>HIGH</t>
        </is>
      </c>
      <c r="F923" t="n">
        <v>2</v>
      </c>
      <c r="G923" t="n">
        <v>3</v>
      </c>
      <c r="H923" t="inlineStr">
        <is>
          <t>HIGH</t>
        </is>
      </c>
      <c r="I923" t="n">
        <v>14.5</v>
      </c>
      <c r="J923" t="inlineStr">
        <is>
          <t>NO</t>
        </is>
      </c>
      <c r="K923" t="inlineStr">
        <is>
          <t>2026-02-23 23:48</t>
        </is>
      </c>
      <c r="L923" t="inlineStr">
        <is>
          <t>CHECK_VENDOR</t>
        </is>
      </c>
      <c r="M923" t="inlineStr">
        <is>
          <t>See CVE details</t>
        </is>
      </c>
      <c r="N923" t="inlineStr">
        <is>
          <t>P3</t>
        </is>
      </c>
      <c r="O923" t="inlineStr">
        <is>
          <t>CVE - IP enrichment n/a</t>
        </is>
      </c>
      <c r="P923" t="n">
        <v>0</v>
      </c>
      <c r="Q923" t="n">
        <v>0</v>
      </c>
      <c r="R923" t="inlineStr">
        <is>
          <t>T1190:Exploit Public-Facing Application | T1083:File and Directory Discovery</t>
        </is>
      </c>
      <c r="S923" t="n">
        <v>1</v>
      </c>
      <c r="T923" t="inlineStr">
        <is>
          <t>LOW (40%)</t>
        </is>
      </c>
      <c r="U923" t="inlineStr">
        <is>
          <t>UNLIKELY</t>
        </is>
      </c>
      <c r="V923" t="inlineStr">
        <is>
          <t>CHECK_VENDOR</t>
        </is>
      </c>
      <c r="W923" t="inlineStr">
        <is>
          <t>https://nvd.nist.gov/vuln/detail/CVE-2025-69325</t>
        </is>
      </c>
      <c r="X923" t="inlineStr">
        <is>
          <t>NONE</t>
        </is>
      </c>
      <c r="Y923" t="n">
        <v>0</v>
      </c>
      <c r="Z923" t="inlineStr"/>
      <c r="AA923" t="inlineStr">
        <is>
          <t>https://nvd.nist.gov/vuln/detail/CVE-2025-69325</t>
        </is>
      </c>
    </row>
    <row r="924">
      <c r="A924" t="inlineStr">
        <is>
          <t>CVE</t>
        </is>
      </c>
      <c r="B924" t="inlineStr">
        <is>
          <t>CVE-2025-69326</t>
        </is>
      </c>
      <c r="C924" t="inlineStr">
        <is>
          <t>Improper Neutralization of Input During Web Page Generation ('Cross-site Scripting') vulnerability in Basix NEX-Forms nex-forms-express-wp-form-builder allows Reflected XSS.This issue affects NEX-Forms: from n/a through &lt;= 9.1.7.</t>
        </is>
      </c>
      <c r="D924" t="n">
        <v>5</v>
      </c>
      <c r="E924" t="inlineStr">
        <is>
          <t>MEDIUM</t>
        </is>
      </c>
      <c r="F924" t="n">
        <v>2</v>
      </c>
      <c r="G924" t="n">
        <v>2</v>
      </c>
      <c r="H924" t="inlineStr">
        <is>
          <t>MEDIUM</t>
        </is>
      </c>
      <c r="I924" t="n">
        <v>9</v>
      </c>
      <c r="J924" t="inlineStr">
        <is>
          <t>NO</t>
        </is>
      </c>
      <c r="K924" t="inlineStr">
        <is>
          <t>2026-02-23 23:48</t>
        </is>
      </c>
      <c r="L924" t="inlineStr">
        <is>
          <t>CHECK_VENDOR</t>
        </is>
      </c>
      <c r="M924" t="inlineStr">
        <is>
          <t>See CVE details</t>
        </is>
      </c>
      <c r="N924" t="inlineStr">
        <is>
          <t>P4</t>
        </is>
      </c>
      <c r="O924" t="inlineStr">
        <is>
          <t>CVE - IP enrichment n/a</t>
        </is>
      </c>
      <c r="P924" t="n">
        <v>0</v>
      </c>
      <c r="Q924" t="n">
        <v>0</v>
      </c>
      <c r="R924" t="inlineStr">
        <is>
          <t>T1189:Drive-by Compromise</t>
        </is>
      </c>
      <c r="S924" t="n">
        <v>1</v>
      </c>
      <c r="T924" t="inlineStr">
        <is>
          <t>LOW (40%)</t>
        </is>
      </c>
      <c r="U924" t="inlineStr">
        <is>
          <t>UNLIKELY</t>
        </is>
      </c>
      <c r="V924" t="inlineStr">
        <is>
          <t>CHECK_VENDOR</t>
        </is>
      </c>
      <c r="W924" t="inlineStr">
        <is>
          <t>https://nvd.nist.gov/vuln/detail/CVE-2025-69326</t>
        </is>
      </c>
      <c r="X924" t="inlineStr">
        <is>
          <t>NONE</t>
        </is>
      </c>
      <c r="Y924" t="n">
        <v>0</v>
      </c>
      <c r="Z924" t="inlineStr"/>
      <c r="AA924" t="inlineStr">
        <is>
          <t>https://nvd.nist.gov/vuln/detail/CVE-2025-69326</t>
        </is>
      </c>
    </row>
    <row r="925">
      <c r="A925" t="inlineStr">
        <is>
          <t>CVE</t>
        </is>
      </c>
      <c r="B925" t="inlineStr">
        <is>
          <t>CVE-2025-69328</t>
        </is>
      </c>
      <c r="C925" t="inlineStr">
        <is>
          <t>Deserialization of Untrusted Data vulnerability in magepeopleteam Booking and Rental Manager booking-and-rental-manager-for-woocommerce allows Object Injection.This issue affects Booking and Rental Manager: from n/a through &lt;= 2.5.9.</t>
        </is>
      </c>
      <c r="D925" t="n">
        <v>8.5</v>
      </c>
      <c r="E925" t="inlineStr">
        <is>
          <t>HIGH</t>
        </is>
      </c>
      <c r="F925" t="n">
        <v>2</v>
      </c>
      <c r="G925" t="n">
        <v>3</v>
      </c>
      <c r="H925" t="inlineStr">
        <is>
          <t>HIGH</t>
        </is>
      </c>
      <c r="I925" t="n">
        <v>14.5</v>
      </c>
      <c r="J925" t="inlineStr">
        <is>
          <t>NO</t>
        </is>
      </c>
      <c r="K925" t="inlineStr">
        <is>
          <t>2026-02-23 23:48</t>
        </is>
      </c>
      <c r="L925" t="inlineStr">
        <is>
          <t>CHECK_VENDOR</t>
        </is>
      </c>
      <c r="M925" t="inlineStr">
        <is>
          <t>See CVE details</t>
        </is>
      </c>
      <c r="N925" t="inlineStr">
        <is>
          <t>P3</t>
        </is>
      </c>
      <c r="O925" t="inlineStr">
        <is>
          <t>CVE - IP enrichment n/a</t>
        </is>
      </c>
      <c r="P925" t="n">
        <v>0</v>
      </c>
      <c r="Q925" t="n">
        <v>0</v>
      </c>
      <c r="R925" t="inlineStr">
        <is>
          <t>T1059:Command and Scripting Interpreter | T1190:Exploit Public-Facing Application</t>
        </is>
      </c>
      <c r="S925" t="n">
        <v>1</v>
      </c>
      <c r="T925" t="inlineStr">
        <is>
          <t>LOW (40%)</t>
        </is>
      </c>
      <c r="U925" t="inlineStr">
        <is>
          <t>UNLIKELY</t>
        </is>
      </c>
      <c r="V925" t="inlineStr">
        <is>
          <t>CHECK_VENDOR</t>
        </is>
      </c>
      <c r="W925" t="inlineStr">
        <is>
          <t>https://nvd.nist.gov/vuln/detail/CVE-2025-69328</t>
        </is>
      </c>
      <c r="X925" t="inlineStr">
        <is>
          <t>NONE</t>
        </is>
      </c>
      <c r="Y925" t="n">
        <v>0</v>
      </c>
      <c r="Z925" t="inlineStr"/>
      <c r="AA925" t="inlineStr">
        <is>
          <t>https://nvd.nist.gov/vuln/detail/CVE-2025-69328</t>
        </is>
      </c>
    </row>
    <row r="926">
      <c r="A926" t="inlineStr">
        <is>
          <t>CVE</t>
        </is>
      </c>
      <c r="B926" t="inlineStr">
        <is>
          <t>CVE-2025-69329</t>
        </is>
      </c>
      <c r="C926" t="inlineStr">
        <is>
          <t>Deserialization of Untrusted Data vulnerability in Jthemes Prestige prestige allows Object Injection.This issue affects Prestige: from n/a through &lt; 1.4.1.</t>
        </is>
      </c>
      <c r="D926" t="n">
        <v>5</v>
      </c>
      <c r="E926" t="inlineStr">
        <is>
          <t>MEDIUM</t>
        </is>
      </c>
      <c r="F926" t="n">
        <v>2</v>
      </c>
      <c r="G926" t="n">
        <v>2</v>
      </c>
      <c r="H926" t="inlineStr">
        <is>
          <t>MEDIUM</t>
        </is>
      </c>
      <c r="I926" t="n">
        <v>9</v>
      </c>
      <c r="J926" t="inlineStr">
        <is>
          <t>NO</t>
        </is>
      </c>
      <c r="K926" t="inlineStr">
        <is>
          <t>2026-02-23 23:48</t>
        </is>
      </c>
      <c r="L926" t="inlineStr">
        <is>
          <t>CHECK_VENDOR</t>
        </is>
      </c>
      <c r="M926" t="inlineStr">
        <is>
          <t>See CVE details</t>
        </is>
      </c>
      <c r="N926" t="inlineStr">
        <is>
          <t>P4</t>
        </is>
      </c>
      <c r="O926" t="inlineStr">
        <is>
          <t>CVE - IP enrichment n/a</t>
        </is>
      </c>
      <c r="P926" t="n">
        <v>0</v>
      </c>
      <c r="Q926" t="n">
        <v>0</v>
      </c>
      <c r="R926" t="inlineStr">
        <is>
          <t>T1059:Command and Scripting Interpreter</t>
        </is>
      </c>
      <c r="S926" t="n">
        <v>1</v>
      </c>
      <c r="T926" t="inlineStr">
        <is>
          <t>LOW (40%)</t>
        </is>
      </c>
      <c r="U926" t="inlineStr">
        <is>
          <t>UNLIKELY</t>
        </is>
      </c>
      <c r="V926" t="inlineStr">
        <is>
          <t>CHECK_VENDOR</t>
        </is>
      </c>
      <c r="W926" t="inlineStr">
        <is>
          <t>https://nvd.nist.gov/vuln/detail/CVE-2025-69329</t>
        </is>
      </c>
      <c r="X926" t="inlineStr">
        <is>
          <t>NONE</t>
        </is>
      </c>
      <c r="Y926" t="n">
        <v>0</v>
      </c>
      <c r="Z926" t="inlineStr"/>
      <c r="AA926" t="inlineStr">
        <is>
          <t>https://nvd.nist.gov/vuln/detail/CVE-2025-69329</t>
        </is>
      </c>
    </row>
    <row r="927">
      <c r="A927" t="inlineStr">
        <is>
          <t>CVE</t>
        </is>
      </c>
      <c r="B927" t="inlineStr">
        <is>
          <t>CVE-2025-69330</t>
        </is>
      </c>
      <c r="C927" t="inlineStr">
        <is>
          <t>Improper Neutralization of Input During Web Page Generation ('Cross-site Scripting') vulnerability in Jthemes Prestige prestige allows Reflected XSS.This issue affects Prestige: from n/a through &lt; 1.4.1.</t>
        </is>
      </c>
      <c r="D927" t="n">
        <v>5</v>
      </c>
      <c r="E927" t="inlineStr">
        <is>
          <t>MEDIUM</t>
        </is>
      </c>
      <c r="F927" t="n">
        <v>2</v>
      </c>
      <c r="G927" t="n">
        <v>2</v>
      </c>
      <c r="H927" t="inlineStr">
        <is>
          <t>MEDIUM</t>
        </is>
      </c>
      <c r="I927" t="n">
        <v>9</v>
      </c>
      <c r="J927" t="inlineStr">
        <is>
          <t>NO</t>
        </is>
      </c>
      <c r="K927" t="inlineStr">
        <is>
          <t>2026-02-23 23:48</t>
        </is>
      </c>
      <c r="L927" t="inlineStr">
        <is>
          <t>CHECK_VENDOR</t>
        </is>
      </c>
      <c r="M927" t="inlineStr">
        <is>
          <t>See CVE details</t>
        </is>
      </c>
      <c r="N927" t="inlineStr">
        <is>
          <t>P4</t>
        </is>
      </c>
      <c r="O927" t="inlineStr">
        <is>
          <t>CVE - IP enrichment n/a</t>
        </is>
      </c>
      <c r="P927" t="n">
        <v>0</v>
      </c>
      <c r="Q927" t="n">
        <v>0</v>
      </c>
      <c r="R927" t="inlineStr">
        <is>
          <t>T1189:Drive-by Compromise</t>
        </is>
      </c>
      <c r="S927" t="n">
        <v>1</v>
      </c>
      <c r="T927" t="inlineStr">
        <is>
          <t>LOW (40%)</t>
        </is>
      </c>
      <c r="U927" t="inlineStr">
        <is>
          <t>UNLIKELY</t>
        </is>
      </c>
      <c r="V927" t="inlineStr">
        <is>
          <t>CHECK_VENDOR</t>
        </is>
      </c>
      <c r="W927" t="inlineStr">
        <is>
          <t>https://nvd.nist.gov/vuln/detail/CVE-2025-69330</t>
        </is>
      </c>
      <c r="X927" t="inlineStr">
        <is>
          <t>NONE</t>
        </is>
      </c>
      <c r="Y927" t="n">
        <v>0</v>
      </c>
      <c r="Z927" t="inlineStr"/>
      <c r="AA927" t="inlineStr">
        <is>
          <t>https://nvd.nist.gov/vuln/detail/CVE-2025-69330</t>
        </is>
      </c>
    </row>
    <row r="928">
      <c r="A928" t="inlineStr">
        <is>
          <t>CVE</t>
        </is>
      </c>
      <c r="B928" t="inlineStr">
        <is>
          <t>CVE-2025-69337</t>
        </is>
      </c>
      <c r="C928" t="inlineStr">
        <is>
          <t>Improper Neutralization of Special Elements used in an SQL Command ('SQL Injection') vulnerability in don-themes Wolmart Core wolmart-core allows Blind SQL Injection.This issue affects Wolmart Core: from n/a through &lt;= 1.9.6.</t>
        </is>
      </c>
      <c r="D928" t="n">
        <v>5</v>
      </c>
      <c r="E928" t="inlineStr">
        <is>
          <t>MEDIUM</t>
        </is>
      </c>
      <c r="F928" t="n">
        <v>2</v>
      </c>
      <c r="G928" t="n">
        <v>2</v>
      </c>
      <c r="H928" t="inlineStr">
        <is>
          <t>MEDIUM</t>
        </is>
      </c>
      <c r="I928" t="n">
        <v>9</v>
      </c>
      <c r="J928" t="inlineStr">
        <is>
          <t>NO</t>
        </is>
      </c>
      <c r="K928" t="inlineStr">
        <is>
          <t>2026-02-23 23:48</t>
        </is>
      </c>
      <c r="L928" t="inlineStr">
        <is>
          <t>CHECK_VENDOR</t>
        </is>
      </c>
      <c r="M928" t="inlineStr">
        <is>
          <t>See CVE details</t>
        </is>
      </c>
      <c r="N928" t="inlineStr">
        <is>
          <t>P4</t>
        </is>
      </c>
      <c r="O928" t="inlineStr">
        <is>
          <t>CVE - IP enrichment n/a</t>
        </is>
      </c>
      <c r="P928" t="n">
        <v>0</v>
      </c>
      <c r="Q928" t="n">
        <v>0</v>
      </c>
      <c r="R928" t="inlineStr">
        <is>
          <t>T1190:Exploit Public-Facing Application</t>
        </is>
      </c>
      <c r="S928" t="n">
        <v>1</v>
      </c>
      <c r="T928" t="inlineStr">
        <is>
          <t>LOW (40%)</t>
        </is>
      </c>
      <c r="U928" t="inlineStr">
        <is>
          <t>UNLIKELY</t>
        </is>
      </c>
      <c r="V928" t="inlineStr">
        <is>
          <t>CHECK_VENDOR</t>
        </is>
      </c>
      <c r="W928" t="inlineStr">
        <is>
          <t>https://nvd.nist.gov/vuln/detail/CVE-2025-69337</t>
        </is>
      </c>
      <c r="X928" t="inlineStr">
        <is>
          <t>NONE</t>
        </is>
      </c>
      <c r="Y928" t="n">
        <v>0</v>
      </c>
      <c r="Z928" t="inlineStr"/>
      <c r="AA928" t="inlineStr">
        <is>
          <t>https://nvd.nist.gov/vuln/detail/CVE-2025-69337</t>
        </is>
      </c>
    </row>
    <row r="929">
      <c r="A929" t="inlineStr">
        <is>
          <t>CVE</t>
        </is>
      </c>
      <c r="B929" t="inlineStr">
        <is>
          <t>CVE-2025-69365</t>
        </is>
      </c>
      <c r="C929" t="inlineStr">
        <is>
          <t>Improper Neutralization of Special Elements used in an SQL Command ('SQL Injection') vulnerability in TeconceTheme Uroan Core uroan-core allows Blind SQL Injection.This issue affects Uroan Core: from n/a through &lt;= 1.4.4.</t>
        </is>
      </c>
      <c r="D929" t="n">
        <v>5</v>
      </c>
      <c r="E929" t="inlineStr">
        <is>
          <t>MEDIUM</t>
        </is>
      </c>
      <c r="F929" t="n">
        <v>2</v>
      </c>
      <c r="G929" t="n">
        <v>2</v>
      </c>
      <c r="H929" t="inlineStr">
        <is>
          <t>MEDIUM</t>
        </is>
      </c>
      <c r="I929" t="n">
        <v>9</v>
      </c>
      <c r="J929" t="inlineStr">
        <is>
          <t>NO</t>
        </is>
      </c>
      <c r="K929" t="inlineStr">
        <is>
          <t>2026-02-23 23:48</t>
        </is>
      </c>
      <c r="L929" t="inlineStr">
        <is>
          <t>CHECK_VENDOR</t>
        </is>
      </c>
      <c r="M929" t="inlineStr">
        <is>
          <t>See CVE details</t>
        </is>
      </c>
      <c r="N929" t="inlineStr">
        <is>
          <t>P4</t>
        </is>
      </c>
      <c r="O929" t="inlineStr">
        <is>
          <t>CVE - IP enrichment n/a</t>
        </is>
      </c>
      <c r="P929" t="n">
        <v>0</v>
      </c>
      <c r="Q929" t="n">
        <v>0</v>
      </c>
      <c r="R929" t="inlineStr">
        <is>
          <t>T1190:Exploit Public-Facing Application</t>
        </is>
      </c>
      <c r="S929" t="n">
        <v>1</v>
      </c>
      <c r="T929" t="inlineStr">
        <is>
          <t>LOW (40%)</t>
        </is>
      </c>
      <c r="U929" t="inlineStr">
        <is>
          <t>UNLIKELY</t>
        </is>
      </c>
      <c r="V929" t="inlineStr">
        <is>
          <t>CHECK_VENDOR</t>
        </is>
      </c>
      <c r="W929" t="inlineStr">
        <is>
          <t>https://nvd.nist.gov/vuln/detail/CVE-2025-69365</t>
        </is>
      </c>
      <c r="X929" t="inlineStr">
        <is>
          <t>NONE</t>
        </is>
      </c>
      <c r="Y929" t="n">
        <v>0</v>
      </c>
      <c r="Z929" t="inlineStr"/>
      <c r="AA929" t="inlineStr">
        <is>
          <t>https://nvd.nist.gov/vuln/detail/CVE-2025-69365</t>
        </is>
      </c>
    </row>
    <row r="930">
      <c r="A930" t="inlineStr">
        <is>
          <t>CVE</t>
        </is>
      </c>
      <c r="B930" t="inlineStr">
        <is>
          <t>CVE-2025-69366</t>
        </is>
      </c>
      <c r="C930" t="inlineStr">
        <is>
          <t>Improper Neutralization of Special Elements used in an SQL Command ('SQL Injection') vulnerability in TeconceTheme Emerce Core emerce-core allows Blind SQL Injection.This issue affects Emerce Core: from n/a through &lt;= 1.8.</t>
        </is>
      </c>
      <c r="D930" t="n">
        <v>8.5</v>
      </c>
      <c r="E930" t="inlineStr">
        <is>
          <t>HIGH</t>
        </is>
      </c>
      <c r="F930" t="n">
        <v>2</v>
      </c>
      <c r="G930" t="n">
        <v>3</v>
      </c>
      <c r="H930" t="inlineStr">
        <is>
          <t>HIGH</t>
        </is>
      </c>
      <c r="I930" t="n">
        <v>14.5</v>
      </c>
      <c r="J930" t="inlineStr">
        <is>
          <t>NO</t>
        </is>
      </c>
      <c r="K930" t="inlineStr">
        <is>
          <t>2026-02-23 23:48</t>
        </is>
      </c>
      <c r="L930" t="inlineStr">
        <is>
          <t>CHECK_VENDOR</t>
        </is>
      </c>
      <c r="M930" t="inlineStr">
        <is>
          <t>See CVE details</t>
        </is>
      </c>
      <c r="N930" t="inlineStr">
        <is>
          <t>P3</t>
        </is>
      </c>
      <c r="O930" t="inlineStr">
        <is>
          <t>CVE - IP enrichment n/a</t>
        </is>
      </c>
      <c r="P930" t="n">
        <v>0</v>
      </c>
      <c r="Q930" t="n">
        <v>0</v>
      </c>
      <c r="R930" t="inlineStr">
        <is>
          <t>T1190:Exploit Public-Facing Application</t>
        </is>
      </c>
      <c r="S930" t="n">
        <v>1</v>
      </c>
      <c r="T930" t="inlineStr">
        <is>
          <t>LOW (40%)</t>
        </is>
      </c>
      <c r="U930" t="inlineStr">
        <is>
          <t>UNLIKELY</t>
        </is>
      </c>
      <c r="V930" t="inlineStr">
        <is>
          <t>CHECK_VENDOR</t>
        </is>
      </c>
      <c r="W930" t="inlineStr">
        <is>
          <t>https://nvd.nist.gov/vuln/detail/CVE-2025-69366</t>
        </is>
      </c>
      <c r="X930" t="inlineStr">
        <is>
          <t>NONE</t>
        </is>
      </c>
      <c r="Y930" t="n">
        <v>0</v>
      </c>
      <c r="Z930" t="inlineStr"/>
      <c r="AA930" t="inlineStr">
        <is>
          <t>https://nvd.nist.gov/vuln/detail/CVE-2025-69366</t>
        </is>
      </c>
    </row>
    <row r="931">
      <c r="A931" t="inlineStr">
        <is>
          <t>CVE</t>
        </is>
      </c>
      <c r="B931" t="inlineStr">
        <is>
          <t>CVE-2025-69367</t>
        </is>
      </c>
      <c r="C931" t="inlineStr">
        <is>
          <t>Improper Neutralization of Input During Web Page Generation ('Cross-site Scripting') vulnerability in GT3themes Oyster - Photography WordPress Theme oyster allows DOM-Based XSS.This issue affects Oyster - Photography WordPress Theme: from n/a through &lt;= 4.4.3.</t>
        </is>
      </c>
      <c r="D931" t="n">
        <v>5</v>
      </c>
      <c r="E931" t="inlineStr">
        <is>
          <t>MEDIUM</t>
        </is>
      </c>
      <c r="F931" t="n">
        <v>2</v>
      </c>
      <c r="G931" t="n">
        <v>2</v>
      </c>
      <c r="H931" t="inlineStr">
        <is>
          <t>MEDIUM</t>
        </is>
      </c>
      <c r="I931" t="n">
        <v>9</v>
      </c>
      <c r="J931" t="inlineStr">
        <is>
          <t>NO</t>
        </is>
      </c>
      <c r="K931" t="inlineStr">
        <is>
          <t>2026-02-23 23:48</t>
        </is>
      </c>
      <c r="L931" t="inlineStr">
        <is>
          <t>CHECK_VENDOR</t>
        </is>
      </c>
      <c r="M931" t="inlineStr">
        <is>
          <t>See CVE details</t>
        </is>
      </c>
      <c r="N931" t="inlineStr">
        <is>
          <t>P4</t>
        </is>
      </c>
      <c r="O931" t="inlineStr">
        <is>
          <t>CVE - IP enrichment n/a</t>
        </is>
      </c>
      <c r="P931" t="n">
        <v>0</v>
      </c>
      <c r="Q931" t="n">
        <v>0</v>
      </c>
      <c r="R931" t="inlineStr">
        <is>
          <t>T1189:Drive-by Compromise</t>
        </is>
      </c>
      <c r="S931" t="n">
        <v>1</v>
      </c>
      <c r="T931" t="inlineStr">
        <is>
          <t>LOW (40%)</t>
        </is>
      </c>
      <c r="U931" t="inlineStr">
        <is>
          <t>UNLIKELY</t>
        </is>
      </c>
      <c r="V931" t="inlineStr">
        <is>
          <t>CHECK_VENDOR</t>
        </is>
      </c>
      <c r="W931" t="inlineStr">
        <is>
          <t>https://nvd.nist.gov/vuln/detail/CVE-2025-69367</t>
        </is>
      </c>
      <c r="X931" t="inlineStr">
        <is>
          <t>NONE</t>
        </is>
      </c>
      <c r="Y931" t="n">
        <v>0</v>
      </c>
      <c r="Z931" t="inlineStr"/>
      <c r="AA931" t="inlineStr">
        <is>
          <t>https://nvd.nist.gov/vuln/detail/CVE-2025-69367</t>
        </is>
      </c>
    </row>
    <row r="932">
      <c r="A932" t="inlineStr">
        <is>
          <t>CVE</t>
        </is>
      </c>
      <c r="B932" t="inlineStr">
        <is>
          <t>CVE-2025-69368</t>
        </is>
      </c>
      <c r="C932" t="inlineStr">
        <is>
          <t>Improper Neutralization of Input During Web Page Generation ('Cross-site Scripting') vulnerability in GT3themes SOHO - Photography WordPress Theme soho allows DOM-Based XSS.This issue affects SOHO - Photography WordPress Theme: from n/a through &lt;= 3.0.3.</t>
        </is>
      </c>
      <c r="D932" t="n">
        <v>5</v>
      </c>
      <c r="E932" t="inlineStr">
        <is>
          <t>MEDIUM</t>
        </is>
      </c>
      <c r="F932" t="n">
        <v>2</v>
      </c>
      <c r="G932" t="n">
        <v>2</v>
      </c>
      <c r="H932" t="inlineStr">
        <is>
          <t>MEDIUM</t>
        </is>
      </c>
      <c r="I932" t="n">
        <v>9</v>
      </c>
      <c r="J932" t="inlineStr">
        <is>
          <t>NO</t>
        </is>
      </c>
      <c r="K932" t="inlineStr">
        <is>
          <t>2026-02-23 23:48</t>
        </is>
      </c>
      <c r="L932" t="inlineStr">
        <is>
          <t>CHECK_VENDOR</t>
        </is>
      </c>
      <c r="M932" t="inlineStr">
        <is>
          <t>See CVE details</t>
        </is>
      </c>
      <c r="N932" t="inlineStr">
        <is>
          <t>P4</t>
        </is>
      </c>
      <c r="O932" t="inlineStr">
        <is>
          <t>CVE - IP enrichment n/a</t>
        </is>
      </c>
      <c r="P932" t="n">
        <v>0.0003</v>
      </c>
      <c r="Q932" t="n">
        <v>0.0808</v>
      </c>
      <c r="R932" t="inlineStr">
        <is>
          <t>T1189:Drive-by Compromise</t>
        </is>
      </c>
      <c r="S932" t="n">
        <v>1</v>
      </c>
      <c r="T932" t="inlineStr">
        <is>
          <t>LOW (40%)</t>
        </is>
      </c>
      <c r="U932" t="inlineStr">
        <is>
          <t>UNLIKELY</t>
        </is>
      </c>
      <c r="V932" t="inlineStr">
        <is>
          <t>CHECK_VENDOR</t>
        </is>
      </c>
      <c r="W932" t="inlineStr">
        <is>
          <t>https://nvd.nist.gov/vuln/detail/CVE-2025-69368</t>
        </is>
      </c>
      <c r="X932" t="inlineStr">
        <is>
          <t>NONE</t>
        </is>
      </c>
      <c r="Y932" t="n">
        <v>0</v>
      </c>
      <c r="Z932" t="inlineStr"/>
      <c r="AA932" t="inlineStr">
        <is>
          <t>https://nvd.nist.gov/vuln/detail/CVE-2025-69368</t>
        </is>
      </c>
    </row>
    <row r="933">
      <c r="A933" t="inlineStr">
        <is>
          <t>CVE</t>
        </is>
      </c>
      <c r="B933" t="inlineStr">
        <is>
          <t>CVE-2025-69370</t>
        </is>
      </c>
      <c r="C933" t="inlineStr">
        <is>
          <t>Deserialization of Untrusted Data vulnerability in ThemeGoods Capella capella allows Object Injection.This issue affects Capella: from n/a through &lt;= 2.5.5.</t>
        </is>
      </c>
      <c r="D933" t="n">
        <v>5</v>
      </c>
      <c r="E933" t="inlineStr">
        <is>
          <t>MEDIUM</t>
        </is>
      </c>
      <c r="F933" t="n">
        <v>2</v>
      </c>
      <c r="G933" t="n">
        <v>2</v>
      </c>
      <c r="H933" t="inlineStr">
        <is>
          <t>MEDIUM</t>
        </is>
      </c>
      <c r="I933" t="n">
        <v>9</v>
      </c>
      <c r="J933" t="inlineStr">
        <is>
          <t>NO</t>
        </is>
      </c>
      <c r="K933" t="inlineStr">
        <is>
          <t>2026-02-23 23:48</t>
        </is>
      </c>
      <c r="L933" t="inlineStr">
        <is>
          <t>CHECK_VENDOR</t>
        </is>
      </c>
      <c r="M933" t="inlineStr">
        <is>
          <t>See CVE details</t>
        </is>
      </c>
      <c r="N933" t="inlineStr">
        <is>
          <t>P4</t>
        </is>
      </c>
      <c r="O933" t="inlineStr">
        <is>
          <t>CVE - IP enrichment n/a</t>
        </is>
      </c>
      <c r="P933" t="n">
        <v>0.0002</v>
      </c>
      <c r="Q933" t="n">
        <v>0.0636</v>
      </c>
      <c r="R933" t="inlineStr">
        <is>
          <t>T1059:Command and Scripting Interpreter</t>
        </is>
      </c>
      <c r="S933" t="n">
        <v>1</v>
      </c>
      <c r="T933" t="inlineStr">
        <is>
          <t>LOW (40%)</t>
        </is>
      </c>
      <c r="U933" t="inlineStr">
        <is>
          <t>UNLIKELY</t>
        </is>
      </c>
      <c r="V933" t="inlineStr">
        <is>
          <t>CHECK_VENDOR</t>
        </is>
      </c>
      <c r="W933" t="inlineStr">
        <is>
          <t>https://nvd.nist.gov/vuln/detail/CVE-2025-69370</t>
        </is>
      </c>
      <c r="X933" t="inlineStr">
        <is>
          <t>NONE</t>
        </is>
      </c>
      <c r="Y933" t="n">
        <v>0</v>
      </c>
      <c r="Z933" t="inlineStr"/>
      <c r="AA933" t="inlineStr">
        <is>
          <t>https://nvd.nist.gov/vuln/detail/CVE-2025-69370</t>
        </is>
      </c>
    </row>
    <row r="934">
      <c r="A934" t="inlineStr">
        <is>
          <t>CVE</t>
        </is>
      </c>
      <c r="B934" t="inlineStr">
        <is>
          <t>CVE-2025-69371</t>
        </is>
      </c>
      <c r="C934" t="inlineStr">
        <is>
          <t>Deserialization of Untrusted Data vulnerability in AncoraThemes KindlyCare kindlycare allows Object Injection.This issue affects KindlyCare: from n/a through &lt;= 1.6.1.</t>
        </is>
      </c>
      <c r="D934" t="n">
        <v>5</v>
      </c>
      <c r="E934" t="inlineStr">
        <is>
          <t>MEDIUM</t>
        </is>
      </c>
      <c r="F934" t="n">
        <v>2</v>
      </c>
      <c r="G934" t="n">
        <v>2</v>
      </c>
      <c r="H934" t="inlineStr">
        <is>
          <t>MEDIUM</t>
        </is>
      </c>
      <c r="I934" t="n">
        <v>9</v>
      </c>
      <c r="J934" t="inlineStr">
        <is>
          <t>NO</t>
        </is>
      </c>
      <c r="K934" t="inlineStr">
        <is>
          <t>2026-02-23 23:48</t>
        </is>
      </c>
      <c r="L934" t="inlineStr">
        <is>
          <t>CHECK_VENDOR</t>
        </is>
      </c>
      <c r="M934" t="inlineStr">
        <is>
          <t>See CVE details</t>
        </is>
      </c>
      <c r="N934" t="inlineStr">
        <is>
          <t>P4</t>
        </is>
      </c>
      <c r="O934" t="inlineStr">
        <is>
          <t>CVE - IP enrichment n/a</t>
        </is>
      </c>
      <c r="P934" t="n">
        <v>0</v>
      </c>
      <c r="Q934" t="n">
        <v>0</v>
      </c>
      <c r="R934" t="inlineStr">
        <is>
          <t>T1059:Command and Scripting Interpreter</t>
        </is>
      </c>
      <c r="S934" t="n">
        <v>1</v>
      </c>
      <c r="T934" t="inlineStr">
        <is>
          <t>LOW (40%)</t>
        </is>
      </c>
      <c r="U934" t="inlineStr">
        <is>
          <t>UNLIKELY</t>
        </is>
      </c>
      <c r="V934" t="inlineStr">
        <is>
          <t>CHECK_VENDOR</t>
        </is>
      </c>
      <c r="W934" t="inlineStr">
        <is>
          <t>https://nvd.nist.gov/vuln/detail/CVE-2025-69371</t>
        </is>
      </c>
      <c r="X934" t="inlineStr">
        <is>
          <t>NONE</t>
        </is>
      </c>
      <c r="Y934" t="n">
        <v>0</v>
      </c>
      <c r="Z934" t="inlineStr"/>
      <c r="AA934" t="inlineStr">
        <is>
          <t>https://nvd.nist.gov/vuln/detail/CVE-2025-69371</t>
        </is>
      </c>
    </row>
    <row r="935">
      <c r="A935" t="inlineStr">
        <is>
          <t>CVE</t>
        </is>
      </c>
      <c r="B935" t="inlineStr">
        <is>
          <t>CVE-2025-69372</t>
        </is>
      </c>
      <c r="C935" t="inlineStr">
        <is>
          <t>Deserialization of Untrusted Data vulnerability in AncoraThemes SevenHills sevenhills allows Object Injection.This issue affects SevenHills: from n/a through &lt;= 1.6.2.</t>
        </is>
      </c>
      <c r="D935" t="n">
        <v>5</v>
      </c>
      <c r="E935" t="inlineStr">
        <is>
          <t>MEDIUM</t>
        </is>
      </c>
      <c r="F935" t="n">
        <v>2</v>
      </c>
      <c r="G935" t="n">
        <v>2</v>
      </c>
      <c r="H935" t="inlineStr">
        <is>
          <t>MEDIUM</t>
        </is>
      </c>
      <c r="I935" t="n">
        <v>9</v>
      </c>
      <c r="J935" t="inlineStr">
        <is>
          <t>NO</t>
        </is>
      </c>
      <c r="K935" t="inlineStr">
        <is>
          <t>2026-02-23 23:48</t>
        </is>
      </c>
      <c r="L935" t="inlineStr">
        <is>
          <t>CHECK_VENDOR</t>
        </is>
      </c>
      <c r="M935" t="inlineStr">
        <is>
          <t>See CVE details</t>
        </is>
      </c>
      <c r="N935" t="inlineStr">
        <is>
          <t>P4</t>
        </is>
      </c>
      <c r="O935" t="inlineStr">
        <is>
          <t>CVE - IP enrichment n/a</t>
        </is>
      </c>
      <c r="P935" t="n">
        <v>0</v>
      </c>
      <c r="Q935" t="n">
        <v>0</v>
      </c>
      <c r="R935" t="inlineStr">
        <is>
          <t>T1059:Command and Scripting Interpreter</t>
        </is>
      </c>
      <c r="S935" t="n">
        <v>1</v>
      </c>
      <c r="T935" t="inlineStr">
        <is>
          <t>LOW (40%)</t>
        </is>
      </c>
      <c r="U935" t="inlineStr">
        <is>
          <t>UNLIKELY</t>
        </is>
      </c>
      <c r="V935" t="inlineStr">
        <is>
          <t>CHECK_VENDOR</t>
        </is>
      </c>
      <c r="W935" t="inlineStr">
        <is>
          <t>https://nvd.nist.gov/vuln/detail/CVE-2025-69372</t>
        </is>
      </c>
      <c r="X935" t="inlineStr">
        <is>
          <t>NONE</t>
        </is>
      </c>
      <c r="Y935" t="n">
        <v>0</v>
      </c>
      <c r="Z935" t="inlineStr"/>
      <c r="AA935" t="inlineStr">
        <is>
          <t>https://nvd.nist.gov/vuln/detail/CVE-2025-69372</t>
        </is>
      </c>
    </row>
    <row r="936">
      <c r="A936" t="inlineStr">
        <is>
          <t>CVE</t>
        </is>
      </c>
      <c r="B936" t="inlineStr">
        <is>
          <t>CVE-2025-69373</t>
        </is>
      </c>
      <c r="C936" t="inlineStr">
        <is>
          <t>Improper Control of Filename for Include/Require Statement in PHP Program ('PHP Remote File Inclusion') vulnerability in beeteam368 VidoRev vidorev allows PHP Local File Inclusion.This issue affects VidoRev: from n/a through &lt;= 2.9.9.9.9.9.7.</t>
        </is>
      </c>
      <c r="D936" t="n">
        <v>5</v>
      </c>
      <c r="E936" t="inlineStr">
        <is>
          <t>MEDIUM</t>
        </is>
      </c>
      <c r="F936" t="n">
        <v>2</v>
      </c>
      <c r="G936" t="n">
        <v>2</v>
      </c>
      <c r="H936" t="inlineStr">
        <is>
          <t>MEDIUM</t>
        </is>
      </c>
      <c r="I936" t="n">
        <v>9</v>
      </c>
      <c r="J936" t="inlineStr">
        <is>
          <t>NO</t>
        </is>
      </c>
      <c r="K936" t="inlineStr">
        <is>
          <t>2026-02-23 23:48</t>
        </is>
      </c>
      <c r="L936" t="inlineStr">
        <is>
          <t>CHECK_VENDOR</t>
        </is>
      </c>
      <c r="M936" t="inlineStr">
        <is>
          <t>See CVE details</t>
        </is>
      </c>
      <c r="N936" t="inlineStr">
        <is>
          <t>P4</t>
        </is>
      </c>
      <c r="O936" t="inlineStr">
        <is>
          <t>CVE - IP enrichment n/a</t>
        </is>
      </c>
      <c r="P936" t="n">
        <v>0</v>
      </c>
      <c r="Q936" t="n">
        <v>0</v>
      </c>
      <c r="R936" t="inlineStr">
        <is>
          <t>T1190:Exploit Public-Facing Application</t>
        </is>
      </c>
      <c r="S936" t="n">
        <v>1</v>
      </c>
      <c r="T936" t="inlineStr">
        <is>
          <t>LOW (40%)</t>
        </is>
      </c>
      <c r="U936" t="inlineStr">
        <is>
          <t>UNLIKELY</t>
        </is>
      </c>
      <c r="V936" t="inlineStr">
        <is>
          <t>CHECK_VENDOR</t>
        </is>
      </c>
      <c r="W936" t="inlineStr">
        <is>
          <t>https://nvd.nist.gov/vuln/detail/CVE-2025-69373</t>
        </is>
      </c>
      <c r="X936" t="inlineStr">
        <is>
          <t>NONE</t>
        </is>
      </c>
      <c r="Y936" t="n">
        <v>0</v>
      </c>
      <c r="Z936" t="inlineStr"/>
      <c r="AA936" t="inlineStr">
        <is>
          <t>https://nvd.nist.gov/vuln/detail/CVE-2025-69373</t>
        </is>
      </c>
    </row>
    <row r="937">
      <c r="A937" t="inlineStr">
        <is>
          <t>CVE</t>
        </is>
      </c>
      <c r="B937" t="inlineStr">
        <is>
          <t>CVE-2025-69374</t>
        </is>
      </c>
      <c r="C937" t="inlineStr">
        <is>
          <t>Improper Control of Filename for Include/Require Statement in PHP Program ('PHP Remote File Inclusion') vulnerability in SolverWp Eleblog – Elementor Blog And Magazine Addons ele-blog allows PHP Local File Inclusion.This issue affects Eleblog – Elementor Blog And Magazine Addons: from n/a through &lt;= 2.0.3.</t>
        </is>
      </c>
      <c r="D937" t="n">
        <v>5</v>
      </c>
      <c r="E937" t="inlineStr">
        <is>
          <t>MEDIUM</t>
        </is>
      </c>
      <c r="F937" t="n">
        <v>2</v>
      </c>
      <c r="G937" t="n">
        <v>2</v>
      </c>
      <c r="H937" t="inlineStr">
        <is>
          <t>MEDIUM</t>
        </is>
      </c>
      <c r="I937" t="n">
        <v>9</v>
      </c>
      <c r="J937" t="inlineStr">
        <is>
          <t>NO</t>
        </is>
      </c>
      <c r="K937" t="inlineStr">
        <is>
          <t>2026-02-23 23:48</t>
        </is>
      </c>
      <c r="L937" t="inlineStr">
        <is>
          <t>CHECK_VENDOR</t>
        </is>
      </c>
      <c r="M937" t="inlineStr">
        <is>
          <t>See CVE details</t>
        </is>
      </c>
      <c r="N937" t="inlineStr">
        <is>
          <t>P4</t>
        </is>
      </c>
      <c r="O937" t="inlineStr">
        <is>
          <t>CVE - IP enrichment n/a</t>
        </is>
      </c>
      <c r="P937" t="n">
        <v>0</v>
      </c>
      <c r="Q937" t="n">
        <v>0</v>
      </c>
      <c r="R937" t="inlineStr">
        <is>
          <t>T1190:Exploit Public-Facing Application</t>
        </is>
      </c>
      <c r="S937" t="n">
        <v>1</v>
      </c>
      <c r="T937" t="inlineStr">
        <is>
          <t>LOW (40%)</t>
        </is>
      </c>
      <c r="U937" t="inlineStr">
        <is>
          <t>UNLIKELY</t>
        </is>
      </c>
      <c r="V937" t="inlineStr">
        <is>
          <t>CHECK_VENDOR</t>
        </is>
      </c>
      <c r="W937" t="inlineStr">
        <is>
          <t>https://nvd.nist.gov/vuln/detail/CVE-2025-69374</t>
        </is>
      </c>
      <c r="X937" t="inlineStr">
        <is>
          <t>NONE</t>
        </is>
      </c>
      <c r="Y937" t="n">
        <v>0</v>
      </c>
      <c r="Z937" t="inlineStr"/>
      <c r="AA937" t="inlineStr">
        <is>
          <t>https://nvd.nist.gov/vuln/detail/CVE-2025-69374</t>
        </is>
      </c>
    </row>
    <row r="938">
      <c r="A938" t="inlineStr">
        <is>
          <t>CVE</t>
        </is>
      </c>
      <c r="B938" t="inlineStr">
        <is>
          <t>CVE-2025-69375</t>
        </is>
      </c>
      <c r="C938" t="inlineStr">
        <is>
          <t>Improper Control of Filename for Include/Require Statement in PHP Program ('PHP Remote File Inclusion') vulnerability in SolverWp Portfolio Builder swp-portfolio allows PHP Local File Inclusion.This issue affects Portfolio Builder: from n/a through &lt;= 1.2.5.</t>
        </is>
      </c>
      <c r="D938" t="n">
        <v>5</v>
      </c>
      <c r="E938" t="inlineStr">
        <is>
          <t>MEDIUM</t>
        </is>
      </c>
      <c r="F938" t="n">
        <v>2</v>
      </c>
      <c r="G938" t="n">
        <v>2</v>
      </c>
      <c r="H938" t="inlineStr">
        <is>
          <t>MEDIUM</t>
        </is>
      </c>
      <c r="I938" t="n">
        <v>9</v>
      </c>
      <c r="J938" t="inlineStr">
        <is>
          <t>NO</t>
        </is>
      </c>
      <c r="K938" t="inlineStr">
        <is>
          <t>2026-02-23 23:48</t>
        </is>
      </c>
      <c r="L938" t="inlineStr">
        <is>
          <t>CHECK_VENDOR</t>
        </is>
      </c>
      <c r="M938" t="inlineStr">
        <is>
          <t>See CVE details</t>
        </is>
      </c>
      <c r="N938" t="inlineStr">
        <is>
          <t>P4</t>
        </is>
      </c>
      <c r="O938" t="inlineStr">
        <is>
          <t>CVE - IP enrichment n/a</t>
        </is>
      </c>
      <c r="P938" t="n">
        <v>0</v>
      </c>
      <c r="Q938" t="n">
        <v>0</v>
      </c>
      <c r="R938" t="inlineStr">
        <is>
          <t>T1190:Exploit Public-Facing Application</t>
        </is>
      </c>
      <c r="S938" t="n">
        <v>1</v>
      </c>
      <c r="T938" t="inlineStr">
        <is>
          <t>LOW (40%)</t>
        </is>
      </c>
      <c r="U938" t="inlineStr">
        <is>
          <t>UNLIKELY</t>
        </is>
      </c>
      <c r="V938" t="inlineStr">
        <is>
          <t>CHECK_VENDOR</t>
        </is>
      </c>
      <c r="W938" t="inlineStr">
        <is>
          <t>https://nvd.nist.gov/vuln/detail/CVE-2025-69375</t>
        </is>
      </c>
      <c r="X938" t="inlineStr">
        <is>
          <t>NONE</t>
        </is>
      </c>
      <c r="Y938" t="n">
        <v>0</v>
      </c>
      <c r="Z938" t="inlineStr"/>
      <c r="AA938" t="inlineStr">
        <is>
          <t>https://nvd.nist.gov/vuln/detail/CVE-2025-69375</t>
        </is>
      </c>
    </row>
    <row r="939">
      <c r="A939" t="inlineStr">
        <is>
          <t>CVE</t>
        </is>
      </c>
      <c r="B939" t="inlineStr">
        <is>
          <t>CVE-2025-69376</t>
        </is>
      </c>
      <c r="C939" t="inlineStr">
        <is>
          <t>Improper Limitation of a Pathname to a Restricted Directory ('Path Traversal') vulnerability in vanquish User Extra Fields wp-user-extra-fields allows Path Traversal.This issue affects User Extra Fields: from n/a through &lt;= 17.0.</t>
        </is>
      </c>
      <c r="D939" t="n">
        <v>5</v>
      </c>
      <c r="E939" t="inlineStr">
        <is>
          <t>MEDIUM</t>
        </is>
      </c>
      <c r="F939" t="n">
        <v>2</v>
      </c>
      <c r="G939" t="n">
        <v>2</v>
      </c>
      <c r="H939" t="inlineStr">
        <is>
          <t>MEDIUM</t>
        </is>
      </c>
      <c r="I939" t="n">
        <v>9</v>
      </c>
      <c r="J939" t="inlineStr">
        <is>
          <t>NO</t>
        </is>
      </c>
      <c r="K939" t="inlineStr">
        <is>
          <t>2026-02-23 23:48</t>
        </is>
      </c>
      <c r="L939" t="inlineStr">
        <is>
          <t>CHECK_VENDOR</t>
        </is>
      </c>
      <c r="M939" t="inlineStr">
        <is>
          <t>See CVE details</t>
        </is>
      </c>
      <c r="N939" t="inlineStr">
        <is>
          <t>P4</t>
        </is>
      </c>
      <c r="O939" t="inlineStr">
        <is>
          <t>CVE - IP enrichment n/a</t>
        </is>
      </c>
      <c r="P939" t="n">
        <v>0</v>
      </c>
      <c r="Q939" t="n">
        <v>0</v>
      </c>
      <c r="R939" t="inlineStr">
        <is>
          <t>T1083:File and Directory Discovery</t>
        </is>
      </c>
      <c r="S939" t="n">
        <v>1</v>
      </c>
      <c r="T939" t="inlineStr">
        <is>
          <t>LOW (40%)</t>
        </is>
      </c>
      <c r="U939" t="inlineStr">
        <is>
          <t>UNLIKELY</t>
        </is>
      </c>
      <c r="V939" t="inlineStr">
        <is>
          <t>CHECK_VENDOR</t>
        </is>
      </c>
      <c r="W939" t="inlineStr">
        <is>
          <t>https://nvd.nist.gov/vuln/detail/CVE-2025-69376</t>
        </is>
      </c>
      <c r="X939" t="inlineStr">
        <is>
          <t>NONE</t>
        </is>
      </c>
      <c r="Y939" t="n">
        <v>0</v>
      </c>
      <c r="Z939" t="inlineStr"/>
      <c r="AA939" t="inlineStr">
        <is>
          <t>https://nvd.nist.gov/vuln/detail/CVE-2025-69376</t>
        </is>
      </c>
    </row>
    <row r="940">
      <c r="A940" t="inlineStr">
        <is>
          <t>CVE</t>
        </is>
      </c>
      <c r="B940" t="inlineStr">
        <is>
          <t>CVE-2025-69377</t>
        </is>
      </c>
      <c r="C940" t="inlineStr">
        <is>
          <t>Improper Limitation of a Pathname to a Restricted Directory ('Path Traversal') vulnerability in vanquish User Extra Fields wp-user-extra-fields allows Path Traversal.This issue affects User Extra Fields: from n/a through &lt;= 17.0.</t>
        </is>
      </c>
      <c r="D940" t="n">
        <v>5</v>
      </c>
      <c r="E940" t="inlineStr">
        <is>
          <t>MEDIUM</t>
        </is>
      </c>
      <c r="F940" t="n">
        <v>2</v>
      </c>
      <c r="G940" t="n">
        <v>2</v>
      </c>
      <c r="H940" t="inlineStr">
        <is>
          <t>MEDIUM</t>
        </is>
      </c>
      <c r="I940" t="n">
        <v>9</v>
      </c>
      <c r="J940" t="inlineStr">
        <is>
          <t>NO</t>
        </is>
      </c>
      <c r="K940" t="inlineStr">
        <is>
          <t>2026-02-23 23:48</t>
        </is>
      </c>
      <c r="L940" t="inlineStr">
        <is>
          <t>CHECK_VENDOR</t>
        </is>
      </c>
      <c r="M940" t="inlineStr">
        <is>
          <t>See CVE details</t>
        </is>
      </c>
      <c r="N940" t="inlineStr">
        <is>
          <t>P4</t>
        </is>
      </c>
      <c r="O940" t="inlineStr">
        <is>
          <t>CVE - IP enrichment n/a</t>
        </is>
      </c>
      <c r="P940" t="n">
        <v>0</v>
      </c>
      <c r="Q940" t="n">
        <v>0</v>
      </c>
      <c r="R940" t="inlineStr">
        <is>
          <t>T1083:File and Directory Discovery</t>
        </is>
      </c>
      <c r="S940" t="n">
        <v>1</v>
      </c>
      <c r="T940" t="inlineStr">
        <is>
          <t>LOW (40%)</t>
        </is>
      </c>
      <c r="U940" t="inlineStr">
        <is>
          <t>UNLIKELY</t>
        </is>
      </c>
      <c r="V940" t="inlineStr">
        <is>
          <t>CHECK_VENDOR</t>
        </is>
      </c>
      <c r="W940" t="inlineStr">
        <is>
          <t>https://nvd.nist.gov/vuln/detail/CVE-2025-69377</t>
        </is>
      </c>
      <c r="X940" t="inlineStr">
        <is>
          <t>NONE</t>
        </is>
      </c>
      <c r="Y940" t="n">
        <v>0</v>
      </c>
      <c r="Z940" t="inlineStr"/>
      <c r="AA940" t="inlineStr">
        <is>
          <t>https://nvd.nist.gov/vuln/detail/CVE-2025-69377</t>
        </is>
      </c>
    </row>
    <row r="941">
      <c r="A941" t="inlineStr">
        <is>
          <t>CVE</t>
        </is>
      </c>
      <c r="B941" t="inlineStr">
        <is>
          <t>CVE-2025-69378</t>
        </is>
      </c>
      <c r="C941" t="inlineStr">
        <is>
          <t>Incorrect Privilege Assignment vulnerability in XforWooCommerce Product Filter for WooCommerce prdctfltr allows Privilege Escalation.This issue affects Product Filter for WooCommerce: from n/a through &lt;= 9.1.2.</t>
        </is>
      </c>
      <c r="D941" t="n">
        <v>8.5</v>
      </c>
      <c r="E941" t="inlineStr">
        <is>
          <t>HIGH</t>
        </is>
      </c>
      <c r="F941" t="n">
        <v>2</v>
      </c>
      <c r="G941" t="n">
        <v>3</v>
      </c>
      <c r="H941" t="inlineStr">
        <is>
          <t>HIGH</t>
        </is>
      </c>
      <c r="I941" t="n">
        <v>14.5</v>
      </c>
      <c r="J941" t="inlineStr">
        <is>
          <t>NO</t>
        </is>
      </c>
      <c r="K941" t="inlineStr">
        <is>
          <t>2026-02-23 23:48</t>
        </is>
      </c>
      <c r="L941" t="inlineStr">
        <is>
          <t>CHECK_VENDOR</t>
        </is>
      </c>
      <c r="M941" t="inlineStr">
        <is>
          <t>See CVE details</t>
        </is>
      </c>
      <c r="N941" t="inlineStr">
        <is>
          <t>P3</t>
        </is>
      </c>
      <c r="O941" t="inlineStr">
        <is>
          <t>CVE - IP enrichment n/a</t>
        </is>
      </c>
      <c r="P941" t="n">
        <v>0</v>
      </c>
      <c r="Q941" t="n">
        <v>0</v>
      </c>
      <c r="R941" t="inlineStr">
        <is>
          <t>T1190:Exploit Public-Facing Application | T1068:Exploitation for Privilege Escalation</t>
        </is>
      </c>
      <c r="S941" t="n">
        <v>1</v>
      </c>
      <c r="T941" t="inlineStr">
        <is>
          <t>LOW (40%)</t>
        </is>
      </c>
      <c r="U941" t="inlineStr">
        <is>
          <t>UNLIKELY</t>
        </is>
      </c>
      <c r="V941" t="inlineStr">
        <is>
          <t>CHECK_VENDOR</t>
        </is>
      </c>
      <c r="W941" t="inlineStr">
        <is>
          <t>https://nvd.nist.gov/vuln/detail/CVE-2025-69378</t>
        </is>
      </c>
      <c r="X941" t="inlineStr">
        <is>
          <t>NONE</t>
        </is>
      </c>
      <c r="Y941" t="n">
        <v>0</v>
      </c>
      <c r="Z941" t="inlineStr"/>
      <c r="AA941" t="inlineStr">
        <is>
          <t>https://nvd.nist.gov/vuln/detail/CVE-2025-69378</t>
        </is>
      </c>
    </row>
    <row r="942">
      <c r="A942" t="inlineStr">
        <is>
          <t>CVE</t>
        </is>
      </c>
      <c r="B942" t="inlineStr">
        <is>
          <t>CVE-2025-69379</t>
        </is>
      </c>
      <c r="C942" t="inlineStr">
        <is>
          <t>Improper Limitation of a Pathname to a Restricted Directory ('Path Traversal') vulnerability in vanquish Upload Files Anywhere wp-upload-files-anywhere allows Path Traversal.This issue affects Upload Files Anywhere: from n/a through &lt;= 2.8.</t>
        </is>
      </c>
      <c r="D942" t="n">
        <v>5</v>
      </c>
      <c r="E942" t="inlineStr">
        <is>
          <t>MEDIUM</t>
        </is>
      </c>
      <c r="F942" t="n">
        <v>2</v>
      </c>
      <c r="G942" t="n">
        <v>2</v>
      </c>
      <c r="H942" t="inlineStr">
        <is>
          <t>MEDIUM</t>
        </is>
      </c>
      <c r="I942" t="n">
        <v>9</v>
      </c>
      <c r="J942" t="inlineStr">
        <is>
          <t>NO</t>
        </is>
      </c>
      <c r="K942" t="inlineStr">
        <is>
          <t>2026-02-23 23:48</t>
        </is>
      </c>
      <c r="L942" t="inlineStr">
        <is>
          <t>CHECK_VENDOR</t>
        </is>
      </c>
      <c r="M942" t="inlineStr">
        <is>
          <t>See CVE details</t>
        </is>
      </c>
      <c r="N942" t="inlineStr">
        <is>
          <t>P4</t>
        </is>
      </c>
      <c r="O942" t="inlineStr">
        <is>
          <t>CVE - IP enrichment n/a</t>
        </is>
      </c>
      <c r="P942" t="n">
        <v>0</v>
      </c>
      <c r="Q942" t="n">
        <v>0</v>
      </c>
      <c r="R942" t="inlineStr">
        <is>
          <t>T1083:File and Directory Discovery</t>
        </is>
      </c>
      <c r="S942" t="n">
        <v>1</v>
      </c>
      <c r="T942" t="inlineStr">
        <is>
          <t>LOW (40%)</t>
        </is>
      </c>
      <c r="U942" t="inlineStr">
        <is>
          <t>UNLIKELY</t>
        </is>
      </c>
      <c r="V942" t="inlineStr">
        <is>
          <t>CHECK_VENDOR</t>
        </is>
      </c>
      <c r="W942" t="inlineStr">
        <is>
          <t>https://nvd.nist.gov/vuln/detail/CVE-2025-69379</t>
        </is>
      </c>
      <c r="X942" t="inlineStr">
        <is>
          <t>NONE</t>
        </is>
      </c>
      <c r="Y942" t="n">
        <v>0</v>
      </c>
      <c r="Z942" t="inlineStr"/>
      <c r="AA942" t="inlineStr">
        <is>
          <t>https://nvd.nist.gov/vuln/detail/CVE-2025-69379</t>
        </is>
      </c>
    </row>
    <row r="943">
      <c r="A943" t="inlineStr">
        <is>
          <t>CVE</t>
        </is>
      </c>
      <c r="B943" t="inlineStr">
        <is>
          <t>CVE-2025-69380</t>
        </is>
      </c>
      <c r="C943" t="inlineStr">
        <is>
          <t>Improper Limitation of a Pathname to a Restricted Directory ('Path Traversal') vulnerability in vanquish Upload Files Anywhere wp-upload-files-anywhere allows Path Traversal.This issue affects Upload Files Anywhere: from n/a through &lt;= 2.8.</t>
        </is>
      </c>
      <c r="D943" t="n">
        <v>7.5</v>
      </c>
      <c r="E943" t="inlineStr">
        <is>
          <t>HIGH</t>
        </is>
      </c>
      <c r="F943" t="n">
        <v>2</v>
      </c>
      <c r="G943" t="n">
        <v>3</v>
      </c>
      <c r="H943" t="inlineStr">
        <is>
          <t>HIGH</t>
        </is>
      </c>
      <c r="I943" t="n">
        <v>13.5</v>
      </c>
      <c r="J943" t="inlineStr">
        <is>
          <t>NO</t>
        </is>
      </c>
      <c r="K943" t="inlineStr">
        <is>
          <t>2026-02-23 23:48</t>
        </is>
      </c>
      <c r="L943" t="inlineStr">
        <is>
          <t>CHECK_VENDOR</t>
        </is>
      </c>
      <c r="M943" t="inlineStr">
        <is>
          <t>See CVE details</t>
        </is>
      </c>
      <c r="N943" t="inlineStr">
        <is>
          <t>P3</t>
        </is>
      </c>
      <c r="O943" t="inlineStr">
        <is>
          <t>CVE - IP enrichment n/a</t>
        </is>
      </c>
      <c r="P943" t="n">
        <v>0</v>
      </c>
      <c r="Q943" t="n">
        <v>0</v>
      </c>
      <c r="R943" t="inlineStr">
        <is>
          <t>T1083:File and Directory Discovery</t>
        </is>
      </c>
      <c r="S943" t="n">
        <v>1</v>
      </c>
      <c r="T943" t="inlineStr">
        <is>
          <t>LOW (40%)</t>
        </is>
      </c>
      <c r="U943" t="inlineStr">
        <is>
          <t>UNLIKELY</t>
        </is>
      </c>
      <c r="V943" t="inlineStr">
        <is>
          <t>CHECK_VENDOR</t>
        </is>
      </c>
      <c r="W943" t="inlineStr">
        <is>
          <t>https://nvd.nist.gov/vuln/detail/CVE-2025-69380</t>
        </is>
      </c>
      <c r="X943" t="inlineStr">
        <is>
          <t>NONE</t>
        </is>
      </c>
      <c r="Y943" t="n">
        <v>0</v>
      </c>
      <c r="Z943" t="inlineStr"/>
      <c r="AA943" t="inlineStr">
        <is>
          <t>https://nvd.nist.gov/vuln/detail/CVE-2025-69380</t>
        </is>
      </c>
    </row>
    <row r="944">
      <c r="A944" t="inlineStr">
        <is>
          <t>CVE</t>
        </is>
      </c>
      <c r="B944" t="inlineStr">
        <is>
          <t>CVE-2025-69381</t>
        </is>
      </c>
      <c r="C944" t="inlineStr">
        <is>
          <t>Missing Authorization vulnerability in vanquish WooCommerce Bulk Product Editor woocommerce-quick-product-editor allows Exploiting Incorrectly Configured Access Control Security Levels.This issue affects WooCommerce Bulk Product Editor: from n/a through &lt;= 3.0.</t>
        </is>
      </c>
      <c r="D944" t="n">
        <v>8.5</v>
      </c>
      <c r="E944" t="inlineStr">
        <is>
          <t>HIGH</t>
        </is>
      </c>
      <c r="F944" t="n">
        <v>2</v>
      </c>
      <c r="G944" t="n">
        <v>3</v>
      </c>
      <c r="H944" t="inlineStr">
        <is>
          <t>HIGH</t>
        </is>
      </c>
      <c r="I944" t="n">
        <v>14.5</v>
      </c>
      <c r="J944" t="inlineStr">
        <is>
          <t>NO</t>
        </is>
      </c>
      <c r="K944" t="inlineStr">
        <is>
          <t>2026-02-23 23:48</t>
        </is>
      </c>
      <c r="L944" t="inlineStr">
        <is>
          <t>CHECK_VENDOR</t>
        </is>
      </c>
      <c r="M944" t="inlineStr">
        <is>
          <t>See CVE details</t>
        </is>
      </c>
      <c r="N944" t="inlineStr">
        <is>
          <t>P3</t>
        </is>
      </c>
      <c r="O944" t="inlineStr">
        <is>
          <t>CVE - IP enrichment n/a</t>
        </is>
      </c>
      <c r="P944" t="n">
        <v>0</v>
      </c>
      <c r="Q944" t="n">
        <v>0</v>
      </c>
      <c r="R944" t="inlineStr">
        <is>
          <t>T1190:Exploit Public-Facing Application</t>
        </is>
      </c>
      <c r="S944" t="n">
        <v>1</v>
      </c>
      <c r="T944" t="inlineStr">
        <is>
          <t>LOW (40%)</t>
        </is>
      </c>
      <c r="U944" t="inlineStr">
        <is>
          <t>UNLIKELY</t>
        </is>
      </c>
      <c r="V944" t="inlineStr">
        <is>
          <t>CHECK_VENDOR</t>
        </is>
      </c>
      <c r="W944" t="inlineStr">
        <is>
          <t>https://nvd.nist.gov/vuln/detail/CVE-2025-69381</t>
        </is>
      </c>
      <c r="X944" t="inlineStr">
        <is>
          <t>NONE</t>
        </is>
      </c>
      <c r="Y944" t="n">
        <v>0</v>
      </c>
      <c r="Z944" t="inlineStr"/>
      <c r="AA944" t="inlineStr">
        <is>
          <t>https://nvd.nist.gov/vuln/detail/CVE-2025-69381</t>
        </is>
      </c>
    </row>
    <row r="945">
      <c r="A945" t="inlineStr">
        <is>
          <t>CVE</t>
        </is>
      </c>
      <c r="B945" t="inlineStr">
        <is>
          <t>CVE-2025-69382</t>
        </is>
      </c>
      <c r="C945" t="inlineStr">
        <is>
          <t>Deserialization of Untrusted Data vulnerability in themesflat Themesflat Elementor themesflat-elementor allows Object Injection.This issue affects Themesflat Elementor: from n/a through &lt;= 1.0.1.</t>
        </is>
      </c>
      <c r="D945" t="n">
        <v>5</v>
      </c>
      <c r="E945" t="inlineStr">
        <is>
          <t>MEDIUM</t>
        </is>
      </c>
      <c r="F945" t="n">
        <v>2</v>
      </c>
      <c r="G945" t="n">
        <v>2</v>
      </c>
      <c r="H945" t="inlineStr">
        <is>
          <t>MEDIUM</t>
        </is>
      </c>
      <c r="I945" t="n">
        <v>9</v>
      </c>
      <c r="J945" t="inlineStr">
        <is>
          <t>NO</t>
        </is>
      </c>
      <c r="K945" t="inlineStr">
        <is>
          <t>2026-02-23 23:48</t>
        </is>
      </c>
      <c r="L945" t="inlineStr">
        <is>
          <t>CHECK_VENDOR</t>
        </is>
      </c>
      <c r="M945" t="inlineStr">
        <is>
          <t>See CVE details</t>
        </is>
      </c>
      <c r="N945" t="inlineStr">
        <is>
          <t>P4</t>
        </is>
      </c>
      <c r="O945" t="inlineStr">
        <is>
          <t>CVE - IP enrichment n/a</t>
        </is>
      </c>
      <c r="P945" t="n">
        <v>0</v>
      </c>
      <c r="Q945" t="n">
        <v>0</v>
      </c>
      <c r="R945" t="inlineStr">
        <is>
          <t>T1059:Command and Scripting Interpreter</t>
        </is>
      </c>
      <c r="S945" t="n">
        <v>1</v>
      </c>
      <c r="T945" t="inlineStr">
        <is>
          <t>LOW (40%)</t>
        </is>
      </c>
      <c r="U945" t="inlineStr">
        <is>
          <t>UNLIKELY</t>
        </is>
      </c>
      <c r="V945" t="inlineStr">
        <is>
          <t>CHECK_VENDOR</t>
        </is>
      </c>
      <c r="W945" t="inlineStr">
        <is>
          <t>https://nvd.nist.gov/vuln/detail/CVE-2025-69382</t>
        </is>
      </c>
      <c r="X945" t="inlineStr">
        <is>
          <t>NONE</t>
        </is>
      </c>
      <c r="Y945" t="n">
        <v>0</v>
      </c>
      <c r="Z945" t="inlineStr"/>
      <c r="AA945" t="inlineStr">
        <is>
          <t>https://nvd.nist.gov/vuln/detail/CVE-2025-69382</t>
        </is>
      </c>
    </row>
    <row r="946">
      <c r="A946" t="inlineStr">
        <is>
          <t>CVE</t>
        </is>
      </c>
      <c r="B946" t="inlineStr">
        <is>
          <t>CVE-2025-69383</t>
        </is>
      </c>
      <c r="C946" t="inlineStr">
        <is>
          <t>Improper Control of Filename for Include/Require Statement in PHP Program ('PHP Remote File Inclusion') vulnerability in Agence web Eoxia - Montpellier WP shop wpshop allows PHP Local File Inclusion.This issue affects WP shop: from n/a through &lt;= 2.6.1.</t>
        </is>
      </c>
      <c r="D946" t="n">
        <v>5</v>
      </c>
      <c r="E946" t="inlineStr">
        <is>
          <t>MEDIUM</t>
        </is>
      </c>
      <c r="F946" t="n">
        <v>2</v>
      </c>
      <c r="G946" t="n">
        <v>2</v>
      </c>
      <c r="H946" t="inlineStr">
        <is>
          <t>MEDIUM</t>
        </is>
      </c>
      <c r="I946" t="n">
        <v>9</v>
      </c>
      <c r="J946" t="inlineStr">
        <is>
          <t>NO</t>
        </is>
      </c>
      <c r="K946" t="inlineStr">
        <is>
          <t>2026-02-23 23:48</t>
        </is>
      </c>
      <c r="L946" t="inlineStr">
        <is>
          <t>CHECK_VENDOR</t>
        </is>
      </c>
      <c r="M946" t="inlineStr">
        <is>
          <t>See CVE details</t>
        </is>
      </c>
      <c r="N946" t="inlineStr">
        <is>
          <t>P4</t>
        </is>
      </c>
      <c r="O946" t="inlineStr">
        <is>
          <t>CVE - IP enrichment n/a</t>
        </is>
      </c>
      <c r="P946" t="n">
        <v>0</v>
      </c>
      <c r="Q946" t="n">
        <v>0</v>
      </c>
      <c r="R946" t="inlineStr">
        <is>
          <t>T1190:Exploit Public-Facing Application</t>
        </is>
      </c>
      <c r="S946" t="n">
        <v>1</v>
      </c>
      <c r="T946" t="inlineStr">
        <is>
          <t>LOW (40%)</t>
        </is>
      </c>
      <c r="U946" t="inlineStr">
        <is>
          <t>UNLIKELY</t>
        </is>
      </c>
      <c r="V946" t="inlineStr">
        <is>
          <t>CHECK_VENDOR</t>
        </is>
      </c>
      <c r="W946" t="inlineStr">
        <is>
          <t>https://nvd.nist.gov/vuln/detail/CVE-2025-69383</t>
        </is>
      </c>
      <c r="X946" t="inlineStr">
        <is>
          <t>NONE</t>
        </is>
      </c>
      <c r="Y946" t="n">
        <v>0</v>
      </c>
      <c r="Z946" t="inlineStr"/>
      <c r="AA946" t="inlineStr">
        <is>
          <t>https://nvd.nist.gov/vuln/detail/CVE-2025-69383</t>
        </is>
      </c>
    </row>
    <row r="947">
      <c r="A947" t="inlineStr">
        <is>
          <t>CVE</t>
        </is>
      </c>
      <c r="B947" t="inlineStr">
        <is>
          <t>CVE-2025-69384</t>
        </is>
      </c>
      <c r="C947" t="inlineStr">
        <is>
          <t>Improper Neutralization of Input During Web Page Generation ('Cross-site Scripting') vulnerability in wpdiscover Timeline Event History timeline-event-history allows Reflected XSS.This issue affects Timeline Event History: from n/a through &lt;= 3.2.</t>
        </is>
      </c>
      <c r="D947" t="n">
        <v>5</v>
      </c>
      <c r="E947" t="inlineStr">
        <is>
          <t>MEDIUM</t>
        </is>
      </c>
      <c r="F947" t="n">
        <v>2</v>
      </c>
      <c r="G947" t="n">
        <v>2</v>
      </c>
      <c r="H947" t="inlineStr">
        <is>
          <t>MEDIUM</t>
        </is>
      </c>
      <c r="I947" t="n">
        <v>9</v>
      </c>
      <c r="J947" t="inlineStr">
        <is>
          <t>NO</t>
        </is>
      </c>
      <c r="K947" t="inlineStr">
        <is>
          <t>2026-02-23 23:48</t>
        </is>
      </c>
      <c r="L947" t="inlineStr">
        <is>
          <t>CHECK_VENDOR</t>
        </is>
      </c>
      <c r="M947" t="inlineStr">
        <is>
          <t>See CVE details</t>
        </is>
      </c>
      <c r="N947" t="inlineStr">
        <is>
          <t>P4</t>
        </is>
      </c>
      <c r="O947" t="inlineStr">
        <is>
          <t>CVE - IP enrichment n/a</t>
        </is>
      </c>
      <c r="P947" t="n">
        <v>0.0003</v>
      </c>
      <c r="Q947" t="n">
        <v>0.0808</v>
      </c>
      <c r="R947" t="inlineStr">
        <is>
          <t>T1189:Drive-by Compromise</t>
        </is>
      </c>
      <c r="S947" t="n">
        <v>1</v>
      </c>
      <c r="T947" t="inlineStr">
        <is>
          <t>LOW (40%)</t>
        </is>
      </c>
      <c r="U947" t="inlineStr">
        <is>
          <t>UNLIKELY</t>
        </is>
      </c>
      <c r="V947" t="inlineStr">
        <is>
          <t>CHECK_VENDOR</t>
        </is>
      </c>
      <c r="W947" t="inlineStr">
        <is>
          <t>https://nvd.nist.gov/vuln/detail/CVE-2025-69384</t>
        </is>
      </c>
      <c r="X947" t="inlineStr">
        <is>
          <t>NONE</t>
        </is>
      </c>
      <c r="Y947" t="n">
        <v>0</v>
      </c>
      <c r="Z947" t="inlineStr"/>
      <c r="AA947" t="inlineStr">
        <is>
          <t>https://nvd.nist.gov/vuln/detail/CVE-2025-69384</t>
        </is>
      </c>
    </row>
    <row r="948">
      <c r="A948" t="inlineStr">
        <is>
          <t>CVE</t>
        </is>
      </c>
      <c r="B948" t="inlineStr">
        <is>
          <t>CVE-2025-69385</t>
        </is>
      </c>
      <c r="C948" t="inlineStr">
        <is>
          <t>Missing Authorization vulnerability in AgniHD Cartify - WooCommerce Gutenberg WordPress Theme cartify allows Exploiting Incorrectly Configured Access Control Security Levels.This issue affects Cartify - WooCommerce Gutenberg WordPress Theme: from n/a through &lt;= 1.3.</t>
        </is>
      </c>
      <c r="D948" t="n">
        <v>8.5</v>
      </c>
      <c r="E948" t="inlineStr">
        <is>
          <t>HIGH</t>
        </is>
      </c>
      <c r="F948" t="n">
        <v>2</v>
      </c>
      <c r="G948" t="n">
        <v>3</v>
      </c>
      <c r="H948" t="inlineStr">
        <is>
          <t>HIGH</t>
        </is>
      </c>
      <c r="I948" t="n">
        <v>14.5</v>
      </c>
      <c r="J948" t="inlineStr">
        <is>
          <t>NO</t>
        </is>
      </c>
      <c r="K948" t="inlineStr">
        <is>
          <t>2026-02-23 23:48</t>
        </is>
      </c>
      <c r="L948" t="inlineStr">
        <is>
          <t>CHECK_VENDOR</t>
        </is>
      </c>
      <c r="M948" t="inlineStr">
        <is>
          <t>See CVE details</t>
        </is>
      </c>
      <c r="N948" t="inlineStr">
        <is>
          <t>P3</t>
        </is>
      </c>
      <c r="O948" t="inlineStr">
        <is>
          <t>CVE - IP enrichment n/a</t>
        </is>
      </c>
      <c r="P948" t="n">
        <v>0</v>
      </c>
      <c r="Q948" t="n">
        <v>0</v>
      </c>
      <c r="R948" t="inlineStr">
        <is>
          <t>T1190:Exploit Public-Facing Application</t>
        </is>
      </c>
      <c r="S948" t="n">
        <v>1</v>
      </c>
      <c r="T948" t="inlineStr">
        <is>
          <t>LOW (40%)</t>
        </is>
      </c>
      <c r="U948" t="inlineStr">
        <is>
          <t>UNLIKELY</t>
        </is>
      </c>
      <c r="V948" t="inlineStr">
        <is>
          <t>CHECK_VENDOR</t>
        </is>
      </c>
      <c r="W948" t="inlineStr">
        <is>
          <t>https://nvd.nist.gov/vuln/detail/CVE-2025-69385</t>
        </is>
      </c>
      <c r="X948" t="inlineStr">
        <is>
          <t>NONE</t>
        </is>
      </c>
      <c r="Y948" t="n">
        <v>0</v>
      </c>
      <c r="Z948" t="inlineStr"/>
      <c r="AA948" t="inlineStr">
        <is>
          <t>https://nvd.nist.gov/vuln/detail/CVE-2025-69385</t>
        </is>
      </c>
    </row>
    <row r="949">
      <c r="A949" t="inlineStr">
        <is>
          <t>CVE</t>
        </is>
      </c>
      <c r="B949" t="inlineStr">
        <is>
          <t>CVE-2025-69386</t>
        </is>
      </c>
      <c r="C949" t="inlineStr">
        <is>
          <t>Improper Neutralization of Input During Web Page Generation ('Cross-site Scripting') vulnerability in realvirtualmx RVCFDI para Woocommerce rvcfdi-para-woocommerce allows Reflected XSS.This issue affects RVCFDI para Woocommerce: from n/a through &lt;= 8.1.8.</t>
        </is>
      </c>
      <c r="D949" t="n">
        <v>8.5</v>
      </c>
      <c r="E949" t="inlineStr">
        <is>
          <t>HIGH</t>
        </is>
      </c>
      <c r="F949" t="n">
        <v>2</v>
      </c>
      <c r="G949" t="n">
        <v>3</v>
      </c>
      <c r="H949" t="inlineStr">
        <is>
          <t>HIGH</t>
        </is>
      </c>
      <c r="I949" t="n">
        <v>14.5</v>
      </c>
      <c r="J949" t="inlineStr">
        <is>
          <t>NO</t>
        </is>
      </c>
      <c r="K949" t="inlineStr">
        <is>
          <t>2026-02-23 23:48</t>
        </is>
      </c>
      <c r="L949" t="inlineStr">
        <is>
          <t>CHECK_VENDOR</t>
        </is>
      </c>
      <c r="M949" t="inlineStr">
        <is>
          <t>See CVE details</t>
        </is>
      </c>
      <c r="N949" t="inlineStr">
        <is>
          <t>P3</t>
        </is>
      </c>
      <c r="O949" t="inlineStr">
        <is>
          <t>CVE - IP enrichment n/a</t>
        </is>
      </c>
      <c r="P949" t="n">
        <v>0</v>
      </c>
      <c r="Q949" t="n">
        <v>0</v>
      </c>
      <c r="R949" t="inlineStr">
        <is>
          <t>T1189:Drive-by Compromise | T1190:Exploit Public-Facing Application</t>
        </is>
      </c>
      <c r="S949" t="n">
        <v>1</v>
      </c>
      <c r="T949" t="inlineStr">
        <is>
          <t>LOW (40%)</t>
        </is>
      </c>
      <c r="U949" t="inlineStr">
        <is>
          <t>UNLIKELY</t>
        </is>
      </c>
      <c r="V949" t="inlineStr">
        <is>
          <t>CHECK_VENDOR</t>
        </is>
      </c>
      <c r="W949" t="inlineStr">
        <is>
          <t>https://nvd.nist.gov/vuln/detail/CVE-2025-69386</t>
        </is>
      </c>
      <c r="X949" t="inlineStr">
        <is>
          <t>NONE</t>
        </is>
      </c>
      <c r="Y949" t="n">
        <v>0</v>
      </c>
      <c r="Z949" t="inlineStr"/>
      <c r="AA949" t="inlineStr">
        <is>
          <t>https://nvd.nist.gov/vuln/detail/CVE-2025-69386</t>
        </is>
      </c>
    </row>
    <row r="950">
      <c r="A950" t="inlineStr">
        <is>
          <t>CVE</t>
        </is>
      </c>
      <c r="B950" t="inlineStr">
        <is>
          <t>CVE-2025-69387</t>
        </is>
      </c>
      <c r="C950" t="inlineStr">
        <is>
          <t>Improper Control of Filename for Include/Require Statement in PHP Program ('PHP Remote File Inclusion') vulnerability in whatwouldjessedo Simple Retail Menus simple-retail-menus allows PHP Local File Inclusion.This issue affects Simple Retail Menus: from n/a through &lt;= 4.2.1.</t>
        </is>
      </c>
      <c r="D950" t="n">
        <v>5</v>
      </c>
      <c r="E950" t="inlineStr">
        <is>
          <t>MEDIUM</t>
        </is>
      </c>
      <c r="F950" t="n">
        <v>2</v>
      </c>
      <c r="G950" t="n">
        <v>2</v>
      </c>
      <c r="H950" t="inlineStr">
        <is>
          <t>MEDIUM</t>
        </is>
      </c>
      <c r="I950" t="n">
        <v>9</v>
      </c>
      <c r="J950" t="inlineStr">
        <is>
          <t>NO</t>
        </is>
      </c>
      <c r="K950" t="inlineStr">
        <is>
          <t>2026-02-23 23:48</t>
        </is>
      </c>
      <c r="L950" t="inlineStr">
        <is>
          <t>CHECK_VENDOR</t>
        </is>
      </c>
      <c r="M950" t="inlineStr">
        <is>
          <t>See CVE details</t>
        </is>
      </c>
      <c r="N950" t="inlineStr">
        <is>
          <t>P4</t>
        </is>
      </c>
      <c r="O950" t="inlineStr">
        <is>
          <t>CVE - IP enrichment n/a</t>
        </is>
      </c>
      <c r="P950" t="n">
        <v>0</v>
      </c>
      <c r="Q950" t="n">
        <v>0</v>
      </c>
      <c r="R950" t="inlineStr">
        <is>
          <t>T1190:Exploit Public-Facing Application</t>
        </is>
      </c>
      <c r="S950" t="n">
        <v>1</v>
      </c>
      <c r="T950" t="inlineStr">
        <is>
          <t>LOW (40%)</t>
        </is>
      </c>
      <c r="U950" t="inlineStr">
        <is>
          <t>UNLIKELY</t>
        </is>
      </c>
      <c r="V950" t="inlineStr">
        <is>
          <t>CHECK_VENDOR</t>
        </is>
      </c>
      <c r="W950" t="inlineStr">
        <is>
          <t>https://nvd.nist.gov/vuln/detail/CVE-2025-69387</t>
        </is>
      </c>
      <c r="X950" t="inlineStr">
        <is>
          <t>NONE</t>
        </is>
      </c>
      <c r="Y950" t="n">
        <v>0</v>
      </c>
      <c r="Z950" t="inlineStr"/>
      <c r="AA950" t="inlineStr">
        <is>
          <t>https://nvd.nist.gov/vuln/detail/CVE-2025-69387</t>
        </is>
      </c>
    </row>
    <row r="951">
      <c r="A951" t="inlineStr">
        <is>
          <t>CVE</t>
        </is>
      </c>
      <c r="B951" t="inlineStr">
        <is>
          <t>CVE-2025-69388</t>
        </is>
      </c>
      <c r="C951" t="inlineStr">
        <is>
          <t>Missing Authorization vulnerability in cliengo Cliengo – Chatbot cliengo allows Exploiting Incorrectly Configured Access Control Security Levels.This issue affects Cliengo – Chatbot: from n/a through &lt;= 3.0.4.</t>
        </is>
      </c>
      <c r="D951" t="n">
        <v>5</v>
      </c>
      <c r="E951" t="inlineStr">
        <is>
          <t>MEDIUM</t>
        </is>
      </c>
      <c r="F951" t="n">
        <v>2</v>
      </c>
      <c r="G951" t="n">
        <v>2</v>
      </c>
      <c r="H951" t="inlineStr">
        <is>
          <t>MEDIUM</t>
        </is>
      </c>
      <c r="I951" t="n">
        <v>9</v>
      </c>
      <c r="J951" t="inlineStr">
        <is>
          <t>NO</t>
        </is>
      </c>
      <c r="K951" t="inlineStr">
        <is>
          <t>2026-02-23 23:48</t>
        </is>
      </c>
      <c r="L951" t="inlineStr">
        <is>
          <t>CHECK_VENDOR</t>
        </is>
      </c>
      <c r="M951" t="inlineStr">
        <is>
          <t>See CVE details</t>
        </is>
      </c>
      <c r="N951" t="inlineStr">
        <is>
          <t>P4</t>
        </is>
      </c>
      <c r="O951" t="inlineStr">
        <is>
          <t>CVE - IP enrichment n/a</t>
        </is>
      </c>
      <c r="P951" t="n">
        <v>0</v>
      </c>
      <c r="Q951" t="n">
        <v>0</v>
      </c>
      <c r="R951" t="inlineStr">
        <is>
          <t>T1190:Exploit Public-Facing Application</t>
        </is>
      </c>
      <c r="S951" t="n">
        <v>1</v>
      </c>
      <c r="T951" t="inlineStr">
        <is>
          <t>LOW (40%)</t>
        </is>
      </c>
      <c r="U951" t="inlineStr">
        <is>
          <t>UNLIKELY</t>
        </is>
      </c>
      <c r="V951" t="inlineStr">
        <is>
          <t>CHECK_VENDOR</t>
        </is>
      </c>
      <c r="W951" t="inlineStr">
        <is>
          <t>https://nvd.nist.gov/vuln/detail/CVE-2025-69388</t>
        </is>
      </c>
      <c r="X951" t="inlineStr">
        <is>
          <t>NONE</t>
        </is>
      </c>
      <c r="Y951" t="n">
        <v>0</v>
      </c>
      <c r="Z951" t="inlineStr"/>
      <c r="AA951" t="inlineStr">
        <is>
          <t>https://nvd.nist.gov/vuln/detail/CVE-2025-69388</t>
        </is>
      </c>
    </row>
    <row r="952">
      <c r="A952" t="inlineStr">
        <is>
          <t>CVE</t>
        </is>
      </c>
      <c r="B952" t="inlineStr">
        <is>
          <t>CVE-2025-69389</t>
        </is>
      </c>
      <c r="C952" t="inlineStr">
        <is>
          <t>Improper Neutralization of Input During Web Page Generation ('Cross-site Scripting') vulnerability in Hugh Mungus Visitor Maps Extended Referer Field visitor-maps-extended-referer-field allows Reflected XSS.This issue affects Visitor Maps Extended Referer Field: from n/a through &lt;= 1.2.6.</t>
        </is>
      </c>
      <c r="D952" t="n">
        <v>5</v>
      </c>
      <c r="E952" t="inlineStr">
        <is>
          <t>MEDIUM</t>
        </is>
      </c>
      <c r="F952" t="n">
        <v>2</v>
      </c>
      <c r="G952" t="n">
        <v>2</v>
      </c>
      <c r="H952" t="inlineStr">
        <is>
          <t>MEDIUM</t>
        </is>
      </c>
      <c r="I952" t="n">
        <v>9</v>
      </c>
      <c r="J952" t="inlineStr">
        <is>
          <t>NO</t>
        </is>
      </c>
      <c r="K952" t="inlineStr">
        <is>
          <t>2026-02-23 23:48</t>
        </is>
      </c>
      <c r="L952" t="inlineStr">
        <is>
          <t>CHECK_VENDOR</t>
        </is>
      </c>
      <c r="M952" t="inlineStr">
        <is>
          <t>See CVE details</t>
        </is>
      </c>
      <c r="N952" t="inlineStr">
        <is>
          <t>P4</t>
        </is>
      </c>
      <c r="O952" t="inlineStr">
        <is>
          <t>CVE - IP enrichment n/a</t>
        </is>
      </c>
      <c r="P952" t="n">
        <v>0</v>
      </c>
      <c r="Q952" t="n">
        <v>0</v>
      </c>
      <c r="R952" t="inlineStr">
        <is>
          <t>T1189:Drive-by Compromise</t>
        </is>
      </c>
      <c r="S952" t="n">
        <v>1</v>
      </c>
      <c r="T952" t="inlineStr">
        <is>
          <t>LOW (40%)</t>
        </is>
      </c>
      <c r="U952" t="inlineStr">
        <is>
          <t>UNLIKELY</t>
        </is>
      </c>
      <c r="V952" t="inlineStr">
        <is>
          <t>CHECK_VENDOR</t>
        </is>
      </c>
      <c r="W952" t="inlineStr">
        <is>
          <t>https://nvd.nist.gov/vuln/detail/CVE-2025-69389</t>
        </is>
      </c>
      <c r="X952" t="inlineStr">
        <is>
          <t>NONE</t>
        </is>
      </c>
      <c r="Y952" t="n">
        <v>0</v>
      </c>
      <c r="Z952" t="inlineStr"/>
      <c r="AA952" t="inlineStr">
        <is>
          <t>https://nvd.nist.gov/vuln/detail/CVE-2025-69389</t>
        </is>
      </c>
    </row>
    <row r="953">
      <c r="A953" t="inlineStr">
        <is>
          <t>CVE</t>
        </is>
      </c>
      <c r="B953" t="inlineStr">
        <is>
          <t>CVE-2025-69390</t>
        </is>
      </c>
      <c r="C953" t="inlineStr">
        <is>
          <t>Improper Neutralization of Input During Web Page Generation ('Cross-site Scripting') vulnerability in themebon Business Template Blocks for WPBakery (Visual Composer) Page Builder templates-and-addons-for-wpbakery-page-builder allows Reflected XSS.This issue affects Business Template Blocks for WPBakery (Visual Composer) Page Builder: from n/a through &lt;= 1.3.2.</t>
        </is>
      </c>
      <c r="D953" t="n">
        <v>5</v>
      </c>
      <c r="E953" t="inlineStr">
        <is>
          <t>MEDIUM</t>
        </is>
      </c>
      <c r="F953" t="n">
        <v>2</v>
      </c>
      <c r="G953" t="n">
        <v>2</v>
      </c>
      <c r="H953" t="inlineStr">
        <is>
          <t>MEDIUM</t>
        </is>
      </c>
      <c r="I953" t="n">
        <v>9</v>
      </c>
      <c r="J953" t="inlineStr">
        <is>
          <t>NO</t>
        </is>
      </c>
      <c r="K953" t="inlineStr">
        <is>
          <t>2026-02-23 23:48</t>
        </is>
      </c>
      <c r="L953" t="inlineStr">
        <is>
          <t>CHECK_VENDOR</t>
        </is>
      </c>
      <c r="M953" t="inlineStr">
        <is>
          <t>See CVE details</t>
        </is>
      </c>
      <c r="N953" t="inlineStr">
        <is>
          <t>P4</t>
        </is>
      </c>
      <c r="O953" t="inlineStr">
        <is>
          <t>CVE - IP enrichment n/a</t>
        </is>
      </c>
      <c r="P953" t="n">
        <v>0.0003</v>
      </c>
      <c r="Q953" t="n">
        <v>0.0808</v>
      </c>
      <c r="R953" t="inlineStr">
        <is>
          <t>T1189:Drive-by Compromise</t>
        </is>
      </c>
      <c r="S953" t="n">
        <v>1</v>
      </c>
      <c r="T953" t="inlineStr">
        <is>
          <t>LOW (40%)</t>
        </is>
      </c>
      <c r="U953" t="inlineStr">
        <is>
          <t>UNLIKELY</t>
        </is>
      </c>
      <c r="V953" t="inlineStr">
        <is>
          <t>CHECK_VENDOR</t>
        </is>
      </c>
      <c r="W953" t="inlineStr">
        <is>
          <t>https://nvd.nist.gov/vuln/detail/CVE-2025-69390</t>
        </is>
      </c>
      <c r="X953" t="inlineStr">
        <is>
          <t>NONE</t>
        </is>
      </c>
      <c r="Y953" t="n">
        <v>0</v>
      </c>
      <c r="Z953" t="inlineStr"/>
      <c r="AA953" t="inlineStr">
        <is>
          <t>https://nvd.nist.gov/vuln/detail/CVE-2025-69390</t>
        </is>
      </c>
    </row>
    <row r="954">
      <c r="A954" t="inlineStr">
        <is>
          <t>CVE</t>
        </is>
      </c>
      <c r="B954" t="inlineStr">
        <is>
          <t>CVE-2025-69391</t>
        </is>
      </c>
      <c r="C954" t="inlineStr">
        <is>
          <t>Improper Neutralization of Input During Web Page Generation ('Cross-site Scripting') vulnerability in GT3themes Diamond diamond allows Reflected XSS.This issue affects Diamond: from n/a through &lt;= 2.4.8.</t>
        </is>
      </c>
      <c r="D954" t="n">
        <v>5</v>
      </c>
      <c r="E954" t="inlineStr">
        <is>
          <t>MEDIUM</t>
        </is>
      </c>
      <c r="F954" t="n">
        <v>2</v>
      </c>
      <c r="G954" t="n">
        <v>2</v>
      </c>
      <c r="H954" t="inlineStr">
        <is>
          <t>MEDIUM</t>
        </is>
      </c>
      <c r="I954" t="n">
        <v>9</v>
      </c>
      <c r="J954" t="inlineStr">
        <is>
          <t>NO</t>
        </is>
      </c>
      <c r="K954" t="inlineStr">
        <is>
          <t>2026-02-23 23:48</t>
        </is>
      </c>
      <c r="L954" t="inlineStr">
        <is>
          <t>CHECK_VENDOR</t>
        </is>
      </c>
      <c r="M954" t="inlineStr">
        <is>
          <t>See CVE details</t>
        </is>
      </c>
      <c r="N954" t="inlineStr">
        <is>
          <t>P4</t>
        </is>
      </c>
      <c r="O954" t="inlineStr">
        <is>
          <t>CVE - IP enrichment n/a</t>
        </is>
      </c>
      <c r="P954" t="n">
        <v>0.0003</v>
      </c>
      <c r="Q954" t="n">
        <v>0.0808</v>
      </c>
      <c r="R954" t="inlineStr">
        <is>
          <t>T1189:Drive-by Compromise</t>
        </is>
      </c>
      <c r="S954" t="n">
        <v>1</v>
      </c>
      <c r="T954" t="inlineStr">
        <is>
          <t>LOW (40%)</t>
        </is>
      </c>
      <c r="U954" t="inlineStr">
        <is>
          <t>UNLIKELY</t>
        </is>
      </c>
      <c r="V954" t="inlineStr">
        <is>
          <t>CHECK_VENDOR</t>
        </is>
      </c>
      <c r="W954" t="inlineStr">
        <is>
          <t>https://nvd.nist.gov/vuln/detail/CVE-2025-69391</t>
        </is>
      </c>
      <c r="X954" t="inlineStr">
        <is>
          <t>NONE</t>
        </is>
      </c>
      <c r="Y954" t="n">
        <v>0</v>
      </c>
      <c r="Z954" t="inlineStr"/>
      <c r="AA954" t="inlineStr">
        <is>
          <t>https://nvd.nist.gov/vuln/detail/CVE-2025-69391</t>
        </is>
      </c>
    </row>
    <row r="955">
      <c r="A955" t="inlineStr">
        <is>
          <t>CVE</t>
        </is>
      </c>
      <c r="B955" t="inlineStr">
        <is>
          <t>CVE-2025-69392</t>
        </is>
      </c>
      <c r="C955" t="inlineStr">
        <is>
          <t>Improper Neutralization of Input During Web Page Generation ('Cross-site Scripting') vulnerability in itex iMoney imoney allows Reflected XSS.This issue affects iMoney: from n/a through &lt;= 0.36.</t>
        </is>
      </c>
      <c r="D955" t="n">
        <v>5</v>
      </c>
      <c r="E955" t="inlineStr">
        <is>
          <t>MEDIUM</t>
        </is>
      </c>
      <c r="F955" t="n">
        <v>2</v>
      </c>
      <c r="G955" t="n">
        <v>2</v>
      </c>
      <c r="H955" t="inlineStr">
        <is>
          <t>MEDIUM</t>
        </is>
      </c>
      <c r="I955" t="n">
        <v>9</v>
      </c>
      <c r="J955" t="inlineStr">
        <is>
          <t>NO</t>
        </is>
      </c>
      <c r="K955" t="inlineStr">
        <is>
          <t>2026-02-23 23:48</t>
        </is>
      </c>
      <c r="L955" t="inlineStr">
        <is>
          <t>CHECK_VENDOR</t>
        </is>
      </c>
      <c r="M955" t="inlineStr">
        <is>
          <t>See CVE details</t>
        </is>
      </c>
      <c r="N955" t="inlineStr">
        <is>
          <t>P4</t>
        </is>
      </c>
      <c r="O955" t="inlineStr">
        <is>
          <t>CVE - IP enrichment n/a</t>
        </is>
      </c>
      <c r="P955" t="n">
        <v>0</v>
      </c>
      <c r="Q955" t="n">
        <v>0</v>
      </c>
      <c r="R955" t="inlineStr">
        <is>
          <t>T1189:Drive-by Compromise</t>
        </is>
      </c>
      <c r="S955" t="n">
        <v>1</v>
      </c>
      <c r="T955" t="inlineStr">
        <is>
          <t>LOW (40%)</t>
        </is>
      </c>
      <c r="U955" t="inlineStr">
        <is>
          <t>UNLIKELY</t>
        </is>
      </c>
      <c r="V955" t="inlineStr">
        <is>
          <t>CHECK_VENDOR</t>
        </is>
      </c>
      <c r="W955" t="inlineStr">
        <is>
          <t>https://nvd.nist.gov/vuln/detail/CVE-2025-69392</t>
        </is>
      </c>
      <c r="X955" t="inlineStr">
        <is>
          <t>NONE</t>
        </is>
      </c>
      <c r="Y955" t="n">
        <v>0</v>
      </c>
      <c r="Z955" t="inlineStr"/>
      <c r="AA955" t="inlineStr">
        <is>
          <t>https://nvd.nist.gov/vuln/detail/CVE-2025-69392</t>
        </is>
      </c>
    </row>
    <row r="956">
      <c r="A956" t="inlineStr">
        <is>
          <t>CVE</t>
        </is>
      </c>
      <c r="B956" t="inlineStr">
        <is>
          <t>CVE-2025-69393</t>
        </is>
      </c>
      <c r="C956" t="inlineStr">
        <is>
          <t>Missing Authorization vulnerability in Jthemes Exzo exzo allows Exploiting Incorrectly Configured Access Control Security Levels.This issue affects Exzo: from n/a through &lt;= 1.2.4.</t>
        </is>
      </c>
      <c r="D956" t="n">
        <v>7.5</v>
      </c>
      <c r="E956" t="inlineStr">
        <is>
          <t>HIGH</t>
        </is>
      </c>
      <c r="F956" t="n">
        <v>2</v>
      </c>
      <c r="G956" t="n">
        <v>3</v>
      </c>
      <c r="H956" t="inlineStr">
        <is>
          <t>HIGH</t>
        </is>
      </c>
      <c r="I956" t="n">
        <v>13.5</v>
      </c>
      <c r="J956" t="inlineStr">
        <is>
          <t>NO</t>
        </is>
      </c>
      <c r="K956" t="inlineStr">
        <is>
          <t>2026-02-23 23:48</t>
        </is>
      </c>
      <c r="L956" t="inlineStr">
        <is>
          <t>CHECK_VENDOR</t>
        </is>
      </c>
      <c r="M956" t="inlineStr">
        <is>
          <t>See CVE details</t>
        </is>
      </c>
      <c r="N956" t="inlineStr">
        <is>
          <t>P3</t>
        </is>
      </c>
      <c r="O956" t="inlineStr">
        <is>
          <t>CVE - IP enrichment n/a</t>
        </is>
      </c>
      <c r="P956" t="n">
        <v>0</v>
      </c>
      <c r="Q956" t="n">
        <v>0</v>
      </c>
      <c r="R956" t="inlineStr">
        <is>
          <t>T1190:Exploit Public-Facing Application</t>
        </is>
      </c>
      <c r="S956" t="n">
        <v>1</v>
      </c>
      <c r="T956" t="inlineStr">
        <is>
          <t>LOW (40%)</t>
        </is>
      </c>
      <c r="U956" t="inlineStr">
        <is>
          <t>UNLIKELY</t>
        </is>
      </c>
      <c r="V956" t="inlineStr">
        <is>
          <t>CHECK_VENDOR</t>
        </is>
      </c>
      <c r="W956" t="inlineStr">
        <is>
          <t>https://nvd.nist.gov/vuln/detail/CVE-2025-69393</t>
        </is>
      </c>
      <c r="X956" t="inlineStr">
        <is>
          <t>NONE</t>
        </is>
      </c>
      <c r="Y956" t="n">
        <v>0</v>
      </c>
      <c r="Z956" t="inlineStr"/>
      <c r="AA956" t="inlineStr">
        <is>
          <t>https://nvd.nist.gov/vuln/detail/CVE-2025-69393</t>
        </is>
      </c>
    </row>
    <row r="957">
      <c r="A957" t="inlineStr">
        <is>
          <t>CVE</t>
        </is>
      </c>
      <c r="B957" t="inlineStr">
        <is>
          <t>CVE-2025-69394</t>
        </is>
      </c>
      <c r="C957" t="inlineStr">
        <is>
          <t>Authorization Bypass Through User-Controlled Key vulnerability in cnvrse Cnvrse cnvrse allows Exploiting Incorrectly Configured Access Control Security Levels.This issue affects Cnvrse: from n/a through &lt;= 026.02.10.20.</t>
        </is>
      </c>
      <c r="D957" t="n">
        <v>5</v>
      </c>
      <c r="E957" t="inlineStr">
        <is>
          <t>MEDIUM</t>
        </is>
      </c>
      <c r="F957" t="n">
        <v>2</v>
      </c>
      <c r="G957" t="n">
        <v>2</v>
      </c>
      <c r="H957" t="inlineStr">
        <is>
          <t>MEDIUM</t>
        </is>
      </c>
      <c r="I957" t="n">
        <v>9</v>
      </c>
      <c r="J957" t="inlineStr">
        <is>
          <t>NO</t>
        </is>
      </c>
      <c r="K957" t="inlineStr">
        <is>
          <t>2026-02-23 23:48</t>
        </is>
      </c>
      <c r="L957" t="inlineStr">
        <is>
          <t>CHECK_VENDOR</t>
        </is>
      </c>
      <c r="M957" t="inlineStr">
        <is>
          <t>See CVE details</t>
        </is>
      </c>
      <c r="N957" t="inlineStr">
        <is>
          <t>P4</t>
        </is>
      </c>
      <c r="O957" t="inlineStr">
        <is>
          <t>CVE - IP enrichment n/a</t>
        </is>
      </c>
      <c r="P957" t="n">
        <v>0</v>
      </c>
      <c r="Q957" t="n">
        <v>0</v>
      </c>
      <c r="R957" t="inlineStr">
        <is>
          <t>T1190:Exploit Public-Facing Application</t>
        </is>
      </c>
      <c r="S957" t="n">
        <v>1</v>
      </c>
      <c r="T957" t="inlineStr">
        <is>
          <t>LOW (40%)</t>
        </is>
      </c>
      <c r="U957" t="inlineStr">
        <is>
          <t>UNLIKELY</t>
        </is>
      </c>
      <c r="V957" t="inlineStr">
        <is>
          <t>CHECK_VENDOR</t>
        </is>
      </c>
      <c r="W957" t="inlineStr">
        <is>
          <t>https://nvd.nist.gov/vuln/detail/CVE-2025-69394</t>
        </is>
      </c>
      <c r="X957" t="inlineStr">
        <is>
          <t>NONE</t>
        </is>
      </c>
      <c r="Y957" t="n">
        <v>0</v>
      </c>
      <c r="Z957" t="inlineStr"/>
      <c r="AA957" t="inlineStr">
        <is>
          <t>https://nvd.nist.gov/vuln/detail/CVE-2025-69394</t>
        </is>
      </c>
    </row>
    <row r="958">
      <c r="A958" t="inlineStr">
        <is>
          <t>CVE</t>
        </is>
      </c>
      <c r="B958" t="inlineStr">
        <is>
          <t>CVE-2025-69395</t>
        </is>
      </c>
      <c r="C958" t="inlineStr">
        <is>
          <t>Improper Control of Filename for Include/Require Statement in PHP Program ('PHP Remote File Inclusion') vulnerability in ThemeREX Gable gable allows PHP Local File Inclusion.This issue affects Gable: from n/a through &lt;= 1.5.</t>
        </is>
      </c>
      <c r="D958" t="n">
        <v>5</v>
      </c>
      <c r="E958" t="inlineStr">
        <is>
          <t>MEDIUM</t>
        </is>
      </c>
      <c r="F958" t="n">
        <v>2</v>
      </c>
      <c r="G958" t="n">
        <v>2</v>
      </c>
      <c r="H958" t="inlineStr">
        <is>
          <t>MEDIUM</t>
        </is>
      </c>
      <c r="I958" t="n">
        <v>9</v>
      </c>
      <c r="J958" t="inlineStr">
        <is>
          <t>NO</t>
        </is>
      </c>
      <c r="K958" t="inlineStr">
        <is>
          <t>2026-02-23 23:48</t>
        </is>
      </c>
      <c r="L958" t="inlineStr">
        <is>
          <t>CHECK_VENDOR</t>
        </is>
      </c>
      <c r="M958" t="inlineStr">
        <is>
          <t>See CVE details</t>
        </is>
      </c>
      <c r="N958" t="inlineStr">
        <is>
          <t>P4</t>
        </is>
      </c>
      <c r="O958" t="inlineStr">
        <is>
          <t>CVE - IP enrichment n/a</t>
        </is>
      </c>
      <c r="P958" t="n">
        <v>0</v>
      </c>
      <c r="Q958" t="n">
        <v>0</v>
      </c>
      <c r="R958" t="inlineStr">
        <is>
          <t>T1190:Exploit Public-Facing Application</t>
        </is>
      </c>
      <c r="S958" t="n">
        <v>1</v>
      </c>
      <c r="T958" t="inlineStr">
        <is>
          <t>LOW (40%)</t>
        </is>
      </c>
      <c r="U958" t="inlineStr">
        <is>
          <t>UNLIKELY</t>
        </is>
      </c>
      <c r="V958" t="inlineStr">
        <is>
          <t>CHECK_VENDOR</t>
        </is>
      </c>
      <c r="W958" t="inlineStr">
        <is>
          <t>https://nvd.nist.gov/vuln/detail/CVE-2025-69395</t>
        </is>
      </c>
      <c r="X958" t="inlineStr">
        <is>
          <t>NONE</t>
        </is>
      </c>
      <c r="Y958" t="n">
        <v>0</v>
      </c>
      <c r="Z958" t="inlineStr"/>
      <c r="AA958" t="inlineStr">
        <is>
          <t>https://nvd.nist.gov/vuln/detail/CVE-2025-69395</t>
        </is>
      </c>
    </row>
    <row r="959">
      <c r="A959" t="inlineStr">
        <is>
          <t>CVE</t>
        </is>
      </c>
      <c r="B959" t="inlineStr">
        <is>
          <t>CVE-2025-69396</t>
        </is>
      </c>
      <c r="C959" t="inlineStr">
        <is>
          <t>Improper Control of Filename for Include/Require Statement in PHP Program ('PHP Remote File Inclusion') vulnerability in ThemeREX Splendour splendour allows PHP Local File Inclusion.This issue affects Splendour: from n/a through &lt;= 1.23.</t>
        </is>
      </c>
      <c r="D959" t="n">
        <v>5</v>
      </c>
      <c r="E959" t="inlineStr">
        <is>
          <t>MEDIUM</t>
        </is>
      </c>
      <c r="F959" t="n">
        <v>2</v>
      </c>
      <c r="G959" t="n">
        <v>2</v>
      </c>
      <c r="H959" t="inlineStr">
        <is>
          <t>MEDIUM</t>
        </is>
      </c>
      <c r="I959" t="n">
        <v>9</v>
      </c>
      <c r="J959" t="inlineStr">
        <is>
          <t>NO</t>
        </is>
      </c>
      <c r="K959" t="inlineStr">
        <is>
          <t>2026-02-23 23:48</t>
        </is>
      </c>
      <c r="L959" t="inlineStr">
        <is>
          <t>CHECK_VENDOR</t>
        </is>
      </c>
      <c r="M959" t="inlineStr">
        <is>
          <t>See CVE details</t>
        </is>
      </c>
      <c r="N959" t="inlineStr">
        <is>
          <t>P4</t>
        </is>
      </c>
      <c r="O959" t="inlineStr">
        <is>
          <t>CVE - IP enrichment n/a</t>
        </is>
      </c>
      <c r="P959" t="n">
        <v>0</v>
      </c>
      <c r="Q959" t="n">
        <v>0</v>
      </c>
      <c r="R959" t="inlineStr">
        <is>
          <t>T1190:Exploit Public-Facing Application</t>
        </is>
      </c>
      <c r="S959" t="n">
        <v>1</v>
      </c>
      <c r="T959" t="inlineStr">
        <is>
          <t>LOW (40%)</t>
        </is>
      </c>
      <c r="U959" t="inlineStr">
        <is>
          <t>UNLIKELY</t>
        </is>
      </c>
      <c r="V959" t="inlineStr">
        <is>
          <t>CHECK_VENDOR</t>
        </is>
      </c>
      <c r="W959" t="inlineStr">
        <is>
          <t>https://nvd.nist.gov/vuln/detail/CVE-2025-69396</t>
        </is>
      </c>
      <c r="X959" t="inlineStr">
        <is>
          <t>NONE</t>
        </is>
      </c>
      <c r="Y959" t="n">
        <v>0</v>
      </c>
      <c r="Z959" t="inlineStr"/>
      <c r="AA959" t="inlineStr">
        <is>
          <t>https://nvd.nist.gov/vuln/detail/CVE-2025-69396</t>
        </is>
      </c>
    </row>
    <row r="960">
      <c r="A960" t="inlineStr">
        <is>
          <t>CVE</t>
        </is>
      </c>
      <c r="B960" t="inlineStr">
        <is>
          <t>CVE-2025-69397</t>
        </is>
      </c>
      <c r="C960" t="inlineStr">
        <is>
          <t>Improper Control of Filename for Include/Require Statement in PHP Program ('PHP Remote File Inclusion') vulnerability in ThemeREX Tint tint allows PHP Local File Inclusion.This issue affects Tint: from n/a through &lt;= 1.7.</t>
        </is>
      </c>
      <c r="D960" t="n">
        <v>5</v>
      </c>
      <c r="E960" t="inlineStr">
        <is>
          <t>MEDIUM</t>
        </is>
      </c>
      <c r="F960" t="n">
        <v>2</v>
      </c>
      <c r="G960" t="n">
        <v>2</v>
      </c>
      <c r="H960" t="inlineStr">
        <is>
          <t>MEDIUM</t>
        </is>
      </c>
      <c r="I960" t="n">
        <v>9</v>
      </c>
      <c r="J960" t="inlineStr">
        <is>
          <t>NO</t>
        </is>
      </c>
      <c r="K960" t="inlineStr">
        <is>
          <t>2026-02-23 23:48</t>
        </is>
      </c>
      <c r="L960" t="inlineStr">
        <is>
          <t>CHECK_VENDOR</t>
        </is>
      </c>
      <c r="M960" t="inlineStr">
        <is>
          <t>See CVE details</t>
        </is>
      </c>
      <c r="N960" t="inlineStr">
        <is>
          <t>P4</t>
        </is>
      </c>
      <c r="O960" t="inlineStr">
        <is>
          <t>CVE - IP enrichment n/a</t>
        </is>
      </c>
      <c r="P960" t="n">
        <v>0</v>
      </c>
      <c r="Q960" t="n">
        <v>0</v>
      </c>
      <c r="R960" t="inlineStr">
        <is>
          <t>T1190:Exploit Public-Facing Application</t>
        </is>
      </c>
      <c r="S960" t="n">
        <v>1</v>
      </c>
      <c r="T960" t="inlineStr">
        <is>
          <t>LOW (40%)</t>
        </is>
      </c>
      <c r="U960" t="inlineStr">
        <is>
          <t>UNLIKELY</t>
        </is>
      </c>
      <c r="V960" t="inlineStr">
        <is>
          <t>CHECK_VENDOR</t>
        </is>
      </c>
      <c r="W960" t="inlineStr">
        <is>
          <t>https://nvd.nist.gov/vuln/detail/CVE-2025-69397</t>
        </is>
      </c>
      <c r="X960" t="inlineStr">
        <is>
          <t>NONE</t>
        </is>
      </c>
      <c r="Y960" t="n">
        <v>0</v>
      </c>
      <c r="Z960" t="inlineStr"/>
      <c r="AA960" t="inlineStr">
        <is>
          <t>https://nvd.nist.gov/vuln/detail/CVE-2025-69397</t>
        </is>
      </c>
    </row>
    <row r="961">
      <c r="A961" t="inlineStr">
        <is>
          <t>CVE</t>
        </is>
      </c>
      <c r="B961" t="inlineStr">
        <is>
          <t>CVE-2025-69398</t>
        </is>
      </c>
      <c r="C961" t="inlineStr">
        <is>
          <t>Improper Control of Filename for Include/Require Statement in PHP Program ('PHP Remote File Inclusion') vulnerability in ThemeREX Plank plank allows PHP Local File Inclusion.This issue affects Plank: from n/a through &lt;= 1.7.</t>
        </is>
      </c>
      <c r="D961" t="n">
        <v>5</v>
      </c>
      <c r="E961" t="inlineStr">
        <is>
          <t>MEDIUM</t>
        </is>
      </c>
      <c r="F961" t="n">
        <v>2</v>
      </c>
      <c r="G961" t="n">
        <v>2</v>
      </c>
      <c r="H961" t="inlineStr">
        <is>
          <t>MEDIUM</t>
        </is>
      </c>
      <c r="I961" t="n">
        <v>9</v>
      </c>
      <c r="J961" t="inlineStr">
        <is>
          <t>NO</t>
        </is>
      </c>
      <c r="K961" t="inlineStr">
        <is>
          <t>2026-02-23 23:48</t>
        </is>
      </c>
      <c r="L961" t="inlineStr">
        <is>
          <t>CHECK_VENDOR</t>
        </is>
      </c>
      <c r="M961" t="inlineStr">
        <is>
          <t>See CVE details</t>
        </is>
      </c>
      <c r="N961" t="inlineStr">
        <is>
          <t>P4</t>
        </is>
      </c>
      <c r="O961" t="inlineStr">
        <is>
          <t>CVE - IP enrichment n/a</t>
        </is>
      </c>
      <c r="P961" t="n">
        <v>0.0005</v>
      </c>
      <c r="Q961" t="n">
        <v>0.1673</v>
      </c>
      <c r="R961" t="inlineStr">
        <is>
          <t>T1190:Exploit Public-Facing Application</t>
        </is>
      </c>
      <c r="S961" t="n">
        <v>1</v>
      </c>
      <c r="T961" t="inlineStr">
        <is>
          <t>LOW (40%)</t>
        </is>
      </c>
      <c r="U961" t="inlineStr">
        <is>
          <t>UNLIKELY</t>
        </is>
      </c>
      <c r="V961" t="inlineStr">
        <is>
          <t>CHECK_VENDOR</t>
        </is>
      </c>
      <c r="W961" t="inlineStr">
        <is>
          <t>https://nvd.nist.gov/vuln/detail/CVE-2025-69398</t>
        </is>
      </c>
      <c r="X961" t="inlineStr">
        <is>
          <t>NONE</t>
        </is>
      </c>
      <c r="Y961" t="n">
        <v>0</v>
      </c>
      <c r="Z961" t="inlineStr"/>
      <c r="AA961" t="inlineStr">
        <is>
          <t>https://nvd.nist.gov/vuln/detail/CVE-2025-69398</t>
        </is>
      </c>
    </row>
    <row r="962">
      <c r="A962" t="inlineStr">
        <is>
          <t>CVE</t>
        </is>
      </c>
      <c r="B962" t="inlineStr">
        <is>
          <t>CVE-2025-69399</t>
        </is>
      </c>
      <c r="C962" t="inlineStr">
        <is>
          <t>Improper Control of Filename for Include/Require Statement in PHP Program ('PHP Remote File Inclusion') vulnerability in ThemeREX Cobble cobble allows PHP Local File Inclusion.This issue affects Cobble: from n/a through &lt;= 1.7.</t>
        </is>
      </c>
      <c r="D962" t="n">
        <v>5</v>
      </c>
      <c r="E962" t="inlineStr">
        <is>
          <t>MEDIUM</t>
        </is>
      </c>
      <c r="F962" t="n">
        <v>2</v>
      </c>
      <c r="G962" t="n">
        <v>2</v>
      </c>
      <c r="H962" t="inlineStr">
        <is>
          <t>MEDIUM</t>
        </is>
      </c>
      <c r="I962" t="n">
        <v>9</v>
      </c>
      <c r="J962" t="inlineStr">
        <is>
          <t>NO</t>
        </is>
      </c>
      <c r="K962" t="inlineStr">
        <is>
          <t>2026-02-23 23:48</t>
        </is>
      </c>
      <c r="L962" t="inlineStr">
        <is>
          <t>CHECK_VENDOR</t>
        </is>
      </c>
      <c r="M962" t="inlineStr">
        <is>
          <t>See CVE details</t>
        </is>
      </c>
      <c r="N962" t="inlineStr">
        <is>
          <t>P4</t>
        </is>
      </c>
      <c r="O962" t="inlineStr">
        <is>
          <t>CVE - IP enrichment n/a</t>
        </is>
      </c>
      <c r="P962" t="n">
        <v>0</v>
      </c>
      <c r="Q962" t="n">
        <v>0</v>
      </c>
      <c r="R962" t="inlineStr">
        <is>
          <t>T1190:Exploit Public-Facing Application</t>
        </is>
      </c>
      <c r="S962" t="n">
        <v>1</v>
      </c>
      <c r="T962" t="inlineStr">
        <is>
          <t>LOW (40%)</t>
        </is>
      </c>
      <c r="U962" t="inlineStr">
        <is>
          <t>UNLIKELY</t>
        </is>
      </c>
      <c r="V962" t="inlineStr">
        <is>
          <t>CHECK_VENDOR</t>
        </is>
      </c>
      <c r="W962" t="inlineStr">
        <is>
          <t>https://nvd.nist.gov/vuln/detail/CVE-2025-69399</t>
        </is>
      </c>
      <c r="X962" t="inlineStr">
        <is>
          <t>NONE</t>
        </is>
      </c>
      <c r="Y962" t="n">
        <v>0</v>
      </c>
      <c r="Z962" t="inlineStr"/>
      <c r="AA962" t="inlineStr">
        <is>
          <t>https://nvd.nist.gov/vuln/detail/CVE-2025-69399</t>
        </is>
      </c>
    </row>
    <row r="963">
      <c r="A963" t="inlineStr">
        <is>
          <t>CVE</t>
        </is>
      </c>
      <c r="B963" t="inlineStr">
        <is>
          <t>CVE-2025-69400</t>
        </is>
      </c>
      <c r="C963" t="inlineStr">
        <is>
          <t>Improper Control of Filename for Include/Require Statement in PHP Program ('PHP Remote File Inclusion') vulnerability in ThemeREX Yokoo yokoo allows PHP Local File Inclusion.This issue affects Yokoo: from n/a through &lt;= 1.1.11.</t>
        </is>
      </c>
      <c r="D963" t="n">
        <v>5</v>
      </c>
      <c r="E963" t="inlineStr">
        <is>
          <t>MEDIUM</t>
        </is>
      </c>
      <c r="F963" t="n">
        <v>2</v>
      </c>
      <c r="G963" t="n">
        <v>2</v>
      </c>
      <c r="H963" t="inlineStr">
        <is>
          <t>MEDIUM</t>
        </is>
      </c>
      <c r="I963" t="n">
        <v>9</v>
      </c>
      <c r="J963" t="inlineStr">
        <is>
          <t>NO</t>
        </is>
      </c>
      <c r="K963" t="inlineStr">
        <is>
          <t>2026-02-23 23:48</t>
        </is>
      </c>
      <c r="L963" t="inlineStr">
        <is>
          <t>CHECK_VENDOR</t>
        </is>
      </c>
      <c r="M963" t="inlineStr">
        <is>
          <t>See CVE details</t>
        </is>
      </c>
      <c r="N963" t="inlineStr">
        <is>
          <t>P4</t>
        </is>
      </c>
      <c r="O963" t="inlineStr">
        <is>
          <t>CVE - IP enrichment n/a</t>
        </is>
      </c>
      <c r="P963" t="n">
        <v>0</v>
      </c>
      <c r="Q963" t="n">
        <v>0</v>
      </c>
      <c r="R963" t="inlineStr">
        <is>
          <t>T1190:Exploit Public-Facing Application</t>
        </is>
      </c>
      <c r="S963" t="n">
        <v>1</v>
      </c>
      <c r="T963" t="inlineStr">
        <is>
          <t>LOW (40%)</t>
        </is>
      </c>
      <c r="U963" t="inlineStr">
        <is>
          <t>UNLIKELY</t>
        </is>
      </c>
      <c r="V963" t="inlineStr">
        <is>
          <t>CHECK_VENDOR</t>
        </is>
      </c>
      <c r="W963" t="inlineStr">
        <is>
          <t>https://nvd.nist.gov/vuln/detail/CVE-2025-69400</t>
        </is>
      </c>
      <c r="X963" t="inlineStr">
        <is>
          <t>NONE</t>
        </is>
      </c>
      <c r="Y963" t="n">
        <v>0</v>
      </c>
      <c r="Z963" t="inlineStr"/>
      <c r="AA963" t="inlineStr">
        <is>
          <t>https://nvd.nist.gov/vuln/detail/CVE-2025-69400</t>
        </is>
      </c>
    </row>
    <row r="964">
      <c r="A964" t="inlineStr">
        <is>
          <t>CVE</t>
        </is>
      </c>
      <c r="B964" t="inlineStr">
        <is>
          <t>CVE-2025-69401</t>
        </is>
      </c>
      <c r="C964" t="inlineStr">
        <is>
          <t>Authentication Bypass by Spoofing vulnerability in mdalabar WooODT Lite byconsole-woo-order-delivery-time allows Identity Spoofing.This issue affects WooODT Lite: from n/a through &lt;= 2.5.2.</t>
        </is>
      </c>
      <c r="D964" t="n">
        <v>5</v>
      </c>
      <c r="E964" t="inlineStr">
        <is>
          <t>MEDIUM</t>
        </is>
      </c>
      <c r="F964" t="n">
        <v>2</v>
      </c>
      <c r="G964" t="n">
        <v>2</v>
      </c>
      <c r="H964" t="inlineStr">
        <is>
          <t>MEDIUM</t>
        </is>
      </c>
      <c r="I964" t="n">
        <v>9</v>
      </c>
      <c r="J964" t="inlineStr">
        <is>
          <t>NO</t>
        </is>
      </c>
      <c r="K964" t="inlineStr">
        <is>
          <t>2026-02-23 23:48</t>
        </is>
      </c>
      <c r="L964" t="inlineStr">
        <is>
          <t>CHECK_VENDOR</t>
        </is>
      </c>
      <c r="M964" t="inlineStr">
        <is>
          <t>See CVE details</t>
        </is>
      </c>
      <c r="N964" t="inlineStr">
        <is>
          <t>P4</t>
        </is>
      </c>
      <c r="O964" t="inlineStr">
        <is>
          <t>CVE - IP enrichment n/a</t>
        </is>
      </c>
      <c r="P964" t="n">
        <v>0</v>
      </c>
      <c r="Q964" t="n">
        <v>0</v>
      </c>
      <c r="R964" t="inlineStr">
        <is>
          <t>T1078:Valid Accounts</t>
        </is>
      </c>
      <c r="S964" t="n">
        <v>1</v>
      </c>
      <c r="T964" t="inlineStr">
        <is>
          <t>LOW (40%)</t>
        </is>
      </c>
      <c r="U964" t="inlineStr">
        <is>
          <t>UNLIKELY</t>
        </is>
      </c>
      <c r="V964" t="inlineStr">
        <is>
          <t>CHECK_VENDOR</t>
        </is>
      </c>
      <c r="W964" t="inlineStr">
        <is>
          <t>https://nvd.nist.gov/vuln/detail/CVE-2025-69401</t>
        </is>
      </c>
      <c r="X964" t="inlineStr">
        <is>
          <t>NONE</t>
        </is>
      </c>
      <c r="Y964" t="n">
        <v>0</v>
      </c>
      <c r="Z964" t="inlineStr"/>
      <c r="AA964" t="inlineStr">
        <is>
          <t>https://nvd.nist.gov/vuln/detail/CVE-2025-69401</t>
        </is>
      </c>
    </row>
    <row r="965">
      <c r="A965" t="inlineStr">
        <is>
          <t>CVE</t>
        </is>
      </c>
      <c r="B965" t="inlineStr">
        <is>
          <t>CVE-2025-69402</t>
        </is>
      </c>
      <c r="C965" t="inlineStr">
        <is>
          <t>Improper Control of Filename for Include/Require Statement in PHP Program ('PHP Remote File Inclusion') vulnerability in ThemeREX R&amp;F rf allows PHP Local File Inclusion.This issue affects R&amp;F: from n/a through &lt;= 1.5.</t>
        </is>
      </c>
      <c r="D965" t="n">
        <v>5</v>
      </c>
      <c r="E965" t="inlineStr">
        <is>
          <t>MEDIUM</t>
        </is>
      </c>
      <c r="F965" t="n">
        <v>2</v>
      </c>
      <c r="G965" t="n">
        <v>2</v>
      </c>
      <c r="H965" t="inlineStr">
        <is>
          <t>MEDIUM</t>
        </is>
      </c>
      <c r="I965" t="n">
        <v>9</v>
      </c>
      <c r="J965" t="inlineStr">
        <is>
          <t>NO</t>
        </is>
      </c>
      <c r="K965" t="inlineStr">
        <is>
          <t>2026-02-23 23:48</t>
        </is>
      </c>
      <c r="L965" t="inlineStr">
        <is>
          <t>CHECK_VENDOR</t>
        </is>
      </c>
      <c r="M965" t="inlineStr">
        <is>
          <t>See CVE details</t>
        </is>
      </c>
      <c r="N965" t="inlineStr">
        <is>
          <t>P4</t>
        </is>
      </c>
      <c r="O965" t="inlineStr">
        <is>
          <t>CVE - IP enrichment n/a</t>
        </is>
      </c>
      <c r="P965" t="n">
        <v>0</v>
      </c>
      <c r="Q965" t="n">
        <v>0</v>
      </c>
      <c r="R965" t="inlineStr">
        <is>
          <t>T1190:Exploit Public-Facing Application</t>
        </is>
      </c>
      <c r="S965" t="n">
        <v>1</v>
      </c>
      <c r="T965" t="inlineStr">
        <is>
          <t>LOW (40%)</t>
        </is>
      </c>
      <c r="U965" t="inlineStr">
        <is>
          <t>UNLIKELY</t>
        </is>
      </c>
      <c r="V965" t="inlineStr">
        <is>
          <t>CHECK_VENDOR</t>
        </is>
      </c>
      <c r="W965" t="inlineStr">
        <is>
          <t>https://nvd.nist.gov/vuln/detail/CVE-2025-69402</t>
        </is>
      </c>
      <c r="X965" t="inlineStr">
        <is>
          <t>NONE</t>
        </is>
      </c>
      <c r="Y965" t="n">
        <v>0</v>
      </c>
      <c r="Z965" t="inlineStr"/>
      <c r="AA965" t="inlineStr">
        <is>
          <t>https://nvd.nist.gov/vuln/detail/CVE-2025-69402</t>
        </is>
      </c>
    </row>
    <row r="966">
      <c r="A966" t="inlineStr">
        <is>
          <t>CVE</t>
        </is>
      </c>
      <c r="B966" t="inlineStr">
        <is>
          <t>CVE-2025-69403</t>
        </is>
      </c>
      <c r="C966" t="inlineStr">
        <is>
          <t>Unrestricted Upload of File with Dangerous Type vulnerability in Bravis-Themes Bravis Addons bravis-addons allows Using Malicious Files.This issue affects Bravis Addons: from n/a through &lt;= 1.1.9.</t>
        </is>
      </c>
      <c r="D966" t="n">
        <v>5</v>
      </c>
      <c r="E966" t="inlineStr">
        <is>
          <t>MEDIUM</t>
        </is>
      </c>
      <c r="F966" t="n">
        <v>2</v>
      </c>
      <c r="G966" t="n">
        <v>2</v>
      </c>
      <c r="H966" t="inlineStr">
        <is>
          <t>MEDIUM</t>
        </is>
      </c>
      <c r="I966" t="n">
        <v>9</v>
      </c>
      <c r="J966" t="inlineStr">
        <is>
          <t>NO</t>
        </is>
      </c>
      <c r="K966" t="inlineStr">
        <is>
          <t>2026-02-23 23:48</t>
        </is>
      </c>
      <c r="L966" t="inlineStr">
        <is>
          <t>CHECK_VENDOR</t>
        </is>
      </c>
      <c r="M966" t="inlineStr">
        <is>
          <t>See CVE details</t>
        </is>
      </c>
      <c r="N966" t="inlineStr">
        <is>
          <t>P4</t>
        </is>
      </c>
      <c r="O966" t="inlineStr">
        <is>
          <t>CVE - IP enrichment n/a</t>
        </is>
      </c>
      <c r="P966" t="n">
        <v>0</v>
      </c>
      <c r="Q966" t="n">
        <v>0</v>
      </c>
      <c r="R966" t="inlineStr">
        <is>
          <t>T1190:Exploit Public-Facing Application</t>
        </is>
      </c>
      <c r="S966" t="n">
        <v>1</v>
      </c>
      <c r="T966" t="inlineStr">
        <is>
          <t>LOW (40%)</t>
        </is>
      </c>
      <c r="U966" t="inlineStr">
        <is>
          <t>UNLIKELY</t>
        </is>
      </c>
      <c r="V966" t="inlineStr">
        <is>
          <t>CHECK_VENDOR</t>
        </is>
      </c>
      <c r="W966" t="inlineStr">
        <is>
          <t>https://nvd.nist.gov/vuln/detail/CVE-2025-69403</t>
        </is>
      </c>
      <c r="X966" t="inlineStr">
        <is>
          <t>NONE</t>
        </is>
      </c>
      <c r="Y966" t="n">
        <v>0</v>
      </c>
      <c r="Z966" t="inlineStr"/>
      <c r="AA966" t="inlineStr">
        <is>
          <t>https://nvd.nist.gov/vuln/detail/CVE-2025-69403</t>
        </is>
      </c>
    </row>
    <row r="967">
      <c r="A967" t="inlineStr">
        <is>
          <t>CVE</t>
        </is>
      </c>
      <c r="B967" t="inlineStr">
        <is>
          <t>CVE-2025-69404</t>
        </is>
      </c>
      <c r="C967" t="inlineStr">
        <is>
          <t>Deserialization of Untrusted Data vulnerability in ThemeREX Extreme Store extremestore allows Object Injection.This issue affects Extreme Store: from n/a through &lt;= 1.5.7.</t>
        </is>
      </c>
      <c r="D967" t="n">
        <v>5</v>
      </c>
      <c r="E967" t="inlineStr">
        <is>
          <t>MEDIUM</t>
        </is>
      </c>
      <c r="F967" t="n">
        <v>2</v>
      </c>
      <c r="G967" t="n">
        <v>2</v>
      </c>
      <c r="H967" t="inlineStr">
        <is>
          <t>MEDIUM</t>
        </is>
      </c>
      <c r="I967" t="n">
        <v>9</v>
      </c>
      <c r="J967" t="inlineStr">
        <is>
          <t>NO</t>
        </is>
      </c>
      <c r="K967" t="inlineStr">
        <is>
          <t>2026-02-23 23:48</t>
        </is>
      </c>
      <c r="L967" t="inlineStr">
        <is>
          <t>CHECK_VENDOR</t>
        </is>
      </c>
      <c r="M967" t="inlineStr">
        <is>
          <t>See CVE details</t>
        </is>
      </c>
      <c r="N967" t="inlineStr">
        <is>
          <t>P4</t>
        </is>
      </c>
      <c r="O967" t="inlineStr">
        <is>
          <t>CVE - IP enrichment n/a</t>
        </is>
      </c>
      <c r="P967" t="n">
        <v>0</v>
      </c>
      <c r="Q967" t="n">
        <v>0</v>
      </c>
      <c r="R967" t="inlineStr">
        <is>
          <t>T1059:Command and Scripting Interpreter</t>
        </is>
      </c>
      <c r="S967" t="n">
        <v>1</v>
      </c>
      <c r="T967" t="inlineStr">
        <is>
          <t>LOW (40%)</t>
        </is>
      </c>
      <c r="U967" t="inlineStr">
        <is>
          <t>UNLIKELY</t>
        </is>
      </c>
      <c r="V967" t="inlineStr">
        <is>
          <t>CHECK_VENDOR</t>
        </is>
      </c>
      <c r="W967" t="inlineStr">
        <is>
          <t>https://nvd.nist.gov/vuln/detail/CVE-2025-69404</t>
        </is>
      </c>
      <c r="X967" t="inlineStr">
        <is>
          <t>NONE</t>
        </is>
      </c>
      <c r="Y967" t="n">
        <v>0</v>
      </c>
      <c r="Z967" t="inlineStr"/>
      <c r="AA967" t="inlineStr">
        <is>
          <t>https://nvd.nist.gov/vuln/detail/CVE-2025-69404</t>
        </is>
      </c>
    </row>
    <row r="968">
      <c r="A968" t="inlineStr">
        <is>
          <t>CVE</t>
        </is>
      </c>
      <c r="B968" t="inlineStr">
        <is>
          <t>CVE-2025-69405</t>
        </is>
      </c>
      <c r="C968" t="inlineStr">
        <is>
          <t>Deserialization of Untrusted Data vulnerability in ThemeREX Lorem Ipsum | Books &amp; Media Store lorem-ipsum-books-media-store allows Object Injection.This issue affects Lorem Ipsum | Books &amp; Media Store: from n/a through &lt;= 1.2.6.</t>
        </is>
      </c>
      <c r="D968" t="n">
        <v>5</v>
      </c>
      <c r="E968" t="inlineStr">
        <is>
          <t>MEDIUM</t>
        </is>
      </c>
      <c r="F968" t="n">
        <v>2</v>
      </c>
      <c r="G968" t="n">
        <v>2</v>
      </c>
      <c r="H968" t="inlineStr">
        <is>
          <t>MEDIUM</t>
        </is>
      </c>
      <c r="I968" t="n">
        <v>9</v>
      </c>
      <c r="J968" t="inlineStr">
        <is>
          <t>NO</t>
        </is>
      </c>
      <c r="K968" t="inlineStr">
        <is>
          <t>2026-02-23 23:48</t>
        </is>
      </c>
      <c r="L968" t="inlineStr">
        <is>
          <t>CHECK_VENDOR</t>
        </is>
      </c>
      <c r="M968" t="inlineStr">
        <is>
          <t>See CVE details</t>
        </is>
      </c>
      <c r="N968" t="inlineStr">
        <is>
          <t>P4</t>
        </is>
      </c>
      <c r="O968" t="inlineStr">
        <is>
          <t>CVE - IP enrichment n/a</t>
        </is>
      </c>
      <c r="P968" t="n">
        <v>0</v>
      </c>
      <c r="Q968" t="n">
        <v>0</v>
      </c>
      <c r="R968" t="inlineStr">
        <is>
          <t>T1059:Command and Scripting Interpreter</t>
        </is>
      </c>
      <c r="S968" t="n">
        <v>1</v>
      </c>
      <c r="T968" t="inlineStr">
        <is>
          <t>LOW (40%)</t>
        </is>
      </c>
      <c r="U968" t="inlineStr">
        <is>
          <t>UNLIKELY</t>
        </is>
      </c>
      <c r="V968" t="inlineStr">
        <is>
          <t>CHECK_VENDOR</t>
        </is>
      </c>
      <c r="W968" t="inlineStr">
        <is>
          <t>https://nvd.nist.gov/vuln/detail/CVE-2025-69405</t>
        </is>
      </c>
      <c r="X968" t="inlineStr">
        <is>
          <t>NONE</t>
        </is>
      </c>
      <c r="Y968" t="n">
        <v>0</v>
      </c>
      <c r="Z968" t="inlineStr"/>
      <c r="AA968" t="inlineStr">
        <is>
          <t>https://nvd.nist.gov/vuln/detail/CVE-2025-69405</t>
        </is>
      </c>
    </row>
    <row r="969">
      <c r="A969" t="inlineStr">
        <is>
          <t>CVE</t>
        </is>
      </c>
      <c r="B969" t="inlineStr">
        <is>
          <t>CVE-2025-69406</t>
        </is>
      </c>
      <c r="C969" t="inlineStr">
        <is>
          <t>Improper Control of Filename for Include/Require Statement in PHP Program ('PHP Remote File Inclusion') vulnerability in ThemeREX FreightCo freightco allows PHP Local File Inclusion.This issue affects FreightCo: from n/a through &lt;= 1.1.7.</t>
        </is>
      </c>
      <c r="D969" t="n">
        <v>5</v>
      </c>
      <c r="E969" t="inlineStr">
        <is>
          <t>MEDIUM</t>
        </is>
      </c>
      <c r="F969" t="n">
        <v>2</v>
      </c>
      <c r="G969" t="n">
        <v>2</v>
      </c>
      <c r="H969" t="inlineStr">
        <is>
          <t>MEDIUM</t>
        </is>
      </c>
      <c r="I969" t="n">
        <v>9</v>
      </c>
      <c r="J969" t="inlineStr">
        <is>
          <t>NO</t>
        </is>
      </c>
      <c r="K969" t="inlineStr">
        <is>
          <t>2026-02-23 23:48</t>
        </is>
      </c>
      <c r="L969" t="inlineStr">
        <is>
          <t>CHECK_VENDOR</t>
        </is>
      </c>
      <c r="M969" t="inlineStr">
        <is>
          <t>See CVE details</t>
        </is>
      </c>
      <c r="N969" t="inlineStr">
        <is>
          <t>P4</t>
        </is>
      </c>
      <c r="O969" t="inlineStr">
        <is>
          <t>CVE - IP enrichment n/a</t>
        </is>
      </c>
      <c r="P969" t="n">
        <v>0</v>
      </c>
      <c r="Q969" t="n">
        <v>0</v>
      </c>
      <c r="R969" t="inlineStr">
        <is>
          <t>T1190:Exploit Public-Facing Application</t>
        </is>
      </c>
      <c r="S969" t="n">
        <v>1</v>
      </c>
      <c r="T969" t="inlineStr">
        <is>
          <t>LOW (40%)</t>
        </is>
      </c>
      <c r="U969" t="inlineStr">
        <is>
          <t>UNLIKELY</t>
        </is>
      </c>
      <c r="V969" t="inlineStr">
        <is>
          <t>CHECK_VENDOR</t>
        </is>
      </c>
      <c r="W969" t="inlineStr">
        <is>
          <t>https://nvd.nist.gov/vuln/detail/CVE-2025-69406</t>
        </is>
      </c>
      <c r="X969" t="inlineStr">
        <is>
          <t>NONE</t>
        </is>
      </c>
      <c r="Y969" t="n">
        <v>0</v>
      </c>
      <c r="Z969" t="inlineStr"/>
      <c r="AA969" t="inlineStr">
        <is>
          <t>https://nvd.nist.gov/vuln/detail/CVE-2025-69406</t>
        </is>
      </c>
    </row>
    <row r="970">
      <c r="A970" t="inlineStr">
        <is>
          <t>CVE</t>
        </is>
      </c>
      <c r="B970" t="inlineStr">
        <is>
          <t>CVE-2025-69407</t>
        </is>
      </c>
      <c r="C970" t="inlineStr">
        <is>
          <t>Improper Control of Filename for Include/Require Statement in PHP Program ('PHP Remote File Inclusion') vulnerability in Select-Themes Struktur struktur allows PHP Local File Inclusion.This issue affects Struktur: from n/a through &lt;= 2.5.1.</t>
        </is>
      </c>
      <c r="D970" t="n">
        <v>5</v>
      </c>
      <c r="E970" t="inlineStr">
        <is>
          <t>MEDIUM</t>
        </is>
      </c>
      <c r="F970" t="n">
        <v>2</v>
      </c>
      <c r="G970" t="n">
        <v>2</v>
      </c>
      <c r="H970" t="inlineStr">
        <is>
          <t>MEDIUM</t>
        </is>
      </c>
      <c r="I970" t="n">
        <v>9</v>
      </c>
      <c r="J970" t="inlineStr">
        <is>
          <t>NO</t>
        </is>
      </c>
      <c r="K970" t="inlineStr">
        <is>
          <t>2026-02-23 23:48</t>
        </is>
      </c>
      <c r="L970" t="inlineStr">
        <is>
          <t>CHECK_VENDOR</t>
        </is>
      </c>
      <c r="M970" t="inlineStr">
        <is>
          <t>See CVE details</t>
        </is>
      </c>
      <c r="N970" t="inlineStr">
        <is>
          <t>P4</t>
        </is>
      </c>
      <c r="O970" t="inlineStr">
        <is>
          <t>CVE - IP enrichment n/a</t>
        </is>
      </c>
      <c r="P970" t="n">
        <v>0</v>
      </c>
      <c r="Q970" t="n">
        <v>0</v>
      </c>
      <c r="R970" t="inlineStr">
        <is>
          <t>T1190:Exploit Public-Facing Application</t>
        </is>
      </c>
      <c r="S970" t="n">
        <v>1</v>
      </c>
      <c r="T970" t="inlineStr">
        <is>
          <t>LOW (40%)</t>
        </is>
      </c>
      <c r="U970" t="inlineStr">
        <is>
          <t>UNLIKELY</t>
        </is>
      </c>
      <c r="V970" t="inlineStr">
        <is>
          <t>CHECK_VENDOR</t>
        </is>
      </c>
      <c r="W970" t="inlineStr">
        <is>
          <t>https://nvd.nist.gov/vuln/detail/CVE-2025-69407</t>
        </is>
      </c>
      <c r="X970" t="inlineStr">
        <is>
          <t>NONE</t>
        </is>
      </c>
      <c r="Y970" t="n">
        <v>0</v>
      </c>
      <c r="Z970" t="inlineStr"/>
      <c r="AA970" t="inlineStr">
        <is>
          <t>https://nvd.nist.gov/vuln/detail/CVE-2025-69407</t>
        </is>
      </c>
    </row>
    <row r="971">
      <c r="A971" t="inlineStr">
        <is>
          <t>CVE</t>
        </is>
      </c>
      <c r="B971" t="inlineStr">
        <is>
          <t>CVE-2025-69408</t>
        </is>
      </c>
      <c r="C971" t="inlineStr">
        <is>
          <t>Improper Control of Filename for Include/Require Statement in PHP Program ('PHP Remote File Inclusion') vulnerability in Mikado-Themes HealthFirst healthfirst allows PHP Local File Inclusion.This issue affects HealthFirst: from n/a through &lt;= 1.0.1.</t>
        </is>
      </c>
      <c r="D971" t="n">
        <v>5</v>
      </c>
      <c r="E971" t="inlineStr">
        <is>
          <t>MEDIUM</t>
        </is>
      </c>
      <c r="F971" t="n">
        <v>2</v>
      </c>
      <c r="G971" t="n">
        <v>2</v>
      </c>
      <c r="H971" t="inlineStr">
        <is>
          <t>MEDIUM</t>
        </is>
      </c>
      <c r="I971" t="n">
        <v>9</v>
      </c>
      <c r="J971" t="inlineStr">
        <is>
          <t>NO</t>
        </is>
      </c>
      <c r="K971" t="inlineStr">
        <is>
          <t>2026-02-23 23:48</t>
        </is>
      </c>
      <c r="L971" t="inlineStr">
        <is>
          <t>CHECK_VENDOR</t>
        </is>
      </c>
      <c r="M971" t="inlineStr">
        <is>
          <t>See CVE details</t>
        </is>
      </c>
      <c r="N971" t="inlineStr">
        <is>
          <t>P4</t>
        </is>
      </c>
      <c r="O971" t="inlineStr">
        <is>
          <t>CVE - IP enrichment n/a</t>
        </is>
      </c>
      <c r="P971" t="n">
        <v>0.0005</v>
      </c>
      <c r="Q971" t="n">
        <v>0.1673</v>
      </c>
      <c r="R971" t="inlineStr">
        <is>
          <t>T1190:Exploit Public-Facing Application</t>
        </is>
      </c>
      <c r="S971" t="n">
        <v>1</v>
      </c>
      <c r="T971" t="inlineStr">
        <is>
          <t>LOW (40%)</t>
        </is>
      </c>
      <c r="U971" t="inlineStr">
        <is>
          <t>UNLIKELY</t>
        </is>
      </c>
      <c r="V971" t="inlineStr">
        <is>
          <t>CHECK_VENDOR</t>
        </is>
      </c>
      <c r="W971" t="inlineStr">
        <is>
          <t>https://nvd.nist.gov/vuln/detail/CVE-2025-69408</t>
        </is>
      </c>
      <c r="X971" t="inlineStr">
        <is>
          <t>NONE</t>
        </is>
      </c>
      <c r="Y971" t="n">
        <v>0</v>
      </c>
      <c r="Z971" t="inlineStr"/>
      <c r="AA971" t="inlineStr">
        <is>
          <t>https://nvd.nist.gov/vuln/detail/CVE-2025-69408</t>
        </is>
      </c>
    </row>
    <row r="972">
      <c r="A972" t="inlineStr">
        <is>
          <t>CVE</t>
        </is>
      </c>
      <c r="B972" t="inlineStr">
        <is>
          <t>CVE-2025-69409</t>
        </is>
      </c>
      <c r="C972" t="inlineStr">
        <is>
          <t>Improper Control of Filename for Include/Require Statement in PHP Program ('PHP Remote File Inclusion') vulnerability in axiomthemes PJ | Life &amp; Business Coaching pj allows PHP Local File Inclusion.This issue affects PJ | Life &amp; Business Coaching: from n/a through &lt;= 3.0.0.</t>
        </is>
      </c>
      <c r="D972" t="n">
        <v>5</v>
      </c>
      <c r="E972" t="inlineStr">
        <is>
          <t>MEDIUM</t>
        </is>
      </c>
      <c r="F972" t="n">
        <v>2</v>
      </c>
      <c r="G972" t="n">
        <v>2</v>
      </c>
      <c r="H972" t="inlineStr">
        <is>
          <t>MEDIUM</t>
        </is>
      </c>
      <c r="I972" t="n">
        <v>9</v>
      </c>
      <c r="J972" t="inlineStr">
        <is>
          <t>NO</t>
        </is>
      </c>
      <c r="K972" t="inlineStr">
        <is>
          <t>2026-02-23 23:48</t>
        </is>
      </c>
      <c r="L972" t="inlineStr">
        <is>
          <t>CHECK_VENDOR</t>
        </is>
      </c>
      <c r="M972" t="inlineStr">
        <is>
          <t>See CVE details</t>
        </is>
      </c>
      <c r="N972" t="inlineStr">
        <is>
          <t>P4</t>
        </is>
      </c>
      <c r="O972" t="inlineStr">
        <is>
          <t>CVE - IP enrichment n/a</t>
        </is>
      </c>
      <c r="P972" t="n">
        <v>0.0005</v>
      </c>
      <c r="Q972" t="n">
        <v>0.1673</v>
      </c>
      <c r="R972" t="inlineStr">
        <is>
          <t>T1190:Exploit Public-Facing Application</t>
        </is>
      </c>
      <c r="S972" t="n">
        <v>1</v>
      </c>
      <c r="T972" t="inlineStr">
        <is>
          <t>LOW (40%)</t>
        </is>
      </c>
      <c r="U972" t="inlineStr">
        <is>
          <t>UNLIKELY</t>
        </is>
      </c>
      <c r="V972" t="inlineStr">
        <is>
          <t>CHECK_VENDOR</t>
        </is>
      </c>
      <c r="W972" t="inlineStr">
        <is>
          <t>https://nvd.nist.gov/vuln/detail/CVE-2025-69409</t>
        </is>
      </c>
      <c r="X972" t="inlineStr">
        <is>
          <t>NONE</t>
        </is>
      </c>
      <c r="Y972" t="n">
        <v>0</v>
      </c>
      <c r="Z972" t="inlineStr"/>
      <c r="AA972" t="inlineStr">
        <is>
          <t>https://nvd.nist.gov/vuln/detail/CVE-2025-69409</t>
        </is>
      </c>
    </row>
    <row r="973">
      <c r="A973" t="inlineStr">
        <is>
          <t>CVE</t>
        </is>
      </c>
      <c r="B973" t="inlineStr">
        <is>
          <t>CVE-2025-69410</t>
        </is>
      </c>
      <c r="C973" t="inlineStr">
        <is>
          <t>Improper Control of Filename for Include/Require Statement in PHP Program ('PHP Remote File Inclusion') vulnerability in Edge-Themes Belletrist belletrist allows PHP Local File Inclusion.This issue affects Belletrist: from n/a through &lt;= 1.2.</t>
        </is>
      </c>
      <c r="D973" t="n">
        <v>5</v>
      </c>
      <c r="E973" t="inlineStr">
        <is>
          <t>MEDIUM</t>
        </is>
      </c>
      <c r="F973" t="n">
        <v>2</v>
      </c>
      <c r="G973" t="n">
        <v>2</v>
      </c>
      <c r="H973" t="inlineStr">
        <is>
          <t>MEDIUM</t>
        </is>
      </c>
      <c r="I973" t="n">
        <v>9</v>
      </c>
      <c r="J973" t="inlineStr">
        <is>
          <t>NO</t>
        </is>
      </c>
      <c r="K973" t="inlineStr">
        <is>
          <t>2026-02-23 23:48</t>
        </is>
      </c>
      <c r="L973" t="inlineStr">
        <is>
          <t>CHECK_VENDOR</t>
        </is>
      </c>
      <c r="M973" t="inlineStr">
        <is>
          <t>See CVE details</t>
        </is>
      </c>
      <c r="N973" t="inlineStr">
        <is>
          <t>P4</t>
        </is>
      </c>
      <c r="O973" t="inlineStr">
        <is>
          <t>CVE - IP enrichment n/a</t>
        </is>
      </c>
      <c r="P973" t="n">
        <v>0</v>
      </c>
      <c r="Q973" t="n">
        <v>0</v>
      </c>
      <c r="R973" t="inlineStr">
        <is>
          <t>T1190:Exploit Public-Facing Application</t>
        </is>
      </c>
      <c r="S973" t="n">
        <v>1</v>
      </c>
      <c r="T973" t="inlineStr">
        <is>
          <t>LOW (40%)</t>
        </is>
      </c>
      <c r="U973" t="inlineStr">
        <is>
          <t>UNLIKELY</t>
        </is>
      </c>
      <c r="V973" t="inlineStr">
        <is>
          <t>CHECK_VENDOR</t>
        </is>
      </c>
      <c r="W973" t="inlineStr">
        <is>
          <t>https://nvd.nist.gov/vuln/detail/CVE-2025-69410</t>
        </is>
      </c>
      <c r="X973" t="inlineStr">
        <is>
          <t>NONE</t>
        </is>
      </c>
      <c r="Y973" t="n">
        <v>0</v>
      </c>
      <c r="Z973" t="inlineStr"/>
      <c r="AA973" t="inlineStr">
        <is>
          <t>https://nvd.nist.gov/vuln/detail/CVE-2025-69410</t>
        </is>
      </c>
    </row>
    <row r="974">
      <c r="A974" t="inlineStr">
        <is>
          <t>CVE</t>
        </is>
      </c>
      <c r="B974" t="inlineStr">
        <is>
          <t>CVE-2025-70831</t>
        </is>
      </c>
      <c r="C974" t="inlineStr">
        <is>
          <t>A Remote Code Execution (RCE) vulnerability was found in Smanga 3.2.7 in the /php/path/rescan.php interface. The application fails to properly sanitize user-supplied input in the mediaId parameter before using it in a system shell command. This allows an unauthenticated attacker to inject arbitrary operating system commands, leading to complete server compromise.</t>
        </is>
      </c>
      <c r="D974" t="n">
        <v>9.800000000000001</v>
      </c>
      <c r="E974" t="inlineStr">
        <is>
          <t>CRITICAL</t>
        </is>
      </c>
      <c r="F974" t="n">
        <v>2</v>
      </c>
      <c r="G974" t="n">
        <v>3</v>
      </c>
      <c r="H974" t="inlineStr">
        <is>
          <t>HIGH</t>
        </is>
      </c>
      <c r="I974" t="n">
        <v>15.8</v>
      </c>
      <c r="J974" t="inlineStr">
        <is>
          <t>NO</t>
        </is>
      </c>
      <c r="K974" t="inlineStr">
        <is>
          <t>2026-02-23 23:48</t>
        </is>
      </c>
      <c r="L974" t="inlineStr">
        <is>
          <t>CHECK_VENDOR</t>
        </is>
      </c>
      <c r="M974" t="inlineStr">
        <is>
          <t>See CVE details</t>
        </is>
      </c>
      <c r="N974" t="inlineStr">
        <is>
          <t>P3</t>
        </is>
      </c>
      <c r="O974" t="inlineStr">
        <is>
          <t>CVE - IP enrichment n/a</t>
        </is>
      </c>
      <c r="P974" t="n">
        <v>0</v>
      </c>
      <c r="Q974" t="n">
        <v>0</v>
      </c>
      <c r="R974" t="inlineStr">
        <is>
          <t>T1059:Command and Scripting Interpreter | T1190:Exploit Public-Facing Application | T1210:Exploitation of Remote Services</t>
        </is>
      </c>
      <c r="S974" t="n">
        <v>1</v>
      </c>
      <c r="T974" t="inlineStr">
        <is>
          <t>LOW (40%)</t>
        </is>
      </c>
      <c r="U974" t="inlineStr">
        <is>
          <t>UNLIKELY</t>
        </is>
      </c>
      <c r="V974" t="inlineStr">
        <is>
          <t>CHECK_VENDOR</t>
        </is>
      </c>
      <c r="W974" t="inlineStr">
        <is>
          <t>https://nvd.nist.gov/vuln/detail/CVE-2025-70831</t>
        </is>
      </c>
      <c r="X974" t="inlineStr">
        <is>
          <t>NONE</t>
        </is>
      </c>
      <c r="Y974" t="n">
        <v>0</v>
      </c>
      <c r="Z974" t="inlineStr"/>
      <c r="AA974" t="inlineStr">
        <is>
          <t>https://nvd.nist.gov/vuln/detail/CVE-2025-70831</t>
        </is>
      </c>
    </row>
    <row r="975">
      <c r="A975" t="inlineStr">
        <is>
          <t>CVE</t>
        </is>
      </c>
      <c r="B975" t="inlineStr">
        <is>
          <t>CVE-2026-20761</t>
        </is>
      </c>
      <c r="C975" t="inlineStr">
        <is>
          <t>A vulnerability exists in EnOcean SmartServer IoT version 4.60.009 and 
prior, which would allow remote attackers, in the LON IP-852 management 
messages, to send specially crafted IP-852 messages resulting in 
arbitrary OS command execution on the device.</t>
        </is>
      </c>
      <c r="D975" t="n">
        <v>8.1</v>
      </c>
      <c r="E975" t="inlineStr">
        <is>
          <t>HIGH</t>
        </is>
      </c>
      <c r="F975" t="n">
        <v>2</v>
      </c>
      <c r="G975" t="n">
        <v>3</v>
      </c>
      <c r="H975" t="inlineStr">
        <is>
          <t>HIGH</t>
        </is>
      </c>
      <c r="I975" t="n">
        <v>14.1</v>
      </c>
      <c r="J975" t="inlineStr">
        <is>
          <t>NO</t>
        </is>
      </c>
      <c r="K975" t="inlineStr">
        <is>
          <t>2026-02-23 23:48</t>
        </is>
      </c>
      <c r="L975" t="inlineStr">
        <is>
          <t>CHECK_VENDOR</t>
        </is>
      </c>
      <c r="M975" t="inlineStr">
        <is>
          <t>See CVE details</t>
        </is>
      </c>
      <c r="N975" t="inlineStr">
        <is>
          <t>P3</t>
        </is>
      </c>
      <c r="O975" t="inlineStr">
        <is>
          <t>CVE - IP enrichment n/a</t>
        </is>
      </c>
      <c r="P975" t="n">
        <v>0</v>
      </c>
      <c r="Q975" t="n">
        <v>0</v>
      </c>
      <c r="R975" t="inlineStr">
        <is>
          <t>T1059:Command and Scripting Interpreter</t>
        </is>
      </c>
      <c r="S975" t="n">
        <v>1</v>
      </c>
      <c r="T975" t="inlineStr">
        <is>
          <t>LOW (40%)</t>
        </is>
      </c>
      <c r="U975" t="inlineStr">
        <is>
          <t>UNLIKELY</t>
        </is>
      </c>
      <c r="V975" t="inlineStr">
        <is>
          <t>CHECK_VENDOR</t>
        </is>
      </c>
      <c r="W975" t="inlineStr">
        <is>
          <t>https://nvd.nist.gov/vuln/detail/CVE-2026-20761</t>
        </is>
      </c>
      <c r="X975" t="inlineStr">
        <is>
          <t>NONE</t>
        </is>
      </c>
      <c r="Y975" t="n">
        <v>0</v>
      </c>
      <c r="Z975" t="inlineStr"/>
      <c r="AA975" t="inlineStr">
        <is>
          <t>https://nvd.nist.gov/vuln/detail/CVE-2026-20761</t>
        </is>
      </c>
    </row>
    <row r="976">
      <c r="A976" t="inlineStr">
        <is>
          <t>CVE</t>
        </is>
      </c>
      <c r="B976" t="inlineStr">
        <is>
          <t>CVE-2026-22341</t>
        </is>
      </c>
      <c r="C976" t="inlineStr">
        <is>
          <t>Authentication Bypass Using an Alternate Path or Channel vulnerability in Case-Themes Booked booked allows Authentication Abuse.This issue affects Booked: from n/a through &lt;= 3.0.0.</t>
        </is>
      </c>
      <c r="D976" t="n">
        <v>5</v>
      </c>
      <c r="E976" t="inlineStr">
        <is>
          <t>MEDIUM</t>
        </is>
      </c>
      <c r="F976" t="n">
        <v>2</v>
      </c>
      <c r="G976" t="n">
        <v>2</v>
      </c>
      <c r="H976" t="inlineStr">
        <is>
          <t>MEDIUM</t>
        </is>
      </c>
      <c r="I976" t="n">
        <v>9</v>
      </c>
      <c r="J976" t="inlineStr">
        <is>
          <t>NO</t>
        </is>
      </c>
      <c r="K976" t="inlineStr">
        <is>
          <t>2026-02-23 23:48</t>
        </is>
      </c>
      <c r="L976" t="inlineStr">
        <is>
          <t>CHECK_VENDOR</t>
        </is>
      </c>
      <c r="M976" t="inlineStr">
        <is>
          <t>See CVE details</t>
        </is>
      </c>
      <c r="N976" t="inlineStr">
        <is>
          <t>P4</t>
        </is>
      </c>
      <c r="O976" t="inlineStr">
        <is>
          <t>CVE - IP enrichment n/a</t>
        </is>
      </c>
      <c r="P976" t="n">
        <v>0</v>
      </c>
      <c r="Q976" t="n">
        <v>0</v>
      </c>
      <c r="R976" t="inlineStr">
        <is>
          <t>T1078:Valid Accounts</t>
        </is>
      </c>
      <c r="S976" t="n">
        <v>1</v>
      </c>
      <c r="T976" t="inlineStr">
        <is>
          <t>LOW (40%)</t>
        </is>
      </c>
      <c r="U976" t="inlineStr">
        <is>
          <t>UNLIKELY</t>
        </is>
      </c>
      <c r="V976" t="inlineStr">
        <is>
          <t>CHECK_VENDOR</t>
        </is>
      </c>
      <c r="W976" t="inlineStr">
        <is>
          <t>https://nvd.nist.gov/vuln/detail/CVE-2026-22341</t>
        </is>
      </c>
      <c r="X976" t="inlineStr">
        <is>
          <t>NONE</t>
        </is>
      </c>
      <c r="Y976" t="n">
        <v>0</v>
      </c>
      <c r="Z976" t="inlineStr"/>
      <c r="AA976" t="inlineStr">
        <is>
          <t>https://nvd.nist.gov/vuln/detail/CVE-2026-22341</t>
        </is>
      </c>
    </row>
    <row r="977">
      <c r="A977" t="inlineStr">
        <is>
          <t>CVE</t>
        </is>
      </c>
      <c r="B977" t="inlineStr">
        <is>
          <t>CVE-2026-22344</t>
        </is>
      </c>
      <c r="C977" t="inlineStr">
        <is>
          <t>Improper Control of Filename for Include/Require Statement in PHP Program ('PHP Remote File Inclusion') vulnerability in Mikado-Themes FiveStar fivestar allows PHP Local File Inclusion.This issue affects FiveStar: from n/a through &lt;= 1.7.</t>
        </is>
      </c>
      <c r="D977" t="n">
        <v>5</v>
      </c>
      <c r="E977" t="inlineStr">
        <is>
          <t>MEDIUM</t>
        </is>
      </c>
      <c r="F977" t="n">
        <v>2</v>
      </c>
      <c r="G977" t="n">
        <v>2</v>
      </c>
      <c r="H977" t="inlineStr">
        <is>
          <t>MEDIUM</t>
        </is>
      </c>
      <c r="I977" t="n">
        <v>9</v>
      </c>
      <c r="J977" t="inlineStr">
        <is>
          <t>NO</t>
        </is>
      </c>
      <c r="K977" t="inlineStr">
        <is>
          <t>2026-02-23 23:48</t>
        </is>
      </c>
      <c r="L977" t="inlineStr">
        <is>
          <t>CHECK_VENDOR</t>
        </is>
      </c>
      <c r="M977" t="inlineStr">
        <is>
          <t>See CVE details</t>
        </is>
      </c>
      <c r="N977" t="inlineStr">
        <is>
          <t>P4</t>
        </is>
      </c>
      <c r="O977" t="inlineStr">
        <is>
          <t>CVE - IP enrichment n/a</t>
        </is>
      </c>
      <c r="P977" t="n">
        <v>0</v>
      </c>
      <c r="Q977" t="n">
        <v>0</v>
      </c>
      <c r="R977" t="inlineStr">
        <is>
          <t>T1190:Exploit Public-Facing Application</t>
        </is>
      </c>
      <c r="S977" t="n">
        <v>1</v>
      </c>
      <c r="T977" t="inlineStr">
        <is>
          <t>LOW (40%)</t>
        </is>
      </c>
      <c r="U977" t="inlineStr">
        <is>
          <t>UNLIKELY</t>
        </is>
      </c>
      <c r="V977" t="inlineStr">
        <is>
          <t>CHECK_VENDOR</t>
        </is>
      </c>
      <c r="W977" t="inlineStr">
        <is>
          <t>https://nvd.nist.gov/vuln/detail/CVE-2026-22344</t>
        </is>
      </c>
      <c r="X977" t="inlineStr">
        <is>
          <t>NONE</t>
        </is>
      </c>
      <c r="Y977" t="n">
        <v>0</v>
      </c>
      <c r="Z977" t="inlineStr"/>
      <c r="AA977" t="inlineStr">
        <is>
          <t>https://nvd.nist.gov/vuln/detail/CVE-2026-22344</t>
        </is>
      </c>
    </row>
    <row r="978">
      <c r="A978" t="inlineStr">
        <is>
          <t>CVE</t>
        </is>
      </c>
      <c r="B978" t="inlineStr">
        <is>
          <t>CVE-2026-22345</t>
        </is>
      </c>
      <c r="C978" t="inlineStr">
        <is>
          <t>Deserialization of Untrusted Data vulnerability in A WP Life Image Gallery – Lightbox Gallery, Responsive Photo Gallery, Masonry Gallery new-image-gallery allows Object Injection.This issue affects Image Gallery – Lightbox Gallery, Responsive Photo Gallery, Masonry Gallery: from n/a through &lt;= 1.6.0.</t>
        </is>
      </c>
      <c r="D978" t="n">
        <v>5</v>
      </c>
      <c r="E978" t="inlineStr">
        <is>
          <t>MEDIUM</t>
        </is>
      </c>
      <c r="F978" t="n">
        <v>2</v>
      </c>
      <c r="G978" t="n">
        <v>2</v>
      </c>
      <c r="H978" t="inlineStr">
        <is>
          <t>MEDIUM</t>
        </is>
      </c>
      <c r="I978" t="n">
        <v>9</v>
      </c>
      <c r="J978" t="inlineStr">
        <is>
          <t>NO</t>
        </is>
      </c>
      <c r="K978" t="inlineStr">
        <is>
          <t>2026-02-23 23:48</t>
        </is>
      </c>
      <c r="L978" t="inlineStr">
        <is>
          <t>CHECK_VENDOR</t>
        </is>
      </c>
      <c r="M978" t="inlineStr">
        <is>
          <t>See CVE details</t>
        </is>
      </c>
      <c r="N978" t="inlineStr">
        <is>
          <t>P4</t>
        </is>
      </c>
      <c r="O978" t="inlineStr">
        <is>
          <t>CVE - IP enrichment n/a</t>
        </is>
      </c>
      <c r="P978" t="n">
        <v>0</v>
      </c>
      <c r="Q978" t="n">
        <v>0</v>
      </c>
      <c r="R978" t="inlineStr">
        <is>
          <t>T1059:Command and Scripting Interpreter</t>
        </is>
      </c>
      <c r="S978" t="n">
        <v>1</v>
      </c>
      <c r="T978" t="inlineStr">
        <is>
          <t>LOW (40%)</t>
        </is>
      </c>
      <c r="U978" t="inlineStr">
        <is>
          <t>UNLIKELY</t>
        </is>
      </c>
      <c r="V978" t="inlineStr">
        <is>
          <t>CHECK_VENDOR</t>
        </is>
      </c>
      <c r="W978" t="inlineStr">
        <is>
          <t>https://nvd.nist.gov/vuln/detail/CVE-2026-22345</t>
        </is>
      </c>
      <c r="X978" t="inlineStr">
        <is>
          <t>NONE</t>
        </is>
      </c>
      <c r="Y978" t="n">
        <v>0</v>
      </c>
      <c r="Z978" t="inlineStr"/>
      <c r="AA978" t="inlineStr">
        <is>
          <t>https://nvd.nist.gov/vuln/detail/CVE-2026-22345</t>
        </is>
      </c>
    </row>
    <row r="979">
      <c r="A979" t="inlineStr">
        <is>
          <t>CVE</t>
        </is>
      </c>
      <c r="B979" t="inlineStr">
        <is>
          <t>CVE-2026-22346</t>
        </is>
      </c>
      <c r="C979" t="inlineStr">
        <is>
          <t>Deserialization of Untrusted Data vulnerability in A WP Life Slider Responsive Slideshow – Image slider, Gallery slideshow slider-responsive-slideshow allows Object Injection.This issue affects Slider Responsive Slideshow – Image slider, Gallery slideshow: from n/a through &lt;= 1.5.4.</t>
        </is>
      </c>
      <c r="D979" t="n">
        <v>5</v>
      </c>
      <c r="E979" t="inlineStr">
        <is>
          <t>MEDIUM</t>
        </is>
      </c>
      <c r="F979" t="n">
        <v>2</v>
      </c>
      <c r="G979" t="n">
        <v>2</v>
      </c>
      <c r="H979" t="inlineStr">
        <is>
          <t>MEDIUM</t>
        </is>
      </c>
      <c r="I979" t="n">
        <v>9</v>
      </c>
      <c r="J979" t="inlineStr">
        <is>
          <t>NO</t>
        </is>
      </c>
      <c r="K979" t="inlineStr">
        <is>
          <t>2026-02-23 23:48</t>
        </is>
      </c>
      <c r="L979" t="inlineStr">
        <is>
          <t>CHECK_VENDOR</t>
        </is>
      </c>
      <c r="M979" t="inlineStr">
        <is>
          <t>See CVE details</t>
        </is>
      </c>
      <c r="N979" t="inlineStr">
        <is>
          <t>P4</t>
        </is>
      </c>
      <c r="O979" t="inlineStr">
        <is>
          <t>CVE - IP enrichment n/a</t>
        </is>
      </c>
      <c r="P979" t="n">
        <v>0</v>
      </c>
      <c r="Q979" t="n">
        <v>0</v>
      </c>
      <c r="R979" t="inlineStr">
        <is>
          <t>T1059:Command and Scripting Interpreter</t>
        </is>
      </c>
      <c r="S979" t="n">
        <v>1</v>
      </c>
      <c r="T979" t="inlineStr">
        <is>
          <t>LOW (40%)</t>
        </is>
      </c>
      <c r="U979" t="inlineStr">
        <is>
          <t>UNLIKELY</t>
        </is>
      </c>
      <c r="V979" t="inlineStr">
        <is>
          <t>CHECK_VENDOR</t>
        </is>
      </c>
      <c r="W979" t="inlineStr">
        <is>
          <t>https://nvd.nist.gov/vuln/detail/CVE-2026-22346</t>
        </is>
      </c>
      <c r="X979" t="inlineStr">
        <is>
          <t>NONE</t>
        </is>
      </c>
      <c r="Y979" t="n">
        <v>0</v>
      </c>
      <c r="Z979" t="inlineStr"/>
      <c r="AA979" t="inlineStr">
        <is>
          <t>https://nvd.nist.gov/vuln/detail/CVE-2026-22346</t>
        </is>
      </c>
    </row>
    <row r="980">
      <c r="A980" t="inlineStr">
        <is>
          <t>CVE</t>
        </is>
      </c>
      <c r="B980" t="inlineStr">
        <is>
          <t>CVE-2026-22350</t>
        </is>
      </c>
      <c r="C980" t="inlineStr">
        <is>
          <t>Missing Authorization vulnerability in add-ons.org PDF for Elementor Forms + Drag And Drop Template Builder pdf-for-elementor-forms allows Exploiting Incorrectly Configured Access Control Security Levels.This issue affects PDF for Elementor Forms + Drag And Drop Template Builder: from n/a through &lt;= 6.3.1.</t>
        </is>
      </c>
      <c r="D980" t="n">
        <v>5</v>
      </c>
      <c r="E980" t="inlineStr">
        <is>
          <t>MEDIUM</t>
        </is>
      </c>
      <c r="F980" t="n">
        <v>2</v>
      </c>
      <c r="G980" t="n">
        <v>2</v>
      </c>
      <c r="H980" t="inlineStr">
        <is>
          <t>MEDIUM</t>
        </is>
      </c>
      <c r="I980" t="n">
        <v>9</v>
      </c>
      <c r="J980" t="inlineStr">
        <is>
          <t>NO</t>
        </is>
      </c>
      <c r="K980" t="inlineStr">
        <is>
          <t>2026-02-23 23:48</t>
        </is>
      </c>
      <c r="L980" t="inlineStr">
        <is>
          <t>CHECK_VENDOR</t>
        </is>
      </c>
      <c r="M980" t="inlineStr">
        <is>
          <t>See CVE details</t>
        </is>
      </c>
      <c r="N980" t="inlineStr">
        <is>
          <t>P4</t>
        </is>
      </c>
      <c r="O980" t="inlineStr">
        <is>
          <t>CVE - IP enrichment n/a</t>
        </is>
      </c>
      <c r="P980" t="n">
        <v>0</v>
      </c>
      <c r="Q980" t="n">
        <v>0</v>
      </c>
      <c r="R980" t="inlineStr">
        <is>
          <t>T1190:Exploit Public-Facing Application</t>
        </is>
      </c>
      <c r="S980" t="n">
        <v>1</v>
      </c>
      <c r="T980" t="inlineStr">
        <is>
          <t>LOW (40%)</t>
        </is>
      </c>
      <c r="U980" t="inlineStr">
        <is>
          <t>UNLIKELY</t>
        </is>
      </c>
      <c r="V980" t="inlineStr">
        <is>
          <t>CHECK_VENDOR</t>
        </is>
      </c>
      <c r="W980" t="inlineStr">
        <is>
          <t>https://nvd.nist.gov/vuln/detail/CVE-2026-22350</t>
        </is>
      </c>
      <c r="X980" t="inlineStr">
        <is>
          <t>NONE</t>
        </is>
      </c>
      <c r="Y980" t="n">
        <v>0</v>
      </c>
      <c r="Z980" t="inlineStr"/>
      <c r="AA980" t="inlineStr">
        <is>
          <t>https://nvd.nist.gov/vuln/detail/CVE-2026-22350</t>
        </is>
      </c>
    </row>
    <row r="981">
      <c r="A981" t="inlineStr">
        <is>
          <t>CVE</t>
        </is>
      </c>
      <c r="B981" t="inlineStr">
        <is>
          <t>CVE-2026-22351</t>
        </is>
      </c>
      <c r="C981" t="inlineStr">
        <is>
          <t>Missing Authorization vulnerability in Marcus (aka @msykes) WP FullCalendar wp-fullcalendar allows Exploiting Incorrectly Configured Access Control Security Levels.This issue affects WP FullCalendar: from n/a through &lt;= 1.6.</t>
        </is>
      </c>
      <c r="D981" t="n">
        <v>6.5</v>
      </c>
      <c r="E981" t="inlineStr">
        <is>
          <t>MEDIUM</t>
        </is>
      </c>
      <c r="F981" t="n">
        <v>2</v>
      </c>
      <c r="G981" t="n">
        <v>2</v>
      </c>
      <c r="H981" t="inlineStr">
        <is>
          <t>MEDIUM</t>
        </is>
      </c>
      <c r="I981" t="n">
        <v>10.5</v>
      </c>
      <c r="J981" t="inlineStr">
        <is>
          <t>NO</t>
        </is>
      </c>
      <c r="K981" t="inlineStr">
        <is>
          <t>2026-02-23 23:48</t>
        </is>
      </c>
      <c r="L981" t="inlineStr">
        <is>
          <t>CHECK_VENDOR</t>
        </is>
      </c>
      <c r="M981" t="inlineStr">
        <is>
          <t>See CVE details</t>
        </is>
      </c>
      <c r="N981" t="inlineStr">
        <is>
          <t>P4</t>
        </is>
      </c>
      <c r="O981" t="inlineStr">
        <is>
          <t>CVE - IP enrichment n/a</t>
        </is>
      </c>
      <c r="P981" t="n">
        <v>0</v>
      </c>
      <c r="Q981" t="n">
        <v>0</v>
      </c>
      <c r="R981" t="inlineStr">
        <is>
          <t>T1190:Exploit Public-Facing Application</t>
        </is>
      </c>
      <c r="S981" t="n">
        <v>1</v>
      </c>
      <c r="T981" t="inlineStr">
        <is>
          <t>LOW (40%)</t>
        </is>
      </c>
      <c r="U981" t="inlineStr">
        <is>
          <t>UNLIKELY</t>
        </is>
      </c>
      <c r="V981" t="inlineStr">
        <is>
          <t>CHECK_VENDOR</t>
        </is>
      </c>
      <c r="W981" t="inlineStr">
        <is>
          <t>https://nvd.nist.gov/vuln/detail/CVE-2026-22351</t>
        </is>
      </c>
      <c r="X981" t="inlineStr">
        <is>
          <t>NONE</t>
        </is>
      </c>
      <c r="Y981" t="n">
        <v>0</v>
      </c>
      <c r="Z981" t="inlineStr"/>
      <c r="AA981" t="inlineStr">
        <is>
          <t>https://nvd.nist.gov/vuln/detail/CVE-2026-22351</t>
        </is>
      </c>
    </row>
    <row r="982">
      <c r="A982" t="inlineStr">
        <is>
          <t>CVE</t>
        </is>
      </c>
      <c r="B982" t="inlineStr">
        <is>
          <t>CVE-2026-22352</t>
        </is>
      </c>
      <c r="C982" t="inlineStr">
        <is>
          <t>Improper Neutralization of Input During Web Page Generation ('Cross-site Scripting') vulnerability in PersianScript Persian Woocommerce SMS persian-woocommerce-sms allows Reflected XSS.This issue affects Persian Woocommerce SMS: from n/a through &lt;= 7.1.1.</t>
        </is>
      </c>
      <c r="D982" t="n">
        <v>8.5</v>
      </c>
      <c r="E982" t="inlineStr">
        <is>
          <t>HIGH</t>
        </is>
      </c>
      <c r="F982" t="n">
        <v>2</v>
      </c>
      <c r="G982" t="n">
        <v>3</v>
      </c>
      <c r="H982" t="inlineStr">
        <is>
          <t>HIGH</t>
        </is>
      </c>
      <c r="I982" t="n">
        <v>14.5</v>
      </c>
      <c r="J982" t="inlineStr">
        <is>
          <t>NO</t>
        </is>
      </c>
      <c r="K982" t="inlineStr">
        <is>
          <t>2026-02-23 23:48</t>
        </is>
      </c>
      <c r="L982" t="inlineStr">
        <is>
          <t>CHECK_VENDOR</t>
        </is>
      </c>
      <c r="M982" t="inlineStr">
        <is>
          <t>See CVE details</t>
        </is>
      </c>
      <c r="N982" t="inlineStr">
        <is>
          <t>P3</t>
        </is>
      </c>
      <c r="O982" t="inlineStr">
        <is>
          <t>CVE - IP enrichment n/a</t>
        </is>
      </c>
      <c r="P982" t="n">
        <v>0.0003</v>
      </c>
      <c r="Q982" t="n">
        <v>0.0808</v>
      </c>
      <c r="R982" t="inlineStr">
        <is>
          <t>T1189:Drive-by Compromise | T1190:Exploit Public-Facing Application</t>
        </is>
      </c>
      <c r="S982" t="n">
        <v>1</v>
      </c>
      <c r="T982" t="inlineStr">
        <is>
          <t>LOW (40%)</t>
        </is>
      </c>
      <c r="U982" t="inlineStr">
        <is>
          <t>UNLIKELY</t>
        </is>
      </c>
      <c r="V982" t="inlineStr">
        <is>
          <t>CHECK_VENDOR</t>
        </is>
      </c>
      <c r="W982" t="inlineStr">
        <is>
          <t>https://nvd.nist.gov/vuln/detail/CVE-2026-22352</t>
        </is>
      </c>
      <c r="X982" t="inlineStr">
        <is>
          <t>NONE</t>
        </is>
      </c>
      <c r="Y982" t="n">
        <v>0</v>
      </c>
      <c r="Z982" t="inlineStr"/>
      <c r="AA982" t="inlineStr">
        <is>
          <t>https://nvd.nist.gov/vuln/detail/CVE-2026-22352</t>
        </is>
      </c>
    </row>
    <row r="983">
      <c r="A983" t="inlineStr">
        <is>
          <t>CVE</t>
        </is>
      </c>
      <c r="B983" t="inlineStr">
        <is>
          <t>CVE-2026-22354</t>
        </is>
      </c>
      <c r="C983" t="inlineStr">
        <is>
          <t>Deserialization of Untrusted Data vulnerability in Dotstore Woocommerce Category Banner Management banner-management-for-woocommerce allows Object Injection.This issue affects Woocommerce Category Banner Management: from n/a through &lt;= 2.5.1.</t>
        </is>
      </c>
      <c r="D983" t="n">
        <v>8.5</v>
      </c>
      <c r="E983" t="inlineStr">
        <is>
          <t>HIGH</t>
        </is>
      </c>
      <c r="F983" t="n">
        <v>2</v>
      </c>
      <c r="G983" t="n">
        <v>3</v>
      </c>
      <c r="H983" t="inlineStr">
        <is>
          <t>HIGH</t>
        </is>
      </c>
      <c r="I983" t="n">
        <v>14.5</v>
      </c>
      <c r="J983" t="inlineStr">
        <is>
          <t>NO</t>
        </is>
      </c>
      <c r="K983" t="inlineStr">
        <is>
          <t>2026-02-23 23:48</t>
        </is>
      </c>
      <c r="L983" t="inlineStr">
        <is>
          <t>CHECK_VENDOR</t>
        </is>
      </c>
      <c r="M983" t="inlineStr">
        <is>
          <t>See CVE details</t>
        </is>
      </c>
      <c r="N983" t="inlineStr">
        <is>
          <t>P3</t>
        </is>
      </c>
      <c r="O983" t="inlineStr">
        <is>
          <t>CVE - IP enrichment n/a</t>
        </is>
      </c>
      <c r="P983" t="n">
        <v>0</v>
      </c>
      <c r="Q983" t="n">
        <v>0</v>
      </c>
      <c r="R983" t="inlineStr">
        <is>
          <t>T1059:Command and Scripting Interpreter | T1190:Exploit Public-Facing Application</t>
        </is>
      </c>
      <c r="S983" t="n">
        <v>1</v>
      </c>
      <c r="T983" t="inlineStr">
        <is>
          <t>LOW (40%)</t>
        </is>
      </c>
      <c r="U983" t="inlineStr">
        <is>
          <t>UNLIKELY</t>
        </is>
      </c>
      <c r="V983" t="inlineStr">
        <is>
          <t>CHECK_VENDOR</t>
        </is>
      </c>
      <c r="W983" t="inlineStr">
        <is>
          <t>https://nvd.nist.gov/vuln/detail/CVE-2026-22354</t>
        </is>
      </c>
      <c r="X983" t="inlineStr">
        <is>
          <t>NONE</t>
        </is>
      </c>
      <c r="Y983" t="n">
        <v>0</v>
      </c>
      <c r="Z983" t="inlineStr"/>
      <c r="AA983" t="inlineStr">
        <is>
          <t>https://nvd.nist.gov/vuln/detail/CVE-2026-22354</t>
        </is>
      </c>
    </row>
    <row r="984">
      <c r="A984" t="inlineStr">
        <is>
          <t>CVE</t>
        </is>
      </c>
      <c r="B984" t="inlineStr">
        <is>
          <t>CVE-2026-22356</t>
        </is>
      </c>
      <c r="C984" t="inlineStr">
        <is>
          <t>Improper Control of Filename for Include/Require Statement in PHP Program ('PHP Remote File Inclusion') vulnerability in Automattic Jetpack CRM zero-bs-crm allows PHP Local File Inclusion.This issue affects Jetpack CRM: from n/a through &lt;= 6.7.0.</t>
        </is>
      </c>
      <c r="D984" t="n">
        <v>5</v>
      </c>
      <c r="E984" t="inlineStr">
        <is>
          <t>MEDIUM</t>
        </is>
      </c>
      <c r="F984" t="n">
        <v>2</v>
      </c>
      <c r="G984" t="n">
        <v>2</v>
      </c>
      <c r="H984" t="inlineStr">
        <is>
          <t>MEDIUM</t>
        </is>
      </c>
      <c r="I984" t="n">
        <v>9</v>
      </c>
      <c r="J984" t="inlineStr">
        <is>
          <t>NO</t>
        </is>
      </c>
      <c r="K984" t="inlineStr">
        <is>
          <t>2026-02-23 23:48</t>
        </is>
      </c>
      <c r="L984" t="inlineStr">
        <is>
          <t>CHECK_VENDOR</t>
        </is>
      </c>
      <c r="M984" t="inlineStr">
        <is>
          <t>See CVE details</t>
        </is>
      </c>
      <c r="N984" t="inlineStr">
        <is>
          <t>P4</t>
        </is>
      </c>
      <c r="O984" t="inlineStr">
        <is>
          <t>CVE - IP enrichment n/a</t>
        </is>
      </c>
      <c r="P984" t="n">
        <v>0.0005</v>
      </c>
      <c r="Q984" t="n">
        <v>0.1673</v>
      </c>
      <c r="R984" t="inlineStr">
        <is>
          <t>T1190:Exploit Public-Facing Application</t>
        </is>
      </c>
      <c r="S984" t="n">
        <v>1</v>
      </c>
      <c r="T984" t="inlineStr">
        <is>
          <t>LOW (40%)</t>
        </is>
      </c>
      <c r="U984" t="inlineStr">
        <is>
          <t>UNLIKELY</t>
        </is>
      </c>
      <c r="V984" t="inlineStr">
        <is>
          <t>CHECK_VENDOR</t>
        </is>
      </c>
      <c r="W984" t="inlineStr">
        <is>
          <t>https://nvd.nist.gov/vuln/detail/CVE-2026-22356</t>
        </is>
      </c>
      <c r="X984" t="inlineStr">
        <is>
          <t>NONE</t>
        </is>
      </c>
      <c r="Y984" t="n">
        <v>0</v>
      </c>
      <c r="Z984" t="inlineStr"/>
      <c r="AA984" t="inlineStr">
        <is>
          <t>https://nvd.nist.gov/vuln/detail/CVE-2026-22356</t>
        </is>
      </c>
    </row>
    <row r="985">
      <c r="A985" t="inlineStr">
        <is>
          <t>CVE</t>
        </is>
      </c>
      <c r="B985" t="inlineStr">
        <is>
          <t>CVE-2026-22357</t>
        </is>
      </c>
      <c r="C985" t="inlineStr">
        <is>
          <t>Improper Neutralization of Input During Web Page Generation ('Cross-site Scripting') vulnerability in Spencer Haws Link Whisper Free link-whisper allows Reflected XSS.This issue affects Link Whisper Free: from n/a through &lt;= 0.9.0.</t>
        </is>
      </c>
      <c r="D985" t="n">
        <v>7.1</v>
      </c>
      <c r="E985" t="inlineStr">
        <is>
          <t>HIGH</t>
        </is>
      </c>
      <c r="F985" t="n">
        <v>2</v>
      </c>
      <c r="G985" t="n">
        <v>3</v>
      </c>
      <c r="H985" t="inlineStr">
        <is>
          <t>HIGH</t>
        </is>
      </c>
      <c r="I985" t="n">
        <v>13.1</v>
      </c>
      <c r="J985" t="inlineStr">
        <is>
          <t>NO</t>
        </is>
      </c>
      <c r="K985" t="inlineStr">
        <is>
          <t>2026-02-23 23:48</t>
        </is>
      </c>
      <c r="L985" t="inlineStr">
        <is>
          <t>CHECK_VENDOR</t>
        </is>
      </c>
      <c r="M985" t="inlineStr">
        <is>
          <t>See CVE details</t>
        </is>
      </c>
      <c r="N985" t="inlineStr">
        <is>
          <t>P3</t>
        </is>
      </c>
      <c r="O985" t="inlineStr">
        <is>
          <t>CVE - IP enrichment n/a</t>
        </is>
      </c>
      <c r="P985" t="n">
        <v>0.0003</v>
      </c>
      <c r="Q985" t="n">
        <v>0.0808</v>
      </c>
      <c r="R985" t="inlineStr">
        <is>
          <t>T1189:Drive-by Compromise</t>
        </is>
      </c>
      <c r="S985" t="n">
        <v>1</v>
      </c>
      <c r="T985" t="inlineStr">
        <is>
          <t>LOW (40%)</t>
        </is>
      </c>
      <c r="U985" t="inlineStr">
        <is>
          <t>UNLIKELY</t>
        </is>
      </c>
      <c r="V985" t="inlineStr">
        <is>
          <t>CHECK_VENDOR</t>
        </is>
      </c>
      <c r="W985" t="inlineStr">
        <is>
          <t>https://nvd.nist.gov/vuln/detail/CVE-2026-22357</t>
        </is>
      </c>
      <c r="X985" t="inlineStr">
        <is>
          <t>NONE</t>
        </is>
      </c>
      <c r="Y985" t="n">
        <v>0</v>
      </c>
      <c r="Z985" t="inlineStr"/>
      <c r="AA985" t="inlineStr">
        <is>
          <t>https://nvd.nist.gov/vuln/detail/CVE-2026-22357</t>
        </is>
      </c>
    </row>
    <row r="986">
      <c r="A986" t="inlineStr">
        <is>
          <t>CVE</t>
        </is>
      </c>
      <c r="B986" t="inlineStr">
        <is>
          <t>CVE-2026-22361</t>
        </is>
      </c>
      <c r="C986" t="inlineStr">
        <is>
          <t>Improper Control of Filename for Include/Require Statement in PHP Program ('PHP Remote File Inclusion') vulnerability in axiomthemes A-Mart a-mart allows PHP Local File Inclusion.This issue affects A-Mart: from n/a through &lt;= 1.0.2.</t>
        </is>
      </c>
      <c r="D986" t="n">
        <v>5</v>
      </c>
      <c r="E986" t="inlineStr">
        <is>
          <t>MEDIUM</t>
        </is>
      </c>
      <c r="F986" t="n">
        <v>2</v>
      </c>
      <c r="G986" t="n">
        <v>2</v>
      </c>
      <c r="H986" t="inlineStr">
        <is>
          <t>MEDIUM</t>
        </is>
      </c>
      <c r="I986" t="n">
        <v>9</v>
      </c>
      <c r="J986" t="inlineStr">
        <is>
          <t>NO</t>
        </is>
      </c>
      <c r="K986" t="inlineStr">
        <is>
          <t>2026-02-23 23:48</t>
        </is>
      </c>
      <c r="L986" t="inlineStr">
        <is>
          <t>CHECK_VENDOR</t>
        </is>
      </c>
      <c r="M986" t="inlineStr">
        <is>
          <t>See CVE details</t>
        </is>
      </c>
      <c r="N986" t="inlineStr">
        <is>
          <t>P4</t>
        </is>
      </c>
      <c r="O986" t="inlineStr">
        <is>
          <t>CVE - IP enrichment n/a</t>
        </is>
      </c>
      <c r="P986" t="n">
        <v>0</v>
      </c>
      <c r="Q986" t="n">
        <v>0</v>
      </c>
      <c r="R986" t="inlineStr">
        <is>
          <t>T1190:Exploit Public-Facing Application</t>
        </is>
      </c>
      <c r="S986" t="n">
        <v>1</v>
      </c>
      <c r="T986" t="inlineStr">
        <is>
          <t>LOW (40%)</t>
        </is>
      </c>
      <c r="U986" t="inlineStr">
        <is>
          <t>UNLIKELY</t>
        </is>
      </c>
      <c r="V986" t="inlineStr">
        <is>
          <t>CHECK_VENDOR</t>
        </is>
      </c>
      <c r="W986" t="inlineStr">
        <is>
          <t>https://nvd.nist.gov/vuln/detail/CVE-2026-22361</t>
        </is>
      </c>
      <c r="X986" t="inlineStr">
        <is>
          <t>NONE</t>
        </is>
      </c>
      <c r="Y986" t="n">
        <v>0</v>
      </c>
      <c r="Z986" t="inlineStr"/>
      <c r="AA986" t="inlineStr">
        <is>
          <t>https://nvd.nist.gov/vuln/detail/CVE-2026-22361</t>
        </is>
      </c>
    </row>
    <row r="987">
      <c r="A987" t="inlineStr">
        <is>
          <t>CVE</t>
        </is>
      </c>
      <c r="B987" t="inlineStr">
        <is>
          <t>CVE-2026-22362</t>
        </is>
      </c>
      <c r="C987" t="inlineStr">
        <is>
          <t>Improper Control of Filename for Include/Require Statement in PHP Program ('PHP Remote File Inclusion') vulnerability in axiomthemes Photolia photolia allows PHP Local File Inclusion.This issue affects Photolia: from n/a through &lt;= 1.0.3.</t>
        </is>
      </c>
      <c r="D987" t="n">
        <v>8.1</v>
      </c>
      <c r="E987" t="inlineStr">
        <is>
          <t>HIGH</t>
        </is>
      </c>
      <c r="F987" t="n">
        <v>2</v>
      </c>
      <c r="G987" t="n">
        <v>3</v>
      </c>
      <c r="H987" t="inlineStr">
        <is>
          <t>HIGH</t>
        </is>
      </c>
      <c r="I987" t="n">
        <v>14.1</v>
      </c>
      <c r="J987" t="inlineStr">
        <is>
          <t>NO</t>
        </is>
      </c>
      <c r="K987" t="inlineStr">
        <is>
          <t>2026-02-23 23:48</t>
        </is>
      </c>
      <c r="L987" t="inlineStr">
        <is>
          <t>CHECK_VENDOR</t>
        </is>
      </c>
      <c r="M987" t="inlineStr">
        <is>
          <t>See CVE details</t>
        </is>
      </c>
      <c r="N987" t="inlineStr">
        <is>
          <t>P3</t>
        </is>
      </c>
      <c r="O987" t="inlineStr">
        <is>
          <t>CVE - IP enrichment n/a</t>
        </is>
      </c>
      <c r="P987" t="n">
        <v>0</v>
      </c>
      <c r="Q987" t="n">
        <v>0</v>
      </c>
      <c r="R987" t="inlineStr">
        <is>
          <t>T1190:Exploit Public-Facing Application</t>
        </is>
      </c>
      <c r="S987" t="n">
        <v>1</v>
      </c>
      <c r="T987" t="inlineStr">
        <is>
          <t>LOW (40%)</t>
        </is>
      </c>
      <c r="U987" t="inlineStr">
        <is>
          <t>UNLIKELY</t>
        </is>
      </c>
      <c r="V987" t="inlineStr">
        <is>
          <t>CHECK_VENDOR</t>
        </is>
      </c>
      <c r="W987" t="inlineStr">
        <is>
          <t>https://nvd.nist.gov/vuln/detail/CVE-2026-22362</t>
        </is>
      </c>
      <c r="X987" t="inlineStr">
        <is>
          <t>NONE</t>
        </is>
      </c>
      <c r="Y987" t="n">
        <v>0</v>
      </c>
      <c r="Z987" t="inlineStr"/>
      <c r="AA987" t="inlineStr">
        <is>
          <t>https://nvd.nist.gov/vuln/detail/CVE-2026-22362</t>
        </is>
      </c>
    </row>
    <row r="988">
      <c r="A988" t="inlineStr">
        <is>
          <t>CVE</t>
        </is>
      </c>
      <c r="B988" t="inlineStr">
        <is>
          <t>CVE-2026-22363</t>
        </is>
      </c>
      <c r="C988" t="inlineStr">
        <is>
          <t>Improper Control of Filename for Include/Require Statement in PHP Program ('PHP Remote File Inclusion') vulnerability in axiomthemes Rhodos rhodos allows PHP Local File Inclusion.This issue affects Rhodos: from n/a through &lt;= 1.3.3.</t>
        </is>
      </c>
      <c r="D988" t="n">
        <v>5</v>
      </c>
      <c r="E988" t="inlineStr">
        <is>
          <t>MEDIUM</t>
        </is>
      </c>
      <c r="F988" t="n">
        <v>2</v>
      </c>
      <c r="G988" t="n">
        <v>2</v>
      </c>
      <c r="H988" t="inlineStr">
        <is>
          <t>MEDIUM</t>
        </is>
      </c>
      <c r="I988" t="n">
        <v>9</v>
      </c>
      <c r="J988" t="inlineStr">
        <is>
          <t>NO</t>
        </is>
      </c>
      <c r="K988" t="inlineStr">
        <is>
          <t>2026-02-23 23:48</t>
        </is>
      </c>
      <c r="L988" t="inlineStr">
        <is>
          <t>CHECK_VENDOR</t>
        </is>
      </c>
      <c r="M988" t="inlineStr">
        <is>
          <t>See CVE details</t>
        </is>
      </c>
      <c r="N988" t="inlineStr">
        <is>
          <t>P4</t>
        </is>
      </c>
      <c r="O988" t="inlineStr">
        <is>
          <t>CVE - IP enrichment n/a</t>
        </is>
      </c>
      <c r="P988" t="n">
        <v>0</v>
      </c>
      <c r="Q988" t="n">
        <v>0</v>
      </c>
      <c r="R988" t="inlineStr">
        <is>
          <t>T1190:Exploit Public-Facing Application</t>
        </is>
      </c>
      <c r="S988" t="n">
        <v>1</v>
      </c>
      <c r="T988" t="inlineStr">
        <is>
          <t>LOW (40%)</t>
        </is>
      </c>
      <c r="U988" t="inlineStr">
        <is>
          <t>UNLIKELY</t>
        </is>
      </c>
      <c r="V988" t="inlineStr">
        <is>
          <t>CHECK_VENDOR</t>
        </is>
      </c>
      <c r="W988" t="inlineStr">
        <is>
          <t>https://nvd.nist.gov/vuln/detail/CVE-2026-22363</t>
        </is>
      </c>
      <c r="X988" t="inlineStr">
        <is>
          <t>NONE</t>
        </is>
      </c>
      <c r="Y988" t="n">
        <v>0</v>
      </c>
      <c r="Z988" t="inlineStr"/>
      <c r="AA988" t="inlineStr">
        <is>
          <t>https://nvd.nist.gov/vuln/detail/CVE-2026-22363</t>
        </is>
      </c>
    </row>
    <row r="989">
      <c r="A989" t="inlineStr">
        <is>
          <t>CVE</t>
        </is>
      </c>
      <c r="B989" t="inlineStr">
        <is>
          <t>CVE-2026-22364</t>
        </is>
      </c>
      <c r="C989" t="inlineStr">
        <is>
          <t>Improper Control of Filename for Include/Require Statement in PHP Program ('PHP Remote File Inclusion') vulnerability in axiomthemes SevenTrees seventrees allows PHP Local File Inclusion.This issue affects SevenTrees: from n/a through &lt;=1.0.2.</t>
        </is>
      </c>
      <c r="D989" t="n">
        <v>8.1</v>
      </c>
      <c r="E989" t="inlineStr">
        <is>
          <t>HIGH</t>
        </is>
      </c>
      <c r="F989" t="n">
        <v>2</v>
      </c>
      <c r="G989" t="n">
        <v>3</v>
      </c>
      <c r="H989" t="inlineStr">
        <is>
          <t>HIGH</t>
        </is>
      </c>
      <c r="I989" t="n">
        <v>14.1</v>
      </c>
      <c r="J989" t="inlineStr">
        <is>
          <t>NO</t>
        </is>
      </c>
      <c r="K989" t="inlineStr">
        <is>
          <t>2026-02-23 23:48</t>
        </is>
      </c>
      <c r="L989" t="inlineStr">
        <is>
          <t>CHECK_VENDOR</t>
        </is>
      </c>
      <c r="M989" t="inlineStr">
        <is>
          <t>See CVE details</t>
        </is>
      </c>
      <c r="N989" t="inlineStr">
        <is>
          <t>P3</t>
        </is>
      </c>
      <c r="O989" t="inlineStr">
        <is>
          <t>CVE - IP enrichment n/a</t>
        </is>
      </c>
      <c r="P989" t="n">
        <v>0.0011</v>
      </c>
      <c r="Q989" t="n">
        <v>0.3027</v>
      </c>
      <c r="R989" t="inlineStr">
        <is>
          <t>T1190:Exploit Public-Facing Application</t>
        </is>
      </c>
      <c r="S989" t="n">
        <v>1</v>
      </c>
      <c r="T989" t="inlineStr">
        <is>
          <t>LOW (40%)</t>
        </is>
      </c>
      <c r="U989" t="inlineStr">
        <is>
          <t>UNLIKELY</t>
        </is>
      </c>
      <c r="V989" t="inlineStr">
        <is>
          <t>CHECK_VENDOR</t>
        </is>
      </c>
      <c r="W989" t="inlineStr">
        <is>
          <t>https://nvd.nist.gov/vuln/detail/CVE-2026-22364</t>
        </is>
      </c>
      <c r="X989" t="inlineStr">
        <is>
          <t>NONE</t>
        </is>
      </c>
      <c r="Y989" t="n">
        <v>0</v>
      </c>
      <c r="Z989" t="inlineStr"/>
      <c r="AA989" t="inlineStr">
        <is>
          <t>https://nvd.nist.gov/vuln/detail/CVE-2026-22364</t>
        </is>
      </c>
    </row>
    <row r="990">
      <c r="A990" t="inlineStr">
        <is>
          <t>CVE</t>
        </is>
      </c>
      <c r="B990" t="inlineStr">
        <is>
          <t>CVE-2026-22365</t>
        </is>
      </c>
      <c r="C990" t="inlineStr">
        <is>
          <t>Improper Control of Filename for Include/Require Statement in PHP Program ('PHP Remote File Inclusion') vulnerability in axiomthemes Soleng soleng allows PHP Local File Inclusion.This issue affects Soleng: from n/a through &lt;= 1.0.5.</t>
        </is>
      </c>
      <c r="D990" t="n">
        <v>5</v>
      </c>
      <c r="E990" t="inlineStr">
        <is>
          <t>MEDIUM</t>
        </is>
      </c>
      <c r="F990" t="n">
        <v>2</v>
      </c>
      <c r="G990" t="n">
        <v>2</v>
      </c>
      <c r="H990" t="inlineStr">
        <is>
          <t>MEDIUM</t>
        </is>
      </c>
      <c r="I990" t="n">
        <v>9</v>
      </c>
      <c r="J990" t="inlineStr">
        <is>
          <t>NO</t>
        </is>
      </c>
      <c r="K990" t="inlineStr">
        <is>
          <t>2026-02-23 23:48</t>
        </is>
      </c>
      <c r="L990" t="inlineStr">
        <is>
          <t>CHECK_VENDOR</t>
        </is>
      </c>
      <c r="M990" t="inlineStr">
        <is>
          <t>See CVE details</t>
        </is>
      </c>
      <c r="N990" t="inlineStr">
        <is>
          <t>P4</t>
        </is>
      </c>
      <c r="O990" t="inlineStr">
        <is>
          <t>CVE - IP enrichment n/a</t>
        </is>
      </c>
      <c r="P990" t="n">
        <v>0</v>
      </c>
      <c r="Q990" t="n">
        <v>0</v>
      </c>
      <c r="R990" t="inlineStr">
        <is>
          <t>T1190:Exploit Public-Facing Application</t>
        </is>
      </c>
      <c r="S990" t="n">
        <v>1</v>
      </c>
      <c r="T990" t="inlineStr">
        <is>
          <t>LOW (40%)</t>
        </is>
      </c>
      <c r="U990" t="inlineStr">
        <is>
          <t>UNLIKELY</t>
        </is>
      </c>
      <c r="V990" t="inlineStr">
        <is>
          <t>CHECK_VENDOR</t>
        </is>
      </c>
      <c r="W990" t="inlineStr">
        <is>
          <t>https://nvd.nist.gov/vuln/detail/CVE-2026-22365</t>
        </is>
      </c>
      <c r="X990" t="inlineStr">
        <is>
          <t>NONE</t>
        </is>
      </c>
      <c r="Y990" t="n">
        <v>0</v>
      </c>
      <c r="Z990" t="inlineStr"/>
      <c r="AA990" t="inlineStr">
        <is>
          <t>https://nvd.nist.gov/vuln/detail/CVE-2026-22365</t>
        </is>
      </c>
    </row>
    <row r="991">
      <c r="A991" t="inlineStr">
        <is>
          <t>CVE</t>
        </is>
      </c>
      <c r="B991" t="inlineStr">
        <is>
          <t>CVE-2026-22366</t>
        </is>
      </c>
      <c r="C991" t="inlineStr">
        <is>
          <t>Improper Control of Filename for Include/Require Statement in PHP Program ('PHP Remote File Inclusion') vulnerability in axiomthemes Jude jude allows PHP Local File Inclusion.This issue affects Jude: from n/a through &lt;= 1.3.0.</t>
        </is>
      </c>
      <c r="D991" t="n">
        <v>8.1</v>
      </c>
      <c r="E991" t="inlineStr">
        <is>
          <t>HIGH</t>
        </is>
      </c>
      <c r="F991" t="n">
        <v>2</v>
      </c>
      <c r="G991" t="n">
        <v>3</v>
      </c>
      <c r="H991" t="inlineStr">
        <is>
          <t>HIGH</t>
        </is>
      </c>
      <c r="I991" t="n">
        <v>14.1</v>
      </c>
      <c r="J991" t="inlineStr">
        <is>
          <t>NO</t>
        </is>
      </c>
      <c r="K991" t="inlineStr">
        <is>
          <t>2026-02-23 23:48</t>
        </is>
      </c>
      <c r="L991" t="inlineStr">
        <is>
          <t>CHECK_VENDOR</t>
        </is>
      </c>
      <c r="M991" t="inlineStr">
        <is>
          <t>See CVE details</t>
        </is>
      </c>
      <c r="N991" t="inlineStr">
        <is>
          <t>P3</t>
        </is>
      </c>
      <c r="O991" t="inlineStr">
        <is>
          <t>CVE - IP enrichment n/a</t>
        </is>
      </c>
      <c r="P991" t="n">
        <v>0.0011</v>
      </c>
      <c r="Q991" t="n">
        <v>0.3027</v>
      </c>
      <c r="R991" t="inlineStr">
        <is>
          <t>T1190:Exploit Public-Facing Application</t>
        </is>
      </c>
      <c r="S991" t="n">
        <v>1</v>
      </c>
      <c r="T991" t="inlineStr">
        <is>
          <t>LOW (40%)</t>
        </is>
      </c>
      <c r="U991" t="inlineStr">
        <is>
          <t>UNLIKELY</t>
        </is>
      </c>
      <c r="V991" t="inlineStr">
        <is>
          <t>CHECK_VENDOR</t>
        </is>
      </c>
      <c r="W991" t="inlineStr">
        <is>
          <t>https://nvd.nist.gov/vuln/detail/CVE-2026-22366</t>
        </is>
      </c>
      <c r="X991" t="inlineStr">
        <is>
          <t>NONE</t>
        </is>
      </c>
      <c r="Y991" t="n">
        <v>0</v>
      </c>
      <c r="Z991" t="inlineStr"/>
      <c r="AA991" t="inlineStr">
        <is>
          <t>https://nvd.nist.gov/vuln/detail/CVE-2026-22366</t>
        </is>
      </c>
    </row>
    <row r="992">
      <c r="A992" t="inlineStr">
        <is>
          <t>CVE</t>
        </is>
      </c>
      <c r="B992" t="inlineStr">
        <is>
          <t>CVE-2026-22367</t>
        </is>
      </c>
      <c r="C992" t="inlineStr">
        <is>
          <t>Improper Control of Filename for Include/Require Statement in PHP Program ('PHP Remote File Inclusion') vulnerability in AncoraThemes Coworking coworking allows PHP Local File Inclusion.This issue affects Coworking: from n/a through &lt;= 1.6.1.</t>
        </is>
      </c>
      <c r="D992" t="n">
        <v>5</v>
      </c>
      <c r="E992" t="inlineStr">
        <is>
          <t>MEDIUM</t>
        </is>
      </c>
      <c r="F992" t="n">
        <v>2</v>
      </c>
      <c r="G992" t="n">
        <v>2</v>
      </c>
      <c r="H992" t="inlineStr">
        <is>
          <t>MEDIUM</t>
        </is>
      </c>
      <c r="I992" t="n">
        <v>9</v>
      </c>
      <c r="J992" t="inlineStr">
        <is>
          <t>NO</t>
        </is>
      </c>
      <c r="K992" t="inlineStr">
        <is>
          <t>2026-02-23 23:48</t>
        </is>
      </c>
      <c r="L992" t="inlineStr">
        <is>
          <t>CHECK_VENDOR</t>
        </is>
      </c>
      <c r="M992" t="inlineStr">
        <is>
          <t>See CVE details</t>
        </is>
      </c>
      <c r="N992" t="inlineStr">
        <is>
          <t>P4</t>
        </is>
      </c>
      <c r="O992" t="inlineStr">
        <is>
          <t>CVE - IP enrichment n/a</t>
        </is>
      </c>
      <c r="P992" t="n">
        <v>0</v>
      </c>
      <c r="Q992" t="n">
        <v>0</v>
      </c>
      <c r="R992" t="inlineStr">
        <is>
          <t>T1190:Exploit Public-Facing Application</t>
        </is>
      </c>
      <c r="S992" t="n">
        <v>1</v>
      </c>
      <c r="T992" t="inlineStr">
        <is>
          <t>LOW (40%)</t>
        </is>
      </c>
      <c r="U992" t="inlineStr">
        <is>
          <t>UNLIKELY</t>
        </is>
      </c>
      <c r="V992" t="inlineStr">
        <is>
          <t>CHECK_VENDOR</t>
        </is>
      </c>
      <c r="W992" t="inlineStr">
        <is>
          <t>https://nvd.nist.gov/vuln/detail/CVE-2026-22367</t>
        </is>
      </c>
      <c r="X992" t="inlineStr">
        <is>
          <t>NONE</t>
        </is>
      </c>
      <c r="Y992" t="n">
        <v>0</v>
      </c>
      <c r="Z992" t="inlineStr"/>
      <c r="AA992" t="inlineStr">
        <is>
          <t>https://nvd.nist.gov/vuln/detail/CVE-2026-22367</t>
        </is>
      </c>
    </row>
    <row r="993">
      <c r="A993" t="inlineStr">
        <is>
          <t>CVE</t>
        </is>
      </c>
      <c r="B993" t="inlineStr">
        <is>
          <t>CVE-2026-22368</t>
        </is>
      </c>
      <c r="C993" t="inlineStr">
        <is>
          <t>Improper Control of Filename for Include/Require Statement in PHP Program ('PHP Remote File Inclusion') vulnerability in axiomthemes Redy redy allows PHP Local File Inclusion.This issue affects Redy: from n/a through &lt;= 1.0.2.</t>
        </is>
      </c>
      <c r="D993" t="n">
        <v>8.1</v>
      </c>
      <c r="E993" t="inlineStr">
        <is>
          <t>HIGH</t>
        </is>
      </c>
      <c r="F993" t="n">
        <v>2</v>
      </c>
      <c r="G993" t="n">
        <v>3</v>
      </c>
      <c r="H993" t="inlineStr">
        <is>
          <t>HIGH</t>
        </is>
      </c>
      <c r="I993" t="n">
        <v>14.1</v>
      </c>
      <c r="J993" t="inlineStr">
        <is>
          <t>NO</t>
        </is>
      </c>
      <c r="K993" t="inlineStr">
        <is>
          <t>2026-02-23 23:48</t>
        </is>
      </c>
      <c r="L993" t="inlineStr">
        <is>
          <t>CHECK_VENDOR</t>
        </is>
      </c>
      <c r="M993" t="inlineStr">
        <is>
          <t>See CVE details</t>
        </is>
      </c>
      <c r="N993" t="inlineStr">
        <is>
          <t>P3</t>
        </is>
      </c>
      <c r="O993" t="inlineStr">
        <is>
          <t>CVE - IP enrichment n/a</t>
        </is>
      </c>
      <c r="P993" t="n">
        <v>0</v>
      </c>
      <c r="Q993" t="n">
        <v>0</v>
      </c>
      <c r="R993" t="inlineStr">
        <is>
          <t>T1190:Exploit Public-Facing Application</t>
        </is>
      </c>
      <c r="S993" t="n">
        <v>1</v>
      </c>
      <c r="T993" t="inlineStr">
        <is>
          <t>LOW (40%)</t>
        </is>
      </c>
      <c r="U993" t="inlineStr">
        <is>
          <t>UNLIKELY</t>
        </is>
      </c>
      <c r="V993" t="inlineStr">
        <is>
          <t>CHECK_VENDOR</t>
        </is>
      </c>
      <c r="W993" t="inlineStr">
        <is>
          <t>https://nvd.nist.gov/vuln/detail/CVE-2026-22368</t>
        </is>
      </c>
      <c r="X993" t="inlineStr">
        <is>
          <t>NONE</t>
        </is>
      </c>
      <c r="Y993" t="n">
        <v>0</v>
      </c>
      <c r="Z993" t="inlineStr"/>
      <c r="AA993" t="inlineStr">
        <is>
          <t>https://nvd.nist.gov/vuln/detail/CVE-2026-22368</t>
        </is>
      </c>
    </row>
    <row r="994">
      <c r="A994" t="inlineStr">
        <is>
          <t>CVE</t>
        </is>
      </c>
      <c r="B994" t="inlineStr">
        <is>
          <t>CVE-2026-22369</t>
        </is>
      </c>
      <c r="C994" t="inlineStr">
        <is>
          <t>Improper Control of Filename for Include/Require Statement in PHP Program ('PHP Remote File Inclusion') vulnerability in AncoraThemes Ironfit ironfit allows PHP Local File Inclusion.This issue affects Ironfit: from n/a through &lt;= 1.5.</t>
        </is>
      </c>
      <c r="D994" t="n">
        <v>5</v>
      </c>
      <c r="E994" t="inlineStr">
        <is>
          <t>MEDIUM</t>
        </is>
      </c>
      <c r="F994" t="n">
        <v>2</v>
      </c>
      <c r="G994" t="n">
        <v>2</v>
      </c>
      <c r="H994" t="inlineStr">
        <is>
          <t>MEDIUM</t>
        </is>
      </c>
      <c r="I994" t="n">
        <v>9</v>
      </c>
      <c r="J994" t="inlineStr">
        <is>
          <t>NO</t>
        </is>
      </c>
      <c r="K994" t="inlineStr">
        <is>
          <t>2026-02-23 23:48</t>
        </is>
      </c>
      <c r="L994" t="inlineStr">
        <is>
          <t>CHECK_VENDOR</t>
        </is>
      </c>
      <c r="M994" t="inlineStr">
        <is>
          <t>See CVE details</t>
        </is>
      </c>
      <c r="N994" t="inlineStr">
        <is>
          <t>P4</t>
        </is>
      </c>
      <c r="O994" t="inlineStr">
        <is>
          <t>CVE - IP enrichment n/a</t>
        </is>
      </c>
      <c r="P994" t="n">
        <v>0</v>
      </c>
      <c r="Q994" t="n">
        <v>0</v>
      </c>
      <c r="R994" t="inlineStr">
        <is>
          <t>T1190:Exploit Public-Facing Application</t>
        </is>
      </c>
      <c r="S994" t="n">
        <v>1</v>
      </c>
      <c r="T994" t="inlineStr">
        <is>
          <t>LOW (40%)</t>
        </is>
      </c>
      <c r="U994" t="inlineStr">
        <is>
          <t>UNLIKELY</t>
        </is>
      </c>
      <c r="V994" t="inlineStr">
        <is>
          <t>CHECK_VENDOR</t>
        </is>
      </c>
      <c r="W994" t="inlineStr">
        <is>
          <t>https://nvd.nist.gov/vuln/detail/CVE-2026-22369</t>
        </is>
      </c>
      <c r="X994" t="inlineStr">
        <is>
          <t>NONE</t>
        </is>
      </c>
      <c r="Y994" t="n">
        <v>0</v>
      </c>
      <c r="Z994" t="inlineStr"/>
      <c r="AA994" t="inlineStr">
        <is>
          <t>https://nvd.nist.gov/vuln/detail/CVE-2026-22369</t>
        </is>
      </c>
    </row>
    <row r="995">
      <c r="A995" t="inlineStr">
        <is>
          <t>CVE</t>
        </is>
      </c>
      <c r="B995" t="inlineStr">
        <is>
          <t>CVE-2026-22370</t>
        </is>
      </c>
      <c r="C995" t="inlineStr">
        <is>
          <t>Improper Control of Filename for Include/Require Statement in PHP Program ('PHP Remote File Inclusion') vulnerability in axiomthemes Marveland marveland allows PHP Local File Inclusion.This issue affects Marveland: from n/a through &lt;= 1.3.0.</t>
        </is>
      </c>
      <c r="D995" t="n">
        <v>8.1</v>
      </c>
      <c r="E995" t="inlineStr">
        <is>
          <t>HIGH</t>
        </is>
      </c>
      <c r="F995" t="n">
        <v>2</v>
      </c>
      <c r="G995" t="n">
        <v>3</v>
      </c>
      <c r="H995" t="inlineStr">
        <is>
          <t>HIGH</t>
        </is>
      </c>
      <c r="I995" t="n">
        <v>14.1</v>
      </c>
      <c r="J995" t="inlineStr">
        <is>
          <t>NO</t>
        </is>
      </c>
      <c r="K995" t="inlineStr">
        <is>
          <t>2026-02-23 23:48</t>
        </is>
      </c>
      <c r="L995" t="inlineStr">
        <is>
          <t>CHECK_VENDOR</t>
        </is>
      </c>
      <c r="M995" t="inlineStr">
        <is>
          <t>See CVE details</t>
        </is>
      </c>
      <c r="N995" t="inlineStr">
        <is>
          <t>P3</t>
        </is>
      </c>
      <c r="O995" t="inlineStr">
        <is>
          <t>CVE - IP enrichment n/a</t>
        </is>
      </c>
      <c r="P995" t="n">
        <v>0</v>
      </c>
      <c r="Q995" t="n">
        <v>0</v>
      </c>
      <c r="R995" t="inlineStr">
        <is>
          <t>T1190:Exploit Public-Facing Application</t>
        </is>
      </c>
      <c r="S995" t="n">
        <v>1</v>
      </c>
      <c r="T995" t="inlineStr">
        <is>
          <t>LOW (40%)</t>
        </is>
      </c>
      <c r="U995" t="inlineStr">
        <is>
          <t>UNLIKELY</t>
        </is>
      </c>
      <c r="V995" t="inlineStr">
        <is>
          <t>CHECK_VENDOR</t>
        </is>
      </c>
      <c r="W995" t="inlineStr">
        <is>
          <t>https://nvd.nist.gov/vuln/detail/CVE-2026-22370</t>
        </is>
      </c>
      <c r="X995" t="inlineStr">
        <is>
          <t>NONE</t>
        </is>
      </c>
      <c r="Y995" t="n">
        <v>0</v>
      </c>
      <c r="Z995" t="inlineStr"/>
      <c r="AA995" t="inlineStr">
        <is>
          <t>https://nvd.nist.gov/vuln/detail/CVE-2026-22370</t>
        </is>
      </c>
    </row>
    <row r="996">
      <c r="A996" t="inlineStr">
        <is>
          <t>CVE</t>
        </is>
      </c>
      <c r="B996" t="inlineStr">
        <is>
          <t>CVE-2026-22371</t>
        </is>
      </c>
      <c r="C996" t="inlineStr">
        <is>
          <t>Improper Control of Filename for Include/Require Statement in PHP Program ('PHP Remote File Inclusion') vulnerability in AncoraThemes Gustavo gustavo allows PHP Local File Inclusion.This issue affects Gustavo: from n/a through &lt;= 1.2.2.</t>
        </is>
      </c>
      <c r="D996" t="n">
        <v>5</v>
      </c>
      <c r="E996" t="inlineStr">
        <is>
          <t>MEDIUM</t>
        </is>
      </c>
      <c r="F996" t="n">
        <v>2</v>
      </c>
      <c r="G996" t="n">
        <v>2</v>
      </c>
      <c r="H996" t="inlineStr">
        <is>
          <t>MEDIUM</t>
        </is>
      </c>
      <c r="I996" t="n">
        <v>9</v>
      </c>
      <c r="J996" t="inlineStr">
        <is>
          <t>NO</t>
        </is>
      </c>
      <c r="K996" t="inlineStr">
        <is>
          <t>2026-02-23 23:48</t>
        </is>
      </c>
      <c r="L996" t="inlineStr">
        <is>
          <t>CHECK_VENDOR</t>
        </is>
      </c>
      <c r="M996" t="inlineStr">
        <is>
          <t>See CVE details</t>
        </is>
      </c>
      <c r="N996" t="inlineStr">
        <is>
          <t>P4</t>
        </is>
      </c>
      <c r="O996" t="inlineStr">
        <is>
          <t>CVE - IP enrichment n/a</t>
        </is>
      </c>
      <c r="P996" t="n">
        <v>0</v>
      </c>
      <c r="Q996" t="n">
        <v>0</v>
      </c>
      <c r="R996" t="inlineStr">
        <is>
          <t>T1190:Exploit Public-Facing Application</t>
        </is>
      </c>
      <c r="S996" t="n">
        <v>1</v>
      </c>
      <c r="T996" t="inlineStr">
        <is>
          <t>LOW (40%)</t>
        </is>
      </c>
      <c r="U996" t="inlineStr">
        <is>
          <t>UNLIKELY</t>
        </is>
      </c>
      <c r="V996" t="inlineStr">
        <is>
          <t>CHECK_VENDOR</t>
        </is>
      </c>
      <c r="W996" t="inlineStr">
        <is>
          <t>https://nvd.nist.gov/vuln/detail/CVE-2026-22371</t>
        </is>
      </c>
      <c r="X996" t="inlineStr">
        <is>
          <t>NONE</t>
        </is>
      </c>
      <c r="Y996" t="n">
        <v>0</v>
      </c>
      <c r="Z996" t="inlineStr"/>
      <c r="AA996" t="inlineStr">
        <is>
          <t>https://nvd.nist.gov/vuln/detail/CVE-2026-22371</t>
        </is>
      </c>
    </row>
    <row r="997">
      <c r="A997" t="inlineStr">
        <is>
          <t>CVE</t>
        </is>
      </c>
      <c r="B997" t="inlineStr">
        <is>
          <t>CVE-2026-22372</t>
        </is>
      </c>
      <c r="C997" t="inlineStr">
        <is>
          <t>Improper Control of Filename for Include/Require Statement in PHP Program ('PHP Remote File Inclusion') vulnerability in AncoraThemes Isida isida allows PHP Local File Inclusion.This issue affects Isida: from n/a through &lt;= 1.4.2.</t>
        </is>
      </c>
      <c r="D997" t="n">
        <v>8.1</v>
      </c>
      <c r="E997" t="inlineStr">
        <is>
          <t>HIGH</t>
        </is>
      </c>
      <c r="F997" t="n">
        <v>2</v>
      </c>
      <c r="G997" t="n">
        <v>3</v>
      </c>
      <c r="H997" t="inlineStr">
        <is>
          <t>HIGH</t>
        </is>
      </c>
      <c r="I997" t="n">
        <v>14.1</v>
      </c>
      <c r="J997" t="inlineStr">
        <is>
          <t>NO</t>
        </is>
      </c>
      <c r="K997" t="inlineStr">
        <is>
          <t>2026-02-23 23:48</t>
        </is>
      </c>
      <c r="L997" t="inlineStr">
        <is>
          <t>CHECK_VENDOR</t>
        </is>
      </c>
      <c r="M997" t="inlineStr">
        <is>
          <t>See CVE details</t>
        </is>
      </c>
      <c r="N997" t="inlineStr">
        <is>
          <t>P3</t>
        </is>
      </c>
      <c r="O997" t="inlineStr">
        <is>
          <t>CVE - IP enrichment n/a</t>
        </is>
      </c>
      <c r="P997" t="n">
        <v>0</v>
      </c>
      <c r="Q997" t="n">
        <v>0</v>
      </c>
      <c r="R997" t="inlineStr">
        <is>
          <t>T1190:Exploit Public-Facing Application</t>
        </is>
      </c>
      <c r="S997" t="n">
        <v>1</v>
      </c>
      <c r="T997" t="inlineStr">
        <is>
          <t>LOW (40%)</t>
        </is>
      </c>
      <c r="U997" t="inlineStr">
        <is>
          <t>UNLIKELY</t>
        </is>
      </c>
      <c r="V997" t="inlineStr">
        <is>
          <t>CHECK_VENDOR</t>
        </is>
      </c>
      <c r="W997" t="inlineStr">
        <is>
          <t>https://nvd.nist.gov/vuln/detail/CVE-2026-22372</t>
        </is>
      </c>
      <c r="X997" t="inlineStr">
        <is>
          <t>NONE</t>
        </is>
      </c>
      <c r="Y997" t="n">
        <v>0</v>
      </c>
      <c r="Z997" t="inlineStr"/>
      <c r="AA997" t="inlineStr">
        <is>
          <t>https://nvd.nist.gov/vuln/detail/CVE-2026-22372</t>
        </is>
      </c>
    </row>
    <row r="998">
      <c r="A998" t="inlineStr">
        <is>
          <t>CVE</t>
        </is>
      </c>
      <c r="B998" t="inlineStr">
        <is>
          <t>CVE-2026-22373</t>
        </is>
      </c>
      <c r="C998" t="inlineStr">
        <is>
          <t>Improper Control of Filename for Include/Require Statement in PHP Program ('PHP Remote File Inclusion') vulnerability in AncoraThemes Fooddy fooddy allows PHP Local File Inclusion.This issue affects Fooddy: from n/a through &lt;= 1.3.10.</t>
        </is>
      </c>
      <c r="D998" t="n">
        <v>5</v>
      </c>
      <c r="E998" t="inlineStr">
        <is>
          <t>MEDIUM</t>
        </is>
      </c>
      <c r="F998" t="n">
        <v>2</v>
      </c>
      <c r="G998" t="n">
        <v>2</v>
      </c>
      <c r="H998" t="inlineStr">
        <is>
          <t>MEDIUM</t>
        </is>
      </c>
      <c r="I998" t="n">
        <v>9</v>
      </c>
      <c r="J998" t="inlineStr">
        <is>
          <t>NO</t>
        </is>
      </c>
      <c r="K998" t="inlineStr">
        <is>
          <t>2026-02-23 23:48</t>
        </is>
      </c>
      <c r="L998" t="inlineStr">
        <is>
          <t>CHECK_VENDOR</t>
        </is>
      </c>
      <c r="M998" t="inlineStr">
        <is>
          <t>See CVE details</t>
        </is>
      </c>
      <c r="N998" t="inlineStr">
        <is>
          <t>P4</t>
        </is>
      </c>
      <c r="O998" t="inlineStr">
        <is>
          <t>CVE - IP enrichment n/a</t>
        </is>
      </c>
      <c r="P998" t="n">
        <v>0</v>
      </c>
      <c r="Q998" t="n">
        <v>0</v>
      </c>
      <c r="R998" t="inlineStr">
        <is>
          <t>T1190:Exploit Public-Facing Application</t>
        </is>
      </c>
      <c r="S998" t="n">
        <v>1</v>
      </c>
      <c r="T998" t="inlineStr">
        <is>
          <t>LOW (40%)</t>
        </is>
      </c>
      <c r="U998" t="inlineStr">
        <is>
          <t>UNLIKELY</t>
        </is>
      </c>
      <c r="V998" t="inlineStr">
        <is>
          <t>CHECK_VENDOR</t>
        </is>
      </c>
      <c r="W998" t="inlineStr">
        <is>
          <t>https://nvd.nist.gov/vuln/detail/CVE-2026-22373</t>
        </is>
      </c>
      <c r="X998" t="inlineStr">
        <is>
          <t>NONE</t>
        </is>
      </c>
      <c r="Y998" t="n">
        <v>0</v>
      </c>
      <c r="Z998" t="inlineStr"/>
      <c r="AA998" t="inlineStr">
        <is>
          <t>https://nvd.nist.gov/vuln/detail/CVE-2026-22373</t>
        </is>
      </c>
    </row>
    <row r="999">
      <c r="A999" t="inlineStr">
        <is>
          <t>CVE</t>
        </is>
      </c>
      <c r="B999" t="inlineStr">
        <is>
          <t>CVE-2026-22374</t>
        </is>
      </c>
      <c r="C999" t="inlineStr">
        <is>
          <t>Improper Control of Filename for Include/Require Statement in PHP Program ('PHP Remote File Inclusion') vulnerability in AncoraThemes Zio Alberto zioalberto allows PHP Local File Inclusion.This issue affects Zio Alberto: from n/a through &lt;= 1.2.2.</t>
        </is>
      </c>
      <c r="D999" t="n">
        <v>8.1</v>
      </c>
      <c r="E999" t="inlineStr">
        <is>
          <t>HIGH</t>
        </is>
      </c>
      <c r="F999" t="n">
        <v>2</v>
      </c>
      <c r="G999" t="n">
        <v>3</v>
      </c>
      <c r="H999" t="inlineStr">
        <is>
          <t>HIGH</t>
        </is>
      </c>
      <c r="I999" t="n">
        <v>14.1</v>
      </c>
      <c r="J999" t="inlineStr">
        <is>
          <t>NO</t>
        </is>
      </c>
      <c r="K999" t="inlineStr">
        <is>
          <t>2026-02-23 23:48</t>
        </is>
      </c>
      <c r="L999" t="inlineStr">
        <is>
          <t>CHECK_VENDOR</t>
        </is>
      </c>
      <c r="M999" t="inlineStr">
        <is>
          <t>See CVE details</t>
        </is>
      </c>
      <c r="N999" t="inlineStr">
        <is>
          <t>P3</t>
        </is>
      </c>
      <c r="O999" t="inlineStr">
        <is>
          <t>CVE - IP enrichment n/a</t>
        </is>
      </c>
      <c r="P999" t="n">
        <v>0.0011</v>
      </c>
      <c r="Q999" t="n">
        <v>0.3027</v>
      </c>
      <c r="R999" t="inlineStr">
        <is>
          <t>T1190:Exploit Public-Facing Application</t>
        </is>
      </c>
      <c r="S999" t="n">
        <v>1</v>
      </c>
      <c r="T999" t="inlineStr">
        <is>
          <t>LOW (40%)</t>
        </is>
      </c>
      <c r="U999" t="inlineStr">
        <is>
          <t>UNLIKELY</t>
        </is>
      </c>
      <c r="V999" t="inlineStr">
        <is>
          <t>CHECK_VENDOR</t>
        </is>
      </c>
      <c r="W999" t="inlineStr">
        <is>
          <t>https://nvd.nist.gov/vuln/detail/CVE-2026-22374</t>
        </is>
      </c>
      <c r="X999" t="inlineStr">
        <is>
          <t>NONE</t>
        </is>
      </c>
      <c r="Y999" t="n">
        <v>0</v>
      </c>
      <c r="Z999" t="inlineStr"/>
      <c r="AA999" t="inlineStr">
        <is>
          <t>https://nvd.nist.gov/vuln/detail/CVE-2026-22374</t>
        </is>
      </c>
    </row>
    <row r="1000">
      <c r="A1000" t="inlineStr">
        <is>
          <t>CVE</t>
        </is>
      </c>
      <c r="B1000" t="inlineStr">
        <is>
          <t>CVE-2026-22375</t>
        </is>
      </c>
      <c r="C1000" t="inlineStr">
        <is>
          <t>Improper Control of Filename for Include/Require Statement in PHP Program ('PHP Remote File Inclusion') vulnerability in AncoraThemes Impacto Patronus impacto-patronus allows PHP Local File Inclusion.This issue affects Impacto Patronus: from n/a through &lt;= 1.2.3.</t>
        </is>
      </c>
      <c r="D1000" t="n">
        <v>5</v>
      </c>
      <c r="E1000" t="inlineStr">
        <is>
          <t>MEDIUM</t>
        </is>
      </c>
      <c r="F1000" t="n">
        <v>2</v>
      </c>
      <c r="G1000" t="n">
        <v>2</v>
      </c>
      <c r="H1000" t="inlineStr">
        <is>
          <t>MEDIUM</t>
        </is>
      </c>
      <c r="I1000" t="n">
        <v>9</v>
      </c>
      <c r="J1000" t="inlineStr">
        <is>
          <t>NO</t>
        </is>
      </c>
      <c r="K1000" t="inlineStr">
        <is>
          <t>2026-02-23 23:48</t>
        </is>
      </c>
      <c r="L1000" t="inlineStr">
        <is>
          <t>CHECK_VENDOR</t>
        </is>
      </c>
      <c r="M1000" t="inlineStr">
        <is>
          <t>See CVE details</t>
        </is>
      </c>
      <c r="N1000" t="inlineStr">
        <is>
          <t>P4</t>
        </is>
      </c>
      <c r="O1000" t="inlineStr">
        <is>
          <t>CVE - IP enrichment n/a</t>
        </is>
      </c>
      <c r="P1000" t="n">
        <v>0.0005</v>
      </c>
      <c r="Q1000" t="n">
        <v>0.1673</v>
      </c>
      <c r="R1000" t="inlineStr">
        <is>
          <t>T1190:Exploit Public-Facing Application</t>
        </is>
      </c>
      <c r="S1000" t="n">
        <v>1</v>
      </c>
      <c r="T1000" t="inlineStr">
        <is>
          <t>LOW (40%)</t>
        </is>
      </c>
      <c r="U1000" t="inlineStr">
        <is>
          <t>UNLIKELY</t>
        </is>
      </c>
      <c r="V1000" t="inlineStr">
        <is>
          <t>CHECK_VENDOR</t>
        </is>
      </c>
      <c r="W1000" t="inlineStr">
        <is>
          <t>https://nvd.nist.gov/vuln/detail/CVE-2026-22375</t>
        </is>
      </c>
      <c r="X1000" t="inlineStr">
        <is>
          <t>NONE</t>
        </is>
      </c>
      <c r="Y1000" t="n">
        <v>0</v>
      </c>
      <c r="Z1000" t="inlineStr"/>
      <c r="AA1000" t="inlineStr">
        <is>
          <t>https://nvd.nist.gov/vuln/detail/CVE-2026-22375</t>
        </is>
      </c>
    </row>
    <row r="1001">
      <c r="A1001" t="inlineStr">
        <is>
          <t>CVE</t>
        </is>
      </c>
      <c r="B1001" t="inlineStr">
        <is>
          <t>CVE-2026-22376</t>
        </is>
      </c>
      <c r="C1001" t="inlineStr">
        <is>
          <t>Improper Control of Filename for Include/Require Statement in PHP Program ('PHP Remote File Inclusion') vulnerability in AncoraThemes Parkivia parkivia allows PHP Local File Inclusion.This issue affects Parkivia: from n/a through &lt;= 1.1.9.</t>
        </is>
      </c>
      <c r="D1001" t="n">
        <v>8.1</v>
      </c>
      <c r="E1001" t="inlineStr">
        <is>
          <t>HIGH</t>
        </is>
      </c>
      <c r="F1001" t="n">
        <v>2</v>
      </c>
      <c r="G1001" t="n">
        <v>3</v>
      </c>
      <c r="H1001" t="inlineStr">
        <is>
          <t>HIGH</t>
        </is>
      </c>
      <c r="I1001" t="n">
        <v>14.1</v>
      </c>
      <c r="J1001" t="inlineStr">
        <is>
          <t>NO</t>
        </is>
      </c>
      <c r="K1001" t="inlineStr">
        <is>
          <t>2026-02-23 23:48</t>
        </is>
      </c>
      <c r="L1001" t="inlineStr">
        <is>
          <t>CHECK_VENDOR</t>
        </is>
      </c>
      <c r="M1001" t="inlineStr">
        <is>
          <t>See CVE details</t>
        </is>
      </c>
      <c r="N1001" t="inlineStr">
        <is>
          <t>P3</t>
        </is>
      </c>
      <c r="O1001" t="inlineStr">
        <is>
          <t>CVE - IP enrichment n/a</t>
        </is>
      </c>
      <c r="P1001" t="n">
        <v>0</v>
      </c>
      <c r="Q1001" t="n">
        <v>0</v>
      </c>
      <c r="R1001" t="inlineStr">
        <is>
          <t>T1190:Exploit Public-Facing Application</t>
        </is>
      </c>
      <c r="S1001" t="n">
        <v>1</v>
      </c>
      <c r="T1001" t="inlineStr">
        <is>
          <t>LOW (40%)</t>
        </is>
      </c>
      <c r="U1001" t="inlineStr">
        <is>
          <t>UNLIKELY</t>
        </is>
      </c>
      <c r="V1001" t="inlineStr">
        <is>
          <t>CHECK_VENDOR</t>
        </is>
      </c>
      <c r="W1001" t="inlineStr">
        <is>
          <t>https://nvd.nist.gov/vuln/detail/CVE-2026-22376</t>
        </is>
      </c>
      <c r="X1001" t="inlineStr">
        <is>
          <t>NONE</t>
        </is>
      </c>
      <c r="Y1001" t="n">
        <v>0</v>
      </c>
      <c r="Z1001" t="inlineStr"/>
      <c r="AA1001" t="inlineStr">
        <is>
          <t>https://nvd.nist.gov/vuln/detail/CVE-2026-22376</t>
        </is>
      </c>
    </row>
    <row r="1002">
      <c r="A1002" t="inlineStr">
        <is>
          <t>CVE</t>
        </is>
      </c>
      <c r="B1002" t="inlineStr">
        <is>
          <t>CVE-2026-22377</t>
        </is>
      </c>
      <c r="C1002" t="inlineStr">
        <is>
          <t>Improper Control of Filename for Include/Require Statement in PHP Program ('PHP Remote File Inclusion') vulnerability in AncoraThemes Saveo saveo allows PHP Local File Inclusion.This issue affects Saveo: from n/a through &lt;= 1.1.2.</t>
        </is>
      </c>
      <c r="D1002" t="n">
        <v>5</v>
      </c>
      <c r="E1002" t="inlineStr">
        <is>
          <t>MEDIUM</t>
        </is>
      </c>
      <c r="F1002" t="n">
        <v>2</v>
      </c>
      <c r="G1002" t="n">
        <v>2</v>
      </c>
      <c r="H1002" t="inlineStr">
        <is>
          <t>MEDIUM</t>
        </is>
      </c>
      <c r="I1002" t="n">
        <v>9</v>
      </c>
      <c r="J1002" t="inlineStr">
        <is>
          <t>NO</t>
        </is>
      </c>
      <c r="K1002" t="inlineStr">
        <is>
          <t>2026-02-23 23:48</t>
        </is>
      </c>
      <c r="L1002" t="inlineStr">
        <is>
          <t>CHECK_VENDOR</t>
        </is>
      </c>
      <c r="M1002" t="inlineStr">
        <is>
          <t>See CVE details</t>
        </is>
      </c>
      <c r="N1002" t="inlineStr">
        <is>
          <t>P4</t>
        </is>
      </c>
      <c r="O1002" t="inlineStr">
        <is>
          <t>CVE - IP enrichment n/a</t>
        </is>
      </c>
      <c r="P1002" t="n">
        <v>0</v>
      </c>
      <c r="Q1002" t="n">
        <v>0</v>
      </c>
      <c r="R1002" t="inlineStr">
        <is>
          <t>T1190:Exploit Public-Facing Application</t>
        </is>
      </c>
      <c r="S1002" t="n">
        <v>1</v>
      </c>
      <c r="T1002" t="inlineStr">
        <is>
          <t>LOW (40%)</t>
        </is>
      </c>
      <c r="U1002" t="inlineStr">
        <is>
          <t>UNLIKELY</t>
        </is>
      </c>
      <c r="V1002" t="inlineStr">
        <is>
          <t>CHECK_VENDOR</t>
        </is>
      </c>
      <c r="W1002" t="inlineStr">
        <is>
          <t>https://nvd.nist.gov/vuln/detail/CVE-2026-22377</t>
        </is>
      </c>
      <c r="X1002" t="inlineStr">
        <is>
          <t>NONE</t>
        </is>
      </c>
      <c r="Y1002" t="n">
        <v>0</v>
      </c>
      <c r="Z1002" t="inlineStr"/>
      <c r="AA1002" t="inlineStr">
        <is>
          <t>https://nvd.nist.gov/vuln/detail/CVE-2026-22377</t>
        </is>
      </c>
    </row>
    <row r="1003">
      <c r="A1003" t="inlineStr">
        <is>
          <t>CVE</t>
        </is>
      </c>
      <c r="B1003" t="inlineStr">
        <is>
          <t>CVE-2026-22378</t>
        </is>
      </c>
      <c r="C1003" t="inlineStr">
        <is>
          <t>Improper Control of Filename for Include/Require Statement in PHP Program ('PHP Remote File Inclusion') vulnerability in AncoraThemes Blabber blabber allows PHP Local File Inclusion.This issue affects Blabber: from n/a through &lt;= 1.7.0.</t>
        </is>
      </c>
      <c r="D1003" t="n">
        <v>8.1</v>
      </c>
      <c r="E1003" t="inlineStr">
        <is>
          <t>HIGH</t>
        </is>
      </c>
      <c r="F1003" t="n">
        <v>2</v>
      </c>
      <c r="G1003" t="n">
        <v>3</v>
      </c>
      <c r="H1003" t="inlineStr">
        <is>
          <t>HIGH</t>
        </is>
      </c>
      <c r="I1003" t="n">
        <v>14.1</v>
      </c>
      <c r="J1003" t="inlineStr">
        <is>
          <t>NO</t>
        </is>
      </c>
      <c r="K1003" t="inlineStr">
        <is>
          <t>2026-02-23 23:48</t>
        </is>
      </c>
      <c r="L1003" t="inlineStr">
        <is>
          <t>CHECK_VENDOR</t>
        </is>
      </c>
      <c r="M1003" t="inlineStr">
        <is>
          <t>See CVE details</t>
        </is>
      </c>
      <c r="N1003" t="inlineStr">
        <is>
          <t>P3</t>
        </is>
      </c>
      <c r="O1003" t="inlineStr">
        <is>
          <t>CVE - IP enrichment n/a</t>
        </is>
      </c>
      <c r="P1003" t="n">
        <v>0</v>
      </c>
      <c r="Q1003" t="n">
        <v>0</v>
      </c>
      <c r="R1003" t="inlineStr">
        <is>
          <t>T1190:Exploit Public-Facing Application</t>
        </is>
      </c>
      <c r="S1003" t="n">
        <v>1</v>
      </c>
      <c r="T1003" t="inlineStr">
        <is>
          <t>LOW (40%)</t>
        </is>
      </c>
      <c r="U1003" t="inlineStr">
        <is>
          <t>UNLIKELY</t>
        </is>
      </c>
      <c r="V1003" t="inlineStr">
        <is>
          <t>CHECK_VENDOR</t>
        </is>
      </c>
      <c r="W1003" t="inlineStr">
        <is>
          <t>https://nvd.nist.gov/vuln/detail/CVE-2026-22378</t>
        </is>
      </c>
      <c r="X1003" t="inlineStr">
        <is>
          <t>NONE</t>
        </is>
      </c>
      <c r="Y1003" t="n">
        <v>0</v>
      </c>
      <c r="Z1003" t="inlineStr"/>
      <c r="AA1003" t="inlineStr">
        <is>
          <t>https://nvd.nist.gov/vuln/detail/CVE-2026-22378</t>
        </is>
      </c>
    </row>
    <row r="1004">
      <c r="A1004" t="inlineStr">
        <is>
          <t>CVE</t>
        </is>
      </c>
      <c r="B1004" t="inlineStr">
        <is>
          <t>CVE-2026-22379</t>
        </is>
      </c>
      <c r="C1004" t="inlineStr">
        <is>
          <t>Improper Control of Filename for Include/Require Statement in PHP Program ('PHP Remote File Inclusion') vulnerability in AncoraThemes Netmix netmix allows PHP Local File Inclusion.This issue affects Netmix: from n/a through &lt;= 1.0.10.</t>
        </is>
      </c>
      <c r="D1004" t="n">
        <v>5</v>
      </c>
      <c r="E1004" t="inlineStr">
        <is>
          <t>MEDIUM</t>
        </is>
      </c>
      <c r="F1004" t="n">
        <v>2</v>
      </c>
      <c r="G1004" t="n">
        <v>2</v>
      </c>
      <c r="H1004" t="inlineStr">
        <is>
          <t>MEDIUM</t>
        </is>
      </c>
      <c r="I1004" t="n">
        <v>9</v>
      </c>
      <c r="J1004" t="inlineStr">
        <is>
          <t>NO</t>
        </is>
      </c>
      <c r="K1004" t="inlineStr">
        <is>
          <t>2026-02-23 23:48</t>
        </is>
      </c>
      <c r="L1004" t="inlineStr">
        <is>
          <t>CHECK_VENDOR</t>
        </is>
      </c>
      <c r="M1004" t="inlineStr">
        <is>
          <t>See CVE details</t>
        </is>
      </c>
      <c r="N1004" t="inlineStr">
        <is>
          <t>P4</t>
        </is>
      </c>
      <c r="O1004" t="inlineStr">
        <is>
          <t>CVE - IP enrichment n/a</t>
        </is>
      </c>
      <c r="P1004" t="n">
        <v>0</v>
      </c>
      <c r="Q1004" t="n">
        <v>0</v>
      </c>
      <c r="R1004" t="inlineStr">
        <is>
          <t>T1190:Exploit Public-Facing Application</t>
        </is>
      </c>
      <c r="S1004" t="n">
        <v>1</v>
      </c>
      <c r="T1004" t="inlineStr">
        <is>
          <t>LOW (40%)</t>
        </is>
      </c>
      <c r="U1004" t="inlineStr">
        <is>
          <t>UNLIKELY</t>
        </is>
      </c>
      <c r="V1004" t="inlineStr">
        <is>
          <t>CHECK_VENDOR</t>
        </is>
      </c>
      <c r="W1004" t="inlineStr">
        <is>
          <t>https://nvd.nist.gov/vuln/detail/CVE-2026-22379</t>
        </is>
      </c>
      <c r="X1004" t="inlineStr">
        <is>
          <t>NONE</t>
        </is>
      </c>
      <c r="Y1004" t="n">
        <v>0</v>
      </c>
      <c r="Z1004" t="inlineStr"/>
      <c r="AA1004" t="inlineStr">
        <is>
          <t>https://nvd.nist.gov/vuln/detail/CVE-2026-22379</t>
        </is>
      </c>
    </row>
    <row r="1005">
      <c r="A1005" t="inlineStr">
        <is>
          <t>CVE</t>
        </is>
      </c>
      <c r="B1005" t="inlineStr">
        <is>
          <t>CVE-2026-22380</t>
        </is>
      </c>
      <c r="C1005" t="inlineStr">
        <is>
          <t>Improper Control of Filename for Include/Require Statement in PHP Program ('PHP Remote File Inclusion') vulnerability in AncoraThemes UnlimHost unlimhost allows PHP Local File Inclusion.This issue affects UnlimHost: from n/a through &lt;= 1.2.3.</t>
        </is>
      </c>
      <c r="D1005" t="n">
        <v>8.1</v>
      </c>
      <c r="E1005" t="inlineStr">
        <is>
          <t>HIGH</t>
        </is>
      </c>
      <c r="F1005" t="n">
        <v>2</v>
      </c>
      <c r="G1005" t="n">
        <v>3</v>
      </c>
      <c r="H1005" t="inlineStr">
        <is>
          <t>HIGH</t>
        </is>
      </c>
      <c r="I1005" t="n">
        <v>14.1</v>
      </c>
      <c r="J1005" t="inlineStr">
        <is>
          <t>NO</t>
        </is>
      </c>
      <c r="K1005" t="inlineStr">
        <is>
          <t>2026-02-23 23:48</t>
        </is>
      </c>
      <c r="L1005" t="inlineStr">
        <is>
          <t>CHECK_VENDOR</t>
        </is>
      </c>
      <c r="M1005" t="inlineStr">
        <is>
          <t>See CVE details</t>
        </is>
      </c>
      <c r="N1005" t="inlineStr">
        <is>
          <t>P3</t>
        </is>
      </c>
      <c r="O1005" t="inlineStr">
        <is>
          <t>CVE - IP enrichment n/a</t>
        </is>
      </c>
      <c r="P1005" t="n">
        <v>0</v>
      </c>
      <c r="Q1005" t="n">
        <v>0</v>
      </c>
      <c r="R1005" t="inlineStr">
        <is>
          <t>T1190:Exploit Public-Facing Application</t>
        </is>
      </c>
      <c r="S1005" t="n">
        <v>1</v>
      </c>
      <c r="T1005" t="inlineStr">
        <is>
          <t>LOW (40%)</t>
        </is>
      </c>
      <c r="U1005" t="inlineStr">
        <is>
          <t>UNLIKELY</t>
        </is>
      </c>
      <c r="V1005" t="inlineStr">
        <is>
          <t>CHECK_VENDOR</t>
        </is>
      </c>
      <c r="W1005" t="inlineStr">
        <is>
          <t>https://nvd.nist.gov/vuln/detail/CVE-2026-22380</t>
        </is>
      </c>
      <c r="X1005" t="inlineStr">
        <is>
          <t>NONE</t>
        </is>
      </c>
      <c r="Y1005" t="n">
        <v>0</v>
      </c>
      <c r="Z1005" t="inlineStr"/>
      <c r="AA1005" t="inlineStr">
        <is>
          <t>https://nvd.nist.gov/vuln/detail/CVE-2026-22380</t>
        </is>
      </c>
    </row>
    <row r="1006">
      <c r="A1006" t="inlineStr">
        <is>
          <t>CVE</t>
        </is>
      </c>
      <c r="B1006" t="inlineStr">
        <is>
          <t>CVE-2026-22381</t>
        </is>
      </c>
      <c r="C1006" t="inlineStr">
        <is>
          <t>Improper Control of Filename for Include/Require Statement in PHP Program ('PHP Remote File Inclusion') vulnerability in Mikado-Themes PawFriends - Pet Shop and Veterinary WordPress Theme pawfriends allows PHP Local File Inclusion.This issue affects PawFriends - Pet Shop and Veterinary WordPress Theme: from n/a through &lt;= 1.3.</t>
        </is>
      </c>
      <c r="D1006" t="n">
        <v>5</v>
      </c>
      <c r="E1006" t="inlineStr">
        <is>
          <t>MEDIUM</t>
        </is>
      </c>
      <c r="F1006" t="n">
        <v>2</v>
      </c>
      <c r="G1006" t="n">
        <v>2</v>
      </c>
      <c r="H1006" t="inlineStr">
        <is>
          <t>MEDIUM</t>
        </is>
      </c>
      <c r="I1006" t="n">
        <v>9</v>
      </c>
      <c r="J1006" t="inlineStr">
        <is>
          <t>NO</t>
        </is>
      </c>
      <c r="K1006" t="inlineStr">
        <is>
          <t>2026-02-23 23:48</t>
        </is>
      </c>
      <c r="L1006" t="inlineStr">
        <is>
          <t>CHECK_VENDOR</t>
        </is>
      </c>
      <c r="M1006" t="inlineStr">
        <is>
          <t>See CVE details</t>
        </is>
      </c>
      <c r="N1006" t="inlineStr">
        <is>
          <t>P4</t>
        </is>
      </c>
      <c r="O1006" t="inlineStr">
        <is>
          <t>CVE - IP enrichment n/a</t>
        </is>
      </c>
      <c r="P1006" t="n">
        <v>0</v>
      </c>
      <c r="Q1006" t="n">
        <v>0</v>
      </c>
      <c r="R1006" t="inlineStr">
        <is>
          <t>T1190:Exploit Public-Facing Application</t>
        </is>
      </c>
      <c r="S1006" t="n">
        <v>1</v>
      </c>
      <c r="T1006" t="inlineStr">
        <is>
          <t>LOW (40%)</t>
        </is>
      </c>
      <c r="U1006" t="inlineStr">
        <is>
          <t>UNLIKELY</t>
        </is>
      </c>
      <c r="V1006" t="inlineStr">
        <is>
          <t>CHECK_VENDOR</t>
        </is>
      </c>
      <c r="W1006" t="inlineStr">
        <is>
          <t>https://nvd.nist.gov/vuln/detail/CVE-2026-22381</t>
        </is>
      </c>
      <c r="X1006" t="inlineStr">
        <is>
          <t>NONE</t>
        </is>
      </c>
      <c r="Y1006" t="n">
        <v>0</v>
      </c>
      <c r="Z1006" t="inlineStr"/>
      <c r="AA1006" t="inlineStr">
        <is>
          <t>https://nvd.nist.gov/vuln/detail/CVE-2026-22381</t>
        </is>
      </c>
    </row>
    <row r="1007">
      <c r="A1007" t="inlineStr">
        <is>
          <t>CVE</t>
        </is>
      </c>
      <c r="B1007" t="inlineStr">
        <is>
          <t>CVE-2026-22383</t>
        </is>
      </c>
      <c r="C1007" t="inlineStr">
        <is>
          <t>Authorization Bypass Through User-Controlled Key vulnerability in Mikado-Themes PawFriends - Pet Shop and Veterinary WordPress Theme pawfriends allows Exploiting Incorrectly Configured Access Control Security Levels.This issue affects PawFriends - Pet Shop and Veterinary WordPress Theme: from n/a through &lt;= 1.3.</t>
        </is>
      </c>
      <c r="D1007" t="n">
        <v>7.5</v>
      </c>
      <c r="E1007" t="inlineStr">
        <is>
          <t>HIGH</t>
        </is>
      </c>
      <c r="F1007" t="n">
        <v>2</v>
      </c>
      <c r="G1007" t="n">
        <v>3</v>
      </c>
      <c r="H1007" t="inlineStr">
        <is>
          <t>HIGH</t>
        </is>
      </c>
      <c r="I1007" t="n">
        <v>13.5</v>
      </c>
      <c r="J1007" t="inlineStr">
        <is>
          <t>NO</t>
        </is>
      </c>
      <c r="K1007" t="inlineStr">
        <is>
          <t>2026-02-23 23:48</t>
        </is>
      </c>
      <c r="L1007" t="inlineStr">
        <is>
          <t>CHECK_VENDOR</t>
        </is>
      </c>
      <c r="M1007" t="inlineStr">
        <is>
          <t>See CVE details</t>
        </is>
      </c>
      <c r="N1007" t="inlineStr">
        <is>
          <t>P3</t>
        </is>
      </c>
      <c r="O1007" t="inlineStr">
        <is>
          <t>CVE - IP enrichment n/a</t>
        </is>
      </c>
      <c r="P1007" t="n">
        <v>0</v>
      </c>
      <c r="Q1007" t="n">
        <v>0</v>
      </c>
      <c r="R1007" t="inlineStr">
        <is>
          <t>T1190:Exploit Public-Facing Application</t>
        </is>
      </c>
      <c r="S1007" t="n">
        <v>1</v>
      </c>
      <c r="T1007" t="inlineStr">
        <is>
          <t>LOW (40%)</t>
        </is>
      </c>
      <c r="U1007" t="inlineStr">
        <is>
          <t>UNLIKELY</t>
        </is>
      </c>
      <c r="V1007" t="inlineStr">
        <is>
          <t>CHECK_VENDOR</t>
        </is>
      </c>
      <c r="W1007" t="inlineStr">
        <is>
          <t>https://nvd.nist.gov/vuln/detail/CVE-2026-22383</t>
        </is>
      </c>
      <c r="X1007" t="inlineStr">
        <is>
          <t>NONE</t>
        </is>
      </c>
      <c r="Y1007" t="n">
        <v>0</v>
      </c>
      <c r="Z1007" t="inlineStr"/>
      <c r="AA1007" t="inlineStr">
        <is>
          <t>https://nvd.nist.gov/vuln/detail/CVE-2026-22383</t>
        </is>
      </c>
    </row>
    <row r="1008">
      <c r="A1008" t="inlineStr">
        <is>
          <t>CVE</t>
        </is>
      </c>
      <c r="B1008" t="inlineStr">
        <is>
          <t>CVE-2026-22384</t>
        </is>
      </c>
      <c r="C1008" t="inlineStr">
        <is>
          <t>Deserialization of Untrusted Data vulnerability in leafcolor Applay - Shortcodes applay-shortcodes allows Object Injection.This issue affects Applay - Shortcodes: from n/a through &lt;= 3.7.</t>
        </is>
      </c>
      <c r="D1008" t="n">
        <v>5</v>
      </c>
      <c r="E1008" t="inlineStr">
        <is>
          <t>MEDIUM</t>
        </is>
      </c>
      <c r="F1008" t="n">
        <v>2</v>
      </c>
      <c r="G1008" t="n">
        <v>2</v>
      </c>
      <c r="H1008" t="inlineStr">
        <is>
          <t>MEDIUM</t>
        </is>
      </c>
      <c r="I1008" t="n">
        <v>9</v>
      </c>
      <c r="J1008" t="inlineStr">
        <is>
          <t>NO</t>
        </is>
      </c>
      <c r="K1008" t="inlineStr">
        <is>
          <t>2026-02-23 23:48</t>
        </is>
      </c>
      <c r="L1008" t="inlineStr">
        <is>
          <t>CHECK_VENDOR</t>
        </is>
      </c>
      <c r="M1008" t="inlineStr">
        <is>
          <t>See CVE details</t>
        </is>
      </c>
      <c r="N1008" t="inlineStr">
        <is>
          <t>P4</t>
        </is>
      </c>
      <c r="O1008" t="inlineStr">
        <is>
          <t>CVE - IP enrichment n/a</t>
        </is>
      </c>
      <c r="P1008" t="n">
        <v>0</v>
      </c>
      <c r="Q1008" t="n">
        <v>0</v>
      </c>
      <c r="R1008" t="inlineStr">
        <is>
          <t>T1059:Command and Scripting Interpreter</t>
        </is>
      </c>
      <c r="S1008" t="n">
        <v>1</v>
      </c>
      <c r="T1008" t="inlineStr">
        <is>
          <t>LOW (40%)</t>
        </is>
      </c>
      <c r="U1008" t="inlineStr">
        <is>
          <t>UNLIKELY</t>
        </is>
      </c>
      <c r="V1008" t="inlineStr">
        <is>
          <t>CHECK_VENDOR</t>
        </is>
      </c>
      <c r="W1008" t="inlineStr">
        <is>
          <t>https://nvd.nist.gov/vuln/detail/CVE-2026-22384</t>
        </is>
      </c>
      <c r="X1008" t="inlineStr">
        <is>
          <t>NONE</t>
        </is>
      </c>
      <c r="Y1008" t="n">
        <v>0</v>
      </c>
      <c r="Z1008" t="inlineStr"/>
      <c r="AA1008" t="inlineStr">
        <is>
          <t>https://nvd.nist.gov/vuln/detail/CVE-2026-22384</t>
        </is>
      </c>
    </row>
    <row r="1009">
      <c r="A1009" t="inlineStr">
        <is>
          <t>CVE</t>
        </is>
      </c>
      <c r="B1009" t="inlineStr">
        <is>
          <t>CVE-2026-22885</t>
        </is>
      </c>
      <c r="C1009" t="inlineStr">
        <is>
          <t>A vulnerability exists in EnOcean SmartServer IoT version 4.60.009 and 
prior, which would allow remote attackers, in the LON IP-852 management 
messages, to send specially crafted IP-852 messages resulting in a 
memory leak from the program's memory.</t>
        </is>
      </c>
      <c r="D1009" t="n">
        <v>3.7</v>
      </c>
      <c r="E1009" t="inlineStr">
        <is>
          <t>LOW</t>
        </is>
      </c>
      <c r="F1009" t="n">
        <v>2</v>
      </c>
      <c r="G1009" t="n">
        <v>1</v>
      </c>
      <c r="H1009" t="inlineStr">
        <is>
          <t>LOW</t>
        </is>
      </c>
      <c r="I1009" t="n">
        <v>5.7</v>
      </c>
      <c r="J1009" t="inlineStr">
        <is>
          <t>NO</t>
        </is>
      </c>
      <c r="K1009" t="inlineStr">
        <is>
          <t>2026-02-23 23:48</t>
        </is>
      </c>
      <c r="L1009" t="inlineStr">
        <is>
          <t>CHECK_VENDOR</t>
        </is>
      </c>
      <c r="M1009" t="inlineStr">
        <is>
          <t>See CVE details</t>
        </is>
      </c>
      <c r="N1009" t="inlineStr">
        <is>
          <t>P4</t>
        </is>
      </c>
      <c r="O1009" t="inlineStr">
        <is>
          <t>CVE - IP enrichment n/a</t>
        </is>
      </c>
      <c r="P1009" t="n">
        <v>0</v>
      </c>
      <c r="Q1009" t="n">
        <v>0</v>
      </c>
      <c r="R1009" t="inlineStr">
        <is>
          <t>T1203:Exploitation for Client Execution</t>
        </is>
      </c>
      <c r="S1009" t="n">
        <v>1</v>
      </c>
      <c r="T1009" t="inlineStr">
        <is>
          <t>LOW (40%)</t>
        </is>
      </c>
      <c r="U1009" t="inlineStr">
        <is>
          <t>UNLIKELY</t>
        </is>
      </c>
      <c r="V1009" t="inlineStr">
        <is>
          <t>CHECK_VENDOR</t>
        </is>
      </c>
      <c r="W1009" t="inlineStr">
        <is>
          <t>https://nvd.nist.gov/vuln/detail/CVE-2026-22885</t>
        </is>
      </c>
      <c r="X1009" t="inlineStr">
        <is>
          <t>NONE</t>
        </is>
      </c>
      <c r="Y1009" t="n">
        <v>0</v>
      </c>
      <c r="Z1009" t="inlineStr"/>
      <c r="AA1009" t="inlineStr">
        <is>
          <t>https://nvd.nist.gov/vuln/detail/CVE-2026-22885</t>
        </is>
      </c>
    </row>
    <row r="1010">
      <c r="A1010" t="inlineStr">
        <is>
          <t>CVE</t>
        </is>
      </c>
      <c r="B1010" t="inlineStr">
        <is>
          <t>CVE-2026-24941</t>
        </is>
      </c>
      <c r="C1010" t="inlineStr">
        <is>
          <t>Missing Authorization vulnerability in wpjobportal WP Job Portal wp-job-portal allows Exploiting Incorrectly Configured Access Control Security Levels.This issue affects WP Job Portal: from n/a through &lt;= 2.4.4.</t>
        </is>
      </c>
      <c r="D1010" t="n">
        <v>7.5</v>
      </c>
      <c r="E1010" t="inlineStr">
        <is>
          <t>HIGH</t>
        </is>
      </c>
      <c r="F1010" t="n">
        <v>2</v>
      </c>
      <c r="G1010" t="n">
        <v>3</v>
      </c>
      <c r="H1010" t="inlineStr">
        <is>
          <t>HIGH</t>
        </is>
      </c>
      <c r="I1010" t="n">
        <v>13.5</v>
      </c>
      <c r="J1010" t="inlineStr">
        <is>
          <t>NO</t>
        </is>
      </c>
      <c r="K1010" t="inlineStr">
        <is>
          <t>2026-02-23 23:48</t>
        </is>
      </c>
      <c r="L1010" t="inlineStr">
        <is>
          <t>CHECK_VENDOR</t>
        </is>
      </c>
      <c r="M1010" t="inlineStr">
        <is>
          <t>See CVE details</t>
        </is>
      </c>
      <c r="N1010" t="inlineStr">
        <is>
          <t>P3</t>
        </is>
      </c>
      <c r="O1010" t="inlineStr">
        <is>
          <t>CVE - IP enrichment n/a</t>
        </is>
      </c>
      <c r="P1010" t="n">
        <v>0</v>
      </c>
      <c r="Q1010" t="n">
        <v>0</v>
      </c>
      <c r="R1010" t="inlineStr">
        <is>
          <t>T1190:Exploit Public-Facing Application</t>
        </is>
      </c>
      <c r="S1010" t="n">
        <v>1</v>
      </c>
      <c r="T1010" t="inlineStr">
        <is>
          <t>LOW (40%)</t>
        </is>
      </c>
      <c r="U1010" t="inlineStr">
        <is>
          <t>UNLIKELY</t>
        </is>
      </c>
      <c r="V1010" t="inlineStr">
        <is>
          <t>CHECK_VENDOR</t>
        </is>
      </c>
      <c r="W1010" t="inlineStr">
        <is>
          <t>https://nvd.nist.gov/vuln/detail/CVE-2026-24941</t>
        </is>
      </c>
      <c r="X1010" t="inlineStr">
        <is>
          <t>NONE</t>
        </is>
      </c>
      <c r="Y1010" t="n">
        <v>0</v>
      </c>
      <c r="Z1010" t="inlineStr"/>
      <c r="AA1010" t="inlineStr">
        <is>
          <t>https://nvd.nist.gov/vuln/detail/CVE-2026-24941</t>
        </is>
      </c>
    </row>
    <row r="1011">
      <c r="A1011" t="inlineStr">
        <is>
          <t>CVE</t>
        </is>
      </c>
      <c r="B1011" t="inlineStr">
        <is>
          <t>CVE-2026-24943</t>
        </is>
      </c>
      <c r="C1011" t="inlineStr">
        <is>
          <t>Improper Neutralization of Input During Web Page Generation ('Cross-site Scripting') vulnerability in ThemeGoods Grand Conference grandconference allows Reflected XSS.This issue affects Grand Conference: from n/a through &lt;= 5.3.4.</t>
        </is>
      </c>
      <c r="D1011" t="n">
        <v>5</v>
      </c>
      <c r="E1011" t="inlineStr">
        <is>
          <t>MEDIUM</t>
        </is>
      </c>
      <c r="F1011" t="n">
        <v>2</v>
      </c>
      <c r="G1011" t="n">
        <v>2</v>
      </c>
      <c r="H1011" t="inlineStr">
        <is>
          <t>MEDIUM</t>
        </is>
      </c>
      <c r="I1011" t="n">
        <v>9</v>
      </c>
      <c r="J1011" t="inlineStr">
        <is>
          <t>NO</t>
        </is>
      </c>
      <c r="K1011" t="inlineStr">
        <is>
          <t>2026-02-23 23:48</t>
        </is>
      </c>
      <c r="L1011" t="inlineStr">
        <is>
          <t>CHECK_VENDOR</t>
        </is>
      </c>
      <c r="M1011" t="inlineStr">
        <is>
          <t>See CVE details</t>
        </is>
      </c>
      <c r="N1011" t="inlineStr">
        <is>
          <t>P4</t>
        </is>
      </c>
      <c r="O1011" t="inlineStr">
        <is>
          <t>CVE - IP enrichment n/a</t>
        </is>
      </c>
      <c r="P1011" t="n">
        <v>0</v>
      </c>
      <c r="Q1011" t="n">
        <v>0</v>
      </c>
      <c r="R1011" t="inlineStr">
        <is>
          <t>T1189:Drive-by Compromise</t>
        </is>
      </c>
      <c r="S1011" t="n">
        <v>1</v>
      </c>
      <c r="T1011" t="inlineStr">
        <is>
          <t>LOW (40%)</t>
        </is>
      </c>
      <c r="U1011" t="inlineStr">
        <is>
          <t>UNLIKELY</t>
        </is>
      </c>
      <c r="V1011" t="inlineStr">
        <is>
          <t>CHECK_VENDOR</t>
        </is>
      </c>
      <c r="W1011" t="inlineStr">
        <is>
          <t>https://nvd.nist.gov/vuln/detail/CVE-2026-24943</t>
        </is>
      </c>
      <c r="X1011" t="inlineStr">
        <is>
          <t>NONE</t>
        </is>
      </c>
      <c r="Y1011" t="n">
        <v>0</v>
      </c>
      <c r="Z1011" t="inlineStr"/>
      <c r="AA1011" t="inlineStr">
        <is>
          <t>https://nvd.nist.gov/vuln/detail/CVE-2026-24943</t>
        </is>
      </c>
    </row>
    <row r="1012">
      <c r="A1012" t="inlineStr">
        <is>
          <t>CVE</t>
        </is>
      </c>
      <c r="B1012" t="inlineStr">
        <is>
          <t>CVE-2026-24944</t>
        </is>
      </c>
      <c r="C1012" t="inlineStr">
        <is>
          <t>Missing Authorization vulnerability in weDevs Subscribe2 subscribe2 allows Exploiting Incorrectly Configured Access Control Security Levels.This issue affects Subscribe2: from n/a through &lt;= 10.44.</t>
        </is>
      </c>
      <c r="D1012" t="n">
        <v>6.5</v>
      </c>
      <c r="E1012" t="inlineStr">
        <is>
          <t>MEDIUM</t>
        </is>
      </c>
      <c r="F1012" t="n">
        <v>2</v>
      </c>
      <c r="G1012" t="n">
        <v>2</v>
      </c>
      <c r="H1012" t="inlineStr">
        <is>
          <t>MEDIUM</t>
        </is>
      </c>
      <c r="I1012" t="n">
        <v>10.5</v>
      </c>
      <c r="J1012" t="inlineStr">
        <is>
          <t>NO</t>
        </is>
      </c>
      <c r="K1012" t="inlineStr">
        <is>
          <t>2026-02-23 23:48</t>
        </is>
      </c>
      <c r="L1012" t="inlineStr">
        <is>
          <t>CHECK_VENDOR</t>
        </is>
      </c>
      <c r="M1012" t="inlineStr">
        <is>
          <t>See CVE details</t>
        </is>
      </c>
      <c r="N1012" t="inlineStr">
        <is>
          <t>P4</t>
        </is>
      </c>
      <c r="O1012" t="inlineStr">
        <is>
          <t>CVE - IP enrichment n/a</t>
        </is>
      </c>
      <c r="P1012" t="n">
        <v>0.0003</v>
      </c>
      <c r="Q1012" t="n">
        <v>0.0857</v>
      </c>
      <c r="R1012" t="inlineStr">
        <is>
          <t>T1190:Exploit Public-Facing Application</t>
        </is>
      </c>
      <c r="S1012" t="n">
        <v>1</v>
      </c>
      <c r="T1012" t="inlineStr">
        <is>
          <t>LOW (40%)</t>
        </is>
      </c>
      <c r="U1012" t="inlineStr">
        <is>
          <t>UNLIKELY</t>
        </is>
      </c>
      <c r="V1012" t="inlineStr">
        <is>
          <t>CHECK_VENDOR</t>
        </is>
      </c>
      <c r="W1012" t="inlineStr">
        <is>
          <t>https://nvd.nist.gov/vuln/detail/CVE-2026-24944</t>
        </is>
      </c>
      <c r="X1012" t="inlineStr">
        <is>
          <t>NONE</t>
        </is>
      </c>
      <c r="Y1012" t="n">
        <v>0</v>
      </c>
      <c r="Z1012" t="inlineStr"/>
      <c r="AA1012" t="inlineStr">
        <is>
          <t>https://nvd.nist.gov/vuln/detail/CVE-2026-24944</t>
        </is>
      </c>
    </row>
    <row r="1013">
      <c r="A1013" t="inlineStr">
        <is>
          <t>CVE</t>
        </is>
      </c>
      <c r="B1013" t="inlineStr">
        <is>
          <t>CVE-2026-24946</t>
        </is>
      </c>
      <c r="C1013" t="inlineStr">
        <is>
          <t>Missing Authorization vulnerability in tychesoftwares Print Invoice &amp; Delivery Notes for WooCommerce woocommerce-delivery-notes allows Exploiting Incorrectly Configured Access Control Security Levels.This issue affects Print Invoice &amp; Delivery Notes for WooCommerce: from n/a through &lt;= 5.8.0.</t>
        </is>
      </c>
      <c r="D1013" t="n">
        <v>8.5</v>
      </c>
      <c r="E1013" t="inlineStr">
        <is>
          <t>HIGH</t>
        </is>
      </c>
      <c r="F1013" t="n">
        <v>2</v>
      </c>
      <c r="G1013" t="n">
        <v>3</v>
      </c>
      <c r="H1013" t="inlineStr">
        <is>
          <t>HIGH</t>
        </is>
      </c>
      <c r="I1013" t="n">
        <v>14.5</v>
      </c>
      <c r="J1013" t="inlineStr">
        <is>
          <t>NO</t>
        </is>
      </c>
      <c r="K1013" t="inlineStr">
        <is>
          <t>2026-02-23 23:48</t>
        </is>
      </c>
      <c r="L1013" t="inlineStr">
        <is>
          <t>CHECK_VENDOR</t>
        </is>
      </c>
      <c r="M1013" t="inlineStr">
        <is>
          <t>See CVE details</t>
        </is>
      </c>
      <c r="N1013" t="inlineStr">
        <is>
          <t>P3</t>
        </is>
      </c>
      <c r="O1013" t="inlineStr">
        <is>
          <t>CVE - IP enrichment n/a</t>
        </is>
      </c>
      <c r="P1013" t="n">
        <v>0</v>
      </c>
      <c r="Q1013" t="n">
        <v>0</v>
      </c>
      <c r="R1013" t="inlineStr">
        <is>
          <t>T1190:Exploit Public-Facing Application</t>
        </is>
      </c>
      <c r="S1013" t="n">
        <v>1</v>
      </c>
      <c r="T1013" t="inlineStr">
        <is>
          <t>LOW (40%)</t>
        </is>
      </c>
      <c r="U1013" t="inlineStr">
        <is>
          <t>UNLIKELY</t>
        </is>
      </c>
      <c r="V1013" t="inlineStr">
        <is>
          <t>CHECK_VENDOR</t>
        </is>
      </c>
      <c r="W1013" t="inlineStr">
        <is>
          <t>https://nvd.nist.gov/vuln/detail/CVE-2026-24946</t>
        </is>
      </c>
      <c r="X1013" t="inlineStr">
        <is>
          <t>NONE</t>
        </is>
      </c>
      <c r="Y1013" t="n">
        <v>0</v>
      </c>
      <c r="Z1013" t="inlineStr"/>
      <c r="AA1013" t="inlineStr">
        <is>
          <t>https://nvd.nist.gov/vuln/detail/CVE-2026-24946</t>
        </is>
      </c>
    </row>
    <row r="1014">
      <c r="A1014" t="inlineStr">
        <is>
          <t>CVE</t>
        </is>
      </c>
      <c r="B1014" t="inlineStr">
        <is>
          <t>CVE-2026-24948</t>
        </is>
      </c>
      <c r="C1014" t="inlineStr">
        <is>
          <t>Improper Neutralization of Input During Web Page Generation ('Cross-site Scripting') vulnerability in fox-themes Reflector reflector-plugins allows Reflected XSS.This issue affects Reflector: from n/a through &lt;= 1.2.2.</t>
        </is>
      </c>
      <c r="D1014" t="n">
        <v>7.1</v>
      </c>
      <c r="E1014" t="inlineStr">
        <is>
          <t>HIGH</t>
        </is>
      </c>
      <c r="F1014" t="n">
        <v>2</v>
      </c>
      <c r="G1014" t="n">
        <v>3</v>
      </c>
      <c r="H1014" t="inlineStr">
        <is>
          <t>HIGH</t>
        </is>
      </c>
      <c r="I1014" t="n">
        <v>13.1</v>
      </c>
      <c r="J1014" t="inlineStr">
        <is>
          <t>NO</t>
        </is>
      </c>
      <c r="K1014" t="inlineStr">
        <is>
          <t>2026-02-23 23:48</t>
        </is>
      </c>
      <c r="L1014" t="inlineStr">
        <is>
          <t>CHECK_VENDOR</t>
        </is>
      </c>
      <c r="M1014" t="inlineStr">
        <is>
          <t>See CVE details</t>
        </is>
      </c>
      <c r="N1014" t="inlineStr">
        <is>
          <t>P3</t>
        </is>
      </c>
      <c r="O1014" t="inlineStr">
        <is>
          <t>CVE - IP enrichment n/a</t>
        </is>
      </c>
      <c r="P1014" t="n">
        <v>0</v>
      </c>
      <c r="Q1014" t="n">
        <v>0</v>
      </c>
      <c r="R1014" t="inlineStr">
        <is>
          <t>T1189:Drive-by Compromise</t>
        </is>
      </c>
      <c r="S1014" t="n">
        <v>1</v>
      </c>
      <c r="T1014" t="inlineStr">
        <is>
          <t>LOW (40%)</t>
        </is>
      </c>
      <c r="U1014" t="inlineStr">
        <is>
          <t>UNLIKELY</t>
        </is>
      </c>
      <c r="V1014" t="inlineStr">
        <is>
          <t>CHECK_VENDOR</t>
        </is>
      </c>
      <c r="W1014" t="inlineStr">
        <is>
          <t>https://nvd.nist.gov/vuln/detail/CVE-2026-24948</t>
        </is>
      </c>
      <c r="X1014" t="inlineStr">
        <is>
          <t>NONE</t>
        </is>
      </c>
      <c r="Y1014" t="n">
        <v>0</v>
      </c>
      <c r="Z1014" t="inlineStr"/>
      <c r="AA1014" t="inlineStr">
        <is>
          <t>https://nvd.nist.gov/vuln/detail/CVE-2026-24948</t>
        </is>
      </c>
    </row>
    <row r="1015">
      <c r="A1015" t="inlineStr">
        <is>
          <t>CVE</t>
        </is>
      </c>
      <c r="B1015" t="inlineStr">
        <is>
          <t>CVE-2026-24949</t>
        </is>
      </c>
      <c r="C1015" t="inlineStr">
        <is>
          <t>Improper Neutralization of Input During Web Page Generation ('Cross-site Scripting') vulnerability in ThemeGoods PhotoMe photome allows DOM-Based XSS.This issue affects PhotoMe: from n/a through &lt;= 5.7.1.</t>
        </is>
      </c>
      <c r="D1015" t="n">
        <v>5</v>
      </c>
      <c r="E1015" t="inlineStr">
        <is>
          <t>MEDIUM</t>
        </is>
      </c>
      <c r="F1015" t="n">
        <v>2</v>
      </c>
      <c r="G1015" t="n">
        <v>2</v>
      </c>
      <c r="H1015" t="inlineStr">
        <is>
          <t>MEDIUM</t>
        </is>
      </c>
      <c r="I1015" t="n">
        <v>9</v>
      </c>
      <c r="J1015" t="inlineStr">
        <is>
          <t>NO</t>
        </is>
      </c>
      <c r="K1015" t="inlineStr">
        <is>
          <t>2026-02-23 23:48</t>
        </is>
      </c>
      <c r="L1015" t="inlineStr">
        <is>
          <t>CHECK_VENDOR</t>
        </is>
      </c>
      <c r="M1015" t="inlineStr">
        <is>
          <t>See CVE details</t>
        </is>
      </c>
      <c r="N1015" t="inlineStr">
        <is>
          <t>P4</t>
        </is>
      </c>
      <c r="O1015" t="inlineStr">
        <is>
          <t>CVE - IP enrichment n/a</t>
        </is>
      </c>
      <c r="P1015" t="n">
        <v>0</v>
      </c>
      <c r="Q1015" t="n">
        <v>0</v>
      </c>
      <c r="R1015" t="inlineStr">
        <is>
          <t>T1189:Drive-by Compromise</t>
        </is>
      </c>
      <c r="S1015" t="n">
        <v>1</v>
      </c>
      <c r="T1015" t="inlineStr">
        <is>
          <t>LOW (40%)</t>
        </is>
      </c>
      <c r="U1015" t="inlineStr">
        <is>
          <t>UNLIKELY</t>
        </is>
      </c>
      <c r="V1015" t="inlineStr">
        <is>
          <t>CHECK_VENDOR</t>
        </is>
      </c>
      <c r="W1015" t="inlineStr">
        <is>
          <t>https://nvd.nist.gov/vuln/detail/CVE-2026-24949</t>
        </is>
      </c>
      <c r="X1015" t="inlineStr">
        <is>
          <t>NONE</t>
        </is>
      </c>
      <c r="Y1015" t="n">
        <v>0</v>
      </c>
      <c r="Z1015" t="inlineStr"/>
      <c r="AA1015" t="inlineStr">
        <is>
          <t>https://nvd.nist.gov/vuln/detail/CVE-2026-24949</t>
        </is>
      </c>
    </row>
    <row r="1016">
      <c r="A1016" t="inlineStr">
        <is>
          <t>CVE</t>
        </is>
      </c>
      <c r="B1016" t="inlineStr">
        <is>
          <t>CVE-2026-24950</t>
        </is>
      </c>
      <c r="C1016" t="inlineStr">
        <is>
          <t>Authorization Bypass Through User-Controlled Key vulnerability in themeplugs Authorsy authorsy allows Exploiting Incorrectly Configured Access Control Security Levels.This issue affects Authorsy: from n/a through &lt;= 1.0.6.</t>
        </is>
      </c>
      <c r="D1016" t="n">
        <v>7.5</v>
      </c>
      <c r="E1016" t="inlineStr">
        <is>
          <t>HIGH</t>
        </is>
      </c>
      <c r="F1016" t="n">
        <v>2</v>
      </c>
      <c r="G1016" t="n">
        <v>3</v>
      </c>
      <c r="H1016" t="inlineStr">
        <is>
          <t>HIGH</t>
        </is>
      </c>
      <c r="I1016" t="n">
        <v>13.5</v>
      </c>
      <c r="J1016" t="inlineStr">
        <is>
          <t>NO</t>
        </is>
      </c>
      <c r="K1016" t="inlineStr">
        <is>
          <t>2026-02-23 23:48</t>
        </is>
      </c>
      <c r="L1016" t="inlineStr">
        <is>
          <t>CHECK_VENDOR</t>
        </is>
      </c>
      <c r="M1016" t="inlineStr">
        <is>
          <t>See CVE details</t>
        </is>
      </c>
      <c r="N1016" t="inlineStr">
        <is>
          <t>P3</t>
        </is>
      </c>
      <c r="O1016" t="inlineStr">
        <is>
          <t>CVE - IP enrichment n/a</t>
        </is>
      </c>
      <c r="P1016" t="n">
        <v>0</v>
      </c>
      <c r="Q1016" t="n">
        <v>0</v>
      </c>
      <c r="R1016" t="inlineStr">
        <is>
          <t>T1190:Exploit Public-Facing Application</t>
        </is>
      </c>
      <c r="S1016" t="n">
        <v>1</v>
      </c>
      <c r="T1016" t="inlineStr">
        <is>
          <t>LOW (40%)</t>
        </is>
      </c>
      <c r="U1016" t="inlineStr">
        <is>
          <t>UNLIKELY</t>
        </is>
      </c>
      <c r="V1016" t="inlineStr">
        <is>
          <t>CHECK_VENDOR</t>
        </is>
      </c>
      <c r="W1016" t="inlineStr">
        <is>
          <t>https://nvd.nist.gov/vuln/detail/CVE-2026-24950</t>
        </is>
      </c>
      <c r="X1016" t="inlineStr">
        <is>
          <t>NONE</t>
        </is>
      </c>
      <c r="Y1016" t="n">
        <v>0</v>
      </c>
      <c r="Z1016" t="inlineStr"/>
      <c r="AA1016" t="inlineStr">
        <is>
          <t>https://nvd.nist.gov/vuln/detail/CVE-2026-24950</t>
        </is>
      </c>
    </row>
    <row r="1017">
      <c r="A1017" t="inlineStr">
        <is>
          <t>CVE</t>
        </is>
      </c>
      <c r="B1017" t="inlineStr">
        <is>
          <t>CVE-2026-24953</t>
        </is>
      </c>
      <c r="C1017" t="inlineStr">
        <is>
          <t>Improper Limitation of a Pathname to a Restricted Directory ('Path Traversal') vulnerability in Mitchell Bennis Simple File List simple-file-list allows Path Traversal.This issue affects Simple File List: from n/a through &lt;= 6.1.15.</t>
        </is>
      </c>
      <c r="D1017" t="n">
        <v>5</v>
      </c>
      <c r="E1017" t="inlineStr">
        <is>
          <t>MEDIUM</t>
        </is>
      </c>
      <c r="F1017" t="n">
        <v>2</v>
      </c>
      <c r="G1017" t="n">
        <v>2</v>
      </c>
      <c r="H1017" t="inlineStr">
        <is>
          <t>MEDIUM</t>
        </is>
      </c>
      <c r="I1017" t="n">
        <v>9</v>
      </c>
      <c r="J1017" t="inlineStr">
        <is>
          <t>NO</t>
        </is>
      </c>
      <c r="K1017" t="inlineStr">
        <is>
          <t>2026-02-23 23:48</t>
        </is>
      </c>
      <c r="L1017" t="inlineStr">
        <is>
          <t>CHECK_VENDOR</t>
        </is>
      </c>
      <c r="M1017" t="inlineStr">
        <is>
          <t>See CVE details</t>
        </is>
      </c>
      <c r="N1017" t="inlineStr">
        <is>
          <t>P4</t>
        </is>
      </c>
      <c r="O1017" t="inlineStr">
        <is>
          <t>CVE - IP enrichment n/a</t>
        </is>
      </c>
      <c r="P1017" t="n">
        <v>0</v>
      </c>
      <c r="Q1017" t="n">
        <v>0</v>
      </c>
      <c r="R1017" t="inlineStr">
        <is>
          <t>T1083:File and Directory Discovery</t>
        </is>
      </c>
      <c r="S1017" t="n">
        <v>1</v>
      </c>
      <c r="T1017" t="inlineStr">
        <is>
          <t>LOW (40%)</t>
        </is>
      </c>
      <c r="U1017" t="inlineStr">
        <is>
          <t>UNLIKELY</t>
        </is>
      </c>
      <c r="V1017" t="inlineStr">
        <is>
          <t>CHECK_VENDOR</t>
        </is>
      </c>
      <c r="W1017" t="inlineStr">
        <is>
          <t>https://nvd.nist.gov/vuln/detail/CVE-2026-24953</t>
        </is>
      </c>
      <c r="X1017" t="inlineStr">
        <is>
          <t>NONE</t>
        </is>
      </c>
      <c r="Y1017" t="n">
        <v>0</v>
      </c>
      <c r="Z1017" t="inlineStr"/>
      <c r="AA1017" t="inlineStr">
        <is>
          <t>https://nvd.nist.gov/vuln/detail/CVE-2026-24953</t>
        </is>
      </c>
    </row>
    <row r="1018">
      <c r="A1018" t="inlineStr">
        <is>
          <t>CVE</t>
        </is>
      </c>
      <c r="B1018" t="inlineStr">
        <is>
          <t>CVE-2026-24955</t>
        </is>
      </c>
      <c r="C1018" t="inlineStr">
        <is>
          <t>Improper Neutralization of Input During Web Page Generation ('Cross-site Scripting') vulnerability in fox-themes Whizz Plugins whizz-plugins allows Reflected XSS.This issue affects Whizz Plugins: from n/a through &lt;= 1.9.</t>
        </is>
      </c>
      <c r="D1018" t="n">
        <v>7.1</v>
      </c>
      <c r="E1018" t="inlineStr">
        <is>
          <t>HIGH</t>
        </is>
      </c>
      <c r="F1018" t="n">
        <v>2</v>
      </c>
      <c r="G1018" t="n">
        <v>3</v>
      </c>
      <c r="H1018" t="inlineStr">
        <is>
          <t>HIGH</t>
        </is>
      </c>
      <c r="I1018" t="n">
        <v>13.1</v>
      </c>
      <c r="J1018" t="inlineStr">
        <is>
          <t>NO</t>
        </is>
      </c>
      <c r="K1018" t="inlineStr">
        <is>
          <t>2026-02-23 23:48</t>
        </is>
      </c>
      <c r="L1018" t="inlineStr">
        <is>
          <t>CHECK_VENDOR</t>
        </is>
      </c>
      <c r="M1018" t="inlineStr">
        <is>
          <t>See CVE details</t>
        </is>
      </c>
      <c r="N1018" t="inlineStr">
        <is>
          <t>P3</t>
        </is>
      </c>
      <c r="O1018" t="inlineStr">
        <is>
          <t>CVE - IP enrichment n/a</t>
        </is>
      </c>
      <c r="P1018" t="n">
        <v>0.0003</v>
      </c>
      <c r="Q1018" t="n">
        <v>0.0968</v>
      </c>
      <c r="R1018" t="inlineStr">
        <is>
          <t>T1189:Drive-by Compromise</t>
        </is>
      </c>
      <c r="S1018" t="n">
        <v>1</v>
      </c>
      <c r="T1018" t="inlineStr">
        <is>
          <t>LOW (40%)</t>
        </is>
      </c>
      <c r="U1018" t="inlineStr">
        <is>
          <t>UNLIKELY</t>
        </is>
      </c>
      <c r="V1018" t="inlineStr">
        <is>
          <t>CHECK_VENDOR</t>
        </is>
      </c>
      <c r="W1018" t="inlineStr">
        <is>
          <t>https://nvd.nist.gov/vuln/detail/CVE-2026-24955</t>
        </is>
      </c>
      <c r="X1018" t="inlineStr">
        <is>
          <t>NONE</t>
        </is>
      </c>
      <c r="Y1018" t="n">
        <v>0</v>
      </c>
      <c r="Z1018" t="inlineStr"/>
      <c r="AA1018" t="inlineStr">
        <is>
          <t>https://nvd.nist.gov/vuln/detail/CVE-2026-24955</t>
        </is>
      </c>
    </row>
    <row r="1019">
      <c r="A1019" t="inlineStr">
        <is>
          <t>CVE</t>
        </is>
      </c>
      <c r="B1019" t="inlineStr">
        <is>
          <t>CVE-2026-24956</t>
        </is>
      </c>
      <c r="C1019" t="inlineStr">
        <is>
          <t>Improper Neutralization of Special Elements used in an SQL Command ('SQL Injection') vulnerability in Shahjada Download Manager Addons for Elementor wpdm-elementor allows Blind SQL Injection.This issue affects Download Manager Addons for Elementor: from n/a through &lt;= 1.3.0.</t>
        </is>
      </c>
      <c r="D1019" t="n">
        <v>9.300000000000001</v>
      </c>
      <c r="E1019" t="inlineStr">
        <is>
          <t>CRITICAL</t>
        </is>
      </c>
      <c r="F1019" t="n">
        <v>2</v>
      </c>
      <c r="G1019" t="n">
        <v>3</v>
      </c>
      <c r="H1019" t="inlineStr">
        <is>
          <t>HIGH</t>
        </is>
      </c>
      <c r="I1019" t="n">
        <v>15.3</v>
      </c>
      <c r="J1019" t="inlineStr">
        <is>
          <t>NO</t>
        </is>
      </c>
      <c r="K1019" t="inlineStr">
        <is>
          <t>2026-02-23 23:48</t>
        </is>
      </c>
      <c r="L1019" t="inlineStr">
        <is>
          <t>CHECK_VENDOR</t>
        </is>
      </c>
      <c r="M1019" t="inlineStr">
        <is>
          <t>See CVE details</t>
        </is>
      </c>
      <c r="N1019" t="inlineStr">
        <is>
          <t>P3</t>
        </is>
      </c>
      <c r="O1019" t="inlineStr">
        <is>
          <t>CVE - IP enrichment n/a</t>
        </is>
      </c>
      <c r="P1019" t="n">
        <v>0</v>
      </c>
      <c r="Q1019" t="n">
        <v>0</v>
      </c>
      <c r="R1019" t="inlineStr">
        <is>
          <t>T1190:Exploit Public-Facing Application</t>
        </is>
      </c>
      <c r="S1019" t="n">
        <v>1</v>
      </c>
      <c r="T1019" t="inlineStr">
        <is>
          <t>LOW (40%)</t>
        </is>
      </c>
      <c r="U1019" t="inlineStr">
        <is>
          <t>UNLIKELY</t>
        </is>
      </c>
      <c r="V1019" t="inlineStr">
        <is>
          <t>CHECK_VENDOR</t>
        </is>
      </c>
      <c r="W1019" t="inlineStr">
        <is>
          <t>https://nvd.nist.gov/vuln/detail/CVE-2026-24956</t>
        </is>
      </c>
      <c r="X1019" t="inlineStr">
        <is>
          <t>NONE</t>
        </is>
      </c>
      <c r="Y1019" t="n">
        <v>0</v>
      </c>
      <c r="Z1019" t="inlineStr"/>
      <c r="AA1019" t="inlineStr">
        <is>
          <t>https://nvd.nist.gov/vuln/detail/CVE-2026-24956</t>
        </is>
      </c>
    </row>
    <row r="1020">
      <c r="A1020" t="inlineStr">
        <is>
          <t>CVE</t>
        </is>
      </c>
      <c r="B1020" t="inlineStr">
        <is>
          <t>CVE-2026-24959</t>
        </is>
      </c>
      <c r="C1020" t="inlineStr">
        <is>
          <t>Improper Neutralization of Special Elements used in an SQL Command ('SQL Injection') vulnerability in JoomSky JS Help Desk js-support-ticket allows Blind SQL Injection.This issue affects JS Help Desk: from n/a through &lt;= 3.0.1.</t>
        </is>
      </c>
      <c r="D1020" t="n">
        <v>8.5</v>
      </c>
      <c r="E1020" t="inlineStr">
        <is>
          <t>HIGH</t>
        </is>
      </c>
      <c r="F1020" t="n">
        <v>2</v>
      </c>
      <c r="G1020" t="n">
        <v>3</v>
      </c>
      <c r="H1020" t="inlineStr">
        <is>
          <t>HIGH</t>
        </is>
      </c>
      <c r="I1020" t="n">
        <v>14.5</v>
      </c>
      <c r="J1020" t="inlineStr">
        <is>
          <t>NO</t>
        </is>
      </c>
      <c r="K1020" t="inlineStr">
        <is>
          <t>2026-02-23 23:48</t>
        </is>
      </c>
      <c r="L1020" t="inlineStr">
        <is>
          <t>CHECK_VENDOR</t>
        </is>
      </c>
      <c r="M1020" t="inlineStr">
        <is>
          <t>See CVE details</t>
        </is>
      </c>
      <c r="N1020" t="inlineStr">
        <is>
          <t>P3</t>
        </is>
      </c>
      <c r="O1020" t="inlineStr">
        <is>
          <t>CVE - IP enrichment n/a</t>
        </is>
      </c>
      <c r="P1020" t="n">
        <v>0.0003</v>
      </c>
      <c r="Q1020" t="n">
        <v>0.08450000000000001</v>
      </c>
      <c r="R1020" t="inlineStr">
        <is>
          <t>T1190:Exploit Public-Facing Application</t>
        </is>
      </c>
      <c r="S1020" t="n">
        <v>1</v>
      </c>
      <c r="T1020" t="inlineStr">
        <is>
          <t>LOW (40%)</t>
        </is>
      </c>
      <c r="U1020" t="inlineStr">
        <is>
          <t>UNLIKELY</t>
        </is>
      </c>
      <c r="V1020" t="inlineStr">
        <is>
          <t>CHECK_VENDOR</t>
        </is>
      </c>
      <c r="W1020" t="inlineStr">
        <is>
          <t>https://nvd.nist.gov/vuln/detail/CVE-2026-24959</t>
        </is>
      </c>
      <c r="X1020" t="inlineStr">
        <is>
          <t>NONE</t>
        </is>
      </c>
      <c r="Y1020" t="n">
        <v>0</v>
      </c>
      <c r="Z1020" t="inlineStr"/>
      <c r="AA1020" t="inlineStr">
        <is>
          <t>https://nvd.nist.gov/vuln/detail/CVE-2026-24959</t>
        </is>
      </c>
    </row>
    <row r="1021">
      <c r="A1021" t="inlineStr">
        <is>
          <t>CVE</t>
        </is>
      </c>
      <c r="B1021" t="inlineStr">
        <is>
          <t>CVE-2026-27072</t>
        </is>
      </c>
      <c r="C1021" t="inlineStr">
        <is>
          <t>Improper Neutralization of Input During Web Page Generation ('Cross-site Scripting') vulnerability in PixelYourSite PixelYourSite – Your smart PIXEL (TAG) Manager pixelyoursite allows Stored XSS.This issue affects PixelYourSite – Your smart PIXEL (TAG) Manager: from n/a through &lt;= 11.2.0.1.</t>
        </is>
      </c>
      <c r="D1021" t="n">
        <v>7.1</v>
      </c>
      <c r="E1021" t="inlineStr">
        <is>
          <t>HIGH</t>
        </is>
      </c>
      <c r="F1021" t="n">
        <v>2</v>
      </c>
      <c r="G1021" t="n">
        <v>3</v>
      </c>
      <c r="H1021" t="inlineStr">
        <is>
          <t>HIGH</t>
        </is>
      </c>
      <c r="I1021" t="n">
        <v>13.1</v>
      </c>
      <c r="J1021" t="inlineStr">
        <is>
          <t>NO</t>
        </is>
      </c>
      <c r="K1021" t="inlineStr">
        <is>
          <t>2026-02-23 23:48</t>
        </is>
      </c>
      <c r="L1021" t="inlineStr">
        <is>
          <t>CHECK_VENDOR</t>
        </is>
      </c>
      <c r="M1021" t="inlineStr">
        <is>
          <t>See CVE details</t>
        </is>
      </c>
      <c r="N1021" t="inlineStr">
        <is>
          <t>P3</t>
        </is>
      </c>
      <c r="O1021" t="inlineStr">
        <is>
          <t>CVE - IP enrichment n/a</t>
        </is>
      </c>
      <c r="P1021" t="n">
        <v>0</v>
      </c>
      <c r="Q1021" t="n">
        <v>0</v>
      </c>
      <c r="R1021" t="inlineStr">
        <is>
          <t>T1189:Drive-by Compromise</t>
        </is>
      </c>
      <c r="S1021" t="n">
        <v>1</v>
      </c>
      <c r="T1021" t="inlineStr">
        <is>
          <t>LOW (40%)</t>
        </is>
      </c>
      <c r="U1021" t="inlineStr">
        <is>
          <t>UNLIKELY</t>
        </is>
      </c>
      <c r="V1021" t="inlineStr">
        <is>
          <t>CHECK_VENDOR</t>
        </is>
      </c>
      <c r="W1021" t="inlineStr">
        <is>
          <t>https://nvd.nist.gov/vuln/detail/CVE-2026-27072</t>
        </is>
      </c>
      <c r="X1021" t="inlineStr">
        <is>
          <t>NONE</t>
        </is>
      </c>
      <c r="Y1021" t="n">
        <v>0</v>
      </c>
      <c r="Z1021" t="inlineStr"/>
      <c r="AA1021" t="inlineStr">
        <is>
          <t>https://nvd.nist.gov/vuln/detail/CVE-2026-27072</t>
        </is>
      </c>
    </row>
    <row r="1022">
      <c r="A1022" t="inlineStr">
        <is>
          <t>CVE</t>
        </is>
      </c>
      <c r="B1022" t="inlineStr">
        <is>
          <t>CVE-2026-2846</t>
        </is>
      </c>
      <c r="C1022" t="inlineStr">
        <is>
          <t>A security vulnerability has been detected in UTT HiPER 520 1.7.7-160105. This impacts the function sub_44D264 of the file /goform/formPdbUpConfig of the component Web Management Interface. The manipulation of the argument policyNames leads to os command injection. The attack can be initiated remotely. The exploit has been disclosed publicly and may be used.</t>
        </is>
      </c>
      <c r="D1022" t="n">
        <v>7.2</v>
      </c>
      <c r="E1022" t="inlineStr">
        <is>
          <t>HIGH</t>
        </is>
      </c>
      <c r="F1022" t="n">
        <v>2</v>
      </c>
      <c r="G1022" t="n">
        <v>3</v>
      </c>
      <c r="H1022" t="inlineStr">
        <is>
          <t>HIGH</t>
        </is>
      </c>
      <c r="I1022" t="n">
        <v>13.2</v>
      </c>
      <c r="J1022" t="inlineStr">
        <is>
          <t>NO</t>
        </is>
      </c>
      <c r="K1022" t="inlineStr">
        <is>
          <t>2026-02-23 23:48</t>
        </is>
      </c>
      <c r="L1022" t="inlineStr">
        <is>
          <t>CHECK_VENDOR</t>
        </is>
      </c>
      <c r="M1022" t="inlineStr">
        <is>
          <t>See CVE details</t>
        </is>
      </c>
      <c r="N1022" t="inlineStr">
        <is>
          <t>P3</t>
        </is>
      </c>
      <c r="O1022" t="inlineStr">
        <is>
          <t>CVE - IP enrichment n/a</t>
        </is>
      </c>
      <c r="P1022" t="n">
        <v>0.0012</v>
      </c>
      <c r="Q1022" t="n">
        <v>0.3152</v>
      </c>
      <c r="R1022" t="inlineStr">
        <is>
          <t>T1059:Command and Scripting Interpreter</t>
        </is>
      </c>
      <c r="S1022" t="n">
        <v>1</v>
      </c>
      <c r="T1022" t="inlineStr">
        <is>
          <t>LOW (40%)</t>
        </is>
      </c>
      <c r="U1022" t="inlineStr">
        <is>
          <t>UNLIKELY</t>
        </is>
      </c>
      <c r="V1022" t="inlineStr">
        <is>
          <t>CHECK_VENDOR</t>
        </is>
      </c>
      <c r="W1022" t="inlineStr">
        <is>
          <t>https://nvd.nist.gov/vuln/detail/CVE-2026-2846</t>
        </is>
      </c>
      <c r="X1022" t="inlineStr">
        <is>
          <t>NONE</t>
        </is>
      </c>
      <c r="Y1022" t="n">
        <v>0</v>
      </c>
      <c r="Z1022" t="inlineStr"/>
      <c r="AA1022" t="inlineStr">
        <is>
          <t>https://nvd.nist.gov/vuln/detail/CVE-2026-2846</t>
        </is>
      </c>
    </row>
    <row r="1023">
      <c r="A1023" t="inlineStr">
        <is>
          <t>CVE</t>
        </is>
      </c>
      <c r="B1023" t="inlineStr">
        <is>
          <t>CVE-2026-2847</t>
        </is>
      </c>
      <c r="C1023" t="inlineStr">
        <is>
          <t>A vulnerability was detected in UTT HiPER 520 1.7.7-160105. Affected is the function sub_44EFB4 of the file /goform/formReleaseConnect of the component Web Management Interface. The manipulation of the argument Isp_Name results in os command injection. The attack can be launched remotely. The exploit is now public and may be used.</t>
        </is>
      </c>
      <c r="D1023" t="n">
        <v>7.2</v>
      </c>
      <c r="E1023" t="inlineStr">
        <is>
          <t>HIGH</t>
        </is>
      </c>
      <c r="F1023" t="n">
        <v>2</v>
      </c>
      <c r="G1023" t="n">
        <v>3</v>
      </c>
      <c r="H1023" t="inlineStr">
        <is>
          <t>HIGH</t>
        </is>
      </c>
      <c r="I1023" t="n">
        <v>13.2</v>
      </c>
      <c r="J1023" t="inlineStr">
        <is>
          <t>NO</t>
        </is>
      </c>
      <c r="K1023" t="inlineStr">
        <is>
          <t>2026-02-23 23:48</t>
        </is>
      </c>
      <c r="L1023" t="inlineStr">
        <is>
          <t>CHECK_VENDOR</t>
        </is>
      </c>
      <c r="M1023" t="inlineStr">
        <is>
          <t>See CVE details</t>
        </is>
      </c>
      <c r="N1023" t="inlineStr">
        <is>
          <t>P3</t>
        </is>
      </c>
      <c r="O1023" t="inlineStr">
        <is>
          <t>CVE - IP enrichment n/a</t>
        </is>
      </c>
      <c r="P1023" t="n">
        <v>0</v>
      </c>
      <c r="Q1023" t="n">
        <v>0</v>
      </c>
      <c r="R1023" t="inlineStr">
        <is>
          <t>T1059:Command and Scripting Interpreter</t>
        </is>
      </c>
      <c r="S1023" t="n">
        <v>1</v>
      </c>
      <c r="T1023" t="inlineStr">
        <is>
          <t>LOW (40%)</t>
        </is>
      </c>
      <c r="U1023" t="inlineStr">
        <is>
          <t>UNLIKELY</t>
        </is>
      </c>
      <c r="V1023" t="inlineStr">
        <is>
          <t>CHECK_VENDOR</t>
        </is>
      </c>
      <c r="W1023" t="inlineStr">
        <is>
          <t>https://nvd.nist.gov/vuln/detail/CVE-2026-2847</t>
        </is>
      </c>
      <c r="X1023" t="inlineStr">
        <is>
          <t>NONE</t>
        </is>
      </c>
      <c r="Y1023" t="n">
        <v>0</v>
      </c>
      <c r="Z1023" t="inlineStr"/>
      <c r="AA1023" t="inlineStr">
        <is>
          <t>https://nvd.nist.gov/vuln/detail/CVE-2026-2847</t>
        </is>
      </c>
    </row>
    <row r="1024">
      <c r="A1024" t="inlineStr">
        <is>
          <t>CVE</t>
        </is>
      </c>
      <c r="B1024" t="inlineStr">
        <is>
          <t>CVE-2025-15582</t>
        </is>
      </c>
      <c r="C1024" t="inlineStr">
        <is>
          <t>A security flaw has been discovered in detronetdip E-commerce 1.0.0. The impacted element is the function Delete/Update of the component Product Management Module. Performing a manipulation of the argument ID results in authorization bypass. Remote exploitation of the attack is possible. The exploit has been released to the public and may be used for attacks. The project was informed of the problem early through an issue report but has not responded yet.</t>
        </is>
      </c>
      <c r="D1024" t="n">
        <v>5.4</v>
      </c>
      <c r="E1024" t="inlineStr">
        <is>
          <t>MEDIUM</t>
        </is>
      </c>
      <c r="F1024" t="n">
        <v>2</v>
      </c>
      <c r="G1024" t="n">
        <v>2</v>
      </c>
      <c r="H1024" t="inlineStr">
        <is>
          <t>MEDIUM</t>
        </is>
      </c>
      <c r="I1024" t="n">
        <v>9.4</v>
      </c>
      <c r="J1024" t="inlineStr">
        <is>
          <t>NO</t>
        </is>
      </c>
      <c r="K1024" t="inlineStr">
        <is>
          <t>2026-02-23 23:48</t>
        </is>
      </c>
      <c r="L1024" t="inlineStr">
        <is>
          <t>CHECK_VENDOR</t>
        </is>
      </c>
      <c r="M1024" t="inlineStr">
        <is>
          <t>See CVE details</t>
        </is>
      </c>
      <c r="N1024" t="inlineStr">
        <is>
          <t>P4</t>
        </is>
      </c>
      <c r="O1024" t="inlineStr">
        <is>
          <t>CVE - IP enrichment n/a</t>
        </is>
      </c>
      <c r="P1024" t="n">
        <v>0.0004</v>
      </c>
      <c r="Q1024" t="n">
        <v>0.1309</v>
      </c>
      <c r="R1024" t="inlineStr">
        <is>
          <t>T1190:Exploit Public-Facing Application</t>
        </is>
      </c>
      <c r="S1024" t="n">
        <v>1</v>
      </c>
      <c r="T1024" t="inlineStr">
        <is>
          <t>LOW (40%)</t>
        </is>
      </c>
      <c r="U1024" t="inlineStr">
        <is>
          <t>UNLIKELY</t>
        </is>
      </c>
      <c r="V1024" t="inlineStr">
        <is>
          <t>CHECK_VENDOR</t>
        </is>
      </c>
      <c r="W1024" t="inlineStr">
        <is>
          <t>https://nvd.nist.gov/vuln/detail/CVE-2025-15582</t>
        </is>
      </c>
      <c r="X1024" t="inlineStr">
        <is>
          <t>NONE</t>
        </is>
      </c>
      <c r="Y1024" t="n">
        <v>0</v>
      </c>
      <c r="Z1024" t="inlineStr"/>
      <c r="AA1024" t="inlineStr">
        <is>
          <t>https://nvd.nist.gov/vuln/detail/CVE-2025-15582</t>
        </is>
      </c>
    </row>
    <row r="1025">
      <c r="A1025" t="inlineStr">
        <is>
          <t>CVE</t>
        </is>
      </c>
      <c r="B1025" t="inlineStr">
        <is>
          <t>CVE-2025-15583</t>
        </is>
      </c>
      <c r="C1025" t="inlineStr">
        <is>
          <t>A weakness has been identified in detronetdip E-commerce 1.0.0. This affects the function get_safe_value of the file utility/function.php. Executing a manipulation can lead to cross site scripting. The attack can be executed remotely. The exploit has been made available to the public and could be used for attacks. The project was informed of the problem early through an issue report but has not responded yet.</t>
        </is>
      </c>
      <c r="D1025" t="n">
        <v>3.5</v>
      </c>
      <c r="E1025" t="inlineStr">
        <is>
          <t>LOW</t>
        </is>
      </c>
      <c r="F1025" t="n">
        <v>2</v>
      </c>
      <c r="G1025" t="n">
        <v>1</v>
      </c>
      <c r="H1025" t="inlineStr">
        <is>
          <t>LOW</t>
        </is>
      </c>
      <c r="I1025" t="n">
        <v>5.5</v>
      </c>
      <c r="J1025" t="inlineStr">
        <is>
          <t>NO</t>
        </is>
      </c>
      <c r="K1025" t="inlineStr">
        <is>
          <t>2026-02-23 23:48</t>
        </is>
      </c>
      <c r="L1025" t="inlineStr">
        <is>
          <t>CHECK_VENDOR</t>
        </is>
      </c>
      <c r="M1025" t="inlineStr">
        <is>
          <t>See CVE details</t>
        </is>
      </c>
      <c r="N1025" t="inlineStr">
        <is>
          <t>P4</t>
        </is>
      </c>
      <c r="O1025" t="inlineStr">
        <is>
          <t>CVE - IP enrichment n/a</t>
        </is>
      </c>
      <c r="P1025" t="n">
        <v>0</v>
      </c>
      <c r="Q1025" t="n">
        <v>0</v>
      </c>
      <c r="R1025" t="inlineStr">
        <is>
          <t>T1189:Drive-by Compromise | T1190:Exploit Public-Facing Application</t>
        </is>
      </c>
      <c r="S1025" t="n">
        <v>1</v>
      </c>
      <c r="T1025" t="inlineStr">
        <is>
          <t>LOW (40%)</t>
        </is>
      </c>
      <c r="U1025" t="inlineStr">
        <is>
          <t>UNLIKELY</t>
        </is>
      </c>
      <c r="V1025" t="inlineStr">
        <is>
          <t>CHECK_VENDOR</t>
        </is>
      </c>
      <c r="W1025" t="inlineStr">
        <is>
          <t>https://nvd.nist.gov/vuln/detail/CVE-2025-15583</t>
        </is>
      </c>
      <c r="X1025" t="inlineStr">
        <is>
          <t>NONE</t>
        </is>
      </c>
      <c r="Y1025" t="n">
        <v>0</v>
      </c>
      <c r="Z1025" t="inlineStr"/>
      <c r="AA1025" t="inlineStr">
        <is>
          <t>https://nvd.nist.gov/vuln/detail/CVE-2025-15583</t>
        </is>
      </c>
    </row>
    <row r="1026">
      <c r="A1026" t="inlineStr">
        <is>
          <t>CVE</t>
        </is>
      </c>
      <c r="B1026" t="inlineStr">
        <is>
          <t>CVE-2025-70833</t>
        </is>
      </c>
      <c r="C1026" t="inlineStr">
        <is>
          <t>An Authentication Bypass vulnerability in Smanga 3.2.7 allows an unauthenticated attacker to reset the password of any user (including the administrator) and fully takeover the account by manipulating POST parameters. The issue stems from insecure permission validation in check-power.php.</t>
        </is>
      </c>
      <c r="D1026" t="n">
        <v>9.4</v>
      </c>
      <c r="E1026" t="inlineStr">
        <is>
          <t>CRITICAL</t>
        </is>
      </c>
      <c r="F1026" t="n">
        <v>2</v>
      </c>
      <c r="G1026" t="n">
        <v>3</v>
      </c>
      <c r="H1026" t="inlineStr">
        <is>
          <t>HIGH</t>
        </is>
      </c>
      <c r="I1026" t="n">
        <v>15.4</v>
      </c>
      <c r="J1026" t="inlineStr">
        <is>
          <t>NO</t>
        </is>
      </c>
      <c r="K1026" t="inlineStr">
        <is>
          <t>2026-02-23 23:48</t>
        </is>
      </c>
      <c r="L1026" t="inlineStr">
        <is>
          <t>CHECK_VENDOR</t>
        </is>
      </c>
      <c r="M1026" t="inlineStr">
        <is>
          <t>See CVE details</t>
        </is>
      </c>
      <c r="N1026" t="inlineStr">
        <is>
          <t>P3</t>
        </is>
      </c>
      <c r="O1026" t="inlineStr">
        <is>
          <t>CVE - IP enrichment n/a</t>
        </is>
      </c>
      <c r="P1026" t="n">
        <v>0.0004</v>
      </c>
      <c r="Q1026" t="n">
        <v>0.1153</v>
      </c>
      <c r="R1026" t="inlineStr">
        <is>
          <t>T1078:Valid Accounts | T1110:Brute Force</t>
        </is>
      </c>
      <c r="S1026" t="n">
        <v>1</v>
      </c>
      <c r="T1026" t="inlineStr">
        <is>
          <t>LOW (40%)</t>
        </is>
      </c>
      <c r="U1026" t="inlineStr">
        <is>
          <t>UNLIKELY</t>
        </is>
      </c>
      <c r="V1026" t="inlineStr">
        <is>
          <t>CHECK_VENDOR</t>
        </is>
      </c>
      <c r="W1026" t="inlineStr">
        <is>
          <t>https://nvd.nist.gov/vuln/detail/CVE-2025-70833</t>
        </is>
      </c>
      <c r="X1026" t="inlineStr">
        <is>
          <t>NONE</t>
        </is>
      </c>
      <c r="Y1026" t="n">
        <v>0</v>
      </c>
      <c r="Z1026" t="inlineStr"/>
      <c r="AA1026" t="inlineStr">
        <is>
          <t>https://nvd.nist.gov/vuln/detail/CVE-2025-70833</t>
        </is>
      </c>
    </row>
    <row r="1027">
      <c r="A1027" t="inlineStr">
        <is>
          <t>CVE</t>
        </is>
      </c>
      <c r="B1027" t="inlineStr">
        <is>
          <t>CVE-2026-1842</t>
        </is>
      </c>
      <c r="C1027" t="inlineStr">
        <is>
          <t>HyperCloud versions 2.3.5 through 2.6.8 improperly allowed refresh tokens to be used directly for resource access and failed to invalidate previously issued access tokens when a refresh token was used. Because refresh tokens have a significantly longer lifetime (default one year), an authenticated client could use a refresh token in place of an access token to maintain long-term access without token rotation. Additionally, old access tokens remained valid after refresh, enabling concurrent or ex</t>
        </is>
      </c>
      <c r="D1027" t="n">
        <v>8.5</v>
      </c>
      <c r="E1027" t="inlineStr">
        <is>
          <t>HIGH</t>
        </is>
      </c>
      <c r="F1027" t="n">
        <v>2</v>
      </c>
      <c r="G1027" t="n">
        <v>3</v>
      </c>
      <c r="H1027" t="inlineStr">
        <is>
          <t>HIGH</t>
        </is>
      </c>
      <c r="I1027" t="n">
        <v>14.5</v>
      </c>
      <c r="J1027" t="inlineStr">
        <is>
          <t>NO</t>
        </is>
      </c>
      <c r="K1027" t="inlineStr">
        <is>
          <t>2026-02-23 23:48</t>
        </is>
      </c>
      <c r="L1027" t="inlineStr">
        <is>
          <t>CHECK_VENDOR</t>
        </is>
      </c>
      <c r="M1027" t="inlineStr">
        <is>
          <t>See CVE details</t>
        </is>
      </c>
      <c r="N1027" t="inlineStr">
        <is>
          <t>P3</t>
        </is>
      </c>
      <c r="O1027" t="inlineStr">
        <is>
          <t>CVE - IP enrichment n/a</t>
        </is>
      </c>
      <c r="P1027" t="n">
        <v>0</v>
      </c>
      <c r="Q1027" t="n">
        <v>0</v>
      </c>
      <c r="R1027" t="inlineStr">
        <is>
          <t>T1190:Exploit Public-Facing Application</t>
        </is>
      </c>
      <c r="S1027" t="n">
        <v>1</v>
      </c>
      <c r="T1027" t="inlineStr">
        <is>
          <t>LOW (40%)</t>
        </is>
      </c>
      <c r="U1027" t="inlineStr">
        <is>
          <t>UNLIKELY</t>
        </is>
      </c>
      <c r="V1027" t="inlineStr">
        <is>
          <t>CHECK_VENDOR</t>
        </is>
      </c>
      <c r="W1027" t="inlineStr">
        <is>
          <t>https://nvd.nist.gov/vuln/detail/CVE-2026-1842</t>
        </is>
      </c>
      <c r="X1027" t="inlineStr">
        <is>
          <t>NONE</t>
        </is>
      </c>
      <c r="Y1027" t="n">
        <v>0</v>
      </c>
      <c r="Z1027" t="inlineStr"/>
      <c r="AA1027" t="inlineStr">
        <is>
          <t>https://nvd.nist.gov/vuln/detail/CVE-2026-1842</t>
        </is>
      </c>
    </row>
    <row r="1028">
      <c r="A1028" t="inlineStr">
        <is>
          <t>CVE</t>
        </is>
      </c>
      <c r="B1028" t="inlineStr">
        <is>
          <t>CVE-2026-24455</t>
        </is>
      </c>
      <c r="C1028" t="inlineStr">
        <is>
          <t>The embedded web interface of the device does not support HTTPS/TLS for 
authentication and uses HTTP Basic Authentication. Traffic is encoded 
but not encrypted, exposing user credentials to passive interception by 
attackers on the same network.</t>
        </is>
      </c>
      <c r="D1028" t="n">
        <v>7.5</v>
      </c>
      <c r="E1028" t="inlineStr">
        <is>
          <t>HIGH</t>
        </is>
      </c>
      <c r="F1028" t="n">
        <v>2</v>
      </c>
      <c r="G1028" t="n">
        <v>3</v>
      </c>
      <c r="H1028" t="inlineStr">
        <is>
          <t>HIGH</t>
        </is>
      </c>
      <c r="I1028" t="n">
        <v>13.5</v>
      </c>
      <c r="J1028" t="inlineStr">
        <is>
          <t>NO</t>
        </is>
      </c>
      <c r="K1028" t="inlineStr">
        <is>
          <t>2026-02-23 23:48</t>
        </is>
      </c>
      <c r="L1028" t="inlineStr">
        <is>
          <t>CHECK_VENDOR</t>
        </is>
      </c>
      <c r="M1028" t="inlineStr">
        <is>
          <t>See CVE details</t>
        </is>
      </c>
      <c r="N1028" t="inlineStr">
        <is>
          <t>P3</t>
        </is>
      </c>
      <c r="O1028" t="inlineStr">
        <is>
          <t>CVE - IP enrichment n/a</t>
        </is>
      </c>
      <c r="P1028" t="n">
        <v>0</v>
      </c>
      <c r="Q1028" t="n">
        <v>0</v>
      </c>
      <c r="R1028" t="inlineStr">
        <is>
          <t>T1190:Exploit Public-Facing Application | T1552:Unsecured Credentials</t>
        </is>
      </c>
      <c r="S1028" t="n">
        <v>1</v>
      </c>
      <c r="T1028" t="inlineStr">
        <is>
          <t>LOW (40%)</t>
        </is>
      </c>
      <c r="U1028" t="inlineStr">
        <is>
          <t>UNLIKELY</t>
        </is>
      </c>
      <c r="V1028" t="inlineStr">
        <is>
          <t>CHECK_VENDOR</t>
        </is>
      </c>
      <c r="W1028" t="inlineStr">
        <is>
          <t>https://nvd.nist.gov/vuln/detail/CVE-2026-24455</t>
        </is>
      </c>
      <c r="X1028" t="inlineStr">
        <is>
          <t>NONE</t>
        </is>
      </c>
      <c r="Y1028" t="n">
        <v>0</v>
      </c>
      <c r="Z1028" t="inlineStr"/>
      <c r="AA1028" t="inlineStr">
        <is>
          <t>https://nvd.nist.gov/vuln/detail/CVE-2026-24455</t>
        </is>
      </c>
    </row>
    <row r="1029">
      <c r="A1029" t="inlineStr">
        <is>
          <t>CVE</t>
        </is>
      </c>
      <c r="B1029" t="inlineStr">
        <is>
          <t>CVE-2026-24790</t>
        </is>
      </c>
      <c r="C1029" t="inlineStr">
        <is>
          <t>The underlying PLC of the device can be remotely influenced, without proper safeguards or authentication.</t>
        </is>
      </c>
      <c r="D1029" t="n">
        <v>8.199999999999999</v>
      </c>
      <c r="E1029" t="inlineStr">
        <is>
          <t>HIGH</t>
        </is>
      </c>
      <c r="F1029" t="n">
        <v>2</v>
      </c>
      <c r="G1029" t="n">
        <v>3</v>
      </c>
      <c r="H1029" t="inlineStr">
        <is>
          <t>HIGH</t>
        </is>
      </c>
      <c r="I1029" t="n">
        <v>14.2</v>
      </c>
      <c r="J1029" t="inlineStr">
        <is>
          <t>NO</t>
        </is>
      </c>
      <c r="K1029" t="inlineStr">
        <is>
          <t>2026-02-23 23:48</t>
        </is>
      </c>
      <c r="L1029" t="inlineStr">
        <is>
          <t>CHECK_VENDOR</t>
        </is>
      </c>
      <c r="M1029" t="inlineStr">
        <is>
          <t>See CVE details</t>
        </is>
      </c>
      <c r="N1029" t="inlineStr">
        <is>
          <t>P3</t>
        </is>
      </c>
      <c r="O1029" t="inlineStr">
        <is>
          <t>CVE - IP enrichment n/a</t>
        </is>
      </c>
      <c r="P1029" t="n">
        <v>0</v>
      </c>
      <c r="Q1029" t="n">
        <v>0</v>
      </c>
      <c r="R1029" t="inlineStr">
        <is>
          <t>T1078:Valid Accounts</t>
        </is>
      </c>
      <c r="S1029" t="n">
        <v>1</v>
      </c>
      <c r="T1029" t="inlineStr">
        <is>
          <t>LOW (40%)</t>
        </is>
      </c>
      <c r="U1029" t="inlineStr">
        <is>
          <t>UNLIKELY</t>
        </is>
      </c>
      <c r="V1029" t="inlineStr">
        <is>
          <t>CHECK_VENDOR</t>
        </is>
      </c>
      <c r="W1029" t="inlineStr">
        <is>
          <t>https://nvd.nist.gov/vuln/detail/CVE-2026-24790</t>
        </is>
      </c>
      <c r="X1029" t="inlineStr">
        <is>
          <t>NONE</t>
        </is>
      </c>
      <c r="Y1029" t="n">
        <v>0</v>
      </c>
      <c r="Z1029" t="inlineStr"/>
      <c r="AA1029" t="inlineStr">
        <is>
          <t>https://nvd.nist.gov/vuln/detail/CVE-2026-24790</t>
        </is>
      </c>
    </row>
    <row r="1030">
      <c r="A1030" t="inlineStr">
        <is>
          <t>CVE</t>
        </is>
      </c>
      <c r="B1030" t="inlineStr">
        <is>
          <t>CVE-2026-25715</t>
        </is>
      </c>
      <c r="C1030" t="inlineStr">
        <is>
          <t>The web management interface of the device allows the administrator 
username and password to be set to blank values. Once applied, the 
device permits authentication with empty credentials over the web 
management interface and Telnet service. This effectively disables 
authentication across all critical management channels, allowing any 
network-adjacent attacker to gain full administrative control without 
credentials.</t>
        </is>
      </c>
      <c r="D1030" t="n">
        <v>9.800000000000001</v>
      </c>
      <c r="E1030" t="inlineStr">
        <is>
          <t>CRITICAL</t>
        </is>
      </c>
      <c r="F1030" t="n">
        <v>2</v>
      </c>
      <c r="G1030" t="n">
        <v>3</v>
      </c>
      <c r="H1030" t="inlineStr">
        <is>
          <t>HIGH</t>
        </is>
      </c>
      <c r="I1030" t="n">
        <v>15.8</v>
      </c>
      <c r="J1030" t="inlineStr">
        <is>
          <t>NO</t>
        </is>
      </c>
      <c r="K1030" t="inlineStr">
        <is>
          <t>2026-02-23 23:48</t>
        </is>
      </c>
      <c r="L1030" t="inlineStr">
        <is>
          <t>CHECK_VENDOR</t>
        </is>
      </c>
      <c r="M1030" t="inlineStr">
        <is>
          <t>See CVE details</t>
        </is>
      </c>
      <c r="N1030" t="inlineStr">
        <is>
          <t>P3</t>
        </is>
      </c>
      <c r="O1030" t="inlineStr">
        <is>
          <t>CVE - IP enrichment n/a</t>
        </is>
      </c>
      <c r="P1030" t="n">
        <v>0</v>
      </c>
      <c r="Q1030" t="n">
        <v>0</v>
      </c>
      <c r="R1030" t="inlineStr">
        <is>
          <t>T1552:Unsecured Credentials</t>
        </is>
      </c>
      <c r="S1030" t="n">
        <v>1</v>
      </c>
      <c r="T1030" t="inlineStr">
        <is>
          <t>LOW (40%)</t>
        </is>
      </c>
      <c r="U1030" t="inlineStr">
        <is>
          <t>UNLIKELY</t>
        </is>
      </c>
      <c r="V1030" t="inlineStr">
        <is>
          <t>CHECK_VENDOR</t>
        </is>
      </c>
      <c r="W1030" t="inlineStr">
        <is>
          <t>https://nvd.nist.gov/vuln/detail/CVE-2026-25715</t>
        </is>
      </c>
      <c r="X1030" t="inlineStr">
        <is>
          <t>NONE</t>
        </is>
      </c>
      <c r="Y1030" t="n">
        <v>0</v>
      </c>
      <c r="Z1030" t="inlineStr"/>
      <c r="AA1030" t="inlineStr">
        <is>
          <t>https://nvd.nist.gov/vuln/detail/CVE-2026-25715</t>
        </is>
      </c>
    </row>
    <row r="1031">
      <c r="A1031" t="inlineStr">
        <is>
          <t>CVE</t>
        </is>
      </c>
      <c r="B1031" t="inlineStr">
        <is>
          <t>CVE-2026-26048</t>
        </is>
      </c>
      <c r="C1031" t="inlineStr">
        <is>
          <t>The Wi-Fi router is vulnerable to de-authentication attacks due to the 
absence of management frame protection, allowing forged deauthentication
 and disassociation frames to be broadcast without authentication or 
encryption. An attacker can use this to cause unauthorized disruptions 
and create a denial-of-service condition.</t>
        </is>
      </c>
      <c r="D1031" t="n">
        <v>7.5</v>
      </c>
      <c r="E1031" t="inlineStr">
        <is>
          <t>HIGH</t>
        </is>
      </c>
      <c r="F1031" t="n">
        <v>2</v>
      </c>
      <c r="G1031" t="n">
        <v>3</v>
      </c>
      <c r="H1031" t="inlineStr">
        <is>
          <t>HIGH</t>
        </is>
      </c>
      <c r="I1031" t="n">
        <v>13.5</v>
      </c>
      <c r="J1031" t="inlineStr">
        <is>
          <t>NO</t>
        </is>
      </c>
      <c r="K1031" t="inlineStr">
        <is>
          <t>2026-02-23 23:48</t>
        </is>
      </c>
      <c r="L1031" t="inlineStr">
        <is>
          <t>CHECK_VENDOR</t>
        </is>
      </c>
      <c r="M1031" t="inlineStr">
        <is>
          <t>See CVE details</t>
        </is>
      </c>
      <c r="N1031" t="inlineStr">
        <is>
          <t>P3</t>
        </is>
      </c>
      <c r="O1031" t="inlineStr">
        <is>
          <t>CVE - IP enrichment n/a</t>
        </is>
      </c>
      <c r="P1031" t="n">
        <v>0.0003</v>
      </c>
      <c r="Q1031" t="n">
        <v>0.06569999999999999</v>
      </c>
      <c r="R1031" t="inlineStr">
        <is>
          <t>T1078:Valid Accounts</t>
        </is>
      </c>
      <c r="S1031" t="n">
        <v>1</v>
      </c>
      <c r="T1031" t="inlineStr">
        <is>
          <t>LOW (40%)</t>
        </is>
      </c>
      <c r="U1031" t="inlineStr">
        <is>
          <t>UNLIKELY</t>
        </is>
      </c>
      <c r="V1031" t="inlineStr">
        <is>
          <t>CHECK_VENDOR</t>
        </is>
      </c>
      <c r="W1031" t="inlineStr">
        <is>
          <t>https://nvd.nist.gov/vuln/detail/CVE-2026-26048</t>
        </is>
      </c>
      <c r="X1031" t="inlineStr">
        <is>
          <t>NONE</t>
        </is>
      </c>
      <c r="Y1031" t="n">
        <v>0</v>
      </c>
      <c r="Z1031" t="inlineStr"/>
      <c r="AA1031" t="inlineStr">
        <is>
          <t>https://nvd.nist.gov/vuln/detail/CVE-2026-26048</t>
        </is>
      </c>
    </row>
    <row r="1032">
      <c r="A1032" t="inlineStr">
        <is>
          <t>CVE</t>
        </is>
      </c>
      <c r="B1032" t="inlineStr">
        <is>
          <t>CVE-2026-26049</t>
        </is>
      </c>
      <c r="C1032" t="inlineStr">
        <is>
          <t>The web management interface of the device renders the passwords in a 
plaintext input field. The current password is directly visible to 
anyone with access to the UI, potentially exposing administrator 
credentials to unauthorized observation via shoulder surfing, 
screenshots, or browser form caching.</t>
        </is>
      </c>
      <c r="D1032" t="n">
        <v>5.7</v>
      </c>
      <c r="E1032" t="inlineStr">
        <is>
          <t>MEDIUM</t>
        </is>
      </c>
      <c r="F1032" t="n">
        <v>2</v>
      </c>
      <c r="G1032" t="n">
        <v>2</v>
      </c>
      <c r="H1032" t="inlineStr">
        <is>
          <t>MEDIUM</t>
        </is>
      </c>
      <c r="I1032" t="n">
        <v>9.699999999999999</v>
      </c>
      <c r="J1032" t="inlineStr">
        <is>
          <t>NO</t>
        </is>
      </c>
      <c r="K1032" t="inlineStr">
        <is>
          <t>2026-02-23 23:48</t>
        </is>
      </c>
      <c r="L1032" t="inlineStr">
        <is>
          <t>CHECK_VENDOR</t>
        </is>
      </c>
      <c r="M1032" t="inlineStr">
        <is>
          <t>See CVE details</t>
        </is>
      </c>
      <c r="N1032" t="inlineStr">
        <is>
          <t>P4</t>
        </is>
      </c>
      <c r="O1032" t="inlineStr">
        <is>
          <t>CVE - IP enrichment n/a</t>
        </is>
      </c>
      <c r="P1032" t="n">
        <v>0</v>
      </c>
      <c r="Q1032" t="n">
        <v>0</v>
      </c>
      <c r="R1032" t="inlineStr">
        <is>
          <t>T1552:Unsecured Credentials</t>
        </is>
      </c>
      <c r="S1032" t="n">
        <v>1</v>
      </c>
      <c r="T1032" t="inlineStr">
        <is>
          <t>LOW (40%)</t>
        </is>
      </c>
      <c r="U1032" t="inlineStr">
        <is>
          <t>UNLIKELY</t>
        </is>
      </c>
      <c r="V1032" t="inlineStr">
        <is>
          <t>CHECK_VENDOR</t>
        </is>
      </c>
      <c r="W1032" t="inlineStr">
        <is>
          <t>https://nvd.nist.gov/vuln/detail/CVE-2026-26049</t>
        </is>
      </c>
      <c r="X1032" t="inlineStr">
        <is>
          <t>NONE</t>
        </is>
      </c>
      <c r="Y1032" t="n">
        <v>0</v>
      </c>
      <c r="Z1032" t="inlineStr"/>
      <c r="AA1032" t="inlineStr">
        <is>
          <t>https://nvd.nist.gov/vuln/detail/CVE-2026-26049</t>
        </is>
      </c>
    </row>
    <row r="1033">
      <c r="A1033" t="inlineStr">
        <is>
          <t>CVE</t>
        </is>
      </c>
      <c r="B1033" t="inlineStr">
        <is>
          <t>CVE-2026-26093</t>
        </is>
      </c>
      <c r="C1033" t="inlineStr">
        <is>
          <t>Improper Neutralization of Special Elements used in a Command ('Command Injection') in Owl opds 2.2.0.4 allows Command Injection via a crafted network request.</t>
        </is>
      </c>
      <c r="D1033" t="n">
        <v>5</v>
      </c>
      <c r="E1033" t="inlineStr">
        <is>
          <t>MEDIUM</t>
        </is>
      </c>
      <c r="F1033" t="n">
        <v>2</v>
      </c>
      <c r="G1033" t="n">
        <v>2</v>
      </c>
      <c r="H1033" t="inlineStr">
        <is>
          <t>MEDIUM</t>
        </is>
      </c>
      <c r="I1033" t="n">
        <v>9</v>
      </c>
      <c r="J1033" t="inlineStr">
        <is>
          <t>NO</t>
        </is>
      </c>
      <c r="K1033" t="inlineStr">
        <is>
          <t>2026-02-23 23:48</t>
        </is>
      </c>
      <c r="L1033" t="inlineStr">
        <is>
          <t>CHECK_VENDOR</t>
        </is>
      </c>
      <c r="M1033" t="inlineStr">
        <is>
          <t>See CVE details</t>
        </is>
      </c>
      <c r="N1033" t="inlineStr">
        <is>
          <t>P4</t>
        </is>
      </c>
      <c r="O1033" t="inlineStr">
        <is>
          <t>CVE - IP enrichment n/a</t>
        </is>
      </c>
      <c r="P1033" t="n">
        <v>0.0046</v>
      </c>
      <c r="Q1033" t="n">
        <v>0.635</v>
      </c>
      <c r="R1033" t="inlineStr">
        <is>
          <t>T1059:Command and Scripting Interpreter</t>
        </is>
      </c>
      <c r="S1033" t="n">
        <v>1</v>
      </c>
      <c r="T1033" t="inlineStr">
        <is>
          <t>LOW (40%)</t>
        </is>
      </c>
      <c r="U1033" t="inlineStr">
        <is>
          <t>UNLIKELY</t>
        </is>
      </c>
      <c r="V1033" t="inlineStr">
        <is>
          <t>CHECK_VENDOR</t>
        </is>
      </c>
      <c r="W1033" t="inlineStr">
        <is>
          <t>https://nvd.nist.gov/vuln/detail/CVE-2026-26093</t>
        </is>
      </c>
      <c r="X1033" t="inlineStr">
        <is>
          <t>NONE</t>
        </is>
      </c>
      <c r="Y1033" t="n">
        <v>0</v>
      </c>
      <c r="Z1033" t="inlineStr"/>
      <c r="AA1033" t="inlineStr">
        <is>
          <t>https://nvd.nist.gov/vuln/detail/CVE-2026-26093</t>
        </is>
      </c>
    </row>
    <row r="1034">
      <c r="A1034" t="inlineStr">
        <is>
          <t>CVE</t>
        </is>
      </c>
      <c r="B1034" t="inlineStr">
        <is>
          <t>CVE-2026-26095</t>
        </is>
      </c>
      <c r="C1034" t="inlineStr">
        <is>
          <t>Incorrect Permission Assignment for Critical Resource in Owl opds 2.2.0.4 allows File Manipulation via a crafted network request.</t>
        </is>
      </c>
      <c r="D1034" t="n">
        <v>8.5</v>
      </c>
      <c r="E1034" t="inlineStr">
        <is>
          <t>HIGH</t>
        </is>
      </c>
      <c r="F1034" t="n">
        <v>2</v>
      </c>
      <c r="G1034" t="n">
        <v>3</v>
      </c>
      <c r="H1034" t="inlineStr">
        <is>
          <t>HIGH</t>
        </is>
      </c>
      <c r="I1034" t="n">
        <v>14.5</v>
      </c>
      <c r="J1034" t="inlineStr">
        <is>
          <t>NO</t>
        </is>
      </c>
      <c r="K1034" t="inlineStr">
        <is>
          <t>2026-02-23 23:48</t>
        </is>
      </c>
      <c r="L1034" t="inlineStr">
        <is>
          <t>CHECK_VENDOR</t>
        </is>
      </c>
      <c r="M1034" t="inlineStr">
        <is>
          <t>See CVE details</t>
        </is>
      </c>
      <c r="N1034" t="inlineStr">
        <is>
          <t>P3</t>
        </is>
      </c>
      <c r="O1034" t="inlineStr">
        <is>
          <t>CVE - IP enrichment n/a</t>
        </is>
      </c>
      <c r="P1034" t="n">
        <v>0</v>
      </c>
      <c r="Q1034" t="n">
        <v>0</v>
      </c>
      <c r="R1034" t="inlineStr">
        <is>
          <t>T1190:Exploit Public-Facing Application</t>
        </is>
      </c>
      <c r="S1034" t="n">
        <v>1</v>
      </c>
      <c r="T1034" t="inlineStr">
        <is>
          <t>LOW (40%)</t>
        </is>
      </c>
      <c r="U1034" t="inlineStr">
        <is>
          <t>UNLIKELY</t>
        </is>
      </c>
      <c r="V1034" t="inlineStr">
        <is>
          <t>CHECK_VENDOR</t>
        </is>
      </c>
      <c r="W1034" t="inlineStr">
        <is>
          <t>https://nvd.nist.gov/vuln/detail/CVE-2026-26095</t>
        </is>
      </c>
      <c r="X1034" t="inlineStr">
        <is>
          <t>NONE</t>
        </is>
      </c>
      <c r="Y1034" t="n">
        <v>0</v>
      </c>
      <c r="Z1034" t="inlineStr"/>
      <c r="AA1034" t="inlineStr">
        <is>
          <t>https://nvd.nist.gov/vuln/detail/CVE-2026-26095</t>
        </is>
      </c>
    </row>
    <row r="1035">
      <c r="A1035" t="inlineStr">
        <is>
          <t>CVE</t>
        </is>
      </c>
      <c r="B1035" t="inlineStr">
        <is>
          <t>CVE-2026-26096</t>
        </is>
      </c>
      <c r="C1035" t="inlineStr">
        <is>
          <t>Incorrect Permission Assignment for Critical Resource in Owl opds 2.2.0.4 allows File Manipulation via a crafted network request.</t>
        </is>
      </c>
      <c r="D1035" t="n">
        <v>8.5</v>
      </c>
      <c r="E1035" t="inlineStr">
        <is>
          <t>HIGH</t>
        </is>
      </c>
      <c r="F1035" t="n">
        <v>2</v>
      </c>
      <c r="G1035" t="n">
        <v>3</v>
      </c>
      <c r="H1035" t="inlineStr">
        <is>
          <t>HIGH</t>
        </is>
      </c>
      <c r="I1035" t="n">
        <v>14.5</v>
      </c>
      <c r="J1035" t="inlineStr">
        <is>
          <t>NO</t>
        </is>
      </c>
      <c r="K1035" t="inlineStr">
        <is>
          <t>2026-02-23 23:48</t>
        </is>
      </c>
      <c r="L1035" t="inlineStr">
        <is>
          <t>CHECK_VENDOR</t>
        </is>
      </c>
      <c r="M1035" t="inlineStr">
        <is>
          <t>See CVE details</t>
        </is>
      </c>
      <c r="N1035" t="inlineStr">
        <is>
          <t>P3</t>
        </is>
      </c>
      <c r="O1035" t="inlineStr">
        <is>
          <t>CVE - IP enrichment n/a</t>
        </is>
      </c>
      <c r="P1035" t="n">
        <v>0</v>
      </c>
      <c r="Q1035" t="n">
        <v>0</v>
      </c>
      <c r="R1035" t="inlineStr">
        <is>
          <t>T1190:Exploit Public-Facing Application</t>
        </is>
      </c>
      <c r="S1035" t="n">
        <v>1</v>
      </c>
      <c r="T1035" t="inlineStr">
        <is>
          <t>LOW (40%)</t>
        </is>
      </c>
      <c r="U1035" t="inlineStr">
        <is>
          <t>UNLIKELY</t>
        </is>
      </c>
      <c r="V1035" t="inlineStr">
        <is>
          <t>CHECK_VENDOR</t>
        </is>
      </c>
      <c r="W1035" t="inlineStr">
        <is>
          <t>https://nvd.nist.gov/vuln/detail/CVE-2026-26096</t>
        </is>
      </c>
      <c r="X1035" t="inlineStr">
        <is>
          <t>NONE</t>
        </is>
      </c>
      <c r="Y1035" t="n">
        <v>0</v>
      </c>
      <c r="Z1035" t="inlineStr"/>
      <c r="AA1035" t="inlineStr">
        <is>
          <t>https://nvd.nist.gov/vuln/detail/CVE-2026-26096</t>
        </is>
      </c>
    </row>
    <row r="1036">
      <c r="A1036" t="inlineStr">
        <is>
          <t>CVE</t>
        </is>
      </c>
      <c r="B1036" t="inlineStr">
        <is>
          <t>CVE-2026-26097</t>
        </is>
      </c>
      <c r="C1036" t="inlineStr">
        <is>
          <t>Uncontrolled Search Path Element in Owl opds 2.2.0.4 allows Leveraging/Manipulating Configuration File Search Paths via a crafted network request.</t>
        </is>
      </c>
      <c r="D1036" t="n">
        <v>5</v>
      </c>
      <c r="E1036" t="inlineStr">
        <is>
          <t>MEDIUM</t>
        </is>
      </c>
      <c r="F1036" t="n">
        <v>2</v>
      </c>
      <c r="G1036" t="n">
        <v>2</v>
      </c>
      <c r="H1036" t="inlineStr">
        <is>
          <t>MEDIUM</t>
        </is>
      </c>
      <c r="I1036" t="n">
        <v>9</v>
      </c>
      <c r="J1036" t="inlineStr">
        <is>
          <t>NO</t>
        </is>
      </c>
      <c r="K1036" t="inlineStr">
        <is>
          <t>2026-02-23 23:48</t>
        </is>
      </c>
      <c r="L1036" t="inlineStr">
        <is>
          <t>CHECK_VENDOR</t>
        </is>
      </c>
      <c r="M1036" t="inlineStr">
        <is>
          <t>See CVE details</t>
        </is>
      </c>
      <c r="N1036" t="inlineStr">
        <is>
          <t>P4</t>
        </is>
      </c>
      <c r="O1036" t="inlineStr">
        <is>
          <t>CVE - IP enrichment n/a</t>
        </is>
      </c>
      <c r="P1036" t="n">
        <v>0</v>
      </c>
      <c r="Q1036" t="n">
        <v>0</v>
      </c>
      <c r="R1036" t="inlineStr">
        <is>
          <t>T1190:Exploit Public-Facing Application</t>
        </is>
      </c>
      <c r="S1036" t="n">
        <v>1</v>
      </c>
      <c r="T1036" t="inlineStr">
        <is>
          <t>LOW (40%)</t>
        </is>
      </c>
      <c r="U1036" t="inlineStr">
        <is>
          <t>UNLIKELY</t>
        </is>
      </c>
      <c r="V1036" t="inlineStr">
        <is>
          <t>CHECK_VENDOR</t>
        </is>
      </c>
      <c r="W1036" t="inlineStr">
        <is>
          <t>https://nvd.nist.gov/vuln/detail/CVE-2026-26097</t>
        </is>
      </c>
      <c r="X1036" t="inlineStr">
        <is>
          <t>NONE</t>
        </is>
      </c>
      <c r="Y1036" t="n">
        <v>0</v>
      </c>
      <c r="Z1036" t="inlineStr"/>
      <c r="AA1036" t="inlineStr">
        <is>
          <t>https://nvd.nist.gov/vuln/detail/CVE-2026-26097</t>
        </is>
      </c>
    </row>
    <row r="1037">
      <c r="A1037" t="inlineStr">
        <is>
          <t>CVE</t>
        </is>
      </c>
      <c r="B1037" t="inlineStr">
        <is>
          <t>CVE-2026-26098</t>
        </is>
      </c>
      <c r="C1037" t="inlineStr">
        <is>
          <t>Uncontrolled Search Path Element in Owl opds 2.2.0.4 allows Leveraging/Manipulating Configuration File Search Paths via a crafted network request.</t>
        </is>
      </c>
      <c r="D1037" t="n">
        <v>5</v>
      </c>
      <c r="E1037" t="inlineStr">
        <is>
          <t>MEDIUM</t>
        </is>
      </c>
      <c r="F1037" t="n">
        <v>2</v>
      </c>
      <c r="G1037" t="n">
        <v>2</v>
      </c>
      <c r="H1037" t="inlineStr">
        <is>
          <t>MEDIUM</t>
        </is>
      </c>
      <c r="I1037" t="n">
        <v>9</v>
      </c>
      <c r="J1037" t="inlineStr">
        <is>
          <t>NO</t>
        </is>
      </c>
      <c r="K1037" t="inlineStr">
        <is>
          <t>2026-02-23 23:48</t>
        </is>
      </c>
      <c r="L1037" t="inlineStr">
        <is>
          <t>CHECK_VENDOR</t>
        </is>
      </c>
      <c r="M1037" t="inlineStr">
        <is>
          <t>See CVE details</t>
        </is>
      </c>
      <c r="N1037" t="inlineStr">
        <is>
          <t>P4</t>
        </is>
      </c>
      <c r="O1037" t="inlineStr">
        <is>
          <t>CVE - IP enrichment n/a</t>
        </is>
      </c>
      <c r="P1037" t="n">
        <v>0</v>
      </c>
      <c r="Q1037" t="n">
        <v>0</v>
      </c>
      <c r="R1037" t="inlineStr">
        <is>
          <t>T1190:Exploit Public-Facing Application</t>
        </is>
      </c>
      <c r="S1037" t="n">
        <v>1</v>
      </c>
      <c r="T1037" t="inlineStr">
        <is>
          <t>LOW (40%)</t>
        </is>
      </c>
      <c r="U1037" t="inlineStr">
        <is>
          <t>UNLIKELY</t>
        </is>
      </c>
      <c r="V1037" t="inlineStr">
        <is>
          <t>CHECK_VENDOR</t>
        </is>
      </c>
      <c r="W1037" t="inlineStr">
        <is>
          <t>https://nvd.nist.gov/vuln/detail/CVE-2026-26098</t>
        </is>
      </c>
      <c r="X1037" t="inlineStr">
        <is>
          <t>NONE</t>
        </is>
      </c>
      <c r="Y1037" t="n">
        <v>0</v>
      </c>
      <c r="Z1037" t="inlineStr"/>
      <c r="AA1037" t="inlineStr">
        <is>
          <t>https://nvd.nist.gov/vuln/detail/CVE-2026-26098</t>
        </is>
      </c>
    </row>
    <row r="1038">
      <c r="A1038" t="inlineStr">
        <is>
          <t>CVE</t>
        </is>
      </c>
      <c r="B1038" t="inlineStr">
        <is>
          <t>CVE-2026-26099</t>
        </is>
      </c>
      <c r="C1038" t="inlineStr">
        <is>
          <t>Uncontrolled Search Path Element in Owl opds 2.2.0.4 allows Leveraging/Manipulating Configuration File Search Paths via a crafted network request.</t>
        </is>
      </c>
      <c r="D1038" t="n">
        <v>5</v>
      </c>
      <c r="E1038" t="inlineStr">
        <is>
          <t>MEDIUM</t>
        </is>
      </c>
      <c r="F1038" t="n">
        <v>2</v>
      </c>
      <c r="G1038" t="n">
        <v>2</v>
      </c>
      <c r="H1038" t="inlineStr">
        <is>
          <t>MEDIUM</t>
        </is>
      </c>
      <c r="I1038" t="n">
        <v>9</v>
      </c>
      <c r="J1038" t="inlineStr">
        <is>
          <t>NO</t>
        </is>
      </c>
      <c r="K1038" t="inlineStr">
        <is>
          <t>2026-02-23 23:48</t>
        </is>
      </c>
      <c r="L1038" t="inlineStr">
        <is>
          <t>CHECK_VENDOR</t>
        </is>
      </c>
      <c r="M1038" t="inlineStr">
        <is>
          <t>See CVE details</t>
        </is>
      </c>
      <c r="N1038" t="inlineStr">
        <is>
          <t>P4</t>
        </is>
      </c>
      <c r="O1038" t="inlineStr">
        <is>
          <t>CVE - IP enrichment n/a</t>
        </is>
      </c>
      <c r="P1038" t="n">
        <v>0</v>
      </c>
      <c r="Q1038" t="n">
        <v>0</v>
      </c>
      <c r="R1038" t="inlineStr">
        <is>
          <t>T1190:Exploit Public-Facing Application</t>
        </is>
      </c>
      <c r="S1038" t="n">
        <v>1</v>
      </c>
      <c r="T1038" t="inlineStr">
        <is>
          <t>LOW (40%)</t>
        </is>
      </c>
      <c r="U1038" t="inlineStr">
        <is>
          <t>UNLIKELY</t>
        </is>
      </c>
      <c r="V1038" t="inlineStr">
        <is>
          <t>CHECK_VENDOR</t>
        </is>
      </c>
      <c r="W1038" t="inlineStr">
        <is>
          <t>https://nvd.nist.gov/vuln/detail/CVE-2026-26099</t>
        </is>
      </c>
      <c r="X1038" t="inlineStr">
        <is>
          <t>NONE</t>
        </is>
      </c>
      <c r="Y1038" t="n">
        <v>0</v>
      </c>
      <c r="Z1038" t="inlineStr"/>
      <c r="AA1038" t="inlineStr">
        <is>
          <t>https://nvd.nist.gov/vuln/detail/CVE-2026-26099</t>
        </is>
      </c>
    </row>
    <row r="1039">
      <c r="A1039" t="inlineStr">
        <is>
          <t>CVE</t>
        </is>
      </c>
      <c r="B1039" t="inlineStr">
        <is>
          <t>CVE-2026-26100</t>
        </is>
      </c>
      <c r="C1039" t="inlineStr">
        <is>
          <t>Incorrect Permission Assignment for Critical Resource in Owl opds 2.2.0.4 allows File Manipulation via a crafted network request.</t>
        </is>
      </c>
      <c r="D1039" t="n">
        <v>8.5</v>
      </c>
      <c r="E1039" t="inlineStr">
        <is>
          <t>HIGH</t>
        </is>
      </c>
      <c r="F1039" t="n">
        <v>2</v>
      </c>
      <c r="G1039" t="n">
        <v>3</v>
      </c>
      <c r="H1039" t="inlineStr">
        <is>
          <t>HIGH</t>
        </is>
      </c>
      <c r="I1039" t="n">
        <v>14.5</v>
      </c>
      <c r="J1039" t="inlineStr">
        <is>
          <t>NO</t>
        </is>
      </c>
      <c r="K1039" t="inlineStr">
        <is>
          <t>2026-02-23 23:48</t>
        </is>
      </c>
      <c r="L1039" t="inlineStr">
        <is>
          <t>CHECK_VENDOR</t>
        </is>
      </c>
      <c r="M1039" t="inlineStr">
        <is>
          <t>See CVE details</t>
        </is>
      </c>
      <c r="N1039" t="inlineStr">
        <is>
          <t>P3</t>
        </is>
      </c>
      <c r="O1039" t="inlineStr">
        <is>
          <t>CVE - IP enrichment n/a</t>
        </is>
      </c>
      <c r="P1039" t="n">
        <v>0</v>
      </c>
      <c r="Q1039" t="n">
        <v>0</v>
      </c>
      <c r="R1039" t="inlineStr">
        <is>
          <t>T1190:Exploit Public-Facing Application</t>
        </is>
      </c>
      <c r="S1039" t="n">
        <v>1</v>
      </c>
      <c r="T1039" t="inlineStr">
        <is>
          <t>LOW (40%)</t>
        </is>
      </c>
      <c r="U1039" t="inlineStr">
        <is>
          <t>UNLIKELY</t>
        </is>
      </c>
      <c r="V1039" t="inlineStr">
        <is>
          <t>CHECK_VENDOR</t>
        </is>
      </c>
      <c r="W1039" t="inlineStr">
        <is>
          <t>https://nvd.nist.gov/vuln/detail/CVE-2026-26100</t>
        </is>
      </c>
      <c r="X1039" t="inlineStr">
        <is>
          <t>NONE</t>
        </is>
      </c>
      <c r="Y1039" t="n">
        <v>0</v>
      </c>
      <c r="Z1039" t="inlineStr"/>
      <c r="AA1039" t="inlineStr">
        <is>
          <t>https://nvd.nist.gov/vuln/detail/CVE-2026-26100</t>
        </is>
      </c>
    </row>
    <row r="1040">
      <c r="A1040" t="inlineStr">
        <is>
          <t>CVE</t>
        </is>
      </c>
      <c r="B1040" t="inlineStr">
        <is>
          <t>CVE-2026-26101</t>
        </is>
      </c>
      <c r="C1040" t="inlineStr">
        <is>
          <t>Incorrect Permission Assignment for Critical Resource in Owl opds 2.2.0.4 allows File Manipulation via a crafted network request.</t>
        </is>
      </c>
      <c r="D1040" t="n">
        <v>8.5</v>
      </c>
      <c r="E1040" t="inlineStr">
        <is>
          <t>HIGH</t>
        </is>
      </c>
      <c r="F1040" t="n">
        <v>2</v>
      </c>
      <c r="G1040" t="n">
        <v>3</v>
      </c>
      <c r="H1040" t="inlineStr">
        <is>
          <t>HIGH</t>
        </is>
      </c>
      <c r="I1040" t="n">
        <v>14.5</v>
      </c>
      <c r="J1040" t="inlineStr">
        <is>
          <t>NO</t>
        </is>
      </c>
      <c r="K1040" t="inlineStr">
        <is>
          <t>2026-02-23 23:48</t>
        </is>
      </c>
      <c r="L1040" t="inlineStr">
        <is>
          <t>CHECK_VENDOR</t>
        </is>
      </c>
      <c r="M1040" t="inlineStr">
        <is>
          <t>See CVE details</t>
        </is>
      </c>
      <c r="N1040" t="inlineStr">
        <is>
          <t>P3</t>
        </is>
      </c>
      <c r="O1040" t="inlineStr">
        <is>
          <t>CVE - IP enrichment n/a</t>
        </is>
      </c>
      <c r="P1040" t="n">
        <v>0</v>
      </c>
      <c r="Q1040" t="n">
        <v>0</v>
      </c>
      <c r="R1040" t="inlineStr">
        <is>
          <t>T1190:Exploit Public-Facing Application</t>
        </is>
      </c>
      <c r="S1040" t="n">
        <v>1</v>
      </c>
      <c r="T1040" t="inlineStr">
        <is>
          <t>LOW (40%)</t>
        </is>
      </c>
      <c r="U1040" t="inlineStr">
        <is>
          <t>UNLIKELY</t>
        </is>
      </c>
      <c r="V1040" t="inlineStr">
        <is>
          <t>CHECK_VENDOR</t>
        </is>
      </c>
      <c r="W1040" t="inlineStr">
        <is>
          <t>https://nvd.nist.gov/vuln/detail/CVE-2026-26101</t>
        </is>
      </c>
      <c r="X1040" t="inlineStr">
        <is>
          <t>NONE</t>
        </is>
      </c>
      <c r="Y1040" t="n">
        <v>0</v>
      </c>
      <c r="Z1040" t="inlineStr"/>
      <c r="AA1040" t="inlineStr">
        <is>
          <t>https://nvd.nist.gov/vuln/detail/CVE-2026-26101</t>
        </is>
      </c>
    </row>
    <row r="1041">
      <c r="A1041" t="inlineStr">
        <is>
          <t>CVE</t>
        </is>
      </c>
      <c r="B1041" t="inlineStr">
        <is>
          <t>CVE-2026-26102</t>
        </is>
      </c>
      <c r="C1041" t="inlineStr">
        <is>
          <t>Incorrect Permission Assignment for Critical Resource in Owl opds 2.2.0.4 allows File Manipulation via a crafted network request.</t>
        </is>
      </c>
      <c r="D1041" t="n">
        <v>8.5</v>
      </c>
      <c r="E1041" t="inlineStr">
        <is>
          <t>HIGH</t>
        </is>
      </c>
      <c r="F1041" t="n">
        <v>2</v>
      </c>
      <c r="G1041" t="n">
        <v>3</v>
      </c>
      <c r="H1041" t="inlineStr">
        <is>
          <t>HIGH</t>
        </is>
      </c>
      <c r="I1041" t="n">
        <v>14.5</v>
      </c>
      <c r="J1041" t="inlineStr">
        <is>
          <t>NO</t>
        </is>
      </c>
      <c r="K1041" t="inlineStr">
        <is>
          <t>2026-02-23 23:48</t>
        </is>
      </c>
      <c r="L1041" t="inlineStr">
        <is>
          <t>CHECK_VENDOR</t>
        </is>
      </c>
      <c r="M1041" t="inlineStr">
        <is>
          <t>See CVE details</t>
        </is>
      </c>
      <c r="N1041" t="inlineStr">
        <is>
          <t>P3</t>
        </is>
      </c>
      <c r="O1041" t="inlineStr">
        <is>
          <t>CVE - IP enrichment n/a</t>
        </is>
      </c>
      <c r="P1041" t="n">
        <v>0</v>
      </c>
      <c r="Q1041" t="n">
        <v>0</v>
      </c>
      <c r="R1041" t="inlineStr">
        <is>
          <t>T1190:Exploit Public-Facing Application</t>
        </is>
      </c>
      <c r="S1041" t="n">
        <v>1</v>
      </c>
      <c r="T1041" t="inlineStr">
        <is>
          <t>LOW (40%)</t>
        </is>
      </c>
      <c r="U1041" t="inlineStr">
        <is>
          <t>UNLIKELY</t>
        </is>
      </c>
      <c r="V1041" t="inlineStr">
        <is>
          <t>CHECK_VENDOR</t>
        </is>
      </c>
      <c r="W1041" t="inlineStr">
        <is>
          <t>https://nvd.nist.gov/vuln/detail/CVE-2026-26102</t>
        </is>
      </c>
      <c r="X1041" t="inlineStr">
        <is>
          <t>NONE</t>
        </is>
      </c>
      <c r="Y1041" t="n">
        <v>0</v>
      </c>
      <c r="Z1041" t="inlineStr"/>
      <c r="AA1041" t="inlineStr">
        <is>
          <t>https://nvd.nist.gov/vuln/detail/CVE-2026-26102</t>
        </is>
      </c>
    </row>
    <row r="1042">
      <c r="A1042" t="inlineStr">
        <is>
          <t>CVE</t>
        </is>
      </c>
      <c r="B1042" t="inlineStr">
        <is>
          <t>CVE-2026-26721</t>
        </is>
      </c>
      <c r="C1042" t="inlineStr">
        <is>
          <t>An issue in Key Systems Inc Global Facilities Management Software v.20230721a allows a remote attacker to obtain sensitive information via the sid query parameter.</t>
        </is>
      </c>
      <c r="D1042" t="n">
        <v>7.1</v>
      </c>
      <c r="E1042" t="inlineStr">
        <is>
          <t>HIGH</t>
        </is>
      </c>
      <c r="F1042" t="n">
        <v>2</v>
      </c>
      <c r="G1042" t="n">
        <v>3</v>
      </c>
      <c r="H1042" t="inlineStr">
        <is>
          <t>HIGH</t>
        </is>
      </c>
      <c r="I1042" t="n">
        <v>13.1</v>
      </c>
      <c r="J1042" t="inlineStr">
        <is>
          <t>NO</t>
        </is>
      </c>
      <c r="K1042" t="inlineStr">
        <is>
          <t>2026-02-23 23:48</t>
        </is>
      </c>
      <c r="L1042" t="inlineStr">
        <is>
          <t>CHECK_VENDOR</t>
        </is>
      </c>
      <c r="M1042" t="inlineStr">
        <is>
          <t>See CVE details</t>
        </is>
      </c>
      <c r="N1042" t="inlineStr">
        <is>
          <t>P3</t>
        </is>
      </c>
      <c r="O1042" t="inlineStr">
        <is>
          <t>CVE - IP enrichment n/a</t>
        </is>
      </c>
      <c r="P1042" t="n">
        <v>0</v>
      </c>
      <c r="Q1042" t="n">
        <v>0</v>
      </c>
      <c r="R1042" t="inlineStr">
        <is>
          <t>T1190:Exploit Public-Facing Application</t>
        </is>
      </c>
      <c r="S1042" t="n">
        <v>1</v>
      </c>
      <c r="T1042" t="inlineStr">
        <is>
          <t>LOW (40%)</t>
        </is>
      </c>
      <c r="U1042" t="inlineStr">
        <is>
          <t>UNLIKELY</t>
        </is>
      </c>
      <c r="V1042" t="inlineStr">
        <is>
          <t>CHECK_VENDOR</t>
        </is>
      </c>
      <c r="W1042" t="inlineStr">
        <is>
          <t>https://nvd.nist.gov/vuln/detail/CVE-2026-26721</t>
        </is>
      </c>
      <c r="X1042" t="inlineStr">
        <is>
          <t>NONE</t>
        </is>
      </c>
      <c r="Y1042" t="n">
        <v>0</v>
      </c>
      <c r="Z1042" t="inlineStr"/>
      <c r="AA1042" t="inlineStr">
        <is>
          <t>https://nvd.nist.gov/vuln/detail/CVE-2026-26721</t>
        </is>
      </c>
    </row>
    <row r="1043">
      <c r="A1043" t="inlineStr">
        <is>
          <t>CVE</t>
        </is>
      </c>
      <c r="B1043" t="inlineStr">
        <is>
          <t>CVE-2026-26722</t>
        </is>
      </c>
      <c r="C1043" t="inlineStr">
        <is>
          <t>An issue in Key Systems Inc Global Facilities Management Software v.20230721a allows a remote attacker to escalate privileges via PIN component of the login functionality.</t>
        </is>
      </c>
      <c r="D1043" t="n">
        <v>9.4</v>
      </c>
      <c r="E1043" t="inlineStr">
        <is>
          <t>CRITICAL</t>
        </is>
      </c>
      <c r="F1043" t="n">
        <v>2</v>
      </c>
      <c r="G1043" t="n">
        <v>3</v>
      </c>
      <c r="H1043" t="inlineStr">
        <is>
          <t>HIGH</t>
        </is>
      </c>
      <c r="I1043" t="n">
        <v>15.4</v>
      </c>
      <c r="J1043" t="inlineStr">
        <is>
          <t>NO</t>
        </is>
      </c>
      <c r="K1043" t="inlineStr">
        <is>
          <t>2026-02-23 23:48</t>
        </is>
      </c>
      <c r="L1043" t="inlineStr">
        <is>
          <t>CHECK_VENDOR</t>
        </is>
      </c>
      <c r="M1043" t="inlineStr">
        <is>
          <t>See CVE details</t>
        </is>
      </c>
      <c r="N1043" t="inlineStr">
        <is>
          <t>P3</t>
        </is>
      </c>
      <c r="O1043" t="inlineStr">
        <is>
          <t>CVE - IP enrichment n/a</t>
        </is>
      </c>
      <c r="P1043" t="n">
        <v>0</v>
      </c>
      <c r="Q1043" t="n">
        <v>0</v>
      </c>
      <c r="R1043" t="inlineStr">
        <is>
          <t>T1190:Exploit Public-Facing Application</t>
        </is>
      </c>
      <c r="S1043" t="n">
        <v>1</v>
      </c>
      <c r="T1043" t="inlineStr">
        <is>
          <t>LOW (40%)</t>
        </is>
      </c>
      <c r="U1043" t="inlineStr">
        <is>
          <t>UNLIKELY</t>
        </is>
      </c>
      <c r="V1043" t="inlineStr">
        <is>
          <t>CHECK_VENDOR</t>
        </is>
      </c>
      <c r="W1043" t="inlineStr">
        <is>
          <t>https://nvd.nist.gov/vuln/detail/CVE-2026-26722</t>
        </is>
      </c>
      <c r="X1043" t="inlineStr">
        <is>
          <t>NONE</t>
        </is>
      </c>
      <c r="Y1043" t="n">
        <v>0</v>
      </c>
      <c r="Z1043" t="inlineStr"/>
      <c r="AA1043" t="inlineStr">
        <is>
          <t>https://nvd.nist.gov/vuln/detail/CVE-2026-26722</t>
        </is>
      </c>
    </row>
    <row r="1044">
      <c r="A1044" t="inlineStr">
        <is>
          <t>CVE</t>
        </is>
      </c>
      <c r="B1044" t="inlineStr">
        <is>
          <t>CVE-2026-26723</t>
        </is>
      </c>
      <c r="C1044" t="inlineStr">
        <is>
          <t>Cross Site Scripting vulnerability in Key Systems Inc Global Facilities Management Software v. 20230721a allows a remote attacker to execute arbitrary code via the function parameter.</t>
        </is>
      </c>
      <c r="D1044" t="n">
        <v>8.199999999999999</v>
      </c>
      <c r="E1044" t="inlineStr">
        <is>
          <t>HIGH</t>
        </is>
      </c>
      <c r="F1044" t="n">
        <v>2</v>
      </c>
      <c r="G1044" t="n">
        <v>3</v>
      </c>
      <c r="H1044" t="inlineStr">
        <is>
          <t>HIGH</t>
        </is>
      </c>
      <c r="I1044" t="n">
        <v>14.2</v>
      </c>
      <c r="J1044" t="inlineStr">
        <is>
          <t>NO</t>
        </is>
      </c>
      <c r="K1044" t="inlineStr">
        <is>
          <t>2026-02-23 23:48</t>
        </is>
      </c>
      <c r="L1044" t="inlineStr">
        <is>
          <t>CHECK_VENDOR</t>
        </is>
      </c>
      <c r="M1044" t="inlineStr">
        <is>
          <t>See CVE details</t>
        </is>
      </c>
      <c r="N1044" t="inlineStr">
        <is>
          <t>P3</t>
        </is>
      </c>
      <c r="O1044" t="inlineStr">
        <is>
          <t>CVE - IP enrichment n/a</t>
        </is>
      </c>
      <c r="P1044" t="n">
        <v>0</v>
      </c>
      <c r="Q1044" t="n">
        <v>0</v>
      </c>
      <c r="R1044" t="inlineStr">
        <is>
          <t>T1189:Drive-by Compromise | T1203:Exploitation for Client Execution</t>
        </is>
      </c>
      <c r="S1044" t="n">
        <v>1</v>
      </c>
      <c r="T1044" t="inlineStr">
        <is>
          <t>LOW (40%)</t>
        </is>
      </c>
      <c r="U1044" t="inlineStr">
        <is>
          <t>UNLIKELY</t>
        </is>
      </c>
      <c r="V1044" t="inlineStr">
        <is>
          <t>CHECK_VENDOR</t>
        </is>
      </c>
      <c r="W1044" t="inlineStr">
        <is>
          <t>https://nvd.nist.gov/vuln/detail/CVE-2026-26723</t>
        </is>
      </c>
      <c r="X1044" t="inlineStr">
        <is>
          <t>NONE</t>
        </is>
      </c>
      <c r="Y1044" t="n">
        <v>0</v>
      </c>
      <c r="Z1044" t="inlineStr"/>
      <c r="AA1044" t="inlineStr">
        <is>
          <t>https://nvd.nist.gov/vuln/detail/CVE-2026-26723</t>
        </is>
      </c>
    </row>
    <row r="1045">
      <c r="A1045" t="inlineStr">
        <is>
          <t>CVE</t>
        </is>
      </c>
      <c r="B1045" t="inlineStr">
        <is>
          <t>CVE-2026-26724</t>
        </is>
      </c>
      <c r="C1045" t="inlineStr">
        <is>
          <t>Cross Site Scripting vulnerability in Key Systems Inc Global Facilities Management Software v. 20230721a allows a remote attacker to execute arbitrary code via the selectgroup and gn parameters on the /?Function=Groups endpoint.</t>
        </is>
      </c>
      <c r="D1045" t="n">
        <v>7.6</v>
      </c>
      <c r="E1045" t="inlineStr">
        <is>
          <t>HIGH</t>
        </is>
      </c>
      <c r="F1045" t="n">
        <v>2</v>
      </c>
      <c r="G1045" t="n">
        <v>3</v>
      </c>
      <c r="H1045" t="inlineStr">
        <is>
          <t>HIGH</t>
        </is>
      </c>
      <c r="I1045" t="n">
        <v>13.6</v>
      </c>
      <c r="J1045" t="inlineStr">
        <is>
          <t>NO</t>
        </is>
      </c>
      <c r="K1045" t="inlineStr">
        <is>
          <t>2026-02-23 23:48</t>
        </is>
      </c>
      <c r="L1045" t="inlineStr">
        <is>
          <t>CHECK_VENDOR</t>
        </is>
      </c>
      <c r="M1045" t="inlineStr">
        <is>
          <t>See CVE details</t>
        </is>
      </c>
      <c r="N1045" t="inlineStr">
        <is>
          <t>P3</t>
        </is>
      </c>
      <c r="O1045" t="inlineStr">
        <is>
          <t>CVE - IP enrichment n/a</t>
        </is>
      </c>
      <c r="P1045" t="n">
        <v>0.0005999999999999999</v>
      </c>
      <c r="Q1045" t="n">
        <v>0.1801</v>
      </c>
      <c r="R1045" t="inlineStr">
        <is>
          <t>T1203:Exploitation for Client Execution</t>
        </is>
      </c>
      <c r="S1045" t="n">
        <v>1</v>
      </c>
      <c r="T1045" t="inlineStr">
        <is>
          <t>LOW (40%)</t>
        </is>
      </c>
      <c r="U1045" t="inlineStr">
        <is>
          <t>UNLIKELY</t>
        </is>
      </c>
      <c r="V1045" t="inlineStr">
        <is>
          <t>CHECK_VENDOR</t>
        </is>
      </c>
      <c r="W1045" t="inlineStr">
        <is>
          <t>https://nvd.nist.gov/vuln/detail/CVE-2026-26724</t>
        </is>
      </c>
      <c r="X1045" t="inlineStr">
        <is>
          <t>NONE</t>
        </is>
      </c>
      <c r="Y1045" t="n">
        <v>0</v>
      </c>
      <c r="Z1045" t="inlineStr"/>
      <c r="AA1045" t="inlineStr">
        <is>
          <t>https://nvd.nist.gov/vuln/detail/CVE-2026-26724</t>
        </is>
      </c>
    </row>
    <row r="1046">
      <c r="A1046" t="inlineStr">
        <is>
          <t>CVE</t>
        </is>
      </c>
      <c r="B1046" t="inlineStr">
        <is>
          <t>CVE-2026-26725</t>
        </is>
      </c>
      <c r="C1046" t="inlineStr">
        <is>
          <t>An issue in edu Business Solutions Print Shop Pro WebDesk v.18.34 allows a remote attacker to escalate privileges via the AccessID parameter.</t>
        </is>
      </c>
      <c r="D1046" t="n">
        <v>9.800000000000001</v>
      </c>
      <c r="E1046" t="inlineStr">
        <is>
          <t>CRITICAL</t>
        </is>
      </c>
      <c r="F1046" t="n">
        <v>2</v>
      </c>
      <c r="G1046" t="n">
        <v>3</v>
      </c>
      <c r="H1046" t="inlineStr">
        <is>
          <t>HIGH</t>
        </is>
      </c>
      <c r="I1046" t="n">
        <v>15.8</v>
      </c>
      <c r="J1046" t="inlineStr">
        <is>
          <t>NO</t>
        </is>
      </c>
      <c r="K1046" t="inlineStr">
        <is>
          <t>2026-02-23 23:48</t>
        </is>
      </c>
      <c r="L1046" t="inlineStr">
        <is>
          <t>CHECK_VENDOR</t>
        </is>
      </c>
      <c r="M1046" t="inlineStr">
        <is>
          <t>See CVE details</t>
        </is>
      </c>
      <c r="N1046" t="inlineStr">
        <is>
          <t>P3</t>
        </is>
      </c>
      <c r="O1046" t="inlineStr">
        <is>
          <t>CVE - IP enrichment n/a</t>
        </is>
      </c>
      <c r="P1046" t="n">
        <v>0.0005</v>
      </c>
      <c r="Q1046" t="n">
        <v>0.1531</v>
      </c>
      <c r="R1046" t="inlineStr">
        <is>
          <t>T1190:Exploit Public-Facing Application</t>
        </is>
      </c>
      <c r="S1046" t="n">
        <v>1</v>
      </c>
      <c r="T1046" t="inlineStr">
        <is>
          <t>LOW (40%)</t>
        </is>
      </c>
      <c r="U1046" t="inlineStr">
        <is>
          <t>UNLIKELY</t>
        </is>
      </c>
      <c r="V1046" t="inlineStr">
        <is>
          <t>CHECK_VENDOR</t>
        </is>
      </c>
      <c r="W1046" t="inlineStr">
        <is>
          <t>https://nvd.nist.gov/vuln/detail/CVE-2026-26725</t>
        </is>
      </c>
      <c r="X1046" t="inlineStr">
        <is>
          <t>NONE</t>
        </is>
      </c>
      <c r="Y1046" t="n">
        <v>0</v>
      </c>
      <c r="Z1046" t="inlineStr"/>
      <c r="AA1046" t="inlineStr">
        <is>
          <t>https://nvd.nist.gov/vuln/detail/CVE-2026-26725</t>
        </is>
      </c>
    </row>
    <row r="1047">
      <c r="A1047" t="inlineStr">
        <is>
          <t>CVE</t>
        </is>
      </c>
      <c r="B1047" t="inlineStr">
        <is>
          <t>CVE-2026-26745</t>
        </is>
      </c>
      <c r="C1047" t="inlineStr">
        <is>
          <t>OpenSourcePOS 3.4.1 has a second order SQL Injection vulnerability in the handling of the currency_symbol configuration field. Although the input is initially stored without immediate execution, it is later concatenated into a dynamically constructed SQL query without proper sanitization or parameter binding. This allows an attacker with access to modify the currency_symbol value to inject arbitrary SQL expressions, which are executed when the affected query is subsequently processed.</t>
        </is>
      </c>
      <c r="D1047" t="n">
        <v>5.3</v>
      </c>
      <c r="E1047" t="inlineStr">
        <is>
          <t>MEDIUM</t>
        </is>
      </c>
      <c r="F1047" t="n">
        <v>2</v>
      </c>
      <c r="G1047" t="n">
        <v>2</v>
      </c>
      <c r="H1047" t="inlineStr">
        <is>
          <t>MEDIUM</t>
        </is>
      </c>
      <c r="I1047" t="n">
        <v>9.300000000000001</v>
      </c>
      <c r="J1047" t="inlineStr">
        <is>
          <t>NO</t>
        </is>
      </c>
      <c r="K1047" t="inlineStr">
        <is>
          <t>2026-02-23 23:48</t>
        </is>
      </c>
      <c r="L1047" t="inlineStr">
        <is>
          <t>CHECK_VENDOR</t>
        </is>
      </c>
      <c r="M1047" t="inlineStr">
        <is>
          <t>See CVE details</t>
        </is>
      </c>
      <c r="N1047" t="inlineStr">
        <is>
          <t>P4</t>
        </is>
      </c>
      <c r="O1047" t="inlineStr">
        <is>
          <t>CVE - IP enrichment n/a</t>
        </is>
      </c>
      <c r="P1047" t="n">
        <v>0</v>
      </c>
      <c r="Q1047" t="n">
        <v>0</v>
      </c>
      <c r="R1047" t="inlineStr">
        <is>
          <t>T1190:Exploit Public-Facing Application</t>
        </is>
      </c>
      <c r="S1047" t="n">
        <v>1</v>
      </c>
      <c r="T1047" t="inlineStr">
        <is>
          <t>LOW (40%)</t>
        </is>
      </c>
      <c r="U1047" t="inlineStr">
        <is>
          <t>UNLIKELY</t>
        </is>
      </c>
      <c r="V1047" t="inlineStr">
        <is>
          <t>CHECK_VENDOR</t>
        </is>
      </c>
      <c r="W1047" t="inlineStr">
        <is>
          <t>https://nvd.nist.gov/vuln/detail/CVE-2026-26745</t>
        </is>
      </c>
      <c r="X1047" t="inlineStr">
        <is>
          <t>NONE</t>
        </is>
      </c>
      <c r="Y1047" t="n">
        <v>0</v>
      </c>
      <c r="Z1047" t="inlineStr"/>
      <c r="AA1047" t="inlineStr">
        <is>
          <t>https://nvd.nist.gov/vuln/detail/CVE-2026-26745</t>
        </is>
      </c>
    </row>
    <row r="1048">
      <c r="A1048" t="inlineStr">
        <is>
          <t>CVE</t>
        </is>
      </c>
      <c r="B1048" t="inlineStr">
        <is>
          <t>CVE-2026-26746</t>
        </is>
      </c>
      <c r="C1048" t="inlineStr">
        <is>
          <t>OpenSourcePOS 3.4.1 contains a Local File Inclusion (LFI) vulnerability in the Sales.php::getInvoice() function. An attacker can read arbitrary files on the web server by manipulating the Invoice Type configuration. This issue can be chained with the file upload functionality to achieve Remote Code Execution (RCE).</t>
        </is>
      </c>
      <c r="D1048" t="n">
        <v>8.800000000000001</v>
      </c>
      <c r="E1048" t="inlineStr">
        <is>
          <t>HIGH</t>
        </is>
      </c>
      <c r="F1048" t="n">
        <v>2</v>
      </c>
      <c r="G1048" t="n">
        <v>3</v>
      </c>
      <c r="H1048" t="inlineStr">
        <is>
          <t>HIGH</t>
        </is>
      </c>
      <c r="I1048" t="n">
        <v>14.8</v>
      </c>
      <c r="J1048" t="inlineStr">
        <is>
          <t>NO</t>
        </is>
      </c>
      <c r="K1048" t="inlineStr">
        <is>
          <t>2026-02-23 23:48</t>
        </is>
      </c>
      <c r="L1048" t="inlineStr">
        <is>
          <t>CHECK_VENDOR</t>
        </is>
      </c>
      <c r="M1048" t="inlineStr">
        <is>
          <t>See CVE details</t>
        </is>
      </c>
      <c r="N1048" t="inlineStr">
        <is>
          <t>P3</t>
        </is>
      </c>
      <c r="O1048" t="inlineStr">
        <is>
          <t>CVE - IP enrichment n/a</t>
        </is>
      </c>
      <c r="P1048" t="n">
        <v>0.0005</v>
      </c>
      <c r="Q1048" t="n">
        <v>0.1589</v>
      </c>
      <c r="R1048" t="inlineStr">
        <is>
          <t>T1190:Exploit Public-Facing Application | T1210:Exploitation of Remote Services</t>
        </is>
      </c>
      <c r="S1048" t="n">
        <v>1</v>
      </c>
      <c r="T1048" t="inlineStr">
        <is>
          <t>LOW (40%)</t>
        </is>
      </c>
      <c r="U1048" t="inlineStr">
        <is>
          <t>UNLIKELY</t>
        </is>
      </c>
      <c r="V1048" t="inlineStr">
        <is>
          <t>CHECK_VENDOR</t>
        </is>
      </c>
      <c r="W1048" t="inlineStr">
        <is>
          <t>https://nvd.nist.gov/vuln/detail/CVE-2026-26746</t>
        </is>
      </c>
      <c r="X1048" t="inlineStr">
        <is>
          <t>NONE</t>
        </is>
      </c>
      <c r="Y1048" t="n">
        <v>0</v>
      </c>
      <c r="Z1048" t="inlineStr"/>
      <c r="AA1048" t="inlineStr">
        <is>
          <t>https://nvd.nist.gov/vuln/detail/CVE-2026-26746</t>
        </is>
      </c>
    </row>
    <row r="1049">
      <c r="A1049" t="inlineStr">
        <is>
          <t>CVE</t>
        </is>
      </c>
      <c r="B1049" t="inlineStr">
        <is>
          <t>CVE-2026-26747</t>
        </is>
      </c>
      <c r="C1049" t="inlineStr">
        <is>
          <t>A Host Header Poisoning vulnerability exists in Monica 4.1.2 due to improper handling of the HTTP Host header in app/Providers/AppServiceProvider.php, combined with the default misconfiguration where the "app.force_url" is not set and default is "false". The application generates absolute URLs (such as those used in password reset emails) using the user-supplied Host header. This allows remote attackers to poison the password reset link sent to a victim,</t>
        </is>
      </c>
      <c r="D1049" t="n">
        <v>9.1</v>
      </c>
      <c r="E1049" t="inlineStr">
        <is>
          <t>CRITICAL</t>
        </is>
      </c>
      <c r="F1049" t="n">
        <v>2</v>
      </c>
      <c r="G1049" t="n">
        <v>3</v>
      </c>
      <c r="H1049" t="inlineStr">
        <is>
          <t>HIGH</t>
        </is>
      </c>
      <c r="I1049" t="n">
        <v>15.1</v>
      </c>
      <c r="J1049" t="inlineStr">
        <is>
          <t>NO</t>
        </is>
      </c>
      <c r="K1049" t="inlineStr">
        <is>
          <t>2026-02-23 23:48</t>
        </is>
      </c>
      <c r="L1049" t="inlineStr">
        <is>
          <t>CHECK_VENDOR</t>
        </is>
      </c>
      <c r="M1049" t="inlineStr">
        <is>
          <t>See CVE details</t>
        </is>
      </c>
      <c r="N1049" t="inlineStr">
        <is>
          <t>P3</t>
        </is>
      </c>
      <c r="O1049" t="inlineStr">
        <is>
          <t>CVE - IP enrichment n/a</t>
        </is>
      </c>
      <c r="P1049" t="n">
        <v>0</v>
      </c>
      <c r="Q1049" t="n">
        <v>0</v>
      </c>
      <c r="R1049" t="inlineStr">
        <is>
          <t>T1190:Exploit Public-Facing Application</t>
        </is>
      </c>
      <c r="S1049" t="n">
        <v>1</v>
      </c>
      <c r="T1049" t="inlineStr">
        <is>
          <t>LOW (40%)</t>
        </is>
      </c>
      <c r="U1049" t="inlineStr">
        <is>
          <t>UNLIKELY</t>
        </is>
      </c>
      <c r="V1049" t="inlineStr">
        <is>
          <t>CHECK_VENDOR</t>
        </is>
      </c>
      <c r="W1049" t="inlineStr">
        <is>
          <t>https://nvd.nist.gov/vuln/detail/CVE-2026-26747</t>
        </is>
      </c>
      <c r="X1049" t="inlineStr">
        <is>
          <t>NONE</t>
        </is>
      </c>
      <c r="Y1049" t="n">
        <v>0</v>
      </c>
      <c r="Z1049" t="inlineStr"/>
      <c r="AA1049" t="inlineStr">
        <is>
          <t>https://nvd.nist.gov/vuln/detail/CVE-2026-26747</t>
        </is>
      </c>
    </row>
    <row r="1050">
      <c r="A1050" t="inlineStr">
        <is>
          <t>CVE</t>
        </is>
      </c>
      <c r="B1050" t="inlineStr">
        <is>
          <t>CVE-2026-27502</t>
        </is>
      </c>
      <c r="C1050" t="inlineStr">
        <is>
          <t>SVXportal version 2.5 and prior contain a reflected cross-site scripting vulnerability in log.php via the search query parameter. The application embeds the unsanitized parameter value directly into an HTML input value attribute, allowing an unauthenticated remote attacker to inject and execute arbitrary JavaScript in a victim's browser if the victim visits a crafted URL. This can be used to steal session data, perform actions as the victim, or modify displayed content.</t>
        </is>
      </c>
      <c r="D1050" t="n">
        <v>6.1</v>
      </c>
      <c r="E1050" t="inlineStr">
        <is>
          <t>MEDIUM</t>
        </is>
      </c>
      <c r="F1050" t="n">
        <v>2</v>
      </c>
      <c r="G1050" t="n">
        <v>2</v>
      </c>
      <c r="H1050" t="inlineStr">
        <is>
          <t>MEDIUM</t>
        </is>
      </c>
      <c r="I1050" t="n">
        <v>10.1</v>
      </c>
      <c r="J1050" t="inlineStr">
        <is>
          <t>NO</t>
        </is>
      </c>
      <c r="K1050" t="inlineStr">
        <is>
          <t>2026-02-23 23:48</t>
        </is>
      </c>
      <c r="L1050" t="inlineStr">
        <is>
          <t>CHECK_VENDOR</t>
        </is>
      </c>
      <c r="M1050" t="inlineStr">
        <is>
          <t>radioinorr svxportal *</t>
        </is>
      </c>
      <c r="N1050" t="inlineStr">
        <is>
          <t>P4</t>
        </is>
      </c>
      <c r="O1050" t="inlineStr">
        <is>
          <t>CVE - IP enrichment n/a</t>
        </is>
      </c>
      <c r="P1050" t="n">
        <v>0</v>
      </c>
      <c r="Q1050" t="n">
        <v>0</v>
      </c>
      <c r="R1050" t="inlineStr">
        <is>
          <t>T1189:Drive-by Compromise</t>
        </is>
      </c>
      <c r="S1050" t="n">
        <v>1</v>
      </c>
      <c r="T1050" t="inlineStr">
        <is>
          <t>LOW (40%)</t>
        </is>
      </c>
      <c r="U1050" t="inlineStr">
        <is>
          <t>UNLIKELY</t>
        </is>
      </c>
      <c r="V1050" t="inlineStr">
        <is>
          <t>CHECK_VENDOR</t>
        </is>
      </c>
      <c r="W1050" t="inlineStr">
        <is>
          <t>https://nvd.nist.gov/vuln/detail/CVE-2026-27502</t>
        </is>
      </c>
      <c r="X1050" t="inlineStr">
        <is>
          <t>NONE</t>
        </is>
      </c>
      <c r="Y1050" t="n">
        <v>0</v>
      </c>
      <c r="Z1050" t="inlineStr"/>
      <c r="AA1050" t="inlineStr">
        <is>
          <t>https://nvd.nist.gov/vuln/detail/CVE-2026-27502</t>
        </is>
      </c>
    </row>
    <row r="1051">
      <c r="A1051" t="inlineStr">
        <is>
          <t>CVE</t>
        </is>
      </c>
      <c r="B1051" t="inlineStr">
        <is>
          <t>CVE-2026-27503</t>
        </is>
      </c>
      <c r="C1051" t="inlineStr">
        <is>
          <t>SVXportal version 2.5 and prior contain a reflected cross-site scripting vulnerability in admin/log.php via the search query parameter. When an authenticated administrator views a crafted URL, the application embeds the unsanitized parameter value directly into an HTML input value attribute, allowing attacker-supplied JavaScript to execute in the administrator's browser. This can enable session theft, administrative action forgery, or other browser-based compromise in the context of an admin use</t>
        </is>
      </c>
      <c r="D1051" t="n">
        <v>6.1</v>
      </c>
      <c r="E1051" t="inlineStr">
        <is>
          <t>MEDIUM</t>
        </is>
      </c>
      <c r="F1051" t="n">
        <v>2</v>
      </c>
      <c r="G1051" t="n">
        <v>2</v>
      </c>
      <c r="H1051" t="inlineStr">
        <is>
          <t>MEDIUM</t>
        </is>
      </c>
      <c r="I1051" t="n">
        <v>10.1</v>
      </c>
      <c r="J1051" t="inlineStr">
        <is>
          <t>NO</t>
        </is>
      </c>
      <c r="K1051" t="inlineStr">
        <is>
          <t>2026-02-23 23:48</t>
        </is>
      </c>
      <c r="L1051" t="inlineStr">
        <is>
          <t>CHECK_VENDOR</t>
        </is>
      </c>
      <c r="M1051" t="inlineStr">
        <is>
          <t>radioinorr svxportal *</t>
        </is>
      </c>
      <c r="N1051" t="inlineStr">
        <is>
          <t>P4</t>
        </is>
      </c>
      <c r="O1051" t="inlineStr">
        <is>
          <t>CVE - IP enrichment n/a</t>
        </is>
      </c>
      <c r="P1051" t="n">
        <v>0</v>
      </c>
      <c r="Q1051" t="n">
        <v>0</v>
      </c>
      <c r="R1051" t="inlineStr">
        <is>
          <t>T1189:Drive-by Compromise</t>
        </is>
      </c>
      <c r="S1051" t="n">
        <v>1</v>
      </c>
      <c r="T1051" t="inlineStr">
        <is>
          <t>LOW (40%)</t>
        </is>
      </c>
      <c r="U1051" t="inlineStr">
        <is>
          <t>UNLIKELY</t>
        </is>
      </c>
      <c r="V1051" t="inlineStr">
        <is>
          <t>CHECK_VENDOR</t>
        </is>
      </c>
      <c r="W1051" t="inlineStr">
        <is>
          <t>https://nvd.nist.gov/vuln/detail/CVE-2026-27503</t>
        </is>
      </c>
      <c r="X1051" t="inlineStr">
        <is>
          <t>NONE</t>
        </is>
      </c>
      <c r="Y1051" t="n">
        <v>0</v>
      </c>
      <c r="Z1051" t="inlineStr"/>
      <c r="AA1051" t="inlineStr">
        <is>
          <t>https://nvd.nist.gov/vuln/detail/CVE-2026-27503</t>
        </is>
      </c>
    </row>
    <row r="1052">
      <c r="A1052" t="inlineStr">
        <is>
          <t>CVE</t>
        </is>
      </c>
      <c r="B1052" t="inlineStr">
        <is>
          <t>CVE-2026-27504</t>
        </is>
      </c>
      <c r="C1052" t="inlineStr">
        <is>
          <t>SVXportal version 2.5 and prior contain a reflected cross-site scripting vulnerability in radiomobile_front.php via the stationid query parameter. When an authenticated administrator views a crafted URL, the application embeds the unsanitized parameter value into a hidden input value field, allowing attacker-supplied script injection and execution in the administrator's browser. This can be used to compromise admin sessions or perform unauthorized actions via the administrator's authenticated co</t>
        </is>
      </c>
      <c r="D1052" t="n">
        <v>6.1</v>
      </c>
      <c r="E1052" t="inlineStr">
        <is>
          <t>MEDIUM</t>
        </is>
      </c>
      <c r="F1052" t="n">
        <v>2</v>
      </c>
      <c r="G1052" t="n">
        <v>2</v>
      </c>
      <c r="H1052" t="inlineStr">
        <is>
          <t>MEDIUM</t>
        </is>
      </c>
      <c r="I1052" t="n">
        <v>10.1</v>
      </c>
      <c r="J1052" t="inlineStr">
        <is>
          <t>NO</t>
        </is>
      </c>
      <c r="K1052" t="inlineStr">
        <is>
          <t>2026-02-23 23:48</t>
        </is>
      </c>
      <c r="L1052" t="inlineStr">
        <is>
          <t>CHECK_VENDOR</t>
        </is>
      </c>
      <c r="M1052" t="inlineStr">
        <is>
          <t>radioinorr svxportal *</t>
        </is>
      </c>
      <c r="N1052" t="inlineStr">
        <is>
          <t>P4</t>
        </is>
      </c>
      <c r="O1052" t="inlineStr">
        <is>
          <t>CVE - IP enrichment n/a</t>
        </is>
      </c>
      <c r="P1052" t="n">
        <v>0</v>
      </c>
      <c r="Q1052" t="n">
        <v>0</v>
      </c>
      <c r="R1052" t="inlineStr">
        <is>
          <t>T1189:Drive-by Compromise</t>
        </is>
      </c>
      <c r="S1052" t="n">
        <v>1</v>
      </c>
      <c r="T1052" t="inlineStr">
        <is>
          <t>LOW (40%)</t>
        </is>
      </c>
      <c r="U1052" t="inlineStr">
        <is>
          <t>UNLIKELY</t>
        </is>
      </c>
      <c r="V1052" t="inlineStr">
        <is>
          <t>CHECK_VENDOR</t>
        </is>
      </c>
      <c r="W1052" t="inlineStr">
        <is>
          <t>https://nvd.nist.gov/vuln/detail/CVE-2026-27504</t>
        </is>
      </c>
      <c r="X1052" t="inlineStr">
        <is>
          <t>NONE</t>
        </is>
      </c>
      <c r="Y1052" t="n">
        <v>0</v>
      </c>
      <c r="Z1052" t="inlineStr"/>
      <c r="AA1052" t="inlineStr">
        <is>
          <t>https://nvd.nist.gov/vuln/detail/CVE-2026-27504</t>
        </is>
      </c>
    </row>
    <row r="1053">
      <c r="A1053" t="inlineStr">
        <is>
          <t>CVE</t>
        </is>
      </c>
      <c r="B1053" t="inlineStr">
        <is>
          <t>CVE-2026-27505</t>
        </is>
      </c>
      <c r="C1053" t="inlineStr">
        <is>
          <t xml:space="preserve">SVXportal version 2.5 and prior contain a stored cross-site scripting vulnerability in the user registration workflow (index.php submitting to admin/user_action.php). User-supplied fields such as Firstname, lastname, and email are stored in the backend database without adequate output encoding and are later rendered in the administrator interface (admin/users.php), allowing an unauthenticated remote attacker to inject arbitrary JavaScript that executes in an administrator's browser upon viewing </t>
        </is>
      </c>
      <c r="D1053" t="n">
        <v>6.1</v>
      </c>
      <c r="E1053" t="inlineStr">
        <is>
          <t>MEDIUM</t>
        </is>
      </c>
      <c r="F1053" t="n">
        <v>2</v>
      </c>
      <c r="G1053" t="n">
        <v>2</v>
      </c>
      <c r="H1053" t="inlineStr">
        <is>
          <t>MEDIUM</t>
        </is>
      </c>
      <c r="I1053" t="n">
        <v>10.1</v>
      </c>
      <c r="J1053" t="inlineStr">
        <is>
          <t>NO</t>
        </is>
      </c>
      <c r="K1053" t="inlineStr">
        <is>
          <t>2026-02-23 23:48</t>
        </is>
      </c>
      <c r="L1053" t="inlineStr">
        <is>
          <t>CHECK_VENDOR</t>
        </is>
      </c>
      <c r="M1053" t="inlineStr">
        <is>
          <t>radioinorr svxportal *</t>
        </is>
      </c>
      <c r="N1053" t="inlineStr">
        <is>
          <t>P4</t>
        </is>
      </c>
      <c r="O1053" t="inlineStr">
        <is>
          <t>CVE - IP enrichment n/a</t>
        </is>
      </c>
      <c r="P1053" t="n">
        <v>0</v>
      </c>
      <c r="Q1053" t="n">
        <v>0</v>
      </c>
      <c r="R1053" t="inlineStr">
        <is>
          <t>T1189:Drive-by Compromise</t>
        </is>
      </c>
      <c r="S1053" t="n">
        <v>1</v>
      </c>
      <c r="T1053" t="inlineStr">
        <is>
          <t>LOW (40%)</t>
        </is>
      </c>
      <c r="U1053" t="inlineStr">
        <is>
          <t>UNLIKELY</t>
        </is>
      </c>
      <c r="V1053" t="inlineStr">
        <is>
          <t>CHECK_VENDOR</t>
        </is>
      </c>
      <c r="W1053" t="inlineStr">
        <is>
          <t>https://nvd.nist.gov/vuln/detail/CVE-2026-27505</t>
        </is>
      </c>
      <c r="X1053" t="inlineStr">
        <is>
          <t>NONE</t>
        </is>
      </c>
      <c r="Y1053" t="n">
        <v>0</v>
      </c>
      <c r="Z1053" t="inlineStr"/>
      <c r="AA1053" t="inlineStr">
        <is>
          <t>https://nvd.nist.gov/vuln/detail/CVE-2026-27505</t>
        </is>
      </c>
    </row>
    <row r="1054">
      <c r="A1054" t="inlineStr">
        <is>
          <t>CVE</t>
        </is>
      </c>
      <c r="B1054" t="inlineStr">
        <is>
          <t>CVE-2026-27506</t>
        </is>
      </c>
      <c r="C1054" t="inlineStr">
        <is>
          <t>SVXportal version 2.5 and prior contain a stored cross-site scripting vulnerability in the user profile update workflow (user_settings.php submitting to admin/update_user.php). Authenticated users can store malicious HTML/JavaScript in fields such as Firstname, lastname, email, and image_url, which are later rendered without adequate output encoding in the administrator interface (admin/users.php), resulting in JavaScript execution in an administrator's browser when the affected page is viewed.</t>
        </is>
      </c>
      <c r="D1054" t="n">
        <v>6.1</v>
      </c>
      <c r="E1054" t="inlineStr">
        <is>
          <t>MEDIUM</t>
        </is>
      </c>
      <c r="F1054" t="n">
        <v>2</v>
      </c>
      <c r="G1054" t="n">
        <v>2</v>
      </c>
      <c r="H1054" t="inlineStr">
        <is>
          <t>MEDIUM</t>
        </is>
      </c>
      <c r="I1054" t="n">
        <v>10.1</v>
      </c>
      <c r="J1054" t="inlineStr">
        <is>
          <t>NO</t>
        </is>
      </c>
      <c r="K1054" t="inlineStr">
        <is>
          <t>2026-02-23 23:48</t>
        </is>
      </c>
      <c r="L1054" t="inlineStr">
        <is>
          <t>CHECK_VENDOR</t>
        </is>
      </c>
      <c r="M1054" t="inlineStr">
        <is>
          <t>radioinorr svxportal *</t>
        </is>
      </c>
      <c r="N1054" t="inlineStr">
        <is>
          <t>P4</t>
        </is>
      </c>
      <c r="O1054" t="inlineStr">
        <is>
          <t>CVE - IP enrichment n/a</t>
        </is>
      </c>
      <c r="P1054" t="n">
        <v>0</v>
      </c>
      <c r="Q1054" t="n">
        <v>0</v>
      </c>
      <c r="R1054" t="inlineStr">
        <is>
          <t>T1189:Drive-by Compromise</t>
        </is>
      </c>
      <c r="S1054" t="n">
        <v>1</v>
      </c>
      <c r="T1054" t="inlineStr">
        <is>
          <t>LOW (40%)</t>
        </is>
      </c>
      <c r="U1054" t="inlineStr">
        <is>
          <t>UNLIKELY</t>
        </is>
      </c>
      <c r="V1054" t="inlineStr">
        <is>
          <t>CHECK_VENDOR</t>
        </is>
      </c>
      <c r="W1054" t="inlineStr">
        <is>
          <t>https://nvd.nist.gov/vuln/detail/CVE-2026-27506</t>
        </is>
      </c>
      <c r="X1054" t="inlineStr">
        <is>
          <t>NONE</t>
        </is>
      </c>
      <c r="Y1054" t="n">
        <v>0</v>
      </c>
      <c r="Z1054" t="inlineStr"/>
      <c r="AA1054" t="inlineStr">
        <is>
          <t>https://nvd.nist.gov/vuln/detail/CVE-2026-27506</t>
        </is>
      </c>
    </row>
    <row r="1055">
      <c r="A1055" t="inlineStr">
        <is>
          <t>CVE</t>
        </is>
      </c>
      <c r="B1055" t="inlineStr">
        <is>
          <t>CVE-2026-2333</t>
        </is>
      </c>
      <c r="C1055" t="inlineStr">
        <is>
          <t>Improper Neutralization of Special Elements used in a Command ('Command Injection') in Owl opds 2.2.0.4 allows Command Injection via a crafted network request.</t>
        </is>
      </c>
      <c r="D1055" t="n">
        <v>5</v>
      </c>
      <c r="E1055" t="inlineStr">
        <is>
          <t>MEDIUM</t>
        </is>
      </c>
      <c r="F1055" t="n">
        <v>2</v>
      </c>
      <c r="G1055" t="n">
        <v>2</v>
      </c>
      <c r="H1055" t="inlineStr">
        <is>
          <t>MEDIUM</t>
        </is>
      </c>
      <c r="I1055" t="n">
        <v>9</v>
      </c>
      <c r="J1055" t="inlineStr">
        <is>
          <t>NO</t>
        </is>
      </c>
      <c r="K1055" t="inlineStr">
        <is>
          <t>2026-02-23 23:48</t>
        </is>
      </c>
      <c r="L1055" t="inlineStr">
        <is>
          <t>CHECK_VENDOR</t>
        </is>
      </c>
      <c r="M1055" t="inlineStr">
        <is>
          <t>See CVE details</t>
        </is>
      </c>
      <c r="N1055" t="inlineStr">
        <is>
          <t>P4</t>
        </is>
      </c>
      <c r="O1055" t="inlineStr">
        <is>
          <t>CVE - IP enrichment n/a</t>
        </is>
      </c>
      <c r="P1055" t="n">
        <v>0</v>
      </c>
      <c r="Q1055" t="n">
        <v>0</v>
      </c>
      <c r="R1055" t="inlineStr">
        <is>
          <t>T1059:Command and Scripting Interpreter</t>
        </is>
      </c>
      <c r="S1055" t="n">
        <v>1</v>
      </c>
      <c r="T1055" t="inlineStr">
        <is>
          <t>LOW (40%)</t>
        </is>
      </c>
      <c r="U1055" t="inlineStr">
        <is>
          <t>UNLIKELY</t>
        </is>
      </c>
      <c r="V1055" t="inlineStr">
        <is>
          <t>CHECK_VENDOR</t>
        </is>
      </c>
      <c r="W1055" t="inlineStr">
        <is>
          <t>https://nvd.nist.gov/vuln/detail/CVE-2026-2333</t>
        </is>
      </c>
      <c r="X1055" t="inlineStr">
        <is>
          <t>NONE</t>
        </is>
      </c>
      <c r="Y1055" t="n">
        <v>0</v>
      </c>
      <c r="Z1055" t="inlineStr"/>
      <c r="AA1055" t="inlineStr">
        <is>
          <t>https://nvd.nist.gov/vuln/detail/CVE-2026-2333</t>
        </is>
      </c>
    </row>
    <row r="1056">
      <c r="A1056" t="inlineStr">
        <is>
          <t>CVE</t>
        </is>
      </c>
      <c r="B1056" t="inlineStr">
        <is>
          <t>CVE-2026-2818</t>
        </is>
      </c>
      <c r="C1056" t="inlineStr">
        <is>
          <t>A zip-slip path traversal vulnerability in Spring Data Geode's import snapshot functionality allows attackers to write files outside the intended extraction directory. This vulnerability appears to be susceptible on Windows OS only.</t>
        </is>
      </c>
      <c r="D1056" t="n">
        <v>8.199999999999999</v>
      </c>
      <c r="E1056" t="inlineStr">
        <is>
          <t>HIGH</t>
        </is>
      </c>
      <c r="F1056" t="n">
        <v>2</v>
      </c>
      <c r="G1056" t="n">
        <v>3</v>
      </c>
      <c r="H1056" t="inlineStr">
        <is>
          <t>HIGH</t>
        </is>
      </c>
      <c r="I1056" t="n">
        <v>14.2</v>
      </c>
      <c r="J1056" t="inlineStr">
        <is>
          <t>NO</t>
        </is>
      </c>
      <c r="K1056" t="inlineStr">
        <is>
          <t>2026-02-23 23:48</t>
        </is>
      </c>
      <c r="L1056" t="inlineStr">
        <is>
          <t>CHECK_VENDOR</t>
        </is>
      </c>
      <c r="M1056" t="inlineStr">
        <is>
          <t>See CVE details</t>
        </is>
      </c>
      <c r="N1056" t="inlineStr">
        <is>
          <t>P3</t>
        </is>
      </c>
      <c r="O1056" t="inlineStr">
        <is>
          <t>CVE - IP enrichment n/a</t>
        </is>
      </c>
      <c r="P1056" t="n">
        <v>0</v>
      </c>
      <c r="Q1056" t="n">
        <v>0</v>
      </c>
      <c r="R1056" t="inlineStr">
        <is>
          <t>T1083:File and Directory Discovery</t>
        </is>
      </c>
      <c r="S1056" t="n">
        <v>2</v>
      </c>
      <c r="T1056" t="inlineStr">
        <is>
          <t>MEDIUM (52%)</t>
        </is>
      </c>
      <c r="U1056" t="inlineStr">
        <is>
          <t>UNLIKELY</t>
        </is>
      </c>
      <c r="V1056" t="inlineStr">
        <is>
          <t>CHECK_VENDOR</t>
        </is>
      </c>
      <c r="W1056" t="inlineStr">
        <is>
          <t>https://nvd.nist.gov/vuln/detail/CVE-2026-2818</t>
        </is>
      </c>
      <c r="X1056" t="inlineStr">
        <is>
          <t>NONE</t>
        </is>
      </c>
      <c r="Y1056" t="n">
        <v>0</v>
      </c>
      <c r="Z1056" t="inlineStr"/>
      <c r="AA1056" t="inlineStr">
        <is>
          <t>https://nvd.nist.gov/vuln/detail/CVE-2026-2818</t>
        </is>
      </c>
    </row>
    <row r="1057">
      <c r="A1057" t="inlineStr">
        <is>
          <t>CVE</t>
        </is>
      </c>
      <c r="B1057" t="inlineStr">
        <is>
          <t>CVE-2026-2848</t>
        </is>
      </c>
      <c r="C1057" t="inlineStr">
        <is>
          <t>A flaw has been found in SourceCodester Simple Responsive Tourism Website 1.0. Affected by this vulnerability is an unknown functionality of the file /classes/Master.php?f=register of the component Registration. This manipulation of the argument Username causes sql injection. The attack may be initiated remotely. The exploit has been published and may be used.</t>
        </is>
      </c>
      <c r="D1057" t="n">
        <v>7.3</v>
      </c>
      <c r="E1057" t="inlineStr">
        <is>
          <t>HIGH</t>
        </is>
      </c>
      <c r="F1057" t="n">
        <v>2</v>
      </c>
      <c r="G1057" t="n">
        <v>3</v>
      </c>
      <c r="H1057" t="inlineStr">
        <is>
          <t>HIGH</t>
        </is>
      </c>
      <c r="I1057" t="n">
        <v>13.3</v>
      </c>
      <c r="J1057" t="inlineStr">
        <is>
          <t>NO</t>
        </is>
      </c>
      <c r="K1057" t="inlineStr">
        <is>
          <t>2026-02-23 23:48</t>
        </is>
      </c>
      <c r="L1057" t="inlineStr">
        <is>
          <t>CHECK_VENDOR</t>
        </is>
      </c>
      <c r="M1057" t="inlineStr">
        <is>
          <t>oretnom23 simple_responsive_tourism_website 1.0</t>
        </is>
      </c>
      <c r="N1057" t="inlineStr">
        <is>
          <t>P3</t>
        </is>
      </c>
      <c r="O1057" t="inlineStr">
        <is>
          <t>CVE - IP enrichment n/a</t>
        </is>
      </c>
      <c r="P1057" t="n">
        <v>0.0003</v>
      </c>
      <c r="Q1057" t="n">
        <v>0.07290000000000001</v>
      </c>
      <c r="R1057" t="inlineStr">
        <is>
          <t>T1190:Exploit Public-Facing Application</t>
        </is>
      </c>
      <c r="S1057" t="n">
        <v>1</v>
      </c>
      <c r="T1057" t="inlineStr">
        <is>
          <t>LOW (40%)</t>
        </is>
      </c>
      <c r="U1057" t="inlineStr">
        <is>
          <t>UNLIKELY</t>
        </is>
      </c>
      <c r="V1057" t="inlineStr">
        <is>
          <t>CHECK_VENDOR</t>
        </is>
      </c>
      <c r="W1057" t="inlineStr">
        <is>
          <t>https://nvd.nist.gov/vuln/detail/CVE-2026-2848</t>
        </is>
      </c>
      <c r="X1057" t="inlineStr">
        <is>
          <t>NONE</t>
        </is>
      </c>
      <c r="Y1057" t="n">
        <v>0</v>
      </c>
      <c r="Z1057" t="inlineStr"/>
      <c r="AA1057" t="inlineStr">
        <is>
          <t>https://nvd.nist.gov/vuln/detail/CVE-2026-2848</t>
        </is>
      </c>
    </row>
    <row r="1058">
      <c r="A1058" t="inlineStr">
        <is>
          <t>CVE</t>
        </is>
      </c>
      <c r="B1058" t="inlineStr">
        <is>
          <t>CVE-2026-2849</t>
        </is>
      </c>
      <c r="C1058" t="inlineStr">
        <is>
          <t>A vulnerability has been found in yeqifu warehouse up to aaf29962ba407d22d991781de28796ee7b4670e4. Affected by this issue is the function deleteCache/removeAllCache/syncCache of the file dataset\repos\warehouse\src\main\java\com\yeqifu\sys\controller\CacheController.java of the component Cache Sync Handler. Such manipulation leads to improper access controls. The attack may be launched remotely. The exploit has been disclosed to the public and may be used. This product operates on a rolling rele</t>
        </is>
      </c>
      <c r="D1058" t="n">
        <v>5.4</v>
      </c>
      <c r="E1058" t="inlineStr">
        <is>
          <t>MEDIUM</t>
        </is>
      </c>
      <c r="F1058" t="n">
        <v>2</v>
      </c>
      <c r="G1058" t="n">
        <v>2</v>
      </c>
      <c r="H1058" t="inlineStr">
        <is>
          <t>MEDIUM</t>
        </is>
      </c>
      <c r="I1058" t="n">
        <v>9.4</v>
      </c>
      <c r="J1058" t="inlineStr">
        <is>
          <t>NO</t>
        </is>
      </c>
      <c r="K1058" t="inlineStr">
        <is>
          <t>2026-02-23 23:48</t>
        </is>
      </c>
      <c r="L1058" t="inlineStr">
        <is>
          <t>CHECK_VENDOR</t>
        </is>
      </c>
      <c r="M1058" t="inlineStr">
        <is>
          <t>See CVE details</t>
        </is>
      </c>
      <c r="N1058" t="inlineStr">
        <is>
          <t>P4</t>
        </is>
      </c>
      <c r="O1058" t="inlineStr">
        <is>
          <t>CVE - IP enrichment n/a</t>
        </is>
      </c>
      <c r="P1058" t="n">
        <v>0</v>
      </c>
      <c r="Q1058" t="n">
        <v>0</v>
      </c>
      <c r="R1058" t="inlineStr">
        <is>
          <t>T1190:Exploit Public-Facing Application</t>
        </is>
      </c>
      <c r="S1058" t="n">
        <v>1</v>
      </c>
      <c r="T1058" t="inlineStr">
        <is>
          <t>LOW (40%)</t>
        </is>
      </c>
      <c r="U1058" t="inlineStr">
        <is>
          <t>UNLIKELY</t>
        </is>
      </c>
      <c r="V1058" t="inlineStr">
        <is>
          <t>CHECK_VENDOR</t>
        </is>
      </c>
      <c r="W1058" t="inlineStr">
        <is>
          <t>https://nvd.nist.gov/vuln/detail/CVE-2026-2849</t>
        </is>
      </c>
      <c r="X1058" t="inlineStr">
        <is>
          <t>NONE</t>
        </is>
      </c>
      <c r="Y1058" t="n">
        <v>0</v>
      </c>
      <c r="Z1058" t="inlineStr"/>
      <c r="AA1058" t="inlineStr">
        <is>
          <t>https://nvd.nist.gov/vuln/detail/CVE-2026-2849</t>
        </is>
      </c>
    </row>
    <row r="1059">
      <c r="A1059" t="inlineStr">
        <is>
          <t>CVE</t>
        </is>
      </c>
      <c r="B1059" t="inlineStr">
        <is>
          <t>CVE-2026-24891</t>
        </is>
      </c>
      <c r="C1059" t="inlineStr">
        <is>
          <t>openITCOCKPIT is an open source monitoring tool built for different monitoring engines like Nagios, Naemon and Prometheus. Versions 5.3.1 and below contain an unsafe deserialization sink in the Gearman worker implementation. The worker function registered as oitc_gearman calls PHP's unserialize() on job payloads without enforcing class restrictions or validating data origin. While the intended deployment assumes only trusted internal components enqueue Gearman jobs, this trust boundary is not en</t>
        </is>
      </c>
      <c r="D1059" t="n">
        <v>7.5</v>
      </c>
      <c r="E1059" t="inlineStr">
        <is>
          <t>HIGH</t>
        </is>
      </c>
      <c r="F1059" t="n">
        <v>2</v>
      </c>
      <c r="G1059" t="n">
        <v>3</v>
      </c>
      <c r="H1059" t="inlineStr">
        <is>
          <t>HIGH</t>
        </is>
      </c>
      <c r="I1059" t="n">
        <v>13.5</v>
      </c>
      <c r="J1059" t="inlineStr">
        <is>
          <t>NO</t>
        </is>
      </c>
      <c r="K1059" t="inlineStr">
        <is>
          <t>2026-02-23 23:48</t>
        </is>
      </c>
      <c r="L1059" t="inlineStr">
        <is>
          <t>CHECK_VENDOR</t>
        </is>
      </c>
      <c r="M1059" t="inlineStr">
        <is>
          <t>See CVE details</t>
        </is>
      </c>
      <c r="N1059" t="inlineStr">
        <is>
          <t>P3</t>
        </is>
      </c>
      <c r="O1059" t="inlineStr">
        <is>
          <t>CVE - IP enrichment n/a</t>
        </is>
      </c>
      <c r="P1059" t="n">
        <v>0</v>
      </c>
      <c r="Q1059" t="n">
        <v>0</v>
      </c>
      <c r="R1059" t="inlineStr">
        <is>
          <t>T1059:Command and Scripting Interpreter | T1190:Exploit Public-Facing Application</t>
        </is>
      </c>
      <c r="S1059" t="n">
        <v>1</v>
      </c>
      <c r="T1059" t="inlineStr">
        <is>
          <t>LOW (40%)</t>
        </is>
      </c>
      <c r="U1059" t="inlineStr">
        <is>
          <t>UNLIKELY</t>
        </is>
      </c>
      <c r="V1059" t="inlineStr">
        <is>
          <t>CHECK_VENDOR</t>
        </is>
      </c>
      <c r="W1059" t="inlineStr">
        <is>
          <t>https://nvd.nist.gov/vuln/detail/CVE-2026-24891</t>
        </is>
      </c>
      <c r="X1059" t="inlineStr">
        <is>
          <t>NONE</t>
        </is>
      </c>
      <c r="Y1059" t="n">
        <v>0</v>
      </c>
      <c r="Z1059" t="inlineStr"/>
      <c r="AA1059" t="inlineStr">
        <is>
          <t>https://nvd.nist.gov/vuln/detail/CVE-2026-24891</t>
        </is>
      </c>
    </row>
    <row r="1060">
      <c r="A1060" t="inlineStr">
        <is>
          <t>CVE</t>
        </is>
      </c>
      <c r="B1060" t="inlineStr">
        <is>
          <t>CVE-2026-27115</t>
        </is>
      </c>
      <c r="C1060" t="inlineStr">
        <is>
          <t>ADB Explorer is a fluent UI for ADB on Windows. Versions 0.9.26020 and below have an unvalidated command-line argument that allows any user to trigger recursive deletion of arbitrary directories on the Windows filesystem. ADB Explorer accepts an optional path argument to set a custom data directory, but only check whether the path exists. The ClearDrag() method calls Directory.Delete(dir, true) on every subdirectory of that path at both application startup and exit. An attacker can craft a malic</t>
        </is>
      </c>
      <c r="D1060" t="n">
        <v>7.1</v>
      </c>
      <c r="E1060" t="inlineStr">
        <is>
          <t>HIGH</t>
        </is>
      </c>
      <c r="F1060" t="n">
        <v>2</v>
      </c>
      <c r="G1060" t="n">
        <v>3</v>
      </c>
      <c r="H1060" t="inlineStr">
        <is>
          <t>HIGH</t>
        </is>
      </c>
      <c r="I1060" t="n">
        <v>13.1</v>
      </c>
      <c r="J1060" t="inlineStr">
        <is>
          <t>NO</t>
        </is>
      </c>
      <c r="K1060" t="inlineStr">
        <is>
          <t>2026-02-23 23:48</t>
        </is>
      </c>
      <c r="L1060" t="inlineStr">
        <is>
          <t>CHECK_VENDOR</t>
        </is>
      </c>
      <c r="M1060" t="inlineStr">
        <is>
          <t>See CVE details</t>
        </is>
      </c>
      <c r="N1060" t="inlineStr">
        <is>
          <t>P3</t>
        </is>
      </c>
      <c r="O1060" t="inlineStr">
        <is>
          <t>CVE - IP enrichment n/a</t>
        </is>
      </c>
      <c r="P1060" t="n">
        <v>0.0001</v>
      </c>
      <c r="Q1060" t="n">
        <v>0.008999999999999999</v>
      </c>
      <c r="R1060" t="inlineStr">
        <is>
          <t>T1083:File and Directory Discovery</t>
        </is>
      </c>
      <c r="S1060" t="n">
        <v>1</v>
      </c>
      <c r="T1060" t="inlineStr">
        <is>
          <t>LOW (40%)</t>
        </is>
      </c>
      <c r="U1060" t="inlineStr">
        <is>
          <t>UNLIKELY</t>
        </is>
      </c>
      <c r="V1060" t="inlineStr">
        <is>
          <t>CHECK_VENDOR</t>
        </is>
      </c>
      <c r="W1060" t="inlineStr">
        <is>
          <t>https://nvd.nist.gov/vuln/detail/CVE-2026-27115</t>
        </is>
      </c>
      <c r="X1060" t="inlineStr">
        <is>
          <t>NONE</t>
        </is>
      </c>
      <c r="Y1060" t="n">
        <v>0</v>
      </c>
      <c r="Z1060" t="inlineStr"/>
      <c r="AA1060" t="inlineStr">
        <is>
          <t>https://nvd.nist.gov/vuln/detail/CVE-2026-27115</t>
        </is>
      </c>
    </row>
    <row r="1061">
      <c r="A1061" t="inlineStr">
        <is>
          <t>CVE</t>
        </is>
      </c>
      <c r="B1061" t="inlineStr">
        <is>
          <t>CVE-2026-2832</t>
        </is>
      </c>
      <c r="C1061" t="inlineStr">
        <is>
          <t>Certain Samsung MultiXpress Multifunction Printers may be vulnerable to information disclosure, potentially exposing address book entries and other device configuration information through specific APIs without proper authorization.</t>
        </is>
      </c>
      <c r="D1061" t="n">
        <v>5</v>
      </c>
      <c r="E1061" t="inlineStr">
        <is>
          <t>MEDIUM</t>
        </is>
      </c>
      <c r="F1061" t="n">
        <v>2</v>
      </c>
      <c r="G1061" t="n">
        <v>2</v>
      </c>
      <c r="H1061" t="inlineStr">
        <is>
          <t>MEDIUM</t>
        </is>
      </c>
      <c r="I1061" t="n">
        <v>9</v>
      </c>
      <c r="J1061" t="inlineStr">
        <is>
          <t>NO</t>
        </is>
      </c>
      <c r="K1061" t="inlineStr">
        <is>
          <t>2026-02-23 23:48</t>
        </is>
      </c>
      <c r="L1061" t="inlineStr">
        <is>
          <t>CHECK_VENDOR</t>
        </is>
      </c>
      <c r="M1061" t="inlineStr">
        <is>
          <t>See CVE details</t>
        </is>
      </c>
      <c r="N1061" t="inlineStr">
        <is>
          <t>P4</t>
        </is>
      </c>
      <c r="O1061" t="inlineStr">
        <is>
          <t>CVE - IP enrichment n/a</t>
        </is>
      </c>
      <c r="P1061" t="n">
        <v>0</v>
      </c>
      <c r="Q1061" t="n">
        <v>0</v>
      </c>
      <c r="R1061" t="inlineStr">
        <is>
          <t>T1213:Data from Information Repositories</t>
        </is>
      </c>
      <c r="S1061" t="n">
        <v>1</v>
      </c>
      <c r="T1061" t="inlineStr">
        <is>
          <t>LOW (40%)</t>
        </is>
      </c>
      <c r="U1061" t="inlineStr">
        <is>
          <t>UNLIKELY</t>
        </is>
      </c>
      <c r="V1061" t="inlineStr">
        <is>
          <t>CHECK_VENDOR</t>
        </is>
      </c>
      <c r="W1061" t="inlineStr">
        <is>
          <t>https://nvd.nist.gov/vuln/detail/CVE-2026-2832</t>
        </is>
      </c>
      <c r="X1061" t="inlineStr">
        <is>
          <t>NONE</t>
        </is>
      </c>
      <c r="Y1061" t="n">
        <v>0</v>
      </c>
      <c r="Z1061" t="inlineStr"/>
      <c r="AA1061" t="inlineStr">
        <is>
          <t>https://nvd.nist.gov/vuln/detail/CVE-2026-2832</t>
        </is>
      </c>
    </row>
    <row r="1062">
      <c r="A1062" t="inlineStr">
        <is>
          <t>CVE</t>
        </is>
      </c>
      <c r="B1062" t="inlineStr">
        <is>
          <t>CVE-2026-2850</t>
        </is>
      </c>
      <c r="C1062" t="inlineStr">
        <is>
          <t>A vulnerability was found in yeqifu warehouse up to aaf29962ba407d22d991781de28796ee7b4670e4. This affects the function addCustomer/updateCustomer/deleteCustomer of the file dataset\repos\warehouse\src\main\java\com\yeqifu\bus\controller\CustomerController.java of the component Customer Endpoint. Performing a manipulation results in improper access controls. Remote exploitation of the attack is possible. The exploit has been made public and could be used. This product follows a rolling release a</t>
        </is>
      </c>
      <c r="D1062" t="n">
        <v>6.3</v>
      </c>
      <c r="E1062" t="inlineStr">
        <is>
          <t>MEDIUM</t>
        </is>
      </c>
      <c r="F1062" t="n">
        <v>2</v>
      </c>
      <c r="G1062" t="n">
        <v>2</v>
      </c>
      <c r="H1062" t="inlineStr">
        <is>
          <t>MEDIUM</t>
        </is>
      </c>
      <c r="I1062" t="n">
        <v>10.3</v>
      </c>
      <c r="J1062" t="inlineStr">
        <is>
          <t>NO</t>
        </is>
      </c>
      <c r="K1062" t="inlineStr">
        <is>
          <t>2026-02-23 23:48</t>
        </is>
      </c>
      <c r="L1062" t="inlineStr">
        <is>
          <t>CHECK_VENDOR</t>
        </is>
      </c>
      <c r="M1062" t="inlineStr">
        <is>
          <t>See CVE details</t>
        </is>
      </c>
      <c r="N1062" t="inlineStr">
        <is>
          <t>P4</t>
        </is>
      </c>
      <c r="O1062" t="inlineStr">
        <is>
          <t>CVE - IP enrichment n/a</t>
        </is>
      </c>
      <c r="P1062" t="n">
        <v>0</v>
      </c>
      <c r="Q1062" t="n">
        <v>0</v>
      </c>
      <c r="R1062" t="inlineStr">
        <is>
          <t>T1190:Exploit Public-Facing Application</t>
        </is>
      </c>
      <c r="S1062" t="n">
        <v>1</v>
      </c>
      <c r="T1062" t="inlineStr">
        <is>
          <t>LOW (40%)</t>
        </is>
      </c>
      <c r="U1062" t="inlineStr">
        <is>
          <t>UNLIKELY</t>
        </is>
      </c>
      <c r="V1062" t="inlineStr">
        <is>
          <t>CHECK_VENDOR</t>
        </is>
      </c>
      <c r="W1062" t="inlineStr">
        <is>
          <t>https://nvd.nist.gov/vuln/detail/CVE-2026-2850</t>
        </is>
      </c>
      <c r="X1062" t="inlineStr">
        <is>
          <t>NONE</t>
        </is>
      </c>
      <c r="Y1062" t="n">
        <v>0</v>
      </c>
      <c r="Z1062" t="inlineStr"/>
      <c r="AA1062" t="inlineStr">
        <is>
          <t>https://nvd.nist.gov/vuln/detail/CVE-2026-2850</t>
        </is>
      </c>
    </row>
    <row r="1063">
      <c r="A1063" t="inlineStr">
        <is>
          <t>CVE</t>
        </is>
      </c>
      <c r="B1063" t="inlineStr">
        <is>
          <t>CVE-2026-2851</t>
        </is>
      </c>
      <c r="C1063" t="inlineStr">
        <is>
          <t>A vulnerability was determined in yeqifu warehouse up to aaf29962ba407d22d991781de28796ee7b4670e4. This vulnerability affects the function addInport/updateInport/deleteInport of the file dataset\repos\warehouse\src\main\java\com\yeqifu\bus\controller\InportController.java of the component Inport Endpoint. Executing a manipulation can lead to improper access controls. The attack can be executed remotely. The exploit has been publicly disclosed and may be utilized. This product implements a rollin</t>
        </is>
      </c>
      <c r="D1063" t="n">
        <v>6.3</v>
      </c>
      <c r="E1063" t="inlineStr">
        <is>
          <t>MEDIUM</t>
        </is>
      </c>
      <c r="F1063" t="n">
        <v>2</v>
      </c>
      <c r="G1063" t="n">
        <v>2</v>
      </c>
      <c r="H1063" t="inlineStr">
        <is>
          <t>MEDIUM</t>
        </is>
      </c>
      <c r="I1063" t="n">
        <v>10.3</v>
      </c>
      <c r="J1063" t="inlineStr">
        <is>
          <t>NO</t>
        </is>
      </c>
      <c r="K1063" t="inlineStr">
        <is>
          <t>2026-02-23 23:48</t>
        </is>
      </c>
      <c r="L1063" t="inlineStr">
        <is>
          <t>CHECK_VENDOR</t>
        </is>
      </c>
      <c r="M1063" t="inlineStr">
        <is>
          <t>See CVE details</t>
        </is>
      </c>
      <c r="N1063" t="inlineStr">
        <is>
          <t>P4</t>
        </is>
      </c>
      <c r="O1063" t="inlineStr">
        <is>
          <t>CVE - IP enrichment n/a</t>
        </is>
      </c>
      <c r="P1063" t="n">
        <v>0.0004</v>
      </c>
      <c r="Q1063" t="n">
        <v>0.1306</v>
      </c>
      <c r="R1063" t="inlineStr">
        <is>
          <t>T1190:Exploit Public-Facing Application</t>
        </is>
      </c>
      <c r="S1063" t="n">
        <v>1</v>
      </c>
      <c r="T1063" t="inlineStr">
        <is>
          <t>LOW (40%)</t>
        </is>
      </c>
      <c r="U1063" t="inlineStr">
        <is>
          <t>UNLIKELY</t>
        </is>
      </c>
      <c r="V1063" t="inlineStr">
        <is>
          <t>CHECK_VENDOR</t>
        </is>
      </c>
      <c r="W1063" t="inlineStr">
        <is>
          <t>https://nvd.nist.gov/vuln/detail/CVE-2026-2851</t>
        </is>
      </c>
      <c r="X1063" t="inlineStr">
        <is>
          <t>NONE</t>
        </is>
      </c>
      <c r="Y1063" t="n">
        <v>0</v>
      </c>
      <c r="Z1063" t="inlineStr"/>
      <c r="AA1063" t="inlineStr">
        <is>
          <t>https://nvd.nist.gov/vuln/detail/CVE-2026-2851</t>
        </is>
      </c>
    </row>
    <row r="1064">
      <c r="A1064" t="inlineStr">
        <is>
          <t>CVE</t>
        </is>
      </c>
      <c r="B1064" t="inlineStr">
        <is>
          <t>CVE-2019-25444</t>
        </is>
      </c>
      <c r="C1064" t="inlineStr">
        <is>
          <t>Fiverr Clone Script 1.2.2 contains an SQL injection vulnerability that allows unauthenticated attackers to manipulate database queries by injecting SQL code through the page parameter. Attackers can supply malicious SQL syntax in the page parameter to extract sensitive database information or modify database contents.</t>
        </is>
      </c>
      <c r="D1064" t="n">
        <v>8.199999999999999</v>
      </c>
      <c r="E1064" t="inlineStr">
        <is>
          <t>HIGH</t>
        </is>
      </c>
      <c r="F1064" t="n">
        <v>2</v>
      </c>
      <c r="G1064" t="n">
        <v>3</v>
      </c>
      <c r="H1064" t="inlineStr">
        <is>
          <t>HIGH</t>
        </is>
      </c>
      <c r="I1064" t="n">
        <v>14.2</v>
      </c>
      <c r="J1064" t="inlineStr">
        <is>
          <t>NO</t>
        </is>
      </c>
      <c r="K1064" t="inlineStr">
        <is>
          <t>2026-02-23 23:48</t>
        </is>
      </c>
      <c r="L1064" t="inlineStr">
        <is>
          <t>CHECK_VENDOR</t>
        </is>
      </c>
      <c r="M1064" t="inlineStr">
        <is>
          <t>See CVE details</t>
        </is>
      </c>
      <c r="N1064" t="inlineStr">
        <is>
          <t>P3</t>
        </is>
      </c>
      <c r="O1064" t="inlineStr">
        <is>
          <t>CVE - IP enrichment n/a</t>
        </is>
      </c>
      <c r="P1064" t="n">
        <v>0</v>
      </c>
      <c r="Q1064" t="n">
        <v>0</v>
      </c>
      <c r="R1064" t="inlineStr">
        <is>
          <t>T1190:Exploit Public-Facing Application</t>
        </is>
      </c>
      <c r="S1064" t="n">
        <v>1</v>
      </c>
      <c r="T1064" t="inlineStr">
        <is>
          <t>LOW (40%)</t>
        </is>
      </c>
      <c r="U1064" t="inlineStr">
        <is>
          <t>UNLIKELY</t>
        </is>
      </c>
      <c r="V1064" t="inlineStr">
        <is>
          <t>CHECK_VENDOR</t>
        </is>
      </c>
      <c r="W1064" t="inlineStr">
        <is>
          <t>https://nvd.nist.gov/vuln/detail/CVE-2019-25444</t>
        </is>
      </c>
      <c r="X1064" t="inlineStr">
        <is>
          <t>NONE</t>
        </is>
      </c>
      <c r="Y1064" t="n">
        <v>0</v>
      </c>
      <c r="Z1064" t="inlineStr"/>
      <c r="AA1064" t="inlineStr">
        <is>
          <t>https://nvd.nist.gov/vuln/detail/CVE-2019-25444</t>
        </is>
      </c>
    </row>
    <row r="1065">
      <c r="A1065" t="inlineStr">
        <is>
          <t>CVE</t>
        </is>
      </c>
      <c r="B1065" t="inlineStr">
        <is>
          <t>CVE-2019-25445</t>
        </is>
      </c>
      <c r="C1065" t="inlineStr">
        <is>
          <t>Fiverr Clone Script 1.2.2 contains a cross-site scripting vulnerability that allows unauthenticated attackers to inject malicious scripts by manipulating the keyword parameter. Attackers can craft URLs with script tags in the keyword parameter of search-results.php to execute arbitrary JavaScript in users' browsers.</t>
        </is>
      </c>
      <c r="D1065" t="n">
        <v>6.1</v>
      </c>
      <c r="E1065" t="inlineStr">
        <is>
          <t>MEDIUM</t>
        </is>
      </c>
      <c r="F1065" t="n">
        <v>2</v>
      </c>
      <c r="G1065" t="n">
        <v>2</v>
      </c>
      <c r="H1065" t="inlineStr">
        <is>
          <t>MEDIUM</t>
        </is>
      </c>
      <c r="I1065" t="n">
        <v>10.1</v>
      </c>
      <c r="J1065" t="inlineStr">
        <is>
          <t>NO</t>
        </is>
      </c>
      <c r="K1065" t="inlineStr">
        <is>
          <t>2026-02-23 23:48</t>
        </is>
      </c>
      <c r="L1065" t="inlineStr">
        <is>
          <t>CHECK_VENDOR</t>
        </is>
      </c>
      <c r="M1065" t="inlineStr">
        <is>
          <t>See CVE details</t>
        </is>
      </c>
      <c r="N1065" t="inlineStr">
        <is>
          <t>P4</t>
        </is>
      </c>
      <c r="O1065" t="inlineStr">
        <is>
          <t>CVE - IP enrichment n/a</t>
        </is>
      </c>
      <c r="P1065" t="n">
        <v>0.0007</v>
      </c>
      <c r="Q1065" t="n">
        <v>0.2234</v>
      </c>
      <c r="R1065" t="inlineStr">
        <is>
          <t>T1189:Drive-by Compromise</t>
        </is>
      </c>
      <c r="S1065" t="n">
        <v>1</v>
      </c>
      <c r="T1065" t="inlineStr">
        <is>
          <t>LOW (40%)</t>
        </is>
      </c>
      <c r="U1065" t="inlineStr">
        <is>
          <t>UNLIKELY</t>
        </is>
      </c>
      <c r="V1065" t="inlineStr">
        <is>
          <t>CHECK_VENDOR</t>
        </is>
      </c>
      <c r="W1065" t="inlineStr">
        <is>
          <t>https://nvd.nist.gov/vuln/detail/CVE-2019-25445</t>
        </is>
      </c>
      <c r="X1065" t="inlineStr">
        <is>
          <t>NONE</t>
        </is>
      </c>
      <c r="Y1065" t="n">
        <v>0</v>
      </c>
      <c r="Z1065" t="inlineStr"/>
      <c r="AA1065" t="inlineStr">
        <is>
          <t>https://nvd.nist.gov/vuln/detail/CVE-2019-25445</t>
        </is>
      </c>
    </row>
    <row r="1066">
      <c r="A1066" t="inlineStr">
        <is>
          <t>CVE</t>
        </is>
      </c>
      <c r="B1066" t="inlineStr">
        <is>
          <t>CVE-2021-35402</t>
        </is>
      </c>
      <c r="C1066" t="inlineStr">
        <is>
          <t>PROLiNK PRC2402M 20190909 before 2021-06-13 allows live_api.cgi?page=satellite_list OS command injection via shell metacharacters in the ip parameter (for satellite_status).</t>
        </is>
      </c>
      <c r="D1066" t="n">
        <v>10</v>
      </c>
      <c r="E1066" t="inlineStr">
        <is>
          <t>CRITICAL</t>
        </is>
      </c>
      <c r="F1066" t="n">
        <v>2</v>
      </c>
      <c r="G1066" t="n">
        <v>3</v>
      </c>
      <c r="H1066" t="inlineStr">
        <is>
          <t>HIGH</t>
        </is>
      </c>
      <c r="I1066" t="n">
        <v>16</v>
      </c>
      <c r="J1066" t="inlineStr">
        <is>
          <t>NO</t>
        </is>
      </c>
      <c r="K1066" t="inlineStr">
        <is>
          <t>2026-02-23 23:48</t>
        </is>
      </c>
      <c r="L1066" t="inlineStr">
        <is>
          <t>CHECK_VENDOR</t>
        </is>
      </c>
      <c r="M1066" t="inlineStr">
        <is>
          <t>See CVE details</t>
        </is>
      </c>
      <c r="N1066" t="inlineStr">
        <is>
          <t>P3</t>
        </is>
      </c>
      <c r="O1066" t="inlineStr">
        <is>
          <t>CVE - IP enrichment n/a</t>
        </is>
      </c>
      <c r="P1066" t="n">
        <v>0</v>
      </c>
      <c r="Q1066" t="n">
        <v>0</v>
      </c>
      <c r="R1066" t="inlineStr">
        <is>
          <t>T1059:Command and Scripting Interpreter</t>
        </is>
      </c>
      <c r="S1066" t="n">
        <v>1</v>
      </c>
      <c r="T1066" t="inlineStr">
        <is>
          <t>LOW (40%)</t>
        </is>
      </c>
      <c r="U1066" t="inlineStr">
        <is>
          <t>UNLIKELY</t>
        </is>
      </c>
      <c r="V1066" t="inlineStr">
        <is>
          <t>CHECK_VENDOR</t>
        </is>
      </c>
      <c r="W1066" t="inlineStr">
        <is>
          <t>https://nvd.nist.gov/vuln/detail/CVE-2021-35402</t>
        </is>
      </c>
      <c r="X1066" t="inlineStr">
        <is>
          <t>NONE</t>
        </is>
      </c>
      <c r="Y1066" t="n">
        <v>0</v>
      </c>
      <c r="Z1066" t="inlineStr"/>
      <c r="AA1066" t="inlineStr">
        <is>
          <t>https://nvd.nist.gov/vuln/detail/CVE-2021-35402</t>
        </is>
      </c>
    </row>
    <row r="1067">
      <c r="A1067" t="inlineStr">
        <is>
          <t>CVE</t>
        </is>
      </c>
      <c r="B1067" t="inlineStr">
        <is>
          <t>CVE-2026-2852</t>
        </is>
      </c>
      <c r="C1067" t="inlineStr">
        <is>
          <t xml:space="preserve">A vulnerability was identified in yeqifu warehouse up to aaf29962ba407d22d991781de28796ee7b4670e4. This issue affects the function addSales/updateSales/deleteSales of the file dataset\repos\warehouse\src\main\java\com\yeqifu\bus\controller\SalesController.java of the component Sales Endpoint. The manipulation leads to improper access controls. The attack is possible to be carried out remotely. The exploit is publicly available and might be used. This product adopts a rolling release strategy to </t>
        </is>
      </c>
      <c r="D1067" t="n">
        <v>6.3</v>
      </c>
      <c r="E1067" t="inlineStr">
        <is>
          <t>MEDIUM</t>
        </is>
      </c>
      <c r="F1067" t="n">
        <v>2</v>
      </c>
      <c r="G1067" t="n">
        <v>2</v>
      </c>
      <c r="H1067" t="inlineStr">
        <is>
          <t>MEDIUM</t>
        </is>
      </c>
      <c r="I1067" t="n">
        <v>10.3</v>
      </c>
      <c r="J1067" t="inlineStr">
        <is>
          <t>NO</t>
        </is>
      </c>
      <c r="K1067" t="inlineStr">
        <is>
          <t>2026-02-23 23:48</t>
        </is>
      </c>
      <c r="L1067" t="inlineStr">
        <is>
          <t>CHECK_VENDOR</t>
        </is>
      </c>
      <c r="M1067" t="inlineStr">
        <is>
          <t>See CVE details</t>
        </is>
      </c>
      <c r="N1067" t="inlineStr">
        <is>
          <t>P4</t>
        </is>
      </c>
      <c r="O1067" t="inlineStr">
        <is>
          <t>CVE - IP enrichment n/a</t>
        </is>
      </c>
      <c r="P1067" t="n">
        <v>0</v>
      </c>
      <c r="Q1067" t="n">
        <v>0</v>
      </c>
      <c r="R1067" t="inlineStr">
        <is>
          <t>T1190:Exploit Public-Facing Application</t>
        </is>
      </c>
      <c r="S1067" t="n">
        <v>1</v>
      </c>
      <c r="T1067" t="inlineStr">
        <is>
          <t>LOW (40%)</t>
        </is>
      </c>
      <c r="U1067" t="inlineStr">
        <is>
          <t>UNLIKELY</t>
        </is>
      </c>
      <c r="V1067" t="inlineStr">
        <is>
          <t>CHECK_VENDOR</t>
        </is>
      </c>
      <c r="W1067" t="inlineStr">
        <is>
          <t>https://nvd.nist.gov/vuln/detail/CVE-2026-2852</t>
        </is>
      </c>
      <c r="X1067" t="inlineStr">
        <is>
          <t>NONE</t>
        </is>
      </c>
      <c r="Y1067" t="n">
        <v>0</v>
      </c>
      <c r="Z1067" t="inlineStr"/>
      <c r="AA1067" t="inlineStr">
        <is>
          <t>https://nvd.nist.gov/vuln/detail/CVE-2026-2852</t>
        </is>
      </c>
    </row>
    <row r="1068">
      <c r="A1068" t="inlineStr">
        <is>
          <t>CVE</t>
        </is>
      </c>
      <c r="B1068" t="inlineStr">
        <is>
          <t>CVE-2025-62326</t>
        </is>
      </c>
      <c r="C1068" t="inlineStr">
        <is>
          <t>HCL Digital Experience is susceptible to stored cross-site scripting (XSS) in the administrative user interface which would require elevated privileges to exploit.</t>
        </is>
      </c>
      <c r="D1068" t="n">
        <v>6.1</v>
      </c>
      <c r="E1068" t="inlineStr">
        <is>
          <t>MEDIUM</t>
        </is>
      </c>
      <c r="F1068" t="n">
        <v>2</v>
      </c>
      <c r="G1068" t="n">
        <v>2</v>
      </c>
      <c r="H1068" t="inlineStr">
        <is>
          <t>MEDIUM</t>
        </is>
      </c>
      <c r="I1068" t="n">
        <v>10.1</v>
      </c>
      <c r="J1068" t="inlineStr">
        <is>
          <t>NO</t>
        </is>
      </c>
      <c r="K1068" t="inlineStr">
        <is>
          <t>2026-02-23 23:48</t>
        </is>
      </c>
      <c r="L1068" t="inlineStr">
        <is>
          <t>CHECK_VENDOR</t>
        </is>
      </c>
      <c r="M1068" t="inlineStr">
        <is>
          <t>See CVE details</t>
        </is>
      </c>
      <c r="N1068" t="inlineStr">
        <is>
          <t>P4</t>
        </is>
      </c>
      <c r="O1068" t="inlineStr">
        <is>
          <t>CVE - IP enrichment n/a</t>
        </is>
      </c>
      <c r="P1068" t="n">
        <v>0</v>
      </c>
      <c r="Q1068" t="n">
        <v>0</v>
      </c>
      <c r="R1068" t="inlineStr">
        <is>
          <t>T1189:Drive-by Compromise</t>
        </is>
      </c>
      <c r="S1068" t="n">
        <v>1</v>
      </c>
      <c r="T1068" t="inlineStr">
        <is>
          <t>LOW (40%)</t>
        </is>
      </c>
      <c r="U1068" t="inlineStr">
        <is>
          <t>UNLIKELY</t>
        </is>
      </c>
      <c r="V1068" t="inlineStr">
        <is>
          <t>CHECK_VENDOR</t>
        </is>
      </c>
      <c r="W1068" t="inlineStr">
        <is>
          <t>https://nvd.nist.gov/vuln/detail/CVE-2025-62326</t>
        </is>
      </c>
      <c r="X1068" t="inlineStr">
        <is>
          <t>NONE</t>
        </is>
      </c>
      <c r="Y1068" t="n">
        <v>0</v>
      </c>
      <c r="Z1068" t="inlineStr"/>
      <c r="AA1068" t="inlineStr">
        <is>
          <t>https://nvd.nist.gov/vuln/detail/CVE-2025-62326</t>
        </is>
      </c>
    </row>
    <row r="1069">
      <c r="A1069" t="inlineStr">
        <is>
          <t>CVE</t>
        </is>
      </c>
      <c r="B1069" t="inlineStr">
        <is>
          <t>CVE-2026-2472</t>
        </is>
      </c>
      <c r="C1069" t="inlineStr">
        <is>
          <t>Stored Cross-Site Scripting (XSS) in the _genai/_evals_visualization component of Google Cloud Vertex AI SDK (google-cloud-aiplatform) versions from 1.98.0 up to (but not including) 1.131.0 allows an unauthenticated remote attacker to execute arbitrary JavaScript in a victim's Jupyter or Colab environment via injecting script escape sequences into model evaluation results or dataset JSON data.</t>
        </is>
      </c>
      <c r="D1069" t="n">
        <v>8.5</v>
      </c>
      <c r="E1069" t="inlineStr">
        <is>
          <t>HIGH</t>
        </is>
      </c>
      <c r="F1069" t="n">
        <v>2</v>
      </c>
      <c r="G1069" t="n">
        <v>3</v>
      </c>
      <c r="H1069" t="inlineStr">
        <is>
          <t>HIGH</t>
        </is>
      </c>
      <c r="I1069" t="n">
        <v>14.5</v>
      </c>
      <c r="J1069" t="inlineStr">
        <is>
          <t>NO</t>
        </is>
      </c>
      <c r="K1069" t="inlineStr">
        <is>
          <t>2026-02-23 23:48</t>
        </is>
      </c>
      <c r="L1069" t="inlineStr">
        <is>
          <t>CHECK_VENDOR</t>
        </is>
      </c>
      <c r="M1069" t="inlineStr">
        <is>
          <t>See CVE details</t>
        </is>
      </c>
      <c r="N1069" t="inlineStr">
        <is>
          <t>P3</t>
        </is>
      </c>
      <c r="O1069" t="inlineStr">
        <is>
          <t>CVE - IP enrichment n/a</t>
        </is>
      </c>
      <c r="P1069" t="n">
        <v>0</v>
      </c>
      <c r="Q1069" t="n">
        <v>0</v>
      </c>
      <c r="R1069" t="inlineStr">
        <is>
          <t>T1189:Drive-by Compromise</t>
        </is>
      </c>
      <c r="S1069" t="n">
        <v>2</v>
      </c>
      <c r="T1069" t="inlineStr">
        <is>
          <t>MEDIUM (52%)</t>
        </is>
      </c>
      <c r="U1069" t="inlineStr">
        <is>
          <t>UNLIKELY</t>
        </is>
      </c>
      <c r="V1069" t="inlineStr">
        <is>
          <t>CHECK_VENDOR</t>
        </is>
      </c>
      <c r="W1069" t="inlineStr">
        <is>
          <t>https://nvd.nist.gov/vuln/detail/CVE-2026-2472</t>
        </is>
      </c>
      <c r="X1069" t="inlineStr">
        <is>
          <t>NONE</t>
        </is>
      </c>
      <c r="Y1069" t="n">
        <v>0</v>
      </c>
      <c r="Z1069" t="inlineStr"/>
      <c r="AA1069" t="inlineStr">
        <is>
          <t>https://nvd.nist.gov/vuln/detail/CVE-2026-2472</t>
        </is>
      </c>
    </row>
    <row r="1070">
      <c r="A1070" t="inlineStr">
        <is>
          <t>CVE</t>
        </is>
      </c>
      <c r="B1070" t="inlineStr">
        <is>
          <t>CVE-2026-2473</t>
        </is>
      </c>
      <c r="C1070" t="inlineStr">
        <is>
          <t>Predictable bucket naming in Vertex AI Experiments in Google Cloud Vertex AI from version 1.21.0 up to (but not including) 1.133.0 on Google Cloud Platform allows an unauthenticated remote attacker to achieve cross-tenant remote code execution, model theft, and poisoning via pre-creating predictably named Cloud Storage buckets (Bucket Squatting).
This vulnerability was patched and no customer action is needed.</t>
        </is>
      </c>
      <c r="D1070" t="n">
        <v>8.5</v>
      </c>
      <c r="E1070" t="inlineStr">
        <is>
          <t>HIGH</t>
        </is>
      </c>
      <c r="F1070" t="n">
        <v>2</v>
      </c>
      <c r="G1070" t="n">
        <v>3</v>
      </c>
      <c r="H1070" t="inlineStr">
        <is>
          <t>HIGH</t>
        </is>
      </c>
      <c r="I1070" t="n">
        <v>14.5</v>
      </c>
      <c r="J1070" t="inlineStr">
        <is>
          <t>NO</t>
        </is>
      </c>
      <c r="K1070" t="inlineStr">
        <is>
          <t>2026-02-23 23:48</t>
        </is>
      </c>
      <c r="L1070" t="inlineStr">
        <is>
          <t>CHECK_VENDOR</t>
        </is>
      </c>
      <c r="M1070" t="inlineStr">
        <is>
          <t>See CVE details</t>
        </is>
      </c>
      <c r="N1070" t="inlineStr">
        <is>
          <t>P3</t>
        </is>
      </c>
      <c r="O1070" t="inlineStr">
        <is>
          <t>CVE - IP enrichment n/a</t>
        </is>
      </c>
      <c r="P1070" t="n">
        <v>0</v>
      </c>
      <c r="Q1070" t="n">
        <v>0</v>
      </c>
      <c r="R1070" t="inlineStr">
        <is>
          <t>T1190:Exploit Public-Facing Application | T1210:Exploitation of Remote Services</t>
        </is>
      </c>
      <c r="S1070" t="n">
        <v>1</v>
      </c>
      <c r="T1070" t="inlineStr">
        <is>
          <t>LOW (40%)</t>
        </is>
      </c>
      <c r="U1070" t="inlineStr">
        <is>
          <t>UNLIKELY</t>
        </is>
      </c>
      <c r="V1070" t="inlineStr">
        <is>
          <t>CHECK_VENDOR</t>
        </is>
      </c>
      <c r="W1070" t="inlineStr">
        <is>
          <t>https://nvd.nist.gov/vuln/detail/CVE-2026-2473</t>
        </is>
      </c>
      <c r="X1070" t="inlineStr">
        <is>
          <t>NONE</t>
        </is>
      </c>
      <c r="Y1070" t="n">
        <v>0</v>
      </c>
      <c r="Z1070" t="inlineStr"/>
      <c r="AA1070" t="inlineStr">
        <is>
          <t>https://nvd.nist.gov/vuln/detail/CVE-2026-2473</t>
        </is>
      </c>
    </row>
    <row r="1071">
      <c r="A1071" t="inlineStr">
        <is>
          <t>CVE</t>
        </is>
      </c>
      <c r="B1071" t="inlineStr">
        <is>
          <t>CVE-2026-2853</t>
        </is>
      </c>
      <c r="C1071" t="inlineStr">
        <is>
          <t>A vulnerability was detected in D-Link DWR-M960 1.01.07. This affects the function sub_462E14 of the file /boafrm/formSysLog of the component System Log Configuration Endpoint. Performing a manipulation of the argument submit-url results in stack-based buffer overflow. The attack can be initiated remotely. The exploit is now public and may be used.</t>
        </is>
      </c>
      <c r="D1071" t="n">
        <v>8.800000000000001</v>
      </c>
      <c r="E1071" t="inlineStr">
        <is>
          <t>HIGH</t>
        </is>
      </c>
      <c r="F1071" t="n">
        <v>2</v>
      </c>
      <c r="G1071" t="n">
        <v>3</v>
      </c>
      <c r="H1071" t="inlineStr">
        <is>
          <t>HIGH</t>
        </is>
      </c>
      <c r="I1071" t="n">
        <v>14.8</v>
      </c>
      <c r="J1071" t="inlineStr">
        <is>
          <t>NO</t>
        </is>
      </c>
      <c r="K1071" t="inlineStr">
        <is>
          <t>2026-02-23 23:48</t>
        </is>
      </c>
      <c r="L1071" t="inlineStr">
        <is>
          <t>CHECK_VENDOR</t>
        </is>
      </c>
      <c r="M1071" t="inlineStr">
        <is>
          <t>dlink dwr-m960 b1 | dlink dwr-m960_firmware 1.01.07</t>
        </is>
      </c>
      <c r="N1071" t="inlineStr">
        <is>
          <t>P3</t>
        </is>
      </c>
      <c r="O1071" t="inlineStr">
        <is>
          <t>CVE - IP enrichment n/a</t>
        </is>
      </c>
      <c r="P1071" t="n">
        <v>0</v>
      </c>
      <c r="Q1071" t="n">
        <v>0</v>
      </c>
      <c r="R1071" t="inlineStr">
        <is>
          <t>T1203:Exploitation for Client Execution</t>
        </is>
      </c>
      <c r="S1071" t="n">
        <v>1</v>
      </c>
      <c r="T1071" t="inlineStr">
        <is>
          <t>LOW (40%)</t>
        </is>
      </c>
      <c r="U1071" t="inlineStr">
        <is>
          <t>UNLIKELY</t>
        </is>
      </c>
      <c r="V1071" t="inlineStr">
        <is>
          <t>CHECK_VENDOR</t>
        </is>
      </c>
      <c r="W1071" t="inlineStr">
        <is>
          <t>https://nvd.nist.gov/vuln/detail/CVE-2026-2853</t>
        </is>
      </c>
      <c r="X1071" t="inlineStr">
        <is>
          <t>NONE</t>
        </is>
      </c>
      <c r="Y1071" t="n">
        <v>0</v>
      </c>
      <c r="Z1071" t="inlineStr"/>
      <c r="AA1071" t="inlineStr">
        <is>
          <t>https://nvd.nist.gov/vuln/detail/CVE-2026-2853</t>
        </is>
      </c>
    </row>
    <row r="1072">
      <c r="A1072" t="inlineStr">
        <is>
          <t>CVE</t>
        </is>
      </c>
      <c r="B1072" t="inlineStr">
        <is>
          <t>CVE-2026-2854</t>
        </is>
      </c>
      <c r="C1072" t="inlineStr">
        <is>
          <t>A flaw has been found in D-Link DWR-M960 1.01.07. This impacts the function sub_4611CC of the file /boafrm/formNtp of the component NTP Configuration Endpoint. Executing a manipulation of the argument submit-url can lead to stack-based buffer overflow. The attack can be launched remotely. The exploit has been published and may be used.</t>
        </is>
      </c>
      <c r="D1072" t="n">
        <v>8.800000000000001</v>
      </c>
      <c r="E1072" t="inlineStr">
        <is>
          <t>HIGH</t>
        </is>
      </c>
      <c r="F1072" t="n">
        <v>2</v>
      </c>
      <c r="G1072" t="n">
        <v>3</v>
      </c>
      <c r="H1072" t="inlineStr">
        <is>
          <t>HIGH</t>
        </is>
      </c>
      <c r="I1072" t="n">
        <v>14.8</v>
      </c>
      <c r="J1072" t="inlineStr">
        <is>
          <t>NO</t>
        </is>
      </c>
      <c r="K1072" t="inlineStr">
        <is>
          <t>2026-02-23 23:48</t>
        </is>
      </c>
      <c r="L1072" t="inlineStr">
        <is>
          <t>CHECK_VENDOR</t>
        </is>
      </c>
      <c r="M1072" t="inlineStr">
        <is>
          <t>dlink dwr-m960 b1 | dlink dwr-m960_firmware 1.01.07</t>
        </is>
      </c>
      <c r="N1072" t="inlineStr">
        <is>
          <t>P3</t>
        </is>
      </c>
      <c r="O1072" t="inlineStr">
        <is>
          <t>CVE - IP enrichment n/a</t>
        </is>
      </c>
      <c r="P1072" t="n">
        <v>0</v>
      </c>
      <c r="Q1072" t="n">
        <v>0</v>
      </c>
      <c r="R1072" t="inlineStr">
        <is>
          <t>T1203:Exploitation for Client Execution</t>
        </is>
      </c>
      <c r="S1072" t="n">
        <v>1</v>
      </c>
      <c r="T1072" t="inlineStr">
        <is>
          <t>LOW (40%)</t>
        </is>
      </c>
      <c r="U1072" t="inlineStr">
        <is>
          <t>UNLIKELY</t>
        </is>
      </c>
      <c r="V1072" t="inlineStr">
        <is>
          <t>CHECK_VENDOR</t>
        </is>
      </c>
      <c r="W1072" t="inlineStr">
        <is>
          <t>https://nvd.nist.gov/vuln/detail/CVE-2026-2854</t>
        </is>
      </c>
      <c r="X1072" t="inlineStr">
        <is>
          <t>NONE</t>
        </is>
      </c>
      <c r="Y1072" t="n">
        <v>0</v>
      </c>
      <c r="Z1072" t="inlineStr"/>
      <c r="AA1072" t="inlineStr">
        <is>
          <t>https://nvd.nist.gov/vuln/detail/CVE-2026-2854</t>
        </is>
      </c>
    </row>
    <row r="1073">
      <c r="A1073" t="inlineStr">
        <is>
          <t>CVE</t>
        </is>
      </c>
      <c r="B1073" t="inlineStr">
        <is>
          <t>CVE-2026-2855</t>
        </is>
      </c>
      <c r="C1073" t="inlineStr">
        <is>
          <t>A vulnerability has been found in D-Link DWR-M960 1.01.07. Affected is the function sub_4648F0 of the file /boafrm/formDdns of the component DDNS Settings Handler. The manipulation of the argument submit-url leads to stack-based buffer overflow. The attack may be initiated remotely. The exploit has been disclosed to the public and may be used.</t>
        </is>
      </c>
      <c r="D1073" t="n">
        <v>8.800000000000001</v>
      </c>
      <c r="E1073" t="inlineStr">
        <is>
          <t>HIGH</t>
        </is>
      </c>
      <c r="F1073" t="n">
        <v>2</v>
      </c>
      <c r="G1073" t="n">
        <v>3</v>
      </c>
      <c r="H1073" t="inlineStr">
        <is>
          <t>HIGH</t>
        </is>
      </c>
      <c r="I1073" t="n">
        <v>14.8</v>
      </c>
      <c r="J1073" t="inlineStr">
        <is>
          <t>NO</t>
        </is>
      </c>
      <c r="K1073" t="inlineStr">
        <is>
          <t>2026-02-23 23:48</t>
        </is>
      </c>
      <c r="L1073" t="inlineStr">
        <is>
          <t>CHECK_VENDOR</t>
        </is>
      </c>
      <c r="M1073" t="inlineStr">
        <is>
          <t>dlink dwr-m960 b1 | dlink dwr-m960_firmware 1.01.07</t>
        </is>
      </c>
      <c r="N1073" t="inlineStr">
        <is>
          <t>P3</t>
        </is>
      </c>
      <c r="O1073" t="inlineStr">
        <is>
          <t>CVE - IP enrichment n/a</t>
        </is>
      </c>
      <c r="P1073" t="n">
        <v>0</v>
      </c>
      <c r="Q1073" t="n">
        <v>0</v>
      </c>
      <c r="R1073" t="inlineStr">
        <is>
          <t>T1203:Exploitation for Client Execution</t>
        </is>
      </c>
      <c r="S1073" t="n">
        <v>1</v>
      </c>
      <c r="T1073" t="inlineStr">
        <is>
          <t>LOW (40%)</t>
        </is>
      </c>
      <c r="U1073" t="inlineStr">
        <is>
          <t>UNLIKELY</t>
        </is>
      </c>
      <c r="V1073" t="inlineStr">
        <is>
          <t>CHECK_VENDOR</t>
        </is>
      </c>
      <c r="W1073" t="inlineStr">
        <is>
          <t>https://nvd.nist.gov/vuln/detail/CVE-2026-2855</t>
        </is>
      </c>
      <c r="X1073" t="inlineStr">
        <is>
          <t>NONE</t>
        </is>
      </c>
      <c r="Y1073" t="n">
        <v>0</v>
      </c>
      <c r="Z1073" t="inlineStr"/>
      <c r="AA1073" t="inlineStr">
        <is>
          <t>https://nvd.nist.gov/vuln/detail/CVE-2026-2855</t>
        </is>
      </c>
    </row>
    <row r="1074">
      <c r="A1074" t="inlineStr">
        <is>
          <t>CVE</t>
        </is>
      </c>
      <c r="B1074" t="inlineStr">
        <is>
          <t>CVE-2026-24892</t>
        </is>
      </c>
      <c r="C1074" t="inlineStr">
        <is>
          <t xml:space="preserve">openITCOCKPIT is an open source monitoring tool built for different monitoring engines like Nagios, Naemon and Prometheus. openITCOCKPIT Community Edition 5.3.1 and earlier contains an unsafe PHP deserialization pattern in the processing of changelog entries. Serialized changelog data derived from attacker-influenced application state is unserialized without restricting allowed classes. Although no current application endpoint was found to introduce PHP objects into this data path, the presence </t>
        </is>
      </c>
      <c r="D1074" t="n">
        <v>7.5</v>
      </c>
      <c r="E1074" t="inlineStr">
        <is>
          <t>HIGH</t>
        </is>
      </c>
      <c r="F1074" t="n">
        <v>2</v>
      </c>
      <c r="G1074" t="n">
        <v>3</v>
      </c>
      <c r="H1074" t="inlineStr">
        <is>
          <t>HIGH</t>
        </is>
      </c>
      <c r="I1074" t="n">
        <v>13.5</v>
      </c>
      <c r="J1074" t="inlineStr">
        <is>
          <t>NO</t>
        </is>
      </c>
      <c r="K1074" t="inlineStr">
        <is>
          <t>2026-02-23 23:48</t>
        </is>
      </c>
      <c r="L1074" t="inlineStr">
        <is>
          <t>CHECK_VENDOR</t>
        </is>
      </c>
      <c r="M1074" t="inlineStr">
        <is>
          <t>See CVE details</t>
        </is>
      </c>
      <c r="N1074" t="inlineStr">
        <is>
          <t>P3</t>
        </is>
      </c>
      <c r="O1074" t="inlineStr">
        <is>
          <t>CVE - IP enrichment n/a</t>
        </is>
      </c>
      <c r="P1074" t="n">
        <v>0.0031</v>
      </c>
      <c r="Q1074" t="n">
        <v>0.5415</v>
      </c>
      <c r="R1074" t="inlineStr">
        <is>
          <t>T1059:Command and Scripting Interpreter | T1190:Exploit Public-Facing Application | T1210:Exploitation of Remote Services</t>
        </is>
      </c>
      <c r="S1074" t="n">
        <v>1</v>
      </c>
      <c r="T1074" t="inlineStr">
        <is>
          <t>LOW (40%)</t>
        </is>
      </c>
      <c r="U1074" t="inlineStr">
        <is>
          <t>UNLIKELY</t>
        </is>
      </c>
      <c r="V1074" t="inlineStr">
        <is>
          <t>CHECK_VENDOR</t>
        </is>
      </c>
      <c r="W1074" t="inlineStr">
        <is>
          <t>https://nvd.nist.gov/vuln/detail/CVE-2026-24892</t>
        </is>
      </c>
      <c r="X1074" t="inlineStr">
        <is>
          <t>NONE</t>
        </is>
      </c>
      <c r="Y1074" t="n">
        <v>0</v>
      </c>
      <c r="Z1074" t="inlineStr"/>
      <c r="AA1074" t="inlineStr">
        <is>
          <t>https://nvd.nist.gov/vuln/detail/CVE-2026-24892</t>
        </is>
      </c>
    </row>
    <row r="1075">
      <c r="A1075" t="inlineStr">
        <is>
          <t>CVE</t>
        </is>
      </c>
      <c r="B1075" t="inlineStr">
        <is>
          <t>CVE-2026-25896</t>
        </is>
      </c>
      <c r="C1075" t="inlineStr">
        <is>
          <t>fast-xml-parser allows users to validate XML, parse XML to JS object, or build XML from JS object without C/C++ based libraries and no callback. From 4.1.3to before 5.3.5, a dot (.) in a DOCTYPE entity name is treated as a regex wildcard during entity replacement, allowing an attacker to shadow built-in XML entities (&amp;lt;, &amp;gt;, &amp;amp;, &amp;quot;, &amp;apos;) with arbitrary values. This bypasses entity encoding and leads to XSS when parsed output is rendered. This vulnerability is fixed in 5.3.5.</t>
        </is>
      </c>
      <c r="D1075" t="n">
        <v>9.300000000000001</v>
      </c>
      <c r="E1075" t="inlineStr">
        <is>
          <t>CRITICAL</t>
        </is>
      </c>
      <c r="F1075" t="n">
        <v>2</v>
      </c>
      <c r="G1075" t="n">
        <v>3</v>
      </c>
      <c r="H1075" t="inlineStr">
        <is>
          <t>HIGH</t>
        </is>
      </c>
      <c r="I1075" t="n">
        <v>15.3</v>
      </c>
      <c r="J1075" t="inlineStr">
        <is>
          <t>NO</t>
        </is>
      </c>
      <c r="K1075" t="inlineStr">
        <is>
          <t>2026-02-23 23:48</t>
        </is>
      </c>
      <c r="L1075" t="inlineStr">
        <is>
          <t>CHECK_VENDOR</t>
        </is>
      </c>
      <c r="M1075" t="inlineStr">
        <is>
          <t>See CVE details</t>
        </is>
      </c>
      <c r="N1075" t="inlineStr">
        <is>
          <t>P3</t>
        </is>
      </c>
      <c r="O1075" t="inlineStr">
        <is>
          <t>CVE - IP enrichment n/a</t>
        </is>
      </c>
      <c r="P1075" t="n">
        <v>0</v>
      </c>
      <c r="Q1075" t="n">
        <v>0</v>
      </c>
      <c r="R1075" t="inlineStr">
        <is>
          <t>T1189:Drive-by Compromise</t>
        </is>
      </c>
      <c r="S1075" t="n">
        <v>2</v>
      </c>
      <c r="T1075" t="inlineStr">
        <is>
          <t>MEDIUM (52%)</t>
        </is>
      </c>
      <c r="U1075" t="inlineStr">
        <is>
          <t>UNLIKELY</t>
        </is>
      </c>
      <c r="V1075" t="inlineStr">
        <is>
          <t>CHECK_VENDOR</t>
        </is>
      </c>
      <c r="W1075" t="inlineStr">
        <is>
          <t>https://nvd.nist.gov/vuln/detail/CVE-2026-25896</t>
        </is>
      </c>
      <c r="X1075" t="inlineStr">
        <is>
          <t>NONE</t>
        </is>
      </c>
      <c r="Y1075" t="n">
        <v>0</v>
      </c>
      <c r="Z1075" t="inlineStr"/>
      <c r="AA1075" t="inlineStr">
        <is>
          <t>https://nvd.nist.gov/vuln/detail/CVE-2026-25896</t>
        </is>
      </c>
    </row>
    <row r="1076">
      <c r="A1076" t="inlineStr">
        <is>
          <t>CVE</t>
        </is>
      </c>
      <c r="B1076" t="inlineStr">
        <is>
          <t>CVE-2026-27020</t>
        </is>
      </c>
      <c r="C1076" t="inlineStr">
        <is>
          <t>Photobooth prior to 1.0.1 has a cross-site scripting (XSS) vulnerability in user input fields. Malicious users could inject scripts through unvalidated form inputs. This vulnerability is fixed in 1.0.1.</t>
        </is>
      </c>
      <c r="D1076" t="n">
        <v>5</v>
      </c>
      <c r="E1076" t="inlineStr">
        <is>
          <t>MEDIUM</t>
        </is>
      </c>
      <c r="F1076" t="n">
        <v>2</v>
      </c>
      <c r="G1076" t="n">
        <v>2</v>
      </c>
      <c r="H1076" t="inlineStr">
        <is>
          <t>MEDIUM</t>
        </is>
      </c>
      <c r="I1076" t="n">
        <v>9</v>
      </c>
      <c r="J1076" t="inlineStr">
        <is>
          <t>NO</t>
        </is>
      </c>
      <c r="K1076" t="inlineStr">
        <is>
          <t>2026-02-23 23:48</t>
        </is>
      </c>
      <c r="L1076" t="inlineStr">
        <is>
          <t>CHECK_VENDOR</t>
        </is>
      </c>
      <c r="M1076" t="inlineStr">
        <is>
          <t>See CVE details</t>
        </is>
      </c>
      <c r="N1076" t="inlineStr">
        <is>
          <t>P4</t>
        </is>
      </c>
      <c r="O1076" t="inlineStr">
        <is>
          <t>CVE - IP enrichment n/a</t>
        </is>
      </c>
      <c r="P1076" t="n">
        <v>0</v>
      </c>
      <c r="Q1076" t="n">
        <v>0</v>
      </c>
      <c r="R1076" t="inlineStr">
        <is>
          <t>T1189:Drive-by Compromise</t>
        </is>
      </c>
      <c r="S1076" t="n">
        <v>1</v>
      </c>
      <c r="T1076" t="inlineStr">
        <is>
          <t>LOW (40%)</t>
        </is>
      </c>
      <c r="U1076" t="inlineStr">
        <is>
          <t>UNLIKELY</t>
        </is>
      </c>
      <c r="V1076" t="inlineStr">
        <is>
          <t>CHECK_VENDOR</t>
        </is>
      </c>
      <c r="W1076" t="inlineStr">
        <is>
          <t>https://nvd.nist.gov/vuln/detail/CVE-2026-27020</t>
        </is>
      </c>
      <c r="X1076" t="inlineStr">
        <is>
          <t>NONE</t>
        </is>
      </c>
      <c r="Y1076" t="n">
        <v>0</v>
      </c>
      <c r="Z1076" t="inlineStr"/>
      <c r="AA1076" t="inlineStr">
        <is>
          <t>https://nvd.nist.gov/vuln/detail/CVE-2026-27020</t>
        </is>
      </c>
    </row>
    <row r="1077">
      <c r="A1077" t="inlineStr">
        <is>
          <t>CVE</t>
        </is>
      </c>
      <c r="B1077" t="inlineStr">
        <is>
          <t>CVE-2026-27190</t>
        </is>
      </c>
      <c r="C1077" t="inlineStr">
        <is>
          <t>Deno is a JavaScript, TypeScript, and WebAssembly runtime. Prior to 2.6.8, a command injection vulnerability exists in Deno's node:child_process implementation. This vulnerability is fixed in 2.6.8.</t>
        </is>
      </c>
      <c r="D1077" t="n">
        <v>8.1</v>
      </c>
      <c r="E1077" t="inlineStr">
        <is>
          <t>HIGH</t>
        </is>
      </c>
      <c r="F1077" t="n">
        <v>2</v>
      </c>
      <c r="G1077" t="n">
        <v>3</v>
      </c>
      <c r="H1077" t="inlineStr">
        <is>
          <t>HIGH</t>
        </is>
      </c>
      <c r="I1077" t="n">
        <v>14.1</v>
      </c>
      <c r="J1077" t="inlineStr">
        <is>
          <t>NO</t>
        </is>
      </c>
      <c r="K1077" t="inlineStr">
        <is>
          <t>2026-02-23 23:48</t>
        </is>
      </c>
      <c r="L1077" t="inlineStr">
        <is>
          <t>CHECK_VENDOR</t>
        </is>
      </c>
      <c r="M1077" t="inlineStr">
        <is>
          <t>See CVE details</t>
        </is>
      </c>
      <c r="N1077" t="inlineStr">
        <is>
          <t>P3</t>
        </is>
      </c>
      <c r="O1077" t="inlineStr">
        <is>
          <t>CVE - IP enrichment n/a</t>
        </is>
      </c>
      <c r="P1077" t="n">
        <v>0</v>
      </c>
      <c r="Q1077" t="n">
        <v>0</v>
      </c>
      <c r="R1077" t="inlineStr">
        <is>
          <t>T1059:Command and Scripting Interpreter</t>
        </is>
      </c>
      <c r="S1077" t="n">
        <v>1</v>
      </c>
      <c r="T1077" t="inlineStr">
        <is>
          <t>LOW (40%)</t>
        </is>
      </c>
      <c r="U1077" t="inlineStr">
        <is>
          <t>UNLIKELY</t>
        </is>
      </c>
      <c r="V1077" t="inlineStr">
        <is>
          <t>CHECK_VENDOR</t>
        </is>
      </c>
      <c r="W1077" t="inlineStr">
        <is>
          <t>https://nvd.nist.gov/vuln/detail/CVE-2026-27190</t>
        </is>
      </c>
      <c r="X1077" t="inlineStr">
        <is>
          <t>NONE</t>
        </is>
      </c>
      <c r="Y1077" t="n">
        <v>0</v>
      </c>
      <c r="Z1077" t="inlineStr"/>
      <c r="AA1077" t="inlineStr">
        <is>
          <t>https://nvd.nist.gov/vuln/detail/CVE-2026-27190</t>
        </is>
      </c>
    </row>
    <row r="1078">
      <c r="A1078" t="inlineStr">
        <is>
          <t>CVE</t>
        </is>
      </c>
      <c r="B1078" t="inlineStr">
        <is>
          <t>CVE-2026-2856</t>
        </is>
      </c>
      <c r="C1078" t="inlineStr">
        <is>
          <t>A vulnerability was found in D-Link DWR-M960 1.01.07. Affected by this vulnerability is the function sub_424AFC of the file /boafrm/formFilter of the component Filter Configuration Endpoint. The manipulation of the argument submit-url results in stack-based buffer overflow. The attack may be launched remotely. The exploit has been made public and could be used.</t>
        </is>
      </c>
      <c r="D1078" t="n">
        <v>8.800000000000001</v>
      </c>
      <c r="E1078" t="inlineStr">
        <is>
          <t>HIGH</t>
        </is>
      </c>
      <c r="F1078" t="n">
        <v>2</v>
      </c>
      <c r="G1078" t="n">
        <v>3</v>
      </c>
      <c r="H1078" t="inlineStr">
        <is>
          <t>HIGH</t>
        </is>
      </c>
      <c r="I1078" t="n">
        <v>14.8</v>
      </c>
      <c r="J1078" t="inlineStr">
        <is>
          <t>NO</t>
        </is>
      </c>
      <c r="K1078" t="inlineStr">
        <is>
          <t>2026-02-23 23:48</t>
        </is>
      </c>
      <c r="L1078" t="inlineStr">
        <is>
          <t>CHECK_VENDOR</t>
        </is>
      </c>
      <c r="M1078" t="inlineStr">
        <is>
          <t>dlink dwr-m960 b1 | dlink dwr-m960_firmware 1.01.07</t>
        </is>
      </c>
      <c r="N1078" t="inlineStr">
        <is>
          <t>P3</t>
        </is>
      </c>
      <c r="O1078" t="inlineStr">
        <is>
          <t>CVE - IP enrichment n/a</t>
        </is>
      </c>
      <c r="P1078" t="n">
        <v>0</v>
      </c>
      <c r="Q1078" t="n">
        <v>0</v>
      </c>
      <c r="R1078" t="inlineStr">
        <is>
          <t>T1203:Exploitation for Client Execution</t>
        </is>
      </c>
      <c r="S1078" t="n">
        <v>1</v>
      </c>
      <c r="T1078" t="inlineStr">
        <is>
          <t>LOW (40%)</t>
        </is>
      </c>
      <c r="U1078" t="inlineStr">
        <is>
          <t>UNLIKELY</t>
        </is>
      </c>
      <c r="V1078" t="inlineStr">
        <is>
          <t>CHECK_VENDOR</t>
        </is>
      </c>
      <c r="W1078" t="inlineStr">
        <is>
          <t>https://nvd.nist.gov/vuln/detail/CVE-2026-2856</t>
        </is>
      </c>
      <c r="X1078" t="inlineStr">
        <is>
          <t>NONE</t>
        </is>
      </c>
      <c r="Y1078" t="n">
        <v>0</v>
      </c>
      <c r="Z1078" t="inlineStr"/>
      <c r="AA1078" t="inlineStr">
        <is>
          <t>https://nvd.nist.gov/vuln/detail/CVE-2026-2856</t>
        </is>
      </c>
    </row>
    <row r="1079">
      <c r="A1079" t="inlineStr">
        <is>
          <t>CVE</t>
        </is>
      </c>
      <c r="B1079" t="inlineStr">
        <is>
          <t>CVE-2026-2857</t>
        </is>
      </c>
      <c r="C1079" t="inlineStr">
        <is>
          <t>A vulnerability was determined in D-Link DWR-M960 1.01.07. Affected by this issue is the function sub_423E00 of the file /boafrm/formPortFw of the component Port Forwarding Configuration Endpoint. This manipulation of the argument submit-url causes stack-based buffer overflow. Remote exploitation of the attack is possible. The exploit has been publicly disclosed and may be utilized.</t>
        </is>
      </c>
      <c r="D1079" t="n">
        <v>8.800000000000001</v>
      </c>
      <c r="E1079" t="inlineStr">
        <is>
          <t>HIGH</t>
        </is>
      </c>
      <c r="F1079" t="n">
        <v>2</v>
      </c>
      <c r="G1079" t="n">
        <v>3</v>
      </c>
      <c r="H1079" t="inlineStr">
        <is>
          <t>HIGH</t>
        </is>
      </c>
      <c r="I1079" t="n">
        <v>14.8</v>
      </c>
      <c r="J1079" t="inlineStr">
        <is>
          <t>NO</t>
        </is>
      </c>
      <c r="K1079" t="inlineStr">
        <is>
          <t>2026-02-23 23:48</t>
        </is>
      </c>
      <c r="L1079" t="inlineStr">
        <is>
          <t>CHECK_VENDOR</t>
        </is>
      </c>
      <c r="M1079" t="inlineStr">
        <is>
          <t>dlink dwr-m960 b1 | dlink dwr-m960_firmware 1.01.07</t>
        </is>
      </c>
      <c r="N1079" t="inlineStr">
        <is>
          <t>P3</t>
        </is>
      </c>
      <c r="O1079" t="inlineStr">
        <is>
          <t>CVE - IP enrichment n/a</t>
        </is>
      </c>
      <c r="P1079" t="n">
        <v>0</v>
      </c>
      <c r="Q1079" t="n">
        <v>0</v>
      </c>
      <c r="R1079" t="inlineStr">
        <is>
          <t>T1203:Exploitation for Client Execution</t>
        </is>
      </c>
      <c r="S1079" t="n">
        <v>1</v>
      </c>
      <c r="T1079" t="inlineStr">
        <is>
          <t>LOW (40%)</t>
        </is>
      </c>
      <c r="U1079" t="inlineStr">
        <is>
          <t>UNLIKELY</t>
        </is>
      </c>
      <c r="V1079" t="inlineStr">
        <is>
          <t>CHECK_VENDOR</t>
        </is>
      </c>
      <c r="W1079" t="inlineStr">
        <is>
          <t>https://nvd.nist.gov/vuln/detail/CVE-2026-2857</t>
        </is>
      </c>
      <c r="X1079" t="inlineStr">
        <is>
          <t>NONE</t>
        </is>
      </c>
      <c r="Y1079" t="n">
        <v>0</v>
      </c>
      <c r="Z1079" t="inlineStr"/>
      <c r="AA1079" t="inlineStr">
        <is>
          <t>https://nvd.nist.gov/vuln/detail/CVE-2026-2857</t>
        </is>
      </c>
    </row>
    <row r="1080">
      <c r="A1080" t="inlineStr">
        <is>
          <t>CVE</t>
        </is>
      </c>
      <c r="B1080" t="inlineStr">
        <is>
          <t>CVE-2026-0777</t>
        </is>
      </c>
      <c r="C1080" t="inlineStr">
        <is>
          <t>Xmind Attachment Insufficient UI Warning Remote Code Execution Vulnerability. This vulnerability allows remote attackers to execute arbitrary code on affected installations of Xmind. User interaction is required to exploit this vulnerability in that the target must visit a malicious page or open a malicious file.
The specific flaw exists within the handling of attachments. When opening an attachment, the user interface fails to warn the user of unsafe actions. An attacker can leverage this vuln</t>
        </is>
      </c>
      <c r="D1080" t="n">
        <v>7.8</v>
      </c>
      <c r="E1080" t="inlineStr">
        <is>
          <t>HIGH</t>
        </is>
      </c>
      <c r="F1080" t="n">
        <v>2</v>
      </c>
      <c r="G1080" t="n">
        <v>3</v>
      </c>
      <c r="H1080" t="inlineStr">
        <is>
          <t>HIGH</t>
        </is>
      </c>
      <c r="I1080" t="n">
        <v>13.8</v>
      </c>
      <c r="J1080" t="inlineStr">
        <is>
          <t>NO</t>
        </is>
      </c>
      <c r="K1080" t="inlineStr">
        <is>
          <t>2026-02-23 23:48</t>
        </is>
      </c>
      <c r="L1080" t="inlineStr">
        <is>
          <t>CHECK_VENDOR</t>
        </is>
      </c>
      <c r="M1080" t="inlineStr">
        <is>
          <t>See CVE details</t>
        </is>
      </c>
      <c r="N1080" t="inlineStr">
        <is>
          <t>P1</t>
        </is>
      </c>
      <c r="O1080" t="inlineStr">
        <is>
          <t>CVE - IP enrichment n/a</t>
        </is>
      </c>
      <c r="P1080" t="n">
        <v>0</v>
      </c>
      <c r="Q1080" t="n">
        <v>0</v>
      </c>
      <c r="R1080" t="inlineStr">
        <is>
          <t>T1190:Exploit Public-Facing Application | T1210:Exploitation of Remote Services | T1203:Exploitation for Client Execution</t>
        </is>
      </c>
      <c r="S1080" t="n">
        <v>2</v>
      </c>
      <c r="T1080" t="inlineStr">
        <is>
          <t>HIGH (72%)</t>
        </is>
      </c>
      <c r="U1080" t="inlineStr">
        <is>
          <t>HIGH</t>
        </is>
      </c>
      <c r="V1080" t="inlineStr">
        <is>
          <t>CHECK_VENDOR</t>
        </is>
      </c>
      <c r="W1080" t="inlineStr">
        <is>
          <t>https://nvd.nist.gov/vuln/detail/CVE-2026-0777</t>
        </is>
      </c>
      <c r="X1080" t="inlineStr">
        <is>
          <t>http://www.zerodayinitiative.com/advisories/ZDI-26-123/</t>
        </is>
      </c>
      <c r="Y1080" t="n">
        <v>0</v>
      </c>
      <c r="Z1080" t="inlineStr"/>
      <c r="AA1080" t="inlineStr">
        <is>
          <t>https://nvd.nist.gov/vuln/detail/CVE-2026-0777</t>
        </is>
      </c>
    </row>
    <row r="1081">
      <c r="A1081" t="inlineStr">
        <is>
          <t>CVE</t>
        </is>
      </c>
      <c r="B1081" t="inlineStr">
        <is>
          <t>CVE-2026-0797</t>
        </is>
      </c>
      <c r="C1081" t="inlineStr">
        <is>
          <t>GIMP ICO File Parsing Heap-based Buffer Overflow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ICO files. The issue results from the lack of proper validation of the length of user-supplied data prior to copying it to a heap-</t>
        </is>
      </c>
      <c r="D1081" t="n">
        <v>7.8</v>
      </c>
      <c r="E1081" t="inlineStr">
        <is>
          <t>HIGH</t>
        </is>
      </c>
      <c r="F1081" t="n">
        <v>2</v>
      </c>
      <c r="G1081" t="n">
        <v>3</v>
      </c>
      <c r="H1081" t="inlineStr">
        <is>
          <t>HIGH</t>
        </is>
      </c>
      <c r="I1081" t="n">
        <v>13.8</v>
      </c>
      <c r="J1081" t="inlineStr">
        <is>
          <t>NO</t>
        </is>
      </c>
      <c r="K1081" t="inlineStr">
        <is>
          <t>2026-02-23 23:48</t>
        </is>
      </c>
      <c r="L1081" t="inlineStr">
        <is>
          <t>CHECK_VENDOR</t>
        </is>
      </c>
      <c r="M1081" t="inlineStr">
        <is>
          <t>See CVE details</t>
        </is>
      </c>
      <c r="N1081" t="inlineStr">
        <is>
          <t>P2</t>
        </is>
      </c>
      <c r="O1081" t="inlineStr">
        <is>
          <t>CVE - IP enrichment n/a</t>
        </is>
      </c>
      <c r="P1081" t="n">
        <v>0</v>
      </c>
      <c r="Q1081" t="n">
        <v>0</v>
      </c>
      <c r="R1081" t="inlineStr">
        <is>
          <t>T1190:Exploit Public-Facing Application | T1210:Exploitation of Remote Services | T1203:Exploitation for Client Execution</t>
        </is>
      </c>
      <c r="S1081" t="n">
        <v>3</v>
      </c>
      <c r="T1081" t="inlineStr">
        <is>
          <t>HIGH (85%)</t>
        </is>
      </c>
      <c r="U1081" t="inlineStr">
        <is>
          <t>HIGH</t>
        </is>
      </c>
      <c r="V1081" t="inlineStr">
        <is>
          <t>CHECK_VENDOR</t>
        </is>
      </c>
      <c r="W1081" t="inlineStr">
        <is>
          <t>https://nvd.nist.gov/vuln/detail/CVE-2026-0797</t>
        </is>
      </c>
      <c r="X1081" t="inlineStr">
        <is>
          <t>NONE</t>
        </is>
      </c>
      <c r="Y1081" t="n">
        <v>0</v>
      </c>
      <c r="Z1081" t="inlineStr"/>
      <c r="AA1081" t="inlineStr">
        <is>
          <t>https://nvd.nist.gov/vuln/detail/CVE-2026-0797</t>
        </is>
      </c>
    </row>
    <row r="1082">
      <c r="A1082" t="inlineStr">
        <is>
          <t>CVE</t>
        </is>
      </c>
      <c r="B1082" t="inlineStr">
        <is>
          <t>CVE-2026-27022</t>
        </is>
      </c>
      <c r="C1082" t="inlineStr">
        <is>
          <t>@langchain/langgraph-checkpoint-redis is the Redis checkpoint and store implementation for LangGraph. A query injection vulnerability exists in the @langchain/langgraph-checkpoint-redis package's filter handling. The RedisSaver and ShallowRedisSaver classes construct RediSearch queries by directly interpolating user-provided filter keys and values without proper escaping. RediSearch has special syntax characters that can modify query behavior, and when user-controlled data contains these charact</t>
        </is>
      </c>
      <c r="D1082" t="n">
        <v>6.5</v>
      </c>
      <c r="E1082" t="inlineStr">
        <is>
          <t>MEDIUM</t>
        </is>
      </c>
      <c r="F1082" t="n">
        <v>2</v>
      </c>
      <c r="G1082" t="n">
        <v>2</v>
      </c>
      <c r="H1082" t="inlineStr">
        <is>
          <t>MEDIUM</t>
        </is>
      </c>
      <c r="I1082" t="n">
        <v>10.5</v>
      </c>
      <c r="J1082" t="inlineStr">
        <is>
          <t>NO</t>
        </is>
      </c>
      <c r="K1082" t="inlineStr">
        <is>
          <t>2026-02-23 23:48</t>
        </is>
      </c>
      <c r="L1082" t="inlineStr">
        <is>
          <t>CHECK_VENDOR</t>
        </is>
      </c>
      <c r="M1082" t="inlineStr">
        <is>
          <t>See CVE details</t>
        </is>
      </c>
      <c r="N1082" t="inlineStr">
        <is>
          <t>P4</t>
        </is>
      </c>
      <c r="O1082" t="inlineStr">
        <is>
          <t>CVE - IP enrichment n/a</t>
        </is>
      </c>
      <c r="P1082" t="n">
        <v>0.0003</v>
      </c>
      <c r="Q1082" t="n">
        <v>0.0906</v>
      </c>
      <c r="R1082" t="inlineStr">
        <is>
          <t>T1190:Exploit Public-Facing Application</t>
        </is>
      </c>
      <c r="S1082" t="n">
        <v>1</v>
      </c>
      <c r="T1082" t="inlineStr">
        <is>
          <t>LOW (40%)</t>
        </is>
      </c>
      <c r="U1082" t="inlineStr">
        <is>
          <t>UNLIKELY</t>
        </is>
      </c>
      <c r="V1082" t="inlineStr">
        <is>
          <t>CHECK_VENDOR</t>
        </is>
      </c>
      <c r="W1082" t="inlineStr">
        <is>
          <t>https://nvd.nist.gov/vuln/detail/CVE-2026-27022</t>
        </is>
      </c>
      <c r="X1082" t="inlineStr">
        <is>
          <t>NONE</t>
        </is>
      </c>
      <c r="Y1082" t="n">
        <v>0</v>
      </c>
      <c r="Z1082" t="inlineStr"/>
      <c r="AA1082" t="inlineStr">
        <is>
          <t>https://nvd.nist.gov/vuln/detail/CVE-2026-27022</t>
        </is>
      </c>
    </row>
    <row r="1083">
      <c r="A1083" t="inlineStr">
        <is>
          <t>CVE</t>
        </is>
      </c>
      <c r="B1083" t="inlineStr">
        <is>
          <t>CVE-2026-27024</t>
        </is>
      </c>
      <c r="C1083" t="inlineStr">
        <is>
          <t>pypdf is a free and open-source pure-python PDF library. Prior to 6.7.1, an attacker who uses this vulnerability can craft a PDF which leads to an infinite loop. This requires accessing the children of a TreeObject, for example as part of outlines. This vulnerability is fixed in 6.7.1.</t>
        </is>
      </c>
      <c r="D1083" t="n">
        <v>8.5</v>
      </c>
      <c r="E1083" t="inlineStr">
        <is>
          <t>HIGH</t>
        </is>
      </c>
      <c r="F1083" t="n">
        <v>2</v>
      </c>
      <c r="G1083" t="n">
        <v>3</v>
      </c>
      <c r="H1083" t="inlineStr">
        <is>
          <t>HIGH</t>
        </is>
      </c>
      <c r="I1083" t="n">
        <v>14.5</v>
      </c>
      <c r="J1083" t="inlineStr">
        <is>
          <t>NO</t>
        </is>
      </c>
      <c r="K1083" t="inlineStr">
        <is>
          <t>2026-02-23 23:48</t>
        </is>
      </c>
      <c r="L1083" t="inlineStr">
        <is>
          <t>CHECK_VENDOR</t>
        </is>
      </c>
      <c r="M1083" t="inlineStr">
        <is>
          <t>See CVE details</t>
        </is>
      </c>
      <c r="N1083" t="inlineStr">
        <is>
          <t>P3</t>
        </is>
      </c>
      <c r="O1083" t="inlineStr">
        <is>
          <t>CVE - IP enrichment n/a</t>
        </is>
      </c>
      <c r="P1083" t="n">
        <v>0</v>
      </c>
      <c r="Q1083" t="n">
        <v>0</v>
      </c>
      <c r="R1083" t="inlineStr">
        <is>
          <t>T1190:Exploit Public-Facing Application</t>
        </is>
      </c>
      <c r="S1083" t="n">
        <v>2</v>
      </c>
      <c r="T1083" t="inlineStr">
        <is>
          <t>MEDIUM (52%)</t>
        </is>
      </c>
      <c r="U1083" t="inlineStr">
        <is>
          <t>UNLIKELY</t>
        </is>
      </c>
      <c r="V1083" t="inlineStr">
        <is>
          <t>CHECK_VENDOR</t>
        </is>
      </c>
      <c r="W1083" t="inlineStr">
        <is>
          <t>https://nvd.nist.gov/vuln/detail/CVE-2026-27024</t>
        </is>
      </c>
      <c r="X1083" t="inlineStr">
        <is>
          <t>NONE</t>
        </is>
      </c>
      <c r="Y1083" t="n">
        <v>0</v>
      </c>
      <c r="Z1083" t="inlineStr"/>
      <c r="AA1083" t="inlineStr">
        <is>
          <t>https://nvd.nist.gov/vuln/detail/CVE-2026-27024</t>
        </is>
      </c>
    </row>
    <row r="1084">
      <c r="A1084" t="inlineStr">
        <is>
          <t>CVE</t>
        </is>
      </c>
      <c r="B1084" t="inlineStr">
        <is>
          <t>CVE-2026-27025</t>
        </is>
      </c>
      <c r="C1084" t="inlineStr">
        <is>
          <t>pypdf is a free and open-source pure-python PDF library. Prior to 6.7.1, an attacker who uses this vulnerability can craft a PDF which leads to long runtimes and large memory consumption. This requires parsing the /ToUnicode entry of a font with unusually large values, for example during text extraction. This vulnerability is fixed in 6.7.1.</t>
        </is>
      </c>
      <c r="D1084" t="n">
        <v>8.5</v>
      </c>
      <c r="E1084" t="inlineStr">
        <is>
          <t>HIGH</t>
        </is>
      </c>
      <c r="F1084" t="n">
        <v>2</v>
      </c>
      <c r="G1084" t="n">
        <v>3</v>
      </c>
      <c r="H1084" t="inlineStr">
        <is>
          <t>HIGH</t>
        </is>
      </c>
      <c r="I1084" t="n">
        <v>14.5</v>
      </c>
      <c r="J1084" t="inlineStr">
        <is>
          <t>NO</t>
        </is>
      </c>
      <c r="K1084" t="inlineStr">
        <is>
          <t>2026-02-23 23:48</t>
        </is>
      </c>
      <c r="L1084" t="inlineStr">
        <is>
          <t>CHECK_VENDOR</t>
        </is>
      </c>
      <c r="M1084" t="inlineStr">
        <is>
          <t>See CVE details</t>
        </is>
      </c>
      <c r="N1084" t="inlineStr">
        <is>
          <t>P3</t>
        </is>
      </c>
      <c r="O1084" t="inlineStr">
        <is>
          <t>CVE - IP enrichment n/a</t>
        </is>
      </c>
      <c r="P1084" t="n">
        <v>0</v>
      </c>
      <c r="Q1084" t="n">
        <v>0</v>
      </c>
      <c r="R1084" t="inlineStr">
        <is>
          <t>T1190:Exploit Public-Facing Application</t>
        </is>
      </c>
      <c r="S1084" t="n">
        <v>2</v>
      </c>
      <c r="T1084" t="inlineStr">
        <is>
          <t>MEDIUM (52%)</t>
        </is>
      </c>
      <c r="U1084" t="inlineStr">
        <is>
          <t>UNLIKELY</t>
        </is>
      </c>
      <c r="V1084" t="inlineStr">
        <is>
          <t>CHECK_VENDOR</t>
        </is>
      </c>
      <c r="W1084" t="inlineStr">
        <is>
          <t>https://nvd.nist.gov/vuln/detail/CVE-2026-27025</t>
        </is>
      </c>
      <c r="X1084" t="inlineStr">
        <is>
          <t>NONE</t>
        </is>
      </c>
      <c r="Y1084" t="n">
        <v>0</v>
      </c>
      <c r="Z1084" t="inlineStr"/>
      <c r="AA1084" t="inlineStr">
        <is>
          <t>https://nvd.nist.gov/vuln/detail/CVE-2026-27025</t>
        </is>
      </c>
    </row>
    <row r="1085">
      <c r="A1085" t="inlineStr">
        <is>
          <t>CVE</t>
        </is>
      </c>
      <c r="B1085" t="inlineStr">
        <is>
          <t>CVE-2026-27026</t>
        </is>
      </c>
      <c r="C1085" t="inlineStr">
        <is>
          <t>pypdf is a free and open-source pure-python PDF library. Prior to 6.7.1, an attacker who uses this vulnerability can craft a PDF which leads to long runtimes. This requires a malformed /FlateDecode stream, where the byte-by-byte decompression is used. This vulnerability is fixed in 6.7.1.</t>
        </is>
      </c>
      <c r="D1085" t="n">
        <v>8.5</v>
      </c>
      <c r="E1085" t="inlineStr">
        <is>
          <t>HIGH</t>
        </is>
      </c>
      <c r="F1085" t="n">
        <v>2</v>
      </c>
      <c r="G1085" t="n">
        <v>3</v>
      </c>
      <c r="H1085" t="inlineStr">
        <is>
          <t>HIGH</t>
        </is>
      </c>
      <c r="I1085" t="n">
        <v>14.5</v>
      </c>
      <c r="J1085" t="inlineStr">
        <is>
          <t>NO</t>
        </is>
      </c>
      <c r="K1085" t="inlineStr">
        <is>
          <t>2026-02-23 23:48</t>
        </is>
      </c>
      <c r="L1085" t="inlineStr">
        <is>
          <t>CHECK_VENDOR</t>
        </is>
      </c>
      <c r="M1085" t="inlineStr">
        <is>
          <t>See CVE details</t>
        </is>
      </c>
      <c r="N1085" t="inlineStr">
        <is>
          <t>P3</t>
        </is>
      </c>
      <c r="O1085" t="inlineStr">
        <is>
          <t>CVE - IP enrichment n/a</t>
        </is>
      </c>
      <c r="P1085" t="n">
        <v>0</v>
      </c>
      <c r="Q1085" t="n">
        <v>0</v>
      </c>
      <c r="R1085" t="inlineStr">
        <is>
          <t>T1190:Exploit Public-Facing Application</t>
        </is>
      </c>
      <c r="S1085" t="n">
        <v>2</v>
      </c>
      <c r="T1085" t="inlineStr">
        <is>
          <t>MEDIUM (52%)</t>
        </is>
      </c>
      <c r="U1085" t="inlineStr">
        <is>
          <t>UNLIKELY</t>
        </is>
      </c>
      <c r="V1085" t="inlineStr">
        <is>
          <t>CHECK_VENDOR</t>
        </is>
      </c>
      <c r="W1085" t="inlineStr">
        <is>
          <t>https://nvd.nist.gov/vuln/detail/CVE-2026-27026</t>
        </is>
      </c>
      <c r="X1085" t="inlineStr">
        <is>
          <t>NONE</t>
        </is>
      </c>
      <c r="Y1085" t="n">
        <v>0</v>
      </c>
      <c r="Z1085" t="inlineStr"/>
      <c r="AA1085" t="inlineStr">
        <is>
          <t>https://nvd.nist.gov/vuln/detail/CVE-2026-27026</t>
        </is>
      </c>
    </row>
    <row r="1086">
      <c r="A1086" t="inlineStr">
        <is>
          <t>CVE</t>
        </is>
      </c>
      <c r="B1086" t="inlineStr">
        <is>
          <t>CVE-2026-27111</t>
        </is>
      </c>
      <c r="C1086" t="inlineStr">
        <is>
          <t>Kargo manages and automates the promotion of software artifacts. From v1.9.0 to v1.9.2, Kargo's authorization model includes a promote verb -- a non-standard Kubernetes "dolphin verb" -- that gates the ability to advance Freight through a promotion pipeline. This verb exists to separate the ability to manage promotion-related resources from the ability to trigger promotions, enabling fine-grained access control over what is often a sensitive operation. The promote verb is correctly enforced in K</t>
        </is>
      </c>
      <c r="D1086" t="n">
        <v>8.5</v>
      </c>
      <c r="E1086" t="inlineStr">
        <is>
          <t>HIGH</t>
        </is>
      </c>
      <c r="F1086" t="n">
        <v>2</v>
      </c>
      <c r="G1086" t="n">
        <v>3</v>
      </c>
      <c r="H1086" t="inlineStr">
        <is>
          <t>HIGH</t>
        </is>
      </c>
      <c r="I1086" t="n">
        <v>14.5</v>
      </c>
      <c r="J1086" t="inlineStr">
        <is>
          <t>NO</t>
        </is>
      </c>
      <c r="K1086" t="inlineStr">
        <is>
          <t>2026-02-23 23:48</t>
        </is>
      </c>
      <c r="L1086" t="inlineStr">
        <is>
          <t>CHECK_VENDOR</t>
        </is>
      </c>
      <c r="M1086" t="inlineStr">
        <is>
          <t>See CVE details</t>
        </is>
      </c>
      <c r="N1086" t="inlineStr">
        <is>
          <t>P3</t>
        </is>
      </c>
      <c r="O1086" t="inlineStr">
        <is>
          <t>CVE - IP enrichment n/a</t>
        </is>
      </c>
      <c r="P1086" t="n">
        <v>0</v>
      </c>
      <c r="Q1086" t="n">
        <v>0</v>
      </c>
      <c r="R1086" t="inlineStr">
        <is>
          <t>T1190:Exploit Public-Facing Application</t>
        </is>
      </c>
      <c r="S1086" t="n">
        <v>1</v>
      </c>
      <c r="T1086" t="inlineStr">
        <is>
          <t>LOW (40%)</t>
        </is>
      </c>
      <c r="U1086" t="inlineStr">
        <is>
          <t>UNLIKELY</t>
        </is>
      </c>
      <c r="V1086" t="inlineStr">
        <is>
          <t>CHECK_VENDOR</t>
        </is>
      </c>
      <c r="W1086" t="inlineStr">
        <is>
          <t>https://nvd.nist.gov/vuln/detail/CVE-2026-27111</t>
        </is>
      </c>
      <c r="X1086" t="inlineStr">
        <is>
          <t>NONE</t>
        </is>
      </c>
      <c r="Y1086" t="n">
        <v>0</v>
      </c>
      <c r="Z1086" t="inlineStr"/>
      <c r="AA1086" t="inlineStr">
        <is>
          <t>https://nvd.nist.gov/vuln/detail/CVE-2026-27111</t>
        </is>
      </c>
    </row>
    <row r="1087">
      <c r="A1087" t="inlineStr">
        <is>
          <t>CVE</t>
        </is>
      </c>
      <c r="B1087" t="inlineStr">
        <is>
          <t>CVE-2026-27112</t>
        </is>
      </c>
      <c r="C1087" t="inlineStr">
        <is>
          <t xml:space="preserve">Kargo manages and automates the promotion of software artifacts. From 1.7.0 to before v1.7.8, v1.8.11, and v1.9.3, the batch resource creation endpoints of both Kargo's legacy gRPC API and newer REST API accept multi-document YAML payloads. Specially crafted payloads can manifest a bug present in the logic of both endpoints to inject arbitrary resources (of specific types only) into the underlying namespace of an existing Project using the API server's own permissions when that behavior was not </t>
        </is>
      </c>
      <c r="D1087" t="n">
        <v>8.5</v>
      </c>
      <c r="E1087" t="inlineStr">
        <is>
          <t>HIGH</t>
        </is>
      </c>
      <c r="F1087" t="n">
        <v>2</v>
      </c>
      <c r="G1087" t="n">
        <v>3</v>
      </c>
      <c r="H1087" t="inlineStr">
        <is>
          <t>HIGH</t>
        </is>
      </c>
      <c r="I1087" t="n">
        <v>14.5</v>
      </c>
      <c r="J1087" t="inlineStr">
        <is>
          <t>NO</t>
        </is>
      </c>
      <c r="K1087" t="inlineStr">
        <is>
          <t>2026-02-23 23:48</t>
        </is>
      </c>
      <c r="L1087" t="inlineStr">
        <is>
          <t>CHECK_VENDOR</t>
        </is>
      </c>
      <c r="M1087" t="inlineStr">
        <is>
          <t>See CVE details</t>
        </is>
      </c>
      <c r="N1087" t="inlineStr">
        <is>
          <t>P3</t>
        </is>
      </c>
      <c r="O1087" t="inlineStr">
        <is>
          <t>CVE - IP enrichment n/a</t>
        </is>
      </c>
      <c r="P1087" t="n">
        <v>0</v>
      </c>
      <c r="Q1087" t="n">
        <v>0</v>
      </c>
      <c r="R1087" t="inlineStr">
        <is>
          <t>T1190:Exploit Public-Facing Application | T1210:Exploitation of Remote Services | T1552:Unsecured Credentials</t>
        </is>
      </c>
      <c r="S1087" t="n">
        <v>1</v>
      </c>
      <c r="T1087" t="inlineStr">
        <is>
          <t>LOW (40%)</t>
        </is>
      </c>
      <c r="U1087" t="inlineStr">
        <is>
          <t>UNLIKELY</t>
        </is>
      </c>
      <c r="V1087" t="inlineStr">
        <is>
          <t>CHECK_VENDOR</t>
        </is>
      </c>
      <c r="W1087" t="inlineStr">
        <is>
          <t>https://nvd.nist.gov/vuln/detail/CVE-2026-27112</t>
        </is>
      </c>
      <c r="X1087" t="inlineStr">
        <is>
          <t>NONE</t>
        </is>
      </c>
      <c r="Y1087" t="n">
        <v>0</v>
      </c>
      <c r="Z1087" t="inlineStr"/>
      <c r="AA1087" t="inlineStr">
        <is>
          <t>https://nvd.nist.gov/vuln/detail/CVE-2026-27112</t>
        </is>
      </c>
    </row>
    <row r="1088">
      <c r="A1088" t="inlineStr">
        <is>
          <t>CVE</t>
        </is>
      </c>
      <c r="B1088" t="inlineStr">
        <is>
          <t>CVE-2026-27113</t>
        </is>
      </c>
      <c r="C1088" t="inlineStr">
        <is>
          <t>Liquid Prompt is an adaptive prompt for Bash and Zsh. Starting in commit cf3441250bb5d8b45f6f8b389fcdf427a99ac28a and prior to commit a4f6b8d8c90b3eaa33d13dfd1093062ab9c4b30c on the master branch, arbitrary command injection can lead to code execution when a user enters a directory in a Git repository containing a crafted branch name. Exploitation requires the LP_ENABLE_GITSTATUSD config option to be enabled (enabled by default), gitstatusd to be installed and started before Liquid Prompt is loa</t>
        </is>
      </c>
      <c r="D1088" t="n">
        <v>6.3</v>
      </c>
      <c r="E1088" t="inlineStr">
        <is>
          <t>MEDIUM</t>
        </is>
      </c>
      <c r="F1088" t="n">
        <v>2</v>
      </c>
      <c r="G1088" t="n">
        <v>2</v>
      </c>
      <c r="H1088" t="inlineStr">
        <is>
          <t>MEDIUM</t>
        </is>
      </c>
      <c r="I1088" t="n">
        <v>10.3</v>
      </c>
      <c r="J1088" t="inlineStr">
        <is>
          <t>NO</t>
        </is>
      </c>
      <c r="K1088" t="inlineStr">
        <is>
          <t>2026-02-23 23:48</t>
        </is>
      </c>
      <c r="L1088" t="inlineStr">
        <is>
          <t>CHECK_VENDOR</t>
        </is>
      </c>
      <c r="M1088" t="inlineStr">
        <is>
          <t>See CVE details</t>
        </is>
      </c>
      <c r="N1088" t="inlineStr">
        <is>
          <t>P4</t>
        </is>
      </c>
      <c r="O1088" t="inlineStr">
        <is>
          <t>CVE - IP enrichment n/a</t>
        </is>
      </c>
      <c r="P1088" t="n">
        <v>0.0003</v>
      </c>
      <c r="Q1088" t="n">
        <v>0.0946</v>
      </c>
      <c r="R1088" t="inlineStr">
        <is>
          <t>T1059:Command and Scripting Interpreter</t>
        </is>
      </c>
      <c r="S1088" t="n">
        <v>1</v>
      </c>
      <c r="T1088" t="inlineStr">
        <is>
          <t>LOW (40%)</t>
        </is>
      </c>
      <c r="U1088" t="inlineStr">
        <is>
          <t>UNLIKELY</t>
        </is>
      </c>
      <c r="V1088" t="inlineStr">
        <is>
          <t>CHECK_VENDOR</t>
        </is>
      </c>
      <c r="W1088" t="inlineStr">
        <is>
          <t>https://nvd.nist.gov/vuln/detail/CVE-2026-27113</t>
        </is>
      </c>
      <c r="X1088" t="inlineStr">
        <is>
          <t>NONE</t>
        </is>
      </c>
      <c r="Y1088" t="n">
        <v>0</v>
      </c>
      <c r="Z1088" t="inlineStr"/>
      <c r="AA1088" t="inlineStr">
        <is>
          <t>https://nvd.nist.gov/vuln/detail/CVE-2026-27113</t>
        </is>
      </c>
    </row>
    <row r="1089">
      <c r="A1089" t="inlineStr">
        <is>
          <t>CVE</t>
        </is>
      </c>
      <c r="B1089" t="inlineStr">
        <is>
          <t>CVE-2026-27118</t>
        </is>
      </c>
      <c r="C1089" t="inlineStr">
        <is>
          <t>SvelteKit is a framework for rapidly developing robust, performant web applications using Svelte. Versions of @sveltejs/adapter-vercel prior to 6.3.2 are vulnerable to cache poisoning. An internal query parameter intended for Incremental Static Regeneration (ISR) is accessible on all routes, allowing an attacker to cause sensitive user-specific responses to be cached and served to other users. Successful exploitation requires a victim to visit an attacker-controlled link while authenticated. Exi</t>
        </is>
      </c>
      <c r="D1089" t="n">
        <v>8.5</v>
      </c>
      <c r="E1089" t="inlineStr">
        <is>
          <t>HIGH</t>
        </is>
      </c>
      <c r="F1089" t="n">
        <v>2</v>
      </c>
      <c r="G1089" t="n">
        <v>3</v>
      </c>
      <c r="H1089" t="inlineStr">
        <is>
          <t>HIGH</t>
        </is>
      </c>
      <c r="I1089" t="n">
        <v>14.5</v>
      </c>
      <c r="J1089" t="inlineStr">
        <is>
          <t>NO</t>
        </is>
      </c>
      <c r="K1089" t="inlineStr">
        <is>
          <t>2026-02-23 23:48</t>
        </is>
      </c>
      <c r="L1089" t="inlineStr">
        <is>
          <t>CHECK_VENDOR</t>
        </is>
      </c>
      <c r="M1089" t="inlineStr">
        <is>
          <t>See CVE details</t>
        </is>
      </c>
      <c r="N1089" t="inlineStr">
        <is>
          <t>P3</t>
        </is>
      </c>
      <c r="O1089" t="inlineStr">
        <is>
          <t>CVE - IP enrichment n/a</t>
        </is>
      </c>
      <c r="P1089" t="n">
        <v>0</v>
      </c>
      <c r="Q1089" t="n">
        <v>0</v>
      </c>
      <c r="R1089" t="inlineStr">
        <is>
          <t>T1190:Exploit Public-Facing Application</t>
        </is>
      </c>
      <c r="S1089" t="n">
        <v>1</v>
      </c>
      <c r="T1089" t="inlineStr">
        <is>
          <t>LOW (40%)</t>
        </is>
      </c>
      <c r="U1089" t="inlineStr">
        <is>
          <t>UNLIKELY</t>
        </is>
      </c>
      <c r="V1089" t="inlineStr">
        <is>
          <t>CHECK_VENDOR</t>
        </is>
      </c>
      <c r="W1089" t="inlineStr">
        <is>
          <t>https://nvd.nist.gov/vuln/detail/CVE-2026-27118</t>
        </is>
      </c>
      <c r="X1089" t="inlineStr">
        <is>
          <t>NONE</t>
        </is>
      </c>
      <c r="Y1089" t="n">
        <v>0</v>
      </c>
      <c r="Z1089" t="inlineStr"/>
      <c r="AA1089" t="inlineStr">
        <is>
          <t>https://nvd.nist.gov/vuln/detail/CVE-2026-27118</t>
        </is>
      </c>
    </row>
    <row r="1090">
      <c r="A1090" t="inlineStr">
        <is>
          <t>CVE</t>
        </is>
      </c>
      <c r="B1090" t="inlineStr">
        <is>
          <t>CVE-2026-27120</t>
        </is>
      </c>
      <c r="C1090" t="inlineStr">
        <is>
          <t>Leafkit is a templating language with Swift-inspired syntax. Prior to 1.4.1, htmlEscaped in leaf-kit will only escape html special characters if the extended grapheme clusters match, which allows bypassing escaping by using an extended grapheme cluster containing both the special html character and some additional characters. In the case of html attributes, this can lead to XSS if there is a leaf variable in the attribute that is user controlled. This vulnerability is fixed in 1.4.1.</t>
        </is>
      </c>
      <c r="D1090" t="n">
        <v>6.1</v>
      </c>
      <c r="E1090" t="inlineStr">
        <is>
          <t>MEDIUM</t>
        </is>
      </c>
      <c r="F1090" t="n">
        <v>2</v>
      </c>
      <c r="G1090" t="n">
        <v>2</v>
      </c>
      <c r="H1090" t="inlineStr">
        <is>
          <t>MEDIUM</t>
        </is>
      </c>
      <c r="I1090" t="n">
        <v>10.1</v>
      </c>
      <c r="J1090" t="inlineStr">
        <is>
          <t>NO</t>
        </is>
      </c>
      <c r="K1090" t="inlineStr">
        <is>
          <t>2026-02-23 23:48</t>
        </is>
      </c>
      <c r="L1090" t="inlineStr">
        <is>
          <t>CHECK_VENDOR</t>
        </is>
      </c>
      <c r="M1090" t="inlineStr">
        <is>
          <t>See CVE details</t>
        </is>
      </c>
      <c r="N1090" t="inlineStr">
        <is>
          <t>P4</t>
        </is>
      </c>
      <c r="O1090" t="inlineStr">
        <is>
          <t>CVE - IP enrichment n/a</t>
        </is>
      </c>
      <c r="P1090" t="n">
        <v>0.0003</v>
      </c>
      <c r="Q1090" t="n">
        <v>0.0823</v>
      </c>
      <c r="R1090" t="inlineStr">
        <is>
          <t>T1189:Drive-by Compromise</t>
        </is>
      </c>
      <c r="S1090" t="n">
        <v>1</v>
      </c>
      <c r="T1090" t="inlineStr">
        <is>
          <t>LOW (40%)</t>
        </is>
      </c>
      <c r="U1090" t="inlineStr">
        <is>
          <t>UNLIKELY</t>
        </is>
      </c>
      <c r="V1090" t="inlineStr">
        <is>
          <t>CHECK_VENDOR</t>
        </is>
      </c>
      <c r="W1090" t="inlineStr">
        <is>
          <t>https://nvd.nist.gov/vuln/detail/CVE-2026-27120</t>
        </is>
      </c>
      <c r="X1090" t="inlineStr">
        <is>
          <t>NONE</t>
        </is>
      </c>
      <c r="Y1090" t="n">
        <v>0</v>
      </c>
      <c r="Z1090" t="inlineStr"/>
      <c r="AA1090" t="inlineStr">
        <is>
          <t>https://nvd.nist.gov/vuln/detail/CVE-2026-27120</t>
        </is>
      </c>
    </row>
    <row r="1091">
      <c r="A1091" t="inlineStr">
        <is>
          <t>CVE</t>
        </is>
      </c>
      <c r="B1091" t="inlineStr">
        <is>
          <t>CVE-2026-2858</t>
        </is>
      </c>
      <c r="C1091" t="inlineStr">
        <is>
          <t>A vulnerability was identified in wren-lang wren up to 0.4.0. This affects the function peekChar of the file src/vm/wren_compiler.c of the component Source File Parser. Such manipulation leads to out-of-bounds read. The attack needs to be performed locally. The exploit is publicly available and might be used. The project was informed of the problem early through an issue report but has not responded yet.</t>
        </is>
      </c>
      <c r="D1091" t="n">
        <v>3.3</v>
      </c>
      <c r="E1091" t="inlineStr">
        <is>
          <t>LOW</t>
        </is>
      </c>
      <c r="F1091" t="n">
        <v>2</v>
      </c>
      <c r="G1091" t="n">
        <v>1</v>
      </c>
      <c r="H1091" t="inlineStr">
        <is>
          <t>LOW</t>
        </is>
      </c>
      <c r="I1091" t="n">
        <v>5.3</v>
      </c>
      <c r="J1091" t="inlineStr">
        <is>
          <t>NO</t>
        </is>
      </c>
      <c r="K1091" t="inlineStr">
        <is>
          <t>2026-02-23 23:48</t>
        </is>
      </c>
      <c r="L1091" t="inlineStr">
        <is>
          <t>CHECK_VENDOR</t>
        </is>
      </c>
      <c r="M1091" t="inlineStr">
        <is>
          <t>See CVE details</t>
        </is>
      </c>
      <c r="N1091" t="inlineStr">
        <is>
          <t>P4</t>
        </is>
      </c>
      <c r="O1091" t="inlineStr">
        <is>
          <t>CVE - IP enrichment n/a</t>
        </is>
      </c>
      <c r="P1091" t="n">
        <v>0</v>
      </c>
      <c r="Q1091" t="n">
        <v>0</v>
      </c>
      <c r="R1091" t="inlineStr">
        <is>
          <t>T1203:Exploitation for Client Execution | T1190:Exploit Public-Facing Application</t>
        </is>
      </c>
      <c r="S1091" t="n">
        <v>1</v>
      </c>
      <c r="T1091" t="inlineStr">
        <is>
          <t>LOW (40%)</t>
        </is>
      </c>
      <c r="U1091" t="inlineStr">
        <is>
          <t>UNLIKELY</t>
        </is>
      </c>
      <c r="V1091" t="inlineStr">
        <is>
          <t>CHECK_VENDOR</t>
        </is>
      </c>
      <c r="W1091" t="inlineStr">
        <is>
          <t>https://nvd.nist.gov/vuln/detail/CVE-2026-2858</t>
        </is>
      </c>
      <c r="X1091" t="inlineStr">
        <is>
          <t>NONE</t>
        </is>
      </c>
      <c r="Y1091" t="n">
        <v>0</v>
      </c>
      <c r="Z1091" t="inlineStr"/>
      <c r="AA1091" t="inlineStr">
        <is>
          <t>https://nvd.nist.gov/vuln/detail/CVE-2026-2858</t>
        </is>
      </c>
    </row>
    <row r="1092">
      <c r="A1092" t="inlineStr">
        <is>
          <t>CVE</t>
        </is>
      </c>
      <c r="B1092" t="inlineStr">
        <is>
          <t>CVE-2018-25158</t>
        </is>
      </c>
      <c r="C1092" t="inlineStr">
        <is>
          <t>Chamilo LMS 1.11.8 contains an arbitrary file upload vulnerability that allows authenticated users to upload and execute PHP files through the elfinder filemanager module. Attackers can upload files with image headers in the social myfiles section, rename them to PHP extensions, and execute arbitrary code by accessing the uploaded files.</t>
        </is>
      </c>
      <c r="D1092" t="n">
        <v>8.800000000000001</v>
      </c>
      <c r="E1092" t="inlineStr">
        <is>
          <t>HIGH</t>
        </is>
      </c>
      <c r="F1092" t="n">
        <v>2</v>
      </c>
      <c r="G1092" t="n">
        <v>3</v>
      </c>
      <c r="H1092" t="inlineStr">
        <is>
          <t>HIGH</t>
        </is>
      </c>
      <c r="I1092" t="n">
        <v>14.8</v>
      </c>
      <c r="J1092" t="inlineStr">
        <is>
          <t>NO</t>
        </is>
      </c>
      <c r="K1092" t="inlineStr">
        <is>
          <t>2026-02-23 23:48</t>
        </is>
      </c>
      <c r="L1092" t="inlineStr">
        <is>
          <t>CHECK_VENDOR</t>
        </is>
      </c>
      <c r="M1092" t="inlineStr">
        <is>
          <t>See CVE details</t>
        </is>
      </c>
      <c r="N1092" t="inlineStr">
        <is>
          <t>P3</t>
        </is>
      </c>
      <c r="O1092" t="inlineStr">
        <is>
          <t>CVE - IP enrichment n/a</t>
        </is>
      </c>
      <c r="P1092" t="n">
        <v>0</v>
      </c>
      <c r="Q1092" t="n">
        <v>0</v>
      </c>
      <c r="R1092" t="inlineStr">
        <is>
          <t>T1190:Exploit Public-Facing Application | T1203:Exploitation for Client Execution</t>
        </is>
      </c>
      <c r="S1092" t="n">
        <v>1</v>
      </c>
      <c r="T1092" t="inlineStr">
        <is>
          <t>LOW (40%)</t>
        </is>
      </c>
      <c r="U1092" t="inlineStr">
        <is>
          <t>UNLIKELY</t>
        </is>
      </c>
      <c r="V1092" t="inlineStr">
        <is>
          <t>CHECK_VENDOR</t>
        </is>
      </c>
      <c r="W1092" t="inlineStr">
        <is>
          <t>https://nvd.nist.gov/vuln/detail/CVE-2018-25158</t>
        </is>
      </c>
      <c r="X1092" t="inlineStr">
        <is>
          <t>NONE</t>
        </is>
      </c>
      <c r="Y1092" t="n">
        <v>0</v>
      </c>
      <c r="Z1092" t="inlineStr"/>
      <c r="AA1092" t="inlineStr">
        <is>
          <t>https://nvd.nist.gov/vuln/detail/CVE-2018-25158</t>
        </is>
      </c>
    </row>
    <row r="1093">
      <c r="A1093" t="inlineStr">
        <is>
          <t>CVE</t>
        </is>
      </c>
      <c r="B1093" t="inlineStr">
        <is>
          <t>CVE-2019-25431</t>
        </is>
      </c>
      <c r="C1093" t="inlineStr">
        <is>
          <t>delpino73 Blue-Smiley-Organizer 1.32 contains an SQL injection vulnerability in the datetime parameter that allows unauthenticated attackers to manipulate database queries. Attackers can inject SQL code through POST requests to extract sensitive data using boolean-based blind and time-based blind techniques, or write files to the server using INTO OUTFILE statements.</t>
        </is>
      </c>
      <c r="D1093" t="n">
        <v>8.199999999999999</v>
      </c>
      <c r="E1093" t="inlineStr">
        <is>
          <t>HIGH</t>
        </is>
      </c>
      <c r="F1093" t="n">
        <v>2</v>
      </c>
      <c r="G1093" t="n">
        <v>3</v>
      </c>
      <c r="H1093" t="inlineStr">
        <is>
          <t>HIGH</t>
        </is>
      </c>
      <c r="I1093" t="n">
        <v>14.2</v>
      </c>
      <c r="J1093" t="inlineStr">
        <is>
          <t>NO</t>
        </is>
      </c>
      <c r="K1093" t="inlineStr">
        <is>
          <t>2026-02-23 23:48</t>
        </is>
      </c>
      <c r="L1093" t="inlineStr">
        <is>
          <t>CHECK_VENDOR</t>
        </is>
      </c>
      <c r="M1093" t="inlineStr">
        <is>
          <t>See CVE details</t>
        </is>
      </c>
      <c r="N1093" t="inlineStr">
        <is>
          <t>P3</t>
        </is>
      </c>
      <c r="O1093" t="inlineStr">
        <is>
          <t>CVE - IP enrichment n/a</t>
        </is>
      </c>
      <c r="P1093" t="n">
        <v>0</v>
      </c>
      <c r="Q1093" t="n">
        <v>0</v>
      </c>
      <c r="R1093" t="inlineStr">
        <is>
          <t>T1190:Exploit Public-Facing Application</t>
        </is>
      </c>
      <c r="S1093" t="n">
        <v>1</v>
      </c>
      <c r="T1093" t="inlineStr">
        <is>
          <t>LOW (40%)</t>
        </is>
      </c>
      <c r="U1093" t="inlineStr">
        <is>
          <t>UNLIKELY</t>
        </is>
      </c>
      <c r="V1093" t="inlineStr">
        <is>
          <t>CHECK_VENDOR</t>
        </is>
      </c>
      <c r="W1093" t="inlineStr">
        <is>
          <t>https://nvd.nist.gov/vuln/detail/CVE-2019-25431</t>
        </is>
      </c>
      <c r="X1093" t="inlineStr">
        <is>
          <t>NONE</t>
        </is>
      </c>
      <c r="Y1093" t="n">
        <v>0</v>
      </c>
      <c r="Z1093" t="inlineStr"/>
      <c r="AA1093" t="inlineStr">
        <is>
          <t>https://nvd.nist.gov/vuln/detail/CVE-2019-25431</t>
        </is>
      </c>
    </row>
    <row r="1094">
      <c r="A1094" t="inlineStr">
        <is>
          <t>CVE</t>
        </is>
      </c>
      <c r="B1094" t="inlineStr">
        <is>
          <t>CVE-2019-25432</t>
        </is>
      </c>
      <c r="C1094" t="inlineStr">
        <is>
          <t>Part-DB 0.4 contains an authentication bypass vulnerability that allows unauthenticated attackers to login by injecting SQL syntax into authentication parameters. Attackers can submit a single quote followed by 'or' in the login form to bypass credential validation and gain unauthorized access to the application.</t>
        </is>
      </c>
      <c r="D1094" t="n">
        <v>7.5</v>
      </c>
      <c r="E1094" t="inlineStr">
        <is>
          <t>HIGH</t>
        </is>
      </c>
      <c r="F1094" t="n">
        <v>2</v>
      </c>
      <c r="G1094" t="n">
        <v>3</v>
      </c>
      <c r="H1094" t="inlineStr">
        <is>
          <t>HIGH</t>
        </is>
      </c>
      <c r="I1094" t="n">
        <v>13.5</v>
      </c>
      <c r="J1094" t="inlineStr">
        <is>
          <t>NO</t>
        </is>
      </c>
      <c r="K1094" t="inlineStr">
        <is>
          <t>2026-02-23 23:48</t>
        </is>
      </c>
      <c r="L1094" t="inlineStr">
        <is>
          <t>CHECK_VENDOR</t>
        </is>
      </c>
      <c r="M1094" t="inlineStr">
        <is>
          <t>See CVE details</t>
        </is>
      </c>
      <c r="N1094" t="inlineStr">
        <is>
          <t>P3</t>
        </is>
      </c>
      <c r="O1094" t="inlineStr">
        <is>
          <t>CVE - IP enrichment n/a</t>
        </is>
      </c>
      <c r="P1094" t="n">
        <v>0.0016</v>
      </c>
      <c r="Q1094" t="n">
        <v>0.3652</v>
      </c>
      <c r="R1094" t="inlineStr">
        <is>
          <t>T1190:Exploit Public-Facing Application | T1078:Valid Accounts | T1552:Unsecured Credentials</t>
        </is>
      </c>
      <c r="S1094" t="n">
        <v>1</v>
      </c>
      <c r="T1094" t="inlineStr">
        <is>
          <t>LOW (40%)</t>
        </is>
      </c>
      <c r="U1094" t="inlineStr">
        <is>
          <t>UNLIKELY</t>
        </is>
      </c>
      <c r="V1094" t="inlineStr">
        <is>
          <t>CHECK_VENDOR</t>
        </is>
      </c>
      <c r="W1094" t="inlineStr">
        <is>
          <t>https://nvd.nist.gov/vuln/detail/CVE-2019-25432</t>
        </is>
      </c>
      <c r="X1094" t="inlineStr">
        <is>
          <t>NONE</t>
        </is>
      </c>
      <c r="Y1094" t="n">
        <v>0</v>
      </c>
      <c r="Z1094" t="inlineStr"/>
      <c r="AA1094" t="inlineStr">
        <is>
          <t>https://nvd.nist.gov/vuln/detail/CVE-2019-25432</t>
        </is>
      </c>
    </row>
    <row r="1095">
      <c r="A1095" t="inlineStr">
        <is>
          <t>CVE</t>
        </is>
      </c>
      <c r="B1095" t="inlineStr">
        <is>
          <t>CVE-2019-25434</t>
        </is>
      </c>
      <c r="C1095" t="inlineStr">
        <is>
          <t>SpotAuditor 5.3.1.0 contains a denial of service vulnerability that allows unauthenticated attackers to crash the application by submitting excessive data in the registration name field. Attackers can enter a large string of characters (5000 bytes or more) in the name field during registration to trigger an unhandled exception that crashes the application.</t>
        </is>
      </c>
      <c r="D1095" t="n">
        <v>7.5</v>
      </c>
      <c r="E1095" t="inlineStr">
        <is>
          <t>HIGH</t>
        </is>
      </c>
      <c r="F1095" t="n">
        <v>2</v>
      </c>
      <c r="G1095" t="n">
        <v>3</v>
      </c>
      <c r="H1095" t="inlineStr">
        <is>
          <t>HIGH</t>
        </is>
      </c>
      <c r="I1095" t="n">
        <v>13.5</v>
      </c>
      <c r="J1095" t="inlineStr">
        <is>
          <t>NO</t>
        </is>
      </c>
      <c r="K1095" t="inlineStr">
        <is>
          <t>2026-02-23 23:48</t>
        </is>
      </c>
      <c r="L1095" t="inlineStr">
        <is>
          <t>CHECK_VENDOR</t>
        </is>
      </c>
      <c r="M1095" t="inlineStr">
        <is>
          <t>See CVE details</t>
        </is>
      </c>
      <c r="N1095" t="inlineStr">
        <is>
          <t>P3</t>
        </is>
      </c>
      <c r="O1095" t="inlineStr">
        <is>
          <t>CVE - IP enrichment n/a</t>
        </is>
      </c>
      <c r="P1095" t="n">
        <v>0</v>
      </c>
      <c r="Q1095" t="n">
        <v>0</v>
      </c>
      <c r="R1095" t="inlineStr">
        <is>
          <t>T1190:Exploit Public-Facing Application | T1499:Endpoint Denial of Service</t>
        </is>
      </c>
      <c r="S1095" t="n">
        <v>1</v>
      </c>
      <c r="T1095" t="inlineStr">
        <is>
          <t>LOW (40%)</t>
        </is>
      </c>
      <c r="U1095" t="inlineStr">
        <is>
          <t>UNLIKELY</t>
        </is>
      </c>
      <c r="V1095" t="inlineStr">
        <is>
          <t>CHECK_VENDOR</t>
        </is>
      </c>
      <c r="W1095" t="inlineStr">
        <is>
          <t>https://nvd.nist.gov/vuln/detail/CVE-2019-25434</t>
        </is>
      </c>
      <c r="X1095" t="inlineStr">
        <is>
          <t>NONE</t>
        </is>
      </c>
      <c r="Y1095" t="n">
        <v>0</v>
      </c>
      <c r="Z1095" t="inlineStr"/>
      <c r="AA1095" t="inlineStr">
        <is>
          <t>https://nvd.nist.gov/vuln/detail/CVE-2019-25434</t>
        </is>
      </c>
    </row>
    <row r="1096">
      <c r="A1096" t="inlineStr">
        <is>
          <t>CVE</t>
        </is>
      </c>
      <c r="B1096" t="inlineStr">
        <is>
          <t>CVE-2019-25435</t>
        </is>
      </c>
      <c r="C1096" t="inlineStr">
        <is>
          <t>Sricam DeviceViewer 3.12.0.1 contains a local buffer overflow vulnerability in the user management add user function that allows authenticated attackers to execute arbitrary code by bypassing data execution prevention. Attackers can inject a malicious payload through the Username field in User Management to trigger a stack-based buffer overflow and execute commands via ROP chain gadgets.</t>
        </is>
      </c>
      <c r="D1096" t="n">
        <v>7.8</v>
      </c>
      <c r="E1096" t="inlineStr">
        <is>
          <t>HIGH</t>
        </is>
      </c>
      <c r="F1096" t="n">
        <v>2</v>
      </c>
      <c r="G1096" t="n">
        <v>3</v>
      </c>
      <c r="H1096" t="inlineStr">
        <is>
          <t>HIGH</t>
        </is>
      </c>
      <c r="I1096" t="n">
        <v>13.8</v>
      </c>
      <c r="J1096" t="inlineStr">
        <is>
          <t>NO</t>
        </is>
      </c>
      <c r="K1096" t="inlineStr">
        <is>
          <t>2026-02-23 23:48</t>
        </is>
      </c>
      <c r="L1096" t="inlineStr">
        <is>
          <t>CHECK_VENDOR</t>
        </is>
      </c>
      <c r="M1096" t="inlineStr">
        <is>
          <t>See CVE details</t>
        </is>
      </c>
      <c r="N1096" t="inlineStr">
        <is>
          <t>P3</t>
        </is>
      </c>
      <c r="O1096" t="inlineStr">
        <is>
          <t>CVE - IP enrichment n/a</t>
        </is>
      </c>
      <c r="P1096" t="n">
        <v>0</v>
      </c>
      <c r="Q1096" t="n">
        <v>0</v>
      </c>
      <c r="R1096" t="inlineStr">
        <is>
          <t>T1190:Exploit Public-Facing Application | T1203:Exploitation for Client Execution</t>
        </is>
      </c>
      <c r="S1096" t="n">
        <v>1</v>
      </c>
      <c r="T1096" t="inlineStr">
        <is>
          <t>LOW (40%)</t>
        </is>
      </c>
      <c r="U1096" t="inlineStr">
        <is>
          <t>UNLIKELY</t>
        </is>
      </c>
      <c r="V1096" t="inlineStr">
        <is>
          <t>CHECK_VENDOR</t>
        </is>
      </c>
      <c r="W1096" t="inlineStr">
        <is>
          <t>https://nvd.nist.gov/vuln/detail/CVE-2019-25435</t>
        </is>
      </c>
      <c r="X1096" t="inlineStr">
        <is>
          <t>NONE</t>
        </is>
      </c>
      <c r="Y1096" t="n">
        <v>0</v>
      </c>
      <c r="Z1096" t="inlineStr"/>
      <c r="AA1096" t="inlineStr">
        <is>
          <t>https://nvd.nist.gov/vuln/detail/CVE-2019-25435</t>
        </is>
      </c>
    </row>
    <row r="1097">
      <c r="A1097" t="inlineStr">
        <is>
          <t>CVE</t>
        </is>
      </c>
      <c r="B1097" t="inlineStr">
        <is>
          <t>CVE-2019-25436</t>
        </is>
      </c>
      <c r="C1097" t="inlineStr">
        <is>
          <t>Sricam DeviceViewer 3.12.0.1 contains a password change security bypass vulnerability that allows authenticated users to change passwords without proper validation of the old password field. Attackers can inject a large payload into the old password parameter during the change password process to bypass validation and set an arbitrary new password.</t>
        </is>
      </c>
      <c r="D1097" t="n">
        <v>6.5</v>
      </c>
      <c r="E1097" t="inlineStr">
        <is>
          <t>MEDIUM</t>
        </is>
      </c>
      <c r="F1097" t="n">
        <v>2</v>
      </c>
      <c r="G1097" t="n">
        <v>2</v>
      </c>
      <c r="H1097" t="inlineStr">
        <is>
          <t>MEDIUM</t>
        </is>
      </c>
      <c r="I1097" t="n">
        <v>10.5</v>
      </c>
      <c r="J1097" t="inlineStr">
        <is>
          <t>NO</t>
        </is>
      </c>
      <c r="K1097" t="inlineStr">
        <is>
          <t>2026-02-23 23:48</t>
        </is>
      </c>
      <c r="L1097" t="inlineStr">
        <is>
          <t>CHECK_VENDOR</t>
        </is>
      </c>
      <c r="M1097" t="inlineStr">
        <is>
          <t>See CVE details</t>
        </is>
      </c>
      <c r="N1097" t="inlineStr">
        <is>
          <t>P4</t>
        </is>
      </c>
      <c r="O1097" t="inlineStr">
        <is>
          <t>CVE - IP enrichment n/a</t>
        </is>
      </c>
      <c r="P1097" t="n">
        <v>0</v>
      </c>
      <c r="Q1097" t="n">
        <v>0</v>
      </c>
      <c r="R1097" t="inlineStr">
        <is>
          <t>T1190:Exploit Public-Facing Application</t>
        </is>
      </c>
      <c r="S1097" t="n">
        <v>1</v>
      </c>
      <c r="T1097" t="inlineStr">
        <is>
          <t>LOW (40%)</t>
        </is>
      </c>
      <c r="U1097" t="inlineStr">
        <is>
          <t>UNLIKELY</t>
        </is>
      </c>
      <c r="V1097" t="inlineStr">
        <is>
          <t>CHECK_VENDOR</t>
        </is>
      </c>
      <c r="W1097" t="inlineStr">
        <is>
          <t>https://nvd.nist.gov/vuln/detail/CVE-2019-25436</t>
        </is>
      </c>
      <c r="X1097" t="inlineStr">
        <is>
          <t>NONE</t>
        </is>
      </c>
      <c r="Y1097" t="n">
        <v>0</v>
      </c>
      <c r="Z1097" t="inlineStr"/>
      <c r="AA1097" t="inlineStr">
        <is>
          <t>https://nvd.nist.gov/vuln/detail/CVE-2019-25436</t>
        </is>
      </c>
    </row>
    <row r="1098">
      <c r="A1098" t="inlineStr">
        <is>
          <t>CVE</t>
        </is>
      </c>
      <c r="B1098" t="inlineStr">
        <is>
          <t>CVE-2019-25437</t>
        </is>
      </c>
      <c r="C1098" t="inlineStr">
        <is>
          <t>Foscam Video Management System 1.1.6.6 contains a buffer overflow vulnerability in the UID field that allows local attackers to crash the application by supplying an excessively long string. Attackers can input a 5000-character buffer into the UID parameter during device addition to trigger an application crash when the Login Check function is invoked.</t>
        </is>
      </c>
      <c r="D1098" t="n">
        <v>6.2</v>
      </c>
      <c r="E1098" t="inlineStr">
        <is>
          <t>MEDIUM</t>
        </is>
      </c>
      <c r="F1098" t="n">
        <v>2</v>
      </c>
      <c r="G1098" t="n">
        <v>2</v>
      </c>
      <c r="H1098" t="inlineStr">
        <is>
          <t>MEDIUM</t>
        </is>
      </c>
      <c r="I1098" t="n">
        <v>10.2</v>
      </c>
      <c r="J1098" t="inlineStr">
        <is>
          <t>NO</t>
        </is>
      </c>
      <c r="K1098" t="inlineStr">
        <is>
          <t>2026-02-23 23:48</t>
        </is>
      </c>
      <c r="L1098" t="inlineStr">
        <is>
          <t>CHECK_VENDOR</t>
        </is>
      </c>
      <c r="M1098" t="inlineStr">
        <is>
          <t>See CVE details</t>
        </is>
      </c>
      <c r="N1098" t="inlineStr">
        <is>
          <t>P4</t>
        </is>
      </c>
      <c r="O1098" t="inlineStr">
        <is>
          <t>CVE - IP enrichment n/a</t>
        </is>
      </c>
      <c r="P1098" t="n">
        <v>0</v>
      </c>
      <c r="Q1098" t="n">
        <v>0</v>
      </c>
      <c r="R1098" t="inlineStr">
        <is>
          <t>T1190:Exploit Public-Facing Application | T1203:Exploitation for Client Execution</t>
        </is>
      </c>
      <c r="S1098" t="n">
        <v>1</v>
      </c>
      <c r="T1098" t="inlineStr">
        <is>
          <t>LOW (40%)</t>
        </is>
      </c>
      <c r="U1098" t="inlineStr">
        <is>
          <t>UNLIKELY</t>
        </is>
      </c>
      <c r="V1098" t="inlineStr">
        <is>
          <t>CHECK_VENDOR</t>
        </is>
      </c>
      <c r="W1098" t="inlineStr">
        <is>
          <t>https://nvd.nist.gov/vuln/detail/CVE-2019-25437</t>
        </is>
      </c>
      <c r="X1098" t="inlineStr">
        <is>
          <t>NONE</t>
        </is>
      </c>
      <c r="Y1098" t="n">
        <v>0</v>
      </c>
      <c r="Z1098" t="inlineStr"/>
      <c r="AA1098" t="inlineStr">
        <is>
          <t>https://nvd.nist.gov/vuln/detail/CVE-2019-25437</t>
        </is>
      </c>
    </row>
    <row r="1099">
      <c r="A1099" t="inlineStr">
        <is>
          <t>CVE</t>
        </is>
      </c>
      <c r="B1099" t="inlineStr">
        <is>
          <t>CVE-2019-25438</t>
        </is>
      </c>
      <c r="C1099" t="inlineStr">
        <is>
          <t>LabCollector 5.423 contains multiple SQL injection vulnerabilities that allow unauthenticated attackers to execute arbitrary SQL commands by injecting malicious code through POST parameters. Attackers can submit crafted SQL payloads in the login parameter of login.php or the user_name parameter of retrieve_password.php to extract sensitive database information without authentication.</t>
        </is>
      </c>
      <c r="D1099" t="n">
        <v>8.199999999999999</v>
      </c>
      <c r="E1099" t="inlineStr">
        <is>
          <t>HIGH</t>
        </is>
      </c>
      <c r="F1099" t="n">
        <v>2</v>
      </c>
      <c r="G1099" t="n">
        <v>3</v>
      </c>
      <c r="H1099" t="inlineStr">
        <is>
          <t>HIGH</t>
        </is>
      </c>
      <c r="I1099" t="n">
        <v>14.2</v>
      </c>
      <c r="J1099" t="inlineStr">
        <is>
          <t>NO</t>
        </is>
      </c>
      <c r="K1099" t="inlineStr">
        <is>
          <t>2026-02-23 23:48</t>
        </is>
      </c>
      <c r="L1099" t="inlineStr">
        <is>
          <t>CHECK_VENDOR</t>
        </is>
      </c>
      <c r="M1099" t="inlineStr">
        <is>
          <t>See CVE details</t>
        </is>
      </c>
      <c r="N1099" t="inlineStr">
        <is>
          <t>P3</t>
        </is>
      </c>
      <c r="O1099" t="inlineStr">
        <is>
          <t>CVE - IP enrichment n/a</t>
        </is>
      </c>
      <c r="P1099" t="n">
        <v>0.0012</v>
      </c>
      <c r="Q1099" t="n">
        <v>0.3153</v>
      </c>
      <c r="R1099" t="inlineStr">
        <is>
          <t>T1190:Exploit Public-Facing Application</t>
        </is>
      </c>
      <c r="S1099" t="n">
        <v>1</v>
      </c>
      <c r="T1099" t="inlineStr">
        <is>
          <t>LOW (40%)</t>
        </is>
      </c>
      <c r="U1099" t="inlineStr">
        <is>
          <t>UNLIKELY</t>
        </is>
      </c>
      <c r="V1099" t="inlineStr">
        <is>
          <t>CHECK_VENDOR</t>
        </is>
      </c>
      <c r="W1099" t="inlineStr">
        <is>
          <t>https://nvd.nist.gov/vuln/detail/CVE-2019-25438</t>
        </is>
      </c>
      <c r="X1099" t="inlineStr">
        <is>
          <t>NONE</t>
        </is>
      </c>
      <c r="Y1099" t="n">
        <v>0</v>
      </c>
      <c r="Z1099" t="inlineStr"/>
      <c r="AA1099" t="inlineStr">
        <is>
          <t>https://nvd.nist.gov/vuln/detail/CVE-2019-25438</t>
        </is>
      </c>
    </row>
    <row r="1100">
      <c r="A1100" t="inlineStr">
        <is>
          <t>CVE</t>
        </is>
      </c>
      <c r="B1100" t="inlineStr">
        <is>
          <t>CVE-2019-25441</t>
        </is>
      </c>
      <c r="C1100" t="inlineStr">
        <is>
          <t>thesystem 1.0 contains a command injection vulnerability that allows unauthenticated attackers to execute arbitrary system commands by submitting malicious input to the run_command endpoint. Attackers can send POST requests with shell commands in the command parameter to execute arbitrary code on the server without authentication.</t>
        </is>
      </c>
      <c r="D1100" t="n">
        <v>9.800000000000001</v>
      </c>
      <c r="E1100" t="inlineStr">
        <is>
          <t>CRITICAL</t>
        </is>
      </c>
      <c r="F1100" t="n">
        <v>2</v>
      </c>
      <c r="G1100" t="n">
        <v>3</v>
      </c>
      <c r="H1100" t="inlineStr">
        <is>
          <t>HIGH</t>
        </is>
      </c>
      <c r="I1100" t="n">
        <v>15.8</v>
      </c>
      <c r="J1100" t="inlineStr">
        <is>
          <t>NO</t>
        </is>
      </c>
      <c r="K1100" t="inlineStr">
        <is>
          <t>2026-02-23 23:48</t>
        </is>
      </c>
      <c r="L1100" t="inlineStr">
        <is>
          <t>CHECK_VENDOR</t>
        </is>
      </c>
      <c r="M1100" t="inlineStr">
        <is>
          <t>See CVE details</t>
        </is>
      </c>
      <c r="N1100" t="inlineStr">
        <is>
          <t>P3</t>
        </is>
      </c>
      <c r="O1100" t="inlineStr">
        <is>
          <t>CVE - IP enrichment n/a</t>
        </is>
      </c>
      <c r="P1100" t="n">
        <v>0</v>
      </c>
      <c r="Q1100" t="n">
        <v>0</v>
      </c>
      <c r="R1100" t="inlineStr">
        <is>
          <t>T1059:Command and Scripting Interpreter | T1203:Exploitation for Client Execution</t>
        </is>
      </c>
      <c r="S1100" t="n">
        <v>1</v>
      </c>
      <c r="T1100" t="inlineStr">
        <is>
          <t>LOW (40%)</t>
        </is>
      </c>
      <c r="U1100" t="inlineStr">
        <is>
          <t>UNLIKELY</t>
        </is>
      </c>
      <c r="V1100" t="inlineStr">
        <is>
          <t>CHECK_VENDOR</t>
        </is>
      </c>
      <c r="W1100" t="inlineStr">
        <is>
          <t>https://nvd.nist.gov/vuln/detail/CVE-2019-25441</t>
        </is>
      </c>
      <c r="X1100" t="inlineStr">
        <is>
          <t>NONE</t>
        </is>
      </c>
      <c r="Y1100" t="n">
        <v>0</v>
      </c>
      <c r="Z1100" t="inlineStr"/>
      <c r="AA1100" t="inlineStr">
        <is>
          <t>https://nvd.nist.gov/vuln/detail/CVE-2019-25441</t>
        </is>
      </c>
    </row>
    <row r="1101">
      <c r="A1101" t="inlineStr">
        <is>
          <t>CVE</t>
        </is>
      </c>
      <c r="B1101" t="inlineStr">
        <is>
          <t>CVE-2019-25447</t>
        </is>
      </c>
      <c r="C1101" t="inlineStr">
        <is>
          <t>OrientDB 3.0.17 GA Community Edition contains cross-site request forgery vulnerabilities that allow attackers to perform unauthorized actions by crafting malicious requests to endpoints like /database/, /command/, and /document/. Attackers can create or delete databases, modify schema classes, manage users, and create functions by sending authenticated requests without token validation, combined with reflected and stored cross-site scripting vulnerabilities in the web interface.</t>
        </is>
      </c>
      <c r="D1101" t="n">
        <v>4.3</v>
      </c>
      <c r="E1101" t="inlineStr">
        <is>
          <t>MEDIUM</t>
        </is>
      </c>
      <c r="F1101" t="n">
        <v>2</v>
      </c>
      <c r="G1101" t="n">
        <v>2</v>
      </c>
      <c r="H1101" t="inlineStr">
        <is>
          <t>MEDIUM</t>
        </is>
      </c>
      <c r="I1101" t="n">
        <v>8.300000000000001</v>
      </c>
      <c r="J1101" t="inlineStr">
        <is>
          <t>NO</t>
        </is>
      </c>
      <c r="K1101" t="inlineStr">
        <is>
          <t>2026-02-23 23:48</t>
        </is>
      </c>
      <c r="L1101" t="inlineStr">
        <is>
          <t>CHECK_VENDOR</t>
        </is>
      </c>
      <c r="M1101" t="inlineStr">
        <is>
          <t>See CVE details</t>
        </is>
      </c>
      <c r="N1101" t="inlineStr">
        <is>
          <t>P4</t>
        </is>
      </c>
      <c r="O1101" t="inlineStr">
        <is>
          <t>CVE - IP enrichment n/a</t>
        </is>
      </c>
      <c r="P1101" t="n">
        <v>0</v>
      </c>
      <c r="Q1101" t="n">
        <v>0</v>
      </c>
      <c r="R1101" t="inlineStr">
        <is>
          <t>T1185:Browser Session Hijacking | T1189:Drive-by Compromise</t>
        </is>
      </c>
      <c r="S1101" t="n">
        <v>1</v>
      </c>
      <c r="T1101" t="inlineStr">
        <is>
          <t>LOW (40%)</t>
        </is>
      </c>
      <c r="U1101" t="inlineStr">
        <is>
          <t>UNLIKELY</t>
        </is>
      </c>
      <c r="V1101" t="inlineStr">
        <is>
          <t>CHECK_VENDOR</t>
        </is>
      </c>
      <c r="W1101" t="inlineStr">
        <is>
          <t>https://nvd.nist.gov/vuln/detail/CVE-2019-25447</t>
        </is>
      </c>
      <c r="X1101" t="inlineStr">
        <is>
          <t>NONE</t>
        </is>
      </c>
      <c r="Y1101" t="n">
        <v>0</v>
      </c>
      <c r="Z1101" t="inlineStr"/>
      <c r="AA1101" t="inlineStr">
        <is>
          <t>https://nvd.nist.gov/vuln/detail/CVE-2019-25447</t>
        </is>
      </c>
    </row>
    <row r="1102">
      <c r="A1102" t="inlineStr">
        <is>
          <t>CVE</t>
        </is>
      </c>
      <c r="B1102" t="inlineStr">
        <is>
          <t>CVE-2019-25448</t>
        </is>
      </c>
      <c r="C1102" t="inlineStr">
        <is>
          <t>OrientDB 3.0.17 contains a stored cross-site scripting vulnerability that allows authenticated attackers to inject malicious scripts by creating users with script payloads in the name parameter. Attackers can send POST requests to the document endpoint with JavaScript code in the name field to execute arbitrary scripts when users view the application.</t>
        </is>
      </c>
      <c r="D1102" t="n">
        <v>6.4</v>
      </c>
      <c r="E1102" t="inlineStr">
        <is>
          <t>MEDIUM</t>
        </is>
      </c>
      <c r="F1102" t="n">
        <v>2</v>
      </c>
      <c r="G1102" t="n">
        <v>2</v>
      </c>
      <c r="H1102" t="inlineStr">
        <is>
          <t>MEDIUM</t>
        </is>
      </c>
      <c r="I1102" t="n">
        <v>10.4</v>
      </c>
      <c r="J1102" t="inlineStr">
        <is>
          <t>NO</t>
        </is>
      </c>
      <c r="K1102" t="inlineStr">
        <is>
          <t>2026-02-23 23:48</t>
        </is>
      </c>
      <c r="L1102" t="inlineStr">
        <is>
          <t>CHECK_VENDOR</t>
        </is>
      </c>
      <c r="M1102" t="inlineStr">
        <is>
          <t>See CVE details</t>
        </is>
      </c>
      <c r="N1102" t="inlineStr">
        <is>
          <t>P4</t>
        </is>
      </c>
      <c r="O1102" t="inlineStr">
        <is>
          <t>CVE - IP enrichment n/a</t>
        </is>
      </c>
      <c r="P1102" t="n">
        <v>0</v>
      </c>
      <c r="Q1102" t="n">
        <v>0</v>
      </c>
      <c r="R1102" t="inlineStr">
        <is>
          <t>T1189:Drive-by Compromise</t>
        </is>
      </c>
      <c r="S1102" t="n">
        <v>1</v>
      </c>
      <c r="T1102" t="inlineStr">
        <is>
          <t>LOW (40%)</t>
        </is>
      </c>
      <c r="U1102" t="inlineStr">
        <is>
          <t>UNLIKELY</t>
        </is>
      </c>
      <c r="V1102" t="inlineStr">
        <is>
          <t>CHECK_VENDOR</t>
        </is>
      </c>
      <c r="W1102" t="inlineStr">
        <is>
          <t>https://nvd.nist.gov/vuln/detail/CVE-2019-25448</t>
        </is>
      </c>
      <c r="X1102" t="inlineStr">
        <is>
          <t>NONE</t>
        </is>
      </c>
      <c r="Y1102" t="n">
        <v>0</v>
      </c>
      <c r="Z1102" t="inlineStr"/>
      <c r="AA1102" t="inlineStr">
        <is>
          <t>https://nvd.nist.gov/vuln/detail/CVE-2019-25448</t>
        </is>
      </c>
    </row>
    <row r="1103">
      <c r="A1103" t="inlineStr">
        <is>
          <t>CVE</t>
        </is>
      </c>
      <c r="B1103" t="inlineStr">
        <is>
          <t>CVE-2019-25449</t>
        </is>
      </c>
      <c r="C1103" t="inlineStr">
        <is>
          <t>OrientDB 3.0.17 contains a reflected cross-site scripting vulnerability that allows attackers to inject malicious scripts by submitting crafted JSON payloads to the document endpoint. Attackers can send POST requests to /document/demodb/-1:-1 with script tags in the name parameter to execute arbitrary JavaScript in users' browsers.</t>
        </is>
      </c>
      <c r="D1103" t="n">
        <v>6.1</v>
      </c>
      <c r="E1103" t="inlineStr">
        <is>
          <t>MEDIUM</t>
        </is>
      </c>
      <c r="F1103" t="n">
        <v>2</v>
      </c>
      <c r="G1103" t="n">
        <v>2</v>
      </c>
      <c r="H1103" t="inlineStr">
        <is>
          <t>MEDIUM</t>
        </is>
      </c>
      <c r="I1103" t="n">
        <v>10.1</v>
      </c>
      <c r="J1103" t="inlineStr">
        <is>
          <t>NO</t>
        </is>
      </c>
      <c r="K1103" t="inlineStr">
        <is>
          <t>2026-02-23 23:48</t>
        </is>
      </c>
      <c r="L1103" t="inlineStr">
        <is>
          <t>CHECK_VENDOR</t>
        </is>
      </c>
      <c r="M1103" t="inlineStr">
        <is>
          <t>See CVE details</t>
        </is>
      </c>
      <c r="N1103" t="inlineStr">
        <is>
          <t>P4</t>
        </is>
      </c>
      <c r="O1103" t="inlineStr">
        <is>
          <t>CVE - IP enrichment n/a</t>
        </is>
      </c>
      <c r="P1103" t="n">
        <v>0</v>
      </c>
      <c r="Q1103" t="n">
        <v>0</v>
      </c>
      <c r="R1103" t="inlineStr">
        <is>
          <t>T1189:Drive-by Compromise</t>
        </is>
      </c>
      <c r="S1103" t="n">
        <v>1</v>
      </c>
      <c r="T1103" t="inlineStr">
        <is>
          <t>LOW (40%)</t>
        </is>
      </c>
      <c r="U1103" t="inlineStr">
        <is>
          <t>UNLIKELY</t>
        </is>
      </c>
      <c r="V1103" t="inlineStr">
        <is>
          <t>CHECK_VENDOR</t>
        </is>
      </c>
      <c r="W1103" t="inlineStr">
        <is>
          <t>https://nvd.nist.gov/vuln/detail/CVE-2019-25449</t>
        </is>
      </c>
      <c r="X1103" t="inlineStr">
        <is>
          <t>NONE</t>
        </is>
      </c>
      <c r="Y1103" t="n">
        <v>0</v>
      </c>
      <c r="Z1103" t="inlineStr"/>
      <c r="AA1103" t="inlineStr">
        <is>
          <t>https://nvd.nist.gov/vuln/detail/CVE-2019-25449</t>
        </is>
      </c>
    </row>
    <row r="1104">
      <c r="A1104" t="inlineStr">
        <is>
          <t>CVE</t>
        </is>
      </c>
      <c r="B1104" t="inlineStr">
        <is>
          <t>CVE-2019-25451</t>
        </is>
      </c>
      <c r="C1104" t="inlineStr">
        <is>
          <t>phpMoAdmin 1.1.5 contains a cross-site request forgery vulnerability that allows attackers to perform unauthorized database operations by crafting malicious requests. Attackers can trick authenticated users into submitting GET requests to moadmin.php with parameters like action, db, and collection to create, drop, or repair databases and collections without user consent.</t>
        </is>
      </c>
      <c r="D1104" t="n">
        <v>4.3</v>
      </c>
      <c r="E1104" t="inlineStr">
        <is>
          <t>MEDIUM</t>
        </is>
      </c>
      <c r="F1104" t="n">
        <v>2</v>
      </c>
      <c r="G1104" t="n">
        <v>2</v>
      </c>
      <c r="H1104" t="inlineStr">
        <is>
          <t>MEDIUM</t>
        </is>
      </c>
      <c r="I1104" t="n">
        <v>8.300000000000001</v>
      </c>
      <c r="J1104" t="inlineStr">
        <is>
          <t>NO</t>
        </is>
      </c>
      <c r="K1104" t="inlineStr">
        <is>
          <t>2026-02-23 23:48</t>
        </is>
      </c>
      <c r="L1104" t="inlineStr">
        <is>
          <t>CHECK_VENDOR</t>
        </is>
      </c>
      <c r="M1104" t="inlineStr">
        <is>
          <t>See CVE details</t>
        </is>
      </c>
      <c r="N1104" t="inlineStr">
        <is>
          <t>P4</t>
        </is>
      </c>
      <c r="O1104" t="inlineStr">
        <is>
          <t>CVE - IP enrichment n/a</t>
        </is>
      </c>
      <c r="P1104" t="n">
        <v>0.0003</v>
      </c>
      <c r="Q1104" t="n">
        <v>0.0672</v>
      </c>
      <c r="R1104" t="inlineStr">
        <is>
          <t>T1090:Proxy</t>
        </is>
      </c>
      <c r="S1104" t="n">
        <v>1</v>
      </c>
      <c r="T1104" t="inlineStr">
        <is>
          <t>LOW (40%)</t>
        </is>
      </c>
      <c r="U1104" t="inlineStr">
        <is>
          <t>UNLIKELY</t>
        </is>
      </c>
      <c r="V1104" t="inlineStr">
        <is>
          <t>CHECK_VENDOR</t>
        </is>
      </c>
      <c r="W1104" t="inlineStr">
        <is>
          <t>https://nvd.nist.gov/vuln/detail/CVE-2019-25451</t>
        </is>
      </c>
      <c r="X1104" t="inlineStr">
        <is>
          <t>NONE</t>
        </is>
      </c>
      <c r="Y1104" t="n">
        <v>0</v>
      </c>
      <c r="Z1104" t="inlineStr"/>
      <c r="AA1104" t="inlineStr">
        <is>
          <t>https://nvd.nist.gov/vuln/detail/CVE-2019-25451</t>
        </is>
      </c>
    </row>
    <row r="1105">
      <c r="A1105" t="inlineStr">
        <is>
          <t>CVE</t>
        </is>
      </c>
      <c r="B1105" t="inlineStr">
        <is>
          <t>CVE-2019-25453</t>
        </is>
      </c>
      <c r="C1105" t="inlineStr">
        <is>
          <t>phpMoAdmin 1.1.5 contains a reflected cross-site scripting vulnerability that allows unauthenticated attackers to inject malicious scripts by manipulating the newdb parameter. Attackers can craft URLs with JavaScript payloads in the newdb parameter of moadmin.php to execute arbitrary code in users' browsers when they visit the malicious link.</t>
        </is>
      </c>
      <c r="D1105" t="n">
        <v>6.1</v>
      </c>
      <c r="E1105" t="inlineStr">
        <is>
          <t>MEDIUM</t>
        </is>
      </c>
      <c r="F1105" t="n">
        <v>2</v>
      </c>
      <c r="G1105" t="n">
        <v>2</v>
      </c>
      <c r="H1105" t="inlineStr">
        <is>
          <t>MEDIUM</t>
        </is>
      </c>
      <c r="I1105" t="n">
        <v>10.1</v>
      </c>
      <c r="J1105" t="inlineStr">
        <is>
          <t>NO</t>
        </is>
      </c>
      <c r="K1105" t="inlineStr">
        <is>
          <t>2026-02-23 23:48</t>
        </is>
      </c>
      <c r="L1105" t="inlineStr">
        <is>
          <t>CHECK_VENDOR</t>
        </is>
      </c>
      <c r="M1105" t="inlineStr">
        <is>
          <t>See CVE details</t>
        </is>
      </c>
      <c r="N1105" t="inlineStr">
        <is>
          <t>P4</t>
        </is>
      </c>
      <c r="O1105" t="inlineStr">
        <is>
          <t>CVE - IP enrichment n/a</t>
        </is>
      </c>
      <c r="P1105" t="n">
        <v>0</v>
      </c>
      <c r="Q1105" t="n">
        <v>0</v>
      </c>
      <c r="R1105" t="inlineStr">
        <is>
          <t>T1189:Drive-by Compromise | T1203:Exploitation for Client Execution</t>
        </is>
      </c>
      <c r="S1105" t="n">
        <v>1</v>
      </c>
      <c r="T1105" t="inlineStr">
        <is>
          <t>LOW (40%)</t>
        </is>
      </c>
      <c r="U1105" t="inlineStr">
        <is>
          <t>UNLIKELY</t>
        </is>
      </c>
      <c r="V1105" t="inlineStr">
        <is>
          <t>CHECK_VENDOR</t>
        </is>
      </c>
      <c r="W1105" t="inlineStr">
        <is>
          <t>https://nvd.nist.gov/vuln/detail/CVE-2019-25453</t>
        </is>
      </c>
      <c r="X1105" t="inlineStr">
        <is>
          <t>NONE</t>
        </is>
      </c>
      <c r="Y1105" t="n">
        <v>0</v>
      </c>
      <c r="Z1105" t="inlineStr"/>
      <c r="AA1105" t="inlineStr">
        <is>
          <t>https://nvd.nist.gov/vuln/detail/CVE-2019-25453</t>
        </is>
      </c>
    </row>
    <row r="1106">
      <c r="A1106" t="inlineStr">
        <is>
          <t>CVE</t>
        </is>
      </c>
      <c r="B1106" t="inlineStr">
        <is>
          <t>CVE-2019-25454</t>
        </is>
      </c>
      <c r="C1106" t="inlineStr">
        <is>
          <t>phpMoAdmin 1.1.5 contains a stored cross-site scripting vulnerability that allows unauthenticated attackers to inject malicious scripts by manipulating the collection parameter. Attackers can send GET requests to moadmin.php with script payloads in the collection parameter during collection creation to execute arbitrary JavaScript in users' browsers.</t>
        </is>
      </c>
      <c r="D1106" t="n">
        <v>7.2</v>
      </c>
      <c r="E1106" t="inlineStr">
        <is>
          <t>HIGH</t>
        </is>
      </c>
      <c r="F1106" t="n">
        <v>2</v>
      </c>
      <c r="G1106" t="n">
        <v>3</v>
      </c>
      <c r="H1106" t="inlineStr">
        <is>
          <t>HIGH</t>
        </is>
      </c>
      <c r="I1106" t="n">
        <v>13.2</v>
      </c>
      <c r="J1106" t="inlineStr">
        <is>
          <t>NO</t>
        </is>
      </c>
      <c r="K1106" t="inlineStr">
        <is>
          <t>2026-02-23 23:48</t>
        </is>
      </c>
      <c r="L1106" t="inlineStr">
        <is>
          <t>CHECK_VENDOR</t>
        </is>
      </c>
      <c r="M1106" t="inlineStr">
        <is>
          <t>See CVE details</t>
        </is>
      </c>
      <c r="N1106" t="inlineStr">
        <is>
          <t>P3</t>
        </is>
      </c>
      <c r="O1106" t="inlineStr">
        <is>
          <t>CVE - IP enrichment n/a</t>
        </is>
      </c>
      <c r="P1106" t="n">
        <v>0</v>
      </c>
      <c r="Q1106" t="n">
        <v>0</v>
      </c>
      <c r="R1106" t="inlineStr">
        <is>
          <t>T1189:Drive-by Compromise</t>
        </is>
      </c>
      <c r="S1106" t="n">
        <v>1</v>
      </c>
      <c r="T1106" t="inlineStr">
        <is>
          <t>LOW (40%)</t>
        </is>
      </c>
      <c r="U1106" t="inlineStr">
        <is>
          <t>UNLIKELY</t>
        </is>
      </c>
      <c r="V1106" t="inlineStr">
        <is>
          <t>CHECK_VENDOR</t>
        </is>
      </c>
      <c r="W1106" t="inlineStr">
        <is>
          <t>https://nvd.nist.gov/vuln/detail/CVE-2019-25454</t>
        </is>
      </c>
      <c r="X1106" t="inlineStr">
        <is>
          <t>NONE</t>
        </is>
      </c>
      <c r="Y1106" t="n">
        <v>0</v>
      </c>
      <c r="Z1106" t="inlineStr"/>
      <c r="AA1106" t="inlineStr">
        <is>
          <t>https://nvd.nist.gov/vuln/detail/CVE-2019-25454</t>
        </is>
      </c>
    </row>
    <row r="1107">
      <c r="A1107" t="inlineStr">
        <is>
          <t>CVE</t>
        </is>
      </c>
      <c r="B1107" t="inlineStr">
        <is>
          <t>CVE-2026-27119</t>
        </is>
      </c>
      <c r="C1107" t="inlineStr">
        <is>
          <t>svelte performance oriented web framework. From 5.39.3, element does not properly escape its content, potentially allowing HTML injection in the SSR output. Client-side rendering is not affected. This vulnerability is fixed in 5.51.5.</t>
        </is>
      </c>
      <c r="D1107" t="n">
        <v>5.4</v>
      </c>
      <c r="E1107" t="inlineStr">
        <is>
          <t>MEDIUM</t>
        </is>
      </c>
      <c r="F1107" t="n">
        <v>2</v>
      </c>
      <c r="G1107" t="n">
        <v>2</v>
      </c>
      <c r="H1107" t="inlineStr">
        <is>
          <t>MEDIUM</t>
        </is>
      </c>
      <c r="I1107" t="n">
        <v>9.4</v>
      </c>
      <c r="J1107" t="inlineStr">
        <is>
          <t>NO</t>
        </is>
      </c>
      <c r="K1107" t="inlineStr">
        <is>
          <t>2026-02-23 23:48</t>
        </is>
      </c>
      <c r="L1107" t="inlineStr">
        <is>
          <t>YES</t>
        </is>
      </c>
      <c r="M1107" t="inlineStr">
        <is>
          <t>svelte svelte *</t>
        </is>
      </c>
      <c r="N1107" t="inlineStr">
        <is>
          <t>P3</t>
        </is>
      </c>
      <c r="O1107" t="inlineStr">
        <is>
          <t>CVE - IP enrichment n/a</t>
        </is>
      </c>
      <c r="P1107" t="n">
        <v>0.0004</v>
      </c>
      <c r="Q1107" t="n">
        <v>0.1326</v>
      </c>
      <c r="R1107" t="inlineStr">
        <is>
          <t>T1189:Drive-by Compromise</t>
        </is>
      </c>
      <c r="S1107" t="n">
        <v>2</v>
      </c>
      <c r="T1107" t="inlineStr">
        <is>
          <t>MEDIUM (52%)</t>
        </is>
      </c>
      <c r="U1107" t="inlineStr">
        <is>
          <t>UNLIKELY</t>
        </is>
      </c>
      <c r="V1107" t="inlineStr">
        <is>
          <t>PATCH_AVAILABLE</t>
        </is>
      </c>
      <c r="W1107" t="inlineStr">
        <is>
          <t>https://nvd.nist.gov/vuln/detail/CVE-2026-27119</t>
        </is>
      </c>
      <c r="X1107" t="inlineStr">
        <is>
          <t>NONE</t>
        </is>
      </c>
      <c r="Y1107" t="n">
        <v>0</v>
      </c>
      <c r="Z1107" t="inlineStr"/>
      <c r="AA1107" t="inlineStr">
        <is>
          <t>https://nvd.nist.gov/vuln/detail/CVE-2026-27119</t>
        </is>
      </c>
    </row>
    <row r="1108">
      <c r="A1108" t="inlineStr">
        <is>
          <t>CVE</t>
        </is>
      </c>
      <c r="B1108" t="inlineStr">
        <is>
          <t>CVE-2026-27121</t>
        </is>
      </c>
      <c r="C1108" t="inlineStr">
        <is>
          <t>svelte performance oriented web framework. Versions of svelte prior to 5.51.5 are vulnerable to cross-site scripting (XSS) during server-side rendering. When using spread syntax to render attributes from untrusted data, event handler properties are included in the rendered HTML output. If an application spreads user-controlled or external data as element attributes, an attacker can inject malicious event handlers that execute in victims' browsers. This vulnerability is fixed in 5.51.5.</t>
        </is>
      </c>
      <c r="D1108" t="n">
        <v>5.4</v>
      </c>
      <c r="E1108" t="inlineStr">
        <is>
          <t>MEDIUM</t>
        </is>
      </c>
      <c r="F1108" t="n">
        <v>2</v>
      </c>
      <c r="G1108" t="n">
        <v>2</v>
      </c>
      <c r="H1108" t="inlineStr">
        <is>
          <t>MEDIUM</t>
        </is>
      </c>
      <c r="I1108" t="n">
        <v>9.4</v>
      </c>
      <c r="J1108" t="inlineStr">
        <is>
          <t>NO</t>
        </is>
      </c>
      <c r="K1108" t="inlineStr">
        <is>
          <t>2026-02-23 23:48</t>
        </is>
      </c>
      <c r="L1108" t="inlineStr">
        <is>
          <t>YES</t>
        </is>
      </c>
      <c r="M1108" t="inlineStr">
        <is>
          <t>svelte svelte *</t>
        </is>
      </c>
      <c r="N1108" t="inlineStr">
        <is>
          <t>P3</t>
        </is>
      </c>
      <c r="O1108" t="inlineStr">
        <is>
          <t>CVE - IP enrichment n/a</t>
        </is>
      </c>
      <c r="P1108" t="n">
        <v>0.0004</v>
      </c>
      <c r="Q1108" t="n">
        <v>0.1326</v>
      </c>
      <c r="R1108" t="inlineStr">
        <is>
          <t>T1189:Drive-by Compromise</t>
        </is>
      </c>
      <c r="S1108" t="n">
        <v>2</v>
      </c>
      <c r="T1108" t="inlineStr">
        <is>
          <t>MEDIUM (52%)</t>
        </is>
      </c>
      <c r="U1108" t="inlineStr">
        <is>
          <t>UNLIKELY</t>
        </is>
      </c>
      <c r="V1108" t="inlineStr">
        <is>
          <t>PATCH_AVAILABLE</t>
        </is>
      </c>
      <c r="W1108" t="inlineStr">
        <is>
          <t>https://nvd.nist.gov/vuln/detail/CVE-2026-27121</t>
        </is>
      </c>
      <c r="X1108" t="inlineStr">
        <is>
          <t>NONE</t>
        </is>
      </c>
      <c r="Y1108" t="n">
        <v>0</v>
      </c>
      <c r="Z1108" t="inlineStr"/>
      <c r="AA1108" t="inlineStr">
        <is>
          <t>https://nvd.nist.gov/vuln/detail/CVE-2026-27121</t>
        </is>
      </c>
    </row>
    <row r="1109">
      <c r="A1109" t="inlineStr">
        <is>
          <t>CVE</t>
        </is>
      </c>
      <c r="B1109" t="inlineStr">
        <is>
          <t>CVE-2026-27122</t>
        </is>
      </c>
      <c r="C1109" t="inlineStr">
        <is>
          <t>svelte performance oriented web framework. Prior to 5.51.5, when using in server-side rendering, the provided tag name is not validated or sanitized before being emitted into the HTML output. If the tag string contains unexpected characters, it can result in HTML injection in the SSR output. Client-side rendering is not affected. This vulnerability is fixed in 5.51.5.</t>
        </is>
      </c>
      <c r="D1109" t="n">
        <v>5.4</v>
      </c>
      <c r="E1109" t="inlineStr">
        <is>
          <t>MEDIUM</t>
        </is>
      </c>
      <c r="F1109" t="n">
        <v>2</v>
      </c>
      <c r="G1109" t="n">
        <v>2</v>
      </c>
      <c r="H1109" t="inlineStr">
        <is>
          <t>MEDIUM</t>
        </is>
      </c>
      <c r="I1109" t="n">
        <v>9.4</v>
      </c>
      <c r="J1109" t="inlineStr">
        <is>
          <t>NO</t>
        </is>
      </c>
      <c r="K1109" t="inlineStr">
        <is>
          <t>2026-02-23 23:48</t>
        </is>
      </c>
      <c r="L1109" t="inlineStr">
        <is>
          <t>YES</t>
        </is>
      </c>
      <c r="M1109" t="inlineStr">
        <is>
          <t>svelte svelte *</t>
        </is>
      </c>
      <c r="N1109" t="inlineStr">
        <is>
          <t>P3</t>
        </is>
      </c>
      <c r="O1109" t="inlineStr">
        <is>
          <t>CVE - IP enrichment n/a</t>
        </is>
      </c>
      <c r="P1109" t="n">
        <v>0.0004</v>
      </c>
      <c r="Q1109" t="n">
        <v>0.1326</v>
      </c>
      <c r="R1109" t="inlineStr">
        <is>
          <t>T1189:Drive-by Compromise</t>
        </is>
      </c>
      <c r="S1109" t="n">
        <v>2</v>
      </c>
      <c r="T1109" t="inlineStr">
        <is>
          <t>MEDIUM (52%)</t>
        </is>
      </c>
      <c r="U1109" t="inlineStr">
        <is>
          <t>UNLIKELY</t>
        </is>
      </c>
      <c r="V1109" t="inlineStr">
        <is>
          <t>PATCH_AVAILABLE</t>
        </is>
      </c>
      <c r="W1109" t="inlineStr">
        <is>
          <t>https://nvd.nist.gov/vuln/detail/CVE-2026-27122</t>
        </is>
      </c>
      <c r="X1109" t="inlineStr">
        <is>
          <t>NONE</t>
        </is>
      </c>
      <c r="Y1109" t="n">
        <v>0</v>
      </c>
      <c r="Z1109" t="inlineStr"/>
      <c r="AA1109" t="inlineStr">
        <is>
          <t>https://nvd.nist.gov/vuln/detail/CVE-2026-27122</t>
        </is>
      </c>
    </row>
    <row r="1110">
      <c r="A1110" t="inlineStr">
        <is>
          <t>CVE</t>
        </is>
      </c>
      <c r="B1110" t="inlineStr">
        <is>
          <t>CVE-2026-27125</t>
        </is>
      </c>
      <c r="C1110" t="inlineStr">
        <is>
          <t>svelte performance oriented web framework. Prior to 5.51.5, in server-side rendering, attribute spreading on elements (e.g. ) enumerates inherited properties from the object's prototype chain rather than only own properties. In environments where Object.prototype has already been polluted — a precondition outside of Svelte's control — this can cause unexpected attributes to appear in SSR output or cause SSR to throw errors. Client-side rendering is not affected. This vulnerability is fixed in 5.</t>
        </is>
      </c>
      <c r="D1110" t="n">
        <v>6.8</v>
      </c>
      <c r="E1110" t="inlineStr">
        <is>
          <t>MEDIUM</t>
        </is>
      </c>
      <c r="F1110" t="n">
        <v>2</v>
      </c>
      <c r="G1110" t="n">
        <v>2</v>
      </c>
      <c r="H1110" t="inlineStr">
        <is>
          <t>MEDIUM</t>
        </is>
      </c>
      <c r="I1110" t="n">
        <v>10.8</v>
      </c>
      <c r="J1110" t="inlineStr">
        <is>
          <t>NO</t>
        </is>
      </c>
      <c r="K1110" t="inlineStr">
        <is>
          <t>2026-02-23 23:48</t>
        </is>
      </c>
      <c r="L1110" t="inlineStr">
        <is>
          <t>YES</t>
        </is>
      </c>
      <c r="M1110" t="inlineStr">
        <is>
          <t>svelte svelte *</t>
        </is>
      </c>
      <c r="N1110" t="inlineStr">
        <is>
          <t>P3</t>
        </is>
      </c>
      <c r="O1110" t="inlineStr">
        <is>
          <t>CVE - IP enrichment n/a</t>
        </is>
      </c>
      <c r="P1110" t="n">
        <v>0</v>
      </c>
      <c r="Q1110" t="n">
        <v>0</v>
      </c>
      <c r="R1110" t="inlineStr">
        <is>
          <t>T1190:Exploit Public-Facing Application</t>
        </is>
      </c>
      <c r="S1110" t="n">
        <v>2</v>
      </c>
      <c r="T1110" t="inlineStr">
        <is>
          <t>MEDIUM (52%)</t>
        </is>
      </c>
      <c r="U1110" t="inlineStr">
        <is>
          <t>UNLIKELY</t>
        </is>
      </c>
      <c r="V1110" t="inlineStr">
        <is>
          <t>PATCH_AVAILABLE</t>
        </is>
      </c>
      <c r="W1110" t="inlineStr">
        <is>
          <t>https://nvd.nist.gov/vuln/detail/CVE-2026-27125</t>
        </is>
      </c>
      <c r="X1110" t="inlineStr">
        <is>
          <t>NONE</t>
        </is>
      </c>
      <c r="Y1110" t="n">
        <v>0</v>
      </c>
      <c r="Z1110" t="inlineStr"/>
      <c r="AA1110" t="inlineStr">
        <is>
          <t>https://nvd.nist.gov/vuln/detail/CVE-2026-27125</t>
        </is>
      </c>
    </row>
    <row r="1111">
      <c r="A1111" t="inlineStr">
        <is>
          <t>CVE</t>
        </is>
      </c>
      <c r="B1111" t="inlineStr">
        <is>
          <t>CVE-2026-27133</t>
        </is>
      </c>
      <c r="C1111" t="inlineStr">
        <is>
          <t>Strimzi provides a way to run an Apache Kafka cluster on Kubernetes or OpenShift in various deployment configurations. From 0.47.0 to before 0.50.1, when a chain consisting of multiple CA (Certificate Authority) certificates is used in the trusted certificates configuration of a Kafka Connect operand or of the target cluster in the Kafka MirrorMaker 2 operand, all of the certificates that are part of the CA chain will be trusted individually when connecting to the Apache Kafka cluster. Due to th</t>
        </is>
      </c>
      <c r="D1111" t="n">
        <v>5.9</v>
      </c>
      <c r="E1111" t="inlineStr">
        <is>
          <t>MEDIUM</t>
        </is>
      </c>
      <c r="F1111" t="n">
        <v>2</v>
      </c>
      <c r="G1111" t="n">
        <v>2</v>
      </c>
      <c r="H1111" t="inlineStr">
        <is>
          <t>MEDIUM</t>
        </is>
      </c>
      <c r="I1111" t="n">
        <v>9.9</v>
      </c>
      <c r="J1111" t="inlineStr">
        <is>
          <t>NO</t>
        </is>
      </c>
      <c r="K1111" t="inlineStr">
        <is>
          <t>2026-02-23 23:48</t>
        </is>
      </c>
      <c r="L1111" t="inlineStr">
        <is>
          <t>CHECK_VENDOR</t>
        </is>
      </c>
      <c r="M1111" t="inlineStr">
        <is>
          <t>See CVE details</t>
        </is>
      </c>
      <c r="N1111" t="inlineStr">
        <is>
          <t>P4</t>
        </is>
      </c>
      <c r="O1111" t="inlineStr">
        <is>
          <t>CVE - IP enrichment n/a</t>
        </is>
      </c>
      <c r="P1111" t="n">
        <v>0</v>
      </c>
      <c r="Q1111" t="n">
        <v>0</v>
      </c>
      <c r="R1111" t="inlineStr">
        <is>
          <t>T1190:Exploit Public-Facing Application</t>
        </is>
      </c>
      <c r="S1111" t="n">
        <v>1</v>
      </c>
      <c r="T1111" t="inlineStr">
        <is>
          <t>LOW (40%)</t>
        </is>
      </c>
      <c r="U1111" t="inlineStr">
        <is>
          <t>UNLIKELY</t>
        </is>
      </c>
      <c r="V1111" t="inlineStr">
        <is>
          <t>CHECK_VENDOR</t>
        </is>
      </c>
      <c r="W1111" t="inlineStr">
        <is>
          <t>https://nvd.nist.gov/vuln/detail/CVE-2026-27133</t>
        </is>
      </c>
      <c r="X1111" t="inlineStr">
        <is>
          <t>NONE</t>
        </is>
      </c>
      <c r="Y1111" t="n">
        <v>0</v>
      </c>
      <c r="Z1111" t="inlineStr"/>
      <c r="AA1111" t="inlineStr">
        <is>
          <t>https://nvd.nist.gov/vuln/detail/CVE-2026-27133</t>
        </is>
      </c>
    </row>
    <row r="1112">
      <c r="A1112" t="inlineStr">
        <is>
          <t>CVE</t>
        </is>
      </c>
      <c r="B1112" t="inlineStr">
        <is>
          <t>CVE-2026-2033</t>
        </is>
      </c>
      <c r="C1112" t="inlineStr">
        <is>
          <t>MLflow Tracking Server Artifact Handler Directory Traversal Remote Code Execution Vulnerability. This vulnerability allows remote attackers to execute arbitrary code on affected installations of MLflow Tracking Server. Authentication is not required to exploit this vulnerability.
The specific flaw exists within the handling of artifact file paths. The issue results from the lack of proper validation of a user-supplied path prior to using it in file operations. An attacker can leverage this vuln</t>
        </is>
      </c>
      <c r="D1112" t="n">
        <v>8.1</v>
      </c>
      <c r="E1112" t="inlineStr">
        <is>
          <t>HIGH</t>
        </is>
      </c>
      <c r="F1112" t="n">
        <v>2</v>
      </c>
      <c r="G1112" t="n">
        <v>3</v>
      </c>
      <c r="H1112" t="inlineStr">
        <is>
          <t>HIGH</t>
        </is>
      </c>
      <c r="I1112" t="n">
        <v>14.1</v>
      </c>
      <c r="J1112" t="inlineStr">
        <is>
          <t>NO</t>
        </is>
      </c>
      <c r="K1112" t="inlineStr">
        <is>
          <t>2026-02-23 23:48</t>
        </is>
      </c>
      <c r="L1112" t="inlineStr">
        <is>
          <t>CHECK_VENDOR</t>
        </is>
      </c>
      <c r="M1112" t="inlineStr">
        <is>
          <t>See CVE details</t>
        </is>
      </c>
      <c r="N1112" t="inlineStr">
        <is>
          <t>P1</t>
        </is>
      </c>
      <c r="O1112" t="inlineStr">
        <is>
          <t>CVE - IP enrichment n/a</t>
        </is>
      </c>
      <c r="P1112" t="n">
        <v>0</v>
      </c>
      <c r="Q1112" t="n">
        <v>0</v>
      </c>
      <c r="R1112" t="inlineStr">
        <is>
          <t>T1083:File and Directory Discovery | T1190:Exploit Public-Facing Application | T1210:Exploitation of Remote Services</t>
        </is>
      </c>
      <c r="S1112" t="n">
        <v>2</v>
      </c>
      <c r="T1112" t="inlineStr">
        <is>
          <t>HIGH (72%)</t>
        </is>
      </c>
      <c r="U1112" t="inlineStr">
        <is>
          <t>HIGH</t>
        </is>
      </c>
      <c r="V1112" t="inlineStr">
        <is>
          <t>CHECK_VENDOR</t>
        </is>
      </c>
      <c r="W1112" t="inlineStr">
        <is>
          <t>https://nvd.nist.gov/vuln/detail/CVE-2026-2033</t>
        </is>
      </c>
      <c r="X1112" t="inlineStr">
        <is>
          <t>http://www.zerodayinitiative.com/advisories/ZDI-26-105/</t>
        </is>
      </c>
      <c r="Y1112" t="n">
        <v>0</v>
      </c>
      <c r="Z1112" t="inlineStr"/>
      <c r="AA1112" t="inlineStr">
        <is>
          <t>https://nvd.nist.gov/vuln/detail/CVE-2026-2033</t>
        </is>
      </c>
    </row>
    <row r="1113">
      <c r="A1113" t="inlineStr">
        <is>
          <t>CVE</t>
        </is>
      </c>
      <c r="B1113" t="inlineStr">
        <is>
          <t>CVE-2026-2034</t>
        </is>
      </c>
      <c r="C1113" t="inlineStr">
        <is>
          <t>Sante DICOM Viewer Pro DCM File Parsing Buffer Overflow Remote Code Execution Vulnerability. This vulnerability allows remote attackers to execute arbitrary code on affected installations of Sante DICOM Viewer Pro. User interaction is required to exploit this vulnerability in that the target must visit a malicious page or open a malicious file.
The specific flaw exists within the parsing of DCM files. The issue results from the lack of proper validation of the length of user-supplied data prior</t>
        </is>
      </c>
      <c r="D1113" t="n">
        <v>7.8</v>
      </c>
      <c r="E1113" t="inlineStr">
        <is>
          <t>HIGH</t>
        </is>
      </c>
      <c r="F1113" t="n">
        <v>2</v>
      </c>
      <c r="G1113" t="n">
        <v>3</v>
      </c>
      <c r="H1113" t="inlineStr">
        <is>
          <t>HIGH</t>
        </is>
      </c>
      <c r="I1113" t="n">
        <v>13.8</v>
      </c>
      <c r="J1113" t="inlineStr">
        <is>
          <t>NO</t>
        </is>
      </c>
      <c r="K1113" t="inlineStr">
        <is>
          <t>2026-02-23 23:48</t>
        </is>
      </c>
      <c r="L1113" t="inlineStr">
        <is>
          <t>CHECK_VENDOR</t>
        </is>
      </c>
      <c r="M1113" t="inlineStr">
        <is>
          <t>See CVE details</t>
        </is>
      </c>
      <c r="N1113" t="inlineStr">
        <is>
          <t>P1</t>
        </is>
      </c>
      <c r="O1113" t="inlineStr">
        <is>
          <t>CVE - IP enrichment n/a</t>
        </is>
      </c>
      <c r="P1113" t="n">
        <v>0</v>
      </c>
      <c r="Q1113" t="n">
        <v>0</v>
      </c>
      <c r="R1113" t="inlineStr">
        <is>
          <t>T1203:Exploitation for Client Execution | T1190:Exploit Public-Facing Application | T1210:Exploitation of Remote Services</t>
        </is>
      </c>
      <c r="S1113" t="n">
        <v>2</v>
      </c>
      <c r="T1113" t="inlineStr">
        <is>
          <t>HIGH (72%)</t>
        </is>
      </c>
      <c r="U1113" t="inlineStr">
        <is>
          <t>HIGH</t>
        </is>
      </c>
      <c r="V1113" t="inlineStr">
        <is>
          <t>CHECK_VENDOR</t>
        </is>
      </c>
      <c r="W1113" t="inlineStr">
        <is>
          <t>https://nvd.nist.gov/vuln/detail/CVE-2026-2034</t>
        </is>
      </c>
      <c r="X1113" t="inlineStr">
        <is>
          <t>http://www.zerodayinitiative.com/advisories/ZDI-26-104/</t>
        </is>
      </c>
      <c r="Y1113" t="n">
        <v>0</v>
      </c>
      <c r="Z1113" t="inlineStr"/>
      <c r="AA1113" t="inlineStr">
        <is>
          <t>https://nvd.nist.gov/vuln/detail/CVE-2026-2034</t>
        </is>
      </c>
    </row>
    <row r="1114">
      <c r="A1114" t="inlineStr">
        <is>
          <t>CVE</t>
        </is>
      </c>
      <c r="B1114" t="inlineStr">
        <is>
          <t>CVE-2026-2035</t>
        </is>
      </c>
      <c r="C1114" t="inlineStr">
        <is>
          <t>Deciso OPNsense diag_backup.php filename Command Injection Remote Code Execution Vulnerability. This vulnerability allows network-adjacent attackers to execute arbitrary code on affected installations of Deciso OPNsense. Authentication is required to exploit this vulnerability.
The specific flaw exists within the handling of backup configuration files. The issue results from the lack of proper validation of a user-supplied string before using it to execute a system call. An attacker can leverag</t>
        </is>
      </c>
      <c r="D1114" t="n">
        <v>6.8</v>
      </c>
      <c r="E1114" t="inlineStr">
        <is>
          <t>MEDIUM</t>
        </is>
      </c>
      <c r="F1114" t="n">
        <v>2</v>
      </c>
      <c r="G1114" t="n">
        <v>2</v>
      </c>
      <c r="H1114" t="inlineStr">
        <is>
          <t>MEDIUM</t>
        </is>
      </c>
      <c r="I1114" t="n">
        <v>10.8</v>
      </c>
      <c r="J1114" t="inlineStr">
        <is>
          <t>NO</t>
        </is>
      </c>
      <c r="K1114" t="inlineStr">
        <is>
          <t>2026-02-23 23:48</t>
        </is>
      </c>
      <c r="L1114" t="inlineStr">
        <is>
          <t>CHECK_VENDOR</t>
        </is>
      </c>
      <c r="M1114" t="inlineStr">
        <is>
          <t>See CVE details</t>
        </is>
      </c>
      <c r="N1114" t="inlineStr">
        <is>
          <t>P1</t>
        </is>
      </c>
      <c r="O1114" t="inlineStr">
        <is>
          <t>CVE - IP enrichment n/a</t>
        </is>
      </c>
      <c r="P1114" t="n">
        <v>0.0017</v>
      </c>
      <c r="Q1114" t="n">
        <v>0.3764</v>
      </c>
      <c r="R1114" t="inlineStr">
        <is>
          <t>T1059:Command and Scripting Interpreter | T1190:Exploit Public-Facing Application | T1210:Exploitation of Remote Services</t>
        </is>
      </c>
      <c r="S1114" t="n">
        <v>2</v>
      </c>
      <c r="T1114" t="inlineStr">
        <is>
          <t>HIGH (72%)</t>
        </is>
      </c>
      <c r="U1114" t="inlineStr">
        <is>
          <t>HIGH</t>
        </is>
      </c>
      <c r="V1114" t="inlineStr">
        <is>
          <t>CHECK_VENDOR</t>
        </is>
      </c>
      <c r="W1114" t="inlineStr">
        <is>
          <t>https://nvd.nist.gov/vuln/detail/CVE-2026-2035</t>
        </is>
      </c>
      <c r="X1114" t="inlineStr">
        <is>
          <t>http://www.zerodayinitiative.com/advisories/ZDI-26-123/</t>
        </is>
      </c>
      <c r="Y1114" t="n">
        <v>0</v>
      </c>
      <c r="Z1114" t="inlineStr"/>
      <c r="AA1114" t="inlineStr">
        <is>
          <t>https://nvd.nist.gov/vuln/detail/CVE-2026-2035</t>
        </is>
      </c>
    </row>
    <row r="1115">
      <c r="A1115" t="inlineStr">
        <is>
          <t>CVE</t>
        </is>
      </c>
      <c r="B1115" t="inlineStr">
        <is>
          <t>CVE-2026-2036</t>
        </is>
      </c>
      <c r="C1115" t="inlineStr">
        <is>
          <t>GFI Archiver MArc.Store Deserialization of Untrusted Data Remote Code Execution Vulnerability. This vulnerability allows remote attackers to execute arbitrary code on affected installations of GFI Archiver. Although authentication is required to exploit this vulnerability, the existing authentication mechanism can be bypassed.
The specific flaw exists within the configuration of the MArc.Store.Remoting.exe process. The issue results from the lack of proper validation of user-supplied data, whic</t>
        </is>
      </c>
      <c r="D1115" t="n">
        <v>8.800000000000001</v>
      </c>
      <c r="E1115" t="inlineStr">
        <is>
          <t>HIGH</t>
        </is>
      </c>
      <c r="F1115" t="n">
        <v>2</v>
      </c>
      <c r="G1115" t="n">
        <v>3</v>
      </c>
      <c r="H1115" t="inlineStr">
        <is>
          <t>HIGH</t>
        </is>
      </c>
      <c r="I1115" t="n">
        <v>14.8</v>
      </c>
      <c r="J1115" t="inlineStr">
        <is>
          <t>NO</t>
        </is>
      </c>
      <c r="K1115" t="inlineStr">
        <is>
          <t>2026-02-23 23:48</t>
        </is>
      </c>
      <c r="L1115" t="inlineStr">
        <is>
          <t>CHECK_VENDOR</t>
        </is>
      </c>
      <c r="M1115" t="inlineStr">
        <is>
          <t>See CVE details</t>
        </is>
      </c>
      <c r="N1115" t="inlineStr">
        <is>
          <t>P1</t>
        </is>
      </c>
      <c r="O1115" t="inlineStr">
        <is>
          <t>CVE - IP enrichment n/a</t>
        </is>
      </c>
      <c r="P1115" t="n">
        <v>0</v>
      </c>
      <c r="Q1115" t="n">
        <v>0</v>
      </c>
      <c r="R1115" t="inlineStr">
        <is>
          <t>T1059:Command and Scripting Interpreter | T1190:Exploit Public-Facing Application | T1210:Exploitation of Remote Services</t>
        </is>
      </c>
      <c r="S1115" t="n">
        <v>2</v>
      </c>
      <c r="T1115" t="inlineStr">
        <is>
          <t>HIGH (72%)</t>
        </is>
      </c>
      <c r="U1115" t="inlineStr">
        <is>
          <t>HIGH</t>
        </is>
      </c>
      <c r="V1115" t="inlineStr">
        <is>
          <t>CHECK_VENDOR</t>
        </is>
      </c>
      <c r="W1115" t="inlineStr">
        <is>
          <t>https://nvd.nist.gov/vuln/detail/CVE-2026-2036</t>
        </is>
      </c>
      <c r="X1115" t="inlineStr">
        <is>
          <t>http://www.zerodayinitiative.com/advisories/ZDI-26-123/</t>
        </is>
      </c>
      <c r="Y1115" t="n">
        <v>0</v>
      </c>
      <c r="Z1115" t="inlineStr"/>
      <c r="AA1115" t="inlineStr">
        <is>
          <t>https://nvd.nist.gov/vuln/detail/CVE-2026-2036</t>
        </is>
      </c>
    </row>
    <row r="1116">
      <c r="A1116" t="inlineStr">
        <is>
          <t>CVE</t>
        </is>
      </c>
      <c r="B1116" t="inlineStr">
        <is>
          <t>CVE-2026-2037</t>
        </is>
      </c>
      <c r="C1116" t="inlineStr">
        <is>
          <t>GFI Archiver MArc.Core Deserialization of Untrusted Data Remote Code Execution Vulnerability. This vulnerability allows remote attackers to execute arbitrary code on affected installations of GFI Archiver. Although authentication is required to exploit this vulnerability, the existing authentication mechanism can be bypassed.
The specific flaw exists within the configuration of the MArc.Core.Remoting.exe process, which listens on port 8017. The issue results from the lack of proper validation o</t>
        </is>
      </c>
      <c r="D1116" t="n">
        <v>8.800000000000001</v>
      </c>
      <c r="E1116" t="inlineStr">
        <is>
          <t>HIGH</t>
        </is>
      </c>
      <c r="F1116" t="n">
        <v>2</v>
      </c>
      <c r="G1116" t="n">
        <v>3</v>
      </c>
      <c r="H1116" t="inlineStr">
        <is>
          <t>HIGH</t>
        </is>
      </c>
      <c r="I1116" t="n">
        <v>14.8</v>
      </c>
      <c r="J1116" t="inlineStr">
        <is>
          <t>NO</t>
        </is>
      </c>
      <c r="K1116" t="inlineStr">
        <is>
          <t>2026-02-23 23:48</t>
        </is>
      </c>
      <c r="L1116" t="inlineStr">
        <is>
          <t>CHECK_VENDOR</t>
        </is>
      </c>
      <c r="M1116" t="inlineStr">
        <is>
          <t>See CVE details</t>
        </is>
      </c>
      <c r="N1116" t="inlineStr">
        <is>
          <t>P1</t>
        </is>
      </c>
      <c r="O1116" t="inlineStr">
        <is>
          <t>CVE - IP enrichment n/a</t>
        </is>
      </c>
      <c r="P1116" t="n">
        <v>0</v>
      </c>
      <c r="Q1116" t="n">
        <v>0</v>
      </c>
      <c r="R1116" t="inlineStr">
        <is>
          <t>T1059:Command and Scripting Interpreter | T1190:Exploit Public-Facing Application | T1210:Exploitation of Remote Services</t>
        </is>
      </c>
      <c r="S1116" t="n">
        <v>2</v>
      </c>
      <c r="T1116" t="inlineStr">
        <is>
          <t>HIGH (72%)</t>
        </is>
      </c>
      <c r="U1116" t="inlineStr">
        <is>
          <t>HIGH</t>
        </is>
      </c>
      <c r="V1116" t="inlineStr">
        <is>
          <t>CHECK_VENDOR</t>
        </is>
      </c>
      <c r="W1116" t="inlineStr">
        <is>
          <t>https://nvd.nist.gov/vuln/detail/CVE-2026-2037</t>
        </is>
      </c>
      <c r="X1116" t="inlineStr">
        <is>
          <t>http://www.zerodayinitiative.com/advisories/ZDI-26-123/</t>
        </is>
      </c>
      <c r="Y1116" t="n">
        <v>0</v>
      </c>
      <c r="Z1116" t="inlineStr"/>
      <c r="AA1116" t="inlineStr">
        <is>
          <t>https://nvd.nist.gov/vuln/detail/CVE-2026-2037</t>
        </is>
      </c>
    </row>
    <row r="1117">
      <c r="A1117" t="inlineStr">
        <is>
          <t>CVE</t>
        </is>
      </c>
      <c r="B1117" t="inlineStr">
        <is>
          <t>CVE-2026-2038</t>
        </is>
      </c>
      <c r="C1117" t="inlineStr">
        <is>
          <t>GFI Archiver MArc.Core Missing Authorization Authentication Bypass Vulnerability. This vulnerability allows remote attackers to bypass authentication on affected installations of GFI Archiver. Authentication is not required to exploit this vulnerability.
The specific flaw exists within the configuration of the MArc.Core.Remoting.exe process, which listens on port 8017. The issue results from the lack of authorization prior to allowing access to functionality. An attacker can leverage this in co</t>
        </is>
      </c>
      <c r="D1117" t="n">
        <v>7.3</v>
      </c>
      <c r="E1117" t="inlineStr">
        <is>
          <t>HIGH</t>
        </is>
      </c>
      <c r="F1117" t="n">
        <v>2</v>
      </c>
      <c r="G1117" t="n">
        <v>3</v>
      </c>
      <c r="H1117" t="inlineStr">
        <is>
          <t>HIGH</t>
        </is>
      </c>
      <c r="I1117" t="n">
        <v>13.3</v>
      </c>
      <c r="J1117" t="inlineStr">
        <is>
          <t>NO</t>
        </is>
      </c>
      <c r="K1117" t="inlineStr">
        <is>
          <t>2026-02-23 23:48</t>
        </is>
      </c>
      <c r="L1117" t="inlineStr">
        <is>
          <t>CHECK_VENDOR</t>
        </is>
      </c>
      <c r="M1117" t="inlineStr">
        <is>
          <t>See CVE details</t>
        </is>
      </c>
      <c r="N1117" t="inlineStr">
        <is>
          <t>P1</t>
        </is>
      </c>
      <c r="O1117" t="inlineStr">
        <is>
          <t>CVE - IP enrichment n/a</t>
        </is>
      </c>
      <c r="P1117" t="n">
        <v>0</v>
      </c>
      <c r="Q1117" t="n">
        <v>0</v>
      </c>
      <c r="R1117" t="inlineStr">
        <is>
          <t>T1078:Valid Accounts</t>
        </is>
      </c>
      <c r="S1117" t="n">
        <v>2</v>
      </c>
      <c r="T1117" t="inlineStr">
        <is>
          <t>HIGH (72%)</t>
        </is>
      </c>
      <c r="U1117" t="inlineStr">
        <is>
          <t>HIGH</t>
        </is>
      </c>
      <c r="V1117" t="inlineStr">
        <is>
          <t>CHECK_VENDOR</t>
        </is>
      </c>
      <c r="W1117" t="inlineStr">
        <is>
          <t>https://nvd.nist.gov/vuln/detail/CVE-2026-2038</t>
        </is>
      </c>
      <c r="X1117" t="inlineStr">
        <is>
          <t>http://www.zerodayinitiative.com/advisories/ZDI-26-123/</t>
        </is>
      </c>
      <c r="Y1117" t="n">
        <v>0</v>
      </c>
      <c r="Z1117" t="inlineStr"/>
      <c r="AA1117" t="inlineStr">
        <is>
          <t>https://nvd.nist.gov/vuln/detail/CVE-2026-2038</t>
        </is>
      </c>
    </row>
    <row r="1118">
      <c r="A1118" t="inlineStr">
        <is>
          <t>CVE</t>
        </is>
      </c>
      <c r="B1118" t="inlineStr">
        <is>
          <t>CVE-2026-2039</t>
        </is>
      </c>
      <c r="C1118" t="inlineStr">
        <is>
          <t xml:space="preserve">GFI Archiver MArc.Store Missing Authorization Authentication Bypass Vulnerability. This vulnerability allows remote attackers to bypass authentication on affected installations of GFI Archiver. Authentication is not required to exploit this vulnerability.
The specific flaw exists within the configuration of the MArc.Store.Remoting.exe process, which listens on port 8018. The issue results from the lack of authorization prior to allowing access to functionality. An attacker can leverage this in </t>
        </is>
      </c>
      <c r="D1118" t="n">
        <v>7.3</v>
      </c>
      <c r="E1118" t="inlineStr">
        <is>
          <t>HIGH</t>
        </is>
      </c>
      <c r="F1118" t="n">
        <v>2</v>
      </c>
      <c r="G1118" t="n">
        <v>3</v>
      </c>
      <c r="H1118" t="inlineStr">
        <is>
          <t>HIGH</t>
        </is>
      </c>
      <c r="I1118" t="n">
        <v>13.3</v>
      </c>
      <c r="J1118" t="inlineStr">
        <is>
          <t>NO</t>
        </is>
      </c>
      <c r="K1118" t="inlineStr">
        <is>
          <t>2026-02-23 23:48</t>
        </is>
      </c>
      <c r="L1118" t="inlineStr">
        <is>
          <t>CHECK_VENDOR</t>
        </is>
      </c>
      <c r="M1118" t="inlineStr">
        <is>
          <t>See CVE details</t>
        </is>
      </c>
      <c r="N1118" t="inlineStr">
        <is>
          <t>P1</t>
        </is>
      </c>
      <c r="O1118" t="inlineStr">
        <is>
          <t>CVE - IP enrichment n/a</t>
        </is>
      </c>
      <c r="P1118" t="n">
        <v>0</v>
      </c>
      <c r="Q1118" t="n">
        <v>0</v>
      </c>
      <c r="R1118" t="inlineStr">
        <is>
          <t>T1078:Valid Accounts</t>
        </is>
      </c>
      <c r="S1118" t="n">
        <v>2</v>
      </c>
      <c r="T1118" t="inlineStr">
        <is>
          <t>HIGH (72%)</t>
        </is>
      </c>
      <c r="U1118" t="inlineStr">
        <is>
          <t>HIGH</t>
        </is>
      </c>
      <c r="V1118" t="inlineStr">
        <is>
          <t>CHECK_VENDOR</t>
        </is>
      </c>
      <c r="W1118" t="inlineStr">
        <is>
          <t>https://nvd.nist.gov/vuln/detail/CVE-2026-2039</t>
        </is>
      </c>
      <c r="X1118" t="inlineStr">
        <is>
          <t>http://www.zerodayinitiative.com/advisories/ZDI-26-123/</t>
        </is>
      </c>
      <c r="Y1118" t="n">
        <v>0</v>
      </c>
      <c r="Z1118" t="inlineStr"/>
      <c r="AA1118" t="inlineStr">
        <is>
          <t>https://nvd.nist.gov/vuln/detail/CVE-2026-2039</t>
        </is>
      </c>
    </row>
    <row r="1119">
      <c r="A1119" t="inlineStr">
        <is>
          <t>CVE</t>
        </is>
      </c>
      <c r="B1119" t="inlineStr">
        <is>
          <t>CVE-2026-2040</t>
        </is>
      </c>
      <c r="C1119" t="inlineStr">
        <is>
          <t>PDF-XChange Editor TrackerUpdate Uncontrolled Search Path Element Local Privilege Escalation Vulnerability. This vulnerability allows local attackers to escalate privileges on affected installations of PDF-XChange Editor. An attacker must first obtain the ability to execute low-privileged code on the target system in order to exploit this vulnerability.
The specific flaw exists within the TrackerUpdate process. The product loads a library from an unsecured location. An attacker can leverage thi</t>
        </is>
      </c>
      <c r="D1119" t="n">
        <v>7.3</v>
      </c>
      <c r="E1119" t="inlineStr">
        <is>
          <t>HIGH</t>
        </is>
      </c>
      <c r="F1119" t="n">
        <v>2</v>
      </c>
      <c r="G1119" t="n">
        <v>3</v>
      </c>
      <c r="H1119" t="inlineStr">
        <is>
          <t>HIGH</t>
        </is>
      </c>
      <c r="I1119" t="n">
        <v>13.3</v>
      </c>
      <c r="J1119" t="inlineStr">
        <is>
          <t>NO</t>
        </is>
      </c>
      <c r="K1119" t="inlineStr">
        <is>
          <t>2026-02-23 23:48</t>
        </is>
      </c>
      <c r="L1119" t="inlineStr">
        <is>
          <t>CHECK_VENDOR</t>
        </is>
      </c>
      <c r="M1119" t="inlineStr">
        <is>
          <t>See CVE details</t>
        </is>
      </c>
      <c r="N1119" t="inlineStr">
        <is>
          <t>P1</t>
        </is>
      </c>
      <c r="O1119" t="inlineStr">
        <is>
          <t>CVE - IP enrichment n/a</t>
        </is>
      </c>
      <c r="P1119" t="n">
        <v>0.0001</v>
      </c>
      <c r="Q1119" t="n">
        <v>0.0248</v>
      </c>
      <c r="R1119" t="inlineStr">
        <is>
          <t>T1068:Exploitation for Privilege Escalation</t>
        </is>
      </c>
      <c r="S1119" t="n">
        <v>2</v>
      </c>
      <c r="T1119" t="inlineStr">
        <is>
          <t>HIGH (72%)</t>
        </is>
      </c>
      <c r="U1119" t="inlineStr">
        <is>
          <t>HIGH</t>
        </is>
      </c>
      <c r="V1119" t="inlineStr">
        <is>
          <t>CHECK_VENDOR</t>
        </is>
      </c>
      <c r="W1119" t="inlineStr">
        <is>
          <t>https://nvd.nist.gov/vuln/detail/CVE-2026-2040</t>
        </is>
      </c>
      <c r="X1119" t="inlineStr">
        <is>
          <t>http://www.zerodayinitiative.com/advisories/ZDI-26-122/</t>
        </is>
      </c>
      <c r="Y1119" t="n">
        <v>0</v>
      </c>
      <c r="Z1119" t="inlineStr"/>
      <c r="AA1119" t="inlineStr">
        <is>
          <t>https://nvd.nist.gov/vuln/detail/CVE-2026-2040</t>
        </is>
      </c>
    </row>
    <row r="1120">
      <c r="A1120" t="inlineStr">
        <is>
          <t>CVE</t>
        </is>
      </c>
      <c r="B1120" t="inlineStr">
        <is>
          <t>CVE-2026-2041</t>
        </is>
      </c>
      <c r="C1120" t="inlineStr">
        <is>
          <t>Nagios Host zabbixagent_configwizard_func Command Injection Remote Code Execution Vulnerability. This vulnerability allows remote attackers to execute arbitrary code on affected installations of Nagios Host. Authentication is required to exploit this vulnerability.
The specific flaw exists within the zabbixagent_configwizard_func method. The issue results from the lack of proper validation of a user-supplied string before using it to execute a system call. An attacker can leverage this vulnerab</t>
        </is>
      </c>
      <c r="D1120" t="n">
        <v>7.2</v>
      </c>
      <c r="E1120" t="inlineStr">
        <is>
          <t>HIGH</t>
        </is>
      </c>
      <c r="F1120" t="n">
        <v>2</v>
      </c>
      <c r="G1120" t="n">
        <v>3</v>
      </c>
      <c r="H1120" t="inlineStr">
        <is>
          <t>HIGH</t>
        </is>
      </c>
      <c r="I1120" t="n">
        <v>13.2</v>
      </c>
      <c r="J1120" t="inlineStr">
        <is>
          <t>NO</t>
        </is>
      </c>
      <c r="K1120" t="inlineStr">
        <is>
          <t>2026-02-23 23:48</t>
        </is>
      </c>
      <c r="L1120" t="inlineStr">
        <is>
          <t>CHECK_VENDOR</t>
        </is>
      </c>
      <c r="M1120" t="inlineStr">
        <is>
          <t>See CVE details</t>
        </is>
      </c>
      <c r="N1120" t="inlineStr">
        <is>
          <t>P1</t>
        </is>
      </c>
      <c r="O1120" t="inlineStr">
        <is>
          <t>CVE - IP enrichment n/a</t>
        </is>
      </c>
      <c r="P1120" t="n">
        <v>0</v>
      </c>
      <c r="Q1120" t="n">
        <v>0</v>
      </c>
      <c r="R1120" t="inlineStr">
        <is>
          <t>T1059:Command and Scripting Interpreter | T1190:Exploit Public-Facing Application | T1210:Exploitation of Remote Services</t>
        </is>
      </c>
      <c r="S1120" t="n">
        <v>2</v>
      </c>
      <c r="T1120" t="inlineStr">
        <is>
          <t>HIGH (72%)</t>
        </is>
      </c>
      <c r="U1120" t="inlineStr">
        <is>
          <t>HIGH</t>
        </is>
      </c>
      <c r="V1120" t="inlineStr">
        <is>
          <t>CHECK_VENDOR</t>
        </is>
      </c>
      <c r="W1120" t="inlineStr">
        <is>
          <t>https://nvd.nist.gov/vuln/detail/CVE-2026-2041</t>
        </is>
      </c>
      <c r="X1120" t="inlineStr">
        <is>
          <t>http://www.zerodayinitiative.com/advisories/ZDI-26-123/</t>
        </is>
      </c>
      <c r="Y1120" t="n">
        <v>0</v>
      </c>
      <c r="Z1120" t="inlineStr"/>
      <c r="AA1120" t="inlineStr">
        <is>
          <t>https://nvd.nist.gov/vuln/detail/CVE-2026-2041</t>
        </is>
      </c>
    </row>
    <row r="1121">
      <c r="A1121" t="inlineStr">
        <is>
          <t>CVE</t>
        </is>
      </c>
      <c r="B1121" t="inlineStr">
        <is>
          <t>CVE-2026-2042</t>
        </is>
      </c>
      <c r="C1121" t="inlineStr">
        <is>
          <t>Nagios Host monitoringwizard Command Injection Remote Code Execution Vulnerability. This vulnerability allows remote attackers to execute arbitrary code on affected installations of Nagios Host. Authentication is required to exploit this vulnerability.
The specific flaw exists within the monitoringwizard module. The issue results from the lack of proper validation of a user-supplied string before using it to execute a system call. An attacker can leverage this vulnerability to execute code in t</t>
        </is>
      </c>
      <c r="D1121" t="n">
        <v>7.2</v>
      </c>
      <c r="E1121" t="inlineStr">
        <is>
          <t>HIGH</t>
        </is>
      </c>
      <c r="F1121" t="n">
        <v>2</v>
      </c>
      <c r="G1121" t="n">
        <v>3</v>
      </c>
      <c r="H1121" t="inlineStr">
        <is>
          <t>HIGH</t>
        </is>
      </c>
      <c r="I1121" t="n">
        <v>13.2</v>
      </c>
      <c r="J1121" t="inlineStr">
        <is>
          <t>NO</t>
        </is>
      </c>
      <c r="K1121" t="inlineStr">
        <is>
          <t>2026-02-23 23:48</t>
        </is>
      </c>
      <c r="L1121" t="inlineStr">
        <is>
          <t>CHECK_VENDOR</t>
        </is>
      </c>
      <c r="M1121" t="inlineStr">
        <is>
          <t>See CVE details</t>
        </is>
      </c>
      <c r="N1121" t="inlineStr">
        <is>
          <t>P1</t>
        </is>
      </c>
      <c r="O1121" t="inlineStr">
        <is>
          <t>CVE - IP enrichment n/a</t>
        </is>
      </c>
      <c r="P1121" t="n">
        <v>0</v>
      </c>
      <c r="Q1121" t="n">
        <v>0</v>
      </c>
      <c r="R1121" t="inlineStr">
        <is>
          <t>T1059:Command and Scripting Interpreter | T1190:Exploit Public-Facing Application | T1210:Exploitation of Remote Services</t>
        </is>
      </c>
      <c r="S1121" t="n">
        <v>2</v>
      </c>
      <c r="T1121" t="inlineStr">
        <is>
          <t>HIGH (72%)</t>
        </is>
      </c>
      <c r="U1121" t="inlineStr">
        <is>
          <t>HIGH</t>
        </is>
      </c>
      <c r="V1121" t="inlineStr">
        <is>
          <t>CHECK_VENDOR</t>
        </is>
      </c>
      <c r="W1121" t="inlineStr">
        <is>
          <t>https://nvd.nist.gov/vuln/detail/CVE-2026-2042</t>
        </is>
      </c>
      <c r="X1121" t="inlineStr">
        <is>
          <t>http://www.zerodayinitiative.com/advisories/ZDI-26-123/</t>
        </is>
      </c>
      <c r="Y1121" t="n">
        <v>0</v>
      </c>
      <c r="Z1121" t="inlineStr"/>
      <c r="AA1121" t="inlineStr">
        <is>
          <t>https://nvd.nist.gov/vuln/detail/CVE-2026-2042</t>
        </is>
      </c>
    </row>
    <row r="1122">
      <c r="A1122" t="inlineStr">
        <is>
          <t>CVE</t>
        </is>
      </c>
      <c r="B1122" t="inlineStr">
        <is>
          <t>CVE-2026-2043</t>
        </is>
      </c>
      <c r="C1122" t="inlineStr">
        <is>
          <t>Nagios Host esensors_websensor_configwizard_func Command Injection Remote Code Execution Vulnerability. This vulnerability allows remote attackers to execute arbitrary code on affected installations of Nagios Host. Authentication is required to exploit this vulnerability.
The specific flaw exists within the esensors_websensor_configwizard_func method. The issue results from the lack of proper validation of a user-supplied string before using it to execute a system call. An attacker can leverage</t>
        </is>
      </c>
      <c r="D1122" t="n">
        <v>7.2</v>
      </c>
      <c r="E1122" t="inlineStr">
        <is>
          <t>HIGH</t>
        </is>
      </c>
      <c r="F1122" t="n">
        <v>2</v>
      </c>
      <c r="G1122" t="n">
        <v>3</v>
      </c>
      <c r="H1122" t="inlineStr">
        <is>
          <t>HIGH</t>
        </is>
      </c>
      <c r="I1122" t="n">
        <v>13.2</v>
      </c>
      <c r="J1122" t="inlineStr">
        <is>
          <t>NO</t>
        </is>
      </c>
      <c r="K1122" t="inlineStr">
        <is>
          <t>2026-02-23 23:48</t>
        </is>
      </c>
      <c r="L1122" t="inlineStr">
        <is>
          <t>CHECK_VENDOR</t>
        </is>
      </c>
      <c r="M1122" t="inlineStr">
        <is>
          <t>See CVE details</t>
        </is>
      </c>
      <c r="N1122" t="inlineStr">
        <is>
          <t>P1</t>
        </is>
      </c>
      <c r="O1122" t="inlineStr">
        <is>
          <t>CVE - IP enrichment n/a</t>
        </is>
      </c>
      <c r="P1122" t="n">
        <v>0</v>
      </c>
      <c r="Q1122" t="n">
        <v>0</v>
      </c>
      <c r="R1122" t="inlineStr">
        <is>
          <t>T1059:Command and Scripting Interpreter | T1190:Exploit Public-Facing Application | T1210:Exploitation of Remote Services</t>
        </is>
      </c>
      <c r="S1122" t="n">
        <v>2</v>
      </c>
      <c r="T1122" t="inlineStr">
        <is>
          <t>HIGH (72%)</t>
        </is>
      </c>
      <c r="U1122" t="inlineStr">
        <is>
          <t>HIGH</t>
        </is>
      </c>
      <c r="V1122" t="inlineStr">
        <is>
          <t>CHECK_VENDOR</t>
        </is>
      </c>
      <c r="W1122" t="inlineStr">
        <is>
          <t>https://nvd.nist.gov/vuln/detail/CVE-2026-2043</t>
        </is>
      </c>
      <c r="X1122" t="inlineStr">
        <is>
          <t>http://www.zerodayinitiative.com/advisories/ZDI-26-123/</t>
        </is>
      </c>
      <c r="Y1122" t="n">
        <v>0</v>
      </c>
      <c r="Z1122" t="inlineStr"/>
      <c r="AA1122" t="inlineStr">
        <is>
          <t>https://nvd.nist.gov/vuln/detail/CVE-2026-2043</t>
        </is>
      </c>
    </row>
    <row r="1123">
      <c r="A1123" t="inlineStr">
        <is>
          <t>CVE</t>
        </is>
      </c>
      <c r="B1123" t="inlineStr">
        <is>
          <t>CVE-2026-2044</t>
        </is>
      </c>
      <c r="C1123" t="inlineStr">
        <is>
          <t>GIMP PGM File Parsing Uninitialized Memory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PGM files. The issue results from the lack of proper initialization of memory prior to accessing it. An attacker can leverage this vulne</t>
        </is>
      </c>
      <c r="D1123" t="n">
        <v>7.8</v>
      </c>
      <c r="E1123" t="inlineStr">
        <is>
          <t>HIGH</t>
        </is>
      </c>
      <c r="F1123" t="n">
        <v>2</v>
      </c>
      <c r="G1123" t="n">
        <v>3</v>
      </c>
      <c r="H1123" t="inlineStr">
        <is>
          <t>HIGH</t>
        </is>
      </c>
      <c r="I1123" t="n">
        <v>13.8</v>
      </c>
      <c r="J1123" t="inlineStr">
        <is>
          <t>NO</t>
        </is>
      </c>
      <c r="K1123" t="inlineStr">
        <is>
          <t>2026-02-23 23:48</t>
        </is>
      </c>
      <c r="L1123" t="inlineStr">
        <is>
          <t>CHECK_VENDOR</t>
        </is>
      </c>
      <c r="M1123" t="inlineStr">
        <is>
          <t>See CVE details</t>
        </is>
      </c>
      <c r="N1123" t="inlineStr">
        <is>
          <t>P1</t>
        </is>
      </c>
      <c r="O1123" t="inlineStr">
        <is>
          <t>CVE - IP enrichment n/a</t>
        </is>
      </c>
      <c r="P1123" t="n">
        <v>0</v>
      </c>
      <c r="Q1123" t="n">
        <v>0</v>
      </c>
      <c r="R1123" t="inlineStr">
        <is>
          <t>T1190:Exploit Public-Facing Application | T1210:Exploitation of Remote Services | T1203:Exploitation for Client Execution</t>
        </is>
      </c>
      <c r="S1123" t="n">
        <v>3</v>
      </c>
      <c r="T1123" t="inlineStr">
        <is>
          <t>HIGH (85%)</t>
        </is>
      </c>
      <c r="U1123" t="inlineStr">
        <is>
          <t>HIGH</t>
        </is>
      </c>
      <c r="V1123" t="inlineStr">
        <is>
          <t>CHECK_VENDOR</t>
        </is>
      </c>
      <c r="W1123" t="inlineStr">
        <is>
          <t>https://nvd.nist.gov/vuln/detail/CVE-2026-2044</t>
        </is>
      </c>
      <c r="X1123" t="inlineStr">
        <is>
          <t>http://www.zerodayinitiative.com/advisories/ZDI-26-118/</t>
        </is>
      </c>
      <c r="Y1123" t="n">
        <v>0</v>
      </c>
      <c r="Z1123" t="inlineStr"/>
      <c r="AA1123" t="inlineStr">
        <is>
          <t>https://nvd.nist.gov/vuln/detail/CVE-2026-2044</t>
        </is>
      </c>
    </row>
    <row r="1124">
      <c r="A1124" t="inlineStr">
        <is>
          <t>CVE</t>
        </is>
      </c>
      <c r="B1124" t="inlineStr">
        <is>
          <t>CVE-2026-2045</t>
        </is>
      </c>
      <c r="C1124" t="inlineStr">
        <is>
          <t>GIMP XWD File Parsing Out-Of-Bounds Write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XWD files. The issue results from the lack of proper validation of user-supplied data, which can result in a write past the end of an all</t>
        </is>
      </c>
      <c r="D1124" t="n">
        <v>7.8</v>
      </c>
      <c r="E1124" t="inlineStr">
        <is>
          <t>HIGH</t>
        </is>
      </c>
      <c r="F1124" t="n">
        <v>2</v>
      </c>
      <c r="G1124" t="n">
        <v>3</v>
      </c>
      <c r="H1124" t="inlineStr">
        <is>
          <t>HIGH</t>
        </is>
      </c>
      <c r="I1124" t="n">
        <v>13.8</v>
      </c>
      <c r="J1124" t="inlineStr">
        <is>
          <t>NO</t>
        </is>
      </c>
      <c r="K1124" t="inlineStr">
        <is>
          <t>2026-02-23 23:48</t>
        </is>
      </c>
      <c r="L1124" t="inlineStr">
        <is>
          <t>CHECK_VENDOR</t>
        </is>
      </c>
      <c r="M1124" t="inlineStr">
        <is>
          <t>See CVE details</t>
        </is>
      </c>
      <c r="N1124" t="inlineStr">
        <is>
          <t>P1</t>
        </is>
      </c>
      <c r="O1124" t="inlineStr">
        <is>
          <t>CVE - IP enrichment n/a</t>
        </is>
      </c>
      <c r="P1124" t="n">
        <v>0</v>
      </c>
      <c r="Q1124" t="n">
        <v>0</v>
      </c>
      <c r="R1124" t="inlineStr">
        <is>
          <t>T1203:Exploitation for Client Execution | T1190:Exploit Public-Facing Application | T1210:Exploitation of Remote Services</t>
        </is>
      </c>
      <c r="S1124" t="n">
        <v>3</v>
      </c>
      <c r="T1124" t="inlineStr">
        <is>
          <t>HIGH (85%)</t>
        </is>
      </c>
      <c r="U1124" t="inlineStr">
        <is>
          <t>HIGH</t>
        </is>
      </c>
      <c r="V1124" t="inlineStr">
        <is>
          <t>CHECK_VENDOR</t>
        </is>
      </c>
      <c r="W1124" t="inlineStr">
        <is>
          <t>https://nvd.nist.gov/vuln/detail/CVE-2026-2045</t>
        </is>
      </c>
      <c r="X1124" t="inlineStr">
        <is>
          <t>http://www.zerodayinitiative.com/advisories/ZDI-26-119/</t>
        </is>
      </c>
      <c r="Y1124" t="n">
        <v>0</v>
      </c>
      <c r="Z1124" t="inlineStr"/>
      <c r="AA1124" t="inlineStr">
        <is>
          <t>https://nvd.nist.gov/vuln/detail/CVE-2026-2045</t>
        </is>
      </c>
    </row>
    <row r="1125">
      <c r="A1125" t="inlineStr">
        <is>
          <t>CVE</t>
        </is>
      </c>
      <c r="B1125" t="inlineStr">
        <is>
          <t>CVE-2026-2047</t>
        </is>
      </c>
      <c r="C1125" t="inlineStr">
        <is>
          <t>GIMP ICNS File Parsing Heap-based Buffer Overflow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ICNS files. The issue results from the lack of proper validation of the length of user-supplied data prior to copying it to a hea</t>
        </is>
      </c>
      <c r="D1125" t="n">
        <v>7.8</v>
      </c>
      <c r="E1125" t="inlineStr">
        <is>
          <t>HIGH</t>
        </is>
      </c>
      <c r="F1125" t="n">
        <v>2</v>
      </c>
      <c r="G1125" t="n">
        <v>3</v>
      </c>
      <c r="H1125" t="inlineStr">
        <is>
          <t>HIGH</t>
        </is>
      </c>
      <c r="I1125" t="n">
        <v>13.8</v>
      </c>
      <c r="J1125" t="inlineStr">
        <is>
          <t>NO</t>
        </is>
      </c>
      <c r="K1125" t="inlineStr">
        <is>
          <t>2026-02-23 23:48</t>
        </is>
      </c>
      <c r="L1125" t="inlineStr">
        <is>
          <t>CHECK_VENDOR</t>
        </is>
      </c>
      <c r="M1125" t="inlineStr">
        <is>
          <t>See CVE details</t>
        </is>
      </c>
      <c r="N1125" t="inlineStr">
        <is>
          <t>P1</t>
        </is>
      </c>
      <c r="O1125" t="inlineStr">
        <is>
          <t>CVE - IP enrichment n/a</t>
        </is>
      </c>
      <c r="P1125" t="n">
        <v>0</v>
      </c>
      <c r="Q1125" t="n">
        <v>0</v>
      </c>
      <c r="R1125" t="inlineStr">
        <is>
          <t>T1190:Exploit Public-Facing Application | T1210:Exploitation of Remote Services | T1203:Exploitation for Client Execution</t>
        </is>
      </c>
      <c r="S1125" t="n">
        <v>3</v>
      </c>
      <c r="T1125" t="inlineStr">
        <is>
          <t>HIGH (85%)</t>
        </is>
      </c>
      <c r="U1125" t="inlineStr">
        <is>
          <t>HIGH</t>
        </is>
      </c>
      <c r="V1125" t="inlineStr">
        <is>
          <t>CHECK_VENDOR</t>
        </is>
      </c>
      <c r="W1125" t="inlineStr">
        <is>
          <t>https://nvd.nist.gov/vuln/detail/CVE-2026-2047</t>
        </is>
      </c>
      <c r="X1125" t="inlineStr">
        <is>
          <t>http://www.zerodayinitiative.com/advisories/ZDI-26-120/</t>
        </is>
      </c>
      <c r="Y1125" t="n">
        <v>0</v>
      </c>
      <c r="Z1125" t="inlineStr"/>
      <c r="AA1125" t="inlineStr">
        <is>
          <t>https://nvd.nist.gov/vuln/detail/CVE-2026-2047</t>
        </is>
      </c>
    </row>
    <row r="1126">
      <c r="A1126" t="inlineStr">
        <is>
          <t>CVE</t>
        </is>
      </c>
      <c r="B1126" t="inlineStr">
        <is>
          <t>CVE-2026-2048</t>
        </is>
      </c>
      <c r="C1126" t="inlineStr">
        <is>
          <t>GIMP XWD File Parsing Out-Of-Bounds Write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XWD files. The issue results from the lack of proper validation of user-supplied data, which can result in a write past the end of an all</t>
        </is>
      </c>
      <c r="D1126" t="n">
        <v>7.8</v>
      </c>
      <c r="E1126" t="inlineStr">
        <is>
          <t>HIGH</t>
        </is>
      </c>
      <c r="F1126" t="n">
        <v>2</v>
      </c>
      <c r="G1126" t="n">
        <v>3</v>
      </c>
      <c r="H1126" t="inlineStr">
        <is>
          <t>HIGH</t>
        </is>
      </c>
      <c r="I1126" t="n">
        <v>13.8</v>
      </c>
      <c r="J1126" t="inlineStr">
        <is>
          <t>NO</t>
        </is>
      </c>
      <c r="K1126" t="inlineStr">
        <is>
          <t>2026-02-23 23:48</t>
        </is>
      </c>
      <c r="L1126" t="inlineStr">
        <is>
          <t>CHECK_VENDOR</t>
        </is>
      </c>
      <c r="M1126" t="inlineStr">
        <is>
          <t>See CVE details</t>
        </is>
      </c>
      <c r="N1126" t="inlineStr">
        <is>
          <t>P1</t>
        </is>
      </c>
      <c r="O1126" t="inlineStr">
        <is>
          <t>CVE - IP enrichment n/a</t>
        </is>
      </c>
      <c r="P1126" t="n">
        <v>0</v>
      </c>
      <c r="Q1126" t="n">
        <v>0</v>
      </c>
      <c r="R1126" t="inlineStr">
        <is>
          <t>T1203:Exploitation for Client Execution | T1190:Exploit Public-Facing Application | T1210:Exploitation of Remote Services</t>
        </is>
      </c>
      <c r="S1126" t="n">
        <v>3</v>
      </c>
      <c r="T1126" t="inlineStr">
        <is>
          <t>HIGH (85%)</t>
        </is>
      </c>
      <c r="U1126" t="inlineStr">
        <is>
          <t>HIGH</t>
        </is>
      </c>
      <c r="V1126" t="inlineStr">
        <is>
          <t>CHECK_VENDOR</t>
        </is>
      </c>
      <c r="W1126" t="inlineStr">
        <is>
          <t>https://nvd.nist.gov/vuln/detail/CVE-2026-2048</t>
        </is>
      </c>
      <c r="X1126" t="inlineStr">
        <is>
          <t>http://www.zerodayinitiative.com/advisories/ZDI-26-121/</t>
        </is>
      </c>
      <c r="Y1126" t="n">
        <v>0</v>
      </c>
      <c r="Z1126" t="inlineStr"/>
      <c r="AA1126" t="inlineStr">
        <is>
          <t>https://nvd.nist.gov/vuln/detail/CVE-2026-2048</t>
        </is>
      </c>
    </row>
    <row r="1127">
      <c r="A1127" t="inlineStr">
        <is>
          <t>CVE</t>
        </is>
      </c>
      <c r="B1127" t="inlineStr">
        <is>
          <t>CVE-2026-2490</t>
        </is>
      </c>
      <c r="C1127" t="inlineStr">
        <is>
          <t>RustDesk Client for Windows Transfer File Link Following Information Disclosure Vulnerability. This vulnerability allows local attackers to disclose sensitive information on affected installations of RustDesk Client for Windows. An attacker must first obtain the ability to execute low-privileged code on the target system in order to exploit this vulnerability.
The specific flaw exists within the Transfer File feature. By uploading a symbolic link, an attacker can abuse the service to read arbit</t>
        </is>
      </c>
      <c r="D1127" t="n">
        <v>5.5</v>
      </c>
      <c r="E1127" t="inlineStr">
        <is>
          <t>MEDIUM</t>
        </is>
      </c>
      <c r="F1127" t="n">
        <v>2</v>
      </c>
      <c r="G1127" t="n">
        <v>2</v>
      </c>
      <c r="H1127" t="inlineStr">
        <is>
          <t>MEDIUM</t>
        </is>
      </c>
      <c r="I1127" t="n">
        <v>9.5</v>
      </c>
      <c r="J1127" t="inlineStr">
        <is>
          <t>NO</t>
        </is>
      </c>
      <c r="K1127" t="inlineStr">
        <is>
          <t>2026-02-23 23:48</t>
        </is>
      </c>
      <c r="L1127" t="inlineStr">
        <is>
          <t>CHECK_VENDOR</t>
        </is>
      </c>
      <c r="M1127" t="inlineStr">
        <is>
          <t>See CVE details</t>
        </is>
      </c>
      <c r="N1127" t="inlineStr">
        <is>
          <t>P1</t>
        </is>
      </c>
      <c r="O1127" t="inlineStr">
        <is>
          <t>CVE - IP enrichment n/a</t>
        </is>
      </c>
      <c r="P1127" t="n">
        <v>0.0001</v>
      </c>
      <c r="Q1127" t="n">
        <v>0.0293</v>
      </c>
      <c r="R1127" t="inlineStr">
        <is>
          <t>T1213:Data from Information Repositories</t>
        </is>
      </c>
      <c r="S1127" t="n">
        <v>2</v>
      </c>
      <c r="T1127" t="inlineStr">
        <is>
          <t>HIGH (72%)</t>
        </is>
      </c>
      <c r="U1127" t="inlineStr">
        <is>
          <t>HIGH</t>
        </is>
      </c>
      <c r="V1127" t="inlineStr">
        <is>
          <t>CHECK_VENDOR</t>
        </is>
      </c>
      <c r="W1127" t="inlineStr">
        <is>
          <t>https://nvd.nist.gov/vuln/detail/CVE-2026-2490</t>
        </is>
      </c>
      <c r="X1127" t="inlineStr">
        <is>
          <t>http://www.zerodayinitiative.com/advisories/ZDI-26-117/</t>
        </is>
      </c>
      <c r="Y1127" t="n">
        <v>0</v>
      </c>
      <c r="Z1127" t="inlineStr"/>
      <c r="AA1127" t="inlineStr">
        <is>
          <t>https://nvd.nist.gov/vuln/detail/CVE-2026-2490</t>
        </is>
      </c>
    </row>
    <row r="1128">
      <c r="A1128" t="inlineStr">
        <is>
          <t>CVE</t>
        </is>
      </c>
      <c r="B1128" t="inlineStr">
        <is>
          <t>CVE-2026-2492</t>
        </is>
      </c>
      <c r="C1128" t="inlineStr">
        <is>
          <t>TensorFlow HDF5 Library Uncontrolled Search Path Element Local Privilege Escalation Vulnerability. This vulnerability allows local attackers to escalate privileges on affected installations of TensorFlow. An attacker must first obtain the ability to execute low-privileged code on the target system in order to exploit this vulnerability.
The specific flaw exists within the handling of plugins. The application loads plugins from an unsecured location. An attacker can leverage this vulnerability t</t>
        </is>
      </c>
      <c r="D1128" t="n">
        <v>7</v>
      </c>
      <c r="E1128" t="inlineStr">
        <is>
          <t>HIGH</t>
        </is>
      </c>
      <c r="F1128" t="n">
        <v>2</v>
      </c>
      <c r="G1128" t="n">
        <v>3</v>
      </c>
      <c r="H1128" t="inlineStr">
        <is>
          <t>HIGH</t>
        </is>
      </c>
      <c r="I1128" t="n">
        <v>13</v>
      </c>
      <c r="J1128" t="inlineStr">
        <is>
          <t>NO</t>
        </is>
      </c>
      <c r="K1128" t="inlineStr">
        <is>
          <t>2026-02-23 23:48</t>
        </is>
      </c>
      <c r="L1128" t="inlineStr">
        <is>
          <t>CHECK_VENDOR</t>
        </is>
      </c>
      <c r="M1128" t="inlineStr">
        <is>
          <t>See CVE details</t>
        </is>
      </c>
      <c r="N1128" t="inlineStr">
        <is>
          <t>P1</t>
        </is>
      </c>
      <c r="O1128" t="inlineStr">
        <is>
          <t>CVE - IP enrichment n/a</t>
        </is>
      </c>
      <c r="P1128" t="n">
        <v>0</v>
      </c>
      <c r="Q1128" t="n">
        <v>0</v>
      </c>
      <c r="R1128" t="inlineStr">
        <is>
          <t>T1068:Exploitation for Privilege Escalation | T1203:Exploitation for Client Execution</t>
        </is>
      </c>
      <c r="S1128" t="n">
        <v>3</v>
      </c>
      <c r="T1128" t="inlineStr">
        <is>
          <t>HIGH (85%)</t>
        </is>
      </c>
      <c r="U1128" t="inlineStr">
        <is>
          <t>HIGH</t>
        </is>
      </c>
      <c r="V1128" t="inlineStr">
        <is>
          <t>CHECK_VENDOR</t>
        </is>
      </c>
      <c r="W1128" t="inlineStr">
        <is>
          <t>https://nvd.nist.gov/vuln/detail/CVE-2026-2492</t>
        </is>
      </c>
      <c r="X1128" t="inlineStr">
        <is>
          <t>http://www.zerodayinitiative.com/advisories/ZDI-26-116/</t>
        </is>
      </c>
      <c r="Y1128" t="n">
        <v>0</v>
      </c>
      <c r="Z1128" t="inlineStr"/>
      <c r="AA1128" t="inlineStr">
        <is>
          <t>https://nvd.nist.gov/vuln/detail/CVE-2026-2492</t>
        </is>
      </c>
    </row>
    <row r="1129">
      <c r="A1129" t="inlineStr">
        <is>
          <t>CVE</t>
        </is>
      </c>
      <c r="B1129" t="inlineStr">
        <is>
          <t>CVE-2026-2635</t>
        </is>
      </c>
      <c r="C1129" t="inlineStr">
        <is>
          <t>MLflow Use of Default Password Authentication Bypass Vulnerability. This vulnerability allows remote attackers to bypass authentication on affected installations of MLflow. Authentication is not required to exploit this vulnerability.
The specific flaw exists within the basic_auth.ini file. The file contains hard-coded default credentials. An attacker can leverage this vulnerability to bypass authentication and execute arbitrary code in the context of the administrator. Was ZDI-CAN-28256.</t>
        </is>
      </c>
      <c r="D1129" t="n">
        <v>9.800000000000001</v>
      </c>
      <c r="E1129" t="inlineStr">
        <is>
          <t>CRITICAL</t>
        </is>
      </c>
      <c r="F1129" t="n">
        <v>2</v>
      </c>
      <c r="G1129" t="n">
        <v>3</v>
      </c>
      <c r="H1129" t="inlineStr">
        <is>
          <t>HIGH</t>
        </is>
      </c>
      <c r="I1129" t="n">
        <v>15.8</v>
      </c>
      <c r="J1129" t="inlineStr">
        <is>
          <t>NO</t>
        </is>
      </c>
      <c r="K1129" t="inlineStr">
        <is>
          <t>2026-02-23 23:48</t>
        </is>
      </c>
      <c r="L1129" t="inlineStr">
        <is>
          <t>CHECK_VENDOR</t>
        </is>
      </c>
      <c r="M1129" t="inlineStr">
        <is>
          <t>See CVE details</t>
        </is>
      </c>
      <c r="N1129" t="inlineStr">
        <is>
          <t>P1</t>
        </is>
      </c>
      <c r="O1129" t="inlineStr">
        <is>
          <t>CVE - IP enrichment n/a</t>
        </is>
      </c>
      <c r="P1129" t="n">
        <v>0</v>
      </c>
      <c r="Q1129" t="n">
        <v>0</v>
      </c>
      <c r="R1129" t="inlineStr">
        <is>
          <t>T1078:Valid Accounts | T1552:Unsecured Credentials | T1203:Exploitation for Client Execution</t>
        </is>
      </c>
      <c r="S1129" t="n">
        <v>2</v>
      </c>
      <c r="T1129" t="inlineStr">
        <is>
          <t>HIGH (72%)</t>
        </is>
      </c>
      <c r="U1129" t="inlineStr">
        <is>
          <t>HIGH</t>
        </is>
      </c>
      <c r="V1129" t="inlineStr">
        <is>
          <t>CHECK_VENDOR</t>
        </is>
      </c>
      <c r="W1129" t="inlineStr">
        <is>
          <t>https://nvd.nist.gov/vuln/detail/CVE-2026-2635</t>
        </is>
      </c>
      <c r="X1129" t="inlineStr">
        <is>
          <t>http://www.zerodayinitiative.com/advisories/ZDI-26-111/</t>
        </is>
      </c>
      <c r="Y1129" t="n">
        <v>0</v>
      </c>
      <c r="Z1129" t="inlineStr"/>
      <c r="AA1129" t="inlineStr">
        <is>
          <t>https://nvd.nist.gov/vuln/detail/CVE-2026-2635</t>
        </is>
      </c>
    </row>
    <row r="1130">
      <c r="A1130" t="inlineStr">
        <is>
          <t>CVE</t>
        </is>
      </c>
      <c r="B1130" t="inlineStr">
        <is>
          <t>CVE-2026-27134</t>
        </is>
      </c>
      <c r="C1130" t="inlineStr">
        <is>
          <t xml:space="preserve">Strimzi provides a way to run an Apache Kafka cluster on Kubernetes or OpenShift in various deployment configurations. In versions  0.49.0 through 0.50.0, when using a custom Cluster or Clients CA with a multistage CA chain consisting of multiple CAs, Strimzi incorrectly configures the trusted certificates for mTLS authentication on the internal as well as user-configured listeners. All CAs from the CA chain will be trusted. And users with certificates signed by any of the CAs in the chain will </t>
        </is>
      </c>
      <c r="D1130" t="n">
        <v>8.1</v>
      </c>
      <c r="E1130" t="inlineStr">
        <is>
          <t>HIGH</t>
        </is>
      </c>
      <c r="F1130" t="n">
        <v>2</v>
      </c>
      <c r="G1130" t="n">
        <v>3</v>
      </c>
      <c r="H1130" t="inlineStr">
        <is>
          <t>HIGH</t>
        </is>
      </c>
      <c r="I1130" t="n">
        <v>14.1</v>
      </c>
      <c r="J1130" t="inlineStr">
        <is>
          <t>NO</t>
        </is>
      </c>
      <c r="K1130" t="inlineStr">
        <is>
          <t>2026-02-23 23:48</t>
        </is>
      </c>
      <c r="L1130" t="inlineStr">
        <is>
          <t>CHECK_VENDOR</t>
        </is>
      </c>
      <c r="M1130" t="inlineStr">
        <is>
          <t>See CVE details</t>
        </is>
      </c>
      <c r="N1130" t="inlineStr">
        <is>
          <t>P3</t>
        </is>
      </c>
      <c r="O1130" t="inlineStr">
        <is>
          <t>CVE - IP enrichment n/a</t>
        </is>
      </c>
      <c r="P1130" t="n">
        <v>0</v>
      </c>
      <c r="Q1130" t="n">
        <v>0</v>
      </c>
      <c r="R1130" t="inlineStr">
        <is>
          <t>T1078:Valid Accounts | T1110:Brute Force</t>
        </is>
      </c>
      <c r="S1130" t="n">
        <v>1</v>
      </c>
      <c r="T1130" t="inlineStr">
        <is>
          <t>LOW (40%)</t>
        </is>
      </c>
      <c r="U1130" t="inlineStr">
        <is>
          <t>UNLIKELY</t>
        </is>
      </c>
      <c r="V1130" t="inlineStr">
        <is>
          <t>CHECK_VENDOR</t>
        </is>
      </c>
      <c r="W1130" t="inlineStr">
        <is>
          <t>https://nvd.nist.gov/vuln/detail/CVE-2026-27134</t>
        </is>
      </c>
      <c r="X1130" t="inlineStr">
        <is>
          <t>NONE</t>
        </is>
      </c>
      <c r="Y1130" t="n">
        <v>0</v>
      </c>
      <c r="Z1130" t="inlineStr"/>
      <c r="AA1130" t="inlineStr">
        <is>
          <t>https://nvd.nist.gov/vuln/detail/CVE-2026-27134</t>
        </is>
      </c>
    </row>
    <row r="1131">
      <c r="A1131" t="inlineStr">
        <is>
          <t>CVE</t>
        </is>
      </c>
      <c r="B1131" t="inlineStr">
        <is>
          <t>CVE-2026-27146</t>
        </is>
      </c>
      <c r="C1131" t="inlineStr">
        <is>
          <t>GetSimple CMS is a content management system. All versions of GetSimple CMS do not implement CSRF protection on the administrative file upload endpoint. As a result, an attacker can craft a malicious web page that silently triggers a file upload request from an authenticated victim’s browser. The request is accepted without requiring a CSRF token or origin validation. This allows an attacker to upload arbitrary files to the application without the victim’s knowledge or consent. In order to explo</t>
        </is>
      </c>
      <c r="D1131" t="n">
        <v>5</v>
      </c>
      <c r="E1131" t="inlineStr">
        <is>
          <t>MEDIUM</t>
        </is>
      </c>
      <c r="F1131" t="n">
        <v>2</v>
      </c>
      <c r="G1131" t="n">
        <v>2</v>
      </c>
      <c r="H1131" t="inlineStr">
        <is>
          <t>MEDIUM</t>
        </is>
      </c>
      <c r="I1131" t="n">
        <v>9</v>
      </c>
      <c r="J1131" t="inlineStr">
        <is>
          <t>NO</t>
        </is>
      </c>
      <c r="K1131" t="inlineStr">
        <is>
          <t>2026-02-23 23:48</t>
        </is>
      </c>
      <c r="L1131" t="inlineStr">
        <is>
          <t>CHECK_VENDOR</t>
        </is>
      </c>
      <c r="M1131" t="inlineStr">
        <is>
          <t>See CVE details</t>
        </is>
      </c>
      <c r="N1131" t="inlineStr">
        <is>
          <t>P4</t>
        </is>
      </c>
      <c r="O1131" t="inlineStr">
        <is>
          <t>CVE - IP enrichment n/a</t>
        </is>
      </c>
      <c r="P1131" t="n">
        <v>0</v>
      </c>
      <c r="Q1131" t="n">
        <v>0</v>
      </c>
      <c r="R1131" t="inlineStr">
        <is>
          <t>T1185:Browser Session Hijacking</t>
        </is>
      </c>
      <c r="S1131" t="n">
        <v>1</v>
      </c>
      <c r="T1131" t="inlineStr">
        <is>
          <t>LOW (40%)</t>
        </is>
      </c>
      <c r="U1131" t="inlineStr">
        <is>
          <t>UNLIKELY</t>
        </is>
      </c>
      <c r="V1131" t="inlineStr">
        <is>
          <t>CHECK_VENDOR</t>
        </is>
      </c>
      <c r="W1131" t="inlineStr">
        <is>
          <t>https://nvd.nist.gov/vuln/detail/CVE-2026-27146</t>
        </is>
      </c>
      <c r="X1131" t="inlineStr">
        <is>
          <t>NONE</t>
        </is>
      </c>
      <c r="Y1131" t="n">
        <v>0</v>
      </c>
      <c r="Z1131" t="inlineStr"/>
      <c r="AA1131" t="inlineStr">
        <is>
          <t>https://nvd.nist.gov/vuln/detail/CVE-2026-27146</t>
        </is>
      </c>
    </row>
    <row r="1132">
      <c r="A1132" t="inlineStr">
        <is>
          <t>CVE</t>
        </is>
      </c>
      <c r="B1132" t="inlineStr">
        <is>
          <t>CVE-2026-27147</t>
        </is>
      </c>
      <c r="C1132" t="inlineStr">
        <is>
          <t>GetSimple CMS is a content management system. All versions of GetSimple CMS are vulnerable to XSS through SVG file uploads. Authenticated users can upload SVG files via the administrative upload functionality, but they are not properly sanitized or restricted, allowing an attacker to embed malicious JavaScript. When the uploaded SVG file is accessed, the script executes in the browser. This issue does not have a fix at the time of publication.</t>
        </is>
      </c>
      <c r="D1132" t="n">
        <v>5</v>
      </c>
      <c r="E1132" t="inlineStr">
        <is>
          <t>MEDIUM</t>
        </is>
      </c>
      <c r="F1132" t="n">
        <v>2</v>
      </c>
      <c r="G1132" t="n">
        <v>2</v>
      </c>
      <c r="H1132" t="inlineStr">
        <is>
          <t>MEDIUM</t>
        </is>
      </c>
      <c r="I1132" t="n">
        <v>9</v>
      </c>
      <c r="J1132" t="inlineStr">
        <is>
          <t>NO</t>
        </is>
      </c>
      <c r="K1132" t="inlineStr">
        <is>
          <t>2026-02-23 23:48</t>
        </is>
      </c>
      <c r="L1132" t="inlineStr">
        <is>
          <t>CHECK_VENDOR</t>
        </is>
      </c>
      <c r="M1132" t="inlineStr">
        <is>
          <t>See CVE details</t>
        </is>
      </c>
      <c r="N1132" t="inlineStr">
        <is>
          <t>P4</t>
        </is>
      </c>
      <c r="O1132" t="inlineStr">
        <is>
          <t>CVE - IP enrichment n/a</t>
        </is>
      </c>
      <c r="P1132" t="n">
        <v>0</v>
      </c>
      <c r="Q1132" t="n">
        <v>0</v>
      </c>
      <c r="R1132" t="inlineStr">
        <is>
          <t>T1189:Drive-by Compromise</t>
        </is>
      </c>
      <c r="S1132" t="n">
        <v>1</v>
      </c>
      <c r="T1132" t="inlineStr">
        <is>
          <t>LOW (40%)</t>
        </is>
      </c>
      <c r="U1132" t="inlineStr">
        <is>
          <t>UNLIKELY</t>
        </is>
      </c>
      <c r="V1132" t="inlineStr">
        <is>
          <t>CHECK_VENDOR</t>
        </is>
      </c>
      <c r="W1132" t="inlineStr">
        <is>
          <t>https://nvd.nist.gov/vuln/detail/CVE-2026-27147</t>
        </is>
      </c>
      <c r="X1132" t="inlineStr">
        <is>
          <t>NONE</t>
        </is>
      </c>
      <c r="Y1132" t="n">
        <v>0</v>
      </c>
      <c r="Z1132" t="inlineStr"/>
      <c r="AA1132" t="inlineStr">
        <is>
          <t>https://nvd.nist.gov/vuln/detail/CVE-2026-27147</t>
        </is>
      </c>
    </row>
    <row r="1133">
      <c r="A1133" t="inlineStr">
        <is>
          <t>CVE</t>
        </is>
      </c>
      <c r="B1133" t="inlineStr">
        <is>
          <t>CVE-2026-27161</t>
        </is>
      </c>
      <c r="C1133" t="inlineStr">
        <is>
          <t>GetSimple CMS is a content management system. All versions of GetSimple CMS rely on .htaccess files to restrict access to sensitive directories such as /data/ and /backups/. If Apache AllowOverride is disabled (common in hardened or shared hosting environments), these protections are silently ignored, allowing unauthenticated attackers to list and download sensitive files including authorization.xml, which contains cryptographic salts and API keys. This issue does not have a fix at the time of p</t>
        </is>
      </c>
      <c r="D1133" t="n">
        <v>8.5</v>
      </c>
      <c r="E1133" t="inlineStr">
        <is>
          <t>HIGH</t>
        </is>
      </c>
      <c r="F1133" t="n">
        <v>2</v>
      </c>
      <c r="G1133" t="n">
        <v>3</v>
      </c>
      <c r="H1133" t="inlineStr">
        <is>
          <t>HIGH</t>
        </is>
      </c>
      <c r="I1133" t="n">
        <v>14.5</v>
      </c>
      <c r="J1133" t="inlineStr">
        <is>
          <t>NO</t>
        </is>
      </c>
      <c r="K1133" t="inlineStr">
        <is>
          <t>2026-02-23 23:48</t>
        </is>
      </c>
      <c r="L1133" t="inlineStr">
        <is>
          <t>CHECK_VENDOR</t>
        </is>
      </c>
      <c r="M1133" t="inlineStr">
        <is>
          <t>See CVE details</t>
        </is>
      </c>
      <c r="N1133" t="inlineStr">
        <is>
          <t>P3</t>
        </is>
      </c>
      <c r="O1133" t="inlineStr">
        <is>
          <t>CVE - IP enrichment n/a</t>
        </is>
      </c>
      <c r="P1133" t="n">
        <v>0.0007</v>
      </c>
      <c r="Q1133" t="n">
        <v>0.2114</v>
      </c>
      <c r="R1133" t="inlineStr">
        <is>
          <t>T1213:Data from Information Repositories | T1600:Weaken Encryption</t>
        </is>
      </c>
      <c r="S1133" t="n">
        <v>1</v>
      </c>
      <c r="T1133" t="inlineStr">
        <is>
          <t>LOW (40%)</t>
        </is>
      </c>
      <c r="U1133" t="inlineStr">
        <is>
          <t>UNLIKELY</t>
        </is>
      </c>
      <c r="V1133" t="inlineStr">
        <is>
          <t>CHECK_VENDOR</t>
        </is>
      </c>
      <c r="W1133" t="inlineStr">
        <is>
          <t>https://nvd.nist.gov/vuln/detail/CVE-2026-27161</t>
        </is>
      </c>
      <c r="X1133" t="inlineStr">
        <is>
          <t>NONE</t>
        </is>
      </c>
      <c r="Y1133" t="n">
        <v>0</v>
      </c>
      <c r="Z1133" t="inlineStr"/>
      <c r="AA1133" t="inlineStr">
        <is>
          <t>https://nvd.nist.gov/vuln/detail/CVE-2026-27161</t>
        </is>
      </c>
    </row>
    <row r="1134">
      <c r="A1134" t="inlineStr">
        <is>
          <t>CVE</t>
        </is>
      </c>
      <c r="B1134" t="inlineStr">
        <is>
          <t>CVE-2026-27168</t>
        </is>
      </c>
      <c r="C1134" t="inlineStr">
        <is>
          <t>SAIL is a cross-platform library for loading and saving images with support for animation, metadata, and ICC profiles. All versions are vulnerable to Heap-based Buffer Overflow through the XWD parser's use of the bytes_per_line value. The value os read directly from the file as the read size in io-&gt;strict_read(), and is never compared to the actual size of the destination buffer. An attacker can provide an XWD file with an arbitrarily large bytes_per_line, causing a massive write operation beyon</t>
        </is>
      </c>
      <c r="D1134" t="n">
        <v>8.800000000000001</v>
      </c>
      <c r="E1134" t="inlineStr">
        <is>
          <t>HIGH</t>
        </is>
      </c>
      <c r="F1134" t="n">
        <v>2</v>
      </c>
      <c r="G1134" t="n">
        <v>3</v>
      </c>
      <c r="H1134" t="inlineStr">
        <is>
          <t>HIGH</t>
        </is>
      </c>
      <c r="I1134" t="n">
        <v>14.8</v>
      </c>
      <c r="J1134" t="inlineStr">
        <is>
          <t>NO</t>
        </is>
      </c>
      <c r="K1134" t="inlineStr">
        <is>
          <t>2026-02-23 23:48</t>
        </is>
      </c>
      <c r="L1134" t="inlineStr">
        <is>
          <t>CHECK_VENDOR</t>
        </is>
      </c>
      <c r="M1134" t="inlineStr">
        <is>
          <t>See CVE details</t>
        </is>
      </c>
      <c r="N1134" t="inlineStr">
        <is>
          <t>P3</t>
        </is>
      </c>
      <c r="O1134" t="inlineStr">
        <is>
          <t>CVE - IP enrichment n/a</t>
        </is>
      </c>
      <c r="P1134" t="n">
        <v>0</v>
      </c>
      <c r="Q1134" t="n">
        <v>0</v>
      </c>
      <c r="R1134" t="inlineStr">
        <is>
          <t>T1203:Exploitation for Client Execution</t>
        </is>
      </c>
      <c r="S1134" t="n">
        <v>1</v>
      </c>
      <c r="T1134" t="inlineStr">
        <is>
          <t>LOW (40%)</t>
        </is>
      </c>
      <c r="U1134" t="inlineStr">
        <is>
          <t>UNLIKELY</t>
        </is>
      </c>
      <c r="V1134" t="inlineStr">
        <is>
          <t>CHECK_VENDOR</t>
        </is>
      </c>
      <c r="W1134" t="inlineStr">
        <is>
          <t>https://nvd.nist.gov/vuln/detail/CVE-2026-27168</t>
        </is>
      </c>
      <c r="X1134" t="inlineStr">
        <is>
          <t>NONE</t>
        </is>
      </c>
      <c r="Y1134" t="n">
        <v>0</v>
      </c>
      <c r="Z1134" t="inlineStr"/>
      <c r="AA1134" t="inlineStr">
        <is>
          <t>https://nvd.nist.gov/vuln/detail/CVE-2026-27168</t>
        </is>
      </c>
    </row>
    <row r="1135">
      <c r="A1135" t="inlineStr">
        <is>
          <t>CVE</t>
        </is>
      </c>
      <c r="B1135" t="inlineStr">
        <is>
          <t>CVE-2026-27169</t>
        </is>
      </c>
      <c r="C1135" t="inlineStr">
        <is>
          <t>OpenSift is an AI study tool that sifts through large datasets using semantic search and generative AI. Versions 1.1.2-alpha and below render untrusted user/model content in chat tool UI surfaces using unsafe HTML interpolation patterns, leading to XSS. Stored content can execute JavaScript when later viewed in authenticated sessions. An attacker who can influence stored study/quiz/flashcard content could trigger script execution in a victim’s browser, potentially performing actions as that user</t>
        </is>
      </c>
      <c r="D1135" t="n">
        <v>8.9</v>
      </c>
      <c r="E1135" t="inlineStr">
        <is>
          <t>HIGH</t>
        </is>
      </c>
      <c r="F1135" t="n">
        <v>2</v>
      </c>
      <c r="G1135" t="n">
        <v>3</v>
      </c>
      <c r="H1135" t="inlineStr">
        <is>
          <t>HIGH</t>
        </is>
      </c>
      <c r="I1135" t="n">
        <v>14.9</v>
      </c>
      <c r="J1135" t="inlineStr">
        <is>
          <t>NO</t>
        </is>
      </c>
      <c r="K1135" t="inlineStr">
        <is>
          <t>2026-02-23 23:48</t>
        </is>
      </c>
      <c r="L1135" t="inlineStr">
        <is>
          <t>YES</t>
        </is>
      </c>
      <c r="M1135" t="inlineStr">
        <is>
          <t>opensift opensift *</t>
        </is>
      </c>
      <c r="N1135" t="inlineStr">
        <is>
          <t>P3</t>
        </is>
      </c>
      <c r="O1135" t="inlineStr">
        <is>
          <t>CVE - IP enrichment n/a</t>
        </is>
      </c>
      <c r="P1135" t="n">
        <v>0</v>
      </c>
      <c r="Q1135" t="n">
        <v>0</v>
      </c>
      <c r="R1135" t="inlineStr">
        <is>
          <t>T1189:Drive-by Compromise</t>
        </is>
      </c>
      <c r="S1135" t="n">
        <v>1</v>
      </c>
      <c r="T1135" t="inlineStr">
        <is>
          <t>LOW (40%)</t>
        </is>
      </c>
      <c r="U1135" t="inlineStr">
        <is>
          <t>UNLIKELY</t>
        </is>
      </c>
      <c r="V1135" t="inlineStr">
        <is>
          <t>PATCH_AVAILABLE</t>
        </is>
      </c>
      <c r="W1135" t="inlineStr">
        <is>
          <t>https://nvd.nist.gov/vuln/detail/CVE-2026-27169</t>
        </is>
      </c>
      <c r="X1135" t="inlineStr">
        <is>
          <t>NONE</t>
        </is>
      </c>
      <c r="Y1135" t="n">
        <v>0</v>
      </c>
      <c r="Z1135" t="inlineStr"/>
      <c r="AA1135" t="inlineStr">
        <is>
          <t>https://nvd.nist.gov/vuln/detail/CVE-2026-27169</t>
        </is>
      </c>
    </row>
    <row r="1136">
      <c r="A1136" t="inlineStr">
        <is>
          <t>CVE</t>
        </is>
      </c>
      <c r="B1136" t="inlineStr">
        <is>
          <t>CVE-2026-27170</t>
        </is>
      </c>
      <c r="C1136" t="inlineStr">
        <is>
          <t>OpenSift is an AI study tool that sifts through large datasets using semantic search and generative AI. In versions 1.1.2-alpha and below, URL ingest allows overly permissive server-side fetch behavior and can be coerced into requesting unsafe targets. Potential access/probing of private/local network resources from the OpenSift host process when ingesting attacker-controlled URLs. This issue has been fixed in version 1.1.3-alpha. To workaround when using trusted local-only exceptions, use OPENS</t>
        </is>
      </c>
      <c r="D1136" t="n">
        <v>7.1</v>
      </c>
      <c r="E1136" t="inlineStr">
        <is>
          <t>HIGH</t>
        </is>
      </c>
      <c r="F1136" t="n">
        <v>2</v>
      </c>
      <c r="G1136" t="n">
        <v>3</v>
      </c>
      <c r="H1136" t="inlineStr">
        <is>
          <t>HIGH</t>
        </is>
      </c>
      <c r="I1136" t="n">
        <v>13.1</v>
      </c>
      <c r="J1136" t="inlineStr">
        <is>
          <t>NO</t>
        </is>
      </c>
      <c r="K1136" t="inlineStr">
        <is>
          <t>2026-02-23 23:48</t>
        </is>
      </c>
      <c r="L1136" t="inlineStr">
        <is>
          <t>YES</t>
        </is>
      </c>
      <c r="M1136" t="inlineStr">
        <is>
          <t>opensift opensift *</t>
        </is>
      </c>
      <c r="N1136" t="inlineStr">
        <is>
          <t>P3</t>
        </is>
      </c>
      <c r="O1136" t="inlineStr">
        <is>
          <t>CVE - IP enrichment n/a</t>
        </is>
      </c>
      <c r="P1136" t="n">
        <v>0</v>
      </c>
      <c r="Q1136" t="n">
        <v>0</v>
      </c>
      <c r="R1136" t="inlineStr">
        <is>
          <t>T1190:Exploit Public-Facing Application</t>
        </is>
      </c>
      <c r="S1136" t="n">
        <v>1</v>
      </c>
      <c r="T1136" t="inlineStr">
        <is>
          <t>LOW (40%)</t>
        </is>
      </c>
      <c r="U1136" t="inlineStr">
        <is>
          <t>UNLIKELY</t>
        </is>
      </c>
      <c r="V1136" t="inlineStr">
        <is>
          <t>PATCH_AVAILABLE</t>
        </is>
      </c>
      <c r="W1136" t="inlineStr">
        <is>
          <t>https://nvd.nist.gov/vuln/detail/CVE-2026-27170</t>
        </is>
      </c>
      <c r="X1136" t="inlineStr">
        <is>
          <t>NONE</t>
        </is>
      </c>
      <c r="Y1136" t="n">
        <v>0</v>
      </c>
      <c r="Z1136" t="inlineStr"/>
      <c r="AA1136" t="inlineStr">
        <is>
          <t>https://nvd.nist.gov/vuln/detail/CVE-2026-27170</t>
        </is>
      </c>
    </row>
    <row r="1137">
      <c r="A1137" t="inlineStr">
        <is>
          <t>CVE</t>
        </is>
      </c>
      <c r="B1137" t="inlineStr">
        <is>
          <t>CVE-2026-27189</t>
        </is>
      </c>
      <c r="C1137" t="inlineStr">
        <is>
          <t>OpenSift is an AI study tool that sifts through large datasets using semantic search and generative AI. Versions 1.1.2-alpha and below, use non-atomic and insufficiently synchronized local JSON persistence flows, potentially causing concurrent operations to lose updates or corrupt local state across sessions/study/quiz/flashcard/wellness/auth stores. This issue has been fixed in version 1.1.3-alpha.</t>
        </is>
      </c>
      <c r="D1137" t="n">
        <v>6.6</v>
      </c>
      <c r="E1137" t="inlineStr">
        <is>
          <t>MEDIUM</t>
        </is>
      </c>
      <c r="F1137" t="n">
        <v>2</v>
      </c>
      <c r="G1137" t="n">
        <v>2</v>
      </c>
      <c r="H1137" t="inlineStr">
        <is>
          <t>MEDIUM</t>
        </is>
      </c>
      <c r="I1137" t="n">
        <v>10.6</v>
      </c>
      <c r="J1137" t="inlineStr">
        <is>
          <t>NO</t>
        </is>
      </c>
      <c r="K1137" t="inlineStr">
        <is>
          <t>2026-02-23 23:48</t>
        </is>
      </c>
      <c r="L1137" t="inlineStr">
        <is>
          <t>YES</t>
        </is>
      </c>
      <c r="M1137" t="inlineStr">
        <is>
          <t>opensift opensift *</t>
        </is>
      </c>
      <c r="N1137" t="inlineStr">
        <is>
          <t>P4</t>
        </is>
      </c>
      <c r="O1137" t="inlineStr">
        <is>
          <t>CVE - IP enrichment n/a</t>
        </is>
      </c>
      <c r="P1137" t="n">
        <v>0.0001</v>
      </c>
      <c r="Q1137" t="n">
        <v>0.0143</v>
      </c>
      <c r="R1137" t="inlineStr">
        <is>
          <t>T1068:Exploitation for Privilege Escalation</t>
        </is>
      </c>
      <c r="S1137" t="n">
        <v>1</v>
      </c>
      <c r="T1137" t="inlineStr">
        <is>
          <t>LOW (40%)</t>
        </is>
      </c>
      <c r="U1137" t="inlineStr">
        <is>
          <t>UNLIKELY</t>
        </is>
      </c>
      <c r="V1137" t="inlineStr">
        <is>
          <t>PATCH_AVAILABLE</t>
        </is>
      </c>
      <c r="W1137" t="inlineStr">
        <is>
          <t>https://nvd.nist.gov/vuln/detail/CVE-2026-27189</t>
        </is>
      </c>
      <c r="X1137" t="inlineStr">
        <is>
          <t>NONE</t>
        </is>
      </c>
      <c r="Y1137" t="n">
        <v>0</v>
      </c>
      <c r="Z1137" t="inlineStr"/>
      <c r="AA1137" t="inlineStr">
        <is>
          <t>https://nvd.nist.gov/vuln/detail/CVE-2026-27189</t>
        </is>
      </c>
    </row>
    <row r="1138">
      <c r="A1138" t="inlineStr">
        <is>
          <t>CVE</t>
        </is>
      </c>
      <c r="B1138" t="inlineStr">
        <is>
          <t>CVE-2026-27202</t>
        </is>
      </c>
      <c r="C1138" t="inlineStr">
        <is>
          <t>GetSimple CMS is a content management system. All versions of GetSimple CMS have a flaw in the Uploaded Files feature that allows for arbitrary file reads. This issue has not been fixed at the time of publication.</t>
        </is>
      </c>
      <c r="D1138" t="n">
        <v>5</v>
      </c>
      <c r="E1138" t="inlineStr">
        <is>
          <t>MEDIUM</t>
        </is>
      </c>
      <c r="F1138" t="n">
        <v>2</v>
      </c>
      <c r="G1138" t="n">
        <v>2</v>
      </c>
      <c r="H1138" t="inlineStr">
        <is>
          <t>MEDIUM</t>
        </is>
      </c>
      <c r="I1138" t="n">
        <v>9</v>
      </c>
      <c r="J1138" t="inlineStr">
        <is>
          <t>NO</t>
        </is>
      </c>
      <c r="K1138" t="inlineStr">
        <is>
          <t>2026-02-23 23:48</t>
        </is>
      </c>
      <c r="L1138" t="inlineStr">
        <is>
          <t>CHECK_VENDOR</t>
        </is>
      </c>
      <c r="M1138" t="inlineStr">
        <is>
          <t>See CVE details</t>
        </is>
      </c>
      <c r="N1138" t="inlineStr">
        <is>
          <t>P4</t>
        </is>
      </c>
      <c r="O1138" t="inlineStr">
        <is>
          <t>CVE - IP enrichment n/a</t>
        </is>
      </c>
      <c r="P1138" t="n">
        <v>0.0005999999999999999</v>
      </c>
      <c r="Q1138" t="n">
        <v>0.1951</v>
      </c>
      <c r="R1138" t="inlineStr">
        <is>
          <t>T1083:File and Directory Discovery</t>
        </is>
      </c>
      <c r="S1138" t="n">
        <v>1</v>
      </c>
      <c r="T1138" t="inlineStr">
        <is>
          <t>LOW (40%)</t>
        </is>
      </c>
      <c r="U1138" t="inlineStr">
        <is>
          <t>UNLIKELY</t>
        </is>
      </c>
      <c r="V1138" t="inlineStr">
        <is>
          <t>CHECK_VENDOR</t>
        </is>
      </c>
      <c r="W1138" t="inlineStr">
        <is>
          <t>https://nvd.nist.gov/vuln/detail/CVE-2026-27202</t>
        </is>
      </c>
      <c r="X1138" t="inlineStr">
        <is>
          <t>NONE</t>
        </is>
      </c>
      <c r="Y1138" t="n">
        <v>0</v>
      </c>
      <c r="Z1138" t="inlineStr"/>
      <c r="AA1138" t="inlineStr">
        <is>
          <t>https://nvd.nist.gov/vuln/detail/CVE-2026-27202</t>
        </is>
      </c>
    </row>
    <row r="1139">
      <c r="A1139" t="inlineStr">
        <is>
          <t>CVE</t>
        </is>
      </c>
      <c r="B1139" t="inlineStr">
        <is>
          <t>CVE-2026-27203</t>
        </is>
      </c>
      <c r="C1139" t="inlineStr">
        <is>
          <t>eBay API MCP Server is an open source local MCP server providing AI assistants with comprehensive access to eBay's Sell APIs. All versions are vulnerable to Environment Variable Injection through the updateEnvFile function. The ebay_set_user_tokens tool allows updating the .env file with new tokens. The updateEnvFile function in src/auth/oauth.ts blindly appends or replaces values without validating them for newlines or quotes. This allows an attacker to inject arbitrary environment variables in</t>
        </is>
      </c>
      <c r="D1139" t="n">
        <v>8.300000000000001</v>
      </c>
      <c r="E1139" t="inlineStr">
        <is>
          <t>HIGH</t>
        </is>
      </c>
      <c r="F1139" t="n">
        <v>2</v>
      </c>
      <c r="G1139" t="n">
        <v>3</v>
      </c>
      <c r="H1139" t="inlineStr">
        <is>
          <t>HIGH</t>
        </is>
      </c>
      <c r="I1139" t="n">
        <v>14.3</v>
      </c>
      <c r="J1139" t="inlineStr">
        <is>
          <t>NO</t>
        </is>
      </c>
      <c r="K1139" t="inlineStr">
        <is>
          <t>2026-02-23 23:48</t>
        </is>
      </c>
      <c r="L1139" t="inlineStr">
        <is>
          <t>CHECK_VENDOR</t>
        </is>
      </c>
      <c r="M1139" t="inlineStr">
        <is>
          <t>See CVE details</t>
        </is>
      </c>
      <c r="N1139" t="inlineStr">
        <is>
          <t>P3</t>
        </is>
      </c>
      <c r="O1139" t="inlineStr">
        <is>
          <t>CVE - IP enrichment n/a</t>
        </is>
      </c>
      <c r="P1139" t="n">
        <v>0</v>
      </c>
      <c r="Q1139" t="n">
        <v>0</v>
      </c>
      <c r="R1139" t="inlineStr">
        <is>
          <t>T1190:Exploit Public-Facing Application | T1499:Endpoint Denial of Service</t>
        </is>
      </c>
      <c r="S1139" t="n">
        <v>1</v>
      </c>
      <c r="T1139" t="inlineStr">
        <is>
          <t>LOW (40%)</t>
        </is>
      </c>
      <c r="U1139" t="inlineStr">
        <is>
          <t>UNLIKELY</t>
        </is>
      </c>
      <c r="V1139" t="inlineStr">
        <is>
          <t>CHECK_VENDOR</t>
        </is>
      </c>
      <c r="W1139" t="inlineStr">
        <is>
          <t>https://nvd.nist.gov/vuln/detail/CVE-2026-27203</t>
        </is>
      </c>
      <c r="X1139" t="inlineStr">
        <is>
          <t>NONE</t>
        </is>
      </c>
      <c r="Y1139" t="n">
        <v>0</v>
      </c>
      <c r="Z1139" t="inlineStr"/>
      <c r="AA1139" t="inlineStr">
        <is>
          <t>https://nvd.nist.gov/vuln/detail/CVE-2026-27203</t>
        </is>
      </c>
    </row>
    <row r="1140">
      <c r="A1140" t="inlineStr">
        <is>
          <t>CVE</t>
        </is>
      </c>
      <c r="B1140" t="inlineStr">
        <is>
          <t>CVE-2025-65995</t>
        </is>
      </c>
      <c r="C1140" t="inlineStr">
        <is>
          <t>When a DAG failed during parsing, Airflow’s error-reporting in the UI could include the full kwargs passed to the operators. If those kwargs contained sensitive values (such as secrets), they might be exposed in the UI tracebacks to authenticated users who had permission to view that DAG. 
The issue has been fixed in Airflow 3.1.4 and 2.11.1, and users are strongly advised to upgrade to prevent potential disclosure of sensitive information.</t>
        </is>
      </c>
      <c r="D1140" t="n">
        <v>6.5</v>
      </c>
      <c r="E1140" t="inlineStr">
        <is>
          <t>MEDIUM</t>
        </is>
      </c>
      <c r="F1140" t="n">
        <v>2</v>
      </c>
      <c r="G1140" t="n">
        <v>2</v>
      </c>
      <c r="H1140" t="inlineStr">
        <is>
          <t>MEDIUM</t>
        </is>
      </c>
      <c r="I1140" t="n">
        <v>10.5</v>
      </c>
      <c r="J1140" t="inlineStr">
        <is>
          <t>NO</t>
        </is>
      </c>
      <c r="K1140" t="inlineStr">
        <is>
          <t>2026-02-23 23:48</t>
        </is>
      </c>
      <c r="L1140" t="inlineStr">
        <is>
          <t>CHECK_VENDOR</t>
        </is>
      </c>
      <c r="M1140" t="inlineStr">
        <is>
          <t>See CVE details</t>
        </is>
      </c>
      <c r="N1140" t="inlineStr">
        <is>
          <t>P4</t>
        </is>
      </c>
      <c r="O1140" t="inlineStr">
        <is>
          <t>CVE - IP enrichment n/a</t>
        </is>
      </c>
      <c r="P1140" t="n">
        <v>0</v>
      </c>
      <c r="Q1140" t="n">
        <v>0</v>
      </c>
      <c r="R1140" t="inlineStr">
        <is>
          <t>T1190:Exploit Public-Facing Application</t>
        </is>
      </c>
      <c r="S1140" t="n">
        <v>1</v>
      </c>
      <c r="T1140" t="inlineStr">
        <is>
          <t>LOW (40%)</t>
        </is>
      </c>
      <c r="U1140" t="inlineStr">
        <is>
          <t>UNLIKELY</t>
        </is>
      </c>
      <c r="V1140" t="inlineStr">
        <is>
          <t>CHECK_VENDOR</t>
        </is>
      </c>
      <c r="W1140" t="inlineStr">
        <is>
          <t>https://nvd.nist.gov/vuln/detail/CVE-2025-65995</t>
        </is>
      </c>
      <c r="X1140" t="inlineStr">
        <is>
          <t>NONE</t>
        </is>
      </c>
      <c r="Y1140" t="n">
        <v>0</v>
      </c>
      <c r="Z1140" t="inlineStr"/>
      <c r="AA1140" t="inlineStr">
        <is>
          <t>https://nvd.nist.gov/vuln/detail/CVE-2025-65995</t>
        </is>
      </c>
    </row>
    <row r="1141">
      <c r="A1141" t="inlineStr">
        <is>
          <t>CVE</t>
        </is>
      </c>
      <c r="B1141" t="inlineStr">
        <is>
          <t>CVE-2026-27191</t>
        </is>
      </c>
      <c r="C1141" t="inlineStr">
        <is>
          <t>Feathersjs is a framework for creating web APIs and real-time applications with TypeScript or JavaScript. Versions 5.0.39 and below the redirect query parameter is appended to the base origin without validation, allowing attackers to steal access tokens via URL authority injection. This leads to full account takeover, as the attacker obtains the victim's access token and can impersonate them. The application constructs the final redirect URL by concatenating the base origin with the user-supplie</t>
        </is>
      </c>
      <c r="D1141" t="n">
        <v>5</v>
      </c>
      <c r="E1141" t="inlineStr">
        <is>
          <t>MEDIUM</t>
        </is>
      </c>
      <c r="F1141" t="n">
        <v>2</v>
      </c>
      <c r="G1141" t="n">
        <v>2</v>
      </c>
      <c r="H1141" t="inlineStr">
        <is>
          <t>MEDIUM</t>
        </is>
      </c>
      <c r="I1141" t="n">
        <v>9</v>
      </c>
      <c r="J1141" t="inlineStr">
        <is>
          <t>NO</t>
        </is>
      </c>
      <c r="K1141" t="inlineStr">
        <is>
          <t>2026-02-23 23:48</t>
        </is>
      </c>
      <c r="L1141" t="inlineStr">
        <is>
          <t>CHECK_VENDOR</t>
        </is>
      </c>
      <c r="M1141" t="inlineStr">
        <is>
          <t>See CVE details</t>
        </is>
      </c>
      <c r="N1141" t="inlineStr">
        <is>
          <t>P4</t>
        </is>
      </c>
      <c r="O1141" t="inlineStr">
        <is>
          <t>CVE - IP enrichment n/a</t>
        </is>
      </c>
      <c r="P1141" t="n">
        <v>0</v>
      </c>
      <c r="Q1141" t="n">
        <v>0</v>
      </c>
      <c r="R1141" t="inlineStr">
        <is>
          <t>T1189:Drive-by Compromise</t>
        </is>
      </c>
      <c r="S1141" t="n">
        <v>1</v>
      </c>
      <c r="T1141" t="inlineStr">
        <is>
          <t>LOW (40%)</t>
        </is>
      </c>
      <c r="U1141" t="inlineStr">
        <is>
          <t>UNLIKELY</t>
        </is>
      </c>
      <c r="V1141" t="inlineStr">
        <is>
          <t>CHECK_VENDOR</t>
        </is>
      </c>
      <c r="W1141" t="inlineStr">
        <is>
          <t>https://nvd.nist.gov/vuln/detail/CVE-2026-27191</t>
        </is>
      </c>
      <c r="X1141" t="inlineStr">
        <is>
          <t>NONE</t>
        </is>
      </c>
      <c r="Y1141" t="n">
        <v>0</v>
      </c>
      <c r="Z1141" t="inlineStr"/>
      <c r="AA1141" t="inlineStr">
        <is>
          <t>https://nvd.nist.gov/vuln/detail/CVE-2026-27191</t>
        </is>
      </c>
    </row>
    <row r="1142">
      <c r="A1142" t="inlineStr">
        <is>
          <t>CVE</t>
        </is>
      </c>
      <c r="B1142" t="inlineStr">
        <is>
          <t>CVE-2026-27192</t>
        </is>
      </c>
      <c r="C1142" t="inlineStr">
        <is>
          <t>Feathersjs is a framework for creating web APIs and real-time applications with TypeScript or JavaScript. In versions 5.0.39 and below, origin validation uses startsWith() for comparison, allowing attackers to bypass the check by registering a domain that shares a common prefix with an allowed origin.The getAllowedOrigin() function checks if the Referer header starts with any allowed origin, and this comparison is insufficient as it only validates the prefix. This is exploitable when the origins</t>
        </is>
      </c>
      <c r="D1142" t="n">
        <v>5</v>
      </c>
      <c r="E1142" t="inlineStr">
        <is>
          <t>MEDIUM</t>
        </is>
      </c>
      <c r="F1142" t="n">
        <v>2</v>
      </c>
      <c r="G1142" t="n">
        <v>2</v>
      </c>
      <c r="H1142" t="inlineStr">
        <is>
          <t>MEDIUM</t>
        </is>
      </c>
      <c r="I1142" t="n">
        <v>9</v>
      </c>
      <c r="J1142" t="inlineStr">
        <is>
          <t>NO</t>
        </is>
      </c>
      <c r="K1142" t="inlineStr">
        <is>
          <t>2026-02-23 23:48</t>
        </is>
      </c>
      <c r="L1142" t="inlineStr">
        <is>
          <t>CHECK_VENDOR</t>
        </is>
      </c>
      <c r="M1142" t="inlineStr">
        <is>
          <t>See CVE details</t>
        </is>
      </c>
      <c r="N1142" t="inlineStr">
        <is>
          <t>P4</t>
        </is>
      </c>
      <c r="O1142" t="inlineStr">
        <is>
          <t>CVE - IP enrichment n/a</t>
        </is>
      </c>
      <c r="P1142" t="n">
        <v>0.0002</v>
      </c>
      <c r="Q1142" t="n">
        <v>0.0426</v>
      </c>
      <c r="R1142" t="inlineStr">
        <is>
          <t>T1190:Exploit Public-Facing Application</t>
        </is>
      </c>
      <c r="S1142" t="n">
        <v>1</v>
      </c>
      <c r="T1142" t="inlineStr">
        <is>
          <t>LOW (40%)</t>
        </is>
      </c>
      <c r="U1142" t="inlineStr">
        <is>
          <t>UNLIKELY</t>
        </is>
      </c>
      <c r="V1142" t="inlineStr">
        <is>
          <t>CHECK_VENDOR</t>
        </is>
      </c>
      <c r="W1142" t="inlineStr">
        <is>
          <t>https://nvd.nist.gov/vuln/detail/CVE-2026-27192</t>
        </is>
      </c>
      <c r="X1142" t="inlineStr">
        <is>
          <t>NONE</t>
        </is>
      </c>
      <c r="Y1142" t="n">
        <v>0</v>
      </c>
      <c r="Z1142" t="inlineStr"/>
      <c r="AA1142" t="inlineStr">
        <is>
          <t>https://nvd.nist.gov/vuln/detail/CVE-2026-27192</t>
        </is>
      </c>
    </row>
    <row r="1143">
      <c r="A1143" t="inlineStr">
        <is>
          <t>CVE</t>
        </is>
      </c>
      <c r="B1143" t="inlineStr">
        <is>
          <t>CVE-2026-27193</t>
        </is>
      </c>
      <c r="C1143" t="inlineStr">
        <is>
          <t xml:space="preserve">Feathersjs is a framework for creating web APIs and real-time applications with TypeScript or JavaScript. In versions 5.0.39 and below, all HTTP request headers are stored in the session cookie, which is signed but not encrypted, exposing internal proxy/gateway headers to clients. The OAuth service stores the complete headers object in the session, then the session is persisted using cookie-session, which base64-encodes the data. While the cookie is signed to prevent tampering, the contents are </t>
        </is>
      </c>
      <c r="D1143" t="n">
        <v>5</v>
      </c>
      <c r="E1143" t="inlineStr">
        <is>
          <t>MEDIUM</t>
        </is>
      </c>
      <c r="F1143" t="n">
        <v>2</v>
      </c>
      <c r="G1143" t="n">
        <v>2</v>
      </c>
      <c r="H1143" t="inlineStr">
        <is>
          <t>MEDIUM</t>
        </is>
      </c>
      <c r="I1143" t="n">
        <v>9</v>
      </c>
      <c r="J1143" t="inlineStr">
        <is>
          <t>NO</t>
        </is>
      </c>
      <c r="K1143" t="inlineStr">
        <is>
          <t>2026-02-23 23:48</t>
        </is>
      </c>
      <c r="L1143" t="inlineStr">
        <is>
          <t>CHECK_VENDOR</t>
        </is>
      </c>
      <c r="M1143" t="inlineStr">
        <is>
          <t>See CVE details</t>
        </is>
      </c>
      <c r="N1143" t="inlineStr">
        <is>
          <t>P4</t>
        </is>
      </c>
      <c r="O1143" t="inlineStr">
        <is>
          <t>CVE - IP enrichment n/a</t>
        </is>
      </c>
      <c r="P1143" t="n">
        <v>0</v>
      </c>
      <c r="Q1143" t="n">
        <v>0</v>
      </c>
      <c r="R1143" t="inlineStr">
        <is>
          <t>T1213:Data from Information Repositories</t>
        </is>
      </c>
      <c r="S1143" t="n">
        <v>1</v>
      </c>
      <c r="T1143" t="inlineStr">
        <is>
          <t>LOW (40%)</t>
        </is>
      </c>
      <c r="U1143" t="inlineStr">
        <is>
          <t>UNLIKELY</t>
        </is>
      </c>
      <c r="V1143" t="inlineStr">
        <is>
          <t>CHECK_VENDOR</t>
        </is>
      </c>
      <c r="W1143" t="inlineStr">
        <is>
          <t>https://nvd.nist.gov/vuln/detail/CVE-2026-27193</t>
        </is>
      </c>
      <c r="X1143" t="inlineStr">
        <is>
          <t>NONE</t>
        </is>
      </c>
      <c r="Y1143" t="n">
        <v>0</v>
      </c>
      <c r="Z1143" t="inlineStr"/>
      <c r="AA1143" t="inlineStr">
        <is>
          <t>https://nvd.nist.gov/vuln/detail/CVE-2026-27193</t>
        </is>
      </c>
    </row>
    <row r="1144">
      <c r="A1144" t="inlineStr">
        <is>
          <t>CVE</t>
        </is>
      </c>
      <c r="B1144" t="inlineStr">
        <is>
          <t>CVE-2026-27194</t>
        </is>
      </c>
      <c r="C1144" t="inlineStr">
        <is>
          <t>D-Tale is a visualizer for pandas data structures. Versions prior to 3.20.0 are vulnerable to Remote Code Execution through the /save-column-filter endpoint. Users hosting D-Tale publicly can be vulnerable to remote code execution allowing attackers to run malicious code on the server. This issue has been fixed in version 3.20.0.</t>
        </is>
      </c>
      <c r="D1144" t="n">
        <v>9.800000000000001</v>
      </c>
      <c r="E1144" t="inlineStr">
        <is>
          <t>CRITICAL</t>
        </is>
      </c>
      <c r="F1144" t="n">
        <v>2</v>
      </c>
      <c r="G1144" t="n">
        <v>3</v>
      </c>
      <c r="H1144" t="inlineStr">
        <is>
          <t>HIGH</t>
        </is>
      </c>
      <c r="I1144" t="n">
        <v>15.8</v>
      </c>
      <c r="J1144" t="inlineStr">
        <is>
          <t>NO</t>
        </is>
      </c>
      <c r="K1144" t="inlineStr">
        <is>
          <t>2026-02-23 23:48</t>
        </is>
      </c>
      <c r="L1144" t="inlineStr">
        <is>
          <t>YES</t>
        </is>
      </c>
      <c r="M1144" t="inlineStr">
        <is>
          <t>man d-tale *</t>
        </is>
      </c>
      <c r="N1144" t="inlineStr">
        <is>
          <t>P3</t>
        </is>
      </c>
      <c r="O1144" t="inlineStr">
        <is>
          <t>CVE - IP enrichment n/a</t>
        </is>
      </c>
      <c r="P1144" t="n">
        <v>0</v>
      </c>
      <c r="Q1144" t="n">
        <v>0</v>
      </c>
      <c r="R1144" t="inlineStr">
        <is>
          <t>T1190:Exploit Public-Facing Application | T1210:Exploitation of Remote Services</t>
        </is>
      </c>
      <c r="S1144" t="n">
        <v>1</v>
      </c>
      <c r="T1144" t="inlineStr">
        <is>
          <t>LOW (40%)</t>
        </is>
      </c>
      <c r="U1144" t="inlineStr">
        <is>
          <t>UNLIKELY</t>
        </is>
      </c>
      <c r="V1144" t="inlineStr">
        <is>
          <t>PATCH_AVAILABLE</t>
        </is>
      </c>
      <c r="W1144" t="inlineStr">
        <is>
          <t>https://nvd.nist.gov/vuln/detail/CVE-2026-27194</t>
        </is>
      </c>
      <c r="X1144" t="inlineStr">
        <is>
          <t>NONE</t>
        </is>
      </c>
      <c r="Y1144" t="n">
        <v>0</v>
      </c>
      <c r="Z1144" t="inlineStr"/>
      <c r="AA1144" t="inlineStr">
        <is>
          <t>https://nvd.nist.gov/vuln/detail/CVE-2026-27194</t>
        </is>
      </c>
    </row>
    <row r="1145">
      <c r="A1145" t="inlineStr">
        <is>
          <t>CVE</t>
        </is>
      </c>
      <c r="B1145" t="inlineStr">
        <is>
          <t>CVE-2026-27196</t>
        </is>
      </c>
      <c r="C1145" t="inlineStr">
        <is>
          <t>Statmatic is a Laravel and Git powered content management system (CMS). Versions 5.73.8 and below in addition to 6.0.0-alpha.1 through 6.3.1 have a Stored XSS vulnerability in html fieldtypes which allows authenticated users with field management permissions to inject malicious JavaScript that executes when viewed by higher-privileged users. This issue has been fixed in 6.3.2 and 5.73.9.</t>
        </is>
      </c>
      <c r="D1145" t="n">
        <v>8.1</v>
      </c>
      <c r="E1145" t="inlineStr">
        <is>
          <t>HIGH</t>
        </is>
      </c>
      <c r="F1145" t="n">
        <v>2</v>
      </c>
      <c r="G1145" t="n">
        <v>3</v>
      </c>
      <c r="H1145" t="inlineStr">
        <is>
          <t>HIGH</t>
        </is>
      </c>
      <c r="I1145" t="n">
        <v>14.1</v>
      </c>
      <c r="J1145" t="inlineStr">
        <is>
          <t>NO</t>
        </is>
      </c>
      <c r="K1145" t="inlineStr">
        <is>
          <t>2026-02-23 23:48</t>
        </is>
      </c>
      <c r="L1145" t="inlineStr">
        <is>
          <t>CHECK_VENDOR</t>
        </is>
      </c>
      <c r="M1145" t="inlineStr">
        <is>
          <t>See CVE details</t>
        </is>
      </c>
      <c r="N1145" t="inlineStr">
        <is>
          <t>P3</t>
        </is>
      </c>
      <c r="O1145" t="inlineStr">
        <is>
          <t>CVE - IP enrichment n/a</t>
        </is>
      </c>
      <c r="P1145" t="n">
        <v>0</v>
      </c>
      <c r="Q1145" t="n">
        <v>0</v>
      </c>
      <c r="R1145" t="inlineStr">
        <is>
          <t>T1189:Drive-by Compromise</t>
        </is>
      </c>
      <c r="S1145" t="n">
        <v>1</v>
      </c>
      <c r="T1145" t="inlineStr">
        <is>
          <t>LOW (40%)</t>
        </is>
      </c>
      <c r="U1145" t="inlineStr">
        <is>
          <t>UNLIKELY</t>
        </is>
      </c>
      <c r="V1145" t="inlineStr">
        <is>
          <t>CHECK_VENDOR</t>
        </is>
      </c>
      <c r="W1145" t="inlineStr">
        <is>
          <t>https://nvd.nist.gov/vuln/detail/CVE-2026-27196</t>
        </is>
      </c>
      <c r="X1145" t="inlineStr">
        <is>
          <t>NONE</t>
        </is>
      </c>
      <c r="Y1145" t="n">
        <v>0</v>
      </c>
      <c r="Z1145" t="inlineStr"/>
      <c r="AA1145" t="inlineStr">
        <is>
          <t>https://nvd.nist.gov/vuln/detail/CVE-2026-27196</t>
        </is>
      </c>
    </row>
    <row r="1146">
      <c r="A1146" t="inlineStr">
        <is>
          <t>CVE</t>
        </is>
      </c>
      <c r="B1146" t="inlineStr">
        <is>
          <t>CVE-2026-27197</t>
        </is>
      </c>
      <c r="C1146" t="inlineStr">
        <is>
          <t>Sentry is a developer-first error tracking and performance monitoring tool. Versions 21.12.0 through 26.1.0 have a critical vulnerability in its SAML SSO implementation  which allows an attacker to take over any user account by using a malicious SAML Identity Provider and another organization on the same Sentry instance. Self-hosted users are only at risk if the following criteria is met: ore than one organizations are configured (SENTRY_SINGLE_ORGANIZATION = True), or malicious user has existin</t>
        </is>
      </c>
      <c r="D1146" t="n">
        <v>9.1</v>
      </c>
      <c r="E1146" t="inlineStr">
        <is>
          <t>CRITICAL</t>
        </is>
      </c>
      <c r="F1146" t="n">
        <v>2</v>
      </c>
      <c r="G1146" t="n">
        <v>3</v>
      </c>
      <c r="H1146" t="inlineStr">
        <is>
          <t>HIGH</t>
        </is>
      </c>
      <c r="I1146" t="n">
        <v>15.1</v>
      </c>
      <c r="J1146" t="inlineStr">
        <is>
          <t>NO</t>
        </is>
      </c>
      <c r="K1146" t="inlineStr">
        <is>
          <t>2026-02-23 23:48</t>
        </is>
      </c>
      <c r="L1146" t="inlineStr">
        <is>
          <t>YES</t>
        </is>
      </c>
      <c r="M1146" t="inlineStr">
        <is>
          <t>sentry sentry *</t>
        </is>
      </c>
      <c r="N1146" t="inlineStr">
        <is>
          <t>P3</t>
        </is>
      </c>
      <c r="O1146" t="inlineStr">
        <is>
          <t>CVE - IP enrichment n/a</t>
        </is>
      </c>
      <c r="P1146" t="n">
        <v>0.0004</v>
      </c>
      <c r="Q1146" t="n">
        <v>0.1167</v>
      </c>
      <c r="R1146" t="inlineStr">
        <is>
          <t>T1078:Valid Accounts | T1110:Brute Force</t>
        </is>
      </c>
      <c r="S1146" t="n">
        <v>1</v>
      </c>
      <c r="T1146" t="inlineStr">
        <is>
          <t>LOW (40%)</t>
        </is>
      </c>
      <c r="U1146" t="inlineStr">
        <is>
          <t>UNLIKELY</t>
        </is>
      </c>
      <c r="V1146" t="inlineStr">
        <is>
          <t>PATCH_AVAILABLE</t>
        </is>
      </c>
      <c r="W1146" t="inlineStr">
        <is>
          <t>https://nvd.nist.gov/vuln/detail/CVE-2026-27197</t>
        </is>
      </c>
      <c r="X1146" t="inlineStr">
        <is>
          <t>NONE</t>
        </is>
      </c>
      <c r="Y1146" t="n">
        <v>0</v>
      </c>
      <c r="Z1146" t="inlineStr"/>
      <c r="AA1146" t="inlineStr">
        <is>
          <t>https://nvd.nist.gov/vuln/detail/CVE-2026-27197</t>
        </is>
      </c>
    </row>
    <row r="1147">
      <c r="A1147" t="inlineStr">
        <is>
          <t>CVE</t>
        </is>
      </c>
      <c r="B1147" t="inlineStr">
        <is>
          <t>CVE-2026-27527</t>
        </is>
      </c>
      <c r="C1147" t="inlineStr">
        <is>
          <t>Rejected reason: Not used</t>
        </is>
      </c>
      <c r="D1147" t="n">
        <v>5</v>
      </c>
      <c r="E1147" t="inlineStr">
        <is>
          <t>MEDIUM</t>
        </is>
      </c>
      <c r="F1147" t="n">
        <v>2</v>
      </c>
      <c r="G1147" t="n">
        <v>2</v>
      </c>
      <c r="H1147" t="inlineStr">
        <is>
          <t>MEDIUM</t>
        </is>
      </c>
      <c r="I1147" t="n">
        <v>9</v>
      </c>
      <c r="J1147" t="inlineStr">
        <is>
          <t>NO</t>
        </is>
      </c>
      <c r="K1147" t="inlineStr">
        <is>
          <t>2026-02-23 23:48</t>
        </is>
      </c>
      <c r="L1147" t="inlineStr">
        <is>
          <t>CHECK_VENDOR</t>
        </is>
      </c>
      <c r="M1147" t="inlineStr">
        <is>
          <t>See CVE details</t>
        </is>
      </c>
      <c r="N1147" t="inlineStr">
        <is>
          <t>P4</t>
        </is>
      </c>
      <c r="O1147" t="inlineStr">
        <is>
          <t>CVE - IP enrichment n/a</t>
        </is>
      </c>
      <c r="P1147" t="n">
        <v>0</v>
      </c>
      <c r="Q1147" t="n">
        <v>0</v>
      </c>
      <c r="R1147" t="inlineStr">
        <is>
          <t>T1190:Exploit Public-Facing Application</t>
        </is>
      </c>
      <c r="S1147" t="n">
        <v>1</v>
      </c>
      <c r="T1147" t="inlineStr">
        <is>
          <t>LOW (40%)</t>
        </is>
      </c>
      <c r="U1147" t="inlineStr">
        <is>
          <t>UNLIKELY</t>
        </is>
      </c>
      <c r="V1147" t="inlineStr">
        <is>
          <t>CHECK_VENDOR</t>
        </is>
      </c>
      <c r="W1147" t="inlineStr">
        <is>
          <t>https://nvd.nist.gov/vuln/detail/CVE-2026-27527</t>
        </is>
      </c>
      <c r="X1147" t="inlineStr">
        <is>
          <t>NONE</t>
        </is>
      </c>
      <c r="Y1147" t="n">
        <v>0</v>
      </c>
      <c r="Z1147" t="inlineStr"/>
      <c r="AA1147" t="inlineStr">
        <is>
          <t>https://nvd.nist.gov/vuln/detail/CVE-2026-27527</t>
        </is>
      </c>
    </row>
    <row r="1148">
      <c r="A1148" t="inlineStr">
        <is>
          <t>CVE</t>
        </is>
      </c>
      <c r="B1148" t="inlineStr">
        <is>
          <t>CVE-2026-27528</t>
        </is>
      </c>
      <c r="C1148" t="inlineStr">
        <is>
          <t>Rejected reason: Not used</t>
        </is>
      </c>
      <c r="D1148" t="n">
        <v>5</v>
      </c>
      <c r="E1148" t="inlineStr">
        <is>
          <t>MEDIUM</t>
        </is>
      </c>
      <c r="F1148" t="n">
        <v>2</v>
      </c>
      <c r="G1148" t="n">
        <v>2</v>
      </c>
      <c r="H1148" t="inlineStr">
        <is>
          <t>MEDIUM</t>
        </is>
      </c>
      <c r="I1148" t="n">
        <v>9</v>
      </c>
      <c r="J1148" t="inlineStr">
        <is>
          <t>NO</t>
        </is>
      </c>
      <c r="K1148" t="inlineStr">
        <is>
          <t>2026-02-23 23:48</t>
        </is>
      </c>
      <c r="L1148" t="inlineStr">
        <is>
          <t>CHECK_VENDOR</t>
        </is>
      </c>
      <c r="M1148" t="inlineStr">
        <is>
          <t>See CVE details</t>
        </is>
      </c>
      <c r="N1148" t="inlineStr">
        <is>
          <t>P4</t>
        </is>
      </c>
      <c r="O1148" t="inlineStr">
        <is>
          <t>CVE - IP enrichment n/a</t>
        </is>
      </c>
      <c r="P1148" t="n">
        <v>0</v>
      </c>
      <c r="Q1148" t="n">
        <v>0</v>
      </c>
      <c r="R1148" t="inlineStr">
        <is>
          <t>T1190:Exploit Public-Facing Application</t>
        </is>
      </c>
      <c r="S1148" t="n">
        <v>1</v>
      </c>
      <c r="T1148" t="inlineStr">
        <is>
          <t>LOW (40%)</t>
        </is>
      </c>
      <c r="U1148" t="inlineStr">
        <is>
          <t>UNLIKELY</t>
        </is>
      </c>
      <c r="V1148" t="inlineStr">
        <is>
          <t>CHECK_VENDOR</t>
        </is>
      </c>
      <c r="W1148" t="inlineStr">
        <is>
          <t>https://nvd.nist.gov/vuln/detail/CVE-2026-27528</t>
        </is>
      </c>
      <c r="X1148" t="inlineStr">
        <is>
          <t>NONE</t>
        </is>
      </c>
      <c r="Y1148" t="n">
        <v>0</v>
      </c>
      <c r="Z1148" t="inlineStr"/>
      <c r="AA1148" t="inlineStr">
        <is>
          <t>https://nvd.nist.gov/vuln/detail/CVE-2026-27528</t>
        </is>
      </c>
    </row>
    <row r="1149">
      <c r="A1149" t="inlineStr">
        <is>
          <t>CVE</t>
        </is>
      </c>
      <c r="B1149" t="inlineStr">
        <is>
          <t>CVE-2026-27529</t>
        </is>
      </c>
      <c r="C1149" t="inlineStr">
        <is>
          <t>Rejected reason: Not used</t>
        </is>
      </c>
      <c r="D1149" t="n">
        <v>5</v>
      </c>
      <c r="E1149" t="inlineStr">
        <is>
          <t>MEDIUM</t>
        </is>
      </c>
      <c r="F1149" t="n">
        <v>2</v>
      </c>
      <c r="G1149" t="n">
        <v>2</v>
      </c>
      <c r="H1149" t="inlineStr">
        <is>
          <t>MEDIUM</t>
        </is>
      </c>
      <c r="I1149" t="n">
        <v>9</v>
      </c>
      <c r="J1149" t="inlineStr">
        <is>
          <t>NO</t>
        </is>
      </c>
      <c r="K1149" t="inlineStr">
        <is>
          <t>2026-02-23 23:48</t>
        </is>
      </c>
      <c r="L1149" t="inlineStr">
        <is>
          <t>CHECK_VENDOR</t>
        </is>
      </c>
      <c r="M1149" t="inlineStr">
        <is>
          <t>See CVE details</t>
        </is>
      </c>
      <c r="N1149" t="inlineStr">
        <is>
          <t>P4</t>
        </is>
      </c>
      <c r="O1149" t="inlineStr">
        <is>
          <t>CVE - IP enrichment n/a</t>
        </is>
      </c>
      <c r="P1149" t="n">
        <v>0</v>
      </c>
      <c r="Q1149" t="n">
        <v>0</v>
      </c>
      <c r="R1149" t="inlineStr">
        <is>
          <t>T1190:Exploit Public-Facing Application</t>
        </is>
      </c>
      <c r="S1149" t="n">
        <v>1</v>
      </c>
      <c r="T1149" t="inlineStr">
        <is>
          <t>LOW (40%)</t>
        </is>
      </c>
      <c r="U1149" t="inlineStr">
        <is>
          <t>UNLIKELY</t>
        </is>
      </c>
      <c r="V1149" t="inlineStr">
        <is>
          <t>CHECK_VENDOR</t>
        </is>
      </c>
      <c r="W1149" t="inlineStr">
        <is>
          <t>https://nvd.nist.gov/vuln/detail/CVE-2026-27529</t>
        </is>
      </c>
      <c r="X1149" t="inlineStr">
        <is>
          <t>NONE</t>
        </is>
      </c>
      <c r="Y1149" t="n">
        <v>0</v>
      </c>
      <c r="Z1149" t="inlineStr"/>
      <c r="AA1149" t="inlineStr">
        <is>
          <t>https://nvd.nist.gov/vuln/detail/CVE-2026-27529</t>
        </is>
      </c>
    </row>
    <row r="1150">
      <c r="A1150" t="inlineStr">
        <is>
          <t>CVE</t>
        </is>
      </c>
      <c r="B1150" t="inlineStr">
        <is>
          <t>CVE-2026-27530</t>
        </is>
      </c>
      <c r="C1150" t="inlineStr">
        <is>
          <t>Rejected reason: Not used</t>
        </is>
      </c>
      <c r="D1150" t="n">
        <v>5</v>
      </c>
      <c r="E1150" t="inlineStr">
        <is>
          <t>MEDIUM</t>
        </is>
      </c>
      <c r="F1150" t="n">
        <v>2</v>
      </c>
      <c r="G1150" t="n">
        <v>2</v>
      </c>
      <c r="H1150" t="inlineStr">
        <is>
          <t>MEDIUM</t>
        </is>
      </c>
      <c r="I1150" t="n">
        <v>9</v>
      </c>
      <c r="J1150" t="inlineStr">
        <is>
          <t>NO</t>
        </is>
      </c>
      <c r="K1150" t="inlineStr">
        <is>
          <t>2026-02-23 23:48</t>
        </is>
      </c>
      <c r="L1150" t="inlineStr">
        <is>
          <t>CHECK_VENDOR</t>
        </is>
      </c>
      <c r="M1150" t="inlineStr">
        <is>
          <t>See CVE details</t>
        </is>
      </c>
      <c r="N1150" t="inlineStr">
        <is>
          <t>P4</t>
        </is>
      </c>
      <c r="O1150" t="inlineStr">
        <is>
          <t>CVE - IP enrichment n/a</t>
        </is>
      </c>
      <c r="P1150" t="n">
        <v>0</v>
      </c>
      <c r="Q1150" t="n">
        <v>0</v>
      </c>
      <c r="R1150" t="inlineStr">
        <is>
          <t>T1190:Exploit Public-Facing Application</t>
        </is>
      </c>
      <c r="S1150" t="n">
        <v>1</v>
      </c>
      <c r="T1150" t="inlineStr">
        <is>
          <t>LOW (40%)</t>
        </is>
      </c>
      <c r="U1150" t="inlineStr">
        <is>
          <t>UNLIKELY</t>
        </is>
      </c>
      <c r="V1150" t="inlineStr">
        <is>
          <t>CHECK_VENDOR</t>
        </is>
      </c>
      <c r="W1150" t="inlineStr">
        <is>
          <t>https://nvd.nist.gov/vuln/detail/CVE-2026-27530</t>
        </is>
      </c>
      <c r="X1150" t="inlineStr">
        <is>
          <t>NONE</t>
        </is>
      </c>
      <c r="Y1150" t="n">
        <v>0</v>
      </c>
      <c r="Z1150" t="inlineStr"/>
      <c r="AA1150" t="inlineStr">
        <is>
          <t>https://nvd.nist.gov/vuln/detail/CVE-2026-27530</t>
        </is>
      </c>
    </row>
    <row r="1151">
      <c r="A1151" t="inlineStr">
        <is>
          <t>CVE</t>
        </is>
      </c>
      <c r="B1151" t="inlineStr">
        <is>
          <t>CVE-2026-27531</t>
        </is>
      </c>
      <c r="C1151" t="inlineStr">
        <is>
          <t>Rejected reason: Not used</t>
        </is>
      </c>
      <c r="D1151" t="n">
        <v>5</v>
      </c>
      <c r="E1151" t="inlineStr">
        <is>
          <t>MEDIUM</t>
        </is>
      </c>
      <c r="F1151" t="n">
        <v>2</v>
      </c>
      <c r="G1151" t="n">
        <v>2</v>
      </c>
      <c r="H1151" t="inlineStr">
        <is>
          <t>MEDIUM</t>
        </is>
      </c>
      <c r="I1151" t="n">
        <v>9</v>
      </c>
      <c r="J1151" t="inlineStr">
        <is>
          <t>NO</t>
        </is>
      </c>
      <c r="K1151" t="inlineStr">
        <is>
          <t>2026-02-23 23:48</t>
        </is>
      </c>
      <c r="L1151" t="inlineStr">
        <is>
          <t>CHECK_VENDOR</t>
        </is>
      </c>
      <c r="M1151" t="inlineStr">
        <is>
          <t>See CVE details</t>
        </is>
      </c>
      <c r="N1151" t="inlineStr">
        <is>
          <t>P4</t>
        </is>
      </c>
      <c r="O1151" t="inlineStr">
        <is>
          <t>CVE - IP enrichment n/a</t>
        </is>
      </c>
      <c r="P1151" t="n">
        <v>0</v>
      </c>
      <c r="Q1151" t="n">
        <v>0</v>
      </c>
      <c r="R1151" t="inlineStr">
        <is>
          <t>T1190:Exploit Public-Facing Application</t>
        </is>
      </c>
      <c r="S1151" t="n">
        <v>1</v>
      </c>
      <c r="T1151" t="inlineStr">
        <is>
          <t>LOW (40%)</t>
        </is>
      </c>
      <c r="U1151" t="inlineStr">
        <is>
          <t>UNLIKELY</t>
        </is>
      </c>
      <c r="V1151" t="inlineStr">
        <is>
          <t>CHECK_VENDOR</t>
        </is>
      </c>
      <c r="W1151" t="inlineStr">
        <is>
          <t>https://nvd.nist.gov/vuln/detail/CVE-2026-27531</t>
        </is>
      </c>
      <c r="X1151" t="inlineStr">
        <is>
          <t>NONE</t>
        </is>
      </c>
      <c r="Y1151" t="n">
        <v>0</v>
      </c>
      <c r="Z1151" t="inlineStr"/>
      <c r="AA1151" t="inlineStr">
        <is>
          <t>https://nvd.nist.gov/vuln/detail/CVE-2026-27531</t>
        </is>
      </c>
    </row>
    <row r="1152">
      <c r="A1152" t="inlineStr">
        <is>
          <t>CVE</t>
        </is>
      </c>
      <c r="B1152" t="inlineStr">
        <is>
          <t>CVE-2026-27532</t>
        </is>
      </c>
      <c r="C1152" t="inlineStr">
        <is>
          <t>Rejected reason: Not used</t>
        </is>
      </c>
      <c r="D1152" t="n">
        <v>5</v>
      </c>
      <c r="E1152" t="inlineStr">
        <is>
          <t>MEDIUM</t>
        </is>
      </c>
      <c r="F1152" t="n">
        <v>2</v>
      </c>
      <c r="G1152" t="n">
        <v>2</v>
      </c>
      <c r="H1152" t="inlineStr">
        <is>
          <t>MEDIUM</t>
        </is>
      </c>
      <c r="I1152" t="n">
        <v>9</v>
      </c>
      <c r="J1152" t="inlineStr">
        <is>
          <t>NO</t>
        </is>
      </c>
      <c r="K1152" t="inlineStr">
        <is>
          <t>2026-02-23 23:48</t>
        </is>
      </c>
      <c r="L1152" t="inlineStr">
        <is>
          <t>CHECK_VENDOR</t>
        </is>
      </c>
      <c r="M1152" t="inlineStr">
        <is>
          <t>See CVE details</t>
        </is>
      </c>
      <c r="N1152" t="inlineStr">
        <is>
          <t>P4</t>
        </is>
      </c>
      <c r="O1152" t="inlineStr">
        <is>
          <t>CVE - IP enrichment n/a</t>
        </is>
      </c>
      <c r="P1152" t="n">
        <v>0</v>
      </c>
      <c r="Q1152" t="n">
        <v>0</v>
      </c>
      <c r="R1152" t="inlineStr">
        <is>
          <t>T1190:Exploit Public-Facing Application</t>
        </is>
      </c>
      <c r="S1152" t="n">
        <v>1</v>
      </c>
      <c r="T1152" t="inlineStr">
        <is>
          <t>LOW (40%)</t>
        </is>
      </c>
      <c r="U1152" t="inlineStr">
        <is>
          <t>UNLIKELY</t>
        </is>
      </c>
      <c r="V1152" t="inlineStr">
        <is>
          <t>CHECK_VENDOR</t>
        </is>
      </c>
      <c r="W1152" t="inlineStr">
        <is>
          <t>https://nvd.nist.gov/vuln/detail/CVE-2026-27532</t>
        </is>
      </c>
      <c r="X1152" t="inlineStr">
        <is>
          <t>NONE</t>
        </is>
      </c>
      <c r="Y1152" t="n">
        <v>0</v>
      </c>
      <c r="Z1152" t="inlineStr"/>
      <c r="AA1152" t="inlineStr">
        <is>
          <t>https://nvd.nist.gov/vuln/detail/CVE-2026-27532</t>
        </is>
      </c>
    </row>
    <row r="1153">
      <c r="A1153" t="inlineStr">
        <is>
          <t>CVE</t>
        </is>
      </c>
      <c r="B1153" t="inlineStr">
        <is>
          <t>CVE-2026-27533</t>
        </is>
      </c>
      <c r="C1153" t="inlineStr">
        <is>
          <t>Rejected reason: Not used</t>
        </is>
      </c>
      <c r="D1153" t="n">
        <v>5</v>
      </c>
      <c r="E1153" t="inlineStr">
        <is>
          <t>MEDIUM</t>
        </is>
      </c>
      <c r="F1153" t="n">
        <v>2</v>
      </c>
      <c r="G1153" t="n">
        <v>2</v>
      </c>
      <c r="H1153" t="inlineStr">
        <is>
          <t>MEDIUM</t>
        </is>
      </c>
      <c r="I1153" t="n">
        <v>9</v>
      </c>
      <c r="J1153" t="inlineStr">
        <is>
          <t>NO</t>
        </is>
      </c>
      <c r="K1153" t="inlineStr">
        <is>
          <t>2026-02-23 23:48</t>
        </is>
      </c>
      <c r="L1153" t="inlineStr">
        <is>
          <t>CHECK_VENDOR</t>
        </is>
      </c>
      <c r="M1153" t="inlineStr">
        <is>
          <t>See CVE details</t>
        </is>
      </c>
      <c r="N1153" t="inlineStr">
        <is>
          <t>P4</t>
        </is>
      </c>
      <c r="O1153" t="inlineStr">
        <is>
          <t>CVE - IP enrichment n/a</t>
        </is>
      </c>
      <c r="P1153" t="n">
        <v>0</v>
      </c>
      <c r="Q1153" t="n">
        <v>0</v>
      </c>
      <c r="R1153" t="inlineStr">
        <is>
          <t>T1190:Exploit Public-Facing Application</t>
        </is>
      </c>
      <c r="S1153" t="n">
        <v>1</v>
      </c>
      <c r="T1153" t="inlineStr">
        <is>
          <t>LOW (40%)</t>
        </is>
      </c>
      <c r="U1153" t="inlineStr">
        <is>
          <t>UNLIKELY</t>
        </is>
      </c>
      <c r="V1153" t="inlineStr">
        <is>
          <t>CHECK_VENDOR</t>
        </is>
      </c>
      <c r="W1153" t="inlineStr">
        <is>
          <t>https://nvd.nist.gov/vuln/detail/CVE-2026-27533</t>
        </is>
      </c>
      <c r="X1153" t="inlineStr">
        <is>
          <t>NONE</t>
        </is>
      </c>
      <c r="Y1153" t="n">
        <v>0</v>
      </c>
      <c r="Z1153" t="inlineStr"/>
      <c r="AA1153" t="inlineStr">
        <is>
          <t>https://nvd.nist.gov/vuln/detail/CVE-2026-27533</t>
        </is>
      </c>
    </row>
    <row r="1154">
      <c r="A1154" t="inlineStr">
        <is>
          <t>CVE</t>
        </is>
      </c>
      <c r="B1154" t="inlineStr">
        <is>
          <t>CVE-2026-27534</t>
        </is>
      </c>
      <c r="C1154" t="inlineStr">
        <is>
          <t>Rejected reason: Not used</t>
        </is>
      </c>
      <c r="D1154" t="n">
        <v>5</v>
      </c>
      <c r="E1154" t="inlineStr">
        <is>
          <t>MEDIUM</t>
        </is>
      </c>
      <c r="F1154" t="n">
        <v>2</v>
      </c>
      <c r="G1154" t="n">
        <v>2</v>
      </c>
      <c r="H1154" t="inlineStr">
        <is>
          <t>MEDIUM</t>
        </is>
      </c>
      <c r="I1154" t="n">
        <v>9</v>
      </c>
      <c r="J1154" t="inlineStr">
        <is>
          <t>NO</t>
        </is>
      </c>
      <c r="K1154" t="inlineStr">
        <is>
          <t>2026-02-23 23:48</t>
        </is>
      </c>
      <c r="L1154" t="inlineStr">
        <is>
          <t>CHECK_VENDOR</t>
        </is>
      </c>
      <c r="M1154" t="inlineStr">
        <is>
          <t>See CVE details</t>
        </is>
      </c>
      <c r="N1154" t="inlineStr">
        <is>
          <t>P4</t>
        </is>
      </c>
      <c r="O1154" t="inlineStr">
        <is>
          <t>CVE - IP enrichment n/a</t>
        </is>
      </c>
      <c r="P1154" t="n">
        <v>0</v>
      </c>
      <c r="Q1154" t="n">
        <v>0</v>
      </c>
      <c r="R1154" t="inlineStr">
        <is>
          <t>T1190:Exploit Public-Facing Application</t>
        </is>
      </c>
      <c r="S1154" t="n">
        <v>1</v>
      </c>
      <c r="T1154" t="inlineStr">
        <is>
          <t>LOW (40%)</t>
        </is>
      </c>
      <c r="U1154" t="inlineStr">
        <is>
          <t>UNLIKELY</t>
        </is>
      </c>
      <c r="V1154" t="inlineStr">
        <is>
          <t>CHECK_VENDOR</t>
        </is>
      </c>
      <c r="W1154" t="inlineStr">
        <is>
          <t>https://nvd.nist.gov/vuln/detail/CVE-2026-27534</t>
        </is>
      </c>
      <c r="X1154" t="inlineStr">
        <is>
          <t>NONE</t>
        </is>
      </c>
      <c r="Y1154" t="n">
        <v>0</v>
      </c>
      <c r="Z1154" t="inlineStr"/>
      <c r="AA1154" t="inlineStr">
        <is>
          <t>https://nvd.nist.gov/vuln/detail/CVE-2026-27534</t>
        </is>
      </c>
    </row>
    <row r="1155">
      <c r="A1155" t="inlineStr">
        <is>
          <t>CVE</t>
        </is>
      </c>
      <c r="B1155" t="inlineStr">
        <is>
          <t>CVE-2026-2860</t>
        </is>
      </c>
      <c r="C1155" t="inlineStr">
        <is>
          <t xml:space="preserve">A security vulnerability has been detected in feng_ha_ha/megagao ssm-erp and production_ssm up to 4288d53bd35757b27f2d070057aefb2c07bdd097. Impacted is an unknown function of the file EmployeeController.java. The manipulation leads to improper authorization. It is possible to initiate the attack remotely. The exploit has been disclosed publicly and may be used. This product is using a rolling release to provide continious delivery. Therefore, no version details for affected nor updated releases </t>
        </is>
      </c>
      <c r="D1155" t="n">
        <v>6.3</v>
      </c>
      <c r="E1155" t="inlineStr">
        <is>
          <t>MEDIUM</t>
        </is>
      </c>
      <c r="F1155" t="n">
        <v>2</v>
      </c>
      <c r="G1155" t="n">
        <v>2</v>
      </c>
      <c r="H1155" t="inlineStr">
        <is>
          <t>MEDIUM</t>
        </is>
      </c>
      <c r="I1155" t="n">
        <v>10.3</v>
      </c>
      <c r="J1155" t="inlineStr">
        <is>
          <t>NO</t>
        </is>
      </c>
      <c r="K1155" t="inlineStr">
        <is>
          <t>2026-02-23 23:48</t>
        </is>
      </c>
      <c r="L1155" t="inlineStr">
        <is>
          <t>CHECK_VENDOR</t>
        </is>
      </c>
      <c r="M1155" t="inlineStr">
        <is>
          <t>See CVE details</t>
        </is>
      </c>
      <c r="N1155" t="inlineStr">
        <is>
          <t>P4</t>
        </is>
      </c>
      <c r="O1155" t="inlineStr">
        <is>
          <t>CVE - IP enrichment n/a</t>
        </is>
      </c>
      <c r="P1155" t="n">
        <v>0</v>
      </c>
      <c r="Q1155" t="n">
        <v>0</v>
      </c>
      <c r="R1155" t="inlineStr">
        <is>
          <t>T1190:Exploit Public-Facing Application</t>
        </is>
      </c>
      <c r="S1155" t="n">
        <v>1</v>
      </c>
      <c r="T1155" t="inlineStr">
        <is>
          <t>LOW (40%)</t>
        </is>
      </c>
      <c r="U1155" t="inlineStr">
        <is>
          <t>UNLIKELY</t>
        </is>
      </c>
      <c r="V1155" t="inlineStr">
        <is>
          <t>CHECK_VENDOR</t>
        </is>
      </c>
      <c r="W1155" t="inlineStr">
        <is>
          <t>https://nvd.nist.gov/vuln/detail/CVE-2026-2860</t>
        </is>
      </c>
      <c r="X1155" t="inlineStr">
        <is>
          <t>NONE</t>
        </is>
      </c>
      <c r="Y1155" t="n">
        <v>0</v>
      </c>
      <c r="Z1155" t="inlineStr"/>
      <c r="AA1155" t="inlineStr">
        <is>
          <t>https://nvd.nist.gov/vuln/detail/CVE-2026-2860</t>
        </is>
      </c>
    </row>
    <row r="1156">
      <c r="A1156" t="inlineStr">
        <is>
          <t>CVE</t>
        </is>
      </c>
      <c r="B1156" t="inlineStr">
        <is>
          <t>CVE-2026-26045</t>
        </is>
      </c>
      <c r="C1156" t="inlineStr">
        <is>
          <t>A flaw was identified in Moodle’s backup restore functionality where specially crafted backup files were not properly validated during processing. If a malicious backup file is restored, it could lead to unintended execution of server-side code. Since restore capabilities are typically available to privileged users, exploitation requires authenticated access. Successful exploitation could result in full compromise of the Moodle server.</t>
        </is>
      </c>
      <c r="D1156" t="n">
        <v>7.2</v>
      </c>
      <c r="E1156" t="inlineStr">
        <is>
          <t>HIGH</t>
        </is>
      </c>
      <c r="F1156" t="n">
        <v>2</v>
      </c>
      <c r="G1156" t="n">
        <v>3</v>
      </c>
      <c r="H1156" t="inlineStr">
        <is>
          <t>HIGH</t>
        </is>
      </c>
      <c r="I1156" t="n">
        <v>13.2</v>
      </c>
      <c r="J1156" t="inlineStr">
        <is>
          <t>NO</t>
        </is>
      </c>
      <c r="K1156" t="inlineStr">
        <is>
          <t>2026-02-23 23:48</t>
        </is>
      </c>
      <c r="L1156" t="inlineStr">
        <is>
          <t>CHECK_VENDOR</t>
        </is>
      </c>
      <c r="M1156" t="inlineStr">
        <is>
          <t>See CVE details</t>
        </is>
      </c>
      <c r="N1156" t="inlineStr">
        <is>
          <t>P3</t>
        </is>
      </c>
      <c r="O1156" t="inlineStr">
        <is>
          <t>CVE - IP enrichment n/a</t>
        </is>
      </c>
      <c r="P1156" t="n">
        <v>0</v>
      </c>
      <c r="Q1156" t="n">
        <v>0</v>
      </c>
      <c r="R1156" t="inlineStr">
        <is>
          <t>T1059:Command and Scripting Interpreter</t>
        </is>
      </c>
      <c r="S1156" t="n">
        <v>1</v>
      </c>
      <c r="T1156" t="inlineStr">
        <is>
          <t>LOW (40%)</t>
        </is>
      </c>
      <c r="U1156" t="inlineStr">
        <is>
          <t>UNLIKELY</t>
        </is>
      </c>
      <c r="V1156" t="inlineStr">
        <is>
          <t>CHECK_VENDOR</t>
        </is>
      </c>
      <c r="W1156" t="inlineStr">
        <is>
          <t>https://nvd.nist.gov/vuln/detail/CVE-2026-26045</t>
        </is>
      </c>
      <c r="X1156" t="inlineStr">
        <is>
          <t>NONE</t>
        </is>
      </c>
      <c r="Y1156" t="n">
        <v>0</v>
      </c>
      <c r="Z1156" t="inlineStr"/>
      <c r="AA1156" t="inlineStr">
        <is>
          <t>https://nvd.nist.gov/vuln/detail/CVE-2026-26045</t>
        </is>
      </c>
    </row>
    <row r="1157">
      <c r="A1157" t="inlineStr">
        <is>
          <t>CVE</t>
        </is>
      </c>
      <c r="B1157" t="inlineStr">
        <is>
          <t>CVE-2026-26046</t>
        </is>
      </c>
      <c r="C1157" t="inlineStr">
        <is>
          <t>A vulnerability was found in a Moodle TeX filter administrative setting where insufficient sanitization of configuration input could allow command injection. On sites where the TeX filter is enabled and ImageMagick is installed, a maliciously crafted setting value entered by an administrator could result in unintended system command execution. While exploitation requires administrative privileges, successful compromise could affect the entire Moodle server.</t>
        </is>
      </c>
      <c r="D1157" t="n">
        <v>7.2</v>
      </c>
      <c r="E1157" t="inlineStr">
        <is>
          <t>HIGH</t>
        </is>
      </c>
      <c r="F1157" t="n">
        <v>2</v>
      </c>
      <c r="G1157" t="n">
        <v>3</v>
      </c>
      <c r="H1157" t="inlineStr">
        <is>
          <t>HIGH</t>
        </is>
      </c>
      <c r="I1157" t="n">
        <v>13.2</v>
      </c>
      <c r="J1157" t="inlineStr">
        <is>
          <t>NO</t>
        </is>
      </c>
      <c r="K1157" t="inlineStr">
        <is>
          <t>2026-02-23 23:48</t>
        </is>
      </c>
      <c r="L1157" t="inlineStr">
        <is>
          <t>CHECK_VENDOR</t>
        </is>
      </c>
      <c r="M1157" t="inlineStr">
        <is>
          <t>See CVE details</t>
        </is>
      </c>
      <c r="N1157" t="inlineStr">
        <is>
          <t>P3</t>
        </is>
      </c>
      <c r="O1157" t="inlineStr">
        <is>
          <t>CVE - IP enrichment n/a</t>
        </is>
      </c>
      <c r="P1157" t="n">
        <v>0</v>
      </c>
      <c r="Q1157" t="n">
        <v>0</v>
      </c>
      <c r="R1157" t="inlineStr">
        <is>
          <t>T1059:Command and Scripting Interpreter</t>
        </is>
      </c>
      <c r="S1157" t="n">
        <v>1</v>
      </c>
      <c r="T1157" t="inlineStr">
        <is>
          <t>LOW (40%)</t>
        </is>
      </c>
      <c r="U1157" t="inlineStr">
        <is>
          <t>UNLIKELY</t>
        </is>
      </c>
      <c r="V1157" t="inlineStr">
        <is>
          <t>CHECK_VENDOR</t>
        </is>
      </c>
      <c r="W1157" t="inlineStr">
        <is>
          <t>https://nvd.nist.gov/vuln/detail/CVE-2026-26046</t>
        </is>
      </c>
      <c r="X1157" t="inlineStr">
        <is>
          <t>NONE</t>
        </is>
      </c>
      <c r="Y1157" t="n">
        <v>0</v>
      </c>
      <c r="Z1157" t="inlineStr"/>
      <c r="AA1157" t="inlineStr">
        <is>
          <t>https://nvd.nist.gov/vuln/detail/CVE-2026-26046</t>
        </is>
      </c>
    </row>
    <row r="1158">
      <c r="A1158" t="inlineStr">
        <is>
          <t>CVE</t>
        </is>
      </c>
      <c r="B1158" t="inlineStr">
        <is>
          <t>CVE-2026-26047</t>
        </is>
      </c>
      <c r="C1158" t="inlineStr">
        <is>
          <t>A denial-of-service vulnerability was identified in Moodle’s TeX formula editor. When rendering TeX content using mimetex, insufficient execution time limits could allow specially crafted formulas to consume excessive server resources. An authenticated user could abuse this behavior to degrade performance or cause service interruption.</t>
        </is>
      </c>
      <c r="D1158" t="n">
        <v>6.5</v>
      </c>
      <c r="E1158" t="inlineStr">
        <is>
          <t>MEDIUM</t>
        </is>
      </c>
      <c r="F1158" t="n">
        <v>2</v>
      </c>
      <c r="G1158" t="n">
        <v>2</v>
      </c>
      <c r="H1158" t="inlineStr">
        <is>
          <t>MEDIUM</t>
        </is>
      </c>
      <c r="I1158" t="n">
        <v>10.5</v>
      </c>
      <c r="J1158" t="inlineStr">
        <is>
          <t>NO</t>
        </is>
      </c>
      <c r="K1158" t="inlineStr">
        <is>
          <t>2026-02-23 23:48</t>
        </is>
      </c>
      <c r="L1158" t="inlineStr">
        <is>
          <t>CHECK_VENDOR</t>
        </is>
      </c>
      <c r="M1158" t="inlineStr">
        <is>
          <t>See CVE details</t>
        </is>
      </c>
      <c r="N1158" t="inlineStr">
        <is>
          <t>P4</t>
        </is>
      </c>
      <c r="O1158" t="inlineStr">
        <is>
          <t>CVE - IP enrichment n/a</t>
        </is>
      </c>
      <c r="P1158" t="n">
        <v>0</v>
      </c>
      <c r="Q1158" t="n">
        <v>0</v>
      </c>
      <c r="R1158" t="inlineStr">
        <is>
          <t>T1190:Exploit Public-Facing Application</t>
        </is>
      </c>
      <c r="S1158" t="n">
        <v>1</v>
      </c>
      <c r="T1158" t="inlineStr">
        <is>
          <t>LOW (40%)</t>
        </is>
      </c>
      <c r="U1158" t="inlineStr">
        <is>
          <t>UNLIKELY</t>
        </is>
      </c>
      <c r="V1158" t="inlineStr">
        <is>
          <t>CHECK_VENDOR</t>
        </is>
      </c>
      <c r="W1158" t="inlineStr">
        <is>
          <t>https://nvd.nist.gov/vuln/detail/CVE-2026-26047</t>
        </is>
      </c>
      <c r="X1158" t="inlineStr">
        <is>
          <t>NONE</t>
        </is>
      </c>
      <c r="Y1158" t="n">
        <v>0</v>
      </c>
      <c r="Z1158" t="inlineStr"/>
      <c r="AA1158" t="inlineStr">
        <is>
          <t>https://nvd.nist.gov/vuln/detail/CVE-2026-26047</t>
        </is>
      </c>
    </row>
    <row r="1159">
      <c r="A1159" t="inlineStr">
        <is>
          <t>CVE</t>
        </is>
      </c>
      <c r="B1159" t="inlineStr">
        <is>
          <t>CVE-2026-27198</t>
        </is>
      </c>
      <c r="C1159" t="inlineStr">
        <is>
          <t>Formwork is a flat file-based Content Management System (CMS). In versions 2.0.0 through 2.3.3, the application fails to properly enforce role-based authorization during account creation. Although the system validates that the specified role exists, it does not verify whether the current user has sufficient privileges to assign highly privileged roles such as admin. As a result, an authenticated user with the editor role can create a new account with administrative privileges, leading to full ad</t>
        </is>
      </c>
      <c r="D1159" t="n">
        <v>8.800000000000001</v>
      </c>
      <c r="E1159" t="inlineStr">
        <is>
          <t>HIGH</t>
        </is>
      </c>
      <c r="F1159" t="n">
        <v>2</v>
      </c>
      <c r="G1159" t="n">
        <v>3</v>
      </c>
      <c r="H1159" t="inlineStr">
        <is>
          <t>HIGH</t>
        </is>
      </c>
      <c r="I1159" t="n">
        <v>14.8</v>
      </c>
      <c r="J1159" t="inlineStr">
        <is>
          <t>NO</t>
        </is>
      </c>
      <c r="K1159" t="inlineStr">
        <is>
          <t>2026-02-23 23:48</t>
        </is>
      </c>
      <c r="L1159" t="inlineStr">
        <is>
          <t>CHECK_VENDOR</t>
        </is>
      </c>
      <c r="M1159" t="inlineStr">
        <is>
          <t>See CVE details</t>
        </is>
      </c>
      <c r="N1159" t="inlineStr">
        <is>
          <t>P3</t>
        </is>
      </c>
      <c r="O1159" t="inlineStr">
        <is>
          <t>CVE - IP enrichment n/a</t>
        </is>
      </c>
      <c r="P1159" t="n">
        <v>0.0004</v>
      </c>
      <c r="Q1159" t="n">
        <v>0.1097</v>
      </c>
      <c r="R1159" t="inlineStr">
        <is>
          <t>T1190:Exploit Public-Facing Application</t>
        </is>
      </c>
      <c r="S1159" t="n">
        <v>1</v>
      </c>
      <c r="T1159" t="inlineStr">
        <is>
          <t>LOW (40%)</t>
        </is>
      </c>
      <c r="U1159" t="inlineStr">
        <is>
          <t>UNLIKELY</t>
        </is>
      </c>
      <c r="V1159" t="inlineStr">
        <is>
          <t>CHECK_VENDOR</t>
        </is>
      </c>
      <c r="W1159" t="inlineStr">
        <is>
          <t>https://nvd.nist.gov/vuln/detail/CVE-2026-27198</t>
        </is>
      </c>
      <c r="X1159" t="inlineStr">
        <is>
          <t>NONE</t>
        </is>
      </c>
      <c r="Y1159" t="n">
        <v>0</v>
      </c>
      <c r="Z1159" t="inlineStr"/>
      <c r="AA1159" t="inlineStr">
        <is>
          <t>https://nvd.nist.gov/vuln/detail/CVE-2026-27198</t>
        </is>
      </c>
    </row>
    <row r="1160">
      <c r="A1160" t="inlineStr">
        <is>
          <t>CVE</t>
        </is>
      </c>
      <c r="B1160" t="inlineStr">
        <is>
          <t>CVE-2026-27199</t>
        </is>
      </c>
      <c r="C1160" t="inlineStr">
        <is>
          <t>Werkzeug is a comprehensive WSGI web application library. Versions 3.1.5 and below, the safe_join function allows Windows device names as filenames if preceded by other path segments. This was previously reported as GHSA-hgf8-39gv-g3f2, but the added filtering failed to account for the fact that safe_join accepts paths with multiple segments, such as example/NUL. The function send_from_directory uses safe_join to safely serve files at user-specified paths under a directory. If the application is</t>
        </is>
      </c>
      <c r="D1160" t="n">
        <v>5</v>
      </c>
      <c r="E1160" t="inlineStr">
        <is>
          <t>MEDIUM</t>
        </is>
      </c>
      <c r="F1160" t="n">
        <v>2</v>
      </c>
      <c r="G1160" t="n">
        <v>2</v>
      </c>
      <c r="H1160" t="inlineStr">
        <is>
          <t>MEDIUM</t>
        </is>
      </c>
      <c r="I1160" t="n">
        <v>9</v>
      </c>
      <c r="J1160" t="inlineStr">
        <is>
          <t>NO</t>
        </is>
      </c>
      <c r="K1160" t="inlineStr">
        <is>
          <t>2026-02-23 23:48</t>
        </is>
      </c>
      <c r="L1160" t="inlineStr">
        <is>
          <t>CHECK_VENDOR</t>
        </is>
      </c>
      <c r="M1160" t="inlineStr">
        <is>
          <t>See CVE details</t>
        </is>
      </c>
      <c r="N1160" t="inlineStr">
        <is>
          <t>P4</t>
        </is>
      </c>
      <c r="O1160" t="inlineStr">
        <is>
          <t>CVE - IP enrichment n/a</t>
        </is>
      </c>
      <c r="P1160" t="n">
        <v>0.0005999999999999999</v>
      </c>
      <c r="Q1160" t="n">
        <v>0.1852</v>
      </c>
      <c r="R1160" t="inlineStr">
        <is>
          <t>T1190:Exploit Public-Facing Application</t>
        </is>
      </c>
      <c r="S1160" t="n">
        <v>1</v>
      </c>
      <c r="T1160" t="inlineStr">
        <is>
          <t>LOW (40%)</t>
        </is>
      </c>
      <c r="U1160" t="inlineStr">
        <is>
          <t>UNLIKELY</t>
        </is>
      </c>
      <c r="V1160" t="inlineStr">
        <is>
          <t>CHECK_VENDOR</t>
        </is>
      </c>
      <c r="W1160" t="inlineStr">
        <is>
          <t>https://nvd.nist.gov/vuln/detail/CVE-2026-27199</t>
        </is>
      </c>
      <c r="X1160" t="inlineStr">
        <is>
          <t>NONE</t>
        </is>
      </c>
      <c r="Y1160" t="n">
        <v>0</v>
      </c>
      <c r="Z1160" t="inlineStr"/>
      <c r="AA1160" t="inlineStr">
        <is>
          <t>https://nvd.nist.gov/vuln/detail/CVE-2026-27199</t>
        </is>
      </c>
    </row>
    <row r="1161">
      <c r="A1161" t="inlineStr">
        <is>
          <t>CVE</t>
        </is>
      </c>
      <c r="B1161" t="inlineStr">
        <is>
          <t>CVE-2026-27205</t>
        </is>
      </c>
      <c r="C1161" t="inlineStr">
        <is>
          <t>Flask is a web server gateway interface (WSGI) web application framework. In versions 3.1.2 and below, when the session object is accessed, Flask should set the Vary: Cookie header., resulting in a Use of Cache Containing Sensitive Information vulnerability. The logic instructs caches not to cache the response, as it may contain information specific to a logged in user. This is handled in most cases, but some forms of access such as the Python in operator were overlooked. The severity and risk d</t>
        </is>
      </c>
      <c r="D1161" t="n">
        <v>5</v>
      </c>
      <c r="E1161" t="inlineStr">
        <is>
          <t>MEDIUM</t>
        </is>
      </c>
      <c r="F1161" t="n">
        <v>2</v>
      </c>
      <c r="G1161" t="n">
        <v>2</v>
      </c>
      <c r="H1161" t="inlineStr">
        <is>
          <t>MEDIUM</t>
        </is>
      </c>
      <c r="I1161" t="n">
        <v>9</v>
      </c>
      <c r="J1161" t="inlineStr">
        <is>
          <t>NO</t>
        </is>
      </c>
      <c r="K1161" t="inlineStr">
        <is>
          <t>2026-02-23 23:48</t>
        </is>
      </c>
      <c r="L1161" t="inlineStr">
        <is>
          <t>CHECK_VENDOR</t>
        </is>
      </c>
      <c r="M1161" t="inlineStr">
        <is>
          <t>See CVE details</t>
        </is>
      </c>
      <c r="N1161" t="inlineStr">
        <is>
          <t>P4</t>
        </is>
      </c>
      <c r="O1161" t="inlineStr">
        <is>
          <t>CVE - IP enrichment n/a</t>
        </is>
      </c>
      <c r="P1161" t="n">
        <v>0</v>
      </c>
      <c r="Q1161" t="n">
        <v>0</v>
      </c>
      <c r="R1161" t="inlineStr">
        <is>
          <t>T1190:Exploit Public-Facing Application</t>
        </is>
      </c>
      <c r="S1161" t="n">
        <v>1</v>
      </c>
      <c r="T1161" t="inlineStr">
        <is>
          <t>LOW (40%)</t>
        </is>
      </c>
      <c r="U1161" t="inlineStr">
        <is>
          <t>UNLIKELY</t>
        </is>
      </c>
      <c r="V1161" t="inlineStr">
        <is>
          <t>CHECK_VENDOR</t>
        </is>
      </c>
      <c r="W1161" t="inlineStr">
        <is>
          <t>https://nvd.nist.gov/vuln/detail/CVE-2026-27205</t>
        </is>
      </c>
      <c r="X1161" t="inlineStr">
        <is>
          <t>NONE</t>
        </is>
      </c>
      <c r="Y1161" t="n">
        <v>0</v>
      </c>
      <c r="Z1161" t="inlineStr"/>
      <c r="AA1161" t="inlineStr">
        <is>
          <t>https://nvd.nist.gov/vuln/detail/CVE-2026-27205</t>
        </is>
      </c>
    </row>
    <row r="1162">
      <c r="A1162" t="inlineStr">
        <is>
          <t>CVE</t>
        </is>
      </c>
      <c r="B1162" t="inlineStr">
        <is>
          <t>CVE-2026-27210</t>
        </is>
      </c>
      <c r="C1162" t="inlineStr">
        <is>
          <t>Pannellum is a lightweight, free, and open source panorama viewer for the web. In versions 3.5.0 through 2.5.6, the hot spot attributes configuration property allowed any attribute to be set, including HTML event handler attributes, allowing for potential XSS attacks. This affects websites hosting the standalone viewer HTML file and any other use of untrusted JSON config files (bypassing the protections of the escapeHTML parameter). As certain events fire without any additional user interaction,</t>
        </is>
      </c>
      <c r="D1162" t="n">
        <v>8.5</v>
      </c>
      <c r="E1162" t="inlineStr">
        <is>
          <t>HIGH</t>
        </is>
      </c>
      <c r="F1162" t="n">
        <v>2</v>
      </c>
      <c r="G1162" t="n">
        <v>3</v>
      </c>
      <c r="H1162" t="inlineStr">
        <is>
          <t>HIGH</t>
        </is>
      </c>
      <c r="I1162" t="n">
        <v>14.5</v>
      </c>
      <c r="J1162" t="inlineStr">
        <is>
          <t>NO</t>
        </is>
      </c>
      <c r="K1162" t="inlineStr">
        <is>
          <t>2026-02-23 23:48</t>
        </is>
      </c>
      <c r="L1162" t="inlineStr">
        <is>
          <t>CHECK_VENDOR</t>
        </is>
      </c>
      <c r="M1162" t="inlineStr">
        <is>
          <t>See CVE details</t>
        </is>
      </c>
      <c r="N1162" t="inlineStr">
        <is>
          <t>P3</t>
        </is>
      </c>
      <c r="O1162" t="inlineStr">
        <is>
          <t>CVE - IP enrichment n/a</t>
        </is>
      </c>
      <c r="P1162" t="n">
        <v>0</v>
      </c>
      <c r="Q1162" t="n">
        <v>0</v>
      </c>
      <c r="R1162" t="inlineStr">
        <is>
          <t>T1189:Drive-by Compromise | T1190:Exploit Public-Facing Application</t>
        </is>
      </c>
      <c r="S1162" t="n">
        <v>1</v>
      </c>
      <c r="T1162" t="inlineStr">
        <is>
          <t>LOW (40%)</t>
        </is>
      </c>
      <c r="U1162" t="inlineStr">
        <is>
          <t>UNLIKELY</t>
        </is>
      </c>
      <c r="V1162" t="inlineStr">
        <is>
          <t>CHECK_VENDOR</t>
        </is>
      </c>
      <c r="W1162" t="inlineStr">
        <is>
          <t>https://nvd.nist.gov/vuln/detail/CVE-2026-27210</t>
        </is>
      </c>
      <c r="X1162" t="inlineStr">
        <is>
          <t>NONE</t>
        </is>
      </c>
      <c r="Y1162" t="n">
        <v>0</v>
      </c>
      <c r="Z1162" t="inlineStr"/>
      <c r="AA1162" t="inlineStr">
        <is>
          <t>https://nvd.nist.gov/vuln/detail/CVE-2026-27210</t>
        </is>
      </c>
    </row>
    <row r="1163">
      <c r="A1163" t="inlineStr">
        <is>
          <t>CVE</t>
        </is>
      </c>
      <c r="B1163" t="inlineStr">
        <is>
          <t>CVE-2026-27211</t>
        </is>
      </c>
      <c r="C1163" t="inlineStr">
        <is>
          <t>Cloud Hypervisor is a Virtual Machine Monitor for Cloud workloads. Versions 34.0 through 50.0 arevulnerable to arbitrary host file exfiltration (constrained by process privileges) when using virtio-block devices backed by raw images. A malicious guest can overwrite its disk header with a crafted QCOW2 structure pointing to a sensitive host path. Upon the next VM boot or disk scan, the image format auto-detection parses this header and serves the host file's contents to the guest. Guest-initiated</t>
        </is>
      </c>
      <c r="D1163" t="n">
        <v>8.5</v>
      </c>
      <c r="E1163" t="inlineStr">
        <is>
          <t>HIGH</t>
        </is>
      </c>
      <c r="F1163" t="n">
        <v>2</v>
      </c>
      <c r="G1163" t="n">
        <v>3</v>
      </c>
      <c r="H1163" t="inlineStr">
        <is>
          <t>HIGH</t>
        </is>
      </c>
      <c r="I1163" t="n">
        <v>14.5</v>
      </c>
      <c r="J1163" t="inlineStr">
        <is>
          <t>NO</t>
        </is>
      </c>
      <c r="K1163" t="inlineStr">
        <is>
          <t>2026-02-23 23:48</t>
        </is>
      </c>
      <c r="L1163" t="inlineStr">
        <is>
          <t>CHECK_VENDOR</t>
        </is>
      </c>
      <c r="M1163" t="inlineStr">
        <is>
          <t>See CVE details</t>
        </is>
      </c>
      <c r="N1163" t="inlineStr">
        <is>
          <t>P3</t>
        </is>
      </c>
      <c r="O1163" t="inlineStr">
        <is>
          <t>CVE - IP enrichment n/a</t>
        </is>
      </c>
      <c r="P1163" t="n">
        <v>0</v>
      </c>
      <c r="Q1163" t="n">
        <v>0</v>
      </c>
      <c r="R1163" t="inlineStr">
        <is>
          <t>T1190:Exploit Public-Facing Application</t>
        </is>
      </c>
      <c r="S1163" t="n">
        <v>1</v>
      </c>
      <c r="T1163" t="inlineStr">
        <is>
          <t>LOW (40%)</t>
        </is>
      </c>
      <c r="U1163" t="inlineStr">
        <is>
          <t>UNLIKELY</t>
        </is>
      </c>
      <c r="V1163" t="inlineStr">
        <is>
          <t>CHECK_VENDOR</t>
        </is>
      </c>
      <c r="W1163" t="inlineStr">
        <is>
          <t>https://nvd.nist.gov/vuln/detail/CVE-2026-27211</t>
        </is>
      </c>
      <c r="X1163" t="inlineStr">
        <is>
          <t>NONE</t>
        </is>
      </c>
      <c r="Y1163" t="n">
        <v>0</v>
      </c>
      <c r="Z1163" t="inlineStr"/>
      <c r="AA1163" t="inlineStr">
        <is>
          <t>https://nvd.nist.gov/vuln/detail/CVE-2026-27211</t>
        </is>
      </c>
    </row>
    <row r="1164">
      <c r="A1164" t="inlineStr">
        <is>
          <t>CVE</t>
        </is>
      </c>
      <c r="B1164" t="inlineStr">
        <is>
          <t>CVE-2026-27212</t>
        </is>
      </c>
      <c r="C1164" t="inlineStr">
        <is>
          <t>Swiper is a free and mobile touch slider with hardware accelerated transitions and native behavior. Versions 6.5.1 through 12.1.1 have a Prototype pollution vulnerability. The vulnerability resides in line 94 of shared/utils.mjs, where the indexOf() function is used to check whether user provided input contain forbidden strings. Despite a previous fix that attempted to mitigate prototype pollution by checking whether user input contained a forbidden key, it is still possible to pollute Object.pr</t>
        </is>
      </c>
      <c r="D1164" t="n">
        <v>8.5</v>
      </c>
      <c r="E1164" t="inlineStr">
        <is>
          <t>HIGH</t>
        </is>
      </c>
      <c r="F1164" t="n">
        <v>2</v>
      </c>
      <c r="G1164" t="n">
        <v>3</v>
      </c>
      <c r="H1164" t="inlineStr">
        <is>
          <t>HIGH</t>
        </is>
      </c>
      <c r="I1164" t="n">
        <v>14.5</v>
      </c>
      <c r="J1164" t="inlineStr">
        <is>
          <t>NO</t>
        </is>
      </c>
      <c r="K1164" t="inlineStr">
        <is>
          <t>2026-02-23 23:48</t>
        </is>
      </c>
      <c r="L1164" t="inlineStr">
        <is>
          <t>CHECK_VENDOR</t>
        </is>
      </c>
      <c r="M1164" t="inlineStr">
        <is>
          <t>See CVE details</t>
        </is>
      </c>
      <c r="N1164" t="inlineStr">
        <is>
          <t>P3</t>
        </is>
      </c>
      <c r="O1164" t="inlineStr">
        <is>
          <t>CVE - IP enrichment n/a</t>
        </is>
      </c>
      <c r="P1164" t="n">
        <v>0</v>
      </c>
      <c r="Q1164" t="n">
        <v>0</v>
      </c>
      <c r="R1164" t="inlineStr">
        <is>
          <t>T1190:Exploit Public-Facing Application | T1078:Valid Accounts | T1499:Endpoint Denial of Service</t>
        </is>
      </c>
      <c r="S1164" t="n">
        <v>1</v>
      </c>
      <c r="T1164" t="inlineStr">
        <is>
          <t>LOW (40%)</t>
        </is>
      </c>
      <c r="U1164" t="inlineStr">
        <is>
          <t>UNLIKELY</t>
        </is>
      </c>
      <c r="V1164" t="inlineStr">
        <is>
          <t>CHECK_VENDOR</t>
        </is>
      </c>
      <c r="W1164" t="inlineStr">
        <is>
          <t>https://nvd.nist.gov/vuln/detail/CVE-2026-27212</t>
        </is>
      </c>
      <c r="X1164" t="inlineStr">
        <is>
          <t>NONE</t>
        </is>
      </c>
      <c r="Y1164" t="n">
        <v>0</v>
      </c>
      <c r="Z1164" t="inlineStr"/>
      <c r="AA1164" t="inlineStr">
        <is>
          <t>https://nvd.nist.gov/vuln/detail/CVE-2026-27212</t>
        </is>
      </c>
    </row>
    <row r="1165">
      <c r="A1165" t="inlineStr">
        <is>
          <t>CVE</t>
        </is>
      </c>
      <c r="B1165" t="inlineStr">
        <is>
          <t>CVE-2026-2861</t>
        </is>
      </c>
      <c r="C1165" t="inlineStr">
        <is>
          <t>A vulnerability was detected in Foswiki up to 2.1.10. The affected element is an unknown function of the component Changes/Viewfile/Oops. The manipulation results in information disclosure. It is possible to launch the attack remotely. The exploit is now public and may be used. Upgrading to version 2.1.11 is sufficient to fix this issue. The patch is identified as 31aeecb58b64/d8ed86b10e46. Upgrading the affected component is recommended.</t>
        </is>
      </c>
      <c r="D1165" t="n">
        <v>5.3</v>
      </c>
      <c r="E1165" t="inlineStr">
        <is>
          <t>MEDIUM</t>
        </is>
      </c>
      <c r="F1165" t="n">
        <v>2</v>
      </c>
      <c r="G1165" t="n">
        <v>2</v>
      </c>
      <c r="H1165" t="inlineStr">
        <is>
          <t>MEDIUM</t>
        </is>
      </c>
      <c r="I1165" t="n">
        <v>9.300000000000001</v>
      </c>
      <c r="J1165" t="inlineStr">
        <is>
          <t>NO</t>
        </is>
      </c>
      <c r="K1165" t="inlineStr">
        <is>
          <t>2026-02-23 23:48</t>
        </is>
      </c>
      <c r="L1165" t="inlineStr">
        <is>
          <t>CHECK_VENDOR</t>
        </is>
      </c>
      <c r="M1165" t="inlineStr">
        <is>
          <t>See CVE details</t>
        </is>
      </c>
      <c r="N1165" t="inlineStr">
        <is>
          <t>P4</t>
        </is>
      </c>
      <c r="O1165" t="inlineStr">
        <is>
          <t>CVE - IP enrichment n/a</t>
        </is>
      </c>
      <c r="P1165" t="n">
        <v>0</v>
      </c>
      <c r="Q1165" t="n">
        <v>0</v>
      </c>
      <c r="R1165" t="inlineStr">
        <is>
          <t>T1213:Data from Information Repositories</t>
        </is>
      </c>
      <c r="S1165" t="n">
        <v>1</v>
      </c>
      <c r="T1165" t="inlineStr">
        <is>
          <t>LOW (40%)</t>
        </is>
      </c>
      <c r="U1165" t="inlineStr">
        <is>
          <t>UNLIKELY</t>
        </is>
      </c>
      <c r="V1165" t="inlineStr">
        <is>
          <t>CHECK_VENDOR</t>
        </is>
      </c>
      <c r="W1165" t="inlineStr">
        <is>
          <t>https://nvd.nist.gov/vuln/detail/CVE-2026-2861</t>
        </is>
      </c>
      <c r="X1165" t="inlineStr">
        <is>
          <t>NONE</t>
        </is>
      </c>
      <c r="Y1165" t="n">
        <v>0</v>
      </c>
      <c r="Z1165" t="inlineStr"/>
      <c r="AA1165" t="inlineStr">
        <is>
          <t>https://nvd.nist.gov/vuln/detail/CVE-2026-2861</t>
        </is>
      </c>
    </row>
    <row r="1166">
      <c r="A1166" t="inlineStr">
        <is>
          <t>CVE</t>
        </is>
      </c>
      <c r="B1166" t="inlineStr">
        <is>
          <t>CVE-2026-2863</t>
        </is>
      </c>
      <c r="C1166" t="inlineStr">
        <is>
          <t>A flaw has been found in feng_ha_ha/megagao ssm-erp and production_ssm up to 4288d53bd35757b27f2d070057aefb2c07bdd097. The impacted element is the function deleteFile of the file FileServiceImpl.java. This manipulation causes path traversal. The attack can be initiated remotely. The exploit has been published and may be used. Continious delivery with rolling releases is used by this product. Therefore, no version details of affected nor updated releases are available. This product is distributed</t>
        </is>
      </c>
      <c r="D1166" t="n">
        <v>5.4</v>
      </c>
      <c r="E1166" t="inlineStr">
        <is>
          <t>MEDIUM</t>
        </is>
      </c>
      <c r="F1166" t="n">
        <v>2</v>
      </c>
      <c r="G1166" t="n">
        <v>2</v>
      </c>
      <c r="H1166" t="inlineStr">
        <is>
          <t>MEDIUM</t>
        </is>
      </c>
      <c r="I1166" t="n">
        <v>9.4</v>
      </c>
      <c r="J1166" t="inlineStr">
        <is>
          <t>NO</t>
        </is>
      </c>
      <c r="K1166" t="inlineStr">
        <is>
          <t>2026-02-23 23:48</t>
        </is>
      </c>
      <c r="L1166" t="inlineStr">
        <is>
          <t>CHECK_VENDOR</t>
        </is>
      </c>
      <c r="M1166" t="inlineStr">
        <is>
          <t>See CVE details</t>
        </is>
      </c>
      <c r="N1166" t="inlineStr">
        <is>
          <t>P4</t>
        </is>
      </c>
      <c r="O1166" t="inlineStr">
        <is>
          <t>CVE - IP enrichment n/a</t>
        </is>
      </c>
      <c r="P1166" t="n">
        <v>0.0005999999999999999</v>
      </c>
      <c r="Q1166" t="n">
        <v>0.1823</v>
      </c>
      <c r="R1166" t="inlineStr">
        <is>
          <t>T1083:File and Directory Discovery</t>
        </is>
      </c>
      <c r="S1166" t="n">
        <v>1</v>
      </c>
      <c r="T1166" t="inlineStr">
        <is>
          <t>LOW (40%)</t>
        </is>
      </c>
      <c r="U1166" t="inlineStr">
        <is>
          <t>UNLIKELY</t>
        </is>
      </c>
      <c r="V1166" t="inlineStr">
        <is>
          <t>CHECK_VENDOR</t>
        </is>
      </c>
      <c r="W1166" t="inlineStr">
        <is>
          <t>https://nvd.nist.gov/vuln/detail/CVE-2026-2863</t>
        </is>
      </c>
      <c r="X1166" t="inlineStr">
        <is>
          <t>NONE</t>
        </is>
      </c>
      <c r="Y1166" t="n">
        <v>0</v>
      </c>
      <c r="Z1166" t="inlineStr"/>
      <c r="AA1166" t="inlineStr">
        <is>
          <t>https://nvd.nist.gov/vuln/detail/CVE-2026-2863</t>
        </is>
      </c>
    </row>
    <row r="1167">
      <c r="A1167" t="inlineStr">
        <is>
          <t>CVE</t>
        </is>
      </c>
      <c r="B1167" t="inlineStr">
        <is>
          <t>CVE-2026-27206</t>
        </is>
      </c>
      <c r="C1167" t="inlineStr">
        <is>
          <t>Zumba Json Serializer is a library to serialize PHP variables in JSON format. In versions 3.2.2 and below, the library allows deserialization of PHP objects from JSON using a special @type field. The deserializer instantiates any class specified in the @type field without restriction. When processing untrusted JSON input, this behavior may allow an attacker to instantiate arbitrary classes available in the application. If a vulnerable application passes attacker-controlled JSON into JsonSerializ</t>
        </is>
      </c>
      <c r="D1167" t="n">
        <v>8.1</v>
      </c>
      <c r="E1167" t="inlineStr">
        <is>
          <t>HIGH</t>
        </is>
      </c>
      <c r="F1167" t="n">
        <v>2</v>
      </c>
      <c r="G1167" t="n">
        <v>3</v>
      </c>
      <c r="H1167" t="inlineStr">
        <is>
          <t>HIGH</t>
        </is>
      </c>
      <c r="I1167" t="n">
        <v>14.1</v>
      </c>
      <c r="J1167" t="inlineStr">
        <is>
          <t>NO</t>
        </is>
      </c>
      <c r="K1167" t="inlineStr">
        <is>
          <t>2026-02-23 23:48</t>
        </is>
      </c>
      <c r="L1167" t="inlineStr">
        <is>
          <t>CHECK_VENDOR</t>
        </is>
      </c>
      <c r="M1167" t="inlineStr">
        <is>
          <t>See CVE details</t>
        </is>
      </c>
      <c r="N1167" t="inlineStr">
        <is>
          <t>P3</t>
        </is>
      </c>
      <c r="O1167" t="inlineStr">
        <is>
          <t>CVE - IP enrichment n/a</t>
        </is>
      </c>
      <c r="P1167" t="n">
        <v>0</v>
      </c>
      <c r="Q1167" t="n">
        <v>0</v>
      </c>
      <c r="R1167" t="inlineStr">
        <is>
          <t>T1059:Command and Scripting Interpreter | T1190:Exploit Public-Facing Application | T1210:Exploitation of Remote Services</t>
        </is>
      </c>
      <c r="S1167" t="n">
        <v>1</v>
      </c>
      <c r="T1167" t="inlineStr">
        <is>
          <t>LOW (40%)</t>
        </is>
      </c>
      <c r="U1167" t="inlineStr">
        <is>
          <t>UNLIKELY</t>
        </is>
      </c>
      <c r="V1167" t="inlineStr">
        <is>
          <t>CHECK_VENDOR</t>
        </is>
      </c>
      <c r="W1167" t="inlineStr">
        <is>
          <t>https://nvd.nist.gov/vuln/detail/CVE-2026-27206</t>
        </is>
      </c>
      <c r="X1167" t="inlineStr">
        <is>
          <t>NONE</t>
        </is>
      </c>
      <c r="Y1167" t="n">
        <v>0</v>
      </c>
      <c r="Z1167" t="inlineStr"/>
      <c r="AA1167" t="inlineStr">
        <is>
          <t>https://nvd.nist.gov/vuln/detail/CVE-2026-27206</t>
        </is>
      </c>
    </row>
    <row r="1168">
      <c r="A1168" t="inlineStr">
        <is>
          <t>CVE</t>
        </is>
      </c>
      <c r="B1168" t="inlineStr">
        <is>
          <t>CVE-2026-27452</t>
        </is>
      </c>
      <c r="C1168" t="inlineStr">
        <is>
          <t>ASN.1 TypeScript ESM library, including codecs for Basic Encoding Rules (BER) and Distinguished Encoding Rules (DER). In versions 11.0.5 and below, in some cases, decoding an INTEGER could leak the underlying ArrayBuffer. This issue is expected to be fixed in version 11.0.6.</t>
        </is>
      </c>
      <c r="D1168" t="n">
        <v>5</v>
      </c>
      <c r="E1168" t="inlineStr">
        <is>
          <t>MEDIUM</t>
        </is>
      </c>
      <c r="F1168" t="n">
        <v>2</v>
      </c>
      <c r="G1168" t="n">
        <v>2</v>
      </c>
      <c r="H1168" t="inlineStr">
        <is>
          <t>MEDIUM</t>
        </is>
      </c>
      <c r="I1168" t="n">
        <v>9</v>
      </c>
      <c r="J1168" t="inlineStr">
        <is>
          <t>NO</t>
        </is>
      </c>
      <c r="K1168" t="inlineStr">
        <is>
          <t>2026-02-23 23:48</t>
        </is>
      </c>
      <c r="L1168" t="inlineStr">
        <is>
          <t>CHECK_VENDOR</t>
        </is>
      </c>
      <c r="M1168" t="inlineStr">
        <is>
          <t>See CVE details</t>
        </is>
      </c>
      <c r="N1168" t="inlineStr">
        <is>
          <t>P4</t>
        </is>
      </c>
      <c r="O1168" t="inlineStr">
        <is>
          <t>CVE - IP enrichment n/a</t>
        </is>
      </c>
      <c r="P1168" t="n">
        <v>0</v>
      </c>
      <c r="Q1168" t="n">
        <v>0</v>
      </c>
      <c r="R1168" t="inlineStr">
        <is>
          <t>T1213:Data from Information Repositories</t>
        </is>
      </c>
      <c r="S1168" t="n">
        <v>1</v>
      </c>
      <c r="T1168" t="inlineStr">
        <is>
          <t>LOW (40%)</t>
        </is>
      </c>
      <c r="U1168" t="inlineStr">
        <is>
          <t>UNLIKELY</t>
        </is>
      </c>
      <c r="V1168" t="inlineStr">
        <is>
          <t>CHECK_VENDOR</t>
        </is>
      </c>
      <c r="W1168" t="inlineStr">
        <is>
          <t>https://nvd.nist.gov/vuln/detail/CVE-2026-27452</t>
        </is>
      </c>
      <c r="X1168" t="inlineStr">
        <is>
          <t>NONE</t>
        </is>
      </c>
      <c r="Y1168" t="n">
        <v>0</v>
      </c>
      <c r="Z1168" t="inlineStr"/>
      <c r="AA1168" t="inlineStr">
        <is>
          <t>https://nvd.nist.gov/vuln/detail/CVE-2026-27452</t>
        </is>
      </c>
    </row>
    <row r="1169">
      <c r="A1169" t="inlineStr">
        <is>
          <t>CVE</t>
        </is>
      </c>
      <c r="B1169" t="inlineStr">
        <is>
          <t>CVE-2026-27458</t>
        </is>
      </c>
      <c r="C1169" t="inlineStr">
        <is>
          <t>LinkAce is a self-hosted archive to collect website links. Versions 2.4.2 and below have a Stored Cross-site Scripting vulnerability through the Atom feed endpoint for lists (/lists/feed). An authenticated user can inject a CDATA-breaking payload into a list description that escapes the XML CDATA section, injects a native SVG element into the Atom XML document, and executes arbitrary JavaScript directly in the browser when the feed URL is visited. No RSS reader or additional rendering context is</t>
        </is>
      </c>
      <c r="D1169" t="n">
        <v>5</v>
      </c>
      <c r="E1169" t="inlineStr">
        <is>
          <t>MEDIUM</t>
        </is>
      </c>
      <c r="F1169" t="n">
        <v>2</v>
      </c>
      <c r="G1169" t="n">
        <v>2</v>
      </c>
      <c r="H1169" t="inlineStr">
        <is>
          <t>MEDIUM</t>
        </is>
      </c>
      <c r="I1169" t="n">
        <v>9</v>
      </c>
      <c r="J1169" t="inlineStr">
        <is>
          <t>NO</t>
        </is>
      </c>
      <c r="K1169" t="inlineStr">
        <is>
          <t>2026-02-23 23:48</t>
        </is>
      </c>
      <c r="L1169" t="inlineStr">
        <is>
          <t>CHECK_VENDOR</t>
        </is>
      </c>
      <c r="M1169" t="inlineStr">
        <is>
          <t>See CVE details</t>
        </is>
      </c>
      <c r="N1169" t="inlineStr">
        <is>
          <t>P4</t>
        </is>
      </c>
      <c r="O1169" t="inlineStr">
        <is>
          <t>CVE - IP enrichment n/a</t>
        </is>
      </c>
      <c r="P1169" t="n">
        <v>0.0005</v>
      </c>
      <c r="Q1169" t="n">
        <v>0.1444</v>
      </c>
      <c r="R1169" t="inlineStr">
        <is>
          <t>T1189:Drive-by Compromise</t>
        </is>
      </c>
      <c r="S1169" t="n">
        <v>1</v>
      </c>
      <c r="T1169" t="inlineStr">
        <is>
          <t>LOW (40%)</t>
        </is>
      </c>
      <c r="U1169" t="inlineStr">
        <is>
          <t>UNLIKELY</t>
        </is>
      </c>
      <c r="V1169" t="inlineStr">
        <is>
          <t>CHECK_VENDOR</t>
        </is>
      </c>
      <c r="W1169" t="inlineStr">
        <is>
          <t>https://nvd.nist.gov/vuln/detail/CVE-2026-27458</t>
        </is>
      </c>
      <c r="X1169" t="inlineStr">
        <is>
          <t>NONE</t>
        </is>
      </c>
      <c r="Y1169" t="n">
        <v>0</v>
      </c>
      <c r="Z1169" t="inlineStr"/>
      <c r="AA1169" t="inlineStr">
        <is>
          <t>https://nvd.nist.gov/vuln/detail/CVE-2026-27458</t>
        </is>
      </c>
    </row>
    <row r="1170">
      <c r="A1170" t="inlineStr">
        <is>
          <t>CVE</t>
        </is>
      </c>
      <c r="B1170" t="inlineStr">
        <is>
          <t>CVE-2026-27471</t>
        </is>
      </c>
      <c r="C1170" t="inlineStr">
        <is>
          <t>ERP is a free and open source Enterprise Resource Planning tool. In versions up to 15.98.0 and 16.0.0-rc.1 and through 16.6.0, certain endpoints lacked access validation which allowed for unauthorized document access. This issue has been fixed in versions 15.98.1 and 16.6.1.</t>
        </is>
      </c>
      <c r="D1170" t="n">
        <v>8.5</v>
      </c>
      <c r="E1170" t="inlineStr">
        <is>
          <t>HIGH</t>
        </is>
      </c>
      <c r="F1170" t="n">
        <v>2</v>
      </c>
      <c r="G1170" t="n">
        <v>3</v>
      </c>
      <c r="H1170" t="inlineStr">
        <is>
          <t>HIGH</t>
        </is>
      </c>
      <c r="I1170" t="n">
        <v>14.5</v>
      </c>
      <c r="J1170" t="inlineStr">
        <is>
          <t>NO</t>
        </is>
      </c>
      <c r="K1170" t="inlineStr">
        <is>
          <t>2026-02-23 23:48</t>
        </is>
      </c>
      <c r="L1170" t="inlineStr">
        <is>
          <t>CHECK_VENDOR</t>
        </is>
      </c>
      <c r="M1170" t="inlineStr">
        <is>
          <t>See CVE details</t>
        </is>
      </c>
      <c r="N1170" t="inlineStr">
        <is>
          <t>P3</t>
        </is>
      </c>
      <c r="O1170" t="inlineStr">
        <is>
          <t>CVE - IP enrichment n/a</t>
        </is>
      </c>
      <c r="P1170" t="n">
        <v>0.0004</v>
      </c>
      <c r="Q1170" t="n">
        <v>0.1245</v>
      </c>
      <c r="R1170" t="inlineStr">
        <is>
          <t>T1190:Exploit Public-Facing Application</t>
        </is>
      </c>
      <c r="S1170" t="n">
        <v>1</v>
      </c>
      <c r="T1170" t="inlineStr">
        <is>
          <t>LOW (40%)</t>
        </is>
      </c>
      <c r="U1170" t="inlineStr">
        <is>
          <t>UNLIKELY</t>
        </is>
      </c>
      <c r="V1170" t="inlineStr">
        <is>
          <t>CHECK_VENDOR</t>
        </is>
      </c>
      <c r="W1170" t="inlineStr">
        <is>
          <t>https://nvd.nist.gov/vuln/detail/CVE-2026-27471</t>
        </is>
      </c>
      <c r="X1170" t="inlineStr">
        <is>
          <t>NONE</t>
        </is>
      </c>
      <c r="Y1170" t="n">
        <v>0</v>
      </c>
      <c r="Z1170" t="inlineStr"/>
      <c r="AA1170" t="inlineStr">
        <is>
          <t>https://nvd.nist.gov/vuln/detail/CVE-2026-27471</t>
        </is>
      </c>
    </row>
    <row r="1171">
      <c r="A1171" t="inlineStr">
        <is>
          <t>CVE</t>
        </is>
      </c>
      <c r="B1171" t="inlineStr">
        <is>
          <t>CVE-2026-27464</t>
        </is>
      </c>
      <c r="C1171" t="inlineStr">
        <is>
          <t xml:space="preserve">Metabase is an open-source data analytics platform. In versions prior to 0.57.13 and versions 0.58.x through 0.58.6, authenticated users are able to retrieve sensitive information from a Metabase instance, including database access credentials. During testing, it was confirmed that a low-privileged user can extract sensitive information including database credentials, into the email body via template evaluation. This issue has been fixed in versions 0.57.13 and 0.58.7. To workaround this issue, </t>
        </is>
      </c>
      <c r="D1171" t="n">
        <v>7.7</v>
      </c>
      <c r="E1171" t="inlineStr">
        <is>
          <t>HIGH</t>
        </is>
      </c>
      <c r="F1171" t="n">
        <v>2</v>
      </c>
      <c r="G1171" t="n">
        <v>3</v>
      </c>
      <c r="H1171" t="inlineStr">
        <is>
          <t>HIGH</t>
        </is>
      </c>
      <c r="I1171" t="n">
        <v>13.7</v>
      </c>
      <c r="J1171" t="inlineStr">
        <is>
          <t>NO</t>
        </is>
      </c>
      <c r="K1171" t="inlineStr">
        <is>
          <t>2026-02-23 23:48</t>
        </is>
      </c>
      <c r="L1171" t="inlineStr">
        <is>
          <t>CHECK_VENDOR</t>
        </is>
      </c>
      <c r="M1171" t="inlineStr">
        <is>
          <t>See CVE details</t>
        </is>
      </c>
      <c r="N1171" t="inlineStr">
        <is>
          <t>P3</t>
        </is>
      </c>
      <c r="O1171" t="inlineStr">
        <is>
          <t>CVE - IP enrichment n/a</t>
        </is>
      </c>
      <c r="P1171" t="n">
        <v>0</v>
      </c>
      <c r="Q1171" t="n">
        <v>0</v>
      </c>
      <c r="R1171" t="inlineStr">
        <is>
          <t>T1059:Command and Scripting Interpreter | T1190:Exploit Public-Facing Application | T1552:Unsecured Credentials</t>
        </is>
      </c>
      <c r="S1171" t="n">
        <v>1</v>
      </c>
      <c r="T1171" t="inlineStr">
        <is>
          <t>LOW (40%)</t>
        </is>
      </c>
      <c r="U1171" t="inlineStr">
        <is>
          <t>UNLIKELY</t>
        </is>
      </c>
      <c r="V1171" t="inlineStr">
        <is>
          <t>CHECK_VENDOR</t>
        </is>
      </c>
      <c r="W1171" t="inlineStr">
        <is>
          <t>https://nvd.nist.gov/vuln/detail/CVE-2026-27464</t>
        </is>
      </c>
      <c r="X1171" t="inlineStr">
        <is>
          <t>NONE</t>
        </is>
      </c>
      <c r="Y1171" t="n">
        <v>0</v>
      </c>
      <c r="Z1171" t="inlineStr"/>
      <c r="AA1171" t="inlineStr">
        <is>
          <t>https://nvd.nist.gov/vuln/detail/CVE-2026-27464</t>
        </is>
      </c>
    </row>
    <row r="1172">
      <c r="A1172" t="inlineStr">
        <is>
          <t>CVE</t>
        </is>
      </c>
      <c r="B1172" t="inlineStr">
        <is>
          <t>CVE-2026-27466</t>
        </is>
      </c>
      <c r="C1172" t="inlineStr">
        <is>
          <t>BigBlueButton is an open-source virtual classroom. In versions 3.0.21 and below, the official documentation for "Server Customization" on Support for ClamAV as presentation file scanner contains instructions that leave a BBB server vulnerable for Denial of Service. The flawed command exposes both ports (3310 and 7357) to the internet. A remote attacker can use this to send complex or large documents to clamd and waste server resources, or shutdown the clamd process. The clamd documentation expli</t>
        </is>
      </c>
      <c r="D1172" t="n">
        <v>7.2</v>
      </c>
      <c r="E1172" t="inlineStr">
        <is>
          <t>HIGH</t>
        </is>
      </c>
      <c r="F1172" t="n">
        <v>2</v>
      </c>
      <c r="G1172" t="n">
        <v>3</v>
      </c>
      <c r="H1172" t="inlineStr">
        <is>
          <t>HIGH</t>
        </is>
      </c>
      <c r="I1172" t="n">
        <v>13.2</v>
      </c>
      <c r="J1172" t="inlineStr">
        <is>
          <t>NO</t>
        </is>
      </c>
      <c r="K1172" t="inlineStr">
        <is>
          <t>2026-02-23 23:48</t>
        </is>
      </c>
      <c r="L1172" t="inlineStr">
        <is>
          <t>CHECK_VENDOR</t>
        </is>
      </c>
      <c r="M1172" t="inlineStr">
        <is>
          <t>See CVE details</t>
        </is>
      </c>
      <c r="N1172" t="inlineStr">
        <is>
          <t>P3</t>
        </is>
      </c>
      <c r="O1172" t="inlineStr">
        <is>
          <t>CVE - IP enrichment n/a</t>
        </is>
      </c>
      <c r="P1172" t="n">
        <v>0</v>
      </c>
      <c r="Q1172" t="n">
        <v>0</v>
      </c>
      <c r="R1172" t="inlineStr">
        <is>
          <t>T1190:Exploit Public-Facing Application | T1499:Endpoint Denial of Service | T1562:Impair Defenses</t>
        </is>
      </c>
      <c r="S1172" t="n">
        <v>1</v>
      </c>
      <c r="T1172" t="inlineStr">
        <is>
          <t>LOW (40%)</t>
        </is>
      </c>
      <c r="U1172" t="inlineStr">
        <is>
          <t>UNLIKELY</t>
        </is>
      </c>
      <c r="V1172" t="inlineStr">
        <is>
          <t>CHECK_VENDOR</t>
        </is>
      </c>
      <c r="W1172" t="inlineStr">
        <is>
          <t>https://nvd.nist.gov/vuln/detail/CVE-2026-27466</t>
        </is>
      </c>
      <c r="X1172" t="inlineStr">
        <is>
          <t>NONE</t>
        </is>
      </c>
      <c r="Y1172" t="n">
        <v>0</v>
      </c>
      <c r="Z1172" t="inlineStr"/>
      <c r="AA1172" t="inlineStr">
        <is>
          <t>https://nvd.nist.gov/vuln/detail/CVE-2026-27466</t>
        </is>
      </c>
    </row>
    <row r="1173">
      <c r="A1173" t="inlineStr">
        <is>
          <t>CVE</t>
        </is>
      </c>
      <c r="B1173" t="inlineStr">
        <is>
          <t>CVE-2026-27467</t>
        </is>
      </c>
      <c r="C1173" t="inlineStr">
        <is>
          <t>BigBlueButton is an open-source virtual classroom. In versions 3.0.19 and below, when first joining a session with the microphone muted, the client sends audio to the server regardless of mute state. Media is discarded at the server side, so it isn't audible to any participants, but this may allow for malicious server operators to access audio data. The behavior is only incorrect between joining the meeting and the first time the user unmutes. This issue has been fixed in version 3.0.20.</t>
        </is>
      </c>
      <c r="D1173" t="n">
        <v>2</v>
      </c>
      <c r="E1173" t="inlineStr">
        <is>
          <t>LOW</t>
        </is>
      </c>
      <c r="F1173" t="n">
        <v>2</v>
      </c>
      <c r="G1173" t="n">
        <v>1</v>
      </c>
      <c r="H1173" t="inlineStr">
        <is>
          <t>LOW</t>
        </is>
      </c>
      <c r="I1173" t="n">
        <v>4</v>
      </c>
      <c r="J1173" t="inlineStr">
        <is>
          <t>NO</t>
        </is>
      </c>
      <c r="K1173" t="inlineStr">
        <is>
          <t>2026-02-23 23:48</t>
        </is>
      </c>
      <c r="L1173" t="inlineStr">
        <is>
          <t>CHECK_VENDOR</t>
        </is>
      </c>
      <c r="M1173" t="inlineStr">
        <is>
          <t>See CVE details</t>
        </is>
      </c>
      <c r="N1173" t="inlineStr">
        <is>
          <t>P4</t>
        </is>
      </c>
      <c r="O1173" t="inlineStr">
        <is>
          <t>CVE - IP enrichment n/a</t>
        </is>
      </c>
      <c r="P1173" t="n">
        <v>0</v>
      </c>
      <c r="Q1173" t="n">
        <v>0</v>
      </c>
      <c r="R1173" t="inlineStr">
        <is>
          <t>T1213:Data from Information Repositories | T1190:Exploit Public-Facing Application</t>
        </is>
      </c>
      <c r="S1173" t="n">
        <v>1</v>
      </c>
      <c r="T1173" t="inlineStr">
        <is>
          <t>LOW (40%)</t>
        </is>
      </c>
      <c r="U1173" t="inlineStr">
        <is>
          <t>UNLIKELY</t>
        </is>
      </c>
      <c r="V1173" t="inlineStr">
        <is>
          <t>CHECK_VENDOR</t>
        </is>
      </c>
      <c r="W1173" t="inlineStr">
        <is>
          <t>https://nvd.nist.gov/vuln/detail/CVE-2026-27467</t>
        </is>
      </c>
      <c r="X1173" t="inlineStr">
        <is>
          <t>NONE</t>
        </is>
      </c>
      <c r="Y1173" t="n">
        <v>0</v>
      </c>
      <c r="Z1173" t="inlineStr"/>
      <c r="AA1173" t="inlineStr">
        <is>
          <t>https://nvd.nist.gov/vuln/detail/CVE-2026-27467</t>
        </is>
      </c>
    </row>
    <row r="1174">
      <c r="A1174" t="inlineStr">
        <is>
          <t>CVE</t>
        </is>
      </c>
      <c r="B1174" t="inlineStr">
        <is>
          <t>CVE-2026-27469</t>
        </is>
      </c>
      <c r="C1174" t="inlineStr">
        <is>
          <t>Isso is a lightweight commenting server written in Python and JavaScript. In commits before 0afbfe0691ee237963e8fb0b2ee01c9e55ca2144, there is a stored Cross-Site Scripting (XSS) vulnerability affecting the website and author comment fields. The website field was HTML-escaped using quote=False, which left single and double quotes unescaped. Since the frontend inserts the website value directly into a single-quoted href attribute via string concatenation, a single quote in the URL breaks out of t</t>
        </is>
      </c>
      <c r="D1174" t="n">
        <v>6.1</v>
      </c>
      <c r="E1174" t="inlineStr">
        <is>
          <t>MEDIUM</t>
        </is>
      </c>
      <c r="F1174" t="n">
        <v>2</v>
      </c>
      <c r="G1174" t="n">
        <v>2</v>
      </c>
      <c r="H1174" t="inlineStr">
        <is>
          <t>MEDIUM</t>
        </is>
      </c>
      <c r="I1174" t="n">
        <v>10.1</v>
      </c>
      <c r="J1174" t="inlineStr">
        <is>
          <t>NO</t>
        </is>
      </c>
      <c r="K1174" t="inlineStr">
        <is>
          <t>2026-02-23 23:48</t>
        </is>
      </c>
      <c r="L1174" t="inlineStr">
        <is>
          <t>CHECK_VENDOR</t>
        </is>
      </c>
      <c r="M1174" t="inlineStr">
        <is>
          <t>See CVE details</t>
        </is>
      </c>
      <c r="N1174" t="inlineStr">
        <is>
          <t>P4</t>
        </is>
      </c>
      <c r="O1174" t="inlineStr">
        <is>
          <t>CVE - IP enrichment n/a</t>
        </is>
      </c>
      <c r="P1174" t="n">
        <v>0.0005999999999999999</v>
      </c>
      <c r="Q1174" t="n">
        <v>0.1866</v>
      </c>
      <c r="R1174" t="inlineStr">
        <is>
          <t>T1189:Drive-by Compromise</t>
        </is>
      </c>
      <c r="S1174" t="n">
        <v>1</v>
      </c>
      <c r="T1174" t="inlineStr">
        <is>
          <t>LOW (40%)</t>
        </is>
      </c>
      <c r="U1174" t="inlineStr">
        <is>
          <t>UNLIKELY</t>
        </is>
      </c>
      <c r="V1174" t="inlineStr">
        <is>
          <t>CHECK_VENDOR</t>
        </is>
      </c>
      <c r="W1174" t="inlineStr">
        <is>
          <t>https://nvd.nist.gov/vuln/detail/CVE-2026-27469</t>
        </is>
      </c>
      <c r="X1174" t="inlineStr">
        <is>
          <t>NONE</t>
        </is>
      </c>
      <c r="Y1174" t="n">
        <v>0</v>
      </c>
      <c r="Z1174" t="inlineStr"/>
      <c r="AA1174" t="inlineStr">
        <is>
          <t>https://nvd.nist.gov/vuln/detail/CVE-2026-27469</t>
        </is>
      </c>
    </row>
    <row r="1175">
      <c r="A1175" t="inlineStr">
        <is>
          <t>CVE</t>
        </is>
      </c>
      <c r="B1175" t="inlineStr">
        <is>
          <t>CVE-2026-27470</t>
        </is>
      </c>
      <c r="C1175" t="inlineStr">
        <is>
          <t>ZoneMinder is a free, open source closed-circuit television software application. In versions 1.36.37 and below and 1.37.61 through 1.38.0, there is a second-order SQL Injection vulnerability in the web/ajax/status.php file within the getNearEvents() function. Event field values (specifically Name and Cause) are stored safely via parameterized queries but are later retrieved and concatenated directly into SQL WHERE clauses without escaping. An authenticated user with Events edit and view permiss</t>
        </is>
      </c>
      <c r="D1175" t="n">
        <v>8.800000000000001</v>
      </c>
      <c r="E1175" t="inlineStr">
        <is>
          <t>HIGH</t>
        </is>
      </c>
      <c r="F1175" t="n">
        <v>2</v>
      </c>
      <c r="G1175" t="n">
        <v>3</v>
      </c>
      <c r="H1175" t="inlineStr">
        <is>
          <t>HIGH</t>
        </is>
      </c>
      <c r="I1175" t="n">
        <v>14.8</v>
      </c>
      <c r="J1175" t="inlineStr">
        <is>
          <t>NO</t>
        </is>
      </c>
      <c r="K1175" t="inlineStr">
        <is>
          <t>2026-02-23 23:48</t>
        </is>
      </c>
      <c r="L1175" t="inlineStr">
        <is>
          <t>CHECK_VENDOR</t>
        </is>
      </c>
      <c r="M1175" t="inlineStr">
        <is>
          <t>See CVE details</t>
        </is>
      </c>
      <c r="N1175" t="inlineStr">
        <is>
          <t>P3</t>
        </is>
      </c>
      <c r="O1175" t="inlineStr">
        <is>
          <t>CVE - IP enrichment n/a</t>
        </is>
      </c>
      <c r="P1175" t="n">
        <v>0</v>
      </c>
      <c r="Q1175" t="n">
        <v>0</v>
      </c>
      <c r="R1175" t="inlineStr">
        <is>
          <t>T1190:Exploit Public-Facing Application</t>
        </is>
      </c>
      <c r="S1175" t="n">
        <v>1</v>
      </c>
      <c r="T1175" t="inlineStr">
        <is>
          <t>LOW (40%)</t>
        </is>
      </c>
      <c r="U1175" t="inlineStr">
        <is>
          <t>UNLIKELY</t>
        </is>
      </c>
      <c r="V1175" t="inlineStr">
        <is>
          <t>CHECK_VENDOR</t>
        </is>
      </c>
      <c r="W1175" t="inlineStr">
        <is>
          <t>https://nvd.nist.gov/vuln/detail/CVE-2026-27470</t>
        </is>
      </c>
      <c r="X1175" t="inlineStr">
        <is>
          <t>NONE</t>
        </is>
      </c>
      <c r="Y1175" t="n">
        <v>0</v>
      </c>
      <c r="Z1175" t="inlineStr"/>
      <c r="AA1175" t="inlineStr">
        <is>
          <t>https://nvd.nist.gov/vuln/detail/CVE-2026-27470</t>
        </is>
      </c>
    </row>
    <row r="1176">
      <c r="A1176" t="inlineStr">
        <is>
          <t>CVE</t>
        </is>
      </c>
      <c r="B1176" t="inlineStr">
        <is>
          <t>CVE-2026-2864</t>
        </is>
      </c>
      <c r="C1176" t="inlineStr">
        <is>
          <t>A vulnerability has been found in feng_ha_ha/megagao ssm-erp and production_ssm up to 4288d53bd35757b27f2d070057aefb2c07bdd097. This affects the function pictureDelete of the file PictureController.java. Such manipulation of the argument picName leads to path traversal. The attack can be launched remotely. The exploit has been disclosed to the public and may be used. This product does not use versioning. This is why information about affected and unaffected releases are unavailable. This product</t>
        </is>
      </c>
      <c r="D1176" t="n">
        <v>5.4</v>
      </c>
      <c r="E1176" t="inlineStr">
        <is>
          <t>MEDIUM</t>
        </is>
      </c>
      <c r="F1176" t="n">
        <v>2</v>
      </c>
      <c r="G1176" t="n">
        <v>2</v>
      </c>
      <c r="H1176" t="inlineStr">
        <is>
          <t>MEDIUM</t>
        </is>
      </c>
      <c r="I1176" t="n">
        <v>9.4</v>
      </c>
      <c r="J1176" t="inlineStr">
        <is>
          <t>NO</t>
        </is>
      </c>
      <c r="K1176" t="inlineStr">
        <is>
          <t>2026-02-23 23:48</t>
        </is>
      </c>
      <c r="L1176" t="inlineStr">
        <is>
          <t>CHECK_VENDOR</t>
        </is>
      </c>
      <c r="M1176" t="inlineStr">
        <is>
          <t>See CVE details</t>
        </is>
      </c>
      <c r="N1176" t="inlineStr">
        <is>
          <t>P4</t>
        </is>
      </c>
      <c r="O1176" t="inlineStr">
        <is>
          <t>CVE - IP enrichment n/a</t>
        </is>
      </c>
      <c r="P1176" t="n">
        <v>0</v>
      </c>
      <c r="Q1176" t="n">
        <v>0</v>
      </c>
      <c r="R1176" t="inlineStr">
        <is>
          <t>T1083:File and Directory Discovery</t>
        </is>
      </c>
      <c r="S1176" t="n">
        <v>1</v>
      </c>
      <c r="T1176" t="inlineStr">
        <is>
          <t>LOW (40%)</t>
        </is>
      </c>
      <c r="U1176" t="inlineStr">
        <is>
          <t>UNLIKELY</t>
        </is>
      </c>
      <c r="V1176" t="inlineStr">
        <is>
          <t>CHECK_VENDOR</t>
        </is>
      </c>
      <c r="W1176" t="inlineStr">
        <is>
          <t>https://nvd.nist.gov/vuln/detail/CVE-2026-2864</t>
        </is>
      </c>
      <c r="X1176" t="inlineStr">
        <is>
          <t>NONE</t>
        </is>
      </c>
      <c r="Y1176" t="n">
        <v>0</v>
      </c>
      <c r="Z1176" t="inlineStr"/>
      <c r="AA1176" t="inlineStr">
        <is>
          <t>https://nvd.nist.gov/vuln/detail/CVE-2026-2864</t>
        </is>
      </c>
    </row>
    <row r="1177">
      <c r="A1177" t="inlineStr">
        <is>
          <t>CVE</t>
        </is>
      </c>
      <c r="B1177" t="inlineStr">
        <is>
          <t>CVE-2026-2865</t>
        </is>
      </c>
      <c r="C1177" t="inlineStr">
        <is>
          <t>A vulnerability was found in itsourcecode Agri-Trading Online Shopping System 1.0. This impacts an unknown function of the file admin/productcontroller.php of the component HTTP POST Request Handler. Performing a manipulation of the argument Product results in sql injection. The attack may be initiated remotely. The exploit has been made public and could be used.</t>
        </is>
      </c>
      <c r="D1177" t="n">
        <v>7.3</v>
      </c>
      <c r="E1177" t="inlineStr">
        <is>
          <t>HIGH</t>
        </is>
      </c>
      <c r="F1177" t="n">
        <v>2</v>
      </c>
      <c r="G1177" t="n">
        <v>3</v>
      </c>
      <c r="H1177" t="inlineStr">
        <is>
          <t>HIGH</t>
        </is>
      </c>
      <c r="I1177" t="n">
        <v>13.3</v>
      </c>
      <c r="J1177" t="inlineStr">
        <is>
          <t>NO</t>
        </is>
      </c>
      <c r="K1177" t="inlineStr">
        <is>
          <t>2026-02-23 23:48</t>
        </is>
      </c>
      <c r="L1177" t="inlineStr">
        <is>
          <t>CHECK_VENDOR</t>
        </is>
      </c>
      <c r="M1177" t="inlineStr">
        <is>
          <t>See CVE details</t>
        </is>
      </c>
      <c r="N1177" t="inlineStr">
        <is>
          <t>P3</t>
        </is>
      </c>
      <c r="O1177" t="inlineStr">
        <is>
          <t>CVE - IP enrichment n/a</t>
        </is>
      </c>
      <c r="P1177" t="n">
        <v>0.0003</v>
      </c>
      <c r="Q1177" t="n">
        <v>0.08599999999999999</v>
      </c>
      <c r="R1177" t="inlineStr">
        <is>
          <t>T1190:Exploit Public-Facing Application</t>
        </is>
      </c>
      <c r="S1177" t="n">
        <v>1</v>
      </c>
      <c r="T1177" t="inlineStr">
        <is>
          <t>LOW (40%)</t>
        </is>
      </c>
      <c r="U1177" t="inlineStr">
        <is>
          <t>UNLIKELY</t>
        </is>
      </c>
      <c r="V1177" t="inlineStr">
        <is>
          <t>CHECK_VENDOR</t>
        </is>
      </c>
      <c r="W1177" t="inlineStr">
        <is>
          <t>https://nvd.nist.gov/vuln/detail/CVE-2026-2865</t>
        </is>
      </c>
      <c r="X1177" t="inlineStr">
        <is>
          <t>NONE</t>
        </is>
      </c>
      <c r="Y1177" t="n">
        <v>0</v>
      </c>
      <c r="Z1177" t="inlineStr"/>
      <c r="AA1177" t="inlineStr">
        <is>
          <t>https://nvd.nist.gov/vuln/detail/CVE-2026-2865</t>
        </is>
      </c>
    </row>
    <row r="1178">
      <c r="A1178" t="inlineStr">
        <is>
          <t>CVE</t>
        </is>
      </c>
      <c r="B1178" t="inlineStr">
        <is>
          <t>CVE-2026-27479</t>
        </is>
      </c>
      <c r="C1178" t="inlineStr">
        <is>
          <t>Wallos is an open-source, self-hostable personal subscription tracker. Versions 4.6.0 and below contain a Server-Side Request Forgery (SSRF) vulnerability in the subscription and payment logo/icon upload functionality. The application validates the IP address of the provided URL before making the request, but allows HTTP redirects (CURLOPT_FOLLOWLOCATION = true), enabling an attacker to bypass the IP validation and access internal resources, including cloud instance metadata endpoints. The getLo</t>
        </is>
      </c>
      <c r="D1178" t="n">
        <v>7.7</v>
      </c>
      <c r="E1178" t="inlineStr">
        <is>
          <t>HIGH</t>
        </is>
      </c>
      <c r="F1178" t="n">
        <v>2</v>
      </c>
      <c r="G1178" t="n">
        <v>3</v>
      </c>
      <c r="H1178" t="inlineStr">
        <is>
          <t>HIGH</t>
        </is>
      </c>
      <c r="I1178" t="n">
        <v>13.7</v>
      </c>
      <c r="J1178" t="inlineStr">
        <is>
          <t>NO</t>
        </is>
      </c>
      <c r="K1178" t="inlineStr">
        <is>
          <t>2026-02-23 23:48</t>
        </is>
      </c>
      <c r="L1178" t="inlineStr">
        <is>
          <t>CHECK_VENDOR</t>
        </is>
      </c>
      <c r="M1178" t="inlineStr">
        <is>
          <t>See CVE details</t>
        </is>
      </c>
      <c r="N1178" t="inlineStr">
        <is>
          <t>P3</t>
        </is>
      </c>
      <c r="O1178" t="inlineStr">
        <is>
          <t>CVE - IP enrichment n/a</t>
        </is>
      </c>
      <c r="P1178" t="n">
        <v>0</v>
      </c>
      <c r="Q1178" t="n">
        <v>0</v>
      </c>
      <c r="R1178" t="inlineStr">
        <is>
          <t>T1090:Proxy | T1190:Exploit Public-Facing Application</t>
        </is>
      </c>
      <c r="S1178" t="n">
        <v>1</v>
      </c>
      <c r="T1178" t="inlineStr">
        <is>
          <t>LOW (40%)</t>
        </is>
      </c>
      <c r="U1178" t="inlineStr">
        <is>
          <t>UNLIKELY</t>
        </is>
      </c>
      <c r="V1178" t="inlineStr">
        <is>
          <t>CHECK_VENDOR</t>
        </is>
      </c>
      <c r="W1178" t="inlineStr">
        <is>
          <t>https://nvd.nist.gov/vuln/detail/CVE-2026-27479</t>
        </is>
      </c>
      <c r="X1178" t="inlineStr">
        <is>
          <t>NONE</t>
        </is>
      </c>
      <c r="Y1178" t="n">
        <v>0</v>
      </c>
      <c r="Z1178" t="inlineStr"/>
      <c r="AA1178" t="inlineStr">
        <is>
          <t>https://nvd.nist.gov/vuln/detail/CVE-2026-27479</t>
        </is>
      </c>
    </row>
    <row r="1179">
      <c r="A1179" t="inlineStr">
        <is>
          <t>CVE</t>
        </is>
      </c>
      <c r="B1179" t="inlineStr">
        <is>
          <t>CVE-2025-14339</t>
        </is>
      </c>
      <c r="C1179" t="inlineStr">
        <is>
          <t>The weMail - Email Marketing, Lead Generation, Optin Forms, Email Newsletters, A/B Testing, and Automation plugin for WordPress is vulnerable to unauthorized form deletion in all versions up to, and including, 2.0.7. This is due to the `Forms::permission()` callback only validating the `X-WP-Nonce` header without checking user capabilities. Since the REST nonce is exposed to unauthenticated visitors via the `weMail` JavaScript object on pages with weMail forms, any unauthenticated user can perma</t>
        </is>
      </c>
      <c r="D1179" t="n">
        <v>6.5</v>
      </c>
      <c r="E1179" t="inlineStr">
        <is>
          <t>MEDIUM</t>
        </is>
      </c>
      <c r="F1179" t="n">
        <v>2</v>
      </c>
      <c r="G1179" t="n">
        <v>2</v>
      </c>
      <c r="H1179" t="inlineStr">
        <is>
          <t>MEDIUM</t>
        </is>
      </c>
      <c r="I1179" t="n">
        <v>10.5</v>
      </c>
      <c r="J1179" t="inlineStr">
        <is>
          <t>NO</t>
        </is>
      </c>
      <c r="K1179" t="inlineStr">
        <is>
          <t>2026-02-23 23:48</t>
        </is>
      </c>
      <c r="L1179" t="inlineStr">
        <is>
          <t>CHECK_VENDOR</t>
        </is>
      </c>
      <c r="M1179" t="inlineStr">
        <is>
          <t>See CVE details</t>
        </is>
      </c>
      <c r="N1179" t="inlineStr">
        <is>
          <t>P4</t>
        </is>
      </c>
      <c r="O1179" t="inlineStr">
        <is>
          <t>CVE - IP enrichment n/a</t>
        </is>
      </c>
      <c r="P1179" t="n">
        <v>0</v>
      </c>
      <c r="Q1179" t="n">
        <v>0</v>
      </c>
      <c r="R1179" t="inlineStr">
        <is>
          <t>T1190:Exploit Public-Facing Application</t>
        </is>
      </c>
      <c r="S1179" t="n">
        <v>1</v>
      </c>
      <c r="T1179" t="inlineStr">
        <is>
          <t>LOW (40%)</t>
        </is>
      </c>
      <c r="U1179" t="inlineStr">
        <is>
          <t>UNLIKELY</t>
        </is>
      </c>
      <c r="V1179" t="inlineStr">
        <is>
          <t>CHECK_VENDOR</t>
        </is>
      </c>
      <c r="W1179" t="inlineStr">
        <is>
          <t>https://nvd.nist.gov/vuln/detail/CVE-2025-14339</t>
        </is>
      </c>
      <c r="X1179" t="inlineStr">
        <is>
          <t>NONE</t>
        </is>
      </c>
      <c r="Y1179" t="n">
        <v>0</v>
      </c>
      <c r="Z1179" t="inlineStr"/>
      <c r="AA1179" t="inlineStr">
        <is>
          <t>https://nvd.nist.gov/vuln/detail/CVE-2025-14339</t>
        </is>
      </c>
    </row>
    <row r="1180">
      <c r="A1180" t="inlineStr">
        <is>
          <t>CVE</t>
        </is>
      </c>
      <c r="B1180" t="inlineStr">
        <is>
          <t>CVE-2026-27480</t>
        </is>
      </c>
      <c r="C1180" t="inlineStr">
        <is>
          <t>Static Web Server (SWS) is a production-ready web server suitable for static web files or assets. In versions 2.1.0 through 2.40.1, a timing-based username enumeration vulnerability in Basic Authentication allows attackers to identify valid users by exploiting early responses for invalid usernames, enabling targeted brute-force or credential-stuffing attacks. SWS checks whether a username exists before verifying the password, causing valid usernames to follow a slower code path (e.g., bcrypt has</t>
        </is>
      </c>
      <c r="D1180" t="n">
        <v>5.3</v>
      </c>
      <c r="E1180" t="inlineStr">
        <is>
          <t>MEDIUM</t>
        </is>
      </c>
      <c r="F1180" t="n">
        <v>2</v>
      </c>
      <c r="G1180" t="n">
        <v>2</v>
      </c>
      <c r="H1180" t="inlineStr">
        <is>
          <t>MEDIUM</t>
        </is>
      </c>
      <c r="I1180" t="n">
        <v>9.300000000000001</v>
      </c>
      <c r="J1180" t="inlineStr">
        <is>
          <t>NO</t>
        </is>
      </c>
      <c r="K1180" t="inlineStr">
        <is>
          <t>2026-02-23 23:48</t>
        </is>
      </c>
      <c r="L1180" t="inlineStr">
        <is>
          <t>CHECK_VENDOR</t>
        </is>
      </c>
      <c r="M1180" t="inlineStr">
        <is>
          <t>See CVE details</t>
        </is>
      </c>
      <c r="N1180" t="inlineStr">
        <is>
          <t>P4</t>
        </is>
      </c>
      <c r="O1180" t="inlineStr">
        <is>
          <t>CVE - IP enrichment n/a</t>
        </is>
      </c>
      <c r="P1180" t="n">
        <v>0</v>
      </c>
      <c r="Q1180" t="n">
        <v>0</v>
      </c>
      <c r="R1180" t="inlineStr">
        <is>
          <t>T1190:Exploit Public-Facing Application | T1552:Unsecured Credentials</t>
        </is>
      </c>
      <c r="S1180" t="n">
        <v>1</v>
      </c>
      <c r="T1180" t="inlineStr">
        <is>
          <t>LOW (40%)</t>
        </is>
      </c>
      <c r="U1180" t="inlineStr">
        <is>
          <t>UNLIKELY</t>
        </is>
      </c>
      <c r="V1180" t="inlineStr">
        <is>
          <t>CHECK_VENDOR</t>
        </is>
      </c>
      <c r="W1180" t="inlineStr">
        <is>
          <t>https://nvd.nist.gov/vuln/detail/CVE-2026-27480</t>
        </is>
      </c>
      <c r="X1180" t="inlineStr">
        <is>
          <t>NONE</t>
        </is>
      </c>
      <c r="Y1180" t="n">
        <v>0</v>
      </c>
      <c r="Z1180" t="inlineStr"/>
      <c r="AA1180" t="inlineStr">
        <is>
          <t>https://nvd.nist.gov/vuln/detail/CVE-2026-27480</t>
        </is>
      </c>
    </row>
    <row r="1181">
      <c r="A1181" t="inlineStr">
        <is>
          <t>CVE</t>
        </is>
      </c>
      <c r="B1181" t="inlineStr">
        <is>
          <t>CVE-2026-27482</t>
        </is>
      </c>
      <c r="C1181" t="inlineStr">
        <is>
          <t xml:space="preserve">Ray is an AI compute engine. In versions 2.53.0 and below, thedashboard HTTP server blocks browser-origin POST/PUT but does not cover DELETE, and key DELETE endpoints are unauthenticated by default. If the dashboard/agent is reachable (e.g., --dashboard-host=0.0.0.0), a web page via DNS rebinding or same-network access can issue DELETE requests that shut down Serve or delete jobs without user interaction. This is a drive-by availability impact. The fix for this vulnerability is to update to Ray </t>
        </is>
      </c>
      <c r="D1181" t="n">
        <v>5.9</v>
      </c>
      <c r="E1181" t="inlineStr">
        <is>
          <t>MEDIUM</t>
        </is>
      </c>
      <c r="F1181" t="n">
        <v>2</v>
      </c>
      <c r="G1181" t="n">
        <v>2</v>
      </c>
      <c r="H1181" t="inlineStr">
        <is>
          <t>MEDIUM</t>
        </is>
      </c>
      <c r="I1181" t="n">
        <v>9.9</v>
      </c>
      <c r="J1181" t="inlineStr">
        <is>
          <t>NO</t>
        </is>
      </c>
      <c r="K1181" t="inlineStr">
        <is>
          <t>2026-02-23 23:48</t>
        </is>
      </c>
      <c r="L1181" t="inlineStr">
        <is>
          <t>CHECK_VENDOR</t>
        </is>
      </c>
      <c r="M1181" t="inlineStr">
        <is>
          <t>See CVE details</t>
        </is>
      </c>
      <c r="N1181" t="inlineStr">
        <is>
          <t>P4</t>
        </is>
      </c>
      <c r="O1181" t="inlineStr">
        <is>
          <t>CVE - IP enrichment n/a</t>
        </is>
      </c>
      <c r="P1181" t="n">
        <v>0.0003</v>
      </c>
      <c r="Q1181" t="n">
        <v>0.09669999999999999</v>
      </c>
      <c r="R1181" t="inlineStr">
        <is>
          <t>T1190:Exploit Public-Facing Application</t>
        </is>
      </c>
      <c r="S1181" t="n">
        <v>1</v>
      </c>
      <c r="T1181" t="inlineStr">
        <is>
          <t>LOW (40%)</t>
        </is>
      </c>
      <c r="U1181" t="inlineStr">
        <is>
          <t>UNLIKELY</t>
        </is>
      </c>
      <c r="V1181" t="inlineStr">
        <is>
          <t>CHECK_VENDOR</t>
        </is>
      </c>
      <c r="W1181" t="inlineStr">
        <is>
          <t>https://nvd.nist.gov/vuln/detail/CVE-2026-27482</t>
        </is>
      </c>
      <c r="X1181" t="inlineStr">
        <is>
          <t>NONE</t>
        </is>
      </c>
      <c r="Y1181" t="n">
        <v>0</v>
      </c>
      <c r="Z1181" t="inlineStr"/>
      <c r="AA1181" t="inlineStr">
        <is>
          <t>https://nvd.nist.gov/vuln/detail/CVE-2026-27482</t>
        </is>
      </c>
    </row>
    <row r="1182">
      <c r="A1182" t="inlineStr">
        <is>
          <t>CVE</t>
        </is>
      </c>
      <c r="B1182" t="inlineStr">
        <is>
          <t>CVE-2026-27484</t>
        </is>
      </c>
      <c r="C1182" t="inlineStr">
        <is>
          <t>OpenClaw is a personal AI assistant. In versions 2026.2.17 and below, the Discord moderation action handling (timeout, kick, ban) uses sender identity from request parameters in tool-driven flows, instead of trusted runtime sender context. In setups where Discord moderation actions are enabled and the bot has the necessary guild permissions, a non-admin user can request moderation actions by spoofing sender identity fields. This issue has been fixed in version 2026.2.18.</t>
        </is>
      </c>
      <c r="D1182" t="n">
        <v>4.3</v>
      </c>
      <c r="E1182" t="inlineStr">
        <is>
          <t>MEDIUM</t>
        </is>
      </c>
      <c r="F1182" t="n">
        <v>2</v>
      </c>
      <c r="G1182" t="n">
        <v>2</v>
      </c>
      <c r="H1182" t="inlineStr">
        <is>
          <t>MEDIUM</t>
        </is>
      </c>
      <c r="I1182" t="n">
        <v>8.300000000000001</v>
      </c>
      <c r="J1182" t="inlineStr">
        <is>
          <t>NO</t>
        </is>
      </c>
      <c r="K1182" t="inlineStr">
        <is>
          <t>2026-02-23 23:48</t>
        </is>
      </c>
      <c r="L1182" t="inlineStr">
        <is>
          <t>YES</t>
        </is>
      </c>
      <c r="M1182" t="inlineStr">
        <is>
          <t>openclaw openclaw *</t>
        </is>
      </c>
      <c r="N1182" t="inlineStr">
        <is>
          <t>P4</t>
        </is>
      </c>
      <c r="O1182" t="inlineStr">
        <is>
          <t>CVE - IP enrichment n/a</t>
        </is>
      </c>
      <c r="P1182" t="n">
        <v>0</v>
      </c>
      <c r="Q1182" t="n">
        <v>0</v>
      </c>
      <c r="R1182" t="inlineStr">
        <is>
          <t>T1190:Exploit Public-Facing Application</t>
        </is>
      </c>
      <c r="S1182" t="n">
        <v>1</v>
      </c>
      <c r="T1182" t="inlineStr">
        <is>
          <t>LOW (40%)</t>
        </is>
      </c>
      <c r="U1182" t="inlineStr">
        <is>
          <t>UNLIKELY</t>
        </is>
      </c>
      <c r="V1182" t="inlineStr">
        <is>
          <t>PATCH_AVAILABLE</t>
        </is>
      </c>
      <c r="W1182" t="inlineStr">
        <is>
          <t>https://nvd.nist.gov/vuln/detail/CVE-2026-27484</t>
        </is>
      </c>
      <c r="X1182" t="inlineStr">
        <is>
          <t>NONE</t>
        </is>
      </c>
      <c r="Y1182" t="n">
        <v>0</v>
      </c>
      <c r="Z1182" t="inlineStr"/>
      <c r="AA1182" t="inlineStr">
        <is>
          <t>https://nvd.nist.gov/vuln/detail/CVE-2026-27484</t>
        </is>
      </c>
    </row>
    <row r="1183">
      <c r="A1183" t="inlineStr">
        <is>
          <t>CVE</t>
        </is>
      </c>
      <c r="B1183" t="inlineStr">
        <is>
          <t>CVE-2026-27485</t>
        </is>
      </c>
      <c r="C1183" t="inlineStr">
        <is>
          <t>OpenClaw is a personal AI assistant. In versions 2026.2.17 and below, skills/skill-creator/scripts/package_skill.py (a local helper script used when authors package skills) previously followed symlinks while building .skill archives. If an author runs this script on a crafted local skill directory containing symlinks to files outside the skill root, the resulting archive can include unintended file contents. If exploited, this vulnerability can lead to potential unintentional disclosure of local</t>
        </is>
      </c>
      <c r="D1183" t="n">
        <v>4.4</v>
      </c>
      <c r="E1183" t="inlineStr">
        <is>
          <t>MEDIUM</t>
        </is>
      </c>
      <c r="F1183" t="n">
        <v>2</v>
      </c>
      <c r="G1183" t="n">
        <v>2</v>
      </c>
      <c r="H1183" t="inlineStr">
        <is>
          <t>MEDIUM</t>
        </is>
      </c>
      <c r="I1183" t="n">
        <v>8.4</v>
      </c>
      <c r="J1183" t="inlineStr">
        <is>
          <t>NO</t>
        </is>
      </c>
      <c r="K1183" t="inlineStr">
        <is>
          <t>2026-02-23 23:48</t>
        </is>
      </c>
      <c r="L1183" t="inlineStr">
        <is>
          <t>YES</t>
        </is>
      </c>
      <c r="M1183" t="inlineStr">
        <is>
          <t>openclaw openclaw *</t>
        </is>
      </c>
      <c r="N1183" t="inlineStr">
        <is>
          <t>P4</t>
        </is>
      </c>
      <c r="O1183" t="inlineStr">
        <is>
          <t>CVE - IP enrichment n/a</t>
        </is>
      </c>
      <c r="P1183" t="n">
        <v>0.0001</v>
      </c>
      <c r="Q1183" t="n">
        <v>0.0044</v>
      </c>
      <c r="R1183" t="inlineStr">
        <is>
          <t>T1190:Exploit Public-Facing Application</t>
        </is>
      </c>
      <c r="S1183" t="n">
        <v>1</v>
      </c>
      <c r="T1183" t="inlineStr">
        <is>
          <t>LOW (40%)</t>
        </is>
      </c>
      <c r="U1183" t="inlineStr">
        <is>
          <t>UNLIKELY</t>
        </is>
      </c>
      <c r="V1183" t="inlineStr">
        <is>
          <t>PATCH_AVAILABLE</t>
        </is>
      </c>
      <c r="W1183" t="inlineStr">
        <is>
          <t>https://nvd.nist.gov/vuln/detail/CVE-2026-27485</t>
        </is>
      </c>
      <c r="X1183" t="inlineStr">
        <is>
          <t>NONE</t>
        </is>
      </c>
      <c r="Y1183" t="n">
        <v>0</v>
      </c>
      <c r="Z1183" t="inlineStr"/>
      <c r="AA1183" t="inlineStr">
        <is>
          <t>https://nvd.nist.gov/vuln/detail/CVE-2026-27485</t>
        </is>
      </c>
    </row>
    <row r="1184">
      <c r="A1184" t="inlineStr">
        <is>
          <t>CVE</t>
        </is>
      </c>
      <c r="B1184" t="inlineStr">
        <is>
          <t>CVE-2026-27486</t>
        </is>
      </c>
      <c r="C1184" t="inlineStr">
        <is>
          <t xml:space="preserve">OpenClaw is a personal AI assistant. In versions 2026.2.13 and below of the OpenClaw CLI, the process cleanup uses system-wide process enumeration and pattern matching to terminate processes without verifying if they are owned by the current OpenClaw process. On shared hosts, unrelated processes can be terminated if they match the pattern. The CLI runner cleanup helpers can kill processes matched by command-line patterns without validating process ownership. This issue has been fixed in version </t>
        </is>
      </c>
      <c r="D1184" t="n">
        <v>5</v>
      </c>
      <c r="E1184" t="inlineStr">
        <is>
          <t>MEDIUM</t>
        </is>
      </c>
      <c r="F1184" t="n">
        <v>2</v>
      </c>
      <c r="G1184" t="n">
        <v>2</v>
      </c>
      <c r="H1184" t="inlineStr">
        <is>
          <t>MEDIUM</t>
        </is>
      </c>
      <c r="I1184" t="n">
        <v>9</v>
      </c>
      <c r="J1184" t="inlineStr">
        <is>
          <t>NO</t>
        </is>
      </c>
      <c r="K1184" t="inlineStr">
        <is>
          <t>2026-02-23 23:48</t>
        </is>
      </c>
      <c r="L1184" t="inlineStr">
        <is>
          <t>CHECK_VENDOR</t>
        </is>
      </c>
      <c r="M1184" t="inlineStr">
        <is>
          <t>See CVE details</t>
        </is>
      </c>
      <c r="N1184" t="inlineStr">
        <is>
          <t>P4</t>
        </is>
      </c>
      <c r="O1184" t="inlineStr">
        <is>
          <t>CVE - IP enrichment n/a</t>
        </is>
      </c>
      <c r="P1184" t="n">
        <v>0.0001</v>
      </c>
      <c r="Q1184" t="n">
        <v>0.0189</v>
      </c>
      <c r="R1184" t="inlineStr">
        <is>
          <t>T1190:Exploit Public-Facing Application</t>
        </is>
      </c>
      <c r="S1184" t="n">
        <v>1</v>
      </c>
      <c r="T1184" t="inlineStr">
        <is>
          <t>LOW (40%)</t>
        </is>
      </c>
      <c r="U1184" t="inlineStr">
        <is>
          <t>UNLIKELY</t>
        </is>
      </c>
      <c r="V1184" t="inlineStr">
        <is>
          <t>CHECK_VENDOR</t>
        </is>
      </c>
      <c r="W1184" t="inlineStr">
        <is>
          <t>https://nvd.nist.gov/vuln/detail/CVE-2026-27486</t>
        </is>
      </c>
      <c r="X1184" t="inlineStr">
        <is>
          <t>NONE</t>
        </is>
      </c>
      <c r="Y1184" t="n">
        <v>0</v>
      </c>
      <c r="Z1184" t="inlineStr"/>
      <c r="AA1184" t="inlineStr">
        <is>
          <t>https://nvd.nist.gov/vuln/detail/CVE-2026-27486</t>
        </is>
      </c>
    </row>
    <row r="1185">
      <c r="A1185" t="inlineStr">
        <is>
          <t>CVE</t>
        </is>
      </c>
      <c r="B1185" t="inlineStr">
        <is>
          <t>CVE-2026-27487</t>
        </is>
      </c>
      <c r="C1185" t="inlineStr">
        <is>
          <t>OpenClaw is a personal AI assistant. In versions 2026.2.13 and below, when using macOS, the Claude CLI keychain credential refresh path constructed a shell command to write the updated JSON blob into Keychain via security add-generic-password -w .... Because OAuth tokens are user-controlled data, this created an OS command injection risk. This issue has been fixed in version 2026.2.14.</t>
        </is>
      </c>
      <c r="D1185" t="n">
        <v>7.6</v>
      </c>
      <c r="E1185" t="inlineStr">
        <is>
          <t>HIGH</t>
        </is>
      </c>
      <c r="F1185" t="n">
        <v>2</v>
      </c>
      <c r="G1185" t="n">
        <v>3</v>
      </c>
      <c r="H1185" t="inlineStr">
        <is>
          <t>HIGH</t>
        </is>
      </c>
      <c r="I1185" t="n">
        <v>13.6</v>
      </c>
      <c r="J1185" t="inlineStr">
        <is>
          <t>NO</t>
        </is>
      </c>
      <c r="K1185" t="inlineStr">
        <is>
          <t>2026-02-23 23:48</t>
        </is>
      </c>
      <c r="L1185" t="inlineStr">
        <is>
          <t>YES</t>
        </is>
      </c>
      <c r="M1185" t="inlineStr">
        <is>
          <t>openclaw openclaw * | apple macos -</t>
        </is>
      </c>
      <c r="N1185" t="inlineStr">
        <is>
          <t>P3</t>
        </is>
      </c>
      <c r="O1185" t="inlineStr">
        <is>
          <t>CVE - IP enrichment n/a</t>
        </is>
      </c>
      <c r="P1185" t="n">
        <v>0</v>
      </c>
      <c r="Q1185" t="n">
        <v>0</v>
      </c>
      <c r="R1185" t="inlineStr">
        <is>
          <t>T1059:Command and Scripting Interpreter | T1552:Unsecured Credentials</t>
        </is>
      </c>
      <c r="S1185" t="n">
        <v>1</v>
      </c>
      <c r="T1185" t="inlineStr">
        <is>
          <t>LOW (40%)</t>
        </is>
      </c>
      <c r="U1185" t="inlineStr">
        <is>
          <t>UNLIKELY</t>
        </is>
      </c>
      <c r="V1185" t="inlineStr">
        <is>
          <t>PATCH_AVAILABLE</t>
        </is>
      </c>
      <c r="W1185" t="inlineStr">
        <is>
          <t>https://nvd.nist.gov/vuln/detail/CVE-2026-27487</t>
        </is>
      </c>
      <c r="X1185" t="inlineStr">
        <is>
          <t>NONE</t>
        </is>
      </c>
      <c r="Y1185" t="n">
        <v>0</v>
      </c>
      <c r="Z1185" t="inlineStr"/>
      <c r="AA1185" t="inlineStr">
        <is>
          <t>https://nvd.nist.gov/vuln/detail/CVE-2026-27487</t>
        </is>
      </c>
    </row>
    <row r="1186">
      <c r="A1186" t="inlineStr">
        <is>
          <t>CVE</t>
        </is>
      </c>
      <c r="B1186" t="inlineStr">
        <is>
          <t>CVE-2026-27488</t>
        </is>
      </c>
      <c r="C1186" t="inlineStr">
        <is>
          <t>OpenClaw is a personal AI assistant. In versions 2026.2.17 and below, Cron webhook delivery in src/gateway/server-cron.ts uses fetch() directly, so webhook targets can reach private/metadata/internal endpoints without SSRF policy checks. This issue was fixed in version 2026.2.19.</t>
        </is>
      </c>
      <c r="D1186" t="n">
        <v>7.3</v>
      </c>
      <c r="E1186" t="inlineStr">
        <is>
          <t>HIGH</t>
        </is>
      </c>
      <c r="F1186" t="n">
        <v>2</v>
      </c>
      <c r="G1186" t="n">
        <v>3</v>
      </c>
      <c r="H1186" t="inlineStr">
        <is>
          <t>HIGH</t>
        </is>
      </c>
      <c r="I1186" t="n">
        <v>13.3</v>
      </c>
      <c r="J1186" t="inlineStr">
        <is>
          <t>NO</t>
        </is>
      </c>
      <c r="K1186" t="inlineStr">
        <is>
          <t>2026-02-23 23:48</t>
        </is>
      </c>
      <c r="L1186" t="inlineStr">
        <is>
          <t>YES</t>
        </is>
      </c>
      <c r="M1186" t="inlineStr">
        <is>
          <t>openclaw openclaw *</t>
        </is>
      </c>
      <c r="N1186" t="inlineStr">
        <is>
          <t>P3</t>
        </is>
      </c>
      <c r="O1186" t="inlineStr">
        <is>
          <t>CVE - IP enrichment n/a</t>
        </is>
      </c>
      <c r="P1186" t="n">
        <v>0.0001</v>
      </c>
      <c r="Q1186" t="n">
        <v>0.019</v>
      </c>
      <c r="R1186" t="inlineStr">
        <is>
          <t>T1090:Proxy</t>
        </is>
      </c>
      <c r="S1186" t="n">
        <v>1</v>
      </c>
      <c r="T1186" t="inlineStr">
        <is>
          <t>LOW (40%)</t>
        </is>
      </c>
      <c r="U1186" t="inlineStr">
        <is>
          <t>UNLIKELY</t>
        </is>
      </c>
      <c r="V1186" t="inlineStr">
        <is>
          <t>PATCH_AVAILABLE</t>
        </is>
      </c>
      <c r="W1186" t="inlineStr">
        <is>
          <t>https://nvd.nist.gov/vuln/detail/CVE-2026-27488</t>
        </is>
      </c>
      <c r="X1186" t="inlineStr">
        <is>
          <t>NONE</t>
        </is>
      </c>
      <c r="Y1186" t="n">
        <v>0</v>
      </c>
      <c r="Z1186" t="inlineStr"/>
      <c r="AA1186" t="inlineStr">
        <is>
          <t>https://nvd.nist.gov/vuln/detail/CVE-2026-27488</t>
        </is>
      </c>
    </row>
    <row r="1187">
      <c r="A1187" t="inlineStr">
        <is>
          <t>CVE</t>
        </is>
      </c>
      <c r="B1187" t="inlineStr">
        <is>
          <t>CVE-2026-27576</t>
        </is>
      </c>
      <c r="C1187" t="inlineStr">
        <is>
          <t>OpenClaw is a personal AI assistant. In versions 2026.2.17 and below, the ACP bridge accepts very large prompt text blocks and can assemble oversized prompt payloads before forwarding them to chat.send. Because ACP runs over local stdio, this mainly affects local ACP clients (for example IDE integrations) that send unusually large inputs. This issue has been fixed in version 2026.2.19.</t>
        </is>
      </c>
      <c r="D1187" t="n">
        <v>4</v>
      </c>
      <c r="E1187" t="inlineStr">
        <is>
          <t>MEDIUM</t>
        </is>
      </c>
      <c r="F1187" t="n">
        <v>2</v>
      </c>
      <c r="G1187" t="n">
        <v>2</v>
      </c>
      <c r="H1187" t="inlineStr">
        <is>
          <t>MEDIUM</t>
        </is>
      </c>
      <c r="I1187" t="n">
        <v>8</v>
      </c>
      <c r="J1187" t="inlineStr">
        <is>
          <t>NO</t>
        </is>
      </c>
      <c r="K1187" t="inlineStr">
        <is>
          <t>2026-02-23 23:48</t>
        </is>
      </c>
      <c r="L1187" t="inlineStr">
        <is>
          <t>YES</t>
        </is>
      </c>
      <c r="M1187" t="inlineStr">
        <is>
          <t>openclaw openclaw *</t>
        </is>
      </c>
      <c r="N1187" t="inlineStr">
        <is>
          <t>P4</t>
        </is>
      </c>
      <c r="O1187" t="inlineStr">
        <is>
          <t>CVE - IP enrichment n/a</t>
        </is>
      </c>
      <c r="P1187" t="n">
        <v>0</v>
      </c>
      <c r="Q1187" t="n">
        <v>0</v>
      </c>
      <c r="R1187" t="inlineStr">
        <is>
          <t>T1190:Exploit Public-Facing Application</t>
        </is>
      </c>
      <c r="S1187" t="n">
        <v>1</v>
      </c>
      <c r="T1187" t="inlineStr">
        <is>
          <t>LOW (40%)</t>
        </is>
      </c>
      <c r="U1187" t="inlineStr">
        <is>
          <t>UNLIKELY</t>
        </is>
      </c>
      <c r="V1187" t="inlineStr">
        <is>
          <t>PATCH_AVAILABLE</t>
        </is>
      </c>
      <c r="W1187" t="inlineStr">
        <is>
          <t>https://nvd.nist.gov/vuln/detail/CVE-2026-27576</t>
        </is>
      </c>
      <c r="X1187" t="inlineStr">
        <is>
          <t>NONE</t>
        </is>
      </c>
      <c r="Y1187" t="n">
        <v>0</v>
      </c>
      <c r="Z1187" t="inlineStr"/>
      <c r="AA1187" t="inlineStr">
        <is>
          <t>https://nvd.nist.gov/vuln/detail/CVE-2026-27576</t>
        </is>
      </c>
    </row>
    <row r="1188">
      <c r="A1188" t="inlineStr">
        <is>
          <t>CVE</t>
        </is>
      </c>
      <c r="B1188" t="inlineStr">
        <is>
          <t>CVE-2026-1787</t>
        </is>
      </c>
      <c r="C1188" t="inlineStr">
        <is>
          <t>The LearnPress Export Import – WordPress extension for LearnPress plugin for WordPress is vulnerable to unauthorized loss of data due to a missing capability check on the 'delete_migrated_data' function in all versions up to, and including, 4.1.0. This makes it possible for unauthenticated attackers to delete course that have been migrated from Tutor LMS. The Tutor LMS plugin must be installed and activated in order to exploit the vulnerability.</t>
        </is>
      </c>
      <c r="D1188" t="n">
        <v>4.8</v>
      </c>
      <c r="E1188" t="inlineStr">
        <is>
          <t>MEDIUM</t>
        </is>
      </c>
      <c r="F1188" t="n">
        <v>2</v>
      </c>
      <c r="G1188" t="n">
        <v>2</v>
      </c>
      <c r="H1188" t="inlineStr">
        <is>
          <t>MEDIUM</t>
        </is>
      </c>
      <c r="I1188" t="n">
        <v>8.800000000000001</v>
      </c>
      <c r="J1188" t="inlineStr">
        <is>
          <t>NO</t>
        </is>
      </c>
      <c r="K1188" t="inlineStr">
        <is>
          <t>2026-02-23 23:48</t>
        </is>
      </c>
      <c r="L1188" t="inlineStr">
        <is>
          <t>CHECK_VENDOR</t>
        </is>
      </c>
      <c r="M1188" t="inlineStr">
        <is>
          <t>See CVE details</t>
        </is>
      </c>
      <c r="N1188" t="inlineStr">
        <is>
          <t>P4</t>
        </is>
      </c>
      <c r="O1188" t="inlineStr">
        <is>
          <t>CVE - IP enrichment n/a</t>
        </is>
      </c>
      <c r="P1188" t="n">
        <v>0</v>
      </c>
      <c r="Q1188" t="n">
        <v>0</v>
      </c>
      <c r="R1188" t="inlineStr">
        <is>
          <t>T1190:Exploit Public-Facing Application</t>
        </is>
      </c>
      <c r="S1188" t="n">
        <v>1</v>
      </c>
      <c r="T1188" t="inlineStr">
        <is>
          <t>LOW (40%)</t>
        </is>
      </c>
      <c r="U1188" t="inlineStr">
        <is>
          <t>UNLIKELY</t>
        </is>
      </c>
      <c r="V1188" t="inlineStr">
        <is>
          <t>CHECK_VENDOR</t>
        </is>
      </c>
      <c r="W1188" t="inlineStr">
        <is>
          <t>https://nvd.nist.gov/vuln/detail/CVE-2026-1787</t>
        </is>
      </c>
      <c r="X1188" t="inlineStr">
        <is>
          <t>NONE</t>
        </is>
      </c>
      <c r="Y1188" t="n">
        <v>0</v>
      </c>
      <c r="Z1188" t="inlineStr"/>
      <c r="AA1188" t="inlineStr">
        <is>
          <t>https://nvd.nist.gov/vuln/detail/CVE-2026-1787</t>
        </is>
      </c>
    </row>
    <row r="1189">
      <c r="A1189" t="inlineStr">
        <is>
          <t>CVE</t>
        </is>
      </c>
      <c r="B1189" t="inlineStr">
        <is>
          <t>CVE-2026-27492</t>
        </is>
      </c>
      <c r="C1189" t="inlineStr">
        <is>
          <t>Lettermint Node.js SDK is the official Node.js SDK for Lettermint. In versions 1.5.0 and below, email properties (such as to, subject, html, text, and attachments) are not reset between sends when a single client instance is reused across multiple .send() calls. This can cause properties from a previous send to leak into a subsequent one, potentially delivering content or recipient addresses to unintended parties. Applications sending emails to different recipients in sequence — such as transact</t>
        </is>
      </c>
      <c r="D1189" t="n">
        <v>4.7</v>
      </c>
      <c r="E1189" t="inlineStr">
        <is>
          <t>MEDIUM</t>
        </is>
      </c>
      <c r="F1189" t="n">
        <v>2</v>
      </c>
      <c r="G1189" t="n">
        <v>2</v>
      </c>
      <c r="H1189" t="inlineStr">
        <is>
          <t>MEDIUM</t>
        </is>
      </c>
      <c r="I1189" t="n">
        <v>8.699999999999999</v>
      </c>
      <c r="J1189" t="inlineStr">
        <is>
          <t>NO</t>
        </is>
      </c>
      <c r="K1189" t="inlineStr">
        <is>
          <t>2026-02-23 23:48</t>
        </is>
      </c>
      <c r="L1189" t="inlineStr">
        <is>
          <t>CHECK_VENDOR</t>
        </is>
      </c>
      <c r="M1189" t="inlineStr">
        <is>
          <t>See CVE details</t>
        </is>
      </c>
      <c r="N1189" t="inlineStr">
        <is>
          <t>P4</t>
        </is>
      </c>
      <c r="O1189" t="inlineStr">
        <is>
          <t>CVE - IP enrichment n/a</t>
        </is>
      </c>
      <c r="P1189" t="n">
        <v>0</v>
      </c>
      <c r="Q1189" t="n">
        <v>0</v>
      </c>
      <c r="R1189" t="inlineStr">
        <is>
          <t>T1190:Exploit Public-Facing Application</t>
        </is>
      </c>
      <c r="S1189" t="n">
        <v>1</v>
      </c>
      <c r="T1189" t="inlineStr">
        <is>
          <t>LOW (40%)</t>
        </is>
      </c>
      <c r="U1189" t="inlineStr">
        <is>
          <t>UNLIKELY</t>
        </is>
      </c>
      <c r="V1189" t="inlineStr">
        <is>
          <t>CHECK_VENDOR</t>
        </is>
      </c>
      <c r="W1189" t="inlineStr">
        <is>
          <t>https://nvd.nist.gov/vuln/detail/CVE-2026-27492</t>
        </is>
      </c>
      <c r="X1189" t="inlineStr">
        <is>
          <t>NONE</t>
        </is>
      </c>
      <c r="Y1189" t="n">
        <v>0</v>
      </c>
      <c r="Z1189" t="inlineStr"/>
      <c r="AA1189" t="inlineStr">
        <is>
          <t>https://nvd.nist.gov/vuln/detail/CVE-2026-27492</t>
        </is>
      </c>
    </row>
    <row r="1190">
      <c r="A1190" t="inlineStr">
        <is>
          <t>CVE</t>
        </is>
      </c>
      <c r="B1190" t="inlineStr">
        <is>
          <t>CVE-2026-27574</t>
        </is>
      </c>
      <c r="C1190" t="inlineStr">
        <is>
          <t>OneUptime is a solution for monitoring and managing online services. In versions 9.5.13 and below, custom JavaScript monitor feature uses Node.js's node:vm module (explicitly documented as not a security mechanism) to execute user-supplied code, allowing trivial sandbox escape via a well-known one-liner that grants full access to the underlying process. Because the probe runs with host networking and holds all cluster credentials (ONEUPTIME_SECRET, DATABASE_PASSWORD, REDIS_PASSWORD, CLICKHOUSE_P</t>
        </is>
      </c>
      <c r="D1190" t="n">
        <v>9.9</v>
      </c>
      <c r="E1190" t="inlineStr">
        <is>
          <t>CRITICAL</t>
        </is>
      </c>
      <c r="F1190" t="n">
        <v>2</v>
      </c>
      <c r="G1190" t="n">
        <v>3</v>
      </c>
      <c r="H1190" t="inlineStr">
        <is>
          <t>HIGH</t>
        </is>
      </c>
      <c r="I1190" t="n">
        <v>15.9</v>
      </c>
      <c r="J1190" t="inlineStr">
        <is>
          <t>NO</t>
        </is>
      </c>
      <c r="K1190" t="inlineStr">
        <is>
          <t>2026-02-23 23:48</t>
        </is>
      </c>
      <c r="L1190" t="inlineStr">
        <is>
          <t>YES</t>
        </is>
      </c>
      <c r="M1190" t="inlineStr">
        <is>
          <t>hackerbay oneuptime *</t>
        </is>
      </c>
      <c r="N1190" t="inlineStr">
        <is>
          <t>P3</t>
        </is>
      </c>
      <c r="O1190" t="inlineStr">
        <is>
          <t>CVE - IP enrichment n/a</t>
        </is>
      </c>
      <c r="P1190" t="n">
        <v>0</v>
      </c>
      <c r="Q1190" t="n">
        <v>0</v>
      </c>
      <c r="R1190" t="inlineStr">
        <is>
          <t>T1059:Command and Scripting Interpreter | T1552:Unsecured Credentials</t>
        </is>
      </c>
      <c r="S1190" t="n">
        <v>1</v>
      </c>
      <c r="T1190" t="inlineStr">
        <is>
          <t>LOW (40%)</t>
        </is>
      </c>
      <c r="U1190" t="inlineStr">
        <is>
          <t>UNLIKELY</t>
        </is>
      </c>
      <c r="V1190" t="inlineStr">
        <is>
          <t>PATCH_AVAILABLE</t>
        </is>
      </c>
      <c r="W1190" t="inlineStr">
        <is>
          <t>https://nvd.nist.gov/vuln/detail/CVE-2026-27574</t>
        </is>
      </c>
      <c r="X1190" t="inlineStr">
        <is>
          <t>NONE</t>
        </is>
      </c>
      <c r="Y1190" t="n">
        <v>0</v>
      </c>
      <c r="Z1190" t="inlineStr"/>
      <c r="AA1190" t="inlineStr">
        <is>
          <t>https://nvd.nist.gov/vuln/detail/CVE-2026-27574</t>
        </is>
      </c>
    </row>
    <row r="1191">
      <c r="A1191" t="inlineStr">
        <is>
          <t>CVE</t>
        </is>
      </c>
      <c r="B1191" t="inlineStr">
        <is>
          <t>CVE-2026-27579</t>
        </is>
      </c>
      <c r="C1191" t="inlineStr">
        <is>
          <t>CollabPlatform is a full-stack, real-time doc collaboration platform. In all versions of CollabPlatform, the Appwrite project used by the application is misconfigured to allow arbitrary origins in CORS responses while also permitting credentialed requests. An attacker-controlled domain can issue authenticated cross-origin requests and read sensitive user account information, including email address, account identifiers, and MFA status. The issue did not have a fix at the time of publication.</t>
        </is>
      </c>
      <c r="D1191" t="n">
        <v>7.4</v>
      </c>
      <c r="E1191" t="inlineStr">
        <is>
          <t>HIGH</t>
        </is>
      </c>
      <c r="F1191" t="n">
        <v>2</v>
      </c>
      <c r="G1191" t="n">
        <v>3</v>
      </c>
      <c r="H1191" t="inlineStr">
        <is>
          <t>HIGH</t>
        </is>
      </c>
      <c r="I1191" t="n">
        <v>13.4</v>
      </c>
      <c r="J1191" t="inlineStr">
        <is>
          <t>NO</t>
        </is>
      </c>
      <c r="K1191" t="inlineStr">
        <is>
          <t>2026-02-23 23:48</t>
        </is>
      </c>
      <c r="L1191" t="inlineStr">
        <is>
          <t>CHECK_VENDOR</t>
        </is>
      </c>
      <c r="M1191" t="inlineStr">
        <is>
          <t>See CVE details</t>
        </is>
      </c>
      <c r="N1191" t="inlineStr">
        <is>
          <t>P3</t>
        </is>
      </c>
      <c r="O1191" t="inlineStr">
        <is>
          <t>CVE - IP enrichment n/a</t>
        </is>
      </c>
      <c r="P1191" t="n">
        <v>0</v>
      </c>
      <c r="Q1191" t="n">
        <v>0</v>
      </c>
      <c r="R1191" t="inlineStr">
        <is>
          <t>T1552:Unsecured Credentials</t>
        </is>
      </c>
      <c r="S1191" t="n">
        <v>1</v>
      </c>
      <c r="T1191" t="inlineStr">
        <is>
          <t>LOW (40%)</t>
        </is>
      </c>
      <c r="U1191" t="inlineStr">
        <is>
          <t>UNLIKELY</t>
        </is>
      </c>
      <c r="V1191" t="inlineStr">
        <is>
          <t>CHECK_VENDOR</t>
        </is>
      </c>
      <c r="W1191" t="inlineStr">
        <is>
          <t>https://nvd.nist.gov/vuln/detail/CVE-2026-27579</t>
        </is>
      </c>
      <c r="X1191" t="inlineStr">
        <is>
          <t>NONE</t>
        </is>
      </c>
      <c r="Y1191" t="n">
        <v>0</v>
      </c>
      <c r="Z1191" t="inlineStr"/>
      <c r="AA1191" t="inlineStr">
        <is>
          <t>https://nvd.nist.gov/vuln/detail/CVE-2026-27579</t>
        </is>
      </c>
    </row>
    <row r="1192">
      <c r="A1192" t="inlineStr">
        <is>
          <t>CVE</t>
        </is>
      </c>
      <c r="B1192" t="inlineStr">
        <is>
          <t>CVE-2026-2867</t>
        </is>
      </c>
      <c r="C1192" t="inlineStr">
        <is>
          <t>A vulnerability was determined in itsourcecode Vehicle Management System 1.0. Affected is an unknown function of the file /billaction.php. Executing a manipulation of the argument ID can lead to sql injection. The attack may be launched remotely. The exploit has been publicly disclosed and may be utilized.</t>
        </is>
      </c>
      <c r="D1192" t="n">
        <v>7.3</v>
      </c>
      <c r="E1192" t="inlineStr">
        <is>
          <t>HIGH</t>
        </is>
      </c>
      <c r="F1192" t="n">
        <v>2</v>
      </c>
      <c r="G1192" t="n">
        <v>3</v>
      </c>
      <c r="H1192" t="inlineStr">
        <is>
          <t>HIGH</t>
        </is>
      </c>
      <c r="I1192" t="n">
        <v>13.3</v>
      </c>
      <c r="J1192" t="inlineStr">
        <is>
          <t>NO</t>
        </is>
      </c>
      <c r="K1192" t="inlineStr">
        <is>
          <t>2026-02-23 23:48</t>
        </is>
      </c>
      <c r="L1192" t="inlineStr">
        <is>
          <t>CHECK_VENDOR</t>
        </is>
      </c>
      <c r="M1192" t="inlineStr">
        <is>
          <t>admerc vehicle_management_system 1.0</t>
        </is>
      </c>
      <c r="N1192" t="inlineStr">
        <is>
          <t>P3</t>
        </is>
      </c>
      <c r="O1192" t="inlineStr">
        <is>
          <t>CVE - IP enrichment n/a</t>
        </is>
      </c>
      <c r="P1192" t="n">
        <v>0</v>
      </c>
      <c r="Q1192" t="n">
        <v>0</v>
      </c>
      <c r="R1192" t="inlineStr">
        <is>
          <t>T1190:Exploit Public-Facing Application</t>
        </is>
      </c>
      <c r="S1192" t="n">
        <v>1</v>
      </c>
      <c r="T1192" t="inlineStr">
        <is>
          <t>LOW (40%)</t>
        </is>
      </c>
      <c r="U1192" t="inlineStr">
        <is>
          <t>UNLIKELY</t>
        </is>
      </c>
      <c r="V1192" t="inlineStr">
        <is>
          <t>CHECK_VENDOR</t>
        </is>
      </c>
      <c r="W1192" t="inlineStr">
        <is>
          <t>https://nvd.nist.gov/vuln/detail/CVE-2026-2867</t>
        </is>
      </c>
      <c r="X1192" t="inlineStr">
        <is>
          <t>NONE</t>
        </is>
      </c>
      <c r="Y1192" t="n">
        <v>0</v>
      </c>
      <c r="Z1192" t="inlineStr"/>
      <c r="AA1192" t="inlineStr">
        <is>
          <t>https://nvd.nist.gov/vuln/detail/CVE-2026-2867</t>
        </is>
      </c>
    </row>
    <row r="1193">
      <c r="A1193" t="inlineStr">
        <is>
          <t>CVE</t>
        </is>
      </c>
      <c r="B1193" t="inlineStr">
        <is>
          <t>CVE-2026-2869</t>
        </is>
      </c>
      <c r="C1193" t="inlineStr">
        <is>
          <t>A vulnerability was identified in janet-lang janet up to 1.40.1. Affected by this vulnerability is the function janetc_varset of the file src/core/specials.c of the component handleattr Handler. The manipulation leads to out-of-bounds read. The attack can only be performed from a local environment. The exploit is publicly available and might be used. Upgrading to version 1.41.0 addresses this issue. The identifier of the patch is 2fabc80151a2b8834ee59cda8a70453f848b40e5. The affected component s</t>
        </is>
      </c>
      <c r="D1193" t="n">
        <v>3.3</v>
      </c>
      <c r="E1193" t="inlineStr">
        <is>
          <t>LOW</t>
        </is>
      </c>
      <c r="F1193" t="n">
        <v>2</v>
      </c>
      <c r="G1193" t="n">
        <v>1</v>
      </c>
      <c r="H1193" t="inlineStr">
        <is>
          <t>LOW</t>
        </is>
      </c>
      <c r="I1193" t="n">
        <v>5.3</v>
      </c>
      <c r="J1193" t="inlineStr">
        <is>
          <t>NO</t>
        </is>
      </c>
      <c r="K1193" t="inlineStr">
        <is>
          <t>2026-02-23 23:48</t>
        </is>
      </c>
      <c r="L1193" t="inlineStr">
        <is>
          <t>CHECK_VENDOR</t>
        </is>
      </c>
      <c r="M1193" t="inlineStr">
        <is>
          <t>See CVE details</t>
        </is>
      </c>
      <c r="N1193" t="inlineStr">
        <is>
          <t>P4</t>
        </is>
      </c>
      <c r="O1193" t="inlineStr">
        <is>
          <t>CVE - IP enrichment n/a</t>
        </is>
      </c>
      <c r="P1193" t="n">
        <v>0.0001</v>
      </c>
      <c r="Q1193" t="n">
        <v>0.0199</v>
      </c>
      <c r="R1193" t="inlineStr">
        <is>
          <t>T1203:Exploitation for Client Execution</t>
        </is>
      </c>
      <c r="S1193" t="n">
        <v>1</v>
      </c>
      <c r="T1193" t="inlineStr">
        <is>
          <t>LOW (40%)</t>
        </is>
      </c>
      <c r="U1193" t="inlineStr">
        <is>
          <t>UNLIKELY</t>
        </is>
      </c>
      <c r="V1193" t="inlineStr">
        <is>
          <t>CHECK_VENDOR</t>
        </is>
      </c>
      <c r="W1193" t="inlineStr">
        <is>
          <t>https://nvd.nist.gov/vuln/detail/CVE-2026-2869</t>
        </is>
      </c>
      <c r="X1193" t="inlineStr">
        <is>
          <t>NONE</t>
        </is>
      </c>
      <c r="Y1193" t="n">
        <v>0</v>
      </c>
      <c r="Z1193" t="inlineStr"/>
      <c r="AA1193" t="inlineStr">
        <is>
          <t>https://nvd.nist.gov/vuln/detail/CVE-2026-2869</t>
        </is>
      </c>
    </row>
    <row r="1194">
      <c r="A1194" t="inlineStr">
        <is>
          <t>CVE</t>
        </is>
      </c>
      <c r="B1194" t="inlineStr">
        <is>
          <t>CVE-2026-2870</t>
        </is>
      </c>
      <c r="C1194" t="inlineStr">
        <is>
          <t>A security flaw has been discovered in Tenda A21 1.0.0.0. Affected by this issue is the function set_qosMib_list of the file /goform/formSetQosBand. The manipulation of the argument list results in stack-based buffer overflow. The attack can be executed remotely. The exploit has been released to the public and may be used for attacks.</t>
        </is>
      </c>
      <c r="D1194" t="n">
        <v>8.800000000000001</v>
      </c>
      <c r="E1194" t="inlineStr">
        <is>
          <t>HIGH</t>
        </is>
      </c>
      <c r="F1194" t="n">
        <v>2</v>
      </c>
      <c r="G1194" t="n">
        <v>3</v>
      </c>
      <c r="H1194" t="inlineStr">
        <is>
          <t>HIGH</t>
        </is>
      </c>
      <c r="I1194" t="n">
        <v>14.8</v>
      </c>
      <c r="J1194" t="inlineStr">
        <is>
          <t>NO</t>
        </is>
      </c>
      <c r="K1194" t="inlineStr">
        <is>
          <t>2026-02-23 23:48</t>
        </is>
      </c>
      <c r="L1194" t="inlineStr">
        <is>
          <t>YES</t>
        </is>
      </c>
      <c r="M1194" t="inlineStr">
        <is>
          <t>tenda a21_firmware 1.0.0.0 | tenda a21 -</t>
        </is>
      </c>
      <c r="N1194" t="inlineStr">
        <is>
          <t>P3</t>
        </is>
      </c>
      <c r="O1194" t="inlineStr">
        <is>
          <t>CVE - IP enrichment n/a</t>
        </is>
      </c>
      <c r="P1194" t="n">
        <v>0.0005</v>
      </c>
      <c r="Q1194" t="n">
        <v>0.1437</v>
      </c>
      <c r="R1194" t="inlineStr">
        <is>
          <t>T1203:Exploitation for Client Execution</t>
        </is>
      </c>
      <c r="S1194" t="n">
        <v>1</v>
      </c>
      <c r="T1194" t="inlineStr">
        <is>
          <t>LOW (40%)</t>
        </is>
      </c>
      <c r="U1194" t="inlineStr">
        <is>
          <t>UNLIKELY</t>
        </is>
      </c>
      <c r="V1194" t="inlineStr">
        <is>
          <t>PATCH_AVAILABLE</t>
        </is>
      </c>
      <c r="W1194" t="inlineStr">
        <is>
          <t>https://nvd.nist.gov/vuln/detail/CVE-2026-2870</t>
        </is>
      </c>
      <c r="X1194" t="inlineStr">
        <is>
          <t>NONE</t>
        </is>
      </c>
      <c r="Y1194" t="n">
        <v>0</v>
      </c>
      <c r="Z1194" t="inlineStr"/>
      <c r="AA1194" t="inlineStr">
        <is>
          <t>https://nvd.nist.gov/vuln/detail/CVE-2026-2870</t>
        </is>
      </c>
    </row>
    <row r="1195">
      <c r="A1195" t="inlineStr">
        <is>
          <t>CVE</t>
        </is>
      </c>
      <c r="B1195" t="inlineStr">
        <is>
          <t>CVE-2026-2871</t>
        </is>
      </c>
      <c r="C1195" t="inlineStr">
        <is>
          <t>A weakness has been identified in Tenda A21 1.0.0.0. This affects the function fromSetIpMacBind of the file /goform/SetIpMacBind. This manipulation of the argument list causes stack-based buffer overflow. The attack is possible to be carried out remotely. The exploit has been made available to the public and could be used for attacks.</t>
        </is>
      </c>
      <c r="D1195" t="n">
        <v>8.800000000000001</v>
      </c>
      <c r="E1195" t="inlineStr">
        <is>
          <t>HIGH</t>
        </is>
      </c>
      <c r="F1195" t="n">
        <v>2</v>
      </c>
      <c r="G1195" t="n">
        <v>3</v>
      </c>
      <c r="H1195" t="inlineStr">
        <is>
          <t>HIGH</t>
        </is>
      </c>
      <c r="I1195" t="n">
        <v>14.8</v>
      </c>
      <c r="J1195" t="inlineStr">
        <is>
          <t>NO</t>
        </is>
      </c>
      <c r="K1195" t="inlineStr">
        <is>
          <t>2026-02-23 23:48</t>
        </is>
      </c>
      <c r="L1195" t="inlineStr">
        <is>
          <t>YES</t>
        </is>
      </c>
      <c r="M1195" t="inlineStr">
        <is>
          <t>tenda a21_firmware 1.0.0.0 | tenda a21 -</t>
        </is>
      </c>
      <c r="N1195" t="inlineStr">
        <is>
          <t>P3</t>
        </is>
      </c>
      <c r="O1195" t="inlineStr">
        <is>
          <t>CVE - IP enrichment n/a</t>
        </is>
      </c>
      <c r="P1195" t="n">
        <v>0</v>
      </c>
      <c r="Q1195" t="n">
        <v>0</v>
      </c>
      <c r="R1195" t="inlineStr">
        <is>
          <t>T1203:Exploitation for Client Execution</t>
        </is>
      </c>
      <c r="S1195" t="n">
        <v>1</v>
      </c>
      <c r="T1195" t="inlineStr">
        <is>
          <t>LOW (40%)</t>
        </is>
      </c>
      <c r="U1195" t="inlineStr">
        <is>
          <t>UNLIKELY</t>
        </is>
      </c>
      <c r="V1195" t="inlineStr">
        <is>
          <t>PATCH_AVAILABLE</t>
        </is>
      </c>
      <c r="W1195" t="inlineStr">
        <is>
          <t>https://nvd.nist.gov/vuln/detail/CVE-2026-2871</t>
        </is>
      </c>
      <c r="X1195" t="inlineStr">
        <is>
          <t>NONE</t>
        </is>
      </c>
      <c r="Y1195" t="n">
        <v>0</v>
      </c>
      <c r="Z1195" t="inlineStr"/>
      <c r="AA1195" t="inlineStr">
        <is>
          <t>https://nvd.nist.gov/vuln/detail/CVE-2026-2871</t>
        </is>
      </c>
    </row>
    <row r="1196">
      <c r="A1196" t="inlineStr">
        <is>
          <t>CVE</t>
        </is>
      </c>
      <c r="B1196" t="inlineStr">
        <is>
          <t>CVE-2026-2872</t>
        </is>
      </c>
      <c r="C1196" t="inlineStr">
        <is>
          <t>A security vulnerability has been detected in Tenda A21 1.0.0.0. This vulnerability affects the function set_device_name of the file /goform/setBlackRule of the component MAC Filtering Configuration Endpoint. Such manipulation of the argument devName/mac leads to stack-based buffer overflow. The attack may be performed from remote. The exploit has been disclosed publicly and may be used.</t>
        </is>
      </c>
      <c r="D1196" t="n">
        <v>8.800000000000001</v>
      </c>
      <c r="E1196" t="inlineStr">
        <is>
          <t>HIGH</t>
        </is>
      </c>
      <c r="F1196" t="n">
        <v>2</v>
      </c>
      <c r="G1196" t="n">
        <v>3</v>
      </c>
      <c r="H1196" t="inlineStr">
        <is>
          <t>HIGH</t>
        </is>
      </c>
      <c r="I1196" t="n">
        <v>14.8</v>
      </c>
      <c r="J1196" t="inlineStr">
        <is>
          <t>NO</t>
        </is>
      </c>
      <c r="K1196" t="inlineStr">
        <is>
          <t>2026-02-23 23:48</t>
        </is>
      </c>
      <c r="L1196" t="inlineStr">
        <is>
          <t>YES</t>
        </is>
      </c>
      <c r="M1196" t="inlineStr">
        <is>
          <t>tenda a21_firmware 1.0.0.0 | tenda a21 -</t>
        </is>
      </c>
      <c r="N1196" t="inlineStr">
        <is>
          <t>P3</t>
        </is>
      </c>
      <c r="O1196" t="inlineStr">
        <is>
          <t>CVE - IP enrichment n/a</t>
        </is>
      </c>
      <c r="P1196" t="n">
        <v>0</v>
      </c>
      <c r="Q1196" t="n">
        <v>0</v>
      </c>
      <c r="R1196" t="inlineStr">
        <is>
          <t>T1203:Exploitation for Client Execution</t>
        </is>
      </c>
      <c r="S1196" t="n">
        <v>1</v>
      </c>
      <c r="T1196" t="inlineStr">
        <is>
          <t>LOW (40%)</t>
        </is>
      </c>
      <c r="U1196" t="inlineStr">
        <is>
          <t>UNLIKELY</t>
        </is>
      </c>
      <c r="V1196" t="inlineStr">
        <is>
          <t>PATCH_AVAILABLE</t>
        </is>
      </c>
      <c r="W1196" t="inlineStr">
        <is>
          <t>https://nvd.nist.gov/vuln/detail/CVE-2026-2872</t>
        </is>
      </c>
      <c r="X1196" t="inlineStr">
        <is>
          <t>NONE</t>
        </is>
      </c>
      <c r="Y1196" t="n">
        <v>0</v>
      </c>
      <c r="Z1196" t="inlineStr"/>
      <c r="AA1196" t="inlineStr">
        <is>
          <t>https://nvd.nist.gov/vuln/detail/CVE-2026-2872</t>
        </is>
      </c>
    </row>
    <row r="1197">
      <c r="A1197" t="inlineStr">
        <is>
          <t>CVE</t>
        </is>
      </c>
      <c r="B1197" t="inlineStr">
        <is>
          <t>CVE-2026-2873</t>
        </is>
      </c>
      <c r="C1197" t="inlineStr">
        <is>
          <t>A vulnerability was detected in Tenda A21 1.0.0.0. This issue affects the function setSchedWifi of the file /goform/openSchedWifi. Performing a manipulation of the argument schedStartTime/schedEndTime results in stack-based buffer overflow. It is possible to initiate the attack remotely. The exploit is now public and may be used.</t>
        </is>
      </c>
      <c r="D1197" t="n">
        <v>8.800000000000001</v>
      </c>
      <c r="E1197" t="inlineStr">
        <is>
          <t>HIGH</t>
        </is>
      </c>
      <c r="F1197" t="n">
        <v>2</v>
      </c>
      <c r="G1197" t="n">
        <v>3</v>
      </c>
      <c r="H1197" t="inlineStr">
        <is>
          <t>HIGH</t>
        </is>
      </c>
      <c r="I1197" t="n">
        <v>14.8</v>
      </c>
      <c r="J1197" t="inlineStr">
        <is>
          <t>NO</t>
        </is>
      </c>
      <c r="K1197" t="inlineStr">
        <is>
          <t>2026-02-23 23:48</t>
        </is>
      </c>
      <c r="L1197" t="inlineStr">
        <is>
          <t>YES</t>
        </is>
      </c>
      <c r="M1197" t="inlineStr">
        <is>
          <t>tenda a21_firmware 1.0.0.0 | tenda a21 -</t>
        </is>
      </c>
      <c r="N1197" t="inlineStr">
        <is>
          <t>P3</t>
        </is>
      </c>
      <c r="O1197" t="inlineStr">
        <is>
          <t>CVE - IP enrichment n/a</t>
        </is>
      </c>
      <c r="P1197" t="n">
        <v>0</v>
      </c>
      <c r="Q1197" t="n">
        <v>0</v>
      </c>
      <c r="R1197" t="inlineStr">
        <is>
          <t>T1203:Exploitation for Client Execution</t>
        </is>
      </c>
      <c r="S1197" t="n">
        <v>1</v>
      </c>
      <c r="T1197" t="inlineStr">
        <is>
          <t>LOW (40%)</t>
        </is>
      </c>
      <c r="U1197" t="inlineStr">
        <is>
          <t>UNLIKELY</t>
        </is>
      </c>
      <c r="V1197" t="inlineStr">
        <is>
          <t>PATCH_AVAILABLE</t>
        </is>
      </c>
      <c r="W1197" t="inlineStr">
        <is>
          <t>https://nvd.nist.gov/vuln/detail/CVE-2026-2873</t>
        </is>
      </c>
      <c r="X1197" t="inlineStr">
        <is>
          <t>NONE</t>
        </is>
      </c>
      <c r="Y1197" t="n">
        <v>0</v>
      </c>
      <c r="Z1197" t="inlineStr"/>
      <c r="AA1197" t="inlineStr">
        <is>
          <t>https://nvd.nist.gov/vuln/detail/CVE-2026-2873</t>
        </is>
      </c>
    </row>
    <row r="1198">
      <c r="A1198" t="inlineStr">
        <is>
          <t>CVE</t>
        </is>
      </c>
      <c r="B1198" t="inlineStr">
        <is>
          <t>CVE-2026-2874</t>
        </is>
      </c>
      <c r="C1198" t="inlineStr">
        <is>
          <t>A flaw has been found in Tenda A21 1.0.0.0. Impacted is the function form_fast_setting_wifi_set of the file /goform/fast_setting_wifi_set. Executing a manipulation of the argument ssid can lead to stack-based buffer overflow. It is possible to launch the attack remotely. The exploit has been published and may be used.</t>
        </is>
      </c>
      <c r="D1198" t="n">
        <v>8.800000000000001</v>
      </c>
      <c r="E1198" t="inlineStr">
        <is>
          <t>HIGH</t>
        </is>
      </c>
      <c r="F1198" t="n">
        <v>2</v>
      </c>
      <c r="G1198" t="n">
        <v>3</v>
      </c>
      <c r="H1198" t="inlineStr">
        <is>
          <t>HIGH</t>
        </is>
      </c>
      <c r="I1198" t="n">
        <v>14.8</v>
      </c>
      <c r="J1198" t="inlineStr">
        <is>
          <t>NO</t>
        </is>
      </c>
      <c r="K1198" t="inlineStr">
        <is>
          <t>2026-02-23 23:48</t>
        </is>
      </c>
      <c r="L1198" t="inlineStr">
        <is>
          <t>YES</t>
        </is>
      </c>
      <c r="M1198" t="inlineStr">
        <is>
          <t>tenda a21_firmware 1.0.0.0 | tenda a21 -</t>
        </is>
      </c>
      <c r="N1198" t="inlineStr">
        <is>
          <t>P3</t>
        </is>
      </c>
      <c r="O1198" t="inlineStr">
        <is>
          <t>CVE - IP enrichment n/a</t>
        </is>
      </c>
      <c r="P1198" t="n">
        <v>0</v>
      </c>
      <c r="Q1198" t="n">
        <v>0</v>
      </c>
      <c r="R1198" t="inlineStr">
        <is>
          <t>T1203:Exploitation for Client Execution</t>
        </is>
      </c>
      <c r="S1198" t="n">
        <v>1</v>
      </c>
      <c r="T1198" t="inlineStr">
        <is>
          <t>LOW (40%)</t>
        </is>
      </c>
      <c r="U1198" t="inlineStr">
        <is>
          <t>UNLIKELY</t>
        </is>
      </c>
      <c r="V1198" t="inlineStr">
        <is>
          <t>PATCH_AVAILABLE</t>
        </is>
      </c>
      <c r="W1198" t="inlineStr">
        <is>
          <t>https://nvd.nist.gov/vuln/detail/CVE-2026-2874</t>
        </is>
      </c>
      <c r="X1198" t="inlineStr">
        <is>
          <t>NONE</t>
        </is>
      </c>
      <c r="Y1198" t="n">
        <v>0</v>
      </c>
      <c r="Z1198" t="inlineStr"/>
      <c r="AA1198" t="inlineStr">
        <is>
          <t>https://nvd.nist.gov/vuln/detail/CVE-2026-2874</t>
        </is>
      </c>
    </row>
    <row r="1199">
      <c r="A1199" t="inlineStr">
        <is>
          <t>CVE</t>
        </is>
      </c>
      <c r="B1199" t="inlineStr">
        <is>
          <t>CVE-2026-2876</t>
        </is>
      </c>
      <c r="C1199" t="inlineStr">
        <is>
          <t>A vulnerability was determined in Tenda A18 15.13.07.13. This affects the function parse_macfilter_rule of the file /goform/setBlackRule. This manipulation of the argument deviceList causes stack-based buffer overflow. The attack may be initiated remotely. The exploit has been publicly disclosed and may be utilized.</t>
        </is>
      </c>
      <c r="D1199" t="n">
        <v>8.800000000000001</v>
      </c>
      <c r="E1199" t="inlineStr">
        <is>
          <t>HIGH</t>
        </is>
      </c>
      <c r="F1199" t="n">
        <v>2</v>
      </c>
      <c r="G1199" t="n">
        <v>3</v>
      </c>
      <c r="H1199" t="inlineStr">
        <is>
          <t>HIGH</t>
        </is>
      </c>
      <c r="I1199" t="n">
        <v>14.8</v>
      </c>
      <c r="J1199" t="inlineStr">
        <is>
          <t>NO</t>
        </is>
      </c>
      <c r="K1199" t="inlineStr">
        <is>
          <t>2026-02-23 23:48</t>
        </is>
      </c>
      <c r="L1199" t="inlineStr">
        <is>
          <t>CHECK_VENDOR</t>
        </is>
      </c>
      <c r="M1199" t="inlineStr">
        <is>
          <t>tenda a18 - | tenda a18_firmware 15.13.07.13</t>
        </is>
      </c>
      <c r="N1199" t="inlineStr">
        <is>
          <t>P3</t>
        </is>
      </c>
      <c r="O1199" t="inlineStr">
        <is>
          <t>CVE - IP enrichment n/a</t>
        </is>
      </c>
      <c r="P1199" t="n">
        <v>0</v>
      </c>
      <c r="Q1199" t="n">
        <v>0</v>
      </c>
      <c r="R1199" t="inlineStr">
        <is>
          <t>T1203:Exploitation for Client Execution</t>
        </is>
      </c>
      <c r="S1199" t="n">
        <v>1</v>
      </c>
      <c r="T1199" t="inlineStr">
        <is>
          <t>LOW (40%)</t>
        </is>
      </c>
      <c r="U1199" t="inlineStr">
        <is>
          <t>UNLIKELY</t>
        </is>
      </c>
      <c r="V1199" t="inlineStr">
        <is>
          <t>CHECK_VENDOR</t>
        </is>
      </c>
      <c r="W1199" t="inlineStr">
        <is>
          <t>https://nvd.nist.gov/vuln/detail/CVE-2026-2876</t>
        </is>
      </c>
      <c r="X1199" t="inlineStr">
        <is>
          <t>NONE</t>
        </is>
      </c>
      <c r="Y1199" t="n">
        <v>0</v>
      </c>
      <c r="Z1199" t="inlineStr"/>
      <c r="AA1199" t="inlineStr">
        <is>
          <t>https://nvd.nist.gov/vuln/detail/CVE-2026-2876</t>
        </is>
      </c>
    </row>
    <row r="1200">
      <c r="A1200" t="inlineStr">
        <is>
          <t>CVE</t>
        </is>
      </c>
      <c r="B1200" t="inlineStr">
        <is>
          <t>CVE-2026-2877</t>
        </is>
      </c>
      <c r="C1200" t="inlineStr">
        <is>
          <t>A vulnerability has been found in Tenda A18 15.13.07.13. This affects the function strcpy of the file /goform/WifiExtraSet of the component Httpd Service. The manipulation of the argument wpapsk_crypto5g leads to stack-based buffer overflow. It is possible to initiate the attack remotely. The exploit has been disclosed to the public and may be used.</t>
        </is>
      </c>
      <c r="D1200" t="n">
        <v>8.800000000000001</v>
      </c>
      <c r="E1200" t="inlineStr">
        <is>
          <t>HIGH</t>
        </is>
      </c>
      <c r="F1200" t="n">
        <v>2</v>
      </c>
      <c r="G1200" t="n">
        <v>3</v>
      </c>
      <c r="H1200" t="inlineStr">
        <is>
          <t>HIGH</t>
        </is>
      </c>
      <c r="I1200" t="n">
        <v>14.8</v>
      </c>
      <c r="J1200" t="inlineStr">
        <is>
          <t>NO</t>
        </is>
      </c>
      <c r="K1200" t="inlineStr">
        <is>
          <t>2026-02-23 23:48</t>
        </is>
      </c>
      <c r="L1200" t="inlineStr">
        <is>
          <t>CHECK_VENDOR</t>
        </is>
      </c>
      <c r="M1200" t="inlineStr">
        <is>
          <t>tenda a18 - | tenda a18_firmware 15.13.07.13</t>
        </is>
      </c>
      <c r="N1200" t="inlineStr">
        <is>
          <t>P3</t>
        </is>
      </c>
      <c r="O1200" t="inlineStr">
        <is>
          <t>CVE - IP enrichment n/a</t>
        </is>
      </c>
      <c r="P1200" t="n">
        <v>0</v>
      </c>
      <c r="Q1200" t="n">
        <v>0</v>
      </c>
      <c r="R1200" t="inlineStr">
        <is>
          <t>T1203:Exploitation for Client Execution</t>
        </is>
      </c>
      <c r="S1200" t="n">
        <v>1</v>
      </c>
      <c r="T1200" t="inlineStr">
        <is>
          <t>LOW (40%)</t>
        </is>
      </c>
      <c r="U1200" t="inlineStr">
        <is>
          <t>UNLIKELY</t>
        </is>
      </c>
      <c r="V1200" t="inlineStr">
        <is>
          <t>CHECK_VENDOR</t>
        </is>
      </c>
      <c r="W1200" t="inlineStr">
        <is>
          <t>https://nvd.nist.gov/vuln/detail/CVE-2026-2877</t>
        </is>
      </c>
      <c r="X1200" t="inlineStr">
        <is>
          <t>NONE</t>
        </is>
      </c>
      <c r="Y1200" t="n">
        <v>0</v>
      </c>
      <c r="Z1200" t="inlineStr"/>
      <c r="AA1200" t="inlineStr">
        <is>
          <t>https://nvd.nist.gov/vuln/detail/CVE-2026-2877</t>
        </is>
      </c>
    </row>
    <row r="1201">
      <c r="A1201" t="inlineStr">
        <is>
          <t>CVE</t>
        </is>
      </c>
      <c r="B1201" t="inlineStr">
        <is>
          <t>CVE-2026-2881</t>
        </is>
      </c>
      <c r="C1201" t="inlineStr">
        <is>
          <t>A vulnerability has been found in D-Link DWR-M960 1.01.07. This vulnerability affects the function sub_425FF8 of the file /boafrm/formFirewallAdv of the component Advanced Firewall Configuration Endpoint. Such manipulation of the argument submit-url leads to stack-based buffer overflow. The attack may be launched remotely. The exploit has been disclosed to the public and may be used.</t>
        </is>
      </c>
      <c r="D1201" t="n">
        <v>8.800000000000001</v>
      </c>
      <c r="E1201" t="inlineStr">
        <is>
          <t>HIGH</t>
        </is>
      </c>
      <c r="F1201" t="n">
        <v>2</v>
      </c>
      <c r="G1201" t="n">
        <v>3</v>
      </c>
      <c r="H1201" t="inlineStr">
        <is>
          <t>HIGH</t>
        </is>
      </c>
      <c r="I1201" t="n">
        <v>14.8</v>
      </c>
      <c r="J1201" t="inlineStr">
        <is>
          <t>NO</t>
        </is>
      </c>
      <c r="K1201" t="inlineStr">
        <is>
          <t>2026-02-23 23:48</t>
        </is>
      </c>
      <c r="L1201" t="inlineStr">
        <is>
          <t>CHECK_VENDOR</t>
        </is>
      </c>
      <c r="M1201" t="inlineStr">
        <is>
          <t>dlink dwr-m960 b1 | dlink dwr-m960_firmware 1.01.07</t>
        </is>
      </c>
      <c r="N1201" t="inlineStr">
        <is>
          <t>P3</t>
        </is>
      </c>
      <c r="O1201" t="inlineStr">
        <is>
          <t>CVE - IP enrichment n/a</t>
        </is>
      </c>
      <c r="P1201" t="n">
        <v>0.0004</v>
      </c>
      <c r="Q1201" t="n">
        <v>0.1368</v>
      </c>
      <c r="R1201" t="inlineStr">
        <is>
          <t>T1203:Exploitation for Client Execution | T1562:Impair Defenses</t>
        </is>
      </c>
      <c r="S1201" t="n">
        <v>1</v>
      </c>
      <c r="T1201" t="inlineStr">
        <is>
          <t>LOW (40%)</t>
        </is>
      </c>
      <c r="U1201" t="inlineStr">
        <is>
          <t>UNLIKELY</t>
        </is>
      </c>
      <c r="V1201" t="inlineStr">
        <is>
          <t>CHECK_VENDOR</t>
        </is>
      </c>
      <c r="W1201" t="inlineStr">
        <is>
          <t>https://nvd.nist.gov/vuln/detail/CVE-2026-2881</t>
        </is>
      </c>
      <c r="X1201" t="inlineStr">
        <is>
          <t>NONE</t>
        </is>
      </c>
      <c r="Y1201" t="n">
        <v>0</v>
      </c>
      <c r="Z1201" t="inlineStr"/>
      <c r="AA1201" t="inlineStr">
        <is>
          <t>https://nvd.nist.gov/vuln/detail/CVE-2026-2881</t>
        </is>
      </c>
    </row>
    <row r="1202">
      <c r="A1202" t="inlineStr">
        <is>
          <t>CVE</t>
        </is>
      </c>
      <c r="B1202" t="inlineStr">
        <is>
          <t>CVE-2026-2882</t>
        </is>
      </c>
      <c r="C1202" t="inlineStr">
        <is>
          <t>A vulnerability was found in D-Link DWR-M960 1.01.07. This issue affects the function sub_46385C of the file /boafrm/formDosCfg. Performing a manipulation of the argument submit-url results in stack-based buffer overflow. Remote exploitation of the attack is possible. The exploit has been made public and could be used.</t>
        </is>
      </c>
      <c r="D1202" t="n">
        <v>8.800000000000001</v>
      </c>
      <c r="E1202" t="inlineStr">
        <is>
          <t>HIGH</t>
        </is>
      </c>
      <c r="F1202" t="n">
        <v>2</v>
      </c>
      <c r="G1202" t="n">
        <v>3</v>
      </c>
      <c r="H1202" t="inlineStr">
        <is>
          <t>HIGH</t>
        </is>
      </c>
      <c r="I1202" t="n">
        <v>14.8</v>
      </c>
      <c r="J1202" t="inlineStr">
        <is>
          <t>NO</t>
        </is>
      </c>
      <c r="K1202" t="inlineStr">
        <is>
          <t>2026-02-23 23:48</t>
        </is>
      </c>
      <c r="L1202" t="inlineStr">
        <is>
          <t>CHECK_VENDOR</t>
        </is>
      </c>
      <c r="M1202" t="inlineStr">
        <is>
          <t>dlink dwr-m960 b1 | dlink dwr-m960_firmware 1.01.07</t>
        </is>
      </c>
      <c r="N1202" t="inlineStr">
        <is>
          <t>P3</t>
        </is>
      </c>
      <c r="O1202" t="inlineStr">
        <is>
          <t>CVE - IP enrichment n/a</t>
        </is>
      </c>
      <c r="P1202" t="n">
        <v>0.0004</v>
      </c>
      <c r="Q1202" t="n">
        <v>0.1368</v>
      </c>
      <c r="R1202" t="inlineStr">
        <is>
          <t>T1203:Exploitation for Client Execution</t>
        </is>
      </c>
      <c r="S1202" t="n">
        <v>1</v>
      </c>
      <c r="T1202" t="inlineStr">
        <is>
          <t>LOW (40%)</t>
        </is>
      </c>
      <c r="U1202" t="inlineStr">
        <is>
          <t>UNLIKELY</t>
        </is>
      </c>
      <c r="V1202" t="inlineStr">
        <is>
          <t>CHECK_VENDOR</t>
        </is>
      </c>
      <c r="W1202" t="inlineStr">
        <is>
          <t>https://nvd.nist.gov/vuln/detail/CVE-2026-2882</t>
        </is>
      </c>
      <c r="X1202" t="inlineStr">
        <is>
          <t>NONE</t>
        </is>
      </c>
      <c r="Y1202" t="n">
        <v>0</v>
      </c>
      <c r="Z1202" t="inlineStr"/>
      <c r="AA1202" t="inlineStr">
        <is>
          <t>https://nvd.nist.gov/vuln/detail/CVE-2026-2882</t>
        </is>
      </c>
    </row>
    <row r="1203">
      <c r="A1203" t="inlineStr">
        <is>
          <t>CVE</t>
        </is>
      </c>
      <c r="B1203" t="inlineStr">
        <is>
          <t>CVE-2026-2883</t>
        </is>
      </c>
      <c r="C1203" t="inlineStr">
        <is>
          <t>A vulnerability was determined in D-Link DWR-M960 1.01.07. Impacted is the function sub_427D74 of the file /boafrm/formIpQoS. Executing a manipulation of the argument submit-url can lead to stack-based buffer overflow. The attack can be executed remotely. The exploit has been publicly disclosed and may be utilized.</t>
        </is>
      </c>
      <c r="D1203" t="n">
        <v>8.800000000000001</v>
      </c>
      <c r="E1203" t="inlineStr">
        <is>
          <t>HIGH</t>
        </is>
      </c>
      <c r="F1203" t="n">
        <v>2</v>
      </c>
      <c r="G1203" t="n">
        <v>3</v>
      </c>
      <c r="H1203" t="inlineStr">
        <is>
          <t>HIGH</t>
        </is>
      </c>
      <c r="I1203" t="n">
        <v>14.8</v>
      </c>
      <c r="J1203" t="inlineStr">
        <is>
          <t>NO</t>
        </is>
      </c>
      <c r="K1203" t="inlineStr">
        <is>
          <t>2026-02-23 23:48</t>
        </is>
      </c>
      <c r="L1203" t="inlineStr">
        <is>
          <t>CHECK_VENDOR</t>
        </is>
      </c>
      <c r="M1203" t="inlineStr">
        <is>
          <t>dlink dwr-m960 b1 | dlink dwr-m960_firmware 1.01.07</t>
        </is>
      </c>
      <c r="N1203" t="inlineStr">
        <is>
          <t>P3</t>
        </is>
      </c>
      <c r="O1203" t="inlineStr">
        <is>
          <t>CVE - IP enrichment n/a</t>
        </is>
      </c>
      <c r="P1203" t="n">
        <v>0</v>
      </c>
      <c r="Q1203" t="n">
        <v>0</v>
      </c>
      <c r="R1203" t="inlineStr">
        <is>
          <t>T1203:Exploitation for Client Execution</t>
        </is>
      </c>
      <c r="S1203" t="n">
        <v>1</v>
      </c>
      <c r="T1203" t="inlineStr">
        <is>
          <t>LOW (40%)</t>
        </is>
      </c>
      <c r="U1203" t="inlineStr">
        <is>
          <t>UNLIKELY</t>
        </is>
      </c>
      <c r="V1203" t="inlineStr">
        <is>
          <t>CHECK_VENDOR</t>
        </is>
      </c>
      <c r="W1203" t="inlineStr">
        <is>
          <t>https://nvd.nist.gov/vuln/detail/CVE-2026-2883</t>
        </is>
      </c>
      <c r="X1203" t="inlineStr">
        <is>
          <t>NONE</t>
        </is>
      </c>
      <c r="Y1203" t="n">
        <v>0</v>
      </c>
      <c r="Z1203" t="inlineStr"/>
      <c r="AA1203" t="inlineStr">
        <is>
          <t>https://nvd.nist.gov/vuln/detail/CVE-2026-2883</t>
        </is>
      </c>
    </row>
    <row r="1204">
      <c r="A1204" t="inlineStr">
        <is>
          <t>CVE</t>
        </is>
      </c>
      <c r="B1204" t="inlineStr">
        <is>
          <t>CVE-2026-2884</t>
        </is>
      </c>
      <c r="C1204" t="inlineStr">
        <is>
          <t>A vulnerability was identified in D-Link DWR-M960 1.01.07. The affected element is the function sub_41914C of the file /boafrm/formWanConfigSetup of the component WAN Interface Setting Handler. The manipulation of the argument submit-url leads to stack-based buffer overflow. The attack is possible to be carried out remotely. The exploit is publicly available and might be used.</t>
        </is>
      </c>
      <c r="D1204" t="n">
        <v>8.800000000000001</v>
      </c>
      <c r="E1204" t="inlineStr">
        <is>
          <t>HIGH</t>
        </is>
      </c>
      <c r="F1204" t="n">
        <v>2</v>
      </c>
      <c r="G1204" t="n">
        <v>3</v>
      </c>
      <c r="H1204" t="inlineStr">
        <is>
          <t>HIGH</t>
        </is>
      </c>
      <c r="I1204" t="n">
        <v>14.8</v>
      </c>
      <c r="J1204" t="inlineStr">
        <is>
          <t>NO</t>
        </is>
      </c>
      <c r="K1204" t="inlineStr">
        <is>
          <t>2026-02-23 23:48</t>
        </is>
      </c>
      <c r="L1204" t="inlineStr">
        <is>
          <t>CHECK_VENDOR</t>
        </is>
      </c>
      <c r="M1204" t="inlineStr">
        <is>
          <t>dlink dwr-m960 b1 | dlink dwr-m960_firmware 1.01.07</t>
        </is>
      </c>
      <c r="N1204" t="inlineStr">
        <is>
          <t>P3</t>
        </is>
      </c>
      <c r="O1204" t="inlineStr">
        <is>
          <t>CVE - IP enrichment n/a</t>
        </is>
      </c>
      <c r="P1204" t="n">
        <v>0</v>
      </c>
      <c r="Q1204" t="n">
        <v>0</v>
      </c>
      <c r="R1204" t="inlineStr">
        <is>
          <t>T1203:Exploitation for Client Execution</t>
        </is>
      </c>
      <c r="S1204" t="n">
        <v>1</v>
      </c>
      <c r="T1204" t="inlineStr">
        <is>
          <t>LOW (40%)</t>
        </is>
      </c>
      <c r="U1204" t="inlineStr">
        <is>
          <t>UNLIKELY</t>
        </is>
      </c>
      <c r="V1204" t="inlineStr">
        <is>
          <t>CHECK_VENDOR</t>
        </is>
      </c>
      <c r="W1204" t="inlineStr">
        <is>
          <t>https://nvd.nist.gov/vuln/detail/CVE-2026-2884</t>
        </is>
      </c>
      <c r="X1204" t="inlineStr">
        <is>
          <t>NONE</t>
        </is>
      </c>
      <c r="Y1204" t="n">
        <v>0</v>
      </c>
      <c r="Z1204" t="inlineStr"/>
      <c r="AA1204" t="inlineStr">
        <is>
          <t>https://nvd.nist.gov/vuln/detail/CVE-2026-2884</t>
        </is>
      </c>
    </row>
    <row r="1205">
      <c r="A1205" t="inlineStr">
        <is>
          <t>CVE</t>
        </is>
      </c>
      <c r="B1205" t="inlineStr">
        <is>
          <t>CVE-2026-2885</t>
        </is>
      </c>
      <c r="C1205" t="inlineStr">
        <is>
          <t>A security flaw has been discovered in D-Link DWR-M960 1.01.07. The impacted element is the function sub_469104 of the file /boafrm/formIpv6Setup. The manipulation of the argument submit-url results in stack-based buffer overflow. The attack may be performed from remote. The exploit has been released to the public and may be used for attacks.</t>
        </is>
      </c>
      <c r="D1205" t="n">
        <v>8.800000000000001</v>
      </c>
      <c r="E1205" t="inlineStr">
        <is>
          <t>HIGH</t>
        </is>
      </c>
      <c r="F1205" t="n">
        <v>2</v>
      </c>
      <c r="G1205" t="n">
        <v>3</v>
      </c>
      <c r="H1205" t="inlineStr">
        <is>
          <t>HIGH</t>
        </is>
      </c>
      <c r="I1205" t="n">
        <v>14.8</v>
      </c>
      <c r="J1205" t="inlineStr">
        <is>
          <t>NO</t>
        </is>
      </c>
      <c r="K1205" t="inlineStr">
        <is>
          <t>2026-02-23 23:48</t>
        </is>
      </c>
      <c r="L1205" t="inlineStr">
        <is>
          <t>CHECK_VENDOR</t>
        </is>
      </c>
      <c r="M1205" t="inlineStr">
        <is>
          <t>dlink dwr-m960 b1 | dlink dwr-m960_firmware 1.01.07</t>
        </is>
      </c>
      <c r="N1205" t="inlineStr">
        <is>
          <t>P3</t>
        </is>
      </c>
      <c r="O1205" t="inlineStr">
        <is>
          <t>CVE - IP enrichment n/a</t>
        </is>
      </c>
      <c r="P1205" t="n">
        <v>0</v>
      </c>
      <c r="Q1205" t="n">
        <v>0</v>
      </c>
      <c r="R1205" t="inlineStr">
        <is>
          <t>T1203:Exploitation for Client Execution</t>
        </is>
      </c>
      <c r="S1205" t="n">
        <v>1</v>
      </c>
      <c r="T1205" t="inlineStr">
        <is>
          <t>LOW (40%)</t>
        </is>
      </c>
      <c r="U1205" t="inlineStr">
        <is>
          <t>UNLIKELY</t>
        </is>
      </c>
      <c r="V1205" t="inlineStr">
        <is>
          <t>CHECK_VENDOR</t>
        </is>
      </c>
      <c r="W1205" t="inlineStr">
        <is>
          <t>https://nvd.nist.gov/vuln/detail/CVE-2026-2885</t>
        </is>
      </c>
      <c r="X1205" t="inlineStr">
        <is>
          <t>NONE</t>
        </is>
      </c>
      <c r="Y1205" t="n">
        <v>0</v>
      </c>
      <c r="Z1205" t="inlineStr"/>
      <c r="AA1205" t="inlineStr">
        <is>
          <t>https://nvd.nist.gov/vuln/detail/CVE-2026-2885</t>
        </is>
      </c>
    </row>
    <row r="1206">
      <c r="A1206" t="inlineStr">
        <is>
          <t>CVE</t>
        </is>
      </c>
      <c r="B1206" t="inlineStr">
        <is>
          <t>CVE-2026-2886</t>
        </is>
      </c>
      <c r="C1206" t="inlineStr">
        <is>
          <t>A weakness has been identified in Tenda A21 1.0.0.0. This affects the function set_device_name of the file /goform/SetOnlineDevName. This manipulation of the argument devName causes stack-based buffer overflow. It is possible to initiate the attack remotely. The exploit has been made available to the public and could be used for attacks.</t>
        </is>
      </c>
      <c r="D1206" t="n">
        <v>8.800000000000001</v>
      </c>
      <c r="E1206" t="inlineStr">
        <is>
          <t>HIGH</t>
        </is>
      </c>
      <c r="F1206" t="n">
        <v>2</v>
      </c>
      <c r="G1206" t="n">
        <v>3</v>
      </c>
      <c r="H1206" t="inlineStr">
        <is>
          <t>HIGH</t>
        </is>
      </c>
      <c r="I1206" t="n">
        <v>14.8</v>
      </c>
      <c r="J1206" t="inlineStr">
        <is>
          <t>NO</t>
        </is>
      </c>
      <c r="K1206" t="inlineStr">
        <is>
          <t>2026-02-23 23:48</t>
        </is>
      </c>
      <c r="L1206" t="inlineStr">
        <is>
          <t>YES</t>
        </is>
      </c>
      <c r="M1206" t="inlineStr">
        <is>
          <t>tenda a21_firmware 1.0.0.0 | tenda a21 -</t>
        </is>
      </c>
      <c r="N1206" t="inlineStr">
        <is>
          <t>P3</t>
        </is>
      </c>
      <c r="O1206" t="inlineStr">
        <is>
          <t>CVE - IP enrichment n/a</t>
        </is>
      </c>
      <c r="P1206" t="n">
        <v>0</v>
      </c>
      <c r="Q1206" t="n">
        <v>0</v>
      </c>
      <c r="R1206" t="inlineStr">
        <is>
          <t>T1203:Exploitation for Client Execution</t>
        </is>
      </c>
      <c r="S1206" t="n">
        <v>1</v>
      </c>
      <c r="T1206" t="inlineStr">
        <is>
          <t>LOW (40%)</t>
        </is>
      </c>
      <c r="U1206" t="inlineStr">
        <is>
          <t>UNLIKELY</t>
        </is>
      </c>
      <c r="V1206" t="inlineStr">
        <is>
          <t>PATCH_AVAILABLE</t>
        </is>
      </c>
      <c r="W1206" t="inlineStr">
        <is>
          <t>https://nvd.nist.gov/vuln/detail/CVE-2026-2886</t>
        </is>
      </c>
      <c r="X1206" t="inlineStr">
        <is>
          <t>NONE</t>
        </is>
      </c>
      <c r="Y1206" t="n">
        <v>0</v>
      </c>
      <c r="Z1206" t="inlineStr"/>
      <c r="AA1206" t="inlineStr">
        <is>
          <t>https://nvd.nist.gov/vuln/detail/CVE-2026-2886</t>
        </is>
      </c>
    </row>
    <row r="1207">
      <c r="A1207" t="inlineStr">
        <is>
          <t>CVE</t>
        </is>
      </c>
      <c r="B1207" t="inlineStr">
        <is>
          <t>CVE-2026-2887</t>
        </is>
      </c>
      <c r="C1207" t="inlineStr">
        <is>
          <t>A security vulnerability has been detected in aardappel lobster up to 2025.4. This impacts the function lobster::TypeName in the library dev/src/lobster/idents.h. Such manipulation leads to uncontrolled recursion. The attack can only be performed from a local environment. The exploit has been disclosed publicly and may be used. Upgrading to version 2026.1 will fix this issue. The name of the patch is 8ba49f98ccfc9734ef352146806433a41d9f9aa6. It is advisable to upgrade the affected component.</t>
        </is>
      </c>
      <c r="D1207" t="n">
        <v>3.3</v>
      </c>
      <c r="E1207" t="inlineStr">
        <is>
          <t>LOW</t>
        </is>
      </c>
      <c r="F1207" t="n">
        <v>2</v>
      </c>
      <c r="G1207" t="n">
        <v>1</v>
      </c>
      <c r="H1207" t="inlineStr">
        <is>
          <t>LOW</t>
        </is>
      </c>
      <c r="I1207" t="n">
        <v>5.3</v>
      </c>
      <c r="J1207" t="inlineStr">
        <is>
          <t>NO</t>
        </is>
      </c>
      <c r="K1207" t="inlineStr">
        <is>
          <t>2026-02-23 23:48</t>
        </is>
      </c>
      <c r="L1207" t="inlineStr">
        <is>
          <t>CHECK_VENDOR</t>
        </is>
      </c>
      <c r="M1207" t="inlineStr">
        <is>
          <t>See CVE details</t>
        </is>
      </c>
      <c r="N1207" t="inlineStr">
        <is>
          <t>P4</t>
        </is>
      </c>
      <c r="O1207" t="inlineStr">
        <is>
          <t>CVE - IP enrichment n/a</t>
        </is>
      </c>
      <c r="P1207" t="n">
        <v>0</v>
      </c>
      <c r="Q1207" t="n">
        <v>0</v>
      </c>
      <c r="R1207" t="inlineStr">
        <is>
          <t>T1190:Exploit Public-Facing Application</t>
        </is>
      </c>
      <c r="S1207" t="n">
        <v>1</v>
      </c>
      <c r="T1207" t="inlineStr">
        <is>
          <t>LOW (40%)</t>
        </is>
      </c>
      <c r="U1207" t="inlineStr">
        <is>
          <t>UNLIKELY</t>
        </is>
      </c>
      <c r="V1207" t="inlineStr">
        <is>
          <t>CHECK_VENDOR</t>
        </is>
      </c>
      <c r="W1207" t="inlineStr">
        <is>
          <t>https://nvd.nist.gov/vuln/detail/CVE-2026-2887</t>
        </is>
      </c>
      <c r="X1207" t="inlineStr">
        <is>
          <t>NONE</t>
        </is>
      </c>
      <c r="Y1207" t="n">
        <v>0</v>
      </c>
      <c r="Z1207" t="inlineStr"/>
      <c r="AA1207" t="inlineStr">
        <is>
          <t>https://nvd.nist.gov/vuln/detail/CVE-2026-2887</t>
        </is>
      </c>
    </row>
    <row r="1208">
      <c r="A1208" t="inlineStr">
        <is>
          <t>CVE</t>
        </is>
      </c>
      <c r="B1208" t="inlineStr">
        <is>
          <t>CVE-2026-2889</t>
        </is>
      </c>
      <c r="C1208" t="inlineStr">
        <is>
          <t>A vulnerability was detected in CCExtractor up to 0.96.5. Affected is the function processmp4 in the library src/lib_ccx/mp4.c. Performing a manipulation results in use after free. The attack is only possible with local access. The exploit is now public and may be used. Upgrading to version 0.96.6 is able to address this issue. The patch is named fd7271bae238ccb3ae8a71304ea64f0886324925. You should upgrade the affected component.</t>
        </is>
      </c>
      <c r="D1208" t="n">
        <v>3.3</v>
      </c>
      <c r="E1208" t="inlineStr">
        <is>
          <t>LOW</t>
        </is>
      </c>
      <c r="F1208" t="n">
        <v>2</v>
      </c>
      <c r="G1208" t="n">
        <v>1</v>
      </c>
      <c r="H1208" t="inlineStr">
        <is>
          <t>LOW</t>
        </is>
      </c>
      <c r="I1208" t="n">
        <v>5.3</v>
      </c>
      <c r="J1208" t="inlineStr">
        <is>
          <t>NO</t>
        </is>
      </c>
      <c r="K1208" t="inlineStr">
        <is>
          <t>2026-02-23 23:48</t>
        </is>
      </c>
      <c r="L1208" t="inlineStr">
        <is>
          <t>CHECK_VENDOR</t>
        </is>
      </c>
      <c r="M1208" t="inlineStr">
        <is>
          <t>See CVE details</t>
        </is>
      </c>
      <c r="N1208" t="inlineStr">
        <is>
          <t>P4</t>
        </is>
      </c>
      <c r="O1208" t="inlineStr">
        <is>
          <t>CVE - IP enrichment n/a</t>
        </is>
      </c>
      <c r="P1208" t="n">
        <v>0.0001</v>
      </c>
      <c r="Q1208" t="n">
        <v>0.0176</v>
      </c>
      <c r="R1208" t="inlineStr">
        <is>
          <t>T1203:Exploitation for Client Execution</t>
        </is>
      </c>
      <c r="S1208" t="n">
        <v>1</v>
      </c>
      <c r="T1208" t="inlineStr">
        <is>
          <t>LOW (40%)</t>
        </is>
      </c>
      <c r="U1208" t="inlineStr">
        <is>
          <t>UNLIKELY</t>
        </is>
      </c>
      <c r="V1208" t="inlineStr">
        <is>
          <t>CHECK_VENDOR</t>
        </is>
      </c>
      <c r="W1208" t="inlineStr">
        <is>
          <t>https://nvd.nist.gov/vuln/detail/CVE-2026-2889</t>
        </is>
      </c>
      <c r="X1208" t="inlineStr">
        <is>
          <t>NONE</t>
        </is>
      </c>
      <c r="Y1208" t="n">
        <v>0</v>
      </c>
      <c r="Z1208" t="inlineStr"/>
      <c r="AA1208" t="inlineStr">
        <is>
          <t>https://nvd.nist.gov/vuln/detail/CVE-2026-2889</t>
        </is>
      </c>
    </row>
    <row r="1209">
      <c r="A1209" t="inlineStr">
        <is>
          <t>CVE</t>
        </is>
      </c>
      <c r="B1209" t="inlineStr">
        <is>
          <t>CVE-2026-2894</t>
        </is>
      </c>
      <c r="C1209" t="inlineStr">
        <is>
          <t>A vulnerability was identified in funadmin up to 7.1.0-rc4. Affected by this vulnerability is the function getMember of the file app/frontend/view/login/forget.html. Such manipulation leads to information disclosure. The attack may be launched remotely. The exploit is publicly available and might be used. The vendor was contacted early about this disclosure but did not respond in any way.</t>
        </is>
      </c>
      <c r="D1209" t="n">
        <v>5.3</v>
      </c>
      <c r="E1209" t="inlineStr">
        <is>
          <t>MEDIUM</t>
        </is>
      </c>
      <c r="F1209" t="n">
        <v>2</v>
      </c>
      <c r="G1209" t="n">
        <v>2</v>
      </c>
      <c r="H1209" t="inlineStr">
        <is>
          <t>MEDIUM</t>
        </is>
      </c>
      <c r="I1209" t="n">
        <v>9.300000000000001</v>
      </c>
      <c r="J1209" t="inlineStr">
        <is>
          <t>NO</t>
        </is>
      </c>
      <c r="K1209" t="inlineStr">
        <is>
          <t>2026-02-23 23:48</t>
        </is>
      </c>
      <c r="L1209" t="inlineStr">
        <is>
          <t>CHECK_VENDOR</t>
        </is>
      </c>
      <c r="M1209" t="inlineStr">
        <is>
          <t>See CVE details</t>
        </is>
      </c>
      <c r="N1209" t="inlineStr">
        <is>
          <t>P4</t>
        </is>
      </c>
      <c r="O1209" t="inlineStr">
        <is>
          <t>CVE - IP enrichment n/a</t>
        </is>
      </c>
      <c r="P1209" t="n">
        <v>0</v>
      </c>
      <c r="Q1209" t="n">
        <v>0</v>
      </c>
      <c r="R1209" t="inlineStr">
        <is>
          <t>T1213:Data from Information Repositories</t>
        </is>
      </c>
      <c r="S1209" t="n">
        <v>1</v>
      </c>
      <c r="T1209" t="inlineStr">
        <is>
          <t>LOW (40%)</t>
        </is>
      </c>
      <c r="U1209" t="inlineStr">
        <is>
          <t>UNLIKELY</t>
        </is>
      </c>
      <c r="V1209" t="inlineStr">
        <is>
          <t>CHECK_VENDOR</t>
        </is>
      </c>
      <c r="W1209" t="inlineStr">
        <is>
          <t>https://nvd.nist.gov/vuln/detail/CVE-2026-2894</t>
        </is>
      </c>
      <c r="X1209" t="inlineStr">
        <is>
          <t>NONE</t>
        </is>
      </c>
      <c r="Y1209" t="n">
        <v>0</v>
      </c>
      <c r="Z1209" t="inlineStr"/>
      <c r="AA1209" t="inlineStr">
        <is>
          <t>https://nvd.nist.gov/vuln/detail/CVE-2026-2894</t>
        </is>
      </c>
    </row>
    <row r="1210">
      <c r="A1210" t="inlineStr">
        <is>
          <t>CVE</t>
        </is>
      </c>
      <c r="B1210" t="inlineStr">
        <is>
          <t>CVE-2026-2895</t>
        </is>
      </c>
      <c r="C1210" t="inlineStr">
        <is>
          <t>A security flaw has been discovered in funadmin up to 7.1.0-rc4. Affected by this issue is the function repass of the file app/frontend/controller/Member.php. Performing a manipulation of the argument forget_code/vercode results in weak password recovery. Remote exploitation of the attack is possible. The attack's complexity is rated as high. The exploitation is known to be difficult. The exploit has been released to the public and may be used for attacks. The vendor was contacted early about th</t>
        </is>
      </c>
      <c r="D1210" t="n">
        <v>3.7</v>
      </c>
      <c r="E1210" t="inlineStr">
        <is>
          <t>LOW</t>
        </is>
      </c>
      <c r="F1210" t="n">
        <v>2</v>
      </c>
      <c r="G1210" t="n">
        <v>1</v>
      </c>
      <c r="H1210" t="inlineStr">
        <is>
          <t>LOW</t>
        </is>
      </c>
      <c r="I1210" t="n">
        <v>5.7</v>
      </c>
      <c r="J1210" t="inlineStr">
        <is>
          <t>NO</t>
        </is>
      </c>
      <c r="K1210" t="inlineStr">
        <is>
          <t>2026-02-23 23:48</t>
        </is>
      </c>
      <c r="L1210" t="inlineStr">
        <is>
          <t>CHECK_VENDOR</t>
        </is>
      </c>
      <c r="M1210" t="inlineStr">
        <is>
          <t>See CVE details</t>
        </is>
      </c>
      <c r="N1210" t="inlineStr">
        <is>
          <t>P4</t>
        </is>
      </c>
      <c r="O1210" t="inlineStr">
        <is>
          <t>CVE - IP enrichment n/a</t>
        </is>
      </c>
      <c r="P1210" t="n">
        <v>0</v>
      </c>
      <c r="Q1210" t="n">
        <v>0</v>
      </c>
      <c r="R1210" t="inlineStr">
        <is>
          <t>T1190:Exploit Public-Facing Application</t>
        </is>
      </c>
      <c r="S1210" t="n">
        <v>1</v>
      </c>
      <c r="T1210" t="inlineStr">
        <is>
          <t>LOW (40%)</t>
        </is>
      </c>
      <c r="U1210" t="inlineStr">
        <is>
          <t>UNLIKELY</t>
        </is>
      </c>
      <c r="V1210" t="inlineStr">
        <is>
          <t>CHECK_VENDOR</t>
        </is>
      </c>
      <c r="W1210" t="inlineStr">
        <is>
          <t>https://nvd.nist.gov/vuln/detail/CVE-2026-2895</t>
        </is>
      </c>
      <c r="X1210" t="inlineStr">
        <is>
          <t>NONE</t>
        </is>
      </c>
      <c r="Y1210" t="n">
        <v>0</v>
      </c>
      <c r="Z1210" t="inlineStr"/>
      <c r="AA1210" t="inlineStr">
        <is>
          <t>https://nvd.nist.gov/vuln/detail/CVE-2026-2895</t>
        </is>
      </c>
    </row>
    <row r="1211">
      <c r="A1211" t="inlineStr">
        <is>
          <t>CVE</t>
        </is>
      </c>
      <c r="B1211" t="inlineStr">
        <is>
          <t>CVE-2026-2896</t>
        </is>
      </c>
      <c r="C1211" t="inlineStr">
        <is>
          <t>A weakness has been identified in funadmin up to 7.1.0-rc4. This affects the function setConfig of the file app/backend/controller/Ajax.php of the component Configuration Handler. Executing a manipulation can lead to improper authorization. The attack can be executed remotely. The exploit has been made available to the public and could be used for attacks. The vendor was contacted early about this disclosure but did not respond in any way.</t>
        </is>
      </c>
      <c r="D1211" t="n">
        <v>7.3</v>
      </c>
      <c r="E1211" t="inlineStr">
        <is>
          <t>HIGH</t>
        </is>
      </c>
      <c r="F1211" t="n">
        <v>2</v>
      </c>
      <c r="G1211" t="n">
        <v>3</v>
      </c>
      <c r="H1211" t="inlineStr">
        <is>
          <t>HIGH</t>
        </is>
      </c>
      <c r="I1211" t="n">
        <v>13.3</v>
      </c>
      <c r="J1211" t="inlineStr">
        <is>
          <t>NO</t>
        </is>
      </c>
      <c r="K1211" t="inlineStr">
        <is>
          <t>2026-02-23 23:48</t>
        </is>
      </c>
      <c r="L1211" t="inlineStr">
        <is>
          <t>CHECK_VENDOR</t>
        </is>
      </c>
      <c r="M1211" t="inlineStr">
        <is>
          <t>See CVE details</t>
        </is>
      </c>
      <c r="N1211" t="inlineStr">
        <is>
          <t>P3</t>
        </is>
      </c>
      <c r="O1211" t="inlineStr">
        <is>
          <t>CVE - IP enrichment n/a</t>
        </is>
      </c>
      <c r="P1211" t="n">
        <v>0</v>
      </c>
      <c r="Q1211" t="n">
        <v>0</v>
      </c>
      <c r="R1211" t="inlineStr">
        <is>
          <t>T1190:Exploit Public-Facing Application</t>
        </is>
      </c>
      <c r="S1211" t="n">
        <v>1</v>
      </c>
      <c r="T1211" t="inlineStr">
        <is>
          <t>LOW (40%)</t>
        </is>
      </c>
      <c r="U1211" t="inlineStr">
        <is>
          <t>UNLIKELY</t>
        </is>
      </c>
      <c r="V1211" t="inlineStr">
        <is>
          <t>CHECK_VENDOR</t>
        </is>
      </c>
      <c r="W1211" t="inlineStr">
        <is>
          <t>https://nvd.nist.gov/vuln/detail/CVE-2026-2896</t>
        </is>
      </c>
      <c r="X1211" t="inlineStr">
        <is>
          <t>NONE</t>
        </is>
      </c>
      <c r="Y1211" t="n">
        <v>0</v>
      </c>
      <c r="Z1211" t="inlineStr"/>
      <c r="AA1211" t="inlineStr">
        <is>
          <t>https://nvd.nist.gov/vuln/detail/CVE-2026-2896</t>
        </is>
      </c>
    </row>
    <row r="1212">
      <c r="A1212" t="inlineStr">
        <is>
          <t>CVE</t>
        </is>
      </c>
      <c r="B1212" t="inlineStr">
        <is>
          <t>CVE-2026-2897</t>
        </is>
      </c>
      <c r="C1212" t="inlineStr">
        <is>
          <t>A security vulnerability has been detected in funadmin up to 7.1.0-rc4. This vulnerability affects unknown code of the file app/backend/view/index/index.html of the component Backend Interface. The manipulation of the argument Value leads to cross site scripting. The attack is possible to be carried out remotely. The exploit has been disclosed publicly and may be used. The vendor was contacted early about this disclosure but did not respond in any way.</t>
        </is>
      </c>
      <c r="D1212" t="n">
        <v>2.4</v>
      </c>
      <c r="E1212" t="inlineStr">
        <is>
          <t>LOW</t>
        </is>
      </c>
      <c r="F1212" t="n">
        <v>2</v>
      </c>
      <c r="G1212" t="n">
        <v>1</v>
      </c>
      <c r="H1212" t="inlineStr">
        <is>
          <t>LOW</t>
        </is>
      </c>
      <c r="I1212" t="n">
        <v>4.4</v>
      </c>
      <c r="J1212" t="inlineStr">
        <is>
          <t>NO</t>
        </is>
      </c>
      <c r="K1212" t="inlineStr">
        <is>
          <t>2026-02-23 23:48</t>
        </is>
      </c>
      <c r="L1212" t="inlineStr">
        <is>
          <t>CHECK_VENDOR</t>
        </is>
      </c>
      <c r="M1212" t="inlineStr">
        <is>
          <t>See CVE details</t>
        </is>
      </c>
      <c r="N1212" t="inlineStr">
        <is>
          <t>P4</t>
        </is>
      </c>
      <c r="O1212" t="inlineStr">
        <is>
          <t>CVE - IP enrichment n/a</t>
        </is>
      </c>
      <c r="P1212" t="n">
        <v>0.0003</v>
      </c>
      <c r="Q1212" t="n">
        <v>0.08599999999999999</v>
      </c>
      <c r="R1212" t="inlineStr">
        <is>
          <t>T1189:Drive-by Compromise</t>
        </is>
      </c>
      <c r="S1212" t="n">
        <v>1</v>
      </c>
      <c r="T1212" t="inlineStr">
        <is>
          <t>LOW (40%)</t>
        </is>
      </c>
      <c r="U1212" t="inlineStr">
        <is>
          <t>UNLIKELY</t>
        </is>
      </c>
      <c r="V1212" t="inlineStr">
        <is>
          <t>CHECK_VENDOR</t>
        </is>
      </c>
      <c r="W1212" t="inlineStr">
        <is>
          <t>https://nvd.nist.gov/vuln/detail/CVE-2026-2897</t>
        </is>
      </c>
      <c r="X1212" t="inlineStr">
        <is>
          <t>NONE</t>
        </is>
      </c>
      <c r="Y1212" t="n">
        <v>0</v>
      </c>
      <c r="Z1212" t="inlineStr"/>
      <c r="AA1212" t="inlineStr">
        <is>
          <t>https://nvd.nist.gov/vuln/detail/CVE-2026-2897</t>
        </is>
      </c>
    </row>
    <row r="1213">
      <c r="A1213" t="inlineStr">
        <is>
          <t>CVE</t>
        </is>
      </c>
      <c r="B1213" t="inlineStr">
        <is>
          <t>CVE-2026-2898</t>
        </is>
      </c>
      <c r="C1213" t="inlineStr">
        <is>
          <t>A vulnerability was detected in funadmin up to 7.1.0-rc4. This issue affects the function getMember of the file app/common/service/AuthCloudService.php of the component Backend Endpoint. The manipulation of the argument cloud_account results in deserialization. The attack may be performed from remote. The exploit is now public and may be used. The vendor was contacted early about this disclosure but did not respond in any way.</t>
        </is>
      </c>
      <c r="D1213" t="n">
        <v>5.5</v>
      </c>
      <c r="E1213" t="inlineStr">
        <is>
          <t>MEDIUM</t>
        </is>
      </c>
      <c r="F1213" t="n">
        <v>2</v>
      </c>
      <c r="G1213" t="n">
        <v>2</v>
      </c>
      <c r="H1213" t="inlineStr">
        <is>
          <t>MEDIUM</t>
        </is>
      </c>
      <c r="I1213" t="n">
        <v>9.5</v>
      </c>
      <c r="J1213" t="inlineStr">
        <is>
          <t>NO</t>
        </is>
      </c>
      <c r="K1213" t="inlineStr">
        <is>
          <t>2026-02-23 23:48</t>
        </is>
      </c>
      <c r="L1213" t="inlineStr">
        <is>
          <t>CHECK_VENDOR</t>
        </is>
      </c>
      <c r="M1213" t="inlineStr">
        <is>
          <t>See CVE details</t>
        </is>
      </c>
      <c r="N1213" t="inlineStr">
        <is>
          <t>P4</t>
        </is>
      </c>
      <c r="O1213" t="inlineStr">
        <is>
          <t>CVE - IP enrichment n/a</t>
        </is>
      </c>
      <c r="P1213" t="n">
        <v>0</v>
      </c>
      <c r="Q1213" t="n">
        <v>0</v>
      </c>
      <c r="R1213" t="inlineStr">
        <is>
          <t>T1059:Command and Scripting Interpreter</t>
        </is>
      </c>
      <c r="S1213" t="n">
        <v>1</v>
      </c>
      <c r="T1213" t="inlineStr">
        <is>
          <t>LOW (40%)</t>
        </is>
      </c>
      <c r="U1213" t="inlineStr">
        <is>
          <t>UNLIKELY</t>
        </is>
      </c>
      <c r="V1213" t="inlineStr">
        <is>
          <t>CHECK_VENDOR</t>
        </is>
      </c>
      <c r="W1213" t="inlineStr">
        <is>
          <t>https://nvd.nist.gov/vuln/detail/CVE-2026-2898</t>
        </is>
      </c>
      <c r="X1213" t="inlineStr">
        <is>
          <t>NONE</t>
        </is>
      </c>
      <c r="Y1213" t="n">
        <v>0</v>
      </c>
      <c r="Z1213" t="inlineStr"/>
      <c r="AA1213" t="inlineStr">
        <is>
          <t>https://nvd.nist.gov/vuln/detail/CVE-2026-2898</t>
        </is>
      </c>
    </row>
    <row r="1214">
      <c r="A1214" t="inlineStr">
        <is>
          <t>CVE</t>
        </is>
      </c>
      <c r="B1214" t="inlineStr">
        <is>
          <t>CVE-2026-2903</t>
        </is>
      </c>
      <c r="C1214" t="inlineStr">
        <is>
          <t>A flaw has been found in skvadrik re2c up to 4.4. Impacted is the function check_and_merge_special_rules of the file src/parse/ast.cc. This manipulation causes null pointer dereference. The attack can only be executed locally. The exploit has been published and may be used. Patch name: febeb977936f9519a25d9fbd10ff8256358cdb97. It is suggested to install a patch to address this issue.</t>
        </is>
      </c>
      <c r="D1214" t="n">
        <v>3.3</v>
      </c>
      <c r="E1214" t="inlineStr">
        <is>
          <t>LOW</t>
        </is>
      </c>
      <c r="F1214" t="n">
        <v>2</v>
      </c>
      <c r="G1214" t="n">
        <v>1</v>
      </c>
      <c r="H1214" t="inlineStr">
        <is>
          <t>LOW</t>
        </is>
      </c>
      <c r="I1214" t="n">
        <v>5.3</v>
      </c>
      <c r="J1214" t="inlineStr">
        <is>
          <t>NO</t>
        </is>
      </c>
      <c r="K1214" t="inlineStr">
        <is>
          <t>2026-02-23 23:48</t>
        </is>
      </c>
      <c r="L1214" t="inlineStr">
        <is>
          <t>CHECK_VENDOR</t>
        </is>
      </c>
      <c r="M1214" t="inlineStr">
        <is>
          <t>See CVE details</t>
        </is>
      </c>
      <c r="N1214" t="inlineStr">
        <is>
          <t>P4</t>
        </is>
      </c>
      <c r="O1214" t="inlineStr">
        <is>
          <t>CVE - IP enrichment n/a</t>
        </is>
      </c>
      <c r="P1214" t="n">
        <v>0.0001</v>
      </c>
      <c r="Q1214" t="n">
        <v>0.0199</v>
      </c>
      <c r="R1214" t="inlineStr">
        <is>
          <t>T1190:Exploit Public-Facing Application</t>
        </is>
      </c>
      <c r="S1214" t="n">
        <v>1</v>
      </c>
      <c r="T1214" t="inlineStr">
        <is>
          <t>LOW (40%)</t>
        </is>
      </c>
      <c r="U1214" t="inlineStr">
        <is>
          <t>UNLIKELY</t>
        </is>
      </c>
      <c r="V1214" t="inlineStr">
        <is>
          <t>CHECK_VENDOR</t>
        </is>
      </c>
      <c r="W1214" t="inlineStr">
        <is>
          <t>https://nvd.nist.gov/vuln/detail/CVE-2026-2903</t>
        </is>
      </c>
      <c r="X1214" t="inlineStr">
        <is>
          <t>NONE</t>
        </is>
      </c>
      <c r="Y1214" t="n">
        <v>0</v>
      </c>
      <c r="Z1214" t="inlineStr"/>
      <c r="AA1214" t="inlineStr">
        <is>
          <t>https://nvd.nist.gov/vuln/detail/CVE-2026-2903</t>
        </is>
      </c>
    </row>
    <row r="1215">
      <c r="A1215" t="inlineStr">
        <is>
          <t>CVE</t>
        </is>
      </c>
      <c r="B1215" t="inlineStr">
        <is>
          <t>CVE-2026-2904</t>
        </is>
      </c>
      <c r="C1215" t="inlineStr">
        <is>
          <t>A vulnerability was determined in UTT HiPER 810G 1.7.7-171114. This affects the function strcpy of the file /goform/ConfigExceptAli. Executing a manipulation can lead to buffer overflow. The attack can be launched remotely. The exploit has been publicly disclosed and may be utilized.</t>
        </is>
      </c>
      <c r="D1215" t="n">
        <v>8.800000000000001</v>
      </c>
      <c r="E1215" t="inlineStr">
        <is>
          <t>HIGH</t>
        </is>
      </c>
      <c r="F1215" t="n">
        <v>2</v>
      </c>
      <c r="G1215" t="n">
        <v>3</v>
      </c>
      <c r="H1215" t="inlineStr">
        <is>
          <t>HIGH</t>
        </is>
      </c>
      <c r="I1215" t="n">
        <v>14.8</v>
      </c>
      <c r="J1215" t="inlineStr">
        <is>
          <t>NO</t>
        </is>
      </c>
      <c r="K1215" t="inlineStr">
        <is>
          <t>2026-02-23 23:48</t>
        </is>
      </c>
      <c r="L1215" t="inlineStr">
        <is>
          <t>CHECK_VENDOR</t>
        </is>
      </c>
      <c r="M1215" t="inlineStr">
        <is>
          <t>See CVE details</t>
        </is>
      </c>
      <c r="N1215" t="inlineStr">
        <is>
          <t>P3</t>
        </is>
      </c>
      <c r="O1215" t="inlineStr">
        <is>
          <t>CVE - IP enrichment n/a</t>
        </is>
      </c>
      <c r="P1215" t="n">
        <v>0</v>
      </c>
      <c r="Q1215" t="n">
        <v>0</v>
      </c>
      <c r="R1215" t="inlineStr">
        <is>
          <t>T1203:Exploitation for Client Execution</t>
        </is>
      </c>
      <c r="S1215" t="n">
        <v>1</v>
      </c>
      <c r="T1215" t="inlineStr">
        <is>
          <t>LOW (40%)</t>
        </is>
      </c>
      <c r="U1215" t="inlineStr">
        <is>
          <t>UNLIKELY</t>
        </is>
      </c>
      <c r="V1215" t="inlineStr">
        <is>
          <t>CHECK_VENDOR</t>
        </is>
      </c>
      <c r="W1215" t="inlineStr">
        <is>
          <t>https://nvd.nist.gov/vuln/detail/CVE-2026-2904</t>
        </is>
      </c>
      <c r="X1215" t="inlineStr">
        <is>
          <t>NONE</t>
        </is>
      </c>
      <c r="Y1215" t="n">
        <v>0</v>
      </c>
      <c r="Z1215" t="inlineStr"/>
      <c r="AA1215" t="inlineStr">
        <is>
          <t>https://nvd.nist.gov/vuln/detail/CVE-2026-2904</t>
        </is>
      </c>
    </row>
    <row r="1216">
      <c r="A1216" t="inlineStr">
        <is>
          <t>CVE</t>
        </is>
      </c>
      <c r="B1216" t="inlineStr">
        <is>
          <t>CVE-2026-2905</t>
        </is>
      </c>
      <c r="C1216" t="inlineStr">
        <is>
          <t>A vulnerability was identified in Tenda HG9 300001138. This impacts an unknown function of the file /boaform/formWlanSetup of the component Wireless Configuration Endpoint. The manipulation of the argument ssid leads to stack-based buffer overflow. The attack may be initiated remotely. The exploit is publicly available and might be used.</t>
        </is>
      </c>
      <c r="D1216" t="n">
        <v>8.800000000000001</v>
      </c>
      <c r="E1216" t="inlineStr">
        <is>
          <t>HIGH</t>
        </is>
      </c>
      <c r="F1216" t="n">
        <v>2</v>
      </c>
      <c r="G1216" t="n">
        <v>3</v>
      </c>
      <c r="H1216" t="inlineStr">
        <is>
          <t>HIGH</t>
        </is>
      </c>
      <c r="I1216" t="n">
        <v>14.8</v>
      </c>
      <c r="J1216" t="inlineStr">
        <is>
          <t>NO</t>
        </is>
      </c>
      <c r="K1216" t="inlineStr">
        <is>
          <t>2026-02-23 23:48</t>
        </is>
      </c>
      <c r="L1216" t="inlineStr">
        <is>
          <t>YES</t>
        </is>
      </c>
      <c r="M1216" t="inlineStr">
        <is>
          <t>tenda hg9_firmware 300001138 | tenda hg9 -</t>
        </is>
      </c>
      <c r="N1216" t="inlineStr">
        <is>
          <t>P3</t>
        </is>
      </c>
      <c r="O1216" t="inlineStr">
        <is>
          <t>CVE - IP enrichment n/a</t>
        </is>
      </c>
      <c r="P1216" t="n">
        <v>0</v>
      </c>
      <c r="Q1216" t="n">
        <v>0</v>
      </c>
      <c r="R1216" t="inlineStr">
        <is>
          <t>T1203:Exploitation for Client Execution</t>
        </is>
      </c>
      <c r="S1216" t="n">
        <v>1</v>
      </c>
      <c r="T1216" t="inlineStr">
        <is>
          <t>LOW (40%)</t>
        </is>
      </c>
      <c r="U1216" t="inlineStr">
        <is>
          <t>UNLIKELY</t>
        </is>
      </c>
      <c r="V1216" t="inlineStr">
        <is>
          <t>PATCH_AVAILABLE</t>
        </is>
      </c>
      <c r="W1216" t="inlineStr">
        <is>
          <t>https://nvd.nist.gov/vuln/detail/CVE-2026-2905</t>
        </is>
      </c>
      <c r="X1216" t="inlineStr">
        <is>
          <t>NONE</t>
        </is>
      </c>
      <c r="Y1216" t="n">
        <v>0</v>
      </c>
      <c r="Z1216" t="inlineStr"/>
      <c r="AA1216" t="inlineStr">
        <is>
          <t>https://nvd.nist.gov/vuln/detail/CVE-2026-2905</t>
        </is>
      </c>
    </row>
    <row r="1217">
      <c r="A1217" t="inlineStr">
        <is>
          <t>CVE</t>
        </is>
      </c>
      <c r="B1217" t="inlineStr">
        <is>
          <t>CVE-2026-2906</t>
        </is>
      </c>
      <c r="C1217" t="inlineStr">
        <is>
          <t>A security flaw has been discovered in Tenda HG9 300001138. Affected is an unknown function of the file /boaform/formSamba of the component Samba Configuration Endpoint. The manipulation of the argument sambaCap results in stack-based buffer overflow. The attack may be launched remotely. The exploit has been released to the public and may be used for attacks.</t>
        </is>
      </c>
      <c r="D1217" t="n">
        <v>8.800000000000001</v>
      </c>
      <c r="E1217" t="inlineStr">
        <is>
          <t>HIGH</t>
        </is>
      </c>
      <c r="F1217" t="n">
        <v>2</v>
      </c>
      <c r="G1217" t="n">
        <v>3</v>
      </c>
      <c r="H1217" t="inlineStr">
        <is>
          <t>HIGH</t>
        </is>
      </c>
      <c r="I1217" t="n">
        <v>14.8</v>
      </c>
      <c r="J1217" t="inlineStr">
        <is>
          <t>NO</t>
        </is>
      </c>
      <c r="K1217" t="inlineStr">
        <is>
          <t>2026-02-23 23:48</t>
        </is>
      </c>
      <c r="L1217" t="inlineStr">
        <is>
          <t>YES</t>
        </is>
      </c>
      <c r="M1217" t="inlineStr">
        <is>
          <t>tenda hg9_firmware 300001138 | tenda hg9 -</t>
        </is>
      </c>
      <c r="N1217" t="inlineStr">
        <is>
          <t>P3</t>
        </is>
      </c>
      <c r="O1217" t="inlineStr">
        <is>
          <t>CVE - IP enrichment n/a</t>
        </is>
      </c>
      <c r="P1217" t="n">
        <v>0</v>
      </c>
      <c r="Q1217" t="n">
        <v>0</v>
      </c>
      <c r="R1217" t="inlineStr">
        <is>
          <t>T1203:Exploitation for Client Execution</t>
        </is>
      </c>
      <c r="S1217" t="n">
        <v>1</v>
      </c>
      <c r="T1217" t="inlineStr">
        <is>
          <t>LOW (40%)</t>
        </is>
      </c>
      <c r="U1217" t="inlineStr">
        <is>
          <t>UNLIKELY</t>
        </is>
      </c>
      <c r="V1217" t="inlineStr">
        <is>
          <t>PATCH_AVAILABLE</t>
        </is>
      </c>
      <c r="W1217" t="inlineStr">
        <is>
          <t>https://nvd.nist.gov/vuln/detail/CVE-2026-2906</t>
        </is>
      </c>
      <c r="X1217" t="inlineStr">
        <is>
          <t>NONE</t>
        </is>
      </c>
      <c r="Y1217" t="n">
        <v>0</v>
      </c>
      <c r="Z1217" t="inlineStr"/>
      <c r="AA1217" t="inlineStr">
        <is>
          <t>https://nvd.nist.gov/vuln/detail/CVE-2026-2906</t>
        </is>
      </c>
    </row>
    <row r="1218">
      <c r="A1218" t="inlineStr">
        <is>
          <t>CVE</t>
        </is>
      </c>
      <c r="B1218" t="inlineStr">
        <is>
          <t>CVE-2026-2907</t>
        </is>
      </c>
      <c r="C1218" t="inlineStr">
        <is>
          <t>A weakness has been identified in Tenda HG9 300001138. Affected by this vulnerability is an unknown functionality of the file /boaform/formgponConf of the component GPON Configuration Endpoint. This manipulation of the argument fmgpon_loid/fmgpon_loid_password causes stack-based buffer overflow. Remote exploitation of the attack is possible. The exploit has been made available to the public and could be used for attacks.</t>
        </is>
      </c>
      <c r="D1218" t="n">
        <v>8.800000000000001</v>
      </c>
      <c r="E1218" t="inlineStr">
        <is>
          <t>HIGH</t>
        </is>
      </c>
      <c r="F1218" t="n">
        <v>2</v>
      </c>
      <c r="G1218" t="n">
        <v>3</v>
      </c>
      <c r="H1218" t="inlineStr">
        <is>
          <t>HIGH</t>
        </is>
      </c>
      <c r="I1218" t="n">
        <v>14.8</v>
      </c>
      <c r="J1218" t="inlineStr">
        <is>
          <t>NO</t>
        </is>
      </c>
      <c r="K1218" t="inlineStr">
        <is>
          <t>2026-02-23 23:48</t>
        </is>
      </c>
      <c r="L1218" t="inlineStr">
        <is>
          <t>YES</t>
        </is>
      </c>
      <c r="M1218" t="inlineStr">
        <is>
          <t>tenda hg9_firmware 300001138 | tenda hg9 -</t>
        </is>
      </c>
      <c r="N1218" t="inlineStr">
        <is>
          <t>P3</t>
        </is>
      </c>
      <c r="O1218" t="inlineStr">
        <is>
          <t>CVE - IP enrichment n/a</t>
        </is>
      </c>
      <c r="P1218" t="n">
        <v>0</v>
      </c>
      <c r="Q1218" t="n">
        <v>0</v>
      </c>
      <c r="R1218" t="inlineStr">
        <is>
          <t>T1203:Exploitation for Client Execution</t>
        </is>
      </c>
      <c r="S1218" t="n">
        <v>1</v>
      </c>
      <c r="T1218" t="inlineStr">
        <is>
          <t>LOW (40%)</t>
        </is>
      </c>
      <c r="U1218" t="inlineStr">
        <is>
          <t>UNLIKELY</t>
        </is>
      </c>
      <c r="V1218" t="inlineStr">
        <is>
          <t>PATCH_AVAILABLE</t>
        </is>
      </c>
      <c r="W1218" t="inlineStr">
        <is>
          <t>https://nvd.nist.gov/vuln/detail/CVE-2026-2907</t>
        </is>
      </c>
      <c r="X1218" t="inlineStr">
        <is>
          <t>NONE</t>
        </is>
      </c>
      <c r="Y1218" t="n">
        <v>0</v>
      </c>
      <c r="Z1218" t="inlineStr"/>
      <c r="AA1218" t="inlineStr">
        <is>
          <t>https://nvd.nist.gov/vuln/detail/CVE-2026-2907</t>
        </is>
      </c>
    </row>
    <row r="1219">
      <c r="A1219" t="inlineStr">
        <is>
          <t>CVE</t>
        </is>
      </c>
      <c r="B1219" t="inlineStr">
        <is>
          <t>CVE-2026-2908</t>
        </is>
      </c>
      <c r="C1219" t="inlineStr">
        <is>
          <t>A security vulnerability has been detected in Tenda HG9 300001138. Affected by this issue is some unknown functionality of the file /boaform/formLoopBack of the component Loopback Detection Configuration Endpoint. Such manipulation of the argument Ethtype leads to stack-based buffer overflow. The attack can be executed remotely. The exploit has been disclosed publicly and may be used.</t>
        </is>
      </c>
      <c r="D1219" t="n">
        <v>8.800000000000001</v>
      </c>
      <c r="E1219" t="inlineStr">
        <is>
          <t>HIGH</t>
        </is>
      </c>
      <c r="F1219" t="n">
        <v>2</v>
      </c>
      <c r="G1219" t="n">
        <v>3</v>
      </c>
      <c r="H1219" t="inlineStr">
        <is>
          <t>HIGH</t>
        </is>
      </c>
      <c r="I1219" t="n">
        <v>14.8</v>
      </c>
      <c r="J1219" t="inlineStr">
        <is>
          <t>NO</t>
        </is>
      </c>
      <c r="K1219" t="inlineStr">
        <is>
          <t>2026-02-23 23:48</t>
        </is>
      </c>
      <c r="L1219" t="inlineStr">
        <is>
          <t>YES</t>
        </is>
      </c>
      <c r="M1219" t="inlineStr">
        <is>
          <t>tenda hg9_firmware 300001138 | tenda hg9 -</t>
        </is>
      </c>
      <c r="N1219" t="inlineStr">
        <is>
          <t>P3</t>
        </is>
      </c>
      <c r="O1219" t="inlineStr">
        <is>
          <t>CVE - IP enrichment n/a</t>
        </is>
      </c>
      <c r="P1219" t="n">
        <v>0</v>
      </c>
      <c r="Q1219" t="n">
        <v>0</v>
      </c>
      <c r="R1219" t="inlineStr">
        <is>
          <t>T1203:Exploitation for Client Execution</t>
        </is>
      </c>
      <c r="S1219" t="n">
        <v>1</v>
      </c>
      <c r="T1219" t="inlineStr">
        <is>
          <t>LOW (40%)</t>
        </is>
      </c>
      <c r="U1219" t="inlineStr">
        <is>
          <t>UNLIKELY</t>
        </is>
      </c>
      <c r="V1219" t="inlineStr">
        <is>
          <t>PATCH_AVAILABLE</t>
        </is>
      </c>
      <c r="W1219" t="inlineStr">
        <is>
          <t>https://nvd.nist.gov/vuln/detail/CVE-2026-2908</t>
        </is>
      </c>
      <c r="X1219" t="inlineStr">
        <is>
          <t>NONE</t>
        </is>
      </c>
      <c r="Y1219" t="n">
        <v>0</v>
      </c>
      <c r="Z1219" t="inlineStr"/>
      <c r="AA1219" t="inlineStr">
        <is>
          <t>https://nvd.nist.gov/vuln/detail/CVE-2026-2908</t>
        </is>
      </c>
    </row>
    <row r="1220">
      <c r="A1220" t="inlineStr">
        <is>
          <t>CVE</t>
        </is>
      </c>
      <c r="B1220" t="inlineStr">
        <is>
          <t>CVE-2026-2909</t>
        </is>
      </c>
      <c r="C1220" t="inlineStr">
        <is>
          <t>A vulnerability was detected in Tenda HG9 300001138. This affects an unknown part of the file /boaform/formPing of the component Diagnostic Ping Endpoint. Performing a manipulation of the argument pingAddr results in stack-based buffer overflow. The attack is possible to be carried out remotely. The exploit is now public and may be used.</t>
        </is>
      </c>
      <c r="D1220" t="n">
        <v>8.800000000000001</v>
      </c>
      <c r="E1220" t="inlineStr">
        <is>
          <t>HIGH</t>
        </is>
      </c>
      <c r="F1220" t="n">
        <v>2</v>
      </c>
      <c r="G1220" t="n">
        <v>3</v>
      </c>
      <c r="H1220" t="inlineStr">
        <is>
          <t>HIGH</t>
        </is>
      </c>
      <c r="I1220" t="n">
        <v>14.8</v>
      </c>
      <c r="J1220" t="inlineStr">
        <is>
          <t>NO</t>
        </is>
      </c>
      <c r="K1220" t="inlineStr">
        <is>
          <t>2026-02-23 23:48</t>
        </is>
      </c>
      <c r="L1220" t="inlineStr">
        <is>
          <t>YES</t>
        </is>
      </c>
      <c r="M1220" t="inlineStr">
        <is>
          <t>tenda hg9_firmware 300001138 | tenda hg9 -</t>
        </is>
      </c>
      <c r="N1220" t="inlineStr">
        <is>
          <t>P3</t>
        </is>
      </c>
      <c r="O1220" t="inlineStr">
        <is>
          <t>CVE - IP enrichment n/a</t>
        </is>
      </c>
      <c r="P1220" t="n">
        <v>0.0005</v>
      </c>
      <c r="Q1220" t="n">
        <v>0.1437</v>
      </c>
      <c r="R1220" t="inlineStr">
        <is>
          <t>T1203:Exploitation for Client Execution</t>
        </is>
      </c>
      <c r="S1220" t="n">
        <v>1</v>
      </c>
      <c r="T1220" t="inlineStr">
        <is>
          <t>LOW (40%)</t>
        </is>
      </c>
      <c r="U1220" t="inlineStr">
        <is>
          <t>UNLIKELY</t>
        </is>
      </c>
      <c r="V1220" t="inlineStr">
        <is>
          <t>PATCH_AVAILABLE</t>
        </is>
      </c>
      <c r="W1220" t="inlineStr">
        <is>
          <t>https://nvd.nist.gov/vuln/detail/CVE-2026-2909</t>
        </is>
      </c>
      <c r="X1220" t="inlineStr">
        <is>
          <t>NONE</t>
        </is>
      </c>
      <c r="Y1220" t="n">
        <v>0</v>
      </c>
      <c r="Z1220" t="inlineStr"/>
      <c r="AA1220" t="inlineStr">
        <is>
          <t>https://nvd.nist.gov/vuln/detail/CVE-2026-2909</t>
        </is>
      </c>
    </row>
    <row r="1221">
      <c r="A1221" t="inlineStr">
        <is>
          <t>CVE</t>
        </is>
      </c>
      <c r="B1221" t="inlineStr">
        <is>
          <t>CVE-2026-2910</t>
        </is>
      </c>
      <c r="C1221" t="inlineStr">
        <is>
          <t>A flaw has been found in Tenda HG9 300001138. This vulnerability affects unknown code of the file /boaform/formPing6. Executing a manipulation of the argument pingAddr can lead to stack-based buffer overflow. The attack may be performed from remote. The exploit has been published and may be used.</t>
        </is>
      </c>
      <c r="D1221" t="n">
        <v>8.800000000000001</v>
      </c>
      <c r="E1221" t="inlineStr">
        <is>
          <t>HIGH</t>
        </is>
      </c>
      <c r="F1221" t="n">
        <v>2</v>
      </c>
      <c r="G1221" t="n">
        <v>3</v>
      </c>
      <c r="H1221" t="inlineStr">
        <is>
          <t>HIGH</t>
        </is>
      </c>
      <c r="I1221" t="n">
        <v>14.8</v>
      </c>
      <c r="J1221" t="inlineStr">
        <is>
          <t>NO</t>
        </is>
      </c>
      <c r="K1221" t="inlineStr">
        <is>
          <t>2026-02-23 23:48</t>
        </is>
      </c>
      <c r="L1221" t="inlineStr">
        <is>
          <t>YES</t>
        </is>
      </c>
      <c r="M1221" t="inlineStr">
        <is>
          <t>tenda hg9_firmware 300001138 | tenda hg9 -</t>
        </is>
      </c>
      <c r="N1221" t="inlineStr">
        <is>
          <t>P3</t>
        </is>
      </c>
      <c r="O1221" t="inlineStr">
        <is>
          <t>CVE - IP enrichment n/a</t>
        </is>
      </c>
      <c r="P1221" t="n">
        <v>0</v>
      </c>
      <c r="Q1221" t="n">
        <v>0</v>
      </c>
      <c r="R1221" t="inlineStr">
        <is>
          <t>T1203:Exploitation for Client Execution</t>
        </is>
      </c>
      <c r="S1221" t="n">
        <v>1</v>
      </c>
      <c r="T1221" t="inlineStr">
        <is>
          <t>LOW (40%)</t>
        </is>
      </c>
      <c r="U1221" t="inlineStr">
        <is>
          <t>UNLIKELY</t>
        </is>
      </c>
      <c r="V1221" t="inlineStr">
        <is>
          <t>PATCH_AVAILABLE</t>
        </is>
      </c>
      <c r="W1221" t="inlineStr">
        <is>
          <t>https://nvd.nist.gov/vuln/detail/CVE-2026-2910</t>
        </is>
      </c>
      <c r="X1221" t="inlineStr">
        <is>
          <t>NONE</t>
        </is>
      </c>
      <c r="Y1221" t="n">
        <v>0</v>
      </c>
      <c r="Z1221" t="inlineStr"/>
      <c r="AA1221" t="inlineStr">
        <is>
          <t>https://nvd.nist.gov/vuln/detail/CVE-2026-2910</t>
        </is>
      </c>
    </row>
    <row r="1222">
      <c r="A1222" t="inlineStr">
        <is>
          <t>CVE</t>
        </is>
      </c>
      <c r="B1222" t="inlineStr">
        <is>
          <t>CVE-2026-2911</t>
        </is>
      </c>
      <c r="C1222" t="inlineStr">
        <is>
          <t>A vulnerability has been found in Tenda FH451 up to 1.0.0.9. This issue affects some unknown processing of the file /goform/GstDhcpSetSer. The manipulation leads to buffer overflow. It is possible to initiate the attack remotely. The exploit has been disclosed to the public and may be used.</t>
        </is>
      </c>
      <c r="D1222" t="n">
        <v>8.800000000000001</v>
      </c>
      <c r="E1222" t="inlineStr">
        <is>
          <t>HIGH</t>
        </is>
      </c>
      <c r="F1222" t="n">
        <v>2</v>
      </c>
      <c r="G1222" t="n">
        <v>3</v>
      </c>
      <c r="H1222" t="inlineStr">
        <is>
          <t>HIGH</t>
        </is>
      </c>
      <c r="I1222" t="n">
        <v>14.8</v>
      </c>
      <c r="J1222" t="inlineStr">
        <is>
          <t>NO</t>
        </is>
      </c>
      <c r="K1222" t="inlineStr">
        <is>
          <t>2026-02-23 23:48</t>
        </is>
      </c>
      <c r="L1222" t="inlineStr">
        <is>
          <t>CHECK_VENDOR</t>
        </is>
      </c>
      <c r="M1222" t="inlineStr">
        <is>
          <t>tenda fh451_firmware 1.0.0.9 | tenda fh451 -</t>
        </is>
      </c>
      <c r="N1222" t="inlineStr">
        <is>
          <t>P3</t>
        </is>
      </c>
      <c r="O1222" t="inlineStr">
        <is>
          <t>CVE - IP enrichment n/a</t>
        </is>
      </c>
      <c r="P1222" t="n">
        <v>0</v>
      </c>
      <c r="Q1222" t="n">
        <v>0</v>
      </c>
      <c r="R1222" t="inlineStr">
        <is>
          <t>T1203:Exploitation for Client Execution</t>
        </is>
      </c>
      <c r="S1222" t="n">
        <v>1</v>
      </c>
      <c r="T1222" t="inlineStr">
        <is>
          <t>LOW (40%)</t>
        </is>
      </c>
      <c r="U1222" t="inlineStr">
        <is>
          <t>UNLIKELY</t>
        </is>
      </c>
      <c r="V1222" t="inlineStr">
        <is>
          <t>CHECK_VENDOR</t>
        </is>
      </c>
      <c r="W1222" t="inlineStr">
        <is>
          <t>https://nvd.nist.gov/vuln/detail/CVE-2026-2911</t>
        </is>
      </c>
      <c r="X1222" t="inlineStr">
        <is>
          <t>NONE</t>
        </is>
      </c>
      <c r="Y1222" t="n">
        <v>0</v>
      </c>
      <c r="Z1222" t="inlineStr"/>
      <c r="AA1222" t="inlineStr">
        <is>
          <t>https://nvd.nist.gov/vuln/detail/CVE-2026-2911</t>
        </is>
      </c>
    </row>
    <row r="1223">
      <c r="A1223" t="inlineStr">
        <is>
          <t>CVE</t>
        </is>
      </c>
      <c r="B1223" t="inlineStr">
        <is>
          <t>CVE-2026-2912</t>
        </is>
      </c>
      <c r="C1223" t="inlineStr">
        <is>
          <t>A vulnerability was found in code-projects Online Reviewer System 1.0. Impacted is an unknown function of the file /system/system/students/assessments/results/studentresult-view.php. The manipulation of the argument test_id results in sql injection. It is possible to launch the attack remotely. The exploit has been made public and could be used.</t>
        </is>
      </c>
      <c r="D1223" t="n">
        <v>7.3</v>
      </c>
      <c r="E1223" t="inlineStr">
        <is>
          <t>HIGH</t>
        </is>
      </c>
      <c r="F1223" t="n">
        <v>2</v>
      </c>
      <c r="G1223" t="n">
        <v>3</v>
      </c>
      <c r="H1223" t="inlineStr">
        <is>
          <t>HIGH</t>
        </is>
      </c>
      <c r="I1223" t="n">
        <v>13.3</v>
      </c>
      <c r="J1223" t="inlineStr">
        <is>
          <t>NO</t>
        </is>
      </c>
      <c r="K1223" t="inlineStr">
        <is>
          <t>2026-02-23 23:48</t>
        </is>
      </c>
      <c r="L1223" t="inlineStr">
        <is>
          <t>CHECK_VENDOR</t>
        </is>
      </c>
      <c r="M1223" t="inlineStr">
        <is>
          <t>fabian online_reviewer_system 1.0</t>
        </is>
      </c>
      <c r="N1223" t="inlineStr">
        <is>
          <t>P3</t>
        </is>
      </c>
      <c r="O1223" t="inlineStr">
        <is>
          <t>CVE - IP enrichment n/a</t>
        </is>
      </c>
      <c r="P1223" t="n">
        <v>0</v>
      </c>
      <c r="Q1223" t="n">
        <v>0</v>
      </c>
      <c r="R1223" t="inlineStr">
        <is>
          <t>T1190:Exploit Public-Facing Application</t>
        </is>
      </c>
      <c r="S1223" t="n">
        <v>1</v>
      </c>
      <c r="T1223" t="inlineStr">
        <is>
          <t>LOW (40%)</t>
        </is>
      </c>
      <c r="U1223" t="inlineStr">
        <is>
          <t>UNLIKELY</t>
        </is>
      </c>
      <c r="V1223" t="inlineStr">
        <is>
          <t>CHECK_VENDOR</t>
        </is>
      </c>
      <c r="W1223" t="inlineStr">
        <is>
          <t>https://nvd.nist.gov/vuln/detail/CVE-2026-2912</t>
        </is>
      </c>
      <c r="X1223" t="inlineStr">
        <is>
          <t>NONE</t>
        </is>
      </c>
      <c r="Y1223" t="n">
        <v>0</v>
      </c>
      <c r="Z1223" t="inlineStr"/>
      <c r="AA1223" t="inlineStr">
        <is>
          <t>https://nvd.nist.gov/vuln/detail/CVE-2026-2912</t>
        </is>
      </c>
    </row>
    <row r="1224">
      <c r="A1224" t="inlineStr">
        <is>
          <t>CVE</t>
        </is>
      </c>
      <c r="B1224" t="inlineStr">
        <is>
          <t>CVE-2026-2913</t>
        </is>
      </c>
      <c r="C1224" t="inlineStr">
        <is>
          <t>A vulnerability was determined in libvips up to 8.19.0. The affected element is the function vips_source_read_to_memory of the file libvips/iofuncs/source.c. This manipulation causes heap-based buffer overflow. It is possible to launch the attack on the local host. The attack's complexity is rated as high. The exploitability is described as difficult. The exploit has been publicly disclosed and may be utilized. Patch name: a56feecbe9ed66521d9647ec9fbcd2546eccd7ee. Applying a patch is the recomme</t>
        </is>
      </c>
      <c r="D1224" t="n">
        <v>2.5</v>
      </c>
      <c r="E1224" t="inlineStr">
        <is>
          <t>LOW</t>
        </is>
      </c>
      <c r="F1224" t="n">
        <v>2</v>
      </c>
      <c r="G1224" t="n">
        <v>1</v>
      </c>
      <c r="H1224" t="inlineStr">
        <is>
          <t>LOW</t>
        </is>
      </c>
      <c r="I1224" t="n">
        <v>4.5</v>
      </c>
      <c r="J1224" t="inlineStr">
        <is>
          <t>NO</t>
        </is>
      </c>
      <c r="K1224" t="inlineStr">
        <is>
          <t>2026-02-23 23:48</t>
        </is>
      </c>
      <c r="L1224" t="inlineStr">
        <is>
          <t>CHECK_VENDOR</t>
        </is>
      </c>
      <c r="M1224" t="inlineStr">
        <is>
          <t>See CVE details</t>
        </is>
      </c>
      <c r="N1224" t="inlineStr">
        <is>
          <t>P1</t>
        </is>
      </c>
      <c r="O1224" t="inlineStr">
        <is>
          <t>CVE - IP enrichment n/a</t>
        </is>
      </c>
      <c r="P1224" t="n">
        <v>0</v>
      </c>
      <c r="Q1224" t="n">
        <v>0</v>
      </c>
      <c r="R1224" t="inlineStr">
        <is>
          <t>T1203:Exploitation for Client Execution | T1190:Exploit Public-Facing Application</t>
        </is>
      </c>
      <c r="S1224" t="n">
        <v>2</v>
      </c>
      <c r="T1224" t="inlineStr">
        <is>
          <t>HIGH (72%)</t>
        </is>
      </c>
      <c r="U1224" t="inlineStr">
        <is>
          <t>HIGH</t>
        </is>
      </c>
      <c r="V1224" t="inlineStr">
        <is>
          <t>CHECK_VENDOR</t>
        </is>
      </c>
      <c r="W1224" t="inlineStr">
        <is>
          <t>https://nvd.nist.gov/vuln/detail/CVE-2026-2913</t>
        </is>
      </c>
      <c r="X1224" t="inlineStr">
        <is>
          <t>http://www.zerodayinitiative.com/advisories/ZDI-26-123/</t>
        </is>
      </c>
      <c r="Y1224" t="n">
        <v>0</v>
      </c>
      <c r="Z1224" t="inlineStr"/>
      <c r="AA1224" t="inlineStr">
        <is>
          <t>https://nvd.nist.gov/vuln/detail/CVE-2026-2913</t>
        </is>
      </c>
    </row>
    <row r="1225">
      <c r="A1225" t="inlineStr">
        <is>
          <t>CVE</t>
        </is>
      </c>
      <c r="B1225" t="inlineStr">
        <is>
          <t>CVE-2026-2925</t>
        </is>
      </c>
      <c r="C1225" t="inlineStr">
        <is>
          <t>A vulnerability was detected in D-Link DWR-M960 1.01.07. Affected by this issue is the function sub_42B5A0 of the file /boafrm/formBridgeVlan of the component Bridge VLAN Configuration Endpoint. Performing a manipulation of the argument submit-url results in stack-based buffer overflow. The attack can be initiated remotely. The exploit is now public and may be used.</t>
        </is>
      </c>
      <c r="D1225" t="n">
        <v>8.800000000000001</v>
      </c>
      <c r="E1225" t="inlineStr">
        <is>
          <t>HIGH</t>
        </is>
      </c>
      <c r="F1225" t="n">
        <v>2</v>
      </c>
      <c r="G1225" t="n">
        <v>3</v>
      </c>
      <c r="H1225" t="inlineStr">
        <is>
          <t>HIGH</t>
        </is>
      </c>
      <c r="I1225" t="n">
        <v>14.8</v>
      </c>
      <c r="J1225" t="inlineStr">
        <is>
          <t>NO</t>
        </is>
      </c>
      <c r="K1225" t="inlineStr">
        <is>
          <t>2026-02-23 23:48</t>
        </is>
      </c>
      <c r="L1225" t="inlineStr">
        <is>
          <t>CHECK_VENDOR</t>
        </is>
      </c>
      <c r="M1225" t="inlineStr">
        <is>
          <t>dlink dwr-m960 b1 | dlink dwr-m960_firmware 1.01.07</t>
        </is>
      </c>
      <c r="N1225" t="inlineStr">
        <is>
          <t>P3</t>
        </is>
      </c>
      <c r="O1225" t="inlineStr">
        <is>
          <t>CVE - IP enrichment n/a</t>
        </is>
      </c>
      <c r="P1225" t="n">
        <v>0</v>
      </c>
      <c r="Q1225" t="n">
        <v>0</v>
      </c>
      <c r="R1225" t="inlineStr">
        <is>
          <t>T1203:Exploitation for Client Execution</t>
        </is>
      </c>
      <c r="S1225" t="n">
        <v>1</v>
      </c>
      <c r="T1225" t="inlineStr">
        <is>
          <t>LOW (40%)</t>
        </is>
      </c>
      <c r="U1225" t="inlineStr">
        <is>
          <t>UNLIKELY</t>
        </is>
      </c>
      <c r="V1225" t="inlineStr">
        <is>
          <t>CHECK_VENDOR</t>
        </is>
      </c>
      <c r="W1225" t="inlineStr">
        <is>
          <t>https://nvd.nist.gov/vuln/detail/CVE-2026-2925</t>
        </is>
      </c>
      <c r="X1225" t="inlineStr">
        <is>
          <t>NONE</t>
        </is>
      </c>
      <c r="Y1225" t="n">
        <v>0</v>
      </c>
      <c r="Z1225" t="inlineStr"/>
      <c r="AA1225" t="inlineStr">
        <is>
          <t>https://nvd.nist.gov/vuln/detail/CVE-2026-2925</t>
        </is>
      </c>
    </row>
    <row r="1226">
      <c r="A1226" t="inlineStr">
        <is>
          <t>CVE</t>
        </is>
      </c>
      <c r="B1226" t="inlineStr">
        <is>
          <t>CVE-2026-2926</t>
        </is>
      </c>
      <c r="C1226" t="inlineStr">
        <is>
          <t>A flaw has been found in D-Link DWR-M960 1.01.07. This affects the function sub_4237AC of the file /boafrm/formLteSetup of the component LTE Configuration Endpoint. Executing a manipulation of the argument submit-url can lead to stack-based buffer overflow. The attack can be launched remotely. The exploit has been published and may be used.</t>
        </is>
      </c>
      <c r="D1226" t="n">
        <v>8.800000000000001</v>
      </c>
      <c r="E1226" t="inlineStr">
        <is>
          <t>HIGH</t>
        </is>
      </c>
      <c r="F1226" t="n">
        <v>2</v>
      </c>
      <c r="G1226" t="n">
        <v>3</v>
      </c>
      <c r="H1226" t="inlineStr">
        <is>
          <t>HIGH</t>
        </is>
      </c>
      <c r="I1226" t="n">
        <v>14.8</v>
      </c>
      <c r="J1226" t="inlineStr">
        <is>
          <t>NO</t>
        </is>
      </c>
      <c r="K1226" t="inlineStr">
        <is>
          <t>2026-02-23 23:48</t>
        </is>
      </c>
      <c r="L1226" t="inlineStr">
        <is>
          <t>CHECK_VENDOR</t>
        </is>
      </c>
      <c r="M1226" t="inlineStr">
        <is>
          <t>dlink dwr-m960 b1 | dlink dwr-m960_firmware 1.01.07</t>
        </is>
      </c>
      <c r="N1226" t="inlineStr">
        <is>
          <t>P3</t>
        </is>
      </c>
      <c r="O1226" t="inlineStr">
        <is>
          <t>CVE - IP enrichment n/a</t>
        </is>
      </c>
      <c r="P1226" t="n">
        <v>0</v>
      </c>
      <c r="Q1226" t="n">
        <v>0</v>
      </c>
      <c r="R1226" t="inlineStr">
        <is>
          <t>T1203:Exploitation for Client Execution</t>
        </is>
      </c>
      <c r="S1226" t="n">
        <v>1</v>
      </c>
      <c r="T1226" t="inlineStr">
        <is>
          <t>LOW (40%)</t>
        </is>
      </c>
      <c r="U1226" t="inlineStr">
        <is>
          <t>UNLIKELY</t>
        </is>
      </c>
      <c r="V1226" t="inlineStr">
        <is>
          <t>CHECK_VENDOR</t>
        </is>
      </c>
      <c r="W1226" t="inlineStr">
        <is>
          <t>https://nvd.nist.gov/vuln/detail/CVE-2026-2926</t>
        </is>
      </c>
      <c r="X1226" t="inlineStr">
        <is>
          <t>NONE</t>
        </is>
      </c>
      <c r="Y1226" t="n">
        <v>0</v>
      </c>
      <c r="Z1226" t="inlineStr"/>
      <c r="AA1226" t="inlineStr">
        <is>
          <t>https://nvd.nist.gov/vuln/detail/CVE-2026-2926</t>
        </is>
      </c>
    </row>
    <row r="1227">
      <c r="A1227" t="inlineStr">
        <is>
          <t>CVE</t>
        </is>
      </c>
      <c r="B1227" t="inlineStr">
        <is>
          <t>CVE-2026-2927</t>
        </is>
      </c>
      <c r="C1227" t="inlineStr">
        <is>
          <t>A vulnerability has been found in D-Link DWR-M960 1.01.07. This vulnerability affects the function sub_462590 of the file /boafrm/formOpMode of the component Operation Mode Configuration Endpoint. The manipulation of the argument submit-url leads to stack-based buffer overflow. The attack may be initiated remotely. The exploit has been disclosed to the public and may be used.</t>
        </is>
      </c>
      <c r="D1227" t="n">
        <v>8.800000000000001</v>
      </c>
      <c r="E1227" t="inlineStr">
        <is>
          <t>HIGH</t>
        </is>
      </c>
      <c r="F1227" t="n">
        <v>2</v>
      </c>
      <c r="G1227" t="n">
        <v>3</v>
      </c>
      <c r="H1227" t="inlineStr">
        <is>
          <t>HIGH</t>
        </is>
      </c>
      <c r="I1227" t="n">
        <v>14.8</v>
      </c>
      <c r="J1227" t="inlineStr">
        <is>
          <t>NO</t>
        </is>
      </c>
      <c r="K1227" t="inlineStr">
        <is>
          <t>2026-02-23 23:48</t>
        </is>
      </c>
      <c r="L1227" t="inlineStr">
        <is>
          <t>CHECK_VENDOR</t>
        </is>
      </c>
      <c r="M1227" t="inlineStr">
        <is>
          <t>dlink dwr-m960 b1 | dlink dwr-m960_firmware 1.01.07</t>
        </is>
      </c>
      <c r="N1227" t="inlineStr">
        <is>
          <t>P3</t>
        </is>
      </c>
      <c r="O1227" t="inlineStr">
        <is>
          <t>CVE - IP enrichment n/a</t>
        </is>
      </c>
      <c r="P1227" t="n">
        <v>0</v>
      </c>
      <c r="Q1227" t="n">
        <v>0</v>
      </c>
      <c r="R1227" t="inlineStr">
        <is>
          <t>T1203:Exploitation for Client Execution</t>
        </is>
      </c>
      <c r="S1227" t="n">
        <v>1</v>
      </c>
      <c r="T1227" t="inlineStr">
        <is>
          <t>LOW (40%)</t>
        </is>
      </c>
      <c r="U1227" t="inlineStr">
        <is>
          <t>UNLIKELY</t>
        </is>
      </c>
      <c r="V1227" t="inlineStr">
        <is>
          <t>CHECK_VENDOR</t>
        </is>
      </c>
      <c r="W1227" t="inlineStr">
        <is>
          <t>https://nvd.nist.gov/vuln/detail/CVE-2026-2927</t>
        </is>
      </c>
      <c r="X1227" t="inlineStr">
        <is>
          <t>NONE</t>
        </is>
      </c>
      <c r="Y1227" t="n">
        <v>0</v>
      </c>
      <c r="Z1227" t="inlineStr"/>
      <c r="AA1227" t="inlineStr">
        <is>
          <t>https://nvd.nist.gov/vuln/detail/CVE-2026-2927</t>
        </is>
      </c>
    </row>
    <row r="1228">
      <c r="A1228" t="inlineStr">
        <is>
          <t>CVE</t>
        </is>
      </c>
      <c r="B1228" t="inlineStr">
        <is>
          <t>CVE-2026-2928</t>
        </is>
      </c>
      <c r="C1228" t="inlineStr">
        <is>
          <t>A vulnerability was found in D-Link DWR-M960 1.01.07. This issue affects the function sub_452CCC of the file /boafrm/formWlEncrypt of the component WLAN Encryption Configuration Endpoint. The manipulation of the argument submit-url results in stack-based buffer overflow. The attack may be launched remotely. The exploit has been made public and could be used.</t>
        </is>
      </c>
      <c r="D1228" t="n">
        <v>8.800000000000001</v>
      </c>
      <c r="E1228" t="inlineStr">
        <is>
          <t>HIGH</t>
        </is>
      </c>
      <c r="F1228" t="n">
        <v>2</v>
      </c>
      <c r="G1228" t="n">
        <v>3</v>
      </c>
      <c r="H1228" t="inlineStr">
        <is>
          <t>HIGH</t>
        </is>
      </c>
      <c r="I1228" t="n">
        <v>14.8</v>
      </c>
      <c r="J1228" t="inlineStr">
        <is>
          <t>NO</t>
        </is>
      </c>
      <c r="K1228" t="inlineStr">
        <is>
          <t>2026-02-23 23:48</t>
        </is>
      </c>
      <c r="L1228" t="inlineStr">
        <is>
          <t>CHECK_VENDOR</t>
        </is>
      </c>
      <c r="M1228" t="inlineStr">
        <is>
          <t>dlink dwr-m960 b1 | dlink dwr-m960_firmware 1.01.07</t>
        </is>
      </c>
      <c r="N1228" t="inlineStr">
        <is>
          <t>P3</t>
        </is>
      </c>
      <c r="O1228" t="inlineStr">
        <is>
          <t>CVE - IP enrichment n/a</t>
        </is>
      </c>
      <c r="P1228" t="n">
        <v>0</v>
      </c>
      <c r="Q1228" t="n">
        <v>0</v>
      </c>
      <c r="R1228" t="inlineStr">
        <is>
          <t>T1203:Exploitation for Client Execution</t>
        </is>
      </c>
      <c r="S1228" t="n">
        <v>1</v>
      </c>
      <c r="T1228" t="inlineStr">
        <is>
          <t>LOW (40%)</t>
        </is>
      </c>
      <c r="U1228" t="inlineStr">
        <is>
          <t>UNLIKELY</t>
        </is>
      </c>
      <c r="V1228" t="inlineStr">
        <is>
          <t>CHECK_VENDOR</t>
        </is>
      </c>
      <c r="W1228" t="inlineStr">
        <is>
          <t>https://nvd.nist.gov/vuln/detail/CVE-2026-2928</t>
        </is>
      </c>
      <c r="X1228" t="inlineStr">
        <is>
          <t>NONE</t>
        </is>
      </c>
      <c r="Y1228" t="n">
        <v>0</v>
      </c>
      <c r="Z1228" t="inlineStr"/>
      <c r="AA1228" t="inlineStr">
        <is>
          <t>https://nvd.nist.gov/vuln/detail/CVE-2026-2928</t>
        </is>
      </c>
    </row>
    <row r="1229">
      <c r="A1229" t="inlineStr">
        <is>
          <t>CVE</t>
        </is>
      </c>
      <c r="B1229" t="inlineStr">
        <is>
          <t>CVE-2026-1369</t>
        </is>
      </c>
      <c r="C1229" t="inlineStr">
        <is>
          <t>The Conditional CAPTCHA WordPress plugin through 4.0.0 does not validate a parameter before redirecting the user to its value, leading to an Open Redirect issue</t>
        </is>
      </c>
      <c r="D1229" t="n">
        <v>4.3</v>
      </c>
      <c r="E1229" t="inlineStr">
        <is>
          <t>MEDIUM</t>
        </is>
      </c>
      <c r="F1229" t="n">
        <v>2</v>
      </c>
      <c r="G1229" t="n">
        <v>2</v>
      </c>
      <c r="H1229" t="inlineStr">
        <is>
          <t>MEDIUM</t>
        </is>
      </c>
      <c r="I1229" t="n">
        <v>8.300000000000001</v>
      </c>
      <c r="J1229" t="inlineStr">
        <is>
          <t>NO</t>
        </is>
      </c>
      <c r="K1229" t="inlineStr">
        <is>
          <t>2026-02-23 23:48</t>
        </is>
      </c>
      <c r="L1229" t="inlineStr">
        <is>
          <t>CHECK_VENDOR</t>
        </is>
      </c>
      <c r="M1229" t="inlineStr">
        <is>
          <t>See CVE details</t>
        </is>
      </c>
      <c r="N1229" t="inlineStr">
        <is>
          <t>P4</t>
        </is>
      </c>
      <c r="O1229" t="inlineStr">
        <is>
          <t>CVE - IP enrichment n/a</t>
        </is>
      </c>
      <c r="P1229" t="n">
        <v>0.0002</v>
      </c>
      <c r="Q1229" t="n">
        <v>0.0381</v>
      </c>
      <c r="R1229" t="inlineStr">
        <is>
          <t>T1189:Drive-by Compromise</t>
        </is>
      </c>
      <c r="S1229" t="n">
        <v>1</v>
      </c>
      <c r="T1229" t="inlineStr">
        <is>
          <t>LOW (40%)</t>
        </is>
      </c>
      <c r="U1229" t="inlineStr">
        <is>
          <t>UNLIKELY</t>
        </is>
      </c>
      <c r="V1229" t="inlineStr">
        <is>
          <t>CHECK_VENDOR</t>
        </is>
      </c>
      <c r="W1229" t="inlineStr">
        <is>
          <t>https://nvd.nist.gov/vuln/detail/CVE-2026-1369</t>
        </is>
      </c>
      <c r="X1229" t="inlineStr">
        <is>
          <t>NONE</t>
        </is>
      </c>
      <c r="Y1229" t="n">
        <v>0</v>
      </c>
      <c r="Z1229" t="inlineStr"/>
      <c r="AA1229" t="inlineStr">
        <is>
          <t>https://nvd.nist.gov/vuln/detail/CVE-2026-1369</t>
        </is>
      </c>
    </row>
    <row r="1230">
      <c r="A1230" t="inlineStr">
        <is>
          <t>CVE</t>
        </is>
      </c>
      <c r="B1230" t="inlineStr">
        <is>
          <t>CVE-2026-2929</t>
        </is>
      </c>
      <c r="C1230" t="inlineStr">
        <is>
          <t>A vulnerability was determined in D-Link DWR-M960 1.01.07. Impacted is the function sub_453140 of the file /boafrm/formWlAc of the component Wireless Access Control Endpoint. This manipulation of the argument submit-url causes stack-based buffer overflow. Remote exploitation of the attack is possible. The exploit has been publicly disclosed and may be utilized.</t>
        </is>
      </c>
      <c r="D1230" t="n">
        <v>8.800000000000001</v>
      </c>
      <c r="E1230" t="inlineStr">
        <is>
          <t>HIGH</t>
        </is>
      </c>
      <c r="F1230" t="n">
        <v>2</v>
      </c>
      <c r="G1230" t="n">
        <v>3</v>
      </c>
      <c r="H1230" t="inlineStr">
        <is>
          <t>HIGH</t>
        </is>
      </c>
      <c r="I1230" t="n">
        <v>14.8</v>
      </c>
      <c r="J1230" t="inlineStr">
        <is>
          <t>NO</t>
        </is>
      </c>
      <c r="K1230" t="inlineStr">
        <is>
          <t>2026-02-23 23:48</t>
        </is>
      </c>
      <c r="L1230" t="inlineStr">
        <is>
          <t>CHECK_VENDOR</t>
        </is>
      </c>
      <c r="M1230" t="inlineStr">
        <is>
          <t>dlink dwr-m960 b1 | dlink dwr-m960_firmware 1.01.07</t>
        </is>
      </c>
      <c r="N1230" t="inlineStr">
        <is>
          <t>P3</t>
        </is>
      </c>
      <c r="O1230" t="inlineStr">
        <is>
          <t>CVE - IP enrichment n/a</t>
        </is>
      </c>
      <c r="P1230" t="n">
        <v>0</v>
      </c>
      <c r="Q1230" t="n">
        <v>0</v>
      </c>
      <c r="R1230" t="inlineStr">
        <is>
          <t>T1203:Exploitation for Client Execution</t>
        </is>
      </c>
      <c r="S1230" t="n">
        <v>1</v>
      </c>
      <c r="T1230" t="inlineStr">
        <is>
          <t>LOW (40%)</t>
        </is>
      </c>
      <c r="U1230" t="inlineStr">
        <is>
          <t>UNLIKELY</t>
        </is>
      </c>
      <c r="V1230" t="inlineStr">
        <is>
          <t>CHECK_VENDOR</t>
        </is>
      </c>
      <c r="W1230" t="inlineStr">
        <is>
          <t>https://nvd.nist.gov/vuln/detail/CVE-2026-2929</t>
        </is>
      </c>
      <c r="X1230" t="inlineStr">
        <is>
          <t>NONE</t>
        </is>
      </c>
      <c r="Y1230" t="n">
        <v>0</v>
      </c>
      <c r="Z1230" t="inlineStr"/>
      <c r="AA1230" t="inlineStr">
        <is>
          <t>https://nvd.nist.gov/vuln/detail/CVE-2026-2929</t>
        </is>
      </c>
    </row>
    <row r="1231">
      <c r="A1231" t="inlineStr">
        <is>
          <t>CVE</t>
        </is>
      </c>
      <c r="B1231" t="inlineStr">
        <is>
          <t>CVE-2026-2930</t>
        </is>
      </c>
      <c r="C1231" t="inlineStr">
        <is>
          <t>A vulnerability was identified in Tenda A18 15.13.07.13. The affected element is the function webCgiGetUploadFile of the file /cgi-bin/UploadCfg of the component Httpd Service. Such manipulation of the argument boundary leads to stack-based buffer overflow. The attack can be executed remotely. The exploit is publicly available and might be used.</t>
        </is>
      </c>
      <c r="D1231" t="n">
        <v>6.3</v>
      </c>
      <c r="E1231" t="inlineStr">
        <is>
          <t>MEDIUM</t>
        </is>
      </c>
      <c r="F1231" t="n">
        <v>2</v>
      </c>
      <c r="G1231" t="n">
        <v>2</v>
      </c>
      <c r="H1231" t="inlineStr">
        <is>
          <t>MEDIUM</t>
        </is>
      </c>
      <c r="I1231" t="n">
        <v>10.3</v>
      </c>
      <c r="J1231" t="inlineStr">
        <is>
          <t>NO</t>
        </is>
      </c>
      <c r="K1231" t="inlineStr">
        <is>
          <t>2026-02-23 23:48</t>
        </is>
      </c>
      <c r="L1231" t="inlineStr">
        <is>
          <t>CHECK_VENDOR</t>
        </is>
      </c>
      <c r="M1231" t="inlineStr">
        <is>
          <t>tenda a18 - | tenda a18_firmware 15.13.07.13</t>
        </is>
      </c>
      <c r="N1231" t="inlineStr">
        <is>
          <t>P4</t>
        </is>
      </c>
      <c r="O1231" t="inlineStr">
        <is>
          <t>CVE - IP enrichment n/a</t>
        </is>
      </c>
      <c r="P1231" t="n">
        <v>0</v>
      </c>
      <c r="Q1231" t="n">
        <v>0</v>
      </c>
      <c r="R1231" t="inlineStr">
        <is>
          <t>T1203:Exploitation for Client Execution</t>
        </is>
      </c>
      <c r="S1231" t="n">
        <v>1</v>
      </c>
      <c r="T1231" t="inlineStr">
        <is>
          <t>LOW (40%)</t>
        </is>
      </c>
      <c r="U1231" t="inlineStr">
        <is>
          <t>UNLIKELY</t>
        </is>
      </c>
      <c r="V1231" t="inlineStr">
        <is>
          <t>CHECK_VENDOR</t>
        </is>
      </c>
      <c r="W1231" t="inlineStr">
        <is>
          <t>https://nvd.nist.gov/vuln/detail/CVE-2026-2930</t>
        </is>
      </c>
      <c r="X1231" t="inlineStr">
        <is>
          <t>NONE</t>
        </is>
      </c>
      <c r="Y1231" t="n">
        <v>0</v>
      </c>
      <c r="Z1231" t="inlineStr"/>
      <c r="AA1231" t="inlineStr">
        <is>
          <t>https://nvd.nist.gov/vuln/detail/CVE-2026-2930</t>
        </is>
      </c>
    </row>
    <row r="1232">
      <c r="A1232" t="inlineStr">
        <is>
          <t>CVE</t>
        </is>
      </c>
      <c r="B1232" t="inlineStr">
        <is>
          <t>CVE-2026-2932</t>
        </is>
      </c>
      <c r="C1232" t="inlineStr">
        <is>
          <t>A security flaw has been discovered in YiFang CMS up to 2.0.5. The impacted element is the function update of the file app/db/admin/D_adPosition.php of the component Extended Management Module. Performing a manipulation of the argument name/index results in cross site scripting. The attack is possible to be carried out remotely. The exploit has been released to the public and may be used for attacks.</t>
        </is>
      </c>
      <c r="D1232" t="n">
        <v>2.4</v>
      </c>
      <c r="E1232" t="inlineStr">
        <is>
          <t>LOW</t>
        </is>
      </c>
      <c r="F1232" t="n">
        <v>2</v>
      </c>
      <c r="G1232" t="n">
        <v>1</v>
      </c>
      <c r="H1232" t="inlineStr">
        <is>
          <t>LOW</t>
        </is>
      </c>
      <c r="I1232" t="n">
        <v>4.4</v>
      </c>
      <c r="J1232" t="inlineStr">
        <is>
          <t>NO</t>
        </is>
      </c>
      <c r="K1232" t="inlineStr">
        <is>
          <t>2026-02-23 23:48</t>
        </is>
      </c>
      <c r="L1232" t="inlineStr">
        <is>
          <t>CHECK_VENDOR</t>
        </is>
      </c>
      <c r="M1232" t="inlineStr">
        <is>
          <t>See CVE details</t>
        </is>
      </c>
      <c r="N1232" t="inlineStr">
        <is>
          <t>P4</t>
        </is>
      </c>
      <c r="O1232" t="inlineStr">
        <is>
          <t>CVE - IP enrichment n/a</t>
        </is>
      </c>
      <c r="P1232" t="n">
        <v>0</v>
      </c>
      <c r="Q1232" t="n">
        <v>0</v>
      </c>
      <c r="R1232" t="inlineStr">
        <is>
          <t>T1189:Drive-by Compromise</t>
        </is>
      </c>
      <c r="S1232" t="n">
        <v>1</v>
      </c>
      <c r="T1232" t="inlineStr">
        <is>
          <t>LOW (40%)</t>
        </is>
      </c>
      <c r="U1232" t="inlineStr">
        <is>
          <t>UNLIKELY</t>
        </is>
      </c>
      <c r="V1232" t="inlineStr">
        <is>
          <t>CHECK_VENDOR</t>
        </is>
      </c>
      <c r="W1232" t="inlineStr">
        <is>
          <t>https://nvd.nist.gov/vuln/detail/CVE-2026-2932</t>
        </is>
      </c>
      <c r="X1232" t="inlineStr">
        <is>
          <t>NONE</t>
        </is>
      </c>
      <c r="Y1232" t="n">
        <v>0</v>
      </c>
      <c r="Z1232" t="inlineStr"/>
      <c r="AA1232" t="inlineStr">
        <is>
          <t>https://nvd.nist.gov/vuln/detail/CVE-2026-2932</t>
        </is>
      </c>
    </row>
    <row r="1233">
      <c r="A1233" t="inlineStr">
        <is>
          <t>CVE</t>
        </is>
      </c>
      <c r="B1233" t="inlineStr">
        <is>
          <t>CVE-2026-2933</t>
        </is>
      </c>
      <c r="C1233" t="inlineStr">
        <is>
          <t>A weakness has been identified in YiFang CMS up to 2.0.5. This affects the function update of the file app/db/admin/D_adManage.php of the component Extended Management Module. Executing a manipulation of the argument Name can lead to cross site scripting. The attack may be performed from remote. The exploit has been made available to the public and could be used for attacks.</t>
        </is>
      </c>
      <c r="D1233" t="n">
        <v>2.4</v>
      </c>
      <c r="E1233" t="inlineStr">
        <is>
          <t>LOW</t>
        </is>
      </c>
      <c r="F1233" t="n">
        <v>2</v>
      </c>
      <c r="G1233" t="n">
        <v>1</v>
      </c>
      <c r="H1233" t="inlineStr">
        <is>
          <t>LOW</t>
        </is>
      </c>
      <c r="I1233" t="n">
        <v>4.4</v>
      </c>
      <c r="J1233" t="inlineStr">
        <is>
          <t>NO</t>
        </is>
      </c>
      <c r="K1233" t="inlineStr">
        <is>
          <t>2026-02-23 23:48</t>
        </is>
      </c>
      <c r="L1233" t="inlineStr">
        <is>
          <t>CHECK_VENDOR</t>
        </is>
      </c>
      <c r="M1233" t="inlineStr">
        <is>
          <t>See CVE details</t>
        </is>
      </c>
      <c r="N1233" t="inlineStr">
        <is>
          <t>P4</t>
        </is>
      </c>
      <c r="O1233" t="inlineStr">
        <is>
          <t>CVE - IP enrichment n/a</t>
        </is>
      </c>
      <c r="P1233" t="n">
        <v>0</v>
      </c>
      <c r="Q1233" t="n">
        <v>0</v>
      </c>
      <c r="R1233" t="inlineStr">
        <is>
          <t>T1189:Drive-by Compromise</t>
        </is>
      </c>
      <c r="S1233" t="n">
        <v>1</v>
      </c>
      <c r="T1233" t="inlineStr">
        <is>
          <t>LOW (40%)</t>
        </is>
      </c>
      <c r="U1233" t="inlineStr">
        <is>
          <t>UNLIKELY</t>
        </is>
      </c>
      <c r="V1233" t="inlineStr">
        <is>
          <t>CHECK_VENDOR</t>
        </is>
      </c>
      <c r="W1233" t="inlineStr">
        <is>
          <t>https://nvd.nist.gov/vuln/detail/CVE-2026-2933</t>
        </is>
      </c>
      <c r="X1233" t="inlineStr">
        <is>
          <t>NONE</t>
        </is>
      </c>
      <c r="Y1233" t="n">
        <v>0</v>
      </c>
      <c r="Z1233" t="inlineStr"/>
      <c r="AA1233" t="inlineStr">
        <is>
          <t>https://nvd.nist.gov/vuln/detail/CVE-2026-2933</t>
        </is>
      </c>
    </row>
    <row r="1234">
      <c r="A1234" t="inlineStr">
        <is>
          <t>CVE</t>
        </is>
      </c>
      <c r="B1234" t="inlineStr">
        <is>
          <t>CVE-2026-2385</t>
        </is>
      </c>
      <c r="C1234" t="inlineStr">
        <is>
          <t>The The Plus Addons for Elementor – Addons for Elementor, Page Templates, Widgets, Mega Menu, WooCommerce plugin for WordPress is vulnerable to Insufficient Verification of Data Authenticity in all versions up to, and including, 6.4.7. This is due to the plugin decrypting and trusting attacker-controlled email_data in an unauthenticated AJAX handler without cryptographic authenticity guarantees. This makes it possible for unauthenticated attackers to tamper with form email routing and redirectio</t>
        </is>
      </c>
      <c r="D1234" t="n">
        <v>5.3</v>
      </c>
      <c r="E1234" t="inlineStr">
        <is>
          <t>MEDIUM</t>
        </is>
      </c>
      <c r="F1234" t="n">
        <v>2</v>
      </c>
      <c r="G1234" t="n">
        <v>2</v>
      </c>
      <c r="H1234" t="inlineStr">
        <is>
          <t>MEDIUM</t>
        </is>
      </c>
      <c r="I1234" t="n">
        <v>9.300000000000001</v>
      </c>
      <c r="J1234" t="inlineStr">
        <is>
          <t>NO</t>
        </is>
      </c>
      <c r="K1234" t="inlineStr">
        <is>
          <t>2026-02-23 23:48</t>
        </is>
      </c>
      <c r="L1234" t="inlineStr">
        <is>
          <t>CHECK_VENDOR</t>
        </is>
      </c>
      <c r="M1234" t="inlineStr">
        <is>
          <t>See CVE details</t>
        </is>
      </c>
      <c r="N1234" t="inlineStr">
        <is>
          <t>P4</t>
        </is>
      </c>
      <c r="O1234" t="inlineStr">
        <is>
          <t>CVE - IP enrichment n/a</t>
        </is>
      </c>
      <c r="P1234" t="n">
        <v>0</v>
      </c>
      <c r="Q1234" t="n">
        <v>0</v>
      </c>
      <c r="R1234" t="inlineStr">
        <is>
          <t>T1190:Exploit Public-Facing Application | T1600:Weaken Encryption</t>
        </is>
      </c>
      <c r="S1234" t="n">
        <v>1</v>
      </c>
      <c r="T1234" t="inlineStr">
        <is>
          <t>LOW (40%)</t>
        </is>
      </c>
      <c r="U1234" t="inlineStr">
        <is>
          <t>UNLIKELY</t>
        </is>
      </c>
      <c r="V1234" t="inlineStr">
        <is>
          <t>CHECK_VENDOR</t>
        </is>
      </c>
      <c r="W1234" t="inlineStr">
        <is>
          <t>https://nvd.nist.gov/vuln/detail/CVE-2026-2385</t>
        </is>
      </c>
      <c r="X1234" t="inlineStr">
        <is>
          <t>NONE</t>
        </is>
      </c>
      <c r="Y1234" t="n">
        <v>0</v>
      </c>
      <c r="Z1234" t="inlineStr"/>
      <c r="AA1234" t="inlineStr">
        <is>
          <t>https://nvd.nist.gov/vuln/detail/CVE-2026-2385</t>
        </is>
      </c>
    </row>
    <row r="1235">
      <c r="A1235" t="inlineStr">
        <is>
          <t>CVE</t>
        </is>
      </c>
      <c r="B1235" t="inlineStr">
        <is>
          <t>CVE-2026-2934</t>
        </is>
      </c>
      <c r="C1235" t="inlineStr">
        <is>
          <t>A security vulnerability has been detected in YiFang CMS up to 2.0.5. This impacts the function update of the file app/db/admin/D_friendLinkGroup.php of the component Extended Management Module. The manipulation of the argument Name leads to cross site scripting. It is possible to initiate the attack remotely. The exploit has been disclosed publicly and may be used.</t>
        </is>
      </c>
      <c r="D1235" t="n">
        <v>2.4</v>
      </c>
      <c r="E1235" t="inlineStr">
        <is>
          <t>LOW</t>
        </is>
      </c>
      <c r="F1235" t="n">
        <v>2</v>
      </c>
      <c r="G1235" t="n">
        <v>1</v>
      </c>
      <c r="H1235" t="inlineStr">
        <is>
          <t>LOW</t>
        </is>
      </c>
      <c r="I1235" t="n">
        <v>4.4</v>
      </c>
      <c r="J1235" t="inlineStr">
        <is>
          <t>NO</t>
        </is>
      </c>
      <c r="K1235" t="inlineStr">
        <is>
          <t>2026-02-23 23:48</t>
        </is>
      </c>
      <c r="L1235" t="inlineStr">
        <is>
          <t>CHECK_VENDOR</t>
        </is>
      </c>
      <c r="M1235" t="inlineStr">
        <is>
          <t>See CVE details</t>
        </is>
      </c>
      <c r="N1235" t="inlineStr">
        <is>
          <t>P4</t>
        </is>
      </c>
      <c r="O1235" t="inlineStr">
        <is>
          <t>CVE - IP enrichment n/a</t>
        </is>
      </c>
      <c r="P1235" t="n">
        <v>0</v>
      </c>
      <c r="Q1235" t="n">
        <v>0</v>
      </c>
      <c r="R1235" t="inlineStr">
        <is>
          <t>T1189:Drive-by Compromise</t>
        </is>
      </c>
      <c r="S1235" t="n">
        <v>1</v>
      </c>
      <c r="T1235" t="inlineStr">
        <is>
          <t>LOW (40%)</t>
        </is>
      </c>
      <c r="U1235" t="inlineStr">
        <is>
          <t>UNLIKELY</t>
        </is>
      </c>
      <c r="V1235" t="inlineStr">
        <is>
          <t>CHECK_VENDOR</t>
        </is>
      </c>
      <c r="W1235" t="inlineStr">
        <is>
          <t>https://nvd.nist.gov/vuln/detail/CVE-2026-2934</t>
        </is>
      </c>
      <c r="X1235" t="inlineStr">
        <is>
          <t>NONE</t>
        </is>
      </c>
      <c r="Y1235" t="n">
        <v>0</v>
      </c>
      <c r="Z1235" t="inlineStr"/>
      <c r="AA1235" t="inlineStr">
        <is>
          <t>https://nvd.nist.gov/vuln/detail/CVE-2026-2934</t>
        </is>
      </c>
    </row>
    <row r="1236">
      <c r="A1236" t="inlineStr">
        <is>
          <t>CVE</t>
        </is>
      </c>
      <c r="B1236" t="inlineStr">
        <is>
          <t>CVE-2026-2935</t>
        </is>
      </c>
      <c r="C1236" t="inlineStr">
        <is>
          <t>A weakness has been identified in UTT HiPER 810G up to 1.7.7-171114. This issue affects the function strcpy of the file /goform/ConfigExceptMSN. Executing a manipulation of the argument remark can lead to buffer overflow. The attack can be executed remotely. The exploit has been made available to the public and could be used for attacks.</t>
        </is>
      </c>
      <c r="D1236" t="n">
        <v>7.2</v>
      </c>
      <c r="E1236" t="inlineStr">
        <is>
          <t>HIGH</t>
        </is>
      </c>
      <c r="F1236" t="n">
        <v>2</v>
      </c>
      <c r="G1236" t="n">
        <v>3</v>
      </c>
      <c r="H1236" t="inlineStr">
        <is>
          <t>HIGH</t>
        </is>
      </c>
      <c r="I1236" t="n">
        <v>13.2</v>
      </c>
      <c r="J1236" t="inlineStr">
        <is>
          <t>NO</t>
        </is>
      </c>
      <c r="K1236" t="inlineStr">
        <is>
          <t>2026-02-23 23:48</t>
        </is>
      </c>
      <c r="L1236" t="inlineStr">
        <is>
          <t>CHECK_VENDOR</t>
        </is>
      </c>
      <c r="M1236" t="inlineStr">
        <is>
          <t>See CVE details</t>
        </is>
      </c>
      <c r="N1236" t="inlineStr">
        <is>
          <t>P3</t>
        </is>
      </c>
      <c r="O1236" t="inlineStr">
        <is>
          <t>CVE - IP enrichment n/a</t>
        </is>
      </c>
      <c r="P1236" t="n">
        <v>0</v>
      </c>
      <c r="Q1236" t="n">
        <v>0</v>
      </c>
      <c r="R1236" t="inlineStr">
        <is>
          <t>T1203:Exploitation for Client Execution</t>
        </is>
      </c>
      <c r="S1236" t="n">
        <v>1</v>
      </c>
      <c r="T1236" t="inlineStr">
        <is>
          <t>LOW (40%)</t>
        </is>
      </c>
      <c r="U1236" t="inlineStr">
        <is>
          <t>UNLIKELY</t>
        </is>
      </c>
      <c r="V1236" t="inlineStr">
        <is>
          <t>CHECK_VENDOR</t>
        </is>
      </c>
      <c r="W1236" t="inlineStr">
        <is>
          <t>https://nvd.nist.gov/vuln/detail/CVE-2026-2935</t>
        </is>
      </c>
      <c r="X1236" t="inlineStr">
        <is>
          <t>NONE</t>
        </is>
      </c>
      <c r="Y1236" t="n">
        <v>0</v>
      </c>
      <c r="Z1236" t="inlineStr"/>
      <c r="AA1236" t="inlineStr">
        <is>
          <t>https://nvd.nist.gov/vuln/detail/CVE-2026-2935</t>
        </is>
      </c>
    </row>
    <row r="1237">
      <c r="A1237" t="inlineStr">
        <is>
          <t>CVE</t>
        </is>
      </c>
      <c r="B1237" t="inlineStr">
        <is>
          <t>CVE-2026-2938</t>
        </is>
      </c>
      <c r="C1237" t="inlineStr">
        <is>
          <t>A vulnerability has been found in SourceCodester Student Result Management System 1.0. The affected element is an unknown function of the file /srms/script/admin/core/update_smtp.php. The manipulation leads to improper access controls. It is possible to initiate the attack remotely. The exploit has been disclosed to the public and may be used.</t>
        </is>
      </c>
      <c r="D1237" t="n">
        <v>7.3</v>
      </c>
      <c r="E1237" t="inlineStr">
        <is>
          <t>HIGH</t>
        </is>
      </c>
      <c r="F1237" t="n">
        <v>2</v>
      </c>
      <c r="G1237" t="n">
        <v>3</v>
      </c>
      <c r="H1237" t="inlineStr">
        <is>
          <t>HIGH</t>
        </is>
      </c>
      <c r="I1237" t="n">
        <v>13.3</v>
      </c>
      <c r="J1237" t="inlineStr">
        <is>
          <t>NO</t>
        </is>
      </c>
      <c r="K1237" t="inlineStr">
        <is>
          <t>2026-02-23 23:48</t>
        </is>
      </c>
      <c r="L1237" t="inlineStr">
        <is>
          <t>CHECK_VENDOR</t>
        </is>
      </c>
      <c r="M1237" t="inlineStr">
        <is>
          <t>munyweki student_result_management_system 1.0</t>
        </is>
      </c>
      <c r="N1237" t="inlineStr">
        <is>
          <t>P3</t>
        </is>
      </c>
      <c r="O1237" t="inlineStr">
        <is>
          <t>CVE - IP enrichment n/a</t>
        </is>
      </c>
      <c r="P1237" t="n">
        <v>0</v>
      </c>
      <c r="Q1237" t="n">
        <v>0</v>
      </c>
      <c r="R1237" t="inlineStr">
        <is>
          <t>T1190:Exploit Public-Facing Application</t>
        </is>
      </c>
      <c r="S1237" t="n">
        <v>1</v>
      </c>
      <c r="T1237" t="inlineStr">
        <is>
          <t>LOW (40%)</t>
        </is>
      </c>
      <c r="U1237" t="inlineStr">
        <is>
          <t>UNLIKELY</t>
        </is>
      </c>
      <c r="V1237" t="inlineStr">
        <is>
          <t>CHECK_VENDOR</t>
        </is>
      </c>
      <c r="W1237" t="inlineStr">
        <is>
          <t>https://nvd.nist.gov/vuln/detail/CVE-2026-2938</t>
        </is>
      </c>
      <c r="X1237" t="inlineStr">
        <is>
          <t>NONE</t>
        </is>
      </c>
      <c r="Y1237" t="n">
        <v>0</v>
      </c>
      <c r="Z1237" t="inlineStr"/>
      <c r="AA1237" t="inlineStr">
        <is>
          <t>https://nvd.nist.gov/vuln/detail/CVE-2026-2938</t>
        </is>
      </c>
    </row>
    <row r="1238">
      <c r="A1238" t="inlineStr">
        <is>
          <t>CVE</t>
        </is>
      </c>
      <c r="B1238" t="inlineStr">
        <is>
          <t>CVE-2026-2939</t>
        </is>
      </c>
      <c r="C1238" t="inlineStr">
        <is>
          <t>A vulnerability was found in itsourcecode Student Management System 1.0. The impacted element is an unknown function of the file /add_student/ of the component Add Student Module. The manipulation results in cross site scripting. It is possible to launch the attack remotely. The exploit has been made public and could be used.</t>
        </is>
      </c>
      <c r="D1238" t="n">
        <v>2.4</v>
      </c>
      <c r="E1238" t="inlineStr">
        <is>
          <t>LOW</t>
        </is>
      </c>
      <c r="F1238" t="n">
        <v>2</v>
      </c>
      <c r="G1238" t="n">
        <v>1</v>
      </c>
      <c r="H1238" t="inlineStr">
        <is>
          <t>LOW</t>
        </is>
      </c>
      <c r="I1238" t="n">
        <v>4.4</v>
      </c>
      <c r="J1238" t="inlineStr">
        <is>
          <t>NO</t>
        </is>
      </c>
      <c r="K1238" t="inlineStr">
        <is>
          <t>2026-02-23 23:48</t>
        </is>
      </c>
      <c r="L1238" t="inlineStr">
        <is>
          <t>CHECK_VENDOR</t>
        </is>
      </c>
      <c r="M1238" t="inlineStr">
        <is>
          <t>itsourcecode student_management_system 1.0</t>
        </is>
      </c>
      <c r="N1238" t="inlineStr">
        <is>
          <t>P4</t>
        </is>
      </c>
      <c r="O1238" t="inlineStr">
        <is>
          <t>CVE - IP enrichment n/a</t>
        </is>
      </c>
      <c r="P1238" t="n">
        <v>0</v>
      </c>
      <c r="Q1238" t="n">
        <v>0</v>
      </c>
      <c r="R1238" t="inlineStr">
        <is>
          <t>T1189:Drive-by Compromise | T1190:Exploit Public-Facing Application</t>
        </is>
      </c>
      <c r="S1238" t="n">
        <v>1</v>
      </c>
      <c r="T1238" t="inlineStr">
        <is>
          <t>LOW (40%)</t>
        </is>
      </c>
      <c r="U1238" t="inlineStr">
        <is>
          <t>UNLIKELY</t>
        </is>
      </c>
      <c r="V1238" t="inlineStr">
        <is>
          <t>CHECK_VENDOR</t>
        </is>
      </c>
      <c r="W1238" t="inlineStr">
        <is>
          <t>https://nvd.nist.gov/vuln/detail/CVE-2026-2939</t>
        </is>
      </c>
      <c r="X1238" t="inlineStr">
        <is>
          <t>NONE</t>
        </is>
      </c>
      <c r="Y1238" t="n">
        <v>0</v>
      </c>
      <c r="Z1238" t="inlineStr"/>
      <c r="AA1238" t="inlineStr">
        <is>
          <t>https://nvd.nist.gov/vuln/detail/CVE-2026-2939</t>
        </is>
      </c>
    </row>
    <row r="1239">
      <c r="A1239" t="inlineStr">
        <is>
          <t>CVE</t>
        </is>
      </c>
      <c r="B1239" t="inlineStr">
        <is>
          <t>CVE-2026-2940</t>
        </is>
      </c>
      <c r="C1239" t="inlineStr">
        <is>
          <t>A vulnerability was determined in Zaher1307 tiny_web_server up to 8d77b1044a0ca3a5297d8726ac8aa2cf944d481b. This affects the function tiny_web_server/tiny.c of the file tiny_web_server/tiny.c of the component URL Handler. This manipulation causes out-of-bounds write. The attack can be initiated remotely. The exploit has been publicly disclosed and may be utilized. Continious delivery with rolling releases is used by this product. Therefore, no version details of affected nor updated releases are</t>
        </is>
      </c>
      <c r="D1239" t="n">
        <v>7.3</v>
      </c>
      <c r="E1239" t="inlineStr">
        <is>
          <t>HIGH</t>
        </is>
      </c>
      <c r="F1239" t="n">
        <v>2</v>
      </c>
      <c r="G1239" t="n">
        <v>3</v>
      </c>
      <c r="H1239" t="inlineStr">
        <is>
          <t>HIGH</t>
        </is>
      </c>
      <c r="I1239" t="n">
        <v>13.3</v>
      </c>
      <c r="J1239" t="inlineStr">
        <is>
          <t>NO</t>
        </is>
      </c>
      <c r="K1239" t="inlineStr">
        <is>
          <t>2026-02-23 23:48</t>
        </is>
      </c>
      <c r="L1239" t="inlineStr">
        <is>
          <t>CHECK_VENDOR</t>
        </is>
      </c>
      <c r="M1239" t="inlineStr">
        <is>
          <t>See CVE details</t>
        </is>
      </c>
      <c r="N1239" t="inlineStr">
        <is>
          <t>P3</t>
        </is>
      </c>
      <c r="O1239" t="inlineStr">
        <is>
          <t>CVE - IP enrichment n/a</t>
        </is>
      </c>
      <c r="P1239" t="n">
        <v>0</v>
      </c>
      <c r="Q1239" t="n">
        <v>0</v>
      </c>
      <c r="R1239" t="inlineStr">
        <is>
          <t>T1203:Exploitation for Client Execution</t>
        </is>
      </c>
      <c r="S1239" t="n">
        <v>1</v>
      </c>
      <c r="T1239" t="inlineStr">
        <is>
          <t>LOW (40%)</t>
        </is>
      </c>
      <c r="U1239" t="inlineStr">
        <is>
          <t>UNLIKELY</t>
        </is>
      </c>
      <c r="V1239" t="inlineStr">
        <is>
          <t>CHECK_VENDOR</t>
        </is>
      </c>
      <c r="W1239" t="inlineStr">
        <is>
          <t>https://nvd.nist.gov/vuln/detail/CVE-2026-2940</t>
        </is>
      </c>
      <c r="X1239" t="inlineStr">
        <is>
          <t>NONE</t>
        </is>
      </c>
      <c r="Y1239" t="n">
        <v>0</v>
      </c>
      <c r="Z1239" t="inlineStr"/>
      <c r="AA1239" t="inlineStr">
        <is>
          <t>https://nvd.nist.gov/vuln/detail/CVE-2026-2940</t>
        </is>
      </c>
    </row>
    <row r="1240">
      <c r="A1240" t="inlineStr">
        <is>
          <t>CVE</t>
        </is>
      </c>
      <c r="B1240" t="inlineStr">
        <is>
          <t>CVE-2026-2943</t>
        </is>
      </c>
      <c r="C1240" t="inlineStr">
        <is>
          <t>A vulnerability was identified in SapneshNaik Student Management System up to f4b4f0928f0b5551a28ee81ae7e7fe47d9345318. This impacts an unknown function of the file index.php. Such manipulation of the argument Error leads to cross site scripting. The attack can be launched remotely. The exploit is publicly available and might be used. This product does not use versioning. This is why information about affected and unaffected releases are unavailable. The vendor was contacted early about this dis</t>
        </is>
      </c>
      <c r="D1240" t="n">
        <v>4.3</v>
      </c>
      <c r="E1240" t="inlineStr">
        <is>
          <t>MEDIUM</t>
        </is>
      </c>
      <c r="F1240" t="n">
        <v>2</v>
      </c>
      <c r="G1240" t="n">
        <v>2</v>
      </c>
      <c r="H1240" t="inlineStr">
        <is>
          <t>MEDIUM</t>
        </is>
      </c>
      <c r="I1240" t="n">
        <v>8.300000000000001</v>
      </c>
      <c r="J1240" t="inlineStr">
        <is>
          <t>NO</t>
        </is>
      </c>
      <c r="K1240" t="inlineStr">
        <is>
          <t>2026-02-23 23:48</t>
        </is>
      </c>
      <c r="L1240" t="inlineStr">
        <is>
          <t>CHECK_VENDOR</t>
        </is>
      </c>
      <c r="M1240" t="inlineStr">
        <is>
          <t>See CVE details</t>
        </is>
      </c>
      <c r="N1240" t="inlineStr">
        <is>
          <t>P4</t>
        </is>
      </c>
      <c r="O1240" t="inlineStr">
        <is>
          <t>CVE - IP enrichment n/a</t>
        </is>
      </c>
      <c r="P1240" t="n">
        <v>0</v>
      </c>
      <c r="Q1240" t="n">
        <v>0</v>
      </c>
      <c r="R1240" t="inlineStr">
        <is>
          <t>T1189:Drive-by Compromise</t>
        </is>
      </c>
      <c r="S1240" t="n">
        <v>1</v>
      </c>
      <c r="T1240" t="inlineStr">
        <is>
          <t>LOW (40%)</t>
        </is>
      </c>
      <c r="U1240" t="inlineStr">
        <is>
          <t>UNLIKELY</t>
        </is>
      </c>
      <c r="V1240" t="inlineStr">
        <is>
          <t>CHECK_VENDOR</t>
        </is>
      </c>
      <c r="W1240" t="inlineStr">
        <is>
          <t>https://nvd.nist.gov/vuln/detail/CVE-2026-2943</t>
        </is>
      </c>
      <c r="X1240" t="inlineStr">
        <is>
          <t>NONE</t>
        </is>
      </c>
      <c r="Y1240" t="n">
        <v>0</v>
      </c>
      <c r="Z1240" t="inlineStr"/>
      <c r="AA1240" t="inlineStr">
        <is>
          <t>https://nvd.nist.gov/vuln/detail/CVE-2026-2943</t>
        </is>
      </c>
    </row>
    <row r="1241">
      <c r="A1241" t="inlineStr">
        <is>
          <t>CVE</t>
        </is>
      </c>
      <c r="B1241" t="inlineStr">
        <is>
          <t>CVE-2026-2944</t>
        </is>
      </c>
      <c r="C1241" t="inlineStr">
        <is>
          <t>A security flaw has been discovered in Tosei Online Store Management System ネット店舗管理システム 1.01. Affected is the function system of the file /cgi-bin/monitor.php of the component HTTP POST Request Handler. Performing a manipulation of the argument DevId results in os command injection. The attack may be initiated remotely. The exploit has been released to the public and may be used for attacks. The vendor was contacted early about this disclosure but did not respond in any way.</t>
        </is>
      </c>
      <c r="D1241" t="n">
        <v>7.3</v>
      </c>
      <c r="E1241" t="inlineStr">
        <is>
          <t>HIGH</t>
        </is>
      </c>
      <c r="F1241" t="n">
        <v>2</v>
      </c>
      <c r="G1241" t="n">
        <v>3</v>
      </c>
      <c r="H1241" t="inlineStr">
        <is>
          <t>HIGH</t>
        </is>
      </c>
      <c r="I1241" t="n">
        <v>13.3</v>
      </c>
      <c r="J1241" t="inlineStr">
        <is>
          <t>NO</t>
        </is>
      </c>
      <c r="K1241" t="inlineStr">
        <is>
          <t>2026-02-23 23:48</t>
        </is>
      </c>
      <c r="L1241" t="inlineStr">
        <is>
          <t>CHECK_VENDOR</t>
        </is>
      </c>
      <c r="M1241" t="inlineStr">
        <is>
          <t>See CVE details</t>
        </is>
      </c>
      <c r="N1241" t="inlineStr">
        <is>
          <t>P2</t>
        </is>
      </c>
      <c r="O1241" t="inlineStr">
        <is>
          <t>CVE - IP enrichment n/a</t>
        </is>
      </c>
      <c r="P1241" t="n">
        <v>0.0102</v>
      </c>
      <c r="Q1241" t="n">
        <v>0.769</v>
      </c>
      <c r="R1241" t="inlineStr">
        <is>
          <t>T1059:Command and Scripting Interpreter</t>
        </is>
      </c>
      <c r="S1241" t="n">
        <v>1</v>
      </c>
      <c r="T1241" t="inlineStr">
        <is>
          <t>LOW (40%)</t>
        </is>
      </c>
      <c r="U1241" t="inlineStr">
        <is>
          <t>UNLIKELY</t>
        </is>
      </c>
      <c r="V1241" t="inlineStr">
        <is>
          <t>CHECK_VENDOR</t>
        </is>
      </c>
      <c r="W1241" t="inlineStr">
        <is>
          <t>https://nvd.nist.gov/vuln/detail/CVE-2026-2944</t>
        </is>
      </c>
      <c r="X1241" t="inlineStr">
        <is>
          <t>NONE</t>
        </is>
      </c>
      <c r="Y1241" t="n">
        <v>0</v>
      </c>
      <c r="Z1241" t="inlineStr"/>
      <c r="AA1241" t="inlineStr">
        <is>
          <t>https://nvd.nist.gov/vuln/detail/CVE-2026-2944</t>
        </is>
      </c>
    </row>
    <row r="1242">
      <c r="A1242" t="inlineStr">
        <is>
          <t>CVE</t>
        </is>
      </c>
      <c r="B1242" t="inlineStr">
        <is>
          <t>CVE-2026-2945</t>
        </is>
      </c>
      <c r="C1242" t="inlineStr">
        <is>
          <t>A weakness has been identified in JeecgBoot 3.9.0. Affected by this vulnerability is an unknown functionality of the file /sys/common/uploadImgByHttp. Executing a manipulation of the argument fileUrl can lead to server-side request forgery. The attack may be launched remotely. The exploit has been made available to the public and could be used for attacks. The vendor was contacted early about this disclosure but did not respond in any way.</t>
        </is>
      </c>
      <c r="D1242" t="n">
        <v>6.3</v>
      </c>
      <c r="E1242" t="inlineStr">
        <is>
          <t>MEDIUM</t>
        </is>
      </c>
      <c r="F1242" t="n">
        <v>2</v>
      </c>
      <c r="G1242" t="n">
        <v>2</v>
      </c>
      <c r="H1242" t="inlineStr">
        <is>
          <t>MEDIUM</t>
        </is>
      </c>
      <c r="I1242" t="n">
        <v>10.3</v>
      </c>
      <c r="J1242" t="inlineStr">
        <is>
          <t>NO</t>
        </is>
      </c>
      <c r="K1242" t="inlineStr">
        <is>
          <t>2026-02-23 23:48</t>
        </is>
      </c>
      <c r="L1242" t="inlineStr">
        <is>
          <t>CHECK_VENDOR</t>
        </is>
      </c>
      <c r="M1242" t="inlineStr">
        <is>
          <t>See CVE details</t>
        </is>
      </c>
      <c r="N1242" t="inlineStr">
        <is>
          <t>P4</t>
        </is>
      </c>
      <c r="O1242" t="inlineStr">
        <is>
          <t>CVE - IP enrichment n/a</t>
        </is>
      </c>
      <c r="P1242" t="n">
        <v>0</v>
      </c>
      <c r="Q1242" t="n">
        <v>0</v>
      </c>
      <c r="R1242" t="inlineStr">
        <is>
          <t>T1090:Proxy</t>
        </is>
      </c>
      <c r="S1242" t="n">
        <v>1</v>
      </c>
      <c r="T1242" t="inlineStr">
        <is>
          <t>LOW (40%)</t>
        </is>
      </c>
      <c r="U1242" t="inlineStr">
        <is>
          <t>UNLIKELY</t>
        </is>
      </c>
      <c r="V1242" t="inlineStr">
        <is>
          <t>CHECK_VENDOR</t>
        </is>
      </c>
      <c r="W1242" t="inlineStr">
        <is>
          <t>https://nvd.nist.gov/vuln/detail/CVE-2026-2945</t>
        </is>
      </c>
      <c r="X1242" t="inlineStr">
        <is>
          <t>NONE</t>
        </is>
      </c>
      <c r="Y1242" t="n">
        <v>0</v>
      </c>
      <c r="Z1242" t="inlineStr"/>
      <c r="AA1242" t="inlineStr">
        <is>
          <t>https://nvd.nist.gov/vuln/detail/CVE-2026-2945</t>
        </is>
      </c>
    </row>
    <row r="1243">
      <c r="A1243" t="inlineStr">
        <is>
          <t>CVE</t>
        </is>
      </c>
      <c r="B1243" t="inlineStr">
        <is>
          <t>CVE-2026-2946</t>
        </is>
      </c>
      <c r="C1243" t="inlineStr">
        <is>
          <t>A security vulnerability has been detected in rymcu forest up to 0.0.5. Affected by this issue is the function XssUtils.replaceHtmlCode of the file src/main/java/com/rymcu/forest/util/XssUtils.java of the component Article Content/Comments/Portfolio. The manipulation leads to cross site scripting. Remote exploitation of the attack is possible. The exploit has been disclosed publicly and may be used. The vendor was contacted early about this disclosure but did not respond in any way.</t>
        </is>
      </c>
      <c r="D1243" t="n">
        <v>3.5</v>
      </c>
      <c r="E1243" t="inlineStr">
        <is>
          <t>LOW</t>
        </is>
      </c>
      <c r="F1243" t="n">
        <v>2</v>
      </c>
      <c r="G1243" t="n">
        <v>1</v>
      </c>
      <c r="H1243" t="inlineStr">
        <is>
          <t>LOW</t>
        </is>
      </c>
      <c r="I1243" t="n">
        <v>5.5</v>
      </c>
      <c r="J1243" t="inlineStr">
        <is>
          <t>NO</t>
        </is>
      </c>
      <c r="K1243" t="inlineStr">
        <is>
          <t>2026-02-23 23:48</t>
        </is>
      </c>
      <c r="L1243" t="inlineStr">
        <is>
          <t>CHECK_VENDOR</t>
        </is>
      </c>
      <c r="M1243" t="inlineStr">
        <is>
          <t>See CVE details</t>
        </is>
      </c>
      <c r="N1243" t="inlineStr">
        <is>
          <t>P4</t>
        </is>
      </c>
      <c r="O1243" t="inlineStr">
        <is>
          <t>CVE - IP enrichment n/a</t>
        </is>
      </c>
      <c r="P1243" t="n">
        <v>0</v>
      </c>
      <c r="Q1243" t="n">
        <v>0</v>
      </c>
      <c r="R1243" t="inlineStr">
        <is>
          <t>T1189:Drive-by Compromise</t>
        </is>
      </c>
      <c r="S1243" t="n">
        <v>1</v>
      </c>
      <c r="T1243" t="inlineStr">
        <is>
          <t>LOW (40%)</t>
        </is>
      </c>
      <c r="U1243" t="inlineStr">
        <is>
          <t>UNLIKELY</t>
        </is>
      </c>
      <c r="V1243" t="inlineStr">
        <is>
          <t>CHECK_VENDOR</t>
        </is>
      </c>
      <c r="W1243" t="inlineStr">
        <is>
          <t>https://nvd.nist.gov/vuln/detail/CVE-2026-2946</t>
        </is>
      </c>
      <c r="X1243" t="inlineStr">
        <is>
          <t>NONE</t>
        </is>
      </c>
      <c r="Y1243" t="n">
        <v>0</v>
      </c>
      <c r="Z1243" t="inlineStr"/>
      <c r="AA1243" t="inlineStr">
        <is>
          <t>https://nvd.nist.gov/vuln/detail/CVE-2026-2946</t>
        </is>
      </c>
    </row>
    <row r="1244">
      <c r="A1244" t="inlineStr">
        <is>
          <t>CVE</t>
        </is>
      </c>
      <c r="B1244" t="inlineStr">
        <is>
          <t>CVE-2019-25366</t>
        </is>
      </c>
      <c r="C1244" t="inlineStr">
        <is>
          <t>microASP Portal+ CMS contains an SQL injection vulnerability that allows unauthenticated attackers to execute arbitrary SQL queries by injecting malicious code into the explode_tree parameter. Attackers can send crafted requests to pagina.phtml with SQL injection payloads using extractvalue and concat functions to extract sensitive database information like the current database name.</t>
        </is>
      </c>
      <c r="D1244" t="n">
        <v>8.199999999999999</v>
      </c>
      <c r="E1244" t="inlineStr">
        <is>
          <t>HIGH</t>
        </is>
      </c>
      <c r="F1244" t="n">
        <v>2</v>
      </c>
      <c r="G1244" t="n">
        <v>3</v>
      </c>
      <c r="H1244" t="inlineStr">
        <is>
          <t>HIGH</t>
        </is>
      </c>
      <c r="I1244" t="n">
        <v>14.2</v>
      </c>
      <c r="J1244" t="inlineStr">
        <is>
          <t>NO</t>
        </is>
      </c>
      <c r="K1244" t="inlineStr">
        <is>
          <t>2026-02-23 23:48</t>
        </is>
      </c>
      <c r="L1244" t="inlineStr">
        <is>
          <t>CHECK_VENDOR</t>
        </is>
      </c>
      <c r="M1244" t="inlineStr">
        <is>
          <t>See CVE details</t>
        </is>
      </c>
      <c r="N1244" t="inlineStr">
        <is>
          <t>P3</t>
        </is>
      </c>
      <c r="O1244" t="inlineStr">
        <is>
          <t>CVE - IP enrichment n/a</t>
        </is>
      </c>
      <c r="P1244" t="n">
        <v>0.0002</v>
      </c>
      <c r="Q1244" t="n">
        <v>0.061</v>
      </c>
      <c r="R1244" t="inlineStr">
        <is>
          <t>T1190:Exploit Public-Facing Application</t>
        </is>
      </c>
      <c r="S1244" t="n">
        <v>1</v>
      </c>
      <c r="T1244" t="inlineStr">
        <is>
          <t>LOW (40%)</t>
        </is>
      </c>
      <c r="U1244" t="inlineStr">
        <is>
          <t>UNLIKELY</t>
        </is>
      </c>
      <c r="V1244" t="inlineStr">
        <is>
          <t>CHECK_VENDOR</t>
        </is>
      </c>
      <c r="W1244" t="inlineStr">
        <is>
          <t>https://nvd.nist.gov/vuln/detail/CVE-2019-25366</t>
        </is>
      </c>
      <c r="X1244" t="inlineStr">
        <is>
          <t>NONE</t>
        </is>
      </c>
      <c r="Y1244" t="n">
        <v>0</v>
      </c>
      <c r="Z1244" t="inlineStr"/>
      <c r="AA1244" t="inlineStr">
        <is>
          <t>https://nvd.nist.gov/vuln/detail/CVE-2019-25366</t>
        </is>
      </c>
    </row>
    <row r="1245">
      <c r="A1245" t="inlineStr">
        <is>
          <t>CVE</t>
        </is>
      </c>
      <c r="B1245" t="inlineStr">
        <is>
          <t>CVE-2019-25391</t>
        </is>
      </c>
      <c r="C1245" t="inlineStr">
        <is>
          <t>Ashop Shopping Cart Software contains a time-based blind SQL injection vulnerability that allows attackers to manipulate database queries through the blacklistitemid parameter. Attackers can send POST requests to the admin/bannedcustomers.php endpoint with crafted SQL payloads using SLEEP functions to extract sensitive database information.</t>
        </is>
      </c>
      <c r="D1245" t="n">
        <v>8.199999999999999</v>
      </c>
      <c r="E1245" t="inlineStr">
        <is>
          <t>HIGH</t>
        </is>
      </c>
      <c r="F1245" t="n">
        <v>2</v>
      </c>
      <c r="G1245" t="n">
        <v>3</v>
      </c>
      <c r="H1245" t="inlineStr">
        <is>
          <t>HIGH</t>
        </is>
      </c>
      <c r="I1245" t="n">
        <v>14.2</v>
      </c>
      <c r="J1245" t="inlineStr">
        <is>
          <t>NO</t>
        </is>
      </c>
      <c r="K1245" t="inlineStr">
        <is>
          <t>2026-02-23 23:48</t>
        </is>
      </c>
      <c r="L1245" t="inlineStr">
        <is>
          <t>CHECK_VENDOR</t>
        </is>
      </c>
      <c r="M1245" t="inlineStr">
        <is>
          <t>See CVE details</t>
        </is>
      </c>
      <c r="N1245" t="inlineStr">
        <is>
          <t>P3</t>
        </is>
      </c>
      <c r="O1245" t="inlineStr">
        <is>
          <t>CVE - IP enrichment n/a</t>
        </is>
      </c>
      <c r="P1245" t="n">
        <v>0.0003</v>
      </c>
      <c r="Q1245" t="n">
        <v>0.1038</v>
      </c>
      <c r="R1245" t="inlineStr">
        <is>
          <t>T1190:Exploit Public-Facing Application</t>
        </is>
      </c>
      <c r="S1245" t="n">
        <v>1</v>
      </c>
      <c r="T1245" t="inlineStr">
        <is>
          <t>LOW (40%)</t>
        </is>
      </c>
      <c r="U1245" t="inlineStr">
        <is>
          <t>UNLIKELY</t>
        </is>
      </c>
      <c r="V1245" t="inlineStr">
        <is>
          <t>CHECK_VENDOR</t>
        </is>
      </c>
      <c r="W1245" t="inlineStr">
        <is>
          <t>https://nvd.nist.gov/vuln/detail/CVE-2019-25391</t>
        </is>
      </c>
      <c r="X1245" t="inlineStr">
        <is>
          <t>NONE</t>
        </is>
      </c>
      <c r="Y1245" t="n">
        <v>0</v>
      </c>
      <c r="Z1245" t="inlineStr"/>
      <c r="AA1245" t="inlineStr">
        <is>
          <t>https://nvd.nist.gov/vuln/detail/CVE-2019-25391</t>
        </is>
      </c>
    </row>
    <row r="1246">
      <c r="A1246" t="inlineStr">
        <is>
          <t>CVE</t>
        </is>
      </c>
      <c r="B1246" t="inlineStr">
        <is>
          <t>CVE-2019-25433</t>
        </is>
      </c>
      <c r="C1246" t="inlineStr">
        <is>
          <t>XOOPS CMS 2.5.9 contains an SQL injection vulnerability that allows unauthenticated attackers to manipulate database queries by injecting SQL code through the cid parameter. Attackers can send GET requests to the gerar_pdf.php endpoint with malicious cid values to extract sensitive database information.</t>
        </is>
      </c>
      <c r="D1246" t="n">
        <v>8.199999999999999</v>
      </c>
      <c r="E1246" t="inlineStr">
        <is>
          <t>HIGH</t>
        </is>
      </c>
      <c r="F1246" t="n">
        <v>2</v>
      </c>
      <c r="G1246" t="n">
        <v>3</v>
      </c>
      <c r="H1246" t="inlineStr">
        <is>
          <t>HIGH</t>
        </is>
      </c>
      <c r="I1246" t="n">
        <v>14.2</v>
      </c>
      <c r="J1246" t="inlineStr">
        <is>
          <t>NO</t>
        </is>
      </c>
      <c r="K1246" t="inlineStr">
        <is>
          <t>2026-02-23 23:48</t>
        </is>
      </c>
      <c r="L1246" t="inlineStr">
        <is>
          <t>CHECK_VENDOR</t>
        </is>
      </c>
      <c r="M1246" t="inlineStr">
        <is>
          <t>See CVE details</t>
        </is>
      </c>
      <c r="N1246" t="inlineStr">
        <is>
          <t>P3</t>
        </is>
      </c>
      <c r="O1246" t="inlineStr">
        <is>
          <t>CVE - IP enrichment n/a</t>
        </is>
      </c>
      <c r="P1246" t="n">
        <v>0</v>
      </c>
      <c r="Q1246" t="n">
        <v>0</v>
      </c>
      <c r="R1246" t="inlineStr">
        <is>
          <t>T1190:Exploit Public-Facing Application</t>
        </is>
      </c>
      <c r="S1246" t="n">
        <v>1</v>
      </c>
      <c r="T1246" t="inlineStr">
        <is>
          <t>LOW (40%)</t>
        </is>
      </c>
      <c r="U1246" t="inlineStr">
        <is>
          <t>UNLIKELY</t>
        </is>
      </c>
      <c r="V1246" t="inlineStr">
        <is>
          <t>CHECK_VENDOR</t>
        </is>
      </c>
      <c r="W1246" t="inlineStr">
        <is>
          <t>https://nvd.nist.gov/vuln/detail/CVE-2019-25433</t>
        </is>
      </c>
      <c r="X1246" t="inlineStr">
        <is>
          <t>NONE</t>
        </is>
      </c>
      <c r="Y1246" t="n">
        <v>0</v>
      </c>
      <c r="Z1246" t="inlineStr"/>
      <c r="AA1246" t="inlineStr">
        <is>
          <t>https://nvd.nist.gov/vuln/detail/CVE-2019-25433</t>
        </is>
      </c>
    </row>
    <row r="1247">
      <c r="A1247" t="inlineStr">
        <is>
          <t>CVE</t>
        </is>
      </c>
      <c r="B1247" t="inlineStr">
        <is>
          <t>CVE-2019-25439</t>
        </is>
      </c>
      <c r="C1247" t="inlineStr">
        <is>
          <t>NoviSmart CMS contains an SQL injection vulnerability that allows remote attackers to execute arbitrary SQL queries by injecting malicious code through the Referer HTTP header field. Attackers can craft requests with time-based SQL injection payloads in the Referer header to extract sensitive database information or cause denial of service.</t>
        </is>
      </c>
      <c r="D1247" t="n">
        <v>8.199999999999999</v>
      </c>
      <c r="E1247" t="inlineStr">
        <is>
          <t>HIGH</t>
        </is>
      </c>
      <c r="F1247" t="n">
        <v>2</v>
      </c>
      <c r="G1247" t="n">
        <v>3</v>
      </c>
      <c r="H1247" t="inlineStr">
        <is>
          <t>HIGH</t>
        </is>
      </c>
      <c r="I1247" t="n">
        <v>14.2</v>
      </c>
      <c r="J1247" t="inlineStr">
        <is>
          <t>NO</t>
        </is>
      </c>
      <c r="K1247" t="inlineStr">
        <is>
          <t>2026-02-23 23:48</t>
        </is>
      </c>
      <c r="L1247" t="inlineStr">
        <is>
          <t>CHECK_VENDOR</t>
        </is>
      </c>
      <c r="M1247" t="inlineStr">
        <is>
          <t>See CVE details</t>
        </is>
      </c>
      <c r="N1247" t="inlineStr">
        <is>
          <t>P3</t>
        </is>
      </c>
      <c r="O1247" t="inlineStr">
        <is>
          <t>CVE - IP enrichment n/a</t>
        </is>
      </c>
      <c r="P1247" t="n">
        <v>0</v>
      </c>
      <c r="Q1247" t="n">
        <v>0</v>
      </c>
      <c r="R1247" t="inlineStr">
        <is>
          <t>T1190:Exploit Public-Facing Application | T1499:Endpoint Denial of Service</t>
        </is>
      </c>
      <c r="S1247" t="n">
        <v>1</v>
      </c>
      <c r="T1247" t="inlineStr">
        <is>
          <t>LOW (40%)</t>
        </is>
      </c>
      <c r="U1247" t="inlineStr">
        <is>
          <t>UNLIKELY</t>
        </is>
      </c>
      <c r="V1247" t="inlineStr">
        <is>
          <t>CHECK_VENDOR</t>
        </is>
      </c>
      <c r="W1247" t="inlineStr">
        <is>
          <t>https://nvd.nist.gov/vuln/detail/CVE-2019-25439</t>
        </is>
      </c>
      <c r="X1247" t="inlineStr">
        <is>
          <t>NONE</t>
        </is>
      </c>
      <c r="Y1247" t="n">
        <v>0</v>
      </c>
      <c r="Z1247" t="inlineStr"/>
      <c r="AA1247" t="inlineStr">
        <is>
          <t>https://nvd.nist.gov/vuln/detail/CVE-2019-25439</t>
        </is>
      </c>
    </row>
    <row r="1248">
      <c r="A1248" t="inlineStr">
        <is>
          <t>CVE</t>
        </is>
      </c>
      <c r="B1248" t="inlineStr">
        <is>
          <t>CVE-2019-25440</t>
        </is>
      </c>
      <c r="C1248" t="inlineStr">
        <is>
          <t>WebIncorp ERP contains an SQL injection vulnerability that allows unauthenticated attackers to manipulate database queries by injecting SQL code through the prod_id parameter. Attackers can send GET requests to product_detail.php with malicious prod_id values to extract sensitive database information.</t>
        </is>
      </c>
      <c r="D1248" t="n">
        <v>8.199999999999999</v>
      </c>
      <c r="E1248" t="inlineStr">
        <is>
          <t>HIGH</t>
        </is>
      </c>
      <c r="F1248" t="n">
        <v>2</v>
      </c>
      <c r="G1248" t="n">
        <v>3</v>
      </c>
      <c r="H1248" t="inlineStr">
        <is>
          <t>HIGH</t>
        </is>
      </c>
      <c r="I1248" t="n">
        <v>14.2</v>
      </c>
      <c r="J1248" t="inlineStr">
        <is>
          <t>NO</t>
        </is>
      </c>
      <c r="K1248" t="inlineStr">
        <is>
          <t>2026-02-23 23:48</t>
        </is>
      </c>
      <c r="L1248" t="inlineStr">
        <is>
          <t>CHECK_VENDOR</t>
        </is>
      </c>
      <c r="M1248" t="inlineStr">
        <is>
          <t>See CVE details</t>
        </is>
      </c>
      <c r="N1248" t="inlineStr">
        <is>
          <t>P3</t>
        </is>
      </c>
      <c r="O1248" t="inlineStr">
        <is>
          <t>CVE - IP enrichment n/a</t>
        </is>
      </c>
      <c r="P1248" t="n">
        <v>0</v>
      </c>
      <c r="Q1248" t="n">
        <v>0</v>
      </c>
      <c r="R1248" t="inlineStr">
        <is>
          <t>T1190:Exploit Public-Facing Application</t>
        </is>
      </c>
      <c r="S1248" t="n">
        <v>1</v>
      </c>
      <c r="T1248" t="inlineStr">
        <is>
          <t>LOW (40%)</t>
        </is>
      </c>
      <c r="U1248" t="inlineStr">
        <is>
          <t>UNLIKELY</t>
        </is>
      </c>
      <c r="V1248" t="inlineStr">
        <is>
          <t>CHECK_VENDOR</t>
        </is>
      </c>
      <c r="W1248" t="inlineStr">
        <is>
          <t>https://nvd.nist.gov/vuln/detail/CVE-2019-25440</t>
        </is>
      </c>
      <c r="X1248" t="inlineStr">
        <is>
          <t>NONE</t>
        </is>
      </c>
      <c r="Y1248" t="n">
        <v>0</v>
      </c>
      <c r="Z1248" t="inlineStr"/>
      <c r="AA1248" t="inlineStr">
        <is>
          <t>https://nvd.nist.gov/vuln/detail/CVE-2019-25440</t>
        </is>
      </c>
    </row>
    <row r="1249">
      <c r="A1249" t="inlineStr">
        <is>
          <t>CVE</t>
        </is>
      </c>
      <c r="B1249" t="inlineStr">
        <is>
          <t>CVE-2019-25442</t>
        </is>
      </c>
      <c r="C1249" t="inlineStr">
        <is>
          <t>Web Wiz Forums 12.01 contains an SQL injection vulnerability that allows unauthenticated attackers to manipulate database queries by injecting SQL code through the PF parameter. Attackers can send GET requests to member_profile.asp with malicious PF values to extract sensitive database information.</t>
        </is>
      </c>
      <c r="D1249" t="n">
        <v>8.199999999999999</v>
      </c>
      <c r="E1249" t="inlineStr">
        <is>
          <t>HIGH</t>
        </is>
      </c>
      <c r="F1249" t="n">
        <v>2</v>
      </c>
      <c r="G1249" t="n">
        <v>3</v>
      </c>
      <c r="H1249" t="inlineStr">
        <is>
          <t>HIGH</t>
        </is>
      </c>
      <c r="I1249" t="n">
        <v>14.2</v>
      </c>
      <c r="J1249" t="inlineStr">
        <is>
          <t>NO</t>
        </is>
      </c>
      <c r="K1249" t="inlineStr">
        <is>
          <t>2026-02-23 23:48</t>
        </is>
      </c>
      <c r="L1249" t="inlineStr">
        <is>
          <t>CHECK_VENDOR</t>
        </is>
      </c>
      <c r="M1249" t="inlineStr">
        <is>
          <t>See CVE details</t>
        </is>
      </c>
      <c r="N1249" t="inlineStr">
        <is>
          <t>P3</t>
        </is>
      </c>
      <c r="O1249" t="inlineStr">
        <is>
          <t>CVE - IP enrichment n/a</t>
        </is>
      </c>
      <c r="P1249" t="n">
        <v>0.0007</v>
      </c>
      <c r="Q1249" t="n">
        <v>0.2054</v>
      </c>
      <c r="R1249" t="inlineStr">
        <is>
          <t>T1190:Exploit Public-Facing Application</t>
        </is>
      </c>
      <c r="S1249" t="n">
        <v>1</v>
      </c>
      <c r="T1249" t="inlineStr">
        <is>
          <t>LOW (40%)</t>
        </is>
      </c>
      <c r="U1249" t="inlineStr">
        <is>
          <t>UNLIKELY</t>
        </is>
      </c>
      <c r="V1249" t="inlineStr">
        <is>
          <t>CHECK_VENDOR</t>
        </is>
      </c>
      <c r="W1249" t="inlineStr">
        <is>
          <t>https://nvd.nist.gov/vuln/detail/CVE-2019-25442</t>
        </is>
      </c>
      <c r="X1249" t="inlineStr">
        <is>
          <t>NONE</t>
        </is>
      </c>
      <c r="Y1249" t="n">
        <v>0</v>
      </c>
      <c r="Z1249" t="inlineStr"/>
      <c r="AA1249" t="inlineStr">
        <is>
          <t>https://nvd.nist.gov/vuln/detail/CVE-2019-25442</t>
        </is>
      </c>
    </row>
    <row r="1250">
      <c r="A1250" t="inlineStr">
        <is>
          <t>CVE</t>
        </is>
      </c>
      <c r="B1250" t="inlineStr">
        <is>
          <t>CVE-2019-25443</t>
        </is>
      </c>
      <c r="C1250" t="inlineStr">
        <is>
          <t>Inventory Webapp contains an SQL injection vulnerability that allows unauthenticated attackers to manipulate database queries by injecting SQL code through GET parameters. Attackers can supply malicious SQL payloads in the name, description, quantity, or cat_id parameters to add-item.php to execute arbitrary database commands.</t>
        </is>
      </c>
      <c r="D1250" t="n">
        <v>8.199999999999999</v>
      </c>
      <c r="E1250" t="inlineStr">
        <is>
          <t>HIGH</t>
        </is>
      </c>
      <c r="F1250" t="n">
        <v>2</v>
      </c>
      <c r="G1250" t="n">
        <v>3</v>
      </c>
      <c r="H1250" t="inlineStr">
        <is>
          <t>HIGH</t>
        </is>
      </c>
      <c r="I1250" t="n">
        <v>14.2</v>
      </c>
      <c r="J1250" t="inlineStr">
        <is>
          <t>NO</t>
        </is>
      </c>
      <c r="K1250" t="inlineStr">
        <is>
          <t>2026-02-23 23:48</t>
        </is>
      </c>
      <c r="L1250" t="inlineStr">
        <is>
          <t>CHECK_VENDOR</t>
        </is>
      </c>
      <c r="M1250" t="inlineStr">
        <is>
          <t>See CVE details</t>
        </is>
      </c>
      <c r="N1250" t="inlineStr">
        <is>
          <t>P3</t>
        </is>
      </c>
      <c r="O1250" t="inlineStr">
        <is>
          <t>CVE - IP enrichment n/a</t>
        </is>
      </c>
      <c r="P1250" t="n">
        <v>0</v>
      </c>
      <c r="Q1250" t="n">
        <v>0</v>
      </c>
      <c r="R1250" t="inlineStr">
        <is>
          <t>T1190:Exploit Public-Facing Application</t>
        </is>
      </c>
      <c r="S1250" t="n">
        <v>1</v>
      </c>
      <c r="T1250" t="inlineStr">
        <is>
          <t>LOW (40%)</t>
        </is>
      </c>
      <c r="U1250" t="inlineStr">
        <is>
          <t>UNLIKELY</t>
        </is>
      </c>
      <c r="V1250" t="inlineStr">
        <is>
          <t>CHECK_VENDOR</t>
        </is>
      </c>
      <c r="W1250" t="inlineStr">
        <is>
          <t>https://nvd.nist.gov/vuln/detail/CVE-2019-25443</t>
        </is>
      </c>
      <c r="X1250" t="inlineStr">
        <is>
          <t>NONE</t>
        </is>
      </c>
      <c r="Y1250" t="n">
        <v>0</v>
      </c>
      <c r="Z1250" t="inlineStr"/>
      <c r="AA1250" t="inlineStr">
        <is>
          <t>https://nvd.nist.gov/vuln/detail/CVE-2019-25443</t>
        </is>
      </c>
    </row>
    <row r="1251">
      <c r="A1251" t="inlineStr">
        <is>
          <t>CVE</t>
        </is>
      </c>
      <c r="B1251" t="inlineStr">
        <is>
          <t>CVE-2019-25446</t>
        </is>
      </c>
      <c r="C1251" t="inlineStr">
        <is>
          <t>DIGIT CENTRIS ERP contains an SQL injection vulnerability that allows unauthenticated attackers to manipulate database queries by injecting SQL code through the datum1, datum2, KID, and PID parameters. Attackers can send POST requests to /korisnikinfo.php with malicious SQL syntax in these parameters to extract or modify sensitive database information.</t>
        </is>
      </c>
      <c r="D1251" t="n">
        <v>8.199999999999999</v>
      </c>
      <c r="E1251" t="inlineStr">
        <is>
          <t>HIGH</t>
        </is>
      </c>
      <c r="F1251" t="n">
        <v>2</v>
      </c>
      <c r="G1251" t="n">
        <v>3</v>
      </c>
      <c r="H1251" t="inlineStr">
        <is>
          <t>HIGH</t>
        </is>
      </c>
      <c r="I1251" t="n">
        <v>14.2</v>
      </c>
      <c r="J1251" t="inlineStr">
        <is>
          <t>NO</t>
        </is>
      </c>
      <c r="K1251" t="inlineStr">
        <is>
          <t>2026-02-23 23:48</t>
        </is>
      </c>
      <c r="L1251" t="inlineStr">
        <is>
          <t>CHECK_VENDOR</t>
        </is>
      </c>
      <c r="M1251" t="inlineStr">
        <is>
          <t>See CVE details</t>
        </is>
      </c>
      <c r="N1251" t="inlineStr">
        <is>
          <t>P3</t>
        </is>
      </c>
      <c r="O1251" t="inlineStr">
        <is>
          <t>CVE - IP enrichment n/a</t>
        </is>
      </c>
      <c r="P1251" t="n">
        <v>0</v>
      </c>
      <c r="Q1251" t="n">
        <v>0</v>
      </c>
      <c r="R1251" t="inlineStr">
        <is>
          <t>T1190:Exploit Public-Facing Application</t>
        </is>
      </c>
      <c r="S1251" t="n">
        <v>1</v>
      </c>
      <c r="T1251" t="inlineStr">
        <is>
          <t>LOW (40%)</t>
        </is>
      </c>
      <c r="U1251" t="inlineStr">
        <is>
          <t>UNLIKELY</t>
        </is>
      </c>
      <c r="V1251" t="inlineStr">
        <is>
          <t>CHECK_VENDOR</t>
        </is>
      </c>
      <c r="W1251" t="inlineStr">
        <is>
          <t>https://nvd.nist.gov/vuln/detail/CVE-2019-25446</t>
        </is>
      </c>
      <c r="X1251" t="inlineStr">
        <is>
          <t>NONE</t>
        </is>
      </c>
      <c r="Y1251" t="n">
        <v>0</v>
      </c>
      <c r="Z1251" t="inlineStr"/>
      <c r="AA1251" t="inlineStr">
        <is>
          <t>https://nvd.nist.gov/vuln/detail/CVE-2019-25446</t>
        </is>
      </c>
    </row>
    <row r="1252">
      <c r="A1252" t="inlineStr">
        <is>
          <t>CVE</t>
        </is>
      </c>
      <c r="B1252" t="inlineStr">
        <is>
          <t>CVE-2019-25450</t>
        </is>
      </c>
      <c r="C1252" t="inlineStr">
        <is>
          <t>Dolibarr ERP/CRM 10.0.1 contains multiple SQL injection vulnerabilities that allow authenticated attackers to manipulate database queries by injecting SQL code through POST parameters. Attackers can inject malicious SQL through parameters like actioncode, demand_reason_id, and availability_id in card.php endpoints to extract sensitive database information using boolean-based blind, error-based, and time-based blind techniques.</t>
        </is>
      </c>
      <c r="D1252" t="n">
        <v>7.1</v>
      </c>
      <c r="E1252" t="inlineStr">
        <is>
          <t>HIGH</t>
        </is>
      </c>
      <c r="F1252" t="n">
        <v>2</v>
      </c>
      <c r="G1252" t="n">
        <v>3</v>
      </c>
      <c r="H1252" t="inlineStr">
        <is>
          <t>HIGH</t>
        </is>
      </c>
      <c r="I1252" t="n">
        <v>13.1</v>
      </c>
      <c r="J1252" t="inlineStr">
        <is>
          <t>NO</t>
        </is>
      </c>
      <c r="K1252" t="inlineStr">
        <is>
          <t>2026-02-23 23:48</t>
        </is>
      </c>
      <c r="L1252" t="inlineStr">
        <is>
          <t>CHECK_VENDOR</t>
        </is>
      </c>
      <c r="M1252" t="inlineStr">
        <is>
          <t>See CVE details</t>
        </is>
      </c>
      <c r="N1252" t="inlineStr">
        <is>
          <t>P3</t>
        </is>
      </c>
      <c r="O1252" t="inlineStr">
        <is>
          <t>CVE - IP enrichment n/a</t>
        </is>
      </c>
      <c r="P1252" t="n">
        <v>0</v>
      </c>
      <c r="Q1252" t="n">
        <v>0</v>
      </c>
      <c r="R1252" t="inlineStr">
        <is>
          <t>T1190:Exploit Public-Facing Application</t>
        </is>
      </c>
      <c r="S1252" t="n">
        <v>1</v>
      </c>
      <c r="T1252" t="inlineStr">
        <is>
          <t>LOW (40%)</t>
        </is>
      </c>
      <c r="U1252" t="inlineStr">
        <is>
          <t>UNLIKELY</t>
        </is>
      </c>
      <c r="V1252" t="inlineStr">
        <is>
          <t>CHECK_VENDOR</t>
        </is>
      </c>
      <c r="W1252" t="inlineStr">
        <is>
          <t>https://nvd.nist.gov/vuln/detail/CVE-2019-25450</t>
        </is>
      </c>
      <c r="X1252" t="inlineStr">
        <is>
          <t>NONE</t>
        </is>
      </c>
      <c r="Y1252" t="n">
        <v>0</v>
      </c>
      <c r="Z1252" t="inlineStr"/>
      <c r="AA1252" t="inlineStr">
        <is>
          <t>https://nvd.nist.gov/vuln/detail/CVE-2019-25450</t>
        </is>
      </c>
    </row>
    <row r="1253">
      <c r="A1253" t="inlineStr">
        <is>
          <t>CVE</t>
        </is>
      </c>
      <c r="B1253" t="inlineStr">
        <is>
          <t>CVE-2019-25452</t>
        </is>
      </c>
      <c r="C1253" t="inlineStr">
        <is>
          <t>Dolibarr ERP/CRM 10.0.1 contains an SQL injection vulnerability in the elemid POST parameter of the viewcat.php endpoint that allows unauthenticated attackers to execute arbitrary SQL queries. Attackers can submit crafted POST requests with malicious SQL payloads in the elemid parameter to extract sensitive database information using error-based or time-based blind SQL injection techniques.</t>
        </is>
      </c>
      <c r="D1253" t="n">
        <v>8.199999999999999</v>
      </c>
      <c r="E1253" t="inlineStr">
        <is>
          <t>HIGH</t>
        </is>
      </c>
      <c r="F1253" t="n">
        <v>2</v>
      </c>
      <c r="G1253" t="n">
        <v>3</v>
      </c>
      <c r="H1253" t="inlineStr">
        <is>
          <t>HIGH</t>
        </is>
      </c>
      <c r="I1253" t="n">
        <v>14.2</v>
      </c>
      <c r="J1253" t="inlineStr">
        <is>
          <t>NO</t>
        </is>
      </c>
      <c r="K1253" t="inlineStr">
        <is>
          <t>2026-02-23 23:48</t>
        </is>
      </c>
      <c r="L1253" t="inlineStr">
        <is>
          <t>CHECK_VENDOR</t>
        </is>
      </c>
      <c r="M1253" t="inlineStr">
        <is>
          <t>See CVE details</t>
        </is>
      </c>
      <c r="N1253" t="inlineStr">
        <is>
          <t>P3</t>
        </is>
      </c>
      <c r="O1253" t="inlineStr">
        <is>
          <t>CVE - IP enrichment n/a</t>
        </is>
      </c>
      <c r="P1253" t="n">
        <v>0</v>
      </c>
      <c r="Q1253" t="n">
        <v>0</v>
      </c>
      <c r="R1253" t="inlineStr">
        <is>
          <t>T1190:Exploit Public-Facing Application</t>
        </is>
      </c>
      <c r="S1253" t="n">
        <v>1</v>
      </c>
      <c r="T1253" t="inlineStr">
        <is>
          <t>LOW (40%)</t>
        </is>
      </c>
      <c r="U1253" t="inlineStr">
        <is>
          <t>UNLIKELY</t>
        </is>
      </c>
      <c r="V1253" t="inlineStr">
        <is>
          <t>CHECK_VENDOR</t>
        </is>
      </c>
      <c r="W1253" t="inlineStr">
        <is>
          <t>https://nvd.nist.gov/vuln/detail/CVE-2019-25452</t>
        </is>
      </c>
      <c r="X1253" t="inlineStr">
        <is>
          <t>NONE</t>
        </is>
      </c>
      <c r="Y1253" t="n">
        <v>0</v>
      </c>
      <c r="Z1253" t="inlineStr"/>
      <c r="AA1253" t="inlineStr">
        <is>
          <t>https://nvd.nist.gov/vuln/detail/CVE-2019-25452</t>
        </is>
      </c>
    </row>
    <row r="1254">
      <c r="A1254" t="inlineStr">
        <is>
          <t>CVE</t>
        </is>
      </c>
      <c r="B1254" t="inlineStr">
        <is>
          <t>CVE-2026-2947</t>
        </is>
      </c>
      <c r="C1254" t="inlineStr">
        <is>
          <t>A vulnerability was detected in rymcu forest up to 0.0.5. This affects the function updateUserInfo of the file - src/main/java/com/rymcu/forest/web/api/user/UserInfoController.java of the component User Profile Handler. The manipulation results in cross site scripting. The attack can be executed remotely. The exploit is now public and may be used. The vendor was contacted early about this disclosure but did not respond in any way.</t>
        </is>
      </c>
      <c r="D1254" t="n">
        <v>3.5</v>
      </c>
      <c r="E1254" t="inlineStr">
        <is>
          <t>LOW</t>
        </is>
      </c>
      <c r="F1254" t="n">
        <v>2</v>
      </c>
      <c r="G1254" t="n">
        <v>1</v>
      </c>
      <c r="H1254" t="inlineStr">
        <is>
          <t>LOW</t>
        </is>
      </c>
      <c r="I1254" t="n">
        <v>5.5</v>
      </c>
      <c r="J1254" t="inlineStr">
        <is>
          <t>NO</t>
        </is>
      </c>
      <c r="K1254" t="inlineStr">
        <is>
          <t>2026-02-23 23:48</t>
        </is>
      </c>
      <c r="L1254" t="inlineStr">
        <is>
          <t>CHECK_VENDOR</t>
        </is>
      </c>
      <c r="M1254" t="inlineStr">
        <is>
          <t>See CVE details</t>
        </is>
      </c>
      <c r="N1254" t="inlineStr">
        <is>
          <t>P4</t>
        </is>
      </c>
      <c r="O1254" t="inlineStr">
        <is>
          <t>CVE - IP enrichment n/a</t>
        </is>
      </c>
      <c r="P1254" t="n">
        <v>0</v>
      </c>
      <c r="Q1254" t="n">
        <v>0</v>
      </c>
      <c r="R1254" t="inlineStr">
        <is>
          <t>T1189:Drive-by Compromise</t>
        </is>
      </c>
      <c r="S1254" t="n">
        <v>1</v>
      </c>
      <c r="T1254" t="inlineStr">
        <is>
          <t>LOW (40%)</t>
        </is>
      </c>
      <c r="U1254" t="inlineStr">
        <is>
          <t>UNLIKELY</t>
        </is>
      </c>
      <c r="V1254" t="inlineStr">
        <is>
          <t>CHECK_VENDOR</t>
        </is>
      </c>
      <c r="W1254" t="inlineStr">
        <is>
          <t>https://nvd.nist.gov/vuln/detail/CVE-2026-2947</t>
        </is>
      </c>
      <c r="X1254" t="inlineStr">
        <is>
          <t>NONE</t>
        </is>
      </c>
      <c r="Y1254" t="n">
        <v>0</v>
      </c>
      <c r="Z1254" t="inlineStr"/>
      <c r="AA1254" t="inlineStr">
        <is>
          <t>https://nvd.nist.gov/vuln/detail/CVE-2026-2947</t>
        </is>
      </c>
    </row>
    <row r="1255">
      <c r="A1255" t="inlineStr">
        <is>
          <t>CVE</t>
        </is>
      </c>
      <c r="B1255" t="inlineStr">
        <is>
          <t>CVE-2026-2952</t>
        </is>
      </c>
      <c r="C1255" t="inlineStr">
        <is>
          <t>A flaw has been found in Vaelsys 4.1.0. This vulnerability affects unknown code of the file /tree/tree_server.php of the component HTTP POST Request Handler. This manipulation of the argument xajaxargs causes os command injection. The attack is possible to be carried out remotely. The exploit has been published and may be used. The vendor was contacted early about this disclosure but did not respond in any way.</t>
        </is>
      </c>
      <c r="D1255" t="n">
        <v>7.3</v>
      </c>
      <c r="E1255" t="inlineStr">
        <is>
          <t>HIGH</t>
        </is>
      </c>
      <c r="F1255" t="n">
        <v>2</v>
      </c>
      <c r="G1255" t="n">
        <v>3</v>
      </c>
      <c r="H1255" t="inlineStr">
        <is>
          <t>HIGH</t>
        </is>
      </c>
      <c r="I1255" t="n">
        <v>13.3</v>
      </c>
      <c r="J1255" t="inlineStr">
        <is>
          <t>NO</t>
        </is>
      </c>
      <c r="K1255" t="inlineStr">
        <is>
          <t>2026-02-23 23:48</t>
        </is>
      </c>
      <c r="L1255" t="inlineStr">
        <is>
          <t>CHECK_VENDOR</t>
        </is>
      </c>
      <c r="M1255" t="inlineStr">
        <is>
          <t>See CVE details</t>
        </is>
      </c>
      <c r="N1255" t="inlineStr">
        <is>
          <t>P3</t>
        </is>
      </c>
      <c r="O1255" t="inlineStr">
        <is>
          <t>CVE - IP enrichment n/a</t>
        </is>
      </c>
      <c r="P1255" t="n">
        <v>0</v>
      </c>
      <c r="Q1255" t="n">
        <v>0</v>
      </c>
      <c r="R1255" t="inlineStr">
        <is>
          <t>T1059:Command and Scripting Interpreter</t>
        </is>
      </c>
      <c r="S1255" t="n">
        <v>1</v>
      </c>
      <c r="T1255" t="inlineStr">
        <is>
          <t>LOW (40%)</t>
        </is>
      </c>
      <c r="U1255" t="inlineStr">
        <is>
          <t>UNLIKELY</t>
        </is>
      </c>
      <c r="V1255" t="inlineStr">
        <is>
          <t>CHECK_VENDOR</t>
        </is>
      </c>
      <c r="W1255" t="inlineStr">
        <is>
          <t>https://nvd.nist.gov/vuln/detail/CVE-2026-2952</t>
        </is>
      </c>
      <c r="X1255" t="inlineStr">
        <is>
          <t>NONE</t>
        </is>
      </c>
      <c r="Y1255" t="n">
        <v>0</v>
      </c>
      <c r="Z1255" t="inlineStr"/>
      <c r="AA1255" t="inlineStr">
        <is>
          <t>https://nvd.nist.gov/vuln/detail/CVE-2026-2952</t>
        </is>
      </c>
    </row>
    <row r="1256">
      <c r="A1256" t="inlineStr">
        <is>
          <t>CVE</t>
        </is>
      </c>
      <c r="B1256" t="inlineStr">
        <is>
          <t>CVE-2026-2953</t>
        </is>
      </c>
      <c r="C1256" t="inlineStr">
        <is>
          <t>A vulnerability has been found in Dromara UJCMS 101.2. This issue affects the function deleteDirectory of the file WebFileTemplateController.delete of the component Template Handler. Such manipulation leads to path traversal. The attack may be performed from remote. The exploit has been disclosed to the public and may be used. The vendor was contacted early about this disclosure but did not respond in any way.</t>
        </is>
      </c>
      <c r="D1256" t="n">
        <v>5.4</v>
      </c>
      <c r="E1256" t="inlineStr">
        <is>
          <t>MEDIUM</t>
        </is>
      </c>
      <c r="F1256" t="n">
        <v>2</v>
      </c>
      <c r="G1256" t="n">
        <v>2</v>
      </c>
      <c r="H1256" t="inlineStr">
        <is>
          <t>MEDIUM</t>
        </is>
      </c>
      <c r="I1256" t="n">
        <v>9.4</v>
      </c>
      <c r="J1256" t="inlineStr">
        <is>
          <t>NO</t>
        </is>
      </c>
      <c r="K1256" t="inlineStr">
        <is>
          <t>2026-02-23 23:48</t>
        </is>
      </c>
      <c r="L1256" t="inlineStr">
        <is>
          <t>CHECK_VENDOR</t>
        </is>
      </c>
      <c r="M1256" t="inlineStr">
        <is>
          <t>See CVE details</t>
        </is>
      </c>
      <c r="N1256" t="inlineStr">
        <is>
          <t>P4</t>
        </is>
      </c>
      <c r="O1256" t="inlineStr">
        <is>
          <t>CVE - IP enrichment n/a</t>
        </is>
      </c>
      <c r="P1256" t="n">
        <v>0.0004</v>
      </c>
      <c r="Q1256" t="n">
        <v>0.1389</v>
      </c>
      <c r="R1256" t="inlineStr">
        <is>
          <t>T1083:File and Directory Discovery</t>
        </is>
      </c>
      <c r="S1256" t="n">
        <v>1</v>
      </c>
      <c r="T1256" t="inlineStr">
        <is>
          <t>LOW (40%)</t>
        </is>
      </c>
      <c r="U1256" t="inlineStr">
        <is>
          <t>UNLIKELY</t>
        </is>
      </c>
      <c r="V1256" t="inlineStr">
        <is>
          <t>CHECK_VENDOR</t>
        </is>
      </c>
      <c r="W1256" t="inlineStr">
        <is>
          <t>https://nvd.nist.gov/vuln/detail/CVE-2026-2953</t>
        </is>
      </c>
      <c r="X1256" t="inlineStr">
        <is>
          <t>NONE</t>
        </is>
      </c>
      <c r="Y1256" t="n">
        <v>0</v>
      </c>
      <c r="Z1256" t="inlineStr"/>
      <c r="AA1256" t="inlineStr">
        <is>
          <t>https://nvd.nist.gov/vuln/detail/CVE-2026-2953</t>
        </is>
      </c>
    </row>
    <row r="1257">
      <c r="A1257" t="inlineStr">
        <is>
          <t>CVE</t>
        </is>
      </c>
      <c r="B1257" t="inlineStr">
        <is>
          <t>CVE-2019-25455</t>
        </is>
      </c>
      <c r="C1257" t="inlineStr">
        <is>
          <t>Web Ofisi E-Ticaret v3 contains an SQL injection vulnerability that allows unauthenticated attackers to manipulate database queries by injecting SQL code through the 'a' parameter. Attackers can send GET requests to with malicious 'a' parameter values to extract sensitive database information.</t>
        </is>
      </c>
      <c r="D1257" t="n">
        <v>8.199999999999999</v>
      </c>
      <c r="E1257" t="inlineStr">
        <is>
          <t>HIGH</t>
        </is>
      </c>
      <c r="F1257" t="n">
        <v>2</v>
      </c>
      <c r="G1257" t="n">
        <v>3</v>
      </c>
      <c r="H1257" t="inlineStr">
        <is>
          <t>HIGH</t>
        </is>
      </c>
      <c r="I1257" t="n">
        <v>14.2</v>
      </c>
      <c r="J1257" t="inlineStr">
        <is>
          <t>NO</t>
        </is>
      </c>
      <c r="K1257" t="inlineStr">
        <is>
          <t>2026-02-23 23:48</t>
        </is>
      </c>
      <c r="L1257" t="inlineStr">
        <is>
          <t>CHECK_VENDOR</t>
        </is>
      </c>
      <c r="M1257" t="inlineStr">
        <is>
          <t>See CVE details</t>
        </is>
      </c>
      <c r="N1257" t="inlineStr">
        <is>
          <t>P3</t>
        </is>
      </c>
      <c r="O1257" t="inlineStr">
        <is>
          <t>CVE - IP enrichment n/a</t>
        </is>
      </c>
      <c r="P1257" t="n">
        <v>0.0007</v>
      </c>
      <c r="Q1257" t="n">
        <v>0.2142</v>
      </c>
      <c r="R1257" t="inlineStr">
        <is>
          <t>T1190:Exploit Public-Facing Application</t>
        </is>
      </c>
      <c r="S1257" t="n">
        <v>1</v>
      </c>
      <c r="T1257" t="inlineStr">
        <is>
          <t>LOW (40%)</t>
        </is>
      </c>
      <c r="U1257" t="inlineStr">
        <is>
          <t>UNLIKELY</t>
        </is>
      </c>
      <c r="V1257" t="inlineStr">
        <is>
          <t>CHECK_VENDOR</t>
        </is>
      </c>
      <c r="W1257" t="inlineStr">
        <is>
          <t>https://nvd.nist.gov/vuln/detail/CVE-2019-25455</t>
        </is>
      </c>
      <c r="X1257" t="inlineStr">
        <is>
          <t>NONE</t>
        </is>
      </c>
      <c r="Y1257" t="n">
        <v>0</v>
      </c>
      <c r="Z1257" t="inlineStr"/>
      <c r="AA1257" t="inlineStr">
        <is>
          <t>https://nvd.nist.gov/vuln/detail/CVE-2019-25455</t>
        </is>
      </c>
    </row>
    <row r="1258">
      <c r="A1258" t="inlineStr">
        <is>
          <t>CVE</t>
        </is>
      </c>
      <c r="B1258" t="inlineStr">
        <is>
          <t>CVE-2019-25456</t>
        </is>
      </c>
      <c r="C1258" t="inlineStr">
        <is>
          <t>Web Ofisi Emlak v2 contains an SQL injection vulnerability that allows unauthenticated attackers to manipulate database queries by injecting SQL code through the 'ara' GET parameter. Attackers can send requests to with time-based SQL injection payloads to extract sensitive database information or cause denial of service.</t>
        </is>
      </c>
      <c r="D1258" t="n">
        <v>8.199999999999999</v>
      </c>
      <c r="E1258" t="inlineStr">
        <is>
          <t>HIGH</t>
        </is>
      </c>
      <c r="F1258" t="n">
        <v>2</v>
      </c>
      <c r="G1258" t="n">
        <v>3</v>
      </c>
      <c r="H1258" t="inlineStr">
        <is>
          <t>HIGH</t>
        </is>
      </c>
      <c r="I1258" t="n">
        <v>14.2</v>
      </c>
      <c r="J1258" t="inlineStr">
        <is>
          <t>NO</t>
        </is>
      </c>
      <c r="K1258" t="inlineStr">
        <is>
          <t>2026-02-23 23:48</t>
        </is>
      </c>
      <c r="L1258" t="inlineStr">
        <is>
          <t>CHECK_VENDOR</t>
        </is>
      </c>
      <c r="M1258" t="inlineStr">
        <is>
          <t>See CVE details</t>
        </is>
      </c>
      <c r="N1258" t="inlineStr">
        <is>
          <t>P3</t>
        </is>
      </c>
      <c r="O1258" t="inlineStr">
        <is>
          <t>CVE - IP enrichment n/a</t>
        </is>
      </c>
      <c r="P1258" t="n">
        <v>0.0005999999999999999</v>
      </c>
      <c r="Q1258" t="n">
        <v>0.2026</v>
      </c>
      <c r="R1258" t="inlineStr">
        <is>
          <t>T1190:Exploit Public-Facing Application | T1499:Endpoint Denial of Service</t>
        </is>
      </c>
      <c r="S1258" t="n">
        <v>1</v>
      </c>
      <c r="T1258" t="inlineStr">
        <is>
          <t>LOW (40%)</t>
        </is>
      </c>
      <c r="U1258" t="inlineStr">
        <is>
          <t>UNLIKELY</t>
        </is>
      </c>
      <c r="V1258" t="inlineStr">
        <is>
          <t>CHECK_VENDOR</t>
        </is>
      </c>
      <c r="W1258" t="inlineStr">
        <is>
          <t>https://nvd.nist.gov/vuln/detail/CVE-2019-25456</t>
        </is>
      </c>
      <c r="X1258" t="inlineStr">
        <is>
          <t>NONE</t>
        </is>
      </c>
      <c r="Y1258" t="n">
        <v>0</v>
      </c>
      <c r="Z1258" t="inlineStr"/>
      <c r="AA1258" t="inlineStr">
        <is>
          <t>https://nvd.nist.gov/vuln/detail/CVE-2019-25456</t>
        </is>
      </c>
    </row>
    <row r="1259">
      <c r="A1259" t="inlineStr">
        <is>
          <t>CVE</t>
        </is>
      </c>
      <c r="B1259" t="inlineStr">
        <is>
          <t>CVE-2019-25457</t>
        </is>
      </c>
      <c r="C1259" t="inlineStr">
        <is>
          <t>Web Ofisi Firma v13 contains an SQL injection vulnerability that allows unauthenticated attackers to manipulate database queries by injecting SQL code through the 'oz' array parameter. Attackers can send GET requests to category pages with malicious 'oz[]' values using time-based blind SQL injection payloads to extract sensitive database information.</t>
        </is>
      </c>
      <c r="D1259" t="n">
        <v>8.199999999999999</v>
      </c>
      <c r="E1259" t="inlineStr">
        <is>
          <t>HIGH</t>
        </is>
      </c>
      <c r="F1259" t="n">
        <v>2</v>
      </c>
      <c r="G1259" t="n">
        <v>3</v>
      </c>
      <c r="H1259" t="inlineStr">
        <is>
          <t>HIGH</t>
        </is>
      </c>
      <c r="I1259" t="n">
        <v>14.2</v>
      </c>
      <c r="J1259" t="inlineStr">
        <is>
          <t>NO</t>
        </is>
      </c>
      <c r="K1259" t="inlineStr">
        <is>
          <t>2026-02-23 23:48</t>
        </is>
      </c>
      <c r="L1259" t="inlineStr">
        <is>
          <t>CHECK_VENDOR</t>
        </is>
      </c>
      <c r="M1259" t="inlineStr">
        <is>
          <t>See CVE details</t>
        </is>
      </c>
      <c r="N1259" t="inlineStr">
        <is>
          <t>P3</t>
        </is>
      </c>
      <c r="O1259" t="inlineStr">
        <is>
          <t>CVE - IP enrichment n/a</t>
        </is>
      </c>
      <c r="P1259" t="n">
        <v>0</v>
      </c>
      <c r="Q1259" t="n">
        <v>0</v>
      </c>
      <c r="R1259" t="inlineStr">
        <is>
          <t>T1190:Exploit Public-Facing Application</t>
        </is>
      </c>
      <c r="S1259" t="n">
        <v>1</v>
      </c>
      <c r="T1259" t="inlineStr">
        <is>
          <t>LOW (40%)</t>
        </is>
      </c>
      <c r="U1259" t="inlineStr">
        <is>
          <t>UNLIKELY</t>
        </is>
      </c>
      <c r="V1259" t="inlineStr">
        <is>
          <t>CHECK_VENDOR</t>
        </is>
      </c>
      <c r="W1259" t="inlineStr">
        <is>
          <t>https://nvd.nist.gov/vuln/detail/CVE-2019-25457</t>
        </is>
      </c>
      <c r="X1259" t="inlineStr">
        <is>
          <t>NONE</t>
        </is>
      </c>
      <c r="Y1259" t="n">
        <v>0</v>
      </c>
      <c r="Z1259" t="inlineStr"/>
      <c r="AA1259" t="inlineStr">
        <is>
          <t>https://nvd.nist.gov/vuln/detail/CVE-2019-25457</t>
        </is>
      </c>
    </row>
    <row r="1260">
      <c r="A1260" t="inlineStr">
        <is>
          <t>CVE</t>
        </is>
      </c>
      <c r="B1260" t="inlineStr">
        <is>
          <t>CVE-2019-25458</t>
        </is>
      </c>
      <c r="C1260" t="inlineStr">
        <is>
          <t>Web Ofisi Firma Rehberi v1 contains an SQL injection vulnerability that allows unauthenticated attackers to manipulate database queries by injecting SQL code through GET parameters. Attackers can send requests to with malicious payloads in the 'il', 'kat', or 'kelime' parameters to extract sensitive database information or perform time-based blind SQL injection attacks.</t>
        </is>
      </c>
      <c r="D1260" t="n">
        <v>8.199999999999999</v>
      </c>
      <c r="E1260" t="inlineStr">
        <is>
          <t>HIGH</t>
        </is>
      </c>
      <c r="F1260" t="n">
        <v>2</v>
      </c>
      <c r="G1260" t="n">
        <v>3</v>
      </c>
      <c r="H1260" t="inlineStr">
        <is>
          <t>HIGH</t>
        </is>
      </c>
      <c r="I1260" t="n">
        <v>14.2</v>
      </c>
      <c r="J1260" t="inlineStr">
        <is>
          <t>NO</t>
        </is>
      </c>
      <c r="K1260" t="inlineStr">
        <is>
          <t>2026-02-23 23:48</t>
        </is>
      </c>
      <c r="L1260" t="inlineStr">
        <is>
          <t>CHECK_VENDOR</t>
        </is>
      </c>
      <c r="M1260" t="inlineStr">
        <is>
          <t>See CVE details</t>
        </is>
      </c>
      <c r="N1260" t="inlineStr">
        <is>
          <t>P3</t>
        </is>
      </c>
      <c r="O1260" t="inlineStr">
        <is>
          <t>CVE - IP enrichment n/a</t>
        </is>
      </c>
      <c r="P1260" t="n">
        <v>0</v>
      </c>
      <c r="Q1260" t="n">
        <v>0</v>
      </c>
      <c r="R1260" t="inlineStr">
        <is>
          <t>T1190:Exploit Public-Facing Application</t>
        </is>
      </c>
      <c r="S1260" t="n">
        <v>1</v>
      </c>
      <c r="T1260" t="inlineStr">
        <is>
          <t>LOW (40%)</t>
        </is>
      </c>
      <c r="U1260" t="inlineStr">
        <is>
          <t>UNLIKELY</t>
        </is>
      </c>
      <c r="V1260" t="inlineStr">
        <is>
          <t>CHECK_VENDOR</t>
        </is>
      </c>
      <c r="W1260" t="inlineStr">
        <is>
          <t>https://nvd.nist.gov/vuln/detail/CVE-2019-25458</t>
        </is>
      </c>
      <c r="X1260" t="inlineStr">
        <is>
          <t>NONE</t>
        </is>
      </c>
      <c r="Y1260" t="n">
        <v>0</v>
      </c>
      <c r="Z1260" t="inlineStr"/>
      <c r="AA1260" t="inlineStr">
        <is>
          <t>https://nvd.nist.gov/vuln/detail/CVE-2019-25458</t>
        </is>
      </c>
    </row>
    <row r="1261">
      <c r="A1261" t="inlineStr">
        <is>
          <t>CVE</t>
        </is>
      </c>
      <c r="B1261" t="inlineStr">
        <is>
          <t>CVE-2019-25459</t>
        </is>
      </c>
      <c r="C1261" t="inlineStr">
        <is>
          <t>Web Ofisi Emlak V2 contains multiple SQL injection vulnerabilities in the endpoint that allow unauthenticated attackers to manipulate database queries through GET parameters. Attackers can inject SQL code into parameters like emlak_durumu, emlak_tipi, il, ilce, kelime, and semt to extract sensitive database information or perform time-based blind SQL injection attacks.</t>
        </is>
      </c>
      <c r="D1261" t="n">
        <v>8.199999999999999</v>
      </c>
      <c r="E1261" t="inlineStr">
        <is>
          <t>HIGH</t>
        </is>
      </c>
      <c r="F1261" t="n">
        <v>2</v>
      </c>
      <c r="G1261" t="n">
        <v>3</v>
      </c>
      <c r="H1261" t="inlineStr">
        <is>
          <t>HIGH</t>
        </is>
      </c>
      <c r="I1261" t="n">
        <v>14.2</v>
      </c>
      <c r="J1261" t="inlineStr">
        <is>
          <t>NO</t>
        </is>
      </c>
      <c r="K1261" t="inlineStr">
        <is>
          <t>2026-02-23 23:48</t>
        </is>
      </c>
      <c r="L1261" t="inlineStr">
        <is>
          <t>CHECK_VENDOR</t>
        </is>
      </c>
      <c r="M1261" t="inlineStr">
        <is>
          <t>See CVE details</t>
        </is>
      </c>
      <c r="N1261" t="inlineStr">
        <is>
          <t>P3</t>
        </is>
      </c>
      <c r="O1261" t="inlineStr">
        <is>
          <t>CVE - IP enrichment n/a</t>
        </is>
      </c>
      <c r="P1261" t="n">
        <v>0</v>
      </c>
      <c r="Q1261" t="n">
        <v>0</v>
      </c>
      <c r="R1261" t="inlineStr">
        <is>
          <t>T1190:Exploit Public-Facing Application</t>
        </is>
      </c>
      <c r="S1261" t="n">
        <v>1</v>
      </c>
      <c r="T1261" t="inlineStr">
        <is>
          <t>LOW (40%)</t>
        </is>
      </c>
      <c r="U1261" t="inlineStr">
        <is>
          <t>UNLIKELY</t>
        </is>
      </c>
      <c r="V1261" t="inlineStr">
        <is>
          <t>CHECK_VENDOR</t>
        </is>
      </c>
      <c r="W1261" t="inlineStr">
        <is>
          <t>https://nvd.nist.gov/vuln/detail/CVE-2019-25459</t>
        </is>
      </c>
      <c r="X1261" t="inlineStr">
        <is>
          <t>NONE</t>
        </is>
      </c>
      <c r="Y1261" t="n">
        <v>0</v>
      </c>
      <c r="Z1261" t="inlineStr"/>
      <c r="AA1261" t="inlineStr">
        <is>
          <t>https://nvd.nist.gov/vuln/detail/CVE-2019-25459</t>
        </is>
      </c>
    </row>
    <row r="1262">
      <c r="A1262" t="inlineStr">
        <is>
          <t>CVE</t>
        </is>
      </c>
      <c r="B1262" t="inlineStr">
        <is>
          <t>CVE-2019-25460</t>
        </is>
      </c>
      <c r="C1262" t="inlineStr">
        <is>
          <t>Web Ofisi Platinum E-Ticaret v5 contains an SQL injection vulnerability that allows unauthenticated attackers to manipulate database queries by injecting SQL code through the 'q' GET parameter. Attackers can send requests to the arama endpoint with malicious 'q' values using time-based SQL injection techniques to extract sensitive database information.</t>
        </is>
      </c>
      <c r="D1262" t="n">
        <v>8.199999999999999</v>
      </c>
      <c r="E1262" t="inlineStr">
        <is>
          <t>HIGH</t>
        </is>
      </c>
      <c r="F1262" t="n">
        <v>2</v>
      </c>
      <c r="G1262" t="n">
        <v>3</v>
      </c>
      <c r="H1262" t="inlineStr">
        <is>
          <t>HIGH</t>
        </is>
      </c>
      <c r="I1262" t="n">
        <v>14.2</v>
      </c>
      <c r="J1262" t="inlineStr">
        <is>
          <t>NO</t>
        </is>
      </c>
      <c r="K1262" t="inlineStr">
        <is>
          <t>2026-02-23 23:48</t>
        </is>
      </c>
      <c r="L1262" t="inlineStr">
        <is>
          <t>CHECK_VENDOR</t>
        </is>
      </c>
      <c r="M1262" t="inlineStr">
        <is>
          <t>See CVE details</t>
        </is>
      </c>
      <c r="N1262" t="inlineStr">
        <is>
          <t>P3</t>
        </is>
      </c>
      <c r="O1262" t="inlineStr">
        <is>
          <t>CVE - IP enrichment n/a</t>
        </is>
      </c>
      <c r="P1262" t="n">
        <v>0</v>
      </c>
      <c r="Q1262" t="n">
        <v>0</v>
      </c>
      <c r="R1262" t="inlineStr">
        <is>
          <t>T1190:Exploit Public-Facing Application</t>
        </is>
      </c>
      <c r="S1262" t="n">
        <v>1</v>
      </c>
      <c r="T1262" t="inlineStr">
        <is>
          <t>LOW (40%)</t>
        </is>
      </c>
      <c r="U1262" t="inlineStr">
        <is>
          <t>UNLIKELY</t>
        </is>
      </c>
      <c r="V1262" t="inlineStr">
        <is>
          <t>CHECK_VENDOR</t>
        </is>
      </c>
      <c r="W1262" t="inlineStr">
        <is>
          <t>https://nvd.nist.gov/vuln/detail/CVE-2019-25460</t>
        </is>
      </c>
      <c r="X1262" t="inlineStr">
        <is>
          <t>NONE</t>
        </is>
      </c>
      <c r="Y1262" t="n">
        <v>0</v>
      </c>
      <c r="Z1262" t="inlineStr"/>
      <c r="AA1262" t="inlineStr">
        <is>
          <t>https://nvd.nist.gov/vuln/detail/CVE-2019-25460</t>
        </is>
      </c>
    </row>
    <row r="1263">
      <c r="A1263" t="inlineStr">
        <is>
          <t>CVE</t>
        </is>
      </c>
      <c r="B1263" t="inlineStr">
        <is>
          <t>CVE-2019-25461</t>
        </is>
      </c>
      <c r="C1263" t="inlineStr">
        <is>
          <t>Web Ofisi Platinum E-Ticaret v5 contains an SQL injection vulnerability that allows unauthenticated attackers to manipulate database queries by injecting SQL code through the 'q' parameter. Attackers can send POST requests to the ajax/productsFilterSearch endpoint with malicious 'q' values using time-based blind SQL injection techniques to extract sensitive database information.</t>
        </is>
      </c>
      <c r="D1263" t="n">
        <v>8.199999999999999</v>
      </c>
      <c r="E1263" t="inlineStr">
        <is>
          <t>HIGH</t>
        </is>
      </c>
      <c r="F1263" t="n">
        <v>2</v>
      </c>
      <c r="G1263" t="n">
        <v>3</v>
      </c>
      <c r="H1263" t="inlineStr">
        <is>
          <t>HIGH</t>
        </is>
      </c>
      <c r="I1263" t="n">
        <v>14.2</v>
      </c>
      <c r="J1263" t="inlineStr">
        <is>
          <t>NO</t>
        </is>
      </c>
      <c r="K1263" t="inlineStr">
        <is>
          <t>2026-02-23 23:48</t>
        </is>
      </c>
      <c r="L1263" t="inlineStr">
        <is>
          <t>CHECK_VENDOR</t>
        </is>
      </c>
      <c r="M1263" t="inlineStr">
        <is>
          <t>See CVE details</t>
        </is>
      </c>
      <c r="N1263" t="inlineStr">
        <is>
          <t>P3</t>
        </is>
      </c>
      <c r="O1263" t="inlineStr">
        <is>
          <t>CVE - IP enrichment n/a</t>
        </is>
      </c>
      <c r="P1263" t="n">
        <v>0</v>
      </c>
      <c r="Q1263" t="n">
        <v>0</v>
      </c>
      <c r="R1263" t="inlineStr">
        <is>
          <t>T1190:Exploit Public-Facing Application</t>
        </is>
      </c>
      <c r="S1263" t="n">
        <v>1</v>
      </c>
      <c r="T1263" t="inlineStr">
        <is>
          <t>LOW (40%)</t>
        </is>
      </c>
      <c r="U1263" t="inlineStr">
        <is>
          <t>UNLIKELY</t>
        </is>
      </c>
      <c r="V1263" t="inlineStr">
        <is>
          <t>CHECK_VENDOR</t>
        </is>
      </c>
      <c r="W1263" t="inlineStr">
        <is>
          <t>https://nvd.nist.gov/vuln/detail/CVE-2019-25461</t>
        </is>
      </c>
      <c r="X1263" t="inlineStr">
        <is>
          <t>NONE</t>
        </is>
      </c>
      <c r="Y1263" t="n">
        <v>0</v>
      </c>
      <c r="Z1263" t="inlineStr"/>
      <c r="AA1263" t="inlineStr">
        <is>
          <t>https://nvd.nist.gov/vuln/detail/CVE-2019-25461</t>
        </is>
      </c>
    </row>
    <row r="1264">
      <c r="A1264" t="inlineStr">
        <is>
          <t>CVE</t>
        </is>
      </c>
      <c r="B1264" t="inlineStr">
        <is>
          <t>CVE-2019-25462</t>
        </is>
      </c>
      <c r="C1264" t="inlineStr">
        <is>
          <t>Web Ofisi Rent a Car v3 contains an SQL injection vulnerability that allows unauthenticated attackers to manipulate database queries by injecting SQL code through the 'klima' parameter. Attackers can send GET requests to with malicious 'klima' values to extract sensitive database information or cause denial of service.</t>
        </is>
      </c>
      <c r="D1264" t="n">
        <v>8.199999999999999</v>
      </c>
      <c r="E1264" t="inlineStr">
        <is>
          <t>HIGH</t>
        </is>
      </c>
      <c r="F1264" t="n">
        <v>2</v>
      </c>
      <c r="G1264" t="n">
        <v>3</v>
      </c>
      <c r="H1264" t="inlineStr">
        <is>
          <t>HIGH</t>
        </is>
      </c>
      <c r="I1264" t="n">
        <v>14.2</v>
      </c>
      <c r="J1264" t="inlineStr">
        <is>
          <t>NO</t>
        </is>
      </c>
      <c r="K1264" t="inlineStr">
        <is>
          <t>2026-02-23 23:48</t>
        </is>
      </c>
      <c r="L1264" t="inlineStr">
        <is>
          <t>CHECK_VENDOR</t>
        </is>
      </c>
      <c r="M1264" t="inlineStr">
        <is>
          <t>See CVE details</t>
        </is>
      </c>
      <c r="N1264" t="inlineStr">
        <is>
          <t>P3</t>
        </is>
      </c>
      <c r="O1264" t="inlineStr">
        <is>
          <t>CVE - IP enrichment n/a</t>
        </is>
      </c>
      <c r="P1264" t="n">
        <v>0</v>
      </c>
      <c r="Q1264" t="n">
        <v>0</v>
      </c>
      <c r="R1264" t="inlineStr">
        <is>
          <t>T1190:Exploit Public-Facing Application | T1499:Endpoint Denial of Service</t>
        </is>
      </c>
      <c r="S1264" t="n">
        <v>1</v>
      </c>
      <c r="T1264" t="inlineStr">
        <is>
          <t>LOW (40%)</t>
        </is>
      </c>
      <c r="U1264" t="inlineStr">
        <is>
          <t>UNLIKELY</t>
        </is>
      </c>
      <c r="V1264" t="inlineStr">
        <is>
          <t>CHECK_VENDOR</t>
        </is>
      </c>
      <c r="W1264" t="inlineStr">
        <is>
          <t>https://nvd.nist.gov/vuln/detail/CVE-2019-25462</t>
        </is>
      </c>
      <c r="X1264" t="inlineStr">
        <is>
          <t>NONE</t>
        </is>
      </c>
      <c r="Y1264" t="n">
        <v>0</v>
      </c>
      <c r="Z1264" t="inlineStr"/>
      <c r="AA1264" t="inlineStr">
        <is>
          <t>https://nvd.nist.gov/vuln/detail/CVE-2019-25462</t>
        </is>
      </c>
    </row>
    <row r="1265">
      <c r="A1265" t="inlineStr">
        <is>
          <t>CVE</t>
        </is>
      </c>
      <c r="B1265" t="inlineStr">
        <is>
          <t>CVE-2026-2954</t>
        </is>
      </c>
      <c r="C1265" t="inlineStr">
        <is>
          <t>A vulnerability was found in Dromara UJCMS 10.0.2. Impacted is the function importChanel of the file /api/backend/ext/import-data/import-channel of the component ImportDataController. Performing a manipulation of the argument driverClassName/url results in injection. It is possible to initiate the attack remotely. The exploit has been made public and could be used. The vendor was contacted early about this disclosure but did not respond in any way.</t>
        </is>
      </c>
      <c r="D1265" t="n">
        <v>6.3</v>
      </c>
      <c r="E1265" t="inlineStr">
        <is>
          <t>MEDIUM</t>
        </is>
      </c>
      <c r="F1265" t="n">
        <v>2</v>
      </c>
      <c r="G1265" t="n">
        <v>2</v>
      </c>
      <c r="H1265" t="inlineStr">
        <is>
          <t>MEDIUM</t>
        </is>
      </c>
      <c r="I1265" t="n">
        <v>10.3</v>
      </c>
      <c r="J1265" t="inlineStr">
        <is>
          <t>NO</t>
        </is>
      </c>
      <c r="K1265" t="inlineStr">
        <is>
          <t>2026-02-23 23:48</t>
        </is>
      </c>
      <c r="L1265" t="inlineStr">
        <is>
          <t>CHECK_VENDOR</t>
        </is>
      </c>
      <c r="M1265" t="inlineStr">
        <is>
          <t>See CVE details</t>
        </is>
      </c>
      <c r="N1265" t="inlineStr">
        <is>
          <t>P4</t>
        </is>
      </c>
      <c r="O1265" t="inlineStr">
        <is>
          <t>CVE - IP enrichment n/a</t>
        </is>
      </c>
      <c r="P1265" t="n">
        <v>0</v>
      </c>
      <c r="Q1265" t="n">
        <v>0</v>
      </c>
      <c r="R1265" t="inlineStr">
        <is>
          <t>T1190:Exploit Public-Facing Application</t>
        </is>
      </c>
      <c r="S1265" t="n">
        <v>1</v>
      </c>
      <c r="T1265" t="inlineStr">
        <is>
          <t>LOW (40%)</t>
        </is>
      </c>
      <c r="U1265" t="inlineStr">
        <is>
          <t>UNLIKELY</t>
        </is>
      </c>
      <c r="V1265" t="inlineStr">
        <is>
          <t>CHECK_VENDOR</t>
        </is>
      </c>
      <c r="W1265" t="inlineStr">
        <is>
          <t>https://nvd.nist.gov/vuln/detail/CVE-2026-2954</t>
        </is>
      </c>
      <c r="X1265" t="inlineStr">
        <is>
          <t>NONE</t>
        </is>
      </c>
      <c r="Y1265" t="n">
        <v>0</v>
      </c>
      <c r="Z1265" t="inlineStr"/>
      <c r="AA1265" t="inlineStr">
        <is>
          <t>https://nvd.nist.gov/vuln/detail/CVE-2026-2954</t>
        </is>
      </c>
    </row>
    <row r="1266">
      <c r="A1266" t="inlineStr">
        <is>
          <t>CVE</t>
        </is>
      </c>
      <c r="B1266" t="inlineStr">
        <is>
          <t>CVE-2026-2956</t>
        </is>
      </c>
      <c r="C1266" t="inlineStr">
        <is>
          <t>A security flaw has been discovered in qinming99 dst-admin up to 1.5.0. This affects the function revertBackup of the file /home/restore. The manipulation of the argument Name results in command injection. The attack can be launched remotely. The exploit has been released to the public and may be used for attacks. The vendor was contacted early about this disclosure but did not respond in any way.</t>
        </is>
      </c>
      <c r="D1266" t="n">
        <v>6.3</v>
      </c>
      <c r="E1266" t="inlineStr">
        <is>
          <t>MEDIUM</t>
        </is>
      </c>
      <c r="F1266" t="n">
        <v>2</v>
      </c>
      <c r="G1266" t="n">
        <v>2</v>
      </c>
      <c r="H1266" t="inlineStr">
        <is>
          <t>MEDIUM</t>
        </is>
      </c>
      <c r="I1266" t="n">
        <v>10.3</v>
      </c>
      <c r="J1266" t="inlineStr">
        <is>
          <t>NO</t>
        </is>
      </c>
      <c r="K1266" t="inlineStr">
        <is>
          <t>2026-02-23 23:48</t>
        </is>
      </c>
      <c r="L1266" t="inlineStr">
        <is>
          <t>CHECK_VENDOR</t>
        </is>
      </c>
      <c r="M1266" t="inlineStr">
        <is>
          <t>See CVE details</t>
        </is>
      </c>
      <c r="N1266" t="inlineStr">
        <is>
          <t>P4</t>
        </is>
      </c>
      <c r="O1266" t="inlineStr">
        <is>
          <t>CVE - IP enrichment n/a</t>
        </is>
      </c>
      <c r="P1266" t="n">
        <v>0</v>
      </c>
      <c r="Q1266" t="n">
        <v>0</v>
      </c>
      <c r="R1266" t="inlineStr">
        <is>
          <t>T1059:Command and Scripting Interpreter</t>
        </is>
      </c>
      <c r="S1266" t="n">
        <v>1</v>
      </c>
      <c r="T1266" t="inlineStr">
        <is>
          <t>LOW (40%)</t>
        </is>
      </c>
      <c r="U1266" t="inlineStr">
        <is>
          <t>UNLIKELY</t>
        </is>
      </c>
      <c r="V1266" t="inlineStr">
        <is>
          <t>CHECK_VENDOR</t>
        </is>
      </c>
      <c r="W1266" t="inlineStr">
        <is>
          <t>https://nvd.nist.gov/vuln/detail/CVE-2026-2956</t>
        </is>
      </c>
      <c r="X1266" t="inlineStr">
        <is>
          <t>NONE</t>
        </is>
      </c>
      <c r="Y1266" t="n">
        <v>0</v>
      </c>
      <c r="Z1266" t="inlineStr"/>
      <c r="AA1266" t="inlineStr">
        <is>
          <t>https://nvd.nist.gov/vuln/detail/CVE-2026-2956</t>
        </is>
      </c>
    </row>
    <row r="1267">
      <c r="A1267" t="inlineStr">
        <is>
          <t>CVE</t>
        </is>
      </c>
      <c r="B1267" t="inlineStr">
        <is>
          <t>CVE-2026-2957</t>
        </is>
      </c>
      <c r="C1267" t="inlineStr">
        <is>
          <t>A weakness has been identified in qinming99 dst-admin up to 1.5.0. This impacts the function deleteBackup of the file src/main/java/com/tugos/dst/admin/controller/BackupController.java of the component File Handler. This manipulation causes denial of service. The attack may be initiated remotely. The exploit has been made available to the public and could be used for attacks. The vendor was contacted early about this disclosure but did not respond in any way.</t>
        </is>
      </c>
      <c r="D1267" t="n">
        <v>5.4</v>
      </c>
      <c r="E1267" t="inlineStr">
        <is>
          <t>MEDIUM</t>
        </is>
      </c>
      <c r="F1267" t="n">
        <v>2</v>
      </c>
      <c r="G1267" t="n">
        <v>2</v>
      </c>
      <c r="H1267" t="inlineStr">
        <is>
          <t>MEDIUM</t>
        </is>
      </c>
      <c r="I1267" t="n">
        <v>9.4</v>
      </c>
      <c r="J1267" t="inlineStr">
        <is>
          <t>NO</t>
        </is>
      </c>
      <c r="K1267" t="inlineStr">
        <is>
          <t>2026-02-23 23:48</t>
        </is>
      </c>
      <c r="L1267" t="inlineStr">
        <is>
          <t>CHECK_VENDOR</t>
        </is>
      </c>
      <c r="M1267" t="inlineStr">
        <is>
          <t>See CVE details</t>
        </is>
      </c>
      <c r="N1267" t="inlineStr">
        <is>
          <t>P4</t>
        </is>
      </c>
      <c r="O1267" t="inlineStr">
        <is>
          <t>CVE - IP enrichment n/a</t>
        </is>
      </c>
      <c r="P1267" t="n">
        <v>0</v>
      </c>
      <c r="Q1267" t="n">
        <v>0</v>
      </c>
      <c r="R1267" t="inlineStr">
        <is>
          <t>T1499:Endpoint Denial of Service</t>
        </is>
      </c>
      <c r="S1267" t="n">
        <v>1</v>
      </c>
      <c r="T1267" t="inlineStr">
        <is>
          <t>LOW (40%)</t>
        </is>
      </c>
      <c r="U1267" t="inlineStr">
        <is>
          <t>UNLIKELY</t>
        </is>
      </c>
      <c r="V1267" t="inlineStr">
        <is>
          <t>CHECK_VENDOR</t>
        </is>
      </c>
      <c r="W1267" t="inlineStr">
        <is>
          <t>https://nvd.nist.gov/vuln/detail/CVE-2026-2957</t>
        </is>
      </c>
      <c r="X1267" t="inlineStr">
        <is>
          <t>NONE</t>
        </is>
      </c>
      <c r="Y1267" t="n">
        <v>0</v>
      </c>
      <c r="Z1267" t="inlineStr"/>
      <c r="AA1267" t="inlineStr">
        <is>
          <t>https://nvd.nist.gov/vuln/detail/CVE-2026-2957</t>
        </is>
      </c>
    </row>
    <row r="1268">
      <c r="A1268" t="inlineStr">
        <is>
          <t>CVE</t>
        </is>
      </c>
      <c r="B1268" t="inlineStr">
        <is>
          <t>CVE-2026-2588</t>
        </is>
      </c>
      <c r="C1268" t="inlineStr">
        <is>
          <t>Crypt::NaCl::Sodium versions through 2.001 for Perl has an integer overflow flaw on 32-bit systems.
Sodium.xs casts a STRLEN (size_t) to unsigned long long when passing a length pointer to libsodium functions.  On 32-bit systems size_t is typically 32-bits while an unsigned long long is at least 64-bits.</t>
        </is>
      </c>
      <c r="D1268" t="n">
        <v>9.1</v>
      </c>
      <c r="E1268" t="inlineStr">
        <is>
          <t>CRITICAL</t>
        </is>
      </c>
      <c r="F1268" t="n">
        <v>2</v>
      </c>
      <c r="G1268" t="n">
        <v>3</v>
      </c>
      <c r="H1268" t="inlineStr">
        <is>
          <t>HIGH</t>
        </is>
      </c>
      <c r="I1268" t="n">
        <v>15.1</v>
      </c>
      <c r="J1268" t="inlineStr">
        <is>
          <t>NO</t>
        </is>
      </c>
      <c r="K1268" t="inlineStr">
        <is>
          <t>2026-02-23 23:48</t>
        </is>
      </c>
      <c r="L1268" t="inlineStr">
        <is>
          <t>CHECK_VENDOR</t>
        </is>
      </c>
      <c r="M1268" t="inlineStr">
        <is>
          <t>See CVE details</t>
        </is>
      </c>
      <c r="N1268" t="inlineStr">
        <is>
          <t>P3</t>
        </is>
      </c>
      <c r="O1268" t="inlineStr">
        <is>
          <t>CVE - IP enrichment n/a</t>
        </is>
      </c>
      <c r="P1268" t="n">
        <v>0</v>
      </c>
      <c r="Q1268" t="n">
        <v>0</v>
      </c>
      <c r="R1268" t="inlineStr">
        <is>
          <t>T1190:Exploit Public-Facing Application | T1203:Exploitation for Client Execution</t>
        </is>
      </c>
      <c r="S1268" t="n">
        <v>1</v>
      </c>
      <c r="T1268" t="inlineStr">
        <is>
          <t>LOW (40%)</t>
        </is>
      </c>
      <c r="U1268" t="inlineStr">
        <is>
          <t>UNLIKELY</t>
        </is>
      </c>
      <c r="V1268" t="inlineStr">
        <is>
          <t>CHECK_VENDOR</t>
        </is>
      </c>
      <c r="W1268" t="inlineStr">
        <is>
          <t>https://nvd.nist.gov/vuln/detail/CVE-2026-2588</t>
        </is>
      </c>
      <c r="X1268" t="inlineStr">
        <is>
          <t>NONE</t>
        </is>
      </c>
      <c r="Y1268" t="n">
        <v>0</v>
      </c>
      <c r="Z1268" t="inlineStr"/>
      <c r="AA1268" t="inlineStr">
        <is>
          <t>https://nvd.nist.gov/vuln/detail/CVE-2026-2588</t>
        </is>
      </c>
    </row>
    <row r="1269">
      <c r="A1269" t="inlineStr">
        <is>
          <t>CVE</t>
        </is>
      </c>
      <c r="B1269" t="inlineStr">
        <is>
          <t>CVE-2026-2958</t>
        </is>
      </c>
      <c r="C1269" t="inlineStr">
        <is>
          <t>A security vulnerability has been detected in D-Link DWR-M960 1.01.07. Affected is the function sub_457C5C of the file /boafrm/formWsc. Such manipulation of the argument save_apply leads to stack-based buffer overflow. The attack may be launched remotely. The exploit has been disclosed publicly and may be used.</t>
        </is>
      </c>
      <c r="D1269" t="n">
        <v>8.800000000000001</v>
      </c>
      <c r="E1269" t="inlineStr">
        <is>
          <t>HIGH</t>
        </is>
      </c>
      <c r="F1269" t="n">
        <v>2</v>
      </c>
      <c r="G1269" t="n">
        <v>3</v>
      </c>
      <c r="H1269" t="inlineStr">
        <is>
          <t>HIGH</t>
        </is>
      </c>
      <c r="I1269" t="n">
        <v>14.8</v>
      </c>
      <c r="J1269" t="inlineStr">
        <is>
          <t>NO</t>
        </is>
      </c>
      <c r="K1269" t="inlineStr">
        <is>
          <t>2026-02-23 23:48</t>
        </is>
      </c>
      <c r="L1269" t="inlineStr">
        <is>
          <t>CHECK_VENDOR</t>
        </is>
      </c>
      <c r="M1269" t="inlineStr">
        <is>
          <t>dlink dwr-m960 b1 | dlink dwr-m960_firmware 1.01.07</t>
        </is>
      </c>
      <c r="N1269" t="inlineStr">
        <is>
          <t>P3</t>
        </is>
      </c>
      <c r="O1269" t="inlineStr">
        <is>
          <t>CVE - IP enrichment n/a</t>
        </is>
      </c>
      <c r="P1269" t="n">
        <v>0</v>
      </c>
      <c r="Q1269" t="n">
        <v>0</v>
      </c>
      <c r="R1269" t="inlineStr">
        <is>
          <t>T1203:Exploitation for Client Execution</t>
        </is>
      </c>
      <c r="S1269" t="n">
        <v>1</v>
      </c>
      <c r="T1269" t="inlineStr">
        <is>
          <t>LOW (40%)</t>
        </is>
      </c>
      <c r="U1269" t="inlineStr">
        <is>
          <t>UNLIKELY</t>
        </is>
      </c>
      <c r="V1269" t="inlineStr">
        <is>
          <t>CHECK_VENDOR</t>
        </is>
      </c>
      <c r="W1269" t="inlineStr">
        <is>
          <t>https://nvd.nist.gov/vuln/detail/CVE-2026-2958</t>
        </is>
      </c>
      <c r="X1269" t="inlineStr">
        <is>
          <t>NONE</t>
        </is>
      </c>
      <c r="Y1269" t="n">
        <v>0</v>
      </c>
      <c r="Z1269" t="inlineStr"/>
      <c r="AA1269" t="inlineStr">
        <is>
          <t>https://nvd.nist.gov/vuln/detail/CVE-2026-2958</t>
        </is>
      </c>
    </row>
    <row r="1270">
      <c r="A1270" t="inlineStr">
        <is>
          <t>CVE</t>
        </is>
      </c>
      <c r="B1270" t="inlineStr">
        <is>
          <t>CVE-2026-2959</t>
        </is>
      </c>
      <c r="C1270" t="inlineStr">
        <is>
          <t>A vulnerability was detected in D-Link DWR-M960 1.01.07. Affected by this vulnerability is the function sub_44E0F8 of the file /boafrm/formNewSchedule. Performing a manipulation of the argument url results in stack-based buffer overflow. Remote exploitation of the attack is possible. The exploit is now public and may be used.</t>
        </is>
      </c>
      <c r="D1270" t="n">
        <v>8.800000000000001</v>
      </c>
      <c r="E1270" t="inlineStr">
        <is>
          <t>HIGH</t>
        </is>
      </c>
      <c r="F1270" t="n">
        <v>2</v>
      </c>
      <c r="G1270" t="n">
        <v>3</v>
      </c>
      <c r="H1270" t="inlineStr">
        <is>
          <t>HIGH</t>
        </is>
      </c>
      <c r="I1270" t="n">
        <v>14.8</v>
      </c>
      <c r="J1270" t="inlineStr">
        <is>
          <t>NO</t>
        </is>
      </c>
      <c r="K1270" t="inlineStr">
        <is>
          <t>2026-02-23 23:48</t>
        </is>
      </c>
      <c r="L1270" t="inlineStr">
        <is>
          <t>CHECK_VENDOR</t>
        </is>
      </c>
      <c r="M1270" t="inlineStr">
        <is>
          <t>dlink dwr-m960 b1 | dlink dwr-m960_firmware 1.01.07</t>
        </is>
      </c>
      <c r="N1270" t="inlineStr">
        <is>
          <t>P3</t>
        </is>
      </c>
      <c r="O1270" t="inlineStr">
        <is>
          <t>CVE - IP enrichment n/a</t>
        </is>
      </c>
      <c r="P1270" t="n">
        <v>0.0004</v>
      </c>
      <c r="Q1270" t="n">
        <v>0.1368</v>
      </c>
      <c r="R1270" t="inlineStr">
        <is>
          <t>T1203:Exploitation for Client Execution</t>
        </is>
      </c>
      <c r="S1270" t="n">
        <v>1</v>
      </c>
      <c r="T1270" t="inlineStr">
        <is>
          <t>LOW (40%)</t>
        </is>
      </c>
      <c r="U1270" t="inlineStr">
        <is>
          <t>UNLIKELY</t>
        </is>
      </c>
      <c r="V1270" t="inlineStr">
        <is>
          <t>CHECK_VENDOR</t>
        </is>
      </c>
      <c r="W1270" t="inlineStr">
        <is>
          <t>https://nvd.nist.gov/vuln/detail/CVE-2026-2959</t>
        </is>
      </c>
      <c r="X1270" t="inlineStr">
        <is>
          <t>NONE</t>
        </is>
      </c>
      <c r="Y1270" t="n">
        <v>0</v>
      </c>
      <c r="Z1270" t="inlineStr"/>
      <c r="AA1270" t="inlineStr">
        <is>
          <t>https://nvd.nist.gov/vuln/detail/CVE-2026-2959</t>
        </is>
      </c>
    </row>
    <row r="1271">
      <c r="A1271" t="inlineStr">
        <is>
          <t>CVE</t>
        </is>
      </c>
      <c r="B1271" t="inlineStr">
        <is>
          <t>CVE-2026-2960</t>
        </is>
      </c>
      <c r="C1271" t="inlineStr">
        <is>
          <t>A flaw has been found in D-Link DWR-M960 1.01.07. Affected by this issue is the function sub_468D64 of the file /boafrm/formDhcpv6s. Executing a manipulation of the argument submit-url can lead to stack-based buffer overflow. The attack can be executed remotely. The exploit has been published and may be used.</t>
        </is>
      </c>
      <c r="D1271" t="n">
        <v>8.800000000000001</v>
      </c>
      <c r="E1271" t="inlineStr">
        <is>
          <t>HIGH</t>
        </is>
      </c>
      <c r="F1271" t="n">
        <v>2</v>
      </c>
      <c r="G1271" t="n">
        <v>3</v>
      </c>
      <c r="H1271" t="inlineStr">
        <is>
          <t>HIGH</t>
        </is>
      </c>
      <c r="I1271" t="n">
        <v>14.8</v>
      </c>
      <c r="J1271" t="inlineStr">
        <is>
          <t>NO</t>
        </is>
      </c>
      <c r="K1271" t="inlineStr">
        <is>
          <t>2026-02-23 23:48</t>
        </is>
      </c>
      <c r="L1271" t="inlineStr">
        <is>
          <t>CHECK_VENDOR</t>
        </is>
      </c>
      <c r="M1271" t="inlineStr">
        <is>
          <t>dlink dwr-m960 b1 | dlink dwr-m960_firmware 1.01.07</t>
        </is>
      </c>
      <c r="N1271" t="inlineStr">
        <is>
          <t>P3</t>
        </is>
      </c>
      <c r="O1271" t="inlineStr">
        <is>
          <t>CVE - IP enrichment n/a</t>
        </is>
      </c>
      <c r="P1271" t="n">
        <v>0</v>
      </c>
      <c r="Q1271" t="n">
        <v>0</v>
      </c>
      <c r="R1271" t="inlineStr">
        <is>
          <t>T1203:Exploitation for Client Execution</t>
        </is>
      </c>
      <c r="S1271" t="n">
        <v>1</v>
      </c>
      <c r="T1271" t="inlineStr">
        <is>
          <t>LOW (40%)</t>
        </is>
      </c>
      <c r="U1271" t="inlineStr">
        <is>
          <t>UNLIKELY</t>
        </is>
      </c>
      <c r="V1271" t="inlineStr">
        <is>
          <t>CHECK_VENDOR</t>
        </is>
      </c>
      <c r="W1271" t="inlineStr">
        <is>
          <t>https://nvd.nist.gov/vuln/detail/CVE-2026-2960</t>
        </is>
      </c>
      <c r="X1271" t="inlineStr">
        <is>
          <t>NONE</t>
        </is>
      </c>
      <c r="Y1271" t="n">
        <v>0</v>
      </c>
      <c r="Z1271" t="inlineStr"/>
      <c r="AA1271" t="inlineStr">
        <is>
          <t>https://nvd.nist.gov/vuln/detail/CVE-2026-2960</t>
        </is>
      </c>
    </row>
    <row r="1272">
      <c r="A1272" t="inlineStr">
        <is>
          <t>CVE</t>
        </is>
      </c>
      <c r="B1272" t="inlineStr">
        <is>
          <t>CVE-2026-2961</t>
        </is>
      </c>
      <c r="C1272" t="inlineStr">
        <is>
          <t>A vulnerability has been found in D-Link DWR-M960 1.01.07. This affects the function sub_4196C4 of the file /boafrm/formVpnConfigSetup of the component VPN Configuration Endpoint. The manipulation of the argument submit-url leads to stack-based buffer overflow. The attack is possible to be carried out remotely. The exploit has been disclosed to the public and may be used.</t>
        </is>
      </c>
      <c r="D1272" t="n">
        <v>8.800000000000001</v>
      </c>
      <c r="E1272" t="inlineStr">
        <is>
          <t>HIGH</t>
        </is>
      </c>
      <c r="F1272" t="n">
        <v>2</v>
      </c>
      <c r="G1272" t="n">
        <v>3</v>
      </c>
      <c r="H1272" t="inlineStr">
        <is>
          <t>HIGH</t>
        </is>
      </c>
      <c r="I1272" t="n">
        <v>14.8</v>
      </c>
      <c r="J1272" t="inlineStr">
        <is>
          <t>NO</t>
        </is>
      </c>
      <c r="K1272" t="inlineStr">
        <is>
          <t>2026-02-23 23:48</t>
        </is>
      </c>
      <c r="L1272" t="inlineStr">
        <is>
          <t>CHECK_VENDOR</t>
        </is>
      </c>
      <c r="M1272" t="inlineStr">
        <is>
          <t>dlink dwr-m960 b1 | dlink dwr-m960_firmware 1.01.07</t>
        </is>
      </c>
      <c r="N1272" t="inlineStr">
        <is>
          <t>P3</t>
        </is>
      </c>
      <c r="O1272" t="inlineStr">
        <is>
          <t>CVE - IP enrichment n/a</t>
        </is>
      </c>
      <c r="P1272" t="n">
        <v>0</v>
      </c>
      <c r="Q1272" t="n">
        <v>0</v>
      </c>
      <c r="R1272" t="inlineStr">
        <is>
          <t>T1203:Exploitation for Client Execution | T1133:External Remote Services</t>
        </is>
      </c>
      <c r="S1272" t="n">
        <v>1</v>
      </c>
      <c r="T1272" t="inlineStr">
        <is>
          <t>LOW (40%)</t>
        </is>
      </c>
      <c r="U1272" t="inlineStr">
        <is>
          <t>UNLIKELY</t>
        </is>
      </c>
      <c r="V1272" t="inlineStr">
        <is>
          <t>CHECK_VENDOR</t>
        </is>
      </c>
      <c r="W1272" t="inlineStr">
        <is>
          <t>https://nvd.nist.gov/vuln/detail/CVE-2026-2961</t>
        </is>
      </c>
      <c r="X1272" t="inlineStr">
        <is>
          <t>NONE</t>
        </is>
      </c>
      <c r="Y1272" t="n">
        <v>0</v>
      </c>
      <c r="Z1272" t="inlineStr"/>
      <c r="AA1272" t="inlineStr">
        <is>
          <t>https://nvd.nist.gov/vuln/detail/CVE-2026-2961</t>
        </is>
      </c>
    </row>
    <row r="1273">
      <c r="A1273" t="inlineStr">
        <is>
          <t>CVE</t>
        </is>
      </c>
      <c r="B1273" t="inlineStr">
        <is>
          <t>CVE-2026-2962</t>
        </is>
      </c>
      <c r="C1273" t="inlineStr">
        <is>
          <t>A vulnerability was found in D-Link DWR-M960 1.01.07. This vulnerability affects the function sub_460F30 of the file /boafrm/formDateReboot of the component Scheduled Reboot Configuration Endpoint. The manipulation of the argument submit-url results in stack-based buffer overflow. The attack may be performed from remote. The exploit has been made public and could be used.</t>
        </is>
      </c>
      <c r="D1273" t="n">
        <v>8.800000000000001</v>
      </c>
      <c r="E1273" t="inlineStr">
        <is>
          <t>HIGH</t>
        </is>
      </c>
      <c r="F1273" t="n">
        <v>2</v>
      </c>
      <c r="G1273" t="n">
        <v>3</v>
      </c>
      <c r="H1273" t="inlineStr">
        <is>
          <t>HIGH</t>
        </is>
      </c>
      <c r="I1273" t="n">
        <v>14.8</v>
      </c>
      <c r="J1273" t="inlineStr">
        <is>
          <t>NO</t>
        </is>
      </c>
      <c r="K1273" t="inlineStr">
        <is>
          <t>2026-02-23 23:48</t>
        </is>
      </c>
      <c r="L1273" t="inlineStr">
        <is>
          <t>CHECK_VENDOR</t>
        </is>
      </c>
      <c r="M1273" t="inlineStr">
        <is>
          <t>dlink dwr-m960 b1 | dlink dwr-m960_firmware 1.01.07</t>
        </is>
      </c>
      <c r="N1273" t="inlineStr">
        <is>
          <t>P3</t>
        </is>
      </c>
      <c r="O1273" t="inlineStr">
        <is>
          <t>CVE - IP enrichment n/a</t>
        </is>
      </c>
      <c r="P1273" t="n">
        <v>0.0004</v>
      </c>
      <c r="Q1273" t="n">
        <v>0.1368</v>
      </c>
      <c r="R1273" t="inlineStr">
        <is>
          <t>T1203:Exploitation for Client Execution</t>
        </is>
      </c>
      <c r="S1273" t="n">
        <v>1</v>
      </c>
      <c r="T1273" t="inlineStr">
        <is>
          <t>LOW (40%)</t>
        </is>
      </c>
      <c r="U1273" t="inlineStr">
        <is>
          <t>UNLIKELY</t>
        </is>
      </c>
      <c r="V1273" t="inlineStr">
        <is>
          <t>CHECK_VENDOR</t>
        </is>
      </c>
      <c r="W1273" t="inlineStr">
        <is>
          <t>https://nvd.nist.gov/vuln/detail/CVE-2026-2962</t>
        </is>
      </c>
      <c r="X1273" t="inlineStr">
        <is>
          <t>NONE</t>
        </is>
      </c>
      <c r="Y1273" t="n">
        <v>0</v>
      </c>
      <c r="Z1273" t="inlineStr"/>
      <c r="AA1273" t="inlineStr">
        <is>
          <t>https://nvd.nist.gov/vuln/detail/CVE-2026-2962</t>
        </is>
      </c>
    </row>
    <row r="1274">
      <c r="A1274" t="inlineStr">
        <is>
          <t>CVE</t>
        </is>
      </c>
      <c r="B1274" t="inlineStr">
        <is>
          <t>CVE-2026-2963</t>
        </is>
      </c>
      <c r="C1274" t="inlineStr">
        <is>
          <t>A vulnerability was determined in Jinher OA C6 up to 20260210. This issue affects some unknown processing of the file /C6/Jhsoft.Web.officesupply/OfficeSupplyTypeRight.aspx. This manipulation of the argument id/offsnum causes sql injection. It is possible to initiate the attack remotely. The exploit has been publicly disclosed and may be utilized. It is suggested to install a patch to address this issue. The vendor was contacted early about this disclosure but did not respond in any way.</t>
        </is>
      </c>
      <c r="D1274" t="n">
        <v>6.3</v>
      </c>
      <c r="E1274" t="inlineStr">
        <is>
          <t>MEDIUM</t>
        </is>
      </c>
      <c r="F1274" t="n">
        <v>2</v>
      </c>
      <c r="G1274" t="n">
        <v>2</v>
      </c>
      <c r="H1274" t="inlineStr">
        <is>
          <t>MEDIUM</t>
        </is>
      </c>
      <c r="I1274" t="n">
        <v>10.3</v>
      </c>
      <c r="J1274" t="inlineStr">
        <is>
          <t>NO</t>
        </is>
      </c>
      <c r="K1274" t="inlineStr">
        <is>
          <t>2026-02-23 23:48</t>
        </is>
      </c>
      <c r="L1274" t="inlineStr">
        <is>
          <t>CHECK_VENDOR</t>
        </is>
      </c>
      <c r="M1274" t="inlineStr">
        <is>
          <t>See CVE details</t>
        </is>
      </c>
      <c r="N1274" t="inlineStr">
        <is>
          <t>P4</t>
        </is>
      </c>
      <c r="O1274" t="inlineStr">
        <is>
          <t>CVE - IP enrichment n/a</t>
        </is>
      </c>
      <c r="P1274" t="n">
        <v>0</v>
      </c>
      <c r="Q1274" t="n">
        <v>0</v>
      </c>
      <c r="R1274" t="inlineStr">
        <is>
          <t>T1190:Exploit Public-Facing Application</t>
        </is>
      </c>
      <c r="S1274" t="n">
        <v>1</v>
      </c>
      <c r="T1274" t="inlineStr">
        <is>
          <t>LOW (40%)</t>
        </is>
      </c>
      <c r="U1274" t="inlineStr">
        <is>
          <t>UNLIKELY</t>
        </is>
      </c>
      <c r="V1274" t="inlineStr">
        <is>
          <t>CHECK_VENDOR</t>
        </is>
      </c>
      <c r="W1274" t="inlineStr">
        <is>
          <t>https://nvd.nist.gov/vuln/detail/CVE-2026-2963</t>
        </is>
      </c>
      <c r="X1274" t="inlineStr">
        <is>
          <t>NONE</t>
        </is>
      </c>
      <c r="Y1274" t="n">
        <v>0</v>
      </c>
      <c r="Z1274" t="inlineStr"/>
      <c r="AA1274" t="inlineStr">
        <is>
          <t>https://nvd.nist.gov/vuln/detail/CVE-2026-2963</t>
        </is>
      </c>
    </row>
    <row r="1275">
      <c r="A1275" t="inlineStr">
        <is>
          <t>CVE</t>
        </is>
      </c>
      <c r="B1275" t="inlineStr">
        <is>
          <t>CVE-2026-24494</t>
        </is>
      </c>
      <c r="C1275" t="inlineStr">
        <is>
          <t>SQL Injection vulnerability in the /api/integrations/getintegrations endpoint of Order Up Online Ordering System 1.0 allows an unauthenticated attacker to access sensitive backend database data via a crafted store_id parameter in a POST request.</t>
        </is>
      </c>
      <c r="D1275" t="n">
        <v>9.800000000000001</v>
      </c>
      <c r="E1275" t="inlineStr">
        <is>
          <t>CRITICAL</t>
        </is>
      </c>
      <c r="F1275" t="n">
        <v>2</v>
      </c>
      <c r="G1275" t="n">
        <v>3</v>
      </c>
      <c r="H1275" t="inlineStr">
        <is>
          <t>HIGH</t>
        </is>
      </c>
      <c r="I1275" t="n">
        <v>15.8</v>
      </c>
      <c r="J1275" t="inlineStr">
        <is>
          <t>NO</t>
        </is>
      </c>
      <c r="K1275" t="inlineStr">
        <is>
          <t>2026-02-23 23:48</t>
        </is>
      </c>
      <c r="L1275" t="inlineStr">
        <is>
          <t>CHECK_VENDOR</t>
        </is>
      </c>
      <c r="M1275" t="inlineStr">
        <is>
          <t>See CVE details</t>
        </is>
      </c>
      <c r="N1275" t="inlineStr">
        <is>
          <t>P3</t>
        </is>
      </c>
      <c r="O1275" t="inlineStr">
        <is>
          <t>CVE - IP enrichment n/a</t>
        </is>
      </c>
      <c r="P1275" t="n">
        <v>0.0005</v>
      </c>
      <c r="Q1275" t="n">
        <v>0.1626</v>
      </c>
      <c r="R1275" t="inlineStr">
        <is>
          <t>T1190:Exploit Public-Facing Application</t>
        </is>
      </c>
      <c r="S1275" t="n">
        <v>1</v>
      </c>
      <c r="T1275" t="inlineStr">
        <is>
          <t>LOW (40%)</t>
        </is>
      </c>
      <c r="U1275" t="inlineStr">
        <is>
          <t>UNLIKELY</t>
        </is>
      </c>
      <c r="V1275" t="inlineStr">
        <is>
          <t>CHECK_VENDOR</t>
        </is>
      </c>
      <c r="W1275" t="inlineStr">
        <is>
          <t>https://nvd.nist.gov/vuln/detail/CVE-2026-24494</t>
        </is>
      </c>
      <c r="X1275" t="inlineStr">
        <is>
          <t>NONE</t>
        </is>
      </c>
      <c r="Y1275" t="n">
        <v>0</v>
      </c>
      <c r="Z1275" t="inlineStr"/>
      <c r="AA1275" t="inlineStr">
        <is>
          <t>https://nvd.nist.gov/vuln/detail/CVE-2026-24494</t>
        </is>
      </c>
    </row>
    <row r="1276">
      <c r="A1276" t="inlineStr">
        <is>
          <t>CVE</t>
        </is>
      </c>
      <c r="B1276" t="inlineStr">
        <is>
          <t>CVE-2026-2964</t>
        </is>
      </c>
      <c r="C1276" t="inlineStr">
        <is>
          <t>A vulnerability was identified in higuma web-audio-recorder-js 0.1/0.1.1. Impacted is the function extend in the library lib/WebAudioRecorder.js of the component Dynamic Config Handling. Such manipulation leads to improperly controlled modification of object prototype attributes. It is possible to launch the attack remotely. Attacks of this nature are highly complex. The exploitability is considered difficult. The exploit is publicly available and might be used. The vendor was contacted early ab</t>
        </is>
      </c>
      <c r="D1276" t="n">
        <v>5</v>
      </c>
      <c r="E1276" t="inlineStr">
        <is>
          <t>MEDIUM</t>
        </is>
      </c>
      <c r="F1276" t="n">
        <v>2</v>
      </c>
      <c r="G1276" t="n">
        <v>2</v>
      </c>
      <c r="H1276" t="inlineStr">
        <is>
          <t>MEDIUM</t>
        </is>
      </c>
      <c r="I1276" t="n">
        <v>9</v>
      </c>
      <c r="J1276" t="inlineStr">
        <is>
          <t>NO</t>
        </is>
      </c>
      <c r="K1276" t="inlineStr">
        <is>
          <t>2026-02-23 23:48</t>
        </is>
      </c>
      <c r="L1276" t="inlineStr">
        <is>
          <t>CHECK_VENDOR</t>
        </is>
      </c>
      <c r="M1276" t="inlineStr">
        <is>
          <t>See CVE details</t>
        </is>
      </c>
      <c r="N1276" t="inlineStr">
        <is>
          <t>P4</t>
        </is>
      </c>
      <c r="O1276" t="inlineStr">
        <is>
          <t>CVE - IP enrichment n/a</t>
        </is>
      </c>
      <c r="P1276" t="n">
        <v>0</v>
      </c>
      <c r="Q1276" t="n">
        <v>0</v>
      </c>
      <c r="R1276" t="inlineStr">
        <is>
          <t>T1059:Command and Scripting Interpreter</t>
        </is>
      </c>
      <c r="S1276" t="n">
        <v>1</v>
      </c>
      <c r="T1276" t="inlineStr">
        <is>
          <t>LOW (40%)</t>
        </is>
      </c>
      <c r="U1276" t="inlineStr">
        <is>
          <t>UNLIKELY</t>
        </is>
      </c>
      <c r="V1276" t="inlineStr">
        <is>
          <t>CHECK_VENDOR</t>
        </is>
      </c>
      <c r="W1276" t="inlineStr">
        <is>
          <t>https://nvd.nist.gov/vuln/detail/CVE-2026-2964</t>
        </is>
      </c>
      <c r="X1276" t="inlineStr">
        <is>
          <t>NONE</t>
        </is>
      </c>
      <c r="Y1276" t="n">
        <v>0</v>
      </c>
      <c r="Z1276" t="inlineStr"/>
      <c r="AA1276" t="inlineStr">
        <is>
          <t>https://nvd.nist.gov/vuln/detail/CVE-2026-2964</t>
        </is>
      </c>
    </row>
    <row r="1277">
      <c r="A1277" t="inlineStr">
        <is>
          <t>CVE</t>
        </is>
      </c>
      <c r="B1277" t="inlineStr">
        <is>
          <t>CVE-2026-2965</t>
        </is>
      </c>
      <c r="C1277" t="inlineStr">
        <is>
          <t>A security flaw has been discovered in 07FLYCMS, 07FLY-CMS and 07FlyCRM up to 1.2.9. The affected element is an unknown function of the file /admin/SysModule/edit.html of the component System Extension Module. Performing a manipulation of the argument Title results in cross site scripting. The attack can be initiated remotely. The exploit has been released to the public and may be used for attacks. This product is published under multiple names. The vendor was contacted early about this disclosu</t>
        </is>
      </c>
      <c r="D1277" t="n">
        <v>2.4</v>
      </c>
      <c r="E1277" t="inlineStr">
        <is>
          <t>LOW</t>
        </is>
      </c>
      <c r="F1277" t="n">
        <v>2</v>
      </c>
      <c r="G1277" t="n">
        <v>1</v>
      </c>
      <c r="H1277" t="inlineStr">
        <is>
          <t>LOW</t>
        </is>
      </c>
      <c r="I1277" t="n">
        <v>4.4</v>
      </c>
      <c r="J1277" t="inlineStr">
        <is>
          <t>NO</t>
        </is>
      </c>
      <c r="K1277" t="inlineStr">
        <is>
          <t>2026-02-23 23:48</t>
        </is>
      </c>
      <c r="L1277" t="inlineStr">
        <is>
          <t>CHECK_VENDOR</t>
        </is>
      </c>
      <c r="M1277" t="inlineStr">
        <is>
          <t>See CVE details</t>
        </is>
      </c>
      <c r="N1277" t="inlineStr">
        <is>
          <t>P4</t>
        </is>
      </c>
      <c r="O1277" t="inlineStr">
        <is>
          <t>CVE - IP enrichment n/a</t>
        </is>
      </c>
      <c r="P1277" t="n">
        <v>0.0003</v>
      </c>
      <c r="Q1277" t="n">
        <v>0.07770000000000001</v>
      </c>
      <c r="R1277" t="inlineStr">
        <is>
          <t>T1189:Drive-by Compromise</t>
        </is>
      </c>
      <c r="S1277" t="n">
        <v>1</v>
      </c>
      <c r="T1277" t="inlineStr">
        <is>
          <t>LOW (40%)</t>
        </is>
      </c>
      <c r="U1277" t="inlineStr">
        <is>
          <t>UNLIKELY</t>
        </is>
      </c>
      <c r="V1277" t="inlineStr">
        <is>
          <t>CHECK_VENDOR</t>
        </is>
      </c>
      <c r="W1277" t="inlineStr">
        <is>
          <t>https://nvd.nist.gov/vuln/detail/CVE-2026-2965</t>
        </is>
      </c>
      <c r="X1277" t="inlineStr">
        <is>
          <t>NONE</t>
        </is>
      </c>
      <c r="Y1277" t="n">
        <v>0</v>
      </c>
      <c r="Z1277" t="inlineStr"/>
      <c r="AA1277" t="inlineStr">
        <is>
          <t>https://nvd.nist.gov/vuln/detail/CVE-2026-2965</t>
        </is>
      </c>
    </row>
    <row r="1278">
      <c r="A1278" t="inlineStr">
        <is>
          <t>CVE</t>
        </is>
      </c>
      <c r="B1278" t="inlineStr">
        <is>
          <t>CVE-2026-2966</t>
        </is>
      </c>
      <c r="C1278" t="inlineStr">
        <is>
          <t>A weakness has been identified in Cesanta Mongoose up to 7.20. The impacted element is the function mg_sendnsreq of the file /src/dns.c of the component DNS Transaction ID Handler. Executing a manipulation of the argument random can lead to insufficiently random values. The attack can be launched remotely. The attack requires a high level of complexity. The exploitability is regarded as difficult. The exploit has been made available to the public and could be used for attacks. The vendor was con</t>
        </is>
      </c>
      <c r="D1278" t="n">
        <v>3.7</v>
      </c>
      <c r="E1278" t="inlineStr">
        <is>
          <t>LOW</t>
        </is>
      </c>
      <c r="F1278" t="n">
        <v>2</v>
      </c>
      <c r="G1278" t="n">
        <v>1</v>
      </c>
      <c r="H1278" t="inlineStr">
        <is>
          <t>LOW</t>
        </is>
      </c>
      <c r="I1278" t="n">
        <v>5.7</v>
      </c>
      <c r="J1278" t="inlineStr">
        <is>
          <t>NO</t>
        </is>
      </c>
      <c r="K1278" t="inlineStr">
        <is>
          <t>2026-02-23 23:48</t>
        </is>
      </c>
      <c r="L1278" t="inlineStr">
        <is>
          <t>CHECK_VENDOR</t>
        </is>
      </c>
      <c r="M1278" t="inlineStr">
        <is>
          <t>cesanta mongoose *</t>
        </is>
      </c>
      <c r="N1278" t="inlineStr">
        <is>
          <t>P4</t>
        </is>
      </c>
      <c r="O1278" t="inlineStr">
        <is>
          <t>CVE - IP enrichment n/a</t>
        </is>
      </c>
      <c r="P1278" t="n">
        <v>0</v>
      </c>
      <c r="Q1278" t="n">
        <v>0</v>
      </c>
      <c r="R1278" t="inlineStr">
        <is>
          <t>T1190:Exploit Public-Facing Application</t>
        </is>
      </c>
      <c r="S1278" t="n">
        <v>1</v>
      </c>
      <c r="T1278" t="inlineStr">
        <is>
          <t>LOW (40%)</t>
        </is>
      </c>
      <c r="U1278" t="inlineStr">
        <is>
          <t>UNLIKELY</t>
        </is>
      </c>
      <c r="V1278" t="inlineStr">
        <is>
          <t>CHECK_VENDOR</t>
        </is>
      </c>
      <c r="W1278" t="inlineStr">
        <is>
          <t>https://nvd.nist.gov/vuln/detail/CVE-2026-2966</t>
        </is>
      </c>
      <c r="X1278" t="inlineStr">
        <is>
          <t>NONE</t>
        </is>
      </c>
      <c r="Y1278" t="n">
        <v>0</v>
      </c>
      <c r="Z1278" t="inlineStr"/>
      <c r="AA1278" t="inlineStr">
        <is>
          <t>https://nvd.nist.gov/vuln/detail/CVE-2026-2966</t>
        </is>
      </c>
    </row>
    <row r="1279">
      <c r="A1279" t="inlineStr">
        <is>
          <t>CVE</t>
        </is>
      </c>
      <c r="B1279" t="inlineStr">
        <is>
          <t>CVE-2026-2997</t>
        </is>
      </c>
      <c r="C1279" t="inlineStr">
        <is>
          <t>Tronclass developed by WisdomGarden has a Insecure Direct Object Reference vulnerability. After obtaining a course ID, authenticated remote attackers to modify a specific parameter to obtain a course invitation code, thereby joining any course.</t>
        </is>
      </c>
      <c r="D1279" t="n">
        <v>5.4</v>
      </c>
      <c r="E1279" t="inlineStr">
        <is>
          <t>MEDIUM</t>
        </is>
      </c>
      <c r="F1279" t="n">
        <v>2</v>
      </c>
      <c r="G1279" t="n">
        <v>2</v>
      </c>
      <c r="H1279" t="inlineStr">
        <is>
          <t>MEDIUM</t>
        </is>
      </c>
      <c r="I1279" t="n">
        <v>9.4</v>
      </c>
      <c r="J1279" t="inlineStr">
        <is>
          <t>NO</t>
        </is>
      </c>
      <c r="K1279" t="inlineStr">
        <is>
          <t>2026-02-23 23:48</t>
        </is>
      </c>
      <c r="L1279" t="inlineStr">
        <is>
          <t>CHECK_VENDOR</t>
        </is>
      </c>
      <c r="M1279" t="inlineStr">
        <is>
          <t>See CVE details</t>
        </is>
      </c>
      <c r="N1279" t="inlineStr">
        <is>
          <t>P4</t>
        </is>
      </c>
      <c r="O1279" t="inlineStr">
        <is>
          <t>CVE - IP enrichment n/a</t>
        </is>
      </c>
      <c r="P1279" t="n">
        <v>0</v>
      </c>
      <c r="Q1279" t="n">
        <v>0</v>
      </c>
      <c r="R1279" t="inlineStr">
        <is>
          <t>T1190:Exploit Public-Facing Application</t>
        </is>
      </c>
      <c r="S1279" t="n">
        <v>1</v>
      </c>
      <c r="T1279" t="inlineStr">
        <is>
          <t>LOW (40%)</t>
        </is>
      </c>
      <c r="U1279" t="inlineStr">
        <is>
          <t>UNLIKELY</t>
        </is>
      </c>
      <c r="V1279" t="inlineStr">
        <is>
          <t>CHECK_VENDOR</t>
        </is>
      </c>
      <c r="W1279" t="inlineStr">
        <is>
          <t>https://nvd.nist.gov/vuln/detail/CVE-2026-2997</t>
        </is>
      </c>
      <c r="X1279" t="inlineStr">
        <is>
          <t>NONE</t>
        </is>
      </c>
      <c r="Y1279" t="n">
        <v>0</v>
      </c>
      <c r="Z1279" t="inlineStr"/>
      <c r="AA1279" t="inlineStr">
        <is>
          <t>https://nvd.nist.gov/vuln/detail/CVE-2026-2997</t>
        </is>
      </c>
    </row>
    <row r="1280">
      <c r="A1280" t="inlineStr">
        <is>
          <t>CVE</t>
        </is>
      </c>
      <c r="B1280" t="inlineStr">
        <is>
          <t>CVE-2026-2967</t>
        </is>
      </c>
      <c r="C1280" t="inlineStr">
        <is>
          <t>A security vulnerability has been detected in Cesanta Mongoose up to 7.20. This affects the function getpeer of the file /src/net_builtin.c of the component TCP Sequence Number Handler. The manipulation leads to improper verification of source of a communication channel. The attack may be initiated remotely. The attack's complexity is rated as high. The exploitability is reported as difficult. The exploit has been disclosed publicly and may be used. The vendor was contacted early about this disc</t>
        </is>
      </c>
      <c r="D1280" t="n">
        <v>3.7</v>
      </c>
      <c r="E1280" t="inlineStr">
        <is>
          <t>LOW</t>
        </is>
      </c>
      <c r="F1280" t="n">
        <v>2</v>
      </c>
      <c r="G1280" t="n">
        <v>1</v>
      </c>
      <c r="H1280" t="inlineStr">
        <is>
          <t>LOW</t>
        </is>
      </c>
      <c r="I1280" t="n">
        <v>5.7</v>
      </c>
      <c r="J1280" t="inlineStr">
        <is>
          <t>NO</t>
        </is>
      </c>
      <c r="K1280" t="inlineStr">
        <is>
          <t>2026-02-23 23:48</t>
        </is>
      </c>
      <c r="L1280" t="inlineStr">
        <is>
          <t>CHECK_VENDOR</t>
        </is>
      </c>
      <c r="M1280" t="inlineStr">
        <is>
          <t>cesanta mongoose *</t>
        </is>
      </c>
      <c r="N1280" t="inlineStr">
        <is>
          <t>P4</t>
        </is>
      </c>
      <c r="O1280" t="inlineStr">
        <is>
          <t>CVE - IP enrichment n/a</t>
        </is>
      </c>
      <c r="P1280" t="n">
        <v>0</v>
      </c>
      <c r="Q1280" t="n">
        <v>0</v>
      </c>
      <c r="R1280" t="inlineStr">
        <is>
          <t>T1190:Exploit Public-Facing Application</t>
        </is>
      </c>
      <c r="S1280" t="n">
        <v>1</v>
      </c>
      <c r="T1280" t="inlineStr">
        <is>
          <t>LOW (40%)</t>
        </is>
      </c>
      <c r="U1280" t="inlineStr">
        <is>
          <t>UNLIKELY</t>
        </is>
      </c>
      <c r="V1280" t="inlineStr">
        <is>
          <t>CHECK_VENDOR</t>
        </is>
      </c>
      <c r="W1280" t="inlineStr">
        <is>
          <t>https://nvd.nist.gov/vuln/detail/CVE-2026-2967</t>
        </is>
      </c>
      <c r="X1280" t="inlineStr">
        <is>
          <t>NONE</t>
        </is>
      </c>
      <c r="Y1280" t="n">
        <v>0</v>
      </c>
      <c r="Z1280" t="inlineStr"/>
      <c r="AA1280" t="inlineStr">
        <is>
          <t>https://nvd.nist.gov/vuln/detail/CVE-2026-2967</t>
        </is>
      </c>
    </row>
    <row r="1281">
      <c r="A1281" t="inlineStr">
        <is>
          <t>CVE</t>
        </is>
      </c>
      <c r="B1281" t="inlineStr">
        <is>
          <t>CVE-2026-2968</t>
        </is>
      </c>
      <c r="C1281" t="inlineStr">
        <is>
          <t>A vulnerability was detected in Cesanta Mongoose up to 7.20. This impacts the function mg_chacha20_poly1305_decrypt of the file /src/tls_chacha20.c of the component Poly1305 Authentication Tag Handler. The manipulation results in improper verification of cryptographic signature. The attack may be launched remotely. This attack is characterized by high complexity. The exploitability is said to be difficult. The exploit is now public and may be used. The vendor was contacted early about this discl</t>
        </is>
      </c>
      <c r="D1281" t="n">
        <v>3.7</v>
      </c>
      <c r="E1281" t="inlineStr">
        <is>
          <t>LOW</t>
        </is>
      </c>
      <c r="F1281" t="n">
        <v>2</v>
      </c>
      <c r="G1281" t="n">
        <v>1</v>
      </c>
      <c r="H1281" t="inlineStr">
        <is>
          <t>LOW</t>
        </is>
      </c>
      <c r="I1281" t="n">
        <v>5.7</v>
      </c>
      <c r="J1281" t="inlineStr">
        <is>
          <t>NO</t>
        </is>
      </c>
      <c r="K1281" t="inlineStr">
        <is>
          <t>2026-02-23 23:48</t>
        </is>
      </c>
      <c r="L1281" t="inlineStr">
        <is>
          <t>CHECK_VENDOR</t>
        </is>
      </c>
      <c r="M1281" t="inlineStr">
        <is>
          <t>cesanta mongoose *</t>
        </is>
      </c>
      <c r="N1281" t="inlineStr">
        <is>
          <t>P4</t>
        </is>
      </c>
      <c r="O1281" t="inlineStr">
        <is>
          <t>CVE - IP enrichment n/a</t>
        </is>
      </c>
      <c r="P1281" t="n">
        <v>0</v>
      </c>
      <c r="Q1281" t="n">
        <v>0</v>
      </c>
      <c r="R1281" t="inlineStr">
        <is>
          <t>T1600:Weaken Encryption</t>
        </is>
      </c>
      <c r="S1281" t="n">
        <v>1</v>
      </c>
      <c r="T1281" t="inlineStr">
        <is>
          <t>LOW (40%)</t>
        </is>
      </c>
      <c r="U1281" t="inlineStr">
        <is>
          <t>UNLIKELY</t>
        </is>
      </c>
      <c r="V1281" t="inlineStr">
        <is>
          <t>CHECK_VENDOR</t>
        </is>
      </c>
      <c r="W1281" t="inlineStr">
        <is>
          <t>https://nvd.nist.gov/vuln/detail/CVE-2026-2968</t>
        </is>
      </c>
      <c r="X1281" t="inlineStr">
        <is>
          <t>NONE</t>
        </is>
      </c>
      <c r="Y1281" t="n">
        <v>0</v>
      </c>
      <c r="Z1281" t="inlineStr"/>
      <c r="AA1281" t="inlineStr">
        <is>
          <t>https://nvd.nist.gov/vuln/detail/CVE-2026-2968</t>
        </is>
      </c>
    </row>
    <row r="1282">
      <c r="A1282" t="inlineStr">
        <is>
          <t>CVE</t>
        </is>
      </c>
      <c r="B1282" t="inlineStr">
        <is>
          <t>CVE-2026-2998</t>
        </is>
      </c>
      <c r="C1282" t="inlineStr">
        <is>
          <t>ERP developed by eAI Technologies has a DLL Hijacking vulnerability, allowing authenticated local attackers to place a crafted DLL file in the same directory as the program, thereby executing arbitrary code.</t>
        </is>
      </c>
      <c r="D1282" t="n">
        <v>7.8</v>
      </c>
      <c r="E1282" t="inlineStr">
        <is>
          <t>HIGH</t>
        </is>
      </c>
      <c r="F1282" t="n">
        <v>2</v>
      </c>
      <c r="G1282" t="n">
        <v>3</v>
      </c>
      <c r="H1282" t="inlineStr">
        <is>
          <t>HIGH</t>
        </is>
      </c>
      <c r="I1282" t="n">
        <v>13.8</v>
      </c>
      <c r="J1282" t="inlineStr">
        <is>
          <t>NO</t>
        </is>
      </c>
      <c r="K1282" t="inlineStr">
        <is>
          <t>2026-02-23 23:48</t>
        </is>
      </c>
      <c r="L1282" t="inlineStr">
        <is>
          <t>CHECK_VENDOR</t>
        </is>
      </c>
      <c r="M1282" t="inlineStr">
        <is>
          <t>See CVE details</t>
        </is>
      </c>
      <c r="N1282" t="inlineStr">
        <is>
          <t>P3</t>
        </is>
      </c>
      <c r="O1282" t="inlineStr">
        <is>
          <t>CVE - IP enrichment n/a</t>
        </is>
      </c>
      <c r="P1282" t="n">
        <v>0</v>
      </c>
      <c r="Q1282" t="n">
        <v>0</v>
      </c>
      <c r="R1282" t="inlineStr">
        <is>
          <t>T1203:Exploitation for Client Execution</t>
        </is>
      </c>
      <c r="S1282" t="n">
        <v>1</v>
      </c>
      <c r="T1282" t="inlineStr">
        <is>
          <t>LOW (40%)</t>
        </is>
      </c>
      <c r="U1282" t="inlineStr">
        <is>
          <t>UNLIKELY</t>
        </is>
      </c>
      <c r="V1282" t="inlineStr">
        <is>
          <t>CHECK_VENDOR</t>
        </is>
      </c>
      <c r="W1282" t="inlineStr">
        <is>
          <t>https://nvd.nist.gov/vuln/detail/CVE-2026-2998</t>
        </is>
      </c>
      <c r="X1282" t="inlineStr">
        <is>
          <t>NONE</t>
        </is>
      </c>
      <c r="Y1282" t="n">
        <v>0</v>
      </c>
      <c r="Z1282" t="inlineStr"/>
      <c r="AA1282" t="inlineStr">
        <is>
          <t>https://nvd.nist.gov/vuln/detail/CVE-2026-2998</t>
        </is>
      </c>
    </row>
    <row r="1283">
      <c r="A1283" t="inlineStr">
        <is>
          <t>CVE</t>
        </is>
      </c>
      <c r="B1283" t="inlineStr">
        <is>
          <t>CVE-2026-2969</t>
        </is>
      </c>
      <c r="C1283" t="inlineStr">
        <is>
          <t>A flaw has been found in datapizza-labs datapizza-ai 0.0.2. Affected is the function ChatPromptTemplate of the file datapizza-ai-core/datapizza/modules/prompt/prompt.py of the component Jinja2 Template Handler. This manipulation of the argument Prompt causes improper neutralization of special elements used in a template engine. Remote exploitation of the attack is possible. The exploit has been published and may be used. The vendor was contacted early about this disclosure but did not respond in</t>
        </is>
      </c>
      <c r="D1283" t="n">
        <v>4.7</v>
      </c>
      <c r="E1283" t="inlineStr">
        <is>
          <t>MEDIUM</t>
        </is>
      </c>
      <c r="F1283" t="n">
        <v>2</v>
      </c>
      <c r="G1283" t="n">
        <v>2</v>
      </c>
      <c r="H1283" t="inlineStr">
        <is>
          <t>MEDIUM</t>
        </is>
      </c>
      <c r="I1283" t="n">
        <v>8.699999999999999</v>
      </c>
      <c r="J1283" t="inlineStr">
        <is>
          <t>NO</t>
        </is>
      </c>
      <c r="K1283" t="inlineStr">
        <is>
          <t>2026-02-23 23:48</t>
        </is>
      </c>
      <c r="L1283" t="inlineStr">
        <is>
          <t>CHECK_VENDOR</t>
        </is>
      </c>
      <c r="M1283" t="inlineStr">
        <is>
          <t>See CVE details</t>
        </is>
      </c>
      <c r="N1283" t="inlineStr">
        <is>
          <t>P4</t>
        </is>
      </c>
      <c r="O1283" t="inlineStr">
        <is>
          <t>CVE - IP enrichment n/a</t>
        </is>
      </c>
      <c r="P1283" t="n">
        <v>0</v>
      </c>
      <c r="Q1283" t="n">
        <v>0</v>
      </c>
      <c r="R1283" t="inlineStr">
        <is>
          <t>T1190:Exploit Public-Facing Application</t>
        </is>
      </c>
      <c r="S1283" t="n">
        <v>1</v>
      </c>
      <c r="T1283" t="inlineStr">
        <is>
          <t>LOW (40%)</t>
        </is>
      </c>
      <c r="U1283" t="inlineStr">
        <is>
          <t>UNLIKELY</t>
        </is>
      </c>
      <c r="V1283" t="inlineStr">
        <is>
          <t>CHECK_VENDOR</t>
        </is>
      </c>
      <c r="W1283" t="inlineStr">
        <is>
          <t>https://nvd.nist.gov/vuln/detail/CVE-2026-2969</t>
        </is>
      </c>
      <c r="X1283" t="inlineStr">
        <is>
          <t>NONE</t>
        </is>
      </c>
      <c r="Y1283" t="n">
        <v>0</v>
      </c>
      <c r="Z1283" t="inlineStr"/>
      <c r="AA1283" t="inlineStr">
        <is>
          <t>https://nvd.nist.gov/vuln/detail/CVE-2026-2969</t>
        </is>
      </c>
    </row>
    <row r="1284">
      <c r="A1284" t="inlineStr">
        <is>
          <t>CVE</t>
        </is>
      </c>
      <c r="B1284" t="inlineStr">
        <is>
          <t>CVE-2026-2970</t>
        </is>
      </c>
      <c r="C1284" t="inlineStr">
        <is>
          <t>A vulnerability has been found in datapizza-labs datapizza-ai 0.0.2. Affected by this vulnerability is the function RedisCache of the file datapizza-ai-cache/redis/datapizza/cache/redis/cache.py. Such manipulation leads to deserialization. The attack requires being on the local network. A high complexity level is associated with this attack. The exploitation appears to be difficult. The exploit has been disclosed to the public and may be used. The vendor was contacted early about this disclosure</t>
        </is>
      </c>
      <c r="D1284" t="n">
        <v>4.6</v>
      </c>
      <c r="E1284" t="inlineStr">
        <is>
          <t>MEDIUM</t>
        </is>
      </c>
      <c r="F1284" t="n">
        <v>2</v>
      </c>
      <c r="G1284" t="n">
        <v>2</v>
      </c>
      <c r="H1284" t="inlineStr">
        <is>
          <t>MEDIUM</t>
        </is>
      </c>
      <c r="I1284" t="n">
        <v>8.6</v>
      </c>
      <c r="J1284" t="inlineStr">
        <is>
          <t>NO</t>
        </is>
      </c>
      <c r="K1284" t="inlineStr">
        <is>
          <t>2026-02-23 23:48</t>
        </is>
      </c>
      <c r="L1284" t="inlineStr">
        <is>
          <t>CHECK_VENDOR</t>
        </is>
      </c>
      <c r="M1284" t="inlineStr">
        <is>
          <t>See CVE details</t>
        </is>
      </c>
      <c r="N1284" t="inlineStr">
        <is>
          <t>P4</t>
        </is>
      </c>
      <c r="O1284" t="inlineStr">
        <is>
          <t>CVE - IP enrichment n/a</t>
        </is>
      </c>
      <c r="P1284" t="n">
        <v>0.0003</v>
      </c>
      <c r="Q1284" t="n">
        <v>0.0895</v>
      </c>
      <c r="R1284" t="inlineStr">
        <is>
          <t>T1059:Command and Scripting Interpreter</t>
        </is>
      </c>
      <c r="S1284" t="n">
        <v>1</v>
      </c>
      <c r="T1284" t="inlineStr">
        <is>
          <t>LOW (40%)</t>
        </is>
      </c>
      <c r="U1284" t="inlineStr">
        <is>
          <t>UNLIKELY</t>
        </is>
      </c>
      <c r="V1284" t="inlineStr">
        <is>
          <t>CHECK_VENDOR</t>
        </is>
      </c>
      <c r="W1284" t="inlineStr">
        <is>
          <t>https://nvd.nist.gov/vuln/detail/CVE-2026-2970</t>
        </is>
      </c>
      <c r="X1284" t="inlineStr">
        <is>
          <t>NONE</t>
        </is>
      </c>
      <c r="Y1284" t="n">
        <v>0</v>
      </c>
      <c r="Z1284" t="inlineStr"/>
      <c r="AA1284" t="inlineStr">
        <is>
          <t>https://nvd.nist.gov/vuln/detail/CVE-2026-2970</t>
        </is>
      </c>
    </row>
    <row r="1285">
      <c r="A1285" t="inlineStr">
        <is>
          <t>CVE</t>
        </is>
      </c>
      <c r="B1285" t="inlineStr">
        <is>
          <t>CVE-2026-2971</t>
        </is>
      </c>
      <c r="C1285" t="inlineStr">
        <is>
          <t>A vulnerability was found in a466350665 Smart-SSO up to 2.1.1. Affected by this issue is some unknown functionality of the file smart-sso-server/src/main/resources/templates/login.html of the component Login. Performing a manipulation of the argument redirectUri results in cross site scripting. The attack is possible to be carried out remotely. The exploit has been made public and could be used. The vendor was contacted early about this disclosure but did not respond in any way.</t>
        </is>
      </c>
      <c r="D1285" t="n">
        <v>4.3</v>
      </c>
      <c r="E1285" t="inlineStr">
        <is>
          <t>MEDIUM</t>
        </is>
      </c>
      <c r="F1285" t="n">
        <v>2</v>
      </c>
      <c r="G1285" t="n">
        <v>2</v>
      </c>
      <c r="H1285" t="inlineStr">
        <is>
          <t>MEDIUM</t>
        </is>
      </c>
      <c r="I1285" t="n">
        <v>8.300000000000001</v>
      </c>
      <c r="J1285" t="inlineStr">
        <is>
          <t>NO</t>
        </is>
      </c>
      <c r="K1285" t="inlineStr">
        <is>
          <t>2026-02-23 23:48</t>
        </is>
      </c>
      <c r="L1285" t="inlineStr">
        <is>
          <t>CHECK_VENDOR</t>
        </is>
      </c>
      <c r="M1285" t="inlineStr">
        <is>
          <t>See CVE details</t>
        </is>
      </c>
      <c r="N1285" t="inlineStr">
        <is>
          <t>P4</t>
        </is>
      </c>
      <c r="O1285" t="inlineStr">
        <is>
          <t>CVE - IP enrichment n/a</t>
        </is>
      </c>
      <c r="P1285" t="n">
        <v>0</v>
      </c>
      <c r="Q1285" t="n">
        <v>0</v>
      </c>
      <c r="R1285" t="inlineStr">
        <is>
          <t>T1189:Drive-by Compromise | T1190:Exploit Public-Facing Application</t>
        </is>
      </c>
      <c r="S1285" t="n">
        <v>1</v>
      </c>
      <c r="T1285" t="inlineStr">
        <is>
          <t>LOW (40%)</t>
        </is>
      </c>
      <c r="U1285" t="inlineStr">
        <is>
          <t>UNLIKELY</t>
        </is>
      </c>
      <c r="V1285" t="inlineStr">
        <is>
          <t>CHECK_VENDOR</t>
        </is>
      </c>
      <c r="W1285" t="inlineStr">
        <is>
          <t>https://nvd.nist.gov/vuln/detail/CVE-2026-2971</t>
        </is>
      </c>
      <c r="X1285" t="inlineStr">
        <is>
          <t>NONE</t>
        </is>
      </c>
      <c r="Y1285" t="n">
        <v>0</v>
      </c>
      <c r="Z1285" t="inlineStr"/>
      <c r="AA1285" t="inlineStr">
        <is>
          <t>https://nvd.nist.gov/vuln/detail/CVE-2026-2971</t>
        </is>
      </c>
    </row>
    <row r="1286">
      <c r="A1286" t="inlineStr">
        <is>
          <t>CVE</t>
        </is>
      </c>
      <c r="B1286" t="inlineStr">
        <is>
          <t>CVE-2026-2972</t>
        </is>
      </c>
      <c r="C1286" t="inlineStr">
        <is>
          <t>A vulnerability was determined in a466350665 Smart-SSO up to 2.1.1. This affects the function Save of the file smart-sso-server/src/main/java/openjoe/smart/sso/server/controller/admin/UserController.java of the component Role Edit Page. Executing a manipulation can lead to cross site scripting. The attack may be performed from remote. The exploit has been publicly disclosed and may be utilized. The vendor was contacted early about this disclosure but did not respond in any way.</t>
        </is>
      </c>
      <c r="D1286" t="n">
        <v>2.4</v>
      </c>
      <c r="E1286" t="inlineStr">
        <is>
          <t>LOW</t>
        </is>
      </c>
      <c r="F1286" t="n">
        <v>2</v>
      </c>
      <c r="G1286" t="n">
        <v>1</v>
      </c>
      <c r="H1286" t="inlineStr">
        <is>
          <t>LOW</t>
        </is>
      </c>
      <c r="I1286" t="n">
        <v>4.4</v>
      </c>
      <c r="J1286" t="inlineStr">
        <is>
          <t>NO</t>
        </is>
      </c>
      <c r="K1286" t="inlineStr">
        <is>
          <t>2026-02-23 23:48</t>
        </is>
      </c>
      <c r="L1286" t="inlineStr">
        <is>
          <t>CHECK_VENDOR</t>
        </is>
      </c>
      <c r="M1286" t="inlineStr">
        <is>
          <t>See CVE details</t>
        </is>
      </c>
      <c r="N1286" t="inlineStr">
        <is>
          <t>P4</t>
        </is>
      </c>
      <c r="O1286" t="inlineStr">
        <is>
          <t>CVE - IP enrichment n/a</t>
        </is>
      </c>
      <c r="P1286" t="n">
        <v>0</v>
      </c>
      <c r="Q1286" t="n">
        <v>0</v>
      </c>
      <c r="R1286" t="inlineStr">
        <is>
          <t>T1189:Drive-by Compromise</t>
        </is>
      </c>
      <c r="S1286" t="n">
        <v>1</v>
      </c>
      <c r="T1286" t="inlineStr">
        <is>
          <t>LOW (40%)</t>
        </is>
      </c>
      <c r="U1286" t="inlineStr">
        <is>
          <t>UNLIKELY</t>
        </is>
      </c>
      <c r="V1286" t="inlineStr">
        <is>
          <t>CHECK_VENDOR</t>
        </is>
      </c>
      <c r="W1286" t="inlineStr">
        <is>
          <t>https://nvd.nist.gov/vuln/detail/CVE-2026-2972</t>
        </is>
      </c>
      <c r="X1286" t="inlineStr">
        <is>
          <t>NONE</t>
        </is>
      </c>
      <c r="Y1286" t="n">
        <v>0</v>
      </c>
      <c r="Z1286" t="inlineStr"/>
      <c r="AA1286" t="inlineStr">
        <is>
          <t>https://nvd.nist.gov/vuln/detail/CVE-2026-2972</t>
        </is>
      </c>
    </row>
    <row r="1287">
      <c r="A1287" t="inlineStr">
        <is>
          <t>CVE</t>
        </is>
      </c>
      <c r="B1287" t="inlineStr">
        <is>
          <t>CVE-2026-2974</t>
        </is>
      </c>
      <c r="C1287" t="inlineStr">
        <is>
          <t>A vulnerability was identified in AliasVault App up to 0.25.3 on Android/iOS. This vulnerability affects unknown code of the file shared_prefs/aliasvault.xml of the component Backup Handler. The manipulation of the argument accessToken/refreshToken/metadata/key_derivation_params/auth_methods leads to exposure of backup file to an unauthorized control sphere. An attack has to be approached locally. The attack is considered to have high complexity. It is stated that the exploitability is difficult</t>
        </is>
      </c>
      <c r="D1287" t="n">
        <v>2.5</v>
      </c>
      <c r="E1287" t="inlineStr">
        <is>
          <t>LOW</t>
        </is>
      </c>
      <c r="F1287" t="n">
        <v>2</v>
      </c>
      <c r="G1287" t="n">
        <v>1</v>
      </c>
      <c r="H1287" t="inlineStr">
        <is>
          <t>LOW</t>
        </is>
      </c>
      <c r="I1287" t="n">
        <v>4.5</v>
      </c>
      <c r="J1287" t="inlineStr">
        <is>
          <t>NO</t>
        </is>
      </c>
      <c r="K1287" t="inlineStr">
        <is>
          <t>2026-02-23 23:48</t>
        </is>
      </c>
      <c r="L1287" t="inlineStr">
        <is>
          <t>CHECK_VENDOR</t>
        </is>
      </c>
      <c r="M1287" t="inlineStr">
        <is>
          <t>See CVE details</t>
        </is>
      </c>
      <c r="N1287" t="inlineStr">
        <is>
          <t>P4</t>
        </is>
      </c>
      <c r="O1287" t="inlineStr">
        <is>
          <t>CVE - IP enrichment n/a</t>
        </is>
      </c>
      <c r="P1287" t="n">
        <v>0</v>
      </c>
      <c r="Q1287" t="n">
        <v>0</v>
      </c>
      <c r="R1287" t="inlineStr">
        <is>
          <t>T1190:Exploit Public-Facing Application</t>
        </is>
      </c>
      <c r="S1287" t="n">
        <v>1</v>
      </c>
      <c r="T1287" t="inlineStr">
        <is>
          <t>LOW (40%)</t>
        </is>
      </c>
      <c r="U1287" t="inlineStr">
        <is>
          <t>UNLIKELY</t>
        </is>
      </c>
      <c r="V1287" t="inlineStr">
        <is>
          <t>CHECK_VENDOR</t>
        </is>
      </c>
      <c r="W1287" t="inlineStr">
        <is>
          <t>https://nvd.nist.gov/vuln/detail/CVE-2026-2974</t>
        </is>
      </c>
      <c r="X1287" t="inlineStr">
        <is>
          <t>NONE</t>
        </is>
      </c>
      <c r="Y1287" t="n">
        <v>0</v>
      </c>
      <c r="Z1287" t="inlineStr"/>
      <c r="AA1287" t="inlineStr">
        <is>
          <t>https://nvd.nist.gov/vuln/detail/CVE-2026-2974</t>
        </is>
      </c>
    </row>
    <row r="1288">
      <c r="A1288" t="inlineStr">
        <is>
          <t>CVE</t>
        </is>
      </c>
      <c r="B1288" t="inlineStr">
        <is>
          <t>CVE-2026-2975</t>
        </is>
      </c>
      <c r="C1288" t="inlineStr">
        <is>
          <t>A security flaw has been discovered in FastApiAdmin up to 2.2.0. Affected by this vulnerability is the function reset_api_docs of the file /backend/app/plugin/init_app.py of the component Custom Documentation Endpoint. The manipulation results in information disclosure. The attack may be performed from remote. The exploit has been released to the public and may be used for attacks.</t>
        </is>
      </c>
      <c r="D1288" t="n">
        <v>5.3</v>
      </c>
      <c r="E1288" t="inlineStr">
        <is>
          <t>MEDIUM</t>
        </is>
      </c>
      <c r="F1288" t="n">
        <v>2</v>
      </c>
      <c r="G1288" t="n">
        <v>2</v>
      </c>
      <c r="H1288" t="inlineStr">
        <is>
          <t>MEDIUM</t>
        </is>
      </c>
      <c r="I1288" t="n">
        <v>9.300000000000001</v>
      </c>
      <c r="J1288" t="inlineStr">
        <is>
          <t>NO</t>
        </is>
      </c>
      <c r="K1288" t="inlineStr">
        <is>
          <t>2026-02-23 23:48</t>
        </is>
      </c>
      <c r="L1288" t="inlineStr">
        <is>
          <t>CHECK_VENDOR</t>
        </is>
      </c>
      <c r="M1288" t="inlineStr">
        <is>
          <t>See CVE details</t>
        </is>
      </c>
      <c r="N1288" t="inlineStr">
        <is>
          <t>P4</t>
        </is>
      </c>
      <c r="O1288" t="inlineStr">
        <is>
          <t>CVE - IP enrichment n/a</t>
        </is>
      </c>
      <c r="P1288" t="n">
        <v>0</v>
      </c>
      <c r="Q1288" t="n">
        <v>0</v>
      </c>
      <c r="R1288" t="inlineStr">
        <is>
          <t>T1213:Data from Information Repositories</t>
        </is>
      </c>
      <c r="S1288" t="n">
        <v>1</v>
      </c>
      <c r="T1288" t="inlineStr">
        <is>
          <t>LOW (40%)</t>
        </is>
      </c>
      <c r="U1288" t="inlineStr">
        <is>
          <t>UNLIKELY</t>
        </is>
      </c>
      <c r="V1288" t="inlineStr">
        <is>
          <t>CHECK_VENDOR</t>
        </is>
      </c>
      <c r="W1288" t="inlineStr">
        <is>
          <t>https://nvd.nist.gov/vuln/detail/CVE-2026-2975</t>
        </is>
      </c>
      <c r="X1288" t="inlineStr">
        <is>
          <t>NONE</t>
        </is>
      </c>
      <c r="Y1288" t="n">
        <v>0</v>
      </c>
      <c r="Z1288" t="inlineStr"/>
      <c r="AA1288" t="inlineStr">
        <is>
          <t>https://nvd.nist.gov/vuln/detail/CVE-2026-2975</t>
        </is>
      </c>
    </row>
    <row r="1289">
      <c r="A1289" t="inlineStr">
        <is>
          <t>CVE</t>
        </is>
      </c>
      <c r="B1289" t="inlineStr">
        <is>
          <t>CVE-2026-2976</t>
        </is>
      </c>
      <c r="C1289" t="inlineStr">
        <is>
          <t>A weakness has been identified in FastApiAdmin up to 2.2.0. Affected by this issue is the function download_controller of the file /backend/app/api/v1/module_common/file/controller.py of the component Download Endpoint. This manipulation of the argument file_path causes information disclosure. It is possible to initiate the attack remotely. The exploit has been made available to the public and could be used for attacks.</t>
        </is>
      </c>
      <c r="D1289" t="n">
        <v>4.3</v>
      </c>
      <c r="E1289" t="inlineStr">
        <is>
          <t>MEDIUM</t>
        </is>
      </c>
      <c r="F1289" t="n">
        <v>2</v>
      </c>
      <c r="G1289" t="n">
        <v>2</v>
      </c>
      <c r="H1289" t="inlineStr">
        <is>
          <t>MEDIUM</t>
        </is>
      </c>
      <c r="I1289" t="n">
        <v>8.300000000000001</v>
      </c>
      <c r="J1289" t="inlineStr">
        <is>
          <t>NO</t>
        </is>
      </c>
      <c r="K1289" t="inlineStr">
        <is>
          <t>2026-02-23 23:48</t>
        </is>
      </c>
      <c r="L1289" t="inlineStr">
        <is>
          <t>CHECK_VENDOR</t>
        </is>
      </c>
      <c r="M1289" t="inlineStr">
        <is>
          <t>See CVE details</t>
        </is>
      </c>
      <c r="N1289" t="inlineStr">
        <is>
          <t>P4</t>
        </is>
      </c>
      <c r="O1289" t="inlineStr">
        <is>
          <t>CVE - IP enrichment n/a</t>
        </is>
      </c>
      <c r="P1289" t="n">
        <v>0</v>
      </c>
      <c r="Q1289" t="n">
        <v>0</v>
      </c>
      <c r="R1289" t="inlineStr">
        <is>
          <t>T1213:Data from Information Repositories</t>
        </is>
      </c>
      <c r="S1289" t="n">
        <v>1</v>
      </c>
      <c r="T1289" t="inlineStr">
        <is>
          <t>LOW (40%)</t>
        </is>
      </c>
      <c r="U1289" t="inlineStr">
        <is>
          <t>UNLIKELY</t>
        </is>
      </c>
      <c r="V1289" t="inlineStr">
        <is>
          <t>CHECK_VENDOR</t>
        </is>
      </c>
      <c r="W1289" t="inlineStr">
        <is>
          <t>https://nvd.nist.gov/vuln/detail/CVE-2026-2976</t>
        </is>
      </c>
      <c r="X1289" t="inlineStr">
        <is>
          <t>NONE</t>
        </is>
      </c>
      <c r="Y1289" t="n">
        <v>0</v>
      </c>
      <c r="Z1289" t="inlineStr"/>
      <c r="AA1289" t="inlineStr">
        <is>
          <t>https://nvd.nist.gov/vuln/detail/CVE-2026-2976</t>
        </is>
      </c>
    </row>
    <row r="1290">
      <c r="A1290" t="inlineStr">
        <is>
          <t>CVE</t>
        </is>
      </c>
      <c r="B1290" t="inlineStr">
        <is>
          <t>CVE-2026-1367</t>
        </is>
      </c>
      <c r="C1290" t="inlineStr">
        <is>
          <t>Zohocorp ManageEngine ADSelfService Plus versions 6522 and below are vulnerable to authenticated SQL Injection in the search report option.</t>
        </is>
      </c>
      <c r="D1290" t="n">
        <v>8.300000000000001</v>
      </c>
      <c r="E1290" t="inlineStr">
        <is>
          <t>HIGH</t>
        </is>
      </c>
      <c r="F1290" t="n">
        <v>2</v>
      </c>
      <c r="G1290" t="n">
        <v>3</v>
      </c>
      <c r="H1290" t="inlineStr">
        <is>
          <t>HIGH</t>
        </is>
      </c>
      <c r="I1290" t="n">
        <v>14.3</v>
      </c>
      <c r="J1290" t="inlineStr">
        <is>
          <t>NO</t>
        </is>
      </c>
      <c r="K1290" t="inlineStr">
        <is>
          <t>2026-02-23 23:48</t>
        </is>
      </c>
      <c r="L1290" t="inlineStr">
        <is>
          <t>CHECK_VENDOR</t>
        </is>
      </c>
      <c r="M1290" t="inlineStr">
        <is>
          <t>See CVE details</t>
        </is>
      </c>
      <c r="N1290" t="inlineStr">
        <is>
          <t>P3</t>
        </is>
      </c>
      <c r="O1290" t="inlineStr">
        <is>
          <t>CVE - IP enrichment n/a</t>
        </is>
      </c>
      <c r="P1290" t="n">
        <v>0</v>
      </c>
      <c r="Q1290" t="n">
        <v>0</v>
      </c>
      <c r="R1290" t="inlineStr">
        <is>
          <t>T1190:Exploit Public-Facing Application</t>
        </is>
      </c>
      <c r="S1290" t="n">
        <v>1</v>
      </c>
      <c r="T1290" t="inlineStr">
        <is>
          <t>LOW (40%)</t>
        </is>
      </c>
      <c r="U1290" t="inlineStr">
        <is>
          <t>UNLIKELY</t>
        </is>
      </c>
      <c r="V1290" t="inlineStr">
        <is>
          <t>CHECK_VENDOR</t>
        </is>
      </c>
      <c r="W1290" t="inlineStr">
        <is>
          <t>https://nvd.nist.gov/vuln/detail/CVE-2026-1367</t>
        </is>
      </c>
      <c r="X1290" t="inlineStr">
        <is>
          <t>NONE</t>
        </is>
      </c>
      <c r="Y1290" t="n">
        <v>0</v>
      </c>
      <c r="Z1290" t="inlineStr"/>
      <c r="AA1290" t="inlineStr">
        <is>
          <t>https://nvd.nist.gov/vuln/detail/CVE-2026-1367</t>
        </is>
      </c>
    </row>
    <row r="1291">
      <c r="A1291" t="inlineStr">
        <is>
          <t>CVE</t>
        </is>
      </c>
      <c r="B1291" t="inlineStr">
        <is>
          <t>CVE-2026-2977</t>
        </is>
      </c>
      <c r="C1291" t="inlineStr">
        <is>
          <t>A security vulnerability has been detected in FastApiAdmin up to 2.2.0. This affects the function upload_controller of the file /backend/app/api/v1/module_common/file/controller.py of the component Scheduled Task API. Such manipulation leads to unrestricted upload. It is possible to launch the attack remotely. The exploit has been disclosed publicly and may be used.</t>
        </is>
      </c>
      <c r="D1291" t="n">
        <v>6.3</v>
      </c>
      <c r="E1291" t="inlineStr">
        <is>
          <t>MEDIUM</t>
        </is>
      </c>
      <c r="F1291" t="n">
        <v>2</v>
      </c>
      <c r="G1291" t="n">
        <v>2</v>
      </c>
      <c r="H1291" t="inlineStr">
        <is>
          <t>MEDIUM</t>
        </is>
      </c>
      <c r="I1291" t="n">
        <v>10.3</v>
      </c>
      <c r="J1291" t="inlineStr">
        <is>
          <t>NO</t>
        </is>
      </c>
      <c r="K1291" t="inlineStr">
        <is>
          <t>2026-02-23 23:48</t>
        </is>
      </c>
      <c r="L1291" t="inlineStr">
        <is>
          <t>CHECK_VENDOR</t>
        </is>
      </c>
      <c r="M1291" t="inlineStr">
        <is>
          <t>See CVE details</t>
        </is>
      </c>
      <c r="N1291" t="inlineStr">
        <is>
          <t>P4</t>
        </is>
      </c>
      <c r="O1291" t="inlineStr">
        <is>
          <t>CVE - IP enrichment n/a</t>
        </is>
      </c>
      <c r="P1291" t="n">
        <v>0</v>
      </c>
      <c r="Q1291" t="n">
        <v>0</v>
      </c>
      <c r="R1291" t="inlineStr">
        <is>
          <t>T1190:Exploit Public-Facing Application</t>
        </is>
      </c>
      <c r="S1291" t="n">
        <v>1</v>
      </c>
      <c r="T1291" t="inlineStr">
        <is>
          <t>LOW (40%)</t>
        </is>
      </c>
      <c r="U1291" t="inlineStr">
        <is>
          <t>UNLIKELY</t>
        </is>
      </c>
      <c r="V1291" t="inlineStr">
        <is>
          <t>CHECK_VENDOR</t>
        </is>
      </c>
      <c r="W1291" t="inlineStr">
        <is>
          <t>https://nvd.nist.gov/vuln/detail/CVE-2026-2977</t>
        </is>
      </c>
      <c r="X1291" t="inlineStr">
        <is>
          <t>NONE</t>
        </is>
      </c>
      <c r="Y1291" t="n">
        <v>0</v>
      </c>
      <c r="Z1291" t="inlineStr"/>
      <c r="AA1291" t="inlineStr">
        <is>
          <t>https://nvd.nist.gov/vuln/detail/CVE-2026-2977</t>
        </is>
      </c>
    </row>
    <row r="1292">
      <c r="A1292" t="inlineStr">
        <is>
          <t>CVE</t>
        </is>
      </c>
      <c r="B1292" t="inlineStr">
        <is>
          <t>CVE-2026-2978</t>
        </is>
      </c>
      <c r="C1292" t="inlineStr">
        <is>
          <t>A vulnerability was detected in FastApiAdmin up to 2.2.0. This vulnerability affects the function upload_file_controller of the file /backend/app/api/v1/module_system/params/controller.py of the component Scheduled Task API. Performing a manipulation results in unrestricted upload. The attack can be initiated remotely. The exploit is now public and may be used.</t>
        </is>
      </c>
      <c r="D1292" t="n">
        <v>6.3</v>
      </c>
      <c r="E1292" t="inlineStr">
        <is>
          <t>MEDIUM</t>
        </is>
      </c>
      <c r="F1292" t="n">
        <v>2</v>
      </c>
      <c r="G1292" t="n">
        <v>2</v>
      </c>
      <c r="H1292" t="inlineStr">
        <is>
          <t>MEDIUM</t>
        </is>
      </c>
      <c r="I1292" t="n">
        <v>10.3</v>
      </c>
      <c r="J1292" t="inlineStr">
        <is>
          <t>NO</t>
        </is>
      </c>
      <c r="K1292" t="inlineStr">
        <is>
          <t>2026-02-23 23:48</t>
        </is>
      </c>
      <c r="L1292" t="inlineStr">
        <is>
          <t>CHECK_VENDOR</t>
        </is>
      </c>
      <c r="M1292" t="inlineStr">
        <is>
          <t>See CVE details</t>
        </is>
      </c>
      <c r="N1292" t="inlineStr">
        <is>
          <t>P4</t>
        </is>
      </c>
      <c r="O1292" t="inlineStr">
        <is>
          <t>CVE - IP enrichment n/a</t>
        </is>
      </c>
      <c r="P1292" t="n">
        <v>0</v>
      </c>
      <c r="Q1292" t="n">
        <v>0</v>
      </c>
      <c r="R1292" t="inlineStr">
        <is>
          <t>T1190:Exploit Public-Facing Application</t>
        </is>
      </c>
      <c r="S1292" t="n">
        <v>1</v>
      </c>
      <c r="T1292" t="inlineStr">
        <is>
          <t>LOW (40%)</t>
        </is>
      </c>
      <c r="U1292" t="inlineStr">
        <is>
          <t>UNLIKELY</t>
        </is>
      </c>
      <c r="V1292" t="inlineStr">
        <is>
          <t>CHECK_VENDOR</t>
        </is>
      </c>
      <c r="W1292" t="inlineStr">
        <is>
          <t>https://nvd.nist.gov/vuln/detail/CVE-2026-2978</t>
        </is>
      </c>
      <c r="X1292" t="inlineStr">
        <is>
          <t>NONE</t>
        </is>
      </c>
      <c r="Y1292" t="n">
        <v>0</v>
      </c>
      <c r="Z1292" t="inlineStr"/>
      <c r="AA1292" t="inlineStr">
        <is>
          <t>https://nvd.nist.gov/vuln/detail/CVE-2026-2978</t>
        </is>
      </c>
    </row>
    <row r="1293">
      <c r="A1293" t="inlineStr">
        <is>
          <t>CVE</t>
        </is>
      </c>
      <c r="B1293" t="inlineStr">
        <is>
          <t>CVE-2026-23552</t>
        </is>
      </c>
      <c r="C1293" t="inlineStr">
        <is>
          <t>Cross-Realm Token Acceptance Bypass in KeycloakSecurityPolicy Apache Camel Keycloak component. 
The Camel-Keycloak KeycloakSecurityPolicy does not validate the iss (issuer) claim of JWT tokens against the configured realm. A token issued by one Keycloak realm is silently accepted by a policy configured for a completely different realm, breaking tenant isolation.
This issue affects Apache Camel: from 4.15.0 before 4.18.0.
Users are recommended to upgrade to version 4.18.0, which fixes the issue</t>
        </is>
      </c>
      <c r="D1293" t="n">
        <v>9.1</v>
      </c>
      <c r="E1293" t="inlineStr">
        <is>
          <t>CRITICAL</t>
        </is>
      </c>
      <c r="F1293" t="n">
        <v>2</v>
      </c>
      <c r="G1293" t="n">
        <v>3</v>
      </c>
      <c r="H1293" t="inlineStr">
        <is>
          <t>HIGH</t>
        </is>
      </c>
      <c r="I1293" t="n">
        <v>15.1</v>
      </c>
      <c r="J1293" t="inlineStr">
        <is>
          <t>NO</t>
        </is>
      </c>
      <c r="K1293" t="inlineStr">
        <is>
          <t>2026-02-23 23:48</t>
        </is>
      </c>
      <c r="L1293" t="inlineStr">
        <is>
          <t>CHECK_VENDOR</t>
        </is>
      </c>
      <c r="M1293" t="inlineStr">
        <is>
          <t>See CVE details</t>
        </is>
      </c>
      <c r="N1293" t="inlineStr">
        <is>
          <t>P3</t>
        </is>
      </c>
      <c r="O1293" t="inlineStr">
        <is>
          <t>CVE - IP enrichment n/a</t>
        </is>
      </c>
      <c r="P1293" t="n">
        <v>0</v>
      </c>
      <c r="Q1293" t="n">
        <v>0</v>
      </c>
      <c r="R1293" t="inlineStr">
        <is>
          <t>T1190:Exploit Public-Facing Application</t>
        </is>
      </c>
      <c r="S1293" t="n">
        <v>1</v>
      </c>
      <c r="T1293" t="inlineStr">
        <is>
          <t>LOW (40%)</t>
        </is>
      </c>
      <c r="U1293" t="inlineStr">
        <is>
          <t>UNLIKELY</t>
        </is>
      </c>
      <c r="V1293" t="inlineStr">
        <is>
          <t>CHECK_VENDOR</t>
        </is>
      </c>
      <c r="W1293" t="inlineStr">
        <is>
          <t>https://nvd.nist.gov/vuln/detail/CVE-2026-23552</t>
        </is>
      </c>
      <c r="X1293" t="inlineStr">
        <is>
          <t>NONE</t>
        </is>
      </c>
      <c r="Y1293" t="n">
        <v>0</v>
      </c>
      <c r="Z1293" t="inlineStr"/>
      <c r="AA1293" t="inlineStr">
        <is>
          <t>https://nvd.nist.gov/vuln/detail/CVE-2026-23552</t>
        </is>
      </c>
    </row>
    <row r="1294">
      <c r="A1294" t="inlineStr">
        <is>
          <t>CVE</t>
        </is>
      </c>
      <c r="B1294" t="inlineStr">
        <is>
          <t>CVE-2026-25747</t>
        </is>
      </c>
      <c r="C1294" t="inlineStr">
        <is>
          <t>Deserialization of Untrusted Data vulnerability in Apache Camel LevelDB component.
The Camel-LevelDB DefaultLevelDBSerializer class deserializes data read from the LevelDB aggregation repository using java.io.ObjectInputStream without applying any ObjectInputFilter or class-loading restrictions. An attacker who can write to the LevelDB database files used by a Camel application can inject a crafted serialized Java object that, when deserialized during normal aggregation repository operations, r</t>
        </is>
      </c>
      <c r="D1294" t="n">
        <v>5</v>
      </c>
      <c r="E1294" t="inlineStr">
        <is>
          <t>MEDIUM</t>
        </is>
      </c>
      <c r="F1294" t="n">
        <v>2</v>
      </c>
      <c r="G1294" t="n">
        <v>2</v>
      </c>
      <c r="H1294" t="inlineStr">
        <is>
          <t>MEDIUM</t>
        </is>
      </c>
      <c r="I1294" t="n">
        <v>9</v>
      </c>
      <c r="J1294" t="inlineStr">
        <is>
          <t>NO</t>
        </is>
      </c>
      <c r="K1294" t="inlineStr">
        <is>
          <t>2026-02-23 23:48</t>
        </is>
      </c>
      <c r="L1294" t="inlineStr">
        <is>
          <t>CHECK_VENDOR</t>
        </is>
      </c>
      <c r="M1294" t="inlineStr">
        <is>
          <t>See CVE details</t>
        </is>
      </c>
      <c r="N1294" t="inlineStr">
        <is>
          <t>P4</t>
        </is>
      </c>
      <c r="O1294" t="inlineStr">
        <is>
          <t>CVE - IP enrichment n/a</t>
        </is>
      </c>
      <c r="P1294" t="n">
        <v>0.0008</v>
      </c>
      <c r="Q1294" t="n">
        <v>0.2251</v>
      </c>
      <c r="R1294" t="inlineStr">
        <is>
          <t>T1059:Command and Scripting Interpreter | T1203:Exploitation for Client Execution</t>
        </is>
      </c>
      <c r="S1294" t="n">
        <v>1</v>
      </c>
      <c r="T1294" t="inlineStr">
        <is>
          <t>LOW (40%)</t>
        </is>
      </c>
      <c r="U1294" t="inlineStr">
        <is>
          <t>UNLIKELY</t>
        </is>
      </c>
      <c r="V1294" t="inlineStr">
        <is>
          <t>CHECK_VENDOR</t>
        </is>
      </c>
      <c r="W1294" t="inlineStr">
        <is>
          <t>https://nvd.nist.gov/vuln/detail/CVE-2026-25747</t>
        </is>
      </c>
      <c r="X1294" t="inlineStr">
        <is>
          <t>NONE</t>
        </is>
      </c>
      <c r="Y1294" t="n">
        <v>0</v>
      </c>
      <c r="Z1294" t="inlineStr"/>
      <c r="AA1294" t="inlineStr">
        <is>
          <t>https://nvd.nist.gov/vuln/detail/CVE-2026-25747</t>
        </is>
      </c>
    </row>
    <row r="1295">
      <c r="A1295" t="inlineStr">
        <is>
          <t>CVE</t>
        </is>
      </c>
      <c r="B1295" t="inlineStr">
        <is>
          <t>CVE-2026-26365</t>
        </is>
      </c>
      <c r="C1295" t="inlineStr">
        <is>
          <t>Akamai Ghost on Akamai CDN edge servers before 2026-02-06 mishandles processing of custom hop-by-hop HTTP headers, where an incoming request containing the header "Connection: Transfer-Encoding" could result in a forward request with invalid message framing, depending on the Akamai processing path. This could result in the origin server parsing the request body incorrectly, leading to HTTP request smuggling.</t>
        </is>
      </c>
      <c r="D1295" t="n">
        <v>4</v>
      </c>
      <c r="E1295" t="inlineStr">
        <is>
          <t>MEDIUM</t>
        </is>
      </c>
      <c r="F1295" t="n">
        <v>2</v>
      </c>
      <c r="G1295" t="n">
        <v>2</v>
      </c>
      <c r="H1295" t="inlineStr">
        <is>
          <t>MEDIUM</t>
        </is>
      </c>
      <c r="I1295" t="n">
        <v>8</v>
      </c>
      <c r="J1295" t="inlineStr">
        <is>
          <t>NO</t>
        </is>
      </c>
      <c r="K1295" t="inlineStr">
        <is>
          <t>2026-02-23 23:48</t>
        </is>
      </c>
      <c r="L1295" t="inlineStr">
        <is>
          <t>CHECK_VENDOR</t>
        </is>
      </c>
      <c r="M1295" t="inlineStr">
        <is>
          <t>See CVE details</t>
        </is>
      </c>
      <c r="N1295" t="inlineStr">
        <is>
          <t>P4</t>
        </is>
      </c>
      <c r="O1295" t="inlineStr">
        <is>
          <t>CVE - IP enrichment n/a</t>
        </is>
      </c>
      <c r="P1295" t="n">
        <v>0.0003</v>
      </c>
      <c r="Q1295" t="n">
        <v>0.0814</v>
      </c>
      <c r="R1295" t="inlineStr">
        <is>
          <t>T1190:Exploit Public-Facing Application</t>
        </is>
      </c>
      <c r="S1295" t="n">
        <v>1</v>
      </c>
      <c r="T1295" t="inlineStr">
        <is>
          <t>LOW (40%)</t>
        </is>
      </c>
      <c r="U1295" t="inlineStr">
        <is>
          <t>UNLIKELY</t>
        </is>
      </c>
      <c r="V1295" t="inlineStr">
        <is>
          <t>CHECK_VENDOR</t>
        </is>
      </c>
      <c r="W1295" t="inlineStr">
        <is>
          <t>https://nvd.nist.gov/vuln/detail/CVE-2026-26365</t>
        </is>
      </c>
      <c r="X1295" t="inlineStr">
        <is>
          <t>NONE</t>
        </is>
      </c>
      <c r="Y1295" t="n">
        <v>0</v>
      </c>
      <c r="Z1295" t="inlineStr"/>
      <c r="AA1295" t="inlineStr">
        <is>
          <t>https://nvd.nist.gov/vuln/detail/CVE-2026-26365</t>
        </is>
      </c>
    </row>
    <row r="1296">
      <c r="A1296" t="inlineStr">
        <is>
          <t>CVE</t>
        </is>
      </c>
      <c r="B1296" t="inlineStr">
        <is>
          <t>CVE-2026-2979</t>
        </is>
      </c>
      <c r="C1296" t="inlineStr">
        <is>
          <t>A flaw has been found in FastApiAdmin up to 2.2.0. This issue affects the function user_avatar_upload_controller of the file /backend/app/api/v1/module_system/user/controller.py of the component Scheduled Task API. Executing a manipulation can lead to unrestricted upload. The attack can be launched remotely. The exploit has been published and may be used.</t>
        </is>
      </c>
      <c r="D1296" t="n">
        <v>6.3</v>
      </c>
      <c r="E1296" t="inlineStr">
        <is>
          <t>MEDIUM</t>
        </is>
      </c>
      <c r="F1296" t="n">
        <v>2</v>
      </c>
      <c r="G1296" t="n">
        <v>2</v>
      </c>
      <c r="H1296" t="inlineStr">
        <is>
          <t>MEDIUM</t>
        </is>
      </c>
      <c r="I1296" t="n">
        <v>10.3</v>
      </c>
      <c r="J1296" t="inlineStr">
        <is>
          <t>NO</t>
        </is>
      </c>
      <c r="K1296" t="inlineStr">
        <is>
          <t>2026-02-23 23:48</t>
        </is>
      </c>
      <c r="L1296" t="inlineStr">
        <is>
          <t>CHECK_VENDOR</t>
        </is>
      </c>
      <c r="M1296" t="inlineStr">
        <is>
          <t>See CVE details</t>
        </is>
      </c>
      <c r="N1296" t="inlineStr">
        <is>
          <t>P4</t>
        </is>
      </c>
      <c r="O1296" t="inlineStr">
        <is>
          <t>CVE - IP enrichment n/a</t>
        </is>
      </c>
      <c r="P1296" t="n">
        <v>0</v>
      </c>
      <c r="Q1296" t="n">
        <v>0</v>
      </c>
      <c r="R1296" t="inlineStr">
        <is>
          <t>T1190:Exploit Public-Facing Application</t>
        </is>
      </c>
      <c r="S1296" t="n">
        <v>1</v>
      </c>
      <c r="T1296" t="inlineStr">
        <is>
          <t>LOW (40%)</t>
        </is>
      </c>
      <c r="U1296" t="inlineStr">
        <is>
          <t>UNLIKELY</t>
        </is>
      </c>
      <c r="V1296" t="inlineStr">
        <is>
          <t>CHECK_VENDOR</t>
        </is>
      </c>
      <c r="W1296" t="inlineStr">
        <is>
          <t>https://nvd.nist.gov/vuln/detail/CVE-2026-2979</t>
        </is>
      </c>
      <c r="X1296" t="inlineStr">
        <is>
          <t>NONE</t>
        </is>
      </c>
      <c r="Y1296" t="n">
        <v>0</v>
      </c>
      <c r="Z1296" t="inlineStr"/>
      <c r="AA1296" t="inlineStr">
        <is>
          <t>https://nvd.nist.gov/vuln/detail/CVE-2026-2979</t>
        </is>
      </c>
    </row>
    <row r="1297">
      <c r="A1297" t="inlineStr">
        <is>
          <t>CVE</t>
        </is>
      </c>
      <c r="B1297" t="inlineStr">
        <is>
          <t>CVE-2026-2980</t>
        </is>
      </c>
      <c r="C1297" t="inlineStr">
        <is>
          <t>A vulnerability has been found in UTT HiPER 810G up to 1.7.7-1711. Impacted is the function strcpy of the file /goform/setSysAdm. The manipulation of the argument passwd1 leads to buffer overflow. The attack may be initiated remotely. The exploit has been disclosed to the public and may be used.</t>
        </is>
      </c>
      <c r="D1297" t="n">
        <v>7.2</v>
      </c>
      <c r="E1297" t="inlineStr">
        <is>
          <t>HIGH</t>
        </is>
      </c>
      <c r="F1297" t="n">
        <v>2</v>
      </c>
      <c r="G1297" t="n">
        <v>3</v>
      </c>
      <c r="H1297" t="inlineStr">
        <is>
          <t>HIGH</t>
        </is>
      </c>
      <c r="I1297" t="n">
        <v>13.2</v>
      </c>
      <c r="J1297" t="inlineStr">
        <is>
          <t>NO</t>
        </is>
      </c>
      <c r="K1297" t="inlineStr">
        <is>
          <t>2026-02-23 23:48</t>
        </is>
      </c>
      <c r="L1297" t="inlineStr">
        <is>
          <t>CHECK_VENDOR</t>
        </is>
      </c>
      <c r="M1297" t="inlineStr">
        <is>
          <t>See CVE details</t>
        </is>
      </c>
      <c r="N1297" t="inlineStr">
        <is>
          <t>P3</t>
        </is>
      </c>
      <c r="O1297" t="inlineStr">
        <is>
          <t>CVE - IP enrichment n/a</t>
        </is>
      </c>
      <c r="P1297" t="n">
        <v>0</v>
      </c>
      <c r="Q1297" t="n">
        <v>0</v>
      </c>
      <c r="R1297" t="inlineStr">
        <is>
          <t>T1203:Exploitation for Client Execution</t>
        </is>
      </c>
      <c r="S1297" t="n">
        <v>1</v>
      </c>
      <c r="T1297" t="inlineStr">
        <is>
          <t>LOW (40%)</t>
        </is>
      </c>
      <c r="U1297" t="inlineStr">
        <is>
          <t>UNLIKELY</t>
        </is>
      </c>
      <c r="V1297" t="inlineStr">
        <is>
          <t>CHECK_VENDOR</t>
        </is>
      </c>
      <c r="W1297" t="inlineStr">
        <is>
          <t>https://nvd.nist.gov/vuln/detail/CVE-2026-2980</t>
        </is>
      </c>
      <c r="X1297" t="inlineStr">
        <is>
          <t>NONE</t>
        </is>
      </c>
      <c r="Y1297" t="n">
        <v>0</v>
      </c>
      <c r="Z1297" t="inlineStr"/>
      <c r="AA1297" t="inlineStr">
        <is>
          <t>https://nvd.nist.gov/vuln/detail/CVE-2026-2980</t>
        </is>
      </c>
    </row>
    <row r="1298">
      <c r="A1298" t="inlineStr">
        <is>
          <t>CVE</t>
        </is>
      </c>
      <c r="B1298" t="inlineStr">
        <is>
          <t>CVE-2026-2981</t>
        </is>
      </c>
      <c r="C1298" t="inlineStr">
        <is>
          <t>A vulnerability was found in UTT HiPER 810G up to 1.7.7-1711. The affected element is the function strcpy of the file /goform/formTaskEdit_ap. The manipulation of the argument txtMin2 results in buffer overflow. The attack may be launched remotely. The exploit has been made public and could be used.</t>
        </is>
      </c>
      <c r="D1298" t="n">
        <v>8.800000000000001</v>
      </c>
      <c r="E1298" t="inlineStr">
        <is>
          <t>HIGH</t>
        </is>
      </c>
      <c r="F1298" t="n">
        <v>2</v>
      </c>
      <c r="G1298" t="n">
        <v>3</v>
      </c>
      <c r="H1298" t="inlineStr">
        <is>
          <t>HIGH</t>
        </is>
      </c>
      <c r="I1298" t="n">
        <v>14.8</v>
      </c>
      <c r="J1298" t="inlineStr">
        <is>
          <t>NO</t>
        </is>
      </c>
      <c r="K1298" t="inlineStr">
        <is>
          <t>2026-02-23 23:48</t>
        </is>
      </c>
      <c r="L1298" t="inlineStr">
        <is>
          <t>CHECK_VENDOR</t>
        </is>
      </c>
      <c r="M1298" t="inlineStr">
        <is>
          <t>See CVE details</t>
        </is>
      </c>
      <c r="N1298" t="inlineStr">
        <is>
          <t>P3</t>
        </is>
      </c>
      <c r="O1298" t="inlineStr">
        <is>
          <t>CVE - IP enrichment n/a</t>
        </is>
      </c>
      <c r="P1298" t="n">
        <v>0</v>
      </c>
      <c r="Q1298" t="n">
        <v>0</v>
      </c>
      <c r="R1298" t="inlineStr">
        <is>
          <t>T1203:Exploitation for Client Execution</t>
        </is>
      </c>
      <c r="S1298" t="n">
        <v>1</v>
      </c>
      <c r="T1298" t="inlineStr">
        <is>
          <t>LOW (40%)</t>
        </is>
      </c>
      <c r="U1298" t="inlineStr">
        <is>
          <t>UNLIKELY</t>
        </is>
      </c>
      <c r="V1298" t="inlineStr">
        <is>
          <t>CHECK_VENDOR</t>
        </is>
      </c>
      <c r="W1298" t="inlineStr">
        <is>
          <t>https://nvd.nist.gov/vuln/detail/CVE-2026-2981</t>
        </is>
      </c>
      <c r="X1298" t="inlineStr">
        <is>
          <t>NONE</t>
        </is>
      </c>
      <c r="Y1298" t="n">
        <v>0</v>
      </c>
      <c r="Z1298" t="inlineStr"/>
      <c r="AA1298" t="inlineStr">
        <is>
          <t>https://nvd.nist.gov/vuln/detail/CVE-2026-2981</t>
        </is>
      </c>
    </row>
    <row r="1299">
      <c r="A1299" t="inlineStr">
        <is>
          <t>CVE</t>
        </is>
      </c>
      <c r="B1299" t="inlineStr">
        <is>
          <t>CVE-2025-41002</t>
        </is>
      </c>
      <c r="C1299" t="inlineStr">
        <is>
          <t>SQL injection vulnerability in Infoticketing. This vulnerability allows
 an unauthenticated attacker to retrieve, create, update, and delete the
 database by sending a POST request using the 'code' parameter in '/components/cart/cartApplyDiscount.php'.</t>
        </is>
      </c>
      <c r="D1299" t="n">
        <v>8.5</v>
      </c>
      <c r="E1299" t="inlineStr">
        <is>
          <t>HIGH</t>
        </is>
      </c>
      <c r="F1299" t="n">
        <v>2</v>
      </c>
      <c r="G1299" t="n">
        <v>3</v>
      </c>
      <c r="H1299" t="inlineStr">
        <is>
          <t>HIGH</t>
        </is>
      </c>
      <c r="I1299" t="n">
        <v>14.5</v>
      </c>
      <c r="J1299" t="inlineStr">
        <is>
          <t>NO</t>
        </is>
      </c>
      <c r="K1299" t="inlineStr">
        <is>
          <t>2026-02-23 23:48</t>
        </is>
      </c>
      <c r="L1299" t="inlineStr">
        <is>
          <t>CHECK_VENDOR</t>
        </is>
      </c>
      <c r="M1299" t="inlineStr">
        <is>
          <t>See CVE details</t>
        </is>
      </c>
      <c r="N1299" t="inlineStr">
        <is>
          <t>P3</t>
        </is>
      </c>
      <c r="O1299" t="inlineStr">
        <is>
          <t>CVE - IP enrichment n/a</t>
        </is>
      </c>
      <c r="P1299" t="n">
        <v>0</v>
      </c>
      <c r="Q1299" t="n">
        <v>0</v>
      </c>
      <c r="R1299" t="inlineStr">
        <is>
          <t>T1190:Exploit Public-Facing Application</t>
        </is>
      </c>
      <c r="S1299" t="n">
        <v>1</v>
      </c>
      <c r="T1299" t="inlineStr">
        <is>
          <t>LOW (40%)</t>
        </is>
      </c>
      <c r="U1299" t="inlineStr">
        <is>
          <t>UNLIKELY</t>
        </is>
      </c>
      <c r="V1299" t="inlineStr">
        <is>
          <t>CHECK_VENDOR</t>
        </is>
      </c>
      <c r="W1299" t="inlineStr">
        <is>
          <t>https://nvd.nist.gov/vuln/detail/CVE-2025-41002</t>
        </is>
      </c>
      <c r="X1299" t="inlineStr">
        <is>
          <t>NONE</t>
        </is>
      </c>
      <c r="Y1299" t="n">
        <v>0</v>
      </c>
      <c r="Z1299" t="inlineStr"/>
      <c r="AA1299" t="inlineStr">
        <is>
          <t>https://nvd.nist.gov/vuln/detail/CVE-2025-41002</t>
        </is>
      </c>
    </row>
    <row r="1300">
      <c r="A1300" t="inlineStr">
        <is>
          <t>CVE</t>
        </is>
      </c>
      <c r="B1300" t="inlineStr">
        <is>
          <t>CVE-2026-2983</t>
        </is>
      </c>
      <c r="C1300" t="inlineStr">
        <is>
          <t>A vulnerability was determined in SourceCodester Student Result Management System 1.0. The impacted element is an unknown function of the file /admin/core/import_users.php of the component Bulk Import. This manipulation of the argument File causes improper access controls. Remote exploitation of the attack is possible. The exploit has been publicly disclosed and may be utilized.</t>
        </is>
      </c>
      <c r="D1300" t="n">
        <v>7.3</v>
      </c>
      <c r="E1300" t="inlineStr">
        <is>
          <t>HIGH</t>
        </is>
      </c>
      <c r="F1300" t="n">
        <v>2</v>
      </c>
      <c r="G1300" t="n">
        <v>3</v>
      </c>
      <c r="H1300" t="inlineStr">
        <is>
          <t>HIGH</t>
        </is>
      </c>
      <c r="I1300" t="n">
        <v>13.3</v>
      </c>
      <c r="J1300" t="inlineStr">
        <is>
          <t>NO</t>
        </is>
      </c>
      <c r="K1300" t="inlineStr">
        <is>
          <t>2026-02-23 23:48</t>
        </is>
      </c>
      <c r="L1300" t="inlineStr">
        <is>
          <t>CHECK_VENDOR</t>
        </is>
      </c>
      <c r="M1300" t="inlineStr">
        <is>
          <t>See CVE details</t>
        </is>
      </c>
      <c r="N1300" t="inlineStr">
        <is>
          <t>P3</t>
        </is>
      </c>
      <c r="O1300" t="inlineStr">
        <is>
          <t>CVE - IP enrichment n/a</t>
        </is>
      </c>
      <c r="P1300" t="n">
        <v>0</v>
      </c>
      <c r="Q1300" t="n">
        <v>0</v>
      </c>
      <c r="R1300" t="inlineStr">
        <is>
          <t>T1190:Exploit Public-Facing Application</t>
        </is>
      </c>
      <c r="S1300" t="n">
        <v>1</v>
      </c>
      <c r="T1300" t="inlineStr">
        <is>
          <t>LOW (40%)</t>
        </is>
      </c>
      <c r="U1300" t="inlineStr">
        <is>
          <t>UNLIKELY</t>
        </is>
      </c>
      <c r="V1300" t="inlineStr">
        <is>
          <t>CHECK_VENDOR</t>
        </is>
      </c>
      <c r="W1300" t="inlineStr">
        <is>
          <t>https://nvd.nist.gov/vuln/detail/CVE-2026-2983</t>
        </is>
      </c>
      <c r="X1300" t="inlineStr">
        <is>
          <t>NONE</t>
        </is>
      </c>
      <c r="Y1300" t="n">
        <v>0</v>
      </c>
      <c r="Z1300" t="inlineStr"/>
      <c r="AA1300" t="inlineStr">
        <is>
          <t>https://nvd.nist.gov/vuln/detail/CVE-2026-2983</t>
        </is>
      </c>
    </row>
    <row r="1301">
      <c r="A1301" t="inlineStr">
        <is>
          <t>CVE</t>
        </is>
      </c>
      <c r="B1301" t="inlineStr">
        <is>
          <t>CVE-2025-40701</t>
        </is>
      </c>
      <c r="C1301" t="inlineStr">
        <is>
          <t>Reflected Cross-Site Scripting vulnerability in SOTESHOP, version 8.3.4. THis vulnerability allows an attacker execute JavaScript code in the victim's browser when a malicious URL with the 'id' parameter in '/adsTracker/checkAds' is sent to the victim. The vulnerability can be exploited to steal sensitive user information such as session cookies, or to perform actions on their behalf.</t>
        </is>
      </c>
      <c r="D1301" t="n">
        <v>5</v>
      </c>
      <c r="E1301" t="inlineStr">
        <is>
          <t>MEDIUM</t>
        </is>
      </c>
      <c r="F1301" t="n">
        <v>2</v>
      </c>
      <c r="G1301" t="n">
        <v>2</v>
      </c>
      <c r="H1301" t="inlineStr">
        <is>
          <t>MEDIUM</t>
        </is>
      </c>
      <c r="I1301" t="n">
        <v>9</v>
      </c>
      <c r="J1301" t="inlineStr">
        <is>
          <t>NO</t>
        </is>
      </c>
      <c r="K1301" t="inlineStr">
        <is>
          <t>2026-02-23 23:48</t>
        </is>
      </c>
      <c r="L1301" t="inlineStr">
        <is>
          <t>CHECK_VENDOR</t>
        </is>
      </c>
      <c r="M1301" t="inlineStr">
        <is>
          <t>See CVE details</t>
        </is>
      </c>
      <c r="N1301" t="inlineStr">
        <is>
          <t>P4</t>
        </is>
      </c>
      <c r="O1301" t="inlineStr">
        <is>
          <t>CVE - IP enrichment n/a</t>
        </is>
      </c>
      <c r="P1301" t="n">
        <v>0</v>
      </c>
      <c r="Q1301" t="n">
        <v>0</v>
      </c>
      <c r="R1301" t="inlineStr">
        <is>
          <t>T1189:Drive-by Compromise</t>
        </is>
      </c>
      <c r="S1301" t="n">
        <v>1</v>
      </c>
      <c r="T1301" t="inlineStr">
        <is>
          <t>LOW (40%)</t>
        </is>
      </c>
      <c r="U1301" t="inlineStr">
        <is>
          <t>UNLIKELY</t>
        </is>
      </c>
      <c r="V1301" t="inlineStr">
        <is>
          <t>CHECK_VENDOR</t>
        </is>
      </c>
      <c r="W1301" t="inlineStr">
        <is>
          <t>https://nvd.nist.gov/vuln/detail/CVE-2025-40701</t>
        </is>
      </c>
      <c r="X1301" t="inlineStr">
        <is>
          <t>NONE</t>
        </is>
      </c>
      <c r="Y1301" t="n">
        <v>0</v>
      </c>
      <c r="Z1301" t="inlineStr"/>
      <c r="AA1301" t="inlineStr">
        <is>
          <t>https://nvd.nist.gov/vuln/detail/CVE-2025-40701</t>
        </is>
      </c>
    </row>
    <row r="1302">
      <c r="A1302" t="inlineStr">
        <is>
          <t>CVE</t>
        </is>
      </c>
      <c r="B1302" t="inlineStr">
        <is>
          <t>CVE-2025-40986</t>
        </is>
      </c>
      <c r="C1302" t="inlineStr">
        <is>
          <t>Reflected Cross-Site Scripting (XSS) vulnerability in PideTuCita. This vulnerability allows an attacker to execute JavaScript code in the victim's browser by sending him/her a malicious URL using the endpoint 'cookies/indes.php/ '. This vulnerability can be exploited to steal confidential user data, such as session cookies or to perform actions on behalf of the user.</t>
        </is>
      </c>
      <c r="D1302" t="n">
        <v>5</v>
      </c>
      <c r="E1302" t="inlineStr">
        <is>
          <t>MEDIUM</t>
        </is>
      </c>
      <c r="F1302" t="n">
        <v>2</v>
      </c>
      <c r="G1302" t="n">
        <v>2</v>
      </c>
      <c r="H1302" t="inlineStr">
        <is>
          <t>MEDIUM</t>
        </is>
      </c>
      <c r="I1302" t="n">
        <v>9</v>
      </c>
      <c r="J1302" t="inlineStr">
        <is>
          <t>NO</t>
        </is>
      </c>
      <c r="K1302" t="inlineStr">
        <is>
          <t>2026-02-23 23:48</t>
        </is>
      </c>
      <c r="L1302" t="inlineStr">
        <is>
          <t>CHECK_VENDOR</t>
        </is>
      </c>
      <c r="M1302" t="inlineStr">
        <is>
          <t>See CVE details</t>
        </is>
      </c>
      <c r="N1302" t="inlineStr">
        <is>
          <t>P4</t>
        </is>
      </c>
      <c r="O1302" t="inlineStr">
        <is>
          <t>CVE - IP enrichment n/a</t>
        </is>
      </c>
      <c r="P1302" t="n">
        <v>0</v>
      </c>
      <c r="Q1302" t="n">
        <v>0</v>
      </c>
      <c r="R1302" t="inlineStr">
        <is>
          <t>T1189:Drive-by Compromise</t>
        </is>
      </c>
      <c r="S1302" t="n">
        <v>1</v>
      </c>
      <c r="T1302" t="inlineStr">
        <is>
          <t>LOW (40%)</t>
        </is>
      </c>
      <c r="U1302" t="inlineStr">
        <is>
          <t>UNLIKELY</t>
        </is>
      </c>
      <c r="V1302" t="inlineStr">
        <is>
          <t>CHECK_VENDOR</t>
        </is>
      </c>
      <c r="W1302" t="inlineStr">
        <is>
          <t>https://nvd.nist.gov/vuln/detail/CVE-2025-40986</t>
        </is>
      </c>
      <c r="X1302" t="inlineStr">
        <is>
          <t>NONE</t>
        </is>
      </c>
      <c r="Y1302" t="n">
        <v>0</v>
      </c>
      <c r="Z1302" t="inlineStr"/>
      <c r="AA1302" t="inlineStr">
        <is>
          <t>https://nvd.nist.gov/vuln/detail/CVE-2025-40986</t>
        </is>
      </c>
    </row>
    <row r="1303">
      <c r="A1303" t="inlineStr">
        <is>
          <t>CVE</t>
        </is>
      </c>
      <c r="B1303" t="inlineStr">
        <is>
          <t>CVE-2025-59873</t>
        </is>
      </c>
      <c r="C1303" t="inlineStr">
        <is>
          <t>An information exposure vulnerability exists in
Vulnerability in HCL Software ZIE for Web.
The application transmits sensitive session tokens and authentication identifiers within the URL query parameters . An attacker who gains access to any network log or operates a site linked from the application can hijack user sessions
This issue affects ZIE for Web: v16.</t>
        </is>
      </c>
      <c r="D1303" t="n">
        <v>5.9</v>
      </c>
      <c r="E1303" t="inlineStr">
        <is>
          <t>MEDIUM</t>
        </is>
      </c>
      <c r="F1303" t="n">
        <v>2</v>
      </c>
      <c r="G1303" t="n">
        <v>2</v>
      </c>
      <c r="H1303" t="inlineStr">
        <is>
          <t>MEDIUM</t>
        </is>
      </c>
      <c r="I1303" t="n">
        <v>9.9</v>
      </c>
      <c r="J1303" t="inlineStr">
        <is>
          <t>NO</t>
        </is>
      </c>
      <c r="K1303" t="inlineStr">
        <is>
          <t>2026-02-23 23:48</t>
        </is>
      </c>
      <c r="L1303" t="inlineStr">
        <is>
          <t>CHECK_VENDOR</t>
        </is>
      </c>
      <c r="M1303" t="inlineStr">
        <is>
          <t>See CVE details</t>
        </is>
      </c>
      <c r="N1303" t="inlineStr">
        <is>
          <t>P4</t>
        </is>
      </c>
      <c r="O1303" t="inlineStr">
        <is>
          <t>CVE - IP enrichment n/a</t>
        </is>
      </c>
      <c r="P1303" t="n">
        <v>0</v>
      </c>
      <c r="Q1303" t="n">
        <v>0</v>
      </c>
      <c r="R1303" t="inlineStr">
        <is>
          <t>T1190:Exploit Public-Facing Application</t>
        </is>
      </c>
      <c r="S1303" t="n">
        <v>1</v>
      </c>
      <c r="T1303" t="inlineStr">
        <is>
          <t>LOW (40%)</t>
        </is>
      </c>
      <c r="U1303" t="inlineStr">
        <is>
          <t>UNLIKELY</t>
        </is>
      </c>
      <c r="V1303" t="inlineStr">
        <is>
          <t>CHECK_VENDOR</t>
        </is>
      </c>
      <c r="W1303" t="inlineStr">
        <is>
          <t>https://nvd.nist.gov/vuln/detail/CVE-2025-59873</t>
        </is>
      </c>
      <c r="X1303" t="inlineStr">
        <is>
          <t>NONE</t>
        </is>
      </c>
      <c r="Y1303" t="n">
        <v>0</v>
      </c>
      <c r="Z1303" t="inlineStr"/>
      <c r="AA1303" t="inlineStr">
        <is>
          <t>https://nvd.nist.gov/vuln/detail/CVE-2025-59873</t>
        </is>
      </c>
    </row>
    <row r="1304">
      <c r="A1304" t="inlineStr">
        <is>
          <t>CVE</t>
        </is>
      </c>
      <c r="B1304" t="inlineStr">
        <is>
          <t>CVE-2026-2984</t>
        </is>
      </c>
      <c r="C1304" t="inlineStr">
        <is>
          <t>A vulnerability was identified in SourceCodester Student Result Management System 1.0. This affects an unknown function of the file /admin/core/drop_user.php. Such manipulation of the argument ID leads to denial of service. The attack can be executed remotely. The exploit is publicly available and might be used.</t>
        </is>
      </c>
      <c r="D1304" t="n">
        <v>6.5</v>
      </c>
      <c r="E1304" t="inlineStr">
        <is>
          <t>MEDIUM</t>
        </is>
      </c>
      <c r="F1304" t="n">
        <v>2</v>
      </c>
      <c r="G1304" t="n">
        <v>2</v>
      </c>
      <c r="H1304" t="inlineStr">
        <is>
          <t>MEDIUM</t>
        </is>
      </c>
      <c r="I1304" t="n">
        <v>10.5</v>
      </c>
      <c r="J1304" t="inlineStr">
        <is>
          <t>NO</t>
        </is>
      </c>
      <c r="K1304" t="inlineStr">
        <is>
          <t>2026-02-23 23:48</t>
        </is>
      </c>
      <c r="L1304" t="inlineStr">
        <is>
          <t>CHECK_VENDOR</t>
        </is>
      </c>
      <c r="M1304" t="inlineStr">
        <is>
          <t>See CVE details</t>
        </is>
      </c>
      <c r="N1304" t="inlineStr">
        <is>
          <t>P4</t>
        </is>
      </c>
      <c r="O1304" t="inlineStr">
        <is>
          <t>CVE - IP enrichment n/a</t>
        </is>
      </c>
      <c r="P1304" t="n">
        <v>0</v>
      </c>
      <c r="Q1304" t="n">
        <v>0</v>
      </c>
      <c r="R1304" t="inlineStr">
        <is>
          <t>T1190:Exploit Public-Facing Application | T1499:Endpoint Denial of Service</t>
        </is>
      </c>
      <c r="S1304" t="n">
        <v>1</v>
      </c>
      <c r="T1304" t="inlineStr">
        <is>
          <t>LOW (40%)</t>
        </is>
      </c>
      <c r="U1304" t="inlineStr">
        <is>
          <t>UNLIKELY</t>
        </is>
      </c>
      <c r="V1304" t="inlineStr">
        <is>
          <t>CHECK_VENDOR</t>
        </is>
      </c>
      <c r="W1304" t="inlineStr">
        <is>
          <t>https://nvd.nist.gov/vuln/detail/CVE-2026-2984</t>
        </is>
      </c>
      <c r="X1304" t="inlineStr">
        <is>
          <t>NONE</t>
        </is>
      </c>
      <c r="Y1304" t="n">
        <v>0</v>
      </c>
      <c r="Z1304" t="inlineStr"/>
      <c r="AA1304" t="inlineStr">
        <is>
          <t>https://nvd.nist.gov/vuln/detail/CVE-2026-2984</t>
        </is>
      </c>
    </row>
    <row r="1305">
      <c r="A1305" t="inlineStr">
        <is>
          <t>CVE</t>
        </is>
      </c>
      <c r="B1305" t="inlineStr">
        <is>
          <t>CVE-2026-2985</t>
        </is>
      </c>
      <c r="C1305" t="inlineStr">
        <is>
          <t>A security flaw has been discovered in Tiandy Video Surveillance System 视频监控平台 7.17.0. This impacts the function downloadImage of the file /com/tiandy/easy7/core/bo/CLSBODownLoad.java. Performing a manipulation of the argument urlPath results in server-side request forgery. The attack is possible to be carried out remotely. The exploit has been released to the public and may be used for attacks. The vendor was contacted early about this disclosure but did not respond in any way.</t>
        </is>
      </c>
      <c r="D1305" t="n">
        <v>6.3</v>
      </c>
      <c r="E1305" t="inlineStr">
        <is>
          <t>MEDIUM</t>
        </is>
      </c>
      <c r="F1305" t="n">
        <v>2</v>
      </c>
      <c r="G1305" t="n">
        <v>2</v>
      </c>
      <c r="H1305" t="inlineStr">
        <is>
          <t>MEDIUM</t>
        </is>
      </c>
      <c r="I1305" t="n">
        <v>10.3</v>
      </c>
      <c r="J1305" t="inlineStr">
        <is>
          <t>NO</t>
        </is>
      </c>
      <c r="K1305" t="inlineStr">
        <is>
          <t>2026-02-23 23:48</t>
        </is>
      </c>
      <c r="L1305" t="inlineStr">
        <is>
          <t>CHECK_VENDOR</t>
        </is>
      </c>
      <c r="M1305" t="inlineStr">
        <is>
          <t>See CVE details</t>
        </is>
      </c>
      <c r="N1305" t="inlineStr">
        <is>
          <t>P4</t>
        </is>
      </c>
      <c r="O1305" t="inlineStr">
        <is>
          <t>CVE - IP enrichment n/a</t>
        </is>
      </c>
      <c r="P1305" t="n">
        <v>0</v>
      </c>
      <c r="Q1305" t="n">
        <v>0</v>
      </c>
      <c r="R1305" t="inlineStr">
        <is>
          <t>T1090:Proxy</t>
        </is>
      </c>
      <c r="S1305" t="n">
        <v>1</v>
      </c>
      <c r="T1305" t="inlineStr">
        <is>
          <t>LOW (40%)</t>
        </is>
      </c>
      <c r="U1305" t="inlineStr">
        <is>
          <t>UNLIKELY</t>
        </is>
      </c>
      <c r="V1305" t="inlineStr">
        <is>
          <t>CHECK_VENDOR</t>
        </is>
      </c>
      <c r="W1305" t="inlineStr">
        <is>
          <t>https://nvd.nist.gov/vuln/detail/CVE-2026-2985</t>
        </is>
      </c>
      <c r="X1305" t="inlineStr">
        <is>
          <t>NONE</t>
        </is>
      </c>
      <c r="Y1305" t="n">
        <v>0</v>
      </c>
      <c r="Z1305" t="inlineStr"/>
      <c r="AA1305" t="inlineStr">
        <is>
          <t>https://nvd.nist.gov/vuln/detail/CVE-2026-2985</t>
        </is>
      </c>
    </row>
    <row r="1306">
      <c r="A1306" t="inlineStr">
        <is>
          <t>CVE</t>
        </is>
      </c>
      <c r="B1306" t="inlineStr">
        <is>
          <t>CVE-2025-69700</t>
        </is>
      </c>
      <c r="C1306" t="inlineStr">
        <is>
          <t>Tenda FH1203 V2.0.1.6 contains a stack-based buffer overflow vulnerability in the modify_add_client_prio function, which is reachable via the formSetClientPrio CGI handler.</t>
        </is>
      </c>
      <c r="D1306" t="n">
        <v>7.5</v>
      </c>
      <c r="E1306" t="inlineStr">
        <is>
          <t>HIGH</t>
        </is>
      </c>
      <c r="F1306" t="n">
        <v>2</v>
      </c>
      <c r="G1306" t="n">
        <v>3</v>
      </c>
      <c r="H1306" t="inlineStr">
        <is>
          <t>HIGH</t>
        </is>
      </c>
      <c r="I1306" t="n">
        <v>13.5</v>
      </c>
      <c r="J1306" t="inlineStr">
        <is>
          <t>NO</t>
        </is>
      </c>
      <c r="K1306" t="inlineStr">
        <is>
          <t>2026-02-23 23:48</t>
        </is>
      </c>
      <c r="L1306" t="inlineStr">
        <is>
          <t>CHECK_VENDOR</t>
        </is>
      </c>
      <c r="M1306" t="inlineStr">
        <is>
          <t>See CVE details</t>
        </is>
      </c>
      <c r="N1306" t="inlineStr">
        <is>
          <t>P3</t>
        </is>
      </c>
      <c r="O1306" t="inlineStr">
        <is>
          <t>CVE - IP enrichment n/a</t>
        </is>
      </c>
      <c r="P1306" t="n">
        <v>0</v>
      </c>
      <c r="Q1306" t="n">
        <v>0</v>
      </c>
      <c r="R1306" t="inlineStr">
        <is>
          <t>T1190:Exploit Public-Facing Application | T1203:Exploitation for Client Execution</t>
        </is>
      </c>
      <c r="S1306" t="n">
        <v>1</v>
      </c>
      <c r="T1306" t="inlineStr">
        <is>
          <t>LOW (40%)</t>
        </is>
      </c>
      <c r="U1306" t="inlineStr">
        <is>
          <t>UNLIKELY</t>
        </is>
      </c>
      <c r="V1306" t="inlineStr">
        <is>
          <t>CHECK_VENDOR</t>
        </is>
      </c>
      <c r="W1306" t="inlineStr">
        <is>
          <t>https://nvd.nist.gov/vuln/detail/CVE-2025-69700</t>
        </is>
      </c>
      <c r="X1306" t="inlineStr">
        <is>
          <t>NONE</t>
        </is>
      </c>
      <c r="Y1306" t="n">
        <v>0</v>
      </c>
      <c r="Z1306" t="inlineStr"/>
      <c r="AA1306" t="inlineStr">
        <is>
          <t>https://nvd.nist.gov/vuln/detail/CVE-2025-69700</t>
        </is>
      </c>
    </row>
    <row r="1307">
      <c r="A1307" t="inlineStr">
        <is>
          <t>CVE</t>
        </is>
      </c>
      <c r="B1307" t="inlineStr">
        <is>
          <t>CVE-2026-21420</t>
        </is>
      </c>
      <c r="C1307" t="inlineStr">
        <is>
          <t>Dell Repository Manager (DRM), versions prior to 3.4.8, contains an Uncontrolled Search Path Element vulnerability. A low privileged attacker with local access could potentially exploit this vulnerability, leading to arbitrary code execution and escalation of privileges.</t>
        </is>
      </c>
      <c r="D1307" t="n">
        <v>7.3</v>
      </c>
      <c r="E1307" t="inlineStr">
        <is>
          <t>HIGH</t>
        </is>
      </c>
      <c r="F1307" t="n">
        <v>2</v>
      </c>
      <c r="G1307" t="n">
        <v>3</v>
      </c>
      <c r="H1307" t="inlineStr">
        <is>
          <t>HIGH</t>
        </is>
      </c>
      <c r="I1307" t="n">
        <v>13.3</v>
      </c>
      <c r="J1307" t="inlineStr">
        <is>
          <t>NO</t>
        </is>
      </c>
      <c r="K1307" t="inlineStr">
        <is>
          <t>2026-02-23 23:48</t>
        </is>
      </c>
      <c r="L1307" t="inlineStr">
        <is>
          <t>CHECK_VENDOR</t>
        </is>
      </c>
      <c r="M1307" t="inlineStr">
        <is>
          <t>See CVE details</t>
        </is>
      </c>
      <c r="N1307" t="inlineStr">
        <is>
          <t>P3</t>
        </is>
      </c>
      <c r="O1307" t="inlineStr">
        <is>
          <t>CVE - IP enrichment n/a</t>
        </is>
      </c>
      <c r="P1307" t="n">
        <v>0</v>
      </c>
      <c r="Q1307" t="n">
        <v>0</v>
      </c>
      <c r="R1307" t="inlineStr">
        <is>
          <t>T1203:Exploitation for Client Execution</t>
        </is>
      </c>
      <c r="S1307" t="n">
        <v>1</v>
      </c>
      <c r="T1307" t="inlineStr">
        <is>
          <t>LOW (40%)</t>
        </is>
      </c>
      <c r="U1307" t="inlineStr">
        <is>
          <t>UNLIKELY</t>
        </is>
      </c>
      <c r="V1307" t="inlineStr">
        <is>
          <t>CHECK_VENDOR</t>
        </is>
      </c>
      <c r="W1307" t="inlineStr">
        <is>
          <t>https://nvd.nist.gov/vuln/detail/CVE-2026-21420</t>
        </is>
      </c>
      <c r="X1307" t="inlineStr">
        <is>
          <t>NONE</t>
        </is>
      </c>
      <c r="Y1307" t="n">
        <v>0</v>
      </c>
      <c r="Z1307" t="inlineStr"/>
      <c r="AA1307" t="inlineStr">
        <is>
          <t>https://nvd.nist.gov/vuln/detail/CVE-2026-21420</t>
        </is>
      </c>
    </row>
    <row r="1308">
      <c r="A1308" t="inlineStr">
        <is>
          <t>CVE</t>
        </is>
      </c>
      <c r="B1308" t="inlineStr">
        <is>
          <t>CVE-2025-14905</t>
        </is>
      </c>
      <c r="C1308" t="inlineStr">
        <is>
          <t>A flaw was found in the 389-ds-base server. A heap buffer overflow vulnerability exists in the `schema_attr_enum_callback` function within the `schema.c` file. This occurs because the code incorrectly calculates the buffer size by summing alias string lengths without accounting for additional formatting characters. When a large number of aliases are processed, this oversight can lead to a heap overflow, potentially allowing a remote attacker to cause a Denial of Service (DoS) or achieve Remote C</t>
        </is>
      </c>
      <c r="D1308" t="n">
        <v>7.2</v>
      </c>
      <c r="E1308" t="inlineStr">
        <is>
          <t>HIGH</t>
        </is>
      </c>
      <c r="F1308" t="n">
        <v>2</v>
      </c>
      <c r="G1308" t="n">
        <v>3</v>
      </c>
      <c r="H1308" t="inlineStr">
        <is>
          <t>HIGH</t>
        </is>
      </c>
      <c r="I1308" t="n">
        <v>13.2</v>
      </c>
      <c r="J1308" t="inlineStr">
        <is>
          <t>NO</t>
        </is>
      </c>
      <c r="K1308" t="inlineStr">
        <is>
          <t>2026-02-23 23:48</t>
        </is>
      </c>
      <c r="L1308" t="inlineStr">
        <is>
          <t>CHECK_VENDOR</t>
        </is>
      </c>
      <c r="M1308" t="inlineStr">
        <is>
          <t>See CVE details</t>
        </is>
      </c>
      <c r="N1308" t="inlineStr">
        <is>
          <t>P3</t>
        </is>
      </c>
      <c r="O1308" t="inlineStr">
        <is>
          <t>CVE - IP enrichment n/a</t>
        </is>
      </c>
      <c r="P1308" t="n">
        <v>0</v>
      </c>
      <c r="Q1308" t="n">
        <v>0</v>
      </c>
      <c r="R1308" t="inlineStr">
        <is>
          <t>T1190:Exploit Public-Facing Application | T1210:Exploitation of Remote Services | T1203:Exploitation for Client Execution</t>
        </is>
      </c>
      <c r="S1308" t="n">
        <v>1</v>
      </c>
      <c r="T1308" t="inlineStr">
        <is>
          <t>LOW (40%)</t>
        </is>
      </c>
      <c r="U1308" t="inlineStr">
        <is>
          <t>UNLIKELY</t>
        </is>
      </c>
      <c r="V1308" t="inlineStr">
        <is>
          <t>CHECK_VENDOR</t>
        </is>
      </c>
      <c r="W1308" t="inlineStr">
        <is>
          <t>https://nvd.nist.gov/vuln/detail/CVE-2025-14905</t>
        </is>
      </c>
      <c r="X1308" t="inlineStr">
        <is>
          <t>NONE</t>
        </is>
      </c>
      <c r="Y1308" t="n">
        <v>0</v>
      </c>
      <c r="Z1308" t="inlineStr"/>
      <c r="AA1308" t="inlineStr">
        <is>
          <t>https://nvd.nist.gov/vuln/detail/CVE-2025-14905</t>
        </is>
      </c>
    </row>
    <row r="1309">
      <c r="A1309" t="inlineStr">
        <is>
          <t>CVE</t>
        </is>
      </c>
      <c r="B1309" t="inlineStr">
        <is>
          <t>CVE-2025-70043</t>
        </is>
      </c>
      <c r="C1309" t="inlineStr">
        <is>
          <t>An issue pertaining to CWE-295: Improper Certificate Validation was discovered in Ayms node-To master. The application disables TLS/SSL certificate validation by setting 'rejectUnauthorized': false in TLS socket options</t>
        </is>
      </c>
      <c r="D1309" t="n">
        <v>9.1</v>
      </c>
      <c r="E1309" t="inlineStr">
        <is>
          <t>CRITICAL</t>
        </is>
      </c>
      <c r="F1309" t="n">
        <v>2</v>
      </c>
      <c r="G1309" t="n">
        <v>3</v>
      </c>
      <c r="H1309" t="inlineStr">
        <is>
          <t>HIGH</t>
        </is>
      </c>
      <c r="I1309" t="n">
        <v>15.1</v>
      </c>
      <c r="J1309" t="inlineStr">
        <is>
          <t>NO</t>
        </is>
      </c>
      <c r="K1309" t="inlineStr">
        <is>
          <t>2026-02-23 23:48</t>
        </is>
      </c>
      <c r="L1309" t="inlineStr">
        <is>
          <t>CHECK_VENDOR</t>
        </is>
      </c>
      <c r="M1309" t="inlineStr">
        <is>
          <t>See CVE details</t>
        </is>
      </c>
      <c r="N1309" t="inlineStr">
        <is>
          <t>P3</t>
        </is>
      </c>
      <c r="O1309" t="inlineStr">
        <is>
          <t>CVE - IP enrichment n/a</t>
        </is>
      </c>
      <c r="P1309" t="n">
        <v>0</v>
      </c>
      <c r="Q1309" t="n">
        <v>0</v>
      </c>
      <c r="R1309" t="inlineStr">
        <is>
          <t>T1190:Exploit Public-Facing Application</t>
        </is>
      </c>
      <c r="S1309" t="n">
        <v>1</v>
      </c>
      <c r="T1309" t="inlineStr">
        <is>
          <t>LOW (40%)</t>
        </is>
      </c>
      <c r="U1309" t="inlineStr">
        <is>
          <t>UNLIKELY</t>
        </is>
      </c>
      <c r="V1309" t="inlineStr">
        <is>
          <t>CHECK_VENDOR</t>
        </is>
      </c>
      <c r="W1309" t="inlineStr">
        <is>
          <t>https://nvd.nist.gov/vuln/detail/CVE-2025-70043</t>
        </is>
      </c>
      <c r="X1309" t="inlineStr">
        <is>
          <t>NONE</t>
        </is>
      </c>
      <c r="Y1309" t="n">
        <v>0</v>
      </c>
      <c r="Z1309" t="inlineStr"/>
      <c r="AA1309" t="inlineStr">
        <is>
          <t>https://nvd.nist.gov/vuln/detail/CVE-2025-70043</t>
        </is>
      </c>
    </row>
    <row r="1310">
      <c r="A1310" t="inlineStr">
        <is>
          <t>CVE</t>
        </is>
      </c>
      <c r="B1310" t="inlineStr">
        <is>
          <t>CVE-2025-70044</t>
        </is>
      </c>
      <c r="C1310" t="inlineStr">
        <is>
          <t>An issue pertaining to CWE-295: Improper Certificate Validation was discovered in fofolee uTools-quickcommand 5.0.3.</t>
        </is>
      </c>
      <c r="D1310" t="n">
        <v>6.5</v>
      </c>
      <c r="E1310" t="inlineStr">
        <is>
          <t>MEDIUM</t>
        </is>
      </c>
      <c r="F1310" t="n">
        <v>2</v>
      </c>
      <c r="G1310" t="n">
        <v>2</v>
      </c>
      <c r="H1310" t="inlineStr">
        <is>
          <t>MEDIUM</t>
        </is>
      </c>
      <c r="I1310" t="n">
        <v>10.5</v>
      </c>
      <c r="J1310" t="inlineStr">
        <is>
          <t>NO</t>
        </is>
      </c>
      <c r="K1310" t="inlineStr">
        <is>
          <t>2026-02-23 23:48</t>
        </is>
      </c>
      <c r="L1310" t="inlineStr">
        <is>
          <t>CHECK_VENDOR</t>
        </is>
      </c>
      <c r="M1310" t="inlineStr">
        <is>
          <t>See CVE details</t>
        </is>
      </c>
      <c r="N1310" t="inlineStr">
        <is>
          <t>P4</t>
        </is>
      </c>
      <c r="O1310" t="inlineStr">
        <is>
          <t>CVE - IP enrichment n/a</t>
        </is>
      </c>
      <c r="P1310" t="n">
        <v>0</v>
      </c>
      <c r="Q1310" t="n">
        <v>0</v>
      </c>
      <c r="R1310" t="inlineStr">
        <is>
          <t>T1190:Exploit Public-Facing Application</t>
        </is>
      </c>
      <c r="S1310" t="n">
        <v>1</v>
      </c>
      <c r="T1310" t="inlineStr">
        <is>
          <t>LOW (40%)</t>
        </is>
      </c>
      <c r="U1310" t="inlineStr">
        <is>
          <t>UNLIKELY</t>
        </is>
      </c>
      <c r="V1310" t="inlineStr">
        <is>
          <t>CHECK_VENDOR</t>
        </is>
      </c>
      <c r="W1310" t="inlineStr">
        <is>
          <t>https://nvd.nist.gov/vuln/detail/CVE-2025-70044</t>
        </is>
      </c>
      <c r="X1310" t="inlineStr">
        <is>
          <t>NONE</t>
        </is>
      </c>
      <c r="Y1310" t="n">
        <v>0</v>
      </c>
      <c r="Z1310" t="inlineStr"/>
      <c r="AA1310" t="inlineStr">
        <is>
          <t>https://nvd.nist.gov/vuln/detail/CVE-2025-70044</t>
        </is>
      </c>
    </row>
    <row r="1311">
      <c r="A1311" t="inlineStr">
        <is>
          <t>CVE</t>
        </is>
      </c>
      <c r="B1311" t="inlineStr">
        <is>
          <t>CVE-2025-70045</t>
        </is>
      </c>
      <c r="C1311" t="inlineStr">
        <is>
          <t>An issue pertaining to CWE-295: Improper Certificate Validation was discovered in jxcore jxm master. The application disables TLS/SSL certificate validation by setting 'rejectUnauthorized': false in HTTPS request options when 'jx_obj.IsSecure' is true</t>
        </is>
      </c>
      <c r="D1311" t="n">
        <v>7.4</v>
      </c>
      <c r="E1311" t="inlineStr">
        <is>
          <t>HIGH</t>
        </is>
      </c>
      <c r="F1311" t="n">
        <v>2</v>
      </c>
      <c r="G1311" t="n">
        <v>3</v>
      </c>
      <c r="H1311" t="inlineStr">
        <is>
          <t>HIGH</t>
        </is>
      </c>
      <c r="I1311" t="n">
        <v>13.4</v>
      </c>
      <c r="J1311" t="inlineStr">
        <is>
          <t>NO</t>
        </is>
      </c>
      <c r="K1311" t="inlineStr">
        <is>
          <t>2026-02-23 23:48</t>
        </is>
      </c>
      <c r="L1311" t="inlineStr">
        <is>
          <t>CHECK_VENDOR</t>
        </is>
      </c>
      <c r="M1311" t="inlineStr">
        <is>
          <t>See CVE details</t>
        </is>
      </c>
      <c r="N1311" t="inlineStr">
        <is>
          <t>P3</t>
        </is>
      </c>
      <c r="O1311" t="inlineStr">
        <is>
          <t>CVE - IP enrichment n/a</t>
        </is>
      </c>
      <c r="P1311" t="n">
        <v>0</v>
      </c>
      <c r="Q1311" t="n">
        <v>0</v>
      </c>
      <c r="R1311" t="inlineStr">
        <is>
          <t>T1190:Exploit Public-Facing Application</t>
        </is>
      </c>
      <c r="S1311" t="n">
        <v>1</v>
      </c>
      <c r="T1311" t="inlineStr">
        <is>
          <t>LOW (40%)</t>
        </is>
      </c>
      <c r="U1311" t="inlineStr">
        <is>
          <t>UNLIKELY</t>
        </is>
      </c>
      <c r="V1311" t="inlineStr">
        <is>
          <t>CHECK_VENDOR</t>
        </is>
      </c>
      <c r="W1311" t="inlineStr">
        <is>
          <t>https://nvd.nist.gov/vuln/detail/CVE-2025-70045</t>
        </is>
      </c>
      <c r="X1311" t="inlineStr">
        <is>
          <t>NONE</t>
        </is>
      </c>
      <c r="Y1311" t="n">
        <v>0</v>
      </c>
      <c r="Z1311" t="inlineStr"/>
      <c r="AA1311" t="inlineStr">
        <is>
          <t>https://nvd.nist.gov/vuln/detail/CVE-2025-70045</t>
        </is>
      </c>
    </row>
    <row r="1312">
      <c r="A1312" t="inlineStr">
        <is>
          <t>CVE</t>
        </is>
      </c>
      <c r="B1312" t="inlineStr">
        <is>
          <t>CVE-2025-70058</t>
        </is>
      </c>
      <c r="C1312" t="inlineStr">
        <is>
          <t>An issue pertaining to CWE-295: Improper Certificate Validation was discovered in YMFE yapi v1.12.0. The application disables TLS/SSL certificate validation by setting 'rejectUnauthorized': false in the HTTPS agent configuration for Axios requests</t>
        </is>
      </c>
      <c r="D1312" t="n">
        <v>5</v>
      </c>
      <c r="E1312" t="inlineStr">
        <is>
          <t>MEDIUM</t>
        </is>
      </c>
      <c r="F1312" t="n">
        <v>2</v>
      </c>
      <c r="G1312" t="n">
        <v>2</v>
      </c>
      <c r="H1312" t="inlineStr">
        <is>
          <t>MEDIUM</t>
        </is>
      </c>
      <c r="I1312" t="n">
        <v>9</v>
      </c>
      <c r="J1312" t="inlineStr">
        <is>
          <t>NO</t>
        </is>
      </c>
      <c r="K1312" t="inlineStr">
        <is>
          <t>2026-02-23 23:48</t>
        </is>
      </c>
      <c r="L1312" t="inlineStr">
        <is>
          <t>CHECK_VENDOR</t>
        </is>
      </c>
      <c r="M1312" t="inlineStr">
        <is>
          <t>See CVE details</t>
        </is>
      </c>
      <c r="N1312" t="inlineStr">
        <is>
          <t>P4</t>
        </is>
      </c>
      <c r="O1312" t="inlineStr">
        <is>
          <t>CVE - IP enrichment n/a</t>
        </is>
      </c>
      <c r="P1312" t="n">
        <v>0</v>
      </c>
      <c r="Q1312" t="n">
        <v>0</v>
      </c>
      <c r="R1312" t="inlineStr">
        <is>
          <t>T1190:Exploit Public-Facing Application</t>
        </is>
      </c>
      <c r="S1312" t="n">
        <v>1</v>
      </c>
      <c r="T1312" t="inlineStr">
        <is>
          <t>LOW (40%)</t>
        </is>
      </c>
      <c r="U1312" t="inlineStr">
        <is>
          <t>UNLIKELY</t>
        </is>
      </c>
      <c r="V1312" t="inlineStr">
        <is>
          <t>CHECK_VENDOR</t>
        </is>
      </c>
      <c r="W1312" t="inlineStr">
        <is>
          <t>https://nvd.nist.gov/vuln/detail/CVE-2025-70058</t>
        </is>
      </c>
      <c r="X1312" t="inlineStr">
        <is>
          <t>NONE</t>
        </is>
      </c>
      <c r="Y1312" t="n">
        <v>0</v>
      </c>
      <c r="Z1312" t="inlineStr"/>
      <c r="AA1312" t="inlineStr">
        <is>
          <t>https://nvd.nist.gov/vuln/detail/CVE-2025-70058</t>
        </is>
      </c>
    </row>
    <row r="1313">
      <c r="A1313" t="inlineStr">
        <is>
          <t>CVE</t>
        </is>
      </c>
      <c r="B1313" t="inlineStr">
        <is>
          <t>CVE-2026-2697</t>
        </is>
      </c>
      <c r="C1313" t="inlineStr">
        <is>
          <t>An Indirect Object Reference (IDOR) in Security Center allows an authenticated remote attacker to escalate privileges via the 'owner' parameter.</t>
        </is>
      </c>
      <c r="D1313" t="n">
        <v>6.3</v>
      </c>
      <c r="E1313" t="inlineStr">
        <is>
          <t>MEDIUM</t>
        </is>
      </c>
      <c r="F1313" t="n">
        <v>2</v>
      </c>
      <c r="G1313" t="n">
        <v>2</v>
      </c>
      <c r="H1313" t="inlineStr">
        <is>
          <t>MEDIUM</t>
        </is>
      </c>
      <c r="I1313" t="n">
        <v>10.3</v>
      </c>
      <c r="J1313" t="inlineStr">
        <is>
          <t>NO</t>
        </is>
      </c>
      <c r="K1313" t="inlineStr">
        <is>
          <t>2026-02-23 23:48</t>
        </is>
      </c>
      <c r="L1313" t="inlineStr">
        <is>
          <t>CHECK_VENDOR</t>
        </is>
      </c>
      <c r="M1313" t="inlineStr">
        <is>
          <t>See CVE details</t>
        </is>
      </c>
      <c r="N1313" t="inlineStr">
        <is>
          <t>P4</t>
        </is>
      </c>
      <c r="O1313" t="inlineStr">
        <is>
          <t>CVE - IP enrichment n/a</t>
        </is>
      </c>
      <c r="P1313" t="n">
        <v>0</v>
      </c>
      <c r="Q1313" t="n">
        <v>0</v>
      </c>
      <c r="R1313" t="inlineStr">
        <is>
          <t>T1190:Exploit Public-Facing Application</t>
        </is>
      </c>
      <c r="S1313" t="n">
        <v>1</v>
      </c>
      <c r="T1313" t="inlineStr">
        <is>
          <t>LOW (40%)</t>
        </is>
      </c>
      <c r="U1313" t="inlineStr">
        <is>
          <t>UNLIKELY</t>
        </is>
      </c>
      <c r="V1313" t="inlineStr">
        <is>
          <t>CHECK_VENDOR</t>
        </is>
      </c>
      <c r="W1313" t="inlineStr">
        <is>
          <t>https://nvd.nist.gov/vuln/detail/CVE-2026-2697</t>
        </is>
      </c>
      <c r="X1313" t="inlineStr">
        <is>
          <t>NONE</t>
        </is>
      </c>
      <c r="Y1313" t="n">
        <v>0</v>
      </c>
      <c r="Z1313" t="inlineStr"/>
      <c r="AA1313" t="inlineStr">
        <is>
          <t>https://nvd.nist.gov/vuln/detail/CVE-2026-2697</t>
        </is>
      </c>
    </row>
    <row r="1314">
      <c r="A1314" t="inlineStr">
        <is>
          <t>CVE</t>
        </is>
      </c>
      <c r="B1314" t="inlineStr">
        <is>
          <t>CVE-2026-3015</t>
        </is>
      </c>
      <c r="C1314" t="inlineStr">
        <is>
          <t>A vulnerability was determined in UTT HiPER 810G up to 1.7.7-171114. Impacted is the function strcpy of the file /goform/formPolicyRouteConf. Executing a manipulation of the argument GroupName can lead to buffer overflow. The attack may be launched remotely. The exploit has been publicly disclosed and may be utilized.</t>
        </is>
      </c>
      <c r="D1314" t="n">
        <v>8.800000000000001</v>
      </c>
      <c r="E1314" t="inlineStr">
        <is>
          <t>HIGH</t>
        </is>
      </c>
      <c r="F1314" t="n">
        <v>2</v>
      </c>
      <c r="G1314" t="n">
        <v>3</v>
      </c>
      <c r="H1314" t="inlineStr">
        <is>
          <t>HIGH</t>
        </is>
      </c>
      <c r="I1314" t="n">
        <v>14.8</v>
      </c>
      <c r="J1314" t="inlineStr">
        <is>
          <t>NO</t>
        </is>
      </c>
      <c r="K1314" t="inlineStr">
        <is>
          <t>2026-02-23 23:48</t>
        </is>
      </c>
      <c r="L1314" t="inlineStr">
        <is>
          <t>CHECK_VENDOR</t>
        </is>
      </c>
      <c r="M1314" t="inlineStr">
        <is>
          <t>See CVE details</t>
        </is>
      </c>
      <c r="N1314" t="inlineStr">
        <is>
          <t>P3</t>
        </is>
      </c>
      <c r="O1314" t="inlineStr">
        <is>
          <t>CVE - IP enrichment n/a</t>
        </is>
      </c>
      <c r="P1314" t="n">
        <v>0</v>
      </c>
      <c r="Q1314" t="n">
        <v>0</v>
      </c>
      <c r="R1314" t="inlineStr">
        <is>
          <t>T1203:Exploitation for Client Execution</t>
        </is>
      </c>
      <c r="S1314" t="n">
        <v>1</v>
      </c>
      <c r="T1314" t="inlineStr">
        <is>
          <t>LOW (40%)</t>
        </is>
      </c>
      <c r="U1314" t="inlineStr">
        <is>
          <t>UNLIKELY</t>
        </is>
      </c>
      <c r="V1314" t="inlineStr">
        <is>
          <t>CHECK_VENDOR</t>
        </is>
      </c>
      <c r="W1314" t="inlineStr">
        <is>
          <t>https://nvd.nist.gov/vuln/detail/CVE-2026-3015</t>
        </is>
      </c>
      <c r="X1314" t="inlineStr">
        <is>
          <t>NONE</t>
        </is>
      </c>
      <c r="Y1314" t="n">
        <v>0</v>
      </c>
      <c r="Z1314" t="inlineStr"/>
      <c r="AA1314" t="inlineStr">
        <is>
          <t>https://nvd.nist.gov/vuln/detail/CVE-2026-3015</t>
        </is>
      </c>
    </row>
    <row r="1315">
      <c r="A1315" t="inlineStr">
        <is>
          <t>CVE</t>
        </is>
      </c>
      <c r="B1315" t="inlineStr">
        <is>
          <t>CVE-2026-3016</t>
        </is>
      </c>
      <c r="C1315" t="inlineStr">
        <is>
          <t>A vulnerability was identified in UTT HiPER 810G up to 1.7.7-171114. The affected element is the function strcpy of the file /goform/formP2PLimitConfig. The manipulation of the argument except leads to buffer overflow. Remote exploitation of the attack is possible. The exploit is publicly available and might be used.</t>
        </is>
      </c>
      <c r="D1315" t="n">
        <v>8.800000000000001</v>
      </c>
      <c r="E1315" t="inlineStr">
        <is>
          <t>HIGH</t>
        </is>
      </c>
      <c r="F1315" t="n">
        <v>2</v>
      </c>
      <c r="G1315" t="n">
        <v>3</v>
      </c>
      <c r="H1315" t="inlineStr">
        <is>
          <t>HIGH</t>
        </is>
      </c>
      <c r="I1315" t="n">
        <v>14.8</v>
      </c>
      <c r="J1315" t="inlineStr">
        <is>
          <t>NO</t>
        </is>
      </c>
      <c r="K1315" t="inlineStr">
        <is>
          <t>2026-02-23 23:48</t>
        </is>
      </c>
      <c r="L1315" t="inlineStr">
        <is>
          <t>CHECK_VENDOR</t>
        </is>
      </c>
      <c r="M1315" t="inlineStr">
        <is>
          <t>See CVE details</t>
        </is>
      </c>
      <c r="N1315" t="inlineStr">
        <is>
          <t>P3</t>
        </is>
      </c>
      <c r="O1315" t="inlineStr">
        <is>
          <t>CVE - IP enrichment n/a</t>
        </is>
      </c>
      <c r="P1315" t="n">
        <v>0</v>
      </c>
      <c r="Q1315" t="n">
        <v>0</v>
      </c>
      <c r="R1315" t="inlineStr">
        <is>
          <t>T1203:Exploitation for Client Execution</t>
        </is>
      </c>
      <c r="S1315" t="n">
        <v>1</v>
      </c>
      <c r="T1315" t="inlineStr">
        <is>
          <t>LOW (40%)</t>
        </is>
      </c>
      <c r="U1315" t="inlineStr">
        <is>
          <t>UNLIKELY</t>
        </is>
      </c>
      <c r="V1315" t="inlineStr">
        <is>
          <t>CHECK_VENDOR</t>
        </is>
      </c>
      <c r="W1315" t="inlineStr">
        <is>
          <t>https://nvd.nist.gov/vuln/detail/CVE-2026-3016</t>
        </is>
      </c>
      <c r="X1315" t="inlineStr">
        <is>
          <t>NONE</t>
        </is>
      </c>
      <c r="Y1315" t="n">
        <v>0</v>
      </c>
      <c r="Z1315" t="inlineStr"/>
      <c r="AA1315" t="inlineStr">
        <is>
          <t>https://nvd.nist.gov/vuln/detail/CVE-2026-3016</t>
        </is>
      </c>
    </row>
    <row r="1316">
      <c r="A1316" t="inlineStr">
        <is>
          <t>CVE</t>
        </is>
      </c>
      <c r="B1316" t="inlineStr">
        <is>
          <t>CVE-2026-22567</t>
        </is>
      </c>
      <c r="C1316" t="inlineStr">
        <is>
          <t>Improper validation of user-supplied input in the ZIA Admin UI could allow an authenticated administrator to initiate backend functions through specific input fields in limited scenarios.</t>
        </is>
      </c>
      <c r="D1316" t="n">
        <v>7.6</v>
      </c>
      <c r="E1316" t="inlineStr">
        <is>
          <t>HIGH</t>
        </is>
      </c>
      <c r="F1316" t="n">
        <v>2</v>
      </c>
      <c r="G1316" t="n">
        <v>3</v>
      </c>
      <c r="H1316" t="inlineStr">
        <is>
          <t>HIGH</t>
        </is>
      </c>
      <c r="I1316" t="n">
        <v>13.6</v>
      </c>
      <c r="J1316" t="inlineStr">
        <is>
          <t>NO</t>
        </is>
      </c>
      <c r="K1316" t="inlineStr">
        <is>
          <t>2026-02-23 23:48</t>
        </is>
      </c>
      <c r="L1316" t="inlineStr">
        <is>
          <t>CHECK_VENDOR</t>
        </is>
      </c>
      <c r="M1316" t="inlineStr">
        <is>
          <t>See CVE details</t>
        </is>
      </c>
      <c r="N1316" t="inlineStr">
        <is>
          <t>P3</t>
        </is>
      </c>
      <c r="O1316" t="inlineStr">
        <is>
          <t>CVE - IP enrichment n/a</t>
        </is>
      </c>
      <c r="P1316" t="n">
        <v>0</v>
      </c>
      <c r="Q1316" t="n">
        <v>0</v>
      </c>
      <c r="R1316" t="inlineStr">
        <is>
          <t>T1190:Exploit Public-Facing Application</t>
        </is>
      </c>
      <c r="S1316" t="n">
        <v>1</v>
      </c>
      <c r="T1316" t="inlineStr">
        <is>
          <t>LOW (40%)</t>
        </is>
      </c>
      <c r="U1316" t="inlineStr">
        <is>
          <t>UNLIKELY</t>
        </is>
      </c>
      <c r="V1316" t="inlineStr">
        <is>
          <t>CHECK_VENDOR</t>
        </is>
      </c>
      <c r="W1316" t="inlineStr">
        <is>
          <t>https://nvd.nist.gov/vuln/detail/CVE-2026-22567</t>
        </is>
      </c>
      <c r="X1316" t="inlineStr">
        <is>
          <t>NONE</t>
        </is>
      </c>
      <c r="Y1316" t="n">
        <v>0</v>
      </c>
      <c r="Z1316" t="inlineStr"/>
      <c r="AA1316" t="inlineStr">
        <is>
          <t>https://nvd.nist.gov/vuln/detail/CVE-2026-22567</t>
        </is>
      </c>
    </row>
    <row r="1317">
      <c r="A1317" t="inlineStr">
        <is>
          <t>CVE</t>
        </is>
      </c>
      <c r="B1317" t="inlineStr">
        <is>
          <t>CVE-2026-22568</t>
        </is>
      </c>
      <c r="C1317" t="inlineStr">
        <is>
          <t>Improper neutralization of special elements in user-supplied input within the ZIA Admin UI could allow an authenticated administrator to access or retrieve unauthorized internal information in rare conditions.</t>
        </is>
      </c>
      <c r="D1317" t="n">
        <v>5.5</v>
      </c>
      <c r="E1317" t="inlineStr">
        <is>
          <t>MEDIUM</t>
        </is>
      </c>
      <c r="F1317" t="n">
        <v>2</v>
      </c>
      <c r="G1317" t="n">
        <v>2</v>
      </c>
      <c r="H1317" t="inlineStr">
        <is>
          <t>MEDIUM</t>
        </is>
      </c>
      <c r="I1317" t="n">
        <v>9.5</v>
      </c>
      <c r="J1317" t="inlineStr">
        <is>
          <t>NO</t>
        </is>
      </c>
      <c r="K1317" t="inlineStr">
        <is>
          <t>2026-02-23 23:48</t>
        </is>
      </c>
      <c r="L1317" t="inlineStr">
        <is>
          <t>CHECK_VENDOR</t>
        </is>
      </c>
      <c r="M1317" t="inlineStr">
        <is>
          <t>See CVE details</t>
        </is>
      </c>
      <c r="N1317" t="inlineStr">
        <is>
          <t>P4</t>
        </is>
      </c>
      <c r="O1317" t="inlineStr">
        <is>
          <t>CVE - IP enrichment n/a</t>
        </is>
      </c>
      <c r="P1317" t="n">
        <v>0</v>
      </c>
      <c r="Q1317" t="n">
        <v>0</v>
      </c>
      <c r="R1317" t="inlineStr">
        <is>
          <t>T1190:Exploit Public-Facing Application</t>
        </is>
      </c>
      <c r="S1317" t="n">
        <v>1</v>
      </c>
      <c r="T1317" t="inlineStr">
        <is>
          <t>LOW (40%)</t>
        </is>
      </c>
      <c r="U1317" t="inlineStr">
        <is>
          <t>UNLIKELY</t>
        </is>
      </c>
      <c r="V1317" t="inlineStr">
        <is>
          <t>CHECK_VENDOR</t>
        </is>
      </c>
      <c r="W1317" t="inlineStr">
        <is>
          <t>https://nvd.nist.gov/vuln/detail/CVE-2026-22568</t>
        </is>
      </c>
      <c r="X1317" t="inlineStr">
        <is>
          <t>NONE</t>
        </is>
      </c>
      <c r="Y1317" t="n">
        <v>0</v>
      </c>
      <c r="Z1317" t="inlineStr"/>
      <c r="AA1317" t="inlineStr">
        <is>
          <t>https://nvd.nist.gov/vuln/detail/CVE-2026-22568</t>
        </is>
      </c>
    </row>
    <row r="1318">
      <c r="A1318" t="inlineStr">
        <is>
          <t>CVE</t>
        </is>
      </c>
      <c r="B1318" t="inlineStr">
        <is>
          <t>CVE-2026-27511</t>
        </is>
      </c>
      <c r="C1318" t="inlineStr">
        <is>
          <t>Shenzhen Tenda F3 Wireless Router firmware V12.01.01.55_multi contains a clickjacking vulnerability in the web-based administrative interface. The interface does not set the X-Frame-Options header, allowing attacker-controlled sites to embed administrative pages in an iframe and trick an authenticated administrator into unintended interactions that may result in unauthorized configuration changes.</t>
        </is>
      </c>
      <c r="D1318" t="n">
        <v>4.3</v>
      </c>
      <c r="E1318" t="inlineStr">
        <is>
          <t>MEDIUM</t>
        </is>
      </c>
      <c r="F1318" t="n">
        <v>2</v>
      </c>
      <c r="G1318" t="n">
        <v>2</v>
      </c>
      <c r="H1318" t="inlineStr">
        <is>
          <t>MEDIUM</t>
        </is>
      </c>
      <c r="I1318" t="n">
        <v>8.300000000000001</v>
      </c>
      <c r="J1318" t="inlineStr">
        <is>
          <t>NO</t>
        </is>
      </c>
      <c r="K1318" t="inlineStr">
        <is>
          <t>2026-02-23 23:48</t>
        </is>
      </c>
      <c r="L1318" t="inlineStr">
        <is>
          <t>CHECK_VENDOR</t>
        </is>
      </c>
      <c r="M1318" t="inlineStr">
        <is>
          <t>tenda f3 - | tenda f3_firmware *</t>
        </is>
      </c>
      <c r="N1318" t="inlineStr">
        <is>
          <t>P4</t>
        </is>
      </c>
      <c r="O1318" t="inlineStr">
        <is>
          <t>CVE - IP enrichment n/a</t>
        </is>
      </c>
      <c r="P1318" t="n">
        <v>0</v>
      </c>
      <c r="Q1318" t="n">
        <v>0</v>
      </c>
      <c r="R1318" t="inlineStr">
        <is>
          <t>T1190:Exploit Public-Facing Application</t>
        </is>
      </c>
      <c r="S1318" t="n">
        <v>1</v>
      </c>
      <c r="T1318" t="inlineStr">
        <is>
          <t>LOW (40%)</t>
        </is>
      </c>
      <c r="U1318" t="inlineStr">
        <is>
          <t>UNLIKELY</t>
        </is>
      </c>
      <c r="V1318" t="inlineStr">
        <is>
          <t>CHECK_VENDOR</t>
        </is>
      </c>
      <c r="W1318" t="inlineStr">
        <is>
          <t>https://nvd.nist.gov/vuln/detail/CVE-2026-27511</t>
        </is>
      </c>
      <c r="X1318" t="inlineStr">
        <is>
          <t>NONE</t>
        </is>
      </c>
      <c r="Y1318" t="n">
        <v>0</v>
      </c>
      <c r="Z1318" t="inlineStr"/>
      <c r="AA1318" t="inlineStr">
        <is>
          <t>https://nvd.nist.gov/vuln/detail/CVE-2026-27511</t>
        </is>
      </c>
    </row>
    <row r="1319">
      <c r="A1319" t="inlineStr">
        <is>
          <t>CVE</t>
        </is>
      </c>
      <c r="B1319" t="inlineStr">
        <is>
          <t>CVE-2026-27512</t>
        </is>
      </c>
      <c r="C1319" t="inlineStr">
        <is>
          <t>Shenzhen Tenda F3 Wireless Router firmware V12.01.01.55_multi contains a content-type confusion vulnerability in the administrative interface. Responses omit the X-Content-Type-Options: nosniff header and include attacker-influenced content that can be reflected into the response body. Under affected browser behaviors, MIME sniffing may cause the response to be interpreted as active HTML, enabling script execution in the context of the administrative interface.</t>
        </is>
      </c>
      <c r="D1319" t="n">
        <v>6.1</v>
      </c>
      <c r="E1319" t="inlineStr">
        <is>
          <t>MEDIUM</t>
        </is>
      </c>
      <c r="F1319" t="n">
        <v>2</v>
      </c>
      <c r="G1319" t="n">
        <v>2</v>
      </c>
      <c r="H1319" t="inlineStr">
        <is>
          <t>MEDIUM</t>
        </is>
      </c>
      <c r="I1319" t="n">
        <v>10.1</v>
      </c>
      <c r="J1319" t="inlineStr">
        <is>
          <t>NO</t>
        </is>
      </c>
      <c r="K1319" t="inlineStr">
        <is>
          <t>2026-02-23 23:48</t>
        </is>
      </c>
      <c r="L1319" t="inlineStr">
        <is>
          <t>CHECK_VENDOR</t>
        </is>
      </c>
      <c r="M1319" t="inlineStr">
        <is>
          <t>tenda f3 - | tenda f3_firmware *</t>
        </is>
      </c>
      <c r="N1319" t="inlineStr">
        <is>
          <t>P4</t>
        </is>
      </c>
      <c r="O1319" t="inlineStr">
        <is>
          <t>CVE - IP enrichment n/a</t>
        </is>
      </c>
      <c r="P1319" t="n">
        <v>0</v>
      </c>
      <c r="Q1319" t="n">
        <v>0</v>
      </c>
      <c r="R1319" t="inlineStr">
        <is>
          <t>T1189:Drive-by Compromise</t>
        </is>
      </c>
      <c r="S1319" t="n">
        <v>1</v>
      </c>
      <c r="T1319" t="inlineStr">
        <is>
          <t>LOW (40%)</t>
        </is>
      </c>
      <c r="U1319" t="inlineStr">
        <is>
          <t>UNLIKELY</t>
        </is>
      </c>
      <c r="V1319" t="inlineStr">
        <is>
          <t>CHECK_VENDOR</t>
        </is>
      </c>
      <c r="W1319" t="inlineStr">
        <is>
          <t>https://nvd.nist.gov/vuln/detail/CVE-2026-27512</t>
        </is>
      </c>
      <c r="X1319" t="inlineStr">
        <is>
          <t>NONE</t>
        </is>
      </c>
      <c r="Y1319" t="n">
        <v>0</v>
      </c>
      <c r="Z1319" t="inlineStr"/>
      <c r="AA1319" t="inlineStr">
        <is>
          <t>https://nvd.nist.gov/vuln/detail/CVE-2026-27512</t>
        </is>
      </c>
    </row>
    <row r="1320">
      <c r="A1320" t="inlineStr">
        <is>
          <t>CVE</t>
        </is>
      </c>
      <c r="B1320" t="inlineStr">
        <is>
          <t>CVE-2026-27513</t>
        </is>
      </c>
      <c r="C1320" t="inlineStr">
        <is>
          <t>Shenzhen Tenda F3 Wireless Router firmware V12.01.01.55_multi contains a cross-site request forgery (CSRF) vulnerability in the web-based administrative interface. The interface does not implement anti-CSRF protections, allowing an attacker to induce an authenticated administrator to submit state-changing requests, which can result in unauthorized configuration changes.</t>
        </is>
      </c>
      <c r="D1320" t="n">
        <v>4.3</v>
      </c>
      <c r="E1320" t="inlineStr">
        <is>
          <t>MEDIUM</t>
        </is>
      </c>
      <c r="F1320" t="n">
        <v>2</v>
      </c>
      <c r="G1320" t="n">
        <v>2</v>
      </c>
      <c r="H1320" t="inlineStr">
        <is>
          <t>MEDIUM</t>
        </is>
      </c>
      <c r="I1320" t="n">
        <v>8.300000000000001</v>
      </c>
      <c r="J1320" t="inlineStr">
        <is>
          <t>NO</t>
        </is>
      </c>
      <c r="K1320" t="inlineStr">
        <is>
          <t>2026-02-23 23:48</t>
        </is>
      </c>
      <c r="L1320" t="inlineStr">
        <is>
          <t>CHECK_VENDOR</t>
        </is>
      </c>
      <c r="M1320" t="inlineStr">
        <is>
          <t>tenda f3 - | tenda f3_firmware *</t>
        </is>
      </c>
      <c r="N1320" t="inlineStr">
        <is>
          <t>P4</t>
        </is>
      </c>
      <c r="O1320" t="inlineStr">
        <is>
          <t>CVE - IP enrichment n/a</t>
        </is>
      </c>
      <c r="P1320" t="n">
        <v>0</v>
      </c>
      <c r="Q1320" t="n">
        <v>0</v>
      </c>
      <c r="R1320" t="inlineStr">
        <is>
          <t>T1185:Browser Session Hijacking</t>
        </is>
      </c>
      <c r="S1320" t="n">
        <v>1</v>
      </c>
      <c r="T1320" t="inlineStr">
        <is>
          <t>LOW (40%)</t>
        </is>
      </c>
      <c r="U1320" t="inlineStr">
        <is>
          <t>UNLIKELY</t>
        </is>
      </c>
      <c r="V1320" t="inlineStr">
        <is>
          <t>CHECK_VENDOR</t>
        </is>
      </c>
      <c r="W1320" t="inlineStr">
        <is>
          <t>https://nvd.nist.gov/vuln/detail/CVE-2026-27513</t>
        </is>
      </c>
      <c r="X1320" t="inlineStr">
        <is>
          <t>NONE</t>
        </is>
      </c>
      <c r="Y1320" t="n">
        <v>0</v>
      </c>
      <c r="Z1320" t="inlineStr"/>
      <c r="AA1320" t="inlineStr">
        <is>
          <t>https://nvd.nist.gov/vuln/detail/CVE-2026-27513</t>
        </is>
      </c>
    </row>
    <row r="1321">
      <c r="A1321" t="inlineStr">
        <is>
          <t>CVE</t>
        </is>
      </c>
      <c r="B1321" t="inlineStr">
        <is>
          <t>CVE-2026-27514</t>
        </is>
      </c>
      <c r="C1321" t="inlineStr">
        <is>
          <t>Shenzhen Tenda F3 Wireless Router firmware V12.01.01.55_multi contains a sensitive information exposure vulnerability in the configuration download functionality. The configuration download response includes the router password and administrative password in plaintext. The endpoint also omits appropriate Cache-Control directives, which can allow the response to be stored in client-side caches and recovered by other local users or processes with access to cached browser data.</t>
        </is>
      </c>
      <c r="D1321" t="n">
        <v>6.5</v>
      </c>
      <c r="E1321" t="inlineStr">
        <is>
          <t>MEDIUM</t>
        </is>
      </c>
      <c r="F1321" t="n">
        <v>2</v>
      </c>
      <c r="G1321" t="n">
        <v>2</v>
      </c>
      <c r="H1321" t="inlineStr">
        <is>
          <t>MEDIUM</t>
        </is>
      </c>
      <c r="I1321" t="n">
        <v>10.5</v>
      </c>
      <c r="J1321" t="inlineStr">
        <is>
          <t>NO</t>
        </is>
      </c>
      <c r="K1321" t="inlineStr">
        <is>
          <t>2026-02-23 23:48</t>
        </is>
      </c>
      <c r="L1321" t="inlineStr">
        <is>
          <t>CHECK_VENDOR</t>
        </is>
      </c>
      <c r="M1321" t="inlineStr">
        <is>
          <t>tenda f3 - | tenda f3_firmware *</t>
        </is>
      </c>
      <c r="N1321" t="inlineStr">
        <is>
          <t>P4</t>
        </is>
      </c>
      <c r="O1321" t="inlineStr">
        <is>
          <t>CVE - IP enrichment n/a</t>
        </is>
      </c>
      <c r="P1321" t="n">
        <v>0</v>
      </c>
      <c r="Q1321" t="n">
        <v>0</v>
      </c>
      <c r="R1321" t="inlineStr">
        <is>
          <t>T1190:Exploit Public-Facing Application</t>
        </is>
      </c>
      <c r="S1321" t="n">
        <v>1</v>
      </c>
      <c r="T1321" t="inlineStr">
        <is>
          <t>LOW (40%)</t>
        </is>
      </c>
      <c r="U1321" t="inlineStr">
        <is>
          <t>UNLIKELY</t>
        </is>
      </c>
      <c r="V1321" t="inlineStr">
        <is>
          <t>CHECK_VENDOR</t>
        </is>
      </c>
      <c r="W1321" t="inlineStr">
        <is>
          <t>https://nvd.nist.gov/vuln/detail/CVE-2026-27514</t>
        </is>
      </c>
      <c r="X1321" t="inlineStr">
        <is>
          <t>NONE</t>
        </is>
      </c>
      <c r="Y1321" t="n">
        <v>0</v>
      </c>
      <c r="Z1321" t="inlineStr"/>
      <c r="AA1321" t="inlineStr">
        <is>
          <t>https://nvd.nist.gov/vuln/detail/CVE-2026-27514</t>
        </is>
      </c>
    </row>
    <row r="1322">
      <c r="A1322" t="inlineStr">
        <is>
          <t>CVE</t>
        </is>
      </c>
      <c r="B1322" t="inlineStr">
        <is>
          <t>CVE-2026-2698</t>
        </is>
      </c>
      <c r="C1322" t="inlineStr">
        <is>
          <t>An improper access control vulnerability exists where an authenticated user could access areas outside of their authorized scope.</t>
        </is>
      </c>
      <c r="D1322" t="n">
        <v>6.5</v>
      </c>
      <c r="E1322" t="inlineStr">
        <is>
          <t>MEDIUM</t>
        </is>
      </c>
      <c r="F1322" t="n">
        <v>2</v>
      </c>
      <c r="G1322" t="n">
        <v>2</v>
      </c>
      <c r="H1322" t="inlineStr">
        <is>
          <t>MEDIUM</t>
        </is>
      </c>
      <c r="I1322" t="n">
        <v>10.5</v>
      </c>
      <c r="J1322" t="inlineStr">
        <is>
          <t>NO</t>
        </is>
      </c>
      <c r="K1322" t="inlineStr">
        <is>
          <t>2026-02-23 23:48</t>
        </is>
      </c>
      <c r="L1322" t="inlineStr">
        <is>
          <t>CHECK_VENDOR</t>
        </is>
      </c>
      <c r="M1322" t="inlineStr">
        <is>
          <t>See CVE details</t>
        </is>
      </c>
      <c r="N1322" t="inlineStr">
        <is>
          <t>P4</t>
        </is>
      </c>
      <c r="O1322" t="inlineStr">
        <is>
          <t>CVE - IP enrichment n/a</t>
        </is>
      </c>
      <c r="P1322" t="n">
        <v>0</v>
      </c>
      <c r="Q1322" t="n">
        <v>0</v>
      </c>
      <c r="R1322" t="inlineStr">
        <is>
          <t>T1190:Exploit Public-Facing Application</t>
        </is>
      </c>
      <c r="S1322" t="n">
        <v>1</v>
      </c>
      <c r="T1322" t="inlineStr">
        <is>
          <t>LOW (40%)</t>
        </is>
      </c>
      <c r="U1322" t="inlineStr">
        <is>
          <t>UNLIKELY</t>
        </is>
      </c>
      <c r="V1322" t="inlineStr">
        <is>
          <t>CHECK_VENDOR</t>
        </is>
      </c>
      <c r="W1322" t="inlineStr">
        <is>
          <t>https://nvd.nist.gov/vuln/detail/CVE-2026-2698</t>
        </is>
      </c>
      <c r="X1322" t="inlineStr">
        <is>
          <t>NONE</t>
        </is>
      </c>
      <c r="Y1322" t="n">
        <v>0</v>
      </c>
      <c r="Z1322" t="inlineStr"/>
      <c r="AA1322" t="inlineStr">
        <is>
          <t>https://nvd.nist.gov/vuln/detail/CVE-2026-2698</t>
        </is>
      </c>
    </row>
    <row r="1323">
      <c r="A1323" t="inlineStr">
        <is>
          <t>CVE</t>
        </is>
      </c>
      <c r="B1323" t="inlineStr">
        <is>
          <t>CVE-2026-26464</t>
        </is>
      </c>
      <c r="C1323" t="inlineStr">
        <is>
          <t>Stored Cross-Site Scripting (XSS) was found in the /admin/edit_user.php page of Society Management System Portal V1.0, which allows remote attackers to inject and store arbitrary JavaScript code that is executed in users' browsers. This vulnerability can be exploited via the name parameter in a POST HTTP request, leading to execution of malicious scripts when the affected content is viewed by other users, including administrators.</t>
        </is>
      </c>
      <c r="D1323" t="n">
        <v>6.1</v>
      </c>
      <c r="E1323" t="inlineStr">
        <is>
          <t>MEDIUM</t>
        </is>
      </c>
      <c r="F1323" t="n">
        <v>2</v>
      </c>
      <c r="G1323" t="n">
        <v>2</v>
      </c>
      <c r="H1323" t="inlineStr">
        <is>
          <t>MEDIUM</t>
        </is>
      </c>
      <c r="I1323" t="n">
        <v>10.1</v>
      </c>
      <c r="J1323" t="inlineStr">
        <is>
          <t>NO</t>
        </is>
      </c>
      <c r="K1323" t="inlineStr">
        <is>
          <t>2026-02-23 23:48</t>
        </is>
      </c>
      <c r="L1323" t="inlineStr">
        <is>
          <t>CHECK_VENDOR</t>
        </is>
      </c>
      <c r="M1323" t="inlineStr">
        <is>
          <t>See CVE details</t>
        </is>
      </c>
      <c r="N1323" t="inlineStr">
        <is>
          <t>P4</t>
        </is>
      </c>
      <c r="O1323" t="inlineStr">
        <is>
          <t>CVE - IP enrichment n/a</t>
        </is>
      </c>
      <c r="P1323" t="n">
        <v>0</v>
      </c>
      <c r="Q1323" t="n">
        <v>0</v>
      </c>
      <c r="R1323" t="inlineStr">
        <is>
          <t>T1189:Drive-by Compromise</t>
        </is>
      </c>
      <c r="S1323" t="n">
        <v>1</v>
      </c>
      <c r="T1323" t="inlineStr">
        <is>
          <t>LOW (40%)</t>
        </is>
      </c>
      <c r="U1323" t="inlineStr">
        <is>
          <t>UNLIKELY</t>
        </is>
      </c>
      <c r="V1323" t="inlineStr">
        <is>
          <t>CHECK_VENDOR</t>
        </is>
      </c>
      <c r="W1323" t="inlineStr">
        <is>
          <t>https://nvd.nist.gov/vuln/detail/CVE-2026-26464</t>
        </is>
      </c>
      <c r="X1323" t="inlineStr">
        <is>
          <t>NONE</t>
        </is>
      </c>
      <c r="Y1323" t="n">
        <v>0</v>
      </c>
      <c r="Z1323" t="inlineStr"/>
      <c r="AA1323" t="inlineStr">
        <is>
          <t>https://nvd.nist.gov/vuln/detail/CVE-2026-26464</t>
        </is>
      </c>
    </row>
    <row r="1324">
      <c r="A1324" t="inlineStr">
        <is>
          <t>CVE</t>
        </is>
      </c>
      <c r="B1324" t="inlineStr">
        <is>
          <t>CVE-2025-61143</t>
        </is>
      </c>
      <c r="C1324" t="inlineStr">
        <is>
          <t>libtiff up to v4.7.1 was discovered to contain a NULL pointer dereference via the component libtiff/tif_open.c.</t>
        </is>
      </c>
      <c r="D1324" t="n">
        <v>5</v>
      </c>
      <c r="E1324" t="inlineStr">
        <is>
          <t>MEDIUM</t>
        </is>
      </c>
      <c r="F1324" t="n">
        <v>2</v>
      </c>
      <c r="G1324" t="n">
        <v>2</v>
      </c>
      <c r="H1324" t="inlineStr">
        <is>
          <t>MEDIUM</t>
        </is>
      </c>
      <c r="I1324" t="n">
        <v>9</v>
      </c>
      <c r="J1324" t="inlineStr">
        <is>
          <t>NO</t>
        </is>
      </c>
      <c r="K1324" t="inlineStr">
        <is>
          <t>2026-02-23 23:48</t>
        </is>
      </c>
      <c r="L1324" t="inlineStr">
        <is>
          <t>CHECK_VENDOR</t>
        </is>
      </c>
      <c r="M1324" t="inlineStr">
        <is>
          <t>See CVE details</t>
        </is>
      </c>
      <c r="N1324" t="inlineStr">
        <is>
          <t>P4</t>
        </is>
      </c>
      <c r="O1324" t="inlineStr">
        <is>
          <t>CVE - IP enrichment n/a</t>
        </is>
      </c>
      <c r="P1324" t="n">
        <v>0</v>
      </c>
      <c r="Q1324" t="n">
        <v>0</v>
      </c>
      <c r="R1324" t="inlineStr">
        <is>
          <t>T1190:Exploit Public-Facing Application</t>
        </is>
      </c>
      <c r="S1324" t="n">
        <v>1</v>
      </c>
      <c r="T1324" t="inlineStr">
        <is>
          <t>LOW (40%)</t>
        </is>
      </c>
      <c r="U1324" t="inlineStr">
        <is>
          <t>UNLIKELY</t>
        </is>
      </c>
      <c r="V1324" t="inlineStr">
        <is>
          <t>CHECK_VENDOR</t>
        </is>
      </c>
      <c r="W1324" t="inlineStr">
        <is>
          <t>https://nvd.nist.gov/vuln/detail/CVE-2025-61143</t>
        </is>
      </c>
      <c r="X1324" t="inlineStr">
        <is>
          <t>NONE</t>
        </is>
      </c>
      <c r="Y1324" t="n">
        <v>0</v>
      </c>
      <c r="Z1324" t="inlineStr"/>
      <c r="AA1324" t="inlineStr">
        <is>
          <t>https://nvd.nist.gov/vuln/detail/CVE-2025-61143</t>
        </is>
      </c>
    </row>
    <row r="1325">
      <c r="A1325" t="inlineStr">
        <is>
          <t>CVE</t>
        </is>
      </c>
      <c r="B1325" t="inlineStr">
        <is>
          <t>CVE-2025-61144</t>
        </is>
      </c>
      <c r="C1325" t="inlineStr">
        <is>
          <t>libtiff up to v4.7.1 was discovered to contain a stack overflow via the readSeparateStripsIntoBuffer function.</t>
        </is>
      </c>
      <c r="D1325" t="n">
        <v>5</v>
      </c>
      <c r="E1325" t="inlineStr">
        <is>
          <t>MEDIUM</t>
        </is>
      </c>
      <c r="F1325" t="n">
        <v>2</v>
      </c>
      <c r="G1325" t="n">
        <v>2</v>
      </c>
      <c r="H1325" t="inlineStr">
        <is>
          <t>MEDIUM</t>
        </is>
      </c>
      <c r="I1325" t="n">
        <v>9</v>
      </c>
      <c r="J1325" t="inlineStr">
        <is>
          <t>NO</t>
        </is>
      </c>
      <c r="K1325" t="inlineStr">
        <is>
          <t>2026-02-23 23:48</t>
        </is>
      </c>
      <c r="L1325" t="inlineStr">
        <is>
          <t>CHECK_VENDOR</t>
        </is>
      </c>
      <c r="M1325" t="inlineStr">
        <is>
          <t>See CVE details</t>
        </is>
      </c>
      <c r="N1325" t="inlineStr">
        <is>
          <t>P4</t>
        </is>
      </c>
      <c r="O1325" t="inlineStr">
        <is>
          <t>CVE - IP enrichment n/a</t>
        </is>
      </c>
      <c r="P1325" t="n">
        <v>0</v>
      </c>
      <c r="Q1325" t="n">
        <v>0</v>
      </c>
      <c r="R1325" t="inlineStr">
        <is>
          <t>T1190:Exploit Public-Facing Application</t>
        </is>
      </c>
      <c r="S1325" t="n">
        <v>1</v>
      </c>
      <c r="T1325" t="inlineStr">
        <is>
          <t>LOW (40%)</t>
        </is>
      </c>
      <c r="U1325" t="inlineStr">
        <is>
          <t>UNLIKELY</t>
        </is>
      </c>
      <c r="V1325" t="inlineStr">
        <is>
          <t>CHECK_VENDOR</t>
        </is>
      </c>
      <c r="W1325" t="inlineStr">
        <is>
          <t>https://nvd.nist.gov/vuln/detail/CVE-2025-61144</t>
        </is>
      </c>
      <c r="X1325" t="inlineStr">
        <is>
          <t>NONE</t>
        </is>
      </c>
      <c r="Y1325" t="n">
        <v>0</v>
      </c>
      <c r="Z1325" t="inlineStr"/>
      <c r="AA1325" t="inlineStr">
        <is>
          <t>https://nvd.nist.gov/vuln/detail/CVE-2025-61144</t>
        </is>
      </c>
    </row>
    <row r="1326">
      <c r="A1326" t="inlineStr">
        <is>
          <t>CVE</t>
        </is>
      </c>
      <c r="B1326" t="inlineStr">
        <is>
          <t>CVE-2025-61145</t>
        </is>
      </c>
      <c r="C1326" t="inlineStr">
        <is>
          <t>libtiff up to v4.7.1 was discovered to contain a double free via the component tools/tiffcrop.c.</t>
        </is>
      </c>
      <c r="D1326" t="n">
        <v>5</v>
      </c>
      <c r="E1326" t="inlineStr">
        <is>
          <t>MEDIUM</t>
        </is>
      </c>
      <c r="F1326" t="n">
        <v>2</v>
      </c>
      <c r="G1326" t="n">
        <v>2</v>
      </c>
      <c r="H1326" t="inlineStr">
        <is>
          <t>MEDIUM</t>
        </is>
      </c>
      <c r="I1326" t="n">
        <v>9</v>
      </c>
      <c r="J1326" t="inlineStr">
        <is>
          <t>NO</t>
        </is>
      </c>
      <c r="K1326" t="inlineStr">
        <is>
          <t>2026-02-23 23:48</t>
        </is>
      </c>
      <c r="L1326" t="inlineStr">
        <is>
          <t>CHECK_VENDOR</t>
        </is>
      </c>
      <c r="M1326" t="inlineStr">
        <is>
          <t>See CVE details</t>
        </is>
      </c>
      <c r="N1326" t="inlineStr">
        <is>
          <t>P4</t>
        </is>
      </c>
      <c r="O1326" t="inlineStr">
        <is>
          <t>CVE - IP enrichment n/a</t>
        </is>
      </c>
      <c r="P1326" t="n">
        <v>0</v>
      </c>
      <c r="Q1326" t="n">
        <v>0</v>
      </c>
      <c r="R1326" t="inlineStr">
        <is>
          <t>T1190:Exploit Public-Facing Application</t>
        </is>
      </c>
      <c r="S1326" t="n">
        <v>1</v>
      </c>
      <c r="T1326" t="inlineStr">
        <is>
          <t>LOW (40%)</t>
        </is>
      </c>
      <c r="U1326" t="inlineStr">
        <is>
          <t>UNLIKELY</t>
        </is>
      </c>
      <c r="V1326" t="inlineStr">
        <is>
          <t>CHECK_VENDOR</t>
        </is>
      </c>
      <c r="W1326" t="inlineStr">
        <is>
          <t>https://nvd.nist.gov/vuln/detail/CVE-2025-61145</t>
        </is>
      </c>
      <c r="X1326" t="inlineStr">
        <is>
          <t>NONE</t>
        </is>
      </c>
      <c r="Y1326" t="n">
        <v>0</v>
      </c>
      <c r="Z1326" t="inlineStr"/>
      <c r="AA1326" t="inlineStr">
        <is>
          <t>https://nvd.nist.gov/vuln/detail/CVE-2025-61145</t>
        </is>
      </c>
    </row>
    <row r="1327">
      <c r="A1327" t="inlineStr">
        <is>
          <t>CVE</t>
        </is>
      </c>
      <c r="B1327" t="inlineStr">
        <is>
          <t>CVE-2025-61146</t>
        </is>
      </c>
      <c r="C1327" t="inlineStr">
        <is>
          <t>saitoha libsixel until v1.8.7 was discovered to contain a memory leak via the component malloc_stub.c.</t>
        </is>
      </c>
      <c r="D1327" t="n">
        <v>4</v>
      </c>
      <c r="E1327" t="inlineStr">
        <is>
          <t>MEDIUM</t>
        </is>
      </c>
      <c r="F1327" t="n">
        <v>2</v>
      </c>
      <c r="G1327" t="n">
        <v>2</v>
      </c>
      <c r="H1327" t="inlineStr">
        <is>
          <t>MEDIUM</t>
        </is>
      </c>
      <c r="I1327" t="n">
        <v>8</v>
      </c>
      <c r="J1327" t="inlineStr">
        <is>
          <t>NO</t>
        </is>
      </c>
      <c r="K1327" t="inlineStr">
        <is>
          <t>2026-02-23 23:48</t>
        </is>
      </c>
      <c r="L1327" t="inlineStr">
        <is>
          <t>CHECK_VENDOR</t>
        </is>
      </c>
      <c r="M1327" t="inlineStr">
        <is>
          <t>See CVE details</t>
        </is>
      </c>
      <c r="N1327" t="inlineStr">
        <is>
          <t>P4</t>
        </is>
      </c>
      <c r="O1327" t="inlineStr">
        <is>
          <t>CVE - IP enrichment n/a</t>
        </is>
      </c>
      <c r="P1327" t="n">
        <v>0</v>
      </c>
      <c r="Q1327" t="n">
        <v>0</v>
      </c>
      <c r="R1327" t="inlineStr">
        <is>
          <t>T1190:Exploit Public-Facing Application</t>
        </is>
      </c>
      <c r="S1327" t="n">
        <v>1</v>
      </c>
      <c r="T1327" t="inlineStr">
        <is>
          <t>LOW (40%)</t>
        </is>
      </c>
      <c r="U1327" t="inlineStr">
        <is>
          <t>UNLIKELY</t>
        </is>
      </c>
      <c r="V1327" t="inlineStr">
        <is>
          <t>CHECK_VENDOR</t>
        </is>
      </c>
      <c r="W1327" t="inlineStr">
        <is>
          <t>https://nvd.nist.gov/vuln/detail/CVE-2025-61146</t>
        </is>
      </c>
      <c r="X1327" t="inlineStr">
        <is>
          <t>NONE</t>
        </is>
      </c>
      <c r="Y1327" t="n">
        <v>0</v>
      </c>
      <c r="Z1327" t="inlineStr"/>
      <c r="AA1327" t="inlineStr">
        <is>
          <t>https://nvd.nist.gov/vuln/detail/CVE-2025-61146</t>
        </is>
      </c>
    </row>
    <row r="1328">
      <c r="A1328" t="inlineStr">
        <is>
          <t>CVE</t>
        </is>
      </c>
      <c r="B1328" t="inlineStr">
        <is>
          <t>CVE-2025-61147</t>
        </is>
      </c>
      <c r="C1328" t="inlineStr">
        <is>
          <t>strukturag libde265 commit d9fea9d wa discovered to contain a segmentation fault via the component decoder_context::compute_framedrop_table().</t>
        </is>
      </c>
      <c r="D1328" t="n">
        <v>6.2</v>
      </c>
      <c r="E1328" t="inlineStr">
        <is>
          <t>MEDIUM</t>
        </is>
      </c>
      <c r="F1328" t="n">
        <v>2</v>
      </c>
      <c r="G1328" t="n">
        <v>2</v>
      </c>
      <c r="H1328" t="inlineStr">
        <is>
          <t>MEDIUM</t>
        </is>
      </c>
      <c r="I1328" t="n">
        <v>10.2</v>
      </c>
      <c r="J1328" t="inlineStr">
        <is>
          <t>NO</t>
        </is>
      </c>
      <c r="K1328" t="inlineStr">
        <is>
          <t>2026-02-23 23:48</t>
        </is>
      </c>
      <c r="L1328" t="inlineStr">
        <is>
          <t>CHECK_VENDOR</t>
        </is>
      </c>
      <c r="M1328" t="inlineStr">
        <is>
          <t>See CVE details</t>
        </is>
      </c>
      <c r="N1328" t="inlineStr">
        <is>
          <t>P4</t>
        </is>
      </c>
      <c r="O1328" t="inlineStr">
        <is>
          <t>CVE - IP enrichment n/a</t>
        </is>
      </c>
      <c r="P1328" t="n">
        <v>0</v>
      </c>
      <c r="Q1328" t="n">
        <v>0</v>
      </c>
      <c r="R1328" t="inlineStr">
        <is>
          <t>T1203:Exploitation for Client Execution</t>
        </is>
      </c>
      <c r="S1328" t="n">
        <v>1</v>
      </c>
      <c r="T1328" t="inlineStr">
        <is>
          <t>LOW (40%)</t>
        </is>
      </c>
      <c r="U1328" t="inlineStr">
        <is>
          <t>UNLIKELY</t>
        </is>
      </c>
      <c r="V1328" t="inlineStr">
        <is>
          <t>CHECK_VENDOR</t>
        </is>
      </c>
      <c r="W1328" t="inlineStr">
        <is>
          <t>https://nvd.nist.gov/vuln/detail/CVE-2025-61147</t>
        </is>
      </c>
      <c r="X1328" t="inlineStr">
        <is>
          <t>NONE</t>
        </is>
      </c>
      <c r="Y1328" t="n">
        <v>0</v>
      </c>
      <c r="Z1328" t="inlineStr"/>
      <c r="AA1328" t="inlineStr">
        <is>
          <t>https://nvd.nist.gov/vuln/detail/CVE-2025-61147</t>
        </is>
      </c>
    </row>
    <row r="1329">
      <c r="A1329" t="inlineStr">
        <is>
          <t>CVE</t>
        </is>
      </c>
      <c r="B1329" t="inlineStr">
        <is>
          <t>CVE-2025-63945</t>
        </is>
      </c>
      <c r="C1329" t="inlineStr">
        <is>
          <t>A privilege escalation (PE) vulnerability in the Tencent iOA app thru 210.9.28693.621001 on Windows devices enables a local user to execute programs with elevated privileges. However, execution requires that the local user is able to successfully exploit a race condition.</t>
        </is>
      </c>
      <c r="D1329" t="n">
        <v>7.4</v>
      </c>
      <c r="E1329" t="inlineStr">
        <is>
          <t>HIGH</t>
        </is>
      </c>
      <c r="F1329" t="n">
        <v>2</v>
      </c>
      <c r="G1329" t="n">
        <v>3</v>
      </c>
      <c r="H1329" t="inlineStr">
        <is>
          <t>HIGH</t>
        </is>
      </c>
      <c r="I1329" t="n">
        <v>13.4</v>
      </c>
      <c r="J1329" t="inlineStr">
        <is>
          <t>NO</t>
        </is>
      </c>
      <c r="K1329" t="inlineStr">
        <is>
          <t>2026-02-23 23:48</t>
        </is>
      </c>
      <c r="L1329" t="inlineStr">
        <is>
          <t>CHECK_VENDOR</t>
        </is>
      </c>
      <c r="M1329" t="inlineStr">
        <is>
          <t>See CVE details</t>
        </is>
      </c>
      <c r="N1329" t="inlineStr">
        <is>
          <t>P3</t>
        </is>
      </c>
      <c r="O1329" t="inlineStr">
        <is>
          <t>CVE - IP enrichment n/a</t>
        </is>
      </c>
      <c r="P1329" t="n">
        <v>0</v>
      </c>
      <c r="Q1329" t="n">
        <v>0</v>
      </c>
      <c r="R1329" t="inlineStr">
        <is>
          <t>T1068:Exploitation for Privilege Escalation</t>
        </is>
      </c>
      <c r="S1329" t="n">
        <v>1</v>
      </c>
      <c r="T1329" t="inlineStr">
        <is>
          <t>LOW (40%)</t>
        </is>
      </c>
      <c r="U1329" t="inlineStr">
        <is>
          <t>UNLIKELY</t>
        </is>
      </c>
      <c r="V1329" t="inlineStr">
        <is>
          <t>CHECK_VENDOR</t>
        </is>
      </c>
      <c r="W1329" t="inlineStr">
        <is>
          <t>https://nvd.nist.gov/vuln/detail/CVE-2025-63945</t>
        </is>
      </c>
      <c r="X1329" t="inlineStr">
        <is>
          <t>NONE</t>
        </is>
      </c>
      <c r="Y1329" t="n">
        <v>0</v>
      </c>
      <c r="Z1329" t="inlineStr"/>
      <c r="AA1329" t="inlineStr">
        <is>
          <t>https://nvd.nist.gov/vuln/detail/CVE-2025-63945</t>
        </is>
      </c>
    </row>
    <row r="1330">
      <c r="A1330" t="inlineStr">
        <is>
          <t>CVE</t>
        </is>
      </c>
      <c r="B1330" t="inlineStr">
        <is>
          <t>CVE-2025-63946</t>
        </is>
      </c>
      <c r="C1330" t="inlineStr">
        <is>
          <t>A privilege escalation (PE) vulnerability in the Tencent PC Manager app thru 17.10.28554.205 on Windows devices enables a local user to execute programs with elevated privileges. However, execution requires that the local user is able to successfully exploit a race condition.</t>
        </is>
      </c>
      <c r="D1330" t="n">
        <v>7.4</v>
      </c>
      <c r="E1330" t="inlineStr">
        <is>
          <t>HIGH</t>
        </is>
      </c>
      <c r="F1330" t="n">
        <v>2</v>
      </c>
      <c r="G1330" t="n">
        <v>3</v>
      </c>
      <c r="H1330" t="inlineStr">
        <is>
          <t>HIGH</t>
        </is>
      </c>
      <c r="I1330" t="n">
        <v>13.4</v>
      </c>
      <c r="J1330" t="inlineStr">
        <is>
          <t>NO</t>
        </is>
      </c>
      <c r="K1330" t="inlineStr">
        <is>
          <t>2026-02-23 23:48</t>
        </is>
      </c>
      <c r="L1330" t="inlineStr">
        <is>
          <t>CHECK_VENDOR</t>
        </is>
      </c>
      <c r="M1330" t="inlineStr">
        <is>
          <t>See CVE details</t>
        </is>
      </c>
      <c r="N1330" t="inlineStr">
        <is>
          <t>P3</t>
        </is>
      </c>
      <c r="O1330" t="inlineStr">
        <is>
          <t>CVE - IP enrichment n/a</t>
        </is>
      </c>
      <c r="P1330" t="n">
        <v>0</v>
      </c>
      <c r="Q1330" t="n">
        <v>0</v>
      </c>
      <c r="R1330" t="inlineStr">
        <is>
          <t>T1068:Exploitation for Privilege Escalation</t>
        </is>
      </c>
      <c r="S1330" t="n">
        <v>1</v>
      </c>
      <c r="T1330" t="inlineStr">
        <is>
          <t>LOW (40%)</t>
        </is>
      </c>
      <c r="U1330" t="inlineStr">
        <is>
          <t>UNLIKELY</t>
        </is>
      </c>
      <c r="V1330" t="inlineStr">
        <is>
          <t>CHECK_VENDOR</t>
        </is>
      </c>
      <c r="W1330" t="inlineStr">
        <is>
          <t>https://nvd.nist.gov/vuln/detail/CVE-2025-63946</t>
        </is>
      </c>
      <c r="X1330" t="inlineStr">
        <is>
          <t>NONE</t>
        </is>
      </c>
      <c r="Y1330" t="n">
        <v>0</v>
      </c>
      <c r="Z1330" t="inlineStr"/>
      <c r="AA1330" t="inlineStr">
        <is>
          <t>https://nvd.nist.gov/vuln/detail/CVE-2025-63946</t>
        </is>
      </c>
    </row>
    <row r="1331">
      <c r="A1331" t="inlineStr">
        <is>
          <t>CVE</t>
        </is>
      </c>
      <c r="B1331" t="inlineStr">
        <is>
          <t>CVE-2025-67733</t>
        </is>
      </c>
      <c r="C1331" t="inlineStr">
        <is>
          <t>Valkey is a distributed key-value database. Prior to versions 9.0.2, 8.1.6, 8.0.7, and 7.2.12, a malicious user can use scripting commands to inject arbitrary information into the response stream for the given client, potentially corrupting or returning tampered data to other users on the same connection. The error handling code for lua scripts does not properly handle null characters. Versions 9.0.2, 8.1.6, 8.0.7, and 7.2.12 fix the issue.</t>
        </is>
      </c>
      <c r="D1331" t="n">
        <v>8.5</v>
      </c>
      <c r="E1331" t="inlineStr">
        <is>
          <t>HIGH</t>
        </is>
      </c>
      <c r="F1331" t="n">
        <v>2</v>
      </c>
      <c r="G1331" t="n">
        <v>3</v>
      </c>
      <c r="H1331" t="inlineStr">
        <is>
          <t>HIGH</t>
        </is>
      </c>
      <c r="I1331" t="n">
        <v>14.5</v>
      </c>
      <c r="J1331" t="inlineStr">
        <is>
          <t>NO</t>
        </is>
      </c>
      <c r="K1331" t="inlineStr">
        <is>
          <t>2026-02-23 23:48</t>
        </is>
      </c>
      <c r="L1331" t="inlineStr">
        <is>
          <t>CHECK_VENDOR</t>
        </is>
      </c>
      <c r="M1331" t="inlineStr">
        <is>
          <t>See CVE details</t>
        </is>
      </c>
      <c r="N1331" t="inlineStr">
        <is>
          <t>P3</t>
        </is>
      </c>
      <c r="O1331" t="inlineStr">
        <is>
          <t>CVE - IP enrichment n/a</t>
        </is>
      </c>
      <c r="P1331" t="n">
        <v>0</v>
      </c>
      <c r="Q1331" t="n">
        <v>0</v>
      </c>
      <c r="R1331" t="inlineStr">
        <is>
          <t>T1190:Exploit Public-Facing Application</t>
        </is>
      </c>
      <c r="S1331" t="n">
        <v>1</v>
      </c>
      <c r="T1331" t="inlineStr">
        <is>
          <t>LOW (40%)</t>
        </is>
      </c>
      <c r="U1331" t="inlineStr">
        <is>
          <t>UNLIKELY</t>
        </is>
      </c>
      <c r="V1331" t="inlineStr">
        <is>
          <t>CHECK_VENDOR</t>
        </is>
      </c>
      <c r="W1331" t="inlineStr">
        <is>
          <t>https://nvd.nist.gov/vuln/detail/CVE-2025-67733</t>
        </is>
      </c>
      <c r="X1331" t="inlineStr">
        <is>
          <t>NONE</t>
        </is>
      </c>
      <c r="Y1331" t="n">
        <v>0</v>
      </c>
      <c r="Z1331" t="inlineStr"/>
      <c r="AA1331" t="inlineStr">
        <is>
          <t>https://nvd.nist.gov/vuln/detail/CVE-2025-67733</t>
        </is>
      </c>
    </row>
    <row r="1332">
      <c r="A1332" t="inlineStr">
        <is>
          <t>CVE</t>
        </is>
      </c>
      <c r="B1332" t="inlineStr">
        <is>
          <t>CVE-2025-70329</t>
        </is>
      </c>
      <c r="C1332" t="inlineStr">
        <is>
          <t>TOTOLink X5000R v9.1.0cu_2415_B20250515 contains an OS command injection vulnerability in the setIptvCfg handler of the /usr/sbin/lighttpd executable. The vlanVidLan1 (and other vlanVidLanX) parameters are retrieved via Uci_Get_Str and passed to the CsteSystem function without adequate validation or filtering. This allows an authenticated attacker to execute arbitrary shell commands with root privileges by injecting shell metacharacters into the affected parameters.</t>
        </is>
      </c>
      <c r="D1332" t="n">
        <v>8</v>
      </c>
      <c r="E1332" t="inlineStr">
        <is>
          <t>HIGH</t>
        </is>
      </c>
      <c r="F1332" t="n">
        <v>2</v>
      </c>
      <c r="G1332" t="n">
        <v>3</v>
      </c>
      <c r="H1332" t="inlineStr">
        <is>
          <t>HIGH</t>
        </is>
      </c>
      <c r="I1332" t="n">
        <v>14</v>
      </c>
      <c r="J1332" t="inlineStr">
        <is>
          <t>NO</t>
        </is>
      </c>
      <c r="K1332" t="inlineStr">
        <is>
          <t>2026-02-23 23:48</t>
        </is>
      </c>
      <c r="L1332" t="inlineStr">
        <is>
          <t>CHECK_VENDOR</t>
        </is>
      </c>
      <c r="M1332" t="inlineStr">
        <is>
          <t>See CVE details</t>
        </is>
      </c>
      <c r="N1332" t="inlineStr">
        <is>
          <t>P3</t>
        </is>
      </c>
      <c r="O1332" t="inlineStr">
        <is>
          <t>CVE - IP enrichment n/a</t>
        </is>
      </c>
      <c r="P1332" t="n">
        <v>0</v>
      </c>
      <c r="Q1332" t="n">
        <v>0</v>
      </c>
      <c r="R1332" t="inlineStr">
        <is>
          <t>T1059:Command and Scripting Interpreter</t>
        </is>
      </c>
      <c r="S1332" t="n">
        <v>1</v>
      </c>
      <c r="T1332" t="inlineStr">
        <is>
          <t>LOW (40%)</t>
        </is>
      </c>
      <c r="U1332" t="inlineStr">
        <is>
          <t>UNLIKELY</t>
        </is>
      </c>
      <c r="V1332" t="inlineStr">
        <is>
          <t>CHECK_VENDOR</t>
        </is>
      </c>
      <c r="W1332" t="inlineStr">
        <is>
          <t>https://nvd.nist.gov/vuln/detail/CVE-2025-70329</t>
        </is>
      </c>
      <c r="X1332" t="inlineStr">
        <is>
          <t>NONE</t>
        </is>
      </c>
      <c r="Y1332" t="n">
        <v>0</v>
      </c>
      <c r="Z1332" t="inlineStr"/>
      <c r="AA1332" t="inlineStr">
        <is>
          <t>https://nvd.nist.gov/vuln/detail/CVE-2025-70329</t>
        </is>
      </c>
    </row>
    <row r="1333">
      <c r="A1333" t="inlineStr">
        <is>
          <t>CVE</t>
        </is>
      </c>
      <c r="B1333" t="inlineStr">
        <is>
          <t>CVE-2026-21863</t>
        </is>
      </c>
      <c r="C1333" t="inlineStr">
        <is>
          <t>Valkey is a distributed key-value database. Prior to versions 9.0.2, 8.1.6, 8.0.7, and 7.2.12, a malicious actor with access to the Valkey clusterbus port can send an invalid packet that may cause an out bound read, which might result in the system crashing. The Valkey clusterbus packet processing code does not validate that a clusterbus ping extension packet is located within buffer of the clusterbus packet before attempting to read it. Versions 9.0.2, 8.1.6, 8.0.7, and 7.2.12 fix the issue. As</t>
        </is>
      </c>
      <c r="D1333" t="n">
        <v>7.5</v>
      </c>
      <c r="E1333" t="inlineStr">
        <is>
          <t>HIGH</t>
        </is>
      </c>
      <c r="F1333" t="n">
        <v>2</v>
      </c>
      <c r="G1333" t="n">
        <v>3</v>
      </c>
      <c r="H1333" t="inlineStr">
        <is>
          <t>HIGH</t>
        </is>
      </c>
      <c r="I1333" t="n">
        <v>13.5</v>
      </c>
      <c r="J1333" t="inlineStr">
        <is>
          <t>NO</t>
        </is>
      </c>
      <c r="K1333" t="inlineStr">
        <is>
          <t>2026-02-23 23:48</t>
        </is>
      </c>
      <c r="L1333" t="inlineStr">
        <is>
          <t>CHECK_VENDOR</t>
        </is>
      </c>
      <c r="M1333" t="inlineStr">
        <is>
          <t>See CVE details</t>
        </is>
      </c>
      <c r="N1333" t="inlineStr">
        <is>
          <t>P3</t>
        </is>
      </c>
      <c r="O1333" t="inlineStr">
        <is>
          <t>CVE - IP enrichment n/a</t>
        </is>
      </c>
      <c r="P1333" t="n">
        <v>0</v>
      </c>
      <c r="Q1333" t="n">
        <v>0</v>
      </c>
      <c r="R1333" t="inlineStr">
        <is>
          <t>T1203:Exploitation for Client Execution</t>
        </is>
      </c>
      <c r="S1333" t="n">
        <v>1</v>
      </c>
      <c r="T1333" t="inlineStr">
        <is>
          <t>LOW (40%)</t>
        </is>
      </c>
      <c r="U1333" t="inlineStr">
        <is>
          <t>UNLIKELY</t>
        </is>
      </c>
      <c r="V1333" t="inlineStr">
        <is>
          <t>CHECK_VENDOR</t>
        </is>
      </c>
      <c r="W1333" t="inlineStr">
        <is>
          <t>https://nvd.nist.gov/vuln/detail/CVE-2026-21863</t>
        </is>
      </c>
      <c r="X1333" t="inlineStr">
        <is>
          <t>NONE</t>
        </is>
      </c>
      <c r="Y1333" t="n">
        <v>0</v>
      </c>
      <c r="Z1333" t="inlineStr"/>
      <c r="AA1333" t="inlineStr">
        <is>
          <t>https://nvd.nist.gov/vuln/detail/CVE-2026-21863</t>
        </is>
      </c>
    </row>
    <row r="1334">
      <c r="A1334" t="inlineStr">
        <is>
          <t>CVE</t>
        </is>
      </c>
      <c r="B1334" t="inlineStr">
        <is>
          <t>CVE-2026-27623</t>
        </is>
      </c>
      <c r="C1334" t="inlineStr">
        <is>
          <t>Valkey is a distributed key-value database. Starting in version 9.0.0 and prior to version 9.0.3, a malicious actor with network access to Valkey can cause the system to abort by triggering an assertion. When processing incoming requests, the Valkey system does not properly reset the networking state after processing an empty request. A malicious actor can then send a request that the server incorrectly identifies as breaking server side invariants, which results in the server shutting down. Ver</t>
        </is>
      </c>
      <c r="D1334" t="n">
        <v>7.5</v>
      </c>
      <c r="E1334" t="inlineStr">
        <is>
          <t>HIGH</t>
        </is>
      </c>
      <c r="F1334" t="n">
        <v>2</v>
      </c>
      <c r="G1334" t="n">
        <v>3</v>
      </c>
      <c r="H1334" t="inlineStr">
        <is>
          <t>HIGH</t>
        </is>
      </c>
      <c r="I1334" t="n">
        <v>13.5</v>
      </c>
      <c r="J1334" t="inlineStr">
        <is>
          <t>NO</t>
        </is>
      </c>
      <c r="K1334" t="inlineStr">
        <is>
          <t>2026-02-23 23:48</t>
        </is>
      </c>
      <c r="L1334" t="inlineStr">
        <is>
          <t>CHECK_VENDOR</t>
        </is>
      </c>
      <c r="M1334" t="inlineStr">
        <is>
          <t>See CVE details</t>
        </is>
      </c>
      <c r="N1334" t="inlineStr">
        <is>
          <t>P3</t>
        </is>
      </c>
      <c r="O1334" t="inlineStr">
        <is>
          <t>CVE - IP enrichment n/a</t>
        </is>
      </c>
      <c r="P1334" t="n">
        <v>0</v>
      </c>
      <c r="Q1334" t="n">
        <v>0</v>
      </c>
      <c r="R1334" t="inlineStr">
        <is>
          <t>T1190:Exploit Public-Facing Application</t>
        </is>
      </c>
      <c r="S1334" t="n">
        <v>1</v>
      </c>
      <c r="T1334" t="inlineStr">
        <is>
          <t>LOW (40%)</t>
        </is>
      </c>
      <c r="U1334" t="inlineStr">
        <is>
          <t>UNLIKELY</t>
        </is>
      </c>
      <c r="V1334" t="inlineStr">
        <is>
          <t>CHECK_VENDOR</t>
        </is>
      </c>
      <c r="W1334" t="inlineStr">
        <is>
          <t>https://nvd.nist.gov/vuln/detail/CVE-2026-27623</t>
        </is>
      </c>
      <c r="X1334" t="inlineStr">
        <is>
          <t>NONE</t>
        </is>
      </c>
      <c r="Y1334" t="n">
        <v>0</v>
      </c>
      <c r="Z1334" t="inlineStr"/>
      <c r="AA1334" t="inlineStr">
        <is>
          <t>https://nvd.nist.gov/vuln/detail/CVE-2026-27623</t>
        </is>
      </c>
    </row>
    <row r="1335">
      <c r="A1335" t="inlineStr">
        <is>
          <t>CVE</t>
        </is>
      </c>
      <c r="B1335" t="inlineStr">
        <is>
          <t>CVE-2025-68930</t>
        </is>
      </c>
      <c r="C1335" t="inlineStr">
        <is>
          <t>Versions of the Traccar open-source GPS tracking system up to and including 6.11.1 contain a Cross-Site WebSocket Hijacking (CSWSH) vulnerability in the `/api/socket` endpoint. The application fails to validate the `Origin` header during the WebSocket handshake. This allows a remote attacker to bypass the Same Origin Policy (SOP) and establish a full-duplex WebSocket connection using a legitimate user's credentials (JSESSIONID). As of time of publication, it is unclear whether a fix is available</t>
        </is>
      </c>
      <c r="D1335" t="n">
        <v>7.1</v>
      </c>
      <c r="E1335" t="inlineStr">
        <is>
          <t>HIGH</t>
        </is>
      </c>
      <c r="F1335" t="n">
        <v>2</v>
      </c>
      <c r="G1335" t="n">
        <v>3</v>
      </c>
      <c r="H1335" t="inlineStr">
        <is>
          <t>HIGH</t>
        </is>
      </c>
      <c r="I1335" t="n">
        <v>13.1</v>
      </c>
      <c r="J1335" t="inlineStr">
        <is>
          <t>NO</t>
        </is>
      </c>
      <c r="K1335" t="inlineStr">
        <is>
          <t>2026-02-23 23:48</t>
        </is>
      </c>
      <c r="L1335" t="inlineStr">
        <is>
          <t>CHECK_VENDOR</t>
        </is>
      </c>
      <c r="M1335" t="inlineStr">
        <is>
          <t>See CVE details</t>
        </is>
      </c>
      <c r="N1335" t="inlineStr">
        <is>
          <t>P3</t>
        </is>
      </c>
      <c r="O1335" t="inlineStr">
        <is>
          <t>CVE - IP enrichment n/a</t>
        </is>
      </c>
      <c r="P1335" t="n">
        <v>0</v>
      </c>
      <c r="Q1335" t="n">
        <v>0</v>
      </c>
      <c r="R1335" t="inlineStr">
        <is>
          <t>T1190:Exploit Public-Facing Application | T1552:Unsecured Credentials</t>
        </is>
      </c>
      <c r="S1335" t="n">
        <v>1</v>
      </c>
      <c r="T1335" t="inlineStr">
        <is>
          <t>LOW (40%)</t>
        </is>
      </c>
      <c r="U1335" t="inlineStr">
        <is>
          <t>UNLIKELY</t>
        </is>
      </c>
      <c r="V1335" t="inlineStr">
        <is>
          <t>CHECK_VENDOR</t>
        </is>
      </c>
      <c r="W1335" t="inlineStr">
        <is>
          <t>https://nvd.nist.gov/vuln/detail/CVE-2025-68930</t>
        </is>
      </c>
      <c r="X1335" t="inlineStr">
        <is>
          <t>NONE</t>
        </is>
      </c>
      <c r="Y1335" t="n">
        <v>0</v>
      </c>
      <c r="Z1335" t="inlineStr"/>
      <c r="AA1335" t="inlineStr">
        <is>
          <t>https://nvd.nist.gov/vuln/detail/CVE-2025-68930</t>
        </is>
      </c>
    </row>
    <row r="1336">
      <c r="A1336" t="inlineStr">
        <is>
          <t>CVE</t>
        </is>
      </c>
      <c r="B1336" t="inlineStr">
        <is>
          <t>CVE-2025-70327</t>
        </is>
      </c>
      <c r="C1336" t="inlineStr">
        <is>
          <t>TOTOLINK X5000R v9.1.0cu_2415_B20250515 contains an argument injection vulnerability in the setDiagnosisCfg handler of the /usr/sbin/lighttpd executable. The ip parameter is retrieved via websGetVar and passed to a ping command through CsteSystem without validating if the input starts with a hyphen (-). This allows remote authenticated attackers to inject arbitrary command-line options into the ping utility, potentially leading to a Denial of Service (DoS) by causing excessive resource consumpti</t>
        </is>
      </c>
      <c r="D1336" t="n">
        <v>8.5</v>
      </c>
      <c r="E1336" t="inlineStr">
        <is>
          <t>HIGH</t>
        </is>
      </c>
      <c r="F1336" t="n">
        <v>2</v>
      </c>
      <c r="G1336" t="n">
        <v>3</v>
      </c>
      <c r="H1336" t="inlineStr">
        <is>
          <t>HIGH</t>
        </is>
      </c>
      <c r="I1336" t="n">
        <v>14.5</v>
      </c>
      <c r="J1336" t="inlineStr">
        <is>
          <t>NO</t>
        </is>
      </c>
      <c r="K1336" t="inlineStr">
        <is>
          <t>2026-02-23 23:48</t>
        </is>
      </c>
      <c r="L1336" t="inlineStr">
        <is>
          <t>CHECK_VENDOR</t>
        </is>
      </c>
      <c r="M1336" t="inlineStr">
        <is>
          <t>See CVE details</t>
        </is>
      </c>
      <c r="N1336" t="inlineStr">
        <is>
          <t>P3</t>
        </is>
      </c>
      <c r="O1336" t="inlineStr">
        <is>
          <t>CVE - IP enrichment n/a</t>
        </is>
      </c>
      <c r="P1336" t="n">
        <v>0</v>
      </c>
      <c r="Q1336" t="n">
        <v>0</v>
      </c>
      <c r="R1336" t="inlineStr">
        <is>
          <t>T1190:Exploit Public-Facing Application | T1499:Endpoint Denial of Service</t>
        </is>
      </c>
      <c r="S1336" t="n">
        <v>1</v>
      </c>
      <c r="T1336" t="inlineStr">
        <is>
          <t>LOW (40%)</t>
        </is>
      </c>
      <c r="U1336" t="inlineStr">
        <is>
          <t>UNLIKELY</t>
        </is>
      </c>
      <c r="V1336" t="inlineStr">
        <is>
          <t>CHECK_VENDOR</t>
        </is>
      </c>
      <c r="W1336" t="inlineStr">
        <is>
          <t>https://nvd.nist.gov/vuln/detail/CVE-2025-70327</t>
        </is>
      </c>
      <c r="X1336" t="inlineStr">
        <is>
          <t>NONE</t>
        </is>
      </c>
      <c r="Y1336" t="n">
        <v>0</v>
      </c>
      <c r="Z1336" t="inlineStr"/>
      <c r="AA1336" t="inlineStr">
        <is>
          <t>https://nvd.nist.gov/vuln/detail/CVE-2025-70327</t>
        </is>
      </c>
    </row>
    <row r="1337">
      <c r="A1337" t="inlineStr">
        <is>
          <t>CVE</t>
        </is>
      </c>
      <c r="B1337" t="inlineStr">
        <is>
          <t>CVE-2025-70328</t>
        </is>
      </c>
      <c r="C1337" t="inlineStr">
        <is>
          <t>TOTOLINK X6000R v9.4.0cu.1498_B20250826 contains an OS command injection vulnerability in the NTPSyncWithHost handler of the /usr/sbin/shttpd executable. The host_time parameter is retrieved via sub_40C404 and passed to a date -s shell command through CsteSystem. While the first two tokens of the input are validated, the remainder of the string is not sanitized, allowing authenticated attackers to execute arbitrary shell commands via shell metacharacters.</t>
        </is>
      </c>
      <c r="D1337" t="n">
        <v>5</v>
      </c>
      <c r="E1337" t="inlineStr">
        <is>
          <t>MEDIUM</t>
        </is>
      </c>
      <c r="F1337" t="n">
        <v>2</v>
      </c>
      <c r="G1337" t="n">
        <v>2</v>
      </c>
      <c r="H1337" t="inlineStr">
        <is>
          <t>MEDIUM</t>
        </is>
      </c>
      <c r="I1337" t="n">
        <v>9</v>
      </c>
      <c r="J1337" t="inlineStr">
        <is>
          <t>NO</t>
        </is>
      </c>
      <c r="K1337" t="inlineStr">
        <is>
          <t>2026-02-23 23:48</t>
        </is>
      </c>
      <c r="L1337" t="inlineStr">
        <is>
          <t>CHECK_VENDOR</t>
        </is>
      </c>
      <c r="M1337" t="inlineStr">
        <is>
          <t>See CVE details</t>
        </is>
      </c>
      <c r="N1337" t="inlineStr">
        <is>
          <t>P4</t>
        </is>
      </c>
      <c r="O1337" t="inlineStr">
        <is>
          <t>CVE - IP enrichment n/a</t>
        </is>
      </c>
      <c r="P1337" t="n">
        <v>0</v>
      </c>
      <c r="Q1337" t="n">
        <v>0</v>
      </c>
      <c r="R1337" t="inlineStr">
        <is>
          <t>T1059:Command and Scripting Interpreter</t>
        </is>
      </c>
      <c r="S1337" t="n">
        <v>1</v>
      </c>
      <c r="T1337" t="inlineStr">
        <is>
          <t>LOW (40%)</t>
        </is>
      </c>
      <c r="U1337" t="inlineStr">
        <is>
          <t>UNLIKELY</t>
        </is>
      </c>
      <c r="V1337" t="inlineStr">
        <is>
          <t>CHECK_VENDOR</t>
        </is>
      </c>
      <c r="W1337" t="inlineStr">
        <is>
          <t>https://nvd.nist.gov/vuln/detail/CVE-2025-70328</t>
        </is>
      </c>
      <c r="X1337" t="inlineStr">
        <is>
          <t>NONE</t>
        </is>
      </c>
      <c r="Y1337" t="n">
        <v>0</v>
      </c>
      <c r="Z1337" t="inlineStr"/>
      <c r="AA1337" t="inlineStr">
        <is>
          <t>https://nvd.nist.gov/vuln/detail/CVE-2025-70328</t>
        </is>
      </c>
    </row>
    <row r="1338">
      <c r="A1338" t="inlineStr">
        <is>
          <t>CVE</t>
        </is>
      </c>
      <c r="B1338" t="inlineStr">
        <is>
          <t>CVE-2025-71056</t>
        </is>
      </c>
      <c r="C1338" t="inlineStr">
        <is>
          <t>Improper session management in GCOM EPON 1GE ONU version C00R371V00B01 allows attackers to execute a session hijacking attack via spoofing the IP address of an authenticated user.</t>
        </is>
      </c>
      <c r="D1338" t="n">
        <v>5</v>
      </c>
      <c r="E1338" t="inlineStr">
        <is>
          <t>MEDIUM</t>
        </is>
      </c>
      <c r="F1338" t="n">
        <v>2</v>
      </c>
      <c r="G1338" t="n">
        <v>2</v>
      </c>
      <c r="H1338" t="inlineStr">
        <is>
          <t>MEDIUM</t>
        </is>
      </c>
      <c r="I1338" t="n">
        <v>9</v>
      </c>
      <c r="J1338" t="inlineStr">
        <is>
          <t>NO</t>
        </is>
      </c>
      <c r="K1338" t="inlineStr">
        <is>
          <t>2026-02-23 23:48</t>
        </is>
      </c>
      <c r="L1338" t="inlineStr">
        <is>
          <t>CHECK_VENDOR</t>
        </is>
      </c>
      <c r="M1338" t="inlineStr">
        <is>
          <t>See CVE details</t>
        </is>
      </c>
      <c r="N1338" t="inlineStr">
        <is>
          <t>P4</t>
        </is>
      </c>
      <c r="O1338" t="inlineStr">
        <is>
          <t>CVE - IP enrichment n/a</t>
        </is>
      </c>
      <c r="P1338" t="n">
        <v>0</v>
      </c>
      <c r="Q1338" t="n">
        <v>0</v>
      </c>
      <c r="R1338" t="inlineStr">
        <is>
          <t>T1190:Exploit Public-Facing Application</t>
        </is>
      </c>
      <c r="S1338" t="n">
        <v>1</v>
      </c>
      <c r="T1338" t="inlineStr">
        <is>
          <t>LOW (40%)</t>
        </is>
      </c>
      <c r="U1338" t="inlineStr">
        <is>
          <t>UNLIKELY</t>
        </is>
      </c>
      <c r="V1338" t="inlineStr">
        <is>
          <t>CHECK_VENDOR</t>
        </is>
      </c>
      <c r="W1338" t="inlineStr">
        <is>
          <t>https://nvd.nist.gov/vuln/detail/CVE-2025-71056</t>
        </is>
      </c>
      <c r="X1338" t="inlineStr">
        <is>
          <t>NONE</t>
        </is>
      </c>
      <c r="Y1338" t="n">
        <v>0</v>
      </c>
      <c r="Z1338" t="inlineStr"/>
      <c r="AA1338" t="inlineStr">
        <is>
          <t>https://nvd.nist.gov/vuln/detail/CVE-2025-71056</t>
        </is>
      </c>
    </row>
    <row r="1339">
      <c r="A1339" t="inlineStr">
        <is>
          <t>CVE</t>
        </is>
      </c>
      <c r="B1339" t="inlineStr">
        <is>
          <t>CVE-2026-23521</t>
        </is>
      </c>
      <c r="C1339" t="inlineStr">
        <is>
          <t>Versions of the Traccar open-source GPS tracking system up to and including 6.11.1 contain an issue in which authenticated users who can create or edit devices can set a device `uniqueId` to an absolute path. When uploading a device image, Traccar uses that `uniqueId` to build the filesystem path without enforcing that the resolved path stays under the media root. This allows writing files outside the media directory. As of time of publication, it is unclear whether a fix is available.</t>
        </is>
      </c>
      <c r="D1339" t="n">
        <v>6.5</v>
      </c>
      <c r="E1339" t="inlineStr">
        <is>
          <t>MEDIUM</t>
        </is>
      </c>
      <c r="F1339" t="n">
        <v>2</v>
      </c>
      <c r="G1339" t="n">
        <v>2</v>
      </c>
      <c r="H1339" t="inlineStr">
        <is>
          <t>MEDIUM</t>
        </is>
      </c>
      <c r="I1339" t="n">
        <v>10.5</v>
      </c>
      <c r="J1339" t="inlineStr">
        <is>
          <t>NO</t>
        </is>
      </c>
      <c r="K1339" t="inlineStr">
        <is>
          <t>2026-02-23 23:48</t>
        </is>
      </c>
      <c r="L1339" t="inlineStr">
        <is>
          <t>CHECK_VENDOR</t>
        </is>
      </c>
      <c r="M1339" t="inlineStr">
        <is>
          <t>See CVE details</t>
        </is>
      </c>
      <c r="N1339" t="inlineStr">
        <is>
          <t>P4</t>
        </is>
      </c>
      <c r="O1339" t="inlineStr">
        <is>
          <t>CVE - IP enrichment n/a</t>
        </is>
      </c>
      <c r="P1339" t="n">
        <v>0</v>
      </c>
      <c r="Q1339" t="n">
        <v>0</v>
      </c>
      <c r="R1339" t="inlineStr">
        <is>
          <t>T1083:File and Directory Discovery | T1190:Exploit Public-Facing Application</t>
        </is>
      </c>
      <c r="S1339" t="n">
        <v>1</v>
      </c>
      <c r="T1339" t="inlineStr">
        <is>
          <t>LOW (40%)</t>
        </is>
      </c>
      <c r="U1339" t="inlineStr">
        <is>
          <t>UNLIKELY</t>
        </is>
      </c>
      <c r="V1339" t="inlineStr">
        <is>
          <t>CHECK_VENDOR</t>
        </is>
      </c>
      <c r="W1339" t="inlineStr">
        <is>
          <t>https://nvd.nist.gov/vuln/detail/CVE-2026-23521</t>
        </is>
      </c>
      <c r="X1339" t="inlineStr">
        <is>
          <t>NONE</t>
        </is>
      </c>
      <c r="Y1339" t="n">
        <v>0</v>
      </c>
      <c r="Z1339" t="inlineStr"/>
      <c r="AA1339" t="inlineStr">
        <is>
          <t>https://nvd.nist.gov/vuln/detail/CVE-2026-23521</t>
        </is>
      </c>
    </row>
    <row r="1340">
      <c r="A1340" t="inlineStr">
        <is>
          <t>CVE</t>
        </is>
      </c>
      <c r="B1340" t="inlineStr">
        <is>
          <t>CVE-2026-23693</t>
        </is>
      </c>
      <c r="C1340" t="inlineStr">
        <is>
          <t>ElementsKit Lite (elementskit-lite) WordPress plugin versions prior to 3.7.9 expose the REST endpoint /wp-json/elementskit/v1/widget/mailchimp/subscribe without authentication. The endpoint accepts client-supplied Mailchimp API credentials and insufficiently validates certain parameters, including the list parameter, when constructing upstream Mailchimp API requests. An unauthenticated attacker can abuse the endpoint as an open proxy to Mailchimp, potentially triggering unauthorized API calls, m</t>
        </is>
      </c>
      <c r="D1340" t="n">
        <v>10</v>
      </c>
      <c r="E1340" t="inlineStr">
        <is>
          <t>CRITICAL</t>
        </is>
      </c>
      <c r="F1340" t="n">
        <v>2</v>
      </c>
      <c r="G1340" t="n">
        <v>3</v>
      </c>
      <c r="H1340" t="inlineStr">
        <is>
          <t>HIGH</t>
        </is>
      </c>
      <c r="I1340" t="n">
        <v>16</v>
      </c>
      <c r="J1340" t="inlineStr">
        <is>
          <t>NO</t>
        </is>
      </c>
      <c r="K1340" t="inlineStr">
        <is>
          <t>2026-02-23 23:48</t>
        </is>
      </c>
      <c r="L1340" t="inlineStr">
        <is>
          <t>CHECK_VENDOR</t>
        </is>
      </c>
      <c r="M1340" t="inlineStr">
        <is>
          <t>See CVE details</t>
        </is>
      </c>
      <c r="N1340" t="inlineStr">
        <is>
          <t>P3</t>
        </is>
      </c>
      <c r="O1340" t="inlineStr">
        <is>
          <t>CVE - IP enrichment n/a</t>
        </is>
      </c>
      <c r="P1340" t="n">
        <v>0</v>
      </c>
      <c r="Q1340" t="n">
        <v>0</v>
      </c>
      <c r="R1340" t="inlineStr">
        <is>
          <t>T1078:Valid Accounts | T1190:Exploit Public-Facing Application | T1552:Unsecured Credentials</t>
        </is>
      </c>
      <c r="S1340" t="n">
        <v>1</v>
      </c>
      <c r="T1340" t="inlineStr">
        <is>
          <t>LOW (40%)</t>
        </is>
      </c>
      <c r="U1340" t="inlineStr">
        <is>
          <t>UNLIKELY</t>
        </is>
      </c>
      <c r="V1340" t="inlineStr">
        <is>
          <t>CHECK_VENDOR</t>
        </is>
      </c>
      <c r="W1340" t="inlineStr">
        <is>
          <t>https://nvd.nist.gov/vuln/detail/CVE-2026-23693</t>
        </is>
      </c>
      <c r="X1340" t="inlineStr">
        <is>
          <t>NONE</t>
        </is>
      </c>
      <c r="Y1340" t="n">
        <v>0</v>
      </c>
      <c r="Z1340" t="inlineStr"/>
      <c r="AA1340" t="inlineStr">
        <is>
          <t>https://nvd.nist.gov/vuln/detail/CVE-2026-23693</t>
        </is>
      </c>
    </row>
    <row r="1341">
      <c r="A1341" t="inlineStr">
        <is>
          <t>CVE</t>
        </is>
      </c>
      <c r="B1341" t="inlineStr">
        <is>
          <t>CVE-2026-23694</t>
        </is>
      </c>
      <c r="C1341" t="inlineStr">
        <is>
          <t>Aruba HiSpeed Cache (aruba-hispeed-cache) WordPress plugin versions prior to 3.0.5 contain a cross-site request forgery (CSRF) vulnerability affecting multiple administrative AJAX actions. The handlers for ahsc_reset_options, ahsc_debug_status, and ahsc_enable_purge perform authentication and capability checks but do not verify a WordPress nonce for state-changing requests. An attacker can induce a logged-in administrator to visit a malicious webpage that submits forged requests to admin-ajax.ph</t>
        </is>
      </c>
      <c r="D1341" t="n">
        <v>5</v>
      </c>
      <c r="E1341" t="inlineStr">
        <is>
          <t>MEDIUM</t>
        </is>
      </c>
      <c r="F1341" t="n">
        <v>2</v>
      </c>
      <c r="G1341" t="n">
        <v>2</v>
      </c>
      <c r="H1341" t="inlineStr">
        <is>
          <t>MEDIUM</t>
        </is>
      </c>
      <c r="I1341" t="n">
        <v>9</v>
      </c>
      <c r="J1341" t="inlineStr">
        <is>
          <t>NO</t>
        </is>
      </c>
      <c r="K1341" t="inlineStr">
        <is>
          <t>2026-02-23 23:48</t>
        </is>
      </c>
      <c r="L1341" t="inlineStr">
        <is>
          <t>CHECK_VENDOR</t>
        </is>
      </c>
      <c r="M1341" t="inlineStr">
        <is>
          <t>See CVE details</t>
        </is>
      </c>
      <c r="N1341" t="inlineStr">
        <is>
          <t>P4</t>
        </is>
      </c>
      <c r="O1341" t="inlineStr">
        <is>
          <t>CVE - IP enrichment n/a</t>
        </is>
      </c>
      <c r="P1341" t="n">
        <v>0</v>
      </c>
      <c r="Q1341" t="n">
        <v>0</v>
      </c>
      <c r="R1341" t="inlineStr">
        <is>
          <t>T1185:Browser Session Hijacking</t>
        </is>
      </c>
      <c r="S1341" t="n">
        <v>1</v>
      </c>
      <c r="T1341" t="inlineStr">
        <is>
          <t>LOW (40%)</t>
        </is>
      </c>
      <c r="U1341" t="inlineStr">
        <is>
          <t>UNLIKELY</t>
        </is>
      </c>
      <c r="V1341" t="inlineStr">
        <is>
          <t>CHECK_VENDOR</t>
        </is>
      </c>
      <c r="W1341" t="inlineStr">
        <is>
          <t>https://nvd.nist.gov/vuln/detail/CVE-2026-23694</t>
        </is>
      </c>
      <c r="X1341" t="inlineStr">
        <is>
          <t>NONE</t>
        </is>
      </c>
      <c r="Y1341" t="n">
        <v>0</v>
      </c>
      <c r="Z1341" t="inlineStr"/>
      <c r="AA1341" t="inlineStr">
        <is>
          <t>https://nvd.nist.gov/vuln/detail/CVE-2026-23694</t>
        </is>
      </c>
    </row>
    <row r="1342">
      <c r="A1342" t="inlineStr">
        <is>
          <t>CVE</t>
        </is>
      </c>
      <c r="B1342" t="inlineStr">
        <is>
          <t>CVE-2026-25648</t>
        </is>
      </c>
      <c r="C1342" t="inlineStr">
        <is>
          <t>Versions of the Traccar open-source GPS tracking system starting with 6.11.1 contain an issue in which authenticated users can execute arbitrary JavaScript in the context of other users' browsers by uploading malicious SVG files as device images. The application accepts SVG file uploads without sanitization and serves them with the `image/svg+xml` Content-Type, allowing embedded JavaScript to execute when victims view the image. As of time of publication, it is unclear whether a fix is available</t>
        </is>
      </c>
      <c r="D1342" t="n">
        <v>8.699999999999999</v>
      </c>
      <c r="E1342" t="inlineStr">
        <is>
          <t>HIGH</t>
        </is>
      </c>
      <c r="F1342" t="n">
        <v>2</v>
      </c>
      <c r="G1342" t="n">
        <v>3</v>
      </c>
      <c r="H1342" t="inlineStr">
        <is>
          <t>HIGH</t>
        </is>
      </c>
      <c r="I1342" t="n">
        <v>14.7</v>
      </c>
      <c r="J1342" t="inlineStr">
        <is>
          <t>NO</t>
        </is>
      </c>
      <c r="K1342" t="inlineStr">
        <is>
          <t>2026-02-23 23:48</t>
        </is>
      </c>
      <c r="L1342" t="inlineStr">
        <is>
          <t>CHECK_VENDOR</t>
        </is>
      </c>
      <c r="M1342" t="inlineStr">
        <is>
          <t>See CVE details</t>
        </is>
      </c>
      <c r="N1342" t="inlineStr">
        <is>
          <t>P3</t>
        </is>
      </c>
      <c r="O1342" t="inlineStr">
        <is>
          <t>CVE - IP enrichment n/a</t>
        </is>
      </c>
      <c r="P1342" t="n">
        <v>0</v>
      </c>
      <c r="Q1342" t="n">
        <v>0</v>
      </c>
      <c r="R1342" t="inlineStr">
        <is>
          <t>T1189:Drive-by Compromise | T1190:Exploit Public-Facing Application</t>
        </is>
      </c>
      <c r="S1342" t="n">
        <v>1</v>
      </c>
      <c r="T1342" t="inlineStr">
        <is>
          <t>LOW (40%)</t>
        </is>
      </c>
      <c r="U1342" t="inlineStr">
        <is>
          <t>UNLIKELY</t>
        </is>
      </c>
      <c r="V1342" t="inlineStr">
        <is>
          <t>CHECK_VENDOR</t>
        </is>
      </c>
      <c r="W1342" t="inlineStr">
        <is>
          <t>https://nvd.nist.gov/vuln/detail/CVE-2026-25648</t>
        </is>
      </c>
      <c r="X1342" t="inlineStr">
        <is>
          <t>NONE</t>
        </is>
      </c>
      <c r="Y1342" t="n">
        <v>0</v>
      </c>
      <c r="Z1342" t="inlineStr"/>
      <c r="AA1342" t="inlineStr">
        <is>
          <t>https://nvd.nist.gov/vuln/detail/CVE-2026-25648</t>
        </is>
      </c>
    </row>
    <row r="1343">
      <c r="A1343" t="inlineStr">
        <is>
          <t>CVE</t>
        </is>
      </c>
      <c r="B1343" t="inlineStr">
        <is>
          <t>CVE-2026-3025</t>
        </is>
      </c>
      <c r="C1343" t="inlineStr">
        <is>
          <t>A flaw has been found in ShuoRen Smart Heating Integrated Management Platform 1.0.0. Affected by this vulnerability is an unknown functionality of the file /MP/Service/Webservice/ExampleNodeService.asmx. Executing a manipulation of the argument File can lead to unrestricted upload. It is possible to launch the attack remotely. The exploit has been published and may be used. The vendor was contacted early about this disclosure but did not respond in any way.</t>
        </is>
      </c>
      <c r="D1343" t="n">
        <v>7.3</v>
      </c>
      <c r="E1343" t="inlineStr">
        <is>
          <t>HIGH</t>
        </is>
      </c>
      <c r="F1343" t="n">
        <v>2</v>
      </c>
      <c r="G1343" t="n">
        <v>3</v>
      </c>
      <c r="H1343" t="inlineStr">
        <is>
          <t>HIGH</t>
        </is>
      </c>
      <c r="I1343" t="n">
        <v>13.3</v>
      </c>
      <c r="J1343" t="inlineStr">
        <is>
          <t>NO</t>
        </is>
      </c>
      <c r="K1343" t="inlineStr">
        <is>
          <t>2026-02-23 23:48</t>
        </is>
      </c>
      <c r="L1343" t="inlineStr">
        <is>
          <t>CHECK_VENDOR</t>
        </is>
      </c>
      <c r="M1343" t="inlineStr">
        <is>
          <t>See CVE details</t>
        </is>
      </c>
      <c r="N1343" t="inlineStr">
        <is>
          <t>P3</t>
        </is>
      </c>
      <c r="O1343" t="inlineStr">
        <is>
          <t>CVE - IP enrichment n/a</t>
        </is>
      </c>
      <c r="P1343" t="n">
        <v>0</v>
      </c>
      <c r="Q1343" t="n">
        <v>0</v>
      </c>
      <c r="R1343" t="inlineStr">
        <is>
          <t>T1190:Exploit Public-Facing Application</t>
        </is>
      </c>
      <c r="S1343" t="n">
        <v>1</v>
      </c>
      <c r="T1343" t="inlineStr">
        <is>
          <t>LOW (40%)</t>
        </is>
      </c>
      <c r="U1343" t="inlineStr">
        <is>
          <t>UNLIKELY</t>
        </is>
      </c>
      <c r="V1343" t="inlineStr">
        <is>
          <t>CHECK_VENDOR</t>
        </is>
      </c>
      <c r="W1343" t="inlineStr">
        <is>
          <t>https://nvd.nist.gov/vuln/detail/CVE-2026-3025</t>
        </is>
      </c>
      <c r="X1343" t="inlineStr">
        <is>
          <t>NONE</t>
        </is>
      </c>
      <c r="Y1343" t="n">
        <v>0</v>
      </c>
      <c r="Z1343" t="inlineStr"/>
      <c r="AA1343" t="inlineStr">
        <is>
          <t>https://nvd.nist.gov/vuln/detail/CVE-2026-3025</t>
        </is>
      </c>
    </row>
    <row r="1344">
      <c r="A1344" t="inlineStr">
        <is>
          <t>CVE</t>
        </is>
      </c>
      <c r="B1344" t="inlineStr">
        <is>
          <t>CVE-2026-3026</t>
        </is>
      </c>
      <c r="C1344" t="inlineStr">
        <is>
          <t>A vulnerability has been found in erzhongxmu JEEWMS 3.7. Affected by this issue is some unknown functionality of the file /plug-in/ueditor/jsp/getRemoteImage.jsp of the component UEditor. The manipulation of the argument upfile leads to server-side request forgery. The attack can be initiated remotely. The exploit has been disclosed to the public and may be used. The vendor was contacted early about this disclosure but did not respond in any way.</t>
        </is>
      </c>
      <c r="D1344" t="n">
        <v>7.3</v>
      </c>
      <c r="E1344" t="inlineStr">
        <is>
          <t>HIGH</t>
        </is>
      </c>
      <c r="F1344" t="n">
        <v>2</v>
      </c>
      <c r="G1344" t="n">
        <v>3</v>
      </c>
      <c r="H1344" t="inlineStr">
        <is>
          <t>HIGH</t>
        </is>
      </c>
      <c r="I1344" t="n">
        <v>13.3</v>
      </c>
      <c r="J1344" t="inlineStr">
        <is>
          <t>NO</t>
        </is>
      </c>
      <c r="K1344" t="inlineStr">
        <is>
          <t>2026-02-23 23:48</t>
        </is>
      </c>
      <c r="L1344" t="inlineStr">
        <is>
          <t>CHECK_VENDOR</t>
        </is>
      </c>
      <c r="M1344" t="inlineStr">
        <is>
          <t>See CVE details</t>
        </is>
      </c>
      <c r="N1344" t="inlineStr">
        <is>
          <t>P3</t>
        </is>
      </c>
      <c r="O1344" t="inlineStr">
        <is>
          <t>CVE - IP enrichment n/a</t>
        </is>
      </c>
      <c r="P1344" t="n">
        <v>0</v>
      </c>
      <c r="Q1344" t="n">
        <v>0</v>
      </c>
      <c r="R1344" t="inlineStr">
        <is>
          <t>T1090:Proxy</t>
        </is>
      </c>
      <c r="S1344" t="n">
        <v>1</v>
      </c>
      <c r="T1344" t="inlineStr">
        <is>
          <t>LOW (40%)</t>
        </is>
      </c>
      <c r="U1344" t="inlineStr">
        <is>
          <t>UNLIKELY</t>
        </is>
      </c>
      <c r="V1344" t="inlineStr">
        <is>
          <t>CHECK_VENDOR</t>
        </is>
      </c>
      <c r="W1344" t="inlineStr">
        <is>
          <t>https://nvd.nist.gov/vuln/detail/CVE-2026-3026</t>
        </is>
      </c>
      <c r="X1344" t="inlineStr">
        <is>
          <t>NONE</t>
        </is>
      </c>
      <c r="Y1344" t="n">
        <v>0</v>
      </c>
      <c r="Z1344" t="inlineStr"/>
      <c r="AA1344" t="inlineStr">
        <is>
          <t>https://nvd.nist.gov/vuln/detail/CVE-2026-3026</t>
        </is>
      </c>
    </row>
    <row r="1345">
      <c r="A1345" t="inlineStr">
        <is>
          <t>CVE</t>
        </is>
      </c>
      <c r="B1345" t="inlineStr">
        <is>
          <t>CVE-2026-3027</t>
        </is>
      </c>
      <c r="C1345" t="inlineStr">
        <is>
          <t>A vulnerability was found in erzhongxmu JEEWMS up to 3.7. This affects an unknown part of the file src/main/webapp/plug-in/ueditor/jsp/getContent.jsp of the component UEditor. The manipulation of the argument myEditor results in cross site scripting. The attack can be launched remotely. The exploit has been made public and could be used. The vendor was contacted early about this disclosure but did not respond in any way.</t>
        </is>
      </c>
      <c r="D1345" t="n">
        <v>4.3</v>
      </c>
      <c r="E1345" t="inlineStr">
        <is>
          <t>MEDIUM</t>
        </is>
      </c>
      <c r="F1345" t="n">
        <v>2</v>
      </c>
      <c r="G1345" t="n">
        <v>2</v>
      </c>
      <c r="H1345" t="inlineStr">
        <is>
          <t>MEDIUM</t>
        </is>
      </c>
      <c r="I1345" t="n">
        <v>8.300000000000001</v>
      </c>
      <c r="J1345" t="inlineStr">
        <is>
          <t>NO</t>
        </is>
      </c>
      <c r="K1345" t="inlineStr">
        <is>
          <t>2026-02-23 23:48</t>
        </is>
      </c>
      <c r="L1345" t="inlineStr">
        <is>
          <t>CHECK_VENDOR</t>
        </is>
      </c>
      <c r="M1345" t="inlineStr">
        <is>
          <t>See CVE details</t>
        </is>
      </c>
      <c r="N1345" t="inlineStr">
        <is>
          <t>P4</t>
        </is>
      </c>
      <c r="O1345" t="inlineStr">
        <is>
          <t>CVE - IP enrichment n/a</t>
        </is>
      </c>
      <c r="P1345" t="n">
        <v>0</v>
      </c>
      <c r="Q1345" t="n">
        <v>0</v>
      </c>
      <c r="R1345" t="inlineStr">
        <is>
          <t>T1189:Drive-by Compromise</t>
        </is>
      </c>
      <c r="S1345" t="n">
        <v>1</v>
      </c>
      <c r="T1345" t="inlineStr">
        <is>
          <t>LOW (40%)</t>
        </is>
      </c>
      <c r="U1345" t="inlineStr">
        <is>
          <t>UNLIKELY</t>
        </is>
      </c>
      <c r="V1345" t="inlineStr">
        <is>
          <t>CHECK_VENDOR</t>
        </is>
      </c>
      <c r="W1345" t="inlineStr">
        <is>
          <t>https://nvd.nist.gov/vuln/detail/CVE-2026-3027</t>
        </is>
      </c>
      <c r="X1345" t="inlineStr">
        <is>
          <t>NONE</t>
        </is>
      </c>
      <c r="Y1345" t="n">
        <v>0</v>
      </c>
      <c r="Z1345" t="inlineStr"/>
      <c r="AA1345" t="inlineStr">
        <is>
          <t>https://nvd.nist.gov/vuln/detail/CVE-2026-3027</t>
        </is>
      </c>
    </row>
    <row r="1346">
      <c r="A1346" t="inlineStr">
        <is>
          <t>CVE</t>
        </is>
      </c>
      <c r="B1346" t="inlineStr">
        <is>
          <t>CVE-2026-3075</t>
        </is>
      </c>
      <c r="C1346" t="inlineStr">
        <is>
          <t>Exposure of Sensitive System Information to an Unauthorized Control Sphere vulnerability in Jeff Starr Simple Ajax Chat simple-ajax-chat allows Retrieve Embedded Sensitive Data.This issue affects Simple Ajax Chat: from n/a through &lt;= 20251121.</t>
        </is>
      </c>
      <c r="D1346" t="n">
        <v>5</v>
      </c>
      <c r="E1346" t="inlineStr">
        <is>
          <t>MEDIUM</t>
        </is>
      </c>
      <c r="F1346" t="n">
        <v>2</v>
      </c>
      <c r="G1346" t="n">
        <v>2</v>
      </c>
      <c r="H1346" t="inlineStr">
        <is>
          <t>MEDIUM</t>
        </is>
      </c>
      <c r="I1346" t="n">
        <v>9</v>
      </c>
      <c r="J1346" t="inlineStr">
        <is>
          <t>NO</t>
        </is>
      </c>
      <c r="K1346" t="inlineStr">
        <is>
          <t>2026-02-23 23:48</t>
        </is>
      </c>
      <c r="L1346" t="inlineStr">
        <is>
          <t>CHECK_VENDOR</t>
        </is>
      </c>
      <c r="M1346" t="inlineStr">
        <is>
          <t>See CVE details</t>
        </is>
      </c>
      <c r="N1346" t="inlineStr">
        <is>
          <t>P4</t>
        </is>
      </c>
      <c r="O1346" t="inlineStr">
        <is>
          <t>CVE - IP enrichment n/a</t>
        </is>
      </c>
      <c r="P1346" t="n">
        <v>0</v>
      </c>
      <c r="Q1346" t="n">
        <v>0</v>
      </c>
      <c r="R1346" t="inlineStr">
        <is>
          <t>T1190:Exploit Public-Facing Application</t>
        </is>
      </c>
      <c r="S1346" t="n">
        <v>1</v>
      </c>
      <c r="T1346" t="inlineStr">
        <is>
          <t>LOW (40%)</t>
        </is>
      </c>
      <c r="U1346" t="inlineStr">
        <is>
          <t>UNLIKELY</t>
        </is>
      </c>
      <c r="V1346" t="inlineStr">
        <is>
          <t>CHECK_VENDOR</t>
        </is>
      </c>
      <c r="W1346" t="inlineStr">
        <is>
          <t>https://nvd.nist.gov/vuln/detail/CVE-2026-3075</t>
        </is>
      </c>
      <c r="X1346" t="inlineStr">
        <is>
          <t>NONE</t>
        </is>
      </c>
      <c r="Y1346" t="n">
        <v>0</v>
      </c>
      <c r="Z1346" t="inlineStr"/>
      <c r="AA1346" t="inlineStr">
        <is>
          <t>https://nvd.nist.gov/vuln/detail/CVE-2026-3075</t>
        </is>
      </c>
    </row>
    <row r="1347">
      <c r="A1347" t="inlineStr">
        <is>
          <t>EXPLOIT</t>
        </is>
      </c>
      <c r="B1347" t="inlineStr">
        <is>
          <t>264ee764a350</t>
        </is>
      </c>
      <c r="C1347" t="inlineStr">
        <is>
          <t>[webapps] motionEye 0.43.1b4 - RCE</t>
        </is>
      </c>
      <c r="D1347" t="n">
        <v>7.5</v>
      </c>
      <c r="E1347" t="inlineStr">
        <is>
          <t>HIGH</t>
        </is>
      </c>
      <c r="F1347" t="n">
        <v>3</v>
      </c>
      <c r="G1347" t="n">
        <v>3</v>
      </c>
      <c r="H1347" t="inlineStr">
        <is>
          <t>CRITICAL</t>
        </is>
      </c>
      <c r="I1347" t="n">
        <v>16.5</v>
      </c>
      <c r="J1347" t="inlineStr">
        <is>
          <t>NO</t>
        </is>
      </c>
      <c r="K1347" t="inlineStr">
        <is>
          <t>2026-02-11 00:00</t>
        </is>
      </c>
      <c r="L1347" t="inlineStr">
        <is>
          <t>CHECK_VENDOR</t>
        </is>
      </c>
      <c r="M1347" t="inlineStr">
        <is>
          <t>Various</t>
        </is>
      </c>
      <c r="N1347" t="inlineStr">
        <is>
          <t>P1</t>
        </is>
      </c>
      <c r="O1347" t="inlineStr">
        <is>
          <t>Exploit - IP enrichment N/A</t>
        </is>
      </c>
      <c r="P1347" t="n">
        <v>0</v>
      </c>
      <c r="Q1347" t="n">
        <v>0</v>
      </c>
      <c r="R1347" t="inlineStr">
        <is>
          <t>T1203:Exploitation for Client Execution</t>
        </is>
      </c>
      <c r="S1347" t="n">
        <v>1</v>
      </c>
      <c r="T1347" t="inlineStr">
        <is>
          <t>LOW (40%)</t>
        </is>
      </c>
      <c r="U1347" t="inlineStr">
        <is>
          <t>YES</t>
        </is>
      </c>
      <c r="V1347" t="inlineStr">
        <is>
          <t>CHECK_VENDOR</t>
        </is>
      </c>
      <c r="W1347" t="inlineStr">
        <is>
          <t>https://www.exploit-db.com/exploits/52481</t>
        </is>
      </c>
      <c r="X1347" t="inlineStr">
        <is>
          <t>NONE</t>
        </is>
      </c>
      <c r="Y1347" t="n">
        <v>0</v>
      </c>
      <c r="Z1347" t="inlineStr"/>
      <c r="AA1347" t="inlineStr">
        <is>
          <t>https://www.exploit-db.com/exploits/52481</t>
        </is>
      </c>
    </row>
    <row r="1348">
      <c r="A1348" t="inlineStr">
        <is>
          <t>EXPLOIT</t>
        </is>
      </c>
      <c r="B1348" t="inlineStr">
        <is>
          <t>16c218acca5e</t>
        </is>
      </c>
      <c r="C1348" t="inlineStr">
        <is>
          <t>[remote] Windows 10.0.17763.7009 - spoofing vulnerability</t>
        </is>
      </c>
      <c r="D1348" t="n">
        <v>7.5</v>
      </c>
      <c r="E1348" t="inlineStr">
        <is>
          <t>HIGH</t>
        </is>
      </c>
      <c r="F1348" t="n">
        <v>3</v>
      </c>
      <c r="G1348" t="n">
        <v>3</v>
      </c>
      <c r="H1348" t="inlineStr">
        <is>
          <t>CRITICAL</t>
        </is>
      </c>
      <c r="I1348" t="n">
        <v>16.5</v>
      </c>
      <c r="J1348" t="inlineStr">
        <is>
          <t>NO</t>
        </is>
      </c>
      <c r="K1348" t="inlineStr">
        <is>
          <t>2026-02-11 00:00</t>
        </is>
      </c>
      <c r="L1348" t="inlineStr">
        <is>
          <t>CHECK_VENDOR</t>
        </is>
      </c>
      <c r="M1348" t="inlineStr">
        <is>
          <t>Various</t>
        </is>
      </c>
      <c r="N1348" t="inlineStr">
        <is>
          <t>P1</t>
        </is>
      </c>
      <c r="O1348" t="inlineStr">
        <is>
          <t>Exploit - IP enrichment N/A</t>
        </is>
      </c>
      <c r="P1348" t="n">
        <v>0</v>
      </c>
      <c r="Q1348" t="n">
        <v>0</v>
      </c>
      <c r="R1348" t="inlineStr">
        <is>
          <t>T1203:Exploitation for Client Execution</t>
        </is>
      </c>
      <c r="S1348" t="n">
        <v>1</v>
      </c>
      <c r="T1348" t="inlineStr">
        <is>
          <t>LOW (40%)</t>
        </is>
      </c>
      <c r="U1348" t="inlineStr">
        <is>
          <t>YES</t>
        </is>
      </c>
      <c r="V1348" t="inlineStr">
        <is>
          <t>CHECK_VENDOR</t>
        </is>
      </c>
      <c r="W1348" t="inlineStr">
        <is>
          <t>https://www.exploit-db.com/exploits/52480</t>
        </is>
      </c>
      <c r="X1348" t="inlineStr">
        <is>
          <t>NONE</t>
        </is>
      </c>
      <c r="Y1348" t="n">
        <v>0</v>
      </c>
      <c r="Z1348" t="inlineStr"/>
      <c r="AA1348" t="inlineStr">
        <is>
          <t>https://www.exploit-db.com/exploits/52480</t>
        </is>
      </c>
    </row>
    <row r="1349">
      <c r="A1349" t="inlineStr">
        <is>
          <t>EXPLOIT</t>
        </is>
      </c>
      <c r="B1349" t="inlineStr">
        <is>
          <t>08ba2a1cd543</t>
        </is>
      </c>
      <c r="C1349" t="inlineStr">
        <is>
          <t>[local] glibc 2.38 - Buffer Overflow</t>
        </is>
      </c>
      <c r="D1349" t="n">
        <v>7.5</v>
      </c>
      <c r="E1349" t="inlineStr">
        <is>
          <t>HIGH</t>
        </is>
      </c>
      <c r="F1349" t="n">
        <v>3</v>
      </c>
      <c r="G1349" t="n">
        <v>3</v>
      </c>
      <c r="H1349" t="inlineStr">
        <is>
          <t>CRITICAL</t>
        </is>
      </c>
      <c r="I1349" t="n">
        <v>16.5</v>
      </c>
      <c r="J1349" t="inlineStr">
        <is>
          <t>NO</t>
        </is>
      </c>
      <c r="K1349" t="inlineStr">
        <is>
          <t>2026-02-11 00:00</t>
        </is>
      </c>
      <c r="L1349" t="inlineStr">
        <is>
          <t>CHECK_VENDOR</t>
        </is>
      </c>
      <c r="M1349" t="inlineStr">
        <is>
          <t>Various</t>
        </is>
      </c>
      <c r="N1349" t="inlineStr">
        <is>
          <t>P1</t>
        </is>
      </c>
      <c r="O1349" t="inlineStr">
        <is>
          <t>Exploit - IP enrichment N/A</t>
        </is>
      </c>
      <c r="P1349" t="n">
        <v>0</v>
      </c>
      <c r="Q1349" t="n">
        <v>0</v>
      </c>
      <c r="R1349" t="inlineStr">
        <is>
          <t>T1203:Exploitation for Client Execution</t>
        </is>
      </c>
      <c r="S1349" t="n">
        <v>1</v>
      </c>
      <c r="T1349" t="inlineStr">
        <is>
          <t>LOW (40%)</t>
        </is>
      </c>
      <c r="U1349" t="inlineStr">
        <is>
          <t>YES</t>
        </is>
      </c>
      <c r="V1349" t="inlineStr">
        <is>
          <t>CHECK_VENDOR</t>
        </is>
      </c>
      <c r="W1349" t="inlineStr">
        <is>
          <t>https://www.exploit-db.com/exploits/52479</t>
        </is>
      </c>
      <c r="X1349" t="inlineStr">
        <is>
          <t>NONE</t>
        </is>
      </c>
      <c r="Y1349" t="n">
        <v>0</v>
      </c>
      <c r="Z1349" t="inlineStr"/>
      <c r="AA1349" t="inlineStr">
        <is>
          <t>https://www.exploit-db.com/exploits/52479</t>
        </is>
      </c>
    </row>
    <row r="1350">
      <c r="A1350" t="inlineStr">
        <is>
          <t>EXPLOIT</t>
        </is>
      </c>
      <c r="B1350" t="inlineStr">
        <is>
          <t>e684f84451aa</t>
        </is>
      </c>
      <c r="C1350" t="inlineStr">
        <is>
          <t>[remote] windows 10/11 - NTLM Hash Disclosure Spoofing</t>
        </is>
      </c>
      <c r="D1350" t="n">
        <v>7.5</v>
      </c>
      <c r="E1350" t="inlineStr">
        <is>
          <t>HIGH</t>
        </is>
      </c>
      <c r="F1350" t="n">
        <v>3</v>
      </c>
      <c r="G1350" t="n">
        <v>3</v>
      </c>
      <c r="H1350" t="inlineStr">
        <is>
          <t>CRITICAL</t>
        </is>
      </c>
      <c r="I1350" t="n">
        <v>16.5</v>
      </c>
      <c r="J1350" t="inlineStr">
        <is>
          <t>NO</t>
        </is>
      </c>
      <c r="K1350" t="inlineStr">
        <is>
          <t>2026-02-04 00:00</t>
        </is>
      </c>
      <c r="L1350" t="inlineStr">
        <is>
          <t>CHECK_VENDOR</t>
        </is>
      </c>
      <c r="M1350" t="inlineStr">
        <is>
          <t>Various</t>
        </is>
      </c>
      <c r="N1350" t="inlineStr">
        <is>
          <t>P1</t>
        </is>
      </c>
      <c r="O1350" t="inlineStr">
        <is>
          <t>Exploit - IP enrichment N/A</t>
        </is>
      </c>
      <c r="P1350" t="n">
        <v>0</v>
      </c>
      <c r="Q1350" t="n">
        <v>0</v>
      </c>
      <c r="R1350" t="inlineStr">
        <is>
          <t>T1203:Exploitation for Client Execution</t>
        </is>
      </c>
      <c r="S1350" t="n">
        <v>1</v>
      </c>
      <c r="T1350" t="inlineStr">
        <is>
          <t>LOW (40%)</t>
        </is>
      </c>
      <c r="U1350" t="inlineStr">
        <is>
          <t>YES</t>
        </is>
      </c>
      <c r="V1350" t="inlineStr">
        <is>
          <t>CHECK_VENDOR</t>
        </is>
      </c>
      <c r="W1350" t="inlineStr">
        <is>
          <t>https://www.exploit-db.com/exploits/52478</t>
        </is>
      </c>
      <c r="X1350" t="inlineStr">
        <is>
          <t>NONE</t>
        </is>
      </c>
      <c r="Y1350" t="n">
        <v>0</v>
      </c>
      <c r="Z1350" t="inlineStr"/>
      <c r="AA1350" t="inlineStr">
        <is>
          <t>https://www.exploit-db.com/exploits/52478</t>
        </is>
      </c>
    </row>
    <row r="1351">
      <c r="A1351" t="inlineStr">
        <is>
          <t>EXPLOIT</t>
        </is>
      </c>
      <c r="B1351" t="inlineStr">
        <is>
          <t>fdac721057d5</t>
        </is>
      </c>
      <c r="C1351" t="inlineStr">
        <is>
          <t>[remote] Redis 8.0.2 - RCE</t>
        </is>
      </c>
      <c r="D1351" t="n">
        <v>7.5</v>
      </c>
      <c r="E1351" t="inlineStr">
        <is>
          <t>HIGH</t>
        </is>
      </c>
      <c r="F1351" t="n">
        <v>3</v>
      </c>
      <c r="G1351" t="n">
        <v>3</v>
      </c>
      <c r="H1351" t="inlineStr">
        <is>
          <t>CRITICAL</t>
        </is>
      </c>
      <c r="I1351" t="n">
        <v>16.5</v>
      </c>
      <c r="J1351" t="inlineStr">
        <is>
          <t>NO</t>
        </is>
      </c>
      <c r="K1351" t="inlineStr">
        <is>
          <t>2026-02-04 00:00</t>
        </is>
      </c>
      <c r="L1351" t="inlineStr">
        <is>
          <t>CHECK_VENDOR</t>
        </is>
      </c>
      <c r="M1351" t="inlineStr">
        <is>
          <t>Various</t>
        </is>
      </c>
      <c r="N1351" t="inlineStr">
        <is>
          <t>P1</t>
        </is>
      </c>
      <c r="O1351" t="inlineStr">
        <is>
          <t>Exploit - IP enrichment N/A</t>
        </is>
      </c>
      <c r="P1351" t="n">
        <v>0</v>
      </c>
      <c r="Q1351" t="n">
        <v>0</v>
      </c>
      <c r="R1351" t="inlineStr">
        <is>
          <t>T1203:Exploitation for Client Execution</t>
        </is>
      </c>
      <c r="S1351" t="n">
        <v>1</v>
      </c>
      <c r="T1351" t="inlineStr">
        <is>
          <t>LOW (40%)</t>
        </is>
      </c>
      <c r="U1351" t="inlineStr">
        <is>
          <t>YES</t>
        </is>
      </c>
      <c r="V1351" t="inlineStr">
        <is>
          <t>CHECK_VENDOR</t>
        </is>
      </c>
      <c r="W1351" t="inlineStr">
        <is>
          <t>https://www.exploit-db.com/exploits/52477</t>
        </is>
      </c>
      <c r="X1351" t="inlineStr">
        <is>
          <t>NONE</t>
        </is>
      </c>
      <c r="Y1351" t="n">
        <v>0</v>
      </c>
      <c r="Z1351" t="inlineStr"/>
      <c r="AA1351" t="inlineStr">
        <is>
          <t>https://www.exploit-db.com/exploits/52477</t>
        </is>
      </c>
    </row>
    <row r="1352">
      <c r="A1352" t="inlineStr">
        <is>
          <t>EXPLOIT</t>
        </is>
      </c>
      <c r="B1352" t="inlineStr">
        <is>
          <t>b844108c7945</t>
        </is>
      </c>
      <c r="C1352" t="inlineStr">
        <is>
          <t>[webapps] OctoPrint 1.11.2 - File Upload</t>
        </is>
      </c>
      <c r="D1352" t="n">
        <v>7.5</v>
      </c>
      <c r="E1352" t="inlineStr">
        <is>
          <t>HIGH</t>
        </is>
      </c>
      <c r="F1352" t="n">
        <v>3</v>
      </c>
      <c r="G1352" t="n">
        <v>3</v>
      </c>
      <c r="H1352" t="inlineStr">
        <is>
          <t>CRITICAL</t>
        </is>
      </c>
      <c r="I1352" t="n">
        <v>16.5</v>
      </c>
      <c r="J1352" t="inlineStr">
        <is>
          <t>NO</t>
        </is>
      </c>
      <c r="K1352" t="inlineStr">
        <is>
          <t>2026-02-04 00:00</t>
        </is>
      </c>
      <c r="L1352" t="inlineStr">
        <is>
          <t>CHECK_VENDOR</t>
        </is>
      </c>
      <c r="M1352" t="inlineStr">
        <is>
          <t>Various</t>
        </is>
      </c>
      <c r="N1352" t="inlineStr">
        <is>
          <t>P1</t>
        </is>
      </c>
      <c r="O1352" t="inlineStr">
        <is>
          <t>Exploit - IP enrichment N/A</t>
        </is>
      </c>
      <c r="P1352" t="n">
        <v>0</v>
      </c>
      <c r="Q1352" t="n">
        <v>0</v>
      </c>
      <c r="R1352" t="inlineStr">
        <is>
          <t>T1203:Exploitation for Client Execution</t>
        </is>
      </c>
      <c r="S1352" t="n">
        <v>1</v>
      </c>
      <c r="T1352" t="inlineStr">
        <is>
          <t>LOW (40%)</t>
        </is>
      </c>
      <c r="U1352" t="inlineStr">
        <is>
          <t>YES</t>
        </is>
      </c>
      <c r="V1352" t="inlineStr">
        <is>
          <t>CHECK_VENDOR</t>
        </is>
      </c>
      <c r="W1352" t="inlineStr">
        <is>
          <t>https://www.exploit-db.com/exploits/52476</t>
        </is>
      </c>
      <c r="X1352" t="inlineStr">
        <is>
          <t>NONE</t>
        </is>
      </c>
      <c r="Y1352" t="n">
        <v>0</v>
      </c>
      <c r="Z1352" t="inlineStr"/>
      <c r="AA1352" t="inlineStr">
        <is>
          <t>https://www.exploit-db.com/exploits/52476</t>
        </is>
      </c>
    </row>
    <row r="1353">
      <c r="A1353" t="inlineStr">
        <is>
          <t>EXPLOIT</t>
        </is>
      </c>
      <c r="B1353" t="inlineStr">
        <is>
          <t>1453e19b6a2e</t>
        </is>
      </c>
      <c r="C1353" t="inlineStr">
        <is>
          <t>[remote] Ingress-NGINX Admission Controller v1.11.1 - FD Injection to RCE</t>
        </is>
      </c>
      <c r="D1353" t="n">
        <v>7.5</v>
      </c>
      <c r="E1353" t="inlineStr">
        <is>
          <t>HIGH</t>
        </is>
      </c>
      <c r="F1353" t="n">
        <v>3</v>
      </c>
      <c r="G1353" t="n">
        <v>3</v>
      </c>
      <c r="H1353" t="inlineStr">
        <is>
          <t>CRITICAL</t>
        </is>
      </c>
      <c r="I1353" t="n">
        <v>16.5</v>
      </c>
      <c r="J1353" t="inlineStr">
        <is>
          <t>NO</t>
        </is>
      </c>
      <c r="K1353" t="inlineStr">
        <is>
          <t>2026-02-04 00:00</t>
        </is>
      </c>
      <c r="L1353" t="inlineStr">
        <is>
          <t>CHECK_VENDOR</t>
        </is>
      </c>
      <c r="M1353" t="inlineStr">
        <is>
          <t>Various</t>
        </is>
      </c>
      <c r="N1353" t="inlineStr">
        <is>
          <t>P1</t>
        </is>
      </c>
      <c r="O1353" t="inlineStr">
        <is>
          <t>Exploit - IP enrichment N/A</t>
        </is>
      </c>
      <c r="P1353" t="n">
        <v>0</v>
      </c>
      <c r="Q1353" t="n">
        <v>0</v>
      </c>
      <c r="R1353" t="inlineStr">
        <is>
          <t>T1203:Exploitation for Client Execution</t>
        </is>
      </c>
      <c r="S1353" t="n">
        <v>1</v>
      </c>
      <c r="T1353" t="inlineStr">
        <is>
          <t>LOW (40%)</t>
        </is>
      </c>
      <c r="U1353" t="inlineStr">
        <is>
          <t>YES</t>
        </is>
      </c>
      <c r="V1353" t="inlineStr">
        <is>
          <t>CHECK_VENDOR</t>
        </is>
      </c>
      <c r="W1353" t="inlineStr">
        <is>
          <t>https://www.exploit-db.com/exploits/52475</t>
        </is>
      </c>
      <c r="X1353" t="inlineStr">
        <is>
          <t>NONE</t>
        </is>
      </c>
      <c r="Y1353" t="n">
        <v>0</v>
      </c>
      <c r="Z1353" t="inlineStr"/>
      <c r="AA1353" t="inlineStr">
        <is>
          <t>https://www.exploit-db.com/exploits/52475</t>
        </is>
      </c>
    </row>
    <row r="1354">
      <c r="A1354" t="inlineStr">
        <is>
          <t>EXPLOIT</t>
        </is>
      </c>
      <c r="B1354" t="inlineStr">
        <is>
          <t>4430cf019b0f</t>
        </is>
      </c>
      <c r="C1354" t="inlineStr">
        <is>
          <t>[webapps] aiohttp 3.9.1 - directory traversal PoC</t>
        </is>
      </c>
      <c r="D1354" t="n">
        <v>7.5</v>
      </c>
      <c r="E1354" t="inlineStr">
        <is>
          <t>HIGH</t>
        </is>
      </c>
      <c r="F1354" t="n">
        <v>3</v>
      </c>
      <c r="G1354" t="n">
        <v>3</v>
      </c>
      <c r="H1354" t="inlineStr">
        <is>
          <t>CRITICAL</t>
        </is>
      </c>
      <c r="I1354" t="n">
        <v>16.5</v>
      </c>
      <c r="J1354" t="inlineStr">
        <is>
          <t>NO</t>
        </is>
      </c>
      <c r="K1354" t="inlineStr">
        <is>
          <t>2026-02-04 00:00</t>
        </is>
      </c>
      <c r="L1354" t="inlineStr">
        <is>
          <t>CHECK_VENDOR</t>
        </is>
      </c>
      <c r="M1354" t="inlineStr">
        <is>
          <t>Various</t>
        </is>
      </c>
      <c r="N1354" t="inlineStr">
        <is>
          <t>P1</t>
        </is>
      </c>
      <c r="O1354" t="inlineStr">
        <is>
          <t>Exploit - IP enrichment N/A</t>
        </is>
      </c>
      <c r="P1354" t="n">
        <v>0</v>
      </c>
      <c r="Q1354" t="n">
        <v>0</v>
      </c>
      <c r="R1354" t="inlineStr">
        <is>
          <t>T1203:Exploitation for Client Execution</t>
        </is>
      </c>
      <c r="S1354" t="n">
        <v>1</v>
      </c>
      <c r="T1354" t="inlineStr">
        <is>
          <t>LOW (40%)</t>
        </is>
      </c>
      <c r="U1354" t="inlineStr">
        <is>
          <t>YES</t>
        </is>
      </c>
      <c r="V1354" t="inlineStr">
        <is>
          <t>CHECK_VENDOR</t>
        </is>
      </c>
      <c r="W1354" t="inlineStr">
        <is>
          <t>https://www.exploit-db.com/exploits/52474</t>
        </is>
      </c>
      <c r="X1354" t="inlineStr">
        <is>
          <t>NONE</t>
        </is>
      </c>
      <c r="Y1354" t="n">
        <v>0</v>
      </c>
      <c r="Z1354" t="inlineStr"/>
      <c r="AA1354" t="inlineStr">
        <is>
          <t>https://www.exploit-db.com/exploits/52474</t>
        </is>
      </c>
    </row>
    <row r="1355">
      <c r="A1355" t="inlineStr">
        <is>
          <t>EXPLOIT</t>
        </is>
      </c>
      <c r="B1355" t="inlineStr">
        <is>
          <t>6789a52381fc</t>
        </is>
      </c>
      <c r="C1355" t="inlineStr">
        <is>
          <t>[webapps] FortiWeb Fabric Connector 7.6.x - SQL Injection to Remote Code Execution</t>
        </is>
      </c>
      <c r="D1355" t="n">
        <v>7.5</v>
      </c>
      <c r="E1355" t="inlineStr">
        <is>
          <t>HIGH</t>
        </is>
      </c>
      <c r="F1355" t="n">
        <v>3</v>
      </c>
      <c r="G1355" t="n">
        <v>3</v>
      </c>
      <c r="H1355" t="inlineStr">
        <is>
          <t>CRITICAL</t>
        </is>
      </c>
      <c r="I1355" t="n">
        <v>16.5</v>
      </c>
      <c r="J1355" t="inlineStr">
        <is>
          <t>NO</t>
        </is>
      </c>
      <c r="K1355" t="inlineStr">
        <is>
          <t>2026-02-04 00:00</t>
        </is>
      </c>
      <c r="L1355" t="inlineStr">
        <is>
          <t>CHECK_VENDOR</t>
        </is>
      </c>
      <c r="M1355" t="inlineStr">
        <is>
          <t>Various</t>
        </is>
      </c>
      <c r="N1355" t="inlineStr">
        <is>
          <t>P1</t>
        </is>
      </c>
      <c r="O1355" t="inlineStr">
        <is>
          <t>Exploit - IP enrichment N/A</t>
        </is>
      </c>
      <c r="P1355" t="n">
        <v>0</v>
      </c>
      <c r="Q1355" t="n">
        <v>0</v>
      </c>
      <c r="R1355" t="inlineStr">
        <is>
          <t>T1203:Exploitation for Client Execution</t>
        </is>
      </c>
      <c r="S1355" t="n">
        <v>1</v>
      </c>
      <c r="T1355" t="inlineStr">
        <is>
          <t>LOW (40%)</t>
        </is>
      </c>
      <c r="U1355" t="inlineStr">
        <is>
          <t>YES</t>
        </is>
      </c>
      <c r="V1355" t="inlineStr">
        <is>
          <t>CHECK_VENDOR</t>
        </is>
      </c>
      <c r="W1355" t="inlineStr">
        <is>
          <t>https://www.exploit-db.com/exploits/52473</t>
        </is>
      </c>
      <c r="X1355" t="inlineStr">
        <is>
          <t>NONE</t>
        </is>
      </c>
      <c r="Y1355" t="n">
        <v>0</v>
      </c>
      <c r="Z1355" t="inlineStr"/>
      <c r="AA1355" t="inlineStr">
        <is>
          <t>https://www.exploit-db.com/exploits/52473</t>
        </is>
      </c>
    </row>
    <row r="1356">
      <c r="A1356" t="inlineStr">
        <is>
          <t>EXPLOIT</t>
        </is>
      </c>
      <c r="B1356" t="inlineStr">
        <is>
          <t>8aa4096ab8cc</t>
        </is>
      </c>
      <c r="C1356" t="inlineStr">
        <is>
          <t>[local] Docker Desktop 4.44.3 - Unauthenticated  API Exposure</t>
        </is>
      </c>
      <c r="D1356" t="n">
        <v>7.5</v>
      </c>
      <c r="E1356" t="inlineStr">
        <is>
          <t>HIGH</t>
        </is>
      </c>
      <c r="F1356" t="n">
        <v>3</v>
      </c>
      <c r="G1356" t="n">
        <v>3</v>
      </c>
      <c r="H1356" t="inlineStr">
        <is>
          <t>CRITICAL</t>
        </is>
      </c>
      <c r="I1356" t="n">
        <v>16.5</v>
      </c>
      <c r="J1356" t="inlineStr">
        <is>
          <t>NO</t>
        </is>
      </c>
      <c r="K1356" t="inlineStr">
        <is>
          <t>2026-02-04 00:00</t>
        </is>
      </c>
      <c r="L1356" t="inlineStr">
        <is>
          <t>CHECK_VENDOR</t>
        </is>
      </c>
      <c r="M1356" t="inlineStr">
        <is>
          <t>Various</t>
        </is>
      </c>
      <c r="N1356" t="inlineStr">
        <is>
          <t>P1</t>
        </is>
      </c>
      <c r="O1356" t="inlineStr">
        <is>
          <t>Exploit - IP enrichment N/A</t>
        </is>
      </c>
      <c r="P1356" t="n">
        <v>0</v>
      </c>
      <c r="Q1356" t="n">
        <v>0</v>
      </c>
      <c r="R1356" t="inlineStr">
        <is>
          <t>T1203:Exploitation for Client Execution</t>
        </is>
      </c>
      <c r="S1356" t="n">
        <v>1</v>
      </c>
      <c r="T1356" t="inlineStr">
        <is>
          <t>LOW (40%)</t>
        </is>
      </c>
      <c r="U1356" t="inlineStr">
        <is>
          <t>YES</t>
        </is>
      </c>
      <c r="V1356" t="inlineStr">
        <is>
          <t>CHECK_VENDOR</t>
        </is>
      </c>
      <c r="W1356" t="inlineStr">
        <is>
          <t>https://www.exploit-db.com/exploits/52472</t>
        </is>
      </c>
      <c r="X1356" t="inlineStr">
        <is>
          <t>NONE</t>
        </is>
      </c>
      <c r="Y1356" t="n">
        <v>0</v>
      </c>
      <c r="Z1356" t="inlineStr"/>
      <c r="AA1356" t="inlineStr">
        <is>
          <t>https://www.exploit-db.com/exploits/52472</t>
        </is>
      </c>
    </row>
    <row r="1357">
      <c r="A1357" t="inlineStr">
        <is>
          <t>EXPLOIT</t>
        </is>
      </c>
      <c r="B1357" t="inlineStr">
        <is>
          <t>76316903045d</t>
        </is>
      </c>
      <c r="C1357" t="inlineStr">
        <is>
          <t>[webapps] Piranha CMS 12.0 - Stored XSS in Text Block</t>
        </is>
      </c>
      <c r="D1357" t="n">
        <v>7.5</v>
      </c>
      <c r="E1357" t="inlineStr">
        <is>
          <t>HIGH</t>
        </is>
      </c>
      <c r="F1357" t="n">
        <v>3</v>
      </c>
      <c r="G1357" t="n">
        <v>3</v>
      </c>
      <c r="H1357" t="inlineStr">
        <is>
          <t>CRITICAL</t>
        </is>
      </c>
      <c r="I1357" t="n">
        <v>16.5</v>
      </c>
      <c r="J1357" t="inlineStr">
        <is>
          <t>NO</t>
        </is>
      </c>
      <c r="K1357" t="inlineStr">
        <is>
          <t>2026-02-02 00:00</t>
        </is>
      </c>
      <c r="L1357" t="inlineStr">
        <is>
          <t>CHECK_VENDOR</t>
        </is>
      </c>
      <c r="M1357" t="inlineStr">
        <is>
          <t>Various</t>
        </is>
      </c>
      <c r="N1357" t="inlineStr">
        <is>
          <t>P1</t>
        </is>
      </c>
      <c r="O1357" t="inlineStr">
        <is>
          <t>Exploit - IP enrichment N/A</t>
        </is>
      </c>
      <c r="P1357" t="n">
        <v>0</v>
      </c>
      <c r="Q1357" t="n">
        <v>0</v>
      </c>
      <c r="R1357" t="inlineStr">
        <is>
          <t>T1203:Exploitation for Client Execution</t>
        </is>
      </c>
      <c r="S1357" t="n">
        <v>1</v>
      </c>
      <c r="T1357" t="inlineStr">
        <is>
          <t>LOW (40%)</t>
        </is>
      </c>
      <c r="U1357" t="inlineStr">
        <is>
          <t>YES</t>
        </is>
      </c>
      <c r="V1357" t="inlineStr">
        <is>
          <t>CHECK_VENDOR</t>
        </is>
      </c>
      <c r="W1357" t="inlineStr">
        <is>
          <t>https://www.exploit-db.com/exploits/52471</t>
        </is>
      </c>
      <c r="X1357" t="inlineStr">
        <is>
          <t>NONE</t>
        </is>
      </c>
      <c r="Y1357" t="n">
        <v>0</v>
      </c>
      <c r="Z1357" t="inlineStr"/>
      <c r="AA1357" t="inlineStr">
        <is>
          <t>https://www.exploit-db.com/exploits/52471</t>
        </is>
      </c>
    </row>
    <row r="1358">
      <c r="A1358" t="inlineStr">
        <is>
          <t>EXPLOIT</t>
        </is>
      </c>
      <c r="B1358" t="inlineStr">
        <is>
          <t>e89317565977</t>
        </is>
      </c>
      <c r="C1358" t="inlineStr">
        <is>
          <t>[webapps] RPi-Jukebox-RFID 2.8.0 - Stored Cross-Site Scripting (XSS)</t>
        </is>
      </c>
      <c r="D1358" t="n">
        <v>7.5</v>
      </c>
      <c r="E1358" t="inlineStr">
        <is>
          <t>HIGH</t>
        </is>
      </c>
      <c r="F1358" t="n">
        <v>3</v>
      </c>
      <c r="G1358" t="n">
        <v>3</v>
      </c>
      <c r="H1358" t="inlineStr">
        <is>
          <t>CRITICAL</t>
        </is>
      </c>
      <c r="I1358" t="n">
        <v>16.5</v>
      </c>
      <c r="J1358" t="inlineStr">
        <is>
          <t>NO</t>
        </is>
      </c>
      <c r="K1358" t="inlineStr">
        <is>
          <t>2026-02-02 00:00</t>
        </is>
      </c>
      <c r="L1358" t="inlineStr">
        <is>
          <t>CHECK_VENDOR</t>
        </is>
      </c>
      <c r="M1358" t="inlineStr">
        <is>
          <t>Various</t>
        </is>
      </c>
      <c r="N1358" t="inlineStr">
        <is>
          <t>P1</t>
        </is>
      </c>
      <c r="O1358" t="inlineStr">
        <is>
          <t>Exploit - IP enrichment N/A</t>
        </is>
      </c>
      <c r="P1358" t="n">
        <v>0</v>
      </c>
      <c r="Q1358" t="n">
        <v>0</v>
      </c>
      <c r="R1358" t="inlineStr">
        <is>
          <t>T1203:Exploitation for Client Execution</t>
        </is>
      </c>
      <c r="S1358" t="n">
        <v>1</v>
      </c>
      <c r="T1358" t="inlineStr">
        <is>
          <t>LOW (40%)</t>
        </is>
      </c>
      <c r="U1358" t="inlineStr">
        <is>
          <t>YES</t>
        </is>
      </c>
      <c r="V1358" t="inlineStr">
        <is>
          <t>CHECK_VENDOR</t>
        </is>
      </c>
      <c r="W1358" t="inlineStr">
        <is>
          <t>https://www.exploit-db.com/exploits/52470</t>
        </is>
      </c>
      <c r="X1358" t="inlineStr">
        <is>
          <t>NONE</t>
        </is>
      </c>
      <c r="Y1358" t="n">
        <v>0</v>
      </c>
      <c r="Z1358" t="inlineStr"/>
      <c r="AA1358" t="inlineStr">
        <is>
          <t>https://www.exploit-db.com/exploits/52470</t>
        </is>
      </c>
    </row>
    <row r="1359">
      <c r="A1359" t="inlineStr">
        <is>
          <t>EXPLOIT</t>
        </is>
      </c>
      <c r="B1359" t="inlineStr">
        <is>
          <t>1c351f3b56ac</t>
        </is>
      </c>
      <c r="C1359" t="inlineStr">
        <is>
          <t>[hardware] D-Link DIR-825 Rev.B 2.10 - Stack Buffer Overflow (DoS)</t>
        </is>
      </c>
      <c r="D1359" t="n">
        <v>7.5</v>
      </c>
      <c r="E1359" t="inlineStr">
        <is>
          <t>HIGH</t>
        </is>
      </c>
      <c r="F1359" t="n">
        <v>3</v>
      </c>
      <c r="G1359" t="n">
        <v>3</v>
      </c>
      <c r="H1359" t="inlineStr">
        <is>
          <t>CRITICAL</t>
        </is>
      </c>
      <c r="I1359" t="n">
        <v>16.5</v>
      </c>
      <c r="J1359" t="inlineStr">
        <is>
          <t>NO</t>
        </is>
      </c>
      <c r="K1359" t="inlineStr">
        <is>
          <t>2026-02-02 00:00</t>
        </is>
      </c>
      <c r="L1359" t="inlineStr">
        <is>
          <t>CHECK_VENDOR</t>
        </is>
      </c>
      <c r="M1359" t="inlineStr">
        <is>
          <t>Various</t>
        </is>
      </c>
      <c r="N1359" t="inlineStr">
        <is>
          <t>P1</t>
        </is>
      </c>
      <c r="O1359" t="inlineStr">
        <is>
          <t>Exploit - IP enrichment N/A</t>
        </is>
      </c>
      <c r="P1359" t="n">
        <v>0</v>
      </c>
      <c r="Q1359" t="n">
        <v>0</v>
      </c>
      <c r="R1359" t="inlineStr">
        <is>
          <t>T1203:Exploitation for Client Execution</t>
        </is>
      </c>
      <c r="S1359" t="n">
        <v>1</v>
      </c>
      <c r="T1359" t="inlineStr">
        <is>
          <t>LOW (40%)</t>
        </is>
      </c>
      <c r="U1359" t="inlineStr">
        <is>
          <t>YES</t>
        </is>
      </c>
      <c r="V1359" t="inlineStr">
        <is>
          <t>CHECK_VENDOR</t>
        </is>
      </c>
      <c r="W1359" t="inlineStr">
        <is>
          <t>https://www.exploit-db.com/exploits/52469</t>
        </is>
      </c>
      <c r="X1359" t="inlineStr">
        <is>
          <t>NONE</t>
        </is>
      </c>
      <c r="Y1359" t="n">
        <v>0</v>
      </c>
      <c r="Z1359" t="inlineStr"/>
      <c r="AA1359" t="inlineStr">
        <is>
          <t>https://www.exploit-db.com/exploits/52469</t>
        </is>
      </c>
    </row>
    <row r="1360">
      <c r="A1360" t="inlineStr">
        <is>
          <t>GH_ADVISORY</t>
        </is>
      </c>
      <c r="B1360" t="inlineStr">
        <is>
          <t>GHSA-cxpw-2g23-2vgw</t>
        </is>
      </c>
      <c r="C1360" t="inlineStr">
        <is>
          <t>OpenClaw: ACP prompt-size checks missing in local stdio bridge could reduce responsiveness with very large inputs</t>
        </is>
      </c>
      <c r="D1360" t="n">
        <v>7</v>
      </c>
      <c r="E1360" t="inlineStr">
        <is>
          <t>MEDIUM</t>
        </is>
      </c>
      <c r="F1360" t="n">
        <v>2</v>
      </c>
      <c r="G1360" t="n">
        <v>2</v>
      </c>
      <c r="H1360" t="inlineStr">
        <is>
          <t>MEDIUM</t>
        </is>
      </c>
      <c r="I1360" t="n">
        <v>11</v>
      </c>
      <c r="J1360" t="inlineStr">
        <is>
          <t>NO</t>
        </is>
      </c>
      <c r="K1360" t="inlineStr">
        <is>
          <t>2026-02-20T21:52:44Z</t>
        </is>
      </c>
      <c r="L1360" t="inlineStr">
        <is>
          <t>CHECK_GITHUB</t>
        </is>
      </c>
      <c r="M1360" t="inlineStr">
        <is>
          <t>openclaw</t>
        </is>
      </c>
      <c r="N1360" t="inlineStr">
        <is>
          <t>P4</t>
        </is>
      </c>
      <c r="O1360" t="inlineStr">
        <is>
          <t>Advisory - IP enrichment N/A</t>
        </is>
      </c>
      <c r="P1360" t="n">
        <v>0</v>
      </c>
      <c r="Q1360" t="n">
        <v>0</v>
      </c>
      <c r="R1360" t="inlineStr">
        <is>
          <t>T1190:Exploit Public-Facing Application</t>
        </is>
      </c>
      <c r="S1360" t="n">
        <v>1</v>
      </c>
      <c r="T1360" t="inlineStr">
        <is>
          <t>LOW (40%)</t>
        </is>
      </c>
      <c r="U1360" t="inlineStr">
        <is>
          <t>CHECK_GITHUB</t>
        </is>
      </c>
      <c r="V1360" t="inlineStr">
        <is>
          <t>YES</t>
        </is>
      </c>
      <c r="W1360" t="inlineStr">
        <is>
          <t>https://github.com/advisories/GHSA-cxpw-2g23-2vgw</t>
        </is>
      </c>
      <c r="X1360" t="inlineStr">
        <is>
          <t>NONE</t>
        </is>
      </c>
      <c r="Y1360" t="n">
        <v>0</v>
      </c>
      <c r="Z1360" t="inlineStr"/>
      <c r="AA1360" t="inlineStr">
        <is>
          <t>https://github.com/advisories/GHSA-cxpw-2g23-2vgw</t>
        </is>
      </c>
    </row>
    <row r="1361">
      <c r="A1361" t="inlineStr">
        <is>
          <t>GH_ADVISORY</t>
        </is>
      </c>
      <c r="B1361" t="inlineStr">
        <is>
          <t>GHSA-qv8j-hgpc-vrq8</t>
        </is>
      </c>
      <c r="C1361" t="inlineStr">
        <is>
          <t>Google Cloud Vertex AI SDK affected by Stored Cross-Site Scripting (XSS)</t>
        </is>
      </c>
      <c r="D1361" t="n">
        <v>7</v>
      </c>
      <c r="E1361" t="inlineStr">
        <is>
          <t>HIGH</t>
        </is>
      </c>
      <c r="F1361" t="n">
        <v>2</v>
      </c>
      <c r="G1361" t="n">
        <v>2</v>
      </c>
      <c r="H1361" t="inlineStr">
        <is>
          <t>MEDIUM</t>
        </is>
      </c>
      <c r="I1361" t="n">
        <v>11</v>
      </c>
      <c r="J1361" t="inlineStr">
        <is>
          <t>NO</t>
        </is>
      </c>
      <c r="K1361" t="inlineStr">
        <is>
          <t>2026-02-20T21:31:24Z</t>
        </is>
      </c>
      <c r="L1361" t="inlineStr">
        <is>
          <t>CHECK_GITHUB</t>
        </is>
      </c>
      <c r="M1361" t="inlineStr">
        <is>
          <t>google-cloud-aiplatform</t>
        </is>
      </c>
      <c r="N1361" t="inlineStr">
        <is>
          <t>P4</t>
        </is>
      </c>
      <c r="O1361" t="inlineStr">
        <is>
          <t>Advisory - IP enrichment N/A</t>
        </is>
      </c>
      <c r="P1361" t="n">
        <v>0</v>
      </c>
      <c r="Q1361" t="n">
        <v>0</v>
      </c>
      <c r="R1361" t="inlineStr">
        <is>
          <t>T1190:Exploit Public-Facing Application</t>
        </is>
      </c>
      <c r="S1361" t="n">
        <v>1</v>
      </c>
      <c r="T1361" t="inlineStr">
        <is>
          <t>LOW (40%)</t>
        </is>
      </c>
      <c r="U1361" t="inlineStr">
        <is>
          <t>CHECK_GITHUB</t>
        </is>
      </c>
      <c r="V1361" t="inlineStr">
        <is>
          <t>YES</t>
        </is>
      </c>
      <c r="W1361" t="inlineStr">
        <is>
          <t>https://github.com/advisories/GHSA-qv8j-hgpc-vrq8</t>
        </is>
      </c>
      <c r="X1361" t="inlineStr">
        <is>
          <t>NONE</t>
        </is>
      </c>
      <c r="Y1361" t="n">
        <v>0</v>
      </c>
      <c r="Z1361" t="inlineStr"/>
      <c r="AA1361" t="inlineStr">
        <is>
          <t>https://github.com/advisories/GHSA-qv8j-hgpc-vrq8</t>
        </is>
      </c>
    </row>
    <row r="1362">
      <c r="A1362" t="inlineStr">
        <is>
          <t>GH_ADVISORY</t>
        </is>
      </c>
      <c r="B1362" t="inlineStr">
        <is>
          <t>GHSA-wh2j-26j7-9728</t>
        </is>
      </c>
      <c r="C1362" t="inlineStr">
        <is>
          <t>Google Cloud Vertex AI has a a vulnerability involving predictable bucket naming</t>
        </is>
      </c>
      <c r="D1362" t="n">
        <v>7</v>
      </c>
      <c r="E1362" t="inlineStr">
        <is>
          <t>HIGH</t>
        </is>
      </c>
      <c r="F1362" t="n">
        <v>2</v>
      </c>
      <c r="G1362" t="n">
        <v>2</v>
      </c>
      <c r="H1362" t="inlineStr">
        <is>
          <t>MEDIUM</t>
        </is>
      </c>
      <c r="I1362" t="n">
        <v>11</v>
      </c>
      <c r="J1362" t="inlineStr">
        <is>
          <t>NO</t>
        </is>
      </c>
      <c r="K1362" t="inlineStr">
        <is>
          <t>2026-02-20T21:31:24Z</t>
        </is>
      </c>
      <c r="L1362" t="inlineStr">
        <is>
          <t>CHECK_GITHUB</t>
        </is>
      </c>
      <c r="M1362" t="inlineStr">
        <is>
          <t>google-cloud-aiplatform</t>
        </is>
      </c>
      <c r="N1362" t="inlineStr">
        <is>
          <t>P4</t>
        </is>
      </c>
      <c r="O1362" t="inlineStr">
        <is>
          <t>Advisory - IP enrichment N/A</t>
        </is>
      </c>
      <c r="P1362" t="n">
        <v>0</v>
      </c>
      <c r="Q1362" t="n">
        <v>0</v>
      </c>
      <c r="R1362" t="inlineStr">
        <is>
          <t>T1190:Exploit Public-Facing Application</t>
        </is>
      </c>
      <c r="S1362" t="n">
        <v>1</v>
      </c>
      <c r="T1362" t="inlineStr">
        <is>
          <t>LOW (40%)</t>
        </is>
      </c>
      <c r="U1362" t="inlineStr">
        <is>
          <t>CHECK_GITHUB</t>
        </is>
      </c>
      <c r="V1362" t="inlineStr">
        <is>
          <t>YES</t>
        </is>
      </c>
      <c r="W1362" t="inlineStr">
        <is>
          <t>https://github.com/advisories/GHSA-wh2j-26j7-9728</t>
        </is>
      </c>
      <c r="X1362" t="inlineStr">
        <is>
          <t>NONE</t>
        </is>
      </c>
      <c r="Y1362" t="n">
        <v>0</v>
      </c>
      <c r="Z1362" t="inlineStr"/>
      <c r="AA1362" t="inlineStr">
        <is>
          <t>https://github.com/advisories/GHSA-wh2j-26j7-9728</t>
        </is>
      </c>
    </row>
    <row r="1363">
      <c r="A1363" t="inlineStr">
        <is>
          <t>GH_ADVISORY</t>
        </is>
      </c>
      <c r="B1363" t="inlineStr">
        <is>
          <t>GHSA-q5fh-2hc8-f6rq</t>
        </is>
      </c>
      <c r="C1363" t="inlineStr">
        <is>
          <t>Ray dashboard DELETE endpoints allow unauthenticated browser-triggered DoS (Serve shutdown / job deletion)</t>
        </is>
      </c>
      <c r="D1363" t="n">
        <v>5.9</v>
      </c>
      <c r="E1363" t="inlineStr">
        <is>
          <t>MEDIUM</t>
        </is>
      </c>
      <c r="F1363" t="n">
        <v>2</v>
      </c>
      <c r="G1363" t="n">
        <v>2</v>
      </c>
      <c r="H1363" t="inlineStr">
        <is>
          <t>MEDIUM</t>
        </is>
      </c>
      <c r="I1363" t="n">
        <v>9.9</v>
      </c>
      <c r="J1363" t="inlineStr">
        <is>
          <t>NO</t>
        </is>
      </c>
      <c r="K1363" t="inlineStr">
        <is>
          <t>2026-02-20T21:15:25Z</t>
        </is>
      </c>
      <c r="L1363" t="inlineStr">
        <is>
          <t>CHECK_GITHUB</t>
        </is>
      </c>
      <c r="M1363" t="inlineStr">
        <is>
          <t>ray</t>
        </is>
      </c>
      <c r="N1363" t="inlineStr">
        <is>
          <t>P4</t>
        </is>
      </c>
      <c r="O1363" t="inlineStr">
        <is>
          <t>Advisory - IP enrichment N/A</t>
        </is>
      </c>
      <c r="P1363" t="n">
        <v>0</v>
      </c>
      <c r="Q1363" t="n">
        <v>0</v>
      </c>
      <c r="R1363" t="inlineStr">
        <is>
          <t>T1190:Exploit Public-Facing Application</t>
        </is>
      </c>
      <c r="S1363" t="n">
        <v>1</v>
      </c>
      <c r="T1363" t="inlineStr">
        <is>
          <t>LOW (40%)</t>
        </is>
      </c>
      <c r="U1363" t="inlineStr">
        <is>
          <t>CHECK_GITHUB</t>
        </is>
      </c>
      <c r="V1363" t="inlineStr">
        <is>
          <t>YES</t>
        </is>
      </c>
      <c r="W1363" t="inlineStr">
        <is>
          <t>https://github.com/advisories/GHSA-q5fh-2hc8-f6rq</t>
        </is>
      </c>
      <c r="X1363" t="inlineStr">
        <is>
          <t>NONE</t>
        </is>
      </c>
      <c r="Y1363" t="n">
        <v>0</v>
      </c>
      <c r="Z1363" t="inlineStr"/>
      <c r="AA1363" t="inlineStr">
        <is>
          <t>https://github.com/advisories/GHSA-q5fh-2hc8-f6rq</t>
        </is>
      </c>
    </row>
    <row r="1364">
      <c r="A1364" t="inlineStr">
        <is>
          <t>GH_ADVISORY</t>
        </is>
      </c>
      <c r="B1364" t="inlineStr">
        <is>
          <t>GHSA-rcqw-6466-3mv7</t>
        </is>
      </c>
      <c r="C1364" t="inlineStr">
        <is>
          <t>AVideo has Stored Cross-Site Scripting via Markdown Comment Injection</t>
        </is>
      </c>
      <c r="D1364" t="n">
        <v>7</v>
      </c>
      <c r="E1364" t="inlineStr">
        <is>
          <t>MEDIUM</t>
        </is>
      </c>
      <c r="F1364" t="n">
        <v>2</v>
      </c>
      <c r="G1364" t="n">
        <v>2</v>
      </c>
      <c r="H1364" t="inlineStr">
        <is>
          <t>MEDIUM</t>
        </is>
      </c>
      <c r="I1364" t="n">
        <v>11</v>
      </c>
      <c r="J1364" t="inlineStr">
        <is>
          <t>NO</t>
        </is>
      </c>
      <c r="K1364" t="inlineStr">
        <is>
          <t>2026-02-20T21:15:06Z</t>
        </is>
      </c>
      <c r="L1364" t="inlineStr">
        <is>
          <t>CHECK_GITHUB</t>
        </is>
      </c>
      <c r="M1364" t="inlineStr">
        <is>
          <t>wwbn/avideo</t>
        </is>
      </c>
      <c r="N1364" t="inlineStr">
        <is>
          <t>P4</t>
        </is>
      </c>
      <c r="O1364" t="inlineStr">
        <is>
          <t>Advisory - IP enrichment N/A</t>
        </is>
      </c>
      <c r="P1364" t="n">
        <v>0</v>
      </c>
      <c r="Q1364" t="n">
        <v>0</v>
      </c>
      <c r="R1364" t="inlineStr">
        <is>
          <t>T1190:Exploit Public-Facing Application</t>
        </is>
      </c>
      <c r="S1364" t="n">
        <v>1</v>
      </c>
      <c r="T1364" t="inlineStr">
        <is>
          <t>LOW (40%)</t>
        </is>
      </c>
      <c r="U1364" t="inlineStr">
        <is>
          <t>CHECK_GITHUB</t>
        </is>
      </c>
      <c r="V1364" t="inlineStr">
        <is>
          <t>YES</t>
        </is>
      </c>
      <c r="W1364" t="inlineStr">
        <is>
          <t>https://github.com/advisories/GHSA-rcqw-6466-3mv7</t>
        </is>
      </c>
      <c r="X1364" t="inlineStr">
        <is>
          <t>NONE</t>
        </is>
      </c>
      <c r="Y1364" t="n">
        <v>0</v>
      </c>
      <c r="Z1364" t="inlineStr"/>
      <c r="AA1364" t="inlineStr">
        <is>
          <t>https://github.com/advisories/GHSA-rcqw-6466-3mv7</t>
        </is>
      </c>
    </row>
    <row r="1365">
      <c r="A1365" t="inlineStr">
        <is>
          <t>GH_ADVISORY</t>
        </is>
      </c>
      <c r="B1365" t="inlineStr">
        <is>
          <t>GHSA-49pc-8936-wvfp</t>
        </is>
      </c>
      <c r="C1365" t="inlineStr">
        <is>
          <t>Lettermint Node.js SDK leaks email properties to unintended recipients when client instance is reused</t>
        </is>
      </c>
      <c r="D1365" t="n">
        <v>4.7</v>
      </c>
      <c r="E1365" t="inlineStr">
        <is>
          <t>MEDIUM</t>
        </is>
      </c>
      <c r="F1365" t="n">
        <v>2</v>
      </c>
      <c r="G1365" t="n">
        <v>2</v>
      </c>
      <c r="H1365" t="inlineStr">
        <is>
          <t>MEDIUM</t>
        </is>
      </c>
      <c r="I1365" t="n">
        <v>8.699999999999999</v>
      </c>
      <c r="J1365" t="inlineStr">
        <is>
          <t>NO</t>
        </is>
      </c>
      <c r="K1365" t="inlineStr">
        <is>
          <t>2026-02-20T21:14:49Z</t>
        </is>
      </c>
      <c r="L1365" t="inlineStr">
        <is>
          <t>CHECK_GITHUB</t>
        </is>
      </c>
      <c r="M1365" t="inlineStr">
        <is>
          <t>lettermint</t>
        </is>
      </c>
      <c r="N1365" t="inlineStr">
        <is>
          <t>P4</t>
        </is>
      </c>
      <c r="O1365" t="inlineStr">
        <is>
          <t>Advisory - IP enrichment N/A</t>
        </is>
      </c>
      <c r="P1365" t="n">
        <v>0</v>
      </c>
      <c r="Q1365" t="n">
        <v>0</v>
      </c>
      <c r="R1365" t="inlineStr">
        <is>
          <t>T1190:Exploit Public-Facing Application</t>
        </is>
      </c>
      <c r="S1365" t="n">
        <v>1</v>
      </c>
      <c r="T1365" t="inlineStr">
        <is>
          <t>LOW (40%)</t>
        </is>
      </c>
      <c r="U1365" t="inlineStr">
        <is>
          <t>CHECK_GITHUB</t>
        </is>
      </c>
      <c r="V1365" t="inlineStr">
        <is>
          <t>YES</t>
        </is>
      </c>
      <c r="W1365" t="inlineStr">
        <is>
          <t>https://github.com/advisories/GHSA-49pc-8936-wvfp</t>
        </is>
      </c>
      <c r="X1365" t="inlineStr">
        <is>
          <t>NONE</t>
        </is>
      </c>
      <c r="Y1365" t="n">
        <v>0</v>
      </c>
      <c r="Z1365" t="inlineStr"/>
      <c r="AA1365" t="inlineStr">
        <is>
          <t>https://github.com/advisories/GHSA-49pc-8936-wvfp</t>
        </is>
      </c>
    </row>
    <row r="1366">
      <c r="A1366" t="inlineStr">
        <is>
          <t>GH_ADVISORY</t>
        </is>
      </c>
      <c r="B1366" t="inlineStr">
        <is>
          <t>GHSA-gv8r-9rw9-9697</t>
        </is>
      </c>
      <c r="C1366" t="inlineStr">
        <is>
          <t>Traefik affected by TLS ClientAuth Bypass on HTTP/3</t>
        </is>
      </c>
      <c r="D1366" t="n">
        <v>10</v>
      </c>
      <c r="E1366" t="inlineStr">
        <is>
          <t>CRITICAL</t>
        </is>
      </c>
      <c r="F1366" t="n">
        <v>2</v>
      </c>
      <c r="G1366" t="n">
        <v>2</v>
      </c>
      <c r="H1366" t="inlineStr">
        <is>
          <t>MEDIUM</t>
        </is>
      </c>
      <c r="I1366" t="n">
        <v>14</v>
      </c>
      <c r="J1366" t="inlineStr">
        <is>
          <t>NO</t>
        </is>
      </c>
      <c r="K1366" t="inlineStr">
        <is>
          <t>2026-02-20T21:14:27Z</t>
        </is>
      </c>
      <c r="L1366" t="inlineStr">
        <is>
          <t>CHECK_GITHUB</t>
        </is>
      </c>
      <c r="M1366" t="inlineStr">
        <is>
          <t>github.com/traefik/traefik, github.com/traefik/traefik/v2, github.com/traefik/traefik/v3</t>
        </is>
      </c>
      <c r="N1366" t="inlineStr">
        <is>
          <t>P4</t>
        </is>
      </c>
      <c r="O1366" t="inlineStr">
        <is>
          <t>Advisory - IP enrichment N/A</t>
        </is>
      </c>
      <c r="P1366" t="n">
        <v>0</v>
      </c>
      <c r="Q1366" t="n">
        <v>0</v>
      </c>
      <c r="R1366" t="inlineStr">
        <is>
          <t>T1190:Exploit Public-Facing Application</t>
        </is>
      </c>
      <c r="S1366" t="n">
        <v>1</v>
      </c>
      <c r="T1366" t="inlineStr">
        <is>
          <t>LOW (40%)</t>
        </is>
      </c>
      <c r="U1366" t="inlineStr">
        <is>
          <t>CHECK_GITHUB</t>
        </is>
      </c>
      <c r="V1366" t="inlineStr">
        <is>
          <t>YES</t>
        </is>
      </c>
      <c r="W1366" t="inlineStr">
        <is>
          <t>https://github.com/advisories/GHSA-gv8r-9rw9-9697</t>
        </is>
      </c>
      <c r="X1366" t="inlineStr">
        <is>
          <t>NONE</t>
        </is>
      </c>
      <c r="Y1366" t="n">
        <v>0</v>
      </c>
      <c r="Z1366" t="inlineStr"/>
      <c r="AA1366" t="inlineStr">
        <is>
          <t>https://github.com/advisories/GHSA-gv8r-9rw9-9697</t>
        </is>
      </c>
    </row>
    <row r="1367">
      <c r="A1367" t="inlineStr">
        <is>
          <t>GH_ADVISORY</t>
        </is>
      </c>
      <c r="B1367" t="inlineStr">
        <is>
          <t>GHSA-w45g-5746-x9fp</t>
        </is>
      </c>
      <c r="C1367" t="inlineStr">
        <is>
          <t>OpenClaw hardened cron webhook delivery against SSRF</t>
        </is>
      </c>
      <c r="D1367" t="n">
        <v>7</v>
      </c>
      <c r="E1367" t="inlineStr">
        <is>
          <t>MEDIUM</t>
        </is>
      </c>
      <c r="F1367" t="n">
        <v>2</v>
      </c>
      <c r="G1367" t="n">
        <v>2</v>
      </c>
      <c r="H1367" t="inlineStr">
        <is>
          <t>MEDIUM</t>
        </is>
      </c>
      <c r="I1367" t="n">
        <v>11</v>
      </c>
      <c r="J1367" t="inlineStr">
        <is>
          <t>NO</t>
        </is>
      </c>
      <c r="K1367" t="inlineStr">
        <is>
          <t>2026-02-20T21:13:03Z</t>
        </is>
      </c>
      <c r="L1367" t="inlineStr">
        <is>
          <t>CHECK_GITHUB</t>
        </is>
      </c>
      <c r="M1367" t="inlineStr">
        <is>
          <t>openclaw</t>
        </is>
      </c>
      <c r="N1367" t="inlineStr">
        <is>
          <t>P4</t>
        </is>
      </c>
      <c r="O1367" t="inlineStr">
        <is>
          <t>Advisory - IP enrichment N/A</t>
        </is>
      </c>
      <c r="P1367" t="n">
        <v>0</v>
      </c>
      <c r="Q1367" t="n">
        <v>0</v>
      </c>
      <c r="R1367" t="inlineStr">
        <is>
          <t>T1190:Exploit Public-Facing Application</t>
        </is>
      </c>
      <c r="S1367" t="n">
        <v>1</v>
      </c>
      <c r="T1367" t="inlineStr">
        <is>
          <t>LOW (40%)</t>
        </is>
      </c>
      <c r="U1367" t="inlineStr">
        <is>
          <t>CHECK_GITHUB</t>
        </is>
      </c>
      <c r="V1367" t="inlineStr">
        <is>
          <t>YES</t>
        </is>
      </c>
      <c r="W1367" t="inlineStr">
        <is>
          <t>https://github.com/advisories/GHSA-w45g-5746-x9fp</t>
        </is>
      </c>
      <c r="X1367" t="inlineStr">
        <is>
          <t>NONE</t>
        </is>
      </c>
      <c r="Y1367" t="n">
        <v>0</v>
      </c>
      <c r="Z1367" t="inlineStr"/>
      <c r="AA1367" t="inlineStr">
        <is>
          <t>https://github.com/advisories/GHSA-w45g-5746-x9fp</t>
        </is>
      </c>
    </row>
    <row r="1368">
      <c r="A1368" t="inlineStr">
        <is>
          <t>GH_ADVISORY</t>
        </is>
      </c>
      <c r="B1368" t="inlineStr">
        <is>
          <t>GHSA-r6h2-5gqq-v5v6</t>
        </is>
      </c>
      <c r="C1368" t="inlineStr">
        <is>
          <t>OpenClaw: Reject symlinks in local skill packaging script</t>
        </is>
      </c>
      <c r="D1368" t="n">
        <v>7</v>
      </c>
      <c r="E1368" t="inlineStr">
        <is>
          <t>MEDIUM</t>
        </is>
      </c>
      <c r="F1368" t="n">
        <v>2</v>
      </c>
      <c r="G1368" t="n">
        <v>2</v>
      </c>
      <c r="H1368" t="inlineStr">
        <is>
          <t>MEDIUM</t>
        </is>
      </c>
      <c r="I1368" t="n">
        <v>11</v>
      </c>
      <c r="J1368" t="inlineStr">
        <is>
          <t>NO</t>
        </is>
      </c>
      <c r="K1368" t="inlineStr">
        <is>
          <t>2026-02-20T21:05:45Z</t>
        </is>
      </c>
      <c r="L1368" t="inlineStr">
        <is>
          <t>CHECK_GITHUB</t>
        </is>
      </c>
      <c r="M1368" t="inlineStr">
        <is>
          <t>openclaw</t>
        </is>
      </c>
      <c r="N1368" t="inlineStr">
        <is>
          <t>P4</t>
        </is>
      </c>
      <c r="O1368" t="inlineStr">
        <is>
          <t>Advisory - IP enrichment N/A</t>
        </is>
      </c>
      <c r="P1368" t="n">
        <v>0</v>
      </c>
      <c r="Q1368" t="n">
        <v>0</v>
      </c>
      <c r="R1368" t="inlineStr">
        <is>
          <t>T1190:Exploit Public-Facing Application</t>
        </is>
      </c>
      <c r="S1368" t="n">
        <v>1</v>
      </c>
      <c r="T1368" t="inlineStr">
        <is>
          <t>LOW (40%)</t>
        </is>
      </c>
      <c r="U1368" t="inlineStr">
        <is>
          <t>CHECK_GITHUB</t>
        </is>
      </c>
      <c r="V1368" t="inlineStr">
        <is>
          <t>YES</t>
        </is>
      </c>
      <c r="W1368" t="inlineStr">
        <is>
          <t>https://github.com/advisories/GHSA-r6h2-5gqq-v5v6</t>
        </is>
      </c>
      <c r="X1368" t="inlineStr">
        <is>
          <t>NONE</t>
        </is>
      </c>
      <c r="Y1368" t="n">
        <v>0</v>
      </c>
      <c r="Z1368" t="inlineStr"/>
      <c r="AA1368" t="inlineStr">
        <is>
          <t>https://github.com/advisories/GHSA-r6h2-5gqq-v5v6</t>
        </is>
      </c>
    </row>
    <row r="1369">
      <c r="A1369" t="inlineStr">
        <is>
          <t>GH_ADVISORY</t>
        </is>
      </c>
      <c r="B1369" t="inlineStr">
        <is>
          <t>GHSA-wh94-p5m6-mr7j</t>
        </is>
      </c>
      <c r="C1369" t="inlineStr">
        <is>
          <t>OpenClaw Discord moderation authorization used untrusted sender identity in tool-driven flows</t>
        </is>
      </c>
      <c r="D1369" t="n">
        <v>7</v>
      </c>
      <c r="E1369" t="inlineStr">
        <is>
          <t>LOW</t>
        </is>
      </c>
      <c r="F1369" t="n">
        <v>2</v>
      </c>
      <c r="G1369" t="n">
        <v>2</v>
      </c>
      <c r="H1369" t="inlineStr">
        <is>
          <t>MEDIUM</t>
        </is>
      </c>
      <c r="I1369" t="n">
        <v>11</v>
      </c>
      <c r="J1369" t="inlineStr">
        <is>
          <t>NO</t>
        </is>
      </c>
      <c r="K1369" t="inlineStr">
        <is>
          <t>2026-02-20T21:02:31Z</t>
        </is>
      </c>
      <c r="L1369" t="inlineStr">
        <is>
          <t>CHECK_GITHUB</t>
        </is>
      </c>
      <c r="M1369" t="inlineStr">
        <is>
          <t>openclaw</t>
        </is>
      </c>
      <c r="N1369" t="inlineStr">
        <is>
          <t>P4</t>
        </is>
      </c>
      <c r="O1369" t="inlineStr">
        <is>
          <t>Advisory - IP enrichment N/A</t>
        </is>
      </c>
      <c r="P1369" t="n">
        <v>0</v>
      </c>
      <c r="Q1369" t="n">
        <v>0</v>
      </c>
      <c r="R1369" t="inlineStr">
        <is>
          <t>T1190:Exploit Public-Facing Application</t>
        </is>
      </c>
      <c r="S1369" t="n">
        <v>1</v>
      </c>
      <c r="T1369" t="inlineStr">
        <is>
          <t>LOW (40%)</t>
        </is>
      </c>
      <c r="U1369" t="inlineStr">
        <is>
          <t>CHECK_GITHUB</t>
        </is>
      </c>
      <c r="V1369" t="inlineStr">
        <is>
          <t>YES</t>
        </is>
      </c>
      <c r="W1369" t="inlineStr">
        <is>
          <t>https://github.com/advisories/GHSA-wh94-p5m6-mr7j</t>
        </is>
      </c>
      <c r="X1369" t="inlineStr">
        <is>
          <t>NONE</t>
        </is>
      </c>
      <c r="Y1369" t="n">
        <v>0</v>
      </c>
      <c r="Z1369" t="inlineStr"/>
      <c r="AA1369" t="inlineStr">
        <is>
          <t>https://github.com/advisories/GHSA-wh94-p5m6-mr7j</t>
        </is>
      </c>
    </row>
    <row r="1370">
      <c r="A1370" t="inlineStr">
        <is>
          <t>GH_ADVISORY</t>
        </is>
      </c>
      <c r="B1370" t="inlineStr">
        <is>
          <t>GHSA-9jmq-xgjm-p8c2</t>
        </is>
      </c>
      <c r="C1370" t="inlineStr">
        <is>
          <t>Sync-in Server has a stored cross-site scripting (XSS) vulnerability</t>
        </is>
      </c>
      <c r="D1370" t="n">
        <v>7</v>
      </c>
      <c r="E1370" t="inlineStr">
        <is>
          <t>MEDIUM</t>
        </is>
      </c>
      <c r="F1370" t="n">
        <v>2</v>
      </c>
      <c r="G1370" t="n">
        <v>2</v>
      </c>
      <c r="H1370" t="inlineStr">
        <is>
          <t>MEDIUM</t>
        </is>
      </c>
      <c r="I1370" t="n">
        <v>11</v>
      </c>
      <c r="J1370" t="inlineStr">
        <is>
          <t>NO</t>
        </is>
      </c>
      <c r="K1370" t="inlineStr">
        <is>
          <t>2026-02-20T18:31:33Z</t>
        </is>
      </c>
      <c r="L1370" t="inlineStr">
        <is>
          <t>CHECK_GITHUB</t>
        </is>
      </c>
      <c r="M1370" t="inlineStr">
        <is>
          <t>@sync-in/server</t>
        </is>
      </c>
      <c r="N1370" t="inlineStr">
        <is>
          <t>P4</t>
        </is>
      </c>
      <c r="O1370" t="inlineStr">
        <is>
          <t>Advisory - IP enrichment N/A</t>
        </is>
      </c>
      <c r="P1370" t="n">
        <v>0</v>
      </c>
      <c r="Q1370" t="n">
        <v>0</v>
      </c>
      <c r="R1370" t="inlineStr">
        <is>
          <t>T1190:Exploit Public-Facing Application</t>
        </is>
      </c>
      <c r="S1370" t="n">
        <v>1</v>
      </c>
      <c r="T1370" t="inlineStr">
        <is>
          <t>LOW (40%)</t>
        </is>
      </c>
      <c r="U1370" t="inlineStr">
        <is>
          <t>CHECK_GITHUB</t>
        </is>
      </c>
      <c r="V1370" t="inlineStr">
        <is>
          <t>YES</t>
        </is>
      </c>
      <c r="W1370" t="inlineStr">
        <is>
          <t>https://github.com/advisories/GHSA-9jmq-xgjm-p8c2</t>
        </is>
      </c>
      <c r="X1370" t="inlineStr">
        <is>
          <t>NONE</t>
        </is>
      </c>
      <c r="Y1370" t="n">
        <v>0</v>
      </c>
      <c r="Z1370" t="inlineStr"/>
      <c r="AA1370" t="inlineStr">
        <is>
          <t>https://github.com/advisories/GHSA-9jmq-xgjm-p8c2</t>
        </is>
      </c>
    </row>
    <row r="1371">
      <c r="A1371" t="inlineStr">
        <is>
          <t>GH_ADVISORY</t>
        </is>
      </c>
      <c r="B1371" t="inlineStr">
        <is>
          <t>GHSA-qhp6-635j-x7r2</t>
        </is>
      </c>
      <c r="C1371" t="inlineStr">
        <is>
          <t>Static Web Server affected by timing-based username enumeration in Basic Authentication due to early response on invalid usernames</t>
        </is>
      </c>
      <c r="D1371" t="n">
        <v>5.3</v>
      </c>
      <c r="E1371" t="inlineStr">
        <is>
          <t>MEDIUM</t>
        </is>
      </c>
      <c r="F1371" t="n">
        <v>2</v>
      </c>
      <c r="G1371" t="n">
        <v>2</v>
      </c>
      <c r="H1371" t="inlineStr">
        <is>
          <t>MEDIUM</t>
        </is>
      </c>
      <c r="I1371" t="n">
        <v>9.300000000000001</v>
      </c>
      <c r="J1371" t="inlineStr">
        <is>
          <t>NO</t>
        </is>
      </c>
      <c r="K1371" t="inlineStr">
        <is>
          <t>2026-02-20T18:25:27Z</t>
        </is>
      </c>
      <c r="L1371" t="inlineStr">
        <is>
          <t>CHECK_GITHUB</t>
        </is>
      </c>
      <c r="M1371" t="inlineStr">
        <is>
          <t>static-web-server</t>
        </is>
      </c>
      <c r="N1371" t="inlineStr">
        <is>
          <t>P4</t>
        </is>
      </c>
      <c r="O1371" t="inlineStr">
        <is>
          <t>Advisory - IP enrichment N/A</t>
        </is>
      </c>
      <c r="P1371" t="n">
        <v>0</v>
      </c>
      <c r="Q1371" t="n">
        <v>0</v>
      </c>
      <c r="R1371" t="inlineStr">
        <is>
          <t>T1190:Exploit Public-Facing Application</t>
        </is>
      </c>
      <c r="S1371" t="n">
        <v>1</v>
      </c>
      <c r="T1371" t="inlineStr">
        <is>
          <t>LOW (40%)</t>
        </is>
      </c>
      <c r="U1371" t="inlineStr">
        <is>
          <t>CHECK_GITHUB</t>
        </is>
      </c>
      <c r="V1371" t="inlineStr">
        <is>
          <t>YES</t>
        </is>
      </c>
      <c r="W1371" t="inlineStr">
        <is>
          <t>https://github.com/advisories/GHSA-qhp6-635j-x7r2</t>
        </is>
      </c>
      <c r="X1371" t="inlineStr">
        <is>
          <t>NONE</t>
        </is>
      </c>
      <c r="Y1371" t="n">
        <v>0</v>
      </c>
      <c r="Z1371" t="inlineStr"/>
      <c r="AA1371" t="inlineStr">
        <is>
          <t>https://github.com/advisories/GHSA-qhp6-635j-x7r2</t>
        </is>
      </c>
    </row>
    <row r="1372">
      <c r="A1372" t="inlineStr">
        <is>
          <t>GH_ADVISORY</t>
        </is>
      </c>
      <c r="B1372" t="inlineStr">
        <is>
          <t>GHSA-83pf-v6qq-pwmr</t>
        </is>
      </c>
      <c r="C1372" t="inlineStr">
        <is>
          <t>Fickling has a detection bypass via stdlib network-protocol constructors</t>
        </is>
      </c>
      <c r="D1372" t="n">
        <v>7</v>
      </c>
      <c r="E1372" t="inlineStr">
        <is>
          <t>LOW</t>
        </is>
      </c>
      <c r="F1372" t="n">
        <v>2</v>
      </c>
      <c r="G1372" t="n">
        <v>2</v>
      </c>
      <c r="H1372" t="inlineStr">
        <is>
          <t>MEDIUM</t>
        </is>
      </c>
      <c r="I1372" t="n">
        <v>11</v>
      </c>
      <c r="J1372" t="inlineStr">
        <is>
          <t>NO</t>
        </is>
      </c>
      <c r="K1372" t="inlineStr">
        <is>
          <t>2026-02-20T18:24:46Z</t>
        </is>
      </c>
      <c r="L1372" t="inlineStr">
        <is>
          <t>CHECK_GITHUB</t>
        </is>
      </c>
      <c r="M1372" t="inlineStr">
        <is>
          <t>fickling</t>
        </is>
      </c>
      <c r="N1372" t="inlineStr">
        <is>
          <t>P4</t>
        </is>
      </c>
      <c r="O1372" t="inlineStr">
        <is>
          <t>Advisory - IP enrichment N/A</t>
        </is>
      </c>
      <c r="P1372" t="n">
        <v>0</v>
      </c>
      <c r="Q1372" t="n">
        <v>0</v>
      </c>
      <c r="R1372" t="inlineStr">
        <is>
          <t>T1190:Exploit Public-Facing Application</t>
        </is>
      </c>
      <c r="S1372" t="n">
        <v>1</v>
      </c>
      <c r="T1372" t="inlineStr">
        <is>
          <t>LOW (40%)</t>
        </is>
      </c>
      <c r="U1372" t="inlineStr">
        <is>
          <t>CHECK_GITHUB</t>
        </is>
      </c>
      <c r="V1372" t="inlineStr">
        <is>
          <t>YES</t>
        </is>
      </c>
      <c r="W1372" t="inlineStr">
        <is>
          <t>https://github.com/advisories/GHSA-83pf-v6qq-pwmr</t>
        </is>
      </c>
      <c r="X1372" t="inlineStr">
        <is>
          <t>NONE</t>
        </is>
      </c>
      <c r="Y1372" t="n">
        <v>0</v>
      </c>
      <c r="Z1372" t="inlineStr"/>
      <c r="AA1372" t="inlineStr">
        <is>
          <t>https://github.com/advisories/GHSA-83pf-v6qq-pwmr</t>
        </is>
      </c>
    </row>
    <row r="1373">
      <c r="A1373" t="inlineStr">
        <is>
          <t>GH_ADVISORY</t>
        </is>
      </c>
      <c r="B1373" t="inlineStr">
        <is>
          <t>GHSA-m7jm-9gc2-mpf2</t>
        </is>
      </c>
      <c r="C1373" t="inlineStr">
        <is>
          <t>fast-xml-parser has an entity encoding bypass via regex injection in DOCTYPE entity names</t>
        </is>
      </c>
      <c r="D1373" t="n">
        <v>9.300000000000001</v>
      </c>
      <c r="E1373" t="inlineStr">
        <is>
          <t>CRITICAL</t>
        </is>
      </c>
      <c r="F1373" t="n">
        <v>2</v>
      </c>
      <c r="G1373" t="n">
        <v>2</v>
      </c>
      <c r="H1373" t="inlineStr">
        <is>
          <t>MEDIUM</t>
        </is>
      </c>
      <c r="I1373" t="n">
        <v>13.3</v>
      </c>
      <c r="J1373" t="inlineStr">
        <is>
          <t>NO</t>
        </is>
      </c>
      <c r="K1373" t="inlineStr">
        <is>
          <t>2026-02-20T18:23:54Z</t>
        </is>
      </c>
      <c r="L1373" t="inlineStr">
        <is>
          <t>CHECK_GITHUB</t>
        </is>
      </c>
      <c r="M1373" t="inlineStr">
        <is>
          <t>fast-xml-parser</t>
        </is>
      </c>
      <c r="N1373" t="inlineStr">
        <is>
          <t>P4</t>
        </is>
      </c>
      <c r="O1373" t="inlineStr">
        <is>
          <t>Advisory - IP enrichment N/A</t>
        </is>
      </c>
      <c r="P1373" t="n">
        <v>0</v>
      </c>
      <c r="Q1373" t="n">
        <v>0</v>
      </c>
      <c r="R1373" t="inlineStr">
        <is>
          <t>T1190:Exploit Public-Facing Application</t>
        </is>
      </c>
      <c r="S1373" t="n">
        <v>1</v>
      </c>
      <c r="T1373" t="inlineStr">
        <is>
          <t>LOW (40%)</t>
        </is>
      </c>
      <c r="U1373" t="inlineStr">
        <is>
          <t>CHECK_GITHUB</t>
        </is>
      </c>
      <c r="V1373" t="inlineStr">
        <is>
          <t>YES</t>
        </is>
      </c>
      <c r="W1373" t="inlineStr">
        <is>
          <t>https://github.com/advisories/GHSA-m7jm-9gc2-mpf2</t>
        </is>
      </c>
      <c r="X1373" t="inlineStr">
        <is>
          <t>NONE</t>
        </is>
      </c>
      <c r="Y1373" t="n">
        <v>0</v>
      </c>
      <c r="Z1373" t="inlineStr"/>
      <c r="AA1373" t="inlineStr">
        <is>
          <t>https://github.com/advisories/GHSA-m7jm-9gc2-mpf2</t>
        </is>
      </c>
    </row>
    <row r="1374">
      <c r="A1374" t="inlineStr">
        <is>
          <t>GH_ADVISORY</t>
        </is>
      </c>
      <c r="B1374" t="inlineStr">
        <is>
          <t>GHSA-378v-28hj-76wf</t>
        </is>
      </c>
      <c r="C1374" t="inlineStr">
        <is>
          <t>bn.js affected by an infinite loop</t>
        </is>
      </c>
      <c r="D1374" t="n">
        <v>5.3</v>
      </c>
      <c r="E1374" t="inlineStr">
        <is>
          <t>MEDIUM</t>
        </is>
      </c>
      <c r="F1374" t="n">
        <v>2</v>
      </c>
      <c r="G1374" t="n">
        <v>2</v>
      </c>
      <c r="H1374" t="inlineStr">
        <is>
          <t>MEDIUM</t>
        </is>
      </c>
      <c r="I1374" t="n">
        <v>9.300000000000001</v>
      </c>
      <c r="J1374" t="inlineStr">
        <is>
          <t>NO</t>
        </is>
      </c>
      <c r="K1374" t="inlineStr">
        <is>
          <t>2026-02-20T06:30:39Z</t>
        </is>
      </c>
      <c r="L1374" t="inlineStr">
        <is>
          <t>CHECK_GITHUB</t>
        </is>
      </c>
      <c r="M1374" t="inlineStr">
        <is>
          <t>bn.js</t>
        </is>
      </c>
      <c r="N1374" t="inlineStr">
        <is>
          <t>P4</t>
        </is>
      </c>
      <c r="O1374" t="inlineStr">
        <is>
          <t>Advisory - IP enrichment N/A</t>
        </is>
      </c>
      <c r="P1374" t="n">
        <v>0</v>
      </c>
      <c r="Q1374" t="n">
        <v>0</v>
      </c>
      <c r="R1374" t="inlineStr">
        <is>
          <t>T1190:Exploit Public-Facing Application</t>
        </is>
      </c>
      <c r="S1374" t="n">
        <v>1</v>
      </c>
      <c r="T1374" t="inlineStr">
        <is>
          <t>LOW (40%)</t>
        </is>
      </c>
      <c r="U1374" t="inlineStr">
        <is>
          <t>CHECK_GITHUB</t>
        </is>
      </c>
      <c r="V1374" t="inlineStr">
        <is>
          <t>YES</t>
        </is>
      </c>
      <c r="W1374" t="inlineStr">
        <is>
          <t>https://github.com/advisories/GHSA-378v-28hj-76wf</t>
        </is>
      </c>
      <c r="X1374" t="inlineStr">
        <is>
          <t>NONE</t>
        </is>
      </c>
      <c r="Y1374" t="n">
        <v>0</v>
      </c>
      <c r="Z1374" t="inlineStr"/>
      <c r="AA1374" t="inlineStr">
        <is>
          <t>https://github.com/advisories/GHSA-378v-28hj-76wf</t>
        </is>
      </c>
    </row>
    <row r="1375">
      <c r="A1375" t="inlineStr">
        <is>
          <t>GH_ADVISORY</t>
        </is>
      </c>
      <c r="B1375" t="inlineStr">
        <is>
          <t>GHSA-wfqv-66vq-46rm</t>
        </is>
      </c>
      <c r="C1375" t="inlineStr">
        <is>
          <t>Cosign considered signatures valid with expired intermediate certificates when transparency log verification is skipped</t>
        </is>
      </c>
      <c r="D1375" t="n">
        <v>3.7</v>
      </c>
      <c r="E1375" t="inlineStr">
        <is>
          <t>LOW</t>
        </is>
      </c>
      <c r="F1375" t="n">
        <v>2</v>
      </c>
      <c r="G1375" t="n">
        <v>2</v>
      </c>
      <c r="H1375" t="inlineStr">
        <is>
          <t>MEDIUM</t>
        </is>
      </c>
      <c r="I1375" t="n">
        <v>7.7</v>
      </c>
      <c r="J1375" t="inlineStr">
        <is>
          <t>NO</t>
        </is>
      </c>
      <c r="K1375" t="inlineStr">
        <is>
          <t>2026-02-19T22:09:12Z</t>
        </is>
      </c>
      <c r="L1375" t="inlineStr">
        <is>
          <t>CHECK_GITHUB</t>
        </is>
      </c>
      <c r="M1375" t="inlineStr">
        <is>
          <t>github.com/sigstore/cosign</t>
        </is>
      </c>
      <c r="N1375" t="inlineStr">
        <is>
          <t>P4</t>
        </is>
      </c>
      <c r="O1375" t="inlineStr">
        <is>
          <t>Advisory - IP enrichment N/A</t>
        </is>
      </c>
      <c r="P1375" t="n">
        <v>0</v>
      </c>
      <c r="Q1375" t="n">
        <v>0</v>
      </c>
      <c r="R1375" t="inlineStr">
        <is>
          <t>T1190:Exploit Public-Facing Application</t>
        </is>
      </c>
      <c r="S1375" t="n">
        <v>1</v>
      </c>
      <c r="T1375" t="inlineStr">
        <is>
          <t>LOW (40%)</t>
        </is>
      </c>
      <c r="U1375" t="inlineStr">
        <is>
          <t>CHECK_GITHUB</t>
        </is>
      </c>
      <c r="V1375" t="inlineStr">
        <is>
          <t>YES</t>
        </is>
      </c>
      <c r="W1375" t="inlineStr">
        <is>
          <t>https://github.com/advisories/GHSA-wfqv-66vq-46rm</t>
        </is>
      </c>
      <c r="X1375" t="inlineStr">
        <is>
          <t>NONE</t>
        </is>
      </c>
      <c r="Y1375" t="n">
        <v>0</v>
      </c>
      <c r="Z1375" t="inlineStr"/>
      <c r="AA1375" t="inlineStr">
        <is>
          <t>https://github.com/advisories/GHSA-wfqv-66vq-46rm</t>
        </is>
      </c>
    </row>
    <row r="1376">
      <c r="A1376" t="inlineStr">
        <is>
          <t>GH_ADVISORY</t>
        </is>
      </c>
      <c r="B1376" t="inlineStr">
        <is>
          <t>GHSA-j9wf-6r2x-hqmx</t>
        </is>
      </c>
      <c r="C1376" t="inlineStr">
        <is>
          <t>Centrifugo v6.6.0 dependency vulnerabilities</t>
        </is>
      </c>
      <c r="D1376" t="n">
        <v>7</v>
      </c>
      <c r="E1376" t="inlineStr">
        <is>
          <t>MEDIUM</t>
        </is>
      </c>
      <c r="F1376" t="n">
        <v>2</v>
      </c>
      <c r="G1376" t="n">
        <v>2</v>
      </c>
      <c r="H1376" t="inlineStr">
        <is>
          <t>MEDIUM</t>
        </is>
      </c>
      <c r="I1376" t="n">
        <v>11</v>
      </c>
      <c r="J1376" t="inlineStr">
        <is>
          <t>NO</t>
        </is>
      </c>
      <c r="K1376" t="inlineStr">
        <is>
          <t>2026-02-19T22:07:13Z</t>
        </is>
      </c>
      <c r="L1376" t="inlineStr">
        <is>
          <t>CHECK_GITHUB</t>
        </is>
      </c>
      <c r="M1376" t="inlineStr">
        <is>
          <t>github.com/centrifugal/centrifugo/v6</t>
        </is>
      </c>
      <c r="N1376" t="inlineStr">
        <is>
          <t>P4</t>
        </is>
      </c>
      <c r="O1376" t="inlineStr">
        <is>
          <t>Advisory - IP enrichment N/A</t>
        </is>
      </c>
      <c r="P1376" t="n">
        <v>0</v>
      </c>
      <c r="Q1376" t="n">
        <v>0</v>
      </c>
      <c r="R1376" t="inlineStr">
        <is>
          <t>T1190:Exploit Public-Facing Application</t>
        </is>
      </c>
      <c r="S1376" t="n">
        <v>1</v>
      </c>
      <c r="T1376" t="inlineStr">
        <is>
          <t>LOW (40%)</t>
        </is>
      </c>
      <c r="U1376" t="inlineStr">
        <is>
          <t>CHECK_GITHUB</t>
        </is>
      </c>
      <c r="V1376" t="inlineStr">
        <is>
          <t>YES</t>
        </is>
      </c>
      <c r="W1376" t="inlineStr">
        <is>
          <t>https://github.com/advisories/GHSA-j9wf-6r2x-hqmx</t>
        </is>
      </c>
      <c r="X1376" t="inlineStr">
        <is>
          <t>NONE</t>
        </is>
      </c>
      <c r="Y1376" t="n">
        <v>0</v>
      </c>
      <c r="Z1376" t="inlineStr"/>
      <c r="AA1376" t="inlineStr">
        <is>
          <t>https://github.com/advisories/GHSA-j9wf-6r2x-hqmx</t>
        </is>
      </c>
    </row>
    <row r="1377">
      <c r="A1377" t="inlineStr">
        <is>
          <t>GH_ADVISORY</t>
        </is>
      </c>
      <c r="B1377" t="inlineStr">
        <is>
          <t>GHSA-6c9j-x93c-rw6j</t>
        </is>
      </c>
      <c r="C1377" t="inlineStr">
        <is>
          <t>OpenClaw safeBins file-existence oracle information disclosure</t>
        </is>
      </c>
      <c r="D1377" t="n">
        <v>4.3</v>
      </c>
      <c r="E1377" t="inlineStr">
        <is>
          <t>MEDIUM</t>
        </is>
      </c>
      <c r="F1377" t="n">
        <v>2</v>
      </c>
      <c r="G1377" t="n">
        <v>2</v>
      </c>
      <c r="H1377" t="inlineStr">
        <is>
          <t>MEDIUM</t>
        </is>
      </c>
      <c r="I1377" t="n">
        <v>8.300000000000001</v>
      </c>
      <c r="J1377" t="inlineStr">
        <is>
          <t>NO</t>
        </is>
      </c>
      <c r="K1377" t="inlineStr">
        <is>
          <t>2026-02-19T22:06:26Z</t>
        </is>
      </c>
      <c r="L1377" t="inlineStr">
        <is>
          <t>CHECK_GITHUB</t>
        </is>
      </c>
      <c r="M1377" t="inlineStr">
        <is>
          <t>openclaw</t>
        </is>
      </c>
      <c r="N1377" t="inlineStr">
        <is>
          <t>P4</t>
        </is>
      </c>
      <c r="O1377" t="inlineStr">
        <is>
          <t>Advisory - IP enrichment N/A</t>
        </is>
      </c>
      <c r="P1377" t="n">
        <v>0</v>
      </c>
      <c r="Q1377" t="n">
        <v>0</v>
      </c>
      <c r="R1377" t="inlineStr">
        <is>
          <t>T1190:Exploit Public-Facing Application</t>
        </is>
      </c>
      <c r="S1377" t="n">
        <v>1</v>
      </c>
      <c r="T1377" t="inlineStr">
        <is>
          <t>LOW (40%)</t>
        </is>
      </c>
      <c r="U1377" t="inlineStr">
        <is>
          <t>CHECK_GITHUB</t>
        </is>
      </c>
      <c r="V1377" t="inlineStr">
        <is>
          <t>YES</t>
        </is>
      </c>
      <c r="W1377" t="inlineStr">
        <is>
          <t>https://github.com/advisories/GHSA-6c9j-x93c-rw6j</t>
        </is>
      </c>
      <c r="X1377" t="inlineStr">
        <is>
          <t>NONE</t>
        </is>
      </c>
      <c r="Y1377" t="n">
        <v>0</v>
      </c>
      <c r="Z1377" t="inlineStr"/>
      <c r="AA1377" t="inlineStr">
        <is>
          <t>https://github.com/advisories/GHSA-6c9j-x93c-rw6j</t>
        </is>
      </c>
    </row>
    <row r="1378">
      <c r="A1378" t="inlineStr">
        <is>
          <t>GH_ADVISORY</t>
        </is>
      </c>
      <c r="B1378" t="inlineStr">
        <is>
          <t>GHSA-4685-c5cp-vp95</t>
        </is>
      </c>
      <c r="C1378" t="inlineStr">
        <is>
          <t>OpenClaw safeBins stdin-only bypass via sort output and recursive grep flags</t>
        </is>
      </c>
      <c r="D1378" t="n">
        <v>3.6</v>
      </c>
      <c r="E1378" t="inlineStr">
        <is>
          <t>LOW</t>
        </is>
      </c>
      <c r="F1378" t="n">
        <v>2</v>
      </c>
      <c r="G1378" t="n">
        <v>2</v>
      </c>
      <c r="H1378" t="inlineStr">
        <is>
          <t>MEDIUM</t>
        </is>
      </c>
      <c r="I1378" t="n">
        <v>7.6</v>
      </c>
      <c r="J1378" t="inlineStr">
        <is>
          <t>NO</t>
        </is>
      </c>
      <c r="K1378" t="inlineStr">
        <is>
          <t>2026-02-19T22:06:00Z</t>
        </is>
      </c>
      <c r="L1378" t="inlineStr">
        <is>
          <t>CHECK_GITHUB</t>
        </is>
      </c>
      <c r="M1378" t="inlineStr">
        <is>
          <t>openclaw</t>
        </is>
      </c>
      <c r="N1378" t="inlineStr">
        <is>
          <t>P4</t>
        </is>
      </c>
      <c r="O1378" t="inlineStr">
        <is>
          <t>Advisory - IP enrichment N/A</t>
        </is>
      </c>
      <c r="P1378" t="n">
        <v>0</v>
      </c>
      <c r="Q1378" t="n">
        <v>0</v>
      </c>
      <c r="R1378" t="inlineStr">
        <is>
          <t>T1190:Exploit Public-Facing Application</t>
        </is>
      </c>
      <c r="S1378" t="n">
        <v>1</v>
      </c>
      <c r="T1378" t="inlineStr">
        <is>
          <t>LOW (40%)</t>
        </is>
      </c>
      <c r="U1378" t="inlineStr">
        <is>
          <t>CHECK_GITHUB</t>
        </is>
      </c>
      <c r="V1378" t="inlineStr">
        <is>
          <t>YES</t>
        </is>
      </c>
      <c r="W1378" t="inlineStr">
        <is>
          <t>https://github.com/advisories/GHSA-4685-c5cp-vp95</t>
        </is>
      </c>
      <c r="X1378" t="inlineStr">
        <is>
          <t>NONE</t>
        </is>
      </c>
      <c r="Y1378" t="n">
        <v>0</v>
      </c>
      <c r="Z1378" t="inlineStr"/>
      <c r="AA1378" t="inlineStr">
        <is>
          <t>https://github.com/advisories/GHSA-4685-c5cp-vp95</t>
        </is>
      </c>
    </row>
    <row r="1379">
      <c r="A1379" t="inlineStr">
        <is>
          <t>GH_ADVISORY</t>
        </is>
      </c>
      <c r="B1379" t="inlineStr">
        <is>
          <t>GHSA-v7m3-fpcr-h7m2</t>
        </is>
      </c>
      <c r="C1379" t="inlineStr">
        <is>
          <t>Zumba Json Serializer has a potential PHP Object Injection via Unrestricted @type in unserialize()</t>
        </is>
      </c>
      <c r="D1379" t="n">
        <v>8.1</v>
      </c>
      <c r="E1379" t="inlineStr">
        <is>
          <t>HIGH</t>
        </is>
      </c>
      <c r="F1379" t="n">
        <v>2</v>
      </c>
      <c r="G1379" t="n">
        <v>2</v>
      </c>
      <c r="H1379" t="inlineStr">
        <is>
          <t>MEDIUM</t>
        </is>
      </c>
      <c r="I1379" t="n">
        <v>12.1</v>
      </c>
      <c r="J1379" t="inlineStr">
        <is>
          <t>NO</t>
        </is>
      </c>
      <c r="K1379" t="inlineStr">
        <is>
          <t>2026-02-19T22:05:40Z</t>
        </is>
      </c>
      <c r="L1379" t="inlineStr">
        <is>
          <t>CHECK_GITHUB</t>
        </is>
      </c>
      <c r="M1379" t="inlineStr">
        <is>
          <t>zumba/json-serializer</t>
        </is>
      </c>
      <c r="N1379" t="inlineStr">
        <is>
          <t>P4</t>
        </is>
      </c>
      <c r="O1379" t="inlineStr">
        <is>
          <t>Advisory - IP enrichment N/A</t>
        </is>
      </c>
      <c r="P1379" t="n">
        <v>0</v>
      </c>
      <c r="Q1379" t="n">
        <v>0</v>
      </c>
      <c r="R1379" t="inlineStr">
        <is>
          <t>T1190:Exploit Public-Facing Application</t>
        </is>
      </c>
      <c r="S1379" t="n">
        <v>1</v>
      </c>
      <c r="T1379" t="inlineStr">
        <is>
          <t>LOW (40%)</t>
        </is>
      </c>
      <c r="U1379" t="inlineStr">
        <is>
          <t>CHECK_GITHUB</t>
        </is>
      </c>
      <c r="V1379" t="inlineStr">
        <is>
          <t>YES</t>
        </is>
      </c>
      <c r="W1379" t="inlineStr">
        <is>
          <t>https://github.com/advisories/GHSA-v7m3-fpcr-h7m2</t>
        </is>
      </c>
      <c r="X1379" t="inlineStr">
        <is>
          <t>NONE</t>
        </is>
      </c>
      <c r="Y1379" t="n">
        <v>0</v>
      </c>
      <c r="Z1379" t="inlineStr"/>
      <c r="AA1379" t="inlineStr">
        <is>
          <t>https://github.com/advisories/GHSA-v7m3-fpcr-h7m2</t>
        </is>
      </c>
    </row>
    <row r="1380">
      <c r="A1380" t="inlineStr">
        <is>
          <t>MAL_URL</t>
        </is>
      </c>
      <c r="B1380" t="inlineStr">
        <is>
          <t>3784528</t>
        </is>
      </c>
      <c r="C1380" t="inlineStr">
        <is>
          <t>Malware Host [online]: https://direct-access-line.silverpath.in.net/service/verification.google | Threat: malware_download | Tags: ClearFake</t>
        </is>
      </c>
      <c r="D1380" t="n">
        <v>7.5</v>
      </c>
      <c r="E1380" t="inlineStr">
        <is>
          <t>HIGH</t>
        </is>
      </c>
      <c r="F1380" t="n">
        <v>3</v>
      </c>
      <c r="G1380" t="n">
        <v>2</v>
      </c>
      <c r="H1380" t="inlineStr">
        <is>
          <t>HIGH</t>
        </is>
      </c>
      <c r="I1380" t="n">
        <v>13.5</v>
      </c>
      <c r="J1380" t="inlineStr">
        <is>
          <t>NO</t>
        </is>
      </c>
      <c r="K1380" t="inlineStr">
        <is>
          <t>2026-02-23 21:34:07</t>
        </is>
      </c>
      <c r="L1380" t="inlineStr">
        <is>
          <t>Block URL</t>
        </is>
      </c>
      <c r="M1380" t="inlineStr">
        <is>
          <t>Network/Web Proxy</t>
        </is>
      </c>
      <c r="N1380" t="inlineStr">
        <is>
          <t>P3</t>
        </is>
      </c>
      <c r="O1380" t="inlineStr">
        <is>
          <t>URL IOC - check host IP separately</t>
        </is>
      </c>
      <c r="P1380" t="n">
        <v>0</v>
      </c>
      <c r="Q1380" t="n">
        <v>0</v>
      </c>
      <c r="R1380" t="inlineStr">
        <is>
          <t>T1189:Drive-by Compromise | T1566:Phishing</t>
        </is>
      </c>
      <c r="S1380" t="n">
        <v>1</v>
      </c>
      <c r="T1380" t="inlineStr">
        <is>
          <t>LOW (40%)</t>
        </is>
      </c>
      <c r="U1380" t="inlineStr">
        <is>
          <t>YES</t>
        </is>
      </c>
      <c r="V1380" t="inlineStr">
        <is>
          <t>Block URL</t>
        </is>
      </c>
      <c r="W1380" t="inlineStr">
        <is>
          <t>https://urlhaus.abuse.ch/url/3784528/</t>
        </is>
      </c>
      <c r="X1380" t="inlineStr">
        <is>
          <t>NONE</t>
        </is>
      </c>
      <c r="Y1380" t="n">
        <v>0</v>
      </c>
      <c r="Z1380" t="inlineStr"/>
      <c r="AA1380" t="inlineStr">
        <is>
          <t>https://urlhaus.abuse.ch/url/3784528/</t>
        </is>
      </c>
    </row>
    <row r="1381">
      <c r="A1381" t="inlineStr">
        <is>
          <t>MAL_URL</t>
        </is>
      </c>
      <c r="B1381" t="inlineStr">
        <is>
          <t>3784527</t>
        </is>
      </c>
      <c r="C1381" t="inlineStr">
        <is>
          <t>Malware Host [online]: http://130.12.180.43/files/7290860719/f1FlzK6.exe | Threat: malware_download | Tags: dropped-by-amadey,fbf543</t>
        </is>
      </c>
      <c r="D1381" t="n">
        <v>7.5</v>
      </c>
      <c r="E1381" t="inlineStr">
        <is>
          <t>HIGH</t>
        </is>
      </c>
      <c r="F1381" t="n">
        <v>3</v>
      </c>
      <c r="G1381" t="n">
        <v>2</v>
      </c>
      <c r="H1381" t="inlineStr">
        <is>
          <t>HIGH</t>
        </is>
      </c>
      <c r="I1381" t="n">
        <v>13.5</v>
      </c>
      <c r="J1381" t="inlineStr">
        <is>
          <t>NO</t>
        </is>
      </c>
      <c r="K1381" t="inlineStr">
        <is>
          <t>2026-02-23 21:26:06</t>
        </is>
      </c>
      <c r="L1381" t="inlineStr">
        <is>
          <t>Block URL</t>
        </is>
      </c>
      <c r="M1381" t="inlineStr">
        <is>
          <t>Network/Web Proxy</t>
        </is>
      </c>
      <c r="N1381" t="inlineStr">
        <is>
          <t>P3</t>
        </is>
      </c>
      <c r="O1381" t="inlineStr">
        <is>
          <t>URL IOC - check host IP separately</t>
        </is>
      </c>
      <c r="P1381" t="n">
        <v>0</v>
      </c>
      <c r="Q1381" t="n">
        <v>0</v>
      </c>
      <c r="R1381" t="inlineStr">
        <is>
          <t>T1189:Drive-by Compromise | T1566:Phishing</t>
        </is>
      </c>
      <c r="S1381" t="n">
        <v>1</v>
      </c>
      <c r="T1381" t="inlineStr">
        <is>
          <t>LOW (40%)</t>
        </is>
      </c>
      <c r="U1381" t="inlineStr">
        <is>
          <t>YES</t>
        </is>
      </c>
      <c r="V1381" t="inlineStr">
        <is>
          <t>Block URL</t>
        </is>
      </c>
      <c r="W1381" t="inlineStr">
        <is>
          <t>https://urlhaus.abuse.ch/url/3784527/</t>
        </is>
      </c>
      <c r="X1381" t="inlineStr">
        <is>
          <t>NONE</t>
        </is>
      </c>
      <c r="Y1381" t="n">
        <v>0</v>
      </c>
      <c r="Z1381" t="inlineStr"/>
      <c r="AA1381" t="inlineStr">
        <is>
          <t>https://urlhaus.abuse.ch/url/3784527/</t>
        </is>
      </c>
    </row>
    <row r="1382">
      <c r="A1382" t="inlineStr">
        <is>
          <t>MAL_URL</t>
        </is>
      </c>
      <c r="B1382" t="inlineStr">
        <is>
          <t>3784526</t>
        </is>
      </c>
      <c r="C1382" t="inlineStr">
        <is>
          <t>Malware Host [online]: https://silver-path-way.silverpath.in.net/service/verification.google | Threat: malware_download | Tags: ClearFake</t>
        </is>
      </c>
      <c r="D1382" t="n">
        <v>7.5</v>
      </c>
      <c r="E1382" t="inlineStr">
        <is>
          <t>HIGH</t>
        </is>
      </c>
      <c r="F1382" t="n">
        <v>3</v>
      </c>
      <c r="G1382" t="n">
        <v>2</v>
      </c>
      <c r="H1382" t="inlineStr">
        <is>
          <t>HIGH</t>
        </is>
      </c>
      <c r="I1382" t="n">
        <v>13.5</v>
      </c>
      <c r="J1382" t="inlineStr">
        <is>
          <t>NO</t>
        </is>
      </c>
      <c r="K1382" t="inlineStr">
        <is>
          <t>2026-02-23 21:24:07</t>
        </is>
      </c>
      <c r="L1382" t="inlineStr">
        <is>
          <t>Block URL</t>
        </is>
      </c>
      <c r="M1382" t="inlineStr">
        <is>
          <t>Network/Web Proxy</t>
        </is>
      </c>
      <c r="N1382" t="inlineStr">
        <is>
          <t>P3</t>
        </is>
      </c>
      <c r="O1382" t="inlineStr">
        <is>
          <t>URL IOC - check host IP separately</t>
        </is>
      </c>
      <c r="P1382" t="n">
        <v>0</v>
      </c>
      <c r="Q1382" t="n">
        <v>0</v>
      </c>
      <c r="R1382" t="inlineStr">
        <is>
          <t>T1189:Drive-by Compromise | T1566:Phishing</t>
        </is>
      </c>
      <c r="S1382" t="n">
        <v>1</v>
      </c>
      <c r="T1382" t="inlineStr">
        <is>
          <t>LOW (40%)</t>
        </is>
      </c>
      <c r="U1382" t="inlineStr">
        <is>
          <t>YES</t>
        </is>
      </c>
      <c r="V1382" t="inlineStr">
        <is>
          <t>Block URL</t>
        </is>
      </c>
      <c r="W1382" t="inlineStr">
        <is>
          <t>https://urlhaus.abuse.ch/url/3784526/</t>
        </is>
      </c>
      <c r="X1382" t="inlineStr">
        <is>
          <t>NONE</t>
        </is>
      </c>
      <c r="Y1382" t="n">
        <v>0</v>
      </c>
      <c r="Z1382" t="inlineStr"/>
      <c r="AA1382" t="inlineStr">
        <is>
          <t>https://urlhaus.abuse.ch/url/3784526/</t>
        </is>
      </c>
    </row>
    <row r="1383">
      <c r="A1383" t="inlineStr">
        <is>
          <t>MAL_URL</t>
        </is>
      </c>
      <c r="B1383" t="inlineStr">
        <is>
          <t>3784525</t>
        </is>
      </c>
      <c r="C1383" t="inlineStr">
        <is>
          <t>Malware Host [online]: http://27.215.47.228:46927/i | Threat: malware_download | Tags: 32-bit,elf,mips,Mozi</t>
        </is>
      </c>
      <c r="D1383" t="n">
        <v>7.5</v>
      </c>
      <c r="E1383" t="inlineStr">
        <is>
          <t>HIGH</t>
        </is>
      </c>
      <c r="F1383" t="n">
        <v>3</v>
      </c>
      <c r="G1383" t="n">
        <v>2</v>
      </c>
      <c r="H1383" t="inlineStr">
        <is>
          <t>HIGH</t>
        </is>
      </c>
      <c r="I1383" t="n">
        <v>13.5</v>
      </c>
      <c r="J1383" t="inlineStr">
        <is>
          <t>NO</t>
        </is>
      </c>
      <c r="K1383" t="inlineStr">
        <is>
          <t>2026-02-23 21:23:19</t>
        </is>
      </c>
      <c r="L1383" t="inlineStr">
        <is>
          <t>Block URL</t>
        </is>
      </c>
      <c r="M1383" t="inlineStr">
        <is>
          <t>Network/Web Proxy</t>
        </is>
      </c>
      <c r="N1383" t="inlineStr">
        <is>
          <t>P3</t>
        </is>
      </c>
      <c r="O1383" t="inlineStr">
        <is>
          <t>URL IOC - check host IP separately</t>
        </is>
      </c>
      <c r="P1383" t="n">
        <v>0</v>
      </c>
      <c r="Q1383" t="n">
        <v>0</v>
      </c>
      <c r="R1383" t="inlineStr">
        <is>
          <t>T1189:Drive-by Compromise | T1566:Phishing</t>
        </is>
      </c>
      <c r="S1383" t="n">
        <v>1</v>
      </c>
      <c r="T1383" t="inlineStr">
        <is>
          <t>LOW (40%)</t>
        </is>
      </c>
      <c r="U1383" t="inlineStr">
        <is>
          <t>YES</t>
        </is>
      </c>
      <c r="V1383" t="inlineStr">
        <is>
          <t>Block URL</t>
        </is>
      </c>
      <c r="W1383" t="inlineStr">
        <is>
          <t>https://urlhaus.abuse.ch/url/3784525/</t>
        </is>
      </c>
      <c r="X1383" t="inlineStr">
        <is>
          <t>NONE</t>
        </is>
      </c>
      <c r="Y1383" t="n">
        <v>0</v>
      </c>
      <c r="Z1383" t="inlineStr"/>
      <c r="AA1383" t="inlineStr">
        <is>
          <t>https://urlhaus.abuse.ch/url/3784525/</t>
        </is>
      </c>
    </row>
    <row r="1384">
      <c r="A1384" t="inlineStr">
        <is>
          <t>MAL_URL</t>
        </is>
      </c>
      <c r="B1384" t="inlineStr">
        <is>
          <t>3784524</t>
        </is>
      </c>
      <c r="C1384" t="inlineStr">
        <is>
          <t>Malware Host [online]: https://swift-flow-node.swiftcanyon.ru/service/verification.google | Threat: malware_download | Tags: ClearFake</t>
        </is>
      </c>
      <c r="D1384" t="n">
        <v>7.5</v>
      </c>
      <c r="E1384" t="inlineStr">
        <is>
          <t>HIGH</t>
        </is>
      </c>
      <c r="F1384" t="n">
        <v>3</v>
      </c>
      <c r="G1384" t="n">
        <v>2</v>
      </c>
      <c r="H1384" t="inlineStr">
        <is>
          <t>HIGH</t>
        </is>
      </c>
      <c r="I1384" t="n">
        <v>13.5</v>
      </c>
      <c r="J1384" t="inlineStr">
        <is>
          <t>NO</t>
        </is>
      </c>
      <c r="K1384" t="inlineStr">
        <is>
          <t>2026-02-23 21:21:07</t>
        </is>
      </c>
      <c r="L1384" t="inlineStr">
        <is>
          <t>Block URL</t>
        </is>
      </c>
      <c r="M1384" t="inlineStr">
        <is>
          <t>Network/Web Proxy</t>
        </is>
      </c>
      <c r="N1384" t="inlineStr">
        <is>
          <t>P3</t>
        </is>
      </c>
      <c r="O1384" t="inlineStr">
        <is>
          <t>URL IOC - check host IP separately</t>
        </is>
      </c>
      <c r="P1384" t="n">
        <v>0</v>
      </c>
      <c r="Q1384" t="n">
        <v>0</v>
      </c>
      <c r="R1384" t="inlineStr">
        <is>
          <t>T1189:Drive-by Compromise | T1566:Phishing</t>
        </is>
      </c>
      <c r="S1384" t="n">
        <v>1</v>
      </c>
      <c r="T1384" t="inlineStr">
        <is>
          <t>LOW (40%)</t>
        </is>
      </c>
      <c r="U1384" t="inlineStr">
        <is>
          <t>YES</t>
        </is>
      </c>
      <c r="V1384" t="inlineStr">
        <is>
          <t>Block URL</t>
        </is>
      </c>
      <c r="W1384" t="inlineStr">
        <is>
          <t>https://urlhaus.abuse.ch/url/3784524/</t>
        </is>
      </c>
      <c r="X1384" t="inlineStr">
        <is>
          <t>NONE</t>
        </is>
      </c>
      <c r="Y1384" t="n">
        <v>0</v>
      </c>
      <c r="Z1384" t="inlineStr"/>
      <c r="AA1384" t="inlineStr">
        <is>
          <t>https://urlhaus.abuse.ch/url/3784524/</t>
        </is>
      </c>
    </row>
    <row r="1385">
      <c r="A1385" t="inlineStr">
        <is>
          <t>MAL_URL</t>
        </is>
      </c>
      <c r="B1385" t="inlineStr">
        <is>
          <t>3784523</t>
        </is>
      </c>
      <c r="C1385" t="inlineStr">
        <is>
          <t>Malware Host [online]: http://27.215.47.228:46927/bin.sh | Threat: malware_download | Tags: 32-bit,elf,mips,Mozi</t>
        </is>
      </c>
      <c r="D1385" t="n">
        <v>7.5</v>
      </c>
      <c r="E1385" t="inlineStr">
        <is>
          <t>HIGH</t>
        </is>
      </c>
      <c r="F1385" t="n">
        <v>3</v>
      </c>
      <c r="G1385" t="n">
        <v>2</v>
      </c>
      <c r="H1385" t="inlineStr">
        <is>
          <t>HIGH</t>
        </is>
      </c>
      <c r="I1385" t="n">
        <v>13.5</v>
      </c>
      <c r="J1385" t="inlineStr">
        <is>
          <t>NO</t>
        </is>
      </c>
      <c r="K1385" t="inlineStr">
        <is>
          <t>2026-02-23 21:19:18</t>
        </is>
      </c>
      <c r="L1385" t="inlineStr">
        <is>
          <t>Block URL</t>
        </is>
      </c>
      <c r="M1385" t="inlineStr">
        <is>
          <t>Network/Web Proxy</t>
        </is>
      </c>
      <c r="N1385" t="inlineStr">
        <is>
          <t>P3</t>
        </is>
      </c>
      <c r="O1385" t="inlineStr">
        <is>
          <t>URL IOC - check host IP separately</t>
        </is>
      </c>
      <c r="P1385" t="n">
        <v>0</v>
      </c>
      <c r="Q1385" t="n">
        <v>0</v>
      </c>
      <c r="R1385" t="inlineStr">
        <is>
          <t>T1189:Drive-by Compromise | T1566:Phishing</t>
        </is>
      </c>
      <c r="S1385" t="n">
        <v>1</v>
      </c>
      <c r="T1385" t="inlineStr">
        <is>
          <t>LOW (40%)</t>
        </is>
      </c>
      <c r="U1385" t="inlineStr">
        <is>
          <t>YES</t>
        </is>
      </c>
      <c r="V1385" t="inlineStr">
        <is>
          <t>Block URL</t>
        </is>
      </c>
      <c r="W1385" t="inlineStr">
        <is>
          <t>https://urlhaus.abuse.ch/url/3784523/</t>
        </is>
      </c>
      <c r="X1385" t="inlineStr">
        <is>
          <t>NONE</t>
        </is>
      </c>
      <c r="Y1385" t="n">
        <v>0</v>
      </c>
      <c r="Z1385" t="inlineStr"/>
      <c r="AA1385" t="inlineStr">
        <is>
          <t>https://urlhaus.abuse.ch/url/3784523/</t>
        </is>
      </c>
    </row>
    <row r="1386">
      <c r="A1386" t="inlineStr">
        <is>
          <t>MAL_URL</t>
        </is>
      </c>
      <c r="B1386" t="inlineStr">
        <is>
          <t>3784522</t>
        </is>
      </c>
      <c r="C1386" t="inlineStr">
        <is>
          <t>Malware Host [online]: https://geo-rock-sync-base.swiftcanyon.ru/service/verification.google | Threat: malware_download | Tags: ClearFake</t>
        </is>
      </c>
      <c r="D1386" t="n">
        <v>7.5</v>
      </c>
      <c r="E1386" t="inlineStr">
        <is>
          <t>HIGH</t>
        </is>
      </c>
      <c r="F1386" t="n">
        <v>3</v>
      </c>
      <c r="G1386" t="n">
        <v>2</v>
      </c>
      <c r="H1386" t="inlineStr">
        <is>
          <t>HIGH</t>
        </is>
      </c>
      <c r="I1386" t="n">
        <v>13.5</v>
      </c>
      <c r="J1386" t="inlineStr">
        <is>
          <t>NO</t>
        </is>
      </c>
      <c r="K1386" t="inlineStr">
        <is>
          <t>2026-02-23 21:15:07</t>
        </is>
      </c>
      <c r="L1386" t="inlineStr">
        <is>
          <t>Block URL</t>
        </is>
      </c>
      <c r="M1386" t="inlineStr">
        <is>
          <t>Network/Web Proxy</t>
        </is>
      </c>
      <c r="N1386" t="inlineStr">
        <is>
          <t>P3</t>
        </is>
      </c>
      <c r="O1386" t="inlineStr">
        <is>
          <t>URL IOC - check host IP separately</t>
        </is>
      </c>
      <c r="P1386" t="n">
        <v>0</v>
      </c>
      <c r="Q1386" t="n">
        <v>0</v>
      </c>
      <c r="R1386" t="inlineStr">
        <is>
          <t>T1189:Drive-by Compromise | T1566:Phishing</t>
        </is>
      </c>
      <c r="S1386" t="n">
        <v>1</v>
      </c>
      <c r="T1386" t="inlineStr">
        <is>
          <t>LOW (40%)</t>
        </is>
      </c>
      <c r="U1386" t="inlineStr">
        <is>
          <t>YES</t>
        </is>
      </c>
      <c r="V1386" t="inlineStr">
        <is>
          <t>Block URL</t>
        </is>
      </c>
      <c r="W1386" t="inlineStr">
        <is>
          <t>https://urlhaus.abuse.ch/url/3784522/</t>
        </is>
      </c>
      <c r="X1386" t="inlineStr">
        <is>
          <t>NONE</t>
        </is>
      </c>
      <c r="Y1386" t="n">
        <v>0</v>
      </c>
      <c r="Z1386" t="inlineStr"/>
      <c r="AA1386" t="inlineStr">
        <is>
          <t>https://urlhaus.abuse.ch/url/3784522/</t>
        </is>
      </c>
    </row>
    <row r="1387">
      <c r="A1387" t="inlineStr">
        <is>
          <t>MAL_URL</t>
        </is>
      </c>
      <c r="B1387" t="inlineStr">
        <is>
          <t>3784521</t>
        </is>
      </c>
      <c r="C1387" t="inlineStr">
        <is>
          <t>Malware Host [online]: http://110.39.233.78:39309/bin.sh | Threat: malware_download | Tags: 32-bit,elf,mips,Mozi</t>
        </is>
      </c>
      <c r="D1387" t="n">
        <v>7.5</v>
      </c>
      <c r="E1387" t="inlineStr">
        <is>
          <t>HIGH</t>
        </is>
      </c>
      <c r="F1387" t="n">
        <v>3</v>
      </c>
      <c r="G1387" t="n">
        <v>2</v>
      </c>
      <c r="H1387" t="inlineStr">
        <is>
          <t>HIGH</t>
        </is>
      </c>
      <c r="I1387" t="n">
        <v>13.5</v>
      </c>
      <c r="J1387" t="inlineStr">
        <is>
          <t>NO</t>
        </is>
      </c>
      <c r="K1387" t="inlineStr">
        <is>
          <t>2026-02-23 21:12:05</t>
        </is>
      </c>
      <c r="L1387" t="inlineStr">
        <is>
          <t>Block URL</t>
        </is>
      </c>
      <c r="M1387" t="inlineStr">
        <is>
          <t>Network/Web Proxy</t>
        </is>
      </c>
      <c r="N1387" t="inlineStr">
        <is>
          <t>P3</t>
        </is>
      </c>
      <c r="O1387" t="inlineStr">
        <is>
          <t>URL IOC - check host IP separately</t>
        </is>
      </c>
      <c r="P1387" t="n">
        <v>0</v>
      </c>
      <c r="Q1387" t="n">
        <v>0</v>
      </c>
      <c r="R1387" t="inlineStr">
        <is>
          <t>T1189:Drive-by Compromise | T1566:Phishing</t>
        </is>
      </c>
      <c r="S1387" t="n">
        <v>1</v>
      </c>
      <c r="T1387" t="inlineStr">
        <is>
          <t>LOW (40%)</t>
        </is>
      </c>
      <c r="U1387" t="inlineStr">
        <is>
          <t>YES</t>
        </is>
      </c>
      <c r="V1387" t="inlineStr">
        <is>
          <t>Block URL</t>
        </is>
      </c>
      <c r="W1387" t="inlineStr">
        <is>
          <t>https://urlhaus.abuse.ch/url/3784521/</t>
        </is>
      </c>
      <c r="X1387" t="inlineStr">
        <is>
          <t>NONE</t>
        </is>
      </c>
      <c r="Y1387" t="n">
        <v>0</v>
      </c>
      <c r="Z1387" t="inlineStr"/>
      <c r="AA1387" t="inlineStr">
        <is>
          <t>https://urlhaus.abuse.ch/url/3784521/</t>
        </is>
      </c>
    </row>
    <row r="1388">
      <c r="A1388" t="inlineStr">
        <is>
          <t>MAL_URL</t>
        </is>
      </c>
      <c r="B1388" t="inlineStr">
        <is>
          <t>3784520</t>
        </is>
      </c>
      <c r="C1388" t="inlineStr">
        <is>
          <t>Malware Host [online]: http://27.215.176.66:56386/i | Threat: malware_download | Tags: 32-bit,elf,mips,Mozi</t>
        </is>
      </c>
      <c r="D1388" t="n">
        <v>7.5</v>
      </c>
      <c r="E1388" t="inlineStr">
        <is>
          <t>HIGH</t>
        </is>
      </c>
      <c r="F1388" t="n">
        <v>3</v>
      </c>
      <c r="G1388" t="n">
        <v>2</v>
      </c>
      <c r="H1388" t="inlineStr">
        <is>
          <t>HIGH</t>
        </is>
      </c>
      <c r="I1388" t="n">
        <v>13.5</v>
      </c>
      <c r="J1388" t="inlineStr">
        <is>
          <t>NO</t>
        </is>
      </c>
      <c r="K1388" t="inlineStr">
        <is>
          <t>2026-02-23 21:08:18</t>
        </is>
      </c>
      <c r="L1388" t="inlineStr">
        <is>
          <t>Block URL</t>
        </is>
      </c>
      <c r="M1388" t="inlineStr">
        <is>
          <t>Network/Web Proxy</t>
        </is>
      </c>
      <c r="N1388" t="inlineStr">
        <is>
          <t>P3</t>
        </is>
      </c>
      <c r="O1388" t="inlineStr">
        <is>
          <t>URL IOC - check host IP separately</t>
        </is>
      </c>
      <c r="P1388" t="n">
        <v>0</v>
      </c>
      <c r="Q1388" t="n">
        <v>0</v>
      </c>
      <c r="R1388" t="inlineStr">
        <is>
          <t>T1189:Drive-by Compromise | T1566:Phishing</t>
        </is>
      </c>
      <c r="S1388" t="n">
        <v>1</v>
      </c>
      <c r="T1388" t="inlineStr">
        <is>
          <t>LOW (40%)</t>
        </is>
      </c>
      <c r="U1388" t="inlineStr">
        <is>
          <t>YES</t>
        </is>
      </c>
      <c r="V1388" t="inlineStr">
        <is>
          <t>Block URL</t>
        </is>
      </c>
      <c r="W1388" t="inlineStr">
        <is>
          <t>https://urlhaus.abuse.ch/url/3784520/</t>
        </is>
      </c>
      <c r="X1388" t="inlineStr">
        <is>
          <t>NONE</t>
        </is>
      </c>
      <c r="Y1388" t="n">
        <v>0</v>
      </c>
      <c r="Z1388" t="inlineStr"/>
      <c r="AA1388" t="inlineStr">
        <is>
          <t>https://urlhaus.abuse.ch/url/3784520/</t>
        </is>
      </c>
    </row>
    <row r="1389">
      <c r="A1389" t="inlineStr">
        <is>
          <t>MAL_URL</t>
        </is>
      </c>
      <c r="B1389" t="inlineStr">
        <is>
          <t>3784519</t>
        </is>
      </c>
      <c r="C1389" t="inlineStr">
        <is>
          <t>Malware Host [online]: http://110.39.233.78:39309/i | Threat: malware_download | Tags: 32-bit,elf,mips,Mozi</t>
        </is>
      </c>
      <c r="D1389" t="n">
        <v>7.5</v>
      </c>
      <c r="E1389" t="inlineStr">
        <is>
          <t>HIGH</t>
        </is>
      </c>
      <c r="F1389" t="n">
        <v>3</v>
      </c>
      <c r="G1389" t="n">
        <v>2</v>
      </c>
      <c r="H1389" t="inlineStr">
        <is>
          <t>HIGH</t>
        </is>
      </c>
      <c r="I1389" t="n">
        <v>13.5</v>
      </c>
      <c r="J1389" t="inlineStr">
        <is>
          <t>NO</t>
        </is>
      </c>
      <c r="K1389" t="inlineStr">
        <is>
          <t>2026-02-23 21:07:18</t>
        </is>
      </c>
      <c r="L1389" t="inlineStr">
        <is>
          <t>Block URL</t>
        </is>
      </c>
      <c r="M1389" t="inlineStr">
        <is>
          <t>Network/Web Proxy</t>
        </is>
      </c>
      <c r="N1389" t="inlineStr">
        <is>
          <t>P3</t>
        </is>
      </c>
      <c r="O1389" t="inlineStr">
        <is>
          <t>URL IOC - check host IP separately</t>
        </is>
      </c>
      <c r="P1389" t="n">
        <v>0</v>
      </c>
      <c r="Q1389" t="n">
        <v>0</v>
      </c>
      <c r="R1389" t="inlineStr">
        <is>
          <t>T1189:Drive-by Compromise | T1566:Phishing</t>
        </is>
      </c>
      <c r="S1389" t="n">
        <v>1</v>
      </c>
      <c r="T1389" t="inlineStr">
        <is>
          <t>LOW (40%)</t>
        </is>
      </c>
      <c r="U1389" t="inlineStr">
        <is>
          <t>YES</t>
        </is>
      </c>
      <c r="V1389" t="inlineStr">
        <is>
          <t>Block URL</t>
        </is>
      </c>
      <c r="W1389" t="inlineStr">
        <is>
          <t>https://urlhaus.abuse.ch/url/3784519/</t>
        </is>
      </c>
      <c r="X1389" t="inlineStr">
        <is>
          <t>NONE</t>
        </is>
      </c>
      <c r="Y1389" t="n">
        <v>0</v>
      </c>
      <c r="Z1389" t="inlineStr"/>
      <c r="AA1389" t="inlineStr">
        <is>
          <t>https://urlhaus.abuse.ch/url/3784519/</t>
        </is>
      </c>
    </row>
    <row r="1390">
      <c r="A1390" t="inlineStr">
        <is>
          <t>MAL_URL</t>
        </is>
      </c>
      <c r="B1390" t="inlineStr">
        <is>
          <t>3784518</t>
        </is>
      </c>
      <c r="C1390" t="inlineStr">
        <is>
          <t>Malware Host [online]: https://depth-canyon-monitor.swiftcanyon.ru/service/verification.google | Threat: malware_download | Tags: ClearFake</t>
        </is>
      </c>
      <c r="D1390" t="n">
        <v>7.5</v>
      </c>
      <c r="E1390" t="inlineStr">
        <is>
          <t>HIGH</t>
        </is>
      </c>
      <c r="F1390" t="n">
        <v>3</v>
      </c>
      <c r="G1390" t="n">
        <v>2</v>
      </c>
      <c r="H1390" t="inlineStr">
        <is>
          <t>HIGH</t>
        </is>
      </c>
      <c r="I1390" t="n">
        <v>13.5</v>
      </c>
      <c r="J1390" t="inlineStr">
        <is>
          <t>NO</t>
        </is>
      </c>
      <c r="K1390" t="inlineStr">
        <is>
          <t>2026-02-23 21:06:07</t>
        </is>
      </c>
      <c r="L1390" t="inlineStr">
        <is>
          <t>Block URL</t>
        </is>
      </c>
      <c r="M1390" t="inlineStr">
        <is>
          <t>Network/Web Proxy</t>
        </is>
      </c>
      <c r="N1390" t="inlineStr">
        <is>
          <t>P3</t>
        </is>
      </c>
      <c r="O1390" t="inlineStr">
        <is>
          <t>URL IOC - check host IP separately</t>
        </is>
      </c>
      <c r="P1390" t="n">
        <v>0</v>
      </c>
      <c r="Q1390" t="n">
        <v>0</v>
      </c>
      <c r="R1390" t="inlineStr">
        <is>
          <t>T1189:Drive-by Compromise | T1566:Phishing</t>
        </is>
      </c>
      <c r="S1390" t="n">
        <v>1</v>
      </c>
      <c r="T1390" t="inlineStr">
        <is>
          <t>LOW (40%)</t>
        </is>
      </c>
      <c r="U1390" t="inlineStr">
        <is>
          <t>YES</t>
        </is>
      </c>
      <c r="V1390" t="inlineStr">
        <is>
          <t>Block URL</t>
        </is>
      </c>
      <c r="W1390" t="inlineStr">
        <is>
          <t>https://urlhaus.abuse.ch/url/3784518/</t>
        </is>
      </c>
      <c r="X1390" t="inlineStr">
        <is>
          <t>NONE</t>
        </is>
      </c>
      <c r="Y1390" t="n">
        <v>0</v>
      </c>
      <c r="Z1390" t="inlineStr"/>
      <c r="AA1390" t="inlineStr">
        <is>
          <t>https://urlhaus.abuse.ch/url/3784518/</t>
        </is>
      </c>
    </row>
    <row r="1391">
      <c r="A1391" t="inlineStr">
        <is>
          <t>MAL_URL</t>
        </is>
      </c>
      <c r="B1391" t="inlineStr">
        <is>
          <t>3784517</t>
        </is>
      </c>
      <c r="C1391" t="inlineStr">
        <is>
          <t>Malware Host [online]: http://115.50.69.58:38363/i | Threat: malware_download | Tags: 32-bit,elf,mips,Mozi</t>
        </is>
      </c>
      <c r="D1391" t="n">
        <v>7.5</v>
      </c>
      <c r="E1391" t="inlineStr">
        <is>
          <t>HIGH</t>
        </is>
      </c>
      <c r="F1391" t="n">
        <v>3</v>
      </c>
      <c r="G1391" t="n">
        <v>2</v>
      </c>
      <c r="H1391" t="inlineStr">
        <is>
          <t>HIGH</t>
        </is>
      </c>
      <c r="I1391" t="n">
        <v>13.5</v>
      </c>
      <c r="J1391" t="inlineStr">
        <is>
          <t>NO</t>
        </is>
      </c>
      <c r="K1391" t="inlineStr">
        <is>
          <t>2026-02-23 21:03:16</t>
        </is>
      </c>
      <c r="L1391" t="inlineStr">
        <is>
          <t>Block URL</t>
        </is>
      </c>
      <c r="M1391" t="inlineStr">
        <is>
          <t>Network/Web Proxy</t>
        </is>
      </c>
      <c r="N1391" t="inlineStr">
        <is>
          <t>P3</t>
        </is>
      </c>
      <c r="O1391" t="inlineStr">
        <is>
          <t>URL IOC - check host IP separately</t>
        </is>
      </c>
      <c r="P1391" t="n">
        <v>0</v>
      </c>
      <c r="Q1391" t="n">
        <v>0</v>
      </c>
      <c r="R1391" t="inlineStr">
        <is>
          <t>T1189:Drive-by Compromise | T1566:Phishing</t>
        </is>
      </c>
      <c r="S1391" t="n">
        <v>1</v>
      </c>
      <c r="T1391" t="inlineStr">
        <is>
          <t>LOW (40%)</t>
        </is>
      </c>
      <c r="U1391" t="inlineStr">
        <is>
          <t>YES</t>
        </is>
      </c>
      <c r="V1391" t="inlineStr">
        <is>
          <t>Block URL</t>
        </is>
      </c>
      <c r="W1391" t="inlineStr">
        <is>
          <t>https://urlhaus.abuse.ch/url/3784517/</t>
        </is>
      </c>
      <c r="X1391" t="inlineStr">
        <is>
          <t>NONE</t>
        </is>
      </c>
      <c r="Y1391" t="n">
        <v>0</v>
      </c>
      <c r="Z1391" t="inlineStr"/>
      <c r="AA1391" t="inlineStr">
        <is>
          <t>https://urlhaus.abuse.ch/url/3784517/</t>
        </is>
      </c>
    </row>
    <row r="1392">
      <c r="A1392" t="inlineStr">
        <is>
          <t>MAL_URL</t>
        </is>
      </c>
      <c r="B1392" t="inlineStr">
        <is>
          <t>3784516</t>
        </is>
      </c>
      <c r="C1392" t="inlineStr">
        <is>
          <t>Malware Host [online]: https://swift-canyon-pass.swiftcanyon.ru/service/verification.google | Threat: malware_download | Tags: ClearFake</t>
        </is>
      </c>
      <c r="D1392" t="n">
        <v>7.5</v>
      </c>
      <c r="E1392" t="inlineStr">
        <is>
          <t>HIGH</t>
        </is>
      </c>
      <c r="F1392" t="n">
        <v>3</v>
      </c>
      <c r="G1392" t="n">
        <v>2</v>
      </c>
      <c r="H1392" t="inlineStr">
        <is>
          <t>HIGH</t>
        </is>
      </c>
      <c r="I1392" t="n">
        <v>13.5</v>
      </c>
      <c r="J1392" t="inlineStr">
        <is>
          <t>NO</t>
        </is>
      </c>
      <c r="K1392" t="inlineStr">
        <is>
          <t>2026-02-23 21:02:08</t>
        </is>
      </c>
      <c r="L1392" t="inlineStr">
        <is>
          <t>Block URL</t>
        </is>
      </c>
      <c r="M1392" t="inlineStr">
        <is>
          <t>Network/Web Proxy</t>
        </is>
      </c>
      <c r="N1392" t="inlineStr">
        <is>
          <t>P3</t>
        </is>
      </c>
      <c r="O1392" t="inlineStr">
        <is>
          <t>URL IOC - check host IP separately</t>
        </is>
      </c>
      <c r="P1392" t="n">
        <v>0</v>
      </c>
      <c r="Q1392" t="n">
        <v>0</v>
      </c>
      <c r="R1392" t="inlineStr">
        <is>
          <t>T1189:Drive-by Compromise | T1566:Phishing</t>
        </is>
      </c>
      <c r="S1392" t="n">
        <v>1</v>
      </c>
      <c r="T1392" t="inlineStr">
        <is>
          <t>LOW (40%)</t>
        </is>
      </c>
      <c r="U1392" t="inlineStr">
        <is>
          <t>YES</t>
        </is>
      </c>
      <c r="V1392" t="inlineStr">
        <is>
          <t>Block URL</t>
        </is>
      </c>
      <c r="W1392" t="inlineStr">
        <is>
          <t>https://urlhaus.abuse.ch/url/3784516/</t>
        </is>
      </c>
      <c r="X1392" t="inlineStr">
        <is>
          <t>NONE</t>
        </is>
      </c>
      <c r="Y1392" t="n">
        <v>0</v>
      </c>
      <c r="Z1392" t="inlineStr"/>
      <c r="AA1392" t="inlineStr">
        <is>
          <t>https://urlhaus.abuse.ch/url/3784516/</t>
        </is>
      </c>
    </row>
    <row r="1393">
      <c r="A1393" t="inlineStr">
        <is>
          <t>MAL_URL</t>
        </is>
      </c>
      <c r="B1393" t="inlineStr">
        <is>
          <t>3784515</t>
        </is>
      </c>
      <c r="C1393" t="inlineStr">
        <is>
          <t>Malware Host [online]: https://main-quick-dock.quickharbor.in.net/service/verification.google | Threat: malware_download | Tags: ClearFake</t>
        </is>
      </c>
      <c r="D1393" t="n">
        <v>7.5</v>
      </c>
      <c r="E1393" t="inlineStr">
        <is>
          <t>HIGH</t>
        </is>
      </c>
      <c r="F1393" t="n">
        <v>3</v>
      </c>
      <c r="G1393" t="n">
        <v>2</v>
      </c>
      <c r="H1393" t="inlineStr">
        <is>
          <t>HIGH</t>
        </is>
      </c>
      <c r="I1393" t="n">
        <v>13.5</v>
      </c>
      <c r="J1393" t="inlineStr">
        <is>
          <t>NO</t>
        </is>
      </c>
      <c r="K1393" t="inlineStr">
        <is>
          <t>2026-02-23 20:58:08</t>
        </is>
      </c>
      <c r="L1393" t="inlineStr">
        <is>
          <t>Block URL</t>
        </is>
      </c>
      <c r="M1393" t="inlineStr">
        <is>
          <t>Network/Web Proxy</t>
        </is>
      </c>
      <c r="N1393" t="inlineStr">
        <is>
          <t>P3</t>
        </is>
      </c>
      <c r="O1393" t="inlineStr">
        <is>
          <t>URL IOC - check host IP separately</t>
        </is>
      </c>
      <c r="P1393" t="n">
        <v>0</v>
      </c>
      <c r="Q1393" t="n">
        <v>0</v>
      </c>
      <c r="R1393" t="inlineStr">
        <is>
          <t>T1189:Drive-by Compromise | T1566:Phishing</t>
        </is>
      </c>
      <c r="S1393" t="n">
        <v>1</v>
      </c>
      <c r="T1393" t="inlineStr">
        <is>
          <t>LOW (40%)</t>
        </is>
      </c>
      <c r="U1393" t="inlineStr">
        <is>
          <t>YES</t>
        </is>
      </c>
      <c r="V1393" t="inlineStr">
        <is>
          <t>Block URL</t>
        </is>
      </c>
      <c r="W1393" t="inlineStr">
        <is>
          <t>https://urlhaus.abuse.ch/url/3784515/</t>
        </is>
      </c>
      <c r="X1393" t="inlineStr">
        <is>
          <t>NONE</t>
        </is>
      </c>
      <c r="Y1393" t="n">
        <v>0</v>
      </c>
      <c r="Z1393" t="inlineStr"/>
      <c r="AA1393" t="inlineStr">
        <is>
          <t>https://urlhaus.abuse.ch/url/3784515/</t>
        </is>
      </c>
    </row>
    <row r="1394">
      <c r="A1394" t="inlineStr">
        <is>
          <t>MAL_URL</t>
        </is>
      </c>
      <c r="B1394" t="inlineStr">
        <is>
          <t>3784514</t>
        </is>
      </c>
      <c r="C1394" t="inlineStr">
        <is>
          <t>Malware Host [online]: http://221.14.175.205:53696/bin.sh | Threat: malware_download | Tags: 32-bit,elf,mips,Mozi</t>
        </is>
      </c>
      <c r="D1394" t="n">
        <v>7.5</v>
      </c>
      <c r="E1394" t="inlineStr">
        <is>
          <t>HIGH</t>
        </is>
      </c>
      <c r="F1394" t="n">
        <v>3</v>
      </c>
      <c r="G1394" t="n">
        <v>2</v>
      </c>
      <c r="H1394" t="inlineStr">
        <is>
          <t>HIGH</t>
        </is>
      </c>
      <c r="I1394" t="n">
        <v>13.5</v>
      </c>
      <c r="J1394" t="inlineStr">
        <is>
          <t>NO</t>
        </is>
      </c>
      <c r="K1394" t="inlineStr">
        <is>
          <t>2026-02-23 20:53:20</t>
        </is>
      </c>
      <c r="L1394" t="inlineStr">
        <is>
          <t>Block URL</t>
        </is>
      </c>
      <c r="M1394" t="inlineStr">
        <is>
          <t>Network/Web Proxy</t>
        </is>
      </c>
      <c r="N1394" t="inlineStr">
        <is>
          <t>P3</t>
        </is>
      </c>
      <c r="O1394" t="inlineStr">
        <is>
          <t>URL IOC - check host IP separately</t>
        </is>
      </c>
      <c r="P1394" t="n">
        <v>0</v>
      </c>
      <c r="Q1394" t="n">
        <v>0</v>
      </c>
      <c r="R1394" t="inlineStr">
        <is>
          <t>T1189:Drive-by Compromise | T1566:Phishing</t>
        </is>
      </c>
      <c r="S1394" t="n">
        <v>1</v>
      </c>
      <c r="T1394" t="inlineStr">
        <is>
          <t>LOW (40%)</t>
        </is>
      </c>
      <c r="U1394" t="inlineStr">
        <is>
          <t>YES</t>
        </is>
      </c>
      <c r="V1394" t="inlineStr">
        <is>
          <t>Block URL</t>
        </is>
      </c>
      <c r="W1394" t="inlineStr">
        <is>
          <t>https://urlhaus.abuse.ch/url/3784514/</t>
        </is>
      </c>
      <c r="X1394" t="inlineStr">
        <is>
          <t>NONE</t>
        </is>
      </c>
      <c r="Y1394" t="n">
        <v>0</v>
      </c>
      <c r="Z1394" t="inlineStr"/>
      <c r="AA1394" t="inlineStr">
        <is>
          <t>https://urlhaus.abuse.ch/url/3784514/</t>
        </is>
      </c>
    </row>
    <row r="1395">
      <c r="A1395" t="inlineStr">
        <is>
          <t>MAL_URL</t>
        </is>
      </c>
      <c r="B1395" t="inlineStr">
        <is>
          <t>3784513</t>
        </is>
      </c>
      <c r="C1395" t="inlineStr">
        <is>
          <t>Malware Host [online]: http://196.251.107.104/build1.exe | Threat: malware_download | Tags: c2-monitor-auto,dropped-by-amadey,Stealc</t>
        </is>
      </c>
      <c r="D1395" t="n">
        <v>7.5</v>
      </c>
      <c r="E1395" t="inlineStr">
        <is>
          <t>HIGH</t>
        </is>
      </c>
      <c r="F1395" t="n">
        <v>3</v>
      </c>
      <c r="G1395" t="n">
        <v>2</v>
      </c>
      <c r="H1395" t="inlineStr">
        <is>
          <t>HIGH</t>
        </is>
      </c>
      <c r="I1395" t="n">
        <v>13.5</v>
      </c>
      <c r="J1395" t="inlineStr">
        <is>
          <t>NO</t>
        </is>
      </c>
      <c r="K1395" t="inlineStr">
        <is>
          <t>2026-02-23 20:44:05</t>
        </is>
      </c>
      <c r="L1395" t="inlineStr">
        <is>
          <t>Block URL</t>
        </is>
      </c>
      <c r="M1395" t="inlineStr">
        <is>
          <t>Network/Web Proxy</t>
        </is>
      </c>
      <c r="N1395" t="inlineStr">
        <is>
          <t>P3</t>
        </is>
      </c>
      <c r="O1395" t="inlineStr">
        <is>
          <t>URL IOC - check host IP separately</t>
        </is>
      </c>
      <c r="P1395" t="n">
        <v>0</v>
      </c>
      <c r="Q1395" t="n">
        <v>0</v>
      </c>
      <c r="R1395" t="inlineStr">
        <is>
          <t>T1189:Drive-by Compromise | T1566:Phishing</t>
        </is>
      </c>
      <c r="S1395" t="n">
        <v>1</v>
      </c>
      <c r="T1395" t="inlineStr">
        <is>
          <t>LOW (40%)</t>
        </is>
      </c>
      <c r="U1395" t="inlineStr">
        <is>
          <t>YES</t>
        </is>
      </c>
      <c r="V1395" t="inlineStr">
        <is>
          <t>Block URL</t>
        </is>
      </c>
      <c r="W1395" t="inlineStr">
        <is>
          <t>https://urlhaus.abuse.ch/url/3784513/</t>
        </is>
      </c>
      <c r="X1395" t="inlineStr">
        <is>
          <t>NONE</t>
        </is>
      </c>
      <c r="Y1395" t="n">
        <v>0</v>
      </c>
      <c r="Z1395" t="inlineStr"/>
      <c r="AA1395" t="inlineStr">
        <is>
          <t>https://urlhaus.abuse.ch/url/3784513/</t>
        </is>
      </c>
    </row>
    <row r="1396">
      <c r="A1396" t="inlineStr">
        <is>
          <t>MAL_URL</t>
        </is>
      </c>
      <c r="B1396" t="inlineStr">
        <is>
          <t>3784512</t>
        </is>
      </c>
      <c r="C1396" t="inlineStr">
        <is>
          <t>Malware Host [online]: https://transit-harbor-node.quickharbor.in.net/service/verification.google | Threat: malware_download | Tags: ClearFake</t>
        </is>
      </c>
      <c r="D1396" t="n">
        <v>7.5</v>
      </c>
      <c r="E1396" t="inlineStr">
        <is>
          <t>HIGH</t>
        </is>
      </c>
      <c r="F1396" t="n">
        <v>3</v>
      </c>
      <c r="G1396" t="n">
        <v>2</v>
      </c>
      <c r="H1396" t="inlineStr">
        <is>
          <t>HIGH</t>
        </is>
      </c>
      <c r="I1396" t="n">
        <v>13.5</v>
      </c>
      <c r="J1396" t="inlineStr">
        <is>
          <t>NO</t>
        </is>
      </c>
      <c r="K1396" t="inlineStr">
        <is>
          <t>2026-02-23 20:43:08</t>
        </is>
      </c>
      <c r="L1396" t="inlineStr">
        <is>
          <t>Block URL</t>
        </is>
      </c>
      <c r="M1396" t="inlineStr">
        <is>
          <t>Network/Web Proxy</t>
        </is>
      </c>
      <c r="N1396" t="inlineStr">
        <is>
          <t>P3</t>
        </is>
      </c>
      <c r="O1396" t="inlineStr">
        <is>
          <t>URL IOC - check host IP separately</t>
        </is>
      </c>
      <c r="P1396" t="n">
        <v>0</v>
      </c>
      <c r="Q1396" t="n">
        <v>0</v>
      </c>
      <c r="R1396" t="inlineStr">
        <is>
          <t>T1189:Drive-by Compromise | T1566:Phishing</t>
        </is>
      </c>
      <c r="S1396" t="n">
        <v>1</v>
      </c>
      <c r="T1396" t="inlineStr">
        <is>
          <t>LOW (40%)</t>
        </is>
      </c>
      <c r="U1396" t="inlineStr">
        <is>
          <t>YES</t>
        </is>
      </c>
      <c r="V1396" t="inlineStr">
        <is>
          <t>Block URL</t>
        </is>
      </c>
      <c r="W1396" t="inlineStr">
        <is>
          <t>https://urlhaus.abuse.ch/url/3784512/</t>
        </is>
      </c>
      <c r="X1396" t="inlineStr">
        <is>
          <t>NONE</t>
        </is>
      </c>
      <c r="Y1396" t="n">
        <v>0</v>
      </c>
      <c r="Z1396" t="inlineStr"/>
      <c r="AA1396" t="inlineStr">
        <is>
          <t>https://urlhaus.abuse.ch/url/3784512/</t>
        </is>
      </c>
    </row>
    <row r="1397">
      <c r="A1397" t="inlineStr">
        <is>
          <t>MAL_URL</t>
        </is>
      </c>
      <c r="B1397" t="inlineStr">
        <is>
          <t>3784510</t>
        </is>
      </c>
      <c r="C1397" t="inlineStr">
        <is>
          <t>Malware Host [online]: http://182.114.51.109:33285/i | Threat: malware_download | Tags: 32-bit,elf,mips,Mozi</t>
        </is>
      </c>
      <c r="D1397" t="n">
        <v>7.5</v>
      </c>
      <c r="E1397" t="inlineStr">
        <is>
          <t>HIGH</t>
        </is>
      </c>
      <c r="F1397" t="n">
        <v>3</v>
      </c>
      <c r="G1397" t="n">
        <v>2</v>
      </c>
      <c r="H1397" t="inlineStr">
        <is>
          <t>HIGH</t>
        </is>
      </c>
      <c r="I1397" t="n">
        <v>13.5</v>
      </c>
      <c r="J1397" t="inlineStr">
        <is>
          <t>NO</t>
        </is>
      </c>
      <c r="K1397" t="inlineStr">
        <is>
          <t>2026-02-23 20:42:18</t>
        </is>
      </c>
      <c r="L1397" t="inlineStr">
        <is>
          <t>Block URL</t>
        </is>
      </c>
      <c r="M1397" t="inlineStr">
        <is>
          <t>Network/Web Proxy</t>
        </is>
      </c>
      <c r="N1397" t="inlineStr">
        <is>
          <t>P3</t>
        </is>
      </c>
      <c r="O1397" t="inlineStr">
        <is>
          <t>URL IOC - check host IP separately</t>
        </is>
      </c>
      <c r="P1397" t="n">
        <v>0</v>
      </c>
      <c r="Q1397" t="n">
        <v>0</v>
      </c>
      <c r="R1397" t="inlineStr">
        <is>
          <t>T1189:Drive-by Compromise | T1566:Phishing</t>
        </is>
      </c>
      <c r="S1397" t="n">
        <v>1</v>
      </c>
      <c r="T1397" t="inlineStr">
        <is>
          <t>LOW (40%)</t>
        </is>
      </c>
      <c r="U1397" t="inlineStr">
        <is>
          <t>YES</t>
        </is>
      </c>
      <c r="V1397" t="inlineStr">
        <is>
          <t>Block URL</t>
        </is>
      </c>
      <c r="W1397" t="inlineStr">
        <is>
          <t>https://urlhaus.abuse.ch/url/3784510/</t>
        </is>
      </c>
      <c r="X1397" t="inlineStr">
        <is>
          <t>NONE</t>
        </is>
      </c>
      <c r="Y1397" t="n">
        <v>0</v>
      </c>
      <c r="Z1397" t="inlineStr"/>
      <c r="AA1397" t="inlineStr">
        <is>
          <t>https://urlhaus.abuse.ch/url/3784510/</t>
        </is>
      </c>
    </row>
    <row r="1398">
      <c r="A1398" t="inlineStr">
        <is>
          <t>MAL_URL</t>
        </is>
      </c>
      <c r="B1398" t="inlineStr">
        <is>
          <t>3784511</t>
        </is>
      </c>
      <c r="C1398" t="inlineStr">
        <is>
          <t>Malware Host [online]: http://115.50.69.58:38363/bin.sh | Threat: malware_download | Tags: 32-bit,elf,mips,Mozi</t>
        </is>
      </c>
      <c r="D1398" t="n">
        <v>7.5</v>
      </c>
      <c r="E1398" t="inlineStr">
        <is>
          <t>HIGH</t>
        </is>
      </c>
      <c r="F1398" t="n">
        <v>3</v>
      </c>
      <c r="G1398" t="n">
        <v>2</v>
      </c>
      <c r="H1398" t="inlineStr">
        <is>
          <t>HIGH</t>
        </is>
      </c>
      <c r="I1398" t="n">
        <v>13.5</v>
      </c>
      <c r="J1398" t="inlineStr">
        <is>
          <t>NO</t>
        </is>
      </c>
      <c r="K1398" t="inlineStr">
        <is>
          <t>2026-02-23 20:42:18</t>
        </is>
      </c>
      <c r="L1398" t="inlineStr">
        <is>
          <t>Block URL</t>
        </is>
      </c>
      <c r="M1398" t="inlineStr">
        <is>
          <t>Network/Web Proxy</t>
        </is>
      </c>
      <c r="N1398" t="inlineStr">
        <is>
          <t>P3</t>
        </is>
      </c>
      <c r="O1398" t="inlineStr">
        <is>
          <t>URL IOC - check host IP separately</t>
        </is>
      </c>
      <c r="P1398" t="n">
        <v>0</v>
      </c>
      <c r="Q1398" t="n">
        <v>0</v>
      </c>
      <c r="R1398" t="inlineStr">
        <is>
          <t>T1189:Drive-by Compromise | T1566:Phishing</t>
        </is>
      </c>
      <c r="S1398" t="n">
        <v>1</v>
      </c>
      <c r="T1398" t="inlineStr">
        <is>
          <t>LOW (40%)</t>
        </is>
      </c>
      <c r="U1398" t="inlineStr">
        <is>
          <t>YES</t>
        </is>
      </c>
      <c r="V1398" t="inlineStr">
        <is>
          <t>Block URL</t>
        </is>
      </c>
      <c r="W1398" t="inlineStr">
        <is>
          <t>https://urlhaus.abuse.ch/url/3784511/</t>
        </is>
      </c>
      <c r="X1398" t="inlineStr">
        <is>
          <t>NONE</t>
        </is>
      </c>
      <c r="Y1398" t="n">
        <v>0</v>
      </c>
      <c r="Z1398" t="inlineStr"/>
      <c r="AA1398" t="inlineStr">
        <is>
          <t>https://urlhaus.abuse.ch/url/3784511/</t>
        </is>
      </c>
    </row>
    <row r="1399">
      <c r="A1399" t="inlineStr">
        <is>
          <t>MAL_URL</t>
        </is>
      </c>
      <c r="B1399" t="inlineStr">
        <is>
          <t>3784509</t>
        </is>
      </c>
      <c r="C1399" t="inlineStr">
        <is>
          <t>Malware Host [online]: http://115.55.129.35:37434/bin.sh | Threat: malware_download | Tags: 32-bit,elf,mips,Mozi</t>
        </is>
      </c>
      <c r="D1399" t="n">
        <v>7.5</v>
      </c>
      <c r="E1399" t="inlineStr">
        <is>
          <t>HIGH</t>
        </is>
      </c>
      <c r="F1399" t="n">
        <v>3</v>
      </c>
      <c r="G1399" t="n">
        <v>2</v>
      </c>
      <c r="H1399" t="inlineStr">
        <is>
          <t>HIGH</t>
        </is>
      </c>
      <c r="I1399" t="n">
        <v>13.5</v>
      </c>
      <c r="J1399" t="inlineStr">
        <is>
          <t>NO</t>
        </is>
      </c>
      <c r="K1399" t="inlineStr">
        <is>
          <t>2026-02-23 20:40:24</t>
        </is>
      </c>
      <c r="L1399" t="inlineStr">
        <is>
          <t>Block URL</t>
        </is>
      </c>
      <c r="M1399" t="inlineStr">
        <is>
          <t>Network/Web Proxy</t>
        </is>
      </c>
      <c r="N1399" t="inlineStr">
        <is>
          <t>P3</t>
        </is>
      </c>
      <c r="O1399" t="inlineStr">
        <is>
          <t>URL IOC - check host IP separately</t>
        </is>
      </c>
      <c r="P1399" t="n">
        <v>0</v>
      </c>
      <c r="Q1399" t="n">
        <v>0</v>
      </c>
      <c r="R1399" t="inlineStr">
        <is>
          <t>T1189:Drive-by Compromise | T1566:Phishing</t>
        </is>
      </c>
      <c r="S1399" t="n">
        <v>1</v>
      </c>
      <c r="T1399" t="inlineStr">
        <is>
          <t>LOW (40%)</t>
        </is>
      </c>
      <c r="U1399" t="inlineStr">
        <is>
          <t>YES</t>
        </is>
      </c>
      <c r="V1399" t="inlineStr">
        <is>
          <t>Block URL</t>
        </is>
      </c>
      <c r="W1399" t="inlineStr">
        <is>
          <t>https://urlhaus.abuse.ch/url/3784509/</t>
        </is>
      </c>
      <c r="X1399" t="inlineStr">
        <is>
          <t>NONE</t>
        </is>
      </c>
      <c r="Y1399" t="n">
        <v>0</v>
      </c>
      <c r="Z1399" t="inlineStr"/>
      <c r="AA1399" t="inlineStr">
        <is>
          <t>https://urlhaus.abuse.ch/url/3784509/</t>
        </is>
      </c>
    </row>
    <row r="1400">
      <c r="A1400" t="inlineStr">
        <is>
          <t>MAL_URL</t>
        </is>
      </c>
      <c r="B1400" t="inlineStr">
        <is>
          <t>3784508</t>
        </is>
      </c>
      <c r="C1400" t="inlineStr">
        <is>
          <t>Malware Host [online]: http://27.215.176.66:56386/bin.sh | Threat: malware_download | Tags: 32-bit,elf,mips,Mozi</t>
        </is>
      </c>
      <c r="D1400" t="n">
        <v>7.5</v>
      </c>
      <c r="E1400" t="inlineStr">
        <is>
          <t>HIGH</t>
        </is>
      </c>
      <c r="F1400" t="n">
        <v>3</v>
      </c>
      <c r="G1400" t="n">
        <v>2</v>
      </c>
      <c r="H1400" t="inlineStr">
        <is>
          <t>HIGH</t>
        </is>
      </c>
      <c r="I1400" t="n">
        <v>13.5</v>
      </c>
      <c r="J1400" t="inlineStr">
        <is>
          <t>NO</t>
        </is>
      </c>
      <c r="K1400" t="inlineStr">
        <is>
          <t>2026-02-23 20:40:23</t>
        </is>
      </c>
      <c r="L1400" t="inlineStr">
        <is>
          <t>Block URL</t>
        </is>
      </c>
      <c r="M1400" t="inlineStr">
        <is>
          <t>Network/Web Proxy</t>
        </is>
      </c>
      <c r="N1400" t="inlineStr">
        <is>
          <t>P3</t>
        </is>
      </c>
      <c r="O1400" t="inlineStr">
        <is>
          <t>URL IOC - check host IP separately</t>
        </is>
      </c>
      <c r="P1400" t="n">
        <v>0</v>
      </c>
      <c r="Q1400" t="n">
        <v>0</v>
      </c>
      <c r="R1400" t="inlineStr">
        <is>
          <t>T1189:Drive-by Compromise | T1566:Phishing</t>
        </is>
      </c>
      <c r="S1400" t="n">
        <v>1</v>
      </c>
      <c r="T1400" t="inlineStr">
        <is>
          <t>LOW (40%)</t>
        </is>
      </c>
      <c r="U1400" t="inlineStr">
        <is>
          <t>YES</t>
        </is>
      </c>
      <c r="V1400" t="inlineStr">
        <is>
          <t>Block URL</t>
        </is>
      </c>
      <c r="W1400" t="inlineStr">
        <is>
          <t>https://urlhaus.abuse.ch/url/3784508/</t>
        </is>
      </c>
      <c r="X1400" t="inlineStr">
        <is>
          <t>NONE</t>
        </is>
      </c>
      <c r="Y1400" t="n">
        <v>0</v>
      </c>
      <c r="Z1400" t="inlineStr"/>
      <c r="AA1400" t="inlineStr">
        <is>
          <t>https://urlhaus.abuse.ch/url/3784508/</t>
        </is>
      </c>
    </row>
    <row r="1401">
      <c r="A1401" t="inlineStr">
        <is>
          <t>MAL_URL</t>
        </is>
      </c>
      <c r="B1401" t="inlineStr">
        <is>
          <t>3784507</t>
        </is>
      </c>
      <c r="C1401" t="inlineStr">
        <is>
          <t>Malware Host [online]: https://fast-port-logic.quickharbor.in.net/service/verification.google | Threat: malware_download | Tags: ClearFake</t>
        </is>
      </c>
      <c r="D1401" t="n">
        <v>7.5</v>
      </c>
      <c r="E1401" t="inlineStr">
        <is>
          <t>HIGH</t>
        </is>
      </c>
      <c r="F1401" t="n">
        <v>3</v>
      </c>
      <c r="G1401" t="n">
        <v>2</v>
      </c>
      <c r="H1401" t="inlineStr">
        <is>
          <t>HIGH</t>
        </is>
      </c>
      <c r="I1401" t="n">
        <v>13.5</v>
      </c>
      <c r="J1401" t="inlineStr">
        <is>
          <t>NO</t>
        </is>
      </c>
      <c r="K1401" t="inlineStr">
        <is>
          <t>2026-02-23 20:35:23</t>
        </is>
      </c>
      <c r="L1401" t="inlineStr">
        <is>
          <t>Block URL</t>
        </is>
      </c>
      <c r="M1401" t="inlineStr">
        <is>
          <t>Network/Web Proxy</t>
        </is>
      </c>
      <c r="N1401" t="inlineStr">
        <is>
          <t>P3</t>
        </is>
      </c>
      <c r="O1401" t="inlineStr">
        <is>
          <t>URL IOC - check host IP separately</t>
        </is>
      </c>
      <c r="P1401" t="n">
        <v>0</v>
      </c>
      <c r="Q1401" t="n">
        <v>0</v>
      </c>
      <c r="R1401" t="inlineStr">
        <is>
          <t>T1189:Drive-by Compromise | T1566:Phishing</t>
        </is>
      </c>
      <c r="S1401" t="n">
        <v>1</v>
      </c>
      <c r="T1401" t="inlineStr">
        <is>
          <t>LOW (40%)</t>
        </is>
      </c>
      <c r="U1401" t="inlineStr">
        <is>
          <t>YES</t>
        </is>
      </c>
      <c r="V1401" t="inlineStr">
        <is>
          <t>Block URL</t>
        </is>
      </c>
      <c r="W1401" t="inlineStr">
        <is>
          <t>https://urlhaus.abuse.ch/url/3784507/</t>
        </is>
      </c>
      <c r="X1401" t="inlineStr">
        <is>
          <t>NONE</t>
        </is>
      </c>
      <c r="Y1401" t="n">
        <v>0</v>
      </c>
      <c r="Z1401" t="inlineStr"/>
      <c r="AA1401" t="inlineStr">
        <is>
          <t>https://urlhaus.abuse.ch/url/3784507/</t>
        </is>
      </c>
    </row>
    <row r="1402">
      <c r="A1402" t="inlineStr">
        <is>
          <t>MAL_URL</t>
        </is>
      </c>
      <c r="B1402" t="inlineStr">
        <is>
          <t>3784506</t>
        </is>
      </c>
      <c r="C1402" t="inlineStr">
        <is>
          <t>Malware Host [online]: http://219.157.16.104:56666/i | Threat: malware_download | Tags: 32-bit,elf,mips,Mozi</t>
        </is>
      </c>
      <c r="D1402" t="n">
        <v>7.5</v>
      </c>
      <c r="E1402" t="inlineStr">
        <is>
          <t>HIGH</t>
        </is>
      </c>
      <c r="F1402" t="n">
        <v>3</v>
      </c>
      <c r="G1402" t="n">
        <v>2</v>
      </c>
      <c r="H1402" t="inlineStr">
        <is>
          <t>HIGH</t>
        </is>
      </c>
      <c r="I1402" t="n">
        <v>13.5</v>
      </c>
      <c r="J1402" t="inlineStr">
        <is>
          <t>NO</t>
        </is>
      </c>
      <c r="K1402" t="inlineStr">
        <is>
          <t>2026-02-23 20:32:11</t>
        </is>
      </c>
      <c r="L1402" t="inlineStr">
        <is>
          <t>Block URL</t>
        </is>
      </c>
      <c r="M1402" t="inlineStr">
        <is>
          <t>Network/Web Proxy</t>
        </is>
      </c>
      <c r="N1402" t="inlineStr">
        <is>
          <t>P3</t>
        </is>
      </c>
      <c r="O1402" t="inlineStr">
        <is>
          <t>URL IOC - check host IP separately</t>
        </is>
      </c>
      <c r="P1402" t="n">
        <v>0</v>
      </c>
      <c r="Q1402" t="n">
        <v>0</v>
      </c>
      <c r="R1402" t="inlineStr">
        <is>
          <t>T1189:Drive-by Compromise | T1566:Phishing</t>
        </is>
      </c>
      <c r="S1402" t="n">
        <v>1</v>
      </c>
      <c r="T1402" t="inlineStr">
        <is>
          <t>LOW (40%)</t>
        </is>
      </c>
      <c r="U1402" t="inlineStr">
        <is>
          <t>YES</t>
        </is>
      </c>
      <c r="V1402" t="inlineStr">
        <is>
          <t>Block URL</t>
        </is>
      </c>
      <c r="W1402" t="inlineStr">
        <is>
          <t>https://urlhaus.abuse.ch/url/3784506/</t>
        </is>
      </c>
      <c r="X1402" t="inlineStr">
        <is>
          <t>NONE</t>
        </is>
      </c>
      <c r="Y1402" t="n">
        <v>0</v>
      </c>
      <c r="Z1402" t="inlineStr"/>
      <c r="AA1402" t="inlineStr">
        <is>
          <t>https://urlhaus.abuse.ch/url/3784506/</t>
        </is>
      </c>
    </row>
    <row r="1403">
      <c r="A1403" t="inlineStr">
        <is>
          <t>MAL_URL</t>
        </is>
      </c>
      <c r="B1403" t="inlineStr">
        <is>
          <t>3784505</t>
        </is>
      </c>
      <c r="C1403" t="inlineStr">
        <is>
          <t>Malware Host [online]: http://110.37.102.167:35315/i | Threat: malware_download | Tags: 32-bit,elf,mips,Mozi</t>
        </is>
      </c>
      <c r="D1403" t="n">
        <v>7.5</v>
      </c>
      <c r="E1403" t="inlineStr">
        <is>
          <t>HIGH</t>
        </is>
      </c>
      <c r="F1403" t="n">
        <v>3</v>
      </c>
      <c r="G1403" t="n">
        <v>2</v>
      </c>
      <c r="H1403" t="inlineStr">
        <is>
          <t>HIGH</t>
        </is>
      </c>
      <c r="I1403" t="n">
        <v>13.5</v>
      </c>
      <c r="J1403" t="inlineStr">
        <is>
          <t>NO</t>
        </is>
      </c>
      <c r="K1403" t="inlineStr">
        <is>
          <t>2026-02-23 20:29:21</t>
        </is>
      </c>
      <c r="L1403" t="inlineStr">
        <is>
          <t>Block URL</t>
        </is>
      </c>
      <c r="M1403" t="inlineStr">
        <is>
          <t>Network/Web Proxy</t>
        </is>
      </c>
      <c r="N1403" t="inlineStr">
        <is>
          <t>P3</t>
        </is>
      </c>
      <c r="O1403" t="inlineStr">
        <is>
          <t>URL IOC - check host IP separately</t>
        </is>
      </c>
      <c r="P1403" t="n">
        <v>0</v>
      </c>
      <c r="Q1403" t="n">
        <v>0</v>
      </c>
      <c r="R1403" t="inlineStr">
        <is>
          <t>T1189:Drive-by Compromise | T1566:Phishing</t>
        </is>
      </c>
      <c r="S1403" t="n">
        <v>1</v>
      </c>
      <c r="T1403" t="inlineStr">
        <is>
          <t>LOW (40%)</t>
        </is>
      </c>
      <c r="U1403" t="inlineStr">
        <is>
          <t>YES</t>
        </is>
      </c>
      <c r="V1403" t="inlineStr">
        <is>
          <t>Block URL</t>
        </is>
      </c>
      <c r="W1403" t="inlineStr">
        <is>
          <t>https://urlhaus.abuse.ch/url/3784505/</t>
        </is>
      </c>
      <c r="X1403" t="inlineStr">
        <is>
          <t>NONE</t>
        </is>
      </c>
      <c r="Y1403" t="n">
        <v>0</v>
      </c>
      <c r="Z1403" t="inlineStr"/>
      <c r="AA1403" t="inlineStr">
        <is>
          <t>https://urlhaus.abuse.ch/url/3784505/</t>
        </is>
      </c>
    </row>
    <row r="1404">
      <c r="A1404" t="inlineStr">
        <is>
          <t>MAL_URL</t>
        </is>
      </c>
      <c r="B1404" t="inlineStr">
        <is>
          <t>3784504</t>
        </is>
      </c>
      <c r="C1404" t="inlineStr">
        <is>
          <t>Malware Host [online]: http://112.238.199.55:56645/bin.sh | Threat: malware_download | Tags: 32-bit,elf,mips,Mozi</t>
        </is>
      </c>
      <c r="D1404" t="n">
        <v>7.5</v>
      </c>
      <c r="E1404" t="inlineStr">
        <is>
          <t>HIGH</t>
        </is>
      </c>
      <c r="F1404" t="n">
        <v>3</v>
      </c>
      <c r="G1404" t="n">
        <v>2</v>
      </c>
      <c r="H1404" t="inlineStr">
        <is>
          <t>HIGH</t>
        </is>
      </c>
      <c r="I1404" t="n">
        <v>13.5</v>
      </c>
      <c r="J1404" t="inlineStr">
        <is>
          <t>NO</t>
        </is>
      </c>
      <c r="K1404" t="inlineStr">
        <is>
          <t>2026-02-23 20:26:40</t>
        </is>
      </c>
      <c r="L1404" t="inlineStr">
        <is>
          <t>Block URL</t>
        </is>
      </c>
      <c r="M1404" t="inlineStr">
        <is>
          <t>Network/Web Proxy</t>
        </is>
      </c>
      <c r="N1404" t="inlineStr">
        <is>
          <t>P3</t>
        </is>
      </c>
      <c r="O1404" t="inlineStr">
        <is>
          <t>URL IOC - check host IP separately</t>
        </is>
      </c>
      <c r="P1404" t="n">
        <v>0</v>
      </c>
      <c r="Q1404" t="n">
        <v>0</v>
      </c>
      <c r="R1404" t="inlineStr">
        <is>
          <t>T1189:Drive-by Compromise | T1566:Phishing</t>
        </is>
      </c>
      <c r="S1404" t="n">
        <v>1</v>
      </c>
      <c r="T1404" t="inlineStr">
        <is>
          <t>LOW (40%)</t>
        </is>
      </c>
      <c r="U1404" t="inlineStr">
        <is>
          <t>YES</t>
        </is>
      </c>
      <c r="V1404" t="inlineStr">
        <is>
          <t>Block URL</t>
        </is>
      </c>
      <c r="W1404" t="inlineStr">
        <is>
          <t>https://urlhaus.abuse.ch/url/3784504/</t>
        </is>
      </c>
      <c r="X1404" t="inlineStr">
        <is>
          <t>NONE</t>
        </is>
      </c>
      <c r="Y1404" t="n">
        <v>0</v>
      </c>
      <c r="Z1404" t="inlineStr"/>
      <c r="AA1404" t="inlineStr">
        <is>
          <t>https://urlhaus.abuse.ch/url/3784504/</t>
        </is>
      </c>
    </row>
    <row r="1405">
      <c r="A1405" t="inlineStr">
        <is>
          <t>MAL_URL</t>
        </is>
      </c>
      <c r="B1405" t="inlineStr">
        <is>
          <t>3784503</t>
        </is>
      </c>
      <c r="C1405" t="inlineStr">
        <is>
          <t>Malware Host [online]: http://222.141.135.86:39416/i | Threat: malware_download | Tags: 32-bit,elf,mips,Mozi</t>
        </is>
      </c>
      <c r="D1405" t="n">
        <v>7.5</v>
      </c>
      <c r="E1405" t="inlineStr">
        <is>
          <t>HIGH</t>
        </is>
      </c>
      <c r="F1405" t="n">
        <v>3</v>
      </c>
      <c r="G1405" t="n">
        <v>2</v>
      </c>
      <c r="H1405" t="inlineStr">
        <is>
          <t>HIGH</t>
        </is>
      </c>
      <c r="I1405" t="n">
        <v>13.5</v>
      </c>
      <c r="J1405" t="inlineStr">
        <is>
          <t>NO</t>
        </is>
      </c>
      <c r="K1405" t="inlineStr">
        <is>
          <t>2026-02-23 20:26:22</t>
        </is>
      </c>
      <c r="L1405" t="inlineStr">
        <is>
          <t>Block URL</t>
        </is>
      </c>
      <c r="M1405" t="inlineStr">
        <is>
          <t>Network/Web Proxy</t>
        </is>
      </c>
      <c r="N1405" t="inlineStr">
        <is>
          <t>P3</t>
        </is>
      </c>
      <c r="O1405" t="inlineStr">
        <is>
          <t>URL IOC - check host IP separately</t>
        </is>
      </c>
      <c r="P1405" t="n">
        <v>0</v>
      </c>
      <c r="Q1405" t="n">
        <v>0</v>
      </c>
      <c r="R1405" t="inlineStr">
        <is>
          <t>T1189:Drive-by Compromise | T1566:Phishing</t>
        </is>
      </c>
      <c r="S1405" t="n">
        <v>1</v>
      </c>
      <c r="T1405" t="inlineStr">
        <is>
          <t>LOW (40%)</t>
        </is>
      </c>
      <c r="U1405" t="inlineStr">
        <is>
          <t>YES</t>
        </is>
      </c>
      <c r="V1405" t="inlineStr">
        <is>
          <t>Block URL</t>
        </is>
      </c>
      <c r="W1405" t="inlineStr">
        <is>
          <t>https://urlhaus.abuse.ch/url/3784503/</t>
        </is>
      </c>
      <c r="X1405" t="inlineStr">
        <is>
          <t>NONE</t>
        </is>
      </c>
      <c r="Y1405" t="n">
        <v>0</v>
      </c>
      <c r="Z1405" t="inlineStr"/>
      <c r="AA1405" t="inlineStr">
        <is>
          <t>https://urlhaus.abuse.ch/url/3784503/</t>
        </is>
      </c>
    </row>
    <row r="1406">
      <c r="A1406" t="inlineStr">
        <is>
          <t>MAL_URL</t>
        </is>
      </c>
      <c r="B1406" t="inlineStr">
        <is>
          <t>3784502</t>
        </is>
      </c>
      <c r="C1406" t="inlineStr">
        <is>
          <t>Malware Host [online]: http://219.157.16.104:56666/bin.sh | Threat: malware_download | Tags: 32-bit,elf,mips,Mozi</t>
        </is>
      </c>
      <c r="D1406" t="n">
        <v>7.5</v>
      </c>
      <c r="E1406" t="inlineStr">
        <is>
          <t>HIGH</t>
        </is>
      </c>
      <c r="F1406" t="n">
        <v>3</v>
      </c>
      <c r="G1406" t="n">
        <v>2</v>
      </c>
      <c r="H1406" t="inlineStr">
        <is>
          <t>HIGH</t>
        </is>
      </c>
      <c r="I1406" t="n">
        <v>13.5</v>
      </c>
      <c r="J1406" t="inlineStr">
        <is>
          <t>NO</t>
        </is>
      </c>
      <c r="K1406" t="inlineStr">
        <is>
          <t>2026-02-23 20:21:21</t>
        </is>
      </c>
      <c r="L1406" t="inlineStr">
        <is>
          <t>Block URL</t>
        </is>
      </c>
      <c r="M1406" t="inlineStr">
        <is>
          <t>Network/Web Proxy</t>
        </is>
      </c>
      <c r="N1406" t="inlineStr">
        <is>
          <t>P3</t>
        </is>
      </c>
      <c r="O1406" t="inlineStr">
        <is>
          <t>URL IOC - check host IP separately</t>
        </is>
      </c>
      <c r="P1406" t="n">
        <v>0</v>
      </c>
      <c r="Q1406" t="n">
        <v>0</v>
      </c>
      <c r="R1406" t="inlineStr">
        <is>
          <t>T1189:Drive-by Compromise | T1566:Phishing</t>
        </is>
      </c>
      <c r="S1406" t="n">
        <v>1</v>
      </c>
      <c r="T1406" t="inlineStr">
        <is>
          <t>LOW (40%)</t>
        </is>
      </c>
      <c r="U1406" t="inlineStr">
        <is>
          <t>YES</t>
        </is>
      </c>
      <c r="V1406" t="inlineStr">
        <is>
          <t>Block URL</t>
        </is>
      </c>
      <c r="W1406" t="inlineStr">
        <is>
          <t>https://urlhaus.abuse.ch/url/3784502/</t>
        </is>
      </c>
      <c r="X1406" t="inlineStr">
        <is>
          <t>NONE</t>
        </is>
      </c>
      <c r="Y1406" t="n">
        <v>0</v>
      </c>
      <c r="Z1406" t="inlineStr"/>
      <c r="AA1406" t="inlineStr">
        <is>
          <t>https://urlhaus.abuse.ch/url/3784502/</t>
        </is>
      </c>
    </row>
    <row r="1407">
      <c r="A1407" t="inlineStr">
        <is>
          <t>MAL_URL</t>
        </is>
      </c>
      <c r="B1407" t="inlineStr">
        <is>
          <t>3784501</t>
        </is>
      </c>
      <c r="C1407" t="inlineStr">
        <is>
          <t>Malware Host [online]: http://182.121.170.205:35255/i | Threat: malware_download | Tags: 32-bit,elf,mips,Mozi</t>
        </is>
      </c>
      <c r="D1407" t="n">
        <v>7.5</v>
      </c>
      <c r="E1407" t="inlineStr">
        <is>
          <t>HIGH</t>
        </is>
      </c>
      <c r="F1407" t="n">
        <v>3</v>
      </c>
      <c r="G1407" t="n">
        <v>2</v>
      </c>
      <c r="H1407" t="inlineStr">
        <is>
          <t>HIGH</t>
        </is>
      </c>
      <c r="I1407" t="n">
        <v>13.5</v>
      </c>
      <c r="J1407" t="inlineStr">
        <is>
          <t>NO</t>
        </is>
      </c>
      <c r="K1407" t="inlineStr">
        <is>
          <t>2026-02-23 20:19:17</t>
        </is>
      </c>
      <c r="L1407" t="inlineStr">
        <is>
          <t>Block URL</t>
        </is>
      </c>
      <c r="M1407" t="inlineStr">
        <is>
          <t>Network/Web Proxy</t>
        </is>
      </c>
      <c r="N1407" t="inlineStr">
        <is>
          <t>P3</t>
        </is>
      </c>
      <c r="O1407" t="inlineStr">
        <is>
          <t>URL IOC - check host IP separately</t>
        </is>
      </c>
      <c r="P1407" t="n">
        <v>0</v>
      </c>
      <c r="Q1407" t="n">
        <v>0</v>
      </c>
      <c r="R1407" t="inlineStr">
        <is>
          <t>T1189:Drive-by Compromise | T1566:Phishing</t>
        </is>
      </c>
      <c r="S1407" t="n">
        <v>1</v>
      </c>
      <c r="T1407" t="inlineStr">
        <is>
          <t>LOW (40%)</t>
        </is>
      </c>
      <c r="U1407" t="inlineStr">
        <is>
          <t>YES</t>
        </is>
      </c>
      <c r="V1407" t="inlineStr">
        <is>
          <t>Block URL</t>
        </is>
      </c>
      <c r="W1407" t="inlineStr">
        <is>
          <t>https://urlhaus.abuse.ch/url/3784501/</t>
        </is>
      </c>
      <c r="X1407" t="inlineStr">
        <is>
          <t>NONE</t>
        </is>
      </c>
      <c r="Y1407" t="n">
        <v>0</v>
      </c>
      <c r="Z1407" t="inlineStr"/>
      <c r="AA1407" t="inlineStr">
        <is>
          <t>https://urlhaus.abuse.ch/url/3784501/</t>
        </is>
      </c>
    </row>
    <row r="1408">
      <c r="A1408" t="inlineStr">
        <is>
          <t>MAL_URL</t>
        </is>
      </c>
      <c r="B1408" t="inlineStr">
        <is>
          <t>3784500</t>
        </is>
      </c>
      <c r="C1408" t="inlineStr">
        <is>
          <t>Malware Host [online]: https://quick-harbor-unit.quickharbor.in.net/service/verification.google | Threat: malware_download | Tags: ClearFake</t>
        </is>
      </c>
      <c r="D1408" t="n">
        <v>7.5</v>
      </c>
      <c r="E1408" t="inlineStr">
        <is>
          <t>HIGH</t>
        </is>
      </c>
      <c r="F1408" t="n">
        <v>3</v>
      </c>
      <c r="G1408" t="n">
        <v>2</v>
      </c>
      <c r="H1408" t="inlineStr">
        <is>
          <t>HIGH</t>
        </is>
      </c>
      <c r="I1408" t="n">
        <v>13.5</v>
      </c>
      <c r="J1408" t="inlineStr">
        <is>
          <t>NO</t>
        </is>
      </c>
      <c r="K1408" t="inlineStr">
        <is>
          <t>2026-02-23 20:18:08</t>
        </is>
      </c>
      <c r="L1408" t="inlineStr">
        <is>
          <t>Block URL</t>
        </is>
      </c>
      <c r="M1408" t="inlineStr">
        <is>
          <t>Network/Web Proxy</t>
        </is>
      </c>
      <c r="N1408" t="inlineStr">
        <is>
          <t>P3</t>
        </is>
      </c>
      <c r="O1408" t="inlineStr">
        <is>
          <t>URL IOC - check host IP separately</t>
        </is>
      </c>
      <c r="P1408" t="n">
        <v>0</v>
      </c>
      <c r="Q1408" t="n">
        <v>0</v>
      </c>
      <c r="R1408" t="inlineStr">
        <is>
          <t>T1189:Drive-by Compromise | T1566:Phishing</t>
        </is>
      </c>
      <c r="S1408" t="n">
        <v>1</v>
      </c>
      <c r="T1408" t="inlineStr">
        <is>
          <t>LOW (40%)</t>
        </is>
      </c>
      <c r="U1408" t="inlineStr">
        <is>
          <t>YES</t>
        </is>
      </c>
      <c r="V1408" t="inlineStr">
        <is>
          <t>Block URL</t>
        </is>
      </c>
      <c r="W1408" t="inlineStr">
        <is>
          <t>https://urlhaus.abuse.ch/url/3784500/</t>
        </is>
      </c>
      <c r="X1408" t="inlineStr">
        <is>
          <t>NONE</t>
        </is>
      </c>
      <c r="Y1408" t="n">
        <v>0</v>
      </c>
      <c r="Z1408" t="inlineStr"/>
      <c r="AA1408" t="inlineStr">
        <is>
          <t>https://urlhaus.abuse.ch/url/3784500/</t>
        </is>
      </c>
    </row>
    <row r="1409">
      <c r="A1409" t="inlineStr">
        <is>
          <t>MAL_URL</t>
        </is>
      </c>
      <c r="B1409" t="inlineStr">
        <is>
          <t>3784499</t>
        </is>
      </c>
      <c r="C1409" t="inlineStr">
        <is>
          <t>Malware Host [online]: http://42.224.169.44:55398/bin.sh | Threat: malware_download | Tags: 32-bit,elf,mips,Mozi</t>
        </is>
      </c>
      <c r="D1409" t="n">
        <v>7.5</v>
      </c>
      <c r="E1409" t="inlineStr">
        <is>
          <t>HIGH</t>
        </is>
      </c>
      <c r="F1409" t="n">
        <v>3</v>
      </c>
      <c r="G1409" t="n">
        <v>2</v>
      </c>
      <c r="H1409" t="inlineStr">
        <is>
          <t>HIGH</t>
        </is>
      </c>
      <c r="I1409" t="n">
        <v>13.5</v>
      </c>
      <c r="J1409" t="inlineStr">
        <is>
          <t>NO</t>
        </is>
      </c>
      <c r="K1409" t="inlineStr">
        <is>
          <t>2026-02-23 20:12:20</t>
        </is>
      </c>
      <c r="L1409" t="inlineStr">
        <is>
          <t>Block URL</t>
        </is>
      </c>
      <c r="M1409" t="inlineStr">
        <is>
          <t>Network/Web Proxy</t>
        </is>
      </c>
      <c r="N1409" t="inlineStr">
        <is>
          <t>P3</t>
        </is>
      </c>
      <c r="O1409" t="inlineStr">
        <is>
          <t>URL IOC - check host IP separately</t>
        </is>
      </c>
      <c r="P1409" t="n">
        <v>0</v>
      </c>
      <c r="Q1409" t="n">
        <v>0</v>
      </c>
      <c r="R1409" t="inlineStr">
        <is>
          <t>T1189:Drive-by Compromise | T1566:Phishing</t>
        </is>
      </c>
      <c r="S1409" t="n">
        <v>1</v>
      </c>
      <c r="T1409" t="inlineStr">
        <is>
          <t>LOW (40%)</t>
        </is>
      </c>
      <c r="U1409" t="inlineStr">
        <is>
          <t>YES</t>
        </is>
      </c>
      <c r="V1409" t="inlineStr">
        <is>
          <t>Block URL</t>
        </is>
      </c>
      <c r="W1409" t="inlineStr">
        <is>
          <t>https://urlhaus.abuse.ch/url/3784499/</t>
        </is>
      </c>
      <c r="X1409" t="inlineStr">
        <is>
          <t>NONE</t>
        </is>
      </c>
      <c r="Y1409" t="n">
        <v>0</v>
      </c>
      <c r="Z1409" t="inlineStr"/>
      <c r="AA1409" t="inlineStr">
        <is>
          <t>https://urlhaus.abuse.ch/url/3784499/</t>
        </is>
      </c>
    </row>
    <row r="1410">
      <c r="A1410" t="inlineStr">
        <is>
          <t>PHISH</t>
        </is>
      </c>
      <c r="B1410" t="inlineStr"/>
      <c r="C1410" t="inlineStr">
        <is>
          <t>Phishing site targeting: mypost.ycaskp.help | URL: https://mypost.ycaskp.help/au/service/22/</t>
        </is>
      </c>
      <c r="D1410" t="n">
        <v>6</v>
      </c>
      <c r="E1410" t="inlineStr">
        <is>
          <t>MEDIUM</t>
        </is>
      </c>
      <c r="F1410" t="n">
        <v>3</v>
      </c>
      <c r="G1410" t="n">
        <v>1</v>
      </c>
      <c r="H1410" t="inlineStr">
        <is>
          <t>MEDIUM</t>
        </is>
      </c>
      <c r="I1410" t="n">
        <v>9</v>
      </c>
      <c r="J1410" t="inlineStr">
        <is>
          <t>NO</t>
        </is>
      </c>
      <c r="K1410" t="inlineStr">
        <is>
          <t>2026-02-23T23:44:47+00:00</t>
        </is>
      </c>
      <c r="L1410" t="inlineStr">
        <is>
          <t>Block URL</t>
        </is>
      </c>
      <c r="M1410" t="inlineStr">
        <is>
          <t>Email users / mypost.ycaskp.help</t>
        </is>
      </c>
      <c r="N1410" t="inlineStr">
        <is>
          <t>P4</t>
        </is>
      </c>
      <c r="O1410" t="inlineStr">
        <is>
          <t>Phishing URL</t>
        </is>
      </c>
      <c r="P1410" t="n">
        <v>0</v>
      </c>
      <c r="Q1410" t="n">
        <v>0</v>
      </c>
      <c r="R1410" t="inlineStr">
        <is>
          <t>T1566:Phishing | T1566.002:Spearphishing Link</t>
        </is>
      </c>
      <c r="S1410" t="n">
        <v>1</v>
      </c>
      <c r="T1410" t="inlineStr">
        <is>
          <t>LOW (40%)</t>
        </is>
      </c>
      <c r="U1410" t="inlineStr">
        <is>
          <t>NONE</t>
        </is>
      </c>
      <c r="V1410" t="inlineStr">
        <is>
          <t>NONE</t>
        </is>
      </c>
      <c r="W1410" t="inlineStr">
        <is>
          <t>https://mypost.ycaskp.help/au/service/22/</t>
        </is>
      </c>
      <c r="X1410" t="inlineStr">
        <is>
          <t>NONE</t>
        </is>
      </c>
      <c r="Y1410" t="n">
        <v>0</v>
      </c>
      <c r="Z1410" t="inlineStr"/>
      <c r="AA1410" t="inlineStr">
        <is>
          <t>https://mypost.ycaskp.help/au/service/22/</t>
        </is>
      </c>
    </row>
    <row r="1411">
      <c r="A1411" t="inlineStr">
        <is>
          <t>PHISH</t>
        </is>
      </c>
      <c r="B1411" t="inlineStr"/>
      <c r="C1411" t="inlineStr">
        <is>
          <t>Phishing site targeting: www.bduedu.in | URL: http://www.bduedu.in/pay-fees/</t>
        </is>
      </c>
      <c r="D1411" t="n">
        <v>6</v>
      </c>
      <c r="E1411" t="inlineStr">
        <is>
          <t>MEDIUM</t>
        </is>
      </c>
      <c r="F1411" t="n">
        <v>3</v>
      </c>
      <c r="G1411" t="n">
        <v>1</v>
      </c>
      <c r="H1411" t="inlineStr">
        <is>
          <t>MEDIUM</t>
        </is>
      </c>
      <c r="I1411" t="n">
        <v>9</v>
      </c>
      <c r="J1411" t="inlineStr">
        <is>
          <t>NO</t>
        </is>
      </c>
      <c r="K1411" t="inlineStr">
        <is>
          <t>2026-02-23T23:44:47+00:00</t>
        </is>
      </c>
      <c r="L1411" t="inlineStr">
        <is>
          <t>Block URL</t>
        </is>
      </c>
      <c r="M1411" t="inlineStr">
        <is>
          <t>Email users / www.bduedu.in</t>
        </is>
      </c>
      <c r="N1411" t="inlineStr">
        <is>
          <t>P4</t>
        </is>
      </c>
      <c r="O1411" t="inlineStr">
        <is>
          <t>Phishing URL</t>
        </is>
      </c>
      <c r="P1411" t="n">
        <v>0</v>
      </c>
      <c r="Q1411" t="n">
        <v>0</v>
      </c>
      <c r="R1411" t="inlineStr">
        <is>
          <t>T1566:Phishing | T1566.002:Spearphishing Link</t>
        </is>
      </c>
      <c r="S1411" t="n">
        <v>1</v>
      </c>
      <c r="T1411" t="inlineStr">
        <is>
          <t>LOW (40%)</t>
        </is>
      </c>
      <c r="U1411" t="inlineStr">
        <is>
          <t>NONE</t>
        </is>
      </c>
      <c r="V1411" t="inlineStr">
        <is>
          <t>NONE</t>
        </is>
      </c>
      <c r="W1411" t="inlineStr">
        <is>
          <t>http://www.bduedu.in/pay-fees/</t>
        </is>
      </c>
      <c r="X1411" t="inlineStr">
        <is>
          <t>NONE</t>
        </is>
      </c>
      <c r="Y1411" t="n">
        <v>0</v>
      </c>
      <c r="Z1411" t="inlineStr"/>
      <c r="AA1411" t="inlineStr">
        <is>
          <t>http://www.bduedu.in/pay-fees/</t>
        </is>
      </c>
    </row>
    <row r="1412">
      <c r="A1412" t="inlineStr">
        <is>
          <t>PHISH</t>
        </is>
      </c>
      <c r="B1412" t="inlineStr"/>
      <c r="C1412" t="inlineStr">
        <is>
          <t>Phishing site targeting: geminibalance.520131401.xyz | URL: https://geminibalance.520131401.xyz/</t>
        </is>
      </c>
      <c r="D1412" t="n">
        <v>6</v>
      </c>
      <c r="E1412" t="inlineStr">
        <is>
          <t>MEDIUM</t>
        </is>
      </c>
      <c r="F1412" t="n">
        <v>3</v>
      </c>
      <c r="G1412" t="n">
        <v>1</v>
      </c>
      <c r="H1412" t="inlineStr">
        <is>
          <t>MEDIUM</t>
        </is>
      </c>
      <c r="I1412" t="n">
        <v>9</v>
      </c>
      <c r="J1412" t="inlineStr">
        <is>
          <t>NO</t>
        </is>
      </c>
      <c r="K1412" t="inlineStr">
        <is>
          <t>2026-02-23T23:44:47+00:00</t>
        </is>
      </c>
      <c r="L1412" t="inlineStr">
        <is>
          <t>Block URL</t>
        </is>
      </c>
      <c r="M1412" t="inlineStr">
        <is>
          <t>Email users / geminibalance.520131401.xyz</t>
        </is>
      </c>
      <c r="N1412" t="inlineStr">
        <is>
          <t>P4</t>
        </is>
      </c>
      <c r="O1412" t="inlineStr">
        <is>
          <t>Phishing URL</t>
        </is>
      </c>
      <c r="P1412" t="n">
        <v>0</v>
      </c>
      <c r="Q1412" t="n">
        <v>0</v>
      </c>
      <c r="R1412" t="inlineStr">
        <is>
          <t>T1566:Phishing | T1566.002:Spearphishing Link</t>
        </is>
      </c>
      <c r="S1412" t="n">
        <v>1</v>
      </c>
      <c r="T1412" t="inlineStr">
        <is>
          <t>LOW (40%)</t>
        </is>
      </c>
      <c r="U1412" t="inlineStr">
        <is>
          <t>NONE</t>
        </is>
      </c>
      <c r="V1412" t="inlineStr">
        <is>
          <t>NONE</t>
        </is>
      </c>
      <c r="W1412" t="inlineStr">
        <is>
          <t>https://geminibalance.520131401.xyz/</t>
        </is>
      </c>
      <c r="X1412" t="inlineStr">
        <is>
          <t>NONE</t>
        </is>
      </c>
      <c r="Y1412" t="n">
        <v>0</v>
      </c>
      <c r="Z1412" t="inlineStr"/>
      <c r="AA1412" t="inlineStr">
        <is>
          <t>https://geminibalance.520131401.xyz/</t>
        </is>
      </c>
    </row>
    <row r="1413">
      <c r="A1413" t="inlineStr">
        <is>
          <t>PHISH</t>
        </is>
      </c>
      <c r="B1413" t="inlineStr"/>
      <c r="C1413" t="inlineStr">
        <is>
          <t>Phishing site targeting: robloxr.com.es | URL: https://robloxr.com.es/users/1140465374/profile</t>
        </is>
      </c>
      <c r="D1413" t="n">
        <v>6</v>
      </c>
      <c r="E1413" t="inlineStr">
        <is>
          <t>MEDIUM</t>
        </is>
      </c>
      <c r="F1413" t="n">
        <v>3</v>
      </c>
      <c r="G1413" t="n">
        <v>1</v>
      </c>
      <c r="H1413" t="inlineStr">
        <is>
          <t>MEDIUM</t>
        </is>
      </c>
      <c r="I1413" t="n">
        <v>9</v>
      </c>
      <c r="J1413" t="inlineStr">
        <is>
          <t>NO</t>
        </is>
      </c>
      <c r="K1413" t="inlineStr">
        <is>
          <t>2026-02-23T23:44:47+00:00</t>
        </is>
      </c>
      <c r="L1413" t="inlineStr">
        <is>
          <t>Block URL</t>
        </is>
      </c>
      <c r="M1413" t="inlineStr">
        <is>
          <t>Email users / robloxr.com.es</t>
        </is>
      </c>
      <c r="N1413" t="inlineStr">
        <is>
          <t>P4</t>
        </is>
      </c>
      <c r="O1413" t="inlineStr">
        <is>
          <t>Phishing URL</t>
        </is>
      </c>
      <c r="P1413" t="n">
        <v>0</v>
      </c>
      <c r="Q1413" t="n">
        <v>0</v>
      </c>
      <c r="R1413" t="inlineStr">
        <is>
          <t>T1566:Phishing | T1566.002:Spearphishing Link</t>
        </is>
      </c>
      <c r="S1413" t="n">
        <v>1</v>
      </c>
      <c r="T1413" t="inlineStr">
        <is>
          <t>LOW (40%)</t>
        </is>
      </c>
      <c r="U1413" t="inlineStr">
        <is>
          <t>NONE</t>
        </is>
      </c>
      <c r="V1413" t="inlineStr">
        <is>
          <t>NONE</t>
        </is>
      </c>
      <c r="W1413" t="inlineStr">
        <is>
          <t>https://robloxr.com.es/users/1140465374/profile</t>
        </is>
      </c>
      <c r="X1413" t="inlineStr">
        <is>
          <t>NONE</t>
        </is>
      </c>
      <c r="Y1413" t="n">
        <v>0</v>
      </c>
      <c r="Z1413" t="inlineStr"/>
      <c r="AA1413" t="inlineStr">
        <is>
          <t>https://robloxr.com.es/users/1140465374/profile</t>
        </is>
      </c>
    </row>
    <row r="1414">
      <c r="A1414" t="inlineStr">
        <is>
          <t>PHISH</t>
        </is>
      </c>
      <c r="B1414" t="inlineStr"/>
      <c r="C1414" t="inlineStr">
        <is>
          <t>Phishing site targeting: www.robiox.com.py | URL: https://www.robiox.com.py/users/225612695322/profile</t>
        </is>
      </c>
      <c r="D1414" t="n">
        <v>6</v>
      </c>
      <c r="E1414" t="inlineStr">
        <is>
          <t>MEDIUM</t>
        </is>
      </c>
      <c r="F1414" t="n">
        <v>3</v>
      </c>
      <c r="G1414" t="n">
        <v>1</v>
      </c>
      <c r="H1414" t="inlineStr">
        <is>
          <t>MEDIUM</t>
        </is>
      </c>
      <c r="I1414" t="n">
        <v>9</v>
      </c>
      <c r="J1414" t="inlineStr">
        <is>
          <t>NO</t>
        </is>
      </c>
      <c r="K1414" t="inlineStr">
        <is>
          <t>2026-02-23T23:44:47+00:00</t>
        </is>
      </c>
      <c r="L1414" t="inlineStr">
        <is>
          <t>Block URL</t>
        </is>
      </c>
      <c r="M1414" t="inlineStr">
        <is>
          <t>Email users / www.robiox.com.py</t>
        </is>
      </c>
      <c r="N1414" t="inlineStr">
        <is>
          <t>P4</t>
        </is>
      </c>
      <c r="O1414" t="inlineStr">
        <is>
          <t>Phishing URL</t>
        </is>
      </c>
      <c r="P1414" t="n">
        <v>0</v>
      </c>
      <c r="Q1414" t="n">
        <v>0</v>
      </c>
      <c r="R1414" t="inlineStr">
        <is>
          <t>T1566:Phishing | T1566.002:Spearphishing Link</t>
        </is>
      </c>
      <c r="S1414" t="n">
        <v>1</v>
      </c>
      <c r="T1414" t="inlineStr">
        <is>
          <t>LOW (40%)</t>
        </is>
      </c>
      <c r="U1414" t="inlineStr">
        <is>
          <t>NONE</t>
        </is>
      </c>
      <c r="V1414" t="inlineStr">
        <is>
          <t>NONE</t>
        </is>
      </c>
      <c r="W1414" t="inlineStr">
        <is>
          <t>https://www.robiox.com.py/users/225612695322/profile</t>
        </is>
      </c>
      <c r="X1414" t="inlineStr">
        <is>
          <t>NONE</t>
        </is>
      </c>
      <c r="Y1414" t="n">
        <v>0</v>
      </c>
      <c r="Z1414" t="inlineStr"/>
      <c r="AA1414" t="inlineStr">
        <is>
          <t>https://www.robiox.com.py/users/225612695322/profile</t>
        </is>
      </c>
    </row>
    <row r="1415">
      <c r="A1415" t="inlineStr">
        <is>
          <t>PHISH</t>
        </is>
      </c>
      <c r="B1415" t="inlineStr"/>
      <c r="C1415" t="inlineStr">
        <is>
          <t>Phishing site targeting: ofertascomvalor.online | URL: https://ofertascomvalor.online/</t>
        </is>
      </c>
      <c r="D1415" t="n">
        <v>6</v>
      </c>
      <c r="E1415" t="inlineStr">
        <is>
          <t>MEDIUM</t>
        </is>
      </c>
      <c r="F1415" t="n">
        <v>3</v>
      </c>
      <c r="G1415" t="n">
        <v>1</v>
      </c>
      <c r="H1415" t="inlineStr">
        <is>
          <t>MEDIUM</t>
        </is>
      </c>
      <c r="I1415" t="n">
        <v>9</v>
      </c>
      <c r="J1415" t="inlineStr">
        <is>
          <t>NO</t>
        </is>
      </c>
      <c r="K1415" t="inlineStr">
        <is>
          <t>2026-02-23T23:44:47+00:00</t>
        </is>
      </c>
      <c r="L1415" t="inlineStr">
        <is>
          <t>Block URL</t>
        </is>
      </c>
      <c r="M1415" t="inlineStr">
        <is>
          <t>Email users / ofertascomvalor.online</t>
        </is>
      </c>
      <c r="N1415" t="inlineStr">
        <is>
          <t>P4</t>
        </is>
      </c>
      <c r="O1415" t="inlineStr">
        <is>
          <t>Phishing URL</t>
        </is>
      </c>
      <c r="P1415" t="n">
        <v>0</v>
      </c>
      <c r="Q1415" t="n">
        <v>0</v>
      </c>
      <c r="R1415" t="inlineStr">
        <is>
          <t>T1566:Phishing | T1566.002:Spearphishing Link</t>
        </is>
      </c>
      <c r="S1415" t="n">
        <v>1</v>
      </c>
      <c r="T1415" t="inlineStr">
        <is>
          <t>LOW (40%)</t>
        </is>
      </c>
      <c r="U1415" t="inlineStr">
        <is>
          <t>NONE</t>
        </is>
      </c>
      <c r="V1415" t="inlineStr">
        <is>
          <t>NONE</t>
        </is>
      </c>
      <c r="W1415" t="inlineStr">
        <is>
          <t>https://ofertascomvalor.online/</t>
        </is>
      </c>
      <c r="X1415" t="inlineStr">
        <is>
          <t>NONE</t>
        </is>
      </c>
      <c r="Y1415" t="n">
        <v>0</v>
      </c>
      <c r="Z1415" t="inlineStr"/>
      <c r="AA1415" t="inlineStr">
        <is>
          <t>https://ofertascomvalor.online/</t>
        </is>
      </c>
    </row>
    <row r="1416">
      <c r="A1416" t="inlineStr">
        <is>
          <t>PHISH</t>
        </is>
      </c>
      <c r="B1416" t="inlineStr"/>
      <c r="C1416" t="inlineStr">
        <is>
          <t>Phishing site targeting: notafakedomain.org | URL: https://notafakedomain.org/landing/form/4fc26f2a-8ba7-4a4f-be6e-c28ed289a769</t>
        </is>
      </c>
      <c r="D1416" t="n">
        <v>6</v>
      </c>
      <c r="E1416" t="inlineStr">
        <is>
          <t>MEDIUM</t>
        </is>
      </c>
      <c r="F1416" t="n">
        <v>3</v>
      </c>
      <c r="G1416" t="n">
        <v>1</v>
      </c>
      <c r="H1416" t="inlineStr">
        <is>
          <t>MEDIUM</t>
        </is>
      </c>
      <c r="I1416" t="n">
        <v>9</v>
      </c>
      <c r="J1416" t="inlineStr">
        <is>
          <t>NO</t>
        </is>
      </c>
      <c r="K1416" t="inlineStr">
        <is>
          <t>2026-02-23T23:44:47+00:00</t>
        </is>
      </c>
      <c r="L1416" t="inlineStr">
        <is>
          <t>Block URL</t>
        </is>
      </c>
      <c r="M1416" t="inlineStr">
        <is>
          <t>Email users / notafakedomain.org</t>
        </is>
      </c>
      <c r="N1416" t="inlineStr">
        <is>
          <t>P4</t>
        </is>
      </c>
      <c r="O1416" t="inlineStr">
        <is>
          <t>Phishing URL</t>
        </is>
      </c>
      <c r="P1416" t="n">
        <v>0</v>
      </c>
      <c r="Q1416" t="n">
        <v>0</v>
      </c>
      <c r="R1416" t="inlineStr">
        <is>
          <t>T1566:Phishing | T1566.002:Spearphishing Link</t>
        </is>
      </c>
      <c r="S1416" t="n">
        <v>1</v>
      </c>
      <c r="T1416" t="inlineStr">
        <is>
          <t>LOW (40%)</t>
        </is>
      </c>
      <c r="U1416" t="inlineStr">
        <is>
          <t>NONE</t>
        </is>
      </c>
      <c r="V1416" t="inlineStr">
        <is>
          <t>NONE</t>
        </is>
      </c>
      <c r="W1416" t="inlineStr">
        <is>
          <t>https://notafakedomain.org/landing/form/4fc26f2a-8ba7-4a4f-be6e-c28ed289a769</t>
        </is>
      </c>
      <c r="X1416" t="inlineStr">
        <is>
          <t>NONE</t>
        </is>
      </c>
      <c r="Y1416" t="n">
        <v>0</v>
      </c>
      <c r="Z1416" t="inlineStr"/>
      <c r="AA1416" t="inlineStr">
        <is>
          <t>https://notafakedomain.org/landing/form/4fc26f2a-8ba7-4a4f-be6e-c28ed289a769</t>
        </is>
      </c>
    </row>
    <row r="1417">
      <c r="A1417" t="inlineStr">
        <is>
          <t>PHISH</t>
        </is>
      </c>
      <c r="B1417" t="inlineStr"/>
      <c r="C1417" t="inlineStr">
        <is>
          <t>Phishing site targeting: facebooken.login.piotrpiotr.pl | URL: https://facebooken.login.piotrpiotr.pl/</t>
        </is>
      </c>
      <c r="D1417" t="n">
        <v>6</v>
      </c>
      <c r="E1417" t="inlineStr">
        <is>
          <t>MEDIUM</t>
        </is>
      </c>
      <c r="F1417" t="n">
        <v>3</v>
      </c>
      <c r="G1417" t="n">
        <v>1</v>
      </c>
      <c r="H1417" t="inlineStr">
        <is>
          <t>MEDIUM</t>
        </is>
      </c>
      <c r="I1417" t="n">
        <v>9</v>
      </c>
      <c r="J1417" t="inlineStr">
        <is>
          <t>NO</t>
        </is>
      </c>
      <c r="K1417" t="inlineStr">
        <is>
          <t>2026-02-23T23:44:47+00:00</t>
        </is>
      </c>
      <c r="L1417" t="inlineStr">
        <is>
          <t>Block URL</t>
        </is>
      </c>
      <c r="M1417" t="inlineStr">
        <is>
          <t>Email users / facebooken.login.piotrpiotr.pl</t>
        </is>
      </c>
      <c r="N1417" t="inlineStr">
        <is>
          <t>P4</t>
        </is>
      </c>
      <c r="O1417" t="inlineStr">
        <is>
          <t>Phishing URL</t>
        </is>
      </c>
      <c r="P1417" t="n">
        <v>0</v>
      </c>
      <c r="Q1417" t="n">
        <v>0</v>
      </c>
      <c r="R1417" t="inlineStr">
        <is>
          <t>T1566:Phishing | T1566.002:Spearphishing Link</t>
        </is>
      </c>
      <c r="S1417" t="n">
        <v>1</v>
      </c>
      <c r="T1417" t="inlineStr">
        <is>
          <t>LOW (40%)</t>
        </is>
      </c>
      <c r="U1417" t="inlineStr">
        <is>
          <t>NONE</t>
        </is>
      </c>
      <c r="V1417" t="inlineStr">
        <is>
          <t>NONE</t>
        </is>
      </c>
      <c r="W1417" t="inlineStr">
        <is>
          <t>https://facebooken.login.piotrpiotr.pl/</t>
        </is>
      </c>
      <c r="X1417" t="inlineStr">
        <is>
          <t>NONE</t>
        </is>
      </c>
      <c r="Y1417" t="n">
        <v>0</v>
      </c>
      <c r="Z1417" t="inlineStr"/>
      <c r="AA1417" t="inlineStr">
        <is>
          <t>https://facebooken.login.piotrpiotr.pl/</t>
        </is>
      </c>
    </row>
    <row r="1418">
      <c r="A1418" t="inlineStr">
        <is>
          <t>PHISH</t>
        </is>
      </c>
      <c r="B1418" t="inlineStr"/>
      <c r="C1418" t="inlineStr">
        <is>
          <t>Phishing site targeting: notafakedomain.org | URL: https://notafakedomain.org/landing/form/1324ac96-1f7e-4857-a6e6-c2c2412c3d95</t>
        </is>
      </c>
      <c r="D1418" t="n">
        <v>6</v>
      </c>
      <c r="E1418" t="inlineStr">
        <is>
          <t>MEDIUM</t>
        </is>
      </c>
      <c r="F1418" t="n">
        <v>3</v>
      </c>
      <c r="G1418" t="n">
        <v>1</v>
      </c>
      <c r="H1418" t="inlineStr">
        <is>
          <t>MEDIUM</t>
        </is>
      </c>
      <c r="I1418" t="n">
        <v>9</v>
      </c>
      <c r="J1418" t="inlineStr">
        <is>
          <t>NO</t>
        </is>
      </c>
      <c r="K1418" t="inlineStr">
        <is>
          <t>2026-02-23T23:44:47+00:00</t>
        </is>
      </c>
      <c r="L1418" t="inlineStr">
        <is>
          <t>Block URL</t>
        </is>
      </c>
      <c r="M1418" t="inlineStr">
        <is>
          <t>Email users / notafakedomain.org</t>
        </is>
      </c>
      <c r="N1418" t="inlineStr">
        <is>
          <t>P4</t>
        </is>
      </c>
      <c r="O1418" t="inlineStr">
        <is>
          <t>Phishing URL</t>
        </is>
      </c>
      <c r="P1418" t="n">
        <v>0</v>
      </c>
      <c r="Q1418" t="n">
        <v>0</v>
      </c>
      <c r="R1418" t="inlineStr">
        <is>
          <t>T1566:Phishing | T1566.002:Spearphishing Link</t>
        </is>
      </c>
      <c r="S1418" t="n">
        <v>1</v>
      </c>
      <c r="T1418" t="inlineStr">
        <is>
          <t>LOW (40%)</t>
        </is>
      </c>
      <c r="U1418" t="inlineStr">
        <is>
          <t>NONE</t>
        </is>
      </c>
      <c r="V1418" t="inlineStr">
        <is>
          <t>NONE</t>
        </is>
      </c>
      <c r="W1418" t="inlineStr">
        <is>
          <t>https://notafakedomain.org/landing/form/1324ac96-1f7e-4857-a6e6-c2c2412c3d95</t>
        </is>
      </c>
      <c r="X1418" t="inlineStr">
        <is>
          <t>NONE</t>
        </is>
      </c>
      <c r="Y1418" t="n">
        <v>0</v>
      </c>
      <c r="Z1418" t="inlineStr"/>
      <c r="AA1418" t="inlineStr">
        <is>
          <t>https://notafakedomain.org/landing/form/1324ac96-1f7e-4857-a6e6-c2c2412c3d95</t>
        </is>
      </c>
    </row>
    <row r="1419">
      <c r="A1419" t="inlineStr">
        <is>
          <t>PHISH</t>
        </is>
      </c>
      <c r="B1419" t="inlineStr"/>
      <c r="C1419" t="inlineStr">
        <is>
          <t>Phishing site targeting: www.rnicrosoft-exchange.com | URL: https://www.rnicrosoft-exchange.com/terms-office@austrogate.net.html</t>
        </is>
      </c>
      <c r="D1419" t="n">
        <v>6</v>
      </c>
      <c r="E1419" t="inlineStr">
        <is>
          <t>MEDIUM</t>
        </is>
      </c>
      <c r="F1419" t="n">
        <v>3</v>
      </c>
      <c r="G1419" t="n">
        <v>1</v>
      </c>
      <c r="H1419" t="inlineStr">
        <is>
          <t>MEDIUM</t>
        </is>
      </c>
      <c r="I1419" t="n">
        <v>9</v>
      </c>
      <c r="J1419" t="inlineStr">
        <is>
          <t>NO</t>
        </is>
      </c>
      <c r="K1419" t="inlineStr">
        <is>
          <t>2026-02-23T23:44:47+00:00</t>
        </is>
      </c>
      <c r="L1419" t="inlineStr">
        <is>
          <t>Block URL</t>
        </is>
      </c>
      <c r="M1419" t="inlineStr">
        <is>
          <t>Email users / www.rnicrosoft-exchange.com</t>
        </is>
      </c>
      <c r="N1419" t="inlineStr">
        <is>
          <t>P4</t>
        </is>
      </c>
      <c r="O1419" t="inlineStr">
        <is>
          <t>Phishing URL</t>
        </is>
      </c>
      <c r="P1419" t="n">
        <v>0</v>
      </c>
      <c r="Q1419" t="n">
        <v>0</v>
      </c>
      <c r="R1419" t="inlineStr">
        <is>
          <t>T1566:Phishing | T1566.002:Spearphishing Link</t>
        </is>
      </c>
      <c r="S1419" t="n">
        <v>1</v>
      </c>
      <c r="T1419" t="inlineStr">
        <is>
          <t>LOW (40%)</t>
        </is>
      </c>
      <c r="U1419" t="inlineStr">
        <is>
          <t>NONE</t>
        </is>
      </c>
      <c r="V1419" t="inlineStr">
        <is>
          <t>NONE</t>
        </is>
      </c>
      <c r="W1419" t="inlineStr">
        <is>
          <t>https://www.rnicrosoft-exchange.com/terms-office@austrogate.net.html</t>
        </is>
      </c>
      <c r="X1419" t="inlineStr">
        <is>
          <t>NONE</t>
        </is>
      </c>
      <c r="Y1419" t="n">
        <v>0</v>
      </c>
      <c r="Z1419" t="inlineStr"/>
      <c r="AA1419" t="inlineStr">
        <is>
          <t>https://www.rnicrosoft-exchange.com/terms-office@austrogate.net.html</t>
        </is>
      </c>
    </row>
    <row r="1420">
      <c r="A1420" t="inlineStr">
        <is>
          <t>PHISH</t>
        </is>
      </c>
      <c r="B1420" t="inlineStr"/>
      <c r="C1420" t="inlineStr">
        <is>
          <t>Phishing site targeting: 20-215-200-29.cprapid.com | URL: https://20-215-200-29.cprapid.com/ch/update.php?zv15hvqkprpwp29hkqa1</t>
        </is>
      </c>
      <c r="D1420" t="n">
        <v>6</v>
      </c>
      <c r="E1420" t="inlineStr">
        <is>
          <t>MEDIUM</t>
        </is>
      </c>
      <c r="F1420" t="n">
        <v>3</v>
      </c>
      <c r="G1420" t="n">
        <v>1</v>
      </c>
      <c r="H1420" t="inlineStr">
        <is>
          <t>MEDIUM</t>
        </is>
      </c>
      <c r="I1420" t="n">
        <v>9</v>
      </c>
      <c r="J1420" t="inlineStr">
        <is>
          <t>NO</t>
        </is>
      </c>
      <c r="K1420" t="inlineStr">
        <is>
          <t>2026-02-23T23:44:47+00:00</t>
        </is>
      </c>
      <c r="L1420" t="inlineStr">
        <is>
          <t>Block URL</t>
        </is>
      </c>
      <c r="M1420" t="inlineStr">
        <is>
          <t>Email users / 20-215-200-29.cprapid.com</t>
        </is>
      </c>
      <c r="N1420" t="inlineStr">
        <is>
          <t>P4</t>
        </is>
      </c>
      <c r="O1420" t="inlineStr">
        <is>
          <t>Phishing URL</t>
        </is>
      </c>
      <c r="P1420" t="n">
        <v>0</v>
      </c>
      <c r="Q1420" t="n">
        <v>0</v>
      </c>
      <c r="R1420" t="inlineStr">
        <is>
          <t>T1566:Phishing | T1566.002:Spearphishing Link</t>
        </is>
      </c>
      <c r="S1420" t="n">
        <v>1</v>
      </c>
      <c r="T1420" t="inlineStr">
        <is>
          <t>LOW (40%)</t>
        </is>
      </c>
      <c r="U1420" t="inlineStr">
        <is>
          <t>NONE</t>
        </is>
      </c>
      <c r="V1420" t="inlineStr">
        <is>
          <t>NONE</t>
        </is>
      </c>
      <c r="W1420" t="inlineStr">
        <is>
          <t>https://20-215-200-29.cprapid.com/ch/update.php?zv15hvqkprpwp29hkqa1</t>
        </is>
      </c>
      <c r="X1420" t="inlineStr">
        <is>
          <t>NONE</t>
        </is>
      </c>
      <c r="Y1420" t="n">
        <v>0</v>
      </c>
      <c r="Z1420" t="inlineStr"/>
      <c r="AA1420" t="inlineStr">
        <is>
          <t>https://20-215-200-29.cprapid.com/ch/update.php?zv15hvqkprpwp29hkqa1</t>
        </is>
      </c>
    </row>
    <row r="1421">
      <c r="A1421" t="inlineStr">
        <is>
          <t>PHISH</t>
        </is>
      </c>
      <c r="B1421" t="inlineStr"/>
      <c r="C1421" t="inlineStr">
        <is>
          <t>Phishing site targeting: rozy.standard.us-east-1.oortstorages.com | URL: https://rozy.standard.us-east-1.oortstorages.com/chuk.znc?eta=3mail@a.b.c0/</t>
        </is>
      </c>
      <c r="D1421" t="n">
        <v>6</v>
      </c>
      <c r="E1421" t="inlineStr">
        <is>
          <t>MEDIUM</t>
        </is>
      </c>
      <c r="F1421" t="n">
        <v>3</v>
      </c>
      <c r="G1421" t="n">
        <v>1</v>
      </c>
      <c r="H1421" t="inlineStr">
        <is>
          <t>MEDIUM</t>
        </is>
      </c>
      <c r="I1421" t="n">
        <v>9</v>
      </c>
      <c r="J1421" t="inlineStr">
        <is>
          <t>NO</t>
        </is>
      </c>
      <c r="K1421" t="inlineStr">
        <is>
          <t>2026-02-23T23:44:47+00:00</t>
        </is>
      </c>
      <c r="L1421" t="inlineStr">
        <is>
          <t>Block URL</t>
        </is>
      </c>
      <c r="M1421" t="inlineStr">
        <is>
          <t>Email users / rozy.standard.us-east-1.oortstorages.com</t>
        </is>
      </c>
      <c r="N1421" t="inlineStr">
        <is>
          <t>P4</t>
        </is>
      </c>
      <c r="O1421" t="inlineStr">
        <is>
          <t>Phishing URL</t>
        </is>
      </c>
      <c r="P1421" t="n">
        <v>0</v>
      </c>
      <c r="Q1421" t="n">
        <v>0</v>
      </c>
      <c r="R1421" t="inlineStr">
        <is>
          <t>T1566:Phishing | T1566.002:Spearphishing Link</t>
        </is>
      </c>
      <c r="S1421" t="n">
        <v>1</v>
      </c>
      <c r="T1421" t="inlineStr">
        <is>
          <t>LOW (40%)</t>
        </is>
      </c>
      <c r="U1421" t="inlineStr">
        <is>
          <t>NONE</t>
        </is>
      </c>
      <c r="V1421" t="inlineStr">
        <is>
          <t>NONE</t>
        </is>
      </c>
      <c r="W1421" t="inlineStr">
        <is>
          <t>https://rozy.standard.us-east-1.oortstorages.com/chuk.znc?eta=3mail@a.b.c0/</t>
        </is>
      </c>
      <c r="X1421" t="inlineStr">
        <is>
          <t>NONE</t>
        </is>
      </c>
      <c r="Y1421" t="n">
        <v>0</v>
      </c>
      <c r="Z1421" t="inlineStr"/>
      <c r="AA1421" t="inlineStr">
        <is>
          <t>https://rozy.standard.us-east-1.oortstorages.com/chuk.znc?eta=3mail@a.b.c0/</t>
        </is>
      </c>
    </row>
    <row r="1422">
      <c r="A1422" t="inlineStr">
        <is>
          <t>PHISH</t>
        </is>
      </c>
      <c r="B1422" t="inlineStr"/>
      <c r="C1422" t="inlineStr">
        <is>
          <t>Phishing site targeting: rozy.standard.us-east-1.oortstorages.com | URL: https://rozy.standard.us-east-1.oortstorages.com/rozz.znc?eta=3mail@a.b.c0/</t>
        </is>
      </c>
      <c r="D1422" t="n">
        <v>6</v>
      </c>
      <c r="E1422" t="inlineStr">
        <is>
          <t>MEDIUM</t>
        </is>
      </c>
      <c r="F1422" t="n">
        <v>3</v>
      </c>
      <c r="G1422" t="n">
        <v>1</v>
      </c>
      <c r="H1422" t="inlineStr">
        <is>
          <t>MEDIUM</t>
        </is>
      </c>
      <c r="I1422" t="n">
        <v>9</v>
      </c>
      <c r="J1422" t="inlineStr">
        <is>
          <t>NO</t>
        </is>
      </c>
      <c r="K1422" t="inlineStr">
        <is>
          <t>2026-02-23T23:44:47+00:00</t>
        </is>
      </c>
      <c r="L1422" t="inlineStr">
        <is>
          <t>Block URL</t>
        </is>
      </c>
      <c r="M1422" t="inlineStr">
        <is>
          <t>Email users / rozy.standard.us-east-1.oortstorages.com</t>
        </is>
      </c>
      <c r="N1422" t="inlineStr">
        <is>
          <t>P4</t>
        </is>
      </c>
      <c r="O1422" t="inlineStr">
        <is>
          <t>Phishing URL</t>
        </is>
      </c>
      <c r="P1422" t="n">
        <v>0</v>
      </c>
      <c r="Q1422" t="n">
        <v>0</v>
      </c>
      <c r="R1422" t="inlineStr">
        <is>
          <t>T1566:Phishing | T1566.002:Spearphishing Link</t>
        </is>
      </c>
      <c r="S1422" t="n">
        <v>1</v>
      </c>
      <c r="T1422" t="inlineStr">
        <is>
          <t>LOW (40%)</t>
        </is>
      </c>
      <c r="U1422" t="inlineStr">
        <is>
          <t>NONE</t>
        </is>
      </c>
      <c r="V1422" t="inlineStr">
        <is>
          <t>NONE</t>
        </is>
      </c>
      <c r="W1422" t="inlineStr">
        <is>
          <t>https://rozy.standard.us-east-1.oortstorages.com/rozz.znc?eta=3mail@a.b.c0/</t>
        </is>
      </c>
      <c r="X1422" t="inlineStr">
        <is>
          <t>NONE</t>
        </is>
      </c>
      <c r="Y1422" t="n">
        <v>0</v>
      </c>
      <c r="Z1422" t="inlineStr"/>
      <c r="AA1422" t="inlineStr">
        <is>
          <t>https://rozy.standard.us-east-1.oortstorages.com/rozz.znc?eta=3mail@a.b.c0/</t>
        </is>
      </c>
    </row>
    <row r="1423">
      <c r="A1423" t="inlineStr">
        <is>
          <t>PHISH</t>
        </is>
      </c>
      <c r="B1423" t="inlineStr"/>
      <c r="C1423" t="inlineStr">
        <is>
          <t>Phishing site targeting: 4a60b417-zimbra-8d7f-web-o4286-fd24f6.netlify.app | URL: http://4a60b417-zimbra-8d7f-web-o4286-fd24f6.netlify.app/zm/</t>
        </is>
      </c>
      <c r="D1423" t="n">
        <v>6</v>
      </c>
      <c r="E1423" t="inlineStr">
        <is>
          <t>MEDIUM</t>
        </is>
      </c>
      <c r="F1423" t="n">
        <v>3</v>
      </c>
      <c r="G1423" t="n">
        <v>1</v>
      </c>
      <c r="H1423" t="inlineStr">
        <is>
          <t>MEDIUM</t>
        </is>
      </c>
      <c r="I1423" t="n">
        <v>9</v>
      </c>
      <c r="J1423" t="inlineStr">
        <is>
          <t>NO</t>
        </is>
      </c>
      <c r="K1423" t="inlineStr">
        <is>
          <t>2026-02-23T23:44:47+00:00</t>
        </is>
      </c>
      <c r="L1423" t="inlineStr">
        <is>
          <t>Block URL</t>
        </is>
      </c>
      <c r="M1423" t="inlineStr">
        <is>
          <t>Email users / 4a60b417-zimbra-8d7f-web-o4286-fd24f6.netlify.app</t>
        </is>
      </c>
      <c r="N1423" t="inlineStr">
        <is>
          <t>P4</t>
        </is>
      </c>
      <c r="O1423" t="inlineStr">
        <is>
          <t>Phishing URL</t>
        </is>
      </c>
      <c r="P1423" t="n">
        <v>0</v>
      </c>
      <c r="Q1423" t="n">
        <v>0</v>
      </c>
      <c r="R1423" t="inlineStr">
        <is>
          <t>T1566:Phishing | T1566.002:Spearphishing Link</t>
        </is>
      </c>
      <c r="S1423" t="n">
        <v>1</v>
      </c>
      <c r="T1423" t="inlineStr">
        <is>
          <t>LOW (40%)</t>
        </is>
      </c>
      <c r="U1423" t="inlineStr">
        <is>
          <t>NONE</t>
        </is>
      </c>
      <c r="V1423" t="inlineStr">
        <is>
          <t>NONE</t>
        </is>
      </c>
      <c r="W1423" t="inlineStr">
        <is>
          <t>http://4a60b417-zimbra-8d7f-web-o4286-fd24f6.netlify.app/zm/</t>
        </is>
      </c>
      <c r="X1423" t="inlineStr">
        <is>
          <t>NONE</t>
        </is>
      </c>
      <c r="Y1423" t="n">
        <v>0</v>
      </c>
      <c r="Z1423" t="inlineStr"/>
      <c r="AA1423" t="inlineStr">
        <is>
          <t>http://4a60b417-zimbra-8d7f-web-o4286-fd24f6.netlify.app/zm/</t>
        </is>
      </c>
    </row>
    <row r="1424">
      <c r="A1424" t="inlineStr">
        <is>
          <t>PHISH</t>
        </is>
      </c>
      <c r="B1424" t="inlineStr"/>
      <c r="C1424" t="inlineStr">
        <is>
          <t>Phishing site targeting: pyro.sg | URL: https://pyro.sg/--/infos.php</t>
        </is>
      </c>
      <c r="D1424" t="n">
        <v>6</v>
      </c>
      <c r="E1424" t="inlineStr">
        <is>
          <t>MEDIUM</t>
        </is>
      </c>
      <c r="F1424" t="n">
        <v>3</v>
      </c>
      <c r="G1424" t="n">
        <v>1</v>
      </c>
      <c r="H1424" t="inlineStr">
        <is>
          <t>MEDIUM</t>
        </is>
      </c>
      <c r="I1424" t="n">
        <v>9</v>
      </c>
      <c r="J1424" t="inlineStr">
        <is>
          <t>NO</t>
        </is>
      </c>
      <c r="K1424" t="inlineStr">
        <is>
          <t>2026-02-23T23:44:47+00:00</t>
        </is>
      </c>
      <c r="L1424" t="inlineStr">
        <is>
          <t>Block URL</t>
        </is>
      </c>
      <c r="M1424" t="inlineStr">
        <is>
          <t>Email users / pyro.sg</t>
        </is>
      </c>
      <c r="N1424" t="inlineStr">
        <is>
          <t>P4</t>
        </is>
      </c>
      <c r="O1424" t="inlineStr">
        <is>
          <t>Phishing URL</t>
        </is>
      </c>
      <c r="P1424" t="n">
        <v>0</v>
      </c>
      <c r="Q1424" t="n">
        <v>0</v>
      </c>
      <c r="R1424" t="inlineStr">
        <is>
          <t>T1566:Phishing | T1566.002:Spearphishing Link</t>
        </is>
      </c>
      <c r="S1424" t="n">
        <v>1</v>
      </c>
      <c r="T1424" t="inlineStr">
        <is>
          <t>LOW (40%)</t>
        </is>
      </c>
      <c r="U1424" t="inlineStr">
        <is>
          <t>NONE</t>
        </is>
      </c>
      <c r="V1424" t="inlineStr">
        <is>
          <t>NONE</t>
        </is>
      </c>
      <c r="W1424" t="inlineStr">
        <is>
          <t>https://pyro.sg/--/infos.php</t>
        </is>
      </c>
      <c r="X1424" t="inlineStr">
        <is>
          <t>NONE</t>
        </is>
      </c>
      <c r="Y1424" t="n">
        <v>0</v>
      </c>
      <c r="Z1424" t="inlineStr"/>
      <c r="AA1424" t="inlineStr">
        <is>
          <t>https://pyro.sg/--/infos.php</t>
        </is>
      </c>
    </row>
    <row r="1425">
      <c r="A1425" t="inlineStr">
        <is>
          <t>PHISH</t>
        </is>
      </c>
      <c r="B1425" t="inlineStr"/>
      <c r="C1425" t="inlineStr">
        <is>
          <t>Phishing site targeting: robiox.com.af | URL: https://robiox.com.af/users/3526449442/profile</t>
        </is>
      </c>
      <c r="D1425" t="n">
        <v>6</v>
      </c>
      <c r="E1425" t="inlineStr">
        <is>
          <t>MEDIUM</t>
        </is>
      </c>
      <c r="F1425" t="n">
        <v>3</v>
      </c>
      <c r="G1425" t="n">
        <v>1</v>
      </c>
      <c r="H1425" t="inlineStr">
        <is>
          <t>MEDIUM</t>
        </is>
      </c>
      <c r="I1425" t="n">
        <v>9</v>
      </c>
      <c r="J1425" t="inlineStr">
        <is>
          <t>NO</t>
        </is>
      </c>
      <c r="K1425" t="inlineStr">
        <is>
          <t>2026-02-23T23:44:47+00:00</t>
        </is>
      </c>
      <c r="L1425" t="inlineStr">
        <is>
          <t>Block URL</t>
        </is>
      </c>
      <c r="M1425" t="inlineStr">
        <is>
          <t>Email users / robiox.com.af</t>
        </is>
      </c>
      <c r="N1425" t="inlineStr">
        <is>
          <t>P4</t>
        </is>
      </c>
      <c r="O1425" t="inlineStr">
        <is>
          <t>Phishing URL</t>
        </is>
      </c>
      <c r="P1425" t="n">
        <v>0</v>
      </c>
      <c r="Q1425" t="n">
        <v>0</v>
      </c>
      <c r="R1425" t="inlineStr">
        <is>
          <t>T1566:Phishing | T1566.002:Spearphishing Link</t>
        </is>
      </c>
      <c r="S1425" t="n">
        <v>1</v>
      </c>
      <c r="T1425" t="inlineStr">
        <is>
          <t>LOW (40%)</t>
        </is>
      </c>
      <c r="U1425" t="inlineStr">
        <is>
          <t>NONE</t>
        </is>
      </c>
      <c r="V1425" t="inlineStr">
        <is>
          <t>NONE</t>
        </is>
      </c>
      <c r="W1425" t="inlineStr">
        <is>
          <t>https://robiox.com.af/users/3526449442/profile</t>
        </is>
      </c>
      <c r="X1425" t="inlineStr">
        <is>
          <t>NONE</t>
        </is>
      </c>
      <c r="Y1425" t="n">
        <v>0</v>
      </c>
      <c r="Z1425" t="inlineStr"/>
      <c r="AA1425" t="inlineStr">
        <is>
          <t>https://robiox.com.af/users/3526449442/profile</t>
        </is>
      </c>
    </row>
    <row r="1426">
      <c r="A1426" t="inlineStr">
        <is>
          <t>PHISH</t>
        </is>
      </c>
      <c r="B1426" t="inlineStr"/>
      <c r="C1426" t="inlineStr">
        <is>
          <t>Phishing site targeting: pub-7286888a4a30420ca43a0a3961b944c0.r2.dev | URL: http://pub-7286888a4a30420ca43a0a3961b944c0.r2.dev/index.html</t>
        </is>
      </c>
      <c r="D1426" t="n">
        <v>6</v>
      </c>
      <c r="E1426" t="inlineStr">
        <is>
          <t>MEDIUM</t>
        </is>
      </c>
      <c r="F1426" t="n">
        <v>3</v>
      </c>
      <c r="G1426" t="n">
        <v>1</v>
      </c>
      <c r="H1426" t="inlineStr">
        <is>
          <t>MEDIUM</t>
        </is>
      </c>
      <c r="I1426" t="n">
        <v>9</v>
      </c>
      <c r="J1426" t="inlineStr">
        <is>
          <t>NO</t>
        </is>
      </c>
      <c r="K1426" t="inlineStr">
        <is>
          <t>2026-02-23T23:44:47+00:00</t>
        </is>
      </c>
      <c r="L1426" t="inlineStr">
        <is>
          <t>Block URL</t>
        </is>
      </c>
      <c r="M1426" t="inlineStr">
        <is>
          <t>Email users / pub-7286888a4a30420ca43a0a3961b944c0.r2.dev</t>
        </is>
      </c>
      <c r="N1426" t="inlineStr">
        <is>
          <t>P4</t>
        </is>
      </c>
      <c r="O1426" t="inlineStr">
        <is>
          <t>Phishing URL</t>
        </is>
      </c>
      <c r="P1426" t="n">
        <v>0</v>
      </c>
      <c r="Q1426" t="n">
        <v>0</v>
      </c>
      <c r="R1426" t="inlineStr">
        <is>
          <t>T1566:Phishing | T1566.002:Spearphishing Link</t>
        </is>
      </c>
      <c r="S1426" t="n">
        <v>1</v>
      </c>
      <c r="T1426" t="inlineStr">
        <is>
          <t>LOW (40%)</t>
        </is>
      </c>
      <c r="U1426" t="inlineStr">
        <is>
          <t>NONE</t>
        </is>
      </c>
      <c r="V1426" t="inlineStr">
        <is>
          <t>NONE</t>
        </is>
      </c>
      <c r="W1426" t="inlineStr">
        <is>
          <t>http://pub-7286888a4a30420ca43a0a3961b944c0.r2.dev/index.html</t>
        </is>
      </c>
      <c r="X1426" t="inlineStr">
        <is>
          <t>NONE</t>
        </is>
      </c>
      <c r="Y1426" t="n">
        <v>0</v>
      </c>
      <c r="Z1426" t="inlineStr"/>
      <c r="AA1426" t="inlineStr">
        <is>
          <t>http://pub-7286888a4a30420ca43a0a3961b944c0.r2.dev/index.html</t>
        </is>
      </c>
    </row>
    <row r="1427">
      <c r="A1427" t="inlineStr">
        <is>
          <t>PHISH</t>
        </is>
      </c>
      <c r="B1427" t="inlineStr"/>
      <c r="C1427" t="inlineStr">
        <is>
          <t>Phishing site targeting: notafakedomain.org | URL: https://notafakedomain.org/landing/form/a3227ad0-60e6-45a7-ad36-90be3bfb0da8</t>
        </is>
      </c>
      <c r="D1427" t="n">
        <v>6</v>
      </c>
      <c r="E1427" t="inlineStr">
        <is>
          <t>MEDIUM</t>
        </is>
      </c>
      <c r="F1427" t="n">
        <v>3</v>
      </c>
      <c r="G1427" t="n">
        <v>1</v>
      </c>
      <c r="H1427" t="inlineStr">
        <is>
          <t>MEDIUM</t>
        </is>
      </c>
      <c r="I1427" t="n">
        <v>9</v>
      </c>
      <c r="J1427" t="inlineStr">
        <is>
          <t>NO</t>
        </is>
      </c>
      <c r="K1427" t="inlineStr">
        <is>
          <t>2026-02-23T23:44:47+00:00</t>
        </is>
      </c>
      <c r="L1427" t="inlineStr">
        <is>
          <t>Block URL</t>
        </is>
      </c>
      <c r="M1427" t="inlineStr">
        <is>
          <t>Email users / notafakedomain.org</t>
        </is>
      </c>
      <c r="N1427" t="inlineStr">
        <is>
          <t>P4</t>
        </is>
      </c>
      <c r="O1427" t="inlineStr">
        <is>
          <t>Phishing URL</t>
        </is>
      </c>
      <c r="P1427" t="n">
        <v>0</v>
      </c>
      <c r="Q1427" t="n">
        <v>0</v>
      </c>
      <c r="R1427" t="inlineStr">
        <is>
          <t>T1566:Phishing | T1566.002:Spearphishing Link</t>
        </is>
      </c>
      <c r="S1427" t="n">
        <v>1</v>
      </c>
      <c r="T1427" t="inlineStr">
        <is>
          <t>LOW (40%)</t>
        </is>
      </c>
      <c r="U1427" t="inlineStr">
        <is>
          <t>NONE</t>
        </is>
      </c>
      <c r="V1427" t="inlineStr">
        <is>
          <t>NONE</t>
        </is>
      </c>
      <c r="W1427" t="inlineStr">
        <is>
          <t>https://notafakedomain.org/landing/form/a3227ad0-60e6-45a7-ad36-90be3bfb0da8</t>
        </is>
      </c>
      <c r="X1427" t="inlineStr">
        <is>
          <t>NONE</t>
        </is>
      </c>
      <c r="Y1427" t="n">
        <v>0</v>
      </c>
      <c r="Z1427" t="inlineStr"/>
      <c r="AA1427" t="inlineStr">
        <is>
          <t>https://notafakedomain.org/landing/form/a3227ad0-60e6-45a7-ad36-90be3bfb0da8</t>
        </is>
      </c>
    </row>
    <row r="1428">
      <c r="A1428" t="inlineStr">
        <is>
          <t>PHISH</t>
        </is>
      </c>
      <c r="B1428" t="inlineStr"/>
      <c r="C1428" t="inlineStr">
        <is>
          <t>Phishing site targeting: mdfarhan2550.github.io | URL: https://mdfarhan2550.github.io/amazon-clone/</t>
        </is>
      </c>
      <c r="D1428" t="n">
        <v>6</v>
      </c>
      <c r="E1428" t="inlineStr">
        <is>
          <t>MEDIUM</t>
        </is>
      </c>
      <c r="F1428" t="n">
        <v>3</v>
      </c>
      <c r="G1428" t="n">
        <v>1</v>
      </c>
      <c r="H1428" t="inlineStr">
        <is>
          <t>MEDIUM</t>
        </is>
      </c>
      <c r="I1428" t="n">
        <v>9</v>
      </c>
      <c r="J1428" t="inlineStr">
        <is>
          <t>NO</t>
        </is>
      </c>
      <c r="K1428" t="inlineStr">
        <is>
          <t>2026-02-23T23:44:47+00:00</t>
        </is>
      </c>
      <c r="L1428" t="inlineStr">
        <is>
          <t>Block URL</t>
        </is>
      </c>
      <c r="M1428" t="inlineStr">
        <is>
          <t>Email users / mdfarhan2550.github.io</t>
        </is>
      </c>
      <c r="N1428" t="inlineStr">
        <is>
          <t>P4</t>
        </is>
      </c>
      <c r="O1428" t="inlineStr">
        <is>
          <t>Phishing URL</t>
        </is>
      </c>
      <c r="P1428" t="n">
        <v>0</v>
      </c>
      <c r="Q1428" t="n">
        <v>0</v>
      </c>
      <c r="R1428" t="inlineStr">
        <is>
          <t>T1566:Phishing | T1566.002:Spearphishing Link</t>
        </is>
      </c>
      <c r="S1428" t="n">
        <v>1</v>
      </c>
      <c r="T1428" t="inlineStr">
        <is>
          <t>LOW (40%)</t>
        </is>
      </c>
      <c r="U1428" t="inlineStr">
        <is>
          <t>NONE</t>
        </is>
      </c>
      <c r="V1428" t="inlineStr">
        <is>
          <t>NONE</t>
        </is>
      </c>
      <c r="W1428" t="inlineStr">
        <is>
          <t>https://mdfarhan2550.github.io/amazon-clone/</t>
        </is>
      </c>
      <c r="X1428" t="inlineStr">
        <is>
          <t>NONE</t>
        </is>
      </c>
      <c r="Y1428" t="n">
        <v>0</v>
      </c>
      <c r="Z1428" t="inlineStr"/>
      <c r="AA1428" t="inlineStr">
        <is>
          <t>https://mdfarhan2550.github.io/amazon-clone/</t>
        </is>
      </c>
    </row>
    <row r="1429">
      <c r="A1429" t="inlineStr">
        <is>
          <t>PHISH</t>
        </is>
      </c>
      <c r="B1429" t="inlineStr"/>
      <c r="C1429" t="inlineStr">
        <is>
          <t>Phishing site targeting: gigorup.com | URL: https://gigorup.com/Slcmu/</t>
        </is>
      </c>
      <c r="D1429" t="n">
        <v>6</v>
      </c>
      <c r="E1429" t="inlineStr">
        <is>
          <t>MEDIUM</t>
        </is>
      </c>
      <c r="F1429" t="n">
        <v>3</v>
      </c>
      <c r="G1429" t="n">
        <v>1</v>
      </c>
      <c r="H1429" t="inlineStr">
        <is>
          <t>MEDIUM</t>
        </is>
      </c>
      <c r="I1429" t="n">
        <v>9</v>
      </c>
      <c r="J1429" t="inlineStr">
        <is>
          <t>NO</t>
        </is>
      </c>
      <c r="K1429" t="inlineStr">
        <is>
          <t>2026-02-23T23:44:47+00:00</t>
        </is>
      </c>
      <c r="L1429" t="inlineStr">
        <is>
          <t>Block URL</t>
        </is>
      </c>
      <c r="M1429" t="inlineStr">
        <is>
          <t>Email users / gigorup.com</t>
        </is>
      </c>
      <c r="N1429" t="inlineStr">
        <is>
          <t>P4</t>
        </is>
      </c>
      <c r="O1429" t="inlineStr">
        <is>
          <t>Phishing URL</t>
        </is>
      </c>
      <c r="P1429" t="n">
        <v>0</v>
      </c>
      <c r="Q1429" t="n">
        <v>0</v>
      </c>
      <c r="R1429" t="inlineStr">
        <is>
          <t>T1566:Phishing | T1566.002:Spearphishing Link</t>
        </is>
      </c>
      <c r="S1429" t="n">
        <v>1</v>
      </c>
      <c r="T1429" t="inlineStr">
        <is>
          <t>LOW (40%)</t>
        </is>
      </c>
      <c r="U1429" t="inlineStr">
        <is>
          <t>NONE</t>
        </is>
      </c>
      <c r="V1429" t="inlineStr">
        <is>
          <t>NONE</t>
        </is>
      </c>
      <c r="W1429" t="inlineStr">
        <is>
          <t>https://gigorup.com/Slcmu/</t>
        </is>
      </c>
      <c r="X1429" t="inlineStr">
        <is>
          <t>NONE</t>
        </is>
      </c>
      <c r="Y1429" t="n">
        <v>0</v>
      </c>
      <c r="Z1429" t="inlineStr"/>
      <c r="AA1429" t="inlineStr">
        <is>
          <t>https://gigorup.com/Slcmu/</t>
        </is>
      </c>
    </row>
    <row r="1430">
      <c r="A1430" t="inlineStr">
        <is>
          <t>PHISH</t>
        </is>
      </c>
      <c r="B1430" t="inlineStr"/>
      <c r="C1430" t="inlineStr">
        <is>
          <t>Phishing site targeting: www.rnicrosoft-exchange.com | URL: https://www.rnicrosoft-exchange.com/terms-info@antiphishing.ch.html</t>
        </is>
      </c>
      <c r="D1430" t="n">
        <v>6</v>
      </c>
      <c r="E1430" t="inlineStr">
        <is>
          <t>MEDIUM</t>
        </is>
      </c>
      <c r="F1430" t="n">
        <v>3</v>
      </c>
      <c r="G1430" t="n">
        <v>1</v>
      </c>
      <c r="H1430" t="inlineStr">
        <is>
          <t>MEDIUM</t>
        </is>
      </c>
      <c r="I1430" t="n">
        <v>9</v>
      </c>
      <c r="J1430" t="inlineStr">
        <is>
          <t>NO</t>
        </is>
      </c>
      <c r="K1430" t="inlineStr">
        <is>
          <t>2026-02-23T23:44:47+00:00</t>
        </is>
      </c>
      <c r="L1430" t="inlineStr">
        <is>
          <t>Block URL</t>
        </is>
      </c>
      <c r="M1430" t="inlineStr">
        <is>
          <t>Email users / www.rnicrosoft-exchange.com</t>
        </is>
      </c>
      <c r="N1430" t="inlineStr">
        <is>
          <t>P4</t>
        </is>
      </c>
      <c r="O1430" t="inlineStr">
        <is>
          <t>Phishing URL</t>
        </is>
      </c>
      <c r="P1430" t="n">
        <v>0</v>
      </c>
      <c r="Q1430" t="n">
        <v>0</v>
      </c>
      <c r="R1430" t="inlineStr">
        <is>
          <t>T1566:Phishing | T1566.002:Spearphishing Link</t>
        </is>
      </c>
      <c r="S1430" t="n">
        <v>1</v>
      </c>
      <c r="T1430" t="inlineStr">
        <is>
          <t>LOW (40%)</t>
        </is>
      </c>
      <c r="U1430" t="inlineStr">
        <is>
          <t>NONE</t>
        </is>
      </c>
      <c r="V1430" t="inlineStr">
        <is>
          <t>NONE</t>
        </is>
      </c>
      <c r="W1430" t="inlineStr">
        <is>
          <t>https://www.rnicrosoft-exchange.com/terms-info@antiphishing.ch.html</t>
        </is>
      </c>
      <c r="X1430" t="inlineStr">
        <is>
          <t>NONE</t>
        </is>
      </c>
      <c r="Y1430" t="n">
        <v>0</v>
      </c>
      <c r="Z1430" t="inlineStr"/>
      <c r="AA1430" t="inlineStr">
        <is>
          <t>https://www.rnicrosoft-exchange.com/terms-info@antiphishing.ch.html</t>
        </is>
      </c>
    </row>
    <row r="1431">
      <c r="A1431" t="inlineStr">
        <is>
          <t>PHISH</t>
        </is>
      </c>
      <c r="B1431" t="inlineStr"/>
      <c r="C1431" t="inlineStr">
        <is>
          <t>Phishing site targeting: www.rnicrosoft-exchange.com | URL: https://www.rnicrosoft-exchange.com/terms-info@admin.ch.html</t>
        </is>
      </c>
      <c r="D1431" t="n">
        <v>6</v>
      </c>
      <c r="E1431" t="inlineStr">
        <is>
          <t>MEDIUM</t>
        </is>
      </c>
      <c r="F1431" t="n">
        <v>3</v>
      </c>
      <c r="G1431" t="n">
        <v>1</v>
      </c>
      <c r="H1431" t="inlineStr">
        <is>
          <t>MEDIUM</t>
        </is>
      </c>
      <c r="I1431" t="n">
        <v>9</v>
      </c>
      <c r="J1431" t="inlineStr">
        <is>
          <t>NO</t>
        </is>
      </c>
      <c r="K1431" t="inlineStr">
        <is>
          <t>2026-02-23T23:44:47+00:00</t>
        </is>
      </c>
      <c r="L1431" t="inlineStr">
        <is>
          <t>Block URL</t>
        </is>
      </c>
      <c r="M1431" t="inlineStr">
        <is>
          <t>Email users / www.rnicrosoft-exchange.com</t>
        </is>
      </c>
      <c r="N1431" t="inlineStr">
        <is>
          <t>P4</t>
        </is>
      </c>
      <c r="O1431" t="inlineStr">
        <is>
          <t>Phishing URL</t>
        </is>
      </c>
      <c r="P1431" t="n">
        <v>0</v>
      </c>
      <c r="Q1431" t="n">
        <v>0</v>
      </c>
      <c r="R1431" t="inlineStr">
        <is>
          <t>T1566:Phishing | T1566.002:Spearphishing Link</t>
        </is>
      </c>
      <c r="S1431" t="n">
        <v>1</v>
      </c>
      <c r="T1431" t="inlineStr">
        <is>
          <t>LOW (40%)</t>
        </is>
      </c>
      <c r="U1431" t="inlineStr">
        <is>
          <t>NONE</t>
        </is>
      </c>
      <c r="V1431" t="inlineStr">
        <is>
          <t>NONE</t>
        </is>
      </c>
      <c r="W1431" t="inlineStr">
        <is>
          <t>https://www.rnicrosoft-exchange.com/terms-info@admin.ch.html</t>
        </is>
      </c>
      <c r="X1431" t="inlineStr">
        <is>
          <t>NONE</t>
        </is>
      </c>
      <c r="Y1431" t="n">
        <v>0</v>
      </c>
      <c r="Z1431" t="inlineStr"/>
      <c r="AA1431" t="inlineStr">
        <is>
          <t>https://www.rnicrosoft-exchange.com/terms-info@admin.ch.html</t>
        </is>
      </c>
    </row>
    <row r="1432">
      <c r="A1432" t="inlineStr">
        <is>
          <t>PHISH</t>
        </is>
      </c>
      <c r="B1432" t="inlineStr"/>
      <c r="C1432" t="inlineStr">
        <is>
          <t>Phishing site targeting: hiyaa1501.github.io | URL: https://hiyaa1501.github.io/Amazon-clone/</t>
        </is>
      </c>
      <c r="D1432" t="n">
        <v>6</v>
      </c>
      <c r="E1432" t="inlineStr">
        <is>
          <t>MEDIUM</t>
        </is>
      </c>
      <c r="F1432" t="n">
        <v>3</v>
      </c>
      <c r="G1432" t="n">
        <v>1</v>
      </c>
      <c r="H1432" t="inlineStr">
        <is>
          <t>MEDIUM</t>
        </is>
      </c>
      <c r="I1432" t="n">
        <v>9</v>
      </c>
      <c r="J1432" t="inlineStr">
        <is>
          <t>NO</t>
        </is>
      </c>
      <c r="K1432" t="inlineStr">
        <is>
          <t>2026-02-23T23:44:47+00:00</t>
        </is>
      </c>
      <c r="L1432" t="inlineStr">
        <is>
          <t>Block URL</t>
        </is>
      </c>
      <c r="M1432" t="inlineStr">
        <is>
          <t>Email users / hiyaa1501.github.io</t>
        </is>
      </c>
      <c r="N1432" t="inlineStr">
        <is>
          <t>P4</t>
        </is>
      </c>
      <c r="O1432" t="inlineStr">
        <is>
          <t>Phishing URL</t>
        </is>
      </c>
      <c r="P1432" t="n">
        <v>0</v>
      </c>
      <c r="Q1432" t="n">
        <v>0</v>
      </c>
      <c r="R1432" t="inlineStr">
        <is>
          <t>T1566:Phishing | T1566.002:Spearphishing Link</t>
        </is>
      </c>
      <c r="S1432" t="n">
        <v>1</v>
      </c>
      <c r="T1432" t="inlineStr">
        <is>
          <t>LOW (40%)</t>
        </is>
      </c>
      <c r="U1432" t="inlineStr">
        <is>
          <t>NONE</t>
        </is>
      </c>
      <c r="V1432" t="inlineStr">
        <is>
          <t>NONE</t>
        </is>
      </c>
      <c r="W1432" t="inlineStr">
        <is>
          <t>https://hiyaa1501.github.io/Amazon-clone/</t>
        </is>
      </c>
      <c r="X1432" t="inlineStr">
        <is>
          <t>NONE</t>
        </is>
      </c>
      <c r="Y1432" t="n">
        <v>0</v>
      </c>
      <c r="Z1432" t="inlineStr"/>
      <c r="AA1432" t="inlineStr">
        <is>
          <t>https://hiyaa1501.github.io/Amazon-clone/</t>
        </is>
      </c>
    </row>
    <row r="1433">
      <c r="A1433" t="inlineStr">
        <is>
          <t>PHISH</t>
        </is>
      </c>
      <c r="B1433" t="inlineStr"/>
      <c r="C1433" t="inlineStr">
        <is>
          <t>Phishing site targeting: glistening-platypus-505378.netlify.app | URL: https://glistening-platypus-505378.netlify.app/</t>
        </is>
      </c>
      <c r="D1433" t="n">
        <v>6</v>
      </c>
      <c r="E1433" t="inlineStr">
        <is>
          <t>MEDIUM</t>
        </is>
      </c>
      <c r="F1433" t="n">
        <v>3</v>
      </c>
      <c r="G1433" t="n">
        <v>1</v>
      </c>
      <c r="H1433" t="inlineStr">
        <is>
          <t>MEDIUM</t>
        </is>
      </c>
      <c r="I1433" t="n">
        <v>9</v>
      </c>
      <c r="J1433" t="inlineStr">
        <is>
          <t>NO</t>
        </is>
      </c>
      <c r="K1433" t="inlineStr">
        <is>
          <t>2026-02-23T23:44:47+00:00</t>
        </is>
      </c>
      <c r="L1433" t="inlineStr">
        <is>
          <t>Block URL</t>
        </is>
      </c>
      <c r="M1433" t="inlineStr">
        <is>
          <t>Email users / glistening-platypus-505378.netlify.app</t>
        </is>
      </c>
      <c r="N1433" t="inlineStr">
        <is>
          <t>P4</t>
        </is>
      </c>
      <c r="O1433" t="inlineStr">
        <is>
          <t>Phishing URL</t>
        </is>
      </c>
      <c r="P1433" t="n">
        <v>0</v>
      </c>
      <c r="Q1433" t="n">
        <v>0</v>
      </c>
      <c r="R1433" t="inlineStr">
        <is>
          <t>T1566:Phishing | T1566.002:Spearphishing Link</t>
        </is>
      </c>
      <c r="S1433" t="n">
        <v>1</v>
      </c>
      <c r="T1433" t="inlineStr">
        <is>
          <t>LOW (40%)</t>
        </is>
      </c>
      <c r="U1433" t="inlineStr">
        <is>
          <t>NONE</t>
        </is>
      </c>
      <c r="V1433" t="inlineStr">
        <is>
          <t>NONE</t>
        </is>
      </c>
      <c r="W1433" t="inlineStr">
        <is>
          <t>https://glistening-platypus-505378.netlify.app/</t>
        </is>
      </c>
      <c r="X1433" t="inlineStr">
        <is>
          <t>NONE</t>
        </is>
      </c>
      <c r="Y1433" t="n">
        <v>0</v>
      </c>
      <c r="Z1433" t="inlineStr"/>
      <c r="AA1433" t="inlineStr">
        <is>
          <t>https://glistening-platypus-505378.netlify.app/</t>
        </is>
      </c>
    </row>
    <row r="1434">
      <c r="A1434" t="inlineStr">
        <is>
          <t>PHISH</t>
        </is>
      </c>
      <c r="B1434" t="inlineStr"/>
      <c r="C1434" t="inlineStr">
        <is>
          <t>Phishing site targeting: 699a26ca1eae9cec8700576e--glistening-platypus-505378.netlify.app | URL: https://699a26ca1eae9cec8700576e--glistening-platypus-505378.netlify.app/</t>
        </is>
      </c>
      <c r="D1434" t="n">
        <v>6</v>
      </c>
      <c r="E1434" t="inlineStr">
        <is>
          <t>MEDIUM</t>
        </is>
      </c>
      <c r="F1434" t="n">
        <v>3</v>
      </c>
      <c r="G1434" t="n">
        <v>1</v>
      </c>
      <c r="H1434" t="inlineStr">
        <is>
          <t>MEDIUM</t>
        </is>
      </c>
      <c r="I1434" t="n">
        <v>9</v>
      </c>
      <c r="J1434" t="inlineStr">
        <is>
          <t>NO</t>
        </is>
      </c>
      <c r="K1434" t="inlineStr">
        <is>
          <t>2026-02-23T23:44:47+00:00</t>
        </is>
      </c>
      <c r="L1434" t="inlineStr">
        <is>
          <t>Block URL</t>
        </is>
      </c>
      <c r="M1434" t="inlineStr">
        <is>
          <t>Email users / 699a26ca1eae9cec8700576e--glistening-platypus-505378.netlify.app</t>
        </is>
      </c>
      <c r="N1434" t="inlineStr">
        <is>
          <t>P4</t>
        </is>
      </c>
      <c r="O1434" t="inlineStr">
        <is>
          <t>Phishing URL</t>
        </is>
      </c>
      <c r="P1434" t="n">
        <v>0</v>
      </c>
      <c r="Q1434" t="n">
        <v>0</v>
      </c>
      <c r="R1434" t="inlineStr">
        <is>
          <t>T1566:Phishing | T1566.002:Spearphishing Link</t>
        </is>
      </c>
      <c r="S1434" t="n">
        <v>1</v>
      </c>
      <c r="T1434" t="inlineStr">
        <is>
          <t>LOW (40%)</t>
        </is>
      </c>
      <c r="U1434" t="inlineStr">
        <is>
          <t>NONE</t>
        </is>
      </c>
      <c r="V1434" t="inlineStr">
        <is>
          <t>NONE</t>
        </is>
      </c>
      <c r="W1434" t="inlineStr">
        <is>
          <t>https://699a26ca1eae9cec8700576e--glistening-platypus-505378.netlify.app/</t>
        </is>
      </c>
      <c r="X1434" t="inlineStr">
        <is>
          <t>NONE</t>
        </is>
      </c>
      <c r="Y1434" t="n">
        <v>0</v>
      </c>
      <c r="Z1434" t="inlineStr"/>
      <c r="AA1434" t="inlineStr">
        <is>
          <t>https://699a26ca1eae9cec8700576e--glistening-platypus-505378.netlify.app/</t>
        </is>
      </c>
    </row>
    <row r="1435">
      <c r="A1435" t="inlineStr">
        <is>
          <t>PHISH</t>
        </is>
      </c>
      <c r="B1435" t="inlineStr"/>
      <c r="C1435" t="inlineStr">
        <is>
          <t>Phishing site targeting: slippy0.github.io | URL: https://slippy0.github.io/login-verification/</t>
        </is>
      </c>
      <c r="D1435" t="n">
        <v>6</v>
      </c>
      <c r="E1435" t="inlineStr">
        <is>
          <t>MEDIUM</t>
        </is>
      </c>
      <c r="F1435" t="n">
        <v>3</v>
      </c>
      <c r="G1435" t="n">
        <v>1</v>
      </c>
      <c r="H1435" t="inlineStr">
        <is>
          <t>MEDIUM</t>
        </is>
      </c>
      <c r="I1435" t="n">
        <v>9</v>
      </c>
      <c r="J1435" t="inlineStr">
        <is>
          <t>NO</t>
        </is>
      </c>
      <c r="K1435" t="inlineStr">
        <is>
          <t>2026-02-23T23:44:47+00:00</t>
        </is>
      </c>
      <c r="L1435" t="inlineStr">
        <is>
          <t>Block URL</t>
        </is>
      </c>
      <c r="M1435" t="inlineStr">
        <is>
          <t>Email users / slippy0.github.io</t>
        </is>
      </c>
      <c r="N1435" t="inlineStr">
        <is>
          <t>P4</t>
        </is>
      </c>
      <c r="O1435" t="inlineStr">
        <is>
          <t>Phishing URL</t>
        </is>
      </c>
      <c r="P1435" t="n">
        <v>0</v>
      </c>
      <c r="Q1435" t="n">
        <v>0</v>
      </c>
      <c r="R1435" t="inlineStr">
        <is>
          <t>T1566:Phishing | T1566.002:Spearphishing Link</t>
        </is>
      </c>
      <c r="S1435" t="n">
        <v>1</v>
      </c>
      <c r="T1435" t="inlineStr">
        <is>
          <t>LOW (40%)</t>
        </is>
      </c>
      <c r="U1435" t="inlineStr">
        <is>
          <t>NONE</t>
        </is>
      </c>
      <c r="V1435" t="inlineStr">
        <is>
          <t>NONE</t>
        </is>
      </c>
      <c r="W1435" t="inlineStr">
        <is>
          <t>https://slippy0.github.io/login-verification/</t>
        </is>
      </c>
      <c r="X1435" t="inlineStr">
        <is>
          <t>NONE</t>
        </is>
      </c>
      <c r="Y1435" t="n">
        <v>0</v>
      </c>
      <c r="Z1435" t="inlineStr"/>
      <c r="AA1435" t="inlineStr">
        <is>
          <t>https://slippy0.github.io/login-verification/</t>
        </is>
      </c>
    </row>
    <row r="1436">
      <c r="A1436" t="inlineStr">
        <is>
          <t>PHISH</t>
        </is>
      </c>
      <c r="B1436" t="inlineStr"/>
      <c r="C1436" t="inlineStr">
        <is>
          <t>Phishing site targeting: one.link | URL: https://one.link/kalashnikprod/</t>
        </is>
      </c>
      <c r="D1436" t="n">
        <v>6</v>
      </c>
      <c r="E1436" t="inlineStr">
        <is>
          <t>MEDIUM</t>
        </is>
      </c>
      <c r="F1436" t="n">
        <v>3</v>
      </c>
      <c r="G1436" t="n">
        <v>1</v>
      </c>
      <c r="H1436" t="inlineStr">
        <is>
          <t>MEDIUM</t>
        </is>
      </c>
      <c r="I1436" t="n">
        <v>9</v>
      </c>
      <c r="J1436" t="inlineStr">
        <is>
          <t>NO</t>
        </is>
      </c>
      <c r="K1436" t="inlineStr">
        <is>
          <t>2026-02-23T23:44:47+00:00</t>
        </is>
      </c>
      <c r="L1436" t="inlineStr">
        <is>
          <t>Block URL</t>
        </is>
      </c>
      <c r="M1436" t="inlineStr">
        <is>
          <t>Email users / one.link</t>
        </is>
      </c>
      <c r="N1436" t="inlineStr">
        <is>
          <t>P4</t>
        </is>
      </c>
      <c r="O1436" t="inlineStr">
        <is>
          <t>Phishing URL</t>
        </is>
      </c>
      <c r="P1436" t="n">
        <v>0</v>
      </c>
      <c r="Q1436" t="n">
        <v>0</v>
      </c>
      <c r="R1436" t="inlineStr">
        <is>
          <t>T1566:Phishing | T1566.002:Spearphishing Link</t>
        </is>
      </c>
      <c r="S1436" t="n">
        <v>1</v>
      </c>
      <c r="T1436" t="inlineStr">
        <is>
          <t>LOW (40%)</t>
        </is>
      </c>
      <c r="U1436" t="inlineStr">
        <is>
          <t>NONE</t>
        </is>
      </c>
      <c r="V1436" t="inlineStr">
        <is>
          <t>NONE</t>
        </is>
      </c>
      <c r="W1436" t="inlineStr">
        <is>
          <t>https://one.link/kalashnikprod/</t>
        </is>
      </c>
      <c r="X1436" t="inlineStr">
        <is>
          <t>NONE</t>
        </is>
      </c>
      <c r="Y1436" t="n">
        <v>0</v>
      </c>
      <c r="Z1436" t="inlineStr"/>
      <c r="AA1436" t="inlineStr">
        <is>
          <t>https://one.link/kalashnikprod/</t>
        </is>
      </c>
    </row>
    <row r="1437">
      <c r="A1437" t="inlineStr">
        <is>
          <t>PHISH</t>
        </is>
      </c>
      <c r="B1437" t="inlineStr"/>
      <c r="C1437" t="inlineStr">
        <is>
          <t>Phishing site targeting: roblox.com.py | URL: https://roblox.com.py/users/138990910/profile</t>
        </is>
      </c>
      <c r="D1437" t="n">
        <v>6</v>
      </c>
      <c r="E1437" t="inlineStr">
        <is>
          <t>MEDIUM</t>
        </is>
      </c>
      <c r="F1437" t="n">
        <v>3</v>
      </c>
      <c r="G1437" t="n">
        <v>1</v>
      </c>
      <c r="H1437" t="inlineStr">
        <is>
          <t>MEDIUM</t>
        </is>
      </c>
      <c r="I1437" t="n">
        <v>9</v>
      </c>
      <c r="J1437" t="inlineStr">
        <is>
          <t>NO</t>
        </is>
      </c>
      <c r="K1437" t="inlineStr">
        <is>
          <t>2026-02-23T23:44:47+00:00</t>
        </is>
      </c>
      <c r="L1437" t="inlineStr">
        <is>
          <t>Block URL</t>
        </is>
      </c>
      <c r="M1437" t="inlineStr">
        <is>
          <t>Email users / roblox.com.py</t>
        </is>
      </c>
      <c r="N1437" t="inlineStr">
        <is>
          <t>P4</t>
        </is>
      </c>
      <c r="O1437" t="inlineStr">
        <is>
          <t>Phishing URL</t>
        </is>
      </c>
      <c r="P1437" t="n">
        <v>0</v>
      </c>
      <c r="Q1437" t="n">
        <v>0</v>
      </c>
      <c r="R1437" t="inlineStr">
        <is>
          <t>T1566:Phishing | T1566.002:Spearphishing Link</t>
        </is>
      </c>
      <c r="S1437" t="n">
        <v>1</v>
      </c>
      <c r="T1437" t="inlineStr">
        <is>
          <t>LOW (40%)</t>
        </is>
      </c>
      <c r="U1437" t="inlineStr">
        <is>
          <t>NONE</t>
        </is>
      </c>
      <c r="V1437" t="inlineStr">
        <is>
          <t>NONE</t>
        </is>
      </c>
      <c r="W1437" t="inlineStr">
        <is>
          <t>https://roblox.com.py/users/138990910/profile</t>
        </is>
      </c>
      <c r="X1437" t="inlineStr">
        <is>
          <t>NONE</t>
        </is>
      </c>
      <c r="Y1437" t="n">
        <v>0</v>
      </c>
      <c r="Z1437" t="inlineStr"/>
      <c r="AA1437" t="inlineStr">
        <is>
          <t>https://roblox.com.py/users/138990910/profile</t>
        </is>
      </c>
    </row>
    <row r="1438">
      <c r="A1438" t="inlineStr">
        <is>
          <t>PHISH</t>
        </is>
      </c>
      <c r="B1438" t="inlineStr"/>
      <c r="C1438" t="inlineStr">
        <is>
          <t>Phishing site targeting: roblox.com.ge | URL: https://roblox.com.ge/games/17812058042/Very-dirty?privateServerLinkCode=59503397180471389350351663796083</t>
        </is>
      </c>
      <c r="D1438" t="n">
        <v>6</v>
      </c>
      <c r="E1438" t="inlineStr">
        <is>
          <t>MEDIUM</t>
        </is>
      </c>
      <c r="F1438" t="n">
        <v>3</v>
      </c>
      <c r="G1438" t="n">
        <v>1</v>
      </c>
      <c r="H1438" t="inlineStr">
        <is>
          <t>MEDIUM</t>
        </is>
      </c>
      <c r="I1438" t="n">
        <v>9</v>
      </c>
      <c r="J1438" t="inlineStr">
        <is>
          <t>NO</t>
        </is>
      </c>
      <c r="K1438" t="inlineStr">
        <is>
          <t>2026-02-23T23:44:47+00:00</t>
        </is>
      </c>
      <c r="L1438" t="inlineStr">
        <is>
          <t>Block URL</t>
        </is>
      </c>
      <c r="M1438" t="inlineStr">
        <is>
          <t>Email users / roblox.com.ge</t>
        </is>
      </c>
      <c r="N1438" t="inlineStr">
        <is>
          <t>P4</t>
        </is>
      </c>
      <c r="O1438" t="inlineStr">
        <is>
          <t>Phishing URL</t>
        </is>
      </c>
      <c r="P1438" t="n">
        <v>0</v>
      </c>
      <c r="Q1438" t="n">
        <v>0</v>
      </c>
      <c r="R1438" t="inlineStr">
        <is>
          <t>T1566:Phishing | T1566.002:Spearphishing Link</t>
        </is>
      </c>
      <c r="S1438" t="n">
        <v>1</v>
      </c>
      <c r="T1438" t="inlineStr">
        <is>
          <t>LOW (40%)</t>
        </is>
      </c>
      <c r="U1438" t="inlineStr">
        <is>
          <t>NONE</t>
        </is>
      </c>
      <c r="V1438" t="inlineStr">
        <is>
          <t>NONE</t>
        </is>
      </c>
      <c r="W1438" t="inlineStr">
        <is>
          <t>https://roblox.com.ge/games/17812058042/Very-dirty?privateServerLinkCode=59503397180471389350351663796083</t>
        </is>
      </c>
      <c r="X1438" t="inlineStr">
        <is>
          <t>NONE</t>
        </is>
      </c>
      <c r="Y1438" t="n">
        <v>0</v>
      </c>
      <c r="Z1438" t="inlineStr"/>
      <c r="AA1438" t="inlineStr">
        <is>
          <t>https://roblox.com.ge/games/17812058042/Very-dirty?privateServerLinkCode=59503397180471389350351663796083</t>
        </is>
      </c>
    </row>
    <row r="1439">
      <c r="A1439" t="inlineStr">
        <is>
          <t>PHISH</t>
        </is>
      </c>
      <c r="B1439" t="inlineStr"/>
      <c r="C1439" t="inlineStr">
        <is>
          <t>Phishing site targeting: faceb000k.duckdns.org | URL: https://faceb000k.duckdns.org/</t>
        </is>
      </c>
      <c r="D1439" t="n">
        <v>6</v>
      </c>
      <c r="E1439" t="inlineStr">
        <is>
          <t>MEDIUM</t>
        </is>
      </c>
      <c r="F1439" t="n">
        <v>3</v>
      </c>
      <c r="G1439" t="n">
        <v>1</v>
      </c>
      <c r="H1439" t="inlineStr">
        <is>
          <t>MEDIUM</t>
        </is>
      </c>
      <c r="I1439" t="n">
        <v>9</v>
      </c>
      <c r="J1439" t="inlineStr">
        <is>
          <t>NO</t>
        </is>
      </c>
      <c r="K1439" t="inlineStr">
        <is>
          <t>2026-02-23T23:44:47+00:00</t>
        </is>
      </c>
      <c r="L1439" t="inlineStr">
        <is>
          <t>Block URL</t>
        </is>
      </c>
      <c r="M1439" t="inlineStr">
        <is>
          <t>Email users / faceb000k.duckdns.org</t>
        </is>
      </c>
      <c r="N1439" t="inlineStr">
        <is>
          <t>P4</t>
        </is>
      </c>
      <c r="O1439" t="inlineStr">
        <is>
          <t>Phishing URL</t>
        </is>
      </c>
      <c r="P1439" t="n">
        <v>0</v>
      </c>
      <c r="Q1439" t="n">
        <v>0</v>
      </c>
      <c r="R1439" t="inlineStr">
        <is>
          <t>T1566:Phishing | T1566.002:Spearphishing Link</t>
        </is>
      </c>
      <c r="S1439" t="n">
        <v>1</v>
      </c>
      <c r="T1439" t="inlineStr">
        <is>
          <t>LOW (40%)</t>
        </is>
      </c>
      <c r="U1439" t="inlineStr">
        <is>
          <t>NONE</t>
        </is>
      </c>
      <c r="V1439" t="inlineStr">
        <is>
          <t>NONE</t>
        </is>
      </c>
      <c r="W1439" t="inlineStr">
        <is>
          <t>https://faceb000k.duckdns.org/</t>
        </is>
      </c>
      <c r="X1439" t="inlineStr">
        <is>
          <t>NONE</t>
        </is>
      </c>
      <c r="Y1439" t="n">
        <v>0</v>
      </c>
      <c r="Z1439" t="inlineStr"/>
      <c r="AA1439" t="inlineStr">
        <is>
          <t>https://faceb000k.duckdns.org/</t>
        </is>
      </c>
    </row>
    <row r="1440">
      <c r="A1440" t="inlineStr">
        <is>
          <t>OTX_PULSE</t>
        </is>
      </c>
      <c r="B1440" t="inlineStr">
        <is>
          <t>689455e11e25236fe810364b</t>
        </is>
      </c>
      <c r="C1440" t="inlineStr">
        <is>
          <t>Infrastructure of Interest: Medium Confidence Command And Control: These indicators of compromise (IOCs) were identified through LevelBlue Labs' proprietary collection and threat hunting processes, leveraging AI-driven heuristics to detect anomalous patterns, behavioral analysis of malicious activity, and cross-referenced intelligence from endpoint telemetry and external sources. The IOCs included in this pulse are associated with command and control (C2) infrastructure, facilitating malware com</t>
        </is>
      </c>
      <c r="D1440" t="n">
        <v>7</v>
      </c>
      <c r="E1440" t="inlineStr">
        <is>
          <t>HIGH</t>
        </is>
      </c>
      <c r="F1440" t="n">
        <v>3</v>
      </c>
      <c r="G1440" t="n">
        <v>2</v>
      </c>
      <c r="H1440" t="inlineStr">
        <is>
          <t>HIGH</t>
        </is>
      </c>
      <c r="I1440" t="n">
        <v>13</v>
      </c>
      <c r="J1440" t="inlineStr">
        <is>
          <t>NO</t>
        </is>
      </c>
      <c r="K1440" t="inlineStr">
        <is>
          <t>2025-08-07T07:29:37.542000</t>
        </is>
      </c>
      <c r="L1440" t="inlineStr">
        <is>
          <t>SEE_PULSE</t>
        </is>
      </c>
      <c r="M1440" t="inlineStr">
        <is>
          <t>Various</t>
        </is>
      </c>
      <c r="N1440" t="inlineStr">
        <is>
          <t>P3</t>
        </is>
      </c>
      <c r="O1440" t="inlineStr">
        <is>
          <t>OTX Pulse - check IP IOCs separately</t>
        </is>
      </c>
      <c r="P1440" t="n">
        <v>0</v>
      </c>
      <c r="Q1440" t="n">
        <v>0</v>
      </c>
      <c r="R1440" t="inlineStr">
        <is>
          <t>See OTX pulse tags</t>
        </is>
      </c>
      <c r="S1440" t="n">
        <v>1</v>
      </c>
      <c r="T1440" t="inlineStr">
        <is>
          <t>LOW (40%)</t>
        </is>
      </c>
      <c r="U1440" t="inlineStr">
        <is>
          <t>NONE</t>
        </is>
      </c>
      <c r="V1440" t="inlineStr">
        <is>
          <t>NONE</t>
        </is>
      </c>
      <c r="W1440" t="inlineStr">
        <is>
          <t>NONE</t>
        </is>
      </c>
      <c r="X1440" t="inlineStr">
        <is>
          <t>NONE</t>
        </is>
      </c>
      <c r="Y1440" t="n">
        <v>0</v>
      </c>
      <c r="Z1440" t="inlineStr"/>
      <c r="AA1440" t="inlineStr">
        <is>
          <t>https://otx.alienvault.com</t>
        </is>
      </c>
    </row>
    <row r="1441">
      <c r="A1441" t="inlineStr">
        <is>
          <t>OTX_PULSE</t>
        </is>
      </c>
      <c r="B1441" t="inlineStr">
        <is>
          <t>699c2852f2e41e1678d750b5</t>
        </is>
      </c>
      <c r="C1441" t="inlineStr">
        <is>
          <t>Operation Olalampo: Inside MuddyWater's Latest Campaign: MuddyWater APT has launched Operation Olalampo, targeting organizations in the MENA region. The campaign involves new malware variants, including a Rust backdoor called CHAR, downloaders GhostFetch and HTTP_VIP, and an advanced backdoor GhostBackDoor. Notably, the group is using Telegram bots for command-and-control, revealing insights into their post-exploitation tactics. The operation, first observed on January 26, 2026, shows tactical a</t>
        </is>
      </c>
      <c r="D1441" t="n">
        <v>7</v>
      </c>
      <c r="E1441" t="inlineStr">
        <is>
          <t>HIGH</t>
        </is>
      </c>
      <c r="F1441" t="n">
        <v>3</v>
      </c>
      <c r="G1441" t="n">
        <v>2</v>
      </c>
      <c r="H1441" t="inlineStr">
        <is>
          <t>HIGH</t>
        </is>
      </c>
      <c r="I1441" t="n">
        <v>13</v>
      </c>
      <c r="J1441" t="inlineStr">
        <is>
          <t>NO</t>
        </is>
      </c>
      <c r="K1441" t="inlineStr">
        <is>
          <t>2026-02-23T10:13:38.700000</t>
        </is>
      </c>
      <c r="L1441" t="inlineStr">
        <is>
          <t>SEE_PULSE</t>
        </is>
      </c>
      <c r="M1441" t="inlineStr">
        <is>
          <t>ghostbackdoor, ai-assisted, operation olalampo, http_vip, rust backdoor, charmpower, telegram bot, post-exploitation, mena, apt, c2, ghostfetch</t>
        </is>
      </c>
      <c r="N1441" t="inlineStr">
        <is>
          <t>P3</t>
        </is>
      </c>
      <c r="O1441" t="inlineStr">
        <is>
          <t>OTX Pulse - check IP IOCs separately</t>
        </is>
      </c>
      <c r="P1441" t="n">
        <v>0</v>
      </c>
      <c r="Q1441" t="n">
        <v>0</v>
      </c>
      <c r="R1441" t="inlineStr">
        <is>
          <t>See OTX pulse tags</t>
        </is>
      </c>
      <c r="S1441" t="n">
        <v>1</v>
      </c>
      <c r="T1441" t="inlineStr">
        <is>
          <t>LOW (40%)</t>
        </is>
      </c>
      <c r="U1441" t="inlineStr">
        <is>
          <t>NONE</t>
        </is>
      </c>
      <c r="V1441" t="inlineStr">
        <is>
          <t>NONE</t>
        </is>
      </c>
      <c r="W1441" t="inlineStr">
        <is>
          <t>NONE</t>
        </is>
      </c>
      <c r="X1441" t="inlineStr">
        <is>
          <t>NONE</t>
        </is>
      </c>
      <c r="Y1441" t="n">
        <v>0</v>
      </c>
      <c r="Z1441" t="inlineStr"/>
      <c r="AA1441" t="inlineStr">
        <is>
          <t>https://www.group-ib.com/blog/muddywater-operation-olalampo/</t>
        </is>
      </c>
    </row>
    <row r="1442">
      <c r="A1442" t="inlineStr">
        <is>
          <t>OTX_PULSE</t>
        </is>
      </c>
      <c r="B1442" t="inlineStr">
        <is>
          <t>699c26263923e786afff5330</t>
        </is>
      </c>
      <c r="C1442" t="inlineStr">
        <is>
          <t>SANDWORM_MODE: Shai-Hulud-Style npm Worm Hijacks CI Workflows and Poisons AI Toolchains: An active supply chain worm campaign, dubbed SANDWORM_MODE, is spreading through typosquatting and AI toolchain poisoning across at least 19 malicious npm packages. The worm exhibits Shai-Hulud characteristics, incorporating GitHub API exfiltration with DNS fallback, hook-based persistence, SSH propagation, and MCP server injection targeting AI coding assistants. It harvests credentials from developer and CI</t>
        </is>
      </c>
      <c r="D1442" t="n">
        <v>7</v>
      </c>
      <c r="E1442" t="inlineStr">
        <is>
          <t>HIGH</t>
        </is>
      </c>
      <c r="F1442" t="n">
        <v>3</v>
      </c>
      <c r="G1442" t="n">
        <v>2</v>
      </c>
      <c r="H1442" t="inlineStr">
        <is>
          <t>HIGH</t>
        </is>
      </c>
      <c r="I1442" t="n">
        <v>13</v>
      </c>
      <c r="J1442" t="inlineStr">
        <is>
          <t>NO</t>
        </is>
      </c>
      <c r="K1442" t="inlineStr">
        <is>
          <t>2026-02-23T10:04:22.815000</t>
        </is>
      </c>
      <c r="L1442" t="inlineStr">
        <is>
          <t>SEE_PULSE</t>
        </is>
      </c>
      <c r="M1442" t="inlineStr">
        <is>
          <t>supply-chain, typosquatting, worm, sandworm_mode, exfiltration, credential-theft, github, ai, npm, ci</t>
        </is>
      </c>
      <c r="N1442" t="inlineStr">
        <is>
          <t>P3</t>
        </is>
      </c>
      <c r="O1442" t="inlineStr">
        <is>
          <t>OTX Pulse - check IP IOCs separately</t>
        </is>
      </c>
      <c r="P1442" t="n">
        <v>0</v>
      </c>
      <c r="Q1442" t="n">
        <v>0</v>
      </c>
      <c r="R1442" t="inlineStr">
        <is>
          <t>See OTX pulse tags</t>
        </is>
      </c>
      <c r="S1442" t="n">
        <v>1</v>
      </c>
      <c r="T1442" t="inlineStr">
        <is>
          <t>LOW (40%)</t>
        </is>
      </c>
      <c r="U1442" t="inlineStr">
        <is>
          <t>NONE</t>
        </is>
      </c>
      <c r="V1442" t="inlineStr">
        <is>
          <t>NONE</t>
        </is>
      </c>
      <c r="W1442" t="inlineStr">
        <is>
          <t>NONE</t>
        </is>
      </c>
      <c r="X1442" t="inlineStr">
        <is>
          <t>NONE</t>
        </is>
      </c>
      <c r="Y1442" t="n">
        <v>0</v>
      </c>
      <c r="Z1442" t="inlineStr"/>
      <c r="AA1442" t="inlineStr">
        <is>
          <t>https://socket.dev/blog/sandworm-mode-npm-worm-ai-toolchain-poisoning</t>
        </is>
      </c>
    </row>
    <row r="1443">
      <c r="A1443" t="inlineStr">
        <is>
          <t>OTX_PULSE</t>
        </is>
      </c>
      <c r="B1443" t="inlineStr">
        <is>
          <t>699c2539b33fbe17058937b3</t>
        </is>
      </c>
      <c r="C1443" t="inlineStr">
        <is>
          <t xml:space="preserve">Cloud Atlas: Analysis of Phishing Campaign and VBShower Backdoor: The article analyzes a phishing campaign by the Cloud Atlas APT group targeting Russian organizations. It details five successful attacks on the same system over time, using malicious Microsoft Office documents to deliver the VBShower backdoor. The attackers used alternate data streams to hide malicious code and maintained persistence through registry modifications. The analysis covers the evolution of the attack chain, including </t>
        </is>
      </c>
      <c r="D1443" t="n">
        <v>7</v>
      </c>
      <c r="E1443" t="inlineStr">
        <is>
          <t>HIGH</t>
        </is>
      </c>
      <c r="F1443" t="n">
        <v>3</v>
      </c>
      <c r="G1443" t="n">
        <v>2</v>
      </c>
      <c r="H1443" t="inlineStr">
        <is>
          <t>HIGH</t>
        </is>
      </c>
      <c r="I1443" t="n">
        <v>13</v>
      </c>
      <c r="J1443" t="inlineStr">
        <is>
          <t>NO</t>
        </is>
      </c>
      <c r="K1443" t="inlineStr">
        <is>
          <t>2026-02-23T10:00:25.771000</t>
        </is>
      </c>
      <c r="L1443" t="inlineStr">
        <is>
          <t>SEE_PULSE</t>
        </is>
      </c>
      <c r="M1443" t="inlineStr">
        <is>
          <t>vbshower, microsoft office, apt, cve-2018-0802, alternate data streams, phishing, vbcloud, backdoor</t>
        </is>
      </c>
      <c r="N1443" t="inlineStr">
        <is>
          <t>P3</t>
        </is>
      </c>
      <c r="O1443" t="inlineStr">
        <is>
          <t>OTX Pulse - check IP IOCs separately</t>
        </is>
      </c>
      <c r="P1443" t="n">
        <v>0</v>
      </c>
      <c r="Q1443" t="n">
        <v>0</v>
      </c>
      <c r="R1443" t="inlineStr">
        <is>
          <t>See OTX pulse tags</t>
        </is>
      </c>
      <c r="S1443" t="n">
        <v>1</v>
      </c>
      <c r="T1443" t="inlineStr">
        <is>
          <t>LOW (40%)</t>
        </is>
      </c>
      <c r="U1443" t="inlineStr">
        <is>
          <t>NONE</t>
        </is>
      </c>
      <c r="V1443" t="inlineStr">
        <is>
          <t>NONE</t>
        </is>
      </c>
      <c r="W1443" t="inlineStr">
        <is>
          <t>NONE</t>
        </is>
      </c>
      <c r="X1443" t="inlineStr">
        <is>
          <t>NONE</t>
        </is>
      </c>
      <c r="Y1443" t="n">
        <v>0</v>
      </c>
      <c r="Z1443" t="inlineStr"/>
      <c r="AA1443" t="inlineStr">
        <is>
          <t>https://rt-solar.ru/solar-4rays/blog/6397/</t>
        </is>
      </c>
    </row>
    <row r="1444">
      <c r="A1444" t="inlineStr">
        <is>
          <t>OTX_PULSE</t>
        </is>
      </c>
      <c r="B1444" t="inlineStr">
        <is>
          <t>699c1f410e4279a65c5a7b06</t>
        </is>
      </c>
      <c r="C1444" t="inlineStr">
        <is>
          <t>Chronology of MuddyWater APT Attacks Targeting the Middle East: This report analyzes the recent activities of the MuddyWater APT group, which primarily targets organizations in the Middle East. The group employs sophisticated spear-phishing techniques, often impersonating legitimate entities and using malicious documents to gain initial access. Their attacks focus on long-term infiltration and intelligence gathering rather than immediate disruption. The report details several attack cases from 2</t>
        </is>
      </c>
      <c r="D1444" t="n">
        <v>7</v>
      </c>
      <c r="E1444" t="inlineStr">
        <is>
          <t>HIGH</t>
        </is>
      </c>
      <c r="F1444" t="n">
        <v>3</v>
      </c>
      <c r="G1444" t="n">
        <v>2</v>
      </c>
      <c r="H1444" t="inlineStr">
        <is>
          <t>HIGH</t>
        </is>
      </c>
      <c r="I1444" t="n">
        <v>13</v>
      </c>
      <c r="J1444" t="inlineStr">
        <is>
          <t>NO</t>
        </is>
      </c>
      <c r="K1444" t="inlineStr">
        <is>
          <t>2026-02-23T09:34:57.906000</t>
        </is>
      </c>
      <c r="L1444" t="inlineStr">
        <is>
          <t>SEE_PULSE</t>
        </is>
      </c>
      <c r="M1444" t="inlineStr">
        <is>
          <t>anydesk, edr, middle east, syncro, apt, spear-phishing, intelligence gathering, teamviewer, screenconnect, initial access, remote management tools, atera, splashtop, rust-based malware</t>
        </is>
      </c>
      <c r="N1444" t="inlineStr">
        <is>
          <t>P3</t>
        </is>
      </c>
      <c r="O1444" t="inlineStr">
        <is>
          <t>OTX Pulse - check IP IOCs separately</t>
        </is>
      </c>
      <c r="P1444" t="n">
        <v>0</v>
      </c>
      <c r="Q1444" t="n">
        <v>0</v>
      </c>
      <c r="R1444" t="inlineStr">
        <is>
          <t>See OTX pulse tags</t>
        </is>
      </c>
      <c r="S1444" t="n">
        <v>1</v>
      </c>
      <c r="T1444" t="inlineStr">
        <is>
          <t>LOW (40%)</t>
        </is>
      </c>
      <c r="U1444" t="inlineStr">
        <is>
          <t>NONE</t>
        </is>
      </c>
      <c r="V1444" t="inlineStr">
        <is>
          <t>NONE</t>
        </is>
      </c>
      <c r="W1444" t="inlineStr">
        <is>
          <t>NONE</t>
        </is>
      </c>
      <c r="X1444" t="inlineStr">
        <is>
          <t>NONE</t>
        </is>
      </c>
      <c r="Y1444" t="n">
        <v>0</v>
      </c>
      <c r="Z1444" t="inlineStr"/>
      <c r="AA1444" t="inlineStr">
        <is>
          <t>https://www.genians.co.kr/en/blog/threat_intelligence/muddywater-apt?hs_amp=true</t>
        </is>
      </c>
    </row>
    <row r="1445">
      <c r="A1445" t="inlineStr">
        <is>
          <t>OTX_PULSE</t>
        </is>
      </c>
      <c r="B1445" t="inlineStr">
        <is>
          <t>699a6ee1425f8f4a6e583f31</t>
        </is>
      </c>
      <c r="C1445" t="inlineStr">
        <is>
          <t>Massive Winos 4.0 Campaigns Target Taiwan: A series of targeted phishing campaigns in Taiwan have been observed disseminating Winos 4.0 (ValleyRat) malware and associated plugins. The attacks exploit local business processes using themes like tax audits and e-invoices. The campaigns employ various techniques including malicious LNK files, DLL sideloading, and Bring Your Own Vulnerable Driver (BYOVD) attacks. The malware utilizes UAC bypassing, driver loading, and process termination to evade det</t>
        </is>
      </c>
      <c r="D1445" t="n">
        <v>7</v>
      </c>
      <c r="E1445" t="inlineStr">
        <is>
          <t>HIGH</t>
        </is>
      </c>
      <c r="F1445" t="n">
        <v>3</v>
      </c>
      <c r="G1445" t="n">
        <v>2</v>
      </c>
      <c r="H1445" t="inlineStr">
        <is>
          <t>HIGH</t>
        </is>
      </c>
      <c r="I1445" t="n">
        <v>13</v>
      </c>
      <c r="J1445" t="inlineStr">
        <is>
          <t>NO</t>
        </is>
      </c>
      <c r="K1445" t="inlineStr">
        <is>
          <t>2026-02-22T02:50:09.203000</t>
        </is>
      </c>
      <c r="L1445" t="inlineStr">
        <is>
          <t>SEE_PULSE</t>
        </is>
      </c>
      <c r="M1445" t="inlineStr">
        <is>
          <t>dll sideloading, valleyrat, byovd, taiwan, apt, uac bypass, winos 4.0, phishing</t>
        </is>
      </c>
      <c r="N1445" t="inlineStr">
        <is>
          <t>P3</t>
        </is>
      </c>
      <c r="O1445" t="inlineStr">
        <is>
          <t>OTX Pulse - check IP IOCs separately</t>
        </is>
      </c>
      <c r="P1445" t="n">
        <v>0</v>
      </c>
      <c r="Q1445" t="n">
        <v>0</v>
      </c>
      <c r="R1445" t="inlineStr">
        <is>
          <t>See OTX pulse tags</t>
        </is>
      </c>
      <c r="S1445" t="n">
        <v>1</v>
      </c>
      <c r="T1445" t="inlineStr">
        <is>
          <t>LOW (40%)</t>
        </is>
      </c>
      <c r="U1445" t="inlineStr">
        <is>
          <t>NONE</t>
        </is>
      </c>
      <c r="V1445" t="inlineStr">
        <is>
          <t>NONE</t>
        </is>
      </c>
      <c r="W1445" t="inlineStr">
        <is>
          <t>NONE</t>
        </is>
      </c>
      <c r="X1445" t="inlineStr">
        <is>
          <t>NONE</t>
        </is>
      </c>
      <c r="Y1445" t="n">
        <v>0</v>
      </c>
      <c r="Z1445" t="inlineStr"/>
      <c r="AA1445" t="inlineStr">
        <is>
          <t>https://www.fortinet.com/blog/threat-research/massive-winos-40-campaigns-target-taiwan</t>
        </is>
      </c>
    </row>
    <row r="1446">
      <c r="A1446" t="inlineStr">
        <is>
          <t>OTX_PULSE</t>
        </is>
      </c>
      <c r="B1446" t="inlineStr">
        <is>
          <t>697a54c83114b3a03ef8a8cd</t>
        </is>
      </c>
      <c r="C1446" t="inlineStr">
        <is>
          <t>Love? Actually: Fake dating app used as lure in targeted spyware campaign in Pakistan: A sophisticated Android spyware campaign targeting individuals in Pakistan has been uncovered, using romance scam tactics as a lure. The malicious app, named GhostChat, poses as a chat platform with fake female profiles, requiring hardcoded passcodes to access. Once installed, it enables covert surveillance and data exfiltration. The campaign is part of a broader spy operation, including a ClickFix attack comp</t>
        </is>
      </c>
      <c r="D1446" t="n">
        <v>7</v>
      </c>
      <c r="E1446" t="inlineStr">
        <is>
          <t>HIGH</t>
        </is>
      </c>
      <c r="F1446" t="n">
        <v>3</v>
      </c>
      <c r="G1446" t="n">
        <v>2</v>
      </c>
      <c r="H1446" t="inlineStr">
        <is>
          <t>HIGH</t>
        </is>
      </c>
      <c r="I1446" t="n">
        <v>13</v>
      </c>
      <c r="J1446" t="inlineStr">
        <is>
          <t>NO</t>
        </is>
      </c>
      <c r="K1446" t="inlineStr">
        <is>
          <t>2026-01-28T18:26:16.374000</t>
        </is>
      </c>
      <c r="L1446" t="inlineStr">
        <is>
          <t>SEE_PULSE</t>
        </is>
      </c>
      <c r="M1446" t="inlineStr">
        <is>
          <t>whatsapp, pakistan, romance scam, android, spyware, clickfix, data exfiltration, badbazaar, ghostchat, social engineering</t>
        </is>
      </c>
      <c r="N1446" t="inlineStr">
        <is>
          <t>P3</t>
        </is>
      </c>
      <c r="O1446" t="inlineStr">
        <is>
          <t>OTX Pulse - check IP IOCs separately</t>
        </is>
      </c>
      <c r="P1446" t="n">
        <v>0</v>
      </c>
      <c r="Q1446" t="n">
        <v>0</v>
      </c>
      <c r="R1446" t="inlineStr">
        <is>
          <t>See OTX pulse tags</t>
        </is>
      </c>
      <c r="S1446" t="n">
        <v>1</v>
      </c>
      <c r="T1446" t="inlineStr">
        <is>
          <t>LOW (40%)</t>
        </is>
      </c>
      <c r="U1446" t="inlineStr">
        <is>
          <t>NONE</t>
        </is>
      </c>
      <c r="V1446" t="inlineStr">
        <is>
          <t>NONE</t>
        </is>
      </c>
      <c r="W1446" t="inlineStr">
        <is>
          <t>NONE</t>
        </is>
      </c>
      <c r="X1446" t="inlineStr">
        <is>
          <t>NONE</t>
        </is>
      </c>
      <c r="Y1446" t="n">
        <v>0</v>
      </c>
      <c r="Z1446" t="inlineStr"/>
      <c r="AA1446" t="inlineStr">
        <is>
          <t>https://www.welivesecurity.com/en/eset-research/love-actually-fake-dating-app-used-lure-targeted-spyware-campaign-pakistan</t>
        </is>
      </c>
    </row>
    <row r="1447">
      <c r="A1447" t="inlineStr">
        <is>
          <t>OTX_PULSE</t>
        </is>
      </c>
      <c r="B1447" t="inlineStr">
        <is>
          <t>697349701703321b49a6437b</t>
        </is>
      </c>
      <c r="C1447" t="inlineStr">
        <is>
          <t>Restless Spirit: New Attacks on Russian Companies: PhantomCore, a hacking group targeting Russian and Belarusian companies since 2022, launched a new wave of malicious email campaigns on January 19 and 21, 2026. The attacks targeted various sectors including utilities, finance, urban infrastructure, aerospace, consumer digital services, chemical industry, construction, consumer goods manufacturing, and e-commerce. The campaign used phishing emails with malicious attachments, leveraging compromis</t>
        </is>
      </c>
      <c r="D1447" t="n">
        <v>7</v>
      </c>
      <c r="E1447" t="inlineStr">
        <is>
          <t>HIGH</t>
        </is>
      </c>
      <c r="F1447" t="n">
        <v>3</v>
      </c>
      <c r="G1447" t="n">
        <v>2</v>
      </c>
      <c r="H1447" t="inlineStr">
        <is>
          <t>HIGH</t>
        </is>
      </c>
      <c r="I1447" t="n">
        <v>13</v>
      </c>
      <c r="J1447" t="inlineStr">
        <is>
          <t>NO</t>
        </is>
      </c>
      <c r="K1447" t="inlineStr">
        <is>
          <t>2026-01-23T10:12:00.002000</t>
        </is>
      </c>
      <c r="L1447" t="inlineStr">
        <is>
          <t>SEE_PULSE</t>
        </is>
      </c>
      <c r="M1447" t="inlineStr">
        <is>
          <t>russian targets, powershell, phishing, persistent threat, phantomcore.polldl, scheduled tasks, phantomcore, command and control, multi-stage attack, decoy documents</t>
        </is>
      </c>
      <c r="N1447" t="inlineStr">
        <is>
          <t>P3</t>
        </is>
      </c>
      <c r="O1447" t="inlineStr">
        <is>
          <t>OTX Pulse - check IP IOCs separately</t>
        </is>
      </c>
      <c r="P1447" t="n">
        <v>0</v>
      </c>
      <c r="Q1447" t="n">
        <v>0</v>
      </c>
      <c r="R1447" t="inlineStr">
        <is>
          <t>See OTX pulse tags</t>
        </is>
      </c>
      <c r="S1447" t="n">
        <v>1</v>
      </c>
      <c r="T1447" t="inlineStr">
        <is>
          <t>LOW (40%)</t>
        </is>
      </c>
      <c r="U1447" t="inlineStr">
        <is>
          <t>NONE</t>
        </is>
      </c>
      <c r="V1447" t="inlineStr">
        <is>
          <t>NONE</t>
        </is>
      </c>
      <c r="W1447" t="inlineStr">
        <is>
          <t>NONE</t>
        </is>
      </c>
      <c r="X1447" t="inlineStr">
        <is>
          <t>NONE</t>
        </is>
      </c>
      <c r="Y1447" t="n">
        <v>0</v>
      </c>
      <c r="Z1447" t="inlineStr"/>
      <c r="AA1447" t="inlineStr">
        <is>
          <t>https://habr.com/ru/companies/F6/articles/987734/</t>
        </is>
      </c>
    </row>
    <row r="1448">
      <c r="A1448" t="inlineStr">
        <is>
          <t>OTX_PULSE</t>
        </is>
      </c>
      <c r="B1448" t="inlineStr">
        <is>
          <t>69734904476c08abeb44c4b8</t>
        </is>
      </c>
      <c r="C1448" t="inlineStr">
        <is>
          <t xml:space="preserve">ShadowRelay: New Modular Backdoor in the Public Sector: A new modular backdoor called ShadowRelay was discovered on a compromised Exchange server in a government organization. The backdoor allows loading different plugins and demonstrates sophisticated design indicative of well-prepared attackers. It uses packet injection to hide network activity and can spy covertly in protected network segments by communicating through infected machines. The backdoor can inject itself into other processes and </t>
        </is>
      </c>
      <c r="D1448" t="n">
        <v>7</v>
      </c>
      <c r="E1448" t="inlineStr">
        <is>
          <t>HIGH</t>
        </is>
      </c>
      <c r="F1448" t="n">
        <v>3</v>
      </c>
      <c r="G1448" t="n">
        <v>2</v>
      </c>
      <c r="H1448" t="inlineStr">
        <is>
          <t>HIGH</t>
        </is>
      </c>
      <c r="I1448" t="n">
        <v>13</v>
      </c>
      <c r="J1448" t="inlineStr">
        <is>
          <t>NO</t>
        </is>
      </c>
      <c r="K1448" t="inlineStr">
        <is>
          <t>2026-01-23T10:10:12.656000</t>
        </is>
      </c>
      <c r="L1448" t="inlineStr">
        <is>
          <t>SEE_PULSE</t>
        </is>
      </c>
      <c r="M1448" t="inlineStr">
        <is>
          <t>shadowpad light, apt, exchange, donnect, modular, espionage, cve-2021-34523, shadowrelay, backdoor, packet injection, mythic agent, shadowpad, cve-2021-31207, government, cve-2021-34473</t>
        </is>
      </c>
      <c r="N1448" t="inlineStr">
        <is>
          <t>P3</t>
        </is>
      </c>
      <c r="O1448" t="inlineStr">
        <is>
          <t>OTX Pulse - check IP IOCs separately</t>
        </is>
      </c>
      <c r="P1448" t="n">
        <v>0</v>
      </c>
      <c r="Q1448" t="n">
        <v>0</v>
      </c>
      <c r="R1448" t="inlineStr">
        <is>
          <t>See OTX pulse tags</t>
        </is>
      </c>
      <c r="S1448" t="n">
        <v>1</v>
      </c>
      <c r="T1448" t="inlineStr">
        <is>
          <t>LOW (40%)</t>
        </is>
      </c>
      <c r="U1448" t="inlineStr">
        <is>
          <t>NONE</t>
        </is>
      </c>
      <c r="V1448" t="inlineStr">
        <is>
          <t>NONE</t>
        </is>
      </c>
      <c r="W1448" t="inlineStr">
        <is>
          <t>NONE</t>
        </is>
      </c>
      <c r="X1448" t="inlineStr">
        <is>
          <t>NONE</t>
        </is>
      </c>
      <c r="Y1448" t="n">
        <v>0</v>
      </c>
      <c r="Z1448" t="inlineStr"/>
      <c r="AA1448" t="inlineStr">
        <is>
          <t>https://rt-solar.ru/solar-4rays/blog/6328/</t>
        </is>
      </c>
    </row>
    <row r="1449">
      <c r="A1449" t="inlineStr">
        <is>
          <t>OTX_PULSE</t>
        </is>
      </c>
      <c r="B1449" t="inlineStr">
        <is>
          <t>69726ae65cfcf0a192c03c35</t>
        </is>
      </c>
      <c r="C1449" t="inlineStr">
        <is>
          <t>KONNI Adopts AI to Generate PowerShell Backdoors: A North Korea-linked threat actor known as KONNI has been observed conducting a phishing campaign targeting software developers and engineering teams, particularly those with blockchain expertise. The campaign uses AI-generated PowerShell backdoors and targets a broader range of countries in the APAC region. The infection chain begins with a Discord-hosted link downloading a ZIP archive containing a PDF lure and a malicious LNK file. The LNK file</t>
        </is>
      </c>
      <c r="D1449" t="n">
        <v>7</v>
      </c>
      <c r="E1449" t="inlineStr">
        <is>
          <t>HIGH</t>
        </is>
      </c>
      <c r="F1449" t="n">
        <v>3</v>
      </c>
      <c r="G1449" t="n">
        <v>2</v>
      </c>
      <c r="H1449" t="inlineStr">
        <is>
          <t>HIGH</t>
        </is>
      </c>
      <c r="I1449" t="n">
        <v>13</v>
      </c>
      <c r="J1449" t="inlineStr">
        <is>
          <t>NO</t>
        </is>
      </c>
      <c r="K1449" t="inlineStr">
        <is>
          <t>2026-01-22T18:22:30.740000</t>
        </is>
      </c>
      <c r="L1449" t="inlineStr">
        <is>
          <t>SEE_PULSE</t>
        </is>
      </c>
      <c r="M1449" t="inlineStr">
        <is>
          <t>blockchain, ai-generated, software developers, simplehelp, apac, north korea, powershell backdoor, backdoor, powershell, phishing</t>
        </is>
      </c>
      <c r="N1449" t="inlineStr">
        <is>
          <t>P3</t>
        </is>
      </c>
      <c r="O1449" t="inlineStr">
        <is>
          <t>OTX Pulse - check IP IOCs separately</t>
        </is>
      </c>
      <c r="P1449" t="n">
        <v>0</v>
      </c>
      <c r="Q1449" t="n">
        <v>0</v>
      </c>
      <c r="R1449" t="inlineStr">
        <is>
          <t>See OTX pulse tags</t>
        </is>
      </c>
      <c r="S1449" t="n">
        <v>1</v>
      </c>
      <c r="T1449" t="inlineStr">
        <is>
          <t>LOW (40%)</t>
        </is>
      </c>
      <c r="U1449" t="inlineStr">
        <is>
          <t>NONE</t>
        </is>
      </c>
      <c r="V1449" t="inlineStr">
        <is>
          <t>NONE</t>
        </is>
      </c>
      <c r="W1449" t="inlineStr">
        <is>
          <t>NONE</t>
        </is>
      </c>
      <c r="X1449" t="inlineStr">
        <is>
          <t>NONE</t>
        </is>
      </c>
      <c r="Y1449" t="n">
        <v>0</v>
      </c>
      <c r="Z1449" t="inlineStr"/>
      <c r="AA1449" t="inlineStr">
        <is>
          <t>https://research.checkpoint.com/2026/konni-targets-developers-with-ai-malware</t>
        </is>
      </c>
    </row>
    <row r="1450">
      <c r="A1450" t="inlineStr">
        <is>
          <t>OTX_PULSE</t>
        </is>
      </c>
      <c r="B1450" t="inlineStr">
        <is>
          <t>697171c9e4aec4d7963e9440</t>
        </is>
      </c>
      <c r="C1450" t="inlineStr">
        <is>
          <t>Malicious Configuration Changes Observed On Fortinet FortiGate Devices via SSO Accounts: A new cluster of automated malicious activity involving unauthorized firewall configuration changes on FortiGate devices has been observed. The activity includes creation of generic accounts for persistence, configuration changes granting VPN access, and exfiltration of firewall configurations. The campaign bears similarities to a previous one described in December 2025, involving SSO login activity for admi</t>
        </is>
      </c>
      <c r="D1450" t="n">
        <v>7</v>
      </c>
      <c r="E1450" t="inlineStr">
        <is>
          <t>HIGH</t>
        </is>
      </c>
      <c r="F1450" t="n">
        <v>3</v>
      </c>
      <c r="G1450" t="n">
        <v>2</v>
      </c>
      <c r="H1450" t="inlineStr">
        <is>
          <t>HIGH</t>
        </is>
      </c>
      <c r="I1450" t="n">
        <v>13</v>
      </c>
      <c r="J1450" t="inlineStr">
        <is>
          <t>NO</t>
        </is>
      </c>
      <c r="K1450" t="inlineStr">
        <is>
          <t>2026-01-22T00:39:37.387000</t>
        </is>
      </c>
      <c r="L1450" t="inlineStr">
        <is>
          <t>SEE_PULSE</t>
        </is>
      </c>
      <c r="M1450" t="inlineStr">
        <is>
          <t>sso, cve-2025-59719, unauthorized access, firewall, exfiltration, cve-2025-59718, fortigate, configuration changes, persistence, vpn</t>
        </is>
      </c>
      <c r="N1450" t="inlineStr">
        <is>
          <t>P3</t>
        </is>
      </c>
      <c r="O1450" t="inlineStr">
        <is>
          <t>OTX Pulse - check IP IOCs separately</t>
        </is>
      </c>
      <c r="P1450" t="n">
        <v>0</v>
      </c>
      <c r="Q1450" t="n">
        <v>0</v>
      </c>
      <c r="R1450" t="inlineStr">
        <is>
          <t>See OTX pulse tags</t>
        </is>
      </c>
      <c r="S1450" t="n">
        <v>1</v>
      </c>
      <c r="T1450" t="inlineStr">
        <is>
          <t>LOW (40%)</t>
        </is>
      </c>
      <c r="U1450" t="inlineStr">
        <is>
          <t>NONE</t>
        </is>
      </c>
      <c r="V1450" t="inlineStr">
        <is>
          <t>NONE</t>
        </is>
      </c>
      <c r="W1450" t="inlineStr">
        <is>
          <t>NONE</t>
        </is>
      </c>
      <c r="X1450" t="inlineStr">
        <is>
          <t>NONE</t>
        </is>
      </c>
      <c r="Y1450" t="n">
        <v>0</v>
      </c>
      <c r="Z1450" t="inlineStr"/>
      <c r="AA1450" t="inlineStr">
        <is>
          <t>https://arcticwolf.com/resources/blog/arctic-wolf-observes-malicious-configuration-changes-fortinet-fortigate-devices-via-sso-accounts</t>
        </is>
      </c>
    </row>
    <row r="1451">
      <c r="A1451" t="inlineStr">
        <is>
          <t>OTX_PULSE</t>
        </is>
      </c>
      <c r="B1451" t="inlineStr">
        <is>
          <t>6971529d93b2db0678d1b8cc</t>
        </is>
      </c>
      <c r="C1451" t="inlineStr">
        <is>
          <t>PurpleBravo’s Targeting of the IT Software Supply Chain: PurpleBravo, a North Korean state-sponsored threat group, targets software developers through fake recruitment efforts, particularly in cryptocurrency and software development sectors. Their toolkit includes BeaverTail, PyLangGhost, and GolangGhost, designed for stealing browser credentials and cryptocurrency information. The group has affected 3,136 IP addresses, mainly in South Asia and North America, compromising 20 organizations across</t>
        </is>
      </c>
      <c r="D1451" t="n">
        <v>7</v>
      </c>
      <c r="E1451" t="inlineStr">
        <is>
          <t>HIGH</t>
        </is>
      </c>
      <c r="F1451" t="n">
        <v>3</v>
      </c>
      <c r="G1451" t="n">
        <v>2</v>
      </c>
      <c r="H1451" t="inlineStr">
        <is>
          <t>HIGH</t>
        </is>
      </c>
      <c r="I1451" t="n">
        <v>13</v>
      </c>
      <c r="J1451" t="inlineStr">
        <is>
          <t>NO</t>
        </is>
      </c>
      <c r="K1451" t="inlineStr">
        <is>
          <t>2026-01-21T22:26:37.394000</t>
        </is>
      </c>
      <c r="L1451" t="inlineStr">
        <is>
          <t>SEE_PULSE</t>
        </is>
      </c>
      <c r="M1451" t="inlineStr">
        <is>
          <t>cryptocurrency, it services, social engineering, browser credential theft, invisibleferret, north korea, beavertail, remote access trojan, pylangghost, golangghost, software supply chain, github, astrill vpn</t>
        </is>
      </c>
      <c r="N1451" t="inlineStr">
        <is>
          <t>P3</t>
        </is>
      </c>
      <c r="O1451" t="inlineStr">
        <is>
          <t>OTX Pulse - check IP IOCs separately</t>
        </is>
      </c>
      <c r="P1451" t="n">
        <v>0</v>
      </c>
      <c r="Q1451" t="n">
        <v>0</v>
      </c>
      <c r="R1451" t="inlineStr">
        <is>
          <t>See OTX pulse tags</t>
        </is>
      </c>
      <c r="S1451" t="n">
        <v>1</v>
      </c>
      <c r="T1451" t="inlineStr">
        <is>
          <t>LOW (40%)</t>
        </is>
      </c>
      <c r="U1451" t="inlineStr">
        <is>
          <t>NONE</t>
        </is>
      </c>
      <c r="V1451" t="inlineStr">
        <is>
          <t>NONE</t>
        </is>
      </c>
      <c r="W1451" t="inlineStr">
        <is>
          <t>NONE</t>
        </is>
      </c>
      <c r="X1451" t="inlineStr">
        <is>
          <t>NONE</t>
        </is>
      </c>
      <c r="Y1451" t="n">
        <v>0</v>
      </c>
      <c r="Z1451" t="inlineStr"/>
      <c r="AA1451" t="inlineStr">
        <is>
          <t>https://www.recordedfuture.com/research/purplebravos-targeting-it-software-supply-chain</t>
        </is>
      </c>
    </row>
    <row r="1452">
      <c r="A1452" t="inlineStr">
        <is>
          <t>OTX_PULSE</t>
        </is>
      </c>
      <c r="B1452" t="inlineStr">
        <is>
          <t>699874fdcc7eaabe6bb130ac</t>
        </is>
      </c>
      <c r="C1452" t="inlineStr">
        <is>
          <t>MIMICRAT: ClickFix Campaign Delivers Custom RAT via Compromised Legitimate Websites: A sophisticated ClickFix campaign has been uncovered, compromising legitimate websites to deliver a multi-stage malware chain. The attack culminates in MIMICRAT, a custom remote access trojan with advanced capabilities. The campaign uses compromised sites across industries and geographies for delivery, employing a five-stage PowerShell chain that bypasses security measures before deploying a Lua-scripted shellco</t>
        </is>
      </c>
      <c r="D1452" t="n">
        <v>7</v>
      </c>
      <c r="E1452" t="inlineStr">
        <is>
          <t>HIGH</t>
        </is>
      </c>
      <c r="F1452" t="n">
        <v>3</v>
      </c>
      <c r="G1452" t="n">
        <v>2</v>
      </c>
      <c r="H1452" t="inlineStr">
        <is>
          <t>HIGH</t>
        </is>
      </c>
      <c r="I1452" t="n">
        <v>13</v>
      </c>
      <c r="J1452" t="inlineStr">
        <is>
          <t>NO</t>
        </is>
      </c>
      <c r="K1452" t="inlineStr">
        <is>
          <t>2026-02-20T14:51:41.673000</t>
        </is>
      </c>
      <c r="L1452" t="inlineStr">
        <is>
          <t>SEE_PULSE</t>
        </is>
      </c>
      <c r="M1452" t="inlineStr">
        <is>
          <t>lua loader, compromised websites, token theft, rat, multi-stage attack, clickfix, mimicrat, socks5 proxy, powershell</t>
        </is>
      </c>
      <c r="N1452" t="inlineStr">
        <is>
          <t>P3</t>
        </is>
      </c>
      <c r="O1452" t="inlineStr">
        <is>
          <t>OTX Pulse - check IP IOCs separately</t>
        </is>
      </c>
      <c r="P1452" t="n">
        <v>0</v>
      </c>
      <c r="Q1452" t="n">
        <v>0</v>
      </c>
      <c r="R1452" t="inlineStr">
        <is>
          <t>See OTX pulse tags</t>
        </is>
      </c>
      <c r="S1452" t="n">
        <v>1</v>
      </c>
      <c r="T1452" t="inlineStr">
        <is>
          <t>LOW (40%)</t>
        </is>
      </c>
      <c r="U1452" t="inlineStr">
        <is>
          <t>NONE</t>
        </is>
      </c>
      <c r="V1452" t="inlineStr">
        <is>
          <t>NONE</t>
        </is>
      </c>
      <c r="W1452" t="inlineStr">
        <is>
          <t>NONE</t>
        </is>
      </c>
      <c r="X1452" t="inlineStr">
        <is>
          <t>NONE</t>
        </is>
      </c>
      <c r="Y1452" t="n">
        <v>0</v>
      </c>
      <c r="Z1452" t="inlineStr"/>
      <c r="AA1452" t="inlineStr">
        <is>
          <t>https://www.elastic.co/security-labs/mimicrat-custom-rat-mimics-c2-frameworks</t>
        </is>
      </c>
    </row>
    <row r="1453">
      <c r="A1453" t="inlineStr">
        <is>
          <t>OTX_PULSE</t>
        </is>
      </c>
      <c r="B1453" t="inlineStr">
        <is>
          <t>69972ba4edeee60b22933086</t>
        </is>
      </c>
      <c r="C1453" t="inlineStr">
        <is>
          <t>ClickFix in action: how fake captcha can encrypt an entire company: The report details a malware attack on a large Polish organization involving fake CAPTCHA techniques. It describes the initial infection vector, where users were tricked into running malicious code through a Windows+R shortcut. The analysis covers two main malware families: Latrodectus (version 2.3) and Supper. The report provides technical details on the malware's functionality, communication protocols, and persistence mechanis</t>
        </is>
      </c>
      <c r="D1453" t="n">
        <v>7</v>
      </c>
      <c r="E1453" t="inlineStr">
        <is>
          <t>HIGH</t>
        </is>
      </c>
      <c r="F1453" t="n">
        <v>3</v>
      </c>
      <c r="G1453" t="n">
        <v>2</v>
      </c>
      <c r="H1453" t="inlineStr">
        <is>
          <t>HIGH</t>
        </is>
      </c>
      <c r="I1453" t="n">
        <v>13</v>
      </c>
      <c r="J1453" t="inlineStr">
        <is>
          <t>NO</t>
        </is>
      </c>
      <c r="K1453" t="inlineStr">
        <is>
          <t>2026-02-19T15:26:28.037000</t>
        </is>
      </c>
      <c r="L1453" t="inlineStr">
        <is>
          <t>SEE_PULSE</t>
        </is>
      </c>
      <c r="M1453" t="inlineStr">
        <is>
          <t>fake captcha, latrodectus, c2 communication, side-loading, clickfix, malware analysis, supper, ransomware, persistence</t>
        </is>
      </c>
      <c r="N1453" t="inlineStr">
        <is>
          <t>P3</t>
        </is>
      </c>
      <c r="O1453" t="inlineStr">
        <is>
          <t>OTX Pulse - check IP IOCs separately</t>
        </is>
      </c>
      <c r="P1453" t="n">
        <v>0</v>
      </c>
      <c r="Q1453" t="n">
        <v>0</v>
      </c>
      <c r="R1453" t="inlineStr">
        <is>
          <t>See OTX pulse tags</t>
        </is>
      </c>
      <c r="S1453" t="n">
        <v>1</v>
      </c>
      <c r="T1453" t="inlineStr">
        <is>
          <t>LOW (40%)</t>
        </is>
      </c>
      <c r="U1453" t="inlineStr">
        <is>
          <t>NONE</t>
        </is>
      </c>
      <c r="V1453" t="inlineStr">
        <is>
          <t>NONE</t>
        </is>
      </c>
      <c r="W1453" t="inlineStr">
        <is>
          <t>NONE</t>
        </is>
      </c>
      <c r="X1453" t="inlineStr">
        <is>
          <t>NONE</t>
        </is>
      </c>
      <c r="Y1453" t="n">
        <v>0</v>
      </c>
      <c r="Z1453" t="inlineStr"/>
      <c r="AA1453" t="inlineStr">
        <is>
          <t>https://cert.pl/posts/2026/02/fake-captcha-in-action</t>
        </is>
      </c>
    </row>
    <row r="1454">
      <c r="A1454" t="inlineStr">
        <is>
          <t>OTX_PULSE</t>
        </is>
      </c>
      <c r="B1454" t="inlineStr">
        <is>
          <t>6997aaa340e2e5c6cdac145f</t>
        </is>
      </c>
      <c r="C1454" t="inlineStr">
        <is>
          <t>VShell and SparkRAT Observed in Exploitation of BeyondTrust Critical Vulnerability (CVE-2026-1731): A critical remote code execution vulnerability (CVE-2026-1731) in BeyondTrust remote support software is being actively exploited. The flaw allows unauthenticated attackers to execute arbitrary OS commands with high privileges. Observed attacker activities include network reconnaissance, account creation, webshell deployment, C2 traffic, backdoor installation, lateral movement, and data theft. Aff</t>
        </is>
      </c>
      <c r="D1454" t="n">
        <v>7</v>
      </c>
      <c r="E1454" t="inlineStr">
        <is>
          <t>HIGH</t>
        </is>
      </c>
      <c r="F1454" t="n">
        <v>3</v>
      </c>
      <c r="G1454" t="n">
        <v>2</v>
      </c>
      <c r="H1454" t="inlineStr">
        <is>
          <t>HIGH</t>
        </is>
      </c>
      <c r="I1454" t="n">
        <v>13</v>
      </c>
      <c r="J1454" t="inlineStr">
        <is>
          <t>NO</t>
        </is>
      </c>
      <c r="K1454" t="inlineStr">
        <is>
          <t>2026-02-20T00:28:19.348000</t>
        </is>
      </c>
      <c r="L1454" t="inlineStr">
        <is>
          <t>SEE_PULSE</t>
        </is>
      </c>
      <c r="M1454" t="inlineStr">
        <is>
          <t>beyondtrust, vshell, webshell, cve-2026-1731, lateral movement, data theft, remote code execution, sparkrat</t>
        </is>
      </c>
      <c r="N1454" t="inlineStr">
        <is>
          <t>P3</t>
        </is>
      </c>
      <c r="O1454" t="inlineStr">
        <is>
          <t>OTX Pulse - check IP IOCs separately</t>
        </is>
      </c>
      <c r="P1454" t="n">
        <v>0</v>
      </c>
      <c r="Q1454" t="n">
        <v>0</v>
      </c>
      <c r="R1454" t="inlineStr">
        <is>
          <t>See OTX pulse tags</t>
        </is>
      </c>
      <c r="S1454" t="n">
        <v>1</v>
      </c>
      <c r="T1454" t="inlineStr">
        <is>
          <t>LOW (40%)</t>
        </is>
      </c>
      <c r="U1454" t="inlineStr">
        <is>
          <t>NONE</t>
        </is>
      </c>
      <c r="V1454" t="inlineStr">
        <is>
          <t>NONE</t>
        </is>
      </c>
      <c r="W1454" t="inlineStr">
        <is>
          <t>NONE</t>
        </is>
      </c>
      <c r="X1454" t="inlineStr">
        <is>
          <t>NONE</t>
        </is>
      </c>
      <c r="Y1454" t="n">
        <v>0</v>
      </c>
      <c r="Z1454" t="inlineStr"/>
      <c r="AA1454" t="inlineStr">
        <is>
          <t>https://unit42.paloaltonetworks.com/beyondtrust-cve-2026-1731/</t>
        </is>
      </c>
    </row>
    <row r="1455">
      <c r="A1455" t="inlineStr">
        <is>
          <t>OTX_PULSE</t>
        </is>
      </c>
      <c r="B1455" t="inlineStr">
        <is>
          <t>69976fb1e346dadacfae5133</t>
        </is>
      </c>
      <c r="C1455" t="inlineStr">
        <is>
          <t>Zero-day in Dell RecoverPoint for Virtual Machines (CVE-2026-22769): A critical zero-day vulnerability in Dell RecoverPoint for Virtual Machines has been discovered and actively exploited. The flaw, identified as CVE-2026-22769, allows attackers to gain root-level access on affected systems. China-linked threat actor UNC6201 has been leveraging this vulnerability in targeted intrusions since mid-2024, deploying custom backdoors like GRIMBOLT and BRICKSTORM for persistence and further compromise.</t>
        </is>
      </c>
      <c r="D1455" t="n">
        <v>7</v>
      </c>
      <c r="E1455" t="inlineStr">
        <is>
          <t>HIGH</t>
        </is>
      </c>
      <c r="F1455" t="n">
        <v>3</v>
      </c>
      <c r="G1455" t="n">
        <v>2</v>
      </c>
      <c r="H1455" t="inlineStr">
        <is>
          <t>HIGH</t>
        </is>
      </c>
      <c r="I1455" t="n">
        <v>13</v>
      </c>
      <c r="J1455" t="inlineStr">
        <is>
          <t>NO</t>
        </is>
      </c>
      <c r="K1455" t="inlineStr">
        <is>
          <t>2026-02-19T20:16:49.235000</t>
        </is>
      </c>
      <c r="L1455" t="inlineStr">
        <is>
          <t>SEE_PULSE</t>
        </is>
      </c>
      <c r="M1455" t="inlineStr">
        <is>
          <t>china, vulnerability, vmware, brickstorm, slaystyle, recoverpoint, dell, grimbolt, cve-2026-22769, patch, backdoor, zero-day, root access</t>
        </is>
      </c>
      <c r="N1455" t="inlineStr">
        <is>
          <t>P3</t>
        </is>
      </c>
      <c r="O1455" t="inlineStr">
        <is>
          <t>OTX Pulse - check IP IOCs separately</t>
        </is>
      </c>
      <c r="P1455" t="n">
        <v>0</v>
      </c>
      <c r="Q1455" t="n">
        <v>0</v>
      </c>
      <c r="R1455" t="inlineStr">
        <is>
          <t>See OTX pulse tags</t>
        </is>
      </c>
      <c r="S1455" t="n">
        <v>1</v>
      </c>
      <c r="T1455" t="inlineStr">
        <is>
          <t>LOW (40%)</t>
        </is>
      </c>
      <c r="U1455" t="inlineStr">
        <is>
          <t>NONE</t>
        </is>
      </c>
      <c r="V1455" t="inlineStr">
        <is>
          <t>NONE</t>
        </is>
      </c>
      <c r="W1455" t="inlineStr">
        <is>
          <t>NONE</t>
        </is>
      </c>
      <c r="X1455" t="inlineStr">
        <is>
          <t>NONE</t>
        </is>
      </c>
      <c r="Y1455" t="n">
        <v>0</v>
      </c>
      <c r="Z1455" t="inlineStr"/>
      <c r="AA1455" t="inlineStr">
        <is>
          <t>https://www.truesec.com/hub/blog/zero-day-dell-recoverpoint-for-virtual-machines-cve-2026-22769</t>
        </is>
      </c>
    </row>
    <row r="1456">
      <c r="A1456" t="inlineStr">
        <is>
          <t>OTX_PULSE</t>
        </is>
      </c>
      <c r="B1456" t="inlineStr">
        <is>
          <t>69976fb12f41d2de862d4683</t>
        </is>
      </c>
      <c r="C1456" t="inlineStr">
        <is>
          <t xml:space="preserve">Android threats using GenAI usher in a new era: ESET researchers have discovered PromptSpy, the first known Android malware to abuse generative AI in its execution flow. This malware uses Google's Gemini AI to analyze screen content and provide instructions for UI manipulation, allowing it to adapt to various devices and layouts. PromptSpy's main purpose is to deploy a VNC module for remote access to the victim's device. It also abuses the Accessibility Service to block uninstallation, captures </t>
        </is>
      </c>
      <c r="D1456" t="n">
        <v>7</v>
      </c>
      <c r="E1456" t="inlineStr">
        <is>
          <t>HIGH</t>
        </is>
      </c>
      <c r="F1456" t="n">
        <v>3</v>
      </c>
      <c r="G1456" t="n">
        <v>2</v>
      </c>
      <c r="H1456" t="inlineStr">
        <is>
          <t>HIGH</t>
        </is>
      </c>
      <c r="I1456" t="n">
        <v>13</v>
      </c>
      <c r="J1456" t="inlineStr">
        <is>
          <t>NO</t>
        </is>
      </c>
      <c r="K1456" t="inlineStr">
        <is>
          <t>2026-02-19T20:16:49.814000</t>
        </is>
      </c>
      <c r="L1456" t="inlineStr">
        <is>
          <t>SEE_PULSE</t>
        </is>
      </c>
      <c r="M1456" t="inlineStr">
        <is>
          <t>remote access, gemini, generative ai, argentina, promptspy, android, accessibility service, vnc, vncspy</t>
        </is>
      </c>
      <c r="N1456" t="inlineStr">
        <is>
          <t>P3</t>
        </is>
      </c>
      <c r="O1456" t="inlineStr">
        <is>
          <t>OTX Pulse - check IP IOCs separately</t>
        </is>
      </c>
      <c r="P1456" t="n">
        <v>0</v>
      </c>
      <c r="Q1456" t="n">
        <v>0</v>
      </c>
      <c r="R1456" t="inlineStr">
        <is>
          <t>See OTX pulse tags</t>
        </is>
      </c>
      <c r="S1456" t="n">
        <v>1</v>
      </c>
      <c r="T1456" t="inlineStr">
        <is>
          <t>LOW (40%)</t>
        </is>
      </c>
      <c r="U1456" t="inlineStr">
        <is>
          <t>NONE</t>
        </is>
      </c>
      <c r="V1456" t="inlineStr">
        <is>
          <t>NONE</t>
        </is>
      </c>
      <c r="W1456" t="inlineStr">
        <is>
          <t>NONE</t>
        </is>
      </c>
      <c r="X1456" t="inlineStr">
        <is>
          <t>NONE</t>
        </is>
      </c>
      <c r="Y1456" t="n">
        <v>0</v>
      </c>
      <c r="Z1456" t="inlineStr"/>
      <c r="AA1456" t="inlineStr">
        <is>
          <t>https://www.welivesecurity.com/en/eset-research/promptspy-ushers-in-era-android-threats-using-genai</t>
        </is>
      </c>
    </row>
    <row r="1457">
      <c r="A1457" t="inlineStr">
        <is>
          <t>OTX_PULSE</t>
        </is>
      </c>
      <c r="B1457" t="inlineStr">
        <is>
          <t>6970c8be406455823a3d9652</t>
        </is>
      </c>
      <c r="C1457" t="inlineStr">
        <is>
          <t>Threat Actors Expand Abuse of Microsoft Visual Studio Code: North Korean threat actors have evolved their techniques in the Contagious Interview campaign, now abusing Microsoft Visual Studio Code task configuration files. The infection chain begins when a victim opens a malicious Git repository, often disguised as part of a recruitment process. If trust is granted, arbitrary commands are executed on the system. The malware uses JavaScript payloads hosted on vercel.app to implement backdoor logic</t>
        </is>
      </c>
      <c r="D1457" t="n">
        <v>7</v>
      </c>
      <c r="E1457" t="inlineStr">
        <is>
          <t>HIGH</t>
        </is>
      </c>
      <c r="F1457" t="n">
        <v>3</v>
      </c>
      <c r="G1457" t="n">
        <v>2</v>
      </c>
      <c r="H1457" t="inlineStr">
        <is>
          <t>HIGH</t>
        </is>
      </c>
      <c r="I1457" t="n">
        <v>13</v>
      </c>
      <c r="J1457" t="inlineStr">
        <is>
          <t>NO</t>
        </is>
      </c>
      <c r="K1457" t="inlineStr">
        <is>
          <t>2026-01-21T12:38:22.046000</t>
        </is>
      </c>
      <c r="L1457" t="inlineStr">
        <is>
          <t>SEE_PULSE</t>
        </is>
      </c>
      <c r="M1457" t="inlineStr">
        <is>
          <t>macos, c2, github, visual studio code, backdoor, node.js, gitlab, contagious interview, javascript</t>
        </is>
      </c>
      <c r="N1457" t="inlineStr">
        <is>
          <t>P3</t>
        </is>
      </c>
      <c r="O1457" t="inlineStr">
        <is>
          <t>OTX Pulse - check IP IOCs separately</t>
        </is>
      </c>
      <c r="P1457" t="n">
        <v>0</v>
      </c>
      <c r="Q1457" t="n">
        <v>0</v>
      </c>
      <c r="R1457" t="inlineStr">
        <is>
          <t>See OTX pulse tags</t>
        </is>
      </c>
      <c r="S1457" t="n">
        <v>1</v>
      </c>
      <c r="T1457" t="inlineStr">
        <is>
          <t>LOW (40%)</t>
        </is>
      </c>
      <c r="U1457" t="inlineStr">
        <is>
          <t>NONE</t>
        </is>
      </c>
      <c r="V1457" t="inlineStr">
        <is>
          <t>NONE</t>
        </is>
      </c>
      <c r="W1457" t="inlineStr">
        <is>
          <t>NONE</t>
        </is>
      </c>
      <c r="X1457" t="inlineStr">
        <is>
          <t>NONE</t>
        </is>
      </c>
      <c r="Y1457" t="n">
        <v>0</v>
      </c>
      <c r="Z1457" t="inlineStr"/>
      <c r="AA1457" t="inlineStr">
        <is>
          <t>https://www.jamf.com/blog/threat-actors-expand-abuse-of-visual-studio-code</t>
        </is>
      </c>
    </row>
    <row r="1458">
      <c r="A1458" t="inlineStr">
        <is>
          <t>OTX_PULSE</t>
        </is>
      </c>
      <c r="B1458" t="inlineStr">
        <is>
          <t>6970c8427c1fd561ba4d962a</t>
        </is>
      </c>
      <c r="C1458" t="inlineStr">
        <is>
          <t>EtherRAT Targeting Windows Disguised as a Game Mod Installer: A Windows variant of EtherRAT, a JavaScript-based malware, has been discovered disguised as game mod installers. The malware uses MSI files to create and execute obfuscated scripts that decrypt and run the main payload. EtherRAT retrieves its Command and Control (C2) server addresses dynamically through Ethereum smart contracts, employing anti-analysis techniques and establishing persistence via Registry Run keys. The malware's infras</t>
        </is>
      </c>
      <c r="D1458" t="n">
        <v>7</v>
      </c>
      <c r="E1458" t="inlineStr">
        <is>
          <t>HIGH</t>
        </is>
      </c>
      <c r="F1458" t="n">
        <v>3</v>
      </c>
      <c r="G1458" t="n">
        <v>2</v>
      </c>
      <c r="H1458" t="inlineStr">
        <is>
          <t>HIGH</t>
        </is>
      </c>
      <c r="I1458" t="n">
        <v>13</v>
      </c>
      <c r="J1458" t="inlineStr">
        <is>
          <t>NO</t>
        </is>
      </c>
      <c r="K1458" t="inlineStr">
        <is>
          <t>2026-01-21T12:36:18.399000</t>
        </is>
      </c>
      <c r="L1458" t="inlineStr">
        <is>
          <t>SEE_PULSE</t>
        </is>
      </c>
      <c r="M1458" t="inlineStr">
        <is>
          <t>msi, obfuscation, ethereum, 123 stealer, windows, smart contract, c2 communication, tsundere botnet, persistence, cve-2025-55182, game mod, etherrat</t>
        </is>
      </c>
      <c r="N1458" t="inlineStr">
        <is>
          <t>P3</t>
        </is>
      </c>
      <c r="O1458" t="inlineStr">
        <is>
          <t>OTX Pulse - check IP IOCs separately</t>
        </is>
      </c>
      <c r="P1458" t="n">
        <v>0</v>
      </c>
      <c r="Q1458" t="n">
        <v>0</v>
      </c>
      <c r="R1458" t="inlineStr">
        <is>
          <t>See OTX pulse tags</t>
        </is>
      </c>
      <c r="S1458" t="n">
        <v>1</v>
      </c>
      <c r="T1458" t="inlineStr">
        <is>
          <t>LOW (40%)</t>
        </is>
      </c>
      <c r="U1458" t="inlineStr">
        <is>
          <t>NONE</t>
        </is>
      </c>
      <c r="V1458" t="inlineStr">
        <is>
          <t>NONE</t>
        </is>
      </c>
      <c r="W1458" t="inlineStr">
        <is>
          <t>NONE</t>
        </is>
      </c>
      <c r="X1458" t="inlineStr">
        <is>
          <t>NONE</t>
        </is>
      </c>
      <c r="Y1458" t="n">
        <v>0</v>
      </c>
      <c r="Z1458" t="inlineStr"/>
      <c r="AA1458" t="inlineStr">
        <is>
          <t>https://www.enki.co.kr/en/media-center/blog/etherrat-targeting-windows-disguised-as-a-game-mod-installer</t>
        </is>
      </c>
    </row>
    <row r="1459">
      <c r="A1459" t="inlineStr">
        <is>
          <t>OTX_PULSE</t>
        </is>
      </c>
      <c r="B1459" t="inlineStr">
        <is>
          <t>69972ba1adf91cc8babfab81</t>
        </is>
      </c>
      <c r="C1459" t="inlineStr">
        <is>
          <t>Invitation to Trouble: The Rise of Calendar Phishing Attacks: A new phishing tactic involving fake Microsoft and Google Calendar invites has been identified, aimed at stealing login credentials. These sophisticated attacks mimic designs from well-known platforms, exploiting routine business activities like scheduling meetings. Threat actors use email spoofing and create fake urgent calendar invitations to deceive employees. The phishing emails often contain buttons or links that redirect to fake</t>
        </is>
      </c>
      <c r="D1459" t="n">
        <v>7</v>
      </c>
      <c r="E1459" t="inlineStr">
        <is>
          <t>HIGH</t>
        </is>
      </c>
      <c r="F1459" t="n">
        <v>3</v>
      </c>
      <c r="G1459" t="n">
        <v>2</v>
      </c>
      <c r="H1459" t="inlineStr">
        <is>
          <t>HIGH</t>
        </is>
      </c>
      <c r="I1459" t="n">
        <v>13</v>
      </c>
      <c r="J1459" t="inlineStr">
        <is>
          <t>NO</t>
        </is>
      </c>
      <c r="K1459" t="inlineStr">
        <is>
          <t>2026-02-19T15:26:25.602000</t>
        </is>
      </c>
      <c r="L1459" t="inlineStr">
        <is>
          <t>SEE_PULSE</t>
        </is>
      </c>
      <c r="M1459" t="inlineStr">
        <is>
          <t>social engineering, fake invitations, google, calendar phishing, credential theft, microsoft, corporate targeting, email spoofing</t>
        </is>
      </c>
      <c r="N1459" t="inlineStr">
        <is>
          <t>P3</t>
        </is>
      </c>
      <c r="O1459" t="inlineStr">
        <is>
          <t>OTX Pulse - check IP IOCs separately</t>
        </is>
      </c>
      <c r="P1459" t="n">
        <v>0</v>
      </c>
      <c r="Q1459" t="n">
        <v>0</v>
      </c>
      <c r="R1459" t="inlineStr">
        <is>
          <t>See OTX pulse tags</t>
        </is>
      </c>
      <c r="S1459" t="n">
        <v>1</v>
      </c>
      <c r="T1459" t="inlineStr">
        <is>
          <t>LOW (40%)</t>
        </is>
      </c>
      <c r="U1459" t="inlineStr">
        <is>
          <t>NONE</t>
        </is>
      </c>
      <c r="V1459" t="inlineStr">
        <is>
          <t>NONE</t>
        </is>
      </c>
      <c r="W1459" t="inlineStr">
        <is>
          <t>NONE</t>
        </is>
      </c>
      <c r="X1459" t="inlineStr">
        <is>
          <t>NONE</t>
        </is>
      </c>
      <c r="Y1459" t="n">
        <v>0</v>
      </c>
      <c r="Z1459" t="inlineStr"/>
      <c r="AA1459" t="inlineStr">
        <is>
          <t>https://cofense.com/blog/invitation-to-trouble-the-rise-of-calendar-phishing-attacks</t>
        </is>
      </c>
    </row>
    <row r="1460">
      <c r="A1460" t="inlineStr">
        <is>
          <t>THREATFOX_IOC</t>
        </is>
      </c>
      <c r="B1460" t="inlineStr">
        <is>
          <t>1753830</t>
        </is>
      </c>
      <c r="C1460" t="inlineStr">
        <is>
          <t>domain IOC:  | Malware: ClearFake | Confidence: 100%</t>
        </is>
      </c>
      <c r="D1460" t="n">
        <v>7.5</v>
      </c>
      <c r="E1460" t="inlineStr">
        <is>
          <t>HIGH</t>
        </is>
      </c>
      <c r="F1460" t="n">
        <v>3</v>
      </c>
      <c r="G1460" t="n">
        <v>2</v>
      </c>
      <c r="H1460" t="inlineStr">
        <is>
          <t>HIGH</t>
        </is>
      </c>
      <c r="I1460" t="n">
        <v>13.5</v>
      </c>
      <c r="J1460" t="inlineStr">
        <is>
          <t>NO</t>
        </is>
      </c>
      <c r="K1460" t="inlineStr">
        <is>
          <t>2026-02-23 21:39:33 UTC</t>
        </is>
      </c>
      <c r="L1460" t="inlineStr">
        <is>
          <t>Block IOC</t>
        </is>
      </c>
      <c r="M1460" t="inlineStr">
        <is>
          <t>payload_delivery</t>
        </is>
      </c>
      <c r="N1460" t="inlineStr">
        <is>
          <t>P3</t>
        </is>
      </c>
      <c r="O1460" t="inlineStr">
        <is>
          <t>Classification: Not checked | Context: Not enriched | Name: Not indexed</t>
        </is>
      </c>
      <c r="P1460" t="n">
        <v>0</v>
      </c>
      <c r="Q1460" t="n">
        <v>0</v>
      </c>
      <c r="R1460" t="inlineStr">
        <is>
          <t>T1071:Application Layer Protocol | T1102:Web Service</t>
        </is>
      </c>
      <c r="S1460" t="n">
        <v>1</v>
      </c>
      <c r="T1460" t="inlineStr">
        <is>
          <t>LOW (40%)</t>
        </is>
      </c>
      <c r="U1460" t="inlineStr">
        <is>
          <t>NONE</t>
        </is>
      </c>
      <c r="V1460" t="inlineStr">
        <is>
          <t>NONE</t>
        </is>
      </c>
      <c r="W1460" t="inlineStr">
        <is>
          <t>NONE</t>
        </is>
      </c>
      <c r="X1460" t="inlineStr">
        <is>
          <t>NONE</t>
        </is>
      </c>
      <c r="Y1460" t="n">
        <v>0</v>
      </c>
      <c r="Z1460" t="inlineStr"/>
      <c r="AA1460" t="inlineStr">
        <is>
          <t>https://threatfox.abuse.ch/ioc/1753830/</t>
        </is>
      </c>
    </row>
    <row r="1461">
      <c r="A1461" t="inlineStr">
        <is>
          <t>THREATFOX_IOC</t>
        </is>
      </c>
      <c r="B1461" t="inlineStr">
        <is>
          <t>1753829</t>
        </is>
      </c>
      <c r="C1461" t="inlineStr">
        <is>
          <t>domain IOC:  | Malware: ClearFake | Confidence: 100%</t>
        </is>
      </c>
      <c r="D1461" t="n">
        <v>7.5</v>
      </c>
      <c r="E1461" t="inlineStr">
        <is>
          <t>HIGH</t>
        </is>
      </c>
      <c r="F1461" t="n">
        <v>3</v>
      </c>
      <c r="G1461" t="n">
        <v>2</v>
      </c>
      <c r="H1461" t="inlineStr">
        <is>
          <t>HIGH</t>
        </is>
      </c>
      <c r="I1461" t="n">
        <v>13.5</v>
      </c>
      <c r="J1461" t="inlineStr">
        <is>
          <t>NO</t>
        </is>
      </c>
      <c r="K1461" t="inlineStr">
        <is>
          <t>2026-02-23 21:33:40 UTC</t>
        </is>
      </c>
      <c r="L1461" t="inlineStr">
        <is>
          <t>Block IOC</t>
        </is>
      </c>
      <c r="M1461" t="inlineStr">
        <is>
          <t>payload_delivery</t>
        </is>
      </c>
      <c r="N1461" t="inlineStr">
        <is>
          <t>P3</t>
        </is>
      </c>
      <c r="O1461" t="inlineStr">
        <is>
          <t>Classification: Not checked | Context: Not enriched | Name: Not indexed</t>
        </is>
      </c>
      <c r="P1461" t="n">
        <v>0</v>
      </c>
      <c r="Q1461" t="n">
        <v>0</v>
      </c>
      <c r="R1461" t="inlineStr">
        <is>
          <t>T1071:Application Layer Protocol | T1102:Web Service</t>
        </is>
      </c>
      <c r="S1461" t="n">
        <v>1</v>
      </c>
      <c r="T1461" t="inlineStr">
        <is>
          <t>LOW (40%)</t>
        </is>
      </c>
      <c r="U1461" t="inlineStr">
        <is>
          <t>NONE</t>
        </is>
      </c>
      <c r="V1461" t="inlineStr">
        <is>
          <t>NONE</t>
        </is>
      </c>
      <c r="W1461" t="inlineStr">
        <is>
          <t>NONE</t>
        </is>
      </c>
      <c r="X1461" t="inlineStr">
        <is>
          <t>NONE</t>
        </is>
      </c>
      <c r="Y1461" t="n">
        <v>0</v>
      </c>
      <c r="Z1461" t="inlineStr"/>
      <c r="AA1461" t="inlineStr">
        <is>
          <t>https://threatfox.abuse.ch/ioc/1753829/</t>
        </is>
      </c>
    </row>
    <row r="1462">
      <c r="A1462" t="inlineStr">
        <is>
          <t>THREATFOX_IOC</t>
        </is>
      </c>
      <c r="B1462" t="inlineStr">
        <is>
          <t>1753828</t>
        </is>
      </c>
      <c r="C1462" t="inlineStr">
        <is>
          <t>domain IOC:  | Malware: ClearFake | Confidence: 100%</t>
        </is>
      </c>
      <c r="D1462" t="n">
        <v>7.5</v>
      </c>
      <c r="E1462" t="inlineStr">
        <is>
          <t>HIGH</t>
        </is>
      </c>
      <c r="F1462" t="n">
        <v>3</v>
      </c>
      <c r="G1462" t="n">
        <v>2</v>
      </c>
      <c r="H1462" t="inlineStr">
        <is>
          <t>HIGH</t>
        </is>
      </c>
      <c r="I1462" t="n">
        <v>13.5</v>
      </c>
      <c r="J1462" t="inlineStr">
        <is>
          <t>NO</t>
        </is>
      </c>
      <c r="K1462" t="inlineStr">
        <is>
          <t>2026-02-23 21:23:44 UTC</t>
        </is>
      </c>
      <c r="L1462" t="inlineStr">
        <is>
          <t>Block IOC</t>
        </is>
      </c>
      <c r="M1462" t="inlineStr">
        <is>
          <t>payload_delivery</t>
        </is>
      </c>
      <c r="N1462" t="inlineStr">
        <is>
          <t>P3</t>
        </is>
      </c>
      <c r="O1462" t="inlineStr">
        <is>
          <t>Classification: Not checked | Context: Not enriched | Name: Not indexed</t>
        </is>
      </c>
      <c r="P1462" t="n">
        <v>0</v>
      </c>
      <c r="Q1462" t="n">
        <v>0</v>
      </c>
      <c r="R1462" t="inlineStr">
        <is>
          <t>T1071:Application Layer Protocol | T1102:Web Service</t>
        </is>
      </c>
      <c r="S1462" t="n">
        <v>1</v>
      </c>
      <c r="T1462" t="inlineStr">
        <is>
          <t>LOW (40%)</t>
        </is>
      </c>
      <c r="U1462" t="inlineStr">
        <is>
          <t>NONE</t>
        </is>
      </c>
      <c r="V1462" t="inlineStr">
        <is>
          <t>NONE</t>
        </is>
      </c>
      <c r="W1462" t="inlineStr">
        <is>
          <t>NONE</t>
        </is>
      </c>
      <c r="X1462" t="inlineStr">
        <is>
          <t>NONE</t>
        </is>
      </c>
      <c r="Y1462" t="n">
        <v>0</v>
      </c>
      <c r="Z1462" t="inlineStr"/>
      <c r="AA1462" t="inlineStr">
        <is>
          <t>https://threatfox.abuse.ch/ioc/1753828/</t>
        </is>
      </c>
    </row>
    <row r="1463">
      <c r="A1463" t="inlineStr">
        <is>
          <t>THREATFOX_IOC</t>
        </is>
      </c>
      <c r="B1463" t="inlineStr">
        <is>
          <t>1753827</t>
        </is>
      </c>
      <c r="C1463" t="inlineStr">
        <is>
          <t>domain IOC:  | Malware: ClearFake | Confidence: 100%</t>
        </is>
      </c>
      <c r="D1463" t="n">
        <v>7.5</v>
      </c>
      <c r="E1463" t="inlineStr">
        <is>
          <t>HIGH</t>
        </is>
      </c>
      <c r="F1463" t="n">
        <v>3</v>
      </c>
      <c r="G1463" t="n">
        <v>2</v>
      </c>
      <c r="H1463" t="inlineStr">
        <is>
          <t>HIGH</t>
        </is>
      </c>
      <c r="I1463" t="n">
        <v>13.5</v>
      </c>
      <c r="J1463" t="inlineStr">
        <is>
          <t>NO</t>
        </is>
      </c>
      <c r="K1463" t="inlineStr">
        <is>
          <t>2026-02-23 21:18:55 UTC</t>
        </is>
      </c>
      <c r="L1463" t="inlineStr">
        <is>
          <t>Block IOC</t>
        </is>
      </c>
      <c r="M1463" t="inlineStr">
        <is>
          <t>payload_delivery</t>
        </is>
      </c>
      <c r="N1463" t="inlineStr">
        <is>
          <t>P3</t>
        </is>
      </c>
      <c r="O1463" t="inlineStr">
        <is>
          <t>Classification: Not checked | Context: Not enriched | Name: Not indexed</t>
        </is>
      </c>
      <c r="P1463" t="n">
        <v>0</v>
      </c>
      <c r="Q1463" t="n">
        <v>0</v>
      </c>
      <c r="R1463" t="inlineStr">
        <is>
          <t>T1071:Application Layer Protocol | T1102:Web Service</t>
        </is>
      </c>
      <c r="S1463" t="n">
        <v>1</v>
      </c>
      <c r="T1463" t="inlineStr">
        <is>
          <t>LOW (40%)</t>
        </is>
      </c>
      <c r="U1463" t="inlineStr">
        <is>
          <t>NONE</t>
        </is>
      </c>
      <c r="V1463" t="inlineStr">
        <is>
          <t>NONE</t>
        </is>
      </c>
      <c r="W1463" t="inlineStr">
        <is>
          <t>NONE</t>
        </is>
      </c>
      <c r="X1463" t="inlineStr">
        <is>
          <t>NONE</t>
        </is>
      </c>
      <c r="Y1463" t="n">
        <v>0</v>
      </c>
      <c r="Z1463" t="inlineStr"/>
      <c r="AA1463" t="inlineStr">
        <is>
          <t>https://threatfox.abuse.ch/ioc/1753827/</t>
        </is>
      </c>
    </row>
    <row r="1464">
      <c r="A1464" t="inlineStr">
        <is>
          <t>THREATFOX_IOC</t>
        </is>
      </c>
      <c r="B1464" t="inlineStr">
        <is>
          <t>1753826</t>
        </is>
      </c>
      <c r="C1464" t="inlineStr">
        <is>
          <t>domain IOC:  | Malware: ClearFake | Confidence: 100%</t>
        </is>
      </c>
      <c r="D1464" t="n">
        <v>7.5</v>
      </c>
      <c r="E1464" t="inlineStr">
        <is>
          <t>HIGH</t>
        </is>
      </c>
      <c r="F1464" t="n">
        <v>3</v>
      </c>
      <c r="G1464" t="n">
        <v>2</v>
      </c>
      <c r="H1464" t="inlineStr">
        <is>
          <t>HIGH</t>
        </is>
      </c>
      <c r="I1464" t="n">
        <v>13.5</v>
      </c>
      <c r="J1464" t="inlineStr">
        <is>
          <t>NO</t>
        </is>
      </c>
      <c r="K1464" t="inlineStr">
        <is>
          <t>2026-02-23 21:14:10 UTC</t>
        </is>
      </c>
      <c r="L1464" t="inlineStr">
        <is>
          <t>Block IOC</t>
        </is>
      </c>
      <c r="M1464" t="inlineStr">
        <is>
          <t>payload_delivery</t>
        </is>
      </c>
      <c r="N1464" t="inlineStr">
        <is>
          <t>P3</t>
        </is>
      </c>
      <c r="O1464" t="inlineStr">
        <is>
          <t>Classification: Not checked | Context: Not enriched | Name: Not indexed</t>
        </is>
      </c>
      <c r="P1464" t="n">
        <v>0</v>
      </c>
      <c r="Q1464" t="n">
        <v>0</v>
      </c>
      <c r="R1464" t="inlineStr">
        <is>
          <t>T1071:Application Layer Protocol | T1102:Web Service</t>
        </is>
      </c>
      <c r="S1464" t="n">
        <v>1</v>
      </c>
      <c r="T1464" t="inlineStr">
        <is>
          <t>LOW (40%)</t>
        </is>
      </c>
      <c r="U1464" t="inlineStr">
        <is>
          <t>NONE</t>
        </is>
      </c>
      <c r="V1464" t="inlineStr">
        <is>
          <t>NONE</t>
        </is>
      </c>
      <c r="W1464" t="inlineStr">
        <is>
          <t>NONE</t>
        </is>
      </c>
      <c r="X1464" t="inlineStr">
        <is>
          <t>NONE</t>
        </is>
      </c>
      <c r="Y1464" t="n">
        <v>0</v>
      </c>
      <c r="Z1464" t="inlineStr"/>
      <c r="AA1464" t="inlineStr">
        <is>
          <t>https://threatfox.abuse.ch/ioc/1753826/</t>
        </is>
      </c>
    </row>
    <row r="1465">
      <c r="A1465" t="inlineStr">
        <is>
          <t>THREATFOX_IOC</t>
        </is>
      </c>
      <c r="B1465" t="inlineStr">
        <is>
          <t>1753825</t>
        </is>
      </c>
      <c r="C1465" t="inlineStr">
        <is>
          <t>domain IOC:  | Malware: ClearFake | Confidence: 100%</t>
        </is>
      </c>
      <c r="D1465" t="n">
        <v>7.5</v>
      </c>
      <c r="E1465" t="inlineStr">
        <is>
          <t>HIGH</t>
        </is>
      </c>
      <c r="F1465" t="n">
        <v>3</v>
      </c>
      <c r="G1465" t="n">
        <v>2</v>
      </c>
      <c r="H1465" t="inlineStr">
        <is>
          <t>HIGH</t>
        </is>
      </c>
      <c r="I1465" t="n">
        <v>13.5</v>
      </c>
      <c r="J1465" t="inlineStr">
        <is>
          <t>NO</t>
        </is>
      </c>
      <c r="K1465" t="inlineStr">
        <is>
          <t>2026-02-23 21:04:33 UTC</t>
        </is>
      </c>
      <c r="L1465" t="inlineStr">
        <is>
          <t>Block IOC</t>
        </is>
      </c>
      <c r="M1465" t="inlineStr">
        <is>
          <t>payload_delivery</t>
        </is>
      </c>
      <c r="N1465" t="inlineStr">
        <is>
          <t>P3</t>
        </is>
      </c>
      <c r="O1465" t="inlineStr">
        <is>
          <t>Classification: Not checked | Context: Not enriched | Name: Not indexed</t>
        </is>
      </c>
      <c r="P1465" t="n">
        <v>0</v>
      </c>
      <c r="Q1465" t="n">
        <v>0</v>
      </c>
      <c r="R1465" t="inlineStr">
        <is>
          <t>T1071:Application Layer Protocol | T1102:Web Service</t>
        </is>
      </c>
      <c r="S1465" t="n">
        <v>1</v>
      </c>
      <c r="T1465" t="inlineStr">
        <is>
          <t>LOW (40%)</t>
        </is>
      </c>
      <c r="U1465" t="inlineStr">
        <is>
          <t>NONE</t>
        </is>
      </c>
      <c r="V1465" t="inlineStr">
        <is>
          <t>NONE</t>
        </is>
      </c>
      <c r="W1465" t="inlineStr">
        <is>
          <t>NONE</t>
        </is>
      </c>
      <c r="X1465" t="inlineStr">
        <is>
          <t>NONE</t>
        </is>
      </c>
      <c r="Y1465" t="n">
        <v>0</v>
      </c>
      <c r="Z1465" t="inlineStr"/>
      <c r="AA1465" t="inlineStr">
        <is>
          <t>https://threatfox.abuse.ch/ioc/1753825/</t>
        </is>
      </c>
    </row>
    <row r="1466">
      <c r="A1466" t="inlineStr">
        <is>
          <t>THREATFOX_IOC</t>
        </is>
      </c>
      <c r="B1466" t="inlineStr">
        <is>
          <t>1753824</t>
        </is>
      </c>
      <c r="C1466" t="inlineStr">
        <is>
          <t>domain IOC:  | Malware: DeerStealer | Confidence: 100%</t>
        </is>
      </c>
      <c r="D1466" t="n">
        <v>7.5</v>
      </c>
      <c r="E1466" t="inlineStr">
        <is>
          <t>HIGH</t>
        </is>
      </c>
      <c r="F1466" t="n">
        <v>3</v>
      </c>
      <c r="G1466" t="n">
        <v>2</v>
      </c>
      <c r="H1466" t="inlineStr">
        <is>
          <t>HIGH</t>
        </is>
      </c>
      <c r="I1466" t="n">
        <v>13.5</v>
      </c>
      <c r="J1466" t="inlineStr">
        <is>
          <t>NO</t>
        </is>
      </c>
      <c r="K1466" t="inlineStr">
        <is>
          <t>2026-02-23 21:03:18 UTC</t>
        </is>
      </c>
      <c r="L1466" t="inlineStr">
        <is>
          <t>Block IOC</t>
        </is>
      </c>
      <c r="M1466" t="inlineStr">
        <is>
          <t>botnet_cc</t>
        </is>
      </c>
      <c r="N1466" t="inlineStr">
        <is>
          <t>P3</t>
        </is>
      </c>
      <c r="O1466" t="inlineStr">
        <is>
          <t>Classification: Not checked | Context: Not enriched | Name: Not indexed</t>
        </is>
      </c>
      <c r="P1466" t="n">
        <v>0</v>
      </c>
      <c r="Q1466" t="n">
        <v>0</v>
      </c>
      <c r="R1466" t="inlineStr">
        <is>
          <t>T1071:Application Layer Protocol | T1102:Web Service</t>
        </is>
      </c>
      <c r="S1466" t="n">
        <v>1</v>
      </c>
      <c r="T1466" t="inlineStr">
        <is>
          <t>LOW (40%)</t>
        </is>
      </c>
      <c r="U1466" t="inlineStr">
        <is>
          <t>NONE</t>
        </is>
      </c>
      <c r="V1466" t="inlineStr">
        <is>
          <t>NONE</t>
        </is>
      </c>
      <c r="W1466" t="inlineStr">
        <is>
          <t>NONE</t>
        </is>
      </c>
      <c r="X1466" t="inlineStr">
        <is>
          <t>NONE</t>
        </is>
      </c>
      <c r="Y1466" t="n">
        <v>0</v>
      </c>
      <c r="Z1466" t="inlineStr"/>
      <c r="AA1466" t="inlineStr">
        <is>
          <t>https://threatfox.abuse.ch/ioc/1753824/</t>
        </is>
      </c>
    </row>
    <row r="1467">
      <c r="A1467" t="inlineStr">
        <is>
          <t>THREATFOX_IOC</t>
        </is>
      </c>
      <c r="B1467" t="inlineStr">
        <is>
          <t>1753823</t>
        </is>
      </c>
      <c r="C1467" t="inlineStr">
        <is>
          <t>domain IOC:  | Malware: DeerStealer | Confidence: 100%</t>
        </is>
      </c>
      <c r="D1467" t="n">
        <v>7.5</v>
      </c>
      <c r="E1467" t="inlineStr">
        <is>
          <t>HIGH</t>
        </is>
      </c>
      <c r="F1467" t="n">
        <v>3</v>
      </c>
      <c r="G1467" t="n">
        <v>2</v>
      </c>
      <c r="H1467" t="inlineStr">
        <is>
          <t>HIGH</t>
        </is>
      </c>
      <c r="I1467" t="n">
        <v>13.5</v>
      </c>
      <c r="J1467" t="inlineStr">
        <is>
          <t>NO</t>
        </is>
      </c>
      <c r="K1467" t="inlineStr">
        <is>
          <t>2026-02-23 21:01:12 UTC</t>
        </is>
      </c>
      <c r="L1467" t="inlineStr">
        <is>
          <t>Block IOC</t>
        </is>
      </c>
      <c r="M1467" t="inlineStr">
        <is>
          <t>botnet_cc</t>
        </is>
      </c>
      <c r="N1467" t="inlineStr">
        <is>
          <t>P3</t>
        </is>
      </c>
      <c r="O1467" t="inlineStr">
        <is>
          <t>Classification: Not checked | Context: Not enriched | Name: Not indexed</t>
        </is>
      </c>
      <c r="P1467" t="n">
        <v>0</v>
      </c>
      <c r="Q1467" t="n">
        <v>0</v>
      </c>
      <c r="R1467" t="inlineStr">
        <is>
          <t>T1071:Application Layer Protocol | T1102:Web Service</t>
        </is>
      </c>
      <c r="S1467" t="n">
        <v>1</v>
      </c>
      <c r="T1467" t="inlineStr">
        <is>
          <t>LOW (40%)</t>
        </is>
      </c>
      <c r="U1467" t="inlineStr">
        <is>
          <t>NONE</t>
        </is>
      </c>
      <c r="V1467" t="inlineStr">
        <is>
          <t>NONE</t>
        </is>
      </c>
      <c r="W1467" t="inlineStr">
        <is>
          <t>NONE</t>
        </is>
      </c>
      <c r="X1467" t="inlineStr">
        <is>
          <t>NONE</t>
        </is>
      </c>
      <c r="Y1467" t="n">
        <v>0</v>
      </c>
      <c r="Z1467" t="inlineStr"/>
      <c r="AA1467" t="inlineStr">
        <is>
          <t>https://threatfox.abuse.ch/ioc/1753823/</t>
        </is>
      </c>
    </row>
    <row r="1468">
      <c r="A1468" t="inlineStr">
        <is>
          <t>THREATFOX_IOC</t>
        </is>
      </c>
      <c r="B1468" t="inlineStr">
        <is>
          <t>1753822</t>
        </is>
      </c>
      <c r="C1468" t="inlineStr">
        <is>
          <t>ip:port IOC:  | Malware: NonEuclid RAT | Confidence: 100%</t>
        </is>
      </c>
      <c r="D1468" t="n">
        <v>7.5</v>
      </c>
      <c r="E1468" t="inlineStr">
        <is>
          <t>HIGH</t>
        </is>
      </c>
      <c r="F1468" t="n">
        <v>3</v>
      </c>
      <c r="G1468" t="n">
        <v>2</v>
      </c>
      <c r="H1468" t="inlineStr">
        <is>
          <t>HIGH</t>
        </is>
      </c>
      <c r="I1468" t="n">
        <v>13.5</v>
      </c>
      <c r="J1468" t="inlineStr">
        <is>
          <t>NO</t>
        </is>
      </c>
      <c r="K1468" t="inlineStr">
        <is>
          <t>2026-02-23 21:00:20 UTC</t>
        </is>
      </c>
      <c r="L1468" t="inlineStr">
        <is>
          <t>Block IOC</t>
        </is>
      </c>
      <c r="M1468" t="inlineStr">
        <is>
          <t>botnet_cc</t>
        </is>
      </c>
      <c r="N1468" t="inlineStr">
        <is>
          <t>P3</t>
        </is>
      </c>
      <c r="O1468" t="inlineStr">
        <is>
          <t>Classification: isp-consumer | Context: 🌍 Egypt | Alexandria | 🏢 TE Data | ASN: AS8452 TE-AS | Name: TE Data</t>
        </is>
      </c>
      <c r="P1468" t="n">
        <v>0</v>
      </c>
      <c r="Q1468" t="n">
        <v>0</v>
      </c>
      <c r="R1468" t="inlineStr">
        <is>
          <t>T1071:Application Layer Protocol | T1102:Web Service</t>
        </is>
      </c>
      <c r="S1468" t="n">
        <v>1</v>
      </c>
      <c r="T1468" t="inlineStr">
        <is>
          <t>LOW (40%)</t>
        </is>
      </c>
      <c r="U1468" t="inlineStr">
        <is>
          <t>NONE</t>
        </is>
      </c>
      <c r="V1468" t="inlineStr">
        <is>
          <t>NONE</t>
        </is>
      </c>
      <c r="W1468" t="inlineStr">
        <is>
          <t>NONE</t>
        </is>
      </c>
      <c r="X1468" t="inlineStr">
        <is>
          <t>NONE</t>
        </is>
      </c>
      <c r="Y1468" t="n">
        <v>0</v>
      </c>
      <c r="Z1468" t="inlineStr"/>
      <c r="AA1468" t="inlineStr">
        <is>
          <t>https://threatfox.abuse.ch/ioc/1753822/</t>
        </is>
      </c>
    </row>
    <row r="1469">
      <c r="A1469" t="inlineStr">
        <is>
          <t>THREATFOX_IOC</t>
        </is>
      </c>
      <c r="B1469" t="inlineStr">
        <is>
          <t>1753821</t>
        </is>
      </c>
      <c r="C1469" t="inlineStr">
        <is>
          <t>domain IOC:  | Malware: ClearFake | Confidence: 100%</t>
        </is>
      </c>
      <c r="D1469" t="n">
        <v>7.5</v>
      </c>
      <c r="E1469" t="inlineStr">
        <is>
          <t>HIGH</t>
        </is>
      </c>
      <c r="F1469" t="n">
        <v>3</v>
      </c>
      <c r="G1469" t="n">
        <v>2</v>
      </c>
      <c r="H1469" t="inlineStr">
        <is>
          <t>HIGH</t>
        </is>
      </c>
      <c r="I1469" t="n">
        <v>13.5</v>
      </c>
      <c r="J1469" t="inlineStr">
        <is>
          <t>NO</t>
        </is>
      </c>
      <c r="K1469" t="inlineStr">
        <is>
          <t>2026-02-23 20:57:59 UTC</t>
        </is>
      </c>
      <c r="L1469" t="inlineStr">
        <is>
          <t>Block IOC</t>
        </is>
      </c>
      <c r="M1469" t="inlineStr">
        <is>
          <t>payload_delivery</t>
        </is>
      </c>
      <c r="N1469" t="inlineStr">
        <is>
          <t>P3</t>
        </is>
      </c>
      <c r="O1469" t="inlineStr">
        <is>
          <t>Classification: Not checked | Context: Not enriched | Name: Not indexed</t>
        </is>
      </c>
      <c r="P1469" t="n">
        <v>0</v>
      </c>
      <c r="Q1469" t="n">
        <v>0</v>
      </c>
      <c r="R1469" t="inlineStr">
        <is>
          <t>T1071:Application Layer Protocol | T1102:Web Service</t>
        </is>
      </c>
      <c r="S1469" t="n">
        <v>1</v>
      </c>
      <c r="T1469" t="inlineStr">
        <is>
          <t>LOW (40%)</t>
        </is>
      </c>
      <c r="U1469" t="inlineStr">
        <is>
          <t>NONE</t>
        </is>
      </c>
      <c r="V1469" t="inlineStr">
        <is>
          <t>NONE</t>
        </is>
      </c>
      <c r="W1469" t="inlineStr">
        <is>
          <t>NONE</t>
        </is>
      </c>
      <c r="X1469" t="inlineStr">
        <is>
          <t>NONE</t>
        </is>
      </c>
      <c r="Y1469" t="n">
        <v>0</v>
      </c>
      <c r="Z1469" t="inlineStr"/>
      <c r="AA1469" t="inlineStr">
        <is>
          <t>https://threatfox.abuse.ch/ioc/1753821/</t>
        </is>
      </c>
    </row>
    <row r="1470">
      <c r="A1470" t="inlineStr">
        <is>
          <t>THREATFOX_IOC</t>
        </is>
      </c>
      <c r="B1470" t="inlineStr">
        <is>
          <t>1753820</t>
        </is>
      </c>
      <c r="C1470" t="inlineStr">
        <is>
          <t>domain IOC:  | Malware: StrelaStealer | Confidence: 100%</t>
        </is>
      </c>
      <c r="D1470" t="n">
        <v>7.5</v>
      </c>
      <c r="E1470" t="inlineStr">
        <is>
          <t>HIGH</t>
        </is>
      </c>
      <c r="F1470" t="n">
        <v>3</v>
      </c>
      <c r="G1470" t="n">
        <v>2</v>
      </c>
      <c r="H1470" t="inlineStr">
        <is>
          <t>HIGH</t>
        </is>
      </c>
      <c r="I1470" t="n">
        <v>13.5</v>
      </c>
      <c r="J1470" t="inlineStr">
        <is>
          <t>NO</t>
        </is>
      </c>
      <c r="K1470" t="inlineStr">
        <is>
          <t>2026-02-23 20:56:55 UTC</t>
        </is>
      </c>
      <c r="L1470" t="inlineStr">
        <is>
          <t>Block IOC</t>
        </is>
      </c>
      <c r="M1470" t="inlineStr">
        <is>
          <t>payload_delivery</t>
        </is>
      </c>
      <c r="N1470" t="inlineStr">
        <is>
          <t>P3</t>
        </is>
      </c>
      <c r="O1470" t="inlineStr">
        <is>
          <t>Classification: Not checked | Context: Not enriched | Name: Not indexed</t>
        </is>
      </c>
      <c r="P1470" t="n">
        <v>0</v>
      </c>
      <c r="Q1470" t="n">
        <v>0</v>
      </c>
      <c r="R1470" t="inlineStr">
        <is>
          <t>T1071:Application Layer Protocol | T1102:Web Service</t>
        </is>
      </c>
      <c r="S1470" t="n">
        <v>1</v>
      </c>
      <c r="T1470" t="inlineStr">
        <is>
          <t>LOW (40%)</t>
        </is>
      </c>
      <c r="U1470" t="inlineStr">
        <is>
          <t>NONE</t>
        </is>
      </c>
      <c r="V1470" t="inlineStr">
        <is>
          <t>NONE</t>
        </is>
      </c>
      <c r="W1470" t="inlineStr">
        <is>
          <t>NONE</t>
        </is>
      </c>
      <c r="X1470" t="inlineStr">
        <is>
          <t>NONE</t>
        </is>
      </c>
      <c r="Y1470" t="n">
        <v>0</v>
      </c>
      <c r="Z1470" t="inlineStr"/>
      <c r="AA1470" t="inlineStr">
        <is>
          <t>https://threatfox.abuse.ch/ioc/1753820/</t>
        </is>
      </c>
    </row>
    <row r="1471">
      <c r="A1471" t="inlineStr">
        <is>
          <t>THREATFOX_IOC</t>
        </is>
      </c>
      <c r="B1471" t="inlineStr">
        <is>
          <t>1753819</t>
        </is>
      </c>
      <c r="C1471" t="inlineStr">
        <is>
          <t>domain IOC:  | Malware: StrelaStealer | Confidence: 100%</t>
        </is>
      </c>
      <c r="D1471" t="n">
        <v>7.5</v>
      </c>
      <c r="E1471" t="inlineStr">
        <is>
          <t>HIGH</t>
        </is>
      </c>
      <c r="F1471" t="n">
        <v>3</v>
      </c>
      <c r="G1471" t="n">
        <v>2</v>
      </c>
      <c r="H1471" t="inlineStr">
        <is>
          <t>HIGH</t>
        </is>
      </c>
      <c r="I1471" t="n">
        <v>13.5</v>
      </c>
      <c r="J1471" t="inlineStr">
        <is>
          <t>NO</t>
        </is>
      </c>
      <c r="K1471" t="inlineStr">
        <is>
          <t>2026-02-23 20:55:23 UTC</t>
        </is>
      </c>
      <c r="L1471" t="inlineStr">
        <is>
          <t>Block IOC</t>
        </is>
      </c>
      <c r="M1471" t="inlineStr">
        <is>
          <t>payload_delivery</t>
        </is>
      </c>
      <c r="N1471" t="inlineStr">
        <is>
          <t>P3</t>
        </is>
      </c>
      <c r="O1471" t="inlineStr">
        <is>
          <t>Classification: Not checked | Context: Not enriched | Name: Not indexed</t>
        </is>
      </c>
      <c r="P1471" t="n">
        <v>0</v>
      </c>
      <c r="Q1471" t="n">
        <v>0</v>
      </c>
      <c r="R1471" t="inlineStr">
        <is>
          <t>T1071:Application Layer Protocol | T1102:Web Service</t>
        </is>
      </c>
      <c r="S1471" t="n">
        <v>1</v>
      </c>
      <c r="T1471" t="inlineStr">
        <is>
          <t>LOW (40%)</t>
        </is>
      </c>
      <c r="U1471" t="inlineStr">
        <is>
          <t>NONE</t>
        </is>
      </c>
      <c r="V1471" t="inlineStr">
        <is>
          <t>NONE</t>
        </is>
      </c>
      <c r="W1471" t="inlineStr">
        <is>
          <t>NONE</t>
        </is>
      </c>
      <c r="X1471" t="inlineStr">
        <is>
          <t>NONE</t>
        </is>
      </c>
      <c r="Y1471" t="n">
        <v>0</v>
      </c>
      <c r="Z1471" t="inlineStr"/>
      <c r="AA1471" t="inlineStr">
        <is>
          <t>https://threatfox.abuse.ch/ioc/1753819/</t>
        </is>
      </c>
    </row>
    <row r="1472">
      <c r="A1472" t="inlineStr">
        <is>
          <t>THREATFOX_IOC</t>
        </is>
      </c>
      <c r="B1472" t="inlineStr">
        <is>
          <t>1753818</t>
        </is>
      </c>
      <c r="C1472" t="inlineStr">
        <is>
          <t>domain IOC:  | Malware: ClearFake | Confidence: 100%</t>
        </is>
      </c>
      <c r="D1472" t="n">
        <v>7.5</v>
      </c>
      <c r="E1472" t="inlineStr">
        <is>
          <t>HIGH</t>
        </is>
      </c>
      <c r="F1472" t="n">
        <v>3</v>
      </c>
      <c r="G1472" t="n">
        <v>2</v>
      </c>
      <c r="H1472" t="inlineStr">
        <is>
          <t>HIGH</t>
        </is>
      </c>
      <c r="I1472" t="n">
        <v>13.5</v>
      </c>
      <c r="J1472" t="inlineStr">
        <is>
          <t>NO</t>
        </is>
      </c>
      <c r="K1472" t="inlineStr">
        <is>
          <t>2026-02-23 20:51:35 UTC</t>
        </is>
      </c>
      <c r="L1472" t="inlineStr">
        <is>
          <t>Block IOC</t>
        </is>
      </c>
      <c r="M1472" t="inlineStr">
        <is>
          <t>payload_delivery</t>
        </is>
      </c>
      <c r="N1472" t="inlineStr">
        <is>
          <t>P3</t>
        </is>
      </c>
      <c r="O1472" t="inlineStr">
        <is>
          <t>Classification: Not checked | Context: Not enriched | Name: Not indexed</t>
        </is>
      </c>
      <c r="P1472" t="n">
        <v>0</v>
      </c>
      <c r="Q1472" t="n">
        <v>0</v>
      </c>
      <c r="R1472" t="inlineStr">
        <is>
          <t>T1071:Application Layer Protocol | T1102:Web Service</t>
        </is>
      </c>
      <c r="S1472" t="n">
        <v>1</v>
      </c>
      <c r="T1472" t="inlineStr">
        <is>
          <t>LOW (40%)</t>
        </is>
      </c>
      <c r="U1472" t="inlineStr">
        <is>
          <t>NONE</t>
        </is>
      </c>
      <c r="V1472" t="inlineStr">
        <is>
          <t>NONE</t>
        </is>
      </c>
      <c r="W1472" t="inlineStr">
        <is>
          <t>NONE</t>
        </is>
      </c>
      <c r="X1472" t="inlineStr">
        <is>
          <t>NONE</t>
        </is>
      </c>
      <c r="Y1472" t="n">
        <v>0</v>
      </c>
      <c r="Z1472" t="inlineStr"/>
      <c r="AA1472" t="inlineStr">
        <is>
          <t>https://threatfox.abuse.ch/ioc/1753818/</t>
        </is>
      </c>
    </row>
    <row r="1473">
      <c r="A1473" t="inlineStr">
        <is>
          <t>THREATFOX_IOC</t>
        </is>
      </c>
      <c r="B1473" t="inlineStr">
        <is>
          <t>1753817</t>
        </is>
      </c>
      <c r="C1473" t="inlineStr">
        <is>
          <t>domain IOC:  | Malware: ClearFake | Confidence: 100%</t>
        </is>
      </c>
      <c r="D1473" t="n">
        <v>7.5</v>
      </c>
      <c r="E1473" t="inlineStr">
        <is>
          <t>HIGH</t>
        </is>
      </c>
      <c r="F1473" t="n">
        <v>3</v>
      </c>
      <c r="G1473" t="n">
        <v>2</v>
      </c>
      <c r="H1473" t="inlineStr">
        <is>
          <t>HIGH</t>
        </is>
      </c>
      <c r="I1473" t="n">
        <v>13.5</v>
      </c>
      <c r="J1473" t="inlineStr">
        <is>
          <t>NO</t>
        </is>
      </c>
      <c r="K1473" t="inlineStr">
        <is>
          <t>2026-02-23 20:41:13 UTC</t>
        </is>
      </c>
      <c r="L1473" t="inlineStr">
        <is>
          <t>Block IOC</t>
        </is>
      </c>
      <c r="M1473" t="inlineStr">
        <is>
          <t>payload_delivery</t>
        </is>
      </c>
      <c r="N1473" t="inlineStr">
        <is>
          <t>P3</t>
        </is>
      </c>
      <c r="O1473" t="inlineStr">
        <is>
          <t>Classification: Not checked | Context: Not enriched | Name: Not indexed</t>
        </is>
      </c>
      <c r="P1473" t="n">
        <v>0</v>
      </c>
      <c r="Q1473" t="n">
        <v>0</v>
      </c>
      <c r="R1473" t="inlineStr">
        <is>
          <t>T1071:Application Layer Protocol | T1102:Web Service</t>
        </is>
      </c>
      <c r="S1473" t="n">
        <v>1</v>
      </c>
      <c r="T1473" t="inlineStr">
        <is>
          <t>LOW (40%)</t>
        </is>
      </c>
      <c r="U1473" t="inlineStr">
        <is>
          <t>NONE</t>
        </is>
      </c>
      <c r="V1473" t="inlineStr">
        <is>
          <t>NONE</t>
        </is>
      </c>
      <c r="W1473" t="inlineStr">
        <is>
          <t>NONE</t>
        </is>
      </c>
      <c r="X1473" t="inlineStr">
        <is>
          <t>NONE</t>
        </is>
      </c>
      <c r="Y1473" t="n">
        <v>0</v>
      </c>
      <c r="Z1473" t="inlineStr"/>
      <c r="AA1473" t="inlineStr">
        <is>
          <t>https://threatfox.abuse.ch/ioc/1753817/</t>
        </is>
      </c>
    </row>
    <row r="1474">
      <c r="A1474" t="inlineStr">
        <is>
          <t>THREATFOX_IOC</t>
        </is>
      </c>
      <c r="B1474" t="inlineStr">
        <is>
          <t>1753816</t>
        </is>
      </c>
      <c r="C1474" t="inlineStr">
        <is>
          <t>domain IOC:  | Malware: StrelaStealer | Confidence: 100%</t>
        </is>
      </c>
      <c r="D1474" t="n">
        <v>7.5</v>
      </c>
      <c r="E1474" t="inlineStr">
        <is>
          <t>HIGH</t>
        </is>
      </c>
      <c r="F1474" t="n">
        <v>3</v>
      </c>
      <c r="G1474" t="n">
        <v>2</v>
      </c>
      <c r="H1474" t="inlineStr">
        <is>
          <t>HIGH</t>
        </is>
      </c>
      <c r="I1474" t="n">
        <v>13.5</v>
      </c>
      <c r="J1474" t="inlineStr">
        <is>
          <t>NO</t>
        </is>
      </c>
      <c r="K1474" t="inlineStr">
        <is>
          <t>2026-02-23 20:37:38 UTC</t>
        </is>
      </c>
      <c r="L1474" t="inlineStr">
        <is>
          <t>Block IOC</t>
        </is>
      </c>
      <c r="M1474" t="inlineStr">
        <is>
          <t>payload_delivery</t>
        </is>
      </c>
      <c r="N1474" t="inlineStr">
        <is>
          <t>P3</t>
        </is>
      </c>
      <c r="O1474" t="inlineStr">
        <is>
          <t>Classification: Not checked | Context: Not enriched | Name: Not indexed</t>
        </is>
      </c>
      <c r="P1474" t="n">
        <v>0</v>
      </c>
      <c r="Q1474" t="n">
        <v>0</v>
      </c>
      <c r="R1474" t="inlineStr">
        <is>
          <t>T1071:Application Layer Protocol | T1102:Web Service</t>
        </is>
      </c>
      <c r="S1474" t="n">
        <v>1</v>
      </c>
      <c r="T1474" t="inlineStr">
        <is>
          <t>LOW (40%)</t>
        </is>
      </c>
      <c r="U1474" t="inlineStr">
        <is>
          <t>NONE</t>
        </is>
      </c>
      <c r="V1474" t="inlineStr">
        <is>
          <t>NONE</t>
        </is>
      </c>
      <c r="W1474" t="inlineStr">
        <is>
          <t>NONE</t>
        </is>
      </c>
      <c r="X1474" t="inlineStr">
        <is>
          <t>NONE</t>
        </is>
      </c>
      <c r="Y1474" t="n">
        <v>0</v>
      </c>
      <c r="Z1474" t="inlineStr"/>
      <c r="AA1474" t="inlineStr">
        <is>
          <t>https://threatfox.abuse.ch/ioc/1753816/</t>
        </is>
      </c>
    </row>
    <row r="1475">
      <c r="A1475" t="inlineStr">
        <is>
          <t>THREATFOX_IOC</t>
        </is>
      </c>
      <c r="B1475" t="inlineStr">
        <is>
          <t>1753815</t>
        </is>
      </c>
      <c r="C1475" t="inlineStr">
        <is>
          <t>ip:port IOC:  | Malware: XWorm | Confidence: 100%</t>
        </is>
      </c>
      <c r="D1475" t="n">
        <v>7.5</v>
      </c>
      <c r="E1475" t="inlineStr">
        <is>
          <t>HIGH</t>
        </is>
      </c>
      <c r="F1475" t="n">
        <v>3</v>
      </c>
      <c r="G1475" t="n">
        <v>2</v>
      </c>
      <c r="H1475" t="inlineStr">
        <is>
          <t>HIGH</t>
        </is>
      </c>
      <c r="I1475" t="n">
        <v>13.5</v>
      </c>
      <c r="J1475" t="inlineStr">
        <is>
          <t>NO</t>
        </is>
      </c>
      <c r="K1475" t="inlineStr">
        <is>
          <t>2026-02-23 20:35:37 UTC</t>
        </is>
      </c>
      <c r="L1475" t="inlineStr">
        <is>
          <t>Block IOC</t>
        </is>
      </c>
      <c r="M1475" t="inlineStr">
        <is>
          <t>botnet_cc</t>
        </is>
      </c>
      <c r="N1475" t="inlineStr">
        <is>
          <t>P3</t>
        </is>
      </c>
      <c r="O1475" t="inlineStr">
        <is>
          <t>Classification: isp-consumer | Context: 🌍 Egypt | Alexandria | 🏢 TE Data | ASN: AS8452 TE-AS | Name: TE Data</t>
        </is>
      </c>
      <c r="P1475" t="n">
        <v>0</v>
      </c>
      <c r="Q1475" t="n">
        <v>0</v>
      </c>
      <c r="R1475" t="inlineStr">
        <is>
          <t>T1071:Application Layer Protocol | T1102:Web Service</t>
        </is>
      </c>
      <c r="S1475" t="n">
        <v>1</v>
      </c>
      <c r="T1475" t="inlineStr">
        <is>
          <t>LOW (40%)</t>
        </is>
      </c>
      <c r="U1475" t="inlineStr">
        <is>
          <t>NONE</t>
        </is>
      </c>
      <c r="V1475" t="inlineStr">
        <is>
          <t>NONE</t>
        </is>
      </c>
      <c r="W1475" t="inlineStr">
        <is>
          <t>NONE</t>
        </is>
      </c>
      <c r="X1475" t="inlineStr">
        <is>
          <t>NONE</t>
        </is>
      </c>
      <c r="Y1475" t="n">
        <v>0</v>
      </c>
      <c r="Z1475" t="inlineStr"/>
      <c r="AA1475" t="inlineStr">
        <is>
          <t>https://threatfox.abuse.ch/ioc/1753815/</t>
        </is>
      </c>
    </row>
    <row r="1476">
      <c r="A1476" t="inlineStr">
        <is>
          <t>THREATFOX_IOC</t>
        </is>
      </c>
      <c r="B1476" t="inlineStr">
        <is>
          <t>1753814</t>
        </is>
      </c>
      <c r="C1476" t="inlineStr">
        <is>
          <t>domain IOC:  | Malware: Remcos | Confidence: 100%</t>
        </is>
      </c>
      <c r="D1476" t="n">
        <v>7.5</v>
      </c>
      <c r="E1476" t="inlineStr">
        <is>
          <t>HIGH</t>
        </is>
      </c>
      <c r="F1476" t="n">
        <v>3</v>
      </c>
      <c r="G1476" t="n">
        <v>2</v>
      </c>
      <c r="H1476" t="inlineStr">
        <is>
          <t>HIGH</t>
        </is>
      </c>
      <c r="I1476" t="n">
        <v>13.5</v>
      </c>
      <c r="J1476" t="inlineStr">
        <is>
          <t>NO</t>
        </is>
      </c>
      <c r="K1476" t="inlineStr">
        <is>
          <t>2026-02-23 20:34:24 UTC</t>
        </is>
      </c>
      <c r="L1476" t="inlineStr">
        <is>
          <t>Block IOC</t>
        </is>
      </c>
      <c r="M1476" t="inlineStr">
        <is>
          <t>botnet_cc</t>
        </is>
      </c>
      <c r="N1476" t="inlineStr">
        <is>
          <t>P3</t>
        </is>
      </c>
      <c r="O1476" t="inlineStr">
        <is>
          <t>Classification: Not checked | Context: Not enriched | Name: Not indexed</t>
        </is>
      </c>
      <c r="P1476" t="n">
        <v>0</v>
      </c>
      <c r="Q1476" t="n">
        <v>0</v>
      </c>
      <c r="R1476" t="inlineStr">
        <is>
          <t>T1071:Application Layer Protocol | T1102:Web Service</t>
        </is>
      </c>
      <c r="S1476" t="n">
        <v>1</v>
      </c>
      <c r="T1476" t="inlineStr">
        <is>
          <t>LOW (40%)</t>
        </is>
      </c>
      <c r="U1476" t="inlineStr">
        <is>
          <t>NONE</t>
        </is>
      </c>
      <c r="V1476" t="inlineStr">
        <is>
          <t>NONE</t>
        </is>
      </c>
      <c r="W1476" t="inlineStr">
        <is>
          <t>NONE</t>
        </is>
      </c>
      <c r="X1476" t="inlineStr">
        <is>
          <t>NONE</t>
        </is>
      </c>
      <c r="Y1476" t="n">
        <v>0</v>
      </c>
      <c r="Z1476" t="inlineStr"/>
      <c r="AA1476" t="inlineStr">
        <is>
          <t>https://threatfox.abuse.ch/ioc/1753814/</t>
        </is>
      </c>
    </row>
    <row r="1477">
      <c r="A1477" t="inlineStr">
        <is>
          <t>THREATFOX_IOC</t>
        </is>
      </c>
      <c r="B1477" t="inlineStr">
        <is>
          <t>1753813</t>
        </is>
      </c>
      <c r="C1477" t="inlineStr">
        <is>
          <t>domain IOC:  | Malware: ClearFake | Confidence: 100%</t>
        </is>
      </c>
      <c r="D1477" t="n">
        <v>7.5</v>
      </c>
      <c r="E1477" t="inlineStr">
        <is>
          <t>HIGH</t>
        </is>
      </c>
      <c r="F1477" t="n">
        <v>3</v>
      </c>
      <c r="G1477" t="n">
        <v>2</v>
      </c>
      <c r="H1477" t="inlineStr">
        <is>
          <t>HIGH</t>
        </is>
      </c>
      <c r="I1477" t="n">
        <v>13.5</v>
      </c>
      <c r="J1477" t="inlineStr">
        <is>
          <t>NO</t>
        </is>
      </c>
      <c r="K1477" t="inlineStr">
        <is>
          <t>2026-02-23 20:34:09 UTC</t>
        </is>
      </c>
      <c r="L1477" t="inlineStr">
        <is>
          <t>Block IOC</t>
        </is>
      </c>
      <c r="M1477" t="inlineStr">
        <is>
          <t>payload_delivery</t>
        </is>
      </c>
      <c r="N1477" t="inlineStr">
        <is>
          <t>P3</t>
        </is>
      </c>
      <c r="O1477" t="inlineStr">
        <is>
          <t>Classification: Not checked | Context: Not enriched | Name: Not indexed</t>
        </is>
      </c>
      <c r="P1477" t="n">
        <v>0</v>
      </c>
      <c r="Q1477" t="n">
        <v>0</v>
      </c>
      <c r="R1477" t="inlineStr">
        <is>
          <t>T1071:Application Layer Protocol | T1102:Web Service</t>
        </is>
      </c>
      <c r="S1477" t="n">
        <v>1</v>
      </c>
      <c r="T1477" t="inlineStr">
        <is>
          <t>LOW (40%)</t>
        </is>
      </c>
      <c r="U1477" t="inlineStr">
        <is>
          <t>NONE</t>
        </is>
      </c>
      <c r="V1477" t="inlineStr">
        <is>
          <t>NONE</t>
        </is>
      </c>
      <c r="W1477" t="inlineStr">
        <is>
          <t>NONE</t>
        </is>
      </c>
      <c r="X1477" t="inlineStr">
        <is>
          <t>NONE</t>
        </is>
      </c>
      <c r="Y1477" t="n">
        <v>0</v>
      </c>
      <c r="Z1477" t="inlineStr"/>
      <c r="AA1477" t="inlineStr">
        <is>
          <t>https://threatfox.abuse.ch/ioc/1753813/</t>
        </is>
      </c>
    </row>
    <row r="1478">
      <c r="A1478" t="inlineStr">
        <is>
          <t>THREATFOX_IOC</t>
        </is>
      </c>
      <c r="B1478" t="inlineStr">
        <is>
          <t>1753812</t>
        </is>
      </c>
      <c r="C1478" t="inlineStr">
        <is>
          <t>domain IOC:  | Malware: StrelaStealer | Confidence: 100%</t>
        </is>
      </c>
      <c r="D1478" t="n">
        <v>7.5</v>
      </c>
      <c r="E1478" t="inlineStr">
        <is>
          <t>HIGH</t>
        </is>
      </c>
      <c r="F1478" t="n">
        <v>3</v>
      </c>
      <c r="G1478" t="n">
        <v>2</v>
      </c>
      <c r="H1478" t="inlineStr">
        <is>
          <t>HIGH</t>
        </is>
      </c>
      <c r="I1478" t="n">
        <v>13.5</v>
      </c>
      <c r="J1478" t="inlineStr">
        <is>
          <t>NO</t>
        </is>
      </c>
      <c r="K1478" t="inlineStr">
        <is>
          <t>2026-02-23 20:16:35 UTC</t>
        </is>
      </c>
      <c r="L1478" t="inlineStr">
        <is>
          <t>Block IOC</t>
        </is>
      </c>
      <c r="M1478" t="inlineStr">
        <is>
          <t>payload_delivery</t>
        </is>
      </c>
      <c r="N1478" t="inlineStr">
        <is>
          <t>P3</t>
        </is>
      </c>
      <c r="O1478" t="inlineStr">
        <is>
          <t>Classification: Not checked | Context: Not enriched | Name: Not indexed</t>
        </is>
      </c>
      <c r="P1478" t="n">
        <v>0</v>
      </c>
      <c r="Q1478" t="n">
        <v>0</v>
      </c>
      <c r="R1478" t="inlineStr">
        <is>
          <t>T1071:Application Layer Protocol | T1102:Web Service</t>
        </is>
      </c>
      <c r="S1478" t="n">
        <v>1</v>
      </c>
      <c r="T1478" t="inlineStr">
        <is>
          <t>LOW (40%)</t>
        </is>
      </c>
      <c r="U1478" t="inlineStr">
        <is>
          <t>NONE</t>
        </is>
      </c>
      <c r="V1478" t="inlineStr">
        <is>
          <t>NONE</t>
        </is>
      </c>
      <c r="W1478" t="inlineStr">
        <is>
          <t>NONE</t>
        </is>
      </c>
      <c r="X1478" t="inlineStr">
        <is>
          <t>NONE</t>
        </is>
      </c>
      <c r="Y1478" t="n">
        <v>0</v>
      </c>
      <c r="Z1478" t="inlineStr"/>
      <c r="AA1478" t="inlineStr">
        <is>
          <t>https://threatfox.abuse.ch/ioc/1753812/</t>
        </is>
      </c>
    </row>
    <row r="1479">
      <c r="A1479" t="inlineStr">
        <is>
          <t>THREATFOX_IOC</t>
        </is>
      </c>
      <c r="B1479" t="inlineStr">
        <is>
          <t>1753811</t>
        </is>
      </c>
      <c r="C1479" t="inlineStr">
        <is>
          <t>domain IOC:  | Malware: ClearFake | Confidence: 100%</t>
        </is>
      </c>
      <c r="D1479" t="n">
        <v>7.5</v>
      </c>
      <c r="E1479" t="inlineStr">
        <is>
          <t>HIGH</t>
        </is>
      </c>
      <c r="F1479" t="n">
        <v>3</v>
      </c>
      <c r="G1479" t="n">
        <v>2</v>
      </c>
      <c r="H1479" t="inlineStr">
        <is>
          <t>HIGH</t>
        </is>
      </c>
      <c r="I1479" t="n">
        <v>13.5</v>
      </c>
      <c r="J1479" t="inlineStr">
        <is>
          <t>NO</t>
        </is>
      </c>
      <c r="K1479" t="inlineStr">
        <is>
          <t>2026-02-23 20:16:09 UTC</t>
        </is>
      </c>
      <c r="L1479" t="inlineStr">
        <is>
          <t>Block IOC</t>
        </is>
      </c>
      <c r="M1479" t="inlineStr">
        <is>
          <t>payload_delivery</t>
        </is>
      </c>
      <c r="N1479" t="inlineStr">
        <is>
          <t>P3</t>
        </is>
      </c>
      <c r="O1479" t="inlineStr">
        <is>
          <t>Classification: Not checked | Context: Not enriched | Name: Not indexed</t>
        </is>
      </c>
      <c r="P1479" t="n">
        <v>0</v>
      </c>
      <c r="Q1479" t="n">
        <v>0</v>
      </c>
      <c r="R1479" t="inlineStr">
        <is>
          <t>T1071:Application Layer Protocol | T1102:Web Service</t>
        </is>
      </c>
      <c r="S1479" t="n">
        <v>1</v>
      </c>
      <c r="T1479" t="inlineStr">
        <is>
          <t>LOW (40%)</t>
        </is>
      </c>
      <c r="U1479" t="inlineStr">
        <is>
          <t>NONE</t>
        </is>
      </c>
      <c r="V1479" t="inlineStr">
        <is>
          <t>NONE</t>
        </is>
      </c>
      <c r="W1479" t="inlineStr">
        <is>
          <t>NONE</t>
        </is>
      </c>
      <c r="X1479" t="inlineStr">
        <is>
          <t>NONE</t>
        </is>
      </c>
      <c r="Y1479" t="n">
        <v>0</v>
      </c>
      <c r="Z1479" t="inlineStr"/>
      <c r="AA1479" t="inlineStr">
        <is>
          <t>https://threatfox.abuse.ch/ioc/1753811/</t>
        </is>
      </c>
    </row>
    <row r="1480">
      <c r="A1480" t="inlineStr">
        <is>
          <t>THREATFOX_IOC</t>
        </is>
      </c>
      <c r="B1480" t="inlineStr">
        <is>
          <t>1753810</t>
        </is>
      </c>
      <c r="C1480" t="inlineStr">
        <is>
          <t>domain IOC:  | Malware: Remcos | Confidence: 100%</t>
        </is>
      </c>
      <c r="D1480" t="n">
        <v>7.5</v>
      </c>
      <c r="E1480" t="inlineStr">
        <is>
          <t>HIGH</t>
        </is>
      </c>
      <c r="F1480" t="n">
        <v>3</v>
      </c>
      <c r="G1480" t="n">
        <v>2</v>
      </c>
      <c r="H1480" t="inlineStr">
        <is>
          <t>HIGH</t>
        </is>
      </c>
      <c r="I1480" t="n">
        <v>13.5</v>
      </c>
      <c r="J1480" t="inlineStr">
        <is>
          <t>NO</t>
        </is>
      </c>
      <c r="K1480" t="inlineStr">
        <is>
          <t>2026-02-23 20:09:28 UTC</t>
        </is>
      </c>
      <c r="L1480" t="inlineStr">
        <is>
          <t>Block IOC</t>
        </is>
      </c>
      <c r="M1480" t="inlineStr">
        <is>
          <t>botnet_cc</t>
        </is>
      </c>
      <c r="N1480" t="inlineStr">
        <is>
          <t>P3</t>
        </is>
      </c>
      <c r="O1480" t="inlineStr">
        <is>
          <t>Classification: skipped | Context: Skipped (20/run IOC cap) | Name: N/A</t>
        </is>
      </c>
      <c r="P1480" t="n">
        <v>0</v>
      </c>
      <c r="Q1480" t="n">
        <v>0</v>
      </c>
      <c r="R1480" t="inlineStr">
        <is>
          <t>T1071:Application Layer Protocol | T1102:Web Service</t>
        </is>
      </c>
      <c r="S1480" t="n">
        <v>1</v>
      </c>
      <c r="T1480" t="inlineStr">
        <is>
          <t>LOW (40%)</t>
        </is>
      </c>
      <c r="U1480" t="inlineStr">
        <is>
          <t>NONE</t>
        </is>
      </c>
      <c r="V1480" t="inlineStr">
        <is>
          <t>NONE</t>
        </is>
      </c>
      <c r="W1480" t="inlineStr">
        <is>
          <t>NONE</t>
        </is>
      </c>
      <c r="X1480" t="inlineStr">
        <is>
          <t>NONE</t>
        </is>
      </c>
      <c r="Y1480" t="n">
        <v>0</v>
      </c>
      <c r="Z1480" t="inlineStr"/>
      <c r="AA1480" t="inlineStr">
        <is>
          <t>https://threatfox.abuse.ch/ioc/1753810/</t>
        </is>
      </c>
    </row>
    <row r="1481">
      <c r="A1481" t="inlineStr">
        <is>
          <t>THREATFOX_IOC</t>
        </is>
      </c>
      <c r="B1481" t="inlineStr">
        <is>
          <t>1753809</t>
        </is>
      </c>
      <c r="C1481" t="inlineStr">
        <is>
          <t>domain IOC:  | Malware: Remcos | Confidence: 100%</t>
        </is>
      </c>
      <c r="D1481" t="n">
        <v>7.5</v>
      </c>
      <c r="E1481" t="inlineStr">
        <is>
          <t>HIGH</t>
        </is>
      </c>
      <c r="F1481" t="n">
        <v>3</v>
      </c>
      <c r="G1481" t="n">
        <v>2</v>
      </c>
      <c r="H1481" t="inlineStr">
        <is>
          <t>HIGH</t>
        </is>
      </c>
      <c r="I1481" t="n">
        <v>13.5</v>
      </c>
      <c r="J1481" t="inlineStr">
        <is>
          <t>NO</t>
        </is>
      </c>
      <c r="K1481" t="inlineStr">
        <is>
          <t>2026-02-23 20:03:40 UTC</t>
        </is>
      </c>
      <c r="L1481" t="inlineStr">
        <is>
          <t>Block IOC</t>
        </is>
      </c>
      <c r="M1481" t="inlineStr">
        <is>
          <t>botnet_cc</t>
        </is>
      </c>
      <c r="N1481" t="inlineStr">
        <is>
          <t>P3</t>
        </is>
      </c>
      <c r="O1481" t="inlineStr">
        <is>
          <t>Classification: skipped | Context: Skipped (20/run IOC cap) | Name: N/A</t>
        </is>
      </c>
      <c r="P1481" t="n">
        <v>0</v>
      </c>
      <c r="Q1481" t="n">
        <v>0</v>
      </c>
      <c r="R1481" t="inlineStr">
        <is>
          <t>T1071:Application Layer Protocol | T1102:Web Service</t>
        </is>
      </c>
      <c r="S1481" t="n">
        <v>1</v>
      </c>
      <c r="T1481" t="inlineStr">
        <is>
          <t>LOW (40%)</t>
        </is>
      </c>
      <c r="U1481" t="inlineStr">
        <is>
          <t>NONE</t>
        </is>
      </c>
      <c r="V1481" t="inlineStr">
        <is>
          <t>NONE</t>
        </is>
      </c>
      <c r="W1481" t="inlineStr">
        <is>
          <t>NONE</t>
        </is>
      </c>
      <c r="X1481" t="inlineStr">
        <is>
          <t>NONE</t>
        </is>
      </c>
      <c r="Y1481" t="n">
        <v>0</v>
      </c>
      <c r="Z1481" t="inlineStr"/>
      <c r="AA1481" t="inlineStr">
        <is>
          <t>https://threatfox.abuse.ch/ioc/1753809/</t>
        </is>
      </c>
    </row>
    <row r="1482">
      <c r="A1482" t="inlineStr">
        <is>
          <t>THREATFOX_IOC</t>
        </is>
      </c>
      <c r="B1482" t="inlineStr">
        <is>
          <t>1753808</t>
        </is>
      </c>
      <c r="C1482" t="inlineStr">
        <is>
          <t>ip:port IOC:  | Malware: Empire Downloader | Confidence: 100%</t>
        </is>
      </c>
      <c r="D1482" t="n">
        <v>7.5</v>
      </c>
      <c r="E1482" t="inlineStr">
        <is>
          <t>HIGH</t>
        </is>
      </c>
      <c r="F1482" t="n">
        <v>3</v>
      </c>
      <c r="G1482" t="n">
        <v>2</v>
      </c>
      <c r="H1482" t="inlineStr">
        <is>
          <t>HIGH</t>
        </is>
      </c>
      <c r="I1482" t="n">
        <v>13.5</v>
      </c>
      <c r="J1482" t="inlineStr">
        <is>
          <t>NO</t>
        </is>
      </c>
      <c r="K1482" t="inlineStr">
        <is>
          <t>2026-02-23 20:02:45 UTC</t>
        </is>
      </c>
      <c r="L1482" t="inlineStr">
        <is>
          <t>Block IOC</t>
        </is>
      </c>
      <c r="M1482" t="inlineStr">
        <is>
          <t>botnet_cc</t>
        </is>
      </c>
      <c r="N1482" t="inlineStr">
        <is>
          <t>P3</t>
        </is>
      </c>
      <c r="O1482" t="inlineStr">
        <is>
          <t>Classification: skipped | Context: Skipped (20/run IOC cap) | Name: N/A</t>
        </is>
      </c>
      <c r="P1482" t="n">
        <v>0</v>
      </c>
      <c r="Q1482" t="n">
        <v>0</v>
      </c>
      <c r="R1482" t="inlineStr">
        <is>
          <t>T1071:Application Layer Protocol | T1102:Web Service</t>
        </is>
      </c>
      <c r="S1482" t="n">
        <v>1</v>
      </c>
      <c r="T1482" t="inlineStr">
        <is>
          <t>LOW (40%)</t>
        </is>
      </c>
      <c r="U1482" t="inlineStr">
        <is>
          <t>NONE</t>
        </is>
      </c>
      <c r="V1482" t="inlineStr">
        <is>
          <t>NONE</t>
        </is>
      </c>
      <c r="W1482" t="inlineStr">
        <is>
          <t>NONE</t>
        </is>
      </c>
      <c r="X1482" t="inlineStr">
        <is>
          <t>NONE</t>
        </is>
      </c>
      <c r="Y1482" t="n">
        <v>0</v>
      </c>
      <c r="Z1482" t="inlineStr"/>
      <c r="AA1482" t="inlineStr">
        <is>
          <t>https://threatfox.abuse.ch/ioc/1753808/</t>
        </is>
      </c>
    </row>
    <row r="1483">
      <c r="A1483" t="inlineStr">
        <is>
          <t>THREATFOX_IOC</t>
        </is>
      </c>
      <c r="B1483" t="inlineStr">
        <is>
          <t>1753807</t>
        </is>
      </c>
      <c r="C1483" t="inlineStr">
        <is>
          <t>ip:port IOC:  | Malware: Meterpreter | Confidence: 100%</t>
        </is>
      </c>
      <c r="D1483" t="n">
        <v>7.5</v>
      </c>
      <c r="E1483" t="inlineStr">
        <is>
          <t>HIGH</t>
        </is>
      </c>
      <c r="F1483" t="n">
        <v>3</v>
      </c>
      <c r="G1483" t="n">
        <v>2</v>
      </c>
      <c r="H1483" t="inlineStr">
        <is>
          <t>HIGH</t>
        </is>
      </c>
      <c r="I1483" t="n">
        <v>13.5</v>
      </c>
      <c r="J1483" t="inlineStr">
        <is>
          <t>NO</t>
        </is>
      </c>
      <c r="K1483" t="inlineStr">
        <is>
          <t>2026-02-23 20:02:41 UTC</t>
        </is>
      </c>
      <c r="L1483" t="inlineStr">
        <is>
          <t>Block IOC</t>
        </is>
      </c>
      <c r="M1483" t="inlineStr">
        <is>
          <t>botnet_cc</t>
        </is>
      </c>
      <c r="N1483" t="inlineStr">
        <is>
          <t>P3</t>
        </is>
      </c>
      <c r="O1483" t="inlineStr">
        <is>
          <t>Classification: skipped | Context: Skipped (20/run IOC cap) | Name: N/A</t>
        </is>
      </c>
      <c r="P1483" t="n">
        <v>0</v>
      </c>
      <c r="Q1483" t="n">
        <v>0</v>
      </c>
      <c r="R1483" t="inlineStr">
        <is>
          <t>T1071:Application Layer Protocol | T1102:Web Service</t>
        </is>
      </c>
      <c r="S1483" t="n">
        <v>1</v>
      </c>
      <c r="T1483" t="inlineStr">
        <is>
          <t>LOW (40%)</t>
        </is>
      </c>
      <c r="U1483" t="inlineStr">
        <is>
          <t>NONE</t>
        </is>
      </c>
      <c r="V1483" t="inlineStr">
        <is>
          <t>NONE</t>
        </is>
      </c>
      <c r="W1483" t="inlineStr">
        <is>
          <t>NONE</t>
        </is>
      </c>
      <c r="X1483" t="inlineStr">
        <is>
          <t>NONE</t>
        </is>
      </c>
      <c r="Y1483" t="n">
        <v>0</v>
      </c>
      <c r="Z1483" t="inlineStr"/>
      <c r="AA1483" t="inlineStr">
        <is>
          <t>https://threatfox.abuse.ch/ioc/1753807/</t>
        </is>
      </c>
    </row>
    <row r="1484">
      <c r="A1484" t="inlineStr">
        <is>
          <t>THREATFOX_IOC</t>
        </is>
      </c>
      <c r="B1484" t="inlineStr">
        <is>
          <t>1753806</t>
        </is>
      </c>
      <c r="C1484" t="inlineStr">
        <is>
          <t>ip:port IOC:  | Malware: Meterpreter | Confidence: 100%</t>
        </is>
      </c>
      <c r="D1484" t="n">
        <v>7.5</v>
      </c>
      <c r="E1484" t="inlineStr">
        <is>
          <t>HIGH</t>
        </is>
      </c>
      <c r="F1484" t="n">
        <v>3</v>
      </c>
      <c r="G1484" t="n">
        <v>2</v>
      </c>
      <c r="H1484" t="inlineStr">
        <is>
          <t>HIGH</t>
        </is>
      </c>
      <c r="I1484" t="n">
        <v>13.5</v>
      </c>
      <c r="J1484" t="inlineStr">
        <is>
          <t>NO</t>
        </is>
      </c>
      <c r="K1484" t="inlineStr">
        <is>
          <t>2026-02-23 20:02:40 UTC</t>
        </is>
      </c>
      <c r="L1484" t="inlineStr">
        <is>
          <t>Block IOC</t>
        </is>
      </c>
      <c r="M1484" t="inlineStr">
        <is>
          <t>botnet_cc</t>
        </is>
      </c>
      <c r="N1484" t="inlineStr">
        <is>
          <t>P3</t>
        </is>
      </c>
      <c r="O1484" t="inlineStr">
        <is>
          <t>Classification: skipped | Context: Skipped (20/run IOC cap) | Name: N/A</t>
        </is>
      </c>
      <c r="P1484" t="n">
        <v>0</v>
      </c>
      <c r="Q1484" t="n">
        <v>0</v>
      </c>
      <c r="R1484" t="inlineStr">
        <is>
          <t>T1071:Application Layer Protocol | T1102:Web Service</t>
        </is>
      </c>
      <c r="S1484" t="n">
        <v>1</v>
      </c>
      <c r="T1484" t="inlineStr">
        <is>
          <t>LOW (40%)</t>
        </is>
      </c>
      <c r="U1484" t="inlineStr">
        <is>
          <t>NONE</t>
        </is>
      </c>
      <c r="V1484" t="inlineStr">
        <is>
          <t>NONE</t>
        </is>
      </c>
      <c r="W1484" t="inlineStr">
        <is>
          <t>NONE</t>
        </is>
      </c>
      <c r="X1484" t="inlineStr">
        <is>
          <t>NONE</t>
        </is>
      </c>
      <c r="Y1484" t="n">
        <v>0</v>
      </c>
      <c r="Z1484" t="inlineStr"/>
      <c r="AA1484" t="inlineStr">
        <is>
          <t>https://threatfox.abuse.ch/ioc/1753806/</t>
        </is>
      </c>
    </row>
    <row r="1485">
      <c r="A1485" t="inlineStr">
        <is>
          <t>THREATFOX_IOC</t>
        </is>
      </c>
      <c r="B1485" t="inlineStr">
        <is>
          <t>1753805</t>
        </is>
      </c>
      <c r="C1485" t="inlineStr">
        <is>
          <t>ip:port IOC:  | Malware: Meterpreter | Confidence: 100%</t>
        </is>
      </c>
      <c r="D1485" t="n">
        <v>7.5</v>
      </c>
      <c r="E1485" t="inlineStr">
        <is>
          <t>HIGH</t>
        </is>
      </c>
      <c r="F1485" t="n">
        <v>3</v>
      </c>
      <c r="G1485" t="n">
        <v>2</v>
      </c>
      <c r="H1485" t="inlineStr">
        <is>
          <t>HIGH</t>
        </is>
      </c>
      <c r="I1485" t="n">
        <v>13.5</v>
      </c>
      <c r="J1485" t="inlineStr">
        <is>
          <t>NO</t>
        </is>
      </c>
      <c r="K1485" t="inlineStr">
        <is>
          <t>2026-02-23 20:02:38 UTC</t>
        </is>
      </c>
      <c r="L1485" t="inlineStr">
        <is>
          <t>Block IOC</t>
        </is>
      </c>
      <c r="M1485" t="inlineStr">
        <is>
          <t>botnet_cc</t>
        </is>
      </c>
      <c r="N1485" t="inlineStr">
        <is>
          <t>P3</t>
        </is>
      </c>
      <c r="O1485" t="inlineStr">
        <is>
          <t>Classification: skipped | Context: Skipped (20/run IOC cap) | Name: N/A</t>
        </is>
      </c>
      <c r="P1485" t="n">
        <v>0</v>
      </c>
      <c r="Q1485" t="n">
        <v>0</v>
      </c>
      <c r="R1485" t="inlineStr">
        <is>
          <t>T1071:Application Layer Protocol | T1102:Web Service</t>
        </is>
      </c>
      <c r="S1485" t="n">
        <v>1</v>
      </c>
      <c r="T1485" t="inlineStr">
        <is>
          <t>LOW (40%)</t>
        </is>
      </c>
      <c r="U1485" t="inlineStr">
        <is>
          <t>NONE</t>
        </is>
      </c>
      <c r="V1485" t="inlineStr">
        <is>
          <t>NONE</t>
        </is>
      </c>
      <c r="W1485" t="inlineStr">
        <is>
          <t>NONE</t>
        </is>
      </c>
      <c r="X1485" t="inlineStr">
        <is>
          <t>NONE</t>
        </is>
      </c>
      <c r="Y1485" t="n">
        <v>0</v>
      </c>
      <c r="Z1485" t="inlineStr"/>
      <c r="AA1485" t="inlineStr">
        <is>
          <t>https://threatfox.abuse.ch/ioc/1753805/</t>
        </is>
      </c>
    </row>
    <row r="1486">
      <c r="A1486" t="inlineStr">
        <is>
          <t>THREATFOX_IOC</t>
        </is>
      </c>
      <c r="B1486" t="inlineStr">
        <is>
          <t>1753804</t>
        </is>
      </c>
      <c r="C1486" t="inlineStr">
        <is>
          <t>ip:port IOC:  | Malware: AdaptixC2 | Confidence: 100%</t>
        </is>
      </c>
      <c r="D1486" t="n">
        <v>7.5</v>
      </c>
      <c r="E1486" t="inlineStr">
        <is>
          <t>HIGH</t>
        </is>
      </c>
      <c r="F1486" t="n">
        <v>3</v>
      </c>
      <c r="G1486" t="n">
        <v>2</v>
      </c>
      <c r="H1486" t="inlineStr">
        <is>
          <t>HIGH</t>
        </is>
      </c>
      <c r="I1486" t="n">
        <v>13.5</v>
      </c>
      <c r="J1486" t="inlineStr">
        <is>
          <t>NO</t>
        </is>
      </c>
      <c r="K1486" t="inlineStr">
        <is>
          <t>2026-02-23 20:02:34 UTC</t>
        </is>
      </c>
      <c r="L1486" t="inlineStr">
        <is>
          <t>Block IOC</t>
        </is>
      </c>
      <c r="M1486" t="inlineStr">
        <is>
          <t>botnet_cc</t>
        </is>
      </c>
      <c r="N1486" t="inlineStr">
        <is>
          <t>P3</t>
        </is>
      </c>
      <c r="O1486" t="inlineStr">
        <is>
          <t>Classification: skipped | Context: Skipped (20/run IOC cap) | Name: N/A</t>
        </is>
      </c>
      <c r="P1486" t="n">
        <v>0</v>
      </c>
      <c r="Q1486" t="n">
        <v>0</v>
      </c>
      <c r="R1486" t="inlineStr">
        <is>
          <t>T1071:Application Layer Protocol | T1102:Web Service</t>
        </is>
      </c>
      <c r="S1486" t="n">
        <v>1</v>
      </c>
      <c r="T1486" t="inlineStr">
        <is>
          <t>LOW (40%)</t>
        </is>
      </c>
      <c r="U1486" t="inlineStr">
        <is>
          <t>NONE</t>
        </is>
      </c>
      <c r="V1486" t="inlineStr">
        <is>
          <t>NONE</t>
        </is>
      </c>
      <c r="W1486" t="inlineStr">
        <is>
          <t>NONE</t>
        </is>
      </c>
      <c r="X1486" t="inlineStr">
        <is>
          <t>NONE</t>
        </is>
      </c>
      <c r="Y1486" t="n">
        <v>0</v>
      </c>
      <c r="Z1486" t="inlineStr"/>
      <c r="AA1486" t="inlineStr">
        <is>
          <t>https://threatfox.abuse.ch/ioc/1753804/</t>
        </is>
      </c>
    </row>
    <row r="1487">
      <c r="A1487" t="inlineStr">
        <is>
          <t>THREATFOX_IOC</t>
        </is>
      </c>
      <c r="B1487" t="inlineStr">
        <is>
          <t>1753803</t>
        </is>
      </c>
      <c r="C1487" t="inlineStr">
        <is>
          <t>ip:port IOC:  | Malware: Bashlite | Confidence: 100%</t>
        </is>
      </c>
      <c r="D1487" t="n">
        <v>7.5</v>
      </c>
      <c r="E1487" t="inlineStr">
        <is>
          <t>HIGH</t>
        </is>
      </c>
      <c r="F1487" t="n">
        <v>3</v>
      </c>
      <c r="G1487" t="n">
        <v>2</v>
      </c>
      <c r="H1487" t="inlineStr">
        <is>
          <t>HIGH</t>
        </is>
      </c>
      <c r="I1487" t="n">
        <v>13.5</v>
      </c>
      <c r="J1487" t="inlineStr">
        <is>
          <t>NO</t>
        </is>
      </c>
      <c r="K1487" t="inlineStr">
        <is>
          <t>2026-02-23 20:02:25 UTC</t>
        </is>
      </c>
      <c r="L1487" t="inlineStr">
        <is>
          <t>Block IOC</t>
        </is>
      </c>
      <c r="M1487" t="inlineStr">
        <is>
          <t>botnet_cc</t>
        </is>
      </c>
      <c r="N1487" t="inlineStr">
        <is>
          <t>P3</t>
        </is>
      </c>
      <c r="O1487" t="inlineStr">
        <is>
          <t>Classification: skipped | Context: Skipped (20/run IOC cap) | Name: N/A</t>
        </is>
      </c>
      <c r="P1487" t="n">
        <v>0</v>
      </c>
      <c r="Q1487" t="n">
        <v>0</v>
      </c>
      <c r="R1487" t="inlineStr">
        <is>
          <t>T1071:Application Layer Protocol | T1102:Web Service</t>
        </is>
      </c>
      <c r="S1487" t="n">
        <v>1</v>
      </c>
      <c r="T1487" t="inlineStr">
        <is>
          <t>LOW (40%)</t>
        </is>
      </c>
      <c r="U1487" t="inlineStr">
        <is>
          <t>NONE</t>
        </is>
      </c>
      <c r="V1487" t="inlineStr">
        <is>
          <t>NONE</t>
        </is>
      </c>
      <c r="W1487" t="inlineStr">
        <is>
          <t>NONE</t>
        </is>
      </c>
      <c r="X1487" t="inlineStr">
        <is>
          <t>NONE</t>
        </is>
      </c>
      <c r="Y1487" t="n">
        <v>0</v>
      </c>
      <c r="Z1487" t="inlineStr"/>
      <c r="AA1487" t="inlineStr">
        <is>
          <t>https://threatfox.abuse.ch/ioc/1753803/</t>
        </is>
      </c>
    </row>
    <row r="1488">
      <c r="A1488" t="inlineStr">
        <is>
          <t>THREATFOX_IOC</t>
        </is>
      </c>
      <c r="B1488" t="inlineStr">
        <is>
          <t>1753802</t>
        </is>
      </c>
      <c r="C1488" t="inlineStr">
        <is>
          <t>ip:port IOC:  | Malware: Bashlite | Confidence: 100%</t>
        </is>
      </c>
      <c r="D1488" t="n">
        <v>7.5</v>
      </c>
      <c r="E1488" t="inlineStr">
        <is>
          <t>HIGH</t>
        </is>
      </c>
      <c r="F1488" t="n">
        <v>3</v>
      </c>
      <c r="G1488" t="n">
        <v>2</v>
      </c>
      <c r="H1488" t="inlineStr">
        <is>
          <t>HIGH</t>
        </is>
      </c>
      <c r="I1488" t="n">
        <v>13.5</v>
      </c>
      <c r="J1488" t="inlineStr">
        <is>
          <t>NO</t>
        </is>
      </c>
      <c r="K1488" t="inlineStr">
        <is>
          <t>2026-02-23 20:02:23 UTC</t>
        </is>
      </c>
      <c r="L1488" t="inlineStr">
        <is>
          <t>Block IOC</t>
        </is>
      </c>
      <c r="M1488" t="inlineStr">
        <is>
          <t>botnet_cc</t>
        </is>
      </c>
      <c r="N1488" t="inlineStr">
        <is>
          <t>P3</t>
        </is>
      </c>
      <c r="O1488" t="inlineStr">
        <is>
          <t>Classification: skipped | Context: Skipped (20/run IOC cap) | Name: N/A</t>
        </is>
      </c>
      <c r="P1488" t="n">
        <v>0</v>
      </c>
      <c r="Q1488" t="n">
        <v>0</v>
      </c>
      <c r="R1488" t="inlineStr">
        <is>
          <t>T1071:Application Layer Protocol | T1102:Web Service</t>
        </is>
      </c>
      <c r="S1488" t="n">
        <v>1</v>
      </c>
      <c r="T1488" t="inlineStr">
        <is>
          <t>LOW (40%)</t>
        </is>
      </c>
      <c r="U1488" t="inlineStr">
        <is>
          <t>NONE</t>
        </is>
      </c>
      <c r="V1488" t="inlineStr">
        <is>
          <t>NONE</t>
        </is>
      </c>
      <c r="W1488" t="inlineStr">
        <is>
          <t>NONE</t>
        </is>
      </c>
      <c r="X1488" t="inlineStr">
        <is>
          <t>NONE</t>
        </is>
      </c>
      <c r="Y1488" t="n">
        <v>0</v>
      </c>
      <c r="Z1488" t="inlineStr"/>
      <c r="AA1488" t="inlineStr">
        <is>
          <t>https://threatfox.abuse.ch/ioc/1753802/</t>
        </is>
      </c>
    </row>
    <row r="1489">
      <c r="A1489" t="inlineStr">
        <is>
          <t>THREATFOX_IOC</t>
        </is>
      </c>
      <c r="B1489" t="inlineStr">
        <is>
          <t>1753801</t>
        </is>
      </c>
      <c r="C1489" t="inlineStr">
        <is>
          <t>ip:port IOC:  | Malware: DCRat | Confidence: 100%</t>
        </is>
      </c>
      <c r="D1489" t="n">
        <v>7.5</v>
      </c>
      <c r="E1489" t="inlineStr">
        <is>
          <t>HIGH</t>
        </is>
      </c>
      <c r="F1489" t="n">
        <v>3</v>
      </c>
      <c r="G1489" t="n">
        <v>2</v>
      </c>
      <c r="H1489" t="inlineStr">
        <is>
          <t>HIGH</t>
        </is>
      </c>
      <c r="I1489" t="n">
        <v>13.5</v>
      </c>
      <c r="J1489" t="inlineStr">
        <is>
          <t>NO</t>
        </is>
      </c>
      <c r="K1489" t="inlineStr">
        <is>
          <t>2026-02-23 20:02:06 UTC</t>
        </is>
      </c>
      <c r="L1489" t="inlineStr">
        <is>
          <t>Block IOC</t>
        </is>
      </c>
      <c r="M1489" t="inlineStr">
        <is>
          <t>botnet_cc</t>
        </is>
      </c>
      <c r="N1489" t="inlineStr">
        <is>
          <t>P3</t>
        </is>
      </c>
      <c r="O1489" t="inlineStr">
        <is>
          <t>Classification: skipped | Context: Skipped (20/run IOC cap) | Name: N/A</t>
        </is>
      </c>
      <c r="P1489" t="n">
        <v>0</v>
      </c>
      <c r="Q1489" t="n">
        <v>0</v>
      </c>
      <c r="R1489" t="inlineStr">
        <is>
          <t>T1071:Application Layer Protocol | T1102:Web Service</t>
        </is>
      </c>
      <c r="S1489" t="n">
        <v>1</v>
      </c>
      <c r="T1489" t="inlineStr">
        <is>
          <t>LOW (40%)</t>
        </is>
      </c>
      <c r="U1489" t="inlineStr">
        <is>
          <t>NONE</t>
        </is>
      </c>
      <c r="V1489" t="inlineStr">
        <is>
          <t>NONE</t>
        </is>
      </c>
      <c r="W1489" t="inlineStr">
        <is>
          <t>NONE</t>
        </is>
      </c>
      <c r="X1489" t="inlineStr">
        <is>
          <t>NONE</t>
        </is>
      </c>
      <c r="Y1489" t="n">
        <v>0</v>
      </c>
      <c r="Z1489" t="inlineStr"/>
      <c r="AA1489" t="inlineStr">
        <is>
          <t>https://threatfox.abuse.ch/ioc/1753801/</t>
        </is>
      </c>
    </row>
    <row r="1490">
      <c r="A1490" t="inlineStr">
        <is>
          <t>THREATMINER</t>
        </is>
      </c>
      <c r="B1490" t="inlineStr">
        <is>
          <t>d41d8cd98f00</t>
        </is>
      </c>
      <c r="C1490" t="inlineStr">
        <is>
          <t xml:space="preserve">Malicious domain:  | IP: 2.57.121.25 | Last seen: </t>
        </is>
      </c>
      <c r="D1490" t="n">
        <v>6.5</v>
      </c>
      <c r="E1490" t="inlineStr">
        <is>
          <t>MEDIUM</t>
        </is>
      </c>
      <c r="F1490" t="n">
        <v>2</v>
      </c>
      <c r="G1490" t="n">
        <v>2</v>
      </c>
      <c r="H1490" t="inlineStr">
        <is>
          <t>MEDIUM</t>
        </is>
      </c>
      <c r="I1490" t="n">
        <v>10.5</v>
      </c>
      <c r="J1490" t="inlineStr">
        <is>
          <t>NO</t>
        </is>
      </c>
      <c r="K1490" t="inlineStr"/>
      <c r="L1490" t="inlineStr">
        <is>
          <t>Block domain</t>
        </is>
      </c>
      <c r="M1490" t="inlineStr">
        <is>
          <t>DNS/Network</t>
        </is>
      </c>
      <c r="N1490" t="inlineStr">
        <is>
          <t>P4</t>
        </is>
      </c>
      <c r="O1490" t="inlineStr">
        <is>
          <t>Domain IOC - check IP separately</t>
        </is>
      </c>
      <c r="P1490" t="n">
        <v>0</v>
      </c>
      <c r="Q1490" t="n">
        <v>0</v>
      </c>
      <c r="R1490" t="inlineStr">
        <is>
          <t>T1071.001:Web Protocols | T1568:Dynamic Resolution</t>
        </is>
      </c>
      <c r="S1490" t="n">
        <v>1</v>
      </c>
      <c r="T1490" t="inlineStr">
        <is>
          <t>LOW (40%)</t>
        </is>
      </c>
      <c r="U1490" t="inlineStr">
        <is>
          <t>NONE</t>
        </is>
      </c>
      <c r="V1490" t="inlineStr">
        <is>
          <t>NONE</t>
        </is>
      </c>
      <c r="W1490" t="inlineStr">
        <is>
          <t>NONE</t>
        </is>
      </c>
      <c r="X1490" t="inlineStr">
        <is>
          <t>NONE</t>
        </is>
      </c>
      <c r="Y1490" t="n">
        <v>0</v>
      </c>
      <c r="Z1490" t="inlineStr"/>
      <c r="AA1490" t="inlineStr">
        <is>
          <t>https://www.threatminer.org/domain.php?q=</t>
        </is>
      </c>
    </row>
    <row r="1491">
      <c r="A1491" t="inlineStr">
        <is>
          <t>THREATMINER</t>
        </is>
      </c>
      <c r="B1491" t="inlineStr">
        <is>
          <t>d41d8cd98f00</t>
        </is>
      </c>
      <c r="C1491" t="inlineStr">
        <is>
          <t xml:space="preserve">Malicious domain:  | IP: 185.91.69.217 | Last seen: </t>
        </is>
      </c>
      <c r="D1491" t="n">
        <v>6.5</v>
      </c>
      <c r="E1491" t="inlineStr">
        <is>
          <t>MEDIUM</t>
        </is>
      </c>
      <c r="F1491" t="n">
        <v>2</v>
      </c>
      <c r="G1491" t="n">
        <v>2</v>
      </c>
      <c r="H1491" t="inlineStr">
        <is>
          <t>MEDIUM</t>
        </is>
      </c>
      <c r="I1491" t="n">
        <v>10.5</v>
      </c>
      <c r="J1491" t="inlineStr">
        <is>
          <t>NO</t>
        </is>
      </c>
      <c r="K1491" t="inlineStr"/>
      <c r="L1491" t="inlineStr">
        <is>
          <t>Block domain</t>
        </is>
      </c>
      <c r="M1491" t="inlineStr">
        <is>
          <t>DNS/Network</t>
        </is>
      </c>
      <c r="N1491" t="inlineStr">
        <is>
          <t>P4</t>
        </is>
      </c>
      <c r="O1491" t="inlineStr">
        <is>
          <t>Domain IOC - check IP separately</t>
        </is>
      </c>
      <c r="P1491" t="n">
        <v>0</v>
      </c>
      <c r="Q1491" t="n">
        <v>0</v>
      </c>
      <c r="R1491" t="inlineStr">
        <is>
          <t>T1071.001:Web Protocols | T1568:Dynamic Resolution</t>
        </is>
      </c>
      <c r="S1491" t="n">
        <v>1</v>
      </c>
      <c r="T1491" t="inlineStr">
        <is>
          <t>LOW (40%)</t>
        </is>
      </c>
      <c r="U1491" t="inlineStr">
        <is>
          <t>NONE</t>
        </is>
      </c>
      <c r="V1491" t="inlineStr">
        <is>
          <t>NONE</t>
        </is>
      </c>
      <c r="W1491" t="inlineStr">
        <is>
          <t>NONE</t>
        </is>
      </c>
      <c r="X1491" t="inlineStr">
        <is>
          <t>NONE</t>
        </is>
      </c>
      <c r="Y1491" t="n">
        <v>0</v>
      </c>
      <c r="Z1491" t="inlineStr"/>
      <c r="AA1491" t="inlineStr">
        <is>
          <t>https://www.threatminer.org/domain.php?q=</t>
        </is>
      </c>
    </row>
    <row r="1492">
      <c r="A1492" t="inlineStr">
        <is>
          <t>THREATMINER</t>
        </is>
      </c>
      <c r="B1492" t="inlineStr">
        <is>
          <t>d41d8cd98f00</t>
        </is>
      </c>
      <c r="C1492" t="inlineStr">
        <is>
          <t xml:space="preserve">Malicious domain:  | IP: 2.57.122.238 | Last seen: </t>
        </is>
      </c>
      <c r="D1492" t="n">
        <v>6.5</v>
      </c>
      <c r="E1492" t="inlineStr">
        <is>
          <t>MEDIUM</t>
        </is>
      </c>
      <c r="F1492" t="n">
        <v>2</v>
      </c>
      <c r="G1492" t="n">
        <v>2</v>
      </c>
      <c r="H1492" t="inlineStr">
        <is>
          <t>MEDIUM</t>
        </is>
      </c>
      <c r="I1492" t="n">
        <v>10.5</v>
      </c>
      <c r="J1492" t="inlineStr">
        <is>
          <t>NO</t>
        </is>
      </c>
      <c r="K1492" t="inlineStr"/>
      <c r="L1492" t="inlineStr">
        <is>
          <t>Block domain</t>
        </is>
      </c>
      <c r="M1492" t="inlineStr">
        <is>
          <t>DNS/Network</t>
        </is>
      </c>
      <c r="N1492" t="inlineStr">
        <is>
          <t>P4</t>
        </is>
      </c>
      <c r="O1492" t="inlineStr">
        <is>
          <t>Domain IOC - check IP separately</t>
        </is>
      </c>
      <c r="P1492" t="n">
        <v>0</v>
      </c>
      <c r="Q1492" t="n">
        <v>0</v>
      </c>
      <c r="R1492" t="inlineStr">
        <is>
          <t>T1071.001:Web Protocols | T1568:Dynamic Resolution</t>
        </is>
      </c>
      <c r="S1492" t="n">
        <v>1</v>
      </c>
      <c r="T1492" t="inlineStr">
        <is>
          <t>LOW (40%)</t>
        </is>
      </c>
      <c r="U1492" t="inlineStr">
        <is>
          <t>NONE</t>
        </is>
      </c>
      <c r="V1492" t="inlineStr">
        <is>
          <t>NONE</t>
        </is>
      </c>
      <c r="W1492" t="inlineStr">
        <is>
          <t>NONE</t>
        </is>
      </c>
      <c r="X1492" t="inlineStr">
        <is>
          <t>NONE</t>
        </is>
      </c>
      <c r="Y1492" t="n">
        <v>0</v>
      </c>
      <c r="Z1492" t="inlineStr"/>
      <c r="AA1492" t="inlineStr">
        <is>
          <t>https://www.threatminer.org/domain.php?q=</t>
        </is>
      </c>
    </row>
    <row r="1493">
      <c r="A1493" t="inlineStr">
        <is>
          <t>THREATMINER</t>
        </is>
      </c>
      <c r="B1493" t="inlineStr">
        <is>
          <t>d41d8cd98f00</t>
        </is>
      </c>
      <c r="C1493" t="inlineStr">
        <is>
          <t xml:space="preserve">Malicious domain:  | IP: 45.148.10.147 | Last seen: </t>
        </is>
      </c>
      <c r="D1493" t="n">
        <v>6.5</v>
      </c>
      <c r="E1493" t="inlineStr">
        <is>
          <t>MEDIUM</t>
        </is>
      </c>
      <c r="F1493" t="n">
        <v>2</v>
      </c>
      <c r="G1493" t="n">
        <v>2</v>
      </c>
      <c r="H1493" t="inlineStr">
        <is>
          <t>MEDIUM</t>
        </is>
      </c>
      <c r="I1493" t="n">
        <v>10.5</v>
      </c>
      <c r="J1493" t="inlineStr">
        <is>
          <t>NO</t>
        </is>
      </c>
      <c r="K1493" t="inlineStr"/>
      <c r="L1493" t="inlineStr">
        <is>
          <t>Block domain</t>
        </is>
      </c>
      <c r="M1493" t="inlineStr">
        <is>
          <t>DNS/Network</t>
        </is>
      </c>
      <c r="N1493" t="inlineStr">
        <is>
          <t>P4</t>
        </is>
      </c>
      <c r="O1493" t="inlineStr">
        <is>
          <t>Domain IOC - check IP separately</t>
        </is>
      </c>
      <c r="P1493" t="n">
        <v>0</v>
      </c>
      <c r="Q1493" t="n">
        <v>0</v>
      </c>
      <c r="R1493" t="inlineStr">
        <is>
          <t>T1071.001:Web Protocols | T1568:Dynamic Resolution</t>
        </is>
      </c>
      <c r="S1493" t="n">
        <v>1</v>
      </c>
      <c r="T1493" t="inlineStr">
        <is>
          <t>LOW (40%)</t>
        </is>
      </c>
      <c r="U1493" t="inlineStr">
        <is>
          <t>NONE</t>
        </is>
      </c>
      <c r="V1493" t="inlineStr">
        <is>
          <t>NONE</t>
        </is>
      </c>
      <c r="W1493" t="inlineStr">
        <is>
          <t>NONE</t>
        </is>
      </c>
      <c r="X1493" t="inlineStr">
        <is>
          <t>NONE</t>
        </is>
      </c>
      <c r="Y1493" t="n">
        <v>0</v>
      </c>
      <c r="Z1493" t="inlineStr"/>
      <c r="AA1493" t="inlineStr">
        <is>
          <t>https://www.threatminer.org/domain.php?q=</t>
        </is>
      </c>
    </row>
    <row r="1494">
      <c r="A1494" t="inlineStr">
        <is>
          <t>THREATMINER</t>
        </is>
      </c>
      <c r="B1494" t="inlineStr">
        <is>
          <t>d41d8cd98f00</t>
        </is>
      </c>
      <c r="C1494" t="inlineStr">
        <is>
          <t xml:space="preserve">Malicious domain:  | IP: 45.148.10.152 | Last seen: </t>
        </is>
      </c>
      <c r="D1494" t="n">
        <v>6.5</v>
      </c>
      <c r="E1494" t="inlineStr">
        <is>
          <t>MEDIUM</t>
        </is>
      </c>
      <c r="F1494" t="n">
        <v>2</v>
      </c>
      <c r="G1494" t="n">
        <v>2</v>
      </c>
      <c r="H1494" t="inlineStr">
        <is>
          <t>MEDIUM</t>
        </is>
      </c>
      <c r="I1494" t="n">
        <v>10.5</v>
      </c>
      <c r="J1494" t="inlineStr">
        <is>
          <t>NO</t>
        </is>
      </c>
      <c r="K1494" t="inlineStr"/>
      <c r="L1494" t="inlineStr">
        <is>
          <t>Block domain</t>
        </is>
      </c>
      <c r="M1494" t="inlineStr">
        <is>
          <t>DNS/Network</t>
        </is>
      </c>
      <c r="N1494" t="inlineStr">
        <is>
          <t>P4</t>
        </is>
      </c>
      <c r="O1494" t="inlineStr">
        <is>
          <t>Domain IOC - check IP separately</t>
        </is>
      </c>
      <c r="P1494" t="n">
        <v>0</v>
      </c>
      <c r="Q1494" t="n">
        <v>0</v>
      </c>
      <c r="R1494" t="inlineStr">
        <is>
          <t>T1071.001:Web Protocols | T1568:Dynamic Resolution</t>
        </is>
      </c>
      <c r="S1494" t="n">
        <v>1</v>
      </c>
      <c r="T1494" t="inlineStr">
        <is>
          <t>LOW (40%)</t>
        </is>
      </c>
      <c r="U1494" t="inlineStr">
        <is>
          <t>NONE</t>
        </is>
      </c>
      <c r="V1494" t="inlineStr">
        <is>
          <t>NONE</t>
        </is>
      </c>
      <c r="W1494" t="inlineStr">
        <is>
          <t>NONE</t>
        </is>
      </c>
      <c r="X1494" t="inlineStr">
        <is>
          <t>NONE</t>
        </is>
      </c>
      <c r="Y1494" t="n">
        <v>0</v>
      </c>
      <c r="Z1494" t="inlineStr"/>
      <c r="AA1494" t="inlineStr">
        <is>
          <t>https://www.threatminer.org/domain.php?q=</t>
        </is>
      </c>
    </row>
    <row r="1495">
      <c r="A1495" t="inlineStr">
        <is>
          <t>THREATMINER</t>
        </is>
      </c>
      <c r="B1495" t="inlineStr">
        <is>
          <t>d41d8cd98f00</t>
        </is>
      </c>
      <c r="C1495" t="inlineStr">
        <is>
          <t xml:space="preserve">Malicious domain:  | IP: 45.148.10.157 | Last seen: </t>
        </is>
      </c>
      <c r="D1495" t="n">
        <v>6.5</v>
      </c>
      <c r="E1495" t="inlineStr">
        <is>
          <t>MEDIUM</t>
        </is>
      </c>
      <c r="F1495" t="n">
        <v>2</v>
      </c>
      <c r="G1495" t="n">
        <v>2</v>
      </c>
      <c r="H1495" t="inlineStr">
        <is>
          <t>MEDIUM</t>
        </is>
      </c>
      <c r="I1495" t="n">
        <v>10.5</v>
      </c>
      <c r="J1495" t="inlineStr">
        <is>
          <t>NO</t>
        </is>
      </c>
      <c r="K1495" t="inlineStr"/>
      <c r="L1495" t="inlineStr">
        <is>
          <t>Block domain</t>
        </is>
      </c>
      <c r="M1495" t="inlineStr">
        <is>
          <t>DNS/Network</t>
        </is>
      </c>
      <c r="N1495" t="inlineStr">
        <is>
          <t>P4</t>
        </is>
      </c>
      <c r="O1495" t="inlineStr">
        <is>
          <t>Domain IOC - check IP separately</t>
        </is>
      </c>
      <c r="P1495" t="n">
        <v>0</v>
      </c>
      <c r="Q1495" t="n">
        <v>0</v>
      </c>
      <c r="R1495" t="inlineStr">
        <is>
          <t>T1071.001:Web Protocols | T1568:Dynamic Resolution</t>
        </is>
      </c>
      <c r="S1495" t="n">
        <v>1</v>
      </c>
      <c r="T1495" t="inlineStr">
        <is>
          <t>LOW (40%)</t>
        </is>
      </c>
      <c r="U1495" t="inlineStr">
        <is>
          <t>NONE</t>
        </is>
      </c>
      <c r="V1495" t="inlineStr">
        <is>
          <t>NONE</t>
        </is>
      </c>
      <c r="W1495" t="inlineStr">
        <is>
          <t>NONE</t>
        </is>
      </c>
      <c r="X1495" t="inlineStr">
        <is>
          <t>NONE</t>
        </is>
      </c>
      <c r="Y1495" t="n">
        <v>0</v>
      </c>
      <c r="Z1495" t="inlineStr"/>
      <c r="AA1495" t="inlineStr">
        <is>
          <t>https://www.threatminer.org/domain.php?q=</t>
        </is>
      </c>
    </row>
    <row r="1496">
      <c r="A1496" t="inlineStr">
        <is>
          <t>THREATMINER</t>
        </is>
      </c>
      <c r="B1496" t="inlineStr">
        <is>
          <t>d41d8cd98f00</t>
        </is>
      </c>
      <c r="C1496" t="inlineStr">
        <is>
          <t xml:space="preserve">Malicious domain:  | IP: 64.89.161.198 | Last seen: </t>
        </is>
      </c>
      <c r="D1496" t="n">
        <v>6.5</v>
      </c>
      <c r="E1496" t="inlineStr">
        <is>
          <t>MEDIUM</t>
        </is>
      </c>
      <c r="F1496" t="n">
        <v>2</v>
      </c>
      <c r="G1496" t="n">
        <v>2</v>
      </c>
      <c r="H1496" t="inlineStr">
        <is>
          <t>MEDIUM</t>
        </is>
      </c>
      <c r="I1496" t="n">
        <v>10.5</v>
      </c>
      <c r="J1496" t="inlineStr">
        <is>
          <t>NO</t>
        </is>
      </c>
      <c r="K1496" t="inlineStr"/>
      <c r="L1496" t="inlineStr">
        <is>
          <t>Block domain</t>
        </is>
      </c>
      <c r="M1496" t="inlineStr">
        <is>
          <t>DNS/Network</t>
        </is>
      </c>
      <c r="N1496" t="inlineStr">
        <is>
          <t>P4</t>
        </is>
      </c>
      <c r="O1496" t="inlineStr">
        <is>
          <t>Domain IOC - check IP separately</t>
        </is>
      </c>
      <c r="P1496" t="n">
        <v>0</v>
      </c>
      <c r="Q1496" t="n">
        <v>0</v>
      </c>
      <c r="R1496" t="inlineStr">
        <is>
          <t>T1071.001:Web Protocols | T1568:Dynamic Resolution</t>
        </is>
      </c>
      <c r="S1496" t="n">
        <v>1</v>
      </c>
      <c r="T1496" t="inlineStr">
        <is>
          <t>LOW (40%)</t>
        </is>
      </c>
      <c r="U1496" t="inlineStr">
        <is>
          <t>NONE</t>
        </is>
      </c>
      <c r="V1496" t="inlineStr">
        <is>
          <t>NONE</t>
        </is>
      </c>
      <c r="W1496" t="inlineStr">
        <is>
          <t>NONE</t>
        </is>
      </c>
      <c r="X1496" t="inlineStr">
        <is>
          <t>NONE</t>
        </is>
      </c>
      <c r="Y1496" t="n">
        <v>0</v>
      </c>
      <c r="Z1496" t="inlineStr"/>
      <c r="AA1496" t="inlineStr">
        <is>
          <t>https://www.threatminer.org/domain.php?q=</t>
        </is>
      </c>
    </row>
    <row r="1497">
      <c r="A1497" t="inlineStr">
        <is>
          <t>THREATMINER</t>
        </is>
      </c>
      <c r="B1497" t="inlineStr">
        <is>
          <t>d41d8cd98f00</t>
        </is>
      </c>
      <c r="C1497" t="inlineStr">
        <is>
          <t xml:space="preserve">Malicious domain:  | IP: 80.82.77.139 | Last seen: </t>
        </is>
      </c>
      <c r="D1497" t="n">
        <v>6.5</v>
      </c>
      <c r="E1497" t="inlineStr">
        <is>
          <t>MEDIUM</t>
        </is>
      </c>
      <c r="F1497" t="n">
        <v>2</v>
      </c>
      <c r="G1497" t="n">
        <v>2</v>
      </c>
      <c r="H1497" t="inlineStr">
        <is>
          <t>MEDIUM</t>
        </is>
      </c>
      <c r="I1497" t="n">
        <v>10.5</v>
      </c>
      <c r="J1497" t="inlineStr">
        <is>
          <t>NO</t>
        </is>
      </c>
      <c r="K1497" t="inlineStr"/>
      <c r="L1497" t="inlineStr">
        <is>
          <t>Block domain</t>
        </is>
      </c>
      <c r="M1497" t="inlineStr">
        <is>
          <t>DNS/Network</t>
        </is>
      </c>
      <c r="N1497" t="inlineStr">
        <is>
          <t>P4</t>
        </is>
      </c>
      <c r="O1497" t="inlineStr">
        <is>
          <t>Domain IOC - check IP separately</t>
        </is>
      </c>
      <c r="P1497" t="n">
        <v>0</v>
      </c>
      <c r="Q1497" t="n">
        <v>0</v>
      </c>
      <c r="R1497" t="inlineStr">
        <is>
          <t>T1071.001:Web Protocols | T1568:Dynamic Resolution</t>
        </is>
      </c>
      <c r="S1497" t="n">
        <v>1</v>
      </c>
      <c r="T1497" t="inlineStr">
        <is>
          <t>LOW (40%)</t>
        </is>
      </c>
      <c r="U1497" t="inlineStr">
        <is>
          <t>NONE</t>
        </is>
      </c>
      <c r="V1497" t="inlineStr">
        <is>
          <t>NONE</t>
        </is>
      </c>
      <c r="W1497" t="inlineStr">
        <is>
          <t>NONE</t>
        </is>
      </c>
      <c r="X1497" t="inlineStr">
        <is>
          <t>NONE</t>
        </is>
      </c>
      <c r="Y1497" t="n">
        <v>0</v>
      </c>
      <c r="Z1497" t="inlineStr"/>
      <c r="AA1497" t="inlineStr">
        <is>
          <t>https://www.threatminer.org/domain.php?q=</t>
        </is>
      </c>
    </row>
    <row r="1498">
      <c r="A1498" t="inlineStr">
        <is>
          <t>THREATMINER</t>
        </is>
      </c>
      <c r="B1498" t="inlineStr">
        <is>
          <t>d41d8cd98f00</t>
        </is>
      </c>
      <c r="C1498" t="inlineStr">
        <is>
          <t xml:space="preserve">Malicious domain:  | IP: 80.94.92.171 | Last seen: </t>
        </is>
      </c>
      <c r="D1498" t="n">
        <v>6.5</v>
      </c>
      <c r="E1498" t="inlineStr">
        <is>
          <t>MEDIUM</t>
        </is>
      </c>
      <c r="F1498" t="n">
        <v>2</v>
      </c>
      <c r="G1498" t="n">
        <v>2</v>
      </c>
      <c r="H1498" t="inlineStr">
        <is>
          <t>MEDIUM</t>
        </is>
      </c>
      <c r="I1498" t="n">
        <v>10.5</v>
      </c>
      <c r="J1498" t="inlineStr">
        <is>
          <t>NO</t>
        </is>
      </c>
      <c r="K1498" t="inlineStr"/>
      <c r="L1498" t="inlineStr">
        <is>
          <t>Block domain</t>
        </is>
      </c>
      <c r="M1498" t="inlineStr">
        <is>
          <t>DNS/Network</t>
        </is>
      </c>
      <c r="N1498" t="inlineStr">
        <is>
          <t>P4</t>
        </is>
      </c>
      <c r="O1498" t="inlineStr">
        <is>
          <t>Domain IOC - check IP separately</t>
        </is>
      </c>
      <c r="P1498" t="n">
        <v>0</v>
      </c>
      <c r="Q1498" t="n">
        <v>0</v>
      </c>
      <c r="R1498" t="inlineStr">
        <is>
          <t>T1071.001:Web Protocols | T1568:Dynamic Resolution</t>
        </is>
      </c>
      <c r="S1498" t="n">
        <v>1</v>
      </c>
      <c r="T1498" t="inlineStr">
        <is>
          <t>LOW (40%)</t>
        </is>
      </c>
      <c r="U1498" t="inlineStr">
        <is>
          <t>NONE</t>
        </is>
      </c>
      <c r="V1498" t="inlineStr">
        <is>
          <t>NONE</t>
        </is>
      </c>
      <c r="W1498" t="inlineStr">
        <is>
          <t>NONE</t>
        </is>
      </c>
      <c r="X1498" t="inlineStr">
        <is>
          <t>NONE</t>
        </is>
      </c>
      <c r="Y1498" t="n">
        <v>0</v>
      </c>
      <c r="Z1498" t="inlineStr"/>
      <c r="AA1498" t="inlineStr">
        <is>
          <t>https://www.threatminer.org/domain.php?q=</t>
        </is>
      </c>
    </row>
    <row r="1499">
      <c r="A1499" t="inlineStr">
        <is>
          <t>THREATMINER</t>
        </is>
      </c>
      <c r="B1499" t="inlineStr">
        <is>
          <t>d41d8cd98f00</t>
        </is>
      </c>
      <c r="C1499" t="inlineStr">
        <is>
          <t xml:space="preserve">Malicious domain:  | IP: 91.224.92.54 | Last seen: </t>
        </is>
      </c>
      <c r="D1499" t="n">
        <v>6.5</v>
      </c>
      <c r="E1499" t="inlineStr">
        <is>
          <t>MEDIUM</t>
        </is>
      </c>
      <c r="F1499" t="n">
        <v>2</v>
      </c>
      <c r="G1499" t="n">
        <v>2</v>
      </c>
      <c r="H1499" t="inlineStr">
        <is>
          <t>MEDIUM</t>
        </is>
      </c>
      <c r="I1499" t="n">
        <v>10.5</v>
      </c>
      <c r="J1499" t="inlineStr">
        <is>
          <t>NO</t>
        </is>
      </c>
      <c r="K1499" t="inlineStr"/>
      <c r="L1499" t="inlineStr">
        <is>
          <t>Block domain</t>
        </is>
      </c>
      <c r="M1499" t="inlineStr">
        <is>
          <t>DNS/Network</t>
        </is>
      </c>
      <c r="N1499" t="inlineStr">
        <is>
          <t>P4</t>
        </is>
      </c>
      <c r="O1499" t="inlineStr">
        <is>
          <t>Domain IOC - check IP separately</t>
        </is>
      </c>
      <c r="P1499" t="n">
        <v>0</v>
      </c>
      <c r="Q1499" t="n">
        <v>0</v>
      </c>
      <c r="R1499" t="inlineStr">
        <is>
          <t>T1071.001:Web Protocols | T1568:Dynamic Resolution</t>
        </is>
      </c>
      <c r="S1499" t="n">
        <v>1</v>
      </c>
      <c r="T1499" t="inlineStr">
        <is>
          <t>LOW (40%)</t>
        </is>
      </c>
      <c r="U1499" t="inlineStr">
        <is>
          <t>NONE</t>
        </is>
      </c>
      <c r="V1499" t="inlineStr">
        <is>
          <t>NONE</t>
        </is>
      </c>
      <c r="W1499" t="inlineStr">
        <is>
          <t>NONE</t>
        </is>
      </c>
      <c r="X1499" t="inlineStr">
        <is>
          <t>NONE</t>
        </is>
      </c>
      <c r="Y1499" t="n">
        <v>0</v>
      </c>
      <c r="Z1499" t="inlineStr"/>
      <c r="AA1499" t="inlineStr">
        <is>
          <t>https://www.threatminer.org/domain.php?q=</t>
        </is>
      </c>
    </row>
    <row r="1500">
      <c r="A1500" t="inlineStr">
        <is>
          <t>THREATMINER</t>
        </is>
      </c>
      <c r="B1500" t="inlineStr">
        <is>
          <t>d41d8cd98f00</t>
        </is>
      </c>
      <c r="C1500" t="inlineStr">
        <is>
          <t xml:space="preserve">Malicious domain:  | IP: 91.224.92.190 | Last seen: </t>
        </is>
      </c>
      <c r="D1500" t="n">
        <v>6.5</v>
      </c>
      <c r="E1500" t="inlineStr">
        <is>
          <t>MEDIUM</t>
        </is>
      </c>
      <c r="F1500" t="n">
        <v>2</v>
      </c>
      <c r="G1500" t="n">
        <v>2</v>
      </c>
      <c r="H1500" t="inlineStr">
        <is>
          <t>MEDIUM</t>
        </is>
      </c>
      <c r="I1500" t="n">
        <v>10.5</v>
      </c>
      <c r="J1500" t="inlineStr">
        <is>
          <t>NO</t>
        </is>
      </c>
      <c r="K1500" t="inlineStr"/>
      <c r="L1500" t="inlineStr">
        <is>
          <t>Block domain</t>
        </is>
      </c>
      <c r="M1500" t="inlineStr">
        <is>
          <t>DNS/Network</t>
        </is>
      </c>
      <c r="N1500" t="inlineStr">
        <is>
          <t>P4</t>
        </is>
      </c>
      <c r="O1500" t="inlineStr">
        <is>
          <t>Domain IOC - check IP separately</t>
        </is>
      </c>
      <c r="P1500" t="n">
        <v>0</v>
      </c>
      <c r="Q1500" t="n">
        <v>0</v>
      </c>
      <c r="R1500" t="inlineStr">
        <is>
          <t>T1071.001:Web Protocols | T1568:Dynamic Resolution</t>
        </is>
      </c>
      <c r="S1500" t="n">
        <v>1</v>
      </c>
      <c r="T1500" t="inlineStr">
        <is>
          <t>LOW (40%)</t>
        </is>
      </c>
      <c r="U1500" t="inlineStr">
        <is>
          <t>NONE</t>
        </is>
      </c>
      <c r="V1500" t="inlineStr">
        <is>
          <t>NONE</t>
        </is>
      </c>
      <c r="W1500" t="inlineStr">
        <is>
          <t>NONE</t>
        </is>
      </c>
      <c r="X1500" t="inlineStr">
        <is>
          <t>NONE</t>
        </is>
      </c>
      <c r="Y1500" t="n">
        <v>0</v>
      </c>
      <c r="Z1500" t="inlineStr"/>
      <c r="AA1500" t="inlineStr">
        <is>
          <t>https://www.threatminer.org/domain.php?q=</t>
        </is>
      </c>
    </row>
    <row r="1501">
      <c r="A1501" t="inlineStr">
        <is>
          <t>THREATMINER</t>
        </is>
      </c>
      <c r="B1501" t="inlineStr">
        <is>
          <t>d41d8cd98f00</t>
        </is>
      </c>
      <c r="C1501" t="inlineStr">
        <is>
          <t xml:space="preserve">Malicious domain:  | IP: 93.174.95.106 | Last seen: </t>
        </is>
      </c>
      <c r="D1501" t="n">
        <v>6.5</v>
      </c>
      <c r="E1501" t="inlineStr">
        <is>
          <t>MEDIUM</t>
        </is>
      </c>
      <c r="F1501" t="n">
        <v>2</v>
      </c>
      <c r="G1501" t="n">
        <v>2</v>
      </c>
      <c r="H1501" t="inlineStr">
        <is>
          <t>MEDIUM</t>
        </is>
      </c>
      <c r="I1501" t="n">
        <v>10.5</v>
      </c>
      <c r="J1501" t="inlineStr">
        <is>
          <t>NO</t>
        </is>
      </c>
      <c r="K1501" t="inlineStr"/>
      <c r="L1501" t="inlineStr">
        <is>
          <t>Block domain</t>
        </is>
      </c>
      <c r="M1501" t="inlineStr">
        <is>
          <t>DNS/Network</t>
        </is>
      </c>
      <c r="N1501" t="inlineStr">
        <is>
          <t>P4</t>
        </is>
      </c>
      <c r="O1501" t="inlineStr">
        <is>
          <t>Domain IOC - check IP separately</t>
        </is>
      </c>
      <c r="P1501" t="n">
        <v>0</v>
      </c>
      <c r="Q1501" t="n">
        <v>0</v>
      </c>
      <c r="R1501" t="inlineStr">
        <is>
          <t>T1071.001:Web Protocols | T1568:Dynamic Resolution</t>
        </is>
      </c>
      <c r="S1501" t="n">
        <v>1</v>
      </c>
      <c r="T1501" t="inlineStr">
        <is>
          <t>LOW (40%)</t>
        </is>
      </c>
      <c r="U1501" t="inlineStr">
        <is>
          <t>NONE</t>
        </is>
      </c>
      <c r="V1501" t="inlineStr">
        <is>
          <t>NONE</t>
        </is>
      </c>
      <c r="W1501" t="inlineStr">
        <is>
          <t>NONE</t>
        </is>
      </c>
      <c r="X1501" t="inlineStr">
        <is>
          <t>NONE</t>
        </is>
      </c>
      <c r="Y1501" t="n">
        <v>0</v>
      </c>
      <c r="Z1501" t="inlineStr"/>
      <c r="AA1501" t="inlineStr">
        <is>
          <t>https://www.threatminer.org/domain.php?q=</t>
        </is>
      </c>
    </row>
    <row r="1502">
      <c r="A1502" t="inlineStr">
        <is>
          <t>THREATMINER</t>
        </is>
      </c>
      <c r="B1502" t="inlineStr">
        <is>
          <t>d41d8cd98f00</t>
        </is>
      </c>
      <c r="C1502" t="inlineStr">
        <is>
          <t xml:space="preserve">Malicious domain:  | IP: 103.40.61.98 | Last seen: </t>
        </is>
      </c>
      <c r="D1502" t="n">
        <v>6.5</v>
      </c>
      <c r="E1502" t="inlineStr">
        <is>
          <t>MEDIUM</t>
        </is>
      </c>
      <c r="F1502" t="n">
        <v>2</v>
      </c>
      <c r="G1502" t="n">
        <v>2</v>
      </c>
      <c r="H1502" t="inlineStr">
        <is>
          <t>MEDIUM</t>
        </is>
      </c>
      <c r="I1502" t="n">
        <v>10.5</v>
      </c>
      <c r="J1502" t="inlineStr">
        <is>
          <t>NO</t>
        </is>
      </c>
      <c r="K1502" t="inlineStr"/>
      <c r="L1502" t="inlineStr">
        <is>
          <t>Block domain</t>
        </is>
      </c>
      <c r="M1502" t="inlineStr">
        <is>
          <t>DNS/Network</t>
        </is>
      </c>
      <c r="N1502" t="inlineStr">
        <is>
          <t>P4</t>
        </is>
      </c>
      <c r="O1502" t="inlineStr">
        <is>
          <t>Domain IOC - check IP separately</t>
        </is>
      </c>
      <c r="P1502" t="n">
        <v>0</v>
      </c>
      <c r="Q1502" t="n">
        <v>0</v>
      </c>
      <c r="R1502" t="inlineStr">
        <is>
          <t>T1071.001:Web Protocols | T1568:Dynamic Resolution</t>
        </is>
      </c>
      <c r="S1502" t="n">
        <v>1</v>
      </c>
      <c r="T1502" t="inlineStr">
        <is>
          <t>LOW (40%)</t>
        </is>
      </c>
      <c r="U1502" t="inlineStr">
        <is>
          <t>NONE</t>
        </is>
      </c>
      <c r="V1502" t="inlineStr">
        <is>
          <t>NONE</t>
        </is>
      </c>
      <c r="W1502" t="inlineStr">
        <is>
          <t>NONE</t>
        </is>
      </c>
      <c r="X1502" t="inlineStr">
        <is>
          <t>NONE</t>
        </is>
      </c>
      <c r="Y1502" t="n">
        <v>0</v>
      </c>
      <c r="Z1502" t="inlineStr"/>
      <c r="AA1502" t="inlineStr">
        <is>
          <t>https://www.threatminer.org/domain.php?q=</t>
        </is>
      </c>
    </row>
    <row r="1503">
      <c r="A1503" t="inlineStr">
        <is>
          <t>THREATMINER</t>
        </is>
      </c>
      <c r="B1503" t="inlineStr">
        <is>
          <t>d41d8cd98f00</t>
        </is>
      </c>
      <c r="C1503" t="inlineStr">
        <is>
          <t xml:space="preserve">Malicious domain:  | IP: 103.218.241.106 | Last seen: </t>
        </is>
      </c>
      <c r="D1503" t="n">
        <v>6.5</v>
      </c>
      <c r="E1503" t="inlineStr">
        <is>
          <t>MEDIUM</t>
        </is>
      </c>
      <c r="F1503" t="n">
        <v>2</v>
      </c>
      <c r="G1503" t="n">
        <v>2</v>
      </c>
      <c r="H1503" t="inlineStr">
        <is>
          <t>MEDIUM</t>
        </is>
      </c>
      <c r="I1503" t="n">
        <v>10.5</v>
      </c>
      <c r="J1503" t="inlineStr">
        <is>
          <t>NO</t>
        </is>
      </c>
      <c r="K1503" t="inlineStr"/>
      <c r="L1503" t="inlineStr">
        <is>
          <t>Block domain</t>
        </is>
      </c>
      <c r="M1503" t="inlineStr">
        <is>
          <t>DNS/Network</t>
        </is>
      </c>
      <c r="N1503" t="inlineStr">
        <is>
          <t>P4</t>
        </is>
      </c>
      <c r="O1503" t="inlineStr">
        <is>
          <t>Domain IOC - check IP separately</t>
        </is>
      </c>
      <c r="P1503" t="n">
        <v>0</v>
      </c>
      <c r="Q1503" t="n">
        <v>0</v>
      </c>
      <c r="R1503" t="inlineStr">
        <is>
          <t>T1071.001:Web Protocols | T1568:Dynamic Resolution</t>
        </is>
      </c>
      <c r="S1503" t="n">
        <v>1</v>
      </c>
      <c r="T1503" t="inlineStr">
        <is>
          <t>LOW (40%)</t>
        </is>
      </c>
      <c r="U1503" t="inlineStr">
        <is>
          <t>NONE</t>
        </is>
      </c>
      <c r="V1503" t="inlineStr">
        <is>
          <t>NONE</t>
        </is>
      </c>
      <c r="W1503" t="inlineStr">
        <is>
          <t>NONE</t>
        </is>
      </c>
      <c r="X1503" t="inlineStr">
        <is>
          <t>NONE</t>
        </is>
      </c>
      <c r="Y1503" t="n">
        <v>0</v>
      </c>
      <c r="Z1503" t="inlineStr"/>
      <c r="AA1503" t="inlineStr">
        <is>
          <t>https://www.threatminer.org/domain.php?q=</t>
        </is>
      </c>
    </row>
    <row r="1504">
      <c r="A1504" t="inlineStr">
        <is>
          <t>THREATMINER</t>
        </is>
      </c>
      <c r="B1504" t="inlineStr">
        <is>
          <t>d41d8cd98f00</t>
        </is>
      </c>
      <c r="C1504" t="inlineStr">
        <is>
          <t xml:space="preserve">Malicious domain:  | IP: 125.17.108.32 | Last seen: </t>
        </is>
      </c>
      <c r="D1504" t="n">
        <v>6.5</v>
      </c>
      <c r="E1504" t="inlineStr">
        <is>
          <t>MEDIUM</t>
        </is>
      </c>
      <c r="F1504" t="n">
        <v>2</v>
      </c>
      <c r="G1504" t="n">
        <v>2</v>
      </c>
      <c r="H1504" t="inlineStr">
        <is>
          <t>MEDIUM</t>
        </is>
      </c>
      <c r="I1504" t="n">
        <v>10.5</v>
      </c>
      <c r="J1504" t="inlineStr">
        <is>
          <t>NO</t>
        </is>
      </c>
      <c r="K1504" t="inlineStr"/>
      <c r="L1504" t="inlineStr">
        <is>
          <t>Block domain</t>
        </is>
      </c>
      <c r="M1504" t="inlineStr">
        <is>
          <t>DNS/Network</t>
        </is>
      </c>
      <c r="N1504" t="inlineStr">
        <is>
          <t>P4</t>
        </is>
      </c>
      <c r="O1504" t="inlineStr">
        <is>
          <t>Domain IOC - check IP separately</t>
        </is>
      </c>
      <c r="P1504" t="n">
        <v>0</v>
      </c>
      <c r="Q1504" t="n">
        <v>0</v>
      </c>
      <c r="R1504" t="inlineStr">
        <is>
          <t>T1071.001:Web Protocols | T1568:Dynamic Resolution</t>
        </is>
      </c>
      <c r="S1504" t="n">
        <v>1</v>
      </c>
      <c r="T1504" t="inlineStr">
        <is>
          <t>LOW (40%)</t>
        </is>
      </c>
      <c r="U1504" t="inlineStr">
        <is>
          <t>NONE</t>
        </is>
      </c>
      <c r="V1504" t="inlineStr">
        <is>
          <t>NONE</t>
        </is>
      </c>
      <c r="W1504" t="inlineStr">
        <is>
          <t>NONE</t>
        </is>
      </c>
      <c r="X1504" t="inlineStr">
        <is>
          <t>NONE</t>
        </is>
      </c>
      <c r="Y1504" t="n">
        <v>0</v>
      </c>
      <c r="Z1504" t="inlineStr"/>
      <c r="AA1504" t="inlineStr">
        <is>
          <t>https://www.threatminer.org/domain.php?q=</t>
        </is>
      </c>
    </row>
    <row r="1505">
      <c r="A1505" t="inlineStr">
        <is>
          <t>THREATMINER</t>
        </is>
      </c>
      <c r="B1505" t="inlineStr">
        <is>
          <t>d41d8cd98f00</t>
        </is>
      </c>
      <c r="C1505" t="inlineStr">
        <is>
          <t xml:space="preserve">Malicious domain:  | IP: 154.81.14.244 | Last seen: </t>
        </is>
      </c>
      <c r="D1505" t="n">
        <v>6.5</v>
      </c>
      <c r="E1505" t="inlineStr">
        <is>
          <t>MEDIUM</t>
        </is>
      </c>
      <c r="F1505" t="n">
        <v>2</v>
      </c>
      <c r="G1505" t="n">
        <v>2</v>
      </c>
      <c r="H1505" t="inlineStr">
        <is>
          <t>MEDIUM</t>
        </is>
      </c>
      <c r="I1505" t="n">
        <v>10.5</v>
      </c>
      <c r="J1505" t="inlineStr">
        <is>
          <t>NO</t>
        </is>
      </c>
      <c r="K1505" t="inlineStr"/>
      <c r="L1505" t="inlineStr">
        <is>
          <t>Block domain</t>
        </is>
      </c>
      <c r="M1505" t="inlineStr">
        <is>
          <t>DNS/Network</t>
        </is>
      </c>
      <c r="N1505" t="inlineStr">
        <is>
          <t>P4</t>
        </is>
      </c>
      <c r="O1505" t="inlineStr">
        <is>
          <t>Domain IOC - check IP separately</t>
        </is>
      </c>
      <c r="P1505" t="n">
        <v>0</v>
      </c>
      <c r="Q1505" t="n">
        <v>0</v>
      </c>
      <c r="R1505" t="inlineStr">
        <is>
          <t>T1071.001:Web Protocols | T1568:Dynamic Resolution</t>
        </is>
      </c>
      <c r="S1505" t="n">
        <v>1</v>
      </c>
      <c r="T1505" t="inlineStr">
        <is>
          <t>LOW (40%)</t>
        </is>
      </c>
      <c r="U1505" t="inlineStr">
        <is>
          <t>NONE</t>
        </is>
      </c>
      <c r="V1505" t="inlineStr">
        <is>
          <t>NONE</t>
        </is>
      </c>
      <c r="W1505" t="inlineStr">
        <is>
          <t>NONE</t>
        </is>
      </c>
      <c r="X1505" t="inlineStr">
        <is>
          <t>NONE</t>
        </is>
      </c>
      <c r="Y1505" t="n">
        <v>0</v>
      </c>
      <c r="Z1505" t="inlineStr"/>
      <c r="AA1505" t="inlineStr">
        <is>
          <t>https://www.threatminer.org/domain.php?q=</t>
        </is>
      </c>
    </row>
    <row r="1506">
      <c r="A1506" t="inlineStr">
        <is>
          <t>THREATMINER</t>
        </is>
      </c>
      <c r="B1506" t="inlineStr">
        <is>
          <t>d41d8cd98f00</t>
        </is>
      </c>
      <c r="C1506" t="inlineStr">
        <is>
          <t xml:space="preserve">Malicious domain:  | IP: 213.209.159.159 | Last seen: </t>
        </is>
      </c>
      <c r="D1506" t="n">
        <v>6.5</v>
      </c>
      <c r="E1506" t="inlineStr">
        <is>
          <t>MEDIUM</t>
        </is>
      </c>
      <c r="F1506" t="n">
        <v>2</v>
      </c>
      <c r="G1506" t="n">
        <v>2</v>
      </c>
      <c r="H1506" t="inlineStr">
        <is>
          <t>MEDIUM</t>
        </is>
      </c>
      <c r="I1506" t="n">
        <v>10.5</v>
      </c>
      <c r="J1506" t="inlineStr">
        <is>
          <t>NO</t>
        </is>
      </c>
      <c r="K1506" t="inlineStr"/>
      <c r="L1506" t="inlineStr">
        <is>
          <t>Block domain</t>
        </is>
      </c>
      <c r="M1506" t="inlineStr">
        <is>
          <t>DNS/Network</t>
        </is>
      </c>
      <c r="N1506" t="inlineStr">
        <is>
          <t>P4</t>
        </is>
      </c>
      <c r="O1506" t="inlineStr">
        <is>
          <t>Domain IOC - check IP separately</t>
        </is>
      </c>
      <c r="P1506" t="n">
        <v>0</v>
      </c>
      <c r="Q1506" t="n">
        <v>0</v>
      </c>
      <c r="R1506" t="inlineStr">
        <is>
          <t>T1071.001:Web Protocols | T1568:Dynamic Resolution</t>
        </is>
      </c>
      <c r="S1506" t="n">
        <v>1</v>
      </c>
      <c r="T1506" t="inlineStr">
        <is>
          <t>LOW (40%)</t>
        </is>
      </c>
      <c r="U1506" t="inlineStr">
        <is>
          <t>NONE</t>
        </is>
      </c>
      <c r="V1506" t="inlineStr">
        <is>
          <t>NONE</t>
        </is>
      </c>
      <c r="W1506" t="inlineStr">
        <is>
          <t>NONE</t>
        </is>
      </c>
      <c r="X1506" t="inlineStr">
        <is>
          <t>NONE</t>
        </is>
      </c>
      <c r="Y1506" t="n">
        <v>0</v>
      </c>
      <c r="Z1506" t="inlineStr"/>
      <c r="AA1506" t="inlineStr">
        <is>
          <t>https://www.threatminer.org/domain.php?q=</t>
        </is>
      </c>
    </row>
    <row r="1507">
      <c r="A1507" t="inlineStr">
        <is>
          <t>THREATMINER</t>
        </is>
      </c>
      <c r="B1507" t="inlineStr">
        <is>
          <t>d41d8cd98f00</t>
        </is>
      </c>
      <c r="C1507" t="inlineStr">
        <is>
          <t xml:space="preserve">Malicious domain:  | IP: 2.57.121.112 | Last seen: </t>
        </is>
      </c>
      <c r="D1507" t="n">
        <v>6.5</v>
      </c>
      <c r="E1507" t="inlineStr">
        <is>
          <t>MEDIUM</t>
        </is>
      </c>
      <c r="F1507" t="n">
        <v>2</v>
      </c>
      <c r="G1507" t="n">
        <v>2</v>
      </c>
      <c r="H1507" t="inlineStr">
        <is>
          <t>MEDIUM</t>
        </is>
      </c>
      <c r="I1507" t="n">
        <v>10.5</v>
      </c>
      <c r="J1507" t="inlineStr">
        <is>
          <t>NO</t>
        </is>
      </c>
      <c r="K1507" t="inlineStr"/>
      <c r="L1507" t="inlineStr">
        <is>
          <t>Block domain</t>
        </is>
      </c>
      <c r="M1507" t="inlineStr">
        <is>
          <t>DNS/Network</t>
        </is>
      </c>
      <c r="N1507" t="inlineStr">
        <is>
          <t>P4</t>
        </is>
      </c>
      <c r="O1507" t="inlineStr">
        <is>
          <t>Domain IOC - check IP separately</t>
        </is>
      </c>
      <c r="P1507" t="n">
        <v>0</v>
      </c>
      <c r="Q1507" t="n">
        <v>0</v>
      </c>
      <c r="R1507" t="inlineStr">
        <is>
          <t>T1071.001:Web Protocols | T1568:Dynamic Resolution</t>
        </is>
      </c>
      <c r="S1507" t="n">
        <v>1</v>
      </c>
      <c r="T1507" t="inlineStr">
        <is>
          <t>LOW (40%)</t>
        </is>
      </c>
      <c r="U1507" t="inlineStr">
        <is>
          <t>NONE</t>
        </is>
      </c>
      <c r="V1507" t="inlineStr">
        <is>
          <t>NONE</t>
        </is>
      </c>
      <c r="W1507" t="inlineStr">
        <is>
          <t>NONE</t>
        </is>
      </c>
      <c r="X1507" t="inlineStr">
        <is>
          <t>NONE</t>
        </is>
      </c>
      <c r="Y1507" t="n">
        <v>0</v>
      </c>
      <c r="Z1507" t="inlineStr"/>
      <c r="AA1507" t="inlineStr">
        <is>
          <t>https://www.threatminer.org/domain.php?q=</t>
        </is>
      </c>
    </row>
    <row r="1508">
      <c r="A1508" t="inlineStr">
        <is>
          <t>THREATMINER</t>
        </is>
      </c>
      <c r="B1508" t="inlineStr">
        <is>
          <t>d41d8cd98f00</t>
        </is>
      </c>
      <c r="C1508" t="inlineStr">
        <is>
          <t xml:space="preserve">Malicious domain:  | IP: 3.131.220.121 | Last seen: </t>
        </is>
      </c>
      <c r="D1508" t="n">
        <v>6.5</v>
      </c>
      <c r="E1508" t="inlineStr">
        <is>
          <t>MEDIUM</t>
        </is>
      </c>
      <c r="F1508" t="n">
        <v>2</v>
      </c>
      <c r="G1508" t="n">
        <v>2</v>
      </c>
      <c r="H1508" t="inlineStr">
        <is>
          <t>MEDIUM</t>
        </is>
      </c>
      <c r="I1508" t="n">
        <v>10.5</v>
      </c>
      <c r="J1508" t="inlineStr">
        <is>
          <t>NO</t>
        </is>
      </c>
      <c r="K1508" t="inlineStr"/>
      <c r="L1508" t="inlineStr">
        <is>
          <t>Block domain</t>
        </is>
      </c>
      <c r="M1508" t="inlineStr">
        <is>
          <t>DNS/Network</t>
        </is>
      </c>
      <c r="N1508" t="inlineStr">
        <is>
          <t>P4</t>
        </is>
      </c>
      <c r="O1508" t="inlineStr">
        <is>
          <t>Domain IOC - check IP separately</t>
        </is>
      </c>
      <c r="P1508" t="n">
        <v>0</v>
      </c>
      <c r="Q1508" t="n">
        <v>0</v>
      </c>
      <c r="R1508" t="inlineStr">
        <is>
          <t>T1071.001:Web Protocols | T1568:Dynamic Resolution</t>
        </is>
      </c>
      <c r="S1508" t="n">
        <v>1</v>
      </c>
      <c r="T1508" t="inlineStr">
        <is>
          <t>LOW (40%)</t>
        </is>
      </c>
      <c r="U1508" t="inlineStr">
        <is>
          <t>NONE</t>
        </is>
      </c>
      <c r="V1508" t="inlineStr">
        <is>
          <t>NONE</t>
        </is>
      </c>
      <c r="W1508" t="inlineStr">
        <is>
          <t>NONE</t>
        </is>
      </c>
      <c r="X1508" t="inlineStr">
        <is>
          <t>NONE</t>
        </is>
      </c>
      <c r="Y1508" t="n">
        <v>0</v>
      </c>
      <c r="Z1508" t="inlineStr"/>
      <c r="AA1508" t="inlineStr">
        <is>
          <t>https://www.threatminer.org/domain.php?q=</t>
        </is>
      </c>
    </row>
    <row r="1509">
      <c r="A1509" t="inlineStr">
        <is>
          <t>THREATMINER</t>
        </is>
      </c>
      <c r="B1509" t="inlineStr">
        <is>
          <t>d41d8cd98f00</t>
        </is>
      </c>
      <c r="C1509" t="inlineStr">
        <is>
          <t xml:space="preserve">Malicious domain:  | IP: 5.253.59.74 | Last seen: </t>
        </is>
      </c>
      <c r="D1509" t="n">
        <v>6.5</v>
      </c>
      <c r="E1509" t="inlineStr">
        <is>
          <t>MEDIUM</t>
        </is>
      </c>
      <c r="F1509" t="n">
        <v>2</v>
      </c>
      <c r="G1509" t="n">
        <v>2</v>
      </c>
      <c r="H1509" t="inlineStr">
        <is>
          <t>MEDIUM</t>
        </is>
      </c>
      <c r="I1509" t="n">
        <v>10.5</v>
      </c>
      <c r="J1509" t="inlineStr">
        <is>
          <t>NO</t>
        </is>
      </c>
      <c r="K1509" t="inlineStr"/>
      <c r="L1509" t="inlineStr">
        <is>
          <t>Block domain</t>
        </is>
      </c>
      <c r="M1509" t="inlineStr">
        <is>
          <t>DNS/Network</t>
        </is>
      </c>
      <c r="N1509" t="inlineStr">
        <is>
          <t>P4</t>
        </is>
      </c>
      <c r="O1509" t="inlineStr">
        <is>
          <t>Domain IOC - check IP separately</t>
        </is>
      </c>
      <c r="P1509" t="n">
        <v>0</v>
      </c>
      <c r="Q1509" t="n">
        <v>0</v>
      </c>
      <c r="R1509" t="inlineStr">
        <is>
          <t>T1071.001:Web Protocols | T1568:Dynamic Resolution</t>
        </is>
      </c>
      <c r="S1509" t="n">
        <v>1</v>
      </c>
      <c r="T1509" t="inlineStr">
        <is>
          <t>LOW (40%)</t>
        </is>
      </c>
      <c r="U1509" t="inlineStr">
        <is>
          <t>NONE</t>
        </is>
      </c>
      <c r="V1509" t="inlineStr">
        <is>
          <t>NONE</t>
        </is>
      </c>
      <c r="W1509" t="inlineStr">
        <is>
          <t>NONE</t>
        </is>
      </c>
      <c r="X1509" t="inlineStr">
        <is>
          <t>NONE</t>
        </is>
      </c>
      <c r="Y1509" t="n">
        <v>0</v>
      </c>
      <c r="Z1509" t="inlineStr"/>
      <c r="AA1509" t="inlineStr">
        <is>
          <t>https://www.threatminer.org/domain.php?q=</t>
        </is>
      </c>
    </row>
    <row r="1510">
      <c r="A1510" t="inlineStr">
        <is>
          <t>THREATMINER</t>
        </is>
      </c>
      <c r="B1510" t="inlineStr">
        <is>
          <t>d41d8cd98f00</t>
        </is>
      </c>
      <c r="C1510" t="inlineStr">
        <is>
          <t xml:space="preserve">Malicious domain:  | IP: 18.218.118.203 | Last seen: </t>
        </is>
      </c>
      <c r="D1510" t="n">
        <v>6.5</v>
      </c>
      <c r="E1510" t="inlineStr">
        <is>
          <t>MEDIUM</t>
        </is>
      </c>
      <c r="F1510" t="n">
        <v>2</v>
      </c>
      <c r="G1510" t="n">
        <v>2</v>
      </c>
      <c r="H1510" t="inlineStr">
        <is>
          <t>MEDIUM</t>
        </is>
      </c>
      <c r="I1510" t="n">
        <v>10.5</v>
      </c>
      <c r="J1510" t="inlineStr">
        <is>
          <t>NO</t>
        </is>
      </c>
      <c r="K1510" t="inlineStr"/>
      <c r="L1510" t="inlineStr">
        <is>
          <t>Block domain</t>
        </is>
      </c>
      <c r="M1510" t="inlineStr">
        <is>
          <t>DNS/Network</t>
        </is>
      </c>
      <c r="N1510" t="inlineStr">
        <is>
          <t>P4</t>
        </is>
      </c>
      <c r="O1510" t="inlineStr">
        <is>
          <t>Domain IOC - check IP separately</t>
        </is>
      </c>
      <c r="P1510" t="n">
        <v>0</v>
      </c>
      <c r="Q1510" t="n">
        <v>0</v>
      </c>
      <c r="R1510" t="inlineStr">
        <is>
          <t>T1071.001:Web Protocols | T1568:Dynamic Resolution</t>
        </is>
      </c>
      <c r="S1510" t="n">
        <v>1</v>
      </c>
      <c r="T1510" t="inlineStr">
        <is>
          <t>LOW (40%)</t>
        </is>
      </c>
      <c r="U1510" t="inlineStr">
        <is>
          <t>NONE</t>
        </is>
      </c>
      <c r="V1510" t="inlineStr">
        <is>
          <t>NONE</t>
        </is>
      </c>
      <c r="W1510" t="inlineStr">
        <is>
          <t>NONE</t>
        </is>
      </c>
      <c r="X1510" t="inlineStr">
        <is>
          <t>NONE</t>
        </is>
      </c>
      <c r="Y1510" t="n">
        <v>0</v>
      </c>
      <c r="Z1510" t="inlineStr"/>
      <c r="AA1510" t="inlineStr">
        <is>
          <t>https://www.threatminer.org/domain.php?q=</t>
        </is>
      </c>
    </row>
    <row r="1511">
      <c r="A1511" t="inlineStr">
        <is>
          <t>THREATMINER</t>
        </is>
      </c>
      <c r="B1511" t="inlineStr">
        <is>
          <t>d41d8cd98f00</t>
        </is>
      </c>
      <c r="C1511" t="inlineStr">
        <is>
          <t xml:space="preserve">Malicious domain:  | IP: 45.148.10.141 | Last seen: </t>
        </is>
      </c>
      <c r="D1511" t="n">
        <v>6.5</v>
      </c>
      <c r="E1511" t="inlineStr">
        <is>
          <t>MEDIUM</t>
        </is>
      </c>
      <c r="F1511" t="n">
        <v>2</v>
      </c>
      <c r="G1511" t="n">
        <v>2</v>
      </c>
      <c r="H1511" t="inlineStr">
        <is>
          <t>MEDIUM</t>
        </is>
      </c>
      <c r="I1511" t="n">
        <v>10.5</v>
      </c>
      <c r="J1511" t="inlineStr">
        <is>
          <t>NO</t>
        </is>
      </c>
      <c r="K1511" t="inlineStr"/>
      <c r="L1511" t="inlineStr">
        <is>
          <t>Block domain</t>
        </is>
      </c>
      <c r="M1511" t="inlineStr">
        <is>
          <t>DNS/Network</t>
        </is>
      </c>
      <c r="N1511" t="inlineStr">
        <is>
          <t>P4</t>
        </is>
      </c>
      <c r="O1511" t="inlineStr">
        <is>
          <t>Domain IOC - check IP separately</t>
        </is>
      </c>
      <c r="P1511" t="n">
        <v>0</v>
      </c>
      <c r="Q1511" t="n">
        <v>0</v>
      </c>
      <c r="R1511" t="inlineStr">
        <is>
          <t>T1071.001:Web Protocols | T1568:Dynamic Resolution</t>
        </is>
      </c>
      <c r="S1511" t="n">
        <v>1</v>
      </c>
      <c r="T1511" t="inlineStr">
        <is>
          <t>LOW (40%)</t>
        </is>
      </c>
      <c r="U1511" t="inlineStr">
        <is>
          <t>NONE</t>
        </is>
      </c>
      <c r="V1511" t="inlineStr">
        <is>
          <t>NONE</t>
        </is>
      </c>
      <c r="W1511" t="inlineStr">
        <is>
          <t>NONE</t>
        </is>
      </c>
      <c r="X1511" t="inlineStr">
        <is>
          <t>NONE</t>
        </is>
      </c>
      <c r="Y1511" t="n">
        <v>0</v>
      </c>
      <c r="Z1511" t="inlineStr"/>
      <c r="AA1511" t="inlineStr">
        <is>
          <t>https://www.threatminer.org/domain.php?q=</t>
        </is>
      </c>
    </row>
    <row r="1512">
      <c r="A1512" t="inlineStr">
        <is>
          <t>THREATMINER</t>
        </is>
      </c>
      <c r="B1512" t="inlineStr">
        <is>
          <t>d41d8cd98f00</t>
        </is>
      </c>
      <c r="C1512" t="inlineStr">
        <is>
          <t xml:space="preserve">Malicious domain:  | IP: 45.148.10.151 | Last seen: </t>
        </is>
      </c>
      <c r="D1512" t="n">
        <v>6.5</v>
      </c>
      <c r="E1512" t="inlineStr">
        <is>
          <t>MEDIUM</t>
        </is>
      </c>
      <c r="F1512" t="n">
        <v>2</v>
      </c>
      <c r="G1512" t="n">
        <v>2</v>
      </c>
      <c r="H1512" t="inlineStr">
        <is>
          <t>MEDIUM</t>
        </is>
      </c>
      <c r="I1512" t="n">
        <v>10.5</v>
      </c>
      <c r="J1512" t="inlineStr">
        <is>
          <t>NO</t>
        </is>
      </c>
      <c r="K1512" t="inlineStr"/>
      <c r="L1512" t="inlineStr">
        <is>
          <t>Block domain</t>
        </is>
      </c>
      <c r="M1512" t="inlineStr">
        <is>
          <t>DNS/Network</t>
        </is>
      </c>
      <c r="N1512" t="inlineStr">
        <is>
          <t>P4</t>
        </is>
      </c>
      <c r="O1512" t="inlineStr">
        <is>
          <t>Domain IOC - check IP separately</t>
        </is>
      </c>
      <c r="P1512" t="n">
        <v>0</v>
      </c>
      <c r="Q1512" t="n">
        <v>0</v>
      </c>
      <c r="R1512" t="inlineStr">
        <is>
          <t>T1071.001:Web Protocols | T1568:Dynamic Resolution</t>
        </is>
      </c>
      <c r="S1512" t="n">
        <v>1</v>
      </c>
      <c r="T1512" t="inlineStr">
        <is>
          <t>LOW (40%)</t>
        </is>
      </c>
      <c r="U1512" t="inlineStr">
        <is>
          <t>NONE</t>
        </is>
      </c>
      <c r="V1512" t="inlineStr">
        <is>
          <t>NONE</t>
        </is>
      </c>
      <c r="W1512" t="inlineStr">
        <is>
          <t>NONE</t>
        </is>
      </c>
      <c r="X1512" t="inlineStr">
        <is>
          <t>NONE</t>
        </is>
      </c>
      <c r="Y1512" t="n">
        <v>0</v>
      </c>
      <c r="Z1512" t="inlineStr"/>
      <c r="AA1512" t="inlineStr">
        <is>
          <t>https://www.threatminer.org/domain.php?q=</t>
        </is>
      </c>
    </row>
    <row r="1513">
      <c r="A1513" t="inlineStr">
        <is>
          <t>THREATMINER</t>
        </is>
      </c>
      <c r="B1513" t="inlineStr">
        <is>
          <t>d41d8cd98f00</t>
        </is>
      </c>
      <c r="C1513" t="inlineStr">
        <is>
          <t xml:space="preserve">Malicious domain:  | IP: 45.249.244.185 | Last seen: </t>
        </is>
      </c>
      <c r="D1513" t="n">
        <v>6.5</v>
      </c>
      <c r="E1513" t="inlineStr">
        <is>
          <t>MEDIUM</t>
        </is>
      </c>
      <c r="F1513" t="n">
        <v>2</v>
      </c>
      <c r="G1513" t="n">
        <v>2</v>
      </c>
      <c r="H1513" t="inlineStr">
        <is>
          <t>MEDIUM</t>
        </is>
      </c>
      <c r="I1513" t="n">
        <v>10.5</v>
      </c>
      <c r="J1513" t="inlineStr">
        <is>
          <t>NO</t>
        </is>
      </c>
      <c r="K1513" t="inlineStr"/>
      <c r="L1513" t="inlineStr">
        <is>
          <t>Block domain</t>
        </is>
      </c>
      <c r="M1513" t="inlineStr">
        <is>
          <t>DNS/Network</t>
        </is>
      </c>
      <c r="N1513" t="inlineStr">
        <is>
          <t>P4</t>
        </is>
      </c>
      <c r="O1513" t="inlineStr">
        <is>
          <t>Domain IOC - check IP separately</t>
        </is>
      </c>
      <c r="P1513" t="n">
        <v>0</v>
      </c>
      <c r="Q1513" t="n">
        <v>0</v>
      </c>
      <c r="R1513" t="inlineStr">
        <is>
          <t>T1071.001:Web Protocols | T1568:Dynamic Resolution</t>
        </is>
      </c>
      <c r="S1513" t="n">
        <v>1</v>
      </c>
      <c r="T1513" t="inlineStr">
        <is>
          <t>LOW (40%)</t>
        </is>
      </c>
      <c r="U1513" t="inlineStr">
        <is>
          <t>NONE</t>
        </is>
      </c>
      <c r="V1513" t="inlineStr">
        <is>
          <t>NONE</t>
        </is>
      </c>
      <c r="W1513" t="inlineStr">
        <is>
          <t>NONE</t>
        </is>
      </c>
      <c r="X1513" t="inlineStr">
        <is>
          <t>NONE</t>
        </is>
      </c>
      <c r="Y1513" t="n">
        <v>0</v>
      </c>
      <c r="Z1513" t="inlineStr"/>
      <c r="AA1513" t="inlineStr">
        <is>
          <t>https://www.threatminer.org/domain.php?q=</t>
        </is>
      </c>
    </row>
    <row r="1514">
      <c r="A1514" t="inlineStr">
        <is>
          <t>THREATMINER</t>
        </is>
      </c>
      <c r="B1514" t="inlineStr">
        <is>
          <t>d41d8cd98f00</t>
        </is>
      </c>
      <c r="C1514" t="inlineStr">
        <is>
          <t xml:space="preserve">Malicious domain:  | IP: 47.252.35.152 | Last seen: </t>
        </is>
      </c>
      <c r="D1514" t="n">
        <v>6.5</v>
      </c>
      <c r="E1514" t="inlineStr">
        <is>
          <t>MEDIUM</t>
        </is>
      </c>
      <c r="F1514" t="n">
        <v>2</v>
      </c>
      <c r="G1514" t="n">
        <v>2</v>
      </c>
      <c r="H1514" t="inlineStr">
        <is>
          <t>MEDIUM</t>
        </is>
      </c>
      <c r="I1514" t="n">
        <v>10.5</v>
      </c>
      <c r="J1514" t="inlineStr">
        <is>
          <t>NO</t>
        </is>
      </c>
      <c r="K1514" t="inlineStr"/>
      <c r="L1514" t="inlineStr">
        <is>
          <t>Block domain</t>
        </is>
      </c>
      <c r="M1514" t="inlineStr">
        <is>
          <t>DNS/Network</t>
        </is>
      </c>
      <c r="N1514" t="inlineStr">
        <is>
          <t>P4</t>
        </is>
      </c>
      <c r="O1514" t="inlineStr">
        <is>
          <t>Domain IOC - check IP separately</t>
        </is>
      </c>
      <c r="P1514" t="n">
        <v>0</v>
      </c>
      <c r="Q1514" t="n">
        <v>0</v>
      </c>
      <c r="R1514" t="inlineStr">
        <is>
          <t>T1071.001:Web Protocols | T1568:Dynamic Resolution</t>
        </is>
      </c>
      <c r="S1514" t="n">
        <v>1</v>
      </c>
      <c r="T1514" t="inlineStr">
        <is>
          <t>LOW (40%)</t>
        </is>
      </c>
      <c r="U1514" t="inlineStr">
        <is>
          <t>NONE</t>
        </is>
      </c>
      <c r="V1514" t="inlineStr">
        <is>
          <t>NONE</t>
        </is>
      </c>
      <c r="W1514" t="inlineStr">
        <is>
          <t>NONE</t>
        </is>
      </c>
      <c r="X1514" t="inlineStr">
        <is>
          <t>NONE</t>
        </is>
      </c>
      <c r="Y1514" t="n">
        <v>0</v>
      </c>
      <c r="Z1514" t="inlineStr"/>
      <c r="AA1514" t="inlineStr">
        <is>
          <t>https://www.threatminer.org/domain.php?q=</t>
        </is>
      </c>
    </row>
    <row r="1515">
      <c r="A1515" t="inlineStr">
        <is>
          <t>THREATMINER</t>
        </is>
      </c>
      <c r="B1515" t="inlineStr">
        <is>
          <t>d41d8cd98f00</t>
        </is>
      </c>
      <c r="C1515" t="inlineStr">
        <is>
          <t xml:space="preserve">Malicious domain:  | IP: 61.245.11.87 | Last seen: </t>
        </is>
      </c>
      <c r="D1515" t="n">
        <v>6.5</v>
      </c>
      <c r="E1515" t="inlineStr">
        <is>
          <t>MEDIUM</t>
        </is>
      </c>
      <c r="F1515" t="n">
        <v>2</v>
      </c>
      <c r="G1515" t="n">
        <v>2</v>
      </c>
      <c r="H1515" t="inlineStr">
        <is>
          <t>MEDIUM</t>
        </is>
      </c>
      <c r="I1515" t="n">
        <v>10.5</v>
      </c>
      <c r="J1515" t="inlineStr">
        <is>
          <t>NO</t>
        </is>
      </c>
      <c r="K1515" t="inlineStr"/>
      <c r="L1515" t="inlineStr">
        <is>
          <t>Block domain</t>
        </is>
      </c>
      <c r="M1515" t="inlineStr">
        <is>
          <t>DNS/Network</t>
        </is>
      </c>
      <c r="N1515" t="inlineStr">
        <is>
          <t>P4</t>
        </is>
      </c>
      <c r="O1515" t="inlineStr">
        <is>
          <t>Domain IOC - check IP separately</t>
        </is>
      </c>
      <c r="P1515" t="n">
        <v>0</v>
      </c>
      <c r="Q1515" t="n">
        <v>0</v>
      </c>
      <c r="R1515" t="inlineStr">
        <is>
          <t>T1071.001:Web Protocols | T1568:Dynamic Resolution</t>
        </is>
      </c>
      <c r="S1515" t="n">
        <v>1</v>
      </c>
      <c r="T1515" t="inlineStr">
        <is>
          <t>LOW (40%)</t>
        </is>
      </c>
      <c r="U1515" t="inlineStr">
        <is>
          <t>NONE</t>
        </is>
      </c>
      <c r="V1515" t="inlineStr">
        <is>
          <t>NONE</t>
        </is>
      </c>
      <c r="W1515" t="inlineStr">
        <is>
          <t>NONE</t>
        </is>
      </c>
      <c r="X1515" t="inlineStr">
        <is>
          <t>NONE</t>
        </is>
      </c>
      <c r="Y1515" t="n">
        <v>0</v>
      </c>
      <c r="Z1515" t="inlineStr"/>
      <c r="AA1515" t="inlineStr">
        <is>
          <t>https://www.threatminer.org/domain.php?q=</t>
        </is>
      </c>
    </row>
    <row r="1516">
      <c r="A1516" t="inlineStr">
        <is>
          <t>THREATMINER</t>
        </is>
      </c>
      <c r="B1516" t="inlineStr">
        <is>
          <t>d41d8cd98f00</t>
        </is>
      </c>
      <c r="C1516" t="inlineStr">
        <is>
          <t xml:space="preserve">Malicious domain:  | IP: 71.6.135.131 | Last seen: </t>
        </is>
      </c>
      <c r="D1516" t="n">
        <v>6.5</v>
      </c>
      <c r="E1516" t="inlineStr">
        <is>
          <t>MEDIUM</t>
        </is>
      </c>
      <c r="F1516" t="n">
        <v>2</v>
      </c>
      <c r="G1516" t="n">
        <v>2</v>
      </c>
      <c r="H1516" t="inlineStr">
        <is>
          <t>MEDIUM</t>
        </is>
      </c>
      <c r="I1516" t="n">
        <v>10.5</v>
      </c>
      <c r="J1516" t="inlineStr">
        <is>
          <t>NO</t>
        </is>
      </c>
      <c r="K1516" t="inlineStr"/>
      <c r="L1516" t="inlineStr">
        <is>
          <t>Block domain</t>
        </is>
      </c>
      <c r="M1516" t="inlineStr">
        <is>
          <t>DNS/Network</t>
        </is>
      </c>
      <c r="N1516" t="inlineStr">
        <is>
          <t>P4</t>
        </is>
      </c>
      <c r="O1516" t="inlineStr">
        <is>
          <t>Domain IOC - check IP separately</t>
        </is>
      </c>
      <c r="P1516" t="n">
        <v>0</v>
      </c>
      <c r="Q1516" t="n">
        <v>0</v>
      </c>
      <c r="R1516" t="inlineStr">
        <is>
          <t>T1071.001:Web Protocols | T1568:Dynamic Resolution</t>
        </is>
      </c>
      <c r="S1516" t="n">
        <v>1</v>
      </c>
      <c r="T1516" t="inlineStr">
        <is>
          <t>LOW (40%)</t>
        </is>
      </c>
      <c r="U1516" t="inlineStr">
        <is>
          <t>NONE</t>
        </is>
      </c>
      <c r="V1516" t="inlineStr">
        <is>
          <t>NONE</t>
        </is>
      </c>
      <c r="W1516" t="inlineStr">
        <is>
          <t>NONE</t>
        </is>
      </c>
      <c r="X1516" t="inlineStr">
        <is>
          <t>NONE</t>
        </is>
      </c>
      <c r="Y1516" t="n">
        <v>0</v>
      </c>
      <c r="Z1516" t="inlineStr"/>
      <c r="AA1516" t="inlineStr">
        <is>
          <t>https://www.threatminer.org/domain.php?q=</t>
        </is>
      </c>
    </row>
    <row r="1517">
      <c r="A1517" t="inlineStr">
        <is>
          <t>THREATMINER</t>
        </is>
      </c>
      <c r="B1517" t="inlineStr">
        <is>
          <t>d41d8cd98f00</t>
        </is>
      </c>
      <c r="C1517" t="inlineStr">
        <is>
          <t xml:space="preserve">Malicious domain:  | IP: 71.6.158.166 | Last seen: </t>
        </is>
      </c>
      <c r="D1517" t="n">
        <v>6.5</v>
      </c>
      <c r="E1517" t="inlineStr">
        <is>
          <t>MEDIUM</t>
        </is>
      </c>
      <c r="F1517" t="n">
        <v>2</v>
      </c>
      <c r="G1517" t="n">
        <v>2</v>
      </c>
      <c r="H1517" t="inlineStr">
        <is>
          <t>MEDIUM</t>
        </is>
      </c>
      <c r="I1517" t="n">
        <v>10.5</v>
      </c>
      <c r="J1517" t="inlineStr">
        <is>
          <t>NO</t>
        </is>
      </c>
      <c r="K1517" t="inlineStr"/>
      <c r="L1517" t="inlineStr">
        <is>
          <t>Block domain</t>
        </is>
      </c>
      <c r="M1517" t="inlineStr">
        <is>
          <t>DNS/Network</t>
        </is>
      </c>
      <c r="N1517" t="inlineStr">
        <is>
          <t>P4</t>
        </is>
      </c>
      <c r="O1517" t="inlineStr">
        <is>
          <t>Domain IOC - check IP separately</t>
        </is>
      </c>
      <c r="P1517" t="n">
        <v>0</v>
      </c>
      <c r="Q1517" t="n">
        <v>0</v>
      </c>
      <c r="R1517" t="inlineStr">
        <is>
          <t>T1071.001:Web Protocols | T1568:Dynamic Resolution</t>
        </is>
      </c>
      <c r="S1517" t="n">
        <v>1</v>
      </c>
      <c r="T1517" t="inlineStr">
        <is>
          <t>LOW (40%)</t>
        </is>
      </c>
      <c r="U1517" t="inlineStr">
        <is>
          <t>NONE</t>
        </is>
      </c>
      <c r="V1517" t="inlineStr">
        <is>
          <t>NONE</t>
        </is>
      </c>
      <c r="W1517" t="inlineStr">
        <is>
          <t>NONE</t>
        </is>
      </c>
      <c r="X1517" t="inlineStr">
        <is>
          <t>NONE</t>
        </is>
      </c>
      <c r="Y1517" t="n">
        <v>0</v>
      </c>
      <c r="Z1517" t="inlineStr"/>
      <c r="AA1517" t="inlineStr">
        <is>
          <t>https://www.threatminer.org/domain.php?q=</t>
        </is>
      </c>
    </row>
    <row r="1518">
      <c r="A1518" t="inlineStr">
        <is>
          <t>THREATMINER</t>
        </is>
      </c>
      <c r="B1518" t="inlineStr">
        <is>
          <t>d41d8cd98f00</t>
        </is>
      </c>
      <c r="C1518" t="inlineStr">
        <is>
          <t xml:space="preserve">Malicious domain:  | IP: 80.82.77.33 | Last seen: </t>
        </is>
      </c>
      <c r="D1518" t="n">
        <v>6.5</v>
      </c>
      <c r="E1518" t="inlineStr">
        <is>
          <t>MEDIUM</t>
        </is>
      </c>
      <c r="F1518" t="n">
        <v>2</v>
      </c>
      <c r="G1518" t="n">
        <v>2</v>
      </c>
      <c r="H1518" t="inlineStr">
        <is>
          <t>MEDIUM</t>
        </is>
      </c>
      <c r="I1518" t="n">
        <v>10.5</v>
      </c>
      <c r="J1518" t="inlineStr">
        <is>
          <t>NO</t>
        </is>
      </c>
      <c r="K1518" t="inlineStr"/>
      <c r="L1518" t="inlineStr">
        <is>
          <t>Block domain</t>
        </is>
      </c>
      <c r="M1518" t="inlineStr">
        <is>
          <t>DNS/Network</t>
        </is>
      </c>
      <c r="N1518" t="inlineStr">
        <is>
          <t>P4</t>
        </is>
      </c>
      <c r="O1518" t="inlineStr">
        <is>
          <t>Domain IOC - check IP separately</t>
        </is>
      </c>
      <c r="P1518" t="n">
        <v>0</v>
      </c>
      <c r="Q1518" t="n">
        <v>0</v>
      </c>
      <c r="R1518" t="inlineStr">
        <is>
          <t>T1071.001:Web Protocols | T1568:Dynamic Resolution</t>
        </is>
      </c>
      <c r="S1518" t="n">
        <v>1</v>
      </c>
      <c r="T1518" t="inlineStr">
        <is>
          <t>LOW (40%)</t>
        </is>
      </c>
      <c r="U1518" t="inlineStr">
        <is>
          <t>NONE</t>
        </is>
      </c>
      <c r="V1518" t="inlineStr">
        <is>
          <t>NONE</t>
        </is>
      </c>
      <c r="W1518" t="inlineStr">
        <is>
          <t>NONE</t>
        </is>
      </c>
      <c r="X1518" t="inlineStr">
        <is>
          <t>NONE</t>
        </is>
      </c>
      <c r="Y1518" t="n">
        <v>0</v>
      </c>
      <c r="Z1518" t="inlineStr"/>
      <c r="AA1518" t="inlineStr">
        <is>
          <t>https://www.threatminer.org/domain.php?q=</t>
        </is>
      </c>
    </row>
    <row r="1519">
      <c r="A1519" t="inlineStr">
        <is>
          <t>THREATMINER</t>
        </is>
      </c>
      <c r="B1519" t="inlineStr">
        <is>
          <t>d41d8cd98f00</t>
        </is>
      </c>
      <c r="C1519" t="inlineStr">
        <is>
          <t xml:space="preserve">Malicious domain:  | IP: 80.94.92.182 | Last seen: </t>
        </is>
      </c>
      <c r="D1519" t="n">
        <v>6.5</v>
      </c>
      <c r="E1519" t="inlineStr">
        <is>
          <t>MEDIUM</t>
        </is>
      </c>
      <c r="F1519" t="n">
        <v>2</v>
      </c>
      <c r="G1519" t="n">
        <v>2</v>
      </c>
      <c r="H1519" t="inlineStr">
        <is>
          <t>MEDIUM</t>
        </is>
      </c>
      <c r="I1519" t="n">
        <v>10.5</v>
      </c>
      <c r="J1519" t="inlineStr">
        <is>
          <t>NO</t>
        </is>
      </c>
      <c r="K1519" t="inlineStr"/>
      <c r="L1519" t="inlineStr">
        <is>
          <t>Block domain</t>
        </is>
      </c>
      <c r="M1519" t="inlineStr">
        <is>
          <t>DNS/Network</t>
        </is>
      </c>
      <c r="N1519" t="inlineStr">
        <is>
          <t>P4</t>
        </is>
      </c>
      <c r="O1519" t="inlineStr">
        <is>
          <t>Domain IOC - check IP separately</t>
        </is>
      </c>
      <c r="P1519" t="n">
        <v>0</v>
      </c>
      <c r="Q1519" t="n">
        <v>0</v>
      </c>
      <c r="R1519" t="inlineStr">
        <is>
          <t>T1071.001:Web Protocols | T1568:Dynamic Resolution</t>
        </is>
      </c>
      <c r="S1519" t="n">
        <v>1</v>
      </c>
      <c r="T1519" t="inlineStr">
        <is>
          <t>LOW (40%)</t>
        </is>
      </c>
      <c r="U1519" t="inlineStr">
        <is>
          <t>NONE</t>
        </is>
      </c>
      <c r="V1519" t="inlineStr">
        <is>
          <t>NONE</t>
        </is>
      </c>
      <c r="W1519" t="inlineStr">
        <is>
          <t>NONE</t>
        </is>
      </c>
      <c r="X1519" t="inlineStr">
        <is>
          <t>NONE</t>
        </is>
      </c>
      <c r="Y1519" t="n">
        <v>0</v>
      </c>
      <c r="Z1519" t="inlineStr"/>
      <c r="AA1519" t="inlineStr">
        <is>
          <t>https://www.threatminer.org/domain.php?q=</t>
        </is>
      </c>
    </row>
    <row r="1520">
      <c r="A1520" t="inlineStr">
        <is>
          <t>SHODAN_VULN</t>
        </is>
      </c>
      <c r="B1520" t="inlineStr">
        <is>
          <t>f357a582e404</t>
        </is>
      </c>
      <c r="C1520" t="inlineStr">
        <is>
          <t>InternetDB: 178.62.3.223 | Ports: 22, 25, 53, 80, 443, 587, 993, 995 | box.nautadb.com | Tags: cloud, starttls</t>
        </is>
      </c>
      <c r="D1520" t="n">
        <v>5</v>
      </c>
      <c r="E1520" t="inlineStr">
        <is>
          <t>MEDIUM</t>
        </is>
      </c>
      <c r="F1520" t="n">
        <v>1</v>
      </c>
      <c r="G1520" t="n">
        <v>2</v>
      </c>
      <c r="H1520" t="inlineStr">
        <is>
          <t>LOW</t>
        </is>
      </c>
      <c r="I1520" t="n">
        <v>7</v>
      </c>
      <c r="J1520" t="inlineStr">
        <is>
          <t>NO</t>
        </is>
      </c>
      <c r="K1520" t="inlineStr">
        <is>
          <t>2026-02-23 23:48</t>
        </is>
      </c>
      <c r="L1520" t="inlineStr">
        <is>
          <t>Review and firewall exposed ports</t>
        </is>
      </c>
      <c r="M1520" t="inlineStr">
        <is>
          <t>box.nautadb.com</t>
        </is>
      </c>
      <c r="N1520" t="inlineStr">
        <is>
          <t>P4</t>
        </is>
      </c>
      <c r="O1520" t="inlineStr">
        <is>
          <t>Shodan InternetDB — open ports, no known CVEs indexed</t>
        </is>
      </c>
      <c r="P1520" t="n">
        <v>0</v>
      </c>
      <c r="Q1520" t="n">
        <v>0</v>
      </c>
      <c r="R1520" t="inlineStr">
        <is>
          <t>T1046:Network Service Discovery</t>
        </is>
      </c>
      <c r="S1520" t="n">
        <v>1</v>
      </c>
      <c r="T1520" t="inlineStr">
        <is>
          <t>LOW (40%)</t>
        </is>
      </c>
      <c r="U1520" t="inlineStr">
        <is>
          <t>NONE</t>
        </is>
      </c>
      <c r="V1520" t="inlineStr">
        <is>
          <t>Restrict access</t>
        </is>
      </c>
      <c r="W1520" t="inlineStr">
        <is>
          <t>https://www.shodan.io/host/178.62.3.223</t>
        </is>
      </c>
      <c r="X1520" t="inlineStr">
        <is>
          <t>NONE</t>
        </is>
      </c>
      <c r="Y1520" t="n">
        <v>0</v>
      </c>
      <c r="Z1520" t="inlineStr"/>
      <c r="AA1520" t="inlineStr">
        <is>
          <t>https://www.shodan.io/host/178.62.3.223</t>
        </is>
      </c>
    </row>
    <row r="1521">
      <c r="A1521" t="inlineStr">
        <is>
          <t>SHODAN_VULN</t>
        </is>
      </c>
      <c r="B1521" t="inlineStr">
        <is>
          <t>7270e450f7f1</t>
        </is>
      </c>
      <c r="C1521" t="inlineStr">
        <is>
          <t>InternetDB: 162.243.103.246 | Ports: 22, 80, 443, 8080 | wearoddball.com | CVE: CVE-2014-3470 | Tags: cloud</t>
        </is>
      </c>
      <c r="D1521" t="n">
        <v>7.5</v>
      </c>
      <c r="E1521" t="inlineStr">
        <is>
          <t>HIGH</t>
        </is>
      </c>
      <c r="F1521" t="n">
        <v>2</v>
      </c>
      <c r="G1521" t="n">
        <v>2</v>
      </c>
      <c r="H1521" t="inlineStr">
        <is>
          <t>MEDIUM</t>
        </is>
      </c>
      <c r="I1521" t="n">
        <v>11.5</v>
      </c>
      <c r="J1521" t="inlineStr">
        <is>
          <t>NO</t>
        </is>
      </c>
      <c r="K1521" t="inlineStr">
        <is>
          <t>2026-02-23 23:48</t>
        </is>
      </c>
      <c r="L1521" t="inlineStr">
        <is>
          <t>Apply patch and restrict exposed ports</t>
        </is>
      </c>
      <c r="M1521" t="inlineStr">
        <is>
          <t>wearoddball.com</t>
        </is>
      </c>
      <c r="N1521" t="inlineStr">
        <is>
          <t>P4</t>
        </is>
      </c>
      <c r="O1521" t="inlineStr">
        <is>
          <t>Shodan InternetDB — see ip-api.com context for scanner classification</t>
        </is>
      </c>
      <c r="P1521" t="n">
        <v>0</v>
      </c>
      <c r="Q1521" t="n">
        <v>0</v>
      </c>
      <c r="R1521" t="inlineStr">
        <is>
          <t>T1190:Exploit Public-Facing Application | T1046:Network Service Discovery</t>
        </is>
      </c>
      <c r="S1521" t="n">
        <v>1</v>
      </c>
      <c r="T1521" t="inlineStr">
        <is>
          <t>LOW (40%)</t>
        </is>
      </c>
      <c r="U1521" t="inlineStr">
        <is>
          <t>CHECK_VULNS</t>
        </is>
      </c>
      <c r="V1521" t="inlineStr">
        <is>
          <t>Restrict access</t>
        </is>
      </c>
      <c r="W1521" t="inlineStr">
        <is>
          <t>https://www.shodan.io/host/162.243.103.246</t>
        </is>
      </c>
      <c r="X1521" t="inlineStr">
        <is>
          <t>NONE</t>
        </is>
      </c>
      <c r="Y1521" t="n">
        <v>0</v>
      </c>
      <c r="Z1521" t="inlineStr"/>
      <c r="AA1521" t="inlineStr">
        <is>
          <t>https://www.shodan.io/host/162.243.103.246</t>
        </is>
      </c>
    </row>
    <row r="1522">
      <c r="A1522" t="inlineStr">
        <is>
          <t>SHODAN_VULN</t>
        </is>
      </c>
      <c r="B1522" t="inlineStr">
        <is>
          <t>ff59c7fe2f68</t>
        </is>
      </c>
      <c r="C1522" t="inlineStr">
        <is>
          <t>InternetDB: 162.243.103.246 | Ports: 22, 80, 443, 8080 | wearoddball.com | CVE: CVE-2014-2497 | Tags: cloud</t>
        </is>
      </c>
      <c r="D1522" t="n">
        <v>7.5</v>
      </c>
      <c r="E1522" t="inlineStr">
        <is>
          <t>HIGH</t>
        </is>
      </c>
      <c r="F1522" t="n">
        <v>2</v>
      </c>
      <c r="G1522" t="n">
        <v>2</v>
      </c>
      <c r="H1522" t="inlineStr">
        <is>
          <t>MEDIUM</t>
        </is>
      </c>
      <c r="I1522" t="n">
        <v>11.5</v>
      </c>
      <c r="J1522" t="inlineStr">
        <is>
          <t>NO</t>
        </is>
      </c>
      <c r="K1522" t="inlineStr">
        <is>
          <t>2026-02-23 23:48</t>
        </is>
      </c>
      <c r="L1522" t="inlineStr">
        <is>
          <t>Apply patch and restrict exposed ports</t>
        </is>
      </c>
      <c r="M1522" t="inlineStr">
        <is>
          <t>wearoddball.com</t>
        </is>
      </c>
      <c r="N1522" t="inlineStr">
        <is>
          <t>P4</t>
        </is>
      </c>
      <c r="O1522" t="inlineStr">
        <is>
          <t>Shodan InternetDB — see ip-api.com context for scanner classification</t>
        </is>
      </c>
      <c r="P1522" t="n">
        <v>0</v>
      </c>
      <c r="Q1522" t="n">
        <v>0</v>
      </c>
      <c r="R1522" t="inlineStr">
        <is>
          <t>T1190:Exploit Public-Facing Application | T1046:Network Service Discovery</t>
        </is>
      </c>
      <c r="S1522" t="n">
        <v>1</v>
      </c>
      <c r="T1522" t="inlineStr">
        <is>
          <t>LOW (40%)</t>
        </is>
      </c>
      <c r="U1522" t="inlineStr">
        <is>
          <t>CHECK_VULNS</t>
        </is>
      </c>
      <c r="V1522" t="inlineStr">
        <is>
          <t>Restrict access</t>
        </is>
      </c>
      <c r="W1522" t="inlineStr">
        <is>
          <t>https://www.shodan.io/host/162.243.103.246</t>
        </is>
      </c>
      <c r="X1522" t="inlineStr">
        <is>
          <t>NONE</t>
        </is>
      </c>
      <c r="Y1522" t="n">
        <v>0</v>
      </c>
      <c r="Z1522" t="inlineStr"/>
      <c r="AA1522" t="inlineStr">
        <is>
          <t>https://www.shodan.io/host/162.243.103.246</t>
        </is>
      </c>
    </row>
    <row r="1523">
      <c r="A1523" t="inlineStr">
        <is>
          <t>SHODAN_VULN</t>
        </is>
      </c>
      <c r="B1523" t="inlineStr">
        <is>
          <t>5551873c0fb5</t>
        </is>
      </c>
      <c r="C1523" t="inlineStr">
        <is>
          <t>InternetDB: 162.243.103.246 | Ports: 22, 80, 443, 8080 | wearoddball.com | CVE: CVE-2019-9641 | Tags: cloud</t>
        </is>
      </c>
      <c r="D1523" t="n">
        <v>7.5</v>
      </c>
      <c r="E1523" t="inlineStr">
        <is>
          <t>HIGH</t>
        </is>
      </c>
      <c r="F1523" t="n">
        <v>2</v>
      </c>
      <c r="G1523" t="n">
        <v>2</v>
      </c>
      <c r="H1523" t="inlineStr">
        <is>
          <t>MEDIUM</t>
        </is>
      </c>
      <c r="I1523" t="n">
        <v>11.5</v>
      </c>
      <c r="J1523" t="inlineStr">
        <is>
          <t>NO</t>
        </is>
      </c>
      <c r="K1523" t="inlineStr">
        <is>
          <t>2026-02-23 23:48</t>
        </is>
      </c>
      <c r="L1523" t="inlineStr">
        <is>
          <t>Apply patch and restrict exposed ports</t>
        </is>
      </c>
      <c r="M1523" t="inlineStr">
        <is>
          <t>wearoddball.com</t>
        </is>
      </c>
      <c r="N1523" t="inlineStr">
        <is>
          <t>P4</t>
        </is>
      </c>
      <c r="O1523" t="inlineStr">
        <is>
          <t>Shodan InternetDB — see ip-api.com context for scanner classification</t>
        </is>
      </c>
      <c r="P1523" t="n">
        <v>0</v>
      </c>
      <c r="Q1523" t="n">
        <v>0</v>
      </c>
      <c r="R1523" t="inlineStr">
        <is>
          <t>T1190:Exploit Public-Facing Application | T1046:Network Service Discovery</t>
        </is>
      </c>
      <c r="S1523" t="n">
        <v>1</v>
      </c>
      <c r="T1523" t="inlineStr">
        <is>
          <t>LOW (40%)</t>
        </is>
      </c>
      <c r="U1523" t="inlineStr">
        <is>
          <t>CHECK_VULNS</t>
        </is>
      </c>
      <c r="V1523" t="inlineStr">
        <is>
          <t>Restrict access</t>
        </is>
      </c>
      <c r="W1523" t="inlineStr">
        <is>
          <t>https://www.shodan.io/host/162.243.103.246</t>
        </is>
      </c>
      <c r="X1523" t="inlineStr">
        <is>
          <t>NONE</t>
        </is>
      </c>
      <c r="Y1523" t="n">
        <v>0</v>
      </c>
      <c r="Z1523" t="inlineStr"/>
      <c r="AA1523" t="inlineStr">
        <is>
          <t>https://www.shodan.io/host/162.243.103.246</t>
        </is>
      </c>
    </row>
    <row r="1524">
      <c r="A1524" t="inlineStr">
        <is>
          <t>ABUSE_IP</t>
        </is>
      </c>
      <c r="B1524" t="inlineStr">
        <is>
          <t>4c2a66ad2de6</t>
        </is>
      </c>
      <c r="C1524" t="inlineStr">
        <is>
          <t>Malicious IP: 195.178.110.26 | Country: NL | ISP: Unknown | Confidence: 100% | Sources: ABUSEIPDB</t>
        </is>
      </c>
      <c r="D1524" t="n">
        <v>6.5</v>
      </c>
      <c r="E1524" t="inlineStr">
        <is>
          <t>MEDIUM</t>
        </is>
      </c>
      <c r="F1524" t="n">
        <v>3</v>
      </c>
      <c r="G1524" t="n">
        <v>1</v>
      </c>
      <c r="H1524" t="inlineStr">
        <is>
          <t>MEDIUM</t>
        </is>
      </c>
      <c r="I1524" t="n">
        <v>9.5</v>
      </c>
      <c r="J1524" t="inlineStr">
        <is>
          <t>NO</t>
        </is>
      </c>
      <c r="K1524" t="inlineStr">
        <is>
          <t>2026-02-23T21:17:01+00:00</t>
        </is>
      </c>
      <c r="L1524" t="inlineStr">
        <is>
          <t>Block IP</t>
        </is>
      </c>
      <c r="M1524" t="inlineStr">
        <is>
          <t>Firewall/Network</t>
        </is>
      </c>
      <c r="N1524" t="inlineStr">
        <is>
          <t>P4</t>
        </is>
      </c>
      <c r="O1524" t="inlineStr">
        <is>
          <t>Skipped (20/run cap)</t>
        </is>
      </c>
      <c r="P1524" t="n">
        <v>0</v>
      </c>
      <c r="Q1524" t="n">
        <v>0</v>
      </c>
      <c r="R1524" t="inlineStr">
        <is>
          <t>T1110:Brute Force | T1078:Valid Accounts</t>
        </is>
      </c>
      <c r="S1524" t="n">
        <v>1</v>
      </c>
      <c r="T1524" t="inlineStr">
        <is>
          <t>LOW (40%)</t>
        </is>
      </c>
      <c r="U1524" t="inlineStr">
        <is>
          <t>NONE</t>
        </is>
      </c>
      <c r="V1524" t="inlineStr">
        <is>
          <t>NONE</t>
        </is>
      </c>
      <c r="W1524" t="inlineStr">
        <is>
          <t>NONE</t>
        </is>
      </c>
      <c r="X1524" t="inlineStr">
        <is>
          <t>NONE</t>
        </is>
      </c>
      <c r="Y1524" t="n">
        <v>0</v>
      </c>
      <c r="Z1524" t="inlineStr"/>
      <c r="AA1524" t="inlineStr">
        <is>
          <t>https://www.abuseipdb.com/check/195.178.110.26</t>
        </is>
      </c>
    </row>
    <row r="1525">
      <c r="A1525" t="inlineStr">
        <is>
          <t>ABUSE_IP</t>
        </is>
      </c>
      <c r="B1525" t="inlineStr">
        <is>
          <t>df09699dd348</t>
        </is>
      </c>
      <c r="C1525" t="inlineStr">
        <is>
          <t>Malicious IP: 40.124.175.233 | Country: US | ISP: Unknown | Confidence: 100% | Sources: ABUSEIPDB</t>
        </is>
      </c>
      <c r="D1525" t="n">
        <v>6.5</v>
      </c>
      <c r="E1525" t="inlineStr">
        <is>
          <t>MEDIUM</t>
        </is>
      </c>
      <c r="F1525" t="n">
        <v>3</v>
      </c>
      <c r="G1525" t="n">
        <v>1</v>
      </c>
      <c r="H1525" t="inlineStr">
        <is>
          <t>MEDIUM</t>
        </is>
      </c>
      <c r="I1525" t="n">
        <v>9.5</v>
      </c>
      <c r="J1525" t="inlineStr">
        <is>
          <t>NO</t>
        </is>
      </c>
      <c r="K1525" t="inlineStr">
        <is>
          <t>2026-02-23T21:17:01+00:00</t>
        </is>
      </c>
      <c r="L1525" t="inlineStr">
        <is>
          <t>Block IP</t>
        </is>
      </c>
      <c r="M1525" t="inlineStr">
        <is>
          <t>Firewall/Network</t>
        </is>
      </c>
      <c r="N1525" t="inlineStr">
        <is>
          <t>P4</t>
        </is>
      </c>
      <c r="O1525" t="inlineStr">
        <is>
          <t>🚨 MALICIOUS: Microsoft Azure Cloud (southcentralus) | 🌍 United States | San Antonio | 🏢 Microsoft Azure Cloud (southcentralus) | ASN: AS8075 Microsoft Corporation | 🖥️ Hosting/DC | 🚨 AbuseIPDB: 100% malicious (Data Center/Web Hosting/Transit)</t>
        </is>
      </c>
      <c r="P1525" t="n">
        <v>0</v>
      </c>
      <c r="Q1525" t="n">
        <v>0</v>
      </c>
      <c r="R1525" t="inlineStr">
        <is>
          <t>T1110:Brute Force | T1078:Valid Accounts</t>
        </is>
      </c>
      <c r="S1525" t="n">
        <v>1</v>
      </c>
      <c r="T1525" t="inlineStr">
        <is>
          <t>LOW (40%)</t>
        </is>
      </c>
      <c r="U1525" t="inlineStr">
        <is>
          <t>NONE</t>
        </is>
      </c>
      <c r="V1525" t="inlineStr">
        <is>
          <t>NONE</t>
        </is>
      </c>
      <c r="W1525" t="inlineStr">
        <is>
          <t>NONE</t>
        </is>
      </c>
      <c r="X1525" t="inlineStr">
        <is>
          <t>NONE</t>
        </is>
      </c>
      <c r="Y1525" t="n">
        <v>0</v>
      </c>
      <c r="Z1525" t="inlineStr"/>
      <c r="AA1525" t="inlineStr">
        <is>
          <t>https://www.abuseipdb.com/check/40.124.175.233</t>
        </is>
      </c>
    </row>
    <row r="1526">
      <c r="A1526" t="inlineStr">
        <is>
          <t>ABUSE_IP</t>
        </is>
      </c>
      <c r="B1526" t="inlineStr">
        <is>
          <t>c794327f64dc</t>
        </is>
      </c>
      <c r="C1526" t="inlineStr">
        <is>
          <t>Malicious IP: 175.6.179.51 | Country: CN | ISP: Unknown | Confidence: 100% | Sources: ABUSEIPDB</t>
        </is>
      </c>
      <c r="D1526" t="n">
        <v>6.5</v>
      </c>
      <c r="E1526" t="inlineStr">
        <is>
          <t>MEDIUM</t>
        </is>
      </c>
      <c r="F1526" t="n">
        <v>3</v>
      </c>
      <c r="G1526" t="n">
        <v>1</v>
      </c>
      <c r="H1526" t="inlineStr">
        <is>
          <t>MEDIUM</t>
        </is>
      </c>
      <c r="I1526" t="n">
        <v>9.5</v>
      </c>
      <c r="J1526" t="inlineStr">
        <is>
          <t>NO</t>
        </is>
      </c>
      <c r="K1526" t="inlineStr">
        <is>
          <t>2026-02-23T21:17:00+00:00</t>
        </is>
      </c>
      <c r="L1526" t="inlineStr">
        <is>
          <t>Block IP</t>
        </is>
      </c>
      <c r="M1526" t="inlineStr">
        <is>
          <t>Firewall/Network</t>
        </is>
      </c>
      <c r="N1526" t="inlineStr">
        <is>
          <t>P4</t>
        </is>
      </c>
      <c r="O1526" t="inlineStr">
        <is>
          <t>Skipped (20/run cap)</t>
        </is>
      </c>
      <c r="P1526" t="n">
        <v>0</v>
      </c>
      <c r="Q1526" t="n">
        <v>0</v>
      </c>
      <c r="R1526" t="inlineStr">
        <is>
          <t>T1110:Brute Force | T1078:Valid Accounts</t>
        </is>
      </c>
      <c r="S1526" t="n">
        <v>1</v>
      </c>
      <c r="T1526" t="inlineStr">
        <is>
          <t>LOW (40%)</t>
        </is>
      </c>
      <c r="U1526" t="inlineStr">
        <is>
          <t>NONE</t>
        </is>
      </c>
      <c r="V1526" t="inlineStr">
        <is>
          <t>NONE</t>
        </is>
      </c>
      <c r="W1526" t="inlineStr">
        <is>
          <t>NONE</t>
        </is>
      </c>
      <c r="X1526" t="inlineStr">
        <is>
          <t>NONE</t>
        </is>
      </c>
      <c r="Y1526" t="n">
        <v>0</v>
      </c>
      <c r="Z1526" t="inlineStr"/>
      <c r="AA1526" t="inlineStr">
        <is>
          <t>https://www.abuseipdb.com/check/175.6.179.51</t>
        </is>
      </c>
    </row>
    <row r="1527">
      <c r="A1527" t="inlineStr">
        <is>
          <t>ABUSE_IP</t>
        </is>
      </c>
      <c r="B1527" t="inlineStr">
        <is>
          <t>5efad10f420b</t>
        </is>
      </c>
      <c r="C1527" t="inlineStr">
        <is>
          <t>Malicious IP: 74.248.96.218 | Country: PL | ISP: Unknown | Confidence: 100% | Sources: ABUSEIPDB</t>
        </is>
      </c>
      <c r="D1527" t="n">
        <v>6.5</v>
      </c>
      <c r="E1527" t="inlineStr">
        <is>
          <t>MEDIUM</t>
        </is>
      </c>
      <c r="F1527" t="n">
        <v>3</v>
      </c>
      <c r="G1527" t="n">
        <v>1</v>
      </c>
      <c r="H1527" t="inlineStr">
        <is>
          <t>MEDIUM</t>
        </is>
      </c>
      <c r="I1527" t="n">
        <v>9.5</v>
      </c>
      <c r="J1527" t="inlineStr">
        <is>
          <t>NO</t>
        </is>
      </c>
      <c r="K1527" t="inlineStr">
        <is>
          <t>2026-02-23T21:17:00+00:00</t>
        </is>
      </c>
      <c r="L1527" t="inlineStr">
        <is>
          <t>Block IP</t>
        </is>
      </c>
      <c r="M1527" t="inlineStr">
        <is>
          <t>Firewall/Network</t>
        </is>
      </c>
      <c r="N1527" t="inlineStr">
        <is>
          <t>P4</t>
        </is>
      </c>
      <c r="O1527" t="inlineStr">
        <is>
          <t>Skipped (20/run cap)</t>
        </is>
      </c>
      <c r="P1527" t="n">
        <v>0</v>
      </c>
      <c r="Q1527" t="n">
        <v>0</v>
      </c>
      <c r="R1527" t="inlineStr">
        <is>
          <t>T1110:Brute Force | T1078:Valid Accounts</t>
        </is>
      </c>
      <c r="S1527" t="n">
        <v>1</v>
      </c>
      <c r="T1527" t="inlineStr">
        <is>
          <t>LOW (40%)</t>
        </is>
      </c>
      <c r="U1527" t="inlineStr">
        <is>
          <t>NONE</t>
        </is>
      </c>
      <c r="V1527" t="inlineStr">
        <is>
          <t>NONE</t>
        </is>
      </c>
      <c r="W1527" t="inlineStr">
        <is>
          <t>NONE</t>
        </is>
      </c>
      <c r="X1527" t="inlineStr">
        <is>
          <t>NONE</t>
        </is>
      </c>
      <c r="Y1527" t="n">
        <v>0</v>
      </c>
      <c r="Z1527" t="inlineStr"/>
      <c r="AA1527" t="inlineStr">
        <is>
          <t>https://www.abuseipdb.com/check/74.248.96.218</t>
        </is>
      </c>
    </row>
    <row r="1528">
      <c r="A1528" t="inlineStr">
        <is>
          <t>ABUSE_IP</t>
        </is>
      </c>
      <c r="B1528" t="inlineStr">
        <is>
          <t>be119452f411</t>
        </is>
      </c>
      <c r="C1528" t="inlineStr">
        <is>
          <t>Malicious IP: 206.191.154.44 | Country: US | ISP: Unknown | Confidence: 100% | Sources: ABUSEIPDB</t>
        </is>
      </c>
      <c r="D1528" t="n">
        <v>6.5</v>
      </c>
      <c r="E1528" t="inlineStr">
        <is>
          <t>MEDIUM</t>
        </is>
      </c>
      <c r="F1528" t="n">
        <v>3</v>
      </c>
      <c r="G1528" t="n">
        <v>1</v>
      </c>
      <c r="H1528" t="inlineStr">
        <is>
          <t>MEDIUM</t>
        </is>
      </c>
      <c r="I1528" t="n">
        <v>9.5</v>
      </c>
      <c r="J1528" t="inlineStr">
        <is>
          <t>NO</t>
        </is>
      </c>
      <c r="K1528" t="inlineStr">
        <is>
          <t>2026-02-23T21:17:00+00:00</t>
        </is>
      </c>
      <c r="L1528" t="inlineStr">
        <is>
          <t>Block IP</t>
        </is>
      </c>
      <c r="M1528" t="inlineStr">
        <is>
          <t>Firewall/Network</t>
        </is>
      </c>
      <c r="N1528" t="inlineStr">
        <is>
          <t>P4</t>
        </is>
      </c>
      <c r="O1528" t="inlineStr">
        <is>
          <t>Skipped (20/run cap)</t>
        </is>
      </c>
      <c r="P1528" t="n">
        <v>0</v>
      </c>
      <c r="Q1528" t="n">
        <v>0</v>
      </c>
      <c r="R1528" t="inlineStr">
        <is>
          <t>T1110:Brute Force | T1078:Valid Accounts</t>
        </is>
      </c>
      <c r="S1528" t="n">
        <v>1</v>
      </c>
      <c r="T1528" t="inlineStr">
        <is>
          <t>LOW (40%)</t>
        </is>
      </c>
      <c r="U1528" t="inlineStr">
        <is>
          <t>NONE</t>
        </is>
      </c>
      <c r="V1528" t="inlineStr">
        <is>
          <t>NONE</t>
        </is>
      </c>
      <c r="W1528" t="inlineStr">
        <is>
          <t>NONE</t>
        </is>
      </c>
      <c r="X1528" t="inlineStr">
        <is>
          <t>NONE</t>
        </is>
      </c>
      <c r="Y1528" t="n">
        <v>0</v>
      </c>
      <c r="Z1528" t="inlineStr"/>
      <c r="AA1528" t="inlineStr">
        <is>
          <t>https://www.abuseipdb.com/check/206.191.154.44</t>
        </is>
      </c>
    </row>
    <row r="1529">
      <c r="A1529" t="inlineStr">
        <is>
          <t>ABUSE_IP</t>
        </is>
      </c>
      <c r="B1529" t="inlineStr">
        <is>
          <t>cfad4f31eb0d</t>
        </is>
      </c>
      <c r="C1529" t="inlineStr">
        <is>
          <t>Malicious IP: 154.83.197.21 | Country: US | ISP: Unknown | Confidence: 100% | Sources: ABUSEIPDB</t>
        </is>
      </c>
      <c r="D1529" t="n">
        <v>6.5</v>
      </c>
      <c r="E1529" t="inlineStr">
        <is>
          <t>MEDIUM</t>
        </is>
      </c>
      <c r="F1529" t="n">
        <v>3</v>
      </c>
      <c r="G1529" t="n">
        <v>1</v>
      </c>
      <c r="H1529" t="inlineStr">
        <is>
          <t>MEDIUM</t>
        </is>
      </c>
      <c r="I1529" t="n">
        <v>9.5</v>
      </c>
      <c r="J1529" t="inlineStr">
        <is>
          <t>NO</t>
        </is>
      </c>
      <c r="K1529" t="inlineStr">
        <is>
          <t>2026-02-23T21:17:00+00:00</t>
        </is>
      </c>
      <c r="L1529" t="inlineStr">
        <is>
          <t>Block IP</t>
        </is>
      </c>
      <c r="M1529" t="inlineStr">
        <is>
          <t>Firewall/Network</t>
        </is>
      </c>
      <c r="N1529" t="inlineStr">
        <is>
          <t>P4</t>
        </is>
      </c>
      <c r="O1529" t="inlineStr">
        <is>
          <t>🚨 MALICIOUS: Bunny Technology LLC | 🌍 United States | Los Angeles | 🏢 Bunny Technology LLC | ASN: AS135377 UCLOUD INFORMATION TECHNOLOGY (HK) LIMITED | 🖥️ Hosting/DC | 🚨 AbuseIPDB: 100% malicious (Data Center/Web Hosting/Transit)</t>
        </is>
      </c>
      <c r="P1529" t="n">
        <v>0</v>
      </c>
      <c r="Q1529" t="n">
        <v>0</v>
      </c>
      <c r="R1529" t="inlineStr">
        <is>
          <t>T1110:Brute Force | T1078:Valid Accounts</t>
        </is>
      </c>
      <c r="S1529" t="n">
        <v>1</v>
      </c>
      <c r="T1529" t="inlineStr">
        <is>
          <t>LOW (40%)</t>
        </is>
      </c>
      <c r="U1529" t="inlineStr">
        <is>
          <t>NONE</t>
        </is>
      </c>
      <c r="V1529" t="inlineStr">
        <is>
          <t>NONE</t>
        </is>
      </c>
      <c r="W1529" t="inlineStr">
        <is>
          <t>NONE</t>
        </is>
      </c>
      <c r="X1529" t="inlineStr">
        <is>
          <t>NONE</t>
        </is>
      </c>
      <c r="Y1529" t="n">
        <v>0</v>
      </c>
      <c r="Z1529" t="inlineStr"/>
      <c r="AA1529" t="inlineStr">
        <is>
          <t>https://www.abuseipdb.com/check/154.83.197.21</t>
        </is>
      </c>
    </row>
    <row r="1530">
      <c r="A1530" t="inlineStr">
        <is>
          <t>ABUSE_IP</t>
        </is>
      </c>
      <c r="B1530" t="inlineStr">
        <is>
          <t>bff59e670e94</t>
        </is>
      </c>
      <c r="C1530" t="inlineStr">
        <is>
          <t>Malicious IP: 87.236.176.151 | Country: GB | ISP: Unknown | Confidence: 100% | Sources: ABUSEIPDB</t>
        </is>
      </c>
      <c r="D1530" t="n">
        <v>6.5</v>
      </c>
      <c r="E1530" t="inlineStr">
        <is>
          <t>MEDIUM</t>
        </is>
      </c>
      <c r="F1530" t="n">
        <v>3</v>
      </c>
      <c r="G1530" t="n">
        <v>1</v>
      </c>
      <c r="H1530" t="inlineStr">
        <is>
          <t>MEDIUM</t>
        </is>
      </c>
      <c r="I1530" t="n">
        <v>9.5</v>
      </c>
      <c r="J1530" t="inlineStr">
        <is>
          <t>NO</t>
        </is>
      </c>
      <c r="K1530" t="inlineStr">
        <is>
          <t>2026-02-23T21:16:59+00:00</t>
        </is>
      </c>
      <c r="L1530" t="inlineStr">
        <is>
          <t>Block IP</t>
        </is>
      </c>
      <c r="M1530" t="inlineStr">
        <is>
          <t>Firewall/Network</t>
        </is>
      </c>
      <c r="N1530" t="inlineStr">
        <is>
          <t>P4</t>
        </is>
      </c>
      <c r="O1530" t="inlineStr">
        <is>
          <t>Skipped (20/run cap)</t>
        </is>
      </c>
      <c r="P1530" t="n">
        <v>0</v>
      </c>
      <c r="Q1530" t="n">
        <v>0</v>
      </c>
      <c r="R1530" t="inlineStr">
        <is>
          <t>T1110:Brute Force | T1078:Valid Accounts</t>
        </is>
      </c>
      <c r="S1530" t="n">
        <v>1</v>
      </c>
      <c r="T1530" t="inlineStr">
        <is>
          <t>LOW (40%)</t>
        </is>
      </c>
      <c r="U1530" t="inlineStr">
        <is>
          <t>NONE</t>
        </is>
      </c>
      <c r="V1530" t="inlineStr">
        <is>
          <t>NONE</t>
        </is>
      </c>
      <c r="W1530" t="inlineStr">
        <is>
          <t>NONE</t>
        </is>
      </c>
      <c r="X1530" t="inlineStr">
        <is>
          <t>NONE</t>
        </is>
      </c>
      <c r="Y1530" t="n">
        <v>0</v>
      </c>
      <c r="Z1530" t="inlineStr"/>
      <c r="AA1530" t="inlineStr">
        <is>
          <t>https://www.abuseipdb.com/check/87.236.176.151</t>
        </is>
      </c>
    </row>
    <row r="1531">
      <c r="A1531" t="inlineStr">
        <is>
          <t>ABUSE_IP</t>
        </is>
      </c>
      <c r="B1531" t="inlineStr">
        <is>
          <t>8e8e349606be</t>
        </is>
      </c>
      <c r="C1531" t="inlineStr">
        <is>
          <t>Malicious IP: 167.179.19.182 | Country: KH | ISP: Unknown | Confidence: 100% | Sources: ABUSEIPDB</t>
        </is>
      </c>
      <c r="D1531" t="n">
        <v>6.5</v>
      </c>
      <c r="E1531" t="inlineStr">
        <is>
          <t>MEDIUM</t>
        </is>
      </c>
      <c r="F1531" t="n">
        <v>3</v>
      </c>
      <c r="G1531" t="n">
        <v>1</v>
      </c>
      <c r="H1531" t="inlineStr">
        <is>
          <t>MEDIUM</t>
        </is>
      </c>
      <c r="I1531" t="n">
        <v>9.5</v>
      </c>
      <c r="J1531" t="inlineStr">
        <is>
          <t>NO</t>
        </is>
      </c>
      <c r="K1531" t="inlineStr">
        <is>
          <t>2026-02-23T21:16:58+00:00</t>
        </is>
      </c>
      <c r="L1531" t="inlineStr">
        <is>
          <t>Block IP</t>
        </is>
      </c>
      <c r="M1531" t="inlineStr">
        <is>
          <t>Firewall/Network</t>
        </is>
      </c>
      <c r="N1531" t="inlineStr">
        <is>
          <t>P4</t>
        </is>
      </c>
      <c r="O1531" t="inlineStr">
        <is>
          <t>Skipped (20/run cap)</t>
        </is>
      </c>
      <c r="P1531" t="n">
        <v>0</v>
      </c>
      <c r="Q1531" t="n">
        <v>0</v>
      </c>
      <c r="R1531" t="inlineStr">
        <is>
          <t>T1110:Brute Force | T1078:Valid Accounts</t>
        </is>
      </c>
      <c r="S1531" t="n">
        <v>1</v>
      </c>
      <c r="T1531" t="inlineStr">
        <is>
          <t>LOW (40%)</t>
        </is>
      </c>
      <c r="U1531" t="inlineStr">
        <is>
          <t>NONE</t>
        </is>
      </c>
      <c r="V1531" t="inlineStr">
        <is>
          <t>NONE</t>
        </is>
      </c>
      <c r="W1531" t="inlineStr">
        <is>
          <t>NONE</t>
        </is>
      </c>
      <c r="X1531" t="inlineStr">
        <is>
          <t>NONE</t>
        </is>
      </c>
      <c r="Y1531" t="n">
        <v>0</v>
      </c>
      <c r="Z1531" t="inlineStr"/>
      <c r="AA1531" t="inlineStr">
        <is>
          <t>https://www.abuseipdb.com/check/167.179.19.182</t>
        </is>
      </c>
    </row>
    <row r="1532">
      <c r="A1532" t="inlineStr">
        <is>
          <t>ABUSE_IP</t>
        </is>
      </c>
      <c r="B1532" t="inlineStr">
        <is>
          <t>c812f02ebdcd</t>
        </is>
      </c>
      <c r="C1532" t="inlineStr">
        <is>
          <t>Malicious IP: 103.174.145.35 | Country: IN | ISP: Unknown | Confidence: 100% | Sources: ABUSEIPDB</t>
        </is>
      </c>
      <c r="D1532" t="n">
        <v>6.5</v>
      </c>
      <c r="E1532" t="inlineStr">
        <is>
          <t>MEDIUM</t>
        </is>
      </c>
      <c r="F1532" t="n">
        <v>3</v>
      </c>
      <c r="G1532" t="n">
        <v>1</v>
      </c>
      <c r="H1532" t="inlineStr">
        <is>
          <t>MEDIUM</t>
        </is>
      </c>
      <c r="I1532" t="n">
        <v>9.5</v>
      </c>
      <c r="J1532" t="inlineStr">
        <is>
          <t>NO</t>
        </is>
      </c>
      <c r="K1532" t="inlineStr">
        <is>
          <t>2026-02-23T21:16:58+00:00</t>
        </is>
      </c>
      <c r="L1532" t="inlineStr">
        <is>
          <t>Block IP</t>
        </is>
      </c>
      <c r="M1532" t="inlineStr">
        <is>
          <t>Firewall/Network</t>
        </is>
      </c>
      <c r="N1532" t="inlineStr">
        <is>
          <t>P4</t>
        </is>
      </c>
      <c r="O1532" t="inlineStr">
        <is>
          <t>🚨 MALICIOUS: Vaidik Netsol OPC PVT LTD | 🌍 India | Gandhinagar | 🏢 Vaidik Netsol OPC PVT LTD | ASN: AS147195 VAIDIK NETSOL OPC PVT LTD | 🚨 AbuseIPDB: 100% malicious (Fixed Line ISP)</t>
        </is>
      </c>
      <c r="P1532" t="n">
        <v>0</v>
      </c>
      <c r="Q1532" t="n">
        <v>0</v>
      </c>
      <c r="R1532" t="inlineStr">
        <is>
          <t>T1110:Brute Force | T1078:Valid Accounts</t>
        </is>
      </c>
      <c r="S1532" t="n">
        <v>1</v>
      </c>
      <c r="T1532" t="inlineStr">
        <is>
          <t>LOW (40%)</t>
        </is>
      </c>
      <c r="U1532" t="inlineStr">
        <is>
          <t>NONE</t>
        </is>
      </c>
      <c r="V1532" t="inlineStr">
        <is>
          <t>NONE</t>
        </is>
      </c>
      <c r="W1532" t="inlineStr">
        <is>
          <t>NONE</t>
        </is>
      </c>
      <c r="X1532" t="inlineStr">
        <is>
          <t>NONE</t>
        </is>
      </c>
      <c r="Y1532" t="n">
        <v>0</v>
      </c>
      <c r="Z1532" t="inlineStr"/>
      <c r="AA1532" t="inlineStr">
        <is>
          <t>https://www.abuseipdb.com/check/103.174.145.35</t>
        </is>
      </c>
    </row>
    <row r="1533">
      <c r="A1533" t="inlineStr">
        <is>
          <t>ABUSE_IP</t>
        </is>
      </c>
      <c r="B1533" t="inlineStr">
        <is>
          <t>cfbd8c3f3061</t>
        </is>
      </c>
      <c r="C1533" t="inlineStr">
        <is>
          <t>Malicious IP: 199.45.154.120 | Country: HK | ISP: Unknown | Confidence: 100% | Sources: ABUSEIPDB</t>
        </is>
      </c>
      <c r="D1533" t="n">
        <v>6.5</v>
      </c>
      <c r="E1533" t="inlineStr">
        <is>
          <t>MEDIUM</t>
        </is>
      </c>
      <c r="F1533" t="n">
        <v>3</v>
      </c>
      <c r="G1533" t="n">
        <v>1</v>
      </c>
      <c r="H1533" t="inlineStr">
        <is>
          <t>MEDIUM</t>
        </is>
      </c>
      <c r="I1533" t="n">
        <v>9.5</v>
      </c>
      <c r="J1533" t="inlineStr">
        <is>
          <t>NO</t>
        </is>
      </c>
      <c r="K1533" t="inlineStr">
        <is>
          <t>2026-02-23T21:16:58+00:00</t>
        </is>
      </c>
      <c r="L1533" t="inlineStr">
        <is>
          <t>Block IP</t>
        </is>
      </c>
      <c r="M1533" t="inlineStr">
        <is>
          <t>Firewall/Network</t>
        </is>
      </c>
      <c r="N1533" t="inlineStr">
        <is>
          <t>P4</t>
        </is>
      </c>
      <c r="O1533" t="inlineStr">
        <is>
          <t>🚨 MALICIOUS: Censys, Inc. | 🌍 United States | New York | 🏢 Censys, Inc. | ASN: AS398722 Censys, Inc. | 🚨 AbuseIPDB: 100% malicious (Data Center/Web Hosting/Transit)</t>
        </is>
      </c>
      <c r="P1533" t="n">
        <v>0</v>
      </c>
      <c r="Q1533" t="n">
        <v>0</v>
      </c>
      <c r="R1533" t="inlineStr">
        <is>
          <t>T1110:Brute Force | T1078:Valid Accounts</t>
        </is>
      </c>
      <c r="S1533" t="n">
        <v>1</v>
      </c>
      <c r="T1533" t="inlineStr">
        <is>
          <t>LOW (40%)</t>
        </is>
      </c>
      <c r="U1533" t="inlineStr">
        <is>
          <t>NONE</t>
        </is>
      </c>
      <c r="V1533" t="inlineStr">
        <is>
          <t>NONE</t>
        </is>
      </c>
      <c r="W1533" t="inlineStr">
        <is>
          <t>NONE</t>
        </is>
      </c>
      <c r="X1533" t="inlineStr">
        <is>
          <t>NONE</t>
        </is>
      </c>
      <c r="Y1533" t="n">
        <v>0</v>
      </c>
      <c r="Z1533" t="inlineStr"/>
      <c r="AA1533" t="inlineStr">
        <is>
          <t>https://www.abuseipdb.com/check/199.45.154.120</t>
        </is>
      </c>
    </row>
    <row r="1534">
      <c r="A1534" t="inlineStr">
        <is>
          <t>ABUSE_IP</t>
        </is>
      </c>
      <c r="B1534" t="inlineStr">
        <is>
          <t>fee55d074279</t>
        </is>
      </c>
      <c r="C1534" t="inlineStr">
        <is>
          <t>Malicious IP: 14.224.131.111 | Country: VN | ISP: Unknown | Confidence: 100% | Sources: ABUSEIPDB</t>
        </is>
      </c>
      <c r="D1534" t="n">
        <v>6.5</v>
      </c>
      <c r="E1534" t="inlineStr">
        <is>
          <t>MEDIUM</t>
        </is>
      </c>
      <c r="F1534" t="n">
        <v>3</v>
      </c>
      <c r="G1534" t="n">
        <v>1</v>
      </c>
      <c r="H1534" t="inlineStr">
        <is>
          <t>MEDIUM</t>
        </is>
      </c>
      <c r="I1534" t="n">
        <v>9.5</v>
      </c>
      <c r="J1534" t="inlineStr">
        <is>
          <t>NO</t>
        </is>
      </c>
      <c r="K1534" t="inlineStr">
        <is>
          <t>2026-02-23T21:16:58+00:00</t>
        </is>
      </c>
      <c r="L1534" t="inlineStr">
        <is>
          <t>Block IP</t>
        </is>
      </c>
      <c r="M1534" t="inlineStr">
        <is>
          <t>Firewall/Network</t>
        </is>
      </c>
      <c r="N1534" t="inlineStr">
        <is>
          <t>P4</t>
        </is>
      </c>
      <c r="O1534" t="inlineStr">
        <is>
          <t>🚨 MALICIOUS: Vietnam Posts and Telecommunications Group | 🌍 Vietnam | Hanoi | 🏢 Vietnam Posts and Telecommunications Group | ASN: AS45899 VNPT Corp | 🚨 AbuseIPDB: 100% malicious (Fixed Line ISP)</t>
        </is>
      </c>
      <c r="P1534" t="n">
        <v>0</v>
      </c>
      <c r="Q1534" t="n">
        <v>0</v>
      </c>
      <c r="R1534" t="inlineStr">
        <is>
          <t>T1110:Brute Force | T1078:Valid Accounts</t>
        </is>
      </c>
      <c r="S1534" t="n">
        <v>1</v>
      </c>
      <c r="T1534" t="inlineStr">
        <is>
          <t>LOW (40%)</t>
        </is>
      </c>
      <c r="U1534" t="inlineStr">
        <is>
          <t>NONE</t>
        </is>
      </c>
      <c r="V1534" t="inlineStr">
        <is>
          <t>NONE</t>
        </is>
      </c>
      <c r="W1534" t="inlineStr">
        <is>
          <t>NONE</t>
        </is>
      </c>
      <c r="X1534" t="inlineStr">
        <is>
          <t>NONE</t>
        </is>
      </c>
      <c r="Y1534" t="n">
        <v>0</v>
      </c>
      <c r="Z1534" t="inlineStr"/>
      <c r="AA1534" t="inlineStr">
        <is>
          <t>https://www.abuseipdb.com/check/14.224.131.111</t>
        </is>
      </c>
    </row>
    <row r="1535">
      <c r="A1535" t="inlineStr">
        <is>
          <t>ABUSE_IP</t>
        </is>
      </c>
      <c r="B1535" t="inlineStr">
        <is>
          <t>351ececd55b9</t>
        </is>
      </c>
      <c r="C1535" t="inlineStr">
        <is>
          <t>Malicious IP: 2.57.122.96 | Country: RO | ISP: Unknown | Confidence: 100% | Sources: ABUSEIPDB</t>
        </is>
      </c>
      <c r="D1535" t="n">
        <v>6.5</v>
      </c>
      <c r="E1535" t="inlineStr">
        <is>
          <t>MEDIUM</t>
        </is>
      </c>
      <c r="F1535" t="n">
        <v>3</v>
      </c>
      <c r="G1535" t="n">
        <v>1</v>
      </c>
      <c r="H1535" t="inlineStr">
        <is>
          <t>MEDIUM</t>
        </is>
      </c>
      <c r="I1535" t="n">
        <v>9.5</v>
      </c>
      <c r="J1535" t="inlineStr">
        <is>
          <t>NO</t>
        </is>
      </c>
      <c r="K1535" t="inlineStr">
        <is>
          <t>2026-02-23T21:16:58+00:00</t>
        </is>
      </c>
      <c r="L1535" t="inlineStr">
        <is>
          <t>Block IP</t>
        </is>
      </c>
      <c r="M1535" t="inlineStr">
        <is>
          <t>Firewall/Network</t>
        </is>
      </c>
      <c r="N1535" t="inlineStr">
        <is>
          <t>P4</t>
        </is>
      </c>
      <c r="O1535" t="inlineStr">
        <is>
          <t>Skipped (20/run cap)</t>
        </is>
      </c>
      <c r="P1535" t="n">
        <v>0</v>
      </c>
      <c r="Q1535" t="n">
        <v>0</v>
      </c>
      <c r="R1535" t="inlineStr">
        <is>
          <t>T1110:Brute Force | T1078:Valid Accounts</t>
        </is>
      </c>
      <c r="S1535" t="n">
        <v>1</v>
      </c>
      <c r="T1535" t="inlineStr">
        <is>
          <t>LOW (40%)</t>
        </is>
      </c>
      <c r="U1535" t="inlineStr">
        <is>
          <t>NONE</t>
        </is>
      </c>
      <c r="V1535" t="inlineStr">
        <is>
          <t>NONE</t>
        </is>
      </c>
      <c r="W1535" t="inlineStr">
        <is>
          <t>NONE</t>
        </is>
      </c>
      <c r="X1535" t="inlineStr">
        <is>
          <t>NONE</t>
        </is>
      </c>
      <c r="Y1535" t="n">
        <v>0</v>
      </c>
      <c r="Z1535" t="inlineStr"/>
      <c r="AA1535" t="inlineStr">
        <is>
          <t>https://www.abuseipdb.com/check/2.57.122.96</t>
        </is>
      </c>
    </row>
    <row r="1536">
      <c r="A1536" t="inlineStr">
        <is>
          <t>ABUSE_IP</t>
        </is>
      </c>
      <c r="B1536" t="inlineStr">
        <is>
          <t>914f052819f6</t>
        </is>
      </c>
      <c r="C1536" t="inlineStr">
        <is>
          <t>Malicious IP: 211.253.37.225 | Country: KR | ISP: Unknown | Confidence: 100% | Sources: ABUSEIPDB</t>
        </is>
      </c>
      <c r="D1536" t="n">
        <v>6.5</v>
      </c>
      <c r="E1536" t="inlineStr">
        <is>
          <t>MEDIUM</t>
        </is>
      </c>
      <c r="F1536" t="n">
        <v>3</v>
      </c>
      <c r="G1536" t="n">
        <v>1</v>
      </c>
      <c r="H1536" t="inlineStr">
        <is>
          <t>MEDIUM</t>
        </is>
      </c>
      <c r="I1536" t="n">
        <v>9.5</v>
      </c>
      <c r="J1536" t="inlineStr">
        <is>
          <t>NO</t>
        </is>
      </c>
      <c r="K1536" t="inlineStr">
        <is>
          <t>2026-02-23T21:16:58+00:00</t>
        </is>
      </c>
      <c r="L1536" t="inlineStr">
        <is>
          <t>Block IP</t>
        </is>
      </c>
      <c r="M1536" t="inlineStr">
        <is>
          <t>Firewall/Network</t>
        </is>
      </c>
      <c r="N1536" t="inlineStr">
        <is>
          <t>P4</t>
        </is>
      </c>
      <c r="O1536" t="inlineStr">
        <is>
          <t>🚨 MALICIOUS: (jae)hoseojeonsanjikeobjeonmunhakkyo | 🌍 South Korea | Goyang-si | 🏢 (jae)hoseojeonsanjikeobjeonmunhakkyo | ASN: AS4766 Korea Telecom | 🚨 AbuseIPDB: 100% malicious (Fixed Line ISP)</t>
        </is>
      </c>
      <c r="P1536" t="n">
        <v>0</v>
      </c>
      <c r="Q1536" t="n">
        <v>0</v>
      </c>
      <c r="R1536" t="inlineStr">
        <is>
          <t>T1110:Brute Force | T1078:Valid Accounts</t>
        </is>
      </c>
      <c r="S1536" t="n">
        <v>1</v>
      </c>
      <c r="T1536" t="inlineStr">
        <is>
          <t>LOW (40%)</t>
        </is>
      </c>
      <c r="U1536" t="inlineStr">
        <is>
          <t>NONE</t>
        </is>
      </c>
      <c r="V1536" t="inlineStr">
        <is>
          <t>NONE</t>
        </is>
      </c>
      <c r="W1536" t="inlineStr">
        <is>
          <t>NONE</t>
        </is>
      </c>
      <c r="X1536" t="inlineStr">
        <is>
          <t>NONE</t>
        </is>
      </c>
      <c r="Y1536" t="n">
        <v>0</v>
      </c>
      <c r="Z1536" t="inlineStr"/>
      <c r="AA1536" t="inlineStr">
        <is>
          <t>https://www.abuseipdb.com/check/211.253.37.225</t>
        </is>
      </c>
    </row>
    <row r="1537">
      <c r="A1537" t="inlineStr">
        <is>
          <t>ABUSE_IP</t>
        </is>
      </c>
      <c r="B1537" t="inlineStr">
        <is>
          <t>272cfa45e4e3</t>
        </is>
      </c>
      <c r="C1537" t="inlineStr">
        <is>
          <t>Malicious IP: 2.57.121.25 | Country: RO | ISP: Unknown | Confidence: 100% | Sources: ABUSEIPDB</t>
        </is>
      </c>
      <c r="D1537" t="n">
        <v>6.5</v>
      </c>
      <c r="E1537" t="inlineStr">
        <is>
          <t>MEDIUM</t>
        </is>
      </c>
      <c r="F1537" t="n">
        <v>3</v>
      </c>
      <c r="G1537" t="n">
        <v>1</v>
      </c>
      <c r="H1537" t="inlineStr">
        <is>
          <t>MEDIUM</t>
        </is>
      </c>
      <c r="I1537" t="n">
        <v>9.5</v>
      </c>
      <c r="J1537" t="inlineStr">
        <is>
          <t>NO</t>
        </is>
      </c>
      <c r="K1537" t="inlineStr">
        <is>
          <t>2026-02-23T21:16:58+00:00</t>
        </is>
      </c>
      <c r="L1537" t="inlineStr">
        <is>
          <t>Block IP</t>
        </is>
      </c>
      <c r="M1537" t="inlineStr">
        <is>
          <t>Firewall/Network</t>
        </is>
      </c>
      <c r="N1537" t="inlineStr">
        <is>
          <t>P4</t>
        </is>
      </c>
      <c r="O1537" t="inlineStr">
        <is>
          <t>Skipped (20/run cap)</t>
        </is>
      </c>
      <c r="P1537" t="n">
        <v>0</v>
      </c>
      <c r="Q1537" t="n">
        <v>0</v>
      </c>
      <c r="R1537" t="inlineStr">
        <is>
          <t>T1110:Brute Force | T1078:Valid Accounts</t>
        </is>
      </c>
      <c r="S1537" t="n">
        <v>1</v>
      </c>
      <c r="T1537" t="inlineStr">
        <is>
          <t>LOW (40%)</t>
        </is>
      </c>
      <c r="U1537" t="inlineStr">
        <is>
          <t>NONE</t>
        </is>
      </c>
      <c r="V1537" t="inlineStr">
        <is>
          <t>NONE</t>
        </is>
      </c>
      <c r="W1537" t="inlineStr">
        <is>
          <t>NONE</t>
        </is>
      </c>
      <c r="X1537" t="inlineStr">
        <is>
          <t>NONE</t>
        </is>
      </c>
      <c r="Y1537" t="n">
        <v>0</v>
      </c>
      <c r="Z1537" t="inlineStr"/>
      <c r="AA1537" t="inlineStr">
        <is>
          <t>https://www.abuseipdb.com/check/2.57.121.25</t>
        </is>
      </c>
    </row>
    <row r="1538">
      <c r="A1538" t="inlineStr">
        <is>
          <t>ABUSE_IP</t>
        </is>
      </c>
      <c r="B1538" t="inlineStr">
        <is>
          <t>479a53c4a021</t>
        </is>
      </c>
      <c r="C1538" t="inlineStr">
        <is>
          <t>Malicious IP: 14.55.144.22 | Country: KR | ISP: Unknown | Confidence: 100% | Sources: ABUSEIPDB</t>
        </is>
      </c>
      <c r="D1538" t="n">
        <v>6.5</v>
      </c>
      <c r="E1538" t="inlineStr">
        <is>
          <t>MEDIUM</t>
        </is>
      </c>
      <c r="F1538" t="n">
        <v>3</v>
      </c>
      <c r="G1538" t="n">
        <v>1</v>
      </c>
      <c r="H1538" t="inlineStr">
        <is>
          <t>MEDIUM</t>
        </is>
      </c>
      <c r="I1538" t="n">
        <v>9.5</v>
      </c>
      <c r="J1538" t="inlineStr">
        <is>
          <t>NO</t>
        </is>
      </c>
      <c r="K1538" t="inlineStr">
        <is>
          <t>2026-02-23T21:16:58+00:00</t>
        </is>
      </c>
      <c r="L1538" t="inlineStr">
        <is>
          <t>Block IP</t>
        </is>
      </c>
      <c r="M1538" t="inlineStr">
        <is>
          <t>Firewall/Network</t>
        </is>
      </c>
      <c r="N1538" t="inlineStr">
        <is>
          <t>P4</t>
        </is>
      </c>
      <c r="O1538" t="inlineStr">
        <is>
          <t>Skipped (20/run cap)</t>
        </is>
      </c>
      <c r="P1538" t="n">
        <v>0</v>
      </c>
      <c r="Q1538" t="n">
        <v>0</v>
      </c>
      <c r="R1538" t="inlineStr">
        <is>
          <t>T1110:Brute Force | T1078:Valid Accounts</t>
        </is>
      </c>
      <c r="S1538" t="n">
        <v>1</v>
      </c>
      <c r="T1538" t="inlineStr">
        <is>
          <t>LOW (40%)</t>
        </is>
      </c>
      <c r="U1538" t="inlineStr">
        <is>
          <t>NONE</t>
        </is>
      </c>
      <c r="V1538" t="inlineStr">
        <is>
          <t>NONE</t>
        </is>
      </c>
      <c r="W1538" t="inlineStr">
        <is>
          <t>NONE</t>
        </is>
      </c>
      <c r="X1538" t="inlineStr">
        <is>
          <t>NONE</t>
        </is>
      </c>
      <c r="Y1538" t="n">
        <v>0</v>
      </c>
      <c r="Z1538" t="inlineStr"/>
      <c r="AA1538" t="inlineStr">
        <is>
          <t>https://www.abuseipdb.com/check/14.55.144.22</t>
        </is>
      </c>
    </row>
    <row r="1539">
      <c r="A1539" t="inlineStr">
        <is>
          <t>ABUSE_IP</t>
        </is>
      </c>
      <c r="B1539" t="inlineStr">
        <is>
          <t>8b1798be1024</t>
        </is>
      </c>
      <c r="C1539" t="inlineStr">
        <is>
          <t>Malicious IP: 106.75.154.218 | Country: CN | ISP: Unknown | Confidence: 100% | Sources: ABUSEIPDB</t>
        </is>
      </c>
      <c r="D1539" t="n">
        <v>6.5</v>
      </c>
      <c r="E1539" t="inlineStr">
        <is>
          <t>MEDIUM</t>
        </is>
      </c>
      <c r="F1539" t="n">
        <v>3</v>
      </c>
      <c r="G1539" t="n">
        <v>1</v>
      </c>
      <c r="H1539" t="inlineStr">
        <is>
          <t>MEDIUM</t>
        </is>
      </c>
      <c r="I1539" t="n">
        <v>9.5</v>
      </c>
      <c r="J1539" t="inlineStr">
        <is>
          <t>NO</t>
        </is>
      </c>
      <c r="K1539" t="inlineStr">
        <is>
          <t>2026-02-23T21:16:57+00:00</t>
        </is>
      </c>
      <c r="L1539" t="inlineStr">
        <is>
          <t>Block IP</t>
        </is>
      </c>
      <c r="M1539" t="inlineStr">
        <is>
          <t>Firewall/Network</t>
        </is>
      </c>
      <c r="N1539" t="inlineStr">
        <is>
          <t>P4</t>
        </is>
      </c>
      <c r="O1539" t="inlineStr">
        <is>
          <t>🚨 MALICIOUS: Shanghai UCloud Information Technology Company Limited | 🌍 China | Yangpu | 🏢 Shanghai UCloud Information Technology Company Limited | ASN: AS136958 China Unicom Guangdong IP network | 🚨 AbuseIPDB: 100% malicious (Commercial)</t>
        </is>
      </c>
      <c r="P1539" t="n">
        <v>0</v>
      </c>
      <c r="Q1539" t="n">
        <v>0</v>
      </c>
      <c r="R1539" t="inlineStr">
        <is>
          <t>T1110:Brute Force | T1078:Valid Accounts</t>
        </is>
      </c>
      <c r="S1539" t="n">
        <v>1</v>
      </c>
      <c r="T1539" t="inlineStr">
        <is>
          <t>LOW (40%)</t>
        </is>
      </c>
      <c r="U1539" t="inlineStr">
        <is>
          <t>NONE</t>
        </is>
      </c>
      <c r="V1539" t="inlineStr">
        <is>
          <t>NONE</t>
        </is>
      </c>
      <c r="W1539" t="inlineStr">
        <is>
          <t>NONE</t>
        </is>
      </c>
      <c r="X1539" t="inlineStr">
        <is>
          <t>NONE</t>
        </is>
      </c>
      <c r="Y1539" t="n">
        <v>0</v>
      </c>
      <c r="Z1539" t="inlineStr"/>
      <c r="AA1539" t="inlineStr">
        <is>
          <t>https://www.abuseipdb.com/check/106.75.154.218</t>
        </is>
      </c>
    </row>
    <row r="1540">
      <c r="A1540" t="inlineStr">
        <is>
          <t>ABUSE_IP</t>
        </is>
      </c>
      <c r="B1540" t="inlineStr">
        <is>
          <t>29b63840d225</t>
        </is>
      </c>
      <c r="C1540" t="inlineStr">
        <is>
          <t>Malicious IP: 35.239.77.168 | Country: US | ISP: Unknown | Confidence: 100% | Sources: ABUSEIPDB</t>
        </is>
      </c>
      <c r="D1540" t="n">
        <v>6.5</v>
      </c>
      <c r="E1540" t="inlineStr">
        <is>
          <t>MEDIUM</t>
        </is>
      </c>
      <c r="F1540" t="n">
        <v>3</v>
      </c>
      <c r="G1540" t="n">
        <v>1</v>
      </c>
      <c r="H1540" t="inlineStr">
        <is>
          <t>MEDIUM</t>
        </is>
      </c>
      <c r="I1540" t="n">
        <v>9.5</v>
      </c>
      <c r="J1540" t="inlineStr">
        <is>
          <t>NO</t>
        </is>
      </c>
      <c r="K1540" t="inlineStr">
        <is>
          <t>2026-02-23T21:16:57+00:00</t>
        </is>
      </c>
      <c r="L1540" t="inlineStr">
        <is>
          <t>Block IP</t>
        </is>
      </c>
      <c r="M1540" t="inlineStr">
        <is>
          <t>Firewall/Network</t>
        </is>
      </c>
      <c r="N1540" t="inlineStr">
        <is>
          <t>P4</t>
        </is>
      </c>
      <c r="O1540" t="inlineStr">
        <is>
          <t>🚨 MALICIOUS: Google Cloud (us-central1) | 🌍 United States | Council Bluffs | 🏢 Google Cloud (us-central1) | ASN: AS396982 Google LLC | 🖥️ Hosting/DC | 🚨 AbuseIPDB: 100% malicious (Data Center/Web Hosting/Transit)</t>
        </is>
      </c>
      <c r="P1540" t="n">
        <v>0</v>
      </c>
      <c r="Q1540" t="n">
        <v>0</v>
      </c>
      <c r="R1540" t="inlineStr">
        <is>
          <t>T1110:Brute Force | T1078:Valid Accounts</t>
        </is>
      </c>
      <c r="S1540" t="n">
        <v>1</v>
      </c>
      <c r="T1540" t="inlineStr">
        <is>
          <t>LOW (40%)</t>
        </is>
      </c>
      <c r="U1540" t="inlineStr">
        <is>
          <t>NONE</t>
        </is>
      </c>
      <c r="V1540" t="inlineStr">
        <is>
          <t>NONE</t>
        </is>
      </c>
      <c r="W1540" t="inlineStr">
        <is>
          <t>NONE</t>
        </is>
      </c>
      <c r="X1540" t="inlineStr">
        <is>
          <t>NONE</t>
        </is>
      </c>
      <c r="Y1540" t="n">
        <v>0</v>
      </c>
      <c r="Z1540" t="inlineStr"/>
      <c r="AA1540" t="inlineStr">
        <is>
          <t>https://www.abuseipdb.com/check/35.239.77.168</t>
        </is>
      </c>
    </row>
    <row r="1541">
      <c r="A1541" t="inlineStr">
        <is>
          <t>ABUSE_IP</t>
        </is>
      </c>
      <c r="B1541" t="inlineStr">
        <is>
          <t>296f8a27635f</t>
        </is>
      </c>
      <c r="C1541" t="inlineStr">
        <is>
          <t>Malicious IP: 135.119.112.78 | Country: US | ISP: Unknown | Confidence: 100% | Sources: ABUSEIPDB</t>
        </is>
      </c>
      <c r="D1541" t="n">
        <v>6.5</v>
      </c>
      <c r="E1541" t="inlineStr">
        <is>
          <t>MEDIUM</t>
        </is>
      </c>
      <c r="F1541" t="n">
        <v>3</v>
      </c>
      <c r="G1541" t="n">
        <v>1</v>
      </c>
      <c r="H1541" t="inlineStr">
        <is>
          <t>MEDIUM</t>
        </is>
      </c>
      <c r="I1541" t="n">
        <v>9.5</v>
      </c>
      <c r="J1541" t="inlineStr">
        <is>
          <t>NO</t>
        </is>
      </c>
      <c r="K1541" t="inlineStr">
        <is>
          <t>2026-02-23T21:16:57+00:00</t>
        </is>
      </c>
      <c r="L1541" t="inlineStr">
        <is>
          <t>Block IP</t>
        </is>
      </c>
      <c r="M1541" t="inlineStr">
        <is>
          <t>Firewall/Network</t>
        </is>
      </c>
      <c r="N1541" t="inlineStr">
        <is>
          <t>P4</t>
        </is>
      </c>
      <c r="O1541" t="inlineStr">
        <is>
          <t>🚨 MALICIOUS: Microsoft Azure Cloud (centralus) | 🌍 United States | Des Moines | 🏢 Microsoft Azure Cloud (centralus) | ASN: AS8075 Microsoft Corporation | 🖥️ Hosting/DC | 🚨 AbuseIPDB: 100% malicious (Data Center/Web Hosting/Transit)</t>
        </is>
      </c>
      <c r="P1541" t="n">
        <v>0</v>
      </c>
      <c r="Q1541" t="n">
        <v>0</v>
      </c>
      <c r="R1541" t="inlineStr">
        <is>
          <t>T1110:Brute Force | T1078:Valid Accounts</t>
        </is>
      </c>
      <c r="S1541" t="n">
        <v>1</v>
      </c>
      <c r="T1541" t="inlineStr">
        <is>
          <t>LOW (40%)</t>
        </is>
      </c>
      <c r="U1541" t="inlineStr">
        <is>
          <t>NONE</t>
        </is>
      </c>
      <c r="V1541" t="inlineStr">
        <is>
          <t>NONE</t>
        </is>
      </c>
      <c r="W1541" t="inlineStr">
        <is>
          <t>NONE</t>
        </is>
      </c>
      <c r="X1541" t="inlineStr">
        <is>
          <t>NONE</t>
        </is>
      </c>
      <c r="Y1541" t="n">
        <v>0</v>
      </c>
      <c r="Z1541" t="inlineStr"/>
      <c r="AA1541" t="inlineStr">
        <is>
          <t>https://www.abuseipdb.com/check/135.119.112.78</t>
        </is>
      </c>
    </row>
    <row r="1542">
      <c r="A1542" t="inlineStr">
        <is>
          <t>ABUSE_IP</t>
        </is>
      </c>
      <c r="B1542" t="inlineStr">
        <is>
          <t>e47117c03706</t>
        </is>
      </c>
      <c r="C1542" t="inlineStr">
        <is>
          <t>Malicious IP: 64.227.175.182 | Country: IN | ISP: Unknown | Confidence: 100% | Sources: ABUSEIPDB</t>
        </is>
      </c>
      <c r="D1542" t="n">
        <v>6.5</v>
      </c>
      <c r="E1542" t="inlineStr">
        <is>
          <t>MEDIUM</t>
        </is>
      </c>
      <c r="F1542" t="n">
        <v>3</v>
      </c>
      <c r="G1542" t="n">
        <v>1</v>
      </c>
      <c r="H1542" t="inlineStr">
        <is>
          <t>MEDIUM</t>
        </is>
      </c>
      <c r="I1542" t="n">
        <v>9.5</v>
      </c>
      <c r="J1542" t="inlineStr">
        <is>
          <t>NO</t>
        </is>
      </c>
      <c r="K1542" t="inlineStr">
        <is>
          <t>2026-02-23T21:16:56+00:00</t>
        </is>
      </c>
      <c r="L1542" t="inlineStr">
        <is>
          <t>Block IP</t>
        </is>
      </c>
      <c r="M1542" t="inlineStr">
        <is>
          <t>Firewall/Network</t>
        </is>
      </c>
      <c r="N1542" t="inlineStr">
        <is>
          <t>P4</t>
        </is>
      </c>
      <c r="O1542" t="inlineStr">
        <is>
          <t>Skipped (20/run cap)</t>
        </is>
      </c>
      <c r="P1542" t="n">
        <v>0</v>
      </c>
      <c r="Q1542" t="n">
        <v>0</v>
      </c>
      <c r="R1542" t="inlineStr">
        <is>
          <t>T1110:Brute Force | T1078:Valid Accounts</t>
        </is>
      </c>
      <c r="S1542" t="n">
        <v>1</v>
      </c>
      <c r="T1542" t="inlineStr">
        <is>
          <t>LOW (40%)</t>
        </is>
      </c>
      <c r="U1542" t="inlineStr">
        <is>
          <t>NONE</t>
        </is>
      </c>
      <c r="V1542" t="inlineStr">
        <is>
          <t>NONE</t>
        </is>
      </c>
      <c r="W1542" t="inlineStr">
        <is>
          <t>NONE</t>
        </is>
      </c>
      <c r="X1542" t="inlineStr">
        <is>
          <t>NONE</t>
        </is>
      </c>
      <c r="Y1542" t="n">
        <v>0</v>
      </c>
      <c r="Z1542" t="inlineStr"/>
      <c r="AA1542" t="inlineStr">
        <is>
          <t>https://www.abuseipdb.com/check/64.227.175.182</t>
        </is>
      </c>
    </row>
    <row r="1543">
      <c r="A1543" t="inlineStr">
        <is>
          <t>ABUSE_IP</t>
        </is>
      </c>
      <c r="B1543" t="inlineStr">
        <is>
          <t>f120902a51e5</t>
        </is>
      </c>
      <c r="C1543" t="inlineStr">
        <is>
          <t>Malicious IP: 182.95.230.142 | Country: IN | ISP: Unknown | Confidence: 100% | Sources: ABUSEIPDB</t>
        </is>
      </c>
      <c r="D1543" t="n">
        <v>6.5</v>
      </c>
      <c r="E1543" t="inlineStr">
        <is>
          <t>MEDIUM</t>
        </is>
      </c>
      <c r="F1543" t="n">
        <v>3</v>
      </c>
      <c r="G1543" t="n">
        <v>1</v>
      </c>
      <c r="H1543" t="inlineStr">
        <is>
          <t>MEDIUM</t>
        </is>
      </c>
      <c r="I1543" t="n">
        <v>9.5</v>
      </c>
      <c r="J1543" t="inlineStr">
        <is>
          <t>NO</t>
        </is>
      </c>
      <c r="K1543" t="inlineStr">
        <is>
          <t>2026-02-23T21:16:56+00:00</t>
        </is>
      </c>
      <c r="L1543" t="inlineStr">
        <is>
          <t>Block IP</t>
        </is>
      </c>
      <c r="M1543" t="inlineStr">
        <is>
          <t>Firewall/Network</t>
        </is>
      </c>
      <c r="N1543" t="inlineStr">
        <is>
          <t>P4</t>
        </is>
      </c>
      <c r="O1543" t="inlineStr">
        <is>
          <t>🚨 MALICIOUS: Bharti Airtel Limited | 🌍 India | Bengaluru | 🏢 Bharti Airtel Limited | ASN: AS9498 BHARTI Airtel Ltd. | 🚨 AbuseIPDB: 100% malicious (Fixed Line ISP)</t>
        </is>
      </c>
      <c r="P1543" t="n">
        <v>0</v>
      </c>
      <c r="Q1543" t="n">
        <v>0</v>
      </c>
      <c r="R1543" t="inlineStr">
        <is>
          <t>T1110:Brute Force | T1078:Valid Accounts</t>
        </is>
      </c>
      <c r="S1543" t="n">
        <v>1</v>
      </c>
      <c r="T1543" t="inlineStr">
        <is>
          <t>LOW (40%)</t>
        </is>
      </c>
      <c r="U1543" t="inlineStr">
        <is>
          <t>NONE</t>
        </is>
      </c>
      <c r="V1543" t="inlineStr">
        <is>
          <t>NONE</t>
        </is>
      </c>
      <c r="W1543" t="inlineStr">
        <is>
          <t>NONE</t>
        </is>
      </c>
      <c r="X1543" t="inlineStr">
        <is>
          <t>NONE</t>
        </is>
      </c>
      <c r="Y1543" t="n">
        <v>0</v>
      </c>
      <c r="Z1543" t="inlineStr"/>
      <c r="AA1543" t="inlineStr">
        <is>
          <t>https://www.abuseipdb.com/check/182.95.230.142</t>
        </is>
      </c>
    </row>
    <row r="1544">
      <c r="A1544" t="inlineStr">
        <is>
          <t>ABUSE_IP</t>
        </is>
      </c>
      <c r="B1544" t="inlineStr">
        <is>
          <t>cd3b7eafeb7b</t>
        </is>
      </c>
      <c r="C1544" t="inlineStr">
        <is>
          <t>Malicious IP: 2607:ff10:c8:594::6 | Country: US | ISP: Unknown | Confidence: 100% | Sources: ABUSEIPDB</t>
        </is>
      </c>
      <c r="D1544" t="n">
        <v>6.5</v>
      </c>
      <c r="E1544" t="inlineStr">
        <is>
          <t>MEDIUM</t>
        </is>
      </c>
      <c r="F1544" t="n">
        <v>3</v>
      </c>
      <c r="G1544" t="n">
        <v>1</v>
      </c>
      <c r="H1544" t="inlineStr">
        <is>
          <t>MEDIUM</t>
        </is>
      </c>
      <c r="I1544" t="n">
        <v>9.5</v>
      </c>
      <c r="J1544" t="inlineStr">
        <is>
          <t>NO</t>
        </is>
      </c>
      <c r="K1544" t="inlineStr">
        <is>
          <t>2026-02-23T21:16:56+00:00</t>
        </is>
      </c>
      <c r="L1544" t="inlineStr">
        <is>
          <t>Block IP</t>
        </is>
      </c>
      <c r="M1544" t="inlineStr">
        <is>
          <t>Firewall/Network</t>
        </is>
      </c>
      <c r="N1544" t="inlineStr">
        <is>
          <t>P4</t>
        </is>
      </c>
      <c r="O1544" t="inlineStr">
        <is>
          <t>🚨 MALICIOUS: CariNet, Inc | 🌍 United States | Las Vegas | 🏢 CariNet, Inc | ASN: AS10439 CariNet, Inc. | 🖥️ Hosting/DC | 🚨 AbuseIPDB: 100% malicious (Data Center/Web Hosting/Transit)</t>
        </is>
      </c>
      <c r="P1544" t="n">
        <v>0</v>
      </c>
      <c r="Q1544" t="n">
        <v>0</v>
      </c>
      <c r="R1544" t="inlineStr">
        <is>
          <t>T1110:Brute Force | T1078:Valid Accounts</t>
        </is>
      </c>
      <c r="S1544" t="n">
        <v>1</v>
      </c>
      <c r="T1544" t="inlineStr">
        <is>
          <t>LOW (40%)</t>
        </is>
      </c>
      <c r="U1544" t="inlineStr">
        <is>
          <t>NONE</t>
        </is>
      </c>
      <c r="V1544" t="inlineStr">
        <is>
          <t>NONE</t>
        </is>
      </c>
      <c r="W1544" t="inlineStr">
        <is>
          <t>NONE</t>
        </is>
      </c>
      <c r="X1544" t="inlineStr">
        <is>
          <t>NONE</t>
        </is>
      </c>
      <c r="Y1544" t="n">
        <v>0</v>
      </c>
      <c r="Z1544" t="inlineStr"/>
      <c r="AA1544" t="inlineStr">
        <is>
          <t>https://www.abuseipdb.com/check/2607:ff10:c8:594::6</t>
        </is>
      </c>
    </row>
    <row r="1545">
      <c r="A1545" t="inlineStr">
        <is>
          <t>ABUSE_IP</t>
        </is>
      </c>
      <c r="B1545" t="inlineStr">
        <is>
          <t>1070c10887df</t>
        </is>
      </c>
      <c r="C1545" t="inlineStr">
        <is>
          <t>Malicious IP: 217.154.106.153 | Country: ES | ISP: Unknown | Confidence: 100% | Sources: ABUSEIPDB</t>
        </is>
      </c>
      <c r="D1545" t="n">
        <v>6.5</v>
      </c>
      <c r="E1545" t="inlineStr">
        <is>
          <t>MEDIUM</t>
        </is>
      </c>
      <c r="F1545" t="n">
        <v>3</v>
      </c>
      <c r="G1545" t="n">
        <v>1</v>
      </c>
      <c r="H1545" t="inlineStr">
        <is>
          <t>MEDIUM</t>
        </is>
      </c>
      <c r="I1545" t="n">
        <v>9.5</v>
      </c>
      <c r="J1545" t="inlineStr">
        <is>
          <t>NO</t>
        </is>
      </c>
      <c r="K1545" t="inlineStr">
        <is>
          <t>2026-02-23T21:16:56+00:00</t>
        </is>
      </c>
      <c r="L1545" t="inlineStr">
        <is>
          <t>Block IP</t>
        </is>
      </c>
      <c r="M1545" t="inlineStr">
        <is>
          <t>Firewall/Network</t>
        </is>
      </c>
      <c r="N1545" t="inlineStr">
        <is>
          <t>P4</t>
        </is>
      </c>
      <c r="O1545" t="inlineStr">
        <is>
          <t>🚨 MALICIOUS: IONOS SE | 🌍 Spain | Madrid | 🏢 IONOS SE | ASN: AS8560 IONOS SE | 🖥️ Hosting/DC | 🚨 AbuseIPDB: 100% malicious (Data Center/Web Hosting/Transit)</t>
        </is>
      </c>
      <c r="P1545" t="n">
        <v>0</v>
      </c>
      <c r="Q1545" t="n">
        <v>0</v>
      </c>
      <c r="R1545" t="inlineStr">
        <is>
          <t>T1110:Brute Force | T1078:Valid Accounts</t>
        </is>
      </c>
      <c r="S1545" t="n">
        <v>1</v>
      </c>
      <c r="T1545" t="inlineStr">
        <is>
          <t>LOW (40%)</t>
        </is>
      </c>
      <c r="U1545" t="inlineStr">
        <is>
          <t>NONE</t>
        </is>
      </c>
      <c r="V1545" t="inlineStr">
        <is>
          <t>NONE</t>
        </is>
      </c>
      <c r="W1545" t="inlineStr">
        <is>
          <t>NONE</t>
        </is>
      </c>
      <c r="X1545" t="inlineStr">
        <is>
          <t>NONE</t>
        </is>
      </c>
      <c r="Y1545" t="n">
        <v>0</v>
      </c>
      <c r="Z1545" t="inlineStr"/>
      <c r="AA1545" t="inlineStr">
        <is>
          <t>https://www.abuseipdb.com/check/217.154.106.153</t>
        </is>
      </c>
    </row>
    <row r="1546">
      <c r="A1546" t="inlineStr">
        <is>
          <t>ABUSE_IP</t>
        </is>
      </c>
      <c r="B1546" t="inlineStr">
        <is>
          <t>4527636b0a3c</t>
        </is>
      </c>
      <c r="C1546" t="inlineStr">
        <is>
          <t>Malicious IP: 20.205.120.43 | Country: HK | ISP: Unknown | Confidence: 100% | Sources: ABUSEIPDB</t>
        </is>
      </c>
      <c r="D1546" t="n">
        <v>6.5</v>
      </c>
      <c r="E1546" t="inlineStr">
        <is>
          <t>MEDIUM</t>
        </is>
      </c>
      <c r="F1546" t="n">
        <v>3</v>
      </c>
      <c r="G1546" t="n">
        <v>1</v>
      </c>
      <c r="H1546" t="inlineStr">
        <is>
          <t>MEDIUM</t>
        </is>
      </c>
      <c r="I1546" t="n">
        <v>9.5</v>
      </c>
      <c r="J1546" t="inlineStr">
        <is>
          <t>NO</t>
        </is>
      </c>
      <c r="K1546" t="inlineStr">
        <is>
          <t>2026-02-23T21:16:56+00:00</t>
        </is>
      </c>
      <c r="L1546" t="inlineStr">
        <is>
          <t>Block IP</t>
        </is>
      </c>
      <c r="M1546" t="inlineStr">
        <is>
          <t>Firewall/Network</t>
        </is>
      </c>
      <c r="N1546" t="inlineStr">
        <is>
          <t>P4</t>
        </is>
      </c>
      <c r="O1546" t="inlineStr">
        <is>
          <t>Skipped (20/run cap)</t>
        </is>
      </c>
      <c r="P1546" t="n">
        <v>0</v>
      </c>
      <c r="Q1546" t="n">
        <v>0</v>
      </c>
      <c r="R1546" t="inlineStr">
        <is>
          <t>T1110:Brute Force | T1078:Valid Accounts</t>
        </is>
      </c>
      <c r="S1546" t="n">
        <v>1</v>
      </c>
      <c r="T1546" t="inlineStr">
        <is>
          <t>LOW (40%)</t>
        </is>
      </c>
      <c r="U1546" t="inlineStr">
        <is>
          <t>NONE</t>
        </is>
      </c>
      <c r="V1546" t="inlineStr">
        <is>
          <t>NONE</t>
        </is>
      </c>
      <c r="W1546" t="inlineStr">
        <is>
          <t>NONE</t>
        </is>
      </c>
      <c r="X1546" t="inlineStr">
        <is>
          <t>NONE</t>
        </is>
      </c>
      <c r="Y1546" t="n">
        <v>0</v>
      </c>
      <c r="Z1546" t="inlineStr"/>
      <c r="AA1546" t="inlineStr">
        <is>
          <t>https://www.abuseipdb.com/check/20.205.120.43</t>
        </is>
      </c>
    </row>
    <row r="1547">
      <c r="A1547" t="inlineStr">
        <is>
          <t>ABUSE_IP</t>
        </is>
      </c>
      <c r="B1547" t="inlineStr">
        <is>
          <t>33225c231572</t>
        </is>
      </c>
      <c r="C1547" t="inlineStr">
        <is>
          <t>Malicious IP: 20.189.202.58 | Country: JP | ISP: Unknown | Confidence: 100% | Sources: ABUSEIPDB</t>
        </is>
      </c>
      <c r="D1547" t="n">
        <v>6.5</v>
      </c>
      <c r="E1547" t="inlineStr">
        <is>
          <t>MEDIUM</t>
        </is>
      </c>
      <c r="F1547" t="n">
        <v>3</v>
      </c>
      <c r="G1547" t="n">
        <v>1</v>
      </c>
      <c r="H1547" t="inlineStr">
        <is>
          <t>MEDIUM</t>
        </is>
      </c>
      <c r="I1547" t="n">
        <v>9.5</v>
      </c>
      <c r="J1547" t="inlineStr">
        <is>
          <t>NO</t>
        </is>
      </c>
      <c r="K1547" t="inlineStr">
        <is>
          <t>2026-02-23T21:16:56+00:00</t>
        </is>
      </c>
      <c r="L1547" t="inlineStr">
        <is>
          <t>Block IP</t>
        </is>
      </c>
      <c r="M1547" t="inlineStr">
        <is>
          <t>Firewall/Network</t>
        </is>
      </c>
      <c r="N1547" t="inlineStr">
        <is>
          <t>P4</t>
        </is>
      </c>
      <c r="O1547" t="inlineStr">
        <is>
          <t>🚨 MALICIOUS: Microsoft Azure Cloud (japanwest) | 🌍 Japan | Osaka | 🏢 Microsoft Azure Cloud (japanwest) | ASN: AS8075 Microsoft Corporation | 🖥️ Hosting/DC | 🚨 AbuseIPDB: 100% malicious (Data Center/Web Hosting/Transit)</t>
        </is>
      </c>
      <c r="P1547" t="n">
        <v>0</v>
      </c>
      <c r="Q1547" t="n">
        <v>0</v>
      </c>
      <c r="R1547" t="inlineStr">
        <is>
          <t>T1110:Brute Force | T1078:Valid Accounts</t>
        </is>
      </c>
      <c r="S1547" t="n">
        <v>1</v>
      </c>
      <c r="T1547" t="inlineStr">
        <is>
          <t>LOW (40%)</t>
        </is>
      </c>
      <c r="U1547" t="inlineStr">
        <is>
          <t>NONE</t>
        </is>
      </c>
      <c r="V1547" t="inlineStr">
        <is>
          <t>NONE</t>
        </is>
      </c>
      <c r="W1547" t="inlineStr">
        <is>
          <t>NONE</t>
        </is>
      </c>
      <c r="X1547" t="inlineStr">
        <is>
          <t>NONE</t>
        </is>
      </c>
      <c r="Y1547" t="n">
        <v>0</v>
      </c>
      <c r="Z1547" t="inlineStr"/>
      <c r="AA1547" t="inlineStr">
        <is>
          <t>https://www.abuseipdb.com/check/20.189.202.58</t>
        </is>
      </c>
    </row>
    <row r="1548">
      <c r="A1548" t="inlineStr">
        <is>
          <t>ABUSE_IP</t>
        </is>
      </c>
      <c r="B1548" t="inlineStr">
        <is>
          <t>7345ec17372b</t>
        </is>
      </c>
      <c r="C1548" t="inlineStr">
        <is>
          <t>Malicious IP: 102.88.137.80 | Country: NG | ISP: Unknown | Confidence: 100% | Sources: ABUSEIPDB</t>
        </is>
      </c>
      <c r="D1548" t="n">
        <v>6.5</v>
      </c>
      <c r="E1548" t="inlineStr">
        <is>
          <t>MEDIUM</t>
        </is>
      </c>
      <c r="F1548" t="n">
        <v>3</v>
      </c>
      <c r="G1548" t="n">
        <v>1</v>
      </c>
      <c r="H1548" t="inlineStr">
        <is>
          <t>MEDIUM</t>
        </is>
      </c>
      <c r="I1548" t="n">
        <v>9.5</v>
      </c>
      <c r="J1548" t="inlineStr">
        <is>
          <t>NO</t>
        </is>
      </c>
      <c r="K1548" t="inlineStr">
        <is>
          <t>2026-02-23T21:16:55+00:00</t>
        </is>
      </c>
      <c r="L1548" t="inlineStr">
        <is>
          <t>Block IP</t>
        </is>
      </c>
      <c r="M1548" t="inlineStr">
        <is>
          <t>Firewall/Network</t>
        </is>
      </c>
      <c r="N1548" t="inlineStr">
        <is>
          <t>P4</t>
        </is>
      </c>
      <c r="O1548" t="inlineStr">
        <is>
          <t>🚨 MALICIOUS: MTN Nigeria | 🌍 Nigeria | Lagos | 🏢 MTN Nigeria | ASN: AS29465 MTN NIGERIA Communication limited | 🖥️ Hosting/DC | 🚨 AbuseIPDB: 100% malicious (Fixed Line ISP)</t>
        </is>
      </c>
      <c r="P1548" t="n">
        <v>0</v>
      </c>
      <c r="Q1548" t="n">
        <v>0</v>
      </c>
      <c r="R1548" t="inlineStr">
        <is>
          <t>T1110:Brute Force | T1078:Valid Accounts</t>
        </is>
      </c>
      <c r="S1548" t="n">
        <v>1</v>
      </c>
      <c r="T1548" t="inlineStr">
        <is>
          <t>LOW (40%)</t>
        </is>
      </c>
      <c r="U1548" t="inlineStr">
        <is>
          <t>NONE</t>
        </is>
      </c>
      <c r="V1548" t="inlineStr">
        <is>
          <t>NONE</t>
        </is>
      </c>
      <c r="W1548" t="inlineStr">
        <is>
          <t>NONE</t>
        </is>
      </c>
      <c r="X1548" t="inlineStr">
        <is>
          <t>NONE</t>
        </is>
      </c>
      <c r="Y1548" t="n">
        <v>0</v>
      </c>
      <c r="Z1548" t="inlineStr"/>
      <c r="AA1548" t="inlineStr">
        <is>
          <t>https://www.abuseipdb.com/check/102.88.137.80</t>
        </is>
      </c>
    </row>
    <row r="1549">
      <c r="A1549" t="inlineStr">
        <is>
          <t>CISA_ICS</t>
        </is>
      </c>
      <c r="B1549" t="inlineStr">
        <is>
          <t>Welker OdorEyes EcoS</t>
        </is>
      </c>
      <c r="C1549" t="inlineStr">
        <is>
          <t>ICS Advisory: Welker OdorEyes EcoSystem Pulse Bypass System with XL4 Controller</t>
        </is>
      </c>
      <c r="D1549" t="n">
        <v>7</v>
      </c>
      <c r="E1549" t="inlineStr">
        <is>
          <t>HIGH</t>
        </is>
      </c>
      <c r="F1549" t="n">
        <v>2</v>
      </c>
      <c r="G1549" t="n">
        <v>3</v>
      </c>
      <c r="H1549" t="inlineStr">
        <is>
          <t>HIGH</t>
        </is>
      </c>
      <c r="I1549" t="n">
        <v>13</v>
      </c>
      <c r="J1549" t="inlineStr">
        <is>
          <t>NO</t>
        </is>
      </c>
      <c r="K1549" t="inlineStr">
        <is>
          <t>2026-02-19</t>
        </is>
      </c>
      <c r="L1549" t="inlineStr">
        <is>
          <t>CHECK_VENDOR</t>
        </is>
      </c>
      <c r="M1549" t="inlineStr">
        <is>
          <t>ICS/SCADA/OT</t>
        </is>
      </c>
      <c r="N1549" t="inlineStr">
        <is>
          <t>P3</t>
        </is>
      </c>
      <c r="O1549" t="inlineStr">
        <is>
          <t>ICS advisory - no IP context</t>
        </is>
      </c>
      <c r="P1549" t="n">
        <v>0</v>
      </c>
      <c r="Q1549" t="n">
        <v>0</v>
      </c>
      <c r="R1549" t="inlineStr">
        <is>
          <t>T0812:Default Credentials | T0866:Exploitation of Remote Services</t>
        </is>
      </c>
      <c r="S1549" t="n">
        <v>2</v>
      </c>
      <c r="T1549" t="inlineStr">
        <is>
          <t>CONFIRMED (82%)</t>
        </is>
      </c>
      <c r="U1549" t="inlineStr">
        <is>
          <t>NONE</t>
        </is>
      </c>
      <c r="V1549" t="inlineStr">
        <is>
          <t>NONE</t>
        </is>
      </c>
      <c r="W1549" t="inlineStr">
        <is>
          <t>NONE</t>
        </is>
      </c>
      <c r="X1549" t="inlineStr">
        <is>
          <t>NONE</t>
        </is>
      </c>
      <c r="Y1549" t="n">
        <v>0</v>
      </c>
      <c r="Z1549" t="inlineStr"/>
      <c r="AA1549" t="inlineStr">
        <is>
          <t>https://www.cisa.gov/uscert/ics/advisories/Welker OdorEyes EcoS</t>
        </is>
      </c>
    </row>
    <row r="1550">
      <c r="A1550" t="inlineStr">
        <is>
          <t>CISA_ICS</t>
        </is>
      </c>
      <c r="B1550" t="inlineStr">
        <is>
          <t>Jinan USR IOT Techno</t>
        </is>
      </c>
      <c r="C1550" t="inlineStr">
        <is>
          <t>ICS Advisory: Jinan USR IOT Technology Limited (PUSR) USR-W610</t>
        </is>
      </c>
      <c r="D1550" t="n">
        <v>7</v>
      </c>
      <c r="E1550" t="inlineStr">
        <is>
          <t>HIGH</t>
        </is>
      </c>
      <c r="F1550" t="n">
        <v>2</v>
      </c>
      <c r="G1550" t="n">
        <v>3</v>
      </c>
      <c r="H1550" t="inlineStr">
        <is>
          <t>HIGH</t>
        </is>
      </c>
      <c r="I1550" t="n">
        <v>13</v>
      </c>
      <c r="J1550" t="inlineStr">
        <is>
          <t>NO</t>
        </is>
      </c>
      <c r="K1550" t="inlineStr">
        <is>
          <t>2026-02-19</t>
        </is>
      </c>
      <c r="L1550" t="inlineStr">
        <is>
          <t>CHECK_VENDOR</t>
        </is>
      </c>
      <c r="M1550" t="inlineStr">
        <is>
          <t>ICS/SCADA/OT</t>
        </is>
      </c>
      <c r="N1550" t="inlineStr">
        <is>
          <t>P3</t>
        </is>
      </c>
      <c r="O1550" t="inlineStr">
        <is>
          <t>ICS advisory - no IP context</t>
        </is>
      </c>
      <c r="P1550" t="n">
        <v>0</v>
      </c>
      <c r="Q1550" t="n">
        <v>0</v>
      </c>
      <c r="R1550" t="inlineStr">
        <is>
          <t>T0812:Default Credentials | T0866:Exploitation of Remote Services</t>
        </is>
      </c>
      <c r="S1550" t="n">
        <v>2</v>
      </c>
      <c r="T1550" t="inlineStr">
        <is>
          <t>CONFIRMED (82%)</t>
        </is>
      </c>
      <c r="U1550" t="inlineStr">
        <is>
          <t>NONE</t>
        </is>
      </c>
      <c r="V1550" t="inlineStr">
        <is>
          <t>NONE</t>
        </is>
      </c>
      <c r="W1550" t="inlineStr">
        <is>
          <t>NONE</t>
        </is>
      </c>
      <c r="X1550" t="inlineStr">
        <is>
          <t>NONE</t>
        </is>
      </c>
      <c r="Y1550" t="n">
        <v>0</v>
      </c>
      <c r="Z1550" t="inlineStr"/>
      <c r="AA1550" t="inlineStr">
        <is>
          <t>https://www.cisa.gov/uscert/ics/advisories/Jinan USR IOT Techno</t>
        </is>
      </c>
    </row>
    <row r="1551">
      <c r="A1551" t="inlineStr">
        <is>
          <t>CISA_ICS</t>
        </is>
      </c>
      <c r="B1551" t="inlineStr">
        <is>
          <t>Valmet DNA Engineeri</t>
        </is>
      </c>
      <c r="C1551" t="inlineStr">
        <is>
          <t>ICS Advisory: Valmet DNA Engineering Web Tools</t>
        </is>
      </c>
      <c r="D1551" t="n">
        <v>7</v>
      </c>
      <c r="E1551" t="inlineStr">
        <is>
          <t>HIGH</t>
        </is>
      </c>
      <c r="F1551" t="n">
        <v>2</v>
      </c>
      <c r="G1551" t="n">
        <v>3</v>
      </c>
      <c r="H1551" t="inlineStr">
        <is>
          <t>HIGH</t>
        </is>
      </c>
      <c r="I1551" t="n">
        <v>13</v>
      </c>
      <c r="J1551" t="inlineStr">
        <is>
          <t>NO</t>
        </is>
      </c>
      <c r="K1551" t="inlineStr">
        <is>
          <t>2026-02-19</t>
        </is>
      </c>
      <c r="L1551" t="inlineStr">
        <is>
          <t>CHECK_VENDOR</t>
        </is>
      </c>
      <c r="M1551" t="inlineStr">
        <is>
          <t>ICS/SCADA/OT</t>
        </is>
      </c>
      <c r="N1551" t="inlineStr">
        <is>
          <t>P3</t>
        </is>
      </c>
      <c r="O1551" t="inlineStr">
        <is>
          <t>ICS advisory - no IP context</t>
        </is>
      </c>
      <c r="P1551" t="n">
        <v>0</v>
      </c>
      <c r="Q1551" t="n">
        <v>0</v>
      </c>
      <c r="R1551" t="inlineStr">
        <is>
          <t>T0812:Default Credentials | T0866:Exploitation of Remote Services</t>
        </is>
      </c>
      <c r="S1551" t="n">
        <v>2</v>
      </c>
      <c r="T1551" t="inlineStr">
        <is>
          <t>CONFIRMED (82%)</t>
        </is>
      </c>
      <c r="U1551" t="inlineStr">
        <is>
          <t>NONE</t>
        </is>
      </c>
      <c r="V1551" t="inlineStr">
        <is>
          <t>NONE</t>
        </is>
      </c>
      <c r="W1551" t="inlineStr">
        <is>
          <t>NONE</t>
        </is>
      </c>
      <c r="X1551" t="inlineStr">
        <is>
          <t>NONE</t>
        </is>
      </c>
      <c r="Y1551" t="n">
        <v>0</v>
      </c>
      <c r="Z1551" t="inlineStr"/>
      <c r="AA1551" t="inlineStr">
        <is>
          <t>https://www.cisa.gov/uscert/ics/advisories/Valmet DNA Engineeri</t>
        </is>
      </c>
    </row>
    <row r="1552">
      <c r="A1552" t="inlineStr">
        <is>
          <t>CISA_ICS</t>
        </is>
      </c>
      <c r="B1552" t="inlineStr">
        <is>
          <t xml:space="preserve">EnOcean SmartServer </t>
        </is>
      </c>
      <c r="C1552" t="inlineStr">
        <is>
          <t>ICS Advisory: EnOcean SmartServer IoT</t>
        </is>
      </c>
      <c r="D1552" t="n">
        <v>7</v>
      </c>
      <c r="E1552" t="inlineStr">
        <is>
          <t>HIGH</t>
        </is>
      </c>
      <c r="F1552" t="n">
        <v>2</v>
      </c>
      <c r="G1552" t="n">
        <v>3</v>
      </c>
      <c r="H1552" t="inlineStr">
        <is>
          <t>HIGH</t>
        </is>
      </c>
      <c r="I1552" t="n">
        <v>13</v>
      </c>
      <c r="J1552" t="inlineStr">
        <is>
          <t>NO</t>
        </is>
      </c>
      <c r="K1552" t="inlineStr">
        <is>
          <t>2026-02-19</t>
        </is>
      </c>
      <c r="L1552" t="inlineStr">
        <is>
          <t>CHECK_VENDOR</t>
        </is>
      </c>
      <c r="M1552" t="inlineStr">
        <is>
          <t>ICS/SCADA/OT</t>
        </is>
      </c>
      <c r="N1552" t="inlineStr">
        <is>
          <t>P3</t>
        </is>
      </c>
      <c r="O1552" t="inlineStr">
        <is>
          <t>ICS advisory - no IP context</t>
        </is>
      </c>
      <c r="P1552" t="n">
        <v>0</v>
      </c>
      <c r="Q1552" t="n">
        <v>0</v>
      </c>
      <c r="R1552" t="inlineStr">
        <is>
          <t>T0812:Default Credentials | T0866:Exploitation of Remote Services</t>
        </is>
      </c>
      <c r="S1552" t="n">
        <v>2</v>
      </c>
      <c r="T1552" t="inlineStr">
        <is>
          <t>CONFIRMED (82%)</t>
        </is>
      </c>
      <c r="U1552" t="inlineStr">
        <is>
          <t>NONE</t>
        </is>
      </c>
      <c r="V1552" t="inlineStr">
        <is>
          <t>NONE</t>
        </is>
      </c>
      <c r="W1552" t="inlineStr">
        <is>
          <t>NONE</t>
        </is>
      </c>
      <c r="X1552" t="inlineStr">
        <is>
          <t>NONE</t>
        </is>
      </c>
      <c r="Y1552" t="n">
        <v>0</v>
      </c>
      <c r="Z1552" t="inlineStr"/>
      <c r="AA1552" t="inlineStr">
        <is>
          <t xml:space="preserve">https://www.cisa.gov/uscert/ics/advisories/EnOcean SmartServer </t>
        </is>
      </c>
    </row>
    <row r="1553">
      <c r="A1553" t="inlineStr">
        <is>
          <t>CISA_ICS</t>
        </is>
      </c>
      <c r="B1553" t="inlineStr">
        <is>
          <t>Honeywell CCTV Produ</t>
        </is>
      </c>
      <c r="C1553" t="inlineStr">
        <is>
          <t>ICS Advisory: Honeywell CCTV Products</t>
        </is>
      </c>
      <c r="D1553" t="n">
        <v>7</v>
      </c>
      <c r="E1553" t="inlineStr">
        <is>
          <t>HIGH</t>
        </is>
      </c>
      <c r="F1553" t="n">
        <v>2</v>
      </c>
      <c r="G1553" t="n">
        <v>3</v>
      </c>
      <c r="H1553" t="inlineStr">
        <is>
          <t>HIGH</t>
        </is>
      </c>
      <c r="I1553" t="n">
        <v>13</v>
      </c>
      <c r="J1553" t="inlineStr">
        <is>
          <t>NO</t>
        </is>
      </c>
      <c r="K1553" t="inlineStr">
        <is>
          <t>2026-02-17</t>
        </is>
      </c>
      <c r="L1553" t="inlineStr">
        <is>
          <t>CHECK_VENDOR</t>
        </is>
      </c>
      <c r="M1553" t="inlineStr">
        <is>
          <t>ICS/SCADA/OT</t>
        </is>
      </c>
      <c r="N1553" t="inlineStr">
        <is>
          <t>P3</t>
        </is>
      </c>
      <c r="O1553" t="inlineStr">
        <is>
          <t>ICS advisory - no IP context</t>
        </is>
      </c>
      <c r="P1553" t="n">
        <v>0</v>
      </c>
      <c r="Q1553" t="n">
        <v>0</v>
      </c>
      <c r="R1553" t="inlineStr">
        <is>
          <t>T0812:Default Credentials | T0866:Exploitation of Remote Services</t>
        </is>
      </c>
      <c r="S1553" t="n">
        <v>2</v>
      </c>
      <c r="T1553" t="inlineStr">
        <is>
          <t>CONFIRMED (82%)</t>
        </is>
      </c>
      <c r="U1553" t="inlineStr">
        <is>
          <t>NONE</t>
        </is>
      </c>
      <c r="V1553" t="inlineStr">
        <is>
          <t>NONE</t>
        </is>
      </c>
      <c r="W1553" t="inlineStr">
        <is>
          <t>NONE</t>
        </is>
      </c>
      <c r="X1553" t="inlineStr">
        <is>
          <t>NONE</t>
        </is>
      </c>
      <c r="Y1553" t="n">
        <v>0</v>
      </c>
      <c r="Z1553" t="inlineStr"/>
      <c r="AA1553" t="inlineStr">
        <is>
          <t>https://www.cisa.gov/uscert/ics/advisories/Honeywell CCTV Produ</t>
        </is>
      </c>
    </row>
    <row r="1554">
      <c r="A1554" t="inlineStr">
        <is>
          <t>CISA_ICS</t>
        </is>
      </c>
      <c r="B1554" t="inlineStr">
        <is>
          <t>GE Vernova Enervista</t>
        </is>
      </c>
      <c r="C1554" t="inlineStr">
        <is>
          <t>ICS Advisory: GE Vernova Enervista UR Setup</t>
        </is>
      </c>
      <c r="D1554" t="n">
        <v>7</v>
      </c>
      <c r="E1554" t="inlineStr">
        <is>
          <t>HIGH</t>
        </is>
      </c>
      <c r="F1554" t="n">
        <v>2</v>
      </c>
      <c r="G1554" t="n">
        <v>3</v>
      </c>
      <c r="H1554" t="inlineStr">
        <is>
          <t>HIGH</t>
        </is>
      </c>
      <c r="I1554" t="n">
        <v>13</v>
      </c>
      <c r="J1554" t="inlineStr">
        <is>
          <t>NO</t>
        </is>
      </c>
      <c r="K1554" t="inlineStr">
        <is>
          <t>2026-02-17</t>
        </is>
      </c>
      <c r="L1554" t="inlineStr">
        <is>
          <t>CHECK_VENDOR</t>
        </is>
      </c>
      <c r="M1554" t="inlineStr">
        <is>
          <t>ICS/SCADA/OT</t>
        </is>
      </c>
      <c r="N1554" t="inlineStr">
        <is>
          <t>P3</t>
        </is>
      </c>
      <c r="O1554" t="inlineStr">
        <is>
          <t>ICS advisory - no IP context</t>
        </is>
      </c>
      <c r="P1554" t="n">
        <v>0</v>
      </c>
      <c r="Q1554" t="n">
        <v>0</v>
      </c>
      <c r="R1554" t="inlineStr">
        <is>
          <t>T0812:Default Credentials | T0866:Exploitation of Remote Services</t>
        </is>
      </c>
      <c r="S1554" t="n">
        <v>2</v>
      </c>
      <c r="T1554" t="inlineStr">
        <is>
          <t>CONFIRMED (82%)</t>
        </is>
      </c>
      <c r="U1554" t="inlineStr">
        <is>
          <t>NONE</t>
        </is>
      </c>
      <c r="V1554" t="inlineStr">
        <is>
          <t>NONE</t>
        </is>
      </c>
      <c r="W1554" t="inlineStr">
        <is>
          <t>NONE</t>
        </is>
      </c>
      <c r="X1554" t="inlineStr">
        <is>
          <t>NONE</t>
        </is>
      </c>
      <c r="Y1554" t="n">
        <v>0</v>
      </c>
      <c r="Z1554" t="inlineStr"/>
      <c r="AA1554" t="inlineStr">
        <is>
          <t>https://www.cisa.gov/uscert/ics/advisories/GE Vernova Enervista</t>
        </is>
      </c>
    </row>
    <row r="1555">
      <c r="A1555" t="inlineStr">
        <is>
          <t>CISA_ICS</t>
        </is>
      </c>
      <c r="B1555" t="inlineStr">
        <is>
          <t>Delta Electronics AS</t>
        </is>
      </c>
      <c r="C1555" t="inlineStr">
        <is>
          <t>ICS Advisory: Delta Electronics ASDA-Soft</t>
        </is>
      </c>
      <c r="D1555" t="n">
        <v>7</v>
      </c>
      <c r="E1555" t="inlineStr">
        <is>
          <t>HIGH</t>
        </is>
      </c>
      <c r="F1555" t="n">
        <v>2</v>
      </c>
      <c r="G1555" t="n">
        <v>3</v>
      </c>
      <c r="H1555" t="inlineStr">
        <is>
          <t>HIGH</t>
        </is>
      </c>
      <c r="I1555" t="n">
        <v>13</v>
      </c>
      <c r="J1555" t="inlineStr">
        <is>
          <t>NO</t>
        </is>
      </c>
      <c r="K1555" t="inlineStr">
        <is>
          <t>2026-02-17</t>
        </is>
      </c>
      <c r="L1555" t="inlineStr">
        <is>
          <t>CHECK_VENDOR</t>
        </is>
      </c>
      <c r="M1555" t="inlineStr">
        <is>
          <t>ICS/SCADA/OT</t>
        </is>
      </c>
      <c r="N1555" t="inlineStr">
        <is>
          <t>P3</t>
        </is>
      </c>
      <c r="O1555" t="inlineStr">
        <is>
          <t>ICS advisory - no IP context</t>
        </is>
      </c>
      <c r="P1555" t="n">
        <v>0</v>
      </c>
      <c r="Q1555" t="n">
        <v>0</v>
      </c>
      <c r="R1555" t="inlineStr">
        <is>
          <t>T0812:Default Credentials | T0866:Exploitation of Remote Services</t>
        </is>
      </c>
      <c r="S1555" t="n">
        <v>2</v>
      </c>
      <c r="T1555" t="inlineStr">
        <is>
          <t>CONFIRMED (82%)</t>
        </is>
      </c>
      <c r="U1555" t="inlineStr">
        <is>
          <t>NONE</t>
        </is>
      </c>
      <c r="V1555" t="inlineStr">
        <is>
          <t>NONE</t>
        </is>
      </c>
      <c r="W1555" t="inlineStr">
        <is>
          <t>NONE</t>
        </is>
      </c>
      <c r="X1555" t="inlineStr">
        <is>
          <t>NONE</t>
        </is>
      </c>
      <c r="Y1555" t="n">
        <v>0</v>
      </c>
      <c r="Z1555" t="inlineStr"/>
      <c r="AA1555" t="inlineStr">
        <is>
          <t>https://www.cisa.gov/uscert/ics/advisories/Delta Electronics AS</t>
        </is>
      </c>
    </row>
    <row r="1556">
      <c r="A1556" t="inlineStr">
        <is>
          <t>CISA_ICS</t>
        </is>
      </c>
      <c r="B1556" t="inlineStr">
        <is>
          <t>Siemens Simcenter Fe</t>
        </is>
      </c>
      <c r="C1556" t="inlineStr">
        <is>
          <t>ICS Advisory: Siemens Simcenter Femap and Nastran</t>
        </is>
      </c>
      <c r="D1556" t="n">
        <v>7</v>
      </c>
      <c r="E1556" t="inlineStr">
        <is>
          <t>HIGH</t>
        </is>
      </c>
      <c r="F1556" t="n">
        <v>2</v>
      </c>
      <c r="G1556" t="n">
        <v>3</v>
      </c>
      <c r="H1556" t="inlineStr">
        <is>
          <t>HIGH</t>
        </is>
      </c>
      <c r="I1556" t="n">
        <v>13</v>
      </c>
      <c r="J1556" t="inlineStr">
        <is>
          <t>NO</t>
        </is>
      </c>
      <c r="K1556" t="inlineStr">
        <is>
          <t>2026-02-17</t>
        </is>
      </c>
      <c r="L1556" t="inlineStr">
        <is>
          <t>CHECK_VENDOR</t>
        </is>
      </c>
      <c r="M1556" t="inlineStr">
        <is>
          <t>ICS/SCADA/OT</t>
        </is>
      </c>
      <c r="N1556" t="inlineStr">
        <is>
          <t>P3</t>
        </is>
      </c>
      <c r="O1556" t="inlineStr">
        <is>
          <t>ICS advisory - no IP context</t>
        </is>
      </c>
      <c r="P1556" t="n">
        <v>0</v>
      </c>
      <c r="Q1556" t="n">
        <v>0</v>
      </c>
      <c r="R1556" t="inlineStr">
        <is>
          <t>T0812:Default Credentials | T0866:Exploitation of Remote Services</t>
        </is>
      </c>
      <c r="S1556" t="n">
        <v>2</v>
      </c>
      <c r="T1556" t="inlineStr">
        <is>
          <t>CONFIRMED (82%)</t>
        </is>
      </c>
      <c r="U1556" t="inlineStr">
        <is>
          <t>NONE</t>
        </is>
      </c>
      <c r="V1556" t="inlineStr">
        <is>
          <t>NONE</t>
        </is>
      </c>
      <c r="W1556" t="inlineStr">
        <is>
          <t>NONE</t>
        </is>
      </c>
      <c r="X1556" t="inlineStr">
        <is>
          <t>NONE</t>
        </is>
      </c>
      <c r="Y1556" t="n">
        <v>0</v>
      </c>
      <c r="Z1556" t="inlineStr"/>
      <c r="AA1556" t="inlineStr">
        <is>
          <t>https://www.cisa.gov/uscert/ics/advisories/Siemens Simcenter Fe</t>
        </is>
      </c>
    </row>
    <row r="1557">
      <c r="A1557" t="inlineStr">
        <is>
          <t>CISA_ICS</t>
        </is>
      </c>
      <c r="B1557" t="inlineStr">
        <is>
          <t>Airleader Master</t>
        </is>
      </c>
      <c r="C1557" t="inlineStr">
        <is>
          <t>ICS Advisory: Airleader Master</t>
        </is>
      </c>
      <c r="D1557" t="n">
        <v>7</v>
      </c>
      <c r="E1557" t="inlineStr">
        <is>
          <t>HIGH</t>
        </is>
      </c>
      <c r="F1557" t="n">
        <v>2</v>
      </c>
      <c r="G1557" t="n">
        <v>3</v>
      </c>
      <c r="H1557" t="inlineStr">
        <is>
          <t>HIGH</t>
        </is>
      </c>
      <c r="I1557" t="n">
        <v>13</v>
      </c>
      <c r="J1557" t="inlineStr">
        <is>
          <t>NO</t>
        </is>
      </c>
      <c r="K1557" t="inlineStr">
        <is>
          <t>2026-02-12</t>
        </is>
      </c>
      <c r="L1557" t="inlineStr">
        <is>
          <t>CHECK_VENDOR</t>
        </is>
      </c>
      <c r="M1557" t="inlineStr">
        <is>
          <t>ICS/SCADA/OT</t>
        </is>
      </c>
      <c r="N1557" t="inlineStr">
        <is>
          <t>P3</t>
        </is>
      </c>
      <c r="O1557" t="inlineStr">
        <is>
          <t>ICS advisory - no IP context</t>
        </is>
      </c>
      <c r="P1557" t="n">
        <v>0</v>
      </c>
      <c r="Q1557" t="n">
        <v>0</v>
      </c>
      <c r="R1557" t="inlineStr">
        <is>
          <t>T0812:Default Credentials | T0866:Exploitation of Remote Services</t>
        </is>
      </c>
      <c r="S1557" t="n">
        <v>2</v>
      </c>
      <c r="T1557" t="inlineStr">
        <is>
          <t>CONFIRMED (82%)</t>
        </is>
      </c>
      <c r="U1557" t="inlineStr">
        <is>
          <t>NONE</t>
        </is>
      </c>
      <c r="V1557" t="inlineStr">
        <is>
          <t>NONE</t>
        </is>
      </c>
      <c r="W1557" t="inlineStr">
        <is>
          <t>NONE</t>
        </is>
      </c>
      <c r="X1557" t="inlineStr">
        <is>
          <t>NONE</t>
        </is>
      </c>
      <c r="Y1557" t="n">
        <v>0</v>
      </c>
      <c r="Z1557" t="inlineStr"/>
      <c r="AA1557" t="inlineStr">
        <is>
          <t>https://www.cisa.gov/uscert/ics/advisories/Airleader Master</t>
        </is>
      </c>
    </row>
    <row r="1558">
      <c r="A1558" t="inlineStr">
        <is>
          <t>CISA_ICS</t>
        </is>
      </c>
      <c r="B1558" t="inlineStr">
        <is>
          <t>Hitachi Energy SuprO</t>
        </is>
      </c>
      <c r="C1558" t="inlineStr">
        <is>
          <t>ICS Advisory: Hitachi Energy SuprOS</t>
        </is>
      </c>
      <c r="D1558" t="n">
        <v>7</v>
      </c>
      <c r="E1558" t="inlineStr">
        <is>
          <t>HIGH</t>
        </is>
      </c>
      <c r="F1558" t="n">
        <v>2</v>
      </c>
      <c r="G1558" t="n">
        <v>3</v>
      </c>
      <c r="H1558" t="inlineStr">
        <is>
          <t>HIGH</t>
        </is>
      </c>
      <c r="I1558" t="n">
        <v>13</v>
      </c>
      <c r="J1558" t="inlineStr">
        <is>
          <t>NO</t>
        </is>
      </c>
      <c r="K1558" t="inlineStr">
        <is>
          <t>2026-02-12</t>
        </is>
      </c>
      <c r="L1558" t="inlineStr">
        <is>
          <t>CHECK_VENDOR</t>
        </is>
      </c>
      <c r="M1558" t="inlineStr">
        <is>
          <t>ICS/SCADA/OT</t>
        </is>
      </c>
      <c r="N1558" t="inlineStr">
        <is>
          <t>P3</t>
        </is>
      </c>
      <c r="O1558" t="inlineStr">
        <is>
          <t>ICS advisory - no IP context</t>
        </is>
      </c>
      <c r="P1558" t="n">
        <v>0</v>
      </c>
      <c r="Q1558" t="n">
        <v>0</v>
      </c>
      <c r="R1558" t="inlineStr">
        <is>
          <t>T0812:Default Credentials | T0866:Exploitation of Remote Services</t>
        </is>
      </c>
      <c r="S1558" t="n">
        <v>2</v>
      </c>
      <c r="T1558" t="inlineStr">
        <is>
          <t>CONFIRMED (82%)</t>
        </is>
      </c>
      <c r="U1558" t="inlineStr">
        <is>
          <t>NONE</t>
        </is>
      </c>
      <c r="V1558" t="inlineStr">
        <is>
          <t>NONE</t>
        </is>
      </c>
      <c r="W1558" t="inlineStr">
        <is>
          <t>NONE</t>
        </is>
      </c>
      <c r="X1558" t="inlineStr">
        <is>
          <t>NONE</t>
        </is>
      </c>
      <c r="Y1558" t="n">
        <v>0</v>
      </c>
      <c r="Z1558" t="inlineStr"/>
      <c r="AA1558" t="inlineStr">
        <is>
          <t>https://www.cisa.gov/uscert/ics/advisories/Hitachi Energy SuprO</t>
        </is>
      </c>
    </row>
    <row r="1559">
      <c r="A1559" t="inlineStr">
        <is>
          <t>FEODO_C2</t>
        </is>
      </c>
      <c r="B1559" t="inlineStr">
        <is>
          <t>dd4f0099a454</t>
        </is>
      </c>
      <c r="C1559" t="inlineStr">
        <is>
          <t>Botnet C2 [Emotet]: 162.243.103.246:8080 | Country: US | Last online: 2026-02-06 | Also in: FEODO</t>
        </is>
      </c>
      <c r="D1559" t="n">
        <v>8</v>
      </c>
      <c r="E1559" t="inlineStr">
        <is>
          <t>HIGH</t>
        </is>
      </c>
      <c r="F1559" t="n">
        <v>3</v>
      </c>
      <c r="G1559" t="n">
        <v>3</v>
      </c>
      <c r="H1559" t="inlineStr">
        <is>
          <t>CRITICAL</t>
        </is>
      </c>
      <c r="I1559" t="n">
        <v>17</v>
      </c>
      <c r="J1559" t="inlineStr">
        <is>
          <t>NO</t>
        </is>
      </c>
      <c r="K1559" t="inlineStr">
        <is>
          <t>2026-02-06</t>
        </is>
      </c>
      <c r="L1559" t="inlineStr">
        <is>
          <t>Block C2 immediately</t>
        </is>
      </c>
      <c r="M1559" t="inlineStr">
        <is>
          <t>Network/Endpoints</t>
        </is>
      </c>
      <c r="N1559" t="inlineStr">
        <is>
          <t>P1</t>
        </is>
      </c>
      <c r="O1559" t="inlineStr">
        <is>
          <t>Skipped (20/run cap)</t>
        </is>
      </c>
      <c r="P1559" t="n">
        <v>0</v>
      </c>
      <c r="Q1559" t="n">
        <v>0</v>
      </c>
      <c r="R1559" t="inlineStr">
        <is>
          <t>T1071:Application Layer Protocol | T1041:Exfiltration Over C2 Channel | T1486:Data Encrypted for Impact</t>
        </is>
      </c>
      <c r="S1559" t="n">
        <v>1</v>
      </c>
      <c r="T1559" t="inlineStr">
        <is>
          <t>HIGH (70%)</t>
        </is>
      </c>
      <c r="U1559" t="inlineStr">
        <is>
          <t>NONE</t>
        </is>
      </c>
      <c r="V1559" t="inlineStr">
        <is>
          <t>NONE</t>
        </is>
      </c>
      <c r="W1559" t="inlineStr">
        <is>
          <t>NONE</t>
        </is>
      </c>
      <c r="X1559" t="inlineStr">
        <is>
          <t>NONE</t>
        </is>
      </c>
      <c r="Y1559" t="n">
        <v>0</v>
      </c>
      <c r="Z1559" t="inlineStr"/>
      <c r="AA1559" t="inlineStr">
        <is>
          <t>https://feodotracker.abuse.ch/</t>
        </is>
      </c>
    </row>
    <row r="1560">
      <c r="A1560" t="inlineStr">
        <is>
          <t>FEODO_C2</t>
        </is>
      </c>
      <c r="B1560" t="inlineStr">
        <is>
          <t>3e7bffdfcbae</t>
        </is>
      </c>
      <c r="C1560" t="inlineStr">
        <is>
          <t>Botnet C2 [QakBot]: 178.62.3.223:443 | Country: GB | Last online: 2026-02-18 | Also in: FEODO</t>
        </is>
      </c>
      <c r="D1560" t="n">
        <v>8</v>
      </c>
      <c r="E1560" t="inlineStr">
        <is>
          <t>HIGH</t>
        </is>
      </c>
      <c r="F1560" t="n">
        <v>3</v>
      </c>
      <c r="G1560" t="n">
        <v>3</v>
      </c>
      <c r="H1560" t="inlineStr">
        <is>
          <t>CRITICAL</t>
        </is>
      </c>
      <c r="I1560" t="n">
        <v>17</v>
      </c>
      <c r="J1560" t="inlineStr">
        <is>
          <t>NO</t>
        </is>
      </c>
      <c r="K1560" t="inlineStr">
        <is>
          <t>2026-02-18</t>
        </is>
      </c>
      <c r="L1560" t="inlineStr">
        <is>
          <t>Block C2 immediately</t>
        </is>
      </c>
      <c r="M1560" t="inlineStr">
        <is>
          <t>Network/Endpoints</t>
        </is>
      </c>
      <c r="N1560" t="inlineStr">
        <is>
          <t>P1</t>
        </is>
      </c>
      <c r="O1560" t="inlineStr">
        <is>
          <t>🖥️ HOSTING/DC: Digital Ocean | 🌍 United Kingdom | Slough | 🏢 Digital Ocean | ASN: AS14061 DigitalOcean, LLC | 🖥️ Hosting/DC</t>
        </is>
      </c>
      <c r="P1560" t="n">
        <v>0</v>
      </c>
      <c r="Q1560" t="n">
        <v>0</v>
      </c>
      <c r="R1560" t="inlineStr">
        <is>
          <t>T1071:Application Layer Protocol | T1041:Exfiltration Over C2 Channel | T1486:Data Encrypted for Impact</t>
        </is>
      </c>
      <c r="S1560" t="n">
        <v>1</v>
      </c>
      <c r="T1560" t="inlineStr">
        <is>
          <t>HIGH (70%)</t>
        </is>
      </c>
      <c r="U1560" t="inlineStr">
        <is>
          <t>NONE</t>
        </is>
      </c>
      <c r="V1560" t="inlineStr">
        <is>
          <t>NONE</t>
        </is>
      </c>
      <c r="W1560" t="inlineStr">
        <is>
          <t>NONE</t>
        </is>
      </c>
      <c r="X1560" t="inlineStr">
        <is>
          <t>NONE</t>
        </is>
      </c>
      <c r="Y1560" t="n">
        <v>0</v>
      </c>
      <c r="Z1560" t="inlineStr"/>
      <c r="AA1560" t="inlineStr">
        <is>
          <t>https://feodotracker.abuse.ch/</t>
        </is>
      </c>
    </row>
    <row r="1561">
      <c r="A1561" t="inlineStr">
        <is>
          <t>FIREHOL_THREAT</t>
        </is>
      </c>
      <c r="B1561" t="inlineStr">
        <is>
          <t>41744fea4be9</t>
        </is>
      </c>
      <c r="C1561" t="inlineStr">
        <is>
          <t>DROP List CIDR: 0.0.0.0/8 | FireHOL L1 threat IP/CIDR | ASN: FireHOL-L1</t>
        </is>
      </c>
      <c r="D1561" t="n">
        <v>6</v>
      </c>
      <c r="E1561" t="inlineStr">
        <is>
          <t>MEDIUM</t>
        </is>
      </c>
      <c r="F1561" t="n">
        <v>2</v>
      </c>
      <c r="G1561" t="n">
        <v>2</v>
      </c>
      <c r="H1561" t="inlineStr">
        <is>
          <t>MEDIUM</t>
        </is>
      </c>
      <c r="I1561" t="n">
        <v>10</v>
      </c>
      <c r="J1561" t="inlineStr">
        <is>
          <t>NO</t>
        </is>
      </c>
      <c r="K1561" t="inlineStr">
        <is>
          <t>2026-02-23 23:48</t>
        </is>
      </c>
      <c r="L1561" t="inlineStr">
        <is>
          <t>Block CIDR</t>
        </is>
      </c>
      <c r="M1561" t="inlineStr">
        <is>
          <t>Firewall/Email</t>
        </is>
      </c>
      <c r="N1561" t="inlineStr">
        <is>
          <t>P4</t>
        </is>
      </c>
      <c r="O1561" t="inlineStr">
        <is>
          <t>Spamhaus - CIDR range</t>
        </is>
      </c>
      <c r="P1561" t="n">
        <v>0</v>
      </c>
      <c r="Q1561" t="n">
        <v>0</v>
      </c>
      <c r="R1561" t="inlineStr">
        <is>
          <t>T1566:Phishing | T1078:Valid Accounts</t>
        </is>
      </c>
      <c r="S1561" t="n">
        <v>1</v>
      </c>
      <c r="T1561" t="inlineStr">
        <is>
          <t>LOW (40%)</t>
        </is>
      </c>
      <c r="U1561" t="inlineStr">
        <is>
          <t>NONE</t>
        </is>
      </c>
      <c r="V1561" t="inlineStr">
        <is>
          <t>NONE</t>
        </is>
      </c>
      <c r="W1561" t="inlineStr">
        <is>
          <t>NONE</t>
        </is>
      </c>
      <c r="X1561" t="inlineStr">
        <is>
          <t>NONE</t>
        </is>
      </c>
      <c r="Y1561" t="n">
        <v>0</v>
      </c>
      <c r="Z1561" t="inlineStr"/>
      <c r="AA1561" t="inlineStr">
        <is>
          <t>https://www.spamhaus.org/drop/</t>
        </is>
      </c>
    </row>
    <row r="1562">
      <c r="A1562" t="inlineStr">
        <is>
          <t>FIREHOL_THREAT</t>
        </is>
      </c>
      <c r="B1562" t="inlineStr">
        <is>
          <t>16557aba7819</t>
        </is>
      </c>
      <c r="C1562" t="inlineStr">
        <is>
          <t>DROP List CIDR: 1.10.16.0/20 | FireHOL L1 threat IP/CIDR | ASN: FireHOL-L1</t>
        </is>
      </c>
      <c r="D1562" t="n">
        <v>6</v>
      </c>
      <c r="E1562" t="inlineStr">
        <is>
          <t>MEDIUM</t>
        </is>
      </c>
      <c r="F1562" t="n">
        <v>2</v>
      </c>
      <c r="G1562" t="n">
        <v>2</v>
      </c>
      <c r="H1562" t="inlineStr">
        <is>
          <t>MEDIUM</t>
        </is>
      </c>
      <c r="I1562" t="n">
        <v>10</v>
      </c>
      <c r="J1562" t="inlineStr">
        <is>
          <t>NO</t>
        </is>
      </c>
      <c r="K1562" t="inlineStr">
        <is>
          <t>2026-02-23 23:48</t>
        </is>
      </c>
      <c r="L1562" t="inlineStr">
        <is>
          <t>Block CIDR</t>
        </is>
      </c>
      <c r="M1562" t="inlineStr">
        <is>
          <t>Firewall/Email</t>
        </is>
      </c>
      <c r="N1562" t="inlineStr">
        <is>
          <t>P4</t>
        </is>
      </c>
      <c r="O1562" t="inlineStr">
        <is>
          <t>Spamhaus - CIDR range</t>
        </is>
      </c>
      <c r="P1562" t="n">
        <v>0</v>
      </c>
      <c r="Q1562" t="n">
        <v>0</v>
      </c>
      <c r="R1562" t="inlineStr">
        <is>
          <t>T1566:Phishing | T1078:Valid Accounts</t>
        </is>
      </c>
      <c r="S1562" t="n">
        <v>1</v>
      </c>
      <c r="T1562" t="inlineStr">
        <is>
          <t>LOW (40%)</t>
        </is>
      </c>
      <c r="U1562" t="inlineStr">
        <is>
          <t>NONE</t>
        </is>
      </c>
      <c r="V1562" t="inlineStr">
        <is>
          <t>NONE</t>
        </is>
      </c>
      <c r="W1562" t="inlineStr">
        <is>
          <t>NONE</t>
        </is>
      </c>
      <c r="X1562" t="inlineStr">
        <is>
          <t>NONE</t>
        </is>
      </c>
      <c r="Y1562" t="n">
        <v>0</v>
      </c>
      <c r="Z1562" t="inlineStr"/>
      <c r="AA1562" t="inlineStr">
        <is>
          <t>https://www.spamhaus.org/drop/</t>
        </is>
      </c>
    </row>
    <row r="1563">
      <c r="A1563" t="inlineStr">
        <is>
          <t>FIREHOL_THREAT</t>
        </is>
      </c>
      <c r="B1563" t="inlineStr">
        <is>
          <t>036d6cf17ed5</t>
        </is>
      </c>
      <c r="C1563" t="inlineStr">
        <is>
          <t>DROP List CIDR: 1.19.0.0/16 | FireHOL L1 threat IP/CIDR | ASN: FireHOL-L1</t>
        </is>
      </c>
      <c r="D1563" t="n">
        <v>6</v>
      </c>
      <c r="E1563" t="inlineStr">
        <is>
          <t>MEDIUM</t>
        </is>
      </c>
      <c r="F1563" t="n">
        <v>2</v>
      </c>
      <c r="G1563" t="n">
        <v>2</v>
      </c>
      <c r="H1563" t="inlineStr">
        <is>
          <t>MEDIUM</t>
        </is>
      </c>
      <c r="I1563" t="n">
        <v>10</v>
      </c>
      <c r="J1563" t="inlineStr">
        <is>
          <t>NO</t>
        </is>
      </c>
      <c r="K1563" t="inlineStr">
        <is>
          <t>2026-02-23 23:48</t>
        </is>
      </c>
      <c r="L1563" t="inlineStr">
        <is>
          <t>Block CIDR</t>
        </is>
      </c>
      <c r="M1563" t="inlineStr">
        <is>
          <t>Firewall/Email</t>
        </is>
      </c>
      <c r="N1563" t="inlineStr">
        <is>
          <t>P4</t>
        </is>
      </c>
      <c r="O1563" t="inlineStr">
        <is>
          <t>Spamhaus - CIDR range</t>
        </is>
      </c>
      <c r="P1563" t="n">
        <v>0</v>
      </c>
      <c r="Q1563" t="n">
        <v>0</v>
      </c>
      <c r="R1563" t="inlineStr">
        <is>
          <t>T1566:Phishing | T1078:Valid Accounts</t>
        </is>
      </c>
      <c r="S1563" t="n">
        <v>1</v>
      </c>
      <c r="T1563" t="inlineStr">
        <is>
          <t>LOW (40%)</t>
        </is>
      </c>
      <c r="U1563" t="inlineStr">
        <is>
          <t>NONE</t>
        </is>
      </c>
      <c r="V1563" t="inlineStr">
        <is>
          <t>NONE</t>
        </is>
      </c>
      <c r="W1563" t="inlineStr">
        <is>
          <t>NONE</t>
        </is>
      </c>
      <c r="X1563" t="inlineStr">
        <is>
          <t>NONE</t>
        </is>
      </c>
      <c r="Y1563" t="n">
        <v>0</v>
      </c>
      <c r="Z1563" t="inlineStr"/>
      <c r="AA1563" t="inlineStr">
        <is>
          <t>https://www.spamhaus.org/drop/</t>
        </is>
      </c>
    </row>
    <row r="1564">
      <c r="A1564" t="inlineStr">
        <is>
          <t>FIREHOL_THREAT</t>
        </is>
      </c>
      <c r="B1564" t="inlineStr">
        <is>
          <t>087f73381bbd</t>
        </is>
      </c>
      <c r="C1564" t="inlineStr">
        <is>
          <t>DROP List CIDR: 1.32.128.0/18 | FireHOL L1 threat IP/CIDR | ASN: FireHOL-L1</t>
        </is>
      </c>
      <c r="D1564" t="n">
        <v>6</v>
      </c>
      <c r="E1564" t="inlineStr">
        <is>
          <t>MEDIUM</t>
        </is>
      </c>
      <c r="F1564" t="n">
        <v>2</v>
      </c>
      <c r="G1564" t="n">
        <v>2</v>
      </c>
      <c r="H1564" t="inlineStr">
        <is>
          <t>MEDIUM</t>
        </is>
      </c>
      <c r="I1564" t="n">
        <v>10</v>
      </c>
      <c r="J1564" t="inlineStr">
        <is>
          <t>NO</t>
        </is>
      </c>
      <c r="K1564" t="inlineStr">
        <is>
          <t>2026-02-23 23:48</t>
        </is>
      </c>
      <c r="L1564" t="inlineStr">
        <is>
          <t>Block CIDR</t>
        </is>
      </c>
      <c r="M1564" t="inlineStr">
        <is>
          <t>Firewall/Email</t>
        </is>
      </c>
      <c r="N1564" t="inlineStr">
        <is>
          <t>P4</t>
        </is>
      </c>
      <c r="O1564" t="inlineStr">
        <is>
          <t>Spamhaus - CIDR range</t>
        </is>
      </c>
      <c r="P1564" t="n">
        <v>0</v>
      </c>
      <c r="Q1564" t="n">
        <v>0</v>
      </c>
      <c r="R1564" t="inlineStr">
        <is>
          <t>T1566:Phishing | T1078:Valid Accounts</t>
        </is>
      </c>
      <c r="S1564" t="n">
        <v>1</v>
      </c>
      <c r="T1564" t="inlineStr">
        <is>
          <t>LOW (40%)</t>
        </is>
      </c>
      <c r="U1564" t="inlineStr">
        <is>
          <t>NONE</t>
        </is>
      </c>
      <c r="V1564" t="inlineStr">
        <is>
          <t>NONE</t>
        </is>
      </c>
      <c r="W1564" t="inlineStr">
        <is>
          <t>NONE</t>
        </is>
      </c>
      <c r="X1564" t="inlineStr">
        <is>
          <t>NONE</t>
        </is>
      </c>
      <c r="Y1564" t="n">
        <v>0</v>
      </c>
      <c r="Z1564" t="inlineStr"/>
      <c r="AA1564" t="inlineStr">
        <is>
          <t>https://www.spamhaus.org/drop/</t>
        </is>
      </c>
    </row>
    <row r="1565">
      <c r="A1565" t="inlineStr">
        <is>
          <t>FIREHOL_THREAT</t>
        </is>
      </c>
      <c r="B1565" t="inlineStr">
        <is>
          <t>452c623d084c</t>
        </is>
      </c>
      <c r="C1565" t="inlineStr">
        <is>
          <t>DROP List CIDR: 2.56.192.0/22 | FireHOL L1 threat IP/CIDR | ASN: FireHOL-L1</t>
        </is>
      </c>
      <c r="D1565" t="n">
        <v>6</v>
      </c>
      <c r="E1565" t="inlineStr">
        <is>
          <t>MEDIUM</t>
        </is>
      </c>
      <c r="F1565" t="n">
        <v>2</v>
      </c>
      <c r="G1565" t="n">
        <v>2</v>
      </c>
      <c r="H1565" t="inlineStr">
        <is>
          <t>MEDIUM</t>
        </is>
      </c>
      <c r="I1565" t="n">
        <v>10</v>
      </c>
      <c r="J1565" t="inlineStr">
        <is>
          <t>NO</t>
        </is>
      </c>
      <c r="K1565" t="inlineStr">
        <is>
          <t>2026-02-23 23:48</t>
        </is>
      </c>
      <c r="L1565" t="inlineStr">
        <is>
          <t>Block CIDR</t>
        </is>
      </c>
      <c r="M1565" t="inlineStr">
        <is>
          <t>Firewall/Email</t>
        </is>
      </c>
      <c r="N1565" t="inlineStr">
        <is>
          <t>P4</t>
        </is>
      </c>
      <c r="O1565" t="inlineStr">
        <is>
          <t>Spamhaus - CIDR range</t>
        </is>
      </c>
      <c r="P1565" t="n">
        <v>0</v>
      </c>
      <c r="Q1565" t="n">
        <v>0</v>
      </c>
      <c r="R1565" t="inlineStr">
        <is>
          <t>T1566:Phishing | T1078:Valid Accounts</t>
        </is>
      </c>
      <c r="S1565" t="n">
        <v>1</v>
      </c>
      <c r="T1565" t="inlineStr">
        <is>
          <t>LOW (40%)</t>
        </is>
      </c>
      <c r="U1565" t="inlineStr">
        <is>
          <t>NONE</t>
        </is>
      </c>
      <c r="V1565" t="inlineStr">
        <is>
          <t>NONE</t>
        </is>
      </c>
      <c r="W1565" t="inlineStr">
        <is>
          <t>NONE</t>
        </is>
      </c>
      <c r="X1565" t="inlineStr">
        <is>
          <t>NONE</t>
        </is>
      </c>
      <c r="Y1565" t="n">
        <v>0</v>
      </c>
      <c r="Z1565" t="inlineStr"/>
      <c r="AA1565" t="inlineStr">
        <is>
          <t>https://www.spamhaus.org/drop/</t>
        </is>
      </c>
    </row>
    <row r="1566">
      <c r="A1566" t="inlineStr">
        <is>
          <t>FIREHOL_THREAT</t>
        </is>
      </c>
      <c r="B1566" t="inlineStr">
        <is>
          <t>7ceaa959d06d</t>
        </is>
      </c>
      <c r="C1566" t="inlineStr">
        <is>
          <t>DROP List CIDR: 2.57.122.0/24 | FireHOL L1 threat IP/CIDR | ASN: FireHOL-L1</t>
        </is>
      </c>
      <c r="D1566" t="n">
        <v>6</v>
      </c>
      <c r="E1566" t="inlineStr">
        <is>
          <t>MEDIUM</t>
        </is>
      </c>
      <c r="F1566" t="n">
        <v>2</v>
      </c>
      <c r="G1566" t="n">
        <v>2</v>
      </c>
      <c r="H1566" t="inlineStr">
        <is>
          <t>MEDIUM</t>
        </is>
      </c>
      <c r="I1566" t="n">
        <v>10</v>
      </c>
      <c r="J1566" t="inlineStr">
        <is>
          <t>NO</t>
        </is>
      </c>
      <c r="K1566" t="inlineStr">
        <is>
          <t>2026-02-23 23:48</t>
        </is>
      </c>
      <c r="L1566" t="inlineStr">
        <is>
          <t>Block CIDR</t>
        </is>
      </c>
      <c r="M1566" t="inlineStr">
        <is>
          <t>Firewall/Email</t>
        </is>
      </c>
      <c r="N1566" t="inlineStr">
        <is>
          <t>P4</t>
        </is>
      </c>
      <c r="O1566" t="inlineStr">
        <is>
          <t>Spamhaus - CIDR range</t>
        </is>
      </c>
      <c r="P1566" t="n">
        <v>0</v>
      </c>
      <c r="Q1566" t="n">
        <v>0</v>
      </c>
      <c r="R1566" t="inlineStr">
        <is>
          <t>T1566:Phishing | T1078:Valid Accounts</t>
        </is>
      </c>
      <c r="S1566" t="n">
        <v>1</v>
      </c>
      <c r="T1566" t="inlineStr">
        <is>
          <t>LOW (40%)</t>
        </is>
      </c>
      <c r="U1566" t="inlineStr">
        <is>
          <t>NONE</t>
        </is>
      </c>
      <c r="V1566" t="inlineStr">
        <is>
          <t>NONE</t>
        </is>
      </c>
      <c r="W1566" t="inlineStr">
        <is>
          <t>NONE</t>
        </is>
      </c>
      <c r="X1566" t="inlineStr">
        <is>
          <t>NONE</t>
        </is>
      </c>
      <c r="Y1566" t="n">
        <v>0</v>
      </c>
      <c r="Z1566" t="inlineStr"/>
      <c r="AA1566" t="inlineStr">
        <is>
          <t>https://www.spamhaus.org/drop/</t>
        </is>
      </c>
    </row>
    <row r="1567">
      <c r="A1567" t="inlineStr">
        <is>
          <t>FIREHOL_THREAT</t>
        </is>
      </c>
      <c r="B1567" t="inlineStr">
        <is>
          <t>b7c5eff6534b</t>
        </is>
      </c>
      <c r="C1567" t="inlineStr">
        <is>
          <t>DROP List CIDR: 2.57.149.0/24 | FireHOL L1 threat IP/CIDR | ASN: FireHOL-L1</t>
        </is>
      </c>
      <c r="D1567" t="n">
        <v>6</v>
      </c>
      <c r="E1567" t="inlineStr">
        <is>
          <t>MEDIUM</t>
        </is>
      </c>
      <c r="F1567" t="n">
        <v>2</v>
      </c>
      <c r="G1567" t="n">
        <v>2</v>
      </c>
      <c r="H1567" t="inlineStr">
        <is>
          <t>MEDIUM</t>
        </is>
      </c>
      <c r="I1567" t="n">
        <v>10</v>
      </c>
      <c r="J1567" t="inlineStr">
        <is>
          <t>NO</t>
        </is>
      </c>
      <c r="K1567" t="inlineStr">
        <is>
          <t>2026-02-23 23:48</t>
        </is>
      </c>
      <c r="L1567" t="inlineStr">
        <is>
          <t>Block CIDR</t>
        </is>
      </c>
      <c r="M1567" t="inlineStr">
        <is>
          <t>Firewall/Email</t>
        </is>
      </c>
      <c r="N1567" t="inlineStr">
        <is>
          <t>P4</t>
        </is>
      </c>
      <c r="O1567" t="inlineStr">
        <is>
          <t>Spamhaus - CIDR range</t>
        </is>
      </c>
      <c r="P1567" t="n">
        <v>0</v>
      </c>
      <c r="Q1567" t="n">
        <v>0</v>
      </c>
      <c r="R1567" t="inlineStr">
        <is>
          <t>T1566:Phishing | T1078:Valid Accounts</t>
        </is>
      </c>
      <c r="S1567" t="n">
        <v>1</v>
      </c>
      <c r="T1567" t="inlineStr">
        <is>
          <t>LOW (40%)</t>
        </is>
      </c>
      <c r="U1567" t="inlineStr">
        <is>
          <t>NONE</t>
        </is>
      </c>
      <c r="V1567" t="inlineStr">
        <is>
          <t>NONE</t>
        </is>
      </c>
      <c r="W1567" t="inlineStr">
        <is>
          <t>NONE</t>
        </is>
      </c>
      <c r="X1567" t="inlineStr">
        <is>
          <t>NONE</t>
        </is>
      </c>
      <c r="Y1567" t="n">
        <v>0</v>
      </c>
      <c r="Z1567" t="inlineStr"/>
      <c r="AA1567" t="inlineStr">
        <is>
          <t>https://www.spamhaus.org/drop/</t>
        </is>
      </c>
    </row>
    <row r="1568">
      <c r="A1568" t="inlineStr">
        <is>
          <t>FIREHOL_THREAT</t>
        </is>
      </c>
      <c r="B1568" t="inlineStr">
        <is>
          <t>211aeb418ce4</t>
        </is>
      </c>
      <c r="C1568" t="inlineStr">
        <is>
          <t>DROP List CIDR: 2.57.232.0/22 | FireHOL L1 threat IP/CIDR | ASN: FireHOL-L1</t>
        </is>
      </c>
      <c r="D1568" t="n">
        <v>6</v>
      </c>
      <c r="E1568" t="inlineStr">
        <is>
          <t>MEDIUM</t>
        </is>
      </c>
      <c r="F1568" t="n">
        <v>2</v>
      </c>
      <c r="G1568" t="n">
        <v>2</v>
      </c>
      <c r="H1568" t="inlineStr">
        <is>
          <t>MEDIUM</t>
        </is>
      </c>
      <c r="I1568" t="n">
        <v>10</v>
      </c>
      <c r="J1568" t="inlineStr">
        <is>
          <t>NO</t>
        </is>
      </c>
      <c r="K1568" t="inlineStr">
        <is>
          <t>2026-02-23 23:48</t>
        </is>
      </c>
      <c r="L1568" t="inlineStr">
        <is>
          <t>Block CIDR</t>
        </is>
      </c>
      <c r="M1568" t="inlineStr">
        <is>
          <t>Firewall/Email</t>
        </is>
      </c>
      <c r="N1568" t="inlineStr">
        <is>
          <t>P4</t>
        </is>
      </c>
      <c r="O1568" t="inlineStr">
        <is>
          <t>Spamhaus - CIDR range</t>
        </is>
      </c>
      <c r="P1568" t="n">
        <v>0</v>
      </c>
      <c r="Q1568" t="n">
        <v>0</v>
      </c>
      <c r="R1568" t="inlineStr">
        <is>
          <t>T1566:Phishing | T1078:Valid Accounts</t>
        </is>
      </c>
      <c r="S1568" t="n">
        <v>1</v>
      </c>
      <c r="T1568" t="inlineStr">
        <is>
          <t>LOW (40%)</t>
        </is>
      </c>
      <c r="U1568" t="inlineStr">
        <is>
          <t>NONE</t>
        </is>
      </c>
      <c r="V1568" t="inlineStr">
        <is>
          <t>NONE</t>
        </is>
      </c>
      <c r="W1568" t="inlineStr">
        <is>
          <t>NONE</t>
        </is>
      </c>
      <c r="X1568" t="inlineStr">
        <is>
          <t>NONE</t>
        </is>
      </c>
      <c r="Y1568" t="n">
        <v>0</v>
      </c>
      <c r="Z1568" t="inlineStr"/>
      <c r="AA1568" t="inlineStr">
        <is>
          <t>https://www.spamhaus.org/drop/</t>
        </is>
      </c>
    </row>
    <row r="1569">
      <c r="A1569" t="inlineStr">
        <is>
          <t>FIREHOL_THREAT</t>
        </is>
      </c>
      <c r="B1569" t="inlineStr">
        <is>
          <t>b25bffd553fe</t>
        </is>
      </c>
      <c r="C1569" t="inlineStr">
        <is>
          <t>DROP List CIDR: 2.58.56.0/24 | FireHOL L1 threat IP/CIDR | ASN: FireHOL-L1</t>
        </is>
      </c>
      <c r="D1569" t="n">
        <v>6</v>
      </c>
      <c r="E1569" t="inlineStr">
        <is>
          <t>MEDIUM</t>
        </is>
      </c>
      <c r="F1569" t="n">
        <v>2</v>
      </c>
      <c r="G1569" t="n">
        <v>2</v>
      </c>
      <c r="H1569" t="inlineStr">
        <is>
          <t>MEDIUM</t>
        </is>
      </c>
      <c r="I1569" t="n">
        <v>10</v>
      </c>
      <c r="J1569" t="inlineStr">
        <is>
          <t>NO</t>
        </is>
      </c>
      <c r="K1569" t="inlineStr">
        <is>
          <t>2026-02-23 23:48</t>
        </is>
      </c>
      <c r="L1569" t="inlineStr">
        <is>
          <t>Block CIDR</t>
        </is>
      </c>
      <c r="M1569" t="inlineStr">
        <is>
          <t>Firewall/Email</t>
        </is>
      </c>
      <c r="N1569" t="inlineStr">
        <is>
          <t>P4</t>
        </is>
      </c>
      <c r="O1569" t="inlineStr">
        <is>
          <t>Spamhaus - CIDR range</t>
        </is>
      </c>
      <c r="P1569" t="n">
        <v>0</v>
      </c>
      <c r="Q1569" t="n">
        <v>0</v>
      </c>
      <c r="R1569" t="inlineStr">
        <is>
          <t>T1566:Phishing | T1078:Valid Accounts</t>
        </is>
      </c>
      <c r="S1569" t="n">
        <v>1</v>
      </c>
      <c r="T1569" t="inlineStr">
        <is>
          <t>LOW (40%)</t>
        </is>
      </c>
      <c r="U1569" t="inlineStr">
        <is>
          <t>NONE</t>
        </is>
      </c>
      <c r="V1569" t="inlineStr">
        <is>
          <t>NONE</t>
        </is>
      </c>
      <c r="W1569" t="inlineStr">
        <is>
          <t>NONE</t>
        </is>
      </c>
      <c r="X1569" t="inlineStr">
        <is>
          <t>NONE</t>
        </is>
      </c>
      <c r="Y1569" t="n">
        <v>0</v>
      </c>
      <c r="Z1569" t="inlineStr"/>
      <c r="AA1569" t="inlineStr">
        <is>
          <t>https://www.spamhaus.org/drop/</t>
        </is>
      </c>
    </row>
    <row r="1570">
      <c r="A1570" t="inlineStr">
        <is>
          <t>FIREHOL_THREAT</t>
        </is>
      </c>
      <c r="B1570" t="inlineStr">
        <is>
          <t>28fb5dc4a3f6</t>
        </is>
      </c>
      <c r="C1570" t="inlineStr">
        <is>
          <t>DROP List CIDR: 2.58.95.0/24 | FireHOL L1 threat IP/CIDR | ASN: FireHOL-L1</t>
        </is>
      </c>
      <c r="D1570" t="n">
        <v>6</v>
      </c>
      <c r="E1570" t="inlineStr">
        <is>
          <t>MEDIUM</t>
        </is>
      </c>
      <c r="F1570" t="n">
        <v>2</v>
      </c>
      <c r="G1570" t="n">
        <v>2</v>
      </c>
      <c r="H1570" t="inlineStr">
        <is>
          <t>MEDIUM</t>
        </is>
      </c>
      <c r="I1570" t="n">
        <v>10</v>
      </c>
      <c r="J1570" t="inlineStr">
        <is>
          <t>NO</t>
        </is>
      </c>
      <c r="K1570" t="inlineStr">
        <is>
          <t>2026-02-23 23:48</t>
        </is>
      </c>
      <c r="L1570" t="inlineStr">
        <is>
          <t>Block CIDR</t>
        </is>
      </c>
      <c r="M1570" t="inlineStr">
        <is>
          <t>Firewall/Email</t>
        </is>
      </c>
      <c r="N1570" t="inlineStr">
        <is>
          <t>P4</t>
        </is>
      </c>
      <c r="O1570" t="inlineStr">
        <is>
          <t>Spamhaus - CIDR range</t>
        </is>
      </c>
      <c r="P1570" t="n">
        <v>0</v>
      </c>
      <c r="Q1570" t="n">
        <v>0</v>
      </c>
      <c r="R1570" t="inlineStr">
        <is>
          <t>T1566:Phishing | T1078:Valid Accounts</t>
        </is>
      </c>
      <c r="S1570" t="n">
        <v>1</v>
      </c>
      <c r="T1570" t="inlineStr">
        <is>
          <t>LOW (40%)</t>
        </is>
      </c>
      <c r="U1570" t="inlineStr">
        <is>
          <t>NONE</t>
        </is>
      </c>
      <c r="V1570" t="inlineStr">
        <is>
          <t>NONE</t>
        </is>
      </c>
      <c r="W1570" t="inlineStr">
        <is>
          <t>NONE</t>
        </is>
      </c>
      <c r="X1570" t="inlineStr">
        <is>
          <t>NONE</t>
        </is>
      </c>
      <c r="Y1570" t="n">
        <v>0</v>
      </c>
      <c r="Z1570" t="inlineStr"/>
      <c r="AA1570" t="inlineStr">
        <is>
          <t>https://www.spamhaus.org/drop/</t>
        </is>
      </c>
    </row>
    <row r="1571">
      <c r="A1571" t="inlineStr">
        <is>
          <t>FIREHOL_THREAT</t>
        </is>
      </c>
      <c r="B1571" t="inlineStr">
        <is>
          <t>dcb2a79dd6f5</t>
        </is>
      </c>
      <c r="C1571" t="inlineStr">
        <is>
          <t>DROP List CIDR: 2.59.152.0/24 | FireHOL L1 threat IP/CIDR | ASN: FireHOL-L1</t>
        </is>
      </c>
      <c r="D1571" t="n">
        <v>6</v>
      </c>
      <c r="E1571" t="inlineStr">
        <is>
          <t>MEDIUM</t>
        </is>
      </c>
      <c r="F1571" t="n">
        <v>2</v>
      </c>
      <c r="G1571" t="n">
        <v>2</v>
      </c>
      <c r="H1571" t="inlineStr">
        <is>
          <t>MEDIUM</t>
        </is>
      </c>
      <c r="I1571" t="n">
        <v>10</v>
      </c>
      <c r="J1571" t="inlineStr">
        <is>
          <t>NO</t>
        </is>
      </c>
      <c r="K1571" t="inlineStr">
        <is>
          <t>2026-02-23 23:48</t>
        </is>
      </c>
      <c r="L1571" t="inlineStr">
        <is>
          <t>Block CIDR</t>
        </is>
      </c>
      <c r="M1571" t="inlineStr">
        <is>
          <t>Firewall/Email</t>
        </is>
      </c>
      <c r="N1571" t="inlineStr">
        <is>
          <t>P4</t>
        </is>
      </c>
      <c r="O1571" t="inlineStr">
        <is>
          <t>Spamhaus - CIDR range</t>
        </is>
      </c>
      <c r="P1571" t="n">
        <v>0</v>
      </c>
      <c r="Q1571" t="n">
        <v>0</v>
      </c>
      <c r="R1571" t="inlineStr">
        <is>
          <t>T1566:Phishing | T1078:Valid Accounts</t>
        </is>
      </c>
      <c r="S1571" t="n">
        <v>1</v>
      </c>
      <c r="T1571" t="inlineStr">
        <is>
          <t>LOW (40%)</t>
        </is>
      </c>
      <c r="U1571" t="inlineStr">
        <is>
          <t>NONE</t>
        </is>
      </c>
      <c r="V1571" t="inlineStr">
        <is>
          <t>NONE</t>
        </is>
      </c>
      <c r="W1571" t="inlineStr">
        <is>
          <t>NONE</t>
        </is>
      </c>
      <c r="X1571" t="inlineStr">
        <is>
          <t>NONE</t>
        </is>
      </c>
      <c r="Y1571" t="n">
        <v>0</v>
      </c>
      <c r="Z1571" t="inlineStr"/>
      <c r="AA1571" t="inlineStr">
        <is>
          <t>https://www.spamhaus.org/drop/</t>
        </is>
      </c>
    </row>
    <row r="1572">
      <c r="A1572" t="inlineStr">
        <is>
          <t>FIREHOL_THREAT</t>
        </is>
      </c>
      <c r="B1572" t="inlineStr">
        <is>
          <t>74eb2ddc71aa</t>
        </is>
      </c>
      <c r="C1572" t="inlineStr">
        <is>
          <t>DROP List CIDR: 5.42.64.0/22 | FireHOL L1 threat IP/CIDR | ASN: FireHOL-L1</t>
        </is>
      </c>
      <c r="D1572" t="n">
        <v>6</v>
      </c>
      <c r="E1572" t="inlineStr">
        <is>
          <t>MEDIUM</t>
        </is>
      </c>
      <c r="F1572" t="n">
        <v>2</v>
      </c>
      <c r="G1572" t="n">
        <v>2</v>
      </c>
      <c r="H1572" t="inlineStr">
        <is>
          <t>MEDIUM</t>
        </is>
      </c>
      <c r="I1572" t="n">
        <v>10</v>
      </c>
      <c r="J1572" t="inlineStr">
        <is>
          <t>NO</t>
        </is>
      </c>
      <c r="K1572" t="inlineStr">
        <is>
          <t>2026-02-23 23:48</t>
        </is>
      </c>
      <c r="L1572" t="inlineStr">
        <is>
          <t>Block CIDR</t>
        </is>
      </c>
      <c r="M1572" t="inlineStr">
        <is>
          <t>Firewall/Email</t>
        </is>
      </c>
      <c r="N1572" t="inlineStr">
        <is>
          <t>P4</t>
        </is>
      </c>
      <c r="O1572" t="inlineStr">
        <is>
          <t>Spamhaus - CIDR range</t>
        </is>
      </c>
      <c r="P1572" t="n">
        <v>0</v>
      </c>
      <c r="Q1572" t="n">
        <v>0</v>
      </c>
      <c r="R1572" t="inlineStr">
        <is>
          <t>T1566:Phishing | T1078:Valid Accounts</t>
        </is>
      </c>
      <c r="S1572" t="n">
        <v>1</v>
      </c>
      <c r="T1572" t="inlineStr">
        <is>
          <t>LOW (40%)</t>
        </is>
      </c>
      <c r="U1572" t="inlineStr">
        <is>
          <t>NONE</t>
        </is>
      </c>
      <c r="V1572" t="inlineStr">
        <is>
          <t>NONE</t>
        </is>
      </c>
      <c r="W1572" t="inlineStr">
        <is>
          <t>NONE</t>
        </is>
      </c>
      <c r="X1572" t="inlineStr">
        <is>
          <t>NONE</t>
        </is>
      </c>
      <c r="Y1572" t="n">
        <v>0</v>
      </c>
      <c r="Z1572" t="inlineStr"/>
      <c r="AA1572" t="inlineStr">
        <is>
          <t>https://www.spamhaus.org/drop/</t>
        </is>
      </c>
    </row>
    <row r="1573">
      <c r="A1573" t="inlineStr">
        <is>
          <t>FIREHOL_THREAT</t>
        </is>
      </c>
      <c r="B1573" t="inlineStr">
        <is>
          <t>73e8123fa2f9</t>
        </is>
      </c>
      <c r="C1573" t="inlineStr">
        <is>
          <t>DROP List CIDR: 5.42.92.0/24 | FireHOL L1 threat IP/CIDR | ASN: FireHOL-L1</t>
        </is>
      </c>
      <c r="D1573" t="n">
        <v>6</v>
      </c>
      <c r="E1573" t="inlineStr">
        <is>
          <t>MEDIUM</t>
        </is>
      </c>
      <c r="F1573" t="n">
        <v>2</v>
      </c>
      <c r="G1573" t="n">
        <v>2</v>
      </c>
      <c r="H1573" t="inlineStr">
        <is>
          <t>MEDIUM</t>
        </is>
      </c>
      <c r="I1573" t="n">
        <v>10</v>
      </c>
      <c r="J1573" t="inlineStr">
        <is>
          <t>NO</t>
        </is>
      </c>
      <c r="K1573" t="inlineStr">
        <is>
          <t>2026-02-23 23:48</t>
        </is>
      </c>
      <c r="L1573" t="inlineStr">
        <is>
          <t>Block CIDR</t>
        </is>
      </c>
      <c r="M1573" t="inlineStr">
        <is>
          <t>Firewall/Email</t>
        </is>
      </c>
      <c r="N1573" t="inlineStr">
        <is>
          <t>P4</t>
        </is>
      </c>
      <c r="O1573" t="inlineStr">
        <is>
          <t>Spamhaus - CIDR range</t>
        </is>
      </c>
      <c r="P1573" t="n">
        <v>0</v>
      </c>
      <c r="Q1573" t="n">
        <v>0</v>
      </c>
      <c r="R1573" t="inlineStr">
        <is>
          <t>T1566:Phishing | T1078:Valid Accounts</t>
        </is>
      </c>
      <c r="S1573" t="n">
        <v>1</v>
      </c>
      <c r="T1573" t="inlineStr">
        <is>
          <t>LOW (40%)</t>
        </is>
      </c>
      <c r="U1573" t="inlineStr">
        <is>
          <t>NONE</t>
        </is>
      </c>
      <c r="V1573" t="inlineStr">
        <is>
          <t>NONE</t>
        </is>
      </c>
      <c r="W1573" t="inlineStr">
        <is>
          <t>NONE</t>
        </is>
      </c>
      <c r="X1573" t="inlineStr">
        <is>
          <t>NONE</t>
        </is>
      </c>
      <c r="Y1573" t="n">
        <v>0</v>
      </c>
      <c r="Z1573" t="inlineStr"/>
      <c r="AA1573" t="inlineStr">
        <is>
          <t>https://www.spamhaus.org/drop/</t>
        </is>
      </c>
    </row>
    <row r="1574">
      <c r="A1574" t="inlineStr">
        <is>
          <t>FIREHOL_THREAT</t>
        </is>
      </c>
      <c r="B1574" t="inlineStr">
        <is>
          <t>5546223b9d75</t>
        </is>
      </c>
      <c r="C1574" t="inlineStr">
        <is>
          <t>DROP List CIDR: 5.42.96.0/24 | FireHOL L1 threat IP/CIDR | ASN: FireHOL-L1</t>
        </is>
      </c>
      <c r="D1574" t="n">
        <v>6</v>
      </c>
      <c r="E1574" t="inlineStr">
        <is>
          <t>MEDIUM</t>
        </is>
      </c>
      <c r="F1574" t="n">
        <v>2</v>
      </c>
      <c r="G1574" t="n">
        <v>2</v>
      </c>
      <c r="H1574" t="inlineStr">
        <is>
          <t>MEDIUM</t>
        </is>
      </c>
      <c r="I1574" t="n">
        <v>10</v>
      </c>
      <c r="J1574" t="inlineStr">
        <is>
          <t>NO</t>
        </is>
      </c>
      <c r="K1574" t="inlineStr">
        <is>
          <t>2026-02-23 23:48</t>
        </is>
      </c>
      <c r="L1574" t="inlineStr">
        <is>
          <t>Block CIDR</t>
        </is>
      </c>
      <c r="M1574" t="inlineStr">
        <is>
          <t>Firewall/Email</t>
        </is>
      </c>
      <c r="N1574" t="inlineStr">
        <is>
          <t>P4</t>
        </is>
      </c>
      <c r="O1574" t="inlineStr">
        <is>
          <t>Spamhaus - CIDR range</t>
        </is>
      </c>
      <c r="P1574" t="n">
        <v>0</v>
      </c>
      <c r="Q1574" t="n">
        <v>0</v>
      </c>
      <c r="R1574" t="inlineStr">
        <is>
          <t>T1566:Phishing | T1078:Valid Accounts</t>
        </is>
      </c>
      <c r="S1574" t="n">
        <v>1</v>
      </c>
      <c r="T1574" t="inlineStr">
        <is>
          <t>LOW (40%)</t>
        </is>
      </c>
      <c r="U1574" t="inlineStr">
        <is>
          <t>NONE</t>
        </is>
      </c>
      <c r="V1574" t="inlineStr">
        <is>
          <t>NONE</t>
        </is>
      </c>
      <c r="W1574" t="inlineStr">
        <is>
          <t>NONE</t>
        </is>
      </c>
      <c r="X1574" t="inlineStr">
        <is>
          <t>NONE</t>
        </is>
      </c>
      <c r="Y1574" t="n">
        <v>0</v>
      </c>
      <c r="Z1574" t="inlineStr"/>
      <c r="AA1574" t="inlineStr">
        <is>
          <t>https://www.spamhaus.org/drop/</t>
        </is>
      </c>
    </row>
    <row r="1575">
      <c r="A1575" t="inlineStr">
        <is>
          <t>FIREHOL_THREAT</t>
        </is>
      </c>
      <c r="B1575" t="inlineStr">
        <is>
          <t>b77d61d1245c</t>
        </is>
      </c>
      <c r="C1575" t="inlineStr">
        <is>
          <t>DROP List CIDR: 5.101.82.0/24 | FireHOL L1 threat IP/CIDR | ASN: FireHOL-L1</t>
        </is>
      </c>
      <c r="D1575" t="n">
        <v>6</v>
      </c>
      <c r="E1575" t="inlineStr">
        <is>
          <t>MEDIUM</t>
        </is>
      </c>
      <c r="F1575" t="n">
        <v>2</v>
      </c>
      <c r="G1575" t="n">
        <v>2</v>
      </c>
      <c r="H1575" t="inlineStr">
        <is>
          <t>MEDIUM</t>
        </is>
      </c>
      <c r="I1575" t="n">
        <v>10</v>
      </c>
      <c r="J1575" t="inlineStr">
        <is>
          <t>NO</t>
        </is>
      </c>
      <c r="K1575" t="inlineStr">
        <is>
          <t>2026-02-23 23:48</t>
        </is>
      </c>
      <c r="L1575" t="inlineStr">
        <is>
          <t>Block CIDR</t>
        </is>
      </c>
      <c r="M1575" t="inlineStr">
        <is>
          <t>Firewall/Email</t>
        </is>
      </c>
      <c r="N1575" t="inlineStr">
        <is>
          <t>P4</t>
        </is>
      </c>
      <c r="O1575" t="inlineStr">
        <is>
          <t>Spamhaus - CIDR range</t>
        </is>
      </c>
      <c r="P1575" t="n">
        <v>0</v>
      </c>
      <c r="Q1575" t="n">
        <v>0</v>
      </c>
      <c r="R1575" t="inlineStr">
        <is>
          <t>T1566:Phishing | T1078:Valid Accounts</t>
        </is>
      </c>
      <c r="S1575" t="n">
        <v>1</v>
      </c>
      <c r="T1575" t="inlineStr">
        <is>
          <t>LOW (40%)</t>
        </is>
      </c>
      <c r="U1575" t="inlineStr">
        <is>
          <t>NONE</t>
        </is>
      </c>
      <c r="V1575" t="inlineStr">
        <is>
          <t>NONE</t>
        </is>
      </c>
      <c r="W1575" t="inlineStr">
        <is>
          <t>NONE</t>
        </is>
      </c>
      <c r="X1575" t="inlineStr">
        <is>
          <t>NONE</t>
        </is>
      </c>
      <c r="Y1575" t="n">
        <v>0</v>
      </c>
      <c r="Z1575" t="inlineStr"/>
      <c r="AA1575" t="inlineStr">
        <is>
          <t>https://www.spamhaus.org/drop/</t>
        </is>
      </c>
    </row>
    <row r="1576">
      <c r="A1576" t="inlineStr">
        <is>
          <t>FIREHOL_THREAT</t>
        </is>
      </c>
      <c r="B1576" t="inlineStr">
        <is>
          <t>ccba24c5f897</t>
        </is>
      </c>
      <c r="C1576" t="inlineStr">
        <is>
          <t>DROP List CIDR: 5.105.62.0/24 | FireHOL L1 threat IP/CIDR | ASN: FireHOL-L1</t>
        </is>
      </c>
      <c r="D1576" t="n">
        <v>6</v>
      </c>
      <c r="E1576" t="inlineStr">
        <is>
          <t>MEDIUM</t>
        </is>
      </c>
      <c r="F1576" t="n">
        <v>2</v>
      </c>
      <c r="G1576" t="n">
        <v>2</v>
      </c>
      <c r="H1576" t="inlineStr">
        <is>
          <t>MEDIUM</t>
        </is>
      </c>
      <c r="I1576" t="n">
        <v>10</v>
      </c>
      <c r="J1576" t="inlineStr">
        <is>
          <t>NO</t>
        </is>
      </c>
      <c r="K1576" t="inlineStr">
        <is>
          <t>2026-02-23 23:48</t>
        </is>
      </c>
      <c r="L1576" t="inlineStr">
        <is>
          <t>Block CIDR</t>
        </is>
      </c>
      <c r="M1576" t="inlineStr">
        <is>
          <t>Firewall/Email</t>
        </is>
      </c>
      <c r="N1576" t="inlineStr">
        <is>
          <t>P4</t>
        </is>
      </c>
      <c r="O1576" t="inlineStr">
        <is>
          <t>Spamhaus - CIDR range</t>
        </is>
      </c>
      <c r="P1576" t="n">
        <v>0</v>
      </c>
      <c r="Q1576" t="n">
        <v>0</v>
      </c>
      <c r="R1576" t="inlineStr">
        <is>
          <t>T1566:Phishing | T1078:Valid Accounts</t>
        </is>
      </c>
      <c r="S1576" t="n">
        <v>1</v>
      </c>
      <c r="T1576" t="inlineStr">
        <is>
          <t>LOW (40%)</t>
        </is>
      </c>
      <c r="U1576" t="inlineStr">
        <is>
          <t>NONE</t>
        </is>
      </c>
      <c r="V1576" t="inlineStr">
        <is>
          <t>NONE</t>
        </is>
      </c>
      <c r="W1576" t="inlineStr">
        <is>
          <t>NONE</t>
        </is>
      </c>
      <c r="X1576" t="inlineStr">
        <is>
          <t>NONE</t>
        </is>
      </c>
      <c r="Y1576" t="n">
        <v>0</v>
      </c>
      <c r="Z1576" t="inlineStr"/>
      <c r="AA1576" t="inlineStr">
        <is>
          <t>https://www.spamhaus.org/drop/</t>
        </is>
      </c>
    </row>
    <row r="1577">
      <c r="A1577" t="inlineStr">
        <is>
          <t>FIREHOL_THREAT</t>
        </is>
      </c>
      <c r="B1577" t="inlineStr">
        <is>
          <t>b7923b1de143</t>
        </is>
      </c>
      <c r="C1577" t="inlineStr">
        <is>
          <t>DROP List CIDR: 5.105.220.0/24 | FireHOL L1 threat IP/CIDR | ASN: FireHOL-L1</t>
        </is>
      </c>
      <c r="D1577" t="n">
        <v>6</v>
      </c>
      <c r="E1577" t="inlineStr">
        <is>
          <t>MEDIUM</t>
        </is>
      </c>
      <c r="F1577" t="n">
        <v>2</v>
      </c>
      <c r="G1577" t="n">
        <v>2</v>
      </c>
      <c r="H1577" t="inlineStr">
        <is>
          <t>MEDIUM</t>
        </is>
      </c>
      <c r="I1577" t="n">
        <v>10</v>
      </c>
      <c r="J1577" t="inlineStr">
        <is>
          <t>NO</t>
        </is>
      </c>
      <c r="K1577" t="inlineStr">
        <is>
          <t>2026-02-23 23:48</t>
        </is>
      </c>
      <c r="L1577" t="inlineStr">
        <is>
          <t>Block CIDR</t>
        </is>
      </c>
      <c r="M1577" t="inlineStr">
        <is>
          <t>Firewall/Email</t>
        </is>
      </c>
      <c r="N1577" t="inlineStr">
        <is>
          <t>P4</t>
        </is>
      </c>
      <c r="O1577" t="inlineStr">
        <is>
          <t>Spamhaus - CIDR range</t>
        </is>
      </c>
      <c r="P1577" t="n">
        <v>0</v>
      </c>
      <c r="Q1577" t="n">
        <v>0</v>
      </c>
      <c r="R1577" t="inlineStr">
        <is>
          <t>T1566:Phishing | T1078:Valid Accounts</t>
        </is>
      </c>
      <c r="S1577" t="n">
        <v>1</v>
      </c>
      <c r="T1577" t="inlineStr">
        <is>
          <t>LOW (40%)</t>
        </is>
      </c>
      <c r="U1577" t="inlineStr">
        <is>
          <t>NONE</t>
        </is>
      </c>
      <c r="V1577" t="inlineStr">
        <is>
          <t>NONE</t>
        </is>
      </c>
      <c r="W1577" t="inlineStr">
        <is>
          <t>NONE</t>
        </is>
      </c>
      <c r="X1577" t="inlineStr">
        <is>
          <t>NONE</t>
        </is>
      </c>
      <c r="Y1577" t="n">
        <v>0</v>
      </c>
      <c r="Z1577" t="inlineStr"/>
      <c r="AA1577" t="inlineStr">
        <is>
          <t>https://www.spamhaus.org/drop/</t>
        </is>
      </c>
    </row>
    <row r="1578">
      <c r="A1578" t="inlineStr">
        <is>
          <t>FIREHOL_THREAT</t>
        </is>
      </c>
      <c r="B1578" t="inlineStr">
        <is>
          <t>5d964bd4d6cf</t>
        </is>
      </c>
      <c r="C1578" t="inlineStr">
        <is>
          <t>DROP List CIDR: 5.133.101.0/24 | FireHOL L1 threat IP/CIDR | ASN: FireHOL-L1</t>
        </is>
      </c>
      <c r="D1578" t="n">
        <v>6</v>
      </c>
      <c r="E1578" t="inlineStr">
        <is>
          <t>MEDIUM</t>
        </is>
      </c>
      <c r="F1578" t="n">
        <v>2</v>
      </c>
      <c r="G1578" t="n">
        <v>2</v>
      </c>
      <c r="H1578" t="inlineStr">
        <is>
          <t>MEDIUM</t>
        </is>
      </c>
      <c r="I1578" t="n">
        <v>10</v>
      </c>
      <c r="J1578" t="inlineStr">
        <is>
          <t>NO</t>
        </is>
      </c>
      <c r="K1578" t="inlineStr">
        <is>
          <t>2026-02-23 23:48</t>
        </is>
      </c>
      <c r="L1578" t="inlineStr">
        <is>
          <t>Block CIDR</t>
        </is>
      </c>
      <c r="M1578" t="inlineStr">
        <is>
          <t>Firewall/Email</t>
        </is>
      </c>
      <c r="N1578" t="inlineStr">
        <is>
          <t>P4</t>
        </is>
      </c>
      <c r="O1578" t="inlineStr">
        <is>
          <t>Spamhaus - CIDR range</t>
        </is>
      </c>
      <c r="P1578" t="n">
        <v>0</v>
      </c>
      <c r="Q1578" t="n">
        <v>0</v>
      </c>
      <c r="R1578" t="inlineStr">
        <is>
          <t>T1566:Phishing | T1078:Valid Accounts</t>
        </is>
      </c>
      <c r="S1578" t="n">
        <v>1</v>
      </c>
      <c r="T1578" t="inlineStr">
        <is>
          <t>LOW (40%)</t>
        </is>
      </c>
      <c r="U1578" t="inlineStr">
        <is>
          <t>NONE</t>
        </is>
      </c>
      <c r="V1578" t="inlineStr">
        <is>
          <t>NONE</t>
        </is>
      </c>
      <c r="W1578" t="inlineStr">
        <is>
          <t>NONE</t>
        </is>
      </c>
      <c r="X1578" t="inlineStr">
        <is>
          <t>NONE</t>
        </is>
      </c>
      <c r="Y1578" t="n">
        <v>0</v>
      </c>
      <c r="Z1578" t="inlineStr"/>
      <c r="AA1578" t="inlineStr">
        <is>
          <t>https://www.spamhaus.org/drop/</t>
        </is>
      </c>
    </row>
    <row r="1579">
      <c r="A1579" t="inlineStr">
        <is>
          <t>FIREHOL_THREAT</t>
        </is>
      </c>
      <c r="B1579" t="inlineStr">
        <is>
          <t>c4fe416e3720</t>
        </is>
      </c>
      <c r="C1579" t="inlineStr">
        <is>
          <t>DROP List CIDR: 5.182.210.0/23 | FireHOL L1 threat IP/CIDR | ASN: FireHOL-L1</t>
        </is>
      </c>
      <c r="D1579" t="n">
        <v>6</v>
      </c>
      <c r="E1579" t="inlineStr">
        <is>
          <t>MEDIUM</t>
        </is>
      </c>
      <c r="F1579" t="n">
        <v>2</v>
      </c>
      <c r="G1579" t="n">
        <v>2</v>
      </c>
      <c r="H1579" t="inlineStr">
        <is>
          <t>MEDIUM</t>
        </is>
      </c>
      <c r="I1579" t="n">
        <v>10</v>
      </c>
      <c r="J1579" t="inlineStr">
        <is>
          <t>NO</t>
        </is>
      </c>
      <c r="K1579" t="inlineStr">
        <is>
          <t>2026-02-23 23:48</t>
        </is>
      </c>
      <c r="L1579" t="inlineStr">
        <is>
          <t>Block CIDR</t>
        </is>
      </c>
      <c r="M1579" t="inlineStr">
        <is>
          <t>Firewall/Email</t>
        </is>
      </c>
      <c r="N1579" t="inlineStr">
        <is>
          <t>P4</t>
        </is>
      </c>
      <c r="O1579" t="inlineStr">
        <is>
          <t>Spamhaus - CIDR range</t>
        </is>
      </c>
      <c r="P1579" t="n">
        <v>0</v>
      </c>
      <c r="Q1579" t="n">
        <v>0</v>
      </c>
      <c r="R1579" t="inlineStr">
        <is>
          <t>T1566:Phishing | T1078:Valid Accounts</t>
        </is>
      </c>
      <c r="S1579" t="n">
        <v>1</v>
      </c>
      <c r="T1579" t="inlineStr">
        <is>
          <t>LOW (40%)</t>
        </is>
      </c>
      <c r="U1579" t="inlineStr">
        <is>
          <t>NONE</t>
        </is>
      </c>
      <c r="V1579" t="inlineStr">
        <is>
          <t>NONE</t>
        </is>
      </c>
      <c r="W1579" t="inlineStr">
        <is>
          <t>NONE</t>
        </is>
      </c>
      <c r="X1579" t="inlineStr">
        <is>
          <t>NONE</t>
        </is>
      </c>
      <c r="Y1579" t="n">
        <v>0</v>
      </c>
      <c r="Z1579" t="inlineStr"/>
      <c r="AA1579" t="inlineStr">
        <is>
          <t>https://www.spamhaus.org/drop/</t>
        </is>
      </c>
    </row>
    <row r="1580">
      <c r="A1580" t="inlineStr">
        <is>
          <t>FIREHOL_THREAT</t>
        </is>
      </c>
      <c r="B1580" t="inlineStr">
        <is>
          <t>abf3929f9458</t>
        </is>
      </c>
      <c r="C1580" t="inlineStr">
        <is>
          <t>DROP List CIDR: 5.183.60.0/22 | FireHOL L1 threat IP/CIDR | ASN: FireHOL-L1</t>
        </is>
      </c>
      <c r="D1580" t="n">
        <v>6</v>
      </c>
      <c r="E1580" t="inlineStr">
        <is>
          <t>MEDIUM</t>
        </is>
      </c>
      <c r="F1580" t="n">
        <v>2</v>
      </c>
      <c r="G1580" t="n">
        <v>2</v>
      </c>
      <c r="H1580" t="inlineStr">
        <is>
          <t>MEDIUM</t>
        </is>
      </c>
      <c r="I1580" t="n">
        <v>10</v>
      </c>
      <c r="J1580" t="inlineStr">
        <is>
          <t>NO</t>
        </is>
      </c>
      <c r="K1580" t="inlineStr">
        <is>
          <t>2026-02-23 23:48</t>
        </is>
      </c>
      <c r="L1580" t="inlineStr">
        <is>
          <t>Block CIDR</t>
        </is>
      </c>
      <c r="M1580" t="inlineStr">
        <is>
          <t>Firewall/Email</t>
        </is>
      </c>
      <c r="N1580" t="inlineStr">
        <is>
          <t>P4</t>
        </is>
      </c>
      <c r="O1580" t="inlineStr">
        <is>
          <t>Spamhaus - CIDR range</t>
        </is>
      </c>
      <c r="P1580" t="n">
        <v>0</v>
      </c>
      <c r="Q1580" t="n">
        <v>0</v>
      </c>
      <c r="R1580" t="inlineStr">
        <is>
          <t>T1566:Phishing | T1078:Valid Accounts</t>
        </is>
      </c>
      <c r="S1580" t="n">
        <v>1</v>
      </c>
      <c r="T1580" t="inlineStr">
        <is>
          <t>LOW (40%)</t>
        </is>
      </c>
      <c r="U1580" t="inlineStr">
        <is>
          <t>NONE</t>
        </is>
      </c>
      <c r="V1580" t="inlineStr">
        <is>
          <t>NONE</t>
        </is>
      </c>
      <c r="W1580" t="inlineStr">
        <is>
          <t>NONE</t>
        </is>
      </c>
      <c r="X1580" t="inlineStr">
        <is>
          <t>NONE</t>
        </is>
      </c>
      <c r="Y1580" t="n">
        <v>0</v>
      </c>
      <c r="Z1580" t="inlineStr"/>
      <c r="AA1580" t="inlineStr">
        <is>
          <t>https://www.spamhaus.org/drop/</t>
        </is>
      </c>
    </row>
    <row r="1581">
      <c r="A1581" t="inlineStr">
        <is>
          <t>FIREHOL_THREAT</t>
        </is>
      </c>
      <c r="B1581" t="inlineStr">
        <is>
          <t>37c61e81282e</t>
        </is>
      </c>
      <c r="C1581" t="inlineStr">
        <is>
          <t>DROP List CIDR: 5.188.11.0/24 | FireHOL L1 threat IP/CIDR | ASN: FireHOL-L1</t>
        </is>
      </c>
      <c r="D1581" t="n">
        <v>6</v>
      </c>
      <c r="E1581" t="inlineStr">
        <is>
          <t>MEDIUM</t>
        </is>
      </c>
      <c r="F1581" t="n">
        <v>2</v>
      </c>
      <c r="G1581" t="n">
        <v>2</v>
      </c>
      <c r="H1581" t="inlineStr">
        <is>
          <t>MEDIUM</t>
        </is>
      </c>
      <c r="I1581" t="n">
        <v>10</v>
      </c>
      <c r="J1581" t="inlineStr">
        <is>
          <t>NO</t>
        </is>
      </c>
      <c r="K1581" t="inlineStr">
        <is>
          <t>2026-02-23 23:48</t>
        </is>
      </c>
      <c r="L1581" t="inlineStr">
        <is>
          <t>Block CIDR</t>
        </is>
      </c>
      <c r="M1581" t="inlineStr">
        <is>
          <t>Firewall/Email</t>
        </is>
      </c>
      <c r="N1581" t="inlineStr">
        <is>
          <t>P4</t>
        </is>
      </c>
      <c r="O1581" t="inlineStr">
        <is>
          <t>Spamhaus - CIDR range</t>
        </is>
      </c>
      <c r="P1581" t="n">
        <v>0</v>
      </c>
      <c r="Q1581" t="n">
        <v>0</v>
      </c>
      <c r="R1581" t="inlineStr">
        <is>
          <t>T1566:Phishing | T1078:Valid Accounts</t>
        </is>
      </c>
      <c r="S1581" t="n">
        <v>1</v>
      </c>
      <c r="T1581" t="inlineStr">
        <is>
          <t>LOW (40%)</t>
        </is>
      </c>
      <c r="U1581" t="inlineStr">
        <is>
          <t>NONE</t>
        </is>
      </c>
      <c r="V1581" t="inlineStr">
        <is>
          <t>NONE</t>
        </is>
      </c>
      <c r="W1581" t="inlineStr">
        <is>
          <t>NONE</t>
        </is>
      </c>
      <c r="X1581" t="inlineStr">
        <is>
          <t>NONE</t>
        </is>
      </c>
      <c r="Y1581" t="n">
        <v>0</v>
      </c>
      <c r="Z1581" t="inlineStr"/>
      <c r="AA1581" t="inlineStr">
        <is>
          <t>https://www.spamhaus.org/drop/</t>
        </is>
      </c>
    </row>
    <row r="1582">
      <c r="A1582" t="inlineStr">
        <is>
          <t>FIREHOL_THREAT</t>
        </is>
      </c>
      <c r="B1582" t="inlineStr">
        <is>
          <t>67385c68666e</t>
        </is>
      </c>
      <c r="C1582" t="inlineStr">
        <is>
          <t>DROP List CIDR: 5.188.236.0/23 | FireHOL L1 threat IP/CIDR | ASN: FireHOL-L1</t>
        </is>
      </c>
      <c r="D1582" t="n">
        <v>6</v>
      </c>
      <c r="E1582" t="inlineStr">
        <is>
          <t>MEDIUM</t>
        </is>
      </c>
      <c r="F1582" t="n">
        <v>2</v>
      </c>
      <c r="G1582" t="n">
        <v>2</v>
      </c>
      <c r="H1582" t="inlineStr">
        <is>
          <t>MEDIUM</t>
        </is>
      </c>
      <c r="I1582" t="n">
        <v>10</v>
      </c>
      <c r="J1582" t="inlineStr">
        <is>
          <t>NO</t>
        </is>
      </c>
      <c r="K1582" t="inlineStr">
        <is>
          <t>2026-02-23 23:48</t>
        </is>
      </c>
      <c r="L1582" t="inlineStr">
        <is>
          <t>Block CIDR</t>
        </is>
      </c>
      <c r="M1582" t="inlineStr">
        <is>
          <t>Firewall/Email</t>
        </is>
      </c>
      <c r="N1582" t="inlineStr">
        <is>
          <t>P4</t>
        </is>
      </c>
      <c r="O1582" t="inlineStr">
        <is>
          <t>Spamhaus - CIDR range</t>
        </is>
      </c>
      <c r="P1582" t="n">
        <v>0</v>
      </c>
      <c r="Q1582" t="n">
        <v>0</v>
      </c>
      <c r="R1582" t="inlineStr">
        <is>
          <t>T1566:Phishing | T1078:Valid Accounts</t>
        </is>
      </c>
      <c r="S1582" t="n">
        <v>1</v>
      </c>
      <c r="T1582" t="inlineStr">
        <is>
          <t>LOW (40%)</t>
        </is>
      </c>
      <c r="U1582" t="inlineStr">
        <is>
          <t>NONE</t>
        </is>
      </c>
      <c r="V1582" t="inlineStr">
        <is>
          <t>NONE</t>
        </is>
      </c>
      <c r="W1582" t="inlineStr">
        <is>
          <t>NONE</t>
        </is>
      </c>
      <c r="X1582" t="inlineStr">
        <is>
          <t>NONE</t>
        </is>
      </c>
      <c r="Y1582" t="n">
        <v>0</v>
      </c>
      <c r="Z1582" t="inlineStr"/>
      <c r="AA1582" t="inlineStr">
        <is>
          <t>https://www.spamhaus.org/drop/</t>
        </is>
      </c>
    </row>
    <row r="1583">
      <c r="A1583" t="inlineStr">
        <is>
          <t>FIREHOL_THREAT</t>
        </is>
      </c>
      <c r="B1583" t="inlineStr">
        <is>
          <t>d4714d0e2eaa</t>
        </is>
      </c>
      <c r="C1583" t="inlineStr">
        <is>
          <t>DROP List CIDR: 10.0.0.0/8 | FireHOL L1 threat IP/CIDR | ASN: FireHOL-L1</t>
        </is>
      </c>
      <c r="D1583" t="n">
        <v>6</v>
      </c>
      <c r="E1583" t="inlineStr">
        <is>
          <t>MEDIUM</t>
        </is>
      </c>
      <c r="F1583" t="n">
        <v>2</v>
      </c>
      <c r="G1583" t="n">
        <v>2</v>
      </c>
      <c r="H1583" t="inlineStr">
        <is>
          <t>MEDIUM</t>
        </is>
      </c>
      <c r="I1583" t="n">
        <v>10</v>
      </c>
      <c r="J1583" t="inlineStr">
        <is>
          <t>NO</t>
        </is>
      </c>
      <c r="K1583" t="inlineStr">
        <is>
          <t>2026-02-23 23:48</t>
        </is>
      </c>
      <c r="L1583" t="inlineStr">
        <is>
          <t>Block CIDR</t>
        </is>
      </c>
      <c r="M1583" t="inlineStr">
        <is>
          <t>Firewall/Email</t>
        </is>
      </c>
      <c r="N1583" t="inlineStr">
        <is>
          <t>P4</t>
        </is>
      </c>
      <c r="O1583" t="inlineStr">
        <is>
          <t>Spamhaus - CIDR range</t>
        </is>
      </c>
      <c r="P1583" t="n">
        <v>0</v>
      </c>
      <c r="Q1583" t="n">
        <v>0</v>
      </c>
      <c r="R1583" t="inlineStr">
        <is>
          <t>T1566:Phishing | T1078:Valid Accounts</t>
        </is>
      </c>
      <c r="S1583" t="n">
        <v>1</v>
      </c>
      <c r="T1583" t="inlineStr">
        <is>
          <t>LOW (40%)</t>
        </is>
      </c>
      <c r="U1583" t="inlineStr">
        <is>
          <t>NONE</t>
        </is>
      </c>
      <c r="V1583" t="inlineStr">
        <is>
          <t>NONE</t>
        </is>
      </c>
      <c r="W1583" t="inlineStr">
        <is>
          <t>NONE</t>
        </is>
      </c>
      <c r="X1583" t="inlineStr">
        <is>
          <t>NONE</t>
        </is>
      </c>
      <c r="Y1583" t="n">
        <v>0</v>
      </c>
      <c r="Z1583" t="inlineStr"/>
      <c r="AA1583" t="inlineStr">
        <is>
          <t>https://www.spamhaus.org/drop/</t>
        </is>
      </c>
    </row>
    <row r="1584">
      <c r="A1584" t="inlineStr">
        <is>
          <t>FIREHOL_THREAT</t>
        </is>
      </c>
      <c r="B1584" t="inlineStr">
        <is>
          <t>19418b89cc5a</t>
        </is>
      </c>
      <c r="C1584" t="inlineStr">
        <is>
          <t>DROP List CIDR: 14.102.240.0/20 | FireHOL L1 threat IP/CIDR | ASN: FireHOL-L1</t>
        </is>
      </c>
      <c r="D1584" t="n">
        <v>6</v>
      </c>
      <c r="E1584" t="inlineStr">
        <is>
          <t>MEDIUM</t>
        </is>
      </c>
      <c r="F1584" t="n">
        <v>2</v>
      </c>
      <c r="G1584" t="n">
        <v>2</v>
      </c>
      <c r="H1584" t="inlineStr">
        <is>
          <t>MEDIUM</t>
        </is>
      </c>
      <c r="I1584" t="n">
        <v>10</v>
      </c>
      <c r="J1584" t="inlineStr">
        <is>
          <t>NO</t>
        </is>
      </c>
      <c r="K1584" t="inlineStr">
        <is>
          <t>2026-02-23 23:48</t>
        </is>
      </c>
      <c r="L1584" t="inlineStr">
        <is>
          <t>Block CIDR</t>
        </is>
      </c>
      <c r="M1584" t="inlineStr">
        <is>
          <t>Firewall/Email</t>
        </is>
      </c>
      <c r="N1584" t="inlineStr">
        <is>
          <t>P4</t>
        </is>
      </c>
      <c r="O1584" t="inlineStr">
        <is>
          <t>Spamhaus - CIDR range</t>
        </is>
      </c>
      <c r="P1584" t="n">
        <v>0</v>
      </c>
      <c r="Q1584" t="n">
        <v>0</v>
      </c>
      <c r="R1584" t="inlineStr">
        <is>
          <t>T1566:Phishing | T1078:Valid Accounts</t>
        </is>
      </c>
      <c r="S1584" t="n">
        <v>1</v>
      </c>
      <c r="T1584" t="inlineStr">
        <is>
          <t>LOW (40%)</t>
        </is>
      </c>
      <c r="U1584" t="inlineStr">
        <is>
          <t>NONE</t>
        </is>
      </c>
      <c r="V1584" t="inlineStr">
        <is>
          <t>NONE</t>
        </is>
      </c>
      <c r="W1584" t="inlineStr">
        <is>
          <t>NONE</t>
        </is>
      </c>
      <c r="X1584" t="inlineStr">
        <is>
          <t>NONE</t>
        </is>
      </c>
      <c r="Y1584" t="n">
        <v>0</v>
      </c>
      <c r="Z1584" t="inlineStr"/>
      <c r="AA1584" t="inlineStr">
        <is>
          <t>https://www.spamhaus.org/drop/</t>
        </is>
      </c>
    </row>
    <row r="1585">
      <c r="A1585" t="inlineStr">
        <is>
          <t>FIREHOL_THREAT</t>
        </is>
      </c>
      <c r="B1585" t="inlineStr">
        <is>
          <t>45af21402405</t>
        </is>
      </c>
      <c r="C1585" t="inlineStr">
        <is>
          <t>DROP List CIDR: 14.128.32.0/20 | FireHOL L1 threat IP/CIDR | ASN: FireHOL-L1</t>
        </is>
      </c>
      <c r="D1585" t="n">
        <v>6</v>
      </c>
      <c r="E1585" t="inlineStr">
        <is>
          <t>MEDIUM</t>
        </is>
      </c>
      <c r="F1585" t="n">
        <v>2</v>
      </c>
      <c r="G1585" t="n">
        <v>2</v>
      </c>
      <c r="H1585" t="inlineStr">
        <is>
          <t>MEDIUM</t>
        </is>
      </c>
      <c r="I1585" t="n">
        <v>10</v>
      </c>
      <c r="J1585" t="inlineStr">
        <is>
          <t>NO</t>
        </is>
      </c>
      <c r="K1585" t="inlineStr">
        <is>
          <t>2026-02-23 23:48</t>
        </is>
      </c>
      <c r="L1585" t="inlineStr">
        <is>
          <t>Block CIDR</t>
        </is>
      </c>
      <c r="M1585" t="inlineStr">
        <is>
          <t>Firewall/Email</t>
        </is>
      </c>
      <c r="N1585" t="inlineStr">
        <is>
          <t>P4</t>
        </is>
      </c>
      <c r="O1585" t="inlineStr">
        <is>
          <t>Spamhaus - CIDR range</t>
        </is>
      </c>
      <c r="P1585" t="n">
        <v>0</v>
      </c>
      <c r="Q1585" t="n">
        <v>0</v>
      </c>
      <c r="R1585" t="inlineStr">
        <is>
          <t>T1566:Phishing | T1078:Valid Accounts</t>
        </is>
      </c>
      <c r="S1585" t="n">
        <v>1</v>
      </c>
      <c r="T1585" t="inlineStr">
        <is>
          <t>LOW (40%)</t>
        </is>
      </c>
      <c r="U1585" t="inlineStr">
        <is>
          <t>NONE</t>
        </is>
      </c>
      <c r="V1585" t="inlineStr">
        <is>
          <t>NONE</t>
        </is>
      </c>
      <c r="W1585" t="inlineStr">
        <is>
          <t>NONE</t>
        </is>
      </c>
      <c r="X1585" t="inlineStr">
        <is>
          <t>NONE</t>
        </is>
      </c>
      <c r="Y1585" t="n">
        <v>0</v>
      </c>
      <c r="Z1585" t="inlineStr"/>
      <c r="AA1585" t="inlineStr">
        <is>
          <t>https://www.spamhaus.org/drop/</t>
        </is>
      </c>
    </row>
    <row r="1586">
      <c r="A1586" t="inlineStr">
        <is>
          <t>FIREHOL_THREAT</t>
        </is>
      </c>
      <c r="B1586" t="inlineStr">
        <is>
          <t>4eefa27549e0</t>
        </is>
      </c>
      <c r="C1586" t="inlineStr">
        <is>
          <t>DROP List CIDR: 1.12.55.42 | FireHOL L2 threat IP/CIDR | ASN: FireHOL-L2</t>
        </is>
      </c>
      <c r="D1586" t="n">
        <v>6</v>
      </c>
      <c r="E1586" t="inlineStr">
        <is>
          <t>MEDIUM</t>
        </is>
      </c>
      <c r="F1586" t="n">
        <v>2</v>
      </c>
      <c r="G1586" t="n">
        <v>2</v>
      </c>
      <c r="H1586" t="inlineStr">
        <is>
          <t>MEDIUM</t>
        </is>
      </c>
      <c r="I1586" t="n">
        <v>10</v>
      </c>
      <c r="J1586" t="inlineStr">
        <is>
          <t>NO</t>
        </is>
      </c>
      <c r="K1586" t="inlineStr">
        <is>
          <t>2026-02-23 23:48</t>
        </is>
      </c>
      <c r="L1586" t="inlineStr">
        <is>
          <t>Block CIDR</t>
        </is>
      </c>
      <c r="M1586" t="inlineStr">
        <is>
          <t>Firewall/Email</t>
        </is>
      </c>
      <c r="N1586" t="inlineStr">
        <is>
          <t>P4</t>
        </is>
      </c>
      <c r="O1586" t="inlineStr">
        <is>
          <t>Spamhaus - CIDR range</t>
        </is>
      </c>
      <c r="P1586" t="n">
        <v>0</v>
      </c>
      <c r="Q1586" t="n">
        <v>0</v>
      </c>
      <c r="R1586" t="inlineStr">
        <is>
          <t>T1566:Phishing | T1078:Valid Accounts</t>
        </is>
      </c>
      <c r="S1586" t="n">
        <v>1</v>
      </c>
      <c r="T1586" t="inlineStr">
        <is>
          <t>LOW (40%)</t>
        </is>
      </c>
      <c r="U1586" t="inlineStr">
        <is>
          <t>NONE</t>
        </is>
      </c>
      <c r="V1586" t="inlineStr">
        <is>
          <t>NONE</t>
        </is>
      </c>
      <c r="W1586" t="inlineStr">
        <is>
          <t>NONE</t>
        </is>
      </c>
      <c r="X1586" t="inlineStr">
        <is>
          <t>NONE</t>
        </is>
      </c>
      <c r="Y1586" t="n">
        <v>0</v>
      </c>
      <c r="Z1586" t="inlineStr"/>
      <c r="AA1586" t="inlineStr">
        <is>
          <t>https://www.spamhaus.org/drop/</t>
        </is>
      </c>
    </row>
    <row r="1587">
      <c r="A1587" t="inlineStr">
        <is>
          <t>FIREHOL_THREAT</t>
        </is>
      </c>
      <c r="B1587" t="inlineStr">
        <is>
          <t>106574688438</t>
        </is>
      </c>
      <c r="C1587" t="inlineStr">
        <is>
          <t>DROP List CIDR: 1.12.217.80 | FireHOL L2 threat IP/CIDR | ASN: FireHOL-L2</t>
        </is>
      </c>
      <c r="D1587" t="n">
        <v>6</v>
      </c>
      <c r="E1587" t="inlineStr">
        <is>
          <t>MEDIUM</t>
        </is>
      </c>
      <c r="F1587" t="n">
        <v>2</v>
      </c>
      <c r="G1587" t="n">
        <v>2</v>
      </c>
      <c r="H1587" t="inlineStr">
        <is>
          <t>MEDIUM</t>
        </is>
      </c>
      <c r="I1587" t="n">
        <v>10</v>
      </c>
      <c r="J1587" t="inlineStr">
        <is>
          <t>NO</t>
        </is>
      </c>
      <c r="K1587" t="inlineStr">
        <is>
          <t>2026-02-23 23:48</t>
        </is>
      </c>
      <c r="L1587" t="inlineStr">
        <is>
          <t>Block CIDR</t>
        </is>
      </c>
      <c r="M1587" t="inlineStr">
        <is>
          <t>Firewall/Email</t>
        </is>
      </c>
      <c r="N1587" t="inlineStr">
        <is>
          <t>P4</t>
        </is>
      </c>
      <c r="O1587" t="inlineStr">
        <is>
          <t>Spamhaus - CIDR range</t>
        </is>
      </c>
      <c r="P1587" t="n">
        <v>0</v>
      </c>
      <c r="Q1587" t="n">
        <v>0</v>
      </c>
      <c r="R1587" t="inlineStr">
        <is>
          <t>T1566:Phishing | T1078:Valid Accounts</t>
        </is>
      </c>
      <c r="S1587" t="n">
        <v>1</v>
      </c>
      <c r="T1587" t="inlineStr">
        <is>
          <t>LOW (40%)</t>
        </is>
      </c>
      <c r="U1587" t="inlineStr">
        <is>
          <t>NONE</t>
        </is>
      </c>
      <c r="V1587" t="inlineStr">
        <is>
          <t>NONE</t>
        </is>
      </c>
      <c r="W1587" t="inlineStr">
        <is>
          <t>NONE</t>
        </is>
      </c>
      <c r="X1587" t="inlineStr">
        <is>
          <t>NONE</t>
        </is>
      </c>
      <c r="Y1587" t="n">
        <v>0</v>
      </c>
      <c r="Z1587" t="inlineStr"/>
      <c r="AA1587" t="inlineStr">
        <is>
          <t>https://www.spamhaus.org/drop/</t>
        </is>
      </c>
    </row>
    <row r="1588">
      <c r="A1588" t="inlineStr">
        <is>
          <t>FIREHOL_THREAT</t>
        </is>
      </c>
      <c r="B1588" t="inlineStr">
        <is>
          <t>b2c07aa1d291</t>
        </is>
      </c>
      <c r="C1588" t="inlineStr">
        <is>
          <t>DROP List CIDR: 1.15.136.28 | FireHOL L2 threat IP/CIDR | ASN: FireHOL-L2</t>
        </is>
      </c>
      <c r="D1588" t="n">
        <v>6</v>
      </c>
      <c r="E1588" t="inlineStr">
        <is>
          <t>MEDIUM</t>
        </is>
      </c>
      <c r="F1588" t="n">
        <v>2</v>
      </c>
      <c r="G1588" t="n">
        <v>2</v>
      </c>
      <c r="H1588" t="inlineStr">
        <is>
          <t>MEDIUM</t>
        </is>
      </c>
      <c r="I1588" t="n">
        <v>10</v>
      </c>
      <c r="J1588" t="inlineStr">
        <is>
          <t>NO</t>
        </is>
      </c>
      <c r="K1588" t="inlineStr">
        <is>
          <t>2026-02-23 23:48</t>
        </is>
      </c>
      <c r="L1588" t="inlineStr">
        <is>
          <t>Block CIDR</t>
        </is>
      </c>
      <c r="M1588" t="inlineStr">
        <is>
          <t>Firewall/Email</t>
        </is>
      </c>
      <c r="N1588" t="inlineStr">
        <is>
          <t>P4</t>
        </is>
      </c>
      <c r="O1588" t="inlineStr">
        <is>
          <t>Spamhaus - CIDR range</t>
        </is>
      </c>
      <c r="P1588" t="n">
        <v>0</v>
      </c>
      <c r="Q1588" t="n">
        <v>0</v>
      </c>
      <c r="R1588" t="inlineStr">
        <is>
          <t>T1566:Phishing | T1078:Valid Accounts</t>
        </is>
      </c>
      <c r="S1588" t="n">
        <v>1</v>
      </c>
      <c r="T1588" t="inlineStr">
        <is>
          <t>LOW (40%)</t>
        </is>
      </c>
      <c r="U1588" t="inlineStr">
        <is>
          <t>NONE</t>
        </is>
      </c>
      <c r="V1588" t="inlineStr">
        <is>
          <t>NONE</t>
        </is>
      </c>
      <c r="W1588" t="inlineStr">
        <is>
          <t>NONE</t>
        </is>
      </c>
      <c r="X1588" t="inlineStr">
        <is>
          <t>NONE</t>
        </is>
      </c>
      <c r="Y1588" t="n">
        <v>0</v>
      </c>
      <c r="Z1588" t="inlineStr"/>
      <c r="AA1588" t="inlineStr">
        <is>
          <t>https://www.spamhaus.org/drop/</t>
        </is>
      </c>
    </row>
    <row r="1589">
      <c r="A1589" t="inlineStr">
        <is>
          <t>FIREHOL_THREAT</t>
        </is>
      </c>
      <c r="B1589" t="inlineStr">
        <is>
          <t>d28316cdbee2</t>
        </is>
      </c>
      <c r="C1589" t="inlineStr">
        <is>
          <t>DROP List CIDR: 1.24.210.27 | FireHOL L2 threat IP/CIDR | ASN: FireHOL-L2</t>
        </is>
      </c>
      <c r="D1589" t="n">
        <v>6</v>
      </c>
      <c r="E1589" t="inlineStr">
        <is>
          <t>MEDIUM</t>
        </is>
      </c>
      <c r="F1589" t="n">
        <v>2</v>
      </c>
      <c r="G1589" t="n">
        <v>2</v>
      </c>
      <c r="H1589" t="inlineStr">
        <is>
          <t>MEDIUM</t>
        </is>
      </c>
      <c r="I1589" t="n">
        <v>10</v>
      </c>
      <c r="J1589" t="inlineStr">
        <is>
          <t>NO</t>
        </is>
      </c>
      <c r="K1589" t="inlineStr">
        <is>
          <t>2026-02-23 23:48</t>
        </is>
      </c>
      <c r="L1589" t="inlineStr">
        <is>
          <t>Block CIDR</t>
        </is>
      </c>
      <c r="M1589" t="inlineStr">
        <is>
          <t>Firewall/Email</t>
        </is>
      </c>
      <c r="N1589" t="inlineStr">
        <is>
          <t>P4</t>
        </is>
      </c>
      <c r="O1589" t="inlineStr">
        <is>
          <t>Spamhaus - CIDR range</t>
        </is>
      </c>
      <c r="P1589" t="n">
        <v>0</v>
      </c>
      <c r="Q1589" t="n">
        <v>0</v>
      </c>
      <c r="R1589" t="inlineStr">
        <is>
          <t>T1566:Phishing | T1078:Valid Accounts</t>
        </is>
      </c>
      <c r="S1589" t="n">
        <v>1</v>
      </c>
      <c r="T1589" t="inlineStr">
        <is>
          <t>LOW (40%)</t>
        </is>
      </c>
      <c r="U1589" t="inlineStr">
        <is>
          <t>NONE</t>
        </is>
      </c>
      <c r="V1589" t="inlineStr">
        <is>
          <t>NONE</t>
        </is>
      </c>
      <c r="W1589" t="inlineStr">
        <is>
          <t>NONE</t>
        </is>
      </c>
      <c r="X1589" t="inlineStr">
        <is>
          <t>NONE</t>
        </is>
      </c>
      <c r="Y1589" t="n">
        <v>0</v>
      </c>
      <c r="Z1589" t="inlineStr"/>
      <c r="AA1589" t="inlineStr">
        <is>
          <t>https://www.spamhaus.org/drop/</t>
        </is>
      </c>
    </row>
    <row r="1590">
      <c r="A1590" t="inlineStr">
        <is>
          <t>FIREHOL_THREAT</t>
        </is>
      </c>
      <c r="B1590" t="inlineStr">
        <is>
          <t>286e31c4d50b</t>
        </is>
      </c>
      <c r="C1590" t="inlineStr">
        <is>
          <t>DROP List CIDR: 1.30.20.98 | FireHOL L2 threat IP/CIDR | ASN: FireHOL-L2</t>
        </is>
      </c>
      <c r="D1590" t="n">
        <v>6</v>
      </c>
      <c r="E1590" t="inlineStr">
        <is>
          <t>MEDIUM</t>
        </is>
      </c>
      <c r="F1590" t="n">
        <v>2</v>
      </c>
      <c r="G1590" t="n">
        <v>2</v>
      </c>
      <c r="H1590" t="inlineStr">
        <is>
          <t>MEDIUM</t>
        </is>
      </c>
      <c r="I1590" t="n">
        <v>10</v>
      </c>
      <c r="J1590" t="inlineStr">
        <is>
          <t>NO</t>
        </is>
      </c>
      <c r="K1590" t="inlineStr">
        <is>
          <t>2026-02-23 23:48</t>
        </is>
      </c>
      <c r="L1590" t="inlineStr">
        <is>
          <t>Block CIDR</t>
        </is>
      </c>
      <c r="M1590" t="inlineStr">
        <is>
          <t>Firewall/Email</t>
        </is>
      </c>
      <c r="N1590" t="inlineStr">
        <is>
          <t>P4</t>
        </is>
      </c>
      <c r="O1590" t="inlineStr">
        <is>
          <t>Spamhaus - CIDR range</t>
        </is>
      </c>
      <c r="P1590" t="n">
        <v>0</v>
      </c>
      <c r="Q1590" t="n">
        <v>0</v>
      </c>
      <c r="R1590" t="inlineStr">
        <is>
          <t>T1566:Phishing | T1078:Valid Accounts</t>
        </is>
      </c>
      <c r="S1590" t="n">
        <v>1</v>
      </c>
      <c r="T1590" t="inlineStr">
        <is>
          <t>LOW (40%)</t>
        </is>
      </c>
      <c r="U1590" t="inlineStr">
        <is>
          <t>NONE</t>
        </is>
      </c>
      <c r="V1590" t="inlineStr">
        <is>
          <t>NONE</t>
        </is>
      </c>
      <c r="W1590" t="inlineStr">
        <is>
          <t>NONE</t>
        </is>
      </c>
      <c r="X1590" t="inlineStr">
        <is>
          <t>NONE</t>
        </is>
      </c>
      <c r="Y1590" t="n">
        <v>0</v>
      </c>
      <c r="Z1590" t="inlineStr"/>
      <c r="AA1590" t="inlineStr">
        <is>
          <t>https://www.spamhaus.org/drop/</t>
        </is>
      </c>
    </row>
    <row r="1591">
      <c r="A1591" t="inlineStr">
        <is>
          <t>FIREHOL_THREAT</t>
        </is>
      </c>
      <c r="B1591" t="inlineStr">
        <is>
          <t>a6c72b943d06</t>
        </is>
      </c>
      <c r="C1591" t="inlineStr">
        <is>
          <t>DROP List CIDR: 1.30.20.238 | FireHOL L2 threat IP/CIDR | ASN: FireHOL-L2</t>
        </is>
      </c>
      <c r="D1591" t="n">
        <v>6</v>
      </c>
      <c r="E1591" t="inlineStr">
        <is>
          <t>MEDIUM</t>
        </is>
      </c>
      <c r="F1591" t="n">
        <v>2</v>
      </c>
      <c r="G1591" t="n">
        <v>2</v>
      </c>
      <c r="H1591" t="inlineStr">
        <is>
          <t>MEDIUM</t>
        </is>
      </c>
      <c r="I1591" t="n">
        <v>10</v>
      </c>
      <c r="J1591" t="inlineStr">
        <is>
          <t>NO</t>
        </is>
      </c>
      <c r="K1591" t="inlineStr">
        <is>
          <t>2026-02-23 23:48</t>
        </is>
      </c>
      <c r="L1591" t="inlineStr">
        <is>
          <t>Block CIDR</t>
        </is>
      </c>
      <c r="M1591" t="inlineStr">
        <is>
          <t>Firewall/Email</t>
        </is>
      </c>
      <c r="N1591" t="inlineStr">
        <is>
          <t>P4</t>
        </is>
      </c>
      <c r="O1591" t="inlineStr">
        <is>
          <t>Spamhaus - CIDR range</t>
        </is>
      </c>
      <c r="P1591" t="n">
        <v>0</v>
      </c>
      <c r="Q1591" t="n">
        <v>0</v>
      </c>
      <c r="R1591" t="inlineStr">
        <is>
          <t>T1566:Phishing | T1078:Valid Accounts</t>
        </is>
      </c>
      <c r="S1591" t="n">
        <v>1</v>
      </c>
      <c r="T1591" t="inlineStr">
        <is>
          <t>LOW (40%)</t>
        </is>
      </c>
      <c r="U1591" t="inlineStr">
        <is>
          <t>NONE</t>
        </is>
      </c>
      <c r="V1591" t="inlineStr">
        <is>
          <t>NONE</t>
        </is>
      </c>
      <c r="W1591" t="inlineStr">
        <is>
          <t>NONE</t>
        </is>
      </c>
      <c r="X1591" t="inlineStr">
        <is>
          <t>NONE</t>
        </is>
      </c>
      <c r="Y1591" t="n">
        <v>0</v>
      </c>
      <c r="Z1591" t="inlineStr"/>
      <c r="AA1591" t="inlineStr">
        <is>
          <t>https://www.spamhaus.org/drop/</t>
        </is>
      </c>
    </row>
    <row r="1592">
      <c r="A1592" t="inlineStr">
        <is>
          <t>FIREHOL_THREAT</t>
        </is>
      </c>
      <c r="B1592" t="inlineStr">
        <is>
          <t>4e6db5098243</t>
        </is>
      </c>
      <c r="C1592" t="inlineStr">
        <is>
          <t>DROP List CIDR: 1.30.199.218 | FireHOL L2 threat IP/CIDR | ASN: FireHOL-L2</t>
        </is>
      </c>
      <c r="D1592" t="n">
        <v>6</v>
      </c>
      <c r="E1592" t="inlineStr">
        <is>
          <t>MEDIUM</t>
        </is>
      </c>
      <c r="F1592" t="n">
        <v>2</v>
      </c>
      <c r="G1592" t="n">
        <v>2</v>
      </c>
      <c r="H1592" t="inlineStr">
        <is>
          <t>MEDIUM</t>
        </is>
      </c>
      <c r="I1592" t="n">
        <v>10</v>
      </c>
      <c r="J1592" t="inlineStr">
        <is>
          <t>NO</t>
        </is>
      </c>
      <c r="K1592" t="inlineStr">
        <is>
          <t>2026-02-23 23:48</t>
        </is>
      </c>
      <c r="L1592" t="inlineStr">
        <is>
          <t>Block CIDR</t>
        </is>
      </c>
      <c r="M1592" t="inlineStr">
        <is>
          <t>Firewall/Email</t>
        </is>
      </c>
      <c r="N1592" t="inlineStr">
        <is>
          <t>P4</t>
        </is>
      </c>
      <c r="O1592" t="inlineStr">
        <is>
          <t>Spamhaus - CIDR range</t>
        </is>
      </c>
      <c r="P1592" t="n">
        <v>0</v>
      </c>
      <c r="Q1592" t="n">
        <v>0</v>
      </c>
      <c r="R1592" t="inlineStr">
        <is>
          <t>T1566:Phishing | T1078:Valid Accounts</t>
        </is>
      </c>
      <c r="S1592" t="n">
        <v>1</v>
      </c>
      <c r="T1592" t="inlineStr">
        <is>
          <t>LOW (40%)</t>
        </is>
      </c>
      <c r="U1592" t="inlineStr">
        <is>
          <t>NONE</t>
        </is>
      </c>
      <c r="V1592" t="inlineStr">
        <is>
          <t>NONE</t>
        </is>
      </c>
      <c r="W1592" t="inlineStr">
        <is>
          <t>NONE</t>
        </is>
      </c>
      <c r="X1592" t="inlineStr">
        <is>
          <t>NONE</t>
        </is>
      </c>
      <c r="Y1592" t="n">
        <v>0</v>
      </c>
      <c r="Z1592" t="inlineStr"/>
      <c r="AA1592" t="inlineStr">
        <is>
          <t>https://www.spamhaus.org/drop/</t>
        </is>
      </c>
    </row>
    <row r="1593">
      <c r="A1593" t="inlineStr">
        <is>
          <t>FIREHOL_THREAT</t>
        </is>
      </c>
      <c r="B1593" t="inlineStr">
        <is>
          <t>12bfaf24ccb6</t>
        </is>
      </c>
      <c r="C1593" t="inlineStr">
        <is>
          <t>DROP List CIDR: 1.31.80.222 | FireHOL L2 threat IP/CIDR | ASN: FireHOL-L2</t>
        </is>
      </c>
      <c r="D1593" t="n">
        <v>6</v>
      </c>
      <c r="E1593" t="inlineStr">
        <is>
          <t>MEDIUM</t>
        </is>
      </c>
      <c r="F1593" t="n">
        <v>2</v>
      </c>
      <c r="G1593" t="n">
        <v>2</v>
      </c>
      <c r="H1593" t="inlineStr">
        <is>
          <t>MEDIUM</t>
        </is>
      </c>
      <c r="I1593" t="n">
        <v>10</v>
      </c>
      <c r="J1593" t="inlineStr">
        <is>
          <t>NO</t>
        </is>
      </c>
      <c r="K1593" t="inlineStr">
        <is>
          <t>2026-02-23 23:48</t>
        </is>
      </c>
      <c r="L1593" t="inlineStr">
        <is>
          <t>Block CIDR</t>
        </is>
      </c>
      <c r="M1593" t="inlineStr">
        <is>
          <t>Firewall/Email</t>
        </is>
      </c>
      <c r="N1593" t="inlineStr">
        <is>
          <t>P4</t>
        </is>
      </c>
      <c r="O1593" t="inlineStr">
        <is>
          <t>Spamhaus - CIDR range</t>
        </is>
      </c>
      <c r="P1593" t="n">
        <v>0</v>
      </c>
      <c r="Q1593" t="n">
        <v>0</v>
      </c>
      <c r="R1593" t="inlineStr">
        <is>
          <t>T1566:Phishing | T1078:Valid Accounts</t>
        </is>
      </c>
      <c r="S1593" t="n">
        <v>1</v>
      </c>
      <c r="T1593" t="inlineStr">
        <is>
          <t>LOW (40%)</t>
        </is>
      </c>
      <c r="U1593" t="inlineStr">
        <is>
          <t>NONE</t>
        </is>
      </c>
      <c r="V1593" t="inlineStr">
        <is>
          <t>NONE</t>
        </is>
      </c>
      <c r="W1593" t="inlineStr">
        <is>
          <t>NONE</t>
        </is>
      </c>
      <c r="X1593" t="inlineStr">
        <is>
          <t>NONE</t>
        </is>
      </c>
      <c r="Y1593" t="n">
        <v>0</v>
      </c>
      <c r="Z1593" t="inlineStr"/>
      <c r="AA1593" t="inlineStr">
        <is>
          <t>https://www.spamhaus.org/drop/</t>
        </is>
      </c>
    </row>
    <row r="1594">
      <c r="A1594" t="inlineStr">
        <is>
          <t>FIREHOL_THREAT</t>
        </is>
      </c>
      <c r="B1594" t="inlineStr">
        <is>
          <t>74a3da35f7f1</t>
        </is>
      </c>
      <c r="C1594" t="inlineStr">
        <is>
          <t>DROP List CIDR: 1.34.219.246 | FireHOL L2 threat IP/CIDR | ASN: FireHOL-L2</t>
        </is>
      </c>
      <c r="D1594" t="n">
        <v>6</v>
      </c>
      <c r="E1594" t="inlineStr">
        <is>
          <t>MEDIUM</t>
        </is>
      </c>
      <c r="F1594" t="n">
        <v>2</v>
      </c>
      <c r="G1594" t="n">
        <v>2</v>
      </c>
      <c r="H1594" t="inlineStr">
        <is>
          <t>MEDIUM</t>
        </is>
      </c>
      <c r="I1594" t="n">
        <v>10</v>
      </c>
      <c r="J1594" t="inlineStr">
        <is>
          <t>NO</t>
        </is>
      </c>
      <c r="K1594" t="inlineStr">
        <is>
          <t>2026-02-23 23:48</t>
        </is>
      </c>
      <c r="L1594" t="inlineStr">
        <is>
          <t>Block CIDR</t>
        </is>
      </c>
      <c r="M1594" t="inlineStr">
        <is>
          <t>Firewall/Email</t>
        </is>
      </c>
      <c r="N1594" t="inlineStr">
        <is>
          <t>P4</t>
        </is>
      </c>
      <c r="O1594" t="inlineStr">
        <is>
          <t>Spamhaus - CIDR range</t>
        </is>
      </c>
      <c r="P1594" t="n">
        <v>0</v>
      </c>
      <c r="Q1594" t="n">
        <v>0</v>
      </c>
      <c r="R1594" t="inlineStr">
        <is>
          <t>T1566:Phishing | T1078:Valid Accounts</t>
        </is>
      </c>
      <c r="S1594" t="n">
        <v>1</v>
      </c>
      <c r="T1594" t="inlineStr">
        <is>
          <t>LOW (40%)</t>
        </is>
      </c>
      <c r="U1594" t="inlineStr">
        <is>
          <t>NONE</t>
        </is>
      </c>
      <c r="V1594" t="inlineStr">
        <is>
          <t>NONE</t>
        </is>
      </c>
      <c r="W1594" t="inlineStr">
        <is>
          <t>NONE</t>
        </is>
      </c>
      <c r="X1594" t="inlineStr">
        <is>
          <t>NONE</t>
        </is>
      </c>
      <c r="Y1594" t="n">
        <v>0</v>
      </c>
      <c r="Z1594" t="inlineStr"/>
      <c r="AA1594" t="inlineStr">
        <is>
          <t>https://www.spamhaus.org/drop/</t>
        </is>
      </c>
    </row>
    <row r="1595">
      <c r="A1595" t="inlineStr">
        <is>
          <t>FIREHOL_THREAT</t>
        </is>
      </c>
      <c r="B1595" t="inlineStr">
        <is>
          <t>8dc6aeadd95a</t>
        </is>
      </c>
      <c r="C1595" t="inlineStr">
        <is>
          <t>DROP List CIDR: 1.55.33.86 | FireHOL L2 threat IP/CIDR | ASN: FireHOL-L2</t>
        </is>
      </c>
      <c r="D1595" t="n">
        <v>6</v>
      </c>
      <c r="E1595" t="inlineStr">
        <is>
          <t>MEDIUM</t>
        </is>
      </c>
      <c r="F1595" t="n">
        <v>2</v>
      </c>
      <c r="G1595" t="n">
        <v>2</v>
      </c>
      <c r="H1595" t="inlineStr">
        <is>
          <t>MEDIUM</t>
        </is>
      </c>
      <c r="I1595" t="n">
        <v>10</v>
      </c>
      <c r="J1595" t="inlineStr">
        <is>
          <t>NO</t>
        </is>
      </c>
      <c r="K1595" t="inlineStr">
        <is>
          <t>2026-02-23 23:48</t>
        </is>
      </c>
      <c r="L1595" t="inlineStr">
        <is>
          <t>Block CIDR</t>
        </is>
      </c>
      <c r="M1595" t="inlineStr">
        <is>
          <t>Firewall/Email</t>
        </is>
      </c>
      <c r="N1595" t="inlineStr">
        <is>
          <t>P4</t>
        </is>
      </c>
      <c r="O1595" t="inlineStr">
        <is>
          <t>Spamhaus - CIDR range</t>
        </is>
      </c>
      <c r="P1595" t="n">
        <v>0</v>
      </c>
      <c r="Q1595" t="n">
        <v>0</v>
      </c>
      <c r="R1595" t="inlineStr">
        <is>
          <t>T1566:Phishing | T1078:Valid Accounts</t>
        </is>
      </c>
      <c r="S1595" t="n">
        <v>1</v>
      </c>
      <c r="T1595" t="inlineStr">
        <is>
          <t>LOW (40%)</t>
        </is>
      </c>
      <c r="U1595" t="inlineStr">
        <is>
          <t>NONE</t>
        </is>
      </c>
      <c r="V1595" t="inlineStr">
        <is>
          <t>NONE</t>
        </is>
      </c>
      <c r="W1595" t="inlineStr">
        <is>
          <t>NONE</t>
        </is>
      </c>
      <c r="X1595" t="inlineStr">
        <is>
          <t>NONE</t>
        </is>
      </c>
      <c r="Y1595" t="n">
        <v>0</v>
      </c>
      <c r="Z1595" t="inlineStr"/>
      <c r="AA1595" t="inlineStr">
        <is>
          <t>https://www.spamhaus.org/drop/</t>
        </is>
      </c>
    </row>
    <row r="1596">
      <c r="A1596" t="inlineStr">
        <is>
          <t>FIREHOL_THREAT</t>
        </is>
      </c>
      <c r="B1596" t="inlineStr">
        <is>
          <t>d4ecff0c645a</t>
        </is>
      </c>
      <c r="C1596" t="inlineStr">
        <is>
          <t>DROP List CIDR: 1.55.112.41 | FireHOL L2 threat IP/CIDR | ASN: FireHOL-L2</t>
        </is>
      </c>
      <c r="D1596" t="n">
        <v>6</v>
      </c>
      <c r="E1596" t="inlineStr">
        <is>
          <t>MEDIUM</t>
        </is>
      </c>
      <c r="F1596" t="n">
        <v>2</v>
      </c>
      <c r="G1596" t="n">
        <v>2</v>
      </c>
      <c r="H1596" t="inlineStr">
        <is>
          <t>MEDIUM</t>
        </is>
      </c>
      <c r="I1596" t="n">
        <v>10</v>
      </c>
      <c r="J1596" t="inlineStr">
        <is>
          <t>NO</t>
        </is>
      </c>
      <c r="K1596" t="inlineStr">
        <is>
          <t>2026-02-23 23:48</t>
        </is>
      </c>
      <c r="L1596" t="inlineStr">
        <is>
          <t>Block CIDR</t>
        </is>
      </c>
      <c r="M1596" t="inlineStr">
        <is>
          <t>Firewall/Email</t>
        </is>
      </c>
      <c r="N1596" t="inlineStr">
        <is>
          <t>P4</t>
        </is>
      </c>
      <c r="O1596" t="inlineStr">
        <is>
          <t>Spamhaus - CIDR range</t>
        </is>
      </c>
      <c r="P1596" t="n">
        <v>0</v>
      </c>
      <c r="Q1596" t="n">
        <v>0</v>
      </c>
      <c r="R1596" t="inlineStr">
        <is>
          <t>T1566:Phishing | T1078:Valid Accounts</t>
        </is>
      </c>
      <c r="S1596" t="n">
        <v>1</v>
      </c>
      <c r="T1596" t="inlineStr">
        <is>
          <t>LOW (40%)</t>
        </is>
      </c>
      <c r="U1596" t="inlineStr">
        <is>
          <t>NONE</t>
        </is>
      </c>
      <c r="V1596" t="inlineStr">
        <is>
          <t>NONE</t>
        </is>
      </c>
      <c r="W1596" t="inlineStr">
        <is>
          <t>NONE</t>
        </is>
      </c>
      <c r="X1596" t="inlineStr">
        <is>
          <t>NONE</t>
        </is>
      </c>
      <c r="Y1596" t="n">
        <v>0</v>
      </c>
      <c r="Z1596" t="inlineStr"/>
      <c r="AA1596" t="inlineStr">
        <is>
          <t>https://www.spamhaus.org/drop/</t>
        </is>
      </c>
    </row>
    <row r="1597">
      <c r="A1597" t="inlineStr">
        <is>
          <t>FIREHOL_THREAT</t>
        </is>
      </c>
      <c r="B1597" t="inlineStr">
        <is>
          <t>c480b3c0b45e</t>
        </is>
      </c>
      <c r="C1597" t="inlineStr">
        <is>
          <t>DROP List CIDR: 1.55.210.222 | FireHOL L2 threat IP/CIDR | ASN: FireHOL-L2</t>
        </is>
      </c>
      <c r="D1597" t="n">
        <v>6</v>
      </c>
      <c r="E1597" t="inlineStr">
        <is>
          <t>MEDIUM</t>
        </is>
      </c>
      <c r="F1597" t="n">
        <v>2</v>
      </c>
      <c r="G1597" t="n">
        <v>2</v>
      </c>
      <c r="H1597" t="inlineStr">
        <is>
          <t>MEDIUM</t>
        </is>
      </c>
      <c r="I1597" t="n">
        <v>10</v>
      </c>
      <c r="J1597" t="inlineStr">
        <is>
          <t>NO</t>
        </is>
      </c>
      <c r="K1597" t="inlineStr">
        <is>
          <t>2026-02-23 23:48</t>
        </is>
      </c>
      <c r="L1597" t="inlineStr">
        <is>
          <t>Block CIDR</t>
        </is>
      </c>
      <c r="M1597" t="inlineStr">
        <is>
          <t>Firewall/Email</t>
        </is>
      </c>
      <c r="N1597" t="inlineStr">
        <is>
          <t>P4</t>
        </is>
      </c>
      <c r="O1597" t="inlineStr">
        <is>
          <t>Spamhaus - CIDR range</t>
        </is>
      </c>
      <c r="P1597" t="n">
        <v>0</v>
      </c>
      <c r="Q1597" t="n">
        <v>0</v>
      </c>
      <c r="R1597" t="inlineStr">
        <is>
          <t>T1566:Phishing | T1078:Valid Accounts</t>
        </is>
      </c>
      <c r="S1597" t="n">
        <v>1</v>
      </c>
      <c r="T1597" t="inlineStr">
        <is>
          <t>LOW (40%)</t>
        </is>
      </c>
      <c r="U1597" t="inlineStr">
        <is>
          <t>NONE</t>
        </is>
      </c>
      <c r="V1597" t="inlineStr">
        <is>
          <t>NONE</t>
        </is>
      </c>
      <c r="W1597" t="inlineStr">
        <is>
          <t>NONE</t>
        </is>
      </c>
      <c r="X1597" t="inlineStr">
        <is>
          <t>NONE</t>
        </is>
      </c>
      <c r="Y1597" t="n">
        <v>0</v>
      </c>
      <c r="Z1597" t="inlineStr"/>
      <c r="AA1597" t="inlineStr">
        <is>
          <t>https://www.spamhaus.org/drop/</t>
        </is>
      </c>
    </row>
    <row r="1598">
      <c r="A1598" t="inlineStr">
        <is>
          <t>FIREHOL_THREAT</t>
        </is>
      </c>
      <c r="B1598" t="inlineStr">
        <is>
          <t>88a69e604d19</t>
        </is>
      </c>
      <c r="C1598" t="inlineStr">
        <is>
          <t>DROP List CIDR: 1.62.252.20 | FireHOL L2 threat IP/CIDR | ASN: FireHOL-L2</t>
        </is>
      </c>
      <c r="D1598" t="n">
        <v>6</v>
      </c>
      <c r="E1598" t="inlineStr">
        <is>
          <t>MEDIUM</t>
        </is>
      </c>
      <c r="F1598" t="n">
        <v>2</v>
      </c>
      <c r="G1598" t="n">
        <v>2</v>
      </c>
      <c r="H1598" t="inlineStr">
        <is>
          <t>MEDIUM</t>
        </is>
      </c>
      <c r="I1598" t="n">
        <v>10</v>
      </c>
      <c r="J1598" t="inlineStr">
        <is>
          <t>NO</t>
        </is>
      </c>
      <c r="K1598" t="inlineStr">
        <is>
          <t>2026-02-23 23:48</t>
        </is>
      </c>
      <c r="L1598" t="inlineStr">
        <is>
          <t>Block CIDR</t>
        </is>
      </c>
      <c r="M1598" t="inlineStr">
        <is>
          <t>Firewall/Email</t>
        </is>
      </c>
      <c r="N1598" t="inlineStr">
        <is>
          <t>P4</t>
        </is>
      </c>
      <c r="O1598" t="inlineStr">
        <is>
          <t>Spamhaus - CIDR range</t>
        </is>
      </c>
      <c r="P1598" t="n">
        <v>0</v>
      </c>
      <c r="Q1598" t="n">
        <v>0</v>
      </c>
      <c r="R1598" t="inlineStr">
        <is>
          <t>T1566:Phishing | T1078:Valid Accounts</t>
        </is>
      </c>
      <c r="S1598" t="n">
        <v>1</v>
      </c>
      <c r="T1598" t="inlineStr">
        <is>
          <t>LOW (40%)</t>
        </is>
      </c>
      <c r="U1598" t="inlineStr">
        <is>
          <t>NONE</t>
        </is>
      </c>
      <c r="V1598" t="inlineStr">
        <is>
          <t>NONE</t>
        </is>
      </c>
      <c r="W1598" t="inlineStr">
        <is>
          <t>NONE</t>
        </is>
      </c>
      <c r="X1598" t="inlineStr">
        <is>
          <t>NONE</t>
        </is>
      </c>
      <c r="Y1598" t="n">
        <v>0</v>
      </c>
      <c r="Z1598" t="inlineStr"/>
      <c r="AA1598" t="inlineStr">
        <is>
          <t>https://www.spamhaus.org/drop/</t>
        </is>
      </c>
    </row>
    <row r="1599">
      <c r="A1599" t="inlineStr">
        <is>
          <t>FIREHOL_THREAT</t>
        </is>
      </c>
      <c r="B1599" t="inlineStr">
        <is>
          <t>008a9291a602</t>
        </is>
      </c>
      <c r="C1599" t="inlineStr">
        <is>
          <t>DROP List CIDR: 1.82.135.154 | FireHOL L2 threat IP/CIDR | ASN: FireHOL-L2</t>
        </is>
      </c>
      <c r="D1599" t="n">
        <v>6</v>
      </c>
      <c r="E1599" t="inlineStr">
        <is>
          <t>MEDIUM</t>
        </is>
      </c>
      <c r="F1599" t="n">
        <v>2</v>
      </c>
      <c r="G1599" t="n">
        <v>2</v>
      </c>
      <c r="H1599" t="inlineStr">
        <is>
          <t>MEDIUM</t>
        </is>
      </c>
      <c r="I1599" t="n">
        <v>10</v>
      </c>
      <c r="J1599" t="inlineStr">
        <is>
          <t>NO</t>
        </is>
      </c>
      <c r="K1599" t="inlineStr">
        <is>
          <t>2026-02-23 23:48</t>
        </is>
      </c>
      <c r="L1599" t="inlineStr">
        <is>
          <t>Block CIDR</t>
        </is>
      </c>
      <c r="M1599" t="inlineStr">
        <is>
          <t>Firewall/Email</t>
        </is>
      </c>
      <c r="N1599" t="inlineStr">
        <is>
          <t>P4</t>
        </is>
      </c>
      <c r="O1599" t="inlineStr">
        <is>
          <t>Spamhaus - CIDR range</t>
        </is>
      </c>
      <c r="P1599" t="n">
        <v>0</v>
      </c>
      <c r="Q1599" t="n">
        <v>0</v>
      </c>
      <c r="R1599" t="inlineStr">
        <is>
          <t>T1566:Phishing | T1078:Valid Accounts</t>
        </is>
      </c>
      <c r="S1599" t="n">
        <v>1</v>
      </c>
      <c r="T1599" t="inlineStr">
        <is>
          <t>LOW (40%)</t>
        </is>
      </c>
      <c r="U1599" t="inlineStr">
        <is>
          <t>NONE</t>
        </is>
      </c>
      <c r="V1599" t="inlineStr">
        <is>
          <t>NONE</t>
        </is>
      </c>
      <c r="W1599" t="inlineStr">
        <is>
          <t>NONE</t>
        </is>
      </c>
      <c r="X1599" t="inlineStr">
        <is>
          <t>NONE</t>
        </is>
      </c>
      <c r="Y1599" t="n">
        <v>0</v>
      </c>
      <c r="Z1599" t="inlineStr"/>
      <c r="AA1599" t="inlineStr">
        <is>
          <t>https://www.spamhaus.org/drop/</t>
        </is>
      </c>
    </row>
    <row r="1600">
      <c r="A1600" t="inlineStr">
        <is>
          <t>FIREHOL_THREAT</t>
        </is>
      </c>
      <c r="B1600" t="inlineStr">
        <is>
          <t>cfaf0f274d54</t>
        </is>
      </c>
      <c r="C1600" t="inlineStr">
        <is>
          <t>DROP List CIDR: 1.85.42.195 | FireHOL L2 threat IP/CIDR | ASN: FireHOL-L2</t>
        </is>
      </c>
      <c r="D1600" t="n">
        <v>6</v>
      </c>
      <c r="E1600" t="inlineStr">
        <is>
          <t>MEDIUM</t>
        </is>
      </c>
      <c r="F1600" t="n">
        <v>2</v>
      </c>
      <c r="G1600" t="n">
        <v>2</v>
      </c>
      <c r="H1600" t="inlineStr">
        <is>
          <t>MEDIUM</t>
        </is>
      </c>
      <c r="I1600" t="n">
        <v>10</v>
      </c>
      <c r="J1600" t="inlineStr">
        <is>
          <t>NO</t>
        </is>
      </c>
      <c r="K1600" t="inlineStr">
        <is>
          <t>2026-02-23 23:48</t>
        </is>
      </c>
      <c r="L1600" t="inlineStr">
        <is>
          <t>Block CIDR</t>
        </is>
      </c>
      <c r="M1600" t="inlineStr">
        <is>
          <t>Firewall/Email</t>
        </is>
      </c>
      <c r="N1600" t="inlineStr">
        <is>
          <t>P4</t>
        </is>
      </c>
      <c r="O1600" t="inlineStr">
        <is>
          <t>Spamhaus - CIDR range</t>
        </is>
      </c>
      <c r="P1600" t="n">
        <v>0</v>
      </c>
      <c r="Q1600" t="n">
        <v>0</v>
      </c>
      <c r="R1600" t="inlineStr">
        <is>
          <t>T1566:Phishing | T1078:Valid Accounts</t>
        </is>
      </c>
      <c r="S1600" t="n">
        <v>1</v>
      </c>
      <c r="T1600" t="inlineStr">
        <is>
          <t>LOW (40%)</t>
        </is>
      </c>
      <c r="U1600" t="inlineStr">
        <is>
          <t>NONE</t>
        </is>
      </c>
      <c r="V1600" t="inlineStr">
        <is>
          <t>NONE</t>
        </is>
      </c>
      <c r="W1600" t="inlineStr">
        <is>
          <t>NONE</t>
        </is>
      </c>
      <c r="X1600" t="inlineStr">
        <is>
          <t>NONE</t>
        </is>
      </c>
      <c r="Y1600" t="n">
        <v>0</v>
      </c>
      <c r="Z1600" t="inlineStr"/>
      <c r="AA1600" t="inlineStr">
        <is>
          <t>https://www.spamhaus.org/drop/</t>
        </is>
      </c>
    </row>
    <row r="1601">
      <c r="A1601" t="inlineStr">
        <is>
          <t>FIREHOL_THREAT</t>
        </is>
      </c>
      <c r="B1601" t="inlineStr">
        <is>
          <t>07c6179971a8</t>
        </is>
      </c>
      <c r="C1601" t="inlineStr">
        <is>
          <t>DROP List CIDR: 1.92.79.150 | FireHOL L2 threat IP/CIDR | ASN: FireHOL-L2</t>
        </is>
      </c>
      <c r="D1601" t="n">
        <v>6</v>
      </c>
      <c r="E1601" t="inlineStr">
        <is>
          <t>MEDIUM</t>
        </is>
      </c>
      <c r="F1601" t="n">
        <v>2</v>
      </c>
      <c r="G1601" t="n">
        <v>2</v>
      </c>
      <c r="H1601" t="inlineStr">
        <is>
          <t>MEDIUM</t>
        </is>
      </c>
      <c r="I1601" t="n">
        <v>10</v>
      </c>
      <c r="J1601" t="inlineStr">
        <is>
          <t>NO</t>
        </is>
      </c>
      <c r="K1601" t="inlineStr">
        <is>
          <t>2026-02-23 23:48</t>
        </is>
      </c>
      <c r="L1601" t="inlineStr">
        <is>
          <t>Block CIDR</t>
        </is>
      </c>
      <c r="M1601" t="inlineStr">
        <is>
          <t>Firewall/Email</t>
        </is>
      </c>
      <c r="N1601" t="inlineStr">
        <is>
          <t>P4</t>
        </is>
      </c>
      <c r="O1601" t="inlineStr">
        <is>
          <t>Spamhaus - CIDR range</t>
        </is>
      </c>
      <c r="P1601" t="n">
        <v>0</v>
      </c>
      <c r="Q1601" t="n">
        <v>0</v>
      </c>
      <c r="R1601" t="inlineStr">
        <is>
          <t>T1566:Phishing | T1078:Valid Accounts</t>
        </is>
      </c>
      <c r="S1601" t="n">
        <v>1</v>
      </c>
      <c r="T1601" t="inlineStr">
        <is>
          <t>LOW (40%)</t>
        </is>
      </c>
      <c r="U1601" t="inlineStr">
        <is>
          <t>NONE</t>
        </is>
      </c>
      <c r="V1601" t="inlineStr">
        <is>
          <t>NONE</t>
        </is>
      </c>
      <c r="W1601" t="inlineStr">
        <is>
          <t>NONE</t>
        </is>
      </c>
      <c r="X1601" t="inlineStr">
        <is>
          <t>NONE</t>
        </is>
      </c>
      <c r="Y1601" t="n">
        <v>0</v>
      </c>
      <c r="Z1601" t="inlineStr"/>
      <c r="AA1601" t="inlineStr">
        <is>
          <t>https://www.spamhaus.org/drop/</t>
        </is>
      </c>
    </row>
    <row r="1602">
      <c r="A1602" t="inlineStr">
        <is>
          <t>FIREHOL_THREAT</t>
        </is>
      </c>
      <c r="B1602" t="inlineStr">
        <is>
          <t>21608329d094</t>
        </is>
      </c>
      <c r="C1602" t="inlineStr">
        <is>
          <t>DROP List CIDR: 1.95.124.235 | FireHOL L2 threat IP/CIDR | ASN: FireHOL-L2</t>
        </is>
      </c>
      <c r="D1602" t="n">
        <v>6</v>
      </c>
      <c r="E1602" t="inlineStr">
        <is>
          <t>MEDIUM</t>
        </is>
      </c>
      <c r="F1602" t="n">
        <v>2</v>
      </c>
      <c r="G1602" t="n">
        <v>2</v>
      </c>
      <c r="H1602" t="inlineStr">
        <is>
          <t>MEDIUM</t>
        </is>
      </c>
      <c r="I1602" t="n">
        <v>10</v>
      </c>
      <c r="J1602" t="inlineStr">
        <is>
          <t>NO</t>
        </is>
      </c>
      <c r="K1602" t="inlineStr">
        <is>
          <t>2026-02-23 23:48</t>
        </is>
      </c>
      <c r="L1602" t="inlineStr">
        <is>
          <t>Block CIDR</t>
        </is>
      </c>
      <c r="M1602" t="inlineStr">
        <is>
          <t>Firewall/Email</t>
        </is>
      </c>
      <c r="N1602" t="inlineStr">
        <is>
          <t>P4</t>
        </is>
      </c>
      <c r="O1602" t="inlineStr">
        <is>
          <t>Spamhaus - CIDR range</t>
        </is>
      </c>
      <c r="P1602" t="n">
        <v>0</v>
      </c>
      <c r="Q1602" t="n">
        <v>0</v>
      </c>
      <c r="R1602" t="inlineStr">
        <is>
          <t>T1566:Phishing | T1078:Valid Accounts</t>
        </is>
      </c>
      <c r="S1602" t="n">
        <v>1</v>
      </c>
      <c r="T1602" t="inlineStr">
        <is>
          <t>LOW (40%)</t>
        </is>
      </c>
      <c r="U1602" t="inlineStr">
        <is>
          <t>NONE</t>
        </is>
      </c>
      <c r="V1602" t="inlineStr">
        <is>
          <t>NONE</t>
        </is>
      </c>
      <c r="W1602" t="inlineStr">
        <is>
          <t>NONE</t>
        </is>
      </c>
      <c r="X1602" t="inlineStr">
        <is>
          <t>NONE</t>
        </is>
      </c>
      <c r="Y1602" t="n">
        <v>0</v>
      </c>
      <c r="Z1602" t="inlineStr"/>
      <c r="AA1602" t="inlineStr">
        <is>
          <t>https://www.spamhaus.org/drop/</t>
        </is>
      </c>
    </row>
    <row r="1603">
      <c r="A1603" t="inlineStr">
        <is>
          <t>FIREHOL_THREAT</t>
        </is>
      </c>
      <c r="B1603" t="inlineStr">
        <is>
          <t>5c1f1ad74e14</t>
        </is>
      </c>
      <c r="C1603" t="inlineStr">
        <is>
          <t>DROP List CIDR: 1.95.144.123 | FireHOL L2 threat IP/CIDR | ASN: FireHOL-L2</t>
        </is>
      </c>
      <c r="D1603" t="n">
        <v>6</v>
      </c>
      <c r="E1603" t="inlineStr">
        <is>
          <t>MEDIUM</t>
        </is>
      </c>
      <c r="F1603" t="n">
        <v>2</v>
      </c>
      <c r="G1603" t="n">
        <v>2</v>
      </c>
      <c r="H1603" t="inlineStr">
        <is>
          <t>MEDIUM</t>
        </is>
      </c>
      <c r="I1603" t="n">
        <v>10</v>
      </c>
      <c r="J1603" t="inlineStr">
        <is>
          <t>NO</t>
        </is>
      </c>
      <c r="K1603" t="inlineStr">
        <is>
          <t>2026-02-23 23:48</t>
        </is>
      </c>
      <c r="L1603" t="inlineStr">
        <is>
          <t>Block CIDR</t>
        </is>
      </c>
      <c r="M1603" t="inlineStr">
        <is>
          <t>Firewall/Email</t>
        </is>
      </c>
      <c r="N1603" t="inlineStr">
        <is>
          <t>P4</t>
        </is>
      </c>
      <c r="O1603" t="inlineStr">
        <is>
          <t>Spamhaus - CIDR range</t>
        </is>
      </c>
      <c r="P1603" t="n">
        <v>0</v>
      </c>
      <c r="Q1603" t="n">
        <v>0</v>
      </c>
      <c r="R1603" t="inlineStr">
        <is>
          <t>T1566:Phishing | T1078:Valid Accounts</t>
        </is>
      </c>
      <c r="S1603" t="n">
        <v>1</v>
      </c>
      <c r="T1603" t="inlineStr">
        <is>
          <t>LOW (40%)</t>
        </is>
      </c>
      <c r="U1603" t="inlineStr">
        <is>
          <t>NONE</t>
        </is>
      </c>
      <c r="V1603" t="inlineStr">
        <is>
          <t>NONE</t>
        </is>
      </c>
      <c r="W1603" t="inlineStr">
        <is>
          <t>NONE</t>
        </is>
      </c>
      <c r="X1603" t="inlineStr">
        <is>
          <t>NONE</t>
        </is>
      </c>
      <c r="Y1603" t="n">
        <v>0</v>
      </c>
      <c r="Z1603" t="inlineStr"/>
      <c r="AA1603" t="inlineStr">
        <is>
          <t>https://www.spamhaus.org/drop/</t>
        </is>
      </c>
    </row>
    <row r="1604">
      <c r="A1604" t="inlineStr">
        <is>
          <t>FIREHOL_THREAT</t>
        </is>
      </c>
      <c r="B1604" t="inlineStr">
        <is>
          <t>d048495079e9</t>
        </is>
      </c>
      <c r="C1604" t="inlineStr">
        <is>
          <t>DROP List CIDR: 1.165.130.37 | FireHOL L2 threat IP/CIDR | ASN: FireHOL-L2</t>
        </is>
      </c>
      <c r="D1604" t="n">
        <v>6</v>
      </c>
      <c r="E1604" t="inlineStr">
        <is>
          <t>MEDIUM</t>
        </is>
      </c>
      <c r="F1604" t="n">
        <v>2</v>
      </c>
      <c r="G1604" t="n">
        <v>2</v>
      </c>
      <c r="H1604" t="inlineStr">
        <is>
          <t>MEDIUM</t>
        </is>
      </c>
      <c r="I1604" t="n">
        <v>10</v>
      </c>
      <c r="J1604" t="inlineStr">
        <is>
          <t>NO</t>
        </is>
      </c>
      <c r="K1604" t="inlineStr">
        <is>
          <t>2026-02-23 23:48</t>
        </is>
      </c>
      <c r="L1604" t="inlineStr">
        <is>
          <t>Block CIDR</t>
        </is>
      </c>
      <c r="M1604" t="inlineStr">
        <is>
          <t>Firewall/Email</t>
        </is>
      </c>
      <c r="N1604" t="inlineStr">
        <is>
          <t>P4</t>
        </is>
      </c>
      <c r="O1604" t="inlineStr">
        <is>
          <t>Spamhaus - CIDR range</t>
        </is>
      </c>
      <c r="P1604" t="n">
        <v>0</v>
      </c>
      <c r="Q1604" t="n">
        <v>0</v>
      </c>
      <c r="R1604" t="inlineStr">
        <is>
          <t>T1566:Phishing | T1078:Valid Accounts</t>
        </is>
      </c>
      <c r="S1604" t="n">
        <v>1</v>
      </c>
      <c r="T1604" t="inlineStr">
        <is>
          <t>LOW (40%)</t>
        </is>
      </c>
      <c r="U1604" t="inlineStr">
        <is>
          <t>NONE</t>
        </is>
      </c>
      <c r="V1604" t="inlineStr">
        <is>
          <t>NONE</t>
        </is>
      </c>
      <c r="W1604" t="inlineStr">
        <is>
          <t>NONE</t>
        </is>
      </c>
      <c r="X1604" t="inlineStr">
        <is>
          <t>NONE</t>
        </is>
      </c>
      <c r="Y1604" t="n">
        <v>0</v>
      </c>
      <c r="Z1604" t="inlineStr"/>
      <c r="AA1604" t="inlineStr">
        <is>
          <t>https://www.spamhaus.org/drop/</t>
        </is>
      </c>
    </row>
    <row r="1605">
      <c r="A1605" t="inlineStr">
        <is>
          <t>FIREHOL_THREAT</t>
        </is>
      </c>
      <c r="B1605" t="inlineStr">
        <is>
          <t>2f0cae4d1445</t>
        </is>
      </c>
      <c r="C1605" t="inlineStr">
        <is>
          <t>DROP List CIDR: 1.165.130.253 | FireHOL L2 threat IP/CIDR | ASN: FireHOL-L2</t>
        </is>
      </c>
      <c r="D1605" t="n">
        <v>6</v>
      </c>
      <c r="E1605" t="inlineStr">
        <is>
          <t>MEDIUM</t>
        </is>
      </c>
      <c r="F1605" t="n">
        <v>2</v>
      </c>
      <c r="G1605" t="n">
        <v>2</v>
      </c>
      <c r="H1605" t="inlineStr">
        <is>
          <t>MEDIUM</t>
        </is>
      </c>
      <c r="I1605" t="n">
        <v>10</v>
      </c>
      <c r="J1605" t="inlineStr">
        <is>
          <t>NO</t>
        </is>
      </c>
      <c r="K1605" t="inlineStr">
        <is>
          <t>2026-02-23 23:48</t>
        </is>
      </c>
      <c r="L1605" t="inlineStr">
        <is>
          <t>Block CIDR</t>
        </is>
      </c>
      <c r="M1605" t="inlineStr">
        <is>
          <t>Firewall/Email</t>
        </is>
      </c>
      <c r="N1605" t="inlineStr">
        <is>
          <t>P4</t>
        </is>
      </c>
      <c r="O1605" t="inlineStr">
        <is>
          <t>Spamhaus - CIDR range</t>
        </is>
      </c>
      <c r="P1605" t="n">
        <v>0</v>
      </c>
      <c r="Q1605" t="n">
        <v>0</v>
      </c>
      <c r="R1605" t="inlineStr">
        <is>
          <t>T1566:Phishing | T1078:Valid Accounts</t>
        </is>
      </c>
      <c r="S1605" t="n">
        <v>1</v>
      </c>
      <c r="T1605" t="inlineStr">
        <is>
          <t>LOW (40%)</t>
        </is>
      </c>
      <c r="U1605" t="inlineStr">
        <is>
          <t>NONE</t>
        </is>
      </c>
      <c r="V1605" t="inlineStr">
        <is>
          <t>NONE</t>
        </is>
      </c>
      <c r="W1605" t="inlineStr">
        <is>
          <t>NONE</t>
        </is>
      </c>
      <c r="X1605" t="inlineStr">
        <is>
          <t>NONE</t>
        </is>
      </c>
      <c r="Y1605" t="n">
        <v>0</v>
      </c>
      <c r="Z1605" t="inlineStr"/>
      <c r="AA1605" t="inlineStr">
        <is>
          <t>https://www.spamhaus.org/drop/</t>
        </is>
      </c>
    </row>
    <row r="1606">
      <c r="A1606" t="inlineStr">
        <is>
          <t>FIREHOL_THREAT</t>
        </is>
      </c>
      <c r="B1606" t="inlineStr">
        <is>
          <t>e0d3994d4cc5</t>
        </is>
      </c>
      <c r="C1606" t="inlineStr">
        <is>
          <t>DROP List CIDR: 1.180.62.41 | FireHOL L2 threat IP/CIDR | ASN: FireHOL-L2</t>
        </is>
      </c>
      <c r="D1606" t="n">
        <v>6</v>
      </c>
      <c r="E1606" t="inlineStr">
        <is>
          <t>MEDIUM</t>
        </is>
      </c>
      <c r="F1606" t="n">
        <v>2</v>
      </c>
      <c r="G1606" t="n">
        <v>2</v>
      </c>
      <c r="H1606" t="inlineStr">
        <is>
          <t>MEDIUM</t>
        </is>
      </c>
      <c r="I1606" t="n">
        <v>10</v>
      </c>
      <c r="J1606" t="inlineStr">
        <is>
          <t>NO</t>
        </is>
      </c>
      <c r="K1606" t="inlineStr">
        <is>
          <t>2026-02-23 23:48</t>
        </is>
      </c>
      <c r="L1606" t="inlineStr">
        <is>
          <t>Block CIDR</t>
        </is>
      </c>
      <c r="M1606" t="inlineStr">
        <is>
          <t>Firewall/Email</t>
        </is>
      </c>
      <c r="N1606" t="inlineStr">
        <is>
          <t>P4</t>
        </is>
      </c>
      <c r="O1606" t="inlineStr">
        <is>
          <t>Spamhaus - CIDR range</t>
        </is>
      </c>
      <c r="P1606" t="n">
        <v>0</v>
      </c>
      <c r="Q1606" t="n">
        <v>0</v>
      </c>
      <c r="R1606" t="inlineStr">
        <is>
          <t>T1566:Phishing | T1078:Valid Accounts</t>
        </is>
      </c>
      <c r="S1606" t="n">
        <v>1</v>
      </c>
      <c r="T1606" t="inlineStr">
        <is>
          <t>LOW (40%)</t>
        </is>
      </c>
      <c r="U1606" t="inlineStr">
        <is>
          <t>NONE</t>
        </is>
      </c>
      <c r="V1606" t="inlineStr">
        <is>
          <t>NONE</t>
        </is>
      </c>
      <c r="W1606" t="inlineStr">
        <is>
          <t>NONE</t>
        </is>
      </c>
      <c r="X1606" t="inlineStr">
        <is>
          <t>NONE</t>
        </is>
      </c>
      <c r="Y1606" t="n">
        <v>0</v>
      </c>
      <c r="Z1606" t="inlineStr"/>
      <c r="AA1606" t="inlineStr">
        <is>
          <t>https://www.spamhaus.org/drop/</t>
        </is>
      </c>
    </row>
    <row r="1607">
      <c r="A1607" t="inlineStr">
        <is>
          <t>FIREHOL_THREAT</t>
        </is>
      </c>
      <c r="B1607" t="inlineStr">
        <is>
          <t>9fdfa884d26a</t>
        </is>
      </c>
      <c r="C1607" t="inlineStr">
        <is>
          <t>DROP List CIDR: 1.193.163.2 | FireHOL L2 threat IP/CIDR | ASN: FireHOL-L2</t>
        </is>
      </c>
      <c r="D1607" t="n">
        <v>6</v>
      </c>
      <c r="E1607" t="inlineStr">
        <is>
          <t>MEDIUM</t>
        </is>
      </c>
      <c r="F1607" t="n">
        <v>2</v>
      </c>
      <c r="G1607" t="n">
        <v>2</v>
      </c>
      <c r="H1607" t="inlineStr">
        <is>
          <t>MEDIUM</t>
        </is>
      </c>
      <c r="I1607" t="n">
        <v>10</v>
      </c>
      <c r="J1607" t="inlineStr">
        <is>
          <t>NO</t>
        </is>
      </c>
      <c r="K1607" t="inlineStr">
        <is>
          <t>2026-02-23 23:48</t>
        </is>
      </c>
      <c r="L1607" t="inlineStr">
        <is>
          <t>Block CIDR</t>
        </is>
      </c>
      <c r="M1607" t="inlineStr">
        <is>
          <t>Firewall/Email</t>
        </is>
      </c>
      <c r="N1607" t="inlineStr">
        <is>
          <t>P4</t>
        </is>
      </c>
      <c r="O1607" t="inlineStr">
        <is>
          <t>Spamhaus - CIDR range</t>
        </is>
      </c>
      <c r="P1607" t="n">
        <v>0</v>
      </c>
      <c r="Q1607" t="n">
        <v>0</v>
      </c>
      <c r="R1607" t="inlineStr">
        <is>
          <t>T1566:Phishing | T1078:Valid Accounts</t>
        </is>
      </c>
      <c r="S1607" t="n">
        <v>1</v>
      </c>
      <c r="T1607" t="inlineStr">
        <is>
          <t>LOW (40%)</t>
        </is>
      </c>
      <c r="U1607" t="inlineStr">
        <is>
          <t>NONE</t>
        </is>
      </c>
      <c r="V1607" t="inlineStr">
        <is>
          <t>NONE</t>
        </is>
      </c>
      <c r="W1607" t="inlineStr">
        <is>
          <t>NONE</t>
        </is>
      </c>
      <c r="X1607" t="inlineStr">
        <is>
          <t>NONE</t>
        </is>
      </c>
      <c r="Y1607" t="n">
        <v>0</v>
      </c>
      <c r="Z1607" t="inlineStr"/>
      <c r="AA1607" t="inlineStr">
        <is>
          <t>https://www.spamhaus.org/drop/</t>
        </is>
      </c>
    </row>
    <row r="1608">
      <c r="A1608" t="inlineStr">
        <is>
          <t>FIREHOL_THREAT</t>
        </is>
      </c>
      <c r="B1608" t="inlineStr">
        <is>
          <t>13ca9928126d</t>
        </is>
      </c>
      <c r="C1608" t="inlineStr">
        <is>
          <t>DROP List CIDR: 1.194.219.159 | FireHOL L2 threat IP/CIDR | ASN: FireHOL-L2</t>
        </is>
      </c>
      <c r="D1608" t="n">
        <v>6</v>
      </c>
      <c r="E1608" t="inlineStr">
        <is>
          <t>MEDIUM</t>
        </is>
      </c>
      <c r="F1608" t="n">
        <v>2</v>
      </c>
      <c r="G1608" t="n">
        <v>2</v>
      </c>
      <c r="H1608" t="inlineStr">
        <is>
          <t>MEDIUM</t>
        </is>
      </c>
      <c r="I1608" t="n">
        <v>10</v>
      </c>
      <c r="J1608" t="inlineStr">
        <is>
          <t>NO</t>
        </is>
      </c>
      <c r="K1608" t="inlineStr">
        <is>
          <t>2026-02-23 23:48</t>
        </is>
      </c>
      <c r="L1608" t="inlineStr">
        <is>
          <t>Block CIDR</t>
        </is>
      </c>
      <c r="M1608" t="inlineStr">
        <is>
          <t>Firewall/Email</t>
        </is>
      </c>
      <c r="N1608" t="inlineStr">
        <is>
          <t>P4</t>
        </is>
      </c>
      <c r="O1608" t="inlineStr">
        <is>
          <t>Spamhaus - CIDR range</t>
        </is>
      </c>
      <c r="P1608" t="n">
        <v>0</v>
      </c>
      <c r="Q1608" t="n">
        <v>0</v>
      </c>
      <c r="R1608" t="inlineStr">
        <is>
          <t>T1566:Phishing | T1078:Valid Accounts</t>
        </is>
      </c>
      <c r="S1608" t="n">
        <v>1</v>
      </c>
      <c r="T1608" t="inlineStr">
        <is>
          <t>LOW (40%)</t>
        </is>
      </c>
      <c r="U1608" t="inlineStr">
        <is>
          <t>NONE</t>
        </is>
      </c>
      <c r="V1608" t="inlineStr">
        <is>
          <t>NONE</t>
        </is>
      </c>
      <c r="W1608" t="inlineStr">
        <is>
          <t>NONE</t>
        </is>
      </c>
      <c r="X1608" t="inlineStr">
        <is>
          <t>NONE</t>
        </is>
      </c>
      <c r="Y1608" t="n">
        <v>0</v>
      </c>
      <c r="Z1608" t="inlineStr"/>
      <c r="AA1608" t="inlineStr">
        <is>
          <t>https://www.spamhaus.org/drop/</t>
        </is>
      </c>
    </row>
    <row r="1609">
      <c r="A1609" t="inlineStr">
        <is>
          <t>FIREHOL_THREAT</t>
        </is>
      </c>
      <c r="B1609" t="inlineStr">
        <is>
          <t>a31db7927013</t>
        </is>
      </c>
      <c r="C1609" t="inlineStr">
        <is>
          <t>DROP List CIDR: 1.201.176.240 | FireHOL L2 threat IP/CIDR | ASN: FireHOL-L2</t>
        </is>
      </c>
      <c r="D1609" t="n">
        <v>6</v>
      </c>
      <c r="E1609" t="inlineStr">
        <is>
          <t>MEDIUM</t>
        </is>
      </c>
      <c r="F1609" t="n">
        <v>2</v>
      </c>
      <c r="G1609" t="n">
        <v>2</v>
      </c>
      <c r="H1609" t="inlineStr">
        <is>
          <t>MEDIUM</t>
        </is>
      </c>
      <c r="I1609" t="n">
        <v>10</v>
      </c>
      <c r="J1609" t="inlineStr">
        <is>
          <t>NO</t>
        </is>
      </c>
      <c r="K1609" t="inlineStr">
        <is>
          <t>2026-02-23 23:48</t>
        </is>
      </c>
      <c r="L1609" t="inlineStr">
        <is>
          <t>Block CIDR</t>
        </is>
      </c>
      <c r="M1609" t="inlineStr">
        <is>
          <t>Firewall/Email</t>
        </is>
      </c>
      <c r="N1609" t="inlineStr">
        <is>
          <t>P4</t>
        </is>
      </c>
      <c r="O1609" t="inlineStr">
        <is>
          <t>Spamhaus - CIDR range</t>
        </is>
      </c>
      <c r="P1609" t="n">
        <v>0</v>
      </c>
      <c r="Q1609" t="n">
        <v>0</v>
      </c>
      <c r="R1609" t="inlineStr">
        <is>
          <t>T1566:Phishing | T1078:Valid Accounts</t>
        </is>
      </c>
      <c r="S1609" t="n">
        <v>1</v>
      </c>
      <c r="T1609" t="inlineStr">
        <is>
          <t>LOW (40%)</t>
        </is>
      </c>
      <c r="U1609" t="inlineStr">
        <is>
          <t>NONE</t>
        </is>
      </c>
      <c r="V1609" t="inlineStr">
        <is>
          <t>NONE</t>
        </is>
      </c>
      <c r="W1609" t="inlineStr">
        <is>
          <t>NONE</t>
        </is>
      </c>
      <c r="X1609" t="inlineStr">
        <is>
          <t>NONE</t>
        </is>
      </c>
      <c r="Y1609" t="n">
        <v>0</v>
      </c>
      <c r="Z1609" t="inlineStr"/>
      <c r="AA1609" t="inlineStr">
        <is>
          <t>https://www.spamhaus.org/drop/</t>
        </is>
      </c>
    </row>
    <row r="1610">
      <c r="A1610" t="inlineStr">
        <is>
          <t>FIREHOL_THREAT</t>
        </is>
      </c>
      <c r="B1610" t="inlineStr">
        <is>
          <t>a166dd92f267</t>
        </is>
      </c>
      <c r="C1610" t="inlineStr">
        <is>
          <t>DROP List CIDR: 1.204.58.120 | FireHOL L2 threat IP/CIDR | ASN: FireHOL-L2</t>
        </is>
      </c>
      <c r="D1610" t="n">
        <v>6</v>
      </c>
      <c r="E1610" t="inlineStr">
        <is>
          <t>MEDIUM</t>
        </is>
      </c>
      <c r="F1610" t="n">
        <v>2</v>
      </c>
      <c r="G1610" t="n">
        <v>2</v>
      </c>
      <c r="H1610" t="inlineStr">
        <is>
          <t>MEDIUM</t>
        </is>
      </c>
      <c r="I1610" t="n">
        <v>10</v>
      </c>
      <c r="J1610" t="inlineStr">
        <is>
          <t>NO</t>
        </is>
      </c>
      <c r="K1610" t="inlineStr">
        <is>
          <t>2026-02-23 23:48</t>
        </is>
      </c>
      <c r="L1610" t="inlineStr">
        <is>
          <t>Block CIDR</t>
        </is>
      </c>
      <c r="M1610" t="inlineStr">
        <is>
          <t>Firewall/Email</t>
        </is>
      </c>
      <c r="N1610" t="inlineStr">
        <is>
          <t>P4</t>
        </is>
      </c>
      <c r="O1610" t="inlineStr">
        <is>
          <t>Spamhaus - CIDR range</t>
        </is>
      </c>
      <c r="P1610" t="n">
        <v>0</v>
      </c>
      <c r="Q1610" t="n">
        <v>0</v>
      </c>
      <c r="R1610" t="inlineStr">
        <is>
          <t>T1566:Phishing | T1078:Valid Accounts</t>
        </is>
      </c>
      <c r="S1610" t="n">
        <v>1</v>
      </c>
      <c r="T1610" t="inlineStr">
        <is>
          <t>LOW (40%)</t>
        </is>
      </c>
      <c r="U1610" t="inlineStr">
        <is>
          <t>NONE</t>
        </is>
      </c>
      <c r="V1610" t="inlineStr">
        <is>
          <t>NONE</t>
        </is>
      </c>
      <c r="W1610" t="inlineStr">
        <is>
          <t>NONE</t>
        </is>
      </c>
      <c r="X1610" t="inlineStr">
        <is>
          <t>NONE</t>
        </is>
      </c>
      <c r="Y1610" t="n">
        <v>0</v>
      </c>
      <c r="Z1610" t="inlineStr"/>
      <c r="AA1610" t="inlineStr">
        <is>
          <t>https://www.spamhaus.org/drop/</t>
        </is>
      </c>
    </row>
    <row r="1611">
      <c r="A1611" t="inlineStr">
        <is>
          <t>UBUNTU_SEC</t>
        </is>
      </c>
      <c r="B1611" t="inlineStr">
        <is>
          <t>USN-8057-1</t>
        </is>
      </c>
      <c r="C1611" t="inlineStr">
        <is>
          <t>USN-8057-1: GIMP vulnerabilities | Hanno Böck discovered that GIMP allocated FLI images using only the information present in the file header, which allowed for a maliciously- crafted file to cause out-of-bounds writes. An attacker cou</t>
        </is>
      </c>
      <c r="D1611" t="n">
        <v>6.5</v>
      </c>
      <c r="E1611" t="inlineStr">
        <is>
          <t>MEDIUM</t>
        </is>
      </c>
      <c r="F1611" t="n">
        <v>2</v>
      </c>
      <c r="G1611" t="n">
        <v>2</v>
      </c>
      <c r="H1611" t="inlineStr">
        <is>
          <t>MEDIUM</t>
        </is>
      </c>
      <c r="I1611" t="n">
        <v>10.5</v>
      </c>
      <c r="J1611" t="inlineStr">
        <is>
          <t>NO</t>
        </is>
      </c>
      <c r="K1611" t="inlineStr">
        <is>
          <t>2026-02-23</t>
        </is>
      </c>
      <c r="L1611" t="inlineStr">
        <is>
          <t>YES</t>
        </is>
      </c>
      <c r="M1611" t="inlineStr">
        <is>
          <t>Ubuntu Linux</t>
        </is>
      </c>
      <c r="N1611" t="inlineStr">
        <is>
          <t>P4</t>
        </is>
      </c>
      <c r="O1611" t="inlineStr">
        <is>
          <t>Ubuntu advisory - no IP context</t>
        </is>
      </c>
      <c r="P1611" t="n">
        <v>0</v>
      </c>
      <c r="Q1611" t="n">
        <v>0</v>
      </c>
      <c r="R1611" t="inlineStr">
        <is>
          <t>T1068:Exploitation for Privilege Escalation</t>
        </is>
      </c>
      <c r="S1611" t="n">
        <v>1</v>
      </c>
      <c r="T1611" t="inlineStr">
        <is>
          <t>LOW (40%)</t>
        </is>
      </c>
      <c r="U1611" t="inlineStr">
        <is>
          <t>CHECK_USN</t>
        </is>
      </c>
      <c r="V1611" t="inlineStr">
        <is>
          <t>YES</t>
        </is>
      </c>
      <c r="W1611" t="inlineStr">
        <is>
          <t>https://ubuntu.com/security/notices/USN-8057-1</t>
        </is>
      </c>
      <c r="X1611" t="inlineStr">
        <is>
          <t>NONE</t>
        </is>
      </c>
      <c r="Y1611" t="n">
        <v>0</v>
      </c>
      <c r="Z1611" t="inlineStr"/>
      <c r="AA1611" t="inlineStr">
        <is>
          <t>https://ubuntu.com/security/notices/USN-8057-1</t>
        </is>
      </c>
    </row>
    <row r="1612">
      <c r="A1612" t="inlineStr">
        <is>
          <t>UBUNTU_SEC</t>
        </is>
      </c>
      <c r="B1612" t="inlineStr">
        <is>
          <t>USN-8051-2</t>
        </is>
      </c>
      <c r="C1612" t="inlineStr">
        <is>
          <t>USN-8051-2: libssh vulnerabilities | USN-8051-1 fixed vulnerabilities in libssh. This update provides the corresponding updates for Ubuntu 16.04 LTS, Ubuntu 18.04 LTS, and Ubuntu 20.04 LTS. Original advisory details: It was discovered th</t>
        </is>
      </c>
      <c r="D1612" t="n">
        <v>6.5</v>
      </c>
      <c r="E1612" t="inlineStr">
        <is>
          <t>MEDIUM</t>
        </is>
      </c>
      <c r="F1612" t="n">
        <v>2</v>
      </c>
      <c r="G1612" t="n">
        <v>2</v>
      </c>
      <c r="H1612" t="inlineStr">
        <is>
          <t>MEDIUM</t>
        </is>
      </c>
      <c r="I1612" t="n">
        <v>10.5</v>
      </c>
      <c r="J1612" t="inlineStr">
        <is>
          <t>NO</t>
        </is>
      </c>
      <c r="K1612" t="inlineStr">
        <is>
          <t>2026-02-23</t>
        </is>
      </c>
      <c r="L1612" t="inlineStr">
        <is>
          <t>YES</t>
        </is>
      </c>
      <c r="M1612" t="inlineStr">
        <is>
          <t>Ubuntu Linux</t>
        </is>
      </c>
      <c r="N1612" t="inlineStr">
        <is>
          <t>P4</t>
        </is>
      </c>
      <c r="O1612" t="inlineStr">
        <is>
          <t>Ubuntu advisory - no IP context</t>
        </is>
      </c>
      <c r="P1612" t="n">
        <v>0</v>
      </c>
      <c r="Q1612" t="n">
        <v>0</v>
      </c>
      <c r="R1612" t="inlineStr">
        <is>
          <t>T1068:Exploitation for Privilege Escalation</t>
        </is>
      </c>
      <c r="S1612" t="n">
        <v>1</v>
      </c>
      <c r="T1612" t="inlineStr">
        <is>
          <t>LOW (40%)</t>
        </is>
      </c>
      <c r="U1612" t="inlineStr">
        <is>
          <t>CHECK_USN</t>
        </is>
      </c>
      <c r="V1612" t="inlineStr">
        <is>
          <t>YES</t>
        </is>
      </c>
      <c r="W1612" t="inlineStr">
        <is>
          <t>https://ubuntu.com/security/notices/USN-8051-2</t>
        </is>
      </c>
      <c r="X1612" t="inlineStr">
        <is>
          <t>NONE</t>
        </is>
      </c>
      <c r="Y1612" t="n">
        <v>0</v>
      </c>
      <c r="Z1612" t="inlineStr"/>
      <c r="AA1612" t="inlineStr">
        <is>
          <t>https://ubuntu.com/security/notices/USN-8051-2</t>
        </is>
      </c>
    </row>
    <row r="1613">
      <c r="A1613" t="inlineStr">
        <is>
          <t>UBUNTU_SEC</t>
        </is>
      </c>
      <c r="B1613" t="inlineStr">
        <is>
          <t>USN-8056-1</t>
        </is>
      </c>
      <c r="C1613" t="inlineStr">
        <is>
          <t>USN-8056-1: U-Boot vulnerabilities | Simon Diepold discovered that U-Boot incorrectly handled certain DHCP responses. An attacker on the local network could possibly use this issue to obtain sensitive memory contents. (CVE-2024-42040) It</t>
        </is>
      </c>
      <c r="D1613" t="n">
        <v>6.5</v>
      </c>
      <c r="E1613" t="inlineStr">
        <is>
          <t>MEDIUM</t>
        </is>
      </c>
      <c r="F1613" t="n">
        <v>2</v>
      </c>
      <c r="G1613" t="n">
        <v>2</v>
      </c>
      <c r="H1613" t="inlineStr">
        <is>
          <t>MEDIUM</t>
        </is>
      </c>
      <c r="I1613" t="n">
        <v>10.5</v>
      </c>
      <c r="J1613" t="inlineStr">
        <is>
          <t>NO</t>
        </is>
      </c>
      <c r="K1613" t="inlineStr">
        <is>
          <t>2026-02-23</t>
        </is>
      </c>
      <c r="L1613" t="inlineStr">
        <is>
          <t>YES</t>
        </is>
      </c>
      <c r="M1613" t="inlineStr">
        <is>
          <t>Ubuntu Linux</t>
        </is>
      </c>
      <c r="N1613" t="inlineStr">
        <is>
          <t>P4</t>
        </is>
      </c>
      <c r="O1613" t="inlineStr">
        <is>
          <t>Ubuntu advisory - no IP context</t>
        </is>
      </c>
      <c r="P1613" t="n">
        <v>0</v>
      </c>
      <c r="Q1613" t="n">
        <v>0</v>
      </c>
      <c r="R1613" t="inlineStr">
        <is>
          <t>T1068:Exploitation for Privilege Escalation</t>
        </is>
      </c>
      <c r="S1613" t="n">
        <v>1</v>
      </c>
      <c r="T1613" t="inlineStr">
        <is>
          <t>LOW (40%)</t>
        </is>
      </c>
      <c r="U1613" t="inlineStr">
        <is>
          <t>CHECK_USN</t>
        </is>
      </c>
      <c r="V1613" t="inlineStr">
        <is>
          <t>YES</t>
        </is>
      </c>
      <c r="W1613" t="inlineStr">
        <is>
          <t>https://ubuntu.com/security/notices/USN-8056-1</t>
        </is>
      </c>
      <c r="X1613" t="inlineStr">
        <is>
          <t>NONE</t>
        </is>
      </c>
      <c r="Y1613" t="n">
        <v>0</v>
      </c>
      <c r="Z1613" t="inlineStr"/>
      <c r="AA1613" t="inlineStr">
        <is>
          <t>https://ubuntu.com/security/notices/USN-8056-1</t>
        </is>
      </c>
    </row>
    <row r="1614">
      <c r="A1614" t="inlineStr">
        <is>
          <t>UBUNTU_SEC</t>
        </is>
      </c>
      <c r="B1614" t="inlineStr">
        <is>
          <t>USN-8055-1</t>
        </is>
      </c>
      <c r="C1614" t="inlineStr">
        <is>
          <t>USN-8055-1: Evolution Data Server vulnerability | It was discovered that Evolution Data Server incorrectly handled removing local cache files. An attacker could possibly use this issue to cause Evolution Data Server to remove arbitrary files.</t>
        </is>
      </c>
      <c r="D1614" t="n">
        <v>6.5</v>
      </c>
      <c r="E1614" t="inlineStr">
        <is>
          <t>MEDIUM</t>
        </is>
      </c>
      <c r="F1614" t="n">
        <v>2</v>
      </c>
      <c r="G1614" t="n">
        <v>2</v>
      </c>
      <c r="H1614" t="inlineStr">
        <is>
          <t>MEDIUM</t>
        </is>
      </c>
      <c r="I1614" t="n">
        <v>10.5</v>
      </c>
      <c r="J1614" t="inlineStr">
        <is>
          <t>NO</t>
        </is>
      </c>
      <c r="K1614" t="inlineStr">
        <is>
          <t>2026-02-23</t>
        </is>
      </c>
      <c r="L1614" t="inlineStr">
        <is>
          <t>YES</t>
        </is>
      </c>
      <c r="M1614" t="inlineStr">
        <is>
          <t>Ubuntu Linux</t>
        </is>
      </c>
      <c r="N1614" t="inlineStr">
        <is>
          <t>P4</t>
        </is>
      </c>
      <c r="O1614" t="inlineStr">
        <is>
          <t>Ubuntu advisory - no IP context</t>
        </is>
      </c>
      <c r="P1614" t="n">
        <v>0</v>
      </c>
      <c r="Q1614" t="n">
        <v>0</v>
      </c>
      <c r="R1614" t="inlineStr">
        <is>
          <t>T1068:Exploitation for Privilege Escalation</t>
        </is>
      </c>
      <c r="S1614" t="n">
        <v>1</v>
      </c>
      <c r="T1614" t="inlineStr">
        <is>
          <t>LOW (40%)</t>
        </is>
      </c>
      <c r="U1614" t="inlineStr">
        <is>
          <t>CHECK_USN</t>
        </is>
      </c>
      <c r="V1614" t="inlineStr">
        <is>
          <t>YES</t>
        </is>
      </c>
      <c r="W1614" t="inlineStr">
        <is>
          <t>https://ubuntu.com/security/notices/USN-8055-1</t>
        </is>
      </c>
      <c r="X1614" t="inlineStr">
        <is>
          <t>NONE</t>
        </is>
      </c>
      <c r="Y1614" t="n">
        <v>0</v>
      </c>
      <c r="Z1614" t="inlineStr"/>
      <c r="AA1614" t="inlineStr">
        <is>
          <t>https://ubuntu.com/security/notices/USN-8055-1</t>
        </is>
      </c>
    </row>
    <row r="1615">
      <c r="A1615" t="inlineStr">
        <is>
          <t>UBUNTU_SEC</t>
        </is>
      </c>
      <c r="B1615" t="inlineStr">
        <is>
          <t>USN-8054-1</t>
        </is>
      </c>
      <c r="C1615" t="inlineStr">
        <is>
          <t xml:space="preserve">USN-8054-1: DjVuLibre vulnerabilities | It was discovered that DjVuLibre could be forced to execute a division by zero in certain instances. A remote attacker could possibly use this issue to cause applications to stop responding or crash, </t>
        </is>
      </c>
      <c r="D1615" t="n">
        <v>6.5</v>
      </c>
      <c r="E1615" t="inlineStr">
        <is>
          <t>MEDIUM</t>
        </is>
      </c>
      <c r="F1615" t="n">
        <v>2</v>
      </c>
      <c r="G1615" t="n">
        <v>2</v>
      </c>
      <c r="H1615" t="inlineStr">
        <is>
          <t>MEDIUM</t>
        </is>
      </c>
      <c r="I1615" t="n">
        <v>10.5</v>
      </c>
      <c r="J1615" t="inlineStr">
        <is>
          <t>NO</t>
        </is>
      </c>
      <c r="K1615" t="inlineStr">
        <is>
          <t>2026-02-23</t>
        </is>
      </c>
      <c r="L1615" t="inlineStr">
        <is>
          <t>YES</t>
        </is>
      </c>
      <c r="M1615" t="inlineStr">
        <is>
          <t>Ubuntu Linux</t>
        </is>
      </c>
      <c r="N1615" t="inlineStr">
        <is>
          <t>P4</t>
        </is>
      </c>
      <c r="O1615" t="inlineStr">
        <is>
          <t>Ubuntu advisory - no IP context</t>
        </is>
      </c>
      <c r="P1615" t="n">
        <v>0</v>
      </c>
      <c r="Q1615" t="n">
        <v>0</v>
      </c>
      <c r="R1615" t="inlineStr">
        <is>
          <t>T1068:Exploitation for Privilege Escalation</t>
        </is>
      </c>
      <c r="S1615" t="n">
        <v>1</v>
      </c>
      <c r="T1615" t="inlineStr">
        <is>
          <t>LOW (40%)</t>
        </is>
      </c>
      <c r="U1615" t="inlineStr">
        <is>
          <t>CHECK_USN</t>
        </is>
      </c>
      <c r="V1615" t="inlineStr">
        <is>
          <t>YES</t>
        </is>
      </c>
      <c r="W1615" t="inlineStr">
        <is>
          <t>https://ubuntu.com/security/notices/USN-8054-1</t>
        </is>
      </c>
      <c r="X1615" t="inlineStr">
        <is>
          <t>NONE</t>
        </is>
      </c>
      <c r="Y1615" t="n">
        <v>0</v>
      </c>
      <c r="Z1615" t="inlineStr"/>
      <c r="AA1615" t="inlineStr">
        <is>
          <t>https://ubuntu.com/security/notices/USN-8054-1</t>
        </is>
      </c>
    </row>
    <row r="1616">
      <c r="A1616" t="inlineStr">
        <is>
          <t>UBUNTU_SEC</t>
        </is>
      </c>
      <c r="B1616" t="inlineStr">
        <is>
          <t>USN-8015-5</t>
        </is>
      </c>
      <c r="C1616" t="inlineStr">
        <is>
          <t>USN-8015-5: Linux kernel vulnerabilities | Several security issues were discovered in the Linux kernel. An attacker could possibly use these to compromise the system. This update corrects flaws in the following subsystems: - Cryptographic API;</t>
        </is>
      </c>
      <c r="D1616" t="n">
        <v>6.5</v>
      </c>
      <c r="E1616" t="inlineStr">
        <is>
          <t>MEDIUM</t>
        </is>
      </c>
      <c r="F1616" t="n">
        <v>2</v>
      </c>
      <c r="G1616" t="n">
        <v>2</v>
      </c>
      <c r="H1616" t="inlineStr">
        <is>
          <t>MEDIUM</t>
        </is>
      </c>
      <c r="I1616" t="n">
        <v>10.5</v>
      </c>
      <c r="J1616" t="inlineStr">
        <is>
          <t>NO</t>
        </is>
      </c>
      <c r="K1616" t="inlineStr">
        <is>
          <t>2026-02-20</t>
        </is>
      </c>
      <c r="L1616" t="inlineStr">
        <is>
          <t>YES</t>
        </is>
      </c>
      <c r="M1616" t="inlineStr">
        <is>
          <t>Ubuntu Linux</t>
        </is>
      </c>
      <c r="N1616" t="inlineStr">
        <is>
          <t>P4</t>
        </is>
      </c>
      <c r="O1616" t="inlineStr">
        <is>
          <t>Ubuntu advisory - no IP context</t>
        </is>
      </c>
      <c r="P1616" t="n">
        <v>0</v>
      </c>
      <c r="Q1616" t="n">
        <v>0</v>
      </c>
      <c r="R1616" t="inlineStr">
        <is>
          <t>T1068:Exploitation for Privilege Escalation</t>
        </is>
      </c>
      <c r="S1616" t="n">
        <v>1</v>
      </c>
      <c r="T1616" t="inlineStr">
        <is>
          <t>LOW (40%)</t>
        </is>
      </c>
      <c r="U1616" t="inlineStr">
        <is>
          <t>CHECK_USN</t>
        </is>
      </c>
      <c r="V1616" t="inlineStr">
        <is>
          <t>YES</t>
        </is>
      </c>
      <c r="W1616" t="inlineStr">
        <is>
          <t>https://ubuntu.com/security/notices/USN-8015-5</t>
        </is>
      </c>
      <c r="X1616" t="inlineStr">
        <is>
          <t>NONE</t>
        </is>
      </c>
      <c r="Y1616" t="n">
        <v>0</v>
      </c>
      <c r="Z1616" t="inlineStr"/>
      <c r="AA1616" t="inlineStr">
        <is>
          <t>https://ubuntu.com/security/notices/USN-8015-5</t>
        </is>
      </c>
    </row>
    <row r="1617">
      <c r="A1617" t="inlineStr">
        <is>
          <t>UBUNTU_SEC</t>
        </is>
      </c>
      <c r="B1617" t="inlineStr">
        <is>
          <t>USN-7990-5</t>
        </is>
      </c>
      <c r="C1617" t="inlineStr">
        <is>
          <t>USN-7990-5: Linux kernel (Azure) vulnerabilities | Several security issues were discovered in the Linux kernel. An attacker could possibly use these to compromise the system. This update corrects flaws in the following subsystems: - Cryptographic API;</t>
        </is>
      </c>
      <c r="D1617" t="n">
        <v>6.5</v>
      </c>
      <c r="E1617" t="inlineStr">
        <is>
          <t>MEDIUM</t>
        </is>
      </c>
      <c r="F1617" t="n">
        <v>2</v>
      </c>
      <c r="G1617" t="n">
        <v>2</v>
      </c>
      <c r="H1617" t="inlineStr">
        <is>
          <t>MEDIUM</t>
        </is>
      </c>
      <c r="I1617" t="n">
        <v>10.5</v>
      </c>
      <c r="J1617" t="inlineStr">
        <is>
          <t>NO</t>
        </is>
      </c>
      <c r="K1617" t="inlineStr">
        <is>
          <t>2026-02-20</t>
        </is>
      </c>
      <c r="L1617" t="inlineStr">
        <is>
          <t>YES</t>
        </is>
      </c>
      <c r="M1617" t="inlineStr">
        <is>
          <t>Ubuntu Linux</t>
        </is>
      </c>
      <c r="N1617" t="inlineStr">
        <is>
          <t>P4</t>
        </is>
      </c>
      <c r="O1617" t="inlineStr">
        <is>
          <t>Ubuntu advisory - no IP context</t>
        </is>
      </c>
      <c r="P1617" t="n">
        <v>0</v>
      </c>
      <c r="Q1617" t="n">
        <v>0</v>
      </c>
      <c r="R1617" t="inlineStr">
        <is>
          <t>T1068:Exploitation for Privilege Escalation</t>
        </is>
      </c>
      <c r="S1617" t="n">
        <v>1</v>
      </c>
      <c r="T1617" t="inlineStr">
        <is>
          <t>LOW (40%)</t>
        </is>
      </c>
      <c r="U1617" t="inlineStr">
        <is>
          <t>CHECK_USN</t>
        </is>
      </c>
      <c r="V1617" t="inlineStr">
        <is>
          <t>YES</t>
        </is>
      </c>
      <c r="W1617" t="inlineStr">
        <is>
          <t>https://ubuntu.com/security/notices/USN-7990-5</t>
        </is>
      </c>
      <c r="X1617" t="inlineStr">
        <is>
          <t>NONE</t>
        </is>
      </c>
      <c r="Y1617" t="n">
        <v>0</v>
      </c>
      <c r="Z1617" t="inlineStr"/>
      <c r="AA1617" t="inlineStr">
        <is>
          <t>https://ubuntu.com/security/notices/USN-7990-5</t>
        </is>
      </c>
    </row>
    <row r="1618">
      <c r="A1618" t="inlineStr">
        <is>
          <t>UBUNTU_SEC</t>
        </is>
      </c>
      <c r="B1618" t="inlineStr">
        <is>
          <t>USN-8033-8</t>
        </is>
      </c>
      <c r="C1618" t="inlineStr">
        <is>
          <t>USN-8033-8: Linux kernel (Intel IoTG) vulnerabilities | Several security issues were discovered in the Linux kernel. An attacker could possibly use these to compromise the system. This update corrects flaws in the following subsystems: - Nios II architectu</t>
        </is>
      </c>
      <c r="D1618" t="n">
        <v>6.5</v>
      </c>
      <c r="E1618" t="inlineStr">
        <is>
          <t>MEDIUM</t>
        </is>
      </c>
      <c r="F1618" t="n">
        <v>2</v>
      </c>
      <c r="G1618" t="n">
        <v>2</v>
      </c>
      <c r="H1618" t="inlineStr">
        <is>
          <t>MEDIUM</t>
        </is>
      </c>
      <c r="I1618" t="n">
        <v>10.5</v>
      </c>
      <c r="J1618" t="inlineStr">
        <is>
          <t>NO</t>
        </is>
      </c>
      <c r="K1618" t="inlineStr">
        <is>
          <t>2026-02-19</t>
        </is>
      </c>
      <c r="L1618" t="inlineStr">
        <is>
          <t>YES</t>
        </is>
      </c>
      <c r="M1618" t="inlineStr">
        <is>
          <t>Ubuntu Linux</t>
        </is>
      </c>
      <c r="N1618" t="inlineStr">
        <is>
          <t>P4</t>
        </is>
      </c>
      <c r="O1618" t="inlineStr">
        <is>
          <t>Ubuntu advisory - no IP context</t>
        </is>
      </c>
      <c r="P1618" t="n">
        <v>0</v>
      </c>
      <c r="Q1618" t="n">
        <v>0</v>
      </c>
      <c r="R1618" t="inlineStr">
        <is>
          <t>T1068:Exploitation for Privilege Escalation</t>
        </is>
      </c>
      <c r="S1618" t="n">
        <v>1</v>
      </c>
      <c r="T1618" t="inlineStr">
        <is>
          <t>LOW (40%)</t>
        </is>
      </c>
      <c r="U1618" t="inlineStr">
        <is>
          <t>CHECK_USN</t>
        </is>
      </c>
      <c r="V1618" t="inlineStr">
        <is>
          <t>YES</t>
        </is>
      </c>
      <c r="W1618" t="inlineStr">
        <is>
          <t>https://ubuntu.com/security/notices/USN-8033-8</t>
        </is>
      </c>
      <c r="X1618" t="inlineStr">
        <is>
          <t>NONE</t>
        </is>
      </c>
      <c r="Y1618" t="n">
        <v>0</v>
      </c>
      <c r="Z1618" t="inlineStr"/>
      <c r="AA1618" t="inlineStr">
        <is>
          <t>https://ubuntu.com/security/notices/USN-8033-8</t>
        </is>
      </c>
    </row>
    <row r="1619">
      <c r="A1619" t="inlineStr">
        <is>
          <t>UBUNTU_SEC</t>
        </is>
      </c>
      <c r="B1619" t="inlineStr">
        <is>
          <t>USN-8053-1</t>
        </is>
      </c>
      <c r="C1619" t="inlineStr">
        <is>
          <t xml:space="preserve">USN-8053-1: libvpx vulnerability | It was discovered that libvpx did not properly handle certain malformed media files. If an application using libvpx opened a specially crafted file, a remote attacker could cause a denial of service, </t>
        </is>
      </c>
      <c r="D1619" t="n">
        <v>6.5</v>
      </c>
      <c r="E1619" t="inlineStr">
        <is>
          <t>MEDIUM</t>
        </is>
      </c>
      <c r="F1619" t="n">
        <v>2</v>
      </c>
      <c r="G1619" t="n">
        <v>2</v>
      </c>
      <c r="H1619" t="inlineStr">
        <is>
          <t>MEDIUM</t>
        </is>
      </c>
      <c r="I1619" t="n">
        <v>10.5</v>
      </c>
      <c r="J1619" t="inlineStr">
        <is>
          <t>NO</t>
        </is>
      </c>
      <c r="K1619" t="inlineStr">
        <is>
          <t>2026-02-19</t>
        </is>
      </c>
      <c r="L1619" t="inlineStr">
        <is>
          <t>YES</t>
        </is>
      </c>
      <c r="M1619" t="inlineStr">
        <is>
          <t>Ubuntu Linux</t>
        </is>
      </c>
      <c r="N1619" t="inlineStr">
        <is>
          <t>P4</t>
        </is>
      </c>
      <c r="O1619" t="inlineStr">
        <is>
          <t>Ubuntu advisory - no IP context</t>
        </is>
      </c>
      <c r="P1619" t="n">
        <v>0</v>
      </c>
      <c r="Q1619" t="n">
        <v>0</v>
      </c>
      <c r="R1619" t="inlineStr">
        <is>
          <t>T1068:Exploitation for Privilege Escalation</t>
        </is>
      </c>
      <c r="S1619" t="n">
        <v>1</v>
      </c>
      <c r="T1619" t="inlineStr">
        <is>
          <t>LOW (40%)</t>
        </is>
      </c>
      <c r="U1619" t="inlineStr">
        <is>
          <t>CHECK_USN</t>
        </is>
      </c>
      <c r="V1619" t="inlineStr">
        <is>
          <t>YES</t>
        </is>
      </c>
      <c r="W1619" t="inlineStr">
        <is>
          <t>https://ubuntu.com/security/notices/USN-8053-1</t>
        </is>
      </c>
      <c r="X1619" t="inlineStr">
        <is>
          <t>NONE</t>
        </is>
      </c>
      <c r="Y1619" t="n">
        <v>0</v>
      </c>
      <c r="Z1619" t="inlineStr"/>
      <c r="AA1619" t="inlineStr">
        <is>
          <t>https://ubuntu.com/security/notices/USN-8053-1</t>
        </is>
      </c>
    </row>
    <row r="1620">
      <c r="A1620" t="inlineStr">
        <is>
          <t>UBUNTU_SEC</t>
        </is>
      </c>
      <c r="B1620" t="inlineStr">
        <is>
          <t>USN-8028-7</t>
        </is>
      </c>
      <c r="C1620" t="inlineStr">
        <is>
          <t>USN-8028-7: Linux kernel (Low Latency NVIDIA) vulnerabilities | It was discovered that improper initialization of CPU cache memory could allow a local attacker with hypervisor access to overwrite SEV-SNP guest memory resulting in loss of data integrity. (CVE-2024-</t>
        </is>
      </c>
      <c r="D1620" t="n">
        <v>6.5</v>
      </c>
      <c r="E1620" t="inlineStr">
        <is>
          <t>MEDIUM</t>
        </is>
      </c>
      <c r="F1620" t="n">
        <v>2</v>
      </c>
      <c r="G1620" t="n">
        <v>2</v>
      </c>
      <c r="H1620" t="inlineStr">
        <is>
          <t>MEDIUM</t>
        </is>
      </c>
      <c r="I1620" t="n">
        <v>10.5</v>
      </c>
      <c r="J1620" t="inlineStr">
        <is>
          <t>NO</t>
        </is>
      </c>
      <c r="K1620" t="inlineStr">
        <is>
          <t>2026-02-19</t>
        </is>
      </c>
      <c r="L1620" t="inlineStr">
        <is>
          <t>YES</t>
        </is>
      </c>
      <c r="M1620" t="inlineStr">
        <is>
          <t>Ubuntu Linux</t>
        </is>
      </c>
      <c r="N1620" t="inlineStr">
        <is>
          <t>P4</t>
        </is>
      </c>
      <c r="O1620" t="inlineStr">
        <is>
          <t>Ubuntu advisory - no IP context</t>
        </is>
      </c>
      <c r="P1620" t="n">
        <v>0</v>
      </c>
      <c r="Q1620" t="n">
        <v>0</v>
      </c>
      <c r="R1620" t="inlineStr">
        <is>
          <t>T1068:Exploitation for Privilege Escalation</t>
        </is>
      </c>
      <c r="S1620" t="n">
        <v>1</v>
      </c>
      <c r="T1620" t="inlineStr">
        <is>
          <t>LOW (40%)</t>
        </is>
      </c>
      <c r="U1620" t="inlineStr">
        <is>
          <t>CHECK_USN</t>
        </is>
      </c>
      <c r="V1620" t="inlineStr">
        <is>
          <t>YES</t>
        </is>
      </c>
      <c r="W1620" t="inlineStr">
        <is>
          <t>https://ubuntu.com/security/notices/USN-8028-7</t>
        </is>
      </c>
      <c r="X1620" t="inlineStr">
        <is>
          <t>NONE</t>
        </is>
      </c>
      <c r="Y1620" t="n">
        <v>0</v>
      </c>
      <c r="Z1620" t="inlineStr"/>
      <c r="AA1620" t="inlineStr">
        <is>
          <t>https://ubuntu.com/security/notices/USN-8028-7</t>
        </is>
      </c>
    </row>
    <row r="1621">
      <c r="A1621" t="inlineStr">
        <is>
          <t>TOR_EXIT</t>
        </is>
      </c>
      <c r="B1621" t="inlineStr">
        <is>
          <t>445ad503a1ad</t>
        </is>
      </c>
      <c r="C1621" t="inlineStr">
        <is>
          <t>Tor Exit Node: 185.220.101.135 | Traffic from this IP may be anonymized/malicious</t>
        </is>
      </c>
      <c r="D1621" t="n">
        <v>5</v>
      </c>
      <c r="E1621" t="inlineStr">
        <is>
          <t>MEDIUM</t>
        </is>
      </c>
      <c r="F1621" t="n">
        <v>2</v>
      </c>
      <c r="G1621" t="n">
        <v>1</v>
      </c>
      <c r="H1621" t="inlineStr">
        <is>
          <t>LOW</t>
        </is>
      </c>
      <c r="I1621" t="n">
        <v>7</v>
      </c>
      <c r="J1621" t="inlineStr">
        <is>
          <t>NO</t>
        </is>
      </c>
      <c r="K1621" t="inlineStr">
        <is>
          <t>2026-02-23 23:48</t>
        </is>
      </c>
      <c r="L1621" t="inlineStr">
        <is>
          <t>Block or monitor</t>
        </is>
      </c>
      <c r="M1621" t="inlineStr">
        <is>
          <t>Network perimeter</t>
        </is>
      </c>
      <c r="N1621" t="inlineStr">
        <is>
          <t>P4</t>
        </is>
      </c>
      <c r="O1621" t="inlineStr">
        <is>
          <t>Tor exit node - known anonymization service</t>
        </is>
      </c>
      <c r="P1621" t="n">
        <v>0</v>
      </c>
      <c r="Q1621" t="n">
        <v>0</v>
      </c>
      <c r="R1621" t="inlineStr">
        <is>
          <t>T1090.003:Multi-hop Proxy</t>
        </is>
      </c>
      <c r="S1621" t="n">
        <v>1</v>
      </c>
      <c r="T1621" t="inlineStr">
        <is>
          <t>LOW (40%)</t>
        </is>
      </c>
      <c r="U1621" t="inlineStr">
        <is>
          <t>NONE</t>
        </is>
      </c>
      <c r="V1621" t="inlineStr">
        <is>
          <t>NONE</t>
        </is>
      </c>
      <c r="W1621" t="inlineStr">
        <is>
          <t>NONE</t>
        </is>
      </c>
      <c r="X1621" t="inlineStr">
        <is>
          <t>NONE</t>
        </is>
      </c>
      <c r="Y1621" t="n">
        <v>0</v>
      </c>
      <c r="Z1621" t="inlineStr"/>
      <c r="AA1621" t="inlineStr">
        <is>
          <t>https://check.torproject.org/</t>
        </is>
      </c>
    </row>
    <row r="1622">
      <c r="A1622" t="inlineStr">
        <is>
          <t>TOR_EXIT</t>
        </is>
      </c>
      <c r="B1622" t="inlineStr">
        <is>
          <t>e8a23e0adec1</t>
        </is>
      </c>
      <c r="C1622" t="inlineStr">
        <is>
          <t>Tor Exit Node: 192.42.116.196 | Traffic from this IP may be anonymized/malicious</t>
        </is>
      </c>
      <c r="D1622" t="n">
        <v>5</v>
      </c>
      <c r="E1622" t="inlineStr">
        <is>
          <t>MEDIUM</t>
        </is>
      </c>
      <c r="F1622" t="n">
        <v>2</v>
      </c>
      <c r="G1622" t="n">
        <v>1</v>
      </c>
      <c r="H1622" t="inlineStr">
        <is>
          <t>LOW</t>
        </is>
      </c>
      <c r="I1622" t="n">
        <v>7</v>
      </c>
      <c r="J1622" t="inlineStr">
        <is>
          <t>NO</t>
        </is>
      </c>
      <c r="K1622" t="inlineStr">
        <is>
          <t>2026-02-23 23:48</t>
        </is>
      </c>
      <c r="L1622" t="inlineStr">
        <is>
          <t>Block or monitor</t>
        </is>
      </c>
      <c r="M1622" t="inlineStr">
        <is>
          <t>Network perimeter</t>
        </is>
      </c>
      <c r="N1622" t="inlineStr">
        <is>
          <t>P4</t>
        </is>
      </c>
      <c r="O1622" t="inlineStr">
        <is>
          <t>Tor exit node - known anonymization service</t>
        </is>
      </c>
      <c r="P1622" t="n">
        <v>0</v>
      </c>
      <c r="Q1622" t="n">
        <v>0</v>
      </c>
      <c r="R1622" t="inlineStr">
        <is>
          <t>T1090.003:Multi-hop Proxy</t>
        </is>
      </c>
      <c r="S1622" t="n">
        <v>1</v>
      </c>
      <c r="T1622" t="inlineStr">
        <is>
          <t>LOW (40%)</t>
        </is>
      </c>
      <c r="U1622" t="inlineStr">
        <is>
          <t>NONE</t>
        </is>
      </c>
      <c r="V1622" t="inlineStr">
        <is>
          <t>NONE</t>
        </is>
      </c>
      <c r="W1622" t="inlineStr">
        <is>
          <t>NONE</t>
        </is>
      </c>
      <c r="X1622" t="inlineStr">
        <is>
          <t>NONE</t>
        </is>
      </c>
      <c r="Y1622" t="n">
        <v>0</v>
      </c>
      <c r="Z1622" t="inlineStr"/>
      <c r="AA1622" t="inlineStr">
        <is>
          <t>https://check.torproject.org/</t>
        </is>
      </c>
    </row>
    <row r="1623">
      <c r="A1623" t="inlineStr">
        <is>
          <t>TOR_EXIT</t>
        </is>
      </c>
      <c r="B1623" t="inlineStr">
        <is>
          <t>08480feb925d</t>
        </is>
      </c>
      <c r="C1623" t="inlineStr">
        <is>
          <t>Tor Exit Node: 23.154.177.10 | Traffic from this IP may be anonymized/malicious</t>
        </is>
      </c>
      <c r="D1623" t="n">
        <v>5</v>
      </c>
      <c r="E1623" t="inlineStr">
        <is>
          <t>MEDIUM</t>
        </is>
      </c>
      <c r="F1623" t="n">
        <v>2</v>
      </c>
      <c r="G1623" t="n">
        <v>1</v>
      </c>
      <c r="H1623" t="inlineStr">
        <is>
          <t>LOW</t>
        </is>
      </c>
      <c r="I1623" t="n">
        <v>7</v>
      </c>
      <c r="J1623" t="inlineStr">
        <is>
          <t>NO</t>
        </is>
      </c>
      <c r="K1623" t="inlineStr">
        <is>
          <t>2026-02-23 23:48</t>
        </is>
      </c>
      <c r="L1623" t="inlineStr">
        <is>
          <t>Block or monitor</t>
        </is>
      </c>
      <c r="M1623" t="inlineStr">
        <is>
          <t>Network perimeter</t>
        </is>
      </c>
      <c r="N1623" t="inlineStr">
        <is>
          <t>P4</t>
        </is>
      </c>
      <c r="O1623" t="inlineStr">
        <is>
          <t>Tor exit node - known anonymization service</t>
        </is>
      </c>
      <c r="P1623" t="n">
        <v>0</v>
      </c>
      <c r="Q1623" t="n">
        <v>0</v>
      </c>
      <c r="R1623" t="inlineStr">
        <is>
          <t>T1090.003:Multi-hop Proxy</t>
        </is>
      </c>
      <c r="S1623" t="n">
        <v>1</v>
      </c>
      <c r="T1623" t="inlineStr">
        <is>
          <t>LOW (40%)</t>
        </is>
      </c>
      <c r="U1623" t="inlineStr">
        <is>
          <t>NONE</t>
        </is>
      </c>
      <c r="V1623" t="inlineStr">
        <is>
          <t>NONE</t>
        </is>
      </c>
      <c r="W1623" t="inlineStr">
        <is>
          <t>NONE</t>
        </is>
      </c>
      <c r="X1623" t="inlineStr">
        <is>
          <t>NONE</t>
        </is>
      </c>
      <c r="Y1623" t="n">
        <v>0</v>
      </c>
      <c r="Z1623" t="inlineStr"/>
      <c r="AA1623" t="inlineStr">
        <is>
          <t>https://check.torproject.org/</t>
        </is>
      </c>
    </row>
    <row r="1624">
      <c r="A1624" t="inlineStr">
        <is>
          <t>TOR_EXIT</t>
        </is>
      </c>
      <c r="B1624" t="inlineStr">
        <is>
          <t>9e6e1b6fa77d</t>
        </is>
      </c>
      <c r="C1624" t="inlineStr">
        <is>
          <t>Tor Exit Node: 23.154.177.20 | Traffic from this IP may be anonymized/malicious</t>
        </is>
      </c>
      <c r="D1624" t="n">
        <v>5</v>
      </c>
      <c r="E1624" t="inlineStr">
        <is>
          <t>MEDIUM</t>
        </is>
      </c>
      <c r="F1624" t="n">
        <v>2</v>
      </c>
      <c r="G1624" t="n">
        <v>1</v>
      </c>
      <c r="H1624" t="inlineStr">
        <is>
          <t>LOW</t>
        </is>
      </c>
      <c r="I1624" t="n">
        <v>7</v>
      </c>
      <c r="J1624" t="inlineStr">
        <is>
          <t>NO</t>
        </is>
      </c>
      <c r="K1624" t="inlineStr">
        <is>
          <t>2026-02-23 23:48</t>
        </is>
      </c>
      <c r="L1624" t="inlineStr">
        <is>
          <t>Block or monitor</t>
        </is>
      </c>
      <c r="M1624" t="inlineStr">
        <is>
          <t>Network perimeter</t>
        </is>
      </c>
      <c r="N1624" t="inlineStr">
        <is>
          <t>P4</t>
        </is>
      </c>
      <c r="O1624" t="inlineStr">
        <is>
          <t>Tor exit node - known anonymization service</t>
        </is>
      </c>
      <c r="P1624" t="n">
        <v>0</v>
      </c>
      <c r="Q1624" t="n">
        <v>0</v>
      </c>
      <c r="R1624" t="inlineStr">
        <is>
          <t>T1090.003:Multi-hop Proxy</t>
        </is>
      </c>
      <c r="S1624" t="n">
        <v>1</v>
      </c>
      <c r="T1624" t="inlineStr">
        <is>
          <t>LOW (40%)</t>
        </is>
      </c>
      <c r="U1624" t="inlineStr">
        <is>
          <t>NONE</t>
        </is>
      </c>
      <c r="V1624" t="inlineStr">
        <is>
          <t>NONE</t>
        </is>
      </c>
      <c r="W1624" t="inlineStr">
        <is>
          <t>NONE</t>
        </is>
      </c>
      <c r="X1624" t="inlineStr">
        <is>
          <t>NONE</t>
        </is>
      </c>
      <c r="Y1624" t="n">
        <v>0</v>
      </c>
      <c r="Z1624" t="inlineStr"/>
      <c r="AA1624" t="inlineStr">
        <is>
          <t>https://check.torproject.org/</t>
        </is>
      </c>
    </row>
    <row r="1625">
      <c r="A1625" t="inlineStr">
        <is>
          <t>TOR_EXIT</t>
        </is>
      </c>
      <c r="B1625" t="inlineStr">
        <is>
          <t>306a1a26780a</t>
        </is>
      </c>
      <c r="C1625" t="inlineStr">
        <is>
          <t>Tor Exit Node: 23.154.177.12 | Traffic from this IP may be anonymized/malicious</t>
        </is>
      </c>
      <c r="D1625" t="n">
        <v>5</v>
      </c>
      <c r="E1625" t="inlineStr">
        <is>
          <t>MEDIUM</t>
        </is>
      </c>
      <c r="F1625" t="n">
        <v>2</v>
      </c>
      <c r="G1625" t="n">
        <v>1</v>
      </c>
      <c r="H1625" t="inlineStr">
        <is>
          <t>LOW</t>
        </is>
      </c>
      <c r="I1625" t="n">
        <v>7</v>
      </c>
      <c r="J1625" t="inlineStr">
        <is>
          <t>NO</t>
        </is>
      </c>
      <c r="K1625" t="inlineStr">
        <is>
          <t>2026-02-23 23:48</t>
        </is>
      </c>
      <c r="L1625" t="inlineStr">
        <is>
          <t>Block or monitor</t>
        </is>
      </c>
      <c r="M1625" t="inlineStr">
        <is>
          <t>Network perimeter</t>
        </is>
      </c>
      <c r="N1625" t="inlineStr">
        <is>
          <t>P4</t>
        </is>
      </c>
      <c r="O1625" t="inlineStr">
        <is>
          <t>Tor exit node - known anonymization service</t>
        </is>
      </c>
      <c r="P1625" t="n">
        <v>0</v>
      </c>
      <c r="Q1625" t="n">
        <v>0</v>
      </c>
      <c r="R1625" t="inlineStr">
        <is>
          <t>T1090.003:Multi-hop Proxy</t>
        </is>
      </c>
      <c r="S1625" t="n">
        <v>1</v>
      </c>
      <c r="T1625" t="inlineStr">
        <is>
          <t>LOW (40%)</t>
        </is>
      </c>
      <c r="U1625" t="inlineStr">
        <is>
          <t>NONE</t>
        </is>
      </c>
      <c r="V1625" t="inlineStr">
        <is>
          <t>NONE</t>
        </is>
      </c>
      <c r="W1625" t="inlineStr">
        <is>
          <t>NONE</t>
        </is>
      </c>
      <c r="X1625" t="inlineStr">
        <is>
          <t>NONE</t>
        </is>
      </c>
      <c r="Y1625" t="n">
        <v>0</v>
      </c>
      <c r="Z1625" t="inlineStr"/>
      <c r="AA1625" t="inlineStr">
        <is>
          <t>https://check.torproject.org/</t>
        </is>
      </c>
    </row>
    <row r="1626">
      <c r="A1626" t="inlineStr">
        <is>
          <t>TOR_EXIT</t>
        </is>
      </c>
      <c r="B1626" t="inlineStr">
        <is>
          <t>ff92d153f0a7</t>
        </is>
      </c>
      <c r="C1626" t="inlineStr">
        <is>
          <t>Tor Exit Node: 185.129.61.6 | Traffic from this IP may be anonymized/malicious</t>
        </is>
      </c>
      <c r="D1626" t="n">
        <v>5</v>
      </c>
      <c r="E1626" t="inlineStr">
        <is>
          <t>MEDIUM</t>
        </is>
      </c>
      <c r="F1626" t="n">
        <v>2</v>
      </c>
      <c r="G1626" t="n">
        <v>1</v>
      </c>
      <c r="H1626" t="inlineStr">
        <is>
          <t>LOW</t>
        </is>
      </c>
      <c r="I1626" t="n">
        <v>7</v>
      </c>
      <c r="J1626" t="inlineStr">
        <is>
          <t>NO</t>
        </is>
      </c>
      <c r="K1626" t="inlineStr">
        <is>
          <t>2026-02-23 23:48</t>
        </is>
      </c>
      <c r="L1626" t="inlineStr">
        <is>
          <t>Block or monitor</t>
        </is>
      </c>
      <c r="M1626" t="inlineStr">
        <is>
          <t>Network perimeter</t>
        </is>
      </c>
      <c r="N1626" t="inlineStr">
        <is>
          <t>P4</t>
        </is>
      </c>
      <c r="O1626" t="inlineStr">
        <is>
          <t>Tor exit node - known anonymization service</t>
        </is>
      </c>
      <c r="P1626" t="n">
        <v>0</v>
      </c>
      <c r="Q1626" t="n">
        <v>0</v>
      </c>
      <c r="R1626" t="inlineStr">
        <is>
          <t>T1090.003:Multi-hop Proxy</t>
        </is>
      </c>
      <c r="S1626" t="n">
        <v>1</v>
      </c>
      <c r="T1626" t="inlineStr">
        <is>
          <t>LOW (40%)</t>
        </is>
      </c>
      <c r="U1626" t="inlineStr">
        <is>
          <t>NONE</t>
        </is>
      </c>
      <c r="V1626" t="inlineStr">
        <is>
          <t>NONE</t>
        </is>
      </c>
      <c r="W1626" t="inlineStr">
        <is>
          <t>NONE</t>
        </is>
      </c>
      <c r="X1626" t="inlineStr">
        <is>
          <t>NONE</t>
        </is>
      </c>
      <c r="Y1626" t="n">
        <v>0</v>
      </c>
      <c r="Z1626" t="inlineStr"/>
      <c r="AA1626" t="inlineStr">
        <is>
          <t>https://check.torproject.org/</t>
        </is>
      </c>
    </row>
    <row r="1627">
      <c r="A1627" t="inlineStr">
        <is>
          <t>TOR_EXIT</t>
        </is>
      </c>
      <c r="B1627" t="inlineStr">
        <is>
          <t>f722b4e90f8f</t>
        </is>
      </c>
      <c r="C1627" t="inlineStr">
        <is>
          <t>Tor Exit Node: 2.57.122.58 | Traffic from this IP may be anonymized/malicious</t>
        </is>
      </c>
      <c r="D1627" t="n">
        <v>5</v>
      </c>
      <c r="E1627" t="inlineStr">
        <is>
          <t>MEDIUM</t>
        </is>
      </c>
      <c r="F1627" t="n">
        <v>2</v>
      </c>
      <c r="G1627" t="n">
        <v>1</v>
      </c>
      <c r="H1627" t="inlineStr">
        <is>
          <t>LOW</t>
        </is>
      </c>
      <c r="I1627" t="n">
        <v>7</v>
      </c>
      <c r="J1627" t="inlineStr">
        <is>
          <t>NO</t>
        </is>
      </c>
      <c r="K1627" t="inlineStr">
        <is>
          <t>2026-02-23 23:48</t>
        </is>
      </c>
      <c r="L1627" t="inlineStr">
        <is>
          <t>Block or monitor</t>
        </is>
      </c>
      <c r="M1627" t="inlineStr">
        <is>
          <t>Network perimeter</t>
        </is>
      </c>
      <c r="N1627" t="inlineStr">
        <is>
          <t>P4</t>
        </is>
      </c>
      <c r="O1627" t="inlineStr">
        <is>
          <t>Tor exit node - known anonymization service</t>
        </is>
      </c>
      <c r="P1627" t="n">
        <v>0</v>
      </c>
      <c r="Q1627" t="n">
        <v>0</v>
      </c>
      <c r="R1627" t="inlineStr">
        <is>
          <t>T1090.003:Multi-hop Proxy</t>
        </is>
      </c>
      <c r="S1627" t="n">
        <v>1</v>
      </c>
      <c r="T1627" t="inlineStr">
        <is>
          <t>LOW (40%)</t>
        </is>
      </c>
      <c r="U1627" t="inlineStr">
        <is>
          <t>NONE</t>
        </is>
      </c>
      <c r="V1627" t="inlineStr">
        <is>
          <t>NONE</t>
        </is>
      </c>
      <c r="W1627" t="inlineStr">
        <is>
          <t>NONE</t>
        </is>
      </c>
      <c r="X1627" t="inlineStr">
        <is>
          <t>NONE</t>
        </is>
      </c>
      <c r="Y1627" t="n">
        <v>0</v>
      </c>
      <c r="Z1627" t="inlineStr"/>
      <c r="AA1627" t="inlineStr">
        <is>
          <t>https://check.torproject.org/</t>
        </is>
      </c>
    </row>
    <row r="1628">
      <c r="A1628" t="inlineStr">
        <is>
          <t>TOR_EXIT</t>
        </is>
      </c>
      <c r="B1628" t="inlineStr">
        <is>
          <t>74279676e093</t>
        </is>
      </c>
      <c r="C1628" t="inlineStr">
        <is>
          <t>Tor Exit Node: 95.128.43.164 | Traffic from this IP may be anonymized/malicious</t>
        </is>
      </c>
      <c r="D1628" t="n">
        <v>5</v>
      </c>
      <c r="E1628" t="inlineStr">
        <is>
          <t>MEDIUM</t>
        </is>
      </c>
      <c r="F1628" t="n">
        <v>2</v>
      </c>
      <c r="G1628" t="n">
        <v>1</v>
      </c>
      <c r="H1628" t="inlineStr">
        <is>
          <t>LOW</t>
        </is>
      </c>
      <c r="I1628" t="n">
        <v>7</v>
      </c>
      <c r="J1628" t="inlineStr">
        <is>
          <t>NO</t>
        </is>
      </c>
      <c r="K1628" t="inlineStr">
        <is>
          <t>2026-02-23 23:48</t>
        </is>
      </c>
      <c r="L1628" t="inlineStr">
        <is>
          <t>Block or monitor</t>
        </is>
      </c>
      <c r="M1628" t="inlineStr">
        <is>
          <t>Network perimeter</t>
        </is>
      </c>
      <c r="N1628" t="inlineStr">
        <is>
          <t>P4</t>
        </is>
      </c>
      <c r="O1628" t="inlineStr">
        <is>
          <t>Tor exit node - known anonymization service</t>
        </is>
      </c>
      <c r="P1628" t="n">
        <v>0</v>
      </c>
      <c r="Q1628" t="n">
        <v>0</v>
      </c>
      <c r="R1628" t="inlineStr">
        <is>
          <t>T1090.003:Multi-hop Proxy</t>
        </is>
      </c>
      <c r="S1628" t="n">
        <v>1</v>
      </c>
      <c r="T1628" t="inlineStr">
        <is>
          <t>LOW (40%)</t>
        </is>
      </c>
      <c r="U1628" t="inlineStr">
        <is>
          <t>NONE</t>
        </is>
      </c>
      <c r="V1628" t="inlineStr">
        <is>
          <t>NONE</t>
        </is>
      </c>
      <c r="W1628" t="inlineStr">
        <is>
          <t>NONE</t>
        </is>
      </c>
      <c r="X1628" t="inlineStr">
        <is>
          <t>NONE</t>
        </is>
      </c>
      <c r="Y1628" t="n">
        <v>0</v>
      </c>
      <c r="Z1628" t="inlineStr"/>
      <c r="AA1628" t="inlineStr">
        <is>
          <t>https://check.torproject.org/</t>
        </is>
      </c>
    </row>
    <row r="1629">
      <c r="A1629" t="inlineStr">
        <is>
          <t>TOR_EXIT</t>
        </is>
      </c>
      <c r="B1629" t="inlineStr">
        <is>
          <t>ed064e12fefd</t>
        </is>
      </c>
      <c r="C1629" t="inlineStr">
        <is>
          <t>Tor Exit Node: 185.202.93.106 | Traffic from this IP may be anonymized/malicious</t>
        </is>
      </c>
      <c r="D1629" t="n">
        <v>5</v>
      </c>
      <c r="E1629" t="inlineStr">
        <is>
          <t>MEDIUM</t>
        </is>
      </c>
      <c r="F1629" t="n">
        <v>2</v>
      </c>
      <c r="G1629" t="n">
        <v>1</v>
      </c>
      <c r="H1629" t="inlineStr">
        <is>
          <t>LOW</t>
        </is>
      </c>
      <c r="I1629" t="n">
        <v>7</v>
      </c>
      <c r="J1629" t="inlineStr">
        <is>
          <t>NO</t>
        </is>
      </c>
      <c r="K1629" t="inlineStr">
        <is>
          <t>2026-02-23 23:48</t>
        </is>
      </c>
      <c r="L1629" t="inlineStr">
        <is>
          <t>Block or monitor</t>
        </is>
      </c>
      <c r="M1629" t="inlineStr">
        <is>
          <t>Network perimeter</t>
        </is>
      </c>
      <c r="N1629" t="inlineStr">
        <is>
          <t>P4</t>
        </is>
      </c>
      <c r="O1629" t="inlineStr">
        <is>
          <t>Tor exit node - known anonymization service</t>
        </is>
      </c>
      <c r="P1629" t="n">
        <v>0</v>
      </c>
      <c r="Q1629" t="n">
        <v>0</v>
      </c>
      <c r="R1629" t="inlineStr">
        <is>
          <t>T1090.003:Multi-hop Proxy</t>
        </is>
      </c>
      <c r="S1629" t="n">
        <v>1</v>
      </c>
      <c r="T1629" t="inlineStr">
        <is>
          <t>LOW (40%)</t>
        </is>
      </c>
      <c r="U1629" t="inlineStr">
        <is>
          <t>NONE</t>
        </is>
      </c>
      <c r="V1629" t="inlineStr">
        <is>
          <t>NONE</t>
        </is>
      </c>
      <c r="W1629" t="inlineStr">
        <is>
          <t>NONE</t>
        </is>
      </c>
      <c r="X1629" t="inlineStr">
        <is>
          <t>NONE</t>
        </is>
      </c>
      <c r="Y1629" t="n">
        <v>0</v>
      </c>
      <c r="Z1629" t="inlineStr"/>
      <c r="AA1629" t="inlineStr">
        <is>
          <t>https://check.torproject.org/</t>
        </is>
      </c>
    </row>
    <row r="1630">
      <c r="A1630" t="inlineStr">
        <is>
          <t>TOR_EXIT</t>
        </is>
      </c>
      <c r="B1630" t="inlineStr">
        <is>
          <t>2c7508ff4644</t>
        </is>
      </c>
      <c r="C1630" t="inlineStr">
        <is>
          <t>Tor Exit Node: 107.189.1.160 | Traffic from this IP may be anonymized/malicious</t>
        </is>
      </c>
      <c r="D1630" t="n">
        <v>5</v>
      </c>
      <c r="E1630" t="inlineStr">
        <is>
          <t>MEDIUM</t>
        </is>
      </c>
      <c r="F1630" t="n">
        <v>2</v>
      </c>
      <c r="G1630" t="n">
        <v>1</v>
      </c>
      <c r="H1630" t="inlineStr">
        <is>
          <t>LOW</t>
        </is>
      </c>
      <c r="I1630" t="n">
        <v>7</v>
      </c>
      <c r="J1630" t="inlineStr">
        <is>
          <t>NO</t>
        </is>
      </c>
      <c r="K1630" t="inlineStr">
        <is>
          <t>2026-02-23 23:48</t>
        </is>
      </c>
      <c r="L1630" t="inlineStr">
        <is>
          <t>Block or monitor</t>
        </is>
      </c>
      <c r="M1630" t="inlineStr">
        <is>
          <t>Network perimeter</t>
        </is>
      </c>
      <c r="N1630" t="inlineStr">
        <is>
          <t>P4</t>
        </is>
      </c>
      <c r="O1630" t="inlineStr">
        <is>
          <t>Tor exit node - known anonymization service</t>
        </is>
      </c>
      <c r="P1630" t="n">
        <v>0</v>
      </c>
      <c r="Q1630" t="n">
        <v>0</v>
      </c>
      <c r="R1630" t="inlineStr">
        <is>
          <t>T1090.003:Multi-hop Proxy</t>
        </is>
      </c>
      <c r="S1630" t="n">
        <v>1</v>
      </c>
      <c r="T1630" t="inlineStr">
        <is>
          <t>LOW (40%)</t>
        </is>
      </c>
      <c r="U1630" t="inlineStr">
        <is>
          <t>NONE</t>
        </is>
      </c>
      <c r="V1630" t="inlineStr">
        <is>
          <t>NONE</t>
        </is>
      </c>
      <c r="W1630" t="inlineStr">
        <is>
          <t>NONE</t>
        </is>
      </c>
      <c r="X1630" t="inlineStr">
        <is>
          <t>NONE</t>
        </is>
      </c>
      <c r="Y1630" t="n">
        <v>0</v>
      </c>
      <c r="Z1630" t="inlineStr"/>
      <c r="AA1630" t="inlineStr">
        <is>
          <t>https://check.torproject.org/</t>
        </is>
      </c>
    </row>
    <row r="1631">
      <c r="A1631" t="inlineStr">
        <is>
          <t>TOR_EXIT</t>
        </is>
      </c>
      <c r="B1631" t="inlineStr">
        <is>
          <t>da32487c2ae9</t>
        </is>
      </c>
      <c r="C1631" t="inlineStr">
        <is>
          <t>Tor Exit Node: 128.127.180.156 | Traffic from this IP may be anonymized/malicious</t>
        </is>
      </c>
      <c r="D1631" t="n">
        <v>5</v>
      </c>
      <c r="E1631" t="inlineStr">
        <is>
          <t>MEDIUM</t>
        </is>
      </c>
      <c r="F1631" t="n">
        <v>2</v>
      </c>
      <c r="G1631" t="n">
        <v>1</v>
      </c>
      <c r="H1631" t="inlineStr">
        <is>
          <t>LOW</t>
        </is>
      </c>
      <c r="I1631" t="n">
        <v>7</v>
      </c>
      <c r="J1631" t="inlineStr">
        <is>
          <t>NO</t>
        </is>
      </c>
      <c r="K1631" t="inlineStr">
        <is>
          <t>2026-02-23 23:48</t>
        </is>
      </c>
      <c r="L1631" t="inlineStr">
        <is>
          <t>Block or monitor</t>
        </is>
      </c>
      <c r="M1631" t="inlineStr">
        <is>
          <t>Network perimeter</t>
        </is>
      </c>
      <c r="N1631" t="inlineStr">
        <is>
          <t>P4</t>
        </is>
      </c>
      <c r="O1631" t="inlineStr">
        <is>
          <t>Tor exit node - known anonymization service</t>
        </is>
      </c>
      <c r="P1631" t="n">
        <v>0</v>
      </c>
      <c r="Q1631" t="n">
        <v>0</v>
      </c>
      <c r="R1631" t="inlineStr">
        <is>
          <t>T1090.003:Multi-hop Proxy</t>
        </is>
      </c>
      <c r="S1631" t="n">
        <v>1</v>
      </c>
      <c r="T1631" t="inlineStr">
        <is>
          <t>LOW (40%)</t>
        </is>
      </c>
      <c r="U1631" t="inlineStr">
        <is>
          <t>NONE</t>
        </is>
      </c>
      <c r="V1631" t="inlineStr">
        <is>
          <t>NONE</t>
        </is>
      </c>
      <c r="W1631" t="inlineStr">
        <is>
          <t>NONE</t>
        </is>
      </c>
      <c r="X1631" t="inlineStr">
        <is>
          <t>NONE</t>
        </is>
      </c>
      <c r="Y1631" t="n">
        <v>0</v>
      </c>
      <c r="Z1631" t="inlineStr"/>
      <c r="AA1631" t="inlineStr">
        <is>
          <t>https://check.torproject.org/</t>
        </is>
      </c>
    </row>
    <row r="1632">
      <c r="A1632" t="inlineStr">
        <is>
          <t>TOR_EXIT</t>
        </is>
      </c>
      <c r="B1632" t="inlineStr">
        <is>
          <t>7a5de2a7bcd6</t>
        </is>
      </c>
      <c r="C1632" t="inlineStr">
        <is>
          <t>Tor Exit Node: 146.59.35.246 | Traffic from this IP may be anonymized/malicious</t>
        </is>
      </c>
      <c r="D1632" t="n">
        <v>5</v>
      </c>
      <c r="E1632" t="inlineStr">
        <is>
          <t>MEDIUM</t>
        </is>
      </c>
      <c r="F1632" t="n">
        <v>2</v>
      </c>
      <c r="G1632" t="n">
        <v>1</v>
      </c>
      <c r="H1632" t="inlineStr">
        <is>
          <t>LOW</t>
        </is>
      </c>
      <c r="I1632" t="n">
        <v>7</v>
      </c>
      <c r="J1632" t="inlineStr">
        <is>
          <t>NO</t>
        </is>
      </c>
      <c r="K1632" t="inlineStr">
        <is>
          <t>2026-02-23 23:48</t>
        </is>
      </c>
      <c r="L1632" t="inlineStr">
        <is>
          <t>Block or monitor</t>
        </is>
      </c>
      <c r="M1632" t="inlineStr">
        <is>
          <t>Network perimeter</t>
        </is>
      </c>
      <c r="N1632" t="inlineStr">
        <is>
          <t>P4</t>
        </is>
      </c>
      <c r="O1632" t="inlineStr">
        <is>
          <t>Tor exit node - known anonymization service</t>
        </is>
      </c>
      <c r="P1632" t="n">
        <v>0</v>
      </c>
      <c r="Q1632" t="n">
        <v>0</v>
      </c>
      <c r="R1632" t="inlineStr">
        <is>
          <t>T1090.003:Multi-hop Proxy</t>
        </is>
      </c>
      <c r="S1632" t="n">
        <v>1</v>
      </c>
      <c r="T1632" t="inlineStr">
        <is>
          <t>LOW (40%)</t>
        </is>
      </c>
      <c r="U1632" t="inlineStr">
        <is>
          <t>NONE</t>
        </is>
      </c>
      <c r="V1632" t="inlineStr">
        <is>
          <t>NONE</t>
        </is>
      </c>
      <c r="W1632" t="inlineStr">
        <is>
          <t>NONE</t>
        </is>
      </c>
      <c r="X1632" t="inlineStr">
        <is>
          <t>NONE</t>
        </is>
      </c>
      <c r="Y1632" t="n">
        <v>0</v>
      </c>
      <c r="Z1632" t="inlineStr"/>
      <c r="AA1632" t="inlineStr">
        <is>
          <t>https://check.torproject.org/</t>
        </is>
      </c>
    </row>
    <row r="1633">
      <c r="A1633" t="inlineStr">
        <is>
          <t>TOR_EXIT</t>
        </is>
      </c>
      <c r="B1633" t="inlineStr">
        <is>
          <t>cd761a255492</t>
        </is>
      </c>
      <c r="C1633" t="inlineStr">
        <is>
          <t>Tor Exit Node: 72.167.47.69 | Traffic from this IP may be anonymized/malicious</t>
        </is>
      </c>
      <c r="D1633" t="n">
        <v>5</v>
      </c>
      <c r="E1633" t="inlineStr">
        <is>
          <t>MEDIUM</t>
        </is>
      </c>
      <c r="F1633" t="n">
        <v>2</v>
      </c>
      <c r="G1633" t="n">
        <v>1</v>
      </c>
      <c r="H1633" t="inlineStr">
        <is>
          <t>LOW</t>
        </is>
      </c>
      <c r="I1633" t="n">
        <v>7</v>
      </c>
      <c r="J1633" t="inlineStr">
        <is>
          <t>NO</t>
        </is>
      </c>
      <c r="K1633" t="inlineStr">
        <is>
          <t>2026-02-23 23:48</t>
        </is>
      </c>
      <c r="L1633" t="inlineStr">
        <is>
          <t>Block or monitor</t>
        </is>
      </c>
      <c r="M1633" t="inlineStr">
        <is>
          <t>Network perimeter</t>
        </is>
      </c>
      <c r="N1633" t="inlineStr">
        <is>
          <t>P4</t>
        </is>
      </c>
      <c r="O1633" t="inlineStr">
        <is>
          <t>Tor exit node - known anonymization service</t>
        </is>
      </c>
      <c r="P1633" t="n">
        <v>0</v>
      </c>
      <c r="Q1633" t="n">
        <v>0</v>
      </c>
      <c r="R1633" t="inlineStr">
        <is>
          <t>T1090.003:Multi-hop Proxy</t>
        </is>
      </c>
      <c r="S1633" t="n">
        <v>1</v>
      </c>
      <c r="T1633" t="inlineStr">
        <is>
          <t>LOW (40%)</t>
        </is>
      </c>
      <c r="U1633" t="inlineStr">
        <is>
          <t>NONE</t>
        </is>
      </c>
      <c r="V1633" t="inlineStr">
        <is>
          <t>NONE</t>
        </is>
      </c>
      <c r="W1633" t="inlineStr">
        <is>
          <t>NONE</t>
        </is>
      </c>
      <c r="X1633" t="inlineStr">
        <is>
          <t>NONE</t>
        </is>
      </c>
      <c r="Y1633" t="n">
        <v>0</v>
      </c>
      <c r="Z1633" t="inlineStr"/>
      <c r="AA1633" t="inlineStr">
        <is>
          <t>https://check.torproject.org/</t>
        </is>
      </c>
    </row>
    <row r="1634">
      <c r="A1634" t="inlineStr">
        <is>
          <t>TOR_EXIT</t>
        </is>
      </c>
      <c r="B1634" t="inlineStr">
        <is>
          <t>f2d34533c2e7</t>
        </is>
      </c>
      <c r="C1634" t="inlineStr">
        <is>
          <t>Tor Exit Node: 193.26.115.43 | Traffic from this IP may be anonymized/malicious</t>
        </is>
      </c>
      <c r="D1634" t="n">
        <v>5</v>
      </c>
      <c r="E1634" t="inlineStr">
        <is>
          <t>MEDIUM</t>
        </is>
      </c>
      <c r="F1634" t="n">
        <v>2</v>
      </c>
      <c r="G1634" t="n">
        <v>1</v>
      </c>
      <c r="H1634" t="inlineStr">
        <is>
          <t>LOW</t>
        </is>
      </c>
      <c r="I1634" t="n">
        <v>7</v>
      </c>
      <c r="J1634" t="inlineStr">
        <is>
          <t>NO</t>
        </is>
      </c>
      <c r="K1634" t="inlineStr">
        <is>
          <t>2026-02-23 23:48</t>
        </is>
      </c>
      <c r="L1634" t="inlineStr">
        <is>
          <t>Block or monitor</t>
        </is>
      </c>
      <c r="M1634" t="inlineStr">
        <is>
          <t>Network perimeter</t>
        </is>
      </c>
      <c r="N1634" t="inlineStr">
        <is>
          <t>P4</t>
        </is>
      </c>
      <c r="O1634" t="inlineStr">
        <is>
          <t>Tor exit node - known anonymization service</t>
        </is>
      </c>
      <c r="P1634" t="n">
        <v>0</v>
      </c>
      <c r="Q1634" t="n">
        <v>0</v>
      </c>
      <c r="R1634" t="inlineStr">
        <is>
          <t>T1090.003:Multi-hop Proxy</t>
        </is>
      </c>
      <c r="S1634" t="n">
        <v>1</v>
      </c>
      <c r="T1634" t="inlineStr">
        <is>
          <t>LOW (40%)</t>
        </is>
      </c>
      <c r="U1634" t="inlineStr">
        <is>
          <t>NONE</t>
        </is>
      </c>
      <c r="V1634" t="inlineStr">
        <is>
          <t>NONE</t>
        </is>
      </c>
      <c r="W1634" t="inlineStr">
        <is>
          <t>NONE</t>
        </is>
      </c>
      <c r="X1634" t="inlineStr">
        <is>
          <t>NONE</t>
        </is>
      </c>
      <c r="Y1634" t="n">
        <v>0</v>
      </c>
      <c r="Z1634" t="inlineStr"/>
      <c r="AA1634" t="inlineStr">
        <is>
          <t>https://check.torproject.org/</t>
        </is>
      </c>
    </row>
    <row r="1635">
      <c r="A1635" t="inlineStr">
        <is>
          <t>TOR_EXIT</t>
        </is>
      </c>
      <c r="B1635" t="inlineStr">
        <is>
          <t>6e99918b7596</t>
        </is>
      </c>
      <c r="C1635" t="inlineStr">
        <is>
          <t>Tor Exit Node: 179.43.159.197 | Traffic from this IP may be anonymized/malicious</t>
        </is>
      </c>
      <c r="D1635" t="n">
        <v>5</v>
      </c>
      <c r="E1635" t="inlineStr">
        <is>
          <t>MEDIUM</t>
        </is>
      </c>
      <c r="F1635" t="n">
        <v>2</v>
      </c>
      <c r="G1635" t="n">
        <v>1</v>
      </c>
      <c r="H1635" t="inlineStr">
        <is>
          <t>LOW</t>
        </is>
      </c>
      <c r="I1635" t="n">
        <v>7</v>
      </c>
      <c r="J1635" t="inlineStr">
        <is>
          <t>NO</t>
        </is>
      </c>
      <c r="K1635" t="inlineStr">
        <is>
          <t>2026-02-23 23:48</t>
        </is>
      </c>
      <c r="L1635" t="inlineStr">
        <is>
          <t>Block or monitor</t>
        </is>
      </c>
      <c r="M1635" t="inlineStr">
        <is>
          <t>Network perimeter</t>
        </is>
      </c>
      <c r="N1635" t="inlineStr">
        <is>
          <t>P4</t>
        </is>
      </c>
      <c r="O1635" t="inlineStr">
        <is>
          <t>Tor exit node - known anonymization service</t>
        </is>
      </c>
      <c r="P1635" t="n">
        <v>0</v>
      </c>
      <c r="Q1635" t="n">
        <v>0</v>
      </c>
      <c r="R1635" t="inlineStr">
        <is>
          <t>T1090.003:Multi-hop Proxy</t>
        </is>
      </c>
      <c r="S1635" t="n">
        <v>1</v>
      </c>
      <c r="T1635" t="inlineStr">
        <is>
          <t>LOW (40%)</t>
        </is>
      </c>
      <c r="U1635" t="inlineStr">
        <is>
          <t>NONE</t>
        </is>
      </c>
      <c r="V1635" t="inlineStr">
        <is>
          <t>NONE</t>
        </is>
      </c>
      <c r="W1635" t="inlineStr">
        <is>
          <t>NONE</t>
        </is>
      </c>
      <c r="X1635" t="inlineStr">
        <is>
          <t>NONE</t>
        </is>
      </c>
      <c r="Y1635" t="n">
        <v>0</v>
      </c>
      <c r="Z1635" t="inlineStr"/>
      <c r="AA1635" t="inlineStr">
        <is>
          <t>https://check.torproject.org/</t>
        </is>
      </c>
    </row>
    <row r="1636">
      <c r="A1636" t="inlineStr">
        <is>
          <t>TOR_EXIT</t>
        </is>
      </c>
      <c r="B1636" t="inlineStr">
        <is>
          <t>b61c50a01b3f</t>
        </is>
      </c>
      <c r="C1636" t="inlineStr">
        <is>
          <t>Tor Exit Node: 185.241.208.232 | Traffic from this IP may be anonymized/malicious</t>
        </is>
      </c>
      <c r="D1636" t="n">
        <v>5</v>
      </c>
      <c r="E1636" t="inlineStr">
        <is>
          <t>MEDIUM</t>
        </is>
      </c>
      <c r="F1636" t="n">
        <v>2</v>
      </c>
      <c r="G1636" t="n">
        <v>1</v>
      </c>
      <c r="H1636" t="inlineStr">
        <is>
          <t>LOW</t>
        </is>
      </c>
      <c r="I1636" t="n">
        <v>7</v>
      </c>
      <c r="J1636" t="inlineStr">
        <is>
          <t>NO</t>
        </is>
      </c>
      <c r="K1636" t="inlineStr">
        <is>
          <t>2026-02-23 23:48</t>
        </is>
      </c>
      <c r="L1636" t="inlineStr">
        <is>
          <t>Block or monitor</t>
        </is>
      </c>
      <c r="M1636" t="inlineStr">
        <is>
          <t>Network perimeter</t>
        </is>
      </c>
      <c r="N1636" t="inlineStr">
        <is>
          <t>P4</t>
        </is>
      </c>
      <c r="O1636" t="inlineStr">
        <is>
          <t>Tor exit node - known anonymization service</t>
        </is>
      </c>
      <c r="P1636" t="n">
        <v>0</v>
      </c>
      <c r="Q1636" t="n">
        <v>0</v>
      </c>
      <c r="R1636" t="inlineStr">
        <is>
          <t>T1090.003:Multi-hop Proxy</t>
        </is>
      </c>
      <c r="S1636" t="n">
        <v>1</v>
      </c>
      <c r="T1636" t="inlineStr">
        <is>
          <t>LOW (40%)</t>
        </is>
      </c>
      <c r="U1636" t="inlineStr">
        <is>
          <t>NONE</t>
        </is>
      </c>
      <c r="V1636" t="inlineStr">
        <is>
          <t>NONE</t>
        </is>
      </c>
      <c r="W1636" t="inlineStr">
        <is>
          <t>NONE</t>
        </is>
      </c>
      <c r="X1636" t="inlineStr">
        <is>
          <t>NONE</t>
        </is>
      </c>
      <c r="Y1636" t="n">
        <v>0</v>
      </c>
      <c r="Z1636" t="inlineStr"/>
      <c r="AA1636" t="inlineStr">
        <is>
          <t>https://check.torproject.org/</t>
        </is>
      </c>
    </row>
    <row r="1637">
      <c r="A1637" t="inlineStr">
        <is>
          <t>TOR_EXIT</t>
        </is>
      </c>
      <c r="B1637" t="inlineStr">
        <is>
          <t>67061a591c30</t>
        </is>
      </c>
      <c r="C1637" t="inlineStr">
        <is>
          <t>Tor Exit Node: 185.220.101.31 | Traffic from this IP may be anonymized/malicious</t>
        </is>
      </c>
      <c r="D1637" t="n">
        <v>5</v>
      </c>
      <c r="E1637" t="inlineStr">
        <is>
          <t>MEDIUM</t>
        </is>
      </c>
      <c r="F1637" t="n">
        <v>2</v>
      </c>
      <c r="G1637" t="n">
        <v>1</v>
      </c>
      <c r="H1637" t="inlineStr">
        <is>
          <t>LOW</t>
        </is>
      </c>
      <c r="I1637" t="n">
        <v>7</v>
      </c>
      <c r="J1637" t="inlineStr">
        <is>
          <t>NO</t>
        </is>
      </c>
      <c r="K1637" t="inlineStr">
        <is>
          <t>2026-02-23 23:48</t>
        </is>
      </c>
      <c r="L1637" t="inlineStr">
        <is>
          <t>Block or monitor</t>
        </is>
      </c>
      <c r="M1637" t="inlineStr">
        <is>
          <t>Network perimeter</t>
        </is>
      </c>
      <c r="N1637" t="inlineStr">
        <is>
          <t>P4</t>
        </is>
      </c>
      <c r="O1637" t="inlineStr">
        <is>
          <t>Tor exit node - known anonymization service</t>
        </is>
      </c>
      <c r="P1637" t="n">
        <v>0</v>
      </c>
      <c r="Q1637" t="n">
        <v>0</v>
      </c>
      <c r="R1637" t="inlineStr">
        <is>
          <t>T1090.003:Multi-hop Proxy</t>
        </is>
      </c>
      <c r="S1637" t="n">
        <v>1</v>
      </c>
      <c r="T1637" t="inlineStr">
        <is>
          <t>LOW (40%)</t>
        </is>
      </c>
      <c r="U1637" t="inlineStr">
        <is>
          <t>NONE</t>
        </is>
      </c>
      <c r="V1637" t="inlineStr">
        <is>
          <t>NONE</t>
        </is>
      </c>
      <c r="W1637" t="inlineStr">
        <is>
          <t>NONE</t>
        </is>
      </c>
      <c r="X1637" t="inlineStr">
        <is>
          <t>NONE</t>
        </is>
      </c>
      <c r="Y1637" t="n">
        <v>0</v>
      </c>
      <c r="Z1637" t="inlineStr"/>
      <c r="AA1637" t="inlineStr">
        <is>
          <t>https://check.torproject.org/</t>
        </is>
      </c>
    </row>
    <row r="1638">
      <c r="A1638" t="inlineStr">
        <is>
          <t>TOR_EXIT</t>
        </is>
      </c>
      <c r="B1638" t="inlineStr">
        <is>
          <t>7240ef74049c</t>
        </is>
      </c>
      <c r="C1638" t="inlineStr">
        <is>
          <t>Tor Exit Node: 199.195.249.214 | Traffic from this IP may be anonymized/malicious</t>
        </is>
      </c>
      <c r="D1638" t="n">
        <v>5</v>
      </c>
      <c r="E1638" t="inlineStr">
        <is>
          <t>MEDIUM</t>
        </is>
      </c>
      <c r="F1638" t="n">
        <v>2</v>
      </c>
      <c r="G1638" t="n">
        <v>1</v>
      </c>
      <c r="H1638" t="inlineStr">
        <is>
          <t>LOW</t>
        </is>
      </c>
      <c r="I1638" t="n">
        <v>7</v>
      </c>
      <c r="J1638" t="inlineStr">
        <is>
          <t>NO</t>
        </is>
      </c>
      <c r="K1638" t="inlineStr">
        <is>
          <t>2026-02-23 23:48</t>
        </is>
      </c>
      <c r="L1638" t="inlineStr">
        <is>
          <t>Block or monitor</t>
        </is>
      </c>
      <c r="M1638" t="inlineStr">
        <is>
          <t>Network perimeter</t>
        </is>
      </c>
      <c r="N1638" t="inlineStr">
        <is>
          <t>P4</t>
        </is>
      </c>
      <c r="O1638" t="inlineStr">
        <is>
          <t>Tor exit node - known anonymization service</t>
        </is>
      </c>
      <c r="P1638" t="n">
        <v>0</v>
      </c>
      <c r="Q1638" t="n">
        <v>0</v>
      </c>
      <c r="R1638" t="inlineStr">
        <is>
          <t>T1090.003:Multi-hop Proxy</t>
        </is>
      </c>
      <c r="S1638" t="n">
        <v>1</v>
      </c>
      <c r="T1638" t="inlineStr">
        <is>
          <t>LOW (40%)</t>
        </is>
      </c>
      <c r="U1638" t="inlineStr">
        <is>
          <t>NONE</t>
        </is>
      </c>
      <c r="V1638" t="inlineStr">
        <is>
          <t>NONE</t>
        </is>
      </c>
      <c r="W1638" t="inlineStr">
        <is>
          <t>NONE</t>
        </is>
      </c>
      <c r="X1638" t="inlineStr">
        <is>
          <t>NONE</t>
        </is>
      </c>
      <c r="Y1638" t="n">
        <v>0</v>
      </c>
      <c r="Z1638" t="inlineStr"/>
      <c r="AA1638" t="inlineStr">
        <is>
          <t>https://check.torproject.org/</t>
        </is>
      </c>
    </row>
    <row r="1639">
      <c r="A1639" t="inlineStr">
        <is>
          <t>TOR_EXIT</t>
        </is>
      </c>
      <c r="B1639" t="inlineStr">
        <is>
          <t>207554188105</t>
        </is>
      </c>
      <c r="C1639" t="inlineStr">
        <is>
          <t>Tor Exit Node: 195.88.74.206 | Traffic from this IP may be anonymized/malicious</t>
        </is>
      </c>
      <c r="D1639" t="n">
        <v>5</v>
      </c>
      <c r="E1639" t="inlineStr">
        <is>
          <t>MEDIUM</t>
        </is>
      </c>
      <c r="F1639" t="n">
        <v>2</v>
      </c>
      <c r="G1639" t="n">
        <v>1</v>
      </c>
      <c r="H1639" t="inlineStr">
        <is>
          <t>LOW</t>
        </is>
      </c>
      <c r="I1639" t="n">
        <v>7</v>
      </c>
      <c r="J1639" t="inlineStr">
        <is>
          <t>NO</t>
        </is>
      </c>
      <c r="K1639" t="inlineStr">
        <is>
          <t>2026-02-23 23:48</t>
        </is>
      </c>
      <c r="L1639" t="inlineStr">
        <is>
          <t>Block or monitor</t>
        </is>
      </c>
      <c r="M1639" t="inlineStr">
        <is>
          <t>Network perimeter</t>
        </is>
      </c>
      <c r="N1639" t="inlineStr">
        <is>
          <t>P4</t>
        </is>
      </c>
      <c r="O1639" t="inlineStr">
        <is>
          <t>Tor exit node - known anonymization service</t>
        </is>
      </c>
      <c r="P1639" t="n">
        <v>0</v>
      </c>
      <c r="Q1639" t="n">
        <v>0</v>
      </c>
      <c r="R1639" t="inlineStr">
        <is>
          <t>T1090.003:Multi-hop Proxy</t>
        </is>
      </c>
      <c r="S1639" t="n">
        <v>1</v>
      </c>
      <c r="T1639" t="inlineStr">
        <is>
          <t>LOW (40%)</t>
        </is>
      </c>
      <c r="U1639" t="inlineStr">
        <is>
          <t>NONE</t>
        </is>
      </c>
      <c r="V1639" t="inlineStr">
        <is>
          <t>NONE</t>
        </is>
      </c>
      <c r="W1639" t="inlineStr">
        <is>
          <t>NONE</t>
        </is>
      </c>
      <c r="X1639" t="inlineStr">
        <is>
          <t>NONE</t>
        </is>
      </c>
      <c r="Y1639" t="n">
        <v>0</v>
      </c>
      <c r="Z1639" t="inlineStr"/>
      <c r="AA1639" t="inlineStr">
        <is>
          <t>https://check.torproject.org/</t>
        </is>
      </c>
    </row>
    <row r="1640">
      <c r="A1640" t="inlineStr">
        <is>
          <t>TOR_EXIT</t>
        </is>
      </c>
      <c r="B1640" t="inlineStr">
        <is>
          <t>ed15bcf38308</t>
        </is>
      </c>
      <c r="C1640" t="inlineStr">
        <is>
          <t>Tor Exit Node: 172.81.131.168 | Traffic from this IP may be anonymized/malicious</t>
        </is>
      </c>
      <c r="D1640" t="n">
        <v>5</v>
      </c>
      <c r="E1640" t="inlineStr">
        <is>
          <t>MEDIUM</t>
        </is>
      </c>
      <c r="F1640" t="n">
        <v>2</v>
      </c>
      <c r="G1640" t="n">
        <v>1</v>
      </c>
      <c r="H1640" t="inlineStr">
        <is>
          <t>LOW</t>
        </is>
      </c>
      <c r="I1640" t="n">
        <v>7</v>
      </c>
      <c r="J1640" t="inlineStr">
        <is>
          <t>NO</t>
        </is>
      </c>
      <c r="K1640" t="inlineStr">
        <is>
          <t>2026-02-23 23:48</t>
        </is>
      </c>
      <c r="L1640" t="inlineStr">
        <is>
          <t>Block or monitor</t>
        </is>
      </c>
      <c r="M1640" t="inlineStr">
        <is>
          <t>Network perimeter</t>
        </is>
      </c>
      <c r="N1640" t="inlineStr">
        <is>
          <t>P4</t>
        </is>
      </c>
      <c r="O1640" t="inlineStr">
        <is>
          <t>Tor exit node - known anonymization service</t>
        </is>
      </c>
      <c r="P1640" t="n">
        <v>0</v>
      </c>
      <c r="Q1640" t="n">
        <v>0</v>
      </c>
      <c r="R1640" t="inlineStr">
        <is>
          <t>T1090.003:Multi-hop Proxy</t>
        </is>
      </c>
      <c r="S1640" t="n">
        <v>1</v>
      </c>
      <c r="T1640" t="inlineStr">
        <is>
          <t>LOW (40%)</t>
        </is>
      </c>
      <c r="U1640" t="inlineStr">
        <is>
          <t>NONE</t>
        </is>
      </c>
      <c r="V1640" t="inlineStr">
        <is>
          <t>NONE</t>
        </is>
      </c>
      <c r="W1640" t="inlineStr">
        <is>
          <t>NONE</t>
        </is>
      </c>
      <c r="X1640" t="inlineStr">
        <is>
          <t>NONE</t>
        </is>
      </c>
      <c r="Y1640" t="n">
        <v>0</v>
      </c>
      <c r="Z1640" t="inlineStr"/>
      <c r="AA1640" t="inlineStr">
        <is>
          <t>https://check.torproject.org/</t>
        </is>
      </c>
    </row>
    <row r="1641">
      <c r="A1641" t="inlineStr">
        <is>
          <t>TOR_EXIT</t>
        </is>
      </c>
      <c r="B1641" t="inlineStr">
        <is>
          <t>587e8b09d241</t>
        </is>
      </c>
      <c r="C1641" t="inlineStr">
        <is>
          <t>Tor Exit Node: 185.220.101.184 | Traffic from this IP may be anonymized/malicious</t>
        </is>
      </c>
      <c r="D1641" t="n">
        <v>5</v>
      </c>
      <c r="E1641" t="inlineStr">
        <is>
          <t>MEDIUM</t>
        </is>
      </c>
      <c r="F1641" t="n">
        <v>2</v>
      </c>
      <c r="G1641" t="n">
        <v>1</v>
      </c>
      <c r="H1641" t="inlineStr">
        <is>
          <t>LOW</t>
        </is>
      </c>
      <c r="I1641" t="n">
        <v>7</v>
      </c>
      <c r="J1641" t="inlineStr">
        <is>
          <t>NO</t>
        </is>
      </c>
      <c r="K1641" t="inlineStr">
        <is>
          <t>2026-02-23 23:48</t>
        </is>
      </c>
      <c r="L1641" t="inlineStr">
        <is>
          <t>Block or monitor</t>
        </is>
      </c>
      <c r="M1641" t="inlineStr">
        <is>
          <t>Network perimeter</t>
        </is>
      </c>
      <c r="N1641" t="inlineStr">
        <is>
          <t>P4</t>
        </is>
      </c>
      <c r="O1641" t="inlineStr">
        <is>
          <t>Tor exit node - known anonymization service</t>
        </is>
      </c>
      <c r="P1641" t="n">
        <v>0</v>
      </c>
      <c r="Q1641" t="n">
        <v>0</v>
      </c>
      <c r="R1641" t="inlineStr">
        <is>
          <t>T1090.003:Multi-hop Proxy</t>
        </is>
      </c>
      <c r="S1641" t="n">
        <v>1</v>
      </c>
      <c r="T1641" t="inlineStr">
        <is>
          <t>LOW (40%)</t>
        </is>
      </c>
      <c r="U1641" t="inlineStr">
        <is>
          <t>NONE</t>
        </is>
      </c>
      <c r="V1641" t="inlineStr">
        <is>
          <t>NONE</t>
        </is>
      </c>
      <c r="W1641" t="inlineStr">
        <is>
          <t>NONE</t>
        </is>
      </c>
      <c r="X1641" t="inlineStr">
        <is>
          <t>NONE</t>
        </is>
      </c>
      <c r="Y1641" t="n">
        <v>0</v>
      </c>
      <c r="Z1641" t="inlineStr"/>
      <c r="AA1641" t="inlineStr">
        <is>
          <t>https://check.torproject.org/</t>
        </is>
      </c>
    </row>
    <row r="1642">
      <c r="A1642" t="inlineStr">
        <is>
          <t>TOR_EXIT</t>
        </is>
      </c>
      <c r="B1642" t="inlineStr">
        <is>
          <t>402901f61029</t>
        </is>
      </c>
      <c r="C1642" t="inlineStr">
        <is>
          <t>Tor Exit Node: 185.220.101.185 | Traffic from this IP may be anonymized/malicious</t>
        </is>
      </c>
      <c r="D1642" t="n">
        <v>5</v>
      </c>
      <c r="E1642" t="inlineStr">
        <is>
          <t>MEDIUM</t>
        </is>
      </c>
      <c r="F1642" t="n">
        <v>2</v>
      </c>
      <c r="G1642" t="n">
        <v>1</v>
      </c>
      <c r="H1642" t="inlineStr">
        <is>
          <t>LOW</t>
        </is>
      </c>
      <c r="I1642" t="n">
        <v>7</v>
      </c>
      <c r="J1642" t="inlineStr">
        <is>
          <t>NO</t>
        </is>
      </c>
      <c r="K1642" t="inlineStr">
        <is>
          <t>2026-02-23 23:48</t>
        </is>
      </c>
      <c r="L1642" t="inlineStr">
        <is>
          <t>Block or monitor</t>
        </is>
      </c>
      <c r="M1642" t="inlineStr">
        <is>
          <t>Network perimeter</t>
        </is>
      </c>
      <c r="N1642" t="inlineStr">
        <is>
          <t>P4</t>
        </is>
      </c>
      <c r="O1642" t="inlineStr">
        <is>
          <t>Tor exit node - known anonymization service</t>
        </is>
      </c>
      <c r="P1642" t="n">
        <v>0</v>
      </c>
      <c r="Q1642" t="n">
        <v>0</v>
      </c>
      <c r="R1642" t="inlineStr">
        <is>
          <t>T1090.003:Multi-hop Proxy</t>
        </is>
      </c>
      <c r="S1642" t="n">
        <v>1</v>
      </c>
      <c r="T1642" t="inlineStr">
        <is>
          <t>LOW (40%)</t>
        </is>
      </c>
      <c r="U1642" t="inlineStr">
        <is>
          <t>NONE</t>
        </is>
      </c>
      <c r="V1642" t="inlineStr">
        <is>
          <t>NONE</t>
        </is>
      </c>
      <c r="W1642" t="inlineStr">
        <is>
          <t>NONE</t>
        </is>
      </c>
      <c r="X1642" t="inlineStr">
        <is>
          <t>NONE</t>
        </is>
      </c>
      <c r="Y1642" t="n">
        <v>0</v>
      </c>
      <c r="Z1642" t="inlineStr"/>
      <c r="AA1642" t="inlineStr">
        <is>
          <t>https://check.torproject.org/</t>
        </is>
      </c>
    </row>
    <row r="1643">
      <c r="A1643" t="inlineStr">
        <is>
          <t>TOR_EXIT</t>
        </is>
      </c>
      <c r="B1643" t="inlineStr">
        <is>
          <t>0588f8c03417</t>
        </is>
      </c>
      <c r="C1643" t="inlineStr">
        <is>
          <t>Tor Exit Node: 185.220.101.90 | Traffic from this IP may be anonymized/malicious</t>
        </is>
      </c>
      <c r="D1643" t="n">
        <v>5</v>
      </c>
      <c r="E1643" t="inlineStr">
        <is>
          <t>MEDIUM</t>
        </is>
      </c>
      <c r="F1643" t="n">
        <v>2</v>
      </c>
      <c r="G1643" t="n">
        <v>1</v>
      </c>
      <c r="H1643" t="inlineStr">
        <is>
          <t>LOW</t>
        </is>
      </c>
      <c r="I1643" t="n">
        <v>7</v>
      </c>
      <c r="J1643" t="inlineStr">
        <is>
          <t>NO</t>
        </is>
      </c>
      <c r="K1643" t="inlineStr">
        <is>
          <t>2026-02-23 23:48</t>
        </is>
      </c>
      <c r="L1643" t="inlineStr">
        <is>
          <t>Block or monitor</t>
        </is>
      </c>
      <c r="M1643" t="inlineStr">
        <is>
          <t>Network perimeter</t>
        </is>
      </c>
      <c r="N1643" t="inlineStr">
        <is>
          <t>P4</t>
        </is>
      </c>
      <c r="O1643" t="inlineStr">
        <is>
          <t>Tor exit node - known anonymization service</t>
        </is>
      </c>
      <c r="P1643" t="n">
        <v>0</v>
      </c>
      <c r="Q1643" t="n">
        <v>0</v>
      </c>
      <c r="R1643" t="inlineStr">
        <is>
          <t>T1090.003:Multi-hop Proxy</t>
        </is>
      </c>
      <c r="S1643" t="n">
        <v>1</v>
      </c>
      <c r="T1643" t="inlineStr">
        <is>
          <t>LOW (40%)</t>
        </is>
      </c>
      <c r="U1643" t="inlineStr">
        <is>
          <t>NONE</t>
        </is>
      </c>
      <c r="V1643" t="inlineStr">
        <is>
          <t>NONE</t>
        </is>
      </c>
      <c r="W1643" t="inlineStr">
        <is>
          <t>NONE</t>
        </is>
      </c>
      <c r="X1643" t="inlineStr">
        <is>
          <t>NONE</t>
        </is>
      </c>
      <c r="Y1643" t="n">
        <v>0</v>
      </c>
      <c r="Z1643" t="inlineStr"/>
      <c r="AA1643" t="inlineStr">
        <is>
          <t>https://check.torproject.org/</t>
        </is>
      </c>
    </row>
    <row r="1644">
      <c r="A1644" t="inlineStr">
        <is>
          <t>TOR_EXIT</t>
        </is>
      </c>
      <c r="B1644" t="inlineStr">
        <is>
          <t>d9a58806ce31</t>
        </is>
      </c>
      <c r="C1644" t="inlineStr">
        <is>
          <t>Tor Exit Node: 185.243.218.202 | Traffic from this IP may be anonymized/malicious</t>
        </is>
      </c>
      <c r="D1644" t="n">
        <v>5</v>
      </c>
      <c r="E1644" t="inlineStr">
        <is>
          <t>MEDIUM</t>
        </is>
      </c>
      <c r="F1644" t="n">
        <v>2</v>
      </c>
      <c r="G1644" t="n">
        <v>1</v>
      </c>
      <c r="H1644" t="inlineStr">
        <is>
          <t>LOW</t>
        </is>
      </c>
      <c r="I1644" t="n">
        <v>7</v>
      </c>
      <c r="J1644" t="inlineStr">
        <is>
          <t>NO</t>
        </is>
      </c>
      <c r="K1644" t="inlineStr">
        <is>
          <t>2026-02-23 23:48</t>
        </is>
      </c>
      <c r="L1644" t="inlineStr">
        <is>
          <t>Block or monitor</t>
        </is>
      </c>
      <c r="M1644" t="inlineStr">
        <is>
          <t>Network perimeter</t>
        </is>
      </c>
      <c r="N1644" t="inlineStr">
        <is>
          <t>P4</t>
        </is>
      </c>
      <c r="O1644" t="inlineStr">
        <is>
          <t>Tor exit node - known anonymization service</t>
        </is>
      </c>
      <c r="P1644" t="n">
        <v>0</v>
      </c>
      <c r="Q1644" t="n">
        <v>0</v>
      </c>
      <c r="R1644" t="inlineStr">
        <is>
          <t>T1090.003:Multi-hop Proxy</t>
        </is>
      </c>
      <c r="S1644" t="n">
        <v>1</v>
      </c>
      <c r="T1644" t="inlineStr">
        <is>
          <t>LOW (40%)</t>
        </is>
      </c>
      <c r="U1644" t="inlineStr">
        <is>
          <t>NONE</t>
        </is>
      </c>
      <c r="V1644" t="inlineStr">
        <is>
          <t>NONE</t>
        </is>
      </c>
      <c r="W1644" t="inlineStr">
        <is>
          <t>NONE</t>
        </is>
      </c>
      <c r="X1644" t="inlineStr">
        <is>
          <t>NONE</t>
        </is>
      </c>
      <c r="Y1644" t="n">
        <v>0</v>
      </c>
      <c r="Z1644" t="inlineStr"/>
      <c r="AA1644" t="inlineStr">
        <is>
          <t>https://check.torproject.org/</t>
        </is>
      </c>
    </row>
    <row r="1645">
      <c r="A1645" t="inlineStr">
        <is>
          <t>TOR_EXIT</t>
        </is>
      </c>
      <c r="B1645" t="inlineStr">
        <is>
          <t>5726087a2919</t>
        </is>
      </c>
      <c r="C1645" t="inlineStr">
        <is>
          <t>Tor Exit Node: 23.184.48.101 | Traffic from this IP may be anonymized/malicious</t>
        </is>
      </c>
      <c r="D1645" t="n">
        <v>5</v>
      </c>
      <c r="E1645" t="inlineStr">
        <is>
          <t>MEDIUM</t>
        </is>
      </c>
      <c r="F1645" t="n">
        <v>2</v>
      </c>
      <c r="G1645" t="n">
        <v>1</v>
      </c>
      <c r="H1645" t="inlineStr">
        <is>
          <t>LOW</t>
        </is>
      </c>
      <c r="I1645" t="n">
        <v>7</v>
      </c>
      <c r="J1645" t="inlineStr">
        <is>
          <t>NO</t>
        </is>
      </c>
      <c r="K1645" t="inlineStr">
        <is>
          <t>2026-02-23 23:48</t>
        </is>
      </c>
      <c r="L1645" t="inlineStr">
        <is>
          <t>Block or monitor</t>
        </is>
      </c>
      <c r="M1645" t="inlineStr">
        <is>
          <t>Network perimeter</t>
        </is>
      </c>
      <c r="N1645" t="inlineStr">
        <is>
          <t>P4</t>
        </is>
      </c>
      <c r="O1645" t="inlineStr">
        <is>
          <t>Tor exit node - known anonymization service</t>
        </is>
      </c>
      <c r="P1645" t="n">
        <v>0</v>
      </c>
      <c r="Q1645" t="n">
        <v>0</v>
      </c>
      <c r="R1645" t="inlineStr">
        <is>
          <t>T1090.003:Multi-hop Proxy</t>
        </is>
      </c>
      <c r="S1645" t="n">
        <v>1</v>
      </c>
      <c r="T1645" t="inlineStr">
        <is>
          <t>LOW (40%)</t>
        </is>
      </c>
      <c r="U1645" t="inlineStr">
        <is>
          <t>NONE</t>
        </is>
      </c>
      <c r="V1645" t="inlineStr">
        <is>
          <t>NONE</t>
        </is>
      </c>
      <c r="W1645" t="inlineStr">
        <is>
          <t>NONE</t>
        </is>
      </c>
      <c r="X1645" t="inlineStr">
        <is>
          <t>NONE</t>
        </is>
      </c>
      <c r="Y1645" t="n">
        <v>0</v>
      </c>
      <c r="Z1645" t="inlineStr"/>
      <c r="AA1645" t="inlineStr">
        <is>
          <t>https://check.torproject.org/</t>
        </is>
      </c>
    </row>
    <row r="1646">
      <c r="A1646" t="inlineStr">
        <is>
          <t>TOR_EXIT</t>
        </is>
      </c>
      <c r="B1646" t="inlineStr">
        <is>
          <t>d7523972f564</t>
        </is>
      </c>
      <c r="C1646" t="inlineStr">
        <is>
          <t>Tor Exit Node: 185.220.101.172 | Traffic from this IP may be anonymized/malicious</t>
        </is>
      </c>
      <c r="D1646" t="n">
        <v>5</v>
      </c>
      <c r="E1646" t="inlineStr">
        <is>
          <t>MEDIUM</t>
        </is>
      </c>
      <c r="F1646" t="n">
        <v>2</v>
      </c>
      <c r="G1646" t="n">
        <v>1</v>
      </c>
      <c r="H1646" t="inlineStr">
        <is>
          <t>LOW</t>
        </is>
      </c>
      <c r="I1646" t="n">
        <v>7</v>
      </c>
      <c r="J1646" t="inlineStr">
        <is>
          <t>NO</t>
        </is>
      </c>
      <c r="K1646" t="inlineStr">
        <is>
          <t>2026-02-23 23:48</t>
        </is>
      </c>
      <c r="L1646" t="inlineStr">
        <is>
          <t>Block or monitor</t>
        </is>
      </c>
      <c r="M1646" t="inlineStr">
        <is>
          <t>Network perimeter</t>
        </is>
      </c>
      <c r="N1646" t="inlineStr">
        <is>
          <t>P4</t>
        </is>
      </c>
      <c r="O1646" t="inlineStr">
        <is>
          <t>Tor exit node - known anonymization service</t>
        </is>
      </c>
      <c r="P1646" t="n">
        <v>0</v>
      </c>
      <c r="Q1646" t="n">
        <v>0</v>
      </c>
      <c r="R1646" t="inlineStr">
        <is>
          <t>T1090.003:Multi-hop Proxy</t>
        </is>
      </c>
      <c r="S1646" t="n">
        <v>1</v>
      </c>
      <c r="T1646" t="inlineStr">
        <is>
          <t>LOW (40%)</t>
        </is>
      </c>
      <c r="U1646" t="inlineStr">
        <is>
          <t>NONE</t>
        </is>
      </c>
      <c r="V1646" t="inlineStr">
        <is>
          <t>NONE</t>
        </is>
      </c>
      <c r="W1646" t="inlineStr">
        <is>
          <t>NONE</t>
        </is>
      </c>
      <c r="X1646" t="inlineStr">
        <is>
          <t>NONE</t>
        </is>
      </c>
      <c r="Y1646" t="n">
        <v>0</v>
      </c>
      <c r="Z1646" t="inlineStr"/>
      <c r="AA1646" t="inlineStr">
        <is>
          <t>https://check.torproject.org/</t>
        </is>
      </c>
    </row>
    <row r="1647">
      <c r="A1647" t="inlineStr">
        <is>
          <t>TOR_EXIT</t>
        </is>
      </c>
      <c r="B1647" t="inlineStr">
        <is>
          <t>7cf2fad98016</t>
        </is>
      </c>
      <c r="C1647" t="inlineStr">
        <is>
          <t>Tor Exit Node: 185.220.101.3 | Traffic from this IP may be anonymized/malicious</t>
        </is>
      </c>
      <c r="D1647" t="n">
        <v>5</v>
      </c>
      <c r="E1647" t="inlineStr">
        <is>
          <t>MEDIUM</t>
        </is>
      </c>
      <c r="F1647" t="n">
        <v>2</v>
      </c>
      <c r="G1647" t="n">
        <v>1</v>
      </c>
      <c r="H1647" t="inlineStr">
        <is>
          <t>LOW</t>
        </is>
      </c>
      <c r="I1647" t="n">
        <v>7</v>
      </c>
      <c r="J1647" t="inlineStr">
        <is>
          <t>NO</t>
        </is>
      </c>
      <c r="K1647" t="inlineStr">
        <is>
          <t>2026-02-23 23:48</t>
        </is>
      </c>
      <c r="L1647" t="inlineStr">
        <is>
          <t>Block or monitor</t>
        </is>
      </c>
      <c r="M1647" t="inlineStr">
        <is>
          <t>Network perimeter</t>
        </is>
      </c>
      <c r="N1647" t="inlineStr">
        <is>
          <t>P4</t>
        </is>
      </c>
      <c r="O1647" t="inlineStr">
        <is>
          <t>Tor exit node - known anonymization service</t>
        </is>
      </c>
      <c r="P1647" t="n">
        <v>0</v>
      </c>
      <c r="Q1647" t="n">
        <v>0</v>
      </c>
      <c r="R1647" t="inlineStr">
        <is>
          <t>T1090.003:Multi-hop Proxy</t>
        </is>
      </c>
      <c r="S1647" t="n">
        <v>1</v>
      </c>
      <c r="T1647" t="inlineStr">
        <is>
          <t>LOW (40%)</t>
        </is>
      </c>
      <c r="U1647" t="inlineStr">
        <is>
          <t>NONE</t>
        </is>
      </c>
      <c r="V1647" t="inlineStr">
        <is>
          <t>NONE</t>
        </is>
      </c>
      <c r="W1647" t="inlineStr">
        <is>
          <t>NONE</t>
        </is>
      </c>
      <c r="X1647" t="inlineStr">
        <is>
          <t>NONE</t>
        </is>
      </c>
      <c r="Y1647" t="n">
        <v>0</v>
      </c>
      <c r="Z1647" t="inlineStr"/>
      <c r="AA1647" t="inlineStr">
        <is>
          <t>https://check.torproject.org/</t>
        </is>
      </c>
    </row>
    <row r="1648">
      <c r="A1648" t="inlineStr">
        <is>
          <t>TOR_EXIT</t>
        </is>
      </c>
      <c r="B1648" t="inlineStr">
        <is>
          <t>fda2c2ea1ce8</t>
        </is>
      </c>
      <c r="C1648" t="inlineStr">
        <is>
          <t>Tor Exit Node: 192.42.116.175 | Traffic from this IP may be anonymized/malicious</t>
        </is>
      </c>
      <c r="D1648" t="n">
        <v>5</v>
      </c>
      <c r="E1648" t="inlineStr">
        <is>
          <t>MEDIUM</t>
        </is>
      </c>
      <c r="F1648" t="n">
        <v>2</v>
      </c>
      <c r="G1648" t="n">
        <v>1</v>
      </c>
      <c r="H1648" t="inlineStr">
        <is>
          <t>LOW</t>
        </is>
      </c>
      <c r="I1648" t="n">
        <v>7</v>
      </c>
      <c r="J1648" t="inlineStr">
        <is>
          <t>NO</t>
        </is>
      </c>
      <c r="K1648" t="inlineStr">
        <is>
          <t>2026-02-23 23:48</t>
        </is>
      </c>
      <c r="L1648" t="inlineStr">
        <is>
          <t>Block or monitor</t>
        </is>
      </c>
      <c r="M1648" t="inlineStr">
        <is>
          <t>Network perimeter</t>
        </is>
      </c>
      <c r="N1648" t="inlineStr">
        <is>
          <t>P4</t>
        </is>
      </c>
      <c r="O1648" t="inlineStr">
        <is>
          <t>Tor exit node - known anonymization service</t>
        </is>
      </c>
      <c r="P1648" t="n">
        <v>0</v>
      </c>
      <c r="Q1648" t="n">
        <v>0</v>
      </c>
      <c r="R1648" t="inlineStr">
        <is>
          <t>T1090.003:Multi-hop Proxy</t>
        </is>
      </c>
      <c r="S1648" t="n">
        <v>1</v>
      </c>
      <c r="T1648" t="inlineStr">
        <is>
          <t>LOW (40%)</t>
        </is>
      </c>
      <c r="U1648" t="inlineStr">
        <is>
          <t>NONE</t>
        </is>
      </c>
      <c r="V1648" t="inlineStr">
        <is>
          <t>NONE</t>
        </is>
      </c>
      <c r="W1648" t="inlineStr">
        <is>
          <t>NONE</t>
        </is>
      </c>
      <c r="X1648" t="inlineStr">
        <is>
          <t>NONE</t>
        </is>
      </c>
      <c r="Y1648" t="n">
        <v>0</v>
      </c>
      <c r="Z1648" t="inlineStr"/>
      <c r="AA1648" t="inlineStr">
        <is>
          <t>https://check.torproject.org/</t>
        </is>
      </c>
    </row>
    <row r="1649">
      <c r="A1649" t="inlineStr">
        <is>
          <t>TOR_EXIT</t>
        </is>
      </c>
      <c r="B1649" t="inlineStr">
        <is>
          <t>ffe20dce4204</t>
        </is>
      </c>
      <c r="C1649" t="inlineStr">
        <is>
          <t>Tor Exit Node: 146.59.234.220 | Traffic from this IP may be anonymized/malicious</t>
        </is>
      </c>
      <c r="D1649" t="n">
        <v>5</v>
      </c>
      <c r="E1649" t="inlineStr">
        <is>
          <t>MEDIUM</t>
        </is>
      </c>
      <c r="F1649" t="n">
        <v>2</v>
      </c>
      <c r="G1649" t="n">
        <v>1</v>
      </c>
      <c r="H1649" t="inlineStr">
        <is>
          <t>LOW</t>
        </is>
      </c>
      <c r="I1649" t="n">
        <v>7</v>
      </c>
      <c r="J1649" t="inlineStr">
        <is>
          <t>NO</t>
        </is>
      </c>
      <c r="K1649" t="inlineStr">
        <is>
          <t>2026-02-23 23:48</t>
        </is>
      </c>
      <c r="L1649" t="inlineStr">
        <is>
          <t>Block or monitor</t>
        </is>
      </c>
      <c r="M1649" t="inlineStr">
        <is>
          <t>Network perimeter</t>
        </is>
      </c>
      <c r="N1649" t="inlineStr">
        <is>
          <t>P4</t>
        </is>
      </c>
      <c r="O1649" t="inlineStr">
        <is>
          <t>Tor exit node - known anonymization service</t>
        </is>
      </c>
      <c r="P1649" t="n">
        <v>0</v>
      </c>
      <c r="Q1649" t="n">
        <v>0</v>
      </c>
      <c r="R1649" t="inlineStr">
        <is>
          <t>T1090.003:Multi-hop Proxy</t>
        </is>
      </c>
      <c r="S1649" t="n">
        <v>1</v>
      </c>
      <c r="T1649" t="inlineStr">
        <is>
          <t>LOW (40%)</t>
        </is>
      </c>
      <c r="U1649" t="inlineStr">
        <is>
          <t>NONE</t>
        </is>
      </c>
      <c r="V1649" t="inlineStr">
        <is>
          <t>NONE</t>
        </is>
      </c>
      <c r="W1649" t="inlineStr">
        <is>
          <t>NONE</t>
        </is>
      </c>
      <c r="X1649" t="inlineStr">
        <is>
          <t>NONE</t>
        </is>
      </c>
      <c r="Y1649" t="n">
        <v>0</v>
      </c>
      <c r="Z1649" t="inlineStr"/>
      <c r="AA1649" t="inlineStr">
        <is>
          <t>https://check.torproject.org/</t>
        </is>
      </c>
    </row>
    <row r="1650">
      <c r="A1650" t="inlineStr">
        <is>
          <t>TOR_EXIT</t>
        </is>
      </c>
      <c r="B1650" t="inlineStr">
        <is>
          <t>d4f5ca9915d6</t>
        </is>
      </c>
      <c r="C1650" t="inlineStr">
        <is>
          <t>Tor Exit Node: 185.14.97.37 | Traffic from this IP may be anonymized/malicious</t>
        </is>
      </c>
      <c r="D1650" t="n">
        <v>5</v>
      </c>
      <c r="E1650" t="inlineStr">
        <is>
          <t>MEDIUM</t>
        </is>
      </c>
      <c r="F1650" t="n">
        <v>2</v>
      </c>
      <c r="G1650" t="n">
        <v>1</v>
      </c>
      <c r="H1650" t="inlineStr">
        <is>
          <t>LOW</t>
        </is>
      </c>
      <c r="I1650" t="n">
        <v>7</v>
      </c>
      <c r="J1650" t="inlineStr">
        <is>
          <t>NO</t>
        </is>
      </c>
      <c r="K1650" t="inlineStr">
        <is>
          <t>2026-02-23 23:48</t>
        </is>
      </c>
      <c r="L1650" t="inlineStr">
        <is>
          <t>Block or monitor</t>
        </is>
      </c>
      <c r="M1650" t="inlineStr">
        <is>
          <t>Network perimeter</t>
        </is>
      </c>
      <c r="N1650" t="inlineStr">
        <is>
          <t>P4</t>
        </is>
      </c>
      <c r="O1650" t="inlineStr">
        <is>
          <t>Tor exit node - known anonymization service</t>
        </is>
      </c>
      <c r="P1650" t="n">
        <v>0</v>
      </c>
      <c r="Q1650" t="n">
        <v>0</v>
      </c>
      <c r="R1650" t="inlineStr">
        <is>
          <t>T1090.003:Multi-hop Proxy</t>
        </is>
      </c>
      <c r="S1650" t="n">
        <v>1</v>
      </c>
      <c r="T1650" t="inlineStr">
        <is>
          <t>LOW (40%)</t>
        </is>
      </c>
      <c r="U1650" t="inlineStr">
        <is>
          <t>NONE</t>
        </is>
      </c>
      <c r="V1650" t="inlineStr">
        <is>
          <t>NONE</t>
        </is>
      </c>
      <c r="W1650" t="inlineStr">
        <is>
          <t>NONE</t>
        </is>
      </c>
      <c r="X1650" t="inlineStr">
        <is>
          <t>NONE</t>
        </is>
      </c>
      <c r="Y1650" t="n">
        <v>0</v>
      </c>
      <c r="Z1650" t="inlineStr"/>
      <c r="AA1650" t="inlineStr">
        <is>
          <t>https://check.torproject.org/</t>
        </is>
      </c>
    </row>
    <row r="1651">
      <c r="A1651" t="inlineStr">
        <is>
          <t>BLOCKLIST_DE</t>
        </is>
      </c>
      <c r="B1651" t="inlineStr">
        <is>
          <t>88b39c15dff0</t>
        </is>
      </c>
      <c r="C1651" t="inlineStr">
        <is>
          <t>Blocklist.de: 1.1.179.83 | Attack activity reported | Sources: BLOCKLIST_DE</t>
        </is>
      </c>
      <c r="D1651" t="n">
        <v>6</v>
      </c>
      <c r="E1651" t="inlineStr">
        <is>
          <t>MEDIUM</t>
        </is>
      </c>
      <c r="F1651" t="n">
        <v>2</v>
      </c>
      <c r="G1651" t="n">
        <v>2</v>
      </c>
      <c r="H1651" t="inlineStr">
        <is>
          <t>MEDIUM</t>
        </is>
      </c>
      <c r="I1651" t="n">
        <v>10</v>
      </c>
      <c r="J1651" t="inlineStr">
        <is>
          <t>NO</t>
        </is>
      </c>
      <c r="K1651" t="inlineStr">
        <is>
          <t>2026-02-23 23:48</t>
        </is>
      </c>
      <c r="L1651" t="inlineStr">
        <is>
          <t>Block IP</t>
        </is>
      </c>
      <c r="M1651" t="inlineStr">
        <is>
          <t>Firewall/Network</t>
        </is>
      </c>
      <c r="N1651" t="inlineStr">
        <is>
          <t>P4</t>
        </is>
      </c>
      <c r="O1651" t="inlineStr">
        <is>
          <t>Blocklist IP — ip-api.com context available</t>
        </is>
      </c>
      <c r="P1651" t="n">
        <v>0</v>
      </c>
      <c r="Q1651" t="n">
        <v>0</v>
      </c>
      <c r="R1651" t="inlineStr">
        <is>
          <t>T1110:Brute Force | T1190:Exploit Public-Facing Application</t>
        </is>
      </c>
      <c r="S1651" t="n">
        <v>1</v>
      </c>
      <c r="T1651" t="inlineStr">
        <is>
          <t>LOW (40%)</t>
        </is>
      </c>
      <c r="U1651" t="inlineStr">
        <is>
          <t>NONE</t>
        </is>
      </c>
      <c r="V1651" t="inlineStr">
        <is>
          <t>NONE</t>
        </is>
      </c>
      <c r="W1651" t="inlineStr">
        <is>
          <t>NONE</t>
        </is>
      </c>
      <c r="X1651" t="inlineStr">
        <is>
          <t>NONE</t>
        </is>
      </c>
      <c r="Y1651" t="n">
        <v>0</v>
      </c>
      <c r="Z1651" t="inlineStr"/>
      <c r="AA1651" t="inlineStr">
        <is>
          <t>https://www.blocklist.de/</t>
        </is>
      </c>
    </row>
    <row r="1652">
      <c r="A1652" t="inlineStr">
        <is>
          <t>BLOCKLIST_DE</t>
        </is>
      </c>
      <c r="B1652" t="inlineStr">
        <is>
          <t>4eefa27549e0</t>
        </is>
      </c>
      <c r="C1652" t="inlineStr">
        <is>
          <t>Blocklist.de: 1.12.55.42 | Attack activity reported | Sources: BLOCKLIST_DE</t>
        </is>
      </c>
      <c r="D1652" t="n">
        <v>6</v>
      </c>
      <c r="E1652" t="inlineStr">
        <is>
          <t>MEDIUM</t>
        </is>
      </c>
      <c r="F1652" t="n">
        <v>2</v>
      </c>
      <c r="G1652" t="n">
        <v>2</v>
      </c>
      <c r="H1652" t="inlineStr">
        <is>
          <t>MEDIUM</t>
        </is>
      </c>
      <c r="I1652" t="n">
        <v>10</v>
      </c>
      <c r="J1652" t="inlineStr">
        <is>
          <t>NO</t>
        </is>
      </c>
      <c r="K1652" t="inlineStr">
        <is>
          <t>2026-02-23 23:48</t>
        </is>
      </c>
      <c r="L1652" t="inlineStr">
        <is>
          <t>Block IP</t>
        </is>
      </c>
      <c r="M1652" t="inlineStr">
        <is>
          <t>Firewall/Network</t>
        </is>
      </c>
      <c r="N1652" t="inlineStr">
        <is>
          <t>P4</t>
        </is>
      </c>
      <c r="O1652" t="inlineStr">
        <is>
          <t>Blocklist IP — ip-api.com context available</t>
        </is>
      </c>
      <c r="P1652" t="n">
        <v>0</v>
      </c>
      <c r="Q1652" t="n">
        <v>0</v>
      </c>
      <c r="R1652" t="inlineStr">
        <is>
          <t>T1110:Brute Force | T1190:Exploit Public-Facing Application</t>
        </is>
      </c>
      <c r="S1652" t="n">
        <v>1</v>
      </c>
      <c r="T1652" t="inlineStr">
        <is>
          <t>LOW (40%)</t>
        </is>
      </c>
      <c r="U1652" t="inlineStr">
        <is>
          <t>NONE</t>
        </is>
      </c>
      <c r="V1652" t="inlineStr">
        <is>
          <t>NONE</t>
        </is>
      </c>
      <c r="W1652" t="inlineStr">
        <is>
          <t>NONE</t>
        </is>
      </c>
      <c r="X1652" t="inlineStr">
        <is>
          <t>NONE</t>
        </is>
      </c>
      <c r="Y1652" t="n">
        <v>0</v>
      </c>
      <c r="Z1652" t="inlineStr"/>
      <c r="AA1652" t="inlineStr">
        <is>
          <t>https://www.blocklist.de/</t>
        </is>
      </c>
    </row>
    <row r="1653">
      <c r="A1653" t="inlineStr">
        <is>
          <t>BLOCKLIST_DE</t>
        </is>
      </c>
      <c r="B1653" t="inlineStr">
        <is>
          <t>b2c07aa1d291</t>
        </is>
      </c>
      <c r="C1653" t="inlineStr">
        <is>
          <t>Blocklist.de: 1.15.136.28 | Attack activity reported | Sources: BLOCKLIST_DE</t>
        </is>
      </c>
      <c r="D1653" t="n">
        <v>6</v>
      </c>
      <c r="E1653" t="inlineStr">
        <is>
          <t>MEDIUM</t>
        </is>
      </c>
      <c r="F1653" t="n">
        <v>2</v>
      </c>
      <c r="G1653" t="n">
        <v>2</v>
      </c>
      <c r="H1653" t="inlineStr">
        <is>
          <t>MEDIUM</t>
        </is>
      </c>
      <c r="I1653" t="n">
        <v>10</v>
      </c>
      <c r="J1653" t="inlineStr">
        <is>
          <t>NO</t>
        </is>
      </c>
      <c r="K1653" t="inlineStr">
        <is>
          <t>2026-02-23 23:48</t>
        </is>
      </c>
      <c r="L1653" t="inlineStr">
        <is>
          <t>Block IP</t>
        </is>
      </c>
      <c r="M1653" t="inlineStr">
        <is>
          <t>Firewall/Network</t>
        </is>
      </c>
      <c r="N1653" t="inlineStr">
        <is>
          <t>P4</t>
        </is>
      </c>
      <c r="O1653" t="inlineStr">
        <is>
          <t>Blocklist IP — ip-api.com context available</t>
        </is>
      </c>
      <c r="P1653" t="n">
        <v>0</v>
      </c>
      <c r="Q1653" t="n">
        <v>0</v>
      </c>
      <c r="R1653" t="inlineStr">
        <is>
          <t>T1110:Brute Force | T1190:Exploit Public-Facing Application</t>
        </is>
      </c>
      <c r="S1653" t="n">
        <v>1</v>
      </c>
      <c r="T1653" t="inlineStr">
        <is>
          <t>LOW (40%)</t>
        </is>
      </c>
      <c r="U1653" t="inlineStr">
        <is>
          <t>NONE</t>
        </is>
      </c>
      <c r="V1653" t="inlineStr">
        <is>
          <t>NONE</t>
        </is>
      </c>
      <c r="W1653" t="inlineStr">
        <is>
          <t>NONE</t>
        </is>
      </c>
      <c r="X1653" t="inlineStr">
        <is>
          <t>NONE</t>
        </is>
      </c>
      <c r="Y1653" t="n">
        <v>0</v>
      </c>
      <c r="Z1653" t="inlineStr"/>
      <c r="AA1653" t="inlineStr">
        <is>
          <t>https://www.blocklist.de/</t>
        </is>
      </c>
    </row>
    <row r="1654">
      <c r="A1654" t="inlineStr">
        <is>
          <t>BLOCKLIST_DE</t>
        </is>
      </c>
      <c r="B1654" t="inlineStr">
        <is>
          <t>2f0cae4d1445</t>
        </is>
      </c>
      <c r="C1654" t="inlineStr">
        <is>
          <t>Blocklist.de: 1.165.130.253 | Attack activity reported | Sources: BLOCKLIST_DE</t>
        </is>
      </c>
      <c r="D1654" t="n">
        <v>6</v>
      </c>
      <c r="E1654" t="inlineStr">
        <is>
          <t>MEDIUM</t>
        </is>
      </c>
      <c r="F1654" t="n">
        <v>2</v>
      </c>
      <c r="G1654" t="n">
        <v>2</v>
      </c>
      <c r="H1654" t="inlineStr">
        <is>
          <t>MEDIUM</t>
        </is>
      </c>
      <c r="I1654" t="n">
        <v>10</v>
      </c>
      <c r="J1654" t="inlineStr">
        <is>
          <t>NO</t>
        </is>
      </c>
      <c r="K1654" t="inlineStr">
        <is>
          <t>2026-02-23 23:48</t>
        </is>
      </c>
      <c r="L1654" t="inlineStr">
        <is>
          <t>Block IP</t>
        </is>
      </c>
      <c r="M1654" t="inlineStr">
        <is>
          <t>Firewall/Network</t>
        </is>
      </c>
      <c r="N1654" t="inlineStr">
        <is>
          <t>P4</t>
        </is>
      </c>
      <c r="O1654" t="inlineStr">
        <is>
          <t>Blocklist IP — ip-api.com context available</t>
        </is>
      </c>
      <c r="P1654" t="n">
        <v>0</v>
      </c>
      <c r="Q1654" t="n">
        <v>0</v>
      </c>
      <c r="R1654" t="inlineStr">
        <is>
          <t>T1110:Brute Force | T1190:Exploit Public-Facing Application</t>
        </is>
      </c>
      <c r="S1654" t="n">
        <v>1</v>
      </c>
      <c r="T1654" t="inlineStr">
        <is>
          <t>LOW (40%)</t>
        </is>
      </c>
      <c r="U1654" t="inlineStr">
        <is>
          <t>NONE</t>
        </is>
      </c>
      <c r="V1654" t="inlineStr">
        <is>
          <t>NONE</t>
        </is>
      </c>
      <c r="W1654" t="inlineStr">
        <is>
          <t>NONE</t>
        </is>
      </c>
      <c r="X1654" t="inlineStr">
        <is>
          <t>NONE</t>
        </is>
      </c>
      <c r="Y1654" t="n">
        <v>0</v>
      </c>
      <c r="Z1654" t="inlineStr"/>
      <c r="AA1654" t="inlineStr">
        <is>
          <t>https://www.blocklist.de/</t>
        </is>
      </c>
    </row>
    <row r="1655">
      <c r="A1655" t="inlineStr">
        <is>
          <t>BLOCKLIST_DE</t>
        </is>
      </c>
      <c r="B1655" t="inlineStr">
        <is>
          <t>d048495079e9</t>
        </is>
      </c>
      <c r="C1655" t="inlineStr">
        <is>
          <t>Blocklist.de: 1.165.130.37 | Attack activity reported | Sources: BLOCKLIST_DE</t>
        </is>
      </c>
      <c r="D1655" t="n">
        <v>6</v>
      </c>
      <c r="E1655" t="inlineStr">
        <is>
          <t>MEDIUM</t>
        </is>
      </c>
      <c r="F1655" t="n">
        <v>2</v>
      </c>
      <c r="G1655" t="n">
        <v>2</v>
      </c>
      <c r="H1655" t="inlineStr">
        <is>
          <t>MEDIUM</t>
        </is>
      </c>
      <c r="I1655" t="n">
        <v>10</v>
      </c>
      <c r="J1655" t="inlineStr">
        <is>
          <t>NO</t>
        </is>
      </c>
      <c r="K1655" t="inlineStr">
        <is>
          <t>2026-02-23 23:48</t>
        </is>
      </c>
      <c r="L1655" t="inlineStr">
        <is>
          <t>Block IP</t>
        </is>
      </c>
      <c r="M1655" t="inlineStr">
        <is>
          <t>Firewall/Network</t>
        </is>
      </c>
      <c r="N1655" t="inlineStr">
        <is>
          <t>P4</t>
        </is>
      </c>
      <c r="O1655" t="inlineStr">
        <is>
          <t>Blocklist IP — ip-api.com context available</t>
        </is>
      </c>
      <c r="P1655" t="n">
        <v>0</v>
      </c>
      <c r="Q1655" t="n">
        <v>0</v>
      </c>
      <c r="R1655" t="inlineStr">
        <is>
          <t>T1110:Brute Force | T1190:Exploit Public-Facing Application</t>
        </is>
      </c>
      <c r="S1655" t="n">
        <v>1</v>
      </c>
      <c r="T1655" t="inlineStr">
        <is>
          <t>LOW (40%)</t>
        </is>
      </c>
      <c r="U1655" t="inlineStr">
        <is>
          <t>NONE</t>
        </is>
      </c>
      <c r="V1655" t="inlineStr">
        <is>
          <t>NONE</t>
        </is>
      </c>
      <c r="W1655" t="inlineStr">
        <is>
          <t>NONE</t>
        </is>
      </c>
      <c r="X1655" t="inlineStr">
        <is>
          <t>NONE</t>
        </is>
      </c>
      <c r="Y1655" t="n">
        <v>0</v>
      </c>
      <c r="Z1655" t="inlineStr"/>
      <c r="AA1655" t="inlineStr">
        <is>
          <t>https://www.blocklist.de/</t>
        </is>
      </c>
    </row>
    <row r="1656">
      <c r="A1656" t="inlineStr">
        <is>
          <t>BLOCKLIST_DE</t>
        </is>
      </c>
      <c r="B1656" t="inlineStr">
        <is>
          <t>e0d3994d4cc5</t>
        </is>
      </c>
      <c r="C1656" t="inlineStr">
        <is>
          <t>Blocklist.de: 1.180.62.41 | Attack activity reported | Sources: BLOCKLIST_DE</t>
        </is>
      </c>
      <c r="D1656" t="n">
        <v>6</v>
      </c>
      <c r="E1656" t="inlineStr">
        <is>
          <t>MEDIUM</t>
        </is>
      </c>
      <c r="F1656" t="n">
        <v>2</v>
      </c>
      <c r="G1656" t="n">
        <v>2</v>
      </c>
      <c r="H1656" t="inlineStr">
        <is>
          <t>MEDIUM</t>
        </is>
      </c>
      <c r="I1656" t="n">
        <v>10</v>
      </c>
      <c r="J1656" t="inlineStr">
        <is>
          <t>NO</t>
        </is>
      </c>
      <c r="K1656" t="inlineStr">
        <is>
          <t>2026-02-23 23:48</t>
        </is>
      </c>
      <c r="L1656" t="inlineStr">
        <is>
          <t>Block IP</t>
        </is>
      </c>
      <c r="M1656" t="inlineStr">
        <is>
          <t>Firewall/Network</t>
        </is>
      </c>
      <c r="N1656" t="inlineStr">
        <is>
          <t>P4</t>
        </is>
      </c>
      <c r="O1656" t="inlineStr">
        <is>
          <t>Blocklist IP — ip-api.com context available</t>
        </is>
      </c>
      <c r="P1656" t="n">
        <v>0</v>
      </c>
      <c r="Q1656" t="n">
        <v>0</v>
      </c>
      <c r="R1656" t="inlineStr">
        <is>
          <t>T1110:Brute Force | T1190:Exploit Public-Facing Application</t>
        </is>
      </c>
      <c r="S1656" t="n">
        <v>1</v>
      </c>
      <c r="T1656" t="inlineStr">
        <is>
          <t>LOW (40%)</t>
        </is>
      </c>
      <c r="U1656" t="inlineStr">
        <is>
          <t>NONE</t>
        </is>
      </c>
      <c r="V1656" t="inlineStr">
        <is>
          <t>NONE</t>
        </is>
      </c>
      <c r="W1656" t="inlineStr">
        <is>
          <t>NONE</t>
        </is>
      </c>
      <c r="X1656" t="inlineStr">
        <is>
          <t>NONE</t>
        </is>
      </c>
      <c r="Y1656" t="n">
        <v>0</v>
      </c>
      <c r="Z1656" t="inlineStr"/>
      <c r="AA1656" t="inlineStr">
        <is>
          <t>https://www.blocklist.de/</t>
        </is>
      </c>
    </row>
    <row r="1657">
      <c r="A1657" t="inlineStr">
        <is>
          <t>BLOCKLIST_DE</t>
        </is>
      </c>
      <c r="B1657" t="inlineStr">
        <is>
          <t>2fbdd1028b90</t>
        </is>
      </c>
      <c r="C1657" t="inlineStr">
        <is>
          <t>Blocklist.de: 1.183.3.58 | Attack activity reported | Sources: BLOCKLIST_DE</t>
        </is>
      </c>
      <c r="D1657" t="n">
        <v>6</v>
      </c>
      <c r="E1657" t="inlineStr">
        <is>
          <t>MEDIUM</t>
        </is>
      </c>
      <c r="F1657" t="n">
        <v>2</v>
      </c>
      <c r="G1657" t="n">
        <v>2</v>
      </c>
      <c r="H1657" t="inlineStr">
        <is>
          <t>MEDIUM</t>
        </is>
      </c>
      <c r="I1657" t="n">
        <v>10</v>
      </c>
      <c r="J1657" t="inlineStr">
        <is>
          <t>NO</t>
        </is>
      </c>
      <c r="K1657" t="inlineStr">
        <is>
          <t>2026-02-23 23:48</t>
        </is>
      </c>
      <c r="L1657" t="inlineStr">
        <is>
          <t>Block IP</t>
        </is>
      </c>
      <c r="M1657" t="inlineStr">
        <is>
          <t>Firewall/Network</t>
        </is>
      </c>
      <c r="N1657" t="inlineStr">
        <is>
          <t>P4</t>
        </is>
      </c>
      <c r="O1657" t="inlineStr">
        <is>
          <t>Blocklist IP — ip-api.com context available</t>
        </is>
      </c>
      <c r="P1657" t="n">
        <v>0</v>
      </c>
      <c r="Q1657" t="n">
        <v>0</v>
      </c>
      <c r="R1657" t="inlineStr">
        <is>
          <t>T1110:Brute Force | T1190:Exploit Public-Facing Application</t>
        </is>
      </c>
      <c r="S1657" t="n">
        <v>1</v>
      </c>
      <c r="T1657" t="inlineStr">
        <is>
          <t>LOW (40%)</t>
        </is>
      </c>
      <c r="U1657" t="inlineStr">
        <is>
          <t>NONE</t>
        </is>
      </c>
      <c r="V1657" t="inlineStr">
        <is>
          <t>NONE</t>
        </is>
      </c>
      <c r="W1657" t="inlineStr">
        <is>
          <t>NONE</t>
        </is>
      </c>
      <c r="X1657" t="inlineStr">
        <is>
          <t>NONE</t>
        </is>
      </c>
      <c r="Y1657" t="n">
        <v>0</v>
      </c>
      <c r="Z1657" t="inlineStr"/>
      <c r="AA1657" t="inlineStr">
        <is>
          <t>https://www.blocklist.de/</t>
        </is>
      </c>
    </row>
    <row r="1658">
      <c r="A1658" t="inlineStr">
        <is>
          <t>BLOCKLIST_DE</t>
        </is>
      </c>
      <c r="B1658" t="inlineStr">
        <is>
          <t>9fdfa884d26a</t>
        </is>
      </c>
      <c r="C1658" t="inlineStr">
        <is>
          <t>Blocklist.de: 1.193.163.2 | Attack activity reported | Sources: BLOCKLIST_DE</t>
        </is>
      </c>
      <c r="D1658" t="n">
        <v>6</v>
      </c>
      <c r="E1658" t="inlineStr">
        <is>
          <t>MEDIUM</t>
        </is>
      </c>
      <c r="F1658" t="n">
        <v>2</v>
      </c>
      <c r="G1658" t="n">
        <v>2</v>
      </c>
      <c r="H1658" t="inlineStr">
        <is>
          <t>MEDIUM</t>
        </is>
      </c>
      <c r="I1658" t="n">
        <v>10</v>
      </c>
      <c r="J1658" t="inlineStr">
        <is>
          <t>NO</t>
        </is>
      </c>
      <c r="K1658" t="inlineStr">
        <is>
          <t>2026-02-23 23:48</t>
        </is>
      </c>
      <c r="L1658" t="inlineStr">
        <is>
          <t>Block IP</t>
        </is>
      </c>
      <c r="M1658" t="inlineStr">
        <is>
          <t>Firewall/Network</t>
        </is>
      </c>
      <c r="N1658" t="inlineStr">
        <is>
          <t>P4</t>
        </is>
      </c>
      <c r="O1658" t="inlineStr">
        <is>
          <t>Blocklist IP — ip-api.com context available</t>
        </is>
      </c>
      <c r="P1658" t="n">
        <v>0</v>
      </c>
      <c r="Q1658" t="n">
        <v>0</v>
      </c>
      <c r="R1658" t="inlineStr">
        <is>
          <t>T1110:Brute Force | T1190:Exploit Public-Facing Application</t>
        </is>
      </c>
      <c r="S1658" t="n">
        <v>1</v>
      </c>
      <c r="T1658" t="inlineStr">
        <is>
          <t>LOW (40%)</t>
        </is>
      </c>
      <c r="U1658" t="inlineStr">
        <is>
          <t>NONE</t>
        </is>
      </c>
      <c r="V1658" t="inlineStr">
        <is>
          <t>NONE</t>
        </is>
      </c>
      <c r="W1658" t="inlineStr">
        <is>
          <t>NONE</t>
        </is>
      </c>
      <c r="X1658" t="inlineStr">
        <is>
          <t>NONE</t>
        </is>
      </c>
      <c r="Y1658" t="n">
        <v>0</v>
      </c>
      <c r="Z1658" t="inlineStr"/>
      <c r="AA1658" t="inlineStr">
        <is>
          <t>https://www.blocklist.de/</t>
        </is>
      </c>
    </row>
    <row r="1659">
      <c r="A1659" t="inlineStr">
        <is>
          <t>BLOCKLIST_DE</t>
        </is>
      </c>
      <c r="B1659" t="inlineStr">
        <is>
          <t>13ca9928126d</t>
        </is>
      </c>
      <c r="C1659" t="inlineStr">
        <is>
          <t>Blocklist.de: 1.194.219.159 | Attack activity reported | Sources: BLOCKLIST_DE</t>
        </is>
      </c>
      <c r="D1659" t="n">
        <v>6</v>
      </c>
      <c r="E1659" t="inlineStr">
        <is>
          <t>MEDIUM</t>
        </is>
      </c>
      <c r="F1659" t="n">
        <v>2</v>
      </c>
      <c r="G1659" t="n">
        <v>2</v>
      </c>
      <c r="H1659" t="inlineStr">
        <is>
          <t>MEDIUM</t>
        </is>
      </c>
      <c r="I1659" t="n">
        <v>10</v>
      </c>
      <c r="J1659" t="inlineStr">
        <is>
          <t>NO</t>
        </is>
      </c>
      <c r="K1659" t="inlineStr">
        <is>
          <t>2026-02-23 23:48</t>
        </is>
      </c>
      <c r="L1659" t="inlineStr">
        <is>
          <t>Block IP</t>
        </is>
      </c>
      <c r="M1659" t="inlineStr">
        <is>
          <t>Firewall/Network</t>
        </is>
      </c>
      <c r="N1659" t="inlineStr">
        <is>
          <t>P4</t>
        </is>
      </c>
      <c r="O1659" t="inlineStr">
        <is>
          <t>Blocklist IP — ip-api.com context available</t>
        </is>
      </c>
      <c r="P1659" t="n">
        <v>0</v>
      </c>
      <c r="Q1659" t="n">
        <v>0</v>
      </c>
      <c r="R1659" t="inlineStr">
        <is>
          <t>T1110:Brute Force | T1190:Exploit Public-Facing Application</t>
        </is>
      </c>
      <c r="S1659" t="n">
        <v>1</v>
      </c>
      <c r="T1659" t="inlineStr">
        <is>
          <t>LOW (40%)</t>
        </is>
      </c>
      <c r="U1659" t="inlineStr">
        <is>
          <t>NONE</t>
        </is>
      </c>
      <c r="V1659" t="inlineStr">
        <is>
          <t>NONE</t>
        </is>
      </c>
      <c r="W1659" t="inlineStr">
        <is>
          <t>NONE</t>
        </is>
      </c>
      <c r="X1659" t="inlineStr">
        <is>
          <t>NONE</t>
        </is>
      </c>
      <c r="Y1659" t="n">
        <v>0</v>
      </c>
      <c r="Z1659" t="inlineStr"/>
      <c r="AA1659" t="inlineStr">
        <is>
          <t>https://www.blocklist.de/</t>
        </is>
      </c>
    </row>
    <row r="1660">
      <c r="A1660" t="inlineStr">
        <is>
          <t>BLOCKLIST_DE</t>
        </is>
      </c>
      <c r="B1660" t="inlineStr">
        <is>
          <t>a31db7927013</t>
        </is>
      </c>
      <c r="C1660" t="inlineStr">
        <is>
          <t>Blocklist.de: 1.201.176.240 | Attack activity reported | Sources: BLOCKLIST_DE</t>
        </is>
      </c>
      <c r="D1660" t="n">
        <v>6</v>
      </c>
      <c r="E1660" t="inlineStr">
        <is>
          <t>MEDIUM</t>
        </is>
      </c>
      <c r="F1660" t="n">
        <v>2</v>
      </c>
      <c r="G1660" t="n">
        <v>2</v>
      </c>
      <c r="H1660" t="inlineStr">
        <is>
          <t>MEDIUM</t>
        </is>
      </c>
      <c r="I1660" t="n">
        <v>10</v>
      </c>
      <c r="J1660" t="inlineStr">
        <is>
          <t>NO</t>
        </is>
      </c>
      <c r="K1660" t="inlineStr">
        <is>
          <t>2026-02-23 23:48</t>
        </is>
      </c>
      <c r="L1660" t="inlineStr">
        <is>
          <t>Block IP</t>
        </is>
      </c>
      <c r="M1660" t="inlineStr">
        <is>
          <t>Firewall/Network</t>
        </is>
      </c>
      <c r="N1660" t="inlineStr">
        <is>
          <t>P4</t>
        </is>
      </c>
      <c r="O1660" t="inlineStr">
        <is>
          <t>Blocklist IP — ip-api.com context available</t>
        </is>
      </c>
      <c r="P1660" t="n">
        <v>0</v>
      </c>
      <c r="Q1660" t="n">
        <v>0</v>
      </c>
      <c r="R1660" t="inlineStr">
        <is>
          <t>T1110:Brute Force | T1190:Exploit Public-Facing Application</t>
        </is>
      </c>
      <c r="S1660" t="n">
        <v>1</v>
      </c>
      <c r="T1660" t="inlineStr">
        <is>
          <t>LOW (40%)</t>
        </is>
      </c>
      <c r="U1660" t="inlineStr">
        <is>
          <t>NONE</t>
        </is>
      </c>
      <c r="V1660" t="inlineStr">
        <is>
          <t>NONE</t>
        </is>
      </c>
      <c r="W1660" t="inlineStr">
        <is>
          <t>NONE</t>
        </is>
      </c>
      <c r="X1660" t="inlineStr">
        <is>
          <t>NONE</t>
        </is>
      </c>
      <c r="Y1660" t="n">
        <v>0</v>
      </c>
      <c r="Z1660" t="inlineStr"/>
      <c r="AA1660" t="inlineStr">
        <is>
          <t>https://www.blocklist.de/</t>
        </is>
      </c>
    </row>
    <row r="1661">
      <c r="A1661" t="inlineStr">
        <is>
          <t>BLOCKLIST_DE</t>
        </is>
      </c>
      <c r="B1661" t="inlineStr">
        <is>
          <t>a166dd92f267</t>
        </is>
      </c>
      <c r="C1661" t="inlineStr">
        <is>
          <t>Blocklist.de: 1.204.58.120 | Attack activity reported | Sources: BLOCKLIST_DE</t>
        </is>
      </c>
      <c r="D1661" t="n">
        <v>6</v>
      </c>
      <c r="E1661" t="inlineStr">
        <is>
          <t>MEDIUM</t>
        </is>
      </c>
      <c r="F1661" t="n">
        <v>2</v>
      </c>
      <c r="G1661" t="n">
        <v>2</v>
      </c>
      <c r="H1661" t="inlineStr">
        <is>
          <t>MEDIUM</t>
        </is>
      </c>
      <c r="I1661" t="n">
        <v>10</v>
      </c>
      <c r="J1661" t="inlineStr">
        <is>
          <t>NO</t>
        </is>
      </c>
      <c r="K1661" t="inlineStr">
        <is>
          <t>2026-02-23 23:48</t>
        </is>
      </c>
      <c r="L1661" t="inlineStr">
        <is>
          <t>Block IP</t>
        </is>
      </c>
      <c r="M1661" t="inlineStr">
        <is>
          <t>Firewall/Network</t>
        </is>
      </c>
      <c r="N1661" t="inlineStr">
        <is>
          <t>P4</t>
        </is>
      </c>
      <c r="O1661" t="inlineStr">
        <is>
          <t>Blocklist IP — ip-api.com context available</t>
        </is>
      </c>
      <c r="P1661" t="n">
        <v>0</v>
      </c>
      <c r="Q1661" t="n">
        <v>0</v>
      </c>
      <c r="R1661" t="inlineStr">
        <is>
          <t>T1110:Brute Force | T1190:Exploit Public-Facing Application</t>
        </is>
      </c>
      <c r="S1661" t="n">
        <v>1</v>
      </c>
      <c r="T1661" t="inlineStr">
        <is>
          <t>LOW (40%)</t>
        </is>
      </c>
      <c r="U1661" t="inlineStr">
        <is>
          <t>NONE</t>
        </is>
      </c>
      <c r="V1661" t="inlineStr">
        <is>
          <t>NONE</t>
        </is>
      </c>
      <c r="W1661" t="inlineStr">
        <is>
          <t>NONE</t>
        </is>
      </c>
      <c r="X1661" t="inlineStr">
        <is>
          <t>NONE</t>
        </is>
      </c>
      <c r="Y1661" t="n">
        <v>0</v>
      </c>
      <c r="Z1661" t="inlineStr"/>
      <c r="AA1661" t="inlineStr">
        <is>
          <t>https://www.blocklist.de/</t>
        </is>
      </c>
    </row>
    <row r="1662">
      <c r="A1662" t="inlineStr">
        <is>
          <t>BLOCKLIST_DE</t>
        </is>
      </c>
      <c r="B1662" t="inlineStr">
        <is>
          <t>adaaac596473</t>
        </is>
      </c>
      <c r="C1662" t="inlineStr">
        <is>
          <t>Blocklist.de: 1.212.225.99 | Attack activity reported | Sources: BLOCKLIST_DE</t>
        </is>
      </c>
      <c r="D1662" t="n">
        <v>6</v>
      </c>
      <c r="E1662" t="inlineStr">
        <is>
          <t>MEDIUM</t>
        </is>
      </c>
      <c r="F1662" t="n">
        <v>2</v>
      </c>
      <c r="G1662" t="n">
        <v>2</v>
      </c>
      <c r="H1662" t="inlineStr">
        <is>
          <t>MEDIUM</t>
        </is>
      </c>
      <c r="I1662" t="n">
        <v>10</v>
      </c>
      <c r="J1662" t="inlineStr">
        <is>
          <t>NO</t>
        </is>
      </c>
      <c r="K1662" t="inlineStr">
        <is>
          <t>2026-02-23 23:48</t>
        </is>
      </c>
      <c r="L1662" t="inlineStr">
        <is>
          <t>Block IP</t>
        </is>
      </c>
      <c r="M1662" t="inlineStr">
        <is>
          <t>Firewall/Network</t>
        </is>
      </c>
      <c r="N1662" t="inlineStr">
        <is>
          <t>P4</t>
        </is>
      </c>
      <c r="O1662" t="inlineStr">
        <is>
          <t>Blocklist IP — ip-api.com context available</t>
        </is>
      </c>
      <c r="P1662" t="n">
        <v>0</v>
      </c>
      <c r="Q1662" t="n">
        <v>0</v>
      </c>
      <c r="R1662" t="inlineStr">
        <is>
          <t>T1110:Brute Force | T1190:Exploit Public-Facing Application</t>
        </is>
      </c>
      <c r="S1662" t="n">
        <v>1</v>
      </c>
      <c r="T1662" t="inlineStr">
        <is>
          <t>LOW (40%)</t>
        </is>
      </c>
      <c r="U1662" t="inlineStr">
        <is>
          <t>NONE</t>
        </is>
      </c>
      <c r="V1662" t="inlineStr">
        <is>
          <t>NONE</t>
        </is>
      </c>
      <c r="W1662" t="inlineStr">
        <is>
          <t>NONE</t>
        </is>
      </c>
      <c r="X1662" t="inlineStr">
        <is>
          <t>NONE</t>
        </is>
      </c>
      <c r="Y1662" t="n">
        <v>0</v>
      </c>
      <c r="Z1662" t="inlineStr"/>
      <c r="AA1662" t="inlineStr">
        <is>
          <t>https://www.blocklist.de/</t>
        </is>
      </c>
    </row>
    <row r="1663">
      <c r="A1663" t="inlineStr">
        <is>
          <t>BLOCKLIST_DE</t>
        </is>
      </c>
      <c r="B1663" t="inlineStr">
        <is>
          <t>8662ad84ec1d</t>
        </is>
      </c>
      <c r="C1663" t="inlineStr">
        <is>
          <t>Blocklist.de: 1.214.117.218 | Attack activity reported | Sources: BLOCKLIST_DE</t>
        </is>
      </c>
      <c r="D1663" t="n">
        <v>6</v>
      </c>
      <c r="E1663" t="inlineStr">
        <is>
          <t>MEDIUM</t>
        </is>
      </c>
      <c r="F1663" t="n">
        <v>2</v>
      </c>
      <c r="G1663" t="n">
        <v>2</v>
      </c>
      <c r="H1663" t="inlineStr">
        <is>
          <t>MEDIUM</t>
        </is>
      </c>
      <c r="I1663" t="n">
        <v>10</v>
      </c>
      <c r="J1663" t="inlineStr">
        <is>
          <t>NO</t>
        </is>
      </c>
      <c r="K1663" t="inlineStr">
        <is>
          <t>2026-02-23 23:48</t>
        </is>
      </c>
      <c r="L1663" t="inlineStr">
        <is>
          <t>Block IP</t>
        </is>
      </c>
      <c r="M1663" t="inlineStr">
        <is>
          <t>Firewall/Network</t>
        </is>
      </c>
      <c r="N1663" t="inlineStr">
        <is>
          <t>P4</t>
        </is>
      </c>
      <c r="O1663" t="inlineStr">
        <is>
          <t>Blocklist IP — ip-api.com context available</t>
        </is>
      </c>
      <c r="P1663" t="n">
        <v>0</v>
      </c>
      <c r="Q1663" t="n">
        <v>0</v>
      </c>
      <c r="R1663" t="inlineStr">
        <is>
          <t>T1110:Brute Force | T1190:Exploit Public-Facing Application</t>
        </is>
      </c>
      <c r="S1663" t="n">
        <v>1</v>
      </c>
      <c r="T1663" t="inlineStr">
        <is>
          <t>LOW (40%)</t>
        </is>
      </c>
      <c r="U1663" t="inlineStr">
        <is>
          <t>NONE</t>
        </is>
      </c>
      <c r="V1663" t="inlineStr">
        <is>
          <t>NONE</t>
        </is>
      </c>
      <c r="W1663" t="inlineStr">
        <is>
          <t>NONE</t>
        </is>
      </c>
      <c r="X1663" t="inlineStr">
        <is>
          <t>NONE</t>
        </is>
      </c>
      <c r="Y1663" t="n">
        <v>0</v>
      </c>
      <c r="Z1663" t="inlineStr"/>
      <c r="AA1663" t="inlineStr">
        <is>
          <t>https://www.blocklist.de/</t>
        </is>
      </c>
    </row>
    <row r="1664">
      <c r="A1664" t="inlineStr">
        <is>
          <t>BLOCKLIST_DE</t>
        </is>
      </c>
      <c r="B1664" t="inlineStr">
        <is>
          <t>0d07829f1a7f</t>
        </is>
      </c>
      <c r="C1664" t="inlineStr">
        <is>
          <t>Blocklist.de: 1.214.197.163 | Attack activity reported | Sources: BLOCKLIST_DE</t>
        </is>
      </c>
      <c r="D1664" t="n">
        <v>6</v>
      </c>
      <c r="E1664" t="inlineStr">
        <is>
          <t>MEDIUM</t>
        </is>
      </c>
      <c r="F1664" t="n">
        <v>2</v>
      </c>
      <c r="G1664" t="n">
        <v>2</v>
      </c>
      <c r="H1664" t="inlineStr">
        <is>
          <t>MEDIUM</t>
        </is>
      </c>
      <c r="I1664" t="n">
        <v>10</v>
      </c>
      <c r="J1664" t="inlineStr">
        <is>
          <t>NO</t>
        </is>
      </c>
      <c r="K1664" t="inlineStr">
        <is>
          <t>2026-02-23 23:48</t>
        </is>
      </c>
      <c r="L1664" t="inlineStr">
        <is>
          <t>Block IP</t>
        </is>
      </c>
      <c r="M1664" t="inlineStr">
        <is>
          <t>Firewall/Network</t>
        </is>
      </c>
      <c r="N1664" t="inlineStr">
        <is>
          <t>P4</t>
        </is>
      </c>
      <c r="O1664" t="inlineStr">
        <is>
          <t>Blocklist IP — ip-api.com context available</t>
        </is>
      </c>
      <c r="P1664" t="n">
        <v>0</v>
      </c>
      <c r="Q1664" t="n">
        <v>0</v>
      </c>
      <c r="R1664" t="inlineStr">
        <is>
          <t>T1110:Brute Force | T1190:Exploit Public-Facing Application</t>
        </is>
      </c>
      <c r="S1664" t="n">
        <v>1</v>
      </c>
      <c r="T1664" t="inlineStr">
        <is>
          <t>LOW (40%)</t>
        </is>
      </c>
      <c r="U1664" t="inlineStr">
        <is>
          <t>NONE</t>
        </is>
      </c>
      <c r="V1664" t="inlineStr">
        <is>
          <t>NONE</t>
        </is>
      </c>
      <c r="W1664" t="inlineStr">
        <is>
          <t>NONE</t>
        </is>
      </c>
      <c r="X1664" t="inlineStr">
        <is>
          <t>NONE</t>
        </is>
      </c>
      <c r="Y1664" t="n">
        <v>0</v>
      </c>
      <c r="Z1664" t="inlineStr"/>
      <c r="AA1664" t="inlineStr">
        <is>
          <t>https://www.blocklist.de/</t>
        </is>
      </c>
    </row>
    <row r="1665">
      <c r="A1665" t="inlineStr">
        <is>
          <t>BLOCKLIST_DE</t>
        </is>
      </c>
      <c r="B1665" t="inlineStr">
        <is>
          <t>1dd19bdeff1a</t>
        </is>
      </c>
      <c r="C1665" t="inlineStr">
        <is>
          <t>Blocklist.de: 1.220.198.126 | Attack activity reported | Sources: BLOCKLIST_DE</t>
        </is>
      </c>
      <c r="D1665" t="n">
        <v>6</v>
      </c>
      <c r="E1665" t="inlineStr">
        <is>
          <t>MEDIUM</t>
        </is>
      </c>
      <c r="F1665" t="n">
        <v>2</v>
      </c>
      <c r="G1665" t="n">
        <v>2</v>
      </c>
      <c r="H1665" t="inlineStr">
        <is>
          <t>MEDIUM</t>
        </is>
      </c>
      <c r="I1665" t="n">
        <v>10</v>
      </c>
      <c r="J1665" t="inlineStr">
        <is>
          <t>NO</t>
        </is>
      </c>
      <c r="K1665" t="inlineStr">
        <is>
          <t>2026-02-23 23:48</t>
        </is>
      </c>
      <c r="L1665" t="inlineStr">
        <is>
          <t>Block IP</t>
        </is>
      </c>
      <c r="M1665" t="inlineStr">
        <is>
          <t>Firewall/Network</t>
        </is>
      </c>
      <c r="N1665" t="inlineStr">
        <is>
          <t>P4</t>
        </is>
      </c>
      <c r="O1665" t="inlineStr">
        <is>
          <t>Blocklist IP — ip-api.com context available</t>
        </is>
      </c>
      <c r="P1665" t="n">
        <v>0</v>
      </c>
      <c r="Q1665" t="n">
        <v>0</v>
      </c>
      <c r="R1665" t="inlineStr">
        <is>
          <t>T1110:Brute Force | T1190:Exploit Public-Facing Application</t>
        </is>
      </c>
      <c r="S1665" t="n">
        <v>1</v>
      </c>
      <c r="T1665" t="inlineStr">
        <is>
          <t>LOW (40%)</t>
        </is>
      </c>
      <c r="U1665" t="inlineStr">
        <is>
          <t>NONE</t>
        </is>
      </c>
      <c r="V1665" t="inlineStr">
        <is>
          <t>NONE</t>
        </is>
      </c>
      <c r="W1665" t="inlineStr">
        <is>
          <t>NONE</t>
        </is>
      </c>
      <c r="X1665" t="inlineStr">
        <is>
          <t>NONE</t>
        </is>
      </c>
      <c r="Y1665" t="n">
        <v>0</v>
      </c>
      <c r="Z1665" t="inlineStr"/>
      <c r="AA1665" t="inlineStr">
        <is>
          <t>https://www.blocklist.de/</t>
        </is>
      </c>
    </row>
    <row r="1666">
      <c r="A1666" t="inlineStr">
        <is>
          <t>BLOCKLIST_DE</t>
        </is>
      </c>
      <c r="B1666" t="inlineStr">
        <is>
          <t>da984c9bfb57</t>
        </is>
      </c>
      <c r="C1666" t="inlineStr">
        <is>
          <t>Blocklist.de: 1.220.64.218 | Attack activity reported | Sources: BLOCKLIST_DE</t>
        </is>
      </c>
      <c r="D1666" t="n">
        <v>6</v>
      </c>
      <c r="E1666" t="inlineStr">
        <is>
          <t>MEDIUM</t>
        </is>
      </c>
      <c r="F1666" t="n">
        <v>2</v>
      </c>
      <c r="G1666" t="n">
        <v>2</v>
      </c>
      <c r="H1666" t="inlineStr">
        <is>
          <t>MEDIUM</t>
        </is>
      </c>
      <c r="I1666" t="n">
        <v>10</v>
      </c>
      <c r="J1666" t="inlineStr">
        <is>
          <t>NO</t>
        </is>
      </c>
      <c r="K1666" t="inlineStr">
        <is>
          <t>2026-02-23 23:48</t>
        </is>
      </c>
      <c r="L1666" t="inlineStr">
        <is>
          <t>Block IP</t>
        </is>
      </c>
      <c r="M1666" t="inlineStr">
        <is>
          <t>Firewall/Network</t>
        </is>
      </c>
      <c r="N1666" t="inlineStr">
        <is>
          <t>P4</t>
        </is>
      </c>
      <c r="O1666" t="inlineStr">
        <is>
          <t>Blocklist IP — ip-api.com context available</t>
        </is>
      </c>
      <c r="P1666" t="n">
        <v>0</v>
      </c>
      <c r="Q1666" t="n">
        <v>0</v>
      </c>
      <c r="R1666" t="inlineStr">
        <is>
          <t>T1110:Brute Force | T1190:Exploit Public-Facing Application</t>
        </is>
      </c>
      <c r="S1666" t="n">
        <v>1</v>
      </c>
      <c r="T1666" t="inlineStr">
        <is>
          <t>LOW (40%)</t>
        </is>
      </c>
      <c r="U1666" t="inlineStr">
        <is>
          <t>NONE</t>
        </is>
      </c>
      <c r="V1666" t="inlineStr">
        <is>
          <t>NONE</t>
        </is>
      </c>
      <c r="W1666" t="inlineStr">
        <is>
          <t>NONE</t>
        </is>
      </c>
      <c r="X1666" t="inlineStr">
        <is>
          <t>NONE</t>
        </is>
      </c>
      <c r="Y1666" t="n">
        <v>0</v>
      </c>
      <c r="Z1666" t="inlineStr"/>
      <c r="AA1666" t="inlineStr">
        <is>
          <t>https://www.blocklist.de/</t>
        </is>
      </c>
    </row>
    <row r="1667">
      <c r="A1667" t="inlineStr">
        <is>
          <t>BLOCKLIST_DE</t>
        </is>
      </c>
      <c r="B1667" t="inlineStr">
        <is>
          <t>537208cb5a69</t>
        </is>
      </c>
      <c r="C1667" t="inlineStr">
        <is>
          <t>Blocklist.de: 1.227.228.131 | Attack activity reported | Sources: BLOCKLIST_DE</t>
        </is>
      </c>
      <c r="D1667" t="n">
        <v>6</v>
      </c>
      <c r="E1667" t="inlineStr">
        <is>
          <t>MEDIUM</t>
        </is>
      </c>
      <c r="F1667" t="n">
        <v>2</v>
      </c>
      <c r="G1667" t="n">
        <v>2</v>
      </c>
      <c r="H1667" t="inlineStr">
        <is>
          <t>MEDIUM</t>
        </is>
      </c>
      <c r="I1667" t="n">
        <v>10</v>
      </c>
      <c r="J1667" t="inlineStr">
        <is>
          <t>NO</t>
        </is>
      </c>
      <c r="K1667" t="inlineStr">
        <is>
          <t>2026-02-23 23:48</t>
        </is>
      </c>
      <c r="L1667" t="inlineStr">
        <is>
          <t>Block IP</t>
        </is>
      </c>
      <c r="M1667" t="inlineStr">
        <is>
          <t>Firewall/Network</t>
        </is>
      </c>
      <c r="N1667" t="inlineStr">
        <is>
          <t>P4</t>
        </is>
      </c>
      <c r="O1667" t="inlineStr">
        <is>
          <t>Blocklist IP — ip-api.com context available</t>
        </is>
      </c>
      <c r="P1667" t="n">
        <v>0</v>
      </c>
      <c r="Q1667" t="n">
        <v>0</v>
      </c>
      <c r="R1667" t="inlineStr">
        <is>
          <t>T1110:Brute Force | T1190:Exploit Public-Facing Application</t>
        </is>
      </c>
      <c r="S1667" t="n">
        <v>1</v>
      </c>
      <c r="T1667" t="inlineStr">
        <is>
          <t>LOW (40%)</t>
        </is>
      </c>
      <c r="U1667" t="inlineStr">
        <is>
          <t>NONE</t>
        </is>
      </c>
      <c r="V1667" t="inlineStr">
        <is>
          <t>NONE</t>
        </is>
      </c>
      <c r="W1667" t="inlineStr">
        <is>
          <t>NONE</t>
        </is>
      </c>
      <c r="X1667" t="inlineStr">
        <is>
          <t>NONE</t>
        </is>
      </c>
      <c r="Y1667" t="n">
        <v>0</v>
      </c>
      <c r="Z1667" t="inlineStr"/>
      <c r="AA1667" t="inlineStr">
        <is>
          <t>https://www.blocklist.de/</t>
        </is>
      </c>
    </row>
    <row r="1668">
      <c r="A1668" t="inlineStr">
        <is>
          <t>BLOCKLIST_DE</t>
        </is>
      </c>
      <c r="B1668" t="inlineStr">
        <is>
          <t>22149440783b</t>
        </is>
      </c>
      <c r="C1668" t="inlineStr">
        <is>
          <t>Blocklist.de: 1.234.23.221 | Attack activity reported | Sources: BLOCKLIST_DE</t>
        </is>
      </c>
      <c r="D1668" t="n">
        <v>6</v>
      </c>
      <c r="E1668" t="inlineStr">
        <is>
          <t>MEDIUM</t>
        </is>
      </c>
      <c r="F1668" t="n">
        <v>2</v>
      </c>
      <c r="G1668" t="n">
        <v>2</v>
      </c>
      <c r="H1668" t="inlineStr">
        <is>
          <t>MEDIUM</t>
        </is>
      </c>
      <c r="I1668" t="n">
        <v>10</v>
      </c>
      <c r="J1668" t="inlineStr">
        <is>
          <t>NO</t>
        </is>
      </c>
      <c r="K1668" t="inlineStr">
        <is>
          <t>2026-02-23 23:48</t>
        </is>
      </c>
      <c r="L1668" t="inlineStr">
        <is>
          <t>Block IP</t>
        </is>
      </c>
      <c r="M1668" t="inlineStr">
        <is>
          <t>Firewall/Network</t>
        </is>
      </c>
      <c r="N1668" t="inlineStr">
        <is>
          <t>P4</t>
        </is>
      </c>
      <c r="O1668" t="inlineStr">
        <is>
          <t>Blocklist IP — ip-api.com context available</t>
        </is>
      </c>
      <c r="P1668" t="n">
        <v>0</v>
      </c>
      <c r="Q1668" t="n">
        <v>0</v>
      </c>
      <c r="R1668" t="inlineStr">
        <is>
          <t>T1110:Brute Force | T1190:Exploit Public-Facing Application</t>
        </is>
      </c>
      <c r="S1668" t="n">
        <v>1</v>
      </c>
      <c r="T1668" t="inlineStr">
        <is>
          <t>LOW (40%)</t>
        </is>
      </c>
      <c r="U1668" t="inlineStr">
        <is>
          <t>NONE</t>
        </is>
      </c>
      <c r="V1668" t="inlineStr">
        <is>
          <t>NONE</t>
        </is>
      </c>
      <c r="W1668" t="inlineStr">
        <is>
          <t>NONE</t>
        </is>
      </c>
      <c r="X1668" t="inlineStr">
        <is>
          <t>NONE</t>
        </is>
      </c>
      <c r="Y1668" t="n">
        <v>0</v>
      </c>
      <c r="Z1668" t="inlineStr"/>
      <c r="AA1668" t="inlineStr">
        <is>
          <t>https://www.blocklist.de/</t>
        </is>
      </c>
    </row>
    <row r="1669">
      <c r="A1669" t="inlineStr">
        <is>
          <t>BLOCKLIST_DE</t>
        </is>
      </c>
      <c r="B1669" t="inlineStr">
        <is>
          <t>8c9b3a8d25de</t>
        </is>
      </c>
      <c r="C1669" t="inlineStr">
        <is>
          <t>Blocklist.de: 1.234.27.159 | Attack activity reported | Sources: BLOCKLIST_DE</t>
        </is>
      </c>
      <c r="D1669" t="n">
        <v>6</v>
      </c>
      <c r="E1669" t="inlineStr">
        <is>
          <t>MEDIUM</t>
        </is>
      </c>
      <c r="F1669" t="n">
        <v>2</v>
      </c>
      <c r="G1669" t="n">
        <v>2</v>
      </c>
      <c r="H1669" t="inlineStr">
        <is>
          <t>MEDIUM</t>
        </is>
      </c>
      <c r="I1669" t="n">
        <v>10</v>
      </c>
      <c r="J1669" t="inlineStr">
        <is>
          <t>NO</t>
        </is>
      </c>
      <c r="K1669" t="inlineStr">
        <is>
          <t>2026-02-23 23:48</t>
        </is>
      </c>
      <c r="L1669" t="inlineStr">
        <is>
          <t>Block IP</t>
        </is>
      </c>
      <c r="M1669" t="inlineStr">
        <is>
          <t>Firewall/Network</t>
        </is>
      </c>
      <c r="N1669" t="inlineStr">
        <is>
          <t>P4</t>
        </is>
      </c>
      <c r="O1669" t="inlineStr">
        <is>
          <t>Blocklist IP — ip-api.com context available</t>
        </is>
      </c>
      <c r="P1669" t="n">
        <v>0</v>
      </c>
      <c r="Q1669" t="n">
        <v>0</v>
      </c>
      <c r="R1669" t="inlineStr">
        <is>
          <t>T1110:Brute Force | T1190:Exploit Public-Facing Application</t>
        </is>
      </c>
      <c r="S1669" t="n">
        <v>1</v>
      </c>
      <c r="T1669" t="inlineStr">
        <is>
          <t>LOW (40%)</t>
        </is>
      </c>
      <c r="U1669" t="inlineStr">
        <is>
          <t>NONE</t>
        </is>
      </c>
      <c r="V1669" t="inlineStr">
        <is>
          <t>NONE</t>
        </is>
      </c>
      <c r="W1669" t="inlineStr">
        <is>
          <t>NONE</t>
        </is>
      </c>
      <c r="X1669" t="inlineStr">
        <is>
          <t>NONE</t>
        </is>
      </c>
      <c r="Y1669" t="n">
        <v>0</v>
      </c>
      <c r="Z1669" t="inlineStr"/>
      <c r="AA1669" t="inlineStr">
        <is>
          <t>https://www.blocklist.de/</t>
        </is>
      </c>
    </row>
    <row r="1670">
      <c r="A1670" t="inlineStr">
        <is>
          <t>BLOCKLIST_DE</t>
        </is>
      </c>
      <c r="B1670" t="inlineStr">
        <is>
          <t>7f8bda0bd561</t>
        </is>
      </c>
      <c r="C1670" t="inlineStr">
        <is>
          <t>Blocklist.de: 1.235.192.130 | Attack activity reported | Sources: BLOCKLIST_DE</t>
        </is>
      </c>
      <c r="D1670" t="n">
        <v>6</v>
      </c>
      <c r="E1670" t="inlineStr">
        <is>
          <t>MEDIUM</t>
        </is>
      </c>
      <c r="F1670" t="n">
        <v>2</v>
      </c>
      <c r="G1670" t="n">
        <v>2</v>
      </c>
      <c r="H1670" t="inlineStr">
        <is>
          <t>MEDIUM</t>
        </is>
      </c>
      <c r="I1670" t="n">
        <v>10</v>
      </c>
      <c r="J1670" t="inlineStr">
        <is>
          <t>NO</t>
        </is>
      </c>
      <c r="K1670" t="inlineStr">
        <is>
          <t>2026-02-23 23:48</t>
        </is>
      </c>
      <c r="L1670" t="inlineStr">
        <is>
          <t>Block IP</t>
        </is>
      </c>
      <c r="M1670" t="inlineStr">
        <is>
          <t>Firewall/Network</t>
        </is>
      </c>
      <c r="N1670" t="inlineStr">
        <is>
          <t>P4</t>
        </is>
      </c>
      <c r="O1670" t="inlineStr">
        <is>
          <t>Blocklist IP — ip-api.com context available</t>
        </is>
      </c>
      <c r="P1670" t="n">
        <v>0</v>
      </c>
      <c r="Q1670" t="n">
        <v>0</v>
      </c>
      <c r="R1670" t="inlineStr">
        <is>
          <t>T1110:Brute Force | T1190:Exploit Public-Facing Application</t>
        </is>
      </c>
      <c r="S1670" t="n">
        <v>1</v>
      </c>
      <c r="T1670" t="inlineStr">
        <is>
          <t>LOW (40%)</t>
        </is>
      </c>
      <c r="U1670" t="inlineStr">
        <is>
          <t>NONE</t>
        </is>
      </c>
      <c r="V1670" t="inlineStr">
        <is>
          <t>NONE</t>
        </is>
      </c>
      <c r="W1670" t="inlineStr">
        <is>
          <t>NONE</t>
        </is>
      </c>
      <c r="X1670" t="inlineStr">
        <is>
          <t>NONE</t>
        </is>
      </c>
      <c r="Y1670" t="n">
        <v>0</v>
      </c>
      <c r="Z1670" t="inlineStr"/>
      <c r="AA1670" t="inlineStr">
        <is>
          <t>https://www.blocklist.de/</t>
        </is>
      </c>
    </row>
    <row r="1671">
      <c r="A1671" t="inlineStr">
        <is>
          <t>BLOCKLIST_DE</t>
        </is>
      </c>
      <c r="B1671" t="inlineStr">
        <is>
          <t>9c698c7f2054</t>
        </is>
      </c>
      <c r="C1671" t="inlineStr">
        <is>
          <t>Blocklist.de: 1.235.192.131 | Attack activity reported | Sources: BLOCKLIST_DE</t>
        </is>
      </c>
      <c r="D1671" t="n">
        <v>6</v>
      </c>
      <c r="E1671" t="inlineStr">
        <is>
          <t>MEDIUM</t>
        </is>
      </c>
      <c r="F1671" t="n">
        <v>2</v>
      </c>
      <c r="G1671" t="n">
        <v>2</v>
      </c>
      <c r="H1671" t="inlineStr">
        <is>
          <t>MEDIUM</t>
        </is>
      </c>
      <c r="I1671" t="n">
        <v>10</v>
      </c>
      <c r="J1671" t="inlineStr">
        <is>
          <t>NO</t>
        </is>
      </c>
      <c r="K1671" t="inlineStr">
        <is>
          <t>2026-02-23 23:48</t>
        </is>
      </c>
      <c r="L1671" t="inlineStr">
        <is>
          <t>Block IP</t>
        </is>
      </c>
      <c r="M1671" t="inlineStr">
        <is>
          <t>Firewall/Network</t>
        </is>
      </c>
      <c r="N1671" t="inlineStr">
        <is>
          <t>P4</t>
        </is>
      </c>
      <c r="O1671" t="inlineStr">
        <is>
          <t>Blocklist IP — ip-api.com context available</t>
        </is>
      </c>
      <c r="P1671" t="n">
        <v>0</v>
      </c>
      <c r="Q1671" t="n">
        <v>0</v>
      </c>
      <c r="R1671" t="inlineStr">
        <is>
          <t>T1110:Brute Force | T1190:Exploit Public-Facing Application</t>
        </is>
      </c>
      <c r="S1671" t="n">
        <v>1</v>
      </c>
      <c r="T1671" t="inlineStr">
        <is>
          <t>LOW (40%)</t>
        </is>
      </c>
      <c r="U1671" t="inlineStr">
        <is>
          <t>NONE</t>
        </is>
      </c>
      <c r="V1671" t="inlineStr">
        <is>
          <t>NONE</t>
        </is>
      </c>
      <c r="W1671" t="inlineStr">
        <is>
          <t>NONE</t>
        </is>
      </c>
      <c r="X1671" t="inlineStr">
        <is>
          <t>NONE</t>
        </is>
      </c>
      <c r="Y1671" t="n">
        <v>0</v>
      </c>
      <c r="Z1671" t="inlineStr"/>
      <c r="AA1671" t="inlineStr">
        <is>
          <t>https://www.blocklist.de/</t>
        </is>
      </c>
    </row>
    <row r="1672">
      <c r="A1672" t="inlineStr">
        <is>
          <t>BLOCKLIST_DE</t>
        </is>
      </c>
      <c r="B1672" t="inlineStr">
        <is>
          <t>9b6a8ed48afe</t>
        </is>
      </c>
      <c r="C1672" t="inlineStr">
        <is>
          <t>Blocklist.de: 1.237.155.150 | Attack activity reported | Sources: BLOCKLIST_DE</t>
        </is>
      </c>
      <c r="D1672" t="n">
        <v>6</v>
      </c>
      <c r="E1672" t="inlineStr">
        <is>
          <t>MEDIUM</t>
        </is>
      </c>
      <c r="F1672" t="n">
        <v>2</v>
      </c>
      <c r="G1672" t="n">
        <v>2</v>
      </c>
      <c r="H1672" t="inlineStr">
        <is>
          <t>MEDIUM</t>
        </is>
      </c>
      <c r="I1672" t="n">
        <v>10</v>
      </c>
      <c r="J1672" t="inlineStr">
        <is>
          <t>NO</t>
        </is>
      </c>
      <c r="K1672" t="inlineStr">
        <is>
          <t>2026-02-23 23:48</t>
        </is>
      </c>
      <c r="L1672" t="inlineStr">
        <is>
          <t>Block IP</t>
        </is>
      </c>
      <c r="M1672" t="inlineStr">
        <is>
          <t>Firewall/Network</t>
        </is>
      </c>
      <c r="N1672" t="inlineStr">
        <is>
          <t>P4</t>
        </is>
      </c>
      <c r="O1672" t="inlineStr">
        <is>
          <t>Blocklist IP — ip-api.com context available</t>
        </is>
      </c>
      <c r="P1672" t="n">
        <v>0</v>
      </c>
      <c r="Q1672" t="n">
        <v>0</v>
      </c>
      <c r="R1672" t="inlineStr">
        <is>
          <t>T1110:Brute Force | T1190:Exploit Public-Facing Application</t>
        </is>
      </c>
      <c r="S1672" t="n">
        <v>1</v>
      </c>
      <c r="T1672" t="inlineStr">
        <is>
          <t>LOW (40%)</t>
        </is>
      </c>
      <c r="U1672" t="inlineStr">
        <is>
          <t>NONE</t>
        </is>
      </c>
      <c r="V1672" t="inlineStr">
        <is>
          <t>NONE</t>
        </is>
      </c>
      <c r="W1672" t="inlineStr">
        <is>
          <t>NONE</t>
        </is>
      </c>
      <c r="X1672" t="inlineStr">
        <is>
          <t>NONE</t>
        </is>
      </c>
      <c r="Y1672" t="n">
        <v>0</v>
      </c>
      <c r="Z1672" t="inlineStr"/>
      <c r="AA1672" t="inlineStr">
        <is>
          <t>https://www.blocklist.de/</t>
        </is>
      </c>
    </row>
    <row r="1673">
      <c r="A1673" t="inlineStr">
        <is>
          <t>BLOCKLIST_DE</t>
        </is>
      </c>
      <c r="B1673" t="inlineStr">
        <is>
          <t>55fb149617b5</t>
        </is>
      </c>
      <c r="C1673" t="inlineStr">
        <is>
          <t>Blocklist.de: 1.238.106.229 | Attack activity reported | Sources: BLOCKLIST_DE</t>
        </is>
      </c>
      <c r="D1673" t="n">
        <v>6</v>
      </c>
      <c r="E1673" t="inlineStr">
        <is>
          <t>MEDIUM</t>
        </is>
      </c>
      <c r="F1673" t="n">
        <v>2</v>
      </c>
      <c r="G1673" t="n">
        <v>2</v>
      </c>
      <c r="H1673" t="inlineStr">
        <is>
          <t>MEDIUM</t>
        </is>
      </c>
      <c r="I1673" t="n">
        <v>10</v>
      </c>
      <c r="J1673" t="inlineStr">
        <is>
          <t>NO</t>
        </is>
      </c>
      <c r="K1673" t="inlineStr">
        <is>
          <t>2026-02-23 23:48</t>
        </is>
      </c>
      <c r="L1673" t="inlineStr">
        <is>
          <t>Block IP</t>
        </is>
      </c>
      <c r="M1673" t="inlineStr">
        <is>
          <t>Firewall/Network</t>
        </is>
      </c>
      <c r="N1673" t="inlineStr">
        <is>
          <t>P4</t>
        </is>
      </c>
      <c r="O1673" t="inlineStr">
        <is>
          <t>Blocklist IP — ip-api.com context available</t>
        </is>
      </c>
      <c r="P1673" t="n">
        <v>0</v>
      </c>
      <c r="Q1673" t="n">
        <v>0</v>
      </c>
      <c r="R1673" t="inlineStr">
        <is>
          <t>T1110:Brute Force | T1190:Exploit Public-Facing Application</t>
        </is>
      </c>
      <c r="S1673" t="n">
        <v>1</v>
      </c>
      <c r="T1673" t="inlineStr">
        <is>
          <t>LOW (40%)</t>
        </is>
      </c>
      <c r="U1673" t="inlineStr">
        <is>
          <t>NONE</t>
        </is>
      </c>
      <c r="V1673" t="inlineStr">
        <is>
          <t>NONE</t>
        </is>
      </c>
      <c r="W1673" t="inlineStr">
        <is>
          <t>NONE</t>
        </is>
      </c>
      <c r="X1673" t="inlineStr">
        <is>
          <t>NONE</t>
        </is>
      </c>
      <c r="Y1673" t="n">
        <v>0</v>
      </c>
      <c r="Z1673" t="inlineStr"/>
      <c r="AA1673" t="inlineStr">
        <is>
          <t>https://www.blocklist.de/</t>
        </is>
      </c>
    </row>
    <row r="1674">
      <c r="A1674" t="inlineStr">
        <is>
          <t>BLOCKLIST_DE</t>
        </is>
      </c>
      <c r="B1674" t="inlineStr">
        <is>
          <t>d28316cdbee2</t>
        </is>
      </c>
      <c r="C1674" t="inlineStr">
        <is>
          <t>Blocklist.de: 1.24.210.27 | Attack activity reported | Sources: BLOCKLIST_DE</t>
        </is>
      </c>
      <c r="D1674" t="n">
        <v>6</v>
      </c>
      <c r="E1674" t="inlineStr">
        <is>
          <t>MEDIUM</t>
        </is>
      </c>
      <c r="F1674" t="n">
        <v>2</v>
      </c>
      <c r="G1674" t="n">
        <v>2</v>
      </c>
      <c r="H1674" t="inlineStr">
        <is>
          <t>MEDIUM</t>
        </is>
      </c>
      <c r="I1674" t="n">
        <v>10</v>
      </c>
      <c r="J1674" t="inlineStr">
        <is>
          <t>NO</t>
        </is>
      </c>
      <c r="K1674" t="inlineStr">
        <is>
          <t>2026-02-23 23:48</t>
        </is>
      </c>
      <c r="L1674" t="inlineStr">
        <is>
          <t>Block IP</t>
        </is>
      </c>
      <c r="M1674" t="inlineStr">
        <is>
          <t>Firewall/Network</t>
        </is>
      </c>
      <c r="N1674" t="inlineStr">
        <is>
          <t>P4</t>
        </is>
      </c>
      <c r="O1674" t="inlineStr">
        <is>
          <t>Blocklist IP — ip-api.com context available</t>
        </is>
      </c>
      <c r="P1674" t="n">
        <v>0</v>
      </c>
      <c r="Q1674" t="n">
        <v>0</v>
      </c>
      <c r="R1674" t="inlineStr">
        <is>
          <t>T1110:Brute Force | T1190:Exploit Public-Facing Application</t>
        </is>
      </c>
      <c r="S1674" t="n">
        <v>1</v>
      </c>
      <c r="T1674" t="inlineStr">
        <is>
          <t>LOW (40%)</t>
        </is>
      </c>
      <c r="U1674" t="inlineStr">
        <is>
          <t>NONE</t>
        </is>
      </c>
      <c r="V1674" t="inlineStr">
        <is>
          <t>NONE</t>
        </is>
      </c>
      <c r="W1674" t="inlineStr">
        <is>
          <t>NONE</t>
        </is>
      </c>
      <c r="X1674" t="inlineStr">
        <is>
          <t>NONE</t>
        </is>
      </c>
      <c r="Y1674" t="n">
        <v>0</v>
      </c>
      <c r="Z1674" t="inlineStr"/>
      <c r="AA1674" t="inlineStr">
        <is>
          <t>https://www.blocklist.de/</t>
        </is>
      </c>
    </row>
    <row r="1675">
      <c r="A1675" t="inlineStr">
        <is>
          <t>BLOCKLIST_DE</t>
        </is>
      </c>
      <c r="B1675" t="inlineStr">
        <is>
          <t>92b46c4f478f</t>
        </is>
      </c>
      <c r="C1675" t="inlineStr">
        <is>
          <t>Blocklist.de: 1.241.162.20 | Attack activity reported | Sources: BLOCKLIST_DE</t>
        </is>
      </c>
      <c r="D1675" t="n">
        <v>6</v>
      </c>
      <c r="E1675" t="inlineStr">
        <is>
          <t>MEDIUM</t>
        </is>
      </c>
      <c r="F1675" t="n">
        <v>2</v>
      </c>
      <c r="G1675" t="n">
        <v>2</v>
      </c>
      <c r="H1675" t="inlineStr">
        <is>
          <t>MEDIUM</t>
        </is>
      </c>
      <c r="I1675" t="n">
        <v>10</v>
      </c>
      <c r="J1675" t="inlineStr">
        <is>
          <t>NO</t>
        </is>
      </c>
      <c r="K1675" t="inlineStr">
        <is>
          <t>2026-02-23 23:48</t>
        </is>
      </c>
      <c r="L1675" t="inlineStr">
        <is>
          <t>Block IP</t>
        </is>
      </c>
      <c r="M1675" t="inlineStr">
        <is>
          <t>Firewall/Network</t>
        </is>
      </c>
      <c r="N1675" t="inlineStr">
        <is>
          <t>P4</t>
        </is>
      </c>
      <c r="O1675" t="inlineStr">
        <is>
          <t>Blocklist IP — ip-api.com context available</t>
        </is>
      </c>
      <c r="P1675" t="n">
        <v>0</v>
      </c>
      <c r="Q1675" t="n">
        <v>0</v>
      </c>
      <c r="R1675" t="inlineStr">
        <is>
          <t>T1110:Brute Force | T1190:Exploit Public-Facing Application</t>
        </is>
      </c>
      <c r="S1675" t="n">
        <v>1</v>
      </c>
      <c r="T1675" t="inlineStr">
        <is>
          <t>LOW (40%)</t>
        </is>
      </c>
      <c r="U1675" t="inlineStr">
        <is>
          <t>NONE</t>
        </is>
      </c>
      <c r="V1675" t="inlineStr">
        <is>
          <t>NONE</t>
        </is>
      </c>
      <c r="W1675" t="inlineStr">
        <is>
          <t>NONE</t>
        </is>
      </c>
      <c r="X1675" t="inlineStr">
        <is>
          <t>NONE</t>
        </is>
      </c>
      <c r="Y1675" t="n">
        <v>0</v>
      </c>
      <c r="Z1675" t="inlineStr"/>
      <c r="AA1675" t="inlineStr">
        <is>
          <t>https://www.blocklist.de/</t>
        </is>
      </c>
    </row>
    <row r="1676">
      <c r="A1676" t="inlineStr">
        <is>
          <t>BLOCKLIST_DE</t>
        </is>
      </c>
      <c r="B1676" t="inlineStr">
        <is>
          <t>7b84ff55afa8</t>
        </is>
      </c>
      <c r="C1676" t="inlineStr">
        <is>
          <t>Blocklist.de: 1.241.174.81 | Attack activity reported | Sources: BLOCKLIST_DE</t>
        </is>
      </c>
      <c r="D1676" t="n">
        <v>6</v>
      </c>
      <c r="E1676" t="inlineStr">
        <is>
          <t>MEDIUM</t>
        </is>
      </c>
      <c r="F1676" t="n">
        <v>2</v>
      </c>
      <c r="G1676" t="n">
        <v>2</v>
      </c>
      <c r="H1676" t="inlineStr">
        <is>
          <t>MEDIUM</t>
        </is>
      </c>
      <c r="I1676" t="n">
        <v>10</v>
      </c>
      <c r="J1676" t="inlineStr">
        <is>
          <t>NO</t>
        </is>
      </c>
      <c r="K1676" t="inlineStr">
        <is>
          <t>2026-02-23 23:48</t>
        </is>
      </c>
      <c r="L1676" t="inlineStr">
        <is>
          <t>Block IP</t>
        </is>
      </c>
      <c r="M1676" t="inlineStr">
        <is>
          <t>Firewall/Network</t>
        </is>
      </c>
      <c r="N1676" t="inlineStr">
        <is>
          <t>P4</t>
        </is>
      </c>
      <c r="O1676" t="inlineStr">
        <is>
          <t>Blocklist IP — ip-api.com context available</t>
        </is>
      </c>
      <c r="P1676" t="n">
        <v>0</v>
      </c>
      <c r="Q1676" t="n">
        <v>0</v>
      </c>
      <c r="R1676" t="inlineStr">
        <is>
          <t>T1110:Brute Force | T1190:Exploit Public-Facing Application</t>
        </is>
      </c>
      <c r="S1676" t="n">
        <v>1</v>
      </c>
      <c r="T1676" t="inlineStr">
        <is>
          <t>LOW (40%)</t>
        </is>
      </c>
      <c r="U1676" t="inlineStr">
        <is>
          <t>NONE</t>
        </is>
      </c>
      <c r="V1676" t="inlineStr">
        <is>
          <t>NONE</t>
        </is>
      </c>
      <c r="W1676" t="inlineStr">
        <is>
          <t>NONE</t>
        </is>
      </c>
      <c r="X1676" t="inlineStr">
        <is>
          <t>NONE</t>
        </is>
      </c>
      <c r="Y1676" t="n">
        <v>0</v>
      </c>
      <c r="Z1676" t="inlineStr"/>
      <c r="AA1676" t="inlineStr">
        <is>
          <t>https://www.blocklist.de/</t>
        </is>
      </c>
    </row>
    <row r="1677">
      <c r="A1677" t="inlineStr">
        <is>
          <t>BLOCKLIST_DE</t>
        </is>
      </c>
      <c r="B1677" t="inlineStr">
        <is>
          <t>1c9e454bffa8</t>
        </is>
      </c>
      <c r="C1677" t="inlineStr">
        <is>
          <t>Blocklist.de: 1.241.64.237 | Attack activity reported | Sources: BLOCKLIST_DE</t>
        </is>
      </c>
      <c r="D1677" t="n">
        <v>6</v>
      </c>
      <c r="E1677" t="inlineStr">
        <is>
          <t>MEDIUM</t>
        </is>
      </c>
      <c r="F1677" t="n">
        <v>2</v>
      </c>
      <c r="G1677" t="n">
        <v>2</v>
      </c>
      <c r="H1677" t="inlineStr">
        <is>
          <t>MEDIUM</t>
        </is>
      </c>
      <c r="I1677" t="n">
        <v>10</v>
      </c>
      <c r="J1677" t="inlineStr">
        <is>
          <t>NO</t>
        </is>
      </c>
      <c r="K1677" t="inlineStr">
        <is>
          <t>2026-02-23 23:48</t>
        </is>
      </c>
      <c r="L1677" t="inlineStr">
        <is>
          <t>Block IP</t>
        </is>
      </c>
      <c r="M1677" t="inlineStr">
        <is>
          <t>Firewall/Network</t>
        </is>
      </c>
      <c r="N1677" t="inlineStr">
        <is>
          <t>P4</t>
        </is>
      </c>
      <c r="O1677" t="inlineStr">
        <is>
          <t>Blocklist IP — ip-api.com context available</t>
        </is>
      </c>
      <c r="P1677" t="n">
        <v>0</v>
      </c>
      <c r="Q1677" t="n">
        <v>0</v>
      </c>
      <c r="R1677" t="inlineStr">
        <is>
          <t>T1110:Brute Force | T1190:Exploit Public-Facing Application</t>
        </is>
      </c>
      <c r="S1677" t="n">
        <v>1</v>
      </c>
      <c r="T1677" t="inlineStr">
        <is>
          <t>LOW (40%)</t>
        </is>
      </c>
      <c r="U1677" t="inlineStr">
        <is>
          <t>NONE</t>
        </is>
      </c>
      <c r="V1677" t="inlineStr">
        <is>
          <t>NONE</t>
        </is>
      </c>
      <c r="W1677" t="inlineStr">
        <is>
          <t>NONE</t>
        </is>
      </c>
      <c r="X1677" t="inlineStr">
        <is>
          <t>NONE</t>
        </is>
      </c>
      <c r="Y1677" t="n">
        <v>0</v>
      </c>
      <c r="Z1677" t="inlineStr"/>
      <c r="AA1677" t="inlineStr">
        <is>
          <t>https://www.blocklist.de/</t>
        </is>
      </c>
    </row>
    <row r="1678">
      <c r="A1678" t="inlineStr">
        <is>
          <t>BLOCKLIST_DE</t>
        </is>
      </c>
      <c r="B1678" t="inlineStr">
        <is>
          <t>982ec68d54bb</t>
        </is>
      </c>
      <c r="C1678" t="inlineStr">
        <is>
          <t>Blocklist.de: 1.244.246.221 | Attack activity reported | Sources: BLOCKLIST_DE</t>
        </is>
      </c>
      <c r="D1678" t="n">
        <v>6</v>
      </c>
      <c r="E1678" t="inlineStr">
        <is>
          <t>MEDIUM</t>
        </is>
      </c>
      <c r="F1678" t="n">
        <v>2</v>
      </c>
      <c r="G1678" t="n">
        <v>2</v>
      </c>
      <c r="H1678" t="inlineStr">
        <is>
          <t>MEDIUM</t>
        </is>
      </c>
      <c r="I1678" t="n">
        <v>10</v>
      </c>
      <c r="J1678" t="inlineStr">
        <is>
          <t>NO</t>
        </is>
      </c>
      <c r="K1678" t="inlineStr">
        <is>
          <t>2026-02-23 23:48</t>
        </is>
      </c>
      <c r="L1678" t="inlineStr">
        <is>
          <t>Block IP</t>
        </is>
      </c>
      <c r="M1678" t="inlineStr">
        <is>
          <t>Firewall/Network</t>
        </is>
      </c>
      <c r="N1678" t="inlineStr">
        <is>
          <t>P4</t>
        </is>
      </c>
      <c r="O1678" t="inlineStr">
        <is>
          <t>Blocklist IP — ip-api.com context available</t>
        </is>
      </c>
      <c r="P1678" t="n">
        <v>0</v>
      </c>
      <c r="Q1678" t="n">
        <v>0</v>
      </c>
      <c r="R1678" t="inlineStr">
        <is>
          <t>T1110:Brute Force | T1190:Exploit Public-Facing Application</t>
        </is>
      </c>
      <c r="S1678" t="n">
        <v>1</v>
      </c>
      <c r="T1678" t="inlineStr">
        <is>
          <t>LOW (40%)</t>
        </is>
      </c>
      <c r="U1678" t="inlineStr">
        <is>
          <t>NONE</t>
        </is>
      </c>
      <c r="V1678" t="inlineStr">
        <is>
          <t>NONE</t>
        </is>
      </c>
      <c r="W1678" t="inlineStr">
        <is>
          <t>NONE</t>
        </is>
      </c>
      <c r="X1678" t="inlineStr">
        <is>
          <t>NONE</t>
        </is>
      </c>
      <c r="Y1678" t="n">
        <v>0</v>
      </c>
      <c r="Z1678" t="inlineStr"/>
      <c r="AA1678" t="inlineStr">
        <is>
          <t>https://www.blocklist.de/</t>
        </is>
      </c>
    </row>
    <row r="1679">
      <c r="A1679" t="inlineStr">
        <is>
          <t>BLOCKLIST_DE</t>
        </is>
      </c>
      <c r="B1679" t="inlineStr">
        <is>
          <t>3a96bb34832f</t>
        </is>
      </c>
      <c r="C1679" t="inlineStr">
        <is>
          <t>Blocklist.de: 1.246.14.175 | Attack activity reported | Sources: BLOCKLIST_DE</t>
        </is>
      </c>
      <c r="D1679" t="n">
        <v>6</v>
      </c>
      <c r="E1679" t="inlineStr">
        <is>
          <t>MEDIUM</t>
        </is>
      </c>
      <c r="F1679" t="n">
        <v>2</v>
      </c>
      <c r="G1679" t="n">
        <v>2</v>
      </c>
      <c r="H1679" t="inlineStr">
        <is>
          <t>MEDIUM</t>
        </is>
      </c>
      <c r="I1679" t="n">
        <v>10</v>
      </c>
      <c r="J1679" t="inlineStr">
        <is>
          <t>NO</t>
        </is>
      </c>
      <c r="K1679" t="inlineStr">
        <is>
          <t>2026-02-23 23:48</t>
        </is>
      </c>
      <c r="L1679" t="inlineStr">
        <is>
          <t>Block IP</t>
        </is>
      </c>
      <c r="M1679" t="inlineStr">
        <is>
          <t>Firewall/Network</t>
        </is>
      </c>
      <c r="N1679" t="inlineStr">
        <is>
          <t>P4</t>
        </is>
      </c>
      <c r="O1679" t="inlineStr">
        <is>
          <t>Blocklist IP — ip-api.com context available</t>
        </is>
      </c>
      <c r="P1679" t="n">
        <v>0</v>
      </c>
      <c r="Q1679" t="n">
        <v>0</v>
      </c>
      <c r="R1679" t="inlineStr">
        <is>
          <t>T1110:Brute Force | T1190:Exploit Public-Facing Application</t>
        </is>
      </c>
      <c r="S1679" t="n">
        <v>1</v>
      </c>
      <c r="T1679" t="inlineStr">
        <is>
          <t>LOW (40%)</t>
        </is>
      </c>
      <c r="U1679" t="inlineStr">
        <is>
          <t>NONE</t>
        </is>
      </c>
      <c r="V1679" t="inlineStr">
        <is>
          <t>NONE</t>
        </is>
      </c>
      <c r="W1679" t="inlineStr">
        <is>
          <t>NONE</t>
        </is>
      </c>
      <c r="X1679" t="inlineStr">
        <is>
          <t>NONE</t>
        </is>
      </c>
      <c r="Y1679" t="n">
        <v>0</v>
      </c>
      <c r="Z1679" t="inlineStr"/>
      <c r="AA1679" t="inlineStr">
        <is>
          <t>https://www.blocklist.de/</t>
        </is>
      </c>
    </row>
    <row r="1680">
      <c r="A1680" t="inlineStr">
        <is>
          <t>BLOCKLIST_DE</t>
        </is>
      </c>
      <c r="B1680" t="inlineStr">
        <is>
          <t>ae41c4e1204a</t>
        </is>
      </c>
      <c r="C1680" t="inlineStr">
        <is>
          <t>Blocklist.de: 1.247.216.26 | Attack activity reported | Sources: BLOCKLIST_DE</t>
        </is>
      </c>
      <c r="D1680" t="n">
        <v>6</v>
      </c>
      <c r="E1680" t="inlineStr">
        <is>
          <t>MEDIUM</t>
        </is>
      </c>
      <c r="F1680" t="n">
        <v>2</v>
      </c>
      <c r="G1680" t="n">
        <v>2</v>
      </c>
      <c r="H1680" t="inlineStr">
        <is>
          <t>MEDIUM</t>
        </is>
      </c>
      <c r="I1680" t="n">
        <v>10</v>
      </c>
      <c r="J1680" t="inlineStr">
        <is>
          <t>NO</t>
        </is>
      </c>
      <c r="K1680" t="inlineStr">
        <is>
          <t>2026-02-23 23:48</t>
        </is>
      </c>
      <c r="L1680" t="inlineStr">
        <is>
          <t>Block IP</t>
        </is>
      </c>
      <c r="M1680" t="inlineStr">
        <is>
          <t>Firewall/Network</t>
        </is>
      </c>
      <c r="N1680" t="inlineStr">
        <is>
          <t>P4</t>
        </is>
      </c>
      <c r="O1680" t="inlineStr">
        <is>
          <t>Blocklist IP — ip-api.com context available</t>
        </is>
      </c>
      <c r="P1680" t="n">
        <v>0</v>
      </c>
      <c r="Q1680" t="n">
        <v>0</v>
      </c>
      <c r="R1680" t="inlineStr">
        <is>
          <t>T1110:Brute Force | T1190:Exploit Public-Facing Application</t>
        </is>
      </c>
      <c r="S1680" t="n">
        <v>1</v>
      </c>
      <c r="T1680" t="inlineStr">
        <is>
          <t>LOW (40%)</t>
        </is>
      </c>
      <c r="U1680" t="inlineStr">
        <is>
          <t>NONE</t>
        </is>
      </c>
      <c r="V1680" t="inlineStr">
        <is>
          <t>NONE</t>
        </is>
      </c>
      <c r="W1680" t="inlineStr">
        <is>
          <t>NONE</t>
        </is>
      </c>
      <c r="X1680" t="inlineStr">
        <is>
          <t>NONE</t>
        </is>
      </c>
      <c r="Y1680" t="n">
        <v>0</v>
      </c>
      <c r="Z1680" t="inlineStr"/>
      <c r="AA1680" t="inlineStr">
        <is>
          <t>https://www.blocklist.de/</t>
        </is>
      </c>
    </row>
    <row r="1681">
      <c r="A1681" t="inlineStr">
        <is>
          <t>MSF_MODULE</t>
        </is>
      </c>
      <c r="B1681" t="inlineStr">
        <is>
          <t>CVE-2007-4387</t>
        </is>
      </c>
      <c r="C1681" t="inlineStr">
        <is>
          <t>Metasploit module available: 2Wire Cross-Site Request Forgery Password Reset Vulnerability | Type: auxiliary_admin | CVE-2007-4387</t>
        </is>
      </c>
      <c r="D1681" t="n">
        <v>7.5</v>
      </c>
      <c r="E1681" t="inlineStr">
        <is>
          <t>HIGH</t>
        </is>
      </c>
      <c r="F1681" t="n">
        <v>3</v>
      </c>
      <c r="G1681" t="n">
        <v>3</v>
      </c>
      <c r="H1681" t="inlineStr">
        <is>
          <t>CRITICAL</t>
        </is>
      </c>
      <c r="I1681" t="n">
        <v>16.5</v>
      </c>
      <c r="J1681" t="inlineStr">
        <is>
          <t>NO</t>
        </is>
      </c>
      <c r="K1681" t="inlineStr">
        <is>
          <t>2026-02-23 23:48</t>
        </is>
      </c>
      <c r="L1681" t="inlineStr">
        <is>
          <t>PATCH_IMMEDIATELY</t>
        </is>
      </c>
      <c r="M1681" t="inlineStr">
        <is>
          <t>See CVE details</t>
        </is>
      </c>
      <c r="N1681" t="inlineStr">
        <is>
          <t>P2</t>
        </is>
      </c>
      <c r="O1681" t="inlineStr">
        <is>
          <t>Rapid7 MSF: 2Wire Cross-Site Request Forgery Password Reset Vulnerability | Module type: auxiliary_admin</t>
        </is>
      </c>
      <c r="P1681" t="n">
        <v>0</v>
      </c>
      <c r="Q1681" t="n">
        <v>0</v>
      </c>
      <c r="R1681" t="inlineStr">
        <is>
          <t>T1203:Exploitation for Client Execution | T1190:Exploit Public-Facing Application</t>
        </is>
      </c>
      <c r="S1681" t="n">
        <v>2</v>
      </c>
      <c r="T1681" t="inlineStr">
        <is>
          <t>HIGH (72%)</t>
        </is>
      </c>
      <c r="U1681" t="inlineStr">
        <is>
          <t>WEAPONIZED</t>
        </is>
      </c>
      <c r="V1681" t="inlineStr">
        <is>
          <t>CHECK_VENDOR</t>
        </is>
      </c>
      <c r="W1681" t="inlineStr">
        <is>
          <t>https://www.rapid7.com/db/search/?q=CVE-2007-4387</t>
        </is>
      </c>
      <c r="X1681" t="inlineStr">
        <is>
          <t>NONE</t>
        </is>
      </c>
      <c r="Y1681" t="n">
        <v>0</v>
      </c>
      <c r="Z1681" t="inlineStr"/>
      <c r="AA1681" t="inlineStr">
        <is>
          <t>https://nvd.nist.gov/vuln/detail/CVE-2007-4387</t>
        </is>
      </c>
    </row>
    <row r="1682">
      <c r="A1682" t="inlineStr">
        <is>
          <t>MSF_MODULE</t>
        </is>
      </c>
      <c r="B1682" t="inlineStr">
        <is>
          <t>CVE-2014-6041</t>
        </is>
      </c>
      <c r="C1682" t="inlineStr">
        <is>
          <t>Metasploit module available: Android Browser RCE Through Google Play Store XFO | Type: auxiliary_admin | CVE-2014-6041</t>
        </is>
      </c>
      <c r="D1682" t="n">
        <v>7.5</v>
      </c>
      <c r="E1682" t="inlineStr">
        <is>
          <t>HIGH</t>
        </is>
      </c>
      <c r="F1682" t="n">
        <v>3</v>
      </c>
      <c r="G1682" t="n">
        <v>3</v>
      </c>
      <c r="H1682" t="inlineStr">
        <is>
          <t>CRITICAL</t>
        </is>
      </c>
      <c r="I1682" t="n">
        <v>16.5</v>
      </c>
      <c r="J1682" t="inlineStr">
        <is>
          <t>NO</t>
        </is>
      </c>
      <c r="K1682" t="inlineStr">
        <is>
          <t>2026-02-23 23:48</t>
        </is>
      </c>
      <c r="L1682" t="inlineStr">
        <is>
          <t>PATCH_IMMEDIATELY</t>
        </is>
      </c>
      <c r="M1682" t="inlineStr">
        <is>
          <t>See CVE details</t>
        </is>
      </c>
      <c r="N1682" t="inlineStr">
        <is>
          <t>P2</t>
        </is>
      </c>
      <c r="O1682" t="inlineStr">
        <is>
          <t>Rapid7 MSF: Android Browser RCE Through Google Play Store XFO | Module type: auxiliary_admin</t>
        </is>
      </c>
      <c r="P1682" t="n">
        <v>0</v>
      </c>
      <c r="Q1682" t="n">
        <v>0</v>
      </c>
      <c r="R1682" t="inlineStr">
        <is>
          <t>T1203:Exploitation for Client Execution | T1190:Exploit Public-Facing Application</t>
        </is>
      </c>
      <c r="S1682" t="n">
        <v>2</v>
      </c>
      <c r="T1682" t="inlineStr">
        <is>
          <t>HIGH (72%)</t>
        </is>
      </c>
      <c r="U1682" t="inlineStr">
        <is>
          <t>WEAPONIZED</t>
        </is>
      </c>
      <c r="V1682" t="inlineStr">
        <is>
          <t>CHECK_VENDOR</t>
        </is>
      </c>
      <c r="W1682" t="inlineStr">
        <is>
          <t>https://www.rapid7.com/db/search/?q=CVE-2014-6041</t>
        </is>
      </c>
      <c r="X1682" t="inlineStr">
        <is>
          <t>NONE</t>
        </is>
      </c>
      <c r="Y1682" t="n">
        <v>0</v>
      </c>
      <c r="Z1682" t="inlineStr"/>
      <c r="AA1682" t="inlineStr">
        <is>
          <t>https://nvd.nist.gov/vuln/detail/CVE-2014-6041</t>
        </is>
      </c>
    </row>
    <row r="1683">
      <c r="A1683" t="inlineStr">
        <is>
          <t>MSF_MODULE</t>
        </is>
      </c>
      <c r="B1683" t="inlineStr">
        <is>
          <t>CVE-2005-2611</t>
        </is>
      </c>
      <c r="C1683" t="inlineStr">
        <is>
          <t>Metasploit module available: Veritas Backup Exec Windows Remote File Access | Type: auxiliary_admin | CVE-2005-2611</t>
        </is>
      </c>
      <c r="D1683" t="n">
        <v>7.5</v>
      </c>
      <c r="E1683" t="inlineStr">
        <is>
          <t>HIGH</t>
        </is>
      </c>
      <c r="F1683" t="n">
        <v>3</v>
      </c>
      <c r="G1683" t="n">
        <v>3</v>
      </c>
      <c r="H1683" t="inlineStr">
        <is>
          <t>CRITICAL</t>
        </is>
      </c>
      <c r="I1683" t="n">
        <v>16.5</v>
      </c>
      <c r="J1683" t="inlineStr">
        <is>
          <t>NO</t>
        </is>
      </c>
      <c r="K1683" t="inlineStr">
        <is>
          <t>2026-02-23 23:48</t>
        </is>
      </c>
      <c r="L1683" t="inlineStr">
        <is>
          <t>PATCH_IMMEDIATELY</t>
        </is>
      </c>
      <c r="M1683" t="inlineStr">
        <is>
          <t>See CVE details</t>
        </is>
      </c>
      <c r="N1683" t="inlineStr">
        <is>
          <t>P2</t>
        </is>
      </c>
      <c r="O1683" t="inlineStr">
        <is>
          <t>Rapid7 MSF: Veritas Backup Exec Windows Remote File Access | Module type: auxiliary_admin</t>
        </is>
      </c>
      <c r="P1683" t="n">
        <v>0</v>
      </c>
      <c r="Q1683" t="n">
        <v>0</v>
      </c>
      <c r="R1683" t="inlineStr">
        <is>
          <t>T1203:Exploitation for Client Execution | T1190:Exploit Public-Facing Application</t>
        </is>
      </c>
      <c r="S1683" t="n">
        <v>2</v>
      </c>
      <c r="T1683" t="inlineStr">
        <is>
          <t>HIGH (72%)</t>
        </is>
      </c>
      <c r="U1683" t="inlineStr">
        <is>
          <t>WEAPONIZED</t>
        </is>
      </c>
      <c r="V1683" t="inlineStr">
        <is>
          <t>CHECK_VENDOR</t>
        </is>
      </c>
      <c r="W1683" t="inlineStr">
        <is>
          <t>https://www.rapid7.com/db/search/?q=CVE-2005-2611</t>
        </is>
      </c>
      <c r="X1683" t="inlineStr">
        <is>
          <t>NONE</t>
        </is>
      </c>
      <c r="Y1683" t="n">
        <v>0</v>
      </c>
      <c r="Z1683" t="inlineStr"/>
      <c r="AA1683" t="inlineStr">
        <is>
          <t>https://nvd.nist.gov/vuln/detail/CVE-2005-2611</t>
        </is>
      </c>
    </row>
    <row r="1684">
      <c r="A1684" t="inlineStr">
        <is>
          <t>MSF_MODULE</t>
        </is>
      </c>
      <c r="B1684" t="inlineStr">
        <is>
          <t>CVE-2005-0771</t>
        </is>
      </c>
      <c r="C1684" t="inlineStr">
        <is>
          <t>Metasploit module available: Veritas Backup Exec Server Registry Access | Type: auxiliary_admin | CVE-2005-0771</t>
        </is>
      </c>
      <c r="D1684" t="n">
        <v>7.5</v>
      </c>
      <c r="E1684" t="inlineStr">
        <is>
          <t>HIGH</t>
        </is>
      </c>
      <c r="F1684" t="n">
        <v>3</v>
      </c>
      <c r="G1684" t="n">
        <v>3</v>
      </c>
      <c r="H1684" t="inlineStr">
        <is>
          <t>CRITICAL</t>
        </is>
      </c>
      <c r="I1684" t="n">
        <v>16.5</v>
      </c>
      <c r="J1684" t="inlineStr">
        <is>
          <t>NO</t>
        </is>
      </c>
      <c r="K1684" t="inlineStr">
        <is>
          <t>2026-02-23 23:48</t>
        </is>
      </c>
      <c r="L1684" t="inlineStr">
        <is>
          <t>PATCH_IMMEDIATELY</t>
        </is>
      </c>
      <c r="M1684" t="inlineStr">
        <is>
          <t>See CVE details</t>
        </is>
      </c>
      <c r="N1684" t="inlineStr">
        <is>
          <t>P2</t>
        </is>
      </c>
      <c r="O1684" t="inlineStr">
        <is>
          <t>Rapid7 MSF: Veritas Backup Exec Server Registry Access | Module type: auxiliary_admin</t>
        </is>
      </c>
      <c r="P1684" t="n">
        <v>0</v>
      </c>
      <c r="Q1684" t="n">
        <v>0</v>
      </c>
      <c r="R1684" t="inlineStr">
        <is>
          <t>T1203:Exploitation for Client Execution | T1190:Exploit Public-Facing Application</t>
        </is>
      </c>
      <c r="S1684" t="n">
        <v>2</v>
      </c>
      <c r="T1684" t="inlineStr">
        <is>
          <t>HIGH (72%)</t>
        </is>
      </c>
      <c r="U1684" t="inlineStr">
        <is>
          <t>WEAPONIZED</t>
        </is>
      </c>
      <c r="V1684" t="inlineStr">
        <is>
          <t>CHECK_VENDOR</t>
        </is>
      </c>
      <c r="W1684" t="inlineStr">
        <is>
          <t>https://www.rapid7.com/db/search/?q=CVE-2005-0771</t>
        </is>
      </c>
      <c r="X1684" t="inlineStr">
        <is>
          <t>NONE</t>
        </is>
      </c>
      <c r="Y1684" t="n">
        <v>0</v>
      </c>
      <c r="Z1684" t="inlineStr"/>
      <c r="AA1684" t="inlineStr">
        <is>
          <t>https://nvd.nist.gov/vuln/detail/CVE-2005-0771</t>
        </is>
      </c>
    </row>
    <row r="1685">
      <c r="A1685" t="inlineStr">
        <is>
          <t>MSF_MODULE</t>
        </is>
      </c>
      <c r="B1685" t="inlineStr">
        <is>
          <t>CVE-2004-0795</t>
        </is>
      </c>
      <c r="C1685" t="inlineStr">
        <is>
          <t>Metasploit module available: IBM DB2 db2rcmd.exe Command Execution Vulnerability | Type: auxiliary_admin | CVE-2004-0795</t>
        </is>
      </c>
      <c r="D1685" t="n">
        <v>7.5</v>
      </c>
      <c r="E1685" t="inlineStr">
        <is>
          <t>HIGH</t>
        </is>
      </c>
      <c r="F1685" t="n">
        <v>3</v>
      </c>
      <c r="G1685" t="n">
        <v>3</v>
      </c>
      <c r="H1685" t="inlineStr">
        <is>
          <t>CRITICAL</t>
        </is>
      </c>
      <c r="I1685" t="n">
        <v>16.5</v>
      </c>
      <c r="J1685" t="inlineStr">
        <is>
          <t>NO</t>
        </is>
      </c>
      <c r="K1685" t="inlineStr">
        <is>
          <t>2026-02-23 23:48</t>
        </is>
      </c>
      <c r="L1685" t="inlineStr">
        <is>
          <t>PATCH_IMMEDIATELY</t>
        </is>
      </c>
      <c r="M1685" t="inlineStr">
        <is>
          <t>See CVE details</t>
        </is>
      </c>
      <c r="N1685" t="inlineStr">
        <is>
          <t>P2</t>
        </is>
      </c>
      <c r="O1685" t="inlineStr">
        <is>
          <t>Rapid7 MSF: IBM DB2 db2rcmd.exe Command Execution Vulnerability | Module type: auxiliary_admin</t>
        </is>
      </c>
      <c r="P1685" t="n">
        <v>0</v>
      </c>
      <c r="Q1685" t="n">
        <v>0</v>
      </c>
      <c r="R1685" t="inlineStr">
        <is>
          <t>T1203:Exploitation for Client Execution | T1190:Exploit Public-Facing Application</t>
        </is>
      </c>
      <c r="S1685" t="n">
        <v>2</v>
      </c>
      <c r="T1685" t="inlineStr">
        <is>
          <t>HIGH (72%)</t>
        </is>
      </c>
      <c r="U1685" t="inlineStr">
        <is>
          <t>WEAPONIZED</t>
        </is>
      </c>
      <c r="V1685" t="inlineStr">
        <is>
          <t>CHECK_VENDOR</t>
        </is>
      </c>
      <c r="W1685" t="inlineStr">
        <is>
          <t>https://www.rapid7.com/db/search/?q=CVE-2004-0795</t>
        </is>
      </c>
      <c r="X1685" t="inlineStr">
        <is>
          <t>NONE</t>
        </is>
      </c>
      <c r="Y1685" t="n">
        <v>0</v>
      </c>
      <c r="Z1685" t="inlineStr"/>
      <c r="AA1685" t="inlineStr">
        <is>
          <t>https://nvd.nist.gov/vuln/detail/CVE-2004-0795</t>
        </is>
      </c>
    </row>
    <row r="1686">
      <c r="A1686" t="inlineStr">
        <is>
          <t>MSF_MODULE</t>
        </is>
      </c>
      <c r="B1686" t="inlineStr">
        <is>
          <t>CVE-2020-1472</t>
        </is>
      </c>
      <c r="C1686" t="inlineStr">
        <is>
          <t>Metasploit module available: Netlogon Weak Cryptographic Authentication | Type: auxiliary_admin | CVE-2020-1472</t>
        </is>
      </c>
      <c r="D1686" t="n">
        <v>7.5</v>
      </c>
      <c r="E1686" t="inlineStr">
        <is>
          <t>HIGH</t>
        </is>
      </c>
      <c r="F1686" t="n">
        <v>3</v>
      </c>
      <c r="G1686" t="n">
        <v>3</v>
      </c>
      <c r="H1686" t="inlineStr">
        <is>
          <t>CRITICAL</t>
        </is>
      </c>
      <c r="I1686" t="n">
        <v>16.5</v>
      </c>
      <c r="J1686" t="inlineStr">
        <is>
          <t>YES</t>
        </is>
      </c>
      <c r="K1686" t="inlineStr">
        <is>
          <t>2026-02-23 23:48</t>
        </is>
      </c>
      <c r="L1686" t="inlineStr">
        <is>
          <t>PATCH_IMMEDIATELY</t>
        </is>
      </c>
      <c r="M1686" t="inlineStr">
        <is>
          <t>See CVE details</t>
        </is>
      </c>
      <c r="N1686" t="inlineStr">
        <is>
          <t>P1</t>
        </is>
      </c>
      <c r="O1686" t="inlineStr">
        <is>
          <t>Rapid7 MSF: Netlogon Weak Cryptographic Authentication | Module type: auxiliary_admin</t>
        </is>
      </c>
      <c r="P1686" t="n">
        <v>0</v>
      </c>
      <c r="Q1686" t="n">
        <v>0</v>
      </c>
      <c r="R1686" t="inlineStr">
        <is>
          <t>T1203:Exploitation for Client Execution | T1190:Exploit Public-Facing Application</t>
        </is>
      </c>
      <c r="S1686" t="n">
        <v>2</v>
      </c>
      <c r="T1686" t="inlineStr">
        <is>
          <t>HIGH (72%)</t>
        </is>
      </c>
      <c r="U1686" t="inlineStr">
        <is>
          <t>WEAPONIZED</t>
        </is>
      </c>
      <c r="V1686" t="inlineStr">
        <is>
          <t>CHECK_VENDOR</t>
        </is>
      </c>
      <c r="W1686" t="inlineStr">
        <is>
          <t>https://www.rapid7.com/db/search/?q=CVE-2020-1472</t>
        </is>
      </c>
      <c r="X1686" t="inlineStr">
        <is>
          <t>NONE</t>
        </is>
      </c>
      <c r="Y1686" t="n">
        <v>0</v>
      </c>
      <c r="Z1686" t="inlineStr"/>
      <c r="AA1686" t="inlineStr">
        <is>
          <t>https://nvd.nist.gov/vuln/detail/CVE-2020-1472</t>
        </is>
      </c>
    </row>
    <row r="1687">
      <c r="A1687" t="inlineStr">
        <is>
          <t>MSF_MODULE</t>
        </is>
      </c>
      <c r="B1687" t="inlineStr">
        <is>
          <t>CVE-2022-26923</t>
        </is>
      </c>
      <c r="C1687" t="inlineStr">
        <is>
          <t>Metasploit module available: Active Directory Certificate Services (ADCS) privilege escalation (Certifried) | Type: auxiliary_admin | CVE-2022-26923</t>
        </is>
      </c>
      <c r="D1687" t="n">
        <v>7.5</v>
      </c>
      <c r="E1687" t="inlineStr">
        <is>
          <t>HIGH</t>
        </is>
      </c>
      <c r="F1687" t="n">
        <v>3</v>
      </c>
      <c r="G1687" t="n">
        <v>3</v>
      </c>
      <c r="H1687" t="inlineStr">
        <is>
          <t>CRITICAL</t>
        </is>
      </c>
      <c r="I1687" t="n">
        <v>16.5</v>
      </c>
      <c r="J1687" t="inlineStr">
        <is>
          <t>YES</t>
        </is>
      </c>
      <c r="K1687" t="inlineStr">
        <is>
          <t>2026-02-23 23:48</t>
        </is>
      </c>
      <c r="L1687" t="inlineStr">
        <is>
          <t>PATCH_IMMEDIATELY</t>
        </is>
      </c>
      <c r="M1687" t="inlineStr">
        <is>
          <t>See CVE details</t>
        </is>
      </c>
      <c r="N1687" t="inlineStr">
        <is>
          <t>P1</t>
        </is>
      </c>
      <c r="O1687" t="inlineStr">
        <is>
          <t>Rapid7 MSF: Active Directory Certificate Services (ADCS) privilege escalation (Certifried) | Module type: auxiliary_admin</t>
        </is>
      </c>
      <c r="P1687" t="n">
        <v>0</v>
      </c>
      <c r="Q1687" t="n">
        <v>0</v>
      </c>
      <c r="R1687" t="inlineStr">
        <is>
          <t>T1203:Exploitation for Client Execution | T1190:Exploit Public-Facing Application</t>
        </is>
      </c>
      <c r="S1687" t="n">
        <v>2</v>
      </c>
      <c r="T1687" t="inlineStr">
        <is>
          <t>HIGH (72%)</t>
        </is>
      </c>
      <c r="U1687" t="inlineStr">
        <is>
          <t>WEAPONIZED</t>
        </is>
      </c>
      <c r="V1687" t="inlineStr">
        <is>
          <t>CHECK_VENDOR</t>
        </is>
      </c>
      <c r="W1687" t="inlineStr">
        <is>
          <t>https://www.rapid7.com/db/search/?q=CVE-2022-26923</t>
        </is>
      </c>
      <c r="X1687" t="inlineStr">
        <is>
          <t>NONE</t>
        </is>
      </c>
      <c r="Y1687" t="n">
        <v>0</v>
      </c>
      <c r="Z1687" t="inlineStr"/>
      <c r="AA1687" t="inlineStr">
        <is>
          <t>https://nvd.nist.gov/vuln/detail/CVE-2022-26923</t>
        </is>
      </c>
    </row>
    <row r="1688">
      <c r="A1688" t="inlineStr">
        <is>
          <t>MSF_MODULE</t>
        </is>
      </c>
      <c r="B1688" t="inlineStr">
        <is>
          <t>CVE-2009-4655</t>
        </is>
      </c>
      <c r="C1688" t="inlineStr">
        <is>
          <t>Metasploit module available: Novell eDirectory DHOST Predictable Session Cookie | Type: auxiliary_admin | CVE-2009-4655</t>
        </is>
      </c>
      <c r="D1688" t="n">
        <v>7.5</v>
      </c>
      <c r="E1688" t="inlineStr">
        <is>
          <t>HIGH</t>
        </is>
      </c>
      <c r="F1688" t="n">
        <v>3</v>
      </c>
      <c r="G1688" t="n">
        <v>3</v>
      </c>
      <c r="H1688" t="inlineStr">
        <is>
          <t>CRITICAL</t>
        </is>
      </c>
      <c r="I1688" t="n">
        <v>16.5</v>
      </c>
      <c r="J1688" t="inlineStr">
        <is>
          <t>NO</t>
        </is>
      </c>
      <c r="K1688" t="inlineStr">
        <is>
          <t>2026-02-23 23:48</t>
        </is>
      </c>
      <c r="L1688" t="inlineStr">
        <is>
          <t>PATCH_IMMEDIATELY</t>
        </is>
      </c>
      <c r="M1688" t="inlineStr">
        <is>
          <t>See CVE details</t>
        </is>
      </c>
      <c r="N1688" t="inlineStr">
        <is>
          <t>P2</t>
        </is>
      </c>
      <c r="O1688" t="inlineStr">
        <is>
          <t>Rapid7 MSF: Novell eDirectory DHOST Predictable Session Cookie | Module type: auxiliary_admin</t>
        </is>
      </c>
      <c r="P1688" t="n">
        <v>0</v>
      </c>
      <c r="Q1688" t="n">
        <v>0</v>
      </c>
      <c r="R1688" t="inlineStr">
        <is>
          <t>T1203:Exploitation for Client Execution | T1190:Exploit Public-Facing Application</t>
        </is>
      </c>
      <c r="S1688" t="n">
        <v>2</v>
      </c>
      <c r="T1688" t="inlineStr">
        <is>
          <t>HIGH (72%)</t>
        </is>
      </c>
      <c r="U1688" t="inlineStr">
        <is>
          <t>WEAPONIZED</t>
        </is>
      </c>
      <c r="V1688" t="inlineStr">
        <is>
          <t>CHECK_VENDOR</t>
        </is>
      </c>
      <c r="W1688" t="inlineStr">
        <is>
          <t>https://www.rapid7.com/db/search/?q=CVE-2009-4655</t>
        </is>
      </c>
      <c r="X1688" t="inlineStr">
        <is>
          <t>NONE</t>
        </is>
      </c>
      <c r="Y1688" t="n">
        <v>0</v>
      </c>
      <c r="Z1688" t="inlineStr"/>
      <c r="AA1688" t="inlineStr">
        <is>
          <t>https://nvd.nist.gov/vuln/detail/CVE-2009-4655</t>
        </is>
      </c>
    </row>
    <row r="1689">
      <c r="A1689" t="inlineStr">
        <is>
          <t>MSF_MODULE</t>
        </is>
      </c>
      <c r="B1689" t="inlineStr">
        <is>
          <t>CVE-2008-0926</t>
        </is>
      </c>
      <c r="C1689" t="inlineStr">
        <is>
          <t>Metasploit module available: Novell eDirectory eMBox Unauthenticated File Access | Type: auxiliary_admin | CVE-2008-0926</t>
        </is>
      </c>
      <c r="D1689" t="n">
        <v>7.5</v>
      </c>
      <c r="E1689" t="inlineStr">
        <is>
          <t>HIGH</t>
        </is>
      </c>
      <c r="F1689" t="n">
        <v>3</v>
      </c>
      <c r="G1689" t="n">
        <v>3</v>
      </c>
      <c r="H1689" t="inlineStr">
        <is>
          <t>CRITICAL</t>
        </is>
      </c>
      <c r="I1689" t="n">
        <v>16.5</v>
      </c>
      <c r="J1689" t="inlineStr">
        <is>
          <t>NO</t>
        </is>
      </c>
      <c r="K1689" t="inlineStr">
        <is>
          <t>2026-02-23 23:48</t>
        </is>
      </c>
      <c r="L1689" t="inlineStr">
        <is>
          <t>PATCH_IMMEDIATELY</t>
        </is>
      </c>
      <c r="M1689" t="inlineStr">
        <is>
          <t>See CVE details</t>
        </is>
      </c>
      <c r="N1689" t="inlineStr">
        <is>
          <t>P2</t>
        </is>
      </c>
      <c r="O1689" t="inlineStr">
        <is>
          <t>Rapid7 MSF: Novell eDirectory eMBox Unauthenticated File Access | Module type: auxiliary_admin</t>
        </is>
      </c>
      <c r="P1689" t="n">
        <v>0</v>
      </c>
      <c r="Q1689" t="n">
        <v>0</v>
      </c>
      <c r="R1689" t="inlineStr">
        <is>
          <t>T1203:Exploitation for Client Execution | T1190:Exploit Public-Facing Application</t>
        </is>
      </c>
      <c r="S1689" t="n">
        <v>2</v>
      </c>
      <c r="T1689" t="inlineStr">
        <is>
          <t>HIGH (72%)</t>
        </is>
      </c>
      <c r="U1689" t="inlineStr">
        <is>
          <t>WEAPONIZED</t>
        </is>
      </c>
      <c r="V1689" t="inlineStr">
        <is>
          <t>CHECK_VENDOR</t>
        </is>
      </c>
      <c r="W1689" t="inlineStr">
        <is>
          <t>https://www.rapid7.com/db/search/?q=CVE-2008-0926</t>
        </is>
      </c>
      <c r="X1689" t="inlineStr">
        <is>
          <t>NONE</t>
        </is>
      </c>
      <c r="Y1689" t="n">
        <v>0</v>
      </c>
      <c r="Z1689" t="inlineStr"/>
      <c r="AA1689" t="inlineStr">
        <is>
          <t>https://nvd.nist.gov/vuln/detail/CVE-2008-0926</t>
        </is>
      </c>
    </row>
    <row r="1690">
      <c r="A1690" t="inlineStr">
        <is>
          <t>MSF_MODULE</t>
        </is>
      </c>
      <c r="B1690" t="inlineStr">
        <is>
          <t>CVE-2008-2157</t>
        </is>
      </c>
      <c r="C1690" t="inlineStr">
        <is>
          <t>Metasploit module available: EMC AlphaStor Device Manager Arbitrary Command Execution | Type: auxiliary_admin | CVE-2008-2157</t>
        </is>
      </c>
      <c r="D1690" t="n">
        <v>7.5</v>
      </c>
      <c r="E1690" t="inlineStr">
        <is>
          <t>HIGH</t>
        </is>
      </c>
      <c r="F1690" t="n">
        <v>3</v>
      </c>
      <c r="G1690" t="n">
        <v>3</v>
      </c>
      <c r="H1690" t="inlineStr">
        <is>
          <t>CRITICAL</t>
        </is>
      </c>
      <c r="I1690" t="n">
        <v>16.5</v>
      </c>
      <c r="J1690" t="inlineStr">
        <is>
          <t>NO</t>
        </is>
      </c>
      <c r="K1690" t="inlineStr">
        <is>
          <t>2026-02-23 23:48</t>
        </is>
      </c>
      <c r="L1690" t="inlineStr">
        <is>
          <t>PATCH_IMMEDIATELY</t>
        </is>
      </c>
      <c r="M1690" t="inlineStr">
        <is>
          <t>See CVE details</t>
        </is>
      </c>
      <c r="N1690" t="inlineStr">
        <is>
          <t>P2</t>
        </is>
      </c>
      <c r="O1690" t="inlineStr">
        <is>
          <t>Rapid7 MSF: EMC AlphaStor Device Manager Arbitrary Command Execution | Module type: auxiliary_admin</t>
        </is>
      </c>
      <c r="P1690" t="n">
        <v>0</v>
      </c>
      <c r="Q1690" t="n">
        <v>0</v>
      </c>
      <c r="R1690" t="inlineStr">
        <is>
          <t>T1203:Exploitation for Client Execution | T1190:Exploit Public-Facing Application</t>
        </is>
      </c>
      <c r="S1690" t="n">
        <v>2</v>
      </c>
      <c r="T1690" t="inlineStr">
        <is>
          <t>HIGH (72%)</t>
        </is>
      </c>
      <c r="U1690" t="inlineStr">
        <is>
          <t>WEAPONIZED</t>
        </is>
      </c>
      <c r="V1690" t="inlineStr">
        <is>
          <t>CHECK_VENDOR</t>
        </is>
      </c>
      <c r="W1690" t="inlineStr">
        <is>
          <t>https://www.rapid7.com/db/search/?q=CVE-2008-2157</t>
        </is>
      </c>
      <c r="X1690" t="inlineStr">
        <is>
          <t>NONE</t>
        </is>
      </c>
      <c r="Y1690" t="n">
        <v>0</v>
      </c>
      <c r="Z1690" t="inlineStr"/>
      <c r="AA1690" t="inlineStr">
        <is>
          <t>https://nvd.nist.gov/vuln/detail/CVE-2008-2157</t>
        </is>
      </c>
    </row>
    <row r="1691">
      <c r="A1691" t="inlineStr">
        <is>
          <t>MSF_MODULE</t>
        </is>
      </c>
      <c r="B1691" t="inlineStr">
        <is>
          <t>CVE-2011-0923</t>
        </is>
      </c>
      <c r="C1691" t="inlineStr">
        <is>
          <t>Metasploit module available: HP Data Protector 6.1 EXEC_CMD Command Execution | Type: auxiliary_admin | CVE-2011-0923</t>
        </is>
      </c>
      <c r="D1691" t="n">
        <v>7.5</v>
      </c>
      <c r="E1691" t="inlineStr">
        <is>
          <t>HIGH</t>
        </is>
      </c>
      <c r="F1691" t="n">
        <v>3</v>
      </c>
      <c r="G1691" t="n">
        <v>3</v>
      </c>
      <c r="H1691" t="inlineStr">
        <is>
          <t>CRITICAL</t>
        </is>
      </c>
      <c r="I1691" t="n">
        <v>16.5</v>
      </c>
      <c r="J1691" t="inlineStr">
        <is>
          <t>NO</t>
        </is>
      </c>
      <c r="K1691" t="inlineStr">
        <is>
          <t>2026-02-23 23:48</t>
        </is>
      </c>
      <c r="L1691" t="inlineStr">
        <is>
          <t>PATCH_IMMEDIATELY</t>
        </is>
      </c>
      <c r="M1691" t="inlineStr">
        <is>
          <t>See CVE details</t>
        </is>
      </c>
      <c r="N1691" t="inlineStr">
        <is>
          <t>P2</t>
        </is>
      </c>
      <c r="O1691" t="inlineStr">
        <is>
          <t>Rapid7 MSF: HP Data Protector 6.1 EXEC_CMD Command Execution | Module type: auxiliary_admin</t>
        </is>
      </c>
      <c r="P1691" t="n">
        <v>0</v>
      </c>
      <c r="Q1691" t="n">
        <v>0</v>
      </c>
      <c r="R1691" t="inlineStr">
        <is>
          <t>T1203:Exploitation for Client Execution | T1190:Exploit Public-Facing Application</t>
        </is>
      </c>
      <c r="S1691" t="n">
        <v>2</v>
      </c>
      <c r="T1691" t="inlineStr">
        <is>
          <t>HIGH (72%)</t>
        </is>
      </c>
      <c r="U1691" t="inlineStr">
        <is>
          <t>WEAPONIZED</t>
        </is>
      </c>
      <c r="V1691" t="inlineStr">
        <is>
          <t>CHECK_VENDOR</t>
        </is>
      </c>
      <c r="W1691" t="inlineStr">
        <is>
          <t>https://www.rapid7.com/db/search/?q=CVE-2011-0923</t>
        </is>
      </c>
      <c r="X1691" t="inlineStr">
        <is>
          <t>NONE</t>
        </is>
      </c>
      <c r="Y1691" t="n">
        <v>0</v>
      </c>
      <c r="Z1691" t="inlineStr"/>
      <c r="AA1691" t="inlineStr">
        <is>
          <t>https://nvd.nist.gov/vuln/detail/CVE-2011-0923</t>
        </is>
      </c>
    </row>
    <row r="1692">
      <c r="A1692" t="inlineStr">
        <is>
          <t>MSF_MODULE</t>
        </is>
      </c>
      <c r="B1692" t="inlineStr">
        <is>
          <t>CVE-2017-12542</t>
        </is>
      </c>
      <c r="C1692" t="inlineStr">
        <is>
          <t>Metasploit module available: HP iLO 4 1.00-2.50 Authentication Bypass Administrator Account Creation | Type: auxiliary_admin | CVE-2017-12542</t>
        </is>
      </c>
      <c r="D1692" t="n">
        <v>7.5</v>
      </c>
      <c r="E1692" t="inlineStr">
        <is>
          <t>HIGH</t>
        </is>
      </c>
      <c r="F1692" t="n">
        <v>3</v>
      </c>
      <c r="G1692" t="n">
        <v>3</v>
      </c>
      <c r="H1692" t="inlineStr">
        <is>
          <t>CRITICAL</t>
        </is>
      </c>
      <c r="I1692" t="n">
        <v>16.5</v>
      </c>
      <c r="J1692" t="inlineStr">
        <is>
          <t>NO</t>
        </is>
      </c>
      <c r="K1692" t="inlineStr">
        <is>
          <t>2026-02-23 23:48</t>
        </is>
      </c>
      <c r="L1692" t="inlineStr">
        <is>
          <t>PATCH_IMMEDIATELY</t>
        </is>
      </c>
      <c r="M1692" t="inlineStr">
        <is>
          <t>See CVE details</t>
        </is>
      </c>
      <c r="N1692" t="inlineStr">
        <is>
          <t>P2</t>
        </is>
      </c>
      <c r="O1692" t="inlineStr">
        <is>
          <t>Rapid7 MSF: HP iLO 4 1.00-2.50 Authentication Bypass Administrator Account Creation | Module type: auxiliary_admin</t>
        </is>
      </c>
      <c r="P1692" t="n">
        <v>0</v>
      </c>
      <c r="Q1692" t="n">
        <v>0</v>
      </c>
      <c r="R1692" t="inlineStr">
        <is>
          <t>T1203:Exploitation for Client Execution | T1190:Exploit Public-Facing Application</t>
        </is>
      </c>
      <c r="S1692" t="n">
        <v>2</v>
      </c>
      <c r="T1692" t="inlineStr">
        <is>
          <t>HIGH (72%)</t>
        </is>
      </c>
      <c r="U1692" t="inlineStr">
        <is>
          <t>WEAPONIZED</t>
        </is>
      </c>
      <c r="V1692" t="inlineStr">
        <is>
          <t>CHECK_VENDOR</t>
        </is>
      </c>
      <c r="W1692" t="inlineStr">
        <is>
          <t>https://www.rapid7.com/db/search/?q=CVE-2017-12542</t>
        </is>
      </c>
      <c r="X1692" t="inlineStr">
        <is>
          <t>NONE</t>
        </is>
      </c>
      <c r="Y1692" t="n">
        <v>0</v>
      </c>
      <c r="Z1692" t="inlineStr"/>
      <c r="AA1692" t="inlineStr">
        <is>
          <t>https://nvd.nist.gov/vuln/detail/CVE-2017-12542</t>
        </is>
      </c>
    </row>
    <row r="1693">
      <c r="A1693" t="inlineStr">
        <is>
          <t>MSF_MODULE</t>
        </is>
      </c>
      <c r="B1693" t="inlineStr">
        <is>
          <t>CVE-2013-4824</t>
        </is>
      </c>
      <c r="C1693" t="inlineStr">
        <is>
          <t>Metasploit module available: HP Intelligent Management SOM Account Creation | Type: auxiliary_admin | CVE-2013-4824</t>
        </is>
      </c>
      <c r="D1693" t="n">
        <v>7.5</v>
      </c>
      <c r="E1693" t="inlineStr">
        <is>
          <t>HIGH</t>
        </is>
      </c>
      <c r="F1693" t="n">
        <v>3</v>
      </c>
      <c r="G1693" t="n">
        <v>3</v>
      </c>
      <c r="H1693" t="inlineStr">
        <is>
          <t>CRITICAL</t>
        </is>
      </c>
      <c r="I1693" t="n">
        <v>16.5</v>
      </c>
      <c r="J1693" t="inlineStr">
        <is>
          <t>NO</t>
        </is>
      </c>
      <c r="K1693" t="inlineStr">
        <is>
          <t>2026-02-23 23:48</t>
        </is>
      </c>
      <c r="L1693" t="inlineStr">
        <is>
          <t>PATCH_IMMEDIATELY</t>
        </is>
      </c>
      <c r="M1693" t="inlineStr">
        <is>
          <t>See CVE details</t>
        </is>
      </c>
      <c r="N1693" t="inlineStr">
        <is>
          <t>P2</t>
        </is>
      </c>
      <c r="O1693" t="inlineStr">
        <is>
          <t>Rapid7 MSF: HP Intelligent Management SOM Account Creation | Module type: auxiliary_admin</t>
        </is>
      </c>
      <c r="P1693" t="n">
        <v>0</v>
      </c>
      <c r="Q1693" t="n">
        <v>0</v>
      </c>
      <c r="R1693" t="inlineStr">
        <is>
          <t>T1203:Exploitation for Client Execution | T1190:Exploit Public-Facing Application</t>
        </is>
      </c>
      <c r="S1693" t="n">
        <v>2</v>
      </c>
      <c r="T1693" t="inlineStr">
        <is>
          <t>HIGH (72%)</t>
        </is>
      </c>
      <c r="U1693" t="inlineStr">
        <is>
          <t>WEAPONIZED</t>
        </is>
      </c>
      <c r="V1693" t="inlineStr">
        <is>
          <t>CHECK_VENDOR</t>
        </is>
      </c>
      <c r="W1693" t="inlineStr">
        <is>
          <t>https://www.rapid7.com/db/search/?q=CVE-2013-4824</t>
        </is>
      </c>
      <c r="X1693" t="inlineStr">
        <is>
          <t>NONE</t>
        </is>
      </c>
      <c r="Y1693" t="n">
        <v>0</v>
      </c>
      <c r="Z1693" t="inlineStr"/>
      <c r="AA1693" t="inlineStr">
        <is>
          <t>https://nvd.nist.gov/vuln/detail/CVE-2013-4824</t>
        </is>
      </c>
    </row>
    <row r="1694">
      <c r="A1694" t="inlineStr">
        <is>
          <t>MSF_MODULE</t>
        </is>
      </c>
      <c r="B1694" t="inlineStr">
        <is>
          <t>CVE-2014-9222</t>
        </is>
      </c>
      <c r="C1694" t="inlineStr">
        <is>
          <t>Metasploit module available: Allegro Software RomPager 'Misfortune Cookie' (CVE-2014-9222) Authentication Byp | Type: auxiliary_admin | CVE-2014-9222</t>
        </is>
      </c>
      <c r="D1694" t="n">
        <v>7.5</v>
      </c>
      <c r="E1694" t="inlineStr">
        <is>
          <t>HIGH</t>
        </is>
      </c>
      <c r="F1694" t="n">
        <v>3</v>
      </c>
      <c r="G1694" t="n">
        <v>3</v>
      </c>
      <c r="H1694" t="inlineStr">
        <is>
          <t>CRITICAL</t>
        </is>
      </c>
      <c r="I1694" t="n">
        <v>16.5</v>
      </c>
      <c r="J1694" t="inlineStr">
        <is>
          <t>NO</t>
        </is>
      </c>
      <c r="K1694" t="inlineStr">
        <is>
          <t>2026-02-23 23:48</t>
        </is>
      </c>
      <c r="L1694" t="inlineStr">
        <is>
          <t>PATCH_IMMEDIATELY</t>
        </is>
      </c>
      <c r="M1694" t="inlineStr">
        <is>
          <t>See CVE details</t>
        </is>
      </c>
      <c r="N1694" t="inlineStr">
        <is>
          <t>P2</t>
        </is>
      </c>
      <c r="O1694" t="inlineStr">
        <is>
          <t>Rapid7 MSF: Allegro Software RomPager 'Misfortune Cookie' (CVE-2014-9222) Authentication Byp | Module type: auxiliary_admin</t>
        </is>
      </c>
      <c r="P1694" t="n">
        <v>0</v>
      </c>
      <c r="Q1694" t="n">
        <v>0</v>
      </c>
      <c r="R1694" t="inlineStr">
        <is>
          <t>T1203:Exploitation for Client Execution | T1190:Exploit Public-Facing Application</t>
        </is>
      </c>
      <c r="S1694" t="n">
        <v>2</v>
      </c>
      <c r="T1694" t="inlineStr">
        <is>
          <t>HIGH (72%)</t>
        </is>
      </c>
      <c r="U1694" t="inlineStr">
        <is>
          <t>WEAPONIZED</t>
        </is>
      </c>
      <c r="V1694" t="inlineStr">
        <is>
          <t>CHECK_VENDOR</t>
        </is>
      </c>
      <c r="W1694" t="inlineStr">
        <is>
          <t>https://www.rapid7.com/db/search/?q=CVE-2014-9222</t>
        </is>
      </c>
      <c r="X1694" t="inlineStr">
        <is>
          <t>NONE</t>
        </is>
      </c>
      <c r="Y1694" t="n">
        <v>0</v>
      </c>
      <c r="Z1694" t="inlineStr"/>
      <c r="AA1694" t="inlineStr">
        <is>
          <t>https://nvd.nist.gov/vuln/detail/CVE-2014-9222</t>
        </is>
      </c>
    </row>
    <row r="1695">
      <c r="A1695" t="inlineStr">
        <is>
          <t>MSF_MODULE</t>
        </is>
      </c>
      <c r="B1695" t="inlineStr">
        <is>
          <t>CVE-2015-0964</t>
        </is>
      </c>
      <c r="C1695" t="inlineStr">
        <is>
          <t>Metasploit module available: Arris / Motorola Surfboard SBG6580 Web Interface Takeover | Type: auxiliary_admin | CVE-2015-0964</t>
        </is>
      </c>
      <c r="D1695" t="n">
        <v>7.5</v>
      </c>
      <c r="E1695" t="inlineStr">
        <is>
          <t>HIGH</t>
        </is>
      </c>
      <c r="F1695" t="n">
        <v>3</v>
      </c>
      <c r="G1695" t="n">
        <v>3</v>
      </c>
      <c r="H1695" t="inlineStr">
        <is>
          <t>CRITICAL</t>
        </is>
      </c>
      <c r="I1695" t="n">
        <v>16.5</v>
      </c>
      <c r="J1695" t="inlineStr">
        <is>
          <t>NO</t>
        </is>
      </c>
      <c r="K1695" t="inlineStr">
        <is>
          <t>2026-02-23 23:48</t>
        </is>
      </c>
      <c r="L1695" t="inlineStr">
        <is>
          <t>PATCH_IMMEDIATELY</t>
        </is>
      </c>
      <c r="M1695" t="inlineStr">
        <is>
          <t>See CVE details</t>
        </is>
      </c>
      <c r="N1695" t="inlineStr">
        <is>
          <t>P2</t>
        </is>
      </c>
      <c r="O1695" t="inlineStr">
        <is>
          <t>Rapid7 MSF: Arris / Motorola Surfboard SBG6580 Web Interface Takeover | Module type: auxiliary_admin</t>
        </is>
      </c>
      <c r="P1695" t="n">
        <v>0</v>
      </c>
      <c r="Q1695" t="n">
        <v>0</v>
      </c>
      <c r="R1695" t="inlineStr">
        <is>
          <t>T1203:Exploitation for Client Execution | T1190:Exploit Public-Facing Application</t>
        </is>
      </c>
      <c r="S1695" t="n">
        <v>2</v>
      </c>
      <c r="T1695" t="inlineStr">
        <is>
          <t>HIGH (72%)</t>
        </is>
      </c>
      <c r="U1695" t="inlineStr">
        <is>
          <t>WEAPONIZED</t>
        </is>
      </c>
      <c r="V1695" t="inlineStr">
        <is>
          <t>CHECK_VENDOR</t>
        </is>
      </c>
      <c r="W1695" t="inlineStr">
        <is>
          <t>https://www.rapid7.com/db/search/?q=CVE-2015-0964</t>
        </is>
      </c>
      <c r="X1695" t="inlineStr">
        <is>
          <t>NONE</t>
        </is>
      </c>
      <c r="Y1695" t="n">
        <v>0</v>
      </c>
      <c r="Z1695" t="inlineStr"/>
      <c r="AA1695" t="inlineStr">
        <is>
          <t>https://nvd.nist.gov/vuln/detail/CVE-2015-0964</t>
        </is>
      </c>
    </row>
    <row r="1696">
      <c r="A1696" t="inlineStr">
        <is>
          <t>MSF_MODULE</t>
        </is>
      </c>
      <c r="B1696" t="inlineStr">
        <is>
          <t>CVE-2015-0965</t>
        </is>
      </c>
      <c r="C1696" t="inlineStr">
        <is>
          <t>Metasploit module available: Arris / Motorola Surfboard SBG6580 Web Interface Takeover | Type: auxiliary_admin | CVE-2015-0965</t>
        </is>
      </c>
      <c r="D1696" t="n">
        <v>7.5</v>
      </c>
      <c r="E1696" t="inlineStr">
        <is>
          <t>HIGH</t>
        </is>
      </c>
      <c r="F1696" t="n">
        <v>3</v>
      </c>
      <c r="G1696" t="n">
        <v>3</v>
      </c>
      <c r="H1696" t="inlineStr">
        <is>
          <t>CRITICAL</t>
        </is>
      </c>
      <c r="I1696" t="n">
        <v>16.5</v>
      </c>
      <c r="J1696" t="inlineStr">
        <is>
          <t>NO</t>
        </is>
      </c>
      <c r="K1696" t="inlineStr">
        <is>
          <t>2026-02-23 23:48</t>
        </is>
      </c>
      <c r="L1696" t="inlineStr">
        <is>
          <t>PATCH_IMMEDIATELY</t>
        </is>
      </c>
      <c r="M1696" t="inlineStr">
        <is>
          <t>See CVE details</t>
        </is>
      </c>
      <c r="N1696" t="inlineStr">
        <is>
          <t>P2</t>
        </is>
      </c>
      <c r="O1696" t="inlineStr">
        <is>
          <t>Rapid7 MSF: Arris / Motorola Surfboard SBG6580 Web Interface Takeover | Module type: auxiliary_admin</t>
        </is>
      </c>
      <c r="P1696" t="n">
        <v>0</v>
      </c>
      <c r="Q1696" t="n">
        <v>0</v>
      </c>
      <c r="R1696" t="inlineStr">
        <is>
          <t>T1203:Exploitation for Client Execution | T1190:Exploit Public-Facing Application</t>
        </is>
      </c>
      <c r="S1696" t="n">
        <v>2</v>
      </c>
      <c r="T1696" t="inlineStr">
        <is>
          <t>HIGH (72%)</t>
        </is>
      </c>
      <c r="U1696" t="inlineStr">
        <is>
          <t>WEAPONIZED</t>
        </is>
      </c>
      <c r="V1696" t="inlineStr">
        <is>
          <t>CHECK_VENDOR</t>
        </is>
      </c>
      <c r="W1696" t="inlineStr">
        <is>
          <t>https://www.rapid7.com/db/search/?q=CVE-2015-0965</t>
        </is>
      </c>
      <c r="X1696" t="inlineStr">
        <is>
          <t>NONE</t>
        </is>
      </c>
      <c r="Y1696" t="n">
        <v>0</v>
      </c>
      <c r="Z1696" t="inlineStr"/>
      <c r="AA1696" t="inlineStr">
        <is>
          <t>https://nvd.nist.gov/vuln/detail/CVE-2015-0965</t>
        </is>
      </c>
    </row>
    <row r="1697">
      <c r="A1697" t="inlineStr">
        <is>
          <t>MSF_MODULE</t>
        </is>
      </c>
      <c r="B1697" t="inlineStr">
        <is>
          <t>CVE-2015-0966</t>
        </is>
      </c>
      <c r="C1697" t="inlineStr">
        <is>
          <t>Metasploit module available: Arris / Motorola Surfboard SBG6580 Web Interface Takeover | Type: auxiliary_admin | CVE-2015-0966</t>
        </is>
      </c>
      <c r="D1697" t="n">
        <v>7.5</v>
      </c>
      <c r="E1697" t="inlineStr">
        <is>
          <t>HIGH</t>
        </is>
      </c>
      <c r="F1697" t="n">
        <v>3</v>
      </c>
      <c r="G1697" t="n">
        <v>3</v>
      </c>
      <c r="H1697" t="inlineStr">
        <is>
          <t>CRITICAL</t>
        </is>
      </c>
      <c r="I1697" t="n">
        <v>16.5</v>
      </c>
      <c r="J1697" t="inlineStr">
        <is>
          <t>NO</t>
        </is>
      </c>
      <c r="K1697" t="inlineStr">
        <is>
          <t>2026-02-23 23:48</t>
        </is>
      </c>
      <c r="L1697" t="inlineStr">
        <is>
          <t>PATCH_IMMEDIATELY</t>
        </is>
      </c>
      <c r="M1697" t="inlineStr">
        <is>
          <t>See CVE details</t>
        </is>
      </c>
      <c r="N1697" t="inlineStr">
        <is>
          <t>P2</t>
        </is>
      </c>
      <c r="O1697" t="inlineStr">
        <is>
          <t>Rapid7 MSF: Arris / Motorola Surfboard SBG6580 Web Interface Takeover | Module type: auxiliary_admin</t>
        </is>
      </c>
      <c r="P1697" t="n">
        <v>0</v>
      </c>
      <c r="Q1697" t="n">
        <v>0</v>
      </c>
      <c r="R1697" t="inlineStr">
        <is>
          <t>T1203:Exploitation for Client Execution | T1190:Exploit Public-Facing Application</t>
        </is>
      </c>
      <c r="S1697" t="n">
        <v>2</v>
      </c>
      <c r="T1697" t="inlineStr">
        <is>
          <t>HIGH (72%)</t>
        </is>
      </c>
      <c r="U1697" t="inlineStr">
        <is>
          <t>WEAPONIZED</t>
        </is>
      </c>
      <c r="V1697" t="inlineStr">
        <is>
          <t>CHECK_VENDOR</t>
        </is>
      </c>
      <c r="W1697" t="inlineStr">
        <is>
          <t>https://www.rapid7.com/db/search/?q=CVE-2015-0966</t>
        </is>
      </c>
      <c r="X1697" t="inlineStr">
        <is>
          <t>NONE</t>
        </is>
      </c>
      <c r="Y1697" t="n">
        <v>0</v>
      </c>
      <c r="Z1697" t="inlineStr"/>
      <c r="AA1697" t="inlineStr">
        <is>
          <t>https://nvd.nist.gov/vuln/detail/CVE-2015-0966</t>
        </is>
      </c>
    </row>
    <row r="1698">
      <c r="A1698" t="inlineStr">
        <is>
          <t>MSF_MODULE</t>
        </is>
      </c>
      <c r="B1698" t="inlineStr">
        <is>
          <t>CVE-2023-22515</t>
        </is>
      </c>
      <c r="C1698" t="inlineStr">
        <is>
          <t>Metasploit module available: Atlassian Confluence Data Center and Server Authentication Bypass via Broken Acc | Type: auxiliary_admin | CVE-2023-22515</t>
        </is>
      </c>
      <c r="D1698" t="n">
        <v>7.5</v>
      </c>
      <c r="E1698" t="inlineStr">
        <is>
          <t>HIGH</t>
        </is>
      </c>
      <c r="F1698" t="n">
        <v>3</v>
      </c>
      <c r="G1698" t="n">
        <v>3</v>
      </c>
      <c r="H1698" t="inlineStr">
        <is>
          <t>CRITICAL</t>
        </is>
      </c>
      <c r="I1698" t="n">
        <v>16.5</v>
      </c>
      <c r="J1698" t="inlineStr">
        <is>
          <t>YES</t>
        </is>
      </c>
      <c r="K1698" t="inlineStr">
        <is>
          <t>2026-02-23 23:48</t>
        </is>
      </c>
      <c r="L1698" t="inlineStr">
        <is>
          <t>PATCH_IMMEDIATELY</t>
        </is>
      </c>
      <c r="M1698" t="inlineStr">
        <is>
          <t>See CVE details</t>
        </is>
      </c>
      <c r="N1698" t="inlineStr">
        <is>
          <t>P1</t>
        </is>
      </c>
      <c r="O1698" t="inlineStr">
        <is>
          <t>Rapid7 MSF: Atlassian Confluence Data Center and Server Authentication Bypass via Broken Acc | Module type: auxiliary_admin</t>
        </is>
      </c>
      <c r="P1698" t="n">
        <v>0</v>
      </c>
      <c r="Q1698" t="n">
        <v>0</v>
      </c>
      <c r="R1698" t="inlineStr">
        <is>
          <t>T1203:Exploitation for Client Execution | T1190:Exploit Public-Facing Application</t>
        </is>
      </c>
      <c r="S1698" t="n">
        <v>2</v>
      </c>
      <c r="T1698" t="inlineStr">
        <is>
          <t>HIGH (72%)</t>
        </is>
      </c>
      <c r="U1698" t="inlineStr">
        <is>
          <t>WEAPONIZED</t>
        </is>
      </c>
      <c r="V1698" t="inlineStr">
        <is>
          <t>CHECK_VENDOR</t>
        </is>
      </c>
      <c r="W1698" t="inlineStr">
        <is>
          <t>https://www.rapid7.com/db/search/?q=CVE-2023-22515</t>
        </is>
      </c>
      <c r="X1698" t="inlineStr">
        <is>
          <t>NONE</t>
        </is>
      </c>
      <c r="Y1698" t="n">
        <v>0</v>
      </c>
      <c r="Z1698" t="inlineStr"/>
      <c r="AA1698" t="inlineStr">
        <is>
          <t>https://nvd.nist.gov/vuln/detail/CVE-2023-22515</t>
        </is>
      </c>
    </row>
    <row r="1699">
      <c r="A1699" t="inlineStr">
        <is>
          <t>MSF_MODULE</t>
        </is>
      </c>
      <c r="B1699" t="inlineStr">
        <is>
          <t>CVE-2012-4940</t>
        </is>
      </c>
      <c r="C1699" t="inlineStr">
        <is>
          <t>Metasploit module available: Axigen Arbitrary File Read and Delete | Type: auxiliary_admin | CVE-2012-4940</t>
        </is>
      </c>
      <c r="D1699" t="n">
        <v>7.5</v>
      </c>
      <c r="E1699" t="inlineStr">
        <is>
          <t>HIGH</t>
        </is>
      </c>
      <c r="F1699" t="n">
        <v>3</v>
      </c>
      <c r="G1699" t="n">
        <v>3</v>
      </c>
      <c r="H1699" t="inlineStr">
        <is>
          <t>CRITICAL</t>
        </is>
      </c>
      <c r="I1699" t="n">
        <v>16.5</v>
      </c>
      <c r="J1699" t="inlineStr">
        <is>
          <t>NO</t>
        </is>
      </c>
      <c r="K1699" t="inlineStr">
        <is>
          <t>2026-02-23 23:48</t>
        </is>
      </c>
      <c r="L1699" t="inlineStr">
        <is>
          <t>PATCH_IMMEDIATELY</t>
        </is>
      </c>
      <c r="M1699" t="inlineStr">
        <is>
          <t>See CVE details</t>
        </is>
      </c>
      <c r="N1699" t="inlineStr">
        <is>
          <t>P2</t>
        </is>
      </c>
      <c r="O1699" t="inlineStr">
        <is>
          <t>Rapid7 MSF: Axigen Arbitrary File Read and Delete | Module type: auxiliary_admin</t>
        </is>
      </c>
      <c r="P1699" t="n">
        <v>0</v>
      </c>
      <c r="Q1699" t="n">
        <v>0</v>
      </c>
      <c r="R1699" t="inlineStr">
        <is>
          <t>T1203:Exploitation for Client Execution | T1190:Exploit Public-Facing Application</t>
        </is>
      </c>
      <c r="S1699" t="n">
        <v>2</v>
      </c>
      <c r="T1699" t="inlineStr">
        <is>
          <t>HIGH (72%)</t>
        </is>
      </c>
      <c r="U1699" t="inlineStr">
        <is>
          <t>WEAPONIZED</t>
        </is>
      </c>
      <c r="V1699" t="inlineStr">
        <is>
          <t>CHECK_VENDOR</t>
        </is>
      </c>
      <c r="W1699" t="inlineStr">
        <is>
          <t>https://www.rapid7.com/db/search/?q=CVE-2012-4940</t>
        </is>
      </c>
      <c r="X1699" t="inlineStr">
        <is>
          <t>NONE</t>
        </is>
      </c>
      <c r="Y1699" t="n">
        <v>0</v>
      </c>
      <c r="Z1699" t="inlineStr"/>
      <c r="AA1699" t="inlineStr">
        <is>
          <t>https://nvd.nist.gov/vuln/detail/CVE-2012-4940</t>
        </is>
      </c>
    </row>
    <row r="1700">
      <c r="A1700" t="inlineStr">
        <is>
          <t>MSF_MODULE</t>
        </is>
      </c>
      <c r="B1700" t="inlineStr">
        <is>
          <t>CVE-2013-2050</t>
        </is>
      </c>
      <c r="C1700" t="inlineStr">
        <is>
          <t>Metasploit module available: Red Hat CloudForms Management Engine 5.1 miq_policy/explorer SQL Injection | Type: auxiliary_admin | CVE-2013-2050</t>
        </is>
      </c>
      <c r="D1700" t="n">
        <v>7.5</v>
      </c>
      <c r="E1700" t="inlineStr">
        <is>
          <t>HIGH</t>
        </is>
      </c>
      <c r="F1700" t="n">
        <v>3</v>
      </c>
      <c r="G1700" t="n">
        <v>3</v>
      </c>
      <c r="H1700" t="inlineStr">
        <is>
          <t>CRITICAL</t>
        </is>
      </c>
      <c r="I1700" t="n">
        <v>16.5</v>
      </c>
      <c r="J1700" t="inlineStr">
        <is>
          <t>NO</t>
        </is>
      </c>
      <c r="K1700" t="inlineStr">
        <is>
          <t>2026-02-23 23:48</t>
        </is>
      </c>
      <c r="L1700" t="inlineStr">
        <is>
          <t>PATCH_IMMEDIATELY</t>
        </is>
      </c>
      <c r="M1700" t="inlineStr">
        <is>
          <t>See CVE details</t>
        </is>
      </c>
      <c r="N1700" t="inlineStr">
        <is>
          <t>P2</t>
        </is>
      </c>
      <c r="O1700" t="inlineStr">
        <is>
          <t>Rapid7 MSF: Red Hat CloudForms Management Engine 5.1 miq_policy/explorer SQL Injection | Module type: auxiliary_admin</t>
        </is>
      </c>
      <c r="P1700" t="n">
        <v>0</v>
      </c>
      <c r="Q1700" t="n">
        <v>0</v>
      </c>
      <c r="R1700" t="inlineStr">
        <is>
          <t>T1203:Exploitation for Client Execution | T1190:Exploit Public-Facing Application</t>
        </is>
      </c>
      <c r="S1700" t="n">
        <v>2</v>
      </c>
      <c r="T1700" t="inlineStr">
        <is>
          <t>HIGH (72%)</t>
        </is>
      </c>
      <c r="U1700" t="inlineStr">
        <is>
          <t>WEAPONIZED</t>
        </is>
      </c>
      <c r="V1700" t="inlineStr">
        <is>
          <t>CHECK_VENDOR</t>
        </is>
      </c>
      <c r="W1700" t="inlineStr">
        <is>
          <t>https://www.rapid7.com/db/search/?q=CVE-2013-2050</t>
        </is>
      </c>
      <c r="X1700" t="inlineStr">
        <is>
          <t>NONE</t>
        </is>
      </c>
      <c r="Y1700" t="n">
        <v>0</v>
      </c>
      <c r="Z1700" t="inlineStr"/>
      <c r="AA1700" t="inlineStr">
        <is>
          <t>https://nvd.nist.gov/vuln/detail/CVE-2013-2050</t>
        </is>
      </c>
    </row>
    <row r="1701">
      <c r="A1701" t="inlineStr">
        <is>
          <t>MSF_MODULE</t>
        </is>
      </c>
      <c r="B1701" t="inlineStr">
        <is>
          <t>CVE-2020-16137</t>
        </is>
      </c>
      <c r="C1701" t="inlineStr">
        <is>
          <t>Metasploit module available: Cisco 7937G SSH Privilege Escalation | Type: auxiliary_admin | CVE-2020-16137</t>
        </is>
      </c>
      <c r="D1701" t="n">
        <v>7.5</v>
      </c>
      <c r="E1701" t="inlineStr">
        <is>
          <t>HIGH</t>
        </is>
      </c>
      <c r="F1701" t="n">
        <v>3</v>
      </c>
      <c r="G1701" t="n">
        <v>3</v>
      </c>
      <c r="H1701" t="inlineStr">
        <is>
          <t>CRITICAL</t>
        </is>
      </c>
      <c r="I1701" t="n">
        <v>16.5</v>
      </c>
      <c r="J1701" t="inlineStr">
        <is>
          <t>NO</t>
        </is>
      </c>
      <c r="K1701" t="inlineStr">
        <is>
          <t>2026-02-23 23:48</t>
        </is>
      </c>
      <c r="L1701" t="inlineStr">
        <is>
          <t>PATCH_IMMEDIATELY</t>
        </is>
      </c>
      <c r="M1701" t="inlineStr">
        <is>
          <t>See CVE details</t>
        </is>
      </c>
      <c r="N1701" t="inlineStr">
        <is>
          <t>P2</t>
        </is>
      </c>
      <c r="O1701" t="inlineStr">
        <is>
          <t>Rapid7 MSF: Cisco 7937G SSH Privilege Escalation | Module type: auxiliary_admin</t>
        </is>
      </c>
      <c r="P1701" t="n">
        <v>0</v>
      </c>
      <c r="Q1701" t="n">
        <v>0</v>
      </c>
      <c r="R1701" t="inlineStr">
        <is>
          <t>T1203:Exploitation for Client Execution | T1190:Exploit Public-Facing Application</t>
        </is>
      </c>
      <c r="S1701" t="n">
        <v>2</v>
      </c>
      <c r="T1701" t="inlineStr">
        <is>
          <t>HIGH (72%)</t>
        </is>
      </c>
      <c r="U1701" t="inlineStr">
        <is>
          <t>WEAPONIZED</t>
        </is>
      </c>
      <c r="V1701" t="inlineStr">
        <is>
          <t>CHECK_VENDOR</t>
        </is>
      </c>
      <c r="W1701" t="inlineStr">
        <is>
          <t>https://www.rapid7.com/db/search/?q=CVE-2020-16137</t>
        </is>
      </c>
      <c r="X1701" t="inlineStr">
        <is>
          <t>NONE</t>
        </is>
      </c>
      <c r="Y1701" t="n">
        <v>0</v>
      </c>
      <c r="Z1701" t="inlineStr"/>
      <c r="AA1701" t="inlineStr">
        <is>
          <t>https://nvd.nist.gov/vuln/detail/CVE-2020-16137</t>
        </is>
      </c>
    </row>
    <row r="1702">
      <c r="A1702" t="inlineStr">
        <is>
          <t>MSF_MODULE</t>
        </is>
      </c>
      <c r="B1702" t="inlineStr">
        <is>
          <t>CVE-2023-20198</t>
        </is>
      </c>
      <c r="C1702" t="inlineStr">
        <is>
          <t>Metasploit module available: Cisco IOX XE unauthenticated Command Line Interface (CLI) execution | Type: auxiliary_admin | CVE-2023-20198</t>
        </is>
      </c>
      <c r="D1702" t="n">
        <v>7.5</v>
      </c>
      <c r="E1702" t="inlineStr">
        <is>
          <t>HIGH</t>
        </is>
      </c>
      <c r="F1702" t="n">
        <v>3</v>
      </c>
      <c r="G1702" t="n">
        <v>3</v>
      </c>
      <c r="H1702" t="inlineStr">
        <is>
          <t>CRITICAL</t>
        </is>
      </c>
      <c r="I1702" t="n">
        <v>16.5</v>
      </c>
      <c r="J1702" t="inlineStr">
        <is>
          <t>YES</t>
        </is>
      </c>
      <c r="K1702" t="inlineStr">
        <is>
          <t>2026-02-23 23:48</t>
        </is>
      </c>
      <c r="L1702" t="inlineStr">
        <is>
          <t>PATCH_IMMEDIATELY</t>
        </is>
      </c>
      <c r="M1702" t="inlineStr">
        <is>
          <t>See CVE details</t>
        </is>
      </c>
      <c r="N1702" t="inlineStr">
        <is>
          <t>P1</t>
        </is>
      </c>
      <c r="O1702" t="inlineStr">
        <is>
          <t>Rapid7 MSF: Cisco IOX XE unauthenticated Command Line Interface (CLI) execution | Module type: auxiliary_admin</t>
        </is>
      </c>
      <c r="P1702" t="n">
        <v>0</v>
      </c>
      <c r="Q1702" t="n">
        <v>0</v>
      </c>
      <c r="R1702" t="inlineStr">
        <is>
          <t>T1203:Exploitation for Client Execution | T1190:Exploit Public-Facing Application</t>
        </is>
      </c>
      <c r="S1702" t="n">
        <v>2</v>
      </c>
      <c r="T1702" t="inlineStr">
        <is>
          <t>HIGH (72%)</t>
        </is>
      </c>
      <c r="U1702" t="inlineStr">
        <is>
          <t>WEAPONIZED</t>
        </is>
      </c>
      <c r="V1702" t="inlineStr">
        <is>
          <t>CHECK_VENDOR</t>
        </is>
      </c>
      <c r="W1702" t="inlineStr">
        <is>
          <t>https://www.rapid7.com/db/search/?q=CVE-2023-20198</t>
        </is>
      </c>
      <c r="X1702" t="inlineStr">
        <is>
          <t>NONE</t>
        </is>
      </c>
      <c r="Y1702" t="n">
        <v>0</v>
      </c>
      <c r="Z1702" t="inlineStr"/>
      <c r="AA1702" t="inlineStr">
        <is>
          <t>https://nvd.nist.gov/vuln/detail/CVE-2023-20198</t>
        </is>
      </c>
    </row>
    <row r="1703">
      <c r="A1703" t="inlineStr">
        <is>
          <t>MSF_MODULE</t>
        </is>
      </c>
      <c r="B1703" t="inlineStr">
        <is>
          <t>CVE-2023-20273</t>
        </is>
      </c>
      <c r="C1703" t="inlineStr">
        <is>
          <t>Metasploit module available: Cisco IOX XE unauthenticated OS command execution | Type: auxiliary_admin | CVE-2023-20273</t>
        </is>
      </c>
      <c r="D1703" t="n">
        <v>7.5</v>
      </c>
      <c r="E1703" t="inlineStr">
        <is>
          <t>HIGH</t>
        </is>
      </c>
      <c r="F1703" t="n">
        <v>3</v>
      </c>
      <c r="G1703" t="n">
        <v>3</v>
      </c>
      <c r="H1703" t="inlineStr">
        <is>
          <t>CRITICAL</t>
        </is>
      </c>
      <c r="I1703" t="n">
        <v>16.5</v>
      </c>
      <c r="J1703" t="inlineStr">
        <is>
          <t>YES</t>
        </is>
      </c>
      <c r="K1703" t="inlineStr">
        <is>
          <t>2026-02-23 23:48</t>
        </is>
      </c>
      <c r="L1703" t="inlineStr">
        <is>
          <t>PATCH_IMMEDIATELY</t>
        </is>
      </c>
      <c r="M1703" t="inlineStr">
        <is>
          <t>See CVE details</t>
        </is>
      </c>
      <c r="N1703" t="inlineStr">
        <is>
          <t>P1</t>
        </is>
      </c>
      <c r="O1703" t="inlineStr">
        <is>
          <t>Rapid7 MSF: Cisco IOX XE unauthenticated OS command execution | Module type: auxiliary_admin</t>
        </is>
      </c>
      <c r="P1703" t="n">
        <v>0</v>
      </c>
      <c r="Q1703" t="n">
        <v>0</v>
      </c>
      <c r="R1703" t="inlineStr">
        <is>
          <t>T1203:Exploitation for Client Execution | T1190:Exploit Public-Facing Application</t>
        </is>
      </c>
      <c r="S1703" t="n">
        <v>2</v>
      </c>
      <c r="T1703" t="inlineStr">
        <is>
          <t>HIGH (72%)</t>
        </is>
      </c>
      <c r="U1703" t="inlineStr">
        <is>
          <t>WEAPONIZED</t>
        </is>
      </c>
      <c r="V1703" t="inlineStr">
        <is>
          <t>CHECK_VENDOR</t>
        </is>
      </c>
      <c r="W1703" t="inlineStr">
        <is>
          <t>https://www.rapid7.com/db/search/?q=CVE-2023-20273</t>
        </is>
      </c>
      <c r="X1703" t="inlineStr">
        <is>
          <t>NONE</t>
        </is>
      </c>
      <c r="Y1703" t="n">
        <v>0</v>
      </c>
      <c r="Z1703" t="inlineStr"/>
      <c r="AA1703" t="inlineStr">
        <is>
          <t>https://nvd.nist.gov/vuln/detail/CVE-2023-20273</t>
        </is>
      </c>
    </row>
    <row r="1704">
      <c r="A1704" t="inlineStr">
        <is>
          <t>MSF_MODULE</t>
        </is>
      </c>
      <c r="B1704" t="inlineStr">
        <is>
          <t>CVE-2024-20419</t>
        </is>
      </c>
      <c r="C1704" t="inlineStr">
        <is>
          <t>Metasploit module available: Cisco Smart Software Manager (SSM) On-Prem Account Takeover (CVE-2024-20419) | Type: auxiliary_admin | CVE-2024-20419</t>
        </is>
      </c>
      <c r="D1704" t="n">
        <v>7.5</v>
      </c>
      <c r="E1704" t="inlineStr">
        <is>
          <t>HIGH</t>
        </is>
      </c>
      <c r="F1704" t="n">
        <v>3</v>
      </c>
      <c r="G1704" t="n">
        <v>3</v>
      </c>
      <c r="H1704" t="inlineStr">
        <is>
          <t>CRITICAL</t>
        </is>
      </c>
      <c r="I1704" t="n">
        <v>16.5</v>
      </c>
      <c r="J1704" t="inlineStr">
        <is>
          <t>NO</t>
        </is>
      </c>
      <c r="K1704" t="inlineStr">
        <is>
          <t>2026-02-23 23:48</t>
        </is>
      </c>
      <c r="L1704" t="inlineStr">
        <is>
          <t>PATCH_IMMEDIATELY</t>
        </is>
      </c>
      <c r="M1704" t="inlineStr">
        <is>
          <t>See CVE details</t>
        </is>
      </c>
      <c r="N1704" t="inlineStr">
        <is>
          <t>P2</t>
        </is>
      </c>
      <c r="O1704" t="inlineStr">
        <is>
          <t>Rapid7 MSF: Cisco Smart Software Manager (SSM) On-Prem Account Takeover (CVE-2024-20419) | Module type: auxiliary_admin</t>
        </is>
      </c>
      <c r="P1704" t="n">
        <v>0</v>
      </c>
      <c r="Q1704" t="n">
        <v>0</v>
      </c>
      <c r="R1704" t="inlineStr">
        <is>
          <t>T1203:Exploitation for Client Execution | T1190:Exploit Public-Facing Application</t>
        </is>
      </c>
      <c r="S1704" t="n">
        <v>2</v>
      </c>
      <c r="T1704" t="inlineStr">
        <is>
          <t>HIGH (72%)</t>
        </is>
      </c>
      <c r="U1704" t="inlineStr">
        <is>
          <t>WEAPONIZED</t>
        </is>
      </c>
      <c r="V1704" t="inlineStr">
        <is>
          <t>CHECK_VENDOR</t>
        </is>
      </c>
      <c r="W1704" t="inlineStr">
        <is>
          <t>https://www.rapid7.com/db/search/?q=CVE-2024-20419</t>
        </is>
      </c>
      <c r="X1704" t="inlineStr">
        <is>
          <t>NONE</t>
        </is>
      </c>
      <c r="Y1704" t="n">
        <v>0</v>
      </c>
      <c r="Z1704" t="inlineStr"/>
      <c r="AA1704" t="inlineStr">
        <is>
          <t>https://nvd.nist.gov/vuln/detail/CVE-2024-20419</t>
        </is>
      </c>
    </row>
    <row r="1705">
      <c r="A1705" t="inlineStr">
        <is>
          <t>MSF_MODULE</t>
        </is>
      </c>
      <c r="B1705" t="inlineStr">
        <is>
          <t>CVE-2017-5259</t>
        </is>
      </c>
      <c r="C1705" t="inlineStr">
        <is>
          <t>Metasploit module available: Cambium cnPilot r200/r201 Command Execution as 'root' | Type: auxiliary_admin | CVE-2017-5259</t>
        </is>
      </c>
      <c r="D1705" t="n">
        <v>7.5</v>
      </c>
      <c r="E1705" t="inlineStr">
        <is>
          <t>HIGH</t>
        </is>
      </c>
      <c r="F1705" t="n">
        <v>3</v>
      </c>
      <c r="G1705" t="n">
        <v>3</v>
      </c>
      <c r="H1705" t="inlineStr">
        <is>
          <t>CRITICAL</t>
        </is>
      </c>
      <c r="I1705" t="n">
        <v>16.5</v>
      </c>
      <c r="J1705" t="inlineStr">
        <is>
          <t>NO</t>
        </is>
      </c>
      <c r="K1705" t="inlineStr">
        <is>
          <t>2026-02-23 23:48</t>
        </is>
      </c>
      <c r="L1705" t="inlineStr">
        <is>
          <t>PATCH_IMMEDIATELY</t>
        </is>
      </c>
      <c r="M1705" t="inlineStr">
        <is>
          <t>See CVE details</t>
        </is>
      </c>
      <c r="N1705" t="inlineStr">
        <is>
          <t>P2</t>
        </is>
      </c>
      <c r="O1705" t="inlineStr">
        <is>
          <t>Rapid7 MSF: Cambium cnPilot r200/r201 Command Execution as 'root' | Module type: auxiliary_admin</t>
        </is>
      </c>
      <c r="P1705" t="n">
        <v>0</v>
      </c>
      <c r="Q1705" t="n">
        <v>0</v>
      </c>
      <c r="R1705" t="inlineStr">
        <is>
          <t>T1203:Exploitation for Client Execution | T1190:Exploit Public-Facing Application</t>
        </is>
      </c>
      <c r="S1705" t="n">
        <v>2</v>
      </c>
      <c r="T1705" t="inlineStr">
        <is>
          <t>HIGH (72%)</t>
        </is>
      </c>
      <c r="U1705" t="inlineStr">
        <is>
          <t>WEAPONIZED</t>
        </is>
      </c>
      <c r="V1705" t="inlineStr">
        <is>
          <t>CHECK_VENDOR</t>
        </is>
      </c>
      <c r="W1705" t="inlineStr">
        <is>
          <t>https://www.rapid7.com/db/search/?q=CVE-2017-5259</t>
        </is>
      </c>
      <c r="X1705" t="inlineStr">
        <is>
          <t>NONE</t>
        </is>
      </c>
      <c r="Y1705" t="n">
        <v>0</v>
      </c>
      <c r="Z1705" t="inlineStr"/>
      <c r="AA1705" t="inlineStr">
        <is>
          <t>https://nvd.nist.gov/vuln/detail/CVE-2017-5259</t>
        </is>
      </c>
    </row>
    <row r="1706">
      <c r="A1706" t="inlineStr">
        <is>
          <t>MSF_MODULE</t>
        </is>
      </c>
      <c r="B1706" t="inlineStr">
        <is>
          <t>CVE-2017-5261</t>
        </is>
      </c>
      <c r="C1706" t="inlineStr">
        <is>
          <t>Metasploit module available: Cambium cnPilot r200/r201 File Path Traversal | Type: auxiliary_admin | CVE-2017-5261</t>
        </is>
      </c>
      <c r="D1706" t="n">
        <v>7.5</v>
      </c>
      <c r="E1706" t="inlineStr">
        <is>
          <t>HIGH</t>
        </is>
      </c>
      <c r="F1706" t="n">
        <v>3</v>
      </c>
      <c r="G1706" t="n">
        <v>3</v>
      </c>
      <c r="H1706" t="inlineStr">
        <is>
          <t>CRITICAL</t>
        </is>
      </c>
      <c r="I1706" t="n">
        <v>16.5</v>
      </c>
      <c r="J1706" t="inlineStr">
        <is>
          <t>NO</t>
        </is>
      </c>
      <c r="K1706" t="inlineStr">
        <is>
          <t>2026-02-23 23:48</t>
        </is>
      </c>
      <c r="L1706" t="inlineStr">
        <is>
          <t>PATCH_IMMEDIATELY</t>
        </is>
      </c>
      <c r="M1706" t="inlineStr">
        <is>
          <t>See CVE details</t>
        </is>
      </c>
      <c r="N1706" t="inlineStr">
        <is>
          <t>P2</t>
        </is>
      </c>
      <c r="O1706" t="inlineStr">
        <is>
          <t>Rapid7 MSF: Cambium cnPilot r200/r201 File Path Traversal | Module type: auxiliary_admin</t>
        </is>
      </c>
      <c r="P1706" t="n">
        <v>0</v>
      </c>
      <c r="Q1706" t="n">
        <v>0</v>
      </c>
      <c r="R1706" t="inlineStr">
        <is>
          <t>T1203:Exploitation for Client Execution | T1190:Exploit Public-Facing Application</t>
        </is>
      </c>
      <c r="S1706" t="n">
        <v>2</v>
      </c>
      <c r="T1706" t="inlineStr">
        <is>
          <t>HIGH (72%)</t>
        </is>
      </c>
      <c r="U1706" t="inlineStr">
        <is>
          <t>WEAPONIZED</t>
        </is>
      </c>
      <c r="V1706" t="inlineStr">
        <is>
          <t>CHECK_VENDOR</t>
        </is>
      </c>
      <c r="W1706" t="inlineStr">
        <is>
          <t>https://www.rapid7.com/db/search/?q=CVE-2017-5261</t>
        </is>
      </c>
      <c r="X1706" t="inlineStr">
        <is>
          <t>NONE</t>
        </is>
      </c>
      <c r="Y1706" t="n">
        <v>0</v>
      </c>
      <c r="Z1706" t="inlineStr"/>
      <c r="AA1706" t="inlineStr">
        <is>
          <t>https://nvd.nist.gov/vuln/detail/CVE-2017-5261</t>
        </is>
      </c>
    </row>
    <row r="1707">
      <c r="A1707" t="inlineStr">
        <is>
          <t>MSF_MODULE</t>
        </is>
      </c>
      <c r="B1707" t="inlineStr">
        <is>
          <t>CVE-2009-10005</t>
        </is>
      </c>
      <c r="C1707" t="inlineStr">
        <is>
          <t>Metasploit module available: ContentKeeper Web Appliance mimencode File Access | Type: auxiliary_admin | CVE-2009-10005</t>
        </is>
      </c>
      <c r="D1707" t="n">
        <v>7.5</v>
      </c>
      <c r="E1707" t="inlineStr">
        <is>
          <t>HIGH</t>
        </is>
      </c>
      <c r="F1707" t="n">
        <v>3</v>
      </c>
      <c r="G1707" t="n">
        <v>3</v>
      </c>
      <c r="H1707" t="inlineStr">
        <is>
          <t>CRITICAL</t>
        </is>
      </c>
      <c r="I1707" t="n">
        <v>16.5</v>
      </c>
      <c r="J1707" t="inlineStr">
        <is>
          <t>NO</t>
        </is>
      </c>
      <c r="K1707" t="inlineStr">
        <is>
          <t>2026-02-23 23:48</t>
        </is>
      </c>
      <c r="L1707" t="inlineStr">
        <is>
          <t>PATCH_IMMEDIATELY</t>
        </is>
      </c>
      <c r="M1707" t="inlineStr">
        <is>
          <t>See CVE details</t>
        </is>
      </c>
      <c r="N1707" t="inlineStr">
        <is>
          <t>P2</t>
        </is>
      </c>
      <c r="O1707" t="inlineStr">
        <is>
          <t>Rapid7 MSF: ContentKeeper Web Appliance mimencode File Access | Module type: auxiliary_admin</t>
        </is>
      </c>
      <c r="P1707" t="n">
        <v>0</v>
      </c>
      <c r="Q1707" t="n">
        <v>0</v>
      </c>
      <c r="R1707" t="inlineStr">
        <is>
          <t>T1203:Exploitation for Client Execution | T1190:Exploit Public-Facing Application</t>
        </is>
      </c>
      <c r="S1707" t="n">
        <v>2</v>
      </c>
      <c r="T1707" t="inlineStr">
        <is>
          <t>HIGH (72%)</t>
        </is>
      </c>
      <c r="U1707" t="inlineStr">
        <is>
          <t>WEAPONIZED</t>
        </is>
      </c>
      <c r="V1707" t="inlineStr">
        <is>
          <t>CHECK_VENDOR</t>
        </is>
      </c>
      <c r="W1707" t="inlineStr">
        <is>
          <t>https://www.rapid7.com/db/search/?q=CVE-2009-10005</t>
        </is>
      </c>
      <c r="X1707" t="inlineStr">
        <is>
          <t>NONE</t>
        </is>
      </c>
      <c r="Y1707" t="n">
        <v>0</v>
      </c>
      <c r="Z1707" t="inlineStr"/>
      <c r="AA1707" t="inlineStr">
        <is>
          <t>https://nvd.nist.gov/vuln/detail/CVE-2009-10005</t>
        </is>
      </c>
    </row>
    <row r="1708">
      <c r="A1708" t="inlineStr">
        <is>
          <t>MSF_MODULE</t>
        </is>
      </c>
      <c r="B1708" t="inlineStr">
        <is>
          <t>CVE-2013-10069</t>
        </is>
      </c>
      <c r="C1708" t="inlineStr">
        <is>
          <t>Metasploit module available: D-Link DIR-600 / DIR-300 Unauthenticated Remote Command Execution | Type: auxiliary_admin | CVE-2013-10069</t>
        </is>
      </c>
      <c r="D1708" t="n">
        <v>7.5</v>
      </c>
      <c r="E1708" t="inlineStr">
        <is>
          <t>HIGH</t>
        </is>
      </c>
      <c r="F1708" t="n">
        <v>3</v>
      </c>
      <c r="G1708" t="n">
        <v>3</v>
      </c>
      <c r="H1708" t="inlineStr">
        <is>
          <t>CRITICAL</t>
        </is>
      </c>
      <c r="I1708" t="n">
        <v>16.5</v>
      </c>
      <c r="J1708" t="inlineStr">
        <is>
          <t>NO</t>
        </is>
      </c>
      <c r="K1708" t="inlineStr">
        <is>
          <t>2026-02-23 23:48</t>
        </is>
      </c>
      <c r="L1708" t="inlineStr">
        <is>
          <t>PATCH_IMMEDIATELY</t>
        </is>
      </c>
      <c r="M1708" t="inlineStr">
        <is>
          <t>See CVE details</t>
        </is>
      </c>
      <c r="N1708" t="inlineStr">
        <is>
          <t>P2</t>
        </is>
      </c>
      <c r="O1708" t="inlineStr">
        <is>
          <t>Rapid7 MSF: D-Link DIR-600 / DIR-300 Unauthenticated Remote Command Execution | Module type: auxiliary_admin</t>
        </is>
      </c>
      <c r="P1708" t="n">
        <v>0</v>
      </c>
      <c r="Q1708" t="n">
        <v>0</v>
      </c>
      <c r="R1708" t="inlineStr">
        <is>
          <t>T1203:Exploitation for Client Execution | T1190:Exploit Public-Facing Application</t>
        </is>
      </c>
      <c r="S1708" t="n">
        <v>2</v>
      </c>
      <c r="T1708" t="inlineStr">
        <is>
          <t>HIGH (72%)</t>
        </is>
      </c>
      <c r="U1708" t="inlineStr">
        <is>
          <t>WEAPONIZED</t>
        </is>
      </c>
      <c r="V1708" t="inlineStr">
        <is>
          <t>CHECK_VENDOR</t>
        </is>
      </c>
      <c r="W1708" t="inlineStr">
        <is>
          <t>https://www.rapid7.com/db/search/?q=CVE-2013-10069</t>
        </is>
      </c>
      <c r="X1708" t="inlineStr">
        <is>
          <t>NONE</t>
        </is>
      </c>
      <c r="Y1708" t="n">
        <v>0</v>
      </c>
      <c r="Z1708" t="inlineStr"/>
      <c r="AA1708" t="inlineStr">
        <is>
          <t>https://nvd.nist.gov/vuln/detail/CVE-2013-10069</t>
        </is>
      </c>
    </row>
    <row r="1709">
      <c r="A1709" t="inlineStr">
        <is>
          <t>MSF_MODULE</t>
        </is>
      </c>
      <c r="B1709" t="inlineStr">
        <is>
          <t>CVE-2013-2113</t>
        </is>
      </c>
      <c r="C1709" t="inlineStr">
        <is>
          <t>Metasploit module available: Foreman (Red Hat OpenStack/Satellite) users/create Mass Assignment | Type: auxiliary_admin | CVE-2013-2113</t>
        </is>
      </c>
      <c r="D1709" t="n">
        <v>7.5</v>
      </c>
      <c r="E1709" t="inlineStr">
        <is>
          <t>HIGH</t>
        </is>
      </c>
      <c r="F1709" t="n">
        <v>3</v>
      </c>
      <c r="G1709" t="n">
        <v>3</v>
      </c>
      <c r="H1709" t="inlineStr">
        <is>
          <t>CRITICAL</t>
        </is>
      </c>
      <c r="I1709" t="n">
        <v>16.5</v>
      </c>
      <c r="J1709" t="inlineStr">
        <is>
          <t>NO</t>
        </is>
      </c>
      <c r="K1709" t="inlineStr">
        <is>
          <t>2026-02-23 23:48</t>
        </is>
      </c>
      <c r="L1709" t="inlineStr">
        <is>
          <t>PATCH_IMMEDIATELY</t>
        </is>
      </c>
      <c r="M1709" t="inlineStr">
        <is>
          <t>See CVE details</t>
        </is>
      </c>
      <c r="N1709" t="inlineStr">
        <is>
          <t>P2</t>
        </is>
      </c>
      <c r="O1709" t="inlineStr">
        <is>
          <t>Rapid7 MSF: Foreman (Red Hat OpenStack/Satellite) users/create Mass Assignment | Module type: auxiliary_admin</t>
        </is>
      </c>
      <c r="P1709" t="n">
        <v>0</v>
      </c>
      <c r="Q1709" t="n">
        <v>0</v>
      </c>
      <c r="R1709" t="inlineStr">
        <is>
          <t>T1203:Exploitation for Client Execution | T1190:Exploit Public-Facing Application</t>
        </is>
      </c>
      <c r="S1709" t="n">
        <v>2</v>
      </c>
      <c r="T1709" t="inlineStr">
        <is>
          <t>HIGH (72%)</t>
        </is>
      </c>
      <c r="U1709" t="inlineStr">
        <is>
          <t>WEAPONIZED</t>
        </is>
      </c>
      <c r="V1709" t="inlineStr">
        <is>
          <t>CHECK_VENDOR</t>
        </is>
      </c>
      <c r="W1709" t="inlineStr">
        <is>
          <t>https://www.rapid7.com/db/search/?q=CVE-2013-2113</t>
        </is>
      </c>
      <c r="X1709" t="inlineStr">
        <is>
          <t>NONE</t>
        </is>
      </c>
      <c r="Y1709" t="n">
        <v>0</v>
      </c>
      <c r="Z1709" t="inlineStr"/>
      <c r="AA1709" t="inlineStr">
        <is>
          <t>https://nvd.nist.gov/vuln/detail/CVE-2013-2113</t>
        </is>
      </c>
    </row>
    <row r="1710">
      <c r="A1710" t="inlineStr">
        <is>
          <t>MSF_MODULE</t>
        </is>
      </c>
      <c r="B1710" t="inlineStr">
        <is>
          <t>CVE-2025-64446</t>
        </is>
      </c>
      <c r="C1710" t="inlineStr">
        <is>
          <t>Metasploit module available: Fortinet FortiWeb create new local admin | Type: auxiliary_admin | CVE-2025-64446</t>
        </is>
      </c>
      <c r="D1710" t="n">
        <v>7.5</v>
      </c>
      <c r="E1710" t="inlineStr">
        <is>
          <t>HIGH</t>
        </is>
      </c>
      <c r="F1710" t="n">
        <v>3</v>
      </c>
      <c r="G1710" t="n">
        <v>3</v>
      </c>
      <c r="H1710" t="inlineStr">
        <is>
          <t>CRITICAL</t>
        </is>
      </c>
      <c r="I1710" t="n">
        <v>16.5</v>
      </c>
      <c r="J1710" t="inlineStr">
        <is>
          <t>YES</t>
        </is>
      </c>
      <c r="K1710" t="inlineStr">
        <is>
          <t>2026-02-23 23:48</t>
        </is>
      </c>
      <c r="L1710" t="inlineStr">
        <is>
          <t>PATCH_IMMEDIATELY</t>
        </is>
      </c>
      <c r="M1710" t="inlineStr">
        <is>
          <t>See CVE details</t>
        </is>
      </c>
      <c r="N1710" t="inlineStr">
        <is>
          <t>P1</t>
        </is>
      </c>
      <c r="O1710" t="inlineStr">
        <is>
          <t>Rapid7 MSF: Fortinet FortiWeb create new local admin | Module type: auxiliary_admin</t>
        </is>
      </c>
      <c r="P1710" t="n">
        <v>0</v>
      </c>
      <c r="Q1710" t="n">
        <v>0</v>
      </c>
      <c r="R1710" t="inlineStr">
        <is>
          <t>T1203:Exploitation for Client Execution | T1190:Exploit Public-Facing Application</t>
        </is>
      </c>
      <c r="S1710" t="n">
        <v>2</v>
      </c>
      <c r="T1710" t="inlineStr">
        <is>
          <t>HIGH (72%)</t>
        </is>
      </c>
      <c r="U1710" t="inlineStr">
        <is>
          <t>WEAPONIZED</t>
        </is>
      </c>
      <c r="V1710" t="inlineStr">
        <is>
          <t>CHECK_VENDOR</t>
        </is>
      </c>
      <c r="W1710" t="inlineStr">
        <is>
          <t>https://www.rapid7.com/db/search/?q=CVE-2025-64446</t>
        </is>
      </c>
      <c r="X1710" t="inlineStr">
        <is>
          <t>NONE</t>
        </is>
      </c>
      <c r="Y1710" t="n">
        <v>0</v>
      </c>
      <c r="Z1710" t="inlineStr"/>
      <c r="AA1710" t="inlineStr">
        <is>
          <t>https://nvd.nist.gov/vuln/detail/CVE-2025-64446</t>
        </is>
      </c>
    </row>
    <row r="1711">
      <c r="A1711" t="inlineStr">
        <is>
          <t>MSF_MODULE</t>
        </is>
      </c>
      <c r="B1711" t="inlineStr">
        <is>
          <t>CVE-2024-5276</t>
        </is>
      </c>
      <c r="C1711" t="inlineStr">
        <is>
          <t>Metasploit module available: Fortra FileCatalyst Workflow SQL Injection (CVE-2024-5276) | Type: auxiliary_admin | CVE-2024-5276</t>
        </is>
      </c>
      <c r="D1711" t="n">
        <v>7.5</v>
      </c>
      <c r="E1711" t="inlineStr">
        <is>
          <t>HIGH</t>
        </is>
      </c>
      <c r="F1711" t="n">
        <v>3</v>
      </c>
      <c r="G1711" t="n">
        <v>3</v>
      </c>
      <c r="H1711" t="inlineStr">
        <is>
          <t>CRITICAL</t>
        </is>
      </c>
      <c r="I1711" t="n">
        <v>16.5</v>
      </c>
      <c r="J1711" t="inlineStr">
        <is>
          <t>NO</t>
        </is>
      </c>
      <c r="K1711" t="inlineStr">
        <is>
          <t>2026-02-23 23:48</t>
        </is>
      </c>
      <c r="L1711" t="inlineStr">
        <is>
          <t>PATCH_IMMEDIATELY</t>
        </is>
      </c>
      <c r="M1711" t="inlineStr">
        <is>
          <t>See CVE details</t>
        </is>
      </c>
      <c r="N1711" t="inlineStr">
        <is>
          <t>P2</t>
        </is>
      </c>
      <c r="O1711" t="inlineStr">
        <is>
          <t>Rapid7 MSF: Fortra FileCatalyst Workflow SQL Injection (CVE-2024-5276) | Module type: auxiliary_admin</t>
        </is>
      </c>
      <c r="P1711" t="n">
        <v>0</v>
      </c>
      <c r="Q1711" t="n">
        <v>0</v>
      </c>
      <c r="R1711" t="inlineStr">
        <is>
          <t>T1203:Exploitation for Client Execution | T1190:Exploit Public-Facing Application</t>
        </is>
      </c>
      <c r="S1711" t="n">
        <v>2</v>
      </c>
      <c r="T1711" t="inlineStr">
        <is>
          <t>HIGH (72%)</t>
        </is>
      </c>
      <c r="U1711" t="inlineStr">
        <is>
          <t>WEAPONIZED</t>
        </is>
      </c>
      <c r="V1711" t="inlineStr">
        <is>
          <t>CHECK_VENDOR</t>
        </is>
      </c>
      <c r="W1711" t="inlineStr">
        <is>
          <t>https://www.rapid7.com/db/search/?q=CVE-2024-5276</t>
        </is>
      </c>
      <c r="X1711" t="inlineStr">
        <is>
          <t>NONE</t>
        </is>
      </c>
      <c r="Y1711" t="n">
        <v>0</v>
      </c>
      <c r="Z1711" t="inlineStr"/>
      <c r="AA1711" t="inlineStr">
        <is>
          <t>https://nvd.nist.gov/vuln/detail/CVE-2024-5276</t>
        </is>
      </c>
    </row>
    <row r="1712">
      <c r="A1712" t="inlineStr">
        <is>
          <t>MSF_MODULE</t>
        </is>
      </c>
      <c r="B1712" t="inlineStr">
        <is>
          <t>CVE-2023-7028</t>
        </is>
      </c>
      <c r="C1712" t="inlineStr">
        <is>
          <t>Metasploit module available: GitLab Password Reset Account Takeover | Type: auxiliary_admin | CVE-2023-7028</t>
        </is>
      </c>
      <c r="D1712" t="n">
        <v>7.5</v>
      </c>
      <c r="E1712" t="inlineStr">
        <is>
          <t>HIGH</t>
        </is>
      </c>
      <c r="F1712" t="n">
        <v>3</v>
      </c>
      <c r="G1712" t="n">
        <v>3</v>
      </c>
      <c r="H1712" t="inlineStr">
        <is>
          <t>CRITICAL</t>
        </is>
      </c>
      <c r="I1712" t="n">
        <v>16.5</v>
      </c>
      <c r="J1712" t="inlineStr">
        <is>
          <t>YES</t>
        </is>
      </c>
      <c r="K1712" t="inlineStr">
        <is>
          <t>2026-02-23 23:48</t>
        </is>
      </c>
      <c r="L1712" t="inlineStr">
        <is>
          <t>PATCH_IMMEDIATELY</t>
        </is>
      </c>
      <c r="M1712" t="inlineStr">
        <is>
          <t>See CVE details</t>
        </is>
      </c>
      <c r="N1712" t="inlineStr">
        <is>
          <t>P1</t>
        </is>
      </c>
      <c r="O1712" t="inlineStr">
        <is>
          <t>Rapid7 MSF: GitLab Password Reset Account Takeover | Module type: auxiliary_admin</t>
        </is>
      </c>
      <c r="P1712" t="n">
        <v>0</v>
      </c>
      <c r="Q1712" t="n">
        <v>0</v>
      </c>
      <c r="R1712" t="inlineStr">
        <is>
          <t>T1203:Exploitation for Client Execution | T1190:Exploit Public-Facing Application</t>
        </is>
      </c>
      <c r="S1712" t="n">
        <v>2</v>
      </c>
      <c r="T1712" t="inlineStr">
        <is>
          <t>HIGH (72%)</t>
        </is>
      </c>
      <c r="U1712" t="inlineStr">
        <is>
          <t>WEAPONIZED</t>
        </is>
      </c>
      <c r="V1712" t="inlineStr">
        <is>
          <t>CHECK_VENDOR</t>
        </is>
      </c>
      <c r="W1712" t="inlineStr">
        <is>
          <t>https://www.rapid7.com/db/search/?q=CVE-2023-7028</t>
        </is>
      </c>
      <c r="X1712" t="inlineStr">
        <is>
          <t>NONE</t>
        </is>
      </c>
      <c r="Y1712" t="n">
        <v>0</v>
      </c>
      <c r="Z1712" t="inlineStr"/>
      <c r="AA1712" t="inlineStr">
        <is>
          <t>https://nvd.nist.gov/vuln/detail/CVE-2023-7028</t>
        </is>
      </c>
    </row>
    <row r="1713">
      <c r="A1713" t="inlineStr">
        <is>
          <t>MSF_MODULE</t>
        </is>
      </c>
      <c r="B1713" t="inlineStr">
        <is>
          <t>CVE-2018-5955</t>
        </is>
      </c>
      <c r="C1713" t="inlineStr">
        <is>
          <t>Metasploit module available: GitStack Unauthenticated REST API Requests | Type: auxiliary_admin | CVE-2018-5955</t>
        </is>
      </c>
      <c r="D1713" t="n">
        <v>7.5</v>
      </c>
      <c r="E1713" t="inlineStr">
        <is>
          <t>HIGH</t>
        </is>
      </c>
      <c r="F1713" t="n">
        <v>3</v>
      </c>
      <c r="G1713" t="n">
        <v>3</v>
      </c>
      <c r="H1713" t="inlineStr">
        <is>
          <t>CRITICAL</t>
        </is>
      </c>
      <c r="I1713" t="n">
        <v>16.5</v>
      </c>
      <c r="J1713" t="inlineStr">
        <is>
          <t>NO</t>
        </is>
      </c>
      <c r="K1713" t="inlineStr">
        <is>
          <t>2026-02-23 23:48</t>
        </is>
      </c>
      <c r="L1713" t="inlineStr">
        <is>
          <t>PATCH_IMMEDIATELY</t>
        </is>
      </c>
      <c r="M1713" t="inlineStr">
        <is>
          <t>See CVE details</t>
        </is>
      </c>
      <c r="N1713" t="inlineStr">
        <is>
          <t>P2</t>
        </is>
      </c>
      <c r="O1713" t="inlineStr">
        <is>
          <t>Rapid7 MSF: GitStack Unauthenticated REST API Requests | Module type: auxiliary_admin</t>
        </is>
      </c>
      <c r="P1713" t="n">
        <v>0</v>
      </c>
      <c r="Q1713" t="n">
        <v>0</v>
      </c>
      <c r="R1713" t="inlineStr">
        <is>
          <t>T1203:Exploitation for Client Execution | T1190:Exploit Public-Facing Application</t>
        </is>
      </c>
      <c r="S1713" t="n">
        <v>2</v>
      </c>
      <c r="T1713" t="inlineStr">
        <is>
          <t>HIGH (72%)</t>
        </is>
      </c>
      <c r="U1713" t="inlineStr">
        <is>
          <t>WEAPONIZED</t>
        </is>
      </c>
      <c r="V1713" t="inlineStr">
        <is>
          <t>CHECK_VENDOR</t>
        </is>
      </c>
      <c r="W1713" t="inlineStr">
        <is>
          <t>https://www.rapid7.com/db/search/?q=CVE-2018-5955</t>
        </is>
      </c>
      <c r="X1713" t="inlineStr">
        <is>
          <t>NONE</t>
        </is>
      </c>
      <c r="Y1713" t="n">
        <v>0</v>
      </c>
      <c r="Z1713" t="inlineStr"/>
      <c r="AA1713" t="inlineStr">
        <is>
          <t>https://nvd.nist.gov/vuln/detail/CVE-2018-5955</t>
        </is>
      </c>
    </row>
    <row r="1714">
      <c r="A1714" t="inlineStr">
        <is>
          <t>MSF_MODULE</t>
        </is>
      </c>
      <c r="B1714" t="inlineStr">
        <is>
          <t>CVE-2018-15727</t>
        </is>
      </c>
      <c r="C1714" t="inlineStr">
        <is>
          <t>Metasploit module available: Grafana 2.0 through 5.2.2 authentication bypass for LDAP and OAuth | Type: auxiliary_admin | CVE-2018-15727</t>
        </is>
      </c>
      <c r="D1714" t="n">
        <v>7.5</v>
      </c>
      <c r="E1714" t="inlineStr">
        <is>
          <t>HIGH</t>
        </is>
      </c>
      <c r="F1714" t="n">
        <v>3</v>
      </c>
      <c r="G1714" t="n">
        <v>3</v>
      </c>
      <c r="H1714" t="inlineStr">
        <is>
          <t>CRITICAL</t>
        </is>
      </c>
      <c r="I1714" t="n">
        <v>16.5</v>
      </c>
      <c r="J1714" t="inlineStr">
        <is>
          <t>NO</t>
        </is>
      </c>
      <c r="K1714" t="inlineStr">
        <is>
          <t>2026-02-23 23:48</t>
        </is>
      </c>
      <c r="L1714" t="inlineStr">
        <is>
          <t>PATCH_IMMEDIATELY</t>
        </is>
      </c>
      <c r="M1714" t="inlineStr">
        <is>
          <t>See CVE details</t>
        </is>
      </c>
      <c r="N1714" t="inlineStr">
        <is>
          <t>P2</t>
        </is>
      </c>
      <c r="O1714" t="inlineStr">
        <is>
          <t>Rapid7 MSF: Grafana 2.0 through 5.2.2 authentication bypass for LDAP and OAuth | Module type: auxiliary_admin</t>
        </is>
      </c>
      <c r="P1714" t="n">
        <v>0</v>
      </c>
      <c r="Q1714" t="n">
        <v>0</v>
      </c>
      <c r="R1714" t="inlineStr">
        <is>
          <t>T1203:Exploitation for Client Execution | T1190:Exploit Public-Facing Application</t>
        </is>
      </c>
      <c r="S1714" t="n">
        <v>2</v>
      </c>
      <c r="T1714" t="inlineStr">
        <is>
          <t>HIGH (72%)</t>
        </is>
      </c>
      <c r="U1714" t="inlineStr">
        <is>
          <t>WEAPONIZED</t>
        </is>
      </c>
      <c r="V1714" t="inlineStr">
        <is>
          <t>CHECK_VENDOR</t>
        </is>
      </c>
      <c r="W1714" t="inlineStr">
        <is>
          <t>https://www.rapid7.com/db/search/?q=CVE-2018-15727</t>
        </is>
      </c>
      <c r="X1714" t="inlineStr">
        <is>
          <t>NONE</t>
        </is>
      </c>
      <c r="Y1714" t="n">
        <v>0</v>
      </c>
      <c r="Z1714" t="inlineStr"/>
      <c r="AA1714" t="inlineStr">
        <is>
          <t>https://nvd.nist.gov/vuln/detail/CVE-2018-15727</t>
        </is>
      </c>
    </row>
    <row r="1715">
      <c r="A1715" t="inlineStr">
        <is>
          <t>MSF_MODULE</t>
        </is>
      </c>
      <c r="B1715" t="inlineStr">
        <is>
          <t>CVE-2017-7921</t>
        </is>
      </c>
      <c r="C1715" t="inlineStr">
        <is>
          <t>Metasploit module available: Hikvision IP Camera Unauthenticated Password Change Via Improper Authentication  | Type: auxiliary_admin | CVE-2017-7921</t>
        </is>
      </c>
      <c r="D1715" t="n">
        <v>7.5</v>
      </c>
      <c r="E1715" t="inlineStr">
        <is>
          <t>HIGH</t>
        </is>
      </c>
      <c r="F1715" t="n">
        <v>3</v>
      </c>
      <c r="G1715" t="n">
        <v>3</v>
      </c>
      <c r="H1715" t="inlineStr">
        <is>
          <t>CRITICAL</t>
        </is>
      </c>
      <c r="I1715" t="n">
        <v>16.5</v>
      </c>
      <c r="J1715" t="inlineStr">
        <is>
          <t>NO</t>
        </is>
      </c>
      <c r="K1715" t="inlineStr">
        <is>
          <t>2026-02-23 23:48</t>
        </is>
      </c>
      <c r="L1715" t="inlineStr">
        <is>
          <t>PATCH_IMMEDIATELY</t>
        </is>
      </c>
      <c r="M1715" t="inlineStr">
        <is>
          <t>See CVE details</t>
        </is>
      </c>
      <c r="N1715" t="inlineStr">
        <is>
          <t>P2</t>
        </is>
      </c>
      <c r="O1715" t="inlineStr">
        <is>
          <t>Rapid7 MSF: Hikvision IP Camera Unauthenticated Password Change Via Improper Authentication  | Module type: auxiliary_admin</t>
        </is>
      </c>
      <c r="P1715" t="n">
        <v>0</v>
      </c>
      <c r="Q1715" t="n">
        <v>0</v>
      </c>
      <c r="R1715" t="inlineStr">
        <is>
          <t>T1203:Exploitation for Client Execution | T1190:Exploit Public-Facing Application</t>
        </is>
      </c>
      <c r="S1715" t="n">
        <v>2</v>
      </c>
      <c r="T1715" t="inlineStr">
        <is>
          <t>HIGH (72%)</t>
        </is>
      </c>
      <c r="U1715" t="inlineStr">
        <is>
          <t>WEAPONIZED</t>
        </is>
      </c>
      <c r="V1715" t="inlineStr">
        <is>
          <t>CHECK_VENDOR</t>
        </is>
      </c>
      <c r="W1715" t="inlineStr">
        <is>
          <t>https://www.rapid7.com/db/search/?q=CVE-2017-7921</t>
        </is>
      </c>
      <c r="X1715" t="inlineStr">
        <is>
          <t>NONE</t>
        </is>
      </c>
      <c r="Y1715" t="n">
        <v>0</v>
      </c>
      <c r="Z1715" t="inlineStr"/>
      <c r="AA1715" t="inlineStr">
        <is>
          <t>https://nvd.nist.gov/vuln/detail/CVE-2017-7921</t>
        </is>
      </c>
    </row>
    <row r="1716">
      <c r="A1716" t="inlineStr">
        <is>
          <t>MSF_MODULE</t>
        </is>
      </c>
      <c r="B1716" t="inlineStr">
        <is>
          <t>CVE-2020-4427</t>
        </is>
      </c>
      <c r="C1716" t="inlineStr">
        <is>
          <t>Metasploit module available: IBM Data Risk Manager Arbitrary File Download | Type: auxiliary_admin | CVE-2020-4427</t>
        </is>
      </c>
      <c r="D1716" t="n">
        <v>7.5</v>
      </c>
      <c r="E1716" t="inlineStr">
        <is>
          <t>HIGH</t>
        </is>
      </c>
      <c r="F1716" t="n">
        <v>3</v>
      </c>
      <c r="G1716" t="n">
        <v>3</v>
      </c>
      <c r="H1716" t="inlineStr">
        <is>
          <t>CRITICAL</t>
        </is>
      </c>
      <c r="I1716" t="n">
        <v>16.5</v>
      </c>
      <c r="J1716" t="inlineStr">
        <is>
          <t>YES</t>
        </is>
      </c>
      <c r="K1716" t="inlineStr">
        <is>
          <t>2026-02-23 23:48</t>
        </is>
      </c>
      <c r="L1716" t="inlineStr">
        <is>
          <t>PATCH_IMMEDIATELY</t>
        </is>
      </c>
      <c r="M1716" t="inlineStr">
        <is>
          <t>See CVE details</t>
        </is>
      </c>
      <c r="N1716" t="inlineStr">
        <is>
          <t>P1</t>
        </is>
      </c>
      <c r="O1716" t="inlineStr">
        <is>
          <t>Rapid7 MSF: IBM Data Risk Manager Arbitrary File Download | Module type: auxiliary_admin</t>
        </is>
      </c>
      <c r="P1716" t="n">
        <v>0</v>
      </c>
      <c r="Q1716" t="n">
        <v>0</v>
      </c>
      <c r="R1716" t="inlineStr">
        <is>
          <t>T1203:Exploitation for Client Execution | T1190:Exploit Public-Facing Application</t>
        </is>
      </c>
      <c r="S1716" t="n">
        <v>2</v>
      </c>
      <c r="T1716" t="inlineStr">
        <is>
          <t>HIGH (72%)</t>
        </is>
      </c>
      <c r="U1716" t="inlineStr">
        <is>
          <t>WEAPONIZED</t>
        </is>
      </c>
      <c r="V1716" t="inlineStr">
        <is>
          <t>CHECK_VENDOR</t>
        </is>
      </c>
      <c r="W1716" t="inlineStr">
        <is>
          <t>https://www.rapid7.com/db/search/?q=CVE-2020-4427</t>
        </is>
      </c>
      <c r="X1716" t="inlineStr">
        <is>
          <t>NONE</t>
        </is>
      </c>
      <c r="Y1716" t="n">
        <v>0</v>
      </c>
      <c r="Z1716" t="inlineStr"/>
      <c r="AA1716" t="inlineStr">
        <is>
          <t>https://nvd.nist.gov/vuln/detail/CVE-2020-4427</t>
        </is>
      </c>
    </row>
    <row r="1717">
      <c r="A1717" t="inlineStr">
        <is>
          <t>MSF_MODULE</t>
        </is>
      </c>
      <c r="B1717" t="inlineStr">
        <is>
          <t>CVE-2020-4429</t>
        </is>
      </c>
      <c r="C1717" t="inlineStr">
        <is>
          <t>Metasploit module available: IBM Data Risk Manager Arbitrary File Download | Type: auxiliary_admin | CVE-2020-4429</t>
        </is>
      </c>
      <c r="D1717" t="n">
        <v>7.5</v>
      </c>
      <c r="E1717" t="inlineStr">
        <is>
          <t>HIGH</t>
        </is>
      </c>
      <c r="F1717" t="n">
        <v>3</v>
      </c>
      <c r="G1717" t="n">
        <v>3</v>
      </c>
      <c r="H1717" t="inlineStr">
        <is>
          <t>CRITICAL</t>
        </is>
      </c>
      <c r="I1717" t="n">
        <v>16.5</v>
      </c>
      <c r="J1717" t="inlineStr">
        <is>
          <t>NO</t>
        </is>
      </c>
      <c r="K1717" t="inlineStr">
        <is>
          <t>2026-02-23 23:48</t>
        </is>
      </c>
      <c r="L1717" t="inlineStr">
        <is>
          <t>PATCH_IMMEDIATELY</t>
        </is>
      </c>
      <c r="M1717" t="inlineStr">
        <is>
          <t>See CVE details</t>
        </is>
      </c>
      <c r="N1717" t="inlineStr">
        <is>
          <t>P2</t>
        </is>
      </c>
      <c r="O1717" t="inlineStr">
        <is>
          <t>Rapid7 MSF: IBM Data Risk Manager Arbitrary File Download | Module type: auxiliary_admin</t>
        </is>
      </c>
      <c r="P1717" t="n">
        <v>0</v>
      </c>
      <c r="Q1717" t="n">
        <v>0</v>
      </c>
      <c r="R1717" t="inlineStr">
        <is>
          <t>T1203:Exploitation for Client Execution | T1190:Exploit Public-Facing Application</t>
        </is>
      </c>
      <c r="S1717" t="n">
        <v>2</v>
      </c>
      <c r="T1717" t="inlineStr">
        <is>
          <t>HIGH (72%)</t>
        </is>
      </c>
      <c r="U1717" t="inlineStr">
        <is>
          <t>WEAPONIZED</t>
        </is>
      </c>
      <c r="V1717" t="inlineStr">
        <is>
          <t>CHECK_VENDOR</t>
        </is>
      </c>
      <c r="W1717" t="inlineStr">
        <is>
          <t>https://www.rapid7.com/db/search/?q=CVE-2020-4429</t>
        </is>
      </c>
      <c r="X1717" t="inlineStr">
        <is>
          <t>NONE</t>
        </is>
      </c>
      <c r="Y1717" t="n">
        <v>0</v>
      </c>
      <c r="Z1717" t="inlineStr"/>
      <c r="AA1717" t="inlineStr">
        <is>
          <t>https://nvd.nist.gov/vuln/detail/CVE-2020-4429</t>
        </is>
      </c>
    </row>
    <row r="1718">
      <c r="A1718" t="inlineStr">
        <is>
          <t>MSF_MODULE</t>
        </is>
      </c>
      <c r="B1718" t="inlineStr">
        <is>
          <t>CVE-2023-6329</t>
        </is>
      </c>
      <c r="C1718" t="inlineStr">
        <is>
          <t>Metasploit module available: Control iD iDSecure Authentication Bypass (CVE-2023-6329) | Type: auxiliary_admin | CVE-2023-6329</t>
        </is>
      </c>
      <c r="D1718" t="n">
        <v>7.5</v>
      </c>
      <c r="E1718" t="inlineStr">
        <is>
          <t>HIGH</t>
        </is>
      </c>
      <c r="F1718" t="n">
        <v>3</v>
      </c>
      <c r="G1718" t="n">
        <v>3</v>
      </c>
      <c r="H1718" t="inlineStr">
        <is>
          <t>CRITICAL</t>
        </is>
      </c>
      <c r="I1718" t="n">
        <v>16.5</v>
      </c>
      <c r="J1718" t="inlineStr">
        <is>
          <t>NO</t>
        </is>
      </c>
      <c r="K1718" t="inlineStr">
        <is>
          <t>2026-02-23 23:48</t>
        </is>
      </c>
      <c r="L1718" t="inlineStr">
        <is>
          <t>PATCH_IMMEDIATELY</t>
        </is>
      </c>
      <c r="M1718" t="inlineStr">
        <is>
          <t>See CVE details</t>
        </is>
      </c>
      <c r="N1718" t="inlineStr">
        <is>
          <t>P2</t>
        </is>
      </c>
      <c r="O1718" t="inlineStr">
        <is>
          <t>Rapid7 MSF: Control iD iDSecure Authentication Bypass (CVE-2023-6329) | Module type: auxiliary_admin</t>
        </is>
      </c>
      <c r="P1718" t="n">
        <v>0</v>
      </c>
      <c r="Q1718" t="n">
        <v>0</v>
      </c>
      <c r="R1718" t="inlineStr">
        <is>
          <t>T1203:Exploitation for Client Execution | T1190:Exploit Public-Facing Application</t>
        </is>
      </c>
      <c r="S1718" t="n">
        <v>2</v>
      </c>
      <c r="T1718" t="inlineStr">
        <is>
          <t>HIGH (72%)</t>
        </is>
      </c>
      <c r="U1718" t="inlineStr">
        <is>
          <t>WEAPONIZED</t>
        </is>
      </c>
      <c r="V1718" t="inlineStr">
        <is>
          <t>CHECK_VENDOR</t>
        </is>
      </c>
      <c r="W1718" t="inlineStr">
        <is>
          <t>https://www.rapid7.com/db/search/?q=CVE-2023-6329</t>
        </is>
      </c>
      <c r="X1718" t="inlineStr">
        <is>
          <t>NONE</t>
        </is>
      </c>
      <c r="Y1718" t="n">
        <v>0</v>
      </c>
      <c r="Z1718" t="inlineStr"/>
      <c r="AA1718" t="inlineStr">
        <is>
          <t>https://nvd.nist.gov/vuln/detail/CVE-2023-6329</t>
        </is>
      </c>
    </row>
    <row r="1719">
      <c r="A1719" t="inlineStr">
        <is>
          <t>MSF_MODULE</t>
        </is>
      </c>
      <c r="B1719" t="inlineStr">
        <is>
          <t>CVE-2010-2731</t>
        </is>
      </c>
      <c r="C1719" t="inlineStr">
        <is>
          <t>Metasploit module available: MS10-065 Microsoft IIS 5 NTFS Stream Authentication Bypass | Type: auxiliary_admin | CVE-2010-2731</t>
        </is>
      </c>
      <c r="D1719" t="n">
        <v>7.5</v>
      </c>
      <c r="E1719" t="inlineStr">
        <is>
          <t>HIGH</t>
        </is>
      </c>
      <c r="F1719" t="n">
        <v>3</v>
      </c>
      <c r="G1719" t="n">
        <v>3</v>
      </c>
      <c r="H1719" t="inlineStr">
        <is>
          <t>CRITICAL</t>
        </is>
      </c>
      <c r="I1719" t="n">
        <v>16.5</v>
      </c>
      <c r="J1719" t="inlineStr">
        <is>
          <t>NO</t>
        </is>
      </c>
      <c r="K1719" t="inlineStr">
        <is>
          <t>2026-02-23 23:48</t>
        </is>
      </c>
      <c r="L1719" t="inlineStr">
        <is>
          <t>PATCH_IMMEDIATELY</t>
        </is>
      </c>
      <c r="M1719" t="inlineStr">
        <is>
          <t>See CVE details</t>
        </is>
      </c>
      <c r="N1719" t="inlineStr">
        <is>
          <t>P2</t>
        </is>
      </c>
      <c r="O1719" t="inlineStr">
        <is>
          <t>Rapid7 MSF: MS10-065 Microsoft IIS 5 NTFS Stream Authentication Bypass | Module type: auxiliary_admin</t>
        </is>
      </c>
      <c r="P1719" t="n">
        <v>0</v>
      </c>
      <c r="Q1719" t="n">
        <v>0</v>
      </c>
      <c r="R1719" t="inlineStr">
        <is>
          <t>T1203:Exploitation for Client Execution | T1190:Exploit Public-Facing Application</t>
        </is>
      </c>
      <c r="S1719" t="n">
        <v>2</v>
      </c>
      <c r="T1719" t="inlineStr">
        <is>
          <t>HIGH (72%)</t>
        </is>
      </c>
      <c r="U1719" t="inlineStr">
        <is>
          <t>WEAPONIZED</t>
        </is>
      </c>
      <c r="V1719" t="inlineStr">
        <is>
          <t>CHECK_VENDOR</t>
        </is>
      </c>
      <c r="W1719" t="inlineStr">
        <is>
          <t>https://www.rapid7.com/db/search/?q=CVE-2010-2731</t>
        </is>
      </c>
      <c r="X1719" t="inlineStr">
        <is>
          <t>NONE</t>
        </is>
      </c>
      <c r="Y1719" t="n">
        <v>0</v>
      </c>
      <c r="Z1719" t="inlineStr"/>
      <c r="AA1719" t="inlineStr">
        <is>
          <t>https://nvd.nist.gov/vuln/detail/CVE-2010-2731</t>
        </is>
      </c>
    </row>
    <row r="1720">
      <c r="A1720" t="inlineStr">
        <is>
          <t>MSF_MODULE</t>
        </is>
      </c>
      <c r="B1720" t="inlineStr">
        <is>
          <t>CVE-2007-4915</t>
        </is>
      </c>
      <c r="C1720" t="inlineStr">
        <is>
          <t>Metasploit module available: Intersil (Boa) HTTPd Basic Authentication Password Reset | Type: auxiliary_admin | CVE-2007-4915</t>
        </is>
      </c>
      <c r="D1720" t="n">
        <v>7.5</v>
      </c>
      <c r="E1720" t="inlineStr">
        <is>
          <t>HIGH</t>
        </is>
      </c>
      <c r="F1720" t="n">
        <v>3</v>
      </c>
      <c r="G1720" t="n">
        <v>3</v>
      </c>
      <c r="H1720" t="inlineStr">
        <is>
          <t>CRITICAL</t>
        </is>
      </c>
      <c r="I1720" t="n">
        <v>16.5</v>
      </c>
      <c r="J1720" t="inlineStr">
        <is>
          <t>NO</t>
        </is>
      </c>
      <c r="K1720" t="inlineStr">
        <is>
          <t>2026-02-23 23:48</t>
        </is>
      </c>
      <c r="L1720" t="inlineStr">
        <is>
          <t>PATCH_IMMEDIATELY</t>
        </is>
      </c>
      <c r="M1720" t="inlineStr">
        <is>
          <t>See CVE details</t>
        </is>
      </c>
      <c r="N1720" t="inlineStr">
        <is>
          <t>P2</t>
        </is>
      </c>
      <c r="O1720" t="inlineStr">
        <is>
          <t>Rapid7 MSF: Intersil (Boa) HTTPd Basic Authentication Password Reset | Module type: auxiliary_admin</t>
        </is>
      </c>
      <c r="P1720" t="n">
        <v>0</v>
      </c>
      <c r="Q1720" t="n">
        <v>0</v>
      </c>
      <c r="R1720" t="inlineStr">
        <is>
          <t>T1203:Exploitation for Client Execution | T1190:Exploit Public-Facing Application</t>
        </is>
      </c>
      <c r="S1720" t="n">
        <v>2</v>
      </c>
      <c r="T1720" t="inlineStr">
        <is>
          <t>HIGH (72%)</t>
        </is>
      </c>
      <c r="U1720" t="inlineStr">
        <is>
          <t>WEAPONIZED</t>
        </is>
      </c>
      <c r="V1720" t="inlineStr">
        <is>
          <t>CHECK_VENDOR</t>
        </is>
      </c>
      <c r="W1720" t="inlineStr">
        <is>
          <t>https://www.rapid7.com/db/search/?q=CVE-2007-4915</t>
        </is>
      </c>
      <c r="X1720" t="inlineStr">
        <is>
          <t>NONE</t>
        </is>
      </c>
      <c r="Y1720" t="n">
        <v>0</v>
      </c>
      <c r="Z1720" t="inlineStr"/>
      <c r="AA1720" t="inlineStr">
        <is>
          <t>https://nvd.nist.gov/vuln/detail/CVE-2007-4915</t>
        </is>
      </c>
    </row>
    <row r="1721">
      <c r="A1721" t="inlineStr">
        <is>
          <t>MSF_MODULE</t>
        </is>
      </c>
      <c r="B1721" t="inlineStr">
        <is>
          <t>CVE-2009-2367</t>
        </is>
      </c>
      <c r="C1721" t="inlineStr">
        <is>
          <t>Metasploit module available: Iomega StorCenter Pro NAS Web Authentication Bypass | Type: auxiliary_admin | CVE-2009-2367</t>
        </is>
      </c>
      <c r="D1721" t="n">
        <v>7.5</v>
      </c>
      <c r="E1721" t="inlineStr">
        <is>
          <t>HIGH</t>
        </is>
      </c>
      <c r="F1721" t="n">
        <v>3</v>
      </c>
      <c r="G1721" t="n">
        <v>3</v>
      </c>
      <c r="H1721" t="inlineStr">
        <is>
          <t>CRITICAL</t>
        </is>
      </c>
      <c r="I1721" t="n">
        <v>16.5</v>
      </c>
      <c r="J1721" t="inlineStr">
        <is>
          <t>NO</t>
        </is>
      </c>
      <c r="K1721" t="inlineStr">
        <is>
          <t>2026-02-23 23:48</t>
        </is>
      </c>
      <c r="L1721" t="inlineStr">
        <is>
          <t>PATCH_IMMEDIATELY</t>
        </is>
      </c>
      <c r="M1721" t="inlineStr">
        <is>
          <t>See CVE details</t>
        </is>
      </c>
      <c r="N1721" t="inlineStr">
        <is>
          <t>P2</t>
        </is>
      </c>
      <c r="O1721" t="inlineStr">
        <is>
          <t>Rapid7 MSF: Iomega StorCenter Pro NAS Web Authentication Bypass | Module type: auxiliary_admin</t>
        </is>
      </c>
      <c r="P1721" t="n">
        <v>0</v>
      </c>
      <c r="Q1721" t="n">
        <v>0</v>
      </c>
      <c r="R1721" t="inlineStr">
        <is>
          <t>T1203:Exploitation for Client Execution | T1190:Exploit Public-Facing Application</t>
        </is>
      </c>
      <c r="S1721" t="n">
        <v>2</v>
      </c>
      <c r="T1721" t="inlineStr">
        <is>
          <t>HIGH (72%)</t>
        </is>
      </c>
      <c r="U1721" t="inlineStr">
        <is>
          <t>WEAPONIZED</t>
        </is>
      </c>
      <c r="V1721" t="inlineStr">
        <is>
          <t>CHECK_VENDOR</t>
        </is>
      </c>
      <c r="W1721" t="inlineStr">
        <is>
          <t>https://www.rapid7.com/db/search/?q=CVE-2009-2367</t>
        </is>
      </c>
      <c r="X1721" t="inlineStr">
        <is>
          <t>NONE</t>
        </is>
      </c>
      <c r="Y1721" t="n">
        <v>0</v>
      </c>
      <c r="Z1721" t="inlineStr"/>
      <c r="AA1721" t="inlineStr">
        <is>
          <t>https://nvd.nist.gov/vuln/detail/CVE-2009-2367</t>
        </is>
      </c>
    </row>
    <row r="1722">
      <c r="A1722" t="inlineStr">
        <is>
          <t>MSF_MODULE</t>
        </is>
      </c>
      <c r="B1722" t="inlineStr">
        <is>
          <t>CVE-2024-7593</t>
        </is>
      </c>
      <c r="C1722" t="inlineStr">
        <is>
          <t>Metasploit module available: Ivanti Virtual Traffic Manager Authentication Bypass (CVE-2024-7593) | Type: auxiliary_admin | CVE-2024-7593</t>
        </is>
      </c>
      <c r="D1722" t="n">
        <v>7.5</v>
      </c>
      <c r="E1722" t="inlineStr">
        <is>
          <t>HIGH</t>
        </is>
      </c>
      <c r="F1722" t="n">
        <v>3</v>
      </c>
      <c r="G1722" t="n">
        <v>3</v>
      </c>
      <c r="H1722" t="inlineStr">
        <is>
          <t>CRITICAL</t>
        </is>
      </c>
      <c r="I1722" t="n">
        <v>16.5</v>
      </c>
      <c r="J1722" t="inlineStr">
        <is>
          <t>YES</t>
        </is>
      </c>
      <c r="K1722" t="inlineStr">
        <is>
          <t>2026-02-23 23:48</t>
        </is>
      </c>
      <c r="L1722" t="inlineStr">
        <is>
          <t>PATCH_IMMEDIATELY</t>
        </is>
      </c>
      <c r="M1722" t="inlineStr">
        <is>
          <t>See CVE details</t>
        </is>
      </c>
      <c r="N1722" t="inlineStr">
        <is>
          <t>P1</t>
        </is>
      </c>
      <c r="O1722" t="inlineStr">
        <is>
          <t>Rapid7 MSF: Ivanti Virtual Traffic Manager Authentication Bypass (CVE-2024-7593) | Module type: auxiliary_admin</t>
        </is>
      </c>
      <c r="P1722" t="n">
        <v>0</v>
      </c>
      <c r="Q1722" t="n">
        <v>0</v>
      </c>
      <c r="R1722" t="inlineStr">
        <is>
          <t>T1203:Exploitation for Client Execution | T1190:Exploit Public-Facing Application</t>
        </is>
      </c>
      <c r="S1722" t="n">
        <v>2</v>
      </c>
      <c r="T1722" t="inlineStr">
        <is>
          <t>HIGH (72%)</t>
        </is>
      </c>
      <c r="U1722" t="inlineStr">
        <is>
          <t>WEAPONIZED</t>
        </is>
      </c>
      <c r="V1722" t="inlineStr">
        <is>
          <t>CHECK_VENDOR</t>
        </is>
      </c>
      <c r="W1722" t="inlineStr">
        <is>
          <t>https://www.rapid7.com/db/search/?q=CVE-2024-7593</t>
        </is>
      </c>
      <c r="X1722" t="inlineStr">
        <is>
          <t>NONE</t>
        </is>
      </c>
      <c r="Y1722" t="n">
        <v>0</v>
      </c>
      <c r="Z1722" t="inlineStr"/>
      <c r="AA1722" t="inlineStr">
        <is>
          <t>https://nvd.nist.gov/vuln/detail/CVE-2024-7593</t>
        </is>
      </c>
    </row>
    <row r="1723">
      <c r="A1723" t="inlineStr">
        <is>
          <t>MSF_MODULE</t>
        </is>
      </c>
      <c r="B1723" t="inlineStr">
        <is>
          <t>CVE-2010-0738</t>
        </is>
      </c>
      <c r="C1723" t="inlineStr">
        <is>
          <t>Metasploit module available: JBoss JMX Console Beanshell Deployer WAR Upload and Deployment | Type: auxiliary_admin | CVE-2010-0738</t>
        </is>
      </c>
      <c r="D1723" t="n">
        <v>7.5</v>
      </c>
      <c r="E1723" t="inlineStr">
        <is>
          <t>HIGH</t>
        </is>
      </c>
      <c r="F1723" t="n">
        <v>3</v>
      </c>
      <c r="G1723" t="n">
        <v>3</v>
      </c>
      <c r="H1723" t="inlineStr">
        <is>
          <t>CRITICAL</t>
        </is>
      </c>
      <c r="I1723" t="n">
        <v>16.5</v>
      </c>
      <c r="J1723" t="inlineStr">
        <is>
          <t>YES</t>
        </is>
      </c>
      <c r="K1723" t="inlineStr">
        <is>
          <t>2026-02-23 23:48</t>
        </is>
      </c>
      <c r="L1723" t="inlineStr">
        <is>
          <t>PATCH_IMMEDIATELY</t>
        </is>
      </c>
      <c r="M1723" t="inlineStr">
        <is>
          <t>See CVE details</t>
        </is>
      </c>
      <c r="N1723" t="inlineStr">
        <is>
          <t>P1</t>
        </is>
      </c>
      <c r="O1723" t="inlineStr">
        <is>
          <t>Rapid7 MSF: JBoss JMX Console Beanshell Deployer WAR Upload and Deployment | Module type: auxiliary_admin</t>
        </is>
      </c>
      <c r="P1723" t="n">
        <v>0.9085</v>
      </c>
      <c r="Q1723" t="n">
        <v>0.9962</v>
      </c>
      <c r="R1723" t="inlineStr">
        <is>
          <t>T1203:Exploitation for Client Execution | T1190:Exploit Public-Facing Application</t>
        </is>
      </c>
      <c r="S1723" t="n">
        <v>2</v>
      </c>
      <c r="T1723" t="inlineStr">
        <is>
          <t>HIGH (72%)</t>
        </is>
      </c>
      <c r="U1723" t="inlineStr">
        <is>
          <t>WEAPONIZED</t>
        </is>
      </c>
      <c r="V1723" t="inlineStr">
        <is>
          <t>CHECK_VENDOR</t>
        </is>
      </c>
      <c r="W1723" t="inlineStr">
        <is>
          <t>https://www.rapid7.com/db/search/?q=CVE-2010-0738</t>
        </is>
      </c>
      <c r="X1723" t="inlineStr">
        <is>
          <t>NONE</t>
        </is>
      </c>
      <c r="Y1723" t="n">
        <v>0</v>
      </c>
      <c r="Z1723" t="inlineStr"/>
      <c r="AA1723" t="inlineStr">
        <is>
          <t>https://nvd.nist.gov/vuln/detail/CVE-2010-0738</t>
        </is>
      </c>
    </row>
    <row r="1724">
      <c r="A1724" t="inlineStr">
        <is>
          <t>MSF_MODULE</t>
        </is>
      </c>
      <c r="B1724" t="inlineStr">
        <is>
          <t>CVE-2010-1871</t>
        </is>
      </c>
      <c r="C1724" t="inlineStr">
        <is>
          <t>Metasploit module available: JBoss Seam 2 Remote Command Execution | Type: auxiliary_admin | CVE-2010-1871</t>
        </is>
      </c>
      <c r="D1724" t="n">
        <v>7.5</v>
      </c>
      <c r="E1724" t="inlineStr">
        <is>
          <t>HIGH</t>
        </is>
      </c>
      <c r="F1724" t="n">
        <v>3</v>
      </c>
      <c r="G1724" t="n">
        <v>3</v>
      </c>
      <c r="H1724" t="inlineStr">
        <is>
          <t>CRITICAL</t>
        </is>
      </c>
      <c r="I1724" t="n">
        <v>16.5</v>
      </c>
      <c r="J1724" t="inlineStr">
        <is>
          <t>YES</t>
        </is>
      </c>
      <c r="K1724" t="inlineStr">
        <is>
          <t>2026-02-23 23:48</t>
        </is>
      </c>
      <c r="L1724" t="inlineStr">
        <is>
          <t>PATCH_IMMEDIATELY</t>
        </is>
      </c>
      <c r="M1724" t="inlineStr">
        <is>
          <t>See CVE details</t>
        </is>
      </c>
      <c r="N1724" t="inlineStr">
        <is>
          <t>P1</t>
        </is>
      </c>
      <c r="O1724" t="inlineStr">
        <is>
          <t>Rapid7 MSF: JBoss Seam 2 Remote Command Execution | Module type: auxiliary_admin</t>
        </is>
      </c>
      <c r="P1724" t="n">
        <v>0.9379</v>
      </c>
      <c r="Q1724" t="n">
        <v>0.9985000000000001</v>
      </c>
      <c r="R1724" t="inlineStr">
        <is>
          <t>T1203:Exploitation for Client Execution | T1190:Exploit Public-Facing Application</t>
        </is>
      </c>
      <c r="S1724" t="n">
        <v>2</v>
      </c>
      <c r="T1724" t="inlineStr">
        <is>
          <t>HIGH (72%)</t>
        </is>
      </c>
      <c r="U1724" t="inlineStr">
        <is>
          <t>WEAPONIZED</t>
        </is>
      </c>
      <c r="V1724" t="inlineStr">
        <is>
          <t>CHECK_VENDOR</t>
        </is>
      </c>
      <c r="W1724" t="inlineStr">
        <is>
          <t>https://www.rapid7.com/db/search/?q=CVE-2010-1871</t>
        </is>
      </c>
      <c r="X1724" t="inlineStr">
        <is>
          <t>NONE</t>
        </is>
      </c>
      <c r="Y1724" t="n">
        <v>0</v>
      </c>
      <c r="Z1724" t="inlineStr"/>
      <c r="AA1724" t="inlineStr">
        <is>
          <t>https://nvd.nist.gov/vuln/detail/CVE-2010-1871</t>
        </is>
      </c>
    </row>
    <row r="1725">
      <c r="A1725" t="inlineStr">
        <is>
          <t>MSF_MODULE</t>
        </is>
      </c>
      <c r="B1725" t="inlineStr">
        <is>
          <t>CVE-2016-8869</t>
        </is>
      </c>
      <c r="C1725" t="inlineStr">
        <is>
          <t>Metasploit module available: Joomla Account Creation and Privilege Escalation | Type: auxiliary_admin | CVE-2016-8869</t>
        </is>
      </c>
      <c r="D1725" t="n">
        <v>7.5</v>
      </c>
      <c r="E1725" t="inlineStr">
        <is>
          <t>HIGH</t>
        </is>
      </c>
      <c r="F1725" t="n">
        <v>3</v>
      </c>
      <c r="G1725" t="n">
        <v>3</v>
      </c>
      <c r="H1725" t="inlineStr">
        <is>
          <t>CRITICAL</t>
        </is>
      </c>
      <c r="I1725" t="n">
        <v>16.5</v>
      </c>
      <c r="J1725" t="inlineStr">
        <is>
          <t>NO</t>
        </is>
      </c>
      <c r="K1725" t="inlineStr">
        <is>
          <t>2026-02-23 23:48</t>
        </is>
      </c>
      <c r="L1725" t="inlineStr">
        <is>
          <t>PATCH_IMMEDIATELY</t>
        </is>
      </c>
      <c r="M1725" t="inlineStr">
        <is>
          <t>See CVE details</t>
        </is>
      </c>
      <c r="N1725" t="inlineStr">
        <is>
          <t>P2</t>
        </is>
      </c>
      <c r="O1725" t="inlineStr">
        <is>
          <t>Rapid7 MSF: Joomla Account Creation and Privilege Escalation | Module type: auxiliary_admin</t>
        </is>
      </c>
      <c r="P1725" t="n">
        <v>0</v>
      </c>
      <c r="Q1725" t="n">
        <v>0</v>
      </c>
      <c r="R1725" t="inlineStr">
        <is>
          <t>T1203:Exploitation for Client Execution | T1190:Exploit Public-Facing Application</t>
        </is>
      </c>
      <c r="S1725" t="n">
        <v>2</v>
      </c>
      <c r="T1725" t="inlineStr">
        <is>
          <t>HIGH (72%)</t>
        </is>
      </c>
      <c r="U1725" t="inlineStr">
        <is>
          <t>WEAPONIZED</t>
        </is>
      </c>
      <c r="V1725" t="inlineStr">
        <is>
          <t>CHECK_VENDOR</t>
        </is>
      </c>
      <c r="W1725" t="inlineStr">
        <is>
          <t>https://www.rapid7.com/db/search/?q=CVE-2016-8869</t>
        </is>
      </c>
      <c r="X1725" t="inlineStr">
        <is>
          <t>NONE</t>
        </is>
      </c>
      <c r="Y1725" t="n">
        <v>0</v>
      </c>
      <c r="Z1725" t="inlineStr"/>
      <c r="AA1725" t="inlineStr">
        <is>
          <t>https://nvd.nist.gov/vuln/detail/CVE-2016-8869</t>
        </is>
      </c>
    </row>
    <row r="1726">
      <c r="A1726" t="inlineStr">
        <is>
          <t>MSF_MODULE</t>
        </is>
      </c>
      <c r="B1726" t="inlineStr">
        <is>
          <t>CVE-2016-8870</t>
        </is>
      </c>
      <c r="C1726" t="inlineStr">
        <is>
          <t>Metasploit module available: Joomla Account Creation and Privilege Escalation | Type: auxiliary_admin | CVE-2016-8870</t>
        </is>
      </c>
      <c r="D1726" t="n">
        <v>7.5</v>
      </c>
      <c r="E1726" t="inlineStr">
        <is>
          <t>HIGH</t>
        </is>
      </c>
      <c r="F1726" t="n">
        <v>3</v>
      </c>
      <c r="G1726" t="n">
        <v>3</v>
      </c>
      <c r="H1726" t="inlineStr">
        <is>
          <t>CRITICAL</t>
        </is>
      </c>
      <c r="I1726" t="n">
        <v>16.5</v>
      </c>
      <c r="J1726" t="inlineStr">
        <is>
          <t>NO</t>
        </is>
      </c>
      <c r="K1726" t="inlineStr">
        <is>
          <t>2026-02-23 23:48</t>
        </is>
      </c>
      <c r="L1726" t="inlineStr">
        <is>
          <t>PATCH_IMMEDIATELY</t>
        </is>
      </c>
      <c r="M1726" t="inlineStr">
        <is>
          <t>See CVE details</t>
        </is>
      </c>
      <c r="N1726" t="inlineStr">
        <is>
          <t>P2</t>
        </is>
      </c>
      <c r="O1726" t="inlineStr">
        <is>
          <t>Rapid7 MSF: Joomla Account Creation and Privilege Escalation | Module type: auxiliary_admin</t>
        </is>
      </c>
      <c r="P1726" t="n">
        <v>0</v>
      </c>
      <c r="Q1726" t="n">
        <v>0</v>
      </c>
      <c r="R1726" t="inlineStr">
        <is>
          <t>T1203:Exploitation for Client Execution | T1190:Exploit Public-Facing Application</t>
        </is>
      </c>
      <c r="S1726" t="n">
        <v>2</v>
      </c>
      <c r="T1726" t="inlineStr">
        <is>
          <t>HIGH (72%)</t>
        </is>
      </c>
      <c r="U1726" t="inlineStr">
        <is>
          <t>WEAPONIZED</t>
        </is>
      </c>
      <c r="V1726" t="inlineStr">
        <is>
          <t>CHECK_VENDOR</t>
        </is>
      </c>
      <c r="W1726" t="inlineStr">
        <is>
          <t>https://www.rapid7.com/db/search/?q=CVE-2016-8870</t>
        </is>
      </c>
      <c r="X1726" t="inlineStr">
        <is>
          <t>NONE</t>
        </is>
      </c>
      <c r="Y1726" t="n">
        <v>0</v>
      </c>
      <c r="Z1726" t="inlineStr"/>
      <c r="AA1726" t="inlineStr">
        <is>
          <t>https://nvd.nist.gov/vuln/detail/CVE-2016-8870</t>
        </is>
      </c>
    </row>
    <row r="1727">
      <c r="A1727" t="inlineStr">
        <is>
          <t>MSF_MODULE</t>
        </is>
      </c>
      <c r="B1727" t="inlineStr">
        <is>
          <t>CVE-2015-6922</t>
        </is>
      </c>
      <c r="C1727" t="inlineStr">
        <is>
          <t>Metasploit module available: Kaseya VSA Master Administrator Account Creation | Type: auxiliary_admin | CVE-2015-6922</t>
        </is>
      </c>
      <c r="D1727" t="n">
        <v>7.5</v>
      </c>
      <c r="E1727" t="inlineStr">
        <is>
          <t>HIGH</t>
        </is>
      </c>
      <c r="F1727" t="n">
        <v>3</v>
      </c>
      <c r="G1727" t="n">
        <v>3</v>
      </c>
      <c r="H1727" t="inlineStr">
        <is>
          <t>CRITICAL</t>
        </is>
      </c>
      <c r="I1727" t="n">
        <v>16.5</v>
      </c>
      <c r="J1727" t="inlineStr">
        <is>
          <t>NO</t>
        </is>
      </c>
      <c r="K1727" t="inlineStr">
        <is>
          <t>2026-02-23 23:48</t>
        </is>
      </c>
      <c r="L1727" t="inlineStr">
        <is>
          <t>PATCH_IMMEDIATELY</t>
        </is>
      </c>
      <c r="M1727" t="inlineStr">
        <is>
          <t>See CVE details</t>
        </is>
      </c>
      <c r="N1727" t="inlineStr">
        <is>
          <t>P2</t>
        </is>
      </c>
      <c r="O1727" t="inlineStr">
        <is>
          <t>Rapid7 MSF: Kaseya VSA Master Administrator Account Creation | Module type: auxiliary_admin</t>
        </is>
      </c>
      <c r="P1727" t="n">
        <v>0</v>
      </c>
      <c r="Q1727" t="n">
        <v>0</v>
      </c>
      <c r="R1727" t="inlineStr">
        <is>
          <t>T1203:Exploitation for Client Execution | T1190:Exploit Public-Facing Application</t>
        </is>
      </c>
      <c r="S1727" t="n">
        <v>2</v>
      </c>
      <c r="T1727" t="inlineStr">
        <is>
          <t>HIGH (72%)</t>
        </is>
      </c>
      <c r="U1727" t="inlineStr">
        <is>
          <t>WEAPONIZED</t>
        </is>
      </c>
      <c r="V1727" t="inlineStr">
        <is>
          <t>CHECK_VENDOR</t>
        </is>
      </c>
      <c r="W1727" t="inlineStr">
        <is>
          <t>https://www.rapid7.com/db/search/?q=CVE-2015-6922</t>
        </is>
      </c>
      <c r="X1727" t="inlineStr">
        <is>
          <t>NONE</t>
        </is>
      </c>
      <c r="Y1727" t="n">
        <v>0</v>
      </c>
      <c r="Z1727" t="inlineStr"/>
      <c r="AA1727" t="inlineStr">
        <is>
          <t>https://nvd.nist.gov/vuln/detail/CVE-2015-6922</t>
        </is>
      </c>
    </row>
    <row r="1728">
      <c r="A1728" t="inlineStr">
        <is>
          <t>MSF_MODULE</t>
        </is>
      </c>
      <c r="B1728" t="inlineStr">
        <is>
          <t>CVE-2013-2143</t>
        </is>
      </c>
      <c r="C1728" t="inlineStr">
        <is>
          <t>Metasploit module available: Katello (Red Hat Satellite) users/update_roles Missing Authorization | Type: auxiliary_admin | CVE-2013-2143</t>
        </is>
      </c>
      <c r="D1728" t="n">
        <v>7.5</v>
      </c>
      <c r="E1728" t="inlineStr">
        <is>
          <t>HIGH</t>
        </is>
      </c>
      <c r="F1728" t="n">
        <v>3</v>
      </c>
      <c r="G1728" t="n">
        <v>3</v>
      </c>
      <c r="H1728" t="inlineStr">
        <is>
          <t>CRITICAL</t>
        </is>
      </c>
      <c r="I1728" t="n">
        <v>16.5</v>
      </c>
      <c r="J1728" t="inlineStr">
        <is>
          <t>NO</t>
        </is>
      </c>
      <c r="K1728" t="inlineStr">
        <is>
          <t>2026-02-23 23:48</t>
        </is>
      </c>
      <c r="L1728" t="inlineStr">
        <is>
          <t>PATCH_IMMEDIATELY</t>
        </is>
      </c>
      <c r="M1728" t="inlineStr">
        <is>
          <t>See CVE details</t>
        </is>
      </c>
      <c r="N1728" t="inlineStr">
        <is>
          <t>P2</t>
        </is>
      </c>
      <c r="O1728" t="inlineStr">
        <is>
          <t>Rapid7 MSF: Katello (Red Hat Satellite) users/update_roles Missing Authorization | Module type: auxiliary_admin</t>
        </is>
      </c>
      <c r="P1728" t="n">
        <v>0</v>
      </c>
      <c r="Q1728" t="n">
        <v>0</v>
      </c>
      <c r="R1728" t="inlineStr">
        <is>
          <t>T1203:Exploitation for Client Execution | T1190:Exploit Public-Facing Application</t>
        </is>
      </c>
      <c r="S1728" t="n">
        <v>2</v>
      </c>
      <c r="T1728" t="inlineStr">
        <is>
          <t>HIGH (72%)</t>
        </is>
      </c>
      <c r="U1728" t="inlineStr">
        <is>
          <t>WEAPONIZED</t>
        </is>
      </c>
      <c r="V1728" t="inlineStr">
        <is>
          <t>CHECK_VENDOR</t>
        </is>
      </c>
      <c r="W1728" t="inlineStr">
        <is>
          <t>https://www.rapid7.com/db/search/?q=CVE-2013-2143</t>
        </is>
      </c>
      <c r="X1728" t="inlineStr">
        <is>
          <t>NONE</t>
        </is>
      </c>
      <c r="Y1728" t="n">
        <v>0</v>
      </c>
      <c r="Z1728" t="inlineStr"/>
      <c r="AA1728" t="inlineStr">
        <is>
          <t>https://nvd.nist.gov/vuln/detail/CVE-2013-2143</t>
        </is>
      </c>
    </row>
    <row r="1729">
      <c r="A1729" t="inlineStr">
        <is>
          <t>MSF_MODULE</t>
        </is>
      </c>
      <c r="B1729" t="inlineStr">
        <is>
          <t>CVE-2025-34120</t>
        </is>
      </c>
      <c r="C1729" t="inlineStr">
        <is>
          <t>Metasploit module available: Limesurvey Unauthenticated File Download | Type: auxiliary_admin | CVE-2025-34120</t>
        </is>
      </c>
      <c r="D1729" t="n">
        <v>7.5</v>
      </c>
      <c r="E1729" t="inlineStr">
        <is>
          <t>HIGH</t>
        </is>
      </c>
      <c r="F1729" t="n">
        <v>3</v>
      </c>
      <c r="G1729" t="n">
        <v>3</v>
      </c>
      <c r="H1729" t="inlineStr">
        <is>
          <t>CRITICAL</t>
        </is>
      </c>
      <c r="I1729" t="n">
        <v>16.5</v>
      </c>
      <c r="J1729" t="inlineStr">
        <is>
          <t>NO</t>
        </is>
      </c>
      <c r="K1729" t="inlineStr">
        <is>
          <t>2026-02-23 23:48</t>
        </is>
      </c>
      <c r="L1729" t="inlineStr">
        <is>
          <t>PATCH_IMMEDIATELY</t>
        </is>
      </c>
      <c r="M1729" t="inlineStr">
        <is>
          <t>See CVE details</t>
        </is>
      </c>
      <c r="N1729" t="inlineStr">
        <is>
          <t>P2</t>
        </is>
      </c>
      <c r="O1729" t="inlineStr">
        <is>
          <t>Rapid7 MSF: Limesurvey Unauthenticated File Download | Module type: auxiliary_admin</t>
        </is>
      </c>
      <c r="P1729" t="n">
        <v>0</v>
      </c>
      <c r="Q1729" t="n">
        <v>0</v>
      </c>
      <c r="R1729" t="inlineStr">
        <is>
          <t>T1203:Exploitation for Client Execution | T1190:Exploit Public-Facing Application</t>
        </is>
      </c>
      <c r="S1729" t="n">
        <v>2</v>
      </c>
      <c r="T1729" t="inlineStr">
        <is>
          <t>HIGH (72%)</t>
        </is>
      </c>
      <c r="U1729" t="inlineStr">
        <is>
          <t>WEAPONIZED</t>
        </is>
      </c>
      <c r="V1729" t="inlineStr">
        <is>
          <t>CHECK_VENDOR</t>
        </is>
      </c>
      <c r="W1729" t="inlineStr">
        <is>
          <t>https://www.rapid7.com/db/search/?q=CVE-2025-34120</t>
        </is>
      </c>
      <c r="X1729" t="inlineStr">
        <is>
          <t>NONE</t>
        </is>
      </c>
      <c r="Y1729" t="n">
        <v>0</v>
      </c>
      <c r="Z1729" t="inlineStr"/>
      <c r="AA1729" t="inlineStr">
        <is>
          <t>https://nvd.nist.gov/vuln/detail/CVE-2025-34120</t>
        </is>
      </c>
    </row>
    <row r="1730">
      <c r="A1730" t="inlineStr">
        <is>
          <t>MSF_MODULE</t>
        </is>
      </c>
      <c r="B1730" t="inlineStr">
        <is>
          <t>CVE-2018-3953</t>
        </is>
      </c>
      <c r="C1730" t="inlineStr">
        <is>
          <t>Metasploit module available: Linksys E1500/E2500 Remote Command Execution | Type: auxiliary_admin | CVE-2018-3953</t>
        </is>
      </c>
      <c r="D1730" t="n">
        <v>7.5</v>
      </c>
      <c r="E1730" t="inlineStr">
        <is>
          <t>HIGH</t>
        </is>
      </c>
      <c r="F1730" t="n">
        <v>3</v>
      </c>
      <c r="G1730" t="n">
        <v>3</v>
      </c>
      <c r="H1730" t="inlineStr">
        <is>
          <t>CRITICAL</t>
        </is>
      </c>
      <c r="I1730" t="n">
        <v>16.5</v>
      </c>
      <c r="J1730" t="inlineStr">
        <is>
          <t>NO</t>
        </is>
      </c>
      <c r="K1730" t="inlineStr">
        <is>
          <t>2026-02-23 23:48</t>
        </is>
      </c>
      <c r="L1730" t="inlineStr">
        <is>
          <t>PATCH_IMMEDIATELY</t>
        </is>
      </c>
      <c r="M1730" t="inlineStr">
        <is>
          <t>See CVE details</t>
        </is>
      </c>
      <c r="N1730" t="inlineStr">
        <is>
          <t>P2</t>
        </is>
      </c>
      <c r="O1730" t="inlineStr">
        <is>
          <t>Rapid7 MSF: Linksys E1500/E2500 Remote Command Execution | Module type: auxiliary_admin</t>
        </is>
      </c>
      <c r="P1730" t="n">
        <v>0</v>
      </c>
      <c r="Q1730" t="n">
        <v>0</v>
      </c>
      <c r="R1730" t="inlineStr">
        <is>
          <t>T1203:Exploitation for Client Execution | T1190:Exploit Public-Facing Application</t>
        </is>
      </c>
      <c r="S1730" t="n">
        <v>2</v>
      </c>
      <c r="T1730" t="inlineStr">
        <is>
          <t>HIGH (72%)</t>
        </is>
      </c>
      <c r="U1730" t="inlineStr">
        <is>
          <t>WEAPONIZED</t>
        </is>
      </c>
      <c r="V1730" t="inlineStr">
        <is>
          <t>CHECK_VENDOR</t>
        </is>
      </c>
      <c r="W1730" t="inlineStr">
        <is>
          <t>https://www.rapid7.com/db/search/?q=CVE-2018-3953</t>
        </is>
      </c>
      <c r="X1730" t="inlineStr">
        <is>
          <t>NONE</t>
        </is>
      </c>
      <c r="Y1730" t="n">
        <v>0</v>
      </c>
      <c r="Z1730" t="inlineStr"/>
      <c r="AA1730" t="inlineStr">
        <is>
          <t>https://nvd.nist.gov/vuln/detail/CVE-2018-3953</t>
        </is>
      </c>
    </row>
    <row r="1731">
      <c r="A1731" t="inlineStr">
        <is>
          <t>MSRC_UPDATE</t>
        </is>
      </c>
      <c r="B1731" t="inlineStr">
        <is>
          <t>CVE-2026-0948</t>
        </is>
      </c>
      <c r="C1731" t="inlineStr">
        <is>
          <t>Microsoft Update: Authentication Bypass Using an Alternate Path or Channel vulnerability in Drupal Microsoft Entra ID SSO Login allows Privilege Escalation.This issue affects Microsoft Entra ID SSO Login: from 0.0.0 be</t>
        </is>
      </c>
      <c r="D1731" t="n">
        <v>6.5</v>
      </c>
      <c r="E1731" t="inlineStr">
        <is>
          <t>MEDIUM</t>
        </is>
      </c>
      <c r="F1731" t="n">
        <v>2</v>
      </c>
      <c r="G1731" t="n">
        <v>2</v>
      </c>
      <c r="H1731" t="inlineStr">
        <is>
          <t>MEDIUM</t>
        </is>
      </c>
      <c r="I1731" t="n">
        <v>10.5</v>
      </c>
      <c r="J1731" t="inlineStr">
        <is>
          <t>NO</t>
        </is>
      </c>
      <c r="K1731" t="inlineStr">
        <is>
          <t>2026-02-04T21:15:59.143</t>
        </is>
      </c>
      <c r="L1731" t="inlineStr">
        <is>
          <t>YES</t>
        </is>
      </c>
      <c r="M1731" t="inlineStr">
        <is>
          <t>Microsoft Windows</t>
        </is>
      </c>
      <c r="N1731" t="inlineStr">
        <is>
          <t>P4</t>
        </is>
      </c>
      <c r="O1731" t="inlineStr">
        <is>
          <t>Microsoft CVE - no IP context</t>
        </is>
      </c>
      <c r="P1731" t="n">
        <v>0</v>
      </c>
      <c r="Q1731" t="n">
        <v>0</v>
      </c>
      <c r="R1731" t="inlineStr">
        <is>
          <t>T1203:Exploitation for Client Execution | T1068:Exploitation for Privilege Escalation</t>
        </is>
      </c>
      <c r="S1731" t="n">
        <v>1</v>
      </c>
      <c r="T1731" t="inlineStr">
        <is>
          <t>LOW (40%)</t>
        </is>
      </c>
      <c r="U1731" t="inlineStr">
        <is>
          <t>CHECK_MSRC</t>
        </is>
      </c>
      <c r="V1731" t="inlineStr">
        <is>
          <t>YES</t>
        </is>
      </c>
      <c r="W1731" t="inlineStr">
        <is>
          <t>https://msrc.microsoft.com/update-guide/vulnerability/CVE-2026-0948</t>
        </is>
      </c>
      <c r="X1731" t="inlineStr">
        <is>
          <t>NONE</t>
        </is>
      </c>
      <c r="Y1731" t="n">
        <v>0</v>
      </c>
      <c r="Z1731" t="inlineStr"/>
      <c r="AA1731" t="inlineStr">
        <is>
          <t>https://msrc.microsoft.com/update-guide/vulnerability/CVE-2026-0948</t>
        </is>
      </c>
    </row>
    <row r="1732">
      <c r="A1732" t="inlineStr">
        <is>
          <t>MSRC_UPDATE</t>
        </is>
      </c>
      <c r="B1732" t="inlineStr">
        <is>
          <t>CVE-2026-0391</t>
        </is>
      </c>
      <c r="C1732" t="inlineStr">
        <is>
          <t>Microsoft Update: User interface (ui) misrepresentation of critical information in Microsoft Edge for Android allows an unauthorized attacker to perform spoofing over a network.</t>
        </is>
      </c>
      <c r="D1732" t="n">
        <v>6.5</v>
      </c>
      <c r="E1732" t="inlineStr">
        <is>
          <t>MEDIUM</t>
        </is>
      </c>
      <c r="F1732" t="n">
        <v>2</v>
      </c>
      <c r="G1732" t="n">
        <v>2</v>
      </c>
      <c r="H1732" t="inlineStr">
        <is>
          <t>MEDIUM</t>
        </is>
      </c>
      <c r="I1732" t="n">
        <v>10.5</v>
      </c>
      <c r="J1732" t="inlineStr">
        <is>
          <t>NO</t>
        </is>
      </c>
      <c r="K1732" t="inlineStr">
        <is>
          <t>2026-02-05T23:15:54.093</t>
        </is>
      </c>
      <c r="L1732" t="inlineStr">
        <is>
          <t>YES</t>
        </is>
      </c>
      <c r="M1732" t="inlineStr">
        <is>
          <t>Microsoft Windows</t>
        </is>
      </c>
      <c r="N1732" t="inlineStr">
        <is>
          <t>P4</t>
        </is>
      </c>
      <c r="O1732" t="inlineStr">
        <is>
          <t>Microsoft CVE - no IP context</t>
        </is>
      </c>
      <c r="P1732" t="n">
        <v>0</v>
      </c>
      <c r="Q1732" t="n">
        <v>0</v>
      </c>
      <c r="R1732" t="inlineStr">
        <is>
          <t>T1203:Exploitation for Client Execution | T1068:Exploitation for Privilege Escalation</t>
        </is>
      </c>
      <c r="S1732" t="n">
        <v>1</v>
      </c>
      <c r="T1732" t="inlineStr">
        <is>
          <t>LOW (40%)</t>
        </is>
      </c>
      <c r="U1732" t="inlineStr">
        <is>
          <t>CHECK_MSRC</t>
        </is>
      </c>
      <c r="V1732" t="inlineStr">
        <is>
          <t>YES</t>
        </is>
      </c>
      <c r="W1732" t="inlineStr">
        <is>
          <t>https://msrc.microsoft.com/update-guide/vulnerability/CVE-2026-0391</t>
        </is>
      </c>
      <c r="X1732" t="inlineStr">
        <is>
          <t>NONE</t>
        </is>
      </c>
      <c r="Y1732" t="n">
        <v>0</v>
      </c>
      <c r="Z1732" t="inlineStr"/>
      <c r="AA1732" t="inlineStr">
        <is>
          <t>https://msrc.microsoft.com/update-guide/vulnerability/CVE-2026-0391</t>
        </is>
      </c>
    </row>
    <row r="1733">
      <c r="A1733" t="inlineStr">
        <is>
          <t>MSRC_UPDATE</t>
        </is>
      </c>
      <c r="B1733" t="inlineStr">
        <is>
          <t>CVE-2026-25592</t>
        </is>
      </c>
      <c r="C1733" t="inlineStr">
        <is>
          <t>Microsoft Update: Semantic Kernel is an SDK used to build, orchestrate, and deploy AI agents and multi-agent systems. Prior to 1.71.0, an Arbitrary File Write vulnerability has been identified in Microsoft's Semantic K</t>
        </is>
      </c>
      <c r="D1733" t="n">
        <v>9.9</v>
      </c>
      <c r="E1733" t="inlineStr">
        <is>
          <t>CRITICAL</t>
        </is>
      </c>
      <c r="F1733" t="n">
        <v>2</v>
      </c>
      <c r="G1733" t="n">
        <v>2</v>
      </c>
      <c r="H1733" t="inlineStr">
        <is>
          <t>MEDIUM</t>
        </is>
      </c>
      <c r="I1733" t="n">
        <v>13.9</v>
      </c>
      <c r="J1733" t="inlineStr">
        <is>
          <t>NO</t>
        </is>
      </c>
      <c r="K1733" t="inlineStr">
        <is>
          <t>2026-02-06T21:16:17.647</t>
        </is>
      </c>
      <c r="L1733" t="inlineStr">
        <is>
          <t>YES</t>
        </is>
      </c>
      <c r="M1733" t="inlineStr">
        <is>
          <t>Microsoft Windows</t>
        </is>
      </c>
      <c r="N1733" t="inlineStr">
        <is>
          <t>P4</t>
        </is>
      </c>
      <c r="O1733" t="inlineStr">
        <is>
          <t>Microsoft CVE - no IP context</t>
        </is>
      </c>
      <c r="P1733" t="n">
        <v>0</v>
      </c>
      <c r="Q1733" t="n">
        <v>0</v>
      </c>
      <c r="R1733" t="inlineStr">
        <is>
          <t>T1203:Exploitation for Client Execution | T1068:Exploitation for Privilege Escalation</t>
        </is>
      </c>
      <c r="S1733" t="n">
        <v>1</v>
      </c>
      <c r="T1733" t="inlineStr">
        <is>
          <t>LOW (40%)</t>
        </is>
      </c>
      <c r="U1733" t="inlineStr">
        <is>
          <t>CHECK_MSRC</t>
        </is>
      </c>
      <c r="V1733" t="inlineStr">
        <is>
          <t>YES</t>
        </is>
      </c>
      <c r="W1733" t="inlineStr">
        <is>
          <t>https://msrc.microsoft.com/update-guide/vulnerability/CVE-2026-25592</t>
        </is>
      </c>
      <c r="X1733" t="inlineStr">
        <is>
          <t>NONE</t>
        </is>
      </c>
      <c r="Y1733" t="n">
        <v>0</v>
      </c>
      <c r="Z1733" t="inlineStr"/>
      <c r="AA1733" t="inlineStr">
        <is>
          <t>https://msrc.microsoft.com/update-guide/vulnerability/CVE-2026-25592</t>
        </is>
      </c>
    </row>
    <row r="1734">
      <c r="A1734" t="inlineStr">
        <is>
          <t>MSRC_UPDATE</t>
        </is>
      </c>
      <c r="B1734" t="inlineStr">
        <is>
          <t>CVE-2026-21235</t>
        </is>
      </c>
      <c r="C1734" t="inlineStr">
        <is>
          <t>Microsoft Update: Use after free in Microsoft Graphics Component allows an authorized attacker to elevate privileges locally.</t>
        </is>
      </c>
      <c r="D1734" t="n">
        <v>7.3</v>
      </c>
      <c r="E1734" t="inlineStr">
        <is>
          <t>HIGH</t>
        </is>
      </c>
      <c r="F1734" t="n">
        <v>2</v>
      </c>
      <c r="G1734" t="n">
        <v>2</v>
      </c>
      <c r="H1734" t="inlineStr">
        <is>
          <t>MEDIUM</t>
        </is>
      </c>
      <c r="I1734" t="n">
        <v>11.3</v>
      </c>
      <c r="J1734" t="inlineStr">
        <is>
          <t>NO</t>
        </is>
      </c>
      <c r="K1734" t="inlineStr">
        <is>
          <t>2026-02-10T18:16:24.090</t>
        </is>
      </c>
      <c r="L1734" t="inlineStr">
        <is>
          <t>YES</t>
        </is>
      </c>
      <c r="M1734" t="inlineStr">
        <is>
          <t>Microsoft Windows</t>
        </is>
      </c>
      <c r="N1734" t="inlineStr">
        <is>
          <t>P4</t>
        </is>
      </c>
      <c r="O1734" t="inlineStr">
        <is>
          <t>Microsoft CVE - no IP context</t>
        </is>
      </c>
      <c r="P1734" t="n">
        <v>0</v>
      </c>
      <c r="Q1734" t="n">
        <v>0</v>
      </c>
      <c r="R1734" t="inlineStr">
        <is>
          <t>T1203:Exploitation for Client Execution | T1068:Exploitation for Privilege Escalation</t>
        </is>
      </c>
      <c r="S1734" t="n">
        <v>1</v>
      </c>
      <c r="T1734" t="inlineStr">
        <is>
          <t>LOW (40%)</t>
        </is>
      </c>
      <c r="U1734" t="inlineStr">
        <is>
          <t>CHECK_MSRC</t>
        </is>
      </c>
      <c r="V1734" t="inlineStr">
        <is>
          <t>YES</t>
        </is>
      </c>
      <c r="W1734" t="inlineStr">
        <is>
          <t>https://msrc.microsoft.com/update-guide/vulnerability/CVE-2026-21235</t>
        </is>
      </c>
      <c r="X1734" t="inlineStr">
        <is>
          <t>NONE</t>
        </is>
      </c>
      <c r="Y1734" t="n">
        <v>0</v>
      </c>
      <c r="Z1734" t="inlineStr"/>
      <c r="AA1734" t="inlineStr">
        <is>
          <t>https://msrc.microsoft.com/update-guide/vulnerability/CVE-2026-21235</t>
        </is>
      </c>
    </row>
    <row r="1735">
      <c r="A1735" t="inlineStr">
        <is>
          <t>MSRC_UPDATE</t>
        </is>
      </c>
      <c r="B1735" t="inlineStr">
        <is>
          <t>CVE-2026-21246</t>
        </is>
      </c>
      <c r="C1735" t="inlineStr">
        <is>
          <t>Microsoft Update: Heap-based buffer overflow in Microsoft Graphics Component allows an authorized attacker to elevate privileges locally.</t>
        </is>
      </c>
      <c r="D1735" t="n">
        <v>7.8</v>
      </c>
      <c r="E1735" t="inlineStr">
        <is>
          <t>HIGH</t>
        </is>
      </c>
      <c r="F1735" t="n">
        <v>2</v>
      </c>
      <c r="G1735" t="n">
        <v>2</v>
      </c>
      <c r="H1735" t="inlineStr">
        <is>
          <t>MEDIUM</t>
        </is>
      </c>
      <c r="I1735" t="n">
        <v>11.8</v>
      </c>
      <c r="J1735" t="inlineStr">
        <is>
          <t>NO</t>
        </is>
      </c>
      <c r="K1735" t="inlineStr">
        <is>
          <t>2026-02-10T18:16:26.010</t>
        </is>
      </c>
      <c r="L1735" t="inlineStr">
        <is>
          <t>YES</t>
        </is>
      </c>
      <c r="M1735" t="inlineStr">
        <is>
          <t>Microsoft Windows</t>
        </is>
      </c>
      <c r="N1735" t="inlineStr">
        <is>
          <t>P4</t>
        </is>
      </c>
      <c r="O1735" t="inlineStr">
        <is>
          <t>Microsoft CVE - no IP context</t>
        </is>
      </c>
      <c r="P1735" t="n">
        <v>0</v>
      </c>
      <c r="Q1735" t="n">
        <v>0</v>
      </c>
      <c r="R1735" t="inlineStr">
        <is>
          <t>T1203:Exploitation for Client Execution | T1068:Exploitation for Privilege Escalation</t>
        </is>
      </c>
      <c r="S1735" t="n">
        <v>1</v>
      </c>
      <c r="T1735" t="inlineStr">
        <is>
          <t>LOW (40%)</t>
        </is>
      </c>
      <c r="U1735" t="inlineStr">
        <is>
          <t>CHECK_MSRC</t>
        </is>
      </c>
      <c r="V1735" t="inlineStr">
        <is>
          <t>YES</t>
        </is>
      </c>
      <c r="W1735" t="inlineStr">
        <is>
          <t>https://msrc.microsoft.com/update-guide/vulnerability/CVE-2026-21246</t>
        </is>
      </c>
      <c r="X1735" t="inlineStr">
        <is>
          <t>NONE</t>
        </is>
      </c>
      <c r="Y1735" t="n">
        <v>0</v>
      </c>
      <c r="Z1735" t="inlineStr"/>
      <c r="AA1735" t="inlineStr">
        <is>
          <t>https://msrc.microsoft.com/update-guide/vulnerability/CVE-2026-21246</t>
        </is>
      </c>
    </row>
    <row r="1736">
      <c r="A1736" t="inlineStr">
        <is>
          <t>MSRC_UPDATE</t>
        </is>
      </c>
      <c r="B1736" t="inlineStr">
        <is>
          <t>CVE-2026-21258</t>
        </is>
      </c>
      <c r="C1736" t="inlineStr">
        <is>
          <t>Microsoft Update: Improper input validation in Microsoft Office Excel allows an unauthorized attacker to disclose information locally.</t>
        </is>
      </c>
      <c r="D1736" t="n">
        <v>5.5</v>
      </c>
      <c r="E1736" t="inlineStr">
        <is>
          <t>MEDIUM</t>
        </is>
      </c>
      <c r="F1736" t="n">
        <v>2</v>
      </c>
      <c r="G1736" t="n">
        <v>2</v>
      </c>
      <c r="H1736" t="inlineStr">
        <is>
          <t>MEDIUM</t>
        </is>
      </c>
      <c r="I1736" t="n">
        <v>9.5</v>
      </c>
      <c r="J1736" t="inlineStr">
        <is>
          <t>NO</t>
        </is>
      </c>
      <c r="K1736" t="inlineStr">
        <is>
          <t>2026-02-10T18:16:27.637</t>
        </is>
      </c>
      <c r="L1736" t="inlineStr">
        <is>
          <t>YES</t>
        </is>
      </c>
      <c r="M1736" t="inlineStr">
        <is>
          <t>Microsoft Windows</t>
        </is>
      </c>
      <c r="N1736" t="inlineStr">
        <is>
          <t>P4</t>
        </is>
      </c>
      <c r="O1736" t="inlineStr">
        <is>
          <t>Microsoft CVE - no IP context</t>
        </is>
      </c>
      <c r="P1736" t="n">
        <v>0</v>
      </c>
      <c r="Q1736" t="n">
        <v>0</v>
      </c>
      <c r="R1736" t="inlineStr">
        <is>
          <t>T1203:Exploitation for Client Execution | T1068:Exploitation for Privilege Escalation</t>
        </is>
      </c>
      <c r="S1736" t="n">
        <v>1</v>
      </c>
      <c r="T1736" t="inlineStr">
        <is>
          <t>LOW (40%)</t>
        </is>
      </c>
      <c r="U1736" t="inlineStr">
        <is>
          <t>CHECK_MSRC</t>
        </is>
      </c>
      <c r="V1736" t="inlineStr">
        <is>
          <t>YES</t>
        </is>
      </c>
      <c r="W1736" t="inlineStr">
        <is>
          <t>https://msrc.microsoft.com/update-guide/vulnerability/CVE-2026-21258</t>
        </is>
      </c>
      <c r="X1736" t="inlineStr">
        <is>
          <t>NONE</t>
        </is>
      </c>
      <c r="Y1736" t="n">
        <v>0</v>
      </c>
      <c r="Z1736" t="inlineStr"/>
      <c r="AA1736" t="inlineStr">
        <is>
          <t>https://msrc.microsoft.com/update-guide/vulnerability/CVE-2026-21258</t>
        </is>
      </c>
    </row>
    <row r="1737">
      <c r="A1737" t="inlineStr">
        <is>
          <t>MSRC_UPDATE</t>
        </is>
      </c>
      <c r="B1737" t="inlineStr">
        <is>
          <t>CVE-2026-21259</t>
        </is>
      </c>
      <c r="C1737" t="inlineStr">
        <is>
          <t>Microsoft Update: Heap-based buffer overflow in Microsoft Office Excel allows an unauthorized attacker to elevate privileges locally.</t>
        </is>
      </c>
      <c r="D1737" t="n">
        <v>7.8</v>
      </c>
      <c r="E1737" t="inlineStr">
        <is>
          <t>HIGH</t>
        </is>
      </c>
      <c r="F1737" t="n">
        <v>2</v>
      </c>
      <c r="G1737" t="n">
        <v>2</v>
      </c>
      <c r="H1737" t="inlineStr">
        <is>
          <t>MEDIUM</t>
        </is>
      </c>
      <c r="I1737" t="n">
        <v>11.8</v>
      </c>
      <c r="J1737" t="inlineStr">
        <is>
          <t>NO</t>
        </is>
      </c>
      <c r="K1737" t="inlineStr">
        <is>
          <t>2026-02-10T18:16:27.790</t>
        </is>
      </c>
      <c r="L1737" t="inlineStr">
        <is>
          <t>YES</t>
        </is>
      </c>
      <c r="M1737" t="inlineStr">
        <is>
          <t>Microsoft Windows</t>
        </is>
      </c>
      <c r="N1737" t="inlineStr">
        <is>
          <t>P4</t>
        </is>
      </c>
      <c r="O1737" t="inlineStr">
        <is>
          <t>Microsoft CVE - no IP context</t>
        </is>
      </c>
      <c r="P1737" t="n">
        <v>0</v>
      </c>
      <c r="Q1737" t="n">
        <v>0</v>
      </c>
      <c r="R1737" t="inlineStr">
        <is>
          <t>T1203:Exploitation for Client Execution | T1068:Exploitation for Privilege Escalation</t>
        </is>
      </c>
      <c r="S1737" t="n">
        <v>1</v>
      </c>
      <c r="T1737" t="inlineStr">
        <is>
          <t>LOW (40%)</t>
        </is>
      </c>
      <c r="U1737" t="inlineStr">
        <is>
          <t>CHECK_MSRC</t>
        </is>
      </c>
      <c r="V1737" t="inlineStr">
        <is>
          <t>YES</t>
        </is>
      </c>
      <c r="W1737" t="inlineStr">
        <is>
          <t>https://msrc.microsoft.com/update-guide/vulnerability/CVE-2026-21259</t>
        </is>
      </c>
      <c r="X1737" t="inlineStr">
        <is>
          <t>NONE</t>
        </is>
      </c>
      <c r="Y1737" t="n">
        <v>0</v>
      </c>
      <c r="Z1737" t="inlineStr"/>
      <c r="AA1737" t="inlineStr">
        <is>
          <t>https://msrc.microsoft.com/update-guide/vulnerability/CVE-2026-21259</t>
        </is>
      </c>
    </row>
    <row r="1738">
      <c r="A1738" t="inlineStr">
        <is>
          <t>MSRC_UPDATE</t>
        </is>
      </c>
      <c r="B1738" t="inlineStr">
        <is>
          <t>CVE-2026-21260</t>
        </is>
      </c>
      <c r="C1738" t="inlineStr">
        <is>
          <t>Microsoft Update: Exposure of sensitive information to an unauthorized actor in Microsoft Office Outlook allows an unauthorized attacker to perform spoofing over a network.</t>
        </is>
      </c>
      <c r="D1738" t="n">
        <v>7.5</v>
      </c>
      <c r="E1738" t="inlineStr">
        <is>
          <t>HIGH</t>
        </is>
      </c>
      <c r="F1738" t="n">
        <v>2</v>
      </c>
      <c r="G1738" t="n">
        <v>2</v>
      </c>
      <c r="H1738" t="inlineStr">
        <is>
          <t>MEDIUM</t>
        </is>
      </c>
      <c r="I1738" t="n">
        <v>11.5</v>
      </c>
      <c r="J1738" t="inlineStr">
        <is>
          <t>NO</t>
        </is>
      </c>
      <c r="K1738" t="inlineStr">
        <is>
          <t>2026-02-10T18:16:27.947</t>
        </is>
      </c>
      <c r="L1738" t="inlineStr">
        <is>
          <t>YES</t>
        </is>
      </c>
      <c r="M1738" t="inlineStr">
        <is>
          <t>Microsoft Windows</t>
        </is>
      </c>
      <c r="N1738" t="inlineStr">
        <is>
          <t>P4</t>
        </is>
      </c>
      <c r="O1738" t="inlineStr">
        <is>
          <t>Microsoft CVE - no IP context</t>
        </is>
      </c>
      <c r="P1738" t="n">
        <v>0</v>
      </c>
      <c r="Q1738" t="n">
        <v>0</v>
      </c>
      <c r="R1738" t="inlineStr">
        <is>
          <t>T1203:Exploitation for Client Execution | T1068:Exploitation for Privilege Escalation</t>
        </is>
      </c>
      <c r="S1738" t="n">
        <v>1</v>
      </c>
      <c r="T1738" t="inlineStr">
        <is>
          <t>LOW (40%)</t>
        </is>
      </c>
      <c r="U1738" t="inlineStr">
        <is>
          <t>CHECK_MSRC</t>
        </is>
      </c>
      <c r="V1738" t="inlineStr">
        <is>
          <t>YES</t>
        </is>
      </c>
      <c r="W1738" t="inlineStr">
        <is>
          <t>https://msrc.microsoft.com/update-guide/vulnerability/CVE-2026-21260</t>
        </is>
      </c>
      <c r="X1738" t="inlineStr">
        <is>
          <t>NONE</t>
        </is>
      </c>
      <c r="Y1738" t="n">
        <v>0</v>
      </c>
      <c r="Z1738" t="inlineStr"/>
      <c r="AA1738" t="inlineStr">
        <is>
          <t>https://msrc.microsoft.com/update-guide/vulnerability/CVE-2026-21260</t>
        </is>
      </c>
    </row>
    <row r="1739">
      <c r="A1739" t="inlineStr">
        <is>
          <t>MSRC_UPDATE</t>
        </is>
      </c>
      <c r="B1739" t="inlineStr">
        <is>
          <t>CVE-2026-21261</t>
        </is>
      </c>
      <c r="C1739" t="inlineStr">
        <is>
          <t>Microsoft Update: Out-of-bounds read in Microsoft Office Excel allows an unauthorized attacker to disclose information locally.</t>
        </is>
      </c>
      <c r="D1739" t="n">
        <v>5.5</v>
      </c>
      <c r="E1739" t="inlineStr">
        <is>
          <t>MEDIUM</t>
        </is>
      </c>
      <c r="F1739" t="n">
        <v>2</v>
      </c>
      <c r="G1739" t="n">
        <v>2</v>
      </c>
      <c r="H1739" t="inlineStr">
        <is>
          <t>MEDIUM</t>
        </is>
      </c>
      <c r="I1739" t="n">
        <v>9.5</v>
      </c>
      <c r="J1739" t="inlineStr">
        <is>
          <t>NO</t>
        </is>
      </c>
      <c r="K1739" t="inlineStr">
        <is>
          <t>2026-02-10T18:16:28.107</t>
        </is>
      </c>
      <c r="L1739" t="inlineStr">
        <is>
          <t>YES</t>
        </is>
      </c>
      <c r="M1739" t="inlineStr">
        <is>
          <t>Microsoft Windows</t>
        </is>
      </c>
      <c r="N1739" t="inlineStr">
        <is>
          <t>P4</t>
        </is>
      </c>
      <c r="O1739" t="inlineStr">
        <is>
          <t>Microsoft CVE - no IP context</t>
        </is>
      </c>
      <c r="P1739" t="n">
        <v>0</v>
      </c>
      <c r="Q1739" t="n">
        <v>0</v>
      </c>
      <c r="R1739" t="inlineStr">
        <is>
          <t>T1203:Exploitation for Client Execution | T1068:Exploitation for Privilege Escalation</t>
        </is>
      </c>
      <c r="S1739" t="n">
        <v>1</v>
      </c>
      <c r="T1739" t="inlineStr">
        <is>
          <t>LOW (40%)</t>
        </is>
      </c>
      <c r="U1739" t="inlineStr">
        <is>
          <t>CHECK_MSRC</t>
        </is>
      </c>
      <c r="V1739" t="inlineStr">
        <is>
          <t>YES</t>
        </is>
      </c>
      <c r="W1739" t="inlineStr">
        <is>
          <t>https://msrc.microsoft.com/update-guide/vulnerability/CVE-2026-21261</t>
        </is>
      </c>
      <c r="X1739" t="inlineStr">
        <is>
          <t>NONE</t>
        </is>
      </c>
      <c r="Y1739" t="n">
        <v>0</v>
      </c>
      <c r="Z1739" t="inlineStr"/>
      <c r="AA1739" t="inlineStr">
        <is>
          <t>https://msrc.microsoft.com/update-guide/vulnerability/CVE-2026-21261</t>
        </is>
      </c>
    </row>
    <row r="1740">
      <c r="A1740" t="inlineStr">
        <is>
          <t>MSRC_UPDATE</t>
        </is>
      </c>
      <c r="B1740" t="inlineStr">
        <is>
          <t>CVE-2026-21511</t>
        </is>
      </c>
      <c r="C1740" t="inlineStr">
        <is>
          <t>Microsoft Update: Deserialization of untrusted data in Microsoft Office Outlook allows an unauthorized attacker to perform spoofing over a network.</t>
        </is>
      </c>
      <c r="D1740" t="n">
        <v>7.5</v>
      </c>
      <c r="E1740" t="inlineStr">
        <is>
          <t>HIGH</t>
        </is>
      </c>
      <c r="F1740" t="n">
        <v>2</v>
      </c>
      <c r="G1740" t="n">
        <v>2</v>
      </c>
      <c r="H1740" t="inlineStr">
        <is>
          <t>MEDIUM</t>
        </is>
      </c>
      <c r="I1740" t="n">
        <v>11.5</v>
      </c>
      <c r="J1740" t="inlineStr">
        <is>
          <t>NO</t>
        </is>
      </c>
      <c r="K1740" t="inlineStr">
        <is>
          <t>2026-02-10T18:16:33.337</t>
        </is>
      </c>
      <c r="L1740" t="inlineStr">
        <is>
          <t>YES</t>
        </is>
      </c>
      <c r="M1740" t="inlineStr">
        <is>
          <t>Microsoft Windows</t>
        </is>
      </c>
      <c r="N1740" t="inlineStr">
        <is>
          <t>P4</t>
        </is>
      </c>
      <c r="O1740" t="inlineStr">
        <is>
          <t>Microsoft CVE - no IP context</t>
        </is>
      </c>
      <c r="P1740" t="n">
        <v>0</v>
      </c>
      <c r="Q1740" t="n">
        <v>0</v>
      </c>
      <c r="R1740" t="inlineStr">
        <is>
          <t>T1203:Exploitation for Client Execution | T1068:Exploitation for Privilege Escalation</t>
        </is>
      </c>
      <c r="S1740" t="n">
        <v>1</v>
      </c>
      <c r="T1740" t="inlineStr">
        <is>
          <t>LOW (40%)</t>
        </is>
      </c>
      <c r="U1740" t="inlineStr">
        <is>
          <t>CHECK_MSRC</t>
        </is>
      </c>
      <c r="V1740" t="inlineStr">
        <is>
          <t>YES</t>
        </is>
      </c>
      <c r="W1740" t="inlineStr">
        <is>
          <t>https://msrc.microsoft.com/update-guide/vulnerability/CVE-2026-21511</t>
        </is>
      </c>
      <c r="X1740" t="inlineStr">
        <is>
          <t>NONE</t>
        </is>
      </c>
      <c r="Y1740" t="n">
        <v>0</v>
      </c>
      <c r="Z1740" t="inlineStr"/>
      <c r="AA1740" t="inlineStr">
        <is>
          <t>https://msrc.microsoft.com/update-guide/vulnerability/CVE-2026-21511</t>
        </is>
      </c>
    </row>
    <row r="1741">
      <c r="A1741" t="inlineStr">
        <is>
          <t>MSRC_UPDATE</t>
        </is>
      </c>
      <c r="B1741" t="inlineStr">
        <is>
          <t>CVE-2026-21514</t>
        </is>
      </c>
      <c r="C1741" t="inlineStr">
        <is>
          <t>Microsoft Update: Reliance on untrusted inputs in a security decision in Microsoft Office Word allows an unauthorized attacker to bypass a security feature locally.</t>
        </is>
      </c>
      <c r="D1741" t="n">
        <v>7.8</v>
      </c>
      <c r="E1741" t="inlineStr">
        <is>
          <t>HIGH</t>
        </is>
      </c>
      <c r="F1741" t="n">
        <v>2</v>
      </c>
      <c r="G1741" t="n">
        <v>2</v>
      </c>
      <c r="H1741" t="inlineStr">
        <is>
          <t>MEDIUM</t>
        </is>
      </c>
      <c r="I1741" t="n">
        <v>11.8</v>
      </c>
      <c r="J1741" t="inlineStr">
        <is>
          <t>NO</t>
        </is>
      </c>
      <c r="K1741" t="inlineStr">
        <is>
          <t>2026-02-10T18:16:33.803</t>
        </is>
      </c>
      <c r="L1741" t="inlineStr">
        <is>
          <t>YES</t>
        </is>
      </c>
      <c r="M1741" t="inlineStr">
        <is>
          <t>Microsoft Windows</t>
        </is>
      </c>
      <c r="N1741" t="inlineStr">
        <is>
          <t>P4</t>
        </is>
      </c>
      <c r="O1741" t="inlineStr">
        <is>
          <t>Microsoft CVE - no IP context</t>
        </is>
      </c>
      <c r="P1741" t="n">
        <v>0</v>
      </c>
      <c r="Q1741" t="n">
        <v>0</v>
      </c>
      <c r="R1741" t="inlineStr">
        <is>
          <t>T1203:Exploitation for Client Execution | T1068:Exploitation for Privilege Escalation</t>
        </is>
      </c>
      <c r="S1741" t="n">
        <v>1</v>
      </c>
      <c r="T1741" t="inlineStr">
        <is>
          <t>LOW (40%)</t>
        </is>
      </c>
      <c r="U1741" t="inlineStr">
        <is>
          <t>CHECK_MSRC</t>
        </is>
      </c>
      <c r="V1741" t="inlineStr">
        <is>
          <t>YES</t>
        </is>
      </c>
      <c r="W1741" t="inlineStr">
        <is>
          <t>https://msrc.microsoft.com/update-guide/vulnerability/CVE-2026-21514</t>
        </is>
      </c>
      <c r="X1741" t="inlineStr">
        <is>
          <t>NONE</t>
        </is>
      </c>
      <c r="Y1741" t="n">
        <v>0</v>
      </c>
      <c r="Z1741" t="inlineStr"/>
      <c r="AA1741" t="inlineStr">
        <is>
          <t>https://msrc.microsoft.com/update-guide/vulnerability/CVE-2026-21514</t>
        </is>
      </c>
    </row>
    <row r="1742">
      <c r="A1742" t="inlineStr">
        <is>
          <t>MSRC_UPDATE</t>
        </is>
      </c>
      <c r="B1742" t="inlineStr">
        <is>
          <t>CVE-2026-21527</t>
        </is>
      </c>
      <c r="C1742" t="inlineStr">
        <is>
          <t>Microsoft Update: User interface (ui) misrepresentation of critical information in Microsoft Exchange Server allows an unauthorized attacker to perform spoofing over a network.</t>
        </is>
      </c>
      <c r="D1742" t="n">
        <v>6.5</v>
      </c>
      <c r="E1742" t="inlineStr">
        <is>
          <t>MEDIUM</t>
        </is>
      </c>
      <c r="F1742" t="n">
        <v>2</v>
      </c>
      <c r="G1742" t="n">
        <v>2</v>
      </c>
      <c r="H1742" t="inlineStr">
        <is>
          <t>MEDIUM</t>
        </is>
      </c>
      <c r="I1742" t="n">
        <v>10.5</v>
      </c>
      <c r="J1742" t="inlineStr">
        <is>
          <t>NO</t>
        </is>
      </c>
      <c r="K1742" t="inlineStr">
        <is>
          <t>2026-02-10T18:16:35.093</t>
        </is>
      </c>
      <c r="L1742" t="inlineStr">
        <is>
          <t>YES</t>
        </is>
      </c>
      <c r="M1742" t="inlineStr">
        <is>
          <t>Microsoft Windows</t>
        </is>
      </c>
      <c r="N1742" t="inlineStr">
        <is>
          <t>P4</t>
        </is>
      </c>
      <c r="O1742" t="inlineStr">
        <is>
          <t>Microsoft CVE - no IP context</t>
        </is>
      </c>
      <c r="P1742" t="n">
        <v>0</v>
      </c>
      <c r="Q1742" t="n">
        <v>0</v>
      </c>
      <c r="R1742" t="inlineStr">
        <is>
          <t>T1203:Exploitation for Client Execution | T1068:Exploitation for Privilege Escalation</t>
        </is>
      </c>
      <c r="S1742" t="n">
        <v>1</v>
      </c>
      <c r="T1742" t="inlineStr">
        <is>
          <t>LOW (40%)</t>
        </is>
      </c>
      <c r="U1742" t="inlineStr">
        <is>
          <t>CHECK_MSRC</t>
        </is>
      </c>
      <c r="V1742" t="inlineStr">
        <is>
          <t>YES</t>
        </is>
      </c>
      <c r="W1742" t="inlineStr">
        <is>
          <t>https://msrc.microsoft.com/update-guide/vulnerability/CVE-2026-21527</t>
        </is>
      </c>
      <c r="X1742" t="inlineStr">
        <is>
          <t>NONE</t>
        </is>
      </c>
      <c r="Y1742" t="n">
        <v>0</v>
      </c>
      <c r="Z1742" t="inlineStr"/>
      <c r="AA1742" t="inlineStr">
        <is>
          <t>https://msrc.microsoft.com/update-guide/vulnerability/CVE-2026-21527</t>
        </is>
      </c>
    </row>
    <row r="1743">
      <c r="A1743" t="inlineStr">
        <is>
          <t>MSRC_UPDATE</t>
        </is>
      </c>
      <c r="B1743" t="inlineStr">
        <is>
          <t>CVE-2026-21537</t>
        </is>
      </c>
      <c r="C1743" t="inlineStr">
        <is>
          <t>Microsoft Update: Improper control of generation of code ('code injection') in Microsoft Defender for Linux allows an unauthorized attacker to execute code over an adjacent network.</t>
        </is>
      </c>
      <c r="D1743" t="n">
        <v>8.800000000000001</v>
      </c>
      <c r="E1743" t="inlineStr">
        <is>
          <t>HIGH</t>
        </is>
      </c>
      <c r="F1743" t="n">
        <v>2</v>
      </c>
      <c r="G1743" t="n">
        <v>2</v>
      </c>
      <c r="H1743" t="inlineStr">
        <is>
          <t>MEDIUM</t>
        </is>
      </c>
      <c r="I1743" t="n">
        <v>12.8</v>
      </c>
      <c r="J1743" t="inlineStr">
        <is>
          <t>NO</t>
        </is>
      </c>
      <c r="K1743" t="inlineStr">
        <is>
          <t>2026-02-10T18:16:35.970</t>
        </is>
      </c>
      <c r="L1743" t="inlineStr">
        <is>
          <t>YES</t>
        </is>
      </c>
      <c r="M1743" t="inlineStr">
        <is>
          <t>Microsoft Windows</t>
        </is>
      </c>
      <c r="N1743" t="inlineStr">
        <is>
          <t>P4</t>
        </is>
      </c>
      <c r="O1743" t="inlineStr">
        <is>
          <t>Microsoft CVE - no IP context</t>
        </is>
      </c>
      <c r="P1743" t="n">
        <v>0</v>
      </c>
      <c r="Q1743" t="n">
        <v>0</v>
      </c>
      <c r="R1743" t="inlineStr">
        <is>
          <t>T1203:Exploitation for Client Execution | T1068:Exploitation for Privilege Escalation</t>
        </is>
      </c>
      <c r="S1743" t="n">
        <v>1</v>
      </c>
      <c r="T1743" t="inlineStr">
        <is>
          <t>LOW (40%)</t>
        </is>
      </c>
      <c r="U1743" t="inlineStr">
        <is>
          <t>CHECK_MSRC</t>
        </is>
      </c>
      <c r="V1743" t="inlineStr">
        <is>
          <t>YES</t>
        </is>
      </c>
      <c r="W1743" t="inlineStr">
        <is>
          <t>https://msrc.microsoft.com/update-guide/vulnerability/CVE-2026-21537</t>
        </is>
      </c>
      <c r="X1743" t="inlineStr">
        <is>
          <t>NONE</t>
        </is>
      </c>
      <c r="Y1743" t="n">
        <v>0</v>
      </c>
      <c r="Z1743" t="inlineStr"/>
      <c r="AA1743" t="inlineStr">
        <is>
          <t>https://msrc.microsoft.com/update-guide/vulnerability/CVE-2026-21537</t>
        </is>
      </c>
    </row>
    <row r="1744">
      <c r="A1744" t="inlineStr">
        <is>
          <t>PATCH_TUESDAY</t>
        </is>
      </c>
      <c r="B1744" t="inlineStr">
        <is>
          <t>PT-February-2026</t>
        </is>
      </c>
      <c r="C1744" t="inlineStr">
        <is>
          <t>Patch Tuesday February 2026: Patch Tuesday: February 10, 2026 - Status: Released</t>
        </is>
      </c>
      <c r="D1744" t="n">
        <v>0</v>
      </c>
      <c r="E1744" t="inlineStr">
        <is>
          <t>LOW</t>
        </is>
      </c>
      <c r="F1744" t="n">
        <v>1</v>
      </c>
      <c r="G1744" t="n">
        <v>1</v>
      </c>
      <c r="H1744" t="inlineStr">
        <is>
          <t>LOW</t>
        </is>
      </c>
      <c r="I1744" t="n">
        <v>1</v>
      </c>
      <c r="J1744" t="inlineStr">
        <is>
          <t>NO</t>
        </is>
      </c>
      <c r="K1744" t="inlineStr">
        <is>
          <t>2026-02-10</t>
        </is>
      </c>
      <c r="L1744" t="inlineStr">
        <is>
          <t>Released</t>
        </is>
      </c>
      <c r="M1744" t="inlineStr">
        <is>
          <t>Microsoft Windows / Microsoft 365</t>
        </is>
      </c>
      <c r="N1744" t="inlineStr">
        <is>
          <t>P4</t>
        </is>
      </c>
      <c r="O1744" t="inlineStr">
        <is>
          <t>Informational - no IP context</t>
        </is>
      </c>
      <c r="P1744" t="n">
        <v>0</v>
      </c>
      <c r="Q1744" t="n">
        <v>0</v>
      </c>
      <c r="R1744" t="inlineStr">
        <is>
          <t>Informational</t>
        </is>
      </c>
      <c r="S1744" t="n">
        <v>1</v>
      </c>
      <c r="T1744" t="inlineStr">
        <is>
          <t>LOW (40%)</t>
        </is>
      </c>
      <c r="U1744" t="inlineStr">
        <is>
          <t>NONE</t>
        </is>
      </c>
      <c r="V1744" t="inlineStr">
        <is>
          <t>NONE</t>
        </is>
      </c>
      <c r="W1744" t="inlineStr">
        <is>
          <t>NONE</t>
        </is>
      </c>
      <c r="X1744" t="inlineStr">
        <is>
          <t>NONE</t>
        </is>
      </c>
      <c r="Y1744" t="n">
        <v>0</v>
      </c>
      <c r="Z1744" t="inlineStr"/>
      <c r="AA1744" t="inlineStr">
        <is>
          <t>https://msrc.microsoft.com/update-guide/</t>
        </is>
      </c>
    </row>
    <row r="1745">
      <c r="A1745" t="inlineStr">
        <is>
          <t>TALOS_IP</t>
        </is>
      </c>
      <c r="B1745" t="inlineStr">
        <is>
          <t>764f437419b1</t>
        </is>
      </c>
      <c r="C1745" t="inlineStr">
        <is>
          <t>Cisco Talos Blacklisted IP: 1.0.164.165 | Verified malicious | Sources: TALOS</t>
        </is>
      </c>
      <c r="D1745" t="n">
        <v>7</v>
      </c>
      <c r="E1745" t="inlineStr">
        <is>
          <t>HIGH</t>
        </is>
      </c>
      <c r="F1745" t="n">
        <v>3</v>
      </c>
      <c r="G1745" t="n">
        <v>2</v>
      </c>
      <c r="H1745" t="inlineStr">
        <is>
          <t>HIGH</t>
        </is>
      </c>
      <c r="I1745" t="n">
        <v>13</v>
      </c>
      <c r="J1745" t="inlineStr">
        <is>
          <t>NO</t>
        </is>
      </c>
      <c r="K1745" t="inlineStr">
        <is>
          <t>2026-02-23 23:48</t>
        </is>
      </c>
      <c r="L1745" t="inlineStr">
        <is>
          <t>Block IP</t>
        </is>
      </c>
      <c r="M1745" t="inlineStr">
        <is>
          <t>Network perimeter / Email / Web</t>
        </is>
      </c>
      <c r="N1745" t="inlineStr">
        <is>
          <t>P3</t>
        </is>
      </c>
      <c r="O1745" t="inlineStr">
        <is>
          <t>Check ip-api.com + AbuseIPDB for context</t>
        </is>
      </c>
      <c r="P1745" t="n">
        <v>0</v>
      </c>
      <c r="Q1745" t="n">
        <v>0</v>
      </c>
      <c r="R1745" t="inlineStr">
        <is>
          <t>T1110:Brute Force | T1190:Exploit Public-Facing Application | T1566:Phishing</t>
        </is>
      </c>
      <c r="S1745" t="n">
        <v>1</v>
      </c>
      <c r="T1745" t="inlineStr">
        <is>
          <t>MEDIUM (60%)</t>
        </is>
      </c>
      <c r="U1745" t="inlineStr">
        <is>
          <t>NONE</t>
        </is>
      </c>
      <c r="V1745" t="inlineStr">
        <is>
          <t>NONE</t>
        </is>
      </c>
      <c r="W1745" t="inlineStr">
        <is>
          <t>NONE</t>
        </is>
      </c>
      <c r="X1745" t="inlineStr">
        <is>
          <t>NONE</t>
        </is>
      </c>
      <c r="Y1745" t="n">
        <v>0</v>
      </c>
      <c r="Z1745" t="inlineStr"/>
      <c r="AA1745" t="inlineStr">
        <is>
          <t>https://talosintelligence.com/reputation_center/lookup?search=1.0.164.165</t>
        </is>
      </c>
    </row>
    <row r="1746">
      <c r="A1746" t="inlineStr">
        <is>
          <t>TALOS_IP</t>
        </is>
      </c>
      <c r="B1746" t="inlineStr">
        <is>
          <t>377c09518232</t>
        </is>
      </c>
      <c r="C1746" t="inlineStr">
        <is>
          <t>Cisco Talos Blacklisted IP: 1.1.176.58 | Verified malicious | Sources: TALOS</t>
        </is>
      </c>
      <c r="D1746" t="n">
        <v>7</v>
      </c>
      <c r="E1746" t="inlineStr">
        <is>
          <t>HIGH</t>
        </is>
      </c>
      <c r="F1746" t="n">
        <v>3</v>
      </c>
      <c r="G1746" t="n">
        <v>2</v>
      </c>
      <c r="H1746" t="inlineStr">
        <is>
          <t>HIGH</t>
        </is>
      </c>
      <c r="I1746" t="n">
        <v>13</v>
      </c>
      <c r="J1746" t="inlineStr">
        <is>
          <t>NO</t>
        </is>
      </c>
      <c r="K1746" t="inlineStr">
        <is>
          <t>2026-02-23 23:48</t>
        </is>
      </c>
      <c r="L1746" t="inlineStr">
        <is>
          <t>Block IP</t>
        </is>
      </c>
      <c r="M1746" t="inlineStr">
        <is>
          <t>Network perimeter / Email / Web</t>
        </is>
      </c>
      <c r="N1746" t="inlineStr">
        <is>
          <t>P3</t>
        </is>
      </c>
      <c r="O1746" t="inlineStr">
        <is>
          <t>Check ip-api.com + AbuseIPDB for context</t>
        </is>
      </c>
      <c r="P1746" t="n">
        <v>0</v>
      </c>
      <c r="Q1746" t="n">
        <v>0</v>
      </c>
      <c r="R1746" t="inlineStr">
        <is>
          <t>T1110:Brute Force | T1190:Exploit Public-Facing Application | T1566:Phishing</t>
        </is>
      </c>
      <c r="S1746" t="n">
        <v>1</v>
      </c>
      <c r="T1746" t="inlineStr">
        <is>
          <t>MEDIUM (60%)</t>
        </is>
      </c>
      <c r="U1746" t="inlineStr">
        <is>
          <t>NONE</t>
        </is>
      </c>
      <c r="V1746" t="inlineStr">
        <is>
          <t>NONE</t>
        </is>
      </c>
      <c r="W1746" t="inlineStr">
        <is>
          <t>NONE</t>
        </is>
      </c>
      <c r="X1746" t="inlineStr">
        <is>
          <t>NONE</t>
        </is>
      </c>
      <c r="Y1746" t="n">
        <v>0</v>
      </c>
      <c r="Z1746" t="inlineStr"/>
      <c r="AA1746" t="inlineStr">
        <is>
          <t>https://talosintelligence.com/reputation_center/lookup?search=1.1.176.58</t>
        </is>
      </c>
    </row>
    <row r="1747">
      <c r="A1747" t="inlineStr">
        <is>
          <t>TALOS_IP</t>
        </is>
      </c>
      <c r="B1747" t="inlineStr">
        <is>
          <t>2458a0aeb01c</t>
        </is>
      </c>
      <c r="C1747" t="inlineStr">
        <is>
          <t>Cisco Talos Blacklisted IP: 1.11.132.194 | Verified malicious | Sources: TALOS</t>
        </is>
      </c>
      <c r="D1747" t="n">
        <v>7</v>
      </c>
      <c r="E1747" t="inlineStr">
        <is>
          <t>HIGH</t>
        </is>
      </c>
      <c r="F1747" t="n">
        <v>3</v>
      </c>
      <c r="G1747" t="n">
        <v>2</v>
      </c>
      <c r="H1747" t="inlineStr">
        <is>
          <t>HIGH</t>
        </is>
      </c>
      <c r="I1747" t="n">
        <v>13</v>
      </c>
      <c r="J1747" t="inlineStr">
        <is>
          <t>NO</t>
        </is>
      </c>
      <c r="K1747" t="inlineStr">
        <is>
          <t>2026-02-23 23:48</t>
        </is>
      </c>
      <c r="L1747" t="inlineStr">
        <is>
          <t>Block IP</t>
        </is>
      </c>
      <c r="M1747" t="inlineStr">
        <is>
          <t>Network perimeter / Email / Web</t>
        </is>
      </c>
      <c r="N1747" t="inlineStr">
        <is>
          <t>P3</t>
        </is>
      </c>
      <c r="O1747" t="inlineStr">
        <is>
          <t>Check ip-api.com + AbuseIPDB for context</t>
        </is>
      </c>
      <c r="P1747" t="n">
        <v>0</v>
      </c>
      <c r="Q1747" t="n">
        <v>0</v>
      </c>
      <c r="R1747" t="inlineStr">
        <is>
          <t>T1110:Brute Force | T1190:Exploit Public-Facing Application | T1566:Phishing</t>
        </is>
      </c>
      <c r="S1747" t="n">
        <v>1</v>
      </c>
      <c r="T1747" t="inlineStr">
        <is>
          <t>MEDIUM (60%)</t>
        </is>
      </c>
      <c r="U1747" t="inlineStr">
        <is>
          <t>NONE</t>
        </is>
      </c>
      <c r="V1747" t="inlineStr">
        <is>
          <t>NONE</t>
        </is>
      </c>
      <c r="W1747" t="inlineStr">
        <is>
          <t>NONE</t>
        </is>
      </c>
      <c r="X1747" t="inlineStr">
        <is>
          <t>NONE</t>
        </is>
      </c>
      <c r="Y1747" t="n">
        <v>0</v>
      </c>
      <c r="Z1747" t="inlineStr"/>
      <c r="AA1747" t="inlineStr">
        <is>
          <t>https://talosintelligence.com/reputation_center/lookup?search=1.11.132.194</t>
        </is>
      </c>
    </row>
    <row r="1748">
      <c r="A1748" t="inlineStr">
        <is>
          <t>TALOS_IP</t>
        </is>
      </c>
      <c r="B1748" t="inlineStr">
        <is>
          <t>017abc159f47</t>
        </is>
      </c>
      <c r="C1748" t="inlineStr">
        <is>
          <t>Cisco Talos Blacklisted IP: 1.15.116.189 | Verified malicious | Sources: TALOS</t>
        </is>
      </c>
      <c r="D1748" t="n">
        <v>7</v>
      </c>
      <c r="E1748" t="inlineStr">
        <is>
          <t>HIGH</t>
        </is>
      </c>
      <c r="F1748" t="n">
        <v>3</v>
      </c>
      <c r="G1748" t="n">
        <v>2</v>
      </c>
      <c r="H1748" t="inlineStr">
        <is>
          <t>HIGH</t>
        </is>
      </c>
      <c r="I1748" t="n">
        <v>13</v>
      </c>
      <c r="J1748" t="inlineStr">
        <is>
          <t>NO</t>
        </is>
      </c>
      <c r="K1748" t="inlineStr">
        <is>
          <t>2026-02-23 23:48</t>
        </is>
      </c>
      <c r="L1748" t="inlineStr">
        <is>
          <t>Block IP</t>
        </is>
      </c>
      <c r="M1748" t="inlineStr">
        <is>
          <t>Network perimeter / Email / Web</t>
        </is>
      </c>
      <c r="N1748" t="inlineStr">
        <is>
          <t>P3</t>
        </is>
      </c>
      <c r="O1748" t="inlineStr">
        <is>
          <t>Check ip-api.com + AbuseIPDB for context</t>
        </is>
      </c>
      <c r="P1748" t="n">
        <v>0</v>
      </c>
      <c r="Q1748" t="n">
        <v>0</v>
      </c>
      <c r="R1748" t="inlineStr">
        <is>
          <t>T1110:Brute Force | T1190:Exploit Public-Facing Application | T1566:Phishing</t>
        </is>
      </c>
      <c r="S1748" t="n">
        <v>1</v>
      </c>
      <c r="T1748" t="inlineStr">
        <is>
          <t>MEDIUM (60%)</t>
        </is>
      </c>
      <c r="U1748" t="inlineStr">
        <is>
          <t>NONE</t>
        </is>
      </c>
      <c r="V1748" t="inlineStr">
        <is>
          <t>NONE</t>
        </is>
      </c>
      <c r="W1748" t="inlineStr">
        <is>
          <t>NONE</t>
        </is>
      </c>
      <c r="X1748" t="inlineStr">
        <is>
          <t>NONE</t>
        </is>
      </c>
      <c r="Y1748" t="n">
        <v>0</v>
      </c>
      <c r="Z1748" t="inlineStr"/>
      <c r="AA1748" t="inlineStr">
        <is>
          <t>https://talosintelligence.com/reputation_center/lookup?search=1.15.116.189</t>
        </is>
      </c>
    </row>
    <row r="1749">
      <c r="A1749" t="inlineStr">
        <is>
          <t>TALOS_IP</t>
        </is>
      </c>
      <c r="B1749" t="inlineStr">
        <is>
          <t>52f5c2f32e8d</t>
        </is>
      </c>
      <c r="C1749" t="inlineStr">
        <is>
          <t>Cisco Talos Blacklisted IP: 1.15.22.112 | Verified malicious | Sources: TALOS</t>
        </is>
      </c>
      <c r="D1749" t="n">
        <v>7</v>
      </c>
      <c r="E1749" t="inlineStr">
        <is>
          <t>HIGH</t>
        </is>
      </c>
      <c r="F1749" t="n">
        <v>3</v>
      </c>
      <c r="G1749" t="n">
        <v>2</v>
      </c>
      <c r="H1749" t="inlineStr">
        <is>
          <t>HIGH</t>
        </is>
      </c>
      <c r="I1749" t="n">
        <v>13</v>
      </c>
      <c r="J1749" t="inlineStr">
        <is>
          <t>NO</t>
        </is>
      </c>
      <c r="K1749" t="inlineStr">
        <is>
          <t>2026-02-23 23:48</t>
        </is>
      </c>
      <c r="L1749" t="inlineStr">
        <is>
          <t>Block IP</t>
        </is>
      </c>
      <c r="M1749" t="inlineStr">
        <is>
          <t>Network perimeter / Email / Web</t>
        </is>
      </c>
      <c r="N1749" t="inlineStr">
        <is>
          <t>P3</t>
        </is>
      </c>
      <c r="O1749" t="inlineStr">
        <is>
          <t>Check ip-api.com + AbuseIPDB for context</t>
        </is>
      </c>
      <c r="P1749" t="n">
        <v>0</v>
      </c>
      <c r="Q1749" t="n">
        <v>0</v>
      </c>
      <c r="R1749" t="inlineStr">
        <is>
          <t>T1110:Brute Force | T1190:Exploit Public-Facing Application | T1566:Phishing</t>
        </is>
      </c>
      <c r="S1749" t="n">
        <v>1</v>
      </c>
      <c r="T1749" t="inlineStr">
        <is>
          <t>MEDIUM (60%)</t>
        </is>
      </c>
      <c r="U1749" t="inlineStr">
        <is>
          <t>NONE</t>
        </is>
      </c>
      <c r="V1749" t="inlineStr">
        <is>
          <t>NONE</t>
        </is>
      </c>
      <c r="W1749" t="inlineStr">
        <is>
          <t>NONE</t>
        </is>
      </c>
      <c r="X1749" t="inlineStr">
        <is>
          <t>NONE</t>
        </is>
      </c>
      <c r="Y1749" t="n">
        <v>0</v>
      </c>
      <c r="Z1749" t="inlineStr"/>
      <c r="AA1749" t="inlineStr">
        <is>
          <t>https://talosintelligence.com/reputation_center/lookup?search=1.15.22.112</t>
        </is>
      </c>
    </row>
    <row r="1750">
      <c r="A1750" t="inlineStr">
        <is>
          <t>TALOS_IP</t>
        </is>
      </c>
      <c r="B1750" t="inlineStr">
        <is>
          <t>310a1440e95a</t>
        </is>
      </c>
      <c r="C1750" t="inlineStr">
        <is>
          <t>Cisco Talos Blacklisted IP: 1.15.77.170 | Verified malicious | Sources: TALOS</t>
        </is>
      </c>
      <c r="D1750" t="n">
        <v>7</v>
      </c>
      <c r="E1750" t="inlineStr">
        <is>
          <t>HIGH</t>
        </is>
      </c>
      <c r="F1750" t="n">
        <v>3</v>
      </c>
      <c r="G1750" t="n">
        <v>2</v>
      </c>
      <c r="H1750" t="inlineStr">
        <is>
          <t>HIGH</t>
        </is>
      </c>
      <c r="I1750" t="n">
        <v>13</v>
      </c>
      <c r="J1750" t="inlineStr">
        <is>
          <t>NO</t>
        </is>
      </c>
      <c r="K1750" t="inlineStr">
        <is>
          <t>2026-02-23 23:48</t>
        </is>
      </c>
      <c r="L1750" t="inlineStr">
        <is>
          <t>Block IP</t>
        </is>
      </c>
      <c r="M1750" t="inlineStr">
        <is>
          <t>Network perimeter / Email / Web</t>
        </is>
      </c>
      <c r="N1750" t="inlineStr">
        <is>
          <t>P3</t>
        </is>
      </c>
      <c r="O1750" t="inlineStr">
        <is>
          <t>Check ip-api.com + AbuseIPDB for context</t>
        </is>
      </c>
      <c r="P1750" t="n">
        <v>0</v>
      </c>
      <c r="Q1750" t="n">
        <v>0</v>
      </c>
      <c r="R1750" t="inlineStr">
        <is>
          <t>T1110:Brute Force | T1190:Exploit Public-Facing Application | T1566:Phishing</t>
        </is>
      </c>
      <c r="S1750" t="n">
        <v>1</v>
      </c>
      <c r="T1750" t="inlineStr">
        <is>
          <t>MEDIUM (60%)</t>
        </is>
      </c>
      <c r="U1750" t="inlineStr">
        <is>
          <t>NONE</t>
        </is>
      </c>
      <c r="V1750" t="inlineStr">
        <is>
          <t>NONE</t>
        </is>
      </c>
      <c r="W1750" t="inlineStr">
        <is>
          <t>NONE</t>
        </is>
      </c>
      <c r="X1750" t="inlineStr">
        <is>
          <t>NONE</t>
        </is>
      </c>
      <c r="Y1750" t="n">
        <v>0</v>
      </c>
      <c r="Z1750" t="inlineStr"/>
      <c r="AA1750" t="inlineStr">
        <is>
          <t>https://talosintelligence.com/reputation_center/lookup?search=1.15.77.170</t>
        </is>
      </c>
    </row>
    <row r="1751">
      <c r="A1751" t="inlineStr">
        <is>
          <t>TALOS_IP</t>
        </is>
      </c>
      <c r="B1751" t="inlineStr">
        <is>
          <t>77e9c106704e</t>
        </is>
      </c>
      <c r="C1751" t="inlineStr">
        <is>
          <t>Cisco Talos Blacklisted IP: 1.157.81.197 | Verified malicious | Sources: TALOS</t>
        </is>
      </c>
      <c r="D1751" t="n">
        <v>7</v>
      </c>
      <c r="E1751" t="inlineStr">
        <is>
          <t>HIGH</t>
        </is>
      </c>
      <c r="F1751" t="n">
        <v>3</v>
      </c>
      <c r="G1751" t="n">
        <v>2</v>
      </c>
      <c r="H1751" t="inlineStr">
        <is>
          <t>HIGH</t>
        </is>
      </c>
      <c r="I1751" t="n">
        <v>13</v>
      </c>
      <c r="J1751" t="inlineStr">
        <is>
          <t>NO</t>
        </is>
      </c>
      <c r="K1751" t="inlineStr">
        <is>
          <t>2026-02-23 23:48</t>
        </is>
      </c>
      <c r="L1751" t="inlineStr">
        <is>
          <t>Block IP</t>
        </is>
      </c>
      <c r="M1751" t="inlineStr">
        <is>
          <t>Network perimeter / Email / Web</t>
        </is>
      </c>
      <c r="N1751" t="inlineStr">
        <is>
          <t>P3</t>
        </is>
      </c>
      <c r="O1751" t="inlineStr">
        <is>
          <t>Check ip-api.com + AbuseIPDB for context</t>
        </is>
      </c>
      <c r="P1751" t="n">
        <v>0</v>
      </c>
      <c r="Q1751" t="n">
        <v>0</v>
      </c>
      <c r="R1751" t="inlineStr">
        <is>
          <t>T1110:Brute Force | T1190:Exploit Public-Facing Application | T1566:Phishing</t>
        </is>
      </c>
      <c r="S1751" t="n">
        <v>1</v>
      </c>
      <c r="T1751" t="inlineStr">
        <is>
          <t>MEDIUM (60%)</t>
        </is>
      </c>
      <c r="U1751" t="inlineStr">
        <is>
          <t>NONE</t>
        </is>
      </c>
      <c r="V1751" t="inlineStr">
        <is>
          <t>NONE</t>
        </is>
      </c>
      <c r="W1751" t="inlineStr">
        <is>
          <t>NONE</t>
        </is>
      </c>
      <c r="X1751" t="inlineStr">
        <is>
          <t>NONE</t>
        </is>
      </c>
      <c r="Y1751" t="n">
        <v>0</v>
      </c>
      <c r="Z1751" t="inlineStr"/>
      <c r="AA1751" t="inlineStr">
        <is>
          <t>https://talosintelligence.com/reputation_center/lookup?search=1.157.81.197</t>
        </is>
      </c>
    </row>
    <row r="1752">
      <c r="A1752" t="inlineStr">
        <is>
          <t>TALOS_IP</t>
        </is>
      </c>
      <c r="B1752" t="inlineStr">
        <is>
          <t>67b10f374a58</t>
        </is>
      </c>
      <c r="C1752" t="inlineStr">
        <is>
          <t>Cisco Talos Blacklisted IP: 1.176.134.241 | Verified malicious | Sources: TALOS</t>
        </is>
      </c>
      <c r="D1752" t="n">
        <v>7</v>
      </c>
      <c r="E1752" t="inlineStr">
        <is>
          <t>HIGH</t>
        </is>
      </c>
      <c r="F1752" t="n">
        <v>3</v>
      </c>
      <c r="G1752" t="n">
        <v>2</v>
      </c>
      <c r="H1752" t="inlineStr">
        <is>
          <t>HIGH</t>
        </is>
      </c>
      <c r="I1752" t="n">
        <v>13</v>
      </c>
      <c r="J1752" t="inlineStr">
        <is>
          <t>NO</t>
        </is>
      </c>
      <c r="K1752" t="inlineStr">
        <is>
          <t>2026-02-23 23:48</t>
        </is>
      </c>
      <c r="L1752" t="inlineStr">
        <is>
          <t>Block IP</t>
        </is>
      </c>
      <c r="M1752" t="inlineStr">
        <is>
          <t>Network perimeter / Email / Web</t>
        </is>
      </c>
      <c r="N1752" t="inlineStr">
        <is>
          <t>P3</t>
        </is>
      </c>
      <c r="O1752" t="inlineStr">
        <is>
          <t>Check ip-api.com + AbuseIPDB for context</t>
        </is>
      </c>
      <c r="P1752" t="n">
        <v>0</v>
      </c>
      <c r="Q1752" t="n">
        <v>0</v>
      </c>
      <c r="R1752" t="inlineStr">
        <is>
          <t>T1110:Brute Force | T1190:Exploit Public-Facing Application | T1566:Phishing</t>
        </is>
      </c>
      <c r="S1752" t="n">
        <v>1</v>
      </c>
      <c r="T1752" t="inlineStr">
        <is>
          <t>MEDIUM (60%)</t>
        </is>
      </c>
      <c r="U1752" t="inlineStr">
        <is>
          <t>NONE</t>
        </is>
      </c>
      <c r="V1752" t="inlineStr">
        <is>
          <t>NONE</t>
        </is>
      </c>
      <c r="W1752" t="inlineStr">
        <is>
          <t>NONE</t>
        </is>
      </c>
      <c r="X1752" t="inlineStr">
        <is>
          <t>NONE</t>
        </is>
      </c>
      <c r="Y1752" t="n">
        <v>0</v>
      </c>
      <c r="Z1752" t="inlineStr"/>
      <c r="AA1752" t="inlineStr">
        <is>
          <t>https://talosintelligence.com/reputation_center/lookup?search=1.176.134.241</t>
        </is>
      </c>
    </row>
    <row r="1753">
      <c r="A1753" t="inlineStr">
        <is>
          <t>TALOS_IP</t>
        </is>
      </c>
      <c r="B1753" t="inlineStr">
        <is>
          <t>7371034b8691</t>
        </is>
      </c>
      <c r="C1753" t="inlineStr">
        <is>
          <t>Cisco Talos Blacklisted IP: 1.177.162.4 | Verified malicious | Sources: TALOS</t>
        </is>
      </c>
      <c r="D1753" t="n">
        <v>7</v>
      </c>
      <c r="E1753" t="inlineStr">
        <is>
          <t>HIGH</t>
        </is>
      </c>
      <c r="F1753" t="n">
        <v>3</v>
      </c>
      <c r="G1753" t="n">
        <v>2</v>
      </c>
      <c r="H1753" t="inlineStr">
        <is>
          <t>HIGH</t>
        </is>
      </c>
      <c r="I1753" t="n">
        <v>13</v>
      </c>
      <c r="J1753" t="inlineStr">
        <is>
          <t>NO</t>
        </is>
      </c>
      <c r="K1753" t="inlineStr">
        <is>
          <t>2026-02-23 23:48</t>
        </is>
      </c>
      <c r="L1753" t="inlineStr">
        <is>
          <t>Block IP</t>
        </is>
      </c>
      <c r="M1753" t="inlineStr">
        <is>
          <t>Network perimeter / Email / Web</t>
        </is>
      </c>
      <c r="N1753" t="inlineStr">
        <is>
          <t>P3</t>
        </is>
      </c>
      <c r="O1753" t="inlineStr">
        <is>
          <t>Check ip-api.com + AbuseIPDB for context</t>
        </is>
      </c>
      <c r="P1753" t="n">
        <v>0</v>
      </c>
      <c r="Q1753" t="n">
        <v>0</v>
      </c>
      <c r="R1753" t="inlineStr">
        <is>
          <t>T1110:Brute Force | T1190:Exploit Public-Facing Application | T1566:Phishing</t>
        </is>
      </c>
      <c r="S1753" t="n">
        <v>1</v>
      </c>
      <c r="T1753" t="inlineStr">
        <is>
          <t>MEDIUM (60%)</t>
        </is>
      </c>
      <c r="U1753" t="inlineStr">
        <is>
          <t>NONE</t>
        </is>
      </c>
      <c r="V1753" t="inlineStr">
        <is>
          <t>NONE</t>
        </is>
      </c>
      <c r="W1753" t="inlineStr">
        <is>
          <t>NONE</t>
        </is>
      </c>
      <c r="X1753" t="inlineStr">
        <is>
          <t>NONE</t>
        </is>
      </c>
      <c r="Y1753" t="n">
        <v>0</v>
      </c>
      <c r="Z1753" t="inlineStr"/>
      <c r="AA1753" t="inlineStr">
        <is>
          <t>https://talosintelligence.com/reputation_center/lookup?search=1.177.162.4</t>
        </is>
      </c>
    </row>
    <row r="1754">
      <c r="A1754" t="inlineStr">
        <is>
          <t>TALOS_IP</t>
        </is>
      </c>
      <c r="B1754" t="inlineStr">
        <is>
          <t>069bfb443367</t>
        </is>
      </c>
      <c r="C1754" t="inlineStr">
        <is>
          <t>Cisco Talos Blacklisted IP: 1.180.252.30 | Verified malicious | Sources: TALOS</t>
        </is>
      </c>
      <c r="D1754" t="n">
        <v>7</v>
      </c>
      <c r="E1754" t="inlineStr">
        <is>
          <t>HIGH</t>
        </is>
      </c>
      <c r="F1754" t="n">
        <v>3</v>
      </c>
      <c r="G1754" t="n">
        <v>2</v>
      </c>
      <c r="H1754" t="inlineStr">
        <is>
          <t>HIGH</t>
        </is>
      </c>
      <c r="I1754" t="n">
        <v>13</v>
      </c>
      <c r="J1754" t="inlineStr">
        <is>
          <t>NO</t>
        </is>
      </c>
      <c r="K1754" t="inlineStr">
        <is>
          <t>2026-02-23 23:48</t>
        </is>
      </c>
      <c r="L1754" t="inlineStr">
        <is>
          <t>Block IP</t>
        </is>
      </c>
      <c r="M1754" t="inlineStr">
        <is>
          <t>Network perimeter / Email / Web</t>
        </is>
      </c>
      <c r="N1754" t="inlineStr">
        <is>
          <t>P3</t>
        </is>
      </c>
      <c r="O1754" t="inlineStr">
        <is>
          <t>Check ip-api.com + AbuseIPDB for context</t>
        </is>
      </c>
      <c r="P1754" t="n">
        <v>0</v>
      </c>
      <c r="Q1754" t="n">
        <v>0</v>
      </c>
      <c r="R1754" t="inlineStr">
        <is>
          <t>T1110:Brute Force | T1190:Exploit Public-Facing Application | T1566:Phishing</t>
        </is>
      </c>
      <c r="S1754" t="n">
        <v>1</v>
      </c>
      <c r="T1754" t="inlineStr">
        <is>
          <t>MEDIUM (60%)</t>
        </is>
      </c>
      <c r="U1754" t="inlineStr">
        <is>
          <t>NONE</t>
        </is>
      </c>
      <c r="V1754" t="inlineStr">
        <is>
          <t>NONE</t>
        </is>
      </c>
      <c r="W1754" t="inlineStr">
        <is>
          <t>NONE</t>
        </is>
      </c>
      <c r="X1754" t="inlineStr">
        <is>
          <t>NONE</t>
        </is>
      </c>
      <c r="Y1754" t="n">
        <v>0</v>
      </c>
      <c r="Z1754" t="inlineStr"/>
      <c r="AA1754" t="inlineStr">
        <is>
          <t>https://talosintelligence.com/reputation_center/lookup?search=1.180.252.30</t>
        </is>
      </c>
    </row>
    <row r="1755">
      <c r="A1755" t="inlineStr">
        <is>
          <t>TALOS_IP</t>
        </is>
      </c>
      <c r="B1755" t="inlineStr">
        <is>
          <t>5c65ed6c2469</t>
        </is>
      </c>
      <c r="C1755" t="inlineStr">
        <is>
          <t>Cisco Talos Blacklisted IP: 1.183.41.171 | Verified malicious | Sources: TALOS</t>
        </is>
      </c>
      <c r="D1755" t="n">
        <v>7</v>
      </c>
      <c r="E1755" t="inlineStr">
        <is>
          <t>HIGH</t>
        </is>
      </c>
      <c r="F1755" t="n">
        <v>3</v>
      </c>
      <c r="G1755" t="n">
        <v>2</v>
      </c>
      <c r="H1755" t="inlineStr">
        <is>
          <t>HIGH</t>
        </is>
      </c>
      <c r="I1755" t="n">
        <v>13</v>
      </c>
      <c r="J1755" t="inlineStr">
        <is>
          <t>NO</t>
        </is>
      </c>
      <c r="K1755" t="inlineStr">
        <is>
          <t>2026-02-23 23:48</t>
        </is>
      </c>
      <c r="L1755" t="inlineStr">
        <is>
          <t>Block IP</t>
        </is>
      </c>
      <c r="M1755" t="inlineStr">
        <is>
          <t>Network perimeter / Email / Web</t>
        </is>
      </c>
      <c r="N1755" t="inlineStr">
        <is>
          <t>P3</t>
        </is>
      </c>
      <c r="O1755" t="inlineStr">
        <is>
          <t>Check ip-api.com + AbuseIPDB for context</t>
        </is>
      </c>
      <c r="P1755" t="n">
        <v>0</v>
      </c>
      <c r="Q1755" t="n">
        <v>0</v>
      </c>
      <c r="R1755" t="inlineStr">
        <is>
          <t>T1110:Brute Force | T1190:Exploit Public-Facing Application | T1566:Phishing</t>
        </is>
      </c>
      <c r="S1755" t="n">
        <v>1</v>
      </c>
      <c r="T1755" t="inlineStr">
        <is>
          <t>MEDIUM (60%)</t>
        </is>
      </c>
      <c r="U1755" t="inlineStr">
        <is>
          <t>NONE</t>
        </is>
      </c>
      <c r="V1755" t="inlineStr">
        <is>
          <t>NONE</t>
        </is>
      </c>
      <c r="W1755" t="inlineStr">
        <is>
          <t>NONE</t>
        </is>
      </c>
      <c r="X1755" t="inlineStr">
        <is>
          <t>NONE</t>
        </is>
      </c>
      <c r="Y1755" t="n">
        <v>0</v>
      </c>
      <c r="Z1755" t="inlineStr"/>
      <c r="AA1755" t="inlineStr">
        <is>
          <t>https://talosintelligence.com/reputation_center/lookup?search=1.183.41.171</t>
        </is>
      </c>
    </row>
    <row r="1756">
      <c r="A1756" t="inlineStr">
        <is>
          <t>TALOS_IP</t>
        </is>
      </c>
      <c r="B1756" t="inlineStr">
        <is>
          <t>f8a3d4a117d1</t>
        </is>
      </c>
      <c r="C1756" t="inlineStr">
        <is>
          <t>Cisco Talos Blacklisted IP: 1.188.102.135 | Verified malicious | Sources: TALOS</t>
        </is>
      </c>
      <c r="D1756" t="n">
        <v>7</v>
      </c>
      <c r="E1756" t="inlineStr">
        <is>
          <t>HIGH</t>
        </is>
      </c>
      <c r="F1756" t="n">
        <v>3</v>
      </c>
      <c r="G1756" t="n">
        <v>2</v>
      </c>
      <c r="H1756" t="inlineStr">
        <is>
          <t>HIGH</t>
        </is>
      </c>
      <c r="I1756" t="n">
        <v>13</v>
      </c>
      <c r="J1756" t="inlineStr">
        <is>
          <t>NO</t>
        </is>
      </c>
      <c r="K1756" t="inlineStr">
        <is>
          <t>2026-02-23 23:48</t>
        </is>
      </c>
      <c r="L1756" t="inlineStr">
        <is>
          <t>Block IP</t>
        </is>
      </c>
      <c r="M1756" t="inlineStr">
        <is>
          <t>Network perimeter / Email / Web</t>
        </is>
      </c>
      <c r="N1756" t="inlineStr">
        <is>
          <t>P3</t>
        </is>
      </c>
      <c r="O1756" t="inlineStr">
        <is>
          <t>Check ip-api.com + AbuseIPDB for context</t>
        </is>
      </c>
      <c r="P1756" t="n">
        <v>0</v>
      </c>
      <c r="Q1756" t="n">
        <v>0</v>
      </c>
      <c r="R1756" t="inlineStr">
        <is>
          <t>T1110:Brute Force | T1190:Exploit Public-Facing Application | T1566:Phishing</t>
        </is>
      </c>
      <c r="S1756" t="n">
        <v>1</v>
      </c>
      <c r="T1756" t="inlineStr">
        <is>
          <t>MEDIUM (60%)</t>
        </is>
      </c>
      <c r="U1756" t="inlineStr">
        <is>
          <t>NONE</t>
        </is>
      </c>
      <c r="V1756" t="inlineStr">
        <is>
          <t>NONE</t>
        </is>
      </c>
      <c r="W1756" t="inlineStr">
        <is>
          <t>NONE</t>
        </is>
      </c>
      <c r="X1756" t="inlineStr">
        <is>
          <t>NONE</t>
        </is>
      </c>
      <c r="Y1756" t="n">
        <v>0</v>
      </c>
      <c r="Z1756" t="inlineStr"/>
      <c r="AA1756" t="inlineStr">
        <is>
          <t>https://talosintelligence.com/reputation_center/lookup?search=1.188.102.135</t>
        </is>
      </c>
    </row>
    <row r="1757">
      <c r="A1757" t="inlineStr">
        <is>
          <t>TALOS_IP</t>
        </is>
      </c>
      <c r="B1757" t="inlineStr">
        <is>
          <t>9b2e85d4898b</t>
        </is>
      </c>
      <c r="C1757" t="inlineStr">
        <is>
          <t>Cisco Talos Blacklisted IP: 1.188.5.190 | Verified malicious | Sources: TALOS</t>
        </is>
      </c>
      <c r="D1757" t="n">
        <v>7</v>
      </c>
      <c r="E1757" t="inlineStr">
        <is>
          <t>HIGH</t>
        </is>
      </c>
      <c r="F1757" t="n">
        <v>3</v>
      </c>
      <c r="G1757" t="n">
        <v>2</v>
      </c>
      <c r="H1757" t="inlineStr">
        <is>
          <t>HIGH</t>
        </is>
      </c>
      <c r="I1757" t="n">
        <v>13</v>
      </c>
      <c r="J1757" t="inlineStr">
        <is>
          <t>NO</t>
        </is>
      </c>
      <c r="K1757" t="inlineStr">
        <is>
          <t>2026-02-23 23:48</t>
        </is>
      </c>
      <c r="L1757" t="inlineStr">
        <is>
          <t>Block IP</t>
        </is>
      </c>
      <c r="M1757" t="inlineStr">
        <is>
          <t>Network perimeter / Email / Web</t>
        </is>
      </c>
      <c r="N1757" t="inlineStr">
        <is>
          <t>P3</t>
        </is>
      </c>
      <c r="O1757" t="inlineStr">
        <is>
          <t>Check ip-api.com + AbuseIPDB for context</t>
        </is>
      </c>
      <c r="P1757" t="n">
        <v>0</v>
      </c>
      <c r="Q1757" t="n">
        <v>0</v>
      </c>
      <c r="R1757" t="inlineStr">
        <is>
          <t>T1110:Brute Force | T1190:Exploit Public-Facing Application | T1566:Phishing</t>
        </is>
      </c>
      <c r="S1757" t="n">
        <v>1</v>
      </c>
      <c r="T1757" t="inlineStr">
        <is>
          <t>MEDIUM (60%)</t>
        </is>
      </c>
      <c r="U1757" t="inlineStr">
        <is>
          <t>NONE</t>
        </is>
      </c>
      <c r="V1757" t="inlineStr">
        <is>
          <t>NONE</t>
        </is>
      </c>
      <c r="W1757" t="inlineStr">
        <is>
          <t>NONE</t>
        </is>
      </c>
      <c r="X1757" t="inlineStr">
        <is>
          <t>NONE</t>
        </is>
      </c>
      <c r="Y1757" t="n">
        <v>0</v>
      </c>
      <c r="Z1757" t="inlineStr"/>
      <c r="AA1757" t="inlineStr">
        <is>
          <t>https://talosintelligence.com/reputation_center/lookup?search=1.188.5.190</t>
        </is>
      </c>
    </row>
    <row r="1758">
      <c r="A1758" t="inlineStr">
        <is>
          <t>TALOS_IP</t>
        </is>
      </c>
      <c r="B1758" t="inlineStr">
        <is>
          <t>f67e6f1f894a</t>
        </is>
      </c>
      <c r="C1758" t="inlineStr">
        <is>
          <t>Cisco Talos Blacklisted IP: 1.192.21.22 | Verified malicious | Sources: TALOS</t>
        </is>
      </c>
      <c r="D1758" t="n">
        <v>7</v>
      </c>
      <c r="E1758" t="inlineStr">
        <is>
          <t>HIGH</t>
        </is>
      </c>
      <c r="F1758" t="n">
        <v>3</v>
      </c>
      <c r="G1758" t="n">
        <v>2</v>
      </c>
      <c r="H1758" t="inlineStr">
        <is>
          <t>HIGH</t>
        </is>
      </c>
      <c r="I1758" t="n">
        <v>13</v>
      </c>
      <c r="J1758" t="inlineStr">
        <is>
          <t>NO</t>
        </is>
      </c>
      <c r="K1758" t="inlineStr">
        <is>
          <t>2026-02-23 23:48</t>
        </is>
      </c>
      <c r="L1758" t="inlineStr">
        <is>
          <t>Block IP</t>
        </is>
      </c>
      <c r="M1758" t="inlineStr">
        <is>
          <t>Network perimeter / Email / Web</t>
        </is>
      </c>
      <c r="N1758" t="inlineStr">
        <is>
          <t>P3</t>
        </is>
      </c>
      <c r="O1758" t="inlineStr">
        <is>
          <t>Check ip-api.com + AbuseIPDB for context</t>
        </is>
      </c>
      <c r="P1758" t="n">
        <v>0</v>
      </c>
      <c r="Q1758" t="n">
        <v>0</v>
      </c>
      <c r="R1758" t="inlineStr">
        <is>
          <t>T1110:Brute Force | T1190:Exploit Public-Facing Application | T1566:Phishing</t>
        </is>
      </c>
      <c r="S1758" t="n">
        <v>1</v>
      </c>
      <c r="T1758" t="inlineStr">
        <is>
          <t>MEDIUM (60%)</t>
        </is>
      </c>
      <c r="U1758" t="inlineStr">
        <is>
          <t>NONE</t>
        </is>
      </c>
      <c r="V1758" t="inlineStr">
        <is>
          <t>NONE</t>
        </is>
      </c>
      <c r="W1758" t="inlineStr">
        <is>
          <t>NONE</t>
        </is>
      </c>
      <c r="X1758" t="inlineStr">
        <is>
          <t>NONE</t>
        </is>
      </c>
      <c r="Y1758" t="n">
        <v>0</v>
      </c>
      <c r="Z1758" t="inlineStr"/>
      <c r="AA1758" t="inlineStr">
        <is>
          <t>https://talosintelligence.com/reputation_center/lookup?search=1.192.21.22</t>
        </is>
      </c>
    </row>
    <row r="1759">
      <c r="A1759" t="inlineStr">
        <is>
          <t>TALOS_IP</t>
        </is>
      </c>
      <c r="B1759" t="inlineStr">
        <is>
          <t>5c4ac57eeb1f</t>
        </is>
      </c>
      <c r="C1759" t="inlineStr">
        <is>
          <t>Cisco Talos Blacklisted IP: 1.193.63.45 | Verified malicious | Sources: TALOS</t>
        </is>
      </c>
      <c r="D1759" t="n">
        <v>7</v>
      </c>
      <c r="E1759" t="inlineStr">
        <is>
          <t>HIGH</t>
        </is>
      </c>
      <c r="F1759" t="n">
        <v>3</v>
      </c>
      <c r="G1759" t="n">
        <v>2</v>
      </c>
      <c r="H1759" t="inlineStr">
        <is>
          <t>HIGH</t>
        </is>
      </c>
      <c r="I1759" t="n">
        <v>13</v>
      </c>
      <c r="J1759" t="inlineStr">
        <is>
          <t>NO</t>
        </is>
      </c>
      <c r="K1759" t="inlineStr">
        <is>
          <t>2026-02-23 23:48</t>
        </is>
      </c>
      <c r="L1759" t="inlineStr">
        <is>
          <t>Block IP</t>
        </is>
      </c>
      <c r="M1759" t="inlineStr">
        <is>
          <t>Network perimeter / Email / Web</t>
        </is>
      </c>
      <c r="N1759" t="inlineStr">
        <is>
          <t>P3</t>
        </is>
      </c>
      <c r="O1759" t="inlineStr">
        <is>
          <t>Check ip-api.com + AbuseIPDB for context</t>
        </is>
      </c>
      <c r="P1759" t="n">
        <v>0</v>
      </c>
      <c r="Q1759" t="n">
        <v>0</v>
      </c>
      <c r="R1759" t="inlineStr">
        <is>
          <t>T1110:Brute Force | T1190:Exploit Public-Facing Application | T1566:Phishing</t>
        </is>
      </c>
      <c r="S1759" t="n">
        <v>1</v>
      </c>
      <c r="T1759" t="inlineStr">
        <is>
          <t>MEDIUM (60%)</t>
        </is>
      </c>
      <c r="U1759" t="inlineStr">
        <is>
          <t>NONE</t>
        </is>
      </c>
      <c r="V1759" t="inlineStr">
        <is>
          <t>NONE</t>
        </is>
      </c>
      <c r="W1759" t="inlineStr">
        <is>
          <t>NONE</t>
        </is>
      </c>
      <c r="X1759" t="inlineStr">
        <is>
          <t>NONE</t>
        </is>
      </c>
      <c r="Y1759" t="n">
        <v>0</v>
      </c>
      <c r="Z1759" t="inlineStr"/>
      <c r="AA1759" t="inlineStr">
        <is>
          <t>https://talosintelligence.com/reputation_center/lookup?search=1.193.63.45</t>
        </is>
      </c>
    </row>
    <row r="1760">
      <c r="A1760" t="inlineStr">
        <is>
          <t>TALOS_IP</t>
        </is>
      </c>
      <c r="B1760" t="inlineStr">
        <is>
          <t>d2853ece8d68</t>
        </is>
      </c>
      <c r="C1760" t="inlineStr">
        <is>
          <t>Cisco Talos Blacklisted IP: 1.193.63.64 | Verified malicious | Sources: TALOS</t>
        </is>
      </c>
      <c r="D1760" t="n">
        <v>7</v>
      </c>
      <c r="E1760" t="inlineStr">
        <is>
          <t>HIGH</t>
        </is>
      </c>
      <c r="F1760" t="n">
        <v>3</v>
      </c>
      <c r="G1760" t="n">
        <v>2</v>
      </c>
      <c r="H1760" t="inlineStr">
        <is>
          <t>HIGH</t>
        </is>
      </c>
      <c r="I1760" t="n">
        <v>13</v>
      </c>
      <c r="J1760" t="inlineStr">
        <is>
          <t>NO</t>
        </is>
      </c>
      <c r="K1760" t="inlineStr">
        <is>
          <t>2026-02-23 23:48</t>
        </is>
      </c>
      <c r="L1760" t="inlineStr">
        <is>
          <t>Block IP</t>
        </is>
      </c>
      <c r="M1760" t="inlineStr">
        <is>
          <t>Network perimeter / Email / Web</t>
        </is>
      </c>
      <c r="N1760" t="inlineStr">
        <is>
          <t>P3</t>
        </is>
      </c>
      <c r="O1760" t="inlineStr">
        <is>
          <t>Check ip-api.com + AbuseIPDB for context</t>
        </is>
      </c>
      <c r="P1760" t="n">
        <v>0</v>
      </c>
      <c r="Q1760" t="n">
        <v>0</v>
      </c>
      <c r="R1760" t="inlineStr">
        <is>
          <t>T1110:Brute Force | T1190:Exploit Public-Facing Application | T1566:Phishing</t>
        </is>
      </c>
      <c r="S1760" t="n">
        <v>1</v>
      </c>
      <c r="T1760" t="inlineStr">
        <is>
          <t>MEDIUM (60%)</t>
        </is>
      </c>
      <c r="U1760" t="inlineStr">
        <is>
          <t>NONE</t>
        </is>
      </c>
      <c r="V1760" t="inlineStr">
        <is>
          <t>NONE</t>
        </is>
      </c>
      <c r="W1760" t="inlineStr">
        <is>
          <t>NONE</t>
        </is>
      </c>
      <c r="X1760" t="inlineStr">
        <is>
          <t>NONE</t>
        </is>
      </c>
      <c r="Y1760" t="n">
        <v>0</v>
      </c>
      <c r="Z1760" t="inlineStr"/>
      <c r="AA1760" t="inlineStr">
        <is>
          <t>https://talosintelligence.com/reputation_center/lookup?search=1.193.63.64</t>
        </is>
      </c>
    </row>
    <row r="1761">
      <c r="A1761" t="inlineStr">
        <is>
          <t>TALOS_IP</t>
        </is>
      </c>
      <c r="B1761" t="inlineStr">
        <is>
          <t>a1f79af10495</t>
        </is>
      </c>
      <c r="C1761" t="inlineStr">
        <is>
          <t>Cisco Talos Blacklisted IP: 1.193.63.9 | Verified malicious | Sources: TALOS</t>
        </is>
      </c>
      <c r="D1761" t="n">
        <v>7</v>
      </c>
      <c r="E1761" t="inlineStr">
        <is>
          <t>HIGH</t>
        </is>
      </c>
      <c r="F1761" t="n">
        <v>3</v>
      </c>
      <c r="G1761" t="n">
        <v>2</v>
      </c>
      <c r="H1761" t="inlineStr">
        <is>
          <t>HIGH</t>
        </is>
      </c>
      <c r="I1761" t="n">
        <v>13</v>
      </c>
      <c r="J1761" t="inlineStr">
        <is>
          <t>NO</t>
        </is>
      </c>
      <c r="K1761" t="inlineStr">
        <is>
          <t>2026-02-23 23:48</t>
        </is>
      </c>
      <c r="L1761" t="inlineStr">
        <is>
          <t>Block IP</t>
        </is>
      </c>
      <c r="M1761" t="inlineStr">
        <is>
          <t>Network perimeter / Email / Web</t>
        </is>
      </c>
      <c r="N1761" t="inlineStr">
        <is>
          <t>P3</t>
        </is>
      </c>
      <c r="O1761" t="inlineStr">
        <is>
          <t>Check ip-api.com + AbuseIPDB for context</t>
        </is>
      </c>
      <c r="P1761" t="n">
        <v>0</v>
      </c>
      <c r="Q1761" t="n">
        <v>0</v>
      </c>
      <c r="R1761" t="inlineStr">
        <is>
          <t>T1110:Brute Force | T1190:Exploit Public-Facing Application | T1566:Phishing</t>
        </is>
      </c>
      <c r="S1761" t="n">
        <v>1</v>
      </c>
      <c r="T1761" t="inlineStr">
        <is>
          <t>MEDIUM (60%)</t>
        </is>
      </c>
      <c r="U1761" t="inlineStr">
        <is>
          <t>NONE</t>
        </is>
      </c>
      <c r="V1761" t="inlineStr">
        <is>
          <t>NONE</t>
        </is>
      </c>
      <c r="W1761" t="inlineStr">
        <is>
          <t>NONE</t>
        </is>
      </c>
      <c r="X1761" t="inlineStr">
        <is>
          <t>NONE</t>
        </is>
      </c>
      <c r="Y1761" t="n">
        <v>0</v>
      </c>
      <c r="Z1761" t="inlineStr"/>
      <c r="AA1761" t="inlineStr">
        <is>
          <t>https://talosintelligence.com/reputation_center/lookup?search=1.193.63.9</t>
        </is>
      </c>
    </row>
    <row r="1762">
      <c r="A1762" t="inlineStr">
        <is>
          <t>TALOS_IP</t>
        </is>
      </c>
      <c r="B1762" t="inlineStr">
        <is>
          <t>91a367098d84</t>
        </is>
      </c>
      <c r="C1762" t="inlineStr">
        <is>
          <t>Cisco Talos Blacklisted IP: 1.197.59.220 | Verified malicious | Sources: TALOS</t>
        </is>
      </c>
      <c r="D1762" t="n">
        <v>7</v>
      </c>
      <c r="E1762" t="inlineStr">
        <is>
          <t>HIGH</t>
        </is>
      </c>
      <c r="F1762" t="n">
        <v>3</v>
      </c>
      <c r="G1762" t="n">
        <v>2</v>
      </c>
      <c r="H1762" t="inlineStr">
        <is>
          <t>HIGH</t>
        </is>
      </c>
      <c r="I1762" t="n">
        <v>13</v>
      </c>
      <c r="J1762" t="inlineStr">
        <is>
          <t>NO</t>
        </is>
      </c>
      <c r="K1762" t="inlineStr">
        <is>
          <t>2026-02-23 23:48</t>
        </is>
      </c>
      <c r="L1762" t="inlineStr">
        <is>
          <t>Block IP</t>
        </is>
      </c>
      <c r="M1762" t="inlineStr">
        <is>
          <t>Network perimeter / Email / Web</t>
        </is>
      </c>
      <c r="N1762" t="inlineStr">
        <is>
          <t>P3</t>
        </is>
      </c>
      <c r="O1762" t="inlineStr">
        <is>
          <t>Check ip-api.com + AbuseIPDB for context</t>
        </is>
      </c>
      <c r="P1762" t="n">
        <v>0</v>
      </c>
      <c r="Q1762" t="n">
        <v>0</v>
      </c>
      <c r="R1762" t="inlineStr">
        <is>
          <t>T1110:Brute Force | T1190:Exploit Public-Facing Application | T1566:Phishing</t>
        </is>
      </c>
      <c r="S1762" t="n">
        <v>1</v>
      </c>
      <c r="T1762" t="inlineStr">
        <is>
          <t>MEDIUM (60%)</t>
        </is>
      </c>
      <c r="U1762" t="inlineStr">
        <is>
          <t>NONE</t>
        </is>
      </c>
      <c r="V1762" t="inlineStr">
        <is>
          <t>NONE</t>
        </is>
      </c>
      <c r="W1762" t="inlineStr">
        <is>
          <t>NONE</t>
        </is>
      </c>
      <c r="X1762" t="inlineStr">
        <is>
          <t>NONE</t>
        </is>
      </c>
      <c r="Y1762" t="n">
        <v>0</v>
      </c>
      <c r="Z1762" t="inlineStr"/>
      <c r="AA1762" t="inlineStr">
        <is>
          <t>https://talosintelligence.com/reputation_center/lookup?search=1.197.59.220</t>
        </is>
      </c>
    </row>
    <row r="1763">
      <c r="A1763" t="inlineStr">
        <is>
          <t>TALOS_IP</t>
        </is>
      </c>
      <c r="B1763" t="inlineStr">
        <is>
          <t>e2824185e33a</t>
        </is>
      </c>
      <c r="C1763" t="inlineStr">
        <is>
          <t>Cisco Talos Blacklisted IP: 1.203.97.227 | Verified malicious | Sources: TALOS</t>
        </is>
      </c>
      <c r="D1763" t="n">
        <v>7</v>
      </c>
      <c r="E1763" t="inlineStr">
        <is>
          <t>HIGH</t>
        </is>
      </c>
      <c r="F1763" t="n">
        <v>3</v>
      </c>
      <c r="G1763" t="n">
        <v>2</v>
      </c>
      <c r="H1763" t="inlineStr">
        <is>
          <t>HIGH</t>
        </is>
      </c>
      <c r="I1763" t="n">
        <v>13</v>
      </c>
      <c r="J1763" t="inlineStr">
        <is>
          <t>NO</t>
        </is>
      </c>
      <c r="K1763" t="inlineStr">
        <is>
          <t>2026-02-23 23:48</t>
        </is>
      </c>
      <c r="L1763" t="inlineStr">
        <is>
          <t>Block IP</t>
        </is>
      </c>
      <c r="M1763" t="inlineStr">
        <is>
          <t>Network perimeter / Email / Web</t>
        </is>
      </c>
      <c r="N1763" t="inlineStr">
        <is>
          <t>P3</t>
        </is>
      </c>
      <c r="O1763" t="inlineStr">
        <is>
          <t>Check ip-api.com + AbuseIPDB for context</t>
        </is>
      </c>
      <c r="P1763" t="n">
        <v>0</v>
      </c>
      <c r="Q1763" t="n">
        <v>0</v>
      </c>
      <c r="R1763" t="inlineStr">
        <is>
          <t>T1110:Brute Force | T1190:Exploit Public-Facing Application | T1566:Phishing</t>
        </is>
      </c>
      <c r="S1763" t="n">
        <v>1</v>
      </c>
      <c r="T1763" t="inlineStr">
        <is>
          <t>MEDIUM (60%)</t>
        </is>
      </c>
      <c r="U1763" t="inlineStr">
        <is>
          <t>NONE</t>
        </is>
      </c>
      <c r="V1763" t="inlineStr">
        <is>
          <t>NONE</t>
        </is>
      </c>
      <c r="W1763" t="inlineStr">
        <is>
          <t>NONE</t>
        </is>
      </c>
      <c r="X1763" t="inlineStr">
        <is>
          <t>NONE</t>
        </is>
      </c>
      <c r="Y1763" t="n">
        <v>0</v>
      </c>
      <c r="Z1763" t="inlineStr"/>
      <c r="AA1763" t="inlineStr">
        <is>
          <t>https://talosintelligence.com/reputation_center/lookup?search=1.203.97.227</t>
        </is>
      </c>
    </row>
    <row r="1764">
      <c r="A1764" t="inlineStr">
        <is>
          <t>TALOS_IP</t>
        </is>
      </c>
      <c r="B1764" t="inlineStr">
        <is>
          <t>a876e3dcf901</t>
        </is>
      </c>
      <c r="C1764" t="inlineStr">
        <is>
          <t>Cisco Talos Blacklisted IP: 1.207.127.44 | Verified malicious | Sources: TALOS</t>
        </is>
      </c>
      <c r="D1764" t="n">
        <v>7</v>
      </c>
      <c r="E1764" t="inlineStr">
        <is>
          <t>HIGH</t>
        </is>
      </c>
      <c r="F1764" t="n">
        <v>3</v>
      </c>
      <c r="G1764" t="n">
        <v>2</v>
      </c>
      <c r="H1764" t="inlineStr">
        <is>
          <t>HIGH</t>
        </is>
      </c>
      <c r="I1764" t="n">
        <v>13</v>
      </c>
      <c r="J1764" t="inlineStr">
        <is>
          <t>NO</t>
        </is>
      </c>
      <c r="K1764" t="inlineStr">
        <is>
          <t>2026-02-23 23:48</t>
        </is>
      </c>
      <c r="L1764" t="inlineStr">
        <is>
          <t>Block IP</t>
        </is>
      </c>
      <c r="M1764" t="inlineStr">
        <is>
          <t>Network perimeter / Email / Web</t>
        </is>
      </c>
      <c r="N1764" t="inlineStr">
        <is>
          <t>P3</t>
        </is>
      </c>
      <c r="O1764" t="inlineStr">
        <is>
          <t>Check ip-api.com + AbuseIPDB for context</t>
        </is>
      </c>
      <c r="P1764" t="n">
        <v>0</v>
      </c>
      <c r="Q1764" t="n">
        <v>0</v>
      </c>
      <c r="R1764" t="inlineStr">
        <is>
          <t>T1110:Brute Force | T1190:Exploit Public-Facing Application | T1566:Phishing</t>
        </is>
      </c>
      <c r="S1764" t="n">
        <v>1</v>
      </c>
      <c r="T1764" t="inlineStr">
        <is>
          <t>MEDIUM (60%)</t>
        </is>
      </c>
      <c r="U1764" t="inlineStr">
        <is>
          <t>NONE</t>
        </is>
      </c>
      <c r="V1764" t="inlineStr">
        <is>
          <t>NONE</t>
        </is>
      </c>
      <c r="W1764" t="inlineStr">
        <is>
          <t>NONE</t>
        </is>
      </c>
      <c r="X1764" t="inlineStr">
        <is>
          <t>NONE</t>
        </is>
      </c>
      <c r="Y1764" t="n">
        <v>0</v>
      </c>
      <c r="Z1764" t="inlineStr"/>
      <c r="AA1764" t="inlineStr">
        <is>
          <t>https://talosintelligence.com/reputation_center/lookup?search=1.207.127.44</t>
        </is>
      </c>
    </row>
    <row r="1765">
      <c r="A1765" t="inlineStr">
        <is>
          <t>TALOS_IP</t>
        </is>
      </c>
      <c r="B1765" t="inlineStr">
        <is>
          <t>f749834cd3b6</t>
        </is>
      </c>
      <c r="C1765" t="inlineStr">
        <is>
          <t>Cisco Talos Blacklisted IP: 1.214.29.155 | Verified malicious | Sources: TALOS</t>
        </is>
      </c>
      <c r="D1765" t="n">
        <v>7</v>
      </c>
      <c r="E1765" t="inlineStr">
        <is>
          <t>HIGH</t>
        </is>
      </c>
      <c r="F1765" t="n">
        <v>3</v>
      </c>
      <c r="G1765" t="n">
        <v>2</v>
      </c>
      <c r="H1765" t="inlineStr">
        <is>
          <t>HIGH</t>
        </is>
      </c>
      <c r="I1765" t="n">
        <v>13</v>
      </c>
      <c r="J1765" t="inlineStr">
        <is>
          <t>NO</t>
        </is>
      </c>
      <c r="K1765" t="inlineStr">
        <is>
          <t>2026-02-23 23:48</t>
        </is>
      </c>
      <c r="L1765" t="inlineStr">
        <is>
          <t>Block IP</t>
        </is>
      </c>
      <c r="M1765" t="inlineStr">
        <is>
          <t>Network perimeter / Email / Web</t>
        </is>
      </c>
      <c r="N1765" t="inlineStr">
        <is>
          <t>P3</t>
        </is>
      </c>
      <c r="O1765" t="inlineStr">
        <is>
          <t>Check ip-api.com + AbuseIPDB for context</t>
        </is>
      </c>
      <c r="P1765" t="n">
        <v>0</v>
      </c>
      <c r="Q1765" t="n">
        <v>0</v>
      </c>
      <c r="R1765" t="inlineStr">
        <is>
          <t>T1110:Brute Force | T1190:Exploit Public-Facing Application | T1566:Phishing</t>
        </is>
      </c>
      <c r="S1765" t="n">
        <v>1</v>
      </c>
      <c r="T1765" t="inlineStr">
        <is>
          <t>MEDIUM (60%)</t>
        </is>
      </c>
      <c r="U1765" t="inlineStr">
        <is>
          <t>NONE</t>
        </is>
      </c>
      <c r="V1765" t="inlineStr">
        <is>
          <t>NONE</t>
        </is>
      </c>
      <c r="W1765" t="inlineStr">
        <is>
          <t>NONE</t>
        </is>
      </c>
      <c r="X1765" t="inlineStr">
        <is>
          <t>NONE</t>
        </is>
      </c>
      <c r="Y1765" t="n">
        <v>0</v>
      </c>
      <c r="Z1765" t="inlineStr"/>
      <c r="AA1765" t="inlineStr">
        <is>
          <t>https://talosintelligence.com/reputation_center/lookup?search=1.214.29.155</t>
        </is>
      </c>
    </row>
    <row r="1766">
      <c r="A1766" t="inlineStr">
        <is>
          <t>TALOS_IP</t>
        </is>
      </c>
      <c r="B1766" t="inlineStr">
        <is>
          <t>633ddee61486</t>
        </is>
      </c>
      <c r="C1766" t="inlineStr">
        <is>
          <t>Cisco Talos Blacklisted IP: 1.222.40.18 | Verified malicious | Sources: TALOS</t>
        </is>
      </c>
      <c r="D1766" t="n">
        <v>7</v>
      </c>
      <c r="E1766" t="inlineStr">
        <is>
          <t>HIGH</t>
        </is>
      </c>
      <c r="F1766" t="n">
        <v>3</v>
      </c>
      <c r="G1766" t="n">
        <v>2</v>
      </c>
      <c r="H1766" t="inlineStr">
        <is>
          <t>HIGH</t>
        </is>
      </c>
      <c r="I1766" t="n">
        <v>13</v>
      </c>
      <c r="J1766" t="inlineStr">
        <is>
          <t>NO</t>
        </is>
      </c>
      <c r="K1766" t="inlineStr">
        <is>
          <t>2026-02-23 23:48</t>
        </is>
      </c>
      <c r="L1766" t="inlineStr">
        <is>
          <t>Block IP</t>
        </is>
      </c>
      <c r="M1766" t="inlineStr">
        <is>
          <t>Network perimeter / Email / Web</t>
        </is>
      </c>
      <c r="N1766" t="inlineStr">
        <is>
          <t>P3</t>
        </is>
      </c>
      <c r="O1766" t="inlineStr">
        <is>
          <t>Check ip-api.com + AbuseIPDB for context</t>
        </is>
      </c>
      <c r="P1766" t="n">
        <v>0</v>
      </c>
      <c r="Q1766" t="n">
        <v>0</v>
      </c>
      <c r="R1766" t="inlineStr">
        <is>
          <t>T1110:Brute Force | T1190:Exploit Public-Facing Application | T1566:Phishing</t>
        </is>
      </c>
      <c r="S1766" t="n">
        <v>1</v>
      </c>
      <c r="T1766" t="inlineStr">
        <is>
          <t>MEDIUM (60%)</t>
        </is>
      </c>
      <c r="U1766" t="inlineStr">
        <is>
          <t>NONE</t>
        </is>
      </c>
      <c r="V1766" t="inlineStr">
        <is>
          <t>NONE</t>
        </is>
      </c>
      <c r="W1766" t="inlineStr">
        <is>
          <t>NONE</t>
        </is>
      </c>
      <c r="X1766" t="inlineStr">
        <is>
          <t>NONE</t>
        </is>
      </c>
      <c r="Y1766" t="n">
        <v>0</v>
      </c>
      <c r="Z1766" t="inlineStr"/>
      <c r="AA1766" t="inlineStr">
        <is>
          <t>https://talosintelligence.com/reputation_center/lookup?search=1.222.40.18</t>
        </is>
      </c>
    </row>
    <row r="1767">
      <c r="A1767" t="inlineStr">
        <is>
          <t>TALOS_IP</t>
        </is>
      </c>
      <c r="B1767" t="inlineStr">
        <is>
          <t>735658f2598f</t>
        </is>
      </c>
      <c r="C1767" t="inlineStr">
        <is>
          <t>Cisco Talos Blacklisted IP: 1.223.227.114 | Verified malicious | Sources: TALOS</t>
        </is>
      </c>
      <c r="D1767" t="n">
        <v>7</v>
      </c>
      <c r="E1767" t="inlineStr">
        <is>
          <t>HIGH</t>
        </is>
      </c>
      <c r="F1767" t="n">
        <v>3</v>
      </c>
      <c r="G1767" t="n">
        <v>2</v>
      </c>
      <c r="H1767" t="inlineStr">
        <is>
          <t>HIGH</t>
        </is>
      </c>
      <c r="I1767" t="n">
        <v>13</v>
      </c>
      <c r="J1767" t="inlineStr">
        <is>
          <t>NO</t>
        </is>
      </c>
      <c r="K1767" t="inlineStr">
        <is>
          <t>2026-02-23 23:48</t>
        </is>
      </c>
      <c r="L1767" t="inlineStr">
        <is>
          <t>Block IP</t>
        </is>
      </c>
      <c r="M1767" t="inlineStr">
        <is>
          <t>Network perimeter / Email / Web</t>
        </is>
      </c>
      <c r="N1767" t="inlineStr">
        <is>
          <t>P3</t>
        </is>
      </c>
      <c r="O1767" t="inlineStr">
        <is>
          <t>Check ip-api.com + AbuseIPDB for context</t>
        </is>
      </c>
      <c r="P1767" t="n">
        <v>0</v>
      </c>
      <c r="Q1767" t="n">
        <v>0</v>
      </c>
      <c r="R1767" t="inlineStr">
        <is>
          <t>T1110:Brute Force | T1190:Exploit Public-Facing Application | T1566:Phishing</t>
        </is>
      </c>
      <c r="S1767" t="n">
        <v>1</v>
      </c>
      <c r="T1767" t="inlineStr">
        <is>
          <t>MEDIUM (60%)</t>
        </is>
      </c>
      <c r="U1767" t="inlineStr">
        <is>
          <t>NONE</t>
        </is>
      </c>
      <c r="V1767" t="inlineStr">
        <is>
          <t>NONE</t>
        </is>
      </c>
      <c r="W1767" t="inlineStr">
        <is>
          <t>NONE</t>
        </is>
      </c>
      <c r="X1767" t="inlineStr">
        <is>
          <t>NONE</t>
        </is>
      </c>
      <c r="Y1767" t="n">
        <v>0</v>
      </c>
      <c r="Z1767" t="inlineStr"/>
      <c r="AA1767" t="inlineStr">
        <is>
          <t>https://talosintelligence.com/reputation_center/lookup?search=1.223.227.114</t>
        </is>
      </c>
    </row>
    <row r="1768">
      <c r="A1768" t="inlineStr">
        <is>
          <t>TALOS_IP</t>
        </is>
      </c>
      <c r="B1768" t="inlineStr">
        <is>
          <t>02a597854c01</t>
        </is>
      </c>
      <c r="C1768" t="inlineStr">
        <is>
          <t>Cisco Talos Blacklisted IP: 1.239.177.241 | Verified malicious | Sources: TALOS</t>
        </is>
      </c>
      <c r="D1768" t="n">
        <v>7</v>
      </c>
      <c r="E1768" t="inlineStr">
        <is>
          <t>HIGH</t>
        </is>
      </c>
      <c r="F1768" t="n">
        <v>3</v>
      </c>
      <c r="G1768" t="n">
        <v>2</v>
      </c>
      <c r="H1768" t="inlineStr">
        <is>
          <t>HIGH</t>
        </is>
      </c>
      <c r="I1768" t="n">
        <v>13</v>
      </c>
      <c r="J1768" t="inlineStr">
        <is>
          <t>NO</t>
        </is>
      </c>
      <c r="K1768" t="inlineStr">
        <is>
          <t>2026-02-23 23:48</t>
        </is>
      </c>
      <c r="L1768" t="inlineStr">
        <is>
          <t>Block IP</t>
        </is>
      </c>
      <c r="M1768" t="inlineStr">
        <is>
          <t>Network perimeter / Email / Web</t>
        </is>
      </c>
      <c r="N1768" t="inlineStr">
        <is>
          <t>P3</t>
        </is>
      </c>
      <c r="O1768" t="inlineStr">
        <is>
          <t>Check ip-api.com + AbuseIPDB for context</t>
        </is>
      </c>
      <c r="P1768" t="n">
        <v>0</v>
      </c>
      <c r="Q1768" t="n">
        <v>0</v>
      </c>
      <c r="R1768" t="inlineStr">
        <is>
          <t>T1110:Brute Force | T1190:Exploit Public-Facing Application | T1566:Phishing</t>
        </is>
      </c>
      <c r="S1768" t="n">
        <v>1</v>
      </c>
      <c r="T1768" t="inlineStr">
        <is>
          <t>MEDIUM (60%)</t>
        </is>
      </c>
      <c r="U1768" t="inlineStr">
        <is>
          <t>NONE</t>
        </is>
      </c>
      <c r="V1768" t="inlineStr">
        <is>
          <t>NONE</t>
        </is>
      </c>
      <c r="W1768" t="inlineStr">
        <is>
          <t>NONE</t>
        </is>
      </c>
      <c r="X1768" t="inlineStr">
        <is>
          <t>NONE</t>
        </is>
      </c>
      <c r="Y1768" t="n">
        <v>0</v>
      </c>
      <c r="Z1768" t="inlineStr"/>
      <c r="AA1768" t="inlineStr">
        <is>
          <t>https://talosintelligence.com/reputation_center/lookup?search=1.239.177.241</t>
        </is>
      </c>
    </row>
    <row r="1769">
      <c r="A1769" t="inlineStr">
        <is>
          <t>TALOS_IP</t>
        </is>
      </c>
      <c r="B1769" t="inlineStr">
        <is>
          <t>b7720c50e096</t>
        </is>
      </c>
      <c r="C1769" t="inlineStr">
        <is>
          <t>Cisco Talos Blacklisted IP: 1.24.16.102 | Verified malicious | Sources: TALOS</t>
        </is>
      </c>
      <c r="D1769" t="n">
        <v>7</v>
      </c>
      <c r="E1769" t="inlineStr">
        <is>
          <t>HIGH</t>
        </is>
      </c>
      <c r="F1769" t="n">
        <v>3</v>
      </c>
      <c r="G1769" t="n">
        <v>2</v>
      </c>
      <c r="H1769" t="inlineStr">
        <is>
          <t>HIGH</t>
        </is>
      </c>
      <c r="I1769" t="n">
        <v>13</v>
      </c>
      <c r="J1769" t="inlineStr">
        <is>
          <t>NO</t>
        </is>
      </c>
      <c r="K1769" t="inlineStr">
        <is>
          <t>2026-02-23 23:48</t>
        </is>
      </c>
      <c r="L1769" t="inlineStr">
        <is>
          <t>Block IP</t>
        </is>
      </c>
      <c r="M1769" t="inlineStr">
        <is>
          <t>Network perimeter / Email / Web</t>
        </is>
      </c>
      <c r="N1769" t="inlineStr">
        <is>
          <t>P3</t>
        </is>
      </c>
      <c r="O1769" t="inlineStr">
        <is>
          <t>Check ip-api.com + AbuseIPDB for context</t>
        </is>
      </c>
      <c r="P1769" t="n">
        <v>0</v>
      </c>
      <c r="Q1769" t="n">
        <v>0</v>
      </c>
      <c r="R1769" t="inlineStr">
        <is>
          <t>T1110:Brute Force | T1190:Exploit Public-Facing Application | T1566:Phishing</t>
        </is>
      </c>
      <c r="S1769" t="n">
        <v>1</v>
      </c>
      <c r="T1769" t="inlineStr">
        <is>
          <t>MEDIUM (60%)</t>
        </is>
      </c>
      <c r="U1769" t="inlineStr">
        <is>
          <t>NONE</t>
        </is>
      </c>
      <c r="V1769" t="inlineStr">
        <is>
          <t>NONE</t>
        </is>
      </c>
      <c r="W1769" t="inlineStr">
        <is>
          <t>NONE</t>
        </is>
      </c>
      <c r="X1769" t="inlineStr">
        <is>
          <t>NONE</t>
        </is>
      </c>
      <c r="Y1769" t="n">
        <v>0</v>
      </c>
      <c r="Z1769" t="inlineStr"/>
      <c r="AA1769" t="inlineStr">
        <is>
          <t>https://talosintelligence.com/reputation_center/lookup?search=1.24.16.102</t>
        </is>
      </c>
    </row>
    <row r="1770">
      <c r="A1770" t="inlineStr">
        <is>
          <t>TALOS_IP</t>
        </is>
      </c>
      <c r="B1770" t="inlineStr">
        <is>
          <t>015abd9a7678</t>
        </is>
      </c>
      <c r="C1770" t="inlineStr">
        <is>
          <t>Cisco Talos Blacklisted IP: 1.24.16.107 | Verified malicious | Sources: TALOS</t>
        </is>
      </c>
      <c r="D1770" t="n">
        <v>7</v>
      </c>
      <c r="E1770" t="inlineStr">
        <is>
          <t>HIGH</t>
        </is>
      </c>
      <c r="F1770" t="n">
        <v>3</v>
      </c>
      <c r="G1770" t="n">
        <v>2</v>
      </c>
      <c r="H1770" t="inlineStr">
        <is>
          <t>HIGH</t>
        </is>
      </c>
      <c r="I1770" t="n">
        <v>13</v>
      </c>
      <c r="J1770" t="inlineStr">
        <is>
          <t>NO</t>
        </is>
      </c>
      <c r="K1770" t="inlineStr">
        <is>
          <t>2026-02-23 23:48</t>
        </is>
      </c>
      <c r="L1770" t="inlineStr">
        <is>
          <t>Block IP</t>
        </is>
      </c>
      <c r="M1770" t="inlineStr">
        <is>
          <t>Network perimeter / Email / Web</t>
        </is>
      </c>
      <c r="N1770" t="inlineStr">
        <is>
          <t>P3</t>
        </is>
      </c>
      <c r="O1770" t="inlineStr">
        <is>
          <t>Check ip-api.com + AbuseIPDB for context</t>
        </is>
      </c>
      <c r="P1770" t="n">
        <v>0</v>
      </c>
      <c r="Q1770" t="n">
        <v>0</v>
      </c>
      <c r="R1770" t="inlineStr">
        <is>
          <t>T1110:Brute Force | T1190:Exploit Public-Facing Application | T1566:Phishing</t>
        </is>
      </c>
      <c r="S1770" t="n">
        <v>1</v>
      </c>
      <c r="T1770" t="inlineStr">
        <is>
          <t>MEDIUM (60%)</t>
        </is>
      </c>
      <c r="U1770" t="inlineStr">
        <is>
          <t>NONE</t>
        </is>
      </c>
      <c r="V1770" t="inlineStr">
        <is>
          <t>NONE</t>
        </is>
      </c>
      <c r="W1770" t="inlineStr">
        <is>
          <t>NONE</t>
        </is>
      </c>
      <c r="X1770" t="inlineStr">
        <is>
          <t>NONE</t>
        </is>
      </c>
      <c r="Y1770" t="n">
        <v>0</v>
      </c>
      <c r="Z1770" t="inlineStr"/>
      <c r="AA1770" t="inlineStr">
        <is>
          <t>https://talosintelligence.com/reputation_center/lookup?search=1.24.16.107</t>
        </is>
      </c>
    </row>
    <row r="1771">
      <c r="A1771" t="inlineStr">
        <is>
          <t>TALOS_IP</t>
        </is>
      </c>
      <c r="B1771" t="inlineStr">
        <is>
          <t>74b36ff2f4bd</t>
        </is>
      </c>
      <c r="C1771" t="inlineStr">
        <is>
          <t>Cisco Talos Blacklisted IP: 1.24.16.113 | Verified malicious | Sources: TALOS</t>
        </is>
      </c>
      <c r="D1771" t="n">
        <v>7</v>
      </c>
      <c r="E1771" t="inlineStr">
        <is>
          <t>HIGH</t>
        </is>
      </c>
      <c r="F1771" t="n">
        <v>3</v>
      </c>
      <c r="G1771" t="n">
        <v>2</v>
      </c>
      <c r="H1771" t="inlineStr">
        <is>
          <t>HIGH</t>
        </is>
      </c>
      <c r="I1771" t="n">
        <v>13</v>
      </c>
      <c r="J1771" t="inlineStr">
        <is>
          <t>NO</t>
        </is>
      </c>
      <c r="K1771" t="inlineStr">
        <is>
          <t>2026-02-23 23:48</t>
        </is>
      </c>
      <c r="L1771" t="inlineStr">
        <is>
          <t>Block IP</t>
        </is>
      </c>
      <c r="M1771" t="inlineStr">
        <is>
          <t>Network perimeter / Email / Web</t>
        </is>
      </c>
      <c r="N1771" t="inlineStr">
        <is>
          <t>P3</t>
        </is>
      </c>
      <c r="O1771" t="inlineStr">
        <is>
          <t>Check ip-api.com + AbuseIPDB for context</t>
        </is>
      </c>
      <c r="P1771" t="n">
        <v>0</v>
      </c>
      <c r="Q1771" t="n">
        <v>0</v>
      </c>
      <c r="R1771" t="inlineStr">
        <is>
          <t>T1110:Brute Force | T1190:Exploit Public-Facing Application | T1566:Phishing</t>
        </is>
      </c>
      <c r="S1771" t="n">
        <v>1</v>
      </c>
      <c r="T1771" t="inlineStr">
        <is>
          <t>MEDIUM (60%)</t>
        </is>
      </c>
      <c r="U1771" t="inlineStr">
        <is>
          <t>NONE</t>
        </is>
      </c>
      <c r="V1771" t="inlineStr">
        <is>
          <t>NONE</t>
        </is>
      </c>
      <c r="W1771" t="inlineStr">
        <is>
          <t>NONE</t>
        </is>
      </c>
      <c r="X1771" t="inlineStr">
        <is>
          <t>NONE</t>
        </is>
      </c>
      <c r="Y1771" t="n">
        <v>0</v>
      </c>
      <c r="Z1771" t="inlineStr"/>
      <c r="AA1771" t="inlineStr">
        <is>
          <t>https://talosintelligence.com/reputation_center/lookup?search=1.24.16.113</t>
        </is>
      </c>
    </row>
    <row r="1772">
      <c r="A1772" t="inlineStr">
        <is>
          <t>TALOS_IP</t>
        </is>
      </c>
      <c r="B1772" t="inlineStr">
        <is>
          <t>bf6b82ba0c11</t>
        </is>
      </c>
      <c r="C1772" t="inlineStr">
        <is>
          <t>Cisco Talos Blacklisted IP: 1.24.16.115 | Verified malicious | Sources: TALOS</t>
        </is>
      </c>
      <c r="D1772" t="n">
        <v>7</v>
      </c>
      <c r="E1772" t="inlineStr">
        <is>
          <t>HIGH</t>
        </is>
      </c>
      <c r="F1772" t="n">
        <v>3</v>
      </c>
      <c r="G1772" t="n">
        <v>2</v>
      </c>
      <c r="H1772" t="inlineStr">
        <is>
          <t>HIGH</t>
        </is>
      </c>
      <c r="I1772" t="n">
        <v>13</v>
      </c>
      <c r="J1772" t="inlineStr">
        <is>
          <t>NO</t>
        </is>
      </c>
      <c r="K1772" t="inlineStr">
        <is>
          <t>2026-02-23 23:48</t>
        </is>
      </c>
      <c r="L1772" t="inlineStr">
        <is>
          <t>Block IP</t>
        </is>
      </c>
      <c r="M1772" t="inlineStr">
        <is>
          <t>Network perimeter / Email / Web</t>
        </is>
      </c>
      <c r="N1772" t="inlineStr">
        <is>
          <t>P3</t>
        </is>
      </c>
      <c r="O1772" t="inlineStr">
        <is>
          <t>Check ip-api.com + AbuseIPDB for context</t>
        </is>
      </c>
      <c r="P1772" t="n">
        <v>0</v>
      </c>
      <c r="Q1772" t="n">
        <v>0</v>
      </c>
      <c r="R1772" t="inlineStr">
        <is>
          <t>T1110:Brute Force | T1190:Exploit Public-Facing Application | T1566:Phishing</t>
        </is>
      </c>
      <c r="S1772" t="n">
        <v>1</v>
      </c>
      <c r="T1772" t="inlineStr">
        <is>
          <t>MEDIUM (60%)</t>
        </is>
      </c>
      <c r="U1772" t="inlineStr">
        <is>
          <t>NONE</t>
        </is>
      </c>
      <c r="V1772" t="inlineStr">
        <is>
          <t>NONE</t>
        </is>
      </c>
      <c r="W1772" t="inlineStr">
        <is>
          <t>NONE</t>
        </is>
      </c>
      <c r="X1772" t="inlineStr">
        <is>
          <t>NONE</t>
        </is>
      </c>
      <c r="Y1772" t="n">
        <v>0</v>
      </c>
      <c r="Z1772" t="inlineStr"/>
      <c r="AA1772" t="inlineStr">
        <is>
          <t>https://talosintelligence.com/reputation_center/lookup?search=1.24.16.115</t>
        </is>
      </c>
    </row>
    <row r="1773">
      <c r="A1773" t="inlineStr">
        <is>
          <t>TALOS_IP</t>
        </is>
      </c>
      <c r="B1773" t="inlineStr">
        <is>
          <t>399883f21afe</t>
        </is>
      </c>
      <c r="C1773" t="inlineStr">
        <is>
          <t>Cisco Talos Blacklisted IP: 1.24.16.117 | Verified malicious | Sources: TALOS</t>
        </is>
      </c>
      <c r="D1773" t="n">
        <v>7</v>
      </c>
      <c r="E1773" t="inlineStr">
        <is>
          <t>HIGH</t>
        </is>
      </c>
      <c r="F1773" t="n">
        <v>3</v>
      </c>
      <c r="G1773" t="n">
        <v>2</v>
      </c>
      <c r="H1773" t="inlineStr">
        <is>
          <t>HIGH</t>
        </is>
      </c>
      <c r="I1773" t="n">
        <v>13</v>
      </c>
      <c r="J1773" t="inlineStr">
        <is>
          <t>NO</t>
        </is>
      </c>
      <c r="K1773" t="inlineStr">
        <is>
          <t>2026-02-23 23:48</t>
        </is>
      </c>
      <c r="L1773" t="inlineStr">
        <is>
          <t>Block IP</t>
        </is>
      </c>
      <c r="M1773" t="inlineStr">
        <is>
          <t>Network perimeter / Email / Web</t>
        </is>
      </c>
      <c r="N1773" t="inlineStr">
        <is>
          <t>P3</t>
        </is>
      </c>
      <c r="O1773" t="inlineStr">
        <is>
          <t>Check ip-api.com + AbuseIPDB for context</t>
        </is>
      </c>
      <c r="P1773" t="n">
        <v>0</v>
      </c>
      <c r="Q1773" t="n">
        <v>0</v>
      </c>
      <c r="R1773" t="inlineStr">
        <is>
          <t>T1110:Brute Force | T1190:Exploit Public-Facing Application | T1566:Phishing</t>
        </is>
      </c>
      <c r="S1773" t="n">
        <v>1</v>
      </c>
      <c r="T1773" t="inlineStr">
        <is>
          <t>MEDIUM (60%)</t>
        </is>
      </c>
      <c r="U1773" t="inlineStr">
        <is>
          <t>NONE</t>
        </is>
      </c>
      <c r="V1773" t="inlineStr">
        <is>
          <t>NONE</t>
        </is>
      </c>
      <c r="W1773" t="inlineStr">
        <is>
          <t>NONE</t>
        </is>
      </c>
      <c r="X1773" t="inlineStr">
        <is>
          <t>NONE</t>
        </is>
      </c>
      <c r="Y1773" t="n">
        <v>0</v>
      </c>
      <c r="Z1773" t="inlineStr"/>
      <c r="AA1773" t="inlineStr">
        <is>
          <t>https://talosintelligence.com/reputation_center/lookup?search=1.24.16.117</t>
        </is>
      </c>
    </row>
    <row r="1774">
      <c r="A1774" t="inlineStr">
        <is>
          <t>TALOS_IP</t>
        </is>
      </c>
      <c r="B1774" t="inlineStr">
        <is>
          <t>bfda3571a7c8</t>
        </is>
      </c>
      <c r="C1774" t="inlineStr">
        <is>
          <t>Cisco Talos Blacklisted IP: 1.24.16.120 | Verified malicious | Sources: TALOS</t>
        </is>
      </c>
      <c r="D1774" t="n">
        <v>7</v>
      </c>
      <c r="E1774" t="inlineStr">
        <is>
          <t>HIGH</t>
        </is>
      </c>
      <c r="F1774" t="n">
        <v>3</v>
      </c>
      <c r="G1774" t="n">
        <v>2</v>
      </c>
      <c r="H1774" t="inlineStr">
        <is>
          <t>HIGH</t>
        </is>
      </c>
      <c r="I1774" t="n">
        <v>13</v>
      </c>
      <c r="J1774" t="inlineStr">
        <is>
          <t>NO</t>
        </is>
      </c>
      <c r="K1774" t="inlineStr">
        <is>
          <t>2026-02-23 23:48</t>
        </is>
      </c>
      <c r="L1774" t="inlineStr">
        <is>
          <t>Block IP</t>
        </is>
      </c>
      <c r="M1774" t="inlineStr">
        <is>
          <t>Network perimeter / Email / Web</t>
        </is>
      </c>
      <c r="N1774" t="inlineStr">
        <is>
          <t>P3</t>
        </is>
      </c>
      <c r="O1774" t="inlineStr">
        <is>
          <t>Check ip-api.com + AbuseIPDB for context</t>
        </is>
      </c>
      <c r="P1774" t="n">
        <v>0</v>
      </c>
      <c r="Q1774" t="n">
        <v>0</v>
      </c>
      <c r="R1774" t="inlineStr">
        <is>
          <t>T1110:Brute Force | T1190:Exploit Public-Facing Application | T1566:Phishing</t>
        </is>
      </c>
      <c r="S1774" t="n">
        <v>1</v>
      </c>
      <c r="T1774" t="inlineStr">
        <is>
          <t>MEDIUM (60%)</t>
        </is>
      </c>
      <c r="U1774" t="inlineStr">
        <is>
          <t>NONE</t>
        </is>
      </c>
      <c r="V1774" t="inlineStr">
        <is>
          <t>NONE</t>
        </is>
      </c>
      <c r="W1774" t="inlineStr">
        <is>
          <t>NONE</t>
        </is>
      </c>
      <c r="X1774" t="inlineStr">
        <is>
          <t>NONE</t>
        </is>
      </c>
      <c r="Y1774" t="n">
        <v>0</v>
      </c>
      <c r="Z1774" t="inlineStr"/>
      <c r="AA1774" t="inlineStr">
        <is>
          <t>https://talosintelligence.com/reputation_center/lookup?search=1.24.16.120</t>
        </is>
      </c>
    </row>
    <row r="1775">
      <c r="A1775" t="inlineStr">
        <is>
          <t>TALOS_IP</t>
        </is>
      </c>
      <c r="B1775" t="inlineStr">
        <is>
          <t>b10436b0accc</t>
        </is>
      </c>
      <c r="C1775" t="inlineStr">
        <is>
          <t>Cisco Talos Blacklisted IP: 1.24.16.121 | Verified malicious | Sources: TALOS</t>
        </is>
      </c>
      <c r="D1775" t="n">
        <v>7</v>
      </c>
      <c r="E1775" t="inlineStr">
        <is>
          <t>HIGH</t>
        </is>
      </c>
      <c r="F1775" t="n">
        <v>3</v>
      </c>
      <c r="G1775" t="n">
        <v>2</v>
      </c>
      <c r="H1775" t="inlineStr">
        <is>
          <t>HIGH</t>
        </is>
      </c>
      <c r="I1775" t="n">
        <v>13</v>
      </c>
      <c r="J1775" t="inlineStr">
        <is>
          <t>NO</t>
        </is>
      </c>
      <c r="K1775" t="inlineStr">
        <is>
          <t>2026-02-23 23:48</t>
        </is>
      </c>
      <c r="L1775" t="inlineStr">
        <is>
          <t>Block IP</t>
        </is>
      </c>
      <c r="M1775" t="inlineStr">
        <is>
          <t>Network perimeter / Email / Web</t>
        </is>
      </c>
      <c r="N1775" t="inlineStr">
        <is>
          <t>P3</t>
        </is>
      </c>
      <c r="O1775" t="inlineStr">
        <is>
          <t>Check ip-api.com + AbuseIPDB for context</t>
        </is>
      </c>
      <c r="P1775" t="n">
        <v>0</v>
      </c>
      <c r="Q1775" t="n">
        <v>0</v>
      </c>
      <c r="R1775" t="inlineStr">
        <is>
          <t>T1110:Brute Force | T1190:Exploit Public-Facing Application | T1566:Phishing</t>
        </is>
      </c>
      <c r="S1775" t="n">
        <v>1</v>
      </c>
      <c r="T1775" t="inlineStr">
        <is>
          <t>MEDIUM (60%)</t>
        </is>
      </c>
      <c r="U1775" t="inlineStr">
        <is>
          <t>NONE</t>
        </is>
      </c>
      <c r="V1775" t="inlineStr">
        <is>
          <t>NONE</t>
        </is>
      </c>
      <c r="W1775" t="inlineStr">
        <is>
          <t>NONE</t>
        </is>
      </c>
      <c r="X1775" t="inlineStr">
        <is>
          <t>NONE</t>
        </is>
      </c>
      <c r="Y1775" t="n">
        <v>0</v>
      </c>
      <c r="Z1775" t="inlineStr"/>
      <c r="AA1775" t="inlineStr">
        <is>
          <t>https://talosintelligence.com/reputation_center/lookup?search=1.24.16.121</t>
        </is>
      </c>
    </row>
    <row r="1776">
      <c r="A1776" t="inlineStr">
        <is>
          <t>TALOS_IP</t>
        </is>
      </c>
      <c r="B1776" t="inlineStr">
        <is>
          <t>962e43692313</t>
        </is>
      </c>
      <c r="C1776" t="inlineStr">
        <is>
          <t>Cisco Talos Blacklisted IP: 1.24.16.124 | Verified malicious | Sources: TALOS</t>
        </is>
      </c>
      <c r="D1776" t="n">
        <v>7</v>
      </c>
      <c r="E1776" t="inlineStr">
        <is>
          <t>HIGH</t>
        </is>
      </c>
      <c r="F1776" t="n">
        <v>3</v>
      </c>
      <c r="G1776" t="n">
        <v>2</v>
      </c>
      <c r="H1776" t="inlineStr">
        <is>
          <t>HIGH</t>
        </is>
      </c>
      <c r="I1776" t="n">
        <v>13</v>
      </c>
      <c r="J1776" t="inlineStr">
        <is>
          <t>NO</t>
        </is>
      </c>
      <c r="K1776" t="inlineStr">
        <is>
          <t>2026-02-23 23:48</t>
        </is>
      </c>
      <c r="L1776" t="inlineStr">
        <is>
          <t>Block IP</t>
        </is>
      </c>
      <c r="M1776" t="inlineStr">
        <is>
          <t>Network perimeter / Email / Web</t>
        </is>
      </c>
      <c r="N1776" t="inlineStr">
        <is>
          <t>P3</t>
        </is>
      </c>
      <c r="O1776" t="inlineStr">
        <is>
          <t>Check ip-api.com + AbuseIPDB for context</t>
        </is>
      </c>
      <c r="P1776" t="n">
        <v>0</v>
      </c>
      <c r="Q1776" t="n">
        <v>0</v>
      </c>
      <c r="R1776" t="inlineStr">
        <is>
          <t>T1110:Brute Force | T1190:Exploit Public-Facing Application | T1566:Phishing</t>
        </is>
      </c>
      <c r="S1776" t="n">
        <v>1</v>
      </c>
      <c r="T1776" t="inlineStr">
        <is>
          <t>MEDIUM (60%)</t>
        </is>
      </c>
      <c r="U1776" t="inlineStr">
        <is>
          <t>NONE</t>
        </is>
      </c>
      <c r="V1776" t="inlineStr">
        <is>
          <t>NONE</t>
        </is>
      </c>
      <c r="W1776" t="inlineStr">
        <is>
          <t>NONE</t>
        </is>
      </c>
      <c r="X1776" t="inlineStr">
        <is>
          <t>NONE</t>
        </is>
      </c>
      <c r="Y1776" t="n">
        <v>0</v>
      </c>
      <c r="Z1776" t="inlineStr"/>
      <c r="AA1776" t="inlineStr">
        <is>
          <t>https://talosintelligence.com/reputation_center/lookup?search=1.24.16.124</t>
        </is>
      </c>
    </row>
    <row r="1777">
      <c r="A1777" t="inlineStr">
        <is>
          <t>TALOS_IP</t>
        </is>
      </c>
      <c r="B1777" t="inlineStr">
        <is>
          <t>adaa31162abb</t>
        </is>
      </c>
      <c r="C1777" t="inlineStr">
        <is>
          <t>Cisco Talos Blacklisted IP: 1.24.16.126 | Verified malicious | Sources: TALOS</t>
        </is>
      </c>
      <c r="D1777" t="n">
        <v>7</v>
      </c>
      <c r="E1777" t="inlineStr">
        <is>
          <t>HIGH</t>
        </is>
      </c>
      <c r="F1777" t="n">
        <v>3</v>
      </c>
      <c r="G1777" t="n">
        <v>2</v>
      </c>
      <c r="H1777" t="inlineStr">
        <is>
          <t>HIGH</t>
        </is>
      </c>
      <c r="I1777" t="n">
        <v>13</v>
      </c>
      <c r="J1777" t="inlineStr">
        <is>
          <t>NO</t>
        </is>
      </c>
      <c r="K1777" t="inlineStr">
        <is>
          <t>2026-02-23 23:48</t>
        </is>
      </c>
      <c r="L1777" t="inlineStr">
        <is>
          <t>Block IP</t>
        </is>
      </c>
      <c r="M1777" t="inlineStr">
        <is>
          <t>Network perimeter / Email / Web</t>
        </is>
      </c>
      <c r="N1777" t="inlineStr">
        <is>
          <t>P3</t>
        </is>
      </c>
      <c r="O1777" t="inlineStr">
        <is>
          <t>Check ip-api.com + AbuseIPDB for context</t>
        </is>
      </c>
      <c r="P1777" t="n">
        <v>0</v>
      </c>
      <c r="Q1777" t="n">
        <v>0</v>
      </c>
      <c r="R1777" t="inlineStr">
        <is>
          <t>T1110:Brute Force | T1190:Exploit Public-Facing Application | T1566:Phishing</t>
        </is>
      </c>
      <c r="S1777" t="n">
        <v>1</v>
      </c>
      <c r="T1777" t="inlineStr">
        <is>
          <t>MEDIUM (60%)</t>
        </is>
      </c>
      <c r="U1777" t="inlineStr">
        <is>
          <t>NONE</t>
        </is>
      </c>
      <c r="V1777" t="inlineStr">
        <is>
          <t>NONE</t>
        </is>
      </c>
      <c r="W1777" t="inlineStr">
        <is>
          <t>NONE</t>
        </is>
      </c>
      <c r="X1777" t="inlineStr">
        <is>
          <t>NONE</t>
        </is>
      </c>
      <c r="Y1777" t="n">
        <v>0</v>
      </c>
      <c r="Z1777" t="inlineStr"/>
      <c r="AA1777" t="inlineStr">
        <is>
          <t>https://talosintelligence.com/reputation_center/lookup?search=1.24.16.126</t>
        </is>
      </c>
    </row>
    <row r="1778">
      <c r="A1778" t="inlineStr">
        <is>
          <t>TALOS_IP</t>
        </is>
      </c>
      <c r="B1778" t="inlineStr">
        <is>
          <t>37ffe76823f2</t>
        </is>
      </c>
      <c r="C1778" t="inlineStr">
        <is>
          <t>Cisco Talos Blacklisted IP: 1.24.16.127 | Verified malicious | Sources: TALOS</t>
        </is>
      </c>
      <c r="D1778" t="n">
        <v>7</v>
      </c>
      <c r="E1778" t="inlineStr">
        <is>
          <t>HIGH</t>
        </is>
      </c>
      <c r="F1778" t="n">
        <v>3</v>
      </c>
      <c r="G1778" t="n">
        <v>2</v>
      </c>
      <c r="H1778" t="inlineStr">
        <is>
          <t>HIGH</t>
        </is>
      </c>
      <c r="I1778" t="n">
        <v>13</v>
      </c>
      <c r="J1778" t="inlineStr">
        <is>
          <t>NO</t>
        </is>
      </c>
      <c r="K1778" t="inlineStr">
        <is>
          <t>2026-02-23 23:48</t>
        </is>
      </c>
      <c r="L1778" t="inlineStr">
        <is>
          <t>Block IP</t>
        </is>
      </c>
      <c r="M1778" t="inlineStr">
        <is>
          <t>Network perimeter / Email / Web</t>
        </is>
      </c>
      <c r="N1778" t="inlineStr">
        <is>
          <t>P3</t>
        </is>
      </c>
      <c r="O1778" t="inlineStr">
        <is>
          <t>Check ip-api.com + AbuseIPDB for context</t>
        </is>
      </c>
      <c r="P1778" t="n">
        <v>0</v>
      </c>
      <c r="Q1778" t="n">
        <v>0</v>
      </c>
      <c r="R1778" t="inlineStr">
        <is>
          <t>T1110:Brute Force | T1190:Exploit Public-Facing Application | T1566:Phishing</t>
        </is>
      </c>
      <c r="S1778" t="n">
        <v>1</v>
      </c>
      <c r="T1778" t="inlineStr">
        <is>
          <t>MEDIUM (60%)</t>
        </is>
      </c>
      <c r="U1778" t="inlineStr">
        <is>
          <t>NONE</t>
        </is>
      </c>
      <c r="V1778" t="inlineStr">
        <is>
          <t>NONE</t>
        </is>
      </c>
      <c r="W1778" t="inlineStr">
        <is>
          <t>NONE</t>
        </is>
      </c>
      <c r="X1778" t="inlineStr">
        <is>
          <t>NONE</t>
        </is>
      </c>
      <c r="Y1778" t="n">
        <v>0</v>
      </c>
      <c r="Z1778" t="inlineStr"/>
      <c r="AA1778" t="inlineStr">
        <is>
          <t>https://talosintelligence.com/reputation_center/lookup?search=1.24.16.127</t>
        </is>
      </c>
    </row>
    <row r="1779">
      <c r="A1779" t="inlineStr">
        <is>
          <t>TALOS_IP</t>
        </is>
      </c>
      <c r="B1779" t="inlineStr">
        <is>
          <t>44c315f73c73</t>
        </is>
      </c>
      <c r="C1779" t="inlineStr">
        <is>
          <t>Cisco Talos Blacklisted IP: 1.24.16.130 | Verified malicious | Sources: TALOS</t>
        </is>
      </c>
      <c r="D1779" t="n">
        <v>7</v>
      </c>
      <c r="E1779" t="inlineStr">
        <is>
          <t>HIGH</t>
        </is>
      </c>
      <c r="F1779" t="n">
        <v>3</v>
      </c>
      <c r="G1779" t="n">
        <v>2</v>
      </c>
      <c r="H1779" t="inlineStr">
        <is>
          <t>HIGH</t>
        </is>
      </c>
      <c r="I1779" t="n">
        <v>13</v>
      </c>
      <c r="J1779" t="inlineStr">
        <is>
          <t>NO</t>
        </is>
      </c>
      <c r="K1779" t="inlineStr">
        <is>
          <t>2026-02-23 23:48</t>
        </is>
      </c>
      <c r="L1779" t="inlineStr">
        <is>
          <t>Block IP</t>
        </is>
      </c>
      <c r="M1779" t="inlineStr">
        <is>
          <t>Network perimeter / Email / Web</t>
        </is>
      </c>
      <c r="N1779" t="inlineStr">
        <is>
          <t>P3</t>
        </is>
      </c>
      <c r="O1779" t="inlineStr">
        <is>
          <t>Check ip-api.com + AbuseIPDB for context</t>
        </is>
      </c>
      <c r="P1779" t="n">
        <v>0</v>
      </c>
      <c r="Q1779" t="n">
        <v>0</v>
      </c>
      <c r="R1779" t="inlineStr">
        <is>
          <t>T1110:Brute Force | T1190:Exploit Public-Facing Application | T1566:Phishing</t>
        </is>
      </c>
      <c r="S1779" t="n">
        <v>1</v>
      </c>
      <c r="T1779" t="inlineStr">
        <is>
          <t>MEDIUM (60%)</t>
        </is>
      </c>
      <c r="U1779" t="inlineStr">
        <is>
          <t>NONE</t>
        </is>
      </c>
      <c r="V1779" t="inlineStr">
        <is>
          <t>NONE</t>
        </is>
      </c>
      <c r="W1779" t="inlineStr">
        <is>
          <t>NONE</t>
        </is>
      </c>
      <c r="X1779" t="inlineStr">
        <is>
          <t>NONE</t>
        </is>
      </c>
      <c r="Y1779" t="n">
        <v>0</v>
      </c>
      <c r="Z1779" t="inlineStr"/>
      <c r="AA1779" t="inlineStr">
        <is>
          <t>https://talosintelligence.com/reputation_center/lookup?search=1.24.16.130</t>
        </is>
      </c>
    </row>
    <row r="1780">
      <c r="A1780" t="inlineStr">
        <is>
          <t>TALOS_IP</t>
        </is>
      </c>
      <c r="B1780" t="inlineStr">
        <is>
          <t>d42446050cad</t>
        </is>
      </c>
      <c r="C1780" t="inlineStr">
        <is>
          <t>Cisco Talos Blacklisted IP: 1.24.16.132 | Verified malicious | Sources: TALOS</t>
        </is>
      </c>
      <c r="D1780" t="n">
        <v>7</v>
      </c>
      <c r="E1780" t="inlineStr">
        <is>
          <t>HIGH</t>
        </is>
      </c>
      <c r="F1780" t="n">
        <v>3</v>
      </c>
      <c r="G1780" t="n">
        <v>2</v>
      </c>
      <c r="H1780" t="inlineStr">
        <is>
          <t>HIGH</t>
        </is>
      </c>
      <c r="I1780" t="n">
        <v>13</v>
      </c>
      <c r="J1780" t="inlineStr">
        <is>
          <t>NO</t>
        </is>
      </c>
      <c r="K1780" t="inlineStr">
        <is>
          <t>2026-02-23 23:48</t>
        </is>
      </c>
      <c r="L1780" t="inlineStr">
        <is>
          <t>Block IP</t>
        </is>
      </c>
      <c r="M1780" t="inlineStr">
        <is>
          <t>Network perimeter / Email / Web</t>
        </is>
      </c>
      <c r="N1780" t="inlineStr">
        <is>
          <t>P3</t>
        </is>
      </c>
      <c r="O1780" t="inlineStr">
        <is>
          <t>Check ip-api.com + AbuseIPDB for context</t>
        </is>
      </c>
      <c r="P1780" t="n">
        <v>0</v>
      </c>
      <c r="Q1780" t="n">
        <v>0</v>
      </c>
      <c r="R1780" t="inlineStr">
        <is>
          <t>T1110:Brute Force | T1190:Exploit Public-Facing Application | T1566:Phishing</t>
        </is>
      </c>
      <c r="S1780" t="n">
        <v>1</v>
      </c>
      <c r="T1780" t="inlineStr">
        <is>
          <t>MEDIUM (60%)</t>
        </is>
      </c>
      <c r="U1780" t="inlineStr">
        <is>
          <t>NONE</t>
        </is>
      </c>
      <c r="V1780" t="inlineStr">
        <is>
          <t>NONE</t>
        </is>
      </c>
      <c r="W1780" t="inlineStr">
        <is>
          <t>NONE</t>
        </is>
      </c>
      <c r="X1780" t="inlineStr">
        <is>
          <t>NONE</t>
        </is>
      </c>
      <c r="Y1780" t="n">
        <v>0</v>
      </c>
      <c r="Z1780" t="inlineStr"/>
      <c r="AA1780" t="inlineStr">
        <is>
          <t>https://talosintelligence.com/reputation_center/lookup?search=1.24.16.132</t>
        </is>
      </c>
    </row>
    <row r="1781">
      <c r="A1781" t="inlineStr">
        <is>
          <t>TALOS_IP</t>
        </is>
      </c>
      <c r="B1781" t="inlineStr">
        <is>
          <t>8da4d4448563</t>
        </is>
      </c>
      <c r="C1781" t="inlineStr">
        <is>
          <t>Cisco Talos Blacklisted IP: 1.24.16.143 | Verified malicious | Sources: TALOS</t>
        </is>
      </c>
      <c r="D1781" t="n">
        <v>7</v>
      </c>
      <c r="E1781" t="inlineStr">
        <is>
          <t>HIGH</t>
        </is>
      </c>
      <c r="F1781" t="n">
        <v>3</v>
      </c>
      <c r="G1781" t="n">
        <v>2</v>
      </c>
      <c r="H1781" t="inlineStr">
        <is>
          <t>HIGH</t>
        </is>
      </c>
      <c r="I1781" t="n">
        <v>13</v>
      </c>
      <c r="J1781" t="inlineStr">
        <is>
          <t>NO</t>
        </is>
      </c>
      <c r="K1781" t="inlineStr">
        <is>
          <t>2026-02-23 23:48</t>
        </is>
      </c>
      <c r="L1781" t="inlineStr">
        <is>
          <t>Block IP</t>
        </is>
      </c>
      <c r="M1781" t="inlineStr">
        <is>
          <t>Network perimeter / Email / Web</t>
        </is>
      </c>
      <c r="N1781" t="inlineStr">
        <is>
          <t>P3</t>
        </is>
      </c>
      <c r="O1781" t="inlineStr">
        <is>
          <t>Check ip-api.com + AbuseIPDB for context</t>
        </is>
      </c>
      <c r="P1781" t="n">
        <v>0</v>
      </c>
      <c r="Q1781" t="n">
        <v>0</v>
      </c>
      <c r="R1781" t="inlineStr">
        <is>
          <t>T1110:Brute Force | T1190:Exploit Public-Facing Application | T1566:Phishing</t>
        </is>
      </c>
      <c r="S1781" t="n">
        <v>1</v>
      </c>
      <c r="T1781" t="inlineStr">
        <is>
          <t>MEDIUM (60%)</t>
        </is>
      </c>
      <c r="U1781" t="inlineStr">
        <is>
          <t>NONE</t>
        </is>
      </c>
      <c r="V1781" t="inlineStr">
        <is>
          <t>NONE</t>
        </is>
      </c>
      <c r="W1781" t="inlineStr">
        <is>
          <t>NONE</t>
        </is>
      </c>
      <c r="X1781" t="inlineStr">
        <is>
          <t>NONE</t>
        </is>
      </c>
      <c r="Y1781" t="n">
        <v>0</v>
      </c>
      <c r="Z1781" t="inlineStr"/>
      <c r="AA1781" t="inlineStr">
        <is>
          <t>https://talosintelligence.com/reputation_center/lookup?search=1.24.16.143</t>
        </is>
      </c>
    </row>
    <row r="1782">
      <c r="A1782" t="inlineStr">
        <is>
          <t>TALOS_IP</t>
        </is>
      </c>
      <c r="B1782" t="inlineStr">
        <is>
          <t>e0945f150a44</t>
        </is>
      </c>
      <c r="C1782" t="inlineStr">
        <is>
          <t>Cisco Talos Blacklisted IP: 1.24.16.146 | Verified malicious | Sources: TALOS</t>
        </is>
      </c>
      <c r="D1782" t="n">
        <v>7</v>
      </c>
      <c r="E1782" t="inlineStr">
        <is>
          <t>HIGH</t>
        </is>
      </c>
      <c r="F1782" t="n">
        <v>3</v>
      </c>
      <c r="G1782" t="n">
        <v>2</v>
      </c>
      <c r="H1782" t="inlineStr">
        <is>
          <t>HIGH</t>
        </is>
      </c>
      <c r="I1782" t="n">
        <v>13</v>
      </c>
      <c r="J1782" t="inlineStr">
        <is>
          <t>NO</t>
        </is>
      </c>
      <c r="K1782" t="inlineStr">
        <is>
          <t>2026-02-23 23:48</t>
        </is>
      </c>
      <c r="L1782" t="inlineStr">
        <is>
          <t>Block IP</t>
        </is>
      </c>
      <c r="M1782" t="inlineStr">
        <is>
          <t>Network perimeter / Email / Web</t>
        </is>
      </c>
      <c r="N1782" t="inlineStr">
        <is>
          <t>P3</t>
        </is>
      </c>
      <c r="O1782" t="inlineStr">
        <is>
          <t>Check ip-api.com + AbuseIPDB for context</t>
        </is>
      </c>
      <c r="P1782" t="n">
        <v>0</v>
      </c>
      <c r="Q1782" t="n">
        <v>0</v>
      </c>
      <c r="R1782" t="inlineStr">
        <is>
          <t>T1110:Brute Force | T1190:Exploit Public-Facing Application | T1566:Phishing</t>
        </is>
      </c>
      <c r="S1782" t="n">
        <v>1</v>
      </c>
      <c r="T1782" t="inlineStr">
        <is>
          <t>MEDIUM (60%)</t>
        </is>
      </c>
      <c r="U1782" t="inlineStr">
        <is>
          <t>NONE</t>
        </is>
      </c>
      <c r="V1782" t="inlineStr">
        <is>
          <t>NONE</t>
        </is>
      </c>
      <c r="W1782" t="inlineStr">
        <is>
          <t>NONE</t>
        </is>
      </c>
      <c r="X1782" t="inlineStr">
        <is>
          <t>NONE</t>
        </is>
      </c>
      <c r="Y1782" t="n">
        <v>0</v>
      </c>
      <c r="Z1782" t="inlineStr"/>
      <c r="AA1782" t="inlineStr">
        <is>
          <t>https://talosintelligence.com/reputation_center/lookup?search=1.24.16.146</t>
        </is>
      </c>
    </row>
    <row r="1783">
      <c r="A1783" t="inlineStr">
        <is>
          <t>TALOS_IP</t>
        </is>
      </c>
      <c r="B1783" t="inlineStr">
        <is>
          <t>39f054cc3ecd</t>
        </is>
      </c>
      <c r="C1783" t="inlineStr">
        <is>
          <t>Cisco Talos Blacklisted IP: 1.24.16.147 | Verified malicious | Sources: TALOS</t>
        </is>
      </c>
      <c r="D1783" t="n">
        <v>7</v>
      </c>
      <c r="E1783" t="inlineStr">
        <is>
          <t>HIGH</t>
        </is>
      </c>
      <c r="F1783" t="n">
        <v>3</v>
      </c>
      <c r="G1783" t="n">
        <v>2</v>
      </c>
      <c r="H1783" t="inlineStr">
        <is>
          <t>HIGH</t>
        </is>
      </c>
      <c r="I1783" t="n">
        <v>13</v>
      </c>
      <c r="J1783" t="inlineStr">
        <is>
          <t>NO</t>
        </is>
      </c>
      <c r="K1783" t="inlineStr">
        <is>
          <t>2026-02-23 23:48</t>
        </is>
      </c>
      <c r="L1783" t="inlineStr">
        <is>
          <t>Block IP</t>
        </is>
      </c>
      <c r="M1783" t="inlineStr">
        <is>
          <t>Network perimeter / Email / Web</t>
        </is>
      </c>
      <c r="N1783" t="inlineStr">
        <is>
          <t>P3</t>
        </is>
      </c>
      <c r="O1783" t="inlineStr">
        <is>
          <t>Check ip-api.com + AbuseIPDB for context</t>
        </is>
      </c>
      <c r="P1783" t="n">
        <v>0</v>
      </c>
      <c r="Q1783" t="n">
        <v>0</v>
      </c>
      <c r="R1783" t="inlineStr">
        <is>
          <t>T1110:Brute Force | T1190:Exploit Public-Facing Application | T1566:Phishing</t>
        </is>
      </c>
      <c r="S1783" t="n">
        <v>1</v>
      </c>
      <c r="T1783" t="inlineStr">
        <is>
          <t>MEDIUM (60%)</t>
        </is>
      </c>
      <c r="U1783" t="inlineStr">
        <is>
          <t>NONE</t>
        </is>
      </c>
      <c r="V1783" t="inlineStr">
        <is>
          <t>NONE</t>
        </is>
      </c>
      <c r="W1783" t="inlineStr">
        <is>
          <t>NONE</t>
        </is>
      </c>
      <c r="X1783" t="inlineStr">
        <is>
          <t>NONE</t>
        </is>
      </c>
      <c r="Y1783" t="n">
        <v>0</v>
      </c>
      <c r="Z1783" t="inlineStr"/>
      <c r="AA1783" t="inlineStr">
        <is>
          <t>https://talosintelligence.com/reputation_center/lookup?search=1.24.16.147</t>
        </is>
      </c>
    </row>
    <row r="1784">
      <c r="A1784" t="inlineStr">
        <is>
          <t>TALOS_IP</t>
        </is>
      </c>
      <c r="B1784" t="inlineStr">
        <is>
          <t>08a826a5175d</t>
        </is>
      </c>
      <c r="C1784" t="inlineStr">
        <is>
          <t>Cisco Talos Blacklisted IP: 1.24.16.148 | Verified malicious | Sources: TALOS</t>
        </is>
      </c>
      <c r="D1784" t="n">
        <v>7</v>
      </c>
      <c r="E1784" t="inlineStr">
        <is>
          <t>HIGH</t>
        </is>
      </c>
      <c r="F1784" t="n">
        <v>3</v>
      </c>
      <c r="G1784" t="n">
        <v>2</v>
      </c>
      <c r="H1784" t="inlineStr">
        <is>
          <t>HIGH</t>
        </is>
      </c>
      <c r="I1784" t="n">
        <v>13</v>
      </c>
      <c r="J1784" t="inlineStr">
        <is>
          <t>NO</t>
        </is>
      </c>
      <c r="K1784" t="inlineStr">
        <is>
          <t>2026-02-23 23:48</t>
        </is>
      </c>
      <c r="L1784" t="inlineStr">
        <is>
          <t>Block IP</t>
        </is>
      </c>
      <c r="M1784" t="inlineStr">
        <is>
          <t>Network perimeter / Email / Web</t>
        </is>
      </c>
      <c r="N1784" t="inlineStr">
        <is>
          <t>P3</t>
        </is>
      </c>
      <c r="O1784" t="inlineStr">
        <is>
          <t>Check ip-api.com + AbuseIPDB for context</t>
        </is>
      </c>
      <c r="P1784" t="n">
        <v>0</v>
      </c>
      <c r="Q1784" t="n">
        <v>0</v>
      </c>
      <c r="R1784" t="inlineStr">
        <is>
          <t>T1110:Brute Force | T1190:Exploit Public-Facing Application | T1566:Phishing</t>
        </is>
      </c>
      <c r="S1784" t="n">
        <v>1</v>
      </c>
      <c r="T1784" t="inlineStr">
        <is>
          <t>MEDIUM (60%)</t>
        </is>
      </c>
      <c r="U1784" t="inlineStr">
        <is>
          <t>NONE</t>
        </is>
      </c>
      <c r="V1784" t="inlineStr">
        <is>
          <t>NONE</t>
        </is>
      </c>
      <c r="W1784" t="inlineStr">
        <is>
          <t>NONE</t>
        </is>
      </c>
      <c r="X1784" t="inlineStr">
        <is>
          <t>NONE</t>
        </is>
      </c>
      <c r="Y1784" t="n">
        <v>0</v>
      </c>
      <c r="Z1784" t="inlineStr"/>
      <c r="AA1784" t="inlineStr">
        <is>
          <t>https://talosintelligence.com/reputation_center/lookup?search=1.24.16.148</t>
        </is>
      </c>
    </row>
    <row r="1785">
      <c r="A1785" t="inlineStr">
        <is>
          <t>TALOS_IP</t>
        </is>
      </c>
      <c r="B1785" t="inlineStr">
        <is>
          <t>b15bae32054c</t>
        </is>
      </c>
      <c r="C1785" t="inlineStr">
        <is>
          <t>Cisco Talos Blacklisted IP: 1.24.16.149 | Verified malicious | Sources: TALOS</t>
        </is>
      </c>
      <c r="D1785" t="n">
        <v>7</v>
      </c>
      <c r="E1785" t="inlineStr">
        <is>
          <t>HIGH</t>
        </is>
      </c>
      <c r="F1785" t="n">
        <v>3</v>
      </c>
      <c r="G1785" t="n">
        <v>2</v>
      </c>
      <c r="H1785" t="inlineStr">
        <is>
          <t>HIGH</t>
        </is>
      </c>
      <c r="I1785" t="n">
        <v>13</v>
      </c>
      <c r="J1785" t="inlineStr">
        <is>
          <t>NO</t>
        </is>
      </c>
      <c r="K1785" t="inlineStr">
        <is>
          <t>2026-02-23 23:48</t>
        </is>
      </c>
      <c r="L1785" t="inlineStr">
        <is>
          <t>Block IP</t>
        </is>
      </c>
      <c r="M1785" t="inlineStr">
        <is>
          <t>Network perimeter / Email / Web</t>
        </is>
      </c>
      <c r="N1785" t="inlineStr">
        <is>
          <t>P3</t>
        </is>
      </c>
      <c r="O1785" t="inlineStr">
        <is>
          <t>Check ip-api.com + AbuseIPDB for context</t>
        </is>
      </c>
      <c r="P1785" t="n">
        <v>0</v>
      </c>
      <c r="Q1785" t="n">
        <v>0</v>
      </c>
      <c r="R1785" t="inlineStr">
        <is>
          <t>T1110:Brute Force | T1190:Exploit Public-Facing Application | T1566:Phishing</t>
        </is>
      </c>
      <c r="S1785" t="n">
        <v>1</v>
      </c>
      <c r="T1785" t="inlineStr">
        <is>
          <t>MEDIUM (60%)</t>
        </is>
      </c>
      <c r="U1785" t="inlineStr">
        <is>
          <t>NONE</t>
        </is>
      </c>
      <c r="V1785" t="inlineStr">
        <is>
          <t>NONE</t>
        </is>
      </c>
      <c r="W1785" t="inlineStr">
        <is>
          <t>NONE</t>
        </is>
      </c>
      <c r="X1785" t="inlineStr">
        <is>
          <t>NONE</t>
        </is>
      </c>
      <c r="Y1785" t="n">
        <v>0</v>
      </c>
      <c r="Z1785" t="inlineStr"/>
      <c r="AA1785" t="inlineStr">
        <is>
          <t>https://talosintelligence.com/reputation_center/lookup?search=1.24.16.149</t>
        </is>
      </c>
    </row>
    <row r="1786">
      <c r="A1786" t="inlineStr">
        <is>
          <t>TALOS_IP</t>
        </is>
      </c>
      <c r="B1786" t="inlineStr">
        <is>
          <t>0ae1e8a715e3</t>
        </is>
      </c>
      <c r="C1786" t="inlineStr">
        <is>
          <t>Cisco Talos Blacklisted IP: 1.24.16.15 | Verified malicious | Sources: TALOS</t>
        </is>
      </c>
      <c r="D1786" t="n">
        <v>7</v>
      </c>
      <c r="E1786" t="inlineStr">
        <is>
          <t>HIGH</t>
        </is>
      </c>
      <c r="F1786" t="n">
        <v>3</v>
      </c>
      <c r="G1786" t="n">
        <v>2</v>
      </c>
      <c r="H1786" t="inlineStr">
        <is>
          <t>HIGH</t>
        </is>
      </c>
      <c r="I1786" t="n">
        <v>13</v>
      </c>
      <c r="J1786" t="inlineStr">
        <is>
          <t>NO</t>
        </is>
      </c>
      <c r="K1786" t="inlineStr">
        <is>
          <t>2026-02-23 23:48</t>
        </is>
      </c>
      <c r="L1786" t="inlineStr">
        <is>
          <t>Block IP</t>
        </is>
      </c>
      <c r="M1786" t="inlineStr">
        <is>
          <t>Network perimeter / Email / Web</t>
        </is>
      </c>
      <c r="N1786" t="inlineStr">
        <is>
          <t>P3</t>
        </is>
      </c>
      <c r="O1786" t="inlineStr">
        <is>
          <t>Check ip-api.com + AbuseIPDB for context</t>
        </is>
      </c>
      <c r="P1786" t="n">
        <v>0</v>
      </c>
      <c r="Q1786" t="n">
        <v>0</v>
      </c>
      <c r="R1786" t="inlineStr">
        <is>
          <t>T1110:Brute Force | T1190:Exploit Public-Facing Application | T1566:Phishing</t>
        </is>
      </c>
      <c r="S1786" t="n">
        <v>1</v>
      </c>
      <c r="T1786" t="inlineStr">
        <is>
          <t>MEDIUM (60%)</t>
        </is>
      </c>
      <c r="U1786" t="inlineStr">
        <is>
          <t>NONE</t>
        </is>
      </c>
      <c r="V1786" t="inlineStr">
        <is>
          <t>NONE</t>
        </is>
      </c>
      <c r="W1786" t="inlineStr">
        <is>
          <t>NONE</t>
        </is>
      </c>
      <c r="X1786" t="inlineStr">
        <is>
          <t>NONE</t>
        </is>
      </c>
      <c r="Y1786" t="n">
        <v>0</v>
      </c>
      <c r="Z1786" t="inlineStr"/>
      <c r="AA1786" t="inlineStr">
        <is>
          <t>https://talosintelligence.com/reputation_center/lookup?search=1.24.16.15</t>
        </is>
      </c>
    </row>
    <row r="1787">
      <c r="A1787" t="inlineStr">
        <is>
          <t>TALOS_IP</t>
        </is>
      </c>
      <c r="B1787" t="inlineStr">
        <is>
          <t>39618ac9f046</t>
        </is>
      </c>
      <c r="C1787" t="inlineStr">
        <is>
          <t>Cisco Talos Blacklisted IP: 1.24.16.152 | Verified malicious | Sources: TALOS</t>
        </is>
      </c>
      <c r="D1787" t="n">
        <v>7</v>
      </c>
      <c r="E1787" t="inlineStr">
        <is>
          <t>HIGH</t>
        </is>
      </c>
      <c r="F1787" t="n">
        <v>3</v>
      </c>
      <c r="G1787" t="n">
        <v>2</v>
      </c>
      <c r="H1787" t="inlineStr">
        <is>
          <t>HIGH</t>
        </is>
      </c>
      <c r="I1787" t="n">
        <v>13</v>
      </c>
      <c r="J1787" t="inlineStr">
        <is>
          <t>NO</t>
        </is>
      </c>
      <c r="K1787" t="inlineStr">
        <is>
          <t>2026-02-23 23:48</t>
        </is>
      </c>
      <c r="L1787" t="inlineStr">
        <is>
          <t>Block IP</t>
        </is>
      </c>
      <c r="M1787" t="inlineStr">
        <is>
          <t>Network perimeter / Email / Web</t>
        </is>
      </c>
      <c r="N1787" t="inlineStr">
        <is>
          <t>P3</t>
        </is>
      </c>
      <c r="O1787" t="inlineStr">
        <is>
          <t>Check ip-api.com + AbuseIPDB for context</t>
        </is>
      </c>
      <c r="P1787" t="n">
        <v>0</v>
      </c>
      <c r="Q1787" t="n">
        <v>0</v>
      </c>
      <c r="R1787" t="inlineStr">
        <is>
          <t>T1110:Brute Force | T1190:Exploit Public-Facing Application | T1566:Phishing</t>
        </is>
      </c>
      <c r="S1787" t="n">
        <v>1</v>
      </c>
      <c r="T1787" t="inlineStr">
        <is>
          <t>MEDIUM (60%)</t>
        </is>
      </c>
      <c r="U1787" t="inlineStr">
        <is>
          <t>NONE</t>
        </is>
      </c>
      <c r="V1787" t="inlineStr">
        <is>
          <t>NONE</t>
        </is>
      </c>
      <c r="W1787" t="inlineStr">
        <is>
          <t>NONE</t>
        </is>
      </c>
      <c r="X1787" t="inlineStr">
        <is>
          <t>NONE</t>
        </is>
      </c>
      <c r="Y1787" t="n">
        <v>0</v>
      </c>
      <c r="Z1787" t="inlineStr"/>
      <c r="AA1787" t="inlineStr">
        <is>
          <t>https://talosintelligence.com/reputation_center/lookup?search=1.24.16.152</t>
        </is>
      </c>
    </row>
    <row r="1788">
      <c r="A1788" t="inlineStr">
        <is>
          <t>TALOS_IP</t>
        </is>
      </c>
      <c r="B1788" t="inlineStr">
        <is>
          <t>9bde7a56c487</t>
        </is>
      </c>
      <c r="C1788" t="inlineStr">
        <is>
          <t>Cisco Talos Blacklisted IP: 1.24.16.159 | Verified malicious | Sources: TALOS</t>
        </is>
      </c>
      <c r="D1788" t="n">
        <v>7</v>
      </c>
      <c r="E1788" t="inlineStr">
        <is>
          <t>HIGH</t>
        </is>
      </c>
      <c r="F1788" t="n">
        <v>3</v>
      </c>
      <c r="G1788" t="n">
        <v>2</v>
      </c>
      <c r="H1788" t="inlineStr">
        <is>
          <t>HIGH</t>
        </is>
      </c>
      <c r="I1788" t="n">
        <v>13</v>
      </c>
      <c r="J1788" t="inlineStr">
        <is>
          <t>NO</t>
        </is>
      </c>
      <c r="K1788" t="inlineStr">
        <is>
          <t>2026-02-23 23:48</t>
        </is>
      </c>
      <c r="L1788" t="inlineStr">
        <is>
          <t>Block IP</t>
        </is>
      </c>
      <c r="M1788" t="inlineStr">
        <is>
          <t>Network perimeter / Email / Web</t>
        </is>
      </c>
      <c r="N1788" t="inlineStr">
        <is>
          <t>P3</t>
        </is>
      </c>
      <c r="O1788" t="inlineStr">
        <is>
          <t>Check ip-api.com + AbuseIPDB for context</t>
        </is>
      </c>
      <c r="P1788" t="n">
        <v>0</v>
      </c>
      <c r="Q1788" t="n">
        <v>0</v>
      </c>
      <c r="R1788" t="inlineStr">
        <is>
          <t>T1110:Brute Force | T1190:Exploit Public-Facing Application | T1566:Phishing</t>
        </is>
      </c>
      <c r="S1788" t="n">
        <v>1</v>
      </c>
      <c r="T1788" t="inlineStr">
        <is>
          <t>MEDIUM (60%)</t>
        </is>
      </c>
      <c r="U1788" t="inlineStr">
        <is>
          <t>NONE</t>
        </is>
      </c>
      <c r="V1788" t="inlineStr">
        <is>
          <t>NONE</t>
        </is>
      </c>
      <c r="W1788" t="inlineStr">
        <is>
          <t>NONE</t>
        </is>
      </c>
      <c r="X1788" t="inlineStr">
        <is>
          <t>NONE</t>
        </is>
      </c>
      <c r="Y1788" t="n">
        <v>0</v>
      </c>
      <c r="Z1788" t="inlineStr"/>
      <c r="AA1788" t="inlineStr">
        <is>
          <t>https://talosintelligence.com/reputation_center/lookup?search=1.24.16.159</t>
        </is>
      </c>
    </row>
    <row r="1789">
      <c r="A1789" t="inlineStr">
        <is>
          <t>TALOS_IP</t>
        </is>
      </c>
      <c r="B1789" t="inlineStr">
        <is>
          <t>3504175bba14</t>
        </is>
      </c>
      <c r="C1789" t="inlineStr">
        <is>
          <t>Cisco Talos Blacklisted IP: 1.24.16.161 | Verified malicious | Sources: TALOS</t>
        </is>
      </c>
      <c r="D1789" t="n">
        <v>7</v>
      </c>
      <c r="E1789" t="inlineStr">
        <is>
          <t>HIGH</t>
        </is>
      </c>
      <c r="F1789" t="n">
        <v>3</v>
      </c>
      <c r="G1789" t="n">
        <v>2</v>
      </c>
      <c r="H1789" t="inlineStr">
        <is>
          <t>HIGH</t>
        </is>
      </c>
      <c r="I1789" t="n">
        <v>13</v>
      </c>
      <c r="J1789" t="inlineStr">
        <is>
          <t>NO</t>
        </is>
      </c>
      <c r="K1789" t="inlineStr">
        <is>
          <t>2026-02-23 23:48</t>
        </is>
      </c>
      <c r="L1789" t="inlineStr">
        <is>
          <t>Block IP</t>
        </is>
      </c>
      <c r="M1789" t="inlineStr">
        <is>
          <t>Network perimeter / Email / Web</t>
        </is>
      </c>
      <c r="N1789" t="inlineStr">
        <is>
          <t>P3</t>
        </is>
      </c>
      <c r="O1789" t="inlineStr">
        <is>
          <t>Check ip-api.com + AbuseIPDB for context</t>
        </is>
      </c>
      <c r="P1789" t="n">
        <v>0</v>
      </c>
      <c r="Q1789" t="n">
        <v>0</v>
      </c>
      <c r="R1789" t="inlineStr">
        <is>
          <t>T1110:Brute Force | T1190:Exploit Public-Facing Application | T1566:Phishing</t>
        </is>
      </c>
      <c r="S1789" t="n">
        <v>1</v>
      </c>
      <c r="T1789" t="inlineStr">
        <is>
          <t>MEDIUM (60%)</t>
        </is>
      </c>
      <c r="U1789" t="inlineStr">
        <is>
          <t>NONE</t>
        </is>
      </c>
      <c r="V1789" t="inlineStr">
        <is>
          <t>NONE</t>
        </is>
      </c>
      <c r="W1789" t="inlineStr">
        <is>
          <t>NONE</t>
        </is>
      </c>
      <c r="X1789" t="inlineStr">
        <is>
          <t>NONE</t>
        </is>
      </c>
      <c r="Y1789" t="n">
        <v>0</v>
      </c>
      <c r="Z1789" t="inlineStr"/>
      <c r="AA1789" t="inlineStr">
        <is>
          <t>https://talosintelligence.com/reputation_center/lookup?search=1.24.16.161</t>
        </is>
      </c>
    </row>
    <row r="1790">
      <c r="A1790" t="inlineStr">
        <is>
          <t>TALOS_IP</t>
        </is>
      </c>
      <c r="B1790" t="inlineStr">
        <is>
          <t>5711df958d2c</t>
        </is>
      </c>
      <c r="C1790" t="inlineStr">
        <is>
          <t>Cisco Talos Blacklisted IP: 1.24.16.163 | Verified malicious | Sources: TALOS</t>
        </is>
      </c>
      <c r="D1790" t="n">
        <v>7</v>
      </c>
      <c r="E1790" t="inlineStr">
        <is>
          <t>HIGH</t>
        </is>
      </c>
      <c r="F1790" t="n">
        <v>3</v>
      </c>
      <c r="G1790" t="n">
        <v>2</v>
      </c>
      <c r="H1790" t="inlineStr">
        <is>
          <t>HIGH</t>
        </is>
      </c>
      <c r="I1790" t="n">
        <v>13</v>
      </c>
      <c r="J1790" t="inlineStr">
        <is>
          <t>NO</t>
        </is>
      </c>
      <c r="K1790" t="inlineStr">
        <is>
          <t>2026-02-23 23:48</t>
        </is>
      </c>
      <c r="L1790" t="inlineStr">
        <is>
          <t>Block IP</t>
        </is>
      </c>
      <c r="M1790" t="inlineStr">
        <is>
          <t>Network perimeter / Email / Web</t>
        </is>
      </c>
      <c r="N1790" t="inlineStr">
        <is>
          <t>P3</t>
        </is>
      </c>
      <c r="O1790" t="inlineStr">
        <is>
          <t>Check ip-api.com + AbuseIPDB for context</t>
        </is>
      </c>
      <c r="P1790" t="n">
        <v>0</v>
      </c>
      <c r="Q1790" t="n">
        <v>0</v>
      </c>
      <c r="R1790" t="inlineStr">
        <is>
          <t>T1110:Brute Force | T1190:Exploit Public-Facing Application | T1566:Phishing</t>
        </is>
      </c>
      <c r="S1790" t="n">
        <v>1</v>
      </c>
      <c r="T1790" t="inlineStr">
        <is>
          <t>MEDIUM (60%)</t>
        </is>
      </c>
      <c r="U1790" t="inlineStr">
        <is>
          <t>NONE</t>
        </is>
      </c>
      <c r="V1790" t="inlineStr">
        <is>
          <t>NONE</t>
        </is>
      </c>
      <c r="W1790" t="inlineStr">
        <is>
          <t>NONE</t>
        </is>
      </c>
      <c r="X1790" t="inlineStr">
        <is>
          <t>NONE</t>
        </is>
      </c>
      <c r="Y1790" t="n">
        <v>0</v>
      </c>
      <c r="Z1790" t="inlineStr"/>
      <c r="AA1790" t="inlineStr">
        <is>
          <t>https://talosintelligence.com/reputation_center/lookup?search=1.24.16.163</t>
        </is>
      </c>
    </row>
    <row r="1791">
      <c r="A1791" t="inlineStr">
        <is>
          <t>TALOS_IP</t>
        </is>
      </c>
      <c r="B1791" t="inlineStr">
        <is>
          <t>cfbbfa6538bf</t>
        </is>
      </c>
      <c r="C1791" t="inlineStr">
        <is>
          <t>Cisco Talos Blacklisted IP: 1.24.16.170 | Verified malicious | Sources: TALOS</t>
        </is>
      </c>
      <c r="D1791" t="n">
        <v>7</v>
      </c>
      <c r="E1791" t="inlineStr">
        <is>
          <t>HIGH</t>
        </is>
      </c>
      <c r="F1791" t="n">
        <v>3</v>
      </c>
      <c r="G1791" t="n">
        <v>2</v>
      </c>
      <c r="H1791" t="inlineStr">
        <is>
          <t>HIGH</t>
        </is>
      </c>
      <c r="I1791" t="n">
        <v>13</v>
      </c>
      <c r="J1791" t="inlineStr">
        <is>
          <t>NO</t>
        </is>
      </c>
      <c r="K1791" t="inlineStr">
        <is>
          <t>2026-02-23 23:48</t>
        </is>
      </c>
      <c r="L1791" t="inlineStr">
        <is>
          <t>Block IP</t>
        </is>
      </c>
      <c r="M1791" t="inlineStr">
        <is>
          <t>Network perimeter / Email / Web</t>
        </is>
      </c>
      <c r="N1791" t="inlineStr">
        <is>
          <t>P3</t>
        </is>
      </c>
      <c r="O1791" t="inlineStr">
        <is>
          <t>Check ip-api.com + AbuseIPDB for context</t>
        </is>
      </c>
      <c r="P1791" t="n">
        <v>0</v>
      </c>
      <c r="Q1791" t="n">
        <v>0</v>
      </c>
      <c r="R1791" t="inlineStr">
        <is>
          <t>T1110:Brute Force | T1190:Exploit Public-Facing Application | T1566:Phishing</t>
        </is>
      </c>
      <c r="S1791" t="n">
        <v>1</v>
      </c>
      <c r="T1791" t="inlineStr">
        <is>
          <t>MEDIUM (60%)</t>
        </is>
      </c>
      <c r="U1791" t="inlineStr">
        <is>
          <t>NONE</t>
        </is>
      </c>
      <c r="V1791" t="inlineStr">
        <is>
          <t>NONE</t>
        </is>
      </c>
      <c r="W1791" t="inlineStr">
        <is>
          <t>NONE</t>
        </is>
      </c>
      <c r="X1791" t="inlineStr">
        <is>
          <t>NONE</t>
        </is>
      </c>
      <c r="Y1791" t="n">
        <v>0</v>
      </c>
      <c r="Z1791" t="inlineStr"/>
      <c r="AA1791" t="inlineStr">
        <is>
          <t>https://talosintelligence.com/reputation_center/lookup?search=1.24.16.170</t>
        </is>
      </c>
    </row>
    <row r="1792">
      <c r="A1792" t="inlineStr">
        <is>
          <t>TALOS_IP</t>
        </is>
      </c>
      <c r="B1792" t="inlineStr">
        <is>
          <t>d6db713097d7</t>
        </is>
      </c>
      <c r="C1792" t="inlineStr">
        <is>
          <t>Cisco Talos Blacklisted IP: 1.24.16.194 | Verified malicious | Sources: TALOS</t>
        </is>
      </c>
      <c r="D1792" t="n">
        <v>7</v>
      </c>
      <c r="E1792" t="inlineStr">
        <is>
          <t>HIGH</t>
        </is>
      </c>
      <c r="F1792" t="n">
        <v>3</v>
      </c>
      <c r="G1792" t="n">
        <v>2</v>
      </c>
      <c r="H1792" t="inlineStr">
        <is>
          <t>HIGH</t>
        </is>
      </c>
      <c r="I1792" t="n">
        <v>13</v>
      </c>
      <c r="J1792" t="inlineStr">
        <is>
          <t>NO</t>
        </is>
      </c>
      <c r="K1792" t="inlineStr">
        <is>
          <t>2026-02-23 23:48</t>
        </is>
      </c>
      <c r="L1792" t="inlineStr">
        <is>
          <t>Block IP</t>
        </is>
      </c>
      <c r="M1792" t="inlineStr">
        <is>
          <t>Network perimeter / Email / Web</t>
        </is>
      </c>
      <c r="N1792" t="inlineStr">
        <is>
          <t>P3</t>
        </is>
      </c>
      <c r="O1792" t="inlineStr">
        <is>
          <t>Check ip-api.com + AbuseIPDB for context</t>
        </is>
      </c>
      <c r="P1792" t="n">
        <v>0</v>
      </c>
      <c r="Q1792" t="n">
        <v>0</v>
      </c>
      <c r="R1792" t="inlineStr">
        <is>
          <t>T1110:Brute Force | T1190:Exploit Public-Facing Application | T1566:Phishing</t>
        </is>
      </c>
      <c r="S1792" t="n">
        <v>1</v>
      </c>
      <c r="T1792" t="inlineStr">
        <is>
          <t>MEDIUM (60%)</t>
        </is>
      </c>
      <c r="U1792" t="inlineStr">
        <is>
          <t>NONE</t>
        </is>
      </c>
      <c r="V1792" t="inlineStr">
        <is>
          <t>NONE</t>
        </is>
      </c>
      <c r="W1792" t="inlineStr">
        <is>
          <t>NONE</t>
        </is>
      </c>
      <c r="X1792" t="inlineStr">
        <is>
          <t>NONE</t>
        </is>
      </c>
      <c r="Y1792" t="n">
        <v>0</v>
      </c>
      <c r="Z1792" t="inlineStr"/>
      <c r="AA1792" t="inlineStr">
        <is>
          <t>https://talosintelligence.com/reputation_center/lookup?search=1.24.16.194</t>
        </is>
      </c>
    </row>
    <row r="1793">
      <c r="A1793" t="inlineStr">
        <is>
          <t>TALOS_IP</t>
        </is>
      </c>
      <c r="B1793" t="inlineStr">
        <is>
          <t>86a077e65602</t>
        </is>
      </c>
      <c r="C1793" t="inlineStr">
        <is>
          <t>Cisco Talos Blacklisted IP: 1.24.16.195 | Verified malicious | Sources: TALOS</t>
        </is>
      </c>
      <c r="D1793" t="n">
        <v>7</v>
      </c>
      <c r="E1793" t="inlineStr">
        <is>
          <t>HIGH</t>
        </is>
      </c>
      <c r="F1793" t="n">
        <v>3</v>
      </c>
      <c r="G1793" t="n">
        <v>2</v>
      </c>
      <c r="H1793" t="inlineStr">
        <is>
          <t>HIGH</t>
        </is>
      </c>
      <c r="I1793" t="n">
        <v>13</v>
      </c>
      <c r="J1793" t="inlineStr">
        <is>
          <t>NO</t>
        </is>
      </c>
      <c r="K1793" t="inlineStr">
        <is>
          <t>2026-02-23 23:48</t>
        </is>
      </c>
      <c r="L1793" t="inlineStr">
        <is>
          <t>Block IP</t>
        </is>
      </c>
      <c r="M1793" t="inlineStr">
        <is>
          <t>Network perimeter / Email / Web</t>
        </is>
      </c>
      <c r="N1793" t="inlineStr">
        <is>
          <t>P3</t>
        </is>
      </c>
      <c r="O1793" t="inlineStr">
        <is>
          <t>Check ip-api.com + AbuseIPDB for context</t>
        </is>
      </c>
      <c r="P1793" t="n">
        <v>0</v>
      </c>
      <c r="Q1793" t="n">
        <v>0</v>
      </c>
      <c r="R1793" t="inlineStr">
        <is>
          <t>T1110:Brute Force | T1190:Exploit Public-Facing Application | T1566:Phishing</t>
        </is>
      </c>
      <c r="S1793" t="n">
        <v>1</v>
      </c>
      <c r="T1793" t="inlineStr">
        <is>
          <t>MEDIUM (60%)</t>
        </is>
      </c>
      <c r="U1793" t="inlineStr">
        <is>
          <t>NONE</t>
        </is>
      </c>
      <c r="V1793" t="inlineStr">
        <is>
          <t>NONE</t>
        </is>
      </c>
      <c r="W1793" t="inlineStr">
        <is>
          <t>NONE</t>
        </is>
      </c>
      <c r="X1793" t="inlineStr">
        <is>
          <t>NONE</t>
        </is>
      </c>
      <c r="Y1793" t="n">
        <v>0</v>
      </c>
      <c r="Z1793" t="inlineStr"/>
      <c r="AA1793" t="inlineStr">
        <is>
          <t>https://talosintelligence.com/reputation_center/lookup?search=1.24.16.195</t>
        </is>
      </c>
    </row>
    <row r="1794">
      <c r="A1794" t="inlineStr">
        <is>
          <t>TALOS_IP</t>
        </is>
      </c>
      <c r="B1794" t="inlineStr">
        <is>
          <t>c948fc88a3f2</t>
        </is>
      </c>
      <c r="C1794" t="inlineStr">
        <is>
          <t>Cisco Talos Blacklisted IP: 1.24.16.196 | Verified malicious | Sources: TALOS</t>
        </is>
      </c>
      <c r="D1794" t="n">
        <v>7</v>
      </c>
      <c r="E1794" t="inlineStr">
        <is>
          <t>HIGH</t>
        </is>
      </c>
      <c r="F1794" t="n">
        <v>3</v>
      </c>
      <c r="G1794" t="n">
        <v>2</v>
      </c>
      <c r="H1794" t="inlineStr">
        <is>
          <t>HIGH</t>
        </is>
      </c>
      <c r="I1794" t="n">
        <v>13</v>
      </c>
      <c r="J1794" t="inlineStr">
        <is>
          <t>NO</t>
        </is>
      </c>
      <c r="K1794" t="inlineStr">
        <is>
          <t>2026-02-23 23:48</t>
        </is>
      </c>
      <c r="L1794" t="inlineStr">
        <is>
          <t>Block IP</t>
        </is>
      </c>
      <c r="M1794" t="inlineStr">
        <is>
          <t>Network perimeter / Email / Web</t>
        </is>
      </c>
      <c r="N1794" t="inlineStr">
        <is>
          <t>P3</t>
        </is>
      </c>
      <c r="O1794" t="inlineStr">
        <is>
          <t>Check ip-api.com + AbuseIPDB for context</t>
        </is>
      </c>
      <c r="P1794" t="n">
        <v>0</v>
      </c>
      <c r="Q1794" t="n">
        <v>0</v>
      </c>
      <c r="R1794" t="inlineStr">
        <is>
          <t>T1110:Brute Force | T1190:Exploit Public-Facing Application | T1566:Phishing</t>
        </is>
      </c>
      <c r="S1794" t="n">
        <v>1</v>
      </c>
      <c r="T1794" t="inlineStr">
        <is>
          <t>MEDIUM (60%)</t>
        </is>
      </c>
      <c r="U1794" t="inlineStr">
        <is>
          <t>NONE</t>
        </is>
      </c>
      <c r="V1794" t="inlineStr">
        <is>
          <t>NONE</t>
        </is>
      </c>
      <c r="W1794" t="inlineStr">
        <is>
          <t>NONE</t>
        </is>
      </c>
      <c r="X1794" t="inlineStr">
        <is>
          <t>NONE</t>
        </is>
      </c>
      <c r="Y1794" t="n">
        <v>0</v>
      </c>
      <c r="Z1794" t="inlineStr"/>
      <c r="AA1794" t="inlineStr">
        <is>
          <t>https://talosintelligence.com/reputation_center/lookup?search=1.24.16.196</t>
        </is>
      </c>
    </row>
    <row r="1795">
      <c r="A1795" t="inlineStr">
        <is>
          <t>TALOS_IP</t>
        </is>
      </c>
      <c r="B1795" t="inlineStr">
        <is>
          <t>aa900abb23d0</t>
        </is>
      </c>
      <c r="C1795" t="inlineStr">
        <is>
          <t>Cisco Talos Blacklisted IP: 1.24.16.199 | Verified malicious | Sources: TALOS</t>
        </is>
      </c>
      <c r="D1795" t="n">
        <v>7</v>
      </c>
      <c r="E1795" t="inlineStr">
        <is>
          <t>HIGH</t>
        </is>
      </c>
      <c r="F1795" t="n">
        <v>3</v>
      </c>
      <c r="G1795" t="n">
        <v>2</v>
      </c>
      <c r="H1795" t="inlineStr">
        <is>
          <t>HIGH</t>
        </is>
      </c>
      <c r="I1795" t="n">
        <v>13</v>
      </c>
      <c r="J1795" t="inlineStr">
        <is>
          <t>NO</t>
        </is>
      </c>
      <c r="K1795" t="inlineStr">
        <is>
          <t>2026-02-23 23:48</t>
        </is>
      </c>
      <c r="L1795" t="inlineStr">
        <is>
          <t>Block IP</t>
        </is>
      </c>
      <c r="M1795" t="inlineStr">
        <is>
          <t>Network perimeter / Email / Web</t>
        </is>
      </c>
      <c r="N1795" t="inlineStr">
        <is>
          <t>P3</t>
        </is>
      </c>
      <c r="O1795" t="inlineStr">
        <is>
          <t>Check ip-api.com + AbuseIPDB for context</t>
        </is>
      </c>
      <c r="P1795" t="n">
        <v>0</v>
      </c>
      <c r="Q1795" t="n">
        <v>0</v>
      </c>
      <c r="R1795" t="inlineStr">
        <is>
          <t>T1110:Brute Force | T1190:Exploit Public-Facing Application | T1566:Phishing</t>
        </is>
      </c>
      <c r="S1795" t="n">
        <v>1</v>
      </c>
      <c r="T1795" t="inlineStr">
        <is>
          <t>MEDIUM (60%)</t>
        </is>
      </c>
      <c r="U1795" t="inlineStr">
        <is>
          <t>NONE</t>
        </is>
      </c>
      <c r="V1795" t="inlineStr">
        <is>
          <t>NONE</t>
        </is>
      </c>
      <c r="W1795" t="inlineStr">
        <is>
          <t>NONE</t>
        </is>
      </c>
      <c r="X1795" t="inlineStr">
        <is>
          <t>NONE</t>
        </is>
      </c>
      <c r="Y1795" t="n">
        <v>0</v>
      </c>
      <c r="Z1795" t="inlineStr"/>
      <c r="AA1795" t="inlineStr">
        <is>
          <t>https://talosintelligence.com/reputation_center/lookup?search=1.24.16.199</t>
        </is>
      </c>
    </row>
    <row r="1796">
      <c r="A1796" t="inlineStr">
        <is>
          <t>TALOS_IP</t>
        </is>
      </c>
      <c r="B1796" t="inlineStr">
        <is>
          <t>d243f44e62af</t>
        </is>
      </c>
      <c r="C1796" t="inlineStr">
        <is>
          <t>Cisco Talos Blacklisted IP: 1.24.16.200 | Verified malicious | Sources: TALOS</t>
        </is>
      </c>
      <c r="D1796" t="n">
        <v>7</v>
      </c>
      <c r="E1796" t="inlineStr">
        <is>
          <t>HIGH</t>
        </is>
      </c>
      <c r="F1796" t="n">
        <v>3</v>
      </c>
      <c r="G1796" t="n">
        <v>2</v>
      </c>
      <c r="H1796" t="inlineStr">
        <is>
          <t>HIGH</t>
        </is>
      </c>
      <c r="I1796" t="n">
        <v>13</v>
      </c>
      <c r="J1796" t="inlineStr">
        <is>
          <t>NO</t>
        </is>
      </c>
      <c r="K1796" t="inlineStr">
        <is>
          <t>2026-02-23 23:48</t>
        </is>
      </c>
      <c r="L1796" t="inlineStr">
        <is>
          <t>Block IP</t>
        </is>
      </c>
      <c r="M1796" t="inlineStr">
        <is>
          <t>Network perimeter / Email / Web</t>
        </is>
      </c>
      <c r="N1796" t="inlineStr">
        <is>
          <t>P3</t>
        </is>
      </c>
      <c r="O1796" t="inlineStr">
        <is>
          <t>Check ip-api.com + AbuseIPDB for context</t>
        </is>
      </c>
      <c r="P1796" t="n">
        <v>0</v>
      </c>
      <c r="Q1796" t="n">
        <v>0</v>
      </c>
      <c r="R1796" t="inlineStr">
        <is>
          <t>T1110:Brute Force | T1190:Exploit Public-Facing Application | T1566:Phishing</t>
        </is>
      </c>
      <c r="S1796" t="n">
        <v>1</v>
      </c>
      <c r="T1796" t="inlineStr">
        <is>
          <t>MEDIUM (60%)</t>
        </is>
      </c>
      <c r="U1796" t="inlineStr">
        <is>
          <t>NONE</t>
        </is>
      </c>
      <c r="V1796" t="inlineStr">
        <is>
          <t>NONE</t>
        </is>
      </c>
      <c r="W1796" t="inlineStr">
        <is>
          <t>NONE</t>
        </is>
      </c>
      <c r="X1796" t="inlineStr">
        <is>
          <t>NONE</t>
        </is>
      </c>
      <c r="Y1796" t="n">
        <v>0</v>
      </c>
      <c r="Z1796" t="inlineStr"/>
      <c r="AA1796" t="inlineStr">
        <is>
          <t>https://talosintelligence.com/reputation_center/lookup?search=1.24.16.200</t>
        </is>
      </c>
    </row>
    <row r="1797">
      <c r="A1797" t="inlineStr">
        <is>
          <t>TALOS_IP</t>
        </is>
      </c>
      <c r="B1797" t="inlineStr">
        <is>
          <t>6520a8709a23</t>
        </is>
      </c>
      <c r="C1797" t="inlineStr">
        <is>
          <t>Cisco Talos Blacklisted IP: 1.24.16.205 | Verified malicious | Sources: TALOS</t>
        </is>
      </c>
      <c r="D1797" t="n">
        <v>7</v>
      </c>
      <c r="E1797" t="inlineStr">
        <is>
          <t>HIGH</t>
        </is>
      </c>
      <c r="F1797" t="n">
        <v>3</v>
      </c>
      <c r="G1797" t="n">
        <v>2</v>
      </c>
      <c r="H1797" t="inlineStr">
        <is>
          <t>HIGH</t>
        </is>
      </c>
      <c r="I1797" t="n">
        <v>13</v>
      </c>
      <c r="J1797" t="inlineStr">
        <is>
          <t>NO</t>
        </is>
      </c>
      <c r="K1797" t="inlineStr">
        <is>
          <t>2026-02-23 23:48</t>
        </is>
      </c>
      <c r="L1797" t="inlineStr">
        <is>
          <t>Block IP</t>
        </is>
      </c>
      <c r="M1797" t="inlineStr">
        <is>
          <t>Network perimeter / Email / Web</t>
        </is>
      </c>
      <c r="N1797" t="inlineStr">
        <is>
          <t>P3</t>
        </is>
      </c>
      <c r="O1797" t="inlineStr">
        <is>
          <t>Check ip-api.com + AbuseIPDB for context</t>
        </is>
      </c>
      <c r="P1797" t="n">
        <v>0</v>
      </c>
      <c r="Q1797" t="n">
        <v>0</v>
      </c>
      <c r="R1797" t="inlineStr">
        <is>
          <t>T1110:Brute Force | T1190:Exploit Public-Facing Application | T1566:Phishing</t>
        </is>
      </c>
      <c r="S1797" t="n">
        <v>1</v>
      </c>
      <c r="T1797" t="inlineStr">
        <is>
          <t>MEDIUM (60%)</t>
        </is>
      </c>
      <c r="U1797" t="inlineStr">
        <is>
          <t>NONE</t>
        </is>
      </c>
      <c r="V1797" t="inlineStr">
        <is>
          <t>NONE</t>
        </is>
      </c>
      <c r="W1797" t="inlineStr">
        <is>
          <t>NONE</t>
        </is>
      </c>
      <c r="X1797" t="inlineStr">
        <is>
          <t>NONE</t>
        </is>
      </c>
      <c r="Y1797" t="n">
        <v>0</v>
      </c>
      <c r="Z1797" t="inlineStr"/>
      <c r="AA1797" t="inlineStr">
        <is>
          <t>https://talosintelligence.com/reputation_center/lookup?search=1.24.16.205</t>
        </is>
      </c>
    </row>
    <row r="1798">
      <c r="A1798" t="inlineStr">
        <is>
          <t>TALOS_IP</t>
        </is>
      </c>
      <c r="B1798" t="inlineStr">
        <is>
          <t>34839a56ae1a</t>
        </is>
      </c>
      <c r="C1798" t="inlineStr">
        <is>
          <t>Cisco Talos Blacklisted IP: 1.24.16.206 | Verified malicious | Sources: TALOS</t>
        </is>
      </c>
      <c r="D1798" t="n">
        <v>7</v>
      </c>
      <c r="E1798" t="inlineStr">
        <is>
          <t>HIGH</t>
        </is>
      </c>
      <c r="F1798" t="n">
        <v>3</v>
      </c>
      <c r="G1798" t="n">
        <v>2</v>
      </c>
      <c r="H1798" t="inlineStr">
        <is>
          <t>HIGH</t>
        </is>
      </c>
      <c r="I1798" t="n">
        <v>13</v>
      </c>
      <c r="J1798" t="inlineStr">
        <is>
          <t>NO</t>
        </is>
      </c>
      <c r="K1798" t="inlineStr">
        <is>
          <t>2026-02-23 23:48</t>
        </is>
      </c>
      <c r="L1798" t="inlineStr">
        <is>
          <t>Block IP</t>
        </is>
      </c>
      <c r="M1798" t="inlineStr">
        <is>
          <t>Network perimeter / Email / Web</t>
        </is>
      </c>
      <c r="N1798" t="inlineStr">
        <is>
          <t>P3</t>
        </is>
      </c>
      <c r="O1798" t="inlineStr">
        <is>
          <t>Check ip-api.com + AbuseIPDB for context</t>
        </is>
      </c>
      <c r="P1798" t="n">
        <v>0</v>
      </c>
      <c r="Q1798" t="n">
        <v>0</v>
      </c>
      <c r="R1798" t="inlineStr">
        <is>
          <t>T1110:Brute Force | T1190:Exploit Public-Facing Application | T1566:Phishing</t>
        </is>
      </c>
      <c r="S1798" t="n">
        <v>1</v>
      </c>
      <c r="T1798" t="inlineStr">
        <is>
          <t>MEDIUM (60%)</t>
        </is>
      </c>
      <c r="U1798" t="inlineStr">
        <is>
          <t>NONE</t>
        </is>
      </c>
      <c r="V1798" t="inlineStr">
        <is>
          <t>NONE</t>
        </is>
      </c>
      <c r="W1798" t="inlineStr">
        <is>
          <t>NONE</t>
        </is>
      </c>
      <c r="X1798" t="inlineStr">
        <is>
          <t>NONE</t>
        </is>
      </c>
      <c r="Y1798" t="n">
        <v>0</v>
      </c>
      <c r="Z1798" t="inlineStr"/>
      <c r="AA1798" t="inlineStr">
        <is>
          <t>https://talosintelligence.com/reputation_center/lookup?search=1.24.16.206</t>
        </is>
      </c>
    </row>
    <row r="1799">
      <c r="A1799" t="inlineStr">
        <is>
          <t>TALOS_IP</t>
        </is>
      </c>
      <c r="B1799" t="inlineStr">
        <is>
          <t>a83ffcaeae64</t>
        </is>
      </c>
      <c r="C1799" t="inlineStr">
        <is>
          <t>Cisco Talos Blacklisted IP: 1.24.16.207 | Verified malicious | Sources: TALOS</t>
        </is>
      </c>
      <c r="D1799" t="n">
        <v>7</v>
      </c>
      <c r="E1799" t="inlineStr">
        <is>
          <t>HIGH</t>
        </is>
      </c>
      <c r="F1799" t="n">
        <v>3</v>
      </c>
      <c r="G1799" t="n">
        <v>2</v>
      </c>
      <c r="H1799" t="inlineStr">
        <is>
          <t>HIGH</t>
        </is>
      </c>
      <c r="I1799" t="n">
        <v>13</v>
      </c>
      <c r="J1799" t="inlineStr">
        <is>
          <t>NO</t>
        </is>
      </c>
      <c r="K1799" t="inlineStr">
        <is>
          <t>2026-02-23 23:48</t>
        </is>
      </c>
      <c r="L1799" t="inlineStr">
        <is>
          <t>Block IP</t>
        </is>
      </c>
      <c r="M1799" t="inlineStr">
        <is>
          <t>Network perimeter / Email / Web</t>
        </is>
      </c>
      <c r="N1799" t="inlineStr">
        <is>
          <t>P3</t>
        </is>
      </c>
      <c r="O1799" t="inlineStr">
        <is>
          <t>Check ip-api.com + AbuseIPDB for context</t>
        </is>
      </c>
      <c r="P1799" t="n">
        <v>0</v>
      </c>
      <c r="Q1799" t="n">
        <v>0</v>
      </c>
      <c r="R1799" t="inlineStr">
        <is>
          <t>T1110:Brute Force | T1190:Exploit Public-Facing Application | T1566:Phishing</t>
        </is>
      </c>
      <c r="S1799" t="n">
        <v>1</v>
      </c>
      <c r="T1799" t="inlineStr">
        <is>
          <t>MEDIUM (60%)</t>
        </is>
      </c>
      <c r="U1799" t="inlineStr">
        <is>
          <t>NONE</t>
        </is>
      </c>
      <c r="V1799" t="inlineStr">
        <is>
          <t>NONE</t>
        </is>
      </c>
      <c r="W1799" t="inlineStr">
        <is>
          <t>NONE</t>
        </is>
      </c>
      <c r="X1799" t="inlineStr">
        <is>
          <t>NONE</t>
        </is>
      </c>
      <c r="Y1799" t="n">
        <v>0</v>
      </c>
      <c r="Z1799" t="inlineStr"/>
      <c r="AA1799" t="inlineStr">
        <is>
          <t>https://talosintelligence.com/reputation_center/lookup?search=1.24.16.207</t>
        </is>
      </c>
    </row>
    <row r="1800">
      <c r="A1800" t="inlineStr">
        <is>
          <t>TALOS_IP</t>
        </is>
      </c>
      <c r="B1800" t="inlineStr">
        <is>
          <t>ceebe26f9021</t>
        </is>
      </c>
      <c r="C1800" t="inlineStr">
        <is>
          <t>Cisco Talos Blacklisted IP: 1.24.16.209 | Verified malicious | Sources: TALOS</t>
        </is>
      </c>
      <c r="D1800" t="n">
        <v>7</v>
      </c>
      <c r="E1800" t="inlineStr">
        <is>
          <t>HIGH</t>
        </is>
      </c>
      <c r="F1800" t="n">
        <v>3</v>
      </c>
      <c r="G1800" t="n">
        <v>2</v>
      </c>
      <c r="H1800" t="inlineStr">
        <is>
          <t>HIGH</t>
        </is>
      </c>
      <c r="I1800" t="n">
        <v>13</v>
      </c>
      <c r="J1800" t="inlineStr">
        <is>
          <t>NO</t>
        </is>
      </c>
      <c r="K1800" t="inlineStr">
        <is>
          <t>2026-02-23 23:48</t>
        </is>
      </c>
      <c r="L1800" t="inlineStr">
        <is>
          <t>Block IP</t>
        </is>
      </c>
      <c r="M1800" t="inlineStr">
        <is>
          <t>Network perimeter / Email / Web</t>
        </is>
      </c>
      <c r="N1800" t="inlineStr">
        <is>
          <t>P3</t>
        </is>
      </c>
      <c r="O1800" t="inlineStr">
        <is>
          <t>Check ip-api.com + AbuseIPDB for context</t>
        </is>
      </c>
      <c r="P1800" t="n">
        <v>0</v>
      </c>
      <c r="Q1800" t="n">
        <v>0</v>
      </c>
      <c r="R1800" t="inlineStr">
        <is>
          <t>T1110:Brute Force | T1190:Exploit Public-Facing Application | T1566:Phishing</t>
        </is>
      </c>
      <c r="S1800" t="n">
        <v>1</v>
      </c>
      <c r="T1800" t="inlineStr">
        <is>
          <t>MEDIUM (60%)</t>
        </is>
      </c>
      <c r="U1800" t="inlineStr">
        <is>
          <t>NONE</t>
        </is>
      </c>
      <c r="V1800" t="inlineStr">
        <is>
          <t>NONE</t>
        </is>
      </c>
      <c r="W1800" t="inlineStr">
        <is>
          <t>NONE</t>
        </is>
      </c>
      <c r="X1800" t="inlineStr">
        <is>
          <t>NONE</t>
        </is>
      </c>
      <c r="Y1800" t="n">
        <v>0</v>
      </c>
      <c r="Z1800" t="inlineStr"/>
      <c r="AA1800" t="inlineStr">
        <is>
          <t>https://talosintelligence.com/reputation_center/lookup?search=1.24.16.209</t>
        </is>
      </c>
    </row>
    <row r="1801">
      <c r="A1801" t="inlineStr">
        <is>
          <t>TALOS_IP</t>
        </is>
      </c>
      <c r="B1801" t="inlineStr">
        <is>
          <t>46c0c881078a</t>
        </is>
      </c>
      <c r="C1801" t="inlineStr">
        <is>
          <t>Cisco Talos Blacklisted IP: 1.24.16.211 | Verified malicious | Sources: TALOS</t>
        </is>
      </c>
      <c r="D1801" t="n">
        <v>7</v>
      </c>
      <c r="E1801" t="inlineStr">
        <is>
          <t>HIGH</t>
        </is>
      </c>
      <c r="F1801" t="n">
        <v>3</v>
      </c>
      <c r="G1801" t="n">
        <v>2</v>
      </c>
      <c r="H1801" t="inlineStr">
        <is>
          <t>HIGH</t>
        </is>
      </c>
      <c r="I1801" t="n">
        <v>13</v>
      </c>
      <c r="J1801" t="inlineStr">
        <is>
          <t>NO</t>
        </is>
      </c>
      <c r="K1801" t="inlineStr">
        <is>
          <t>2026-02-23 23:48</t>
        </is>
      </c>
      <c r="L1801" t="inlineStr">
        <is>
          <t>Block IP</t>
        </is>
      </c>
      <c r="M1801" t="inlineStr">
        <is>
          <t>Network perimeter / Email / Web</t>
        </is>
      </c>
      <c r="N1801" t="inlineStr">
        <is>
          <t>P3</t>
        </is>
      </c>
      <c r="O1801" t="inlineStr">
        <is>
          <t>Check ip-api.com + AbuseIPDB for context</t>
        </is>
      </c>
      <c r="P1801" t="n">
        <v>0</v>
      </c>
      <c r="Q1801" t="n">
        <v>0</v>
      </c>
      <c r="R1801" t="inlineStr">
        <is>
          <t>T1110:Brute Force | T1190:Exploit Public-Facing Application | T1566:Phishing</t>
        </is>
      </c>
      <c r="S1801" t="n">
        <v>1</v>
      </c>
      <c r="T1801" t="inlineStr">
        <is>
          <t>MEDIUM (60%)</t>
        </is>
      </c>
      <c r="U1801" t="inlineStr">
        <is>
          <t>NONE</t>
        </is>
      </c>
      <c r="V1801" t="inlineStr">
        <is>
          <t>NONE</t>
        </is>
      </c>
      <c r="W1801" t="inlineStr">
        <is>
          <t>NONE</t>
        </is>
      </c>
      <c r="X1801" t="inlineStr">
        <is>
          <t>NONE</t>
        </is>
      </c>
      <c r="Y1801" t="n">
        <v>0</v>
      </c>
      <c r="Z1801" t="inlineStr"/>
      <c r="AA1801" t="inlineStr">
        <is>
          <t>https://talosintelligence.com/reputation_center/lookup?search=1.24.16.211</t>
        </is>
      </c>
    </row>
    <row r="1802">
      <c r="A1802" t="inlineStr">
        <is>
          <t>TALOS_IP</t>
        </is>
      </c>
      <c r="B1802" t="inlineStr">
        <is>
          <t>e45365a3bae2</t>
        </is>
      </c>
      <c r="C1802" t="inlineStr">
        <is>
          <t>Cisco Talos Blacklisted IP: 1.24.16.220 | Verified malicious | Sources: TALOS</t>
        </is>
      </c>
      <c r="D1802" t="n">
        <v>7</v>
      </c>
      <c r="E1802" t="inlineStr">
        <is>
          <t>HIGH</t>
        </is>
      </c>
      <c r="F1802" t="n">
        <v>3</v>
      </c>
      <c r="G1802" t="n">
        <v>2</v>
      </c>
      <c r="H1802" t="inlineStr">
        <is>
          <t>HIGH</t>
        </is>
      </c>
      <c r="I1802" t="n">
        <v>13</v>
      </c>
      <c r="J1802" t="inlineStr">
        <is>
          <t>NO</t>
        </is>
      </c>
      <c r="K1802" t="inlineStr">
        <is>
          <t>2026-02-23 23:48</t>
        </is>
      </c>
      <c r="L1802" t="inlineStr">
        <is>
          <t>Block IP</t>
        </is>
      </c>
      <c r="M1802" t="inlineStr">
        <is>
          <t>Network perimeter / Email / Web</t>
        </is>
      </c>
      <c r="N1802" t="inlineStr">
        <is>
          <t>P3</t>
        </is>
      </c>
      <c r="O1802" t="inlineStr">
        <is>
          <t>Check ip-api.com + AbuseIPDB for context</t>
        </is>
      </c>
      <c r="P1802" t="n">
        <v>0</v>
      </c>
      <c r="Q1802" t="n">
        <v>0</v>
      </c>
      <c r="R1802" t="inlineStr">
        <is>
          <t>T1110:Brute Force | T1190:Exploit Public-Facing Application | T1566:Phishing</t>
        </is>
      </c>
      <c r="S1802" t="n">
        <v>1</v>
      </c>
      <c r="T1802" t="inlineStr">
        <is>
          <t>MEDIUM (60%)</t>
        </is>
      </c>
      <c r="U1802" t="inlineStr">
        <is>
          <t>NONE</t>
        </is>
      </c>
      <c r="V1802" t="inlineStr">
        <is>
          <t>NONE</t>
        </is>
      </c>
      <c r="W1802" t="inlineStr">
        <is>
          <t>NONE</t>
        </is>
      </c>
      <c r="X1802" t="inlineStr">
        <is>
          <t>NONE</t>
        </is>
      </c>
      <c r="Y1802" t="n">
        <v>0</v>
      </c>
      <c r="Z1802" t="inlineStr"/>
      <c r="AA1802" t="inlineStr">
        <is>
          <t>https://talosintelligence.com/reputation_center/lookup?search=1.24.16.220</t>
        </is>
      </c>
    </row>
    <row r="1803">
      <c r="A1803" t="inlineStr">
        <is>
          <t>TALOS_IP</t>
        </is>
      </c>
      <c r="B1803" t="inlineStr">
        <is>
          <t>032eb4ca7703</t>
        </is>
      </c>
      <c r="C1803" t="inlineStr">
        <is>
          <t>Cisco Talos Blacklisted IP: 1.24.16.223 | Verified malicious | Sources: TALOS</t>
        </is>
      </c>
      <c r="D1803" t="n">
        <v>7</v>
      </c>
      <c r="E1803" t="inlineStr">
        <is>
          <t>HIGH</t>
        </is>
      </c>
      <c r="F1803" t="n">
        <v>3</v>
      </c>
      <c r="G1803" t="n">
        <v>2</v>
      </c>
      <c r="H1803" t="inlineStr">
        <is>
          <t>HIGH</t>
        </is>
      </c>
      <c r="I1803" t="n">
        <v>13</v>
      </c>
      <c r="J1803" t="inlineStr">
        <is>
          <t>NO</t>
        </is>
      </c>
      <c r="K1803" t="inlineStr">
        <is>
          <t>2026-02-23 23:48</t>
        </is>
      </c>
      <c r="L1803" t="inlineStr">
        <is>
          <t>Block IP</t>
        </is>
      </c>
      <c r="M1803" t="inlineStr">
        <is>
          <t>Network perimeter / Email / Web</t>
        </is>
      </c>
      <c r="N1803" t="inlineStr">
        <is>
          <t>P3</t>
        </is>
      </c>
      <c r="O1803" t="inlineStr">
        <is>
          <t>Check ip-api.com + AbuseIPDB for context</t>
        </is>
      </c>
      <c r="P1803" t="n">
        <v>0</v>
      </c>
      <c r="Q1803" t="n">
        <v>0</v>
      </c>
      <c r="R1803" t="inlineStr">
        <is>
          <t>T1110:Brute Force | T1190:Exploit Public-Facing Application | T1566:Phishing</t>
        </is>
      </c>
      <c r="S1803" t="n">
        <v>1</v>
      </c>
      <c r="T1803" t="inlineStr">
        <is>
          <t>MEDIUM (60%)</t>
        </is>
      </c>
      <c r="U1803" t="inlineStr">
        <is>
          <t>NONE</t>
        </is>
      </c>
      <c r="V1803" t="inlineStr">
        <is>
          <t>NONE</t>
        </is>
      </c>
      <c r="W1803" t="inlineStr">
        <is>
          <t>NONE</t>
        </is>
      </c>
      <c r="X1803" t="inlineStr">
        <is>
          <t>NONE</t>
        </is>
      </c>
      <c r="Y1803" t="n">
        <v>0</v>
      </c>
      <c r="Z1803" t="inlineStr"/>
      <c r="AA1803" t="inlineStr">
        <is>
          <t>https://talosintelligence.com/reputation_center/lookup?search=1.24.16.223</t>
        </is>
      </c>
    </row>
    <row r="1804">
      <c r="A1804" t="inlineStr">
        <is>
          <t>TALOS_IP</t>
        </is>
      </c>
      <c r="B1804" t="inlineStr">
        <is>
          <t>5f66be6fc095</t>
        </is>
      </c>
      <c r="C1804" t="inlineStr">
        <is>
          <t>Cisco Talos Blacklisted IP: 1.24.16.227 | Verified malicious | Sources: TALOS</t>
        </is>
      </c>
      <c r="D1804" t="n">
        <v>7</v>
      </c>
      <c r="E1804" t="inlineStr">
        <is>
          <t>HIGH</t>
        </is>
      </c>
      <c r="F1804" t="n">
        <v>3</v>
      </c>
      <c r="G1804" t="n">
        <v>2</v>
      </c>
      <c r="H1804" t="inlineStr">
        <is>
          <t>HIGH</t>
        </is>
      </c>
      <c r="I1804" t="n">
        <v>13</v>
      </c>
      <c r="J1804" t="inlineStr">
        <is>
          <t>NO</t>
        </is>
      </c>
      <c r="K1804" t="inlineStr">
        <is>
          <t>2026-02-23 23:48</t>
        </is>
      </c>
      <c r="L1804" t="inlineStr">
        <is>
          <t>Block IP</t>
        </is>
      </c>
      <c r="M1804" t="inlineStr">
        <is>
          <t>Network perimeter / Email / Web</t>
        </is>
      </c>
      <c r="N1804" t="inlineStr">
        <is>
          <t>P3</t>
        </is>
      </c>
      <c r="O1804" t="inlineStr">
        <is>
          <t>Check ip-api.com + AbuseIPDB for context</t>
        </is>
      </c>
      <c r="P1804" t="n">
        <v>0</v>
      </c>
      <c r="Q1804" t="n">
        <v>0</v>
      </c>
      <c r="R1804" t="inlineStr">
        <is>
          <t>T1110:Brute Force | T1190:Exploit Public-Facing Application | T1566:Phishing</t>
        </is>
      </c>
      <c r="S1804" t="n">
        <v>1</v>
      </c>
      <c r="T1804" t="inlineStr">
        <is>
          <t>MEDIUM (60%)</t>
        </is>
      </c>
      <c r="U1804" t="inlineStr">
        <is>
          <t>NONE</t>
        </is>
      </c>
      <c r="V1804" t="inlineStr">
        <is>
          <t>NONE</t>
        </is>
      </c>
      <c r="W1804" t="inlineStr">
        <is>
          <t>NONE</t>
        </is>
      </c>
      <c r="X1804" t="inlineStr">
        <is>
          <t>NONE</t>
        </is>
      </c>
      <c r="Y1804" t="n">
        <v>0</v>
      </c>
      <c r="Z1804" t="inlineStr"/>
      <c r="AA1804" t="inlineStr">
        <is>
          <t>https://talosintelligence.com/reputation_center/lookup?search=1.24.16.227</t>
        </is>
      </c>
    </row>
    <row r="1805">
      <c r="A1805" t="inlineStr">
        <is>
          <t>TALOS_IP</t>
        </is>
      </c>
      <c r="B1805" t="inlineStr">
        <is>
          <t>59d75bed3139</t>
        </is>
      </c>
      <c r="C1805" t="inlineStr">
        <is>
          <t>Cisco Talos Blacklisted IP: 1.24.16.230 | Verified malicious | Sources: TALOS</t>
        </is>
      </c>
      <c r="D1805" t="n">
        <v>7</v>
      </c>
      <c r="E1805" t="inlineStr">
        <is>
          <t>HIGH</t>
        </is>
      </c>
      <c r="F1805" t="n">
        <v>3</v>
      </c>
      <c r="G1805" t="n">
        <v>2</v>
      </c>
      <c r="H1805" t="inlineStr">
        <is>
          <t>HIGH</t>
        </is>
      </c>
      <c r="I1805" t="n">
        <v>13</v>
      </c>
      <c r="J1805" t="inlineStr">
        <is>
          <t>NO</t>
        </is>
      </c>
      <c r="K1805" t="inlineStr">
        <is>
          <t>2026-02-23 23:48</t>
        </is>
      </c>
      <c r="L1805" t="inlineStr">
        <is>
          <t>Block IP</t>
        </is>
      </c>
      <c r="M1805" t="inlineStr">
        <is>
          <t>Network perimeter / Email / Web</t>
        </is>
      </c>
      <c r="N1805" t="inlineStr">
        <is>
          <t>P3</t>
        </is>
      </c>
      <c r="O1805" t="inlineStr">
        <is>
          <t>Check ip-api.com + AbuseIPDB for context</t>
        </is>
      </c>
      <c r="P1805" t="n">
        <v>0</v>
      </c>
      <c r="Q1805" t="n">
        <v>0</v>
      </c>
      <c r="R1805" t="inlineStr">
        <is>
          <t>T1110:Brute Force | T1190:Exploit Public-Facing Application | T1566:Phishing</t>
        </is>
      </c>
      <c r="S1805" t="n">
        <v>1</v>
      </c>
      <c r="T1805" t="inlineStr">
        <is>
          <t>MEDIUM (60%)</t>
        </is>
      </c>
      <c r="U1805" t="inlineStr">
        <is>
          <t>NONE</t>
        </is>
      </c>
      <c r="V1805" t="inlineStr">
        <is>
          <t>NONE</t>
        </is>
      </c>
      <c r="W1805" t="inlineStr">
        <is>
          <t>NONE</t>
        </is>
      </c>
      <c r="X1805" t="inlineStr">
        <is>
          <t>NONE</t>
        </is>
      </c>
      <c r="Y1805" t="n">
        <v>0</v>
      </c>
      <c r="Z1805" t="inlineStr"/>
      <c r="AA1805" t="inlineStr">
        <is>
          <t>https://talosintelligence.com/reputation_center/lookup?search=1.24.16.230</t>
        </is>
      </c>
    </row>
    <row r="1806">
      <c r="A1806" t="inlineStr">
        <is>
          <t>TALOS_IP</t>
        </is>
      </c>
      <c r="B1806" t="inlineStr">
        <is>
          <t>c9509644d38d</t>
        </is>
      </c>
      <c r="C1806" t="inlineStr">
        <is>
          <t>Cisco Talos Blacklisted IP: 1.24.16.239 | Verified malicious | Sources: TALOS</t>
        </is>
      </c>
      <c r="D1806" t="n">
        <v>7</v>
      </c>
      <c r="E1806" t="inlineStr">
        <is>
          <t>HIGH</t>
        </is>
      </c>
      <c r="F1806" t="n">
        <v>3</v>
      </c>
      <c r="G1806" t="n">
        <v>2</v>
      </c>
      <c r="H1806" t="inlineStr">
        <is>
          <t>HIGH</t>
        </is>
      </c>
      <c r="I1806" t="n">
        <v>13</v>
      </c>
      <c r="J1806" t="inlineStr">
        <is>
          <t>NO</t>
        </is>
      </c>
      <c r="K1806" t="inlineStr">
        <is>
          <t>2026-02-23 23:48</t>
        </is>
      </c>
      <c r="L1806" t="inlineStr">
        <is>
          <t>Block IP</t>
        </is>
      </c>
      <c r="M1806" t="inlineStr">
        <is>
          <t>Network perimeter / Email / Web</t>
        </is>
      </c>
      <c r="N1806" t="inlineStr">
        <is>
          <t>P3</t>
        </is>
      </c>
      <c r="O1806" t="inlineStr">
        <is>
          <t>Check ip-api.com + AbuseIPDB for context</t>
        </is>
      </c>
      <c r="P1806" t="n">
        <v>0</v>
      </c>
      <c r="Q1806" t="n">
        <v>0</v>
      </c>
      <c r="R1806" t="inlineStr">
        <is>
          <t>T1110:Brute Force | T1190:Exploit Public-Facing Application | T1566:Phishing</t>
        </is>
      </c>
      <c r="S1806" t="n">
        <v>1</v>
      </c>
      <c r="T1806" t="inlineStr">
        <is>
          <t>MEDIUM (60%)</t>
        </is>
      </c>
      <c r="U1806" t="inlineStr">
        <is>
          <t>NONE</t>
        </is>
      </c>
      <c r="V1806" t="inlineStr">
        <is>
          <t>NONE</t>
        </is>
      </c>
      <c r="W1806" t="inlineStr">
        <is>
          <t>NONE</t>
        </is>
      </c>
      <c r="X1806" t="inlineStr">
        <is>
          <t>NONE</t>
        </is>
      </c>
      <c r="Y1806" t="n">
        <v>0</v>
      </c>
      <c r="Z1806" t="inlineStr"/>
      <c r="AA1806" t="inlineStr">
        <is>
          <t>https://talosintelligence.com/reputation_center/lookup?search=1.24.16.239</t>
        </is>
      </c>
    </row>
    <row r="1807">
      <c r="A1807" t="inlineStr">
        <is>
          <t>TALOS_IP</t>
        </is>
      </c>
      <c r="B1807" t="inlineStr">
        <is>
          <t>2b45d5107e18</t>
        </is>
      </c>
      <c r="C1807" t="inlineStr">
        <is>
          <t>Cisco Talos Blacklisted IP: 1.24.16.243 | Verified malicious | Sources: TALOS</t>
        </is>
      </c>
      <c r="D1807" t="n">
        <v>7</v>
      </c>
      <c r="E1807" t="inlineStr">
        <is>
          <t>HIGH</t>
        </is>
      </c>
      <c r="F1807" t="n">
        <v>3</v>
      </c>
      <c r="G1807" t="n">
        <v>2</v>
      </c>
      <c r="H1807" t="inlineStr">
        <is>
          <t>HIGH</t>
        </is>
      </c>
      <c r="I1807" t="n">
        <v>13</v>
      </c>
      <c r="J1807" t="inlineStr">
        <is>
          <t>NO</t>
        </is>
      </c>
      <c r="K1807" t="inlineStr">
        <is>
          <t>2026-02-23 23:48</t>
        </is>
      </c>
      <c r="L1807" t="inlineStr">
        <is>
          <t>Block IP</t>
        </is>
      </c>
      <c r="M1807" t="inlineStr">
        <is>
          <t>Network perimeter / Email / Web</t>
        </is>
      </c>
      <c r="N1807" t="inlineStr">
        <is>
          <t>P3</t>
        </is>
      </c>
      <c r="O1807" t="inlineStr">
        <is>
          <t>Check ip-api.com + AbuseIPDB for context</t>
        </is>
      </c>
      <c r="P1807" t="n">
        <v>0</v>
      </c>
      <c r="Q1807" t="n">
        <v>0</v>
      </c>
      <c r="R1807" t="inlineStr">
        <is>
          <t>T1110:Brute Force | T1190:Exploit Public-Facing Application | T1566:Phishing</t>
        </is>
      </c>
      <c r="S1807" t="n">
        <v>1</v>
      </c>
      <c r="T1807" t="inlineStr">
        <is>
          <t>MEDIUM (60%)</t>
        </is>
      </c>
      <c r="U1807" t="inlineStr">
        <is>
          <t>NONE</t>
        </is>
      </c>
      <c r="V1807" t="inlineStr">
        <is>
          <t>NONE</t>
        </is>
      </c>
      <c r="W1807" t="inlineStr">
        <is>
          <t>NONE</t>
        </is>
      </c>
      <c r="X1807" t="inlineStr">
        <is>
          <t>NONE</t>
        </is>
      </c>
      <c r="Y1807" t="n">
        <v>0</v>
      </c>
      <c r="Z1807" t="inlineStr"/>
      <c r="AA1807" t="inlineStr">
        <is>
          <t>https://talosintelligence.com/reputation_center/lookup?search=1.24.16.243</t>
        </is>
      </c>
    </row>
    <row r="1808">
      <c r="A1808" t="inlineStr">
        <is>
          <t>TALOS_IP</t>
        </is>
      </c>
      <c r="B1808" t="inlineStr">
        <is>
          <t>073e2d104f11</t>
        </is>
      </c>
      <c r="C1808" t="inlineStr">
        <is>
          <t>Cisco Talos Blacklisted IP: 1.24.16.245 | Verified malicious | Sources: TALOS</t>
        </is>
      </c>
      <c r="D1808" t="n">
        <v>7</v>
      </c>
      <c r="E1808" t="inlineStr">
        <is>
          <t>HIGH</t>
        </is>
      </c>
      <c r="F1808" t="n">
        <v>3</v>
      </c>
      <c r="G1808" t="n">
        <v>2</v>
      </c>
      <c r="H1808" t="inlineStr">
        <is>
          <t>HIGH</t>
        </is>
      </c>
      <c r="I1808" t="n">
        <v>13</v>
      </c>
      <c r="J1808" t="inlineStr">
        <is>
          <t>NO</t>
        </is>
      </c>
      <c r="K1808" t="inlineStr">
        <is>
          <t>2026-02-23 23:48</t>
        </is>
      </c>
      <c r="L1808" t="inlineStr">
        <is>
          <t>Block IP</t>
        </is>
      </c>
      <c r="M1808" t="inlineStr">
        <is>
          <t>Network perimeter / Email / Web</t>
        </is>
      </c>
      <c r="N1808" t="inlineStr">
        <is>
          <t>P3</t>
        </is>
      </c>
      <c r="O1808" t="inlineStr">
        <is>
          <t>Check ip-api.com + AbuseIPDB for context</t>
        </is>
      </c>
      <c r="P1808" t="n">
        <v>0</v>
      </c>
      <c r="Q1808" t="n">
        <v>0</v>
      </c>
      <c r="R1808" t="inlineStr">
        <is>
          <t>T1110:Brute Force | T1190:Exploit Public-Facing Application | T1566:Phishing</t>
        </is>
      </c>
      <c r="S1808" t="n">
        <v>1</v>
      </c>
      <c r="T1808" t="inlineStr">
        <is>
          <t>MEDIUM (60%)</t>
        </is>
      </c>
      <c r="U1808" t="inlineStr">
        <is>
          <t>NONE</t>
        </is>
      </c>
      <c r="V1808" t="inlineStr">
        <is>
          <t>NONE</t>
        </is>
      </c>
      <c r="W1808" t="inlineStr">
        <is>
          <t>NONE</t>
        </is>
      </c>
      <c r="X1808" t="inlineStr">
        <is>
          <t>NONE</t>
        </is>
      </c>
      <c r="Y1808" t="n">
        <v>0</v>
      </c>
      <c r="Z1808" t="inlineStr"/>
      <c r="AA1808" t="inlineStr">
        <is>
          <t>https://talosintelligence.com/reputation_center/lookup?search=1.24.16.245</t>
        </is>
      </c>
    </row>
    <row r="1809">
      <c r="A1809" t="inlineStr">
        <is>
          <t>TALOS_IP</t>
        </is>
      </c>
      <c r="B1809" t="inlineStr">
        <is>
          <t>736146810d07</t>
        </is>
      </c>
      <c r="C1809" t="inlineStr">
        <is>
          <t>Cisco Talos Blacklisted IP: 1.24.16.246 | Verified malicious | Sources: TALOS</t>
        </is>
      </c>
      <c r="D1809" t="n">
        <v>7</v>
      </c>
      <c r="E1809" t="inlineStr">
        <is>
          <t>HIGH</t>
        </is>
      </c>
      <c r="F1809" t="n">
        <v>3</v>
      </c>
      <c r="G1809" t="n">
        <v>2</v>
      </c>
      <c r="H1809" t="inlineStr">
        <is>
          <t>HIGH</t>
        </is>
      </c>
      <c r="I1809" t="n">
        <v>13</v>
      </c>
      <c r="J1809" t="inlineStr">
        <is>
          <t>NO</t>
        </is>
      </c>
      <c r="K1809" t="inlineStr">
        <is>
          <t>2026-02-23 23:48</t>
        </is>
      </c>
      <c r="L1809" t="inlineStr">
        <is>
          <t>Block IP</t>
        </is>
      </c>
      <c r="M1809" t="inlineStr">
        <is>
          <t>Network perimeter / Email / Web</t>
        </is>
      </c>
      <c r="N1809" t="inlineStr">
        <is>
          <t>P3</t>
        </is>
      </c>
      <c r="O1809" t="inlineStr">
        <is>
          <t>Check ip-api.com + AbuseIPDB for context</t>
        </is>
      </c>
      <c r="P1809" t="n">
        <v>0</v>
      </c>
      <c r="Q1809" t="n">
        <v>0</v>
      </c>
      <c r="R1809" t="inlineStr">
        <is>
          <t>T1110:Brute Force | T1190:Exploit Public-Facing Application | T1566:Phishing</t>
        </is>
      </c>
      <c r="S1809" t="n">
        <v>1</v>
      </c>
      <c r="T1809" t="inlineStr">
        <is>
          <t>MEDIUM (60%)</t>
        </is>
      </c>
      <c r="U1809" t="inlineStr">
        <is>
          <t>NONE</t>
        </is>
      </c>
      <c r="V1809" t="inlineStr">
        <is>
          <t>NONE</t>
        </is>
      </c>
      <c r="W1809" t="inlineStr">
        <is>
          <t>NONE</t>
        </is>
      </c>
      <c r="X1809" t="inlineStr">
        <is>
          <t>NONE</t>
        </is>
      </c>
      <c r="Y1809" t="n">
        <v>0</v>
      </c>
      <c r="Z1809" t="inlineStr"/>
      <c r="AA1809" t="inlineStr">
        <is>
          <t>https://talosintelligence.com/reputation_center/lookup?search=1.24.16.246</t>
        </is>
      </c>
    </row>
    <row r="1810">
      <c r="A1810" t="inlineStr">
        <is>
          <t>TALOS_IP</t>
        </is>
      </c>
      <c r="B1810" t="inlineStr">
        <is>
          <t>123ebee20aae</t>
        </is>
      </c>
      <c r="C1810" t="inlineStr">
        <is>
          <t>Cisco Talos Blacklisted IP: 1.24.16.251 | Verified malicious | Sources: TALOS</t>
        </is>
      </c>
      <c r="D1810" t="n">
        <v>7</v>
      </c>
      <c r="E1810" t="inlineStr">
        <is>
          <t>HIGH</t>
        </is>
      </c>
      <c r="F1810" t="n">
        <v>3</v>
      </c>
      <c r="G1810" t="n">
        <v>2</v>
      </c>
      <c r="H1810" t="inlineStr">
        <is>
          <t>HIGH</t>
        </is>
      </c>
      <c r="I1810" t="n">
        <v>13</v>
      </c>
      <c r="J1810" t="inlineStr">
        <is>
          <t>NO</t>
        </is>
      </c>
      <c r="K1810" t="inlineStr">
        <is>
          <t>2026-02-23 23:48</t>
        </is>
      </c>
      <c r="L1810" t="inlineStr">
        <is>
          <t>Block IP</t>
        </is>
      </c>
      <c r="M1810" t="inlineStr">
        <is>
          <t>Network perimeter / Email / Web</t>
        </is>
      </c>
      <c r="N1810" t="inlineStr">
        <is>
          <t>P3</t>
        </is>
      </c>
      <c r="O1810" t="inlineStr">
        <is>
          <t>Check ip-api.com + AbuseIPDB for context</t>
        </is>
      </c>
      <c r="P1810" t="n">
        <v>0</v>
      </c>
      <c r="Q1810" t="n">
        <v>0</v>
      </c>
      <c r="R1810" t="inlineStr">
        <is>
          <t>T1110:Brute Force | T1190:Exploit Public-Facing Application | T1566:Phishing</t>
        </is>
      </c>
      <c r="S1810" t="n">
        <v>1</v>
      </c>
      <c r="T1810" t="inlineStr">
        <is>
          <t>MEDIUM (60%)</t>
        </is>
      </c>
      <c r="U1810" t="inlineStr">
        <is>
          <t>NONE</t>
        </is>
      </c>
      <c r="V1810" t="inlineStr">
        <is>
          <t>NONE</t>
        </is>
      </c>
      <c r="W1810" t="inlineStr">
        <is>
          <t>NONE</t>
        </is>
      </c>
      <c r="X1810" t="inlineStr">
        <is>
          <t>NONE</t>
        </is>
      </c>
      <c r="Y1810" t="n">
        <v>0</v>
      </c>
      <c r="Z1810" t="inlineStr"/>
      <c r="AA1810" t="inlineStr">
        <is>
          <t>https://talosintelligence.com/reputation_center/lookup?search=1.24.16.251</t>
        </is>
      </c>
    </row>
    <row r="1811">
      <c r="A1811" t="inlineStr">
        <is>
          <t>TALOS_IP</t>
        </is>
      </c>
      <c r="B1811" t="inlineStr">
        <is>
          <t>c80c158e2287</t>
        </is>
      </c>
      <c r="C1811" t="inlineStr">
        <is>
          <t>Cisco Talos Blacklisted IP: 1.24.16.253 | Verified malicious | Sources: TALOS</t>
        </is>
      </c>
      <c r="D1811" t="n">
        <v>7</v>
      </c>
      <c r="E1811" t="inlineStr">
        <is>
          <t>HIGH</t>
        </is>
      </c>
      <c r="F1811" t="n">
        <v>3</v>
      </c>
      <c r="G1811" t="n">
        <v>2</v>
      </c>
      <c r="H1811" t="inlineStr">
        <is>
          <t>HIGH</t>
        </is>
      </c>
      <c r="I1811" t="n">
        <v>13</v>
      </c>
      <c r="J1811" t="inlineStr">
        <is>
          <t>NO</t>
        </is>
      </c>
      <c r="K1811" t="inlineStr">
        <is>
          <t>2026-02-23 23:48</t>
        </is>
      </c>
      <c r="L1811" t="inlineStr">
        <is>
          <t>Block IP</t>
        </is>
      </c>
      <c r="M1811" t="inlineStr">
        <is>
          <t>Network perimeter / Email / Web</t>
        </is>
      </c>
      <c r="N1811" t="inlineStr">
        <is>
          <t>P3</t>
        </is>
      </c>
      <c r="O1811" t="inlineStr">
        <is>
          <t>Check ip-api.com + AbuseIPDB for context</t>
        </is>
      </c>
      <c r="P1811" t="n">
        <v>0</v>
      </c>
      <c r="Q1811" t="n">
        <v>0</v>
      </c>
      <c r="R1811" t="inlineStr">
        <is>
          <t>T1110:Brute Force | T1190:Exploit Public-Facing Application | T1566:Phishing</t>
        </is>
      </c>
      <c r="S1811" t="n">
        <v>1</v>
      </c>
      <c r="T1811" t="inlineStr">
        <is>
          <t>MEDIUM (60%)</t>
        </is>
      </c>
      <c r="U1811" t="inlineStr">
        <is>
          <t>NONE</t>
        </is>
      </c>
      <c r="V1811" t="inlineStr">
        <is>
          <t>NONE</t>
        </is>
      </c>
      <c r="W1811" t="inlineStr">
        <is>
          <t>NONE</t>
        </is>
      </c>
      <c r="X1811" t="inlineStr">
        <is>
          <t>NONE</t>
        </is>
      </c>
      <c r="Y1811" t="n">
        <v>0</v>
      </c>
      <c r="Z1811" t="inlineStr"/>
      <c r="AA1811" t="inlineStr">
        <is>
          <t>https://talosintelligence.com/reputation_center/lookup?search=1.24.16.253</t>
        </is>
      </c>
    </row>
    <row r="1812">
      <c r="A1812" t="inlineStr">
        <is>
          <t>TALOS_IP</t>
        </is>
      </c>
      <c r="B1812" t="inlineStr">
        <is>
          <t>482e44fe2066</t>
        </is>
      </c>
      <c r="C1812" t="inlineStr">
        <is>
          <t>Cisco Talos Blacklisted IP: 1.24.16.34 | Verified malicious | Sources: TALOS</t>
        </is>
      </c>
      <c r="D1812" t="n">
        <v>7</v>
      </c>
      <c r="E1812" t="inlineStr">
        <is>
          <t>HIGH</t>
        </is>
      </c>
      <c r="F1812" t="n">
        <v>3</v>
      </c>
      <c r="G1812" t="n">
        <v>2</v>
      </c>
      <c r="H1812" t="inlineStr">
        <is>
          <t>HIGH</t>
        </is>
      </c>
      <c r="I1812" t="n">
        <v>13</v>
      </c>
      <c r="J1812" t="inlineStr">
        <is>
          <t>NO</t>
        </is>
      </c>
      <c r="K1812" t="inlineStr">
        <is>
          <t>2026-02-23 23:48</t>
        </is>
      </c>
      <c r="L1812" t="inlineStr">
        <is>
          <t>Block IP</t>
        </is>
      </c>
      <c r="M1812" t="inlineStr">
        <is>
          <t>Network perimeter / Email / Web</t>
        </is>
      </c>
      <c r="N1812" t="inlineStr">
        <is>
          <t>P3</t>
        </is>
      </c>
      <c r="O1812" t="inlineStr">
        <is>
          <t>Check ip-api.com + AbuseIPDB for context</t>
        </is>
      </c>
      <c r="P1812" t="n">
        <v>0</v>
      </c>
      <c r="Q1812" t="n">
        <v>0</v>
      </c>
      <c r="R1812" t="inlineStr">
        <is>
          <t>T1110:Brute Force | T1190:Exploit Public-Facing Application | T1566:Phishing</t>
        </is>
      </c>
      <c r="S1812" t="n">
        <v>1</v>
      </c>
      <c r="T1812" t="inlineStr">
        <is>
          <t>MEDIUM (60%)</t>
        </is>
      </c>
      <c r="U1812" t="inlineStr">
        <is>
          <t>NONE</t>
        </is>
      </c>
      <c r="V1812" t="inlineStr">
        <is>
          <t>NONE</t>
        </is>
      </c>
      <c r="W1812" t="inlineStr">
        <is>
          <t>NONE</t>
        </is>
      </c>
      <c r="X1812" t="inlineStr">
        <is>
          <t>NONE</t>
        </is>
      </c>
      <c r="Y1812" t="n">
        <v>0</v>
      </c>
      <c r="Z1812" t="inlineStr"/>
      <c r="AA1812" t="inlineStr">
        <is>
          <t>https://talosintelligence.com/reputation_center/lookup?search=1.24.16.34</t>
        </is>
      </c>
    </row>
    <row r="1813">
      <c r="A1813" t="inlineStr">
        <is>
          <t>TALOS_IP</t>
        </is>
      </c>
      <c r="B1813" t="inlineStr">
        <is>
          <t>d14b84935e0c</t>
        </is>
      </c>
      <c r="C1813" t="inlineStr">
        <is>
          <t>Cisco Talos Blacklisted IP: 1.24.16.39 | Verified malicious | Sources: TALOS</t>
        </is>
      </c>
      <c r="D1813" t="n">
        <v>7</v>
      </c>
      <c r="E1813" t="inlineStr">
        <is>
          <t>HIGH</t>
        </is>
      </c>
      <c r="F1813" t="n">
        <v>3</v>
      </c>
      <c r="G1813" t="n">
        <v>2</v>
      </c>
      <c r="H1813" t="inlineStr">
        <is>
          <t>HIGH</t>
        </is>
      </c>
      <c r="I1813" t="n">
        <v>13</v>
      </c>
      <c r="J1813" t="inlineStr">
        <is>
          <t>NO</t>
        </is>
      </c>
      <c r="K1813" t="inlineStr">
        <is>
          <t>2026-02-23 23:48</t>
        </is>
      </c>
      <c r="L1813" t="inlineStr">
        <is>
          <t>Block IP</t>
        </is>
      </c>
      <c r="M1813" t="inlineStr">
        <is>
          <t>Network perimeter / Email / Web</t>
        </is>
      </c>
      <c r="N1813" t="inlineStr">
        <is>
          <t>P3</t>
        </is>
      </c>
      <c r="O1813" t="inlineStr">
        <is>
          <t>Check ip-api.com + AbuseIPDB for context</t>
        </is>
      </c>
      <c r="P1813" t="n">
        <v>0</v>
      </c>
      <c r="Q1813" t="n">
        <v>0</v>
      </c>
      <c r="R1813" t="inlineStr">
        <is>
          <t>T1110:Brute Force | T1190:Exploit Public-Facing Application | T1566:Phishing</t>
        </is>
      </c>
      <c r="S1813" t="n">
        <v>1</v>
      </c>
      <c r="T1813" t="inlineStr">
        <is>
          <t>MEDIUM (60%)</t>
        </is>
      </c>
      <c r="U1813" t="inlineStr">
        <is>
          <t>NONE</t>
        </is>
      </c>
      <c r="V1813" t="inlineStr">
        <is>
          <t>NONE</t>
        </is>
      </c>
      <c r="W1813" t="inlineStr">
        <is>
          <t>NONE</t>
        </is>
      </c>
      <c r="X1813" t="inlineStr">
        <is>
          <t>NONE</t>
        </is>
      </c>
      <c r="Y1813" t="n">
        <v>0</v>
      </c>
      <c r="Z1813" t="inlineStr"/>
      <c r="AA1813" t="inlineStr">
        <is>
          <t>https://talosintelligence.com/reputation_center/lookup?search=1.24.16.39</t>
        </is>
      </c>
    </row>
    <row r="1814">
      <c r="A1814" t="inlineStr">
        <is>
          <t>TALOS_IP</t>
        </is>
      </c>
      <c r="B1814" t="inlineStr">
        <is>
          <t>632662d3112b</t>
        </is>
      </c>
      <c r="C1814" t="inlineStr">
        <is>
          <t>Cisco Talos Blacklisted IP: 1.24.16.41 | Verified malicious | Sources: TALOS</t>
        </is>
      </c>
      <c r="D1814" t="n">
        <v>7</v>
      </c>
      <c r="E1814" t="inlineStr">
        <is>
          <t>HIGH</t>
        </is>
      </c>
      <c r="F1814" t="n">
        <v>3</v>
      </c>
      <c r="G1814" t="n">
        <v>2</v>
      </c>
      <c r="H1814" t="inlineStr">
        <is>
          <t>HIGH</t>
        </is>
      </c>
      <c r="I1814" t="n">
        <v>13</v>
      </c>
      <c r="J1814" t="inlineStr">
        <is>
          <t>NO</t>
        </is>
      </c>
      <c r="K1814" t="inlineStr">
        <is>
          <t>2026-02-23 23:48</t>
        </is>
      </c>
      <c r="L1814" t="inlineStr">
        <is>
          <t>Block IP</t>
        </is>
      </c>
      <c r="M1814" t="inlineStr">
        <is>
          <t>Network perimeter / Email / Web</t>
        </is>
      </c>
      <c r="N1814" t="inlineStr">
        <is>
          <t>P3</t>
        </is>
      </c>
      <c r="O1814" t="inlineStr">
        <is>
          <t>Check ip-api.com + AbuseIPDB for context</t>
        </is>
      </c>
      <c r="P1814" t="n">
        <v>0</v>
      </c>
      <c r="Q1814" t="n">
        <v>0</v>
      </c>
      <c r="R1814" t="inlineStr">
        <is>
          <t>T1110:Brute Force | T1190:Exploit Public-Facing Application | T1566:Phishing</t>
        </is>
      </c>
      <c r="S1814" t="n">
        <v>1</v>
      </c>
      <c r="T1814" t="inlineStr">
        <is>
          <t>MEDIUM (60%)</t>
        </is>
      </c>
      <c r="U1814" t="inlineStr">
        <is>
          <t>NONE</t>
        </is>
      </c>
      <c r="V1814" t="inlineStr">
        <is>
          <t>NONE</t>
        </is>
      </c>
      <c r="W1814" t="inlineStr">
        <is>
          <t>NONE</t>
        </is>
      </c>
      <c r="X1814" t="inlineStr">
        <is>
          <t>NONE</t>
        </is>
      </c>
      <c r="Y1814" t="n">
        <v>0</v>
      </c>
      <c r="Z1814" t="inlineStr"/>
      <c r="AA1814" t="inlineStr">
        <is>
          <t>https://talosintelligence.com/reputation_center/lookup?search=1.24.16.41</t>
        </is>
      </c>
    </row>
    <row r="1815">
      <c r="A1815" t="inlineStr">
        <is>
          <t>TALOS_IP</t>
        </is>
      </c>
      <c r="B1815" t="inlineStr">
        <is>
          <t>dd36a1c7a05e</t>
        </is>
      </c>
      <c r="C1815" t="inlineStr">
        <is>
          <t>Cisco Talos Blacklisted IP: 1.24.16.42 | Verified malicious | Sources: TALOS</t>
        </is>
      </c>
      <c r="D1815" t="n">
        <v>7</v>
      </c>
      <c r="E1815" t="inlineStr">
        <is>
          <t>HIGH</t>
        </is>
      </c>
      <c r="F1815" t="n">
        <v>3</v>
      </c>
      <c r="G1815" t="n">
        <v>2</v>
      </c>
      <c r="H1815" t="inlineStr">
        <is>
          <t>HIGH</t>
        </is>
      </c>
      <c r="I1815" t="n">
        <v>13</v>
      </c>
      <c r="J1815" t="inlineStr">
        <is>
          <t>NO</t>
        </is>
      </c>
      <c r="K1815" t="inlineStr">
        <is>
          <t>2026-02-23 23:48</t>
        </is>
      </c>
      <c r="L1815" t="inlineStr">
        <is>
          <t>Block IP</t>
        </is>
      </c>
      <c r="M1815" t="inlineStr">
        <is>
          <t>Network perimeter / Email / Web</t>
        </is>
      </c>
      <c r="N1815" t="inlineStr">
        <is>
          <t>P3</t>
        </is>
      </c>
      <c r="O1815" t="inlineStr">
        <is>
          <t>Check ip-api.com + AbuseIPDB for context</t>
        </is>
      </c>
      <c r="P1815" t="n">
        <v>0</v>
      </c>
      <c r="Q1815" t="n">
        <v>0</v>
      </c>
      <c r="R1815" t="inlineStr">
        <is>
          <t>T1110:Brute Force | T1190:Exploit Public-Facing Application | T1566:Phishing</t>
        </is>
      </c>
      <c r="S1815" t="n">
        <v>1</v>
      </c>
      <c r="T1815" t="inlineStr">
        <is>
          <t>MEDIUM (60%)</t>
        </is>
      </c>
      <c r="U1815" t="inlineStr">
        <is>
          <t>NONE</t>
        </is>
      </c>
      <c r="V1815" t="inlineStr">
        <is>
          <t>NONE</t>
        </is>
      </c>
      <c r="W1815" t="inlineStr">
        <is>
          <t>NONE</t>
        </is>
      </c>
      <c r="X1815" t="inlineStr">
        <is>
          <t>NONE</t>
        </is>
      </c>
      <c r="Y1815" t="n">
        <v>0</v>
      </c>
      <c r="Z1815" t="inlineStr"/>
      <c r="AA1815" t="inlineStr">
        <is>
          <t>https://talosintelligence.com/reputation_center/lookup?search=1.24.16.42</t>
        </is>
      </c>
    </row>
    <row r="1816">
      <c r="A1816" t="inlineStr">
        <is>
          <t>TALOS_IP</t>
        </is>
      </c>
      <c r="B1816" t="inlineStr">
        <is>
          <t>8c0d1e5b6096</t>
        </is>
      </c>
      <c r="C1816" t="inlineStr">
        <is>
          <t>Cisco Talos Blacklisted IP: 1.24.16.44 | Verified malicious | Sources: TALOS</t>
        </is>
      </c>
      <c r="D1816" t="n">
        <v>7</v>
      </c>
      <c r="E1816" t="inlineStr">
        <is>
          <t>HIGH</t>
        </is>
      </c>
      <c r="F1816" t="n">
        <v>3</v>
      </c>
      <c r="G1816" t="n">
        <v>2</v>
      </c>
      <c r="H1816" t="inlineStr">
        <is>
          <t>HIGH</t>
        </is>
      </c>
      <c r="I1816" t="n">
        <v>13</v>
      </c>
      <c r="J1816" t="inlineStr">
        <is>
          <t>NO</t>
        </is>
      </c>
      <c r="K1816" t="inlineStr">
        <is>
          <t>2026-02-23 23:48</t>
        </is>
      </c>
      <c r="L1816" t="inlineStr">
        <is>
          <t>Block IP</t>
        </is>
      </c>
      <c r="M1816" t="inlineStr">
        <is>
          <t>Network perimeter / Email / Web</t>
        </is>
      </c>
      <c r="N1816" t="inlineStr">
        <is>
          <t>P3</t>
        </is>
      </c>
      <c r="O1816" t="inlineStr">
        <is>
          <t>Check ip-api.com + AbuseIPDB for context</t>
        </is>
      </c>
      <c r="P1816" t="n">
        <v>0</v>
      </c>
      <c r="Q1816" t="n">
        <v>0</v>
      </c>
      <c r="R1816" t="inlineStr">
        <is>
          <t>T1110:Brute Force | T1190:Exploit Public-Facing Application | T1566:Phishing</t>
        </is>
      </c>
      <c r="S1816" t="n">
        <v>1</v>
      </c>
      <c r="T1816" t="inlineStr">
        <is>
          <t>MEDIUM (60%)</t>
        </is>
      </c>
      <c r="U1816" t="inlineStr">
        <is>
          <t>NONE</t>
        </is>
      </c>
      <c r="V1816" t="inlineStr">
        <is>
          <t>NONE</t>
        </is>
      </c>
      <c r="W1816" t="inlineStr">
        <is>
          <t>NONE</t>
        </is>
      </c>
      <c r="X1816" t="inlineStr">
        <is>
          <t>NONE</t>
        </is>
      </c>
      <c r="Y1816" t="n">
        <v>0</v>
      </c>
      <c r="Z1816" t="inlineStr"/>
      <c r="AA1816" t="inlineStr">
        <is>
          <t>https://talosintelligence.com/reputation_center/lookup?search=1.24.16.44</t>
        </is>
      </c>
    </row>
    <row r="1817">
      <c r="A1817" t="inlineStr">
        <is>
          <t>TALOS_IP</t>
        </is>
      </c>
      <c r="B1817" t="inlineStr">
        <is>
          <t>5ed2b43f8e62</t>
        </is>
      </c>
      <c r="C1817" t="inlineStr">
        <is>
          <t>Cisco Talos Blacklisted IP: 1.24.16.45 | Verified malicious | Sources: TALOS</t>
        </is>
      </c>
      <c r="D1817" t="n">
        <v>7</v>
      </c>
      <c r="E1817" t="inlineStr">
        <is>
          <t>HIGH</t>
        </is>
      </c>
      <c r="F1817" t="n">
        <v>3</v>
      </c>
      <c r="G1817" t="n">
        <v>2</v>
      </c>
      <c r="H1817" t="inlineStr">
        <is>
          <t>HIGH</t>
        </is>
      </c>
      <c r="I1817" t="n">
        <v>13</v>
      </c>
      <c r="J1817" t="inlineStr">
        <is>
          <t>NO</t>
        </is>
      </c>
      <c r="K1817" t="inlineStr">
        <is>
          <t>2026-02-23 23:48</t>
        </is>
      </c>
      <c r="L1817" t="inlineStr">
        <is>
          <t>Block IP</t>
        </is>
      </c>
      <c r="M1817" t="inlineStr">
        <is>
          <t>Network perimeter / Email / Web</t>
        </is>
      </c>
      <c r="N1817" t="inlineStr">
        <is>
          <t>P3</t>
        </is>
      </c>
      <c r="O1817" t="inlineStr">
        <is>
          <t>Check ip-api.com + AbuseIPDB for context</t>
        </is>
      </c>
      <c r="P1817" t="n">
        <v>0</v>
      </c>
      <c r="Q1817" t="n">
        <v>0</v>
      </c>
      <c r="R1817" t="inlineStr">
        <is>
          <t>T1110:Brute Force | T1190:Exploit Public-Facing Application | T1566:Phishing</t>
        </is>
      </c>
      <c r="S1817" t="n">
        <v>1</v>
      </c>
      <c r="T1817" t="inlineStr">
        <is>
          <t>MEDIUM (60%)</t>
        </is>
      </c>
      <c r="U1817" t="inlineStr">
        <is>
          <t>NONE</t>
        </is>
      </c>
      <c r="V1817" t="inlineStr">
        <is>
          <t>NONE</t>
        </is>
      </c>
      <c r="W1817" t="inlineStr">
        <is>
          <t>NONE</t>
        </is>
      </c>
      <c r="X1817" t="inlineStr">
        <is>
          <t>NONE</t>
        </is>
      </c>
      <c r="Y1817" t="n">
        <v>0</v>
      </c>
      <c r="Z1817" t="inlineStr"/>
      <c r="AA1817" t="inlineStr">
        <is>
          <t>https://talosintelligence.com/reputation_center/lookup?search=1.24.16.45</t>
        </is>
      </c>
    </row>
    <row r="1818">
      <c r="A1818" t="inlineStr">
        <is>
          <t>TALOS_IP</t>
        </is>
      </c>
      <c r="B1818" t="inlineStr">
        <is>
          <t>3917f01ba62e</t>
        </is>
      </c>
      <c r="C1818" t="inlineStr">
        <is>
          <t>Cisco Talos Blacklisted IP: 1.24.16.49 | Verified malicious | Sources: TALOS</t>
        </is>
      </c>
      <c r="D1818" t="n">
        <v>7</v>
      </c>
      <c r="E1818" t="inlineStr">
        <is>
          <t>HIGH</t>
        </is>
      </c>
      <c r="F1818" t="n">
        <v>3</v>
      </c>
      <c r="G1818" t="n">
        <v>2</v>
      </c>
      <c r="H1818" t="inlineStr">
        <is>
          <t>HIGH</t>
        </is>
      </c>
      <c r="I1818" t="n">
        <v>13</v>
      </c>
      <c r="J1818" t="inlineStr">
        <is>
          <t>NO</t>
        </is>
      </c>
      <c r="K1818" t="inlineStr">
        <is>
          <t>2026-02-23 23:48</t>
        </is>
      </c>
      <c r="L1818" t="inlineStr">
        <is>
          <t>Block IP</t>
        </is>
      </c>
      <c r="M1818" t="inlineStr">
        <is>
          <t>Network perimeter / Email / Web</t>
        </is>
      </c>
      <c r="N1818" t="inlineStr">
        <is>
          <t>P3</t>
        </is>
      </c>
      <c r="O1818" t="inlineStr">
        <is>
          <t>Check ip-api.com + AbuseIPDB for context</t>
        </is>
      </c>
      <c r="P1818" t="n">
        <v>0</v>
      </c>
      <c r="Q1818" t="n">
        <v>0</v>
      </c>
      <c r="R1818" t="inlineStr">
        <is>
          <t>T1110:Brute Force | T1190:Exploit Public-Facing Application | T1566:Phishing</t>
        </is>
      </c>
      <c r="S1818" t="n">
        <v>1</v>
      </c>
      <c r="T1818" t="inlineStr">
        <is>
          <t>MEDIUM (60%)</t>
        </is>
      </c>
      <c r="U1818" t="inlineStr">
        <is>
          <t>NONE</t>
        </is>
      </c>
      <c r="V1818" t="inlineStr">
        <is>
          <t>NONE</t>
        </is>
      </c>
      <c r="W1818" t="inlineStr">
        <is>
          <t>NONE</t>
        </is>
      </c>
      <c r="X1818" t="inlineStr">
        <is>
          <t>NONE</t>
        </is>
      </c>
      <c r="Y1818" t="n">
        <v>0</v>
      </c>
      <c r="Z1818" t="inlineStr"/>
      <c r="AA1818" t="inlineStr">
        <is>
          <t>https://talosintelligence.com/reputation_center/lookup?search=1.24.16.49</t>
        </is>
      </c>
    </row>
    <row r="1819">
      <c r="A1819" t="inlineStr">
        <is>
          <t>TALOS_IP</t>
        </is>
      </c>
      <c r="B1819" t="inlineStr">
        <is>
          <t>827f786becbf</t>
        </is>
      </c>
      <c r="C1819" t="inlineStr">
        <is>
          <t>Cisco Talos Blacklisted IP: 1.24.16.50 | Verified malicious | Sources: TALOS</t>
        </is>
      </c>
      <c r="D1819" t="n">
        <v>7</v>
      </c>
      <c r="E1819" t="inlineStr">
        <is>
          <t>HIGH</t>
        </is>
      </c>
      <c r="F1819" t="n">
        <v>3</v>
      </c>
      <c r="G1819" t="n">
        <v>2</v>
      </c>
      <c r="H1819" t="inlineStr">
        <is>
          <t>HIGH</t>
        </is>
      </c>
      <c r="I1819" t="n">
        <v>13</v>
      </c>
      <c r="J1819" t="inlineStr">
        <is>
          <t>NO</t>
        </is>
      </c>
      <c r="K1819" t="inlineStr">
        <is>
          <t>2026-02-23 23:48</t>
        </is>
      </c>
      <c r="L1819" t="inlineStr">
        <is>
          <t>Block IP</t>
        </is>
      </c>
      <c r="M1819" t="inlineStr">
        <is>
          <t>Network perimeter / Email / Web</t>
        </is>
      </c>
      <c r="N1819" t="inlineStr">
        <is>
          <t>P3</t>
        </is>
      </c>
      <c r="O1819" t="inlineStr">
        <is>
          <t>Check ip-api.com + AbuseIPDB for context</t>
        </is>
      </c>
      <c r="P1819" t="n">
        <v>0</v>
      </c>
      <c r="Q1819" t="n">
        <v>0</v>
      </c>
      <c r="R1819" t="inlineStr">
        <is>
          <t>T1110:Brute Force | T1190:Exploit Public-Facing Application | T1566:Phishing</t>
        </is>
      </c>
      <c r="S1819" t="n">
        <v>1</v>
      </c>
      <c r="T1819" t="inlineStr">
        <is>
          <t>MEDIUM (60%)</t>
        </is>
      </c>
      <c r="U1819" t="inlineStr">
        <is>
          <t>NONE</t>
        </is>
      </c>
      <c r="V1819" t="inlineStr">
        <is>
          <t>NONE</t>
        </is>
      </c>
      <c r="W1819" t="inlineStr">
        <is>
          <t>NONE</t>
        </is>
      </c>
      <c r="X1819" t="inlineStr">
        <is>
          <t>NONE</t>
        </is>
      </c>
      <c r="Y1819" t="n">
        <v>0</v>
      </c>
      <c r="Z1819" t="inlineStr"/>
      <c r="AA1819" t="inlineStr">
        <is>
          <t>https://talosintelligence.com/reputation_center/lookup?search=1.24.16.50</t>
        </is>
      </c>
    </row>
    <row r="1820">
      <c r="A1820" t="inlineStr">
        <is>
          <t>TALOS_IP</t>
        </is>
      </c>
      <c r="B1820" t="inlineStr">
        <is>
          <t>e67a7705152f</t>
        </is>
      </c>
      <c r="C1820" t="inlineStr">
        <is>
          <t>Cisco Talos Blacklisted IP: 1.24.16.61 | Verified malicious | Sources: TALOS</t>
        </is>
      </c>
      <c r="D1820" t="n">
        <v>7</v>
      </c>
      <c r="E1820" t="inlineStr">
        <is>
          <t>HIGH</t>
        </is>
      </c>
      <c r="F1820" t="n">
        <v>3</v>
      </c>
      <c r="G1820" t="n">
        <v>2</v>
      </c>
      <c r="H1820" t="inlineStr">
        <is>
          <t>HIGH</t>
        </is>
      </c>
      <c r="I1820" t="n">
        <v>13</v>
      </c>
      <c r="J1820" t="inlineStr">
        <is>
          <t>NO</t>
        </is>
      </c>
      <c r="K1820" t="inlineStr">
        <is>
          <t>2026-02-23 23:48</t>
        </is>
      </c>
      <c r="L1820" t="inlineStr">
        <is>
          <t>Block IP</t>
        </is>
      </c>
      <c r="M1820" t="inlineStr">
        <is>
          <t>Network perimeter / Email / Web</t>
        </is>
      </c>
      <c r="N1820" t="inlineStr">
        <is>
          <t>P3</t>
        </is>
      </c>
      <c r="O1820" t="inlineStr">
        <is>
          <t>Check ip-api.com + AbuseIPDB for context</t>
        </is>
      </c>
      <c r="P1820" t="n">
        <v>0</v>
      </c>
      <c r="Q1820" t="n">
        <v>0</v>
      </c>
      <c r="R1820" t="inlineStr">
        <is>
          <t>T1110:Brute Force | T1190:Exploit Public-Facing Application | T1566:Phishing</t>
        </is>
      </c>
      <c r="S1820" t="n">
        <v>1</v>
      </c>
      <c r="T1820" t="inlineStr">
        <is>
          <t>MEDIUM (60%)</t>
        </is>
      </c>
      <c r="U1820" t="inlineStr">
        <is>
          <t>NONE</t>
        </is>
      </c>
      <c r="V1820" t="inlineStr">
        <is>
          <t>NONE</t>
        </is>
      </c>
      <c r="W1820" t="inlineStr">
        <is>
          <t>NONE</t>
        </is>
      </c>
      <c r="X1820" t="inlineStr">
        <is>
          <t>NONE</t>
        </is>
      </c>
      <c r="Y1820" t="n">
        <v>0</v>
      </c>
      <c r="Z1820" t="inlineStr"/>
      <c r="AA1820" t="inlineStr">
        <is>
          <t>https://talosintelligence.com/reputation_center/lookup?search=1.24.16.61</t>
        </is>
      </c>
    </row>
    <row r="1821">
      <c r="A1821" t="inlineStr">
        <is>
          <t>TALOS_IP</t>
        </is>
      </c>
      <c r="B1821" t="inlineStr">
        <is>
          <t>8f9fac7ce973</t>
        </is>
      </c>
      <c r="C1821" t="inlineStr">
        <is>
          <t>Cisco Talos Blacklisted IP: 1.24.16.79 | Verified malicious | Sources: TALOS</t>
        </is>
      </c>
      <c r="D1821" t="n">
        <v>7</v>
      </c>
      <c r="E1821" t="inlineStr">
        <is>
          <t>HIGH</t>
        </is>
      </c>
      <c r="F1821" t="n">
        <v>3</v>
      </c>
      <c r="G1821" t="n">
        <v>2</v>
      </c>
      <c r="H1821" t="inlineStr">
        <is>
          <t>HIGH</t>
        </is>
      </c>
      <c r="I1821" t="n">
        <v>13</v>
      </c>
      <c r="J1821" t="inlineStr">
        <is>
          <t>NO</t>
        </is>
      </c>
      <c r="K1821" t="inlineStr">
        <is>
          <t>2026-02-23 23:48</t>
        </is>
      </c>
      <c r="L1821" t="inlineStr">
        <is>
          <t>Block IP</t>
        </is>
      </c>
      <c r="M1821" t="inlineStr">
        <is>
          <t>Network perimeter / Email / Web</t>
        </is>
      </c>
      <c r="N1821" t="inlineStr">
        <is>
          <t>P3</t>
        </is>
      </c>
      <c r="O1821" t="inlineStr">
        <is>
          <t>Check ip-api.com + AbuseIPDB for context</t>
        </is>
      </c>
      <c r="P1821" t="n">
        <v>0</v>
      </c>
      <c r="Q1821" t="n">
        <v>0</v>
      </c>
      <c r="R1821" t="inlineStr">
        <is>
          <t>T1110:Brute Force | T1190:Exploit Public-Facing Application | T1566:Phishing</t>
        </is>
      </c>
      <c r="S1821" t="n">
        <v>1</v>
      </c>
      <c r="T1821" t="inlineStr">
        <is>
          <t>MEDIUM (60%)</t>
        </is>
      </c>
      <c r="U1821" t="inlineStr">
        <is>
          <t>NONE</t>
        </is>
      </c>
      <c r="V1821" t="inlineStr">
        <is>
          <t>NONE</t>
        </is>
      </c>
      <c r="W1821" t="inlineStr">
        <is>
          <t>NONE</t>
        </is>
      </c>
      <c r="X1821" t="inlineStr">
        <is>
          <t>NONE</t>
        </is>
      </c>
      <c r="Y1821" t="n">
        <v>0</v>
      </c>
      <c r="Z1821" t="inlineStr"/>
      <c r="AA1821" t="inlineStr">
        <is>
          <t>https://talosintelligence.com/reputation_center/lookup?search=1.24.16.79</t>
        </is>
      </c>
    </row>
    <row r="1822">
      <c r="A1822" t="inlineStr">
        <is>
          <t>TALOS_IP</t>
        </is>
      </c>
      <c r="B1822" t="inlineStr">
        <is>
          <t>8d054f2bae39</t>
        </is>
      </c>
      <c r="C1822" t="inlineStr">
        <is>
          <t>Cisco Talos Blacklisted IP: 1.24.16.85 | Verified malicious | Sources: TALOS</t>
        </is>
      </c>
      <c r="D1822" t="n">
        <v>7</v>
      </c>
      <c r="E1822" t="inlineStr">
        <is>
          <t>HIGH</t>
        </is>
      </c>
      <c r="F1822" t="n">
        <v>3</v>
      </c>
      <c r="G1822" t="n">
        <v>2</v>
      </c>
      <c r="H1822" t="inlineStr">
        <is>
          <t>HIGH</t>
        </is>
      </c>
      <c r="I1822" t="n">
        <v>13</v>
      </c>
      <c r="J1822" t="inlineStr">
        <is>
          <t>NO</t>
        </is>
      </c>
      <c r="K1822" t="inlineStr">
        <is>
          <t>2026-02-23 23:48</t>
        </is>
      </c>
      <c r="L1822" t="inlineStr">
        <is>
          <t>Block IP</t>
        </is>
      </c>
      <c r="M1822" t="inlineStr">
        <is>
          <t>Network perimeter / Email / Web</t>
        </is>
      </c>
      <c r="N1822" t="inlineStr">
        <is>
          <t>P3</t>
        </is>
      </c>
      <c r="O1822" t="inlineStr">
        <is>
          <t>Check ip-api.com + AbuseIPDB for context</t>
        </is>
      </c>
      <c r="P1822" t="n">
        <v>0</v>
      </c>
      <c r="Q1822" t="n">
        <v>0</v>
      </c>
      <c r="R1822" t="inlineStr">
        <is>
          <t>T1110:Brute Force | T1190:Exploit Public-Facing Application | T1566:Phishing</t>
        </is>
      </c>
      <c r="S1822" t="n">
        <v>1</v>
      </c>
      <c r="T1822" t="inlineStr">
        <is>
          <t>MEDIUM (60%)</t>
        </is>
      </c>
      <c r="U1822" t="inlineStr">
        <is>
          <t>NONE</t>
        </is>
      </c>
      <c r="V1822" t="inlineStr">
        <is>
          <t>NONE</t>
        </is>
      </c>
      <c r="W1822" t="inlineStr">
        <is>
          <t>NONE</t>
        </is>
      </c>
      <c r="X1822" t="inlineStr">
        <is>
          <t>NONE</t>
        </is>
      </c>
      <c r="Y1822" t="n">
        <v>0</v>
      </c>
      <c r="Z1822" t="inlineStr"/>
      <c r="AA1822" t="inlineStr">
        <is>
          <t>https://talosintelligence.com/reputation_center/lookup?search=1.24.16.85</t>
        </is>
      </c>
    </row>
    <row r="1823">
      <c r="A1823" t="inlineStr">
        <is>
          <t>TALOS_IP</t>
        </is>
      </c>
      <c r="B1823" t="inlineStr">
        <is>
          <t>ec5dbbd37b41</t>
        </is>
      </c>
      <c r="C1823" t="inlineStr">
        <is>
          <t>Cisco Talos Blacklisted IP: 1.24.16.87 | Verified malicious | Sources: TALOS</t>
        </is>
      </c>
      <c r="D1823" t="n">
        <v>7</v>
      </c>
      <c r="E1823" t="inlineStr">
        <is>
          <t>HIGH</t>
        </is>
      </c>
      <c r="F1823" t="n">
        <v>3</v>
      </c>
      <c r="G1823" t="n">
        <v>2</v>
      </c>
      <c r="H1823" t="inlineStr">
        <is>
          <t>HIGH</t>
        </is>
      </c>
      <c r="I1823" t="n">
        <v>13</v>
      </c>
      <c r="J1823" t="inlineStr">
        <is>
          <t>NO</t>
        </is>
      </c>
      <c r="K1823" t="inlineStr">
        <is>
          <t>2026-02-23 23:48</t>
        </is>
      </c>
      <c r="L1823" t="inlineStr">
        <is>
          <t>Block IP</t>
        </is>
      </c>
      <c r="M1823" t="inlineStr">
        <is>
          <t>Network perimeter / Email / Web</t>
        </is>
      </c>
      <c r="N1823" t="inlineStr">
        <is>
          <t>P3</t>
        </is>
      </c>
      <c r="O1823" t="inlineStr">
        <is>
          <t>Check ip-api.com + AbuseIPDB for context</t>
        </is>
      </c>
      <c r="P1823" t="n">
        <v>0</v>
      </c>
      <c r="Q1823" t="n">
        <v>0</v>
      </c>
      <c r="R1823" t="inlineStr">
        <is>
          <t>T1110:Brute Force | T1190:Exploit Public-Facing Application | T1566:Phishing</t>
        </is>
      </c>
      <c r="S1823" t="n">
        <v>1</v>
      </c>
      <c r="T1823" t="inlineStr">
        <is>
          <t>MEDIUM (60%)</t>
        </is>
      </c>
      <c r="U1823" t="inlineStr">
        <is>
          <t>NONE</t>
        </is>
      </c>
      <c r="V1823" t="inlineStr">
        <is>
          <t>NONE</t>
        </is>
      </c>
      <c r="W1823" t="inlineStr">
        <is>
          <t>NONE</t>
        </is>
      </c>
      <c r="X1823" t="inlineStr">
        <is>
          <t>NONE</t>
        </is>
      </c>
      <c r="Y1823" t="n">
        <v>0</v>
      </c>
      <c r="Z1823" t="inlineStr"/>
      <c r="AA1823" t="inlineStr">
        <is>
          <t>https://talosintelligence.com/reputation_center/lookup?search=1.24.16.87</t>
        </is>
      </c>
    </row>
    <row r="1824">
      <c r="A1824" t="inlineStr">
        <is>
          <t>TALOS_IP</t>
        </is>
      </c>
      <c r="B1824" t="inlineStr">
        <is>
          <t>a338e6eca4ef</t>
        </is>
      </c>
      <c r="C1824" t="inlineStr">
        <is>
          <t>Cisco Talos Blacklisted IP: 1.24.16.93 | Verified malicious | Sources: TALOS</t>
        </is>
      </c>
      <c r="D1824" t="n">
        <v>7</v>
      </c>
      <c r="E1824" t="inlineStr">
        <is>
          <t>HIGH</t>
        </is>
      </c>
      <c r="F1824" t="n">
        <v>3</v>
      </c>
      <c r="G1824" t="n">
        <v>2</v>
      </c>
      <c r="H1824" t="inlineStr">
        <is>
          <t>HIGH</t>
        </is>
      </c>
      <c r="I1824" t="n">
        <v>13</v>
      </c>
      <c r="J1824" t="inlineStr">
        <is>
          <t>NO</t>
        </is>
      </c>
      <c r="K1824" t="inlineStr">
        <is>
          <t>2026-02-23 23:48</t>
        </is>
      </c>
      <c r="L1824" t="inlineStr">
        <is>
          <t>Block IP</t>
        </is>
      </c>
      <c r="M1824" t="inlineStr">
        <is>
          <t>Network perimeter / Email / Web</t>
        </is>
      </c>
      <c r="N1824" t="inlineStr">
        <is>
          <t>P3</t>
        </is>
      </c>
      <c r="O1824" t="inlineStr">
        <is>
          <t>Check ip-api.com + AbuseIPDB for context</t>
        </is>
      </c>
      <c r="P1824" t="n">
        <v>0</v>
      </c>
      <c r="Q1824" t="n">
        <v>0</v>
      </c>
      <c r="R1824" t="inlineStr">
        <is>
          <t>T1110:Brute Force | T1190:Exploit Public-Facing Application | T1566:Phishing</t>
        </is>
      </c>
      <c r="S1824" t="n">
        <v>1</v>
      </c>
      <c r="T1824" t="inlineStr">
        <is>
          <t>MEDIUM (60%)</t>
        </is>
      </c>
      <c r="U1824" t="inlineStr">
        <is>
          <t>NONE</t>
        </is>
      </c>
      <c r="V1824" t="inlineStr">
        <is>
          <t>NONE</t>
        </is>
      </c>
      <c r="W1824" t="inlineStr">
        <is>
          <t>NONE</t>
        </is>
      </c>
      <c r="X1824" t="inlineStr">
        <is>
          <t>NONE</t>
        </is>
      </c>
      <c r="Y1824" t="n">
        <v>0</v>
      </c>
      <c r="Z1824" t="inlineStr"/>
      <c r="AA1824" t="inlineStr">
        <is>
          <t>https://talosintelligence.com/reputation_center/lookup?search=1.24.16.93</t>
        </is>
      </c>
    </row>
    <row r="1825">
      <c r="A1825" t="inlineStr">
        <is>
          <t>TALOS_IP</t>
        </is>
      </c>
      <c r="B1825" t="inlineStr">
        <is>
          <t>fe3bd451483c</t>
        </is>
      </c>
      <c r="C1825" t="inlineStr">
        <is>
          <t>Cisco Talos Blacklisted IP: 1.24.16.97 | Verified malicious | Sources: TALOS</t>
        </is>
      </c>
      <c r="D1825" t="n">
        <v>7</v>
      </c>
      <c r="E1825" t="inlineStr">
        <is>
          <t>HIGH</t>
        </is>
      </c>
      <c r="F1825" t="n">
        <v>3</v>
      </c>
      <c r="G1825" t="n">
        <v>2</v>
      </c>
      <c r="H1825" t="inlineStr">
        <is>
          <t>HIGH</t>
        </is>
      </c>
      <c r="I1825" t="n">
        <v>13</v>
      </c>
      <c r="J1825" t="inlineStr">
        <is>
          <t>NO</t>
        </is>
      </c>
      <c r="K1825" t="inlineStr">
        <is>
          <t>2026-02-23 23:48</t>
        </is>
      </c>
      <c r="L1825" t="inlineStr">
        <is>
          <t>Block IP</t>
        </is>
      </c>
      <c r="M1825" t="inlineStr">
        <is>
          <t>Network perimeter / Email / Web</t>
        </is>
      </c>
      <c r="N1825" t="inlineStr">
        <is>
          <t>P3</t>
        </is>
      </c>
      <c r="O1825" t="inlineStr">
        <is>
          <t>Check ip-api.com + AbuseIPDB for context</t>
        </is>
      </c>
      <c r="P1825" t="n">
        <v>0</v>
      </c>
      <c r="Q1825" t="n">
        <v>0</v>
      </c>
      <c r="R1825" t="inlineStr">
        <is>
          <t>T1110:Brute Force | T1190:Exploit Public-Facing Application | T1566:Phishing</t>
        </is>
      </c>
      <c r="S1825" t="n">
        <v>1</v>
      </c>
      <c r="T1825" t="inlineStr">
        <is>
          <t>MEDIUM (60%)</t>
        </is>
      </c>
      <c r="U1825" t="inlineStr">
        <is>
          <t>NONE</t>
        </is>
      </c>
      <c r="V1825" t="inlineStr">
        <is>
          <t>NONE</t>
        </is>
      </c>
      <c r="W1825" t="inlineStr">
        <is>
          <t>NONE</t>
        </is>
      </c>
      <c r="X1825" t="inlineStr">
        <is>
          <t>NONE</t>
        </is>
      </c>
      <c r="Y1825" t="n">
        <v>0</v>
      </c>
      <c r="Z1825" t="inlineStr"/>
      <c r="AA1825" t="inlineStr">
        <is>
          <t>https://talosintelligence.com/reputation_center/lookup?search=1.24.16.97</t>
        </is>
      </c>
    </row>
    <row r="1826">
      <c r="A1826" t="inlineStr">
        <is>
          <t>TALOS_IP</t>
        </is>
      </c>
      <c r="B1826" t="inlineStr">
        <is>
          <t>c1a27f1f97eb</t>
        </is>
      </c>
      <c r="C1826" t="inlineStr">
        <is>
          <t>Cisco Talos Blacklisted IP: 1.25.64.231 | Verified malicious | Sources: TALOS</t>
        </is>
      </c>
      <c r="D1826" t="n">
        <v>7</v>
      </c>
      <c r="E1826" t="inlineStr">
        <is>
          <t>HIGH</t>
        </is>
      </c>
      <c r="F1826" t="n">
        <v>3</v>
      </c>
      <c r="G1826" t="n">
        <v>2</v>
      </c>
      <c r="H1826" t="inlineStr">
        <is>
          <t>HIGH</t>
        </is>
      </c>
      <c r="I1826" t="n">
        <v>13</v>
      </c>
      <c r="J1826" t="inlineStr">
        <is>
          <t>NO</t>
        </is>
      </c>
      <c r="K1826" t="inlineStr">
        <is>
          <t>2026-02-23 23:48</t>
        </is>
      </c>
      <c r="L1826" t="inlineStr">
        <is>
          <t>Block IP</t>
        </is>
      </c>
      <c r="M1826" t="inlineStr">
        <is>
          <t>Network perimeter / Email / Web</t>
        </is>
      </c>
      <c r="N1826" t="inlineStr">
        <is>
          <t>P3</t>
        </is>
      </c>
      <c r="O1826" t="inlineStr">
        <is>
          <t>Check ip-api.com + AbuseIPDB for context</t>
        </is>
      </c>
      <c r="P1826" t="n">
        <v>0</v>
      </c>
      <c r="Q1826" t="n">
        <v>0</v>
      </c>
      <c r="R1826" t="inlineStr">
        <is>
          <t>T1110:Brute Force | T1190:Exploit Public-Facing Application | T1566:Phishing</t>
        </is>
      </c>
      <c r="S1826" t="n">
        <v>1</v>
      </c>
      <c r="T1826" t="inlineStr">
        <is>
          <t>MEDIUM (60%)</t>
        </is>
      </c>
      <c r="U1826" t="inlineStr">
        <is>
          <t>NONE</t>
        </is>
      </c>
      <c r="V1826" t="inlineStr">
        <is>
          <t>NONE</t>
        </is>
      </c>
      <c r="W1826" t="inlineStr">
        <is>
          <t>NONE</t>
        </is>
      </c>
      <c r="X1826" t="inlineStr">
        <is>
          <t>NONE</t>
        </is>
      </c>
      <c r="Y1826" t="n">
        <v>0</v>
      </c>
      <c r="Z1826" t="inlineStr"/>
      <c r="AA1826" t="inlineStr">
        <is>
          <t>https://talosintelligence.com/reputation_center/lookup?search=1.25.64.231</t>
        </is>
      </c>
    </row>
    <row r="1827">
      <c r="A1827" t="inlineStr">
        <is>
          <t>TALOS_IP</t>
        </is>
      </c>
      <c r="B1827" t="inlineStr">
        <is>
          <t>5b30f64800da</t>
        </is>
      </c>
      <c r="C1827" t="inlineStr">
        <is>
          <t>Cisco Talos Blacklisted IP: 1.251.50.105 | Verified malicious | Sources: TALOS</t>
        </is>
      </c>
      <c r="D1827" t="n">
        <v>7</v>
      </c>
      <c r="E1827" t="inlineStr">
        <is>
          <t>HIGH</t>
        </is>
      </c>
      <c r="F1827" t="n">
        <v>3</v>
      </c>
      <c r="G1827" t="n">
        <v>2</v>
      </c>
      <c r="H1827" t="inlineStr">
        <is>
          <t>HIGH</t>
        </is>
      </c>
      <c r="I1827" t="n">
        <v>13</v>
      </c>
      <c r="J1827" t="inlineStr">
        <is>
          <t>NO</t>
        </is>
      </c>
      <c r="K1827" t="inlineStr">
        <is>
          <t>2026-02-23 23:48</t>
        </is>
      </c>
      <c r="L1827" t="inlineStr">
        <is>
          <t>Block IP</t>
        </is>
      </c>
      <c r="M1827" t="inlineStr">
        <is>
          <t>Network perimeter / Email / Web</t>
        </is>
      </c>
      <c r="N1827" t="inlineStr">
        <is>
          <t>P3</t>
        </is>
      </c>
      <c r="O1827" t="inlineStr">
        <is>
          <t>Check ip-api.com + AbuseIPDB for context</t>
        </is>
      </c>
      <c r="P1827" t="n">
        <v>0</v>
      </c>
      <c r="Q1827" t="n">
        <v>0</v>
      </c>
      <c r="R1827" t="inlineStr">
        <is>
          <t>T1110:Brute Force | T1190:Exploit Public-Facing Application | T1566:Phishing</t>
        </is>
      </c>
      <c r="S1827" t="n">
        <v>1</v>
      </c>
      <c r="T1827" t="inlineStr">
        <is>
          <t>MEDIUM (60%)</t>
        </is>
      </c>
      <c r="U1827" t="inlineStr">
        <is>
          <t>NONE</t>
        </is>
      </c>
      <c r="V1827" t="inlineStr">
        <is>
          <t>NONE</t>
        </is>
      </c>
      <c r="W1827" t="inlineStr">
        <is>
          <t>NONE</t>
        </is>
      </c>
      <c r="X1827" t="inlineStr">
        <is>
          <t>NONE</t>
        </is>
      </c>
      <c r="Y1827" t="n">
        <v>0</v>
      </c>
      <c r="Z1827" t="inlineStr"/>
      <c r="AA1827" t="inlineStr">
        <is>
          <t>https://talosintelligence.com/reputation_center/lookup?search=1.251.50.105</t>
        </is>
      </c>
    </row>
    <row r="1828">
      <c r="A1828" t="inlineStr">
        <is>
          <t>TALOS_IP</t>
        </is>
      </c>
      <c r="B1828" t="inlineStr">
        <is>
          <t>5466122f9e74</t>
        </is>
      </c>
      <c r="C1828" t="inlineStr">
        <is>
          <t>Cisco Talos Blacklisted IP: 1.28.229.243 | Verified malicious | Sources: TALOS</t>
        </is>
      </c>
      <c r="D1828" t="n">
        <v>7</v>
      </c>
      <c r="E1828" t="inlineStr">
        <is>
          <t>HIGH</t>
        </is>
      </c>
      <c r="F1828" t="n">
        <v>3</v>
      </c>
      <c r="G1828" t="n">
        <v>2</v>
      </c>
      <c r="H1828" t="inlineStr">
        <is>
          <t>HIGH</t>
        </is>
      </c>
      <c r="I1828" t="n">
        <v>13</v>
      </c>
      <c r="J1828" t="inlineStr">
        <is>
          <t>NO</t>
        </is>
      </c>
      <c r="K1828" t="inlineStr">
        <is>
          <t>2026-02-23 23:48</t>
        </is>
      </c>
      <c r="L1828" t="inlineStr">
        <is>
          <t>Block IP</t>
        </is>
      </c>
      <c r="M1828" t="inlineStr">
        <is>
          <t>Network perimeter / Email / Web</t>
        </is>
      </c>
      <c r="N1828" t="inlineStr">
        <is>
          <t>P3</t>
        </is>
      </c>
      <c r="O1828" t="inlineStr">
        <is>
          <t>Check ip-api.com + AbuseIPDB for context</t>
        </is>
      </c>
      <c r="P1828" t="n">
        <v>0</v>
      </c>
      <c r="Q1828" t="n">
        <v>0</v>
      </c>
      <c r="R1828" t="inlineStr">
        <is>
          <t>T1110:Brute Force | T1190:Exploit Public-Facing Application | T1566:Phishing</t>
        </is>
      </c>
      <c r="S1828" t="n">
        <v>1</v>
      </c>
      <c r="T1828" t="inlineStr">
        <is>
          <t>MEDIUM (60%)</t>
        </is>
      </c>
      <c r="U1828" t="inlineStr">
        <is>
          <t>NONE</t>
        </is>
      </c>
      <c r="V1828" t="inlineStr">
        <is>
          <t>NONE</t>
        </is>
      </c>
      <c r="W1828" t="inlineStr">
        <is>
          <t>NONE</t>
        </is>
      </c>
      <c r="X1828" t="inlineStr">
        <is>
          <t>NONE</t>
        </is>
      </c>
      <c r="Y1828" t="n">
        <v>0</v>
      </c>
      <c r="Z1828" t="inlineStr"/>
      <c r="AA1828" t="inlineStr">
        <is>
          <t>https://talosintelligence.com/reputation_center/lookup?search=1.28.229.243</t>
        </is>
      </c>
    </row>
    <row r="1829">
      <c r="A1829" t="inlineStr">
        <is>
          <t>TALOS_IP</t>
        </is>
      </c>
      <c r="B1829" t="inlineStr">
        <is>
          <t>c82b8ffa280f</t>
        </is>
      </c>
      <c r="C1829" t="inlineStr">
        <is>
          <t>Cisco Talos Blacklisted IP: 1.30.197.2 | Verified malicious | Sources: TALOS</t>
        </is>
      </c>
      <c r="D1829" t="n">
        <v>7</v>
      </c>
      <c r="E1829" t="inlineStr">
        <is>
          <t>HIGH</t>
        </is>
      </c>
      <c r="F1829" t="n">
        <v>3</v>
      </c>
      <c r="G1829" t="n">
        <v>2</v>
      </c>
      <c r="H1829" t="inlineStr">
        <is>
          <t>HIGH</t>
        </is>
      </c>
      <c r="I1829" t="n">
        <v>13</v>
      </c>
      <c r="J1829" t="inlineStr">
        <is>
          <t>NO</t>
        </is>
      </c>
      <c r="K1829" t="inlineStr">
        <is>
          <t>2026-02-23 23:48</t>
        </is>
      </c>
      <c r="L1829" t="inlineStr">
        <is>
          <t>Block IP</t>
        </is>
      </c>
      <c r="M1829" t="inlineStr">
        <is>
          <t>Network perimeter / Email / Web</t>
        </is>
      </c>
      <c r="N1829" t="inlineStr">
        <is>
          <t>P3</t>
        </is>
      </c>
      <c r="O1829" t="inlineStr">
        <is>
          <t>Check ip-api.com + AbuseIPDB for context</t>
        </is>
      </c>
      <c r="P1829" t="n">
        <v>0</v>
      </c>
      <c r="Q1829" t="n">
        <v>0</v>
      </c>
      <c r="R1829" t="inlineStr">
        <is>
          <t>T1110:Brute Force | T1190:Exploit Public-Facing Application | T1566:Phishing</t>
        </is>
      </c>
      <c r="S1829" t="n">
        <v>1</v>
      </c>
      <c r="T1829" t="inlineStr">
        <is>
          <t>MEDIUM (60%)</t>
        </is>
      </c>
      <c r="U1829" t="inlineStr">
        <is>
          <t>NONE</t>
        </is>
      </c>
      <c r="V1829" t="inlineStr">
        <is>
          <t>NONE</t>
        </is>
      </c>
      <c r="W1829" t="inlineStr">
        <is>
          <t>NONE</t>
        </is>
      </c>
      <c r="X1829" t="inlineStr">
        <is>
          <t>NONE</t>
        </is>
      </c>
      <c r="Y1829" t="n">
        <v>0</v>
      </c>
      <c r="Z1829" t="inlineStr"/>
      <c r="AA1829" t="inlineStr">
        <is>
          <t>https://talosintelligence.com/reputation_center/lookup?search=1.30.197.2</t>
        </is>
      </c>
    </row>
    <row r="1830">
      <c r="A1830" t="inlineStr">
        <is>
          <t>TALOS_IP</t>
        </is>
      </c>
      <c r="B1830" t="inlineStr">
        <is>
          <t>6f3871b4d2cf</t>
        </is>
      </c>
      <c r="C1830" t="inlineStr">
        <is>
          <t>Cisco Talos Blacklisted IP: 1.32.57.245 | Verified malicious | Sources: TALOS</t>
        </is>
      </c>
      <c r="D1830" t="n">
        <v>7</v>
      </c>
      <c r="E1830" t="inlineStr">
        <is>
          <t>HIGH</t>
        </is>
      </c>
      <c r="F1830" t="n">
        <v>3</v>
      </c>
      <c r="G1830" t="n">
        <v>2</v>
      </c>
      <c r="H1830" t="inlineStr">
        <is>
          <t>HIGH</t>
        </is>
      </c>
      <c r="I1830" t="n">
        <v>13</v>
      </c>
      <c r="J1830" t="inlineStr">
        <is>
          <t>NO</t>
        </is>
      </c>
      <c r="K1830" t="inlineStr">
        <is>
          <t>2026-02-23 23:48</t>
        </is>
      </c>
      <c r="L1830" t="inlineStr">
        <is>
          <t>Block IP</t>
        </is>
      </c>
      <c r="M1830" t="inlineStr">
        <is>
          <t>Network perimeter / Email / Web</t>
        </is>
      </c>
      <c r="N1830" t="inlineStr">
        <is>
          <t>P3</t>
        </is>
      </c>
      <c r="O1830" t="inlineStr">
        <is>
          <t>Check ip-api.com + AbuseIPDB for context</t>
        </is>
      </c>
      <c r="P1830" t="n">
        <v>0</v>
      </c>
      <c r="Q1830" t="n">
        <v>0</v>
      </c>
      <c r="R1830" t="inlineStr">
        <is>
          <t>T1110:Brute Force | T1190:Exploit Public-Facing Application | T1566:Phishing</t>
        </is>
      </c>
      <c r="S1830" t="n">
        <v>1</v>
      </c>
      <c r="T1830" t="inlineStr">
        <is>
          <t>MEDIUM (60%)</t>
        </is>
      </c>
      <c r="U1830" t="inlineStr">
        <is>
          <t>NONE</t>
        </is>
      </c>
      <c r="V1830" t="inlineStr">
        <is>
          <t>NONE</t>
        </is>
      </c>
      <c r="W1830" t="inlineStr">
        <is>
          <t>NONE</t>
        </is>
      </c>
      <c r="X1830" t="inlineStr">
        <is>
          <t>NONE</t>
        </is>
      </c>
      <c r="Y1830" t="n">
        <v>0</v>
      </c>
      <c r="Z1830" t="inlineStr"/>
      <c r="AA1830" t="inlineStr">
        <is>
          <t>https://talosintelligence.com/reputation_center/lookup?search=1.32.57.245</t>
        </is>
      </c>
    </row>
    <row r="1831">
      <c r="A1831" t="inlineStr">
        <is>
          <t>TALOS_IP</t>
        </is>
      </c>
      <c r="B1831" t="inlineStr">
        <is>
          <t>69d72e136a5a</t>
        </is>
      </c>
      <c r="C1831" t="inlineStr">
        <is>
          <t>Cisco Talos Blacklisted IP: 1.34.172.9 | Verified malicious | Sources: TALOS</t>
        </is>
      </c>
      <c r="D1831" t="n">
        <v>7</v>
      </c>
      <c r="E1831" t="inlineStr">
        <is>
          <t>HIGH</t>
        </is>
      </c>
      <c r="F1831" t="n">
        <v>3</v>
      </c>
      <c r="G1831" t="n">
        <v>2</v>
      </c>
      <c r="H1831" t="inlineStr">
        <is>
          <t>HIGH</t>
        </is>
      </c>
      <c r="I1831" t="n">
        <v>13</v>
      </c>
      <c r="J1831" t="inlineStr">
        <is>
          <t>NO</t>
        </is>
      </c>
      <c r="K1831" t="inlineStr">
        <is>
          <t>2026-02-23 23:48</t>
        </is>
      </c>
      <c r="L1831" t="inlineStr">
        <is>
          <t>Block IP</t>
        </is>
      </c>
      <c r="M1831" t="inlineStr">
        <is>
          <t>Network perimeter / Email / Web</t>
        </is>
      </c>
      <c r="N1831" t="inlineStr">
        <is>
          <t>P3</t>
        </is>
      </c>
      <c r="O1831" t="inlineStr">
        <is>
          <t>Check ip-api.com + AbuseIPDB for context</t>
        </is>
      </c>
      <c r="P1831" t="n">
        <v>0</v>
      </c>
      <c r="Q1831" t="n">
        <v>0</v>
      </c>
      <c r="R1831" t="inlineStr">
        <is>
          <t>T1110:Brute Force | T1190:Exploit Public-Facing Application | T1566:Phishing</t>
        </is>
      </c>
      <c r="S1831" t="n">
        <v>1</v>
      </c>
      <c r="T1831" t="inlineStr">
        <is>
          <t>MEDIUM (60%)</t>
        </is>
      </c>
      <c r="U1831" t="inlineStr">
        <is>
          <t>NONE</t>
        </is>
      </c>
      <c r="V1831" t="inlineStr">
        <is>
          <t>NONE</t>
        </is>
      </c>
      <c r="W1831" t="inlineStr">
        <is>
          <t>NONE</t>
        </is>
      </c>
      <c r="X1831" t="inlineStr">
        <is>
          <t>NONE</t>
        </is>
      </c>
      <c r="Y1831" t="n">
        <v>0</v>
      </c>
      <c r="Z1831" t="inlineStr"/>
      <c r="AA1831" t="inlineStr">
        <is>
          <t>https://talosintelligence.com/reputation_center/lookup?search=1.34.172.9</t>
        </is>
      </c>
    </row>
    <row r="1832">
      <c r="A1832" t="inlineStr">
        <is>
          <t>TALOS_IP</t>
        </is>
      </c>
      <c r="B1832" t="inlineStr">
        <is>
          <t>4b42c4f9aa5b</t>
        </is>
      </c>
      <c r="C1832" t="inlineStr">
        <is>
          <t>Cisco Talos Blacklisted IP: 1.34.79.8 | Verified malicious | Sources: TALOS</t>
        </is>
      </c>
      <c r="D1832" t="n">
        <v>7</v>
      </c>
      <c r="E1832" t="inlineStr">
        <is>
          <t>HIGH</t>
        </is>
      </c>
      <c r="F1832" t="n">
        <v>3</v>
      </c>
      <c r="G1832" t="n">
        <v>2</v>
      </c>
      <c r="H1832" t="inlineStr">
        <is>
          <t>HIGH</t>
        </is>
      </c>
      <c r="I1832" t="n">
        <v>13</v>
      </c>
      <c r="J1832" t="inlineStr">
        <is>
          <t>NO</t>
        </is>
      </c>
      <c r="K1832" t="inlineStr">
        <is>
          <t>2026-02-23 23:48</t>
        </is>
      </c>
      <c r="L1832" t="inlineStr">
        <is>
          <t>Block IP</t>
        </is>
      </c>
      <c r="M1832" t="inlineStr">
        <is>
          <t>Network perimeter / Email / Web</t>
        </is>
      </c>
      <c r="N1832" t="inlineStr">
        <is>
          <t>P3</t>
        </is>
      </c>
      <c r="O1832" t="inlineStr">
        <is>
          <t>Check ip-api.com + AbuseIPDB for context</t>
        </is>
      </c>
      <c r="P1832" t="n">
        <v>0</v>
      </c>
      <c r="Q1832" t="n">
        <v>0</v>
      </c>
      <c r="R1832" t="inlineStr">
        <is>
          <t>T1110:Brute Force | T1190:Exploit Public-Facing Application | T1566:Phishing</t>
        </is>
      </c>
      <c r="S1832" t="n">
        <v>1</v>
      </c>
      <c r="T1832" t="inlineStr">
        <is>
          <t>MEDIUM (60%)</t>
        </is>
      </c>
      <c r="U1832" t="inlineStr">
        <is>
          <t>NONE</t>
        </is>
      </c>
      <c r="V1832" t="inlineStr">
        <is>
          <t>NONE</t>
        </is>
      </c>
      <c r="W1832" t="inlineStr">
        <is>
          <t>NONE</t>
        </is>
      </c>
      <c r="X1832" t="inlineStr">
        <is>
          <t>NONE</t>
        </is>
      </c>
      <c r="Y1832" t="n">
        <v>0</v>
      </c>
      <c r="Z1832" t="inlineStr"/>
      <c r="AA1832" t="inlineStr">
        <is>
          <t>https://talosintelligence.com/reputation_center/lookup?search=1.34.79.8</t>
        </is>
      </c>
    </row>
    <row r="1833">
      <c r="A1833" t="inlineStr">
        <is>
          <t>TALOS_IP</t>
        </is>
      </c>
      <c r="B1833" t="inlineStr">
        <is>
          <t>850fd032f588</t>
        </is>
      </c>
      <c r="C1833" t="inlineStr">
        <is>
          <t>Cisco Talos Blacklisted IP: 1.4.161.161 | Verified malicious | Sources: TALOS</t>
        </is>
      </c>
      <c r="D1833" t="n">
        <v>7</v>
      </c>
      <c r="E1833" t="inlineStr">
        <is>
          <t>HIGH</t>
        </is>
      </c>
      <c r="F1833" t="n">
        <v>3</v>
      </c>
      <c r="G1833" t="n">
        <v>2</v>
      </c>
      <c r="H1833" t="inlineStr">
        <is>
          <t>HIGH</t>
        </is>
      </c>
      <c r="I1833" t="n">
        <v>13</v>
      </c>
      <c r="J1833" t="inlineStr">
        <is>
          <t>NO</t>
        </is>
      </c>
      <c r="K1833" t="inlineStr">
        <is>
          <t>2026-02-23 23:48</t>
        </is>
      </c>
      <c r="L1833" t="inlineStr">
        <is>
          <t>Block IP</t>
        </is>
      </c>
      <c r="M1833" t="inlineStr">
        <is>
          <t>Network perimeter / Email / Web</t>
        </is>
      </c>
      <c r="N1833" t="inlineStr">
        <is>
          <t>P3</t>
        </is>
      </c>
      <c r="O1833" t="inlineStr">
        <is>
          <t>Check ip-api.com + AbuseIPDB for context</t>
        </is>
      </c>
      <c r="P1833" t="n">
        <v>0</v>
      </c>
      <c r="Q1833" t="n">
        <v>0</v>
      </c>
      <c r="R1833" t="inlineStr">
        <is>
          <t>T1110:Brute Force | T1190:Exploit Public-Facing Application | T1566:Phishing</t>
        </is>
      </c>
      <c r="S1833" t="n">
        <v>1</v>
      </c>
      <c r="T1833" t="inlineStr">
        <is>
          <t>MEDIUM (60%)</t>
        </is>
      </c>
      <c r="U1833" t="inlineStr">
        <is>
          <t>NONE</t>
        </is>
      </c>
      <c r="V1833" t="inlineStr">
        <is>
          <t>NONE</t>
        </is>
      </c>
      <c r="W1833" t="inlineStr">
        <is>
          <t>NONE</t>
        </is>
      </c>
      <c r="X1833" t="inlineStr">
        <is>
          <t>NONE</t>
        </is>
      </c>
      <c r="Y1833" t="n">
        <v>0</v>
      </c>
      <c r="Z1833" t="inlineStr"/>
      <c r="AA1833" t="inlineStr">
        <is>
          <t>https://talosintelligence.com/reputation_center/lookup?search=1.4.161.161</t>
        </is>
      </c>
    </row>
    <row r="1834">
      <c r="A1834" t="inlineStr">
        <is>
          <t>TALOS_IP</t>
        </is>
      </c>
      <c r="B1834" t="inlineStr">
        <is>
          <t>30861910b2d3</t>
        </is>
      </c>
      <c r="C1834" t="inlineStr">
        <is>
          <t>Cisco Talos Blacklisted IP: 1.53.228.28 | Verified malicious | Sources: TALOS</t>
        </is>
      </c>
      <c r="D1834" t="n">
        <v>7</v>
      </c>
      <c r="E1834" t="inlineStr">
        <is>
          <t>HIGH</t>
        </is>
      </c>
      <c r="F1834" t="n">
        <v>3</v>
      </c>
      <c r="G1834" t="n">
        <v>2</v>
      </c>
      <c r="H1834" t="inlineStr">
        <is>
          <t>HIGH</t>
        </is>
      </c>
      <c r="I1834" t="n">
        <v>13</v>
      </c>
      <c r="J1834" t="inlineStr">
        <is>
          <t>NO</t>
        </is>
      </c>
      <c r="K1834" t="inlineStr">
        <is>
          <t>2026-02-23 23:48</t>
        </is>
      </c>
      <c r="L1834" t="inlineStr">
        <is>
          <t>Block IP</t>
        </is>
      </c>
      <c r="M1834" t="inlineStr">
        <is>
          <t>Network perimeter / Email / Web</t>
        </is>
      </c>
      <c r="N1834" t="inlineStr">
        <is>
          <t>P3</t>
        </is>
      </c>
      <c r="O1834" t="inlineStr">
        <is>
          <t>Check ip-api.com + AbuseIPDB for context</t>
        </is>
      </c>
      <c r="P1834" t="n">
        <v>0</v>
      </c>
      <c r="Q1834" t="n">
        <v>0</v>
      </c>
      <c r="R1834" t="inlineStr">
        <is>
          <t>T1110:Brute Force | T1190:Exploit Public-Facing Application | T1566:Phishing</t>
        </is>
      </c>
      <c r="S1834" t="n">
        <v>1</v>
      </c>
      <c r="T1834" t="inlineStr">
        <is>
          <t>MEDIUM (60%)</t>
        </is>
      </c>
      <c r="U1834" t="inlineStr">
        <is>
          <t>NONE</t>
        </is>
      </c>
      <c r="V1834" t="inlineStr">
        <is>
          <t>NONE</t>
        </is>
      </c>
      <c r="W1834" t="inlineStr">
        <is>
          <t>NONE</t>
        </is>
      </c>
      <c r="X1834" t="inlineStr">
        <is>
          <t>NONE</t>
        </is>
      </c>
      <c r="Y1834" t="n">
        <v>0</v>
      </c>
      <c r="Z1834" t="inlineStr"/>
      <c r="AA1834" t="inlineStr">
        <is>
          <t>https://talosintelligence.com/reputation_center/lookup?search=1.53.228.28</t>
        </is>
      </c>
    </row>
    <row r="1835">
      <c r="A1835" t="inlineStr">
        <is>
          <t>TALOS_IP</t>
        </is>
      </c>
      <c r="B1835" t="inlineStr">
        <is>
          <t>3f907f2ce1be</t>
        </is>
      </c>
      <c r="C1835" t="inlineStr">
        <is>
          <t>Cisco Talos Blacklisted IP: 1.54.227.169 | Verified malicious | Sources: TALOS</t>
        </is>
      </c>
      <c r="D1835" t="n">
        <v>7</v>
      </c>
      <c r="E1835" t="inlineStr">
        <is>
          <t>HIGH</t>
        </is>
      </c>
      <c r="F1835" t="n">
        <v>3</v>
      </c>
      <c r="G1835" t="n">
        <v>2</v>
      </c>
      <c r="H1835" t="inlineStr">
        <is>
          <t>HIGH</t>
        </is>
      </c>
      <c r="I1835" t="n">
        <v>13</v>
      </c>
      <c r="J1835" t="inlineStr">
        <is>
          <t>NO</t>
        </is>
      </c>
      <c r="K1835" t="inlineStr">
        <is>
          <t>2026-02-23 23:48</t>
        </is>
      </c>
      <c r="L1835" t="inlineStr">
        <is>
          <t>Block IP</t>
        </is>
      </c>
      <c r="M1835" t="inlineStr">
        <is>
          <t>Network perimeter / Email / Web</t>
        </is>
      </c>
      <c r="N1835" t="inlineStr">
        <is>
          <t>P3</t>
        </is>
      </c>
      <c r="O1835" t="inlineStr">
        <is>
          <t>Check ip-api.com + AbuseIPDB for context</t>
        </is>
      </c>
      <c r="P1835" t="n">
        <v>0</v>
      </c>
      <c r="Q1835" t="n">
        <v>0</v>
      </c>
      <c r="R1835" t="inlineStr">
        <is>
          <t>T1110:Brute Force | T1190:Exploit Public-Facing Application | T1566:Phishing</t>
        </is>
      </c>
      <c r="S1835" t="n">
        <v>1</v>
      </c>
      <c r="T1835" t="inlineStr">
        <is>
          <t>MEDIUM (60%)</t>
        </is>
      </c>
      <c r="U1835" t="inlineStr">
        <is>
          <t>NONE</t>
        </is>
      </c>
      <c r="V1835" t="inlineStr">
        <is>
          <t>NONE</t>
        </is>
      </c>
      <c r="W1835" t="inlineStr">
        <is>
          <t>NONE</t>
        </is>
      </c>
      <c r="X1835" t="inlineStr">
        <is>
          <t>NONE</t>
        </is>
      </c>
      <c r="Y1835" t="n">
        <v>0</v>
      </c>
      <c r="Z1835" t="inlineStr"/>
      <c r="AA1835" t="inlineStr">
        <is>
          <t>https://talosintelligence.com/reputation_center/lookup?search=1.54.227.169</t>
        </is>
      </c>
    </row>
    <row r="1836">
      <c r="A1836" t="inlineStr">
        <is>
          <t>TALOS_IP</t>
        </is>
      </c>
      <c r="B1836" t="inlineStr">
        <is>
          <t>d4ecff0c645a</t>
        </is>
      </c>
      <c r="C1836" t="inlineStr">
        <is>
          <t>Cisco Talos Blacklisted IP: 1.55.112.41 | Verified malicious | Sources: TALOS</t>
        </is>
      </c>
      <c r="D1836" t="n">
        <v>7</v>
      </c>
      <c r="E1836" t="inlineStr">
        <is>
          <t>HIGH</t>
        </is>
      </c>
      <c r="F1836" t="n">
        <v>3</v>
      </c>
      <c r="G1836" t="n">
        <v>2</v>
      </c>
      <c r="H1836" t="inlineStr">
        <is>
          <t>HIGH</t>
        </is>
      </c>
      <c r="I1836" t="n">
        <v>13</v>
      </c>
      <c r="J1836" t="inlineStr">
        <is>
          <t>NO</t>
        </is>
      </c>
      <c r="K1836" t="inlineStr">
        <is>
          <t>2026-02-23 23:48</t>
        </is>
      </c>
      <c r="L1836" t="inlineStr">
        <is>
          <t>Block IP</t>
        </is>
      </c>
      <c r="M1836" t="inlineStr">
        <is>
          <t>Network perimeter / Email / Web</t>
        </is>
      </c>
      <c r="N1836" t="inlineStr">
        <is>
          <t>P3</t>
        </is>
      </c>
      <c r="O1836" t="inlineStr">
        <is>
          <t>Check ip-api.com + AbuseIPDB for context</t>
        </is>
      </c>
      <c r="P1836" t="n">
        <v>0</v>
      </c>
      <c r="Q1836" t="n">
        <v>0</v>
      </c>
      <c r="R1836" t="inlineStr">
        <is>
          <t>T1110:Brute Force | T1190:Exploit Public-Facing Application | T1566:Phishing</t>
        </is>
      </c>
      <c r="S1836" t="n">
        <v>1</v>
      </c>
      <c r="T1836" t="inlineStr">
        <is>
          <t>MEDIUM (60%)</t>
        </is>
      </c>
      <c r="U1836" t="inlineStr">
        <is>
          <t>NONE</t>
        </is>
      </c>
      <c r="V1836" t="inlineStr">
        <is>
          <t>NONE</t>
        </is>
      </c>
      <c r="W1836" t="inlineStr">
        <is>
          <t>NONE</t>
        </is>
      </c>
      <c r="X1836" t="inlineStr">
        <is>
          <t>NONE</t>
        </is>
      </c>
      <c r="Y1836" t="n">
        <v>0</v>
      </c>
      <c r="Z1836" t="inlineStr"/>
      <c r="AA1836" t="inlineStr">
        <is>
          <t>https://talosintelligence.com/reputation_center/lookup?search=1.55.112.41</t>
        </is>
      </c>
    </row>
    <row r="1837">
      <c r="A1837" t="inlineStr">
        <is>
          <t>TALOS_IP</t>
        </is>
      </c>
      <c r="B1837" t="inlineStr">
        <is>
          <t>294e79b63c03</t>
        </is>
      </c>
      <c r="C1837" t="inlineStr">
        <is>
          <t>Cisco Talos Blacklisted IP: 1.55.178.97 | Verified malicious | Sources: TALOS</t>
        </is>
      </c>
      <c r="D1837" t="n">
        <v>7</v>
      </c>
      <c r="E1837" t="inlineStr">
        <is>
          <t>HIGH</t>
        </is>
      </c>
      <c r="F1837" t="n">
        <v>3</v>
      </c>
      <c r="G1837" t="n">
        <v>2</v>
      </c>
      <c r="H1837" t="inlineStr">
        <is>
          <t>HIGH</t>
        </is>
      </c>
      <c r="I1837" t="n">
        <v>13</v>
      </c>
      <c r="J1837" t="inlineStr">
        <is>
          <t>NO</t>
        </is>
      </c>
      <c r="K1837" t="inlineStr">
        <is>
          <t>2026-02-23 23:48</t>
        </is>
      </c>
      <c r="L1837" t="inlineStr">
        <is>
          <t>Block IP</t>
        </is>
      </c>
      <c r="M1837" t="inlineStr">
        <is>
          <t>Network perimeter / Email / Web</t>
        </is>
      </c>
      <c r="N1837" t="inlineStr">
        <is>
          <t>P3</t>
        </is>
      </c>
      <c r="O1837" t="inlineStr">
        <is>
          <t>Check ip-api.com + AbuseIPDB for context</t>
        </is>
      </c>
      <c r="P1837" t="n">
        <v>0</v>
      </c>
      <c r="Q1837" t="n">
        <v>0</v>
      </c>
      <c r="R1837" t="inlineStr">
        <is>
          <t>T1110:Brute Force | T1190:Exploit Public-Facing Application | T1566:Phishing</t>
        </is>
      </c>
      <c r="S1837" t="n">
        <v>1</v>
      </c>
      <c r="T1837" t="inlineStr">
        <is>
          <t>MEDIUM (60%)</t>
        </is>
      </c>
      <c r="U1837" t="inlineStr">
        <is>
          <t>NONE</t>
        </is>
      </c>
      <c r="V1837" t="inlineStr">
        <is>
          <t>NONE</t>
        </is>
      </c>
      <c r="W1837" t="inlineStr">
        <is>
          <t>NONE</t>
        </is>
      </c>
      <c r="X1837" t="inlineStr">
        <is>
          <t>NONE</t>
        </is>
      </c>
      <c r="Y1837" t="n">
        <v>0</v>
      </c>
      <c r="Z1837" t="inlineStr"/>
      <c r="AA1837" t="inlineStr">
        <is>
          <t>https://talosintelligence.com/reputation_center/lookup?search=1.55.178.97</t>
        </is>
      </c>
    </row>
    <row r="1838">
      <c r="A1838" t="inlineStr">
        <is>
          <t>TALOS_IP</t>
        </is>
      </c>
      <c r="B1838" t="inlineStr">
        <is>
          <t>c480b3c0b45e</t>
        </is>
      </c>
      <c r="C1838" t="inlineStr">
        <is>
          <t>Cisco Talos Blacklisted IP: 1.55.210.222 | Verified malicious | Sources: TALOS</t>
        </is>
      </c>
      <c r="D1838" t="n">
        <v>7</v>
      </c>
      <c r="E1838" t="inlineStr">
        <is>
          <t>HIGH</t>
        </is>
      </c>
      <c r="F1838" t="n">
        <v>3</v>
      </c>
      <c r="G1838" t="n">
        <v>2</v>
      </c>
      <c r="H1838" t="inlineStr">
        <is>
          <t>HIGH</t>
        </is>
      </c>
      <c r="I1838" t="n">
        <v>13</v>
      </c>
      <c r="J1838" t="inlineStr">
        <is>
          <t>NO</t>
        </is>
      </c>
      <c r="K1838" t="inlineStr">
        <is>
          <t>2026-02-23 23:48</t>
        </is>
      </c>
      <c r="L1838" t="inlineStr">
        <is>
          <t>Block IP</t>
        </is>
      </c>
      <c r="M1838" t="inlineStr">
        <is>
          <t>Network perimeter / Email / Web</t>
        </is>
      </c>
      <c r="N1838" t="inlineStr">
        <is>
          <t>P3</t>
        </is>
      </c>
      <c r="O1838" t="inlineStr">
        <is>
          <t>Check ip-api.com + AbuseIPDB for context</t>
        </is>
      </c>
      <c r="P1838" t="n">
        <v>0</v>
      </c>
      <c r="Q1838" t="n">
        <v>0</v>
      </c>
      <c r="R1838" t="inlineStr">
        <is>
          <t>T1110:Brute Force | T1190:Exploit Public-Facing Application | T1566:Phishing</t>
        </is>
      </c>
      <c r="S1838" t="n">
        <v>1</v>
      </c>
      <c r="T1838" t="inlineStr">
        <is>
          <t>MEDIUM (60%)</t>
        </is>
      </c>
      <c r="U1838" t="inlineStr">
        <is>
          <t>NONE</t>
        </is>
      </c>
      <c r="V1838" t="inlineStr">
        <is>
          <t>NONE</t>
        </is>
      </c>
      <c r="W1838" t="inlineStr">
        <is>
          <t>NONE</t>
        </is>
      </c>
      <c r="X1838" t="inlineStr">
        <is>
          <t>NONE</t>
        </is>
      </c>
      <c r="Y1838" t="n">
        <v>0</v>
      </c>
      <c r="Z1838" t="inlineStr"/>
      <c r="AA1838" t="inlineStr">
        <is>
          <t>https://talosintelligence.com/reputation_center/lookup?search=1.55.210.222</t>
        </is>
      </c>
    </row>
    <row r="1839">
      <c r="A1839" t="inlineStr">
        <is>
          <t>TALOS_IP</t>
        </is>
      </c>
      <c r="B1839" t="inlineStr">
        <is>
          <t>f126028da857</t>
        </is>
      </c>
      <c r="C1839" t="inlineStr">
        <is>
          <t>Cisco Talos Blacklisted IP: 1.57.218.120 | Verified malicious | Sources: TALOS</t>
        </is>
      </c>
      <c r="D1839" t="n">
        <v>7</v>
      </c>
      <c r="E1839" t="inlineStr">
        <is>
          <t>HIGH</t>
        </is>
      </c>
      <c r="F1839" t="n">
        <v>3</v>
      </c>
      <c r="G1839" t="n">
        <v>2</v>
      </c>
      <c r="H1839" t="inlineStr">
        <is>
          <t>HIGH</t>
        </is>
      </c>
      <c r="I1839" t="n">
        <v>13</v>
      </c>
      <c r="J1839" t="inlineStr">
        <is>
          <t>NO</t>
        </is>
      </c>
      <c r="K1839" t="inlineStr">
        <is>
          <t>2026-02-23 23:48</t>
        </is>
      </c>
      <c r="L1839" t="inlineStr">
        <is>
          <t>Block IP</t>
        </is>
      </c>
      <c r="M1839" t="inlineStr">
        <is>
          <t>Network perimeter / Email / Web</t>
        </is>
      </c>
      <c r="N1839" t="inlineStr">
        <is>
          <t>P3</t>
        </is>
      </c>
      <c r="O1839" t="inlineStr">
        <is>
          <t>Check ip-api.com + AbuseIPDB for context</t>
        </is>
      </c>
      <c r="P1839" t="n">
        <v>0</v>
      </c>
      <c r="Q1839" t="n">
        <v>0</v>
      </c>
      <c r="R1839" t="inlineStr">
        <is>
          <t>T1110:Brute Force | T1190:Exploit Public-Facing Application | T1566:Phishing</t>
        </is>
      </c>
      <c r="S1839" t="n">
        <v>1</v>
      </c>
      <c r="T1839" t="inlineStr">
        <is>
          <t>MEDIUM (60%)</t>
        </is>
      </c>
      <c r="U1839" t="inlineStr">
        <is>
          <t>NONE</t>
        </is>
      </c>
      <c r="V1839" t="inlineStr">
        <is>
          <t>NONE</t>
        </is>
      </c>
      <c r="W1839" t="inlineStr">
        <is>
          <t>NONE</t>
        </is>
      </c>
      <c r="X1839" t="inlineStr">
        <is>
          <t>NONE</t>
        </is>
      </c>
      <c r="Y1839" t="n">
        <v>0</v>
      </c>
      <c r="Z1839" t="inlineStr"/>
      <c r="AA1839" t="inlineStr">
        <is>
          <t>https://talosintelligence.com/reputation_center/lookup?search=1.57.218.120</t>
        </is>
      </c>
    </row>
    <row r="1840">
      <c r="A1840" t="inlineStr">
        <is>
          <t>TALOS_IP</t>
        </is>
      </c>
      <c r="B1840" t="inlineStr">
        <is>
          <t>a44b0b356621</t>
        </is>
      </c>
      <c r="C1840" t="inlineStr">
        <is>
          <t>Cisco Talos Blacklisted IP: 1.83.125.11 | Verified malicious | Sources: TALOS</t>
        </is>
      </c>
      <c r="D1840" t="n">
        <v>7</v>
      </c>
      <c r="E1840" t="inlineStr">
        <is>
          <t>HIGH</t>
        </is>
      </c>
      <c r="F1840" t="n">
        <v>3</v>
      </c>
      <c r="G1840" t="n">
        <v>2</v>
      </c>
      <c r="H1840" t="inlineStr">
        <is>
          <t>HIGH</t>
        </is>
      </c>
      <c r="I1840" t="n">
        <v>13</v>
      </c>
      <c r="J1840" t="inlineStr">
        <is>
          <t>NO</t>
        </is>
      </c>
      <c r="K1840" t="inlineStr">
        <is>
          <t>2026-02-23 23:48</t>
        </is>
      </c>
      <c r="L1840" t="inlineStr">
        <is>
          <t>Block IP</t>
        </is>
      </c>
      <c r="M1840" t="inlineStr">
        <is>
          <t>Network perimeter / Email / Web</t>
        </is>
      </c>
      <c r="N1840" t="inlineStr">
        <is>
          <t>P3</t>
        </is>
      </c>
      <c r="O1840" t="inlineStr">
        <is>
          <t>Check ip-api.com + AbuseIPDB for context</t>
        </is>
      </c>
      <c r="P1840" t="n">
        <v>0</v>
      </c>
      <c r="Q1840" t="n">
        <v>0</v>
      </c>
      <c r="R1840" t="inlineStr">
        <is>
          <t>T1110:Brute Force | T1190:Exploit Public-Facing Application | T1566:Phishing</t>
        </is>
      </c>
      <c r="S1840" t="n">
        <v>1</v>
      </c>
      <c r="T1840" t="inlineStr">
        <is>
          <t>MEDIUM (60%)</t>
        </is>
      </c>
      <c r="U1840" t="inlineStr">
        <is>
          <t>NONE</t>
        </is>
      </c>
      <c r="V1840" t="inlineStr">
        <is>
          <t>NONE</t>
        </is>
      </c>
      <c r="W1840" t="inlineStr">
        <is>
          <t>NONE</t>
        </is>
      </c>
      <c r="X1840" t="inlineStr">
        <is>
          <t>NONE</t>
        </is>
      </c>
      <c r="Y1840" t="n">
        <v>0</v>
      </c>
      <c r="Z1840" t="inlineStr"/>
      <c r="AA1840" t="inlineStr">
        <is>
          <t>https://talosintelligence.com/reputation_center/lookup?search=1.83.125.11</t>
        </is>
      </c>
    </row>
    <row r="1841">
      <c r="A1841" t="inlineStr">
        <is>
          <t>TALOS_IP</t>
        </is>
      </c>
      <c r="B1841" t="inlineStr">
        <is>
          <t>5dd938c4fc17</t>
        </is>
      </c>
      <c r="C1841" t="inlineStr">
        <is>
          <t>Cisco Talos Blacklisted IP: 1.83.125.114 | Verified malicious | Sources: TALOS</t>
        </is>
      </c>
      <c r="D1841" t="n">
        <v>7</v>
      </c>
      <c r="E1841" t="inlineStr">
        <is>
          <t>HIGH</t>
        </is>
      </c>
      <c r="F1841" t="n">
        <v>3</v>
      </c>
      <c r="G1841" t="n">
        <v>2</v>
      </c>
      <c r="H1841" t="inlineStr">
        <is>
          <t>HIGH</t>
        </is>
      </c>
      <c r="I1841" t="n">
        <v>13</v>
      </c>
      <c r="J1841" t="inlineStr">
        <is>
          <t>NO</t>
        </is>
      </c>
      <c r="K1841" t="inlineStr">
        <is>
          <t>2026-02-23 23:48</t>
        </is>
      </c>
      <c r="L1841" t="inlineStr">
        <is>
          <t>Block IP</t>
        </is>
      </c>
      <c r="M1841" t="inlineStr">
        <is>
          <t>Network perimeter / Email / Web</t>
        </is>
      </c>
      <c r="N1841" t="inlineStr">
        <is>
          <t>P3</t>
        </is>
      </c>
      <c r="O1841" t="inlineStr">
        <is>
          <t>Check ip-api.com + AbuseIPDB for context</t>
        </is>
      </c>
      <c r="P1841" t="n">
        <v>0</v>
      </c>
      <c r="Q1841" t="n">
        <v>0</v>
      </c>
      <c r="R1841" t="inlineStr">
        <is>
          <t>T1110:Brute Force | T1190:Exploit Public-Facing Application | T1566:Phishing</t>
        </is>
      </c>
      <c r="S1841" t="n">
        <v>1</v>
      </c>
      <c r="T1841" t="inlineStr">
        <is>
          <t>MEDIUM (60%)</t>
        </is>
      </c>
      <c r="U1841" t="inlineStr">
        <is>
          <t>NONE</t>
        </is>
      </c>
      <c r="V1841" t="inlineStr">
        <is>
          <t>NONE</t>
        </is>
      </c>
      <c r="W1841" t="inlineStr">
        <is>
          <t>NONE</t>
        </is>
      </c>
      <c r="X1841" t="inlineStr">
        <is>
          <t>NONE</t>
        </is>
      </c>
      <c r="Y1841" t="n">
        <v>0</v>
      </c>
      <c r="Z1841" t="inlineStr"/>
      <c r="AA1841" t="inlineStr">
        <is>
          <t>https://talosintelligence.com/reputation_center/lookup?search=1.83.125.114</t>
        </is>
      </c>
    </row>
    <row r="1842">
      <c r="A1842" t="inlineStr">
        <is>
          <t>TALOS_IP</t>
        </is>
      </c>
      <c r="B1842" t="inlineStr">
        <is>
          <t>351dc1a1667e</t>
        </is>
      </c>
      <c r="C1842" t="inlineStr">
        <is>
          <t>Cisco Talos Blacklisted IP: 1.83.125.115 | Verified malicious | Sources: TALOS</t>
        </is>
      </c>
      <c r="D1842" t="n">
        <v>7</v>
      </c>
      <c r="E1842" t="inlineStr">
        <is>
          <t>HIGH</t>
        </is>
      </c>
      <c r="F1842" t="n">
        <v>3</v>
      </c>
      <c r="G1842" t="n">
        <v>2</v>
      </c>
      <c r="H1842" t="inlineStr">
        <is>
          <t>HIGH</t>
        </is>
      </c>
      <c r="I1842" t="n">
        <v>13</v>
      </c>
      <c r="J1842" t="inlineStr">
        <is>
          <t>NO</t>
        </is>
      </c>
      <c r="K1842" t="inlineStr">
        <is>
          <t>2026-02-23 23:48</t>
        </is>
      </c>
      <c r="L1842" t="inlineStr">
        <is>
          <t>Block IP</t>
        </is>
      </c>
      <c r="M1842" t="inlineStr">
        <is>
          <t>Network perimeter / Email / Web</t>
        </is>
      </c>
      <c r="N1842" t="inlineStr">
        <is>
          <t>P3</t>
        </is>
      </c>
      <c r="O1842" t="inlineStr">
        <is>
          <t>Check ip-api.com + AbuseIPDB for context</t>
        </is>
      </c>
      <c r="P1842" t="n">
        <v>0</v>
      </c>
      <c r="Q1842" t="n">
        <v>0</v>
      </c>
      <c r="R1842" t="inlineStr">
        <is>
          <t>T1110:Brute Force | T1190:Exploit Public-Facing Application | T1566:Phishing</t>
        </is>
      </c>
      <c r="S1842" t="n">
        <v>1</v>
      </c>
      <c r="T1842" t="inlineStr">
        <is>
          <t>MEDIUM (60%)</t>
        </is>
      </c>
      <c r="U1842" t="inlineStr">
        <is>
          <t>NONE</t>
        </is>
      </c>
      <c r="V1842" t="inlineStr">
        <is>
          <t>NONE</t>
        </is>
      </c>
      <c r="W1842" t="inlineStr">
        <is>
          <t>NONE</t>
        </is>
      </c>
      <c r="X1842" t="inlineStr">
        <is>
          <t>NONE</t>
        </is>
      </c>
      <c r="Y1842" t="n">
        <v>0</v>
      </c>
      <c r="Z1842" t="inlineStr"/>
      <c r="AA1842" t="inlineStr">
        <is>
          <t>https://talosintelligence.com/reputation_center/lookup?search=1.83.125.115</t>
        </is>
      </c>
    </row>
    <row r="1843">
      <c r="A1843" t="inlineStr">
        <is>
          <t>TALOS_IP</t>
        </is>
      </c>
      <c r="B1843" t="inlineStr">
        <is>
          <t>b0d10d9b2861</t>
        </is>
      </c>
      <c r="C1843" t="inlineStr">
        <is>
          <t>Cisco Talos Blacklisted IP: 1.83.125.118 | Verified malicious | Sources: TALOS</t>
        </is>
      </c>
      <c r="D1843" t="n">
        <v>7</v>
      </c>
      <c r="E1843" t="inlineStr">
        <is>
          <t>HIGH</t>
        </is>
      </c>
      <c r="F1843" t="n">
        <v>3</v>
      </c>
      <c r="G1843" t="n">
        <v>2</v>
      </c>
      <c r="H1843" t="inlineStr">
        <is>
          <t>HIGH</t>
        </is>
      </c>
      <c r="I1843" t="n">
        <v>13</v>
      </c>
      <c r="J1843" t="inlineStr">
        <is>
          <t>NO</t>
        </is>
      </c>
      <c r="K1843" t="inlineStr">
        <is>
          <t>2026-02-23 23:48</t>
        </is>
      </c>
      <c r="L1843" t="inlineStr">
        <is>
          <t>Block IP</t>
        </is>
      </c>
      <c r="M1843" t="inlineStr">
        <is>
          <t>Network perimeter / Email / Web</t>
        </is>
      </c>
      <c r="N1843" t="inlineStr">
        <is>
          <t>P3</t>
        </is>
      </c>
      <c r="O1843" t="inlineStr">
        <is>
          <t>Check ip-api.com + AbuseIPDB for context</t>
        </is>
      </c>
      <c r="P1843" t="n">
        <v>0</v>
      </c>
      <c r="Q1843" t="n">
        <v>0</v>
      </c>
      <c r="R1843" t="inlineStr">
        <is>
          <t>T1110:Brute Force | T1190:Exploit Public-Facing Application | T1566:Phishing</t>
        </is>
      </c>
      <c r="S1843" t="n">
        <v>1</v>
      </c>
      <c r="T1843" t="inlineStr">
        <is>
          <t>MEDIUM (60%)</t>
        </is>
      </c>
      <c r="U1843" t="inlineStr">
        <is>
          <t>NONE</t>
        </is>
      </c>
      <c r="V1843" t="inlineStr">
        <is>
          <t>NONE</t>
        </is>
      </c>
      <c r="W1843" t="inlineStr">
        <is>
          <t>NONE</t>
        </is>
      </c>
      <c r="X1843" t="inlineStr">
        <is>
          <t>NONE</t>
        </is>
      </c>
      <c r="Y1843" t="n">
        <v>0</v>
      </c>
      <c r="Z1843" t="inlineStr"/>
      <c r="AA1843" t="inlineStr">
        <is>
          <t>https://talosintelligence.com/reputation_center/lookup?search=1.83.125.118</t>
        </is>
      </c>
    </row>
    <row r="1844">
      <c r="A1844" t="inlineStr">
        <is>
          <t>TALOS_IP</t>
        </is>
      </c>
      <c r="B1844" t="inlineStr">
        <is>
          <t>16ed7ce7de56</t>
        </is>
      </c>
      <c r="C1844" t="inlineStr">
        <is>
          <t>Cisco Talos Blacklisted IP: 1.83.125.126 | Verified malicious | Sources: TALOS</t>
        </is>
      </c>
      <c r="D1844" t="n">
        <v>7</v>
      </c>
      <c r="E1844" t="inlineStr">
        <is>
          <t>HIGH</t>
        </is>
      </c>
      <c r="F1844" t="n">
        <v>3</v>
      </c>
      <c r="G1844" t="n">
        <v>2</v>
      </c>
      <c r="H1844" t="inlineStr">
        <is>
          <t>HIGH</t>
        </is>
      </c>
      <c r="I1844" t="n">
        <v>13</v>
      </c>
      <c r="J1844" t="inlineStr">
        <is>
          <t>NO</t>
        </is>
      </c>
      <c r="K1844" t="inlineStr">
        <is>
          <t>2026-02-23 23:48</t>
        </is>
      </c>
      <c r="L1844" t="inlineStr">
        <is>
          <t>Block IP</t>
        </is>
      </c>
      <c r="M1844" t="inlineStr">
        <is>
          <t>Network perimeter / Email / Web</t>
        </is>
      </c>
      <c r="N1844" t="inlineStr">
        <is>
          <t>P3</t>
        </is>
      </c>
      <c r="O1844" t="inlineStr">
        <is>
          <t>Check ip-api.com + AbuseIPDB for context</t>
        </is>
      </c>
      <c r="P1844" t="n">
        <v>0</v>
      </c>
      <c r="Q1844" t="n">
        <v>0</v>
      </c>
      <c r="R1844" t="inlineStr">
        <is>
          <t>T1110:Brute Force | T1190:Exploit Public-Facing Application | T1566:Phishing</t>
        </is>
      </c>
      <c r="S1844" t="n">
        <v>1</v>
      </c>
      <c r="T1844" t="inlineStr">
        <is>
          <t>MEDIUM (60%)</t>
        </is>
      </c>
      <c r="U1844" t="inlineStr">
        <is>
          <t>NONE</t>
        </is>
      </c>
      <c r="V1844" t="inlineStr">
        <is>
          <t>NONE</t>
        </is>
      </c>
      <c r="W1844" t="inlineStr">
        <is>
          <t>NONE</t>
        </is>
      </c>
      <c r="X1844" t="inlineStr">
        <is>
          <t>NONE</t>
        </is>
      </c>
      <c r="Y1844" t="n">
        <v>0</v>
      </c>
      <c r="Z1844" t="inlineStr"/>
      <c r="AA1844" t="inlineStr">
        <is>
          <t>https://talosintelligence.com/reputation_center/lookup?search=1.83.125.126</t>
        </is>
      </c>
    </row>
    <row r="1845">
      <c r="A1845" t="inlineStr">
        <is>
          <t>EMERGING_THREAT_IP</t>
        </is>
      </c>
      <c r="B1845" t="inlineStr">
        <is>
          <t>383c44b46f35</t>
        </is>
      </c>
      <c r="C1845" t="inlineStr">
        <is>
          <t>Emerging Threats Compromised IP: 101.36.104.242 | Sources: EMERGING_THREATS</t>
        </is>
      </c>
      <c r="D1845" t="n">
        <v>6.5</v>
      </c>
      <c r="E1845" t="inlineStr">
        <is>
          <t>HIGH</t>
        </is>
      </c>
      <c r="F1845" t="n">
        <v>3</v>
      </c>
      <c r="G1845" t="n">
        <v>2</v>
      </c>
      <c r="H1845" t="inlineStr">
        <is>
          <t>HIGH</t>
        </is>
      </c>
      <c r="I1845" t="n">
        <v>12.5</v>
      </c>
      <c r="J1845" t="inlineStr">
        <is>
          <t>NO</t>
        </is>
      </c>
      <c r="K1845" t="inlineStr">
        <is>
          <t>2026-02-23 23:48</t>
        </is>
      </c>
      <c r="L1845" t="inlineStr">
        <is>
          <t>Block IP</t>
        </is>
      </c>
      <c r="M1845" t="inlineStr">
        <is>
          <t>Network perimeter</t>
        </is>
      </c>
      <c r="N1845" t="inlineStr">
        <is>
          <t>P3</t>
        </is>
      </c>
      <c r="O1845" t="inlineStr">
        <is>
          <t>Check ip-api.com + AbuseIPDB for context</t>
        </is>
      </c>
      <c r="P1845" t="n">
        <v>0</v>
      </c>
      <c r="Q1845" t="n">
        <v>0</v>
      </c>
      <c r="R1845" t="inlineStr">
        <is>
          <t>T1110:Brute Force | T1190:Exploit Public-Facing Application</t>
        </is>
      </c>
      <c r="S1845" t="n">
        <v>1</v>
      </c>
      <c r="T1845" t="inlineStr">
        <is>
          <t>LOW (40%)</t>
        </is>
      </c>
      <c r="U1845" t="inlineStr">
        <is>
          <t>NONE</t>
        </is>
      </c>
      <c r="V1845" t="inlineStr">
        <is>
          <t>NONE</t>
        </is>
      </c>
      <c r="W1845" t="inlineStr">
        <is>
          <t>NONE</t>
        </is>
      </c>
      <c r="X1845" t="inlineStr">
        <is>
          <t>NONE</t>
        </is>
      </c>
      <c r="Y1845" t="n">
        <v>0</v>
      </c>
      <c r="Z1845" t="inlineStr"/>
      <c r="AA1845" t="inlineStr">
        <is>
          <t>https://rules.emergingthreats.net/</t>
        </is>
      </c>
    </row>
    <row r="1846">
      <c r="A1846" t="inlineStr">
        <is>
          <t>EMERGING_THREAT_IP</t>
        </is>
      </c>
      <c r="B1846" t="inlineStr">
        <is>
          <t>455b8822a4a2</t>
        </is>
      </c>
      <c r="C1846" t="inlineStr">
        <is>
          <t>Emerging Threats Compromised IP: 101.36.123.102 | Sources: EMERGING_THREATS</t>
        </is>
      </c>
      <c r="D1846" t="n">
        <v>6.5</v>
      </c>
      <c r="E1846" t="inlineStr">
        <is>
          <t>HIGH</t>
        </is>
      </c>
      <c r="F1846" t="n">
        <v>3</v>
      </c>
      <c r="G1846" t="n">
        <v>2</v>
      </c>
      <c r="H1846" t="inlineStr">
        <is>
          <t>HIGH</t>
        </is>
      </c>
      <c r="I1846" t="n">
        <v>12.5</v>
      </c>
      <c r="J1846" t="inlineStr">
        <is>
          <t>NO</t>
        </is>
      </c>
      <c r="K1846" t="inlineStr">
        <is>
          <t>2026-02-23 23:48</t>
        </is>
      </c>
      <c r="L1846" t="inlineStr">
        <is>
          <t>Block IP</t>
        </is>
      </c>
      <c r="M1846" t="inlineStr">
        <is>
          <t>Network perimeter</t>
        </is>
      </c>
      <c r="N1846" t="inlineStr">
        <is>
          <t>P3</t>
        </is>
      </c>
      <c r="O1846" t="inlineStr">
        <is>
          <t>Check ip-api.com + AbuseIPDB for context</t>
        </is>
      </c>
      <c r="P1846" t="n">
        <v>0</v>
      </c>
      <c r="Q1846" t="n">
        <v>0</v>
      </c>
      <c r="R1846" t="inlineStr">
        <is>
          <t>T1110:Brute Force | T1190:Exploit Public-Facing Application</t>
        </is>
      </c>
      <c r="S1846" t="n">
        <v>1</v>
      </c>
      <c r="T1846" t="inlineStr">
        <is>
          <t>LOW (40%)</t>
        </is>
      </c>
      <c r="U1846" t="inlineStr">
        <is>
          <t>NONE</t>
        </is>
      </c>
      <c r="V1846" t="inlineStr">
        <is>
          <t>NONE</t>
        </is>
      </c>
      <c r="W1846" t="inlineStr">
        <is>
          <t>NONE</t>
        </is>
      </c>
      <c r="X1846" t="inlineStr">
        <is>
          <t>NONE</t>
        </is>
      </c>
      <c r="Y1846" t="n">
        <v>0</v>
      </c>
      <c r="Z1846" t="inlineStr"/>
      <c r="AA1846" t="inlineStr">
        <is>
          <t>https://rules.emergingthreats.net/</t>
        </is>
      </c>
    </row>
    <row r="1847">
      <c r="A1847" t="inlineStr">
        <is>
          <t>EMERGING_THREAT_IP</t>
        </is>
      </c>
      <c r="B1847" t="inlineStr">
        <is>
          <t>356717d3fb41</t>
        </is>
      </c>
      <c r="C1847" t="inlineStr">
        <is>
          <t>Emerging Threats Compromised IP: 102.244.97.183 | Sources: EMERGING_THREATS</t>
        </is>
      </c>
      <c r="D1847" t="n">
        <v>6.5</v>
      </c>
      <c r="E1847" t="inlineStr">
        <is>
          <t>HIGH</t>
        </is>
      </c>
      <c r="F1847" t="n">
        <v>3</v>
      </c>
      <c r="G1847" t="n">
        <v>2</v>
      </c>
      <c r="H1847" t="inlineStr">
        <is>
          <t>HIGH</t>
        </is>
      </c>
      <c r="I1847" t="n">
        <v>12.5</v>
      </c>
      <c r="J1847" t="inlineStr">
        <is>
          <t>NO</t>
        </is>
      </c>
      <c r="K1847" t="inlineStr">
        <is>
          <t>2026-02-23 23:48</t>
        </is>
      </c>
      <c r="L1847" t="inlineStr">
        <is>
          <t>Block IP</t>
        </is>
      </c>
      <c r="M1847" t="inlineStr">
        <is>
          <t>Network perimeter</t>
        </is>
      </c>
      <c r="N1847" t="inlineStr">
        <is>
          <t>P3</t>
        </is>
      </c>
      <c r="O1847" t="inlineStr">
        <is>
          <t>Check ip-api.com + AbuseIPDB for context</t>
        </is>
      </c>
      <c r="P1847" t="n">
        <v>0</v>
      </c>
      <c r="Q1847" t="n">
        <v>0</v>
      </c>
      <c r="R1847" t="inlineStr">
        <is>
          <t>T1110:Brute Force | T1190:Exploit Public-Facing Application</t>
        </is>
      </c>
      <c r="S1847" t="n">
        <v>1</v>
      </c>
      <c r="T1847" t="inlineStr">
        <is>
          <t>LOW (40%)</t>
        </is>
      </c>
      <c r="U1847" t="inlineStr">
        <is>
          <t>NONE</t>
        </is>
      </c>
      <c r="V1847" t="inlineStr">
        <is>
          <t>NONE</t>
        </is>
      </c>
      <c r="W1847" t="inlineStr">
        <is>
          <t>NONE</t>
        </is>
      </c>
      <c r="X1847" t="inlineStr">
        <is>
          <t>NONE</t>
        </is>
      </c>
      <c r="Y1847" t="n">
        <v>0</v>
      </c>
      <c r="Z1847" t="inlineStr"/>
      <c r="AA1847" t="inlineStr">
        <is>
          <t>https://rules.emergingthreats.net/</t>
        </is>
      </c>
    </row>
    <row r="1848">
      <c r="A1848" t="inlineStr">
        <is>
          <t>EMERGING_THREAT_IP</t>
        </is>
      </c>
      <c r="B1848" t="inlineStr">
        <is>
          <t>340ffbe1b705</t>
        </is>
      </c>
      <c r="C1848" t="inlineStr">
        <is>
          <t>Emerging Threats Compromised IP: 103.103.21.109 | Sources: EMERGING_THREATS</t>
        </is>
      </c>
      <c r="D1848" t="n">
        <v>6.5</v>
      </c>
      <c r="E1848" t="inlineStr">
        <is>
          <t>HIGH</t>
        </is>
      </c>
      <c r="F1848" t="n">
        <v>3</v>
      </c>
      <c r="G1848" t="n">
        <v>2</v>
      </c>
      <c r="H1848" t="inlineStr">
        <is>
          <t>HIGH</t>
        </is>
      </c>
      <c r="I1848" t="n">
        <v>12.5</v>
      </c>
      <c r="J1848" t="inlineStr">
        <is>
          <t>NO</t>
        </is>
      </c>
      <c r="K1848" t="inlineStr">
        <is>
          <t>2026-02-23 23:48</t>
        </is>
      </c>
      <c r="L1848" t="inlineStr">
        <is>
          <t>Block IP</t>
        </is>
      </c>
      <c r="M1848" t="inlineStr">
        <is>
          <t>Network perimeter</t>
        </is>
      </c>
      <c r="N1848" t="inlineStr">
        <is>
          <t>P3</t>
        </is>
      </c>
      <c r="O1848" t="inlineStr">
        <is>
          <t>Check ip-api.com + AbuseIPDB for context</t>
        </is>
      </c>
      <c r="P1848" t="n">
        <v>0</v>
      </c>
      <c r="Q1848" t="n">
        <v>0</v>
      </c>
      <c r="R1848" t="inlineStr">
        <is>
          <t>T1110:Brute Force | T1190:Exploit Public-Facing Application</t>
        </is>
      </c>
      <c r="S1848" t="n">
        <v>1</v>
      </c>
      <c r="T1848" t="inlineStr">
        <is>
          <t>LOW (40%)</t>
        </is>
      </c>
      <c r="U1848" t="inlineStr">
        <is>
          <t>NONE</t>
        </is>
      </c>
      <c r="V1848" t="inlineStr">
        <is>
          <t>NONE</t>
        </is>
      </c>
      <c r="W1848" t="inlineStr">
        <is>
          <t>NONE</t>
        </is>
      </c>
      <c r="X1848" t="inlineStr">
        <is>
          <t>NONE</t>
        </is>
      </c>
      <c r="Y1848" t="n">
        <v>0</v>
      </c>
      <c r="Z1848" t="inlineStr"/>
      <c r="AA1848" t="inlineStr">
        <is>
          <t>https://rules.emergingthreats.net/</t>
        </is>
      </c>
    </row>
    <row r="1849">
      <c r="A1849" t="inlineStr">
        <is>
          <t>EMERGING_THREAT_IP</t>
        </is>
      </c>
      <c r="B1849" t="inlineStr">
        <is>
          <t>034ed7f153b4</t>
        </is>
      </c>
      <c r="C1849" t="inlineStr">
        <is>
          <t>Emerging Threats Compromised IP: 103.121.91.144 | Sources: EMERGING_THREATS</t>
        </is>
      </c>
      <c r="D1849" t="n">
        <v>6.5</v>
      </c>
      <c r="E1849" t="inlineStr">
        <is>
          <t>HIGH</t>
        </is>
      </c>
      <c r="F1849" t="n">
        <v>3</v>
      </c>
      <c r="G1849" t="n">
        <v>2</v>
      </c>
      <c r="H1849" t="inlineStr">
        <is>
          <t>HIGH</t>
        </is>
      </c>
      <c r="I1849" t="n">
        <v>12.5</v>
      </c>
      <c r="J1849" t="inlineStr">
        <is>
          <t>NO</t>
        </is>
      </c>
      <c r="K1849" t="inlineStr">
        <is>
          <t>2026-02-23 23:48</t>
        </is>
      </c>
      <c r="L1849" t="inlineStr">
        <is>
          <t>Block IP</t>
        </is>
      </c>
      <c r="M1849" t="inlineStr">
        <is>
          <t>Network perimeter</t>
        </is>
      </c>
      <c r="N1849" t="inlineStr">
        <is>
          <t>P3</t>
        </is>
      </c>
      <c r="O1849" t="inlineStr">
        <is>
          <t>Check ip-api.com + AbuseIPDB for context</t>
        </is>
      </c>
      <c r="P1849" t="n">
        <v>0</v>
      </c>
      <c r="Q1849" t="n">
        <v>0</v>
      </c>
      <c r="R1849" t="inlineStr">
        <is>
          <t>T1110:Brute Force | T1190:Exploit Public-Facing Application</t>
        </is>
      </c>
      <c r="S1849" t="n">
        <v>1</v>
      </c>
      <c r="T1849" t="inlineStr">
        <is>
          <t>LOW (40%)</t>
        </is>
      </c>
      <c r="U1849" t="inlineStr">
        <is>
          <t>NONE</t>
        </is>
      </c>
      <c r="V1849" t="inlineStr">
        <is>
          <t>NONE</t>
        </is>
      </c>
      <c r="W1849" t="inlineStr">
        <is>
          <t>NONE</t>
        </is>
      </c>
      <c r="X1849" t="inlineStr">
        <is>
          <t>NONE</t>
        </is>
      </c>
      <c r="Y1849" t="n">
        <v>0</v>
      </c>
      <c r="Z1849" t="inlineStr"/>
      <c r="AA1849" t="inlineStr">
        <is>
          <t>https://rules.emergingthreats.net/</t>
        </is>
      </c>
    </row>
    <row r="1850">
      <c r="A1850" t="inlineStr">
        <is>
          <t>EMERGING_THREAT_IP</t>
        </is>
      </c>
      <c r="B1850" t="inlineStr">
        <is>
          <t>17ea0802b816</t>
        </is>
      </c>
      <c r="C1850" t="inlineStr">
        <is>
          <t>Emerging Threats Compromised IP: 103.142.62.35 | Sources: EMERGING_THREATS</t>
        </is>
      </c>
      <c r="D1850" t="n">
        <v>6.5</v>
      </c>
      <c r="E1850" t="inlineStr">
        <is>
          <t>HIGH</t>
        </is>
      </c>
      <c r="F1850" t="n">
        <v>3</v>
      </c>
      <c r="G1850" t="n">
        <v>2</v>
      </c>
      <c r="H1850" t="inlineStr">
        <is>
          <t>HIGH</t>
        </is>
      </c>
      <c r="I1850" t="n">
        <v>12.5</v>
      </c>
      <c r="J1850" t="inlineStr">
        <is>
          <t>NO</t>
        </is>
      </c>
      <c r="K1850" t="inlineStr">
        <is>
          <t>2026-02-23 23:48</t>
        </is>
      </c>
      <c r="L1850" t="inlineStr">
        <is>
          <t>Block IP</t>
        </is>
      </c>
      <c r="M1850" t="inlineStr">
        <is>
          <t>Network perimeter</t>
        </is>
      </c>
      <c r="N1850" t="inlineStr">
        <is>
          <t>P3</t>
        </is>
      </c>
      <c r="O1850" t="inlineStr">
        <is>
          <t>Check ip-api.com + AbuseIPDB for context</t>
        </is>
      </c>
      <c r="P1850" t="n">
        <v>0</v>
      </c>
      <c r="Q1850" t="n">
        <v>0</v>
      </c>
      <c r="R1850" t="inlineStr">
        <is>
          <t>T1110:Brute Force | T1190:Exploit Public-Facing Application</t>
        </is>
      </c>
      <c r="S1850" t="n">
        <v>1</v>
      </c>
      <c r="T1850" t="inlineStr">
        <is>
          <t>LOW (40%)</t>
        </is>
      </c>
      <c r="U1850" t="inlineStr">
        <is>
          <t>NONE</t>
        </is>
      </c>
      <c r="V1850" t="inlineStr">
        <is>
          <t>NONE</t>
        </is>
      </c>
      <c r="W1850" t="inlineStr">
        <is>
          <t>NONE</t>
        </is>
      </c>
      <c r="X1850" t="inlineStr">
        <is>
          <t>NONE</t>
        </is>
      </c>
      <c r="Y1850" t="n">
        <v>0</v>
      </c>
      <c r="Z1850" t="inlineStr"/>
      <c r="AA1850" t="inlineStr">
        <is>
          <t>https://rules.emergingthreats.net/</t>
        </is>
      </c>
    </row>
    <row r="1851">
      <c r="A1851" t="inlineStr">
        <is>
          <t>EMERGING_THREAT_IP</t>
        </is>
      </c>
      <c r="B1851" t="inlineStr">
        <is>
          <t>ffec239995ac</t>
        </is>
      </c>
      <c r="C1851" t="inlineStr">
        <is>
          <t>Emerging Threats Compromised IP: 103.148.118.211 | Sources: EMERGING_THREATS</t>
        </is>
      </c>
      <c r="D1851" t="n">
        <v>6.5</v>
      </c>
      <c r="E1851" t="inlineStr">
        <is>
          <t>HIGH</t>
        </is>
      </c>
      <c r="F1851" t="n">
        <v>3</v>
      </c>
      <c r="G1851" t="n">
        <v>2</v>
      </c>
      <c r="H1851" t="inlineStr">
        <is>
          <t>HIGH</t>
        </is>
      </c>
      <c r="I1851" t="n">
        <v>12.5</v>
      </c>
      <c r="J1851" t="inlineStr">
        <is>
          <t>NO</t>
        </is>
      </c>
      <c r="K1851" t="inlineStr">
        <is>
          <t>2026-02-23 23:48</t>
        </is>
      </c>
      <c r="L1851" t="inlineStr">
        <is>
          <t>Block IP</t>
        </is>
      </c>
      <c r="M1851" t="inlineStr">
        <is>
          <t>Network perimeter</t>
        </is>
      </c>
      <c r="N1851" t="inlineStr">
        <is>
          <t>P3</t>
        </is>
      </c>
      <c r="O1851" t="inlineStr">
        <is>
          <t>Check ip-api.com + AbuseIPDB for context</t>
        </is>
      </c>
      <c r="P1851" t="n">
        <v>0</v>
      </c>
      <c r="Q1851" t="n">
        <v>0</v>
      </c>
      <c r="R1851" t="inlineStr">
        <is>
          <t>T1110:Brute Force | T1190:Exploit Public-Facing Application</t>
        </is>
      </c>
      <c r="S1851" t="n">
        <v>1</v>
      </c>
      <c r="T1851" t="inlineStr">
        <is>
          <t>LOW (40%)</t>
        </is>
      </c>
      <c r="U1851" t="inlineStr">
        <is>
          <t>NONE</t>
        </is>
      </c>
      <c r="V1851" t="inlineStr">
        <is>
          <t>NONE</t>
        </is>
      </c>
      <c r="W1851" t="inlineStr">
        <is>
          <t>NONE</t>
        </is>
      </c>
      <c r="X1851" t="inlineStr">
        <is>
          <t>NONE</t>
        </is>
      </c>
      <c r="Y1851" t="n">
        <v>0</v>
      </c>
      <c r="Z1851" t="inlineStr"/>
      <c r="AA1851" t="inlineStr">
        <is>
          <t>https://rules.emergingthreats.net/</t>
        </is>
      </c>
    </row>
    <row r="1852">
      <c r="A1852" t="inlineStr">
        <is>
          <t>EMERGING_THREAT_IP</t>
        </is>
      </c>
      <c r="B1852" t="inlineStr">
        <is>
          <t>fe6b4e19212f</t>
        </is>
      </c>
      <c r="C1852" t="inlineStr">
        <is>
          <t>Emerging Threats Compromised IP: 103.148.195.198 | Sources: EMERGING_THREATS</t>
        </is>
      </c>
      <c r="D1852" t="n">
        <v>6.5</v>
      </c>
      <c r="E1852" t="inlineStr">
        <is>
          <t>HIGH</t>
        </is>
      </c>
      <c r="F1852" t="n">
        <v>3</v>
      </c>
      <c r="G1852" t="n">
        <v>2</v>
      </c>
      <c r="H1852" t="inlineStr">
        <is>
          <t>HIGH</t>
        </is>
      </c>
      <c r="I1852" t="n">
        <v>12.5</v>
      </c>
      <c r="J1852" t="inlineStr">
        <is>
          <t>NO</t>
        </is>
      </c>
      <c r="K1852" t="inlineStr">
        <is>
          <t>2026-02-23 23:48</t>
        </is>
      </c>
      <c r="L1852" t="inlineStr">
        <is>
          <t>Block IP</t>
        </is>
      </c>
      <c r="M1852" t="inlineStr">
        <is>
          <t>Network perimeter</t>
        </is>
      </c>
      <c r="N1852" t="inlineStr">
        <is>
          <t>P3</t>
        </is>
      </c>
      <c r="O1852" t="inlineStr">
        <is>
          <t>Check ip-api.com + AbuseIPDB for context</t>
        </is>
      </c>
      <c r="P1852" t="n">
        <v>0</v>
      </c>
      <c r="Q1852" t="n">
        <v>0</v>
      </c>
      <c r="R1852" t="inlineStr">
        <is>
          <t>T1110:Brute Force | T1190:Exploit Public-Facing Application</t>
        </is>
      </c>
      <c r="S1852" t="n">
        <v>1</v>
      </c>
      <c r="T1852" t="inlineStr">
        <is>
          <t>LOW (40%)</t>
        </is>
      </c>
      <c r="U1852" t="inlineStr">
        <is>
          <t>NONE</t>
        </is>
      </c>
      <c r="V1852" t="inlineStr">
        <is>
          <t>NONE</t>
        </is>
      </c>
      <c r="W1852" t="inlineStr">
        <is>
          <t>NONE</t>
        </is>
      </c>
      <c r="X1852" t="inlineStr">
        <is>
          <t>NONE</t>
        </is>
      </c>
      <c r="Y1852" t="n">
        <v>0</v>
      </c>
      <c r="Z1852" t="inlineStr"/>
      <c r="AA1852" t="inlineStr">
        <is>
          <t>https://rules.emergingthreats.net/</t>
        </is>
      </c>
    </row>
    <row r="1853">
      <c r="A1853" t="inlineStr">
        <is>
          <t>EMERGING_THREAT_IP</t>
        </is>
      </c>
      <c r="B1853" t="inlineStr">
        <is>
          <t>30816d4e479f</t>
        </is>
      </c>
      <c r="C1853" t="inlineStr">
        <is>
          <t>Emerging Threats Compromised IP: 103.149.10.109 | Sources: EMERGING_THREATS</t>
        </is>
      </c>
      <c r="D1853" t="n">
        <v>6.5</v>
      </c>
      <c r="E1853" t="inlineStr">
        <is>
          <t>HIGH</t>
        </is>
      </c>
      <c r="F1853" t="n">
        <v>3</v>
      </c>
      <c r="G1853" t="n">
        <v>2</v>
      </c>
      <c r="H1853" t="inlineStr">
        <is>
          <t>HIGH</t>
        </is>
      </c>
      <c r="I1853" t="n">
        <v>12.5</v>
      </c>
      <c r="J1853" t="inlineStr">
        <is>
          <t>NO</t>
        </is>
      </c>
      <c r="K1853" t="inlineStr">
        <is>
          <t>2026-02-23 23:48</t>
        </is>
      </c>
      <c r="L1853" t="inlineStr">
        <is>
          <t>Block IP</t>
        </is>
      </c>
      <c r="M1853" t="inlineStr">
        <is>
          <t>Network perimeter</t>
        </is>
      </c>
      <c r="N1853" t="inlineStr">
        <is>
          <t>P3</t>
        </is>
      </c>
      <c r="O1853" t="inlineStr">
        <is>
          <t>Check ip-api.com + AbuseIPDB for context</t>
        </is>
      </c>
      <c r="P1853" t="n">
        <v>0</v>
      </c>
      <c r="Q1853" t="n">
        <v>0</v>
      </c>
      <c r="R1853" t="inlineStr">
        <is>
          <t>T1110:Brute Force | T1190:Exploit Public-Facing Application</t>
        </is>
      </c>
      <c r="S1853" t="n">
        <v>1</v>
      </c>
      <c r="T1853" t="inlineStr">
        <is>
          <t>LOW (40%)</t>
        </is>
      </c>
      <c r="U1853" t="inlineStr">
        <is>
          <t>NONE</t>
        </is>
      </c>
      <c r="V1853" t="inlineStr">
        <is>
          <t>NONE</t>
        </is>
      </c>
      <c r="W1853" t="inlineStr">
        <is>
          <t>NONE</t>
        </is>
      </c>
      <c r="X1853" t="inlineStr">
        <is>
          <t>NONE</t>
        </is>
      </c>
      <c r="Y1853" t="n">
        <v>0</v>
      </c>
      <c r="Z1853" t="inlineStr"/>
      <c r="AA1853" t="inlineStr">
        <is>
          <t>https://rules.emergingthreats.net/</t>
        </is>
      </c>
    </row>
    <row r="1854">
      <c r="A1854" t="inlineStr">
        <is>
          <t>EMERGING_THREAT_IP</t>
        </is>
      </c>
      <c r="B1854" t="inlineStr">
        <is>
          <t>760e3739b969</t>
        </is>
      </c>
      <c r="C1854" t="inlineStr">
        <is>
          <t>Emerging Threats Compromised IP: 103.160.5.123 | Sources: EMERGING_THREATS</t>
        </is>
      </c>
      <c r="D1854" t="n">
        <v>6.5</v>
      </c>
      <c r="E1854" t="inlineStr">
        <is>
          <t>HIGH</t>
        </is>
      </c>
      <c r="F1854" t="n">
        <v>3</v>
      </c>
      <c r="G1854" t="n">
        <v>2</v>
      </c>
      <c r="H1854" t="inlineStr">
        <is>
          <t>HIGH</t>
        </is>
      </c>
      <c r="I1854" t="n">
        <v>12.5</v>
      </c>
      <c r="J1854" t="inlineStr">
        <is>
          <t>NO</t>
        </is>
      </c>
      <c r="K1854" t="inlineStr">
        <is>
          <t>2026-02-23 23:48</t>
        </is>
      </c>
      <c r="L1854" t="inlineStr">
        <is>
          <t>Block IP</t>
        </is>
      </c>
      <c r="M1854" t="inlineStr">
        <is>
          <t>Network perimeter</t>
        </is>
      </c>
      <c r="N1854" t="inlineStr">
        <is>
          <t>P3</t>
        </is>
      </c>
      <c r="O1854" t="inlineStr">
        <is>
          <t>Check ip-api.com + AbuseIPDB for context</t>
        </is>
      </c>
      <c r="P1854" t="n">
        <v>0</v>
      </c>
      <c r="Q1854" t="n">
        <v>0</v>
      </c>
      <c r="R1854" t="inlineStr">
        <is>
          <t>T1110:Brute Force | T1190:Exploit Public-Facing Application</t>
        </is>
      </c>
      <c r="S1854" t="n">
        <v>1</v>
      </c>
      <c r="T1854" t="inlineStr">
        <is>
          <t>LOW (40%)</t>
        </is>
      </c>
      <c r="U1854" t="inlineStr">
        <is>
          <t>NONE</t>
        </is>
      </c>
      <c r="V1854" t="inlineStr">
        <is>
          <t>NONE</t>
        </is>
      </c>
      <c r="W1854" t="inlineStr">
        <is>
          <t>NONE</t>
        </is>
      </c>
      <c r="X1854" t="inlineStr">
        <is>
          <t>NONE</t>
        </is>
      </c>
      <c r="Y1854" t="n">
        <v>0</v>
      </c>
      <c r="Z1854" t="inlineStr"/>
      <c r="AA1854" t="inlineStr">
        <is>
          <t>https://rules.emergingthreats.net/</t>
        </is>
      </c>
    </row>
    <row r="1855">
      <c r="A1855" t="inlineStr">
        <is>
          <t>EMERGING_THREAT_IP</t>
        </is>
      </c>
      <c r="B1855" t="inlineStr">
        <is>
          <t>f669c91c1c83</t>
        </is>
      </c>
      <c r="C1855" t="inlineStr">
        <is>
          <t>Emerging Threats Compromised IP: 103.166.226.235 | Sources: EMERGING_THREATS</t>
        </is>
      </c>
      <c r="D1855" t="n">
        <v>6.5</v>
      </c>
      <c r="E1855" t="inlineStr">
        <is>
          <t>HIGH</t>
        </is>
      </c>
      <c r="F1855" t="n">
        <v>3</v>
      </c>
      <c r="G1855" t="n">
        <v>2</v>
      </c>
      <c r="H1855" t="inlineStr">
        <is>
          <t>HIGH</t>
        </is>
      </c>
      <c r="I1855" t="n">
        <v>12.5</v>
      </c>
      <c r="J1855" t="inlineStr">
        <is>
          <t>NO</t>
        </is>
      </c>
      <c r="K1855" t="inlineStr">
        <is>
          <t>2026-02-23 23:48</t>
        </is>
      </c>
      <c r="L1855" t="inlineStr">
        <is>
          <t>Block IP</t>
        </is>
      </c>
      <c r="M1855" t="inlineStr">
        <is>
          <t>Network perimeter</t>
        </is>
      </c>
      <c r="N1855" t="inlineStr">
        <is>
          <t>P3</t>
        </is>
      </c>
      <c r="O1855" t="inlineStr">
        <is>
          <t>Check ip-api.com + AbuseIPDB for context</t>
        </is>
      </c>
      <c r="P1855" t="n">
        <v>0</v>
      </c>
      <c r="Q1855" t="n">
        <v>0</v>
      </c>
      <c r="R1855" t="inlineStr">
        <is>
          <t>T1110:Brute Force | T1190:Exploit Public-Facing Application</t>
        </is>
      </c>
      <c r="S1855" t="n">
        <v>1</v>
      </c>
      <c r="T1855" t="inlineStr">
        <is>
          <t>LOW (40%)</t>
        </is>
      </c>
      <c r="U1855" t="inlineStr">
        <is>
          <t>NONE</t>
        </is>
      </c>
      <c r="V1855" t="inlineStr">
        <is>
          <t>NONE</t>
        </is>
      </c>
      <c r="W1855" t="inlineStr">
        <is>
          <t>NONE</t>
        </is>
      </c>
      <c r="X1855" t="inlineStr">
        <is>
          <t>NONE</t>
        </is>
      </c>
      <c r="Y1855" t="n">
        <v>0</v>
      </c>
      <c r="Z1855" t="inlineStr"/>
      <c r="AA1855" t="inlineStr">
        <is>
          <t>https://rules.emergingthreats.net/</t>
        </is>
      </c>
    </row>
    <row r="1856">
      <c r="A1856" t="inlineStr">
        <is>
          <t>EMERGING_THREAT_IP</t>
        </is>
      </c>
      <c r="B1856" t="inlineStr">
        <is>
          <t>cdf077fccefb</t>
        </is>
      </c>
      <c r="C1856" t="inlineStr">
        <is>
          <t>Emerging Threats Compromised IP: 103.218.241.106 | Sources: EMERGING_THREATS</t>
        </is>
      </c>
      <c r="D1856" t="n">
        <v>6.5</v>
      </c>
      <c r="E1856" t="inlineStr">
        <is>
          <t>HIGH</t>
        </is>
      </c>
      <c r="F1856" t="n">
        <v>3</v>
      </c>
      <c r="G1856" t="n">
        <v>2</v>
      </c>
      <c r="H1856" t="inlineStr">
        <is>
          <t>HIGH</t>
        </is>
      </c>
      <c r="I1856" t="n">
        <v>12.5</v>
      </c>
      <c r="J1856" t="inlineStr">
        <is>
          <t>NO</t>
        </is>
      </c>
      <c r="K1856" t="inlineStr">
        <is>
          <t>2026-02-23 23:48</t>
        </is>
      </c>
      <c r="L1856" t="inlineStr">
        <is>
          <t>Block IP</t>
        </is>
      </c>
      <c r="M1856" t="inlineStr">
        <is>
          <t>Network perimeter</t>
        </is>
      </c>
      <c r="N1856" t="inlineStr">
        <is>
          <t>P3</t>
        </is>
      </c>
      <c r="O1856" t="inlineStr">
        <is>
          <t>Check ip-api.com + AbuseIPDB for context</t>
        </is>
      </c>
      <c r="P1856" t="n">
        <v>0</v>
      </c>
      <c r="Q1856" t="n">
        <v>0</v>
      </c>
      <c r="R1856" t="inlineStr">
        <is>
          <t>T1110:Brute Force | T1190:Exploit Public-Facing Application</t>
        </is>
      </c>
      <c r="S1856" t="n">
        <v>1</v>
      </c>
      <c r="T1856" t="inlineStr">
        <is>
          <t>LOW (40%)</t>
        </is>
      </c>
      <c r="U1856" t="inlineStr">
        <is>
          <t>NONE</t>
        </is>
      </c>
      <c r="V1856" t="inlineStr">
        <is>
          <t>NONE</t>
        </is>
      </c>
      <c r="W1856" t="inlineStr">
        <is>
          <t>NONE</t>
        </is>
      </c>
      <c r="X1856" t="inlineStr">
        <is>
          <t>NONE</t>
        </is>
      </c>
      <c r="Y1856" t="n">
        <v>0</v>
      </c>
      <c r="Z1856" t="inlineStr"/>
      <c r="AA1856" t="inlineStr">
        <is>
          <t>https://rules.emergingthreats.net/</t>
        </is>
      </c>
    </row>
    <row r="1857">
      <c r="A1857" t="inlineStr">
        <is>
          <t>EMERGING_THREAT_IP</t>
        </is>
      </c>
      <c r="B1857" t="inlineStr">
        <is>
          <t>64210da85eb5</t>
        </is>
      </c>
      <c r="C1857" t="inlineStr">
        <is>
          <t>Emerging Threats Compromised IP: 103.232.121.71 | Sources: EMERGING_THREATS</t>
        </is>
      </c>
      <c r="D1857" t="n">
        <v>6.5</v>
      </c>
      <c r="E1857" t="inlineStr">
        <is>
          <t>HIGH</t>
        </is>
      </c>
      <c r="F1857" t="n">
        <v>3</v>
      </c>
      <c r="G1857" t="n">
        <v>2</v>
      </c>
      <c r="H1857" t="inlineStr">
        <is>
          <t>HIGH</t>
        </is>
      </c>
      <c r="I1857" t="n">
        <v>12.5</v>
      </c>
      <c r="J1857" t="inlineStr">
        <is>
          <t>NO</t>
        </is>
      </c>
      <c r="K1857" t="inlineStr">
        <is>
          <t>2026-02-23 23:48</t>
        </is>
      </c>
      <c r="L1857" t="inlineStr">
        <is>
          <t>Block IP</t>
        </is>
      </c>
      <c r="M1857" t="inlineStr">
        <is>
          <t>Network perimeter</t>
        </is>
      </c>
      <c r="N1857" t="inlineStr">
        <is>
          <t>P3</t>
        </is>
      </c>
      <c r="O1857" t="inlineStr">
        <is>
          <t>Check ip-api.com + AbuseIPDB for context</t>
        </is>
      </c>
      <c r="P1857" t="n">
        <v>0</v>
      </c>
      <c r="Q1857" t="n">
        <v>0</v>
      </c>
      <c r="R1857" t="inlineStr">
        <is>
          <t>T1110:Brute Force | T1190:Exploit Public-Facing Application</t>
        </is>
      </c>
      <c r="S1857" t="n">
        <v>1</v>
      </c>
      <c r="T1857" t="inlineStr">
        <is>
          <t>LOW (40%)</t>
        </is>
      </c>
      <c r="U1857" t="inlineStr">
        <is>
          <t>NONE</t>
        </is>
      </c>
      <c r="V1857" t="inlineStr">
        <is>
          <t>NONE</t>
        </is>
      </c>
      <c r="W1857" t="inlineStr">
        <is>
          <t>NONE</t>
        </is>
      </c>
      <c r="X1857" t="inlineStr">
        <is>
          <t>NONE</t>
        </is>
      </c>
      <c r="Y1857" t="n">
        <v>0</v>
      </c>
      <c r="Z1857" t="inlineStr"/>
      <c r="AA1857" t="inlineStr">
        <is>
          <t>https://rules.emergingthreats.net/</t>
        </is>
      </c>
    </row>
    <row r="1858">
      <c r="A1858" t="inlineStr">
        <is>
          <t>EMERGING_THREAT_IP</t>
        </is>
      </c>
      <c r="B1858" t="inlineStr">
        <is>
          <t>278177fd6008</t>
        </is>
      </c>
      <c r="C1858" t="inlineStr">
        <is>
          <t>Emerging Threats Compromised IP: 103.236.75.87 | Sources: EMERGING_THREATS</t>
        </is>
      </c>
      <c r="D1858" t="n">
        <v>6.5</v>
      </c>
      <c r="E1858" t="inlineStr">
        <is>
          <t>HIGH</t>
        </is>
      </c>
      <c r="F1858" t="n">
        <v>3</v>
      </c>
      <c r="G1858" t="n">
        <v>2</v>
      </c>
      <c r="H1858" t="inlineStr">
        <is>
          <t>HIGH</t>
        </is>
      </c>
      <c r="I1858" t="n">
        <v>12.5</v>
      </c>
      <c r="J1858" t="inlineStr">
        <is>
          <t>NO</t>
        </is>
      </c>
      <c r="K1858" t="inlineStr">
        <is>
          <t>2026-02-23 23:48</t>
        </is>
      </c>
      <c r="L1858" t="inlineStr">
        <is>
          <t>Block IP</t>
        </is>
      </c>
      <c r="M1858" t="inlineStr">
        <is>
          <t>Network perimeter</t>
        </is>
      </c>
      <c r="N1858" t="inlineStr">
        <is>
          <t>P3</t>
        </is>
      </c>
      <c r="O1858" t="inlineStr">
        <is>
          <t>Check ip-api.com + AbuseIPDB for context</t>
        </is>
      </c>
      <c r="P1858" t="n">
        <v>0</v>
      </c>
      <c r="Q1858" t="n">
        <v>0</v>
      </c>
      <c r="R1858" t="inlineStr">
        <is>
          <t>T1110:Brute Force | T1190:Exploit Public-Facing Application</t>
        </is>
      </c>
      <c r="S1858" t="n">
        <v>1</v>
      </c>
      <c r="T1858" t="inlineStr">
        <is>
          <t>LOW (40%)</t>
        </is>
      </c>
      <c r="U1858" t="inlineStr">
        <is>
          <t>NONE</t>
        </is>
      </c>
      <c r="V1858" t="inlineStr">
        <is>
          <t>NONE</t>
        </is>
      </c>
      <c r="W1858" t="inlineStr">
        <is>
          <t>NONE</t>
        </is>
      </c>
      <c r="X1858" t="inlineStr">
        <is>
          <t>NONE</t>
        </is>
      </c>
      <c r="Y1858" t="n">
        <v>0</v>
      </c>
      <c r="Z1858" t="inlineStr"/>
      <c r="AA1858" t="inlineStr">
        <is>
          <t>https://rules.emergingthreats.net/</t>
        </is>
      </c>
    </row>
    <row r="1859">
      <c r="A1859" t="inlineStr">
        <is>
          <t>EMERGING_THREAT_IP</t>
        </is>
      </c>
      <c r="B1859" t="inlineStr">
        <is>
          <t>46bb6847217f</t>
        </is>
      </c>
      <c r="C1859" t="inlineStr">
        <is>
          <t>Emerging Threats Compromised IP: 103.236.95.173 | Sources: EMERGING_THREATS</t>
        </is>
      </c>
      <c r="D1859" t="n">
        <v>6.5</v>
      </c>
      <c r="E1859" t="inlineStr">
        <is>
          <t>HIGH</t>
        </is>
      </c>
      <c r="F1859" t="n">
        <v>3</v>
      </c>
      <c r="G1859" t="n">
        <v>2</v>
      </c>
      <c r="H1859" t="inlineStr">
        <is>
          <t>HIGH</t>
        </is>
      </c>
      <c r="I1859" t="n">
        <v>12.5</v>
      </c>
      <c r="J1859" t="inlineStr">
        <is>
          <t>NO</t>
        </is>
      </c>
      <c r="K1859" t="inlineStr">
        <is>
          <t>2026-02-23 23:48</t>
        </is>
      </c>
      <c r="L1859" t="inlineStr">
        <is>
          <t>Block IP</t>
        </is>
      </c>
      <c r="M1859" t="inlineStr">
        <is>
          <t>Network perimeter</t>
        </is>
      </c>
      <c r="N1859" t="inlineStr">
        <is>
          <t>P3</t>
        </is>
      </c>
      <c r="O1859" t="inlineStr">
        <is>
          <t>Check ip-api.com + AbuseIPDB for context</t>
        </is>
      </c>
      <c r="P1859" t="n">
        <v>0</v>
      </c>
      <c r="Q1859" t="n">
        <v>0</v>
      </c>
      <c r="R1859" t="inlineStr">
        <is>
          <t>T1110:Brute Force | T1190:Exploit Public-Facing Application</t>
        </is>
      </c>
      <c r="S1859" t="n">
        <v>1</v>
      </c>
      <c r="T1859" t="inlineStr">
        <is>
          <t>LOW (40%)</t>
        </is>
      </c>
      <c r="U1859" t="inlineStr">
        <is>
          <t>NONE</t>
        </is>
      </c>
      <c r="V1859" t="inlineStr">
        <is>
          <t>NONE</t>
        </is>
      </c>
      <c r="W1859" t="inlineStr">
        <is>
          <t>NONE</t>
        </is>
      </c>
      <c r="X1859" t="inlineStr">
        <is>
          <t>NONE</t>
        </is>
      </c>
      <c r="Y1859" t="n">
        <v>0</v>
      </c>
      <c r="Z1859" t="inlineStr"/>
      <c r="AA1859" t="inlineStr">
        <is>
          <t>https://rules.emergingthreats.net/</t>
        </is>
      </c>
    </row>
    <row r="1860">
      <c r="A1860" t="inlineStr">
        <is>
          <t>EMERGING_THREAT_IP</t>
        </is>
      </c>
      <c r="B1860" t="inlineStr">
        <is>
          <t>5c383c76de68</t>
        </is>
      </c>
      <c r="C1860" t="inlineStr">
        <is>
          <t>Emerging Threats Compromised IP: 103.239.252.132 | Sources: EMERGING_THREATS</t>
        </is>
      </c>
      <c r="D1860" t="n">
        <v>6.5</v>
      </c>
      <c r="E1860" t="inlineStr">
        <is>
          <t>HIGH</t>
        </is>
      </c>
      <c r="F1860" t="n">
        <v>3</v>
      </c>
      <c r="G1860" t="n">
        <v>2</v>
      </c>
      <c r="H1860" t="inlineStr">
        <is>
          <t>HIGH</t>
        </is>
      </c>
      <c r="I1860" t="n">
        <v>12.5</v>
      </c>
      <c r="J1860" t="inlineStr">
        <is>
          <t>NO</t>
        </is>
      </c>
      <c r="K1860" t="inlineStr">
        <is>
          <t>2026-02-23 23:48</t>
        </is>
      </c>
      <c r="L1860" t="inlineStr">
        <is>
          <t>Block IP</t>
        </is>
      </c>
      <c r="M1860" t="inlineStr">
        <is>
          <t>Network perimeter</t>
        </is>
      </c>
      <c r="N1860" t="inlineStr">
        <is>
          <t>P3</t>
        </is>
      </c>
      <c r="O1860" t="inlineStr">
        <is>
          <t>Check ip-api.com + AbuseIPDB for context</t>
        </is>
      </c>
      <c r="P1860" t="n">
        <v>0</v>
      </c>
      <c r="Q1860" t="n">
        <v>0</v>
      </c>
      <c r="R1860" t="inlineStr">
        <is>
          <t>T1110:Brute Force | T1190:Exploit Public-Facing Application</t>
        </is>
      </c>
      <c r="S1860" t="n">
        <v>1</v>
      </c>
      <c r="T1860" t="inlineStr">
        <is>
          <t>LOW (40%)</t>
        </is>
      </c>
      <c r="U1860" t="inlineStr">
        <is>
          <t>NONE</t>
        </is>
      </c>
      <c r="V1860" t="inlineStr">
        <is>
          <t>NONE</t>
        </is>
      </c>
      <c r="W1860" t="inlineStr">
        <is>
          <t>NONE</t>
        </is>
      </c>
      <c r="X1860" t="inlineStr">
        <is>
          <t>NONE</t>
        </is>
      </c>
      <c r="Y1860" t="n">
        <v>0</v>
      </c>
      <c r="Z1860" t="inlineStr"/>
      <c r="AA1860" t="inlineStr">
        <is>
          <t>https://rules.emergingthreats.net/</t>
        </is>
      </c>
    </row>
    <row r="1861">
      <c r="A1861" t="inlineStr">
        <is>
          <t>EMERGING_THREAT_IP</t>
        </is>
      </c>
      <c r="B1861" t="inlineStr">
        <is>
          <t>5583c88d0b92</t>
        </is>
      </c>
      <c r="C1861" t="inlineStr">
        <is>
          <t>Emerging Threats Compromised IP: 103.249.200.230 | Sources: EMERGING_THREATS</t>
        </is>
      </c>
      <c r="D1861" t="n">
        <v>6.5</v>
      </c>
      <c r="E1861" t="inlineStr">
        <is>
          <t>HIGH</t>
        </is>
      </c>
      <c r="F1861" t="n">
        <v>3</v>
      </c>
      <c r="G1861" t="n">
        <v>2</v>
      </c>
      <c r="H1861" t="inlineStr">
        <is>
          <t>HIGH</t>
        </is>
      </c>
      <c r="I1861" t="n">
        <v>12.5</v>
      </c>
      <c r="J1861" t="inlineStr">
        <is>
          <t>NO</t>
        </is>
      </c>
      <c r="K1861" t="inlineStr">
        <is>
          <t>2026-02-23 23:48</t>
        </is>
      </c>
      <c r="L1861" t="inlineStr">
        <is>
          <t>Block IP</t>
        </is>
      </c>
      <c r="M1861" t="inlineStr">
        <is>
          <t>Network perimeter</t>
        </is>
      </c>
      <c r="N1861" t="inlineStr">
        <is>
          <t>P3</t>
        </is>
      </c>
      <c r="O1861" t="inlineStr">
        <is>
          <t>Check ip-api.com + AbuseIPDB for context</t>
        </is>
      </c>
      <c r="P1861" t="n">
        <v>0</v>
      </c>
      <c r="Q1861" t="n">
        <v>0</v>
      </c>
      <c r="R1861" t="inlineStr">
        <is>
          <t>T1110:Brute Force | T1190:Exploit Public-Facing Application</t>
        </is>
      </c>
      <c r="S1861" t="n">
        <v>1</v>
      </c>
      <c r="T1861" t="inlineStr">
        <is>
          <t>LOW (40%)</t>
        </is>
      </c>
      <c r="U1861" t="inlineStr">
        <is>
          <t>NONE</t>
        </is>
      </c>
      <c r="V1861" t="inlineStr">
        <is>
          <t>NONE</t>
        </is>
      </c>
      <c r="W1861" t="inlineStr">
        <is>
          <t>NONE</t>
        </is>
      </c>
      <c r="X1861" t="inlineStr">
        <is>
          <t>NONE</t>
        </is>
      </c>
      <c r="Y1861" t="n">
        <v>0</v>
      </c>
      <c r="Z1861" t="inlineStr"/>
      <c r="AA1861" t="inlineStr">
        <is>
          <t>https://rules.emergingthreats.net/</t>
        </is>
      </c>
    </row>
    <row r="1862">
      <c r="A1862" t="inlineStr">
        <is>
          <t>EMERGING_THREAT_IP</t>
        </is>
      </c>
      <c r="B1862" t="inlineStr">
        <is>
          <t>890c9c3b7ae6</t>
        </is>
      </c>
      <c r="C1862" t="inlineStr">
        <is>
          <t>Emerging Threats Compromised IP: 103.252.73.37 | Sources: EMERGING_THREATS</t>
        </is>
      </c>
      <c r="D1862" t="n">
        <v>6.5</v>
      </c>
      <c r="E1862" t="inlineStr">
        <is>
          <t>HIGH</t>
        </is>
      </c>
      <c r="F1862" t="n">
        <v>3</v>
      </c>
      <c r="G1862" t="n">
        <v>2</v>
      </c>
      <c r="H1862" t="inlineStr">
        <is>
          <t>HIGH</t>
        </is>
      </c>
      <c r="I1862" t="n">
        <v>12.5</v>
      </c>
      <c r="J1862" t="inlineStr">
        <is>
          <t>NO</t>
        </is>
      </c>
      <c r="K1862" t="inlineStr">
        <is>
          <t>2026-02-23 23:48</t>
        </is>
      </c>
      <c r="L1862" t="inlineStr">
        <is>
          <t>Block IP</t>
        </is>
      </c>
      <c r="M1862" t="inlineStr">
        <is>
          <t>Network perimeter</t>
        </is>
      </c>
      <c r="N1862" t="inlineStr">
        <is>
          <t>P3</t>
        </is>
      </c>
      <c r="O1862" t="inlineStr">
        <is>
          <t>Check ip-api.com + AbuseIPDB for context</t>
        </is>
      </c>
      <c r="P1862" t="n">
        <v>0</v>
      </c>
      <c r="Q1862" t="n">
        <v>0</v>
      </c>
      <c r="R1862" t="inlineStr">
        <is>
          <t>T1110:Brute Force | T1190:Exploit Public-Facing Application</t>
        </is>
      </c>
      <c r="S1862" t="n">
        <v>1</v>
      </c>
      <c r="T1862" t="inlineStr">
        <is>
          <t>LOW (40%)</t>
        </is>
      </c>
      <c r="U1862" t="inlineStr">
        <is>
          <t>NONE</t>
        </is>
      </c>
      <c r="V1862" t="inlineStr">
        <is>
          <t>NONE</t>
        </is>
      </c>
      <c r="W1862" t="inlineStr">
        <is>
          <t>NONE</t>
        </is>
      </c>
      <c r="X1862" t="inlineStr">
        <is>
          <t>NONE</t>
        </is>
      </c>
      <c r="Y1862" t="n">
        <v>0</v>
      </c>
      <c r="Z1862" t="inlineStr"/>
      <c r="AA1862" t="inlineStr">
        <is>
          <t>https://rules.emergingthreats.net/</t>
        </is>
      </c>
    </row>
    <row r="1863">
      <c r="A1863" t="inlineStr">
        <is>
          <t>EMERGING_THREAT_IP</t>
        </is>
      </c>
      <c r="B1863" t="inlineStr">
        <is>
          <t>e7df42bbb1e6</t>
        </is>
      </c>
      <c r="C1863" t="inlineStr">
        <is>
          <t>Emerging Threats Compromised IP: 103.39.222.143 | Sources: EMERGING_THREATS</t>
        </is>
      </c>
      <c r="D1863" t="n">
        <v>6.5</v>
      </c>
      <c r="E1863" t="inlineStr">
        <is>
          <t>HIGH</t>
        </is>
      </c>
      <c r="F1863" t="n">
        <v>3</v>
      </c>
      <c r="G1863" t="n">
        <v>2</v>
      </c>
      <c r="H1863" t="inlineStr">
        <is>
          <t>HIGH</t>
        </is>
      </c>
      <c r="I1863" t="n">
        <v>12.5</v>
      </c>
      <c r="J1863" t="inlineStr">
        <is>
          <t>NO</t>
        </is>
      </c>
      <c r="K1863" t="inlineStr">
        <is>
          <t>2026-02-23 23:48</t>
        </is>
      </c>
      <c r="L1863" t="inlineStr">
        <is>
          <t>Block IP</t>
        </is>
      </c>
      <c r="M1863" t="inlineStr">
        <is>
          <t>Network perimeter</t>
        </is>
      </c>
      <c r="N1863" t="inlineStr">
        <is>
          <t>P3</t>
        </is>
      </c>
      <c r="O1863" t="inlineStr">
        <is>
          <t>Check ip-api.com + AbuseIPDB for context</t>
        </is>
      </c>
      <c r="P1863" t="n">
        <v>0</v>
      </c>
      <c r="Q1863" t="n">
        <v>0</v>
      </c>
      <c r="R1863" t="inlineStr">
        <is>
          <t>T1110:Brute Force | T1190:Exploit Public-Facing Application</t>
        </is>
      </c>
      <c r="S1863" t="n">
        <v>1</v>
      </c>
      <c r="T1863" t="inlineStr">
        <is>
          <t>LOW (40%)</t>
        </is>
      </c>
      <c r="U1863" t="inlineStr">
        <is>
          <t>NONE</t>
        </is>
      </c>
      <c r="V1863" t="inlineStr">
        <is>
          <t>NONE</t>
        </is>
      </c>
      <c r="W1863" t="inlineStr">
        <is>
          <t>NONE</t>
        </is>
      </c>
      <c r="X1863" t="inlineStr">
        <is>
          <t>NONE</t>
        </is>
      </c>
      <c r="Y1863" t="n">
        <v>0</v>
      </c>
      <c r="Z1863" t="inlineStr"/>
      <c r="AA1863" t="inlineStr">
        <is>
          <t>https://rules.emergingthreats.net/</t>
        </is>
      </c>
    </row>
    <row r="1864">
      <c r="A1864" t="inlineStr">
        <is>
          <t>EMERGING_THREAT_IP</t>
        </is>
      </c>
      <c r="B1864" t="inlineStr">
        <is>
          <t>ae885b936d47</t>
        </is>
      </c>
      <c r="C1864" t="inlineStr">
        <is>
          <t>Emerging Threats Compromised IP: 103.40.61.98 | Sources: EMERGING_THREATS</t>
        </is>
      </c>
      <c r="D1864" t="n">
        <v>6.5</v>
      </c>
      <c r="E1864" t="inlineStr">
        <is>
          <t>HIGH</t>
        </is>
      </c>
      <c r="F1864" t="n">
        <v>3</v>
      </c>
      <c r="G1864" t="n">
        <v>2</v>
      </c>
      <c r="H1864" t="inlineStr">
        <is>
          <t>HIGH</t>
        </is>
      </c>
      <c r="I1864" t="n">
        <v>12.5</v>
      </c>
      <c r="J1864" t="inlineStr">
        <is>
          <t>NO</t>
        </is>
      </c>
      <c r="K1864" t="inlineStr">
        <is>
          <t>2026-02-23 23:48</t>
        </is>
      </c>
      <c r="L1864" t="inlineStr">
        <is>
          <t>Block IP</t>
        </is>
      </c>
      <c r="M1864" t="inlineStr">
        <is>
          <t>Network perimeter</t>
        </is>
      </c>
      <c r="N1864" t="inlineStr">
        <is>
          <t>P3</t>
        </is>
      </c>
      <c r="O1864" t="inlineStr">
        <is>
          <t>Check ip-api.com + AbuseIPDB for context</t>
        </is>
      </c>
      <c r="P1864" t="n">
        <v>0</v>
      </c>
      <c r="Q1864" t="n">
        <v>0</v>
      </c>
      <c r="R1864" t="inlineStr">
        <is>
          <t>T1110:Brute Force | T1190:Exploit Public-Facing Application</t>
        </is>
      </c>
      <c r="S1864" t="n">
        <v>1</v>
      </c>
      <c r="T1864" t="inlineStr">
        <is>
          <t>LOW (40%)</t>
        </is>
      </c>
      <c r="U1864" t="inlineStr">
        <is>
          <t>NONE</t>
        </is>
      </c>
      <c r="V1864" t="inlineStr">
        <is>
          <t>NONE</t>
        </is>
      </c>
      <c r="W1864" t="inlineStr">
        <is>
          <t>NONE</t>
        </is>
      </c>
      <c r="X1864" t="inlineStr">
        <is>
          <t>NONE</t>
        </is>
      </c>
      <c r="Y1864" t="n">
        <v>0</v>
      </c>
      <c r="Z1864" t="inlineStr"/>
      <c r="AA1864" t="inlineStr">
        <is>
          <t>https://rules.emergingthreats.net/</t>
        </is>
      </c>
    </row>
    <row r="1865">
      <c r="A1865" t="inlineStr">
        <is>
          <t>EMERGING_THREAT_IP</t>
        </is>
      </c>
      <c r="B1865" t="inlineStr">
        <is>
          <t>2ba8853e01d2</t>
        </is>
      </c>
      <c r="C1865" t="inlineStr">
        <is>
          <t>Emerging Threats Compromised IP: 103.63.24.38 | Sources: EMERGING_THREATS</t>
        </is>
      </c>
      <c r="D1865" t="n">
        <v>6.5</v>
      </c>
      <c r="E1865" t="inlineStr">
        <is>
          <t>HIGH</t>
        </is>
      </c>
      <c r="F1865" t="n">
        <v>3</v>
      </c>
      <c r="G1865" t="n">
        <v>2</v>
      </c>
      <c r="H1865" t="inlineStr">
        <is>
          <t>HIGH</t>
        </is>
      </c>
      <c r="I1865" t="n">
        <v>12.5</v>
      </c>
      <c r="J1865" t="inlineStr">
        <is>
          <t>NO</t>
        </is>
      </c>
      <c r="K1865" t="inlineStr">
        <is>
          <t>2026-02-23 23:48</t>
        </is>
      </c>
      <c r="L1865" t="inlineStr">
        <is>
          <t>Block IP</t>
        </is>
      </c>
      <c r="M1865" t="inlineStr">
        <is>
          <t>Network perimeter</t>
        </is>
      </c>
      <c r="N1865" t="inlineStr">
        <is>
          <t>P3</t>
        </is>
      </c>
      <c r="O1865" t="inlineStr">
        <is>
          <t>Check ip-api.com + AbuseIPDB for context</t>
        </is>
      </c>
      <c r="P1865" t="n">
        <v>0</v>
      </c>
      <c r="Q1865" t="n">
        <v>0</v>
      </c>
      <c r="R1865" t="inlineStr">
        <is>
          <t>T1110:Brute Force | T1190:Exploit Public-Facing Application</t>
        </is>
      </c>
      <c r="S1865" t="n">
        <v>1</v>
      </c>
      <c r="T1865" t="inlineStr">
        <is>
          <t>LOW (40%)</t>
        </is>
      </c>
      <c r="U1865" t="inlineStr">
        <is>
          <t>NONE</t>
        </is>
      </c>
      <c r="V1865" t="inlineStr">
        <is>
          <t>NONE</t>
        </is>
      </c>
      <c r="W1865" t="inlineStr">
        <is>
          <t>NONE</t>
        </is>
      </c>
      <c r="X1865" t="inlineStr">
        <is>
          <t>NONE</t>
        </is>
      </c>
      <c r="Y1865" t="n">
        <v>0</v>
      </c>
      <c r="Z1865" t="inlineStr"/>
      <c r="AA1865" t="inlineStr">
        <is>
          <t>https://rules.emergingthreats.net/</t>
        </is>
      </c>
    </row>
    <row r="1866">
      <c r="A1866" t="inlineStr">
        <is>
          <t>EMERGING_THREAT_IP</t>
        </is>
      </c>
      <c r="B1866" t="inlineStr">
        <is>
          <t>935a49ba8025</t>
        </is>
      </c>
      <c r="C1866" t="inlineStr">
        <is>
          <t>Emerging Threats Compromised IP: 104.131.20.206 | Sources: EMERGING_THREATS</t>
        </is>
      </c>
      <c r="D1866" t="n">
        <v>6.5</v>
      </c>
      <c r="E1866" t="inlineStr">
        <is>
          <t>HIGH</t>
        </is>
      </c>
      <c r="F1866" t="n">
        <v>3</v>
      </c>
      <c r="G1866" t="n">
        <v>2</v>
      </c>
      <c r="H1866" t="inlineStr">
        <is>
          <t>HIGH</t>
        </is>
      </c>
      <c r="I1866" t="n">
        <v>12.5</v>
      </c>
      <c r="J1866" t="inlineStr">
        <is>
          <t>NO</t>
        </is>
      </c>
      <c r="K1866" t="inlineStr">
        <is>
          <t>2026-02-23 23:48</t>
        </is>
      </c>
      <c r="L1866" t="inlineStr">
        <is>
          <t>Block IP</t>
        </is>
      </c>
      <c r="M1866" t="inlineStr">
        <is>
          <t>Network perimeter</t>
        </is>
      </c>
      <c r="N1866" t="inlineStr">
        <is>
          <t>P3</t>
        </is>
      </c>
      <c r="O1866" t="inlineStr">
        <is>
          <t>Check ip-api.com + AbuseIPDB for context</t>
        </is>
      </c>
      <c r="P1866" t="n">
        <v>0</v>
      </c>
      <c r="Q1866" t="n">
        <v>0</v>
      </c>
      <c r="R1866" t="inlineStr">
        <is>
          <t>T1110:Brute Force | T1190:Exploit Public-Facing Application</t>
        </is>
      </c>
      <c r="S1866" t="n">
        <v>1</v>
      </c>
      <c r="T1866" t="inlineStr">
        <is>
          <t>LOW (40%)</t>
        </is>
      </c>
      <c r="U1866" t="inlineStr">
        <is>
          <t>NONE</t>
        </is>
      </c>
      <c r="V1866" t="inlineStr">
        <is>
          <t>NONE</t>
        </is>
      </c>
      <c r="W1866" t="inlineStr">
        <is>
          <t>NONE</t>
        </is>
      </c>
      <c r="X1866" t="inlineStr">
        <is>
          <t>NONE</t>
        </is>
      </c>
      <c r="Y1866" t="n">
        <v>0</v>
      </c>
      <c r="Z1866" t="inlineStr"/>
      <c r="AA1866" t="inlineStr">
        <is>
          <t>https://rules.emergingthreats.net/</t>
        </is>
      </c>
    </row>
    <row r="1867">
      <c r="A1867" t="inlineStr">
        <is>
          <t>EMERGING_THREAT_IP</t>
        </is>
      </c>
      <c r="B1867" t="inlineStr">
        <is>
          <t>4125319882fc</t>
        </is>
      </c>
      <c r="C1867" t="inlineStr">
        <is>
          <t>Emerging Threats Compromised IP: 104.168.4.152 | Sources: EMERGING_THREATS</t>
        </is>
      </c>
      <c r="D1867" t="n">
        <v>6.5</v>
      </c>
      <c r="E1867" t="inlineStr">
        <is>
          <t>HIGH</t>
        </is>
      </c>
      <c r="F1867" t="n">
        <v>3</v>
      </c>
      <c r="G1867" t="n">
        <v>2</v>
      </c>
      <c r="H1867" t="inlineStr">
        <is>
          <t>HIGH</t>
        </is>
      </c>
      <c r="I1867" t="n">
        <v>12.5</v>
      </c>
      <c r="J1867" t="inlineStr">
        <is>
          <t>NO</t>
        </is>
      </c>
      <c r="K1867" t="inlineStr">
        <is>
          <t>2026-02-23 23:48</t>
        </is>
      </c>
      <c r="L1867" t="inlineStr">
        <is>
          <t>Block IP</t>
        </is>
      </c>
      <c r="M1867" t="inlineStr">
        <is>
          <t>Network perimeter</t>
        </is>
      </c>
      <c r="N1867" t="inlineStr">
        <is>
          <t>P3</t>
        </is>
      </c>
      <c r="O1867" t="inlineStr">
        <is>
          <t>Check ip-api.com + AbuseIPDB for context</t>
        </is>
      </c>
      <c r="P1867" t="n">
        <v>0</v>
      </c>
      <c r="Q1867" t="n">
        <v>0</v>
      </c>
      <c r="R1867" t="inlineStr">
        <is>
          <t>T1110:Brute Force | T1190:Exploit Public-Facing Application</t>
        </is>
      </c>
      <c r="S1867" t="n">
        <v>1</v>
      </c>
      <c r="T1867" t="inlineStr">
        <is>
          <t>LOW (40%)</t>
        </is>
      </c>
      <c r="U1867" t="inlineStr">
        <is>
          <t>NONE</t>
        </is>
      </c>
      <c r="V1867" t="inlineStr">
        <is>
          <t>NONE</t>
        </is>
      </c>
      <c r="W1867" t="inlineStr">
        <is>
          <t>NONE</t>
        </is>
      </c>
      <c r="X1867" t="inlineStr">
        <is>
          <t>NONE</t>
        </is>
      </c>
      <c r="Y1867" t="n">
        <v>0</v>
      </c>
      <c r="Z1867" t="inlineStr"/>
      <c r="AA1867" t="inlineStr">
        <is>
          <t>https://rules.emergingthreats.net/</t>
        </is>
      </c>
    </row>
    <row r="1868">
      <c r="A1868" t="inlineStr">
        <is>
          <t>EMERGING_THREAT_IP</t>
        </is>
      </c>
      <c r="B1868" t="inlineStr">
        <is>
          <t>5ea9455342e5</t>
        </is>
      </c>
      <c r="C1868" t="inlineStr">
        <is>
          <t>Emerging Threats Compromised IP: 104.236.95.108 | Sources: EMERGING_THREATS</t>
        </is>
      </c>
      <c r="D1868" t="n">
        <v>6.5</v>
      </c>
      <c r="E1868" t="inlineStr">
        <is>
          <t>HIGH</t>
        </is>
      </c>
      <c r="F1868" t="n">
        <v>3</v>
      </c>
      <c r="G1868" t="n">
        <v>2</v>
      </c>
      <c r="H1868" t="inlineStr">
        <is>
          <t>HIGH</t>
        </is>
      </c>
      <c r="I1868" t="n">
        <v>12.5</v>
      </c>
      <c r="J1868" t="inlineStr">
        <is>
          <t>NO</t>
        </is>
      </c>
      <c r="K1868" t="inlineStr">
        <is>
          <t>2026-02-23 23:48</t>
        </is>
      </c>
      <c r="L1868" t="inlineStr">
        <is>
          <t>Block IP</t>
        </is>
      </c>
      <c r="M1868" t="inlineStr">
        <is>
          <t>Network perimeter</t>
        </is>
      </c>
      <c r="N1868" t="inlineStr">
        <is>
          <t>P3</t>
        </is>
      </c>
      <c r="O1868" t="inlineStr">
        <is>
          <t>Check ip-api.com + AbuseIPDB for context</t>
        </is>
      </c>
      <c r="P1868" t="n">
        <v>0</v>
      </c>
      <c r="Q1868" t="n">
        <v>0</v>
      </c>
      <c r="R1868" t="inlineStr">
        <is>
          <t>T1110:Brute Force | T1190:Exploit Public-Facing Application</t>
        </is>
      </c>
      <c r="S1868" t="n">
        <v>1</v>
      </c>
      <c r="T1868" t="inlineStr">
        <is>
          <t>LOW (40%)</t>
        </is>
      </c>
      <c r="U1868" t="inlineStr">
        <is>
          <t>NONE</t>
        </is>
      </c>
      <c r="V1868" t="inlineStr">
        <is>
          <t>NONE</t>
        </is>
      </c>
      <c r="W1868" t="inlineStr">
        <is>
          <t>NONE</t>
        </is>
      </c>
      <c r="X1868" t="inlineStr">
        <is>
          <t>NONE</t>
        </is>
      </c>
      <c r="Y1868" t="n">
        <v>0</v>
      </c>
      <c r="Z1868" t="inlineStr"/>
      <c r="AA1868" t="inlineStr">
        <is>
          <t>https://rules.emergingthreats.net/</t>
        </is>
      </c>
    </row>
    <row r="1869">
      <c r="A1869" t="inlineStr">
        <is>
          <t>EMERGING_THREAT_IP</t>
        </is>
      </c>
      <c r="B1869" t="inlineStr">
        <is>
          <t>7b158df7da56</t>
        </is>
      </c>
      <c r="C1869" t="inlineStr">
        <is>
          <t>Emerging Threats Compromised IP: 104.248.41.74 | Sources: EMERGING_THREATS</t>
        </is>
      </c>
      <c r="D1869" t="n">
        <v>6.5</v>
      </c>
      <c r="E1869" t="inlineStr">
        <is>
          <t>HIGH</t>
        </is>
      </c>
      <c r="F1869" t="n">
        <v>3</v>
      </c>
      <c r="G1869" t="n">
        <v>2</v>
      </c>
      <c r="H1869" t="inlineStr">
        <is>
          <t>HIGH</t>
        </is>
      </c>
      <c r="I1869" t="n">
        <v>12.5</v>
      </c>
      <c r="J1869" t="inlineStr">
        <is>
          <t>NO</t>
        </is>
      </c>
      <c r="K1869" t="inlineStr">
        <is>
          <t>2026-02-23 23:48</t>
        </is>
      </c>
      <c r="L1869" t="inlineStr">
        <is>
          <t>Block IP</t>
        </is>
      </c>
      <c r="M1869" t="inlineStr">
        <is>
          <t>Network perimeter</t>
        </is>
      </c>
      <c r="N1869" t="inlineStr">
        <is>
          <t>P3</t>
        </is>
      </c>
      <c r="O1869" t="inlineStr">
        <is>
          <t>Check ip-api.com + AbuseIPDB for context</t>
        </is>
      </c>
      <c r="P1869" t="n">
        <v>0</v>
      </c>
      <c r="Q1869" t="n">
        <v>0</v>
      </c>
      <c r="R1869" t="inlineStr">
        <is>
          <t>T1110:Brute Force | T1190:Exploit Public-Facing Application</t>
        </is>
      </c>
      <c r="S1869" t="n">
        <v>1</v>
      </c>
      <c r="T1869" t="inlineStr">
        <is>
          <t>LOW (40%)</t>
        </is>
      </c>
      <c r="U1869" t="inlineStr">
        <is>
          <t>NONE</t>
        </is>
      </c>
      <c r="V1869" t="inlineStr">
        <is>
          <t>NONE</t>
        </is>
      </c>
      <c r="W1869" t="inlineStr">
        <is>
          <t>NONE</t>
        </is>
      </c>
      <c r="X1869" t="inlineStr">
        <is>
          <t>NONE</t>
        </is>
      </c>
      <c r="Y1869" t="n">
        <v>0</v>
      </c>
      <c r="Z1869" t="inlineStr"/>
      <c r="AA1869" t="inlineStr">
        <is>
          <t>https://rules.emergingthreats.net/</t>
        </is>
      </c>
    </row>
    <row r="1870">
      <c r="A1870" t="inlineStr">
        <is>
          <t>EMERGING_THREAT_IP</t>
        </is>
      </c>
      <c r="B1870" t="inlineStr">
        <is>
          <t>6edc4dc7f8c4</t>
        </is>
      </c>
      <c r="C1870" t="inlineStr">
        <is>
          <t>Emerging Threats Compromised IP: 107.175.21.17 | Sources: EMERGING_THREATS</t>
        </is>
      </c>
      <c r="D1870" t="n">
        <v>6.5</v>
      </c>
      <c r="E1870" t="inlineStr">
        <is>
          <t>HIGH</t>
        </is>
      </c>
      <c r="F1870" t="n">
        <v>3</v>
      </c>
      <c r="G1870" t="n">
        <v>2</v>
      </c>
      <c r="H1870" t="inlineStr">
        <is>
          <t>HIGH</t>
        </is>
      </c>
      <c r="I1870" t="n">
        <v>12.5</v>
      </c>
      <c r="J1870" t="inlineStr">
        <is>
          <t>NO</t>
        </is>
      </c>
      <c r="K1870" t="inlineStr">
        <is>
          <t>2026-02-23 23:48</t>
        </is>
      </c>
      <c r="L1870" t="inlineStr">
        <is>
          <t>Block IP</t>
        </is>
      </c>
      <c r="M1870" t="inlineStr">
        <is>
          <t>Network perimeter</t>
        </is>
      </c>
      <c r="N1870" t="inlineStr">
        <is>
          <t>P3</t>
        </is>
      </c>
      <c r="O1870" t="inlineStr">
        <is>
          <t>Check ip-api.com + AbuseIPDB for context</t>
        </is>
      </c>
      <c r="P1870" t="n">
        <v>0</v>
      </c>
      <c r="Q1870" t="n">
        <v>0</v>
      </c>
      <c r="R1870" t="inlineStr">
        <is>
          <t>T1110:Brute Force | T1190:Exploit Public-Facing Application</t>
        </is>
      </c>
      <c r="S1870" t="n">
        <v>1</v>
      </c>
      <c r="T1870" t="inlineStr">
        <is>
          <t>LOW (40%)</t>
        </is>
      </c>
      <c r="U1870" t="inlineStr">
        <is>
          <t>NONE</t>
        </is>
      </c>
      <c r="V1870" t="inlineStr">
        <is>
          <t>NONE</t>
        </is>
      </c>
      <c r="W1870" t="inlineStr">
        <is>
          <t>NONE</t>
        </is>
      </c>
      <c r="X1870" t="inlineStr">
        <is>
          <t>NONE</t>
        </is>
      </c>
      <c r="Y1870" t="n">
        <v>0</v>
      </c>
      <c r="Z1870" t="inlineStr"/>
      <c r="AA1870" t="inlineStr">
        <is>
          <t>https://rules.emergingthreats.net/</t>
        </is>
      </c>
    </row>
    <row r="1871">
      <c r="A1871" t="inlineStr">
        <is>
          <t>EMERGING_THREAT_IP</t>
        </is>
      </c>
      <c r="B1871" t="inlineStr">
        <is>
          <t>c90196742a73</t>
        </is>
      </c>
      <c r="C1871" t="inlineStr">
        <is>
          <t>Emerging Threats Compromised IP: 109.172.55.64 | Sources: EMERGING_THREATS</t>
        </is>
      </c>
      <c r="D1871" t="n">
        <v>6.5</v>
      </c>
      <c r="E1871" t="inlineStr">
        <is>
          <t>HIGH</t>
        </is>
      </c>
      <c r="F1871" t="n">
        <v>3</v>
      </c>
      <c r="G1871" t="n">
        <v>2</v>
      </c>
      <c r="H1871" t="inlineStr">
        <is>
          <t>HIGH</t>
        </is>
      </c>
      <c r="I1871" t="n">
        <v>12.5</v>
      </c>
      <c r="J1871" t="inlineStr">
        <is>
          <t>NO</t>
        </is>
      </c>
      <c r="K1871" t="inlineStr">
        <is>
          <t>2026-02-23 23:48</t>
        </is>
      </c>
      <c r="L1871" t="inlineStr">
        <is>
          <t>Block IP</t>
        </is>
      </c>
      <c r="M1871" t="inlineStr">
        <is>
          <t>Network perimeter</t>
        </is>
      </c>
      <c r="N1871" t="inlineStr">
        <is>
          <t>P3</t>
        </is>
      </c>
      <c r="O1871" t="inlineStr">
        <is>
          <t>Check ip-api.com + AbuseIPDB for context</t>
        </is>
      </c>
      <c r="P1871" t="n">
        <v>0</v>
      </c>
      <c r="Q1871" t="n">
        <v>0</v>
      </c>
      <c r="R1871" t="inlineStr">
        <is>
          <t>T1110:Brute Force | T1190:Exploit Public-Facing Application</t>
        </is>
      </c>
      <c r="S1871" t="n">
        <v>1</v>
      </c>
      <c r="T1871" t="inlineStr">
        <is>
          <t>LOW (40%)</t>
        </is>
      </c>
      <c r="U1871" t="inlineStr">
        <is>
          <t>NONE</t>
        </is>
      </c>
      <c r="V1871" t="inlineStr">
        <is>
          <t>NONE</t>
        </is>
      </c>
      <c r="W1871" t="inlineStr">
        <is>
          <t>NONE</t>
        </is>
      </c>
      <c r="X1871" t="inlineStr">
        <is>
          <t>NONE</t>
        </is>
      </c>
      <c r="Y1871" t="n">
        <v>0</v>
      </c>
      <c r="Z1871" t="inlineStr"/>
      <c r="AA1871" t="inlineStr">
        <is>
          <t>https://rules.emergingthreats.net/</t>
        </is>
      </c>
    </row>
    <row r="1872">
      <c r="A1872" t="inlineStr">
        <is>
          <t>EMERGING_THREAT_IP</t>
        </is>
      </c>
      <c r="B1872" t="inlineStr">
        <is>
          <t>58a732101248</t>
        </is>
      </c>
      <c r="C1872" t="inlineStr">
        <is>
          <t>Emerging Threats Compromised IP: 111.160.133.62 | Sources: EMERGING_THREATS</t>
        </is>
      </c>
      <c r="D1872" t="n">
        <v>6.5</v>
      </c>
      <c r="E1872" t="inlineStr">
        <is>
          <t>HIGH</t>
        </is>
      </c>
      <c r="F1872" t="n">
        <v>3</v>
      </c>
      <c r="G1872" t="n">
        <v>2</v>
      </c>
      <c r="H1872" t="inlineStr">
        <is>
          <t>HIGH</t>
        </is>
      </c>
      <c r="I1872" t="n">
        <v>12.5</v>
      </c>
      <c r="J1872" t="inlineStr">
        <is>
          <t>NO</t>
        </is>
      </c>
      <c r="K1872" t="inlineStr">
        <is>
          <t>2026-02-23 23:48</t>
        </is>
      </c>
      <c r="L1872" t="inlineStr">
        <is>
          <t>Block IP</t>
        </is>
      </c>
      <c r="M1872" t="inlineStr">
        <is>
          <t>Network perimeter</t>
        </is>
      </c>
      <c r="N1872" t="inlineStr">
        <is>
          <t>P3</t>
        </is>
      </c>
      <c r="O1872" t="inlineStr">
        <is>
          <t>Check ip-api.com + AbuseIPDB for context</t>
        </is>
      </c>
      <c r="P1872" t="n">
        <v>0</v>
      </c>
      <c r="Q1872" t="n">
        <v>0</v>
      </c>
      <c r="R1872" t="inlineStr">
        <is>
          <t>T1110:Brute Force | T1190:Exploit Public-Facing Application</t>
        </is>
      </c>
      <c r="S1872" t="n">
        <v>1</v>
      </c>
      <c r="T1872" t="inlineStr">
        <is>
          <t>LOW (40%)</t>
        </is>
      </c>
      <c r="U1872" t="inlineStr">
        <is>
          <t>NONE</t>
        </is>
      </c>
      <c r="V1872" t="inlineStr">
        <is>
          <t>NONE</t>
        </is>
      </c>
      <c r="W1872" t="inlineStr">
        <is>
          <t>NONE</t>
        </is>
      </c>
      <c r="X1872" t="inlineStr">
        <is>
          <t>NONE</t>
        </is>
      </c>
      <c r="Y1872" t="n">
        <v>0</v>
      </c>
      <c r="Z1872" t="inlineStr"/>
      <c r="AA1872" t="inlineStr">
        <is>
          <t>https://rules.emergingthreats.net/</t>
        </is>
      </c>
    </row>
    <row r="1873">
      <c r="A1873" t="inlineStr">
        <is>
          <t>EMERGING_THREAT_IP</t>
        </is>
      </c>
      <c r="B1873" t="inlineStr">
        <is>
          <t>153710cc82cd</t>
        </is>
      </c>
      <c r="C1873" t="inlineStr">
        <is>
          <t>Emerging Threats Compromised IP: 111.32.36.226 | Sources: EMERGING_THREATS</t>
        </is>
      </c>
      <c r="D1873" t="n">
        <v>6.5</v>
      </c>
      <c r="E1873" t="inlineStr">
        <is>
          <t>HIGH</t>
        </is>
      </c>
      <c r="F1873" t="n">
        <v>3</v>
      </c>
      <c r="G1873" t="n">
        <v>2</v>
      </c>
      <c r="H1873" t="inlineStr">
        <is>
          <t>HIGH</t>
        </is>
      </c>
      <c r="I1873" t="n">
        <v>12.5</v>
      </c>
      <c r="J1873" t="inlineStr">
        <is>
          <t>NO</t>
        </is>
      </c>
      <c r="K1873" t="inlineStr">
        <is>
          <t>2026-02-23 23:48</t>
        </is>
      </c>
      <c r="L1873" t="inlineStr">
        <is>
          <t>Block IP</t>
        </is>
      </c>
      <c r="M1873" t="inlineStr">
        <is>
          <t>Network perimeter</t>
        </is>
      </c>
      <c r="N1873" t="inlineStr">
        <is>
          <t>P3</t>
        </is>
      </c>
      <c r="O1873" t="inlineStr">
        <is>
          <t>Check ip-api.com + AbuseIPDB for context</t>
        </is>
      </c>
      <c r="P1873" t="n">
        <v>0</v>
      </c>
      <c r="Q1873" t="n">
        <v>0</v>
      </c>
      <c r="R1873" t="inlineStr">
        <is>
          <t>T1110:Brute Force | T1190:Exploit Public-Facing Application</t>
        </is>
      </c>
      <c r="S1873" t="n">
        <v>1</v>
      </c>
      <c r="T1873" t="inlineStr">
        <is>
          <t>LOW (40%)</t>
        </is>
      </c>
      <c r="U1873" t="inlineStr">
        <is>
          <t>NONE</t>
        </is>
      </c>
      <c r="V1873" t="inlineStr">
        <is>
          <t>NONE</t>
        </is>
      </c>
      <c r="W1873" t="inlineStr">
        <is>
          <t>NONE</t>
        </is>
      </c>
      <c r="X1873" t="inlineStr">
        <is>
          <t>NONE</t>
        </is>
      </c>
      <c r="Y1873" t="n">
        <v>0</v>
      </c>
      <c r="Z1873" t="inlineStr"/>
      <c r="AA1873" t="inlineStr">
        <is>
          <t>https://rules.emergingthreats.net/</t>
        </is>
      </c>
    </row>
    <row r="1874">
      <c r="A1874" t="inlineStr">
        <is>
          <t>EMERGING_THREAT_IP</t>
        </is>
      </c>
      <c r="B1874" t="inlineStr">
        <is>
          <t>2bc8ac825e6b</t>
        </is>
      </c>
      <c r="C1874" t="inlineStr">
        <is>
          <t>Emerging Threats Compromised IP: 114.246.36.108 | Sources: EMERGING_THREATS</t>
        </is>
      </c>
      <c r="D1874" t="n">
        <v>6.5</v>
      </c>
      <c r="E1874" t="inlineStr">
        <is>
          <t>HIGH</t>
        </is>
      </c>
      <c r="F1874" t="n">
        <v>3</v>
      </c>
      <c r="G1874" t="n">
        <v>2</v>
      </c>
      <c r="H1874" t="inlineStr">
        <is>
          <t>HIGH</t>
        </is>
      </c>
      <c r="I1874" t="n">
        <v>12.5</v>
      </c>
      <c r="J1874" t="inlineStr">
        <is>
          <t>NO</t>
        </is>
      </c>
      <c r="K1874" t="inlineStr">
        <is>
          <t>2026-02-23 23:48</t>
        </is>
      </c>
      <c r="L1874" t="inlineStr">
        <is>
          <t>Block IP</t>
        </is>
      </c>
      <c r="M1874" t="inlineStr">
        <is>
          <t>Network perimeter</t>
        </is>
      </c>
      <c r="N1874" t="inlineStr">
        <is>
          <t>P3</t>
        </is>
      </c>
      <c r="O1874" t="inlineStr">
        <is>
          <t>Check ip-api.com + AbuseIPDB for context</t>
        </is>
      </c>
      <c r="P1874" t="n">
        <v>0</v>
      </c>
      <c r="Q1874" t="n">
        <v>0</v>
      </c>
      <c r="R1874" t="inlineStr">
        <is>
          <t>T1110:Brute Force | T1190:Exploit Public-Facing Application</t>
        </is>
      </c>
      <c r="S1874" t="n">
        <v>1</v>
      </c>
      <c r="T1874" t="inlineStr">
        <is>
          <t>LOW (40%)</t>
        </is>
      </c>
      <c r="U1874" t="inlineStr">
        <is>
          <t>NONE</t>
        </is>
      </c>
      <c r="V1874" t="inlineStr">
        <is>
          <t>NONE</t>
        </is>
      </c>
      <c r="W1874" t="inlineStr">
        <is>
          <t>NONE</t>
        </is>
      </c>
      <c r="X1874" t="inlineStr">
        <is>
          <t>NONE</t>
        </is>
      </c>
      <c r="Y1874" t="n">
        <v>0</v>
      </c>
      <c r="Z1874" t="inlineStr"/>
      <c r="AA1874" t="inlineStr">
        <is>
          <t>https://rules.emergingthreats.net/</t>
        </is>
      </c>
    </row>
    <row r="1875">
      <c r="A1875" t="inlineStr">
        <is>
          <t>EMERGING_THREAT_IP</t>
        </is>
      </c>
      <c r="B1875" t="inlineStr">
        <is>
          <t>98108d97a1e0</t>
        </is>
      </c>
      <c r="C1875" t="inlineStr">
        <is>
          <t>Emerging Threats Compromised IP: 115.190.14.206 | Sources: EMERGING_THREATS</t>
        </is>
      </c>
      <c r="D1875" t="n">
        <v>6.5</v>
      </c>
      <c r="E1875" t="inlineStr">
        <is>
          <t>HIGH</t>
        </is>
      </c>
      <c r="F1875" t="n">
        <v>3</v>
      </c>
      <c r="G1875" t="n">
        <v>2</v>
      </c>
      <c r="H1875" t="inlineStr">
        <is>
          <t>HIGH</t>
        </is>
      </c>
      <c r="I1875" t="n">
        <v>12.5</v>
      </c>
      <c r="J1875" t="inlineStr">
        <is>
          <t>NO</t>
        </is>
      </c>
      <c r="K1875" t="inlineStr">
        <is>
          <t>2026-02-23 23:48</t>
        </is>
      </c>
      <c r="L1875" t="inlineStr">
        <is>
          <t>Block IP</t>
        </is>
      </c>
      <c r="M1875" t="inlineStr">
        <is>
          <t>Network perimeter</t>
        </is>
      </c>
      <c r="N1875" t="inlineStr">
        <is>
          <t>P3</t>
        </is>
      </c>
      <c r="O1875" t="inlineStr">
        <is>
          <t>Check ip-api.com + AbuseIPDB for context</t>
        </is>
      </c>
      <c r="P1875" t="n">
        <v>0</v>
      </c>
      <c r="Q1875" t="n">
        <v>0</v>
      </c>
      <c r="R1875" t="inlineStr">
        <is>
          <t>T1110:Brute Force | T1190:Exploit Public-Facing Application</t>
        </is>
      </c>
      <c r="S1875" t="n">
        <v>1</v>
      </c>
      <c r="T1875" t="inlineStr">
        <is>
          <t>LOW (40%)</t>
        </is>
      </c>
      <c r="U1875" t="inlineStr">
        <is>
          <t>NONE</t>
        </is>
      </c>
      <c r="V1875" t="inlineStr">
        <is>
          <t>NONE</t>
        </is>
      </c>
      <c r="W1875" t="inlineStr">
        <is>
          <t>NONE</t>
        </is>
      </c>
      <c r="X1875" t="inlineStr">
        <is>
          <t>NONE</t>
        </is>
      </c>
      <c r="Y1875" t="n">
        <v>0</v>
      </c>
      <c r="Z1875" t="inlineStr"/>
      <c r="AA1875" t="inlineStr">
        <is>
          <t>https://rules.emergingthreats.net/</t>
        </is>
      </c>
    </row>
    <row r="1876">
      <c r="A1876" t="inlineStr">
        <is>
          <t>EMERGING_THREAT_IP</t>
        </is>
      </c>
      <c r="B1876" t="inlineStr">
        <is>
          <t>f6a22beb1877</t>
        </is>
      </c>
      <c r="C1876" t="inlineStr">
        <is>
          <t>Emerging Threats Compromised IP: 115.190.20.70 | Sources: EMERGING_THREATS</t>
        </is>
      </c>
      <c r="D1876" t="n">
        <v>6.5</v>
      </c>
      <c r="E1876" t="inlineStr">
        <is>
          <t>HIGH</t>
        </is>
      </c>
      <c r="F1876" t="n">
        <v>3</v>
      </c>
      <c r="G1876" t="n">
        <v>2</v>
      </c>
      <c r="H1876" t="inlineStr">
        <is>
          <t>HIGH</t>
        </is>
      </c>
      <c r="I1876" t="n">
        <v>12.5</v>
      </c>
      <c r="J1876" t="inlineStr">
        <is>
          <t>NO</t>
        </is>
      </c>
      <c r="K1876" t="inlineStr">
        <is>
          <t>2026-02-23 23:48</t>
        </is>
      </c>
      <c r="L1876" t="inlineStr">
        <is>
          <t>Block IP</t>
        </is>
      </c>
      <c r="M1876" t="inlineStr">
        <is>
          <t>Network perimeter</t>
        </is>
      </c>
      <c r="N1876" t="inlineStr">
        <is>
          <t>P3</t>
        </is>
      </c>
      <c r="O1876" t="inlineStr">
        <is>
          <t>Check ip-api.com + AbuseIPDB for context</t>
        </is>
      </c>
      <c r="P1876" t="n">
        <v>0</v>
      </c>
      <c r="Q1876" t="n">
        <v>0</v>
      </c>
      <c r="R1876" t="inlineStr">
        <is>
          <t>T1110:Brute Force | T1190:Exploit Public-Facing Application</t>
        </is>
      </c>
      <c r="S1876" t="n">
        <v>1</v>
      </c>
      <c r="T1876" t="inlineStr">
        <is>
          <t>LOW (40%)</t>
        </is>
      </c>
      <c r="U1876" t="inlineStr">
        <is>
          <t>NONE</t>
        </is>
      </c>
      <c r="V1876" t="inlineStr">
        <is>
          <t>NONE</t>
        </is>
      </c>
      <c r="W1876" t="inlineStr">
        <is>
          <t>NONE</t>
        </is>
      </c>
      <c r="X1876" t="inlineStr">
        <is>
          <t>NONE</t>
        </is>
      </c>
      <c r="Y1876" t="n">
        <v>0</v>
      </c>
      <c r="Z1876" t="inlineStr"/>
      <c r="AA1876" t="inlineStr">
        <is>
          <t>https://rules.emergingthreats.net/</t>
        </is>
      </c>
    </row>
    <row r="1877">
      <c r="A1877" t="inlineStr">
        <is>
          <t>EMERGING_THREAT_IP</t>
        </is>
      </c>
      <c r="B1877" t="inlineStr">
        <is>
          <t>601857c09b38</t>
        </is>
      </c>
      <c r="C1877" t="inlineStr">
        <is>
          <t>Emerging Threats Compromised IP: 115.190.87.147 | Sources: EMERGING_THREATS</t>
        </is>
      </c>
      <c r="D1877" t="n">
        <v>6.5</v>
      </c>
      <c r="E1877" t="inlineStr">
        <is>
          <t>HIGH</t>
        </is>
      </c>
      <c r="F1877" t="n">
        <v>3</v>
      </c>
      <c r="G1877" t="n">
        <v>2</v>
      </c>
      <c r="H1877" t="inlineStr">
        <is>
          <t>HIGH</t>
        </is>
      </c>
      <c r="I1877" t="n">
        <v>12.5</v>
      </c>
      <c r="J1877" t="inlineStr">
        <is>
          <t>NO</t>
        </is>
      </c>
      <c r="K1877" t="inlineStr">
        <is>
          <t>2026-02-23 23:48</t>
        </is>
      </c>
      <c r="L1877" t="inlineStr">
        <is>
          <t>Block IP</t>
        </is>
      </c>
      <c r="M1877" t="inlineStr">
        <is>
          <t>Network perimeter</t>
        </is>
      </c>
      <c r="N1877" t="inlineStr">
        <is>
          <t>P3</t>
        </is>
      </c>
      <c r="O1877" t="inlineStr">
        <is>
          <t>Check ip-api.com + AbuseIPDB for context</t>
        </is>
      </c>
      <c r="P1877" t="n">
        <v>0</v>
      </c>
      <c r="Q1877" t="n">
        <v>0</v>
      </c>
      <c r="R1877" t="inlineStr">
        <is>
          <t>T1110:Brute Force | T1190:Exploit Public-Facing Application</t>
        </is>
      </c>
      <c r="S1877" t="n">
        <v>1</v>
      </c>
      <c r="T1877" t="inlineStr">
        <is>
          <t>LOW (40%)</t>
        </is>
      </c>
      <c r="U1877" t="inlineStr">
        <is>
          <t>NONE</t>
        </is>
      </c>
      <c r="V1877" t="inlineStr">
        <is>
          <t>NONE</t>
        </is>
      </c>
      <c r="W1877" t="inlineStr">
        <is>
          <t>NONE</t>
        </is>
      </c>
      <c r="X1877" t="inlineStr">
        <is>
          <t>NONE</t>
        </is>
      </c>
      <c r="Y1877" t="n">
        <v>0</v>
      </c>
      <c r="Z1877" t="inlineStr"/>
      <c r="AA1877" t="inlineStr">
        <is>
          <t>https://rules.emergingthreats.net/</t>
        </is>
      </c>
    </row>
    <row r="1878">
      <c r="A1878" t="inlineStr">
        <is>
          <t>EMERGING_THREAT_IP</t>
        </is>
      </c>
      <c r="B1878" t="inlineStr">
        <is>
          <t>a39bf180eb6c</t>
        </is>
      </c>
      <c r="C1878" t="inlineStr">
        <is>
          <t>Emerging Threats Compromised IP: 115.245.162.218 | Sources: EMERGING_THREATS</t>
        </is>
      </c>
      <c r="D1878" t="n">
        <v>6.5</v>
      </c>
      <c r="E1878" t="inlineStr">
        <is>
          <t>HIGH</t>
        </is>
      </c>
      <c r="F1878" t="n">
        <v>3</v>
      </c>
      <c r="G1878" t="n">
        <v>2</v>
      </c>
      <c r="H1878" t="inlineStr">
        <is>
          <t>HIGH</t>
        </is>
      </c>
      <c r="I1878" t="n">
        <v>12.5</v>
      </c>
      <c r="J1878" t="inlineStr">
        <is>
          <t>NO</t>
        </is>
      </c>
      <c r="K1878" t="inlineStr">
        <is>
          <t>2026-02-23 23:48</t>
        </is>
      </c>
      <c r="L1878" t="inlineStr">
        <is>
          <t>Block IP</t>
        </is>
      </c>
      <c r="M1878" t="inlineStr">
        <is>
          <t>Network perimeter</t>
        </is>
      </c>
      <c r="N1878" t="inlineStr">
        <is>
          <t>P3</t>
        </is>
      </c>
      <c r="O1878" t="inlineStr">
        <is>
          <t>Check ip-api.com + AbuseIPDB for context</t>
        </is>
      </c>
      <c r="P1878" t="n">
        <v>0</v>
      </c>
      <c r="Q1878" t="n">
        <v>0</v>
      </c>
      <c r="R1878" t="inlineStr">
        <is>
          <t>T1110:Brute Force | T1190:Exploit Public-Facing Application</t>
        </is>
      </c>
      <c r="S1878" t="n">
        <v>1</v>
      </c>
      <c r="T1878" t="inlineStr">
        <is>
          <t>LOW (40%)</t>
        </is>
      </c>
      <c r="U1878" t="inlineStr">
        <is>
          <t>NONE</t>
        </is>
      </c>
      <c r="V1878" t="inlineStr">
        <is>
          <t>NONE</t>
        </is>
      </c>
      <c r="W1878" t="inlineStr">
        <is>
          <t>NONE</t>
        </is>
      </c>
      <c r="X1878" t="inlineStr">
        <is>
          <t>NONE</t>
        </is>
      </c>
      <c r="Y1878" t="n">
        <v>0</v>
      </c>
      <c r="Z1878" t="inlineStr"/>
      <c r="AA1878" t="inlineStr">
        <is>
          <t>https://rules.emergingthreats.net/</t>
        </is>
      </c>
    </row>
    <row r="1879">
      <c r="A1879" t="inlineStr">
        <is>
          <t>EMERGING_THREAT_IP</t>
        </is>
      </c>
      <c r="B1879" t="inlineStr">
        <is>
          <t>689af0729f7f</t>
        </is>
      </c>
      <c r="C1879" t="inlineStr">
        <is>
          <t>Emerging Threats Compromised IP: 116.110.146.223 | Sources: EMERGING_THREATS</t>
        </is>
      </c>
      <c r="D1879" t="n">
        <v>6.5</v>
      </c>
      <c r="E1879" t="inlineStr">
        <is>
          <t>HIGH</t>
        </is>
      </c>
      <c r="F1879" t="n">
        <v>3</v>
      </c>
      <c r="G1879" t="n">
        <v>2</v>
      </c>
      <c r="H1879" t="inlineStr">
        <is>
          <t>HIGH</t>
        </is>
      </c>
      <c r="I1879" t="n">
        <v>12.5</v>
      </c>
      <c r="J1879" t="inlineStr">
        <is>
          <t>NO</t>
        </is>
      </c>
      <c r="K1879" t="inlineStr">
        <is>
          <t>2026-02-23 23:48</t>
        </is>
      </c>
      <c r="L1879" t="inlineStr">
        <is>
          <t>Block IP</t>
        </is>
      </c>
      <c r="M1879" t="inlineStr">
        <is>
          <t>Network perimeter</t>
        </is>
      </c>
      <c r="N1879" t="inlineStr">
        <is>
          <t>P3</t>
        </is>
      </c>
      <c r="O1879" t="inlineStr">
        <is>
          <t>Check ip-api.com + AbuseIPDB for context</t>
        </is>
      </c>
      <c r="P1879" t="n">
        <v>0</v>
      </c>
      <c r="Q1879" t="n">
        <v>0</v>
      </c>
      <c r="R1879" t="inlineStr">
        <is>
          <t>T1110:Brute Force | T1190:Exploit Public-Facing Application</t>
        </is>
      </c>
      <c r="S1879" t="n">
        <v>1</v>
      </c>
      <c r="T1879" t="inlineStr">
        <is>
          <t>LOW (40%)</t>
        </is>
      </c>
      <c r="U1879" t="inlineStr">
        <is>
          <t>NONE</t>
        </is>
      </c>
      <c r="V1879" t="inlineStr">
        <is>
          <t>NONE</t>
        </is>
      </c>
      <c r="W1879" t="inlineStr">
        <is>
          <t>NONE</t>
        </is>
      </c>
      <c r="X1879" t="inlineStr">
        <is>
          <t>NONE</t>
        </is>
      </c>
      <c r="Y1879" t="n">
        <v>0</v>
      </c>
      <c r="Z1879" t="inlineStr"/>
      <c r="AA1879" t="inlineStr">
        <is>
          <t>https://rules.emergingthreats.net/</t>
        </is>
      </c>
    </row>
    <row r="1880">
      <c r="A1880" t="inlineStr">
        <is>
          <t>EMERGING_THREAT_IP</t>
        </is>
      </c>
      <c r="B1880" t="inlineStr">
        <is>
          <t>b2f16ddb6fcd</t>
        </is>
      </c>
      <c r="C1880" t="inlineStr">
        <is>
          <t>Emerging Threats Compromised IP: 116.110.155.60 | Sources: EMERGING_THREATS</t>
        </is>
      </c>
      <c r="D1880" t="n">
        <v>6.5</v>
      </c>
      <c r="E1880" t="inlineStr">
        <is>
          <t>HIGH</t>
        </is>
      </c>
      <c r="F1880" t="n">
        <v>3</v>
      </c>
      <c r="G1880" t="n">
        <v>2</v>
      </c>
      <c r="H1880" t="inlineStr">
        <is>
          <t>HIGH</t>
        </is>
      </c>
      <c r="I1880" t="n">
        <v>12.5</v>
      </c>
      <c r="J1880" t="inlineStr">
        <is>
          <t>NO</t>
        </is>
      </c>
      <c r="K1880" t="inlineStr">
        <is>
          <t>2026-02-23 23:48</t>
        </is>
      </c>
      <c r="L1880" t="inlineStr">
        <is>
          <t>Block IP</t>
        </is>
      </c>
      <c r="M1880" t="inlineStr">
        <is>
          <t>Network perimeter</t>
        </is>
      </c>
      <c r="N1880" t="inlineStr">
        <is>
          <t>P3</t>
        </is>
      </c>
      <c r="O1880" t="inlineStr">
        <is>
          <t>Check ip-api.com + AbuseIPDB for context</t>
        </is>
      </c>
      <c r="P1880" t="n">
        <v>0</v>
      </c>
      <c r="Q1880" t="n">
        <v>0</v>
      </c>
      <c r="R1880" t="inlineStr">
        <is>
          <t>T1110:Brute Force | T1190:Exploit Public-Facing Application</t>
        </is>
      </c>
      <c r="S1880" t="n">
        <v>1</v>
      </c>
      <c r="T1880" t="inlineStr">
        <is>
          <t>LOW (40%)</t>
        </is>
      </c>
      <c r="U1880" t="inlineStr">
        <is>
          <t>NONE</t>
        </is>
      </c>
      <c r="V1880" t="inlineStr">
        <is>
          <t>NONE</t>
        </is>
      </c>
      <c r="W1880" t="inlineStr">
        <is>
          <t>NONE</t>
        </is>
      </c>
      <c r="X1880" t="inlineStr">
        <is>
          <t>NONE</t>
        </is>
      </c>
      <c r="Y1880" t="n">
        <v>0</v>
      </c>
      <c r="Z1880" t="inlineStr"/>
      <c r="AA1880" t="inlineStr">
        <is>
          <t>https://rules.emergingthreats.net/</t>
        </is>
      </c>
    </row>
    <row r="1881">
      <c r="A1881" t="inlineStr">
        <is>
          <t>EMERGING_THREAT_IP</t>
        </is>
      </c>
      <c r="B1881" t="inlineStr">
        <is>
          <t>bec8adde7d1f</t>
        </is>
      </c>
      <c r="C1881" t="inlineStr">
        <is>
          <t>Emerging Threats Compromised IP: 116.110.208.252 | Sources: EMERGING_THREATS</t>
        </is>
      </c>
      <c r="D1881" t="n">
        <v>6.5</v>
      </c>
      <c r="E1881" t="inlineStr">
        <is>
          <t>HIGH</t>
        </is>
      </c>
      <c r="F1881" t="n">
        <v>3</v>
      </c>
      <c r="G1881" t="n">
        <v>2</v>
      </c>
      <c r="H1881" t="inlineStr">
        <is>
          <t>HIGH</t>
        </is>
      </c>
      <c r="I1881" t="n">
        <v>12.5</v>
      </c>
      <c r="J1881" t="inlineStr">
        <is>
          <t>NO</t>
        </is>
      </c>
      <c r="K1881" t="inlineStr">
        <is>
          <t>2026-02-23 23:48</t>
        </is>
      </c>
      <c r="L1881" t="inlineStr">
        <is>
          <t>Block IP</t>
        </is>
      </c>
      <c r="M1881" t="inlineStr">
        <is>
          <t>Network perimeter</t>
        </is>
      </c>
      <c r="N1881" t="inlineStr">
        <is>
          <t>P3</t>
        </is>
      </c>
      <c r="O1881" t="inlineStr">
        <is>
          <t>Check ip-api.com + AbuseIPDB for context</t>
        </is>
      </c>
      <c r="P1881" t="n">
        <v>0</v>
      </c>
      <c r="Q1881" t="n">
        <v>0</v>
      </c>
      <c r="R1881" t="inlineStr">
        <is>
          <t>T1110:Brute Force | T1190:Exploit Public-Facing Application</t>
        </is>
      </c>
      <c r="S1881" t="n">
        <v>1</v>
      </c>
      <c r="T1881" t="inlineStr">
        <is>
          <t>LOW (40%)</t>
        </is>
      </c>
      <c r="U1881" t="inlineStr">
        <is>
          <t>NONE</t>
        </is>
      </c>
      <c r="V1881" t="inlineStr">
        <is>
          <t>NONE</t>
        </is>
      </c>
      <c r="W1881" t="inlineStr">
        <is>
          <t>NONE</t>
        </is>
      </c>
      <c r="X1881" t="inlineStr">
        <is>
          <t>NONE</t>
        </is>
      </c>
      <c r="Y1881" t="n">
        <v>0</v>
      </c>
      <c r="Z1881" t="inlineStr"/>
      <c r="AA1881" t="inlineStr">
        <is>
          <t>https://rules.emergingthreats.net/</t>
        </is>
      </c>
    </row>
    <row r="1882">
      <c r="A1882" t="inlineStr">
        <is>
          <t>EMERGING_THREAT_IP</t>
        </is>
      </c>
      <c r="B1882" t="inlineStr">
        <is>
          <t>e6d676090bbd</t>
        </is>
      </c>
      <c r="C1882" t="inlineStr">
        <is>
          <t>Emerging Threats Compromised IP: 116.110.212.22 | Sources: EMERGING_THREATS</t>
        </is>
      </c>
      <c r="D1882" t="n">
        <v>6.5</v>
      </c>
      <c r="E1882" t="inlineStr">
        <is>
          <t>HIGH</t>
        </is>
      </c>
      <c r="F1882" t="n">
        <v>3</v>
      </c>
      <c r="G1882" t="n">
        <v>2</v>
      </c>
      <c r="H1882" t="inlineStr">
        <is>
          <t>HIGH</t>
        </is>
      </c>
      <c r="I1882" t="n">
        <v>12.5</v>
      </c>
      <c r="J1882" t="inlineStr">
        <is>
          <t>NO</t>
        </is>
      </c>
      <c r="K1882" t="inlineStr">
        <is>
          <t>2026-02-23 23:48</t>
        </is>
      </c>
      <c r="L1882" t="inlineStr">
        <is>
          <t>Block IP</t>
        </is>
      </c>
      <c r="M1882" t="inlineStr">
        <is>
          <t>Network perimeter</t>
        </is>
      </c>
      <c r="N1882" t="inlineStr">
        <is>
          <t>P3</t>
        </is>
      </c>
      <c r="O1882" t="inlineStr">
        <is>
          <t>Check ip-api.com + AbuseIPDB for context</t>
        </is>
      </c>
      <c r="P1882" t="n">
        <v>0</v>
      </c>
      <c r="Q1882" t="n">
        <v>0</v>
      </c>
      <c r="R1882" t="inlineStr">
        <is>
          <t>T1110:Brute Force | T1190:Exploit Public-Facing Application</t>
        </is>
      </c>
      <c r="S1882" t="n">
        <v>1</v>
      </c>
      <c r="T1882" t="inlineStr">
        <is>
          <t>LOW (40%)</t>
        </is>
      </c>
      <c r="U1882" t="inlineStr">
        <is>
          <t>NONE</t>
        </is>
      </c>
      <c r="V1882" t="inlineStr">
        <is>
          <t>NONE</t>
        </is>
      </c>
      <c r="W1882" t="inlineStr">
        <is>
          <t>NONE</t>
        </is>
      </c>
      <c r="X1882" t="inlineStr">
        <is>
          <t>NONE</t>
        </is>
      </c>
      <c r="Y1882" t="n">
        <v>0</v>
      </c>
      <c r="Z1882" t="inlineStr"/>
      <c r="AA1882" t="inlineStr">
        <is>
          <t>https://rules.emergingthreats.net/</t>
        </is>
      </c>
    </row>
    <row r="1883">
      <c r="A1883" t="inlineStr">
        <is>
          <t>EMERGING_THREAT_IP</t>
        </is>
      </c>
      <c r="B1883" t="inlineStr">
        <is>
          <t>fe1a3a1be248</t>
        </is>
      </c>
      <c r="C1883" t="inlineStr">
        <is>
          <t>Emerging Threats Compromised IP: 116.110.213.68 | Sources: EMERGING_THREATS</t>
        </is>
      </c>
      <c r="D1883" t="n">
        <v>6.5</v>
      </c>
      <c r="E1883" t="inlineStr">
        <is>
          <t>HIGH</t>
        </is>
      </c>
      <c r="F1883" t="n">
        <v>3</v>
      </c>
      <c r="G1883" t="n">
        <v>2</v>
      </c>
      <c r="H1883" t="inlineStr">
        <is>
          <t>HIGH</t>
        </is>
      </c>
      <c r="I1883" t="n">
        <v>12.5</v>
      </c>
      <c r="J1883" t="inlineStr">
        <is>
          <t>NO</t>
        </is>
      </c>
      <c r="K1883" t="inlineStr">
        <is>
          <t>2026-02-23 23:48</t>
        </is>
      </c>
      <c r="L1883" t="inlineStr">
        <is>
          <t>Block IP</t>
        </is>
      </c>
      <c r="M1883" t="inlineStr">
        <is>
          <t>Network perimeter</t>
        </is>
      </c>
      <c r="N1883" t="inlineStr">
        <is>
          <t>P3</t>
        </is>
      </c>
      <c r="O1883" t="inlineStr">
        <is>
          <t>Check ip-api.com + AbuseIPDB for context</t>
        </is>
      </c>
      <c r="P1883" t="n">
        <v>0</v>
      </c>
      <c r="Q1883" t="n">
        <v>0</v>
      </c>
      <c r="R1883" t="inlineStr">
        <is>
          <t>T1110:Brute Force | T1190:Exploit Public-Facing Application</t>
        </is>
      </c>
      <c r="S1883" t="n">
        <v>1</v>
      </c>
      <c r="T1883" t="inlineStr">
        <is>
          <t>LOW (40%)</t>
        </is>
      </c>
      <c r="U1883" t="inlineStr">
        <is>
          <t>NONE</t>
        </is>
      </c>
      <c r="V1883" t="inlineStr">
        <is>
          <t>NONE</t>
        </is>
      </c>
      <c r="W1883" t="inlineStr">
        <is>
          <t>NONE</t>
        </is>
      </c>
      <c r="X1883" t="inlineStr">
        <is>
          <t>NONE</t>
        </is>
      </c>
      <c r="Y1883" t="n">
        <v>0</v>
      </c>
      <c r="Z1883" t="inlineStr"/>
      <c r="AA1883" t="inlineStr">
        <is>
          <t>https://rules.emergingthreats.net/</t>
        </is>
      </c>
    </row>
    <row r="1884">
      <c r="A1884" t="inlineStr">
        <is>
          <t>EMERGING_THREAT_IP</t>
        </is>
      </c>
      <c r="B1884" t="inlineStr">
        <is>
          <t>c3a5ec83daeb</t>
        </is>
      </c>
      <c r="C1884" t="inlineStr">
        <is>
          <t>Emerging Threats Compromised IP: 116.110.213.79 | Sources: EMERGING_THREATS</t>
        </is>
      </c>
      <c r="D1884" t="n">
        <v>6.5</v>
      </c>
      <c r="E1884" t="inlineStr">
        <is>
          <t>HIGH</t>
        </is>
      </c>
      <c r="F1884" t="n">
        <v>3</v>
      </c>
      <c r="G1884" t="n">
        <v>2</v>
      </c>
      <c r="H1884" t="inlineStr">
        <is>
          <t>HIGH</t>
        </is>
      </c>
      <c r="I1884" t="n">
        <v>12.5</v>
      </c>
      <c r="J1884" t="inlineStr">
        <is>
          <t>NO</t>
        </is>
      </c>
      <c r="K1884" t="inlineStr">
        <is>
          <t>2026-02-23 23:48</t>
        </is>
      </c>
      <c r="L1884" t="inlineStr">
        <is>
          <t>Block IP</t>
        </is>
      </c>
      <c r="M1884" t="inlineStr">
        <is>
          <t>Network perimeter</t>
        </is>
      </c>
      <c r="N1884" t="inlineStr">
        <is>
          <t>P3</t>
        </is>
      </c>
      <c r="O1884" t="inlineStr">
        <is>
          <t>Check ip-api.com + AbuseIPDB for context</t>
        </is>
      </c>
      <c r="P1884" t="n">
        <v>0</v>
      </c>
      <c r="Q1884" t="n">
        <v>0</v>
      </c>
      <c r="R1884" t="inlineStr">
        <is>
          <t>T1110:Brute Force | T1190:Exploit Public-Facing Application</t>
        </is>
      </c>
      <c r="S1884" t="n">
        <v>1</v>
      </c>
      <c r="T1884" t="inlineStr">
        <is>
          <t>LOW (40%)</t>
        </is>
      </c>
      <c r="U1884" t="inlineStr">
        <is>
          <t>NONE</t>
        </is>
      </c>
      <c r="V1884" t="inlineStr">
        <is>
          <t>NONE</t>
        </is>
      </c>
      <c r="W1884" t="inlineStr">
        <is>
          <t>NONE</t>
        </is>
      </c>
      <c r="X1884" t="inlineStr">
        <is>
          <t>NONE</t>
        </is>
      </c>
      <c r="Y1884" t="n">
        <v>0</v>
      </c>
      <c r="Z1884" t="inlineStr"/>
      <c r="AA1884" t="inlineStr">
        <is>
          <t>https://rules.emergingthreats.net/</t>
        </is>
      </c>
    </row>
    <row r="1885">
      <c r="A1885" t="inlineStr">
        <is>
          <t>EMERGING_THREAT_IP</t>
        </is>
      </c>
      <c r="B1885" t="inlineStr">
        <is>
          <t>b8c1dec11568</t>
        </is>
      </c>
      <c r="C1885" t="inlineStr">
        <is>
          <t>Emerging Threats Compromised IP: 116.110.215.164 | Sources: EMERGING_THREATS</t>
        </is>
      </c>
      <c r="D1885" t="n">
        <v>6.5</v>
      </c>
      <c r="E1885" t="inlineStr">
        <is>
          <t>HIGH</t>
        </is>
      </c>
      <c r="F1885" t="n">
        <v>3</v>
      </c>
      <c r="G1885" t="n">
        <v>2</v>
      </c>
      <c r="H1885" t="inlineStr">
        <is>
          <t>HIGH</t>
        </is>
      </c>
      <c r="I1885" t="n">
        <v>12.5</v>
      </c>
      <c r="J1885" t="inlineStr">
        <is>
          <t>NO</t>
        </is>
      </c>
      <c r="K1885" t="inlineStr">
        <is>
          <t>2026-02-23 23:48</t>
        </is>
      </c>
      <c r="L1885" t="inlineStr">
        <is>
          <t>Block IP</t>
        </is>
      </c>
      <c r="M1885" t="inlineStr">
        <is>
          <t>Network perimeter</t>
        </is>
      </c>
      <c r="N1885" t="inlineStr">
        <is>
          <t>P3</t>
        </is>
      </c>
      <c r="O1885" t="inlineStr">
        <is>
          <t>Check ip-api.com + AbuseIPDB for context</t>
        </is>
      </c>
      <c r="P1885" t="n">
        <v>0</v>
      </c>
      <c r="Q1885" t="n">
        <v>0</v>
      </c>
      <c r="R1885" t="inlineStr">
        <is>
          <t>T1110:Brute Force | T1190:Exploit Public-Facing Application</t>
        </is>
      </c>
      <c r="S1885" t="n">
        <v>1</v>
      </c>
      <c r="T1885" t="inlineStr">
        <is>
          <t>LOW (40%)</t>
        </is>
      </c>
      <c r="U1885" t="inlineStr">
        <is>
          <t>NONE</t>
        </is>
      </c>
      <c r="V1885" t="inlineStr">
        <is>
          <t>NONE</t>
        </is>
      </c>
      <c r="W1885" t="inlineStr">
        <is>
          <t>NONE</t>
        </is>
      </c>
      <c r="X1885" t="inlineStr">
        <is>
          <t>NONE</t>
        </is>
      </c>
      <c r="Y1885" t="n">
        <v>0</v>
      </c>
      <c r="Z1885" t="inlineStr"/>
      <c r="AA1885" t="inlineStr">
        <is>
          <t>https://rules.emergingthreats.net/</t>
        </is>
      </c>
    </row>
    <row r="1886">
      <c r="A1886" t="inlineStr">
        <is>
          <t>EMERGING_THREAT_IP</t>
        </is>
      </c>
      <c r="B1886" t="inlineStr">
        <is>
          <t>4de62d0adb5b</t>
        </is>
      </c>
      <c r="C1886" t="inlineStr">
        <is>
          <t>Emerging Threats Compromised IP: 116.110.216.172 | Sources: EMERGING_THREATS</t>
        </is>
      </c>
      <c r="D1886" t="n">
        <v>6.5</v>
      </c>
      <c r="E1886" t="inlineStr">
        <is>
          <t>HIGH</t>
        </is>
      </c>
      <c r="F1886" t="n">
        <v>3</v>
      </c>
      <c r="G1886" t="n">
        <v>2</v>
      </c>
      <c r="H1886" t="inlineStr">
        <is>
          <t>HIGH</t>
        </is>
      </c>
      <c r="I1886" t="n">
        <v>12.5</v>
      </c>
      <c r="J1886" t="inlineStr">
        <is>
          <t>NO</t>
        </is>
      </c>
      <c r="K1886" t="inlineStr">
        <is>
          <t>2026-02-23 23:48</t>
        </is>
      </c>
      <c r="L1886" t="inlineStr">
        <is>
          <t>Block IP</t>
        </is>
      </c>
      <c r="M1886" t="inlineStr">
        <is>
          <t>Network perimeter</t>
        </is>
      </c>
      <c r="N1886" t="inlineStr">
        <is>
          <t>P3</t>
        </is>
      </c>
      <c r="O1886" t="inlineStr">
        <is>
          <t>Check ip-api.com + AbuseIPDB for context</t>
        </is>
      </c>
      <c r="P1886" t="n">
        <v>0</v>
      </c>
      <c r="Q1886" t="n">
        <v>0</v>
      </c>
      <c r="R1886" t="inlineStr">
        <is>
          <t>T1110:Brute Force | T1190:Exploit Public-Facing Application</t>
        </is>
      </c>
      <c r="S1886" t="n">
        <v>1</v>
      </c>
      <c r="T1886" t="inlineStr">
        <is>
          <t>LOW (40%)</t>
        </is>
      </c>
      <c r="U1886" t="inlineStr">
        <is>
          <t>NONE</t>
        </is>
      </c>
      <c r="V1886" t="inlineStr">
        <is>
          <t>NONE</t>
        </is>
      </c>
      <c r="W1886" t="inlineStr">
        <is>
          <t>NONE</t>
        </is>
      </c>
      <c r="X1886" t="inlineStr">
        <is>
          <t>NONE</t>
        </is>
      </c>
      <c r="Y1886" t="n">
        <v>0</v>
      </c>
      <c r="Z1886" t="inlineStr"/>
      <c r="AA1886" t="inlineStr">
        <is>
          <t>https://rules.emergingthreats.net/</t>
        </is>
      </c>
    </row>
    <row r="1887">
      <c r="A1887" t="inlineStr">
        <is>
          <t>EMERGING_THREAT_IP</t>
        </is>
      </c>
      <c r="B1887" t="inlineStr">
        <is>
          <t>741f130ffd54</t>
        </is>
      </c>
      <c r="C1887" t="inlineStr">
        <is>
          <t>Emerging Threats Compromised IP: 116.110.216.90 | Sources: EMERGING_THREATS</t>
        </is>
      </c>
      <c r="D1887" t="n">
        <v>6.5</v>
      </c>
      <c r="E1887" t="inlineStr">
        <is>
          <t>HIGH</t>
        </is>
      </c>
      <c r="F1887" t="n">
        <v>3</v>
      </c>
      <c r="G1887" t="n">
        <v>2</v>
      </c>
      <c r="H1887" t="inlineStr">
        <is>
          <t>HIGH</t>
        </is>
      </c>
      <c r="I1887" t="n">
        <v>12.5</v>
      </c>
      <c r="J1887" t="inlineStr">
        <is>
          <t>NO</t>
        </is>
      </c>
      <c r="K1887" t="inlineStr">
        <is>
          <t>2026-02-23 23:48</t>
        </is>
      </c>
      <c r="L1887" t="inlineStr">
        <is>
          <t>Block IP</t>
        </is>
      </c>
      <c r="M1887" t="inlineStr">
        <is>
          <t>Network perimeter</t>
        </is>
      </c>
      <c r="N1887" t="inlineStr">
        <is>
          <t>P3</t>
        </is>
      </c>
      <c r="O1887" t="inlineStr">
        <is>
          <t>Check ip-api.com + AbuseIPDB for context</t>
        </is>
      </c>
      <c r="P1887" t="n">
        <v>0</v>
      </c>
      <c r="Q1887" t="n">
        <v>0</v>
      </c>
      <c r="R1887" t="inlineStr">
        <is>
          <t>T1110:Brute Force | T1190:Exploit Public-Facing Application</t>
        </is>
      </c>
      <c r="S1887" t="n">
        <v>1</v>
      </c>
      <c r="T1887" t="inlineStr">
        <is>
          <t>LOW (40%)</t>
        </is>
      </c>
      <c r="U1887" t="inlineStr">
        <is>
          <t>NONE</t>
        </is>
      </c>
      <c r="V1887" t="inlineStr">
        <is>
          <t>NONE</t>
        </is>
      </c>
      <c r="W1887" t="inlineStr">
        <is>
          <t>NONE</t>
        </is>
      </c>
      <c r="X1887" t="inlineStr">
        <is>
          <t>NONE</t>
        </is>
      </c>
      <c r="Y1887" t="n">
        <v>0</v>
      </c>
      <c r="Z1887" t="inlineStr"/>
      <c r="AA1887" t="inlineStr">
        <is>
          <t>https://rules.emergingthreats.net/</t>
        </is>
      </c>
    </row>
    <row r="1888">
      <c r="A1888" t="inlineStr">
        <is>
          <t>EMERGING_THREAT_IP</t>
        </is>
      </c>
      <c r="B1888" t="inlineStr">
        <is>
          <t>2c3b3e3a4769</t>
        </is>
      </c>
      <c r="C1888" t="inlineStr">
        <is>
          <t>Emerging Threats Compromised IP: 116.110.219.242 | Sources: EMERGING_THREATS</t>
        </is>
      </c>
      <c r="D1888" t="n">
        <v>6.5</v>
      </c>
      <c r="E1888" t="inlineStr">
        <is>
          <t>HIGH</t>
        </is>
      </c>
      <c r="F1888" t="n">
        <v>3</v>
      </c>
      <c r="G1888" t="n">
        <v>2</v>
      </c>
      <c r="H1888" t="inlineStr">
        <is>
          <t>HIGH</t>
        </is>
      </c>
      <c r="I1888" t="n">
        <v>12.5</v>
      </c>
      <c r="J1888" t="inlineStr">
        <is>
          <t>NO</t>
        </is>
      </c>
      <c r="K1888" t="inlineStr">
        <is>
          <t>2026-02-23 23:48</t>
        </is>
      </c>
      <c r="L1888" t="inlineStr">
        <is>
          <t>Block IP</t>
        </is>
      </c>
      <c r="M1888" t="inlineStr">
        <is>
          <t>Network perimeter</t>
        </is>
      </c>
      <c r="N1888" t="inlineStr">
        <is>
          <t>P3</t>
        </is>
      </c>
      <c r="O1888" t="inlineStr">
        <is>
          <t>Check ip-api.com + AbuseIPDB for context</t>
        </is>
      </c>
      <c r="P1888" t="n">
        <v>0</v>
      </c>
      <c r="Q1888" t="n">
        <v>0</v>
      </c>
      <c r="R1888" t="inlineStr">
        <is>
          <t>T1110:Brute Force | T1190:Exploit Public-Facing Application</t>
        </is>
      </c>
      <c r="S1888" t="n">
        <v>1</v>
      </c>
      <c r="T1888" t="inlineStr">
        <is>
          <t>LOW (40%)</t>
        </is>
      </c>
      <c r="U1888" t="inlineStr">
        <is>
          <t>NONE</t>
        </is>
      </c>
      <c r="V1888" t="inlineStr">
        <is>
          <t>NONE</t>
        </is>
      </c>
      <c r="W1888" t="inlineStr">
        <is>
          <t>NONE</t>
        </is>
      </c>
      <c r="X1888" t="inlineStr">
        <is>
          <t>NONE</t>
        </is>
      </c>
      <c r="Y1888" t="n">
        <v>0</v>
      </c>
      <c r="Z1888" t="inlineStr"/>
      <c r="AA1888" t="inlineStr">
        <is>
          <t>https://rules.emergingthreats.net/</t>
        </is>
      </c>
    </row>
    <row r="1889">
      <c r="A1889" t="inlineStr">
        <is>
          <t>EMERGING_THREAT_IP</t>
        </is>
      </c>
      <c r="B1889" t="inlineStr">
        <is>
          <t>b9f47db259aa</t>
        </is>
      </c>
      <c r="C1889" t="inlineStr">
        <is>
          <t>Emerging Threats Compromised IP: 116.110.223.148 | Sources: EMERGING_THREATS</t>
        </is>
      </c>
      <c r="D1889" t="n">
        <v>6.5</v>
      </c>
      <c r="E1889" t="inlineStr">
        <is>
          <t>HIGH</t>
        </is>
      </c>
      <c r="F1889" t="n">
        <v>3</v>
      </c>
      <c r="G1889" t="n">
        <v>2</v>
      </c>
      <c r="H1889" t="inlineStr">
        <is>
          <t>HIGH</t>
        </is>
      </c>
      <c r="I1889" t="n">
        <v>12.5</v>
      </c>
      <c r="J1889" t="inlineStr">
        <is>
          <t>NO</t>
        </is>
      </c>
      <c r="K1889" t="inlineStr">
        <is>
          <t>2026-02-23 23:48</t>
        </is>
      </c>
      <c r="L1889" t="inlineStr">
        <is>
          <t>Block IP</t>
        </is>
      </c>
      <c r="M1889" t="inlineStr">
        <is>
          <t>Network perimeter</t>
        </is>
      </c>
      <c r="N1889" t="inlineStr">
        <is>
          <t>P3</t>
        </is>
      </c>
      <c r="O1889" t="inlineStr">
        <is>
          <t>Check ip-api.com + AbuseIPDB for context</t>
        </is>
      </c>
      <c r="P1889" t="n">
        <v>0</v>
      </c>
      <c r="Q1889" t="n">
        <v>0</v>
      </c>
      <c r="R1889" t="inlineStr">
        <is>
          <t>T1110:Brute Force | T1190:Exploit Public-Facing Application</t>
        </is>
      </c>
      <c r="S1889" t="n">
        <v>1</v>
      </c>
      <c r="T1889" t="inlineStr">
        <is>
          <t>LOW (40%)</t>
        </is>
      </c>
      <c r="U1889" t="inlineStr">
        <is>
          <t>NONE</t>
        </is>
      </c>
      <c r="V1889" t="inlineStr">
        <is>
          <t>NONE</t>
        </is>
      </c>
      <c r="W1889" t="inlineStr">
        <is>
          <t>NONE</t>
        </is>
      </c>
      <c r="X1889" t="inlineStr">
        <is>
          <t>NONE</t>
        </is>
      </c>
      <c r="Y1889" t="n">
        <v>0</v>
      </c>
      <c r="Z1889" t="inlineStr"/>
      <c r="AA1889" t="inlineStr">
        <is>
          <t>https://rules.emergingthreats.net/</t>
        </is>
      </c>
    </row>
    <row r="1890">
      <c r="A1890" t="inlineStr">
        <is>
          <t>EMERGING_THREAT_IP</t>
        </is>
      </c>
      <c r="B1890" t="inlineStr">
        <is>
          <t>71db8c4ea4f5</t>
        </is>
      </c>
      <c r="C1890" t="inlineStr">
        <is>
          <t>Emerging Threats Compromised IP: 116.110.7.17 | Sources: EMERGING_THREATS</t>
        </is>
      </c>
      <c r="D1890" t="n">
        <v>6.5</v>
      </c>
      <c r="E1890" t="inlineStr">
        <is>
          <t>HIGH</t>
        </is>
      </c>
      <c r="F1890" t="n">
        <v>3</v>
      </c>
      <c r="G1890" t="n">
        <v>2</v>
      </c>
      <c r="H1890" t="inlineStr">
        <is>
          <t>HIGH</t>
        </is>
      </c>
      <c r="I1890" t="n">
        <v>12.5</v>
      </c>
      <c r="J1890" t="inlineStr">
        <is>
          <t>NO</t>
        </is>
      </c>
      <c r="K1890" t="inlineStr">
        <is>
          <t>2026-02-23 23:48</t>
        </is>
      </c>
      <c r="L1890" t="inlineStr">
        <is>
          <t>Block IP</t>
        </is>
      </c>
      <c r="M1890" t="inlineStr">
        <is>
          <t>Network perimeter</t>
        </is>
      </c>
      <c r="N1890" t="inlineStr">
        <is>
          <t>P3</t>
        </is>
      </c>
      <c r="O1890" t="inlineStr">
        <is>
          <t>Check ip-api.com + AbuseIPDB for context</t>
        </is>
      </c>
      <c r="P1890" t="n">
        <v>0</v>
      </c>
      <c r="Q1890" t="n">
        <v>0</v>
      </c>
      <c r="R1890" t="inlineStr">
        <is>
          <t>T1110:Brute Force | T1190:Exploit Public-Facing Application</t>
        </is>
      </c>
      <c r="S1890" t="n">
        <v>1</v>
      </c>
      <c r="T1890" t="inlineStr">
        <is>
          <t>LOW (40%)</t>
        </is>
      </c>
      <c r="U1890" t="inlineStr">
        <is>
          <t>NONE</t>
        </is>
      </c>
      <c r="V1890" t="inlineStr">
        <is>
          <t>NONE</t>
        </is>
      </c>
      <c r="W1890" t="inlineStr">
        <is>
          <t>NONE</t>
        </is>
      </c>
      <c r="X1890" t="inlineStr">
        <is>
          <t>NONE</t>
        </is>
      </c>
      <c r="Y1890" t="n">
        <v>0</v>
      </c>
      <c r="Z1890" t="inlineStr"/>
      <c r="AA1890" t="inlineStr">
        <is>
          <t>https://rules.emergingthreats.net/</t>
        </is>
      </c>
    </row>
    <row r="1891">
      <c r="A1891" t="inlineStr">
        <is>
          <t>EMERGING_THREAT_IP</t>
        </is>
      </c>
      <c r="B1891" t="inlineStr">
        <is>
          <t>33514d4a34eb</t>
        </is>
      </c>
      <c r="C1891" t="inlineStr">
        <is>
          <t>Emerging Threats Compromised IP: 116.99.170.172 | Sources: EMERGING_THREATS</t>
        </is>
      </c>
      <c r="D1891" t="n">
        <v>6.5</v>
      </c>
      <c r="E1891" t="inlineStr">
        <is>
          <t>HIGH</t>
        </is>
      </c>
      <c r="F1891" t="n">
        <v>3</v>
      </c>
      <c r="G1891" t="n">
        <v>2</v>
      </c>
      <c r="H1891" t="inlineStr">
        <is>
          <t>HIGH</t>
        </is>
      </c>
      <c r="I1891" t="n">
        <v>12.5</v>
      </c>
      <c r="J1891" t="inlineStr">
        <is>
          <t>NO</t>
        </is>
      </c>
      <c r="K1891" t="inlineStr">
        <is>
          <t>2026-02-23 23:48</t>
        </is>
      </c>
      <c r="L1891" t="inlineStr">
        <is>
          <t>Block IP</t>
        </is>
      </c>
      <c r="M1891" t="inlineStr">
        <is>
          <t>Network perimeter</t>
        </is>
      </c>
      <c r="N1891" t="inlineStr">
        <is>
          <t>P3</t>
        </is>
      </c>
      <c r="O1891" t="inlineStr">
        <is>
          <t>Check ip-api.com + AbuseIPDB for context</t>
        </is>
      </c>
      <c r="P1891" t="n">
        <v>0</v>
      </c>
      <c r="Q1891" t="n">
        <v>0</v>
      </c>
      <c r="R1891" t="inlineStr">
        <is>
          <t>T1110:Brute Force | T1190:Exploit Public-Facing Application</t>
        </is>
      </c>
      <c r="S1891" t="n">
        <v>1</v>
      </c>
      <c r="T1891" t="inlineStr">
        <is>
          <t>LOW (40%)</t>
        </is>
      </c>
      <c r="U1891" t="inlineStr">
        <is>
          <t>NONE</t>
        </is>
      </c>
      <c r="V1891" t="inlineStr">
        <is>
          <t>NONE</t>
        </is>
      </c>
      <c r="W1891" t="inlineStr">
        <is>
          <t>NONE</t>
        </is>
      </c>
      <c r="X1891" t="inlineStr">
        <is>
          <t>NONE</t>
        </is>
      </c>
      <c r="Y1891" t="n">
        <v>0</v>
      </c>
      <c r="Z1891" t="inlineStr"/>
      <c r="AA1891" t="inlineStr">
        <is>
          <t>https://rules.emergingthreats.net/</t>
        </is>
      </c>
    </row>
    <row r="1892">
      <c r="A1892" t="inlineStr">
        <is>
          <t>EMERGING_THREAT_IP</t>
        </is>
      </c>
      <c r="B1892" t="inlineStr">
        <is>
          <t>bd4807c36a33</t>
        </is>
      </c>
      <c r="C1892" t="inlineStr">
        <is>
          <t>Emerging Threats Compromised IP: 116.99.170.215 | Sources: EMERGING_THREATS</t>
        </is>
      </c>
      <c r="D1892" t="n">
        <v>6.5</v>
      </c>
      <c r="E1892" t="inlineStr">
        <is>
          <t>HIGH</t>
        </is>
      </c>
      <c r="F1892" t="n">
        <v>3</v>
      </c>
      <c r="G1892" t="n">
        <v>2</v>
      </c>
      <c r="H1892" t="inlineStr">
        <is>
          <t>HIGH</t>
        </is>
      </c>
      <c r="I1892" t="n">
        <v>12.5</v>
      </c>
      <c r="J1892" t="inlineStr">
        <is>
          <t>NO</t>
        </is>
      </c>
      <c r="K1892" t="inlineStr">
        <is>
          <t>2026-02-23 23:48</t>
        </is>
      </c>
      <c r="L1892" t="inlineStr">
        <is>
          <t>Block IP</t>
        </is>
      </c>
      <c r="M1892" t="inlineStr">
        <is>
          <t>Network perimeter</t>
        </is>
      </c>
      <c r="N1892" t="inlineStr">
        <is>
          <t>P3</t>
        </is>
      </c>
      <c r="O1892" t="inlineStr">
        <is>
          <t>Check ip-api.com + AbuseIPDB for context</t>
        </is>
      </c>
      <c r="P1892" t="n">
        <v>0</v>
      </c>
      <c r="Q1892" t="n">
        <v>0</v>
      </c>
      <c r="R1892" t="inlineStr">
        <is>
          <t>T1110:Brute Force | T1190:Exploit Public-Facing Application</t>
        </is>
      </c>
      <c r="S1892" t="n">
        <v>1</v>
      </c>
      <c r="T1892" t="inlineStr">
        <is>
          <t>LOW (40%)</t>
        </is>
      </c>
      <c r="U1892" t="inlineStr">
        <is>
          <t>NONE</t>
        </is>
      </c>
      <c r="V1892" t="inlineStr">
        <is>
          <t>NONE</t>
        </is>
      </c>
      <c r="W1892" t="inlineStr">
        <is>
          <t>NONE</t>
        </is>
      </c>
      <c r="X1892" t="inlineStr">
        <is>
          <t>NONE</t>
        </is>
      </c>
      <c r="Y1892" t="n">
        <v>0</v>
      </c>
      <c r="Z1892" t="inlineStr"/>
      <c r="AA1892" t="inlineStr">
        <is>
          <t>https://rules.emergingthreats.net/</t>
        </is>
      </c>
    </row>
    <row r="1893">
      <c r="A1893" t="inlineStr">
        <is>
          <t>EMERGING_THREAT_IP</t>
        </is>
      </c>
      <c r="B1893" t="inlineStr">
        <is>
          <t>658d2458784d</t>
        </is>
      </c>
      <c r="C1893" t="inlineStr">
        <is>
          <t>Emerging Threats Compromised IP: 116.99.170.58 | Sources: EMERGING_THREATS</t>
        </is>
      </c>
      <c r="D1893" t="n">
        <v>6.5</v>
      </c>
      <c r="E1893" t="inlineStr">
        <is>
          <t>HIGH</t>
        </is>
      </c>
      <c r="F1893" t="n">
        <v>3</v>
      </c>
      <c r="G1893" t="n">
        <v>2</v>
      </c>
      <c r="H1893" t="inlineStr">
        <is>
          <t>HIGH</t>
        </is>
      </c>
      <c r="I1893" t="n">
        <v>12.5</v>
      </c>
      <c r="J1893" t="inlineStr">
        <is>
          <t>NO</t>
        </is>
      </c>
      <c r="K1893" t="inlineStr">
        <is>
          <t>2026-02-23 23:48</t>
        </is>
      </c>
      <c r="L1893" t="inlineStr">
        <is>
          <t>Block IP</t>
        </is>
      </c>
      <c r="M1893" t="inlineStr">
        <is>
          <t>Network perimeter</t>
        </is>
      </c>
      <c r="N1893" t="inlineStr">
        <is>
          <t>P3</t>
        </is>
      </c>
      <c r="O1893" t="inlineStr">
        <is>
          <t>Check ip-api.com + AbuseIPDB for context</t>
        </is>
      </c>
      <c r="P1893" t="n">
        <v>0</v>
      </c>
      <c r="Q1893" t="n">
        <v>0</v>
      </c>
      <c r="R1893" t="inlineStr">
        <is>
          <t>T1110:Brute Force | T1190:Exploit Public-Facing Application</t>
        </is>
      </c>
      <c r="S1893" t="n">
        <v>1</v>
      </c>
      <c r="T1893" t="inlineStr">
        <is>
          <t>LOW (40%)</t>
        </is>
      </c>
      <c r="U1893" t="inlineStr">
        <is>
          <t>NONE</t>
        </is>
      </c>
      <c r="V1893" t="inlineStr">
        <is>
          <t>NONE</t>
        </is>
      </c>
      <c r="W1893" t="inlineStr">
        <is>
          <t>NONE</t>
        </is>
      </c>
      <c r="X1893" t="inlineStr">
        <is>
          <t>NONE</t>
        </is>
      </c>
      <c r="Y1893" t="n">
        <v>0</v>
      </c>
      <c r="Z1893" t="inlineStr"/>
      <c r="AA1893" t="inlineStr">
        <is>
          <t>https://rules.emergingthreats.net/</t>
        </is>
      </c>
    </row>
    <row r="1894">
      <c r="A1894" t="inlineStr">
        <is>
          <t>EMERGING_THREAT_IP</t>
        </is>
      </c>
      <c r="B1894" t="inlineStr">
        <is>
          <t>beb0e9d4d7ce</t>
        </is>
      </c>
      <c r="C1894" t="inlineStr">
        <is>
          <t>Emerging Threats Compromised IP: 116.99.171.201 | Sources: EMERGING_THREATS</t>
        </is>
      </c>
      <c r="D1894" t="n">
        <v>6.5</v>
      </c>
      <c r="E1894" t="inlineStr">
        <is>
          <t>HIGH</t>
        </is>
      </c>
      <c r="F1894" t="n">
        <v>3</v>
      </c>
      <c r="G1894" t="n">
        <v>2</v>
      </c>
      <c r="H1894" t="inlineStr">
        <is>
          <t>HIGH</t>
        </is>
      </c>
      <c r="I1894" t="n">
        <v>12.5</v>
      </c>
      <c r="J1894" t="inlineStr">
        <is>
          <t>NO</t>
        </is>
      </c>
      <c r="K1894" t="inlineStr">
        <is>
          <t>2026-02-23 23:48</t>
        </is>
      </c>
      <c r="L1894" t="inlineStr">
        <is>
          <t>Block IP</t>
        </is>
      </c>
      <c r="M1894" t="inlineStr">
        <is>
          <t>Network perimeter</t>
        </is>
      </c>
      <c r="N1894" t="inlineStr">
        <is>
          <t>P3</t>
        </is>
      </c>
      <c r="O1894" t="inlineStr">
        <is>
          <t>Check ip-api.com + AbuseIPDB for context</t>
        </is>
      </c>
      <c r="P1894" t="n">
        <v>0</v>
      </c>
      <c r="Q1894" t="n">
        <v>0</v>
      </c>
      <c r="R1894" t="inlineStr">
        <is>
          <t>T1110:Brute Force | T1190:Exploit Public-Facing Application</t>
        </is>
      </c>
      <c r="S1894" t="n">
        <v>1</v>
      </c>
      <c r="T1894" t="inlineStr">
        <is>
          <t>LOW (40%)</t>
        </is>
      </c>
      <c r="U1894" t="inlineStr">
        <is>
          <t>NONE</t>
        </is>
      </c>
      <c r="V1894" t="inlineStr">
        <is>
          <t>NONE</t>
        </is>
      </c>
      <c r="W1894" t="inlineStr">
        <is>
          <t>NONE</t>
        </is>
      </c>
      <c r="X1894" t="inlineStr">
        <is>
          <t>NONE</t>
        </is>
      </c>
      <c r="Y1894" t="n">
        <v>0</v>
      </c>
      <c r="Z1894" t="inlineStr"/>
      <c r="AA1894" t="inlineStr">
        <is>
          <t>https://rules.emergingthreats.net/</t>
        </is>
      </c>
    </row>
    <row r="1895">
      <c r="A1895" t="inlineStr">
        <is>
          <t>VULNCHECK_KEV</t>
        </is>
      </c>
      <c r="B1895" t="inlineStr">
        <is>
          <t>f708391a9e44</t>
        </is>
      </c>
      <c r="C1895" t="inlineStr">
        <is>
          <t>VulnCheck KEV: Fortinet FortiOS through 7.6.6 allows attackers to decrypt LDAP credentials stored in device configuration files, as exploited in the wild from 2025-12-16 through 2026 (by default, the encryption key is the same across all customers' installations). NOTE: the Supplier's position is that the instance | CVEs: CVE-2026-25815</t>
        </is>
      </c>
      <c r="D1895" t="n">
        <v>7</v>
      </c>
      <c r="E1895" t="inlineStr">
        <is>
          <t>HIGH</t>
        </is>
      </c>
      <c r="F1895" t="n">
        <v>3</v>
      </c>
      <c r="G1895" t="n">
        <v>2</v>
      </c>
      <c r="H1895" t="inlineStr">
        <is>
          <t>HIGH</t>
        </is>
      </c>
      <c r="I1895" t="n">
        <v>13</v>
      </c>
      <c r="J1895" t="inlineStr">
        <is>
          <t>YES</t>
        </is>
      </c>
      <c r="K1895" t="inlineStr"/>
      <c r="L1895" t="inlineStr">
        <is>
          <t>URGENT - actively exploited</t>
        </is>
      </c>
      <c r="M1895" t="inlineStr">
        <is>
          <t>CVE-2026-25815</t>
        </is>
      </c>
      <c r="N1895" t="inlineStr">
        <is>
          <t>P1</t>
        </is>
      </c>
      <c r="O1895" t="inlineStr">
        <is>
          <t>KEV entry - check specific CVEs for IP context</t>
        </is>
      </c>
      <c r="P1895" t="n">
        <v>0</v>
      </c>
      <c r="Q1895" t="n">
        <v>0</v>
      </c>
      <c r="R1895" t="inlineStr">
        <is>
          <t>T1190:Exploit Public-Facing Application</t>
        </is>
      </c>
      <c r="S1895" t="n">
        <v>2</v>
      </c>
      <c r="T1895" t="inlineStr">
        <is>
          <t>CONFIRMED (82%)</t>
        </is>
      </c>
      <c r="U1895" t="inlineStr">
        <is>
          <t>YES</t>
        </is>
      </c>
      <c r="V1895" t="inlineStr">
        <is>
          <t>URGENT</t>
        </is>
      </c>
      <c r="W1895" t="inlineStr">
        <is>
          <t>https://vulncheck.com/blog/vuln-check-kev</t>
        </is>
      </c>
      <c r="X1895" t="inlineStr">
        <is>
          <t>NONE</t>
        </is>
      </c>
      <c r="Y1895" t="n">
        <v>0</v>
      </c>
      <c r="Z1895" t="inlineStr"/>
      <c r="AA1895" t="inlineStr">
        <is>
          <t>https://vulncheck.com/blog/vuln-check-kev</t>
        </is>
      </c>
    </row>
    <row r="1896">
      <c r="A1896" t="inlineStr">
        <is>
          <t>VULNCHECK_KEV</t>
        </is>
      </c>
      <c r="B1896" t="inlineStr">
        <is>
          <t>b090c6c9d65f</t>
        </is>
      </c>
      <c r="C1896" t="inlineStr">
        <is>
          <t>VulnCheck KEV: OpenClaw (aka clawdbot or Moltbot) before 2026.1.29 obtains a gatewayUrl value from a query string and automatically makes a WebSocket connection without prompting, sending a token value. | CVEs: CVE-2026-25253</t>
        </is>
      </c>
      <c r="D1896" t="n">
        <v>7</v>
      </c>
      <c r="E1896" t="inlineStr">
        <is>
          <t>HIGH</t>
        </is>
      </c>
      <c r="F1896" t="n">
        <v>3</v>
      </c>
      <c r="G1896" t="n">
        <v>2</v>
      </c>
      <c r="H1896" t="inlineStr">
        <is>
          <t>HIGH</t>
        </is>
      </c>
      <c r="I1896" t="n">
        <v>13</v>
      </c>
      <c r="J1896" t="inlineStr">
        <is>
          <t>YES</t>
        </is>
      </c>
      <c r="K1896" t="inlineStr"/>
      <c r="L1896" t="inlineStr">
        <is>
          <t>URGENT - actively exploited</t>
        </is>
      </c>
      <c r="M1896" t="inlineStr">
        <is>
          <t>CVE-2026-25253</t>
        </is>
      </c>
      <c r="N1896" t="inlineStr">
        <is>
          <t>P1</t>
        </is>
      </c>
      <c r="O1896" t="inlineStr">
        <is>
          <t>KEV entry - check specific CVEs for IP context</t>
        </is>
      </c>
      <c r="P1896" t="n">
        <v>0</v>
      </c>
      <c r="Q1896" t="n">
        <v>0</v>
      </c>
      <c r="R1896" t="inlineStr">
        <is>
          <t>T1190:Exploit Public-Facing Application</t>
        </is>
      </c>
      <c r="S1896" t="n">
        <v>2</v>
      </c>
      <c r="T1896" t="inlineStr">
        <is>
          <t>CONFIRMED (82%)</t>
        </is>
      </c>
      <c r="U1896" t="inlineStr">
        <is>
          <t>YES</t>
        </is>
      </c>
      <c r="V1896" t="inlineStr">
        <is>
          <t>URGENT</t>
        </is>
      </c>
      <c r="W1896" t="inlineStr">
        <is>
          <t>https://vulncheck.com/blog/vuln-check-kev</t>
        </is>
      </c>
      <c r="X1896" t="inlineStr">
        <is>
          <t>NONE</t>
        </is>
      </c>
      <c r="Y1896" t="n">
        <v>0</v>
      </c>
      <c r="Z1896" t="inlineStr"/>
      <c r="AA1896" t="inlineStr">
        <is>
          <t>https://vulncheck.com/blog/vuln-check-kev</t>
        </is>
      </c>
    </row>
    <row r="1897">
      <c r="A1897" t="inlineStr">
        <is>
          <t>VULNCHECK_KEV</t>
        </is>
      </c>
      <c r="B1897" t="inlineStr">
        <is>
          <t>cee91b1f674c</t>
        </is>
      </c>
      <c r="C1897" t="inlineStr">
        <is>
          <t>VulnCheck KEV: FileZen contains an OS command injection vulnerability. When FileZen Antivirus Check Option is enabled, a logged-in user may send a specially crafted HTTP request to execute an arbitrary OS command. | CVEs: CVE-2026-25108</t>
        </is>
      </c>
      <c r="D1897" t="n">
        <v>7</v>
      </c>
      <c r="E1897" t="inlineStr">
        <is>
          <t>HIGH</t>
        </is>
      </c>
      <c r="F1897" t="n">
        <v>3</v>
      </c>
      <c r="G1897" t="n">
        <v>2</v>
      </c>
      <c r="H1897" t="inlineStr">
        <is>
          <t>HIGH</t>
        </is>
      </c>
      <c r="I1897" t="n">
        <v>13</v>
      </c>
      <c r="J1897" t="inlineStr">
        <is>
          <t>YES</t>
        </is>
      </c>
      <c r="K1897" t="inlineStr"/>
      <c r="L1897" t="inlineStr">
        <is>
          <t>URGENT - actively exploited</t>
        </is>
      </c>
      <c r="M1897" t="inlineStr">
        <is>
          <t>CVE-2026-25108</t>
        </is>
      </c>
      <c r="N1897" t="inlineStr">
        <is>
          <t>P1</t>
        </is>
      </c>
      <c r="O1897" t="inlineStr">
        <is>
          <t>KEV entry - check specific CVEs for IP context</t>
        </is>
      </c>
      <c r="P1897" t="n">
        <v>0</v>
      </c>
      <c r="Q1897" t="n">
        <v>0</v>
      </c>
      <c r="R1897" t="inlineStr">
        <is>
          <t>T1190:Exploit Public-Facing Application</t>
        </is>
      </c>
      <c r="S1897" t="n">
        <v>2</v>
      </c>
      <c r="T1897" t="inlineStr">
        <is>
          <t>CONFIRMED (82%)</t>
        </is>
      </c>
      <c r="U1897" t="inlineStr">
        <is>
          <t>YES</t>
        </is>
      </c>
      <c r="V1897" t="inlineStr">
        <is>
          <t>URGENT</t>
        </is>
      </c>
      <c r="W1897" t="inlineStr">
        <is>
          <t>https://vulncheck.com/blog/vuln-check-kev</t>
        </is>
      </c>
      <c r="X1897" t="inlineStr">
        <is>
          <t>NONE</t>
        </is>
      </c>
      <c r="Y1897" t="n">
        <v>0</v>
      </c>
      <c r="Z1897" t="inlineStr"/>
      <c r="AA1897" t="inlineStr">
        <is>
          <t>https://vulncheck.com/blog/vuln-check-kev</t>
        </is>
      </c>
    </row>
    <row r="1898">
      <c r="A1898" t="inlineStr">
        <is>
          <t>VULNCHECK_KEV</t>
        </is>
      </c>
      <c r="B1898" t="inlineStr">
        <is>
          <t>5b14f44ef18f</t>
        </is>
      </c>
      <c r="C1898" t="inlineStr">
        <is>
          <t>VulnCheck KEV: Fortinet FortiAnalyzer, FortiManager, FortiOS, and FortiProxy contain an authentication bypass using an alternate path or channel that could allow an attacker with a FortiCloud account and a registered device to log into other devices registered to other accounts, if FortiCloud SSO authentication is | CVEs: CVE-2026-24858</t>
        </is>
      </c>
      <c r="D1898" t="n">
        <v>7</v>
      </c>
      <c r="E1898" t="inlineStr">
        <is>
          <t>HIGH</t>
        </is>
      </c>
      <c r="F1898" t="n">
        <v>3</v>
      </c>
      <c r="G1898" t="n">
        <v>2</v>
      </c>
      <c r="H1898" t="inlineStr">
        <is>
          <t>HIGH</t>
        </is>
      </c>
      <c r="I1898" t="n">
        <v>13</v>
      </c>
      <c r="J1898" t="inlineStr">
        <is>
          <t>YES</t>
        </is>
      </c>
      <c r="K1898" t="inlineStr"/>
      <c r="L1898" t="inlineStr">
        <is>
          <t>URGENT - actively exploited</t>
        </is>
      </c>
      <c r="M1898" t="inlineStr">
        <is>
          <t>CVE-2026-24858</t>
        </is>
      </c>
      <c r="N1898" t="inlineStr">
        <is>
          <t>P1</t>
        </is>
      </c>
      <c r="O1898" t="inlineStr">
        <is>
          <t>KEV entry - check specific CVEs for IP context</t>
        </is>
      </c>
      <c r="P1898" t="n">
        <v>0</v>
      </c>
      <c r="Q1898" t="n">
        <v>0</v>
      </c>
      <c r="R1898" t="inlineStr">
        <is>
          <t>T1190:Exploit Public-Facing Application</t>
        </is>
      </c>
      <c r="S1898" t="n">
        <v>2</v>
      </c>
      <c r="T1898" t="inlineStr">
        <is>
          <t>CONFIRMED (82%)</t>
        </is>
      </c>
      <c r="U1898" t="inlineStr">
        <is>
          <t>YES</t>
        </is>
      </c>
      <c r="V1898" t="inlineStr">
        <is>
          <t>URGENT</t>
        </is>
      </c>
      <c r="W1898" t="inlineStr">
        <is>
          <t>https://vulncheck.com/blog/vuln-check-kev</t>
        </is>
      </c>
      <c r="X1898" t="inlineStr">
        <is>
          <t>NONE</t>
        </is>
      </c>
      <c r="Y1898" t="n">
        <v>0</v>
      </c>
      <c r="Z1898" t="inlineStr"/>
      <c r="AA1898" t="inlineStr">
        <is>
          <t>https://vulncheck.com/blog/vuln-check-kev</t>
        </is>
      </c>
    </row>
    <row r="1899">
      <c r="A1899" t="inlineStr">
        <is>
          <t>VULNCHECK_KEV</t>
        </is>
      </c>
      <c r="B1899" t="inlineStr">
        <is>
          <t>7216a4375bca</t>
        </is>
      </c>
      <c r="C1899" t="inlineStr">
        <is>
          <t>VulnCheck KEV: SmarterTools SmarterMail contains a missing authentication for critical function vulnerability in the ConnectToHub API method. This could allow the attacker to point the SmarterMail instance to a malicious HTTP server which serves the malicious OS command and could lead to command execution.  | CVEs: CVE-2026-24423</t>
        </is>
      </c>
      <c r="D1899" t="n">
        <v>7</v>
      </c>
      <c r="E1899" t="inlineStr">
        <is>
          <t>HIGH</t>
        </is>
      </c>
      <c r="F1899" t="n">
        <v>3</v>
      </c>
      <c r="G1899" t="n">
        <v>2</v>
      </c>
      <c r="H1899" t="inlineStr">
        <is>
          <t>HIGH</t>
        </is>
      </c>
      <c r="I1899" t="n">
        <v>13</v>
      </c>
      <c r="J1899" t="inlineStr">
        <is>
          <t>YES</t>
        </is>
      </c>
      <c r="K1899" t="inlineStr"/>
      <c r="L1899" t="inlineStr">
        <is>
          <t>URGENT - actively exploited</t>
        </is>
      </c>
      <c r="M1899" t="inlineStr">
        <is>
          <t>CVE-2026-24423</t>
        </is>
      </c>
      <c r="N1899" t="inlineStr">
        <is>
          <t>P1</t>
        </is>
      </c>
      <c r="O1899" t="inlineStr">
        <is>
          <t>KEV entry - check specific CVEs for IP context</t>
        </is>
      </c>
      <c r="P1899" t="n">
        <v>0</v>
      </c>
      <c r="Q1899" t="n">
        <v>0</v>
      </c>
      <c r="R1899" t="inlineStr">
        <is>
          <t>T1190:Exploit Public-Facing Application</t>
        </is>
      </c>
      <c r="S1899" t="n">
        <v>2</v>
      </c>
      <c r="T1899" t="inlineStr">
        <is>
          <t>CONFIRMED (82%)</t>
        </is>
      </c>
      <c r="U1899" t="inlineStr">
        <is>
          <t>YES</t>
        </is>
      </c>
      <c r="V1899" t="inlineStr">
        <is>
          <t>URGENT</t>
        </is>
      </c>
      <c r="W1899" t="inlineStr">
        <is>
          <t>https://vulncheck.com/blog/vuln-check-kev</t>
        </is>
      </c>
      <c r="X1899" t="inlineStr">
        <is>
          <t>NONE</t>
        </is>
      </c>
      <c r="Y1899" t="n">
        <v>0</v>
      </c>
      <c r="Z1899" t="inlineStr"/>
      <c r="AA1899" t="inlineStr">
        <is>
          <t>https://vulncheck.com/blog/vuln-check-kev</t>
        </is>
      </c>
    </row>
    <row r="1900">
      <c r="A1900" t="inlineStr">
        <is>
          <t>VULNCHECK_KEV</t>
        </is>
      </c>
      <c r="B1900" t="inlineStr">
        <is>
          <t>792e86d42368</t>
        </is>
      </c>
      <c r="C1900" t="inlineStr">
        <is>
          <t>VulnCheck KEV: Google Chromium CSS contains a use-after-free vulnerability that could allow a remote attacker to potentially exploit heap corruption via a crafted HTML page. This vulnerability could affect multiple web browsers that utilize Chromium, including, but not limited to, Google Chrome, Microsoft Edge, an | CVEs: CVE-2026-2441</t>
        </is>
      </c>
      <c r="D1900" t="n">
        <v>7</v>
      </c>
      <c r="E1900" t="inlineStr">
        <is>
          <t>HIGH</t>
        </is>
      </c>
      <c r="F1900" t="n">
        <v>3</v>
      </c>
      <c r="G1900" t="n">
        <v>2</v>
      </c>
      <c r="H1900" t="inlineStr">
        <is>
          <t>HIGH</t>
        </is>
      </c>
      <c r="I1900" t="n">
        <v>13</v>
      </c>
      <c r="J1900" t="inlineStr">
        <is>
          <t>YES</t>
        </is>
      </c>
      <c r="K1900" t="inlineStr"/>
      <c r="L1900" t="inlineStr">
        <is>
          <t>URGENT - actively exploited</t>
        </is>
      </c>
      <c r="M1900" t="inlineStr">
        <is>
          <t>CVE-2026-2441</t>
        </is>
      </c>
      <c r="N1900" t="inlineStr">
        <is>
          <t>P1</t>
        </is>
      </c>
      <c r="O1900" t="inlineStr">
        <is>
          <t>KEV entry - check specific CVEs for IP context</t>
        </is>
      </c>
      <c r="P1900" t="n">
        <v>0</v>
      </c>
      <c r="Q1900" t="n">
        <v>0</v>
      </c>
      <c r="R1900" t="inlineStr">
        <is>
          <t>T1190:Exploit Public-Facing Application</t>
        </is>
      </c>
      <c r="S1900" t="n">
        <v>2</v>
      </c>
      <c r="T1900" t="inlineStr">
        <is>
          <t>CONFIRMED (82%)</t>
        </is>
      </c>
      <c r="U1900" t="inlineStr">
        <is>
          <t>YES</t>
        </is>
      </c>
      <c r="V1900" t="inlineStr">
        <is>
          <t>URGENT</t>
        </is>
      </c>
      <c r="W1900" t="inlineStr">
        <is>
          <t>https://vulncheck.com/blog/vuln-check-kev</t>
        </is>
      </c>
      <c r="X1900" t="inlineStr">
        <is>
          <t>NONE</t>
        </is>
      </c>
      <c r="Y1900" t="n">
        <v>0</v>
      </c>
      <c r="Z1900" t="inlineStr"/>
      <c r="AA1900" t="inlineStr">
        <is>
          <t>https://vulncheck.com/blog/vuln-check-kev</t>
        </is>
      </c>
    </row>
    <row r="1901">
      <c r="A1901" t="inlineStr">
        <is>
          <t>VULNCHECK_KEV</t>
        </is>
      </c>
      <c r="B1901" t="inlineStr">
        <is>
          <t>693cd28f6e90</t>
        </is>
      </c>
      <c r="C1901" t="inlineStr">
        <is>
          <t>VulnCheck KEV: GNU InetUtils contains an argument injection vulnerability in telnetd that could allow for remote authentication bypass via a "-f root" value for the USER environment variable. | CVEs: CVE-2026-24061</t>
        </is>
      </c>
      <c r="D1901" t="n">
        <v>7</v>
      </c>
      <c r="E1901" t="inlineStr">
        <is>
          <t>HIGH</t>
        </is>
      </c>
      <c r="F1901" t="n">
        <v>3</v>
      </c>
      <c r="G1901" t="n">
        <v>2</v>
      </c>
      <c r="H1901" t="inlineStr">
        <is>
          <t>HIGH</t>
        </is>
      </c>
      <c r="I1901" t="n">
        <v>13</v>
      </c>
      <c r="J1901" t="inlineStr">
        <is>
          <t>YES</t>
        </is>
      </c>
      <c r="K1901" t="inlineStr"/>
      <c r="L1901" t="inlineStr">
        <is>
          <t>URGENT - actively exploited</t>
        </is>
      </c>
      <c r="M1901" t="inlineStr">
        <is>
          <t>CVE-2026-24061</t>
        </is>
      </c>
      <c r="N1901" t="inlineStr">
        <is>
          <t>P1</t>
        </is>
      </c>
      <c r="O1901" t="inlineStr">
        <is>
          <t>KEV entry - check specific CVEs for IP context</t>
        </is>
      </c>
      <c r="P1901" t="n">
        <v>0</v>
      </c>
      <c r="Q1901" t="n">
        <v>0</v>
      </c>
      <c r="R1901" t="inlineStr">
        <is>
          <t>T1190:Exploit Public-Facing Application</t>
        </is>
      </c>
      <c r="S1901" t="n">
        <v>2</v>
      </c>
      <c r="T1901" t="inlineStr">
        <is>
          <t>CONFIRMED (82%)</t>
        </is>
      </c>
      <c r="U1901" t="inlineStr">
        <is>
          <t>YES</t>
        </is>
      </c>
      <c r="V1901" t="inlineStr">
        <is>
          <t>URGENT</t>
        </is>
      </c>
      <c r="W1901" t="inlineStr">
        <is>
          <t>https://vulncheck.com/blog/vuln-check-kev</t>
        </is>
      </c>
      <c r="X1901" t="inlineStr">
        <is>
          <t>NONE</t>
        </is>
      </c>
      <c r="Y1901" t="n">
        <v>0</v>
      </c>
      <c r="Z1901" t="inlineStr"/>
      <c r="AA1901" t="inlineStr">
        <is>
          <t>https://vulncheck.com/blog/vuln-check-kev</t>
        </is>
      </c>
    </row>
    <row r="1902">
      <c r="A1902" t="inlineStr">
        <is>
          <t>VULNCHECK_KEV</t>
        </is>
      </c>
      <c r="B1902" t="inlineStr">
        <is>
          <t>23d9f45e272e</t>
        </is>
      </c>
      <c r="C1902" t="inlineStr">
        <is>
          <t>VulnCheck KEV: Incorrect Privilege Assignment vulnerability in Modular DS modular-connector allows Privilege Escalation.This issue affects Modular DS: from 2.5.2 before 2.6.0. | CVEs: CVE-2026-23800</t>
        </is>
      </c>
      <c r="D1902" t="n">
        <v>7</v>
      </c>
      <c r="E1902" t="inlineStr">
        <is>
          <t>HIGH</t>
        </is>
      </c>
      <c r="F1902" t="n">
        <v>3</v>
      </c>
      <c r="G1902" t="n">
        <v>2</v>
      </c>
      <c r="H1902" t="inlineStr">
        <is>
          <t>HIGH</t>
        </is>
      </c>
      <c r="I1902" t="n">
        <v>13</v>
      </c>
      <c r="J1902" t="inlineStr">
        <is>
          <t>YES</t>
        </is>
      </c>
      <c r="K1902" t="inlineStr"/>
      <c r="L1902" t="inlineStr">
        <is>
          <t>URGENT - actively exploited</t>
        </is>
      </c>
      <c r="M1902" t="inlineStr">
        <is>
          <t>CVE-2026-23800</t>
        </is>
      </c>
      <c r="N1902" t="inlineStr">
        <is>
          <t>P1</t>
        </is>
      </c>
      <c r="O1902" t="inlineStr">
        <is>
          <t>KEV entry - check specific CVEs for IP context</t>
        </is>
      </c>
      <c r="P1902" t="n">
        <v>0</v>
      </c>
      <c r="Q1902" t="n">
        <v>0</v>
      </c>
      <c r="R1902" t="inlineStr">
        <is>
          <t>T1190:Exploit Public-Facing Application</t>
        </is>
      </c>
      <c r="S1902" t="n">
        <v>2</v>
      </c>
      <c r="T1902" t="inlineStr">
        <is>
          <t>CONFIRMED (82%)</t>
        </is>
      </c>
      <c r="U1902" t="inlineStr">
        <is>
          <t>YES</t>
        </is>
      </c>
      <c r="V1902" t="inlineStr">
        <is>
          <t>URGENT</t>
        </is>
      </c>
      <c r="W1902" t="inlineStr">
        <is>
          <t>https://vulncheck.com/blog/vuln-check-kev</t>
        </is>
      </c>
      <c r="X1902" t="inlineStr">
        <is>
          <t>NONE</t>
        </is>
      </c>
      <c r="Y1902" t="n">
        <v>0</v>
      </c>
      <c r="Z1902" t="inlineStr"/>
      <c r="AA1902" t="inlineStr">
        <is>
          <t>https://vulncheck.com/blog/vuln-check-kev</t>
        </is>
      </c>
    </row>
    <row r="1903">
      <c r="A1903" t="inlineStr">
        <is>
          <t>VULNCHECK_KEV</t>
        </is>
      </c>
      <c r="B1903" t="inlineStr">
        <is>
          <t>5cf1ec21b577</t>
        </is>
      </c>
      <c r="C1903" t="inlineStr">
        <is>
          <t>VulnCheck KEV: SmarterTools SmarterMail contains an authentication bypass using an alternate path or channel vulnerability in the password reset API. The force-reset-password endpoint permits anonymous requests and fails to verify the existing password or a reset token when resetting system administrator accounts. | CVEs: CVE-2026-23760</t>
        </is>
      </c>
      <c r="D1903" t="n">
        <v>7</v>
      </c>
      <c r="E1903" t="inlineStr">
        <is>
          <t>HIGH</t>
        </is>
      </c>
      <c r="F1903" t="n">
        <v>3</v>
      </c>
      <c r="G1903" t="n">
        <v>2</v>
      </c>
      <c r="H1903" t="inlineStr">
        <is>
          <t>HIGH</t>
        </is>
      </c>
      <c r="I1903" t="n">
        <v>13</v>
      </c>
      <c r="J1903" t="inlineStr">
        <is>
          <t>YES</t>
        </is>
      </c>
      <c r="K1903" t="inlineStr"/>
      <c r="L1903" t="inlineStr">
        <is>
          <t>URGENT - actively exploited</t>
        </is>
      </c>
      <c r="M1903" t="inlineStr">
        <is>
          <t>CVE-2026-23760</t>
        </is>
      </c>
      <c r="N1903" t="inlineStr">
        <is>
          <t>P1</t>
        </is>
      </c>
      <c r="O1903" t="inlineStr">
        <is>
          <t>KEV entry - check specific CVEs for IP context</t>
        </is>
      </c>
      <c r="P1903" t="n">
        <v>0</v>
      </c>
      <c r="Q1903" t="n">
        <v>0</v>
      </c>
      <c r="R1903" t="inlineStr">
        <is>
          <t>T1190:Exploit Public-Facing Application</t>
        </is>
      </c>
      <c r="S1903" t="n">
        <v>2</v>
      </c>
      <c r="T1903" t="inlineStr">
        <is>
          <t>CONFIRMED (82%)</t>
        </is>
      </c>
      <c r="U1903" t="inlineStr">
        <is>
          <t>YES</t>
        </is>
      </c>
      <c r="V1903" t="inlineStr">
        <is>
          <t>URGENT</t>
        </is>
      </c>
      <c r="W1903" t="inlineStr">
        <is>
          <t>https://vulncheck.com/blog/vuln-check-kev</t>
        </is>
      </c>
      <c r="X1903" t="inlineStr">
        <is>
          <t>NONE</t>
        </is>
      </c>
      <c r="Y1903" t="n">
        <v>0</v>
      </c>
      <c r="Z1903" t="inlineStr"/>
      <c r="AA1903" t="inlineStr">
        <is>
          <t>https://vulncheck.com/blog/vuln-check-kev</t>
        </is>
      </c>
    </row>
    <row r="1904">
      <c r="A1904" t="inlineStr">
        <is>
          <t>VULNCHECK_KEV</t>
        </is>
      </c>
      <c r="B1904" t="inlineStr">
        <is>
          <t>1f4d494859cc</t>
        </is>
      </c>
      <c r="C1904" t="inlineStr">
        <is>
          <t>VulnCheck KEV: MCPJam inspector is the local-first development platform for MCP servers. Versions 1.4.2 and earlier are vulnerable to remote code execution (RCE) vulnerability, which allows an attacker to send a crafted HTTP request that triggers the installation of an MCP server, leading to RCE. Since MCPJam insp | CVEs: CVE-2026-23744</t>
        </is>
      </c>
      <c r="D1904" t="n">
        <v>7</v>
      </c>
      <c r="E1904" t="inlineStr">
        <is>
          <t>HIGH</t>
        </is>
      </c>
      <c r="F1904" t="n">
        <v>3</v>
      </c>
      <c r="G1904" t="n">
        <v>2</v>
      </c>
      <c r="H1904" t="inlineStr">
        <is>
          <t>HIGH</t>
        </is>
      </c>
      <c r="I1904" t="n">
        <v>13</v>
      </c>
      <c r="J1904" t="inlineStr">
        <is>
          <t>YES</t>
        </is>
      </c>
      <c r="K1904" t="inlineStr"/>
      <c r="L1904" t="inlineStr">
        <is>
          <t>URGENT - actively exploited</t>
        </is>
      </c>
      <c r="M1904" t="inlineStr">
        <is>
          <t>CVE-2026-23744</t>
        </is>
      </c>
      <c r="N1904" t="inlineStr">
        <is>
          <t>P1</t>
        </is>
      </c>
      <c r="O1904" t="inlineStr">
        <is>
          <t>KEV entry - check specific CVEs for IP context</t>
        </is>
      </c>
      <c r="P1904" t="n">
        <v>0</v>
      </c>
      <c r="Q1904" t="n">
        <v>0</v>
      </c>
      <c r="R1904" t="inlineStr">
        <is>
          <t>T1190:Exploit Public-Facing Application</t>
        </is>
      </c>
      <c r="S1904" t="n">
        <v>2</v>
      </c>
      <c r="T1904" t="inlineStr">
        <is>
          <t>CONFIRMED (82%)</t>
        </is>
      </c>
      <c r="U1904" t="inlineStr">
        <is>
          <t>YES</t>
        </is>
      </c>
      <c r="V1904" t="inlineStr">
        <is>
          <t>URGENT</t>
        </is>
      </c>
      <c r="W1904" t="inlineStr">
        <is>
          <t>https://vulncheck.com/blog/vuln-check-kev</t>
        </is>
      </c>
      <c r="X1904" t="inlineStr">
        <is>
          <t>NONE</t>
        </is>
      </c>
      <c r="Y1904" t="n">
        <v>0</v>
      </c>
      <c r="Z1904" t="inlineStr"/>
      <c r="AA1904" t="inlineStr">
        <is>
          <t>https://vulncheck.com/blog/vuln-check-kev</t>
        </is>
      </c>
    </row>
    <row r="1905">
      <c r="A1905" t="inlineStr">
        <is>
          <t>VULNCHECK_KEV</t>
        </is>
      </c>
      <c r="B1905" t="inlineStr">
        <is>
          <t>b49d35435cd1</t>
        </is>
      </c>
      <c r="C1905" t="inlineStr">
        <is>
          <t>VulnCheck KEV: Incorrect Privilege Assignment vulnerability in Modular DS allows Privilege Escalation.This issue affects Modular DS: from n/a through 2.5.1. | CVEs: CVE-2026-23550</t>
        </is>
      </c>
      <c r="D1905" t="n">
        <v>7</v>
      </c>
      <c r="E1905" t="inlineStr">
        <is>
          <t>HIGH</t>
        </is>
      </c>
      <c r="F1905" t="n">
        <v>3</v>
      </c>
      <c r="G1905" t="n">
        <v>2</v>
      </c>
      <c r="H1905" t="inlineStr">
        <is>
          <t>HIGH</t>
        </is>
      </c>
      <c r="I1905" t="n">
        <v>13</v>
      </c>
      <c r="J1905" t="inlineStr">
        <is>
          <t>YES</t>
        </is>
      </c>
      <c r="K1905" t="inlineStr"/>
      <c r="L1905" t="inlineStr">
        <is>
          <t>URGENT - actively exploited</t>
        </is>
      </c>
      <c r="M1905" t="inlineStr">
        <is>
          <t>CVE-2026-23550</t>
        </is>
      </c>
      <c r="N1905" t="inlineStr">
        <is>
          <t>P1</t>
        </is>
      </c>
      <c r="O1905" t="inlineStr">
        <is>
          <t>KEV entry - check specific CVEs for IP context</t>
        </is>
      </c>
      <c r="P1905" t="n">
        <v>0</v>
      </c>
      <c r="Q1905" t="n">
        <v>0</v>
      </c>
      <c r="R1905" t="inlineStr">
        <is>
          <t>T1190:Exploit Public-Facing Application</t>
        </is>
      </c>
      <c r="S1905" t="n">
        <v>2</v>
      </c>
      <c r="T1905" t="inlineStr">
        <is>
          <t>CONFIRMED (82%)</t>
        </is>
      </c>
      <c r="U1905" t="inlineStr">
        <is>
          <t>YES</t>
        </is>
      </c>
      <c r="V1905" t="inlineStr">
        <is>
          <t>URGENT</t>
        </is>
      </c>
      <c r="W1905" t="inlineStr">
        <is>
          <t>https://vulncheck.com/blog/vuln-check-kev</t>
        </is>
      </c>
      <c r="X1905" t="inlineStr">
        <is>
          <t>NONE</t>
        </is>
      </c>
      <c r="Y1905" t="n">
        <v>0</v>
      </c>
      <c r="Z1905" t="inlineStr"/>
      <c r="AA1905" t="inlineStr">
        <is>
          <t>https://vulncheck.com/blog/vuln-check-kev</t>
        </is>
      </c>
    </row>
    <row r="1906">
      <c r="A1906" t="inlineStr">
        <is>
          <t>VULNCHECK_KEV</t>
        </is>
      </c>
      <c r="B1906" t="inlineStr">
        <is>
          <t>cea8b06eb756</t>
        </is>
      </c>
      <c r="C1906" t="inlineStr">
        <is>
          <t>VulnCheck KEV: Dell RecoverPoint for Virtual Machines (RP4VMs) contains an use of hard-coded credentials vulnerability that could allow an unauthenticated remote attacker to gain unauthorized access to the underlying operating system and root-level persistence. | CVEs: CVE-2026-22769</t>
        </is>
      </c>
      <c r="D1906" t="n">
        <v>7</v>
      </c>
      <c r="E1906" t="inlineStr">
        <is>
          <t>HIGH</t>
        </is>
      </c>
      <c r="F1906" t="n">
        <v>3</v>
      </c>
      <c r="G1906" t="n">
        <v>2</v>
      </c>
      <c r="H1906" t="inlineStr">
        <is>
          <t>HIGH</t>
        </is>
      </c>
      <c r="I1906" t="n">
        <v>13</v>
      </c>
      <c r="J1906" t="inlineStr">
        <is>
          <t>YES</t>
        </is>
      </c>
      <c r="K1906" t="inlineStr"/>
      <c r="L1906" t="inlineStr">
        <is>
          <t>URGENT - actively exploited</t>
        </is>
      </c>
      <c r="M1906" t="inlineStr">
        <is>
          <t>CVE-2026-22769</t>
        </is>
      </c>
      <c r="N1906" t="inlineStr">
        <is>
          <t>P1</t>
        </is>
      </c>
      <c r="O1906" t="inlineStr">
        <is>
          <t>KEV entry - check specific CVEs for IP context</t>
        </is>
      </c>
      <c r="P1906" t="n">
        <v>0</v>
      </c>
      <c r="Q1906" t="n">
        <v>0</v>
      </c>
      <c r="R1906" t="inlineStr">
        <is>
          <t>T1190:Exploit Public-Facing Application</t>
        </is>
      </c>
      <c r="S1906" t="n">
        <v>2</v>
      </c>
      <c r="T1906" t="inlineStr">
        <is>
          <t>CONFIRMED (82%)</t>
        </is>
      </c>
      <c r="U1906" t="inlineStr">
        <is>
          <t>YES</t>
        </is>
      </c>
      <c r="V1906" t="inlineStr">
        <is>
          <t>URGENT</t>
        </is>
      </c>
      <c r="W1906" t="inlineStr">
        <is>
          <t>https://vulncheck.com/blog/vuln-check-kev</t>
        </is>
      </c>
      <c r="X1906" t="inlineStr">
        <is>
          <t>NONE</t>
        </is>
      </c>
      <c r="Y1906" t="n">
        <v>0</v>
      </c>
      <c r="Z1906" t="inlineStr"/>
      <c r="AA1906" t="inlineStr">
        <is>
          <t>https://vulncheck.com/blog/vuln-check-kev</t>
        </is>
      </c>
    </row>
    <row r="1907">
      <c r="A1907" t="inlineStr">
        <is>
          <t>VULNCHECK_KEV</t>
        </is>
      </c>
      <c r="B1907" t="inlineStr">
        <is>
          <t>55eecf6fae85</t>
        </is>
      </c>
      <c r="C1907" t="inlineStr">
        <is>
          <t>VulnCheck KEV: Vulnerability in the Oracle HTTP Server, Oracle Weblogic Server Proxy Plug-in product of Oracle Fusion Middleware (component: Weblogic Server Proxy Plug-in for Apache HTTP Server, Weblogic Server Proxy Plug-in for IIS).  Supported versions that are affected are 12.2.1.4.0, 14.1.1.0.0 and  14.1.2.0.0 | CVEs: CVE-2026-21962</t>
        </is>
      </c>
      <c r="D1907" t="n">
        <v>7</v>
      </c>
      <c r="E1907" t="inlineStr">
        <is>
          <t>HIGH</t>
        </is>
      </c>
      <c r="F1907" t="n">
        <v>3</v>
      </c>
      <c r="G1907" t="n">
        <v>2</v>
      </c>
      <c r="H1907" t="inlineStr">
        <is>
          <t>HIGH</t>
        </is>
      </c>
      <c r="I1907" t="n">
        <v>13</v>
      </c>
      <c r="J1907" t="inlineStr">
        <is>
          <t>YES</t>
        </is>
      </c>
      <c r="K1907" t="inlineStr"/>
      <c r="L1907" t="inlineStr">
        <is>
          <t>URGENT - actively exploited</t>
        </is>
      </c>
      <c r="M1907" t="inlineStr">
        <is>
          <t>CVE-2026-21962</t>
        </is>
      </c>
      <c r="N1907" t="inlineStr">
        <is>
          <t>P1</t>
        </is>
      </c>
      <c r="O1907" t="inlineStr">
        <is>
          <t>KEV entry - check specific CVEs for IP context</t>
        </is>
      </c>
      <c r="P1907" t="n">
        <v>0</v>
      </c>
      <c r="Q1907" t="n">
        <v>0</v>
      </c>
      <c r="R1907" t="inlineStr">
        <is>
          <t>T1190:Exploit Public-Facing Application</t>
        </is>
      </c>
      <c r="S1907" t="n">
        <v>2</v>
      </c>
      <c r="T1907" t="inlineStr">
        <is>
          <t>CONFIRMED (82%)</t>
        </is>
      </c>
      <c r="U1907" t="inlineStr">
        <is>
          <t>YES</t>
        </is>
      </c>
      <c r="V1907" t="inlineStr">
        <is>
          <t>URGENT</t>
        </is>
      </c>
      <c r="W1907" t="inlineStr">
        <is>
          <t>https://vulncheck.com/blog/vuln-check-kev</t>
        </is>
      </c>
      <c r="X1907" t="inlineStr">
        <is>
          <t>NONE</t>
        </is>
      </c>
      <c r="Y1907" t="n">
        <v>0</v>
      </c>
      <c r="Z1907" t="inlineStr"/>
      <c r="AA1907" t="inlineStr">
        <is>
          <t>https://vulncheck.com/blog/vuln-check-kev</t>
        </is>
      </c>
    </row>
    <row r="1908">
      <c r="A1908" t="inlineStr">
        <is>
          <t>VULNCHECK_KEV</t>
        </is>
      </c>
      <c r="B1908" t="inlineStr">
        <is>
          <t>eef05c51ff9a</t>
        </is>
      </c>
      <c r="C1908" t="inlineStr">
        <is>
          <t>VulnCheck KEV: Mailpit is an email testing tool and API for developers. Versions 1.28.0 and below have a Server-Side Request Forgery (SSRF) vulnerability in the /proxy endpoint, allowing attackers to make requests to internal network resources. The /proxy endpoint validates http:// and https:// schemes, but it doe | CVEs: CVE-2026-21859</t>
        </is>
      </c>
      <c r="D1908" t="n">
        <v>7</v>
      </c>
      <c r="E1908" t="inlineStr">
        <is>
          <t>HIGH</t>
        </is>
      </c>
      <c r="F1908" t="n">
        <v>3</v>
      </c>
      <c r="G1908" t="n">
        <v>2</v>
      </c>
      <c r="H1908" t="inlineStr">
        <is>
          <t>HIGH</t>
        </is>
      </c>
      <c r="I1908" t="n">
        <v>13</v>
      </c>
      <c r="J1908" t="inlineStr">
        <is>
          <t>YES</t>
        </is>
      </c>
      <c r="K1908" t="inlineStr"/>
      <c r="L1908" t="inlineStr">
        <is>
          <t>URGENT - actively exploited</t>
        </is>
      </c>
      <c r="M1908" t="inlineStr">
        <is>
          <t>CVE-2026-21859</t>
        </is>
      </c>
      <c r="N1908" t="inlineStr">
        <is>
          <t>P1</t>
        </is>
      </c>
      <c r="O1908" t="inlineStr">
        <is>
          <t>KEV entry - check specific CVEs for IP context</t>
        </is>
      </c>
      <c r="P1908" t="n">
        <v>0</v>
      </c>
      <c r="Q1908" t="n">
        <v>0</v>
      </c>
      <c r="R1908" t="inlineStr">
        <is>
          <t>T1190:Exploit Public-Facing Application</t>
        </is>
      </c>
      <c r="S1908" t="n">
        <v>2</v>
      </c>
      <c r="T1908" t="inlineStr">
        <is>
          <t>CONFIRMED (82%)</t>
        </is>
      </c>
      <c r="U1908" t="inlineStr">
        <is>
          <t>YES</t>
        </is>
      </c>
      <c r="V1908" t="inlineStr">
        <is>
          <t>URGENT</t>
        </is>
      </c>
      <c r="W1908" t="inlineStr">
        <is>
          <t>https://vulncheck.com/blog/vuln-check-kev</t>
        </is>
      </c>
      <c r="X1908" t="inlineStr">
        <is>
          <t>NONE</t>
        </is>
      </c>
      <c r="Y1908" t="n">
        <v>0</v>
      </c>
      <c r="Z1908" t="inlineStr"/>
      <c r="AA1908" t="inlineStr">
        <is>
          <t>https://vulncheck.com/blog/vuln-check-kev</t>
        </is>
      </c>
    </row>
    <row r="1909">
      <c r="A1909" t="inlineStr">
        <is>
          <t>VULNCHECK_KEV</t>
        </is>
      </c>
      <c r="B1909" t="inlineStr">
        <is>
          <t>243096ea782b</t>
        </is>
      </c>
      <c r="C1909" t="inlineStr">
        <is>
          <t>VulnCheck KEV: n8n is an open source workflow automation platform. Versions starting with 1.65.0 and below 1.121.0 enable an attacker to access files on the underlying server through execution of certain form-based workflows. A vulnerable workflow could grant access to an unauthenticated remote attacker, resulting | CVEs: CVE-2026-21858</t>
        </is>
      </c>
      <c r="D1909" t="n">
        <v>7</v>
      </c>
      <c r="E1909" t="inlineStr">
        <is>
          <t>HIGH</t>
        </is>
      </c>
      <c r="F1909" t="n">
        <v>3</v>
      </c>
      <c r="G1909" t="n">
        <v>2</v>
      </c>
      <c r="H1909" t="inlineStr">
        <is>
          <t>HIGH</t>
        </is>
      </c>
      <c r="I1909" t="n">
        <v>13</v>
      </c>
      <c r="J1909" t="inlineStr">
        <is>
          <t>YES</t>
        </is>
      </c>
      <c r="K1909" t="inlineStr"/>
      <c r="L1909" t="inlineStr">
        <is>
          <t>URGENT - actively exploited</t>
        </is>
      </c>
      <c r="M1909" t="inlineStr">
        <is>
          <t>CVE-2026-21858</t>
        </is>
      </c>
      <c r="N1909" t="inlineStr">
        <is>
          <t>P1</t>
        </is>
      </c>
      <c r="O1909" t="inlineStr">
        <is>
          <t>KEV entry - check specific CVEs for IP context</t>
        </is>
      </c>
      <c r="P1909" t="n">
        <v>0</v>
      </c>
      <c r="Q1909" t="n">
        <v>0</v>
      </c>
      <c r="R1909" t="inlineStr">
        <is>
          <t>T1190:Exploit Public-Facing Application</t>
        </is>
      </c>
      <c r="S1909" t="n">
        <v>2</v>
      </c>
      <c r="T1909" t="inlineStr">
        <is>
          <t>CONFIRMED (82%)</t>
        </is>
      </c>
      <c r="U1909" t="inlineStr">
        <is>
          <t>YES</t>
        </is>
      </c>
      <c r="V1909" t="inlineStr">
        <is>
          <t>URGENT</t>
        </is>
      </c>
      <c r="W1909" t="inlineStr">
        <is>
          <t>https://vulncheck.com/blog/vuln-check-kev</t>
        </is>
      </c>
      <c r="X1909" t="inlineStr">
        <is>
          <t>NONE</t>
        </is>
      </c>
      <c r="Y1909" t="n">
        <v>0</v>
      </c>
      <c r="Z1909" t="inlineStr"/>
      <c r="AA1909" t="inlineStr">
        <is>
          <t>https://vulncheck.com/blog/vuln-check-kev</t>
        </is>
      </c>
    </row>
    <row r="1910">
      <c r="A1910" t="inlineStr">
        <is>
          <t>VULNCHECK_KEV</t>
        </is>
      </c>
      <c r="B1910" t="inlineStr">
        <is>
          <t>69cfbfe107e1</t>
        </is>
      </c>
      <c r="C1910" t="inlineStr">
        <is>
          <t>VulnCheck KEV: Microsoft Windows Remote Desktop Services contains an improper privilege management vulnerability that could allow an authorized attacker to elevate privileges locally. | CVEs: CVE-2026-21533</t>
        </is>
      </c>
      <c r="D1910" t="n">
        <v>7</v>
      </c>
      <c r="E1910" t="inlineStr">
        <is>
          <t>HIGH</t>
        </is>
      </c>
      <c r="F1910" t="n">
        <v>3</v>
      </c>
      <c r="G1910" t="n">
        <v>2</v>
      </c>
      <c r="H1910" t="inlineStr">
        <is>
          <t>HIGH</t>
        </is>
      </c>
      <c r="I1910" t="n">
        <v>13</v>
      </c>
      <c r="J1910" t="inlineStr">
        <is>
          <t>YES</t>
        </is>
      </c>
      <c r="K1910" t="inlineStr"/>
      <c r="L1910" t="inlineStr">
        <is>
          <t>URGENT - actively exploited</t>
        </is>
      </c>
      <c r="M1910" t="inlineStr">
        <is>
          <t>CVE-2026-21533</t>
        </is>
      </c>
      <c r="N1910" t="inlineStr">
        <is>
          <t>P1</t>
        </is>
      </c>
      <c r="O1910" t="inlineStr">
        <is>
          <t>KEV entry - check specific CVEs for IP context</t>
        </is>
      </c>
      <c r="P1910" t="n">
        <v>0</v>
      </c>
      <c r="Q1910" t="n">
        <v>0</v>
      </c>
      <c r="R1910" t="inlineStr">
        <is>
          <t>T1190:Exploit Public-Facing Application</t>
        </is>
      </c>
      <c r="S1910" t="n">
        <v>2</v>
      </c>
      <c r="T1910" t="inlineStr">
        <is>
          <t>CONFIRMED (82%)</t>
        </is>
      </c>
      <c r="U1910" t="inlineStr">
        <is>
          <t>YES</t>
        </is>
      </c>
      <c r="V1910" t="inlineStr">
        <is>
          <t>URGENT</t>
        </is>
      </c>
      <c r="W1910" t="inlineStr">
        <is>
          <t>https://vulncheck.com/blog/vuln-check-kev</t>
        </is>
      </c>
      <c r="X1910" t="inlineStr">
        <is>
          <t>NONE</t>
        </is>
      </c>
      <c r="Y1910" t="n">
        <v>0</v>
      </c>
      <c r="Z1910" t="inlineStr"/>
      <c r="AA1910" t="inlineStr">
        <is>
          <t>https://vulncheck.com/blog/vuln-check-kev</t>
        </is>
      </c>
    </row>
    <row r="1911">
      <c r="A1911" t="inlineStr">
        <is>
          <t>VULNCHECK_KEV</t>
        </is>
      </c>
      <c r="B1911" t="inlineStr">
        <is>
          <t>0ab1b88545d6</t>
        </is>
      </c>
      <c r="C1911" t="inlineStr">
        <is>
          <t>VulnCheck KEV: Microsoft Windows Remote Access Connection Manager contains a NULL pointer dereference that could allow an unauthorized attacker to deny service locally. | CVEs: CVE-2026-21525</t>
        </is>
      </c>
      <c r="D1911" t="n">
        <v>7</v>
      </c>
      <c r="E1911" t="inlineStr">
        <is>
          <t>HIGH</t>
        </is>
      </c>
      <c r="F1911" t="n">
        <v>3</v>
      </c>
      <c r="G1911" t="n">
        <v>2</v>
      </c>
      <c r="H1911" t="inlineStr">
        <is>
          <t>HIGH</t>
        </is>
      </c>
      <c r="I1911" t="n">
        <v>13</v>
      </c>
      <c r="J1911" t="inlineStr">
        <is>
          <t>YES</t>
        </is>
      </c>
      <c r="K1911" t="inlineStr"/>
      <c r="L1911" t="inlineStr">
        <is>
          <t>URGENT - actively exploited</t>
        </is>
      </c>
      <c r="M1911" t="inlineStr">
        <is>
          <t>CVE-2026-21525</t>
        </is>
      </c>
      <c r="N1911" t="inlineStr">
        <is>
          <t>P1</t>
        </is>
      </c>
      <c r="O1911" t="inlineStr">
        <is>
          <t>KEV entry - check specific CVEs for IP context</t>
        </is>
      </c>
      <c r="P1911" t="n">
        <v>0</v>
      </c>
      <c r="Q1911" t="n">
        <v>0</v>
      </c>
      <c r="R1911" t="inlineStr">
        <is>
          <t>T1190:Exploit Public-Facing Application</t>
        </is>
      </c>
      <c r="S1911" t="n">
        <v>2</v>
      </c>
      <c r="T1911" t="inlineStr">
        <is>
          <t>CONFIRMED (82%)</t>
        </is>
      </c>
      <c r="U1911" t="inlineStr">
        <is>
          <t>YES</t>
        </is>
      </c>
      <c r="V1911" t="inlineStr">
        <is>
          <t>URGENT</t>
        </is>
      </c>
      <c r="W1911" t="inlineStr">
        <is>
          <t>https://vulncheck.com/blog/vuln-check-kev</t>
        </is>
      </c>
      <c r="X1911" t="inlineStr">
        <is>
          <t>NONE</t>
        </is>
      </c>
      <c r="Y1911" t="n">
        <v>0</v>
      </c>
      <c r="Z1911" t="inlineStr"/>
      <c r="AA1911" t="inlineStr">
        <is>
          <t>https://vulncheck.com/blog/vuln-check-kev</t>
        </is>
      </c>
    </row>
    <row r="1912">
      <c r="A1912" t="inlineStr">
        <is>
          <t>VULNCHECK_KEV</t>
        </is>
      </c>
      <c r="B1912" t="inlineStr">
        <is>
          <t>85f634fd5bfa</t>
        </is>
      </c>
      <c r="C1912" t="inlineStr">
        <is>
          <t>VulnCheck KEV: Microsoft Desktop Windows Manager contains a type confusion vulnerability that could allow an authorized attacker to elevate privileges locally. | CVEs: CVE-2026-21519</t>
        </is>
      </c>
      <c r="D1912" t="n">
        <v>7</v>
      </c>
      <c r="E1912" t="inlineStr">
        <is>
          <t>HIGH</t>
        </is>
      </c>
      <c r="F1912" t="n">
        <v>3</v>
      </c>
      <c r="G1912" t="n">
        <v>2</v>
      </c>
      <c r="H1912" t="inlineStr">
        <is>
          <t>HIGH</t>
        </is>
      </c>
      <c r="I1912" t="n">
        <v>13</v>
      </c>
      <c r="J1912" t="inlineStr">
        <is>
          <t>YES</t>
        </is>
      </c>
      <c r="K1912" t="inlineStr"/>
      <c r="L1912" t="inlineStr">
        <is>
          <t>URGENT - actively exploited</t>
        </is>
      </c>
      <c r="M1912" t="inlineStr">
        <is>
          <t>CVE-2026-21519</t>
        </is>
      </c>
      <c r="N1912" t="inlineStr">
        <is>
          <t>P1</t>
        </is>
      </c>
      <c r="O1912" t="inlineStr">
        <is>
          <t>KEV entry - check specific CVEs for IP context</t>
        </is>
      </c>
      <c r="P1912" t="n">
        <v>0</v>
      </c>
      <c r="Q1912" t="n">
        <v>0</v>
      </c>
      <c r="R1912" t="inlineStr">
        <is>
          <t>T1190:Exploit Public-Facing Application</t>
        </is>
      </c>
      <c r="S1912" t="n">
        <v>2</v>
      </c>
      <c r="T1912" t="inlineStr">
        <is>
          <t>CONFIRMED (82%)</t>
        </is>
      </c>
      <c r="U1912" t="inlineStr">
        <is>
          <t>YES</t>
        </is>
      </c>
      <c r="V1912" t="inlineStr">
        <is>
          <t>URGENT</t>
        </is>
      </c>
      <c r="W1912" t="inlineStr">
        <is>
          <t>https://vulncheck.com/blog/vuln-check-kev</t>
        </is>
      </c>
      <c r="X1912" t="inlineStr">
        <is>
          <t>NONE</t>
        </is>
      </c>
      <c r="Y1912" t="n">
        <v>0</v>
      </c>
      <c r="Z1912" t="inlineStr"/>
      <c r="AA1912" t="inlineStr">
        <is>
          <t>https://vulncheck.com/blog/vuln-check-kev</t>
        </is>
      </c>
    </row>
    <row r="1913">
      <c r="A1913" t="inlineStr">
        <is>
          <t>VULNCHECK_KEV</t>
        </is>
      </c>
      <c r="B1913" t="inlineStr">
        <is>
          <t>e6c643c4aed6</t>
        </is>
      </c>
      <c r="C1913" t="inlineStr">
        <is>
          <t>VulnCheck KEV: Microsoft Office Word contains a reliance on untrusted inputs in a security decision vulnerability that could allow an authorized attacker to elevate privileges locally. | CVEs: CVE-2026-21514</t>
        </is>
      </c>
      <c r="D1913" t="n">
        <v>7</v>
      </c>
      <c r="E1913" t="inlineStr">
        <is>
          <t>HIGH</t>
        </is>
      </c>
      <c r="F1913" t="n">
        <v>3</v>
      </c>
      <c r="G1913" t="n">
        <v>2</v>
      </c>
      <c r="H1913" t="inlineStr">
        <is>
          <t>HIGH</t>
        </is>
      </c>
      <c r="I1913" t="n">
        <v>13</v>
      </c>
      <c r="J1913" t="inlineStr">
        <is>
          <t>YES</t>
        </is>
      </c>
      <c r="K1913" t="inlineStr"/>
      <c r="L1913" t="inlineStr">
        <is>
          <t>URGENT - actively exploited</t>
        </is>
      </c>
      <c r="M1913" t="inlineStr">
        <is>
          <t>CVE-2026-21514</t>
        </is>
      </c>
      <c r="N1913" t="inlineStr">
        <is>
          <t>P1</t>
        </is>
      </c>
      <c r="O1913" t="inlineStr">
        <is>
          <t>KEV entry - check specific CVEs for IP context</t>
        </is>
      </c>
      <c r="P1913" t="n">
        <v>0</v>
      </c>
      <c r="Q1913" t="n">
        <v>0</v>
      </c>
      <c r="R1913" t="inlineStr">
        <is>
          <t>T1190:Exploit Public-Facing Application</t>
        </is>
      </c>
      <c r="S1913" t="n">
        <v>2</v>
      </c>
      <c r="T1913" t="inlineStr">
        <is>
          <t>CONFIRMED (82%)</t>
        </is>
      </c>
      <c r="U1913" t="inlineStr">
        <is>
          <t>YES</t>
        </is>
      </c>
      <c r="V1913" t="inlineStr">
        <is>
          <t>URGENT</t>
        </is>
      </c>
      <c r="W1913" t="inlineStr">
        <is>
          <t>https://vulncheck.com/blog/vuln-check-kev</t>
        </is>
      </c>
      <c r="X1913" t="inlineStr">
        <is>
          <t>NONE</t>
        </is>
      </c>
      <c r="Y1913" t="n">
        <v>0</v>
      </c>
      <c r="Z1913" t="inlineStr"/>
      <c r="AA1913" t="inlineStr">
        <is>
          <t>https://vulncheck.com/blog/vuln-check-kev</t>
        </is>
      </c>
    </row>
    <row r="1914">
      <c r="A1914" t="inlineStr">
        <is>
          <t>VULNCHECK_KEV</t>
        </is>
      </c>
      <c r="B1914" t="inlineStr">
        <is>
          <t>5eef0ab51375</t>
        </is>
      </c>
      <c r="C1914" t="inlineStr">
        <is>
          <t>VulnCheck KEV: Microsoft MSHTML Framework contains a protection mechanism failure vulnerability that could allow an unauthorized attacker to bypass a security feature over a network. | CVEs: CVE-2026-21513</t>
        </is>
      </c>
      <c r="D1914" t="n">
        <v>7</v>
      </c>
      <c r="E1914" t="inlineStr">
        <is>
          <t>HIGH</t>
        </is>
      </c>
      <c r="F1914" t="n">
        <v>3</v>
      </c>
      <c r="G1914" t="n">
        <v>2</v>
      </c>
      <c r="H1914" t="inlineStr">
        <is>
          <t>HIGH</t>
        </is>
      </c>
      <c r="I1914" t="n">
        <v>13</v>
      </c>
      <c r="J1914" t="inlineStr">
        <is>
          <t>YES</t>
        </is>
      </c>
      <c r="K1914" t="inlineStr"/>
      <c r="L1914" t="inlineStr">
        <is>
          <t>URGENT - actively exploited</t>
        </is>
      </c>
      <c r="M1914" t="inlineStr">
        <is>
          <t>CVE-2026-21513</t>
        </is>
      </c>
      <c r="N1914" t="inlineStr">
        <is>
          <t>P1</t>
        </is>
      </c>
      <c r="O1914" t="inlineStr">
        <is>
          <t>KEV entry - check specific CVEs for IP context</t>
        </is>
      </c>
      <c r="P1914" t="n">
        <v>0</v>
      </c>
      <c r="Q1914" t="n">
        <v>0</v>
      </c>
      <c r="R1914" t="inlineStr">
        <is>
          <t>T1190:Exploit Public-Facing Application</t>
        </is>
      </c>
      <c r="S1914" t="n">
        <v>2</v>
      </c>
      <c r="T1914" t="inlineStr">
        <is>
          <t>CONFIRMED (82%)</t>
        </is>
      </c>
      <c r="U1914" t="inlineStr">
        <is>
          <t>YES</t>
        </is>
      </c>
      <c r="V1914" t="inlineStr">
        <is>
          <t>URGENT</t>
        </is>
      </c>
      <c r="W1914" t="inlineStr">
        <is>
          <t>https://vulncheck.com/blog/vuln-check-kev</t>
        </is>
      </c>
      <c r="X1914" t="inlineStr">
        <is>
          <t>NONE</t>
        </is>
      </c>
      <c r="Y1914" t="n">
        <v>0</v>
      </c>
      <c r="Z1914" t="inlineStr"/>
      <c r="AA1914" t="inlineStr">
        <is>
          <t>https://vulncheck.com/blog/vuln-check-kev</t>
        </is>
      </c>
    </row>
    <row r="1915">
      <c r="A1915" t="inlineStr">
        <is>
          <t>CISA_RANSOMWARE</t>
        </is>
      </c>
      <c r="B1915" t="inlineStr">
        <is>
          <t>2a06d3a072c1</t>
        </is>
      </c>
      <c r="C1915" t="inlineStr">
        <is>
          <t xml:space="preserve">🔒 CISA Stop Ransomware: CISA Adds Four Known Exploited Vulnerabilities to Catalog | Actors: </t>
        </is>
      </c>
      <c r="D1915" t="n">
        <v>9</v>
      </c>
      <c r="E1915" t="inlineStr">
        <is>
          <t>CRITICAL</t>
        </is>
      </c>
      <c r="F1915" t="n">
        <v>3</v>
      </c>
      <c r="G1915" t="n">
        <v>3</v>
      </c>
      <c r="H1915" t="inlineStr">
        <is>
          <t>CRITICAL</t>
        </is>
      </c>
      <c r="I1915" t="n">
        <v>18</v>
      </c>
      <c r="J1915" t="inlineStr">
        <is>
          <t>YES</t>
        </is>
      </c>
      <c r="K1915" t="inlineStr">
        <is>
          <t>2026-02-17</t>
        </is>
      </c>
      <c r="L1915" t="inlineStr">
        <is>
          <t>See advisory</t>
        </is>
      </c>
      <c r="M1915" t="inlineStr">
        <is>
          <t>All sectors</t>
        </is>
      </c>
      <c r="N1915" t="inlineStr">
        <is>
          <t>P1</t>
        </is>
      </c>
      <c r="O1915" t="inlineStr">
        <is>
          <t>Ransomware advisory - check IOCs for IP context</t>
        </is>
      </c>
      <c r="P1915" t="n">
        <v>0</v>
      </c>
      <c r="Q1915" t="n">
        <v>0</v>
      </c>
      <c r="R1915" t="inlineStr">
        <is>
          <t>T1486:Data Encrypted for Impact | T1490:Inhibit System Recovery | T1041:Exfiltration Over C2 Channel</t>
        </is>
      </c>
      <c r="S1915" t="n">
        <v>2</v>
      </c>
      <c r="T1915" t="inlineStr">
        <is>
          <t>CONFIRMED (82%)</t>
        </is>
      </c>
      <c r="U1915" t="inlineStr">
        <is>
          <t>NONE</t>
        </is>
      </c>
      <c r="V1915" t="inlineStr">
        <is>
          <t>NONE</t>
        </is>
      </c>
      <c r="W1915" t="inlineStr">
        <is>
          <t>NONE</t>
        </is>
      </c>
      <c r="X1915" t="inlineStr">
        <is>
          <t>NONE</t>
        </is>
      </c>
      <c r="Y1915" t="n">
        <v>0</v>
      </c>
      <c r="Z1915" t="inlineStr"/>
      <c r="AA1915" t="inlineStr">
        <is>
          <t>https://www.cisa.gov/stopransomware</t>
        </is>
      </c>
    </row>
    <row r="1916">
      <c r="A1916" t="inlineStr">
        <is>
          <t>FIREWALL_ADVISORY</t>
        </is>
      </c>
      <c r="B1916" t="inlineStr">
        <is>
          <t>PAN-ADV</t>
        </is>
      </c>
      <c r="C1916" t="inlineStr">
        <is>
          <t>PAN Advisory: PAN-OS: Memory Corruption Vulnerability in GlobalProtect Clientless VPN During SAML Authentication</t>
        </is>
      </c>
      <c r="D1916" t="n">
        <v>7.5</v>
      </c>
      <c r="E1916" t="inlineStr">
        <is>
          <t>HIGH</t>
        </is>
      </c>
      <c r="F1916" t="n">
        <v>2</v>
      </c>
      <c r="G1916" t="n">
        <v>2</v>
      </c>
      <c r="H1916" t="inlineStr">
        <is>
          <t>MEDIUM</t>
        </is>
      </c>
      <c r="I1916" t="n">
        <v>11.5</v>
      </c>
      <c r="J1916" t="inlineStr">
        <is>
          <t>NO</t>
        </is>
      </c>
      <c r="K1916" t="inlineStr">
        <is>
          <t>2026-02-23 23:48</t>
        </is>
      </c>
      <c r="L1916" t="inlineStr">
        <is>
          <t>YES - Apply vendor patch immediately</t>
        </is>
      </c>
      <c r="M1916" t="inlineStr">
        <is>
          <t>PAN-OS / GlobalProtect / Prisma / Cortex</t>
        </is>
      </c>
      <c r="N1916" t="inlineStr">
        <is>
          <t>P3</t>
        </is>
      </c>
      <c r="O1916" t="inlineStr">
        <is>
          <t>Firewall Advisory - Palo Alto Networks</t>
        </is>
      </c>
      <c r="P1916" t="n">
        <v>0</v>
      </c>
      <c r="Q1916" t="n">
        <v>0</v>
      </c>
      <c r="R1916" t="inlineStr">
        <is>
          <t>T1190:Exploit Public-Facing Application | T1133:External Remote Services</t>
        </is>
      </c>
      <c r="S1916" t="n">
        <v>2</v>
      </c>
      <c r="T1916" t="inlineStr">
        <is>
          <t>MEDIUM (52%)</t>
        </is>
      </c>
      <c r="U1916" t="inlineStr">
        <is>
          <t>CHECK_VENDOR</t>
        </is>
      </c>
      <c r="V1916" t="inlineStr">
        <is>
          <t>YES</t>
        </is>
      </c>
      <c r="W1916" t="inlineStr">
        <is>
          <t>https://security.paloaltonetworks.com/</t>
        </is>
      </c>
      <c r="X1916" t="inlineStr">
        <is>
          <t>NONE</t>
        </is>
      </c>
      <c r="Y1916" t="n">
        <v>0</v>
      </c>
      <c r="Z1916" t="inlineStr"/>
      <c r="AA1916" t="inlineStr">
        <is>
          <t>https://security.paloaltonetworks.com/</t>
        </is>
      </c>
    </row>
    <row r="1917">
      <c r="A1917" t="inlineStr">
        <is>
          <t>FIREWALL_ADVISORY</t>
        </is>
      </c>
      <c r="B1917" t="inlineStr">
        <is>
          <t>PAN-ADV</t>
        </is>
      </c>
      <c r="C1917" t="inlineStr">
        <is>
          <t>PAN Advisory:  PAN-OS: Firewall Denial of Service (DoS) in GlobalProtect Gateway and Portal</t>
        </is>
      </c>
      <c r="D1917" t="n">
        <v>7.5</v>
      </c>
      <c r="E1917" t="inlineStr">
        <is>
          <t>HIGH</t>
        </is>
      </c>
      <c r="F1917" t="n">
        <v>2</v>
      </c>
      <c r="G1917" t="n">
        <v>2</v>
      </c>
      <c r="H1917" t="inlineStr">
        <is>
          <t>MEDIUM</t>
        </is>
      </c>
      <c r="I1917" t="n">
        <v>11.5</v>
      </c>
      <c r="J1917" t="inlineStr">
        <is>
          <t>NO</t>
        </is>
      </c>
      <c r="K1917" t="inlineStr">
        <is>
          <t>2026-02-23 23:48</t>
        </is>
      </c>
      <c r="L1917" t="inlineStr">
        <is>
          <t>YES - Apply vendor patch immediately</t>
        </is>
      </c>
      <c r="M1917" t="inlineStr">
        <is>
          <t>PAN-OS / GlobalProtect / Prisma / Cortex</t>
        </is>
      </c>
      <c r="N1917" t="inlineStr">
        <is>
          <t>P3</t>
        </is>
      </c>
      <c r="O1917" t="inlineStr">
        <is>
          <t>Firewall Advisory - Palo Alto Networks</t>
        </is>
      </c>
      <c r="P1917" t="n">
        <v>0</v>
      </c>
      <c r="Q1917" t="n">
        <v>0</v>
      </c>
      <c r="R1917" t="inlineStr">
        <is>
          <t>T1190:Exploit Public-Facing Application | T1133:External Remote Services</t>
        </is>
      </c>
      <c r="S1917" t="n">
        <v>2</v>
      </c>
      <c r="T1917" t="inlineStr">
        <is>
          <t>MEDIUM (52%)</t>
        </is>
      </c>
      <c r="U1917" t="inlineStr">
        <is>
          <t>CHECK_VENDOR</t>
        </is>
      </c>
      <c r="V1917" t="inlineStr">
        <is>
          <t>YES</t>
        </is>
      </c>
      <c r="W1917" t="inlineStr">
        <is>
          <t>https://security.paloaltonetworks.com/</t>
        </is>
      </c>
      <c r="X1917" t="inlineStr">
        <is>
          <t>NONE</t>
        </is>
      </c>
      <c r="Y1917" t="n">
        <v>0</v>
      </c>
      <c r="Z1917" t="inlineStr"/>
      <c r="AA1917" t="inlineStr">
        <is>
          <t>https://security.paloaltonetworks.com/</t>
        </is>
      </c>
    </row>
    <row r="1918">
      <c r="A1918" t="inlineStr">
        <is>
          <t>FIREWALL_ADVISORY</t>
        </is>
      </c>
      <c r="B1918" t="inlineStr">
        <is>
          <t>PAN-ADV</t>
        </is>
      </c>
      <c r="C1918" t="inlineStr">
        <is>
          <t>PAN Advisory: Chromium: Monthly Vulnerability Update (February 2026)</t>
        </is>
      </c>
      <c r="D1918" t="n">
        <v>7.5</v>
      </c>
      <c r="E1918" t="inlineStr">
        <is>
          <t>HIGH</t>
        </is>
      </c>
      <c r="F1918" t="n">
        <v>2</v>
      </c>
      <c r="G1918" t="n">
        <v>2</v>
      </c>
      <c r="H1918" t="inlineStr">
        <is>
          <t>MEDIUM</t>
        </is>
      </c>
      <c r="I1918" t="n">
        <v>11.5</v>
      </c>
      <c r="J1918" t="inlineStr">
        <is>
          <t>NO</t>
        </is>
      </c>
      <c r="K1918" t="inlineStr">
        <is>
          <t>2026-02-23 23:48</t>
        </is>
      </c>
      <c r="L1918" t="inlineStr">
        <is>
          <t>YES - Apply vendor patch immediately</t>
        </is>
      </c>
      <c r="M1918" t="inlineStr">
        <is>
          <t>PAN-OS / GlobalProtect / Prisma / Cortex</t>
        </is>
      </c>
      <c r="N1918" t="inlineStr">
        <is>
          <t>P3</t>
        </is>
      </c>
      <c r="O1918" t="inlineStr">
        <is>
          <t>Firewall Advisory - Palo Alto Networks</t>
        </is>
      </c>
      <c r="P1918" t="n">
        <v>0</v>
      </c>
      <c r="Q1918" t="n">
        <v>0</v>
      </c>
      <c r="R1918" t="inlineStr">
        <is>
          <t>T1190:Exploit Public-Facing Application | T1133:External Remote Services</t>
        </is>
      </c>
      <c r="S1918" t="n">
        <v>2</v>
      </c>
      <c r="T1918" t="inlineStr">
        <is>
          <t>MEDIUM (52%)</t>
        </is>
      </c>
      <c r="U1918" t="inlineStr">
        <is>
          <t>CHECK_VENDOR</t>
        </is>
      </c>
      <c r="V1918" t="inlineStr">
        <is>
          <t>YES</t>
        </is>
      </c>
      <c r="W1918" t="inlineStr">
        <is>
          <t>https://security.paloaltonetworks.com/</t>
        </is>
      </c>
      <c r="X1918" t="inlineStr">
        <is>
          <t>NONE</t>
        </is>
      </c>
      <c r="Y1918" t="n">
        <v>0</v>
      </c>
      <c r="Z1918" t="inlineStr"/>
      <c r="AA1918" t="inlineStr">
        <is>
          <t>https://security.paloaltonetworks.com/</t>
        </is>
      </c>
    </row>
    <row r="1919">
      <c r="A1919" t="inlineStr">
        <is>
          <t>FIREWALL_ADVISORY</t>
        </is>
      </c>
      <c r="B1919" t="inlineStr">
        <is>
          <t>PAN-ADV</t>
        </is>
      </c>
      <c r="C1919" t="inlineStr">
        <is>
          <t>PAN Advisory: Chromium: Monthly Vulnerability Updates</t>
        </is>
      </c>
      <c r="D1919" t="n">
        <v>7.5</v>
      </c>
      <c r="E1919" t="inlineStr">
        <is>
          <t>HIGH</t>
        </is>
      </c>
      <c r="F1919" t="n">
        <v>2</v>
      </c>
      <c r="G1919" t="n">
        <v>2</v>
      </c>
      <c r="H1919" t="inlineStr">
        <is>
          <t>MEDIUM</t>
        </is>
      </c>
      <c r="I1919" t="n">
        <v>11.5</v>
      </c>
      <c r="J1919" t="inlineStr">
        <is>
          <t>NO</t>
        </is>
      </c>
      <c r="K1919" t="inlineStr">
        <is>
          <t>2026-02-23 23:48</t>
        </is>
      </c>
      <c r="L1919" t="inlineStr">
        <is>
          <t>YES - Apply vendor patch immediately</t>
        </is>
      </c>
      <c r="M1919" t="inlineStr">
        <is>
          <t>PAN-OS / GlobalProtect / Prisma / Cortex</t>
        </is>
      </c>
      <c r="N1919" t="inlineStr">
        <is>
          <t>P3</t>
        </is>
      </c>
      <c r="O1919" t="inlineStr">
        <is>
          <t>Firewall Advisory - Palo Alto Networks</t>
        </is>
      </c>
      <c r="P1919" t="n">
        <v>0</v>
      </c>
      <c r="Q1919" t="n">
        <v>0</v>
      </c>
      <c r="R1919" t="inlineStr">
        <is>
          <t>T1190:Exploit Public-Facing Application | T1133:External Remote Services</t>
        </is>
      </c>
      <c r="S1919" t="n">
        <v>2</v>
      </c>
      <c r="T1919" t="inlineStr">
        <is>
          <t>MEDIUM (52%)</t>
        </is>
      </c>
      <c r="U1919" t="inlineStr">
        <is>
          <t>CHECK_VENDOR</t>
        </is>
      </c>
      <c r="V1919" t="inlineStr">
        <is>
          <t>YES</t>
        </is>
      </c>
      <c r="W1919" t="inlineStr">
        <is>
          <t>https://security.paloaltonetworks.com/</t>
        </is>
      </c>
      <c r="X1919" t="inlineStr">
        <is>
          <t>NONE</t>
        </is>
      </c>
      <c r="Y1919" t="n">
        <v>0</v>
      </c>
      <c r="Z1919" t="inlineStr"/>
      <c r="AA1919" t="inlineStr">
        <is>
          <t>https://security.paloaltonetworks.com/</t>
        </is>
      </c>
    </row>
    <row r="1920">
      <c r="A1920" t="inlineStr">
        <is>
          <t>FIREWALL_ADVISORY</t>
        </is>
      </c>
      <c r="B1920" t="inlineStr">
        <is>
          <t>PAN-ADV</t>
        </is>
      </c>
      <c r="C1920" t="inlineStr">
        <is>
          <t>PAN Advisory: Secdo: Privilege escalation via hardcoded script path</t>
        </is>
      </c>
      <c r="D1920" t="n">
        <v>7.5</v>
      </c>
      <c r="E1920" t="inlineStr">
        <is>
          <t>HIGH</t>
        </is>
      </c>
      <c r="F1920" t="n">
        <v>2</v>
      </c>
      <c r="G1920" t="n">
        <v>2</v>
      </c>
      <c r="H1920" t="inlineStr">
        <is>
          <t>MEDIUM</t>
        </is>
      </c>
      <c r="I1920" t="n">
        <v>11.5</v>
      </c>
      <c r="J1920" t="inlineStr">
        <is>
          <t>NO</t>
        </is>
      </c>
      <c r="K1920" t="inlineStr">
        <is>
          <t>2026-02-23 23:48</t>
        </is>
      </c>
      <c r="L1920" t="inlineStr">
        <is>
          <t>YES - Apply vendor patch immediately</t>
        </is>
      </c>
      <c r="M1920" t="inlineStr">
        <is>
          <t>PAN-OS / GlobalProtect / Prisma / Cortex</t>
        </is>
      </c>
      <c r="N1920" t="inlineStr">
        <is>
          <t>P3</t>
        </is>
      </c>
      <c r="O1920" t="inlineStr">
        <is>
          <t>Firewall Advisory - Palo Alto Networks</t>
        </is>
      </c>
      <c r="P1920" t="n">
        <v>0</v>
      </c>
      <c r="Q1920" t="n">
        <v>0</v>
      </c>
      <c r="R1920" t="inlineStr">
        <is>
          <t>T1190:Exploit Public-Facing Application | T1133:External Remote Services</t>
        </is>
      </c>
      <c r="S1920" t="n">
        <v>2</v>
      </c>
      <c r="T1920" t="inlineStr">
        <is>
          <t>MEDIUM (52%)</t>
        </is>
      </c>
      <c r="U1920" t="inlineStr">
        <is>
          <t>CHECK_VENDOR</t>
        </is>
      </c>
      <c r="V1920" t="inlineStr">
        <is>
          <t>YES</t>
        </is>
      </c>
      <c r="W1920" t="inlineStr">
        <is>
          <t>https://security.paloaltonetworks.com/</t>
        </is>
      </c>
      <c r="X1920" t="inlineStr">
        <is>
          <t>NONE</t>
        </is>
      </c>
      <c r="Y1920" t="n">
        <v>0</v>
      </c>
      <c r="Z1920" t="inlineStr"/>
      <c r="AA1920" t="inlineStr">
        <is>
          <t>https://security.paloaltonetworks.com/</t>
        </is>
      </c>
    </row>
    <row r="1921">
      <c r="A1921" t="inlineStr">
        <is>
          <t>FIREWALL_ADVISORY</t>
        </is>
      </c>
      <c r="B1921" t="inlineStr">
        <is>
          <t>PAN-ADV</t>
        </is>
      </c>
      <c r="C1921" t="inlineStr">
        <is>
          <t xml:space="preserve">PAN Advisory: Secdo: Incorrect Default Permissions </t>
        </is>
      </c>
      <c r="D1921" t="n">
        <v>7.5</v>
      </c>
      <c r="E1921" t="inlineStr">
        <is>
          <t>HIGH</t>
        </is>
      </c>
      <c r="F1921" t="n">
        <v>2</v>
      </c>
      <c r="G1921" t="n">
        <v>2</v>
      </c>
      <c r="H1921" t="inlineStr">
        <is>
          <t>MEDIUM</t>
        </is>
      </c>
      <c r="I1921" t="n">
        <v>11.5</v>
      </c>
      <c r="J1921" t="inlineStr">
        <is>
          <t>NO</t>
        </is>
      </c>
      <c r="K1921" t="inlineStr">
        <is>
          <t>2026-02-23 23:48</t>
        </is>
      </c>
      <c r="L1921" t="inlineStr">
        <is>
          <t>YES - Apply vendor patch immediately</t>
        </is>
      </c>
      <c r="M1921" t="inlineStr">
        <is>
          <t>PAN-OS / GlobalProtect / Prisma / Cortex</t>
        </is>
      </c>
      <c r="N1921" t="inlineStr">
        <is>
          <t>P3</t>
        </is>
      </c>
      <c r="O1921" t="inlineStr">
        <is>
          <t>Firewall Advisory - Palo Alto Networks</t>
        </is>
      </c>
      <c r="P1921" t="n">
        <v>0</v>
      </c>
      <c r="Q1921" t="n">
        <v>0</v>
      </c>
      <c r="R1921" t="inlineStr">
        <is>
          <t>T1190:Exploit Public-Facing Application | T1133:External Remote Services</t>
        </is>
      </c>
      <c r="S1921" t="n">
        <v>2</v>
      </c>
      <c r="T1921" t="inlineStr">
        <is>
          <t>MEDIUM (52%)</t>
        </is>
      </c>
      <c r="U1921" t="inlineStr">
        <is>
          <t>CHECK_VENDOR</t>
        </is>
      </c>
      <c r="V1921" t="inlineStr">
        <is>
          <t>YES</t>
        </is>
      </c>
      <c r="W1921" t="inlineStr">
        <is>
          <t>https://security.paloaltonetworks.com/</t>
        </is>
      </c>
      <c r="X1921" t="inlineStr">
        <is>
          <t>NONE</t>
        </is>
      </c>
      <c r="Y1921" t="n">
        <v>0</v>
      </c>
      <c r="Z1921" t="inlineStr"/>
      <c r="AA1921" t="inlineStr">
        <is>
          <t>https://security.paloaltonetworks.com/</t>
        </is>
      </c>
    </row>
    <row r="1922">
      <c r="A1922" t="inlineStr">
        <is>
          <t>FIREWALL_ADVISORY</t>
        </is>
      </c>
      <c r="B1922" t="inlineStr">
        <is>
          <t>PAN-ADV</t>
        </is>
      </c>
      <c r="C1922" t="inlineStr">
        <is>
          <t>PAN Advisory: PAN-OS OpenConfig Plugin: Command Injection Vulnerability in OpenConfig Plugin</t>
        </is>
      </c>
      <c r="D1922" t="n">
        <v>7.5</v>
      </c>
      <c r="E1922" t="inlineStr">
        <is>
          <t>HIGH</t>
        </is>
      </c>
      <c r="F1922" t="n">
        <v>2</v>
      </c>
      <c r="G1922" t="n">
        <v>2</v>
      </c>
      <c r="H1922" t="inlineStr">
        <is>
          <t>MEDIUM</t>
        </is>
      </c>
      <c r="I1922" t="n">
        <v>11.5</v>
      </c>
      <c r="J1922" t="inlineStr">
        <is>
          <t>NO</t>
        </is>
      </c>
      <c r="K1922" t="inlineStr">
        <is>
          <t>2026-02-23 23:48</t>
        </is>
      </c>
      <c r="L1922" t="inlineStr">
        <is>
          <t>YES - Apply vendor patch immediately</t>
        </is>
      </c>
      <c r="M1922" t="inlineStr">
        <is>
          <t>PAN-OS / GlobalProtect / Prisma / Cortex</t>
        </is>
      </c>
      <c r="N1922" t="inlineStr">
        <is>
          <t>P3</t>
        </is>
      </c>
      <c r="O1922" t="inlineStr">
        <is>
          <t>Firewall Advisory - Palo Alto Networks</t>
        </is>
      </c>
      <c r="P1922" t="n">
        <v>0</v>
      </c>
      <c r="Q1922" t="n">
        <v>0</v>
      </c>
      <c r="R1922" t="inlineStr">
        <is>
          <t>T1190:Exploit Public-Facing Application | T1133:External Remote Services</t>
        </is>
      </c>
      <c r="S1922" t="n">
        <v>2</v>
      </c>
      <c r="T1922" t="inlineStr">
        <is>
          <t>MEDIUM (52%)</t>
        </is>
      </c>
      <c r="U1922" t="inlineStr">
        <is>
          <t>CHECK_VENDOR</t>
        </is>
      </c>
      <c r="V1922" t="inlineStr">
        <is>
          <t>YES</t>
        </is>
      </c>
      <c r="W1922" t="inlineStr">
        <is>
          <t>https://security.paloaltonetworks.com/</t>
        </is>
      </c>
      <c r="X1922" t="inlineStr">
        <is>
          <t>NONE</t>
        </is>
      </c>
      <c r="Y1922" t="n">
        <v>0</v>
      </c>
      <c r="Z1922" t="inlineStr"/>
      <c r="AA1922" t="inlineStr">
        <is>
          <t>https://security.paloaltonetworks.com/</t>
        </is>
      </c>
    </row>
    <row r="1923">
      <c r="A1923" t="inlineStr">
        <is>
          <t>FIREWALL_ADVISORY</t>
        </is>
      </c>
      <c r="B1923" t="inlineStr">
        <is>
          <t>CPAI-2025-12332</t>
        </is>
      </c>
      <c r="C1923" t="inlineStr">
        <is>
          <t>Check Point Advisory: CPAI-2025-12332 | The post CPAI-2025-12332 appeared first on Check Point Software .</t>
        </is>
      </c>
      <c r="D1923" t="n">
        <v>7.5</v>
      </c>
      <c r="E1923" t="inlineStr">
        <is>
          <t>HIGH</t>
        </is>
      </c>
      <c r="F1923" t="n">
        <v>2</v>
      </c>
      <c r="G1923" t="n">
        <v>2</v>
      </c>
      <c r="H1923" t="inlineStr">
        <is>
          <t>MEDIUM</t>
        </is>
      </c>
      <c r="I1923" t="n">
        <v>11.5</v>
      </c>
      <c r="J1923" t="inlineStr">
        <is>
          <t>NO</t>
        </is>
      </c>
      <c r="K1923" t="inlineStr">
        <is>
          <t>2026-02-23 23:48</t>
        </is>
      </c>
      <c r="L1923" t="inlineStr">
        <is>
          <t>YES - Apply vendor patch immediately</t>
        </is>
      </c>
      <c r="M1923" t="inlineStr">
        <is>
          <t>Check Point Gaia OS / CloudGuard / Quantum</t>
        </is>
      </c>
      <c r="N1923" t="inlineStr">
        <is>
          <t>P3</t>
        </is>
      </c>
      <c r="O1923" t="inlineStr">
        <is>
          <t>Firewall Advisory - Check Point</t>
        </is>
      </c>
      <c r="P1923" t="n">
        <v>0</v>
      </c>
      <c r="Q1923" t="n">
        <v>0</v>
      </c>
      <c r="R1923" t="inlineStr">
        <is>
          <t>T1190:Exploit Public-Facing Application | T1133:External Remote Services</t>
        </is>
      </c>
      <c r="S1923" t="n">
        <v>2</v>
      </c>
      <c r="T1923" t="inlineStr">
        <is>
          <t>MEDIUM (52%)</t>
        </is>
      </c>
      <c r="U1923" t="inlineStr">
        <is>
          <t>CHECK_VENDOR</t>
        </is>
      </c>
      <c r="V1923" t="inlineStr">
        <is>
          <t>YES</t>
        </is>
      </c>
      <c r="W1923" t="inlineStr">
        <is>
          <t>/defense/advisories/public/2026/cpai-2025-12332.html</t>
        </is>
      </c>
      <c r="X1923" t="inlineStr">
        <is>
          <t>NONE</t>
        </is>
      </c>
      <c r="Y1923" t="n">
        <v>0</v>
      </c>
      <c r="Z1923" t="inlineStr"/>
      <c r="AA1923" t="inlineStr">
        <is>
          <t>/defense/advisories/public/2026/cpai-2025-12332.html</t>
        </is>
      </c>
    </row>
    <row r="1924">
      <c r="A1924" t="inlineStr">
        <is>
          <t>FIREWALL_ADVISORY</t>
        </is>
      </c>
      <c r="B1924" t="inlineStr">
        <is>
          <t>CPAI-2026-0972</t>
        </is>
      </c>
      <c r="C1924" t="inlineStr">
        <is>
          <t>Check Point Advisory: CPAI-2026-0972 | The post CPAI-2026-0972 appeared first on Check Point Software .</t>
        </is>
      </c>
      <c r="D1924" t="n">
        <v>7.5</v>
      </c>
      <c r="E1924" t="inlineStr">
        <is>
          <t>HIGH</t>
        </is>
      </c>
      <c r="F1924" t="n">
        <v>2</v>
      </c>
      <c r="G1924" t="n">
        <v>2</v>
      </c>
      <c r="H1924" t="inlineStr">
        <is>
          <t>MEDIUM</t>
        </is>
      </c>
      <c r="I1924" t="n">
        <v>11.5</v>
      </c>
      <c r="J1924" t="inlineStr">
        <is>
          <t>NO</t>
        </is>
      </c>
      <c r="K1924" t="inlineStr">
        <is>
          <t>2026-02-23 23:48</t>
        </is>
      </c>
      <c r="L1924" t="inlineStr">
        <is>
          <t>YES - Apply vendor patch immediately</t>
        </is>
      </c>
      <c r="M1924" t="inlineStr">
        <is>
          <t>Check Point Gaia OS / CloudGuard / Quantum</t>
        </is>
      </c>
      <c r="N1924" t="inlineStr">
        <is>
          <t>P3</t>
        </is>
      </c>
      <c r="O1924" t="inlineStr">
        <is>
          <t>Firewall Advisory - Check Point</t>
        </is>
      </c>
      <c r="P1924" t="n">
        <v>0</v>
      </c>
      <c r="Q1924" t="n">
        <v>0</v>
      </c>
      <c r="R1924" t="inlineStr">
        <is>
          <t>T1190:Exploit Public-Facing Application | T1133:External Remote Services</t>
        </is>
      </c>
      <c r="S1924" t="n">
        <v>2</v>
      </c>
      <c r="T1924" t="inlineStr">
        <is>
          <t>MEDIUM (52%)</t>
        </is>
      </c>
      <c r="U1924" t="inlineStr">
        <is>
          <t>CHECK_VENDOR</t>
        </is>
      </c>
      <c r="V1924" t="inlineStr">
        <is>
          <t>YES</t>
        </is>
      </c>
      <c r="W1924" t="inlineStr">
        <is>
          <t>/defense/advisories/public/2026/cpai-2026-0972.html</t>
        </is>
      </c>
      <c r="X1924" t="inlineStr">
        <is>
          <t>NONE</t>
        </is>
      </c>
      <c r="Y1924" t="n">
        <v>0</v>
      </c>
      <c r="Z1924" t="inlineStr"/>
      <c r="AA1924" t="inlineStr">
        <is>
          <t>/defense/advisories/public/2026/cpai-2026-0972.html</t>
        </is>
      </c>
    </row>
    <row r="1925">
      <c r="A1925" t="inlineStr">
        <is>
          <t>FIREWALL_ADVISORY</t>
        </is>
      </c>
      <c r="B1925" t="inlineStr">
        <is>
          <t>CPAI-2025-12360</t>
        </is>
      </c>
      <c r="C1925" t="inlineStr">
        <is>
          <t>Check Point Advisory: CPAI-2025-12360 | The post CPAI-2025-12360 appeared first on Check Point Software .</t>
        </is>
      </c>
      <c r="D1925" t="n">
        <v>7.5</v>
      </c>
      <c r="E1925" t="inlineStr">
        <is>
          <t>HIGH</t>
        </is>
      </c>
      <c r="F1925" t="n">
        <v>2</v>
      </c>
      <c r="G1925" t="n">
        <v>2</v>
      </c>
      <c r="H1925" t="inlineStr">
        <is>
          <t>MEDIUM</t>
        </is>
      </c>
      <c r="I1925" t="n">
        <v>11.5</v>
      </c>
      <c r="J1925" t="inlineStr">
        <is>
          <t>NO</t>
        </is>
      </c>
      <c r="K1925" t="inlineStr">
        <is>
          <t>2026-02-23 23:48</t>
        </is>
      </c>
      <c r="L1925" t="inlineStr">
        <is>
          <t>YES - Apply vendor patch immediately</t>
        </is>
      </c>
      <c r="M1925" t="inlineStr">
        <is>
          <t>Check Point Gaia OS / CloudGuard / Quantum</t>
        </is>
      </c>
      <c r="N1925" t="inlineStr">
        <is>
          <t>P3</t>
        </is>
      </c>
      <c r="O1925" t="inlineStr">
        <is>
          <t>Firewall Advisory - Check Point</t>
        </is>
      </c>
      <c r="P1925" t="n">
        <v>0</v>
      </c>
      <c r="Q1925" t="n">
        <v>0</v>
      </c>
      <c r="R1925" t="inlineStr">
        <is>
          <t>T1190:Exploit Public-Facing Application | T1133:External Remote Services</t>
        </is>
      </c>
      <c r="S1925" t="n">
        <v>2</v>
      </c>
      <c r="T1925" t="inlineStr">
        <is>
          <t>MEDIUM (52%)</t>
        </is>
      </c>
      <c r="U1925" t="inlineStr">
        <is>
          <t>CHECK_VENDOR</t>
        </is>
      </c>
      <c r="V1925" t="inlineStr">
        <is>
          <t>YES</t>
        </is>
      </c>
      <c r="W1925" t="inlineStr">
        <is>
          <t>/defense/advisories/public/2026/cpai-2025-12360.html</t>
        </is>
      </c>
      <c r="X1925" t="inlineStr">
        <is>
          <t>NONE</t>
        </is>
      </c>
      <c r="Y1925" t="n">
        <v>0</v>
      </c>
      <c r="Z1925" t="inlineStr"/>
      <c r="AA1925" t="inlineStr">
        <is>
          <t>/defense/advisories/public/2026/cpai-2025-12360.html</t>
        </is>
      </c>
    </row>
    <row r="1926">
      <c r="A1926" t="inlineStr">
        <is>
          <t>FIREWALL_ADVISORY</t>
        </is>
      </c>
      <c r="B1926" t="inlineStr">
        <is>
          <t>CPAI-2026-0907</t>
        </is>
      </c>
      <c r="C1926" t="inlineStr">
        <is>
          <t>Check Point Advisory: CPAI-2026-0907 | The post CPAI-2026-0907 appeared first on Check Point Software .</t>
        </is>
      </c>
      <c r="D1926" t="n">
        <v>7.5</v>
      </c>
      <c r="E1926" t="inlineStr">
        <is>
          <t>HIGH</t>
        </is>
      </c>
      <c r="F1926" t="n">
        <v>2</v>
      </c>
      <c r="G1926" t="n">
        <v>2</v>
      </c>
      <c r="H1926" t="inlineStr">
        <is>
          <t>MEDIUM</t>
        </is>
      </c>
      <c r="I1926" t="n">
        <v>11.5</v>
      </c>
      <c r="J1926" t="inlineStr">
        <is>
          <t>NO</t>
        </is>
      </c>
      <c r="K1926" t="inlineStr">
        <is>
          <t>2026-02-23 23:48</t>
        </is>
      </c>
      <c r="L1926" t="inlineStr">
        <is>
          <t>YES - Apply vendor patch immediately</t>
        </is>
      </c>
      <c r="M1926" t="inlineStr">
        <is>
          <t>Check Point Gaia OS / CloudGuard / Quantum</t>
        </is>
      </c>
      <c r="N1926" t="inlineStr">
        <is>
          <t>P3</t>
        </is>
      </c>
      <c r="O1926" t="inlineStr">
        <is>
          <t>Firewall Advisory - Check Point</t>
        </is>
      </c>
      <c r="P1926" t="n">
        <v>0</v>
      </c>
      <c r="Q1926" t="n">
        <v>0</v>
      </c>
      <c r="R1926" t="inlineStr">
        <is>
          <t>T1190:Exploit Public-Facing Application | T1133:External Remote Services</t>
        </is>
      </c>
      <c r="S1926" t="n">
        <v>2</v>
      </c>
      <c r="T1926" t="inlineStr">
        <is>
          <t>MEDIUM (52%)</t>
        </is>
      </c>
      <c r="U1926" t="inlineStr">
        <is>
          <t>CHECK_VENDOR</t>
        </is>
      </c>
      <c r="V1926" t="inlineStr">
        <is>
          <t>YES</t>
        </is>
      </c>
      <c r="W1926" t="inlineStr">
        <is>
          <t>/defense/advisories/public/2026/cpai-2026-0907.html</t>
        </is>
      </c>
      <c r="X1926" t="inlineStr">
        <is>
          <t>NONE</t>
        </is>
      </c>
      <c r="Y1926" t="n">
        <v>0</v>
      </c>
      <c r="Z1926" t="inlineStr"/>
      <c r="AA1926" t="inlineStr">
        <is>
          <t>/defense/advisories/public/2026/cpai-2026-0907.html</t>
        </is>
      </c>
    </row>
    <row r="1927">
      <c r="A1927" t="inlineStr">
        <is>
          <t>FIREWALL_ADVISORY</t>
        </is>
      </c>
      <c r="B1927" t="inlineStr">
        <is>
          <t>CPAI-2025-12342</t>
        </is>
      </c>
      <c r="C1927" t="inlineStr">
        <is>
          <t>Check Point Advisory: CPAI-2025-12342 | The post CPAI-2025-12342 appeared first on Check Point Software .</t>
        </is>
      </c>
      <c r="D1927" t="n">
        <v>7.5</v>
      </c>
      <c r="E1927" t="inlineStr">
        <is>
          <t>HIGH</t>
        </is>
      </c>
      <c r="F1927" t="n">
        <v>2</v>
      </c>
      <c r="G1927" t="n">
        <v>2</v>
      </c>
      <c r="H1927" t="inlineStr">
        <is>
          <t>MEDIUM</t>
        </is>
      </c>
      <c r="I1927" t="n">
        <v>11.5</v>
      </c>
      <c r="J1927" t="inlineStr">
        <is>
          <t>NO</t>
        </is>
      </c>
      <c r="K1927" t="inlineStr">
        <is>
          <t>2026-02-23 23:48</t>
        </is>
      </c>
      <c r="L1927" t="inlineStr">
        <is>
          <t>YES - Apply vendor patch immediately</t>
        </is>
      </c>
      <c r="M1927" t="inlineStr">
        <is>
          <t>Check Point Gaia OS / CloudGuard / Quantum</t>
        </is>
      </c>
      <c r="N1927" t="inlineStr">
        <is>
          <t>P3</t>
        </is>
      </c>
      <c r="O1927" t="inlineStr">
        <is>
          <t>Firewall Advisory - Check Point</t>
        </is>
      </c>
      <c r="P1927" t="n">
        <v>0</v>
      </c>
      <c r="Q1927" t="n">
        <v>0</v>
      </c>
      <c r="R1927" t="inlineStr">
        <is>
          <t>T1190:Exploit Public-Facing Application | T1133:External Remote Services</t>
        </is>
      </c>
      <c r="S1927" t="n">
        <v>2</v>
      </c>
      <c r="T1927" t="inlineStr">
        <is>
          <t>MEDIUM (52%)</t>
        </is>
      </c>
      <c r="U1927" t="inlineStr">
        <is>
          <t>CHECK_VENDOR</t>
        </is>
      </c>
      <c r="V1927" t="inlineStr">
        <is>
          <t>YES</t>
        </is>
      </c>
      <c r="W1927" t="inlineStr">
        <is>
          <t>/defense/advisories/public/2026/cpai-2025-12342.html</t>
        </is>
      </c>
      <c r="X1927" t="inlineStr">
        <is>
          <t>NONE</t>
        </is>
      </c>
      <c r="Y1927" t="n">
        <v>0</v>
      </c>
      <c r="Z1927" t="inlineStr"/>
      <c r="AA1927" t="inlineStr">
        <is>
          <t>/defense/advisories/public/2026/cpai-2025-12342.html</t>
        </is>
      </c>
    </row>
    <row r="1928">
      <c r="A1928" t="inlineStr">
        <is>
          <t>FIREWALL_ADVISORY</t>
        </is>
      </c>
      <c r="B1928" t="inlineStr">
        <is>
          <t>WatchG-ADV</t>
        </is>
      </c>
      <c r="C1928" t="inlineStr">
        <is>
          <t>WatchGuard Advisory: WatchGuard Firebox LDAP Injection | WatchGuard Firebox LDAP Injection Advisory ID &lt;div class="field__it</t>
        </is>
      </c>
      <c r="D1928" t="n">
        <v>7.5</v>
      </c>
      <c r="E1928" t="inlineStr">
        <is>
          <t>HIGH</t>
        </is>
      </c>
      <c r="F1928" t="n">
        <v>2</v>
      </c>
      <c r="G1928" t="n">
        <v>2</v>
      </c>
      <c r="H1928" t="inlineStr">
        <is>
          <t>MEDIUM</t>
        </is>
      </c>
      <c r="I1928" t="n">
        <v>11.5</v>
      </c>
      <c r="J1928" t="inlineStr">
        <is>
          <t>NO</t>
        </is>
      </c>
      <c r="K1928" t="inlineStr">
        <is>
          <t>2026-02-23 23:48</t>
        </is>
      </c>
      <c r="L1928" t="inlineStr">
        <is>
          <t>YES - Apply vendor patch immediately</t>
        </is>
      </c>
      <c r="M1928" t="inlineStr">
        <is>
          <t>WatchGuard Firebox / FireboxV / WatchGuard Cloud</t>
        </is>
      </c>
      <c r="N1928" t="inlineStr">
        <is>
          <t>P3</t>
        </is>
      </c>
      <c r="O1928" t="inlineStr">
        <is>
          <t>Firewall Advisory - WatchGuard</t>
        </is>
      </c>
      <c r="P1928" t="n">
        <v>0</v>
      </c>
      <c r="Q1928" t="n">
        <v>0</v>
      </c>
      <c r="R1928" t="inlineStr">
        <is>
          <t>T1190:Exploit Public-Facing Application | T1133:External Remote Services</t>
        </is>
      </c>
      <c r="S1928" t="n">
        <v>2</v>
      </c>
      <c r="T1928" t="inlineStr">
        <is>
          <t>MEDIUM (52%)</t>
        </is>
      </c>
      <c r="U1928" t="inlineStr">
        <is>
          <t>CHECK_VENDOR</t>
        </is>
      </c>
      <c r="V1928" t="inlineStr">
        <is>
          <t>YES</t>
        </is>
      </c>
      <c r="W1928" t="inlineStr">
        <is>
          <t>https://www.watchguard.com/wgrd-psirt/advisory/wgsa-2026-00001</t>
        </is>
      </c>
      <c r="X1928" t="inlineStr">
        <is>
          <t>NONE</t>
        </is>
      </c>
      <c r="Y1928" t="n">
        <v>0</v>
      </c>
      <c r="Z1928" t="inlineStr"/>
      <c r="AA1928" t="inlineStr">
        <is>
          <t>https://www.watchguard.com/wgrd-psirt/advisory/wgsa-2026-00001</t>
        </is>
      </c>
    </row>
    <row r="1929">
      <c r="A1929" t="inlineStr">
        <is>
          <t>FIREWALL_ADVISORY</t>
        </is>
      </c>
      <c r="B1929" t="inlineStr">
        <is>
          <t>WatchG-ADV</t>
        </is>
      </c>
      <c r="C1929" t="inlineStr">
        <is>
          <t>WatchGuard Advisory: NCP IPSec VPN Client MSI Installer Privilege Escallation (NCPVE-2025-0626) | NCP IPSec VPN Client MSI Installer Privilege Escallation (NCPVE-2025-0626) Advisory ID</t>
        </is>
      </c>
      <c r="D1929" t="n">
        <v>7.5</v>
      </c>
      <c r="E1929" t="inlineStr">
        <is>
          <t>HIGH</t>
        </is>
      </c>
      <c r="F1929" t="n">
        <v>2</v>
      </c>
      <c r="G1929" t="n">
        <v>2</v>
      </c>
      <c r="H1929" t="inlineStr">
        <is>
          <t>MEDIUM</t>
        </is>
      </c>
      <c r="I1929" t="n">
        <v>11.5</v>
      </c>
      <c r="J1929" t="inlineStr">
        <is>
          <t>NO</t>
        </is>
      </c>
      <c r="K1929" t="inlineStr">
        <is>
          <t>2026-02-23 23:48</t>
        </is>
      </c>
      <c r="L1929" t="inlineStr">
        <is>
          <t>YES - Apply vendor patch immediately</t>
        </is>
      </c>
      <c r="M1929" t="inlineStr">
        <is>
          <t>WatchGuard Firebox / FireboxV / WatchGuard Cloud</t>
        </is>
      </c>
      <c r="N1929" t="inlineStr">
        <is>
          <t>P3</t>
        </is>
      </c>
      <c r="O1929" t="inlineStr">
        <is>
          <t>Firewall Advisory - WatchGuard</t>
        </is>
      </c>
      <c r="P1929" t="n">
        <v>0</v>
      </c>
      <c r="Q1929" t="n">
        <v>0</v>
      </c>
      <c r="R1929" t="inlineStr">
        <is>
          <t>T1190:Exploit Public-Facing Application | T1133:External Remote Services</t>
        </is>
      </c>
      <c r="S1929" t="n">
        <v>2</v>
      </c>
      <c r="T1929" t="inlineStr">
        <is>
          <t>MEDIUM (52%)</t>
        </is>
      </c>
      <c r="U1929" t="inlineStr">
        <is>
          <t>CHECK_VENDOR</t>
        </is>
      </c>
      <c r="V1929" t="inlineStr">
        <is>
          <t>YES</t>
        </is>
      </c>
      <c r="W1929" t="inlineStr">
        <is>
          <t>https://www.watchguard.com/wgrd-psirt/advisory/wgsa-2026-00002</t>
        </is>
      </c>
      <c r="X1929" t="inlineStr">
        <is>
          <t>NONE</t>
        </is>
      </c>
      <c r="Y1929" t="n">
        <v>0</v>
      </c>
      <c r="Z1929" t="inlineStr"/>
      <c r="AA1929" t="inlineStr">
        <is>
          <t>https://www.watchguard.com/wgrd-psirt/advisory/wgsa-2026-00002</t>
        </is>
      </c>
    </row>
    <row r="1930">
      <c r="A1930" t="inlineStr">
        <is>
          <t>FIREWALL_ADVISORY</t>
        </is>
      </c>
      <c r="B1930" t="inlineStr">
        <is>
          <t>WatchG-ADV</t>
        </is>
      </c>
      <c r="C1930" t="inlineStr">
        <is>
          <t>WatchGuard Advisory: WatchGuard Firebox iked Out of Bounds Write Vulnerability | WatchGuard Firebox iked Out of Bounds Write Vulnerability Advisory ID</t>
        </is>
      </c>
      <c r="D1930" t="n">
        <v>7.5</v>
      </c>
      <c r="E1930" t="inlineStr">
        <is>
          <t>HIGH</t>
        </is>
      </c>
      <c r="F1930" t="n">
        <v>2</v>
      </c>
      <c r="G1930" t="n">
        <v>2</v>
      </c>
      <c r="H1930" t="inlineStr">
        <is>
          <t>MEDIUM</t>
        </is>
      </c>
      <c r="I1930" t="n">
        <v>11.5</v>
      </c>
      <c r="J1930" t="inlineStr">
        <is>
          <t>NO</t>
        </is>
      </c>
      <c r="K1930" t="inlineStr">
        <is>
          <t>2026-02-23 23:48</t>
        </is>
      </c>
      <c r="L1930" t="inlineStr">
        <is>
          <t>YES - Apply vendor patch immediately</t>
        </is>
      </c>
      <c r="M1930" t="inlineStr">
        <is>
          <t>WatchGuard Firebox / FireboxV / WatchGuard Cloud</t>
        </is>
      </c>
      <c r="N1930" t="inlineStr">
        <is>
          <t>P3</t>
        </is>
      </c>
      <c r="O1930" t="inlineStr">
        <is>
          <t>Firewall Advisory - WatchGuard</t>
        </is>
      </c>
      <c r="P1930" t="n">
        <v>0</v>
      </c>
      <c r="Q1930" t="n">
        <v>0</v>
      </c>
      <c r="R1930" t="inlineStr">
        <is>
          <t>T1190:Exploit Public-Facing Application | T1133:External Remote Services</t>
        </is>
      </c>
      <c r="S1930" t="n">
        <v>2</v>
      </c>
      <c r="T1930" t="inlineStr">
        <is>
          <t>MEDIUM (52%)</t>
        </is>
      </c>
      <c r="U1930" t="inlineStr">
        <is>
          <t>CHECK_VENDOR</t>
        </is>
      </c>
      <c r="V1930" t="inlineStr">
        <is>
          <t>YES</t>
        </is>
      </c>
      <c r="W1930" t="inlineStr">
        <is>
          <t>https://www.watchguard.com/wgrd-psirt/advisory/wgsa-2025-00027</t>
        </is>
      </c>
      <c r="X1930" t="inlineStr">
        <is>
          <t>NONE</t>
        </is>
      </c>
      <c r="Y1930" t="n">
        <v>0</v>
      </c>
      <c r="Z1930" t="inlineStr"/>
      <c r="AA1930" t="inlineStr">
        <is>
          <t>https://www.watchguard.com/wgrd-psirt/advisory/wgsa-2025-00027</t>
        </is>
      </c>
    </row>
    <row r="1931">
      <c r="A1931" t="inlineStr">
        <is>
          <t>FIREWALL_ADVISORY</t>
        </is>
      </c>
      <c r="B1931" t="inlineStr">
        <is>
          <t>WatchG-ADV</t>
        </is>
      </c>
      <c r="C1931" t="inlineStr">
        <is>
          <t>WatchGuard Advisory: WatchGuard Firebox Boot Time System Integrity Check Bypass | WatchGuard Firebox Boot Time System Integrity Check Bypass Advisory ID</t>
        </is>
      </c>
      <c r="D1931" t="n">
        <v>7.5</v>
      </c>
      <c r="E1931" t="inlineStr">
        <is>
          <t>HIGH</t>
        </is>
      </c>
      <c r="F1931" t="n">
        <v>2</v>
      </c>
      <c r="G1931" t="n">
        <v>2</v>
      </c>
      <c r="H1931" t="inlineStr">
        <is>
          <t>MEDIUM</t>
        </is>
      </c>
      <c r="I1931" t="n">
        <v>11.5</v>
      </c>
      <c r="J1931" t="inlineStr">
        <is>
          <t>NO</t>
        </is>
      </c>
      <c r="K1931" t="inlineStr">
        <is>
          <t>2026-02-23 23:48</t>
        </is>
      </c>
      <c r="L1931" t="inlineStr">
        <is>
          <t>YES - Apply vendor patch immediately</t>
        </is>
      </c>
      <c r="M1931" t="inlineStr">
        <is>
          <t>WatchGuard Firebox / FireboxV / WatchGuard Cloud</t>
        </is>
      </c>
      <c r="N1931" t="inlineStr">
        <is>
          <t>P3</t>
        </is>
      </c>
      <c r="O1931" t="inlineStr">
        <is>
          <t>Firewall Advisory - WatchGuard</t>
        </is>
      </c>
      <c r="P1931" t="n">
        <v>0</v>
      </c>
      <c r="Q1931" t="n">
        <v>0</v>
      </c>
      <c r="R1931" t="inlineStr">
        <is>
          <t>T1190:Exploit Public-Facing Application | T1133:External Remote Services</t>
        </is>
      </c>
      <c r="S1931" t="n">
        <v>2</v>
      </c>
      <c r="T1931" t="inlineStr">
        <is>
          <t>MEDIUM (52%)</t>
        </is>
      </c>
      <c r="U1931" t="inlineStr">
        <is>
          <t>CHECK_VENDOR</t>
        </is>
      </c>
      <c r="V1931" t="inlineStr">
        <is>
          <t>YES</t>
        </is>
      </c>
      <c r="W1931" t="inlineStr">
        <is>
          <t>https://www.watchguard.com/wgrd-psirt/advisory/wgsa-2025-00026</t>
        </is>
      </c>
      <c r="X1931" t="inlineStr">
        <is>
          <t>NONE</t>
        </is>
      </c>
      <c r="Y1931" t="n">
        <v>0</v>
      </c>
      <c r="Z1931" t="inlineStr"/>
      <c r="AA1931" t="inlineStr">
        <is>
          <t>https://www.watchguard.com/wgrd-psirt/advisory/wgsa-2025-00026</t>
        </is>
      </c>
    </row>
    <row r="1932">
      <c r="A1932" t="inlineStr">
        <is>
          <t>FIREWALL_ADVISORY</t>
        </is>
      </c>
      <c r="B1932" t="inlineStr">
        <is>
          <t>WatchG-ADV</t>
        </is>
      </c>
      <c r="C1932" t="inlineStr">
        <is>
          <t>WatchGuard Advisory: WatchGuard Firebox iked Memory Corruption Vulnerability | WatchGuard Firebox iked Memory Corruption Vulnerability Advisory ID</t>
        </is>
      </c>
      <c r="D1932" t="n">
        <v>7.5</v>
      </c>
      <c r="E1932" t="inlineStr">
        <is>
          <t>HIGH</t>
        </is>
      </c>
      <c r="F1932" t="n">
        <v>2</v>
      </c>
      <c r="G1932" t="n">
        <v>2</v>
      </c>
      <c r="H1932" t="inlineStr">
        <is>
          <t>MEDIUM</t>
        </is>
      </c>
      <c r="I1932" t="n">
        <v>11.5</v>
      </c>
      <c r="J1932" t="inlineStr">
        <is>
          <t>NO</t>
        </is>
      </c>
      <c r="K1932" t="inlineStr">
        <is>
          <t>2026-02-23 23:48</t>
        </is>
      </c>
      <c r="L1932" t="inlineStr">
        <is>
          <t>YES - Apply vendor patch immediately</t>
        </is>
      </c>
      <c r="M1932" t="inlineStr">
        <is>
          <t>WatchGuard Firebox / FireboxV / WatchGuard Cloud</t>
        </is>
      </c>
      <c r="N1932" t="inlineStr">
        <is>
          <t>P3</t>
        </is>
      </c>
      <c r="O1932" t="inlineStr">
        <is>
          <t>Firewall Advisory - WatchGuard</t>
        </is>
      </c>
      <c r="P1932" t="n">
        <v>0</v>
      </c>
      <c r="Q1932" t="n">
        <v>0</v>
      </c>
      <c r="R1932" t="inlineStr">
        <is>
          <t>T1190:Exploit Public-Facing Application | T1133:External Remote Services</t>
        </is>
      </c>
      <c r="S1932" t="n">
        <v>2</v>
      </c>
      <c r="T1932" t="inlineStr">
        <is>
          <t>MEDIUM (52%)</t>
        </is>
      </c>
      <c r="U1932" t="inlineStr">
        <is>
          <t>CHECK_VENDOR</t>
        </is>
      </c>
      <c r="V1932" t="inlineStr">
        <is>
          <t>YES</t>
        </is>
      </c>
      <c r="W1932" t="inlineStr">
        <is>
          <t>https://www.watchguard.com/wgrd-psirt/advisory/wgsa-2025-00018</t>
        </is>
      </c>
      <c r="X1932" t="inlineStr">
        <is>
          <t>NONE</t>
        </is>
      </c>
      <c r="Y1932" t="n">
        <v>0</v>
      </c>
      <c r="Z1932" t="inlineStr"/>
      <c r="AA1932" t="inlineStr">
        <is>
          <t>https://www.watchguard.com/wgrd-psirt/advisory/wgsa-2025-00018</t>
        </is>
      </c>
    </row>
    <row r="1933">
      <c r="A1933" t="inlineStr">
        <is>
          <t>FIREWALL_ADVISORY</t>
        </is>
      </c>
      <c r="B1933" t="inlineStr">
        <is>
          <t>FG-IR</t>
        </is>
      </c>
      <c r="C1933" t="inlineStr">
        <is>
          <t>Fortinet PSIRT: Heap-based buffer overflow in cw_acd daemon | CVSSv3 Score: 7.4 A heap-based buffer overflow vulnerability [CWE-122] in FortiOS and FortiSwitchManager cw_acd daemon may allow a remote unauthenticated attacker to execute arbitrary code or commands</t>
        </is>
      </c>
      <c r="D1933" t="n">
        <v>7.5</v>
      </c>
      <c r="E1933" t="inlineStr">
        <is>
          <t>HIGH</t>
        </is>
      </c>
      <c r="F1933" t="n">
        <v>2</v>
      </c>
      <c r="G1933" t="n">
        <v>2</v>
      </c>
      <c r="H1933" t="inlineStr">
        <is>
          <t>MEDIUM</t>
        </is>
      </c>
      <c r="I1933" t="n">
        <v>11.5</v>
      </c>
      <c r="J1933" t="inlineStr">
        <is>
          <t>NO</t>
        </is>
      </c>
      <c r="K1933" t="inlineStr">
        <is>
          <t>2026-02-23 23:48</t>
        </is>
      </c>
      <c r="L1933" t="inlineStr">
        <is>
          <t>YES - Apply vendor patch immediately</t>
        </is>
      </c>
      <c r="M1933" t="inlineStr">
        <is>
          <t>FortiOS / FortiGate / FortiProxy / FortiManager</t>
        </is>
      </c>
      <c r="N1933" t="inlineStr">
        <is>
          <t>P3</t>
        </is>
      </c>
      <c r="O1933" t="inlineStr">
        <is>
          <t>Firewall Advisory - Fortinet</t>
        </is>
      </c>
      <c r="P1933" t="n">
        <v>0</v>
      </c>
      <c r="Q1933" t="n">
        <v>0</v>
      </c>
      <c r="R1933" t="inlineStr">
        <is>
          <t>T1190:Exploit Public-Facing Application | T1133:External Remote Services</t>
        </is>
      </c>
      <c r="S1933" t="n">
        <v>2</v>
      </c>
      <c r="T1933" t="inlineStr">
        <is>
          <t>MEDIUM (52%)</t>
        </is>
      </c>
      <c r="U1933" t="inlineStr">
        <is>
          <t>CHECK_VENDOR</t>
        </is>
      </c>
      <c r="V1933" t="inlineStr">
        <is>
          <t>YES</t>
        </is>
      </c>
      <c r="W1933" t="inlineStr">
        <is>
          <t>https://fortiguard.fortinet.com/psirt/FG-IR-25-084</t>
        </is>
      </c>
      <c r="X1933" t="inlineStr">
        <is>
          <t>NONE</t>
        </is>
      </c>
      <c r="Y1933" t="n">
        <v>0</v>
      </c>
      <c r="Z1933" t="inlineStr"/>
      <c r="AA1933" t="inlineStr">
        <is>
          <t>https://fortiguard.fortinet.com/psirt/FG-IR-25-084</t>
        </is>
      </c>
    </row>
    <row r="1934">
      <c r="A1934" t="inlineStr">
        <is>
          <t>FIREWALL_ADVISORY</t>
        </is>
      </c>
      <c r="B1934" t="inlineStr">
        <is>
          <t>FG-IR</t>
        </is>
      </c>
      <c r="C1934" t="inlineStr">
        <is>
          <t>Fortinet PSIRT: OpenSSL CVE-2025-15467 | CVSSv3 Score: 9.8 CVE-2025-15467Parsing CMS AuthEnvelopedData message with maliciously crafted AEAD parameters can trigger a stack buffer overflow. A stack buffer overflow may lead to a crash, causing</t>
        </is>
      </c>
      <c r="D1934" t="n">
        <v>7.5</v>
      </c>
      <c r="E1934" t="inlineStr">
        <is>
          <t>HIGH</t>
        </is>
      </c>
      <c r="F1934" t="n">
        <v>2</v>
      </c>
      <c r="G1934" t="n">
        <v>2</v>
      </c>
      <c r="H1934" t="inlineStr">
        <is>
          <t>MEDIUM</t>
        </is>
      </c>
      <c r="I1934" t="n">
        <v>11.5</v>
      </c>
      <c r="J1934" t="inlineStr">
        <is>
          <t>NO</t>
        </is>
      </c>
      <c r="K1934" t="inlineStr">
        <is>
          <t>2026-02-23 23:48</t>
        </is>
      </c>
      <c r="L1934" t="inlineStr">
        <is>
          <t>YES - Apply vendor patch immediately</t>
        </is>
      </c>
      <c r="M1934" t="inlineStr">
        <is>
          <t>FortiOS / FortiGate / FortiProxy / FortiManager</t>
        </is>
      </c>
      <c r="N1934" t="inlineStr">
        <is>
          <t>P3</t>
        </is>
      </c>
      <c r="O1934" t="inlineStr">
        <is>
          <t>Firewall Advisory - Fortinet</t>
        </is>
      </c>
      <c r="P1934" t="n">
        <v>0</v>
      </c>
      <c r="Q1934" t="n">
        <v>0</v>
      </c>
      <c r="R1934" t="inlineStr">
        <is>
          <t>T1190:Exploit Public-Facing Application | T1133:External Remote Services</t>
        </is>
      </c>
      <c r="S1934" t="n">
        <v>2</v>
      </c>
      <c r="T1934" t="inlineStr">
        <is>
          <t>MEDIUM (52%)</t>
        </is>
      </c>
      <c r="U1934" t="inlineStr">
        <is>
          <t>CHECK_VENDOR</t>
        </is>
      </c>
      <c r="V1934" t="inlineStr">
        <is>
          <t>YES</t>
        </is>
      </c>
      <c r="W1934" t="inlineStr">
        <is>
          <t>https://fortiguard.fortinet.com/psirt/FG-IR-26-076</t>
        </is>
      </c>
      <c r="X1934" t="inlineStr">
        <is>
          <t>NONE</t>
        </is>
      </c>
      <c r="Y1934" t="n">
        <v>0</v>
      </c>
      <c r="Z1934" t="inlineStr"/>
      <c r="AA1934" t="inlineStr">
        <is>
          <t>https://fortiguard.fortinet.com/psirt/FG-IR-26-076</t>
        </is>
      </c>
    </row>
    <row r="1935">
      <c r="A1935" t="inlineStr">
        <is>
          <t>FIREWALL_ADVISORY</t>
        </is>
      </c>
      <c r="B1935" t="inlineStr">
        <is>
          <t>FG-IR</t>
        </is>
      </c>
      <c r="C1935" t="inlineStr">
        <is>
          <t>Fortinet PSIRT: Arbitrary XML file write in FCConfig | CVSSv3 Score: 6.4 An Improper Link Resolution Before File Access vulnerability [CWE-59] in FortiClient Windows may allow a local low-privilege attacker to perform an arbitrary file write with elevated</t>
        </is>
      </c>
      <c r="D1935" t="n">
        <v>7.5</v>
      </c>
      <c r="E1935" t="inlineStr">
        <is>
          <t>HIGH</t>
        </is>
      </c>
      <c r="F1935" t="n">
        <v>2</v>
      </c>
      <c r="G1935" t="n">
        <v>2</v>
      </c>
      <c r="H1935" t="inlineStr">
        <is>
          <t>MEDIUM</t>
        </is>
      </c>
      <c r="I1935" t="n">
        <v>11.5</v>
      </c>
      <c r="J1935" t="inlineStr">
        <is>
          <t>NO</t>
        </is>
      </c>
      <c r="K1935" t="inlineStr">
        <is>
          <t>2026-02-23 23:48</t>
        </is>
      </c>
      <c r="L1935" t="inlineStr">
        <is>
          <t>YES - Apply vendor patch immediately</t>
        </is>
      </c>
      <c r="M1935" t="inlineStr">
        <is>
          <t>FortiOS / FortiGate / FortiProxy / FortiManager</t>
        </is>
      </c>
      <c r="N1935" t="inlineStr">
        <is>
          <t>P3</t>
        </is>
      </c>
      <c r="O1935" t="inlineStr">
        <is>
          <t>Firewall Advisory - Fortinet</t>
        </is>
      </c>
      <c r="P1935" t="n">
        <v>0</v>
      </c>
      <c r="Q1935" t="n">
        <v>0</v>
      </c>
      <c r="R1935" t="inlineStr">
        <is>
          <t>T1190:Exploit Public-Facing Application | T1133:External Remote Services</t>
        </is>
      </c>
      <c r="S1935" t="n">
        <v>2</v>
      </c>
      <c r="T1935" t="inlineStr">
        <is>
          <t>MEDIUM (52%)</t>
        </is>
      </c>
      <c r="U1935" t="inlineStr">
        <is>
          <t>CHECK_VENDOR</t>
        </is>
      </c>
      <c r="V1935" t="inlineStr">
        <is>
          <t>YES</t>
        </is>
      </c>
      <c r="W1935" t="inlineStr">
        <is>
          <t>https://fortiguard.fortinet.com/psirt/FG-IR-25-661</t>
        </is>
      </c>
      <c r="X1935" t="inlineStr">
        <is>
          <t>NONE</t>
        </is>
      </c>
      <c r="Y1935" t="n">
        <v>0</v>
      </c>
      <c r="Z1935" t="inlineStr"/>
      <c r="AA1935" t="inlineStr">
        <is>
          <t>https://fortiguard.fortinet.com/psirt/FG-IR-25-661</t>
        </is>
      </c>
    </row>
    <row r="1936">
      <c r="A1936" t="inlineStr">
        <is>
          <t>FIREWALL_ADVISORY</t>
        </is>
      </c>
      <c r="B1936" t="inlineStr">
        <is>
          <t>FG-IR</t>
        </is>
      </c>
      <c r="C1936" t="inlineStr">
        <is>
          <t>Fortinet PSIRT: Firewall policy bypass in FSSO Terminal Services Agent | CVSSv3 Score: 3.8 An Improper Verification of Source of a Communication Channel vulnerability [CWE-940] in FortiOS FSSO Terminal Services Agent may allow an authenticated user with knowledge of FSSO p</t>
        </is>
      </c>
      <c r="D1936" t="n">
        <v>7.5</v>
      </c>
      <c r="E1936" t="inlineStr">
        <is>
          <t>HIGH</t>
        </is>
      </c>
      <c r="F1936" t="n">
        <v>2</v>
      </c>
      <c r="G1936" t="n">
        <v>2</v>
      </c>
      <c r="H1936" t="inlineStr">
        <is>
          <t>MEDIUM</t>
        </is>
      </c>
      <c r="I1936" t="n">
        <v>11.5</v>
      </c>
      <c r="J1936" t="inlineStr">
        <is>
          <t>NO</t>
        </is>
      </c>
      <c r="K1936" t="inlineStr">
        <is>
          <t>2026-02-23 23:48</t>
        </is>
      </c>
      <c r="L1936" t="inlineStr">
        <is>
          <t>YES - Apply vendor patch immediately</t>
        </is>
      </c>
      <c r="M1936" t="inlineStr">
        <is>
          <t>FortiOS / FortiGate / FortiProxy / FortiManager</t>
        </is>
      </c>
      <c r="N1936" t="inlineStr">
        <is>
          <t>P3</t>
        </is>
      </c>
      <c r="O1936" t="inlineStr">
        <is>
          <t>Firewall Advisory - Fortinet</t>
        </is>
      </c>
      <c r="P1936" t="n">
        <v>0</v>
      </c>
      <c r="Q1936" t="n">
        <v>0</v>
      </c>
      <c r="R1936" t="inlineStr">
        <is>
          <t>T1190:Exploit Public-Facing Application | T1133:External Remote Services</t>
        </is>
      </c>
      <c r="S1936" t="n">
        <v>2</v>
      </c>
      <c r="T1936" t="inlineStr">
        <is>
          <t>MEDIUM (52%)</t>
        </is>
      </c>
      <c r="U1936" t="inlineStr">
        <is>
          <t>CHECK_VENDOR</t>
        </is>
      </c>
      <c r="V1936" t="inlineStr">
        <is>
          <t>YES</t>
        </is>
      </c>
      <c r="W1936" t="inlineStr">
        <is>
          <t>https://fortiguard.fortinet.com/psirt/FG-IR-25-384</t>
        </is>
      </c>
      <c r="X1936" t="inlineStr">
        <is>
          <t>NONE</t>
        </is>
      </c>
      <c r="Y1936" t="n">
        <v>0</v>
      </c>
      <c r="Z1936" t="inlineStr"/>
      <c r="AA1936" t="inlineStr">
        <is>
          <t>https://fortiguard.fortinet.com/psirt/FG-IR-25-384</t>
        </is>
      </c>
    </row>
    <row r="1937">
      <c r="A1937" t="inlineStr">
        <is>
          <t>FIREWALL_ADVISORY</t>
        </is>
      </c>
      <c r="B1937" t="inlineStr">
        <is>
          <t>FG-IR</t>
        </is>
      </c>
      <c r="C1937" t="inlineStr">
        <is>
          <t>Fortinet PSIRT: Format String Vulnerability in CAPWAP fast-failover mode | CVSSv3 Score: 6.7 A Use of Externally-Controlled Format String vulnerability [CWE-134] in FortiGate may allow an authenticated admin to execute unauthorized code or commands via specifically crafted c</t>
        </is>
      </c>
      <c r="D1937" t="n">
        <v>7.5</v>
      </c>
      <c r="E1937" t="inlineStr">
        <is>
          <t>HIGH</t>
        </is>
      </c>
      <c r="F1937" t="n">
        <v>2</v>
      </c>
      <c r="G1937" t="n">
        <v>2</v>
      </c>
      <c r="H1937" t="inlineStr">
        <is>
          <t>MEDIUM</t>
        </is>
      </c>
      <c r="I1937" t="n">
        <v>11.5</v>
      </c>
      <c r="J1937" t="inlineStr">
        <is>
          <t>NO</t>
        </is>
      </c>
      <c r="K1937" t="inlineStr">
        <is>
          <t>2026-02-23 23:48</t>
        </is>
      </c>
      <c r="L1937" t="inlineStr">
        <is>
          <t>YES - Apply vendor patch immediately</t>
        </is>
      </c>
      <c r="M1937" t="inlineStr">
        <is>
          <t>FortiOS / FortiGate / FortiProxy / FortiManager</t>
        </is>
      </c>
      <c r="N1937" t="inlineStr">
        <is>
          <t>P3</t>
        </is>
      </c>
      <c r="O1937" t="inlineStr">
        <is>
          <t>Firewall Advisory - Fortinet</t>
        </is>
      </c>
      <c r="P1937" t="n">
        <v>0</v>
      </c>
      <c r="Q1937" t="n">
        <v>0</v>
      </c>
      <c r="R1937" t="inlineStr">
        <is>
          <t>T1190:Exploit Public-Facing Application | T1133:External Remote Services</t>
        </is>
      </c>
      <c r="S1937" t="n">
        <v>2</v>
      </c>
      <c r="T1937" t="inlineStr">
        <is>
          <t>MEDIUM (52%)</t>
        </is>
      </c>
      <c r="U1937" t="inlineStr">
        <is>
          <t>CHECK_VENDOR</t>
        </is>
      </c>
      <c r="V1937" t="inlineStr">
        <is>
          <t>YES</t>
        </is>
      </c>
      <c r="W1937" t="inlineStr">
        <is>
          <t>https://fortiguard.fortinet.com/psirt/FG-IR-25-795</t>
        </is>
      </c>
      <c r="X1937" t="inlineStr">
        <is>
          <t>NONE</t>
        </is>
      </c>
      <c r="Y1937" t="n">
        <v>0</v>
      </c>
      <c r="Z1937" t="inlineStr"/>
      <c r="AA1937" t="inlineStr">
        <is>
          <t>https://fortiguard.fortinet.com/psirt/FG-IR-25-795</t>
        </is>
      </c>
    </row>
    <row r="1938">
      <c r="A1938" t="inlineStr">
        <is>
          <t>FIREWALL_ADVISORY</t>
        </is>
      </c>
      <c r="B1938" t="inlineStr">
        <is>
          <t>Cisco</t>
        </is>
      </c>
      <c r="C1938" t="inlineStr">
        <is>
          <t>Cisco PSIRT: Cisco Secure Web Appliance Real-Time Scanning Archive File Bypass Vulnerability | A vulnerability in the Dynamic Vectoring and Streaming (DVS) Engine implementation of Cisco AsyncOS Software for Cisco Secure Web Appliance could allow an unauthenticated, remote attacker to bypass th</t>
        </is>
      </c>
      <c r="D1938" t="n">
        <v>7.5</v>
      </c>
      <c r="E1938" t="inlineStr">
        <is>
          <t>HIGH</t>
        </is>
      </c>
      <c r="F1938" t="n">
        <v>2</v>
      </c>
      <c r="G1938" t="n">
        <v>2</v>
      </c>
      <c r="H1938" t="inlineStr">
        <is>
          <t>MEDIUM</t>
        </is>
      </c>
      <c r="I1938" t="n">
        <v>11.5</v>
      </c>
      <c r="J1938" t="inlineStr">
        <is>
          <t>NO</t>
        </is>
      </c>
      <c r="K1938" t="inlineStr">
        <is>
          <t>2026-02-23 23:48</t>
        </is>
      </c>
      <c r="L1938" t="inlineStr">
        <is>
          <t>YES - Apply vendor patch immediately</t>
        </is>
      </c>
      <c r="M1938" t="inlineStr">
        <is>
          <t>Cisco ASA / Firepower / IOS / FTD / FMC</t>
        </is>
      </c>
      <c r="N1938" t="inlineStr">
        <is>
          <t>P3</t>
        </is>
      </c>
      <c r="O1938" t="inlineStr">
        <is>
          <t>Firewall Advisory - Cisco</t>
        </is>
      </c>
      <c r="P1938" t="n">
        <v>0</v>
      </c>
      <c r="Q1938" t="n">
        <v>0</v>
      </c>
      <c r="R1938" t="inlineStr">
        <is>
          <t>T1190:Exploit Public-Facing Application | T1133:External Remote Services</t>
        </is>
      </c>
      <c r="S1938" t="n">
        <v>2</v>
      </c>
      <c r="T1938" t="inlineStr">
        <is>
          <t>MEDIUM (52%)</t>
        </is>
      </c>
      <c r="U1938" t="inlineStr">
        <is>
          <t>CHECK_VENDOR</t>
        </is>
      </c>
      <c r="V1938" t="inlineStr">
        <is>
          <t>YES</t>
        </is>
      </c>
      <c r="W1938" t="inlineStr">
        <is>
          <t>https://sec.cloudapps.cisco.com/security/center/content/CiscoSecurityAdvisory/cisco-sa-wsa-archive-bypass-Scx2e8zF?vs_f=Cisco%20Security%20Advisory%26vs_cat=Security%20Intelligence%26vs_type=RSS%26vs_p=Cisco%20Secure%20Web%20Appliance%20Real-Time%20Scanning%20Archive%20File%20Bypass%20Vulnerability%26vs_k=1</t>
        </is>
      </c>
      <c r="X1938" t="inlineStr">
        <is>
          <t>NONE</t>
        </is>
      </c>
      <c r="Y1938" t="n">
        <v>0</v>
      </c>
      <c r="Z1938" t="inlineStr"/>
      <c r="AA1938" t="inlineStr">
        <is>
          <t>https://sec.cloudapps.cisco.com/security/center/content/CiscoSecurityAdvisory/cisco-sa-wsa-archive-bypass-Scx2e8zF?vs_f=Cisco%20Security%20Advisory%26vs_cat=Security%20Intelligence%26vs_type=RSS%26vs_p=Cisco%20Secure%20Web%20Appliance%20Real-Time%20Scanning%20Archive%20File%20Bypass%20Vulnerability%26vs_k=1</t>
        </is>
      </c>
    </row>
    <row r="1939">
      <c r="A1939" t="inlineStr">
        <is>
          <t>FIREWALL_ADVISORY</t>
        </is>
      </c>
      <c r="B1939" t="inlineStr">
        <is>
          <t>Cisco</t>
        </is>
      </c>
      <c r="C1939" t="inlineStr">
        <is>
          <t>Cisco PSIRT: Cisco Unified Communications Products Remote Code Execution Vulnerability | A vulnerability in Cisco Unified Communications Manager (Unified CM), Cisco Unified Communications Manager Session Management Edition (Unified CM SME), Cisco Unified Communications Manager IM &amp; Presen</t>
        </is>
      </c>
      <c r="D1939" t="n">
        <v>7.5</v>
      </c>
      <c r="E1939" t="inlineStr">
        <is>
          <t>HIGH</t>
        </is>
      </c>
      <c r="F1939" t="n">
        <v>2</v>
      </c>
      <c r="G1939" t="n">
        <v>2</v>
      </c>
      <c r="H1939" t="inlineStr">
        <is>
          <t>MEDIUM</t>
        </is>
      </c>
      <c r="I1939" t="n">
        <v>11.5</v>
      </c>
      <c r="J1939" t="inlineStr">
        <is>
          <t>NO</t>
        </is>
      </c>
      <c r="K1939" t="inlineStr">
        <is>
          <t>2026-02-23 23:48</t>
        </is>
      </c>
      <c r="L1939" t="inlineStr">
        <is>
          <t>YES - Apply vendor patch immediately</t>
        </is>
      </c>
      <c r="M1939" t="inlineStr">
        <is>
          <t>Cisco ASA / Firepower / IOS / FTD / FMC</t>
        </is>
      </c>
      <c r="N1939" t="inlineStr">
        <is>
          <t>P3</t>
        </is>
      </c>
      <c r="O1939" t="inlineStr">
        <is>
          <t>Firewall Advisory - Cisco</t>
        </is>
      </c>
      <c r="P1939" t="n">
        <v>0</v>
      </c>
      <c r="Q1939" t="n">
        <v>0</v>
      </c>
      <c r="R1939" t="inlineStr">
        <is>
          <t>T1190:Exploit Public-Facing Application | T1133:External Remote Services</t>
        </is>
      </c>
      <c r="S1939" t="n">
        <v>2</v>
      </c>
      <c r="T1939" t="inlineStr">
        <is>
          <t>MEDIUM (52%)</t>
        </is>
      </c>
      <c r="U1939" t="inlineStr">
        <is>
          <t>CHECK_VENDOR</t>
        </is>
      </c>
      <c r="V1939" t="inlineStr">
        <is>
          <t>YES</t>
        </is>
      </c>
      <c r="W1939" t="inlineStr">
        <is>
          <t>https://sec.cloudapps.cisco.com/security/center/content/CiscoSecurityAdvisory/cisco-sa-voice-rce-mORhqY4b?vs_f=Cisco%20Security%20Advisory%26vs_cat=Security%20Intelligence%26vs_type=RSS%26vs_p=Cisco%20Unified%20Communications%20Products%20Remote%20Code%20Execution%20Vulnerability%26vs_k=1</t>
        </is>
      </c>
      <c r="X1939" t="inlineStr">
        <is>
          <t>NONE</t>
        </is>
      </c>
      <c r="Y1939" t="n">
        <v>0</v>
      </c>
      <c r="Z1939" t="inlineStr"/>
      <c r="AA1939" t="inlineStr">
        <is>
          <t>https://sec.cloudapps.cisco.com/security/center/content/CiscoSecurityAdvisory/cisco-sa-voice-rce-mORhqY4b?vs_f=Cisco%20Security%20Advisory%26vs_cat=Security%20Intelligence%26vs_type=RSS%26vs_p=Cisco%20Unified%20Communications%20Products%20Remote%20Code%20Execution%20Vulnerability%26vs_k=1</t>
        </is>
      </c>
    </row>
    <row r="1940">
      <c r="A1940" t="inlineStr">
        <is>
          <t>FIREWALL_ADVISORY</t>
        </is>
      </c>
      <c r="B1940" t="inlineStr">
        <is>
          <t>Cisco</t>
        </is>
      </c>
      <c r="C1940" t="inlineStr">
        <is>
          <t>Cisco PSIRT: Cisco TelePresence Collaboration Endpoint Software and RoomOS Software Denial of Service Vulnerability | A vulnerability in the text rendering subsystem of Cisco TelePresence Collaboration Endpoint (CE) Software and Cisco RoomOS Software could allow an unauthenticated, remote attacker to cause a denial o</t>
        </is>
      </c>
      <c r="D1940" t="n">
        <v>7.5</v>
      </c>
      <c r="E1940" t="inlineStr">
        <is>
          <t>HIGH</t>
        </is>
      </c>
      <c r="F1940" t="n">
        <v>2</v>
      </c>
      <c r="G1940" t="n">
        <v>2</v>
      </c>
      <c r="H1940" t="inlineStr">
        <is>
          <t>MEDIUM</t>
        </is>
      </c>
      <c r="I1940" t="n">
        <v>11.5</v>
      </c>
      <c r="J1940" t="inlineStr">
        <is>
          <t>NO</t>
        </is>
      </c>
      <c r="K1940" t="inlineStr">
        <is>
          <t>2026-02-23 23:48</t>
        </is>
      </c>
      <c r="L1940" t="inlineStr">
        <is>
          <t>YES - Apply vendor patch immediately</t>
        </is>
      </c>
      <c r="M1940" t="inlineStr">
        <is>
          <t>Cisco ASA / Firepower / IOS / FTD / FMC</t>
        </is>
      </c>
      <c r="N1940" t="inlineStr">
        <is>
          <t>P3</t>
        </is>
      </c>
      <c r="O1940" t="inlineStr">
        <is>
          <t>Firewall Advisory - Cisco</t>
        </is>
      </c>
      <c r="P1940" t="n">
        <v>0</v>
      </c>
      <c r="Q1940" t="n">
        <v>0</v>
      </c>
      <c r="R1940" t="inlineStr">
        <is>
          <t>T1190:Exploit Public-Facing Application | T1133:External Remote Services</t>
        </is>
      </c>
      <c r="S1940" t="n">
        <v>2</v>
      </c>
      <c r="T1940" t="inlineStr">
        <is>
          <t>MEDIUM (52%)</t>
        </is>
      </c>
      <c r="U1940" t="inlineStr">
        <is>
          <t>CHECK_VENDOR</t>
        </is>
      </c>
      <c r="V1940" t="inlineStr">
        <is>
          <t>YES</t>
        </is>
      </c>
      <c r="W1940" t="inlineStr">
        <is>
          <t>https://sec.cloudapps.cisco.com/security/center/content/CiscoSecurityAdvisory/cisco-sa-tce-roomos-dos-9V9jrC2q?vs_f=Cisco%20Security%20Advisory%26vs_cat=Security%20Intelligence%26vs_type=RSS%26vs_p=Cisco%20TelePresence%20Collaboration%20Endpoint%20Software%20and%20RoomOS%20Software%20Denial%20of%20Service%20Vulnerability%26vs_k=1</t>
        </is>
      </c>
      <c r="X1940" t="inlineStr">
        <is>
          <t>NONE</t>
        </is>
      </c>
      <c r="Y1940" t="n">
        <v>0</v>
      </c>
      <c r="Z1940" t="inlineStr"/>
      <c r="AA1940" t="inlineStr">
        <is>
          <t>https://sec.cloudapps.cisco.com/security/center/content/CiscoSecurityAdvisory/cisco-sa-tce-roomos-dos-9V9jrC2q?vs_f=Cisco%20Security%20Advisory%26vs_cat=Security%20Intelligence%26vs_type=RSS%26vs_p=Cisco%20TelePresence%20Collaboration%20Endpoint%20Software%20and%20RoomOS%20Software%20Denial%20of%20Service%20Vulnerability%26vs_k=1</t>
        </is>
      </c>
    </row>
    <row r="1941">
      <c r="A1941" t="inlineStr">
        <is>
          <t>FIREWALL_ADVISORY</t>
        </is>
      </c>
      <c r="B1941" t="inlineStr">
        <is>
          <t>Multiple</t>
        </is>
      </c>
      <c r="C1941" t="inlineStr">
        <is>
          <t>Cisco PSIRT: Multiple Cisco Products Snort 3 MIME Denial of Service Vulnerabilities | Multiple Cisco products are affected by vulnerabilities in the HTTP Multipurpose Internet Mail Extensions (MIME) Decoder that could allow an unauthenticated, remote attacker to cause the Snort 3 Detec</t>
        </is>
      </c>
      <c r="D1941" t="n">
        <v>7.5</v>
      </c>
      <c r="E1941" t="inlineStr">
        <is>
          <t>HIGH</t>
        </is>
      </c>
      <c r="F1941" t="n">
        <v>2</v>
      </c>
      <c r="G1941" t="n">
        <v>2</v>
      </c>
      <c r="H1941" t="inlineStr">
        <is>
          <t>MEDIUM</t>
        </is>
      </c>
      <c r="I1941" t="n">
        <v>11.5</v>
      </c>
      <c r="J1941" t="inlineStr">
        <is>
          <t>NO</t>
        </is>
      </c>
      <c r="K1941" t="inlineStr">
        <is>
          <t>2026-02-23 23:48</t>
        </is>
      </c>
      <c r="L1941" t="inlineStr">
        <is>
          <t>YES - Apply vendor patch immediately</t>
        </is>
      </c>
      <c r="M1941" t="inlineStr">
        <is>
          <t>Cisco ASA / Firepower / IOS / FTD / FMC</t>
        </is>
      </c>
      <c r="N1941" t="inlineStr">
        <is>
          <t>P3</t>
        </is>
      </c>
      <c r="O1941" t="inlineStr">
        <is>
          <t>Firewall Advisory - Cisco</t>
        </is>
      </c>
      <c r="P1941" t="n">
        <v>0</v>
      </c>
      <c r="Q1941" t="n">
        <v>0</v>
      </c>
      <c r="R1941" t="inlineStr">
        <is>
          <t>T1190:Exploit Public-Facing Application | T1133:External Remote Services</t>
        </is>
      </c>
      <c r="S1941" t="n">
        <v>2</v>
      </c>
      <c r="T1941" t="inlineStr">
        <is>
          <t>MEDIUM (52%)</t>
        </is>
      </c>
      <c r="U1941" t="inlineStr">
        <is>
          <t>CHECK_VENDOR</t>
        </is>
      </c>
      <c r="V1941" t="inlineStr">
        <is>
          <t>YES</t>
        </is>
      </c>
      <c r="W1941" t="inlineStr">
        <is>
          <t>https://sec.cloudapps.cisco.com/security/center/content/CiscoSecurityAdvisory/cisco-sa-snort3-mime-vulns-tTL8PgVH?vs_f=Cisco%20Security%20Advisory%26vs_cat=Security%20Intelligence%26vs_type=RSS%26vs_p=Multiple%20Cisco%20Products%20Snort%203%20MIME%20Denial%20of%20Service%20Vulnerabilities%26vs_k=1</t>
        </is>
      </c>
      <c r="X1941" t="inlineStr">
        <is>
          <t>NONE</t>
        </is>
      </c>
      <c r="Y1941" t="n">
        <v>0</v>
      </c>
      <c r="Z1941" t="inlineStr"/>
      <c r="AA1941" t="inlineStr">
        <is>
          <t>https://sec.cloudapps.cisco.com/security/center/content/CiscoSecurityAdvisory/cisco-sa-snort3-mime-vulns-tTL8PgVH?vs_f=Cisco%20Security%20Advisory%26vs_cat=Security%20Intelligence%26vs_type=RSS%26vs_p=Multiple%20Cisco%20Products%20Snort%203%20MIME%20Denial%20of%20Service%20Vulnerabilities%26vs_k=1</t>
        </is>
      </c>
    </row>
    <row r="1942">
      <c r="A1942" t="inlineStr">
        <is>
          <t>FIREWALL_ADVISORY</t>
        </is>
      </c>
      <c r="B1942" t="inlineStr">
        <is>
          <t>Multiple</t>
        </is>
      </c>
      <c r="C1942" t="inlineStr">
        <is>
          <t>Cisco PSIRT: Multiple Cisco Products Snort 3 Distributed Computing Environment/Remote Procedure Call Vulnerabilities | Multiple Cisco products are affected by vulnerabilities in the processing of Distributed Computing Environment Remote Procedure Call (DCE/RPC) requests that could allow an unauthenticated, remote atta</t>
        </is>
      </c>
      <c r="D1942" t="n">
        <v>7.5</v>
      </c>
      <c r="E1942" t="inlineStr">
        <is>
          <t>HIGH</t>
        </is>
      </c>
      <c r="F1942" t="n">
        <v>2</v>
      </c>
      <c r="G1942" t="n">
        <v>2</v>
      </c>
      <c r="H1942" t="inlineStr">
        <is>
          <t>MEDIUM</t>
        </is>
      </c>
      <c r="I1942" t="n">
        <v>11.5</v>
      </c>
      <c r="J1942" t="inlineStr">
        <is>
          <t>NO</t>
        </is>
      </c>
      <c r="K1942" t="inlineStr">
        <is>
          <t>2026-02-23 23:48</t>
        </is>
      </c>
      <c r="L1942" t="inlineStr">
        <is>
          <t>YES - Apply vendor patch immediately</t>
        </is>
      </c>
      <c r="M1942" t="inlineStr">
        <is>
          <t>Cisco ASA / Firepower / IOS / FTD / FMC</t>
        </is>
      </c>
      <c r="N1942" t="inlineStr">
        <is>
          <t>P3</t>
        </is>
      </c>
      <c r="O1942" t="inlineStr">
        <is>
          <t>Firewall Advisory - Cisco</t>
        </is>
      </c>
      <c r="P1942" t="n">
        <v>0</v>
      </c>
      <c r="Q1942" t="n">
        <v>0</v>
      </c>
      <c r="R1942" t="inlineStr">
        <is>
          <t>T1190:Exploit Public-Facing Application | T1133:External Remote Services</t>
        </is>
      </c>
      <c r="S1942" t="n">
        <v>2</v>
      </c>
      <c r="T1942" t="inlineStr">
        <is>
          <t>MEDIUM (52%)</t>
        </is>
      </c>
      <c r="U1942" t="inlineStr">
        <is>
          <t>CHECK_VENDOR</t>
        </is>
      </c>
      <c r="V1942" t="inlineStr">
        <is>
          <t>YES</t>
        </is>
      </c>
      <c r="W1942" t="inlineStr">
        <is>
          <t>https://sec.cloudapps.cisco.com/security/center/content/CiscoSecurityAdvisory/cisco-sa-snort3-dcerpc-vulns-J9HNF4tH?vs_f=Cisco%20Security%20Advisory%26vs_cat=Security%20Intelligence%26vs_type=RSS%26vs_p=Multiple%20Cisco%20Products%20Snort%203%20Distributed%20Computing%20Environment/Remote%20Procedure%20Call%20Vulnerabilities%26vs_k=1</t>
        </is>
      </c>
      <c r="X1942" t="inlineStr">
        <is>
          <t>NONE</t>
        </is>
      </c>
      <c r="Y1942" t="n">
        <v>0</v>
      </c>
      <c r="Z1942" t="inlineStr"/>
      <c r="AA1942" t="inlineStr">
        <is>
          <t>https://sec.cloudapps.cisco.com/security/center/content/CiscoSecurityAdvisory/cisco-sa-snort3-dcerpc-vulns-J9HNF4tH?vs_f=Cisco%20Security%20Advisory%26vs_cat=Security%20Intelligence%26vs_type=RSS%26vs_p=Multiple%20Cisco%20Products%20Snort%203%20Distributed%20Computing%20Environment/Remote%20Procedure%20Call%20Vulnerabilities%26vs_k=1</t>
        </is>
      </c>
    </row>
    <row r="1943">
      <c r="A1943" t="inlineStr">
        <is>
          <t>ZDI_ADVISORY</t>
        </is>
      </c>
      <c r="B1943" t="inlineStr">
        <is>
          <t>ZDI-26-123</t>
        </is>
      </c>
      <c r="C1943" t="inlineStr">
        <is>
          <t>ZDI Published 0-Day: ZDI-26-123: Docker Desktop MCP Server Cleartext Storage of Sensitive Information Vulnerability | CVEs:  | Product: See ZDI advisory</t>
        </is>
      </c>
      <c r="D1943" t="n">
        <v>7.5</v>
      </c>
      <c r="E1943" t="inlineStr">
        <is>
          <t>HIGH</t>
        </is>
      </c>
      <c r="F1943" t="n">
        <v>3</v>
      </c>
      <c r="G1943" t="n">
        <v>3</v>
      </c>
      <c r="H1943" t="inlineStr">
        <is>
          <t>CRITICAL</t>
        </is>
      </c>
      <c r="I1943" t="n">
        <v>16.5</v>
      </c>
      <c r="J1943" t="inlineStr">
        <is>
          <t>NO</t>
        </is>
      </c>
      <c r="K1943" t="inlineStr">
        <is>
          <t>2026-02-23 06:00</t>
        </is>
      </c>
      <c r="L1943" t="inlineStr">
        <is>
          <t>CHECK_VENDOR - ZDI published, vendor patch may be pending</t>
        </is>
      </c>
      <c r="M1943" t="inlineStr">
        <is>
          <t>See ZDI advisory</t>
        </is>
      </c>
      <c r="N1943" t="inlineStr">
        <is>
          <t>P1</t>
        </is>
      </c>
      <c r="O1943" t="inlineStr">
        <is>
          <t>ZDI 0-day advisory - no IP context</t>
        </is>
      </c>
      <c r="P1943" t="n">
        <v>0</v>
      </c>
      <c r="Q1943" t="n">
        <v>0</v>
      </c>
      <c r="R1943" t="inlineStr">
        <is>
          <t>T1190:Exploit Public-Facing Application</t>
        </is>
      </c>
      <c r="S1943" t="n">
        <v>2</v>
      </c>
      <c r="T1943" t="inlineStr">
        <is>
          <t>CONFIRMED (82%)</t>
        </is>
      </c>
      <c r="U1943" t="inlineStr">
        <is>
          <t>YES</t>
        </is>
      </c>
      <c r="V1943" t="inlineStr">
        <is>
          <t>CHECK_VENDOR</t>
        </is>
      </c>
      <c r="W1943" t="inlineStr">
        <is>
          <t>http://www.zerodayinitiative.com/advisories/ZDI-26-123/</t>
        </is>
      </c>
      <c r="X1943" t="inlineStr">
        <is>
          <t>http://www.zerodayinitiative.com/advisories/ZDI-26-123/</t>
        </is>
      </c>
      <c r="Y1943" t="n">
        <v>0</v>
      </c>
      <c r="Z1943" t="inlineStr"/>
      <c r="AA1943" t="inlineStr">
        <is>
          <t>http://www.zerodayinitiative.com/advisories/ZDI-26-123/</t>
        </is>
      </c>
    </row>
    <row r="1944">
      <c r="A1944" t="inlineStr">
        <is>
          <t>ZDI_ADVISORY</t>
        </is>
      </c>
      <c r="B1944" t="inlineStr">
        <is>
          <t>ZDI-26-122</t>
        </is>
      </c>
      <c r="C1944" t="inlineStr">
        <is>
          <t>ZDI Published 0-Day: ZDI-26-122: PDF-XChange Editor TrackerUpdate Uncontrolled Search Path Element Local Privilege Escalation Vulnerability | CVEs: CVE-2026-2040 | Product: See ZDI advisory</t>
        </is>
      </c>
      <c r="D1944" t="n">
        <v>7.5</v>
      </c>
      <c r="E1944" t="inlineStr">
        <is>
          <t>HIGH</t>
        </is>
      </c>
      <c r="F1944" t="n">
        <v>3</v>
      </c>
      <c r="G1944" t="n">
        <v>3</v>
      </c>
      <c r="H1944" t="inlineStr">
        <is>
          <t>CRITICAL</t>
        </is>
      </c>
      <c r="I1944" t="n">
        <v>16.5</v>
      </c>
      <c r="J1944" t="inlineStr">
        <is>
          <t>NO</t>
        </is>
      </c>
      <c r="K1944" t="inlineStr">
        <is>
          <t>2026-02-19 06:00</t>
        </is>
      </c>
      <c r="L1944" t="inlineStr">
        <is>
          <t>CHECK_VENDOR - ZDI published, vendor patch may be pending</t>
        </is>
      </c>
      <c r="M1944" t="inlineStr">
        <is>
          <t>See ZDI advisory</t>
        </is>
      </c>
      <c r="N1944" t="inlineStr">
        <is>
          <t>P1</t>
        </is>
      </c>
      <c r="O1944" t="inlineStr">
        <is>
          <t>ZDI 0-day advisory - no IP context</t>
        </is>
      </c>
      <c r="P1944" t="n">
        <v>0.0001</v>
      </c>
      <c r="Q1944" t="n">
        <v>0.0248</v>
      </c>
      <c r="R1944" t="inlineStr">
        <is>
          <t>T1068:Exploitation for Privilege Escalation</t>
        </is>
      </c>
      <c r="S1944" t="n">
        <v>2</v>
      </c>
      <c r="T1944" t="inlineStr">
        <is>
          <t>CONFIRMED (82%)</t>
        </is>
      </c>
      <c r="U1944" t="inlineStr">
        <is>
          <t>YES</t>
        </is>
      </c>
      <c r="V1944" t="inlineStr">
        <is>
          <t>CHECK_VENDOR</t>
        </is>
      </c>
      <c r="W1944" t="inlineStr">
        <is>
          <t>https://security.snyk.io/vuln/CVE-2026-2040</t>
        </is>
      </c>
      <c r="X1944" t="inlineStr">
        <is>
          <t>http://www.zerodayinitiative.com/advisories/ZDI-26-122/</t>
        </is>
      </c>
      <c r="Y1944" t="n">
        <v>0</v>
      </c>
      <c r="Z1944" t="inlineStr"/>
      <c r="AA1944" t="inlineStr">
        <is>
          <t>http://www.zerodayinitiative.com/advisories/ZDI-26-122/</t>
        </is>
      </c>
    </row>
    <row r="1945">
      <c r="A1945" t="inlineStr">
        <is>
          <t>ZDI_ADVISORY</t>
        </is>
      </c>
      <c r="B1945" t="inlineStr">
        <is>
          <t>ZDI-26-121</t>
        </is>
      </c>
      <c r="C1945" t="inlineStr">
        <is>
          <t>ZDI Published 0-Day: ZDI-26-121: GIMP XWD File Parsing Out-Of-Bounds Write Remote Code Execution Vulnerability | CVEs: CVE-2026-2048 | Product: See ZDI advisory</t>
        </is>
      </c>
      <c r="D1945" t="n">
        <v>7.5</v>
      </c>
      <c r="E1945" t="inlineStr">
        <is>
          <t>HIGH</t>
        </is>
      </c>
      <c r="F1945" t="n">
        <v>3</v>
      </c>
      <c r="G1945" t="n">
        <v>3</v>
      </c>
      <c r="H1945" t="inlineStr">
        <is>
          <t>CRITICAL</t>
        </is>
      </c>
      <c r="I1945" t="n">
        <v>16.5</v>
      </c>
      <c r="J1945" t="inlineStr">
        <is>
          <t>NO</t>
        </is>
      </c>
      <c r="K1945" t="inlineStr">
        <is>
          <t>2026-02-19 06:00</t>
        </is>
      </c>
      <c r="L1945" t="inlineStr">
        <is>
          <t>CHECK_VENDOR - ZDI published, vendor patch may be pending</t>
        </is>
      </c>
      <c r="M1945" t="inlineStr">
        <is>
          <t>See ZDI advisory</t>
        </is>
      </c>
      <c r="N1945" t="inlineStr">
        <is>
          <t>P1</t>
        </is>
      </c>
      <c r="O1945" t="inlineStr">
        <is>
          <t>ZDI 0-day advisory - no IP context</t>
        </is>
      </c>
      <c r="P1945" t="n">
        <v>0</v>
      </c>
      <c r="Q1945" t="n">
        <v>0</v>
      </c>
      <c r="R1945" t="inlineStr">
        <is>
          <t>T1190:Exploit Public-Facing Application | T1210:Exploitation of Remote Services | T1203:Exploitation for Client Execution</t>
        </is>
      </c>
      <c r="S1945" t="n">
        <v>2</v>
      </c>
      <c r="T1945" t="inlineStr">
        <is>
          <t>CONFIRMED (82%)</t>
        </is>
      </c>
      <c r="U1945" t="inlineStr">
        <is>
          <t>YES</t>
        </is>
      </c>
      <c r="V1945" t="inlineStr">
        <is>
          <t>CHECK_VENDOR</t>
        </is>
      </c>
      <c r="W1945" t="inlineStr">
        <is>
          <t>https://security.snyk.io/vuln/CVE-2026-2048</t>
        </is>
      </c>
      <c r="X1945" t="inlineStr">
        <is>
          <t>http://www.zerodayinitiative.com/advisories/ZDI-26-121/</t>
        </is>
      </c>
      <c r="Y1945" t="n">
        <v>0</v>
      </c>
      <c r="Z1945" t="inlineStr"/>
      <c r="AA1945" t="inlineStr">
        <is>
          <t>http://www.zerodayinitiative.com/advisories/ZDI-26-121/</t>
        </is>
      </c>
    </row>
    <row r="1946">
      <c r="A1946" t="inlineStr">
        <is>
          <t>ZDI_ADVISORY</t>
        </is>
      </c>
      <c r="B1946" t="inlineStr">
        <is>
          <t>ZDI-26-120</t>
        </is>
      </c>
      <c r="C1946" t="inlineStr">
        <is>
          <t>ZDI Published 0-Day: ZDI-26-120: GIMP ICNS File Parsing Heap-based Buffer Overflow Remote Code Execution Vulnerability | CVEs: CVE-2026-2047 | Product: See ZDI advisory</t>
        </is>
      </c>
      <c r="D1946" t="n">
        <v>7.5</v>
      </c>
      <c r="E1946" t="inlineStr">
        <is>
          <t>HIGH</t>
        </is>
      </c>
      <c r="F1946" t="n">
        <v>3</v>
      </c>
      <c r="G1946" t="n">
        <v>3</v>
      </c>
      <c r="H1946" t="inlineStr">
        <is>
          <t>CRITICAL</t>
        </is>
      </c>
      <c r="I1946" t="n">
        <v>16.5</v>
      </c>
      <c r="J1946" t="inlineStr">
        <is>
          <t>NO</t>
        </is>
      </c>
      <c r="K1946" t="inlineStr">
        <is>
          <t>2026-02-19 06:00</t>
        </is>
      </c>
      <c r="L1946" t="inlineStr">
        <is>
          <t>CHECK_VENDOR - ZDI published, vendor patch may be pending</t>
        </is>
      </c>
      <c r="M1946" t="inlineStr">
        <is>
          <t>See ZDI advisory</t>
        </is>
      </c>
      <c r="N1946" t="inlineStr">
        <is>
          <t>P1</t>
        </is>
      </c>
      <c r="O1946" t="inlineStr">
        <is>
          <t>ZDI 0-day advisory - no IP context</t>
        </is>
      </c>
      <c r="P1946" t="n">
        <v>0</v>
      </c>
      <c r="Q1946" t="n">
        <v>0</v>
      </c>
      <c r="R1946" t="inlineStr">
        <is>
          <t>T1190:Exploit Public-Facing Application | T1210:Exploitation of Remote Services | T1203:Exploitation for Client Execution</t>
        </is>
      </c>
      <c r="S1946" t="n">
        <v>2</v>
      </c>
      <c r="T1946" t="inlineStr">
        <is>
          <t>CONFIRMED (82%)</t>
        </is>
      </c>
      <c r="U1946" t="inlineStr">
        <is>
          <t>YES</t>
        </is>
      </c>
      <c r="V1946" t="inlineStr">
        <is>
          <t>CHECK_VENDOR</t>
        </is>
      </c>
      <c r="W1946" t="inlineStr">
        <is>
          <t>https://security.snyk.io/vuln/CVE-2026-2047</t>
        </is>
      </c>
      <c r="X1946" t="inlineStr">
        <is>
          <t>http://www.zerodayinitiative.com/advisories/ZDI-26-120/</t>
        </is>
      </c>
      <c r="Y1946" t="n">
        <v>0</v>
      </c>
      <c r="Z1946" t="inlineStr"/>
      <c r="AA1946" t="inlineStr">
        <is>
          <t>http://www.zerodayinitiative.com/advisories/ZDI-26-120/</t>
        </is>
      </c>
    </row>
    <row r="1947">
      <c r="A1947" t="inlineStr">
        <is>
          <t>ZDI_ADVISORY</t>
        </is>
      </c>
      <c r="B1947" t="inlineStr">
        <is>
          <t>ZDI-26-119</t>
        </is>
      </c>
      <c r="C1947" t="inlineStr">
        <is>
          <t>ZDI Published 0-Day: ZDI-26-119: GIMP XWD File Parsing Out-Of-Bounds Write Remote Code Execution Vulnerability | CVEs: CVE-2026-2045 | Product: See ZDI advisory</t>
        </is>
      </c>
      <c r="D1947" t="n">
        <v>7.5</v>
      </c>
      <c r="E1947" t="inlineStr">
        <is>
          <t>HIGH</t>
        </is>
      </c>
      <c r="F1947" t="n">
        <v>3</v>
      </c>
      <c r="G1947" t="n">
        <v>3</v>
      </c>
      <c r="H1947" t="inlineStr">
        <is>
          <t>CRITICAL</t>
        </is>
      </c>
      <c r="I1947" t="n">
        <v>16.5</v>
      </c>
      <c r="J1947" t="inlineStr">
        <is>
          <t>NO</t>
        </is>
      </c>
      <c r="K1947" t="inlineStr">
        <is>
          <t>2026-02-19 06:00</t>
        </is>
      </c>
      <c r="L1947" t="inlineStr">
        <is>
          <t>CHECK_VENDOR - ZDI published, vendor patch may be pending</t>
        </is>
      </c>
      <c r="M1947" t="inlineStr">
        <is>
          <t>See ZDI advisory</t>
        </is>
      </c>
      <c r="N1947" t="inlineStr">
        <is>
          <t>P1</t>
        </is>
      </c>
      <c r="O1947" t="inlineStr">
        <is>
          <t>ZDI 0-day advisory - no IP context</t>
        </is>
      </c>
      <c r="P1947" t="n">
        <v>0</v>
      </c>
      <c r="Q1947" t="n">
        <v>0</v>
      </c>
      <c r="R1947" t="inlineStr">
        <is>
          <t>T1190:Exploit Public-Facing Application | T1210:Exploitation of Remote Services | T1203:Exploitation for Client Execution</t>
        </is>
      </c>
      <c r="S1947" t="n">
        <v>2</v>
      </c>
      <c r="T1947" t="inlineStr">
        <is>
          <t>CONFIRMED (82%)</t>
        </is>
      </c>
      <c r="U1947" t="inlineStr">
        <is>
          <t>YES</t>
        </is>
      </c>
      <c r="V1947" t="inlineStr">
        <is>
          <t>CHECK_VENDOR</t>
        </is>
      </c>
      <c r="W1947" t="inlineStr">
        <is>
          <t>https://security.snyk.io/vuln/CVE-2026-2045</t>
        </is>
      </c>
      <c r="X1947" t="inlineStr">
        <is>
          <t>http://www.zerodayinitiative.com/advisories/ZDI-26-119/</t>
        </is>
      </c>
      <c r="Y1947" t="n">
        <v>0</v>
      </c>
      <c r="Z1947" t="inlineStr"/>
      <c r="AA1947" t="inlineStr">
        <is>
          <t>http://www.zerodayinitiative.com/advisories/ZDI-26-119/</t>
        </is>
      </c>
    </row>
    <row r="1948">
      <c r="A1948" t="inlineStr">
        <is>
          <t>ZDI_ADVISORY</t>
        </is>
      </c>
      <c r="B1948" t="inlineStr">
        <is>
          <t>ZDI-26-118</t>
        </is>
      </c>
      <c r="C1948" t="inlineStr">
        <is>
          <t>ZDI Published 0-Day: ZDI-26-118: GIMP PGM File Parsing Uninitialized Memory Remote Code Execution Vulnerability | CVEs: CVE-2026-2044 | Product: See ZDI advisory</t>
        </is>
      </c>
      <c r="D1948" t="n">
        <v>7.5</v>
      </c>
      <c r="E1948" t="inlineStr">
        <is>
          <t>HIGH</t>
        </is>
      </c>
      <c r="F1948" t="n">
        <v>3</v>
      </c>
      <c r="G1948" t="n">
        <v>3</v>
      </c>
      <c r="H1948" t="inlineStr">
        <is>
          <t>CRITICAL</t>
        </is>
      </c>
      <c r="I1948" t="n">
        <v>16.5</v>
      </c>
      <c r="J1948" t="inlineStr">
        <is>
          <t>NO</t>
        </is>
      </c>
      <c r="K1948" t="inlineStr">
        <is>
          <t>2026-02-19 06:00</t>
        </is>
      </c>
      <c r="L1948" t="inlineStr">
        <is>
          <t>CHECK_VENDOR - ZDI published, vendor patch may be pending</t>
        </is>
      </c>
      <c r="M1948" t="inlineStr">
        <is>
          <t>See ZDI advisory</t>
        </is>
      </c>
      <c r="N1948" t="inlineStr">
        <is>
          <t>P1</t>
        </is>
      </c>
      <c r="O1948" t="inlineStr">
        <is>
          <t>ZDI 0-day advisory - no IP context</t>
        </is>
      </c>
      <c r="P1948" t="n">
        <v>0</v>
      </c>
      <c r="Q1948" t="n">
        <v>0</v>
      </c>
      <c r="R1948" t="inlineStr">
        <is>
          <t>T1190:Exploit Public-Facing Application | T1210:Exploitation of Remote Services</t>
        </is>
      </c>
      <c r="S1948" t="n">
        <v>2</v>
      </c>
      <c r="T1948" t="inlineStr">
        <is>
          <t>CONFIRMED (82%)</t>
        </is>
      </c>
      <c r="U1948" t="inlineStr">
        <is>
          <t>YES</t>
        </is>
      </c>
      <c r="V1948" t="inlineStr">
        <is>
          <t>CHECK_VENDOR</t>
        </is>
      </c>
      <c r="W1948" t="inlineStr">
        <is>
          <t>https://security.snyk.io/vuln/CVE-2026-2044</t>
        </is>
      </c>
      <c r="X1948" t="inlineStr">
        <is>
          <t>http://www.zerodayinitiative.com/advisories/ZDI-26-118/</t>
        </is>
      </c>
      <c r="Y1948" t="n">
        <v>0</v>
      </c>
      <c r="Z1948" t="inlineStr"/>
      <c r="AA1948" t="inlineStr">
        <is>
          <t>http://www.zerodayinitiative.com/advisories/ZDI-26-118/</t>
        </is>
      </c>
    </row>
    <row r="1949">
      <c r="A1949" t="inlineStr">
        <is>
          <t>ZDI_ADVISORY</t>
        </is>
      </c>
      <c r="B1949" t="inlineStr">
        <is>
          <t>ZDI-26-117</t>
        </is>
      </c>
      <c r="C1949" t="inlineStr">
        <is>
          <t>ZDI Published 0-Day: ZDI-26-117: RustDesk Client for Windows Transfer File Link Following Information Disclosure Vulnerability | CVEs: CVE-2026-2490 | Product: See ZDI advisory</t>
        </is>
      </c>
      <c r="D1949" t="n">
        <v>7.5</v>
      </c>
      <c r="E1949" t="inlineStr">
        <is>
          <t>HIGH</t>
        </is>
      </c>
      <c r="F1949" t="n">
        <v>3</v>
      </c>
      <c r="G1949" t="n">
        <v>3</v>
      </c>
      <c r="H1949" t="inlineStr">
        <is>
          <t>CRITICAL</t>
        </is>
      </c>
      <c r="I1949" t="n">
        <v>16.5</v>
      </c>
      <c r="J1949" t="inlineStr">
        <is>
          <t>NO</t>
        </is>
      </c>
      <c r="K1949" t="inlineStr">
        <is>
          <t>2026-02-19 06:00</t>
        </is>
      </c>
      <c r="L1949" t="inlineStr">
        <is>
          <t>CHECK_VENDOR - ZDI published, vendor patch may be pending</t>
        </is>
      </c>
      <c r="M1949" t="inlineStr">
        <is>
          <t>See ZDI advisory</t>
        </is>
      </c>
      <c r="N1949" t="inlineStr">
        <is>
          <t>P1</t>
        </is>
      </c>
      <c r="O1949" t="inlineStr">
        <is>
          <t>ZDI 0-day advisory - no IP context</t>
        </is>
      </c>
      <c r="P1949" t="n">
        <v>0.0001</v>
      </c>
      <c r="Q1949" t="n">
        <v>0.0293</v>
      </c>
      <c r="R1949" t="inlineStr">
        <is>
          <t>T1213:Data from Information Repositories</t>
        </is>
      </c>
      <c r="S1949" t="n">
        <v>2</v>
      </c>
      <c r="T1949" t="inlineStr">
        <is>
          <t>CONFIRMED (82%)</t>
        </is>
      </c>
      <c r="U1949" t="inlineStr">
        <is>
          <t>YES</t>
        </is>
      </c>
      <c r="V1949" t="inlineStr">
        <is>
          <t>CHECK_VENDOR</t>
        </is>
      </c>
      <c r="W1949" t="inlineStr">
        <is>
          <t>https://security.snyk.io/vuln/CVE-2026-2490</t>
        </is>
      </c>
      <c r="X1949" t="inlineStr">
        <is>
          <t>http://www.zerodayinitiative.com/advisories/ZDI-26-117/</t>
        </is>
      </c>
      <c r="Y1949" t="n">
        <v>0</v>
      </c>
      <c r="Z1949" t="inlineStr"/>
      <c r="AA1949" t="inlineStr">
        <is>
          <t>http://www.zerodayinitiative.com/advisories/ZDI-26-117/</t>
        </is>
      </c>
    </row>
    <row r="1950">
      <c r="A1950" t="inlineStr">
        <is>
          <t>ZDI_ADVISORY</t>
        </is>
      </c>
      <c r="B1950" t="inlineStr">
        <is>
          <t>ZDI-26-116</t>
        </is>
      </c>
      <c r="C1950" t="inlineStr">
        <is>
          <t>ZDI Published 0-Day: ZDI-26-116: TensorFlow HDF5 Library Uncontrolled Search Path Element Local Privilege Escalation Vulnerability | CVEs: CVE-2026-2492 | Product: See ZDI advisory</t>
        </is>
      </c>
      <c r="D1950" t="n">
        <v>7.5</v>
      </c>
      <c r="E1950" t="inlineStr">
        <is>
          <t>HIGH</t>
        </is>
      </c>
      <c r="F1950" t="n">
        <v>3</v>
      </c>
      <c r="G1950" t="n">
        <v>3</v>
      </c>
      <c r="H1950" t="inlineStr">
        <is>
          <t>CRITICAL</t>
        </is>
      </c>
      <c r="I1950" t="n">
        <v>16.5</v>
      </c>
      <c r="J1950" t="inlineStr">
        <is>
          <t>NO</t>
        </is>
      </c>
      <c r="K1950" t="inlineStr">
        <is>
          <t>2026-02-19 06:00</t>
        </is>
      </c>
      <c r="L1950" t="inlineStr">
        <is>
          <t>CHECK_VENDOR - ZDI published, vendor patch may be pending</t>
        </is>
      </c>
      <c r="M1950" t="inlineStr">
        <is>
          <t>See ZDI advisory</t>
        </is>
      </c>
      <c r="N1950" t="inlineStr">
        <is>
          <t>P1</t>
        </is>
      </c>
      <c r="O1950" t="inlineStr">
        <is>
          <t>ZDI 0-day advisory - no IP context</t>
        </is>
      </c>
      <c r="P1950" t="n">
        <v>0</v>
      </c>
      <c r="Q1950" t="n">
        <v>0</v>
      </c>
      <c r="R1950" t="inlineStr">
        <is>
          <t>T1068:Exploitation for Privilege Escalation</t>
        </is>
      </c>
      <c r="S1950" t="n">
        <v>2</v>
      </c>
      <c r="T1950" t="inlineStr">
        <is>
          <t>CONFIRMED (82%)</t>
        </is>
      </c>
      <c r="U1950" t="inlineStr">
        <is>
          <t>YES</t>
        </is>
      </c>
      <c r="V1950" t="inlineStr">
        <is>
          <t>CHECK_VENDOR</t>
        </is>
      </c>
      <c r="W1950" t="inlineStr">
        <is>
          <t>https://security.snyk.io/vuln/CVE-2026-2492</t>
        </is>
      </c>
      <c r="X1950" t="inlineStr">
        <is>
          <t>http://www.zerodayinitiative.com/advisories/ZDI-26-116/</t>
        </is>
      </c>
      <c r="Y1950" t="n">
        <v>0</v>
      </c>
      <c r="Z1950" t="inlineStr"/>
      <c r="AA1950" t="inlineStr">
        <is>
          <t>http://www.zerodayinitiative.com/advisories/ZDI-26-116/</t>
        </is>
      </c>
    </row>
    <row r="1951">
      <c r="A1951" t="inlineStr">
        <is>
          <t>ZDI_ADVISORY</t>
        </is>
      </c>
      <c r="B1951" t="inlineStr">
        <is>
          <t>ZDI-26-115</t>
        </is>
      </c>
      <c r="C1951" t="inlineStr">
        <is>
          <t>ZDI Published 0-Day: ZDI-26-115: Fortinet FortiClient VPN FCConfig Utility Link Following Local Privilege Escalation Vulnerability | CVEs: CVE-2025-62676 | Product: See ZDI advisory</t>
        </is>
      </c>
      <c r="D1951" t="n">
        <v>7.5</v>
      </c>
      <c r="E1951" t="inlineStr">
        <is>
          <t>HIGH</t>
        </is>
      </c>
      <c r="F1951" t="n">
        <v>3</v>
      </c>
      <c r="G1951" t="n">
        <v>3</v>
      </c>
      <c r="H1951" t="inlineStr">
        <is>
          <t>CRITICAL</t>
        </is>
      </c>
      <c r="I1951" t="n">
        <v>16.5</v>
      </c>
      <c r="J1951" t="inlineStr">
        <is>
          <t>NO</t>
        </is>
      </c>
      <c r="K1951" t="inlineStr">
        <is>
          <t>2026-02-19 06:00</t>
        </is>
      </c>
      <c r="L1951" t="inlineStr">
        <is>
          <t>CHECK_VENDOR - ZDI published, vendor patch may be pending</t>
        </is>
      </c>
      <c r="M1951" t="inlineStr">
        <is>
          <t>See ZDI advisory</t>
        </is>
      </c>
      <c r="N1951" t="inlineStr">
        <is>
          <t>P1</t>
        </is>
      </c>
      <c r="O1951" t="inlineStr">
        <is>
          <t>ZDI 0-day advisory - no IP context</t>
        </is>
      </c>
      <c r="P1951" t="n">
        <v>0</v>
      </c>
      <c r="Q1951" t="n">
        <v>0</v>
      </c>
      <c r="R1951" t="inlineStr">
        <is>
          <t>T1068:Exploitation for Privilege Escalation | T1133:External Remote Services</t>
        </is>
      </c>
      <c r="S1951" t="n">
        <v>2</v>
      </c>
      <c r="T1951" t="inlineStr">
        <is>
          <t>CONFIRMED (82%)</t>
        </is>
      </c>
      <c r="U1951" t="inlineStr">
        <is>
          <t>YES</t>
        </is>
      </c>
      <c r="V1951" t="inlineStr">
        <is>
          <t>CHECK_VENDOR</t>
        </is>
      </c>
      <c r="W1951" t="inlineStr">
        <is>
          <t>https://security.snyk.io/vuln/CVE-2025-62676</t>
        </is>
      </c>
      <c r="X1951" t="inlineStr">
        <is>
          <t>http://www.zerodayinitiative.com/advisories/ZDI-26-115/</t>
        </is>
      </c>
      <c r="Y1951" t="n">
        <v>0</v>
      </c>
      <c r="Z1951" t="inlineStr"/>
      <c r="AA1951" t="inlineStr">
        <is>
          <t>http://www.zerodayinitiative.com/advisories/ZDI-26-115/</t>
        </is>
      </c>
    </row>
    <row r="1952">
      <c r="A1952" t="inlineStr">
        <is>
          <t>ZDI_ADVISORY</t>
        </is>
      </c>
      <c r="B1952" t="inlineStr">
        <is>
          <t>ZDI-26-114</t>
        </is>
      </c>
      <c r="C1952" t="inlineStr">
        <is>
          <t>ZDI Published 0-Day: ZDI-26-114: Dassault Systèmes eDrawings Viewer EPRT File Parsing Out-Of-Bounds Write Remote Code Execution Vulnerability | CVEs: CVE-2026-1335 | Product: See ZDI advisory</t>
        </is>
      </c>
      <c r="D1952" t="n">
        <v>7.5</v>
      </c>
      <c r="E1952" t="inlineStr">
        <is>
          <t>HIGH</t>
        </is>
      </c>
      <c r="F1952" t="n">
        <v>3</v>
      </c>
      <c r="G1952" t="n">
        <v>3</v>
      </c>
      <c r="H1952" t="inlineStr">
        <is>
          <t>CRITICAL</t>
        </is>
      </c>
      <c r="I1952" t="n">
        <v>16.5</v>
      </c>
      <c r="J1952" t="inlineStr">
        <is>
          <t>NO</t>
        </is>
      </c>
      <c r="K1952" t="inlineStr">
        <is>
          <t>2026-02-19 06:00</t>
        </is>
      </c>
      <c r="L1952" t="inlineStr">
        <is>
          <t>CHECK_VENDOR - ZDI published, vendor patch may be pending</t>
        </is>
      </c>
      <c r="M1952" t="inlineStr">
        <is>
          <t>See ZDI advisory</t>
        </is>
      </c>
      <c r="N1952" t="inlineStr">
        <is>
          <t>P1</t>
        </is>
      </c>
      <c r="O1952" t="inlineStr">
        <is>
          <t>ZDI 0-day advisory - no IP context</t>
        </is>
      </c>
      <c r="P1952" t="n">
        <v>0</v>
      </c>
      <c r="Q1952" t="n">
        <v>0</v>
      </c>
      <c r="R1952" t="inlineStr">
        <is>
          <t>T1190:Exploit Public-Facing Application | T1210:Exploitation of Remote Services | T1203:Exploitation for Client Execution</t>
        </is>
      </c>
      <c r="S1952" t="n">
        <v>2</v>
      </c>
      <c r="T1952" t="inlineStr">
        <is>
          <t>CONFIRMED (82%)</t>
        </is>
      </c>
      <c r="U1952" t="inlineStr">
        <is>
          <t>YES</t>
        </is>
      </c>
      <c r="V1952" t="inlineStr">
        <is>
          <t>CHECK_VENDOR</t>
        </is>
      </c>
      <c r="W1952" t="inlineStr">
        <is>
          <t>https://security.snyk.io/vuln/CVE-2026-1335</t>
        </is>
      </c>
      <c r="X1952" t="inlineStr">
        <is>
          <t>http://www.zerodayinitiative.com/advisories/ZDI-26-114/</t>
        </is>
      </c>
      <c r="Y1952" t="n">
        <v>0</v>
      </c>
      <c r="Z1952" t="inlineStr"/>
      <c r="AA1952" t="inlineStr">
        <is>
          <t>http://www.zerodayinitiative.com/advisories/ZDI-26-114/</t>
        </is>
      </c>
    </row>
    <row r="1953">
      <c r="A1953" t="inlineStr">
        <is>
          <t>ZDI_ADVISORY</t>
        </is>
      </c>
      <c r="B1953" t="inlineStr">
        <is>
          <t>ZDI-26-113</t>
        </is>
      </c>
      <c r="C1953" t="inlineStr">
        <is>
          <t>ZDI Published 0-Day: ZDI-26-113: Dassault Systèmes eDrawings Viewer EPRT File Parsing Memory Corruption Remote Code Execution Vulnerability | CVEs: CVE-2026-1334 | Product: See ZDI advisory</t>
        </is>
      </c>
      <c r="D1953" t="n">
        <v>7.5</v>
      </c>
      <c r="E1953" t="inlineStr">
        <is>
          <t>HIGH</t>
        </is>
      </c>
      <c r="F1953" t="n">
        <v>3</v>
      </c>
      <c r="G1953" t="n">
        <v>3</v>
      </c>
      <c r="H1953" t="inlineStr">
        <is>
          <t>CRITICAL</t>
        </is>
      </c>
      <c r="I1953" t="n">
        <v>16.5</v>
      </c>
      <c r="J1953" t="inlineStr">
        <is>
          <t>NO</t>
        </is>
      </c>
      <c r="K1953" t="inlineStr">
        <is>
          <t>2026-02-19 06:00</t>
        </is>
      </c>
      <c r="L1953" t="inlineStr">
        <is>
          <t>CHECK_VENDOR - ZDI published, vendor patch may be pending</t>
        </is>
      </c>
      <c r="M1953" t="inlineStr">
        <is>
          <t>See ZDI advisory</t>
        </is>
      </c>
      <c r="N1953" t="inlineStr">
        <is>
          <t>P1</t>
        </is>
      </c>
      <c r="O1953" t="inlineStr">
        <is>
          <t>ZDI 0-day advisory - no IP context</t>
        </is>
      </c>
      <c r="P1953" t="n">
        <v>0</v>
      </c>
      <c r="Q1953" t="n">
        <v>0</v>
      </c>
      <c r="R1953" t="inlineStr">
        <is>
          <t>T1190:Exploit Public-Facing Application | T1210:Exploitation of Remote Services | T1203:Exploitation for Client Execution</t>
        </is>
      </c>
      <c r="S1953" t="n">
        <v>2</v>
      </c>
      <c r="T1953" t="inlineStr">
        <is>
          <t>CONFIRMED (82%)</t>
        </is>
      </c>
      <c r="U1953" t="inlineStr">
        <is>
          <t>YES</t>
        </is>
      </c>
      <c r="V1953" t="inlineStr">
        <is>
          <t>CHECK_VENDOR</t>
        </is>
      </c>
      <c r="W1953" t="inlineStr">
        <is>
          <t>https://security.snyk.io/vuln/CVE-2026-1334</t>
        </is>
      </c>
      <c r="X1953" t="inlineStr">
        <is>
          <t>http://www.zerodayinitiative.com/advisories/ZDI-26-113/</t>
        </is>
      </c>
      <c r="Y1953" t="n">
        <v>0</v>
      </c>
      <c r="Z1953" t="inlineStr"/>
      <c r="AA1953" t="inlineStr">
        <is>
          <t>http://www.zerodayinitiative.com/advisories/ZDI-26-113/</t>
        </is>
      </c>
    </row>
    <row r="1954">
      <c r="A1954" t="inlineStr">
        <is>
          <t>ZDI_ADVISORY</t>
        </is>
      </c>
      <c r="B1954" t="inlineStr">
        <is>
          <t>ZDI-26-112</t>
        </is>
      </c>
      <c r="C1954" t="inlineStr">
        <is>
          <t>ZDI Published 0-Day: ZDI-26-112: Dassault Systèmes eDrawings Viewer EPRT File Parsing Uninitialized Variable Remote Code Execution Vulnerability | CVEs: CVE-2026-1333 | Product: See ZDI advisory</t>
        </is>
      </c>
      <c r="D1954" t="n">
        <v>7.5</v>
      </c>
      <c r="E1954" t="inlineStr">
        <is>
          <t>HIGH</t>
        </is>
      </c>
      <c r="F1954" t="n">
        <v>3</v>
      </c>
      <c r="G1954" t="n">
        <v>3</v>
      </c>
      <c r="H1954" t="inlineStr">
        <is>
          <t>CRITICAL</t>
        </is>
      </c>
      <c r="I1954" t="n">
        <v>16.5</v>
      </c>
      <c r="J1954" t="inlineStr">
        <is>
          <t>NO</t>
        </is>
      </c>
      <c r="K1954" t="inlineStr">
        <is>
          <t>2026-02-19 06:00</t>
        </is>
      </c>
      <c r="L1954" t="inlineStr">
        <is>
          <t>CHECK_VENDOR - ZDI published, vendor patch may be pending</t>
        </is>
      </c>
      <c r="M1954" t="inlineStr">
        <is>
          <t>See ZDI advisory</t>
        </is>
      </c>
      <c r="N1954" t="inlineStr">
        <is>
          <t>P1</t>
        </is>
      </c>
      <c r="O1954" t="inlineStr">
        <is>
          <t>ZDI 0-day advisory - no IP context</t>
        </is>
      </c>
      <c r="P1954" t="n">
        <v>0</v>
      </c>
      <c r="Q1954" t="n">
        <v>0</v>
      </c>
      <c r="R1954" t="inlineStr">
        <is>
          <t>T1190:Exploit Public-Facing Application | T1210:Exploitation of Remote Services</t>
        </is>
      </c>
      <c r="S1954" t="n">
        <v>2</v>
      </c>
      <c r="T1954" t="inlineStr">
        <is>
          <t>CONFIRMED (82%)</t>
        </is>
      </c>
      <c r="U1954" t="inlineStr">
        <is>
          <t>YES</t>
        </is>
      </c>
      <c r="V1954" t="inlineStr">
        <is>
          <t>CHECK_VENDOR</t>
        </is>
      </c>
      <c r="W1954" t="inlineStr">
        <is>
          <t>https://security.snyk.io/vuln/CVE-2026-1333</t>
        </is>
      </c>
      <c r="X1954" t="inlineStr">
        <is>
          <t>http://www.zerodayinitiative.com/advisories/ZDI-26-112/</t>
        </is>
      </c>
      <c r="Y1954" t="n">
        <v>0</v>
      </c>
      <c r="Z1954" t="inlineStr"/>
      <c r="AA1954" t="inlineStr">
        <is>
          <t>http://www.zerodayinitiative.com/advisories/ZDI-26-112/</t>
        </is>
      </c>
    </row>
    <row r="1955">
      <c r="A1955" t="inlineStr">
        <is>
          <t>ZDI_ADVISORY</t>
        </is>
      </c>
      <c r="B1955" t="inlineStr">
        <is>
          <t>ZDI-26-111</t>
        </is>
      </c>
      <c r="C1955" t="inlineStr">
        <is>
          <t>ZDI Published 0-Day: ZDI-26-111: MLflow Use of Default Password Authentication Bypass Vulnerability | CVEs: CVE-2026-2635 | Product: See ZDI advisory</t>
        </is>
      </c>
      <c r="D1955" t="n">
        <v>7.5</v>
      </c>
      <c r="E1955" t="inlineStr">
        <is>
          <t>HIGH</t>
        </is>
      </c>
      <c r="F1955" t="n">
        <v>3</v>
      </c>
      <c r="G1955" t="n">
        <v>3</v>
      </c>
      <c r="H1955" t="inlineStr">
        <is>
          <t>CRITICAL</t>
        </is>
      </c>
      <c r="I1955" t="n">
        <v>16.5</v>
      </c>
      <c r="J1955" t="inlineStr">
        <is>
          <t>NO</t>
        </is>
      </c>
      <c r="K1955" t="inlineStr">
        <is>
          <t>2026-02-19 06:00</t>
        </is>
      </c>
      <c r="L1955" t="inlineStr">
        <is>
          <t>CHECK_VENDOR - ZDI published, vendor patch may be pending</t>
        </is>
      </c>
      <c r="M1955" t="inlineStr">
        <is>
          <t>See ZDI advisory</t>
        </is>
      </c>
      <c r="N1955" t="inlineStr">
        <is>
          <t>P1</t>
        </is>
      </c>
      <c r="O1955" t="inlineStr">
        <is>
          <t>ZDI 0-day advisory - no IP context</t>
        </is>
      </c>
      <c r="P1955" t="n">
        <v>0</v>
      </c>
      <c r="Q1955" t="n">
        <v>0</v>
      </c>
      <c r="R1955" t="inlineStr">
        <is>
          <t>T1078:Valid Accounts</t>
        </is>
      </c>
      <c r="S1955" t="n">
        <v>2</v>
      </c>
      <c r="T1955" t="inlineStr">
        <is>
          <t>CONFIRMED (82%)</t>
        </is>
      </c>
      <c r="U1955" t="inlineStr">
        <is>
          <t>YES</t>
        </is>
      </c>
      <c r="V1955" t="inlineStr">
        <is>
          <t>CHECK_VENDOR</t>
        </is>
      </c>
      <c r="W1955" t="inlineStr">
        <is>
          <t>https://security.snyk.io/vuln/CVE-2026-2635</t>
        </is>
      </c>
      <c r="X1955" t="inlineStr">
        <is>
          <t>http://www.zerodayinitiative.com/advisories/ZDI-26-111/</t>
        </is>
      </c>
      <c r="Y1955" t="n">
        <v>0</v>
      </c>
      <c r="Z1955" t="inlineStr"/>
      <c r="AA1955" t="inlineStr">
        <is>
          <t>http://www.zerodayinitiative.com/advisories/ZDI-26-111/</t>
        </is>
      </c>
    </row>
    <row r="1956">
      <c r="A1956" t="inlineStr">
        <is>
          <t>ZDI_ADVISORY</t>
        </is>
      </c>
      <c r="B1956" t="inlineStr">
        <is>
          <t>ZDI-26-110</t>
        </is>
      </c>
      <c r="C1956" t="inlineStr">
        <is>
          <t>ZDI Published 0-Day: ZDI-26-110: Bosch Rexroth IndraWorks Print Settings File Parsing Deserialization Of Untrusted Data Remote Code Execution Vulnerability | CVEs: CVE-2025-60038, CVE-2025-60037 | Product: See ZDI advisory</t>
        </is>
      </c>
      <c r="D1956" t="n">
        <v>7.5</v>
      </c>
      <c r="E1956" t="inlineStr">
        <is>
          <t>HIGH</t>
        </is>
      </c>
      <c r="F1956" t="n">
        <v>3</v>
      </c>
      <c r="G1956" t="n">
        <v>3</v>
      </c>
      <c r="H1956" t="inlineStr">
        <is>
          <t>CRITICAL</t>
        </is>
      </c>
      <c r="I1956" t="n">
        <v>16.5</v>
      </c>
      <c r="J1956" t="inlineStr">
        <is>
          <t>NO</t>
        </is>
      </c>
      <c r="K1956" t="inlineStr">
        <is>
          <t>2026-02-19 06:00</t>
        </is>
      </c>
      <c r="L1956" t="inlineStr">
        <is>
          <t>CHECK_VENDOR - ZDI published, vendor patch may be pending</t>
        </is>
      </c>
      <c r="M1956" t="inlineStr">
        <is>
          <t>See ZDI advisory</t>
        </is>
      </c>
      <c r="N1956" t="inlineStr">
        <is>
          <t>P1</t>
        </is>
      </c>
      <c r="O1956" t="inlineStr">
        <is>
          <t>ZDI 0-day advisory - no IP context</t>
        </is>
      </c>
      <c r="P1956" t="n">
        <v>0</v>
      </c>
      <c r="Q1956" t="n">
        <v>0</v>
      </c>
      <c r="R1956" t="inlineStr">
        <is>
          <t>T1190:Exploit Public-Facing Application | T1210:Exploitation of Remote Services | T1059:Command and Scripting Interpreter</t>
        </is>
      </c>
      <c r="S1956" t="n">
        <v>2</v>
      </c>
      <c r="T1956" t="inlineStr">
        <is>
          <t>CONFIRMED (82%)</t>
        </is>
      </c>
      <c r="U1956" t="inlineStr">
        <is>
          <t>YES</t>
        </is>
      </c>
      <c r="V1956" t="inlineStr">
        <is>
          <t>CHECK_VENDOR</t>
        </is>
      </c>
      <c r="W1956" t="inlineStr">
        <is>
          <t>https://security.snyk.io/vuln/CVE-2025-60038</t>
        </is>
      </c>
      <c r="X1956" t="inlineStr">
        <is>
          <t>http://www.zerodayinitiative.com/advisories/ZDI-26-110/</t>
        </is>
      </c>
      <c r="Y1956" t="n">
        <v>0</v>
      </c>
      <c r="Z1956" t="inlineStr"/>
      <c r="AA1956" t="inlineStr">
        <is>
          <t>http://www.zerodayinitiative.com/advisories/ZDI-26-110/</t>
        </is>
      </c>
    </row>
    <row r="1957">
      <c r="A1957" t="inlineStr">
        <is>
          <t>ZDI_ADVISORY</t>
        </is>
      </c>
      <c r="B1957" t="inlineStr">
        <is>
          <t>ZDI-26-109</t>
        </is>
      </c>
      <c r="C1957" t="inlineStr">
        <is>
          <t>ZDI Published 0-Day: ZDI-26-109: Bosch Rexroth IndraWorks OPC.TestClient XML File Parsing Deserialization Of Untrusted Data Remote Code Execution Vulnerability | CVEs: CVE-2025-60035 | Product: See ZDI advisory</t>
        </is>
      </c>
      <c r="D1957" t="n">
        <v>7.5</v>
      </c>
      <c r="E1957" t="inlineStr">
        <is>
          <t>HIGH</t>
        </is>
      </c>
      <c r="F1957" t="n">
        <v>3</v>
      </c>
      <c r="G1957" t="n">
        <v>3</v>
      </c>
      <c r="H1957" t="inlineStr">
        <is>
          <t>CRITICAL</t>
        </is>
      </c>
      <c r="I1957" t="n">
        <v>16.5</v>
      </c>
      <c r="J1957" t="inlineStr">
        <is>
          <t>NO</t>
        </is>
      </c>
      <c r="K1957" t="inlineStr">
        <is>
          <t>2026-02-19 06:00</t>
        </is>
      </c>
      <c r="L1957" t="inlineStr">
        <is>
          <t>CHECK_VENDOR - ZDI published, vendor patch may be pending</t>
        </is>
      </c>
      <c r="M1957" t="inlineStr">
        <is>
          <t>See ZDI advisory</t>
        </is>
      </c>
      <c r="N1957" t="inlineStr">
        <is>
          <t>P1</t>
        </is>
      </c>
      <c r="O1957" t="inlineStr">
        <is>
          <t>ZDI 0-day advisory - no IP context</t>
        </is>
      </c>
      <c r="P1957" t="n">
        <v>0</v>
      </c>
      <c r="Q1957" t="n">
        <v>0</v>
      </c>
      <c r="R1957" t="inlineStr">
        <is>
          <t>T1190:Exploit Public-Facing Application | T1210:Exploitation of Remote Services | T1059:Command and Scripting Interpreter</t>
        </is>
      </c>
      <c r="S1957" t="n">
        <v>2</v>
      </c>
      <c r="T1957" t="inlineStr">
        <is>
          <t>CONFIRMED (82%)</t>
        </is>
      </c>
      <c r="U1957" t="inlineStr">
        <is>
          <t>YES</t>
        </is>
      </c>
      <c r="V1957" t="inlineStr">
        <is>
          <t>CHECK_VENDOR</t>
        </is>
      </c>
      <c r="W1957" t="inlineStr">
        <is>
          <t>https://security.snyk.io/vuln/CVE-2025-60035</t>
        </is>
      </c>
      <c r="X1957" t="inlineStr">
        <is>
          <t>http://www.zerodayinitiative.com/advisories/ZDI-26-109/</t>
        </is>
      </c>
      <c r="Y1957" t="n">
        <v>0</v>
      </c>
      <c r="Z1957" t="inlineStr"/>
      <c r="AA1957" t="inlineStr">
        <is>
          <t>http://www.zerodayinitiative.com/advisories/ZDI-26-109/</t>
        </is>
      </c>
    </row>
    <row r="1958">
      <c r="A1958" t="inlineStr">
        <is>
          <t>ZDI_ADVISORY</t>
        </is>
      </c>
      <c r="B1958" t="inlineStr">
        <is>
          <t>ZDI-26-108</t>
        </is>
      </c>
      <c r="C1958" t="inlineStr">
        <is>
          <t>ZDI Published 0-Day: ZDI-26-108: Bosch Rexroth IndraWorks UA.TestClient XML File Parsing Deserialization Of Untrusted Data Remote Code Execution Vulnerability | CVEs: CVE-2025-60036 | Product: See ZDI advisory</t>
        </is>
      </c>
      <c r="D1958" t="n">
        <v>7.5</v>
      </c>
      <c r="E1958" t="inlineStr">
        <is>
          <t>HIGH</t>
        </is>
      </c>
      <c r="F1958" t="n">
        <v>3</v>
      </c>
      <c r="G1958" t="n">
        <v>3</v>
      </c>
      <c r="H1958" t="inlineStr">
        <is>
          <t>CRITICAL</t>
        </is>
      </c>
      <c r="I1958" t="n">
        <v>16.5</v>
      </c>
      <c r="J1958" t="inlineStr">
        <is>
          <t>NO</t>
        </is>
      </c>
      <c r="K1958" t="inlineStr">
        <is>
          <t>2026-02-19 06:00</t>
        </is>
      </c>
      <c r="L1958" t="inlineStr">
        <is>
          <t>CHECK_VENDOR - ZDI published, vendor patch may be pending</t>
        </is>
      </c>
      <c r="M1958" t="inlineStr">
        <is>
          <t>See ZDI advisory</t>
        </is>
      </c>
      <c r="N1958" t="inlineStr">
        <is>
          <t>P1</t>
        </is>
      </c>
      <c r="O1958" t="inlineStr">
        <is>
          <t>ZDI 0-day advisory - no IP context</t>
        </is>
      </c>
      <c r="P1958" t="n">
        <v>0.0018</v>
      </c>
      <c r="Q1958" t="n">
        <v>0.4008</v>
      </c>
      <c r="R1958" t="inlineStr">
        <is>
          <t>T1190:Exploit Public-Facing Application | T1210:Exploitation of Remote Services | T1059:Command and Scripting Interpreter</t>
        </is>
      </c>
      <c r="S1958" t="n">
        <v>2</v>
      </c>
      <c r="T1958" t="inlineStr">
        <is>
          <t>CONFIRMED (82%)</t>
        </is>
      </c>
      <c r="U1958" t="inlineStr">
        <is>
          <t>YES</t>
        </is>
      </c>
      <c r="V1958" t="inlineStr">
        <is>
          <t>CHECK_VENDOR</t>
        </is>
      </c>
      <c r="W1958" t="inlineStr">
        <is>
          <t>https://security.snyk.io/vuln/CVE-2025-60036</t>
        </is>
      </c>
      <c r="X1958" t="inlineStr">
        <is>
          <t>http://www.zerodayinitiative.com/advisories/ZDI-26-108/</t>
        </is>
      </c>
      <c r="Y1958" t="n">
        <v>0</v>
      </c>
      <c r="Z1958" t="inlineStr"/>
      <c r="AA1958" t="inlineStr">
        <is>
          <t>http://www.zerodayinitiative.com/advisories/ZDI-26-108/</t>
        </is>
      </c>
    </row>
    <row r="1959">
      <c r="A1959" t="inlineStr">
        <is>
          <t>ZDI_ADVISORY</t>
        </is>
      </c>
      <c r="B1959" t="inlineStr">
        <is>
          <t>ZDI-26-107</t>
        </is>
      </c>
      <c r="C1959" t="inlineStr">
        <is>
          <t>ZDI Published 0-Day: ZDI-26-107: Autodesk AutoCAD MODEL File Out-Of-Bounds Write Remote Code Execution Vulnerability | CVEs: CVE-2026-0875 | Product: See ZDI advisory</t>
        </is>
      </c>
      <c r="D1959" t="n">
        <v>7.5</v>
      </c>
      <c r="E1959" t="inlineStr">
        <is>
          <t>HIGH</t>
        </is>
      </c>
      <c r="F1959" t="n">
        <v>3</v>
      </c>
      <c r="G1959" t="n">
        <v>3</v>
      </c>
      <c r="H1959" t="inlineStr">
        <is>
          <t>CRITICAL</t>
        </is>
      </c>
      <c r="I1959" t="n">
        <v>16.5</v>
      </c>
      <c r="J1959" t="inlineStr">
        <is>
          <t>NO</t>
        </is>
      </c>
      <c r="K1959" t="inlineStr">
        <is>
          <t>2026-02-18 06:00</t>
        </is>
      </c>
      <c r="L1959" t="inlineStr">
        <is>
          <t>CHECK_VENDOR - ZDI published, vendor patch may be pending</t>
        </is>
      </c>
      <c r="M1959" t="inlineStr">
        <is>
          <t>See ZDI advisory</t>
        </is>
      </c>
      <c r="N1959" t="inlineStr">
        <is>
          <t>P1</t>
        </is>
      </c>
      <c r="O1959" t="inlineStr">
        <is>
          <t>ZDI 0-day advisory - no IP context</t>
        </is>
      </c>
      <c r="P1959" t="n">
        <v>0</v>
      </c>
      <c r="Q1959" t="n">
        <v>0</v>
      </c>
      <c r="R1959" t="inlineStr">
        <is>
          <t>T1190:Exploit Public-Facing Application | T1210:Exploitation of Remote Services | T1203:Exploitation for Client Execution</t>
        </is>
      </c>
      <c r="S1959" t="n">
        <v>2</v>
      </c>
      <c r="T1959" t="inlineStr">
        <is>
          <t>CONFIRMED (82%)</t>
        </is>
      </c>
      <c r="U1959" t="inlineStr">
        <is>
          <t>YES</t>
        </is>
      </c>
      <c r="V1959" t="inlineStr">
        <is>
          <t>CHECK_VENDOR</t>
        </is>
      </c>
      <c r="W1959" t="inlineStr">
        <is>
          <t>https://security.snyk.io/vuln/CVE-2026-0875</t>
        </is>
      </c>
      <c r="X1959" t="inlineStr">
        <is>
          <t>http://www.zerodayinitiative.com/advisories/ZDI-26-107/</t>
        </is>
      </c>
      <c r="Y1959" t="n">
        <v>0</v>
      </c>
      <c r="Z1959" t="inlineStr"/>
      <c r="AA1959" t="inlineStr">
        <is>
          <t>http://www.zerodayinitiative.com/advisories/ZDI-26-107/</t>
        </is>
      </c>
    </row>
    <row r="1960">
      <c r="A1960" t="inlineStr">
        <is>
          <t>ZDI_ADVISORY</t>
        </is>
      </c>
      <c r="B1960" t="inlineStr">
        <is>
          <t>ZDI-26-106</t>
        </is>
      </c>
      <c r="C1960" t="inlineStr">
        <is>
          <t>ZDI Published 0-Day: ZDI-26-106: Autodesk AutoCAD CATPART File Parsing Out-Of-Bounds Write Remote Code Execution Vulnerability | CVEs: CVE-2026-0874 | Product: See ZDI advisory</t>
        </is>
      </c>
      <c r="D1960" t="n">
        <v>7.5</v>
      </c>
      <c r="E1960" t="inlineStr">
        <is>
          <t>HIGH</t>
        </is>
      </c>
      <c r="F1960" t="n">
        <v>3</v>
      </c>
      <c r="G1960" t="n">
        <v>3</v>
      </c>
      <c r="H1960" t="inlineStr">
        <is>
          <t>CRITICAL</t>
        </is>
      </c>
      <c r="I1960" t="n">
        <v>16.5</v>
      </c>
      <c r="J1960" t="inlineStr">
        <is>
          <t>NO</t>
        </is>
      </c>
      <c r="K1960" t="inlineStr">
        <is>
          <t>2026-02-18 06:00</t>
        </is>
      </c>
      <c r="L1960" t="inlineStr">
        <is>
          <t>CHECK_VENDOR - ZDI published, vendor patch may be pending</t>
        </is>
      </c>
      <c r="M1960" t="inlineStr">
        <is>
          <t>See ZDI advisory</t>
        </is>
      </c>
      <c r="N1960" t="inlineStr">
        <is>
          <t>P1</t>
        </is>
      </c>
      <c r="O1960" t="inlineStr">
        <is>
          <t>ZDI 0-day advisory - no IP context</t>
        </is>
      </c>
      <c r="P1960" t="n">
        <v>0</v>
      </c>
      <c r="Q1960" t="n">
        <v>0</v>
      </c>
      <c r="R1960" t="inlineStr">
        <is>
          <t>T1190:Exploit Public-Facing Application | T1210:Exploitation of Remote Services | T1203:Exploitation for Client Execution</t>
        </is>
      </c>
      <c r="S1960" t="n">
        <v>2</v>
      </c>
      <c r="T1960" t="inlineStr">
        <is>
          <t>CONFIRMED (82%)</t>
        </is>
      </c>
      <c r="U1960" t="inlineStr">
        <is>
          <t>YES</t>
        </is>
      </c>
      <c r="V1960" t="inlineStr">
        <is>
          <t>CHECK_VENDOR</t>
        </is>
      </c>
      <c r="W1960" t="inlineStr">
        <is>
          <t>https://security.snyk.io/vuln/CVE-2026-0874</t>
        </is>
      </c>
      <c r="X1960" t="inlineStr">
        <is>
          <t>http://www.zerodayinitiative.com/advisories/ZDI-26-106/</t>
        </is>
      </c>
      <c r="Y1960" t="n">
        <v>0</v>
      </c>
      <c r="Z1960" t="inlineStr"/>
      <c r="AA1960" t="inlineStr">
        <is>
          <t>http://www.zerodayinitiative.com/advisories/ZDI-26-106/</t>
        </is>
      </c>
    </row>
    <row r="1961">
      <c r="A1961" t="inlineStr">
        <is>
          <t>ZDI_ADVISORY</t>
        </is>
      </c>
      <c r="B1961" t="inlineStr">
        <is>
          <t>ZDI-26-105</t>
        </is>
      </c>
      <c r="C1961" t="inlineStr">
        <is>
          <t>ZDI Published 0-Day: ZDI-26-105: MLflow Tracking Server Artifact Handler Directory Traversal Remote Code Execution Vulnerability | CVEs: CVE-2026-2033 | Product: See ZDI advisory</t>
        </is>
      </c>
      <c r="D1961" t="n">
        <v>7.5</v>
      </c>
      <c r="E1961" t="inlineStr">
        <is>
          <t>HIGH</t>
        </is>
      </c>
      <c r="F1961" t="n">
        <v>3</v>
      </c>
      <c r="G1961" t="n">
        <v>3</v>
      </c>
      <c r="H1961" t="inlineStr">
        <is>
          <t>CRITICAL</t>
        </is>
      </c>
      <c r="I1961" t="n">
        <v>16.5</v>
      </c>
      <c r="J1961" t="inlineStr">
        <is>
          <t>NO</t>
        </is>
      </c>
      <c r="K1961" t="inlineStr">
        <is>
          <t>2026-02-13 06:00</t>
        </is>
      </c>
      <c r="L1961" t="inlineStr">
        <is>
          <t>CHECK_VENDOR - ZDI published, vendor patch may be pending</t>
        </is>
      </c>
      <c r="M1961" t="inlineStr">
        <is>
          <t>See ZDI advisory</t>
        </is>
      </c>
      <c r="N1961" t="inlineStr">
        <is>
          <t>P1</t>
        </is>
      </c>
      <c r="O1961" t="inlineStr">
        <is>
          <t>ZDI 0-day advisory - no IP context</t>
        </is>
      </c>
      <c r="P1961" t="n">
        <v>0</v>
      </c>
      <c r="Q1961" t="n">
        <v>0</v>
      </c>
      <c r="R1961" t="inlineStr">
        <is>
          <t>T1190:Exploit Public-Facing Application | T1210:Exploitation of Remote Services | T1083:File and Directory Discovery</t>
        </is>
      </c>
      <c r="S1961" t="n">
        <v>2</v>
      </c>
      <c r="T1961" t="inlineStr">
        <is>
          <t>CONFIRMED (82%)</t>
        </is>
      </c>
      <c r="U1961" t="inlineStr">
        <is>
          <t>YES</t>
        </is>
      </c>
      <c r="V1961" t="inlineStr">
        <is>
          <t>CHECK_VENDOR</t>
        </is>
      </c>
      <c r="W1961" t="inlineStr">
        <is>
          <t>https://security.snyk.io/vuln/CVE-2026-2033</t>
        </is>
      </c>
      <c r="X1961" t="inlineStr">
        <is>
          <t>http://www.zerodayinitiative.com/advisories/ZDI-26-105/</t>
        </is>
      </c>
      <c r="Y1961" t="n">
        <v>0</v>
      </c>
      <c r="Z1961" t="inlineStr"/>
      <c r="AA1961" t="inlineStr">
        <is>
          <t>http://www.zerodayinitiative.com/advisories/ZDI-26-105/</t>
        </is>
      </c>
    </row>
    <row r="1962">
      <c r="A1962" t="inlineStr">
        <is>
          <t>ZDI_ADVISORY</t>
        </is>
      </c>
      <c r="B1962" t="inlineStr">
        <is>
          <t>ZDI-26-104</t>
        </is>
      </c>
      <c r="C1962" t="inlineStr">
        <is>
          <t>ZDI Published 0-Day: ZDI-26-104: Sante DICOM Viewer Pro DCM File Parsing Buffer Overflow Remote Code Execution Vulnerability | CVEs: CVE-2026-2034 | Product: See ZDI advisory</t>
        </is>
      </c>
      <c r="D1962" t="n">
        <v>7.5</v>
      </c>
      <c r="E1962" t="inlineStr">
        <is>
          <t>HIGH</t>
        </is>
      </c>
      <c r="F1962" t="n">
        <v>3</v>
      </c>
      <c r="G1962" t="n">
        <v>3</v>
      </c>
      <c r="H1962" t="inlineStr">
        <is>
          <t>CRITICAL</t>
        </is>
      </c>
      <c r="I1962" t="n">
        <v>16.5</v>
      </c>
      <c r="J1962" t="inlineStr">
        <is>
          <t>NO</t>
        </is>
      </c>
      <c r="K1962" t="inlineStr">
        <is>
          <t>2026-02-13 06:00</t>
        </is>
      </c>
      <c r="L1962" t="inlineStr">
        <is>
          <t>CHECK_VENDOR - ZDI published, vendor patch may be pending</t>
        </is>
      </c>
      <c r="M1962" t="inlineStr">
        <is>
          <t>See ZDI advisory</t>
        </is>
      </c>
      <c r="N1962" t="inlineStr">
        <is>
          <t>P1</t>
        </is>
      </c>
      <c r="O1962" t="inlineStr">
        <is>
          <t>ZDI 0-day advisory - no IP context</t>
        </is>
      </c>
      <c r="P1962" t="n">
        <v>0</v>
      </c>
      <c r="Q1962" t="n">
        <v>0</v>
      </c>
      <c r="R1962" t="inlineStr">
        <is>
          <t>T1190:Exploit Public-Facing Application | T1210:Exploitation of Remote Services | T1203:Exploitation for Client Execution</t>
        </is>
      </c>
      <c r="S1962" t="n">
        <v>2</v>
      </c>
      <c r="T1962" t="inlineStr">
        <is>
          <t>CONFIRMED (82%)</t>
        </is>
      </c>
      <c r="U1962" t="inlineStr">
        <is>
          <t>YES</t>
        </is>
      </c>
      <c r="V1962" t="inlineStr">
        <is>
          <t>CHECK_VENDOR</t>
        </is>
      </c>
      <c r="W1962" t="inlineStr">
        <is>
          <t>https://security.snyk.io/vuln/CVE-2026-2034</t>
        </is>
      </c>
      <c r="X1962" t="inlineStr">
        <is>
          <t>http://www.zerodayinitiative.com/advisories/ZDI-26-104/</t>
        </is>
      </c>
      <c r="Y1962" t="n">
        <v>0</v>
      </c>
      <c r="Z1962" t="inlineStr"/>
      <c r="AA1962" t="inlineStr">
        <is>
          <t>http://www.zerodayinitiative.com/advisories/ZDI-26-104/</t>
        </is>
      </c>
    </row>
    <row r="1963">
      <c r="A1963" t="inlineStr">
        <is>
          <t>ZDI_ADVISORY</t>
        </is>
      </c>
      <c r="B1963" t="inlineStr">
        <is>
          <t>ZDI-26-103</t>
        </is>
      </c>
      <c r="C1963" t="inlineStr">
        <is>
          <t>ZDI Published 0-Day: ZDI-26-103: Oracle VirtualBox VMSVGA Out-Of-Bounds Access Local Privilege Escalation Vulnerability | CVEs: CVE-2026-21956 | Product: See ZDI advisory</t>
        </is>
      </c>
      <c r="D1963" t="n">
        <v>7.5</v>
      </c>
      <c r="E1963" t="inlineStr">
        <is>
          <t>HIGH</t>
        </is>
      </c>
      <c r="F1963" t="n">
        <v>3</v>
      </c>
      <c r="G1963" t="n">
        <v>3</v>
      </c>
      <c r="H1963" t="inlineStr">
        <is>
          <t>CRITICAL</t>
        </is>
      </c>
      <c r="I1963" t="n">
        <v>16.5</v>
      </c>
      <c r="J1963" t="inlineStr">
        <is>
          <t>NO</t>
        </is>
      </c>
      <c r="K1963" t="inlineStr">
        <is>
          <t>2026-02-13 06:00</t>
        </is>
      </c>
      <c r="L1963" t="inlineStr">
        <is>
          <t>CHECK_VENDOR - ZDI published, vendor patch may be pending</t>
        </is>
      </c>
      <c r="M1963" t="inlineStr">
        <is>
          <t>See ZDI advisory</t>
        </is>
      </c>
      <c r="N1963" t="inlineStr">
        <is>
          <t>P1</t>
        </is>
      </c>
      <c r="O1963" t="inlineStr">
        <is>
          <t>ZDI 0-day advisory - no IP context</t>
        </is>
      </c>
      <c r="P1963" t="n">
        <v>0.0004</v>
      </c>
      <c r="Q1963" t="n">
        <v>0.1281</v>
      </c>
      <c r="R1963" t="inlineStr">
        <is>
          <t>T1068:Exploitation for Privilege Escalation | T1203:Exploitation for Client Execution</t>
        </is>
      </c>
      <c r="S1963" t="n">
        <v>2</v>
      </c>
      <c r="T1963" t="inlineStr">
        <is>
          <t>CONFIRMED (82%)</t>
        </is>
      </c>
      <c r="U1963" t="inlineStr">
        <is>
          <t>YES</t>
        </is>
      </c>
      <c r="V1963" t="inlineStr">
        <is>
          <t>CHECK_VENDOR</t>
        </is>
      </c>
      <c r="W1963" t="inlineStr">
        <is>
          <t>https://security.snyk.io/vuln/CVE-2026-21956</t>
        </is>
      </c>
      <c r="X1963" t="inlineStr">
        <is>
          <t>http://www.zerodayinitiative.com/advisories/ZDI-26-103/</t>
        </is>
      </c>
      <c r="Y1963" t="n">
        <v>0</v>
      </c>
      <c r="Z1963" t="inlineStr"/>
      <c r="AA1963" t="inlineStr">
        <is>
          <t>http://www.zerodayinitiative.com/advisories/ZDI-26-103/</t>
        </is>
      </c>
    </row>
    <row r="1964">
      <c r="A1964" t="inlineStr">
        <is>
          <t>ZDI_ADVISORY</t>
        </is>
      </c>
      <c r="B1964" t="inlineStr">
        <is>
          <t>ZDI-26-102</t>
        </is>
      </c>
      <c r="C1964" t="inlineStr">
        <is>
          <t>ZDI Published 0-Day: ZDI-26-102: Oracle VirtualBox VMSVGA Out-Of-Bounds Write Local Privilege Escalation Vulnerability | CVEs: CVE-2026-21957 | Product: See ZDI advisory</t>
        </is>
      </c>
      <c r="D1964" t="n">
        <v>7.5</v>
      </c>
      <c r="E1964" t="inlineStr">
        <is>
          <t>HIGH</t>
        </is>
      </c>
      <c r="F1964" t="n">
        <v>3</v>
      </c>
      <c r="G1964" t="n">
        <v>3</v>
      </c>
      <c r="H1964" t="inlineStr">
        <is>
          <t>CRITICAL</t>
        </is>
      </c>
      <c r="I1964" t="n">
        <v>16.5</v>
      </c>
      <c r="J1964" t="inlineStr">
        <is>
          <t>NO</t>
        </is>
      </c>
      <c r="K1964" t="inlineStr">
        <is>
          <t>2026-02-13 06:00</t>
        </is>
      </c>
      <c r="L1964" t="inlineStr">
        <is>
          <t>CHECK_VENDOR - ZDI published, vendor patch may be pending</t>
        </is>
      </c>
      <c r="M1964" t="inlineStr">
        <is>
          <t>See ZDI advisory</t>
        </is>
      </c>
      <c r="N1964" t="inlineStr">
        <is>
          <t>P1</t>
        </is>
      </c>
      <c r="O1964" t="inlineStr">
        <is>
          <t>ZDI 0-day advisory - no IP context</t>
        </is>
      </c>
      <c r="P1964" t="n">
        <v>0</v>
      </c>
      <c r="Q1964" t="n">
        <v>0</v>
      </c>
      <c r="R1964" t="inlineStr">
        <is>
          <t>T1068:Exploitation for Privilege Escalation | T1203:Exploitation for Client Execution</t>
        </is>
      </c>
      <c r="S1964" t="n">
        <v>2</v>
      </c>
      <c r="T1964" t="inlineStr">
        <is>
          <t>CONFIRMED (82%)</t>
        </is>
      </c>
      <c r="U1964" t="inlineStr">
        <is>
          <t>YES</t>
        </is>
      </c>
      <c r="V1964" t="inlineStr">
        <is>
          <t>CHECK_VENDOR</t>
        </is>
      </c>
      <c r="W1964" t="inlineStr">
        <is>
          <t>https://security.snyk.io/vuln/CVE-2026-21957</t>
        </is>
      </c>
      <c r="X1964" t="inlineStr">
        <is>
          <t>http://www.zerodayinitiative.com/advisories/ZDI-26-102/</t>
        </is>
      </c>
      <c r="Y1964" t="n">
        <v>0</v>
      </c>
      <c r="Z1964" t="inlineStr"/>
      <c r="AA1964" t="inlineStr">
        <is>
          <t>http://www.zerodayinitiative.com/advisories/ZDI-26-102/</t>
        </is>
      </c>
    </row>
    <row r="1965">
      <c r="A1965" t="inlineStr">
        <is>
          <t>ZDI_ADVISORY</t>
        </is>
      </c>
      <c r="B1965" t="inlineStr">
        <is>
          <t>ZDI-26-101</t>
        </is>
      </c>
      <c r="C1965" t="inlineStr">
        <is>
          <t>ZDI Published 0-Day: ZDI-26-101: Oracle VirtualBox BusLogic Uninitialized Memory Information Disclosure Vulnerability | CVEs: CVE-2026-21963 | Product: See ZDI advisory</t>
        </is>
      </c>
      <c r="D1965" t="n">
        <v>7.5</v>
      </c>
      <c r="E1965" t="inlineStr">
        <is>
          <t>HIGH</t>
        </is>
      </c>
      <c r="F1965" t="n">
        <v>3</v>
      </c>
      <c r="G1965" t="n">
        <v>3</v>
      </c>
      <c r="H1965" t="inlineStr">
        <is>
          <t>CRITICAL</t>
        </is>
      </c>
      <c r="I1965" t="n">
        <v>16.5</v>
      </c>
      <c r="J1965" t="inlineStr">
        <is>
          <t>NO</t>
        </is>
      </c>
      <c r="K1965" t="inlineStr">
        <is>
          <t>2026-02-13 06:00</t>
        </is>
      </c>
      <c r="L1965" t="inlineStr">
        <is>
          <t>CHECK_VENDOR - ZDI published, vendor patch may be pending</t>
        </is>
      </c>
      <c r="M1965" t="inlineStr">
        <is>
          <t>See ZDI advisory</t>
        </is>
      </c>
      <c r="N1965" t="inlineStr">
        <is>
          <t>P1</t>
        </is>
      </c>
      <c r="O1965" t="inlineStr">
        <is>
          <t>ZDI 0-day advisory - no IP context</t>
        </is>
      </c>
      <c r="P1965" t="n">
        <v>0</v>
      </c>
      <c r="Q1965" t="n">
        <v>0</v>
      </c>
      <c r="R1965" t="inlineStr">
        <is>
          <t>T1213:Data from Information Repositories</t>
        </is>
      </c>
      <c r="S1965" t="n">
        <v>2</v>
      </c>
      <c r="T1965" t="inlineStr">
        <is>
          <t>CONFIRMED (82%)</t>
        </is>
      </c>
      <c r="U1965" t="inlineStr">
        <is>
          <t>YES</t>
        </is>
      </c>
      <c r="V1965" t="inlineStr">
        <is>
          <t>CHECK_VENDOR</t>
        </is>
      </c>
      <c r="W1965" t="inlineStr">
        <is>
          <t>https://security.snyk.io/vuln/CVE-2026-21963</t>
        </is>
      </c>
      <c r="X1965" t="inlineStr">
        <is>
          <t>http://www.zerodayinitiative.com/advisories/ZDI-26-101/</t>
        </is>
      </c>
      <c r="Y1965" t="n">
        <v>0</v>
      </c>
      <c r="Z1965" t="inlineStr"/>
      <c r="AA1965" t="inlineStr">
        <is>
          <t>http://www.zerodayinitiative.com/advisories/ZDI-26-101/</t>
        </is>
      </c>
    </row>
    <row r="1966">
      <c r="A1966" t="inlineStr">
        <is>
          <t>ZDI_ADVISORY</t>
        </is>
      </c>
      <c r="B1966" t="inlineStr">
        <is>
          <t>ZDI-26-100</t>
        </is>
      </c>
      <c r="C1966" t="inlineStr">
        <is>
          <t>ZDI Published 0-Day: ZDI-26-100: Oracle VirtualBox LsiLogic Uninitialized Memory Information Disclosure Vulnerability | CVEs: CVE-2026-21985 | Product: See ZDI advisory</t>
        </is>
      </c>
      <c r="D1966" t="n">
        <v>7.5</v>
      </c>
      <c r="E1966" t="inlineStr">
        <is>
          <t>HIGH</t>
        </is>
      </c>
      <c r="F1966" t="n">
        <v>3</v>
      </c>
      <c r="G1966" t="n">
        <v>3</v>
      </c>
      <c r="H1966" t="inlineStr">
        <is>
          <t>CRITICAL</t>
        </is>
      </c>
      <c r="I1966" t="n">
        <v>16.5</v>
      </c>
      <c r="J1966" t="inlineStr">
        <is>
          <t>NO</t>
        </is>
      </c>
      <c r="K1966" t="inlineStr">
        <is>
          <t>2026-02-13 06:00</t>
        </is>
      </c>
      <c r="L1966" t="inlineStr">
        <is>
          <t>CHECK_VENDOR - ZDI published, vendor patch may be pending</t>
        </is>
      </c>
      <c r="M1966" t="inlineStr">
        <is>
          <t>See ZDI advisory</t>
        </is>
      </c>
      <c r="N1966" t="inlineStr">
        <is>
          <t>P1</t>
        </is>
      </c>
      <c r="O1966" t="inlineStr">
        <is>
          <t>ZDI 0-day advisory - no IP context</t>
        </is>
      </c>
      <c r="P1966" t="n">
        <v>0</v>
      </c>
      <c r="Q1966" t="n">
        <v>0</v>
      </c>
      <c r="R1966" t="inlineStr">
        <is>
          <t>T1213:Data from Information Repositories</t>
        </is>
      </c>
      <c r="S1966" t="n">
        <v>2</v>
      </c>
      <c r="T1966" t="inlineStr">
        <is>
          <t>CONFIRMED (82%)</t>
        </is>
      </c>
      <c r="U1966" t="inlineStr">
        <is>
          <t>YES</t>
        </is>
      </c>
      <c r="V1966" t="inlineStr">
        <is>
          <t>CHECK_VENDOR</t>
        </is>
      </c>
      <c r="W1966" t="inlineStr">
        <is>
          <t>https://security.snyk.io/vuln/CVE-2026-21985</t>
        </is>
      </c>
      <c r="X1966" t="inlineStr">
        <is>
          <t>http://www.zerodayinitiative.com/advisories/ZDI-26-100/</t>
        </is>
      </c>
      <c r="Y1966" t="n">
        <v>0</v>
      </c>
      <c r="Z1966" t="inlineStr"/>
      <c r="AA1966" t="inlineStr">
        <is>
          <t>http://www.zerodayinitiative.com/advisories/ZDI-26-100/</t>
        </is>
      </c>
    </row>
    <row r="1967">
      <c r="A1967" t="inlineStr">
        <is>
          <t>ZDI_ADVISORY</t>
        </is>
      </c>
      <c r="B1967" t="inlineStr">
        <is>
          <t>ZDI-26-099</t>
        </is>
      </c>
      <c r="C1967" t="inlineStr">
        <is>
          <t>ZDI Published 0-Day: ZDI-26-099: Oracle VirtualBox VMSVGA Race Condition Local Privilege Escalation Vulnerability | CVEs: CVE-2026-21984 | Product: See ZDI advisory</t>
        </is>
      </c>
      <c r="D1967" t="n">
        <v>7.5</v>
      </c>
      <c r="E1967" t="inlineStr">
        <is>
          <t>HIGH</t>
        </is>
      </c>
      <c r="F1967" t="n">
        <v>3</v>
      </c>
      <c r="G1967" t="n">
        <v>3</v>
      </c>
      <c r="H1967" t="inlineStr">
        <is>
          <t>CRITICAL</t>
        </is>
      </c>
      <c r="I1967" t="n">
        <v>16.5</v>
      </c>
      <c r="J1967" t="inlineStr">
        <is>
          <t>NO</t>
        </is>
      </c>
      <c r="K1967" t="inlineStr">
        <is>
          <t>2026-02-13 06:00</t>
        </is>
      </c>
      <c r="L1967" t="inlineStr">
        <is>
          <t>CHECK_VENDOR - ZDI published, vendor patch may be pending</t>
        </is>
      </c>
      <c r="M1967" t="inlineStr">
        <is>
          <t>See ZDI advisory</t>
        </is>
      </c>
      <c r="N1967" t="inlineStr">
        <is>
          <t>P1</t>
        </is>
      </c>
      <c r="O1967" t="inlineStr">
        <is>
          <t>ZDI 0-day advisory - no IP context</t>
        </is>
      </c>
      <c r="P1967" t="n">
        <v>0</v>
      </c>
      <c r="Q1967" t="n">
        <v>0</v>
      </c>
      <c r="R1967" t="inlineStr">
        <is>
          <t>T1068:Exploitation for Privilege Escalation</t>
        </is>
      </c>
      <c r="S1967" t="n">
        <v>2</v>
      </c>
      <c r="T1967" t="inlineStr">
        <is>
          <t>CONFIRMED (82%)</t>
        </is>
      </c>
      <c r="U1967" t="inlineStr">
        <is>
          <t>YES</t>
        </is>
      </c>
      <c r="V1967" t="inlineStr">
        <is>
          <t>CHECK_VENDOR</t>
        </is>
      </c>
      <c r="W1967" t="inlineStr">
        <is>
          <t>https://security.snyk.io/vuln/CVE-2026-21984</t>
        </is>
      </c>
      <c r="X1967" t="inlineStr">
        <is>
          <t>http://www.zerodayinitiative.com/advisories/ZDI-26-099/</t>
        </is>
      </c>
      <c r="Y1967" t="n">
        <v>0</v>
      </c>
      <c r="Z1967" t="inlineStr"/>
      <c r="AA1967" t="inlineStr">
        <is>
          <t>http://www.zerodayinitiative.com/advisories/ZDI-26-099/</t>
        </is>
      </c>
    </row>
    <row r="1968">
      <c r="A1968" t="inlineStr">
        <is>
          <t>ZDI_ADVISORY</t>
        </is>
      </c>
      <c r="B1968" t="inlineStr">
        <is>
          <t>ZDI-26-098</t>
        </is>
      </c>
      <c r="C1968" t="inlineStr">
        <is>
          <t>ZDI Published 0-Day: ZDI-26-098: Oracle VirtualBox VMSVGA Use-After-Free Local Privilege Escalation Vulnerability | CVEs: CVE-2026-21955 | Product: See ZDI advisory</t>
        </is>
      </c>
      <c r="D1968" t="n">
        <v>7.5</v>
      </c>
      <c r="E1968" t="inlineStr">
        <is>
          <t>HIGH</t>
        </is>
      </c>
      <c r="F1968" t="n">
        <v>3</v>
      </c>
      <c r="G1968" t="n">
        <v>3</v>
      </c>
      <c r="H1968" t="inlineStr">
        <is>
          <t>CRITICAL</t>
        </is>
      </c>
      <c r="I1968" t="n">
        <v>16.5</v>
      </c>
      <c r="J1968" t="inlineStr">
        <is>
          <t>NO</t>
        </is>
      </c>
      <c r="K1968" t="inlineStr">
        <is>
          <t>2026-02-13 06:00</t>
        </is>
      </c>
      <c r="L1968" t="inlineStr">
        <is>
          <t>CHECK_VENDOR - ZDI published, vendor patch may be pending</t>
        </is>
      </c>
      <c r="M1968" t="inlineStr">
        <is>
          <t>See ZDI advisory</t>
        </is>
      </c>
      <c r="N1968" t="inlineStr">
        <is>
          <t>P1</t>
        </is>
      </c>
      <c r="O1968" t="inlineStr">
        <is>
          <t>ZDI 0-day advisory - no IP context</t>
        </is>
      </c>
      <c r="P1968" t="n">
        <v>0</v>
      </c>
      <c r="Q1968" t="n">
        <v>0</v>
      </c>
      <c r="R1968" t="inlineStr">
        <is>
          <t>T1068:Exploitation for Privilege Escalation</t>
        </is>
      </c>
      <c r="S1968" t="n">
        <v>2</v>
      </c>
      <c r="T1968" t="inlineStr">
        <is>
          <t>CONFIRMED (82%)</t>
        </is>
      </c>
      <c r="U1968" t="inlineStr">
        <is>
          <t>YES</t>
        </is>
      </c>
      <c r="V1968" t="inlineStr">
        <is>
          <t>CHECK_VENDOR</t>
        </is>
      </c>
      <c r="W1968" t="inlineStr">
        <is>
          <t>https://security.snyk.io/vuln/CVE-2026-21955</t>
        </is>
      </c>
      <c r="X1968" t="inlineStr">
        <is>
          <t>http://www.zerodayinitiative.com/advisories/ZDI-26-098/</t>
        </is>
      </c>
      <c r="Y1968" t="n">
        <v>0</v>
      </c>
      <c r="Z1968" t="inlineStr"/>
      <c r="AA1968" t="inlineStr">
        <is>
          <t>http://www.zerodayinitiative.com/advisories/ZDI-26-098/</t>
        </is>
      </c>
    </row>
    <row r="1969">
      <c r="A1969" t="inlineStr">
        <is>
          <t>ZDI_ADVISORY</t>
        </is>
      </c>
      <c r="B1969" t="inlineStr">
        <is>
          <t>ZDI-26-097</t>
        </is>
      </c>
      <c r="C1969" t="inlineStr">
        <is>
          <t>ZDI Published 0-Day: ZDI-26-097: Oracle VirtualBox VMSVGA Heap-based Buffer Overflow Local Privilege Escalation Vulnerability | CVEs: CVE-2026-21983 | Product: See ZDI advisory</t>
        </is>
      </c>
      <c r="D1969" t="n">
        <v>7.5</v>
      </c>
      <c r="E1969" t="inlineStr">
        <is>
          <t>HIGH</t>
        </is>
      </c>
      <c r="F1969" t="n">
        <v>3</v>
      </c>
      <c r="G1969" t="n">
        <v>3</v>
      </c>
      <c r="H1969" t="inlineStr">
        <is>
          <t>CRITICAL</t>
        </is>
      </c>
      <c r="I1969" t="n">
        <v>16.5</v>
      </c>
      <c r="J1969" t="inlineStr">
        <is>
          <t>NO</t>
        </is>
      </c>
      <c r="K1969" t="inlineStr">
        <is>
          <t>2026-02-13 06:00</t>
        </is>
      </c>
      <c r="L1969" t="inlineStr">
        <is>
          <t>CHECK_VENDOR - ZDI published, vendor patch may be pending</t>
        </is>
      </c>
      <c r="M1969" t="inlineStr">
        <is>
          <t>See ZDI advisory</t>
        </is>
      </c>
      <c r="N1969" t="inlineStr">
        <is>
          <t>P1</t>
        </is>
      </c>
      <c r="O1969" t="inlineStr">
        <is>
          <t>ZDI 0-day advisory - no IP context</t>
        </is>
      </c>
      <c r="P1969" t="n">
        <v>0</v>
      </c>
      <c r="Q1969" t="n">
        <v>0</v>
      </c>
      <c r="R1969" t="inlineStr">
        <is>
          <t>T1068:Exploitation for Privilege Escalation | T1203:Exploitation for Client Execution</t>
        </is>
      </c>
      <c r="S1969" t="n">
        <v>2</v>
      </c>
      <c r="T1969" t="inlineStr">
        <is>
          <t>CONFIRMED (82%)</t>
        </is>
      </c>
      <c r="U1969" t="inlineStr">
        <is>
          <t>YES</t>
        </is>
      </c>
      <c r="V1969" t="inlineStr">
        <is>
          <t>CHECK_VENDOR</t>
        </is>
      </c>
      <c r="W1969" t="inlineStr">
        <is>
          <t>https://security.snyk.io/vuln/CVE-2026-21983</t>
        </is>
      </c>
      <c r="X1969" t="inlineStr">
        <is>
          <t>http://www.zerodayinitiative.com/advisories/ZDI-26-097/</t>
        </is>
      </c>
      <c r="Y1969" t="n">
        <v>0</v>
      </c>
      <c r="Z1969" t="inlineStr"/>
      <c r="AA1969" t="inlineStr">
        <is>
          <t>http://www.zerodayinitiative.com/advisories/ZDI-26-097/</t>
        </is>
      </c>
    </row>
    <row r="1970">
      <c r="A1970" t="inlineStr">
        <is>
          <t>ZDI_ADVISORY</t>
        </is>
      </c>
      <c r="B1970" t="inlineStr">
        <is>
          <t>ZDI-26-096</t>
        </is>
      </c>
      <c r="C1970" t="inlineStr">
        <is>
          <t>ZDI Published 0-Day: ZDI-26-096: Dassault Systèmes eDrawings Viewer EPRT File Parsing Heap-based Buffer Overflow Remote Code Execution Vulnerability | CVEs: CVE-2026-1283 | Product: See ZDI advisory</t>
        </is>
      </c>
      <c r="D1970" t="n">
        <v>7.5</v>
      </c>
      <c r="E1970" t="inlineStr">
        <is>
          <t>HIGH</t>
        </is>
      </c>
      <c r="F1970" t="n">
        <v>3</v>
      </c>
      <c r="G1970" t="n">
        <v>3</v>
      </c>
      <c r="H1970" t="inlineStr">
        <is>
          <t>CRITICAL</t>
        </is>
      </c>
      <c r="I1970" t="n">
        <v>16.5</v>
      </c>
      <c r="J1970" t="inlineStr">
        <is>
          <t>NO</t>
        </is>
      </c>
      <c r="K1970" t="inlineStr">
        <is>
          <t>2026-02-13 06:00</t>
        </is>
      </c>
      <c r="L1970" t="inlineStr">
        <is>
          <t>CHECK_VENDOR - ZDI published, vendor patch may be pending</t>
        </is>
      </c>
      <c r="M1970" t="inlineStr">
        <is>
          <t>See ZDI advisory</t>
        </is>
      </c>
      <c r="N1970" t="inlineStr">
        <is>
          <t>P1</t>
        </is>
      </c>
      <c r="O1970" t="inlineStr">
        <is>
          <t>ZDI 0-day advisory - no IP context</t>
        </is>
      </c>
      <c r="P1970" t="n">
        <v>0.0001</v>
      </c>
      <c r="Q1970" t="n">
        <v>0.0086</v>
      </c>
      <c r="R1970" t="inlineStr">
        <is>
          <t>T1190:Exploit Public-Facing Application | T1210:Exploitation of Remote Services | T1203:Exploitation for Client Execution</t>
        </is>
      </c>
      <c r="S1970" t="n">
        <v>2</v>
      </c>
      <c r="T1970" t="inlineStr">
        <is>
          <t>CONFIRMED (82%)</t>
        </is>
      </c>
      <c r="U1970" t="inlineStr">
        <is>
          <t>YES</t>
        </is>
      </c>
      <c r="V1970" t="inlineStr">
        <is>
          <t>CHECK_VENDOR</t>
        </is>
      </c>
      <c r="W1970" t="inlineStr">
        <is>
          <t>https://security.snyk.io/vuln/CVE-2026-1283</t>
        </is>
      </c>
      <c r="X1970" t="inlineStr">
        <is>
          <t>http://www.zerodayinitiative.com/advisories/ZDI-26-096/</t>
        </is>
      </c>
      <c r="Y1970" t="n">
        <v>0</v>
      </c>
      <c r="Z1970" t="inlineStr"/>
      <c r="AA1970" t="inlineStr">
        <is>
          <t>http://www.zerodayinitiative.com/advisories/ZDI-26-096/</t>
        </is>
      </c>
    </row>
    <row r="1971">
      <c r="A1971" t="inlineStr">
        <is>
          <t>ZDI_ADVISORY</t>
        </is>
      </c>
      <c r="B1971" t="inlineStr">
        <is>
          <t>ZDI-26-095</t>
        </is>
      </c>
      <c r="C1971" t="inlineStr">
        <is>
          <t>ZDI Published 0-Day: ZDI-26-095: Dassault Systèmes eDrawings Viewer EPRT File Parsing Out-Of-Bounds Write Remote Code Execution Vulnerability | CVEs: CVE-2026-1284 | Product: See ZDI advisory</t>
        </is>
      </c>
      <c r="D1971" t="n">
        <v>7.5</v>
      </c>
      <c r="E1971" t="inlineStr">
        <is>
          <t>HIGH</t>
        </is>
      </c>
      <c r="F1971" t="n">
        <v>3</v>
      </c>
      <c r="G1971" t="n">
        <v>3</v>
      </c>
      <c r="H1971" t="inlineStr">
        <is>
          <t>CRITICAL</t>
        </is>
      </c>
      <c r="I1971" t="n">
        <v>16.5</v>
      </c>
      <c r="J1971" t="inlineStr">
        <is>
          <t>NO</t>
        </is>
      </c>
      <c r="K1971" t="inlineStr">
        <is>
          <t>2026-02-13 06:00</t>
        </is>
      </c>
      <c r="L1971" t="inlineStr">
        <is>
          <t>CHECK_VENDOR - ZDI published, vendor patch may be pending</t>
        </is>
      </c>
      <c r="M1971" t="inlineStr">
        <is>
          <t>See ZDI advisory</t>
        </is>
      </c>
      <c r="N1971" t="inlineStr">
        <is>
          <t>P1</t>
        </is>
      </c>
      <c r="O1971" t="inlineStr">
        <is>
          <t>ZDI 0-day advisory - no IP context</t>
        </is>
      </c>
      <c r="P1971" t="n">
        <v>0</v>
      </c>
      <c r="Q1971" t="n">
        <v>0</v>
      </c>
      <c r="R1971" t="inlineStr">
        <is>
          <t>T1190:Exploit Public-Facing Application | T1210:Exploitation of Remote Services | T1203:Exploitation for Client Execution</t>
        </is>
      </c>
      <c r="S1971" t="n">
        <v>2</v>
      </c>
      <c r="T1971" t="inlineStr">
        <is>
          <t>CONFIRMED (82%)</t>
        </is>
      </c>
      <c r="U1971" t="inlineStr">
        <is>
          <t>YES</t>
        </is>
      </c>
      <c r="V1971" t="inlineStr">
        <is>
          <t>CHECK_VENDOR</t>
        </is>
      </c>
      <c r="W1971" t="inlineStr">
        <is>
          <t>https://security.snyk.io/vuln/CVE-2026-1284</t>
        </is>
      </c>
      <c r="X1971" t="inlineStr">
        <is>
          <t>http://www.zerodayinitiative.com/advisories/ZDI-26-095/</t>
        </is>
      </c>
      <c r="Y1971" t="n">
        <v>0</v>
      </c>
      <c r="Z1971" t="inlineStr"/>
      <c r="AA1971" t="inlineStr">
        <is>
          <t>http://www.zerodayinitiative.com/advisories/ZDI-26-095/</t>
        </is>
      </c>
    </row>
    <row r="1972">
      <c r="A1972" t="inlineStr">
        <is>
          <t>ZDI_ADVISORY</t>
        </is>
      </c>
      <c r="B1972" t="inlineStr">
        <is>
          <t>ZDI-26-094</t>
        </is>
      </c>
      <c r="C1972" t="inlineStr">
        <is>
          <t>ZDI Published 0-Day: ZDI-26-094: Schneider Electric EcoStruxure Power Build SSD File Parsing Use-After-Free Remote Code Execution Vulnerability | CVEs: CVE-2025-13845 | Product: See ZDI advisory</t>
        </is>
      </c>
      <c r="D1972" t="n">
        <v>7.5</v>
      </c>
      <c r="E1972" t="inlineStr">
        <is>
          <t>HIGH</t>
        </is>
      </c>
      <c r="F1972" t="n">
        <v>3</v>
      </c>
      <c r="G1972" t="n">
        <v>3</v>
      </c>
      <c r="H1972" t="inlineStr">
        <is>
          <t>CRITICAL</t>
        </is>
      </c>
      <c r="I1972" t="n">
        <v>16.5</v>
      </c>
      <c r="J1972" t="inlineStr">
        <is>
          <t>NO</t>
        </is>
      </c>
      <c r="K1972" t="inlineStr">
        <is>
          <t>2026-02-12 06:00</t>
        </is>
      </c>
      <c r="L1972" t="inlineStr">
        <is>
          <t>CHECK_VENDOR - ZDI published, vendor patch may be pending</t>
        </is>
      </c>
      <c r="M1972" t="inlineStr">
        <is>
          <t>See ZDI advisory</t>
        </is>
      </c>
      <c r="N1972" t="inlineStr">
        <is>
          <t>P1</t>
        </is>
      </c>
      <c r="O1972" t="inlineStr">
        <is>
          <t>ZDI 0-day advisory - no IP context</t>
        </is>
      </c>
      <c r="P1972" t="n">
        <v>0</v>
      </c>
      <c r="Q1972" t="n">
        <v>0</v>
      </c>
      <c r="R1972" t="inlineStr">
        <is>
          <t>T1190:Exploit Public-Facing Application | T1210:Exploitation of Remote Services</t>
        </is>
      </c>
      <c r="S1972" t="n">
        <v>2</v>
      </c>
      <c r="T1972" t="inlineStr">
        <is>
          <t>CONFIRMED (82%)</t>
        </is>
      </c>
      <c r="U1972" t="inlineStr">
        <is>
          <t>YES</t>
        </is>
      </c>
      <c r="V1972" t="inlineStr">
        <is>
          <t>CHECK_VENDOR</t>
        </is>
      </c>
      <c r="W1972" t="inlineStr">
        <is>
          <t>https://security.snyk.io/vuln/CVE-2025-13845</t>
        </is>
      </c>
      <c r="X1972" t="inlineStr">
        <is>
          <t>http://www.zerodayinitiative.com/advisories/ZDI-26-094/</t>
        </is>
      </c>
      <c r="Y1972" t="n">
        <v>0</v>
      </c>
      <c r="Z1972" t="inlineStr"/>
      <c r="AA1972" t="inlineStr">
        <is>
          <t>http://www.zerodayinitiative.com/advisories/ZDI-26-094/</t>
        </is>
      </c>
    </row>
    <row r="1973">
      <c r="A1973" t="inlineStr">
        <is>
          <t>SANS_ISC</t>
        </is>
      </c>
      <c r="B1973" t="inlineStr">
        <is>
          <t>cf1a85460441</t>
        </is>
      </c>
      <c r="C1973" t="inlineStr">
        <is>
          <t>SANS ISC: Another day, another malicious JPEG, (Mon, Feb 23rd) | In his last two diaries, Xavier discussed recent malware campaigns that download JPEG files with embedded malicious payload&amp;#x5b; 1 , 2 &amp;#x5d;. At that point in time, I&amp;#x27ve not come across the mali</t>
        </is>
      </c>
      <c r="D1973" t="n">
        <v>7</v>
      </c>
      <c r="E1973" t="inlineStr">
        <is>
          <t>HIGH</t>
        </is>
      </c>
      <c r="F1973" t="n">
        <v>3</v>
      </c>
      <c r="G1973" t="n">
        <v>2</v>
      </c>
      <c r="H1973" t="inlineStr">
        <is>
          <t>HIGH</t>
        </is>
      </c>
      <c r="I1973" t="n">
        <v>13</v>
      </c>
      <c r="J1973" t="inlineStr">
        <is>
          <t>NO</t>
        </is>
      </c>
      <c r="K1973" t="inlineStr">
        <is>
          <t>2026-02-23 14:26</t>
        </is>
      </c>
      <c r="L1973" t="inlineStr">
        <is>
          <t>CHECK_VENDOR</t>
        </is>
      </c>
      <c r="M1973" t="inlineStr">
        <is>
          <t>See SANS ISC diary</t>
        </is>
      </c>
      <c r="N1973" t="inlineStr">
        <is>
          <t>P3</t>
        </is>
      </c>
      <c r="O1973" t="inlineStr">
        <is>
          <t>SANS ISC analysis - no direct IP context</t>
        </is>
      </c>
      <c r="P1973" t="n">
        <v>0</v>
      </c>
      <c r="Q1973" t="n">
        <v>0</v>
      </c>
      <c r="R1973" t="inlineStr">
        <is>
          <t>T1190:Exploit Public-Facing Application</t>
        </is>
      </c>
      <c r="S1973" t="n">
        <v>1</v>
      </c>
      <c r="T1973" t="inlineStr">
        <is>
          <t>LOW (40%)</t>
        </is>
      </c>
      <c r="U1973" t="inlineStr">
        <is>
          <t>CHECK_SANS</t>
        </is>
      </c>
      <c r="V1973" t="inlineStr">
        <is>
          <t>CHECK_VENDOR</t>
        </is>
      </c>
      <c r="W1973" t="inlineStr">
        <is>
          <t>https://isc.sans.edu/diary/rss/32738</t>
        </is>
      </c>
      <c r="X1973" t="inlineStr">
        <is>
          <t>NONE</t>
        </is>
      </c>
      <c r="Y1973" t="n">
        <v>0</v>
      </c>
      <c r="Z1973" t="inlineStr">
        <is>
          <t>Another day, another malicious JPEG, (Mon, Feb 23rd)</t>
        </is>
      </c>
      <c r="AA1973" t="inlineStr">
        <is>
          <t>https://isc.sans.edu/diary/rss/32738</t>
        </is>
      </c>
    </row>
    <row r="1974">
      <c r="A1974" t="inlineStr">
        <is>
          <t>SANS_ISC</t>
        </is>
      </c>
      <c r="B1974" t="inlineStr">
        <is>
          <t>0de8e92a57b7</t>
        </is>
      </c>
      <c r="C1974" t="inlineStr">
        <is>
          <t>SANS ISC: Japanese-Language Phishing Emails, (Sat, Feb 21st) | Introduction &amp;#xd;</t>
        </is>
      </c>
      <c r="D1974" t="n">
        <v>7</v>
      </c>
      <c r="E1974" t="inlineStr">
        <is>
          <t>HIGH</t>
        </is>
      </c>
      <c r="F1974" t="n">
        <v>3</v>
      </c>
      <c r="G1974" t="n">
        <v>2</v>
      </c>
      <c r="H1974" t="inlineStr">
        <is>
          <t>HIGH</t>
        </is>
      </c>
      <c r="I1974" t="n">
        <v>13</v>
      </c>
      <c r="J1974" t="inlineStr">
        <is>
          <t>NO</t>
        </is>
      </c>
      <c r="K1974" t="inlineStr">
        <is>
          <t>2026-02-21 06:03</t>
        </is>
      </c>
      <c r="L1974" t="inlineStr">
        <is>
          <t>CHECK_VENDOR</t>
        </is>
      </c>
      <c r="M1974" t="inlineStr">
        <is>
          <t>See SANS ISC diary</t>
        </is>
      </c>
      <c r="N1974" t="inlineStr">
        <is>
          <t>P3</t>
        </is>
      </c>
      <c r="O1974" t="inlineStr">
        <is>
          <t>SANS ISC analysis - no direct IP context</t>
        </is>
      </c>
      <c r="P1974" t="n">
        <v>0</v>
      </c>
      <c r="Q1974" t="n">
        <v>0</v>
      </c>
      <c r="R1974" t="inlineStr">
        <is>
          <t>T1190:Exploit Public-Facing Application</t>
        </is>
      </c>
      <c r="S1974" t="n">
        <v>1</v>
      </c>
      <c r="T1974" t="inlineStr">
        <is>
          <t>LOW (40%)</t>
        </is>
      </c>
      <c r="U1974" t="inlineStr">
        <is>
          <t>CHECK_SANS</t>
        </is>
      </c>
      <c r="V1974" t="inlineStr">
        <is>
          <t>CHECK_VENDOR</t>
        </is>
      </c>
      <c r="W1974" t="inlineStr">
        <is>
          <t>https://isc.sans.edu/diary/rss/32734</t>
        </is>
      </c>
      <c r="X1974" t="inlineStr">
        <is>
          <t>NONE</t>
        </is>
      </c>
      <c r="Y1974" t="n">
        <v>0</v>
      </c>
      <c r="Z1974" t="inlineStr">
        <is>
          <t>Japanese-Language Phishing Emails, (Sat, Feb 21st)</t>
        </is>
      </c>
      <c r="AA1974" t="inlineStr">
        <is>
          <t>https://isc.sans.edu/diary/rss/32734</t>
        </is>
      </c>
    </row>
    <row r="1975">
      <c r="A1975" t="inlineStr">
        <is>
          <t>SANS_ISC</t>
        </is>
      </c>
      <c r="B1975" t="inlineStr">
        <is>
          <t>cf2a0101e8c6</t>
        </is>
      </c>
      <c r="C1975" t="inlineStr">
        <is>
          <t>SANS ISC: Tracking Malware Campaigns With Reused Material, (Wed, Feb 18th) | A few days ago I wrote a diary called "Malicious Script Delivering More Maliciousness"&amp;#x5b; 1 &amp;#x5d;. In the malware infection chain, there was a JPEG picture that embedded the last payload delimited</t>
        </is>
      </c>
      <c r="D1975" t="n">
        <v>7</v>
      </c>
      <c r="E1975" t="inlineStr">
        <is>
          <t>HIGH</t>
        </is>
      </c>
      <c r="F1975" t="n">
        <v>3</v>
      </c>
      <c r="G1975" t="n">
        <v>2</v>
      </c>
      <c r="H1975" t="inlineStr">
        <is>
          <t>HIGH</t>
        </is>
      </c>
      <c r="I1975" t="n">
        <v>13</v>
      </c>
      <c r="J1975" t="inlineStr">
        <is>
          <t>NO</t>
        </is>
      </c>
      <c r="K1975" t="inlineStr">
        <is>
          <t>2026-02-18 08:19</t>
        </is>
      </c>
      <c r="L1975" t="inlineStr">
        <is>
          <t>CHECK_VENDOR</t>
        </is>
      </c>
      <c r="M1975" t="inlineStr">
        <is>
          <t>See SANS ISC diary</t>
        </is>
      </c>
      <c r="N1975" t="inlineStr">
        <is>
          <t>P3</t>
        </is>
      </c>
      <c r="O1975" t="inlineStr">
        <is>
          <t>SANS ISC analysis - no direct IP context</t>
        </is>
      </c>
      <c r="P1975" t="n">
        <v>0</v>
      </c>
      <c r="Q1975" t="n">
        <v>0</v>
      </c>
      <c r="R1975" t="inlineStr">
        <is>
          <t>T1190:Exploit Public-Facing Application</t>
        </is>
      </c>
      <c r="S1975" t="n">
        <v>1</v>
      </c>
      <c r="T1975" t="inlineStr">
        <is>
          <t>LOW (40%)</t>
        </is>
      </c>
      <c r="U1975" t="inlineStr">
        <is>
          <t>CHECK_SANS</t>
        </is>
      </c>
      <c r="V1975" t="inlineStr">
        <is>
          <t>CHECK_VENDOR</t>
        </is>
      </c>
      <c r="W1975" t="inlineStr">
        <is>
          <t>https://isc.sans.edu/diary/rss/32726</t>
        </is>
      </c>
      <c r="X1975" t="inlineStr">
        <is>
          <t>NONE</t>
        </is>
      </c>
      <c r="Y1975" t="n">
        <v>0</v>
      </c>
      <c r="Z1975" t="inlineStr">
        <is>
          <t>Tracking Malware Campaigns With Reused Material, (Wed, Feb 18th)</t>
        </is>
      </c>
      <c r="AA1975" t="inlineStr">
        <is>
          <t>https://isc.sans.edu/diary/rss/32726</t>
        </is>
      </c>
    </row>
    <row r="1976">
      <c r="A1976" t="inlineStr">
        <is>
          <t>SANS_ISC</t>
        </is>
      </c>
      <c r="B1976" t="inlineStr">
        <is>
          <t>790c96dfe52b</t>
        </is>
      </c>
      <c r="C1976" t="inlineStr">
        <is>
          <t>SANS ISC: Fake Incident Report Used in Phishing Campaign, (Tue, Feb 17th) | This morning, I received an interesting phishing email. I&amp;&amp;#x23&amp;#x3b;x26&amp;#x3b;&amp;#x23&amp;#x3b;xe2&amp;#x3b;&amp;&amp;#x23&amp;#x3b;x26&amp;#x3b;&amp;#x23&amp;#x3b;x80&amp;#x3b;&amp;&amp;#x23&amp;#x3b;x26&amp;#x3b;&amp;#x23&amp;#x3b;x99&amp;#x3b;ve a &amp;&amp;#x23&amp;#x3b;x26</t>
        </is>
      </c>
      <c r="D1976" t="n">
        <v>7</v>
      </c>
      <c r="E1976" t="inlineStr">
        <is>
          <t>HIGH</t>
        </is>
      </c>
      <c r="F1976" t="n">
        <v>3</v>
      </c>
      <c r="G1976" t="n">
        <v>2</v>
      </c>
      <c r="H1976" t="inlineStr">
        <is>
          <t>HIGH</t>
        </is>
      </c>
      <c r="I1976" t="n">
        <v>13</v>
      </c>
      <c r="J1976" t="inlineStr">
        <is>
          <t>NO</t>
        </is>
      </c>
      <c r="K1976" t="inlineStr">
        <is>
          <t>2026-02-17 07:41</t>
        </is>
      </c>
      <c r="L1976" t="inlineStr">
        <is>
          <t>CHECK_VENDOR</t>
        </is>
      </c>
      <c r="M1976" t="inlineStr">
        <is>
          <t>See SANS ISC diary</t>
        </is>
      </c>
      <c r="N1976" t="inlineStr">
        <is>
          <t>P3</t>
        </is>
      </c>
      <c r="O1976" t="inlineStr">
        <is>
          <t>SANS ISC analysis - no direct IP context</t>
        </is>
      </c>
      <c r="P1976" t="n">
        <v>0</v>
      </c>
      <c r="Q1976" t="n">
        <v>0</v>
      </c>
      <c r="R1976" t="inlineStr">
        <is>
          <t>T1190:Exploit Public-Facing Application</t>
        </is>
      </c>
      <c r="S1976" t="n">
        <v>1</v>
      </c>
      <c r="T1976" t="inlineStr">
        <is>
          <t>LOW (40%)</t>
        </is>
      </c>
      <c r="U1976" t="inlineStr">
        <is>
          <t>CHECK_SANS</t>
        </is>
      </c>
      <c r="V1976" t="inlineStr">
        <is>
          <t>CHECK_VENDOR</t>
        </is>
      </c>
      <c r="W1976" t="inlineStr">
        <is>
          <t>https://isc.sans.edu/diary/rss/32722</t>
        </is>
      </c>
      <c r="X1976" t="inlineStr">
        <is>
          <t>NONE</t>
        </is>
      </c>
      <c r="Y1976" t="n">
        <v>0</v>
      </c>
      <c r="Z1976" t="inlineStr">
        <is>
          <t>Fake Incident Report Used in Phishing Campaign, (Tue, Feb 17th)</t>
        </is>
      </c>
      <c r="AA1976" t="inlineStr">
        <is>
          <t>https://isc.sans.edu/diary/rss/32722</t>
        </is>
      </c>
    </row>
    <row r="1977">
      <c r="A1977" t="inlineStr">
        <is>
          <t>NEWS_ALERT</t>
        </is>
      </c>
      <c r="B1977" t="inlineStr">
        <is>
          <t>cc9e4779d3d9</t>
        </is>
      </c>
      <c r="C1977" t="inlineStr">
        <is>
          <t>[BleepingComputer] Ad tech firm Optimizely confirms data breach after vishing attack | Keywords: breach, phishing | New York-based ad tech company Optimizely has notified an undisclosed number of customers of a data breach after threat actors compromised some of its</t>
        </is>
      </c>
      <c r="D1977" t="n">
        <v>5</v>
      </c>
      <c r="E1977" t="inlineStr">
        <is>
          <t>MEDIUM</t>
        </is>
      </c>
      <c r="F1977" t="n">
        <v>2</v>
      </c>
      <c r="G1977" t="n">
        <v>1</v>
      </c>
      <c r="H1977" t="inlineStr">
        <is>
          <t>LOW</t>
        </is>
      </c>
      <c r="I1977" t="n">
        <v>7</v>
      </c>
      <c r="J1977" t="inlineStr">
        <is>
          <t>NO</t>
        </is>
      </c>
      <c r="K1977" t="inlineStr">
        <is>
          <t>2026-02-23 18:04</t>
        </is>
      </c>
      <c r="L1977" t="inlineStr">
        <is>
          <t>Monitor</t>
        </is>
      </c>
      <c r="M1977" t="inlineStr">
        <is>
          <t>Varies - see article</t>
        </is>
      </c>
      <c r="N1977" t="inlineStr">
        <is>
          <t>P4</t>
        </is>
      </c>
      <c r="O1977" t="inlineStr">
        <is>
          <t>News alert - no IP context</t>
        </is>
      </c>
      <c r="P1977" t="n">
        <v>0</v>
      </c>
      <c r="Q1977" t="n">
        <v>0</v>
      </c>
      <c r="R1977" t="inlineStr">
        <is>
          <t>See article for technique context</t>
        </is>
      </c>
      <c r="S1977" t="n">
        <v>1</v>
      </c>
      <c r="T1977" t="inlineStr">
        <is>
          <t>LOW (40%)</t>
        </is>
      </c>
      <c r="U1977" t="inlineStr">
        <is>
          <t>NONE</t>
        </is>
      </c>
      <c r="V1977" t="inlineStr">
        <is>
          <t>NONE</t>
        </is>
      </c>
      <c r="W1977" t="inlineStr">
        <is>
          <t>NONE</t>
        </is>
      </c>
      <c r="X1977" t="inlineStr">
        <is>
          <t>NONE</t>
        </is>
      </c>
      <c r="Y1977" t="n">
        <v>0</v>
      </c>
      <c r="Z1977" t="inlineStr">
        <is>
          <t>Ad tech firm Optimizely confirms data breach after vishing attack</t>
        </is>
      </c>
      <c r="AA1977" t="inlineStr">
        <is>
          <t>https://www.bleepingcomputer.com/news/security/ad-tech-firm-optimizely-confirms-data-breach-after-vishing-attack/</t>
        </is>
      </c>
    </row>
    <row r="1978">
      <c r="A1978" t="inlineStr">
        <is>
          <t>NEWS_ALERT</t>
        </is>
      </c>
      <c r="B1978" t="inlineStr">
        <is>
          <t>1309e0d25780</t>
        </is>
      </c>
      <c r="C1978" t="inlineStr">
        <is>
          <t>[BleepingComputer] CISA: Recently patched RoundCube flaws now exploited in attacks | Keywords: exploited | CISA flagged two Roundcube Webmail vulnerabilities as actively exploited in attacks and ordered U.S. federal agencies to patch them within three weeks</t>
        </is>
      </c>
      <c r="D1978" t="n">
        <v>5</v>
      </c>
      <c r="E1978" t="inlineStr">
        <is>
          <t>MEDIUM</t>
        </is>
      </c>
      <c r="F1978" t="n">
        <v>2</v>
      </c>
      <c r="G1978" t="n">
        <v>1</v>
      </c>
      <c r="H1978" t="inlineStr">
        <is>
          <t>LOW</t>
        </is>
      </c>
      <c r="I1978" t="n">
        <v>7</v>
      </c>
      <c r="J1978" t="inlineStr">
        <is>
          <t>NO</t>
        </is>
      </c>
      <c r="K1978" t="inlineStr">
        <is>
          <t>2026-02-23 11:44</t>
        </is>
      </c>
      <c r="L1978" t="inlineStr">
        <is>
          <t>Monitor</t>
        </is>
      </c>
      <c r="M1978" t="inlineStr">
        <is>
          <t>Varies - see article</t>
        </is>
      </c>
      <c r="N1978" t="inlineStr">
        <is>
          <t>P4</t>
        </is>
      </c>
      <c r="O1978" t="inlineStr">
        <is>
          <t>News alert - no IP context</t>
        </is>
      </c>
      <c r="P1978" t="n">
        <v>0</v>
      </c>
      <c r="Q1978" t="n">
        <v>0</v>
      </c>
      <c r="R1978" t="inlineStr">
        <is>
          <t>See article for technique context</t>
        </is>
      </c>
      <c r="S1978" t="n">
        <v>1</v>
      </c>
      <c r="T1978" t="inlineStr">
        <is>
          <t>LOW (40%)</t>
        </is>
      </c>
      <c r="U1978" t="inlineStr">
        <is>
          <t>NONE</t>
        </is>
      </c>
      <c r="V1978" t="inlineStr">
        <is>
          <t>NONE</t>
        </is>
      </c>
      <c r="W1978" t="inlineStr">
        <is>
          <t>NONE</t>
        </is>
      </c>
      <c r="X1978" t="inlineStr">
        <is>
          <t>NONE</t>
        </is>
      </c>
      <c r="Y1978" t="n">
        <v>0</v>
      </c>
      <c r="Z1978" t="inlineStr">
        <is>
          <t>CISA: Recently patched RoundCube flaws now exploited in attacks</t>
        </is>
      </c>
      <c r="AA1978" t="inlineStr">
        <is>
          <t>https://www.bleepingcomputer.com/news/security/cisa-recently-patched-roundcube-flaws-now-exploited-in-attacks/</t>
        </is>
      </c>
    </row>
    <row r="1979">
      <c r="A1979" t="inlineStr">
        <is>
          <t>NEWS_ALERT</t>
        </is>
      </c>
      <c r="B1979" t="inlineStr">
        <is>
          <t>26fcee90c8c0</t>
        </is>
      </c>
      <c r="C1979" t="inlineStr">
        <is>
          <t>[BleepingComputer] Arkanix Stealer pops up as short-lived AI info-stealer experiment | Keywords: malware | An information-stealing malware operation named Arkanix Stealer, promoted on multiple dark web forums towards the end of 2025, was likely developed as</t>
        </is>
      </c>
      <c r="D1979" t="n">
        <v>5</v>
      </c>
      <c r="E1979" t="inlineStr">
        <is>
          <t>MEDIUM</t>
        </is>
      </c>
      <c r="F1979" t="n">
        <v>2</v>
      </c>
      <c r="G1979" t="n">
        <v>1</v>
      </c>
      <c r="H1979" t="inlineStr">
        <is>
          <t>LOW</t>
        </is>
      </c>
      <c r="I1979" t="n">
        <v>7</v>
      </c>
      <c r="J1979" t="inlineStr">
        <is>
          <t>NO</t>
        </is>
      </c>
      <c r="K1979" t="inlineStr">
        <is>
          <t>2026-02-22 15:33</t>
        </is>
      </c>
      <c r="L1979" t="inlineStr">
        <is>
          <t>Monitor</t>
        </is>
      </c>
      <c r="M1979" t="inlineStr">
        <is>
          <t>Varies - see article</t>
        </is>
      </c>
      <c r="N1979" t="inlineStr">
        <is>
          <t>P4</t>
        </is>
      </c>
      <c r="O1979" t="inlineStr">
        <is>
          <t>News alert - no IP context</t>
        </is>
      </c>
      <c r="P1979" t="n">
        <v>0</v>
      </c>
      <c r="Q1979" t="n">
        <v>0</v>
      </c>
      <c r="R1979" t="inlineStr">
        <is>
          <t>See article for technique context</t>
        </is>
      </c>
      <c r="S1979" t="n">
        <v>1</v>
      </c>
      <c r="T1979" t="inlineStr">
        <is>
          <t>LOW (40%)</t>
        </is>
      </c>
      <c r="U1979" t="inlineStr">
        <is>
          <t>NONE</t>
        </is>
      </c>
      <c r="V1979" t="inlineStr">
        <is>
          <t>NONE</t>
        </is>
      </c>
      <c r="W1979" t="inlineStr">
        <is>
          <t>NONE</t>
        </is>
      </c>
      <c r="X1979" t="inlineStr">
        <is>
          <t>NONE</t>
        </is>
      </c>
      <c r="Y1979" t="n">
        <v>0</v>
      </c>
      <c r="Z1979" t="inlineStr">
        <is>
          <t>Arkanix Stealer pops up as short-lived AI info-stealer experiment</t>
        </is>
      </c>
      <c r="AA1979" t="inlineStr">
        <is>
          <t>https://www.bleepingcomputer.com/news/security/arkanix-stealer-pops-up-as-short-lived-ai-info-stealer-experiment/</t>
        </is>
      </c>
    </row>
    <row r="1980">
      <c r="A1980" t="inlineStr">
        <is>
          <t>NEWS_ALERT</t>
        </is>
      </c>
      <c r="B1980" t="inlineStr">
        <is>
          <t>9c1b1bb24e80</t>
        </is>
      </c>
      <c r="C1980" t="inlineStr">
        <is>
          <t>[SecurityAffairs] Wormable XMRig campaign leverages BYOVD and timed kill switch for stealth | Keywords: exploit, wormable, wormable | A wormable cryptojacking campaign spreads via pirated software, using BYOVD and a time-based logic bomb to deploy a custom XMRig miner. Researchers un</t>
        </is>
      </c>
      <c r="D1980" t="n">
        <v>5</v>
      </c>
      <c r="E1980" t="inlineStr">
        <is>
          <t>MEDIUM</t>
        </is>
      </c>
      <c r="F1980" t="n">
        <v>2</v>
      </c>
      <c r="G1980" t="n">
        <v>1</v>
      </c>
      <c r="H1980" t="inlineStr">
        <is>
          <t>LOW</t>
        </is>
      </c>
      <c r="I1980" t="n">
        <v>7</v>
      </c>
      <c r="J1980" t="inlineStr">
        <is>
          <t>NO</t>
        </is>
      </c>
      <c r="K1980" t="inlineStr">
        <is>
          <t>2026-02-23 18:36</t>
        </is>
      </c>
      <c r="L1980" t="inlineStr">
        <is>
          <t>Monitor</t>
        </is>
      </c>
      <c r="M1980" t="inlineStr">
        <is>
          <t>Varies - see article</t>
        </is>
      </c>
      <c r="N1980" t="inlineStr">
        <is>
          <t>P4</t>
        </is>
      </c>
      <c r="O1980" t="inlineStr">
        <is>
          <t>News alert - no IP context</t>
        </is>
      </c>
      <c r="P1980" t="n">
        <v>0</v>
      </c>
      <c r="Q1980" t="n">
        <v>0</v>
      </c>
      <c r="R1980" t="inlineStr">
        <is>
          <t>See article for technique context</t>
        </is>
      </c>
      <c r="S1980" t="n">
        <v>1</v>
      </c>
      <c r="T1980" t="inlineStr">
        <is>
          <t>LOW (40%)</t>
        </is>
      </c>
      <c r="U1980" t="inlineStr">
        <is>
          <t>NONE</t>
        </is>
      </c>
      <c r="V1980" t="inlineStr">
        <is>
          <t>NONE</t>
        </is>
      </c>
      <c r="W1980" t="inlineStr">
        <is>
          <t>NONE</t>
        </is>
      </c>
      <c r="X1980" t="inlineStr">
        <is>
          <t>NONE</t>
        </is>
      </c>
      <c r="Y1980" t="n">
        <v>0</v>
      </c>
      <c r="Z1980" t="inlineStr">
        <is>
          <t>Wormable XMRig campaign leverages BYOVD and timed kill switch for stealth</t>
        </is>
      </c>
      <c r="AA1980" t="inlineStr">
        <is>
          <t>https://securityaffairs.com/188388/malware/wormable-xmrig-campaign-leverages-byovd-and-timed-kill-switch-for-stealth.html</t>
        </is>
      </c>
    </row>
    <row r="1981">
      <c r="A1981" t="inlineStr">
        <is>
          <t>NEWS_ALERT</t>
        </is>
      </c>
      <c r="B1981" t="inlineStr">
        <is>
          <t>c64999d68a14</t>
        </is>
      </c>
      <c r="C1981" t="inlineStr">
        <is>
          <t>[SecurityAffairs] AI-powered campaign compromises 600 FortiGate systems worldwide | Keywords: threat actor | A Russian-speaking cybercriminal used commercial generative AI tools to hack over 600 FortiGate devices across 55 countries. Amazon Threat Intelligenc</t>
        </is>
      </c>
      <c r="D1981" t="n">
        <v>5</v>
      </c>
      <c r="E1981" t="inlineStr">
        <is>
          <t>MEDIUM</t>
        </is>
      </c>
      <c r="F1981" t="n">
        <v>2</v>
      </c>
      <c r="G1981" t="n">
        <v>1</v>
      </c>
      <c r="H1981" t="inlineStr">
        <is>
          <t>LOW</t>
        </is>
      </c>
      <c r="I1981" t="n">
        <v>7</v>
      </c>
      <c r="J1981" t="inlineStr">
        <is>
          <t>NO</t>
        </is>
      </c>
      <c r="K1981" t="inlineStr">
        <is>
          <t>2026-02-23 10:39</t>
        </is>
      </c>
      <c r="L1981" t="inlineStr">
        <is>
          <t>Monitor</t>
        </is>
      </c>
      <c r="M1981" t="inlineStr">
        <is>
          <t>Varies - see article</t>
        </is>
      </c>
      <c r="N1981" t="inlineStr">
        <is>
          <t>P4</t>
        </is>
      </c>
      <c r="O1981" t="inlineStr">
        <is>
          <t>News alert - no IP context</t>
        </is>
      </c>
      <c r="P1981" t="n">
        <v>0</v>
      </c>
      <c r="Q1981" t="n">
        <v>0</v>
      </c>
      <c r="R1981" t="inlineStr">
        <is>
          <t>See article for technique context</t>
        </is>
      </c>
      <c r="S1981" t="n">
        <v>1</v>
      </c>
      <c r="T1981" t="inlineStr">
        <is>
          <t>LOW (40%)</t>
        </is>
      </c>
      <c r="U1981" t="inlineStr">
        <is>
          <t>NONE</t>
        </is>
      </c>
      <c r="V1981" t="inlineStr">
        <is>
          <t>NONE</t>
        </is>
      </c>
      <c r="W1981" t="inlineStr">
        <is>
          <t>NONE</t>
        </is>
      </c>
      <c r="X1981" t="inlineStr">
        <is>
          <t>NONE</t>
        </is>
      </c>
      <c r="Y1981" t="n">
        <v>0</v>
      </c>
      <c r="Z1981" t="inlineStr">
        <is>
          <t>AI-powered campaign compromises 600 FortiGate systems worldwide</t>
        </is>
      </c>
      <c r="AA1981" t="inlineStr">
        <is>
          <t>https://securityaffairs.com/188351/hacking/ai-powered-campaign-compromises-600-fortigate-systems-worldwide.html</t>
        </is>
      </c>
    </row>
    <row r="1982">
      <c r="A1982" t="inlineStr">
        <is>
          <t>NEWS_ALERT</t>
        </is>
      </c>
      <c r="B1982" t="inlineStr">
        <is>
          <t>c60b0ce4a26b</t>
        </is>
      </c>
      <c r="C1982" t="inlineStr">
        <is>
          <t>[SecurityAffairs] SECURITY AFFAIRS MALWARE NEWSLETTER ROUND 85 | Keywords: malware, malware, malware, backdoor | Security Affairs Malware newsletter includes a collection of the best articles and research on malware in the international landscape Malware Newslett</t>
        </is>
      </c>
      <c r="D1982" t="n">
        <v>5</v>
      </c>
      <c r="E1982" t="inlineStr">
        <is>
          <t>MEDIUM</t>
        </is>
      </c>
      <c r="F1982" t="n">
        <v>2</v>
      </c>
      <c r="G1982" t="n">
        <v>1</v>
      </c>
      <c r="H1982" t="inlineStr">
        <is>
          <t>LOW</t>
        </is>
      </c>
      <c r="I1982" t="n">
        <v>7</v>
      </c>
      <c r="J1982" t="inlineStr">
        <is>
          <t>NO</t>
        </is>
      </c>
      <c r="K1982" t="inlineStr">
        <is>
          <t>2026-02-22 14:29</t>
        </is>
      </c>
      <c r="L1982" t="inlineStr">
        <is>
          <t>Monitor</t>
        </is>
      </c>
      <c r="M1982" t="inlineStr">
        <is>
          <t>Varies - see article</t>
        </is>
      </c>
      <c r="N1982" t="inlineStr">
        <is>
          <t>P4</t>
        </is>
      </c>
      <c r="O1982" t="inlineStr">
        <is>
          <t>News alert - no IP context</t>
        </is>
      </c>
      <c r="P1982" t="n">
        <v>0</v>
      </c>
      <c r="Q1982" t="n">
        <v>0</v>
      </c>
      <c r="R1982" t="inlineStr">
        <is>
          <t>See article for technique context</t>
        </is>
      </c>
      <c r="S1982" t="n">
        <v>1</v>
      </c>
      <c r="T1982" t="inlineStr">
        <is>
          <t>LOW (40%)</t>
        </is>
      </c>
      <c r="U1982" t="inlineStr">
        <is>
          <t>NONE</t>
        </is>
      </c>
      <c r="V1982" t="inlineStr">
        <is>
          <t>NONE</t>
        </is>
      </c>
      <c r="W1982" t="inlineStr">
        <is>
          <t>NONE</t>
        </is>
      </c>
      <c r="X1982" t="inlineStr">
        <is>
          <t>NONE</t>
        </is>
      </c>
      <c r="Y1982" t="n">
        <v>0</v>
      </c>
      <c r="Z1982" t="inlineStr">
        <is>
          <t>SECURITY AFFAIRS MALWARE NEWSLETTER ROUND 85</t>
        </is>
      </c>
      <c r="AA1982" t="inlineStr">
        <is>
          <t>https://securityaffairs.com/188337/malware/security-affairs-malware-newsletter-round-85.html</t>
        </is>
      </c>
    </row>
    <row r="1983">
      <c r="A1983" t="inlineStr">
        <is>
          <t>NEWS_ALERT</t>
        </is>
      </c>
      <c r="B1983" t="inlineStr">
        <is>
          <t>be2b9ca842ab</t>
        </is>
      </c>
      <c r="C1983" t="inlineStr">
        <is>
          <t>[SecurityAffairs] Security Affairs newsletter Round 564 by Pierluigi Paganini – INTERNATIONAL EDITION | Keywords: exploited | A new round of the weekly Security Affairs newsletter has arrived! Every week, the best security articles from Security Affairs are free in your email</t>
        </is>
      </c>
      <c r="D1983" t="n">
        <v>5</v>
      </c>
      <c r="E1983" t="inlineStr">
        <is>
          <t>MEDIUM</t>
        </is>
      </c>
      <c r="F1983" t="n">
        <v>2</v>
      </c>
      <c r="G1983" t="n">
        <v>1</v>
      </c>
      <c r="H1983" t="inlineStr">
        <is>
          <t>LOW</t>
        </is>
      </c>
      <c r="I1983" t="n">
        <v>7</v>
      </c>
      <c r="J1983" t="inlineStr">
        <is>
          <t>NO</t>
        </is>
      </c>
      <c r="K1983" t="inlineStr">
        <is>
          <t>2026-02-22 14:14</t>
        </is>
      </c>
      <c r="L1983" t="inlineStr">
        <is>
          <t>Monitor</t>
        </is>
      </c>
      <c r="M1983" t="inlineStr">
        <is>
          <t>Varies - see article</t>
        </is>
      </c>
      <c r="N1983" t="inlineStr">
        <is>
          <t>P4</t>
        </is>
      </c>
      <c r="O1983" t="inlineStr">
        <is>
          <t>News alert - no IP context</t>
        </is>
      </c>
      <c r="P1983" t="n">
        <v>0</v>
      </c>
      <c r="Q1983" t="n">
        <v>0</v>
      </c>
      <c r="R1983" t="inlineStr">
        <is>
          <t>See article for technique context</t>
        </is>
      </c>
      <c r="S1983" t="n">
        <v>1</v>
      </c>
      <c r="T1983" t="inlineStr">
        <is>
          <t>LOW (40%)</t>
        </is>
      </c>
      <c r="U1983" t="inlineStr">
        <is>
          <t>NONE</t>
        </is>
      </c>
      <c r="V1983" t="inlineStr">
        <is>
          <t>NONE</t>
        </is>
      </c>
      <c r="W1983" t="inlineStr">
        <is>
          <t>NONE</t>
        </is>
      </c>
      <c r="X1983" t="inlineStr">
        <is>
          <t>NONE</t>
        </is>
      </c>
      <c r="Y1983" t="n">
        <v>0</v>
      </c>
      <c r="Z1983" t="inlineStr">
        <is>
          <t>Security Affairs newsletter Round 564 by Pierluigi Paganini – INTERNATIONAL EDITION</t>
        </is>
      </c>
      <c r="AA1983" t="inlineStr">
        <is>
          <t>https://securityaffairs.com/188332/breaking-news/security-affairs-newsletter-round-564-by-pierluigi-paganini-international-edition.html</t>
        </is>
      </c>
    </row>
    <row r="1984">
      <c r="A1984" t="inlineStr">
        <is>
          <t>NEWS_ALERT</t>
        </is>
      </c>
      <c r="B1984" t="inlineStr">
        <is>
          <t>ce7753f8eea4</t>
        </is>
      </c>
      <c r="C1984" t="inlineStr">
        <is>
          <t>[SecurityAffairs] U.S. CISA adds RoundCube Webmail flaws to its Known Exploited Vulnerabilities catalog | Keywords: exploited | U.S. Cybersecurity and Infrastructure Security Agency (CISA) adds RoundCube Webmail flaws to its Known Exploited Vulnerabilities catalog. The U.S. Cyb</t>
        </is>
      </c>
      <c r="D1984" t="n">
        <v>5</v>
      </c>
      <c r="E1984" t="inlineStr">
        <is>
          <t>MEDIUM</t>
        </is>
      </c>
      <c r="F1984" t="n">
        <v>2</v>
      </c>
      <c r="G1984" t="n">
        <v>1</v>
      </c>
      <c r="H1984" t="inlineStr">
        <is>
          <t>LOW</t>
        </is>
      </c>
      <c r="I1984" t="n">
        <v>7</v>
      </c>
      <c r="J1984" t="inlineStr">
        <is>
          <t>NO</t>
        </is>
      </c>
      <c r="K1984" t="inlineStr">
        <is>
          <t>2026-02-21 11:19</t>
        </is>
      </c>
      <c r="L1984" t="inlineStr">
        <is>
          <t>Monitor</t>
        </is>
      </c>
      <c r="M1984" t="inlineStr">
        <is>
          <t>Varies - see article</t>
        </is>
      </c>
      <c r="N1984" t="inlineStr">
        <is>
          <t>P4</t>
        </is>
      </c>
      <c r="O1984" t="inlineStr">
        <is>
          <t>News alert - no IP context</t>
        </is>
      </c>
      <c r="P1984" t="n">
        <v>0</v>
      </c>
      <c r="Q1984" t="n">
        <v>0</v>
      </c>
      <c r="R1984" t="inlineStr">
        <is>
          <t>See article for technique context</t>
        </is>
      </c>
      <c r="S1984" t="n">
        <v>1</v>
      </c>
      <c r="T1984" t="inlineStr">
        <is>
          <t>LOW (40%)</t>
        </is>
      </c>
      <c r="U1984" t="inlineStr">
        <is>
          <t>NONE</t>
        </is>
      </c>
      <c r="V1984" t="inlineStr">
        <is>
          <t>NONE</t>
        </is>
      </c>
      <c r="W1984" t="inlineStr">
        <is>
          <t>NONE</t>
        </is>
      </c>
      <c r="X1984" t="inlineStr">
        <is>
          <t>NONE</t>
        </is>
      </c>
      <c r="Y1984" t="n">
        <v>0</v>
      </c>
      <c r="Z1984" t="inlineStr">
        <is>
          <t>U.S. CISA adds RoundCube Webmail flaws to its Known Exploited Vulnerabilities catalog</t>
        </is>
      </c>
      <c r="AA1984" t="inlineStr">
        <is>
          <t>https://securityaffairs.com/188324/security/u-s-cisa-adds-roundcube-webmail-flaws-to-its-known-exploited-vulnerabilities-catalog.html</t>
        </is>
      </c>
    </row>
    <row r="1985">
      <c r="A1985" t="inlineStr">
        <is>
          <t>NEWS_ALERT</t>
        </is>
      </c>
      <c r="B1985" t="inlineStr">
        <is>
          <t>3257d0050f46</t>
        </is>
      </c>
      <c r="C1985" t="inlineStr">
        <is>
          <t>[TheHackerNews] APT28 Targeted European Entities Using Webhook-Based Macro Malware | Keywords: malware, exploitation, threat actor | The Russia-linked state-sponsored threat actor tracked as APT28 has been attributed to a new campaign targeting specific entities in Western and Centr</t>
        </is>
      </c>
      <c r="D1985" t="n">
        <v>5</v>
      </c>
      <c r="E1985" t="inlineStr">
        <is>
          <t>MEDIUM</t>
        </is>
      </c>
      <c r="F1985" t="n">
        <v>2</v>
      </c>
      <c r="G1985" t="n">
        <v>1</v>
      </c>
      <c r="H1985" t="inlineStr">
        <is>
          <t>LOW</t>
        </is>
      </c>
      <c r="I1985" t="n">
        <v>7</v>
      </c>
      <c r="J1985" t="inlineStr">
        <is>
          <t>NO</t>
        </is>
      </c>
      <c r="K1985" t="inlineStr">
        <is>
          <t>2026-02-23 19:41</t>
        </is>
      </c>
      <c r="L1985" t="inlineStr">
        <is>
          <t>Monitor</t>
        </is>
      </c>
      <c r="M1985" t="inlineStr">
        <is>
          <t>Varies - see article</t>
        </is>
      </c>
      <c r="N1985" t="inlineStr">
        <is>
          <t>P4</t>
        </is>
      </c>
      <c r="O1985" t="inlineStr">
        <is>
          <t>News alert - no IP context</t>
        </is>
      </c>
      <c r="P1985" t="n">
        <v>0</v>
      </c>
      <c r="Q1985" t="n">
        <v>0</v>
      </c>
      <c r="R1985" t="inlineStr">
        <is>
          <t>See article for technique context</t>
        </is>
      </c>
      <c r="S1985" t="n">
        <v>1</v>
      </c>
      <c r="T1985" t="inlineStr">
        <is>
          <t>LOW (40%)</t>
        </is>
      </c>
      <c r="U1985" t="inlineStr">
        <is>
          <t>NONE</t>
        </is>
      </c>
      <c r="V1985" t="inlineStr">
        <is>
          <t>NONE</t>
        </is>
      </c>
      <c r="W1985" t="inlineStr">
        <is>
          <t>NONE</t>
        </is>
      </c>
      <c r="X1985" t="inlineStr">
        <is>
          <t>NONE</t>
        </is>
      </c>
      <c r="Y1985" t="n">
        <v>0</v>
      </c>
      <c r="Z1985" t="inlineStr">
        <is>
          <t>APT28 Targeted European Entities Using Webhook-Based Macro Malware</t>
        </is>
      </c>
      <c r="AA1985" t="inlineStr">
        <is>
          <t>https://thehackernews.com/2026/02/apt28-targeted-european-entities-using.html</t>
        </is>
      </c>
    </row>
    <row r="1986">
      <c r="A1986" t="inlineStr">
        <is>
          <t>NEWS_ALERT</t>
        </is>
      </c>
      <c r="B1986" t="inlineStr">
        <is>
          <t>34b7d3bf4b92</t>
        </is>
      </c>
      <c r="C1986" t="inlineStr">
        <is>
          <t>[TheHackerNews] Wormable XMRig Campaign Uses BYOVD Exploit and Time-Based Logic Bomb | Keywords: wormable, exploit | Cybersecurity researchers have disclosed details of a new cryptojacking campaign that uses pirated software bundles as lures to deploy a bespoke XMRig</t>
        </is>
      </c>
      <c r="D1986" t="n">
        <v>5</v>
      </c>
      <c r="E1986" t="inlineStr">
        <is>
          <t>MEDIUM</t>
        </is>
      </c>
      <c r="F1986" t="n">
        <v>2</v>
      </c>
      <c r="G1986" t="n">
        <v>1</v>
      </c>
      <c r="H1986" t="inlineStr">
        <is>
          <t>LOW</t>
        </is>
      </c>
      <c r="I1986" t="n">
        <v>7</v>
      </c>
      <c r="J1986" t="inlineStr">
        <is>
          <t>NO</t>
        </is>
      </c>
      <c r="K1986" t="inlineStr">
        <is>
          <t>2026-02-23 17:59</t>
        </is>
      </c>
      <c r="L1986" t="inlineStr">
        <is>
          <t>Monitor</t>
        </is>
      </c>
      <c r="M1986" t="inlineStr">
        <is>
          <t>Varies - see article</t>
        </is>
      </c>
      <c r="N1986" t="inlineStr">
        <is>
          <t>P4</t>
        </is>
      </c>
      <c r="O1986" t="inlineStr">
        <is>
          <t>News alert - no IP context</t>
        </is>
      </c>
      <c r="P1986" t="n">
        <v>0</v>
      </c>
      <c r="Q1986" t="n">
        <v>0</v>
      </c>
      <c r="R1986" t="inlineStr">
        <is>
          <t>See article for technique context</t>
        </is>
      </c>
      <c r="S1986" t="n">
        <v>1</v>
      </c>
      <c r="T1986" t="inlineStr">
        <is>
          <t>LOW (40%)</t>
        </is>
      </c>
      <c r="U1986" t="inlineStr">
        <is>
          <t>NONE</t>
        </is>
      </c>
      <c r="V1986" t="inlineStr">
        <is>
          <t>NONE</t>
        </is>
      </c>
      <c r="W1986" t="inlineStr">
        <is>
          <t>NONE</t>
        </is>
      </c>
      <c r="X1986" t="inlineStr">
        <is>
          <t>NONE</t>
        </is>
      </c>
      <c r="Y1986" t="n">
        <v>0</v>
      </c>
      <c r="Z1986" t="inlineStr">
        <is>
          <t>Wormable XMRig Campaign Uses BYOVD Exploit and Time-Based Logic Bomb</t>
        </is>
      </c>
      <c r="AA1986" t="inlineStr">
        <is>
          <t>https://thehackernews.com/2026/02/wormable-xmrig-campaign-uses-byovd.html</t>
        </is>
      </c>
    </row>
    <row r="1987">
      <c r="A1987" t="inlineStr">
        <is>
          <t>NEWS_ALERT</t>
        </is>
      </c>
      <c r="B1987" t="inlineStr">
        <is>
          <t>a40bd4b7536d</t>
        </is>
      </c>
      <c r="C1987" t="inlineStr">
        <is>
          <t>[TheHackerNews] ⚡ Weekly Recap: Double-Tap Skimmers, PromptSpy AI, 30Tbps DDoS, Docker Malware &amp; More | Keywords: malware | Security news rarely moves in a straight line. This week, it feels more like a series of sharp turns, some happening quietly in the background, others</t>
        </is>
      </c>
      <c r="D1987" t="n">
        <v>5</v>
      </c>
      <c r="E1987" t="inlineStr">
        <is>
          <t>MEDIUM</t>
        </is>
      </c>
      <c r="F1987" t="n">
        <v>2</v>
      </c>
      <c r="G1987" t="n">
        <v>1</v>
      </c>
      <c r="H1987" t="inlineStr">
        <is>
          <t>LOW</t>
        </is>
      </c>
      <c r="I1987" t="n">
        <v>7</v>
      </c>
      <c r="J1987" t="inlineStr">
        <is>
          <t>NO</t>
        </is>
      </c>
      <c r="K1987" t="inlineStr">
        <is>
          <t>2026-02-23 13:00</t>
        </is>
      </c>
      <c r="L1987" t="inlineStr">
        <is>
          <t>Monitor</t>
        </is>
      </c>
      <c r="M1987" t="inlineStr">
        <is>
          <t>Varies - see article</t>
        </is>
      </c>
      <c r="N1987" t="inlineStr">
        <is>
          <t>P4</t>
        </is>
      </c>
      <c r="O1987" t="inlineStr">
        <is>
          <t>News alert - no IP context</t>
        </is>
      </c>
      <c r="P1987" t="n">
        <v>0</v>
      </c>
      <c r="Q1987" t="n">
        <v>0</v>
      </c>
      <c r="R1987" t="inlineStr">
        <is>
          <t>See article for technique context</t>
        </is>
      </c>
      <c r="S1987" t="n">
        <v>1</v>
      </c>
      <c r="T1987" t="inlineStr">
        <is>
          <t>LOW (40%)</t>
        </is>
      </c>
      <c r="U1987" t="inlineStr">
        <is>
          <t>NONE</t>
        </is>
      </c>
      <c r="V1987" t="inlineStr">
        <is>
          <t>NONE</t>
        </is>
      </c>
      <c r="W1987" t="inlineStr">
        <is>
          <t>NONE</t>
        </is>
      </c>
      <c r="X1987" t="inlineStr">
        <is>
          <t>NONE</t>
        </is>
      </c>
      <c r="Y1987" t="n">
        <v>0</v>
      </c>
      <c r="Z1987" t="inlineStr">
        <is>
          <t>⚡ Weekly Recap: Double-Tap Skimmers, PromptSpy AI, 30Tbps DDoS, Docker Malware &amp; More</t>
        </is>
      </c>
      <c r="AA1987" t="inlineStr">
        <is>
          <t>https://thehackernews.com/2026/02/weekly-recap-double-tap-skimmers.html</t>
        </is>
      </c>
    </row>
    <row r="1988">
      <c r="A1988" t="inlineStr">
        <is>
          <t>NEWS_ALERT</t>
        </is>
      </c>
      <c r="B1988" t="inlineStr">
        <is>
          <t>02fdd569450c</t>
        </is>
      </c>
      <c r="C1988" t="inlineStr">
        <is>
          <t>[TheHackerNews] Malicious npm Packages Harvest Crypto Keys, CI Secrets, and API Tokens | Keywords: supply chain | Cybersecurity researchers have disclosed what they say is an active "Shai-Hulud-like" supply chain worm campaign that has leveraged a cluster of at le</t>
        </is>
      </c>
      <c r="D1988" t="n">
        <v>5</v>
      </c>
      <c r="E1988" t="inlineStr">
        <is>
          <t>MEDIUM</t>
        </is>
      </c>
      <c r="F1988" t="n">
        <v>2</v>
      </c>
      <c r="G1988" t="n">
        <v>1</v>
      </c>
      <c r="H1988" t="inlineStr">
        <is>
          <t>LOW</t>
        </is>
      </c>
      <c r="I1988" t="n">
        <v>7</v>
      </c>
      <c r="J1988" t="inlineStr">
        <is>
          <t>NO</t>
        </is>
      </c>
      <c r="K1988" t="inlineStr">
        <is>
          <t>2026-02-23 10:20</t>
        </is>
      </c>
      <c r="L1988" t="inlineStr">
        <is>
          <t>Monitor</t>
        </is>
      </c>
      <c r="M1988" t="inlineStr">
        <is>
          <t>Varies - see article</t>
        </is>
      </c>
      <c r="N1988" t="inlineStr">
        <is>
          <t>P4</t>
        </is>
      </c>
      <c r="O1988" t="inlineStr">
        <is>
          <t>News alert - no IP context</t>
        </is>
      </c>
      <c r="P1988" t="n">
        <v>0</v>
      </c>
      <c r="Q1988" t="n">
        <v>0</v>
      </c>
      <c r="R1988" t="inlineStr">
        <is>
          <t>See article for technique context</t>
        </is>
      </c>
      <c r="S1988" t="n">
        <v>1</v>
      </c>
      <c r="T1988" t="inlineStr">
        <is>
          <t>LOW (40%)</t>
        </is>
      </c>
      <c r="U1988" t="inlineStr">
        <is>
          <t>NONE</t>
        </is>
      </c>
      <c r="V1988" t="inlineStr">
        <is>
          <t>NONE</t>
        </is>
      </c>
      <c r="W1988" t="inlineStr">
        <is>
          <t>NONE</t>
        </is>
      </c>
      <c r="X1988" t="inlineStr">
        <is>
          <t>NONE</t>
        </is>
      </c>
      <c r="Y1988" t="n">
        <v>0</v>
      </c>
      <c r="Z1988" t="inlineStr">
        <is>
          <t>Malicious npm Packages Harvest Crypto Keys, CI Secrets, and API Tokens</t>
        </is>
      </c>
      <c r="AA1988" t="inlineStr">
        <is>
          <t>https://thehackernews.com/2026/02/malicious-npm-packages-harvest-crypto.html</t>
        </is>
      </c>
    </row>
    <row r="1989">
      <c r="A1989" t="inlineStr">
        <is>
          <t>NEWS_ALERT</t>
        </is>
      </c>
      <c r="B1989" t="inlineStr">
        <is>
          <t>9219784c6ddf</t>
        </is>
      </c>
      <c r="C1989" t="inlineStr">
        <is>
          <t>[TheHackerNews] MuddyWater Targets MENA Organizations with GhostFetch, CHAR, and HTTP_VIP | Keywords: malware | The Iranian hacking group known as MuddyWater (aka Earth Vetala, Mango Sandstorm, and MUDDYCOAST) has targeted several organizations and individuals m</t>
        </is>
      </c>
      <c r="D1989" t="n">
        <v>5</v>
      </c>
      <c r="E1989" t="inlineStr">
        <is>
          <t>MEDIUM</t>
        </is>
      </c>
      <c r="F1989" t="n">
        <v>2</v>
      </c>
      <c r="G1989" t="n">
        <v>1</v>
      </c>
      <c r="H1989" t="inlineStr">
        <is>
          <t>LOW</t>
        </is>
      </c>
      <c r="I1989" t="n">
        <v>7</v>
      </c>
      <c r="J1989" t="inlineStr">
        <is>
          <t>NO</t>
        </is>
      </c>
      <c r="K1989" t="inlineStr">
        <is>
          <t>2026-02-23 07:25</t>
        </is>
      </c>
      <c r="L1989" t="inlineStr">
        <is>
          <t>Monitor</t>
        </is>
      </c>
      <c r="M1989" t="inlineStr">
        <is>
          <t>Varies - see article</t>
        </is>
      </c>
      <c r="N1989" t="inlineStr">
        <is>
          <t>P4</t>
        </is>
      </c>
      <c r="O1989" t="inlineStr">
        <is>
          <t>News alert - no IP context</t>
        </is>
      </c>
      <c r="P1989" t="n">
        <v>0</v>
      </c>
      <c r="Q1989" t="n">
        <v>0</v>
      </c>
      <c r="R1989" t="inlineStr">
        <is>
          <t>See article for technique context</t>
        </is>
      </c>
      <c r="S1989" t="n">
        <v>1</v>
      </c>
      <c r="T1989" t="inlineStr">
        <is>
          <t>LOW (40%)</t>
        </is>
      </c>
      <c r="U1989" t="inlineStr">
        <is>
          <t>NONE</t>
        </is>
      </c>
      <c r="V1989" t="inlineStr">
        <is>
          <t>NONE</t>
        </is>
      </c>
      <c r="W1989" t="inlineStr">
        <is>
          <t>NONE</t>
        </is>
      </c>
      <c r="X1989" t="inlineStr">
        <is>
          <t>NONE</t>
        </is>
      </c>
      <c r="Y1989" t="n">
        <v>0</v>
      </c>
      <c r="Z1989" t="inlineStr">
        <is>
          <t>MuddyWater Targets MENA Organizations with GhostFetch, CHAR, and HTTP_VIP</t>
        </is>
      </c>
      <c r="AA1989" t="inlineStr">
        <is>
          <t>https://thehackernews.com/2026/02/muddywater-targets-mena-organizations.html</t>
        </is>
      </c>
    </row>
    <row r="1990">
      <c r="A1990" t="inlineStr">
        <is>
          <t>NEWS_ALERT</t>
        </is>
      </c>
      <c r="B1990" t="inlineStr">
        <is>
          <t>261ec1f01aef</t>
        </is>
      </c>
      <c r="C1990" t="inlineStr">
        <is>
          <t>[TheHackerNews] AI-Assisted Threat Actor Compromises 600+ FortiGate Devices in 55 Countries | Keywords: threat actor, exploitation, threat actor | A Russian-speaking, financially motivated threat actor has been observed taking advantage of commercial generative artificial intelligence (AI) servic</t>
        </is>
      </c>
      <c r="D1990" t="n">
        <v>5</v>
      </c>
      <c r="E1990" t="inlineStr">
        <is>
          <t>MEDIUM</t>
        </is>
      </c>
      <c r="F1990" t="n">
        <v>2</v>
      </c>
      <c r="G1990" t="n">
        <v>1</v>
      </c>
      <c r="H1990" t="inlineStr">
        <is>
          <t>LOW</t>
        </is>
      </c>
      <c r="I1990" t="n">
        <v>7</v>
      </c>
      <c r="J1990" t="inlineStr">
        <is>
          <t>NO</t>
        </is>
      </c>
      <c r="K1990" t="inlineStr">
        <is>
          <t>2026-02-21 14:49</t>
        </is>
      </c>
      <c r="L1990" t="inlineStr">
        <is>
          <t>Monitor</t>
        </is>
      </c>
      <c r="M1990" t="inlineStr">
        <is>
          <t>Varies - see article</t>
        </is>
      </c>
      <c r="N1990" t="inlineStr">
        <is>
          <t>P4</t>
        </is>
      </c>
      <c r="O1990" t="inlineStr">
        <is>
          <t>News alert - no IP context</t>
        </is>
      </c>
      <c r="P1990" t="n">
        <v>0</v>
      </c>
      <c r="Q1990" t="n">
        <v>0</v>
      </c>
      <c r="R1990" t="inlineStr">
        <is>
          <t>See article for technique context</t>
        </is>
      </c>
      <c r="S1990" t="n">
        <v>1</v>
      </c>
      <c r="T1990" t="inlineStr">
        <is>
          <t>LOW (40%)</t>
        </is>
      </c>
      <c r="U1990" t="inlineStr">
        <is>
          <t>NONE</t>
        </is>
      </c>
      <c r="V1990" t="inlineStr">
        <is>
          <t>NONE</t>
        </is>
      </c>
      <c r="W1990" t="inlineStr">
        <is>
          <t>NONE</t>
        </is>
      </c>
      <c r="X1990" t="inlineStr">
        <is>
          <t>NONE</t>
        </is>
      </c>
      <c r="Y1990" t="n">
        <v>0</v>
      </c>
      <c r="Z1990" t="inlineStr">
        <is>
          <t>AI-Assisted Threat Actor Compromises 600+ FortiGate Devices in 55 Countries</t>
        </is>
      </c>
      <c r="AA1990" t="inlineStr">
        <is>
          <t>https://thehackernews.com/2026/02/ai-assisted-threat-actor-compromises.html</t>
        </is>
      </c>
    </row>
    <row r="1991">
      <c r="A1991" t="inlineStr">
        <is>
          <t>NEWS_ALERT</t>
        </is>
      </c>
      <c r="B1991" t="inlineStr">
        <is>
          <t>4b94ac7dc33a</t>
        </is>
      </c>
      <c r="C1991" t="inlineStr">
        <is>
          <t>[DarkReading] Iran's MuddyWater Targets Orgs With Fresh Malware as Tensions Mount | Keywords: malware | The long-active Iranian threat group debuted various attack strains and payloads in attacks against organizations in the Middle East and Africa.</t>
        </is>
      </c>
      <c r="D1991" t="n">
        <v>5</v>
      </c>
      <c r="E1991" t="inlineStr">
        <is>
          <t>MEDIUM</t>
        </is>
      </c>
      <c r="F1991" t="n">
        <v>2</v>
      </c>
      <c r="G1991" t="n">
        <v>1</v>
      </c>
      <c r="H1991" t="inlineStr">
        <is>
          <t>LOW</t>
        </is>
      </c>
      <c r="I1991" t="n">
        <v>7</v>
      </c>
      <c r="J1991" t="inlineStr">
        <is>
          <t>NO</t>
        </is>
      </c>
      <c r="K1991" t="inlineStr">
        <is>
          <t>2026-02-23 20:35</t>
        </is>
      </c>
      <c r="L1991" t="inlineStr">
        <is>
          <t>Monitor</t>
        </is>
      </c>
      <c r="M1991" t="inlineStr">
        <is>
          <t>Varies - see article</t>
        </is>
      </c>
      <c r="N1991" t="inlineStr">
        <is>
          <t>P4</t>
        </is>
      </c>
      <c r="O1991" t="inlineStr">
        <is>
          <t>News alert - no IP context</t>
        </is>
      </c>
      <c r="P1991" t="n">
        <v>0</v>
      </c>
      <c r="Q1991" t="n">
        <v>0</v>
      </c>
      <c r="R1991" t="inlineStr">
        <is>
          <t>See article for technique context</t>
        </is>
      </c>
      <c r="S1991" t="n">
        <v>1</v>
      </c>
      <c r="T1991" t="inlineStr">
        <is>
          <t>LOW (40%)</t>
        </is>
      </c>
      <c r="U1991" t="inlineStr">
        <is>
          <t>NONE</t>
        </is>
      </c>
      <c r="V1991" t="inlineStr">
        <is>
          <t>NONE</t>
        </is>
      </c>
      <c r="W1991" t="inlineStr">
        <is>
          <t>NONE</t>
        </is>
      </c>
      <c r="X1991" t="inlineStr">
        <is>
          <t>NONE</t>
        </is>
      </c>
      <c r="Y1991" t="n">
        <v>0</v>
      </c>
      <c r="Z1991" t="inlineStr">
        <is>
          <t>Iran's MuddyWater Targets Orgs With Fresh Malware as Tensions Mount</t>
        </is>
      </c>
      <c r="AA1991" t="inlineStr">
        <is>
          <t>https://www.darkreading.com/threat-intelligence/iran-muddywater-new-malware-tensions-mount</t>
        </is>
      </c>
    </row>
    <row r="1992">
      <c r="A1992" t="inlineStr">
        <is>
          <t>NEWS_ALERT</t>
        </is>
      </c>
      <c r="B1992" t="inlineStr">
        <is>
          <t>a45e759a5527</t>
        </is>
      </c>
      <c r="C1992" t="inlineStr">
        <is>
          <t>[SecurityWeek] US Healthcare Diagnostic Firm Says 140,000 Affected by Data Breach | Keywords: breach, ransomware | The Everest ransomware group has taken credit for a hacker attack on Vikor Scientific, now called Vanta Diagnostics. The post US Healthcare Diagnostic</t>
        </is>
      </c>
      <c r="D1992" t="n">
        <v>5</v>
      </c>
      <c r="E1992" t="inlineStr">
        <is>
          <t>MEDIUM</t>
        </is>
      </c>
      <c r="F1992" t="n">
        <v>2</v>
      </c>
      <c r="G1992" t="n">
        <v>1</v>
      </c>
      <c r="H1992" t="inlineStr">
        <is>
          <t>LOW</t>
        </is>
      </c>
      <c r="I1992" t="n">
        <v>7</v>
      </c>
      <c r="J1992" t="inlineStr">
        <is>
          <t>NO</t>
        </is>
      </c>
      <c r="K1992" t="inlineStr">
        <is>
          <t>2026-02-23 15:35</t>
        </is>
      </c>
      <c r="L1992" t="inlineStr">
        <is>
          <t>Monitor</t>
        </is>
      </c>
      <c r="M1992" t="inlineStr">
        <is>
          <t>Varies - see article</t>
        </is>
      </c>
      <c r="N1992" t="inlineStr">
        <is>
          <t>P4</t>
        </is>
      </c>
      <c r="O1992" t="inlineStr">
        <is>
          <t>News alert - no IP context</t>
        </is>
      </c>
      <c r="P1992" t="n">
        <v>0</v>
      </c>
      <c r="Q1992" t="n">
        <v>0</v>
      </c>
      <c r="R1992" t="inlineStr">
        <is>
          <t>See article for technique context</t>
        </is>
      </c>
      <c r="S1992" t="n">
        <v>1</v>
      </c>
      <c r="T1992" t="inlineStr">
        <is>
          <t>LOW (40%)</t>
        </is>
      </c>
      <c r="U1992" t="inlineStr">
        <is>
          <t>NONE</t>
        </is>
      </c>
      <c r="V1992" t="inlineStr">
        <is>
          <t>NONE</t>
        </is>
      </c>
      <c r="W1992" t="inlineStr">
        <is>
          <t>NONE</t>
        </is>
      </c>
      <c r="X1992" t="inlineStr">
        <is>
          <t>NONE</t>
        </is>
      </c>
      <c r="Y1992" t="n">
        <v>0</v>
      </c>
      <c r="Z1992" t="inlineStr">
        <is>
          <t>US Healthcare Diagnostic Firm Says 140,000 Affected by Data Breach</t>
        </is>
      </c>
      <c r="AA1992" t="inlineStr">
        <is>
          <t>https://www.securityweek.com/us-healthcare-diagnostic-firm-says-140000-affected-by-data-breach/</t>
        </is>
      </c>
    </row>
    <row r="1993">
      <c r="A1993" t="inlineStr">
        <is>
          <t>NEWS_ALERT</t>
        </is>
      </c>
      <c r="B1993" t="inlineStr">
        <is>
          <t>cf8e010ab5bd</t>
        </is>
      </c>
      <c r="C1993" t="inlineStr">
        <is>
          <t>[SecurityWeek] Autonomous AI Agents Provide New Class of Supply Chain Attack | Keywords: supply chain | While this campaign targets crypto wallets and steals money, the methodology has far wider potential that could be used by other attackers. The post A</t>
        </is>
      </c>
      <c r="D1993" t="n">
        <v>5</v>
      </c>
      <c r="E1993" t="inlineStr">
        <is>
          <t>MEDIUM</t>
        </is>
      </c>
      <c r="F1993" t="n">
        <v>2</v>
      </c>
      <c r="G1993" t="n">
        <v>1</v>
      </c>
      <c r="H1993" t="inlineStr">
        <is>
          <t>LOW</t>
        </is>
      </c>
      <c r="I1993" t="n">
        <v>7</v>
      </c>
      <c r="J1993" t="inlineStr">
        <is>
          <t>NO</t>
        </is>
      </c>
      <c r="K1993" t="inlineStr">
        <is>
          <t>2026-02-23 12:30</t>
        </is>
      </c>
      <c r="L1993" t="inlineStr">
        <is>
          <t>Monitor</t>
        </is>
      </c>
      <c r="M1993" t="inlineStr">
        <is>
          <t>Varies - see article</t>
        </is>
      </c>
      <c r="N1993" t="inlineStr">
        <is>
          <t>P4</t>
        </is>
      </c>
      <c r="O1993" t="inlineStr">
        <is>
          <t>News alert - no IP context</t>
        </is>
      </c>
      <c r="P1993" t="n">
        <v>0</v>
      </c>
      <c r="Q1993" t="n">
        <v>0</v>
      </c>
      <c r="R1993" t="inlineStr">
        <is>
          <t>See article for technique context</t>
        </is>
      </c>
      <c r="S1993" t="n">
        <v>1</v>
      </c>
      <c r="T1993" t="inlineStr">
        <is>
          <t>LOW (40%)</t>
        </is>
      </c>
      <c r="U1993" t="inlineStr">
        <is>
          <t>NONE</t>
        </is>
      </c>
      <c r="V1993" t="inlineStr">
        <is>
          <t>NONE</t>
        </is>
      </c>
      <c r="W1993" t="inlineStr">
        <is>
          <t>NONE</t>
        </is>
      </c>
      <c r="X1993" t="inlineStr">
        <is>
          <t>NONE</t>
        </is>
      </c>
      <c r="Y1993" t="n">
        <v>0</v>
      </c>
      <c r="Z1993" t="inlineStr">
        <is>
          <t>Autonomous AI Agents Provide New Class of Supply Chain Attack</t>
        </is>
      </c>
      <c r="AA1993" t="inlineStr">
        <is>
          <t>https://www.securityweek.com/autonomous-ai-agents-provide-new-class-of-supply-chain-attack/</t>
        </is>
      </c>
    </row>
    <row r="1994">
      <c r="A1994" t="inlineStr">
        <is>
          <t>NEWS_ALERT</t>
        </is>
      </c>
      <c r="B1994" t="inlineStr">
        <is>
          <t>c3137fbbf790</t>
        </is>
      </c>
      <c r="C1994" t="inlineStr">
        <is>
          <t>[SecurityWeek] Hundreds of FortiGate Firewalls Hacked in AI-Powered Attacks: AWS | Keywords: exploiting | Threat actors relying on AI have been exploiting exposed ports and weak credentials to take over FortiGate devices. The post Hundreds of FortiGate Fir</t>
        </is>
      </c>
      <c r="D1994" t="n">
        <v>5</v>
      </c>
      <c r="E1994" t="inlineStr">
        <is>
          <t>MEDIUM</t>
        </is>
      </c>
      <c r="F1994" t="n">
        <v>2</v>
      </c>
      <c r="G1994" t="n">
        <v>1</v>
      </c>
      <c r="H1994" t="inlineStr">
        <is>
          <t>LOW</t>
        </is>
      </c>
      <c r="I1994" t="n">
        <v>7</v>
      </c>
      <c r="J1994" t="inlineStr">
        <is>
          <t>NO</t>
        </is>
      </c>
      <c r="K1994" t="inlineStr">
        <is>
          <t>2026-02-23 11:34</t>
        </is>
      </c>
      <c r="L1994" t="inlineStr">
        <is>
          <t>Monitor</t>
        </is>
      </c>
      <c r="M1994" t="inlineStr">
        <is>
          <t>Varies - see article</t>
        </is>
      </c>
      <c r="N1994" t="inlineStr">
        <is>
          <t>P4</t>
        </is>
      </c>
      <c r="O1994" t="inlineStr">
        <is>
          <t>News alert - no IP context</t>
        </is>
      </c>
      <c r="P1994" t="n">
        <v>0</v>
      </c>
      <c r="Q1994" t="n">
        <v>0</v>
      </c>
      <c r="R1994" t="inlineStr">
        <is>
          <t>See article for technique context</t>
        </is>
      </c>
      <c r="S1994" t="n">
        <v>1</v>
      </c>
      <c r="T1994" t="inlineStr">
        <is>
          <t>LOW (40%)</t>
        </is>
      </c>
      <c r="U1994" t="inlineStr">
        <is>
          <t>NONE</t>
        </is>
      </c>
      <c r="V1994" t="inlineStr">
        <is>
          <t>NONE</t>
        </is>
      </c>
      <c r="W1994" t="inlineStr">
        <is>
          <t>NONE</t>
        </is>
      </c>
      <c r="X1994" t="inlineStr">
        <is>
          <t>NONE</t>
        </is>
      </c>
      <c r="Y1994" t="n">
        <v>0</v>
      </c>
      <c r="Z1994" t="inlineStr">
        <is>
          <t>Hundreds of FortiGate Firewalls Hacked in AI-Powered Attacks: AWS</t>
        </is>
      </c>
      <c r="AA1994" t="inlineStr">
        <is>
          <t>https://www.securityweek.com/hundreds-of-fortigate-firewalls-hacked-in-ai-powered-attacks-aws/</t>
        </is>
      </c>
    </row>
    <row r="1995">
      <c r="A1995" t="inlineStr">
        <is>
          <t>NEWS_ALERT</t>
        </is>
      </c>
      <c r="B1995" t="inlineStr">
        <is>
          <t>42b145e8624a</t>
        </is>
      </c>
      <c r="C1995" t="inlineStr">
        <is>
          <t>[SecurityWeek] Recent RoundCube Webmail Vulnerability Exploited in Attacks | Keywords: exploited, exploited | Patched in December 2025, the exploited flaw leads to XSS attacks via the animate tags in SVG documents. The post Recent RoundCube Webmail Vulnerabili</t>
        </is>
      </c>
      <c r="D1995" t="n">
        <v>5</v>
      </c>
      <c r="E1995" t="inlineStr">
        <is>
          <t>MEDIUM</t>
        </is>
      </c>
      <c r="F1995" t="n">
        <v>2</v>
      </c>
      <c r="G1995" t="n">
        <v>1</v>
      </c>
      <c r="H1995" t="inlineStr">
        <is>
          <t>LOW</t>
        </is>
      </c>
      <c r="I1995" t="n">
        <v>7</v>
      </c>
      <c r="J1995" t="inlineStr">
        <is>
          <t>NO</t>
        </is>
      </c>
      <c r="K1995" t="inlineStr">
        <is>
          <t>2026-02-23 10:47</t>
        </is>
      </c>
      <c r="L1995" t="inlineStr">
        <is>
          <t>Monitor</t>
        </is>
      </c>
      <c r="M1995" t="inlineStr">
        <is>
          <t>Varies - see article</t>
        </is>
      </c>
      <c r="N1995" t="inlineStr">
        <is>
          <t>P4</t>
        </is>
      </c>
      <c r="O1995" t="inlineStr">
        <is>
          <t>News alert - no IP context</t>
        </is>
      </c>
      <c r="P1995" t="n">
        <v>0</v>
      </c>
      <c r="Q1995" t="n">
        <v>0</v>
      </c>
      <c r="R1995" t="inlineStr">
        <is>
          <t>See article for technique context</t>
        </is>
      </c>
      <c r="S1995" t="n">
        <v>1</v>
      </c>
      <c r="T1995" t="inlineStr">
        <is>
          <t>LOW (40%)</t>
        </is>
      </c>
      <c r="U1995" t="inlineStr">
        <is>
          <t>NONE</t>
        </is>
      </c>
      <c r="V1995" t="inlineStr">
        <is>
          <t>NONE</t>
        </is>
      </c>
      <c r="W1995" t="inlineStr">
        <is>
          <t>NONE</t>
        </is>
      </c>
      <c r="X1995" t="inlineStr">
        <is>
          <t>NONE</t>
        </is>
      </c>
      <c r="Y1995" t="n">
        <v>0</v>
      </c>
      <c r="Z1995" t="inlineStr">
        <is>
          <t>Recent RoundCube Webmail Vulnerability Exploited in Attacks</t>
        </is>
      </c>
      <c r="AA1995" t="inlineStr">
        <is>
          <t>https://www.securityweek.com/recent-roundcube-webmail-vulnerability-exploited-in-attacks/</t>
        </is>
      </c>
    </row>
    <row r="1996">
      <c r="A1996" t="inlineStr">
        <is>
          <t>NEWS_ALERT</t>
        </is>
      </c>
      <c r="B1996" t="inlineStr">
        <is>
          <t>0e05a697881c</t>
        </is>
      </c>
      <c r="C1996" t="inlineStr">
        <is>
          <t>[SecurityWeek] Mississippi Hospital System Closes All Clinics After Ransomware Attack | Keywords: ransomware, ransomware | A ransomware attack forced the University of Mississippi Medical Center to close all of its roughly three dozen clinics around the state and cancel el</t>
        </is>
      </c>
      <c r="D1996" t="n">
        <v>5</v>
      </c>
      <c r="E1996" t="inlineStr">
        <is>
          <t>MEDIUM</t>
        </is>
      </c>
      <c r="F1996" t="n">
        <v>2</v>
      </c>
      <c r="G1996" t="n">
        <v>1</v>
      </c>
      <c r="H1996" t="inlineStr">
        <is>
          <t>LOW</t>
        </is>
      </c>
      <c r="I1996" t="n">
        <v>7</v>
      </c>
      <c r="J1996" t="inlineStr">
        <is>
          <t>NO</t>
        </is>
      </c>
      <c r="K1996" t="inlineStr">
        <is>
          <t>2026-02-23 10:29</t>
        </is>
      </c>
      <c r="L1996" t="inlineStr">
        <is>
          <t>Monitor</t>
        </is>
      </c>
      <c r="M1996" t="inlineStr">
        <is>
          <t>Varies - see article</t>
        </is>
      </c>
      <c r="N1996" t="inlineStr">
        <is>
          <t>P4</t>
        </is>
      </c>
      <c r="O1996" t="inlineStr">
        <is>
          <t>News alert - no IP context</t>
        </is>
      </c>
      <c r="P1996" t="n">
        <v>0</v>
      </c>
      <c r="Q1996" t="n">
        <v>0</v>
      </c>
      <c r="R1996" t="inlineStr">
        <is>
          <t>See article for technique context</t>
        </is>
      </c>
      <c r="S1996" t="n">
        <v>1</v>
      </c>
      <c r="T1996" t="inlineStr">
        <is>
          <t>LOW (40%)</t>
        </is>
      </c>
      <c r="U1996" t="inlineStr">
        <is>
          <t>NONE</t>
        </is>
      </c>
      <c r="V1996" t="inlineStr">
        <is>
          <t>NONE</t>
        </is>
      </c>
      <c r="W1996" t="inlineStr">
        <is>
          <t>NONE</t>
        </is>
      </c>
      <c r="X1996" t="inlineStr">
        <is>
          <t>NONE</t>
        </is>
      </c>
      <c r="Y1996" t="n">
        <v>0</v>
      </c>
      <c r="Z1996" t="inlineStr">
        <is>
          <t>Mississippi Hospital System Closes All Clinics After Ransomware Attack</t>
        </is>
      </c>
      <c r="AA1996" t="inlineStr">
        <is>
          <t>https://www.securityweek.com/mississippi-hospital-system-closes-all-clinics-after-ransomware-attack/</t>
        </is>
      </c>
    </row>
    <row r="1997">
      <c r="A1997" t="inlineStr">
        <is>
          <t>NEWS_ALERT</t>
        </is>
      </c>
      <c r="B1997" t="inlineStr">
        <is>
          <t>48b60ab128a8</t>
        </is>
      </c>
      <c r="C1997" t="inlineStr">
        <is>
          <t>[SecurityWeek] PayPal Data Breach Led to Fraudulent Transactions | Keywords: breach | PayPal blamed an application error for the exposure of customer personal information for nearly 6 months. The post PayPal Data Breach Led to Fraudulen</t>
        </is>
      </c>
      <c r="D1997" t="n">
        <v>5</v>
      </c>
      <c r="E1997" t="inlineStr">
        <is>
          <t>MEDIUM</t>
        </is>
      </c>
      <c r="F1997" t="n">
        <v>2</v>
      </c>
      <c r="G1997" t="n">
        <v>1</v>
      </c>
      <c r="H1997" t="inlineStr">
        <is>
          <t>LOW</t>
        </is>
      </c>
      <c r="I1997" t="n">
        <v>7</v>
      </c>
      <c r="J1997" t="inlineStr">
        <is>
          <t>NO</t>
        </is>
      </c>
      <c r="K1997" t="inlineStr">
        <is>
          <t>2026-02-23 09:13</t>
        </is>
      </c>
      <c r="L1997" t="inlineStr">
        <is>
          <t>Monitor</t>
        </is>
      </c>
      <c r="M1997" t="inlineStr">
        <is>
          <t>Varies - see article</t>
        </is>
      </c>
      <c r="N1997" t="inlineStr">
        <is>
          <t>P4</t>
        </is>
      </c>
      <c r="O1997" t="inlineStr">
        <is>
          <t>News alert - no IP context</t>
        </is>
      </c>
      <c r="P1997" t="n">
        <v>0</v>
      </c>
      <c r="Q1997" t="n">
        <v>0</v>
      </c>
      <c r="R1997" t="inlineStr">
        <is>
          <t>See article for technique context</t>
        </is>
      </c>
      <c r="S1997" t="n">
        <v>1</v>
      </c>
      <c r="T1997" t="inlineStr">
        <is>
          <t>LOW (40%)</t>
        </is>
      </c>
      <c r="U1997" t="inlineStr">
        <is>
          <t>NONE</t>
        </is>
      </c>
      <c r="V1997" t="inlineStr">
        <is>
          <t>NONE</t>
        </is>
      </c>
      <c r="W1997" t="inlineStr">
        <is>
          <t>NONE</t>
        </is>
      </c>
      <c r="X1997" t="inlineStr">
        <is>
          <t>NONE</t>
        </is>
      </c>
      <c r="Y1997" t="n">
        <v>0</v>
      </c>
      <c r="Z1997" t="inlineStr">
        <is>
          <t>PayPal Data Breach Led to Fraudulent Transactions</t>
        </is>
      </c>
      <c r="AA1997" t="inlineStr">
        <is>
          <t>https://www.securityweek.com/paypal-data-breach-led-to-fraudulent-transactions/</t>
        </is>
      </c>
    </row>
    <row r="1998">
      <c r="A1998" t="inlineStr">
        <is>
          <t>NEWS_ALERT</t>
        </is>
      </c>
      <c r="B1998" t="inlineStr">
        <is>
          <t>cf1a85460441</t>
        </is>
      </c>
      <c r="C1998" t="inlineStr">
        <is>
          <t>[SANS-ISC-RSS] Another day, another malicious JPEG, (Mon, Feb 23rd) | Keywords: malware | In his last two diaries, Xavier discussed recent malware campaigns that download JPEG files with embedded malicious payload&amp;#x5b; 1 , 2 &amp;#x5d;. At tha</t>
        </is>
      </c>
      <c r="D1998" t="n">
        <v>5</v>
      </c>
      <c r="E1998" t="inlineStr">
        <is>
          <t>MEDIUM</t>
        </is>
      </c>
      <c r="F1998" t="n">
        <v>2</v>
      </c>
      <c r="G1998" t="n">
        <v>1</v>
      </c>
      <c r="H1998" t="inlineStr">
        <is>
          <t>LOW</t>
        </is>
      </c>
      <c r="I1998" t="n">
        <v>7</v>
      </c>
      <c r="J1998" t="inlineStr">
        <is>
          <t>NO</t>
        </is>
      </c>
      <c r="K1998" t="inlineStr">
        <is>
          <t>2026-02-23 14:26</t>
        </is>
      </c>
      <c r="L1998" t="inlineStr">
        <is>
          <t>Monitor</t>
        </is>
      </c>
      <c r="M1998" t="inlineStr">
        <is>
          <t>Varies - see article</t>
        </is>
      </c>
      <c r="N1998" t="inlineStr">
        <is>
          <t>P4</t>
        </is>
      </c>
      <c r="O1998" t="inlineStr">
        <is>
          <t>News alert - no IP context</t>
        </is>
      </c>
      <c r="P1998" t="n">
        <v>0</v>
      </c>
      <c r="Q1998" t="n">
        <v>0</v>
      </c>
      <c r="R1998" t="inlineStr">
        <is>
          <t>See article for technique context</t>
        </is>
      </c>
      <c r="S1998" t="n">
        <v>1</v>
      </c>
      <c r="T1998" t="inlineStr">
        <is>
          <t>LOW (40%)</t>
        </is>
      </c>
      <c r="U1998" t="inlineStr">
        <is>
          <t>NONE</t>
        </is>
      </c>
      <c r="V1998" t="inlineStr">
        <is>
          <t>NONE</t>
        </is>
      </c>
      <c r="W1998" t="inlineStr">
        <is>
          <t>NONE</t>
        </is>
      </c>
      <c r="X1998" t="inlineStr">
        <is>
          <t>NONE</t>
        </is>
      </c>
      <c r="Y1998" t="n">
        <v>0</v>
      </c>
      <c r="Z1998" t="inlineStr">
        <is>
          <t>Another day, another malicious JPEG, (Mon, Feb 23rd)</t>
        </is>
      </c>
      <c r="AA1998" t="inlineStr">
        <is>
          <t>https://isc.sans.edu/diary/rss/32738</t>
        </is>
      </c>
    </row>
    <row r="1999">
      <c r="A1999" t="inlineStr">
        <is>
          <t>NEWS_ALERT</t>
        </is>
      </c>
      <c r="B1999" t="inlineStr">
        <is>
          <t>0de8e92a57b7</t>
        </is>
      </c>
      <c r="C1999" t="inlineStr">
        <is>
          <t>[SANS-ISC-RSS] Japanese-Language Phishing Emails, (Sat, Feb 21st) | Keywords: phishing | Introduction &amp;#xd;</t>
        </is>
      </c>
      <c r="D1999" t="n">
        <v>5</v>
      </c>
      <c r="E1999" t="inlineStr">
        <is>
          <t>MEDIUM</t>
        </is>
      </c>
      <c r="F1999" t="n">
        <v>2</v>
      </c>
      <c r="G1999" t="n">
        <v>1</v>
      </c>
      <c r="H1999" t="inlineStr">
        <is>
          <t>LOW</t>
        </is>
      </c>
      <c r="I1999" t="n">
        <v>7</v>
      </c>
      <c r="J1999" t="inlineStr">
        <is>
          <t>NO</t>
        </is>
      </c>
      <c r="K1999" t="inlineStr">
        <is>
          <t>2026-02-21 06:03</t>
        </is>
      </c>
      <c r="L1999" t="inlineStr">
        <is>
          <t>Monitor</t>
        </is>
      </c>
      <c r="M1999" t="inlineStr">
        <is>
          <t>Varies - see article</t>
        </is>
      </c>
      <c r="N1999" t="inlineStr">
        <is>
          <t>P4</t>
        </is>
      </c>
      <c r="O1999" t="inlineStr">
        <is>
          <t>News alert - no IP context</t>
        </is>
      </c>
      <c r="P1999" t="n">
        <v>0</v>
      </c>
      <c r="Q1999" t="n">
        <v>0</v>
      </c>
      <c r="R1999" t="inlineStr">
        <is>
          <t>See article for technique context</t>
        </is>
      </c>
      <c r="S1999" t="n">
        <v>1</v>
      </c>
      <c r="T1999" t="inlineStr">
        <is>
          <t>LOW (40%)</t>
        </is>
      </c>
      <c r="U1999" t="inlineStr">
        <is>
          <t>NONE</t>
        </is>
      </c>
      <c r="V1999" t="inlineStr">
        <is>
          <t>NONE</t>
        </is>
      </c>
      <c r="W1999" t="inlineStr">
        <is>
          <t>NONE</t>
        </is>
      </c>
      <c r="X1999" t="inlineStr">
        <is>
          <t>NONE</t>
        </is>
      </c>
      <c r="Y1999" t="n">
        <v>0</v>
      </c>
      <c r="Z1999" t="inlineStr">
        <is>
          <t>Japanese-Language Phishing Emails, (Sat, Feb 21st)</t>
        </is>
      </c>
      <c r="AA1999" t="inlineStr">
        <is>
          <t>https://isc.sans.edu/diary/rss/32734</t>
        </is>
      </c>
    </row>
    <row r="2000">
      <c r="A2000" t="inlineStr">
        <is>
          <t>NEWS_ALERT</t>
        </is>
      </c>
      <c r="B2000" t="inlineStr">
        <is>
          <t>d971ddac0357</t>
        </is>
      </c>
      <c r="C2000" t="inlineStr">
        <is>
          <t>[HackRead] Multiple Zero-Day Flaws in PDF Platforms Enable XSS and One-Click Attacks | Keywords: zero-day, rce, zero-day | 16 zero-day security flaws found in Foxit and Apryse PDF platforms could lead to account takeover and RCE. Learn how AI identified these risks.</t>
        </is>
      </c>
      <c r="D2000" t="n">
        <v>5</v>
      </c>
      <c r="E2000" t="inlineStr">
        <is>
          <t>MEDIUM</t>
        </is>
      </c>
      <c r="F2000" t="n">
        <v>2</v>
      </c>
      <c r="G2000" t="n">
        <v>1</v>
      </c>
      <c r="H2000" t="inlineStr">
        <is>
          <t>LOW</t>
        </is>
      </c>
      <c r="I2000" t="n">
        <v>7</v>
      </c>
      <c r="J2000" t="inlineStr">
        <is>
          <t>NO</t>
        </is>
      </c>
      <c r="K2000" t="inlineStr">
        <is>
          <t>2026-02-23 17:27</t>
        </is>
      </c>
      <c r="L2000" t="inlineStr">
        <is>
          <t>Monitor</t>
        </is>
      </c>
      <c r="M2000" t="inlineStr">
        <is>
          <t>Varies - see article</t>
        </is>
      </c>
      <c r="N2000" t="inlineStr">
        <is>
          <t>P4</t>
        </is>
      </c>
      <c r="O2000" t="inlineStr">
        <is>
          <t>News alert - no IP context</t>
        </is>
      </c>
      <c r="P2000" t="n">
        <v>0</v>
      </c>
      <c r="Q2000" t="n">
        <v>0</v>
      </c>
      <c r="R2000" t="inlineStr">
        <is>
          <t>See article for technique context</t>
        </is>
      </c>
      <c r="S2000" t="n">
        <v>1</v>
      </c>
      <c r="T2000" t="inlineStr">
        <is>
          <t>LOW (40%)</t>
        </is>
      </c>
      <c r="U2000" t="inlineStr">
        <is>
          <t>NONE</t>
        </is>
      </c>
      <c r="V2000" t="inlineStr">
        <is>
          <t>NONE</t>
        </is>
      </c>
      <c r="W2000" t="inlineStr">
        <is>
          <t>NONE</t>
        </is>
      </c>
      <c r="X2000" t="inlineStr">
        <is>
          <t>NONE</t>
        </is>
      </c>
      <c r="Y2000" t="n">
        <v>0</v>
      </c>
      <c r="Z2000" t="inlineStr">
        <is>
          <t>Multiple Zero-Day Flaws in PDF Platforms Enable XSS and One-Click Attacks</t>
        </is>
      </c>
      <c r="AA2000" t="inlineStr">
        <is>
          <t>https://hackread.com/zero-day-flaws-pdf-platforms-xss-one-click-attacks/</t>
        </is>
      </c>
    </row>
    <row r="2001">
      <c r="A2001" t="inlineStr">
        <is>
          <t>NEWS_ALERT</t>
        </is>
      </c>
      <c r="B2001" t="inlineStr">
        <is>
          <t>24d5524790dd</t>
        </is>
      </c>
      <c r="C2001" t="inlineStr">
        <is>
          <t>[HackRead] Hackers Use Excel Exploit to Hide XWorm 7.2 in JPEG Files, Hijack PCs | Keywords: malware, phishing, exploit | A new phishing campaign is spreading XWorm 7.2 via malicious Excel files, hiding the malware in Windows processes, and using AES encryption to steal p</t>
        </is>
      </c>
      <c r="D2001" t="n">
        <v>5</v>
      </c>
      <c r="E2001" t="inlineStr">
        <is>
          <t>MEDIUM</t>
        </is>
      </c>
      <c r="F2001" t="n">
        <v>2</v>
      </c>
      <c r="G2001" t="n">
        <v>1</v>
      </c>
      <c r="H2001" t="inlineStr">
        <is>
          <t>LOW</t>
        </is>
      </c>
      <c r="I2001" t="n">
        <v>7</v>
      </c>
      <c r="J2001" t="inlineStr">
        <is>
          <t>NO</t>
        </is>
      </c>
      <c r="K2001" t="inlineStr">
        <is>
          <t>2026-02-23 11:54</t>
        </is>
      </c>
      <c r="L2001" t="inlineStr">
        <is>
          <t>Monitor</t>
        </is>
      </c>
      <c r="M2001" t="inlineStr">
        <is>
          <t>Varies - see article</t>
        </is>
      </c>
      <c r="N2001" t="inlineStr">
        <is>
          <t>P4</t>
        </is>
      </c>
      <c r="O2001" t="inlineStr">
        <is>
          <t>News alert - no IP context</t>
        </is>
      </c>
      <c r="P2001" t="n">
        <v>0</v>
      </c>
      <c r="Q2001" t="n">
        <v>0</v>
      </c>
      <c r="R2001" t="inlineStr">
        <is>
          <t>See article for technique context</t>
        </is>
      </c>
      <c r="S2001" t="n">
        <v>1</v>
      </c>
      <c r="T2001" t="inlineStr">
        <is>
          <t>LOW (40%)</t>
        </is>
      </c>
      <c r="U2001" t="inlineStr">
        <is>
          <t>NONE</t>
        </is>
      </c>
      <c r="V2001" t="inlineStr">
        <is>
          <t>NONE</t>
        </is>
      </c>
      <c r="W2001" t="inlineStr">
        <is>
          <t>NONE</t>
        </is>
      </c>
      <c r="X2001" t="inlineStr">
        <is>
          <t>NONE</t>
        </is>
      </c>
      <c r="Y2001" t="n">
        <v>0</v>
      </c>
      <c r="Z2001" t="inlineStr">
        <is>
          <t>Hackers Use Excel Exploit to Hide XWorm 7.2 in JPEG Files, Hijack PCs</t>
        </is>
      </c>
      <c r="AA2001" t="inlineStr">
        <is>
          <t>https://hackread.com/hackers-excel-exploit-xworm-7-2-jpeg-files-hijack-pcs/</t>
        </is>
      </c>
    </row>
    <row r="2002">
      <c r="A2002" t="inlineStr">
        <is>
          <t>NEWS_ALERT</t>
        </is>
      </c>
      <c r="B2002" t="inlineStr">
        <is>
          <t>64d6b0a3722c</t>
        </is>
      </c>
      <c r="C2002" t="inlineStr">
        <is>
          <t>[HackRead] Hackers Hide Pulsar RAT Inside PNG Images in New NPM Supply Chain Attack | Keywords: supply chain | Cybersecurity researchers at Veracode reveal a typosquatting attack that disguises Pulsar RAT as images to bypass Windows security and antivirus progr</t>
        </is>
      </c>
      <c r="D2002" t="n">
        <v>5</v>
      </c>
      <c r="E2002" t="inlineStr">
        <is>
          <t>MEDIUM</t>
        </is>
      </c>
      <c r="F2002" t="n">
        <v>2</v>
      </c>
      <c r="G2002" t="n">
        <v>1</v>
      </c>
      <c r="H2002" t="inlineStr">
        <is>
          <t>LOW</t>
        </is>
      </c>
      <c r="I2002" t="n">
        <v>7</v>
      </c>
      <c r="J2002" t="inlineStr">
        <is>
          <t>NO</t>
        </is>
      </c>
      <c r="K2002" t="inlineStr">
        <is>
          <t>2026-02-22 13:08</t>
        </is>
      </c>
      <c r="L2002" t="inlineStr">
        <is>
          <t>Monitor</t>
        </is>
      </c>
      <c r="M2002" t="inlineStr">
        <is>
          <t>Varies - see article</t>
        </is>
      </c>
      <c r="N2002" t="inlineStr">
        <is>
          <t>P4</t>
        </is>
      </c>
      <c r="O2002" t="inlineStr">
        <is>
          <t>News alert - no IP context</t>
        </is>
      </c>
      <c r="P2002" t="n">
        <v>0</v>
      </c>
      <c r="Q2002" t="n">
        <v>0</v>
      </c>
      <c r="R2002" t="inlineStr">
        <is>
          <t>See article for technique context</t>
        </is>
      </c>
      <c r="S2002" t="n">
        <v>1</v>
      </c>
      <c r="T2002" t="inlineStr">
        <is>
          <t>LOW (40%)</t>
        </is>
      </c>
      <c r="U2002" t="inlineStr">
        <is>
          <t>NONE</t>
        </is>
      </c>
      <c r="V2002" t="inlineStr">
        <is>
          <t>NONE</t>
        </is>
      </c>
      <c r="W2002" t="inlineStr">
        <is>
          <t>NONE</t>
        </is>
      </c>
      <c r="X2002" t="inlineStr">
        <is>
          <t>NONE</t>
        </is>
      </c>
      <c r="Y2002" t="n">
        <v>0</v>
      </c>
      <c r="Z2002" t="inlineStr">
        <is>
          <t>Hackers Hide Pulsar RAT Inside PNG Images in New NPM Supply Chain Attack</t>
        </is>
      </c>
      <c r="AA2002" t="inlineStr">
        <is>
          <t>https://hackread.com/hackers-pulsar-rat-png-images-npm-supply-chain-attack/</t>
        </is>
      </c>
    </row>
    <row r="2003">
      <c r="A2003" t="inlineStr">
        <is>
          <t>NEWS_ALERT</t>
        </is>
      </c>
      <c r="B2003" t="inlineStr">
        <is>
          <t>75935f41b40b</t>
        </is>
      </c>
      <c r="C2003" t="inlineStr">
        <is>
          <t>[InfoSecurityMagazine] Shai-Hulud-Like Worm Targets Developers via npm and AI Tools | Keywords: malware, supply chain | Supply chain worm mimicking Shai-Hulud malware spread via malicious npm packages, targeting AI tools has been identified by security researchers</t>
        </is>
      </c>
      <c r="D2003" t="n">
        <v>5</v>
      </c>
      <c r="E2003" t="inlineStr">
        <is>
          <t>MEDIUM</t>
        </is>
      </c>
      <c r="F2003" t="n">
        <v>2</v>
      </c>
      <c r="G2003" t="n">
        <v>1</v>
      </c>
      <c r="H2003" t="inlineStr">
        <is>
          <t>LOW</t>
        </is>
      </c>
      <c r="I2003" t="n">
        <v>7</v>
      </c>
      <c r="J2003" t="inlineStr">
        <is>
          <t>NO</t>
        </is>
      </c>
      <c r="K2003" t="inlineStr">
        <is>
          <t>2026-02-23 16:00</t>
        </is>
      </c>
      <c r="L2003" t="inlineStr">
        <is>
          <t>Monitor</t>
        </is>
      </c>
      <c r="M2003" t="inlineStr">
        <is>
          <t>Varies - see article</t>
        </is>
      </c>
      <c r="N2003" t="inlineStr">
        <is>
          <t>P4</t>
        </is>
      </c>
      <c r="O2003" t="inlineStr">
        <is>
          <t>News alert - no IP context</t>
        </is>
      </c>
      <c r="P2003" t="n">
        <v>0</v>
      </c>
      <c r="Q2003" t="n">
        <v>0</v>
      </c>
      <c r="R2003" t="inlineStr">
        <is>
          <t>See article for technique context</t>
        </is>
      </c>
      <c r="S2003" t="n">
        <v>1</v>
      </c>
      <c r="T2003" t="inlineStr">
        <is>
          <t>LOW (40%)</t>
        </is>
      </c>
      <c r="U2003" t="inlineStr">
        <is>
          <t>NONE</t>
        </is>
      </c>
      <c r="V2003" t="inlineStr">
        <is>
          <t>NONE</t>
        </is>
      </c>
      <c r="W2003" t="inlineStr">
        <is>
          <t>NONE</t>
        </is>
      </c>
      <c r="X2003" t="inlineStr">
        <is>
          <t>NONE</t>
        </is>
      </c>
      <c r="Y2003" t="n">
        <v>0</v>
      </c>
      <c r="Z2003" t="inlineStr">
        <is>
          <t>Shai-Hulud-Like Worm Targets Developers via npm and AI Tools</t>
        </is>
      </c>
      <c r="AA2003" t="inlineStr">
        <is>
          <t>https://www.infosecurity-magazine.com/news/shai-hulud-like-worm-devs-npm-ai/</t>
        </is>
      </c>
    </row>
    <row r="2004">
      <c r="A2004" t="inlineStr">
        <is>
          <t>NEWS_ALERT</t>
        </is>
      </c>
      <c r="B2004" t="inlineStr">
        <is>
          <t>da4894bed38c</t>
        </is>
      </c>
      <c r="C2004" t="inlineStr">
        <is>
          <t>[InfoSecurityMagazine] Fraud Investigation Reveals Sophisticated Python Malware | Keywords: malware, malware | Sophisticated Python malware uncovered in fraud probe shows obfuscation, disposable infrastructure</t>
        </is>
      </c>
      <c r="D2004" t="n">
        <v>5</v>
      </c>
      <c r="E2004" t="inlineStr">
        <is>
          <t>MEDIUM</t>
        </is>
      </c>
      <c r="F2004" t="n">
        <v>2</v>
      </c>
      <c r="G2004" t="n">
        <v>1</v>
      </c>
      <c r="H2004" t="inlineStr">
        <is>
          <t>LOW</t>
        </is>
      </c>
      <c r="I2004" t="n">
        <v>7</v>
      </c>
      <c r="J2004" t="inlineStr">
        <is>
          <t>NO</t>
        </is>
      </c>
      <c r="K2004" t="inlineStr">
        <is>
          <t>2026-02-23 15:30</t>
        </is>
      </c>
      <c r="L2004" t="inlineStr">
        <is>
          <t>Monitor</t>
        </is>
      </c>
      <c r="M2004" t="inlineStr">
        <is>
          <t>Varies - see article</t>
        </is>
      </c>
      <c r="N2004" t="inlineStr">
        <is>
          <t>P4</t>
        </is>
      </c>
      <c r="O2004" t="inlineStr">
        <is>
          <t>News alert - no IP context</t>
        </is>
      </c>
      <c r="P2004" t="n">
        <v>0</v>
      </c>
      <c r="Q2004" t="n">
        <v>0</v>
      </c>
      <c r="R2004" t="inlineStr">
        <is>
          <t>See article for technique context</t>
        </is>
      </c>
      <c r="S2004" t="n">
        <v>1</v>
      </c>
      <c r="T2004" t="inlineStr">
        <is>
          <t>LOW (40%)</t>
        </is>
      </c>
      <c r="U2004" t="inlineStr">
        <is>
          <t>NONE</t>
        </is>
      </c>
      <c r="V2004" t="inlineStr">
        <is>
          <t>NONE</t>
        </is>
      </c>
      <c r="W2004" t="inlineStr">
        <is>
          <t>NONE</t>
        </is>
      </c>
      <c r="X2004" t="inlineStr">
        <is>
          <t>NONE</t>
        </is>
      </c>
      <c r="Y2004" t="n">
        <v>0</v>
      </c>
      <c r="Z2004" t="inlineStr">
        <is>
          <t>Fraud Investigation Reveals Sophisticated Python Malware</t>
        </is>
      </c>
      <c r="AA2004" t="inlineStr">
        <is>
          <t>https://www.infosecurity-magazine.com/news/fraud-investigation-python-malware/</t>
        </is>
      </c>
    </row>
    <row r="2005">
      <c r="A2005" t="inlineStr">
        <is>
          <t>NEWS_ALERT</t>
        </is>
      </c>
      <c r="B2005" t="inlineStr">
        <is>
          <t>7d5ad9fea583</t>
        </is>
      </c>
      <c r="C2005" t="inlineStr">
        <is>
          <t>[InfoSecurityMagazine] Russian Cyber Threat Actor Uses GenAI to Compromise Fortinet Firewalls | Keywords: threat actor | A low-skilled Russian-speaking attacker has used GenAI tools to help deploy a successful attack workflow targeting FortiGate instances</t>
        </is>
      </c>
      <c r="D2005" t="n">
        <v>5</v>
      </c>
      <c r="E2005" t="inlineStr">
        <is>
          <t>MEDIUM</t>
        </is>
      </c>
      <c r="F2005" t="n">
        <v>2</v>
      </c>
      <c r="G2005" t="n">
        <v>1</v>
      </c>
      <c r="H2005" t="inlineStr">
        <is>
          <t>LOW</t>
        </is>
      </c>
      <c r="I2005" t="n">
        <v>7</v>
      </c>
      <c r="J2005" t="inlineStr">
        <is>
          <t>NO</t>
        </is>
      </c>
      <c r="K2005" t="inlineStr">
        <is>
          <t>2026-02-23 12:30</t>
        </is>
      </c>
      <c r="L2005" t="inlineStr">
        <is>
          <t>Monitor</t>
        </is>
      </c>
      <c r="M2005" t="inlineStr">
        <is>
          <t>Varies - see article</t>
        </is>
      </c>
      <c r="N2005" t="inlineStr">
        <is>
          <t>P4</t>
        </is>
      </c>
      <c r="O2005" t="inlineStr">
        <is>
          <t>News alert - no IP context</t>
        </is>
      </c>
      <c r="P2005" t="n">
        <v>0</v>
      </c>
      <c r="Q2005" t="n">
        <v>0</v>
      </c>
      <c r="R2005" t="inlineStr">
        <is>
          <t>See article for technique context</t>
        </is>
      </c>
      <c r="S2005" t="n">
        <v>1</v>
      </c>
      <c r="T2005" t="inlineStr">
        <is>
          <t>LOW (40%)</t>
        </is>
      </c>
      <c r="U2005" t="inlineStr">
        <is>
          <t>NONE</t>
        </is>
      </c>
      <c r="V2005" t="inlineStr">
        <is>
          <t>NONE</t>
        </is>
      </c>
      <c r="W2005" t="inlineStr">
        <is>
          <t>NONE</t>
        </is>
      </c>
      <c r="X2005" t="inlineStr">
        <is>
          <t>NONE</t>
        </is>
      </c>
      <c r="Y2005" t="n">
        <v>0</v>
      </c>
      <c r="Z2005" t="inlineStr">
        <is>
          <t>Russian Cyber Threat Actor Uses GenAI to Compromise Fortinet Firewalls</t>
        </is>
      </c>
      <c r="AA2005" t="inlineStr">
        <is>
          <t>https://www.infosecurity-magazine.com/news/russian-threat-actor-genai/</t>
        </is>
      </c>
    </row>
    <row r="2006">
      <c r="A2006" t="inlineStr">
        <is>
          <t>NEWS_ALERT</t>
        </is>
      </c>
      <c r="B2006" t="inlineStr">
        <is>
          <t>339188906a52</t>
        </is>
      </c>
      <c r="C2006" t="inlineStr">
        <is>
          <t>[InfoSecurityMagazine] Leading Semiconductor Supplier Advantest Hit by Ransomware Attack | Keywords: ransomware | Advantest, a Japanese specialist in testing computer chips for major semiconductor manufacturers, has deployed incident response protocols following a</t>
        </is>
      </c>
      <c r="D2006" t="n">
        <v>5</v>
      </c>
      <c r="E2006" t="inlineStr">
        <is>
          <t>MEDIUM</t>
        </is>
      </c>
      <c r="F2006" t="n">
        <v>2</v>
      </c>
      <c r="G2006" t="n">
        <v>1</v>
      </c>
      <c r="H2006" t="inlineStr">
        <is>
          <t>LOW</t>
        </is>
      </c>
      <c r="I2006" t="n">
        <v>7</v>
      </c>
      <c r="J2006" t="inlineStr">
        <is>
          <t>NO</t>
        </is>
      </c>
      <c r="K2006" t="inlineStr">
        <is>
          <t>2026-02-23 11:30</t>
        </is>
      </c>
      <c r="L2006" t="inlineStr">
        <is>
          <t>Monitor</t>
        </is>
      </c>
      <c r="M2006" t="inlineStr">
        <is>
          <t>Varies - see article</t>
        </is>
      </c>
      <c r="N2006" t="inlineStr">
        <is>
          <t>P4</t>
        </is>
      </c>
      <c r="O2006" t="inlineStr">
        <is>
          <t>News alert - no IP context</t>
        </is>
      </c>
      <c r="P2006" t="n">
        <v>0</v>
      </c>
      <c r="Q2006" t="n">
        <v>0</v>
      </c>
      <c r="R2006" t="inlineStr">
        <is>
          <t>See article for technique context</t>
        </is>
      </c>
      <c r="S2006" t="n">
        <v>1</v>
      </c>
      <c r="T2006" t="inlineStr">
        <is>
          <t>LOW (40%)</t>
        </is>
      </c>
      <c r="U2006" t="inlineStr">
        <is>
          <t>NONE</t>
        </is>
      </c>
      <c r="V2006" t="inlineStr">
        <is>
          <t>NONE</t>
        </is>
      </c>
      <c r="W2006" t="inlineStr">
        <is>
          <t>NONE</t>
        </is>
      </c>
      <c r="X2006" t="inlineStr">
        <is>
          <t>NONE</t>
        </is>
      </c>
      <c r="Y2006" t="n">
        <v>0</v>
      </c>
      <c r="Z2006" t="inlineStr">
        <is>
          <t>Leading Semiconductor Supplier Advantest Hit by Ransomware Attack</t>
        </is>
      </c>
      <c r="AA2006" t="inlineStr">
        <is>
          <t>https://www.infosecurity-magazine.com/news/advantest-ransomware-attack/</t>
        </is>
      </c>
    </row>
    <row r="2007">
      <c r="A2007" t="inlineStr">
        <is>
          <t>NEWS_ALERT</t>
        </is>
      </c>
      <c r="B2007" t="inlineStr">
        <is>
          <t>bbba403a9ba9</t>
        </is>
      </c>
      <c r="C2007" t="inlineStr">
        <is>
          <t>[InfoSecurityMagazine] University of Mississippi Medical Center Still Offline After Ransomware Attack | Keywords: ransomware, ransomware | University of Mississippi Medical Center is still scrambling to respond to a ransomware attack last Thursday</t>
        </is>
      </c>
      <c r="D2007" t="n">
        <v>5</v>
      </c>
      <c r="E2007" t="inlineStr">
        <is>
          <t>MEDIUM</t>
        </is>
      </c>
      <c r="F2007" t="n">
        <v>2</v>
      </c>
      <c r="G2007" t="n">
        <v>1</v>
      </c>
      <c r="H2007" t="inlineStr">
        <is>
          <t>LOW</t>
        </is>
      </c>
      <c r="I2007" t="n">
        <v>7</v>
      </c>
      <c r="J2007" t="inlineStr">
        <is>
          <t>NO</t>
        </is>
      </c>
      <c r="K2007" t="inlineStr">
        <is>
          <t>2026-02-23 08:30</t>
        </is>
      </c>
      <c r="L2007" t="inlineStr">
        <is>
          <t>Monitor</t>
        </is>
      </c>
      <c r="M2007" t="inlineStr">
        <is>
          <t>Varies - see article</t>
        </is>
      </c>
      <c r="N2007" t="inlineStr">
        <is>
          <t>P4</t>
        </is>
      </c>
      <c r="O2007" t="inlineStr">
        <is>
          <t>News alert - no IP context</t>
        </is>
      </c>
      <c r="P2007" t="n">
        <v>0</v>
      </c>
      <c r="Q2007" t="n">
        <v>0</v>
      </c>
      <c r="R2007" t="inlineStr">
        <is>
          <t>See article for technique context</t>
        </is>
      </c>
      <c r="S2007" t="n">
        <v>1</v>
      </c>
      <c r="T2007" t="inlineStr">
        <is>
          <t>LOW (40%)</t>
        </is>
      </c>
      <c r="U2007" t="inlineStr">
        <is>
          <t>NONE</t>
        </is>
      </c>
      <c r="V2007" t="inlineStr">
        <is>
          <t>NONE</t>
        </is>
      </c>
      <c r="W2007" t="inlineStr">
        <is>
          <t>NONE</t>
        </is>
      </c>
      <c r="X2007" t="inlineStr">
        <is>
          <t>NONE</t>
        </is>
      </c>
      <c r="Y2007" t="n">
        <v>0</v>
      </c>
      <c r="Z2007" t="inlineStr">
        <is>
          <t>University of Mississippi Medical Center Still Offline After Ransomware Attack</t>
        </is>
      </c>
      <c r="AA2007" t="inlineStr">
        <is>
          <t>https://www.infosecurity-magazine.com/news/university-mississippi-medical/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2026-02-23T21:48:25Z</dcterms:created>
  <dcterms:modified xmlns:dcterms="http://purl.org/dc/terms/" xmlns:xsi="http://www.w3.org/2001/XMLSchema-instance" xsi:type="dcterms:W3CDTF">2026-02-23T21:48:32Z</dcterms:modified>
</cp:coreProperties>
</file>